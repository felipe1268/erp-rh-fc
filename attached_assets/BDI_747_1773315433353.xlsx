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felipe.alves.jf\Desktop\ERP - GESTÃO INTENGRADA\003 - MODULO ORÇAMENTO\"/>
    </mc:Choice>
  </mc:AlternateContent>
  <xr:revisionPtr revIDLastSave="0" documentId="13_ncr:1_{BADFEDE2-1827-49EE-A8CC-7ED97C9347A2}" xr6:coauthVersionLast="47" xr6:coauthVersionMax="47" xr10:uidLastSave="{00000000-0000-0000-0000-000000000000}"/>
  <bookViews>
    <workbookView xWindow="-108" yWindow="-108" windowWidth="23256" windowHeight="12456" tabRatio="656" xr2:uid="{00000000-000D-0000-FFFF-FFFF00000000}"/>
  </bookViews>
  <sheets>
    <sheet name="BDI" sheetId="162" r:id="rId1"/>
    <sheet name="Indiretos" sheetId="163" r:id="rId2"/>
    <sheet name="F.D." sheetId="171" r:id="rId3"/>
    <sheet name="Bdi CURVA ABC - MAT" sheetId="172" r:id="rId4"/>
    <sheet name="Adm Central" sheetId="164" r:id="rId5"/>
    <sheet name="Despesas Financeiras" sheetId="151" r:id="rId6"/>
    <sheet name="CHP - Auxiliar" sheetId="167" r:id="rId7"/>
    <sheet name="Tributos Fiscais" sheetId="168" r:id="rId8"/>
    <sheet name="Taxa de Comercialização" sheetId="170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" localSheetId="6" hidden="1">[1]산근!#REF!</definedName>
    <definedName name="_" localSheetId="1" hidden="1">[1]산근!#REF!</definedName>
    <definedName name="_" localSheetId="8" hidden="1">[1]산근!#REF!</definedName>
    <definedName name="_" hidden="1">[1]산근!#REF!</definedName>
    <definedName name="__" localSheetId="6" hidden="1">[1]산근!#REF!</definedName>
    <definedName name="__" localSheetId="1" hidden="1">[1]산근!#REF!</definedName>
    <definedName name="__" localSheetId="8" hidden="1">[1]산근!#REF!</definedName>
    <definedName name="__" hidden="1">[1]산근!#REF!</definedName>
    <definedName name="_____key2" localSheetId="6" hidden="1">#REF!</definedName>
    <definedName name="_____key2" localSheetId="1" hidden="1">#REF!</definedName>
    <definedName name="_____key2" localSheetId="8" hidden="1">#REF!</definedName>
    <definedName name="_____key2" hidden="1">#REF!</definedName>
    <definedName name="____key2" localSheetId="6" hidden="1">#REF!</definedName>
    <definedName name="____key2" localSheetId="1" hidden="1">#REF!</definedName>
    <definedName name="____key2" localSheetId="8" hidden="1">#REF!</definedName>
    <definedName name="____key2" hidden="1">#REF!</definedName>
    <definedName name="____PK2" localSheetId="6" hidden="1">{"'장비'!$A$3:$M$12"}</definedName>
    <definedName name="____PK2" localSheetId="8" hidden="1">{"'장비'!$A$3:$M$12"}</definedName>
    <definedName name="____PK2" hidden="1">{"'장비'!$A$3:$M$12"}</definedName>
    <definedName name="____PKG3" localSheetId="6" hidden="1">{"'장비'!$A$3:$M$12"}</definedName>
    <definedName name="____PKG3" localSheetId="8" hidden="1">{"'장비'!$A$3:$M$12"}</definedName>
    <definedName name="____PKG3" hidden="1">{"'장비'!$A$3:$M$12"}</definedName>
    <definedName name="____qqq222" localSheetId="6" hidden="1">{"'장비'!$A$3:$M$12"}</definedName>
    <definedName name="____qqq222" localSheetId="8" hidden="1">{"'장비'!$A$3:$M$12"}</definedName>
    <definedName name="____qqq222" hidden="1">{"'장비'!$A$3:$M$12"}</definedName>
    <definedName name="_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6" hidden="1">#REF!</definedName>
    <definedName name="___key2" localSheetId="1" hidden="1">#REF!</definedName>
    <definedName name="___key2" localSheetId="8" hidden="1">#REF!</definedName>
    <definedName name="___key2" hidden="1">#REF!</definedName>
    <definedName name="___PK2" localSheetId="6" hidden="1">{"'장비'!$A$3:$M$12"}</definedName>
    <definedName name="___PK2" localSheetId="8" hidden="1">{"'장비'!$A$3:$M$12"}</definedName>
    <definedName name="___PK2" hidden="1">{"'장비'!$A$3:$M$12"}</definedName>
    <definedName name="___PKG3" localSheetId="6" hidden="1">{"'장비'!$A$3:$M$12"}</definedName>
    <definedName name="___PKG3" localSheetId="8" hidden="1">{"'장비'!$A$3:$M$12"}</definedName>
    <definedName name="___PKG3" hidden="1">{"'장비'!$A$3:$M$12"}</definedName>
    <definedName name="___qqq222" localSheetId="6" hidden="1">{"'장비'!$A$3:$M$12"}</definedName>
    <definedName name="___qqq222" localSheetId="8" hidden="1">{"'장비'!$A$3:$M$12"}</definedName>
    <definedName name="___qqq222" hidden="1">{"'장비'!$A$3:$M$12"}</definedName>
    <definedName name="__123Graph_A" hidden="1">[2]A!$AF$59:$AF$65</definedName>
    <definedName name="__123Graph_AChart1" localSheetId="6" hidden="1">'[3]EE-PROP'!#REF!</definedName>
    <definedName name="__123Graph_AChart1" localSheetId="1" hidden="1">'[3]EE-PROP'!#REF!</definedName>
    <definedName name="__123Graph_AChart1" localSheetId="8" hidden="1">'[3]EE-PROP'!#REF!</definedName>
    <definedName name="__123Graph_AChart1" hidden="1">'[3]EE-PROP'!#REF!</definedName>
    <definedName name="__123Graph_ACurrent" localSheetId="6" hidden="1">'[3]EE-PROP'!#REF!</definedName>
    <definedName name="__123Graph_ACurrent" localSheetId="1" hidden="1">'[3]EE-PROP'!#REF!</definedName>
    <definedName name="__123Graph_ACurrent" localSheetId="8" hidden="1">'[3]EE-PROP'!#REF!</definedName>
    <definedName name="__123Graph_ACurrent" hidden="1">'[3]EE-PROP'!#REF!</definedName>
    <definedName name="__123Graph_B" hidden="1">[2]A!$AG$58:$AG$64</definedName>
    <definedName name="__123Graph_BChart1" localSheetId="6" hidden="1">'[3]EE-PROP'!#REF!</definedName>
    <definedName name="__123Graph_BChart1" localSheetId="1" hidden="1">'[3]EE-PROP'!#REF!</definedName>
    <definedName name="__123Graph_BChart1" localSheetId="8" hidden="1">'[3]EE-PROP'!#REF!</definedName>
    <definedName name="__123Graph_BChart1" hidden="1">'[3]EE-PROP'!#REF!</definedName>
    <definedName name="__123Graph_BCurrent" localSheetId="6" hidden="1">'[3]EE-PROP'!#REF!</definedName>
    <definedName name="__123Graph_BCurrent" localSheetId="1" hidden="1">'[3]EE-PROP'!#REF!</definedName>
    <definedName name="__123Graph_BCurrent" localSheetId="8" hidden="1">'[3]EE-PROP'!#REF!</definedName>
    <definedName name="__123Graph_BCurrent" hidden="1">'[3]EE-PROP'!#REF!</definedName>
    <definedName name="__123Graph_BPERFORMANCE" localSheetId="6" hidden="1">[4]BQMPALOC!#REF!</definedName>
    <definedName name="__123Graph_BPERFORMANCE" localSheetId="1" hidden="1">[4]BQMPALOC!#REF!</definedName>
    <definedName name="__123Graph_BPERFORMANCE" localSheetId="8" hidden="1">[4]BQMPALOC!#REF!</definedName>
    <definedName name="__123Graph_BPERFORMANCE" hidden="1">[4]BQMPALOC!#REF!</definedName>
    <definedName name="__123Graph_X" hidden="1">[2]A!$AE$59:$AE$65</definedName>
    <definedName name="__123Graph_XChart1" localSheetId="6" hidden="1">'[3]EE-PROP'!#REF!</definedName>
    <definedName name="__123Graph_XChart1" localSheetId="1" hidden="1">'[3]EE-PROP'!#REF!</definedName>
    <definedName name="__123Graph_XChart1" localSheetId="8" hidden="1">'[3]EE-PROP'!#REF!</definedName>
    <definedName name="__123Graph_XChart1" hidden="1">'[3]EE-PROP'!#REF!</definedName>
    <definedName name="__123Graph_XCurrent" localSheetId="6" hidden="1">'[3]EE-PROP'!#REF!</definedName>
    <definedName name="__123Graph_XCurrent" localSheetId="1" hidden="1">'[3]EE-PROP'!#REF!</definedName>
    <definedName name="__123Graph_XCurrent" localSheetId="8" hidden="1">'[3]EE-PROP'!#REF!</definedName>
    <definedName name="__123Graph_XCurrent" hidden="1">'[3]EE-PROP'!#REF!</definedName>
    <definedName name="_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key2" localSheetId="6" hidden="1">#REF!</definedName>
    <definedName name="__key2" localSheetId="1" hidden="1">#REF!</definedName>
    <definedName name="__key2" localSheetId="8" hidden="1">#REF!</definedName>
    <definedName name="__key2" hidden="1">#REF!</definedName>
    <definedName name="__PK2" localSheetId="6" hidden="1">{"'장비'!$A$3:$M$12"}</definedName>
    <definedName name="__PK2" localSheetId="8" hidden="1">{"'장비'!$A$3:$M$12"}</definedName>
    <definedName name="__PK2" hidden="1">{"'장비'!$A$3:$M$12"}</definedName>
    <definedName name="__PKG3" localSheetId="6" hidden="1">{"'장비'!$A$3:$M$12"}</definedName>
    <definedName name="__PKG3" localSheetId="8" hidden="1">{"'장비'!$A$3:$M$12"}</definedName>
    <definedName name="__PKG3" hidden="1">{"'장비'!$A$3:$M$12"}</definedName>
    <definedName name="__qqq222" localSheetId="6" hidden="1">{"'장비'!$A$3:$M$12"}</definedName>
    <definedName name="__qqq222" localSheetId="8" hidden="1">{"'장비'!$A$3:$M$12"}</definedName>
    <definedName name="__qqq222" hidden="1">{"'장비'!$A$3:$M$12"}</definedName>
    <definedName name="_1__123Graph_ACHART_1" hidden="1">[2]A!$F$59:$AG$59</definedName>
    <definedName name="_2__123Graph_BCHART_1" hidden="1">[2]A!$F$63:$AG$63</definedName>
    <definedName name="_3__123Graph_XCHART_1" hidden="1">[2]A!$F$11:$AG$11</definedName>
    <definedName name="_Builtin13" localSheetId="6" hidden="1">#REF!</definedName>
    <definedName name="_Builtin13" localSheetId="1" hidden="1">#REF!</definedName>
    <definedName name="_Builtin13" localSheetId="8" hidden="1">#REF!</definedName>
    <definedName name="_Builtin13" hidden="1">#REF!</definedName>
    <definedName name="_CO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6" hidden="1">#REF!</definedName>
    <definedName name="_Fill" localSheetId="1" hidden="1">#REF!</definedName>
    <definedName name="_Fill" localSheetId="8" hidden="1">#REF!</definedName>
    <definedName name="_Fill" hidden="1">#REF!</definedName>
    <definedName name="_xlnm._FilterDatabase" localSheetId="3" hidden="1">'Bdi CURVA ABC - MAT'!$B$4:$H$207</definedName>
    <definedName name="_xlnm._FilterDatabase" localSheetId="6" hidden="1">#REF!</definedName>
    <definedName name="_xlnm._FilterDatabase" localSheetId="2" hidden="1">'F.D.'!$B$4:$H$119</definedName>
    <definedName name="_xlnm._FilterDatabase" localSheetId="1" hidden="1">#REF!</definedName>
    <definedName name="_xlnm._FilterDatabase" localSheetId="8" hidden="1">#REF!</definedName>
    <definedName name="_xlnm._FilterDatabase" hidden="1">#REF!</definedName>
    <definedName name="_Key1" localSheetId="6" hidden="1">#REF!</definedName>
    <definedName name="_Key1" localSheetId="1" hidden="1">#REF!</definedName>
    <definedName name="_Key1" localSheetId="8" hidden="1">#REF!</definedName>
    <definedName name="_Key1" hidden="1">#REF!</definedName>
    <definedName name="_Key2" localSheetId="6" hidden="1">#REF!</definedName>
    <definedName name="_Key2" localSheetId="1" hidden="1">#REF!</definedName>
    <definedName name="_Key2" localSheetId="8" hidden="1">#REF!</definedName>
    <definedName name="_Key2" hidden="1">#REF!</definedName>
    <definedName name="_MatInverse_In" localSheetId="6" hidden="1">'[5]배명(단가)'!#REF!</definedName>
    <definedName name="_MatInverse_In" localSheetId="1" hidden="1">'[5]배명(단가)'!#REF!</definedName>
    <definedName name="_MatInverse_In" localSheetId="8" hidden="1">'[5]배명(단가)'!#REF!</definedName>
    <definedName name="_MatInverse_In" hidden="1">'[5]배명(단가)'!#REF!</definedName>
    <definedName name="_MatMult_A" localSheetId="6" hidden="1">'[5]배명(단가)'!#REF!</definedName>
    <definedName name="_MatMult_A" localSheetId="1" hidden="1">'[5]배명(단가)'!#REF!</definedName>
    <definedName name="_MatMult_A" localSheetId="8" hidden="1">'[5]배명(단가)'!#REF!</definedName>
    <definedName name="_MatMult_A" hidden="1">'[5]배명(단가)'!#REF!</definedName>
    <definedName name="_MatMult_AxB" localSheetId="6" hidden="1">'[5]배명(단가)'!#REF!</definedName>
    <definedName name="_MatMult_AxB" localSheetId="1" hidden="1">'[5]배명(단가)'!#REF!</definedName>
    <definedName name="_MatMult_AxB" localSheetId="8" hidden="1">'[5]배명(단가)'!#REF!</definedName>
    <definedName name="_MatMult_AxB" hidden="1">'[5]배명(단가)'!#REF!</definedName>
    <definedName name="_MatMult_B" localSheetId="6" hidden="1">'[5]배명(단가)'!#REF!</definedName>
    <definedName name="_MatMult_B" localSheetId="1" hidden="1">'[5]배명(단가)'!#REF!</definedName>
    <definedName name="_MatMult_B" localSheetId="8" hidden="1">'[5]배명(단가)'!#REF!</definedName>
    <definedName name="_MatMult_B" hidden="1">'[5]배명(단가)'!#REF!</definedName>
    <definedName name="_Order1" hidden="1">0</definedName>
    <definedName name="_Order2" hidden="1">0</definedName>
    <definedName name="_Parse_Out" localSheetId="6" hidden="1">#REF!</definedName>
    <definedName name="_Parse_Out" localSheetId="1" hidden="1">#REF!</definedName>
    <definedName name="_Parse_Out" localSheetId="8" hidden="1">#REF!</definedName>
    <definedName name="_Parse_Out" hidden="1">#REF!</definedName>
    <definedName name="_PK2" localSheetId="6" hidden="1">{"'장비'!$A$3:$M$12"}</definedName>
    <definedName name="_PK2" localSheetId="8" hidden="1">{"'장비'!$A$3:$M$12"}</definedName>
    <definedName name="_PK2" hidden="1">{"'장비'!$A$3:$M$12"}</definedName>
    <definedName name="_PKG3" localSheetId="6" hidden="1">{"'장비'!$A$3:$M$12"}</definedName>
    <definedName name="_PKG3" localSheetId="8" hidden="1">{"'장비'!$A$3:$M$12"}</definedName>
    <definedName name="_PKG3" hidden="1">{"'장비'!$A$3:$M$12"}</definedName>
    <definedName name="_qqq222" localSheetId="6" hidden="1">{"'장비'!$A$3:$M$12"}</definedName>
    <definedName name="_qqq222" localSheetId="8" hidden="1">{"'장비'!$A$3:$M$12"}</definedName>
    <definedName name="_qqq222" hidden="1">{"'장비'!$A$3:$M$12"}</definedName>
    <definedName name="_Regression_Int" hidden="1">1</definedName>
    <definedName name="_Sort" localSheetId="6" hidden="1">#REF!</definedName>
    <definedName name="_Sort" localSheetId="1" hidden="1">#REF!</definedName>
    <definedName name="_Sort" localSheetId="8" hidden="1">#REF!</definedName>
    <definedName name="_Sort" hidden="1">#REF!</definedName>
    <definedName name="a" localSheetId="6" hidden="1">'[3]EE-PROP'!#REF!</definedName>
    <definedName name="a" localSheetId="1" hidden="1">'[3]EE-PROP'!#REF!</definedName>
    <definedName name="a" localSheetId="8" hidden="1">'[3]EE-PROP'!#REF!</definedName>
    <definedName name="a" hidden="1">'[3]EE-PROP'!#REF!</definedName>
    <definedName name="AB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ccessDatabase" hidden="1">"C:\posec\DATABASE\vlv_list\vlvlist1.mdb"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6" hidden="1">#REF!</definedName>
    <definedName name="acdb" localSheetId="1" hidden="1">#REF!</definedName>
    <definedName name="acdb" localSheetId="8" hidden="1">#REF!</definedName>
    <definedName name="acdb" hidden="1">#REF!</definedName>
    <definedName name="ACDS" localSheetId="6" hidden="1">#REF!</definedName>
    <definedName name="ACDS" localSheetId="1" hidden="1">#REF!</definedName>
    <definedName name="ACDS" localSheetId="8" hidden="1">#REF!</definedName>
    <definedName name="ACDS" hidden="1">#REF!</definedName>
    <definedName name="adicional_noturno">Indiretos!$H$14</definedName>
    <definedName name="adm_central">'Adm Central'!$L$79</definedName>
    <definedName name="administração_local">Indiretos!$V$67</definedName>
    <definedName name="ajuste_HE_mdo_direta">BDI!$M$10</definedName>
    <definedName name="alojamentos">Indiretos!$Q$200</definedName>
    <definedName name="alojamentos_valor">Indiretos!$P$200</definedName>
    <definedName name="AQE" localSheetId="6" hidden="1">{"'장비'!$A$3:$M$12"}</definedName>
    <definedName name="AQE" localSheetId="8" hidden="1">{"'장비'!$A$3:$M$12"}</definedName>
    <definedName name="AQE" hidden="1">{"'장비'!$A$3:$M$12"}</definedName>
    <definedName name="_xlnm.Print_Area" localSheetId="0">BDI!$C$1:$J$115</definedName>
    <definedName name="_xlnm.Print_Area" localSheetId="1">Indiretos!$D$30:$U$109</definedName>
    <definedName name="as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bdi">BDI!$H$39</definedName>
    <definedName name="canteiro_de_obras">Indiretos!$Q$234</definedName>
    <definedName name="canteiro_de_obras_valor">Indiretos!$P$234</definedName>
    <definedName name="Consultorias">Indiretos!$V$101</definedName>
    <definedName name="Consultorias_Valor">Indiretos!$V$101</definedName>
    <definedName name="controle_técnológico">Indiretos!$Q$499</definedName>
    <definedName name="controle_técnológico_valor">Indiretos!$P$499</definedName>
    <definedName name="custo_direto">BDI!$J$8</definedName>
    <definedName name="custo_direto_com_desconto_eventual">BDI!$J$8</definedName>
    <definedName name="custo_indireto">BDI!$J$14</definedName>
    <definedName name="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ata_base_da_obra">BDI!$J$6</definedName>
    <definedName name="D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6" hidden="1">{"'장비'!$A$3:$M$12"}</definedName>
    <definedName name="ddd" localSheetId="8" hidden="1">{"'장비'!$A$3:$M$12"}</definedName>
    <definedName name="ddd" hidden="1">{"'장비'!$A$3:$M$12"}</definedName>
    <definedName name="desoneração">BDI!$H$32</definedName>
    <definedName name="despesas_administrativas">Indiretos!$Q$309</definedName>
    <definedName name="despesas_administrativas_valor">Indiretos!$P$309</definedName>
    <definedName name="despesas_indiretas">BDI!$J$26</definedName>
    <definedName name="DFD" localSheetId="6" hidden="1">{#N/A,#N/A,FALSE,"명세표"}</definedName>
    <definedName name="DFD" localSheetId="8" hidden="1">{#N/A,#N/A,FALSE,"명세표"}</definedName>
    <definedName name="DFD" hidden="1">{#N/A,#N/A,FALSE,"명세표"}</definedName>
    <definedName name="dias_úteis_trabalhados">Indiretos!$K$11</definedName>
    <definedName name="dissídio_coletivo">Indiretos!$E$15</definedName>
    <definedName name="dkdkdkdkd" localSheetId="6" hidden="1">{#N/A,#N/A,FALSE,"명세표"}</definedName>
    <definedName name="dkdkdkdkd" localSheetId="8" hidden="1">{#N/A,#N/A,FALSE,"명세표"}</definedName>
    <definedName name="dkdkdkdkd" hidden="1">{#N/A,#N/A,FALSE,"명세표"}</definedName>
    <definedName name="domingos_trabalhados">Indiretos!$K$13</definedName>
    <definedName name="DY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fetivo_médio_dia">Indiretos!$AW$29</definedName>
    <definedName name="efetivo_médio_mes">BDI!$L$20</definedName>
    <definedName name="encargos_mensalista">Indiretos!$N$16</definedName>
    <definedName name="epi">Indiretos!$Q$455</definedName>
    <definedName name="epi_valor">Indiretos!$P$455</definedName>
    <definedName name="equipamentos">Indiretos!$Q$358</definedName>
    <definedName name="equipamentos_valor">Indiretos!$P$358</definedName>
    <definedName name="faturamento_anual">'Taxa de Comercialização'!$G$9</definedName>
    <definedName name="ferramentas">Indiretos!$Q$419</definedName>
    <definedName name="ferramentas_valor">Indiretos!$P$419</definedName>
    <definedName name="fgg" localSheetId="6" hidden="1">{"'장비'!$A$3:$M$12"}</definedName>
    <definedName name="fgg" localSheetId="8" hidden="1">{"'장비'!$A$3:$M$12"}</definedName>
    <definedName name="fgg" hidden="1">{"'장비'!$A$3:$M$12"}</definedName>
    <definedName name="FIELD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jfjg" localSheetId="6" hidden="1">{#N/A,#N/A,FALSE,"명세표"}</definedName>
    <definedName name="fjfjg" localSheetId="8" hidden="1">{#N/A,#N/A,FALSE,"명세표"}</definedName>
    <definedName name="fjfjg" hidden="1">{#N/A,#N/A,FALSE,"명세표"}</definedName>
    <definedName name="FKF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6" hidden="1">{"'장비'!$A$3:$M$12"}</definedName>
    <definedName name="gggg" localSheetId="8" hidden="1">{"'장비'!$A$3:$M$12"}</definedName>
    <definedName name="gggg" hidden="1">{"'장비'!$A$3:$M$12"}</definedName>
    <definedName name="gh" localSheetId="6" hidden="1">{"'장비'!$A$3:$M$12"}</definedName>
    <definedName name="gh" localSheetId="8" hidden="1">{"'장비'!$A$3:$M$12"}</definedName>
    <definedName name="gh" hidden="1">{"'장비'!$A$3:$M$12"}</definedName>
    <definedName name="ghkjh" localSheetId="6" hidden="1">{#N/A,#N/A,FALSE,"ENG'G(보호계전기)"}</definedName>
    <definedName name="ghkjh" localSheetId="8" hidden="1">{#N/A,#N/A,FALSE,"ENG'G(보호계전기)"}</definedName>
    <definedName name="ghkjh" hidden="1">{#N/A,#N/A,FALSE,"ENG'G(보호계전기)"}</definedName>
    <definedName name="hora_extra_dias_úteis" localSheetId="8">'[6]MDO - Indiretos'!$K$9</definedName>
    <definedName name="hora_extra_dias_úteis">Indiretos!$H$11</definedName>
    <definedName name="hora_extra_domingos" localSheetId="8">'[6]MDO - Indiretos'!$K$11</definedName>
    <definedName name="hora_extra_domingos">Indiretos!$H$13</definedName>
    <definedName name="hora_extra_mdo_direta" localSheetId="8">'[6]MDO - Indiretos'!$AH$108</definedName>
    <definedName name="hora_extra_mdo_direta">Indiretos!$AV$108</definedName>
    <definedName name="hora_extra_mdo_indireta" localSheetId="8">'[6]MDO - Indiretos'!$AH$107</definedName>
    <definedName name="hora_extra_mdo_indireta">Indiretos!$AV$107</definedName>
    <definedName name="hora_extra_sábados" localSheetId="8">'[6]MDO - Indiretos'!$K$10</definedName>
    <definedName name="hora_extra_sábados">Indiretos!$H$12</definedName>
    <definedName name="HTML_CodePage" hidden="1">949</definedName>
    <definedName name="HTML_Control" localSheetId="6" hidden="1">{"'장비'!$A$3:$M$12"}</definedName>
    <definedName name="HTML_Control" localSheetId="8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incidência_do_dissídio" localSheetId="8">'[6]MDO - Indiretos'!$K$13</definedName>
    <definedName name="incidência_do_dissídio">Indiretos!$H$15</definedName>
    <definedName name="Index" localSheetId="6" hidden="1">#REF!</definedName>
    <definedName name="Index" localSheetId="1" hidden="1">#REF!</definedName>
    <definedName name="Index" localSheetId="8" hidden="1">#REF!</definedName>
    <definedName name="Index" hidden="1">#REF!</definedName>
    <definedName name="ISS" localSheetId="8">[6]BDI!$H$37</definedName>
    <definedName name="ISS">BDI!$H$33</definedName>
    <definedName name="ITEM별상세업무분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jdjdjdjd" localSheetId="6" hidden="1">{#N/A,#N/A,FALSE,"명세표"}</definedName>
    <definedName name="jdjdjdjd" localSheetId="8" hidden="1">{#N/A,#N/A,FALSE,"명세표"}</definedName>
    <definedName name="jdjdjdjd" hidden="1">{#N/A,#N/A,FALSE,"명세표"}</definedName>
    <definedName name="juros_medio" localSheetId="8">'[6]Despesas Financeiras'!$D$16</definedName>
    <definedName name="juros_medio">'Despesas Financeiras'!$D$17</definedName>
    <definedName name="KDJU" localSheetId="6" hidden="1">{"'장비'!$A$3:$M$12"}</definedName>
    <definedName name="KDJU" localSheetId="8" hidden="1">{"'장비'!$A$3:$M$12"}</definedName>
    <definedName name="KDJU" hidden="1">{"'장비'!$A$3:$M$12"}</definedName>
    <definedName name="kjl" localSheetId="6" hidden="1">{#N/A,#N/A,FALSE,"ENG'G(보호계전기)"}</definedName>
    <definedName name="kjl" localSheetId="8" hidden="1">{#N/A,#N/A,FALSE,"ENG'G(보호계전기)"}</definedName>
    <definedName name="kjl" hidden="1">{#N/A,#N/A,FALSE,"ENG'G(보호계전기)"}</definedName>
    <definedName name="lis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ucro_liquido" localSheetId="8">[6]BDI!$H$40</definedName>
    <definedName name="lucro_liquido">BDI!$H$38</definedName>
    <definedName name="lucro_liquido_valor" localSheetId="8">[6]BDI!$J$40</definedName>
    <definedName name="lucro_liquido_valor">BDI!$J$38</definedName>
    <definedName name="materiais">BDI!$J$9</definedName>
    <definedName name="mdo">BDI!$J$10</definedName>
    <definedName name="mdo_direta_alojada" localSheetId="8">'[6]Refeições Transporte Alojamento'!$G$10</definedName>
    <definedName name="mdo_direta_alojada">Indiretos!$R$115</definedName>
    <definedName name="mdo_direta_não_alojada">Indiretos!$S$115</definedName>
    <definedName name="mdo_indireta">Indiretos!$V$107</definedName>
    <definedName name="mdo_indireta_valor" localSheetId="8">'[6]MDO - Indiretos'!$AD$107</definedName>
    <definedName name="mdo_indireta_valor">Indiretos!$AW$107</definedName>
    <definedName name="mdo_supervisão_alojada" localSheetId="8">'[6]Refeições Transporte Alojamento'!$G$11</definedName>
    <definedName name="mdo_supervisão_alojada">Indiretos!$R$116</definedName>
    <definedName name="mdo_supervisão_não_alojada">Indiretos!$S$116</definedName>
    <definedName name="média_coordenação" localSheetId="8">[6]BDI!$M$48</definedName>
    <definedName name="média_coordenação">BDI!$L$24</definedName>
    <definedName name="média_coordenação_alojada" localSheetId="8">'[6]Refeições Transporte Alojamento'!$G$12</definedName>
    <definedName name="média_coordenação_alojada">Indiretos!$R$117</definedName>
    <definedName name="média_coordenação_não_alojada" localSheetId="8">'[6]Refeições Transporte Alojamento'!$H$12</definedName>
    <definedName name="média_coordenação_não_alojada">Indiretos!$S$117</definedName>
    <definedName name="média_distancia_percorrida" localSheetId="6">'CHP - Auxiliar'!$AG$44</definedName>
    <definedName name="média_distancia_percorrida">'[6]CPU - auxiliar CHP'!$AG$38</definedName>
    <definedName name="média_mdo_direta_alojada" localSheetId="8">'[6]Refeições Transporte Alojamento'!$G$10</definedName>
    <definedName name="média_mdo_direta_alojada">Indiretos!$R$115</definedName>
    <definedName name="média_mdo_direta_nao_alojada" localSheetId="8">'[6]Refeições Transporte Alojamento'!$H$10</definedName>
    <definedName name="média_mdo_direta_nao_alojada">Indiretos!$S$115</definedName>
    <definedName name="média_mdo_supervisão_alojada" localSheetId="8">'[6]Refeições Transporte Alojamento'!$G$11</definedName>
    <definedName name="média_mdo_supervisão_alojada">Indiretos!$R$116</definedName>
    <definedName name="média_mdo_supervisão_nao_alojada" localSheetId="8">'[6]Refeições Transporte Alojamento'!$H$11</definedName>
    <definedName name="média_mdo_supervisão_nao_alojada">Indiretos!$S$116</definedName>
    <definedName name="média_salarial_ponderada" localSheetId="8">'[6]MDO - Indiretos'!$L$27</definedName>
    <definedName name="média_salarial_ponderada">Indiretos!$J$28</definedName>
    <definedName name="média_supervisão" localSheetId="8">[6]BDI!$M$46</definedName>
    <definedName name="média_supervisão">BDI!$L$22</definedName>
    <definedName name="media_tempo_viagem" localSheetId="6">'CHP - Auxiliar'!$AG$46</definedName>
    <definedName name="media_tempo_viagem">'[6]CPU - auxiliar CHP'!$AG$40</definedName>
    <definedName name="medicina_e_segurança_do_trabalho" localSheetId="8">'[6]MDO - Indiretos'!$AD$9</definedName>
    <definedName name="medicina_e_segurança_do_trabalho">Indiretos!$V$85</definedName>
    <definedName name="meses_obra" localSheetId="8">'[6]MDO - Indiretos'!$G$12</definedName>
    <definedName name="meses_obra">Indiretos!$E$14</definedName>
    <definedName name="mobilização_terceiros" localSheetId="8">'[6]MATERIAIS - Indiretos'!$L$15</definedName>
    <definedName name="mobilização_terceiros">Indiretos!$Q$485</definedName>
    <definedName name="mobilização_terceiros_valor">Indiretos!$P$485</definedName>
    <definedName name="montante_do_juros" localSheetId="8">'[6]Despesas Financeiras'!$D$10</definedName>
    <definedName name="montante_do_juros">'Despesas Financeiras'!$D$11</definedName>
    <definedName name="nome_da_obra" localSheetId="8">[6]BDI!$D$5</definedName>
    <definedName name="nome_da_obra">BDI!$D$6</definedName>
    <definedName name="ociosidade_por_dia" localSheetId="8">'[6]MDO - Indiretos'!$Q$13</definedName>
    <definedName name="ociosidade_por_dia">Indiretos!$N$15</definedName>
    <definedName name="ODH" localSheetId="6" hidden="1">#REF!</definedName>
    <definedName name="ODH" localSheetId="1" hidden="1">#REF!</definedName>
    <definedName name="ODH" localSheetId="8" hidden="1">#REF!</definedName>
    <definedName name="ODH" hidden="1">#REF!</definedName>
    <definedName name="overhau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ercentual_de_mdo_local">Indiretos!$H$16</definedName>
    <definedName name="percentual_de_transferencia">'[6]MDO - Indiretos'!$K$14</definedName>
    <definedName name="planilha_de_custo_materiais">[6]BDI!$J$9</definedName>
    <definedName name="planilha_de_custo_mdo">[6]BDI!$J$10</definedName>
    <definedName name="PN2건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rojetos_valor">Indiretos!$P$541</definedName>
    <definedName name="qkqh1" localSheetId="6" hidden="1">{#N/A,#N/A,FALSE,"명세표"}</definedName>
    <definedName name="qkqh1" localSheetId="8" hidden="1">{#N/A,#N/A,FALSE,"명세표"}</definedName>
    <definedName name="qkqh1" hidden="1">{#N/A,#N/A,FALSE,"명세표"}</definedName>
    <definedName name="QQ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QQQQQ" localSheetId="6" hidden="1">[7]PI!#REF!</definedName>
    <definedName name="QQQQQQQQ" localSheetId="1" hidden="1">[7]PI!#REF!</definedName>
    <definedName name="QQQQQQQQ" localSheetId="8" hidden="1">[7]PI!#REF!</definedName>
    <definedName name="QQQQQQQQ" hidden="1">[7]PI!#REF!</definedName>
    <definedName name="qtd_insumo">'[6]Base de preços 2017'!$P:$P</definedName>
    <definedName name="qtde_orçada">'[6]Orçamento BASE'!$M:$M</definedName>
    <definedName name="refeições" localSheetId="8">'[6]Refeições Transporte Alojamento'!$R$18</definedName>
    <definedName name="refeições">Indiretos!$Q$125</definedName>
    <definedName name="refeições_valor" localSheetId="8">'[6]Refeições Transporte Alojamento'!$O$18</definedName>
    <definedName name="refeições_valor">Indiretos!$P$125</definedName>
    <definedName name="rhdrmq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rrrr" localSheetId="6" hidden="1">{"'장비'!$A$3:$M$12"}</definedName>
    <definedName name="rrrrr" localSheetId="8" hidden="1">{"'장비'!$A$3:$M$12"}</definedName>
    <definedName name="rrrrr" hidden="1">{"'장비'!$A$3:$M$12"}</definedName>
    <definedName name="rrrrrrrr" localSheetId="6" hidden="1">{"'장비'!$A$3:$M$12"}</definedName>
    <definedName name="rrrrrrrr" localSheetId="8" hidden="1">{"'장비'!$A$3:$M$12"}</definedName>
    <definedName name="rrrrrrrr" hidden="1">{"'장비'!$A$3:$M$12"}</definedName>
    <definedName name="RTYE" localSheetId="6" hidden="1">{"'장비'!$A$3:$M$12"}</definedName>
    <definedName name="RTYE" localSheetId="8" hidden="1">{"'장비'!$A$3:$M$12"}</definedName>
    <definedName name="RTYE" hidden="1">{"'장비'!$A$3:$M$12"}</definedName>
    <definedName name="sa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ábados_trabalhados" localSheetId="8">'[6]MDO - Indiretos'!$N$10</definedName>
    <definedName name="sábados_trabalhados">Indiretos!$K$12</definedName>
    <definedName name="segurança_patrimonial" localSheetId="8">'[6]MDO - Indiretos'!$AD$12</definedName>
    <definedName name="segurança_patrimonial">Indiretos!$V$94</definedName>
    <definedName name="seguro_de_vida_coletivo">BDI!$J$100</definedName>
    <definedName name="serviços_técnicos" localSheetId="8">'[6]MATERIAIS - Indiretos'!$L$9</definedName>
    <definedName name="serviços_técnicos">Indiretos!$Q$519</definedName>
    <definedName name="serviços_técnicos_valor" localSheetId="8">'[6]MATERIAIS - Indiretos'!$Q$272</definedName>
    <definedName name="serviços_técnicos_valor">Indiretos!$P$519</definedName>
    <definedName name="solver_eng" localSheetId="8" hidden="1">1</definedName>
    <definedName name="solver_neg" localSheetId="8" hidden="1">1</definedName>
    <definedName name="solver_num" localSheetId="8" hidden="1">0</definedName>
    <definedName name="solver_opt" localSheetId="8" hidden="1">'Taxa de Comercialização'!$Q$17</definedName>
    <definedName name="solver_typ" localSheetId="8" hidden="1">1</definedName>
    <definedName name="solver_val" localSheetId="8" hidden="1">0</definedName>
    <definedName name="solver_ver" localSheetId="8" hidden="1">3</definedName>
    <definedName name="sp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R" localSheetId="6" hidden="1">#REF!</definedName>
    <definedName name="SR" localSheetId="1" hidden="1">#REF!</definedName>
    <definedName name="SR" localSheetId="8" hidden="1">#REF!</definedName>
    <definedName name="SR" hidden="1">#REF!</definedName>
    <definedName name="tarifa_media_vt" localSheetId="8">'[6]Refeições Transporte Alojamento'!$O$12</definedName>
    <definedName name="tarifa_media_vt">Indiretos!$H$119</definedName>
    <definedName name="taxa_comercialização" localSheetId="8">'Taxa de Comercialização'!$O$7</definedName>
    <definedName name="taxa_comercialização">BDI!$J$101</definedName>
    <definedName name="Taxa_de_risco" localSheetId="8">[6]BDI!$H$38</definedName>
    <definedName name="Taxa_de_risco">BDI!$H$34</definedName>
    <definedName name="taxa_financeira" localSheetId="8">'[6]Despesas Financeiras'!$G$13</definedName>
    <definedName name="taxa_financeira">'Despesas Financeiras'!$G$14</definedName>
    <definedName name="topografia" localSheetId="8">'[6]MDO - Indiretos'!$AD$15</definedName>
    <definedName name="topografia">Indiretos!$V$101</definedName>
    <definedName name="topografia_valor">Indiretos!$U$101</definedName>
    <definedName name="total_meses_obra">'[6]MDO - Indiretos'!$G$12</definedName>
    <definedName name="transf_diss_ocio_mdo_direta" localSheetId="8">'[6]MDO - Indiretos'!$AG$108</definedName>
    <definedName name="transf_diss_ocio_mdo_direta">Indiretos!$T$108</definedName>
    <definedName name="transf_diss_ocio_mdo_indireta" localSheetId="8">'[6]MDO - Indiretos'!$AG$107</definedName>
    <definedName name="transf_diss_ocio_mdo_indireta">Indiretos!$T$107</definedName>
    <definedName name="transportes" localSheetId="8">'[6]Refeições Transporte Alojamento'!$R$70</definedName>
    <definedName name="transportes">Indiretos!$Q$145</definedName>
    <definedName name="transportes_valor" localSheetId="8">'[6]Refeições Transporte Alojamento'!$O$70</definedName>
    <definedName name="transportes_valor">Indiretos!$P$145</definedName>
    <definedName name="treinamentos">Indiretos!$Q$465</definedName>
    <definedName name="treinamentos_valor" localSheetId="8">'[6]MATERIAIS - Indiretos'!$Q$287</definedName>
    <definedName name="treinamentos_valor">Indiretos!$P$465</definedName>
    <definedName name="tributos_fiscais" localSheetId="8">'[6]Tributos Fiscais'!$F$31</definedName>
    <definedName name="tributos_fiscais">'Tributos Fiscais'!$F$32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S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or_almoço" localSheetId="8">'[6]Refeições Transporte Alojamento'!$D$10</definedName>
    <definedName name="valor_almoço">Indiretos!$E$115</definedName>
    <definedName name="valor_café_da_manha" localSheetId="8">'[6]Refeições Transporte Alojamento'!$D$9</definedName>
    <definedName name="valor_café_da_manha">Indiretos!$E$114</definedName>
    <definedName name="valor_cesta_básica" localSheetId="8">'[6]Refeições Transporte Alojamento'!$D$13</definedName>
    <definedName name="valor_cesta_básica">Indiretos!$E$118</definedName>
    <definedName name="valor_de_venda" localSheetId="8">[6]BDI!$J$48</definedName>
    <definedName name="valor_de_venda">BDI!#REF!</definedName>
    <definedName name="valor_de_venda1">BDI!$J$45</definedName>
    <definedName name="valor_de_venda2">BDI!$J$53</definedName>
    <definedName name="valor_de_venda3">BDI!#REF!</definedName>
    <definedName name="valor_diária_coordenação" localSheetId="8">'[6]Refeições Transporte Alojamento'!$I$12</definedName>
    <definedName name="valor_diária_coordenação">Indiretos!$K$116</definedName>
    <definedName name="valor_diária_hotel" localSheetId="8">'[6]Refeições Transporte Alojamento'!$I$11</definedName>
    <definedName name="valor_diária_hotel">Indiretos!$K$115</definedName>
    <definedName name="valor_diária_pensão" localSheetId="8">'[6]Refeições Transporte Alojamento'!$I$10</definedName>
    <definedName name="valor_diária_pensão">Indiretos!$K$114</definedName>
    <definedName name="valor_diária_supervisão" localSheetId="8">'[6]Refeições Transporte Alojamento'!$I$11</definedName>
    <definedName name="valor_diária_supervisão">Indiretos!$K$115</definedName>
    <definedName name="valor_diesel" localSheetId="6">'CHP - Auxiliar'!$AA$9</definedName>
    <definedName name="valor_diesel">'[6]CPU - auxiliar CHP'!$AA$8</definedName>
    <definedName name="valor_etanol" localSheetId="6">'CHP - Auxiliar'!$AA$11</definedName>
    <definedName name="valor_gasolina" localSheetId="6">'CHP - Auxiliar'!$AA$10</definedName>
    <definedName name="valor_janta" localSheetId="8">'[6]Refeições Transporte Alojamento'!$D$12</definedName>
    <definedName name="valor_janta">Indiretos!$E$117</definedName>
    <definedName name="valor_lanche_da_tarde" localSheetId="8">'[6]Refeições Transporte Alojamento'!$D$11</definedName>
    <definedName name="valor_lanche_da_tarde">Indiretos!$E$116</definedName>
    <definedName name="valor_total_financiamento">'Despesas Financeiras'!$G$8</definedName>
    <definedName name="valv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E" localSheetId="6" hidden="1">[8]PI!#REF!</definedName>
    <definedName name="WE" localSheetId="1" hidden="1">[8]PI!#REF!</definedName>
    <definedName name="WE" localSheetId="8" hidden="1">[8]PI!#REF!</definedName>
    <definedName name="WE" hidden="1">[8]PI!#REF!</definedName>
    <definedName name="win.VESSEL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LQ" localSheetId="6" hidden="1">{#N/A,#N/A,FALSE,"명세표"}</definedName>
    <definedName name="WLQ" localSheetId="8" hidden="1">{#N/A,#N/A,FALSE,"명세표"}</definedName>
    <definedName name="WLQ" hidden="1">{#N/A,#N/A,FALSE,"명세표"}</definedName>
    <definedName name="wrn.MGM機器リスト." localSheetId="6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8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PrintAll." localSheetId="6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8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6" hidden="1">{#N/A,#N/A,FALSE,"Sheet1";#N/A,#N/A,FALSE,"Sheet2";#N/A,#N/A,FALSE,"Sheet3"}</definedName>
    <definedName name="wrn.PrintCurr." localSheetId="8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6" hidden="1">{#N/A,#N/A,FALSE,"Sheet4";#N/A,#N/A,FALSE,"Sheet5";#N/A,#N/A,FALSE,"Sheet6"}</definedName>
    <definedName name="wrn.PrintPrev1." localSheetId="8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6" hidden="1">{#N/A,#N/A,FALSE,"Sheet7";#N/A,#N/A,FALSE,"Sheet8";#N/A,#N/A,FALSE,"Sheet9"}</definedName>
    <definedName name="wrn.PrintPrev2." localSheetId="8" hidden="1">{#N/A,#N/A,FALSE,"Sheet7";#N/A,#N/A,FALSE,"Sheet8";#N/A,#N/A,FALSE,"Sheet9"}</definedName>
    <definedName name="wrn.PrintPrev2." hidden="1">{#N/A,#N/A,FALSE,"Sheet7";#N/A,#N/A,FALSE,"Sheet8";#N/A,#N/A,FALSE,"Sheet9"}</definedName>
    <definedName name="wrn.REPORT." localSheetId="6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8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test1." localSheetId="6" hidden="1">{#N/A,#N/A,FALSE,"명세표"}</definedName>
    <definedName name="wrn.test1." localSheetId="8" hidden="1">{#N/A,#N/A,FALSE,"명세표"}</definedName>
    <definedName name="wrn.test1." hidden="1">{#N/A,#N/A,FALSE,"명세표"}</definedName>
    <definedName name="wrn.VESSEL및N2._.구입사양서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6" hidden="1">{#N/A,#N/A,FALSE,"Sheet1";#N/A,#N/A,FALSE,"Sheet2";#N/A,#N/A,FALSE,"TAB96-1"}</definedName>
    <definedName name="wrn.견적." localSheetId="8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6" hidden="1">{#N/A,#N/A,FALSE,"ENG'G(보호계전기)"}</definedName>
    <definedName name="wrn.보호계전기." localSheetId="8" hidden="1">{#N/A,#N/A,FALSE,"ENG'G(보호계전기)"}</definedName>
    <definedName name="wrn.보호계전기." hidden="1">{#N/A,#N/A,FALSE,"ENG'G(보호계전기)"}</definedName>
    <definedName name="wrn.현장._.NCR._.분석." localSheetId="6" hidden="1">{#N/A,#N/A,FALSE,"현장 NCR 분석";#N/A,#N/A,FALSE,"현장품질감사";#N/A,#N/A,FALSE,"현장품질감사"}</definedName>
    <definedName name="wrn.현장._.NCR._.분석." localSheetId="8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S" localSheetId="6" hidden="1">{"'장비'!$A$3:$M$12"}</definedName>
    <definedName name="WRS" localSheetId="8" hidden="1">{"'장비'!$A$3:$M$12"}</definedName>
    <definedName name="WRS" hidden="1">{"'장비'!$A$3:$M$12"}</definedName>
    <definedName name="ww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6" hidden="1">{"'장비'!$A$3:$M$12"}</definedName>
    <definedName name="ㄱㄷㄱㄷㄱㄱㅎㄺㄷ" localSheetId="8" hidden="1">{"'장비'!$A$3:$M$12"}</definedName>
    <definedName name="ㄱㄷㄱㄷㄱㄱㅎㄺㄷ" hidden="1">{"'장비'!$A$3:$M$12"}</definedName>
    <definedName name="가나다" localSheetId="6" hidden="1">#REF!</definedName>
    <definedName name="가나다" localSheetId="1" hidden="1">#REF!</definedName>
    <definedName name="가나다" localSheetId="8" hidden="1">#REF!</definedName>
    <definedName name="가나다" hidden="1">#REF!</definedName>
    <definedName name="검증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6" hidden="1">[9]산근!#REF!</definedName>
    <definedName name="견적조건" localSheetId="1" hidden="1">[9]산근!#REF!</definedName>
    <definedName name="견적조건" localSheetId="8" hidden="1">[9]산근!#REF!</definedName>
    <definedName name="견적조건" hidden="1">[9]산근!#REF!</definedName>
    <definedName name="고문" localSheetId="6" hidden="1">{#N/A,#N/A,FALSE,"현장 NCR 분석";#N/A,#N/A,FALSE,"현장품질감사";#N/A,#N/A,FALSE,"현장품질감사"}</definedName>
    <definedName name="고문" localSheetId="8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6" hidden="1">{#N/A,#N/A,FALSE,"현장 NCR 분석";#N/A,#N/A,FALSE,"현장품질감사";#N/A,#N/A,FALSE,"현장품질감사"}</definedName>
    <definedName name="고문2" localSheetId="8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6" hidden="1">{#N/A,#N/A,FALSE,"ENG'G(보호계전기)"}</definedName>
    <definedName name="공급구분표_수정" localSheetId="8" hidden="1">{#N/A,#N/A,FALSE,"ENG'G(보호계전기)"}</definedName>
    <definedName name="공급구분표_수정" hidden="1">{#N/A,#N/A,FALSE,"ENG'G(보호계전기)"}</definedName>
    <definedName name="공급표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6" hidden="1">[10]PI!#REF!</definedName>
    <definedName name="ㄴㄴㄴㄴ" localSheetId="1" hidden="1">[10]PI!#REF!</definedName>
    <definedName name="ㄴㄴㄴㄴ" localSheetId="8" hidden="1">[10]PI!#REF!</definedName>
    <definedName name="ㄴㄴㄴㄴ" hidden="1">[10]PI!#REF!</definedName>
    <definedName name="ㄷㄳ" localSheetId="6" hidden="1">{"'장비'!$A$3:$M$12"}</definedName>
    <definedName name="ㄷㄳ" localSheetId="8" hidden="1">{"'장비'!$A$3:$M$12"}</definedName>
    <definedName name="ㄷㄳ" hidden="1">{"'장비'!$A$3:$M$12"}</definedName>
    <definedName name="ㄷㄷㄷㄷ" localSheetId="6" hidden="1">{"'장비'!$A$3:$M$12"}</definedName>
    <definedName name="ㄷㄷㄷㄷ" localSheetId="8" hidden="1">{"'장비'!$A$3:$M$12"}</definedName>
    <definedName name="ㄷㄷㄷㄷ" hidden="1">{"'장비'!$A$3:$M$12"}</definedName>
    <definedName name="ㄷㅈㅂㄷ" localSheetId="6" hidden="1">{"'장비'!$A$3:$M$12"}</definedName>
    <definedName name="ㄷㅈㅂㄷ" localSheetId="8" hidden="1">{"'장비'!$A$3:$M$12"}</definedName>
    <definedName name="ㄷㅈㅂㄷ" hidden="1">{"'장비'!$A$3:$M$12"}</definedName>
    <definedName name="ㄹㄹ" localSheetId="6" hidden="1">{"'장비'!$A$3:$M$12"}</definedName>
    <definedName name="ㄹㄹ" localSheetId="8" hidden="1">{"'장비'!$A$3:$M$12"}</definedName>
    <definedName name="ㄹㄹ" hidden="1">{"'장비'!$A$3:$M$12"}</definedName>
    <definedName name="ㄹㄹㄹ" localSheetId="6" hidden="1">#REF!</definedName>
    <definedName name="ㄹㄹㄹ" localSheetId="1" hidden="1">#REF!</definedName>
    <definedName name="ㄹㄹㄹ" localSheetId="8" hidden="1">#REF!</definedName>
    <definedName name="ㄹㄹㄹ" hidden="1">#REF!</definedName>
    <definedName name="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6" hidden="1">{#N/A,#N/A,FALSE,"현장 NCR 분석";#N/A,#N/A,FALSE,"현장품질감사";#N/A,#N/A,FALSE,"현장품질감사"}</definedName>
    <definedName name="러러러" localSheetId="8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6" hidden="1">{#N/A,#N/A,FALSE,"명세표"}</definedName>
    <definedName name="ㅁ" localSheetId="8" hidden="1">{#N/A,#N/A,FALSE,"명세표"}</definedName>
    <definedName name="ㅁ" hidden="1">{#N/A,#N/A,FALSE,"명세표"}</definedName>
    <definedName name="ㅁㄱ해ㅜ5" localSheetId="6" hidden="1">[11]PI!#REF!</definedName>
    <definedName name="ㅁㄱ해ㅜ5" localSheetId="1" hidden="1">[11]PI!#REF!</definedName>
    <definedName name="ㅁㄱ해ㅜ5" localSheetId="8" hidden="1">[11]PI!#REF!</definedName>
    <definedName name="ㅁㄱ해ㅜ5" hidden="1">[11]PI!#REF!</definedName>
    <definedName name="ㅁ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6" hidden="1">{#N/A,#N/A,FALSE,"명세표"}</definedName>
    <definedName name="ㅁㅁ" localSheetId="8" hidden="1">{#N/A,#N/A,FALSE,"명세표"}</definedName>
    <definedName name="ㅁㅁ" hidden="1">{#N/A,#N/A,FALSE,"명세표"}</definedName>
    <definedName name="ㅁㅁㅁ" localSheetId="6" hidden="1">#REF!</definedName>
    <definedName name="ㅁㅁㅁ" localSheetId="1" hidden="1">#REF!</definedName>
    <definedName name="ㅁㅁㅁ" localSheetId="8" hidden="1">#REF!</definedName>
    <definedName name="ㅁㅁㅁ" hidden="1">#REF!</definedName>
    <definedName name="ㅁㅁㅁㅁㅁㅁㅁㅁㅁㅁㅁㅁ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6" hidden="1">{#N/A,#N/A,FALSE,"명세표"}</definedName>
    <definedName name="머" localSheetId="8" hidden="1">{#N/A,#N/A,FALSE,"명세표"}</definedName>
    <definedName name="머" hidden="1">{#N/A,#N/A,FALSE,"명세표"}</definedName>
    <definedName name="ㅂㅂㅂㅂ" localSheetId="6" hidden="1">{#N/A,#N/A,FALSE,"명세표"}</definedName>
    <definedName name="ㅂㅂㅂㅂ" localSheetId="8" hidden="1">{#N/A,#N/A,FALSE,"명세표"}</definedName>
    <definedName name="ㅂㅂㅂㅂ" hidden="1">{#N/A,#N/A,FALSE,"명세표"}</definedName>
    <definedName name="ㅂㅂㅂㅂㅂㅂㅂ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6" hidden="1">{"'장비'!$A$3:$M$12"}</definedName>
    <definedName name="ㅂㅈㄱㅂㅈㄷㄱ" localSheetId="8" hidden="1">{"'장비'!$A$3:$M$12"}</definedName>
    <definedName name="ㅂㅈㄱㅂㅈㄷㄱ" hidden="1">{"'장비'!$A$3:$M$12"}</definedName>
    <definedName name="ㅂㅈㄷ" localSheetId="6" hidden="1">{"'장비'!$A$3:$M$12"}</definedName>
    <definedName name="ㅂㅈㄷ" localSheetId="8" hidden="1">{"'장비'!$A$3:$M$12"}</definedName>
    <definedName name="ㅂㅈㄷ" hidden="1">{"'장비'!$A$3:$M$12"}</definedName>
    <definedName name="ㅂㅈㄷㄷㅂㅈㅈㅂ" localSheetId="6" hidden="1">{"'장비'!$A$3:$M$12"}</definedName>
    <definedName name="ㅂㅈㄷㄷㅂㅈㅈㅂ" localSheetId="8" hidden="1">{"'장비'!$A$3:$M$12"}</definedName>
    <definedName name="ㅂㅈㄷㄷㅂㅈㅈㅂ" hidden="1">{"'장비'!$A$3:$M$12"}</definedName>
    <definedName name="ㅂㅈㄷㅂㅈ" localSheetId="6" hidden="1">{"'장비'!$A$3:$M$12"}</definedName>
    <definedName name="ㅂㅈㄷㅂㅈ" localSheetId="8" hidden="1">{"'장비'!$A$3:$M$12"}</definedName>
    <definedName name="ㅂㅈㄷㅂㅈ" hidden="1">{"'장비'!$A$3:$M$12"}</definedName>
    <definedName name="ㅂㅈㄷㅂㅈㅈㅂㄷ" localSheetId="6" hidden="1">{"'장비'!$A$3:$M$12"}</definedName>
    <definedName name="ㅂㅈㄷㅂㅈㅈㅂㄷ" localSheetId="8" hidden="1">{"'장비'!$A$3:$M$12"}</definedName>
    <definedName name="ㅂㅈㄷㅂㅈㅈㅂㄷ" hidden="1">{"'장비'!$A$3:$M$12"}</definedName>
    <definedName name="ㅂㅈㄷㅈㅂㄷ" localSheetId="6" hidden="1">{"'장비'!$A$3:$M$12"}</definedName>
    <definedName name="ㅂㅈㄷㅈㅂㄷ" localSheetId="8" hidden="1">{"'장비'!$A$3:$M$12"}</definedName>
    <definedName name="ㅂㅈㄷㅈㅂㄷ" hidden="1">{"'장비'!$A$3:$M$12"}</definedName>
    <definedName name="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호" localSheetId="6" hidden="1">{#N/A,#N/A,FALSE,"ENG'G(보호계전기)"}</definedName>
    <definedName name="보호" localSheetId="8" hidden="1">{#N/A,#N/A,FALSE,"ENG'G(보호계전기)"}</definedName>
    <definedName name="보호" hidden="1">{#N/A,#N/A,FALSE,"ENG'G(보호계전기)"}</definedName>
    <definedName name="본공사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6" hidden="1">#REF!</definedName>
    <definedName name="부대공사" localSheetId="1" hidden="1">#REF!</definedName>
    <definedName name="부대공사" localSheetId="8" hidden="1">#REF!</definedName>
    <definedName name="부대공사" hidden="1">#REF!</definedName>
    <definedName name="부손익" localSheetId="6" hidden="1">{#N/A,#N/A,FALSE,"현장 NCR 분석";#N/A,#N/A,FALSE,"현장품질감사";#N/A,#N/A,FALSE,"현장품질감사"}</definedName>
    <definedName name="부손익" localSheetId="8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6" hidden="1">{"'장비'!$A$3:$M$12"}</definedName>
    <definedName name="ㅅㄱㄱㄷ" localSheetId="8" hidden="1">{"'장비'!$A$3:$M$12"}</definedName>
    <definedName name="ㅅㄱㄱㄷ" hidden="1">{"'장비'!$A$3:$M$12"}</definedName>
    <definedName name="ㅅㅅㅅㅅㅅ" localSheetId="6" hidden="1">{"'장비'!$A$3:$M$12"}</definedName>
    <definedName name="ㅅㅅㅅㅅㅅ" localSheetId="8" hidden="1">{"'장비'!$A$3:$M$12"}</definedName>
    <definedName name="ㅅㅅㅅㅅㅅ" hidden="1">{"'장비'!$A$3:$M$12"}</definedName>
    <definedName name="사업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석항" localSheetId="6" hidden="1">{#N/A,#N/A,FALSE,"명세표"}</definedName>
    <definedName name="석항" localSheetId="8" hidden="1">{#N/A,#N/A,FALSE,"명세표"}</definedName>
    <definedName name="석항" hidden="1">{#N/A,#N/A,FALSE,"명세표"}</definedName>
    <definedName name="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쇼ㅗㅎ로" localSheetId="6" hidden="1">{"'장비'!$A$3:$M$12"}</definedName>
    <definedName name="쇼ㅗㅎ로" localSheetId="8" hidden="1">{"'장비'!$A$3:$M$12"}</definedName>
    <definedName name="쇼ㅗㅎ로" hidden="1">{"'장비'!$A$3:$M$12"}</definedName>
    <definedName name="수" localSheetId="6" hidden="1">#REF!</definedName>
    <definedName name="수" localSheetId="1" hidden="1">#REF!</definedName>
    <definedName name="수" localSheetId="8" hidden="1">#REF!</definedName>
    <definedName name="수" hidden="1">#REF!</definedName>
    <definedName name="신설" localSheetId="6" hidden="1">{#N/A,#N/A,FALSE,"명세표"}</definedName>
    <definedName name="신설" localSheetId="8" hidden="1">{#N/A,#N/A,FALSE,"명세표"}</definedName>
    <definedName name="신설" hidden="1">{#N/A,#N/A,FALSE,"명세표"}</definedName>
    <definedName name="ㅇㄹㄹ" localSheetId="6" hidden="1">#REF!</definedName>
    <definedName name="ㅇㄹㄹ" localSheetId="1" hidden="1">#REF!</definedName>
    <definedName name="ㅇㄹㄹ" localSheetId="8" hidden="1">#REF!</definedName>
    <definedName name="ㅇㄹㄹ" hidden="1">#REF!</definedName>
    <definedName name="ㅇㅇ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6" hidden="1">[12]PI!#REF!</definedName>
    <definedName name="ㅇㅇㅇㅇ" localSheetId="1" hidden="1">[12]PI!#REF!</definedName>
    <definedName name="ㅇㅇㅇㅇ" localSheetId="8" hidden="1">[12]PI!#REF!</definedName>
    <definedName name="ㅇㅇㅇㅇ" hidden="1">[12]PI!#REF!</definedName>
    <definedName name="양식변경12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6" hidden="1">{#N/A,#N/A,FALSE,"명세표"}</definedName>
    <definedName name="ㅈ" localSheetId="8" hidden="1">{#N/A,#N/A,FALSE,"명세표"}</definedName>
    <definedName name="ㅈ" hidden="1">{#N/A,#N/A,FALSE,"명세표"}</definedName>
    <definedName name="ㅈㅈㅈㅈ" localSheetId="6" hidden="1">{#N/A,#N/A,FALSE,"명세표"}</definedName>
    <definedName name="ㅈㅈㅈㅈ" localSheetId="8" hidden="1">{#N/A,#N/A,FALSE,"명세표"}</definedName>
    <definedName name="ㅈㅈㅈㅈ" hidden="1">{#N/A,#N/A,FALSE,"명세표"}</definedName>
    <definedName name="자미" localSheetId="6" hidden="1">{#N/A,#N/A,FALSE,"명세표"}</definedName>
    <definedName name="자미" localSheetId="8" hidden="1">{#N/A,#N/A,FALSE,"명세표"}</definedName>
    <definedName name="자미" hidden="1">{#N/A,#N/A,FALSE,"명세표"}</definedName>
    <definedName name="자재3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6" hidden="1">#REF!</definedName>
    <definedName name="전선조장" localSheetId="1" hidden="1">#REF!</definedName>
    <definedName name="전선조장" localSheetId="8" hidden="1">#REF!</definedName>
    <definedName name="전선조장" hidden="1">#REF!</definedName>
    <definedName name="종합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6" hidden="1">{#N/A,#N/A,FALSE,"ENG'G(보호계전기)"}</definedName>
    <definedName name="중량비교검토" localSheetId="8" hidden="1">{#N/A,#N/A,FALSE,"ENG'G(보호계전기)"}</definedName>
    <definedName name="중량비교검토" hidden="1">{#N/A,#N/A,FALSE,"ENG'G(보호계전기)"}</definedName>
    <definedName name="집계" localSheetId="6" hidden="1">{#N/A,#N/A,FALSE,"명세표"}</definedName>
    <definedName name="집계" localSheetId="8" hidden="1">{#N/A,#N/A,FALSE,"명세표"}</definedName>
    <definedName name="집계" hidden="1">{#N/A,#N/A,FALSE,"명세표"}</definedName>
    <definedName name="철골공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6" hidden="1">{#N/A,#N/A,FALSE,"명세표"}</definedName>
    <definedName name="ㅋㅁ" localSheetId="8" hidden="1">{#N/A,#N/A,FALSE,"명세표"}</definedName>
    <definedName name="ㅋㅁ" hidden="1">{#N/A,#N/A,FALSE,"명세표"}</definedName>
    <definedName name="ㅋㅋㅋ" localSheetId="6" hidden="1">{#N/A,#N/A,FALSE,"명세표"}</definedName>
    <definedName name="ㅋㅋㅋ" localSheetId="8" hidden="1">{#N/A,#N/A,FALSE,"명세표"}</definedName>
    <definedName name="ㅋㅋㅋ" hidden="1">{#N/A,#N/A,FALSE,"명세표"}</definedName>
    <definedName name="ㅌㅌ" localSheetId="6" hidden="1">{#N/A,#N/A,FALSE,"명세표"}</definedName>
    <definedName name="ㅌㅌ" localSheetId="8" hidden="1">{#N/A,#N/A,FALSE,"명세표"}</definedName>
    <definedName name="ㅌㅌ" hidden="1">{#N/A,#N/A,FALSE,"명세표"}</definedName>
    <definedName name="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6" hidden="1">{"'장비'!$A$3:$M$12"}</definedName>
    <definedName name="ㅎㅎㅎㅎ" localSheetId="8" hidden="1">{"'장비'!$A$3:$M$12"}</definedName>
    <definedName name="ㅎㅎㅎㅎ" hidden="1">{"'장비'!$A$3:$M$12"}</definedName>
    <definedName name="하하하" localSheetId="6" hidden="1">{#N/A,#N/A,FALSE,"명세표"}</definedName>
    <definedName name="하하하" localSheetId="8" hidden="1">{#N/A,#N/A,FALSE,"명세표"}</definedName>
    <definedName name="하하하" hidden="1">{#N/A,#N/A,FALSE,"명세표"}</definedName>
    <definedName name="한국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6" hidden="1">{#N/A,#N/A,FALSE,"명세표"}</definedName>
    <definedName name="호호호" localSheetId="8" hidden="1">{#N/A,#N/A,FALSE,"명세표"}</definedName>
    <definedName name="호호호" hidden="1">{#N/A,#N/A,FALSE,"명세표"}</definedName>
    <definedName name="ㅏㅏㅏ" localSheetId="6" hidden="1">{#N/A,#N/A,FALSE,"명세표"}</definedName>
    <definedName name="ㅏㅏㅏ" localSheetId="8" hidden="1">{#N/A,#N/A,FALSE,"명세표"}</definedName>
    <definedName name="ㅏㅏㅏ" hidden="1">{#N/A,#N/A,FALSE,"명세표"}</definedName>
    <definedName name="ㅔㅔ" localSheetId="6" hidden="1">{#N/A,#N/A,FALSE,"명세표"}</definedName>
    <definedName name="ㅔㅔ" localSheetId="8" hidden="1">{#N/A,#N/A,FALSE,"명세표"}</definedName>
    <definedName name="ㅔㅔ" hidden="1">{#N/A,#N/A,FALSE,"명세표"}</definedName>
    <definedName name="ㅔㅔㅔㅔㅔ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6" hidden="1">{"'장비'!$A$3:$M$12"}</definedName>
    <definedName name="ㅗ홓ㅎ로" localSheetId="8" hidden="1">{"'장비'!$A$3:$M$12"}</definedName>
    <definedName name="ㅗ홓ㅎ로" hidden="1">{"'장비'!$A$3:$M$12"}</definedName>
    <definedName name="ㅗㅗ" localSheetId="6" hidden="1">{#N/A,#N/A,FALSE,"명세표"}</definedName>
    <definedName name="ㅗㅗ" localSheetId="8" hidden="1">{#N/A,#N/A,FALSE,"명세표"}</definedName>
    <definedName name="ㅗㅗ" hidden="1">{#N/A,#N/A,FALSE,"명세표"}</definedName>
    <definedName name="ㅗㅗㅗㅗㅗ" localSheetId="6" hidden="1">{"'장비'!$A$3:$M$12"}</definedName>
    <definedName name="ㅗㅗㅗㅗㅗ" localSheetId="8" hidden="1">{"'장비'!$A$3:$M$12"}</definedName>
    <definedName name="ㅗㅗㅗㅗㅗ" hidden="1">{"'장비'!$A$3:$M$12"}</definedName>
    <definedName name="ㅛ" localSheetId="6" hidden="1">{"'장비'!$A$3:$M$12"}</definedName>
    <definedName name="ㅛ" localSheetId="8" hidden="1">{"'장비'!$A$3:$M$12"}</definedName>
    <definedName name="ㅛ" hidden="1">{"'장비'!$A$3:$M$12"}</definedName>
    <definedName name="ㅛㅕㅛㅕㅛ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6" hidden="1">{"'장비'!$A$3:$M$12"}</definedName>
    <definedName name="ㅛㅛㅛ" localSheetId="8" hidden="1">{"'장비'!$A$3:$M$12"}</definedName>
    <definedName name="ㅛㅛㅛ" hidden="1">{"'장비'!$A$3:$M$12"}</definedName>
    <definedName name="ㅜ" localSheetId="6" hidden="1">{#N/A,#N/A,FALSE,"명세표"}</definedName>
    <definedName name="ㅜ" localSheetId="8" hidden="1">{#N/A,#N/A,FALSE,"명세표"}</definedName>
    <definedName name="ㅜ" hidden="1">{#N/A,#N/A,FALSE,"명세표"}</definedName>
    <definedName name="ㅠㅠ" localSheetId="6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8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6" hidden="1">{#N/A,#N/A,FALSE,"명세표"}</definedName>
    <definedName name="ㅡㅡ" localSheetId="8" hidden="1">{#N/A,#N/A,FALSE,"명세표"}</definedName>
    <definedName name="ㅡㅡ" hidden="1">{#N/A,#N/A,FALSE,"명세표"}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162" l="1"/>
  <c r="H6" i="162"/>
  <c r="E11" i="163"/>
  <c r="O302" i="163"/>
  <c r="M23" i="163"/>
  <c r="M25" i="163" s="1"/>
  <c r="M22" i="163"/>
  <c r="M24" i="163" s="1"/>
  <c r="H210" i="172" l="1"/>
  <c r="L199" i="172" l="1"/>
  <c r="L183" i="172"/>
  <c r="L167" i="172"/>
  <c r="L151" i="172"/>
  <c r="L135" i="172"/>
  <c r="L119" i="172"/>
  <c r="L197" i="172"/>
  <c r="L149" i="172"/>
  <c r="L117" i="172"/>
  <c r="L148" i="172"/>
  <c r="L179" i="172"/>
  <c r="L147" i="172"/>
  <c r="L198" i="172"/>
  <c r="L182" i="172"/>
  <c r="L166" i="172"/>
  <c r="L150" i="172"/>
  <c r="L134" i="172"/>
  <c r="L118" i="172"/>
  <c r="L181" i="172"/>
  <c r="L165" i="172"/>
  <c r="L133" i="172"/>
  <c r="L132" i="172"/>
  <c r="L195" i="172"/>
  <c r="L131" i="172"/>
  <c r="L196" i="172"/>
  <c r="L180" i="172"/>
  <c r="L164" i="172"/>
  <c r="L116" i="172"/>
  <c r="L163" i="172"/>
  <c r="L194" i="172"/>
  <c r="L178" i="172"/>
  <c r="L162" i="172"/>
  <c r="L146" i="172"/>
  <c r="L130" i="172"/>
  <c r="L114" i="172"/>
  <c r="L193" i="172"/>
  <c r="L177" i="172"/>
  <c r="L161" i="172"/>
  <c r="L145" i="172"/>
  <c r="L129" i="172"/>
  <c r="L113" i="172"/>
  <c r="L192" i="172"/>
  <c r="L176" i="172"/>
  <c r="L160" i="172"/>
  <c r="L144" i="172"/>
  <c r="L128" i="172"/>
  <c r="L112" i="172"/>
  <c r="L191" i="172"/>
  <c r="L175" i="172"/>
  <c r="L159" i="172"/>
  <c r="L143" i="172"/>
  <c r="L127" i="172"/>
  <c r="L111" i="172"/>
  <c r="L124" i="172"/>
  <c r="L139" i="172"/>
  <c r="L168" i="172"/>
  <c r="L115" i="172"/>
  <c r="L190" i="172"/>
  <c r="L174" i="172"/>
  <c r="L158" i="172"/>
  <c r="L142" i="172"/>
  <c r="L126" i="172"/>
  <c r="L110" i="172"/>
  <c r="L140" i="172"/>
  <c r="L155" i="172"/>
  <c r="L107" i="172"/>
  <c r="L120" i="172"/>
  <c r="L189" i="172"/>
  <c r="L173" i="172"/>
  <c r="L157" i="172"/>
  <c r="L141" i="172"/>
  <c r="L125" i="172"/>
  <c r="L109" i="172"/>
  <c r="L188" i="172"/>
  <c r="L172" i="172"/>
  <c r="L156" i="172"/>
  <c r="L108" i="172"/>
  <c r="L184" i="172"/>
  <c r="L187" i="172"/>
  <c r="L171" i="172"/>
  <c r="L123" i="172"/>
  <c r="L136" i="172"/>
  <c r="L186" i="172"/>
  <c r="L170" i="172"/>
  <c r="L154" i="172"/>
  <c r="L138" i="172"/>
  <c r="L122" i="172"/>
  <c r="L185" i="172"/>
  <c r="L169" i="172"/>
  <c r="L153" i="172"/>
  <c r="L137" i="172"/>
  <c r="L121" i="172"/>
  <c r="L152" i="172"/>
  <c r="J46" i="162"/>
  <c r="L88" i="172"/>
  <c r="L72" i="172"/>
  <c r="L87" i="172"/>
  <c r="L71" i="172"/>
  <c r="L55" i="172"/>
  <c r="L106" i="172"/>
  <c r="L90" i="172"/>
  <c r="L86" i="172"/>
  <c r="L70" i="172"/>
  <c r="L54" i="172"/>
  <c r="L105" i="172"/>
  <c r="L57" i="172"/>
  <c r="L85" i="172"/>
  <c r="L69" i="172"/>
  <c r="L53" i="172"/>
  <c r="L104" i="172"/>
  <c r="L52" i="172"/>
  <c r="L103" i="172"/>
  <c r="L46" i="172"/>
  <c r="L76" i="172"/>
  <c r="L58" i="172"/>
  <c r="L84" i="172"/>
  <c r="L68" i="172"/>
  <c r="L61" i="172"/>
  <c r="L95" i="172"/>
  <c r="L92" i="172"/>
  <c r="L83" i="172"/>
  <c r="L67" i="172"/>
  <c r="L51" i="172"/>
  <c r="L102" i="172"/>
  <c r="L66" i="172"/>
  <c r="L50" i="172"/>
  <c r="L101" i="172"/>
  <c r="L96" i="172"/>
  <c r="L203" i="172"/>
  <c r="L200" i="172"/>
  <c r="L82" i="172"/>
  <c r="L56" i="172"/>
  <c r="L81" i="172"/>
  <c r="L65" i="172"/>
  <c r="L49" i="172"/>
  <c r="L100" i="172"/>
  <c r="L47" i="172"/>
  <c r="L62" i="172"/>
  <c r="L205" i="172"/>
  <c r="L94" i="172"/>
  <c r="L91" i="172"/>
  <c r="L80" i="172"/>
  <c r="L64" i="172"/>
  <c r="L48" i="172"/>
  <c r="L99" i="172"/>
  <c r="L63" i="172"/>
  <c r="L98" i="172"/>
  <c r="L97" i="172"/>
  <c r="L204" i="172"/>
  <c r="L73" i="172"/>
  <c r="L79" i="172"/>
  <c r="L78" i="172"/>
  <c r="L60" i="172"/>
  <c r="L93" i="172"/>
  <c r="L77" i="172"/>
  <c r="L202" i="172"/>
  <c r="L75" i="172"/>
  <c r="L59" i="172"/>
  <c r="L201" i="172"/>
  <c r="L74" i="172"/>
  <c r="K5" i="172" a="1"/>
  <c r="K5" i="172" s="1"/>
  <c r="L5" i="172" s="1"/>
  <c r="H121" i="171"/>
  <c r="L7" i="171" l="1"/>
  <c r="L28" i="171"/>
  <c r="L43" i="171"/>
  <c r="L56" i="171"/>
  <c r="L8" i="171"/>
  <c r="L9" i="171"/>
  <c r="L33" i="171"/>
  <c r="L47" i="171"/>
  <c r="L57" i="171"/>
  <c r="L10" i="171"/>
  <c r="L52" i="171"/>
  <c r="L14" i="171"/>
  <c r="L58" i="171"/>
  <c r="L42" i="171"/>
  <c r="L26" i="171"/>
  <c r="L100" i="171"/>
  <c r="L84" i="171"/>
  <c r="L68" i="171"/>
  <c r="L41" i="171"/>
  <c r="L25" i="171"/>
  <c r="L99" i="171"/>
  <c r="L83" i="171"/>
  <c r="L67" i="171"/>
  <c r="L77" i="171"/>
  <c r="L76" i="171"/>
  <c r="L31" i="171"/>
  <c r="L88" i="171"/>
  <c r="L87" i="171"/>
  <c r="L40" i="171"/>
  <c r="L24" i="171"/>
  <c r="L98" i="171"/>
  <c r="L82" i="171"/>
  <c r="L66" i="171"/>
  <c r="L32" i="171"/>
  <c r="L73" i="171"/>
  <c r="L72" i="171"/>
  <c r="L27" i="171"/>
  <c r="L55" i="171"/>
  <c r="L39" i="171"/>
  <c r="L23" i="171"/>
  <c r="L6" i="171"/>
  <c r="L97" i="171"/>
  <c r="L81" i="171"/>
  <c r="L64" i="171"/>
  <c r="L106" i="171"/>
  <c r="L54" i="171"/>
  <c r="L38" i="171"/>
  <c r="L22" i="171"/>
  <c r="L112" i="171"/>
  <c r="L96" i="171"/>
  <c r="L80" i="171"/>
  <c r="L63" i="171"/>
  <c r="L16" i="171"/>
  <c r="L104" i="171"/>
  <c r="L53" i="171"/>
  <c r="L37" i="171"/>
  <c r="L21" i="171"/>
  <c r="L111" i="171"/>
  <c r="L95" i="171"/>
  <c r="L79" i="171"/>
  <c r="L62" i="171"/>
  <c r="L20" i="171"/>
  <c r="L94" i="171"/>
  <c r="L61" i="171"/>
  <c r="L19" i="171"/>
  <c r="L60" i="171"/>
  <c r="L36" i="171"/>
  <c r="L110" i="171"/>
  <c r="L78" i="171"/>
  <c r="L109" i="171"/>
  <c r="L108" i="171"/>
  <c r="L74" i="171"/>
  <c r="L46" i="171"/>
  <c r="L71" i="171"/>
  <c r="L51" i="171"/>
  <c r="L35" i="171"/>
  <c r="L93" i="171"/>
  <c r="L91" i="171"/>
  <c r="L90" i="171"/>
  <c r="L105" i="171"/>
  <c r="L30" i="171"/>
  <c r="L13" i="171"/>
  <c r="L101" i="171"/>
  <c r="L50" i="171"/>
  <c r="L34" i="171"/>
  <c r="L18" i="171"/>
  <c r="L92" i="171"/>
  <c r="L15" i="171"/>
  <c r="L29" i="171"/>
  <c r="L69" i="171"/>
  <c r="L49" i="171"/>
  <c r="L17" i="171"/>
  <c r="L107" i="171"/>
  <c r="L75" i="171"/>
  <c r="L89" i="171"/>
  <c r="L103" i="171"/>
  <c r="L48" i="171"/>
  <c r="L45" i="171"/>
  <c r="L44" i="171"/>
  <c r="L12" i="171"/>
  <c r="L102" i="171"/>
  <c r="L86" i="171"/>
  <c r="L70" i="171"/>
  <c r="L85" i="171"/>
  <c r="L117" i="171"/>
  <c r="L116" i="171"/>
  <c r="L115" i="171"/>
  <c r="L114" i="171"/>
  <c r="L118" i="171"/>
  <c r="L119" i="171"/>
  <c r="J48" i="162"/>
  <c r="L37" i="172"/>
  <c r="L21" i="172"/>
  <c r="L18" i="172"/>
  <c r="L219" i="172"/>
  <c r="L36" i="172"/>
  <c r="L20" i="172"/>
  <c r="L218" i="172"/>
  <c r="L35" i="172"/>
  <c r="L19" i="172"/>
  <c r="L217" i="172"/>
  <c r="L34" i="172"/>
  <c r="L216" i="172"/>
  <c r="L33" i="172"/>
  <c r="L17" i="172"/>
  <c r="L16" i="172"/>
  <c r="L15" i="172"/>
  <c r="L215" i="172"/>
  <c r="L32" i="172"/>
  <c r="L14" i="172"/>
  <c r="L214" i="172"/>
  <c r="L89" i="172"/>
  <c r="L31" i="172"/>
  <c r="L213" i="172"/>
  <c r="L45" i="172"/>
  <c r="L30" i="172"/>
  <c r="L23" i="172"/>
  <c r="L212" i="172"/>
  <c r="L44" i="172"/>
  <c r="L29" i="172"/>
  <c r="L13" i="172"/>
  <c r="L27" i="172"/>
  <c r="L207" i="172"/>
  <c r="L211" i="172"/>
  <c r="L28" i="172"/>
  <c r="L12" i="172"/>
  <c r="L206" i="172"/>
  <c r="L210" i="172"/>
  <c r="L43" i="172"/>
  <c r="L11" i="172"/>
  <c r="L42" i="172"/>
  <c r="L26" i="172"/>
  <c r="L24" i="172"/>
  <c r="L22" i="172"/>
  <c r="L209" i="172"/>
  <c r="L41" i="172"/>
  <c r="L25" i="172"/>
  <c r="L208" i="172"/>
  <c r="L40" i="172"/>
  <c r="L39" i="172"/>
  <c r="L38" i="172"/>
  <c r="L9" i="172"/>
  <c r="L10" i="172"/>
  <c r="L7" i="172"/>
  <c r="L6" i="172"/>
  <c r="L8" i="172"/>
  <c r="M461" i="163"/>
  <c r="P461" i="163" s="1"/>
  <c r="M462" i="163"/>
  <c r="P462" i="163" s="1"/>
  <c r="L220" i="172" l="1"/>
  <c r="J456" i="163" l="1"/>
  <c r="J475" i="163"/>
  <c r="I58" i="168" l="1"/>
  <c r="H58" i="168"/>
  <c r="F23" i="168"/>
  <c r="F8" i="168"/>
  <c r="H31" i="162"/>
  <c r="H30" i="162"/>
  <c r="H29" i="162"/>
  <c r="H28" i="162"/>
  <c r="J474" i="163"/>
  <c r="J473" i="163"/>
  <c r="J472" i="163"/>
  <c r="J471" i="163"/>
  <c r="J470" i="163"/>
  <c r="J469" i="163"/>
  <c r="J468" i="163"/>
  <c r="V487" i="163" l="1"/>
  <c r="O19" i="162" l="1"/>
  <c r="O18" i="162"/>
  <c r="D59" i="162"/>
  <c r="L32" i="162" l="1"/>
  <c r="L31" i="162"/>
  <c r="L29" i="162"/>
  <c r="O21" i="162"/>
  <c r="O22" i="162"/>
  <c r="O23" i="162"/>
  <c r="O29" i="162"/>
  <c r="O31" i="162"/>
  <c r="O32" i="162"/>
  <c r="O33" i="162"/>
  <c r="O28" i="162"/>
  <c r="L33" i="162"/>
  <c r="L28" i="162"/>
  <c r="T11" i="163" l="1"/>
  <c r="T12" i="163" s="1"/>
  <c r="Y464" i="163" l="1"/>
  <c r="J6" i="162" l="1"/>
  <c r="I10" i="162"/>
  <c r="I9" i="162"/>
  <c r="N36" i="167"/>
  <c r="M36" i="167"/>
  <c r="P36" i="167"/>
  <c r="U36" i="167" s="1"/>
  <c r="V36" i="167" s="1"/>
  <c r="I36" i="167"/>
  <c r="R36" i="167" s="1"/>
  <c r="U37" i="167"/>
  <c r="V37" i="167" s="1"/>
  <c r="T37" i="167"/>
  <c r="S37" i="167"/>
  <c r="R37" i="167"/>
  <c r="Q37" i="167"/>
  <c r="U38" i="167"/>
  <c r="V38" i="167" s="1"/>
  <c r="T38" i="167"/>
  <c r="S38" i="167"/>
  <c r="R38" i="167"/>
  <c r="Q38" i="167"/>
  <c r="AA13" i="167"/>
  <c r="P35" i="167"/>
  <c r="O35" i="167"/>
  <c r="N35" i="167"/>
  <c r="M35" i="167"/>
  <c r="I35" i="167"/>
  <c r="AQ104" i="163"/>
  <c r="AP104" i="163"/>
  <c r="AO104" i="163"/>
  <c r="AN104" i="163"/>
  <c r="AM104" i="163"/>
  <c r="AL104" i="163"/>
  <c r="AQ103" i="163"/>
  <c r="AP103" i="163"/>
  <c r="AO103" i="163"/>
  <c r="AN103" i="163"/>
  <c r="AM103" i="163"/>
  <c r="AL103" i="163"/>
  <c r="AQ102" i="163"/>
  <c r="AP102" i="163"/>
  <c r="AO102" i="163"/>
  <c r="AN102" i="163"/>
  <c r="AM102" i="163"/>
  <c r="AL102" i="163"/>
  <c r="AQ99" i="163"/>
  <c r="AP99" i="163"/>
  <c r="AO99" i="163"/>
  <c r="AN99" i="163"/>
  <c r="AM99" i="163"/>
  <c r="AL99" i="163"/>
  <c r="AQ98" i="163"/>
  <c r="AP98" i="163"/>
  <c r="AO98" i="163"/>
  <c r="AN98" i="163"/>
  <c r="AM98" i="163"/>
  <c r="AL98" i="163"/>
  <c r="AQ97" i="163"/>
  <c r="AP97" i="163"/>
  <c r="AO97" i="163"/>
  <c r="AN97" i="163"/>
  <c r="AM97" i="163"/>
  <c r="AL97" i="163"/>
  <c r="AQ96" i="163"/>
  <c r="AP96" i="163"/>
  <c r="AO96" i="163"/>
  <c r="AN96" i="163"/>
  <c r="AM96" i="163"/>
  <c r="AL96" i="163"/>
  <c r="AQ95" i="163"/>
  <c r="AP95" i="163"/>
  <c r="AO95" i="163"/>
  <c r="AN95" i="163"/>
  <c r="AM95" i="163"/>
  <c r="AL95" i="163"/>
  <c r="AQ87" i="163"/>
  <c r="AP87" i="163"/>
  <c r="AO87" i="163"/>
  <c r="AN87" i="163"/>
  <c r="AM87" i="163"/>
  <c r="AL87" i="163"/>
  <c r="AQ86" i="163"/>
  <c r="AP86" i="163"/>
  <c r="AO86" i="163"/>
  <c r="AN86" i="163"/>
  <c r="AM86" i="163"/>
  <c r="AL86" i="163"/>
  <c r="AQ68" i="163"/>
  <c r="AP68" i="163"/>
  <c r="AO68" i="163"/>
  <c r="AN68" i="163"/>
  <c r="AM68" i="163"/>
  <c r="AL68" i="163"/>
  <c r="AQ56" i="163"/>
  <c r="AP56" i="163"/>
  <c r="AO56" i="163"/>
  <c r="AN56" i="163"/>
  <c r="AM56" i="163"/>
  <c r="AL56" i="163"/>
  <c r="AQ48" i="163"/>
  <c r="AP48" i="163"/>
  <c r="AO48" i="163"/>
  <c r="AN48" i="163"/>
  <c r="AM48" i="163"/>
  <c r="AL48" i="163"/>
  <c r="AQ45" i="163"/>
  <c r="AP45" i="163"/>
  <c r="AO45" i="163"/>
  <c r="AN45" i="163"/>
  <c r="AM45" i="163"/>
  <c r="AL45" i="163"/>
  <c r="AQ44" i="163"/>
  <c r="AP44" i="163"/>
  <c r="AO44" i="163"/>
  <c r="AN44" i="163"/>
  <c r="AM44" i="163"/>
  <c r="AL44" i="163"/>
  <c r="AQ43" i="163"/>
  <c r="AP43" i="163"/>
  <c r="AO43" i="163"/>
  <c r="AN43" i="163"/>
  <c r="AM43" i="163"/>
  <c r="AL43" i="163"/>
  <c r="AQ42" i="163"/>
  <c r="AP42" i="163"/>
  <c r="AO42" i="163"/>
  <c r="AN42" i="163"/>
  <c r="AM42" i="163"/>
  <c r="AL42" i="163"/>
  <c r="AQ41" i="163"/>
  <c r="AP41" i="163"/>
  <c r="AO41" i="163"/>
  <c r="AN41" i="163"/>
  <c r="AM41" i="163"/>
  <c r="AL41" i="163"/>
  <c r="AQ40" i="163"/>
  <c r="AP40" i="163"/>
  <c r="AO40" i="163"/>
  <c r="AN40" i="163"/>
  <c r="AM40" i="163"/>
  <c r="AL40" i="163"/>
  <c r="AO39" i="163"/>
  <c r="AN39" i="163"/>
  <c r="AQ39" i="163" s="1"/>
  <c r="AM39" i="163"/>
  <c r="AP39" i="163" s="1"/>
  <c r="AL39" i="163"/>
  <c r="AN38" i="163"/>
  <c r="AQ38" i="163" s="1"/>
  <c r="AM38" i="163"/>
  <c r="AP38" i="163" s="1"/>
  <c r="AL38" i="163"/>
  <c r="AO38" i="163" s="1"/>
  <c r="AQ36" i="163"/>
  <c r="AP36" i="163"/>
  <c r="AO36" i="163"/>
  <c r="AN36" i="163"/>
  <c r="AM36" i="163"/>
  <c r="AL36" i="163"/>
  <c r="AQ35" i="163"/>
  <c r="AP35" i="163"/>
  <c r="AO35" i="163"/>
  <c r="AN35" i="163"/>
  <c r="AM35" i="163"/>
  <c r="AL35" i="163"/>
  <c r="AA12" i="163"/>
  <c r="AA10" i="163"/>
  <c r="AA9" i="163"/>
  <c r="AA8" i="163"/>
  <c r="Y37" i="167" l="1"/>
  <c r="S36" i="167"/>
  <c r="T36" i="167"/>
  <c r="AA14" i="163"/>
  <c r="AL55" i="163" s="1"/>
  <c r="AO55" i="163" s="1"/>
  <c r="Y38" i="167"/>
  <c r="X37" i="167"/>
  <c r="Z37" i="167" s="1"/>
  <c r="AA37" i="167" s="1"/>
  <c r="Q36" i="167"/>
  <c r="Y36" i="167" s="1"/>
  <c r="X38" i="167"/>
  <c r="AN65" i="163"/>
  <c r="AQ65" i="163" s="1"/>
  <c r="AM26" i="163"/>
  <c r="AM55" i="163"/>
  <c r="AP55" i="163" s="1"/>
  <c r="AL105" i="163"/>
  <c r="AO105" i="163" s="1"/>
  <c r="AM70" i="163"/>
  <c r="AP70" i="163" s="1"/>
  <c r="AN105" i="163"/>
  <c r="AQ105" i="163" s="1"/>
  <c r="AM75" i="163"/>
  <c r="AP75" i="163" s="1"/>
  <c r="AN73" i="163"/>
  <c r="AQ73" i="163" s="1"/>
  <c r="AN53" i="163"/>
  <c r="AQ53" i="163" s="1"/>
  <c r="AN26" i="163"/>
  <c r="AL54" i="163"/>
  <c r="AO54" i="163" s="1"/>
  <c r="AL74" i="163"/>
  <c r="AO74" i="163" s="1"/>
  <c r="AN89" i="163"/>
  <c r="AQ89" i="163" s="1"/>
  <c r="AL92" i="163"/>
  <c r="AO92" i="163" s="1"/>
  <c r="AM64" i="163"/>
  <c r="AP64" i="163" s="1"/>
  <c r="AM92" i="163"/>
  <c r="AP92" i="163" s="1"/>
  <c r="AN46" i="163"/>
  <c r="AQ46" i="163" s="1"/>
  <c r="AN74" i="163"/>
  <c r="AQ74" i="163" s="1"/>
  <c r="AM57" i="163"/>
  <c r="AP57" i="163" s="1"/>
  <c r="AN54" i="163"/>
  <c r="AQ54" i="163" s="1"/>
  <c r="AL52" i="163"/>
  <c r="AO52" i="163" s="1"/>
  <c r="AN77" i="163"/>
  <c r="AQ77" i="163" s="1"/>
  <c r="AM24" i="163"/>
  <c r="AM52" i="163"/>
  <c r="AP52" i="163" s="1"/>
  <c r="AM90" i="163"/>
  <c r="AP90" i="163" s="1"/>
  <c r="AL73" i="163"/>
  <c r="AO73" i="163" s="1"/>
  <c r="AL81" i="163"/>
  <c r="AO81" i="163" s="1"/>
  <c r="AM63" i="163"/>
  <c r="AP63" i="163" s="1"/>
  <c r="AN51" i="163" l="1"/>
  <c r="AQ51" i="163" s="1"/>
  <c r="AM79" i="163"/>
  <c r="AP79" i="163" s="1"/>
  <c r="AM71" i="163"/>
  <c r="AP71" i="163" s="1"/>
  <c r="AN57" i="163"/>
  <c r="AQ57" i="163" s="1"/>
  <c r="AM76" i="163"/>
  <c r="AP76" i="163" s="1"/>
  <c r="AN63" i="163"/>
  <c r="AQ63" i="163" s="1"/>
  <c r="AM49" i="163"/>
  <c r="AP49" i="163" s="1"/>
  <c r="AL51" i="163"/>
  <c r="AO51" i="163" s="1"/>
  <c r="AN62" i="163"/>
  <c r="AQ62" i="163" s="1"/>
  <c r="AL79" i="163"/>
  <c r="AO79" i="163" s="1"/>
  <c r="AM73" i="163"/>
  <c r="AP73" i="163" s="1"/>
  <c r="AL53" i="163"/>
  <c r="AO53" i="163" s="1"/>
  <c r="AL80" i="163"/>
  <c r="AO80" i="163" s="1"/>
  <c r="AN92" i="163"/>
  <c r="AQ92" i="163" s="1"/>
  <c r="AL77" i="163"/>
  <c r="AO77" i="163" s="1"/>
  <c r="AM74" i="163"/>
  <c r="AP74" i="163" s="1"/>
  <c r="AN79" i="163"/>
  <c r="AQ79" i="163" s="1"/>
  <c r="AL24" i="163"/>
  <c r="AM51" i="163"/>
  <c r="AP51" i="163" s="1"/>
  <c r="AL89" i="163"/>
  <c r="AO89" i="163" s="1"/>
  <c r="AN24" i="163"/>
  <c r="AM105" i="163"/>
  <c r="AP105" i="163" s="1"/>
  <c r="AM60" i="163"/>
  <c r="AP60" i="163" s="1"/>
  <c r="AN75" i="163"/>
  <c r="AQ75" i="163" s="1"/>
  <c r="AM78" i="163"/>
  <c r="AP78" i="163" s="1"/>
  <c r="AL70" i="163"/>
  <c r="AO70" i="163" s="1"/>
  <c r="AN83" i="163"/>
  <c r="AQ83" i="163" s="1"/>
  <c r="AM53" i="163"/>
  <c r="AP53" i="163" s="1"/>
  <c r="AM80" i="163"/>
  <c r="AP80" i="163" s="1"/>
  <c r="AL72" i="163"/>
  <c r="AO72" i="163" s="1"/>
  <c r="AL49" i="163"/>
  <c r="AO49" i="163" s="1"/>
  <c r="AL69" i="163"/>
  <c r="AO69" i="163" s="1"/>
  <c r="AM54" i="163"/>
  <c r="AP54" i="163" s="1"/>
  <c r="AN71" i="163"/>
  <c r="AQ71" i="163" s="1"/>
  <c r="AN78" i="163"/>
  <c r="AQ78" i="163" s="1"/>
  <c r="AN91" i="163"/>
  <c r="AQ91" i="163" s="1"/>
  <c r="AN76" i="163"/>
  <c r="AQ76" i="163" s="1"/>
  <c r="AL60" i="163"/>
  <c r="AO60" i="163" s="1"/>
  <c r="AM47" i="163"/>
  <c r="AP47" i="163" s="1"/>
  <c r="AL26" i="163"/>
  <c r="AM83" i="163"/>
  <c r="AP83" i="163" s="1"/>
  <c r="Z38" i="167"/>
  <c r="AA38" i="167" s="1"/>
  <c r="AN90" i="163"/>
  <c r="AQ90" i="163" s="1"/>
  <c r="AL78" i="163"/>
  <c r="AO78" i="163" s="1"/>
  <c r="AN25" i="163"/>
  <c r="AM72" i="163"/>
  <c r="AP72" i="163" s="1"/>
  <c r="AN69" i="163"/>
  <c r="AQ69" i="163" s="1"/>
  <c r="AM77" i="163"/>
  <c r="AP77" i="163" s="1"/>
  <c r="AN64" i="163"/>
  <c r="AQ64" i="163" s="1"/>
  <c r="AM46" i="163"/>
  <c r="AP46" i="163" s="1"/>
  <c r="AL64" i="163"/>
  <c r="AO64" i="163" s="1"/>
  <c r="AN60" i="163"/>
  <c r="AQ60" i="163" s="1"/>
  <c r="AN81" i="163"/>
  <c r="AQ81" i="163" s="1"/>
  <c r="AL71" i="163"/>
  <c r="AO71" i="163" s="1"/>
  <c r="AL75" i="163"/>
  <c r="AO75" i="163" s="1"/>
  <c r="AN52" i="163"/>
  <c r="AQ52" i="163" s="1"/>
  <c r="AN55" i="163"/>
  <c r="AQ55" i="163" s="1"/>
  <c r="AL50" i="163"/>
  <c r="AO50" i="163" s="1"/>
  <c r="AL91" i="163"/>
  <c r="AO91" i="163" s="1"/>
  <c r="AM62" i="163"/>
  <c r="AP62" i="163" s="1"/>
  <c r="AL62" i="163"/>
  <c r="AO62" i="163" s="1"/>
  <c r="AM69" i="163"/>
  <c r="AP69" i="163" s="1"/>
  <c r="AL57" i="163"/>
  <c r="AO57" i="163" s="1"/>
  <c r="AL25" i="163"/>
  <c r="AN61" i="163"/>
  <c r="AQ61" i="163" s="1"/>
  <c r="AM89" i="163"/>
  <c r="AP89" i="163" s="1"/>
  <c r="AL76" i="163"/>
  <c r="AO76" i="163" s="1"/>
  <c r="AL61" i="163"/>
  <c r="AO61" i="163" s="1"/>
  <c r="AN72" i="163"/>
  <c r="AQ72" i="163" s="1"/>
  <c r="AL65" i="163"/>
  <c r="AO65" i="163" s="1"/>
  <c r="AM25" i="163"/>
  <c r="AL83" i="163"/>
  <c r="AO83" i="163" s="1"/>
  <c r="AM50" i="163"/>
  <c r="AP50" i="163" s="1"/>
  <c r="AM81" i="163"/>
  <c r="AP81" i="163" s="1"/>
  <c r="AL63" i="163"/>
  <c r="AO63" i="163" s="1"/>
  <c r="AL90" i="163"/>
  <c r="AO90" i="163" s="1"/>
  <c r="AN49" i="163"/>
  <c r="AQ49" i="163" s="1"/>
  <c r="AN82" i="163"/>
  <c r="AQ82" i="163" s="1"/>
  <c r="AM82" i="163"/>
  <c r="AP82" i="163" s="1"/>
  <c r="AL82" i="163"/>
  <c r="AO82" i="163" s="1"/>
  <c r="AL46" i="163"/>
  <c r="AO46" i="163" s="1"/>
  <c r="AM61" i="163"/>
  <c r="AP61" i="163" s="1"/>
  <c r="AN50" i="163"/>
  <c r="AQ50" i="163" s="1"/>
  <c r="AN70" i="163"/>
  <c r="AQ70" i="163" s="1"/>
  <c r="AN47" i="163"/>
  <c r="AQ47" i="163" s="1"/>
  <c r="AL47" i="163"/>
  <c r="AO47" i="163" s="1"/>
  <c r="AN80" i="163"/>
  <c r="AQ80" i="163" s="1"/>
  <c r="AM65" i="163"/>
  <c r="AP65" i="163" s="1"/>
  <c r="AM91" i="163"/>
  <c r="AP91" i="163" s="1"/>
  <c r="AL88" i="163"/>
  <c r="AO88" i="163" s="1"/>
  <c r="AN37" i="163"/>
  <c r="AQ37" i="163" s="1"/>
  <c r="AM37" i="163"/>
  <c r="AP37" i="163" s="1"/>
  <c r="AL37" i="163"/>
  <c r="AO37" i="163" s="1"/>
  <c r="AN88" i="163"/>
  <c r="AQ88" i="163" s="1"/>
  <c r="AM88" i="163"/>
  <c r="AP88" i="163" s="1"/>
  <c r="X36" i="167"/>
  <c r="Z36" i="167" s="1"/>
  <c r="AA36" i="167" s="1"/>
  <c r="Z105" i="163"/>
  <c r="AA105" i="163" s="1"/>
  <c r="Z104" i="163"/>
  <c r="AA104" i="163" s="1"/>
  <c r="Z103" i="163"/>
  <c r="AA103" i="163" s="1"/>
  <c r="Z102" i="163"/>
  <c r="AA102" i="163" s="1"/>
  <c r="Z99" i="163"/>
  <c r="AA99" i="163" s="1"/>
  <c r="Z98" i="163"/>
  <c r="AA98" i="163" s="1"/>
  <c r="Z97" i="163"/>
  <c r="AA97" i="163" s="1"/>
  <c r="Z96" i="163"/>
  <c r="AA96" i="163" s="1"/>
  <c r="Z95" i="163"/>
  <c r="AA95" i="163" s="1"/>
  <c r="Z92" i="163"/>
  <c r="AA92" i="163" s="1"/>
  <c r="Z91" i="163"/>
  <c r="AA91" i="163" s="1"/>
  <c r="Z90" i="163"/>
  <c r="AA90" i="163" s="1"/>
  <c r="Z89" i="163"/>
  <c r="AA89" i="163" s="1"/>
  <c r="Z88" i="163"/>
  <c r="AA88" i="163" s="1"/>
  <c r="Z87" i="163"/>
  <c r="AA87" i="163" s="1"/>
  <c r="Z86" i="163"/>
  <c r="AA86" i="163" s="1"/>
  <c r="Z83" i="163"/>
  <c r="AA83" i="163" s="1"/>
  <c r="Z82" i="163"/>
  <c r="AA82" i="163" s="1"/>
  <c r="Z81" i="163"/>
  <c r="AA81" i="163" s="1"/>
  <c r="Z80" i="163"/>
  <c r="AA80" i="163" s="1"/>
  <c r="Z79" i="163"/>
  <c r="AA79" i="163" s="1"/>
  <c r="Z78" i="163"/>
  <c r="AA78" i="163" s="1"/>
  <c r="Z77" i="163"/>
  <c r="AA77" i="163" s="1"/>
  <c r="Z76" i="163"/>
  <c r="AA76" i="163" s="1"/>
  <c r="Z75" i="163"/>
  <c r="AA75" i="163" s="1"/>
  <c r="Z74" i="163"/>
  <c r="AA74" i="163" s="1"/>
  <c r="Z73" i="163"/>
  <c r="AA73" i="163" s="1"/>
  <c r="Z72" i="163"/>
  <c r="AA72" i="163" s="1"/>
  <c r="Z71" i="163"/>
  <c r="AA71" i="163" s="1"/>
  <c r="Z70" i="163"/>
  <c r="AA70" i="163" s="1"/>
  <c r="Z69" i="163"/>
  <c r="AA69" i="163" s="1"/>
  <c r="Z68" i="163"/>
  <c r="AA68" i="163" s="1"/>
  <c r="Z65" i="163"/>
  <c r="AA65" i="163" s="1"/>
  <c r="Z64" i="163"/>
  <c r="AA64" i="163" s="1"/>
  <c r="Z63" i="163"/>
  <c r="AA63" i="163" s="1"/>
  <c r="Z62" i="163"/>
  <c r="AA62" i="163" s="1"/>
  <c r="Z61" i="163"/>
  <c r="AA61" i="163" s="1"/>
  <c r="Z60" i="163"/>
  <c r="AA60" i="163" s="1"/>
  <c r="Z57" i="163"/>
  <c r="AA57" i="163" s="1"/>
  <c r="Z56" i="163"/>
  <c r="AA56" i="163" s="1"/>
  <c r="Z55" i="163"/>
  <c r="AA55" i="163" s="1"/>
  <c r="Z54" i="163"/>
  <c r="AA54" i="163" s="1"/>
  <c r="Z53" i="163"/>
  <c r="AA53" i="163" s="1"/>
  <c r="Z52" i="163"/>
  <c r="AA52" i="163" s="1"/>
  <c r="Z51" i="163"/>
  <c r="AA51" i="163" s="1"/>
  <c r="Z50" i="163"/>
  <c r="AA50" i="163" s="1"/>
  <c r="Z49" i="163"/>
  <c r="AA49" i="163" s="1"/>
  <c r="Z48" i="163"/>
  <c r="AA48" i="163" s="1"/>
  <c r="Z47" i="163"/>
  <c r="AA47" i="163" s="1"/>
  <c r="Z46" i="163"/>
  <c r="AA46" i="163" s="1"/>
  <c r="Z45" i="163"/>
  <c r="AA45" i="163" s="1"/>
  <c r="Z44" i="163"/>
  <c r="AA44" i="163" s="1"/>
  <c r="Z43" i="163"/>
  <c r="AA43" i="163" s="1"/>
  <c r="Z42" i="163"/>
  <c r="AA42" i="163" s="1"/>
  <c r="Z41" i="163"/>
  <c r="AA41" i="163" s="1"/>
  <c r="Z40" i="163"/>
  <c r="AA40" i="163" s="1"/>
  <c r="Z39" i="163"/>
  <c r="AA39" i="163" s="1"/>
  <c r="Z38" i="163"/>
  <c r="AA38" i="163" s="1"/>
  <c r="Z37" i="163"/>
  <c r="AA37" i="163" s="1"/>
  <c r="Z36" i="163"/>
  <c r="AA36" i="163" s="1"/>
  <c r="Z35" i="163"/>
  <c r="AA35" i="163" s="1"/>
  <c r="Z26" i="163" l="1"/>
  <c r="AA26" i="163" s="1"/>
  <c r="Z25" i="163"/>
  <c r="AA25" i="163" s="1"/>
  <c r="Z24" i="163"/>
  <c r="AA24" i="163" s="1"/>
  <c r="M273" i="163"/>
  <c r="M272" i="163"/>
  <c r="M271" i="163"/>
  <c r="M270" i="163"/>
  <c r="M332" i="163"/>
  <c r="M331" i="163"/>
  <c r="M330" i="163"/>
  <c r="M328" i="163"/>
  <c r="M327" i="163"/>
  <c r="M326" i="163"/>
  <c r="M325" i="163"/>
  <c r="M323" i="163"/>
  <c r="M322" i="163"/>
  <c r="M319" i="163"/>
  <c r="M317" i="163"/>
  <c r="Z22" i="163" l="1"/>
  <c r="AA22" i="163" s="1"/>
  <c r="AM22" i="163"/>
  <c r="AL22" i="163"/>
  <c r="AN22" i="163"/>
  <c r="Z23" i="163"/>
  <c r="AA23" i="163" s="1"/>
  <c r="AN23" i="163"/>
  <c r="AM23" i="163"/>
  <c r="AL23" i="163"/>
  <c r="M28" i="163"/>
  <c r="Y475" i="163"/>
  <c r="Y473" i="163"/>
  <c r="Y474" i="163"/>
  <c r="D6" i="162"/>
  <c r="C5" i="168" s="1"/>
  <c r="N420" i="163"/>
  <c r="N421" i="163" s="1"/>
  <c r="F9" i="168"/>
  <c r="L68" i="167"/>
  <c r="O238" i="163"/>
  <c r="O140" i="163"/>
  <c r="O131" i="163"/>
  <c r="M43" i="151"/>
  <c r="L47" i="151" s="1"/>
  <c r="L48" i="151" s="1"/>
  <c r="M34" i="151"/>
  <c r="L38" i="151" s="1"/>
  <c r="M27" i="151"/>
  <c r="L30" i="151" s="1"/>
  <c r="M19" i="151"/>
  <c r="L23" i="151"/>
  <c r="AL15" i="151"/>
  <c r="AK15" i="151"/>
  <c r="AJ15" i="151"/>
  <c r="AI15" i="151"/>
  <c r="AH15" i="151"/>
  <c r="AG15" i="151"/>
  <c r="AF15" i="151"/>
  <c r="AE15" i="151"/>
  <c r="AD15" i="151"/>
  <c r="AC15" i="151"/>
  <c r="AB15" i="151"/>
  <c r="AA15" i="151"/>
  <c r="Z15" i="151"/>
  <c r="Y15" i="151"/>
  <c r="X15" i="151"/>
  <c r="W15" i="151"/>
  <c r="V15" i="151"/>
  <c r="U15" i="151"/>
  <c r="O14" i="151"/>
  <c r="M10" i="151"/>
  <c r="L15" i="151" s="1"/>
  <c r="L13" i="151" s="1"/>
  <c r="L14" i="151" s="1"/>
  <c r="H72" i="167"/>
  <c r="L72" i="167"/>
  <c r="L71" i="167"/>
  <c r="I71" i="167"/>
  <c r="AT105" i="163"/>
  <c r="AT104" i="163"/>
  <c r="AT103" i="163"/>
  <c r="AT102" i="163"/>
  <c r="AT99" i="163"/>
  <c r="AT98" i="163"/>
  <c r="AT97" i="163"/>
  <c r="AT96" i="163"/>
  <c r="AT95" i="163"/>
  <c r="AT92" i="163"/>
  <c r="AT91" i="163"/>
  <c r="AT90" i="163"/>
  <c r="AT89" i="163"/>
  <c r="AT88" i="163"/>
  <c r="AT87" i="163"/>
  <c r="AS86" i="163"/>
  <c r="AT83" i="163"/>
  <c r="AT82" i="163"/>
  <c r="AT81" i="163"/>
  <c r="AT80" i="163"/>
  <c r="AT79" i="163"/>
  <c r="AT78" i="163"/>
  <c r="AT77" i="163"/>
  <c r="AT76" i="163"/>
  <c r="AT75" i="163"/>
  <c r="AT74" i="163"/>
  <c r="AT73" i="163"/>
  <c r="AT72" i="163"/>
  <c r="AT71" i="163"/>
  <c r="AT70" i="163"/>
  <c r="AT69" i="163"/>
  <c r="AT68" i="163"/>
  <c r="AT65" i="163"/>
  <c r="AT64" i="163"/>
  <c r="AT63" i="163"/>
  <c r="AT62" i="163"/>
  <c r="AT61" i="163"/>
  <c r="AT60" i="163"/>
  <c r="AS36" i="163"/>
  <c r="AS37" i="163"/>
  <c r="AS38" i="163"/>
  <c r="AS39" i="163"/>
  <c r="AS40" i="163"/>
  <c r="AS41" i="163"/>
  <c r="AT42" i="163"/>
  <c r="AT43" i="163"/>
  <c r="AT44" i="163"/>
  <c r="AT45" i="163"/>
  <c r="AT46" i="163"/>
  <c r="AT47" i="163"/>
  <c r="AT48" i="163"/>
  <c r="AT49" i="163"/>
  <c r="AT50" i="163"/>
  <c r="AT51" i="163"/>
  <c r="AT52" i="163"/>
  <c r="AT53" i="163"/>
  <c r="AT54" i="163"/>
  <c r="AT55" i="163"/>
  <c r="AT56" i="163"/>
  <c r="AT57" i="163"/>
  <c r="AS35" i="163"/>
  <c r="AJ81" i="163"/>
  <c r="AI81" i="163"/>
  <c r="AH81" i="163"/>
  <c r="AG81" i="163"/>
  <c r="R81" i="163" s="1"/>
  <c r="AF81" i="163"/>
  <c r="AE81" i="163"/>
  <c r="O81" i="163"/>
  <c r="AJ82" i="163"/>
  <c r="AI82" i="163"/>
  <c r="AH82" i="163"/>
  <c r="AG82" i="163"/>
  <c r="R82" i="163" s="1"/>
  <c r="AF82" i="163"/>
  <c r="AE82" i="163"/>
  <c r="O82" i="163"/>
  <c r="C19" i="162"/>
  <c r="D52" i="151"/>
  <c r="D53" i="151" s="1"/>
  <c r="D55" i="151" s="1"/>
  <c r="C52" i="151"/>
  <c r="AA2" i="167"/>
  <c r="P30" i="167"/>
  <c r="U30" i="167" s="1"/>
  <c r="P29" i="167"/>
  <c r="N27" i="167"/>
  <c r="M27" i="167"/>
  <c r="P26" i="167"/>
  <c r="U26" i="167" s="1"/>
  <c r="V26" i="167" s="1"/>
  <c r="P25" i="167"/>
  <c r="U25" i="167" s="1"/>
  <c r="V25" i="167" s="1"/>
  <c r="P24" i="167"/>
  <c r="U24" i="167" s="1"/>
  <c r="V24" i="167" s="1"/>
  <c r="P23" i="167"/>
  <c r="U23" i="167" s="1"/>
  <c r="V23" i="167" s="1"/>
  <c r="P22" i="167"/>
  <c r="U22" i="167" s="1"/>
  <c r="P21" i="167"/>
  <c r="U21" i="167" s="1"/>
  <c r="V21" i="167" s="1"/>
  <c r="P20" i="167"/>
  <c r="U20" i="167" s="1"/>
  <c r="V20" i="167" s="1"/>
  <c r="P19" i="167"/>
  <c r="U19" i="167" s="1"/>
  <c r="V19" i="167" s="1"/>
  <c r="P18" i="167"/>
  <c r="U18" i="167" s="1"/>
  <c r="T30" i="167"/>
  <c r="S30" i="167"/>
  <c r="R30" i="167"/>
  <c r="Q30" i="167"/>
  <c r="U29" i="167"/>
  <c r="V29" i="167" s="1"/>
  <c r="T29" i="167"/>
  <c r="S29" i="167"/>
  <c r="R29" i="167"/>
  <c r="Q29" i="167"/>
  <c r="U32" i="167"/>
  <c r="V32" i="167" s="1"/>
  <c r="T32" i="167"/>
  <c r="S32" i="167"/>
  <c r="R32" i="167"/>
  <c r="Q32" i="167"/>
  <c r="U31" i="167"/>
  <c r="T31" i="167"/>
  <c r="S31" i="167"/>
  <c r="R31" i="167"/>
  <c r="Q31" i="167"/>
  <c r="U34" i="167"/>
  <c r="V34" i="167" s="1"/>
  <c r="T34" i="167"/>
  <c r="S34" i="167"/>
  <c r="R34" i="167"/>
  <c r="Q34" i="167"/>
  <c r="U33" i="167"/>
  <c r="V33" i="167" s="1"/>
  <c r="T33" i="167"/>
  <c r="S33" i="167"/>
  <c r="R33" i="167"/>
  <c r="Q33" i="167"/>
  <c r="L16" i="170"/>
  <c r="O16" i="170" s="1"/>
  <c r="O1" i="170"/>
  <c r="G3" i="170"/>
  <c r="G2" i="170"/>
  <c r="F27" i="170"/>
  <c r="E27" i="170"/>
  <c r="L26" i="170"/>
  <c r="O26" i="170" s="1"/>
  <c r="F26" i="170"/>
  <c r="L25" i="170"/>
  <c r="O25" i="170" s="1"/>
  <c r="L24" i="170"/>
  <c r="O24" i="170" s="1"/>
  <c r="L23" i="170"/>
  <c r="O23" i="170" s="1"/>
  <c r="L22" i="170"/>
  <c r="O22" i="170" s="1"/>
  <c r="L21" i="170"/>
  <c r="O21" i="170" s="1"/>
  <c r="L20" i="170"/>
  <c r="O20" i="170" s="1"/>
  <c r="L19" i="170"/>
  <c r="O19" i="170" s="1"/>
  <c r="L18" i="170"/>
  <c r="O18" i="170" s="1"/>
  <c r="L17" i="170"/>
  <c r="O17" i="170" s="1"/>
  <c r="L15" i="170"/>
  <c r="O15" i="170" s="1"/>
  <c r="B14" i="170"/>
  <c r="B15" i="170" s="1"/>
  <c r="A14" i="170"/>
  <c r="A15" i="170" s="1"/>
  <c r="P281" i="163"/>
  <c r="P250" i="163"/>
  <c r="Y472" i="163"/>
  <c r="Y476" i="163"/>
  <c r="Y560" i="163"/>
  <c r="Y559" i="163"/>
  <c r="Y558" i="163"/>
  <c r="Y557" i="163"/>
  <c r="Y556" i="163"/>
  <c r="Y555" i="163"/>
  <c r="Y554" i="163"/>
  <c r="Y553" i="163"/>
  <c r="Y552" i="163"/>
  <c r="Y551" i="163"/>
  <c r="Y550" i="163"/>
  <c r="Y549" i="163"/>
  <c r="Y548" i="163"/>
  <c r="Y547" i="163"/>
  <c r="Y546" i="163"/>
  <c r="Y545" i="163"/>
  <c r="Y544" i="163"/>
  <c r="Y543" i="163"/>
  <c r="Y542" i="163"/>
  <c r="Y541" i="163"/>
  <c r="Y486" i="163"/>
  <c r="Y485" i="163"/>
  <c r="Y484" i="163"/>
  <c r="Y483" i="163"/>
  <c r="Y482" i="163"/>
  <c r="Y481" i="163"/>
  <c r="Y480" i="163"/>
  <c r="Y479" i="163"/>
  <c r="Y478" i="163"/>
  <c r="Y477" i="163"/>
  <c r="Y471" i="163"/>
  <c r="Y470" i="163"/>
  <c r="Y469" i="163"/>
  <c r="Y468" i="163"/>
  <c r="Y467" i="163"/>
  <c r="Y466" i="163"/>
  <c r="Y465" i="163"/>
  <c r="Y463" i="163"/>
  <c r="Y458" i="163"/>
  <c r="Y512" i="163"/>
  <c r="Y511" i="163"/>
  <c r="Y510" i="163"/>
  <c r="Y509" i="163"/>
  <c r="Y508" i="163"/>
  <c r="Y507" i="163"/>
  <c r="Y506" i="163"/>
  <c r="Y505" i="163"/>
  <c r="Y504" i="163"/>
  <c r="Y503" i="163"/>
  <c r="Y502" i="163"/>
  <c r="Y501" i="163"/>
  <c r="Y500" i="163"/>
  <c r="Y499" i="163"/>
  <c r="Y498" i="163"/>
  <c r="Y497" i="163"/>
  <c r="Y496" i="163"/>
  <c r="Y495" i="163"/>
  <c r="Y494" i="163"/>
  <c r="Y493" i="163"/>
  <c r="Y536" i="163"/>
  <c r="Y534" i="163"/>
  <c r="Y533" i="163"/>
  <c r="Y532" i="163"/>
  <c r="Y531" i="163"/>
  <c r="Y530" i="163"/>
  <c r="Y529" i="163"/>
  <c r="Y528" i="163"/>
  <c r="Y527" i="163"/>
  <c r="Y526" i="163"/>
  <c r="Y525" i="163"/>
  <c r="Y524" i="163"/>
  <c r="Y523" i="163"/>
  <c r="Y522" i="163"/>
  <c r="Y521" i="163"/>
  <c r="Y520" i="163"/>
  <c r="Y519" i="163"/>
  <c r="Y518" i="163"/>
  <c r="Y517" i="163"/>
  <c r="Y535" i="163"/>
  <c r="C3" i="168"/>
  <c r="G4" i="167"/>
  <c r="E4" i="151"/>
  <c r="F4" i="163"/>
  <c r="C2" i="168"/>
  <c r="F11" i="168"/>
  <c r="F22" i="168"/>
  <c r="F24" i="168" s="1"/>
  <c r="J17" i="168"/>
  <c r="J16" i="168"/>
  <c r="F12" i="168" s="1"/>
  <c r="J14" i="168"/>
  <c r="J13" i="168"/>
  <c r="J12" i="168"/>
  <c r="J11" i="168"/>
  <c r="F10" i="168" s="1"/>
  <c r="F31" i="168"/>
  <c r="F28" i="168"/>
  <c r="F5" i="168"/>
  <c r="F1" i="168"/>
  <c r="O239" i="163"/>
  <c r="O457" i="163"/>
  <c r="H119" i="163"/>
  <c r="O164" i="163" s="1"/>
  <c r="E3" i="151"/>
  <c r="G4" i="164"/>
  <c r="G3" i="164"/>
  <c r="F3" i="163"/>
  <c r="E285" i="163" s="1"/>
  <c r="AG69" i="167"/>
  <c r="U61" i="167"/>
  <c r="V61" i="167" s="1"/>
  <c r="O61" i="167"/>
  <c r="N61" i="167"/>
  <c r="M61" i="167"/>
  <c r="I61" i="167"/>
  <c r="R61" i="167" s="1"/>
  <c r="V537" i="163"/>
  <c r="V513" i="163"/>
  <c r="O222" i="163"/>
  <c r="O212" i="163"/>
  <c r="J107" i="163"/>
  <c r="C309" i="163"/>
  <c r="C310" i="163" s="1"/>
  <c r="C311" i="163" s="1"/>
  <c r="C312" i="163" s="1"/>
  <c r="C313" i="163" s="1"/>
  <c r="C314" i="163" s="1"/>
  <c r="C315" i="163" s="1"/>
  <c r="C316" i="163" s="1"/>
  <c r="C317" i="163" s="1"/>
  <c r="C318" i="163" s="1"/>
  <c r="C319" i="163" s="1"/>
  <c r="C320" i="163" s="1"/>
  <c r="C321" i="163" s="1"/>
  <c r="C322" i="163" s="1"/>
  <c r="C323" i="163" s="1"/>
  <c r="C324" i="163" s="1"/>
  <c r="C325" i="163" s="1"/>
  <c r="C326" i="163" s="1"/>
  <c r="C327" i="163" s="1"/>
  <c r="C328" i="163" s="1"/>
  <c r="C329" i="163" s="1"/>
  <c r="C330" i="163" s="1"/>
  <c r="C331" i="163" s="1"/>
  <c r="C332" i="163" s="1"/>
  <c r="C333" i="163" s="1"/>
  <c r="C334" i="163" s="1"/>
  <c r="C335" i="163" s="1"/>
  <c r="C336" i="163" s="1"/>
  <c r="C337" i="163" s="1"/>
  <c r="C338" i="163" s="1"/>
  <c r="C339" i="163" s="1"/>
  <c r="C340" i="163" s="1"/>
  <c r="C341" i="163" s="1"/>
  <c r="C342" i="163" s="1"/>
  <c r="C343" i="163" s="1"/>
  <c r="C344" i="163" s="1"/>
  <c r="C345" i="163" s="1"/>
  <c r="C346" i="163" s="1"/>
  <c r="C347" i="163" s="1"/>
  <c r="C348" i="163" s="1"/>
  <c r="C349" i="163" s="1"/>
  <c r="C350" i="163" s="1"/>
  <c r="C351" i="163" s="1"/>
  <c r="C352" i="163" s="1"/>
  <c r="O202" i="163"/>
  <c r="AF48" i="163"/>
  <c r="AE48" i="163"/>
  <c r="AE22" i="163"/>
  <c r="AF22" i="163"/>
  <c r="AG22" i="163"/>
  <c r="R22" i="163" s="1"/>
  <c r="AH22" i="163"/>
  <c r="AI22" i="163"/>
  <c r="AJ22" i="163"/>
  <c r="AE23" i="163"/>
  <c r="AF23" i="163"/>
  <c r="AG23" i="163"/>
  <c r="R23" i="163" s="1"/>
  <c r="AH23" i="163"/>
  <c r="AI23" i="163"/>
  <c r="AJ23" i="163"/>
  <c r="AE24" i="163"/>
  <c r="AF24" i="163"/>
  <c r="AG24" i="163"/>
  <c r="R24" i="163" s="1"/>
  <c r="AH24" i="163"/>
  <c r="AI24" i="163"/>
  <c r="AJ24" i="163"/>
  <c r="AE25" i="163"/>
  <c r="AF25" i="163"/>
  <c r="AG25" i="163"/>
  <c r="R25" i="163" s="1"/>
  <c r="AH25" i="163"/>
  <c r="AI25" i="163"/>
  <c r="AJ25" i="163"/>
  <c r="AE26" i="163"/>
  <c r="AF26" i="163"/>
  <c r="AG26" i="163"/>
  <c r="R26" i="163" s="1"/>
  <c r="AH26" i="163"/>
  <c r="AI26" i="163"/>
  <c r="AJ26" i="163"/>
  <c r="AE46" i="163"/>
  <c r="AF46" i="163"/>
  <c r="AG46" i="163"/>
  <c r="R46" i="163" s="1"/>
  <c r="AH46" i="163"/>
  <c r="AI46" i="163"/>
  <c r="AJ46" i="163"/>
  <c r="AE47" i="163"/>
  <c r="AF47" i="163"/>
  <c r="AG47" i="163"/>
  <c r="R47" i="163" s="1"/>
  <c r="AH47" i="163"/>
  <c r="AI47" i="163"/>
  <c r="AJ47" i="163"/>
  <c r="AG48" i="163"/>
  <c r="R48" i="163" s="1"/>
  <c r="AH48" i="163"/>
  <c r="AI48" i="163"/>
  <c r="AJ48" i="163"/>
  <c r="AE49" i="163"/>
  <c r="AF49" i="163"/>
  <c r="AG49" i="163"/>
  <c r="R49" i="163" s="1"/>
  <c r="AH49" i="163"/>
  <c r="AI49" i="163"/>
  <c r="AJ49" i="163"/>
  <c r="AE50" i="163"/>
  <c r="AF50" i="163"/>
  <c r="AG50" i="163"/>
  <c r="R50" i="163" s="1"/>
  <c r="AH50" i="163"/>
  <c r="AI50" i="163"/>
  <c r="AJ50" i="163"/>
  <c r="O51" i="163"/>
  <c r="AE51" i="163"/>
  <c r="AF51" i="163"/>
  <c r="AG51" i="163"/>
  <c r="R51" i="163" s="1"/>
  <c r="AH51" i="163"/>
  <c r="AI51" i="163"/>
  <c r="AJ51" i="163"/>
  <c r="AE52" i="163"/>
  <c r="AF52" i="163"/>
  <c r="AG52" i="163"/>
  <c r="R52" i="163" s="1"/>
  <c r="AH52" i="163"/>
  <c r="AI52" i="163"/>
  <c r="AJ52" i="163"/>
  <c r="AE53" i="163"/>
  <c r="AF53" i="163"/>
  <c r="AG53" i="163"/>
  <c r="R53" i="163" s="1"/>
  <c r="AH53" i="163"/>
  <c r="AI53" i="163"/>
  <c r="AJ53" i="163"/>
  <c r="AE54" i="163"/>
  <c r="AF54" i="163"/>
  <c r="AG54" i="163"/>
  <c r="R54" i="163" s="1"/>
  <c r="AH54" i="163"/>
  <c r="AI54" i="163"/>
  <c r="AJ54" i="163"/>
  <c r="AE55" i="163"/>
  <c r="AF55" i="163"/>
  <c r="AG55" i="163"/>
  <c r="R55" i="163" s="1"/>
  <c r="AH55" i="163"/>
  <c r="AI55" i="163"/>
  <c r="AJ55" i="163"/>
  <c r="AE56" i="163"/>
  <c r="AF56" i="163"/>
  <c r="AG56" i="163"/>
  <c r="R56" i="163" s="1"/>
  <c r="AH56" i="163"/>
  <c r="AI56" i="163"/>
  <c r="AJ56" i="163"/>
  <c r="AE60" i="163"/>
  <c r="AF60" i="163"/>
  <c r="AG60" i="163"/>
  <c r="R60" i="163" s="1"/>
  <c r="AH60" i="163"/>
  <c r="AI60" i="163"/>
  <c r="AJ60" i="163"/>
  <c r="AE61" i="163"/>
  <c r="AF61" i="163"/>
  <c r="AG61" i="163"/>
  <c r="R61" i="163" s="1"/>
  <c r="AH61" i="163"/>
  <c r="AI61" i="163"/>
  <c r="AJ61" i="163"/>
  <c r="AE62" i="163"/>
  <c r="AF62" i="163"/>
  <c r="AG62" i="163"/>
  <c r="R62" i="163" s="1"/>
  <c r="AH62" i="163"/>
  <c r="AI62" i="163"/>
  <c r="AJ62" i="163"/>
  <c r="AE63" i="163"/>
  <c r="AF63" i="163"/>
  <c r="AG63" i="163"/>
  <c r="R63" i="163" s="1"/>
  <c r="AH63" i="163"/>
  <c r="AI63" i="163"/>
  <c r="AJ63" i="163"/>
  <c r="AE64" i="163"/>
  <c r="AF64" i="163"/>
  <c r="AG64" i="163"/>
  <c r="R64" i="163" s="1"/>
  <c r="AH64" i="163"/>
  <c r="AI64" i="163"/>
  <c r="AJ64" i="163"/>
  <c r="AE65" i="163"/>
  <c r="AF65" i="163"/>
  <c r="AG65" i="163"/>
  <c r="R65" i="163" s="1"/>
  <c r="AH65" i="163"/>
  <c r="AI65" i="163"/>
  <c r="AJ65" i="163"/>
  <c r="AE69" i="163"/>
  <c r="AF69" i="163"/>
  <c r="AG69" i="163"/>
  <c r="R69" i="163" s="1"/>
  <c r="AH69" i="163"/>
  <c r="AI69" i="163"/>
  <c r="AJ69" i="163"/>
  <c r="AE70" i="163"/>
  <c r="AF70" i="163"/>
  <c r="AG70" i="163"/>
  <c r="R70" i="163" s="1"/>
  <c r="AH70" i="163"/>
  <c r="AI70" i="163"/>
  <c r="AJ70" i="163"/>
  <c r="AE71" i="163"/>
  <c r="AF71" i="163"/>
  <c r="AG71" i="163"/>
  <c r="R71" i="163" s="1"/>
  <c r="AH71" i="163"/>
  <c r="AI71" i="163"/>
  <c r="AJ71" i="163"/>
  <c r="AE72" i="163"/>
  <c r="AF72" i="163"/>
  <c r="AG72" i="163"/>
  <c r="R72" i="163" s="1"/>
  <c r="AH72" i="163"/>
  <c r="AI72" i="163"/>
  <c r="AJ72" i="163"/>
  <c r="AE73" i="163"/>
  <c r="AF73" i="163"/>
  <c r="AG73" i="163"/>
  <c r="R73" i="163" s="1"/>
  <c r="AH73" i="163"/>
  <c r="AI73" i="163"/>
  <c r="AJ73" i="163"/>
  <c r="AE74" i="163"/>
  <c r="AF74" i="163"/>
  <c r="AG74" i="163"/>
  <c r="R74" i="163" s="1"/>
  <c r="AH74" i="163"/>
  <c r="AI74" i="163"/>
  <c r="AJ74" i="163"/>
  <c r="AE75" i="163"/>
  <c r="AF75" i="163"/>
  <c r="AG75" i="163"/>
  <c r="R75" i="163" s="1"/>
  <c r="AH75" i="163"/>
  <c r="AI75" i="163"/>
  <c r="AJ75" i="163"/>
  <c r="AE76" i="163"/>
  <c r="AF76" i="163"/>
  <c r="AG76" i="163"/>
  <c r="R76" i="163" s="1"/>
  <c r="AH76" i="163"/>
  <c r="AI76" i="163"/>
  <c r="AJ76" i="163"/>
  <c r="AE77" i="163"/>
  <c r="AF77" i="163"/>
  <c r="AG77" i="163"/>
  <c r="R77" i="163" s="1"/>
  <c r="AH77" i="163"/>
  <c r="AI77" i="163"/>
  <c r="AJ77" i="163"/>
  <c r="AE78" i="163"/>
  <c r="AF78" i="163"/>
  <c r="AG78" i="163"/>
  <c r="R78" i="163" s="1"/>
  <c r="AH78" i="163"/>
  <c r="AI78" i="163"/>
  <c r="AJ78" i="163"/>
  <c r="AE79" i="163"/>
  <c r="AF79" i="163"/>
  <c r="AG79" i="163"/>
  <c r="R79" i="163" s="1"/>
  <c r="AH79" i="163"/>
  <c r="AI79" i="163"/>
  <c r="AJ79" i="163"/>
  <c r="AE80" i="163"/>
  <c r="AF80" i="163"/>
  <c r="AG80" i="163"/>
  <c r="R80" i="163" s="1"/>
  <c r="AH80" i="163"/>
  <c r="AI80" i="163"/>
  <c r="AJ80" i="163"/>
  <c r="AE83" i="163"/>
  <c r="AF83" i="163"/>
  <c r="AG83" i="163"/>
  <c r="R83" i="163" s="1"/>
  <c r="AH83" i="163"/>
  <c r="AI83" i="163"/>
  <c r="AJ83" i="163"/>
  <c r="AE88" i="163"/>
  <c r="AF88" i="163"/>
  <c r="AG88" i="163"/>
  <c r="R88" i="163" s="1"/>
  <c r="AH88" i="163"/>
  <c r="AI88" i="163"/>
  <c r="AJ88" i="163"/>
  <c r="AE89" i="163"/>
  <c r="AF89" i="163"/>
  <c r="AG89" i="163"/>
  <c r="R89" i="163" s="1"/>
  <c r="AH89" i="163"/>
  <c r="AI89" i="163"/>
  <c r="AJ89" i="163"/>
  <c r="AE90" i="163"/>
  <c r="AF90" i="163"/>
  <c r="AG90" i="163"/>
  <c r="R90" i="163" s="1"/>
  <c r="AH90" i="163"/>
  <c r="AI90" i="163"/>
  <c r="AJ90" i="163"/>
  <c r="AE91" i="163"/>
  <c r="AF91" i="163"/>
  <c r="AG91" i="163"/>
  <c r="R91" i="163" s="1"/>
  <c r="AH91" i="163"/>
  <c r="AI91" i="163"/>
  <c r="AJ91" i="163"/>
  <c r="AE92" i="163"/>
  <c r="AF92" i="163"/>
  <c r="AG92" i="163"/>
  <c r="R92" i="163" s="1"/>
  <c r="AH92" i="163"/>
  <c r="AI92" i="163"/>
  <c r="AJ92" i="163"/>
  <c r="AE104" i="163"/>
  <c r="AF104" i="163"/>
  <c r="AG104" i="163"/>
  <c r="R104" i="163" s="1"/>
  <c r="AH104" i="163"/>
  <c r="AI104" i="163"/>
  <c r="AJ104" i="163"/>
  <c r="O236" i="163"/>
  <c r="O237" i="163"/>
  <c r="O240" i="163"/>
  <c r="O241" i="163"/>
  <c r="O242" i="163"/>
  <c r="O243" i="163"/>
  <c r="O244" i="163"/>
  <c r="O245" i="163"/>
  <c r="O246" i="163"/>
  <c r="O247" i="163"/>
  <c r="O248" i="163"/>
  <c r="O249" i="163"/>
  <c r="M252" i="163"/>
  <c r="P252" i="163" s="1"/>
  <c r="P272" i="163"/>
  <c r="O275" i="163"/>
  <c r="O276" i="163"/>
  <c r="O277" i="163"/>
  <c r="O278" i="163"/>
  <c r="O279" i="163"/>
  <c r="O280" i="163"/>
  <c r="B46" i="164"/>
  <c r="B47" i="164" s="1"/>
  <c r="B48" i="164" s="1"/>
  <c r="B49" i="164" s="1"/>
  <c r="B50" i="164" s="1"/>
  <c r="B51" i="164" s="1"/>
  <c r="B52" i="164" s="1"/>
  <c r="A46" i="164"/>
  <c r="A47" i="164" s="1"/>
  <c r="G2" i="151"/>
  <c r="L2" i="164"/>
  <c r="F76" i="164"/>
  <c r="F73" i="164"/>
  <c r="F45" i="164"/>
  <c r="B8" i="164"/>
  <c r="B9" i="164" s="1"/>
  <c r="B10" i="164" s="1"/>
  <c r="A8" i="164"/>
  <c r="A9" i="164" s="1"/>
  <c r="A10" i="164" s="1"/>
  <c r="A11" i="164" s="1"/>
  <c r="F42" i="164"/>
  <c r="L6" i="164"/>
  <c r="BB266" i="167"/>
  <c r="BB265" i="167"/>
  <c r="BB243" i="167"/>
  <c r="BB198" i="167"/>
  <c r="BB193" i="167"/>
  <c r="BB190" i="167"/>
  <c r="BB176" i="167"/>
  <c r="BB161" i="167"/>
  <c r="BB154" i="167"/>
  <c r="BB150" i="167"/>
  <c r="B64" i="167"/>
  <c r="B65" i="167" s="1"/>
  <c r="A64" i="167"/>
  <c r="A65" i="167" s="1"/>
  <c r="A66" i="167" s="1"/>
  <c r="T72" i="167"/>
  <c r="U72" i="167"/>
  <c r="V72" i="167" s="1"/>
  <c r="U71" i="167"/>
  <c r="V71" i="167" s="1"/>
  <c r="I70" i="167"/>
  <c r="R70" i="167" s="1"/>
  <c r="T70" i="167"/>
  <c r="U70" i="167"/>
  <c r="V70" i="167" s="1"/>
  <c r="R69" i="167"/>
  <c r="T69" i="167"/>
  <c r="U69" i="167"/>
  <c r="V69" i="167" s="1"/>
  <c r="I68" i="167"/>
  <c r="U68" i="167"/>
  <c r="V68" i="167" s="1"/>
  <c r="I67" i="167"/>
  <c r="R67" i="167" s="1"/>
  <c r="T67" i="167"/>
  <c r="U67" i="167"/>
  <c r="V67" i="167" s="1"/>
  <c r="I66" i="167"/>
  <c r="R66" i="167" s="1"/>
  <c r="T66" i="167"/>
  <c r="U66" i="167"/>
  <c r="V66" i="167" s="1"/>
  <c r="I65" i="167"/>
  <c r="S65" i="167" s="1"/>
  <c r="T65" i="167"/>
  <c r="U65" i="167"/>
  <c r="V65" i="167" s="1"/>
  <c r="B59" i="167"/>
  <c r="B60" i="167" s="1"/>
  <c r="B61" i="167" s="1"/>
  <c r="B62" i="167" s="1"/>
  <c r="B63" i="167" s="1"/>
  <c r="A59" i="167"/>
  <c r="A60" i="167" s="1"/>
  <c r="A61" i="167" s="1"/>
  <c r="A62" i="167" s="1"/>
  <c r="A63" i="167" s="1"/>
  <c r="I60" i="167"/>
  <c r="Q60" i="167" s="1"/>
  <c r="O60" i="167"/>
  <c r="M60" i="167"/>
  <c r="T60" i="167" s="1"/>
  <c r="N60" i="167"/>
  <c r="U60" i="167"/>
  <c r="V60" i="167" s="1"/>
  <c r="B49" i="167"/>
  <c r="B50" i="167" s="1"/>
  <c r="B51" i="167" s="1"/>
  <c r="B52" i="167" s="1"/>
  <c r="A49" i="167"/>
  <c r="A50" i="167" s="1"/>
  <c r="A51" i="167" s="1"/>
  <c r="Q57" i="167"/>
  <c r="R57" i="167"/>
  <c r="S57" i="167"/>
  <c r="T57" i="167"/>
  <c r="U57" i="167"/>
  <c r="V57" i="167" s="1"/>
  <c r="Q56" i="167"/>
  <c r="R56" i="167"/>
  <c r="S56" i="167"/>
  <c r="T56" i="167"/>
  <c r="U56" i="167"/>
  <c r="V56" i="167" s="1"/>
  <c r="Q55" i="167"/>
  <c r="O55" i="167"/>
  <c r="S55" i="167" s="1"/>
  <c r="M55" i="167"/>
  <c r="N55" i="167"/>
  <c r="U55" i="167"/>
  <c r="V55" i="167" s="1"/>
  <c r="Q54" i="167"/>
  <c r="O54" i="167"/>
  <c r="S54" i="167" s="1"/>
  <c r="M54" i="167"/>
  <c r="N54" i="167"/>
  <c r="U54" i="167"/>
  <c r="V54" i="167" s="1"/>
  <c r="Q53" i="167"/>
  <c r="O53" i="167"/>
  <c r="S53" i="167" s="1"/>
  <c r="M53" i="167"/>
  <c r="N53" i="167"/>
  <c r="U53" i="167"/>
  <c r="V53" i="167" s="1"/>
  <c r="Q52" i="167"/>
  <c r="O52" i="167"/>
  <c r="S52" i="167" s="1"/>
  <c r="M52" i="167"/>
  <c r="N52" i="167"/>
  <c r="U52" i="167"/>
  <c r="V52" i="167" s="1"/>
  <c r="Q51" i="167"/>
  <c r="O51" i="167"/>
  <c r="S51" i="167" s="1"/>
  <c r="M51" i="167"/>
  <c r="N51" i="167"/>
  <c r="U51" i="167"/>
  <c r="V51" i="167" s="1"/>
  <c r="Q50" i="167"/>
  <c r="O50" i="167"/>
  <c r="M50" i="167"/>
  <c r="N50" i="167"/>
  <c r="U50" i="167"/>
  <c r="V50" i="167" s="1"/>
  <c r="B41" i="167"/>
  <c r="B42" i="167" s="1"/>
  <c r="B43" i="167" s="1"/>
  <c r="B44" i="167" s="1"/>
  <c r="B45" i="167" s="1"/>
  <c r="B46" i="167" s="1"/>
  <c r="B47" i="167" s="1"/>
  <c r="B48" i="167" s="1"/>
  <c r="A41" i="167"/>
  <c r="A42" i="167" s="1"/>
  <c r="Q47" i="167"/>
  <c r="R47" i="167"/>
  <c r="S47" i="167"/>
  <c r="T47" i="167"/>
  <c r="U47" i="167"/>
  <c r="V47" i="167"/>
  <c r="AG46" i="167"/>
  <c r="L45" i="167" s="1"/>
  <c r="R45" i="167" s="1"/>
  <c r="Q46" i="167"/>
  <c r="R46" i="167"/>
  <c r="S46" i="167"/>
  <c r="T46" i="167"/>
  <c r="U46" i="167"/>
  <c r="V46" i="167"/>
  <c r="O45" i="167"/>
  <c r="V45" i="167"/>
  <c r="O44" i="167"/>
  <c r="V44" i="167"/>
  <c r="O43" i="167"/>
  <c r="V43" i="167"/>
  <c r="O42" i="167"/>
  <c r="V42" i="167"/>
  <c r="B17" i="167"/>
  <c r="B18" i="167" s="1"/>
  <c r="A17" i="167"/>
  <c r="A18" i="167" s="1"/>
  <c r="A19" i="167" s="1"/>
  <c r="A20" i="167" s="1"/>
  <c r="A21" i="167" s="1"/>
  <c r="A22" i="167" s="1"/>
  <c r="A23" i="167" s="1"/>
  <c r="A24" i="167" s="1"/>
  <c r="A25" i="167" s="1"/>
  <c r="A26" i="167" s="1"/>
  <c r="A27" i="167" s="1"/>
  <c r="A28" i="167" s="1"/>
  <c r="A29" i="167" s="1"/>
  <c r="A30" i="167" s="1"/>
  <c r="A31" i="167" s="1"/>
  <c r="A32" i="167" s="1"/>
  <c r="A33" i="167" s="1"/>
  <c r="A34" i="167" s="1"/>
  <c r="A35" i="167" s="1"/>
  <c r="Q39" i="167"/>
  <c r="R39" i="167"/>
  <c r="S39" i="167"/>
  <c r="T39" i="167"/>
  <c r="U39" i="167"/>
  <c r="V39" i="167" s="1"/>
  <c r="Q35" i="167"/>
  <c r="R35" i="167"/>
  <c r="S35" i="167"/>
  <c r="T35" i="167"/>
  <c r="U35" i="167"/>
  <c r="V35" i="167" s="1"/>
  <c r="Q28" i="167"/>
  <c r="R28" i="167"/>
  <c r="S28" i="167"/>
  <c r="T28" i="167"/>
  <c r="U28" i="167"/>
  <c r="V28" i="167" s="1"/>
  <c r="Q27" i="167"/>
  <c r="R27" i="167"/>
  <c r="S27" i="167"/>
  <c r="U27" i="167"/>
  <c r="V27" i="167" s="1"/>
  <c r="R26" i="167"/>
  <c r="Q25" i="167"/>
  <c r="T25" i="167"/>
  <c r="S24" i="167"/>
  <c r="T24" i="167"/>
  <c r="R23" i="167"/>
  <c r="T23" i="167"/>
  <c r="S22" i="167"/>
  <c r="T22" i="167"/>
  <c r="S21" i="167"/>
  <c r="T21" i="167"/>
  <c r="Q20" i="167"/>
  <c r="T20" i="167"/>
  <c r="R19" i="167"/>
  <c r="T19" i="167"/>
  <c r="S18" i="167"/>
  <c r="T18" i="167"/>
  <c r="AA6" i="167"/>
  <c r="J110" i="162"/>
  <c r="J111" i="162"/>
  <c r="J112" i="162"/>
  <c r="J106" i="162"/>
  <c r="J107" i="162"/>
  <c r="J109" i="162"/>
  <c r="O142" i="163"/>
  <c r="O141" i="163"/>
  <c r="O139" i="163"/>
  <c r="O130" i="163"/>
  <c r="O129" i="163"/>
  <c r="O128" i="163"/>
  <c r="O127" i="163"/>
  <c r="U2" i="163"/>
  <c r="U6" i="163"/>
  <c r="AE45" i="163"/>
  <c r="AF45" i="163"/>
  <c r="AG45" i="163"/>
  <c r="R45" i="163" s="1"/>
  <c r="AH45" i="163"/>
  <c r="AI45" i="163"/>
  <c r="AJ45" i="163"/>
  <c r="AE68" i="163"/>
  <c r="AF68" i="163"/>
  <c r="AG68" i="163"/>
  <c r="R68" i="163" s="1"/>
  <c r="AH68" i="163"/>
  <c r="AI68" i="163"/>
  <c r="AJ68" i="163"/>
  <c r="C25" i="162"/>
  <c r="C24" i="162"/>
  <c r="C22" i="162"/>
  <c r="C21" i="162"/>
  <c r="C20" i="162"/>
  <c r="C18" i="162"/>
  <c r="C23" i="162"/>
  <c r="O133" i="163"/>
  <c r="O134" i="163"/>
  <c r="O135" i="163"/>
  <c r="O136" i="163"/>
  <c r="O137" i="163"/>
  <c r="AE37" i="163"/>
  <c r="AF37" i="163"/>
  <c r="AG37" i="163"/>
  <c r="R37" i="163" s="1"/>
  <c r="AH37" i="163"/>
  <c r="AI37" i="163"/>
  <c r="AJ37" i="163"/>
  <c r="C453" i="163"/>
  <c r="C356" i="163"/>
  <c r="O60" i="163"/>
  <c r="O61" i="163"/>
  <c r="V561" i="163"/>
  <c r="O22" i="163"/>
  <c r="AE35" i="163"/>
  <c r="AF35" i="163"/>
  <c r="AG35" i="163"/>
  <c r="R35" i="163" s="1"/>
  <c r="AH35" i="163"/>
  <c r="AI35" i="163"/>
  <c r="AJ35" i="163"/>
  <c r="AE36" i="163"/>
  <c r="AF36" i="163"/>
  <c r="AG36" i="163"/>
  <c r="R36" i="163" s="1"/>
  <c r="AH36" i="163"/>
  <c r="AI36" i="163"/>
  <c r="AJ36" i="163"/>
  <c r="AE38" i="163"/>
  <c r="AF38" i="163"/>
  <c r="AG38" i="163"/>
  <c r="R38" i="163" s="1"/>
  <c r="AH38" i="163"/>
  <c r="AI38" i="163"/>
  <c r="AJ38" i="163"/>
  <c r="AE39" i="163"/>
  <c r="AF39" i="163"/>
  <c r="AG39" i="163"/>
  <c r="R39" i="163" s="1"/>
  <c r="AH39" i="163"/>
  <c r="AI39" i="163"/>
  <c r="AJ39" i="163"/>
  <c r="AE40" i="163"/>
  <c r="AF40" i="163"/>
  <c r="AG40" i="163"/>
  <c r="R40" i="163" s="1"/>
  <c r="AH40" i="163"/>
  <c r="AI40" i="163"/>
  <c r="AJ40" i="163"/>
  <c r="AE41" i="163"/>
  <c r="AF41" i="163"/>
  <c r="AG41" i="163"/>
  <c r="R41" i="163" s="1"/>
  <c r="AH41" i="163"/>
  <c r="AI41" i="163"/>
  <c r="AJ41" i="163"/>
  <c r="AE42" i="163"/>
  <c r="AF42" i="163"/>
  <c r="AG42" i="163"/>
  <c r="R42" i="163" s="1"/>
  <c r="AH42" i="163"/>
  <c r="AI42" i="163"/>
  <c r="AJ42" i="163"/>
  <c r="AE43" i="163"/>
  <c r="AF43" i="163"/>
  <c r="AG43" i="163"/>
  <c r="R43" i="163" s="1"/>
  <c r="AH43" i="163"/>
  <c r="AI43" i="163"/>
  <c r="AJ43" i="163"/>
  <c r="AE44" i="163"/>
  <c r="AF44" i="163"/>
  <c r="AG44" i="163"/>
  <c r="R44" i="163" s="1"/>
  <c r="AH44" i="163"/>
  <c r="AI44" i="163"/>
  <c r="AJ44" i="163"/>
  <c r="O65" i="163"/>
  <c r="O83" i="163"/>
  <c r="O92" i="163"/>
  <c r="AE105" i="163"/>
  <c r="AF105" i="163"/>
  <c r="AG105" i="163"/>
  <c r="R105" i="163" s="1"/>
  <c r="AH105" i="163"/>
  <c r="AI105" i="163"/>
  <c r="AJ105" i="163"/>
  <c r="C465" i="163"/>
  <c r="C466" i="163" s="1"/>
  <c r="C467" i="163" s="1"/>
  <c r="C468" i="163" s="1"/>
  <c r="C469" i="163" s="1"/>
  <c r="C470" i="163" s="1"/>
  <c r="C471" i="163" s="1"/>
  <c r="C472" i="163" s="1"/>
  <c r="C473" i="163" s="1"/>
  <c r="R20" i="163"/>
  <c r="T20" i="163" s="1"/>
  <c r="Q20" i="163"/>
  <c r="S20" i="163" s="1"/>
  <c r="O23" i="163"/>
  <c r="O24" i="163"/>
  <c r="O25" i="163"/>
  <c r="O26" i="163"/>
  <c r="O46" i="163"/>
  <c r="O47" i="163"/>
  <c r="O49" i="163"/>
  <c r="O50" i="163"/>
  <c r="O52" i="163"/>
  <c r="O55" i="163"/>
  <c r="AE57" i="163"/>
  <c r="AF57" i="163"/>
  <c r="AG57" i="163"/>
  <c r="R57" i="163" s="1"/>
  <c r="AH57" i="163"/>
  <c r="AI57" i="163"/>
  <c r="AJ57" i="163"/>
  <c r="O62" i="163"/>
  <c r="O63" i="163"/>
  <c r="O64" i="163"/>
  <c r="O69" i="163"/>
  <c r="O70" i="163"/>
  <c r="O71" i="163"/>
  <c r="O72" i="163"/>
  <c r="O73" i="163"/>
  <c r="O74" i="163"/>
  <c r="O75" i="163"/>
  <c r="O76" i="163"/>
  <c r="O77" i="163"/>
  <c r="O78" i="163"/>
  <c r="O79" i="163"/>
  <c r="O80" i="163"/>
  <c r="AE86" i="163"/>
  <c r="AF86" i="163"/>
  <c r="AG86" i="163"/>
  <c r="R86" i="163" s="1"/>
  <c r="AH86" i="163"/>
  <c r="AI86" i="163"/>
  <c r="AJ86" i="163"/>
  <c r="AE87" i="163"/>
  <c r="AF87" i="163"/>
  <c r="AG87" i="163"/>
  <c r="R87" i="163" s="1"/>
  <c r="AH87" i="163"/>
  <c r="AI87" i="163"/>
  <c r="AJ87" i="163"/>
  <c r="O90" i="163"/>
  <c r="O91" i="163"/>
  <c r="AE95" i="163"/>
  <c r="AF95" i="163"/>
  <c r="AG95" i="163"/>
  <c r="R95" i="163" s="1"/>
  <c r="AH95" i="163"/>
  <c r="AI95" i="163"/>
  <c r="AJ95" i="163"/>
  <c r="AE96" i="163"/>
  <c r="AF96" i="163"/>
  <c r="AG96" i="163"/>
  <c r="R96" i="163" s="1"/>
  <c r="AH96" i="163"/>
  <c r="AI96" i="163"/>
  <c r="AJ96" i="163"/>
  <c r="AE97" i="163"/>
  <c r="AF97" i="163"/>
  <c r="AG97" i="163"/>
  <c r="R97" i="163" s="1"/>
  <c r="AH97" i="163"/>
  <c r="AI97" i="163"/>
  <c r="AJ97" i="163"/>
  <c r="AE98" i="163"/>
  <c r="AF98" i="163"/>
  <c r="AG98" i="163"/>
  <c r="R98" i="163" s="1"/>
  <c r="AH98" i="163"/>
  <c r="AI98" i="163"/>
  <c r="AJ98" i="163"/>
  <c r="AE99" i="163"/>
  <c r="AF99" i="163"/>
  <c r="AG99" i="163"/>
  <c r="R99" i="163" s="1"/>
  <c r="AH99" i="163"/>
  <c r="AI99" i="163"/>
  <c r="AJ99" i="163"/>
  <c r="AE102" i="163"/>
  <c r="AF102" i="163"/>
  <c r="AG102" i="163"/>
  <c r="R102" i="163" s="1"/>
  <c r="AH102" i="163"/>
  <c r="AI102" i="163"/>
  <c r="AJ102" i="163"/>
  <c r="AE103" i="163"/>
  <c r="AF103" i="163"/>
  <c r="AG103" i="163"/>
  <c r="R103" i="163" s="1"/>
  <c r="AH103" i="163"/>
  <c r="AI103" i="163"/>
  <c r="AJ103" i="163"/>
  <c r="C234" i="163"/>
  <c r="C235" i="163" s="1"/>
  <c r="C236" i="163" s="1"/>
  <c r="C237" i="163" s="1"/>
  <c r="C238" i="163" s="1"/>
  <c r="C239" i="163" s="1"/>
  <c r="C240" i="163" s="1"/>
  <c r="C241" i="163" s="1"/>
  <c r="C242" i="163" s="1"/>
  <c r="C243" i="163" s="1"/>
  <c r="C244" i="163" s="1"/>
  <c r="C245" i="163" s="1"/>
  <c r="C246" i="163" s="1"/>
  <c r="C247" i="163" s="1"/>
  <c r="C248" i="163" s="1"/>
  <c r="C249" i="163" s="1"/>
  <c r="C250" i="163" s="1"/>
  <c r="C251" i="163" s="1"/>
  <c r="C252" i="163" s="1"/>
  <c r="C253" i="163" s="1"/>
  <c r="C254" i="163" s="1"/>
  <c r="C255" i="163" s="1"/>
  <c r="C256" i="163" s="1"/>
  <c r="C257" i="163" s="1"/>
  <c r="C258" i="163" s="1"/>
  <c r="C259" i="163" s="1"/>
  <c r="C260" i="163" s="1"/>
  <c r="C261" i="163" s="1"/>
  <c r="C262" i="163" s="1"/>
  <c r="C263" i="163" s="1"/>
  <c r="C264" i="163" s="1"/>
  <c r="C265" i="163" s="1"/>
  <c r="C266" i="163" s="1"/>
  <c r="C267" i="163" s="1"/>
  <c r="C268" i="163" s="1"/>
  <c r="C269" i="163" s="1"/>
  <c r="C270" i="163" s="1"/>
  <c r="C271" i="163" s="1"/>
  <c r="C272" i="163" s="1"/>
  <c r="C273" i="163" s="1"/>
  <c r="C274" i="163" s="1"/>
  <c r="C275" i="163" s="1"/>
  <c r="C276" i="163" s="1"/>
  <c r="C277" i="163" s="1"/>
  <c r="C278" i="163" s="1"/>
  <c r="C279" i="163" s="1"/>
  <c r="C280" i="163" s="1"/>
  <c r="C281" i="163" s="1"/>
  <c r="C282" i="163" s="1"/>
  <c r="C283" i="163" s="1"/>
  <c r="C284" i="163" s="1"/>
  <c r="C285" i="163" s="1"/>
  <c r="C286" i="163" s="1"/>
  <c r="C287" i="163" s="1"/>
  <c r="C288" i="163" s="1"/>
  <c r="C289" i="163" s="1"/>
  <c r="C290" i="163" s="1"/>
  <c r="C291" i="163" s="1"/>
  <c r="C292" i="163" s="1"/>
  <c r="C293" i="163" s="1"/>
  <c r="C294" i="163" s="1"/>
  <c r="C295" i="163" s="1"/>
  <c r="C296" i="163" s="1"/>
  <c r="C297" i="163" s="1"/>
  <c r="C298" i="163" s="1"/>
  <c r="C299" i="163" s="1"/>
  <c r="C300" i="163" s="1"/>
  <c r="C301" i="163" s="1"/>
  <c r="C302" i="163" s="1"/>
  <c r="C303" i="163" s="1"/>
  <c r="C304" i="163" s="1"/>
  <c r="C305" i="163" s="1"/>
  <c r="C541" i="163"/>
  <c r="C542" i="163" s="1"/>
  <c r="C543" i="163" s="1"/>
  <c r="C544" i="163" s="1"/>
  <c r="C545" i="163" s="1"/>
  <c r="C546" i="163" s="1"/>
  <c r="C547" i="163" s="1"/>
  <c r="C548" i="163" s="1"/>
  <c r="C549" i="163" s="1"/>
  <c r="C550" i="163" s="1"/>
  <c r="C551" i="163" s="1"/>
  <c r="C552" i="163" s="1"/>
  <c r="C553" i="163" s="1"/>
  <c r="C554" i="163" s="1"/>
  <c r="C358" i="163"/>
  <c r="C359" i="163" s="1"/>
  <c r="C360" i="163" s="1"/>
  <c r="C361" i="163" s="1"/>
  <c r="C362" i="163" s="1"/>
  <c r="C363" i="163" s="1"/>
  <c r="C364" i="163" s="1"/>
  <c r="C365" i="163" s="1"/>
  <c r="C419" i="163"/>
  <c r="C420" i="163" s="1"/>
  <c r="C421" i="163" s="1"/>
  <c r="C422" i="163" s="1"/>
  <c r="C423" i="163" s="1"/>
  <c r="C424" i="163" s="1"/>
  <c r="C425" i="163" s="1"/>
  <c r="C426" i="163" s="1"/>
  <c r="C427" i="163" s="1"/>
  <c r="C428" i="163" s="1"/>
  <c r="C429" i="163" s="1"/>
  <c r="C430" i="163" s="1"/>
  <c r="C431" i="163" s="1"/>
  <c r="C432" i="163" s="1"/>
  <c r="C433" i="163" s="1"/>
  <c r="C434" i="163" s="1"/>
  <c r="C435" i="163" s="1"/>
  <c r="C436" i="163" s="1"/>
  <c r="C437" i="163" s="1"/>
  <c r="C438" i="163" s="1"/>
  <c r="C439" i="163" s="1"/>
  <c r="C440" i="163" s="1"/>
  <c r="C441" i="163" s="1"/>
  <c r="C442" i="163" s="1"/>
  <c r="C443" i="163" s="1"/>
  <c r="C444" i="163" s="1"/>
  <c r="C445" i="163" s="1"/>
  <c r="C446" i="163" s="1"/>
  <c r="C447" i="163" s="1"/>
  <c r="C448" i="163" s="1"/>
  <c r="C449" i="163" s="1"/>
  <c r="C519" i="163"/>
  <c r="C520" i="163" s="1"/>
  <c r="C521" i="163" s="1"/>
  <c r="C522" i="163" s="1"/>
  <c r="C523" i="163" s="1"/>
  <c r="C524" i="163" s="1"/>
  <c r="C525" i="163" s="1"/>
  <c r="C526" i="163" s="1"/>
  <c r="C527" i="163" s="1"/>
  <c r="C528" i="163" s="1"/>
  <c r="C529" i="163" s="1"/>
  <c r="C530" i="163" s="1"/>
  <c r="C531" i="163" s="1"/>
  <c r="C532" i="163" s="1"/>
  <c r="C533" i="163" s="1"/>
  <c r="C534" i="163" s="1"/>
  <c r="C535" i="163" s="1"/>
  <c r="C536" i="163" s="1"/>
  <c r="C537" i="163" s="1"/>
  <c r="C538" i="163" s="1"/>
  <c r="C539" i="163" s="1"/>
  <c r="C455" i="163"/>
  <c r="C456" i="163" s="1"/>
  <c r="C457" i="163" s="1"/>
  <c r="C458" i="163" s="1"/>
  <c r="C459" i="163" s="1"/>
  <c r="C485" i="163"/>
  <c r="C486" i="163" s="1"/>
  <c r="C487" i="163" s="1"/>
  <c r="C488" i="163" s="1"/>
  <c r="C489" i="163" s="1"/>
  <c r="C490" i="163" s="1"/>
  <c r="C491" i="163" s="1"/>
  <c r="C492" i="163" s="1"/>
  <c r="C493" i="163" s="1"/>
  <c r="C494" i="163" s="1"/>
  <c r="C495" i="163" s="1"/>
  <c r="C496" i="163" s="1"/>
  <c r="C497" i="163" s="1"/>
  <c r="C499" i="163"/>
  <c r="C500" i="163" s="1"/>
  <c r="C501" i="163" s="1"/>
  <c r="C502" i="163" s="1"/>
  <c r="C503" i="163" s="1"/>
  <c r="C504" i="163" s="1"/>
  <c r="C505" i="163" s="1"/>
  <c r="C506" i="163" s="1"/>
  <c r="C507" i="163" s="1"/>
  <c r="C508" i="163" s="1"/>
  <c r="C509" i="163" s="1"/>
  <c r="C510" i="163" s="1"/>
  <c r="C511" i="163" s="1"/>
  <c r="C512" i="163" s="1"/>
  <c r="C513" i="163" s="1"/>
  <c r="C514" i="163" s="1"/>
  <c r="C515" i="163" s="1"/>
  <c r="C516" i="163" s="1"/>
  <c r="C517" i="163" s="1"/>
  <c r="R31" i="163"/>
  <c r="T31" i="163" s="1"/>
  <c r="Q31" i="163"/>
  <c r="S31" i="163" s="1"/>
  <c r="J113" i="162"/>
  <c r="G6" i="151"/>
  <c r="AQ33" i="163"/>
  <c r="AP33" i="163"/>
  <c r="AO33" i="163"/>
  <c r="AN33" i="163"/>
  <c r="AM33" i="163"/>
  <c r="AL33" i="163"/>
  <c r="J115" i="162"/>
  <c r="J114" i="162"/>
  <c r="G14" i="151"/>
  <c r="G26" i="151" s="1"/>
  <c r="Q69" i="167"/>
  <c r="Q23" i="167"/>
  <c r="Q19" i="167"/>
  <c r="S26" i="167"/>
  <c r="R53" i="167"/>
  <c r="S69" i="167"/>
  <c r="R21" i="167"/>
  <c r="R50" i="167"/>
  <c r="R51" i="167"/>
  <c r="R55" i="167"/>
  <c r="Y55" i="167" s="1"/>
  <c r="S19" i="167"/>
  <c r="Q21" i="167"/>
  <c r="S23" i="167"/>
  <c r="Q24" i="167"/>
  <c r="R25" i="167"/>
  <c r="T26" i="167"/>
  <c r="R54" i="167"/>
  <c r="R20" i="167"/>
  <c r="R24" i="167"/>
  <c r="Q26" i="167"/>
  <c r="S50" i="167"/>
  <c r="P273" i="163"/>
  <c r="R18" i="167"/>
  <c r="R22" i="167"/>
  <c r="R52" i="167"/>
  <c r="R65" i="167"/>
  <c r="Q18" i="167"/>
  <c r="S20" i="167"/>
  <c r="Q22" i="167"/>
  <c r="Y22" i="167" s="1"/>
  <c r="S25" i="167"/>
  <c r="C366" i="163" l="1"/>
  <c r="C367" i="163" s="1"/>
  <c r="C368" i="163" s="1"/>
  <c r="C369" i="163" s="1"/>
  <c r="C370" i="163" s="1"/>
  <c r="C371" i="163" s="1"/>
  <c r="C372" i="163" s="1"/>
  <c r="C373" i="163" s="1"/>
  <c r="C374" i="163" s="1"/>
  <c r="C375" i="163" s="1"/>
  <c r="C376" i="163" s="1"/>
  <c r="C377" i="163" s="1"/>
  <c r="C378" i="163" s="1"/>
  <c r="C379" i="163" s="1"/>
  <c r="C380" i="163" s="1"/>
  <c r="C381" i="163" s="1"/>
  <c r="C382" i="163" s="1"/>
  <c r="C383" i="163" s="1"/>
  <c r="C384" i="163" s="1"/>
  <c r="C385" i="163" s="1"/>
  <c r="C386" i="163" s="1"/>
  <c r="C387" i="163" s="1"/>
  <c r="C388" i="163" s="1"/>
  <c r="C389" i="163" s="1"/>
  <c r="C390" i="163" s="1"/>
  <c r="C391" i="163" s="1"/>
  <c r="C392" i="163" s="1"/>
  <c r="C393" i="163" s="1"/>
  <c r="C394" i="163" s="1"/>
  <c r="C395" i="163" s="1"/>
  <c r="C396" i="163" s="1"/>
  <c r="C397" i="163" s="1"/>
  <c r="C398" i="163" s="1"/>
  <c r="C399" i="163" s="1"/>
  <c r="C400" i="163" s="1"/>
  <c r="C401" i="163" s="1"/>
  <c r="C402" i="163" s="1"/>
  <c r="C403" i="163" s="1"/>
  <c r="C404" i="163" s="1"/>
  <c r="C405" i="163" s="1"/>
  <c r="C406" i="163" s="1"/>
  <c r="C407" i="163" s="1"/>
  <c r="C408" i="163" s="1"/>
  <c r="C409" i="163" s="1"/>
  <c r="C410" i="163" s="1"/>
  <c r="C411" i="163" s="1"/>
  <c r="C412" i="163" s="1"/>
  <c r="C413" i="163" s="1"/>
  <c r="C414" i="163" s="1"/>
  <c r="C415" i="163" s="1"/>
  <c r="C416" i="163" s="1"/>
  <c r="C417" i="163" s="1"/>
  <c r="Y69" i="167"/>
  <c r="Y30" i="167"/>
  <c r="Q70" i="167"/>
  <c r="R68" i="167"/>
  <c r="Y20" i="167"/>
  <c r="Y24" i="167"/>
  <c r="Y28" i="167"/>
  <c r="T52" i="167"/>
  <c r="Q65" i="167"/>
  <c r="X65" i="167" s="1"/>
  <c r="C460" i="163"/>
  <c r="L44" i="167"/>
  <c r="T44" i="167" s="1"/>
  <c r="S60" i="167"/>
  <c r="Y29" i="167"/>
  <c r="Y46" i="167"/>
  <c r="L43" i="167"/>
  <c r="R43" i="167" s="1"/>
  <c r="L42" i="167"/>
  <c r="S42" i="167" s="1"/>
  <c r="T68" i="167"/>
  <c r="T54" i="167"/>
  <c r="X54" i="167" s="1"/>
  <c r="Q68" i="167"/>
  <c r="N436" i="163"/>
  <c r="Y19" i="167"/>
  <c r="S70" i="167"/>
  <c r="X70" i="167" s="1"/>
  <c r="R71" i="167"/>
  <c r="Y32" i="167"/>
  <c r="Y47" i="167"/>
  <c r="Q92" i="163"/>
  <c r="N437" i="163"/>
  <c r="N439" i="163"/>
  <c r="X47" i="167"/>
  <c r="T50" i="167"/>
  <c r="X50" i="167" s="1"/>
  <c r="Z50" i="167" s="1"/>
  <c r="AA50" i="167" s="1"/>
  <c r="O191" i="163"/>
  <c r="Y51" i="167"/>
  <c r="T55" i="167"/>
  <c r="X55" i="167" s="1"/>
  <c r="Z55" i="167" s="1"/>
  <c r="AA55" i="167" s="1"/>
  <c r="Y35" i="167"/>
  <c r="Q66" i="167"/>
  <c r="Y66" i="167" s="1"/>
  <c r="Y25" i="167"/>
  <c r="X56" i="167"/>
  <c r="S71" i="167"/>
  <c r="S66" i="167"/>
  <c r="S61" i="167"/>
  <c r="T27" i="167"/>
  <c r="X27" i="167" s="1"/>
  <c r="Y70" i="167"/>
  <c r="D11" i="151"/>
  <c r="J25" i="162" s="1"/>
  <c r="D30" i="151"/>
  <c r="Y50" i="167"/>
  <c r="X57" i="167"/>
  <c r="Y23" i="167"/>
  <c r="Y27" i="167"/>
  <c r="Y54" i="167"/>
  <c r="R60" i="167"/>
  <c r="Y18" i="167"/>
  <c r="S45" i="167"/>
  <c r="X28" i="167"/>
  <c r="Y52" i="167"/>
  <c r="Q71" i="167"/>
  <c r="D29" i="151"/>
  <c r="U45" i="167"/>
  <c r="Y57" i="167"/>
  <c r="Q67" i="167"/>
  <c r="Y67" i="167" s="1"/>
  <c r="Y34" i="167"/>
  <c r="T53" i="167"/>
  <c r="X53" i="167" s="1"/>
  <c r="X25" i="167"/>
  <c r="S67" i="167"/>
  <c r="T51" i="167"/>
  <c r="X51" i="167" s="1"/>
  <c r="T45" i="167"/>
  <c r="Y21" i="167"/>
  <c r="Y53" i="167"/>
  <c r="Q80" i="163"/>
  <c r="T61" i="167"/>
  <c r="Y31" i="167"/>
  <c r="Y26" i="167"/>
  <c r="X24" i="167"/>
  <c r="Z24" i="167" s="1"/>
  <c r="AA24" i="167" s="1"/>
  <c r="X52" i="167"/>
  <c r="Y56" i="167"/>
  <c r="X33" i="167"/>
  <c r="Q47" i="163"/>
  <c r="Q91" i="163"/>
  <c r="Q77" i="163"/>
  <c r="Q69" i="163"/>
  <c r="Q55" i="163"/>
  <c r="N444" i="163"/>
  <c r="N445" i="163"/>
  <c r="N427" i="163"/>
  <c r="N428" i="163"/>
  <c r="N430" i="163"/>
  <c r="N432" i="163"/>
  <c r="N435" i="163"/>
  <c r="N442" i="163"/>
  <c r="O174" i="163"/>
  <c r="N449" i="163"/>
  <c r="Q49" i="163"/>
  <c r="N423" i="163"/>
  <c r="Q68" i="163"/>
  <c r="S68" i="163" s="1"/>
  <c r="Y39" i="167"/>
  <c r="A36" i="167"/>
  <c r="A37" i="167" s="1"/>
  <c r="A38" i="167" s="1"/>
  <c r="A39" i="167" s="1"/>
  <c r="A40" i="167" s="1"/>
  <c r="V18" i="167"/>
  <c r="X18" i="167" s="1"/>
  <c r="Z18" i="167" s="1"/>
  <c r="AA18" i="167" s="1"/>
  <c r="V22" i="167"/>
  <c r="X22" i="167" s="1"/>
  <c r="Z22" i="167" s="1"/>
  <c r="AA22" i="167" s="1"/>
  <c r="X21" i="167"/>
  <c r="Y33" i="167"/>
  <c r="X20" i="167"/>
  <c r="Z20" i="167" s="1"/>
  <c r="AA20" i="167" s="1"/>
  <c r="Q61" i="167"/>
  <c r="X69" i="167"/>
  <c r="Z69" i="167" s="1"/>
  <c r="AA69" i="167" s="1"/>
  <c r="Q45" i="167"/>
  <c r="Y45" i="167" s="1"/>
  <c r="X35" i="167"/>
  <c r="I72" i="167"/>
  <c r="R72" i="167" s="1"/>
  <c r="T71" i="167"/>
  <c r="X26" i="167"/>
  <c r="S68" i="167"/>
  <c r="X32" i="167"/>
  <c r="Z32" i="167" s="1"/>
  <c r="AA32" i="167" s="1"/>
  <c r="X39" i="167"/>
  <c r="X46" i="167"/>
  <c r="X23" i="167"/>
  <c r="V30" i="167"/>
  <c r="X30" i="167" s="1"/>
  <c r="Z30" i="167" s="1"/>
  <c r="AA30" i="167" s="1"/>
  <c r="V31" i="167"/>
  <c r="X31" i="167" s="1"/>
  <c r="X29" i="167"/>
  <c r="X34" i="167"/>
  <c r="X19" i="167"/>
  <c r="Z19" i="167" s="1"/>
  <c r="AA19" i="167" s="1"/>
  <c r="Q64" i="163"/>
  <c r="Q26" i="163"/>
  <c r="Q50" i="163"/>
  <c r="Q79" i="163"/>
  <c r="Q98" i="163"/>
  <c r="S98" i="163" s="1"/>
  <c r="Q90" i="163"/>
  <c r="Q36" i="163"/>
  <c r="S36" i="163" s="1"/>
  <c r="Q102" i="163"/>
  <c r="S102" i="163" s="1"/>
  <c r="Q96" i="163"/>
  <c r="S96" i="163" s="1"/>
  <c r="Y487" i="163"/>
  <c r="T36" i="163"/>
  <c r="Q76" i="163"/>
  <c r="N440" i="163"/>
  <c r="Q37" i="163"/>
  <c r="S37" i="163" s="1"/>
  <c r="N422" i="163"/>
  <c r="N447" i="163"/>
  <c r="N425" i="163"/>
  <c r="N433" i="163"/>
  <c r="T87" i="163"/>
  <c r="N438" i="163"/>
  <c r="Q73" i="163"/>
  <c r="N424" i="163"/>
  <c r="N441" i="163"/>
  <c r="T88" i="163"/>
  <c r="Q56" i="163"/>
  <c r="S56" i="163" s="1"/>
  <c r="N426" i="163"/>
  <c r="N443" i="163"/>
  <c r="Q82" i="163"/>
  <c r="Q42" i="163"/>
  <c r="S42" i="163" s="1"/>
  <c r="N429" i="163"/>
  <c r="N446" i="163"/>
  <c r="N431" i="163"/>
  <c r="N448" i="163"/>
  <c r="Q71" i="163"/>
  <c r="Q63" i="163"/>
  <c r="N434" i="163"/>
  <c r="Q44" i="163"/>
  <c r="S44" i="163" s="1"/>
  <c r="Q65" i="163"/>
  <c r="T95" i="163"/>
  <c r="T40" i="163"/>
  <c r="Q51" i="163"/>
  <c r="Q75" i="163"/>
  <c r="Q99" i="163"/>
  <c r="S99" i="163" s="1"/>
  <c r="Q74" i="163"/>
  <c r="Q52" i="163"/>
  <c r="Q60" i="163"/>
  <c r="Q24" i="163"/>
  <c r="Q86" i="163"/>
  <c r="S86" i="163" s="1"/>
  <c r="Q62" i="163"/>
  <c r="Q81" i="163"/>
  <c r="Q23" i="163"/>
  <c r="Q25" i="163"/>
  <c r="Q35" i="163"/>
  <c r="S35" i="163" s="1"/>
  <c r="Q54" i="163"/>
  <c r="Q46" i="163"/>
  <c r="Q38" i="163"/>
  <c r="S38" i="163" s="1"/>
  <c r="F15" i="168"/>
  <c r="F32" i="168" s="1"/>
  <c r="F3" i="168" s="1"/>
  <c r="T96" i="163"/>
  <c r="Y561" i="163"/>
  <c r="T43" i="163"/>
  <c r="Q95" i="163"/>
  <c r="S95" i="163" s="1"/>
  <c r="Q87" i="163"/>
  <c r="S87" i="163" s="1"/>
  <c r="Q43" i="163"/>
  <c r="S43" i="163" s="1"/>
  <c r="T44" i="163"/>
  <c r="Q88" i="163"/>
  <c r="S88" i="163" s="1"/>
  <c r="T35" i="163"/>
  <c r="Q61" i="163"/>
  <c r="T98" i="163"/>
  <c r="T41" i="163"/>
  <c r="Y537" i="163"/>
  <c r="Q97" i="163"/>
  <c r="S97" i="163" s="1"/>
  <c r="Q40" i="163"/>
  <c r="S40" i="163" s="1"/>
  <c r="T86" i="163"/>
  <c r="Q22" i="163"/>
  <c r="T56" i="163"/>
  <c r="T42" i="163"/>
  <c r="Q104" i="163"/>
  <c r="S104" i="163" s="1"/>
  <c r="Q48" i="163"/>
  <c r="S48" i="163" s="1"/>
  <c r="Q78" i="163"/>
  <c r="Q57" i="163"/>
  <c r="Q83" i="163"/>
  <c r="T39" i="163"/>
  <c r="Q89" i="163"/>
  <c r="Q53" i="163"/>
  <c r="T48" i="163"/>
  <c r="Q103" i="163"/>
  <c r="S103" i="163" s="1"/>
  <c r="Q39" i="163"/>
  <c r="S39" i="163" s="1"/>
  <c r="T68" i="163"/>
  <c r="Q45" i="163"/>
  <c r="S45" i="163" s="1"/>
  <c r="Q105" i="163"/>
  <c r="Q70" i="163"/>
  <c r="Y513" i="163"/>
  <c r="T104" i="163"/>
  <c r="T37" i="163"/>
  <c r="Q72" i="163"/>
  <c r="Q41" i="163"/>
  <c r="S41" i="163" s="1"/>
  <c r="T102" i="163"/>
  <c r="T97" i="163"/>
  <c r="O143" i="163"/>
  <c r="C474" i="163"/>
  <c r="E9" i="164"/>
  <c r="T38" i="163"/>
  <c r="E10" i="164"/>
  <c r="E65" i="167"/>
  <c r="T99" i="163"/>
  <c r="T45" i="163"/>
  <c r="T103" i="163"/>
  <c r="E50" i="167"/>
  <c r="E18" i="167"/>
  <c r="E15" i="170"/>
  <c r="B16" i="170"/>
  <c r="B17" i="170" s="1"/>
  <c r="B18" i="170" s="1"/>
  <c r="B19" i="170" s="1"/>
  <c r="B66" i="167"/>
  <c r="B67" i="167" s="1"/>
  <c r="B68" i="167" s="1"/>
  <c r="B69" i="167" s="1"/>
  <c r="E61" i="167"/>
  <c r="E62" i="167"/>
  <c r="B11" i="164"/>
  <c r="B12" i="164" s="1"/>
  <c r="B13" i="164" s="1"/>
  <c r="B14" i="164" s="1"/>
  <c r="B15" i="164" s="1"/>
  <c r="B16" i="164" s="1"/>
  <c r="A67" i="167"/>
  <c r="A68" i="167" s="1"/>
  <c r="A69" i="167" s="1"/>
  <c r="A70" i="167" s="1"/>
  <c r="A71" i="167" s="1"/>
  <c r="A72" i="167" s="1"/>
  <c r="A73" i="167" s="1"/>
  <c r="E60" i="167"/>
  <c r="B53" i="167"/>
  <c r="A52" i="167"/>
  <c r="A53" i="167" s="1"/>
  <c r="A54" i="167" s="1"/>
  <c r="A55" i="167" s="1"/>
  <c r="A56" i="167" s="1"/>
  <c r="A57" i="167" s="1"/>
  <c r="A58" i="167" s="1"/>
  <c r="E51" i="167"/>
  <c r="B19" i="167"/>
  <c r="A16" i="170"/>
  <c r="E6" i="163"/>
  <c r="C6" i="151"/>
  <c r="E6" i="164"/>
  <c r="E6" i="167"/>
  <c r="B53" i="164"/>
  <c r="A12" i="164"/>
  <c r="A13" i="164" s="1"/>
  <c r="A14" i="164" s="1"/>
  <c r="A15" i="164" s="1"/>
  <c r="A16" i="164" s="1"/>
  <c r="A17" i="164" s="1"/>
  <c r="A18" i="164" s="1"/>
  <c r="A19" i="164" s="1"/>
  <c r="A20" i="164" s="1"/>
  <c r="A21" i="164" s="1"/>
  <c r="A22" i="164" s="1"/>
  <c r="A23" i="164" s="1"/>
  <c r="A24" i="164" s="1"/>
  <c r="A25" i="164" s="1"/>
  <c r="A26" i="164" s="1"/>
  <c r="A27" i="164" s="1"/>
  <c r="A28" i="164" s="1"/>
  <c r="A29" i="164" s="1"/>
  <c r="A30" i="164" s="1"/>
  <c r="A31" i="164" s="1"/>
  <c r="A32" i="164" s="1"/>
  <c r="A33" i="164" s="1"/>
  <c r="A34" i="164" s="1"/>
  <c r="A35" i="164" s="1"/>
  <c r="A36" i="164" s="1"/>
  <c r="A37" i="164" s="1"/>
  <c r="A38" i="164" s="1"/>
  <c r="A39" i="164" s="1"/>
  <c r="A40" i="164" s="1"/>
  <c r="A41" i="164" s="1"/>
  <c r="A42" i="164" s="1"/>
  <c r="A43" i="164" s="1"/>
  <c r="A44" i="164" s="1"/>
  <c r="A45" i="164" s="1"/>
  <c r="A43" i="167"/>
  <c r="E42" i="167"/>
  <c r="A48" i="164"/>
  <c r="E47" i="164"/>
  <c r="Z29" i="167" l="1"/>
  <c r="AA29" i="167" s="1"/>
  <c r="Y71" i="167"/>
  <c r="Z34" i="167"/>
  <c r="AA34" i="167" s="1"/>
  <c r="Z27" i="167"/>
  <c r="AA27" i="167" s="1"/>
  <c r="Y65" i="167"/>
  <c r="Z65" i="167" s="1"/>
  <c r="AA65" i="167" s="1"/>
  <c r="Z46" i="167"/>
  <c r="AA46" i="167" s="1"/>
  <c r="Z47" i="167"/>
  <c r="AA47" i="167" s="1"/>
  <c r="U42" i="167"/>
  <c r="T42" i="167"/>
  <c r="Q42" i="167"/>
  <c r="Z51" i="167"/>
  <c r="AA51" i="167" s="1"/>
  <c r="Y68" i="167"/>
  <c r="Z53" i="167"/>
  <c r="AA53" i="167" s="1"/>
  <c r="Z56" i="167"/>
  <c r="AA56" i="167" s="1"/>
  <c r="Z52" i="167"/>
  <c r="AA52" i="167" s="1"/>
  <c r="S43" i="167"/>
  <c r="Z54" i="167"/>
  <c r="AA54" i="167" s="1"/>
  <c r="T43" i="167"/>
  <c r="Q44" i="167"/>
  <c r="Z35" i="167"/>
  <c r="AA35" i="167" s="1"/>
  <c r="U44" i="167"/>
  <c r="R44" i="167"/>
  <c r="Z31" i="167"/>
  <c r="AA31" i="167" s="1"/>
  <c r="R42" i="167"/>
  <c r="S44" i="167"/>
  <c r="Z28" i="167"/>
  <c r="AA28" i="167" s="1"/>
  <c r="C461" i="163"/>
  <c r="C462" i="163" s="1"/>
  <c r="C463" i="163" s="1"/>
  <c r="X68" i="167"/>
  <c r="X60" i="167"/>
  <c r="Q43" i="167"/>
  <c r="Y43" i="167" s="1"/>
  <c r="U43" i="167"/>
  <c r="X71" i="167"/>
  <c r="Z71" i="167" s="1"/>
  <c r="AA71" i="167" s="1"/>
  <c r="X66" i="167"/>
  <c r="Z66" i="167" s="1"/>
  <c r="AA66" i="167" s="1"/>
  <c r="X67" i="167"/>
  <c r="Z67" i="167" s="1"/>
  <c r="AA67" i="167" s="1"/>
  <c r="L30" i="162"/>
  <c r="L35" i="162" s="1"/>
  <c r="O20" i="162"/>
  <c r="O30" i="162"/>
  <c r="J108" i="162"/>
  <c r="Z23" i="167"/>
  <c r="AA23" i="167" s="1"/>
  <c r="Z25" i="167"/>
  <c r="AA25" i="167" s="1"/>
  <c r="Z26" i="167"/>
  <c r="AA26" i="167" s="1"/>
  <c r="X45" i="167"/>
  <c r="Z45" i="167" s="1"/>
  <c r="AA45" i="167" s="1"/>
  <c r="Z33" i="167"/>
  <c r="AA33" i="167" s="1"/>
  <c r="Y60" i="167"/>
  <c r="Z57" i="167"/>
  <c r="AA57" i="167" s="1"/>
  <c r="Z21" i="167"/>
  <c r="AA21" i="167" s="1"/>
  <c r="Z70" i="167"/>
  <c r="AA70" i="167" s="1"/>
  <c r="Z39" i="167"/>
  <c r="AA39" i="167" s="1"/>
  <c r="Y61" i="167"/>
  <c r="X61" i="167"/>
  <c r="S72" i="167"/>
  <c r="Q72" i="167"/>
  <c r="C475" i="163"/>
  <c r="C476" i="163" s="1"/>
  <c r="C477" i="163" s="1"/>
  <c r="C478" i="163" s="1"/>
  <c r="C479" i="163" s="1"/>
  <c r="E11" i="164"/>
  <c r="E66" i="167"/>
  <c r="E12" i="164"/>
  <c r="E52" i="167"/>
  <c r="E67" i="167"/>
  <c r="E16" i="170"/>
  <c r="A17" i="170"/>
  <c r="B54" i="167"/>
  <c r="E53" i="167"/>
  <c r="E19" i="167"/>
  <c r="B20" i="167"/>
  <c r="E68" i="167"/>
  <c r="B70" i="167"/>
  <c r="E69" i="167"/>
  <c r="B20" i="170"/>
  <c r="B17" i="164"/>
  <c r="E16" i="164"/>
  <c r="E14" i="164"/>
  <c r="B54" i="164"/>
  <c r="A44" i="167"/>
  <c r="E43" i="167"/>
  <c r="A49" i="164"/>
  <c r="E48" i="164"/>
  <c r="E13" i="164"/>
  <c r="E15" i="164"/>
  <c r="J49" i="162" l="1"/>
  <c r="J47" i="162"/>
  <c r="Y42" i="167"/>
  <c r="X42" i="167"/>
  <c r="M36" i="162"/>
  <c r="H50" i="162" s="1"/>
  <c r="J50" i="162" s="1"/>
  <c r="Z68" i="167"/>
  <c r="AA68" i="167" s="1"/>
  <c r="X44" i="167"/>
  <c r="Z42" i="167"/>
  <c r="AA42" i="167" s="1"/>
  <c r="X43" i="167"/>
  <c r="Y44" i="167"/>
  <c r="Z44" i="167" s="1"/>
  <c r="AA44" i="167" s="1"/>
  <c r="Z60" i="167"/>
  <c r="AA60" i="167" s="1"/>
  <c r="Z61" i="167"/>
  <c r="AA61" i="167" s="1"/>
  <c r="Z43" i="167"/>
  <c r="AA43" i="167" s="1"/>
  <c r="X72" i="167"/>
  <c r="Y72" i="167"/>
  <c r="B21" i="167"/>
  <c r="E20" i="167"/>
  <c r="B55" i="167"/>
  <c r="E54" i="167"/>
  <c r="A18" i="170"/>
  <c r="E17" i="170"/>
  <c r="E70" i="167"/>
  <c r="B71" i="167"/>
  <c r="A45" i="167"/>
  <c r="E44" i="167"/>
  <c r="E17" i="164"/>
  <c r="B18" i="164"/>
  <c r="B21" i="170"/>
  <c r="A50" i="164"/>
  <c r="E49" i="164"/>
  <c r="B55" i="164"/>
  <c r="J51" i="162" l="1"/>
  <c r="Z72" i="167"/>
  <c r="AA72" i="167" s="1"/>
  <c r="E55" i="167"/>
  <c r="B56" i="167"/>
  <c r="B22" i="167"/>
  <c r="E21" i="167"/>
  <c r="E71" i="167"/>
  <c r="B72" i="167"/>
  <c r="A19" i="170"/>
  <c r="E18" i="170"/>
  <c r="B56" i="164"/>
  <c r="A51" i="164"/>
  <c r="E50" i="164"/>
  <c r="B22" i="170"/>
  <c r="E18" i="164"/>
  <c r="B19" i="164"/>
  <c r="A46" i="167"/>
  <c r="E45" i="167"/>
  <c r="B23" i="167" l="1"/>
  <c r="E22" i="167"/>
  <c r="A20" i="170"/>
  <c r="E19" i="170"/>
  <c r="B57" i="167"/>
  <c r="E56" i="167"/>
  <c r="E72" i="167"/>
  <c r="B73" i="167"/>
  <c r="A52" i="164"/>
  <c r="E51" i="164"/>
  <c r="B57" i="164"/>
  <c r="E19" i="164"/>
  <c r="B20" i="164"/>
  <c r="A47" i="167"/>
  <c r="E46" i="167"/>
  <c r="B23" i="170"/>
  <c r="A21" i="170" l="1"/>
  <c r="E20" i="170"/>
  <c r="E57" i="167"/>
  <c r="B58" i="167"/>
  <c r="E23" i="167"/>
  <c r="B24" i="167"/>
  <c r="B24" i="170"/>
  <c r="A48" i="167"/>
  <c r="E47" i="167"/>
  <c r="E20" i="164"/>
  <c r="B21" i="164"/>
  <c r="B58" i="164"/>
  <c r="A53" i="164"/>
  <c r="E52" i="164"/>
  <c r="A22" i="170" l="1"/>
  <c r="E21" i="170"/>
  <c r="B25" i="167"/>
  <c r="E24" i="167"/>
  <c r="B59" i="164"/>
  <c r="A54" i="164"/>
  <c r="E53" i="164"/>
  <c r="B22" i="164"/>
  <c r="E21" i="164"/>
  <c r="B25" i="170"/>
  <c r="B26" i="167" l="1"/>
  <c r="E25" i="167"/>
  <c r="A23" i="170"/>
  <c r="E22" i="170"/>
  <c r="B26" i="170"/>
  <c r="B23" i="164"/>
  <c r="E22" i="164"/>
  <c r="A55" i="164"/>
  <c r="E54" i="164"/>
  <c r="B60" i="164"/>
  <c r="A24" i="170" l="1"/>
  <c r="E23" i="170"/>
  <c r="B27" i="167"/>
  <c r="E26" i="167"/>
  <c r="B61" i="164"/>
  <c r="A56" i="164"/>
  <c r="E55" i="164"/>
  <c r="E23" i="164"/>
  <c r="B24" i="164"/>
  <c r="A25" i="170" l="1"/>
  <c r="E24" i="170"/>
  <c r="E27" i="167"/>
  <c r="B28" i="167"/>
  <c r="B62" i="164"/>
  <c r="A57" i="164"/>
  <c r="E56" i="164"/>
  <c r="B25" i="164"/>
  <c r="E24" i="164"/>
  <c r="A26" i="170" l="1"/>
  <c r="E25" i="170"/>
  <c r="B29" i="167"/>
  <c r="E28" i="167"/>
  <c r="A58" i="164"/>
  <c r="E57" i="164"/>
  <c r="B63" i="164"/>
  <c r="E25" i="164"/>
  <c r="B26" i="164"/>
  <c r="O27" i="170" l="1"/>
  <c r="G10" i="170" s="1"/>
  <c r="O7" i="170" s="1"/>
  <c r="E26" i="170"/>
  <c r="B30" i="167"/>
  <c r="E29" i="167"/>
  <c r="A59" i="164"/>
  <c r="E58" i="164"/>
  <c r="B64" i="164"/>
  <c r="E26" i="164"/>
  <c r="B27" i="164"/>
  <c r="E30" i="167" l="1"/>
  <c r="B31" i="167"/>
  <c r="B65" i="164"/>
  <c r="A60" i="164"/>
  <c r="E59" i="164"/>
  <c r="E27" i="164"/>
  <c r="B28" i="164"/>
  <c r="B32" i="167" l="1"/>
  <c r="E31" i="167"/>
  <c r="B66" i="164"/>
  <c r="B29" i="164"/>
  <c r="E28" i="164"/>
  <c r="A61" i="164"/>
  <c r="E60" i="164"/>
  <c r="E32" i="167" l="1"/>
  <c r="B33" i="167"/>
  <c r="A62" i="164"/>
  <c r="E61" i="164"/>
  <c r="B67" i="164"/>
  <c r="B30" i="164"/>
  <c r="E29" i="164"/>
  <c r="E33" i="167" l="1"/>
  <c r="B34" i="167"/>
  <c r="E30" i="164"/>
  <c r="B31" i="164"/>
  <c r="A63" i="164"/>
  <c r="E62" i="164"/>
  <c r="B68" i="164"/>
  <c r="E34" i="167" l="1"/>
  <c r="B35" i="167"/>
  <c r="B36" i="167" s="1"/>
  <c r="B69" i="164"/>
  <c r="A64" i="164"/>
  <c r="E63" i="164"/>
  <c r="E31" i="164"/>
  <c r="B32" i="164"/>
  <c r="B37" i="167" l="1"/>
  <c r="E36" i="167"/>
  <c r="E35" i="167"/>
  <c r="E32" i="164"/>
  <c r="B33" i="164"/>
  <c r="A65" i="164"/>
  <c r="E64" i="164"/>
  <c r="B70" i="164"/>
  <c r="B38" i="167" l="1"/>
  <c r="E37" i="167"/>
  <c r="B71" i="164"/>
  <c r="B72" i="164" s="1"/>
  <c r="A66" i="164"/>
  <c r="E65" i="164"/>
  <c r="E33" i="164"/>
  <c r="B34" i="164"/>
  <c r="E38" i="167" l="1"/>
  <c r="B39" i="167"/>
  <c r="E34" i="164"/>
  <c r="B35" i="164"/>
  <c r="A67" i="164"/>
  <c r="E66" i="164"/>
  <c r="B73" i="164"/>
  <c r="E39" i="167" l="1"/>
  <c r="B40" i="167"/>
  <c r="B74" i="164"/>
  <c r="A68" i="164"/>
  <c r="E67" i="164"/>
  <c r="B36" i="164"/>
  <c r="E35" i="164"/>
  <c r="E36" i="164" l="1"/>
  <c r="B37" i="164"/>
  <c r="A69" i="164"/>
  <c r="E68" i="164"/>
  <c r="B75" i="164"/>
  <c r="B76" i="164" l="1"/>
  <c r="A70" i="164"/>
  <c r="E69" i="164"/>
  <c r="E37" i="164"/>
  <c r="B38" i="164"/>
  <c r="B39" i="164" l="1"/>
  <c r="E38" i="164"/>
  <c r="A71" i="164"/>
  <c r="A72" i="164" s="1"/>
  <c r="E72" i="164" s="1"/>
  <c r="E70" i="164"/>
  <c r="A73" i="164" l="1"/>
  <c r="E73" i="164" s="1"/>
  <c r="E71" i="164"/>
  <c r="B40" i="164"/>
  <c r="E39" i="164"/>
  <c r="B41" i="164" l="1"/>
  <c r="E40" i="164"/>
  <c r="A74" i="164"/>
  <c r="E74" i="164" s="1"/>
  <c r="A75" i="164" l="1"/>
  <c r="E75" i="164" s="1"/>
  <c r="E41" i="164"/>
  <c r="B42" i="164"/>
  <c r="B43" i="164" l="1"/>
  <c r="E42" i="164"/>
  <c r="A76" i="164"/>
  <c r="E76" i="164" s="1"/>
  <c r="E43" i="164" l="1"/>
  <c r="B44" i="164"/>
  <c r="E44" i="164" l="1"/>
  <c r="B45" i="164"/>
  <c r="E45" i="164" s="1"/>
  <c r="G6" i="162" l="1"/>
  <c r="J299" i="163"/>
  <c r="N366" i="163" l="1"/>
  <c r="K366" i="163"/>
  <c r="M366" i="163" s="1"/>
  <c r="P366" i="163" s="1"/>
  <c r="J22" i="163"/>
  <c r="J24" i="163"/>
  <c r="J23" i="163"/>
  <c r="J25" i="163"/>
  <c r="N461" i="163"/>
  <c r="K459" i="163"/>
  <c r="M459" i="163" s="1"/>
  <c r="N459" i="163"/>
  <c r="N460" i="163"/>
  <c r="N462" i="163"/>
  <c r="K460" i="163"/>
  <c r="M460" i="163" s="1"/>
  <c r="K266" i="163"/>
  <c r="M266" i="163" s="1"/>
  <c r="N457" i="163"/>
  <c r="N458" i="163"/>
  <c r="N463" i="163"/>
  <c r="L53" i="163"/>
  <c r="O53" i="163" s="1"/>
  <c r="L25" i="163"/>
  <c r="L24" i="163"/>
  <c r="L23" i="163"/>
  <c r="L26" i="163"/>
  <c r="L22" i="163"/>
  <c r="H42" i="162"/>
  <c r="L212" i="163"/>
  <c r="K179" i="163"/>
  <c r="M179" i="163" s="1"/>
  <c r="L340" i="163"/>
  <c r="L341" i="163"/>
  <c r="L342" i="163"/>
  <c r="L344" i="163"/>
  <c r="L466" i="163"/>
  <c r="L470" i="163"/>
  <c r="M470" i="163" s="1"/>
  <c r="L339" i="163"/>
  <c r="L343" i="163"/>
  <c r="L345" i="163"/>
  <c r="L469" i="163"/>
  <c r="M469" i="163" s="1"/>
  <c r="L346" i="163"/>
  <c r="L348" i="163"/>
  <c r="L475" i="163"/>
  <c r="M475" i="163" s="1"/>
  <c r="L352" i="163"/>
  <c r="L476" i="163"/>
  <c r="M476" i="163" s="1"/>
  <c r="L467" i="163"/>
  <c r="L347" i="163"/>
  <c r="L471" i="163"/>
  <c r="M471" i="163" s="1"/>
  <c r="L472" i="163"/>
  <c r="M472" i="163" s="1"/>
  <c r="L349" i="163"/>
  <c r="L473" i="163"/>
  <c r="M473" i="163" s="1"/>
  <c r="L350" i="163"/>
  <c r="L474" i="163"/>
  <c r="M474" i="163" s="1"/>
  <c r="L351" i="163"/>
  <c r="L468" i="163"/>
  <c r="M468" i="163" s="1"/>
  <c r="N373" i="163"/>
  <c r="N265" i="163"/>
  <c r="N364" i="163"/>
  <c r="N413" i="163"/>
  <c r="N262" i="163"/>
  <c r="N370" i="163"/>
  <c r="N387" i="163"/>
  <c r="N401" i="163"/>
  <c r="N177" i="163"/>
  <c r="N224" i="163"/>
  <c r="N185" i="163"/>
  <c r="N139" i="163"/>
  <c r="N174" i="163"/>
  <c r="N402" i="163"/>
  <c r="N332" i="163"/>
  <c r="N189" i="163"/>
  <c r="K157" i="163"/>
  <c r="N327" i="163"/>
  <c r="N179" i="163"/>
  <c r="N204" i="163"/>
  <c r="N134" i="163"/>
  <c r="N362" i="163"/>
  <c r="N194" i="163"/>
  <c r="N269" i="163"/>
  <c r="N403" i="163"/>
  <c r="N165" i="163"/>
  <c r="N192" i="163"/>
  <c r="N415" i="163"/>
  <c r="I9" i="164"/>
  <c r="I19" i="164" s="1"/>
  <c r="L19" i="164" s="1"/>
  <c r="N381" i="163"/>
  <c r="N321" i="163"/>
  <c r="N214" i="163"/>
  <c r="K281" i="163"/>
  <c r="N371" i="163"/>
  <c r="N267" i="163"/>
  <c r="N203" i="163"/>
  <c r="N416" i="163"/>
  <c r="K212" i="163"/>
  <c r="N330" i="163"/>
  <c r="K174" i="163"/>
  <c r="M174" i="163" s="1"/>
  <c r="K250" i="163"/>
  <c r="N186" i="163"/>
  <c r="N184" i="163"/>
  <c r="N225" i="163"/>
  <c r="N256" i="163"/>
  <c r="N205" i="163"/>
  <c r="N396" i="163"/>
  <c r="N311" i="163"/>
  <c r="N229" i="163"/>
  <c r="K404" i="163"/>
  <c r="M404" i="163" s="1"/>
  <c r="N323" i="163"/>
  <c r="N219" i="163"/>
  <c r="N161" i="163"/>
  <c r="N152" i="163"/>
  <c r="N187" i="163"/>
  <c r="N167" i="163"/>
  <c r="N264" i="163"/>
  <c r="K271" i="163"/>
  <c r="N162" i="163"/>
  <c r="N380" i="163"/>
  <c r="L90" i="163"/>
  <c r="AS90" i="163" s="1"/>
  <c r="N388" i="163"/>
  <c r="N166" i="163"/>
  <c r="N127" i="163"/>
  <c r="N263" i="163"/>
  <c r="N151" i="163"/>
  <c r="N175" i="163"/>
  <c r="K352" i="163"/>
  <c r="N405" i="163"/>
  <c r="N397" i="163"/>
  <c r="K227" i="163"/>
  <c r="M227" i="163" s="1"/>
  <c r="L79" i="163"/>
  <c r="K333" i="163"/>
  <c r="K531" i="163"/>
  <c r="M531" i="163" s="1"/>
  <c r="P531" i="163" s="1"/>
  <c r="K219" i="163"/>
  <c r="M219" i="163" s="1"/>
  <c r="K489" i="163"/>
  <c r="M489" i="163" s="1"/>
  <c r="P489" i="163" s="1"/>
  <c r="L63" i="163"/>
  <c r="K154" i="163"/>
  <c r="M154" i="163" s="1"/>
  <c r="N406" i="163"/>
  <c r="L81" i="163"/>
  <c r="K151" i="163"/>
  <c r="M151" i="163" s="1"/>
  <c r="K477" i="163"/>
  <c r="M477" i="163" s="1"/>
  <c r="P477" i="163" s="1"/>
  <c r="L48" i="163"/>
  <c r="N140" i="163"/>
  <c r="N326" i="163"/>
  <c r="K495" i="163"/>
  <c r="M495" i="163" s="1"/>
  <c r="P495" i="163" s="1"/>
  <c r="K194" i="163"/>
  <c r="M194" i="163" s="1"/>
  <c r="L44" i="163"/>
  <c r="K135" i="163"/>
  <c r="M135" i="163" s="1"/>
  <c r="L39" i="163"/>
  <c r="K203" i="163"/>
  <c r="M203" i="163" s="1"/>
  <c r="K344" i="163"/>
  <c r="N195" i="163"/>
  <c r="N393" i="163"/>
  <c r="N153" i="163"/>
  <c r="N158" i="163"/>
  <c r="N270" i="163"/>
  <c r="K405" i="163"/>
  <c r="M405" i="163" s="1"/>
  <c r="L54" i="163"/>
  <c r="O54" i="163" s="1"/>
  <c r="K288" i="163"/>
  <c r="M288" i="163" s="1"/>
  <c r="P288" i="163" s="1"/>
  <c r="L91" i="163"/>
  <c r="L38" i="163"/>
  <c r="O38" i="163" s="1"/>
  <c r="L425" i="163"/>
  <c r="N212" i="163"/>
  <c r="N157" i="163"/>
  <c r="N331" i="163"/>
  <c r="N320" i="163"/>
  <c r="N385" i="163"/>
  <c r="N360" i="163"/>
  <c r="L46" i="163"/>
  <c r="K290" i="163"/>
  <c r="M290" i="163" s="1"/>
  <c r="P290" i="163" s="1"/>
  <c r="K184" i="163"/>
  <c r="M184" i="163" s="1"/>
  <c r="L446" i="163"/>
  <c r="K311" i="163"/>
  <c r="M311" i="163" s="1"/>
  <c r="L445" i="163"/>
  <c r="K149" i="163"/>
  <c r="M149" i="163" s="1"/>
  <c r="K243" i="163"/>
  <c r="M243" i="163" s="1"/>
  <c r="P243" i="163" s="1"/>
  <c r="K496" i="163"/>
  <c r="M496" i="163" s="1"/>
  <c r="P496" i="163" s="1"/>
  <c r="L57" i="163"/>
  <c r="L439" i="163"/>
  <c r="K237" i="163"/>
  <c r="M237" i="163" s="1"/>
  <c r="P237" i="163" s="1"/>
  <c r="K539" i="163"/>
  <c r="M539" i="163" s="1"/>
  <c r="P539" i="163" s="1"/>
  <c r="K349" i="163"/>
  <c r="K365" i="163"/>
  <c r="M365" i="163" s="1"/>
  <c r="K347" i="163"/>
  <c r="L42" i="163"/>
  <c r="K397" i="163"/>
  <c r="M397" i="163" s="1"/>
  <c r="L421" i="163"/>
  <c r="L442" i="163"/>
  <c r="K456" i="163"/>
  <c r="M456" i="163" s="1"/>
  <c r="K336" i="163"/>
  <c r="M336" i="163" s="1"/>
  <c r="P336" i="163" s="1"/>
  <c r="K246" i="163"/>
  <c r="M246" i="163" s="1"/>
  <c r="P246" i="163" s="1"/>
  <c r="K408" i="163"/>
  <c r="M408" i="163" s="1"/>
  <c r="P408" i="163" s="1"/>
  <c r="K257" i="163"/>
  <c r="M257" i="163" s="1"/>
  <c r="K244" i="163"/>
  <c r="M244" i="163" s="1"/>
  <c r="P244" i="163" s="1"/>
  <c r="K178" i="163"/>
  <c r="M178" i="163" s="1"/>
  <c r="L420" i="163"/>
  <c r="L435" i="163"/>
  <c r="K466" i="163"/>
  <c r="L434" i="163"/>
  <c r="K324" i="163"/>
  <c r="M324" i="163" s="1"/>
  <c r="K236" i="163"/>
  <c r="M236" i="163" s="1"/>
  <c r="P236" i="163" s="1"/>
  <c r="L427" i="163"/>
  <c r="K239" i="163"/>
  <c r="M239" i="163" s="1"/>
  <c r="P239" i="163" s="1"/>
  <c r="K187" i="163"/>
  <c r="M187" i="163" s="1"/>
  <c r="K315" i="163"/>
  <c r="K520" i="163"/>
  <c r="M520" i="163" s="1"/>
  <c r="P520" i="163" s="1"/>
  <c r="L424" i="163"/>
  <c r="L428" i="163"/>
  <c r="L448" i="163"/>
  <c r="L441" i="163"/>
  <c r="L422" i="163"/>
  <c r="L444" i="163"/>
  <c r="L429" i="163"/>
  <c r="K205" i="163"/>
  <c r="M205" i="163" s="1"/>
  <c r="K467" i="163"/>
  <c r="M467" i="163" s="1"/>
  <c r="P467" i="163" s="1"/>
  <c r="L443" i="163"/>
  <c r="L431" i="163"/>
  <c r="K317" i="163"/>
  <c r="K259" i="163"/>
  <c r="M259" i="163" s="1"/>
  <c r="K510" i="163"/>
  <c r="M510" i="163" s="1"/>
  <c r="P510" i="163" s="1"/>
  <c r="K361" i="163"/>
  <c r="M361" i="163" s="1"/>
  <c r="K402" i="163"/>
  <c r="M402" i="163" s="1"/>
  <c r="K340" i="163"/>
  <c r="K351" i="163"/>
  <c r="K332" i="163"/>
  <c r="L423" i="163"/>
  <c r="K379" i="163"/>
  <c r="M379" i="163" s="1"/>
  <c r="L430" i="163"/>
  <c r="K415" i="163"/>
  <c r="M415" i="163" s="1"/>
  <c r="K538" i="163"/>
  <c r="M538" i="163" s="1"/>
  <c r="P538" i="163" s="1"/>
  <c r="K501" i="163"/>
  <c r="M501" i="163" s="1"/>
  <c r="P501" i="163" s="1"/>
  <c r="L437" i="163"/>
  <c r="L426" i="163"/>
  <c r="K261" i="163"/>
  <c r="M261" i="163" s="1"/>
  <c r="K497" i="163"/>
  <c r="M497" i="163" s="1"/>
  <c r="P497" i="163" s="1"/>
  <c r="K542" i="163"/>
  <c r="M542" i="163" s="1"/>
  <c r="P542" i="163" s="1"/>
  <c r="K197" i="163"/>
  <c r="M197" i="163" s="1"/>
  <c r="K360" i="163"/>
  <c r="M360" i="163" s="1"/>
  <c r="K185" i="163"/>
  <c r="M185" i="163" s="1"/>
  <c r="K388" i="163"/>
  <c r="M388" i="163" s="1"/>
  <c r="K249" i="163"/>
  <c r="M249" i="163" s="1"/>
  <c r="P249" i="163" s="1"/>
  <c r="K189" i="163"/>
  <c r="M189" i="163" s="1"/>
  <c r="K479" i="163"/>
  <c r="M479" i="163" s="1"/>
  <c r="P479" i="163" s="1"/>
  <c r="K534" i="163"/>
  <c r="M534" i="163" s="1"/>
  <c r="P534" i="163" s="1"/>
  <c r="K524" i="163"/>
  <c r="M524" i="163" s="1"/>
  <c r="P524" i="163" s="1"/>
  <c r="K262" i="163"/>
  <c r="M262" i="163" s="1"/>
  <c r="K313" i="163"/>
  <c r="K416" i="163"/>
  <c r="M416" i="163" s="1"/>
  <c r="K516" i="163"/>
  <c r="M516" i="163" s="1"/>
  <c r="P516" i="163" s="1"/>
  <c r="K550" i="163"/>
  <c r="M550" i="163" s="1"/>
  <c r="P550" i="163" s="1"/>
  <c r="K492" i="163"/>
  <c r="M492" i="163" s="1"/>
  <c r="P492" i="163" s="1"/>
  <c r="L83" i="163"/>
  <c r="K210" i="163"/>
  <c r="M210" i="163" s="1"/>
  <c r="K374" i="163"/>
  <c r="M374" i="163" s="1"/>
  <c r="K389" i="163"/>
  <c r="M389" i="163" s="1"/>
  <c r="K409" i="163"/>
  <c r="M409" i="163" s="1"/>
  <c r="K175" i="163"/>
  <c r="M175" i="163" s="1"/>
  <c r="K214" i="163"/>
  <c r="M214" i="163" s="1"/>
  <c r="K164" i="163"/>
  <c r="M164" i="163" s="1"/>
  <c r="K215" i="163"/>
  <c r="M215" i="163" s="1"/>
  <c r="K192" i="163"/>
  <c r="M192" i="163" s="1"/>
  <c r="L89" i="163"/>
  <c r="O89" i="163" s="1"/>
  <c r="K286" i="163"/>
  <c r="M286" i="163" s="1"/>
  <c r="P286" i="163" s="1"/>
  <c r="L82" i="163"/>
  <c r="K487" i="163"/>
  <c r="M487" i="163" s="1"/>
  <c r="P487" i="163" s="1"/>
  <c r="K345" i="163"/>
  <c r="K133" i="163"/>
  <c r="M133" i="163" s="1"/>
  <c r="K369" i="163"/>
  <c r="M369" i="163" s="1"/>
  <c r="K371" i="163"/>
  <c r="M371" i="163" s="1"/>
  <c r="K517" i="163"/>
  <c r="M517" i="163" s="1"/>
  <c r="P517" i="163" s="1"/>
  <c r="K206" i="163"/>
  <c r="M206" i="163" s="1"/>
  <c r="K247" i="163"/>
  <c r="M247" i="163" s="1"/>
  <c r="P247" i="163" s="1"/>
  <c r="K478" i="163"/>
  <c r="M478" i="163" s="1"/>
  <c r="P478" i="163" s="1"/>
  <c r="K529" i="163"/>
  <c r="M529" i="163" s="1"/>
  <c r="P529" i="163" s="1"/>
  <c r="L74" i="163"/>
  <c r="L56" i="163"/>
  <c r="L99" i="163"/>
  <c r="K280" i="163"/>
  <c r="M280" i="163" s="1"/>
  <c r="P280" i="163" s="1"/>
  <c r="K346" i="163"/>
  <c r="K554" i="163"/>
  <c r="M554" i="163" s="1"/>
  <c r="P554" i="163" s="1"/>
  <c r="K202" i="163"/>
  <c r="M202" i="163" s="1"/>
  <c r="K195" i="163"/>
  <c r="M195" i="163" s="1"/>
  <c r="K527" i="163"/>
  <c r="M527" i="163" s="1"/>
  <c r="P527" i="163" s="1"/>
  <c r="L432" i="163"/>
  <c r="K177" i="163"/>
  <c r="M177" i="163" s="1"/>
  <c r="K522" i="163"/>
  <c r="M522" i="163" s="1"/>
  <c r="P522" i="163" s="1"/>
  <c r="K270" i="163"/>
  <c r="K225" i="163"/>
  <c r="M225" i="163" s="1"/>
  <c r="K165" i="163"/>
  <c r="M165" i="163" s="1"/>
  <c r="L87" i="163"/>
  <c r="K331" i="163"/>
  <c r="K156" i="163"/>
  <c r="M156" i="163" s="1"/>
  <c r="L105" i="163"/>
  <c r="K294" i="163"/>
  <c r="M294" i="163" s="1"/>
  <c r="P294" i="163" s="1"/>
  <c r="K304" i="163"/>
  <c r="M304" i="163" s="1"/>
  <c r="P304" i="163" s="1"/>
  <c r="K385" i="163"/>
  <c r="M385" i="163" s="1"/>
  <c r="L70" i="163"/>
  <c r="K160" i="163"/>
  <c r="M160" i="163" s="1"/>
  <c r="K343" i="163"/>
  <c r="K140" i="163"/>
  <c r="M140" i="163" s="1"/>
  <c r="K314" i="163"/>
  <c r="M314" i="163" s="1"/>
  <c r="K400" i="163"/>
  <c r="M400" i="163" s="1"/>
  <c r="K463" i="163"/>
  <c r="M463" i="163" s="1"/>
  <c r="L62" i="163"/>
  <c r="L449" i="163"/>
  <c r="K532" i="163"/>
  <c r="M532" i="163" s="1"/>
  <c r="P532" i="163" s="1"/>
  <c r="K222" i="163"/>
  <c r="M222" i="163" s="1"/>
  <c r="K337" i="163"/>
  <c r="M337" i="163" s="1"/>
  <c r="P337" i="163" s="1"/>
  <c r="K216" i="163"/>
  <c r="M216" i="163" s="1"/>
  <c r="K176" i="163"/>
  <c r="M176" i="163" s="1"/>
  <c r="K410" i="163"/>
  <c r="M410" i="163" s="1"/>
  <c r="L61" i="163"/>
  <c r="K305" i="163"/>
  <c r="M305" i="163" s="1"/>
  <c r="P305" i="163" s="1"/>
  <c r="L80" i="163"/>
  <c r="K303" i="163"/>
  <c r="M303" i="163" s="1"/>
  <c r="P303" i="163" s="1"/>
  <c r="K150" i="163"/>
  <c r="M150" i="163" s="1"/>
  <c r="L88" i="163"/>
  <c r="L98" i="163"/>
  <c r="L433" i="163"/>
  <c r="K321" i="163"/>
  <c r="M321" i="163" s="1"/>
  <c r="K535" i="163"/>
  <c r="M535" i="163" s="1"/>
  <c r="P535" i="163" s="1"/>
  <c r="L36" i="163"/>
  <c r="K141" i="163"/>
  <c r="M141" i="163" s="1"/>
  <c r="K242" i="163"/>
  <c r="M242" i="163" s="1"/>
  <c r="P242" i="163" s="1"/>
  <c r="K393" i="163"/>
  <c r="M393" i="163" s="1"/>
  <c r="K158" i="163"/>
  <c r="M158" i="163" s="1"/>
  <c r="K380" i="163"/>
  <c r="M380" i="163" s="1"/>
  <c r="K396" i="163"/>
  <c r="M396" i="163" s="1"/>
  <c r="K277" i="163"/>
  <c r="M277" i="163" s="1"/>
  <c r="P277" i="163" s="1"/>
  <c r="K488" i="163"/>
  <c r="M488" i="163" s="1"/>
  <c r="P488" i="163" s="1"/>
  <c r="K322" i="163"/>
  <c r="P322" i="163" s="1"/>
  <c r="K323" i="163"/>
  <c r="M457" i="163"/>
  <c r="P457" i="163" s="1"/>
  <c r="K412" i="163"/>
  <c r="M412" i="163" s="1"/>
  <c r="K224" i="163"/>
  <c r="M224" i="163" s="1"/>
  <c r="K193" i="163"/>
  <c r="M193" i="163" s="1"/>
  <c r="K551" i="163"/>
  <c r="M551" i="163" s="1"/>
  <c r="P551" i="163" s="1"/>
  <c r="K296" i="163"/>
  <c r="M296" i="163" s="1"/>
  <c r="P296" i="163" s="1"/>
  <c r="L103" i="163"/>
  <c r="K547" i="163"/>
  <c r="M547" i="163" s="1"/>
  <c r="P547" i="163" s="1"/>
  <c r="L52" i="163"/>
  <c r="K536" i="163"/>
  <c r="M536" i="163" s="1"/>
  <c r="P536" i="163" s="1"/>
  <c r="K229" i="163"/>
  <c r="M229" i="163" s="1"/>
  <c r="K129" i="163"/>
  <c r="M129" i="163" s="1"/>
  <c r="K264" i="163"/>
  <c r="M264" i="163" s="1"/>
  <c r="L64" i="163"/>
  <c r="K329" i="163"/>
  <c r="M329" i="163" s="1"/>
  <c r="K372" i="163"/>
  <c r="M372" i="163" s="1"/>
  <c r="L43" i="163"/>
  <c r="K330" i="163"/>
  <c r="K364" i="163"/>
  <c r="M364" i="163" s="1"/>
  <c r="K367" i="163"/>
  <c r="M367" i="163" s="1"/>
  <c r="L47" i="163"/>
  <c r="K284" i="163"/>
  <c r="M284" i="163" s="1"/>
  <c r="P284" i="163" s="1"/>
  <c r="K289" i="163"/>
  <c r="M289" i="163" s="1"/>
  <c r="P289" i="163" s="1"/>
  <c r="K268" i="163"/>
  <c r="M268" i="163" s="1"/>
  <c r="K543" i="163"/>
  <c r="M543" i="163" s="1"/>
  <c r="P543" i="163" s="1"/>
  <c r="K166" i="163"/>
  <c r="M166" i="163" s="1"/>
  <c r="L447" i="163"/>
  <c r="K318" i="163"/>
  <c r="K292" i="163"/>
  <c r="M292" i="163" s="1"/>
  <c r="P292" i="163" s="1"/>
  <c r="K248" i="163"/>
  <c r="M248" i="163" s="1"/>
  <c r="P248" i="163" s="1"/>
  <c r="K505" i="163"/>
  <c r="M505" i="163" s="1"/>
  <c r="P505" i="163" s="1"/>
  <c r="K275" i="163"/>
  <c r="M275" i="163" s="1"/>
  <c r="P275" i="163" s="1"/>
  <c r="K458" i="163"/>
  <c r="M458" i="163" s="1"/>
  <c r="K136" i="163"/>
  <c r="M136" i="163" s="1"/>
  <c r="K301" i="163"/>
  <c r="M301" i="163" s="1"/>
  <c r="P301" i="163" s="1"/>
  <c r="K512" i="163"/>
  <c r="M512" i="163" s="1"/>
  <c r="P512" i="163" s="1"/>
  <c r="K186" i="163"/>
  <c r="M186" i="163" s="1"/>
  <c r="K263" i="163"/>
  <c r="M263" i="163" s="1"/>
  <c r="K387" i="163"/>
  <c r="M387" i="163" s="1"/>
  <c r="P387" i="163" s="1"/>
  <c r="K228" i="163"/>
  <c r="M228" i="163" s="1"/>
  <c r="K295" i="163"/>
  <c r="M295" i="163" s="1"/>
  <c r="P295" i="163" s="1"/>
  <c r="K226" i="163"/>
  <c r="M226" i="163" s="1"/>
  <c r="K293" i="163"/>
  <c r="M293" i="163" s="1"/>
  <c r="P293" i="163" s="1"/>
  <c r="K298" i="163"/>
  <c r="M298" i="163" s="1"/>
  <c r="P298" i="163" s="1"/>
  <c r="L104" i="163"/>
  <c r="K148" i="163"/>
  <c r="M148" i="163" s="1"/>
  <c r="K238" i="163"/>
  <c r="M238" i="163" s="1"/>
  <c r="P238" i="163" s="1"/>
  <c r="K533" i="163"/>
  <c r="M533" i="163" s="1"/>
  <c r="P533" i="163" s="1"/>
  <c r="K255" i="163"/>
  <c r="M255" i="163" s="1"/>
  <c r="K398" i="163"/>
  <c r="M398" i="163" s="1"/>
  <c r="K373" i="163"/>
  <c r="M373" i="163" s="1"/>
  <c r="K245" i="163"/>
  <c r="M245" i="163" s="1"/>
  <c r="P245" i="163" s="1"/>
  <c r="L40" i="163"/>
  <c r="K491" i="163"/>
  <c r="M491" i="163" s="1"/>
  <c r="P491" i="163" s="1"/>
  <c r="L78" i="163"/>
  <c r="K382" i="163"/>
  <c r="M382" i="163" s="1"/>
  <c r="K508" i="163"/>
  <c r="M508" i="163" s="1"/>
  <c r="P508" i="163" s="1"/>
  <c r="K169" i="163"/>
  <c r="M169" i="163" s="1"/>
  <c r="E16" i="163"/>
  <c r="H15" i="163" s="1"/>
  <c r="K494" i="163"/>
  <c r="M494" i="163" s="1"/>
  <c r="P494" i="163" s="1"/>
  <c r="K191" i="163"/>
  <c r="M191" i="163" s="1"/>
  <c r="K537" i="163"/>
  <c r="M537" i="163" s="1"/>
  <c r="P537" i="163" s="1"/>
  <c r="K335" i="163"/>
  <c r="M335" i="163" s="1"/>
  <c r="K209" i="163"/>
  <c r="M209" i="163" s="1"/>
  <c r="K153" i="163"/>
  <c r="M153" i="163" s="1"/>
  <c r="K276" i="163"/>
  <c r="M276" i="163" s="1"/>
  <c r="P276" i="163" s="1"/>
  <c r="K213" i="163"/>
  <c r="M213" i="163" s="1"/>
  <c r="L95" i="163"/>
  <c r="K327" i="163"/>
  <c r="L68" i="163"/>
  <c r="K220" i="163"/>
  <c r="M220" i="163" s="1"/>
  <c r="K188" i="163"/>
  <c r="M188" i="163" s="1"/>
  <c r="K401" i="163"/>
  <c r="M401" i="163" s="1"/>
  <c r="L76" i="163"/>
  <c r="K525" i="163"/>
  <c r="M525" i="163" s="1"/>
  <c r="P525" i="163" s="1"/>
  <c r="L97" i="163"/>
  <c r="K180" i="163"/>
  <c r="M180" i="163" s="1"/>
  <c r="K392" i="163"/>
  <c r="M392" i="163" s="1"/>
  <c r="K493" i="163"/>
  <c r="M493" i="163" s="1"/>
  <c r="P493" i="163" s="1"/>
  <c r="K162" i="163"/>
  <c r="M162" i="163" s="1"/>
  <c r="L45" i="163"/>
  <c r="L436" i="163"/>
  <c r="K256" i="163"/>
  <c r="M256" i="163" s="1"/>
  <c r="L37" i="163"/>
  <c r="K131" i="163"/>
  <c r="M131" i="163" s="1"/>
  <c r="K523" i="163"/>
  <c r="M523" i="163" s="1"/>
  <c r="P523" i="163" s="1"/>
  <c r="K258" i="163"/>
  <c r="M258" i="163" s="1"/>
  <c r="K265" i="163"/>
  <c r="M265" i="163" s="1"/>
  <c r="K278" i="163"/>
  <c r="M278" i="163" s="1"/>
  <c r="P278" i="163" s="1"/>
  <c r="K137" i="163"/>
  <c r="M137" i="163" s="1"/>
  <c r="K196" i="163"/>
  <c r="M196" i="163" s="1"/>
  <c r="K375" i="163"/>
  <c r="M375" i="163" s="1"/>
  <c r="P375" i="163" s="1"/>
  <c r="K198" i="163"/>
  <c r="M198" i="163" s="1"/>
  <c r="K515" i="163"/>
  <c r="M515" i="163" s="1"/>
  <c r="P515" i="163" s="1"/>
  <c r="L65" i="163"/>
  <c r="K521" i="163"/>
  <c r="M521" i="163" s="1"/>
  <c r="P521" i="163" s="1"/>
  <c r="L440" i="163"/>
  <c r="K381" i="163"/>
  <c r="M381" i="163" s="1"/>
  <c r="K549" i="163"/>
  <c r="M549" i="163" s="1"/>
  <c r="P549" i="163" s="1"/>
  <c r="K241" i="163"/>
  <c r="M241" i="163" s="1"/>
  <c r="P241" i="163" s="1"/>
  <c r="K181" i="163"/>
  <c r="M181" i="163" s="1"/>
  <c r="K391" i="163"/>
  <c r="M391" i="163" s="1"/>
  <c r="K486" i="163"/>
  <c r="M486" i="163" s="1"/>
  <c r="P486" i="163" s="1"/>
  <c r="K269" i="163"/>
  <c r="M269" i="163" s="1"/>
  <c r="K297" i="163"/>
  <c r="M297" i="163" s="1"/>
  <c r="P297" i="163" s="1"/>
  <c r="K553" i="163"/>
  <c r="M553" i="163" s="1"/>
  <c r="P553" i="163" s="1"/>
  <c r="K341" i="163"/>
  <c r="K312" i="163"/>
  <c r="M312" i="163" s="1"/>
  <c r="K320" i="163"/>
  <c r="M320" i="163" s="1"/>
  <c r="K342" i="163"/>
  <c r="K546" i="163"/>
  <c r="M546" i="163" s="1"/>
  <c r="P546" i="163" s="1"/>
  <c r="K395" i="163"/>
  <c r="M395" i="163" s="1"/>
  <c r="L50" i="163"/>
  <c r="K403" i="163"/>
  <c r="M403" i="163" s="1"/>
  <c r="K528" i="163"/>
  <c r="M528" i="163" s="1"/>
  <c r="P528" i="163" s="1"/>
  <c r="L73" i="163"/>
  <c r="K207" i="163"/>
  <c r="M207" i="163" s="1"/>
  <c r="K183" i="163"/>
  <c r="M183" i="163" s="1"/>
  <c r="K127" i="163"/>
  <c r="M127" i="163" s="1"/>
  <c r="L71" i="163"/>
  <c r="K168" i="163"/>
  <c r="M168" i="163" s="1"/>
  <c r="K350" i="163"/>
  <c r="K134" i="163"/>
  <c r="M134" i="163" s="1"/>
  <c r="K502" i="163"/>
  <c r="M502" i="163" s="1"/>
  <c r="P502" i="163" s="1"/>
  <c r="L35" i="163"/>
  <c r="K161" i="163"/>
  <c r="M161" i="163" s="1"/>
  <c r="K279" i="163"/>
  <c r="M279" i="163" s="1"/>
  <c r="P279" i="163" s="1"/>
  <c r="L75" i="163"/>
  <c r="K384" i="163"/>
  <c r="M384" i="163" s="1"/>
  <c r="K339" i="163"/>
  <c r="K370" i="163"/>
  <c r="M370" i="163" s="1"/>
  <c r="K325" i="163"/>
  <c r="K240" i="163"/>
  <c r="M240" i="163" s="1"/>
  <c r="P240" i="163" s="1"/>
  <c r="K507" i="163"/>
  <c r="M507" i="163" s="1"/>
  <c r="P507" i="163" s="1"/>
  <c r="K406" i="163"/>
  <c r="M406" i="163" s="1"/>
  <c r="K254" i="163"/>
  <c r="M254" i="163" s="1"/>
  <c r="P254" i="163" s="1"/>
  <c r="K413" i="163"/>
  <c r="M413" i="163" s="1"/>
  <c r="L102" i="163"/>
  <c r="K417" i="163"/>
  <c r="M417" i="163" s="1"/>
  <c r="L60" i="163"/>
  <c r="K142" i="163"/>
  <c r="M142" i="163" s="1"/>
  <c r="K152" i="163"/>
  <c r="M152" i="163" s="1"/>
  <c r="K159" i="163"/>
  <c r="M159" i="163" s="1"/>
  <c r="K302" i="163"/>
  <c r="M302" i="163" s="1"/>
  <c r="P302" i="163" s="1"/>
  <c r="L438" i="163"/>
  <c r="K548" i="163"/>
  <c r="M548" i="163" s="1"/>
  <c r="P548" i="163" s="1"/>
  <c r="K326" i="163"/>
  <c r="K260" i="163"/>
  <c r="M260" i="163" s="1"/>
  <c r="K267" i="163"/>
  <c r="M267" i="163" s="1"/>
  <c r="L51" i="163"/>
  <c r="K348" i="163"/>
  <c r="K530" i="163"/>
  <c r="M530" i="163" s="1"/>
  <c r="P530" i="163" s="1"/>
  <c r="K362" i="163"/>
  <c r="M362" i="163" s="1"/>
  <c r="K513" i="163"/>
  <c r="M513" i="163" s="1"/>
  <c r="P513" i="163" s="1"/>
  <c r="K204" i="163"/>
  <c r="M204" i="163" s="1"/>
  <c r="K223" i="163"/>
  <c r="M223" i="163" s="1"/>
  <c r="K363" i="163"/>
  <c r="M363" i="163" s="1"/>
  <c r="K490" i="163"/>
  <c r="M490" i="163" s="1"/>
  <c r="P490" i="163" s="1"/>
  <c r="K130" i="163"/>
  <c r="M130" i="163" s="1"/>
  <c r="L72" i="163"/>
  <c r="K328" i="163"/>
  <c r="K316" i="163"/>
  <c r="N369" i="163"/>
  <c r="N191" i="163"/>
  <c r="K272" i="163"/>
  <c r="N135" i="163"/>
  <c r="N170" i="163"/>
  <c r="N456" i="163"/>
  <c r="N149" i="163"/>
  <c r="N400" i="163"/>
  <c r="N391" i="163"/>
  <c r="K504" i="163"/>
  <c r="M504" i="163" s="1"/>
  <c r="P504" i="163" s="1"/>
  <c r="K128" i="163"/>
  <c r="M128" i="163" s="1"/>
  <c r="K545" i="163"/>
  <c r="M545" i="163" s="1"/>
  <c r="P545" i="163" s="1"/>
  <c r="N268" i="163"/>
  <c r="N148" i="163"/>
  <c r="N154" i="163"/>
  <c r="N164" i="163"/>
  <c r="N361" i="163"/>
  <c r="L55" i="163"/>
  <c r="L41" i="163"/>
  <c r="K299" i="163"/>
  <c r="M299" i="163" s="1"/>
  <c r="P299" i="163" s="1"/>
  <c r="K552" i="163"/>
  <c r="M552" i="163" s="1"/>
  <c r="P552" i="163" s="1"/>
  <c r="K143" i="163"/>
  <c r="M143" i="163" s="1"/>
  <c r="N223" i="163"/>
  <c r="N317" i="163"/>
  <c r="N255" i="163"/>
  <c r="N197" i="163"/>
  <c r="N389" i="163"/>
  <c r="N180" i="163"/>
  <c r="N131" i="163"/>
  <c r="N377" i="163"/>
  <c r="N128" i="163"/>
  <c r="N141" i="163"/>
  <c r="N376" i="163"/>
  <c r="K139" i="163"/>
  <c r="M139" i="163" s="1"/>
  <c r="K170" i="163"/>
  <c r="M170" i="163" s="1"/>
  <c r="N261" i="163"/>
  <c r="N328" i="163"/>
  <c r="N150" i="163"/>
  <c r="N159" i="163"/>
  <c r="N398" i="163"/>
  <c r="N136" i="163"/>
  <c r="N137" i="163"/>
  <c r="N410" i="163"/>
  <c r="N382" i="163"/>
  <c r="N142" i="163"/>
  <c r="N392" i="163"/>
  <c r="L69" i="163"/>
  <c r="K526" i="163"/>
  <c r="M526" i="163" s="1"/>
  <c r="P526" i="163" s="1"/>
  <c r="K217" i="163"/>
  <c r="M217" i="163" s="1"/>
  <c r="L96" i="163"/>
  <c r="K218" i="163"/>
  <c r="M218" i="163" s="1"/>
  <c r="K377" i="163"/>
  <c r="M377" i="163" s="1"/>
  <c r="L86" i="163"/>
  <c r="K273" i="163"/>
  <c r="N188" i="163"/>
  <c r="N202" i="163"/>
  <c r="N168" i="163"/>
  <c r="N198" i="163"/>
  <c r="N143" i="163"/>
  <c r="N365" i="163"/>
  <c r="N329" i="163"/>
  <c r="N312" i="163"/>
  <c r="N325" i="163"/>
  <c r="N409" i="163"/>
  <c r="L92" i="163"/>
  <c r="N176" i="163"/>
  <c r="N213" i="163"/>
  <c r="N367" i="163"/>
  <c r="N258" i="163"/>
  <c r="N183" i="163"/>
  <c r="N215" i="163"/>
  <c r="N384" i="163"/>
  <c r="N196" i="163"/>
  <c r="N156" i="163"/>
  <c r="N133" i="163"/>
  <c r="N193" i="163"/>
  <c r="L77" i="163"/>
  <c r="K230" i="163"/>
  <c r="M230" i="163" s="1"/>
  <c r="K208" i="163"/>
  <c r="M208" i="163" s="1"/>
  <c r="K283" i="163"/>
  <c r="M283" i="163" s="1"/>
  <c r="P283" i="163" s="1"/>
  <c r="K253" i="163"/>
  <c r="M253" i="163" s="1"/>
  <c r="P253" i="163" s="1"/>
  <c r="N209" i="163"/>
  <c r="N222" i="163"/>
  <c r="N395" i="163"/>
  <c r="N178" i="163"/>
  <c r="N169" i="163"/>
  <c r="N181" i="163"/>
  <c r="N404" i="163"/>
  <c r="N379" i="163"/>
  <c r="N257" i="163"/>
  <c r="N372" i="163"/>
  <c r="K167" i="163"/>
  <c r="M167" i="163" s="1"/>
  <c r="K544" i="163"/>
  <c r="M544" i="163" s="1"/>
  <c r="P544" i="163" s="1"/>
  <c r="K285" i="163"/>
  <c r="M285" i="163" s="1"/>
  <c r="P285" i="163" s="1"/>
  <c r="K376" i="163"/>
  <c r="M376" i="163" s="1"/>
  <c r="L49" i="163"/>
  <c r="N374" i="163"/>
  <c r="N260" i="163"/>
  <c r="N417" i="163"/>
  <c r="N160" i="163"/>
  <c r="N259" i="163"/>
  <c r="N130" i="163"/>
  <c r="N324" i="163"/>
  <c r="N412" i="163"/>
  <c r="N129" i="163"/>
  <c r="N314" i="163"/>
  <c r="K287" i="163"/>
  <c r="M287" i="163" s="1"/>
  <c r="P287" i="163" s="1"/>
  <c r="K319" i="163"/>
  <c r="P319" i="163" s="1"/>
  <c r="P362" i="163" l="1"/>
  <c r="L124" i="171"/>
  <c r="L122" i="171"/>
  <c r="L126" i="171"/>
  <c r="L120" i="171"/>
  <c r="L128" i="171"/>
  <c r="L127" i="171"/>
  <c r="L125" i="171"/>
  <c r="L121" i="171"/>
  <c r="L123" i="171"/>
  <c r="L129" i="171"/>
  <c r="L130" i="171"/>
  <c r="P401" i="163"/>
  <c r="P269" i="163"/>
  <c r="P460" i="163"/>
  <c r="P406" i="163"/>
  <c r="P459" i="163"/>
  <c r="P373" i="163"/>
  <c r="M315" i="163"/>
  <c r="P315" i="163" s="1"/>
  <c r="P397" i="163"/>
  <c r="P327" i="163"/>
  <c r="P265" i="163"/>
  <c r="P371" i="163"/>
  <c r="P379" i="163"/>
  <c r="P412" i="163"/>
  <c r="P413" i="163"/>
  <c r="P326" i="163"/>
  <c r="P330" i="163"/>
  <c r="P416" i="163"/>
  <c r="M316" i="163"/>
  <c r="P316" i="163" s="1"/>
  <c r="M318" i="163"/>
  <c r="P318" i="163" s="1"/>
  <c r="M333" i="163"/>
  <c r="P333" i="163" s="1"/>
  <c r="M466" i="163"/>
  <c r="P466" i="163" s="1"/>
  <c r="P385" i="163"/>
  <c r="P364" i="163"/>
  <c r="P463" i="163"/>
  <c r="P404" i="163"/>
  <c r="M212" i="163"/>
  <c r="P189" i="163"/>
  <c r="P321" i="163"/>
  <c r="P388" i="163"/>
  <c r="P360" i="163"/>
  <c r="P396" i="163"/>
  <c r="I47" i="164"/>
  <c r="I72" i="164" s="1"/>
  <c r="L72" i="164" s="1"/>
  <c r="I13" i="164"/>
  <c r="L13" i="164" s="1"/>
  <c r="P403" i="163"/>
  <c r="P264" i="163"/>
  <c r="P393" i="163"/>
  <c r="P320" i="163"/>
  <c r="P266" i="163"/>
  <c r="M352" i="163"/>
  <c r="P352" i="163" s="1"/>
  <c r="AB78" i="163"/>
  <c r="AC78" i="163" s="1"/>
  <c r="AB49" i="163"/>
  <c r="AC49" i="163" s="1"/>
  <c r="AB72" i="163"/>
  <c r="AC72" i="163" s="1"/>
  <c r="AB55" i="163"/>
  <c r="AC55" i="163" s="1"/>
  <c r="AB43" i="163"/>
  <c r="AC43" i="163" s="1"/>
  <c r="AB69" i="163"/>
  <c r="AC69" i="163" s="1"/>
  <c r="AB90" i="163"/>
  <c r="AC90" i="163" s="1"/>
  <c r="AB75" i="163"/>
  <c r="AC75" i="163" s="1"/>
  <c r="AB99" i="163"/>
  <c r="AC99" i="163" s="1"/>
  <c r="AB87" i="163"/>
  <c r="AC87" i="163" s="1"/>
  <c r="AB37" i="163"/>
  <c r="AC37" i="163" s="1"/>
  <c r="AB95" i="163"/>
  <c r="AC95" i="163" s="1"/>
  <c r="AB62" i="163"/>
  <c r="AC62" i="163" s="1"/>
  <c r="AB42" i="163"/>
  <c r="AC42" i="163" s="1"/>
  <c r="AB53" i="163"/>
  <c r="AC53" i="163" s="1"/>
  <c r="AB40" i="163"/>
  <c r="AC40" i="163" s="1"/>
  <c r="AB45" i="163"/>
  <c r="AC45" i="163" s="1"/>
  <c r="AB98" i="163"/>
  <c r="AC98" i="163" s="1"/>
  <c r="AB73" i="163"/>
  <c r="AC73" i="163" s="1"/>
  <c r="AB56" i="163"/>
  <c r="AC56" i="163" s="1"/>
  <c r="AB63" i="163"/>
  <c r="AC63" i="163" s="1"/>
  <c r="AB61" i="163"/>
  <c r="AC61" i="163" s="1"/>
  <c r="AB91" i="163"/>
  <c r="AC91" i="163" s="1"/>
  <c r="AB76" i="163"/>
  <c r="AC76" i="163" s="1"/>
  <c r="AB64" i="163"/>
  <c r="AC64" i="163" s="1"/>
  <c r="AB44" i="163"/>
  <c r="AC44" i="163" s="1"/>
  <c r="AB60" i="163"/>
  <c r="AC60" i="163" s="1"/>
  <c r="AB96" i="163"/>
  <c r="AC96" i="163" s="1"/>
  <c r="AB82" i="163"/>
  <c r="AC82" i="163" s="1"/>
  <c r="AB102" i="163"/>
  <c r="AC102" i="163" s="1"/>
  <c r="AB79" i="163"/>
  <c r="AC79" i="163" s="1"/>
  <c r="AB41" i="163"/>
  <c r="AC41" i="163" s="1"/>
  <c r="AB104" i="163"/>
  <c r="AC104" i="163" s="1"/>
  <c r="AB81" i="163"/>
  <c r="AC81" i="163" s="1"/>
  <c r="AB80" i="163"/>
  <c r="AC80" i="163" s="1"/>
  <c r="AB57" i="163"/>
  <c r="AC57" i="163" s="1"/>
  <c r="AB47" i="163"/>
  <c r="AC47" i="163" s="1"/>
  <c r="AB46" i="163"/>
  <c r="AC46" i="163" s="1"/>
  <c r="AB103" i="163"/>
  <c r="AC103" i="163" s="1"/>
  <c r="AB77" i="163"/>
  <c r="AC77" i="163" s="1"/>
  <c r="AB65" i="163"/>
  <c r="AC65" i="163" s="1"/>
  <c r="AB70" i="163"/>
  <c r="AC70" i="163" s="1"/>
  <c r="AB50" i="163"/>
  <c r="AC50" i="163" s="1"/>
  <c r="AB97" i="163"/>
  <c r="AC97" i="163" s="1"/>
  <c r="AB83" i="163"/>
  <c r="AC83" i="163" s="1"/>
  <c r="AB88" i="163"/>
  <c r="AC88" i="163" s="1"/>
  <c r="AB38" i="163"/>
  <c r="AB105" i="163"/>
  <c r="AC105" i="163" s="1"/>
  <c r="AB51" i="163"/>
  <c r="AC51" i="163" s="1"/>
  <c r="AB54" i="163"/>
  <c r="AC54" i="163" s="1"/>
  <c r="AB48" i="163"/>
  <c r="AC48" i="163" s="1"/>
  <c r="AB71" i="163"/>
  <c r="AC71" i="163" s="1"/>
  <c r="AB74" i="163"/>
  <c r="AC74" i="163" s="1"/>
  <c r="AB68" i="163"/>
  <c r="AC68" i="163" s="1"/>
  <c r="AB89" i="163"/>
  <c r="AC89" i="163" s="1"/>
  <c r="AB92" i="163"/>
  <c r="AC92" i="163" s="1"/>
  <c r="AB86" i="163"/>
  <c r="AC86" i="163" s="1"/>
  <c r="AB52" i="163"/>
  <c r="AC52" i="163" s="1"/>
  <c r="AB39" i="163"/>
  <c r="AC39" i="163" s="1"/>
  <c r="AB35" i="163"/>
  <c r="AC35" i="163" s="1"/>
  <c r="AB36" i="163"/>
  <c r="AC36" i="163" s="1"/>
  <c r="AB22" i="163"/>
  <c r="AB24" i="163"/>
  <c r="AC24" i="163" s="1"/>
  <c r="P24" i="163" s="1"/>
  <c r="AV24" i="163" s="1"/>
  <c r="AX24" i="163" s="1"/>
  <c r="AB23" i="163"/>
  <c r="AC23" i="163" s="1"/>
  <c r="P23" i="163" s="1"/>
  <c r="AB25" i="163"/>
  <c r="AC25" i="163" s="1"/>
  <c r="P25" i="163" s="1"/>
  <c r="AV25" i="163" s="1"/>
  <c r="AX25" i="163" s="1"/>
  <c r="AB26" i="163"/>
  <c r="AC26" i="163" s="1"/>
  <c r="P26" i="163" s="1"/>
  <c r="P267" i="163"/>
  <c r="P262" i="163"/>
  <c r="P370" i="163"/>
  <c r="P263" i="163"/>
  <c r="P270" i="163"/>
  <c r="P323" i="163"/>
  <c r="M313" i="163"/>
  <c r="P313" i="163" s="1"/>
  <c r="M348" i="163"/>
  <c r="P348" i="163" s="1"/>
  <c r="M346" i="163"/>
  <c r="P346" i="163" s="1"/>
  <c r="M345" i="163"/>
  <c r="P345" i="163" s="1"/>
  <c r="M351" i="163"/>
  <c r="P351" i="163" s="1"/>
  <c r="M343" i="163"/>
  <c r="P343" i="163" s="1"/>
  <c r="M339" i="163"/>
  <c r="M350" i="163"/>
  <c r="P350" i="163" s="1"/>
  <c r="M349" i="163"/>
  <c r="P349" i="163" s="1"/>
  <c r="M344" i="163"/>
  <c r="P344" i="163" s="1"/>
  <c r="M342" i="163"/>
  <c r="P342" i="163" s="1"/>
  <c r="M341" i="163"/>
  <c r="P341" i="163" s="1"/>
  <c r="M347" i="163"/>
  <c r="P347" i="163" s="1"/>
  <c r="M340" i="163"/>
  <c r="P405" i="163"/>
  <c r="P381" i="163"/>
  <c r="P331" i="163"/>
  <c r="I24" i="164"/>
  <c r="L24" i="164" s="1"/>
  <c r="I28" i="164"/>
  <c r="L28" i="164" s="1"/>
  <c r="P162" i="163"/>
  <c r="I16" i="164"/>
  <c r="L16" i="164" s="1"/>
  <c r="I30" i="164"/>
  <c r="L30" i="164" s="1"/>
  <c r="I32" i="164"/>
  <c r="L32" i="164" s="1"/>
  <c r="I11" i="164"/>
  <c r="L11" i="164" s="1"/>
  <c r="I26" i="164"/>
  <c r="L26" i="164" s="1"/>
  <c r="I10" i="164"/>
  <c r="L10" i="164" s="1"/>
  <c r="I21" i="164"/>
  <c r="L21" i="164" s="1"/>
  <c r="I31" i="164"/>
  <c r="L31" i="164" s="1"/>
  <c r="I23" i="164"/>
  <c r="L23" i="164" s="1"/>
  <c r="I35" i="164"/>
  <c r="L35" i="164" s="1"/>
  <c r="I18" i="164"/>
  <c r="L18" i="164" s="1"/>
  <c r="I29" i="164"/>
  <c r="L29" i="164" s="1"/>
  <c r="I12" i="164"/>
  <c r="L12" i="164" s="1"/>
  <c r="I15" i="164"/>
  <c r="L15" i="164" s="1"/>
  <c r="P415" i="163"/>
  <c r="I36" i="164"/>
  <c r="L36" i="164" s="1"/>
  <c r="I25" i="164"/>
  <c r="L25" i="164" s="1"/>
  <c r="L9" i="164"/>
  <c r="I33" i="164"/>
  <c r="L33" i="164" s="1"/>
  <c r="I14" i="164"/>
  <c r="L14" i="164" s="1"/>
  <c r="P256" i="163"/>
  <c r="I22" i="164"/>
  <c r="L22" i="164" s="1"/>
  <c r="I20" i="164"/>
  <c r="L20" i="164" s="1"/>
  <c r="I17" i="164"/>
  <c r="L17" i="164" s="1"/>
  <c r="P402" i="163"/>
  <c r="I27" i="164"/>
  <c r="L27" i="164" s="1"/>
  <c r="I34" i="164"/>
  <c r="L34" i="164" s="1"/>
  <c r="P332" i="163"/>
  <c r="P417" i="163"/>
  <c r="P541" i="163"/>
  <c r="P311" i="163"/>
  <c r="P170" i="163"/>
  <c r="P380" i="163"/>
  <c r="P260" i="163"/>
  <c r="P382" i="163"/>
  <c r="P268" i="163"/>
  <c r="AS91" i="163"/>
  <c r="O96" i="163"/>
  <c r="AS96" i="163"/>
  <c r="AS55" i="163"/>
  <c r="AS102" i="163"/>
  <c r="O102" i="163"/>
  <c r="O104" i="163"/>
  <c r="AS104" i="163"/>
  <c r="AS70" i="163"/>
  <c r="P259" i="163"/>
  <c r="AS61" i="163"/>
  <c r="P261" i="163"/>
  <c r="P317" i="163"/>
  <c r="AS54" i="163"/>
  <c r="P410" i="163"/>
  <c r="AS82" i="163"/>
  <c r="AS76" i="163"/>
  <c r="AS69" i="163"/>
  <c r="AS51" i="163"/>
  <c r="P485" i="163"/>
  <c r="P258" i="163"/>
  <c r="O42" i="163"/>
  <c r="AS42" i="163"/>
  <c r="O48" i="163"/>
  <c r="AS48" i="163"/>
  <c r="P391" i="163"/>
  <c r="AS52" i="163"/>
  <c r="O105" i="163"/>
  <c r="AS105" i="163"/>
  <c r="AS89" i="163"/>
  <c r="P499" i="163"/>
  <c r="P324" i="163"/>
  <c r="J446" i="163"/>
  <c r="M446" i="163" s="1"/>
  <c r="J421" i="163"/>
  <c r="M421" i="163" s="1"/>
  <c r="J447" i="163"/>
  <c r="M447" i="163" s="1"/>
  <c r="J422" i="163"/>
  <c r="M422" i="163" s="1"/>
  <c r="J442" i="163"/>
  <c r="M442" i="163" s="1"/>
  <c r="J423" i="163"/>
  <c r="M423" i="163" s="1"/>
  <c r="J420" i="163"/>
  <c r="M420" i="163" s="1"/>
  <c r="J424" i="163"/>
  <c r="M424" i="163" s="1"/>
  <c r="J443" i="163"/>
  <c r="M443" i="163" s="1"/>
  <c r="O99" i="163"/>
  <c r="AS99" i="163"/>
  <c r="P365" i="163"/>
  <c r="AS46" i="163"/>
  <c r="P181" i="163"/>
  <c r="P325" i="163"/>
  <c r="AS73" i="163"/>
  <c r="O68" i="163"/>
  <c r="AS68" i="163"/>
  <c r="AS78" i="163"/>
  <c r="O103" i="163"/>
  <c r="AS103" i="163"/>
  <c r="P222" i="163"/>
  <c r="O56" i="163"/>
  <c r="AS56" i="163"/>
  <c r="AS81" i="163"/>
  <c r="AT37" i="163"/>
  <c r="O37" i="163"/>
  <c r="AT36" i="163"/>
  <c r="O36" i="163"/>
  <c r="O87" i="163"/>
  <c r="AS87" i="163"/>
  <c r="AS74" i="163"/>
  <c r="O41" i="163"/>
  <c r="AT41" i="163"/>
  <c r="P328" i="163"/>
  <c r="O95" i="163"/>
  <c r="AS95" i="163"/>
  <c r="O40" i="163"/>
  <c r="AT40" i="163"/>
  <c r="AS47" i="163"/>
  <c r="P154" i="163"/>
  <c r="AS72" i="163"/>
  <c r="P384" i="163"/>
  <c r="AS50" i="163"/>
  <c r="P367" i="163"/>
  <c r="AS62" i="163"/>
  <c r="J444" i="163"/>
  <c r="M444" i="163" s="1"/>
  <c r="J426" i="163"/>
  <c r="M426" i="163" s="1"/>
  <c r="J429" i="163"/>
  <c r="M429" i="163" s="1"/>
  <c r="J428" i="163"/>
  <c r="M428" i="163" s="1"/>
  <c r="J445" i="163"/>
  <c r="M445" i="163" s="1"/>
  <c r="J434" i="163"/>
  <c r="M434" i="163" s="1"/>
  <c r="J449" i="163"/>
  <c r="M449" i="163" s="1"/>
  <c r="J439" i="163"/>
  <c r="M439" i="163" s="1"/>
  <c r="J430" i="163"/>
  <c r="M430" i="163" s="1"/>
  <c r="J441" i="163"/>
  <c r="M441" i="163" s="1"/>
  <c r="J438" i="163"/>
  <c r="M438" i="163" s="1"/>
  <c r="J448" i="163"/>
  <c r="M448" i="163" s="1"/>
  <c r="J427" i="163"/>
  <c r="M427" i="163" s="1"/>
  <c r="J435" i="163"/>
  <c r="M435" i="163" s="1"/>
  <c r="J440" i="163"/>
  <c r="M440" i="163" s="1"/>
  <c r="J432" i="163"/>
  <c r="M432" i="163" s="1"/>
  <c r="J431" i="163"/>
  <c r="M431" i="163" s="1"/>
  <c r="J436" i="163"/>
  <c r="M436" i="163" s="1"/>
  <c r="J433" i="163"/>
  <c r="M433" i="163" s="1"/>
  <c r="J437" i="163"/>
  <c r="M437" i="163" s="1"/>
  <c r="J425" i="163"/>
  <c r="M425" i="163" s="1"/>
  <c r="AS63" i="163"/>
  <c r="AS92" i="163"/>
  <c r="AS49" i="163"/>
  <c r="P376" i="163"/>
  <c r="AS75" i="163"/>
  <c r="P395" i="163"/>
  <c r="AS45" i="163"/>
  <c r="O45" i="163"/>
  <c r="P409" i="163"/>
  <c r="AS53" i="163"/>
  <c r="AS65" i="163"/>
  <c r="P398" i="163"/>
  <c r="O98" i="163"/>
  <c r="AS98" i="163"/>
  <c r="P400" i="163"/>
  <c r="P389" i="163"/>
  <c r="P257" i="163"/>
  <c r="O57" i="163"/>
  <c r="AS57" i="163"/>
  <c r="O39" i="163"/>
  <c r="AT39" i="163"/>
  <c r="AS97" i="163"/>
  <c r="O97" i="163"/>
  <c r="P363" i="163"/>
  <c r="P255" i="163"/>
  <c r="AS43" i="163"/>
  <c r="O43" i="163"/>
  <c r="AS88" i="163"/>
  <c r="O88" i="163"/>
  <c r="P314" i="163"/>
  <c r="P374" i="163"/>
  <c r="O86" i="163"/>
  <c r="AT86" i="163"/>
  <c r="AT35" i="163"/>
  <c r="O35" i="163"/>
  <c r="P198" i="163"/>
  <c r="P392" i="163"/>
  <c r="P335" i="163"/>
  <c r="P372" i="163"/>
  <c r="P519" i="163"/>
  <c r="AS44" i="163"/>
  <c r="O44" i="163"/>
  <c r="AS64" i="163"/>
  <c r="AS80" i="163"/>
  <c r="AS71" i="163"/>
  <c r="AS77" i="163"/>
  <c r="P377" i="163"/>
  <c r="AS60" i="163"/>
  <c r="P312" i="163"/>
  <c r="P329" i="163"/>
  <c r="P369" i="163"/>
  <c r="AS83" i="163"/>
  <c r="P197" i="163"/>
  <c r="P361" i="163"/>
  <c r="AT38" i="163"/>
  <c r="AS79" i="163"/>
  <c r="AC38" i="163" l="1"/>
  <c r="P38" i="163"/>
  <c r="AV38" i="163" s="1"/>
  <c r="I49" i="164"/>
  <c r="L49" i="164" s="1"/>
  <c r="I67" i="164"/>
  <c r="L67" i="164" s="1"/>
  <c r="I51" i="164"/>
  <c r="L51" i="164" s="1"/>
  <c r="I38" i="164"/>
  <c r="L38" i="164" s="1"/>
  <c r="I65" i="164"/>
  <c r="L65" i="164" s="1"/>
  <c r="I68" i="164"/>
  <c r="L68" i="164" s="1"/>
  <c r="I52" i="164"/>
  <c r="L52" i="164" s="1"/>
  <c r="I37" i="164"/>
  <c r="L37" i="164" s="1"/>
  <c r="I57" i="164"/>
  <c r="L57" i="164" s="1"/>
  <c r="I40" i="164"/>
  <c r="L40" i="164" s="1"/>
  <c r="I59" i="164"/>
  <c r="L59" i="164" s="1"/>
  <c r="I53" i="164"/>
  <c r="L53" i="164" s="1"/>
  <c r="I71" i="164"/>
  <c r="L71" i="164" s="1"/>
  <c r="I41" i="164"/>
  <c r="L41" i="164" s="1"/>
  <c r="I69" i="164"/>
  <c r="L69" i="164" s="1"/>
  <c r="I58" i="164"/>
  <c r="L58" i="164" s="1"/>
  <c r="I56" i="164"/>
  <c r="L56" i="164" s="1"/>
  <c r="I63" i="164"/>
  <c r="L63" i="164" s="1"/>
  <c r="L47" i="164"/>
  <c r="I48" i="164"/>
  <c r="L48" i="164" s="1"/>
  <c r="I50" i="164"/>
  <c r="L50" i="164" s="1"/>
  <c r="I54" i="164"/>
  <c r="L54" i="164" s="1"/>
  <c r="I61" i="164"/>
  <c r="L61" i="164" s="1"/>
  <c r="I55" i="164"/>
  <c r="L55" i="164" s="1"/>
  <c r="I42" i="164"/>
  <c r="L42" i="164" s="1"/>
  <c r="I39" i="164"/>
  <c r="L39" i="164" s="1"/>
  <c r="P447" i="163"/>
  <c r="P433" i="163"/>
  <c r="P449" i="163"/>
  <c r="P442" i="163"/>
  <c r="P422" i="163"/>
  <c r="P446" i="163"/>
  <c r="P436" i="163"/>
  <c r="P429" i="163"/>
  <c r="P435" i="163"/>
  <c r="P426" i="163"/>
  <c r="P427" i="163"/>
  <c r="P444" i="163"/>
  <c r="P434" i="163"/>
  <c r="P431" i="163"/>
  <c r="P448" i="163"/>
  <c r="P421" i="163"/>
  <c r="P440" i="163"/>
  <c r="P438" i="163"/>
  <c r="P443" i="163"/>
  <c r="P428" i="163"/>
  <c r="P441" i="163"/>
  <c r="P424" i="163"/>
  <c r="P445" i="163"/>
  <c r="P425" i="163"/>
  <c r="P430" i="163"/>
  <c r="P420" i="163"/>
  <c r="P432" i="163"/>
  <c r="P437" i="163"/>
  <c r="P439" i="163"/>
  <c r="P423" i="163"/>
  <c r="J24" i="162"/>
  <c r="I70" i="164"/>
  <c r="L70" i="164" s="1"/>
  <c r="I62" i="164"/>
  <c r="L62" i="164" s="1"/>
  <c r="I66" i="164"/>
  <c r="L66" i="164" s="1"/>
  <c r="I60" i="164"/>
  <c r="L60" i="164" s="1"/>
  <c r="I73" i="164"/>
  <c r="L73" i="164" s="1"/>
  <c r="I64" i="164"/>
  <c r="L64" i="164" s="1"/>
  <c r="P104" i="163"/>
  <c r="AV104" i="163" s="1"/>
  <c r="AW104" i="163" s="1"/>
  <c r="U104" i="163" s="1"/>
  <c r="P45" i="163"/>
  <c r="AV45" i="163" s="1"/>
  <c r="P98" i="163"/>
  <c r="AV98" i="163" s="1"/>
  <c r="P56" i="163"/>
  <c r="AV56" i="163" s="1"/>
  <c r="P48" i="163"/>
  <c r="AV48" i="163" s="1"/>
  <c r="P103" i="163"/>
  <c r="AV103" i="163" s="1"/>
  <c r="P99" i="163"/>
  <c r="AV99" i="163" s="1"/>
  <c r="P43" i="163"/>
  <c r="AV43" i="163" s="1"/>
  <c r="P86" i="163"/>
  <c r="AV86" i="163" s="1"/>
  <c r="P96" i="163"/>
  <c r="AV96" i="163" s="1"/>
  <c r="AW96" i="163" s="1"/>
  <c r="U96" i="163" s="1"/>
  <c r="P37" i="163"/>
  <c r="AV37" i="163" s="1"/>
  <c r="P102" i="163"/>
  <c r="AV102" i="163" s="1"/>
  <c r="P68" i="163"/>
  <c r="AV68" i="163" s="1"/>
  <c r="AC22" i="163"/>
  <c r="P88" i="163"/>
  <c r="AV88" i="163" s="1"/>
  <c r="P42" i="163"/>
  <c r="AV42" i="163" s="1"/>
  <c r="P87" i="163"/>
  <c r="AV87" i="163" s="1"/>
  <c r="P44" i="163"/>
  <c r="AV44" i="163" s="1"/>
  <c r="P95" i="163"/>
  <c r="AV95" i="163" s="1"/>
  <c r="P41" i="163"/>
  <c r="AV41" i="163" s="1"/>
  <c r="P40" i="163"/>
  <c r="AV40" i="163" s="1"/>
  <c r="P36" i="163"/>
  <c r="AV36" i="163" s="1"/>
  <c r="P97" i="163"/>
  <c r="AV97" i="163" s="1"/>
  <c r="P39" i="163"/>
  <c r="AV39" i="163" s="1"/>
  <c r="AP25" i="163"/>
  <c r="AP24" i="163"/>
  <c r="P358" i="163"/>
  <c r="P81" i="163"/>
  <c r="P92" i="163"/>
  <c r="P65" i="163"/>
  <c r="AP23" i="163"/>
  <c r="P80" i="163"/>
  <c r="P61" i="163"/>
  <c r="AP22" i="163"/>
  <c r="P71" i="163"/>
  <c r="P57" i="163"/>
  <c r="AV57" i="163" s="1"/>
  <c r="P77" i="163"/>
  <c r="P105" i="163"/>
  <c r="AV105" i="163" s="1"/>
  <c r="P52" i="163"/>
  <c r="P79" i="163"/>
  <c r="P82" i="163"/>
  <c r="P53" i="163"/>
  <c r="P78" i="163"/>
  <c r="P83" i="163"/>
  <c r="P50" i="163"/>
  <c r="P89" i="163"/>
  <c r="P91" i="163"/>
  <c r="P60" i="163"/>
  <c r="T107" i="163"/>
  <c r="P35" i="163"/>
  <c r="AV35" i="163" s="1"/>
  <c r="P64" i="163"/>
  <c r="P47" i="163"/>
  <c r="P46" i="163"/>
  <c r="P72" i="163"/>
  <c r="P483" i="163"/>
  <c r="P70" i="163"/>
  <c r="P62" i="163"/>
  <c r="P76" i="163"/>
  <c r="P74" i="163"/>
  <c r="P55" i="163"/>
  <c r="P69" i="163"/>
  <c r="P75" i="163"/>
  <c r="P73" i="163"/>
  <c r="P49" i="163"/>
  <c r="P63" i="163"/>
  <c r="P90" i="163"/>
  <c r="AP26" i="163"/>
  <c r="P54" i="163"/>
  <c r="P51" i="163"/>
  <c r="L43" i="164" l="1"/>
  <c r="L45" i="164" s="1"/>
  <c r="P419" i="163"/>
  <c r="J22" i="162" s="1"/>
  <c r="I22" i="162" s="1"/>
  <c r="L74" i="164"/>
  <c r="L76" i="164" s="1"/>
  <c r="P22" i="163"/>
  <c r="AV22" i="163" s="1"/>
  <c r="AX22" i="163" s="1"/>
  <c r="T108" i="163"/>
  <c r="J12" i="162" s="1"/>
  <c r="AX87" i="163"/>
  <c r="AW87" i="163"/>
  <c r="U87" i="163" s="1"/>
  <c r="AW36" i="163"/>
  <c r="U36" i="163" s="1"/>
  <c r="AX36" i="163"/>
  <c r="AO24" i="163"/>
  <c r="S24" i="163"/>
  <c r="AQ24" i="163"/>
  <c r="T24" i="163"/>
  <c r="AQ25" i="163"/>
  <c r="T25" i="163"/>
  <c r="AO25" i="163"/>
  <c r="S25" i="163"/>
  <c r="AX104" i="163"/>
  <c r="AX96" i="163"/>
  <c r="P456" i="163"/>
  <c r="P469" i="163"/>
  <c r="P470" i="163"/>
  <c r="P471" i="163"/>
  <c r="P472" i="163"/>
  <c r="P473" i="163"/>
  <c r="P474" i="163"/>
  <c r="P475" i="163"/>
  <c r="P476" i="163"/>
  <c r="P458" i="163"/>
  <c r="J128" i="163"/>
  <c r="P128" i="163" s="1"/>
  <c r="R115" i="163"/>
  <c r="J202" i="163" s="1"/>
  <c r="P202" i="163" s="1"/>
  <c r="J127" i="163"/>
  <c r="P127" i="163" s="1"/>
  <c r="J129" i="163"/>
  <c r="P129" i="163" s="1"/>
  <c r="P339" i="163"/>
  <c r="J131" i="163"/>
  <c r="P131" i="163" s="1"/>
  <c r="S115" i="163"/>
  <c r="P468" i="163"/>
  <c r="AV63" i="163"/>
  <c r="AX63" i="163" s="1"/>
  <c r="T74" i="163"/>
  <c r="AX103" i="163"/>
  <c r="AW103" i="163"/>
  <c r="U103" i="163" s="1"/>
  <c r="AV89" i="163"/>
  <c r="AX89" i="163" s="1"/>
  <c r="AV78" i="163"/>
  <c r="AX78" i="163" s="1"/>
  <c r="S105" i="163"/>
  <c r="S81" i="163"/>
  <c r="S51" i="163"/>
  <c r="AX98" i="163"/>
  <c r="AW98" i="163"/>
  <c r="U98" i="163" s="1"/>
  <c r="S76" i="163"/>
  <c r="Q481" i="163"/>
  <c r="S64" i="163"/>
  <c r="T89" i="163"/>
  <c r="S78" i="163"/>
  <c r="AW68" i="163"/>
  <c r="U68" i="163" s="1"/>
  <c r="AX68" i="163"/>
  <c r="S22" i="163"/>
  <c r="AO22" i="163"/>
  <c r="T23" i="163"/>
  <c r="AQ23" i="163"/>
  <c r="AV70" i="163"/>
  <c r="AX70" i="163" s="1"/>
  <c r="S75" i="163"/>
  <c r="S63" i="163"/>
  <c r="T54" i="163"/>
  <c r="T63" i="163"/>
  <c r="AV69" i="163"/>
  <c r="AX69" i="163" s="1"/>
  <c r="T76" i="163"/>
  <c r="T64" i="163"/>
  <c r="T78" i="163"/>
  <c r="AX42" i="163"/>
  <c r="AW42" i="163"/>
  <c r="U42" i="163" s="1"/>
  <c r="AV77" i="163"/>
  <c r="AX77" i="163" s="1"/>
  <c r="AO23" i="163"/>
  <c r="S23" i="163"/>
  <c r="S71" i="163"/>
  <c r="AV54" i="163"/>
  <c r="AX54" i="163" s="1"/>
  <c r="AX37" i="163"/>
  <c r="AW37" i="163"/>
  <c r="U37" i="163" s="1"/>
  <c r="AV76" i="163"/>
  <c r="AX76" i="163" s="1"/>
  <c r="AV64" i="163"/>
  <c r="AX64" i="163" s="1"/>
  <c r="S89" i="163"/>
  <c r="AW38" i="163"/>
  <c r="U38" i="163" s="1"/>
  <c r="AX38" i="163"/>
  <c r="S79" i="163"/>
  <c r="T77" i="163"/>
  <c r="T22" i="163"/>
  <c r="AQ22" i="163"/>
  <c r="AV65" i="163"/>
  <c r="AX65" i="163" s="1"/>
  <c r="S72" i="163"/>
  <c r="J141" i="163"/>
  <c r="P141" i="163" s="1"/>
  <c r="J140" i="163"/>
  <c r="P140" i="163" s="1"/>
  <c r="R117" i="163"/>
  <c r="J139" i="163"/>
  <c r="P139" i="163" s="1"/>
  <c r="S117" i="163"/>
  <c r="AV79" i="163"/>
  <c r="AX79" i="163" s="1"/>
  <c r="S77" i="163"/>
  <c r="T79" i="163"/>
  <c r="T65" i="163"/>
  <c r="S47" i="163"/>
  <c r="S54" i="163"/>
  <c r="AV26" i="163"/>
  <c r="AX26" i="163" s="1"/>
  <c r="AX35" i="163"/>
  <c r="AW35" i="163"/>
  <c r="U35" i="163" s="1"/>
  <c r="S65" i="163"/>
  <c r="J17" i="162"/>
  <c r="AV50" i="163"/>
  <c r="AX50" i="163" s="1"/>
  <c r="T53" i="163"/>
  <c r="S52" i="163"/>
  <c r="AX44" i="163"/>
  <c r="AW44" i="163"/>
  <c r="U44" i="163" s="1"/>
  <c r="AV23" i="163"/>
  <c r="AX23" i="163" s="1"/>
  <c r="AW88" i="163"/>
  <c r="U88" i="163" s="1"/>
  <c r="AX88" i="163"/>
  <c r="AW48" i="163"/>
  <c r="U48" i="163" s="1"/>
  <c r="AX48" i="163"/>
  <c r="T62" i="163"/>
  <c r="AW97" i="163"/>
  <c r="U97" i="163" s="1"/>
  <c r="AX97" i="163"/>
  <c r="AV60" i="163"/>
  <c r="AX60" i="163" s="1"/>
  <c r="AV53" i="163"/>
  <c r="AX53" i="163" s="1"/>
  <c r="AV52" i="163"/>
  <c r="AX52" i="163" s="1"/>
  <c r="T57" i="163"/>
  <c r="AV61" i="163"/>
  <c r="AX61" i="163" s="1"/>
  <c r="AV92" i="163"/>
  <c r="AX92" i="163" s="1"/>
  <c r="T91" i="163"/>
  <c r="S69" i="163"/>
  <c r="AV55" i="163"/>
  <c r="AX55" i="163" s="1"/>
  <c r="AV62" i="163"/>
  <c r="AX62" i="163" s="1"/>
  <c r="T60" i="163"/>
  <c r="S50" i="163"/>
  <c r="S53" i="163"/>
  <c r="S57" i="163"/>
  <c r="T61" i="163"/>
  <c r="S92" i="163"/>
  <c r="T75" i="163"/>
  <c r="T49" i="163"/>
  <c r="AX41" i="163"/>
  <c r="AW41" i="163"/>
  <c r="U41" i="163" s="1"/>
  <c r="AV46" i="163"/>
  <c r="AX46" i="163" s="1"/>
  <c r="S60" i="163"/>
  <c r="T50" i="163"/>
  <c r="T52" i="163"/>
  <c r="AW57" i="163"/>
  <c r="U57" i="163" s="1"/>
  <c r="AX57" i="163"/>
  <c r="S61" i="163"/>
  <c r="T92" i="163"/>
  <c r="S74" i="163"/>
  <c r="T51" i="163"/>
  <c r="AV49" i="163"/>
  <c r="AX49" i="163" s="1"/>
  <c r="AV72" i="163"/>
  <c r="AX72" i="163" s="1"/>
  <c r="S49" i="163"/>
  <c r="AO26" i="163"/>
  <c r="S26" i="163"/>
  <c r="AX102" i="163"/>
  <c r="AW102" i="163"/>
  <c r="U102" i="163" s="1"/>
  <c r="T73" i="163"/>
  <c r="S62" i="163"/>
  <c r="T46" i="163"/>
  <c r="T83" i="163"/>
  <c r="AW40" i="163"/>
  <c r="U40" i="163" s="1"/>
  <c r="AX40" i="163"/>
  <c r="AW45" i="163"/>
  <c r="U45" i="163" s="1"/>
  <c r="AX45" i="163"/>
  <c r="S82" i="163"/>
  <c r="T69" i="163"/>
  <c r="AX43" i="163"/>
  <c r="AW43" i="163"/>
  <c r="U43" i="163" s="1"/>
  <c r="AW95" i="163"/>
  <c r="U95" i="163" s="1"/>
  <c r="AX95" i="163"/>
  <c r="AV73" i="163"/>
  <c r="AX73" i="163" s="1"/>
  <c r="AW86" i="163"/>
  <c r="U86" i="163" s="1"/>
  <c r="AX86" i="163"/>
  <c r="S73" i="163"/>
  <c r="S55" i="163"/>
  <c r="S46" i="163"/>
  <c r="AV91" i="163"/>
  <c r="AX91" i="163" s="1"/>
  <c r="AW99" i="163"/>
  <c r="U99" i="163" s="1"/>
  <c r="AX99" i="163"/>
  <c r="T71" i="163"/>
  <c r="S80" i="163"/>
  <c r="AW39" i="163"/>
  <c r="U39" i="163" s="1"/>
  <c r="AX39" i="163"/>
  <c r="S116" i="163"/>
  <c r="J156" i="163" s="1"/>
  <c r="J133" i="163"/>
  <c r="P133" i="163" s="1"/>
  <c r="J134" i="163"/>
  <c r="P134" i="163" s="1"/>
  <c r="J135" i="163"/>
  <c r="P135" i="163" s="1"/>
  <c r="R116" i="163"/>
  <c r="T72" i="163"/>
  <c r="S90" i="163"/>
  <c r="AV90" i="163"/>
  <c r="AX90" i="163" s="1"/>
  <c r="AV74" i="163"/>
  <c r="AX74" i="163" s="1"/>
  <c r="S70" i="163"/>
  <c r="AV47" i="163"/>
  <c r="AX47" i="163" s="1"/>
  <c r="S83" i="163"/>
  <c r="AV82" i="163"/>
  <c r="AX82" i="163" s="1"/>
  <c r="AW105" i="163"/>
  <c r="U105" i="163" s="1"/>
  <c r="AX105" i="163"/>
  <c r="AV71" i="163"/>
  <c r="AX71" i="163" s="1"/>
  <c r="AV80" i="163"/>
  <c r="AX80" i="163" s="1"/>
  <c r="AV81" i="163"/>
  <c r="AX81" i="163" s="1"/>
  <c r="T81" i="163"/>
  <c r="T26" i="163"/>
  <c r="AQ26" i="163"/>
  <c r="AW56" i="163"/>
  <c r="U56" i="163" s="1"/>
  <c r="AX56" i="163"/>
  <c r="T55" i="163"/>
  <c r="AV51" i="163"/>
  <c r="AX51" i="163" s="1"/>
  <c r="T90" i="163"/>
  <c r="AV75" i="163"/>
  <c r="AX75" i="163" s="1"/>
  <c r="T70" i="163"/>
  <c r="T47" i="163"/>
  <c r="AW47" i="163"/>
  <c r="U47" i="163" s="1"/>
  <c r="S91" i="163"/>
  <c r="AV83" i="163"/>
  <c r="AX83" i="163" s="1"/>
  <c r="T82" i="163"/>
  <c r="T105" i="163"/>
  <c r="T80" i="163"/>
  <c r="K78" i="164" l="1"/>
  <c r="J152" i="163"/>
  <c r="P152" i="163" s="1"/>
  <c r="P149" i="163"/>
  <c r="P356" i="163"/>
  <c r="Q354" i="163" s="1"/>
  <c r="H27" i="162"/>
  <c r="O2" i="170"/>
  <c r="F2" i="168"/>
  <c r="U101" i="163"/>
  <c r="J185" i="163"/>
  <c r="P185" i="163" s="1"/>
  <c r="J184" i="163"/>
  <c r="P184" i="163" s="1"/>
  <c r="P455" i="163"/>
  <c r="AX94" i="163"/>
  <c r="AX21" i="163"/>
  <c r="AX108" i="163" s="1"/>
  <c r="AX101" i="163"/>
  <c r="AX85" i="163"/>
  <c r="U94" i="163"/>
  <c r="T109" i="163"/>
  <c r="J153" i="163"/>
  <c r="P153" i="163" s="1"/>
  <c r="J148" i="163"/>
  <c r="P148" i="163" s="1"/>
  <c r="J151" i="163"/>
  <c r="P151" i="163" s="1"/>
  <c r="P150" i="163"/>
  <c r="AW25" i="163"/>
  <c r="U25" i="163" s="1"/>
  <c r="AW74" i="163"/>
  <c r="U74" i="163" s="1"/>
  <c r="AW24" i="163"/>
  <c r="U24" i="163" s="1"/>
  <c r="AW75" i="163"/>
  <c r="U75" i="163" s="1"/>
  <c r="P206" i="163"/>
  <c r="J175" i="163"/>
  <c r="P175" i="163" s="1"/>
  <c r="P204" i="163"/>
  <c r="J130" i="163"/>
  <c r="P130" i="163" s="1"/>
  <c r="J176" i="163"/>
  <c r="P176" i="163" s="1"/>
  <c r="J178" i="163"/>
  <c r="P178" i="163" s="1"/>
  <c r="J174" i="163"/>
  <c r="P174" i="163" s="1"/>
  <c r="P207" i="163"/>
  <c r="AW46" i="163"/>
  <c r="U46" i="163" s="1"/>
  <c r="J179" i="163"/>
  <c r="P179" i="163" s="1"/>
  <c r="P205" i="163"/>
  <c r="P208" i="163"/>
  <c r="J180" i="163"/>
  <c r="P180" i="163" s="1"/>
  <c r="J177" i="163"/>
  <c r="P177" i="163" s="1"/>
  <c r="AW81" i="163"/>
  <c r="U81" i="163" s="1"/>
  <c r="AW69" i="163"/>
  <c r="U69" i="163" s="1"/>
  <c r="AW53" i="163"/>
  <c r="U53" i="163" s="1"/>
  <c r="AW49" i="163"/>
  <c r="U49" i="163" s="1"/>
  <c r="AW71" i="163"/>
  <c r="U71" i="163" s="1"/>
  <c r="AW72" i="163"/>
  <c r="U72" i="163" s="1"/>
  <c r="AW61" i="163"/>
  <c r="U61" i="163" s="1"/>
  <c r="AW51" i="163"/>
  <c r="U51" i="163" s="1"/>
  <c r="AW62" i="163"/>
  <c r="U62" i="163" s="1"/>
  <c r="AW65" i="163"/>
  <c r="U65" i="163" s="1"/>
  <c r="P340" i="163"/>
  <c r="P309" i="163" s="1"/>
  <c r="J21" i="162" s="1"/>
  <c r="T13" i="163"/>
  <c r="P271" i="163" s="1"/>
  <c r="P234" i="163" s="1"/>
  <c r="AW23" i="163"/>
  <c r="U23" i="163" s="1"/>
  <c r="AW89" i="163"/>
  <c r="U89" i="163" s="1"/>
  <c r="AW64" i="163"/>
  <c r="U64" i="163" s="1"/>
  <c r="AW22" i="163"/>
  <c r="U22" i="163" s="1"/>
  <c r="AW26" i="163"/>
  <c r="U26" i="163" s="1"/>
  <c r="P465" i="163"/>
  <c r="AW90" i="163"/>
  <c r="U90" i="163" s="1"/>
  <c r="AW54" i="163"/>
  <c r="U54" i="163" s="1"/>
  <c r="AW80" i="163"/>
  <c r="U80" i="163" s="1"/>
  <c r="AW76" i="163"/>
  <c r="U76" i="163" s="1"/>
  <c r="AW60" i="163"/>
  <c r="U60" i="163" s="1"/>
  <c r="AW92" i="163"/>
  <c r="U92" i="163" s="1"/>
  <c r="AW73" i="163"/>
  <c r="U73" i="163" s="1"/>
  <c r="AW83" i="163"/>
  <c r="U83" i="163" s="1"/>
  <c r="AW78" i="163"/>
  <c r="U78" i="163" s="1"/>
  <c r="AW82" i="163"/>
  <c r="U82" i="163" s="1"/>
  <c r="AW70" i="163"/>
  <c r="U70" i="163" s="1"/>
  <c r="AW63" i="163"/>
  <c r="U63" i="163" s="1"/>
  <c r="AW77" i="163"/>
  <c r="U77" i="163" s="1"/>
  <c r="AW79" i="163"/>
  <c r="U79" i="163" s="1"/>
  <c r="AW55" i="163"/>
  <c r="U55" i="163" s="1"/>
  <c r="AW91" i="163"/>
  <c r="U91" i="163" s="1"/>
  <c r="AW50" i="163"/>
  <c r="U50" i="163" s="1"/>
  <c r="AW52" i="163"/>
  <c r="U52" i="163" s="1"/>
  <c r="P156" i="163"/>
  <c r="J159" i="163"/>
  <c r="P159" i="163" s="1"/>
  <c r="J137" i="163"/>
  <c r="P137" i="163" s="1"/>
  <c r="P158" i="163"/>
  <c r="P157" i="163"/>
  <c r="J160" i="163"/>
  <c r="P160" i="163" s="1"/>
  <c r="J161" i="163"/>
  <c r="P161" i="163" s="1"/>
  <c r="J226" i="163"/>
  <c r="P226" i="163" s="1"/>
  <c r="J142" i="163"/>
  <c r="P142" i="163" s="1"/>
  <c r="J192" i="163"/>
  <c r="P192" i="163" s="1"/>
  <c r="J227" i="163"/>
  <c r="P227" i="163" s="1"/>
  <c r="J191" i="163"/>
  <c r="P191" i="163" s="1"/>
  <c r="J223" i="163"/>
  <c r="P223" i="163" s="1"/>
  <c r="J193" i="163"/>
  <c r="P193" i="163" s="1"/>
  <c r="J224" i="163"/>
  <c r="P224" i="163" s="1"/>
  <c r="J225" i="163"/>
  <c r="P225" i="163" s="1"/>
  <c r="J196" i="163"/>
  <c r="P196" i="163" s="1"/>
  <c r="J195" i="163"/>
  <c r="P195" i="163" s="1"/>
  <c r="J194" i="163"/>
  <c r="P194" i="163" s="1"/>
  <c r="AX59" i="163"/>
  <c r="AX67" i="163"/>
  <c r="P215" i="163"/>
  <c r="J183" i="163"/>
  <c r="P183" i="163" s="1"/>
  <c r="J188" i="163"/>
  <c r="P188" i="163" s="1"/>
  <c r="J216" i="163"/>
  <c r="P216" i="163" s="1"/>
  <c r="J212" i="163"/>
  <c r="P212" i="163" s="1"/>
  <c r="J136" i="163"/>
  <c r="P136" i="163" s="1"/>
  <c r="J186" i="163"/>
  <c r="P186" i="163" s="1"/>
  <c r="J214" i="163"/>
  <c r="P214" i="163" s="1"/>
  <c r="J187" i="163"/>
  <c r="P187" i="163" s="1"/>
  <c r="J217" i="163"/>
  <c r="P217" i="163" s="1"/>
  <c r="AX34" i="163"/>
  <c r="J143" i="163"/>
  <c r="P143" i="163" s="1"/>
  <c r="J167" i="163"/>
  <c r="P167" i="163" s="1"/>
  <c r="J164" i="163"/>
  <c r="P164" i="163" s="1"/>
  <c r="J165" i="163"/>
  <c r="P165" i="163" s="1"/>
  <c r="J168" i="163"/>
  <c r="P168" i="163" s="1"/>
  <c r="J169" i="163"/>
  <c r="P169" i="163" s="1"/>
  <c r="J166" i="163"/>
  <c r="P166" i="163" s="1"/>
  <c r="U21" i="163" l="1"/>
  <c r="J105" i="162"/>
  <c r="J104" i="162" s="1"/>
  <c r="J75" i="162" s="1"/>
  <c r="H39" i="162"/>
  <c r="H56" i="162" s="1"/>
  <c r="Q232" i="163"/>
  <c r="J20" i="162"/>
  <c r="I20" i="162" s="1"/>
  <c r="J23" i="162"/>
  <c r="I23" i="162" s="1"/>
  <c r="P453" i="163"/>
  <c r="Q451" i="163" s="1"/>
  <c r="P125" i="163"/>
  <c r="J209" i="163"/>
  <c r="P209" i="163" s="1"/>
  <c r="P203" i="163"/>
  <c r="P147" i="163"/>
  <c r="U85" i="163"/>
  <c r="U59" i="163"/>
  <c r="N114" i="163"/>
  <c r="N117" i="163"/>
  <c r="U67" i="163"/>
  <c r="P173" i="163"/>
  <c r="J210" i="163"/>
  <c r="P210" i="163" s="1"/>
  <c r="U34" i="163"/>
  <c r="AX107" i="163"/>
  <c r="AW107" i="163" s="1"/>
  <c r="J15" i="162" s="1"/>
  <c r="Q307" i="163"/>
  <c r="I21" i="162"/>
  <c r="N115" i="163"/>
  <c r="N116" i="163"/>
  <c r="P190" i="163"/>
  <c r="J220" i="163"/>
  <c r="P220" i="163" s="1"/>
  <c r="J230" i="163"/>
  <c r="P230" i="163" s="1"/>
  <c r="J219" i="163"/>
  <c r="P219" i="163" s="1"/>
  <c r="J229" i="163"/>
  <c r="P229" i="163" s="1"/>
  <c r="J218" i="163"/>
  <c r="P218" i="163" s="1"/>
  <c r="P213" i="163"/>
  <c r="J228" i="163"/>
  <c r="P228" i="163" s="1"/>
  <c r="P182" i="163"/>
  <c r="N118" i="163"/>
  <c r="P155" i="163"/>
  <c r="P163" i="163"/>
  <c r="N119" i="163"/>
  <c r="P201" i="163" l="1"/>
  <c r="K117" i="163"/>
  <c r="V19" i="163"/>
  <c r="U107" i="163"/>
  <c r="AV107" i="163" s="1"/>
  <c r="J16" i="162" s="1"/>
  <c r="J18" i="162" s="1"/>
  <c r="U32" i="163"/>
  <c r="V30" i="163" s="1"/>
  <c r="P221" i="163"/>
  <c r="U108" i="163"/>
  <c r="AV108" i="163" s="1"/>
  <c r="AX109" i="163"/>
  <c r="K119" i="163"/>
  <c r="P145" i="163"/>
  <c r="K118" i="163"/>
  <c r="P211" i="163"/>
  <c r="I18" i="162" l="1"/>
  <c r="P200" i="163"/>
  <c r="P124" i="163" s="1"/>
  <c r="Q122" i="163" s="1"/>
  <c r="U109" i="163"/>
  <c r="AV109" i="163"/>
  <c r="AA3" i="167"/>
  <c r="AA4" i="167" s="1"/>
  <c r="U3" i="163"/>
  <c r="U4" i="163" s="1"/>
  <c r="L3" i="164"/>
  <c r="L4" i="164" s="1"/>
  <c r="J11" i="162"/>
  <c r="M10" i="162" s="1"/>
  <c r="G3" i="151"/>
  <c r="G4" i="151" s="1"/>
  <c r="P557" i="163" l="1"/>
  <c r="J19" i="162"/>
  <c r="I19" i="162" s="1"/>
  <c r="J13" i="162"/>
  <c r="J8" i="162" s="1"/>
  <c r="J77" i="162" l="1"/>
  <c r="J14" i="162"/>
  <c r="J43" i="162" s="1"/>
  <c r="J56" i="162" l="1"/>
  <c r="X56" i="162" s="1"/>
  <c r="I14" i="162"/>
  <c r="D10" i="151"/>
  <c r="G8" i="151" s="1"/>
  <c r="J103" i="162" s="1"/>
  <c r="H25" i="162"/>
  <c r="H9" i="162"/>
  <c r="I8" i="162"/>
  <c r="Q541" i="163"/>
  <c r="Q499" i="163"/>
  <c r="J98" i="162" s="1"/>
  <c r="Q358" i="163"/>
  <c r="J94" i="162" s="1"/>
  <c r="Q519" i="163"/>
  <c r="J96" i="162" s="1"/>
  <c r="Q485" i="163"/>
  <c r="J102" i="162" s="1"/>
  <c r="J80" i="162"/>
  <c r="Q419" i="163"/>
  <c r="J93" i="162" s="1"/>
  <c r="Q465" i="163"/>
  <c r="J99" i="162" s="1"/>
  <c r="J87" i="162"/>
  <c r="H24" i="162"/>
  <c r="Q483" i="163"/>
  <c r="V101" i="163"/>
  <c r="J85" i="162" s="1"/>
  <c r="Q455" i="163"/>
  <c r="J92" i="162" s="1"/>
  <c r="Q356" i="163"/>
  <c r="V85" i="163"/>
  <c r="J83" i="162" s="1"/>
  <c r="V94" i="163"/>
  <c r="J95" i="162" s="1"/>
  <c r="Q234" i="163"/>
  <c r="J88" i="162" s="1"/>
  <c r="H17" i="162"/>
  <c r="H12" i="162"/>
  <c r="H22" i="162"/>
  <c r="Q309" i="163"/>
  <c r="Q125" i="163"/>
  <c r="J91" i="162" s="1"/>
  <c r="Q453" i="163"/>
  <c r="V107" i="163"/>
  <c r="H20" i="162"/>
  <c r="H23" i="162"/>
  <c r="H21" i="162"/>
  <c r="V67" i="163"/>
  <c r="J84" i="162" s="1"/>
  <c r="Q145" i="163"/>
  <c r="J89" i="162" s="1"/>
  <c r="H15" i="162"/>
  <c r="J82" i="162"/>
  <c r="J86" i="162"/>
  <c r="H18" i="162"/>
  <c r="V109" i="163"/>
  <c r="Q200" i="163"/>
  <c r="J90" i="162" s="1"/>
  <c r="J79" i="162"/>
  <c r="H16" i="162"/>
  <c r="Q124" i="163"/>
  <c r="H11" i="162"/>
  <c r="Q557" i="163"/>
  <c r="H19" i="162"/>
  <c r="H14" i="162"/>
  <c r="H13" i="162"/>
  <c r="J78" i="162" s="1"/>
  <c r="K56" i="162" l="1"/>
  <c r="J45" i="162"/>
  <c r="J52" i="162" s="1"/>
  <c r="K43" i="162"/>
  <c r="J76" i="162"/>
  <c r="J81" i="162"/>
  <c r="J53" i="162" l="1"/>
  <c r="H53" i="162" s="1"/>
  <c r="J55" i="162"/>
  <c r="H46" i="162"/>
  <c r="H48" i="162"/>
  <c r="J34" i="162"/>
  <c r="P22" i="162"/>
  <c r="P21" i="162"/>
  <c r="J38" i="162"/>
  <c r="J71" i="162" s="1"/>
  <c r="J70" i="162" s="1"/>
  <c r="P18" i="162"/>
  <c r="P20" i="162"/>
  <c r="J36" i="162"/>
  <c r="P23" i="162"/>
  <c r="M28" i="162"/>
  <c r="K45" i="162"/>
  <c r="J33" i="162"/>
  <c r="J27" i="162"/>
  <c r="J28" i="162"/>
  <c r="J30" i="162"/>
  <c r="J29" i="162"/>
  <c r="J32" i="162"/>
  <c r="M29" i="162"/>
  <c r="M31" i="162"/>
  <c r="M32" i="162"/>
  <c r="M30" i="162"/>
  <c r="M33" i="162"/>
  <c r="P19" i="162"/>
  <c r="J35" i="162"/>
  <c r="J31" i="162"/>
  <c r="X55" i="162" l="1"/>
  <c r="Z56" i="162" s="1"/>
  <c r="L49" i="162"/>
  <c r="J73" i="162"/>
  <c r="J42" i="162"/>
  <c r="J58" i="162"/>
  <c r="J60" i="162" s="1"/>
  <c r="G29" i="162"/>
  <c r="L50" i="162" s="1"/>
  <c r="H73" i="162" l="1"/>
  <c r="J54" i="162"/>
  <c r="K54" i="162" s="1"/>
  <c r="K55" i="162"/>
  <c r="H55" i="162"/>
  <c r="H70" i="162"/>
  <c r="H71" i="162"/>
  <c r="J72" i="162"/>
  <c r="K72" i="162" s="1"/>
  <c r="J41" i="162"/>
  <c r="H41" i="162" s="1"/>
  <c r="J57" i="162"/>
  <c r="J59" i="162" s="1"/>
  <c r="J40" i="162"/>
  <c r="K53" i="162"/>
  <c r="P28" i="162"/>
  <c r="K60" i="162"/>
  <c r="P33" i="162"/>
  <c r="P32" i="162"/>
  <c r="P30" i="162"/>
  <c r="P31" i="162"/>
  <c r="P29" i="162"/>
  <c r="H72" i="162" l="1"/>
  <c r="H54" i="162"/>
  <c r="H59" i="162"/>
  <c r="H60" i="162"/>
  <c r="J26" i="162"/>
  <c r="H58" i="162" l="1"/>
  <c r="I26" i="162"/>
  <c r="H26" i="162"/>
  <c r="L131" i="17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 Augusto</author>
  </authors>
  <commentList>
    <comment ref="J52" authorId="0" shapeId="0" xr:uid="{3014D672-F9E9-43B1-BB58-C0D2DFB9F080}">
      <text>
        <r>
          <rPr>
            <b/>
            <sz val="9"/>
            <color indexed="81"/>
            <rFont val="Segoe UI"/>
            <family val="2"/>
          </rPr>
          <t>Andre Augusto:</t>
        </r>
        <r>
          <rPr>
            <sz val="9"/>
            <color indexed="81"/>
            <rFont val="Segoe UI"/>
            <family val="2"/>
          </rPr>
          <t xml:space="preserve">
Mascara para fórmula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tc={70A57EE1-4D0F-47C2-83DF-14155DE0D4A6}</author>
    <author>tc={51B00940-16EF-4E7F-A582-EA652F9271D5}</author>
    <author>tc={A4D5C2BB-B44A-48CD-B87A-4A1EBD1A17C0}</author>
    <author>tc={A9C917AC-9338-49A3-8B56-7DA8E53C311F}</author>
  </authors>
  <commentList>
    <comment ref="J12" authorId="0" shapeId="0" xr:uid="{70A57EE1-4D0F-47C2-83DF-14155DE0D4A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"Sem quaisquer deduções"</t>
      </text>
    </comment>
    <comment ref="J14" authorId="1" shapeId="0" xr:uid="{51B00940-16EF-4E7F-A582-EA652F9271D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"Sem quaisquer deduções"</t>
      </text>
    </comment>
    <comment ref="J16" authorId="2" shapeId="0" xr:uid="{A4D5C2BB-B44A-48CD-B87A-4A1EBD1A17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"Sem quaisquer deduções"</t>
      </text>
    </comment>
    <comment ref="J17" authorId="3" shapeId="0" xr:uid="{A9C917AC-9338-49A3-8B56-7DA8E53C31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"Sem quaisquer deduções"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<sst xmlns="http://schemas.openxmlformats.org/spreadsheetml/2006/main" count="4106" uniqueCount="2297">
  <si>
    <t>vb</t>
  </si>
  <si>
    <t>TOTAL</t>
  </si>
  <si>
    <t>mês</t>
  </si>
  <si>
    <t>Betoneiras</t>
  </si>
  <si>
    <t>Policorte</t>
  </si>
  <si>
    <t>Guincho tipo velox de coluna h: 8,0m</t>
  </si>
  <si>
    <t>Furadeira - impacto / madeira</t>
  </si>
  <si>
    <t>Caixa de obra</t>
  </si>
  <si>
    <t>Serra circular elétrica manual - pedras</t>
  </si>
  <si>
    <t>Serra circular elétrica manual - madeiras</t>
  </si>
  <si>
    <t>Serra circular - bancada</t>
  </si>
  <si>
    <t>un</t>
  </si>
  <si>
    <t>Compactador - tipo sapo</t>
  </si>
  <si>
    <t>Serra clipper</t>
  </si>
  <si>
    <t>Telefone fixo / celular</t>
  </si>
  <si>
    <t>%</t>
  </si>
  <si>
    <t>Empilhadeira - locação e operador</t>
  </si>
  <si>
    <t>Projetor de argamassa</t>
  </si>
  <si>
    <t>Nextel</t>
  </si>
  <si>
    <t>Impressoras</t>
  </si>
  <si>
    <t>Martelo demolidor - elétrico - 11kg</t>
  </si>
  <si>
    <t>Martelo demolidor - elétrico - 30kg</t>
  </si>
  <si>
    <t>Conjunto de oxi-acetileno</t>
  </si>
  <si>
    <t>Torre de iluminação - incluso combustível</t>
  </si>
  <si>
    <t>Holofotes</t>
  </si>
  <si>
    <t>Guindastes</t>
  </si>
  <si>
    <t>Pisos em concreto</t>
  </si>
  <si>
    <t>Engenheiro de Segurança</t>
  </si>
  <si>
    <t>Aux de Enfermaria</t>
  </si>
  <si>
    <t>Estacas hélice</t>
  </si>
  <si>
    <t>Aspirador de Pó Industrial</t>
  </si>
  <si>
    <t>Cadeirinha suspensa</t>
  </si>
  <si>
    <t>Perfurador Rompedor SDS</t>
  </si>
  <si>
    <t>Serra mármore 7"</t>
  </si>
  <si>
    <t>Instalações elétricas</t>
  </si>
  <si>
    <t xml:space="preserve">Instalações hidráulicas </t>
  </si>
  <si>
    <t xml:space="preserve">Revestimento de piso </t>
  </si>
  <si>
    <t>Estacas raiz</t>
  </si>
  <si>
    <t>Mobilização de terceiros</t>
  </si>
  <si>
    <t>Zelador - administração de repúblicas</t>
  </si>
  <si>
    <t>Caminhão limpa fossa - 2 x / semana x 4 = 8vj/mês</t>
  </si>
  <si>
    <t>Plataforma girafa - até trab com h=15,00m</t>
  </si>
  <si>
    <t>Engenheiro / Arquiteto -  Coordenação de Projetos</t>
  </si>
  <si>
    <t>Técnico de Edificações - Suprimentos</t>
  </si>
  <si>
    <t xml:space="preserve">Tecnológo Civil - Produção </t>
  </si>
  <si>
    <t>Tecnológo Civil -  Planejamento</t>
  </si>
  <si>
    <t>Técnico de Edificações - Produção</t>
  </si>
  <si>
    <t>Técnico de Edificações - Planejamento</t>
  </si>
  <si>
    <t>Médico do Trabalho</t>
  </si>
  <si>
    <t>Eletricista - apoio</t>
  </si>
  <si>
    <t>Encanador - apoio</t>
  </si>
  <si>
    <t>Almoxarife - central</t>
  </si>
  <si>
    <t>Servente - faxina de repúblicas</t>
  </si>
  <si>
    <t>Auxiliar de almoxarifado</t>
  </si>
  <si>
    <t>Mecanico  de equipamentos - geral</t>
  </si>
  <si>
    <t>Tecnológo Civil -  Qualidade</t>
  </si>
  <si>
    <t>Técnico de Edificações - Qualidade</t>
  </si>
  <si>
    <t>Engenheiro - Qualidade</t>
  </si>
  <si>
    <t>Motorista - veículos</t>
  </si>
  <si>
    <t>Engenharia</t>
  </si>
  <si>
    <t>Acoplamento de container - administrativos</t>
  </si>
  <si>
    <t>Acoplamento de container - almoxarifado</t>
  </si>
  <si>
    <t>Área de descanso -  (somente cobertura e piso de concreto)</t>
  </si>
  <si>
    <t>Chuveiros - tipo Corona</t>
  </si>
  <si>
    <t>Mesas de refeitório + bancos de madeira</t>
  </si>
  <si>
    <t>Fechamentos com cerquit - PVC</t>
  </si>
  <si>
    <t xml:space="preserve">Quadro de entrada - distribuição </t>
  </si>
  <si>
    <t xml:space="preserve">Cabeamento de distribuição - pontos de energia </t>
  </si>
  <si>
    <t xml:space="preserve">Portaria - Controle de acesso à obra  </t>
  </si>
  <si>
    <t>Fretes - containers (entrega + retirada)</t>
  </si>
  <si>
    <t>Engenheiro - Gerencia de Contrato</t>
  </si>
  <si>
    <t xml:space="preserve">Materiais de escritório </t>
  </si>
  <si>
    <t>Materiais de limpeza e higiene</t>
  </si>
  <si>
    <t>Água potável de consumo - galão de 20 lts.</t>
  </si>
  <si>
    <t>Água de lavagem - caminhão pipa 20.00lts</t>
  </si>
  <si>
    <t>Cópias heliográficas</t>
  </si>
  <si>
    <t>Correios - malotes e sedex</t>
  </si>
  <si>
    <t>Mesas simples - 1,40m - 2 gavetas</t>
  </si>
  <si>
    <t xml:space="preserve">Mesa de reunião - </t>
  </si>
  <si>
    <t>Armários Administrativo / Engenharia / Segurança</t>
  </si>
  <si>
    <t>Armário de vidro - Enfermaria</t>
  </si>
  <si>
    <t>Maca - enfermaria</t>
  </si>
  <si>
    <t>Cama dobrável - enfermaria</t>
  </si>
  <si>
    <t>Medicamentos - primeiros socorros</t>
  </si>
  <si>
    <t>Computadores - CPU +Tela + Teclado</t>
  </si>
  <si>
    <t>Consumo de Água / Luz - obra</t>
  </si>
  <si>
    <t xml:space="preserve">Cartucho remanufaturado - </t>
  </si>
  <si>
    <t xml:space="preserve">Internet - </t>
  </si>
  <si>
    <t>Instalação - internet</t>
  </si>
  <si>
    <t xml:space="preserve">Aterramentos - containers </t>
  </si>
  <si>
    <t xml:space="preserve">Servente - faxina de canteiro de obra - escritório </t>
  </si>
  <si>
    <t>Servente - faxina de canteiro de obra - refeitório</t>
  </si>
  <si>
    <t>Servente - faxina de canteiro de obra / sanitários</t>
  </si>
  <si>
    <t>Motorista - operador de caminhão munk</t>
  </si>
  <si>
    <t>Motorista - operador de HR</t>
  </si>
  <si>
    <t>Engenheiro - Produção II</t>
  </si>
  <si>
    <t>Engenheiro - Produção III</t>
  </si>
  <si>
    <t>Engenheiro  - Planejamento  I</t>
  </si>
  <si>
    <t>Mestre de Obra II</t>
  </si>
  <si>
    <t>Contra Mestre I</t>
  </si>
  <si>
    <t>Contra Mestre II</t>
  </si>
  <si>
    <t>Encarregado de Obra I</t>
  </si>
  <si>
    <t>Encarregado de Obra II</t>
  </si>
  <si>
    <t>Técnico de Segurança - I</t>
  </si>
  <si>
    <t>Administrativo de Obra - Financeiro</t>
  </si>
  <si>
    <t>Auxiliar Administrativo - Financeiro</t>
  </si>
  <si>
    <t xml:space="preserve">Topografo + equipamento </t>
  </si>
  <si>
    <t/>
  </si>
  <si>
    <t>i =</t>
  </si>
  <si>
    <t>n =</t>
  </si>
  <si>
    <t>Legenda</t>
  </si>
  <si>
    <t>Despesas Financeiras</t>
  </si>
  <si>
    <t>i -</t>
  </si>
  <si>
    <t>j -</t>
  </si>
  <si>
    <t>n -</t>
  </si>
  <si>
    <t>PV -</t>
  </si>
  <si>
    <t>VF -</t>
  </si>
  <si>
    <r>
      <t>f</t>
    </r>
    <r>
      <rPr>
        <b/>
        <sz val="8"/>
        <color rgb="FF000000"/>
        <rFont val="Calibri"/>
        <family val="2"/>
        <scheme val="minor"/>
      </rPr>
      <t>=</t>
    </r>
  </si>
  <si>
    <t>VF=</t>
  </si>
  <si>
    <r>
      <rPr>
        <sz val="8"/>
        <color theme="1"/>
        <rFont val="Italic"/>
      </rPr>
      <t xml:space="preserve">f </t>
    </r>
    <r>
      <rPr>
        <sz val="10"/>
        <color theme="1"/>
        <rFont val="Arial"/>
        <family val="2"/>
      </rPr>
      <t xml:space="preserve"> =</t>
    </r>
  </si>
  <si>
    <t>VP =</t>
  </si>
  <si>
    <r>
      <t>j</t>
    </r>
    <r>
      <rPr>
        <vertAlign val="subscript"/>
        <sz val="10"/>
        <color theme="1"/>
        <rFont val="Arial"/>
        <family val="2"/>
      </rPr>
      <t xml:space="preserve">(total) </t>
    </r>
    <r>
      <rPr>
        <sz val="10"/>
        <color theme="1"/>
        <rFont val="Arial"/>
        <family val="2"/>
      </rPr>
      <t>=</t>
    </r>
  </si>
  <si>
    <t>Base</t>
  </si>
  <si>
    <t>Tempo (Obra)</t>
  </si>
  <si>
    <t>Aluguel predial + IPTU</t>
  </si>
  <si>
    <t>mensal</t>
  </si>
  <si>
    <t>Energia Elétrica</t>
  </si>
  <si>
    <t>Água</t>
  </si>
  <si>
    <t>Segurança patrimonial</t>
  </si>
  <si>
    <t>Unidade</t>
  </si>
  <si>
    <t>Qtd.</t>
  </si>
  <si>
    <t xml:space="preserve">Colchões </t>
  </si>
  <si>
    <t>Data base:</t>
  </si>
  <si>
    <t>A</t>
  </si>
  <si>
    <t>PIS - Programa de Integração Social</t>
  </si>
  <si>
    <t>IRPJ - Imposto de Renda de Pessoa Jurídica</t>
  </si>
  <si>
    <t>COFINS - Financiamento da Seguridade Social</t>
  </si>
  <si>
    <t>CSLL - Contribuição Social do Lucro Líquido</t>
  </si>
  <si>
    <t>Desoneração de Folha de Pagamento</t>
  </si>
  <si>
    <t>B</t>
  </si>
  <si>
    <t>C</t>
  </si>
  <si>
    <t>D</t>
  </si>
  <si>
    <t>N/A</t>
  </si>
  <si>
    <t>Bonificação e Despesas Indiretas</t>
  </si>
  <si>
    <t>Itens</t>
  </si>
  <si>
    <t>Descrição</t>
  </si>
  <si>
    <t>Almoço</t>
  </si>
  <si>
    <r>
      <t xml:space="preserve">Montante - Base de cálculo </t>
    </r>
    <r>
      <rPr>
        <sz val="10"/>
        <color rgb="FF000000"/>
        <rFont val="Arial"/>
        <family val="2"/>
      </rPr>
      <t xml:space="preserve">(Valor Futuro) com Juros Compostos </t>
    </r>
  </si>
  <si>
    <t>Legenda:</t>
  </si>
  <si>
    <t xml:space="preserve">Refeição - Produção </t>
  </si>
  <si>
    <t>Refeição - Supervisão</t>
  </si>
  <si>
    <t>Refeição - Coordenação</t>
  </si>
  <si>
    <t xml:space="preserve">Café da manhã </t>
  </si>
  <si>
    <t xml:space="preserve">Lanche da tarde </t>
  </si>
  <si>
    <t>Qtde</t>
  </si>
  <si>
    <t>Vida util</t>
  </si>
  <si>
    <t>Café da manhã  =</t>
  </si>
  <si>
    <t>Almoço =</t>
  </si>
  <si>
    <t>Lanche da tarde =</t>
  </si>
  <si>
    <t>Jantar - alojados =</t>
  </si>
  <si>
    <t>Cestas básicas =</t>
  </si>
  <si>
    <t>Valor base conforme Convenção coletiva de trabalho ( CCT )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</si>
  <si>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</si>
  <si>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</si>
  <si>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</si>
  <si>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</si>
  <si>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</si>
  <si>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</si>
  <si>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</si>
  <si>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</si>
  <si>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</si>
  <si>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B6</t>
  </si>
  <si>
    <t>B7</t>
  </si>
  <si>
    <t>D1</t>
  </si>
  <si>
    <t>B8</t>
  </si>
  <si>
    <t>B9</t>
  </si>
  <si>
    <t>B10</t>
  </si>
  <si>
    <t>Ajuda de custo referente a transporte</t>
  </si>
  <si>
    <t>Capacidade da casa (pessoas) =</t>
  </si>
  <si>
    <t>Pá-carregadeira sobre pneus 950HQ</t>
  </si>
  <si>
    <t>Trator de esteira D6T</t>
  </si>
  <si>
    <t>Escavadeira 320DL</t>
  </si>
  <si>
    <t>Retroescavadeira - CASE-Mod.580 L 4X2</t>
  </si>
  <si>
    <t>2 - Para rastrear células específicas Ctrl+G</t>
  </si>
  <si>
    <t>Gol 1.6 Plus Flex ou similar alugado</t>
  </si>
  <si>
    <t>Palio wekend sedan 1.6 4p flex PM</t>
  </si>
  <si>
    <t>Locação ônibus fretados  para + de 30 pessoas</t>
  </si>
  <si>
    <t>Diária em hotel</t>
  </si>
  <si>
    <t>Unitário</t>
  </si>
  <si>
    <t>S</t>
  </si>
  <si>
    <t>Taxa de Administração Central</t>
  </si>
  <si>
    <t>Taxa de Risco do Empreendimento</t>
  </si>
  <si>
    <t>ISS Municipal*</t>
  </si>
  <si>
    <t>Taxa de Comercialização</t>
  </si>
  <si>
    <t>Total geral   A + B + C + D + E =</t>
  </si>
  <si>
    <t>C1</t>
  </si>
  <si>
    <t>Medicina e segurança do trabalho</t>
  </si>
  <si>
    <t>Canteiro de obras conservação e manutenção</t>
  </si>
  <si>
    <r>
      <rPr>
        <sz val="12"/>
        <color theme="1"/>
        <rFont val="Calibri"/>
        <family val="2"/>
      </rPr>
      <t>ΣMj</t>
    </r>
    <r>
      <rPr>
        <sz val="10"/>
        <color theme="1"/>
        <rFont val="Arial"/>
        <family val="2"/>
      </rPr>
      <t>=</t>
    </r>
  </si>
  <si>
    <t>CLT</t>
  </si>
  <si>
    <t xml:space="preserve"> Hora extra dias úteis =</t>
  </si>
  <si>
    <t xml:space="preserve"> Hora extra sábados =</t>
  </si>
  <si>
    <t xml:space="preserve"> Hora extra domingos =</t>
  </si>
  <si>
    <t>Adicional noturno =</t>
  </si>
  <si>
    <t xml:space="preserve">   sáb</t>
  </si>
  <si>
    <t xml:space="preserve">  dom</t>
  </si>
  <si>
    <t xml:space="preserve"> dia útil</t>
  </si>
  <si>
    <t>HE d.útil</t>
  </si>
  <si>
    <t>VH.sáb</t>
  </si>
  <si>
    <t>VH.d.útil</t>
  </si>
  <si>
    <t>VH.dom</t>
  </si>
  <si>
    <t>Qtd sáb</t>
  </si>
  <si>
    <t>Qtd dom</t>
  </si>
  <si>
    <t>Vigilância armada da obra - equipe diuturno</t>
  </si>
  <si>
    <t>Vigilância armada da obra - equipe noturno</t>
  </si>
  <si>
    <t>Portaria - Controle de acesso à obra diurno</t>
  </si>
  <si>
    <t>Portaria - Controle de acesso à obra noturno</t>
  </si>
  <si>
    <t>Equipe - Mão de obra direta</t>
  </si>
  <si>
    <t>Pedreiro</t>
  </si>
  <si>
    <t>Feitor I</t>
  </si>
  <si>
    <t xml:space="preserve">CUSTO INDIRETO - Mão de obra </t>
  </si>
  <si>
    <t>Eventual atraso =</t>
  </si>
  <si>
    <t>Meses da obra =</t>
  </si>
  <si>
    <t>Prazo de obra =</t>
  </si>
  <si>
    <t>Data de início =</t>
  </si>
  <si>
    <t xml:space="preserve">meses </t>
  </si>
  <si>
    <t>Dissídio coletivo =</t>
  </si>
  <si>
    <t>Incidência do dissídio =</t>
  </si>
  <si>
    <t>Ociosidade por dia (h) =</t>
  </si>
  <si>
    <t>Data de fim =</t>
  </si>
  <si>
    <t xml:space="preserve">Valor hora </t>
  </si>
  <si>
    <t>D. úteis trabalhados/mês =</t>
  </si>
  <si>
    <t>Sáb. trabalhados/mês =</t>
  </si>
  <si>
    <t>D. úteis trab. noturno/mês =</t>
  </si>
  <si>
    <t>Sáb. trab. noturno/mês =</t>
  </si>
  <si>
    <r>
      <rPr>
        <sz val="10"/>
        <color rgb="FFFF0000"/>
        <rFont val="Arial"/>
        <family val="2"/>
      </rPr>
      <t>Dom.</t>
    </r>
    <r>
      <rPr>
        <sz val="10"/>
        <color theme="1"/>
        <rFont val="Arial"/>
        <family val="2"/>
      </rPr>
      <t xml:space="preserve"> trabalhados/mês =</t>
    </r>
  </si>
  <si>
    <r>
      <rPr>
        <sz val="10"/>
        <color rgb="FFFF0000"/>
        <rFont val="Arial"/>
        <family val="2"/>
      </rPr>
      <t>Dom</t>
    </r>
    <r>
      <rPr>
        <sz val="10"/>
        <color theme="1"/>
        <rFont val="Arial"/>
        <family val="2"/>
      </rPr>
      <t xml:space="preserve"> trab. noturno/mês =</t>
    </r>
  </si>
  <si>
    <t>Supervisão</t>
  </si>
  <si>
    <t>Coordenação</t>
  </si>
  <si>
    <t>Valores unitários de Hora Extra</t>
  </si>
  <si>
    <t xml:space="preserve">  Qtd adicional noturno </t>
  </si>
  <si>
    <t xml:space="preserve"> Qtd de hora extra</t>
  </si>
  <si>
    <t>Ajuda ou bonus</t>
  </si>
  <si>
    <t>Unit. Hora Extra + Adc. noturno</t>
  </si>
  <si>
    <t>Hora Extra em dias úteis =</t>
  </si>
  <si>
    <t>Hora Extra em sábados =</t>
  </si>
  <si>
    <t>Hora Extra em domingos =</t>
  </si>
  <si>
    <t>Hora Extra adic.noturno =</t>
  </si>
  <si>
    <t>Em dias úteis diurno =</t>
  </si>
  <si>
    <t>Em sábados diurno =</t>
  </si>
  <si>
    <t>Em dias úteis noturno =</t>
  </si>
  <si>
    <t>Em sábados noturno =</t>
  </si>
  <si>
    <t>m³</t>
  </si>
  <si>
    <t>m</t>
  </si>
  <si>
    <t>m²</t>
  </si>
  <si>
    <t>Controle tecnológico e execução de ensaios de qualidade</t>
  </si>
  <si>
    <t>Cadeado N30</t>
  </si>
  <si>
    <t>Martelo</t>
  </si>
  <si>
    <t>Serrote</t>
  </si>
  <si>
    <t>Ponteiro</t>
  </si>
  <si>
    <t>Talhadeira</t>
  </si>
  <si>
    <t>Carrinho de mão reforçado</t>
  </si>
  <si>
    <t>Trena 5 m</t>
  </si>
  <si>
    <t>Trena 8 m</t>
  </si>
  <si>
    <t>Trena 50 m</t>
  </si>
  <si>
    <t>Corrente 8 mm</t>
  </si>
  <si>
    <t>Colher pedreiro paçeta</t>
  </si>
  <si>
    <t>Prumo de centro</t>
  </si>
  <si>
    <t>Lapis carpinteiro</t>
  </si>
  <si>
    <t>Desempenadeira plastico</t>
  </si>
  <si>
    <t>Desempenadeira lisa 18X30</t>
  </si>
  <si>
    <t>Desempenadeira crespo 22X36</t>
  </si>
  <si>
    <t>Mangueira de nivel 3/8</t>
  </si>
  <si>
    <t>Lamina p/ Arco de serra</t>
  </si>
  <si>
    <t>Regua aluminio 3M</t>
  </si>
  <si>
    <t>Regua aluminio 2M</t>
  </si>
  <si>
    <t>Ajudante de topografia</t>
  </si>
  <si>
    <t>t.dia (min)</t>
  </si>
  <si>
    <t>Entrada de energia - poste + trafo xxx KVA - ver necessidade local</t>
  </si>
  <si>
    <t>A.F. - Alimentação - caixa dágua (ver distancia no local)</t>
  </si>
  <si>
    <t>A.F. - Distribuição - ponto de uso (ver distancia no local)</t>
  </si>
  <si>
    <t>EPI's</t>
  </si>
  <si>
    <t>Caminhão com Munck</t>
  </si>
  <si>
    <t>Serviços técnicos Especializados</t>
  </si>
  <si>
    <t>Auto de vistoria do corpo de bombeiros (AVCB)</t>
  </si>
  <si>
    <t>Aprovação do Habite-se / Utilize-se</t>
  </si>
  <si>
    <t>Revisão / retificação de área terreno / área construída junto ao Cadastro Imobiliário</t>
  </si>
  <si>
    <t>Desdobro ou fusão</t>
  </si>
  <si>
    <t>Desmembramento / loteamento</t>
  </si>
  <si>
    <t xml:space="preserve">Aprovação para serviços de demolição </t>
  </si>
  <si>
    <t>Atestado de Uso e ocupação do solo / Reparos ou consertos</t>
  </si>
  <si>
    <t>Aprovação junto ao Comando Aéreo Regional (COMAR)</t>
  </si>
  <si>
    <t>Aprovação junto a Companhia Ambiental do Estado de São Paulo – CETESB</t>
  </si>
  <si>
    <t>Aprovação junto ao Instituto do Patrimônio Histórico e Artístico Nacional (IPHAN)</t>
  </si>
  <si>
    <t>Aprovação junto ao Conselho de Defesa do Patrimônio Histórico, Arqueológico, Artístico e Turístico – CONDEPHAAT</t>
  </si>
  <si>
    <t>Aprovação junto a VIGILANCIA SANITÁRIA</t>
  </si>
  <si>
    <t>Relatórios de impactos gerais</t>
  </si>
  <si>
    <t>Emissão de fichas e requerimentos padrões</t>
  </si>
  <si>
    <t>Solicitação de Ficha de Dados Cadastrais (FDC) do imóvel</t>
  </si>
  <si>
    <t>Certidão Negativa de Débitos (CND) do imóvel</t>
  </si>
  <si>
    <t>Atestado de Responsabilidade Técnica (ART)</t>
  </si>
  <si>
    <t>Documentos mínimos exigidos (3 vias do MD, e Projeto Arquitetonico)</t>
  </si>
  <si>
    <t>Cadeira simples</t>
  </si>
  <si>
    <t>Dispenser para sabonete líquido</t>
  </si>
  <si>
    <t>Dispenser para papel toalha</t>
  </si>
  <si>
    <t>Lousa com fundo branco 60x90 cm</t>
  </si>
  <si>
    <t>Lixeira em PVC para escritório 9,3 L</t>
  </si>
  <si>
    <t>Kit de primeiro socorros portátil</t>
  </si>
  <si>
    <t xml:space="preserve">Aparelho de Pressão Glicomed Aneróide Estetoscópio </t>
  </si>
  <si>
    <t>Armadoria - construção provisória simples</t>
  </si>
  <si>
    <t>Carpintaria - construção provisória simples</t>
  </si>
  <si>
    <t>Argamassadeira - construção provisória simples</t>
  </si>
  <si>
    <t>Construção provisória simples</t>
  </si>
  <si>
    <t xml:space="preserve">Pré fabricados em chapa simples - almoxarifado </t>
  </si>
  <si>
    <t>Pré fabricados em chapa simples - refeitório</t>
  </si>
  <si>
    <t>Canteiro de obras - Completo NR-18</t>
  </si>
  <si>
    <t>PPRA</t>
  </si>
  <si>
    <t>PCMSO</t>
  </si>
  <si>
    <t>PCMAT - NR-18.3.1</t>
  </si>
  <si>
    <t>Ambulatório      (n° &gt;= 50 trabalhadores)</t>
  </si>
  <si>
    <t xml:space="preserve">Engenharia     - fornec. e instalação PD=2,40m </t>
  </si>
  <si>
    <t xml:space="preserve">Administrativo - fornec. e instalação PD=2,40m </t>
  </si>
  <si>
    <t xml:space="preserve">Seg. Trabalho - fornec. e instalação PD=2,40m </t>
  </si>
  <si>
    <t xml:space="preserve">Almoxarifado   - fornec. e instalação PD=2,40m </t>
  </si>
  <si>
    <t xml:space="preserve">Depósito         - fornec. e instalação PD=2,40m </t>
  </si>
  <si>
    <t>Proteção contra choque p/ contato indireto (DDR)</t>
  </si>
  <si>
    <t xml:space="preserve"> Qtd mín Bacia e mic  =</t>
  </si>
  <si>
    <t xml:space="preserve"> Qtd mín chuveiro  =</t>
  </si>
  <si>
    <t>Necessário Ambulatorio =</t>
  </si>
  <si>
    <t xml:space="preserve">Suprimentos   - fornec. e instalação PD=2,40m </t>
  </si>
  <si>
    <t>Container simples - Almoxarifado</t>
  </si>
  <si>
    <t>Container simples - Apoio</t>
  </si>
  <si>
    <t>Containeres</t>
  </si>
  <si>
    <t>Tapume de madeira simples</t>
  </si>
  <si>
    <t>Tapume móvel em lona com impresão digital fixada com olhais e montantes acada 2,20 m</t>
  </si>
  <si>
    <t>Fechamentos provisórios</t>
  </si>
  <si>
    <t>Áreas de apoio</t>
  </si>
  <si>
    <t>Container simples - Vestiário</t>
  </si>
  <si>
    <t xml:space="preserve">Vestiário         - fornec. e instalação PD=2,40m </t>
  </si>
  <si>
    <t>Canteiro padrão conforme projeto</t>
  </si>
  <si>
    <t>Refeitório          (capacidade 50 trabalhadores)</t>
  </si>
  <si>
    <t>Aparelho de ar condicionado-12.000 BTUs - Aluguel</t>
  </si>
  <si>
    <t>Roteador Belkin N600 F9K1102X</t>
  </si>
  <si>
    <t>Plotagens em copiadoras</t>
  </si>
  <si>
    <t>Relógio de Ponto Cartográfico Trix XCard 300</t>
  </si>
  <si>
    <t>Extintor manual de pó químico seco BC, 4 kg com carga</t>
  </si>
  <si>
    <t>Extintor manual de água pressurizada 10 litros</t>
  </si>
  <si>
    <t>Servente</t>
  </si>
  <si>
    <t>Equipamentos e Mobiliário</t>
  </si>
  <si>
    <t>N° de Pessoas</t>
  </si>
  <si>
    <t>Altura</t>
  </si>
  <si>
    <t>Capacidade (L)</t>
  </si>
  <si>
    <t>ø Externo</t>
  </si>
  <si>
    <t>ø Interno</t>
  </si>
  <si>
    <t xml:space="preserve">Até 7 = </t>
  </si>
  <si>
    <t>Até 10 =</t>
  </si>
  <si>
    <t>Até 14 =</t>
  </si>
  <si>
    <t>Até 21 =</t>
  </si>
  <si>
    <t>Até 24 =</t>
  </si>
  <si>
    <t>Dimensionamento de fossa sérptica</t>
  </si>
  <si>
    <t xml:space="preserve">Ferramentas </t>
  </si>
  <si>
    <t>Equipamentos</t>
  </si>
  <si>
    <t>Serviços Técnicos Especilizados</t>
  </si>
  <si>
    <t>EPI-s</t>
  </si>
  <si>
    <t xml:space="preserve">Transporte de materiais e equipamentos </t>
  </si>
  <si>
    <t>% de presença de MDO para horas extras</t>
  </si>
  <si>
    <t>Σ =</t>
  </si>
  <si>
    <t>BDI =</t>
  </si>
  <si>
    <t>Seguro de vida para funcionários</t>
  </si>
  <si>
    <t>Ferramentas manuais</t>
  </si>
  <si>
    <t>Materiais</t>
  </si>
  <si>
    <t>Projetos</t>
  </si>
  <si>
    <t>Sondagens</t>
  </si>
  <si>
    <t>média homem/mês =</t>
  </si>
  <si>
    <t xml:space="preserve">média ponderada = </t>
  </si>
  <si>
    <t>Escoramentos e Içamento</t>
  </si>
  <si>
    <t>Carpintaria</t>
  </si>
  <si>
    <t>Trabalhos Noturnos</t>
  </si>
  <si>
    <t>Trabalhos em altura</t>
  </si>
  <si>
    <t>Geradores, Bombas e Compressores</t>
  </si>
  <si>
    <t>Equipamentos de Corte</t>
  </si>
  <si>
    <t>Concretos e Argamassas</t>
  </si>
  <si>
    <t>Serra mármore 4"</t>
  </si>
  <si>
    <t>Vibrador Motor + mangote</t>
  </si>
  <si>
    <t>Andaimes 1,00x1,00 posto em obra</t>
  </si>
  <si>
    <t>Andaimes 1,50x1,50 posto em obra</t>
  </si>
  <si>
    <t>Locação de plataforma elevatória h= 12,50m até 227kg, elétrica</t>
  </si>
  <si>
    <t>Locação de plataforma elevatória h= 20,00m até 227kg, elétrica</t>
  </si>
  <si>
    <t>kgxmes</t>
  </si>
  <si>
    <t>cjxdia</t>
  </si>
  <si>
    <t xml:space="preserve">Máquina de lavagem a pressão tipo Vap (água fria, pressão 1700PSI) </t>
  </si>
  <si>
    <t>chp</t>
  </si>
  <si>
    <t>Motosserra a gasolina portátil tipo Huskvarna mod. 61</t>
  </si>
  <si>
    <t>Placa vibratória - 60 kg</t>
  </si>
  <si>
    <t>Taxa de mobilização de quipamentos de songem em região metropolitana</t>
  </si>
  <si>
    <t>tx</t>
  </si>
  <si>
    <t>Ensaios em Solo</t>
  </si>
  <si>
    <t>Ensaios de Agregado</t>
  </si>
  <si>
    <t>Ensaios de Dosagem de Mistura</t>
  </si>
  <si>
    <t>Ensaios de Meio Ambiente</t>
  </si>
  <si>
    <t>Plano de Controle Ambiental (PCA)</t>
  </si>
  <si>
    <t>Relatório de Controle Ambiental (RCA)</t>
  </si>
  <si>
    <t>19.245,77</t>
  </si>
  <si>
    <t>18.120,69</t>
  </si>
  <si>
    <t xml:space="preserve">Salario base (mês) média ponderada = </t>
  </si>
  <si>
    <t>Custo Indireto</t>
  </si>
  <si>
    <t>M.D.O Direta</t>
  </si>
  <si>
    <t>Σ( MDO indireta ) =</t>
  </si>
  <si>
    <t>Σ( MDO direta ) =</t>
  </si>
  <si>
    <t>Despesas Indiretas</t>
  </si>
  <si>
    <t>Mão de obra Direta</t>
  </si>
  <si>
    <t>C2</t>
  </si>
  <si>
    <t>C3</t>
  </si>
  <si>
    <t>C4</t>
  </si>
  <si>
    <t>C5</t>
  </si>
  <si>
    <t>C6</t>
  </si>
  <si>
    <t>C7</t>
  </si>
  <si>
    <t>C8</t>
  </si>
  <si>
    <t>C9</t>
  </si>
  <si>
    <t>Bonificações</t>
  </si>
  <si>
    <t>CD + CI =</t>
  </si>
  <si>
    <t>MENSAL</t>
  </si>
  <si>
    <t>Categoria</t>
  </si>
  <si>
    <t>Mão de obra Direta + H.Extras</t>
  </si>
  <si>
    <t>Mão de obra Direta + Transf. + Ocio + Dissídio</t>
  </si>
  <si>
    <t>Equipe de apoio / Administrativo</t>
  </si>
  <si>
    <t>Mão de obra + H.Extras</t>
  </si>
  <si>
    <t>Mão de obra + Transf. + Ocio + Dissídio</t>
  </si>
  <si>
    <t>Serviços topográficos</t>
  </si>
  <si>
    <t>Administração local</t>
  </si>
  <si>
    <t xml:space="preserve">Taxa de Administração Central </t>
  </si>
  <si>
    <t xml:space="preserve">Custo Direto 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</si>
  <si>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</si>
  <si>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</si>
  <si>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</si>
  <si>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</si>
  <si>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</si>
  <si>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</si>
  <si>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</si>
  <si>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</si>
  <si>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</si>
  <si>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</si>
  <si>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</si>
  <si>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</si>
  <si>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Container térmico - Engenharia</t>
  </si>
  <si>
    <t>Container térmico - Suprimentos</t>
  </si>
  <si>
    <t>Container térmico - Administrativo</t>
  </si>
  <si>
    <t>Container térmico - Seg. trabalho</t>
  </si>
  <si>
    <t>Container térmico - Ambulatório</t>
  </si>
  <si>
    <t>Container simples - Sanitários (3 WCs+4 chuv+mict.+lav)</t>
  </si>
  <si>
    <t>Container simples - 11 chuveiros</t>
  </si>
  <si>
    <t>Container simples - 7 wc's + 2 mic + 1 lav</t>
  </si>
  <si>
    <t>A.F. - Entrada de água - provisório / definitivo</t>
  </si>
  <si>
    <t>Container simples - 2 Boxes 2 wc's</t>
  </si>
  <si>
    <t>Instalações Elétricas provisórias</t>
  </si>
  <si>
    <t>Instalações Hidrálicas provisórias</t>
  </si>
  <si>
    <t>Bebedouro Industrial Inox 50 Litros c/ filtro</t>
  </si>
  <si>
    <t xml:space="preserve">Sondagem a Percussão (SPT) </t>
  </si>
  <si>
    <t xml:space="preserve">Granulometria </t>
  </si>
  <si>
    <t>Compactação Proctor Normal</t>
  </si>
  <si>
    <t xml:space="preserve">Ensaios de agregados </t>
  </si>
  <si>
    <t>Estudo de Solo Cimento</t>
  </si>
  <si>
    <t xml:space="preserve">Estudo Solo Melhorado c/Cimento </t>
  </si>
  <si>
    <t>Ensaios em Concreto Armado</t>
  </si>
  <si>
    <t xml:space="preserve">Controle tecnológico e execução de ensaios </t>
  </si>
  <si>
    <t xml:space="preserve">Treinamentos Medicina e segurança do trabalho </t>
  </si>
  <si>
    <t>Retro c/ demolidro pneumático</t>
  </si>
  <si>
    <t>Auxiliar Administrativo - RH</t>
  </si>
  <si>
    <t>Administrativo de Obra - RH</t>
  </si>
  <si>
    <t xml:space="preserve">Apontador </t>
  </si>
  <si>
    <t>Seguro de responsabilidade civil e risco de engenharia</t>
  </si>
  <si>
    <t xml:space="preserve">Projeto executivo de Arquitetura </t>
  </si>
  <si>
    <t>Projeto executivo de Fundações</t>
  </si>
  <si>
    <t>Projeto executivo de Estrutura de Concreto</t>
  </si>
  <si>
    <t>Projeto executivo de Superestrutura Metálica</t>
  </si>
  <si>
    <t>Projeto executivo de Instalações Hidráulicas</t>
  </si>
  <si>
    <t>Projeto executivo de Drenagem de Águas Pluviais</t>
  </si>
  <si>
    <t>Projeto executivo de Instalações Elétricas e SPDA</t>
  </si>
  <si>
    <t>Projeto executivo de Paisagismo</t>
  </si>
  <si>
    <t>Projeto executivo de Pavimentação</t>
  </si>
  <si>
    <t>Projeto executivo de Instalações de Rede Lógica</t>
  </si>
  <si>
    <t xml:space="preserve">Projeto "As Built" final da obra em mídia eletrônica e 1 jogo impresso </t>
  </si>
  <si>
    <t xml:space="preserve">Diária em pensão </t>
  </si>
  <si>
    <t>Compactação e Adensamento</t>
  </si>
  <si>
    <t>Retro escavadeira</t>
  </si>
  <si>
    <t>Equipamentos grandes</t>
  </si>
  <si>
    <t>Ensio PIT para estacas moldadas in loco</t>
  </si>
  <si>
    <t>Valor mensal</t>
  </si>
  <si>
    <t>Protetor audi. =</t>
  </si>
  <si>
    <t>Capacete =</t>
  </si>
  <si>
    <t>P1=</t>
  </si>
  <si>
    <t>P2=</t>
  </si>
  <si>
    <t>P3=</t>
  </si>
  <si>
    <t>P4=</t>
  </si>
  <si>
    <t>P5=</t>
  </si>
  <si>
    <t>Valor unitário</t>
  </si>
  <si>
    <t>Vida útil</t>
  </si>
  <si>
    <t>Média salarial =</t>
  </si>
  <si>
    <t>Valor mensal =</t>
  </si>
  <si>
    <t xml:space="preserve">Treinamento NR-35 (altura) grupo de 10 funcionários </t>
  </si>
  <si>
    <t>Estudo Impacto Ambiental - Relat.Impacto Meio Ambiente</t>
  </si>
  <si>
    <t>Treinamento NR - 18 (andaimes) - grupo de 10 func.</t>
  </si>
  <si>
    <t xml:space="preserve">Locação de escoramento tubular metálico </t>
  </si>
  <si>
    <t>Locação de conjunto de bombeamento a vácuo para rebaixamento de lençol freático, com até 50 ponteiras e potência até 15HP</t>
  </si>
  <si>
    <t>Custo Direto=</t>
  </si>
  <si>
    <t>Taxa de custo financeiro - Base de cálculo</t>
  </si>
  <si>
    <t>Banheiro químico com 1 WC + 3 limpezas semanais</t>
  </si>
  <si>
    <t>Banheiro químico com 1 WC + 2 limpezas semanais</t>
  </si>
  <si>
    <t>Equipamentos administrativos</t>
  </si>
  <si>
    <t>Demolição e Furação</t>
  </si>
  <si>
    <t>Água potável - consumo canteiro de obra - caminhão pipa :  xx homens x 110/dia:  xx m3</t>
  </si>
  <si>
    <t>Caminhão basculante trucado MB2726K 10m³</t>
  </si>
  <si>
    <t>Rolo liso - 1,400 kg</t>
  </si>
  <si>
    <t>Rolo pé de carneiro - 1,390 kg</t>
  </si>
  <si>
    <t>Loc. micro ônibus fretado de 16 até 30 pessoas</t>
  </si>
  <si>
    <t>% de MDO Local (h) =</t>
  </si>
  <si>
    <t>Oficiais   (MDO Base salarial Local)</t>
  </si>
  <si>
    <t>Ajudante (MDO Base salarial Local)</t>
  </si>
  <si>
    <t>ens</t>
  </si>
  <si>
    <t>03</t>
  </si>
  <si>
    <t>01</t>
  </si>
  <si>
    <t>02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</si>
  <si>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</si>
  <si>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</si>
  <si>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</si>
  <si>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</si>
  <si>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</si>
  <si>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</si>
  <si>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</si>
  <si>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</si>
  <si>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</si>
  <si>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Administração de obra</t>
  </si>
  <si>
    <t>Materiais =</t>
  </si>
  <si>
    <t>Mão de Obra =</t>
  </si>
  <si>
    <t xml:space="preserve">Σ = </t>
  </si>
  <si>
    <t>REFEIÇÕES:</t>
  </si>
  <si>
    <t>ALOJAMENTOS:</t>
  </si>
  <si>
    <t>Tarifa média de transporte publico (não alojados)</t>
  </si>
  <si>
    <t>Supervisão =</t>
  </si>
  <si>
    <t>Coordenação =</t>
  </si>
  <si>
    <t>Refeições</t>
  </si>
  <si>
    <t>Estadias</t>
  </si>
  <si>
    <t xml:space="preserve">Desconto em folha conforme Lei 7.418/1985 - 6% </t>
  </si>
  <si>
    <t>Ref. para Coord. =</t>
  </si>
  <si>
    <t>Alojado</t>
  </si>
  <si>
    <t>Não Alojado</t>
  </si>
  <si>
    <t>Tarifa média =</t>
  </si>
  <si>
    <t>Σ corrigida =</t>
  </si>
  <si>
    <t>Aquisição de Móveis                                    (camas, beliches etc..)</t>
  </si>
  <si>
    <t>Elétrodomésticos                                            (bebedouros e etc...)</t>
  </si>
  <si>
    <t>Telefonia móvel para o Resp.                                   (do Alojamento)</t>
  </si>
  <si>
    <t>Manutenção Predial para devolução                     (Eventual Reforma)</t>
  </si>
  <si>
    <t>13</t>
  </si>
  <si>
    <t>14</t>
  </si>
  <si>
    <t>15</t>
  </si>
  <si>
    <t>16</t>
  </si>
  <si>
    <t>Aterramentos - (03 hastes de forma triangular)</t>
  </si>
  <si>
    <t>INCC - Atualizado</t>
  </si>
  <si>
    <t>Juros - Atualizado</t>
  </si>
  <si>
    <t xml:space="preserve">Seguro de responsabilidade civil e risco de engenharia </t>
  </si>
  <si>
    <t>2.01</t>
  </si>
  <si>
    <t>2.02</t>
  </si>
  <si>
    <t>2.03</t>
  </si>
  <si>
    <t>2.04</t>
  </si>
  <si>
    <t>2.05</t>
  </si>
  <si>
    <t>2.06</t>
  </si>
  <si>
    <t>2.07</t>
  </si>
  <si>
    <t>2.08</t>
  </si>
  <si>
    <t>2.09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</si>
  <si>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</si>
  <si>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</si>
  <si>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</si>
  <si>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</si>
  <si>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</si>
  <si>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</si>
  <si>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</si>
  <si>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</si>
  <si>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</si>
  <si>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</si>
  <si>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</si>
  <si>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2.21</t>
  </si>
  <si>
    <t>2.22</t>
  </si>
  <si>
    <t>3.01</t>
  </si>
  <si>
    <t>3.02</t>
  </si>
  <si>
    <t>3.03</t>
  </si>
  <si>
    <t>3.04</t>
  </si>
  <si>
    <t>3.05</t>
  </si>
  <si>
    <t>3.06</t>
  </si>
  <si>
    <t>4.01</t>
  </si>
  <si>
    <t>4.02</t>
  </si>
  <si>
    <t>4.03</t>
  </si>
  <si>
    <t>4.04</t>
  </si>
  <si>
    <t>4.05</t>
  </si>
  <si>
    <t>4.06</t>
  </si>
  <si>
    <t>4.07</t>
  </si>
  <si>
    <t>4.08</t>
  </si>
  <si>
    <t>4.09</t>
  </si>
  <si>
    <t>4.10</t>
  </si>
  <si>
    <t>4.11</t>
  </si>
  <si>
    <t>4.12</t>
  </si>
  <si>
    <t>5.01</t>
  </si>
  <si>
    <t>5.02</t>
  </si>
  <si>
    <t>5.03</t>
  </si>
  <si>
    <t>5.04</t>
  </si>
  <si>
    <t>5.05</t>
  </si>
  <si>
    <t>5.06</t>
  </si>
  <si>
    <t>5.07</t>
  </si>
  <si>
    <t>6.01</t>
  </si>
  <si>
    <t>6.02</t>
  </si>
  <si>
    <t>6.03</t>
  </si>
  <si>
    <t>6.04</t>
  </si>
  <si>
    <t>6.05</t>
  </si>
  <si>
    <t>7.01</t>
  </si>
  <si>
    <t>7.02</t>
  </si>
  <si>
    <t>7.03</t>
  </si>
  <si>
    <t>1.01</t>
  </si>
  <si>
    <t>1.02</t>
  </si>
  <si>
    <t>1.03</t>
  </si>
  <si>
    <t>1.04</t>
  </si>
  <si>
    <t>1.05</t>
  </si>
  <si>
    <t>CD</t>
  </si>
  <si>
    <t>CD-01</t>
  </si>
  <si>
    <t>CD-02</t>
  </si>
  <si>
    <t>CD-03</t>
  </si>
  <si>
    <t>CI</t>
  </si>
  <si>
    <t>DI</t>
  </si>
  <si>
    <t>CI-01</t>
  </si>
  <si>
    <t>CI-02</t>
  </si>
  <si>
    <t>CI-03</t>
  </si>
  <si>
    <t>CI-04</t>
  </si>
  <si>
    <t>CI-05</t>
  </si>
  <si>
    <t>CI-06</t>
  </si>
  <si>
    <t>CI-07</t>
  </si>
  <si>
    <t>CI-08</t>
  </si>
  <si>
    <t>DI-01</t>
  </si>
  <si>
    <t>DI-02</t>
  </si>
  <si>
    <t>DI-03</t>
  </si>
  <si>
    <t>DI-04</t>
  </si>
  <si>
    <t>DI-05</t>
  </si>
  <si>
    <t>DI-06</t>
  </si>
  <si>
    <t>DI-07</t>
  </si>
  <si>
    <t>DI-08</t>
  </si>
  <si>
    <t>DI-09</t>
  </si>
  <si>
    <t>B-01</t>
  </si>
  <si>
    <t>B-02</t>
  </si>
  <si>
    <t xml:space="preserve">Transporte </t>
  </si>
  <si>
    <t>MDO Direta</t>
  </si>
  <si>
    <t xml:space="preserve">Máquinas, Ferramentas e Equipamentos </t>
  </si>
  <si>
    <t>Alimentação e ligação provisória elétrica - carga 3 kWh-20 cv até 100 m</t>
  </si>
  <si>
    <t xml:space="preserve">Cabeamento de alimentação + poste - canteiro de obra - ver distancia </t>
  </si>
  <si>
    <t>V1</t>
  </si>
  <si>
    <t>V2</t>
  </si>
  <si>
    <t>Total MDO Direta Reajustada</t>
  </si>
  <si>
    <t>TRANSPORTES:</t>
  </si>
  <si>
    <t>V-1</t>
  </si>
  <si>
    <t>V-3</t>
  </si>
  <si>
    <t>CD-02.1</t>
  </si>
  <si>
    <t>CD-02.2</t>
  </si>
  <si>
    <t>CI-01.1</t>
  </si>
  <si>
    <t>CI-01.2</t>
  </si>
  <si>
    <t>CI-01.3</t>
  </si>
  <si>
    <t>% incidência =</t>
  </si>
  <si>
    <t>Hotel</t>
  </si>
  <si>
    <t>Casa</t>
  </si>
  <si>
    <t xml:space="preserve"> Produção =</t>
  </si>
  <si>
    <t xml:space="preserve">Jantar somente para alojados                    </t>
  </si>
  <si>
    <t>Cestas básicas somente para não alojados</t>
  </si>
  <si>
    <t xml:space="preserve">Produção </t>
  </si>
  <si>
    <t xml:space="preserve">Supervisão </t>
  </si>
  <si>
    <t>Pessoal Alojado</t>
  </si>
  <si>
    <t>Pessoal Não Alojado</t>
  </si>
  <si>
    <t>Produção</t>
  </si>
  <si>
    <t xml:space="preserve"> Supervisão =</t>
  </si>
  <si>
    <t>08.01</t>
  </si>
  <si>
    <t>08.02</t>
  </si>
  <si>
    <t>08.03</t>
  </si>
  <si>
    <t>09.01</t>
  </si>
  <si>
    <t>09.02</t>
  </si>
  <si>
    <t>09.03</t>
  </si>
  <si>
    <t>09.04</t>
  </si>
  <si>
    <t>09.05</t>
  </si>
  <si>
    <t>09.06</t>
  </si>
  <si>
    <t>09.07</t>
  </si>
  <si>
    <t>09.08</t>
  </si>
  <si>
    <t>09.09</t>
  </si>
  <si>
    <t>09.10</t>
  </si>
  <si>
    <t>09.11</t>
  </si>
  <si>
    <t>09.12</t>
  </si>
  <si>
    <t>09.14</t>
  </si>
  <si>
    <t>Mão de Obra Indireta</t>
  </si>
  <si>
    <t>4.13</t>
  </si>
  <si>
    <t>4.14</t>
  </si>
  <si>
    <t>CUSTO INDIRETO</t>
  </si>
  <si>
    <t xml:space="preserve"> Despesas Financeiras</t>
  </si>
  <si>
    <t>Uniforme 1 =</t>
  </si>
  <si>
    <t>Uniforme 2 =</t>
  </si>
  <si>
    <t>Óculos Preto =</t>
  </si>
  <si>
    <t>Luva Vaqueta =</t>
  </si>
  <si>
    <t>Luva PVC =</t>
  </si>
  <si>
    <t xml:space="preserve">Área de relógo de ponto + bebedouro coletivo </t>
  </si>
  <si>
    <t xml:space="preserve">Tapume móvel em chapa de aço TR-40 #0,43mm </t>
  </si>
  <si>
    <t>Total s/ H.E.</t>
  </si>
  <si>
    <t>Total c/ H.E.</t>
  </si>
  <si>
    <t>10.01</t>
  </si>
  <si>
    <t>10.02</t>
  </si>
  <si>
    <t>11.01</t>
  </si>
  <si>
    <t>11.02</t>
  </si>
  <si>
    <t>11.03</t>
  </si>
  <si>
    <t>11.04</t>
  </si>
  <si>
    <t>11.05</t>
  </si>
  <si>
    <t>11.06</t>
  </si>
  <si>
    <t>12.01</t>
  </si>
  <si>
    <t>12.02</t>
  </si>
  <si>
    <t>12.03</t>
  </si>
  <si>
    <t>12.04</t>
  </si>
  <si>
    <t>12.05</t>
  </si>
  <si>
    <t>12.06</t>
  </si>
  <si>
    <t>12.07</t>
  </si>
  <si>
    <t>12.08</t>
  </si>
  <si>
    <t>12.09</t>
  </si>
  <si>
    <t>12.10</t>
  </si>
  <si>
    <t>12.11</t>
  </si>
  <si>
    <t>12.12</t>
  </si>
  <si>
    <t>12.13</t>
  </si>
  <si>
    <t>12.14</t>
  </si>
  <si>
    <t>12.15</t>
  </si>
  <si>
    <t>12.16</t>
  </si>
  <si>
    <t>12.17</t>
  </si>
  <si>
    <t>12.18</t>
  </si>
  <si>
    <t>12.19</t>
  </si>
  <si>
    <t>12.20</t>
  </si>
  <si>
    <t>13.01</t>
  </si>
  <si>
    <t>13.02</t>
  </si>
  <si>
    <t>13.03</t>
  </si>
  <si>
    <t>13.04</t>
  </si>
  <si>
    <t>14.01</t>
  </si>
  <si>
    <t>14.02</t>
  </si>
  <si>
    <t>14.03</t>
  </si>
  <si>
    <t>14.04</t>
  </si>
  <si>
    <t>14.05</t>
  </si>
  <si>
    <t>14.06</t>
  </si>
  <si>
    <t>14.07</t>
  </si>
  <si>
    <t>15.01</t>
  </si>
  <si>
    <t>15.02</t>
  </si>
  <si>
    <t>15.03</t>
  </si>
  <si>
    <t>15.04</t>
  </si>
  <si>
    <t>15.05</t>
  </si>
  <si>
    <t>15.06</t>
  </si>
  <si>
    <t>15.07</t>
  </si>
  <si>
    <t>15.08</t>
  </si>
  <si>
    <t>15.09</t>
  </si>
  <si>
    <t>15.10</t>
  </si>
  <si>
    <t>15.11</t>
  </si>
  <si>
    <t>15.12</t>
  </si>
  <si>
    <t>16.01</t>
  </si>
  <si>
    <t>16.02</t>
  </si>
  <si>
    <t>16.03</t>
  </si>
  <si>
    <t>16.04</t>
  </si>
  <si>
    <t>16.05</t>
  </si>
  <si>
    <t>16.06</t>
  </si>
  <si>
    <t>16.07</t>
  </si>
  <si>
    <t>16.08</t>
  </si>
  <si>
    <t>16.09</t>
  </si>
  <si>
    <t>16.10</t>
  </si>
  <si>
    <t>16.11</t>
  </si>
  <si>
    <t>16.12</t>
  </si>
  <si>
    <t>16.13</t>
  </si>
  <si>
    <t>16.14</t>
  </si>
  <si>
    <t>16.15</t>
  </si>
  <si>
    <t>16.16</t>
  </si>
  <si>
    <t>16.17</t>
  </si>
  <si>
    <t>16.18</t>
  </si>
  <si>
    <t>Ajudante (Transf.-Base do município de Origem)</t>
  </si>
  <si>
    <t>Oficiais   (Transf.-Base do município de Origem)</t>
  </si>
  <si>
    <r>
      <rPr>
        <sz val="11"/>
        <color theme="1"/>
        <rFont val="Arial"/>
        <family val="2"/>
      </rPr>
      <t xml:space="preserve">j </t>
    </r>
    <r>
      <rPr>
        <vertAlign val="subscript"/>
        <sz val="10"/>
        <color theme="1"/>
        <rFont val="Arial"/>
        <family val="2"/>
      </rPr>
      <t>a.m.</t>
    </r>
    <r>
      <rPr>
        <sz val="10"/>
        <color theme="1"/>
        <rFont val="Arial"/>
        <family val="2"/>
      </rPr>
      <t xml:space="preserve"> =</t>
    </r>
  </si>
  <si>
    <t>Total s/ HE</t>
  </si>
  <si>
    <t>Total c/ HE</t>
  </si>
  <si>
    <t xml:space="preserve">Apoio              - fornec. e instalação PD=2,40m </t>
  </si>
  <si>
    <t>CANTEIRO DE OBRAS</t>
  </si>
  <si>
    <t>MÃO DE OBRA DIRETA</t>
  </si>
  <si>
    <t>UNIDADE</t>
  </si>
  <si>
    <t>QUANTIDADE</t>
  </si>
  <si>
    <t>VIDA UTIL</t>
  </si>
  <si>
    <t>TEMPO (Obra)</t>
  </si>
  <si>
    <t>UN</t>
  </si>
  <si>
    <t>TX. TRANSF</t>
  </si>
  <si>
    <t>MODALIDADE</t>
  </si>
  <si>
    <t>VALOR HORA</t>
  </si>
  <si>
    <t>BONUS MENSAL</t>
  </si>
  <si>
    <t>Proporcional</t>
  </si>
  <si>
    <t>13º + FÉRIAS</t>
  </si>
  <si>
    <t>QTD DE H.E. PREVISTA</t>
  </si>
  <si>
    <t>VALORES TOTAIS H.E.</t>
  </si>
  <si>
    <t>DESPESAS ADMINISTRATIVAS</t>
  </si>
  <si>
    <t>MÁQUINAS, EQUIPAMENTOS E FERRAMENTAS</t>
  </si>
  <si>
    <t>ΔT em obra</t>
  </si>
  <si>
    <t>REFEIÇÃO + TRANSPORTES DE PESSOAL + ESTADIAS</t>
  </si>
  <si>
    <t>EPI'S</t>
  </si>
  <si>
    <t>ADMINISTRAÇÃO DA OBRA</t>
  </si>
  <si>
    <t>ΔT EM OBRA</t>
  </si>
  <si>
    <t>14.08</t>
  </si>
  <si>
    <t>14.09</t>
  </si>
  <si>
    <t>Efetivo mensal</t>
  </si>
  <si>
    <t>Transferencia</t>
  </si>
  <si>
    <t>MDO alojada</t>
  </si>
  <si>
    <t>Produção =</t>
  </si>
  <si>
    <t>Encargos Sociais =</t>
  </si>
  <si>
    <t>Contrato</t>
  </si>
  <si>
    <t>Necessário Eng. Seg. =</t>
  </si>
  <si>
    <t>Necessário Tec. Seg. =</t>
  </si>
  <si>
    <t>*part time</t>
  </si>
  <si>
    <t>full time</t>
  </si>
  <si>
    <t>Parâmetros Mín ( NR-18 e NR-4 )</t>
  </si>
  <si>
    <t xml:space="preserve">MÃO DE OBRA </t>
  </si>
  <si>
    <t>QUADRO 1 -</t>
  </si>
  <si>
    <t>QUADRO 2 -</t>
  </si>
  <si>
    <t>GERAL - Valor base conforme Convenção Coletiva de Trabalho ( CCT )</t>
  </si>
  <si>
    <t>Capa chuva =</t>
  </si>
  <si>
    <t>Colete Reflet =</t>
  </si>
  <si>
    <t>Avental PVC =</t>
  </si>
  <si>
    <t>Marga couro =</t>
  </si>
  <si>
    <t>Avental Couro =</t>
  </si>
  <si>
    <t>Base de Cálculo do valor unitário do EPI por Função</t>
  </si>
  <si>
    <t>Carpinteiro</t>
  </si>
  <si>
    <t>Luva Tricotada =</t>
  </si>
  <si>
    <t>Luva vaq. longa =</t>
  </si>
  <si>
    <t>Armador</t>
  </si>
  <si>
    <t>Perneira Raspa =</t>
  </si>
  <si>
    <t>Botina bico aço =</t>
  </si>
  <si>
    <t>Madeira - (todas as áreas com mínimo 15% x Área do piso p/ ventilação)</t>
  </si>
  <si>
    <t xml:space="preserve">Sanitários       - fornec. e instalação PD=2,40m </t>
  </si>
  <si>
    <t xml:space="preserve">Container simples - Refeitório </t>
  </si>
  <si>
    <t>Σ total =</t>
  </si>
  <si>
    <t>TOTAL Refeições, Transportes e Alojamento</t>
  </si>
  <si>
    <t>TOTAL Administração da obra</t>
  </si>
  <si>
    <t>Máquinas, equipamentos e ferramentas</t>
  </si>
  <si>
    <t>MOBILIZAÇÃO DE TERCEIROS E OUTROS</t>
  </si>
  <si>
    <t>Mobilização de terceiros e outros</t>
  </si>
  <si>
    <t>Uniformes - calça, camisa, bota de couro com biqueira e etc</t>
  </si>
  <si>
    <t>Casa X Hotel</t>
  </si>
  <si>
    <t>Tarifa Municipal (ida) =</t>
  </si>
  <si>
    <t xml:space="preserve"> Tarifa Interurbano (ida) =</t>
  </si>
  <si>
    <t xml:space="preserve">Refeições, Transportes e Estadias </t>
  </si>
  <si>
    <t>Data:</t>
  </si>
  <si>
    <t>Área de acesso provisório - arruamento de acesso a obra com brita 1</t>
  </si>
  <si>
    <t>Armários metálico com 8 vagas</t>
  </si>
  <si>
    <t xml:space="preserve">Taxa de custo financeiro sobre o valor desembolsado </t>
  </si>
  <si>
    <t>Treinamentos e exames adminissionais de equipe</t>
  </si>
  <si>
    <t>Arco de serra</t>
  </si>
  <si>
    <t>Lucro Bruto</t>
  </si>
  <si>
    <t>Despesas Administrativas da obra</t>
  </si>
  <si>
    <t xml:space="preserve">Julio Ferraz Projetos e Obras Ltda. </t>
  </si>
  <si>
    <t>Pessoal:</t>
  </si>
  <si>
    <t>Encargos</t>
  </si>
  <si>
    <r>
      <t>Benefícios</t>
    </r>
    <r>
      <rPr>
        <sz val="9"/>
        <color theme="1"/>
        <rFont val="Arial"/>
        <family val="2"/>
      </rPr>
      <t xml:space="preserve"> </t>
    </r>
  </si>
  <si>
    <t>Total</t>
  </si>
  <si>
    <t>Predial:</t>
  </si>
  <si>
    <t>Margem Erro</t>
  </si>
  <si>
    <t>Computadores    (Seguros/Manutenção Técnica)</t>
  </si>
  <si>
    <t>Impressoras        (Impressões/papeis/plotagens)</t>
  </si>
  <si>
    <t>Internet banda larga</t>
  </si>
  <si>
    <t>Gasolina         (se não estiver incluso no Item 1)</t>
  </si>
  <si>
    <t xml:space="preserve">Movelaria / Eletro domesticos - Aquisição </t>
  </si>
  <si>
    <t>Subtotal 2</t>
  </si>
  <si>
    <t>CUSTO RELATIVO PARA ESTA OBRA</t>
  </si>
  <si>
    <t>Obra:</t>
  </si>
  <si>
    <t>Lucro Liquido</t>
  </si>
  <si>
    <t>Custo horário de utilização de Equipamentos - Base de Cálculo</t>
  </si>
  <si>
    <t>base de cálculos e procedimentos de acordo com os critérios da norma técnica ABNT NBR 7024</t>
  </si>
  <si>
    <t>Depreciação:</t>
  </si>
  <si>
    <t>Juros:</t>
  </si>
  <si>
    <t>Manutenção:</t>
  </si>
  <si>
    <t>Valor Diesel =</t>
  </si>
  <si>
    <t>Valor Gasolina =</t>
  </si>
  <si>
    <t>Pneus:</t>
  </si>
  <si>
    <t>Combustíveis:</t>
  </si>
  <si>
    <t>Lubrific. máquinas:</t>
  </si>
  <si>
    <t>Lubrific. veículos:</t>
  </si>
  <si>
    <t>Valor Etanol=</t>
  </si>
  <si>
    <t>Valor óleo fino =</t>
  </si>
  <si>
    <t>Oleo hidráulico =</t>
  </si>
  <si>
    <t>Valor de aquisição (Va)</t>
  </si>
  <si>
    <t>Valor residual (Vr)</t>
  </si>
  <si>
    <t xml:space="preserve">Potência (HP) </t>
  </si>
  <si>
    <t>Vida util (anos)</t>
  </si>
  <si>
    <t>H. de trabalho  ano (H)</t>
  </si>
  <si>
    <r>
      <t>Valor pneu Dianteiro    (P</t>
    </r>
    <r>
      <rPr>
        <b/>
        <vertAlign val="subscript"/>
        <sz val="8"/>
        <color theme="1"/>
        <rFont val="Arial"/>
        <family val="2"/>
      </rPr>
      <t>1</t>
    </r>
    <r>
      <rPr>
        <b/>
        <sz val="8"/>
        <color theme="1"/>
        <rFont val="Arial"/>
        <family val="2"/>
      </rPr>
      <t>)</t>
    </r>
  </si>
  <si>
    <r>
      <t>Valor pneu Trazeiro     (P</t>
    </r>
    <r>
      <rPr>
        <b/>
        <vertAlign val="sub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</si>
  <si>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t>Fator de manut (Fm)</t>
  </si>
  <si>
    <t>Fator de consumo (Fc)</t>
  </si>
  <si>
    <t>PROPRIEDADE</t>
  </si>
  <si>
    <t>OPERAÇÃO</t>
  </si>
  <si>
    <t xml:space="preserve">   CUSTO HORÁRIO</t>
  </si>
  <si>
    <t xml:space="preserve">CUSTO </t>
  </si>
  <si>
    <t>Item</t>
  </si>
  <si>
    <t>Depreciação</t>
  </si>
  <si>
    <t>Juros</t>
  </si>
  <si>
    <t>Manutenção</t>
  </si>
  <si>
    <t>Pneus</t>
  </si>
  <si>
    <t>Combustíveis</t>
  </si>
  <si>
    <t>Lubrificantes</t>
  </si>
  <si>
    <t>Mão De Obra</t>
  </si>
  <si>
    <t>Prod.</t>
  </si>
  <si>
    <t>Improd.</t>
  </si>
  <si>
    <t>Mensal</t>
  </si>
  <si>
    <t>Diária</t>
  </si>
  <si>
    <t>Equipamentos - Infra estrutura</t>
  </si>
  <si>
    <t>Motoniveladora 120M</t>
  </si>
  <si>
    <t>Caminhão basculante MB2726K 10m³</t>
  </si>
  <si>
    <t>Estação total TC 1101 Leica (WILD)</t>
  </si>
  <si>
    <t>Carreta prancha Randon 4 eixos Pescoço Removível</t>
  </si>
  <si>
    <t>Dumper - locação e operador</t>
  </si>
  <si>
    <t>Aluguel de veículos</t>
  </si>
  <si>
    <t>locação</t>
  </si>
  <si>
    <t>(HP)</t>
  </si>
  <si>
    <t>(h) V.util</t>
  </si>
  <si>
    <t>(h) viagem</t>
  </si>
  <si>
    <t>* Tempo de viagem - Base de cálculo</t>
  </si>
  <si>
    <t>Palio weekend  Sedan 1.6 4p flex ou similar</t>
  </si>
  <si>
    <t>Mdo Direta</t>
  </si>
  <si>
    <t>S-10 - 2.4 cabine dupla à diesel</t>
  </si>
  <si>
    <t>ΔS =</t>
  </si>
  <si>
    <t>Espaço percorrido</t>
  </si>
  <si>
    <t>km</t>
  </si>
  <si>
    <t>Veículo básico com Ar Condicionado</t>
  </si>
  <si>
    <t>Vm =</t>
  </si>
  <si>
    <t>Velocidade média</t>
  </si>
  <si>
    <t>km/h</t>
  </si>
  <si>
    <t>ΔT =</t>
  </si>
  <si>
    <t>Tempo de uso estimado</t>
  </si>
  <si>
    <t>h</t>
  </si>
  <si>
    <t>Veículos leves próprios</t>
  </si>
  <si>
    <t>aquisição (R$)</t>
  </si>
  <si>
    <t>residual (R$)</t>
  </si>
  <si>
    <t>(h) trab. Ano</t>
  </si>
  <si>
    <t>pneu diant.</t>
  </si>
  <si>
    <t>pneu traseiro</t>
  </si>
  <si>
    <t>tx. manut</t>
  </si>
  <si>
    <t>tx.Consum</t>
  </si>
  <si>
    <t>CH Prod.</t>
  </si>
  <si>
    <t xml:space="preserve"> CH Improd.</t>
  </si>
  <si>
    <t>Veículos pesados próprios</t>
  </si>
  <si>
    <t>Cálculo de FRETES</t>
  </si>
  <si>
    <t xml:space="preserve">Caminhão Ford H-815 carroceria 6 m CapLíquida </t>
  </si>
  <si>
    <t xml:space="preserve">Até 24.150 kg - Caminhao Ford Cargo 2422 + carroceria 6 m </t>
  </si>
  <si>
    <t xml:space="preserve">Carreta  12m Graneleiro Ls 3 Eixos Guerra </t>
  </si>
  <si>
    <r>
      <t>1.</t>
    </r>
    <r>
      <rPr>
        <sz val="7"/>
        <rFont val="Times New Roman"/>
        <family val="1"/>
      </rPr>
      <t>    </t>
    </r>
    <r>
      <rPr>
        <b/>
        <sz val="7"/>
        <rFont val="Times New Roman"/>
        <family val="1"/>
      </rPr>
      <t xml:space="preserve"> </t>
    </r>
    <r>
      <rPr>
        <b/>
        <sz val="10"/>
        <rFont val="Arial"/>
        <family val="2"/>
      </rPr>
      <t>A descrição do Equipamento</t>
    </r>
    <r>
      <rPr>
        <sz val="10"/>
        <rFont val="Arial"/>
        <family val="2"/>
      </rPr>
      <t xml:space="preserve"> define os dados para cálculos:</t>
    </r>
  </si>
  <si>
    <r>
      <t xml:space="preserve">1.1.  </t>
    </r>
    <r>
      <rPr>
        <b/>
        <sz val="10"/>
        <rFont val="Arial"/>
        <family val="2"/>
      </rPr>
      <t>Especificações fornecidas pelos Fabricantes e / ou representantes:</t>
    </r>
  </si>
  <si>
    <r>
      <t>A)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Fabricante / Modelo</t>
    </r>
  </si>
  <si>
    <r>
      <t>B)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Potencia [HP]</t>
    </r>
  </si>
  <si>
    <r>
      <t>C)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Tipo de Combustível</t>
    </r>
  </si>
  <si>
    <r>
      <t>D)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Especificação e quantidade de Pneus.</t>
    </r>
  </si>
  <si>
    <r>
      <t>E)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Materiais de consumo e / ou Energia adicional</t>
    </r>
  </si>
  <si>
    <r>
      <t xml:space="preserve">1.2.  </t>
    </r>
    <r>
      <rPr>
        <b/>
        <sz val="10"/>
        <rFont val="Arial"/>
        <family val="2"/>
      </rPr>
      <t>Valores de mercado levantados através de pesquisa:</t>
    </r>
  </si>
  <si>
    <r>
      <t>A)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de aquisição do equipamento [VA]</t>
    </r>
  </si>
  <si>
    <r>
      <t>B)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do insumo Combustível [Vc]</t>
    </r>
  </si>
  <si>
    <r>
      <t>C)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do insumo Energia Elétrica [Vee]</t>
    </r>
  </si>
  <si>
    <r>
      <t>D)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do insumo Pneu [Vp]</t>
    </r>
  </si>
  <si>
    <r>
      <t>E)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Valor de insumos Adicional “n” [VnAdic]</t>
    </r>
  </si>
  <si>
    <r>
      <t xml:space="preserve">1.3. </t>
    </r>
    <r>
      <rPr>
        <b/>
        <sz val="10"/>
        <rFont val="Arial"/>
        <family val="2"/>
      </rPr>
      <t>Parâmetros adotados</t>
    </r>
    <r>
      <rPr>
        <sz val="10"/>
        <rFont val="Arial"/>
        <family val="2"/>
      </rPr>
      <t>:</t>
    </r>
  </si>
  <si>
    <r>
      <t>A)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Vida de Utilização (horas) (Vdut)</t>
    </r>
  </si>
  <si>
    <r>
      <t>B)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Valor Residual [Fr]</t>
    </r>
  </si>
  <si>
    <r>
      <t>C)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para Custo de Manutenção [Fm]</t>
    </r>
  </si>
  <si>
    <r>
      <t>D)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de Consumo de Combustível [Fc]</t>
    </r>
  </si>
  <si>
    <r>
      <t>E)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de Consumo de Lubrificantes (óleo, graxa e filtros) [Fl]</t>
    </r>
  </si>
  <si>
    <r>
      <t>F)</t>
    </r>
    <r>
      <rPr>
        <sz val="7"/>
        <rFont val="Times New Roman"/>
        <family val="1"/>
      </rPr>
      <t xml:space="preserve">            </t>
    </r>
    <r>
      <rPr>
        <sz val="10"/>
        <rFont val="Arial"/>
        <family val="2"/>
      </rPr>
      <t>Fator de Consumo de Pneus [Fp]</t>
    </r>
  </si>
  <si>
    <r>
      <t>G)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Fator de Consumo Adicional ”n” [FnAdic]</t>
    </r>
  </si>
  <si>
    <r>
      <t>H)</t>
    </r>
    <r>
      <rPr>
        <sz val="7"/>
        <rFont val="Times New Roman"/>
        <family val="1"/>
      </rPr>
      <t xml:space="preserve">           </t>
    </r>
    <r>
      <rPr>
        <sz val="10"/>
        <rFont val="Arial"/>
        <family val="2"/>
      </rPr>
      <t>Vida de Utilização (anos) (N)</t>
    </r>
  </si>
  <si>
    <r>
      <t>I)</t>
    </r>
    <r>
      <rPr>
        <sz val="7"/>
        <rFont val="Times New Roman"/>
        <family val="1"/>
      </rPr>
      <t xml:space="preserve">             </t>
    </r>
    <r>
      <rPr>
        <sz val="10"/>
        <rFont val="Arial"/>
        <family val="2"/>
      </rPr>
      <t>Taxa de Correção Anual do Capital (i)</t>
    </r>
  </si>
  <si>
    <r>
      <t>2.</t>
    </r>
    <r>
      <rPr>
        <sz val="7"/>
        <rFont val="Times New Roman"/>
        <family val="1"/>
      </rPr>
      <t xml:space="preserve">     </t>
    </r>
    <r>
      <rPr>
        <sz val="10"/>
        <rFont val="Arial"/>
        <family val="2"/>
      </rPr>
      <t>Procedimento de Cálculo dos Custos Unitários (por hora):</t>
    </r>
  </si>
  <si>
    <r>
      <t>2.1.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>Cálculo da</t>
    </r>
    <r>
      <rPr>
        <b/>
        <sz val="10"/>
        <rFont val="Arial"/>
        <family val="2"/>
      </rPr>
      <t xml:space="preserve"> Amortização do Capital</t>
    </r>
  </si>
  <si>
    <r>
      <t>A Amortização do Capital (AC) é o Valor de Aquisição (VA) do Equipamento descontado seu Valor Residual (</t>
    </r>
    <r>
      <rPr>
        <b/>
        <sz val="10"/>
        <rFont val="Arial"/>
        <family val="2"/>
      </rPr>
      <t>VR =VA * Fr)</t>
    </r>
    <r>
      <rPr>
        <sz val="10"/>
        <rFont val="Arial"/>
        <family val="2"/>
      </rPr>
      <t xml:space="preserve"> amortizado no número de horas de Vida de Utilização (vdUt) adotada: </t>
    </r>
  </si>
  <si>
    <t>AC = (VA – VR) / vdUt</t>
  </si>
  <si>
    <r>
      <t>2.2.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da </t>
    </r>
    <r>
      <rPr>
        <b/>
        <sz val="10"/>
        <rFont val="Arial"/>
        <family val="2"/>
      </rPr>
      <t>Correção do Capital</t>
    </r>
  </si>
  <si>
    <t xml:space="preserve">   A Correção do capital (C.C.p.), é a parcela de custo que representa a correção do capital investido no equipamento para manter o poder de compra de um novo equipamento após a vida útil.</t>
  </si>
  <si>
    <t>O cálculo será efetuado com base no valor médio do equipamento durante o período de depreciação:</t>
  </si>
  <si>
    <t>C.C.p.= VA (N+1) i / 2x Vdut</t>
  </si>
  <si>
    <r>
      <t>2.3.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de Manutenção</t>
    </r>
    <r>
      <rPr>
        <sz val="10"/>
        <rFont val="Arial"/>
        <family val="2"/>
      </rPr>
      <t xml:space="preserve"> dos equipamentos para pronta utilização:</t>
    </r>
  </si>
  <si>
    <t xml:space="preserve">O Custo de Manutenção (CM) dos equipamentos se refere à somatória dos custos envolvidos numa perfeita manutenção a fim de permitir sua utilização plena e de imediato, sendo estimado através do produto do Custo de Amortização do Capital (CAC) pelo Fator de Manutenção (Fm) adotado: </t>
  </si>
  <si>
    <t>CM = AC * Fm</t>
  </si>
  <si>
    <r>
      <t>2.4.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do Combustível</t>
    </r>
    <r>
      <rPr>
        <sz val="10"/>
        <rFont val="Arial"/>
        <family val="2"/>
      </rPr>
      <t>:</t>
    </r>
  </si>
  <si>
    <t xml:space="preserve">O Custo do Combustível (CC) é estimado através do produto da Potência máxima do Motor em (HP) do equipamento pelo Fator de Consumo do Motor (Fc) e pelo valor do combustível (Vc): </t>
  </si>
  <si>
    <t>CC = HP * Fc * Vc</t>
  </si>
  <si>
    <r>
      <t>2.5.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de Lubrificantes (óleo, graxa, filtros)</t>
    </r>
  </si>
  <si>
    <r>
      <t xml:space="preserve">O Custo de Lubrificantes (CL) é estimado como uma fração do Custo de Combustível (CC) indicado pelo produto deste Consumo pelo Fator de Consumo de Lubrificante percentual (Fl): </t>
    </r>
    <r>
      <rPr>
        <b/>
        <sz val="10"/>
        <rFont val="Arial"/>
        <family val="2"/>
      </rPr>
      <t>CL = CC * Fl (15%)</t>
    </r>
  </si>
  <si>
    <r>
      <t>2.6.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de Pneus</t>
    </r>
    <r>
      <rPr>
        <sz val="10"/>
        <rFont val="Arial"/>
        <family val="2"/>
      </rPr>
      <t>:</t>
    </r>
  </si>
  <si>
    <r>
      <t xml:space="preserve">O Custo de Pneus (CP) é estimado através de um Fator que considera o consumo estimado e número de Pneus sendo indicado como o produto Valor do Pneu (Vp) por este Fator (Fp): </t>
    </r>
    <r>
      <rPr>
        <b/>
        <sz val="10"/>
        <rFont val="Arial"/>
        <family val="2"/>
      </rPr>
      <t>CP = Vp * Fp</t>
    </r>
  </si>
  <si>
    <r>
      <t>2.7.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da Energia Elétrica</t>
    </r>
    <r>
      <rPr>
        <sz val="10"/>
        <rFont val="Arial"/>
        <family val="2"/>
      </rPr>
      <t>:</t>
    </r>
  </si>
  <si>
    <r>
      <t xml:space="preserve">O Custo da Energia Elétrica (CEE), quando necessária, é estimado pelo produto Potência (kW) do equipamento pelo Valor da Energia Elétrica (Vee): </t>
    </r>
    <r>
      <rPr>
        <b/>
        <sz val="10"/>
        <rFont val="Arial"/>
        <family val="2"/>
      </rPr>
      <t>CEE = kW * Vee</t>
    </r>
    <r>
      <rPr>
        <sz val="10"/>
        <rFont val="Arial"/>
        <family val="2"/>
      </rPr>
      <t>.</t>
    </r>
  </si>
  <si>
    <r>
      <t>2.8.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de outros </t>
    </r>
    <r>
      <rPr>
        <b/>
        <sz val="10"/>
        <rFont val="Arial"/>
        <family val="2"/>
      </rPr>
      <t>Custos Adicionais</t>
    </r>
    <r>
      <rPr>
        <sz val="10"/>
        <rFont val="Arial"/>
        <family val="2"/>
      </rPr>
      <t>:</t>
    </r>
  </si>
  <si>
    <r>
      <t xml:space="preserve">Quando da necessidade de outros materiais ainda não inclusos nos Fatores anteriores, são inclusos como o produto do enésimo Valor Adicional (VnAdic) pelo respectivo Fator de Consumo (FnAdic) específico: </t>
    </r>
    <r>
      <rPr>
        <b/>
        <sz val="10"/>
        <rFont val="Arial"/>
        <family val="2"/>
      </rPr>
      <t>CAn = VnAdic * FnAdic</t>
    </r>
    <r>
      <rPr>
        <sz val="10"/>
        <rFont val="Arial"/>
        <family val="2"/>
      </rPr>
      <t xml:space="preserve">, onde “n” é o número do item adicional, variando de 1 até o total de itens Adicionais.  </t>
    </r>
  </si>
  <si>
    <r>
      <t>2.9.</t>
    </r>
    <r>
      <rPr>
        <sz val="7"/>
        <rFont val="Times New Roman"/>
        <family val="1"/>
      </rPr>
      <t xml:space="preserve">  </t>
    </r>
    <r>
      <rPr>
        <sz val="10"/>
        <rFont val="Arial"/>
        <family val="2"/>
      </rPr>
      <t xml:space="preserve">Cálculo do Custo da </t>
    </r>
    <r>
      <rPr>
        <b/>
        <sz val="10"/>
        <rFont val="Arial"/>
        <family val="2"/>
      </rPr>
      <t>Mão de Obra especializada para operação do equipamento</t>
    </r>
  </si>
  <si>
    <r>
      <t xml:space="preserve">O Custo da Mão de Obra especializada do Equipamento, quando necessária, é calculado com base no custo unitário da Mão de Obra - com encargos (CMO) contida na </t>
    </r>
    <r>
      <rPr>
        <b/>
        <sz val="10"/>
        <rFont val="Arial"/>
        <family val="2"/>
      </rPr>
      <t>tabela Mão de Obra Horista</t>
    </r>
    <r>
      <rPr>
        <sz val="10"/>
        <rFont val="Arial"/>
        <family val="2"/>
      </rPr>
      <t>.</t>
    </r>
  </si>
  <si>
    <r>
      <t>2.10.</t>
    </r>
    <r>
      <rPr>
        <sz val="7"/>
        <rFont val="Times New Roman"/>
        <family val="1"/>
      </rPr>
      <t xml:space="preserve">              </t>
    </r>
    <r>
      <rPr>
        <sz val="10"/>
        <rFont val="Arial"/>
        <family val="2"/>
      </rPr>
      <t xml:space="preserve">Cálculo do </t>
    </r>
    <r>
      <rPr>
        <b/>
        <sz val="10"/>
        <rFont val="Arial"/>
        <family val="2"/>
      </rPr>
      <t>Custo Unitário Total do Equipamento</t>
    </r>
    <r>
      <rPr>
        <sz val="10"/>
        <rFont val="Arial"/>
        <family val="2"/>
      </rPr>
      <t>:</t>
    </r>
  </si>
  <si>
    <t>O calculo do Custo Unitário Total do Equipamento (CT) consiste na somatória do valor da Amortização do Capital e dos diversos Custos Unitários Parciais:</t>
  </si>
  <si>
    <t>CT = AC + CCp + CM + CC + CL + CP + CEE + CAn + CMO</t>
  </si>
  <si>
    <t>2.10. IPVA – Foi adotado o valor de 2009, que é o ano da média da vida útil dos veículos (2006-2011).</t>
  </si>
  <si>
    <t>In analysis</t>
  </si>
  <si>
    <r>
      <t>TABELA DE ESPECIFICAÇÕES, VALORES E PARÂMETROS PARA CÁLCULO DO CUSTO UNITÁRIO DOS EQUIPAMENTOS</t>
    </r>
    <r>
      <rPr>
        <sz val="10"/>
        <rFont val="Arial"/>
        <family val="2"/>
      </rPr>
      <t>.</t>
    </r>
  </si>
  <si>
    <t>Código</t>
  </si>
  <si>
    <t>Modelo</t>
  </si>
  <si>
    <t>VA</t>
  </si>
  <si>
    <t>Fr</t>
  </si>
  <si>
    <t>vdUt</t>
  </si>
  <si>
    <t>CC</t>
  </si>
  <si>
    <t>Fm</t>
  </si>
  <si>
    <t>Fl</t>
  </si>
  <si>
    <t>QtOp</t>
  </si>
  <si>
    <t>TipOp</t>
  </si>
  <si>
    <t>HP</t>
  </si>
  <si>
    <t>Fc</t>
  </si>
  <si>
    <t>Adicional</t>
  </si>
  <si>
    <t>VnAdic</t>
  </si>
  <si>
    <t>FnAdic</t>
  </si>
  <si>
    <t>BETONEIRA 320 LITROS</t>
  </si>
  <si>
    <t>HELF-MOTOR ELÉTRICO TRIFÁSICO</t>
  </si>
  <si>
    <t>ENERGIA ELÉTRICA</t>
  </si>
  <si>
    <t>94008</t>
  </si>
  <si>
    <t>CAMINHÃO BASCULANTE - 10 M3</t>
  </si>
  <si>
    <t>FORD CARGO 2622-E,TRUCADO, COM CAÇAMBA RANDON DE 10 M3</t>
  </si>
  <si>
    <t>02241</t>
  </si>
  <si>
    <t>10 PNEUS 10,00 X 20-16 LONAS</t>
  </si>
  <si>
    <t>IPVA(2008)</t>
  </si>
  <si>
    <t>DPVAT</t>
  </si>
  <si>
    <t>94011</t>
  </si>
  <si>
    <t>CAMINHÃO COM CARROCERIA DE MADEIRA COMP. 4,20 M</t>
  </si>
  <si>
    <t>FORD F-4.000, COM CARROCERIA DE MADEIRA</t>
  </si>
  <si>
    <t>02197</t>
  </si>
  <si>
    <t>6 PNEUS 7,50 X 16-10 LONAS</t>
  </si>
  <si>
    <t>94013</t>
  </si>
  <si>
    <t>CAMINHÃO ESPARGIDOR- TANQUE 6000 L.</t>
  </si>
  <si>
    <t>FORD CARGO 1317-E COM TANQUE ESPARGIDOR 6000 L</t>
  </si>
  <si>
    <t>02242</t>
  </si>
  <si>
    <t>6  PNEUS 9,00 X 20-14 LONAS</t>
  </si>
  <si>
    <t>ÓLEO DE AQUECIMENTO(DIESEL)</t>
  </si>
  <si>
    <t>94014</t>
  </si>
  <si>
    <t>CAMINHÃO IRRIGADEIRA - 6000 L- BASCULANTE C/CABINE.</t>
  </si>
  <si>
    <t>FORD CARGO 1317-E COM TANQUE IRRIGADOR 6000 L</t>
  </si>
  <si>
    <t>02243</t>
  </si>
  <si>
    <t>6 PNEUS 9,00 X 20-14 LONAS</t>
  </si>
  <si>
    <t>94015</t>
  </si>
  <si>
    <t>PÁ CARREGADEIRA DE PNEUS - 1,80 M3</t>
  </si>
  <si>
    <t>CATERPILLAR MOD. 924 - G</t>
  </si>
  <si>
    <t>02214</t>
  </si>
  <si>
    <t>4 PNEUS 17,5 X 25-12 LONAS</t>
  </si>
  <si>
    <t>94017</t>
  </si>
  <si>
    <t>CAMINHÃO TRATOR COM SEMI REBOQUE PLANO CARREGA TUDO</t>
  </si>
  <si>
    <t>SCANIA P340 CP19 4X2 / REBOQUE 2 EIXOS C/ CAP. 35 TON.</t>
  </si>
  <si>
    <t>02198</t>
  </si>
  <si>
    <t>14 PNEUS 295/80 R22,5</t>
  </si>
  <si>
    <t>94019</t>
  </si>
  <si>
    <t>COMPRESSOR PORTÁTIL - 295 PCM ( COM DIESEL E OPERADOR )</t>
  </si>
  <si>
    <t>ATLAS COPCO - XAS 136 MWD</t>
  </si>
  <si>
    <t>02205</t>
  </si>
  <si>
    <t>2 PNEUS 7,00 X 16-10 LONAS</t>
  </si>
  <si>
    <t>94029</t>
  </si>
  <si>
    <t>GRADE ARADORA DE 18 DISCOS</t>
  </si>
  <si>
    <t>BALDAN - CRI CONTROLE REMOTO - ATB - D=26"</t>
  </si>
  <si>
    <t>94030</t>
  </si>
  <si>
    <t>GUINDASTE DE LANÇA FIXA SOBRE ESTEIRAS - 12 T</t>
  </si>
  <si>
    <t>BUCYRUS 22-B</t>
  </si>
  <si>
    <t>02211</t>
  </si>
  <si>
    <t>94038</t>
  </si>
  <si>
    <t>MOTONIVELADORA - 125 HP</t>
  </si>
  <si>
    <t>CATERPILLAR - MOD. 120H-C/LÂMINA DE 3,65M</t>
  </si>
  <si>
    <t>02213</t>
  </si>
  <si>
    <t>6 PNEUS 13,00 X 24-12 LONAS</t>
  </si>
  <si>
    <t>94043</t>
  </si>
  <si>
    <t>MARTELETE ROMPEDOR PNEUMÁTICO</t>
  </si>
  <si>
    <t>ATLAS COPCO - MOD. TEX 12 PS</t>
  </si>
  <si>
    <t>02217</t>
  </si>
  <si>
    <t>94045</t>
  </si>
  <si>
    <t>RETROESCAVADEIRA - CAP. CAÇAMBA FRONTAL 0,76 M3</t>
  </si>
  <si>
    <t>CASE- MOD. 580 L 4X2</t>
  </si>
  <si>
    <t>02215</t>
  </si>
  <si>
    <t>2 PNEUS 12 X 16,5-10 LONAS</t>
  </si>
  <si>
    <t>2 PNEUS 17,50 X 25-12 LONAS</t>
  </si>
  <si>
    <t>ROLO COMPACTADOR VIBRATÓRIO DE UM CILINDRO 7 TON.</t>
  </si>
  <si>
    <t>DYNAPAC - MOD.CA-150A.</t>
  </si>
  <si>
    <t>02216</t>
  </si>
  <si>
    <t>2 PNEUS 14,90 X 24R1</t>
  </si>
  <si>
    <t>94054</t>
  </si>
  <si>
    <t>ROLO COMPACTADOR VIBRATÓRIO DE UM CILINDRO PÉ DE CARNEIRO 7,5 TON</t>
  </si>
  <si>
    <t xml:space="preserve">TIPO DYNAPAC CA-150 P  </t>
  </si>
  <si>
    <t>94059</t>
  </si>
  <si>
    <t>TRATOR DE TRAÇÃO AGRÍCOLA</t>
  </si>
  <si>
    <t>VALTRA 100/900 - 4X4 (85HP)</t>
  </si>
  <si>
    <t>02245</t>
  </si>
  <si>
    <t>2 PNEUS 12,40 X 24R1</t>
  </si>
  <si>
    <t>2 PNEUS 18,4/15 X 30-10 LONAS</t>
  </si>
  <si>
    <t>94061</t>
  </si>
  <si>
    <t>TRATOR DE ESTEIRA - 9 TON.</t>
  </si>
  <si>
    <t>CATERPILLAR - MOD. D5K XL STD COM LÂMINA DE 1,93M3</t>
  </si>
  <si>
    <t>94113</t>
  </si>
  <si>
    <t>CAMINHÃO BASCULANTE - 4 M3</t>
  </si>
  <si>
    <t>FORD CARGO 1517-E, COM CAÇAMBA CAPACIDADE  DE 4 M3</t>
  </si>
  <si>
    <t>10 PNEUS 10,00 x 20-16 LONAS</t>
  </si>
  <si>
    <t>94201</t>
  </si>
  <si>
    <t>BATE ESTACA MARTELO - 40 T</t>
  </si>
  <si>
    <t>MAGAM - IM-850 PM - MARTELO 1/1,5 T</t>
  </si>
  <si>
    <t>02201</t>
  </si>
  <si>
    <t>94202</t>
  </si>
  <si>
    <t>BATE ESTACA MARTELO - 80 T</t>
  </si>
  <si>
    <t>MAGAN - IM- 1200 PM - MARTELO 2,5/3,0 T</t>
  </si>
  <si>
    <t>94203</t>
  </si>
  <si>
    <t>BATE ESTACAS ( COMPLEMENTO 22B )</t>
  </si>
  <si>
    <t>94204</t>
  </si>
  <si>
    <t>BETONEIRA 150 LITROS</t>
  </si>
  <si>
    <t>MENEGOTTI - TRIFÁSICO</t>
  </si>
  <si>
    <t>94205</t>
  </si>
  <si>
    <t>BOMBA DE ARGAMASSA CAP. 30 A 120 L/MIN</t>
  </si>
  <si>
    <t>PUTZMEISTER - P13 - SMER/KK139</t>
  </si>
  <si>
    <t>94206</t>
  </si>
  <si>
    <t>BOMBA PARA CONCRETO - 70 M3/H</t>
  </si>
  <si>
    <t>PUTZMEISTER - BSA 120D - 114M3/H</t>
  </si>
  <si>
    <t>02203</t>
  </si>
  <si>
    <t>94207</t>
  </si>
  <si>
    <t>BOMBA PARA INJEÇAO DE NATA  DE CIMENTO 20 A 40 L/MIN.</t>
  </si>
  <si>
    <t>BETOMAQ B25-COMPLETA</t>
  </si>
  <si>
    <t>94208</t>
  </si>
  <si>
    <t>BOMBA SUBMERSÍVEL DE DRENAGEM  1,4 KW 2HP</t>
  </si>
  <si>
    <t>FLYGT - 2050 MT</t>
  </si>
  <si>
    <t>94209</t>
  </si>
  <si>
    <t>BOMBA SUBMERSÍVEL DE DRENAGEM 5 HP</t>
  </si>
  <si>
    <t>FLYGT - 2066 MT</t>
  </si>
  <si>
    <t>94210</t>
  </si>
  <si>
    <t>BOMBA SUBMERSÍVEL PARA ESGOTO 20 HP</t>
  </si>
  <si>
    <t>FLYGT - NP3153 MT - 14,9 KW-MODELO FIXO</t>
  </si>
  <si>
    <t>BOMBA SUBMERSÍVEL PARA ESGOTO 88 HP</t>
  </si>
  <si>
    <t>FLYGT - NP 3301 HT</t>
  </si>
  <si>
    <t>94215</t>
  </si>
  <si>
    <t xml:space="preserve">CAMINHÃO CARGA SECA CAPACIDADE  8 TON. </t>
  </si>
  <si>
    <t>FORD CARGO 1317-E, COM CARROCERIA DE MADEIRA DE LEI</t>
  </si>
  <si>
    <t>94216</t>
  </si>
  <si>
    <t>CAMINHÃO CARGA SECA CAP. 8 TON COM GUINDASTE CAP. 3TON/3M</t>
  </si>
  <si>
    <t>FORD CARGO 1317-E / MH-6500 1H 1M, E CARROCERIA MADEIRA DE LEI</t>
  </si>
  <si>
    <t>02239</t>
  </si>
  <si>
    <t>6 PNEUS  9,00 X 20-14 LONAS</t>
  </si>
  <si>
    <t>94217</t>
  </si>
  <si>
    <t>CAMINHÃO FORA DE ESTRADA CAP. 16 M3 / 27 TON.</t>
  </si>
  <si>
    <t>RANDOM RK - 430 B</t>
  </si>
  <si>
    <t>4 PNEUS 16 X 25- 28 LONAS</t>
  </si>
  <si>
    <t>94219</t>
  </si>
  <si>
    <t>CARRO POPULAR</t>
  </si>
  <si>
    <t>GOL BÁSICO - 1000 CC - FLEX - 2 PORTAS (GER IV)</t>
  </si>
  <si>
    <t>02199</t>
  </si>
  <si>
    <t>4 PNEUS 175/70 R13</t>
  </si>
  <si>
    <t>94221</t>
  </si>
  <si>
    <t>COMPACTADOR MANUAL DE PLACA VIBRATÓRIA REVERSÍVEL 282 KG</t>
  </si>
  <si>
    <t>DYNAPAC LG 300 DIESEL MANUAL</t>
  </si>
  <si>
    <t>02204</t>
  </si>
  <si>
    <t>94222</t>
  </si>
  <si>
    <t>COMPRESSOR ESTACIONÁRIO - 750 PCM ( COM DIESEL E OPERADOR )</t>
  </si>
  <si>
    <t>ATLAS COPCO - MOD. GA 110 - 100</t>
  </si>
  <si>
    <t>94223</t>
  </si>
  <si>
    <t>COMPRESSOR PORTÁTIL - 400 PCM ( COM DIESEL E OPERADOR )</t>
  </si>
  <si>
    <t>ATLAS COPCO - (MOD. XAS 187 PD 400 PCM) - SEM ROMPEDOR</t>
  </si>
  <si>
    <t>2 PNEUS 7,00 X 16 - 10 LONAS</t>
  </si>
  <si>
    <t>94224</t>
  </si>
  <si>
    <t>COMPRESSOR PORTÁTIL - 762 PCM ( COM DIESEL E OPERADOR )</t>
  </si>
  <si>
    <t>ATLAS COPCO - MOD. XA 360 CUD-SEM ROMPEDOR</t>
  </si>
  <si>
    <t>2 PNEUS 7,50 X 16 - 10 LONAS</t>
  </si>
  <si>
    <t>94226</t>
  </si>
  <si>
    <t>CONJUNTO OXI-ACETILENO PARA SOLDA E CORTE</t>
  </si>
  <si>
    <t>COMPLETO - 2 CILINDROS:OXIGÊNIO=10M3, ACETILENO=8KG</t>
  </si>
  <si>
    <t>94227</t>
  </si>
  <si>
    <t xml:space="preserve">CORTADORA DE CONCR.DE FIO DIAM.(ROLO 18 M) C/ UNID. HIDRÁULICA </t>
  </si>
  <si>
    <t>HILTI - MOD. WALL SAW DS-WSS30</t>
  </si>
  <si>
    <t>ENERGIA ELÉTRTICA</t>
  </si>
  <si>
    <t>94231</t>
  </si>
  <si>
    <t>EQUIPAMENTO PARA TRANSPORTE HORIZONTAL DENTRO DE TUNNEL LINER</t>
  </si>
  <si>
    <t>CAÇAMBA 160 L , CARRINHO E 70M DE TRILHOS</t>
  </si>
  <si>
    <t>94232</t>
  </si>
  <si>
    <t>ESCAVADEIRA DE LANÇA FIXA - 0,66 M3</t>
  </si>
  <si>
    <t>02208</t>
  </si>
  <si>
    <t>94233</t>
  </si>
  <si>
    <t>ESCAVADEIRA HIDRÁULICA SOBRE ESTEIRAS CAP. 1,50 M3</t>
  </si>
  <si>
    <t>CASE - MOD. CX 220 MOTOR CUMMIN S 6BT AA 5.9-TIER 2-BRAÇO 2,40M</t>
  </si>
  <si>
    <t>94235</t>
  </si>
  <si>
    <t>ESTAÇÃO TOTAL TC 1101</t>
  </si>
  <si>
    <t>LEICA (WILD) - TC 1101</t>
  </si>
  <si>
    <t>94236</t>
  </si>
  <si>
    <t>ESTAÇÃO TOTAL TC 1103</t>
  </si>
  <si>
    <t>LEICA (WILD) - TC 1103</t>
  </si>
  <si>
    <t>94237</t>
  </si>
  <si>
    <t>ESTAÇÃO TOTAL TC 705</t>
  </si>
  <si>
    <t>LEICA (WILD) - TC 705</t>
  </si>
  <si>
    <t>94238</t>
  </si>
  <si>
    <t>FRESADORA DE PAVIMENTOS A FRIO LARG . FRES. 1.000  MM</t>
  </si>
  <si>
    <t>WIRTGEN - MOD. W-1000L DIESEL 129KW</t>
  </si>
  <si>
    <t>02209</t>
  </si>
  <si>
    <t>4 RODAS DE FERRO EMBORRACHADA 660X250 MM</t>
  </si>
  <si>
    <t>CONJUNTO DE PONTAS (86BITS) P/ FRESADORA WIRTGEN W-1000/ 30h</t>
  </si>
  <si>
    <t>PORTA PONTA (86BITS) PARA FRESADORA WIRTGEN W-1000/ 500h</t>
  </si>
  <si>
    <t>94239</t>
  </si>
  <si>
    <t>FURADEIRA ELÉTRICA MANUAL</t>
  </si>
  <si>
    <t>BOSCH - 5/8" MOD. 1174.2-COM IMPACTO</t>
  </si>
  <si>
    <t>GRUPO GERADOR 170KVA</t>
  </si>
  <si>
    <t>CUMMINS/NEWAGE C 135 D 6 4</t>
  </si>
  <si>
    <t>GRUPO GERADOR 260KVA</t>
  </si>
  <si>
    <t>CUMMINS/NEWAGE C 200 D 6 4</t>
  </si>
  <si>
    <t>GRUPO GERADOR 360KVA</t>
  </si>
  <si>
    <t>CUMMINS/NEWAGE T 275 D 6 4</t>
  </si>
  <si>
    <t>GRUPO GERADOR 81KVA</t>
  </si>
  <si>
    <t>CUMMINS/NEWAGE MOD. C 65 D 6 4</t>
  </si>
  <si>
    <t>94244</t>
  </si>
  <si>
    <t>GUINCHO DE COLUNA COM MOTO FREIO - 400 KG</t>
  </si>
  <si>
    <t>94245</t>
  </si>
  <si>
    <t>GUINDASTE HIDRÁULICO SOBRE PNEUS - 20/25 T</t>
  </si>
  <si>
    <t>TEREX CD 225-LANÇA 21,9 M</t>
  </si>
  <si>
    <t>4 PNEUS 16,00X24-16 LONAS</t>
  </si>
  <si>
    <t>94247</t>
  </si>
  <si>
    <t>GUINDASTE SOBRE PNEUS COM LANÇA TELESCÓPICA CAP 125 TON.</t>
  </si>
  <si>
    <t>TADANO - FAUN ATF 110 G</t>
  </si>
  <si>
    <t>10 PNEUS 445/95 R25</t>
  </si>
  <si>
    <t>94248</t>
  </si>
  <si>
    <t>GUINDASTE HIDRÁULICO CAP. 60 TON. COM LANÇA TELESCÓPICA DE 42 M</t>
  </si>
  <si>
    <t>TADANO - GT-600B</t>
  </si>
  <si>
    <t>12 PNEUS 315/80 R 22,5</t>
  </si>
  <si>
    <t>94249</t>
  </si>
  <si>
    <t>LAVADORA JATO D'AGUA DE ALTA PRESSAO</t>
  </si>
  <si>
    <t>WAP 1600 LIBRAS-MONOFÁSICA-ÁGUA FRIA</t>
  </si>
  <si>
    <t>94250</t>
  </si>
  <si>
    <t>LIXADEIRA PARA CONCRETO</t>
  </si>
  <si>
    <t>BOSCH  - DISCO 7" - 2100W</t>
  </si>
  <si>
    <t>94251</t>
  </si>
  <si>
    <t>MÁQUINA DE PROJEÇÃO DE CONCRETO 22  M3/H ( SECA) E 17 M3/H ( ÚMIDA )</t>
  </si>
  <si>
    <t>ESTE INDÚSTRIAL - CP15 SU (ACIONAMENTO ELÉTRICO)</t>
  </si>
  <si>
    <t>94252</t>
  </si>
  <si>
    <t>MÁQUINA DE PROJEÇÃO DE CONCRETO CAP. 3 M3/H</t>
  </si>
  <si>
    <t>ESTE/SHEIKAN -MANGOTE 2"- ( ACIONAMENTO ELÉTRICO )</t>
  </si>
  <si>
    <t>94253</t>
  </si>
  <si>
    <t>MÁQUINA DE PROJEÇÃO DE CONCRETO CAP. 8 M3/H</t>
  </si>
  <si>
    <t>ESTE INDÚSTRIAL - CP8(ACIONAMENTO ELÉTRICO)</t>
  </si>
  <si>
    <t>94254</t>
  </si>
  <si>
    <t>MÁQUINA DE SOLDA-RETIFICADOR 500A</t>
  </si>
  <si>
    <t>BAMBOZZI - MOD. TRR 2650</t>
  </si>
  <si>
    <t>94255</t>
  </si>
  <si>
    <t>MÁQUINA PARA JATEAMENTO - CAP. 350KG DE ABRASIVO</t>
  </si>
  <si>
    <t>TECJATO - MOD. TJF 500 CS 2S COM BICO DE JATO 5/16" E 10 M DE MANGUEIRA</t>
  </si>
  <si>
    <t>94256</t>
  </si>
  <si>
    <t xml:space="preserve">MARTELO PERFURADOR  ROMPEDOR 1,5 KW </t>
  </si>
  <si>
    <t>BOSCH - MOD. SDS MAX GBH 11 DE 11245</t>
  </si>
  <si>
    <t>94257</t>
  </si>
  <si>
    <t>BATE-ESTACAS HIDRÁUL.P/ INSTAL. DE DEFENSAS VIÁRIAS-S/CAMINHÃO</t>
  </si>
  <si>
    <t xml:space="preserve">ELGIMAC MOD. EGM-BTE-H </t>
  </si>
  <si>
    <t>94258</t>
  </si>
  <si>
    <t>MINI PERFURATRIZ ROTATIVA HIDRÁULICA S/ ESTEIRAS 200MM</t>
  </si>
  <si>
    <t>CLÓ - ZIRONI - MOD. MC140</t>
  </si>
  <si>
    <t>94259</t>
  </si>
  <si>
    <t>CARREGADEIRA COMPACTA 59 HP (POT. BRUTA) CARGA OPERACIONAL 794 KG</t>
  </si>
  <si>
    <t>CASE - MOD. 420</t>
  </si>
  <si>
    <t>94260</t>
  </si>
  <si>
    <t>MINIESCAVADEIRA</t>
  </si>
  <si>
    <t>BOBCAT - MOD. X-325</t>
  </si>
  <si>
    <t>94261</t>
  </si>
  <si>
    <t>MISTURADOR DE ARGAMASSA</t>
  </si>
  <si>
    <t>MENEGOTTI - 250L COM MOTOR ELÉTRICO</t>
  </si>
  <si>
    <t>94263</t>
  </si>
  <si>
    <t>NÍVEL COM PRECISÃO DE 0,3 MM/KM</t>
  </si>
  <si>
    <t>NIVEL C/ ACESSÓRIOS LEICA ( WILD ) NA2 ACOPLADO C/ GPM3</t>
  </si>
  <si>
    <t>94264</t>
  </si>
  <si>
    <t>NÍVEL COM PRECISÃO DE 0,7 MM/KM</t>
  </si>
  <si>
    <t>NIVEL C/ ACESSÓRIOS LEICA ( WILD ) AUTOMÁTICO -  NA2</t>
  </si>
  <si>
    <t>94265</t>
  </si>
  <si>
    <t>NÍVEL TIPO NA728, PRECISÃO 1,5MM/ KM</t>
  </si>
  <si>
    <t>LEICA NA 728, PRECISAO 1,5 MM/KM</t>
  </si>
  <si>
    <t>94266</t>
  </si>
  <si>
    <t>PÁ CARREGADEIRA DE PNEUS  - 3,3 M3</t>
  </si>
  <si>
    <t>CATERPILLAR MOD. 950H</t>
  </si>
  <si>
    <t>4 PNEUS 23,50 X 25-16 LONAS</t>
  </si>
  <si>
    <t>MOTONIVELADORA</t>
  </si>
  <si>
    <t>CASE 845</t>
  </si>
  <si>
    <t>6 PNEUS 14,00 X 24-12 LONAS</t>
  </si>
  <si>
    <t>94268</t>
  </si>
  <si>
    <t>PERFURATRIZ ROTATIVA HIDRÁULICA S/ ESTEIRAS  146 HP</t>
  </si>
  <si>
    <t>SOILMEC - MOD. SM 14</t>
  </si>
  <si>
    <t>94269</t>
  </si>
  <si>
    <t>PERUA KOMBI</t>
  </si>
  <si>
    <t>VW KOMBI - STD - FLEX</t>
  </si>
  <si>
    <t>02233</t>
  </si>
  <si>
    <t>4 PNEUS 185/80 R14</t>
  </si>
  <si>
    <t>94270</t>
  </si>
  <si>
    <t>PULVERIZADOR TIPO COSTAL</t>
  </si>
  <si>
    <t>CAP. 16L - BAIXA PRESSÃO - JACTO</t>
  </si>
  <si>
    <t>94271</t>
  </si>
  <si>
    <t>RÉGUA VIBRATÓRIA DUPLA PARA  CONCRETO (ALUMÍNIO)</t>
  </si>
  <si>
    <t>CLARIDON  RVE 43 VIBRATORIO ELÉTRICO</t>
  </si>
  <si>
    <t>02246</t>
  </si>
  <si>
    <t>94272</t>
  </si>
  <si>
    <t>ROLO COMPACTADOR VIBRAT. LISO-MANUAL  1600.</t>
  </si>
  <si>
    <t>DYNAPAC - MOD.  LR-95H</t>
  </si>
  <si>
    <t>94273</t>
  </si>
  <si>
    <t>ROLO COMPACTADOR  PÉ DE CARNEIRO DE UM CIL. 12,2 TON</t>
  </si>
  <si>
    <t>DYNAPAC - MOD. CA 250PD</t>
  </si>
  <si>
    <t>2 PNEUS 23,1 X 26-10 LONAS</t>
  </si>
  <si>
    <t>94274</t>
  </si>
  <si>
    <t>ROLO COMPACTADOR DE PNEUS - 21,3 TON</t>
  </si>
  <si>
    <t>DYNAPAC - MOD. CP221</t>
  </si>
  <si>
    <t>7 PNEUS 11,00 X 20-18 LONAS</t>
  </si>
  <si>
    <t>94275</t>
  </si>
  <si>
    <t>ROLO COMPACTADOR DE PNEUS -27 TON</t>
  </si>
  <si>
    <t>DYNAPAC - MOD. CP271</t>
  </si>
  <si>
    <t>94279</t>
  </si>
  <si>
    <t>ROLO COMPACTADOR VIBRATÓRIO LISO - 4 T</t>
  </si>
  <si>
    <t xml:space="preserve">TIPO DYNAPAC - CC 142, AUTOPROPELIDO   </t>
  </si>
  <si>
    <t>94281</t>
  </si>
  <si>
    <t>ROMPEDOR</t>
  </si>
  <si>
    <t>ATLAS COPCO - MOD. SUPER TEX-32PS</t>
  </si>
  <si>
    <t>94282</t>
  </si>
  <si>
    <t>SERRA CIRCULAR - 7.1/4"</t>
  </si>
  <si>
    <t xml:space="preserve">MAKITA/BOSCH (110 V) </t>
  </si>
  <si>
    <t>94283</t>
  </si>
  <si>
    <t>SERRA CIRCULAR PARA CORTE DE CONCRETO ( S/ DISCO ) PROF. 13CM</t>
  </si>
  <si>
    <t>CSM - REF. SP13 - GASOLINA 13 HP</t>
  </si>
  <si>
    <t>94284</t>
  </si>
  <si>
    <t xml:space="preserve">SONDA HIDRAULICA </t>
  </si>
  <si>
    <t>MAQUESONDA MACH 700 C/ MOTOR MWM DIESEL 4CILINDROS - MOD. D229-4 - SIMPLES</t>
  </si>
  <si>
    <t>01183</t>
  </si>
  <si>
    <t>TANQUE PARA INJEÇÃO DE RESINAS, NATAS E ARGAMASSAS</t>
  </si>
  <si>
    <t>CAPACIDADE DE 10 LITROS</t>
  </si>
  <si>
    <t>94286</t>
  </si>
  <si>
    <t>TEODOLITO COM PRECISÃO DE 10 SEGUNDOS</t>
  </si>
  <si>
    <t>COM ACESSÓRIOS LEICA ( WILD ) AUT. MOD. T-110</t>
  </si>
  <si>
    <t>94287</t>
  </si>
  <si>
    <t>TRATOR DE ESTEIRAS -16 TON.</t>
  </si>
  <si>
    <t>CATERPILLAR - MOD. D6N COM LÂMINA 6VPAT - NACIONAL</t>
  </si>
  <si>
    <t>94288</t>
  </si>
  <si>
    <t>USINA DE ASFALTO FIXA CONTRA-FLUXO 60/80 T/H</t>
  </si>
  <si>
    <t>TEREX CIFALI - MOD. MAGNUM 80</t>
  </si>
  <si>
    <t>02220</t>
  </si>
  <si>
    <t>ENERGIA ELETRICA</t>
  </si>
  <si>
    <t>ÓLEO COMBUSTIVEL</t>
  </si>
  <si>
    <t>2 AJUDANTES x R$ 7,83</t>
  </si>
  <si>
    <t>94289</t>
  </si>
  <si>
    <t>USINA DE SOLOS PRÉ-MISTURADOS A FRIO CAP. 350/600 TON</t>
  </si>
  <si>
    <t>CIBER - MOD. USC50-E COM QUATRO SILOS</t>
  </si>
  <si>
    <t>94290</t>
  </si>
  <si>
    <t>VASSOURA MECÂNICA - VARRIMENTO 2,66 M</t>
  </si>
  <si>
    <t>FERLEX - VM7 TRACIONADA POR TRATOR</t>
  </si>
  <si>
    <t>94291</t>
  </si>
  <si>
    <t>VEÍCULO / PASSAGEIROS - COR PRETA P/ REPRESENTAÇÃO.</t>
  </si>
  <si>
    <t xml:space="preserve">POLO SEDAM 1.6 TOTALFLEX 8V 4P PINTURA SÓLIDA (INCLUI AR COND., DIR. HIDR., VIDRO ELET.) </t>
  </si>
  <si>
    <t xml:space="preserve">4 PNEUS 195/55 R15 </t>
  </si>
  <si>
    <t>94292</t>
  </si>
  <si>
    <t>EXAUSTOR ELÉTRICO 66 M3/H 250 MMCA</t>
  </si>
  <si>
    <t>VENTISILVA - MOD. EC4TAR ( 5 HP )</t>
  </si>
  <si>
    <t>94293</t>
  </si>
  <si>
    <t>VIBROACABADORA  DE ASFALTO SOBRE ESTEIRA CAP. 300 TON/H</t>
  </si>
  <si>
    <t>CIFALI VDA 400</t>
  </si>
  <si>
    <t>02223</t>
  </si>
  <si>
    <t>94294</t>
  </si>
  <si>
    <t>PERFURATRIZ MANUAL COM COLUNA E CONECTOR</t>
  </si>
  <si>
    <t>HILTI - MOD. DD130 - 1900W</t>
  </si>
  <si>
    <t>94297</t>
  </si>
  <si>
    <t>ACABADORA DE SUPERFÍCIE 36" (SEM OPERADOR)</t>
  </si>
  <si>
    <t>TIPO BAMBOLÊ - PETROTEC/WACKER PT 36-A / CT 36</t>
  </si>
  <si>
    <t>94299</t>
  </si>
  <si>
    <t>VIBRADOR DE IMERSÃO COM 5M DE MANGUEIRA COM MOTOR ELETRICO 2HP</t>
  </si>
  <si>
    <t>DYNAPAC AF-142T (TRIFÁSICO)</t>
  </si>
  <si>
    <t>94300</t>
  </si>
  <si>
    <t>MARTELETE ROTATIVO 0,8 KW</t>
  </si>
  <si>
    <t>METABO KHE 26</t>
  </si>
  <si>
    <t>94301</t>
  </si>
  <si>
    <t>MARTELO ROTATIVO DEMOLIDOR 0,9 KW</t>
  </si>
  <si>
    <t>METABO KHE 32</t>
  </si>
  <si>
    <t>POLIDORA DE PISO 2,5 CV (SEM OPERADOR)</t>
  </si>
  <si>
    <t>P/ MÁRMORE E GRANILITE-CERTEC-220V</t>
  </si>
  <si>
    <t>MÁQUINA AIRLESS PARA PINTURA 250 BAR (COM OPERADOR)</t>
  </si>
  <si>
    <t>LARIUS DALI - ELÉTRICA - 1,1KW -COMPLETA - RIF 18900</t>
  </si>
  <si>
    <t>SOQUETE VIBRATÓRIO</t>
  </si>
  <si>
    <t>DYNAPAC - MOD. LT700</t>
  </si>
  <si>
    <t>MOTOSERRA A GASOLINA DE PEQUENO PORTE, POTÊNCIA MÍN. 4 CV</t>
  </si>
  <si>
    <t>EQUIPADA COM SABRE DE 18" À 24"</t>
  </si>
  <si>
    <t>VASSOURA MECÂNICA - REBOCADA MECANICAMENTE</t>
  </si>
  <si>
    <t xml:space="preserve">Custo Horário Produtivo - Equipamentos </t>
  </si>
  <si>
    <t>Palio weekend Sedan 1.6 4p flex - JF</t>
  </si>
  <si>
    <t>Gol 1.6 Plus Flex ou similar - JF</t>
  </si>
  <si>
    <t>S-10 - 2.4 cabine dupla à diesel - JF</t>
  </si>
  <si>
    <t>Veículo básico com Ar Condicionado - JF</t>
  </si>
  <si>
    <t>Caminhonete HR - JF</t>
  </si>
  <si>
    <t>Perua Kombi de 4 até 8 pessoas</t>
  </si>
  <si>
    <t>Ônibus - JF</t>
  </si>
  <si>
    <t>Mat. Escritório</t>
  </si>
  <si>
    <t>Tecnologias (SIENG/Lince/DROPBOX/ MAIL CORP/)</t>
  </si>
  <si>
    <t>Locação Automóveis</t>
  </si>
  <si>
    <t>Telefonia Móvel</t>
  </si>
  <si>
    <t>Serv.Terceiros (Ar condicionado)</t>
  </si>
  <si>
    <t>Seguros (automóveis)</t>
  </si>
  <si>
    <t>Seguros ou assistencias (Pessoal)</t>
  </si>
  <si>
    <t xml:space="preserve">Sistema de CFTV </t>
  </si>
  <si>
    <t xml:space="preserve">ADM Central </t>
  </si>
  <si>
    <t>Diretoria 1</t>
  </si>
  <si>
    <t>Diretoria 2</t>
  </si>
  <si>
    <t>Diretoria 3</t>
  </si>
  <si>
    <t>Diretoria 4</t>
  </si>
  <si>
    <t xml:space="preserve">Orçamentos 1 </t>
  </si>
  <si>
    <t>Orçamentos 2</t>
  </si>
  <si>
    <t>Orçamentos 3</t>
  </si>
  <si>
    <t>Planejamento 1</t>
  </si>
  <si>
    <t>Planejamento 2</t>
  </si>
  <si>
    <t xml:space="preserve">Setor Tecnologia </t>
  </si>
  <si>
    <t>Recursos Humanos 1</t>
  </si>
  <si>
    <t>Recursos Humanos 2</t>
  </si>
  <si>
    <t>Financeiro 1</t>
  </si>
  <si>
    <t>Financeiro 2</t>
  </si>
  <si>
    <t>Suprimentos 1</t>
  </si>
  <si>
    <t>Suprimentos 2</t>
  </si>
  <si>
    <t>Recepção 1</t>
  </si>
  <si>
    <t>Estagiário 1</t>
  </si>
  <si>
    <t>Estagiário 2</t>
  </si>
  <si>
    <t>Estagiário 3</t>
  </si>
  <si>
    <t>Apoio logístico 1</t>
  </si>
  <si>
    <t>Apoio logístico 2</t>
  </si>
  <si>
    <t>Segurança 1</t>
  </si>
  <si>
    <t>Portaria 1</t>
  </si>
  <si>
    <r>
      <t>Subtotal</t>
    </r>
    <r>
      <rPr>
        <sz val="10"/>
        <color theme="1"/>
        <rFont val="Arial"/>
        <family val="2"/>
      </rPr>
      <t xml:space="preserve"> </t>
    </r>
    <r>
      <rPr>
        <sz val="10"/>
        <color rgb="FF000000"/>
        <rFont val="Arial"/>
        <family val="2"/>
      </rPr>
      <t>1</t>
    </r>
  </si>
  <si>
    <t>Rateio / Incidências sobre ESTA OBRA</t>
  </si>
  <si>
    <t>Valor</t>
  </si>
  <si>
    <t>FATURAMENTO ANUAL</t>
  </si>
  <si>
    <t>Custo do período</t>
  </si>
  <si>
    <t>Manutenção Predial  (Faxina/Limpeza/Reformas)</t>
  </si>
  <si>
    <t>Telefonias fixas e Rede interna     (do Escritório)</t>
  </si>
  <si>
    <t>Transp. Público</t>
  </si>
  <si>
    <t>Transp. Próprio</t>
  </si>
  <si>
    <t>Locação de vam                 de 9 até 15 pessoas</t>
  </si>
  <si>
    <t>Perua Kombi                         de 4 até  8 pessoas</t>
  </si>
  <si>
    <t>SALÁRIO</t>
  </si>
  <si>
    <t>Equipe de poio / Almoxarifado local</t>
  </si>
  <si>
    <t>Equipe de Engenharia local</t>
  </si>
  <si>
    <t xml:space="preserve">Portais de comunicação </t>
  </si>
  <si>
    <t>AutoDoc</t>
  </si>
  <si>
    <t>Ariba Network</t>
  </si>
  <si>
    <t>Outros</t>
  </si>
  <si>
    <t>Estacas pré-moldadas</t>
  </si>
  <si>
    <t>Guincho tipo Munck cap. 6 t* montado em caminhão carroceria</t>
  </si>
  <si>
    <r>
      <t xml:space="preserve">Cadastro profissional, regular ou eventual </t>
    </r>
    <r>
      <rPr>
        <sz val="10"/>
        <color rgb="FFFF0000"/>
        <rFont val="Arial"/>
        <family val="2"/>
      </rPr>
      <t>(verificar se é possível on-line)</t>
    </r>
  </si>
  <si>
    <t>meses</t>
  </si>
  <si>
    <t>% - previsão da correção monetária para daqui a 10 meses</t>
  </si>
  <si>
    <t>indice ainda não considerado; favor avaliar essa consideração;</t>
  </si>
  <si>
    <t>Palmilha aço =</t>
  </si>
  <si>
    <t>Botina PVC =</t>
  </si>
  <si>
    <t>Respirador 3M Série 6000 Com Filtros 6004 Para Amônia e Metilamina</t>
  </si>
  <si>
    <t>Cinturão em Poliéster 4 Pontos de Ancoragem com Talabarte em Y 1,40m com ABS Gancho 110mm Vicsa</t>
  </si>
  <si>
    <t>Gol 1.6 Plus Flex ou similar da empresa</t>
  </si>
  <si>
    <t>Gerador - 3KVA</t>
  </si>
  <si>
    <r>
      <t xml:space="preserve">Comparativo Transporte Publico </t>
    </r>
    <r>
      <rPr>
        <b/>
        <sz val="10"/>
        <color rgb="FFFF0000"/>
        <rFont val="Arial"/>
        <family val="2"/>
      </rPr>
      <t>X</t>
    </r>
    <r>
      <rPr>
        <b/>
        <sz val="10"/>
        <rFont val="Arial"/>
        <family val="2"/>
      </rPr>
      <t xml:space="preserve"> Próprio</t>
    </r>
  </si>
  <si>
    <r>
      <t>H.E.</t>
    </r>
    <r>
      <rPr>
        <sz val="10"/>
        <rFont val="Arial"/>
        <family val="2"/>
      </rPr>
      <t xml:space="preserve"> (reajuste) =</t>
    </r>
  </si>
  <si>
    <t xml:space="preserve">Lucro </t>
  </si>
  <si>
    <t>julho/19 - Com desoneração da Folha de Pagamento</t>
  </si>
  <si>
    <t>Bomba sapo</t>
  </si>
  <si>
    <t>Valor Faturamento Direto</t>
  </si>
  <si>
    <t>Nota Fiscal</t>
  </si>
  <si>
    <t>Estagiario</t>
  </si>
  <si>
    <t>Fator multiplicativo =</t>
  </si>
  <si>
    <t>dia</t>
  </si>
  <si>
    <t>Projeto executivo de Instalações de gáses medicinais</t>
  </si>
  <si>
    <t>Alimentação      (Cafés e aniversários - 1 bolo + 2 ref. + 1 cento sal) + Confraternização Final de ano ( carne - 160,00, refri - 100,00 - cerveja 100,00)</t>
  </si>
  <si>
    <t>Serv.Terceiros (Contabilidade)</t>
  </si>
  <si>
    <t>Serv.Terceiros (Consultoria)</t>
  </si>
  <si>
    <t>Serv.Terceiros (T.I)</t>
  </si>
  <si>
    <t>SINDUSCON (sindicato patronal) pagamento não obrigatório</t>
  </si>
  <si>
    <t>Expansão do Escritório</t>
  </si>
  <si>
    <t>Projetos 1</t>
  </si>
  <si>
    <t>Projetos 2</t>
  </si>
  <si>
    <t>Projetos 3</t>
  </si>
  <si>
    <t>Consultoria</t>
  </si>
  <si>
    <t>Estudo resistência em concreto armado</t>
  </si>
  <si>
    <t>Projeto executivo de Instalações de Agua quente</t>
  </si>
  <si>
    <t>Despesas Indiretas sem FD</t>
  </si>
  <si>
    <t>V4</t>
  </si>
  <si>
    <t>V5</t>
  </si>
  <si>
    <t>Despesas administrativas de manutenção do canteiro</t>
  </si>
  <si>
    <t>Projetos complementares e controle tecnológico</t>
  </si>
  <si>
    <t>Saúde e segurança do trabalho - ASO, EPI's e EPC's, conforme NR-6</t>
  </si>
  <si>
    <t>Despesas Fiscais</t>
  </si>
  <si>
    <t xml:space="preserve">Encargos L.S. </t>
  </si>
  <si>
    <t xml:space="preserve">Adm central:  </t>
  </si>
  <si>
    <t xml:space="preserve">Desp. fiscais: </t>
  </si>
  <si>
    <t>Empreendimento:</t>
  </si>
  <si>
    <t>Impostos sobre Materiais + Mão de Obra</t>
  </si>
  <si>
    <t>A.1</t>
  </si>
  <si>
    <t>A.2</t>
  </si>
  <si>
    <t>A.3</t>
  </si>
  <si>
    <t>A.4</t>
  </si>
  <si>
    <t>A.5</t>
  </si>
  <si>
    <t>A.7</t>
  </si>
  <si>
    <t>Subtotal A</t>
  </si>
  <si>
    <t>B.1</t>
  </si>
  <si>
    <t>B.2</t>
  </si>
  <si>
    <t>B.3</t>
  </si>
  <si>
    <t>B.4</t>
  </si>
  <si>
    <t>B.5</t>
  </si>
  <si>
    <t>B.7</t>
  </si>
  <si>
    <t>Subtotal B</t>
  </si>
  <si>
    <t>Encargos que recebem incidência de A</t>
  </si>
  <si>
    <t>C.1</t>
  </si>
  <si>
    <t>ICMS - Quando se vendo mercadoria</t>
  </si>
  <si>
    <t>C.2</t>
  </si>
  <si>
    <t>CPMF - Contribuição Provisória Sobre Movimentação Financeira</t>
  </si>
  <si>
    <t>Subtotal C</t>
  </si>
  <si>
    <t>D.1</t>
  </si>
  <si>
    <t>Subtotal E</t>
  </si>
  <si>
    <r>
      <rPr>
        <b/>
        <sz val="10"/>
        <color rgb="FF000000"/>
        <rFont val="Arial"/>
        <family val="2"/>
      </rPr>
      <t>Total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A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+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C+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D</t>
    </r>
    <r>
      <rPr>
        <sz val="10"/>
        <color theme="1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/>
    </r>
  </si>
  <si>
    <t>Perfil da empresa para menor valor de alíquota conforme § 5º-C do art. 18 - Anexo 4:</t>
  </si>
  <si>
    <t>Empresa optante pelo Simples Nacional com faturamente Anual na 4ª Faixa 9,78%;</t>
  </si>
  <si>
    <t>Adicional de IRPJ ( Lucro &gt; R$ 20.000,00/mês)</t>
  </si>
  <si>
    <t>IRPJ - Imposto de Renda de Pessoa Jurídica ( Lucro até R$ 20.000,00/mês )</t>
  </si>
  <si>
    <t>Para demais empresas</t>
  </si>
  <si>
    <t>Para ME, EPP (Simples Nacional)</t>
  </si>
  <si>
    <t>Aliquota</t>
  </si>
  <si>
    <t>IRPJ</t>
  </si>
  <si>
    <t>IRPJ - Lucro Real, Presumido ou Arbritrado</t>
  </si>
  <si>
    <t>CSLL - Lucro Presumido ou Arbritrado</t>
  </si>
  <si>
    <t>art. 33 § 1º, II, d) e IV art. 29</t>
  </si>
  <si>
    <t>art. 33 § 1º, II, d) e IV art. 29,  § 1º</t>
  </si>
  <si>
    <r>
      <t xml:space="preserve">Sobre Receita bruta </t>
    </r>
    <r>
      <rPr>
        <b/>
        <sz val="10"/>
        <rFont val="Arial"/>
        <family val="2"/>
      </rPr>
      <t>com</t>
    </r>
    <r>
      <rPr>
        <sz val="10"/>
        <rFont val="Arial"/>
        <family val="2"/>
      </rPr>
      <t xml:space="preserve"> fornec. de materais</t>
    </r>
  </si>
  <si>
    <r>
      <t xml:space="preserve">Sobre Receita bruta </t>
    </r>
    <r>
      <rPr>
        <b/>
        <sz val="10"/>
        <color rgb="FFFF0000"/>
        <rFont val="Arial"/>
        <family val="2"/>
      </rPr>
      <t>sem</t>
    </r>
    <r>
      <rPr>
        <sz val="10"/>
        <rFont val="Arial"/>
        <family val="2"/>
      </rPr>
      <t xml:space="preserve"> fornec. de materais</t>
    </r>
  </si>
  <si>
    <t>art. 34 § 1º, V, IX e IV art. 30, III, e)</t>
  </si>
  <si>
    <t>art. 33 § 1º, IV, d) e IV art. 29</t>
  </si>
  <si>
    <t>Cálculo</t>
  </si>
  <si>
    <t>Serviços vinculados a concessão público ADM, Empreitada só MO</t>
  </si>
  <si>
    <t>art. 34 e art. 30, III, e)</t>
  </si>
  <si>
    <t>Fundamento</t>
  </si>
  <si>
    <t>Impostos sobre Mão de Obra, ADM ou Consessão</t>
  </si>
  <si>
    <t>A.6</t>
  </si>
  <si>
    <t>B.6</t>
  </si>
  <si>
    <t>PIS</t>
  </si>
  <si>
    <t>CONFIS</t>
  </si>
  <si>
    <t>Lei nº 9.718/98; art. 4 IV</t>
  </si>
  <si>
    <t>Lei nº 12.973/14; art. 27</t>
  </si>
  <si>
    <t>Lei nº 12.973/14; art. 28</t>
  </si>
  <si>
    <t>"sessenta e cinco centésimos por cento e"</t>
  </si>
  <si>
    <t>"três por cento incidentes sobre a receita bruta"</t>
  </si>
  <si>
    <t>Fonte PIS e COFINS: http://www.planalto.gov.br/ccivil_03/LEIS/L9718.htm</t>
  </si>
  <si>
    <t>Base cálculo</t>
  </si>
  <si>
    <t>-</t>
  </si>
  <si>
    <t>IPI quando for indústria</t>
  </si>
  <si>
    <t>ICMS quando for comércio e indústria</t>
  </si>
  <si>
    <t>Antigo Anexo IV do Simples Nacional (alterado em 2018)</t>
  </si>
  <si>
    <t>ISS</t>
  </si>
  <si>
    <t>CSLL</t>
  </si>
  <si>
    <t>COFINS</t>
  </si>
  <si>
    <t>De R$ 0,00 a R$ 180.000,00</t>
  </si>
  <si>
    <t>De R$ 180.000,01 a R$ 360.000,00</t>
  </si>
  <si>
    <t>De R$ 360.000,01 a R$ 540.000,00</t>
  </si>
  <si>
    <t>De R$ 540.000,01 a R$ 720.000,00</t>
  </si>
  <si>
    <t>De R$ 720.000,01 a R$ 900.000,00</t>
  </si>
  <si>
    <t>De R$ 900.000,01 a R$ 1.080.000,00</t>
  </si>
  <si>
    <t>De R$ 1.080.000,01 a R$ 1.260.000,00</t>
  </si>
  <si>
    <t>De R$ 1.260.000,01 a R$ 1.440.000,00</t>
  </si>
  <si>
    <t>De R$ 1.440.000,01 a R$ 1.620.000,00</t>
  </si>
  <si>
    <t>De R$ 1.620.000,01 a R$ 1.800.000,00</t>
  </si>
  <si>
    <t>De R$ 1.800.000,01 a R$ 1.980.000,00</t>
  </si>
  <si>
    <t>De R$ 1.980.000,01 a R$ 2.160.000,00</t>
  </si>
  <si>
    <t>De R$ 2.160.000,01 a R$ 2.340.000,00</t>
  </si>
  <si>
    <t>De R$ 2.340.000,01 a R$ 2.520.000,00</t>
  </si>
  <si>
    <t>De R$ 2.520.000,01 a R$ 2.700.000,00</t>
  </si>
  <si>
    <t>De R$ 2.700.000,01 a R$ 2.880.000,00</t>
  </si>
  <si>
    <t>De R$ 2.880.000,01 a R$ 3.060.000,00</t>
  </si>
  <si>
    <t>De R$ 3.060.000,01 a R$ 3.240.000,00</t>
  </si>
  <si>
    <t>De R$ 3.240.000,01 a R$ 3.420.000,00</t>
  </si>
  <si>
    <t>De R$ 3.420.000,01 a R$ 3.600.000,00</t>
  </si>
  <si>
    <t>Receita Bruta em 12 meses (R$)</t>
  </si>
  <si>
    <t>Alíquota total</t>
  </si>
  <si>
    <t>Fonte IRPJ e CSLL: http://normas.receita.fazenda.gov.br/sijut2consulta/link.action?visao=anotado&amp;idAto=81268#1706802 - Apuração: 31/03, 30/06, 30/09 e 31/12 de cada ano.</t>
  </si>
  <si>
    <t>Marcador</t>
  </si>
  <si>
    <t>x</t>
  </si>
  <si>
    <t>ISS - Imposto Sobre Serviço</t>
  </si>
  <si>
    <t>IPI</t>
  </si>
  <si>
    <t>N</t>
  </si>
  <si>
    <t>13º + FÉRIAS PARA PJ</t>
  </si>
  <si>
    <t>Máscara =</t>
  </si>
  <si>
    <t>Vaqueta/Raspa =</t>
  </si>
  <si>
    <t>Exame complementar - Audiometria</t>
  </si>
  <si>
    <t>Exame complementar - Eletroencefalograma ( EEG )</t>
  </si>
  <si>
    <t>Exame complementar - Eletrocardiograma ( ECG )</t>
  </si>
  <si>
    <t>Espirometria ( pulmão )</t>
  </si>
  <si>
    <t>Exame adminissional e periódico ( ASO )</t>
  </si>
  <si>
    <t>08.01.01</t>
  </si>
  <si>
    <t>08.01.02</t>
  </si>
  <si>
    <t>08.01.03</t>
  </si>
  <si>
    <t>08.01.04</t>
  </si>
  <si>
    <t>08.01.05</t>
  </si>
  <si>
    <t>08.02.01</t>
  </si>
  <si>
    <t>08.02.02</t>
  </si>
  <si>
    <t>08.02.03</t>
  </si>
  <si>
    <t>08.02.04</t>
  </si>
  <si>
    <t>08.02.05</t>
  </si>
  <si>
    <t>08.03.01</t>
  </si>
  <si>
    <t>08.03.02</t>
  </si>
  <si>
    <t>08.03.03</t>
  </si>
  <si>
    <t>08.03.04</t>
  </si>
  <si>
    <t>08.03.05</t>
  </si>
  <si>
    <t>09.01.01</t>
  </si>
  <si>
    <t>09.01.02</t>
  </si>
  <si>
    <t>09.01.03</t>
  </si>
  <si>
    <t>09.02.01</t>
  </si>
  <si>
    <t>09.02.02</t>
  </si>
  <si>
    <t>09.02.03</t>
  </si>
  <si>
    <t>10.01.01</t>
  </si>
  <si>
    <t>10.01.02</t>
  </si>
  <si>
    <t>10.01.03</t>
  </si>
  <si>
    <t>10.02.01</t>
  </si>
  <si>
    <t>10.02.02</t>
  </si>
  <si>
    <t>10.02.03</t>
  </si>
  <si>
    <t>11.01.01</t>
  </si>
  <si>
    <t>11.01.02</t>
  </si>
  <si>
    <t>11.01.03</t>
  </si>
  <si>
    <t>11.01.04</t>
  </si>
  <si>
    <t>11.01.05</t>
  </si>
  <si>
    <t>11.01.06</t>
  </si>
  <si>
    <t>11.01.07</t>
  </si>
  <si>
    <t>11.01.08</t>
  </si>
  <si>
    <t>11.01.09</t>
  </si>
  <si>
    <t>11.01.10</t>
  </si>
  <si>
    <t>11.01.11</t>
  </si>
  <si>
    <t>11.01.12</t>
  </si>
  <si>
    <t>11.01.13</t>
  </si>
  <si>
    <t>11.01.14</t>
  </si>
  <si>
    <t>11.02.02</t>
  </si>
  <si>
    <t>11.02.01</t>
  </si>
  <si>
    <t>11.02.03</t>
  </si>
  <si>
    <t>11.02.04</t>
  </si>
  <si>
    <t>11.02.05</t>
  </si>
  <si>
    <t>11.02.06</t>
  </si>
  <si>
    <t>11.02.07</t>
  </si>
  <si>
    <t>11.02.08</t>
  </si>
  <si>
    <t>11.02.09</t>
  </si>
  <si>
    <t>11.02.10</t>
  </si>
  <si>
    <t>11.02.11</t>
  </si>
  <si>
    <t>11.02.12</t>
  </si>
  <si>
    <t>11.02.13</t>
  </si>
  <si>
    <t>11.02.14</t>
  </si>
  <si>
    <t>11.02.15</t>
  </si>
  <si>
    <t>11.02.16</t>
  </si>
  <si>
    <t>11.02.17</t>
  </si>
  <si>
    <t>11.02.18</t>
  </si>
  <si>
    <t>11.02.19</t>
  </si>
  <si>
    <t>11.02.20</t>
  </si>
  <si>
    <t>11.02.21</t>
  </si>
  <si>
    <t>11.02.22</t>
  </si>
  <si>
    <t>11.03.01</t>
  </si>
  <si>
    <t>11.03.02</t>
  </si>
  <si>
    <t>11.03.03</t>
  </si>
  <si>
    <t>11.03.04</t>
  </si>
  <si>
    <t>11.03.05</t>
  </si>
  <si>
    <t>11.03.06</t>
  </si>
  <si>
    <t>11.04.01</t>
  </si>
  <si>
    <t>11.04.02</t>
  </si>
  <si>
    <t>11.04.03</t>
  </si>
  <si>
    <t>11.04.04</t>
  </si>
  <si>
    <t>11.04.05</t>
  </si>
  <si>
    <t>11.04.06</t>
  </si>
  <si>
    <t>11.05.01</t>
  </si>
  <si>
    <t>11.05.02</t>
  </si>
  <si>
    <t>11.05.03</t>
  </si>
  <si>
    <t>11.05.04</t>
  </si>
  <si>
    <t>11.05.05</t>
  </si>
  <si>
    <t>11.05.06</t>
  </si>
  <si>
    <t>11.05.07</t>
  </si>
  <si>
    <t>11.05.08</t>
  </si>
  <si>
    <t>11.06.01</t>
  </si>
  <si>
    <t>11.06.02</t>
  </si>
  <si>
    <t>11.06.03</t>
  </si>
  <si>
    <t>11.06.04</t>
  </si>
  <si>
    <t>11.06.05</t>
  </si>
  <si>
    <t>12.01.01</t>
  </si>
  <si>
    <t>12.01.02</t>
  </si>
  <si>
    <t>12.01.03</t>
  </si>
  <si>
    <t>12.01.04</t>
  </si>
  <si>
    <t>12.01.05</t>
  </si>
  <si>
    <t>12.01.06</t>
  </si>
  <si>
    <t>12.01.07</t>
  </si>
  <si>
    <t>12.01.08</t>
  </si>
  <si>
    <t>12.01.09</t>
  </si>
  <si>
    <t>12.01.10</t>
  </si>
  <si>
    <t>12.01.11</t>
  </si>
  <si>
    <t>12.01.12</t>
  </si>
  <si>
    <t>12.01.13</t>
  </si>
  <si>
    <t>12.01.14</t>
  </si>
  <si>
    <t>12.01.15</t>
  </si>
  <si>
    <t>12.01.16</t>
  </si>
  <si>
    <t>12.01.17</t>
  </si>
  <si>
    <t>12.01.18</t>
  </si>
  <si>
    <t>12.01.19</t>
  </si>
  <si>
    <t>12.01.20</t>
  </si>
  <si>
    <t>12.01.21</t>
  </si>
  <si>
    <t>12.01.22</t>
  </si>
  <si>
    <t>12.01.23</t>
  </si>
  <si>
    <t>12.02.01</t>
  </si>
  <si>
    <t>12.02.02</t>
  </si>
  <si>
    <t>12.02.03</t>
  </si>
  <si>
    <t>12.03.01</t>
  </si>
  <si>
    <t>12.03.02</t>
  </si>
  <si>
    <t>12.03.03</t>
  </si>
  <si>
    <t>12.03.04</t>
  </si>
  <si>
    <t>12.03.05</t>
  </si>
  <si>
    <t>12.03.06</t>
  </si>
  <si>
    <t>12.03.07</t>
  </si>
  <si>
    <t>12.03.08</t>
  </si>
  <si>
    <t>12.03.09</t>
  </si>
  <si>
    <t>12.03.10</t>
  </si>
  <si>
    <t>12.03.11</t>
  </si>
  <si>
    <t>12.03.12</t>
  </si>
  <si>
    <t>12.03.13</t>
  </si>
  <si>
    <t>12.03.14</t>
  </si>
  <si>
    <t>13.01.01</t>
  </si>
  <si>
    <t>13.01.02</t>
  </si>
  <si>
    <t>13.01.03</t>
  </si>
  <si>
    <t>13.01.04</t>
  </si>
  <si>
    <t>13.01.05</t>
  </si>
  <si>
    <t>13.01.06</t>
  </si>
  <si>
    <t>13.01.07</t>
  </si>
  <si>
    <t>13.02.01</t>
  </si>
  <si>
    <t>13.02.02</t>
  </si>
  <si>
    <t>13.02.03</t>
  </si>
  <si>
    <t>13.02.04</t>
  </si>
  <si>
    <t>13.02.05</t>
  </si>
  <si>
    <t>13.02.06</t>
  </si>
  <si>
    <t>13.02.07</t>
  </si>
  <si>
    <t>13.02.08</t>
  </si>
  <si>
    <t>13.02.09</t>
  </si>
  <si>
    <t>13.03.01</t>
  </si>
  <si>
    <t>13.03.02</t>
  </si>
  <si>
    <t>13.03.03</t>
  </si>
  <si>
    <t>13.03.04</t>
  </si>
  <si>
    <t>13.04.01</t>
  </si>
  <si>
    <t>13.04.02</t>
  </si>
  <si>
    <t>13.05</t>
  </si>
  <si>
    <t>13.05.01</t>
  </si>
  <si>
    <t>13.05.02</t>
  </si>
  <si>
    <t>13.05.03</t>
  </si>
  <si>
    <t>13.06</t>
  </si>
  <si>
    <t>13.06.01</t>
  </si>
  <si>
    <t>13.06.02</t>
  </si>
  <si>
    <t>13.06.03</t>
  </si>
  <si>
    <t>13.07</t>
  </si>
  <si>
    <t>13.07.01</t>
  </si>
  <si>
    <t>13.07.02</t>
  </si>
  <si>
    <t>13.07.03</t>
  </si>
  <si>
    <t>13.07.04</t>
  </si>
  <si>
    <t>13.08</t>
  </si>
  <si>
    <t>13.08.01</t>
  </si>
  <si>
    <t>13.08.02</t>
  </si>
  <si>
    <t>Esmerilhadeira 4"</t>
  </si>
  <si>
    <t>Esmerilhadeira 7"</t>
  </si>
  <si>
    <t>13.08.03</t>
  </si>
  <si>
    <t>13.08.04</t>
  </si>
  <si>
    <t>13.08.05</t>
  </si>
  <si>
    <t>13.08.06</t>
  </si>
  <si>
    <t>13.08.07</t>
  </si>
  <si>
    <t>13.09</t>
  </si>
  <si>
    <t>13.09.01</t>
  </si>
  <si>
    <t>13.09.02</t>
  </si>
  <si>
    <t>13.09.03</t>
  </si>
  <si>
    <t>13.10</t>
  </si>
  <si>
    <t>13.10.01</t>
  </si>
  <si>
    <t>13.10.02</t>
  </si>
  <si>
    <t>13.11</t>
  </si>
  <si>
    <t>13.11.01</t>
  </si>
  <si>
    <t>13.11.02</t>
  </si>
  <si>
    <t>13.11.03</t>
  </si>
  <si>
    <t>Bomba de concreto para o piso do canteiro</t>
  </si>
  <si>
    <t>11.01.15</t>
  </si>
  <si>
    <t>11.03.07</t>
  </si>
  <si>
    <t>Manutenção dos equipamentos</t>
  </si>
  <si>
    <t>14.10</t>
  </si>
  <si>
    <t>14.11</t>
  </si>
  <si>
    <t>14.12</t>
  </si>
  <si>
    <t>14.13</t>
  </si>
  <si>
    <t>14.14</t>
  </si>
  <si>
    <t>14.15</t>
  </si>
  <si>
    <t>14.16</t>
  </si>
  <si>
    <t>14.17</t>
  </si>
  <si>
    <t>14.18</t>
  </si>
  <si>
    <t>14.19</t>
  </si>
  <si>
    <t>14.20</t>
  </si>
  <si>
    <t>14.21</t>
  </si>
  <si>
    <t>14.22</t>
  </si>
  <si>
    <t>14.23</t>
  </si>
  <si>
    <t>14.24</t>
  </si>
  <si>
    <t>14.25</t>
  </si>
  <si>
    <t>14.26</t>
  </si>
  <si>
    <t>14.27</t>
  </si>
  <si>
    <t>14.28</t>
  </si>
  <si>
    <t>14.29</t>
  </si>
  <si>
    <t>Função</t>
  </si>
  <si>
    <t>servente</t>
  </si>
  <si>
    <t>pedreiro</t>
  </si>
  <si>
    <t>oficial</t>
  </si>
  <si>
    <t>11.04.07</t>
  </si>
  <si>
    <t>11.04.08</t>
  </si>
  <si>
    <t>Esquadro pequeno</t>
  </si>
  <si>
    <t>carpintiero</t>
  </si>
  <si>
    <t>Prumo de face</t>
  </si>
  <si>
    <t>Marreta 1 kg</t>
  </si>
  <si>
    <t>Marreta 2 kg</t>
  </si>
  <si>
    <t>Marreta 5 kg</t>
  </si>
  <si>
    <t>armador</t>
  </si>
  <si>
    <t>nº Colaboradores</t>
  </si>
  <si>
    <t xml:space="preserve">V.U. equipamento </t>
  </si>
  <si>
    <t>Tempo da Obra</t>
  </si>
  <si>
    <t>( cotado em 06/03/20 )</t>
  </si>
  <si>
    <t>Pneu para carrinho de mão</t>
  </si>
  <si>
    <t>Bomba de encher pneu de carrinho de mão</t>
  </si>
  <si>
    <t xml:space="preserve">Cabo para Enxada / Pá / Vanga etc.. </t>
  </si>
  <si>
    <t>Enxada / Pá / Vanga e etc..</t>
  </si>
  <si>
    <t>Esquadro grande 1000 x 1000 mm alumínio</t>
  </si>
  <si>
    <t>Nivel de mão</t>
  </si>
  <si>
    <t>Rateio % do equip.</t>
  </si>
  <si>
    <t>nº Equipamentos</t>
  </si>
  <si>
    <t>14.30</t>
  </si>
  <si>
    <t>Base de Cálculo - Taxa de Comercialização</t>
  </si>
  <si>
    <r>
      <t>F</t>
    </r>
    <r>
      <rPr>
        <sz val="10"/>
        <color theme="1"/>
        <rFont val="ItalicC"/>
      </rPr>
      <t>a</t>
    </r>
    <r>
      <rPr>
        <sz val="10"/>
        <color theme="1"/>
        <rFont val="Arial"/>
        <family val="2"/>
      </rPr>
      <t>=</t>
    </r>
  </si>
  <si>
    <t>Valor total p/ refeições de mdo indireta</t>
  </si>
  <si>
    <r>
      <rPr>
        <sz val="12"/>
        <color theme="1"/>
        <rFont val="Calibri"/>
        <family val="2"/>
      </rPr>
      <t>ΣVCom</t>
    </r>
    <r>
      <rPr>
        <sz val="10"/>
        <color theme="1"/>
        <rFont val="Arial"/>
        <family val="2"/>
      </rPr>
      <t>=</t>
    </r>
  </si>
  <si>
    <t>Valor total de refeições</t>
  </si>
  <si>
    <t>Descrição dos gastos envolvidos</t>
  </si>
  <si>
    <t xml:space="preserve"> Rateio da OBRA</t>
  </si>
  <si>
    <t xml:space="preserve">uso </t>
  </si>
  <si>
    <t>Unit</t>
  </si>
  <si>
    <t>Executivo comercial</t>
  </si>
  <si>
    <t>Viagens de Avião</t>
  </si>
  <si>
    <t>Locação de Carros</t>
  </si>
  <si>
    <t>Hotel para gerente</t>
  </si>
  <si>
    <t>Refeições executivas</t>
  </si>
  <si>
    <t>Telefonia móvel              (planos telefônicos)</t>
  </si>
  <si>
    <t>Pedágios                                  (estimativa)</t>
  </si>
  <si>
    <t>Propagandas na TV</t>
  </si>
  <si>
    <t xml:space="preserve">Outdores </t>
  </si>
  <si>
    <t>0,25% é um bom número</t>
  </si>
  <si>
    <t>Gasolins (se não estiver incluso no Item 1.02)</t>
  </si>
  <si>
    <t>Sites para captação de clientes</t>
  </si>
  <si>
    <t>Notas:</t>
  </si>
  <si>
    <t>3 - Com base na LC 123/2006 Art. 13, entende-se não ser devida a contribuição sindical patronal pelas empresas do Simples Nacional.</t>
  </si>
  <si>
    <t>Bomba centrífuga ø 2 1/2" X 2",</t>
  </si>
  <si>
    <t>Serra cliper com disco</t>
  </si>
  <si>
    <t>Grua ascencional, lança de 30 m capacidade 1000 kg a 30 m, h&lt;= 39 m (15KVA)</t>
  </si>
  <si>
    <t>Grua ascencional, lança de 42 m capacidade 1500 kg a 30 m, h&lt;= 39 m</t>
  </si>
  <si>
    <t>Grua ascencional, lança de 50 m capacidade 2330 kg a 30 m, h&lt;= 48 m</t>
  </si>
  <si>
    <t>Índice do mês (em %)</t>
  </si>
  <si>
    <t>Índice acumulado no ano (em %)</t>
  </si>
  <si>
    <t>Índice acumulado nos últimos 12 meses (em %)</t>
  </si>
  <si>
    <t>Número índice acumulado a partir de Jan/93</t>
  </si>
  <si>
    <r>
      <rPr>
        <b/>
        <sz val="8"/>
        <color theme="1"/>
        <rFont val="Italic"/>
      </rPr>
      <t xml:space="preserve">f </t>
    </r>
    <r>
      <rPr>
        <b/>
        <sz val="8"/>
        <color theme="1"/>
        <rFont val="Arial"/>
        <family val="2"/>
      </rPr>
      <t>-</t>
    </r>
  </si>
  <si>
    <r>
      <t>j</t>
    </r>
    <r>
      <rPr>
        <b/>
        <vertAlign val="subscript"/>
        <sz val="8"/>
        <color theme="1"/>
        <rFont val="Arial"/>
        <family val="2"/>
      </rPr>
      <t>(total)</t>
    </r>
    <r>
      <rPr>
        <b/>
        <sz val="10"/>
        <color theme="1"/>
        <rFont val="Arial"/>
        <family val="2"/>
      </rPr>
      <t xml:space="preserve"> -</t>
    </r>
  </si>
  <si>
    <t>Valor Presente ou Capital Inicial para custeio do empreendimento;</t>
  </si>
  <si>
    <t>Valor Futuro ou Montante;</t>
  </si>
  <si>
    <t>Taxa de custo finaceiro;</t>
  </si>
  <si>
    <t>Juros total a ser pago ou rendimento em um aplicação;</t>
  </si>
  <si>
    <r>
      <t>Taxa de</t>
    </r>
    <r>
      <rPr>
        <b/>
        <sz val="10"/>
        <color theme="1"/>
        <rFont val="Arial"/>
        <family val="2"/>
      </rPr>
      <t xml:space="preserve"> inflação</t>
    </r>
    <r>
      <rPr>
        <sz val="10"/>
        <color theme="1"/>
        <rFont val="Arial"/>
        <family val="2"/>
      </rPr>
      <t xml:space="preserve"> média (atual) - INCC;</t>
    </r>
  </si>
  <si>
    <r>
      <t xml:space="preserve">Juro </t>
    </r>
    <r>
      <rPr>
        <b/>
        <sz val="10"/>
        <color theme="1"/>
        <rFont val="Arial"/>
        <family val="2"/>
      </rPr>
      <t>mensal</t>
    </r>
    <r>
      <rPr>
        <sz val="10"/>
        <color theme="1"/>
        <rFont val="Arial"/>
        <family val="2"/>
      </rPr>
      <t xml:space="preserve"> financimento capital de giro cobrado pelas instituições financeiras;</t>
    </r>
  </si>
  <si>
    <r>
      <t>Número de</t>
    </r>
    <r>
      <rPr>
        <b/>
        <sz val="10"/>
        <color theme="1"/>
        <rFont val="Arial"/>
        <family val="2"/>
      </rPr>
      <t xml:space="preserve"> dias decorridos</t>
    </r>
    <r>
      <rPr>
        <sz val="10"/>
        <color theme="1"/>
        <rFont val="Arial"/>
        <family val="2"/>
      </rPr>
      <t xml:space="preserve"> até o recebimento;</t>
    </r>
  </si>
  <si>
    <t>Horas Extras</t>
  </si>
  <si>
    <t>Transferência + Ociosidade + Dissídio</t>
  </si>
  <si>
    <t>10.01.04</t>
  </si>
  <si>
    <t>10.01.05</t>
  </si>
  <si>
    <t>10.01.06</t>
  </si>
  <si>
    <t>10.01.07</t>
  </si>
  <si>
    <t>10.01.08</t>
  </si>
  <si>
    <t>10.01.09</t>
  </si>
  <si>
    <t>10.02.04</t>
  </si>
  <si>
    <t>10.02.05</t>
  </si>
  <si>
    <t>10.02.06</t>
  </si>
  <si>
    <t>10.02.07</t>
  </si>
  <si>
    <t>10.02.08</t>
  </si>
  <si>
    <t>10.02.09</t>
  </si>
  <si>
    <t>10.03</t>
  </si>
  <si>
    <t>10.03.01</t>
  </si>
  <si>
    <t>10.03.02</t>
  </si>
  <si>
    <t>10.03.03</t>
  </si>
  <si>
    <t>10.03.04</t>
  </si>
  <si>
    <t>10.03.05</t>
  </si>
  <si>
    <t>10.03.06</t>
  </si>
  <si>
    <t>10.03.07</t>
  </si>
  <si>
    <t>10.03.08</t>
  </si>
  <si>
    <t>10.03.09</t>
  </si>
  <si>
    <t>09.01.01.01</t>
  </si>
  <si>
    <t>09.01.01.02</t>
  </si>
  <si>
    <t>09.01.01.03</t>
  </si>
  <si>
    <t>09.01.01.04</t>
  </si>
  <si>
    <t>09.01.01.05</t>
  </si>
  <si>
    <t>09.01.01.06</t>
  </si>
  <si>
    <t>09.01.01.07</t>
  </si>
  <si>
    <t>09.01.02.01</t>
  </si>
  <si>
    <t>09.01.02.02</t>
  </si>
  <si>
    <t>09.01.02.03</t>
  </si>
  <si>
    <t>09.01.02.04</t>
  </si>
  <si>
    <t>09.01.02.05</t>
  </si>
  <si>
    <t>09.01.02.06</t>
  </si>
  <si>
    <t>09.01.02.07</t>
  </si>
  <si>
    <t>09.01.03.01</t>
  </si>
  <si>
    <t>09.01.03.02</t>
  </si>
  <si>
    <t>09.01.03.03</t>
  </si>
  <si>
    <t>09.01.03.04</t>
  </si>
  <si>
    <t>09.01.03.05</t>
  </si>
  <si>
    <t>09.01.03.06</t>
  </si>
  <si>
    <t>09.01.03.07</t>
  </si>
  <si>
    <t>09.02.01.01</t>
  </si>
  <si>
    <t>09.02.01.02</t>
  </si>
  <si>
    <t>09.02.01.03</t>
  </si>
  <si>
    <t>09.02.01.04</t>
  </si>
  <si>
    <t>09.02.01.05</t>
  </si>
  <si>
    <t>09.02.01.06</t>
  </si>
  <si>
    <t>09.02.01.07</t>
  </si>
  <si>
    <t>09.02.01.08</t>
  </si>
  <si>
    <t>09.02.02.01</t>
  </si>
  <si>
    <t>09.02.02.02</t>
  </si>
  <si>
    <t>09.02.02.03</t>
  </si>
  <si>
    <t>09.02.02.04</t>
  </si>
  <si>
    <t>09.02.02.05</t>
  </si>
  <si>
    <t>09.02.02.06</t>
  </si>
  <si>
    <t>09.02.02.07</t>
  </si>
  <si>
    <t>09.02.03.01</t>
  </si>
  <si>
    <t>09.02.03.02</t>
  </si>
  <si>
    <t>09.02.03.03</t>
  </si>
  <si>
    <t>09.02.03.04</t>
  </si>
  <si>
    <t>09.02.03.05</t>
  </si>
  <si>
    <t>09.02.03.06</t>
  </si>
  <si>
    <t>09.02.03.07</t>
  </si>
  <si>
    <t>09.02.03.08</t>
  </si>
  <si>
    <t>Apoio</t>
  </si>
  <si>
    <t>Segurança</t>
  </si>
  <si>
    <t>SST</t>
  </si>
  <si>
    <t>Supervisão e apoio</t>
  </si>
  <si>
    <t>Supervisão e Apoio</t>
  </si>
  <si>
    <t>2.23</t>
  </si>
  <si>
    <t>4.15</t>
  </si>
  <si>
    <t>4.16</t>
  </si>
  <si>
    <t>7.04</t>
  </si>
  <si>
    <t>Consultaria de Fundações</t>
  </si>
  <si>
    <t>Consultorias</t>
  </si>
  <si>
    <t>Detector de metais</t>
  </si>
  <si>
    <t>Esclerômetro</t>
  </si>
  <si>
    <t>Autocad 2020</t>
  </si>
  <si>
    <t>TQS 21 - Pleno_LP%S + Alvest/Paredes + PREO</t>
  </si>
  <si>
    <t>Cortador de Parede 2.000W BRIC 35 - CORTAG-6000</t>
  </si>
  <si>
    <t>RENDIMENTO NO PERÍODO =</t>
  </si>
  <si>
    <t>VALOR DA ENTRADA =</t>
  </si>
  <si>
    <t>VALOR INICIAL =</t>
  </si>
  <si>
    <t>Nº MESES =</t>
  </si>
  <si>
    <t>( PAGAMENTO MENSAL ) PMT =</t>
  </si>
  <si>
    <t>TAXA =</t>
  </si>
  <si>
    <t>a.m.</t>
  </si>
  <si>
    <t>a.a.</t>
  </si>
  <si>
    <t>Quanto sua poupança vai render até ao longo do tempo:</t>
  </si>
  <si>
    <t>VALOR DO FINANCIAMENTO =</t>
  </si>
  <si>
    <t>Nº ANOS =</t>
  </si>
  <si>
    <t>Compreender uma entrada:</t>
  </si>
  <si>
    <t>MESES PARA QUITAÇÃO =</t>
  </si>
  <si>
    <t>( VALOR DO EMPRÉSTIMO )    VP =</t>
  </si>
  <si>
    <t>Quanto tempo levará para liquidar um empréstimo pessoal:</t>
  </si>
  <si>
    <t>VALOR DAS PARCELAS =</t>
  </si>
  <si>
    <t>( VALOR ESPERADO ) FV =</t>
  </si>
  <si>
    <t>Valor meta considerando rendimentos e aportes iguais:</t>
  </si>
  <si>
    <t>VALOR JUROS =</t>
  </si>
  <si>
    <t>( VALOR FINAL ) FV =</t>
  </si>
  <si>
    <t>( VALOR ESPERADO ) VP =</t>
  </si>
  <si>
    <t>26º</t>
  </si>
  <si>
    <t>25º</t>
  </si>
  <si>
    <t>24º</t>
  </si>
  <si>
    <t>23º</t>
  </si>
  <si>
    <t>22º</t>
  </si>
  <si>
    <t>21º</t>
  </si>
  <si>
    <t>20º</t>
  </si>
  <si>
    <t>19º</t>
  </si>
  <si>
    <t>18º</t>
  </si>
  <si>
    <t>17º</t>
  </si>
  <si>
    <t>16º</t>
  </si>
  <si>
    <t>15º</t>
  </si>
  <si>
    <t>14º</t>
  </si>
  <si>
    <t>13º</t>
  </si>
  <si>
    <t>12º</t>
  </si>
  <si>
    <t>11º</t>
  </si>
  <si>
    <t>10º</t>
  </si>
  <si>
    <t>9º</t>
  </si>
  <si>
    <t>8º</t>
  </si>
  <si>
    <t>7º</t>
  </si>
  <si>
    <t>6º</t>
  </si>
  <si>
    <t>5º</t>
  </si>
  <si>
    <t>4º</t>
  </si>
  <si>
    <t>3º</t>
  </si>
  <si>
    <t>2º</t>
  </si>
  <si>
    <t>1º</t>
  </si>
  <si>
    <t>Calcular pagamentos mensais para liquidar uma dívida no cartão de crédito</t>
  </si>
  <si>
    <t>Parcelas:</t>
  </si>
  <si>
    <t>Impostos</t>
  </si>
  <si>
    <t>JF</t>
  </si>
  <si>
    <t>FC</t>
  </si>
  <si>
    <r>
      <t xml:space="preserve">CPRB - Contribuição Previdenciária Receita Bruta ( desoneração ) - </t>
    </r>
    <r>
      <rPr>
        <sz val="10"/>
        <color rgb="FFFF0000"/>
        <rFont val="Arial"/>
        <family val="2"/>
      </rPr>
      <t>(4,5% construção nova/ 2% reforma)</t>
    </r>
  </si>
  <si>
    <r>
      <t xml:space="preserve">ISS Municipal* </t>
    </r>
    <r>
      <rPr>
        <sz val="10"/>
        <color rgb="FFFF0000"/>
        <rFont val="Arial"/>
        <family val="2"/>
      </rPr>
      <t>(JF - incidencia 35%/ FC incidencia 100%)</t>
    </r>
  </si>
  <si>
    <t xml:space="preserve">art. 33 § 1º, IV, d) e IV art. 29,  § 1º </t>
  </si>
  <si>
    <t>Dedução ISS =</t>
  </si>
  <si>
    <t xml:space="preserve">BDI </t>
  </si>
  <si>
    <t>ABNT16.633/CEE-162</t>
  </si>
  <si>
    <t>% MO Terceira</t>
  </si>
  <si>
    <t>Custo Financeiros, seguros e garantia ( art.618 cód. Civil )</t>
  </si>
  <si>
    <t xml:space="preserve">Mestre de Obra I </t>
  </si>
  <si>
    <t>Bomba de concreto para a obra</t>
  </si>
  <si>
    <t>Multiplus 3D metal</t>
  </si>
  <si>
    <t>Lei Complementar nº 123/2006 art. 18 § 5º, C, I, Anexo IV</t>
  </si>
  <si>
    <t>M.D.O Terceirizada</t>
  </si>
  <si>
    <t>ARQUIVO:</t>
  </si>
  <si>
    <t>Exame urina</t>
  </si>
  <si>
    <t>Exame glicose</t>
  </si>
  <si>
    <t>AC visual</t>
  </si>
  <si>
    <t>1 - Para lucro mensal de até R$ 20.000,00/mês = Faturamento acima de R$ 250.000,00</t>
  </si>
  <si>
    <t>com L.S.</t>
  </si>
  <si>
    <t>Ossiosidade</t>
  </si>
  <si>
    <t>Transf</t>
  </si>
  <si>
    <t>Dissidio</t>
  </si>
  <si>
    <t>CONSIDERADO HORA EXTRA+20%</t>
  </si>
  <si>
    <r>
      <t xml:space="preserve">Em </t>
    </r>
    <r>
      <rPr>
        <sz val="10"/>
        <color rgb="FFFF0000"/>
        <rFont val="Arial"/>
        <family val="2"/>
      </rPr>
      <t>domingos</t>
    </r>
    <r>
      <rPr>
        <sz val="10"/>
        <color theme="1"/>
        <rFont val="Arial"/>
        <family val="2"/>
      </rPr>
      <t xml:space="preserve"> noturno =</t>
    </r>
  </si>
  <si>
    <r>
      <t xml:space="preserve">Em </t>
    </r>
    <r>
      <rPr>
        <sz val="10"/>
        <color rgb="FFFF0000"/>
        <rFont val="Arial"/>
        <family val="2"/>
      </rPr>
      <t>domingos</t>
    </r>
    <r>
      <rPr>
        <sz val="10"/>
        <color theme="1"/>
        <rFont val="Arial"/>
        <family val="2"/>
      </rPr>
      <t xml:space="preserve"> diurno =</t>
    </r>
  </si>
  <si>
    <t>VALOR HORA (ajustada)</t>
  </si>
  <si>
    <t>13º salário</t>
  </si>
  <si>
    <t>Férias</t>
  </si>
  <si>
    <t>Aviso prévio</t>
  </si>
  <si>
    <t>FGTS</t>
  </si>
  <si>
    <t>DSR</t>
  </si>
  <si>
    <t>Reincidência de Encargos sobre hora extra</t>
  </si>
  <si>
    <t>(alíneas “a” e “b” do artigo 7º da Lei nº 605/49),</t>
  </si>
  <si>
    <t>(artigo 142, § 5º da CLT)</t>
  </si>
  <si>
    <t>(súmula 63 do TST)</t>
  </si>
  <si>
    <t>Multa FGTS</t>
  </si>
  <si>
    <t>(alíneas “a” e “b” do artigo 7º da Lei nº 605/49)</t>
  </si>
  <si>
    <t>B-03</t>
  </si>
  <si>
    <t>Taxa de Fiscalização de Estabelecimento</t>
  </si>
  <si>
    <t>anual</t>
  </si>
  <si>
    <t>https://sobratema.org.br/CustoHorario/Tabela</t>
  </si>
  <si>
    <t>BASE</t>
  </si>
  <si>
    <t>Espargidor de asfalto pressurizado, tanque 6 m3 com isolacao termica, aquecido com 2 macaricos, com barra espargidora 3,60 m, a ser montado sobre caminhao</t>
  </si>
  <si>
    <t>Vibroacabadora de asfalto sobre esteiras cap. 300 T/H - CIFALI VDA 400</t>
  </si>
  <si>
    <t>DI-10</t>
  </si>
  <si>
    <t>CPRB - Contribuição Previdenciária Receita Bruta ( Lei nº 12.546/11 )</t>
  </si>
  <si>
    <t>Técnico Ambiental</t>
  </si>
  <si>
    <t>Bombeiro</t>
  </si>
  <si>
    <t>Mascara de fuga =</t>
  </si>
  <si>
    <t>óculos fechado</t>
  </si>
  <si>
    <t>Frete pintura armação</t>
  </si>
  <si>
    <t>Mobilição bomba</t>
  </si>
  <si>
    <t>NÃO</t>
  </si>
  <si>
    <t>FATURAMENTO DIRETO</t>
  </si>
  <si>
    <t>IMPOSTOS</t>
  </si>
  <si>
    <t>IMPOSTOS FD</t>
  </si>
  <si>
    <t>V7</t>
  </si>
  <si>
    <t>V8</t>
  </si>
  <si>
    <t>V10</t>
  </si>
  <si>
    <t>B-04</t>
  </si>
  <si>
    <t>Comissionamento</t>
  </si>
  <si>
    <t>Desconto da Nota Fiscal</t>
  </si>
  <si>
    <t>Despesas Indiretas Sem NF</t>
  </si>
  <si>
    <t>Comissionamento líquido</t>
  </si>
  <si>
    <t>B-05</t>
  </si>
  <si>
    <t>Lucro Mensal liquido</t>
  </si>
  <si>
    <t xml:space="preserve"> </t>
  </si>
  <si>
    <t>PVN</t>
  </si>
  <si>
    <t>Valor venda nota</t>
  </si>
  <si>
    <t>Valor com BDI</t>
  </si>
  <si>
    <r>
      <t xml:space="preserve">Valor venda </t>
    </r>
    <r>
      <rPr>
        <b/>
        <i/>
        <sz val="10"/>
        <color rgb="FFFF0000"/>
        <rFont val="Arial"/>
        <family val="2"/>
      </rPr>
      <t>sem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rFont val="Arial"/>
        <family val="2"/>
      </rPr>
      <t>Faturamento Direto</t>
    </r>
  </si>
  <si>
    <r>
      <t>Valor venda</t>
    </r>
    <r>
      <rPr>
        <b/>
        <sz val="10"/>
        <color rgb="FFFF0000"/>
        <rFont val="Arial"/>
        <family val="2"/>
      </rPr>
      <t xml:space="preserve"> </t>
    </r>
    <r>
      <rPr>
        <b/>
        <i/>
        <sz val="10"/>
        <color rgb="FFFF0000"/>
        <rFont val="Arial"/>
        <family val="2"/>
      </rPr>
      <t>com</t>
    </r>
    <r>
      <rPr>
        <b/>
        <sz val="10"/>
        <rFont val="Arial"/>
        <family val="2"/>
      </rPr>
      <t xml:space="preserve"> Faturamento Direto</t>
    </r>
  </si>
  <si>
    <t>CPRB - Contribuição Social do Lucro Líquido</t>
  </si>
  <si>
    <t>Engenheiro - Senior</t>
  </si>
  <si>
    <t>FORNECEDOR</t>
  </si>
  <si>
    <t>LOTUS</t>
  </si>
  <si>
    <t>BDI planilha Lotus</t>
  </si>
  <si>
    <t>Cód. Insumo</t>
  </si>
  <si>
    <t>Qtd Orçada</t>
  </si>
  <si>
    <t>Unt Insumo</t>
  </si>
  <si>
    <t>∑ Insumo</t>
  </si>
  <si>
    <t>Fornecedor</t>
  </si>
  <si>
    <t>Biodigestor 2000 litros acqualimp</t>
  </si>
  <si>
    <t>Luva de raspa</t>
  </si>
  <si>
    <t>Capacete</t>
  </si>
  <si>
    <t xml:space="preserve">Pochete </t>
  </si>
  <si>
    <t>Óculos de proteção</t>
  </si>
  <si>
    <t>Protetor auricular</t>
  </si>
  <si>
    <t>Exame complementar ( mercurio 2 vezes ao mês )</t>
  </si>
  <si>
    <t>Técnico de Segurança auxiliar</t>
  </si>
  <si>
    <t>SIM</t>
  </si>
  <si>
    <t>RESUMO - FD</t>
  </si>
  <si>
    <t>Locação de P.T.A</t>
  </si>
  <si>
    <t>Atenção adotar 18,25%</t>
  </si>
  <si>
    <t>V3</t>
  </si>
  <si>
    <t>BDI CURVA ABC DE MATERIAIS</t>
  </si>
  <si>
    <t>Taxa de risco, Imprevistos  e pós obra.</t>
  </si>
  <si>
    <t>Lucro Mensal Bruno</t>
  </si>
  <si>
    <t>L</t>
  </si>
  <si>
    <t>L-01</t>
  </si>
  <si>
    <t>L-02</t>
  </si>
  <si>
    <t>L-03</t>
  </si>
  <si>
    <t>L-04</t>
  </si>
  <si>
    <r>
      <t>Valor venda</t>
    </r>
    <r>
      <rPr>
        <b/>
        <sz val="10"/>
        <color rgb="FFFF0000"/>
        <rFont val="Arial"/>
        <family val="2"/>
      </rPr>
      <t xml:space="preserve"> </t>
    </r>
    <r>
      <rPr>
        <b/>
        <i/>
        <sz val="10"/>
        <color rgb="FFFF0000"/>
        <rFont val="Arial"/>
        <family val="2"/>
      </rPr>
      <t>com</t>
    </r>
    <r>
      <rPr>
        <b/>
        <sz val="10"/>
        <rFont val="Arial"/>
        <family val="2"/>
      </rPr>
      <t xml:space="preserve"> FD Parcial + ADM curva ABC</t>
    </r>
  </si>
  <si>
    <t>Lucro Bruto Arbitrário</t>
  </si>
  <si>
    <t>PV -1</t>
  </si>
  <si>
    <t>PV - 2</t>
  </si>
  <si>
    <t>PV - 3</t>
  </si>
  <si>
    <r>
      <t xml:space="preserve">Bonificações - CONSIDERANDO O </t>
    </r>
    <r>
      <rPr>
        <b/>
        <i/>
        <sz val="10"/>
        <color rgb="FFFF0000"/>
        <rFont val="Arial"/>
        <family val="2"/>
      </rPr>
      <t>( PV -2 )</t>
    </r>
  </si>
  <si>
    <t>RUMO</t>
  </si>
  <si>
    <t>FC ENGENHARIA E CONSULTORIA LTDA</t>
  </si>
  <si>
    <t>V6</t>
  </si>
  <si>
    <r>
      <rPr>
        <b/>
        <sz val="10"/>
        <rFont val="Arial"/>
        <family val="2"/>
      </rPr>
      <t>Impostos</t>
    </r>
    <r>
      <rPr>
        <sz val="10"/>
        <rFont val="Arial"/>
        <family val="2"/>
      </rPr>
      <t xml:space="preserve"> sobre do </t>
    </r>
    <r>
      <rPr>
        <b/>
        <sz val="10"/>
        <rFont val="Arial"/>
        <family val="2"/>
      </rPr>
      <t>ADM (curva ABC e FD)</t>
    </r>
  </si>
  <si>
    <t>VER. IMPOSTO</t>
  </si>
  <si>
    <r>
      <t>Valor do  com impostos</t>
    </r>
    <r>
      <rPr>
        <b/>
        <sz val="10"/>
        <rFont val="Arial"/>
        <family val="2"/>
      </rPr>
      <t xml:space="preserve"> da curva ABC</t>
    </r>
  </si>
  <si>
    <r>
      <t xml:space="preserve">Valor de BDI do </t>
    </r>
    <r>
      <rPr>
        <b/>
        <sz val="10"/>
        <rFont val="Arial"/>
        <family val="2"/>
      </rPr>
      <t>FD</t>
    </r>
  </si>
  <si>
    <t>Valor curva ABC</t>
  </si>
  <si>
    <r>
      <t xml:space="preserve">Valor do BDI  para curva </t>
    </r>
    <r>
      <rPr>
        <b/>
        <sz val="10"/>
        <rFont val="Arial"/>
        <family val="2"/>
      </rPr>
      <t>ABC</t>
    </r>
  </si>
  <si>
    <t>Máquina de solda 200A</t>
  </si>
  <si>
    <t>20.05.08</t>
  </si>
  <si>
    <t>Cimento CPIII-E-32 (sacos de 50 kg) (volume do saco 0,036 m³)</t>
  </si>
  <si>
    <t>kg</t>
  </si>
  <si>
    <t>20.05.03</t>
  </si>
  <si>
    <t>Areia média lavada à granel</t>
  </si>
  <si>
    <t>22.25.40</t>
  </si>
  <si>
    <t>Bloco cerâmico para vedação 9 x 19 x 29 cm, uso revestido, ± 3,0 MPa</t>
  </si>
  <si>
    <t>VENDA</t>
  </si>
  <si>
    <t>Equip.</t>
  </si>
  <si>
    <t>Mob.</t>
  </si>
  <si>
    <t>Lucro</t>
  </si>
  <si>
    <t>60.05.06</t>
  </si>
  <si>
    <t>Tubo em ferro galvanizado, DN= 2´ #14</t>
  </si>
  <si>
    <t>13.01.08</t>
  </si>
  <si>
    <t>Elevador cremalheira - h=50,00m</t>
  </si>
  <si>
    <t>...</t>
  </si>
  <si>
    <t>80.03.52</t>
  </si>
  <si>
    <t>98.81.76</t>
  </si>
  <si>
    <t>Limpeza e final da obra terceirizado especializado</t>
  </si>
  <si>
    <t>98.81.00</t>
  </si>
  <si>
    <t>Caçamba estacionária 4 m³ credenciada</t>
  </si>
  <si>
    <t>80.01.25</t>
  </si>
  <si>
    <t xml:space="preserve">Betoneira reversível com carregador, capac. 320 litros, acionamento do motor combustão interna (diesel e gasolina) ou motor elétrico Alfa 320 -(DER 72.04.02.04)
</t>
  </si>
  <si>
    <t>34.40.49</t>
  </si>
  <si>
    <t>Chapa de gesso acartonado, ref. Gypsum RF 12.5 mm 1200x2400 mm</t>
  </si>
  <si>
    <t>92.28.66</t>
  </si>
  <si>
    <t>Curva 90° em ferro galvanizado # 13</t>
  </si>
  <si>
    <t>60.05.01</t>
  </si>
  <si>
    <t>Tubo em ferro galvanizado, DN= 1/2´ #14</t>
  </si>
  <si>
    <t>34.40.43</t>
  </si>
  <si>
    <t>Perfil montante formato C aço zincado p/ estrutura parede drywall E=0,5 mm 70 x 30 x 3000 mm (LxC)</t>
  </si>
  <si>
    <t>37.75.02</t>
  </si>
  <si>
    <t>Tinta esmalte acabamento acetinado ou brilhante, (latas 18 litros), ref.  Esmalte (Sherwin Willians), Coralit Esmalte Sintético (Coral), Suvinil Esmalte</t>
  </si>
  <si>
    <t>l</t>
  </si>
  <si>
    <t>98.81.64</t>
  </si>
  <si>
    <t>Placa em alumínio em braile para corrimão início e fim conforme NBR 9050</t>
  </si>
  <si>
    <t>42.22.36</t>
  </si>
  <si>
    <t>Apoio para mastro em aço chapa cortada 100 x 100 mm #14</t>
  </si>
  <si>
    <t>20.05.05</t>
  </si>
  <si>
    <t>Cal líquido (100 ml/ saco de cimento)</t>
  </si>
  <si>
    <t>34.40.35</t>
  </si>
  <si>
    <t>Fita telada para drywall R131 100 mm, 50 m</t>
  </si>
  <si>
    <t>34.40.37</t>
  </si>
  <si>
    <t>Massa para drywall 15 kg</t>
  </si>
  <si>
    <t>34.45.27</t>
  </si>
  <si>
    <t>Piso em porcelanato Firenze Brilhante 64x64 cm - Porto Ferreira</t>
  </si>
  <si>
    <t>34.46.01</t>
  </si>
  <si>
    <t>Revestimento Glacial Snow 32x59 cm branco acetinado RET - Incepa</t>
  </si>
  <si>
    <t>37.70.89</t>
  </si>
  <si>
    <t>Vidro temperado incolor 8 mm</t>
  </si>
  <si>
    <t>20.05.80</t>
  </si>
  <si>
    <t>Gesso em pó ensacado para revestimento saco de 40 kg</t>
  </si>
  <si>
    <t>90.06.32</t>
  </si>
  <si>
    <t>Caixilho em alumínio anodizado fosco L 25, tipo veneziana, sob medida</t>
  </si>
  <si>
    <t>65.55.02</t>
  </si>
  <si>
    <t>Bacia para Caixa Acoplada Deca | Ravena - Branco</t>
  </si>
  <si>
    <t>34.45.97</t>
  </si>
  <si>
    <t>Clipe espaçador nivelador em plástico 1 mm para pisos</t>
  </si>
  <si>
    <t>37.75.20</t>
  </si>
  <si>
    <t>Tinta direto sobre gesso e drywall 18 L - diluição de 50% Clássica máxx branco neve Suvinil</t>
  </si>
  <si>
    <t>99.50.21</t>
  </si>
  <si>
    <t>Cuba Apoio Quadrada Basic Q6 35x35cm Com Mesa Branco Celite</t>
  </si>
  <si>
    <t>30.02.23</t>
  </si>
  <si>
    <t>Folha de porta lisa em madeira sarrafeada para pintura 82x210cm</t>
  </si>
  <si>
    <t>30.01.35</t>
  </si>
  <si>
    <t>Batente madeira itauba/garapeira/cedro/angelim 13x3,5cm, vão 52 a 92x210cm</t>
  </si>
  <si>
    <t>39.90.56</t>
  </si>
  <si>
    <t>Argamassa química bicomponente para porcelanato, alta resistência química, térmicas e vibrações, AC-III</t>
  </si>
  <si>
    <t>37.75.10</t>
  </si>
  <si>
    <t>Massa corrida de base Acrílica - Suvinil/Glasurit, Massa FC (Fusecolor), Massa Especial para fachada (Retinco) ou equivalente</t>
  </si>
  <si>
    <t>34.40.48</t>
  </si>
  <si>
    <t>Chapa de gesso acartonado, ref. Gypsum Standard 12.5 mm 1200x1800 mm</t>
  </si>
  <si>
    <t>35.50.72</t>
  </si>
  <si>
    <t>Mármore Travertino Nacional; espessura de 2,0 cm colocado</t>
  </si>
  <si>
    <t>30.01.37</t>
  </si>
  <si>
    <t>Batente madeira itauba/garapeira/cedro/angelim 11x3,5cm, vão 122x210cm</t>
  </si>
  <si>
    <t>30.02.22</t>
  </si>
  <si>
    <t>Folha de porta lisa em madeira sarrafeada para pintura 72x210cm</t>
  </si>
  <si>
    <t>37.70.26</t>
  </si>
  <si>
    <t>Espelho em vidro cristal liso, espessura de 4 mm, colocado sobre a parede, peças aproximadamente 0,5 a 4,12 m²</t>
  </si>
  <si>
    <t>39.90.24</t>
  </si>
  <si>
    <t>Viaplus 1000</t>
  </si>
  <si>
    <t>99.50.93</t>
  </si>
  <si>
    <t>Porta toalhas bastão toalheiro docol Trip Cromado</t>
  </si>
  <si>
    <t>35.50.07</t>
  </si>
  <si>
    <t>Fechadura cromada Aliança gálaxy WC mod. 4183/40 CR</t>
  </si>
  <si>
    <t>cj</t>
  </si>
  <si>
    <t>64.45.03</t>
  </si>
  <si>
    <t>Sifão metálico cromado 1´ x 1 1/2´, com tubo de ligação ajustável; ref. Fabrimar, Oriente ou equivalente</t>
  </si>
  <si>
    <t>31.16.45</t>
  </si>
  <si>
    <t>Dobradiça em latão cromado de 3 1/2´ x 3´, ref. La Fonte Dob 90 3 1/2´ x 3´ LT S/P CR, Arouca 346, 3500 da União Mundial ou equivalente</t>
  </si>
  <si>
    <t>99.50.95</t>
  </si>
  <si>
    <t>Papeleira Trip, Docol, Cromado</t>
  </si>
  <si>
    <t>32.25.14</t>
  </si>
  <si>
    <t>Granto Preto São Gabriel, acabamento polido, espessura de 2 cm</t>
  </si>
  <si>
    <t>34.40.31</t>
  </si>
  <si>
    <t>Tabica em alumínio pintada branca 48 x 40 x 3000</t>
  </si>
  <si>
    <t>93.33.44</t>
  </si>
  <si>
    <t>Rejunte flexível para porcelanato, aplicada em áreas internas e externas com junta até 3mm, ref. Junta Plus Gold fabricação Eliane ou equivalente</t>
  </si>
  <si>
    <t>31.12.13</t>
  </si>
  <si>
    <t>Porta corta-fogo classe P.90 leve 90x210 completa, com maçaneta tipo alavanca e batentes (NBR 11742)</t>
  </si>
  <si>
    <t>39.90.32</t>
  </si>
  <si>
    <t>Argamassa colante industrializada flexível, ref. Ligamax Gold, para assentamento em áreas internas e externas, tipo AC-II, conforme NBR 14081</t>
  </si>
  <si>
    <t>99.50.92</t>
  </si>
  <si>
    <t>Ralo Linear 10x100cm Grelha Inox</t>
  </si>
  <si>
    <t>37.75.18</t>
  </si>
  <si>
    <t>Selador para tinta acrílica Coral, Suvinil ou equivalente</t>
  </si>
  <si>
    <t>99.50.96</t>
  </si>
  <si>
    <t>Prateleira Acessórios Idea Docol Cromado</t>
  </si>
  <si>
    <t>30.01.50</t>
  </si>
  <si>
    <t>Guarnição cedrinho de 210 x 100 x 1 x 6,5 cm - Fema</t>
  </si>
  <si>
    <t>66.60.28</t>
  </si>
  <si>
    <t xml:space="preserve">Ligação Flexivel Malha Aço cromado 40cm 467.C.040 - Deca </t>
  </si>
  <si>
    <t>34.40.34</t>
  </si>
  <si>
    <t>Perfil enrijecido canaleta para regulador F530 - 46x18 mm 3 m</t>
  </si>
  <si>
    <t>26.67.33</t>
  </si>
  <si>
    <t xml:space="preserve">Parafusos niquelados para sanitários
</t>
  </si>
  <si>
    <t>26.65.13</t>
  </si>
  <si>
    <t xml:space="preserve">Chumbador Fischer Bolt diâmetro = 1/2´ e comprimento = 4´
</t>
  </si>
  <si>
    <t>99.50.94</t>
  </si>
  <si>
    <t>Cabide Trip Banheiro, Cromado 00761706 - Docol</t>
  </si>
  <si>
    <t>99.50.91</t>
  </si>
  <si>
    <t>Acabamento Registro de 1/2, 3/4 e 1 Lift Docol Cromado</t>
  </si>
  <si>
    <t>32.25.00</t>
  </si>
  <si>
    <t>Rodapé em granito; espes. de 3,0 cm, altura de 7,1 a 10 cm, boleado; acabamento: jateado, polido; cor: Andorinha/Mauá/Corumbá/Ubatuba</t>
  </si>
  <si>
    <t>28.80.16</t>
  </si>
  <si>
    <t>Aditivo colante ´Bianco´ (embalagem em balde de 18 kg)</t>
  </si>
  <si>
    <t>49.95.13</t>
  </si>
  <si>
    <t>Mão francesa ferro para bancada 48,5cm x 27,5cm Esp. da Chapa: 3 mm</t>
  </si>
  <si>
    <t>34.45.98</t>
  </si>
  <si>
    <t>Cunha Niveladora de piso Cortag</t>
  </si>
  <si>
    <t>24.40.42</t>
  </si>
  <si>
    <t>Disco diamantado contínuo de corte 4´ - cortag turbo (Código:74527)</t>
  </si>
  <si>
    <t>31.10.06</t>
  </si>
  <si>
    <t>Corrimão tubular em aço galvanizado, diâmetro de 1 1/2´</t>
  </si>
  <si>
    <t>99.50.85</t>
  </si>
  <si>
    <t>Kit completo Bacia PCD com caixa acoplada abertura frontal - Acesso Celite</t>
  </si>
  <si>
    <t>66.60.53</t>
  </si>
  <si>
    <t>Tubo de ligação com canopla para sanitários em PVC cromado - Tigre</t>
  </si>
  <si>
    <t>39.90.86</t>
  </si>
  <si>
    <t xml:space="preserve">Placa de sinalização em PVC </t>
  </si>
  <si>
    <t>69.95.55</t>
  </si>
  <si>
    <t>Anel borracha expansão para ligação em bacia sifonada, 100 mm (4´)</t>
  </si>
  <si>
    <t>64.40.02</t>
  </si>
  <si>
    <t>Válvula de escoamento cromada de 1 1/2', ref. 1606C da Deca ou equivalente</t>
  </si>
  <si>
    <t>65.55.64</t>
  </si>
  <si>
    <t xml:space="preserve">Lavatório de louça para canto sem coluna para pessoa com mobilidade reduzida, ref. Deca, Coleção Master, cód. L 76.17, ou equivalente
</t>
  </si>
  <si>
    <t>33.35.03</t>
  </si>
  <si>
    <t>Cantoneira em alumínio ´Y´ para massa, espessura de 1,5mm, ref. R-78da Pin-Can, M-1 da Canto Metal ou similiar</t>
  </si>
  <si>
    <t>38.80.17</t>
  </si>
  <si>
    <t>Massa corrida PVA, ref. Massa Corrida Suvinil (Glasurit), Coral, Promar (Sherwin Willians), Concretina (Ypiranga/Akzo) ou equivalente</t>
  </si>
  <si>
    <t>32.25.10</t>
  </si>
  <si>
    <t>Granito Verde Ubatuba, acabamento polido, espessura de 2 cm</t>
  </si>
  <si>
    <t>30.02.24</t>
  </si>
  <si>
    <t>Folha de porta lisa em madeira sarrafeada para pintura 92x210cm</t>
  </si>
  <si>
    <t>34.40.33</t>
  </si>
  <si>
    <t>Regulador normal para forro perfil F530</t>
  </si>
  <si>
    <t>30.02.05</t>
  </si>
  <si>
    <t>Folha de madeira sarrafeada, revestida nas 2 faces com laminado liso 62x210cm</t>
  </si>
  <si>
    <t>34.40.32</t>
  </si>
  <si>
    <t>Tirante liso para forro 500 mm</t>
  </si>
  <si>
    <t>98.81.26</t>
  </si>
  <si>
    <t>Chapisco rolado 20kg Quartzolit</t>
  </si>
  <si>
    <t>39.90.31</t>
  </si>
  <si>
    <t>Argamassa colante industrializada para assentamento, uso interno, tipo AC-I, conforme NBR 14081</t>
  </si>
  <si>
    <t>26.67.36</t>
  </si>
  <si>
    <t xml:space="preserve">Prego de aço diversas bitolas </t>
  </si>
  <si>
    <t>35.50.04</t>
  </si>
  <si>
    <t>Fechadura cromada Arouca braço duplo externa mod. IE1006/098</t>
  </si>
  <si>
    <t>26.67.60</t>
  </si>
  <si>
    <t>Prego diversas bitolas (18 x 30 - 203 un/kg )</t>
  </si>
  <si>
    <t>31.10.12</t>
  </si>
  <si>
    <t>Barra de apoio, reta para pessoas com mobilidade reduzida, em tubo de aço inoxidável 1 1/2´, L= 800mm</t>
  </si>
  <si>
    <t>37.75.01</t>
  </si>
  <si>
    <t>Massa plástica</t>
  </si>
  <si>
    <t>20.05.81</t>
  </si>
  <si>
    <t>Aditivo de retardo de pega para gesso ( 20g para cada 40kg )</t>
  </si>
  <si>
    <t>30.02.21</t>
  </si>
  <si>
    <t>Folha de porta lisa em madeira sarrafeada para pintura 62x210cm</t>
  </si>
  <si>
    <t>37.70.90</t>
  </si>
  <si>
    <t>Vidro temperado incolor 10 mm</t>
  </si>
  <si>
    <t>32.24.27</t>
  </si>
  <si>
    <t xml:space="preserve">Caixilho em alumínio de correr com vidro, cor branco, 9cm de espessura, linha comercial, ref. Aluminium da Sasazaki ou equivalente
</t>
  </si>
  <si>
    <t>31.12.19</t>
  </si>
  <si>
    <t>Borracha vedação para encaixe bege ( kit com 5,50 m )</t>
  </si>
  <si>
    <t>37.70.43</t>
  </si>
  <si>
    <t>Massa para vidro comum branca e/ou cinza</t>
  </si>
  <si>
    <t>INSTALAÇÕES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</si>
</sst>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0">
    <numFmt numFmtId="8" formatCode="&quot;R$&quot;\ #,##0.00;[Red]\-&quot;R$&quot;\ #,##0.00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 &quot;* #,##0.00_);_(&quot;R$ &quot;* \(#,##0.00\);_(&quot;R$ &quot;* &quot;-&quot;??_);_(@_)"/>
    <numFmt numFmtId="166" formatCode="0.00E+00_)"/>
    <numFmt numFmtId="167" formatCode="#\,##0.00"/>
    <numFmt numFmtId="168" formatCode="#\,##0."/>
    <numFmt numFmtId="169" formatCode="\$#.00"/>
    <numFmt numFmtId="170" formatCode="\$#."/>
    <numFmt numFmtId="171" formatCode="_([$€]* #,##0.00_);_([$€]* \(#,##0.00\);_([$€]* &quot;-&quot;??_);_(@_)"/>
    <numFmt numFmtId="172" formatCode="#.00"/>
    <numFmt numFmtId="173" formatCode="%#.00"/>
    <numFmt numFmtId="174" formatCode="_(* #,##0.00_);_(* \(#,##0.00\);_(* \-??_);_(@_)"/>
    <numFmt numFmtId="175" formatCode="0.0%"/>
    <numFmt numFmtId="176" formatCode="_(* #,##0.00_);_(* \(#,##0.00\);_(* &quot;-&quot;_);_(@_)"/>
    <numFmt numFmtId="177" formatCode="\ "/>
    <numFmt numFmtId="178" formatCode="&quot;₩&quot;\ #,##0.00;[Red]&quot;₩&quot;\ \-#,##0.00"/>
    <numFmt numFmtId="179" formatCode="#,###"/>
    <numFmt numFmtId="180" formatCode="_ * #,##0.00_ ;_ * \-#,##0.00_ ;_ * &quot;-&quot;??_ ;_ @_ "/>
    <numFmt numFmtId="181" formatCode="#,##0;\-#,##0;"/>
    <numFmt numFmtId="182" formatCode="_ &quot;₩&quot;* #,##0_ ;_ &quot;₩&quot;* \-#,##0_ ;_ &quot;₩&quot;* &quot;-&quot;_ ;_ @_ "/>
    <numFmt numFmtId="183" formatCode="0.000"/>
    <numFmt numFmtId="184" formatCode="0.0_);[Red]\(0.0\)"/>
    <numFmt numFmtId="185" formatCode="0.0"/>
    <numFmt numFmtId="186" formatCode="#,##0.000"/>
    <numFmt numFmtId="187" formatCode="#,##0.0_);[Red]\(#,##0.0\)"/>
    <numFmt numFmtId="188" formatCode="_ * #,##0_ ;_ * \-#,##0_ ;_ * &quot;-&quot;_ ;_ @_ "/>
    <numFmt numFmtId="189" formatCode="_(* #,##0_);_(* \(#,##0\);_(* &quot;-&quot;_);_(@_)"/>
    <numFmt numFmtId="190" formatCode="#,##0;[Red]&quot;-&quot;#,##0"/>
    <numFmt numFmtId="191" formatCode="_ * #,##0.00_ ;_ * \-#,##0.00_ ;_ * &quot;-&quot;_ ;_ @_ "/>
    <numFmt numFmtId="192" formatCode="_-&quot;₩&quot;* #,##0_-;\-&quot;₩&quot;* #,##0_-;_-&quot;₩&quot;* &quot;-&quot;_-;_-@_-"/>
    <numFmt numFmtId="193" formatCode="_ &quot;₩&quot;* #,##0.00_ ;_ &quot;₩&quot;* \-#,##0.00_ ;_ &quot;₩&quot;* &quot;-&quot;??_ ;_ @_ "/>
    <numFmt numFmtId="194" formatCode="_-&quot;₩&quot;* #,##0.00_-;\-&quot;₩&quot;* #,##0.00_-;_-&quot;₩&quot;* &quot;-&quot;??_-;_-@_-"/>
    <numFmt numFmtId="195" formatCode="_(* #,##0_);_(* \(#,##0\);_(* &quot;-&quot;??_);_(@_)"/>
    <numFmt numFmtId="196" formatCode="_-* #\!\,##0_-;&quot;₩&quot;\!\-* #\!\,##0_-;_-* &quot;-&quot;_-;_-@_-"/>
    <numFmt numFmtId="197" formatCode="&quot;₩&quot;&quot;₩&quot;&quot;₩&quot;\$#,##0_);[Red]&quot;₩&quot;&quot;₩&quot;&quot;₩&quot;\(&quot;₩&quot;&quot;₩&quot;&quot;₩&quot;\$#,##0&quot;₩&quot;&quot;₩&quot;&quot;₩&quot;\)"/>
    <numFmt numFmtId="198" formatCode="dd&quot;₩&quot;\-mmm&quot;₩&quot;\-yy"/>
    <numFmt numFmtId="199" formatCode="dd&quot;₩&quot;\-mmm"/>
    <numFmt numFmtId="200" formatCode="_ * #,##0.00_ ;_ * &quot;₩&quot;\-#,##0.00_ ;_ * &quot;-&quot;??_ ;_ @_ "/>
    <numFmt numFmtId="201" formatCode="mm/dd/yyyy&quot;₩&quot;\ h:mm"/>
    <numFmt numFmtId="202" formatCode="0.00000"/>
    <numFmt numFmtId="203" formatCode="_(* #,##0_);_(* &quot;₩&quot;\!\(#,##0&quot;₩&quot;\!\);_(* &quot;-&quot;_);_(@_)"/>
    <numFmt numFmtId="204" formatCode="0.00_ "/>
    <numFmt numFmtId="205" formatCode="&quot;?#,##0;&quot;\&quot;&quot;₩&quot;&quot;₩&quot;&quot;₩&quot;\(&quot;?#,##0&quot;\&quot;&quot;₩&quot;&quot;₩&quot;&quot;₩&quot;\)"/>
    <numFmt numFmtId="206" formatCode="#,##0;\(#,##0\)"/>
    <numFmt numFmtId="207" formatCode="&quot;*&quot;#,##0\ &quot;일 (월)&quot;\ \ \ \ \ "/>
    <numFmt numFmtId="208" formatCode="&quot;$&quot;#,##0.00_);\(&quot;$&quot;#,##0.00\)"/>
    <numFmt numFmtId="209" formatCode="dd\-mmmm\-yy"/>
    <numFmt numFmtId="210" formatCode="0.0%\ "/>
    <numFmt numFmtId="211" formatCode="_(&quot;$&quot;* #,##0_);_(&quot;$&quot;* \(#,##0\);_(&quot;$&quot;* &quot;-&quot;_);_(@_)"/>
    <numFmt numFmtId="212" formatCode="_-* #,##0.00\ _D_M_-;\-* #,##0.00\ _D_M_-;_-* &quot;-&quot;??\ _D_M_-;_-@_-"/>
    <numFmt numFmtId="213" formatCode="&quot;$&quot;#,##0.000_);[Red]&quot;₩&quot;&quot;₩&quot;&quot;₩&quot;&quot;₩&quot;\(&quot;$&quot;#,##0.000&quot;₩&quot;&quot;₩&quot;&quot;₩&quot;&quot;₩&quot;\)"/>
    <numFmt numFmtId="214" formatCode="\$#,##0;\(\$#,##0\)"/>
    <numFmt numFmtId="215" formatCode="_-[$€-2]* #,##0.00_-;\-[$€-2]* #,##0.00_-;_-[$€-2]* &quot;-&quot;??_-"/>
    <numFmt numFmtId="216" formatCode="#\!."/>
    <numFmt numFmtId="217" formatCode="_-&quot;$&quot;* #,##0_-;\-&quot;$&quot;* #,##0_-;_-&quot;$&quot;* &quot;-&quot;_-;_-@_-"/>
    <numFmt numFmtId="218" formatCode="_-&quot;$&quot;* #,##0.00_-;\-&quot;$&quot;* #,##0.00_-;_-&quot;$&quot;* &quot;-&quot;??_-;_-@_-"/>
    <numFmt numFmtId="219" formatCode="#,##0\ "/>
    <numFmt numFmtId="220" formatCode="_-&quot;L.&quot;\ * #,##0_-;\-&quot;L.&quot;\ * #,##0_-;_-&quot;L.&quot;\ * &quot;-&quot;_-;_-@_-"/>
    <numFmt numFmtId="221" formatCode="0.00E+00;&quot;ĝ&quot;"/>
    <numFmt numFmtId="222" formatCode="&quot;$&quot;#,##0.00_);[Red]\(&quot;$&quot;#,##0.00\)"/>
    <numFmt numFmtId="223" formatCode="_(&quot;$&quot;* #,##0.00_);_(&quot;$&quot;* \(#,##0.00\);_(&quot;$&quot;* &quot;-&quot;??_);_(@_)"/>
    <numFmt numFmtId="224" formatCode="&quot;V = &quot;#,##0\ &quot;ton&quot;"/>
    <numFmt numFmtId="225" formatCode="#,##0_ "/>
    <numFmt numFmtId="226" formatCode="&quot;₩&quot;#,##0.00;[Red]&quot;₩&quot;\-#,##0.00"/>
    <numFmt numFmtId="227" formatCode="[Red]#,##0"/>
    <numFmt numFmtId="228" formatCode="&quot;(인) x &quot;#,##0&quot; (CMH/인) =&quot;"/>
    <numFmt numFmtId="229" formatCode="_(* #,##0.000_);_(* \(#,##0.000\);_(* &quot;-&quot;_);_(@_)"/>
    <numFmt numFmtId="230" formatCode="_-* #,##0.0_-;\-* #,##0.0_-;_-* &quot;-&quot;_-;_-@_-"/>
    <numFmt numFmtId="231" formatCode="_ &quot;₩&quot;\ * #,##0.00_ ;_ &quot;₩&quot;\ * \-#,##0.00_ ;_ &quot;₩&quot;\ * &quot;-&quot;??_ ;_ @_ "/>
    <numFmt numFmtId="232" formatCode="#,##0\ &quot;ton&quot;"/>
    <numFmt numFmtId="233" formatCode="0_ "/>
    <numFmt numFmtId="234" formatCode="_(&quot;$&quot;* #,##0_);_(&quot;$&quot;* &quot;₩&quot;&quot;₩&quot;\!\!\(#,##0&quot;₩&quot;&quot;₩&quot;\!\!\);_(&quot;$&quot;* &quot;-&quot;_);_(@_)"/>
    <numFmt numFmtId="235" formatCode="mm&quot;월&quot;\ dd&quot;일&quot;"/>
    <numFmt numFmtId="236" formatCode="_([$€]* #,##0.00_);_([$€]* \(#,##0.00\);_([$€]* \-??_);_(@_)"/>
    <numFmt numFmtId="237" formatCode="0.0000"/>
    <numFmt numFmtId="238" formatCode="&quot;R$&quot;\ #,##0.00"/>
    <numFmt numFmtId="239" formatCode="0.000%"/>
    <numFmt numFmtId="240" formatCode="#,##0.00_ "/>
    <numFmt numFmtId="241" formatCode="0.0000%"/>
    <numFmt numFmtId="242" formatCode="dd/mm/yy;@"/>
    <numFmt numFmtId="243" formatCode="#,##0.0000"/>
    <numFmt numFmtId="244" formatCode="_-[$R$-416]\ * #,##0.00_-;\-[$R$-416]\ * #,##0.00_-;_-[$R$-416]\ * &quot;-&quot;??_-;_-@_-"/>
    <numFmt numFmtId="245" formatCode="0.000000%"/>
    <numFmt numFmtId="246" formatCode="0.00000%"/>
    <numFmt numFmtId="247" formatCode="\ &quot;R$&quot;\ #,###.00"/>
    <numFmt numFmtId="248" formatCode="#,###.00\ &quot;m²&quot;"/>
    <numFmt numFmtId="249" formatCode="#,###\ &quot;m²&quot;"/>
    <numFmt numFmtId="250" formatCode="#,##0.00\ &quot;/mês&quot;"/>
    <numFmt numFmtId="251" formatCode="#,##0.00\ &quot;m²&quot;"/>
    <numFmt numFmtId="252" formatCode="#,##0.00\ &quot;/m²&quot;"/>
    <numFmt numFmtId="253" formatCode="0.0_ "/>
    <numFmt numFmtId="254" formatCode="&quot;R$&quot;\ 000.00\ &quot;/m²&quot;"/>
    <numFmt numFmtId="255" formatCode="0.00\ &quot;h&quot;"/>
    <numFmt numFmtId="256" formatCode="0.0000000%"/>
    <numFmt numFmtId="257" formatCode="0.0000000000%"/>
    <numFmt numFmtId="258" formatCode="_-&quot;R$&quot;\ * #,##0.000_-;\-&quot;R$&quot;\ * #,##0.000_-;_-&quot;R$&quot;\ * &quot;-&quot;???_-;_-@_-"/>
    <numFmt numFmtId="259" formatCode="#,##0.00_ ;[Red]\-#,##0.00\ "/>
  </numFmts>
  <fonts count="33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Verdana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17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0"/>
      <name val="Century Gothic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8"/>
      <name val="Times New Roman"/>
      <family val="1"/>
    </font>
    <font>
      <sz val="10"/>
      <name val="Times New Roman"/>
      <family val="1"/>
    </font>
    <font>
      <sz val="10"/>
      <name val="Times New Roman"/>
      <family val="1"/>
    </font>
    <font>
      <sz val="10"/>
      <name val="MS Sans Serif"/>
      <family val="2"/>
    </font>
    <font>
      <sz val="10"/>
      <name val="Century Gothic"/>
      <family val="2"/>
    </font>
    <font>
      <sz val="12"/>
      <name val="Helv"/>
    </font>
    <font>
      <b/>
      <sz val="10"/>
      <color indexed="8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sz val="1"/>
      <color indexed="8"/>
      <name val="Courier"/>
      <family val="3"/>
    </font>
    <font>
      <sz val="9"/>
      <color indexed="10"/>
      <name val="Geneva"/>
      <family val="2"/>
    </font>
    <font>
      <b/>
      <sz val="1"/>
      <color indexed="8"/>
      <name val="Courier"/>
      <family val="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0"/>
      <name val="Century Gothic"/>
      <family val="2"/>
    </font>
    <font>
      <sz val="9"/>
      <color indexed="10"/>
      <name val="Geneva"/>
    </font>
    <font>
      <u/>
      <sz val="10"/>
      <color indexed="12"/>
      <name val="Arial"/>
      <family val="2"/>
    </font>
    <font>
      <sz val="10"/>
      <name val="Times New Roman"/>
      <family val="1"/>
      <charset val="204"/>
    </font>
    <font>
      <sz val="11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돋움"/>
      <family val="3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sz val="12"/>
      <name val="System"/>
      <family val="2"/>
      <charset val="129"/>
    </font>
    <font>
      <sz val="10"/>
      <name val="굴림체"/>
      <family val="3"/>
      <charset val="129"/>
    </font>
    <font>
      <sz val="12"/>
      <name val="돋움체"/>
      <family val="3"/>
      <charset val="129"/>
    </font>
    <font>
      <sz val="12"/>
      <name val="Times New Roman"/>
      <family val="1"/>
    </font>
    <font>
      <sz val="11"/>
      <name val="Times New Roman"/>
      <family val="1"/>
    </font>
    <font>
      <sz val="12"/>
      <name val="???"/>
      <family val="1"/>
      <charset val="129"/>
    </font>
    <font>
      <sz val="11"/>
      <name val="??"/>
      <family val="3"/>
      <charset val="129"/>
    </font>
    <font>
      <sz val="12"/>
      <name val="|??´¸ⓒ"/>
      <family val="1"/>
      <charset val="129"/>
    </font>
    <font>
      <sz val="10"/>
      <name val="Helv"/>
      <family val="2"/>
    </font>
    <font>
      <sz val="9"/>
      <color indexed="8"/>
      <name val="굴림"/>
      <family val="3"/>
      <charset val="129"/>
    </font>
    <font>
      <sz val="10"/>
      <color indexed="8"/>
      <name val="Helv"/>
      <family val="2"/>
    </font>
    <font>
      <sz val="10"/>
      <name val="돋움체"/>
      <family val="3"/>
      <charset val="129"/>
    </font>
    <font>
      <b/>
      <sz val="10"/>
      <name val="Helv"/>
      <family val="2"/>
    </font>
    <font>
      <sz val="10"/>
      <name val="Geneva"/>
      <family val="2"/>
    </font>
    <font>
      <sz val="11"/>
      <name val="¢??"/>
      <family val="3"/>
      <charset val="129"/>
    </font>
    <font>
      <sz val="11"/>
      <name val="¾©"/>
      <family val="3"/>
      <charset val="129"/>
    </font>
    <font>
      <sz val="11"/>
      <name val="µ¸¿ò"/>
      <family val="3"/>
      <charset val="129"/>
    </font>
    <font>
      <sz val="10"/>
      <color indexed="8"/>
      <name val="Times New Roman"/>
      <family val="1"/>
    </font>
    <font>
      <sz val="11"/>
      <name val="굴림체"/>
      <family val="3"/>
      <charset val="129"/>
    </font>
    <font>
      <sz val="12"/>
      <name val="견명조"/>
      <family val="1"/>
      <charset val="129"/>
    </font>
    <font>
      <b/>
      <sz val="10"/>
      <color indexed="8"/>
      <name val="Times New Roman"/>
      <family val="1"/>
    </font>
    <font>
      <sz val="11"/>
      <color indexed="8"/>
      <name val="ＭＳ Ｐゴシック"/>
      <family val="2"/>
      <charset val="129"/>
    </font>
    <font>
      <sz val="11"/>
      <color indexed="8"/>
      <name val="맑은 고딕"/>
      <family val="3"/>
      <charset val="129"/>
    </font>
    <font>
      <sz val="12"/>
      <color indexed="8"/>
      <name val="Times New Roman"/>
      <family val="1"/>
    </font>
    <font>
      <b/>
      <sz val="12"/>
      <name val="굴림체"/>
      <family val="3"/>
      <charset val="129"/>
    </font>
    <font>
      <b/>
      <sz val="12"/>
      <color indexed="8"/>
      <name val="Times New Roman"/>
      <family val="1"/>
    </font>
    <font>
      <sz val="11"/>
      <color indexed="9"/>
      <name val="ＭＳ Ｐゴシック"/>
      <family val="2"/>
      <charset val="129"/>
    </font>
    <font>
      <sz val="11"/>
      <color indexed="9"/>
      <name val="맑은 고딕"/>
      <family val="3"/>
      <charset val="129"/>
    </font>
    <font>
      <b/>
      <u/>
      <sz val="9.5"/>
      <name val="MS Sans Serif"/>
      <family val="2"/>
    </font>
    <font>
      <sz val="11"/>
      <name val="¥ì¢¬¢¯o"/>
      <family val="3"/>
      <charset val="129"/>
    </font>
    <font>
      <sz val="12"/>
      <name val="ⓒoUAAA¨u"/>
      <family val="1"/>
      <charset val="129"/>
    </font>
    <font>
      <b/>
      <sz val="10"/>
      <color indexed="10"/>
      <name val="Times New Roman"/>
      <family val="1"/>
    </font>
    <font>
      <sz val="9"/>
      <color indexed="8"/>
      <name val="Arial"/>
      <family val="2"/>
    </font>
    <font>
      <b/>
      <sz val="10"/>
      <color indexed="10"/>
      <name val="SwitzerlandNarrow"/>
      <family val="2"/>
    </font>
    <font>
      <sz val="12"/>
      <name val="¹UAAA¼"/>
      <family val="1"/>
      <charset val="129"/>
    </font>
    <font>
      <sz val="12"/>
      <name val="¹ÙÅÁÃ¼"/>
      <family val="3"/>
      <charset val="129"/>
    </font>
    <font>
      <sz val="12"/>
      <name val="¹ÙÅÁÃ¼"/>
      <family val="1"/>
      <charset val="129"/>
    </font>
    <font>
      <sz val="12"/>
      <name val="¹UAAA¼"/>
      <family val="3"/>
      <charset val="129"/>
    </font>
    <font>
      <b/>
      <sz val="12"/>
      <name val="¹UAAA¼"/>
      <family val="1"/>
      <charset val="129"/>
    </font>
    <font>
      <sz val="10"/>
      <name val="±¼¸²A¼"/>
      <family val="3"/>
      <charset val="129"/>
    </font>
    <font>
      <sz val="8"/>
      <name val="Times New Roman"/>
      <family val="1"/>
    </font>
    <font>
      <sz val="10"/>
      <color indexed="8"/>
      <name val="Geneva"/>
      <family val="2"/>
    </font>
    <font>
      <sz val="10"/>
      <name val="μ¸¿oA¼"/>
      <family val="3"/>
      <charset val="129"/>
    </font>
    <font>
      <sz val="11"/>
      <name val="μ¸¿o"/>
      <family val="3"/>
      <charset val="129"/>
    </font>
    <font>
      <sz val="9"/>
      <name val="¹ÙÅÁÃ¼"/>
      <family val="1"/>
      <charset val="129"/>
    </font>
    <font>
      <u/>
      <sz val="10"/>
      <color indexed="36"/>
      <name val="Arial"/>
      <family val="2"/>
    </font>
    <font>
      <b/>
      <sz val="12"/>
      <name val="Arial MT"/>
      <family val="2"/>
    </font>
    <font>
      <sz val="10"/>
      <color indexed="12"/>
      <name val="Univers (WN)"/>
      <family val="2"/>
    </font>
    <font>
      <sz val="12"/>
      <name val="©öUAAA¨ù"/>
      <family val="1"/>
      <charset val="129"/>
    </font>
    <font>
      <sz val="12"/>
      <name val="μ¸¿oA¼"/>
      <family val="3"/>
      <charset val="129"/>
    </font>
    <font>
      <sz val="10"/>
      <name val="±¼¸²Ã¼"/>
      <family val="3"/>
      <charset val="129"/>
    </font>
    <font>
      <sz val="9"/>
      <name val="Times New Roman"/>
      <family val="1"/>
    </font>
    <font>
      <sz val="6"/>
      <name val="MS Serif"/>
      <family val="1"/>
    </font>
    <font>
      <sz val="10"/>
      <color indexed="8"/>
      <name val="Impact"/>
      <family val="2"/>
    </font>
    <font>
      <sz val="12"/>
      <name val="Arial MT"/>
      <family val="2"/>
    </font>
    <font>
      <b/>
      <sz val="11"/>
      <name val="굴림체"/>
      <family val="3"/>
      <charset val="129"/>
    </font>
    <font>
      <sz val="10"/>
      <name val="MS Serif"/>
      <family val="1"/>
    </font>
    <font>
      <sz val="12"/>
      <name val="Helv"/>
      <family val="2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1"/>
      <color indexed="36"/>
      <name val="돋움"/>
      <family val="3"/>
      <charset val="129"/>
    </font>
    <font>
      <b/>
      <sz val="11"/>
      <name val="Arial"/>
      <family val="2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12"/>
      <name val="Helv"/>
      <family val="2"/>
    </font>
    <font>
      <sz val="10"/>
      <name val="Univers (WN)"/>
      <family val="2"/>
    </font>
    <font>
      <b/>
      <i/>
      <sz val="12"/>
      <color indexed="10"/>
      <name val="Courier New"/>
      <family val="3"/>
    </font>
    <font>
      <b/>
      <sz val="14"/>
      <name val="Helv"/>
      <family val="2"/>
    </font>
    <font>
      <sz val="8"/>
      <name val="Letter Gothic"/>
      <family val="3"/>
    </font>
    <font>
      <b/>
      <sz val="14"/>
      <color indexed="8"/>
      <name val="Arial"/>
      <family val="2"/>
    </font>
    <font>
      <b/>
      <sz val="11"/>
      <name val="Helv"/>
      <family val="2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Arabic Transparent"/>
      <family val="2"/>
      <charset val="178"/>
    </font>
    <font>
      <strike/>
      <sz val="12"/>
      <name val="Arial"/>
      <family val="2"/>
    </font>
    <font>
      <sz val="7"/>
      <name val="Small Fonts"/>
      <family val="2"/>
    </font>
    <font>
      <sz val="9"/>
      <name val="Helv"/>
      <family val="2"/>
    </font>
    <font>
      <sz val="1"/>
      <color indexed="18"/>
      <name val="Courier"/>
      <family val="3"/>
    </font>
    <font>
      <b/>
      <sz val="12"/>
      <color indexed="8"/>
      <name val="ConGEsansBol67"/>
      <family val="1"/>
    </font>
    <font>
      <sz val="8"/>
      <name val="Helv"/>
      <family val="2"/>
    </font>
    <font>
      <b/>
      <sz val="12"/>
      <name val="바탕체"/>
      <family val="1"/>
      <charset val="129"/>
    </font>
    <font>
      <sz val="7"/>
      <name val="MS Serif"/>
      <family val="1"/>
    </font>
    <font>
      <b/>
      <sz val="8"/>
      <color indexed="8"/>
      <name val="Helv"/>
      <family val="2"/>
    </font>
    <font>
      <sz val="18"/>
      <color indexed="12"/>
      <name val="MS Sans Serif"/>
      <family val="2"/>
    </font>
    <font>
      <sz val="24"/>
      <color indexed="13"/>
      <name val="Helv"/>
      <family val="2"/>
    </font>
    <font>
      <b/>
      <sz val="18"/>
      <color indexed="56"/>
      <name val="Cambria"/>
      <family val="1"/>
    </font>
    <font>
      <sz val="8"/>
      <name val="바탕체"/>
      <family val="1"/>
      <charset val="129"/>
    </font>
    <font>
      <b/>
      <sz val="18"/>
      <color indexed="56"/>
      <name val="ＭＳ Ｐゴシック"/>
      <family val="2"/>
      <charset val="129"/>
    </font>
    <font>
      <b/>
      <sz val="11"/>
      <color indexed="9"/>
      <name val="ＭＳ Ｐゴシック"/>
      <family val="2"/>
      <charset val="129"/>
    </font>
    <font>
      <sz val="11"/>
      <color indexed="60"/>
      <name val="ＭＳ Ｐゴシック"/>
      <family val="2"/>
      <charset val="129"/>
    </font>
    <font>
      <sz val="11"/>
      <name val="明朝"/>
      <family val="1"/>
      <charset val="129"/>
    </font>
    <font>
      <u/>
      <sz val="7"/>
      <color indexed="12"/>
      <name val="ＭＳ ゴシック"/>
      <family val="3"/>
      <charset val="128"/>
    </font>
    <font>
      <sz val="11"/>
      <color indexed="52"/>
      <name val="ＭＳ Ｐゴシック"/>
      <family val="2"/>
      <charset val="129"/>
    </font>
    <font>
      <sz val="14"/>
      <name val="Cordia New"/>
      <family val="2"/>
      <charset val="222"/>
    </font>
    <font>
      <i/>
      <outline/>
      <shadow/>
      <u/>
      <sz val="1"/>
      <color indexed="24"/>
      <name val="Courier"/>
      <family val="3"/>
    </font>
    <font>
      <sz val="11"/>
      <color indexed="10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9"/>
      <name val="굴림체"/>
      <family val="3"/>
      <charset val="129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8"/>
      <name val="바탕"/>
      <family val="1"/>
      <charset val="129"/>
    </font>
    <font>
      <u/>
      <sz val="7.5"/>
      <color indexed="36"/>
      <name val="Arial"/>
      <family val="2"/>
    </font>
    <font>
      <u/>
      <sz val="11"/>
      <color indexed="20"/>
      <name val="돋움"/>
      <family val="3"/>
      <charset val="129"/>
    </font>
    <font>
      <sz val="11"/>
      <name val="뼻뮝"/>
      <family val="3"/>
      <charset val="129"/>
    </font>
    <font>
      <sz val="10"/>
      <name val="굃굍 뼻뮝"/>
      <family val="1"/>
      <charset val="129"/>
    </font>
    <font>
      <sz val="9"/>
      <name val="굴림"/>
      <family val="3"/>
      <charset val="129"/>
    </font>
    <font>
      <sz val="10"/>
      <name val="굴림"/>
      <family val="3"/>
      <charset val="129"/>
    </font>
    <font>
      <sz val="9"/>
      <name val="바탕체"/>
      <family val="1"/>
      <charset val="129"/>
    </font>
    <font>
      <sz val="11"/>
      <color indexed="60"/>
      <name val="맑은 고딕"/>
      <family val="3"/>
      <charset val="129"/>
    </font>
    <font>
      <sz val="11"/>
      <color indexed="19"/>
      <name val="맑은 고딕"/>
      <family val="3"/>
      <charset val="129"/>
    </font>
    <font>
      <b/>
      <sz val="11"/>
      <name val="돋움체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vertAlign val="superscript"/>
      <sz val="8"/>
      <name val="바탕체"/>
      <family val="1"/>
    </font>
    <font>
      <sz val="12"/>
      <name val="견고딕"/>
      <family val="1"/>
      <charset val="129"/>
    </font>
    <font>
      <sz val="12"/>
      <name val="굴림"/>
      <family val="3"/>
      <charset val="129"/>
    </font>
    <font>
      <sz val="11"/>
      <color indexed="6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5"/>
      <color indexed="56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돋움"/>
      <family val="3"/>
      <charset val="129"/>
    </font>
    <font>
      <sz val="16"/>
      <name val="굴림체"/>
      <family val="3"/>
      <charset val="129"/>
    </font>
    <font>
      <sz val="11"/>
      <color theme="1"/>
      <name val="돋움"/>
      <family val="3"/>
      <charset val="129"/>
    </font>
    <font>
      <sz val="11"/>
      <name val="한양그래픽"/>
      <family val="3"/>
      <charset val="129"/>
    </font>
    <font>
      <sz val="11"/>
      <color theme="1"/>
      <name val="Calibri"/>
      <family val="3"/>
      <charset val="129"/>
      <scheme val="minor"/>
    </font>
    <font>
      <sz val="12"/>
      <color indexed="8"/>
      <name val="바탕체"/>
      <family val="1"/>
      <charset val="129"/>
    </font>
    <font>
      <sz val="12"/>
      <name val="┭병릇"/>
      <family val="1"/>
      <charset val="129"/>
    </font>
    <font>
      <u/>
      <sz val="8.25"/>
      <color indexed="12"/>
      <name val="Arial"/>
      <family val="2"/>
    </font>
    <font>
      <sz val="12"/>
      <name val="新細明體"/>
      <family val="1"/>
      <charset val="136"/>
    </font>
    <font>
      <sz val="12"/>
      <name val="細明朝体"/>
      <family val="3"/>
      <charset val="129"/>
    </font>
    <font>
      <sz val="11"/>
      <color indexed="62"/>
      <name val="ＭＳ Ｐゴシック"/>
      <family val="2"/>
      <charset val="129"/>
    </font>
    <font>
      <b/>
      <sz val="11"/>
      <color indexed="63"/>
      <name val="ＭＳ Ｐゴシック"/>
      <family val="2"/>
      <charset val="129"/>
    </font>
    <font>
      <sz val="12"/>
      <name val="宋体"/>
      <family val="3"/>
      <charset val="129"/>
    </font>
    <font>
      <sz val="10"/>
      <name val="PragmaticaCTT"/>
      <family val="1"/>
    </font>
    <font>
      <sz val="11"/>
      <color indexed="20"/>
      <name val="ＭＳ Ｐゴシック"/>
      <family val="2"/>
      <charset val="129"/>
    </font>
    <font>
      <sz val="9"/>
      <name val="ＭＳ Ｐゴシック"/>
      <family val="3"/>
      <charset val="129"/>
    </font>
    <font>
      <sz val="14"/>
      <name val="ＭＳ 明朝"/>
      <family val="3"/>
      <charset val="129"/>
    </font>
    <font>
      <sz val="14"/>
      <name val="System"/>
      <family val="2"/>
      <charset val="129"/>
    </font>
    <font>
      <sz val="9.5"/>
      <name val="明朝"/>
      <family val="1"/>
      <charset val="129"/>
    </font>
    <font>
      <sz val="14"/>
      <name val="Terminal"/>
      <family val="3"/>
      <charset val="255"/>
    </font>
    <font>
      <sz val="11"/>
      <color indexed="17"/>
      <name val="ＭＳ Ｐゴシック"/>
      <family val="2"/>
      <charset val="129"/>
    </font>
    <font>
      <u/>
      <sz val="7"/>
      <color indexed="36"/>
      <name val="ＭＳ ゴシック"/>
      <family val="3"/>
      <charset val="128"/>
    </font>
    <font>
      <b/>
      <sz val="15"/>
      <color indexed="56"/>
      <name val="ＭＳ Ｐゴシック"/>
      <family val="2"/>
      <charset val="129"/>
    </font>
    <font>
      <b/>
      <sz val="13"/>
      <color indexed="56"/>
      <name val="ＭＳ Ｐゴシック"/>
      <family val="2"/>
      <charset val="129"/>
    </font>
    <font>
      <b/>
      <sz val="11"/>
      <color indexed="56"/>
      <name val="ＭＳ Ｐゴシック"/>
      <family val="2"/>
      <charset val="129"/>
    </font>
    <font>
      <b/>
      <sz val="11"/>
      <color indexed="52"/>
      <name val="ＭＳ Ｐゴシック"/>
      <family val="2"/>
      <charset val="129"/>
    </font>
    <font>
      <i/>
      <sz val="11"/>
      <color indexed="23"/>
      <name val="ＭＳ Ｐゴシック"/>
      <family val="2"/>
      <charset val="129"/>
    </font>
    <font>
      <sz val="11"/>
      <color indexed="10"/>
      <name val="ＭＳ Ｐゴシック"/>
      <family val="2"/>
      <charset val="129"/>
    </font>
    <font>
      <sz val="10"/>
      <name val="ＭＳ 明朝"/>
      <family val="3"/>
      <charset val="129"/>
    </font>
    <font>
      <b/>
      <sz val="11"/>
      <color indexed="8"/>
      <name val="ＭＳ Ｐゴシック"/>
      <family val="2"/>
      <charset val="129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sz val="11"/>
      <color theme="1"/>
      <name val="Calibri"/>
      <family val="2"/>
      <charset val="134"/>
      <scheme val="minor"/>
    </font>
    <font>
      <sz val="16"/>
      <color indexed="8"/>
      <name val="Arial"/>
      <family val="2"/>
    </font>
    <font>
      <b/>
      <sz val="16"/>
      <name val="Arial"/>
      <family val="2"/>
    </font>
    <font>
      <sz val="12"/>
      <color indexed="8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8"/>
      <color theme="1"/>
      <name val="Arial"/>
      <family val="2"/>
    </font>
    <font>
      <sz val="8"/>
      <color theme="1"/>
      <name val="Italic"/>
    </font>
    <font>
      <b/>
      <sz val="8"/>
      <color rgb="FF000000"/>
      <name val="Italic"/>
    </font>
    <font>
      <b/>
      <sz val="8"/>
      <color rgb="FF000000"/>
      <name val="Calibri"/>
      <family val="2"/>
      <scheme val="minor"/>
    </font>
    <font>
      <vertAlign val="subscript"/>
      <sz val="10"/>
      <color theme="1"/>
      <name val="Arial"/>
      <family val="2"/>
    </font>
    <font>
      <b/>
      <sz val="10"/>
      <color theme="1"/>
      <name val="Arial"/>
      <family val="2"/>
    </font>
    <font>
      <sz val="16"/>
      <color theme="0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  <font>
      <sz val="9"/>
      <color theme="1"/>
      <name val="Arial"/>
      <family val="2"/>
    </font>
    <font>
      <sz val="11"/>
      <color rgb="FF000000"/>
      <name val="Arial"/>
      <family val="2"/>
    </font>
    <font>
      <sz val="10"/>
      <color theme="1" tint="0.499984740745262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  <font>
      <sz val="10"/>
      <color rgb="FF0066FF"/>
      <name val="Arial"/>
      <family val="2"/>
    </font>
    <font>
      <u/>
      <sz val="10"/>
      <color theme="10"/>
      <name val="Arial"/>
      <family val="2"/>
    </font>
    <font>
      <sz val="12"/>
      <color theme="1"/>
      <name val="Calibri"/>
      <family val="2"/>
    </font>
    <font>
      <sz val="9"/>
      <color rgb="FF000000"/>
      <name val="Arial"/>
      <family val="2"/>
    </font>
    <font>
      <b/>
      <sz val="9"/>
      <color theme="1"/>
      <name val="Arial"/>
      <family val="2"/>
    </font>
    <font>
      <b/>
      <i/>
      <sz val="10"/>
      <name val="Arial"/>
      <family val="2"/>
    </font>
    <font>
      <sz val="10"/>
      <color theme="1" tint="0.499984740745262"/>
      <name val="Calibri"/>
      <family val="2"/>
      <scheme val="minor"/>
    </font>
    <font>
      <b/>
      <i/>
      <sz val="10"/>
      <color indexed="8"/>
      <name val="Arial"/>
      <family val="2"/>
    </font>
    <font>
      <sz val="11"/>
      <color rgb="FF000000"/>
      <name val="Calibri"/>
      <family val="2"/>
      <charset val="204"/>
    </font>
    <font>
      <sz val="10"/>
      <color rgb="FF000000"/>
      <name val="Times New Roman"/>
      <family val="1"/>
    </font>
    <font>
      <b/>
      <sz val="10"/>
      <color rgb="FF0000FF"/>
      <name val="Arial"/>
      <family val="2"/>
    </font>
    <font>
      <sz val="12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9"/>
      <name val="Arial"/>
      <family val="2"/>
    </font>
    <font>
      <b/>
      <sz val="10"/>
      <color rgb="FF0066FF"/>
      <name val="Arial"/>
      <family val="2"/>
    </font>
    <font>
      <b/>
      <sz val="10"/>
      <color rgb="FF0066FF"/>
      <name val="Open Sans"/>
      <family val="2"/>
    </font>
    <font>
      <b/>
      <i/>
      <sz val="10"/>
      <color theme="1"/>
      <name val="Calibri"/>
      <family val="2"/>
      <scheme val="minor"/>
    </font>
    <font>
      <b/>
      <sz val="10"/>
      <color theme="1" tint="0.499984740745262"/>
      <name val="Arial"/>
      <family val="2"/>
    </font>
    <font>
      <sz val="16"/>
      <name val="Arial"/>
      <family val="2"/>
    </font>
    <font>
      <sz val="8"/>
      <color rgb="FF000000"/>
      <name val="Arial"/>
      <family val="2"/>
    </font>
    <font>
      <b/>
      <vertAlign val="subscript"/>
      <sz val="8"/>
      <color theme="1"/>
      <name val="Arial"/>
      <family val="2"/>
    </font>
    <font>
      <sz val="7"/>
      <name val="Times New Roman"/>
      <family val="1"/>
    </font>
    <font>
      <b/>
      <sz val="7"/>
      <name val="Times New Roman"/>
      <family val="1"/>
    </font>
    <font>
      <b/>
      <sz val="8"/>
      <name val="Arial"/>
      <family val="2"/>
    </font>
    <font>
      <sz val="12"/>
      <color rgb="FFFF0000"/>
      <name val="Arial"/>
      <family val="2"/>
    </font>
    <font>
      <b/>
      <sz val="10"/>
      <color theme="4"/>
      <name val="Arial"/>
      <family val="2"/>
    </font>
    <font>
      <sz val="10"/>
      <color theme="1"/>
      <name val="ItalicC"/>
    </font>
    <font>
      <b/>
      <sz val="12"/>
      <color rgb="FF212529"/>
      <name val="Arial"/>
      <family val="2"/>
    </font>
    <font>
      <sz val="12"/>
      <color rgb="FF212529"/>
      <name val="Arial"/>
      <family val="2"/>
    </font>
    <font>
      <b/>
      <sz val="8"/>
      <color theme="1"/>
      <name val="Italic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B050"/>
      <name val="Arial"/>
      <family val="2"/>
    </font>
    <font>
      <b/>
      <sz val="11"/>
      <color theme="1"/>
      <name val="Arial"/>
      <family val="2"/>
    </font>
    <font>
      <b/>
      <sz val="10"/>
      <color rgb="FF00B050"/>
      <name val="Arial"/>
      <family val="2"/>
    </font>
    <font>
      <b/>
      <i/>
      <sz val="10"/>
      <color rgb="FFFF0000"/>
      <name val="Arial"/>
      <family val="2"/>
    </font>
    <font>
      <sz val="7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i/>
      <sz val="10"/>
      <color theme="1"/>
      <name val="Arial"/>
      <family val="2"/>
    </font>
  </fonts>
  <fills count="54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rgb="FFFFFFCC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darkGrid"/>
    </fill>
    <fill>
      <patternFill patternType="solid">
        <fgColor indexed="1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F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D5E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/>
      <right/>
      <top style="thin">
        <color auto="1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1808">
    <xf numFmtId="0" fontId="0" fillId="0" borderId="0"/>
    <xf numFmtId="0" fontId="45" fillId="0" borderId="0"/>
    <xf numFmtId="0" fontId="50" fillId="2" borderId="0" applyNumberFormat="0" applyBorder="0" applyAlignment="0" applyProtection="0"/>
    <xf numFmtId="0" fontId="49" fillId="0" borderId="0"/>
    <xf numFmtId="0" fontId="51" fillId="4" borderId="2" applyNumberFormat="0" applyAlignment="0" applyProtection="0"/>
    <xf numFmtId="0" fontId="52" fillId="0" borderId="3" applyNumberFormat="0" applyFill="0" applyAlignment="0" applyProtection="0"/>
    <xf numFmtId="0" fontId="53" fillId="3" borderId="1" applyNumberFormat="0" applyAlignment="0" applyProtection="0"/>
    <xf numFmtId="0" fontId="54" fillId="5" borderId="0" applyNumberFormat="0" applyBorder="0" applyAlignment="0" applyProtection="0"/>
    <xf numFmtId="0" fontId="45" fillId="0" borderId="0"/>
    <xf numFmtId="0" fontId="45" fillId="0" borderId="0"/>
    <xf numFmtId="0" fontId="58" fillId="0" borderId="0"/>
    <xf numFmtId="0" fontId="60" fillId="0" borderId="0"/>
    <xf numFmtId="0" fontId="55" fillId="0" borderId="0"/>
    <xf numFmtId="0" fontId="60" fillId="0" borderId="0"/>
    <xf numFmtId="0" fontId="60" fillId="0" borderId="0"/>
    <xf numFmtId="0" fontId="45" fillId="6" borderId="4" applyNumberFormat="0" applyFont="0" applyAlignment="0" applyProtection="0"/>
    <xf numFmtId="0" fontId="46" fillId="0" borderId="5">
      <alignment vertical="top" wrapText="1"/>
    </xf>
    <xf numFmtId="9" fontId="45" fillId="0" borderId="0" applyFont="0" applyFill="0" applyBorder="0" applyAlignment="0" applyProtection="0"/>
    <xf numFmtId="9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164" fontId="4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6" applyNumberFormat="0" applyFill="0" applyAlignment="0" applyProtection="0"/>
    <xf numFmtId="164" fontId="45" fillId="0" borderId="0" applyFont="0" applyFill="0" applyBorder="0" applyAlignment="0" applyProtection="0"/>
    <xf numFmtId="0" fontId="44" fillId="0" borderId="0"/>
    <xf numFmtId="0" fontId="62" fillId="0" borderId="0"/>
    <xf numFmtId="165" fontId="44" fillId="0" borderId="0" applyFont="0" applyFill="0" applyBorder="0" applyAlignment="0" applyProtection="0"/>
    <xf numFmtId="164" fontId="62" fillId="0" borderId="0" applyFont="0" applyFill="0" applyBorder="0" applyAlignment="0" applyProtection="0"/>
    <xf numFmtId="0" fontId="43" fillId="0" borderId="0"/>
    <xf numFmtId="165" fontId="43" fillId="0" borderId="0" applyFont="0" applyFill="0" applyBorder="0" applyAlignment="0" applyProtection="0"/>
    <xf numFmtId="0" fontId="42" fillId="0" borderId="0"/>
    <xf numFmtId="0" fontId="63" fillId="0" borderId="16" applyNumberFormat="0" applyFont="0" applyBorder="0" applyAlignment="0"/>
    <xf numFmtId="0" fontId="64" fillId="0" borderId="0" applyProtection="0"/>
    <xf numFmtId="43" fontId="64" fillId="0" borderId="0" applyFont="0" applyFill="0" applyBorder="0" applyAlignment="0" applyProtection="0"/>
    <xf numFmtId="0" fontId="65" fillId="0" borderId="0" applyProtection="0"/>
    <xf numFmtId="0" fontId="67" fillId="0" borderId="0"/>
    <xf numFmtId="164" fontId="55" fillId="0" borderId="0" applyFont="0" applyFill="0" applyBorder="0" applyAlignment="0" applyProtection="0"/>
    <xf numFmtId="166" fontId="68" fillId="0" borderId="0"/>
    <xf numFmtId="0" fontId="69" fillId="0" borderId="0" applyNumberFormat="0" applyFont="0" applyBorder="0" applyAlignment="0"/>
    <xf numFmtId="0" fontId="45" fillId="0" borderId="0"/>
    <xf numFmtId="0" fontId="70" fillId="0" borderId="0"/>
    <xf numFmtId="0" fontId="47" fillId="10" borderId="0">
      <alignment horizontal="left" indent="1"/>
    </xf>
    <xf numFmtId="0" fontId="41" fillId="0" borderId="0"/>
    <xf numFmtId="43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1" fillId="0" borderId="0">
      <alignment vertical="top"/>
    </xf>
    <xf numFmtId="0" fontId="71" fillId="0" borderId="0">
      <alignment vertical="top"/>
    </xf>
    <xf numFmtId="167" fontId="72" fillId="0" borderId="0">
      <protection locked="0"/>
    </xf>
    <xf numFmtId="164" fontId="45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8" fontId="72" fillId="0" borderId="0">
      <protection locked="0"/>
    </xf>
    <xf numFmtId="169" fontId="72" fillId="0" borderId="0">
      <protection locked="0"/>
    </xf>
    <xf numFmtId="17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3" fillId="0" borderId="0"/>
    <xf numFmtId="171" fontId="45" fillId="0" borderId="0" applyFont="0" applyFill="0" applyBorder="0" applyAlignment="0" applyProtection="0"/>
    <xf numFmtId="172" fontId="72" fillId="0" borderId="0">
      <protection locked="0"/>
    </xf>
    <xf numFmtId="172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6" fillId="0" borderId="0"/>
    <xf numFmtId="0" fontId="4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173" fontId="72" fillId="0" borderId="0">
      <protection locked="0"/>
    </xf>
    <xf numFmtId="167" fontId="72" fillId="0" borderId="0">
      <protection locked="0"/>
    </xf>
    <xf numFmtId="9" fontId="45" fillId="0" borderId="0" applyFont="0" applyFill="0" applyBorder="0" applyAlignment="0" applyProtection="0"/>
    <xf numFmtId="0" fontId="45" fillId="0" borderId="0"/>
    <xf numFmtId="0" fontId="74" fillId="0" borderId="0">
      <protection locked="0"/>
    </xf>
    <xf numFmtId="0" fontId="74" fillId="0" borderId="0">
      <protection locked="0"/>
    </xf>
    <xf numFmtId="164" fontId="45" fillId="0" borderId="0" applyFont="0" applyFill="0" applyBorder="0" applyAlignment="0" applyProtection="0"/>
    <xf numFmtId="0" fontId="40" fillId="0" borderId="0"/>
    <xf numFmtId="44" fontId="75" fillId="0" borderId="0" applyFont="0" applyFill="0" applyBorder="0" applyAlignment="0" applyProtection="0"/>
    <xf numFmtId="0" fontId="40" fillId="0" borderId="0"/>
    <xf numFmtId="43" fontId="45" fillId="0" borderId="0" applyFont="0" applyFill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2" borderId="0" applyNumberFormat="0" applyBorder="0" applyAlignment="0" applyProtection="0"/>
    <xf numFmtId="0" fontId="75" fillId="13" borderId="0" applyNumberFormat="0" applyBorder="0" applyAlignment="0" applyProtection="0"/>
    <xf numFmtId="0" fontId="75" fillId="14" borderId="0" applyNumberFormat="0" applyBorder="0" applyAlignment="0" applyProtection="0"/>
    <xf numFmtId="0" fontId="75" fillId="3" borderId="0" applyNumberFormat="0" applyBorder="0" applyAlignment="0" applyProtection="0"/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7" borderId="0" applyNumberFormat="0" applyBorder="0" applyAlignment="0" applyProtection="0"/>
    <xf numFmtId="0" fontId="75" fillId="13" borderId="0" applyNumberFormat="0" applyBorder="0" applyAlignment="0" applyProtection="0"/>
    <xf numFmtId="0" fontId="75" fillId="15" borderId="0" applyNumberFormat="0" applyBorder="0" applyAlignment="0" applyProtection="0"/>
    <xf numFmtId="0" fontId="75" fillId="18" borderId="0" applyNumberFormat="0" applyBorder="0" applyAlignment="0" applyProtection="0"/>
    <xf numFmtId="0" fontId="76" fillId="19" borderId="0" applyNumberFormat="0" applyBorder="0" applyAlignment="0" applyProtection="0"/>
    <xf numFmtId="0" fontId="76" fillId="16" borderId="0" applyNumberFormat="0" applyBorder="0" applyAlignment="0" applyProtection="0"/>
    <xf numFmtId="0" fontId="76" fillId="17" borderId="0" applyNumberFormat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2" borderId="0" applyNumberFormat="0" applyBorder="0" applyAlignment="0" applyProtection="0"/>
    <xf numFmtId="0" fontId="77" fillId="23" borderId="1" applyNumberFormat="0" applyAlignment="0" applyProtection="0"/>
    <xf numFmtId="0" fontId="76" fillId="24" borderId="0" applyNumberFormat="0" applyBorder="0" applyAlignment="0" applyProtection="0"/>
    <xf numFmtId="0" fontId="76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7" borderId="0" applyNumberFormat="0" applyBorder="0" applyAlignment="0" applyProtection="0"/>
    <xf numFmtId="0" fontId="78" fillId="12" borderId="0" applyNumberFormat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79" fillId="23" borderId="17" applyNumberFormat="0" applyAlignment="0" applyProtection="0"/>
    <xf numFmtId="0" fontId="80" fillId="0" borderId="0" applyNumberFormat="0" applyFill="0" applyBorder="0" applyAlignment="0" applyProtection="0"/>
    <xf numFmtId="0" fontId="81" fillId="0" borderId="18" applyNumberFormat="0" applyFill="0" applyAlignment="0" applyProtection="0"/>
    <xf numFmtId="0" fontId="82" fillId="0" borderId="19" applyNumberFormat="0" applyFill="0" applyAlignment="0" applyProtection="0"/>
    <xf numFmtId="0" fontId="83" fillId="0" borderId="20" applyNumberFormat="0" applyFill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65" fontId="40" fillId="0" borderId="0" applyFont="0" applyFill="0" applyBorder="0" applyAlignment="0" applyProtection="0"/>
    <xf numFmtId="0" fontId="85" fillId="0" borderId="0"/>
    <xf numFmtId="0" fontId="39" fillId="0" borderId="0"/>
    <xf numFmtId="0" fontId="39" fillId="0" borderId="0"/>
    <xf numFmtId="0" fontId="38" fillId="0" borderId="0"/>
    <xf numFmtId="43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86" fillId="0" borderId="0"/>
    <xf numFmtId="164" fontId="45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75" fillId="6" borderId="4" applyNumberFormat="0" applyFont="0" applyAlignment="0" applyProtection="0"/>
    <xf numFmtId="174" fontId="45" fillId="0" borderId="0" applyFill="0" applyBorder="0" applyAlignment="0" applyProtection="0"/>
    <xf numFmtId="0" fontId="37" fillId="0" borderId="0"/>
    <xf numFmtId="0" fontId="36" fillId="0" borderId="0"/>
    <xf numFmtId="43" fontId="36" fillId="0" borderId="0" applyFont="0" applyFill="0" applyBorder="0" applyAlignment="0" applyProtection="0"/>
    <xf numFmtId="171" fontId="71" fillId="0" borderId="0">
      <alignment vertical="top"/>
    </xf>
    <xf numFmtId="171" fontId="71" fillId="0" borderId="0">
      <alignment vertical="top"/>
    </xf>
    <xf numFmtId="171" fontId="75" fillId="11" borderId="0" applyNumberFormat="0" applyBorder="0" applyAlignment="0" applyProtection="0"/>
    <xf numFmtId="171" fontId="75" fillId="12" borderId="0" applyNumberFormat="0" applyBorder="0" applyAlignment="0" applyProtection="0"/>
    <xf numFmtId="171" fontId="75" fillId="2" borderId="0" applyNumberFormat="0" applyBorder="0" applyAlignment="0" applyProtection="0"/>
    <xf numFmtId="171" fontId="75" fillId="13" borderId="0" applyNumberFormat="0" applyBorder="0" applyAlignment="0" applyProtection="0"/>
    <xf numFmtId="171" fontId="75" fillId="14" borderId="0" applyNumberFormat="0" applyBorder="0" applyAlignment="0" applyProtection="0"/>
    <xf numFmtId="171" fontId="75" fillId="3" borderId="0" applyNumberFormat="0" applyBorder="0" applyAlignment="0" applyProtection="0"/>
    <xf numFmtId="171" fontId="75" fillId="15" borderId="0" applyNumberFormat="0" applyBorder="0" applyAlignment="0" applyProtection="0"/>
    <xf numFmtId="171" fontId="75" fillId="16" borderId="0" applyNumberFormat="0" applyBorder="0" applyAlignment="0" applyProtection="0"/>
    <xf numFmtId="171" fontId="75" fillId="17" borderId="0" applyNumberFormat="0" applyBorder="0" applyAlignment="0" applyProtection="0"/>
    <xf numFmtId="171" fontId="75" fillId="13" borderId="0" applyNumberFormat="0" applyBorder="0" applyAlignment="0" applyProtection="0"/>
    <xf numFmtId="171" fontId="75" fillId="15" borderId="0" applyNumberFormat="0" applyBorder="0" applyAlignment="0" applyProtection="0"/>
    <xf numFmtId="171" fontId="75" fillId="18" borderId="0" applyNumberFormat="0" applyBorder="0" applyAlignment="0" applyProtection="0"/>
    <xf numFmtId="171" fontId="76" fillId="19" borderId="0" applyNumberFormat="0" applyBorder="0" applyAlignment="0" applyProtection="0"/>
    <xf numFmtId="171" fontId="76" fillId="16" borderId="0" applyNumberFormat="0" applyBorder="0" applyAlignment="0" applyProtection="0"/>
    <xf numFmtId="171" fontId="76" fillId="17" borderId="0" applyNumberFormat="0" applyBorder="0" applyAlignment="0" applyProtection="0"/>
    <xf numFmtId="171" fontId="76" fillId="20" borderId="0" applyNumberFormat="0" applyBorder="0" applyAlignment="0" applyProtection="0"/>
    <xf numFmtId="171" fontId="76" fillId="21" borderId="0" applyNumberFormat="0" applyBorder="0" applyAlignment="0" applyProtection="0"/>
    <xf numFmtId="171" fontId="76" fillId="22" borderId="0" applyNumberFormat="0" applyBorder="0" applyAlignment="0" applyProtection="0"/>
    <xf numFmtId="171" fontId="50" fillId="2" borderId="0" applyNumberFormat="0" applyBorder="0" applyAlignment="0" applyProtection="0"/>
    <xf numFmtId="171" fontId="77" fillId="23" borderId="1" applyNumberFormat="0" applyAlignment="0" applyProtection="0"/>
    <xf numFmtId="171" fontId="86" fillId="0" borderId="0"/>
    <xf numFmtId="171" fontId="51" fillId="4" borderId="2" applyNumberFormat="0" applyAlignment="0" applyProtection="0"/>
    <xf numFmtId="171" fontId="52" fillId="0" borderId="3" applyNumberFormat="0" applyFill="0" applyAlignment="0" applyProtection="0"/>
    <xf numFmtId="164" fontId="36" fillId="0" borderId="0" applyFont="0" applyFill="0" applyBorder="0" applyAlignment="0" applyProtection="0"/>
    <xf numFmtId="171" fontId="76" fillId="24" borderId="0" applyNumberFormat="0" applyBorder="0" applyAlignment="0" applyProtection="0"/>
    <xf numFmtId="171" fontId="76" fillId="25" borderId="0" applyNumberFormat="0" applyBorder="0" applyAlignment="0" applyProtection="0"/>
    <xf numFmtId="171" fontId="76" fillId="26" borderId="0" applyNumberFormat="0" applyBorder="0" applyAlignment="0" applyProtection="0"/>
    <xf numFmtId="171" fontId="76" fillId="20" borderId="0" applyNumberFormat="0" applyBorder="0" applyAlignment="0" applyProtection="0"/>
    <xf numFmtId="171" fontId="76" fillId="21" borderId="0" applyNumberFormat="0" applyBorder="0" applyAlignment="0" applyProtection="0"/>
    <xf numFmtId="171" fontId="76" fillId="27" borderId="0" applyNumberFormat="0" applyBorder="0" applyAlignment="0" applyProtection="0"/>
    <xf numFmtId="171" fontId="53" fillId="3" borderId="1" applyNumberFormat="0" applyAlignment="0" applyProtection="0"/>
    <xf numFmtId="171" fontId="86" fillId="0" borderId="0"/>
    <xf numFmtId="171" fontId="78" fillId="12" borderId="0" applyNumberFormat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165" fontId="4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165" fontId="45" fillId="0" borderId="0" applyFont="0" applyFill="0" applyBorder="0" applyAlignment="0" applyProtection="0"/>
    <xf numFmtId="171" fontId="54" fillId="5" borderId="0" applyNumberFormat="0" applyBorder="0" applyAlignment="0" applyProtection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36" fillId="0" borderId="0"/>
    <xf numFmtId="171" fontId="45" fillId="0" borderId="0"/>
    <xf numFmtId="171" fontId="36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45" fillId="0" borderId="0"/>
    <xf numFmtId="171" fontId="36" fillId="0" borderId="0"/>
    <xf numFmtId="171" fontId="45" fillId="0" borderId="0"/>
    <xf numFmtId="171" fontId="36" fillId="0" borderId="0"/>
    <xf numFmtId="171" fontId="36" fillId="0" borderId="0"/>
    <xf numFmtId="171" fontId="88" fillId="0" borderId="0" applyNumberFormat="0" applyFill="0" applyBorder="0" applyProtection="0">
      <alignment vertical="top" wrapText="1"/>
    </xf>
    <xf numFmtId="0" fontId="36" fillId="0" borderId="0"/>
    <xf numFmtId="171" fontId="89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36" fillId="0" borderId="0"/>
    <xf numFmtId="171" fontId="45" fillId="0" borderId="0"/>
    <xf numFmtId="171" fontId="45" fillId="0" borderId="0"/>
    <xf numFmtId="171" fontId="45" fillId="0" borderId="0"/>
    <xf numFmtId="171" fontId="36" fillId="0" borderId="0"/>
    <xf numFmtId="171" fontId="36" fillId="0" borderId="0"/>
    <xf numFmtId="171" fontId="45" fillId="0" borderId="0"/>
    <xf numFmtId="171" fontId="75" fillId="6" borderId="4" applyNumberFormat="0" applyFont="0" applyAlignment="0" applyProtection="0"/>
    <xf numFmtId="171" fontId="63" fillId="0" borderId="16" applyNumberFormat="0" applyFont="0" applyBorder="0" applyAlignment="0"/>
    <xf numFmtId="171" fontId="63" fillId="0" borderId="16" applyNumberFormat="0" applyFont="0" applyBorder="0" applyAlignment="0"/>
    <xf numFmtId="171" fontId="63" fillId="0" borderId="16" applyNumberFormat="0" applyFont="0" applyBorder="0" applyAlignment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71" fontId="79" fillId="23" borderId="17" applyNumberFormat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171" fontId="45" fillId="0" borderId="0"/>
    <xf numFmtId="171" fontId="56" fillId="0" borderId="0" applyNumberFormat="0" applyFill="0" applyBorder="0" applyAlignment="0" applyProtection="0"/>
    <xf numFmtId="171" fontId="80" fillId="0" borderId="0" applyNumberFormat="0" applyFill="0" applyBorder="0" applyAlignment="0" applyProtection="0"/>
    <xf numFmtId="171" fontId="81" fillId="0" borderId="18" applyNumberFormat="0" applyFill="0" applyAlignment="0" applyProtection="0"/>
    <xf numFmtId="171" fontId="82" fillId="0" borderId="19" applyNumberFormat="0" applyFill="0" applyAlignment="0" applyProtection="0"/>
    <xf numFmtId="171" fontId="83" fillId="0" borderId="20" applyNumberFormat="0" applyFill="0" applyAlignment="0" applyProtection="0"/>
    <xf numFmtId="171" fontId="83" fillId="0" borderId="0" applyNumberFormat="0" applyFill="0" applyBorder="0" applyAlignment="0" applyProtection="0"/>
    <xf numFmtId="171" fontId="84" fillId="0" borderId="0" applyNumberFormat="0" applyFill="0" applyBorder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89" fillId="0" borderId="0" applyFont="0" applyFill="0" applyBorder="0" applyAlignment="0" applyProtection="0"/>
    <xf numFmtId="171" fontId="36" fillId="0" borderId="0"/>
    <xf numFmtId="43" fontId="93" fillId="0" borderId="0" applyFont="0" applyFill="0" applyBorder="0" applyAlignment="0" applyProtection="0"/>
    <xf numFmtId="0" fontId="94" fillId="0" borderId="0"/>
    <xf numFmtId="177" fontId="95" fillId="0" borderId="0" applyFill="0" applyBorder="0" applyProtection="0"/>
    <xf numFmtId="0" fontId="64" fillId="0" borderId="0"/>
    <xf numFmtId="0" fontId="93" fillId="0" borderId="0"/>
    <xf numFmtId="0" fontId="93" fillId="0" borderId="0"/>
    <xf numFmtId="0" fontId="64" fillId="0" borderId="0"/>
    <xf numFmtId="0" fontId="96" fillId="0" borderId="0"/>
    <xf numFmtId="178" fontId="97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45" fillId="0" borderId="0"/>
    <xf numFmtId="0" fontId="95" fillId="0" borderId="0" applyFont="0" applyFill="0" applyBorder="0" applyAlignment="0" applyProtection="0"/>
    <xf numFmtId="0" fontId="66" fillId="0" borderId="11">
      <alignment horizontal="center"/>
    </xf>
    <xf numFmtId="179" fontId="95" fillId="0" borderId="31" applyFont="0" applyFill="0" applyBorder="0" applyAlignment="0" applyProtection="0">
      <alignment horizontal="right"/>
    </xf>
    <xf numFmtId="3" fontId="98" fillId="0" borderId="5"/>
    <xf numFmtId="0" fontId="66" fillId="0" borderId="0"/>
    <xf numFmtId="0" fontId="99" fillId="0" borderId="0"/>
    <xf numFmtId="0" fontId="95" fillId="0" borderId="0" applyNumberFormat="0" applyFont="0" applyFill="0" applyBorder="0" applyAlignment="0" applyProtection="0">
      <alignment vertical="center"/>
    </xf>
    <xf numFmtId="0" fontId="66" fillId="0" borderId="0"/>
    <xf numFmtId="0" fontId="100" fillId="0" borderId="0" applyFont="0" applyFill="0" applyBorder="0" applyAlignment="0" applyProtection="0"/>
    <xf numFmtId="0" fontId="66" fillId="0" borderId="0"/>
    <xf numFmtId="0" fontId="94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93" fillId="0" borderId="0" applyFont="0" applyFill="0" applyBorder="0" applyAlignment="0" applyProtection="0"/>
    <xf numFmtId="0" fontId="45" fillId="0" borderId="0" applyNumberFormat="0" applyFill="0" applyBorder="0" applyAlignment="0" applyProtection="0"/>
    <xf numFmtId="9" fontId="101" fillId="0" borderId="0" applyFont="0" applyFill="0" applyBorder="0" applyAlignment="0" applyProtection="0"/>
    <xf numFmtId="180" fontId="102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93" fillId="0" borderId="0"/>
    <xf numFmtId="0" fontId="93" fillId="0" borderId="0"/>
    <xf numFmtId="0" fontId="103" fillId="0" borderId="0"/>
    <xf numFmtId="0" fontId="45" fillId="0" borderId="0" applyNumberFormat="0" applyFill="0" applyBorder="0" applyAlignment="0" applyProtection="0"/>
    <xf numFmtId="0" fontId="45" fillId="0" borderId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0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5" fillId="0" borderId="0"/>
    <xf numFmtId="181" fontId="97" fillId="0" borderId="0" applyFont="0" applyFill="0" applyBorder="0" applyAlignment="0" applyProtection="0"/>
    <xf numFmtId="0" fontId="45" fillId="0" borderId="0"/>
    <xf numFmtId="0" fontId="45" fillId="0" borderId="0" applyFont="0" applyFill="0" applyBorder="0" applyAlignment="0" applyProtection="0"/>
    <xf numFmtId="0" fontId="45" fillId="0" borderId="0"/>
    <xf numFmtId="0" fontId="45" fillId="0" borderId="0"/>
    <xf numFmtId="0" fontId="97" fillId="0" borderId="0" applyFont="0" applyFill="0" applyBorder="0" applyAlignment="0" applyProtection="0"/>
    <xf numFmtId="0" fontId="45" fillId="0" borderId="0"/>
    <xf numFmtId="0" fontId="97" fillId="0" borderId="0"/>
    <xf numFmtId="0" fontId="45" fillId="0" borderId="0"/>
    <xf numFmtId="0" fontId="97" fillId="0" borderId="0" applyFont="0" applyFill="0" applyBorder="0" applyAlignment="0" applyProtection="0"/>
    <xf numFmtId="180" fontId="105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6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4" fillId="0" borderId="0"/>
    <xf numFmtId="0" fontId="45" fillId="0" borderId="0"/>
    <xf numFmtId="0" fontId="104" fillId="0" borderId="0"/>
    <xf numFmtId="0" fontId="104" fillId="0" borderId="0"/>
    <xf numFmtId="0" fontId="96" fillId="0" borderId="0"/>
    <xf numFmtId="0" fontId="94" fillId="0" borderId="0"/>
    <xf numFmtId="0" fontId="45" fillId="0" borderId="0"/>
    <xf numFmtId="0" fontId="6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04" fillId="0" borderId="0"/>
    <xf numFmtId="0" fontId="104" fillId="0" borderId="0"/>
    <xf numFmtId="0" fontId="45" fillId="0" borderId="0"/>
    <xf numFmtId="0" fontId="97" fillId="0" borderId="0"/>
    <xf numFmtId="0" fontId="97" fillId="0" borderId="0"/>
    <xf numFmtId="0" fontId="45" fillId="0" borderId="0"/>
    <xf numFmtId="0" fontId="97" fillId="0" borderId="0"/>
    <xf numFmtId="0" fontId="97" fillId="0" borderId="0"/>
    <xf numFmtId="0" fontId="97" fillId="0" borderId="0"/>
    <xf numFmtId="0" fontId="66" fillId="0" borderId="0"/>
    <xf numFmtId="0" fontId="97" fillId="0" borderId="0"/>
    <xf numFmtId="0" fontId="45" fillId="0" borderId="0" applyFont="0" applyFill="0" applyBorder="0" applyAlignment="0" applyProtection="0"/>
    <xf numFmtId="0" fontId="45" fillId="0" borderId="0"/>
    <xf numFmtId="0" fontId="66" fillId="0" borderId="0"/>
    <xf numFmtId="0" fontId="45" fillId="0" borderId="0"/>
    <xf numFmtId="0" fontId="45" fillId="0" borderId="0" applyFon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4" fillId="0" borderId="0"/>
    <xf numFmtId="180" fontId="105" fillId="0" borderId="0" applyFont="0" applyFill="0" applyBorder="0" applyAlignment="0" applyProtection="0"/>
    <xf numFmtId="0" fontId="94" fillId="0" borderId="0"/>
    <xf numFmtId="0" fontId="94" fillId="0" borderId="0"/>
    <xf numFmtId="0" fontId="94" fillId="0" borderId="0"/>
    <xf numFmtId="180" fontId="105" fillId="0" borderId="0" applyFont="0" applyFill="0" applyBorder="0" applyAlignment="0" applyProtection="0"/>
    <xf numFmtId="3" fontId="66" fillId="0" borderId="0"/>
    <xf numFmtId="0" fontId="97" fillId="0" borderId="0"/>
    <xf numFmtId="3" fontId="66" fillId="0" borderId="0"/>
    <xf numFmtId="3" fontId="66" fillId="0" borderId="0"/>
    <xf numFmtId="0" fontId="97" fillId="0" borderId="0"/>
    <xf numFmtId="0" fontId="104" fillId="0" borderId="0"/>
    <xf numFmtId="0" fontId="6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7" fillId="0" borderId="0"/>
    <xf numFmtId="0" fontId="97" fillId="0" borderId="0"/>
    <xf numFmtId="0" fontId="106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98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4" fillId="0" borderId="0"/>
    <xf numFmtId="0" fontId="97" fillId="0" borderId="0">
      <alignment vertical="center"/>
    </xf>
    <xf numFmtId="0" fontId="107" fillId="0" borderId="0"/>
    <xf numFmtId="182" fontId="98" fillId="0" borderId="0" applyFont="0" applyFill="0" applyBorder="0" applyAlignment="0" applyProtection="0"/>
    <xf numFmtId="3" fontId="66" fillId="0" borderId="0"/>
    <xf numFmtId="0" fontId="97" fillId="0" borderId="0" applyFont="0" applyFill="0" applyBorder="0" applyAlignment="0" applyProtection="0"/>
    <xf numFmtId="0" fontId="9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104" fillId="0" borderId="0"/>
    <xf numFmtId="0" fontId="104" fillId="0" borderId="0"/>
    <xf numFmtId="0" fontId="45" fillId="0" borderId="0"/>
    <xf numFmtId="0" fontId="96" fillId="0" borderId="0"/>
    <xf numFmtId="0" fontId="104" fillId="0" borderId="0"/>
    <xf numFmtId="0" fontId="45" fillId="0" borderId="0"/>
    <xf numFmtId="0" fontId="97" fillId="0" borderId="0"/>
    <xf numFmtId="0" fontId="104" fillId="0" borderId="0"/>
    <xf numFmtId="0" fontId="97" fillId="0" borderId="0" applyFont="0" applyFill="0" applyBorder="0" applyAlignment="0" applyProtection="0"/>
    <xf numFmtId="3" fontId="66" fillId="0" borderId="0"/>
    <xf numFmtId="0" fontId="104" fillId="0" borderId="0"/>
    <xf numFmtId="0" fontId="104" fillId="0" borderId="0"/>
    <xf numFmtId="0" fontId="45" fillId="0" borderId="0"/>
    <xf numFmtId="0" fontId="45" fillId="0" borderId="0"/>
    <xf numFmtId="0" fontId="45" fillId="0" borderId="0"/>
    <xf numFmtId="0" fontId="10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80" fontId="105" fillId="0" borderId="0" applyFont="0" applyFill="0" applyBorder="0" applyAlignment="0" applyProtection="0"/>
    <xf numFmtId="0" fontId="45" fillId="0" borderId="0"/>
    <xf numFmtId="0" fontId="9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45" fillId="0" borderId="0" applyFont="0" applyFill="0" applyBorder="0" applyAlignment="0" applyProtection="0"/>
    <xf numFmtId="0" fontId="99" fillId="0" borderId="0"/>
    <xf numFmtId="0" fontId="97" fillId="0" borderId="0"/>
    <xf numFmtId="0" fontId="45" fillId="0" borderId="0"/>
    <xf numFmtId="0" fontId="96" fillId="0" borderId="0"/>
    <xf numFmtId="0" fontId="97" fillId="0" borderId="0"/>
    <xf numFmtId="0" fontId="104" fillId="0" borderId="0"/>
    <xf numFmtId="0" fontId="99" fillId="0" borderId="0"/>
    <xf numFmtId="3" fontId="66" fillId="0" borderId="0"/>
    <xf numFmtId="0" fontId="45" fillId="0" borderId="0"/>
    <xf numFmtId="0" fontId="104" fillId="0" borderId="0"/>
    <xf numFmtId="0" fontId="96" fillId="0" borderId="0"/>
    <xf numFmtId="0" fontId="45" fillId="0" borderId="0" applyFont="0" applyFill="0" applyBorder="0" applyAlignment="0" applyProtection="0"/>
    <xf numFmtId="0" fontId="104" fillId="0" borderId="0"/>
    <xf numFmtId="0" fontId="99" fillId="0" borderId="0"/>
    <xf numFmtId="0" fontId="45" fillId="0" borderId="0"/>
    <xf numFmtId="0" fontId="97" fillId="0" borderId="0" applyFont="0" applyFill="0" applyBorder="0" applyAlignment="0" applyProtection="0"/>
    <xf numFmtId="0" fontId="66" fillId="0" borderId="0"/>
    <xf numFmtId="0" fontId="45" fillId="0" borderId="0"/>
    <xf numFmtId="0" fontId="99" fillId="0" borderId="0"/>
    <xf numFmtId="0" fontId="104" fillId="0" borderId="0"/>
    <xf numFmtId="0" fontId="45" fillId="0" borderId="0"/>
    <xf numFmtId="0" fontId="97" fillId="0" borderId="0" applyFont="0" applyFill="0" applyBorder="0" applyAlignment="0" applyProtection="0"/>
    <xf numFmtId="0" fontId="45" fillId="0" borderId="0"/>
    <xf numFmtId="0" fontId="99" fillId="0" borderId="0"/>
    <xf numFmtId="3" fontId="66" fillId="0" borderId="0"/>
    <xf numFmtId="0" fontId="97" fillId="0" borderId="0"/>
    <xf numFmtId="0" fontId="97" fillId="0" borderId="0" applyFont="0" applyFill="0" applyBorder="0" applyAlignment="0" applyProtection="0"/>
    <xf numFmtId="0" fontId="99" fillId="0" borderId="0"/>
    <xf numFmtId="0" fontId="99" fillId="0" borderId="0"/>
    <xf numFmtId="0" fontId="99" fillId="0" borderId="0"/>
    <xf numFmtId="3" fontId="6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4" fillId="0" borderId="0"/>
    <xf numFmtId="0" fontId="66" fillId="0" borderId="0"/>
    <xf numFmtId="181" fontId="97" fillId="0" borderId="0" applyFont="0" applyFill="0" applyBorder="0" applyAlignment="0" applyProtection="0"/>
    <xf numFmtId="0" fontId="108" fillId="0" borderId="0"/>
    <xf numFmtId="0" fontId="10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99" fillId="0" borderId="0"/>
    <xf numFmtId="3" fontId="66" fillId="0" borderId="0"/>
    <xf numFmtId="0" fontId="99" fillId="0" borderId="0"/>
    <xf numFmtId="0" fontId="99" fillId="0" borderId="0"/>
    <xf numFmtId="3" fontId="66" fillId="0" borderId="0"/>
    <xf numFmtId="0" fontId="64" fillId="0" borderId="0"/>
    <xf numFmtId="180" fontId="95" fillId="0" borderId="0" applyFont="0" applyFill="0" applyBorder="0" applyAlignment="0" applyProtection="0"/>
    <xf numFmtId="183" fontId="97" fillId="0" borderId="0" applyFont="0" applyFill="0" applyBorder="0" applyAlignment="0" applyProtection="0"/>
    <xf numFmtId="184" fontId="93" fillId="0" borderId="0" applyFont="0" applyFill="0" applyBorder="0" applyAlignment="0" applyProtection="0"/>
    <xf numFmtId="184" fontId="93" fillId="0" borderId="0" applyFont="0" applyFill="0" applyBorder="0" applyAlignment="0" applyProtection="0"/>
    <xf numFmtId="185" fontId="97" fillId="0" borderId="0" applyFont="0" applyFill="0" applyBorder="0" applyAlignment="0" applyProtection="0"/>
    <xf numFmtId="180" fontId="95" fillId="0" borderId="0" applyFont="0" applyFill="0" applyBorder="0" applyAlignment="0" applyProtection="0"/>
    <xf numFmtId="186" fontId="97" fillId="0" borderId="0" applyFont="0" applyFill="0" applyBorder="0" applyAlignment="0" applyProtection="0"/>
    <xf numFmtId="184" fontId="93" fillId="0" borderId="0" applyFont="0" applyFill="0" applyBorder="0" applyAlignment="0" applyProtection="0"/>
    <xf numFmtId="184" fontId="93" fillId="0" borderId="0" applyFont="0" applyFill="0" applyBorder="0" applyAlignment="0" applyProtection="0"/>
    <xf numFmtId="187" fontId="97" fillId="0" borderId="0" applyFont="0" applyFill="0" applyBorder="0" applyAlignment="0" applyProtection="0"/>
    <xf numFmtId="0" fontId="99" fillId="0" borderId="0"/>
    <xf numFmtId="0" fontId="104" fillId="0" borderId="0"/>
    <xf numFmtId="0" fontId="9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99" fillId="0" borderId="0"/>
    <xf numFmtId="0" fontId="99" fillId="0" borderId="0"/>
    <xf numFmtId="0" fontId="4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105" fillId="0" borderId="0" applyFont="0" applyFill="0" applyBorder="0" applyAlignment="0" applyProtection="0"/>
    <xf numFmtId="0" fontId="45" fillId="0" borderId="0"/>
    <xf numFmtId="180" fontId="95" fillId="0" borderId="0" applyFont="0" applyFill="0" applyBorder="0" applyAlignment="0" applyProtection="0"/>
    <xf numFmtId="40" fontId="109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66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99" fillId="0" borderId="0"/>
    <xf numFmtId="0" fontId="97" fillId="0" borderId="0"/>
    <xf numFmtId="0" fontId="95" fillId="0" borderId="0"/>
    <xf numFmtId="0" fontId="96" fillId="0" borderId="0"/>
    <xf numFmtId="188" fontId="110" fillId="0" borderId="0" applyFont="0" applyFill="0" applyBorder="0" applyAlignment="0" applyProtection="0"/>
    <xf numFmtId="180" fontId="110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11" fillId="0" borderId="0"/>
    <xf numFmtId="0" fontId="112" fillId="0" borderId="0"/>
    <xf numFmtId="0" fontId="113" fillId="0" borderId="32"/>
    <xf numFmtId="0" fontId="96" fillId="0" borderId="0"/>
    <xf numFmtId="3" fontId="98" fillId="0" borderId="5"/>
    <xf numFmtId="3" fontId="98" fillId="0" borderId="5"/>
    <xf numFmtId="0" fontId="113" fillId="0" borderId="33"/>
    <xf numFmtId="0" fontId="114" fillId="0" borderId="0">
      <alignment horizontal="center" vertical="center"/>
    </xf>
    <xf numFmtId="0" fontId="114" fillId="0" borderId="0">
      <alignment horizontal="center" vertical="center"/>
    </xf>
    <xf numFmtId="189" fontId="95" fillId="0" borderId="0">
      <alignment horizontal="center" vertical="center"/>
    </xf>
    <xf numFmtId="183" fontId="115" fillId="0" borderId="0">
      <alignment horizontal="center" vertical="center"/>
    </xf>
    <xf numFmtId="0" fontId="113" fillId="0" borderId="29"/>
    <xf numFmtId="0" fontId="116" fillId="0" borderId="34">
      <alignment horizontal="centerContinuous"/>
    </xf>
    <xf numFmtId="0" fontId="95" fillId="0" borderId="26">
      <alignment horizontal="center"/>
    </xf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2" borderId="0" applyNumberFormat="0" applyBorder="0" applyAlignment="0" applyProtection="0"/>
    <xf numFmtId="0" fontId="75" fillId="13" borderId="0" applyNumberFormat="0" applyBorder="0" applyAlignment="0" applyProtection="0"/>
    <xf numFmtId="0" fontId="75" fillId="14" borderId="0" applyNumberFormat="0" applyBorder="0" applyAlignment="0" applyProtection="0"/>
    <xf numFmtId="0" fontId="75" fillId="3" borderId="0" applyNumberFormat="0" applyBorder="0" applyAlignment="0" applyProtection="0"/>
    <xf numFmtId="0" fontId="75" fillId="11" borderId="0" applyNumberFormat="0" applyBorder="0" applyAlignment="0" applyProtection="0"/>
    <xf numFmtId="0" fontId="75" fillId="11" borderId="0" applyNumberFormat="0" applyBorder="0" applyAlignment="0" applyProtection="0"/>
    <xf numFmtId="0" fontId="75" fillId="12" borderId="0" applyNumberFormat="0" applyBorder="0" applyAlignment="0" applyProtection="0"/>
    <xf numFmtId="0" fontId="75" fillId="12" borderId="0" applyNumberFormat="0" applyBorder="0" applyAlignment="0" applyProtection="0"/>
    <xf numFmtId="0" fontId="75" fillId="2" borderId="0" applyNumberFormat="0" applyBorder="0" applyAlignment="0" applyProtection="0"/>
    <xf numFmtId="0" fontId="75" fillId="2" borderId="0" applyNumberFormat="0" applyBorder="0" applyAlignment="0" applyProtection="0"/>
    <xf numFmtId="0" fontId="75" fillId="13" borderId="0" applyNumberFormat="0" applyBorder="0" applyAlignment="0" applyProtection="0"/>
    <xf numFmtId="0" fontId="75" fillId="13" borderId="0" applyNumberFormat="0" applyBorder="0" applyAlignment="0" applyProtection="0"/>
    <xf numFmtId="0" fontId="75" fillId="14" borderId="0" applyNumberFormat="0" applyBorder="0" applyAlignment="0" applyProtection="0"/>
    <xf numFmtId="0" fontId="75" fillId="14" borderId="0" applyNumberFormat="0" applyBorder="0" applyAlignment="0" applyProtection="0"/>
    <xf numFmtId="0" fontId="75" fillId="3" borderId="0" applyNumberFormat="0" applyBorder="0" applyAlignment="0" applyProtection="0"/>
    <xf numFmtId="0" fontId="75" fillId="3" borderId="0" applyNumberFormat="0" applyBorder="0" applyAlignment="0" applyProtection="0"/>
    <xf numFmtId="0" fontId="117" fillId="11" borderId="0" applyNumberFormat="0" applyBorder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2" borderId="0" applyNumberFormat="0" applyBorder="0" applyAlignment="0" applyProtection="0">
      <alignment vertical="center"/>
    </xf>
    <xf numFmtId="0" fontId="117" fillId="2" borderId="0" applyNumberFormat="0" applyBorder="0" applyAlignment="0" applyProtection="0">
      <alignment vertical="center"/>
    </xf>
    <xf numFmtId="0" fontId="117" fillId="2" borderId="0" applyNumberFormat="0" applyBorder="0" applyAlignment="0" applyProtection="0">
      <alignment vertical="center"/>
    </xf>
    <xf numFmtId="0" fontId="117" fillId="2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4" borderId="0" applyNumberFormat="0" applyBorder="0" applyAlignment="0" applyProtection="0">
      <alignment vertical="center"/>
    </xf>
    <xf numFmtId="0" fontId="117" fillId="14" borderId="0" applyNumberFormat="0" applyBorder="0" applyAlignment="0" applyProtection="0">
      <alignment vertical="center"/>
    </xf>
    <xf numFmtId="0" fontId="117" fillId="14" borderId="0" applyNumberFormat="0" applyBorder="0" applyAlignment="0" applyProtection="0">
      <alignment vertical="center"/>
    </xf>
    <xf numFmtId="0" fontId="117" fillId="14" borderId="0" applyNumberFormat="0" applyBorder="0" applyAlignment="0" applyProtection="0">
      <alignment vertical="center"/>
    </xf>
    <xf numFmtId="0" fontId="117" fillId="3" borderId="0" applyNumberFormat="0" applyBorder="0" applyAlignment="0" applyProtection="0">
      <alignment vertical="center"/>
    </xf>
    <xf numFmtId="0" fontId="117" fillId="3" borderId="0" applyNumberFormat="0" applyBorder="0" applyAlignment="0" applyProtection="0">
      <alignment vertical="center"/>
    </xf>
    <xf numFmtId="0" fontId="117" fillId="3" borderId="0" applyNumberFormat="0" applyBorder="0" applyAlignment="0" applyProtection="0">
      <alignment vertical="center"/>
    </xf>
    <xf numFmtId="0" fontId="117" fillId="3" borderId="0" applyNumberFormat="0" applyBorder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2" borderId="0" applyNumberFormat="0" applyBorder="0" applyAlignment="0" applyProtection="0">
      <alignment vertical="center"/>
    </xf>
    <xf numFmtId="0" fontId="118" fillId="6" borderId="0" applyNumberFormat="0" applyBorder="0" applyAlignment="0" applyProtection="0">
      <alignment vertical="center"/>
    </xf>
    <xf numFmtId="0" fontId="118" fillId="2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3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8" fillId="3" borderId="0" applyNumberFormat="0" applyBorder="0" applyAlignment="0" applyProtection="0">
      <alignment vertical="center"/>
    </xf>
    <xf numFmtId="0" fontId="118" fillId="6" borderId="0" applyNumberFormat="0" applyBorder="0" applyAlignment="0" applyProtection="0">
      <alignment vertical="center"/>
    </xf>
    <xf numFmtId="0" fontId="118" fillId="3" borderId="0" applyNumberFormat="0" applyBorder="0" applyAlignment="0" applyProtection="0">
      <alignment vertical="center"/>
    </xf>
    <xf numFmtId="0" fontId="116" fillId="7" borderId="21">
      <alignment horizontal="centerContinuous"/>
    </xf>
    <xf numFmtId="0" fontId="116" fillId="29" borderId="34">
      <alignment horizontal="center"/>
    </xf>
    <xf numFmtId="190" fontId="99" fillId="0" borderId="30">
      <alignment vertical="center"/>
    </xf>
    <xf numFmtId="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11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0" fontId="119" fillId="0" borderId="30">
      <alignment vertical="center"/>
    </xf>
    <xf numFmtId="190" fontId="119" fillId="0" borderId="30">
      <alignment vertical="center"/>
    </xf>
    <xf numFmtId="0" fontId="99" fillId="0" borderId="30">
      <alignment vertical="center"/>
    </xf>
    <xf numFmtId="190" fontId="99" fillId="0" borderId="30">
      <alignment vertical="center"/>
    </xf>
    <xf numFmtId="190" fontId="99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99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86" fontId="93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0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1" fontId="120" fillId="0" borderId="30">
      <alignment vertical="center"/>
    </xf>
    <xf numFmtId="190" fontId="99" fillId="0" borderId="30">
      <alignment vertical="center"/>
    </xf>
    <xf numFmtId="0" fontId="99" fillId="0" borderId="30">
      <alignment vertical="center"/>
    </xf>
    <xf numFmtId="0" fontId="99" fillId="0" borderId="30">
      <alignment vertical="center"/>
    </xf>
    <xf numFmtId="0" fontId="45" fillId="0" borderId="0"/>
    <xf numFmtId="0" fontId="121" fillId="0" borderId="24">
      <alignment horizontal="left" vertical="center"/>
    </xf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7" borderId="0" applyNumberFormat="0" applyBorder="0" applyAlignment="0" applyProtection="0"/>
    <xf numFmtId="0" fontId="75" fillId="13" borderId="0" applyNumberFormat="0" applyBorder="0" applyAlignment="0" applyProtection="0"/>
    <xf numFmtId="0" fontId="75" fillId="15" borderId="0" applyNumberFormat="0" applyBorder="0" applyAlignment="0" applyProtection="0"/>
    <xf numFmtId="0" fontId="75" fillId="18" borderId="0" applyNumberFormat="0" applyBorder="0" applyAlignment="0" applyProtection="0"/>
    <xf numFmtId="0" fontId="75" fillId="15" borderId="0" applyNumberFormat="0" applyBorder="0" applyAlignment="0" applyProtection="0"/>
    <xf numFmtId="0" fontId="75" fillId="15" borderId="0" applyNumberFormat="0" applyBorder="0" applyAlignment="0" applyProtection="0"/>
    <xf numFmtId="0" fontId="75" fillId="16" borderId="0" applyNumberFormat="0" applyBorder="0" applyAlignment="0" applyProtection="0"/>
    <xf numFmtId="0" fontId="75" fillId="16" borderId="0" applyNumberFormat="0" applyBorder="0" applyAlignment="0" applyProtection="0"/>
    <xf numFmtId="0" fontId="75" fillId="17" borderId="0" applyNumberFormat="0" applyBorder="0" applyAlignment="0" applyProtection="0"/>
    <xf numFmtId="0" fontId="75" fillId="17" borderId="0" applyNumberFormat="0" applyBorder="0" applyAlignment="0" applyProtection="0"/>
    <xf numFmtId="0" fontId="75" fillId="13" borderId="0" applyNumberFormat="0" applyBorder="0" applyAlignment="0" applyProtection="0"/>
    <xf numFmtId="0" fontId="75" fillId="13" borderId="0" applyNumberFormat="0" applyBorder="0" applyAlignment="0" applyProtection="0"/>
    <xf numFmtId="0" fontId="75" fillId="15" borderId="0" applyNumberFormat="0" applyBorder="0" applyAlignment="0" applyProtection="0"/>
    <xf numFmtId="0" fontId="75" fillId="15" borderId="0" applyNumberFormat="0" applyBorder="0" applyAlignment="0" applyProtection="0"/>
    <xf numFmtId="0" fontId="75" fillId="18" borderId="0" applyNumberFormat="0" applyBorder="0" applyAlignment="0" applyProtection="0"/>
    <xf numFmtId="0" fontId="75" fillId="18" borderId="0" applyNumberFormat="0" applyBorder="0" applyAlignment="0" applyProtection="0"/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7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3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7" fillId="18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5" borderId="0" applyNumberFormat="0" applyBorder="0" applyAlignment="0" applyProtection="0">
      <alignment vertical="center"/>
    </xf>
    <xf numFmtId="0" fontId="118" fillId="17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4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8" fillId="6" borderId="0" applyNumberFormat="0" applyBorder="0" applyAlignment="0" applyProtection="0">
      <alignment vertical="center"/>
    </xf>
    <xf numFmtId="0" fontId="118" fillId="18" borderId="0" applyNumberFormat="0" applyBorder="0" applyAlignment="0" applyProtection="0">
      <alignment vertical="center"/>
    </xf>
    <xf numFmtId="0" fontId="116" fillId="0" borderId="34">
      <alignment horizontal="centerContinuous"/>
    </xf>
    <xf numFmtId="9" fontId="95" fillId="0" borderId="0">
      <protection locked="0"/>
    </xf>
    <xf numFmtId="0" fontId="76" fillId="19" borderId="0" applyNumberFormat="0" applyBorder="0" applyAlignment="0" applyProtection="0"/>
    <xf numFmtId="0" fontId="76" fillId="16" borderId="0" applyNumberFormat="0" applyBorder="0" applyAlignment="0" applyProtection="0"/>
    <xf numFmtId="0" fontId="76" fillId="17" borderId="0" applyNumberFormat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2" borderId="0" applyNumberFormat="0" applyBorder="0" applyAlignment="0" applyProtection="0"/>
    <xf numFmtId="0" fontId="122" fillId="19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14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3" fillId="17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14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22" borderId="0" applyNumberFormat="0" applyBorder="0" applyAlignment="0" applyProtection="0">
      <alignment vertical="center"/>
    </xf>
    <xf numFmtId="0" fontId="124" fillId="0" borderId="0" applyNumberFormat="0" applyFont="0" applyBorder="0" applyAlignment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41" fontId="125" fillId="0" borderId="0" applyFont="0" applyFill="0" applyBorder="0" applyAlignment="0" applyProtection="0"/>
    <xf numFmtId="0" fontId="126" fillId="0" borderId="0" applyFont="0" applyFill="0" applyBorder="0" applyAlignment="0" applyProtection="0"/>
    <xf numFmtId="0" fontId="126" fillId="0" borderId="0" applyFont="0" applyFill="0" applyBorder="0" applyAlignment="0" applyProtection="0"/>
    <xf numFmtId="180" fontId="125" fillId="0" borderId="0" applyFont="0" applyFill="0" applyBorder="0" applyAlignment="0" applyProtection="0"/>
    <xf numFmtId="185" fontId="45" fillId="1" borderId="21">
      <alignment horizontal="center" vertical="center"/>
    </xf>
    <xf numFmtId="0" fontId="107" fillId="0" borderId="0" applyNumberFormat="0" applyFont="0" applyBorder="0" applyAlignment="0">
      <alignment vertical="center"/>
    </xf>
    <xf numFmtId="0" fontId="127" fillId="1" borderId="5">
      <alignment horizontal="center" vertical="center"/>
    </xf>
    <xf numFmtId="0" fontId="127" fillId="1" borderId="5">
      <alignment horizontal="left" vertical="center" wrapText="1"/>
    </xf>
    <xf numFmtId="0" fontId="128" fillId="0" borderId="0"/>
    <xf numFmtId="0" fontId="59" fillId="30" borderId="27" applyNumberFormat="0" applyFill="0" applyBorder="0" applyAlignment="0" applyProtection="0">
      <alignment horizontal="center" vertical="center"/>
    </xf>
    <xf numFmtId="0" fontId="129" fillId="1" borderId="7"/>
    <xf numFmtId="0" fontId="76" fillId="24" borderId="0" applyNumberFormat="0" applyBorder="0" applyAlignment="0" applyProtection="0"/>
    <xf numFmtId="0" fontId="76" fillId="25" borderId="0" applyNumberFormat="0" applyBorder="0" applyAlignment="0" applyProtection="0"/>
    <xf numFmtId="0" fontId="76" fillId="26" borderId="0" applyNumberFormat="0" applyBorder="0" applyAlignment="0" applyProtection="0"/>
    <xf numFmtId="0" fontId="76" fillId="20" borderId="0" applyNumberFormat="0" applyBorder="0" applyAlignment="0" applyProtection="0"/>
    <xf numFmtId="0" fontId="76" fillId="21" borderId="0" applyNumberFormat="0" applyBorder="0" applyAlignment="0" applyProtection="0"/>
    <xf numFmtId="0" fontId="76" fillId="27" borderId="0" applyNumberFormat="0" applyBorder="0" applyAlignment="0" applyProtection="0"/>
    <xf numFmtId="0" fontId="130" fillId="0" borderId="0" applyFont="0" applyFill="0" applyBorder="0" applyAlignment="0" applyProtection="0"/>
    <xf numFmtId="182" fontId="131" fillId="0" borderId="0" applyFont="0" applyFill="0" applyBorder="0" applyAlignment="0" applyProtection="0"/>
    <xf numFmtId="182" fontId="130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182" fontId="131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82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92" fontId="112" fillId="0" borderId="0" applyFont="0" applyFill="0" applyBorder="0" applyAlignment="0" applyProtection="0"/>
    <xf numFmtId="0" fontId="130" fillId="0" borderId="0" applyFont="0" applyFill="0" applyBorder="0" applyAlignment="0" applyProtection="0"/>
    <xf numFmtId="193" fontId="131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193" fontId="131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93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94" fontId="112" fillId="0" borderId="0" applyFont="0" applyFill="0" applyBorder="0" applyAlignment="0" applyProtection="0"/>
    <xf numFmtId="182" fontId="125" fillId="0" borderId="0" applyFont="0" applyFill="0" applyBorder="0" applyAlignment="0" applyProtection="0"/>
    <xf numFmtId="193" fontId="125" fillId="0" borderId="0" applyFont="0" applyFill="0" applyBorder="0" applyAlignment="0" applyProtection="0"/>
    <xf numFmtId="0" fontId="126" fillId="0" borderId="0" applyFont="0" applyFill="0" applyBorder="0" applyAlignment="0" applyProtection="0"/>
    <xf numFmtId="0" fontId="126" fillId="0" borderId="0" applyFont="0" applyFill="0" applyBorder="0" applyAlignment="0" applyProtection="0"/>
    <xf numFmtId="195" fontId="90" fillId="0" borderId="0" applyNumberFormat="0" applyFill="0" applyBorder="0" applyAlignment="0" applyProtection="0"/>
    <xf numFmtId="0" fontId="66" fillId="0" borderId="0"/>
    <xf numFmtId="0" fontId="136" fillId="0" borderId="0">
      <alignment horizontal="center" wrapText="1"/>
      <protection locked="0"/>
    </xf>
    <xf numFmtId="0" fontId="45" fillId="0" borderId="0"/>
    <xf numFmtId="0" fontId="48" fillId="0" borderId="0" applyBorder="0" applyAlignment="0"/>
    <xf numFmtId="0" fontId="137" fillId="0" borderId="0"/>
    <xf numFmtId="0" fontId="99" fillId="0" borderId="0" applyFont="0" applyFill="0" applyBorder="0" applyAlignment="0" applyProtection="0"/>
    <xf numFmtId="0" fontId="138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5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188" fontId="131" fillId="0" borderId="0" applyFont="0" applyFill="0" applyBorder="0" applyAlignment="0" applyProtection="0"/>
    <xf numFmtId="196" fontId="139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88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41" fontId="112" fillId="0" borderId="0" applyFont="0" applyFill="0" applyBorder="0" applyAlignment="0" applyProtection="0"/>
    <xf numFmtId="9" fontId="140" fillId="0" borderId="0"/>
    <xf numFmtId="0" fontId="130" fillId="0" borderId="0" applyFont="0" applyFill="0" applyBorder="0" applyAlignment="0" applyProtection="0"/>
    <xf numFmtId="180" fontId="131" fillId="0" borderId="0" applyFont="0" applyFill="0" applyBorder="0" applyAlignment="0" applyProtection="0"/>
    <xf numFmtId="180" fontId="135" fillId="0" borderId="0" applyFont="0" applyFill="0" applyBorder="0" applyAlignment="0" applyProtection="0"/>
    <xf numFmtId="0" fontId="132" fillId="0" borderId="0" applyFont="0" applyFill="0" applyBorder="0" applyAlignment="0" applyProtection="0"/>
    <xf numFmtId="0" fontId="133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4" fillId="0" borderId="0" applyFont="0" applyFill="0" applyBorder="0" applyAlignment="0" applyProtection="0"/>
    <xf numFmtId="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180" fontId="131" fillId="0" borderId="0" applyFont="0" applyFill="0" applyBorder="0" applyAlignment="0" applyProtection="0"/>
    <xf numFmtId="0" fontId="130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78" fillId="12" borderId="0" applyNumberFormat="0" applyBorder="0" applyAlignment="0" applyProtection="0"/>
    <xf numFmtId="0" fontId="141" fillId="0" borderId="0" applyNumberFormat="0" applyFill="0" applyBorder="0" applyAlignment="0" applyProtection="0">
      <alignment vertical="top"/>
      <protection locked="0"/>
    </xf>
    <xf numFmtId="0" fontId="93" fillId="0" borderId="0" applyFont="0" applyFill="0" applyBorder="0" applyAlignment="0" applyProtection="0">
      <alignment horizontal="right"/>
    </xf>
    <xf numFmtId="0" fontId="142" fillId="0" borderId="0"/>
    <xf numFmtId="0" fontId="93" fillId="0" borderId="0" applyFont="0" applyFill="0" applyBorder="0" applyAlignment="0" applyProtection="0">
      <alignment horizontal="right"/>
    </xf>
    <xf numFmtId="0" fontId="143" fillId="0" borderId="0" applyNumberFormat="0" applyFill="0" applyBorder="0" applyAlignment="0">
      <protection locked="0"/>
    </xf>
    <xf numFmtId="0" fontId="59" fillId="0" borderId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2" fontId="66" fillId="0" borderId="0" applyFont="0" applyFill="0" applyBorder="0" applyAlignment="0"/>
    <xf numFmtId="0" fontId="96" fillId="0" borderId="0"/>
    <xf numFmtId="0" fontId="144" fillId="0" borderId="0"/>
    <xf numFmtId="0" fontId="130" fillId="0" borderId="0"/>
    <xf numFmtId="0" fontId="132" fillId="0" borderId="0"/>
    <xf numFmtId="0" fontId="145" fillId="0" borderId="0"/>
    <xf numFmtId="0" fontId="131" fillId="0" borderId="0"/>
    <xf numFmtId="0" fontId="130" fillId="0" borderId="0"/>
    <xf numFmtId="0" fontId="131" fillId="0" borderId="0"/>
    <xf numFmtId="0" fontId="96" fillId="0" borderId="0"/>
    <xf numFmtId="0" fontId="131" fillId="0" borderId="0"/>
    <xf numFmtId="0" fontId="130" fillId="0" borderId="0"/>
    <xf numFmtId="0" fontId="112" fillId="0" borderId="0"/>
    <xf numFmtId="0" fontId="130" fillId="0" borderId="0"/>
    <xf numFmtId="0" fontId="131" fillId="0" borderId="0"/>
    <xf numFmtId="0" fontId="130" fillId="0" borderId="0"/>
    <xf numFmtId="0" fontId="146" fillId="0" borderId="0"/>
    <xf numFmtId="0" fontId="135" fillId="0" borderId="0"/>
    <xf numFmtId="0" fontId="146" fillId="0" borderId="0"/>
    <xf numFmtId="0" fontId="135" fillId="0" borderId="0"/>
    <xf numFmtId="0" fontId="146" fillId="0" borderId="0"/>
    <xf numFmtId="0" fontId="93" fillId="0" borderId="0" applyFill="0" applyBorder="0" applyAlignment="0"/>
    <xf numFmtId="0" fontId="95" fillId="0" borderId="0" applyFill="0" applyBorder="0" applyAlignment="0"/>
    <xf numFmtId="0" fontId="93" fillId="0" borderId="0" applyFill="0" applyBorder="0" applyAlignment="0"/>
    <xf numFmtId="0" fontId="95" fillId="0" borderId="0" applyFill="0" applyBorder="0" applyAlignment="0"/>
    <xf numFmtId="0" fontId="95" fillId="0" borderId="0" applyFill="0" applyBorder="0" applyAlignment="0"/>
    <xf numFmtId="197" fontId="95" fillId="0" borderId="0" applyFill="0" applyBorder="0" applyAlignment="0"/>
    <xf numFmtId="183" fontId="147" fillId="0" borderId="0" applyFill="0" applyBorder="0" applyAlignment="0"/>
    <xf numFmtId="198" fontId="95" fillId="0" borderId="0" applyFill="0" applyBorder="0" applyAlignment="0"/>
    <xf numFmtId="199" fontId="95" fillId="0" borderId="0" applyFill="0" applyBorder="0" applyAlignment="0"/>
    <xf numFmtId="200" fontId="95" fillId="0" borderId="0" applyFill="0" applyBorder="0" applyAlignment="0"/>
    <xf numFmtId="201" fontId="95" fillId="0" borderId="0" applyFill="0" applyBorder="0" applyAlignment="0"/>
    <xf numFmtId="197" fontId="95" fillId="0" borderId="0" applyFill="0" applyBorder="0" applyAlignment="0"/>
    <xf numFmtId="0" fontId="77" fillId="23" borderId="1" applyNumberFormat="0" applyAlignment="0" applyProtection="0"/>
    <xf numFmtId="0" fontId="108" fillId="0" borderId="0"/>
    <xf numFmtId="0" fontId="51" fillId="4" borderId="2" applyNumberFormat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1" fontId="148" fillId="0" borderId="5">
      <alignment horizontal="center" vertical="center"/>
    </xf>
    <xf numFmtId="3" fontId="148" fillId="0" borderId="5">
      <alignment horizontal="center" vertical="center"/>
    </xf>
    <xf numFmtId="0" fontId="149" fillId="29" borderId="11">
      <alignment horizontal="center" wrapText="1"/>
    </xf>
    <xf numFmtId="188" fontId="45" fillId="0" borderId="0" applyFont="0" applyFill="0" applyBorder="0" applyAlignment="0" applyProtection="0"/>
    <xf numFmtId="202" fontId="45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0" fillId="0" borderId="0"/>
    <xf numFmtId="0" fontId="151" fillId="0" borderId="0" applyFont="0" applyFill="0" applyBorder="0" applyAlignment="0" applyProtection="0"/>
    <xf numFmtId="0" fontId="45" fillId="0" borderId="0" applyFont="0" applyFill="0" applyBorder="0" applyAlignment="0" applyProtection="0"/>
    <xf numFmtId="38" fontId="66" fillId="0" borderId="0" applyFont="0" applyFill="0" applyBorder="0" applyAlignment="0" applyProtection="0"/>
    <xf numFmtId="203" fontId="91" fillId="0" borderId="0" applyFont="0" applyFill="0" applyBorder="0" applyAlignment="0" applyProtection="0"/>
    <xf numFmtId="204" fontId="93" fillId="0" borderId="0" applyFont="0" applyFill="0" applyBorder="0" applyAlignment="0" applyProtection="0"/>
    <xf numFmtId="204" fontId="93" fillId="0" borderId="0" applyFont="0" applyFill="0" applyBorder="0" applyAlignment="0" applyProtection="0"/>
    <xf numFmtId="204" fontId="93" fillId="0" borderId="0" applyFont="0" applyFill="0" applyBorder="0" applyAlignment="0" applyProtection="0">
      <alignment vertical="center"/>
    </xf>
    <xf numFmtId="204" fontId="93" fillId="0" borderId="0" applyFont="0" applyFill="0" applyBorder="0" applyAlignment="0" applyProtection="0">
      <alignment vertical="center"/>
    </xf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41" fontId="91" fillId="0" borderId="0" applyFont="0" applyFill="0" applyBorder="0" applyAlignment="0" applyProtection="0"/>
    <xf numFmtId="188" fontId="45" fillId="0" borderId="0" applyFont="0" applyFill="0" applyBorder="0" applyAlignment="0" applyProtection="0"/>
    <xf numFmtId="200" fontId="95" fillId="0" borderId="0" applyFont="0" applyFill="0" applyBorder="0" applyAlignment="0" applyProtection="0"/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3" fontId="93" fillId="0" borderId="0" applyFont="0" applyFill="0" applyBorder="0" applyAlignment="0" applyProtection="0">
      <alignment vertical="center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75" fillId="0" borderId="0" applyFont="0" applyFill="0" applyBorder="0" applyAlignment="0" applyProtection="0"/>
    <xf numFmtId="164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4" fontId="72" fillId="0" borderId="0">
      <protection locked="0"/>
    </xf>
    <xf numFmtId="205" fontId="95" fillId="0" borderId="0"/>
    <xf numFmtId="206" fontId="64" fillId="0" borderId="0"/>
    <xf numFmtId="180" fontId="45" fillId="0" borderId="0" applyFont="0" applyFill="0" applyBorder="0" applyAlignment="0" applyProtection="0"/>
    <xf numFmtId="40" fontId="66" fillId="0" borderId="0" applyFont="0" applyFill="0" applyBorder="0" applyAlignment="0" applyProtection="0"/>
    <xf numFmtId="0" fontId="152" fillId="0" borderId="0" applyNumberFormat="0" applyAlignment="0">
      <alignment horizontal="left"/>
    </xf>
    <xf numFmtId="0" fontId="97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0" fontId="91" fillId="0" borderId="0" applyFont="0" applyFill="0" applyBorder="0" applyAlignment="0" applyProtection="0"/>
    <xf numFmtId="178" fontId="97" fillId="0" borderId="0" applyFont="0" applyFill="0" applyBorder="0" applyAlignment="0" applyProtection="0"/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194" fontId="93" fillId="0" borderId="0">
      <protection locked="0"/>
    </xf>
    <xf numFmtId="207" fontId="95" fillId="0" borderId="0" applyFont="0" applyFill="0" applyBorder="0" applyAlignment="0" applyProtection="0"/>
    <xf numFmtId="193" fontId="93" fillId="0" borderId="0" applyFont="0" applyFill="0" applyBorder="0" applyAlignment="0" applyProtection="0"/>
    <xf numFmtId="193" fontId="93" fillId="0" borderId="0" applyFont="0" applyFill="0" applyBorder="0" applyAlignment="0" applyProtection="0"/>
    <xf numFmtId="0" fontId="45" fillId="0" borderId="0"/>
    <xf numFmtId="208" fontId="115" fillId="0" borderId="0"/>
    <xf numFmtId="0" fontId="45" fillId="0" borderId="0" applyFont="0" applyFill="0" applyBorder="0" applyAlignment="0" applyProtection="0"/>
    <xf numFmtId="209" fontId="45" fillId="10" borderId="0" applyFont="0" applyBorder="0"/>
    <xf numFmtId="0" fontId="153" fillId="0" borderId="0"/>
    <xf numFmtId="3" fontId="66" fillId="0" borderId="0"/>
    <xf numFmtId="171" fontId="72" fillId="0" borderId="0">
      <protection locked="0"/>
    </xf>
    <xf numFmtId="0" fontId="153" fillId="0" borderId="35"/>
    <xf numFmtId="171" fontId="72" fillId="0" borderId="0">
      <protection locked="0"/>
    </xf>
    <xf numFmtId="210" fontId="93" fillId="0" borderId="0">
      <protection locked="0"/>
    </xf>
    <xf numFmtId="210" fontId="93" fillId="0" borderId="0">
      <protection locked="0"/>
    </xf>
    <xf numFmtId="210" fontId="93" fillId="0" borderId="0">
      <protection locked="0"/>
    </xf>
    <xf numFmtId="211" fontId="93" fillId="0" borderId="0" applyFont="0" applyFill="0" applyBorder="0" applyAlignment="0" applyProtection="0"/>
    <xf numFmtId="212" fontId="45" fillId="0" borderId="0" applyFont="0" applyFill="0" applyBorder="0" applyAlignment="0" applyProtection="0"/>
    <xf numFmtId="213" fontId="95" fillId="0" borderId="0"/>
    <xf numFmtId="214" fontId="64" fillId="0" borderId="0"/>
    <xf numFmtId="3" fontId="66" fillId="0" borderId="0"/>
    <xf numFmtId="0" fontId="154" fillId="0" borderId="0" applyNumberFormat="0" applyAlignment="0">
      <alignment horizontal="left"/>
    </xf>
    <xf numFmtId="215" fontId="93" fillId="0" borderId="0" applyFont="0" applyFill="0" applyBorder="0" applyAlignment="0" applyProtection="0">
      <alignment vertical="center"/>
    </xf>
    <xf numFmtId="215" fontId="93" fillId="0" borderId="0" applyFon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72" fillId="0" borderId="0">
      <protection locked="0"/>
    </xf>
    <xf numFmtId="0" fontId="72" fillId="0" borderId="0">
      <protection locked="0"/>
    </xf>
    <xf numFmtId="0" fontId="155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72" fillId="0" borderId="0">
      <protection locked="0"/>
    </xf>
    <xf numFmtId="0" fontId="155" fillId="0" borderId="0">
      <protection locked="0"/>
    </xf>
    <xf numFmtId="43" fontId="93" fillId="0" borderId="0">
      <protection locked="0"/>
    </xf>
    <xf numFmtId="43" fontId="93" fillId="0" borderId="0">
      <protection locked="0"/>
    </xf>
    <xf numFmtId="43" fontId="93" fillId="0" borderId="0">
      <protection locked="0"/>
    </xf>
    <xf numFmtId="0" fontId="156" fillId="0" borderId="0" applyNumberFormat="0" applyFill="0" applyBorder="0" applyAlignment="0" applyProtection="0">
      <alignment vertical="top"/>
      <protection locked="0"/>
    </xf>
    <xf numFmtId="3" fontId="66" fillId="0" borderId="0"/>
    <xf numFmtId="1" fontId="157" fillId="0" borderId="15" applyFill="0" applyBorder="0" applyProtection="0">
      <alignment horizontal="center" vertical="center"/>
    </xf>
    <xf numFmtId="0" fontId="50" fillId="2" borderId="0" applyNumberFormat="0" applyBorder="0" applyAlignment="0" applyProtection="0"/>
    <xf numFmtId="38" fontId="48" fillId="7" borderId="0" applyNumberFormat="0" applyBorder="0" applyAlignment="0" applyProtection="0"/>
    <xf numFmtId="0" fontId="66" fillId="0" borderId="0"/>
    <xf numFmtId="0" fontId="59" fillId="0" borderId="27" applyNumberFormat="0">
      <alignment vertical="center"/>
    </xf>
    <xf numFmtId="0" fontId="158" fillId="0" borderId="0" applyAlignment="0">
      <alignment horizontal="right"/>
    </xf>
    <xf numFmtId="0" fontId="47" fillId="0" borderId="0"/>
    <xf numFmtId="0" fontId="159" fillId="0" borderId="0"/>
    <xf numFmtId="0" fontId="160" fillId="0" borderId="0">
      <alignment horizontal="left"/>
    </xf>
    <xf numFmtId="0" fontId="92" fillId="0" borderId="9" applyNumberFormat="0" applyAlignment="0" applyProtection="0">
      <alignment horizontal="left" vertical="center"/>
    </xf>
    <xf numFmtId="0" fontId="92" fillId="0" borderId="14">
      <alignment horizontal="left" vertical="center"/>
    </xf>
    <xf numFmtId="171" fontId="72" fillId="0" borderId="0">
      <protection locked="0"/>
    </xf>
    <xf numFmtId="171" fontId="72" fillId="0" borderId="0">
      <protection locked="0"/>
    </xf>
    <xf numFmtId="0" fontId="83" fillId="0" borderId="20" applyNumberFormat="0" applyFill="0" applyAlignment="0" applyProtection="0"/>
    <xf numFmtId="0" fontId="83" fillId="0" borderId="0" applyNumberFormat="0" applyFill="0" applyBorder="0" applyAlignment="0" applyProtection="0"/>
    <xf numFmtId="216" fontId="74" fillId="0" borderId="0">
      <protection locked="0"/>
    </xf>
    <xf numFmtId="175" fontId="93" fillId="0" borderId="0">
      <protection locked="0"/>
    </xf>
    <xf numFmtId="175" fontId="93" fillId="0" borderId="0">
      <protection locked="0"/>
    </xf>
    <xf numFmtId="175" fontId="93" fillId="0" borderId="0">
      <protection locked="0"/>
    </xf>
    <xf numFmtId="0" fontId="45" fillId="0" borderId="0"/>
    <xf numFmtId="175" fontId="93" fillId="0" borderId="0">
      <protection locked="0"/>
    </xf>
    <xf numFmtId="175" fontId="93" fillId="0" borderId="0">
      <protection locked="0"/>
    </xf>
    <xf numFmtId="175" fontId="93" fillId="0" borderId="0">
      <protection locked="0"/>
    </xf>
    <xf numFmtId="0" fontId="161" fillId="0" borderId="0" applyNumberFormat="0" applyFill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53" fillId="3" borderId="1" applyNumberFormat="0" applyAlignment="0" applyProtection="0"/>
    <xf numFmtId="10" fontId="48" fillId="7" borderId="5" applyNumberFormat="0" applyBorder="0" applyAlignment="0" applyProtection="0"/>
    <xf numFmtId="0" fontId="53" fillId="5" borderId="1" applyNumberFormat="0" applyAlignment="0" applyProtection="0"/>
    <xf numFmtId="0" fontId="162" fillId="0" borderId="27" applyNumberFormat="0" applyBorder="0" applyAlignment="0"/>
    <xf numFmtId="0" fontId="93" fillId="0" borderId="8">
      <protection locked="0"/>
    </xf>
    <xf numFmtId="0" fontId="93" fillId="0" borderId="8">
      <protection locked="0"/>
    </xf>
    <xf numFmtId="0" fontId="163" fillId="31" borderId="35"/>
    <xf numFmtId="0" fontId="148" fillId="1" borderId="0" applyNumberFormat="0" applyBorder="0" applyAlignment="0"/>
    <xf numFmtId="0" fontId="64" fillId="0" borderId="0" applyNumberFormat="0" applyFont="0" applyFill="0" applyBorder="0" applyProtection="0">
      <alignment horizontal="left" vertical="center"/>
    </xf>
    <xf numFmtId="0" fontId="164" fillId="0" borderId="0"/>
    <xf numFmtId="49" fontId="165" fillId="0" borderId="0" applyNumberFormat="0" applyAlignment="0">
      <alignment horizontal="left"/>
    </xf>
    <xf numFmtId="0" fontId="92" fillId="0" borderId="0" applyNumberFormat="0" applyAlignment="0">
      <alignment horizontal="left"/>
    </xf>
    <xf numFmtId="0" fontId="91" fillId="0" borderId="0" applyNumberFormat="0" applyAlignment="0">
      <alignment horizontal="left"/>
    </xf>
    <xf numFmtId="0" fontId="52" fillId="0" borderId="3" applyNumberFormat="0" applyFill="0" applyAlignment="0" applyProtection="0"/>
    <xf numFmtId="38" fontId="66" fillId="0" borderId="0" applyFont="0" applyFill="0" applyBorder="0" applyAlignment="0" applyProtection="0"/>
    <xf numFmtId="40" fontId="6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188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66" fillId="0" borderId="8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165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44" fontId="75" fillId="0" borderId="0" applyFont="0" applyFill="0" applyBorder="0" applyAlignment="0" applyProtection="0"/>
    <xf numFmtId="165" fontId="4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5" fillId="0" borderId="0" applyFont="0" applyFill="0" applyBorder="0" applyAlignment="0" applyProtection="0"/>
    <xf numFmtId="218" fontId="45" fillId="0" borderId="0" applyFont="0" applyFill="0" applyBorder="0" applyAlignment="0" applyProtection="0"/>
    <xf numFmtId="0" fontId="167" fillId="0" borderId="0"/>
    <xf numFmtId="0" fontId="168" fillId="0" borderId="0" applyNumberFormat="0" applyBorder="0" applyAlignment="0"/>
    <xf numFmtId="0" fontId="169" fillId="0" borderId="0" applyNumberFormat="0">
      <alignment horizontal="right"/>
    </xf>
    <xf numFmtId="0" fontId="170" fillId="30" borderId="10">
      <alignment vertical="top"/>
    </xf>
    <xf numFmtId="0" fontId="54" fillId="5" borderId="0" applyNumberFormat="0" applyBorder="0" applyAlignment="0" applyProtection="0"/>
    <xf numFmtId="0" fontId="64" fillId="0" borderId="0"/>
    <xf numFmtId="37" fontId="171" fillId="0" borderId="0"/>
    <xf numFmtId="0" fontId="95" fillId="0" borderId="0"/>
    <xf numFmtId="0" fontId="95" fillId="0" borderId="0"/>
    <xf numFmtId="0" fontId="95" fillId="0" borderId="0"/>
    <xf numFmtId="0" fontId="172" fillId="0" borderId="0"/>
    <xf numFmtId="0" fontId="172" fillId="0" borderId="0"/>
    <xf numFmtId="0" fontId="172" fillId="0" borderId="0"/>
    <xf numFmtId="0" fontId="172" fillId="0" borderId="0"/>
    <xf numFmtId="0" fontId="104" fillId="0" borderId="0"/>
    <xf numFmtId="0" fontId="95" fillId="0" borderId="0"/>
    <xf numFmtId="171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171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1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45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1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36" fillId="0" borderId="0"/>
    <xf numFmtId="0" fontId="75" fillId="0" borderId="0"/>
    <xf numFmtId="0" fontId="3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71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6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66" fillId="0" borderId="0"/>
    <xf numFmtId="0" fontId="66" fillId="0" borderId="0"/>
    <xf numFmtId="0" fontId="75" fillId="6" borderId="4" applyNumberFormat="0" applyFont="0" applyAlignment="0" applyProtection="0"/>
    <xf numFmtId="0" fontId="45" fillId="6" borderId="4" applyNumberFormat="0" applyFont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64" fillId="0" borderId="0"/>
    <xf numFmtId="0" fontId="79" fillId="23" borderId="17" applyNumberFormat="0" applyAlignment="0" applyProtection="0"/>
    <xf numFmtId="0" fontId="94" fillId="0" borderId="0" applyFont="0" applyFill="0" applyBorder="0" applyAlignment="0" applyProtection="0"/>
    <xf numFmtId="0" fontId="64" fillId="0" borderId="0">
      <alignment horizontal="left" vertical="center"/>
    </xf>
    <xf numFmtId="0" fontId="148" fillId="0" borderId="0" applyNumberFormat="0" applyBorder="0" applyAlignment="0"/>
    <xf numFmtId="10" fontId="45" fillId="0" borderId="0" applyFont="0" applyFill="0" applyBorder="0" applyAlignment="0" applyProtection="0"/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9" fontId="93" fillId="0" borderId="0" applyFont="0" applyFill="0" applyBorder="0" applyAlignment="0" applyProtection="0">
      <alignment vertical="center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219" fontId="93" fillId="0" borderId="0">
      <protection locked="0"/>
    </xf>
    <xf numFmtId="0" fontId="173" fillId="0" borderId="0">
      <protection locked="0"/>
    </xf>
    <xf numFmtId="9" fontId="3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74" fillId="0" borderId="0" applyProtection="0"/>
    <xf numFmtId="3" fontId="66" fillId="0" borderId="0"/>
    <xf numFmtId="0" fontId="153" fillId="0" borderId="0"/>
    <xf numFmtId="14" fontId="175" fillId="0" borderId="0" applyNumberFormat="0" applyFill="0" applyBorder="0" applyAlignment="0" applyProtection="0">
      <alignment horizontal="left"/>
    </xf>
    <xf numFmtId="0" fontId="45" fillId="0" borderId="0"/>
    <xf numFmtId="0" fontId="176" fillId="0" borderId="0" applyNumberFormat="0" applyFill="0" applyBorder="0" applyAlignment="0" applyProtection="0"/>
    <xf numFmtId="0" fontId="177" fillId="1" borderId="0" applyNumberFormat="0" applyBorder="0" applyAlignment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41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45" fillId="0" borderId="0"/>
    <xf numFmtId="0" fontId="48" fillId="0" borderId="13" applyAlignment="0"/>
    <xf numFmtId="0" fontId="147" fillId="0" borderId="13"/>
    <xf numFmtId="0" fontId="108" fillId="0" borderId="0"/>
    <xf numFmtId="0" fontId="166" fillId="0" borderId="0"/>
    <xf numFmtId="0" fontId="160" fillId="0" borderId="0"/>
    <xf numFmtId="40" fontId="178" fillId="0" borderId="0" applyBorder="0">
      <alignment horizontal="right"/>
    </xf>
    <xf numFmtId="0" fontId="153" fillId="0" borderId="35"/>
    <xf numFmtId="49" fontId="45" fillId="0" borderId="0" applyFont="0" applyFill="0" applyBorder="0" applyAlignment="0" applyProtection="0"/>
    <xf numFmtId="0" fontId="130" fillId="0" borderId="0"/>
    <xf numFmtId="0" fontId="133" fillId="0" borderId="0"/>
    <xf numFmtId="0" fontId="130" fillId="0" borderId="0"/>
    <xf numFmtId="0" fontId="133" fillId="0" borderId="0"/>
    <xf numFmtId="0" fontId="179" fillId="10" borderId="0">
      <alignment horizontal="centerContinuous"/>
    </xf>
    <xf numFmtId="0" fontId="180" fillId="32" borderId="0"/>
    <xf numFmtId="0" fontId="181" fillId="0" borderId="0" applyNumberFormat="0" applyFill="0" applyBorder="0" applyAlignment="0" applyProtection="0"/>
    <xf numFmtId="171" fontId="74" fillId="0" borderId="0">
      <protection locked="0"/>
    </xf>
    <xf numFmtId="171" fontId="74" fillId="0" borderId="0">
      <protection locked="0"/>
    </xf>
    <xf numFmtId="175" fontId="93" fillId="0" borderId="25">
      <protection locked="0"/>
    </xf>
    <xf numFmtId="175" fontId="93" fillId="0" borderId="25">
      <protection locked="0"/>
    </xf>
    <xf numFmtId="175" fontId="93" fillId="0" borderId="25">
      <protection locked="0"/>
    </xf>
    <xf numFmtId="0" fontId="163" fillId="0" borderId="36"/>
    <xf numFmtId="0" fontId="163" fillId="0" borderId="35"/>
    <xf numFmtId="0" fontId="108" fillId="0" borderId="0"/>
    <xf numFmtId="41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0" fontId="93" fillId="0" borderId="0"/>
    <xf numFmtId="0" fontId="93" fillId="0" borderId="0"/>
    <xf numFmtId="0" fontId="182" fillId="0" borderId="26">
      <alignment horizontal="left"/>
    </xf>
    <xf numFmtId="0" fontId="114" fillId="0" borderId="0"/>
    <xf numFmtId="220" fontId="45" fillId="0" borderId="0" applyFont="0" applyFill="0" applyBorder="0" applyAlignment="0" applyProtection="0"/>
    <xf numFmtId="221" fontId="93" fillId="0" borderId="0" applyFont="0" applyFill="0" applyBorder="0" applyAlignment="0" applyProtection="0"/>
    <xf numFmtId="43" fontId="75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75" fillId="0" borderId="0" applyFont="0" applyFill="0" applyBorder="0" applyAlignment="0" applyProtection="0"/>
    <xf numFmtId="43" fontId="36" fillId="0" borderId="0" applyFont="0" applyFill="0" applyBorder="0" applyAlignment="0" applyProtection="0"/>
    <xf numFmtId="164" fontId="45" fillId="0" borderId="0" applyFont="0" applyFill="0" applyBorder="0" applyAlignment="0" applyProtection="0"/>
    <xf numFmtId="43" fontId="45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222" fontId="93" fillId="0" borderId="0" applyFont="0" applyFill="0" applyBorder="0" applyAlignment="0" applyProtection="0"/>
    <xf numFmtId="189" fontId="93" fillId="0" borderId="0" applyFont="0" applyFill="0" applyBorder="0" applyAlignment="0" applyProtection="0"/>
    <xf numFmtId="211" fontId="45" fillId="0" borderId="0" applyFont="0" applyFill="0" applyBorder="0" applyAlignment="0" applyProtection="0"/>
    <xf numFmtId="223" fontId="45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109" fillId="0" borderId="0" applyNumberFormat="0" applyFont="0" applyFill="0" applyBorder="0" applyProtection="0">
      <alignment horizontal="center" vertical="center" wrapText="1"/>
    </xf>
    <xf numFmtId="4" fontId="157" fillId="0" borderId="0" applyFill="0" applyBorder="0" applyProtection="0">
      <alignment horizontal="center" vertical="center"/>
    </xf>
    <xf numFmtId="0" fontId="95" fillId="0" borderId="0" applyFont="0" applyFill="0" applyBorder="0" applyAlignment="0" applyProtection="0"/>
    <xf numFmtId="0" fontId="45" fillId="0" borderId="0"/>
    <xf numFmtId="0" fontId="141" fillId="0" borderId="0" applyNumberFormat="0" applyFill="0" applyBorder="0" applyAlignment="0" applyProtection="0">
      <alignment vertical="top"/>
      <protection locked="0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38" fontId="48" fillId="7" borderId="0" applyNumberFormat="0" applyBorder="0" applyAlignment="0" applyProtection="0"/>
    <xf numFmtId="10" fontId="48" fillId="7" borderId="5" applyNumberFormat="0" applyBorder="0" applyAlignment="0" applyProtection="0"/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4" fillId="4" borderId="2" applyNumberFormat="0" applyAlignment="0" applyProtection="0">
      <alignment vertical="center"/>
    </xf>
    <xf numFmtId="0" fontId="184" fillId="4" borderId="2" applyNumberFormat="0" applyAlignment="0" applyProtection="0">
      <alignment vertical="center"/>
    </xf>
    <xf numFmtId="0" fontId="184" fillId="4" borderId="2" applyNumberFormat="0" applyAlignment="0" applyProtection="0">
      <alignment vertical="center"/>
    </xf>
    <xf numFmtId="0" fontId="184" fillId="4" borderId="2" applyNumberFormat="0" applyAlignment="0" applyProtection="0">
      <alignment vertical="center"/>
    </xf>
    <xf numFmtId="0" fontId="185" fillId="5" borderId="0" applyNumberFormat="0" applyBorder="0" applyAlignment="0" applyProtection="0">
      <alignment vertical="center"/>
    </xf>
    <xf numFmtId="0" fontId="185" fillId="5" borderId="0" applyNumberFormat="0" applyBorder="0" applyAlignment="0" applyProtection="0">
      <alignment vertical="center"/>
    </xf>
    <xf numFmtId="0" fontId="185" fillId="5" borderId="0" applyNumberFormat="0" applyBorder="0" applyAlignment="0" applyProtection="0">
      <alignment vertical="center"/>
    </xf>
    <xf numFmtId="0" fontId="185" fillId="5" borderId="0" applyNumberFormat="0" applyBorder="0" applyAlignment="0" applyProtection="0">
      <alignment vertical="center"/>
    </xf>
    <xf numFmtId="9" fontId="186" fillId="0" borderId="0" applyFont="0" applyFill="0" applyBorder="0" applyAlignment="0" applyProtection="0"/>
    <xf numFmtId="0" fontId="187" fillId="0" borderId="0" applyNumberFormat="0" applyFill="0" applyBorder="0" applyAlignment="0" applyProtection="0">
      <alignment vertical="top"/>
      <protection locked="0"/>
    </xf>
    <xf numFmtId="0" fontId="93" fillId="6" borderId="4" applyNumberFormat="0" applyFont="0" applyAlignment="0" applyProtection="0">
      <alignment vertical="center"/>
    </xf>
    <xf numFmtId="0" fontId="93" fillId="6" borderId="4" applyNumberFormat="0" applyFont="0" applyAlignment="0" applyProtection="0">
      <alignment vertical="center"/>
    </xf>
    <xf numFmtId="0" fontId="188" fillId="0" borderId="3" applyNumberFormat="0" applyFill="0" applyAlignment="0" applyProtection="0">
      <alignment vertical="center"/>
    </xf>
    <xf numFmtId="0" fontId="188" fillId="0" borderId="3" applyNumberFormat="0" applyFill="0" applyAlignment="0" applyProtection="0">
      <alignment vertical="center"/>
    </xf>
    <xf numFmtId="0" fontId="188" fillId="0" borderId="3" applyNumberFormat="0" applyFill="0" applyAlignment="0" applyProtection="0">
      <alignment vertical="center"/>
    </xf>
    <xf numFmtId="0" fontId="188" fillId="0" borderId="3" applyNumberFormat="0" applyFill="0" applyAlignment="0" applyProtection="0">
      <alignment vertical="center"/>
    </xf>
    <xf numFmtId="41" fontId="189" fillId="0" borderId="0" applyFont="0" applyFill="0" applyBorder="0" applyAlignment="0" applyProtection="0"/>
    <xf numFmtId="43" fontId="189" fillId="0" borderId="0" applyFont="0" applyFill="0" applyBorder="0" applyAlignment="0" applyProtection="0"/>
    <xf numFmtId="211" fontId="45" fillId="0" borderId="0" applyFont="0" applyFill="0" applyBorder="0" applyAlignment="0" applyProtection="0"/>
    <xf numFmtId="223" fontId="45" fillId="0" borderId="0" applyFont="0" applyFill="0" applyBorder="0" applyAlignment="0" applyProtection="0"/>
    <xf numFmtId="0" fontId="45" fillId="0" borderId="0"/>
    <xf numFmtId="0" fontId="64" fillId="0" borderId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181" fontId="97" fillId="0" borderId="0" applyFont="0" applyFill="0" applyBorder="0" applyAlignment="0" applyProtection="0"/>
    <xf numFmtId="0" fontId="190" fillId="0" borderId="0">
      <protection locked="0"/>
    </xf>
    <xf numFmtId="180" fontId="95" fillId="0" borderId="0" applyFont="0" applyFill="0" applyBorder="0" applyAlignment="0" applyProtection="0"/>
    <xf numFmtId="0" fontId="95" fillId="0" borderId="0"/>
    <xf numFmtId="0" fontId="95" fillId="0" borderId="0"/>
    <xf numFmtId="0" fontId="97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8" fillId="0" borderId="0"/>
    <xf numFmtId="0" fontId="94" fillId="0" borderId="0"/>
    <xf numFmtId="0" fontId="66" fillId="0" borderId="0"/>
    <xf numFmtId="0" fontId="94" fillId="0" borderId="0"/>
    <xf numFmtId="0" fontId="96" fillId="0" borderId="0"/>
    <xf numFmtId="0" fontId="95" fillId="0" borderId="0"/>
    <xf numFmtId="0" fontId="95" fillId="0" borderId="0"/>
    <xf numFmtId="0" fontId="96" fillId="0" borderId="0"/>
    <xf numFmtId="0" fontId="123" fillId="24" borderId="0" applyNumberFormat="0" applyBorder="0" applyAlignment="0" applyProtection="0">
      <alignment vertical="center"/>
    </xf>
    <xf numFmtId="0" fontId="123" fillId="3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18" borderId="0" applyNumberFormat="0" applyBorder="0" applyAlignment="0" applyProtection="0">
      <alignment vertical="center"/>
    </xf>
    <xf numFmtId="0" fontId="123" fillId="26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34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1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5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3" fillId="23" borderId="1" applyNumberFormat="0" applyAlignment="0" applyProtection="0">
      <alignment vertical="center"/>
    </xf>
    <xf numFmtId="0" fontId="193" fillId="23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192" fillId="35" borderId="1" applyNumberFormat="0" applyAlignment="0" applyProtection="0">
      <alignment vertical="center"/>
    </xf>
    <xf numFmtId="0" fontId="95" fillId="0" borderId="0">
      <protection locked="0"/>
    </xf>
    <xf numFmtId="224" fontId="194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195" fillId="0" borderId="0"/>
    <xf numFmtId="0" fontId="93" fillId="0" borderId="0">
      <protection locked="0"/>
    </xf>
    <xf numFmtId="0" fontId="93" fillId="0" borderId="0">
      <protection locked="0"/>
    </xf>
    <xf numFmtId="0" fontId="45" fillId="0" borderId="0"/>
    <xf numFmtId="0" fontId="196" fillId="12" borderId="0" applyNumberFormat="0" applyBorder="0" applyAlignment="0" applyProtection="0">
      <alignment vertical="center"/>
    </xf>
    <xf numFmtId="0" fontId="196" fillId="13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72" fillId="0" borderId="0">
      <protection locked="0"/>
    </xf>
    <xf numFmtId="3" fontId="66" fillId="0" borderId="28">
      <alignment horizontal="center"/>
    </xf>
    <xf numFmtId="225" fontId="197" fillId="0" borderId="27">
      <alignment vertical="center"/>
    </xf>
    <xf numFmtId="0" fontId="72" fillId="0" borderId="0">
      <protection locked="0"/>
    </xf>
    <xf numFmtId="0" fontId="9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198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0" fontId="95" fillId="0" borderId="0" applyFont="0" applyFill="0" applyBorder="0" applyAlignment="0" applyProtection="0"/>
    <xf numFmtId="0" fontId="95" fillId="0" borderId="0" applyFont="0" applyFill="0" applyBorder="0" applyAlignment="0" applyProtection="0"/>
    <xf numFmtId="40" fontId="139" fillId="0" borderId="0" applyFont="0" applyFill="0" applyBorder="0" applyAlignment="0" applyProtection="0"/>
    <xf numFmtId="0" fontId="200" fillId="0" borderId="0" applyFont="0" applyFill="0" applyBorder="0" applyAlignment="0" applyProtection="0"/>
    <xf numFmtId="0" fontId="200" fillId="0" borderId="0" applyFont="0" applyFill="0" applyBorder="0" applyAlignment="0" applyProtection="0"/>
    <xf numFmtId="0" fontId="93" fillId="0" borderId="22"/>
    <xf numFmtId="0" fontId="93" fillId="0" borderId="22"/>
    <xf numFmtId="0" fontId="108" fillId="0" borderId="0"/>
    <xf numFmtId="0" fontId="66" fillId="0" borderId="0"/>
    <xf numFmtId="0" fontId="93" fillId="6" borderId="4" applyNumberFormat="0" applyFont="0" applyAlignment="0" applyProtection="0">
      <alignment vertical="center"/>
    </xf>
    <xf numFmtId="0" fontId="95" fillId="6" borderId="4" applyNumberFormat="0" applyFont="0" applyAlignment="0" applyProtection="0">
      <alignment vertical="center"/>
    </xf>
    <xf numFmtId="0" fontId="93" fillId="6" borderId="4" applyNumberFormat="0" applyFont="0" applyAlignment="0" applyProtection="0">
      <alignment vertical="center"/>
    </xf>
    <xf numFmtId="0" fontId="93" fillId="6" borderId="4" applyNumberFormat="0" applyFont="0" applyAlignment="0" applyProtection="0">
      <alignment vertical="center"/>
    </xf>
    <xf numFmtId="0" fontId="93" fillId="6" borderId="4" applyNumberFormat="0" applyFont="0" applyAlignment="0" applyProtection="0">
      <alignment vertical="center"/>
    </xf>
    <xf numFmtId="0" fontId="118" fillId="28" borderId="23" applyNumberFormat="0" applyFont="0" applyAlignment="0" applyProtection="0">
      <alignment vertical="center"/>
    </xf>
    <xf numFmtId="0" fontId="45" fillId="6" borderId="4" applyNumberFormat="0" applyFont="0" applyAlignment="0" applyProtection="0">
      <alignment vertical="center"/>
    </xf>
    <xf numFmtId="0" fontId="45" fillId="0" borderId="0" applyFont="0" applyFill="0" applyBorder="0" applyAlignment="0" applyProtection="0"/>
    <xf numFmtId="0" fontId="201" fillId="0" borderId="0" applyFont="0" applyFill="0" applyBorder="0" applyAlignment="0" applyProtection="0"/>
    <xf numFmtId="0" fontId="201" fillId="0" borderId="0" applyFont="0" applyFill="0" applyBorder="0" applyAlignment="0" applyProtection="0"/>
    <xf numFmtId="204" fontId="93" fillId="0" borderId="0"/>
    <xf numFmtId="204" fontId="93" fillId="0" borderId="0"/>
    <xf numFmtId="204" fontId="93" fillId="0" borderId="0"/>
    <xf numFmtId="204" fontId="93" fillId="0" borderId="0"/>
    <xf numFmtId="9" fontId="202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202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202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202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/>
    <xf numFmtId="9" fontId="202" fillId="0" borderId="0" applyFont="0" applyFill="0" applyBorder="0" applyAlignment="0" applyProtection="0">
      <alignment vertical="center"/>
    </xf>
    <xf numFmtId="9" fontId="118" fillId="0" borderId="0" applyFont="0" applyFill="0" applyBorder="0" applyAlignment="0" applyProtection="0">
      <alignment vertical="center"/>
    </xf>
    <xf numFmtId="9" fontId="203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9" fontId="93" fillId="0" borderId="0" applyFont="0" applyFill="0" applyBorder="0" applyAlignment="0" applyProtection="0">
      <alignment vertical="center"/>
    </xf>
    <xf numFmtId="9" fontId="9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3" fillId="0" borderId="0" applyFont="0" applyFill="0" applyBorder="0" applyAlignment="0" applyProtection="0"/>
    <xf numFmtId="9" fontId="95" fillId="0" borderId="0" applyFont="0" applyFill="0" applyBorder="0" applyAlignment="0" applyProtection="0"/>
    <xf numFmtId="9" fontId="93" fillId="0" borderId="0" applyFont="0" applyFill="0" applyBorder="0" applyAlignment="0" applyProtection="0"/>
    <xf numFmtId="225" fontId="204" fillId="0" borderId="0" applyBorder="0">
      <alignment horizontal="right" vertical="center"/>
    </xf>
    <xf numFmtId="0" fontId="205" fillId="5" borderId="0" applyNumberFormat="0" applyBorder="0" applyAlignment="0" applyProtection="0">
      <alignment vertical="center"/>
    </xf>
    <xf numFmtId="0" fontId="206" fillId="5" borderId="0" applyNumberFormat="0" applyBorder="0" applyAlignment="0" applyProtection="0">
      <alignment vertical="center"/>
    </xf>
    <xf numFmtId="0" fontId="205" fillId="5" borderId="0" applyNumberFormat="0" applyBorder="0" applyAlignment="0" applyProtection="0">
      <alignment vertical="center"/>
    </xf>
    <xf numFmtId="0" fontId="207" fillId="36" borderId="14"/>
    <xf numFmtId="226" fontId="93" fillId="0" borderId="12" applyFont="0" applyFill="0" applyAlignment="0" applyProtection="0">
      <alignment horizontal="center" vertical="center"/>
    </xf>
    <xf numFmtId="226" fontId="93" fillId="0" borderId="12" applyFont="0" applyFill="0" applyAlignment="0" applyProtection="0">
      <alignment horizontal="center" vertical="center"/>
    </xf>
    <xf numFmtId="0" fontId="94" fillId="0" borderId="0" applyFont="0" applyFill="0" applyBorder="0" applyAlignment="0" applyProtection="0"/>
    <xf numFmtId="0" fontId="95" fillId="0" borderId="0"/>
    <xf numFmtId="0" fontId="93" fillId="0" borderId="0"/>
    <xf numFmtId="0" fontId="93" fillId="0" borderId="0"/>
    <xf numFmtId="0" fontId="94" fillId="0" borderId="0" applyFont="0" applyFill="0" applyBorder="0" applyAlignment="0" applyProtection="0"/>
    <xf numFmtId="227" fontId="195" fillId="0" borderId="7" applyBorder="0"/>
    <xf numFmtId="0" fontId="45" fillId="0" borderId="0" applyFont="0" applyFill="0" applyBorder="0" applyAlignment="0" applyProtection="0"/>
    <xf numFmtId="10" fontId="48" fillId="7" borderId="5" applyNumberFormat="0" applyBorder="0" applyAlignment="0" applyProtection="0"/>
    <xf numFmtId="0" fontId="208" fillId="0" borderId="0" applyNumberFormat="0" applyFill="0" applyBorder="0" applyAlignment="0" applyProtection="0">
      <alignment vertical="center"/>
    </xf>
    <xf numFmtId="0" fontId="209" fillId="4" borderId="2" applyNumberFormat="0" applyAlignment="0" applyProtection="0">
      <alignment vertical="center"/>
    </xf>
    <xf numFmtId="0" fontId="210" fillId="0" borderId="0">
      <alignment vertical="center"/>
    </xf>
    <xf numFmtId="228" fontId="194" fillId="0" borderId="0">
      <alignment vertical="center"/>
    </xf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203" fillId="0" borderId="0" applyFont="0" applyFill="0" applyBorder="0" applyAlignment="0" applyProtection="0">
      <alignment vertical="center"/>
    </xf>
    <xf numFmtId="41" fontId="202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/>
    <xf numFmtId="229" fontId="45" fillId="0" borderId="0" applyFont="0" applyFill="0" applyBorder="0" applyAlignment="0" applyProtection="0"/>
    <xf numFmtId="230" fontId="45" fillId="0" borderId="0" applyFont="0" applyFill="0" applyBorder="0" applyAlignment="0" applyProtection="0"/>
    <xf numFmtId="41" fontId="11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>
      <alignment vertical="center"/>
    </xf>
    <xf numFmtId="41" fontId="118" fillId="0" borderId="0" applyFont="0" applyFill="0" applyBorder="0" applyAlignment="0" applyProtection="0">
      <alignment vertical="center"/>
    </xf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211" fontId="64" fillId="0" borderId="0" applyFont="0" applyFill="0" applyBorder="0" applyAlignment="0" applyProtection="0"/>
    <xf numFmtId="189" fontId="64" fillId="0" borderId="0" applyFont="0" applyFill="0" applyBorder="0" applyAlignment="0" applyProtection="0"/>
    <xf numFmtId="231" fontId="64" fillId="0" borderId="0" applyFont="0" applyFill="0" applyBorder="0" applyAlignment="0" applyProtection="0"/>
    <xf numFmtId="189" fontId="64" fillId="0" borderId="0" applyFont="0" applyFill="0" applyBorder="0" applyAlignment="0" applyProtection="0"/>
    <xf numFmtId="188" fontId="95" fillId="0" borderId="0" applyFont="0" applyFill="0" applyBorder="0" applyAlignment="0" applyProtection="0"/>
    <xf numFmtId="164" fontId="45" fillId="0" borderId="0" applyFont="0" applyFill="0" applyBorder="0" applyAlignment="0" applyProtection="0"/>
    <xf numFmtId="207" fontId="95" fillId="0" borderId="0" applyFont="0" applyFill="0" applyBorder="0" applyAlignment="0" applyProtection="0"/>
    <xf numFmtId="0" fontId="66" fillId="0" borderId="0"/>
    <xf numFmtId="0" fontId="45" fillId="0" borderId="0"/>
    <xf numFmtId="0" fontId="104" fillId="0" borderId="0"/>
    <xf numFmtId="3" fontId="66" fillId="0" borderId="0"/>
    <xf numFmtId="3" fontId="66" fillId="0" borderId="0"/>
    <xf numFmtId="3" fontId="66" fillId="0" borderId="0"/>
    <xf numFmtId="0" fontId="97" fillId="0" borderId="0" applyFont="0" applyFill="0" applyBorder="0" applyAlignment="0" applyProtection="0"/>
    <xf numFmtId="0" fontId="9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3" fontId="6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3" fontId="66" fillId="0" borderId="0"/>
    <xf numFmtId="3" fontId="66" fillId="0" borderId="0"/>
    <xf numFmtId="3" fontId="66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0" fontId="1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8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5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114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182" fontId="98" fillId="0" borderId="0" applyFont="0" applyFill="0" applyBorder="0" applyAlignment="0" applyProtection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11" fillId="0" borderId="31"/>
    <xf numFmtId="0" fontId="212" fillId="0" borderId="3" applyNumberFormat="0" applyFill="0" applyAlignment="0" applyProtection="0">
      <alignment vertical="center"/>
    </xf>
    <xf numFmtId="0" fontId="191" fillId="0" borderId="37" applyNumberFormat="0" applyFill="0" applyAlignment="0" applyProtection="0">
      <alignment vertical="center"/>
    </xf>
    <xf numFmtId="0" fontId="212" fillId="0" borderId="3" applyNumberFormat="0" applyFill="0" applyAlignment="0" applyProtection="0">
      <alignment vertical="center"/>
    </xf>
    <xf numFmtId="0" fontId="199" fillId="0" borderId="0" applyNumberFormat="0" applyFill="0" applyBorder="0" applyAlignment="0" applyProtection="0">
      <alignment vertical="top"/>
      <protection locked="0"/>
    </xf>
    <xf numFmtId="0" fontId="213" fillId="0" borderId="6" applyNumberFormat="0" applyFill="0" applyAlignment="0" applyProtection="0">
      <alignment vertical="center"/>
    </xf>
    <xf numFmtId="0" fontId="213" fillId="0" borderId="38" applyNumberFormat="0" applyFill="0" applyAlignment="0" applyProtection="0">
      <alignment vertical="center"/>
    </xf>
    <xf numFmtId="0" fontId="213" fillId="0" borderId="6" applyNumberFormat="0" applyFill="0" applyAlignment="0" applyProtection="0">
      <alignment vertical="center"/>
    </xf>
    <xf numFmtId="0" fontId="214" fillId="0" borderId="0" applyNumberFormat="0" applyFill="0" applyBorder="0" applyAlignment="0" applyProtection="0">
      <alignment vertical="center"/>
    </xf>
    <xf numFmtId="0" fontId="215" fillId="0" borderId="0">
      <alignment horizontal="center" vertical="center"/>
    </xf>
    <xf numFmtId="0" fontId="216" fillId="0" borderId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3" borderId="1" applyNumberFormat="0" applyAlignment="0" applyProtection="0">
      <alignment vertical="center"/>
    </xf>
    <xf numFmtId="0" fontId="217" fillId="3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0" fontId="217" fillId="5" borderId="1" applyNumberFormat="0" applyAlignment="0" applyProtection="0">
      <alignment vertical="center"/>
    </xf>
    <xf numFmtId="4" fontId="72" fillId="0" borderId="0">
      <protection locked="0"/>
    </xf>
    <xf numFmtId="3" fontId="218" fillId="0" borderId="0" applyFont="0" applyFill="0" applyBorder="0" applyAlignment="0" applyProtection="0"/>
    <xf numFmtId="232" fontId="194" fillId="0" borderId="0">
      <protection locked="0"/>
    </xf>
    <xf numFmtId="0" fontId="219" fillId="0" borderId="18" applyNumberFormat="0" applyFill="0" applyAlignment="0" applyProtection="0">
      <alignment vertical="center"/>
    </xf>
    <xf numFmtId="0" fontId="220" fillId="0" borderId="39" applyNumberFormat="0" applyFill="0" applyAlignment="0" applyProtection="0">
      <alignment vertical="center"/>
    </xf>
    <xf numFmtId="0" fontId="219" fillId="0" borderId="18" applyNumberFormat="0" applyFill="0" applyAlignment="0" applyProtection="0">
      <alignment vertical="center"/>
    </xf>
    <xf numFmtId="0" fontId="221" fillId="0" borderId="19" applyNumberFormat="0" applyFill="0" applyAlignment="0" applyProtection="0">
      <alignment vertical="center"/>
    </xf>
    <xf numFmtId="0" fontId="222" fillId="0" borderId="40" applyNumberFormat="0" applyFill="0" applyAlignment="0" applyProtection="0">
      <alignment vertical="center"/>
    </xf>
    <xf numFmtId="0" fontId="221" fillId="0" borderId="19" applyNumberFormat="0" applyFill="0" applyAlignment="0" applyProtection="0">
      <alignment vertical="center"/>
    </xf>
    <xf numFmtId="0" fontId="223" fillId="0" borderId="20" applyNumberFormat="0" applyFill="0" applyAlignment="0" applyProtection="0">
      <alignment vertical="center"/>
    </xf>
    <xf numFmtId="0" fontId="224" fillId="0" borderId="41" applyNumberFormat="0" applyFill="0" applyAlignment="0" applyProtection="0">
      <alignment vertical="center"/>
    </xf>
    <xf numFmtId="0" fontId="223" fillId="0" borderId="20" applyNumberFormat="0" applyFill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4" fillId="0" borderId="0" applyNumberFormat="0" applyFill="0" applyBorder="0" applyAlignment="0" applyProtection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6" fillId="0" borderId="0" applyNumberFormat="0" applyFill="0" applyBorder="0" applyAlignment="0" applyProtection="0">
      <alignment vertical="center"/>
    </xf>
    <xf numFmtId="0" fontId="225" fillId="0" borderId="0" applyNumberFormat="0" applyFill="0" applyBorder="0" applyAlignment="0" applyProtection="0">
      <alignment vertical="center"/>
    </xf>
    <xf numFmtId="0" fontId="227" fillId="2" borderId="0" applyNumberFormat="0" applyBorder="0" applyAlignment="0" applyProtection="0">
      <alignment vertical="center"/>
    </xf>
    <xf numFmtId="0" fontId="227" fillId="14" borderId="0" applyNumberFormat="0" applyBorder="0" applyAlignment="0" applyProtection="0">
      <alignment vertical="center"/>
    </xf>
    <xf numFmtId="0" fontId="227" fillId="2" borderId="0" applyNumberFormat="0" applyBorder="0" applyAlignment="0" applyProtection="0">
      <alignment vertical="center"/>
    </xf>
    <xf numFmtId="233" fontId="93" fillId="0" borderId="0">
      <alignment vertical="center"/>
    </xf>
    <xf numFmtId="233" fontId="93" fillId="0" borderId="0">
      <alignment vertical="center"/>
    </xf>
    <xf numFmtId="0" fontId="95" fillId="0" borderId="0"/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23" borderId="17" applyNumberFormat="0" applyAlignment="0" applyProtection="0">
      <alignment vertical="center"/>
    </xf>
    <xf numFmtId="0" fontId="228" fillId="23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0" fontId="228" fillId="35" borderId="17" applyNumberFormat="0" applyAlignment="0" applyProtection="0">
      <alignment vertical="center"/>
    </xf>
    <xf numFmtId="3" fontId="66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41" fontId="93" fillId="0" borderId="0" applyFont="0" applyFill="0" applyBorder="0" applyAlignment="0" applyProtection="0"/>
    <xf numFmtId="0" fontId="99" fillId="0" borderId="0" applyFont="0" applyFill="0" applyBorder="0" applyAlignment="0" applyProtection="0"/>
    <xf numFmtId="9" fontId="204" fillId="0" borderId="0"/>
    <xf numFmtId="0" fontId="95" fillId="0" borderId="0" applyFont="0" applyFill="0" applyBorder="0" applyAlignment="0" applyProtection="0"/>
    <xf numFmtId="180" fontId="95" fillId="0" borderId="0" applyFont="0" applyFill="0" applyBorder="0" applyAlignment="0" applyProtection="0"/>
    <xf numFmtId="0" fontId="64" fillId="0" borderId="0" applyFont="0" applyFill="0" applyBorder="0" applyAlignment="0" applyProtection="0"/>
    <xf numFmtId="234" fontId="95" fillId="0" borderId="0" applyFont="0" applyFill="0" applyBorder="0" applyAlignment="0" applyProtection="0"/>
    <xf numFmtId="192" fontId="202" fillId="0" borderId="0" applyFont="0" applyFill="0" applyBorder="0" applyAlignment="0" applyProtection="0">
      <alignment vertical="center"/>
    </xf>
    <xf numFmtId="0" fontId="95" fillId="0" borderId="0">
      <protection locked="0"/>
    </xf>
    <xf numFmtId="0" fontId="229" fillId="0" borderId="27">
      <alignment horizontal="center" vertical="center"/>
    </xf>
    <xf numFmtId="0" fontId="229" fillId="0" borderId="27">
      <alignment horizontal="left" vertical="center"/>
    </xf>
    <xf numFmtId="0" fontId="229" fillId="0" borderId="27">
      <alignment vertical="center" textRotation="255"/>
    </xf>
    <xf numFmtId="189" fontId="230" fillId="0" borderId="21" applyNumberFormat="0" applyBorder="0">
      <alignment horizontal="centerContinuous" vertical="center"/>
    </xf>
    <xf numFmtId="0" fontId="95" fillId="0" borderId="0"/>
    <xf numFmtId="0" fontId="93" fillId="0" borderId="0">
      <alignment vertical="center"/>
    </xf>
    <xf numFmtId="0" fontId="93" fillId="0" borderId="0">
      <alignment vertical="center"/>
    </xf>
    <xf numFmtId="0" fontId="93" fillId="0" borderId="0"/>
    <xf numFmtId="0" fontId="231" fillId="0" borderId="0">
      <alignment vertical="center"/>
    </xf>
    <xf numFmtId="0" fontId="93" fillId="0" borderId="0"/>
    <xf numFmtId="0" fontId="231" fillId="0" borderId="0">
      <alignment vertical="center"/>
    </xf>
    <xf numFmtId="0" fontId="93" fillId="0" borderId="0"/>
    <xf numFmtId="0" fontId="231" fillId="0" borderId="0">
      <alignment vertical="center"/>
    </xf>
    <xf numFmtId="0" fontId="93" fillId="0" borderId="0"/>
    <xf numFmtId="0" fontId="93" fillId="0" borderId="0">
      <alignment vertical="center"/>
    </xf>
    <xf numFmtId="0" fontId="45" fillId="7" borderId="0"/>
    <xf numFmtId="0" fontId="93" fillId="0" borderId="0"/>
    <xf numFmtId="0" fontId="45" fillId="7" borderId="0"/>
    <xf numFmtId="0" fontId="95" fillId="0" borderId="0"/>
    <xf numFmtId="0" fontId="95" fillId="0" borderId="0"/>
    <xf numFmtId="0" fontId="93" fillId="0" borderId="0"/>
    <xf numFmtId="0" fontId="95" fillId="0" borderId="0"/>
    <xf numFmtId="0" fontId="95" fillId="0" borderId="0"/>
    <xf numFmtId="0" fontId="93" fillId="0" borderId="0">
      <alignment vertical="center"/>
    </xf>
    <xf numFmtId="0" fontId="114" fillId="0" borderId="0"/>
    <xf numFmtId="0" fontId="104" fillId="0" borderId="0"/>
    <xf numFmtId="0" fontId="232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33" fillId="0" borderId="0">
      <alignment vertical="center"/>
    </xf>
    <xf numFmtId="0" fontId="45" fillId="7" borderId="0"/>
    <xf numFmtId="0" fontId="234" fillId="0" borderId="0">
      <alignment vertical="center"/>
    </xf>
    <xf numFmtId="0" fontId="97" fillId="0" borderId="0">
      <alignment vertical="center"/>
    </xf>
    <xf numFmtId="0" fontId="93" fillId="0" borderId="0"/>
    <xf numFmtId="0" fontId="93" fillId="0" borderId="0"/>
    <xf numFmtId="0" fontId="93" fillId="0" borderId="0"/>
    <xf numFmtId="0" fontId="45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5" fillId="0" borderId="0"/>
    <xf numFmtId="0" fontId="93" fillId="0" borderId="0"/>
    <xf numFmtId="0" fontId="64" fillId="0" borderId="0"/>
    <xf numFmtId="0" fontId="233" fillId="0" borderId="0">
      <alignment vertical="center"/>
    </xf>
    <xf numFmtId="0" fontId="118" fillId="0" borderId="0">
      <alignment vertical="center"/>
    </xf>
    <xf numFmtId="0" fontId="202" fillId="0" borderId="0">
      <alignment vertical="center"/>
    </xf>
    <xf numFmtId="0" fontId="95" fillId="0" borderId="0"/>
    <xf numFmtId="0" fontId="93" fillId="0" borderId="5" applyNumberFormat="0" applyFill="0" applyProtection="0">
      <alignment vertical="center"/>
    </xf>
    <xf numFmtId="0" fontId="93" fillId="0" borderId="5" applyNumberFormat="0" applyFill="0" applyProtection="0">
      <alignment vertical="center"/>
    </xf>
    <xf numFmtId="0" fontId="235" fillId="0" borderId="0"/>
    <xf numFmtId="0" fontId="236" fillId="0" borderId="0" applyNumberFormat="0" applyFill="0" applyBorder="0" applyAlignment="0" applyProtection="0">
      <alignment vertical="top"/>
      <protection locked="0"/>
    </xf>
    <xf numFmtId="0" fontId="72" fillId="0" borderId="42">
      <protection locked="0"/>
    </xf>
    <xf numFmtId="0" fontId="95" fillId="0" borderId="0">
      <protection locked="0"/>
    </xf>
    <xf numFmtId="0" fontId="95" fillId="0" borderId="0">
      <protection locked="0"/>
    </xf>
    <xf numFmtId="0" fontId="237" fillId="0" borderId="0"/>
    <xf numFmtId="0" fontId="238" fillId="0" borderId="0">
      <alignment vertical="center"/>
    </xf>
    <xf numFmtId="180" fontId="95" fillId="0" borderId="0" applyFont="0" applyFill="0" applyBorder="0" applyAlignment="0" applyProtection="0"/>
    <xf numFmtId="38" fontId="48" fillId="7" borderId="0" applyNumberFormat="0" applyBorder="0" applyAlignment="0" applyProtection="0"/>
    <xf numFmtId="0" fontId="239" fillId="3" borderId="1" applyNumberFormat="0" applyAlignment="0" applyProtection="0">
      <alignment vertical="center"/>
    </xf>
    <xf numFmtId="0" fontId="239" fillId="3" borderId="1" applyNumberFormat="0" applyAlignment="0" applyProtection="0">
      <alignment vertical="center"/>
    </xf>
    <xf numFmtId="0" fontId="239" fillId="3" borderId="1" applyNumberFormat="0" applyAlignment="0" applyProtection="0">
      <alignment vertical="center"/>
    </xf>
    <xf numFmtId="0" fontId="239" fillId="3" borderId="1" applyNumberFormat="0" applyAlignment="0" applyProtection="0">
      <alignment vertical="center"/>
    </xf>
    <xf numFmtId="0" fontId="240" fillId="23" borderId="17" applyNumberFormat="0" applyAlignment="0" applyProtection="0">
      <alignment vertical="center"/>
    </xf>
    <xf numFmtId="0" fontId="240" fillId="23" borderId="17" applyNumberFormat="0" applyAlignment="0" applyProtection="0">
      <alignment vertical="center"/>
    </xf>
    <xf numFmtId="0" fontId="240" fillId="23" borderId="17" applyNumberFormat="0" applyAlignment="0" applyProtection="0">
      <alignment vertical="center"/>
    </xf>
    <xf numFmtId="0" fontId="240" fillId="23" borderId="17" applyNumberFormat="0" applyAlignment="0" applyProtection="0">
      <alignment vertical="center"/>
    </xf>
    <xf numFmtId="188" fontId="241" fillId="0" borderId="0" applyFont="0" applyFill="0" applyBorder="0" applyAlignment="0" applyProtection="0"/>
    <xf numFmtId="180" fontId="241" fillId="0" borderId="0" applyFont="0" applyFill="0" applyBorder="0" applyAlignment="0" applyProtection="0"/>
    <xf numFmtId="41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242" fillId="0" borderId="0"/>
    <xf numFmtId="0" fontId="241" fillId="0" borderId="0">
      <alignment vertical="center"/>
    </xf>
    <xf numFmtId="0" fontId="95" fillId="0" borderId="0" applyFont="0" applyFill="0" applyBorder="0" applyAlignment="0" applyProtection="0"/>
    <xf numFmtId="0" fontId="243" fillId="12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4" fillId="37" borderId="0">
      <alignment horizontal="left" vertical="center"/>
    </xf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93" fillId="0" borderId="0"/>
    <xf numFmtId="0" fontId="245" fillId="0" borderId="0"/>
    <xf numFmtId="3" fontId="246" fillId="0" borderId="0" applyFont="0" applyFill="0" applyBorder="0" applyAlignment="0" applyProtection="0"/>
    <xf numFmtId="38" fontId="247" fillId="0" borderId="0" applyFont="0" applyFill="0" applyBorder="0" applyAlignment="0" applyProtection="0"/>
    <xf numFmtId="40" fontId="186" fillId="0" borderId="0" applyFont="0" applyFill="0" applyBorder="0" applyAlignment="0" applyProtection="0"/>
    <xf numFmtId="38" fontId="186" fillId="0" borderId="0" applyFont="0" applyFill="0" applyBorder="0" applyAlignment="0" applyProtection="0"/>
    <xf numFmtId="1" fontId="248" fillId="0" borderId="0"/>
    <xf numFmtId="0" fontId="99" fillId="0" borderId="0">
      <alignment vertical="center"/>
    </xf>
    <xf numFmtId="38" fontId="48" fillId="10" borderId="0" applyNumberFormat="0" applyBorder="0" applyAlignment="0" applyProtection="0"/>
    <xf numFmtId="0" fontId="64" fillId="0" borderId="0"/>
    <xf numFmtId="0" fontId="64" fillId="0" borderId="0"/>
    <xf numFmtId="0" fontId="166" fillId="0" borderId="8"/>
    <xf numFmtId="0" fontId="249" fillId="2" borderId="0" applyNumberFormat="0" applyBorder="0" applyAlignment="0" applyProtection="0">
      <alignment vertical="center"/>
    </xf>
    <xf numFmtId="0" fontId="249" fillId="2" borderId="0" applyNumberFormat="0" applyBorder="0" applyAlignment="0" applyProtection="0">
      <alignment vertical="center"/>
    </xf>
    <xf numFmtId="0" fontId="249" fillId="2" borderId="0" applyNumberFormat="0" applyBorder="0" applyAlignment="0" applyProtection="0">
      <alignment vertical="center"/>
    </xf>
    <xf numFmtId="0" fontId="249" fillId="2" borderId="0" applyNumberFormat="0" applyBorder="0" applyAlignment="0" applyProtection="0">
      <alignment vertical="center"/>
    </xf>
    <xf numFmtId="0" fontId="250" fillId="0" borderId="0" applyNumberFormat="0" applyFill="0" applyBorder="0" applyAlignment="0" applyProtection="0">
      <alignment vertical="top"/>
      <protection locked="0"/>
    </xf>
    <xf numFmtId="0" fontId="251" fillId="0" borderId="18" applyNumberFormat="0" applyFill="0" applyAlignment="0" applyProtection="0">
      <alignment vertical="center"/>
    </xf>
    <xf numFmtId="0" fontId="251" fillId="0" borderId="18" applyNumberFormat="0" applyFill="0" applyAlignment="0" applyProtection="0">
      <alignment vertical="center"/>
    </xf>
    <xf numFmtId="0" fontId="251" fillId="0" borderId="18" applyNumberFormat="0" applyFill="0" applyAlignment="0" applyProtection="0">
      <alignment vertical="center"/>
    </xf>
    <xf numFmtId="0" fontId="251" fillId="0" borderId="18" applyNumberFormat="0" applyFill="0" applyAlignment="0" applyProtection="0">
      <alignment vertical="center"/>
    </xf>
    <xf numFmtId="0" fontId="252" fillId="0" borderId="19" applyNumberFormat="0" applyFill="0" applyAlignment="0" applyProtection="0">
      <alignment vertical="center"/>
    </xf>
    <xf numFmtId="0" fontId="252" fillId="0" borderId="19" applyNumberFormat="0" applyFill="0" applyAlignment="0" applyProtection="0">
      <alignment vertical="center"/>
    </xf>
    <xf numFmtId="0" fontId="252" fillId="0" borderId="19" applyNumberFormat="0" applyFill="0" applyAlignment="0" applyProtection="0">
      <alignment vertical="center"/>
    </xf>
    <xf numFmtId="0" fontId="252" fillId="0" borderId="19" applyNumberFormat="0" applyFill="0" applyAlignment="0" applyProtection="0">
      <alignment vertical="center"/>
    </xf>
    <xf numFmtId="0" fontId="253" fillId="0" borderId="20" applyNumberFormat="0" applyFill="0" applyAlignment="0" applyProtection="0">
      <alignment vertical="center"/>
    </xf>
    <xf numFmtId="0" fontId="253" fillId="0" borderId="20" applyNumberFormat="0" applyFill="0" applyAlignment="0" applyProtection="0">
      <alignment vertical="center"/>
    </xf>
    <xf numFmtId="0" fontId="253" fillId="0" borderId="20" applyNumberFormat="0" applyFill="0" applyAlignment="0" applyProtection="0">
      <alignment vertical="center"/>
    </xf>
    <xf numFmtId="0" fontId="253" fillId="0" borderId="20" applyNumberFormat="0" applyFill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3" fillId="0" borderId="0" applyNumberFormat="0" applyFill="0" applyBorder="0" applyAlignment="0" applyProtection="0">
      <alignment vertical="center"/>
    </xf>
    <xf numFmtId="0" fontId="254" fillId="23" borderId="1" applyNumberFormat="0" applyAlignment="0" applyProtection="0">
      <alignment vertical="center"/>
    </xf>
    <xf numFmtId="0" fontId="254" fillId="23" borderId="1" applyNumberFormat="0" applyAlignment="0" applyProtection="0">
      <alignment vertical="center"/>
    </xf>
    <xf numFmtId="0" fontId="254" fillId="23" borderId="1" applyNumberFormat="0" applyAlignment="0" applyProtection="0">
      <alignment vertical="center"/>
    </xf>
    <xf numFmtId="0" fontId="254" fillId="23" borderId="1" applyNumberFormat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5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0" fontId="256" fillId="0" borderId="0" applyNumberFormat="0" applyFill="0" applyBorder="0" applyAlignment="0" applyProtection="0">
      <alignment vertical="center"/>
    </xf>
    <xf numFmtId="217" fontId="99" fillId="0" borderId="0" applyFont="0" applyFill="0" applyBorder="0" applyAlignment="0" applyProtection="0"/>
    <xf numFmtId="218" fontId="99" fillId="0" borderId="0" applyFont="0" applyFill="0" applyBorder="0" applyAlignment="0" applyProtection="0"/>
    <xf numFmtId="188" fontId="93" fillId="0" borderId="0" applyFont="0" applyFill="0" applyBorder="0" applyAlignment="0" applyProtection="0"/>
    <xf numFmtId="235" fontId="93" fillId="0" borderId="0" applyFont="0" applyFill="0" applyBorder="0" applyAlignment="0" applyProtection="0"/>
    <xf numFmtId="0" fontId="257" fillId="0" borderId="0" applyFont="0" applyFill="0" applyBorder="0" applyAlignment="0" applyProtection="0"/>
    <xf numFmtId="0" fontId="257" fillId="0" borderId="0" applyFont="0" applyFill="0" applyBorder="0" applyAlignment="0" applyProtection="0"/>
    <xf numFmtId="0" fontId="258" fillId="0" borderId="6" applyNumberFormat="0" applyFill="0" applyAlignment="0" applyProtection="0">
      <alignment vertical="center"/>
    </xf>
    <xf numFmtId="0" fontId="258" fillId="0" borderId="6" applyNumberFormat="0" applyFill="0" applyAlignment="0" applyProtection="0">
      <alignment vertical="center"/>
    </xf>
    <xf numFmtId="0" fontId="258" fillId="0" borderId="6" applyNumberFormat="0" applyFill="0" applyAlignment="0" applyProtection="0">
      <alignment vertical="center"/>
    </xf>
    <xf numFmtId="0" fontId="258" fillId="0" borderId="6" applyNumberFormat="0" applyFill="0" applyAlignment="0" applyProtection="0">
      <alignment vertical="center"/>
    </xf>
    <xf numFmtId="0" fontId="75" fillId="0" borderId="0"/>
    <xf numFmtId="43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35" fillId="0" borderId="0"/>
    <xf numFmtId="0" fontId="35" fillId="0" borderId="0"/>
    <xf numFmtId="171" fontId="35" fillId="0" borderId="0"/>
    <xf numFmtId="171" fontId="35" fillId="0" borderId="0"/>
    <xf numFmtId="43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0" fontId="33" fillId="0" borderId="0"/>
    <xf numFmtId="0" fontId="259" fillId="0" borderId="0"/>
    <xf numFmtId="0" fontId="53" fillId="3" borderId="48" applyNumberFormat="0" applyAlignment="0" applyProtection="0"/>
    <xf numFmtId="0" fontId="77" fillId="23" borderId="44" applyNumberFormat="0" applyAlignment="0" applyProtection="0"/>
    <xf numFmtId="0" fontId="45" fillId="0" borderId="0"/>
    <xf numFmtId="0" fontId="33" fillId="0" borderId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77" fillId="23" borderId="48" applyNumberFormat="0" applyAlignment="0" applyProtection="0"/>
    <xf numFmtId="0" fontId="53" fillId="3" borderId="44" applyNumberFormat="0" applyAlignment="0" applyProtection="0"/>
    <xf numFmtId="0" fontId="86" fillId="0" borderId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64" fillId="0" borderId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45" fillId="6" borderId="45" applyNumberFormat="0" applyFont="0" applyAlignment="0" applyProtection="0"/>
    <xf numFmtId="0" fontId="75" fillId="6" borderId="45" applyNumberFormat="0" applyFont="0" applyAlignment="0" applyProtection="0"/>
    <xf numFmtId="0" fontId="46" fillId="0" borderId="43">
      <alignment vertical="top" wrapText="1"/>
    </xf>
    <xf numFmtId="9" fontId="33" fillId="0" borderId="0" applyFont="0" applyFill="0" applyBorder="0" applyAlignment="0" applyProtection="0"/>
    <xf numFmtId="0" fontId="79" fillId="23" borderId="46" applyNumberFormat="0" applyAlignment="0" applyProtection="0"/>
    <xf numFmtId="43" fontId="33" fillId="0" borderId="0" applyFont="0" applyFill="0" applyBorder="0" applyAlignment="0" applyProtection="0"/>
    <xf numFmtId="0" fontId="57" fillId="0" borderId="47" applyNumberFormat="0" applyFill="0" applyAlignment="0" applyProtection="0"/>
    <xf numFmtId="0" fontId="33" fillId="0" borderId="0"/>
    <xf numFmtId="0" fontId="45" fillId="6" borderId="49" applyNumberFormat="0" applyFont="0" applyAlignment="0" applyProtection="0"/>
    <xf numFmtId="0" fontId="75" fillId="6" borderId="49" applyNumberFormat="0" applyFont="0" applyAlignment="0" applyProtection="0"/>
    <xf numFmtId="0" fontId="46" fillId="0" borderId="50">
      <alignment vertical="top" wrapText="1"/>
    </xf>
    <xf numFmtId="0" fontId="259" fillId="0" borderId="0"/>
    <xf numFmtId="0" fontId="259" fillId="0" borderId="0"/>
    <xf numFmtId="0" fontId="259" fillId="0" borderId="0"/>
    <xf numFmtId="0" fontId="32" fillId="0" borderId="0"/>
    <xf numFmtId="0" fontId="77" fillId="23" borderId="51" applyNumberFormat="0" applyAlignment="0" applyProtection="0"/>
    <xf numFmtId="164" fontId="32" fillId="0" borderId="0" applyFont="0" applyFill="0" applyBorder="0" applyAlignment="0" applyProtection="0"/>
    <xf numFmtId="164" fontId="32" fillId="0" borderId="0" applyFont="0" applyFill="0" applyBorder="0" applyAlignment="0" applyProtection="0"/>
    <xf numFmtId="0" fontId="53" fillId="3" borderId="51" applyNumberFormat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45" fillId="6" borderId="52" applyNumberFormat="0" applyFont="0" applyAlignment="0" applyProtection="0"/>
    <xf numFmtId="0" fontId="75" fillId="6" borderId="52" applyNumberFormat="0" applyFont="0" applyAlignment="0" applyProtection="0"/>
    <xf numFmtId="9" fontId="32" fillId="0" borderId="0" applyFont="0" applyFill="0" applyBorder="0" applyAlignment="0" applyProtection="0"/>
    <xf numFmtId="0" fontId="79" fillId="23" borderId="53" applyNumberFormat="0" applyAlignment="0" applyProtection="0"/>
    <xf numFmtId="43" fontId="32" fillId="0" borderId="0" applyFont="0" applyFill="0" applyBorder="0" applyAlignment="0" applyProtection="0"/>
    <xf numFmtId="0" fontId="83" fillId="0" borderId="54" applyNumberFormat="0" applyFill="0" applyAlignment="0" applyProtection="0"/>
    <xf numFmtId="0" fontId="57" fillId="0" borderId="55" applyNumberFormat="0" applyFill="0" applyAlignment="0" applyProtection="0"/>
    <xf numFmtId="0" fontId="31" fillId="0" borderId="0"/>
    <xf numFmtId="43" fontId="31" fillId="0" borderId="0" applyFont="0" applyFill="0" applyBorder="0" applyAlignment="0" applyProtection="0"/>
    <xf numFmtId="171" fontId="30" fillId="0" borderId="0"/>
    <xf numFmtId="43" fontId="31" fillId="0" borderId="0" applyFont="0" applyFill="0" applyBorder="0" applyAlignment="0" applyProtection="0"/>
    <xf numFmtId="171" fontId="30" fillId="0" borderId="0"/>
    <xf numFmtId="171" fontId="30" fillId="0" borderId="0"/>
    <xf numFmtId="0" fontId="30" fillId="0" borderId="0"/>
    <xf numFmtId="0" fontId="26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9" fillId="0" borderId="0"/>
    <xf numFmtId="171" fontId="28" fillId="0" borderId="0"/>
    <xf numFmtId="171" fontId="28" fillId="0" borderId="0"/>
    <xf numFmtId="171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1" fontId="27" fillId="0" borderId="0"/>
    <xf numFmtId="171" fontId="27" fillId="0" borderId="0"/>
    <xf numFmtId="171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71" fontId="27" fillId="0" borderId="0"/>
    <xf numFmtId="0" fontId="27" fillId="0" borderId="0"/>
    <xf numFmtId="171" fontId="26" fillId="0" borderId="0"/>
    <xf numFmtId="171" fontId="26" fillId="0" borderId="0"/>
    <xf numFmtId="0" fontId="25" fillId="0" borderId="0"/>
    <xf numFmtId="43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171" fontId="25" fillId="0" borderId="0"/>
    <xf numFmtId="171" fontId="25" fillId="0" borderId="0"/>
    <xf numFmtId="0" fontId="25" fillId="0" borderId="0"/>
    <xf numFmtId="0" fontId="31" fillId="0" borderId="0"/>
    <xf numFmtId="0" fontId="25" fillId="0" borderId="0"/>
    <xf numFmtId="171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171" fontId="25" fillId="0" borderId="0"/>
    <xf numFmtId="0" fontId="25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171" fontId="23" fillId="0" borderId="0"/>
    <xf numFmtId="171" fontId="23" fillId="0" borderId="0"/>
    <xf numFmtId="0" fontId="23" fillId="0" borderId="0"/>
    <xf numFmtId="171" fontId="23" fillId="0" borderId="0"/>
    <xf numFmtId="0" fontId="23" fillId="0" borderId="0"/>
    <xf numFmtId="0" fontId="23" fillId="0" borderId="0"/>
    <xf numFmtId="0" fontId="23" fillId="0" borderId="0"/>
    <xf numFmtId="171" fontId="23" fillId="0" borderId="0"/>
    <xf numFmtId="0" fontId="23" fillId="0" borderId="0"/>
    <xf numFmtId="0" fontId="23" fillId="0" borderId="0"/>
    <xf numFmtId="0" fontId="22" fillId="0" borderId="0"/>
    <xf numFmtId="43" fontId="22" fillId="0" borderId="0" applyFont="0" applyFill="0" applyBorder="0" applyAlignment="0" applyProtection="0"/>
    <xf numFmtId="171" fontId="22" fillId="0" borderId="0"/>
    <xf numFmtId="0" fontId="22" fillId="0" borderId="0"/>
    <xf numFmtId="0" fontId="22" fillId="0" borderId="0"/>
    <xf numFmtId="171" fontId="22" fillId="0" borderId="0"/>
    <xf numFmtId="0" fontId="53" fillId="3" borderId="58" applyNumberFormat="0" applyAlignment="0" applyProtection="0"/>
    <xf numFmtId="0" fontId="21" fillId="0" borderId="0"/>
    <xf numFmtId="0" fontId="21" fillId="0" borderId="0"/>
    <xf numFmtId="0" fontId="21" fillId="0" borderId="0"/>
    <xf numFmtId="0" fontId="45" fillId="6" borderId="59" applyNumberFormat="0" applyFont="0" applyAlignment="0" applyProtection="0"/>
    <xf numFmtId="0" fontId="46" fillId="0" borderId="56">
      <alignment vertical="top" wrapText="1"/>
    </xf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31" fillId="0" borderId="0"/>
    <xf numFmtId="165" fontId="21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21" fillId="0" borderId="0"/>
    <xf numFmtId="165" fontId="21" fillId="0" borderId="0" applyFont="0" applyFill="0" applyBorder="0" applyAlignment="0" applyProtection="0"/>
    <xf numFmtId="0" fontId="21" fillId="0" borderId="0"/>
    <xf numFmtId="0" fontId="55" fillId="0" borderId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7" fillId="23" borderId="58" applyNumberFormat="0" applyAlignment="0" applyProtection="0"/>
    <xf numFmtId="165" fontId="21" fillId="0" borderId="0" applyFont="0" applyFill="0" applyBorder="0" applyAlignment="0" applyProtection="0"/>
    <xf numFmtId="0" fontId="55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5" fillId="6" borderId="59" applyNumberFormat="0" applyFont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71" fontId="77" fillId="23" borderId="58" applyNumberFormat="0" applyAlignment="0" applyProtection="0"/>
    <xf numFmtId="164" fontId="21" fillId="0" borderId="0" applyFont="0" applyFill="0" applyBorder="0" applyAlignment="0" applyProtection="0"/>
    <xf numFmtId="171" fontId="53" fillId="3" borderId="58" applyNumberFormat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21" fillId="0" borderId="0"/>
    <xf numFmtId="171" fontId="75" fillId="6" borderId="59" applyNumberFormat="0" applyFon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71" fontId="79" fillId="23" borderId="53" applyNumberFormat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83" fillId="0" borderId="54" applyNumberFormat="0" applyFill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/>
    <xf numFmtId="0" fontId="66" fillId="0" borderId="57">
      <alignment horizontal="center"/>
    </xf>
    <xf numFmtId="3" fontId="98" fillId="0" borderId="56"/>
    <xf numFmtId="0" fontId="170" fillId="30" borderId="64">
      <alignment vertical="top"/>
    </xf>
    <xf numFmtId="0" fontId="163" fillId="31" borderId="71"/>
    <xf numFmtId="10" fontId="48" fillId="7" borderId="65" applyNumberFormat="0" applyBorder="0" applyAlignment="0" applyProtection="0"/>
    <xf numFmtId="0" fontId="53" fillId="3" borderId="67" applyNumberFormat="0" applyAlignment="0" applyProtection="0"/>
    <xf numFmtId="0" fontId="92" fillId="0" borderId="66">
      <alignment horizontal="left" vertical="center"/>
    </xf>
    <xf numFmtId="0" fontId="153" fillId="0" borderId="71"/>
    <xf numFmtId="3" fontId="148" fillId="0" borderId="65">
      <alignment horizontal="center" vertical="center"/>
    </xf>
    <xf numFmtId="1" fontId="148" fillId="0" borderId="65">
      <alignment horizontal="center" vertical="center"/>
    </xf>
    <xf numFmtId="0" fontId="77" fillId="23" borderId="67" applyNumberFormat="0" applyAlignment="0" applyProtection="0"/>
    <xf numFmtId="0" fontId="127" fillId="1" borderId="65">
      <alignment horizontal="left" vertical="center" wrapText="1"/>
    </xf>
    <xf numFmtId="0" fontId="127" fillId="1" borderId="65">
      <alignment horizontal="center" vertical="center"/>
    </xf>
    <xf numFmtId="3" fontId="98" fillId="0" borderId="56"/>
    <xf numFmtId="3" fontId="98" fillId="0" borderId="56"/>
    <xf numFmtId="3" fontId="98" fillId="0" borderId="65"/>
    <xf numFmtId="3" fontId="98" fillId="0" borderId="65"/>
    <xf numFmtId="0" fontId="127" fillId="1" borderId="56">
      <alignment horizontal="center" vertical="center"/>
    </xf>
    <xf numFmtId="0" fontId="127" fillId="1" borderId="56">
      <alignment horizontal="left" vertical="center" wrapText="1"/>
    </xf>
    <xf numFmtId="0" fontId="77" fillId="23" borderId="58" applyNumberFormat="0" applyAlignment="0" applyProtection="0"/>
    <xf numFmtId="1" fontId="148" fillId="0" borderId="56">
      <alignment horizontal="center" vertical="center"/>
    </xf>
    <xf numFmtId="3" fontId="148" fillId="0" borderId="56">
      <alignment horizontal="center" vertical="center"/>
    </xf>
    <xf numFmtId="0" fontId="149" fillId="29" borderId="57">
      <alignment horizontal="center" wrapText="1"/>
    </xf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153" fillId="0" borderId="62"/>
    <xf numFmtId="0" fontId="92" fillId="0" borderId="61">
      <alignment horizontal="left" vertical="center"/>
    </xf>
    <xf numFmtId="0" fontId="83" fillId="0" borderId="54" applyNumberFormat="0" applyFill="0" applyAlignment="0" applyProtection="0"/>
    <xf numFmtId="0" fontId="53" fillId="3" borderId="58" applyNumberFormat="0" applyAlignment="0" applyProtection="0"/>
    <xf numFmtId="10" fontId="48" fillId="7" borderId="56" applyNumberFormat="0" applyBorder="0" applyAlignment="0" applyProtection="0"/>
    <xf numFmtId="0" fontId="163" fillId="31" borderId="62"/>
    <xf numFmtId="165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70" fillId="30" borderId="60">
      <alignment vertical="top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5" fillId="6" borderId="59" applyNumberFormat="0" applyFont="0" applyAlignment="0" applyProtection="0"/>
    <xf numFmtId="0" fontId="45" fillId="6" borderId="59" applyNumberFormat="0" applyFont="0" applyAlignment="0" applyProtection="0"/>
    <xf numFmtId="0" fontId="79" fillId="23" borderId="53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41" fontId="21" fillId="0" borderId="0" applyFont="0" applyFill="0" applyBorder="0" applyAlignment="0" applyProtection="0"/>
    <xf numFmtId="0" fontId="153" fillId="0" borderId="62"/>
    <xf numFmtId="0" fontId="163" fillId="0" borderId="62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5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45" fillId="6" borderId="59" applyNumberFormat="0" applyFont="0" applyAlignment="0" applyProtection="0">
      <alignment vertical="center"/>
    </xf>
    <xf numFmtId="0" fontId="207" fillId="36" borderId="61"/>
    <xf numFmtId="3" fontId="98" fillId="0" borderId="65"/>
    <xf numFmtId="171" fontId="79" fillId="23" borderId="70" applyNumberFormat="0" applyAlignment="0" applyProtection="0"/>
    <xf numFmtId="171" fontId="75" fillId="6" borderId="68" applyNumberFormat="0" applyFont="0" applyAlignment="0" applyProtection="0"/>
    <xf numFmtId="171" fontId="53" fillId="3" borderId="67" applyNumberFormat="0" applyAlignment="0" applyProtection="0"/>
    <xf numFmtId="171" fontId="77" fillId="23" borderId="67" applyNumberFormat="0" applyAlignment="0" applyProtection="0"/>
    <xf numFmtId="0" fontId="75" fillId="6" borderId="68" applyNumberFormat="0" applyFont="0" applyAlignment="0" applyProtection="0"/>
    <xf numFmtId="0" fontId="79" fillId="23" borderId="70" applyNumberFormat="0" applyAlignment="0" applyProtection="0"/>
    <xf numFmtId="0" fontId="77" fillId="23" borderId="67" applyNumberFormat="0" applyAlignment="0" applyProtection="0"/>
    <xf numFmtId="0" fontId="213" fillId="0" borderId="63" applyNumberFormat="0" applyFill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23" fillId="0" borderId="54" applyNumberFormat="0" applyFill="0" applyAlignment="0" applyProtection="0">
      <alignment vertical="center"/>
    </xf>
    <xf numFmtId="0" fontId="223" fillId="0" borderId="54" applyNumberFormat="0" applyFill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23" borderId="53" applyNumberFormat="0" applyAlignment="0" applyProtection="0">
      <alignment vertical="center"/>
    </xf>
    <xf numFmtId="0" fontId="228" fillId="23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228" fillId="35" borderId="53" applyNumberFormat="0" applyAlignment="0" applyProtection="0">
      <alignment vertical="center"/>
    </xf>
    <xf numFmtId="0" fontId="93" fillId="0" borderId="56" applyNumberFormat="0" applyFill="0" applyProtection="0">
      <alignment vertical="center"/>
    </xf>
    <xf numFmtId="0" fontId="93" fillId="0" borderId="56" applyNumberFormat="0" applyFill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40" fillId="23" borderId="53" applyNumberFormat="0" applyAlignment="0" applyProtection="0">
      <alignment vertical="center"/>
    </xf>
    <xf numFmtId="0" fontId="240" fillId="23" borderId="53" applyNumberFormat="0" applyAlignment="0" applyProtection="0">
      <alignment vertical="center"/>
    </xf>
    <xf numFmtId="0" fontId="240" fillId="23" borderId="53" applyNumberFormat="0" applyAlignment="0" applyProtection="0">
      <alignment vertical="center"/>
    </xf>
    <xf numFmtId="0" fontId="57" fillId="0" borderId="69" applyNumberFormat="0" applyFill="0" applyAlignment="0" applyProtection="0"/>
    <xf numFmtId="0" fontId="253" fillId="0" borderId="54" applyNumberFormat="0" applyFill="0" applyAlignment="0" applyProtection="0">
      <alignment vertical="center"/>
    </xf>
    <xf numFmtId="0" fontId="253" fillId="0" borderId="54" applyNumberFormat="0" applyFill="0" applyAlignment="0" applyProtection="0">
      <alignment vertical="center"/>
    </xf>
    <xf numFmtId="0" fontId="253" fillId="0" borderId="54" applyNumberFormat="0" applyFill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46" fillId="0" borderId="65">
      <alignment vertical="top" wrapText="1"/>
    </xf>
    <xf numFmtId="0" fontId="45" fillId="6" borderId="68" applyNumberFormat="0" applyFont="0" applyAlignment="0" applyProtection="0"/>
    <xf numFmtId="0" fontId="53" fillId="3" borderId="67" applyNumberFormat="0" applyAlignment="0" applyProtection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0" fontId="21" fillId="0" borderId="0"/>
    <xf numFmtId="171" fontId="21" fillId="0" borderId="0"/>
    <xf numFmtId="171" fontId="21" fillId="0" borderId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45" fillId="0" borderId="0"/>
    <xf numFmtId="0" fontId="53" fillId="3" borderId="51" applyNumberFormat="0" applyAlignment="0" applyProtection="0"/>
    <xf numFmtId="0" fontId="77" fillId="23" borderId="51" applyNumberFormat="0" applyAlignment="0" applyProtection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77" fillId="23" borderId="51" applyNumberFormat="0" applyAlignment="0" applyProtection="0"/>
    <xf numFmtId="0" fontId="53" fillId="3" borderId="51" applyNumberFormat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5" fillId="6" borderId="59" applyNumberFormat="0" applyFont="0" applyAlignment="0" applyProtection="0"/>
    <xf numFmtId="0" fontId="75" fillId="6" borderId="59" applyNumberFormat="0" applyFont="0" applyAlignment="0" applyProtection="0"/>
    <xf numFmtId="0" fontId="46" fillId="0" borderId="50">
      <alignment vertical="top" wrapText="1"/>
    </xf>
    <xf numFmtId="9" fontId="21" fillId="0" borderId="0" applyFont="0" applyFill="0" applyBorder="0" applyAlignment="0" applyProtection="0"/>
    <xf numFmtId="0" fontId="79" fillId="23" borderId="53" applyNumberFormat="0" applyAlignment="0" applyProtection="0"/>
    <xf numFmtId="43" fontId="21" fillId="0" borderId="0" applyFont="0" applyFill="0" applyBorder="0" applyAlignment="0" applyProtection="0"/>
    <xf numFmtId="0" fontId="57" fillId="0" borderId="55" applyNumberFormat="0" applyFill="0" applyAlignment="0" applyProtection="0"/>
    <xf numFmtId="0" fontId="21" fillId="0" borderId="0"/>
    <xf numFmtId="0" fontId="45" fillId="6" borderId="59" applyNumberFormat="0" applyFont="0" applyAlignment="0" applyProtection="0"/>
    <xf numFmtId="0" fontId="75" fillId="6" borderId="59" applyNumberFormat="0" applyFont="0" applyAlignment="0" applyProtection="0"/>
    <xf numFmtId="0" fontId="45" fillId="0" borderId="0"/>
    <xf numFmtId="0" fontId="45" fillId="0" borderId="0"/>
    <xf numFmtId="0" fontId="45" fillId="0" borderId="0"/>
    <xf numFmtId="0" fontId="21" fillId="0" borderId="0"/>
    <xf numFmtId="164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5" fillId="6" borderId="59" applyNumberFormat="0" applyFont="0" applyAlignment="0" applyProtection="0"/>
    <xf numFmtId="0" fontId="75" fillId="6" borderId="59" applyNumberFormat="0" applyFont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171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171" fontId="21" fillId="0" borderId="0"/>
    <xf numFmtId="171" fontId="21" fillId="0" borderId="0"/>
    <xf numFmtId="0" fontId="21" fillId="0" borderId="0"/>
    <xf numFmtId="43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171" fontId="21" fillId="0" borderId="0"/>
    <xf numFmtId="171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171" fontId="21" fillId="0" borderId="0"/>
    <xf numFmtId="171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171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71" fontId="21" fillId="0" borderId="0"/>
    <xf numFmtId="0" fontId="21" fillId="0" borderId="0"/>
    <xf numFmtId="0" fontId="21" fillId="0" borderId="0"/>
    <xf numFmtId="171" fontId="21" fillId="0" borderId="0"/>
    <xf numFmtId="0" fontId="75" fillId="6" borderId="68" applyNumberFormat="0" applyFont="0" applyAlignment="0" applyProtection="0"/>
    <xf numFmtId="0" fontId="45" fillId="6" borderId="68" applyNumberFormat="0" applyFont="0" applyAlignment="0" applyProtection="0"/>
    <xf numFmtId="0" fontId="79" fillId="23" borderId="70" applyNumberFormat="0" applyAlignment="0" applyProtection="0"/>
    <xf numFmtId="0" fontId="153" fillId="0" borderId="71"/>
    <xf numFmtId="0" fontId="163" fillId="0" borderId="71"/>
    <xf numFmtId="0" fontId="93" fillId="6" borderId="68" applyNumberFormat="0" applyFon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3" fillId="23" borderId="67" applyNumberFormat="0" applyAlignment="0" applyProtection="0">
      <alignment vertical="center"/>
    </xf>
    <xf numFmtId="0" fontId="193" fillId="23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192" fillId="35" borderId="67" applyNumberForma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95" fillId="6" borderId="68" applyNumberFormat="0" applyFon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93" fillId="6" borderId="68" applyNumberFormat="0" applyFont="0" applyAlignment="0" applyProtection="0">
      <alignment vertical="center"/>
    </xf>
    <xf numFmtId="0" fontId="45" fillId="6" borderId="68" applyNumberFormat="0" applyFont="0" applyAlignment="0" applyProtection="0">
      <alignment vertical="center"/>
    </xf>
    <xf numFmtId="0" fontId="207" fillId="36" borderId="66"/>
    <xf numFmtId="0" fontId="213" fillId="0" borderId="69" applyNumberFormat="0" applyFill="0" applyAlignment="0" applyProtection="0">
      <alignment vertical="center"/>
    </xf>
    <xf numFmtId="0" fontId="213" fillId="0" borderId="72" applyNumberFormat="0" applyFill="0" applyAlignment="0" applyProtection="0">
      <alignment vertical="center"/>
    </xf>
    <xf numFmtId="0" fontId="213" fillId="0" borderId="69" applyNumberFormat="0" applyFill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3" borderId="67" applyNumberFormat="0" applyAlignment="0" applyProtection="0">
      <alignment vertical="center"/>
    </xf>
    <xf numFmtId="0" fontId="217" fillId="3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17" fillId="5" borderId="67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23" borderId="70" applyNumberFormat="0" applyAlignment="0" applyProtection="0">
      <alignment vertical="center"/>
    </xf>
    <xf numFmtId="0" fontId="228" fillId="23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228" fillId="35" borderId="70" applyNumberFormat="0" applyAlignment="0" applyProtection="0">
      <alignment vertical="center"/>
    </xf>
    <xf numFmtId="0" fontId="93" fillId="0" borderId="65" applyNumberFormat="0" applyFill="0" applyProtection="0">
      <alignment vertical="center"/>
    </xf>
    <xf numFmtId="0" fontId="93" fillId="0" borderId="65" applyNumberFormat="0" applyFill="0" applyProtection="0">
      <alignment vertical="center"/>
    </xf>
    <xf numFmtId="0" fontId="239" fillId="3" borderId="67" applyNumberFormat="0" applyAlignment="0" applyProtection="0">
      <alignment vertical="center"/>
    </xf>
    <xf numFmtId="0" fontId="239" fillId="3" borderId="67" applyNumberFormat="0" applyAlignment="0" applyProtection="0">
      <alignment vertical="center"/>
    </xf>
    <xf numFmtId="0" fontId="239" fillId="3" borderId="67" applyNumberFormat="0" applyAlignment="0" applyProtection="0">
      <alignment vertical="center"/>
    </xf>
    <xf numFmtId="0" fontId="240" fillId="23" borderId="70" applyNumberFormat="0" applyAlignment="0" applyProtection="0">
      <alignment vertical="center"/>
    </xf>
    <xf numFmtId="0" fontId="240" fillId="23" borderId="70" applyNumberFormat="0" applyAlignment="0" applyProtection="0">
      <alignment vertical="center"/>
    </xf>
    <xf numFmtId="0" fontId="240" fillId="23" borderId="70" applyNumberFormat="0" applyAlignment="0" applyProtection="0">
      <alignment vertical="center"/>
    </xf>
    <xf numFmtId="0" fontId="254" fillId="23" borderId="67" applyNumberFormat="0" applyAlignment="0" applyProtection="0">
      <alignment vertical="center"/>
    </xf>
    <xf numFmtId="0" fontId="254" fillId="23" borderId="67" applyNumberFormat="0" applyAlignment="0" applyProtection="0">
      <alignment vertical="center"/>
    </xf>
    <xf numFmtId="0" fontId="254" fillId="23" borderId="67" applyNumberFormat="0" applyAlignment="0" applyProtection="0">
      <alignment vertical="center"/>
    </xf>
    <xf numFmtId="0" fontId="258" fillId="0" borderId="69" applyNumberFormat="0" applyFill="0" applyAlignment="0" applyProtection="0">
      <alignment vertical="center"/>
    </xf>
    <xf numFmtId="0" fontId="258" fillId="0" borderId="69" applyNumberFormat="0" applyFill="0" applyAlignment="0" applyProtection="0">
      <alignment vertical="center"/>
    </xf>
    <xf numFmtId="0" fontId="258" fillId="0" borderId="69" applyNumberFormat="0" applyFill="0" applyAlignment="0" applyProtection="0">
      <alignment vertical="center"/>
    </xf>
    <xf numFmtId="0" fontId="53" fillId="3" borderId="74" applyNumberFormat="0" applyAlignment="0" applyProtection="0"/>
    <xf numFmtId="0" fontId="77" fillId="23" borderId="74" applyNumberFormat="0" applyAlignment="0" applyProtection="0"/>
    <xf numFmtId="0" fontId="77" fillId="23" borderId="74" applyNumberFormat="0" applyAlignment="0" applyProtection="0"/>
    <xf numFmtId="0" fontId="53" fillId="3" borderId="74" applyNumberFormat="0" applyAlignment="0" applyProtection="0"/>
    <xf numFmtId="0" fontId="45" fillId="6" borderId="75" applyNumberFormat="0" applyFont="0" applyAlignment="0" applyProtection="0"/>
    <xf numFmtId="0" fontId="75" fillId="6" borderId="75" applyNumberFormat="0" applyFont="0" applyAlignment="0" applyProtection="0"/>
    <xf numFmtId="0" fontId="46" fillId="0" borderId="73">
      <alignment vertical="top" wrapText="1"/>
    </xf>
    <xf numFmtId="0" fontId="79" fillId="23" borderId="76" applyNumberFormat="0" applyAlignment="0" applyProtection="0"/>
    <xf numFmtId="0" fontId="57" fillId="0" borderId="77" applyNumberFormat="0" applyFill="0" applyAlignment="0" applyProtection="0"/>
    <xf numFmtId="0" fontId="45" fillId="6" borderId="75" applyNumberFormat="0" applyFont="0" applyAlignment="0" applyProtection="0"/>
    <xf numFmtId="0" fontId="75" fillId="6" borderId="75" applyNumberFormat="0" applyFont="0" applyAlignment="0" applyProtection="0"/>
    <xf numFmtId="0" fontId="77" fillId="23" borderId="74" applyNumberFormat="0" applyAlignment="0" applyProtection="0"/>
    <xf numFmtId="0" fontId="53" fillId="3" borderId="74" applyNumberFormat="0" applyAlignment="0" applyProtection="0"/>
    <xf numFmtId="0" fontId="45" fillId="6" borderId="75" applyNumberFormat="0" applyFont="0" applyAlignment="0" applyProtection="0"/>
    <xf numFmtId="0" fontId="75" fillId="6" borderId="75" applyNumberFormat="0" applyFont="0" applyAlignment="0" applyProtection="0"/>
    <xf numFmtId="0" fontId="79" fillId="23" borderId="76" applyNumberFormat="0" applyAlignment="0" applyProtection="0"/>
    <xf numFmtId="0" fontId="57" fillId="0" borderId="77" applyNumberFormat="0" applyFill="0" applyAlignment="0" applyProtection="0"/>
    <xf numFmtId="171" fontId="20" fillId="0" borderId="0"/>
    <xf numFmtId="0" fontId="31" fillId="0" borderId="0"/>
    <xf numFmtId="171" fontId="2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3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75" fillId="0" borderId="0"/>
    <xf numFmtId="43" fontId="19" fillId="0" borderId="0" applyFont="0" applyFill="0" applyBorder="0" applyAlignment="0" applyProtection="0"/>
    <xf numFmtId="0" fontId="19" fillId="0" borderId="0"/>
    <xf numFmtId="171" fontId="19" fillId="0" borderId="0"/>
    <xf numFmtId="43" fontId="18" fillId="0" borderId="0" applyFont="0" applyFill="0" applyBorder="0" applyAlignment="0" applyProtection="0"/>
    <xf numFmtId="0" fontId="18" fillId="0" borderId="0"/>
    <xf numFmtId="171" fontId="18" fillId="0" borderId="0"/>
    <xf numFmtId="171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171" fontId="18" fillId="0" borderId="0"/>
    <xf numFmtId="171" fontId="18" fillId="0" borderId="0"/>
    <xf numFmtId="9" fontId="18" fillId="0" borderId="0" applyFont="0" applyFill="0" applyBorder="0" applyAlignment="0" applyProtection="0"/>
    <xf numFmtId="0" fontId="45" fillId="0" borderId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57" fillId="0" borderId="78" applyNumberFormat="0" applyFill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9" fillId="23" borderId="79" applyNumberFormat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71" fontId="77" fillId="23" borderId="74" applyNumberFormat="0" applyAlignment="0" applyProtection="0"/>
    <xf numFmtId="164" fontId="18" fillId="0" borderId="0" applyFont="0" applyFill="0" applyBorder="0" applyAlignment="0" applyProtection="0"/>
    <xf numFmtId="171" fontId="53" fillId="3" borderId="74" applyNumberFormat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0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18" fillId="0" borderId="0"/>
    <xf numFmtId="171" fontId="75" fillId="6" borderId="75" applyNumberFormat="0" applyFon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171" fontId="79" fillId="23" borderId="79" applyNumberFormat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1" fontId="18" fillId="0" borderId="0"/>
    <xf numFmtId="0" fontId="77" fillId="23" borderId="74" applyNumberFormat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53" fillId="3" borderId="74" applyNumberFormat="0" applyAlignment="0" applyProtection="0"/>
    <xf numFmtId="165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1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5" fillId="6" borderId="75" applyNumberFormat="0" applyFont="0" applyAlignment="0" applyProtection="0"/>
    <xf numFmtId="0" fontId="45" fillId="6" borderId="75" applyNumberFormat="0" applyFont="0" applyAlignment="0" applyProtection="0"/>
    <xf numFmtId="0" fontId="79" fillId="23" borderId="79" applyNumberFormat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93" fillId="6" borderId="75" applyNumberFormat="0" applyFon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3" fillId="23" borderId="74" applyNumberFormat="0" applyAlignment="0" applyProtection="0">
      <alignment vertical="center"/>
    </xf>
    <xf numFmtId="0" fontId="193" fillId="23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192" fillId="35" borderId="74" applyNumberForma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95" fillId="6" borderId="75" applyNumberFormat="0" applyFon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93" fillId="6" borderId="75" applyNumberFormat="0" applyFont="0" applyAlignment="0" applyProtection="0">
      <alignment vertical="center"/>
    </xf>
    <xf numFmtId="0" fontId="45" fillId="6" borderId="75" applyNumberFormat="0" applyFont="0" applyAlignment="0" applyProtection="0">
      <alignment vertical="center"/>
    </xf>
    <xf numFmtId="0" fontId="213" fillId="0" borderId="78" applyNumberFormat="0" applyFill="0" applyAlignment="0" applyProtection="0">
      <alignment vertical="center"/>
    </xf>
    <xf numFmtId="0" fontId="213" fillId="0" borderId="78" applyNumberFormat="0" applyFill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3" borderId="74" applyNumberFormat="0" applyAlignment="0" applyProtection="0">
      <alignment vertical="center"/>
    </xf>
    <xf numFmtId="0" fontId="217" fillId="3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17" fillId="5" borderId="74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23" borderId="79" applyNumberFormat="0" applyAlignment="0" applyProtection="0">
      <alignment vertical="center"/>
    </xf>
    <xf numFmtId="0" fontId="228" fillId="23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28" fillId="35" borderId="79" applyNumberFormat="0" applyAlignment="0" applyProtection="0">
      <alignment vertical="center"/>
    </xf>
    <xf numFmtId="0" fontId="239" fillId="3" borderId="74" applyNumberFormat="0" applyAlignment="0" applyProtection="0">
      <alignment vertical="center"/>
    </xf>
    <xf numFmtId="0" fontId="239" fillId="3" borderId="74" applyNumberFormat="0" applyAlignment="0" applyProtection="0">
      <alignment vertical="center"/>
    </xf>
    <xf numFmtId="0" fontId="239" fillId="3" borderId="74" applyNumberFormat="0" applyAlignment="0" applyProtection="0">
      <alignment vertical="center"/>
    </xf>
    <xf numFmtId="0" fontId="240" fillId="23" borderId="79" applyNumberFormat="0" applyAlignment="0" applyProtection="0">
      <alignment vertical="center"/>
    </xf>
    <xf numFmtId="0" fontId="240" fillId="23" borderId="79" applyNumberFormat="0" applyAlignment="0" applyProtection="0">
      <alignment vertical="center"/>
    </xf>
    <xf numFmtId="0" fontId="240" fillId="23" borderId="79" applyNumberFormat="0" applyAlignment="0" applyProtection="0">
      <alignment vertical="center"/>
    </xf>
    <xf numFmtId="0" fontId="254" fillId="23" borderId="74" applyNumberFormat="0" applyAlignment="0" applyProtection="0">
      <alignment vertical="center"/>
    </xf>
    <xf numFmtId="0" fontId="254" fillId="23" borderId="74" applyNumberFormat="0" applyAlignment="0" applyProtection="0">
      <alignment vertical="center"/>
    </xf>
    <xf numFmtId="0" fontId="254" fillId="23" borderId="74" applyNumberFormat="0" applyAlignment="0" applyProtection="0">
      <alignment vertical="center"/>
    </xf>
    <xf numFmtId="0" fontId="258" fillId="0" borderId="78" applyNumberFormat="0" applyFill="0" applyAlignment="0" applyProtection="0">
      <alignment vertical="center"/>
    </xf>
    <xf numFmtId="0" fontId="258" fillId="0" borderId="78" applyNumberFormat="0" applyFill="0" applyAlignment="0" applyProtection="0">
      <alignment vertical="center"/>
    </xf>
    <xf numFmtId="0" fontId="258" fillId="0" borderId="78" applyNumberFormat="0" applyFill="0" applyAlignment="0" applyProtection="0">
      <alignment vertical="center"/>
    </xf>
    <xf numFmtId="43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8" fillId="0" borderId="0"/>
    <xf numFmtId="0" fontId="18" fillId="0" borderId="0"/>
    <xf numFmtId="171" fontId="18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53" fillId="3" borderId="58" applyNumberFormat="0" applyAlignment="0" applyProtection="0"/>
    <xf numFmtId="0" fontId="77" fillId="23" borderId="58" applyNumberFormat="0" applyAlignment="0" applyProtection="0"/>
    <xf numFmtId="0" fontId="18" fillId="0" borderId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77" fillId="23" borderId="58" applyNumberFormat="0" applyAlignment="0" applyProtection="0"/>
    <xf numFmtId="0" fontId="53" fillId="3" borderId="58" applyNumberForma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6" fillId="0" borderId="65">
      <alignment vertical="top" wrapText="1"/>
    </xf>
    <xf numFmtId="9" fontId="18" fillId="0" borderId="0" applyFont="0" applyFill="0" applyBorder="0" applyAlignment="0" applyProtection="0"/>
    <xf numFmtId="0" fontId="79" fillId="23" borderId="79" applyNumberFormat="0" applyAlignment="0" applyProtection="0"/>
    <xf numFmtId="43" fontId="18" fillId="0" borderId="0" applyFont="0" applyFill="0" applyBorder="0" applyAlignment="0" applyProtection="0"/>
    <xf numFmtId="0" fontId="57" fillId="0" borderId="78" applyNumberFormat="0" applyFill="0" applyAlignment="0" applyProtection="0"/>
    <xf numFmtId="0" fontId="18" fillId="0" borderId="0"/>
    <xf numFmtId="0" fontId="46" fillId="0" borderId="56">
      <alignment vertical="top" wrapText="1"/>
    </xf>
    <xf numFmtId="0" fontId="18" fillId="0" borderId="0"/>
    <xf numFmtId="0" fontId="77" fillId="23" borderId="80" applyNumberFormat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53" fillId="3" borderId="80" applyNumberFormat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5" fillId="6" borderId="81" applyNumberFormat="0" applyFont="0" applyAlignment="0" applyProtection="0"/>
    <xf numFmtId="0" fontId="75" fillId="6" borderId="81" applyNumberFormat="0" applyFont="0" applyAlignment="0" applyProtection="0"/>
    <xf numFmtId="9" fontId="18" fillId="0" borderId="0" applyFont="0" applyFill="0" applyBorder="0" applyAlignment="0" applyProtection="0"/>
    <xf numFmtId="0" fontId="79" fillId="23" borderId="82" applyNumberFormat="0" applyAlignment="0" applyProtection="0"/>
    <xf numFmtId="43" fontId="18" fillId="0" borderId="0" applyFont="0" applyFill="0" applyBorder="0" applyAlignment="0" applyProtection="0"/>
    <xf numFmtId="0" fontId="83" fillId="0" borderId="83" applyNumberFormat="0" applyFill="0" applyAlignment="0" applyProtection="0"/>
    <xf numFmtId="0" fontId="57" fillId="0" borderId="84" applyNumberFormat="0" applyFill="0" applyAlignment="0" applyProtection="0"/>
    <xf numFmtId="43" fontId="17" fillId="0" borderId="0" applyFont="0" applyFill="0" applyBorder="0" applyAlignment="0" applyProtection="0"/>
    <xf numFmtId="0" fontId="17" fillId="0" borderId="0"/>
    <xf numFmtId="0" fontId="261" fillId="0" borderId="0"/>
    <xf numFmtId="3" fontId="98" fillId="0" borderId="73"/>
    <xf numFmtId="3" fontId="98" fillId="0" borderId="73"/>
    <xf numFmtId="3" fontId="98" fillId="0" borderId="73"/>
    <xf numFmtId="3" fontId="98" fillId="0" borderId="73"/>
    <xf numFmtId="3" fontId="98" fillId="0" borderId="73"/>
    <xf numFmtId="3" fontId="98" fillId="0" borderId="73"/>
    <xf numFmtId="0" fontId="127" fillId="1" borderId="73">
      <alignment horizontal="center" vertical="center"/>
    </xf>
    <xf numFmtId="0" fontId="127" fillId="1" borderId="73">
      <alignment horizontal="center" vertical="center"/>
    </xf>
    <xf numFmtId="0" fontId="127" fillId="1" borderId="73">
      <alignment horizontal="left" vertical="center" wrapText="1"/>
    </xf>
    <xf numFmtId="0" fontId="127" fillId="1" borderId="73">
      <alignment horizontal="left" vertical="center" wrapText="1"/>
    </xf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171" fontId="77" fillId="23" borderId="80" applyNumberFormat="0" applyAlignment="0" applyProtection="0"/>
    <xf numFmtId="171" fontId="77" fillId="23" borderId="80" applyNumberFormat="0" applyAlignment="0" applyProtection="0"/>
    <xf numFmtId="171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0" fontId="77" fillId="23" borderId="80" applyNumberFormat="0" applyAlignment="0" applyProtection="0"/>
    <xf numFmtId="1" fontId="148" fillId="0" borderId="73">
      <alignment horizontal="center" vertical="center"/>
    </xf>
    <xf numFmtId="1" fontId="148" fillId="0" borderId="73">
      <alignment horizontal="center" vertical="center"/>
    </xf>
    <xf numFmtId="3" fontId="148" fillId="0" borderId="73">
      <alignment horizontal="center" vertical="center"/>
    </xf>
    <xf numFmtId="3" fontId="148" fillId="0" borderId="73">
      <alignment horizontal="center" vertical="center"/>
    </xf>
    <xf numFmtId="0" fontId="153" fillId="0" borderId="71"/>
    <xf numFmtId="0" fontId="153" fillId="0" borderId="71"/>
    <xf numFmtId="171" fontId="53" fillId="3" borderId="80" applyNumberFormat="0" applyAlignment="0" applyProtection="0"/>
    <xf numFmtId="171" fontId="53" fillId="3" borderId="80" applyNumberFormat="0" applyAlignment="0" applyProtection="0"/>
    <xf numFmtId="171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53" fillId="3" borderId="80" applyNumberFormat="0" applyAlignment="0" applyProtection="0"/>
    <xf numFmtId="0" fontId="92" fillId="0" borderId="66">
      <alignment horizontal="left" vertical="center"/>
    </xf>
    <xf numFmtId="0" fontId="92" fillId="0" borderId="66">
      <alignment horizontal="left" vertical="center"/>
    </xf>
    <xf numFmtId="10" fontId="48" fillId="7" borderId="65" applyNumberFormat="0" applyBorder="0" applyAlignment="0" applyProtection="0"/>
    <xf numFmtId="10" fontId="48" fillId="7" borderId="65" applyNumberFormat="0" applyBorder="0" applyAlignment="0" applyProtection="0"/>
    <xf numFmtId="0" fontId="53" fillId="3" borderId="58" applyNumberFormat="0" applyAlignment="0" applyProtection="0"/>
    <xf numFmtId="0" fontId="53" fillId="3" borderId="58" applyNumberFormat="0" applyAlignment="0" applyProtection="0"/>
    <xf numFmtId="0" fontId="53" fillId="3" borderId="58" applyNumberFormat="0" applyAlignment="0" applyProtection="0"/>
    <xf numFmtId="0" fontId="163" fillId="31" borderId="62"/>
    <xf numFmtId="0" fontId="163" fillId="31" borderId="62"/>
    <xf numFmtId="0" fontId="170" fillId="30" borderId="64">
      <alignment vertical="top"/>
    </xf>
    <xf numFmtId="0" fontId="170" fillId="30" borderId="64">
      <alignment vertical="top"/>
    </xf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171" fontId="75" fillId="6" borderId="59" applyNumberFormat="0" applyFont="0" applyAlignment="0" applyProtection="0"/>
    <xf numFmtId="171" fontId="75" fillId="6" borderId="59" applyNumberFormat="0" applyFont="0" applyAlignment="0" applyProtection="0"/>
    <xf numFmtId="171" fontId="7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7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45" fillId="6" borderId="59" applyNumberFormat="0" applyFon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0" fontId="46" fillId="0" borderId="65">
      <alignment vertical="top" wrapText="1"/>
    </xf>
    <xf numFmtId="171" fontId="79" fillId="23" borderId="85" applyNumberFormat="0" applyAlignment="0" applyProtection="0"/>
    <xf numFmtId="171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79" fillId="23" borderId="85" applyNumberFormat="0" applyAlignment="0" applyProtection="0"/>
    <xf numFmtId="0" fontId="153" fillId="0" borderId="62"/>
    <xf numFmtId="0" fontId="153" fillId="0" borderId="62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57" fillId="0" borderId="86" applyNumberFormat="0" applyFill="0" applyAlignment="0" applyProtection="0"/>
    <xf numFmtId="0" fontId="163" fillId="0" borderId="62"/>
    <xf numFmtId="0" fontId="163" fillId="0" borderId="62"/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3" fillId="23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192" fillId="35" borderId="58" applyNumberFormat="0" applyAlignment="0" applyProtection="0">
      <alignment vertical="center"/>
    </xf>
    <xf numFmtId="0" fontId="95" fillId="6" borderId="59" applyNumberFormat="0" applyFont="0" applyAlignment="0" applyProtection="0">
      <alignment vertical="center"/>
    </xf>
    <xf numFmtId="0" fontId="95" fillId="6" borderId="59" applyNumberFormat="0" applyFont="0" applyAlignment="0" applyProtection="0">
      <alignment vertical="center"/>
    </xf>
    <xf numFmtId="0" fontId="95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93" fillId="6" borderId="59" applyNumberFormat="0" applyFont="0" applyAlignment="0" applyProtection="0">
      <alignment vertical="center"/>
    </xf>
    <xf numFmtId="0" fontId="45" fillId="6" borderId="59" applyNumberFormat="0" applyFont="0" applyAlignment="0" applyProtection="0">
      <alignment vertical="center"/>
    </xf>
    <xf numFmtId="0" fontId="45" fillId="6" borderId="59" applyNumberFormat="0" applyFont="0" applyAlignment="0" applyProtection="0">
      <alignment vertical="center"/>
    </xf>
    <xf numFmtId="0" fontId="45" fillId="6" borderId="59" applyNumberFormat="0" applyFont="0" applyAlignment="0" applyProtection="0">
      <alignment vertical="center"/>
    </xf>
    <xf numFmtId="0" fontId="207" fillId="36" borderId="61"/>
    <xf numFmtId="0" fontId="207" fillId="36" borderId="61"/>
    <xf numFmtId="0" fontId="213" fillId="0" borderId="63" applyNumberFormat="0" applyFill="0" applyAlignment="0" applyProtection="0">
      <alignment vertical="center"/>
    </xf>
    <xf numFmtId="0" fontId="213" fillId="0" borderId="63" applyNumberFormat="0" applyFill="0" applyAlignment="0" applyProtection="0">
      <alignment vertical="center"/>
    </xf>
    <xf numFmtId="0" fontId="213" fillId="0" borderId="86" applyNumberFormat="0" applyFill="0" applyAlignment="0" applyProtection="0">
      <alignment vertical="center"/>
    </xf>
    <xf numFmtId="0" fontId="213" fillId="0" borderId="86" applyNumberFormat="0" applyFill="0" applyAlignment="0" applyProtection="0">
      <alignment vertical="center"/>
    </xf>
    <xf numFmtId="0" fontId="213" fillId="0" borderId="86" applyNumberFormat="0" applyFill="0" applyAlignment="0" applyProtection="0">
      <alignment vertical="center"/>
    </xf>
    <xf numFmtId="0" fontId="213" fillId="0" borderId="86" applyNumberFormat="0" applyFill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3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17" fillId="5" borderId="58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23" borderId="85" applyNumberFormat="0" applyAlignment="0" applyProtection="0">
      <alignment vertical="center"/>
    </xf>
    <xf numFmtId="0" fontId="228" fillId="23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23" borderId="85" applyNumberFormat="0" applyAlignment="0" applyProtection="0">
      <alignment vertical="center"/>
    </xf>
    <xf numFmtId="0" fontId="228" fillId="23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228" fillId="35" borderId="85" applyNumberFormat="0" applyAlignment="0" applyProtection="0">
      <alignment vertical="center"/>
    </xf>
    <xf numFmtId="0" fontId="93" fillId="0" borderId="65" applyNumberFormat="0" applyFill="0" applyProtection="0">
      <alignment vertical="center"/>
    </xf>
    <xf numFmtId="0" fontId="93" fillId="0" borderId="65" applyNumberFormat="0" applyFill="0" applyProtection="0">
      <alignment vertical="center"/>
    </xf>
    <xf numFmtId="0" fontId="93" fillId="0" borderId="65" applyNumberFormat="0" applyFill="0" applyProtection="0">
      <alignment vertical="center"/>
    </xf>
    <xf numFmtId="0" fontId="93" fillId="0" borderId="65" applyNumberFormat="0" applyFill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39" fillId="3" borderId="58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40" fillId="23" borderId="85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4" fillId="23" borderId="58" applyNumberFormat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258" fillId="0" borderId="86" applyNumberFormat="0" applyFill="0" applyAlignment="0" applyProtection="0">
      <alignment vertical="center"/>
    </xf>
    <xf numFmtId="0" fontId="45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87" applyNumberFormat="0" applyFill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9" fillId="23" borderId="88" applyNumberFormat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75" fillId="6" borderId="81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79" fillId="23" borderId="88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83" fillId="0" borderId="83" applyNumberFormat="0" applyFill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83" fillId="0" borderId="83" applyNumberFormat="0" applyFill="0" applyAlignment="0" applyProtection="0"/>
    <xf numFmtId="0" fontId="53" fillId="3" borderId="80" applyNumberFormat="0" applyAlignment="0" applyProtection="0"/>
    <xf numFmtId="165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81" applyNumberFormat="0" applyFont="0" applyAlignment="0" applyProtection="0"/>
    <xf numFmtId="0" fontId="45" fillId="6" borderId="81" applyNumberFormat="0" applyFont="0" applyAlignment="0" applyProtection="0"/>
    <xf numFmtId="0" fontId="79" fillId="23" borderId="88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3" fillId="23" borderId="80" applyNumberFormat="0" applyAlignment="0" applyProtection="0">
      <alignment vertical="center"/>
    </xf>
    <xf numFmtId="0" fontId="193" fillId="23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5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45" fillId="6" borderId="81" applyNumberFormat="0" applyFont="0" applyAlignment="0" applyProtection="0">
      <alignment vertical="center"/>
    </xf>
    <xf numFmtId="0" fontId="213" fillId="0" borderId="87" applyNumberFormat="0" applyFill="0" applyAlignment="0" applyProtection="0">
      <alignment vertical="center"/>
    </xf>
    <xf numFmtId="0" fontId="213" fillId="0" borderId="87" applyNumberFormat="0" applyFill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3" borderId="80" applyNumberFormat="0" applyAlignment="0" applyProtection="0">
      <alignment vertical="center"/>
    </xf>
    <xf numFmtId="0" fontId="217" fillId="3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23" fillId="0" borderId="83" applyNumberFormat="0" applyFill="0" applyAlignment="0" applyProtection="0">
      <alignment vertical="center"/>
    </xf>
    <xf numFmtId="0" fontId="223" fillId="0" borderId="83" applyNumberFormat="0" applyFill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23" borderId="88" applyNumberFormat="0" applyAlignment="0" applyProtection="0">
      <alignment vertical="center"/>
    </xf>
    <xf numFmtId="0" fontId="228" fillId="23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8" fillId="0" borderId="87" applyNumberFormat="0" applyFill="0" applyAlignment="0" applyProtection="0">
      <alignment vertical="center"/>
    </xf>
    <xf numFmtId="0" fontId="258" fillId="0" borderId="87" applyNumberFormat="0" applyFill="0" applyAlignment="0" applyProtection="0">
      <alignment vertical="center"/>
    </xf>
    <xf numFmtId="0" fontId="258" fillId="0" borderId="87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171" fontId="16" fillId="0" borderId="0"/>
    <xf numFmtId="171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53" fillId="3" borderId="89" applyNumberFormat="0" applyAlignment="0" applyProtection="0"/>
    <xf numFmtId="0" fontId="77" fillId="23" borderId="89" applyNumberForma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77" fillId="23" borderId="89" applyNumberFormat="0" applyAlignment="0" applyProtection="0"/>
    <xf numFmtId="0" fontId="53" fillId="3" borderId="89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90" applyNumberFormat="0" applyFont="0" applyAlignment="0" applyProtection="0"/>
    <xf numFmtId="0" fontId="75" fillId="6" borderId="90" applyNumberFormat="0" applyFont="0" applyAlignment="0" applyProtection="0"/>
    <xf numFmtId="9" fontId="16" fillId="0" borderId="0" applyFont="0" applyFill="0" applyBorder="0" applyAlignment="0" applyProtection="0"/>
    <xf numFmtId="0" fontId="79" fillId="23" borderId="91" applyNumberFormat="0" applyAlignment="0" applyProtection="0"/>
    <xf numFmtId="43" fontId="16" fillId="0" borderId="0" applyFont="0" applyFill="0" applyBorder="0" applyAlignment="0" applyProtection="0"/>
    <xf numFmtId="0" fontId="57" fillId="0" borderId="92" applyNumberFormat="0" applyFill="0" applyAlignment="0" applyProtection="0"/>
    <xf numFmtId="0" fontId="16" fillId="0" borderId="0"/>
    <xf numFmtId="0" fontId="45" fillId="6" borderId="90" applyNumberFormat="0" applyFont="0" applyAlignment="0" applyProtection="0"/>
    <xf numFmtId="0" fontId="75" fillId="6" borderId="90" applyNumberFormat="0" applyFont="0" applyAlignment="0" applyProtection="0"/>
    <xf numFmtId="0" fontId="16" fillId="0" borderId="0"/>
    <xf numFmtId="0" fontId="77" fillId="23" borderId="58" applyNumberFormat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53" fillId="3" borderId="58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79" fillId="23" borderId="88" applyNumberFormat="0" applyAlignment="0" applyProtection="0"/>
    <xf numFmtId="43" fontId="16" fillId="0" borderId="0" applyFont="0" applyFill="0" applyBorder="0" applyAlignment="0" applyProtection="0"/>
    <xf numFmtId="0" fontId="57" fillId="0" borderId="87" applyNumberFormat="0" applyFill="0" applyAlignment="0" applyProtection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45" fillId="6" borderId="81" applyNumberFormat="0" applyFont="0" applyAlignment="0" applyProtection="0"/>
    <xf numFmtId="0" fontId="46" fillId="0" borderId="94">
      <alignment vertical="top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81" applyNumberFormat="0" applyFont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75" fillId="6" borderId="81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79" fillId="23" borderId="88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83" fillId="0" borderId="83" applyNumberFormat="0" applyFill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3" fontId="98" fillId="0" borderId="94"/>
    <xf numFmtId="0" fontId="170" fillId="30" borderId="96">
      <alignment vertical="top"/>
    </xf>
    <xf numFmtId="0" fontId="163" fillId="31" borderId="102"/>
    <xf numFmtId="10" fontId="48" fillId="7" borderId="73" applyNumberFormat="0" applyBorder="0" applyAlignment="0" applyProtection="0"/>
    <xf numFmtId="0" fontId="53" fillId="3" borderId="98" applyNumberFormat="0" applyAlignment="0" applyProtection="0"/>
    <xf numFmtId="0" fontId="92" fillId="0" borderId="97">
      <alignment horizontal="left" vertical="center"/>
    </xf>
    <xf numFmtId="0" fontId="153" fillId="0" borderId="102"/>
    <xf numFmtId="0" fontId="77" fillId="23" borderId="98" applyNumberFormat="0" applyAlignment="0" applyProtection="0"/>
    <xf numFmtId="3" fontId="98" fillId="0" borderId="94"/>
    <xf numFmtId="3" fontId="98" fillId="0" borderId="94"/>
    <xf numFmtId="0" fontId="127" fillId="1" borderId="94">
      <alignment horizontal="center" vertical="center"/>
    </xf>
    <xf numFmtId="0" fontId="127" fillId="1" borderId="94">
      <alignment horizontal="left" vertical="center" wrapText="1"/>
    </xf>
    <xf numFmtId="1" fontId="148" fillId="0" borderId="94">
      <alignment horizontal="center" vertical="center"/>
    </xf>
    <xf numFmtId="3" fontId="148" fillId="0" borderId="94">
      <alignment horizontal="center" vertical="center"/>
    </xf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92" fillId="0" borderId="95">
      <alignment horizontal="left" vertical="center"/>
    </xf>
    <xf numFmtId="0" fontId="83" fillId="0" borderId="83" applyNumberFormat="0" applyFill="0" applyAlignment="0" applyProtection="0"/>
    <xf numFmtId="0" fontId="53" fillId="3" borderId="80" applyNumberFormat="0" applyAlignment="0" applyProtection="0"/>
    <xf numFmtId="10" fontId="48" fillId="7" borderId="94" applyNumberFormat="0" applyBorder="0" applyAlignment="0" applyProtection="0"/>
    <xf numFmtId="0" fontId="163" fillId="31" borderId="71"/>
    <xf numFmtId="165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0" fillId="30" borderId="93">
      <alignment vertical="top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81" applyNumberFormat="0" applyFont="0" applyAlignment="0" applyProtection="0"/>
    <xf numFmtId="0" fontId="45" fillId="6" borderId="81" applyNumberFormat="0" applyFont="0" applyAlignment="0" applyProtection="0"/>
    <xf numFmtId="0" fontId="79" fillId="23" borderId="88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53" fillId="0" borderId="71"/>
    <xf numFmtId="0" fontId="163" fillId="0" borderId="71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3" fillId="23" borderId="80" applyNumberFormat="0" applyAlignment="0" applyProtection="0">
      <alignment vertical="center"/>
    </xf>
    <xf numFmtId="0" fontId="193" fillId="23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192" fillId="35" borderId="80" applyNumberForma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5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93" fillId="6" borderId="81" applyNumberFormat="0" applyFont="0" applyAlignment="0" applyProtection="0">
      <alignment vertical="center"/>
    </xf>
    <xf numFmtId="0" fontId="45" fillId="6" borderId="81" applyNumberFormat="0" applyFont="0" applyAlignment="0" applyProtection="0">
      <alignment vertical="center"/>
    </xf>
    <xf numFmtId="0" fontId="207" fillId="36" borderId="95"/>
    <xf numFmtId="171" fontId="79" fillId="23" borderId="101" applyNumberFormat="0" applyAlignment="0" applyProtection="0"/>
    <xf numFmtId="171" fontId="75" fillId="6" borderId="99" applyNumberFormat="0" applyFont="0" applyAlignment="0" applyProtection="0"/>
    <xf numFmtId="171" fontId="53" fillId="3" borderId="98" applyNumberFormat="0" applyAlignment="0" applyProtection="0"/>
    <xf numFmtId="171" fontId="77" fillId="23" borderId="98" applyNumberFormat="0" applyAlignment="0" applyProtection="0"/>
    <xf numFmtId="0" fontId="75" fillId="6" borderId="99" applyNumberFormat="0" applyFont="0" applyAlignment="0" applyProtection="0"/>
    <xf numFmtId="0" fontId="79" fillId="23" borderId="101" applyNumberFormat="0" applyAlignment="0" applyProtection="0"/>
    <xf numFmtId="0" fontId="77" fillId="23" borderId="98" applyNumberFormat="0" applyAlignment="0" applyProtection="0"/>
    <xf numFmtId="0" fontId="213" fillId="0" borderId="72" applyNumberFormat="0" applyFill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3" borderId="80" applyNumberFormat="0" applyAlignment="0" applyProtection="0">
      <alignment vertical="center"/>
    </xf>
    <xf numFmtId="0" fontId="217" fillId="3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17" fillId="5" borderId="80" applyNumberFormat="0" applyAlignment="0" applyProtection="0">
      <alignment vertical="center"/>
    </xf>
    <xf numFmtId="0" fontId="223" fillId="0" borderId="83" applyNumberFormat="0" applyFill="0" applyAlignment="0" applyProtection="0">
      <alignment vertical="center"/>
    </xf>
    <xf numFmtId="0" fontId="223" fillId="0" borderId="83" applyNumberFormat="0" applyFill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23" borderId="88" applyNumberFormat="0" applyAlignment="0" applyProtection="0">
      <alignment vertical="center"/>
    </xf>
    <xf numFmtId="0" fontId="228" fillId="23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228" fillId="35" borderId="88" applyNumberFormat="0" applyAlignment="0" applyProtection="0">
      <alignment vertical="center"/>
    </xf>
    <xf numFmtId="0" fontId="93" fillId="0" borderId="94" applyNumberFormat="0" applyFill="0" applyProtection="0">
      <alignment vertical="center"/>
    </xf>
    <xf numFmtId="0" fontId="93" fillId="0" borderId="94" applyNumberFormat="0" applyFill="0" applyProtection="0">
      <alignment vertical="center"/>
    </xf>
    <xf numFmtId="0" fontId="239" fillId="3" borderId="80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39" fillId="3" borderId="80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240" fillId="23" borderId="88" applyNumberFormat="0" applyAlignment="0" applyProtection="0">
      <alignment vertical="center"/>
    </xf>
    <xf numFmtId="0" fontId="57" fillId="0" borderId="100" applyNumberFormat="0" applyFill="0" applyAlignment="0" applyProtection="0"/>
    <xf numFmtId="0" fontId="253" fillId="0" borderId="83" applyNumberFormat="0" applyFill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3" fillId="0" borderId="83" applyNumberFormat="0" applyFill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254" fillId="23" borderId="80" applyNumberFormat="0" applyAlignment="0" applyProtection="0">
      <alignment vertical="center"/>
    </xf>
    <xf numFmtId="0" fontId="46" fillId="0" borderId="73">
      <alignment vertical="top" wrapText="1"/>
    </xf>
    <xf numFmtId="0" fontId="45" fillId="6" borderId="99" applyNumberFormat="0" applyFont="0" applyAlignment="0" applyProtection="0"/>
    <xf numFmtId="0" fontId="53" fillId="3" borderId="98" applyNumberFormat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171" fontId="16" fillId="0" borderId="0"/>
    <xf numFmtId="171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53" fillId="3" borderId="58" applyNumberFormat="0" applyAlignment="0" applyProtection="0"/>
    <xf numFmtId="0" fontId="77" fillId="23" borderId="58" applyNumberForma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77" fillId="23" borderId="58" applyNumberFormat="0" applyAlignment="0" applyProtection="0"/>
    <xf numFmtId="0" fontId="53" fillId="3" borderId="58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81" applyNumberFormat="0" applyFont="0" applyAlignment="0" applyProtection="0"/>
    <xf numFmtId="0" fontId="75" fillId="6" borderId="81" applyNumberFormat="0" applyFont="0" applyAlignment="0" applyProtection="0"/>
    <xf numFmtId="9" fontId="16" fillId="0" borderId="0" applyFont="0" applyFill="0" applyBorder="0" applyAlignment="0" applyProtection="0"/>
    <xf numFmtId="0" fontId="79" fillId="23" borderId="88" applyNumberFormat="0" applyAlignment="0" applyProtection="0"/>
    <xf numFmtId="43" fontId="16" fillId="0" borderId="0" applyFont="0" applyFill="0" applyBorder="0" applyAlignment="0" applyProtection="0"/>
    <xf numFmtId="0" fontId="57" fillId="0" borderId="87" applyNumberFormat="0" applyFill="0" applyAlignment="0" applyProtection="0"/>
    <xf numFmtId="0" fontId="16" fillId="0" borderId="0"/>
    <xf numFmtId="0" fontId="45" fillId="6" borderId="81" applyNumberFormat="0" applyFont="0" applyAlignment="0" applyProtection="0"/>
    <xf numFmtId="0" fontId="75" fillId="6" borderId="81" applyNumberFormat="0" applyFon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81" applyNumberFormat="0" applyFont="0" applyAlignment="0" applyProtection="0"/>
    <xf numFmtId="0" fontId="75" fillId="6" borderId="81" applyNumberFormat="0" applyFont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0" fontId="16" fillId="0" borderId="0"/>
    <xf numFmtId="0" fontId="16" fillId="0" borderId="0"/>
    <xf numFmtId="171" fontId="16" fillId="0" borderId="0"/>
    <xf numFmtId="0" fontId="75" fillId="6" borderId="99" applyNumberFormat="0" applyFont="0" applyAlignment="0" applyProtection="0"/>
    <xf numFmtId="0" fontId="45" fillId="6" borderId="99" applyNumberFormat="0" applyFont="0" applyAlignment="0" applyProtection="0"/>
    <xf numFmtId="0" fontId="79" fillId="23" borderId="101" applyNumberFormat="0" applyAlignment="0" applyProtection="0"/>
    <xf numFmtId="0" fontId="153" fillId="0" borderId="102"/>
    <xf numFmtId="0" fontId="163" fillId="0" borderId="102"/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5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45" fillId="6" borderId="99" applyNumberFormat="0" applyFont="0" applyAlignment="0" applyProtection="0">
      <alignment vertical="center"/>
    </xf>
    <xf numFmtId="0" fontId="207" fillId="36" borderId="97"/>
    <xf numFmtId="0" fontId="213" fillId="0" borderId="100" applyNumberFormat="0" applyFill="0" applyAlignment="0" applyProtection="0">
      <alignment vertical="center"/>
    </xf>
    <xf numFmtId="0" fontId="213" fillId="0" borderId="103" applyNumberFormat="0" applyFill="0" applyAlignment="0" applyProtection="0">
      <alignment vertical="center"/>
    </xf>
    <xf numFmtId="0" fontId="213" fillId="0" borderId="100" applyNumberFormat="0" applyFill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93" fillId="0" borderId="73" applyNumberFormat="0" applyFill="0" applyProtection="0">
      <alignment vertical="center"/>
    </xf>
    <xf numFmtId="0" fontId="93" fillId="0" borderId="73" applyNumberFormat="0" applyFill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53" fillId="3" borderId="98" applyNumberFormat="0" applyAlignment="0" applyProtection="0"/>
    <xf numFmtId="0" fontId="77" fillId="23" borderId="98" applyNumberFormat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46" fillId="0" borderId="104">
      <alignment vertical="top" wrapText="1"/>
    </xf>
    <xf numFmtId="0" fontId="79" fillId="23" borderId="101" applyNumberFormat="0" applyAlignment="0" applyProtection="0"/>
    <xf numFmtId="0" fontId="57" fillId="0" borderId="100" applyNumberFormat="0" applyFill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79" fillId="23" borderId="101" applyNumberFormat="0" applyAlignment="0" applyProtection="0"/>
    <xf numFmtId="0" fontId="57" fillId="0" borderId="100" applyNumberFormat="0" applyFill="0" applyAlignment="0" applyProtection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7" fillId="0" borderId="100" applyNumberFormat="0" applyFill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77" fillId="23" borderId="98" applyNumberFormat="0" applyAlignment="0" applyProtection="0"/>
    <xf numFmtId="164" fontId="16" fillId="0" borderId="0" applyFont="0" applyFill="0" applyBorder="0" applyAlignment="0" applyProtection="0"/>
    <xf numFmtId="171" fontId="53" fillId="3" borderId="98" applyNumberFormat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75" fillId="6" borderId="99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79" fillId="23" borderId="101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0" fontId="77" fillId="23" borderId="98" applyNumberFormat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53" fillId="3" borderId="98" applyNumberFormat="0" applyAlignment="0" applyProtection="0"/>
    <xf numFmtId="165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99" applyNumberFormat="0" applyFont="0" applyAlignment="0" applyProtection="0"/>
    <xf numFmtId="0" fontId="45" fillId="6" borderId="99" applyNumberFormat="0" applyFont="0" applyAlignment="0" applyProtection="0"/>
    <xf numFmtId="0" fontId="79" fillId="23" borderId="101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5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45" fillId="6" borderId="99" applyNumberFormat="0" applyFont="0" applyAlignment="0" applyProtection="0">
      <alignment vertical="center"/>
    </xf>
    <xf numFmtId="0" fontId="213" fillId="0" borderId="100" applyNumberFormat="0" applyFill="0" applyAlignment="0" applyProtection="0">
      <alignment vertical="center"/>
    </xf>
    <xf numFmtId="0" fontId="213" fillId="0" borderId="100" applyNumberFormat="0" applyFill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171" fontId="16" fillId="0" borderId="0"/>
    <xf numFmtId="171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53" fillId="3" borderId="98" applyNumberFormat="0" applyAlignment="0" applyProtection="0"/>
    <xf numFmtId="0" fontId="77" fillId="23" borderId="98" applyNumberForma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9" fontId="16" fillId="0" borderId="0" applyFont="0" applyFill="0" applyBorder="0" applyAlignment="0" applyProtection="0"/>
    <xf numFmtId="0" fontId="79" fillId="23" borderId="101" applyNumberFormat="0" applyAlignment="0" applyProtection="0"/>
    <xf numFmtId="43" fontId="16" fillId="0" borderId="0" applyFont="0" applyFill="0" applyBorder="0" applyAlignment="0" applyProtection="0"/>
    <xf numFmtId="0" fontId="57" fillId="0" borderId="100" applyNumberFormat="0" applyFill="0" applyAlignment="0" applyProtection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46" fillId="0" borderId="104">
      <alignment vertical="top" wrapText="1"/>
    </xf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0" fontId="16" fillId="0" borderId="0"/>
    <xf numFmtId="0" fontId="16" fillId="0" borderId="0"/>
    <xf numFmtId="171" fontId="16" fillId="0" borderId="0"/>
    <xf numFmtId="0" fontId="53" fillId="3" borderId="98" applyNumberFormat="0" applyAlignment="0" applyProtection="0"/>
    <xf numFmtId="0" fontId="16" fillId="0" borderId="0"/>
    <xf numFmtId="0" fontId="16" fillId="0" borderId="0"/>
    <xf numFmtId="0" fontId="16" fillId="0" borderId="0"/>
    <xf numFmtId="0" fontId="45" fillId="6" borderId="99" applyNumberFormat="0" applyFont="0" applyAlignment="0" applyProtection="0"/>
    <xf numFmtId="0" fontId="46" fillId="0" borderId="104">
      <alignment vertical="top" wrapText="1"/>
    </xf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7" fillId="23" borderId="98" applyNumberFormat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99" applyNumberFormat="0" applyFont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77" fillId="23" borderId="98" applyNumberFormat="0" applyAlignment="0" applyProtection="0"/>
    <xf numFmtId="164" fontId="16" fillId="0" borderId="0" applyFont="0" applyFill="0" applyBorder="0" applyAlignment="0" applyProtection="0"/>
    <xf numFmtId="171" fontId="53" fillId="3" borderId="98" applyNumberFormat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16" fillId="0" borderId="0"/>
    <xf numFmtId="171" fontId="75" fillId="6" borderId="99" applyNumberFormat="0" applyFon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79" fillId="23" borderId="101" applyNumberFormat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3" fontId="98" fillId="0" borderId="104"/>
    <xf numFmtId="0" fontId="170" fillId="30" borderId="105">
      <alignment vertical="top"/>
    </xf>
    <xf numFmtId="0" fontId="163" fillId="31" borderId="107"/>
    <xf numFmtId="10" fontId="48" fillId="7" borderId="104" applyNumberFormat="0" applyBorder="0" applyAlignment="0" applyProtection="0"/>
    <xf numFmtId="0" fontId="53" fillId="3" borderId="98" applyNumberFormat="0" applyAlignment="0" applyProtection="0"/>
    <xf numFmtId="0" fontId="92" fillId="0" borderId="106">
      <alignment horizontal="left" vertical="center"/>
    </xf>
    <xf numFmtId="0" fontId="153" fillId="0" borderId="107"/>
    <xf numFmtId="3" fontId="148" fillId="0" borderId="104">
      <alignment horizontal="center" vertical="center"/>
    </xf>
    <xf numFmtId="1" fontId="148" fillId="0" borderId="104">
      <alignment horizontal="center" vertical="center"/>
    </xf>
    <xf numFmtId="0" fontId="77" fillId="23" borderId="98" applyNumberFormat="0" applyAlignment="0" applyProtection="0"/>
    <xf numFmtId="0" fontId="127" fillId="1" borderId="104">
      <alignment horizontal="left" vertical="center" wrapText="1"/>
    </xf>
    <xf numFmtId="0" fontId="127" fillId="1" borderId="104">
      <alignment horizontal="center" vertical="center"/>
    </xf>
    <xf numFmtId="3" fontId="98" fillId="0" borderId="104"/>
    <xf numFmtId="3" fontId="98" fillId="0" borderId="104"/>
    <xf numFmtId="3" fontId="98" fillId="0" borderId="104"/>
    <xf numFmtId="3" fontId="98" fillId="0" borderId="104"/>
    <xf numFmtId="0" fontId="127" fillId="1" borderId="104">
      <alignment horizontal="center" vertical="center"/>
    </xf>
    <xf numFmtId="0" fontId="127" fillId="1" borderId="104">
      <alignment horizontal="left" vertical="center" wrapText="1"/>
    </xf>
    <xf numFmtId="0" fontId="77" fillId="23" borderId="98" applyNumberFormat="0" applyAlignment="0" applyProtection="0"/>
    <xf numFmtId="1" fontId="148" fillId="0" borderId="104">
      <alignment horizontal="center" vertical="center"/>
    </xf>
    <xf numFmtId="3" fontId="148" fillId="0" borderId="104">
      <alignment horizontal="center" vertical="center"/>
    </xf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53" fillId="0" borderId="102"/>
    <xf numFmtId="0" fontId="53" fillId="3" borderId="98" applyNumberFormat="0" applyAlignment="0" applyProtection="0"/>
    <xf numFmtId="10" fontId="48" fillId="7" borderId="104" applyNumberFormat="0" applyBorder="0" applyAlignment="0" applyProtection="0"/>
    <xf numFmtId="0" fontId="163" fillId="31" borderId="102"/>
    <xf numFmtId="165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75" fillId="6" borderId="99" applyNumberFormat="0" applyFont="0" applyAlignment="0" applyProtection="0"/>
    <xf numFmtId="0" fontId="45" fillId="6" borderId="99" applyNumberFormat="0" applyFont="0" applyAlignment="0" applyProtection="0"/>
    <xf numFmtId="0" fontId="79" fillId="23" borderId="101" applyNumberFormat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41" fontId="16" fillId="0" borderId="0" applyFont="0" applyFill="0" applyBorder="0" applyAlignment="0" applyProtection="0"/>
    <xf numFmtId="0" fontId="153" fillId="0" borderId="102"/>
    <xf numFmtId="0" fontId="163" fillId="0" borderId="102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5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45" fillId="6" borderId="99" applyNumberFormat="0" applyFont="0" applyAlignment="0" applyProtection="0">
      <alignment vertical="center"/>
    </xf>
    <xf numFmtId="3" fontId="98" fillId="0" borderId="104"/>
    <xf numFmtId="171" fontId="79" fillId="23" borderId="101" applyNumberFormat="0" applyAlignment="0" applyProtection="0"/>
    <xf numFmtId="171" fontId="75" fillId="6" borderId="99" applyNumberFormat="0" applyFont="0" applyAlignment="0" applyProtection="0"/>
    <xf numFmtId="171" fontId="53" fillId="3" borderId="98" applyNumberFormat="0" applyAlignment="0" applyProtection="0"/>
    <xf numFmtId="171" fontId="77" fillId="23" borderId="98" applyNumberFormat="0" applyAlignment="0" applyProtection="0"/>
    <xf numFmtId="0" fontId="75" fillId="6" borderId="99" applyNumberFormat="0" applyFont="0" applyAlignment="0" applyProtection="0"/>
    <xf numFmtId="0" fontId="79" fillId="23" borderId="101" applyNumberFormat="0" applyAlignment="0" applyProtection="0"/>
    <xf numFmtId="0" fontId="77" fillId="23" borderId="98" applyNumberFormat="0" applyAlignment="0" applyProtection="0"/>
    <xf numFmtId="0" fontId="213" fillId="0" borderId="103" applyNumberFormat="0" applyFill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93" fillId="0" borderId="104" applyNumberFormat="0" applyFill="0" applyProtection="0">
      <alignment vertical="center"/>
    </xf>
    <xf numFmtId="0" fontId="93" fillId="0" borderId="104" applyNumberFormat="0" applyFill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57" fillId="0" borderId="100" applyNumberFormat="0" applyFill="0" applyAlignment="0" applyProtection="0"/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46" fillId="0" borderId="104">
      <alignment vertical="top" wrapText="1"/>
    </xf>
    <xf numFmtId="0" fontId="45" fillId="6" borderId="99" applyNumberFormat="0" applyFont="0" applyAlignment="0" applyProtection="0"/>
    <xf numFmtId="0" fontId="53" fillId="3" borderId="98" applyNumberFormat="0" applyAlignment="0" applyProtection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0" fontId="16" fillId="0" borderId="0"/>
    <xf numFmtId="171" fontId="16" fillId="0" borderId="0"/>
    <xf numFmtId="171" fontId="16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0" fontId="53" fillId="3" borderId="98" applyNumberFormat="0" applyAlignment="0" applyProtection="0"/>
    <xf numFmtId="0" fontId="77" fillId="23" borderId="98" applyNumberForma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46" fillId="0" borderId="104">
      <alignment vertical="top" wrapText="1"/>
    </xf>
    <xf numFmtId="9" fontId="16" fillId="0" borderId="0" applyFont="0" applyFill="0" applyBorder="0" applyAlignment="0" applyProtection="0"/>
    <xf numFmtId="0" fontId="79" fillId="23" borderId="101" applyNumberFormat="0" applyAlignment="0" applyProtection="0"/>
    <xf numFmtId="43" fontId="16" fillId="0" borderId="0" applyFont="0" applyFill="0" applyBorder="0" applyAlignment="0" applyProtection="0"/>
    <xf numFmtId="0" fontId="57" fillId="0" borderId="100" applyNumberFormat="0" applyFill="0" applyAlignment="0" applyProtection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16" fillId="0" borderId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9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171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171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171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171" fontId="16" fillId="0" borderId="0"/>
    <xf numFmtId="0" fontId="16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1" fontId="16" fillId="0" borderId="0"/>
    <xf numFmtId="0" fontId="16" fillId="0" borderId="0"/>
    <xf numFmtId="0" fontId="16" fillId="0" borderId="0"/>
    <xf numFmtId="171" fontId="16" fillId="0" borderId="0"/>
    <xf numFmtId="0" fontId="75" fillId="6" borderId="99" applyNumberFormat="0" applyFont="0" applyAlignment="0" applyProtection="0"/>
    <xf numFmtId="0" fontId="45" fillId="6" borderId="99" applyNumberFormat="0" applyFont="0" applyAlignment="0" applyProtection="0"/>
    <xf numFmtId="0" fontId="79" fillId="23" borderId="101" applyNumberFormat="0" applyAlignment="0" applyProtection="0"/>
    <xf numFmtId="0" fontId="153" fillId="0" borderId="107"/>
    <xf numFmtId="0" fontId="163" fillId="0" borderId="107"/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3" fillId="23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192" fillId="35" borderId="98" applyNumberForma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5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93" fillId="6" borderId="99" applyNumberFormat="0" applyFont="0" applyAlignment="0" applyProtection="0">
      <alignment vertical="center"/>
    </xf>
    <xf numFmtId="0" fontId="45" fillId="6" borderId="99" applyNumberFormat="0" applyFont="0" applyAlignment="0" applyProtection="0">
      <alignment vertical="center"/>
    </xf>
    <xf numFmtId="0" fontId="207" fillId="36" borderId="106"/>
    <xf numFmtId="0" fontId="213" fillId="0" borderId="100" applyNumberFormat="0" applyFill="0" applyAlignment="0" applyProtection="0">
      <alignment vertical="center"/>
    </xf>
    <xf numFmtId="0" fontId="213" fillId="0" borderId="108" applyNumberFormat="0" applyFill="0" applyAlignment="0" applyProtection="0">
      <alignment vertical="center"/>
    </xf>
    <xf numFmtId="0" fontId="213" fillId="0" borderId="100" applyNumberFormat="0" applyFill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3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17" fillId="5" borderId="98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23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228" fillId="35" borderId="101" applyNumberFormat="0" applyAlignment="0" applyProtection="0">
      <alignment vertical="center"/>
    </xf>
    <xf numFmtId="0" fontId="93" fillId="0" borderId="104" applyNumberFormat="0" applyFill="0" applyProtection="0">
      <alignment vertical="center"/>
    </xf>
    <xf numFmtId="0" fontId="93" fillId="0" borderId="104" applyNumberFormat="0" applyFill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39" fillId="3" borderId="98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40" fillId="23" borderId="101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4" fillId="23" borderId="98" applyNumberFormat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258" fillId="0" borderId="100" applyNumberFormat="0" applyFill="0" applyAlignment="0" applyProtection="0">
      <alignment vertical="center"/>
    </xf>
    <xf numFmtId="0" fontId="53" fillId="3" borderId="98" applyNumberFormat="0" applyAlignment="0" applyProtection="0"/>
    <xf numFmtId="0" fontId="77" fillId="23" borderId="98" applyNumberFormat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46" fillId="0" borderId="109">
      <alignment vertical="top" wrapText="1"/>
    </xf>
    <xf numFmtId="0" fontId="79" fillId="23" borderId="101" applyNumberFormat="0" applyAlignment="0" applyProtection="0"/>
    <xf numFmtId="0" fontId="57" fillId="0" borderId="100" applyNumberFormat="0" applyFill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77" fillId="23" borderId="98" applyNumberFormat="0" applyAlignment="0" applyProtection="0"/>
    <xf numFmtId="0" fontId="53" fillId="3" borderId="98" applyNumberFormat="0" applyAlignment="0" applyProtection="0"/>
    <xf numFmtId="0" fontId="45" fillId="6" borderId="99" applyNumberFormat="0" applyFont="0" applyAlignment="0" applyProtection="0"/>
    <xf numFmtId="0" fontId="75" fillId="6" borderId="99" applyNumberFormat="0" applyFont="0" applyAlignment="0" applyProtection="0"/>
    <xf numFmtId="0" fontId="79" fillId="23" borderId="101" applyNumberFormat="0" applyAlignment="0" applyProtection="0"/>
    <xf numFmtId="0" fontId="57" fillId="0" borderId="100" applyNumberFormat="0" applyFill="0" applyAlignment="0" applyProtection="0"/>
    <xf numFmtId="0" fontId="4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9" fillId="23" borderId="111" applyNumberFormat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79" fillId="23" borderId="111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3" fillId="3" borderId="98" applyNumberFormat="0" applyAlignment="0" applyProtection="0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9" fillId="23" borderId="111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13" fillId="0" borderId="110" applyNumberFormat="0" applyFill="0" applyAlignment="0" applyProtection="0">
      <alignment vertical="center"/>
    </xf>
    <xf numFmtId="0" fontId="213" fillId="0" borderId="110" applyNumberFormat="0" applyFill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23" borderId="111" applyNumberFormat="0" applyAlignment="0" applyProtection="0">
      <alignment vertical="center"/>
    </xf>
    <xf numFmtId="0" fontId="228" fillId="23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171" fontId="15" fillId="0" borderId="0"/>
    <xf numFmtId="171" fontId="15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53" fillId="3" borderId="112" applyNumberFormat="0" applyAlignment="0" applyProtection="0"/>
    <xf numFmtId="0" fontId="77" fillId="23" borderId="112" applyNumberFormat="0" applyAlignment="0" applyProtection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7" fillId="23" borderId="112" applyNumberFormat="0" applyAlignment="0" applyProtection="0"/>
    <xf numFmtId="0" fontId="53" fillId="3" borderId="112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9" fontId="15" fillId="0" borderId="0" applyFont="0" applyFill="0" applyBorder="0" applyAlignment="0" applyProtection="0"/>
    <xf numFmtId="0" fontId="79" fillId="23" borderId="114" applyNumberFormat="0" applyAlignment="0" applyProtection="0"/>
    <xf numFmtId="43" fontId="15" fillId="0" borderId="0" applyFont="0" applyFill="0" applyBorder="0" applyAlignment="0" applyProtection="0"/>
    <xf numFmtId="0" fontId="57" fillId="0" borderId="115" applyNumberFormat="0" applyFill="0" applyAlignment="0" applyProtection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15" fillId="0" borderId="0" applyFont="0" applyFill="0" applyBorder="0" applyAlignment="0" applyProtection="0"/>
    <xf numFmtId="0" fontId="79" fillId="23" borderId="111" applyNumberFormat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15" fillId="0" borderId="0"/>
    <xf numFmtId="171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171" fontId="15" fillId="0" borderId="0"/>
    <xf numFmtId="171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1" fontId="15" fillId="0" borderId="0"/>
    <xf numFmtId="0" fontId="15" fillId="0" borderId="0"/>
    <xf numFmtId="0" fontId="15" fillId="0" borderId="0"/>
    <xf numFmtId="171" fontId="15" fillId="0" borderId="0"/>
    <xf numFmtId="0" fontId="45" fillId="0" borderId="0"/>
    <xf numFmtId="0" fontId="53" fillId="3" borderId="119" applyNumberFormat="0" applyAlignment="0" applyProtection="0"/>
    <xf numFmtId="0" fontId="15" fillId="0" borderId="0"/>
    <xf numFmtId="0" fontId="15" fillId="0" borderId="0"/>
    <xf numFmtId="0" fontId="15" fillId="0" borderId="0"/>
    <xf numFmtId="0" fontId="45" fillId="6" borderId="120" applyNumberFormat="0" applyFont="0" applyAlignment="0" applyProtection="0"/>
    <xf numFmtId="0" fontId="46" fillId="0" borderId="117">
      <alignment vertical="top" wrapText="1"/>
    </xf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7" fillId="0" borderId="121" applyNumberFormat="0" applyFill="0" applyAlignment="0" applyProtection="0"/>
    <xf numFmtId="0" fontId="15" fillId="0" borderId="0"/>
    <xf numFmtId="0" fontId="31" fillId="0" borderId="0"/>
    <xf numFmtId="165" fontId="15" fillId="0" borderId="0" applyFont="0" applyFill="0" applyBorder="0" applyAlignment="0" applyProtection="0"/>
    <xf numFmtId="164" fontId="31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0" fontId="5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23" borderId="119" applyNumberFormat="0" applyAlignment="0" applyProtection="0"/>
    <xf numFmtId="0" fontId="79" fillId="23" borderId="122" applyNumberFormat="0" applyAlignment="0" applyProtection="0"/>
    <xf numFmtId="165" fontId="15" fillId="0" borderId="0" applyFont="0" applyFill="0" applyBorder="0" applyAlignment="0" applyProtection="0"/>
    <xf numFmtId="0" fontId="5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5" fillId="6" borderId="120" applyNumberFormat="0" applyFont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1" fontId="77" fillId="23" borderId="119" applyNumberFormat="0" applyAlignment="0" applyProtection="0"/>
    <xf numFmtId="164" fontId="15" fillId="0" borderId="0" applyFont="0" applyFill="0" applyBorder="0" applyAlignment="0" applyProtection="0"/>
    <xf numFmtId="171" fontId="53" fillId="3" borderId="119" applyNumberFormat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75" fillId="6" borderId="120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79" fillId="23" borderId="122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/>
    <xf numFmtId="0" fontId="66" fillId="0" borderId="57">
      <alignment horizontal="center"/>
    </xf>
    <xf numFmtId="3" fontId="98" fillId="0" borderId="117"/>
    <xf numFmtId="3" fontId="98" fillId="0" borderId="117"/>
    <xf numFmtId="3" fontId="98" fillId="0" borderId="117"/>
    <xf numFmtId="0" fontId="121" fillId="0" borderId="24">
      <alignment horizontal="left" vertical="center"/>
    </xf>
    <xf numFmtId="0" fontId="127" fillId="1" borderId="117">
      <alignment horizontal="center" vertical="center"/>
    </xf>
    <xf numFmtId="0" fontId="127" fillId="1" borderId="117">
      <alignment horizontal="left" vertical="center" wrapText="1"/>
    </xf>
    <xf numFmtId="0" fontId="77" fillId="23" borderId="119" applyNumberFormat="0" applyAlignment="0" applyProtection="0"/>
    <xf numFmtId="1" fontId="148" fillId="0" borderId="117">
      <alignment horizontal="center" vertical="center"/>
    </xf>
    <xf numFmtId="3" fontId="148" fillId="0" borderId="117">
      <alignment horizontal="center" vertical="center"/>
    </xf>
    <xf numFmtId="0" fontId="149" fillId="29" borderId="57">
      <alignment horizontal="center" wrapText="1"/>
    </xf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3" fillId="0" borderId="123"/>
    <xf numFmtId="0" fontId="92" fillId="0" borderId="118">
      <alignment horizontal="left" vertical="center"/>
    </xf>
    <xf numFmtId="0" fontId="53" fillId="3" borderId="119" applyNumberFormat="0" applyAlignment="0" applyProtection="0"/>
    <xf numFmtId="10" fontId="48" fillId="7" borderId="117" applyNumberFormat="0" applyBorder="0" applyAlignment="0" applyProtection="0"/>
    <xf numFmtId="0" fontId="163" fillId="31" borderId="123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70" fillId="30" borderId="116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5" fillId="6" borderId="120" applyNumberFormat="0" applyFont="0" applyAlignment="0" applyProtection="0"/>
    <xf numFmtId="0" fontId="45" fillId="6" borderId="120" applyNumberFormat="0" applyFont="0" applyAlignment="0" applyProtection="0"/>
    <xf numFmtId="0" fontId="79" fillId="23" borderId="122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53" fillId="0" borderId="123"/>
    <xf numFmtId="175" fontId="93" fillId="0" borderId="25">
      <protection locked="0"/>
    </xf>
    <xf numFmtId="175" fontId="93" fillId="0" borderId="25">
      <protection locked="0"/>
    </xf>
    <xf numFmtId="175" fontId="93" fillId="0" borderId="25">
      <protection locked="0"/>
    </xf>
    <xf numFmtId="0" fontId="163" fillId="0" borderId="123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3" fillId="23" borderId="119" applyNumberFormat="0" applyAlignment="0" applyProtection="0">
      <alignment vertical="center"/>
    </xf>
    <xf numFmtId="0" fontId="193" fillId="23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5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45" fillId="6" borderId="120" applyNumberFormat="0" applyFont="0" applyAlignment="0" applyProtection="0">
      <alignment vertical="center"/>
    </xf>
    <xf numFmtId="0" fontId="207" fillId="36" borderId="118"/>
    <xf numFmtId="0" fontId="213" fillId="0" borderId="121" applyNumberFormat="0" applyFill="0" applyAlignment="0" applyProtection="0">
      <alignment vertical="center"/>
    </xf>
    <xf numFmtId="0" fontId="213" fillId="0" borderId="63" applyNumberFormat="0" applyFill="0" applyAlignment="0" applyProtection="0">
      <alignment vertical="center"/>
    </xf>
    <xf numFmtId="0" fontId="213" fillId="0" borderId="121" applyNumberFormat="0" applyFill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3" borderId="119" applyNumberFormat="0" applyAlignment="0" applyProtection="0">
      <alignment vertical="center"/>
    </xf>
    <xf numFmtId="0" fontId="217" fillId="3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23" borderId="122" applyNumberFormat="0" applyAlignment="0" applyProtection="0">
      <alignment vertical="center"/>
    </xf>
    <xf numFmtId="0" fontId="228" fillId="23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228" fillId="35" borderId="122" applyNumberFormat="0" applyAlignment="0" applyProtection="0">
      <alignment vertical="center"/>
    </xf>
    <xf numFmtId="0" fontId="93" fillId="0" borderId="117" applyNumberFormat="0" applyFill="0" applyProtection="0">
      <alignment vertical="center"/>
    </xf>
    <xf numFmtId="0" fontId="93" fillId="0" borderId="117" applyNumberFormat="0" applyFill="0" applyProtection="0">
      <alignment vertical="center"/>
    </xf>
    <xf numFmtId="0" fontId="239" fillId="3" borderId="119" applyNumberFormat="0" applyAlignment="0" applyProtection="0">
      <alignment vertical="center"/>
    </xf>
    <xf numFmtId="0" fontId="239" fillId="3" borderId="119" applyNumberFormat="0" applyAlignment="0" applyProtection="0">
      <alignment vertical="center"/>
    </xf>
    <xf numFmtId="0" fontId="239" fillId="3" borderId="119" applyNumberFormat="0" applyAlignment="0" applyProtection="0">
      <alignment vertical="center"/>
    </xf>
    <xf numFmtId="0" fontId="240" fillId="23" borderId="122" applyNumberFormat="0" applyAlignment="0" applyProtection="0">
      <alignment vertical="center"/>
    </xf>
    <xf numFmtId="0" fontId="240" fillId="23" borderId="122" applyNumberFormat="0" applyAlignment="0" applyProtection="0">
      <alignment vertical="center"/>
    </xf>
    <xf numFmtId="0" fontId="240" fillId="23" borderId="122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171" fontId="15" fillId="0" borderId="0"/>
    <xf numFmtId="171" fontId="15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4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4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0" fontId="46" fillId="0" borderId="117">
      <alignment vertical="top" wrapText="1"/>
    </xf>
    <xf numFmtId="9" fontId="15" fillId="0" borderId="0" applyFont="0" applyFill="0" applyBorder="0" applyAlignment="0" applyProtection="0"/>
    <xf numFmtId="0" fontId="79" fillId="23" borderId="111" applyNumberFormat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0" fontId="46" fillId="0" borderId="117">
      <alignment vertical="top" wrapText="1"/>
    </xf>
    <xf numFmtId="0" fontId="45" fillId="0" borderId="0"/>
    <xf numFmtId="0" fontId="45" fillId="0" borderId="0"/>
    <xf numFmtId="0" fontId="4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9" fontId="15" fillId="0" borderId="0" applyFont="0" applyFill="0" applyBorder="0" applyAlignment="0" applyProtection="0"/>
    <xf numFmtId="0" fontId="79" fillId="23" borderId="122" applyNumberFormat="0" applyAlignment="0" applyProtection="0"/>
    <xf numFmtId="43" fontId="15" fillId="0" borderId="0" applyFont="0" applyFill="0" applyBorder="0" applyAlignment="0" applyProtection="0"/>
    <xf numFmtId="0" fontId="57" fillId="0" borderId="121" applyNumberFormat="0" applyFill="0" applyAlignment="0" applyProtection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15" fillId="0" borderId="0"/>
    <xf numFmtId="171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171" fontId="15" fillId="0" borderId="0"/>
    <xf numFmtId="171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1" fontId="15" fillId="0" borderId="0"/>
    <xf numFmtId="0" fontId="15" fillId="0" borderId="0"/>
    <xf numFmtId="0" fontId="15" fillId="0" borderId="0"/>
    <xf numFmtId="171" fontId="15" fillId="0" borderId="0"/>
    <xf numFmtId="0" fontId="31" fillId="0" borderId="0"/>
    <xf numFmtId="0" fontId="31" fillId="0" borderId="0"/>
    <xf numFmtId="171" fontId="15" fillId="0" borderId="0"/>
    <xf numFmtId="0" fontId="31" fillId="0" borderId="0"/>
    <xf numFmtId="0" fontId="31" fillId="0" borderId="0"/>
    <xf numFmtId="0" fontId="31" fillId="0" borderId="0"/>
    <xf numFmtId="0" fontId="15" fillId="0" borderId="0"/>
    <xf numFmtId="171" fontId="15" fillId="0" borderId="0"/>
    <xf numFmtId="0" fontId="15" fillId="0" borderId="0"/>
    <xf numFmtId="171" fontId="15" fillId="0" borderId="0"/>
    <xf numFmtId="236" fontId="7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3" fillId="3" borderId="119" applyNumberFormat="0" applyAlignment="0" applyProtection="0"/>
    <xf numFmtId="0" fontId="15" fillId="0" borderId="0"/>
    <xf numFmtId="0" fontId="15" fillId="0" borderId="0"/>
    <xf numFmtId="0" fontId="15" fillId="0" borderId="0"/>
    <xf numFmtId="0" fontId="45" fillId="6" borderId="120" applyNumberFormat="0" applyFont="0" applyAlignment="0" applyProtection="0"/>
    <xf numFmtId="0" fontId="46" fillId="0" borderId="117">
      <alignment vertical="top" wrapText="1"/>
    </xf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7" fillId="23" borderId="119" applyNumberFormat="0" applyAlignment="0" applyProtection="0"/>
    <xf numFmtId="0" fontId="79" fillId="23" borderId="111" applyNumberFormat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5" fillId="6" borderId="120" applyNumberFormat="0" applyFont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171" fontId="77" fillId="23" borderId="119" applyNumberFormat="0" applyAlignment="0" applyProtection="0"/>
    <xf numFmtId="164" fontId="15" fillId="0" borderId="0" applyFont="0" applyFill="0" applyBorder="0" applyAlignment="0" applyProtection="0"/>
    <xf numFmtId="171" fontId="53" fillId="3" borderId="119" applyNumberFormat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0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15" fillId="0" borderId="0"/>
    <xf numFmtId="171" fontId="75" fillId="6" borderId="120" applyNumberFormat="0" applyFon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1" fontId="79" fillId="23" borderId="111" applyNumberFormat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71" fontId="15" fillId="0" borderId="0"/>
    <xf numFmtId="3" fontId="98" fillId="0" borderId="117"/>
    <xf numFmtId="0" fontId="163" fillId="31" borderId="123"/>
    <xf numFmtId="10" fontId="48" fillId="7" borderId="124" applyNumberFormat="0" applyBorder="0" applyAlignment="0" applyProtection="0"/>
    <xf numFmtId="0" fontId="153" fillId="0" borderId="123"/>
    <xf numFmtId="3" fontId="148" fillId="0" borderId="124">
      <alignment horizontal="center" vertical="center"/>
    </xf>
    <xf numFmtId="1" fontId="148" fillId="0" borderId="124">
      <alignment horizontal="center" vertical="center"/>
    </xf>
    <xf numFmtId="0" fontId="77" fillId="23" borderId="58" applyNumberFormat="0" applyAlignment="0" applyProtection="0"/>
    <xf numFmtId="0" fontId="127" fillId="1" borderId="124">
      <alignment horizontal="left" vertical="center" wrapText="1"/>
    </xf>
    <xf numFmtId="0" fontId="127" fillId="1" borderId="124">
      <alignment horizontal="center" vertical="center"/>
    </xf>
    <xf numFmtId="3" fontId="98" fillId="0" borderId="117"/>
    <xf numFmtId="3" fontId="98" fillId="0" borderId="117"/>
    <xf numFmtId="3" fontId="98" fillId="0" borderId="124"/>
    <xf numFmtId="3" fontId="98" fillId="0" borderId="124"/>
    <xf numFmtId="0" fontId="121" fillId="0" borderId="24">
      <alignment horizontal="left" vertical="center"/>
    </xf>
    <xf numFmtId="0" fontId="127" fillId="1" borderId="117">
      <alignment horizontal="center" vertical="center"/>
    </xf>
    <xf numFmtId="0" fontId="127" fillId="1" borderId="117">
      <alignment horizontal="left" vertical="center" wrapText="1"/>
    </xf>
    <xf numFmtId="0" fontId="77" fillId="23" borderId="119" applyNumberFormat="0" applyAlignment="0" applyProtection="0"/>
    <xf numFmtId="1" fontId="148" fillId="0" borderId="117">
      <alignment horizontal="center" vertical="center"/>
    </xf>
    <xf numFmtId="3" fontId="148" fillId="0" borderId="117">
      <alignment horizontal="center" vertical="center"/>
    </xf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3" fillId="0" borderId="123"/>
    <xf numFmtId="0" fontId="92" fillId="0" borderId="118">
      <alignment horizontal="left" vertical="center"/>
    </xf>
    <xf numFmtId="0" fontId="53" fillId="3" borderId="119" applyNumberFormat="0" applyAlignment="0" applyProtection="0"/>
    <xf numFmtId="10" fontId="48" fillId="7" borderId="117" applyNumberFormat="0" applyBorder="0" applyAlignment="0" applyProtection="0"/>
    <xf numFmtId="0" fontId="163" fillId="31" borderId="123"/>
    <xf numFmtId="165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70" fillId="30" borderId="116">
      <alignment vertical="top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71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75" fillId="6" borderId="120" applyNumberFormat="0" applyFont="0" applyAlignment="0" applyProtection="0"/>
    <xf numFmtId="0" fontId="45" fillId="6" borderId="120" applyNumberFormat="0" applyFont="0" applyAlignment="0" applyProtection="0"/>
    <xf numFmtId="0" fontId="79" fillId="23" borderId="111" applyNumberFormat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53" fillId="0" borderId="123"/>
    <xf numFmtId="175" fontId="93" fillId="0" borderId="25">
      <protection locked="0"/>
    </xf>
    <xf numFmtId="175" fontId="93" fillId="0" borderId="25">
      <protection locked="0"/>
    </xf>
    <xf numFmtId="175" fontId="93" fillId="0" borderId="25">
      <protection locked="0"/>
    </xf>
    <xf numFmtId="0" fontId="163" fillId="0" borderId="123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3" fillId="23" borderId="119" applyNumberFormat="0" applyAlignment="0" applyProtection="0">
      <alignment vertical="center"/>
    </xf>
    <xf numFmtId="0" fontId="193" fillId="23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192" fillId="35" borderId="119" applyNumberForma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5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93" fillId="6" borderId="120" applyNumberFormat="0" applyFont="0" applyAlignment="0" applyProtection="0">
      <alignment vertical="center"/>
    </xf>
    <xf numFmtId="0" fontId="45" fillId="6" borderId="120" applyNumberFormat="0" applyFont="0" applyAlignment="0" applyProtection="0">
      <alignment vertical="center"/>
    </xf>
    <xf numFmtId="0" fontId="207" fillId="36" borderId="118"/>
    <xf numFmtId="3" fontId="98" fillId="0" borderId="124"/>
    <xf numFmtId="171" fontId="75" fillId="6" borderId="113" applyNumberFormat="0" applyFont="0" applyAlignment="0" applyProtection="0"/>
    <xf numFmtId="171" fontId="53" fillId="3" borderId="58" applyNumberFormat="0" applyAlignment="0" applyProtection="0"/>
    <xf numFmtId="171" fontId="77" fillId="23" borderId="58" applyNumberFormat="0" applyAlignment="0" applyProtection="0"/>
    <xf numFmtId="0" fontId="75" fillId="6" borderId="113" applyNumberFormat="0" applyFont="0" applyAlignment="0" applyProtection="0"/>
    <xf numFmtId="0" fontId="77" fillId="23" borderId="58" applyNumberFormat="0" applyAlignment="0" applyProtection="0"/>
    <xf numFmtId="0" fontId="213" fillId="0" borderId="110" applyNumberFormat="0" applyFill="0" applyAlignment="0" applyProtection="0">
      <alignment vertical="center"/>
    </xf>
    <xf numFmtId="0" fontId="213" fillId="0" borderId="110" applyNumberFormat="0" applyFill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3" borderId="119" applyNumberFormat="0" applyAlignment="0" applyProtection="0">
      <alignment vertical="center"/>
    </xf>
    <xf numFmtId="0" fontId="217" fillId="3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17" fillId="5" borderId="119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23" borderId="111" applyNumberFormat="0" applyAlignment="0" applyProtection="0">
      <alignment vertical="center"/>
    </xf>
    <xf numFmtId="0" fontId="228" fillId="23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228" fillId="35" borderId="111" applyNumberFormat="0" applyAlignment="0" applyProtection="0">
      <alignment vertical="center"/>
    </xf>
    <xf numFmtId="0" fontId="93" fillId="0" borderId="117" applyNumberFormat="0" applyFill="0" applyProtection="0">
      <alignment vertical="center"/>
    </xf>
    <xf numFmtId="0" fontId="93" fillId="0" borderId="117" applyNumberFormat="0" applyFill="0" applyProtection="0">
      <alignment vertical="center"/>
    </xf>
    <xf numFmtId="0" fontId="239" fillId="3" borderId="119" applyNumberFormat="0" applyAlignment="0" applyProtection="0">
      <alignment vertical="center"/>
    </xf>
    <xf numFmtId="0" fontId="239" fillId="3" borderId="119" applyNumberFormat="0" applyAlignment="0" applyProtection="0">
      <alignment vertical="center"/>
    </xf>
    <xf numFmtId="0" fontId="239" fillId="3" borderId="119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240" fillId="23" borderId="111" applyNumberFormat="0" applyAlignment="0" applyProtection="0">
      <alignment vertical="center"/>
    </xf>
    <xf numFmtId="0" fontId="57" fillId="0" borderId="121" applyNumberFormat="0" applyFill="0" applyAlignment="0" applyProtection="0"/>
    <xf numFmtId="0" fontId="46" fillId="0" borderId="124">
      <alignment vertical="top" wrapText="1"/>
    </xf>
    <xf numFmtId="0" fontId="45" fillId="6" borderId="113" applyNumberFormat="0" applyFont="0" applyAlignment="0" applyProtection="0"/>
    <xf numFmtId="0" fontId="254" fillId="23" borderId="119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254" fillId="23" borderId="119" applyNumberFormat="0" applyAlignment="0" applyProtection="0">
      <alignment vertical="center"/>
    </xf>
    <xf numFmtId="0" fontId="53" fillId="3" borderId="58" applyNumberFormat="0" applyAlignment="0" applyProtection="0"/>
    <xf numFmtId="0" fontId="258" fillId="0" borderId="110" applyNumberFormat="0" applyFill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0" fontId="258" fillId="0" borderId="110" applyNumberFormat="0" applyFill="0" applyAlignment="0" applyProtection="0">
      <alignment vertical="center"/>
    </xf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0" fontId="15" fillId="0" borderId="0"/>
    <xf numFmtId="171" fontId="15" fillId="0" borderId="0"/>
    <xf numFmtId="171" fontId="15" fillId="0" borderId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0" fontId="53" fillId="3" borderId="119" applyNumberFormat="0" applyAlignment="0" applyProtection="0"/>
    <xf numFmtId="0" fontId="77" fillId="23" borderId="119" applyNumberFormat="0" applyAlignment="0" applyProtection="0"/>
    <xf numFmtId="0" fontId="15" fillId="0" borderId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77" fillId="23" borderId="119" applyNumberFormat="0" applyAlignment="0" applyProtection="0"/>
    <xf numFmtId="0" fontId="53" fillId="3" borderId="119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20" applyNumberFormat="0" applyFont="0" applyAlignment="0" applyProtection="0"/>
    <xf numFmtId="0" fontId="75" fillId="6" borderId="120" applyNumberFormat="0" applyFont="0" applyAlignment="0" applyProtection="0"/>
    <xf numFmtId="0" fontId="46" fillId="0" borderId="124">
      <alignment vertical="top" wrapText="1"/>
    </xf>
    <xf numFmtId="9" fontId="15" fillId="0" borderId="0" applyFont="0" applyFill="0" applyBorder="0" applyAlignment="0" applyProtection="0"/>
    <xf numFmtId="0" fontId="79" fillId="23" borderId="111" applyNumberFormat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15" fillId="0" borderId="0"/>
    <xf numFmtId="0" fontId="45" fillId="6" borderId="120" applyNumberFormat="0" applyFont="0" applyAlignment="0" applyProtection="0"/>
    <xf numFmtId="0" fontId="75" fillId="6" borderId="120" applyNumberFormat="0" applyFont="0" applyAlignment="0" applyProtection="0"/>
    <xf numFmtId="0" fontId="46" fillId="0" borderId="117">
      <alignment vertical="top" wrapText="1"/>
    </xf>
    <xf numFmtId="0" fontId="15" fillId="0" borderId="0"/>
    <xf numFmtId="0" fontId="77" fillId="23" borderId="119" applyNumberFormat="0" applyAlignment="0" applyProtection="0"/>
    <xf numFmtId="164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53" fillId="3" borderId="119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45" fillId="6" borderId="120" applyNumberFormat="0" applyFont="0" applyAlignment="0" applyProtection="0"/>
    <xf numFmtId="0" fontId="75" fillId="6" borderId="120" applyNumberFormat="0" applyFont="0" applyAlignment="0" applyProtection="0"/>
    <xf numFmtId="9" fontId="15" fillId="0" borderId="0" applyFont="0" applyFill="0" applyBorder="0" applyAlignment="0" applyProtection="0"/>
    <xf numFmtId="0" fontId="79" fillId="23" borderId="111" applyNumberFormat="0" applyAlignment="0" applyProtection="0"/>
    <xf numFmtId="43" fontId="15" fillId="0" borderId="0" applyFont="0" applyFill="0" applyBorder="0" applyAlignment="0" applyProtection="0"/>
    <xf numFmtId="0" fontId="57" fillId="0" borderId="110" applyNumberFormat="0" applyFill="0" applyAlignment="0" applyProtection="0"/>
    <xf numFmtId="0" fontId="75" fillId="6" borderId="113" applyNumberFormat="0" applyFont="0" applyAlignment="0" applyProtection="0"/>
    <xf numFmtId="0" fontId="45" fillId="6" borderId="113" applyNumberFormat="0" applyFont="0" applyAlignment="0" applyProtection="0"/>
    <xf numFmtId="0" fontId="153" fillId="0" borderId="123"/>
    <xf numFmtId="0" fontId="163" fillId="0" borderId="123"/>
    <xf numFmtId="0" fontId="93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95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93" fillId="6" borderId="113" applyNumberFormat="0" applyFont="0" applyAlignment="0" applyProtection="0">
      <alignment vertical="center"/>
    </xf>
    <xf numFmtId="0" fontId="45" fillId="6" borderId="113" applyNumberFormat="0" applyFont="0" applyAlignment="0" applyProtection="0">
      <alignment vertical="center"/>
    </xf>
    <xf numFmtId="0" fontId="213" fillId="0" borderId="121" applyNumberFormat="0" applyFill="0" applyAlignment="0" applyProtection="0">
      <alignment vertical="center"/>
    </xf>
    <xf numFmtId="0" fontId="213" fillId="0" borderId="121" applyNumberFormat="0" applyFill="0" applyAlignment="0" applyProtection="0">
      <alignment vertical="center"/>
    </xf>
    <xf numFmtId="0" fontId="93" fillId="0" borderId="124" applyNumberFormat="0" applyFill="0" applyProtection="0">
      <alignment vertical="center"/>
    </xf>
    <xf numFmtId="0" fontId="93" fillId="0" borderId="124" applyNumberFormat="0" applyFill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258" fillId="0" borderId="121" applyNumberFormat="0" applyFill="0" applyAlignment="0" applyProtection="0">
      <alignment vertical="center"/>
    </xf>
    <xf numFmtId="0" fontId="53" fillId="3" borderId="58" applyNumberFormat="0" applyAlignment="0" applyProtection="0"/>
    <xf numFmtId="0" fontId="77" fillId="23" borderId="58" applyNumberFormat="0" applyAlignment="0" applyProtection="0"/>
    <xf numFmtId="0" fontId="77" fillId="23" borderId="58" applyNumberFormat="0" applyAlignment="0" applyProtection="0"/>
    <xf numFmtId="0" fontId="53" fillId="3" borderId="58" applyNumberFormat="0" applyAlignment="0" applyProtection="0"/>
    <xf numFmtId="0" fontId="79" fillId="23" borderId="122" applyNumberFormat="0" applyAlignment="0" applyProtection="0"/>
    <xf numFmtId="0" fontId="57" fillId="0" borderId="121" applyNumberFormat="0" applyFill="0" applyAlignment="0" applyProtection="0"/>
    <xf numFmtId="0" fontId="46" fillId="0" borderId="124">
      <alignment vertical="top" wrapText="1"/>
    </xf>
    <xf numFmtId="0" fontId="77" fillId="23" borderId="58" applyNumberFormat="0" applyAlignment="0" applyProtection="0"/>
    <xf numFmtId="0" fontId="53" fillId="3" borderId="58" applyNumberFormat="0" applyAlignment="0" applyProtection="0"/>
    <xf numFmtId="0" fontId="45" fillId="6" borderId="113" applyNumberFormat="0" applyFont="0" applyAlignment="0" applyProtection="0"/>
    <xf numFmtId="0" fontId="75" fillId="6" borderId="113" applyNumberFormat="0" applyFont="0" applyAlignment="0" applyProtection="0"/>
    <xf numFmtId="0" fontId="57" fillId="0" borderId="121" applyNumberFormat="0" applyFill="0" applyAlignment="0" applyProtection="0"/>
    <xf numFmtId="0" fontId="14" fillId="0" borderId="0"/>
    <xf numFmtId="171" fontId="14" fillId="0" borderId="0"/>
    <xf numFmtId="171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 applyFont="0" applyFill="0" applyBorder="0" applyAlignment="0" applyProtection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171" fontId="14" fillId="0" borderId="0"/>
    <xf numFmtId="0" fontId="31" fillId="0" borderId="0"/>
    <xf numFmtId="171" fontId="14" fillId="0" borderId="0"/>
    <xf numFmtId="171" fontId="14" fillId="0" borderId="0"/>
    <xf numFmtId="0" fontId="14" fillId="0" borderId="0"/>
    <xf numFmtId="0" fontId="14" fillId="0" borderId="0"/>
    <xf numFmtId="171" fontId="14" fillId="0" borderId="0"/>
    <xf numFmtId="0" fontId="14" fillId="0" borderId="0"/>
    <xf numFmtId="0" fontId="14" fillId="0" borderId="0"/>
    <xf numFmtId="0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171" fontId="13" fillId="0" borderId="0"/>
    <xf numFmtId="171" fontId="13" fillId="0" borderId="0"/>
    <xf numFmtId="171" fontId="13" fillId="0" borderId="0"/>
    <xf numFmtId="0" fontId="13" fillId="0" borderId="0"/>
    <xf numFmtId="0" fontId="13" fillId="0" borderId="0"/>
    <xf numFmtId="17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71" fontId="12" fillId="0" borderId="0"/>
    <xf numFmtId="171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 applyFont="0" applyFill="0" applyBorder="0" applyAlignment="0" applyProtection="0"/>
    <xf numFmtId="171" fontId="12" fillId="0" borderId="0"/>
    <xf numFmtId="0" fontId="12" fillId="0" borderId="0"/>
    <xf numFmtId="171" fontId="12" fillId="0" borderId="0"/>
    <xf numFmtId="171" fontId="12" fillId="0" borderId="0"/>
    <xf numFmtId="0" fontId="12" fillId="0" borderId="0"/>
    <xf numFmtId="0" fontId="12" fillId="0" borderId="0"/>
    <xf numFmtId="171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262" fillId="0" borderId="0" applyFont="0" applyFill="0" applyBorder="0" applyAlignment="0" applyProtection="0"/>
    <xf numFmtId="171" fontId="11" fillId="0" borderId="0"/>
    <xf numFmtId="164" fontId="45" fillId="0" borderId="0" applyFont="0" applyFill="0" applyBorder="0" applyAlignment="0" applyProtection="0"/>
    <xf numFmtId="165" fontId="262" fillId="0" borderId="0" applyFont="0" applyFill="0" applyBorder="0" applyAlignment="0" applyProtection="0"/>
    <xf numFmtId="164" fontId="45" fillId="0" borderId="0" applyFont="0" applyFill="0" applyBorder="0" applyAlignment="0" applyProtection="0"/>
    <xf numFmtId="171" fontId="10" fillId="0" borderId="0"/>
    <xf numFmtId="171" fontId="9" fillId="0" borderId="0"/>
    <xf numFmtId="164" fontId="263" fillId="0" borderId="0" applyFont="0" applyFill="0" applyBorder="0" applyAlignment="0" applyProtection="0"/>
    <xf numFmtId="165" fontId="263" fillId="0" borderId="0" applyFont="0" applyFill="0" applyBorder="0" applyAlignment="0" applyProtection="0"/>
    <xf numFmtId="43" fontId="8" fillId="0" borderId="0" applyFont="0" applyFill="0" applyBorder="0" applyAlignment="0" applyProtection="0"/>
    <xf numFmtId="171" fontId="8" fillId="0" borderId="0"/>
    <xf numFmtId="0" fontId="8" fillId="0" borderId="0"/>
    <xf numFmtId="171" fontId="8" fillId="0" borderId="0"/>
    <xf numFmtId="171" fontId="8" fillId="0" borderId="0"/>
    <xf numFmtId="0" fontId="8" fillId="0" borderId="0"/>
    <xf numFmtId="43" fontId="7" fillId="0" borderId="0" applyFont="0" applyFill="0" applyBorder="0" applyAlignment="0" applyProtection="0"/>
    <xf numFmtId="171" fontId="7" fillId="0" borderId="0"/>
    <xf numFmtId="0" fontId="7" fillId="0" borderId="0"/>
    <xf numFmtId="171" fontId="7" fillId="0" borderId="0"/>
    <xf numFmtId="171" fontId="7" fillId="0" borderId="0"/>
    <xf numFmtId="0" fontId="7" fillId="0" borderId="0"/>
    <xf numFmtId="43" fontId="6" fillId="0" borderId="0" applyFont="0" applyFill="0" applyBorder="0" applyAlignment="0" applyProtection="0"/>
    <xf numFmtId="0" fontId="6" fillId="0" borderId="0"/>
    <xf numFmtId="171" fontId="6" fillId="0" borderId="0"/>
    <xf numFmtId="171" fontId="6" fillId="0" borderId="0"/>
    <xf numFmtId="0" fontId="6" fillId="0" borderId="0"/>
    <xf numFmtId="43" fontId="5" fillId="0" borderId="0" applyFont="0" applyFill="0" applyBorder="0" applyAlignment="0" applyProtection="0"/>
    <xf numFmtId="0" fontId="5" fillId="0" borderId="0"/>
    <xf numFmtId="171" fontId="5" fillId="0" borderId="0"/>
    <xf numFmtId="171" fontId="5" fillId="0" borderId="0"/>
    <xf numFmtId="171" fontId="5" fillId="0" borderId="0"/>
    <xf numFmtId="44" fontId="265" fillId="0" borderId="0" applyFont="0" applyFill="0" applyBorder="0" applyAlignment="0" applyProtection="0"/>
    <xf numFmtId="0" fontId="268" fillId="0" borderId="0">
      <alignment vertical="center"/>
    </xf>
    <xf numFmtId="164" fontId="45" fillId="0" borderId="0" applyFont="0" applyFill="0" applyBorder="0" applyAlignment="0" applyProtection="0"/>
    <xf numFmtId="0" fontId="272" fillId="0" borderId="0"/>
    <xf numFmtId="0" fontId="268" fillId="0" borderId="0">
      <alignment vertical="center"/>
    </xf>
    <xf numFmtId="9" fontId="268" fillId="0" borderId="0" applyFont="0" applyFill="0" applyBorder="0" applyAlignment="0" applyProtection="0"/>
    <xf numFmtId="44" fontId="71" fillId="0" borderId="0" applyFont="0" applyFill="0" applyBorder="0" applyAlignment="0" applyProtection="0">
      <alignment vertical="top"/>
    </xf>
    <xf numFmtId="0" fontId="71" fillId="0" borderId="0">
      <alignment vertical="top"/>
    </xf>
    <xf numFmtId="44" fontId="268" fillId="0" borderId="0" applyFont="0" applyFill="0" applyBorder="0" applyAlignment="0" applyProtection="0"/>
    <xf numFmtId="9" fontId="71" fillId="0" borderId="0" applyFont="0" applyFill="0" applyBorder="0" applyAlignment="0" applyProtection="0">
      <alignment vertical="top"/>
    </xf>
    <xf numFmtId="0" fontId="71" fillId="0" borderId="0"/>
    <xf numFmtId="43" fontId="71" fillId="0" borderId="0" applyFont="0" applyFill="0" applyBorder="0" applyAlignment="0" applyProtection="0">
      <alignment vertical="top"/>
    </xf>
    <xf numFmtId="0" fontId="71" fillId="0" borderId="0">
      <alignment vertical="top"/>
    </xf>
    <xf numFmtId="0" fontId="290" fillId="0" borderId="0" applyNumberFormat="0" applyFill="0" applyBorder="0" applyAlignment="0" applyProtection="0">
      <alignment vertical="top"/>
    </xf>
    <xf numFmtId="0" fontId="71" fillId="0" borderId="0">
      <alignment vertical="top"/>
    </xf>
    <xf numFmtId="165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297" fillId="0" borderId="0"/>
    <xf numFmtId="9" fontId="297" fillId="0" borderId="0" applyFont="0" applyFill="0" applyBorder="0" applyAlignment="0" applyProtection="0"/>
    <xf numFmtId="44" fontId="297" fillId="0" borderId="0" applyFont="0" applyFill="0" applyBorder="0" applyAlignment="0" applyProtection="0"/>
    <xf numFmtId="0" fontId="298" fillId="0" borderId="0"/>
    <xf numFmtId="0" fontId="71" fillId="0" borderId="0">
      <alignment vertical="top"/>
    </xf>
    <xf numFmtId="0" fontId="4" fillId="0" borderId="0"/>
    <xf numFmtId="9" fontId="4" fillId="0" borderId="0" applyFont="0" applyFill="0" applyBorder="0" applyAlignment="0" applyProtection="0"/>
    <xf numFmtId="0" fontId="290" fillId="0" borderId="0" applyNumberFormat="0" applyFill="0" applyBorder="0" applyAlignment="0" applyProtection="0"/>
    <xf numFmtId="0" fontId="45" fillId="0" borderId="0" applyNumberFormat="0" applyFont="0" applyFill="0" applyBorder="0" applyAlignment="0" applyProtection="0"/>
    <xf numFmtId="43" fontId="45" fillId="0" borderId="0" applyNumberFormat="0" applyFont="0" applyFill="0" applyBorder="0" applyAlignment="0" applyProtection="0"/>
    <xf numFmtId="9" fontId="45" fillId="0" borderId="0" applyNumberFormat="0" applyFont="0" applyFill="0" applyBorder="0" applyAlignment="0" applyProtection="0"/>
    <xf numFmtId="44" fontId="45" fillId="0" borderId="0" applyFont="0" applyFill="0" applyBorder="0" applyAlignment="0" applyProtection="0"/>
    <xf numFmtId="0" fontId="45" fillId="0" borderId="0" applyNumberFormat="0" applyFont="0" applyFill="0" applyBorder="0" applyAlignment="0" applyProtection="0"/>
    <xf numFmtId="0" fontId="71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461">
    <xf numFmtId="0" fontId="0" fillId="0" borderId="0" xfId="0"/>
    <xf numFmtId="0" fontId="269" fillId="0" borderId="0" xfId="51775" applyFont="1">
      <alignment vertical="center"/>
    </xf>
    <xf numFmtId="0" fontId="270" fillId="0" borderId="0" xfId="51775" applyFont="1">
      <alignment vertical="center"/>
    </xf>
    <xf numFmtId="0" fontId="31" fillId="0" borderId="0" xfId="51775" applyFont="1" applyAlignment="1">
      <alignment horizontal="left" vertical="center"/>
    </xf>
    <xf numFmtId="0" fontId="271" fillId="0" borderId="0" xfId="51775" applyFont="1">
      <alignment vertical="center"/>
    </xf>
    <xf numFmtId="0" fontId="91" fillId="0" borderId="0" xfId="51777" applyFont="1" applyAlignment="1">
      <alignment vertical="center"/>
    </xf>
    <xf numFmtId="0" fontId="272" fillId="0" borderId="0" xfId="51775" applyFont="1" applyAlignment="1">
      <alignment horizontal="right" vertical="center"/>
    </xf>
    <xf numFmtId="0" fontId="272" fillId="0" borderId="0" xfId="51775" applyFont="1" applyAlignment="1">
      <alignment horizontal="left" vertical="center"/>
    </xf>
    <xf numFmtId="0" fontId="31" fillId="0" borderId="0" xfId="51775" applyFont="1" applyAlignment="1">
      <alignment horizontal="right" vertical="center"/>
    </xf>
    <xf numFmtId="0" fontId="31" fillId="0" borderId="0" xfId="51778" applyFont="1" applyAlignment="1">
      <alignment horizontal="left" vertical="center"/>
    </xf>
    <xf numFmtId="0" fontId="31" fillId="0" borderId="125" xfId="51775" applyFont="1" applyBorder="1" applyAlignment="1">
      <alignment horizontal="right" vertical="center"/>
    </xf>
    <xf numFmtId="0" fontId="31" fillId="0" borderId="126" xfId="51775" applyFont="1" applyBorder="1" applyAlignment="1">
      <alignment horizontal="left" vertical="center"/>
    </xf>
    <xf numFmtId="0" fontId="31" fillId="0" borderId="125" xfId="51775" applyFont="1" applyBorder="1" applyAlignment="1">
      <alignment horizontal="center" vertical="center"/>
    </xf>
    <xf numFmtId="0" fontId="31" fillId="0" borderId="21" xfId="51775" applyFont="1" applyBorder="1" applyAlignment="1">
      <alignment horizontal="center" vertical="center"/>
    </xf>
    <xf numFmtId="0" fontId="31" fillId="0" borderId="22" xfId="51775" applyFont="1" applyBorder="1" applyAlignment="1">
      <alignment horizontal="center" vertical="center"/>
    </xf>
    <xf numFmtId="0" fontId="31" fillId="0" borderId="22" xfId="51775" applyFont="1" applyBorder="1" applyAlignment="1">
      <alignment horizontal="left" vertical="center"/>
    </xf>
    <xf numFmtId="0" fontId="31" fillId="0" borderId="12" xfId="51775" applyFont="1" applyBorder="1" applyAlignment="1">
      <alignment horizontal="left" vertical="center"/>
    </xf>
    <xf numFmtId="0" fontId="31" fillId="0" borderId="129" xfId="51775" applyFont="1" applyBorder="1" applyAlignment="1">
      <alignment horizontal="center" vertical="center"/>
    </xf>
    <xf numFmtId="0" fontId="31" fillId="0" borderId="138" xfId="51775" applyFont="1" applyBorder="1" applyAlignment="1">
      <alignment horizontal="left" vertical="center"/>
    </xf>
    <xf numFmtId="0" fontId="31" fillId="0" borderId="130" xfId="51775" applyFont="1" applyBorder="1" applyAlignment="1">
      <alignment horizontal="left" vertical="center"/>
    </xf>
    <xf numFmtId="238" fontId="31" fillId="0" borderId="0" xfId="51780" applyNumberFormat="1" applyFont="1" applyBorder="1" applyAlignment="1">
      <alignment horizontal="left" vertical="center"/>
    </xf>
    <xf numFmtId="238" fontId="31" fillId="0" borderId="0" xfId="51780" applyNumberFormat="1" applyFont="1" applyBorder="1" applyAlignment="1">
      <alignment vertical="center"/>
    </xf>
    <xf numFmtId="238" fontId="31" fillId="0" borderId="0" xfId="51775" applyNumberFormat="1" applyFont="1" applyAlignment="1">
      <alignment horizontal="left" vertical="center"/>
    </xf>
    <xf numFmtId="238" fontId="31" fillId="0" borderId="0" xfId="51775" applyNumberFormat="1" applyFont="1">
      <alignment vertical="center"/>
    </xf>
    <xf numFmtId="0" fontId="31" fillId="0" borderId="0" xfId="51775" applyFont="1" applyAlignment="1">
      <alignment horizontal="center" vertical="center"/>
    </xf>
    <xf numFmtId="238" fontId="31" fillId="0" borderId="22" xfId="51775" applyNumberFormat="1" applyFont="1" applyBorder="1" applyAlignment="1">
      <alignment horizontal="left" vertical="center"/>
    </xf>
    <xf numFmtId="238" fontId="31" fillId="0" borderId="22" xfId="51775" applyNumberFormat="1" applyFont="1" applyBorder="1">
      <alignment vertical="center"/>
    </xf>
    <xf numFmtId="0" fontId="31" fillId="0" borderId="0" xfId="51775" applyFont="1" applyAlignment="1">
      <alignment horizontal="right" vertical="center" indent="1"/>
    </xf>
    <xf numFmtId="0" fontId="283" fillId="0" borderId="0" xfId="51781" applyFont="1" applyAlignment="1" applyProtection="1">
      <alignment horizontal="center" vertical="center"/>
      <protection hidden="1"/>
    </xf>
    <xf numFmtId="0" fontId="283" fillId="0" borderId="0" xfId="51781" applyFont="1" applyAlignment="1" applyProtection="1">
      <alignment horizontal="center"/>
      <protection hidden="1"/>
    </xf>
    <xf numFmtId="0" fontId="287" fillId="0" borderId="0" xfId="51778" applyFont="1" applyAlignment="1">
      <alignment horizontal="left" vertical="center"/>
    </xf>
    <xf numFmtId="4" fontId="31" fillId="0" borderId="0" xfId="17" applyNumberFormat="1" applyFont="1" applyFill="1" applyBorder="1" applyAlignment="1">
      <alignment horizontal="left" vertical="center"/>
    </xf>
    <xf numFmtId="44" fontId="31" fillId="0" borderId="0" xfId="51774" applyFont="1" applyAlignment="1">
      <alignment horizontal="left" vertical="center"/>
    </xf>
    <xf numFmtId="0" fontId="274" fillId="0" borderId="0" xfId="51775" applyFont="1" applyProtection="1">
      <alignment vertical="center"/>
      <protection locked="0"/>
    </xf>
    <xf numFmtId="0" fontId="270" fillId="0" borderId="0" xfId="51778" applyFont="1" applyProtection="1">
      <alignment vertical="center"/>
      <protection hidden="1"/>
    </xf>
    <xf numFmtId="0" fontId="269" fillId="0" borderId="0" xfId="51778" applyFont="1" applyProtection="1">
      <alignment vertical="center"/>
      <protection hidden="1"/>
    </xf>
    <xf numFmtId="0" fontId="31" fillId="0" borderId="0" xfId="51778" applyFont="1" applyAlignment="1" applyProtection="1">
      <alignment horizontal="left" vertical="center"/>
      <protection hidden="1"/>
    </xf>
    <xf numFmtId="0" fontId="91" fillId="0" borderId="0" xfId="51777" applyFont="1" applyAlignment="1" applyProtection="1">
      <alignment vertical="center"/>
      <protection hidden="1"/>
    </xf>
    <xf numFmtId="0" fontId="271" fillId="0" borderId="0" xfId="51778" applyFont="1" applyProtection="1">
      <alignment vertical="center"/>
      <protection hidden="1"/>
    </xf>
    <xf numFmtId="0" fontId="272" fillId="0" borderId="0" xfId="51778" applyFont="1" applyAlignment="1" applyProtection="1">
      <alignment horizontal="right" vertical="center"/>
      <protection hidden="1"/>
    </xf>
    <xf numFmtId="0" fontId="272" fillId="0" borderId="0" xfId="51778" applyFont="1" applyAlignment="1" applyProtection="1">
      <alignment horizontal="left" vertical="center"/>
      <protection hidden="1"/>
    </xf>
    <xf numFmtId="0" fontId="45" fillId="0" borderId="0" xfId="51778" applyFont="1" applyAlignment="1" applyProtection="1">
      <alignment horizontal="left" vertical="center"/>
      <protection hidden="1"/>
    </xf>
    <xf numFmtId="0" fontId="274" fillId="0" borderId="0" xfId="51778" applyFont="1" applyAlignment="1" applyProtection="1">
      <alignment horizontal="left" vertical="center"/>
      <protection hidden="1"/>
    </xf>
    <xf numFmtId="0" fontId="287" fillId="0" borderId="0" xfId="51778" applyFont="1" applyAlignment="1" applyProtection="1">
      <alignment horizontal="left" vertical="center"/>
      <protection hidden="1"/>
    </xf>
    <xf numFmtId="0" fontId="31" fillId="0" borderId="0" xfId="51775" applyFont="1" applyAlignment="1" applyProtection="1">
      <alignment horizontal="right" vertical="center"/>
      <protection hidden="1"/>
    </xf>
    <xf numFmtId="0" fontId="31" fillId="0" borderId="21" xfId="51775" applyFont="1" applyBorder="1" applyAlignment="1" applyProtection="1">
      <alignment horizontal="center" vertical="center"/>
      <protection hidden="1"/>
    </xf>
    <xf numFmtId="0" fontId="31" fillId="0" borderId="22" xfId="51775" applyFont="1" applyBorder="1" applyAlignment="1" applyProtection="1">
      <alignment horizontal="left" vertical="center"/>
      <protection hidden="1"/>
    </xf>
    <xf numFmtId="0" fontId="31" fillId="0" borderId="22" xfId="51775" applyFont="1" applyBorder="1" applyAlignment="1" applyProtection="1">
      <alignment horizontal="center" vertical="center"/>
      <protection hidden="1"/>
    </xf>
    <xf numFmtId="0" fontId="272" fillId="0" borderId="0" xfId="51778" applyFont="1" applyAlignment="1" applyProtection="1">
      <alignment horizontal="center" vertical="center"/>
      <protection hidden="1"/>
    </xf>
    <xf numFmtId="0" fontId="31" fillId="0" borderId="0" xfId="51778" applyFont="1" applyAlignment="1" applyProtection="1">
      <alignment horizontal="center" vertical="center"/>
      <protection hidden="1"/>
    </xf>
    <xf numFmtId="0" fontId="274" fillId="0" borderId="22" xfId="51778" applyFont="1" applyBorder="1" applyProtection="1">
      <alignment vertical="center"/>
      <protection hidden="1"/>
    </xf>
    <xf numFmtId="0" fontId="280" fillId="0" borderId="0" xfId="51778" applyFont="1" applyAlignment="1" applyProtection="1">
      <alignment horizontal="left" vertical="center"/>
      <protection hidden="1"/>
    </xf>
    <xf numFmtId="0" fontId="275" fillId="0" borderId="0" xfId="51778" applyFont="1" applyAlignment="1" applyProtection="1">
      <alignment horizontal="right" vertical="center"/>
      <protection hidden="1"/>
    </xf>
    <xf numFmtId="0" fontId="31" fillId="0" borderId="0" xfId="51775" applyFont="1" applyAlignment="1" applyProtection="1">
      <alignment horizontal="center" vertical="center"/>
      <protection hidden="1"/>
    </xf>
    <xf numFmtId="0" fontId="31" fillId="0" borderId="0" xfId="51775" applyFont="1" applyProtection="1">
      <alignment vertical="center"/>
      <protection hidden="1"/>
    </xf>
    <xf numFmtId="0" fontId="275" fillId="0" borderId="0" xfId="51775" applyFont="1" applyAlignment="1" applyProtection="1">
      <alignment horizontal="right" vertical="top"/>
      <protection hidden="1"/>
    </xf>
    <xf numFmtId="10" fontId="61" fillId="39" borderId="152" xfId="17" applyNumberFormat="1" applyFont="1" applyFill="1" applyBorder="1" applyAlignment="1" applyProtection="1">
      <alignment horizontal="center" vertical="center"/>
      <protection hidden="1"/>
    </xf>
    <xf numFmtId="0" fontId="31" fillId="0" borderId="0" xfId="51778" applyFont="1" applyAlignment="1" applyProtection="1">
      <alignment horizontal="right" vertical="center"/>
      <protection hidden="1"/>
    </xf>
    <xf numFmtId="0" fontId="31" fillId="0" borderId="0" xfId="51778" applyFont="1" applyAlignment="1" applyProtection="1">
      <alignment horizontal="left" vertical="center" indent="7"/>
      <protection hidden="1"/>
    </xf>
    <xf numFmtId="0" fontId="31" fillId="0" borderId="126" xfId="51778" applyFont="1" applyBorder="1" applyAlignment="1" applyProtection="1">
      <alignment horizontal="left" vertical="center"/>
      <protection hidden="1"/>
    </xf>
    <xf numFmtId="16" fontId="31" fillId="0" borderId="22" xfId="51775" applyNumberFormat="1" applyFont="1" applyBorder="1" applyAlignment="1" applyProtection="1">
      <alignment horizontal="left" vertical="center"/>
      <protection hidden="1"/>
    </xf>
    <xf numFmtId="0" fontId="275" fillId="0" borderId="22" xfId="51775" applyFont="1" applyBorder="1" applyAlignment="1" applyProtection="1">
      <alignment horizontal="right" vertical="center"/>
      <protection hidden="1"/>
    </xf>
    <xf numFmtId="2" fontId="284" fillId="0" borderId="22" xfId="51775" applyNumberFormat="1" applyFont="1" applyBorder="1" applyAlignment="1" applyProtection="1">
      <alignment horizontal="center" vertical="center"/>
      <protection hidden="1"/>
    </xf>
    <xf numFmtId="242" fontId="280" fillId="0" borderId="0" xfId="51775" applyNumberFormat="1" applyFont="1" applyAlignment="1" applyProtection="1">
      <alignment horizontal="center" vertical="center"/>
      <protection hidden="1"/>
    </xf>
    <xf numFmtId="0" fontId="45" fillId="0" borderId="0" xfId="51777" applyFont="1" applyAlignment="1" applyProtection="1">
      <alignment vertical="center"/>
      <protection hidden="1"/>
    </xf>
    <xf numFmtId="0" fontId="31" fillId="0" borderId="0" xfId="51778" applyFont="1" applyProtection="1">
      <alignment vertical="center"/>
      <protection hidden="1"/>
    </xf>
    <xf numFmtId="0" fontId="285" fillId="38" borderId="0" xfId="51778" applyFont="1" applyFill="1" applyAlignment="1" applyProtection="1">
      <alignment horizontal="right" vertical="center"/>
      <protection locked="0"/>
    </xf>
    <xf numFmtId="243" fontId="31" fillId="0" borderId="0" xfId="51778" applyNumberFormat="1" applyFont="1" applyAlignment="1" applyProtection="1">
      <alignment horizontal="right" vertical="center"/>
      <protection hidden="1"/>
    </xf>
    <xf numFmtId="4" fontId="31" fillId="0" borderId="0" xfId="51778" applyNumberFormat="1" applyFont="1" applyAlignment="1" applyProtection="1">
      <alignment horizontal="right" vertical="center"/>
      <protection hidden="1"/>
    </xf>
    <xf numFmtId="2" fontId="31" fillId="0" borderId="22" xfId="51775" applyNumberFormat="1" applyFont="1" applyBorder="1" applyAlignment="1" applyProtection="1">
      <alignment horizontal="left" vertical="center"/>
      <protection hidden="1"/>
    </xf>
    <xf numFmtId="44" fontId="31" fillId="0" borderId="22" xfId="51774" applyFont="1" applyFill="1" applyBorder="1" applyAlignment="1" applyProtection="1">
      <alignment horizontal="right" vertical="center"/>
      <protection hidden="1"/>
    </xf>
    <xf numFmtId="0" fontId="31" fillId="0" borderId="22" xfId="51778" applyFont="1" applyBorder="1" applyAlignment="1" applyProtection="1">
      <alignment horizontal="left" vertical="center"/>
      <protection hidden="1"/>
    </xf>
    <xf numFmtId="4" fontId="272" fillId="0" borderId="0" xfId="51778" applyNumberFormat="1" applyFont="1" applyAlignment="1" applyProtection="1">
      <alignment horizontal="left" vertical="center"/>
      <protection hidden="1"/>
    </xf>
    <xf numFmtId="0" fontId="31" fillId="38" borderId="0" xfId="51778" applyFont="1" applyFill="1" applyAlignment="1">
      <alignment horizontal="left" vertical="center"/>
    </xf>
    <xf numFmtId="10" fontId="272" fillId="0" borderId="0" xfId="17" applyNumberFormat="1" applyFont="1" applyFill="1" applyBorder="1" applyAlignment="1" applyProtection="1">
      <alignment horizontal="left" vertical="center"/>
      <protection hidden="1"/>
    </xf>
    <xf numFmtId="239" fontId="274" fillId="0" borderId="0" xfId="17" applyNumberFormat="1" applyFont="1" applyFill="1" applyBorder="1" applyAlignment="1" applyProtection="1">
      <alignment horizontal="left" vertical="center"/>
      <protection hidden="1"/>
    </xf>
    <xf numFmtId="0" fontId="285" fillId="38" borderId="0" xfId="51778" applyFont="1" applyFill="1" applyAlignment="1" applyProtection="1">
      <alignment horizontal="right" vertical="center"/>
      <protection hidden="1"/>
    </xf>
    <xf numFmtId="14" fontId="31" fillId="38" borderId="0" xfId="51778" applyNumberFormat="1" applyFont="1" applyFill="1" applyAlignment="1">
      <alignment horizontal="center" vertical="center"/>
    </xf>
    <xf numFmtId="0" fontId="272" fillId="0" borderId="0" xfId="51775" applyFont="1" applyAlignment="1" applyProtection="1">
      <alignment horizontal="right" vertical="center"/>
      <protection hidden="1"/>
    </xf>
    <xf numFmtId="4" fontId="31" fillId="0" borderId="0" xfId="51774" applyNumberFormat="1" applyFont="1" applyFill="1" applyBorder="1" applyAlignment="1" applyProtection="1">
      <alignment horizontal="center" vertical="center"/>
      <protection hidden="1"/>
    </xf>
    <xf numFmtId="4" fontId="31" fillId="0" borderId="0" xfId="51778" applyNumberFormat="1" applyFont="1" applyAlignment="1" applyProtection="1">
      <alignment horizontal="left" vertical="center"/>
      <protection hidden="1"/>
    </xf>
    <xf numFmtId="10" fontId="61" fillId="39" borderId="152" xfId="51779" applyNumberFormat="1" applyFont="1" applyFill="1" applyBorder="1" applyAlignment="1" applyProtection="1">
      <alignment horizontal="center" vertical="center"/>
      <protection hidden="1"/>
    </xf>
    <xf numFmtId="44" fontId="31" fillId="0" borderId="0" xfId="51778" applyNumberFormat="1" applyFont="1" applyAlignment="1" applyProtection="1">
      <alignment horizontal="left" vertical="center"/>
      <protection hidden="1"/>
    </xf>
    <xf numFmtId="2" fontId="272" fillId="8" borderId="152" xfId="51778" applyNumberFormat="1" applyFont="1" applyFill="1" applyBorder="1" applyAlignment="1" applyProtection="1">
      <alignment horizontal="center" vertical="center"/>
      <protection hidden="1"/>
    </xf>
    <xf numFmtId="4" fontId="31" fillId="0" borderId="0" xfId="51775" applyNumberFormat="1" applyFont="1" applyAlignment="1">
      <alignment horizontal="left" vertical="center"/>
    </xf>
    <xf numFmtId="4" fontId="31" fillId="0" borderId="126" xfId="51774" applyNumberFormat="1" applyFont="1" applyFill="1" applyBorder="1" applyAlignment="1" applyProtection="1">
      <alignment horizontal="center" vertical="center"/>
      <protection hidden="1"/>
    </xf>
    <xf numFmtId="2" fontId="274" fillId="0" borderId="0" xfId="51778" applyNumberFormat="1" applyFont="1" applyAlignment="1" applyProtection="1">
      <alignment horizontal="center" vertical="center"/>
      <protection hidden="1"/>
    </xf>
    <xf numFmtId="10" fontId="31" fillId="0" borderId="0" xfId="17" applyNumberFormat="1" applyFont="1" applyAlignment="1" applyProtection="1">
      <alignment horizontal="left" vertical="center"/>
      <protection hidden="1"/>
    </xf>
    <xf numFmtId="0" fontId="267" fillId="0" borderId="0" xfId="51775" applyFont="1" applyAlignment="1" applyProtection="1">
      <alignment horizontal="right" vertical="center" indent="2"/>
      <protection hidden="1"/>
    </xf>
    <xf numFmtId="0" fontId="274" fillId="40" borderId="138" xfId="51778" applyFont="1" applyFill="1" applyBorder="1" applyAlignment="1" applyProtection="1">
      <alignment horizontal="left" vertical="center"/>
      <protection hidden="1"/>
    </xf>
    <xf numFmtId="0" fontId="272" fillId="40" borderId="138" xfId="51778" applyFont="1" applyFill="1" applyBorder="1" applyAlignment="1" applyProtection="1">
      <alignment horizontal="left" vertical="center"/>
      <protection hidden="1"/>
    </xf>
    <xf numFmtId="0" fontId="272" fillId="40" borderId="145" xfId="51778" applyFont="1" applyFill="1" applyBorder="1" applyAlignment="1" applyProtection="1">
      <alignment horizontal="left" vertical="center"/>
      <protection hidden="1"/>
    </xf>
    <xf numFmtId="0" fontId="272" fillId="40" borderId="138" xfId="51778" applyFont="1" applyFill="1" applyBorder="1" applyAlignment="1" applyProtection="1">
      <alignment horizontal="center" vertical="center"/>
      <protection hidden="1"/>
    </xf>
    <xf numFmtId="0" fontId="272" fillId="40" borderId="145" xfId="51775" applyFont="1" applyFill="1" applyBorder="1" applyAlignment="1" applyProtection="1">
      <alignment horizontal="right" vertical="center"/>
      <protection hidden="1"/>
    </xf>
    <xf numFmtId="4" fontId="31" fillId="40" borderId="145" xfId="51774" applyNumberFormat="1" applyFont="1" applyFill="1" applyBorder="1" applyAlignment="1" applyProtection="1">
      <alignment horizontal="center" vertical="center"/>
      <protection hidden="1"/>
    </xf>
    <xf numFmtId="4" fontId="31" fillId="40" borderId="146" xfId="51774" applyNumberFormat="1" applyFont="1" applyFill="1" applyBorder="1" applyAlignment="1" applyProtection="1">
      <alignment horizontal="center" vertical="center"/>
      <protection hidden="1"/>
    </xf>
    <xf numFmtId="0" fontId="280" fillId="40" borderId="21" xfId="51778" applyFont="1" applyFill="1" applyBorder="1" applyProtection="1">
      <alignment vertical="center"/>
      <protection hidden="1"/>
    </xf>
    <xf numFmtId="0" fontId="272" fillId="40" borderId="22" xfId="51778" applyFont="1" applyFill="1" applyBorder="1" applyAlignment="1" applyProtection="1">
      <alignment horizontal="left" vertical="center"/>
      <protection hidden="1"/>
    </xf>
    <xf numFmtId="0" fontId="272" fillId="40" borderId="22" xfId="51778" applyFont="1" applyFill="1" applyBorder="1" applyAlignment="1" applyProtection="1">
      <alignment horizontal="left" vertical="center" indent="7"/>
      <protection hidden="1"/>
    </xf>
    <xf numFmtId="0" fontId="274" fillId="40" borderId="22" xfId="51775" applyFont="1" applyFill="1" applyBorder="1" applyAlignment="1" applyProtection="1">
      <alignment horizontal="right" vertical="center"/>
      <protection hidden="1"/>
    </xf>
    <xf numFmtId="4" fontId="274" fillId="40" borderId="22" xfId="51778" applyNumberFormat="1" applyFont="1" applyFill="1" applyBorder="1" applyAlignment="1" applyProtection="1">
      <alignment horizontal="center" vertical="center"/>
      <protection hidden="1"/>
    </xf>
    <xf numFmtId="4" fontId="274" fillId="40" borderId="12" xfId="51778" applyNumberFormat="1" applyFont="1" applyFill="1" applyBorder="1" applyAlignment="1" applyProtection="1">
      <alignment horizontal="center" vertical="center"/>
      <protection hidden="1"/>
    </xf>
    <xf numFmtId="0" fontId="45" fillId="0" borderId="26" xfId="51781" applyFont="1" applyBorder="1" applyAlignment="1" applyProtection="1">
      <alignment horizontal="center" vertical="center"/>
      <protection hidden="1"/>
    </xf>
    <xf numFmtId="239" fontId="280" fillId="0" borderId="0" xfId="17" applyNumberFormat="1" applyFont="1" applyFill="1" applyBorder="1" applyAlignment="1">
      <alignment horizontal="center" vertical="center"/>
    </xf>
    <xf numFmtId="10" fontId="31" fillId="0" borderId="27" xfId="51778" applyNumberFormat="1" applyFont="1" applyBorder="1" applyAlignment="1" applyProtection="1">
      <alignment horizontal="center" vertical="center"/>
      <protection hidden="1"/>
    </xf>
    <xf numFmtId="0" fontId="31" fillId="0" borderId="135" xfId="51778" applyFont="1" applyBorder="1" applyAlignment="1" applyProtection="1">
      <alignment horizontal="left" vertical="center"/>
      <protection hidden="1"/>
    </xf>
    <xf numFmtId="4" fontId="31" fillId="0" borderId="135" xfId="17" applyNumberFormat="1" applyFont="1" applyFill="1" applyBorder="1" applyAlignment="1" applyProtection="1">
      <alignment horizontal="center" vertical="center"/>
      <protection hidden="1"/>
    </xf>
    <xf numFmtId="2" fontId="31" fillId="0" borderId="135" xfId="51778" applyNumberFormat="1" applyFont="1" applyBorder="1" applyAlignment="1" applyProtection="1">
      <alignment horizontal="center" vertical="center"/>
      <protection hidden="1"/>
    </xf>
    <xf numFmtId="2" fontId="45" fillId="0" borderId="135" xfId="51778" applyNumberFormat="1" applyFont="1" applyBorder="1" applyAlignment="1" applyProtection="1">
      <alignment horizontal="center" vertical="center"/>
      <protection hidden="1"/>
    </xf>
    <xf numFmtId="185" fontId="31" fillId="0" borderId="135" xfId="51778" applyNumberFormat="1" applyFont="1" applyBorder="1" applyAlignment="1" applyProtection="1">
      <alignment horizontal="center" vertical="center"/>
      <protection hidden="1"/>
    </xf>
    <xf numFmtId="4" fontId="272" fillId="0" borderId="135" xfId="51782" applyNumberFormat="1" applyFont="1" applyFill="1" applyBorder="1" applyAlignment="1" applyProtection="1">
      <alignment horizontal="center" vertical="center"/>
      <protection hidden="1"/>
    </xf>
    <xf numFmtId="4" fontId="272" fillId="0" borderId="133" xfId="51782" applyNumberFormat="1" applyFont="1" applyFill="1" applyBorder="1" applyAlignment="1" applyProtection="1">
      <alignment horizontal="center" vertical="center"/>
      <protection hidden="1"/>
    </xf>
    <xf numFmtId="0" fontId="272" fillId="0" borderId="140" xfId="51778" applyFont="1" applyBorder="1" applyProtection="1">
      <alignment vertical="center"/>
      <protection hidden="1"/>
    </xf>
    <xf numFmtId="0" fontId="274" fillId="0" borderId="140" xfId="51778" applyFont="1" applyBorder="1" applyProtection="1">
      <alignment vertical="center"/>
      <protection hidden="1"/>
    </xf>
    <xf numFmtId="0" fontId="274" fillId="0" borderId="140" xfId="51778" applyFont="1" applyBorder="1" applyAlignment="1" applyProtection="1">
      <alignment horizontal="center" vertical="center"/>
      <protection hidden="1"/>
    </xf>
    <xf numFmtId="1" fontId="274" fillId="0" borderId="140" xfId="51778" applyNumberFormat="1" applyFont="1" applyBorder="1" applyProtection="1">
      <alignment vertical="center"/>
      <protection hidden="1"/>
    </xf>
    <xf numFmtId="0" fontId="31" fillId="0" borderId="140" xfId="51778" applyFont="1" applyBorder="1" applyAlignment="1" applyProtection="1">
      <alignment horizontal="left" vertical="center"/>
      <protection hidden="1"/>
    </xf>
    <xf numFmtId="0" fontId="45" fillId="0" borderId="136" xfId="51781" applyFont="1" applyBorder="1" applyAlignment="1" applyProtection="1">
      <alignment horizontal="center" vertical="center"/>
      <protection hidden="1"/>
    </xf>
    <xf numFmtId="0" fontId="272" fillId="0" borderId="140" xfId="51778" applyFont="1" applyBorder="1" applyAlignment="1" applyProtection="1">
      <alignment horizontal="left" vertical="center"/>
      <protection hidden="1"/>
    </xf>
    <xf numFmtId="4" fontId="31" fillId="0" borderId="140" xfId="17" applyNumberFormat="1" applyFont="1" applyFill="1" applyBorder="1" applyAlignment="1" applyProtection="1">
      <alignment horizontal="center" vertical="center"/>
      <protection hidden="1"/>
    </xf>
    <xf numFmtId="2" fontId="31" fillId="0" borderId="140" xfId="51778" applyNumberFormat="1" applyFont="1" applyBorder="1" applyAlignment="1" applyProtection="1">
      <alignment horizontal="center" vertical="center"/>
      <protection hidden="1"/>
    </xf>
    <xf numFmtId="2" fontId="45" fillId="0" borderId="140" xfId="51778" applyNumberFormat="1" applyFont="1" applyBorder="1" applyAlignment="1" applyProtection="1">
      <alignment horizontal="center" vertical="center"/>
      <protection hidden="1"/>
    </xf>
    <xf numFmtId="185" fontId="31" fillId="0" borderId="140" xfId="51778" applyNumberFormat="1" applyFont="1" applyBorder="1" applyAlignment="1" applyProtection="1">
      <alignment horizontal="center" vertical="center"/>
      <protection hidden="1"/>
    </xf>
    <xf numFmtId="4" fontId="272" fillId="0" borderId="140" xfId="51782" applyNumberFormat="1" applyFont="1" applyFill="1" applyBorder="1" applyAlignment="1" applyProtection="1">
      <alignment horizontal="center" vertical="center"/>
      <protection hidden="1"/>
    </xf>
    <xf numFmtId="0" fontId="283" fillId="0" borderId="0" xfId="51778" applyFont="1" applyProtection="1">
      <alignment vertical="center"/>
      <protection hidden="1"/>
    </xf>
    <xf numFmtId="0" fontId="280" fillId="40" borderId="144" xfId="51781" applyFont="1" applyFill="1" applyBorder="1" applyAlignment="1" applyProtection="1">
      <alignment vertical="center"/>
      <protection hidden="1"/>
    </xf>
    <xf numFmtId="0" fontId="45" fillId="0" borderId="125" xfId="51781" applyFont="1" applyBorder="1" applyAlignment="1" applyProtection="1">
      <alignment horizontal="center" vertical="center"/>
      <protection hidden="1"/>
    </xf>
    <xf numFmtId="0" fontId="45" fillId="0" borderId="0" xfId="0" applyFont="1" applyProtection="1">
      <protection hidden="1"/>
    </xf>
    <xf numFmtId="0" fontId="45" fillId="0" borderId="143" xfId="51781" applyFont="1" applyBorder="1" applyAlignment="1" applyProtection="1">
      <alignment horizontal="center" vertical="center"/>
      <protection hidden="1"/>
    </xf>
    <xf numFmtId="0" fontId="272" fillId="0" borderId="142" xfId="51778" applyFont="1" applyBorder="1" applyProtection="1">
      <alignment vertical="center"/>
      <protection hidden="1"/>
    </xf>
    <xf numFmtId="0" fontId="274" fillId="0" borderId="142" xfId="51778" applyFont="1" applyBorder="1" applyProtection="1">
      <alignment vertical="center"/>
      <protection hidden="1"/>
    </xf>
    <xf numFmtId="0" fontId="274" fillId="0" borderId="142" xfId="51778" applyFont="1" applyBorder="1" applyAlignment="1" applyProtection="1">
      <alignment horizontal="center" vertical="center"/>
      <protection hidden="1"/>
    </xf>
    <xf numFmtId="1" fontId="274" fillId="0" borderId="142" xfId="51778" applyNumberFormat="1" applyFont="1" applyBorder="1" applyProtection="1">
      <alignment vertical="center"/>
      <protection hidden="1"/>
    </xf>
    <xf numFmtId="185" fontId="274" fillId="0" borderId="142" xfId="51778" applyNumberFormat="1" applyFont="1" applyBorder="1" applyProtection="1">
      <alignment vertical="center"/>
      <protection hidden="1"/>
    </xf>
    <xf numFmtId="0" fontId="31" fillId="0" borderId="142" xfId="51778" applyFont="1" applyBorder="1" applyAlignment="1" applyProtection="1">
      <alignment horizontal="left" vertical="center"/>
      <protection hidden="1"/>
    </xf>
    <xf numFmtId="0" fontId="45" fillId="0" borderId="172" xfId="51781" applyFont="1" applyBorder="1" applyAlignment="1" applyProtection="1">
      <alignment horizontal="center" vertical="center"/>
      <protection hidden="1"/>
    </xf>
    <xf numFmtId="10" fontId="31" fillId="0" borderId="157" xfId="51778" applyNumberFormat="1" applyFont="1" applyBorder="1" applyAlignment="1" applyProtection="1">
      <alignment horizontal="center" vertical="center"/>
      <protection hidden="1"/>
    </xf>
    <xf numFmtId="4" fontId="31" fillId="0" borderId="31" xfId="17" applyNumberFormat="1" applyFont="1" applyFill="1" applyBorder="1" applyAlignment="1" applyProtection="1">
      <alignment horizontal="center" vertical="center"/>
      <protection hidden="1"/>
    </xf>
    <xf numFmtId="2" fontId="45" fillId="0" borderId="31" xfId="51778" applyNumberFormat="1" applyFont="1" applyBorder="1" applyAlignment="1" applyProtection="1">
      <alignment horizontal="center" vertical="center"/>
      <protection hidden="1"/>
    </xf>
    <xf numFmtId="185" fontId="31" fillId="0" borderId="31" xfId="51778" applyNumberFormat="1" applyFont="1" applyBorder="1" applyAlignment="1" applyProtection="1">
      <alignment horizontal="center" vertical="center"/>
      <protection hidden="1"/>
    </xf>
    <xf numFmtId="0" fontId="31" fillId="0" borderId="141" xfId="51778" applyFont="1" applyBorder="1" applyAlignment="1" applyProtection="1">
      <alignment horizontal="left" vertical="center"/>
      <protection hidden="1"/>
    </xf>
    <xf numFmtId="4" fontId="280" fillId="39" borderId="152" xfId="51782" applyNumberFormat="1" applyFont="1" applyFill="1" applyBorder="1" applyAlignment="1" applyProtection="1">
      <alignment horizontal="center" vertical="center"/>
      <protection hidden="1"/>
    </xf>
    <xf numFmtId="0" fontId="31" fillId="0" borderId="137" xfId="51778" applyFont="1" applyBorder="1" applyAlignment="1" applyProtection="1">
      <alignment horizontal="left" vertical="center"/>
      <protection hidden="1"/>
    </xf>
    <xf numFmtId="0" fontId="283" fillId="0" borderId="0" xfId="51778" applyFont="1" applyAlignment="1" applyProtection="1">
      <alignment horizontal="left" vertical="center"/>
      <protection hidden="1"/>
    </xf>
    <xf numFmtId="0" fontId="31" fillId="0" borderId="26" xfId="51778" applyFont="1" applyBorder="1" applyAlignment="1" applyProtection="1">
      <alignment horizontal="center" vertical="center"/>
      <protection hidden="1"/>
    </xf>
    <xf numFmtId="0" fontId="31" fillId="0" borderId="26" xfId="51781" applyFont="1" applyBorder="1" applyAlignment="1" applyProtection="1">
      <alignment horizontal="center" vertical="center"/>
      <protection hidden="1"/>
    </xf>
    <xf numFmtId="0" fontId="31" fillId="0" borderId="172" xfId="51781" applyFont="1" applyBorder="1" applyAlignment="1" applyProtection="1">
      <alignment horizontal="center" vertical="center"/>
      <protection hidden="1"/>
    </xf>
    <xf numFmtId="0" fontId="31" fillId="0" borderId="135" xfId="51778" applyFont="1" applyBorder="1" applyAlignment="1" applyProtection="1">
      <alignment horizontal="center" vertical="center"/>
      <protection hidden="1"/>
    </xf>
    <xf numFmtId="239" fontId="31" fillId="40" borderId="27" xfId="17" applyNumberFormat="1" applyFont="1" applyFill="1" applyBorder="1" applyAlignment="1">
      <alignment horizontal="center" vertical="center"/>
    </xf>
    <xf numFmtId="10" fontId="31" fillId="40" borderId="27" xfId="17" applyNumberFormat="1" applyFont="1" applyFill="1" applyBorder="1" applyAlignment="1">
      <alignment horizontal="center" vertical="center"/>
    </xf>
    <xf numFmtId="4" fontId="280" fillId="9" borderId="27" xfId="17" applyNumberFormat="1" applyFont="1" applyFill="1" applyBorder="1" applyAlignment="1">
      <alignment horizontal="center" vertical="center"/>
    </xf>
    <xf numFmtId="0" fontId="269" fillId="0" borderId="125" xfId="51778" applyFont="1" applyBorder="1" applyProtection="1">
      <alignment vertical="center"/>
      <protection hidden="1"/>
    </xf>
    <xf numFmtId="0" fontId="269" fillId="0" borderId="21" xfId="51778" applyFont="1" applyBorder="1" applyProtection="1">
      <alignment vertical="center"/>
      <protection hidden="1"/>
    </xf>
    <xf numFmtId="238" fontId="31" fillId="0" borderId="125" xfId="51775" applyNumberFormat="1" applyFont="1" applyBorder="1" applyAlignment="1" applyProtection="1">
      <alignment horizontal="right" vertical="center"/>
      <protection hidden="1"/>
    </xf>
    <xf numFmtId="0" fontId="31" fillId="0" borderId="125" xfId="51778" applyFont="1" applyBorder="1" applyAlignment="1" applyProtection="1">
      <alignment horizontal="right" vertical="center"/>
      <protection hidden="1"/>
    </xf>
    <xf numFmtId="2" fontId="274" fillId="0" borderId="135" xfId="51778" applyNumberFormat="1" applyFont="1" applyBorder="1" applyProtection="1">
      <alignment vertical="center"/>
      <protection hidden="1"/>
    </xf>
    <xf numFmtId="0" fontId="31" fillId="0" borderId="125" xfId="51775" applyFont="1" applyBorder="1" applyAlignment="1" applyProtection="1">
      <alignment horizontal="right" vertical="center"/>
      <protection hidden="1"/>
    </xf>
    <xf numFmtId="4" fontId="286" fillId="0" borderId="126" xfId="17" applyNumberFormat="1" applyFont="1" applyFill="1" applyBorder="1" applyAlignment="1" applyProtection="1">
      <alignment horizontal="right" vertical="center" indent="1"/>
      <protection hidden="1"/>
    </xf>
    <xf numFmtId="0" fontId="272" fillId="0" borderId="21" xfId="51775" applyFont="1" applyBorder="1" applyAlignment="1" applyProtection="1">
      <alignment horizontal="right" vertical="center"/>
      <protection hidden="1"/>
    </xf>
    <xf numFmtId="0" fontId="270" fillId="0" borderId="126" xfId="51775" applyFont="1" applyBorder="1">
      <alignment vertical="center"/>
    </xf>
    <xf numFmtId="0" fontId="272" fillId="38" borderId="0" xfId="51778" applyFont="1" applyFill="1" applyProtection="1">
      <alignment vertical="center"/>
      <protection hidden="1"/>
    </xf>
    <xf numFmtId="0" fontId="45" fillId="0" borderId="0" xfId="51777" applyFont="1" applyAlignment="1">
      <alignment horizontal="left" vertical="center" indent="14"/>
    </xf>
    <xf numFmtId="0" fontId="45" fillId="0" borderId="22" xfId="51775" applyFont="1" applyBorder="1" applyAlignment="1">
      <alignment horizontal="left" vertical="center" indent="14"/>
    </xf>
    <xf numFmtId="0" fontId="270" fillId="0" borderId="144" xfId="51775" applyFont="1" applyBorder="1">
      <alignment vertical="center"/>
    </xf>
    <xf numFmtId="0" fontId="270" fillId="0" borderId="145" xfId="51775" applyFont="1" applyBorder="1">
      <alignment vertical="center"/>
    </xf>
    <xf numFmtId="0" fontId="271" fillId="0" borderId="125" xfId="51775" applyFont="1" applyBorder="1">
      <alignment vertical="center"/>
    </xf>
    <xf numFmtId="0" fontId="271" fillId="0" borderId="21" xfId="51775" applyFont="1" applyBorder="1">
      <alignment vertical="center"/>
    </xf>
    <xf numFmtId="0" fontId="45" fillId="0" borderId="126" xfId="51778" applyFont="1" applyBorder="1" applyAlignment="1" applyProtection="1">
      <alignment horizontal="center" vertical="center"/>
      <protection hidden="1"/>
    </xf>
    <xf numFmtId="0" fontId="275" fillId="0" borderId="147" xfId="51778" applyFont="1" applyBorder="1" applyAlignment="1" applyProtection="1">
      <alignment horizontal="right" vertical="center"/>
      <protection hidden="1"/>
    </xf>
    <xf numFmtId="0" fontId="279" fillId="0" borderId="147" xfId="51778" applyFont="1" applyBorder="1" applyAlignment="1" applyProtection="1">
      <alignment horizontal="right" vertical="top"/>
      <protection hidden="1"/>
    </xf>
    <xf numFmtId="0" fontId="272" fillId="0" borderId="147" xfId="51778" applyFont="1" applyBorder="1" applyAlignment="1" applyProtection="1">
      <alignment horizontal="left" vertical="center"/>
      <protection hidden="1"/>
    </xf>
    <xf numFmtId="4" fontId="45" fillId="0" borderId="31" xfId="51778" applyNumberFormat="1" applyFont="1" applyBorder="1" applyAlignment="1" applyProtection="1">
      <alignment horizontal="center" vertical="center"/>
      <protection hidden="1"/>
    </xf>
    <xf numFmtId="4" fontId="31" fillId="0" borderId="0" xfId="51778" applyNumberFormat="1" applyFont="1" applyAlignment="1" applyProtection="1">
      <alignment horizontal="center" vertical="center"/>
      <protection hidden="1"/>
    </xf>
    <xf numFmtId="4" fontId="45" fillId="0" borderId="0" xfId="0" applyNumberFormat="1" applyFont="1" applyProtection="1">
      <protection hidden="1"/>
    </xf>
    <xf numFmtId="44" fontId="45" fillId="0" borderId="126" xfId="51778" applyNumberFormat="1" applyFont="1" applyBorder="1" applyAlignment="1" applyProtection="1">
      <alignment horizontal="left" vertical="center"/>
      <protection hidden="1"/>
    </xf>
    <xf numFmtId="44" fontId="45" fillId="0" borderId="126" xfId="51774" applyFont="1" applyBorder="1" applyAlignment="1" applyProtection="1">
      <alignment horizontal="left" vertical="center"/>
      <protection hidden="1"/>
    </xf>
    <xf numFmtId="44" fontId="45" fillId="0" borderId="12" xfId="51778" applyNumberFormat="1" applyFont="1" applyBorder="1" applyAlignment="1" applyProtection="1">
      <alignment horizontal="left" vertical="center"/>
      <protection hidden="1"/>
    </xf>
    <xf numFmtId="2" fontId="31" fillId="0" borderId="157" xfId="51778" quotePrefix="1" applyNumberFormat="1" applyFont="1" applyBorder="1" applyAlignment="1" applyProtection="1">
      <alignment horizontal="center" vertical="center"/>
      <protection hidden="1"/>
    </xf>
    <xf numFmtId="2" fontId="31" fillId="0" borderId="27" xfId="51778" quotePrefix="1" applyNumberFormat="1" applyFont="1" applyBorder="1" applyAlignment="1" applyProtection="1">
      <alignment horizontal="center" vertical="center"/>
      <protection hidden="1"/>
    </xf>
    <xf numFmtId="1" fontId="31" fillId="0" borderId="27" xfId="51778" applyNumberFormat="1" applyFont="1" applyBorder="1" applyAlignment="1" applyProtection="1">
      <alignment horizontal="center" vertical="center"/>
      <protection hidden="1"/>
    </xf>
    <xf numFmtId="9" fontId="272" fillId="0" borderId="0" xfId="17" applyFont="1" applyFill="1" applyBorder="1" applyAlignment="1" applyProtection="1">
      <alignment horizontal="left" vertical="center"/>
      <protection hidden="1"/>
    </xf>
    <xf numFmtId="9" fontId="272" fillId="0" borderId="0" xfId="51778" applyNumberFormat="1" applyFont="1" applyAlignment="1" applyProtection="1">
      <alignment horizontal="left" vertical="center"/>
      <protection hidden="1"/>
    </xf>
    <xf numFmtId="0" fontId="45" fillId="40" borderId="139" xfId="51778" applyFont="1" applyFill="1" applyBorder="1" applyAlignment="1" applyProtection="1">
      <alignment horizontal="left" vertical="center" indent="1"/>
      <protection hidden="1"/>
    </xf>
    <xf numFmtId="0" fontId="45" fillId="40" borderId="139" xfId="51778" applyFont="1" applyFill="1" applyBorder="1" applyAlignment="1" applyProtection="1">
      <alignment horizontal="left" vertical="center" indent="9"/>
      <protection hidden="1"/>
    </xf>
    <xf numFmtId="0" fontId="45" fillId="40" borderId="135" xfId="51778" applyFont="1" applyFill="1" applyBorder="1" applyAlignment="1" applyProtection="1">
      <alignment horizontal="center" vertical="center" wrapText="1"/>
      <protection hidden="1"/>
    </xf>
    <xf numFmtId="0" fontId="287" fillId="40" borderId="135" xfId="51778" applyFont="1" applyFill="1" applyBorder="1" applyAlignment="1" applyProtection="1">
      <alignment horizontal="center" vertical="center" wrapText="1"/>
      <protection hidden="1"/>
    </xf>
    <xf numFmtId="0" fontId="31" fillId="38" borderId="135" xfId="51778" applyFont="1" applyFill="1" applyBorder="1" applyAlignment="1" applyProtection="1">
      <alignment horizontal="center" vertical="center" wrapText="1"/>
      <protection hidden="1"/>
    </xf>
    <xf numFmtId="0" fontId="300" fillId="0" borderId="0" xfId="51778" applyFont="1" applyAlignment="1" applyProtection="1">
      <alignment horizontal="left" vertical="center"/>
      <protection hidden="1"/>
    </xf>
    <xf numFmtId="4" fontId="300" fillId="0" borderId="0" xfId="51775" applyNumberFormat="1" applyFont="1" applyProtection="1">
      <alignment vertical="center"/>
      <protection hidden="1"/>
    </xf>
    <xf numFmtId="4" fontId="272" fillId="0" borderId="137" xfId="51782" applyNumberFormat="1" applyFont="1" applyFill="1" applyBorder="1" applyAlignment="1" applyProtection="1">
      <alignment horizontal="center" vertical="center"/>
      <protection hidden="1"/>
    </xf>
    <xf numFmtId="0" fontId="31" fillId="38" borderId="135" xfId="51778" applyFont="1" applyFill="1" applyBorder="1" applyAlignment="1" applyProtection="1">
      <alignment horizontal="left" vertical="center"/>
      <protection hidden="1"/>
    </xf>
    <xf numFmtId="0" fontId="275" fillId="38" borderId="135" xfId="51778" applyFont="1" applyFill="1" applyBorder="1" applyAlignment="1" applyProtection="1">
      <alignment horizontal="center" vertical="center"/>
      <protection hidden="1"/>
    </xf>
    <xf numFmtId="0" fontId="31" fillId="40" borderId="154" xfId="51778" applyFont="1" applyFill="1" applyBorder="1" applyAlignment="1" applyProtection="1">
      <alignment horizontal="left" vertical="center" indent="5"/>
      <protection hidden="1"/>
    </xf>
    <xf numFmtId="0" fontId="31" fillId="40" borderId="154" xfId="51778" applyFont="1" applyFill="1" applyBorder="1" applyAlignment="1" applyProtection="1">
      <alignment horizontal="center" vertical="center"/>
      <protection hidden="1"/>
    </xf>
    <xf numFmtId="0" fontId="48" fillId="0" borderId="0" xfId="51775" applyFont="1" applyAlignment="1" applyProtection="1">
      <alignment horizontal="right" vertical="top"/>
      <protection hidden="1"/>
    </xf>
    <xf numFmtId="0" fontId="266" fillId="0" borderId="0" xfId="51775" applyFont="1" applyAlignment="1" applyProtection="1">
      <alignment horizontal="left" vertical="center" indent="2"/>
      <protection hidden="1"/>
    </xf>
    <xf numFmtId="0" fontId="48" fillId="0" borderId="0" xfId="51775" applyFont="1" applyAlignment="1" applyProtection="1">
      <alignment horizontal="right" vertical="center"/>
      <protection hidden="1"/>
    </xf>
    <xf numFmtId="44" fontId="283" fillId="0" borderId="126" xfId="51778" applyNumberFormat="1" applyFont="1" applyBorder="1" applyAlignment="1" applyProtection="1">
      <alignment horizontal="left" vertical="center"/>
      <protection hidden="1"/>
    </xf>
    <xf numFmtId="44" fontId="303" fillId="0" borderId="126" xfId="51774" applyFont="1" applyBorder="1" applyAlignment="1" applyProtection="1">
      <alignment horizontal="left" vertical="center"/>
      <protection hidden="1"/>
    </xf>
    <xf numFmtId="2" fontId="31" fillId="0" borderId="27" xfId="51778" applyNumberFormat="1" applyFont="1" applyBorder="1" applyAlignment="1" applyProtection="1">
      <alignment horizontal="center" vertical="center"/>
      <protection hidden="1"/>
    </xf>
    <xf numFmtId="0" fontId="283" fillId="0" borderId="126" xfId="51778" applyFont="1" applyBorder="1" applyAlignment="1" applyProtection="1">
      <alignment horizontal="left" vertical="center"/>
      <protection hidden="1"/>
    </xf>
    <xf numFmtId="0" fontId="31" fillId="0" borderId="32" xfId="51778" applyFont="1" applyBorder="1" applyAlignment="1" applyProtection="1">
      <alignment horizontal="left" vertical="center" indent="1"/>
      <protection hidden="1"/>
    </xf>
    <xf numFmtId="0" fontId="284" fillId="0" borderId="32" xfId="51778" applyFont="1" applyBorder="1" applyAlignment="1" applyProtection="1">
      <alignment horizontal="left" vertical="center" indent="1"/>
      <protection hidden="1"/>
    </xf>
    <xf numFmtId="0" fontId="31" fillId="38" borderId="135" xfId="51778" applyFont="1" applyFill="1" applyBorder="1" applyAlignment="1" applyProtection="1">
      <alignment horizontal="center" vertical="center"/>
      <protection hidden="1"/>
    </xf>
    <xf numFmtId="4" fontId="272" fillId="0" borderId="31" xfId="51782" applyNumberFormat="1" applyFont="1" applyFill="1" applyBorder="1" applyAlignment="1" applyProtection="1">
      <alignment horizontal="center" vertical="center"/>
      <protection hidden="1"/>
    </xf>
    <xf numFmtId="0" fontId="31" fillId="40" borderId="159" xfId="51778" applyFont="1" applyFill="1" applyBorder="1" applyAlignment="1" applyProtection="1">
      <alignment horizontal="center" vertical="center" wrapText="1"/>
      <protection hidden="1"/>
    </xf>
    <xf numFmtId="0" fontId="31" fillId="40" borderId="160" xfId="51778" applyFont="1" applyFill="1" applyBorder="1" applyAlignment="1" applyProtection="1">
      <alignment horizontal="center" vertical="center" wrapText="1"/>
      <protection hidden="1"/>
    </xf>
    <xf numFmtId="0" fontId="31" fillId="40" borderId="27" xfId="51778" applyFont="1" applyFill="1" applyBorder="1" applyAlignment="1" applyProtection="1">
      <alignment horizontal="center" vertical="center" wrapText="1"/>
      <protection hidden="1"/>
    </xf>
    <xf numFmtId="4" fontId="31" fillId="38" borderId="135" xfId="51782" applyNumberFormat="1" applyFont="1" applyFill="1" applyBorder="1" applyAlignment="1" applyProtection="1">
      <alignment horizontal="center" vertical="center"/>
      <protection hidden="1"/>
    </xf>
    <xf numFmtId="0" fontId="275" fillId="38" borderId="147" xfId="51778" applyFont="1" applyFill="1" applyBorder="1" applyAlignment="1" applyProtection="1">
      <alignment horizontal="center" vertical="center"/>
      <protection hidden="1"/>
    </xf>
    <xf numFmtId="4" fontId="31" fillId="40" borderId="154" xfId="51774" applyNumberFormat="1" applyFont="1" applyFill="1" applyBorder="1" applyAlignment="1" applyProtection="1">
      <alignment horizontal="center" vertical="center"/>
      <protection hidden="1"/>
    </xf>
    <xf numFmtId="4" fontId="31" fillId="0" borderId="135" xfId="51774" applyNumberFormat="1" applyFont="1" applyFill="1" applyBorder="1" applyAlignment="1" applyProtection="1">
      <alignment horizontal="center" vertical="center"/>
      <protection hidden="1"/>
    </xf>
    <xf numFmtId="0" fontId="272" fillId="0" borderId="135" xfId="51775" applyFont="1" applyBorder="1" applyAlignment="1" applyProtection="1">
      <alignment horizontal="right" vertical="center"/>
      <protection hidden="1"/>
    </xf>
    <xf numFmtId="4" fontId="274" fillId="40" borderId="140" xfId="51778" applyNumberFormat="1" applyFont="1" applyFill="1" applyBorder="1" applyAlignment="1" applyProtection="1">
      <alignment horizontal="center" vertical="center"/>
      <protection hidden="1"/>
    </xf>
    <xf numFmtId="0" fontId="274" fillId="40" borderId="140" xfId="51775" applyFont="1" applyFill="1" applyBorder="1" applyAlignment="1" applyProtection="1">
      <alignment horizontal="right" vertical="center"/>
      <protection hidden="1"/>
    </xf>
    <xf numFmtId="49" fontId="280" fillId="38" borderId="173" xfId="51781" applyNumberFormat="1" applyFont="1" applyFill="1" applyBorder="1" applyAlignment="1" applyProtection="1">
      <alignment horizontal="center" vertical="center"/>
      <protection hidden="1"/>
    </xf>
    <xf numFmtId="0" fontId="280" fillId="38" borderId="61" xfId="51778" applyFont="1" applyFill="1" applyBorder="1" applyAlignment="1" applyProtection="1">
      <alignment horizontal="left" vertical="center"/>
      <protection hidden="1"/>
    </xf>
    <xf numFmtId="0" fontId="280" fillId="38" borderId="61" xfId="51778" applyFont="1" applyFill="1" applyBorder="1" applyAlignment="1" applyProtection="1">
      <alignment horizontal="center" vertical="center"/>
      <protection hidden="1"/>
    </xf>
    <xf numFmtId="0" fontId="31" fillId="38" borderId="61" xfId="51778" applyFont="1" applyFill="1" applyBorder="1" applyAlignment="1" applyProtection="1">
      <alignment horizontal="center" vertical="center"/>
      <protection hidden="1"/>
    </xf>
    <xf numFmtId="0" fontId="31" fillId="38" borderId="61" xfId="51778" applyFont="1" applyFill="1" applyBorder="1" applyAlignment="1" applyProtection="1">
      <alignment horizontal="center" vertical="center" wrapText="1"/>
      <protection hidden="1"/>
    </xf>
    <xf numFmtId="0" fontId="31" fillId="38" borderId="147" xfId="51778" applyFont="1" applyFill="1" applyBorder="1" applyAlignment="1" applyProtection="1">
      <alignment horizontal="center" vertical="center" wrapText="1"/>
      <protection hidden="1"/>
    </xf>
    <xf numFmtId="0" fontId="280" fillId="38" borderId="147" xfId="51778" applyFont="1" applyFill="1" applyBorder="1" applyAlignment="1" applyProtection="1">
      <alignment horizontal="left" vertical="center"/>
      <protection hidden="1"/>
    </xf>
    <xf numFmtId="0" fontId="280" fillId="38" borderId="147" xfId="51778" applyFont="1" applyFill="1" applyBorder="1" applyAlignment="1" applyProtection="1">
      <alignment horizontal="center" vertical="center"/>
      <protection hidden="1"/>
    </xf>
    <xf numFmtId="0" fontId="31" fillId="38" borderId="147" xfId="51778" applyFont="1" applyFill="1" applyBorder="1" applyAlignment="1" applyProtection="1">
      <alignment horizontal="center" vertical="center"/>
      <protection hidden="1"/>
    </xf>
    <xf numFmtId="1" fontId="31" fillId="38" borderId="147" xfId="51778" applyNumberFormat="1" applyFont="1" applyFill="1" applyBorder="1" applyAlignment="1" applyProtection="1">
      <alignment horizontal="center" vertical="center"/>
      <protection hidden="1"/>
    </xf>
    <xf numFmtId="0" fontId="275" fillId="38" borderId="147" xfId="51778" applyFont="1" applyFill="1" applyBorder="1" applyAlignment="1" applyProtection="1">
      <alignment horizontal="center" vertical="center" wrapText="1"/>
      <protection hidden="1"/>
    </xf>
    <xf numFmtId="0" fontId="280" fillId="38" borderId="151" xfId="51781" applyFont="1" applyFill="1" applyBorder="1" applyAlignment="1" applyProtection="1">
      <alignment vertical="center"/>
      <protection hidden="1"/>
    </xf>
    <xf numFmtId="0" fontId="280" fillId="38" borderId="131" xfId="51778" applyFont="1" applyFill="1" applyBorder="1" applyAlignment="1" applyProtection="1">
      <alignment horizontal="left" vertical="center"/>
      <protection hidden="1"/>
    </xf>
    <xf numFmtId="0" fontId="31" fillId="38" borderId="131" xfId="51778" applyFont="1" applyFill="1" applyBorder="1" applyAlignment="1" applyProtection="1">
      <alignment horizontal="center" vertical="center"/>
      <protection hidden="1"/>
    </xf>
    <xf numFmtId="2" fontId="31" fillId="38" borderId="131" xfId="51778" applyNumberFormat="1" applyFont="1" applyFill="1" applyBorder="1" applyAlignment="1" applyProtection="1">
      <alignment horizontal="center" vertical="center" wrapText="1"/>
      <protection hidden="1"/>
    </xf>
    <xf numFmtId="9" fontId="31" fillId="38" borderId="131" xfId="51778" applyNumberFormat="1" applyFont="1" applyFill="1" applyBorder="1" applyAlignment="1" applyProtection="1">
      <alignment horizontal="center" vertical="center"/>
      <protection hidden="1"/>
    </xf>
    <xf numFmtId="0" fontId="31" fillId="38" borderId="131" xfId="51778" applyFont="1" applyFill="1" applyBorder="1" applyAlignment="1" applyProtection="1">
      <alignment horizontal="center" vertical="center" wrapText="1"/>
      <protection hidden="1"/>
    </xf>
    <xf numFmtId="0" fontId="280" fillId="38" borderId="151" xfId="51781" applyFont="1" applyFill="1" applyBorder="1" applyAlignment="1" applyProtection="1">
      <alignment horizontal="center" vertical="center"/>
      <protection hidden="1"/>
    </xf>
    <xf numFmtId="9" fontId="47" fillId="40" borderId="12" xfId="51778" applyNumberFormat="1" applyFont="1" applyFill="1" applyBorder="1" applyAlignment="1" applyProtection="1">
      <alignment horizontal="center" vertical="center" wrapText="1"/>
      <protection hidden="1"/>
    </xf>
    <xf numFmtId="0" fontId="31" fillId="0" borderId="125" xfId="51778" applyFont="1" applyBorder="1" applyAlignment="1" applyProtection="1">
      <alignment horizontal="left" vertical="center"/>
      <protection hidden="1"/>
    </xf>
    <xf numFmtId="0" fontId="302" fillId="38" borderId="188" xfId="51778" applyFont="1" applyFill="1" applyBorder="1" applyProtection="1">
      <alignment vertical="center"/>
      <protection hidden="1"/>
    </xf>
    <xf numFmtId="0" fontId="302" fillId="38" borderId="189" xfId="51778" applyFont="1" applyFill="1" applyBorder="1" applyProtection="1">
      <alignment vertical="center"/>
      <protection hidden="1"/>
    </xf>
    <xf numFmtId="0" fontId="302" fillId="38" borderId="8" xfId="51778" applyFont="1" applyFill="1" applyBorder="1" applyProtection="1">
      <alignment vertical="center"/>
      <protection hidden="1"/>
    </xf>
    <xf numFmtId="0" fontId="302" fillId="38" borderId="191" xfId="51778" applyFont="1" applyFill="1" applyBorder="1" applyProtection="1">
      <alignment vertical="center"/>
      <protection hidden="1"/>
    </xf>
    <xf numFmtId="1" fontId="272" fillId="40" borderId="138" xfId="51778" applyNumberFormat="1" applyFont="1" applyFill="1" applyBorder="1" applyAlignment="1" applyProtection="1">
      <alignment horizontal="center" vertical="center"/>
      <protection hidden="1"/>
    </xf>
    <xf numFmtId="0" fontId="272" fillId="40" borderId="138" xfId="51778" applyFont="1" applyFill="1" applyBorder="1" applyAlignment="1" applyProtection="1">
      <alignment horizontal="right" vertical="center"/>
      <protection hidden="1"/>
    </xf>
    <xf numFmtId="0" fontId="45" fillId="40" borderId="168" xfId="51778" applyFont="1" applyFill="1" applyBorder="1" applyAlignment="1" applyProtection="1">
      <alignment horizontal="left" vertical="center" indent="9"/>
      <protection hidden="1"/>
    </xf>
    <xf numFmtId="0" fontId="45" fillId="40" borderId="167" xfId="51778" applyFont="1" applyFill="1" applyBorder="1" applyAlignment="1" applyProtection="1">
      <alignment horizontal="left" vertical="center" indent="1"/>
      <protection hidden="1"/>
    </xf>
    <xf numFmtId="0" fontId="31" fillId="40" borderId="167" xfId="51778" applyFont="1" applyFill="1" applyBorder="1" applyAlignment="1" applyProtection="1">
      <alignment horizontal="center" vertical="center" wrapText="1"/>
      <protection hidden="1"/>
    </xf>
    <xf numFmtId="49" fontId="280" fillId="38" borderId="21" xfId="51781" applyNumberFormat="1" applyFont="1" applyFill="1" applyBorder="1" applyAlignment="1" applyProtection="1">
      <alignment horizontal="center" vertical="center"/>
      <protection hidden="1"/>
    </xf>
    <xf numFmtId="0" fontId="280" fillId="38" borderId="22" xfId="51778" applyFont="1" applyFill="1" applyBorder="1" applyAlignment="1" applyProtection="1">
      <alignment horizontal="left" vertical="center"/>
      <protection hidden="1"/>
    </xf>
    <xf numFmtId="0" fontId="31" fillId="38" borderId="22" xfId="51778" applyFont="1" applyFill="1" applyBorder="1" applyAlignment="1" applyProtection="1">
      <alignment horizontal="center" vertical="center"/>
      <protection hidden="1"/>
    </xf>
    <xf numFmtId="0" fontId="31" fillId="38" borderId="22" xfId="51778" applyFont="1" applyFill="1" applyBorder="1" applyAlignment="1" applyProtection="1">
      <alignment horizontal="center" vertical="center" wrapText="1"/>
      <protection hidden="1"/>
    </xf>
    <xf numFmtId="9" fontId="31" fillId="38" borderId="22" xfId="51778" applyNumberFormat="1" applyFont="1" applyFill="1" applyBorder="1" applyAlignment="1" applyProtection="1">
      <alignment horizontal="center" vertical="center"/>
      <protection hidden="1"/>
    </xf>
    <xf numFmtId="0" fontId="272" fillId="0" borderId="0" xfId="51778" applyFont="1" applyProtection="1">
      <alignment vertical="center"/>
      <protection hidden="1"/>
    </xf>
    <xf numFmtId="0" fontId="274" fillId="0" borderId="0" xfId="51778" applyFont="1" applyProtection="1">
      <alignment vertical="center"/>
      <protection hidden="1"/>
    </xf>
    <xf numFmtId="0" fontId="274" fillId="0" borderId="0" xfId="51778" applyFont="1" applyAlignment="1" applyProtection="1">
      <alignment horizontal="center" vertical="center"/>
      <protection hidden="1"/>
    </xf>
    <xf numFmtId="1" fontId="274" fillId="0" borderId="0" xfId="51778" applyNumberFormat="1" applyFont="1" applyProtection="1">
      <alignment vertical="center"/>
      <protection hidden="1"/>
    </xf>
    <xf numFmtId="0" fontId="283" fillId="0" borderId="125" xfId="51775" applyFont="1" applyBorder="1" applyAlignment="1">
      <alignment horizontal="center" vertical="center"/>
    </xf>
    <xf numFmtId="10" fontId="47" fillId="39" borderId="192" xfId="51779" applyNumberFormat="1" applyFont="1" applyFill="1" applyBorder="1" applyAlignment="1" applyProtection="1">
      <alignment horizontal="center" vertical="center"/>
      <protection hidden="1"/>
    </xf>
    <xf numFmtId="4" fontId="47" fillId="39" borderId="192" xfId="51774" applyNumberFormat="1" applyFont="1" applyFill="1" applyBorder="1" applyAlignment="1" applyProtection="1">
      <alignment horizontal="center" vertical="center"/>
      <protection hidden="1"/>
    </xf>
    <xf numFmtId="10" fontId="61" fillId="39" borderId="192" xfId="51779" applyNumberFormat="1" applyFont="1" applyFill="1" applyBorder="1" applyAlignment="1" applyProtection="1">
      <alignment horizontal="center" vertical="center"/>
      <protection hidden="1"/>
    </xf>
    <xf numFmtId="0" fontId="274" fillId="38" borderId="147" xfId="51775" applyFont="1" applyFill="1" applyBorder="1" applyAlignment="1" applyProtection="1">
      <alignment horizontal="right" vertical="center"/>
      <protection hidden="1"/>
    </xf>
    <xf numFmtId="0" fontId="31" fillId="38" borderId="0" xfId="51778" applyFont="1" applyFill="1" applyAlignment="1" applyProtection="1">
      <alignment horizontal="left" vertical="center"/>
      <protection hidden="1"/>
    </xf>
    <xf numFmtId="14" fontId="31" fillId="38" borderId="0" xfId="51778" applyNumberFormat="1" applyFont="1" applyFill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47" fillId="0" borderId="0" xfId="0" applyFont="1" applyAlignment="1" applyProtection="1">
      <alignment vertical="center"/>
      <protection hidden="1"/>
    </xf>
    <xf numFmtId="0" fontId="31" fillId="0" borderId="176" xfId="51778" applyFont="1" applyBorder="1" applyAlignment="1" applyProtection="1">
      <alignment horizontal="right" vertical="center"/>
      <protection hidden="1"/>
    </xf>
    <xf numFmtId="2" fontId="31" fillId="0" borderId="27" xfId="17" applyNumberFormat="1" applyFont="1" applyFill="1" applyBorder="1" applyAlignment="1" applyProtection="1">
      <alignment horizontal="center" vertical="center"/>
      <protection hidden="1"/>
    </xf>
    <xf numFmtId="2" fontId="45" fillId="0" borderId="27" xfId="51778" applyNumberFormat="1" applyFont="1" applyBorder="1" applyAlignment="1" applyProtection="1">
      <alignment horizontal="center" vertical="center"/>
      <protection hidden="1"/>
    </xf>
    <xf numFmtId="2" fontId="61" fillId="0" borderId="27" xfId="51778" applyNumberFormat="1" applyFont="1" applyBorder="1" applyAlignment="1" applyProtection="1">
      <alignment horizontal="center" vertical="center"/>
      <protection hidden="1"/>
    </xf>
    <xf numFmtId="0" fontId="61" fillId="0" borderId="27" xfId="0" applyFont="1" applyBorder="1" applyAlignment="1" applyProtection="1">
      <alignment horizontal="center" vertical="center"/>
      <protection hidden="1"/>
    </xf>
    <xf numFmtId="0" fontId="45" fillId="0" borderId="132" xfId="0" applyFont="1" applyBorder="1" applyProtection="1">
      <protection hidden="1"/>
    </xf>
    <xf numFmtId="0" fontId="45" fillId="0" borderId="135" xfId="0" applyFont="1" applyBorder="1" applyProtection="1">
      <protection hidden="1"/>
    </xf>
    <xf numFmtId="0" fontId="45" fillId="0" borderId="142" xfId="0" applyFont="1" applyBorder="1" applyProtection="1">
      <protection hidden="1"/>
    </xf>
    <xf numFmtId="0" fontId="45" fillId="0" borderId="140" xfId="0" applyFont="1" applyBorder="1" applyProtection="1">
      <protection hidden="1"/>
    </xf>
    <xf numFmtId="0" fontId="47" fillId="0" borderId="140" xfId="0" applyFont="1" applyBorder="1" applyAlignment="1" applyProtection="1">
      <alignment horizontal="right" vertical="center"/>
      <protection hidden="1"/>
    </xf>
    <xf numFmtId="0" fontId="45" fillId="0" borderId="140" xfId="0" applyFont="1" applyBorder="1" applyAlignment="1" applyProtection="1">
      <alignment horizontal="right"/>
      <protection hidden="1"/>
    </xf>
    <xf numFmtId="4" fontId="45" fillId="0" borderId="22" xfId="0" applyNumberFormat="1" applyFont="1" applyBorder="1" applyProtection="1">
      <protection hidden="1"/>
    </xf>
    <xf numFmtId="44" fontId="45" fillId="0" borderId="22" xfId="0" applyNumberFormat="1" applyFont="1" applyBorder="1" applyProtection="1">
      <protection hidden="1"/>
    </xf>
    <xf numFmtId="44" fontId="45" fillId="0" borderId="0" xfId="0" applyNumberFormat="1" applyFont="1" applyProtection="1">
      <protection hidden="1"/>
    </xf>
    <xf numFmtId="0" fontId="274" fillId="38" borderId="147" xfId="51778" applyFont="1" applyFill="1" applyBorder="1" applyAlignment="1" applyProtection="1">
      <alignment horizontal="left" vertical="center"/>
      <protection hidden="1"/>
    </xf>
    <xf numFmtId="0" fontId="0" fillId="0" borderId="173" xfId="0" applyBorder="1" applyProtection="1">
      <protection hidden="1"/>
    </xf>
    <xf numFmtId="0" fontId="0" fillId="0" borderId="147" xfId="0" applyBorder="1" applyProtection="1">
      <protection hidden="1"/>
    </xf>
    <xf numFmtId="0" fontId="0" fillId="0" borderId="155" xfId="0" applyBorder="1" applyProtection="1">
      <protection hidden="1"/>
    </xf>
    <xf numFmtId="10" fontId="45" fillId="0" borderId="0" xfId="17" applyNumberFormat="1" applyFont="1" applyProtection="1">
      <protection hidden="1"/>
    </xf>
    <xf numFmtId="2" fontId="45" fillId="0" borderId="0" xfId="0" applyNumberFormat="1" applyFont="1" applyProtection="1">
      <protection hidden="1"/>
    </xf>
    <xf numFmtId="238" fontId="45" fillId="0" borderId="0" xfId="0" applyNumberFormat="1" applyFont="1" applyProtection="1">
      <protection hidden="1"/>
    </xf>
    <xf numFmtId="0" fontId="0" fillId="0" borderId="125" xfId="0" applyBorder="1" applyProtection="1">
      <protection hidden="1"/>
    </xf>
    <xf numFmtId="0" fontId="47" fillId="0" borderId="0" xfId="0" applyFont="1" applyAlignment="1" applyProtection="1">
      <alignment horizontal="center" vertical="center"/>
      <protection hidden="1"/>
    </xf>
    <xf numFmtId="0" fontId="0" fillId="0" borderId="126" xfId="0" applyBorder="1" applyProtection="1">
      <protection hidden="1"/>
    </xf>
    <xf numFmtId="0" fontId="31" fillId="0" borderId="174" xfId="51775" applyFont="1" applyBorder="1" applyAlignment="1" applyProtection="1">
      <alignment horizontal="right" vertical="center"/>
      <protection hidden="1"/>
    </xf>
    <xf numFmtId="0" fontId="31" fillId="0" borderId="176" xfId="51775" applyFont="1" applyBorder="1" applyAlignment="1" applyProtection="1">
      <alignment horizontal="right" vertical="center"/>
      <protection hidden="1"/>
    </xf>
    <xf numFmtId="0" fontId="275" fillId="0" borderId="176" xfId="51775" applyFont="1" applyBorder="1" applyAlignment="1" applyProtection="1">
      <alignment horizontal="right" vertical="center"/>
      <protection hidden="1"/>
    </xf>
    <xf numFmtId="4" fontId="284" fillId="0" borderId="27" xfId="51775" applyNumberFormat="1" applyFont="1" applyBorder="1" applyAlignment="1" applyProtection="1">
      <alignment horizontal="center" vertical="center"/>
      <protection hidden="1"/>
    </xf>
    <xf numFmtId="4" fontId="47" fillId="0" borderId="0" xfId="0" applyNumberFormat="1" applyFont="1" applyAlignment="1" applyProtection="1">
      <alignment horizontal="center" vertical="center"/>
      <protection hidden="1"/>
    </xf>
    <xf numFmtId="0" fontId="31" fillId="0" borderId="174" xfId="51778" applyFont="1" applyBorder="1" applyAlignment="1" applyProtection="1">
      <alignment horizontal="right" vertical="center"/>
      <protection hidden="1"/>
    </xf>
    <xf numFmtId="0" fontId="275" fillId="0" borderId="0" xfId="51775" applyFont="1" applyAlignment="1" applyProtection="1">
      <alignment horizontal="right" vertical="center"/>
      <protection hidden="1"/>
    </xf>
    <xf numFmtId="1" fontId="45" fillId="0" borderId="27" xfId="23" applyNumberFormat="1" applyFont="1" applyFill="1" applyBorder="1" applyAlignment="1" applyProtection="1">
      <alignment horizontal="center" vertical="center"/>
      <protection hidden="1"/>
    </xf>
    <xf numFmtId="4" fontId="284" fillId="0" borderId="160" xfId="51775" applyNumberFormat="1" applyFont="1" applyBorder="1" applyAlignment="1" applyProtection="1">
      <alignment horizontal="center" vertical="center"/>
      <protection hidden="1"/>
    </xf>
    <xf numFmtId="0" fontId="45" fillId="0" borderId="21" xfId="0" applyFont="1" applyBorder="1" applyProtection="1">
      <protection hidden="1"/>
    </xf>
    <xf numFmtId="0" fontId="45" fillId="0" borderId="22" xfId="0" applyFont="1" applyBorder="1" applyProtection="1">
      <protection hidden="1"/>
    </xf>
    <xf numFmtId="0" fontId="0" fillId="0" borderId="22" xfId="0" applyBorder="1" applyProtection="1">
      <protection hidden="1"/>
    </xf>
    <xf numFmtId="0" fontId="0" fillId="0" borderId="12" xfId="0" applyBorder="1" applyProtection="1">
      <protection hidden="1"/>
    </xf>
    <xf numFmtId="0" fontId="91" fillId="0" borderId="0" xfId="0" applyFont="1" applyProtection="1">
      <protection hidden="1"/>
    </xf>
    <xf numFmtId="0" fontId="272" fillId="38" borderId="147" xfId="51778" applyFont="1" applyFill="1" applyBorder="1" applyAlignment="1" applyProtection="1">
      <alignment horizontal="left" vertical="center"/>
      <protection hidden="1"/>
    </xf>
    <xf numFmtId="0" fontId="274" fillId="38" borderId="147" xfId="51778" applyFont="1" applyFill="1" applyBorder="1" applyAlignment="1" applyProtection="1">
      <alignment horizontal="right" vertical="center"/>
      <protection hidden="1"/>
    </xf>
    <xf numFmtId="4" fontId="47" fillId="39" borderId="50" xfId="51774" applyNumberFormat="1" applyFont="1" applyFill="1" applyBorder="1" applyAlignment="1" applyProtection="1">
      <alignment horizontal="center" vertical="center"/>
      <protection hidden="1"/>
    </xf>
    <xf numFmtId="49" fontId="274" fillId="38" borderId="173" xfId="51775" applyNumberFormat="1" applyFont="1" applyFill="1" applyBorder="1" applyAlignment="1" applyProtection="1">
      <alignment horizontal="center" vertical="center"/>
      <protection hidden="1"/>
    </xf>
    <xf numFmtId="4" fontId="47" fillId="38" borderId="147" xfId="51788" applyNumberFormat="1" applyFont="1" applyFill="1" applyBorder="1" applyAlignment="1" applyProtection="1">
      <alignment horizontal="left" vertical="center"/>
      <protection hidden="1"/>
    </xf>
    <xf numFmtId="0" fontId="274" fillId="38" borderId="147" xfId="51775" applyFont="1" applyFill="1" applyBorder="1" applyProtection="1">
      <alignment vertical="center"/>
      <protection hidden="1"/>
    </xf>
    <xf numFmtId="0" fontId="274" fillId="38" borderId="155" xfId="51775" applyFont="1" applyFill="1" applyBorder="1" applyAlignment="1" applyProtection="1">
      <alignment horizontal="right" vertical="center"/>
      <protection hidden="1"/>
    </xf>
    <xf numFmtId="0" fontId="289" fillId="0" borderId="0" xfId="51778" applyFont="1" applyAlignment="1" applyProtection="1">
      <alignment horizontal="left" vertical="center"/>
      <protection hidden="1"/>
    </xf>
    <xf numFmtId="2" fontId="272" fillId="0" borderId="27" xfId="51778" applyNumberFormat="1" applyFont="1" applyBorder="1" applyAlignment="1" applyProtection="1">
      <alignment horizontal="center" vertical="center"/>
      <protection hidden="1"/>
    </xf>
    <xf numFmtId="185" fontId="31" fillId="40" borderId="27" xfId="51778" applyNumberFormat="1" applyFont="1" applyFill="1" applyBorder="1" applyAlignment="1" applyProtection="1">
      <alignment horizontal="center" vertical="center"/>
      <protection hidden="1"/>
    </xf>
    <xf numFmtId="9" fontId="31" fillId="0" borderId="27" xfId="17" applyFont="1" applyFill="1" applyBorder="1" applyAlignment="1" applyProtection="1">
      <alignment horizontal="center" vertical="center"/>
      <protection hidden="1"/>
    </xf>
    <xf numFmtId="2" fontId="272" fillId="0" borderId="27" xfId="51782" applyNumberFormat="1" applyFont="1" applyFill="1" applyBorder="1" applyAlignment="1" applyProtection="1">
      <alignment horizontal="center" vertical="center"/>
      <protection hidden="1"/>
    </xf>
    <xf numFmtId="4" fontId="272" fillId="0" borderId="156" xfId="51778" applyNumberFormat="1" applyFont="1" applyBorder="1" applyAlignment="1" applyProtection="1">
      <alignment horizontal="center" vertical="center"/>
      <protection hidden="1"/>
    </xf>
    <xf numFmtId="43" fontId="45" fillId="8" borderId="0" xfId="23" applyNumberFormat="1" applyFont="1" applyFill="1" applyBorder="1" applyAlignment="1" applyProtection="1">
      <alignment horizontal="center" vertical="center"/>
      <protection hidden="1"/>
    </xf>
    <xf numFmtId="4" fontId="47" fillId="39" borderId="152" xfId="51774" applyNumberFormat="1" applyFont="1" applyFill="1" applyBorder="1" applyAlignment="1" applyProtection="1">
      <alignment horizontal="center" vertical="center"/>
      <protection hidden="1"/>
    </xf>
    <xf numFmtId="4" fontId="272" fillId="0" borderId="27" xfId="51782" applyNumberFormat="1" applyFont="1" applyFill="1" applyBorder="1" applyAlignment="1" applyProtection="1">
      <alignment horizontal="center" vertical="center"/>
      <protection hidden="1"/>
    </xf>
    <xf numFmtId="44" fontId="45" fillId="0" borderId="0" xfId="51774" applyFont="1" applyAlignment="1" applyProtection="1">
      <alignment horizontal="left" vertical="center"/>
      <protection hidden="1"/>
    </xf>
    <xf numFmtId="2" fontId="45" fillId="0" borderId="0" xfId="51774" applyNumberFormat="1" applyFont="1" applyAlignment="1" applyProtection="1">
      <alignment horizontal="left" vertical="center"/>
      <protection hidden="1"/>
    </xf>
    <xf numFmtId="44" fontId="45" fillId="0" borderId="0" xfId="51774" applyFont="1" applyAlignment="1" applyProtection="1">
      <alignment horizontal="center" vertical="center"/>
      <protection hidden="1"/>
    </xf>
    <xf numFmtId="2" fontId="45" fillId="0" borderId="0" xfId="51778" applyNumberFormat="1" applyFont="1" applyAlignment="1" applyProtection="1">
      <alignment horizontal="center" vertical="center"/>
      <protection hidden="1"/>
    </xf>
    <xf numFmtId="0" fontId="272" fillId="38" borderId="147" xfId="51775" applyFont="1" applyFill="1" applyBorder="1" applyAlignment="1" applyProtection="1">
      <alignment horizontal="right" vertical="center"/>
      <protection hidden="1"/>
    </xf>
    <xf numFmtId="0" fontId="275" fillId="0" borderId="0" xfId="51778" applyFont="1" applyAlignment="1" applyProtection="1">
      <alignment horizontal="left"/>
      <protection hidden="1"/>
    </xf>
    <xf numFmtId="0" fontId="45" fillId="0" borderId="0" xfId="51778" applyFont="1" applyAlignment="1" applyProtection="1">
      <alignment horizontal="center" vertical="center"/>
      <protection hidden="1"/>
    </xf>
    <xf numFmtId="44" fontId="31" fillId="0" borderId="0" xfId="51778" applyNumberFormat="1" applyFont="1" applyAlignment="1" applyProtection="1">
      <alignment horizontal="center" vertical="center"/>
      <protection hidden="1"/>
    </xf>
    <xf numFmtId="241" fontId="31" fillId="0" borderId="0" xfId="17" applyNumberFormat="1" applyFont="1" applyAlignment="1" applyProtection="1">
      <alignment horizontal="left" vertical="center"/>
      <protection hidden="1"/>
    </xf>
    <xf numFmtId="10" fontId="31" fillId="0" borderId="0" xfId="17" applyNumberFormat="1" applyFont="1" applyBorder="1" applyAlignment="1" applyProtection="1">
      <alignment horizontal="left" vertical="center"/>
      <protection hidden="1"/>
    </xf>
    <xf numFmtId="4" fontId="287" fillId="0" borderId="0" xfId="51778" applyNumberFormat="1" applyFont="1" applyAlignment="1" applyProtection="1">
      <alignment horizontal="left" vertical="center"/>
      <protection hidden="1"/>
    </xf>
    <xf numFmtId="2" fontId="31" fillId="0" borderId="0" xfId="51778" applyNumberFormat="1" applyFont="1" applyAlignment="1" applyProtection="1">
      <alignment horizontal="center" vertical="center"/>
      <protection hidden="1"/>
    </xf>
    <xf numFmtId="10" fontId="31" fillId="0" borderId="0" xfId="17" applyNumberFormat="1" applyFont="1" applyFill="1" applyBorder="1" applyAlignment="1" applyProtection="1">
      <alignment horizontal="right" vertical="center"/>
      <protection hidden="1"/>
    </xf>
    <xf numFmtId="2" fontId="31" fillId="0" borderId="0" xfId="51778" applyNumberFormat="1" applyFont="1" applyAlignment="1" applyProtection="1">
      <alignment horizontal="left" vertical="center"/>
      <protection hidden="1"/>
    </xf>
    <xf numFmtId="239" fontId="31" fillId="0" borderId="0" xfId="51778" applyNumberFormat="1" applyFont="1" applyAlignment="1" applyProtection="1">
      <alignment horizontal="left" vertical="center"/>
      <protection hidden="1"/>
    </xf>
    <xf numFmtId="239" fontId="31" fillId="0" borderId="0" xfId="17" applyNumberFormat="1" applyFont="1" applyAlignment="1" applyProtection="1">
      <alignment horizontal="left" vertical="center"/>
      <protection hidden="1"/>
    </xf>
    <xf numFmtId="0" fontId="31" fillId="0" borderId="136" xfId="51778" applyFont="1" applyBorder="1" applyAlignment="1" applyProtection="1">
      <alignment horizontal="left" vertical="center"/>
      <protection hidden="1"/>
    </xf>
    <xf numFmtId="4" fontId="31" fillId="0" borderId="137" xfId="51778" applyNumberFormat="1" applyFont="1" applyBorder="1" applyProtection="1">
      <alignment vertical="center"/>
      <protection hidden="1"/>
    </xf>
    <xf numFmtId="4" fontId="47" fillId="38" borderId="22" xfId="51788" applyNumberFormat="1" applyFont="1" applyFill="1" applyBorder="1" applyAlignment="1" applyProtection="1">
      <alignment horizontal="left" vertical="center"/>
      <protection hidden="1"/>
    </xf>
    <xf numFmtId="0" fontId="274" fillId="38" borderId="22" xfId="51775" applyFont="1" applyFill="1" applyBorder="1" applyProtection="1">
      <alignment vertical="center"/>
      <protection hidden="1"/>
    </xf>
    <xf numFmtId="0" fontId="274" fillId="38" borderId="22" xfId="51775" applyFont="1" applyFill="1" applyBorder="1" applyAlignment="1" applyProtection="1">
      <alignment horizontal="right" vertical="center"/>
      <protection hidden="1"/>
    </xf>
    <xf numFmtId="10" fontId="0" fillId="0" borderId="0" xfId="17" applyNumberFormat="1" applyFont="1" applyBorder="1" applyAlignment="1" applyProtection="1">
      <alignment horizontal="center" vertical="center"/>
      <protection hidden="1"/>
    </xf>
    <xf numFmtId="185" fontId="31" fillId="0" borderId="27" xfId="51778" applyNumberFormat="1" applyFont="1" applyBorder="1" applyAlignment="1" applyProtection="1">
      <alignment horizontal="center" vertical="center"/>
      <protection hidden="1"/>
    </xf>
    <xf numFmtId="240" fontId="272" fillId="0" borderId="156" xfId="51778" applyNumberFormat="1" applyFont="1" applyBorder="1" applyAlignment="1" applyProtection="1">
      <alignment horizontal="center" vertical="center"/>
      <protection hidden="1"/>
    </xf>
    <xf numFmtId="248" fontId="272" fillId="0" borderId="27" xfId="51778" applyNumberFormat="1" applyFont="1" applyBorder="1" applyAlignment="1" applyProtection="1">
      <alignment horizontal="center" vertical="center"/>
      <protection hidden="1"/>
    </xf>
    <xf numFmtId="2" fontId="31" fillId="40" borderId="27" xfId="51778" applyNumberFormat="1" applyFont="1" applyFill="1" applyBorder="1" applyAlignment="1" applyProtection="1">
      <alignment horizontal="center" vertical="center"/>
      <protection hidden="1"/>
    </xf>
    <xf numFmtId="10" fontId="0" fillId="0" borderId="125" xfId="17" applyNumberFormat="1" applyFont="1" applyBorder="1" applyAlignment="1" applyProtection="1">
      <alignment horizontal="center" vertical="center"/>
      <protection hidden="1"/>
    </xf>
    <xf numFmtId="0" fontId="31" fillId="38" borderId="125" xfId="51778" applyFont="1" applyFill="1" applyBorder="1" applyAlignment="1" applyProtection="1">
      <alignment horizontal="left" vertical="center"/>
      <protection hidden="1"/>
    </xf>
    <xf numFmtId="0" fontId="31" fillId="38" borderId="0" xfId="51778" applyFont="1" applyFill="1" applyAlignment="1" applyProtection="1">
      <alignment horizontal="center" vertical="center"/>
      <protection hidden="1"/>
    </xf>
    <xf numFmtId="0" fontId="31" fillId="38" borderId="126" xfId="51778" applyFont="1" applyFill="1" applyBorder="1" applyAlignment="1" applyProtection="1">
      <alignment horizontal="left" vertical="center"/>
      <protection hidden="1"/>
    </xf>
    <xf numFmtId="0" fontId="31" fillId="0" borderId="125" xfId="51778" applyFont="1" applyBorder="1" applyAlignment="1" applyProtection="1">
      <alignment horizontal="center" vertical="center"/>
      <protection hidden="1"/>
    </xf>
    <xf numFmtId="3" fontId="31" fillId="0" borderId="126" xfId="51778" applyNumberFormat="1" applyFont="1" applyBorder="1" applyAlignment="1" applyProtection="1">
      <alignment horizontal="center" vertical="center"/>
      <protection hidden="1"/>
    </xf>
    <xf numFmtId="240" fontId="272" fillId="0" borderId="169" xfId="51778" applyNumberFormat="1" applyFont="1" applyBorder="1" applyAlignment="1" applyProtection="1">
      <alignment horizontal="center" vertical="center"/>
      <protection hidden="1"/>
    </xf>
    <xf numFmtId="0" fontId="31" fillId="0" borderId="136" xfId="51778" applyFont="1" applyBorder="1" applyAlignment="1" applyProtection="1">
      <alignment horizontal="center" vertical="center"/>
      <protection hidden="1"/>
    </xf>
    <xf numFmtId="9" fontId="274" fillId="0" borderId="140" xfId="51778" applyNumberFormat="1" applyFont="1" applyBorder="1" applyProtection="1">
      <alignment vertical="center"/>
      <protection hidden="1"/>
    </xf>
    <xf numFmtId="4" fontId="274" fillId="0" borderId="140" xfId="51778" applyNumberFormat="1" applyFont="1" applyBorder="1" applyProtection="1">
      <alignment vertical="center"/>
      <protection hidden="1"/>
    </xf>
    <xf numFmtId="0" fontId="31" fillId="0" borderId="21" xfId="51778" applyFont="1" applyBorder="1" applyAlignment="1" applyProtection="1">
      <alignment horizontal="center" vertical="center"/>
      <protection hidden="1"/>
    </xf>
    <xf numFmtId="2" fontId="31" fillId="0" borderId="22" xfId="51778" applyNumberFormat="1" applyFont="1" applyBorder="1" applyAlignment="1" applyProtection="1">
      <alignment horizontal="center" vertical="center"/>
      <protection hidden="1"/>
    </xf>
    <xf numFmtId="3" fontId="31" fillId="0" borderId="12" xfId="51778" applyNumberFormat="1" applyFont="1" applyBorder="1" applyAlignment="1" applyProtection="1">
      <alignment horizontal="center" vertical="center"/>
      <protection hidden="1"/>
    </xf>
    <xf numFmtId="10" fontId="31" fillId="0" borderId="165" xfId="51778" applyNumberFormat="1" applyFont="1" applyBorder="1" applyAlignment="1" applyProtection="1">
      <alignment horizontal="center" vertical="center"/>
      <protection hidden="1"/>
    </xf>
    <xf numFmtId="2" fontId="31" fillId="40" borderId="165" xfId="51778" applyNumberFormat="1" applyFont="1" applyFill="1" applyBorder="1" applyAlignment="1" applyProtection="1">
      <alignment horizontal="center" vertical="center"/>
      <protection hidden="1"/>
    </xf>
    <xf numFmtId="240" fontId="272" fillId="0" borderId="166" xfId="51778" applyNumberFormat="1" applyFont="1" applyBorder="1" applyAlignment="1" applyProtection="1">
      <alignment horizontal="center" vertical="center"/>
      <protection hidden="1"/>
    </xf>
    <xf numFmtId="0" fontId="0" fillId="0" borderId="144" xfId="0" applyBorder="1" applyProtection="1">
      <protection hidden="1"/>
    </xf>
    <xf numFmtId="0" fontId="0" fillId="0" borderId="145" xfId="0" applyBorder="1" applyProtection="1">
      <protection hidden="1"/>
    </xf>
    <xf numFmtId="0" fontId="0" fillId="0" borderId="146" xfId="0" applyBorder="1" applyProtection="1">
      <protection hidden="1"/>
    </xf>
    <xf numFmtId="0" fontId="280" fillId="40" borderId="127" xfId="51778" applyFont="1" applyFill="1" applyBorder="1" applyAlignment="1" applyProtection="1">
      <alignment horizontal="left" vertical="center" indent="8"/>
      <protection hidden="1"/>
    </xf>
    <xf numFmtId="0" fontId="31" fillId="40" borderId="131" xfId="51778" applyFont="1" applyFill="1" applyBorder="1" applyAlignment="1" applyProtection="1">
      <alignment horizontal="center" vertical="center"/>
      <protection hidden="1"/>
    </xf>
    <xf numFmtId="0" fontId="31" fillId="40" borderId="128" xfId="51778" applyFont="1" applyFill="1" applyBorder="1" applyAlignment="1" applyProtection="1">
      <alignment horizontal="center" vertical="center"/>
      <protection hidden="1"/>
    </xf>
    <xf numFmtId="2" fontId="45" fillId="0" borderId="165" xfId="51778" applyNumberFormat="1" applyFont="1" applyBorder="1" applyAlignment="1" applyProtection="1">
      <alignment horizontal="center" vertical="center"/>
      <protection hidden="1"/>
    </xf>
    <xf numFmtId="0" fontId="31" fillId="0" borderId="127" xfId="51778" applyFont="1" applyBorder="1" applyAlignment="1" applyProtection="1">
      <alignment horizontal="center" vertical="center"/>
      <protection hidden="1"/>
    </xf>
    <xf numFmtId="0" fontId="31" fillId="0" borderId="131" xfId="51778" applyFont="1" applyBorder="1" applyAlignment="1" applyProtection="1">
      <alignment horizontal="center" vertical="center"/>
      <protection hidden="1"/>
    </xf>
    <xf numFmtId="0" fontId="31" fillId="0" borderId="128" xfId="51778" applyFont="1" applyBorder="1" applyAlignment="1" applyProtection="1">
      <alignment horizontal="center" vertical="center"/>
      <protection hidden="1"/>
    </xf>
    <xf numFmtId="0" fontId="31" fillId="0" borderId="125" xfId="51775" applyFont="1" applyBorder="1" applyAlignment="1" applyProtection="1">
      <alignment horizontal="right" vertical="center" indent="1"/>
      <protection hidden="1"/>
    </xf>
    <xf numFmtId="4" fontId="45" fillId="40" borderId="153" xfId="51782" applyNumberFormat="1" applyFont="1" applyFill="1" applyBorder="1" applyAlignment="1" applyProtection="1">
      <alignment horizontal="center" vertical="center"/>
      <protection hidden="1"/>
    </xf>
    <xf numFmtId="4" fontId="272" fillId="40" borderId="153" xfId="51782" applyNumberFormat="1" applyFont="1" applyFill="1" applyBorder="1" applyAlignment="1" applyProtection="1">
      <alignment horizontal="center" vertical="center"/>
      <protection hidden="1"/>
    </xf>
    <xf numFmtId="238" fontId="31" fillId="0" borderId="126" xfId="51775" applyNumberFormat="1" applyFont="1" applyBorder="1" applyAlignment="1" applyProtection="1">
      <alignment horizontal="center" vertical="center"/>
      <protection hidden="1"/>
    </xf>
    <xf numFmtId="4" fontId="272" fillId="40" borderId="150" xfId="51782" applyNumberFormat="1" applyFont="1" applyFill="1" applyBorder="1" applyAlignment="1" applyProtection="1">
      <alignment horizontal="center" vertical="center"/>
      <protection hidden="1"/>
    </xf>
    <xf numFmtId="0" fontId="272" fillId="0" borderId="125" xfId="51775" applyFont="1" applyBorder="1" applyAlignment="1" applyProtection="1">
      <alignment horizontal="right" vertical="center" indent="1"/>
      <protection hidden="1"/>
    </xf>
    <xf numFmtId="4" fontId="47" fillId="39" borderId="7" xfId="51774" applyNumberFormat="1" applyFont="1" applyFill="1" applyBorder="1" applyAlignment="1" applyProtection="1">
      <alignment horizontal="center" vertical="center"/>
      <protection hidden="1"/>
    </xf>
    <xf numFmtId="238" fontId="31" fillId="0" borderId="0" xfId="51780" applyNumberFormat="1" applyFont="1" applyFill="1" applyBorder="1" applyAlignment="1" applyProtection="1">
      <alignment horizontal="center" vertical="center"/>
      <protection hidden="1"/>
    </xf>
    <xf numFmtId="0" fontId="31" fillId="0" borderId="0" xfId="51778" applyFont="1" applyAlignment="1" applyProtection="1">
      <alignment horizontal="right" vertical="center" indent="1"/>
      <protection hidden="1"/>
    </xf>
    <xf numFmtId="238" fontId="280" fillId="0" borderId="126" xfId="51778" applyNumberFormat="1" applyFont="1" applyBorder="1" applyAlignment="1" applyProtection="1">
      <alignment horizontal="center" vertical="center"/>
      <protection hidden="1"/>
    </xf>
    <xf numFmtId="0" fontId="31" fillId="0" borderId="21" xfId="51778" applyFont="1" applyBorder="1" applyAlignment="1" applyProtection="1">
      <alignment horizontal="left" vertical="center"/>
      <protection hidden="1"/>
    </xf>
    <xf numFmtId="0" fontId="31" fillId="0" borderId="12" xfId="51778" applyFont="1" applyBorder="1" applyAlignment="1" applyProtection="1">
      <alignment horizontal="left" vertical="center"/>
      <protection hidden="1"/>
    </xf>
    <xf numFmtId="0" fontId="31" fillId="0" borderId="0" xfId="51778" applyFont="1" applyAlignment="1" applyProtection="1">
      <alignment horizontal="left" vertical="center" indent="3"/>
      <protection hidden="1"/>
    </xf>
    <xf numFmtId="0" fontId="0" fillId="0" borderId="0" xfId="0" applyAlignment="1" applyProtection="1">
      <alignment horizontal="center"/>
      <protection hidden="1"/>
    </xf>
    <xf numFmtId="9" fontId="0" fillId="0" borderId="0" xfId="0" applyNumberFormat="1" applyProtection="1">
      <protection hidden="1"/>
    </xf>
    <xf numFmtId="4" fontId="0" fillId="0" borderId="0" xfId="0" applyNumberFormat="1" applyProtection="1">
      <protection hidden="1"/>
    </xf>
    <xf numFmtId="9" fontId="272" fillId="38" borderId="147" xfId="51778" applyNumberFormat="1" applyFont="1" applyFill="1" applyBorder="1" applyAlignment="1" applyProtection="1">
      <alignment horizontal="left" vertical="center"/>
      <protection hidden="1"/>
    </xf>
    <xf numFmtId="4" fontId="272" fillId="38" borderId="147" xfId="51778" applyNumberFormat="1" applyFont="1" applyFill="1" applyBorder="1" applyAlignment="1" applyProtection="1">
      <alignment horizontal="left" vertical="center"/>
      <protection hidden="1"/>
    </xf>
    <xf numFmtId="9" fontId="31" fillId="0" borderId="0" xfId="51778" applyNumberFormat="1" applyFont="1" applyAlignment="1" applyProtection="1">
      <alignment horizontal="left" vertical="center"/>
      <protection hidden="1"/>
    </xf>
    <xf numFmtId="10" fontId="31" fillId="0" borderId="0" xfId="51778" applyNumberFormat="1" applyFont="1" applyAlignment="1" applyProtection="1">
      <alignment horizontal="left" vertical="center"/>
      <protection hidden="1"/>
    </xf>
    <xf numFmtId="10" fontId="45" fillId="40" borderId="27" xfId="51779" applyNumberFormat="1" applyFont="1" applyFill="1" applyBorder="1" applyAlignment="1" applyProtection="1">
      <alignment horizontal="center" vertical="center"/>
      <protection locked="0" hidden="1"/>
    </xf>
    <xf numFmtId="10" fontId="45" fillId="40" borderId="160" xfId="51779" applyNumberFormat="1" applyFont="1" applyFill="1" applyBorder="1" applyAlignment="1" applyProtection="1">
      <alignment horizontal="center" vertical="center"/>
      <protection locked="0" hidden="1"/>
    </xf>
    <xf numFmtId="2" fontId="61" fillId="0" borderId="27" xfId="0" applyNumberFormat="1" applyFont="1" applyBorder="1" applyAlignment="1" applyProtection="1">
      <alignment horizontal="center" vertical="center"/>
      <protection hidden="1"/>
    </xf>
    <xf numFmtId="14" fontId="61" fillId="40" borderId="27" xfId="0" applyNumberFormat="1" applyFont="1" applyFill="1" applyBorder="1" applyAlignment="1" applyProtection="1">
      <alignment horizontal="center" vertical="center"/>
      <protection hidden="1"/>
    </xf>
    <xf numFmtId="9" fontId="280" fillId="40" borderId="27" xfId="17" applyFont="1" applyFill="1" applyBorder="1" applyAlignment="1" applyProtection="1">
      <alignment horizontal="center" vertical="center"/>
      <protection hidden="1"/>
    </xf>
    <xf numFmtId="0" fontId="280" fillId="40" borderId="27" xfId="51778" applyFont="1" applyFill="1" applyBorder="1" applyAlignment="1" applyProtection="1">
      <alignment horizontal="center" vertical="center"/>
      <protection hidden="1"/>
    </xf>
    <xf numFmtId="2" fontId="280" fillId="40" borderId="27" xfId="51775" applyNumberFormat="1" applyFont="1" applyFill="1" applyBorder="1" applyAlignment="1" applyProtection="1">
      <alignment horizontal="center" vertical="center"/>
      <protection hidden="1"/>
    </xf>
    <xf numFmtId="2" fontId="280" fillId="40" borderId="27" xfId="51778" applyNumberFormat="1" applyFont="1" applyFill="1" applyBorder="1" applyAlignment="1" applyProtection="1">
      <alignment horizontal="center" vertical="center"/>
      <protection hidden="1"/>
    </xf>
    <xf numFmtId="9" fontId="47" fillId="40" borderId="27" xfId="17" applyFont="1" applyFill="1" applyBorder="1" applyAlignment="1" applyProtection="1">
      <alignment horizontal="center"/>
      <protection hidden="1"/>
    </xf>
    <xf numFmtId="10" fontId="61" fillId="40" borderId="27" xfId="17" applyNumberFormat="1" applyFont="1" applyFill="1" applyBorder="1" applyAlignment="1" applyProtection="1">
      <alignment horizontal="center" vertical="center"/>
      <protection hidden="1"/>
    </xf>
    <xf numFmtId="14" fontId="45" fillId="0" borderId="0" xfId="0" applyNumberFormat="1" applyFont="1" applyProtection="1">
      <protection hidden="1"/>
    </xf>
    <xf numFmtId="10" fontId="47" fillId="40" borderId="27" xfId="17" applyNumberFormat="1" applyFont="1" applyFill="1" applyBorder="1" applyAlignment="1" applyProtection="1">
      <alignment horizontal="center" vertical="center" wrapText="1"/>
      <protection hidden="1"/>
    </xf>
    <xf numFmtId="2" fontId="272" fillId="40" borderId="157" xfId="51778" applyNumberFormat="1" applyFont="1" applyFill="1" applyBorder="1" applyAlignment="1" applyProtection="1">
      <alignment horizontal="center" vertical="center"/>
      <protection hidden="1"/>
    </xf>
    <xf numFmtId="9" fontId="45" fillId="40" borderId="157" xfId="17" applyFont="1" applyFill="1" applyBorder="1" applyAlignment="1" applyProtection="1">
      <alignment horizontal="center" vertical="center"/>
      <protection hidden="1"/>
    </xf>
    <xf numFmtId="4" fontId="31" fillId="40" borderId="157" xfId="17" applyNumberFormat="1" applyFont="1" applyFill="1" applyBorder="1" applyAlignment="1" applyProtection="1">
      <alignment horizontal="center" vertical="center"/>
      <protection hidden="1"/>
    </xf>
    <xf numFmtId="4" fontId="31" fillId="40" borderId="27" xfId="17" applyNumberFormat="1" applyFont="1" applyFill="1" applyBorder="1" applyAlignment="1" applyProtection="1">
      <alignment horizontal="center" vertical="center"/>
      <protection hidden="1"/>
    </xf>
    <xf numFmtId="9" fontId="31" fillId="40" borderId="27" xfId="17" quotePrefix="1" applyFont="1" applyFill="1" applyBorder="1" applyAlignment="1" applyProtection="1">
      <alignment horizontal="center" vertical="center"/>
      <protection hidden="1"/>
    </xf>
    <xf numFmtId="9" fontId="31" fillId="40" borderId="27" xfId="17" applyFont="1" applyFill="1" applyBorder="1" applyAlignment="1" applyProtection="1">
      <alignment horizontal="center" vertical="center"/>
      <protection hidden="1"/>
    </xf>
    <xf numFmtId="2" fontId="31" fillId="40" borderId="27" xfId="17" applyNumberFormat="1" applyFont="1" applyFill="1" applyBorder="1" applyAlignment="1" applyProtection="1">
      <alignment horizontal="center" vertical="center"/>
      <protection hidden="1"/>
    </xf>
    <xf numFmtId="1" fontId="45" fillId="40" borderId="157" xfId="51778" applyNumberFormat="1" applyFont="1" applyFill="1" applyBorder="1" applyAlignment="1" applyProtection="1">
      <alignment horizontal="center" vertical="center"/>
      <protection hidden="1"/>
    </xf>
    <xf numFmtId="0" fontId="45" fillId="40" borderId="27" xfId="0" applyFont="1" applyFill="1" applyBorder="1" applyAlignment="1" applyProtection="1">
      <alignment horizontal="center"/>
      <protection hidden="1"/>
    </xf>
    <xf numFmtId="1" fontId="31" fillId="40" borderId="27" xfId="51778" applyNumberFormat="1" applyFont="1" applyFill="1" applyBorder="1" applyAlignment="1" applyProtection="1">
      <alignment horizontal="center" vertical="center"/>
      <protection hidden="1"/>
    </xf>
    <xf numFmtId="9" fontId="272" fillId="40" borderId="27" xfId="17" applyFont="1" applyFill="1" applyBorder="1" applyAlignment="1" applyProtection="1">
      <alignment horizontal="center" vertical="center"/>
      <protection hidden="1"/>
    </xf>
    <xf numFmtId="2" fontId="272" fillId="40" borderId="27" xfId="51778" applyNumberFormat="1" applyFont="1" applyFill="1" applyBorder="1" applyAlignment="1" applyProtection="1">
      <alignment horizontal="center" vertical="center"/>
      <protection hidden="1"/>
    </xf>
    <xf numFmtId="1" fontId="272" fillId="40" borderId="27" xfId="51778" applyNumberFormat="1" applyFont="1" applyFill="1" applyBorder="1" applyAlignment="1" applyProtection="1">
      <alignment horizontal="center" vertical="center"/>
      <protection hidden="1"/>
    </xf>
    <xf numFmtId="9" fontId="31" fillId="40" borderId="157" xfId="17" applyFont="1" applyFill="1" applyBorder="1" applyAlignment="1" applyProtection="1">
      <alignment horizontal="center" vertical="center"/>
      <protection hidden="1"/>
    </xf>
    <xf numFmtId="0" fontId="45" fillId="40" borderId="157" xfId="0" applyFont="1" applyFill="1" applyBorder="1" applyAlignment="1" applyProtection="1">
      <alignment horizontal="center"/>
      <protection hidden="1"/>
    </xf>
    <xf numFmtId="1" fontId="31" fillId="40" borderId="157" xfId="51778" applyNumberFormat="1" applyFont="1" applyFill="1" applyBorder="1" applyAlignment="1" applyProtection="1">
      <alignment horizontal="center" vertical="center"/>
      <protection hidden="1"/>
    </xf>
    <xf numFmtId="247" fontId="280" fillId="40" borderId="27" xfId="51775" applyNumberFormat="1" applyFont="1" applyFill="1" applyBorder="1" applyAlignment="1" applyProtection="1">
      <alignment horizontal="center" vertical="center"/>
      <protection hidden="1"/>
    </xf>
    <xf numFmtId="4" fontId="274" fillId="9" borderId="27" xfId="51778" applyNumberFormat="1" applyFont="1" applyFill="1" applyBorder="1" applyAlignment="1" applyProtection="1">
      <alignment horizontal="center" vertical="center"/>
      <protection hidden="1"/>
    </xf>
    <xf numFmtId="247" fontId="267" fillId="40" borderId="160" xfId="51775" applyNumberFormat="1" applyFont="1" applyFill="1" applyBorder="1" applyAlignment="1" applyProtection="1">
      <alignment horizontal="center" vertical="center"/>
      <protection hidden="1"/>
    </xf>
    <xf numFmtId="9" fontId="293" fillId="40" borderId="27" xfId="17" applyFont="1" applyFill="1" applyBorder="1" applyAlignment="1" applyProtection="1">
      <alignment horizontal="center" vertical="center"/>
      <protection hidden="1"/>
    </xf>
    <xf numFmtId="185" fontId="31" fillId="40" borderId="157" xfId="51778" applyNumberFormat="1" applyFont="1" applyFill="1" applyBorder="1" applyAlignment="1" applyProtection="1">
      <alignment horizontal="center" vertical="center"/>
      <protection hidden="1"/>
    </xf>
    <xf numFmtId="4" fontId="272" fillId="40" borderId="27" xfId="51782" applyNumberFormat="1" applyFont="1" applyFill="1" applyBorder="1" applyAlignment="1" applyProtection="1">
      <alignment horizontal="center" vertical="center"/>
      <protection hidden="1"/>
    </xf>
    <xf numFmtId="249" fontId="45" fillId="40" borderId="27" xfId="51778" applyNumberFormat="1" applyFont="1" applyFill="1" applyBorder="1" applyAlignment="1" applyProtection="1">
      <alignment horizontal="center" vertical="center"/>
      <protection hidden="1"/>
    </xf>
    <xf numFmtId="2" fontId="45" fillId="40" borderId="27" xfId="51778" applyNumberFormat="1" applyFont="1" applyFill="1" applyBorder="1" applyAlignment="1" applyProtection="1">
      <alignment horizontal="center" vertical="center"/>
      <protection hidden="1"/>
    </xf>
    <xf numFmtId="248" fontId="272" fillId="40" borderId="27" xfId="51778" applyNumberFormat="1" applyFont="1" applyFill="1" applyBorder="1" applyAlignment="1" applyProtection="1">
      <alignment horizontal="center" vertical="center"/>
      <protection hidden="1"/>
    </xf>
    <xf numFmtId="4" fontId="272" fillId="40" borderId="158" xfId="51782" applyNumberFormat="1" applyFont="1" applyFill="1" applyBorder="1" applyAlignment="1" applyProtection="1">
      <alignment horizontal="center" vertical="center"/>
      <protection hidden="1"/>
    </xf>
    <xf numFmtId="4" fontId="272" fillId="40" borderId="165" xfId="51782" applyNumberFormat="1" applyFont="1" applyFill="1" applyBorder="1" applyAlignment="1" applyProtection="1">
      <alignment horizontal="center" vertical="center"/>
      <protection hidden="1"/>
    </xf>
    <xf numFmtId="1" fontId="31" fillId="40" borderId="165" xfId="51778" applyNumberFormat="1" applyFont="1" applyFill="1" applyBorder="1" applyAlignment="1" applyProtection="1">
      <alignment horizontal="center" vertical="center"/>
      <protection hidden="1"/>
    </xf>
    <xf numFmtId="4" fontId="45" fillId="40" borderId="27" xfId="51782" applyNumberFormat="1" applyFont="1" applyFill="1" applyBorder="1" applyAlignment="1" applyProtection="1">
      <alignment horizontal="center" vertical="center"/>
      <protection hidden="1"/>
    </xf>
    <xf numFmtId="0" fontId="274" fillId="38" borderId="127" xfId="51778" applyFont="1" applyFill="1" applyBorder="1" applyAlignment="1">
      <alignment horizontal="left" vertical="center" indent="3"/>
    </xf>
    <xf numFmtId="0" fontId="274" fillId="38" borderId="131" xfId="51775" applyFont="1" applyFill="1" applyBorder="1" applyProtection="1">
      <alignment vertical="center"/>
      <protection locked="0"/>
    </xf>
    <xf numFmtId="0" fontId="277" fillId="38" borderId="131" xfId="51775" applyFont="1" applyFill="1" applyBorder="1" applyAlignment="1" applyProtection="1">
      <alignment horizontal="right" vertical="center"/>
      <protection locked="0"/>
    </xf>
    <xf numFmtId="0" fontId="274" fillId="38" borderId="127" xfId="51775" applyFont="1" applyFill="1" applyBorder="1" applyProtection="1">
      <alignment vertical="center"/>
      <protection locked="0"/>
    </xf>
    <xf numFmtId="0" fontId="274" fillId="38" borderId="131" xfId="51775" applyFont="1" applyFill="1" applyBorder="1" applyAlignment="1" applyProtection="1">
      <alignment horizontal="right" vertical="center"/>
      <protection locked="0"/>
    </xf>
    <xf numFmtId="9" fontId="31" fillId="0" borderId="0" xfId="17" applyFont="1" applyAlignment="1" applyProtection="1">
      <alignment horizontal="left" vertical="center"/>
      <protection hidden="1"/>
    </xf>
    <xf numFmtId="0" fontId="45" fillId="0" borderId="12" xfId="51777" applyFont="1" applyBorder="1" applyAlignment="1" applyProtection="1">
      <alignment horizontal="center" vertical="center"/>
      <protection hidden="1"/>
    </xf>
    <xf numFmtId="0" fontId="269" fillId="0" borderId="0" xfId="51778" applyFont="1">
      <alignment vertical="center"/>
    </xf>
    <xf numFmtId="0" fontId="270" fillId="0" borderId="0" xfId="51778" applyFont="1">
      <alignment vertical="center"/>
    </xf>
    <xf numFmtId="0" fontId="271" fillId="0" borderId="0" xfId="51778" applyFont="1">
      <alignment vertical="center"/>
    </xf>
    <xf numFmtId="0" fontId="91" fillId="0" borderId="22" xfId="51777" applyFont="1" applyBorder="1" applyAlignment="1">
      <alignment vertical="center"/>
    </xf>
    <xf numFmtId="0" fontId="272" fillId="0" borderId="0" xfId="51778" applyFont="1" applyAlignment="1">
      <alignment horizontal="right" vertical="center"/>
    </xf>
    <xf numFmtId="0" fontId="272" fillId="0" borderId="0" xfId="51778" applyFont="1" applyAlignment="1">
      <alignment horizontal="left" vertical="center"/>
    </xf>
    <xf numFmtId="0" fontId="272" fillId="0" borderId="22" xfId="51778" applyFont="1" applyBorder="1" applyAlignment="1">
      <alignment horizontal="left" vertical="center"/>
    </xf>
    <xf numFmtId="0" fontId="274" fillId="0" borderId="22" xfId="51778" applyFont="1" applyBorder="1" applyAlignment="1">
      <alignment horizontal="left" vertical="center"/>
    </xf>
    <xf numFmtId="0" fontId="31" fillId="0" borderId="0" xfId="51778" applyFont="1" applyAlignment="1">
      <alignment horizontal="center" vertical="center"/>
    </xf>
    <xf numFmtId="0" fontId="272" fillId="0" borderId="0" xfId="51778" applyFont="1" applyAlignment="1">
      <alignment horizontal="center" vertical="center"/>
    </xf>
    <xf numFmtId="0" fontId="31" fillId="0" borderId="125" xfId="51778" applyFont="1" applyBorder="1" applyAlignment="1">
      <alignment horizontal="right" vertical="center"/>
    </xf>
    <xf numFmtId="253" fontId="272" fillId="0" borderId="0" xfId="51778" applyNumberFormat="1" applyFont="1" applyAlignment="1">
      <alignment horizontal="center" vertical="center"/>
    </xf>
    <xf numFmtId="0" fontId="272" fillId="0" borderId="125" xfId="51778" applyFont="1" applyBorder="1" applyAlignment="1">
      <alignment horizontal="right" vertical="center"/>
    </xf>
    <xf numFmtId="0" fontId="274" fillId="0" borderId="0" xfId="51778" applyFont="1">
      <alignment vertical="center"/>
    </xf>
    <xf numFmtId="0" fontId="272" fillId="0" borderId="0" xfId="51778" applyFont="1">
      <alignment vertical="center"/>
    </xf>
    <xf numFmtId="10" fontId="280" fillId="39" borderId="194" xfId="51779" applyNumberFormat="1" applyFont="1" applyFill="1" applyBorder="1" applyAlignment="1" applyProtection="1">
      <alignment horizontal="center" vertical="center"/>
      <protection hidden="1"/>
    </xf>
    <xf numFmtId="0" fontId="31" fillId="0" borderId="0" xfId="51778" applyFont="1" applyAlignment="1">
      <alignment horizontal="right" vertical="center"/>
    </xf>
    <xf numFmtId="44" fontId="31" fillId="0" borderId="0" xfId="51782" applyFont="1" applyAlignment="1">
      <alignment horizontal="left" vertical="center"/>
    </xf>
    <xf numFmtId="0" fontId="45" fillId="0" borderId="0" xfId="51777" applyFont="1" applyAlignment="1">
      <alignment horizontal="left" vertical="center" indent="7"/>
    </xf>
    <xf numFmtId="0" fontId="45" fillId="0" borderId="12" xfId="51775" applyFont="1" applyBorder="1" applyAlignment="1">
      <alignment horizontal="left" vertical="center"/>
    </xf>
    <xf numFmtId="0" fontId="45" fillId="0" borderId="22" xfId="51775" applyFont="1" applyBorder="1" applyAlignment="1">
      <alignment horizontal="left" vertical="center" indent="4"/>
    </xf>
    <xf numFmtId="0" fontId="273" fillId="38" borderId="0" xfId="51778" applyFont="1" applyFill="1" applyProtection="1">
      <alignment vertical="center"/>
      <protection locked="0"/>
    </xf>
    <xf numFmtId="0" fontId="281" fillId="0" borderId="0" xfId="51778" applyFont="1">
      <alignment vertical="center"/>
    </xf>
    <xf numFmtId="0" fontId="308" fillId="0" borderId="0" xfId="51778" applyFont="1">
      <alignment vertical="center"/>
    </xf>
    <xf numFmtId="0" fontId="270" fillId="0" borderId="0" xfId="51778" applyFont="1" applyAlignment="1">
      <alignment horizontal="center" vertical="center"/>
    </xf>
    <xf numFmtId="0" fontId="282" fillId="0" borderId="0" xfId="51778" applyFont="1">
      <alignment vertical="center"/>
    </xf>
    <xf numFmtId="0" fontId="91" fillId="0" borderId="0" xfId="51778" applyFont="1">
      <alignment vertical="center"/>
    </xf>
    <xf numFmtId="0" fontId="269" fillId="0" borderId="125" xfId="51778" applyFont="1" applyBorder="1">
      <alignment vertical="center"/>
    </xf>
    <xf numFmtId="0" fontId="91" fillId="0" borderId="0" xfId="51777" applyFont="1" applyAlignment="1">
      <alignment horizontal="center" vertical="center"/>
    </xf>
    <xf numFmtId="0" fontId="269" fillId="0" borderId="21" xfId="51778" applyFont="1" applyBorder="1">
      <alignment vertical="center"/>
    </xf>
    <xf numFmtId="0" fontId="269" fillId="0" borderId="22" xfId="51778" applyFont="1" applyBorder="1">
      <alignment vertical="center"/>
    </xf>
    <xf numFmtId="0" fontId="283" fillId="0" borderId="0" xfId="51778" applyFont="1" applyAlignment="1">
      <alignment horizontal="left" vertical="center"/>
    </xf>
    <xf numFmtId="0" fontId="45" fillId="0" borderId="0" xfId="51778" applyFont="1" applyAlignment="1">
      <alignment horizontal="left" vertical="center"/>
    </xf>
    <xf numFmtId="0" fontId="309" fillId="0" borderId="0" xfId="51778" applyFont="1" applyAlignment="1">
      <alignment horizontal="left" vertical="center"/>
    </xf>
    <xf numFmtId="0" fontId="285" fillId="38" borderId="0" xfId="51778" applyFont="1" applyFill="1" applyProtection="1">
      <alignment vertical="center"/>
      <protection locked="0"/>
    </xf>
    <xf numFmtId="0" fontId="274" fillId="0" borderId="0" xfId="51778" applyFont="1" applyAlignment="1">
      <alignment horizontal="left" vertical="center"/>
    </xf>
    <xf numFmtId="0" fontId="275" fillId="0" borderId="0" xfId="51778" applyFont="1" applyAlignment="1">
      <alignment horizontal="left" vertical="center"/>
    </xf>
    <xf numFmtId="183" fontId="284" fillId="40" borderId="195" xfId="51775" applyNumberFormat="1" applyFont="1" applyFill="1" applyBorder="1" applyAlignment="1">
      <alignment horizontal="center" vertical="center"/>
    </xf>
    <xf numFmtId="0" fontId="275" fillId="0" borderId="125" xfId="51778" applyFont="1" applyBorder="1" applyAlignment="1">
      <alignment horizontal="left" vertical="center"/>
    </xf>
    <xf numFmtId="0" fontId="31" fillId="0" borderId="0" xfId="51775" applyFont="1" applyAlignment="1">
      <alignment horizontal="center" vertical="top"/>
    </xf>
    <xf numFmtId="0" fontId="275" fillId="0" borderId="0" xfId="51775" applyFont="1" applyAlignment="1">
      <alignment vertical="top"/>
    </xf>
    <xf numFmtId="238" fontId="31" fillId="0" borderId="0" xfId="51775" applyNumberFormat="1" applyFont="1" applyAlignment="1">
      <alignment vertical="top"/>
    </xf>
    <xf numFmtId="0" fontId="275" fillId="0" borderId="0" xfId="51778" applyFont="1" applyAlignment="1">
      <alignment horizontal="left" vertical="top"/>
    </xf>
    <xf numFmtId="0" fontId="275" fillId="0" borderId="0" xfId="51775" applyFont="1">
      <alignment vertical="center"/>
    </xf>
    <xf numFmtId="0" fontId="275" fillId="0" borderId="0" xfId="51775" applyFont="1" applyAlignment="1">
      <alignment horizontal="right" vertical="center"/>
    </xf>
    <xf numFmtId="183" fontId="284" fillId="40" borderId="149" xfId="51775" applyNumberFormat="1" applyFont="1" applyFill="1" applyBorder="1" applyAlignment="1">
      <alignment horizontal="center" vertical="center"/>
    </xf>
    <xf numFmtId="238" fontId="275" fillId="0" borderId="125" xfId="51775" applyNumberFormat="1" applyFont="1" applyBorder="1" applyAlignment="1"/>
    <xf numFmtId="0" fontId="31" fillId="0" borderId="0" xfId="51775" applyFont="1" applyAlignment="1">
      <alignment horizontal="right"/>
    </xf>
    <xf numFmtId="0" fontId="275" fillId="0" borderId="0" xfId="51778" applyFont="1" applyAlignment="1">
      <alignment horizontal="left"/>
    </xf>
    <xf numFmtId="238" fontId="31" fillId="0" borderId="0" xfId="51775" applyNumberFormat="1" applyFont="1" applyAlignment="1"/>
    <xf numFmtId="0" fontId="275" fillId="0" borderId="0" xfId="51775" applyFont="1" applyAlignment="1"/>
    <xf numFmtId="238" fontId="275" fillId="0" borderId="125" xfId="51775" applyNumberFormat="1" applyFont="1" applyBorder="1">
      <alignment vertical="center"/>
    </xf>
    <xf numFmtId="2" fontId="284" fillId="40" borderId="149" xfId="51775" applyNumberFormat="1" applyFont="1" applyFill="1" applyBorder="1" applyAlignment="1">
      <alignment horizontal="center" vertical="center"/>
    </xf>
    <xf numFmtId="0" fontId="275" fillId="0" borderId="21" xfId="51775" applyFont="1" applyBorder="1">
      <alignment vertical="center"/>
    </xf>
    <xf numFmtId="0" fontId="31" fillId="0" borderId="22" xfId="51778" applyFont="1" applyBorder="1" applyAlignment="1">
      <alignment horizontal="left" vertical="center"/>
    </xf>
    <xf numFmtId="0" fontId="275" fillId="0" borderId="22" xfId="51775" applyFont="1" applyBorder="1">
      <alignment vertical="center"/>
    </xf>
    <xf numFmtId="0" fontId="275" fillId="0" borderId="22" xfId="51775" applyFont="1" applyBorder="1" applyAlignment="1">
      <alignment horizontal="right" vertical="center"/>
    </xf>
    <xf numFmtId="2" fontId="284" fillId="40" borderId="196" xfId="51775" applyNumberFormat="1" applyFont="1" applyFill="1" applyBorder="1" applyAlignment="1">
      <alignment horizontal="center" vertical="center"/>
    </xf>
    <xf numFmtId="0" fontId="275" fillId="0" borderId="0" xfId="51778" applyFont="1" applyAlignment="1">
      <alignment horizontal="right" vertical="center"/>
    </xf>
    <xf numFmtId="0" fontId="279" fillId="0" borderId="0" xfId="51778" applyFont="1" applyAlignment="1">
      <alignment horizontal="right" vertical="top"/>
    </xf>
    <xf numFmtId="0" fontId="283" fillId="0" borderId="0" xfId="51778" applyFont="1" applyAlignment="1">
      <alignment horizontal="center" vertical="center"/>
    </xf>
    <xf numFmtId="0" fontId="45" fillId="0" borderId="0" xfId="51778" applyFont="1" applyAlignment="1">
      <alignment horizontal="center" vertical="center"/>
    </xf>
    <xf numFmtId="0" fontId="45" fillId="0" borderId="0" xfId="51781" applyFont="1" applyAlignment="1" applyProtection="1">
      <alignment horizontal="center"/>
      <protection hidden="1"/>
    </xf>
    <xf numFmtId="0" fontId="280" fillId="38" borderId="125" xfId="51781" applyFont="1" applyFill="1" applyBorder="1" applyAlignment="1" applyProtection="1">
      <alignment vertical="center"/>
      <protection hidden="1"/>
    </xf>
    <xf numFmtId="0" fontId="280" fillId="38" borderId="0" xfId="51781" applyFont="1" applyFill="1" applyAlignment="1" applyProtection="1">
      <alignment horizontal="center" vertical="center"/>
      <protection hidden="1"/>
    </xf>
    <xf numFmtId="0" fontId="280" fillId="38" borderId="0" xfId="51778" applyFont="1" applyFill="1" applyAlignment="1" applyProtection="1">
      <alignment horizontal="left" vertical="center"/>
      <protection hidden="1"/>
    </xf>
    <xf numFmtId="0" fontId="288" fillId="38" borderId="0" xfId="51778" applyFont="1" applyFill="1" applyAlignment="1" applyProtection="1">
      <alignment horizontal="center" vertical="center" wrapText="1"/>
      <protection hidden="1"/>
    </xf>
    <xf numFmtId="0" fontId="280" fillId="38" borderId="0" xfId="51778" applyFont="1" applyFill="1" applyAlignment="1" applyProtection="1">
      <alignment horizontal="center" vertical="center"/>
      <protection hidden="1"/>
    </xf>
    <xf numFmtId="0" fontId="280" fillId="38" borderId="0" xfId="51778" applyFont="1" applyFill="1" applyAlignment="1" applyProtection="1">
      <alignment horizontal="center" vertical="center" wrapText="1"/>
      <protection hidden="1"/>
    </xf>
    <xf numFmtId="0" fontId="280" fillId="38" borderId="0" xfId="51778" applyFont="1" applyFill="1" applyAlignment="1" applyProtection="1">
      <alignment vertical="center" wrapText="1"/>
      <protection hidden="1"/>
    </xf>
    <xf numFmtId="0" fontId="280" fillId="38" borderId="126" xfId="51778" applyFont="1" applyFill="1" applyBorder="1" applyAlignment="1" applyProtection="1">
      <alignment vertical="center" wrapText="1"/>
      <protection hidden="1"/>
    </xf>
    <xf numFmtId="0" fontId="45" fillId="0" borderId="0" xfId="51781" applyFont="1" applyAlignment="1" applyProtection="1">
      <alignment horizontal="center" vertical="center"/>
      <protection hidden="1"/>
    </xf>
    <xf numFmtId="4" fontId="31" fillId="40" borderId="150" xfId="51778" applyNumberFormat="1" applyFont="1" applyFill="1" applyBorder="1" applyAlignment="1">
      <alignment horizontal="center" vertical="center"/>
    </xf>
    <xf numFmtId="1" fontId="31" fillId="40" borderId="150" xfId="51778" applyNumberFormat="1" applyFont="1" applyFill="1" applyBorder="1" applyAlignment="1">
      <alignment horizontal="center" vertical="center"/>
    </xf>
    <xf numFmtId="2" fontId="45" fillId="40" borderId="150" xfId="51778" applyNumberFormat="1" applyFont="1" applyFill="1" applyBorder="1" applyAlignment="1">
      <alignment horizontal="center" vertical="center"/>
    </xf>
    <xf numFmtId="2" fontId="31" fillId="0" borderId="0" xfId="17" applyNumberFormat="1" applyFont="1" applyFill="1" applyBorder="1" applyAlignment="1">
      <alignment horizontal="center" vertical="center"/>
    </xf>
    <xf numFmtId="237" fontId="272" fillId="0" borderId="0" xfId="51778" applyNumberFormat="1" applyFont="1" applyAlignment="1">
      <alignment horizontal="center" vertical="center"/>
    </xf>
    <xf numFmtId="2" fontId="272" fillId="0" borderId="0" xfId="51782" applyNumberFormat="1" applyFont="1" applyFill="1" applyBorder="1" applyAlignment="1">
      <alignment horizontal="center" vertical="center"/>
    </xf>
    <xf numFmtId="4" fontId="45" fillId="0" borderId="0" xfId="77" applyNumberFormat="1" applyAlignment="1">
      <alignment horizontal="center" vertical="center"/>
    </xf>
    <xf numFmtId="4" fontId="31" fillId="0" borderId="0" xfId="51778" applyNumberFormat="1" applyFont="1" applyAlignment="1">
      <alignment horizontal="center" vertical="center"/>
    </xf>
    <xf numFmtId="4" fontId="31" fillId="0" borderId="126" xfId="51778" applyNumberFormat="1" applyFont="1" applyBorder="1" applyAlignment="1">
      <alignment horizontal="center" vertical="center"/>
    </xf>
    <xf numFmtId="2" fontId="31" fillId="40" borderId="150" xfId="51778" applyNumberFormat="1" applyFont="1" applyFill="1" applyBorder="1" applyAlignment="1">
      <alignment horizontal="center" vertical="center"/>
    </xf>
    <xf numFmtId="0" fontId="45" fillId="0" borderId="0" xfId="77"/>
    <xf numFmtId="2" fontId="272" fillId="40" borderId="150" xfId="51778" applyNumberFormat="1" applyFont="1" applyFill="1" applyBorder="1" applyAlignment="1">
      <alignment horizontal="center" vertical="center"/>
    </xf>
    <xf numFmtId="4" fontId="272" fillId="40" borderId="150" xfId="51778" applyNumberFormat="1" applyFont="1" applyFill="1" applyBorder="1" applyAlignment="1">
      <alignment horizontal="center" vertical="center"/>
    </xf>
    <xf numFmtId="4" fontId="272" fillId="0" borderId="0" xfId="51782" applyNumberFormat="1" applyFont="1" applyFill="1" applyBorder="1" applyAlignment="1">
      <alignment horizontal="center" vertical="center"/>
    </xf>
    <xf numFmtId="0" fontId="31" fillId="0" borderId="125" xfId="51778" applyFont="1" applyBorder="1">
      <alignment vertical="center"/>
    </xf>
    <xf numFmtId="0" fontId="31" fillId="0" borderId="0" xfId="51778" applyFont="1">
      <alignment vertical="center"/>
    </xf>
    <xf numFmtId="0" fontId="31" fillId="0" borderId="126" xfId="51778" applyFont="1" applyBorder="1">
      <alignment vertical="center"/>
    </xf>
    <xf numFmtId="0" fontId="280" fillId="38" borderId="125" xfId="51781" applyFont="1" applyFill="1" applyBorder="1" applyAlignment="1" applyProtection="1">
      <alignment horizontal="center" vertical="center"/>
      <protection hidden="1"/>
    </xf>
    <xf numFmtId="4" fontId="275" fillId="38" borderId="0" xfId="51778" applyNumberFormat="1" applyFont="1" applyFill="1" applyAlignment="1" applyProtection="1">
      <alignment horizontal="center" vertical="center"/>
      <protection hidden="1"/>
    </xf>
    <xf numFmtId="4" fontId="275" fillId="38" borderId="0" xfId="51778" applyNumberFormat="1" applyFont="1" applyFill="1" applyAlignment="1" applyProtection="1">
      <alignment horizontal="center" vertical="center" wrapText="1"/>
      <protection hidden="1"/>
    </xf>
    <xf numFmtId="4" fontId="288" fillId="38" borderId="0" xfId="51778" applyNumberFormat="1" applyFont="1" applyFill="1" applyAlignment="1" applyProtection="1">
      <alignment horizontal="center" vertical="center" wrapText="1"/>
      <protection hidden="1"/>
    </xf>
    <xf numFmtId="4" fontId="280" fillId="38" borderId="0" xfId="51778" applyNumberFormat="1" applyFont="1" applyFill="1" applyAlignment="1" applyProtection="1">
      <alignment horizontal="center" vertical="center"/>
      <protection hidden="1"/>
    </xf>
    <xf numFmtId="4" fontId="280" fillId="38" borderId="0" xfId="51778" applyNumberFormat="1" applyFont="1" applyFill="1" applyAlignment="1" applyProtection="1">
      <alignment horizontal="center" vertical="center" wrapText="1"/>
      <protection hidden="1"/>
    </xf>
    <xf numFmtId="0" fontId="47" fillId="38" borderId="0" xfId="77" applyFont="1" applyFill="1" applyAlignment="1">
      <alignment horizontal="left" vertical="center" indent="4"/>
    </xf>
    <xf numFmtId="0" fontId="47" fillId="38" borderId="0" xfId="77" applyFont="1" applyFill="1" applyAlignment="1">
      <alignment horizontal="left" vertical="center" indent="7"/>
    </xf>
    <xf numFmtId="4" fontId="45" fillId="40" borderId="150" xfId="51778" applyNumberFormat="1" applyFont="1" applyFill="1" applyBorder="1" applyAlignment="1">
      <alignment horizontal="center" vertical="center"/>
    </xf>
    <xf numFmtId="186" fontId="31" fillId="40" borderId="150" xfId="51778" applyNumberFormat="1" applyFont="1" applyFill="1" applyBorder="1" applyAlignment="1">
      <alignment horizontal="center" vertical="center"/>
    </xf>
    <xf numFmtId="44" fontId="31" fillId="0" borderId="0" xfId="18845" applyFont="1" applyAlignment="1">
      <alignment horizontal="left" vertical="center"/>
    </xf>
    <xf numFmtId="4" fontId="31" fillId="40" borderId="150" xfId="51778" applyNumberFormat="1" applyFont="1" applyFill="1" applyBorder="1" applyAlignment="1">
      <alignment horizontal="center" vertical="center" wrapText="1"/>
    </xf>
    <xf numFmtId="0" fontId="31" fillId="0" borderId="125" xfId="51775" applyFont="1" applyBorder="1" applyAlignment="1">
      <alignment horizontal="right" vertical="center" indent="1"/>
    </xf>
    <xf numFmtId="43" fontId="45" fillId="8" borderId="0" xfId="23" applyNumberFormat="1" applyFont="1" applyFill="1" applyBorder="1" applyAlignment="1">
      <alignment horizontal="left" vertical="top"/>
    </xf>
    <xf numFmtId="43" fontId="45" fillId="40" borderId="150" xfId="23" applyNumberFormat="1" applyFont="1" applyFill="1" applyBorder="1" applyAlignment="1">
      <alignment horizontal="center" vertical="center"/>
    </xf>
    <xf numFmtId="4" fontId="31" fillId="40" borderId="150" xfId="51778" applyNumberFormat="1" applyFont="1" applyFill="1" applyBorder="1" applyAlignment="1">
      <alignment horizontal="left" vertical="center"/>
    </xf>
    <xf numFmtId="0" fontId="275" fillId="38" borderId="0" xfId="51778" applyFont="1" applyFill="1" applyAlignment="1" applyProtection="1">
      <alignment horizontal="center" vertical="center" wrapText="1"/>
      <protection hidden="1"/>
    </xf>
    <xf numFmtId="0" fontId="275" fillId="38" borderId="126" xfId="51778" applyFont="1" applyFill="1" applyBorder="1" applyAlignment="1" applyProtection="1">
      <alignment horizontal="center" vertical="center" wrapText="1"/>
      <protection hidden="1"/>
    </xf>
    <xf numFmtId="9" fontId="272" fillId="40" borderId="150" xfId="17" applyFont="1" applyFill="1" applyBorder="1" applyAlignment="1">
      <alignment horizontal="center" vertical="center"/>
    </xf>
    <xf numFmtId="43" fontId="45" fillId="8" borderId="126" xfId="23" applyNumberFormat="1" applyFont="1" applyFill="1" applyBorder="1" applyAlignment="1">
      <alignment horizontal="center" vertical="center"/>
    </xf>
    <xf numFmtId="0" fontId="45" fillId="0" borderId="21" xfId="51781" applyFont="1" applyBorder="1" applyAlignment="1" applyProtection="1">
      <alignment vertical="center"/>
      <protection hidden="1"/>
    </xf>
    <xf numFmtId="0" fontId="45" fillId="0" borderId="22" xfId="51781" applyFont="1" applyBorder="1" applyAlignment="1" applyProtection="1">
      <alignment vertical="center"/>
      <protection hidden="1"/>
    </xf>
    <xf numFmtId="0" fontId="45" fillId="0" borderId="12" xfId="51781" applyFont="1" applyBorder="1" applyAlignment="1" applyProtection="1">
      <alignment vertical="center"/>
      <protection hidden="1"/>
    </xf>
    <xf numFmtId="0" fontId="283" fillId="0" borderId="0" xfId="77" applyFont="1"/>
    <xf numFmtId="4" fontId="45" fillId="0" borderId="0" xfId="77" applyNumberFormat="1"/>
    <xf numFmtId="2" fontId="45" fillId="0" borderId="0" xfId="77" applyNumberFormat="1"/>
    <xf numFmtId="0" fontId="45" fillId="0" borderId="0" xfId="77" applyAlignment="1">
      <alignment horizontal="center"/>
    </xf>
    <xf numFmtId="0" fontId="45" fillId="0" borderId="0" xfId="77" applyAlignment="1">
      <alignment horizontal="left" vertical="center"/>
    </xf>
    <xf numFmtId="0" fontId="47" fillId="0" borderId="0" xfId="77" applyFont="1" applyAlignment="1">
      <alignment horizontal="left" vertical="center" indent="4"/>
    </xf>
    <xf numFmtId="0" fontId="45" fillId="0" borderId="0" xfId="77" applyAlignment="1">
      <alignment horizontal="left" vertical="center" indent="4"/>
    </xf>
    <xf numFmtId="0" fontId="47" fillId="0" borderId="0" xfId="77" applyFont="1" applyAlignment="1">
      <alignment horizontal="left" vertical="center" indent="2"/>
    </xf>
    <xf numFmtId="0" fontId="45" fillId="0" borderId="0" xfId="77" applyAlignment="1">
      <alignment vertical="center"/>
    </xf>
    <xf numFmtId="0" fontId="45" fillId="0" borderId="0" xfId="77" applyAlignment="1">
      <alignment horizontal="left" vertical="center" indent="3"/>
    </xf>
    <xf numFmtId="0" fontId="47" fillId="0" borderId="0" xfId="77" applyFont="1" applyAlignment="1">
      <alignment horizontal="left" vertical="center" indent="3"/>
    </xf>
    <xf numFmtId="0" fontId="45" fillId="0" borderId="0" xfId="77" applyAlignment="1">
      <alignment horizontal="left" vertical="center" indent="2"/>
    </xf>
    <xf numFmtId="4" fontId="47" fillId="0" borderId="0" xfId="77" applyNumberFormat="1" applyFont="1" applyAlignment="1">
      <alignment horizontal="left" vertical="center"/>
    </xf>
    <xf numFmtId="4" fontId="45" fillId="0" borderId="0" xfId="77" applyNumberFormat="1" applyAlignment="1">
      <alignment wrapText="1"/>
    </xf>
    <xf numFmtId="4" fontId="45" fillId="0" borderId="0" xfId="77" applyNumberFormat="1" applyAlignment="1">
      <alignment vertical="center"/>
    </xf>
    <xf numFmtId="4" fontId="69" fillId="41" borderId="197" xfId="51804" applyNumberFormat="1" applyFont="1" applyFill="1" applyBorder="1" applyAlignment="1">
      <alignment horizontal="center" vertical="center"/>
    </xf>
    <xf numFmtId="4" fontId="69" fillId="41" borderId="197" xfId="51804" applyNumberFormat="1" applyFont="1" applyFill="1" applyBorder="1" applyAlignment="1">
      <alignment horizontal="center" vertical="center" wrapText="1"/>
    </xf>
    <xf numFmtId="4" fontId="69" fillId="0" borderId="198" xfId="51804" applyNumberFormat="1" applyFont="1" applyBorder="1" applyAlignment="1">
      <alignment horizontal="center" vertical="top" wrapText="1"/>
    </xf>
    <xf numFmtId="4" fontId="71" fillId="0" borderId="198" xfId="51804" applyNumberFormat="1" applyBorder="1" applyAlignment="1">
      <alignment vertical="top" wrapText="1"/>
    </xf>
    <xf numFmtId="4" fontId="71" fillId="0" borderId="198" xfId="51804" applyNumberFormat="1" applyBorder="1" applyAlignment="1">
      <alignment horizontal="right" wrapText="1"/>
    </xf>
    <xf numFmtId="4" fontId="71" fillId="0" borderId="198" xfId="51804" applyNumberFormat="1" applyBorder="1" applyAlignment="1">
      <alignment wrapText="1"/>
    </xf>
    <xf numFmtId="4" fontId="45" fillId="0" borderId="198" xfId="77" applyNumberFormat="1" applyBorder="1"/>
    <xf numFmtId="4" fontId="71" fillId="9" borderId="198" xfId="51804" applyNumberFormat="1" applyFill="1" applyBorder="1" applyAlignment="1">
      <alignment vertical="top" wrapText="1"/>
    </xf>
    <xf numFmtId="4" fontId="71" fillId="9" borderId="198" xfId="51804" applyNumberFormat="1" applyFill="1" applyBorder="1" applyAlignment="1">
      <alignment horizontal="right" wrapText="1"/>
    </xf>
    <xf numFmtId="4" fontId="71" fillId="9" borderId="198" xfId="51804" applyNumberFormat="1" applyFill="1" applyBorder="1" applyAlignment="1">
      <alignment wrapText="1"/>
    </xf>
    <xf numFmtId="0" fontId="31" fillId="9" borderId="0" xfId="51778" applyFont="1" applyFill="1" applyAlignment="1">
      <alignment horizontal="left" vertical="center"/>
    </xf>
    <xf numFmtId="4" fontId="45" fillId="0" borderId="198" xfId="77" applyNumberFormat="1" applyBorder="1" applyAlignment="1">
      <alignment vertical="top"/>
    </xf>
    <xf numFmtId="4" fontId="71" fillId="0" borderId="198" xfId="51804" applyNumberFormat="1" applyBorder="1" applyAlignment="1">
      <alignment horizontal="left" wrapText="1"/>
    </xf>
    <xf numFmtId="4" fontId="45" fillId="0" borderId="0" xfId="77" applyNumberFormat="1" applyAlignment="1">
      <alignment vertical="top"/>
    </xf>
    <xf numFmtId="4" fontId="69" fillId="0" borderId="198" xfId="51804" applyNumberFormat="1" applyFont="1" applyBorder="1" applyAlignment="1">
      <alignment horizontal="center" wrapText="1"/>
    </xf>
    <xf numFmtId="4" fontId="47" fillId="0" borderId="198" xfId="77" applyNumberFormat="1" applyFont="1" applyBorder="1" applyAlignment="1">
      <alignment horizontal="center"/>
    </xf>
    <xf numFmtId="4" fontId="45" fillId="0" borderId="198" xfId="77" applyNumberFormat="1" applyBorder="1" applyAlignment="1">
      <alignment wrapText="1"/>
    </xf>
    <xf numFmtId="0" fontId="269" fillId="0" borderId="199" xfId="51778" applyFont="1" applyBorder="1">
      <alignment vertical="center"/>
    </xf>
    <xf numFmtId="0" fontId="269" fillId="0" borderId="200" xfId="51778" applyFont="1" applyBorder="1">
      <alignment vertical="center"/>
    </xf>
    <xf numFmtId="0" fontId="275" fillId="0" borderId="199" xfId="51778" applyFont="1" applyBorder="1" applyAlignment="1">
      <alignment horizontal="left" vertical="center"/>
    </xf>
    <xf numFmtId="0" fontId="275" fillId="0" borderId="200" xfId="51778" applyFont="1" applyBorder="1" applyAlignment="1">
      <alignment horizontal="left" vertical="center"/>
    </xf>
    <xf numFmtId="0" fontId="31" fillId="0" borderId="200" xfId="51778" applyFont="1" applyBorder="1" applyAlignment="1">
      <alignment horizontal="left" vertical="center"/>
    </xf>
    <xf numFmtId="0" fontId="275" fillId="0" borderId="200" xfId="51775" applyFont="1" applyBorder="1">
      <alignment vertical="center"/>
    </xf>
    <xf numFmtId="0" fontId="275" fillId="0" borderId="200" xfId="51775" applyFont="1" applyBorder="1" applyAlignment="1">
      <alignment horizontal="right" vertical="center"/>
    </xf>
    <xf numFmtId="44" fontId="31" fillId="0" borderId="0" xfId="51778" applyNumberFormat="1" applyFont="1" applyAlignment="1">
      <alignment horizontal="left" vertical="center"/>
    </xf>
    <xf numFmtId="0" fontId="270" fillId="0" borderId="200" xfId="51778" applyFont="1" applyBorder="1">
      <alignment vertical="center"/>
    </xf>
    <xf numFmtId="10" fontId="31" fillId="0" borderId="0" xfId="17" applyNumberFormat="1" applyFont="1" applyAlignment="1">
      <alignment horizontal="left" vertical="center"/>
    </xf>
    <xf numFmtId="44" fontId="0" fillId="0" borderId="0" xfId="0" applyNumberFormat="1"/>
    <xf numFmtId="239" fontId="31" fillId="0" borderId="0" xfId="17" applyNumberFormat="1" applyFont="1" applyAlignment="1">
      <alignment horizontal="left" vertical="center"/>
    </xf>
    <xf numFmtId="0" fontId="31" fillId="0" borderId="199" xfId="51775" applyFont="1" applyBorder="1" applyAlignment="1" applyProtection="1">
      <alignment horizontal="right" vertical="center"/>
      <protection hidden="1"/>
    </xf>
    <xf numFmtId="4" fontId="286" fillId="0" borderId="201" xfId="17" applyNumberFormat="1" applyFont="1" applyFill="1" applyBorder="1" applyAlignment="1" applyProtection="1">
      <alignment horizontal="right" vertical="center" indent="1"/>
      <protection hidden="1"/>
    </xf>
    <xf numFmtId="4" fontId="47" fillId="0" borderId="12" xfId="51774" applyNumberFormat="1" applyFont="1" applyFill="1" applyBorder="1" applyAlignment="1" applyProtection="1">
      <alignment horizontal="right" vertical="center" indent="1"/>
      <protection hidden="1"/>
    </xf>
    <xf numFmtId="4" fontId="272" fillId="40" borderId="165" xfId="51778" applyNumberFormat="1" applyFont="1" applyFill="1" applyBorder="1" applyAlignment="1">
      <alignment horizontal="center" vertical="center"/>
    </xf>
    <xf numFmtId="4" fontId="272" fillId="40" borderId="27" xfId="51778" applyNumberFormat="1" applyFont="1" applyFill="1" applyBorder="1" applyAlignment="1">
      <alignment horizontal="center" vertical="center"/>
    </xf>
    <xf numFmtId="2" fontId="272" fillId="40" borderId="27" xfId="51778" applyNumberFormat="1" applyFont="1" applyFill="1" applyBorder="1" applyAlignment="1">
      <alignment horizontal="center" vertical="center"/>
    </xf>
    <xf numFmtId="10" fontId="31" fillId="40" borderId="165" xfId="51778" applyNumberFormat="1" applyFont="1" applyFill="1" applyBorder="1" applyAlignment="1">
      <alignment horizontal="center" vertical="center"/>
    </xf>
    <xf numFmtId="2" fontId="272" fillId="40" borderId="165" xfId="51778" applyNumberFormat="1" applyFont="1" applyFill="1" applyBorder="1" applyAlignment="1">
      <alignment horizontal="center" vertical="center"/>
    </xf>
    <xf numFmtId="10" fontId="31" fillId="40" borderId="27" xfId="51778" applyNumberFormat="1" applyFont="1" applyFill="1" applyBorder="1" applyAlignment="1">
      <alignment horizontal="center" vertical="center"/>
    </xf>
    <xf numFmtId="0" fontId="274" fillId="40" borderId="27" xfId="51778" applyFont="1" applyFill="1" applyBorder="1">
      <alignment vertical="center"/>
    </xf>
    <xf numFmtId="44" fontId="0" fillId="0" borderId="0" xfId="51774" applyFont="1"/>
    <xf numFmtId="0" fontId="31" fillId="0" borderId="200" xfId="51775" applyFont="1" applyBorder="1" applyAlignment="1" applyProtection="1">
      <alignment horizontal="right" vertical="center"/>
      <protection hidden="1"/>
    </xf>
    <xf numFmtId="0" fontId="272" fillId="0" borderId="22" xfId="51775" applyFont="1" applyBorder="1" applyAlignment="1" applyProtection="1">
      <alignment horizontal="right" vertical="center"/>
      <protection hidden="1"/>
    </xf>
    <xf numFmtId="0" fontId="281" fillId="0" borderId="0" xfId="51778" applyFont="1" applyProtection="1">
      <alignment vertical="center"/>
      <protection hidden="1"/>
    </xf>
    <xf numFmtId="0" fontId="269" fillId="0" borderId="22" xfId="51778" applyFont="1" applyBorder="1" applyProtection="1">
      <alignment vertical="center"/>
      <protection hidden="1"/>
    </xf>
    <xf numFmtId="4" fontId="61" fillId="40" borderId="28" xfId="51774" applyNumberFormat="1" applyFont="1" applyFill="1" applyBorder="1" applyAlignment="1" applyProtection="1">
      <alignment horizontal="center" vertical="center"/>
      <protection hidden="1"/>
    </xf>
    <xf numFmtId="0" fontId="285" fillId="38" borderId="0" xfId="51775" applyFont="1" applyFill="1" applyAlignment="1">
      <alignment horizontal="left" vertical="center" indent="1"/>
    </xf>
    <xf numFmtId="0" fontId="285" fillId="38" borderId="0" xfId="51775" applyFont="1" applyFill="1" applyAlignment="1">
      <alignment horizontal="left" vertical="center" indent="2"/>
    </xf>
    <xf numFmtId="0" fontId="285" fillId="38" borderId="0" xfId="51775" applyFont="1" applyFill="1" applyAlignment="1">
      <alignment horizontal="left" vertical="center"/>
    </xf>
    <xf numFmtId="0" fontId="269" fillId="0" borderId="199" xfId="51778" applyFont="1" applyBorder="1" applyProtection="1">
      <alignment vertical="center"/>
      <protection hidden="1"/>
    </xf>
    <xf numFmtId="0" fontId="281" fillId="0" borderId="200" xfId="51778" applyFont="1" applyBorder="1" applyProtection="1">
      <alignment vertical="center"/>
      <protection hidden="1"/>
    </xf>
    <xf numFmtId="0" fontId="270" fillId="0" borderId="201" xfId="51778" applyFont="1" applyBorder="1" applyAlignment="1" applyProtection="1">
      <alignment horizontal="center" vertical="center"/>
      <protection hidden="1"/>
    </xf>
    <xf numFmtId="0" fontId="45" fillId="0" borderId="135" xfId="51778" applyFont="1" applyBorder="1" applyAlignment="1" applyProtection="1">
      <alignment horizontal="center" vertical="center"/>
      <protection hidden="1"/>
    </xf>
    <xf numFmtId="0" fontId="45" fillId="0" borderId="135" xfId="51778" applyFont="1" applyBorder="1" applyAlignment="1" applyProtection="1">
      <alignment horizontal="left" vertical="center"/>
      <protection hidden="1"/>
    </xf>
    <xf numFmtId="202" fontId="31" fillId="0" borderId="0" xfId="51775" applyNumberFormat="1" applyFont="1" applyAlignment="1">
      <alignment horizontal="center" vertical="center"/>
    </xf>
    <xf numFmtId="202" fontId="280" fillId="0" borderId="0" xfId="51775" applyNumberFormat="1" applyFont="1" applyAlignment="1">
      <alignment horizontal="center" vertical="center"/>
    </xf>
    <xf numFmtId="237" fontId="31" fillId="0" borderId="0" xfId="51775" applyNumberFormat="1" applyFont="1" applyAlignment="1">
      <alignment horizontal="right" vertical="center"/>
    </xf>
    <xf numFmtId="10" fontId="45" fillId="40" borderId="27" xfId="17" applyNumberFormat="1" applyFont="1" applyFill="1" applyBorder="1" applyAlignment="1" applyProtection="1">
      <alignment horizontal="center" vertical="center"/>
      <protection hidden="1"/>
    </xf>
    <xf numFmtId="10" fontId="31" fillId="40" borderId="27" xfId="17" applyNumberFormat="1" applyFont="1" applyFill="1" applyBorder="1" applyAlignment="1" applyProtection="1">
      <alignment horizontal="center" vertical="center"/>
      <protection hidden="1"/>
    </xf>
    <xf numFmtId="4" fontId="31" fillId="40" borderId="153" xfId="51782" applyNumberFormat="1" applyFont="1" applyFill="1" applyBorder="1" applyAlignment="1" applyProtection="1">
      <alignment horizontal="center" vertical="center"/>
      <protection hidden="1"/>
    </xf>
    <xf numFmtId="4" fontId="31" fillId="40" borderId="150" xfId="51782" applyNumberFormat="1" applyFont="1" applyFill="1" applyBorder="1" applyAlignment="1" applyProtection="1">
      <alignment horizontal="center" vertical="center"/>
      <protection hidden="1"/>
    </xf>
    <xf numFmtId="2" fontId="0" fillId="0" borderId="0" xfId="17" applyNumberFormat="1" applyFont="1" applyBorder="1" applyAlignment="1" applyProtection="1">
      <alignment horizontal="center" vertical="center"/>
      <protection hidden="1"/>
    </xf>
    <xf numFmtId="183" fontId="31" fillId="40" borderId="27" xfId="51778" applyNumberFormat="1" applyFont="1" applyFill="1" applyBorder="1" applyAlignment="1" applyProtection="1">
      <alignment horizontal="center" vertical="center"/>
      <protection hidden="1"/>
    </xf>
    <xf numFmtId="0" fontId="45" fillId="0" borderId="126" xfId="51777" applyFont="1" applyBorder="1" applyAlignment="1">
      <alignment horizontal="left" vertical="center" indent="2"/>
    </xf>
    <xf numFmtId="0" fontId="270" fillId="0" borderId="145" xfId="51775" applyFont="1" applyBorder="1" applyAlignment="1">
      <alignment horizontal="left" vertical="center" indent="8"/>
    </xf>
    <xf numFmtId="0" fontId="45" fillId="0" borderId="140" xfId="51781" applyFont="1" applyBorder="1" applyAlignment="1" applyProtection="1">
      <alignment vertical="center"/>
      <protection hidden="1"/>
    </xf>
    <xf numFmtId="0" fontId="45" fillId="0" borderId="137" xfId="51781" applyFont="1" applyBorder="1" applyAlignment="1" applyProtection="1">
      <alignment vertical="center"/>
      <protection hidden="1"/>
    </xf>
    <xf numFmtId="0" fontId="45" fillId="0" borderId="175" xfId="51781" applyFont="1" applyBorder="1" applyAlignment="1" applyProtection="1">
      <alignment horizontal="center" vertical="center"/>
      <protection hidden="1"/>
    </xf>
    <xf numFmtId="0" fontId="0" fillId="0" borderId="136" xfId="0" applyBorder="1"/>
    <xf numFmtId="4" fontId="47" fillId="9" borderId="152" xfId="51774" applyNumberFormat="1" applyFont="1" applyFill="1" applyBorder="1" applyAlignment="1" applyProtection="1">
      <alignment horizontal="center" vertical="center"/>
      <protection hidden="1"/>
    </xf>
    <xf numFmtId="10" fontId="45" fillId="43" borderId="27" xfId="51779" applyNumberFormat="1" applyFont="1" applyFill="1" applyBorder="1" applyAlignment="1" applyProtection="1">
      <alignment horizontal="center" vertical="center"/>
      <protection locked="0" hidden="1"/>
    </xf>
    <xf numFmtId="0" fontId="31" fillId="8" borderId="125" xfId="51775" applyFont="1" applyFill="1" applyBorder="1" applyAlignment="1" applyProtection="1">
      <alignment horizontal="right" vertical="center" indent="1"/>
      <protection hidden="1"/>
    </xf>
    <xf numFmtId="0" fontId="280" fillId="43" borderId="173" xfId="51778" applyFont="1" applyFill="1" applyBorder="1" applyAlignment="1" applyProtection="1">
      <alignment horizontal="center" vertical="center"/>
      <protection hidden="1"/>
    </xf>
    <xf numFmtId="0" fontId="274" fillId="43" borderId="198" xfId="51778" applyFont="1" applyFill="1" applyBorder="1" applyAlignment="1">
      <alignment horizontal="left" vertical="center"/>
    </xf>
    <xf numFmtId="0" fontId="272" fillId="43" borderId="198" xfId="51778" applyFont="1" applyFill="1" applyBorder="1" applyAlignment="1">
      <alignment horizontal="left" vertical="center"/>
    </xf>
    <xf numFmtId="0" fontId="272" fillId="43" borderId="202" xfId="51778" applyFont="1" applyFill="1" applyBorder="1" applyAlignment="1">
      <alignment horizontal="left" vertical="center"/>
    </xf>
    <xf numFmtId="0" fontId="272" fillId="43" borderId="155" xfId="51778" applyFont="1" applyFill="1" applyBorder="1" applyAlignment="1">
      <alignment horizontal="left" vertical="center"/>
    </xf>
    <xf numFmtId="4" fontId="272" fillId="43" borderId="165" xfId="51778" applyNumberFormat="1" applyFont="1" applyFill="1" applyBorder="1" applyAlignment="1">
      <alignment horizontal="center" vertical="center"/>
    </xf>
    <xf numFmtId="10" fontId="272" fillId="43" borderId="165" xfId="51779" applyNumberFormat="1" applyFont="1" applyFill="1" applyBorder="1" applyAlignment="1">
      <alignment horizontal="center" vertical="center"/>
    </xf>
    <xf numFmtId="4" fontId="272" fillId="43" borderId="27" xfId="51778" applyNumberFormat="1" applyFont="1" applyFill="1" applyBorder="1" applyAlignment="1">
      <alignment horizontal="center" vertical="center"/>
    </xf>
    <xf numFmtId="10" fontId="272" fillId="43" borderId="27" xfId="51779" applyNumberFormat="1" applyFont="1" applyFill="1" applyBorder="1" applyAlignment="1">
      <alignment horizontal="center" vertical="center"/>
    </xf>
    <xf numFmtId="4" fontId="287" fillId="43" borderId="27" xfId="51778" applyNumberFormat="1" applyFont="1" applyFill="1" applyBorder="1" applyAlignment="1">
      <alignment horizontal="center" vertical="center"/>
    </xf>
    <xf numFmtId="2" fontId="272" fillId="43" borderId="27" xfId="51778" applyNumberFormat="1" applyFont="1" applyFill="1" applyBorder="1" applyAlignment="1">
      <alignment horizontal="center" vertical="center"/>
    </xf>
    <xf numFmtId="0" fontId="280" fillId="43" borderId="173" xfId="51781" applyFont="1" applyFill="1" applyBorder="1" applyAlignment="1" applyProtection="1">
      <alignment horizontal="center" vertical="center"/>
      <protection hidden="1"/>
    </xf>
    <xf numFmtId="0" fontId="306" fillId="43" borderId="198" xfId="51778" applyFont="1" applyFill="1" applyBorder="1" applyAlignment="1" applyProtection="1">
      <alignment horizontal="center" vertical="center" textRotation="90"/>
      <protection hidden="1"/>
    </xf>
    <xf numFmtId="0" fontId="280" fillId="43" borderId="198" xfId="51778" applyFont="1" applyFill="1" applyBorder="1" applyAlignment="1" applyProtection="1">
      <alignment horizontal="left" vertical="center"/>
      <protection hidden="1"/>
    </xf>
    <xf numFmtId="0" fontId="280" fillId="43" borderId="198" xfId="51778" applyFont="1" applyFill="1" applyBorder="1" applyAlignment="1" applyProtection="1">
      <alignment horizontal="center" vertical="center"/>
      <protection hidden="1"/>
    </xf>
    <xf numFmtId="0" fontId="280" fillId="43" borderId="198" xfId="51778" applyFont="1" applyFill="1" applyBorder="1" applyAlignment="1" applyProtection="1">
      <alignment horizontal="center" vertical="center" wrapText="1"/>
      <protection hidden="1"/>
    </xf>
    <xf numFmtId="0" fontId="280" fillId="43" borderId="155" xfId="51778" applyFont="1" applyFill="1" applyBorder="1" applyAlignment="1" applyProtection="1">
      <alignment horizontal="center" vertical="center" wrapText="1"/>
      <protection hidden="1"/>
    </xf>
    <xf numFmtId="0" fontId="274" fillId="43" borderId="173" xfId="51778" applyFont="1" applyFill="1" applyBorder="1" applyAlignment="1">
      <alignment horizontal="center" vertical="center"/>
    </xf>
    <xf numFmtId="0" fontId="274" fillId="43" borderId="198" xfId="51775" applyFont="1" applyFill="1" applyBorder="1" applyProtection="1">
      <alignment vertical="center"/>
      <protection locked="0"/>
    </xf>
    <xf numFmtId="0" fontId="274" fillId="43" borderId="155" xfId="51775" applyFont="1" applyFill="1" applyBorder="1" applyProtection="1">
      <alignment vertical="center"/>
      <protection locked="0"/>
    </xf>
    <xf numFmtId="0" fontId="284" fillId="43" borderId="144" xfId="51778" applyFont="1" applyFill="1" applyBorder="1">
      <alignment vertical="center"/>
    </xf>
    <xf numFmtId="0" fontId="284" fillId="43" borderId="145" xfId="51778" applyFont="1" applyFill="1" applyBorder="1">
      <alignment vertical="center"/>
    </xf>
    <xf numFmtId="0" fontId="293" fillId="43" borderId="145" xfId="51778" applyFont="1" applyFill="1" applyBorder="1" applyProtection="1">
      <alignment vertical="center"/>
      <protection hidden="1"/>
    </xf>
    <xf numFmtId="0" fontId="293" fillId="43" borderId="148" xfId="51778" applyFont="1" applyFill="1" applyBorder="1" applyAlignment="1" applyProtection="1">
      <alignment horizontal="center" vertical="center" wrapText="1"/>
      <protection hidden="1"/>
    </xf>
    <xf numFmtId="0" fontId="293" fillId="43" borderId="146" xfId="51778" applyFont="1" applyFill="1" applyBorder="1" applyAlignment="1" applyProtection="1">
      <alignment horizontal="center" vertical="center" wrapText="1"/>
      <protection hidden="1"/>
    </xf>
    <xf numFmtId="0" fontId="293" fillId="43" borderId="21" xfId="51778" applyFont="1" applyFill="1" applyBorder="1" applyAlignment="1">
      <alignment horizontal="left" vertical="center" indent="3"/>
    </xf>
    <xf numFmtId="0" fontId="284" fillId="43" borderId="22" xfId="51778" applyFont="1" applyFill="1" applyBorder="1">
      <alignment vertical="center"/>
    </xf>
    <xf numFmtId="0" fontId="293" fillId="43" borderId="22" xfId="51778" applyFont="1" applyFill="1" applyBorder="1" applyAlignment="1" applyProtection="1">
      <alignment horizontal="left" vertical="center"/>
      <protection hidden="1"/>
    </xf>
    <xf numFmtId="0" fontId="293" fillId="43" borderId="22" xfId="51778" applyFont="1" applyFill="1" applyBorder="1" applyProtection="1">
      <alignment vertical="center"/>
      <protection hidden="1"/>
    </xf>
    <xf numFmtId="0" fontId="288" fillId="43" borderId="21" xfId="51778" applyFont="1" applyFill="1" applyBorder="1" applyAlignment="1" applyProtection="1">
      <alignment horizontal="center" vertical="center" wrapText="1"/>
      <protection hidden="1"/>
    </xf>
    <xf numFmtId="0" fontId="288" fillId="43" borderId="22" xfId="51778" applyFont="1" applyFill="1" applyBorder="1" applyAlignment="1" applyProtection="1">
      <alignment horizontal="center" vertical="center" wrapText="1"/>
      <protection hidden="1"/>
    </xf>
    <xf numFmtId="0" fontId="288" fillId="43" borderId="12" xfId="51778" applyFont="1" applyFill="1" applyBorder="1" applyAlignment="1" applyProtection="1">
      <alignment horizontal="center" vertical="center"/>
      <protection hidden="1"/>
    </xf>
    <xf numFmtId="0" fontId="288" fillId="43" borderId="21" xfId="51778" applyFont="1" applyFill="1" applyBorder="1" applyAlignment="1" applyProtection="1">
      <alignment horizontal="center" vertical="center"/>
      <protection hidden="1"/>
    </xf>
    <xf numFmtId="0" fontId="288" fillId="43" borderId="22" xfId="51778" applyFont="1" applyFill="1" applyBorder="1" applyAlignment="1" applyProtection="1">
      <alignment horizontal="center" vertical="center"/>
      <protection hidden="1"/>
    </xf>
    <xf numFmtId="0" fontId="288" fillId="43" borderId="12" xfId="51778" applyFont="1" applyFill="1" applyBorder="1" applyAlignment="1" applyProtection="1">
      <alignment horizontal="center" vertical="center" wrapText="1"/>
      <protection hidden="1"/>
    </xf>
    <xf numFmtId="0" fontId="288" fillId="43" borderId="7" xfId="51778" applyFont="1" applyFill="1" applyBorder="1" applyAlignment="1" applyProtection="1">
      <alignment horizontal="center" vertical="center" wrapText="1"/>
      <protection hidden="1"/>
    </xf>
    <xf numFmtId="0" fontId="47" fillId="43" borderId="199" xfId="77" applyFont="1" applyFill="1" applyBorder="1" applyAlignment="1">
      <alignment vertical="center"/>
    </xf>
    <xf numFmtId="0" fontId="47" fillId="43" borderId="200" xfId="77" applyFont="1" applyFill="1" applyBorder="1" applyAlignment="1">
      <alignment vertical="center"/>
    </xf>
    <xf numFmtId="0" fontId="280" fillId="43" borderId="200" xfId="51778" applyFont="1" applyFill="1" applyBorder="1" applyAlignment="1" applyProtection="1">
      <alignment horizontal="center" vertical="center"/>
      <protection hidden="1"/>
    </xf>
    <xf numFmtId="0" fontId="280" fillId="43" borderId="201" xfId="51778" applyFont="1" applyFill="1" applyBorder="1" applyAlignment="1" applyProtection="1">
      <alignment horizontal="center" vertical="center"/>
      <protection hidden="1"/>
    </xf>
    <xf numFmtId="0" fontId="31" fillId="43" borderId="21" xfId="51775" applyFont="1" applyFill="1" applyBorder="1" applyAlignment="1">
      <alignment horizontal="right" vertical="center" indent="1"/>
    </xf>
    <xf numFmtId="4" fontId="31" fillId="43" borderId="22" xfId="51775" applyNumberFormat="1" applyFont="1" applyFill="1" applyBorder="1" applyAlignment="1">
      <alignment horizontal="left" vertical="center"/>
    </xf>
    <xf numFmtId="43" fontId="45" fillId="43" borderId="22" xfId="23" applyNumberFormat="1" applyFont="1" applyFill="1" applyBorder="1" applyAlignment="1">
      <alignment horizontal="left" vertical="top"/>
    </xf>
    <xf numFmtId="0" fontId="31" fillId="43" borderId="22" xfId="51778" applyFont="1" applyFill="1" applyBorder="1" applyAlignment="1">
      <alignment horizontal="right" vertical="center"/>
    </xf>
    <xf numFmtId="43" fontId="45" fillId="43" borderId="12" xfId="23" applyNumberFormat="1" applyFont="1" applyFill="1" applyBorder="1" applyAlignment="1">
      <alignment horizontal="center" vertical="center"/>
    </xf>
    <xf numFmtId="0" fontId="269" fillId="0" borderId="126" xfId="51778" applyFont="1" applyBorder="1">
      <alignment vertical="center"/>
    </xf>
    <xf numFmtId="0" fontId="269" fillId="0" borderId="148" xfId="51778" applyFont="1" applyBorder="1">
      <alignment vertical="center"/>
    </xf>
    <xf numFmtId="0" fontId="313" fillId="0" borderId="144" xfId="51778" applyFont="1" applyBorder="1" applyAlignment="1">
      <alignment horizontal="left" vertical="center"/>
    </xf>
    <xf numFmtId="10" fontId="45" fillId="0" borderId="146" xfId="51776" applyNumberFormat="1" applyBorder="1" applyAlignment="1">
      <alignment horizontal="center" vertical="center"/>
    </xf>
    <xf numFmtId="0" fontId="31" fillId="0" borderId="0" xfId="51778" applyFont="1" applyAlignment="1">
      <alignment horizontal="left" vertical="top"/>
    </xf>
    <xf numFmtId="0" fontId="269" fillId="0" borderId="13" xfId="51778" applyFont="1" applyBorder="1">
      <alignment vertical="center"/>
    </xf>
    <xf numFmtId="0" fontId="313" fillId="0" borderId="125" xfId="51778" applyFont="1" applyBorder="1" applyAlignment="1" applyProtection="1">
      <alignment horizontal="left" vertical="center"/>
      <protection hidden="1"/>
    </xf>
    <xf numFmtId="10" fontId="45" fillId="0" borderId="126" xfId="51776" applyNumberFormat="1" applyBorder="1" applyAlignment="1">
      <alignment horizontal="center" vertical="center"/>
    </xf>
    <xf numFmtId="0" fontId="269" fillId="0" borderId="7" xfId="51778" applyFont="1" applyBorder="1">
      <alignment vertical="center"/>
    </xf>
    <xf numFmtId="0" fontId="313" fillId="0" borderId="21" xfId="51778" applyFont="1" applyBorder="1" applyAlignment="1">
      <alignment horizontal="left" vertical="center"/>
    </xf>
    <xf numFmtId="10" fontId="31" fillId="0" borderId="12" xfId="51778" applyNumberFormat="1" applyFont="1" applyBorder="1" applyAlignment="1">
      <alignment horizontal="center" vertical="center"/>
    </xf>
    <xf numFmtId="0" fontId="269" fillId="0" borderId="0" xfId="51778" applyFont="1" applyAlignment="1">
      <alignment horizontal="center" vertical="center"/>
    </xf>
    <xf numFmtId="0" fontId="47" fillId="0" borderId="0" xfId="51778" applyFont="1" applyAlignment="1">
      <alignment horizontal="center" vertical="center"/>
    </xf>
    <xf numFmtId="17" fontId="268" fillId="0" borderId="0" xfId="51778" applyNumberFormat="1" applyAlignment="1">
      <alignment horizontal="center" vertical="center"/>
    </xf>
    <xf numFmtId="0" fontId="272" fillId="38" borderId="0" xfId="51775" applyFont="1" applyFill="1">
      <alignment vertical="center"/>
    </xf>
    <xf numFmtId="0" fontId="272" fillId="0" borderId="132" xfId="51778" applyFont="1" applyBorder="1" applyAlignment="1">
      <alignment horizontal="center" vertical="top"/>
    </xf>
    <xf numFmtId="0" fontId="272" fillId="0" borderId="135" xfId="51778" applyFont="1" applyBorder="1">
      <alignment vertical="center"/>
    </xf>
    <xf numFmtId="0" fontId="286" fillId="0" borderId="135" xfId="51778" applyFont="1" applyBorder="1" applyAlignment="1">
      <alignment horizontal="left" vertical="top"/>
    </xf>
    <xf numFmtId="10" fontId="272" fillId="0" borderId="133" xfId="51779" applyNumberFormat="1" applyFont="1" applyBorder="1" applyAlignment="1">
      <alignment horizontal="center" vertical="top"/>
    </xf>
    <xf numFmtId="10" fontId="280" fillId="39" borderId="133" xfId="51779" applyNumberFormat="1" applyFont="1" applyFill="1" applyBorder="1" applyAlignment="1" applyProtection="1">
      <alignment horizontal="center" vertical="center"/>
      <protection hidden="1"/>
    </xf>
    <xf numFmtId="0" fontId="272" fillId="0" borderId="143" xfId="51778" applyFont="1" applyBorder="1" applyAlignment="1">
      <alignment horizontal="center" vertical="top"/>
    </xf>
    <xf numFmtId="0" fontId="272" fillId="0" borderId="142" xfId="51778" applyFont="1" applyBorder="1">
      <alignment vertical="center"/>
    </xf>
    <xf numFmtId="0" fontId="286" fillId="0" borderId="142" xfId="51778" applyFont="1" applyBorder="1" applyAlignment="1">
      <alignment horizontal="left" vertical="top"/>
    </xf>
    <xf numFmtId="10" fontId="280" fillId="39" borderId="141" xfId="51779" applyNumberFormat="1" applyFont="1" applyFill="1" applyBorder="1" applyAlignment="1" applyProtection="1">
      <alignment horizontal="center" vertical="center"/>
      <protection hidden="1"/>
    </xf>
    <xf numFmtId="10" fontId="280" fillId="39" borderId="205" xfId="51779" applyNumberFormat="1" applyFont="1" applyFill="1" applyBorder="1" applyAlignment="1" applyProtection="1">
      <alignment horizontal="center" vertical="center"/>
      <protection hidden="1"/>
    </xf>
    <xf numFmtId="0" fontId="286" fillId="0" borderId="0" xfId="51778" applyFont="1" applyAlignment="1">
      <alignment horizontal="left" vertical="top"/>
    </xf>
    <xf numFmtId="2" fontId="31" fillId="0" borderId="0" xfId="51778" applyNumberFormat="1" applyFont="1" applyAlignment="1">
      <alignment horizontal="left" vertical="top"/>
    </xf>
    <xf numFmtId="0" fontId="31" fillId="0" borderId="0" xfId="51778" applyFont="1" applyAlignment="1">
      <alignment horizontal="center" vertical="top"/>
    </xf>
    <xf numFmtId="0" fontId="45" fillId="0" borderId="0" xfId="51778" applyFont="1" applyAlignment="1">
      <alignment horizontal="left" vertical="top"/>
    </xf>
    <xf numFmtId="0" fontId="45" fillId="0" borderId="0" xfId="51798" applyFont="1" applyAlignment="1">
      <alignment horizontal="left" vertical="center"/>
    </xf>
    <xf numFmtId="10" fontId="45" fillId="0" borderId="0" xfId="17" applyNumberFormat="1" applyFont="1" applyAlignment="1">
      <alignment horizontal="center" vertical="center"/>
    </xf>
    <xf numFmtId="0" fontId="45" fillId="0" borderId="0" xfId="51798" applyFont="1" applyAlignment="1">
      <alignment horizontal="center" vertical="center"/>
    </xf>
    <xf numFmtId="0" fontId="45" fillId="0" borderId="0" xfId="51778" applyFont="1" applyAlignment="1">
      <alignment horizontal="center" vertical="top"/>
    </xf>
    <xf numFmtId="0" fontId="47" fillId="0" borderId="0" xfId="51778" applyFont="1" applyAlignment="1">
      <alignment horizontal="left" vertical="top"/>
    </xf>
    <xf numFmtId="10" fontId="45" fillId="0" borderId="0" xfId="17" applyNumberFormat="1" applyFont="1" applyAlignment="1">
      <alignment horizontal="left" vertical="center"/>
    </xf>
    <xf numFmtId="0" fontId="45" fillId="0" borderId="0" xfId="51798" applyFont="1" applyAlignment="1">
      <alignment vertical="top"/>
    </xf>
    <xf numFmtId="0" fontId="274" fillId="43" borderId="203" xfId="51778" applyFont="1" applyFill="1" applyBorder="1" applyAlignment="1">
      <alignment horizontal="center" vertical="top"/>
    </xf>
    <xf numFmtId="0" fontId="274" fillId="43" borderId="154" xfId="51778" applyFont="1" applyFill="1" applyBorder="1" applyProtection="1">
      <alignment vertical="center"/>
      <protection locked="0"/>
    </xf>
    <xf numFmtId="0" fontId="307" fillId="43" borderId="154" xfId="51778" applyFont="1" applyFill="1" applyBorder="1" applyProtection="1">
      <alignment vertical="center"/>
      <protection locked="0"/>
    </xf>
    <xf numFmtId="2" fontId="31" fillId="43" borderId="170" xfId="51778" applyNumberFormat="1" applyFont="1" applyFill="1" applyBorder="1" applyAlignment="1">
      <alignment horizontal="left" vertical="top"/>
    </xf>
    <xf numFmtId="0" fontId="274" fillId="43" borderId="132" xfId="51778" applyFont="1" applyFill="1" applyBorder="1" applyAlignment="1">
      <alignment horizontal="center" vertical="top"/>
    </xf>
    <xf numFmtId="0" fontId="274" fillId="43" borderId="135" xfId="51778" applyFont="1" applyFill="1" applyBorder="1" applyProtection="1">
      <alignment vertical="center"/>
      <protection locked="0"/>
    </xf>
    <xf numFmtId="0" fontId="307" fillId="43" borderId="135" xfId="51778" applyFont="1" applyFill="1" applyBorder="1" applyProtection="1">
      <alignment vertical="center"/>
      <protection locked="0"/>
    </xf>
    <xf numFmtId="10" fontId="31" fillId="43" borderId="133" xfId="51779" applyNumberFormat="1" applyFont="1" applyFill="1" applyBorder="1" applyAlignment="1">
      <alignment horizontal="left" vertical="top"/>
    </xf>
    <xf numFmtId="0" fontId="274" fillId="43" borderId="135" xfId="51778" applyFont="1" applyFill="1" applyBorder="1">
      <alignment vertical="center"/>
    </xf>
    <xf numFmtId="0" fontId="286" fillId="43" borderId="135" xfId="51778" applyFont="1" applyFill="1" applyBorder="1" applyAlignment="1">
      <alignment vertical="top"/>
    </xf>
    <xf numFmtId="0" fontId="272" fillId="43" borderId="204" xfId="51778" applyFont="1" applyFill="1" applyBorder="1" applyAlignment="1">
      <alignment horizontal="center" vertical="center"/>
    </xf>
    <xf numFmtId="0" fontId="286" fillId="43" borderId="198" xfId="51778" applyFont="1" applyFill="1" applyBorder="1" applyAlignment="1">
      <alignment horizontal="left" vertical="center"/>
    </xf>
    <xf numFmtId="0" fontId="272" fillId="43" borderId="154" xfId="51778" applyFont="1" applyFill="1" applyBorder="1" applyProtection="1">
      <alignment vertical="center"/>
      <protection locked="0"/>
    </xf>
    <xf numFmtId="0" fontId="272" fillId="43" borderId="154" xfId="51778" applyFont="1" applyFill="1" applyBorder="1" applyAlignment="1" applyProtection="1">
      <alignment horizontal="center" vertical="center"/>
      <protection locked="0"/>
    </xf>
    <xf numFmtId="0" fontId="272" fillId="0" borderId="135" xfId="51778" applyFont="1" applyBorder="1" applyAlignment="1" applyProtection="1">
      <alignment horizontal="center" vertical="center"/>
      <protection locked="0"/>
    </xf>
    <xf numFmtId="0" fontId="272" fillId="0" borderId="135" xfId="51778" applyFont="1" applyBorder="1" applyProtection="1">
      <alignment vertical="center"/>
      <protection locked="0"/>
    </xf>
    <xf numFmtId="9" fontId="45" fillId="0" borderId="135" xfId="51798" applyNumberFormat="1" applyFont="1" applyFill="1" applyBorder="1" applyAlignment="1">
      <alignment horizontal="center" vertical="center"/>
    </xf>
    <xf numFmtId="10" fontId="45" fillId="0" borderId="135" xfId="51798" applyNumberFormat="1" applyFont="1" applyFill="1" applyBorder="1" applyAlignment="1">
      <alignment horizontal="center" vertical="center"/>
    </xf>
    <xf numFmtId="0" fontId="45" fillId="0" borderId="135" xfId="51798" applyFont="1" applyFill="1" applyBorder="1" applyAlignment="1">
      <alignment horizontal="left" vertical="center"/>
    </xf>
    <xf numFmtId="0" fontId="45" fillId="0" borderId="135" xfId="51778" applyFont="1" applyBorder="1" applyAlignment="1">
      <alignment horizontal="left" vertical="top"/>
    </xf>
    <xf numFmtId="0" fontId="45" fillId="0" borderId="135" xfId="51798" applyFont="1" applyFill="1" applyBorder="1" applyAlignment="1">
      <alignment vertical="top"/>
    </xf>
    <xf numFmtId="0" fontId="272" fillId="0" borderId="135" xfId="51778" applyFont="1" applyBorder="1" applyAlignment="1" applyProtection="1">
      <alignment horizontal="left" vertical="center"/>
      <protection locked="0"/>
    </xf>
    <xf numFmtId="0" fontId="59" fillId="43" borderId="140" xfId="51778" applyFont="1" applyFill="1" applyBorder="1" applyAlignment="1">
      <alignment horizontal="left" vertical="top"/>
    </xf>
    <xf numFmtId="0" fontId="45" fillId="43" borderId="140" xfId="51778" applyFont="1" applyFill="1" applyBorder="1" applyAlignment="1">
      <alignment horizontal="left" vertical="top"/>
    </xf>
    <xf numFmtId="9" fontId="45" fillId="0" borderId="135" xfId="51798" applyNumberFormat="1" applyFont="1" applyFill="1" applyBorder="1" applyAlignment="1">
      <alignment horizontal="left" vertical="center"/>
    </xf>
    <xf numFmtId="0" fontId="48" fillId="0" borderId="0" xfId="51778" applyFont="1" applyAlignment="1">
      <alignment horizontal="left" vertical="center"/>
    </xf>
    <xf numFmtId="0" fontId="48" fillId="0" borderId="0" xfId="51778" applyFont="1" applyAlignment="1">
      <alignment horizontal="left" vertical="top"/>
    </xf>
    <xf numFmtId="10" fontId="45" fillId="0" borderId="135" xfId="51778" applyNumberFormat="1" applyFont="1" applyBorder="1" applyAlignment="1">
      <alignment horizontal="center" vertical="top"/>
    </xf>
    <xf numFmtId="0" fontId="314" fillId="0" borderId="135" xfId="51778" applyFont="1" applyBorder="1" applyAlignment="1">
      <alignment horizontal="center" vertical="top"/>
    </xf>
    <xf numFmtId="10" fontId="45" fillId="0" borderId="135" xfId="51778" applyNumberFormat="1" applyFont="1" applyBorder="1" applyAlignment="1">
      <alignment horizontal="center" vertical="center"/>
    </xf>
    <xf numFmtId="0" fontId="45" fillId="0" borderId="0" xfId="51778" applyFont="1" applyAlignment="1">
      <alignment horizontal="right" vertical="center"/>
    </xf>
    <xf numFmtId="10" fontId="272" fillId="0" borderId="133" xfId="51779" applyNumberFormat="1" applyFont="1" applyFill="1" applyBorder="1" applyAlignment="1">
      <alignment horizontal="center" vertical="top"/>
    </xf>
    <xf numFmtId="0" fontId="31" fillId="0" borderId="203" xfId="51778" applyFont="1" applyBorder="1" applyAlignment="1">
      <alignment horizontal="right" vertical="center"/>
    </xf>
    <xf numFmtId="0" fontId="45" fillId="0" borderId="154" xfId="51781" applyFont="1" applyBorder="1" applyAlignment="1" applyProtection="1">
      <alignment horizontal="center" vertical="center"/>
      <protection hidden="1"/>
    </xf>
    <xf numFmtId="0" fontId="272" fillId="0" borderId="154" xfId="51778" applyFont="1" applyBorder="1" applyAlignment="1">
      <alignment horizontal="left" vertical="center"/>
    </xf>
    <xf numFmtId="2" fontId="61" fillId="0" borderId="154" xfId="51778" applyNumberFormat="1" applyFont="1" applyBorder="1" applyAlignment="1">
      <alignment horizontal="center" vertical="center"/>
    </xf>
    <xf numFmtId="240" fontId="272" fillId="0" borderId="170" xfId="51778" applyNumberFormat="1" applyFont="1" applyBorder="1" applyAlignment="1">
      <alignment horizontal="center" vertical="center"/>
    </xf>
    <xf numFmtId="0" fontId="31" fillId="0" borderId="132" xfId="51778" applyFont="1" applyBorder="1" applyAlignment="1">
      <alignment horizontal="right" vertical="center"/>
    </xf>
    <xf numFmtId="0" fontId="45" fillId="0" borderId="135" xfId="51781" applyFont="1" applyBorder="1" applyAlignment="1" applyProtection="1">
      <alignment horizontal="center" vertical="center"/>
      <protection hidden="1"/>
    </xf>
    <xf numFmtId="0" fontId="272" fillId="0" borderId="135" xfId="51778" applyFont="1" applyBorder="1" applyAlignment="1">
      <alignment horizontal="left" vertical="center"/>
    </xf>
    <xf numFmtId="2" fontId="272" fillId="0" borderId="135" xfId="51778" applyNumberFormat="1" applyFont="1" applyBorder="1" applyAlignment="1">
      <alignment horizontal="center" vertical="center"/>
    </xf>
    <xf numFmtId="240" fontId="272" fillId="0" borderId="133" xfId="51778" applyNumberFormat="1" applyFont="1" applyBorder="1" applyAlignment="1">
      <alignment horizontal="center" vertical="center"/>
    </xf>
    <xf numFmtId="0" fontId="31" fillId="0" borderId="135" xfId="51778" applyFont="1" applyBorder="1" applyAlignment="1">
      <alignment horizontal="left" vertical="center"/>
    </xf>
    <xf numFmtId="0" fontId="31" fillId="0" borderId="143" xfId="51778" applyFont="1" applyBorder="1" applyAlignment="1">
      <alignment horizontal="right" vertical="center"/>
    </xf>
    <xf numFmtId="0" fontId="45" fillId="0" borderId="142" xfId="51781" applyFont="1" applyBorder="1" applyAlignment="1" applyProtection="1">
      <alignment horizontal="center" vertical="center"/>
      <protection hidden="1"/>
    </xf>
    <xf numFmtId="0" fontId="274" fillId="0" borderId="142" xfId="51778" applyFont="1" applyBorder="1">
      <alignment vertical="center"/>
    </xf>
    <xf numFmtId="0" fontId="274" fillId="0" borderId="135" xfId="51778" applyFont="1" applyBorder="1">
      <alignment vertical="center"/>
    </xf>
    <xf numFmtId="44" fontId="280" fillId="0" borderId="133" xfId="51782" applyFont="1" applyFill="1" applyBorder="1" applyAlignment="1" applyProtection="1">
      <alignment horizontal="center" vertical="center"/>
      <protection hidden="1"/>
    </xf>
    <xf numFmtId="10" fontId="31" fillId="0" borderId="154" xfId="51778" applyNumberFormat="1" applyFont="1" applyBorder="1" applyAlignment="1">
      <alignment horizontal="center" vertical="center"/>
    </xf>
    <xf numFmtId="2" fontId="272" fillId="0" borderId="154" xfId="51778" applyNumberFormat="1" applyFont="1" applyBorder="1" applyAlignment="1">
      <alignment horizontal="center" vertical="center"/>
    </xf>
    <xf numFmtId="10" fontId="31" fillId="0" borderId="135" xfId="51778" applyNumberFormat="1" applyFont="1" applyBorder="1" applyAlignment="1">
      <alignment horizontal="center" vertical="center"/>
    </xf>
    <xf numFmtId="240" fontId="274" fillId="0" borderId="133" xfId="51778" applyNumberFormat="1" applyFont="1" applyBorder="1" applyAlignment="1">
      <alignment horizontal="center" vertical="center"/>
    </xf>
    <xf numFmtId="0" fontId="61" fillId="0" borderId="135" xfId="51778" applyFont="1" applyBorder="1">
      <alignment vertical="center"/>
    </xf>
    <xf numFmtId="10" fontId="61" fillId="0" borderId="133" xfId="51779" applyNumberFormat="1" applyFont="1" applyFill="1" applyBorder="1" applyAlignment="1">
      <alignment horizontal="center" vertical="center"/>
    </xf>
    <xf numFmtId="44" fontId="280" fillId="39" borderId="141" xfId="51782" applyFont="1" applyFill="1" applyBorder="1" applyAlignment="1" applyProtection="1">
      <alignment horizontal="center" vertical="center"/>
      <protection hidden="1"/>
    </xf>
    <xf numFmtId="0" fontId="315" fillId="0" borderId="135" xfId="51778" applyFont="1" applyBorder="1" applyAlignment="1">
      <alignment horizontal="center" vertical="center"/>
    </xf>
    <xf numFmtId="0" fontId="31" fillId="40" borderId="154" xfId="51778" applyFont="1" applyFill="1" applyBorder="1" applyAlignment="1" applyProtection="1">
      <alignment horizontal="center" vertical="center" wrapText="1"/>
      <protection hidden="1"/>
    </xf>
    <xf numFmtId="0" fontId="280" fillId="38" borderId="159" xfId="51778" applyFont="1" applyFill="1" applyBorder="1" applyAlignment="1" applyProtection="1">
      <alignment horizontal="left" vertical="center"/>
      <protection hidden="1"/>
    </xf>
    <xf numFmtId="0" fontId="280" fillId="38" borderId="135" xfId="51778" applyFont="1" applyFill="1" applyBorder="1" applyAlignment="1" applyProtection="1">
      <alignment horizontal="left" vertical="center"/>
      <protection hidden="1"/>
    </xf>
    <xf numFmtId="0" fontId="280" fillId="38" borderId="135" xfId="51778" applyFont="1" applyFill="1" applyBorder="1" applyAlignment="1" applyProtection="1">
      <alignment horizontal="center" vertical="center"/>
      <protection hidden="1"/>
    </xf>
    <xf numFmtId="0" fontId="275" fillId="38" borderId="135" xfId="51778" applyFont="1" applyFill="1" applyBorder="1" applyAlignment="1" applyProtection="1">
      <alignment horizontal="center" vertical="center" wrapText="1"/>
      <protection hidden="1"/>
    </xf>
    <xf numFmtId="4" fontId="47" fillId="38" borderId="133" xfId="51774" applyNumberFormat="1" applyFont="1" applyFill="1" applyBorder="1" applyAlignment="1" applyProtection="1">
      <alignment horizontal="center" vertical="center"/>
      <protection hidden="1"/>
    </xf>
    <xf numFmtId="0" fontId="274" fillId="44" borderId="147" xfId="51775" applyFont="1" applyFill="1" applyBorder="1" applyProtection="1">
      <alignment vertical="center"/>
      <protection hidden="1"/>
    </xf>
    <xf numFmtId="0" fontId="280" fillId="44" borderId="167" xfId="51778" applyFont="1" applyFill="1" applyBorder="1" applyAlignment="1" applyProtection="1">
      <alignment horizontal="left" vertical="center"/>
      <protection hidden="1"/>
    </xf>
    <xf numFmtId="0" fontId="280" fillId="44" borderId="139" xfId="51778" applyFont="1" applyFill="1" applyBorder="1" applyAlignment="1" applyProtection="1">
      <alignment horizontal="left" vertical="center"/>
      <protection hidden="1"/>
    </xf>
    <xf numFmtId="0" fontId="280" fillId="44" borderId="139" xfId="51778" applyFont="1" applyFill="1" applyBorder="1" applyAlignment="1" applyProtection="1">
      <alignment horizontal="center" vertical="center"/>
      <protection hidden="1"/>
    </xf>
    <xf numFmtId="0" fontId="275" fillId="44" borderId="139" xfId="51778" applyFont="1" applyFill="1" applyBorder="1" applyAlignment="1" applyProtection="1">
      <alignment horizontal="center" vertical="center" wrapText="1"/>
      <protection hidden="1"/>
    </xf>
    <xf numFmtId="0" fontId="31" fillId="44" borderId="154" xfId="51778" applyFont="1" applyFill="1" applyBorder="1" applyAlignment="1" applyProtection="1">
      <alignment horizontal="center" vertical="center" wrapText="1"/>
      <protection hidden="1"/>
    </xf>
    <xf numFmtId="0" fontId="275" fillId="44" borderId="139" xfId="51778" applyFont="1" applyFill="1" applyBorder="1" applyAlignment="1" applyProtection="1">
      <alignment horizontal="center" vertical="center"/>
      <protection hidden="1"/>
    </xf>
    <xf numFmtId="4" fontId="47" fillId="44" borderId="170" xfId="51774" applyNumberFormat="1" applyFont="1" applyFill="1" applyBorder="1" applyAlignment="1" applyProtection="1">
      <alignment horizontal="center" vertical="center"/>
      <protection hidden="1"/>
    </xf>
    <xf numFmtId="0" fontId="31" fillId="40" borderId="172" xfId="51781" applyFont="1" applyFill="1" applyBorder="1" applyAlignment="1" applyProtection="1">
      <alignment horizontal="center" vertical="center"/>
      <protection hidden="1"/>
    </xf>
    <xf numFmtId="0" fontId="280" fillId="40" borderId="0" xfId="51778" applyFont="1" applyFill="1" applyAlignment="1" applyProtection="1">
      <alignment horizontal="left" vertical="center"/>
      <protection hidden="1"/>
    </xf>
    <xf numFmtId="0" fontId="275" fillId="40" borderId="0" xfId="51778" applyFont="1" applyFill="1" applyAlignment="1" applyProtection="1">
      <alignment horizontal="center" vertical="center"/>
      <protection hidden="1"/>
    </xf>
    <xf numFmtId="0" fontId="275" fillId="40" borderId="135" xfId="51778" applyFont="1" applyFill="1" applyBorder="1" applyAlignment="1" applyProtection="1">
      <alignment horizontal="center" vertical="center" wrapText="1"/>
      <protection hidden="1"/>
    </xf>
    <xf numFmtId="0" fontId="275" fillId="40" borderId="135" xfId="51778" applyFont="1" applyFill="1" applyBorder="1" applyAlignment="1" applyProtection="1">
      <alignment horizontal="center" vertical="center"/>
      <protection hidden="1"/>
    </xf>
    <xf numFmtId="4" fontId="47" fillId="40" borderId="133" xfId="51774" applyNumberFormat="1" applyFont="1" applyFill="1" applyBorder="1" applyAlignment="1" applyProtection="1">
      <alignment horizontal="center" vertical="center"/>
      <protection hidden="1"/>
    </xf>
    <xf numFmtId="0" fontId="280" fillId="40" borderId="0" xfId="51778" applyFont="1" applyFill="1" applyProtection="1">
      <alignment vertical="center"/>
      <protection hidden="1"/>
    </xf>
    <xf numFmtId="0" fontId="280" fillId="40" borderId="159" xfId="51778" applyFont="1" applyFill="1" applyBorder="1" applyAlignment="1" applyProtection="1">
      <alignment horizontal="left" vertical="center"/>
      <protection hidden="1"/>
    </xf>
    <xf numFmtId="0" fontId="280" fillId="40" borderId="135" xfId="51778" applyFont="1" applyFill="1" applyBorder="1" applyAlignment="1" applyProtection="1">
      <alignment horizontal="left" vertical="center"/>
      <protection hidden="1"/>
    </xf>
    <xf numFmtId="0" fontId="280" fillId="40" borderId="135" xfId="51778" applyFont="1" applyFill="1" applyBorder="1" applyAlignment="1" applyProtection="1">
      <alignment horizontal="center" vertical="center"/>
      <protection hidden="1"/>
    </xf>
    <xf numFmtId="0" fontId="31" fillId="40" borderId="164" xfId="51781" applyFont="1" applyFill="1" applyBorder="1" applyAlignment="1" applyProtection="1">
      <alignment horizontal="center" vertical="center"/>
      <protection hidden="1"/>
    </xf>
    <xf numFmtId="0" fontId="280" fillId="40" borderId="139" xfId="51778" applyFont="1" applyFill="1" applyBorder="1" applyAlignment="1" applyProtection="1">
      <alignment horizontal="left" vertical="center"/>
      <protection hidden="1"/>
    </xf>
    <xf numFmtId="0" fontId="280" fillId="40" borderId="154" xfId="51778" applyFont="1" applyFill="1" applyBorder="1" applyAlignment="1" applyProtection="1">
      <alignment horizontal="left" vertical="center"/>
      <protection hidden="1"/>
    </xf>
    <xf numFmtId="0" fontId="280" fillId="40" borderId="154" xfId="51778" applyFont="1" applyFill="1" applyBorder="1" applyAlignment="1" applyProtection="1">
      <alignment horizontal="center" vertical="center"/>
      <protection hidden="1"/>
    </xf>
    <xf numFmtId="4" fontId="47" fillId="40" borderId="170" xfId="51774" applyNumberFormat="1" applyFont="1" applyFill="1" applyBorder="1" applyAlignment="1" applyProtection="1">
      <alignment horizontal="center" vertical="center"/>
      <protection hidden="1"/>
    </xf>
    <xf numFmtId="0" fontId="31" fillId="40" borderId="26" xfId="51781" applyFont="1" applyFill="1" applyBorder="1" applyAlignment="1" applyProtection="1">
      <alignment horizontal="center" vertical="center"/>
      <protection hidden="1"/>
    </xf>
    <xf numFmtId="0" fontId="280" fillId="40" borderId="135" xfId="51778" applyFont="1" applyFill="1" applyBorder="1" applyProtection="1">
      <alignment vertical="center"/>
      <protection hidden="1"/>
    </xf>
    <xf numFmtId="0" fontId="31" fillId="40" borderId="135" xfId="51778" applyFont="1" applyFill="1" applyBorder="1" applyAlignment="1" applyProtection="1">
      <alignment horizontal="center" vertical="center" wrapText="1"/>
      <protection hidden="1"/>
    </xf>
    <xf numFmtId="0" fontId="31" fillId="40" borderId="164" xfId="51778" applyFont="1" applyFill="1" applyBorder="1" applyAlignment="1" applyProtection="1">
      <alignment horizontal="center" vertical="center"/>
      <protection hidden="1"/>
    </xf>
    <xf numFmtId="0" fontId="288" fillId="40" borderId="135" xfId="51778" applyFont="1" applyFill="1" applyBorder="1" applyAlignment="1" applyProtection="1">
      <alignment horizontal="center" vertical="center" wrapText="1"/>
      <protection hidden="1"/>
    </xf>
    <xf numFmtId="0" fontId="280" fillId="40" borderId="135" xfId="51778" applyFont="1" applyFill="1" applyBorder="1" applyAlignment="1" applyProtection="1">
      <alignment horizontal="center" vertical="center" wrapText="1"/>
      <protection hidden="1"/>
    </xf>
    <xf numFmtId="4" fontId="280" fillId="40" borderId="133" xfId="51782" applyNumberFormat="1" applyFont="1" applyFill="1" applyBorder="1" applyAlignment="1" applyProtection="1">
      <alignment horizontal="center" vertical="center"/>
      <protection hidden="1"/>
    </xf>
    <xf numFmtId="0" fontId="31" fillId="40" borderId="26" xfId="51778" applyFont="1" applyFill="1" applyBorder="1" applyAlignment="1" applyProtection="1">
      <alignment horizontal="center" vertical="center"/>
      <protection hidden="1"/>
    </xf>
    <xf numFmtId="0" fontId="45" fillId="40" borderId="172" xfId="51781" applyFont="1" applyFill="1" applyBorder="1" applyAlignment="1" applyProtection="1">
      <alignment horizontal="center" vertical="center"/>
      <protection hidden="1"/>
    </xf>
    <xf numFmtId="0" fontId="280" fillId="40" borderId="167" xfId="51778" applyFont="1" applyFill="1" applyBorder="1" applyAlignment="1" applyProtection="1">
      <alignment horizontal="left" vertical="center"/>
      <protection hidden="1"/>
    </xf>
    <xf numFmtId="0" fontId="275" fillId="40" borderId="154" xfId="51778" applyFont="1" applyFill="1" applyBorder="1" applyAlignment="1" applyProtection="1">
      <alignment horizontal="center" vertical="center"/>
      <protection hidden="1"/>
    </xf>
    <xf numFmtId="0" fontId="275" fillId="40" borderId="154" xfId="51778" applyFont="1" applyFill="1" applyBorder="1" applyAlignment="1" applyProtection="1">
      <alignment horizontal="center" vertical="center" wrapText="1"/>
      <protection hidden="1"/>
    </xf>
    <xf numFmtId="9" fontId="275" fillId="40" borderId="154" xfId="51778" applyNumberFormat="1" applyFont="1" applyFill="1" applyBorder="1" applyAlignment="1" applyProtection="1">
      <alignment horizontal="center" vertical="center"/>
      <protection hidden="1"/>
    </xf>
    <xf numFmtId="4" fontId="275" fillId="40" borderId="154" xfId="51778" applyNumberFormat="1" applyFont="1" applyFill="1" applyBorder="1" applyAlignment="1" applyProtection="1">
      <alignment horizontal="center" vertical="center"/>
      <protection hidden="1"/>
    </xf>
    <xf numFmtId="0" fontId="275" fillId="40" borderId="170" xfId="51778" applyFont="1" applyFill="1" applyBorder="1" applyAlignment="1" applyProtection="1">
      <alignment horizontal="center" vertical="center" wrapText="1"/>
      <protection hidden="1"/>
    </xf>
    <xf numFmtId="9" fontId="275" fillId="40" borderId="135" xfId="51778" applyNumberFormat="1" applyFont="1" applyFill="1" applyBorder="1" applyAlignment="1" applyProtection="1">
      <alignment horizontal="center" vertical="center"/>
      <protection hidden="1"/>
    </xf>
    <xf numFmtId="4" fontId="275" fillId="40" borderId="135" xfId="51778" applyNumberFormat="1" applyFont="1" applyFill="1" applyBorder="1" applyAlignment="1" applyProtection="1">
      <alignment horizontal="center" vertical="center"/>
      <protection hidden="1"/>
    </xf>
    <xf numFmtId="0" fontId="275" fillId="40" borderId="133" xfId="51778" applyFont="1" applyFill="1" applyBorder="1" applyAlignment="1" applyProtection="1">
      <alignment horizontal="center" vertical="center" wrapText="1"/>
      <protection hidden="1"/>
    </xf>
    <xf numFmtId="0" fontId="31" fillId="40" borderId="135" xfId="51778" applyFont="1" applyFill="1" applyBorder="1" applyAlignment="1" applyProtection="1">
      <alignment horizontal="center" vertical="center"/>
      <protection hidden="1"/>
    </xf>
    <xf numFmtId="2" fontId="45" fillId="40" borderId="135" xfId="51778" applyNumberFormat="1" applyFont="1" applyFill="1" applyBorder="1" applyAlignment="1" applyProtection="1">
      <alignment horizontal="center" vertical="center"/>
      <protection hidden="1"/>
    </xf>
    <xf numFmtId="9" fontId="31" fillId="40" borderId="135" xfId="17" applyFont="1" applyFill="1" applyBorder="1" applyAlignment="1" applyProtection="1">
      <alignment horizontal="center" vertical="center"/>
      <protection hidden="1"/>
    </xf>
    <xf numFmtId="240" fontId="272" fillId="40" borderId="133" xfId="51778" applyNumberFormat="1" applyFont="1" applyFill="1" applyBorder="1" applyAlignment="1" applyProtection="1">
      <alignment horizontal="center" vertical="center"/>
      <protection hidden="1"/>
    </xf>
    <xf numFmtId="2" fontId="272" fillId="40" borderId="135" xfId="51778" applyNumberFormat="1" applyFont="1" applyFill="1" applyBorder="1" applyAlignment="1" applyProtection="1">
      <alignment horizontal="center" vertical="center"/>
      <protection hidden="1"/>
    </xf>
    <xf numFmtId="2" fontId="31" fillId="40" borderId="135" xfId="51778" applyNumberFormat="1" applyFont="1" applyFill="1" applyBorder="1" applyAlignment="1" applyProtection="1">
      <alignment horizontal="center" vertical="center"/>
      <protection hidden="1"/>
    </xf>
    <xf numFmtId="0" fontId="280" fillId="40" borderId="167" xfId="51778" applyFont="1" applyFill="1" applyBorder="1" applyProtection="1">
      <alignment vertical="center"/>
      <protection hidden="1"/>
    </xf>
    <xf numFmtId="0" fontId="280" fillId="40" borderId="154" xfId="51778" applyFont="1" applyFill="1" applyBorder="1" applyProtection="1">
      <alignment vertical="center"/>
      <protection hidden="1"/>
    </xf>
    <xf numFmtId="0" fontId="280" fillId="40" borderId="170" xfId="51778" applyFont="1" applyFill="1" applyBorder="1" applyProtection="1">
      <alignment vertical="center"/>
      <protection hidden="1"/>
    </xf>
    <xf numFmtId="0" fontId="280" fillId="40" borderId="159" xfId="51778" applyFont="1" applyFill="1" applyBorder="1" applyProtection="1">
      <alignment vertical="center"/>
      <protection hidden="1"/>
    </xf>
    <xf numFmtId="0" fontId="280" fillId="40" borderId="133" xfId="51778" applyFont="1" applyFill="1" applyBorder="1" applyProtection="1">
      <alignment vertical="center"/>
      <protection hidden="1"/>
    </xf>
    <xf numFmtId="0" fontId="45" fillId="40" borderId="135" xfId="51778" applyFont="1" applyFill="1" applyBorder="1" applyAlignment="1" applyProtection="1">
      <alignment horizontal="center" vertical="center"/>
      <protection hidden="1"/>
    </xf>
    <xf numFmtId="0" fontId="280" fillId="44" borderId="172" xfId="51781" applyFont="1" applyFill="1" applyBorder="1" applyAlignment="1" applyProtection="1">
      <alignment horizontal="center" vertical="center"/>
      <protection hidden="1"/>
    </xf>
    <xf numFmtId="0" fontId="280" fillId="38" borderId="172" xfId="51781" applyFont="1" applyFill="1" applyBorder="1" applyAlignment="1" applyProtection="1">
      <alignment horizontal="center" vertical="center"/>
      <protection hidden="1"/>
    </xf>
    <xf numFmtId="0" fontId="31" fillId="38" borderId="131" xfId="51778" applyFont="1" applyFill="1" applyBorder="1" applyAlignment="1" applyProtection="1">
      <alignment horizontal="left" vertical="center"/>
      <protection hidden="1"/>
    </xf>
    <xf numFmtId="0" fontId="31" fillId="38" borderId="131" xfId="51778" applyFont="1" applyFill="1" applyBorder="1" applyAlignment="1" applyProtection="1">
      <alignment horizontal="right" vertical="center"/>
      <protection hidden="1"/>
    </xf>
    <xf numFmtId="240" fontId="272" fillId="0" borderId="206" xfId="51778" applyNumberFormat="1" applyFont="1" applyBorder="1" applyAlignment="1" applyProtection="1">
      <alignment horizontal="center" vertical="center"/>
      <protection hidden="1"/>
    </xf>
    <xf numFmtId="4" fontId="47" fillId="39" borderId="207" xfId="51774" applyNumberFormat="1" applyFont="1" applyFill="1" applyBorder="1" applyAlignment="1" applyProtection="1">
      <alignment horizontal="center" vertical="center"/>
      <protection hidden="1"/>
    </xf>
    <xf numFmtId="3" fontId="31" fillId="0" borderId="27" xfId="51778" applyNumberFormat="1" applyFont="1" applyBorder="1" applyAlignment="1" applyProtection="1">
      <alignment horizontal="center" vertical="center"/>
      <protection hidden="1"/>
    </xf>
    <xf numFmtId="9" fontId="61" fillId="40" borderId="165" xfId="17" applyFont="1" applyFill="1" applyBorder="1" applyAlignment="1" applyProtection="1">
      <alignment horizontal="center" vertical="center"/>
      <protection hidden="1"/>
    </xf>
    <xf numFmtId="0" fontId="270" fillId="0" borderId="201" xfId="51778" applyFont="1" applyBorder="1">
      <alignment vertical="center"/>
    </xf>
    <xf numFmtId="0" fontId="313" fillId="0" borderId="199" xfId="51778" applyFont="1" applyBorder="1" applyAlignment="1">
      <alignment horizontal="left" vertical="center"/>
    </xf>
    <xf numFmtId="0" fontId="91" fillId="0" borderId="126" xfId="51777" applyFont="1" applyBorder="1" applyAlignment="1">
      <alignment vertical="center"/>
    </xf>
    <xf numFmtId="0" fontId="91" fillId="0" borderId="12" xfId="51777" applyFont="1" applyBorder="1" applyAlignment="1">
      <alignment vertical="center"/>
    </xf>
    <xf numFmtId="0" fontId="274" fillId="40" borderId="204" xfId="51778" applyFont="1" applyFill="1" applyBorder="1" applyAlignment="1">
      <alignment horizontal="center" vertical="center"/>
    </xf>
    <xf numFmtId="0" fontId="274" fillId="40" borderId="198" xfId="51775" applyFont="1" applyFill="1" applyBorder="1" applyProtection="1">
      <alignment vertical="center"/>
      <protection locked="0"/>
    </xf>
    <xf numFmtId="10" fontId="61" fillId="39" borderId="205" xfId="51779" applyNumberFormat="1" applyFont="1" applyFill="1" applyBorder="1" applyAlignment="1" applyProtection="1">
      <alignment horizontal="center" vertical="center"/>
      <protection hidden="1"/>
    </xf>
    <xf numFmtId="0" fontId="31" fillId="0" borderId="200" xfId="51775" applyFont="1" applyBorder="1" applyAlignment="1">
      <alignment horizontal="left" vertical="center"/>
    </xf>
    <xf numFmtId="0" fontId="31" fillId="0" borderId="199" xfId="51775" applyFont="1" applyBorder="1" applyAlignment="1">
      <alignment horizontal="left" vertical="center" indent="1"/>
    </xf>
    <xf numFmtId="0" fontId="31" fillId="0" borderId="200" xfId="51775" applyFont="1" applyBorder="1" applyAlignment="1">
      <alignment horizontal="center" vertical="center"/>
    </xf>
    <xf numFmtId="2" fontId="284" fillId="0" borderId="201" xfId="51775" applyNumberFormat="1" applyFont="1" applyBorder="1" applyAlignment="1">
      <alignment horizontal="center" vertical="center"/>
    </xf>
    <xf numFmtId="0" fontId="289" fillId="0" borderId="0" xfId="51778" applyFont="1" applyAlignment="1">
      <alignment horizontal="left" vertical="center"/>
    </xf>
    <xf numFmtId="4" fontId="31" fillId="0" borderId="0" xfId="17" applyNumberFormat="1" applyFont="1" applyAlignment="1">
      <alignment horizontal="left" vertical="center"/>
    </xf>
    <xf numFmtId="2" fontId="284" fillId="0" borderId="126" xfId="51775" applyNumberFormat="1" applyFont="1" applyBorder="1" applyAlignment="1">
      <alignment horizontal="center" vertical="center"/>
    </xf>
    <xf numFmtId="4" fontId="280" fillId="0" borderId="0" xfId="17" applyNumberFormat="1" applyFont="1" applyAlignment="1">
      <alignment horizontal="left" vertical="center"/>
    </xf>
    <xf numFmtId="2" fontId="284" fillId="0" borderId="12" xfId="51775" applyNumberFormat="1" applyFont="1" applyBorder="1" applyAlignment="1">
      <alignment horizontal="center" vertical="center"/>
    </xf>
    <xf numFmtId="0" fontId="275" fillId="0" borderId="22" xfId="51778" applyFont="1" applyBorder="1" applyAlignment="1">
      <alignment horizontal="right" vertical="center"/>
    </xf>
    <xf numFmtId="0" fontId="279" fillId="0" borderId="198" xfId="51778" applyFont="1" applyBorder="1" applyAlignment="1">
      <alignment horizontal="right" vertical="top"/>
    </xf>
    <xf numFmtId="0" fontId="280" fillId="40" borderId="200" xfId="51778" applyFont="1" applyFill="1" applyBorder="1" applyAlignment="1" applyProtection="1">
      <alignment horizontal="center" vertical="center"/>
      <protection hidden="1"/>
    </xf>
    <xf numFmtId="0" fontId="61" fillId="40" borderId="201" xfId="51778" applyFont="1" applyFill="1" applyBorder="1" applyAlignment="1" applyProtection="1">
      <alignment horizontal="left" vertical="center" indent="1"/>
      <protection hidden="1"/>
    </xf>
    <xf numFmtId="0" fontId="280" fillId="40" borderId="199" xfId="51778" applyFont="1" applyFill="1" applyBorder="1" applyAlignment="1" applyProtection="1">
      <alignment horizontal="center" vertical="center"/>
      <protection hidden="1"/>
    </xf>
    <xf numFmtId="0" fontId="280" fillId="40" borderId="200" xfId="51778" applyFont="1" applyFill="1" applyBorder="1" applyAlignment="1" applyProtection="1">
      <alignment horizontal="center" vertical="center" wrapText="1"/>
      <protection hidden="1"/>
    </xf>
    <xf numFmtId="44" fontId="280" fillId="40" borderId="201" xfId="51782" applyFont="1" applyFill="1" applyBorder="1" applyAlignment="1" applyProtection="1">
      <alignment horizontal="center" vertical="center"/>
      <protection hidden="1"/>
    </xf>
    <xf numFmtId="0" fontId="280" fillId="40" borderId="0" xfId="51778" applyFont="1" applyFill="1" applyAlignment="1" applyProtection="1">
      <alignment horizontal="center" vertical="center"/>
      <protection hidden="1"/>
    </xf>
    <xf numFmtId="0" fontId="288" fillId="40" borderId="0" xfId="51778" applyFont="1" applyFill="1" applyAlignment="1" applyProtection="1">
      <alignment horizontal="center" vertical="center" wrapText="1"/>
      <protection hidden="1"/>
    </xf>
    <xf numFmtId="0" fontId="280" fillId="40" borderId="126" xfId="51778" applyFont="1" applyFill="1" applyBorder="1" applyAlignment="1" applyProtection="1">
      <alignment horizontal="center" vertical="center" wrapText="1"/>
      <protection hidden="1"/>
    </xf>
    <xf numFmtId="10" fontId="31" fillId="0" borderId="0" xfId="51778" applyNumberFormat="1" applyFont="1" applyAlignment="1">
      <alignment horizontal="center" vertical="center"/>
    </xf>
    <xf numFmtId="1" fontId="31" fillId="0" borderId="0" xfId="51778" applyNumberFormat="1" applyFont="1" applyAlignment="1">
      <alignment horizontal="center" vertical="center"/>
    </xf>
    <xf numFmtId="9" fontId="31" fillId="0" borderId="0" xfId="17" applyFont="1" applyAlignment="1">
      <alignment horizontal="center" vertical="center"/>
    </xf>
    <xf numFmtId="2" fontId="272" fillId="0" borderId="0" xfId="51778" applyNumberFormat="1" applyFont="1" applyAlignment="1">
      <alignment horizontal="center" vertical="center"/>
    </xf>
    <xf numFmtId="240" fontId="272" fillId="0" borderId="126" xfId="51778" applyNumberFormat="1" applyFont="1" applyBorder="1" applyAlignment="1">
      <alignment horizontal="center" vertical="center"/>
    </xf>
    <xf numFmtId="0" fontId="31" fillId="40" borderId="21" xfId="51778" applyFont="1" applyFill="1" applyBorder="1" applyAlignment="1">
      <alignment horizontal="right" vertical="center"/>
    </xf>
    <xf numFmtId="0" fontId="45" fillId="40" borderId="22" xfId="51781" applyFont="1" applyFill="1" applyBorder="1" applyAlignment="1" applyProtection="1">
      <alignment horizontal="center" vertical="center"/>
      <protection hidden="1"/>
    </xf>
    <xf numFmtId="0" fontId="274" fillId="40" borderId="22" xfId="51778" applyFont="1" applyFill="1" applyBorder="1">
      <alignment vertical="center"/>
    </xf>
    <xf numFmtId="4" fontId="274" fillId="40" borderId="22" xfId="51778" applyNumberFormat="1" applyFont="1" applyFill="1" applyBorder="1">
      <alignment vertical="center"/>
    </xf>
    <xf numFmtId="44" fontId="280" fillId="39" borderId="12" xfId="51782" applyFont="1" applyFill="1" applyBorder="1" applyAlignment="1" applyProtection="1">
      <alignment horizontal="center" vertical="center"/>
      <protection hidden="1"/>
    </xf>
    <xf numFmtId="0" fontId="280" fillId="0" borderId="0" xfId="51778" applyFont="1" applyAlignment="1">
      <alignment horizontal="left" vertical="center"/>
    </xf>
    <xf numFmtId="2" fontId="31" fillId="40" borderId="27" xfId="51778" applyNumberFormat="1" applyFont="1" applyFill="1" applyBorder="1" applyAlignment="1">
      <alignment horizontal="center" vertical="center"/>
    </xf>
    <xf numFmtId="2" fontId="45" fillId="40" borderId="27" xfId="51778" applyNumberFormat="1" applyFont="1" applyFill="1" applyBorder="1" applyAlignment="1">
      <alignment horizontal="center" vertical="center"/>
    </xf>
    <xf numFmtId="4" fontId="31" fillId="40" borderId="27" xfId="51778" applyNumberFormat="1" applyFont="1" applyFill="1" applyBorder="1" applyAlignment="1" applyProtection="1">
      <alignment horizontal="center" vertical="center"/>
      <protection hidden="1"/>
    </xf>
    <xf numFmtId="4" fontId="31" fillId="40" borderId="27" xfId="51778" applyNumberFormat="1" applyFont="1" applyFill="1" applyBorder="1" applyAlignment="1">
      <alignment horizontal="center" vertical="center"/>
    </xf>
    <xf numFmtId="4" fontId="45" fillId="40" borderId="27" xfId="51778" applyNumberFormat="1" applyFont="1" applyFill="1" applyBorder="1" applyAlignment="1">
      <alignment horizontal="center" vertical="center"/>
    </xf>
    <xf numFmtId="0" fontId="31" fillId="0" borderId="0" xfId="51778" applyFont="1" applyAlignment="1">
      <alignment horizontal="left" vertical="center" indent="1"/>
    </xf>
    <xf numFmtId="0" fontId="45" fillId="0" borderId="199" xfId="51778" applyFont="1" applyBorder="1" applyAlignment="1">
      <alignment horizontal="left" vertical="top"/>
    </xf>
    <xf numFmtId="0" fontId="31" fillId="0" borderId="200" xfId="51778" applyFont="1" applyBorder="1" applyAlignment="1">
      <alignment horizontal="left" vertical="top"/>
    </xf>
    <xf numFmtId="0" fontId="286" fillId="0" borderId="200" xfId="51778" applyFont="1" applyBorder="1" applyAlignment="1">
      <alignment horizontal="left" vertical="top"/>
    </xf>
    <xf numFmtId="2" fontId="31" fillId="0" borderId="201" xfId="51778" applyNumberFormat="1" applyFont="1" applyBorder="1" applyAlignment="1">
      <alignment horizontal="left" vertical="top"/>
    </xf>
    <xf numFmtId="0" fontId="31" fillId="0" borderId="125" xfId="51778" applyFont="1" applyBorder="1" applyAlignment="1">
      <alignment horizontal="left" vertical="top" indent="2"/>
    </xf>
    <xf numFmtId="2" fontId="31" fillId="0" borderId="126" xfId="51778" applyNumberFormat="1" applyFont="1" applyBorder="1" applyAlignment="1">
      <alignment horizontal="left" vertical="top"/>
    </xf>
    <xf numFmtId="0" fontId="274" fillId="0" borderId="125" xfId="51775" applyFont="1" applyBorder="1" applyProtection="1">
      <alignment vertical="center"/>
      <protection locked="0"/>
    </xf>
    <xf numFmtId="0" fontId="274" fillId="0" borderId="126" xfId="51775" applyFont="1" applyBorder="1" applyProtection="1">
      <alignment vertical="center"/>
      <protection locked="0"/>
    </xf>
    <xf numFmtId="0" fontId="0" fillId="42" borderId="0" xfId="0" applyFill="1"/>
    <xf numFmtId="0" fontId="317" fillId="42" borderId="208" xfId="0" applyFont="1" applyFill="1" applyBorder="1" applyAlignment="1">
      <alignment horizontal="center" wrapText="1"/>
    </xf>
    <xf numFmtId="17" fontId="317" fillId="42" borderId="209" xfId="0" applyNumberFormat="1" applyFont="1" applyFill="1" applyBorder="1" applyAlignment="1">
      <alignment vertical="top" wrapText="1"/>
    </xf>
    <xf numFmtId="0" fontId="318" fillId="42" borderId="209" xfId="0" applyFont="1" applyFill="1" applyBorder="1" applyAlignment="1">
      <alignment vertical="top" wrapText="1"/>
    </xf>
    <xf numFmtId="4" fontId="318" fillId="42" borderId="209" xfId="0" applyNumberFormat="1" applyFont="1" applyFill="1" applyBorder="1" applyAlignment="1">
      <alignment vertical="top" wrapText="1"/>
    </xf>
    <xf numFmtId="1" fontId="31" fillId="40" borderId="27" xfId="51775" applyNumberFormat="1" applyFont="1" applyFill="1" applyBorder="1" applyAlignment="1">
      <alignment horizontal="center" vertical="center"/>
    </xf>
    <xf numFmtId="0" fontId="280" fillId="0" borderId="125" xfId="51775" applyFont="1" applyBorder="1" applyAlignment="1">
      <alignment horizontal="center" vertical="center"/>
    </xf>
    <xf numFmtId="0" fontId="288" fillId="0" borderId="125" xfId="51775" applyFont="1" applyBorder="1" applyAlignment="1">
      <alignment horizontal="center" vertical="center"/>
    </xf>
    <xf numFmtId="0" fontId="45" fillId="0" borderId="0" xfId="51775" applyFont="1" applyAlignment="1">
      <alignment horizontal="left" vertical="center"/>
    </xf>
    <xf numFmtId="10" fontId="31" fillId="0" borderId="27" xfId="17" applyNumberFormat="1" applyFont="1" applyFill="1" applyBorder="1" applyAlignment="1">
      <alignment horizontal="center" vertical="center"/>
    </xf>
    <xf numFmtId="4" fontId="31" fillId="0" borderId="27" xfId="51775" applyNumberFormat="1" applyFont="1" applyBorder="1" applyAlignment="1">
      <alignment horizontal="center" vertical="center"/>
    </xf>
    <xf numFmtId="255" fontId="61" fillId="40" borderId="27" xfId="23" applyNumberFormat="1" applyFont="1" applyFill="1" applyBorder="1" applyAlignment="1" applyProtection="1">
      <alignment horizontal="center" vertical="center"/>
      <protection hidden="1"/>
    </xf>
    <xf numFmtId="255" fontId="61" fillId="40" borderId="27" xfId="0" applyNumberFormat="1" applyFont="1" applyFill="1" applyBorder="1" applyAlignment="1" applyProtection="1">
      <alignment horizontal="center" vertical="center"/>
      <protection hidden="1"/>
    </xf>
    <xf numFmtId="255" fontId="61" fillId="40" borderId="27" xfId="17" applyNumberFormat="1" applyFont="1" applyFill="1" applyBorder="1" applyAlignment="1" applyProtection="1">
      <alignment horizontal="center" vertical="center"/>
      <protection hidden="1"/>
    </xf>
    <xf numFmtId="0" fontId="272" fillId="0" borderId="22" xfId="51778" applyFont="1" applyBorder="1" applyAlignment="1" applyProtection="1">
      <alignment horizontal="left" vertical="center" indent="1"/>
      <protection hidden="1"/>
    </xf>
    <xf numFmtId="10" fontId="31" fillId="0" borderId="22" xfId="51778" applyNumberFormat="1" applyFont="1" applyBorder="1" applyAlignment="1" applyProtection="1">
      <alignment horizontal="center" vertical="center"/>
      <protection hidden="1"/>
    </xf>
    <xf numFmtId="2" fontId="272" fillId="0" borderId="22" xfId="51778" applyNumberFormat="1" applyFont="1" applyBorder="1" applyAlignment="1" applyProtection="1">
      <alignment horizontal="center" vertical="center"/>
      <protection hidden="1"/>
    </xf>
    <xf numFmtId="185" fontId="31" fillId="0" borderId="22" xfId="51778" applyNumberFormat="1" applyFont="1" applyBorder="1" applyAlignment="1" applyProtection="1">
      <alignment horizontal="center" vertical="center"/>
      <protection hidden="1"/>
    </xf>
    <xf numFmtId="9" fontId="31" fillId="0" borderId="22" xfId="17" applyFont="1" applyFill="1" applyBorder="1" applyAlignment="1" applyProtection="1">
      <alignment horizontal="center" vertical="center"/>
      <protection hidden="1"/>
    </xf>
    <xf numFmtId="2" fontId="272" fillId="0" borderId="0" xfId="51782" applyNumberFormat="1" applyFont="1" applyFill="1" applyBorder="1" applyAlignment="1" applyProtection="1">
      <alignment horizontal="center" vertical="center"/>
      <protection hidden="1"/>
    </xf>
    <xf numFmtId="4" fontId="272" fillId="0" borderId="126" xfId="51778" applyNumberFormat="1" applyFont="1" applyBorder="1" applyAlignment="1" applyProtection="1">
      <alignment horizontal="center" vertical="center"/>
      <protection hidden="1"/>
    </xf>
    <xf numFmtId="0" fontId="0" fillId="0" borderId="140" xfId="0" applyBorder="1"/>
    <xf numFmtId="0" fontId="0" fillId="0" borderId="137" xfId="0" applyBorder="1"/>
    <xf numFmtId="0" fontId="2" fillId="0" borderId="0" xfId="51805"/>
    <xf numFmtId="8" fontId="0" fillId="0" borderId="27" xfId="51806" applyNumberFormat="1" applyFont="1" applyBorder="1"/>
    <xf numFmtId="0" fontId="2" fillId="0" borderId="0" xfId="51805" applyAlignment="1">
      <alignment horizontal="right"/>
    </xf>
    <xf numFmtId="44" fontId="0" fillId="40" borderId="27" xfId="51806" applyFont="1" applyFill="1" applyBorder="1"/>
    <xf numFmtId="0" fontId="320" fillId="40" borderId="27" xfId="51805" applyFont="1" applyFill="1" applyBorder="1"/>
    <xf numFmtId="10" fontId="0" fillId="0" borderId="27" xfId="51807" applyNumberFormat="1" applyFont="1" applyBorder="1"/>
    <xf numFmtId="10" fontId="0" fillId="40" borderId="27" xfId="51807" applyNumberFormat="1" applyFont="1" applyFill="1" applyBorder="1"/>
    <xf numFmtId="44" fontId="2" fillId="0" borderId="0" xfId="51805" applyNumberFormat="1"/>
    <xf numFmtId="44" fontId="0" fillId="0" borderId="27" xfId="51806" applyFont="1" applyBorder="1"/>
    <xf numFmtId="10" fontId="0" fillId="0" borderId="0" xfId="51807" applyNumberFormat="1" applyFont="1"/>
    <xf numFmtId="1" fontId="2" fillId="0" borderId="27" xfId="51805" applyNumberFormat="1" applyBorder="1"/>
    <xf numFmtId="44" fontId="320" fillId="40" borderId="27" xfId="51806" applyFont="1" applyFill="1" applyBorder="1"/>
    <xf numFmtId="9" fontId="0" fillId="40" borderId="27" xfId="51807" applyFont="1" applyFill="1" applyBorder="1"/>
    <xf numFmtId="4" fontId="2" fillId="0" borderId="0" xfId="51805" applyNumberFormat="1"/>
    <xf numFmtId="8" fontId="2" fillId="0" borderId="0" xfId="51805" applyNumberFormat="1"/>
    <xf numFmtId="4" fontId="2" fillId="0" borderId="200" xfId="51805" applyNumberFormat="1" applyBorder="1"/>
    <xf numFmtId="0" fontId="274" fillId="40" borderId="204" xfId="51778" applyFont="1" applyFill="1" applyBorder="1" applyAlignment="1">
      <alignment horizontal="left" vertical="center"/>
    </xf>
    <xf numFmtId="0" fontId="274" fillId="40" borderId="198" xfId="51775" applyFont="1" applyFill="1" applyBorder="1" applyAlignment="1" applyProtection="1">
      <alignment horizontal="left" vertical="center"/>
      <protection locked="0"/>
    </xf>
    <xf numFmtId="0" fontId="274" fillId="40" borderId="205" xfId="51775" applyFont="1" applyFill="1" applyBorder="1" applyAlignment="1" applyProtection="1">
      <alignment horizontal="left" vertical="center"/>
      <protection locked="0"/>
    </xf>
    <xf numFmtId="0" fontId="1" fillId="0" borderId="0" xfId="51805" applyFont="1" applyAlignment="1">
      <alignment horizontal="right"/>
    </xf>
    <xf numFmtId="0" fontId="321" fillId="0" borderId="0" xfId="51805" applyFont="1"/>
    <xf numFmtId="0" fontId="47" fillId="0" borderId="0" xfId="51775" applyFont="1">
      <alignment vertical="center"/>
    </xf>
    <xf numFmtId="0" fontId="45" fillId="0" borderId="0" xfId="0" applyFont="1"/>
    <xf numFmtId="0" fontId="71" fillId="0" borderId="0" xfId="51775" applyFont="1">
      <alignment vertical="center"/>
    </xf>
    <xf numFmtId="0" fontId="45" fillId="0" borderId="0" xfId="51777" applyFont="1" applyAlignment="1">
      <alignment vertical="center"/>
    </xf>
    <xf numFmtId="4" fontId="321" fillId="0" borderId="207" xfId="51806" applyNumberFormat="1" applyFont="1" applyBorder="1" applyAlignment="1">
      <alignment horizontal="center" vertical="center"/>
    </xf>
    <xf numFmtId="4" fontId="321" fillId="45" borderId="207" xfId="51806" applyNumberFormat="1" applyFont="1" applyFill="1" applyBorder="1" applyAlignment="1">
      <alignment horizontal="center" vertical="center"/>
    </xf>
    <xf numFmtId="4" fontId="321" fillId="0" borderId="0" xfId="51805" applyNumberFormat="1" applyFont="1"/>
    <xf numFmtId="4" fontId="45" fillId="0" borderId="27" xfId="51806" applyNumberFormat="1" applyFont="1" applyBorder="1"/>
    <xf numFmtId="4" fontId="321" fillId="0" borderId="22" xfId="51805" applyNumberFormat="1" applyFont="1" applyBorder="1"/>
    <xf numFmtId="10" fontId="287" fillId="40" borderId="27" xfId="51779" applyNumberFormat="1" applyFont="1" applyFill="1" applyBorder="1" applyAlignment="1" applyProtection="1">
      <alignment horizontal="center" vertical="center"/>
      <protection locked="0" hidden="1"/>
    </xf>
    <xf numFmtId="10" fontId="287" fillId="40" borderId="160" xfId="51779" applyNumberFormat="1" applyFont="1" applyFill="1" applyBorder="1" applyAlignment="1" applyProtection="1">
      <alignment horizontal="center" vertical="center"/>
      <protection locked="0" hidden="1"/>
    </xf>
    <xf numFmtId="9" fontId="61" fillId="0" borderId="0" xfId="17" applyFont="1" applyBorder="1" applyAlignment="1" applyProtection="1">
      <alignment horizontal="center" vertical="center"/>
      <protection hidden="1"/>
    </xf>
    <xf numFmtId="4" fontId="31" fillId="0" borderId="0" xfId="17" applyNumberFormat="1" applyFont="1" applyFill="1" applyBorder="1" applyAlignment="1" applyProtection="1">
      <alignment horizontal="center" vertical="center"/>
      <protection hidden="1"/>
    </xf>
    <xf numFmtId="0" fontId="275" fillId="0" borderId="0" xfId="51778" applyFont="1" applyAlignment="1" applyProtection="1">
      <alignment horizontal="center" vertical="center"/>
      <protection hidden="1"/>
    </xf>
    <xf numFmtId="0" fontId="275" fillId="38" borderId="135" xfId="51778" applyFont="1" applyFill="1" applyBorder="1" applyAlignment="1" applyProtection="1">
      <alignment horizontal="left" vertical="center"/>
      <protection hidden="1"/>
    </xf>
    <xf numFmtId="2" fontId="45" fillId="0" borderId="135" xfId="0" applyNumberFormat="1" applyFont="1" applyBorder="1" applyProtection="1">
      <protection hidden="1"/>
    </xf>
    <xf numFmtId="4" fontId="31" fillId="0" borderId="0" xfId="17" applyNumberFormat="1" applyFont="1" applyFill="1" applyBorder="1" applyAlignment="1" applyProtection="1">
      <alignment horizontal="left" vertical="center"/>
      <protection hidden="1"/>
    </xf>
    <xf numFmtId="10" fontId="45" fillId="0" borderId="0" xfId="17" applyNumberFormat="1" applyFont="1" applyBorder="1" applyAlignment="1" applyProtection="1">
      <alignment horizontal="left" vertical="center"/>
      <protection hidden="1"/>
    </xf>
    <xf numFmtId="0" fontId="31" fillId="0" borderId="31" xfId="51778" applyFont="1" applyBorder="1" applyAlignment="1" applyProtection="1">
      <alignment horizontal="left" vertical="center"/>
      <protection hidden="1"/>
    </xf>
    <xf numFmtId="10" fontId="45" fillId="0" borderId="31" xfId="17" applyNumberFormat="1" applyFont="1" applyBorder="1" applyAlignment="1" applyProtection="1">
      <alignment horizontal="left" vertical="center"/>
      <protection hidden="1"/>
    </xf>
    <xf numFmtId="0" fontId="45" fillId="0" borderId="31" xfId="51778" applyFont="1" applyBorder="1" applyAlignment="1" applyProtection="1">
      <alignment horizontal="left" vertical="center"/>
      <protection hidden="1"/>
    </xf>
    <xf numFmtId="0" fontId="290" fillId="0" borderId="0" xfId="51798" applyAlignment="1">
      <alignment horizontal="left" vertical="center"/>
    </xf>
    <xf numFmtId="0" fontId="308" fillId="0" borderId="0" xfId="51778" applyFont="1" applyProtection="1">
      <alignment vertical="center"/>
      <protection hidden="1"/>
    </xf>
    <xf numFmtId="0" fontId="91" fillId="0" borderId="0" xfId="51778" applyFont="1" applyProtection="1">
      <alignment vertical="center"/>
      <protection hidden="1"/>
    </xf>
    <xf numFmtId="0" fontId="91" fillId="0" borderId="0" xfId="51778" applyFont="1" applyAlignment="1" applyProtection="1">
      <alignment horizontal="left" vertical="center"/>
      <protection hidden="1"/>
    </xf>
    <xf numFmtId="0" fontId="91" fillId="0" borderId="0" xfId="0" applyFont="1" applyAlignment="1" applyProtection="1">
      <alignment horizontal="center" vertical="center"/>
      <protection hidden="1"/>
    </xf>
    <xf numFmtId="0" fontId="45" fillId="0" borderId="0" xfId="51778" applyFont="1" applyProtection="1">
      <alignment vertical="center"/>
      <protection hidden="1"/>
    </xf>
    <xf numFmtId="0" fontId="45" fillId="0" borderId="145" xfId="51778" applyFont="1" applyBorder="1" applyAlignment="1" applyProtection="1">
      <alignment horizontal="center" vertical="center"/>
      <protection hidden="1"/>
    </xf>
    <xf numFmtId="0" fontId="45" fillId="0" borderId="126" xfId="51778" applyFont="1" applyBorder="1" applyAlignment="1" applyProtection="1">
      <alignment horizontal="left" vertical="center"/>
      <protection hidden="1"/>
    </xf>
    <xf numFmtId="0" fontId="45" fillId="0" borderId="126" xfId="0" applyFont="1" applyBorder="1"/>
    <xf numFmtId="0" fontId="45" fillId="0" borderId="126" xfId="51781" applyFont="1" applyBorder="1" applyAlignment="1" applyProtection="1">
      <alignment horizontal="center" vertical="center"/>
      <protection hidden="1"/>
    </xf>
    <xf numFmtId="0" fontId="45" fillId="0" borderId="0" xfId="0" applyFont="1" applyAlignment="1" applyProtection="1">
      <alignment horizontal="center" vertical="center"/>
      <protection hidden="1"/>
    </xf>
    <xf numFmtId="44" fontId="3" fillId="0" borderId="207" xfId="51774" applyFont="1" applyBorder="1" applyAlignment="1" applyProtection="1">
      <alignment horizontal="center" vertical="center"/>
      <protection hidden="1"/>
    </xf>
    <xf numFmtId="10" fontId="324" fillId="0" borderId="31" xfId="51783" applyNumberFormat="1" applyFont="1" applyFill="1" applyBorder="1" applyAlignment="1" applyProtection="1">
      <alignment horizontal="center" vertical="center"/>
    </xf>
    <xf numFmtId="10" fontId="45" fillId="0" borderId="135" xfId="51779" applyNumberFormat="1" applyFont="1" applyFill="1" applyBorder="1" applyAlignment="1" applyProtection="1">
      <alignment horizontal="center" vertical="center"/>
    </xf>
    <xf numFmtId="10" fontId="45" fillId="0" borderId="142" xfId="51779" applyNumberFormat="1" applyFont="1" applyFill="1" applyBorder="1" applyAlignment="1" applyProtection="1">
      <alignment horizontal="center" vertical="center"/>
    </xf>
    <xf numFmtId="10" fontId="61" fillId="0" borderId="135" xfId="51779" applyNumberFormat="1" applyFont="1" applyFill="1" applyBorder="1" applyAlignment="1" applyProtection="1">
      <alignment horizontal="center" vertical="center"/>
    </xf>
    <xf numFmtId="10" fontId="45" fillId="0" borderId="31" xfId="17" applyNumberFormat="1" applyFont="1" applyFill="1" applyBorder="1" applyAlignment="1" applyProtection="1">
      <alignment horizontal="center" vertical="center"/>
    </xf>
    <xf numFmtId="10" fontId="299" fillId="0" borderId="31" xfId="51783" applyNumberFormat="1" applyFont="1" applyFill="1" applyBorder="1" applyAlignment="1" applyProtection="1">
      <alignment horizontal="center" vertical="center"/>
    </xf>
    <xf numFmtId="10" fontId="45" fillId="40" borderId="27" xfId="51779" applyNumberFormat="1" applyFont="1" applyFill="1" applyBorder="1" applyAlignment="1" applyProtection="1">
      <alignment horizontal="center" vertical="center"/>
      <protection locked="0"/>
    </xf>
    <xf numFmtId="10" fontId="274" fillId="40" borderId="27" xfId="51779" applyNumberFormat="1" applyFont="1" applyFill="1" applyBorder="1" applyAlignment="1" applyProtection="1">
      <alignment horizontal="center" vertical="center"/>
      <protection locked="0"/>
    </xf>
    <xf numFmtId="10" fontId="45" fillId="40" borderId="157" xfId="51779" applyNumberFormat="1" applyFont="1" applyFill="1" applyBorder="1" applyAlignment="1" applyProtection="1">
      <alignment horizontal="center" vertical="center"/>
      <protection locked="0"/>
    </xf>
    <xf numFmtId="10" fontId="324" fillId="0" borderId="135" xfId="51779" applyNumberFormat="1" applyFont="1" applyFill="1" applyBorder="1" applyAlignment="1" applyProtection="1">
      <alignment horizontal="center" vertical="center"/>
    </xf>
    <xf numFmtId="10" fontId="45" fillId="0" borderId="31" xfId="51779" applyNumberFormat="1" applyFont="1" applyFill="1" applyBorder="1" applyAlignment="1" applyProtection="1">
      <alignment horizontal="center" vertical="center"/>
    </xf>
    <xf numFmtId="243" fontId="47" fillId="38" borderId="198" xfId="0" applyNumberFormat="1" applyFont="1" applyFill="1" applyBorder="1" applyAlignment="1">
      <alignment horizontal="center" vertical="center"/>
    </xf>
    <xf numFmtId="0" fontId="283" fillId="0" borderId="126" xfId="51775" applyFont="1" applyBorder="1" applyAlignment="1">
      <alignment horizontal="center" vertical="center"/>
    </xf>
    <xf numFmtId="0" fontId="45" fillId="0" borderId="132" xfId="51778" applyFont="1" applyBorder="1" applyAlignment="1">
      <alignment horizontal="center" vertical="center"/>
    </xf>
    <xf numFmtId="0" fontId="45" fillId="0" borderId="135" xfId="51778" applyFont="1" applyBorder="1" applyAlignment="1">
      <alignment horizontal="left" vertical="center"/>
    </xf>
    <xf numFmtId="4" fontId="45" fillId="0" borderId="133" xfId="51780" applyNumberFormat="1" applyFont="1" applyFill="1" applyBorder="1" applyAlignment="1" applyProtection="1">
      <alignment horizontal="right" vertical="center" indent="1"/>
    </xf>
    <xf numFmtId="4" fontId="31" fillId="0" borderId="0" xfId="51778" applyNumberFormat="1" applyFont="1" applyAlignment="1">
      <alignment horizontal="left" vertical="center"/>
    </xf>
    <xf numFmtId="4" fontId="0" fillId="0" borderId="0" xfId="0" applyNumberFormat="1" applyAlignment="1">
      <alignment horizontal="right" indent="1"/>
    </xf>
    <xf numFmtId="4" fontId="0" fillId="0" borderId="0" xfId="0" applyNumberFormat="1"/>
    <xf numFmtId="0" fontId="323" fillId="0" borderId="0" xfId="51778" applyFont="1" applyAlignment="1">
      <alignment horizontal="left" vertical="center"/>
    </xf>
    <xf numFmtId="44" fontId="157" fillId="0" borderId="0" xfId="51774" applyFont="1" applyFill="1" applyBorder="1" applyAlignment="1" applyProtection="1">
      <alignment horizontal="center"/>
    </xf>
    <xf numFmtId="0" fontId="283" fillId="0" borderId="0" xfId="51775" applyFont="1" applyAlignment="1">
      <alignment horizontal="center" vertical="center"/>
    </xf>
    <xf numFmtId="0" fontId="47" fillId="38" borderId="173" xfId="51778" applyFont="1" applyFill="1" applyBorder="1" applyAlignment="1">
      <alignment horizontal="center" vertical="center"/>
    </xf>
    <xf numFmtId="0" fontId="47" fillId="38" borderId="61" xfId="51778" applyFont="1" applyFill="1" applyBorder="1" applyAlignment="1">
      <alignment horizontal="left" vertical="center"/>
    </xf>
    <xf numFmtId="4" fontId="59" fillId="38" borderId="61" xfId="0" applyNumberFormat="1" applyFont="1" applyFill="1" applyBorder="1" applyAlignment="1">
      <alignment horizontal="right" vertical="center" indent="1"/>
    </xf>
    <xf numFmtId="0" fontId="47" fillId="38" borderId="155" xfId="51778" applyFont="1" applyFill="1" applyBorder="1" applyAlignment="1">
      <alignment horizontal="left" vertical="center"/>
    </xf>
    <xf numFmtId="4" fontId="47" fillId="39" borderId="207" xfId="51785" applyNumberFormat="1" applyFont="1" applyFill="1" applyBorder="1" applyAlignment="1" applyProtection="1">
      <alignment horizontal="right" vertical="center" indent="1"/>
    </xf>
    <xf numFmtId="252" fontId="305" fillId="0" borderId="0" xfId="51799" applyNumberFormat="1" applyFont="1" applyFill="1" applyBorder="1" applyAlignment="1" applyProtection="1">
      <alignment horizontal="right" vertical="center" indent="3"/>
    </xf>
    <xf numFmtId="44" fontId="0" fillId="0" borderId="0" xfId="51774" applyFont="1" applyBorder="1" applyProtection="1"/>
    <xf numFmtId="0" fontId="3" fillId="0" borderId="0" xfId="51778" applyFont="1" applyAlignment="1">
      <alignment horizontal="center" vertical="center"/>
    </xf>
    <xf numFmtId="0" fontId="3" fillId="0" borderId="0" xfId="51778" applyFont="1" applyAlignment="1">
      <alignment horizontal="left" vertical="center"/>
    </xf>
    <xf numFmtId="44" fontId="89" fillId="0" borderId="0" xfId="51774" applyFont="1" applyFill="1" applyBorder="1" applyAlignment="1" applyProtection="1">
      <alignment horizontal="center"/>
    </xf>
    <xf numFmtId="0" fontId="283" fillId="0" borderId="0" xfId="51775" applyFont="1" applyAlignment="1">
      <alignment horizontal="left" vertical="center"/>
    </xf>
    <xf numFmtId="0" fontId="45" fillId="0" borderId="200" xfId="51781" applyFont="1" applyBorder="1" applyAlignment="1">
      <alignment vertical="center" wrapText="1"/>
    </xf>
    <xf numFmtId="0" fontId="45" fillId="0" borderId="0" xfId="51781" applyFont="1" applyAlignment="1">
      <alignment vertical="center" wrapText="1"/>
    </xf>
    <xf numFmtId="243" fontId="0" fillId="0" borderId="0" xfId="0" applyNumberFormat="1"/>
    <xf numFmtId="0" fontId="294" fillId="0" borderId="0" xfId="51781" applyFont="1" applyAlignment="1">
      <alignment horizontal="right" vertical="center" indent="1"/>
    </xf>
    <xf numFmtId="4" fontId="47" fillId="0" borderId="0" xfId="51780" applyNumberFormat="1" applyFont="1" applyFill="1" applyBorder="1" applyAlignment="1" applyProtection="1">
      <alignment horizontal="right" vertical="center" indent="1"/>
    </xf>
    <xf numFmtId="252" fontId="305" fillId="0" borderId="0" xfId="51799" applyNumberFormat="1" applyFont="1" applyFill="1" applyBorder="1" applyAlignment="1" applyProtection="1">
      <alignment vertical="center"/>
    </xf>
    <xf numFmtId="254" fontId="284" fillId="0" borderId="0" xfId="51775" applyNumberFormat="1" applyFont="1" applyAlignment="1">
      <alignment horizontal="left" vertical="center"/>
    </xf>
    <xf numFmtId="44" fontId="31" fillId="0" borderId="0" xfId="51774" applyFont="1" applyAlignment="1" applyProtection="1">
      <alignment horizontal="left" vertical="center"/>
    </xf>
    <xf numFmtId="44" fontId="3" fillId="0" borderId="0" xfId="51774" applyFont="1" applyFill="1" applyBorder="1" applyAlignment="1" applyProtection="1">
      <alignment horizontal="center" vertical="center"/>
    </xf>
    <xf numFmtId="0" fontId="294" fillId="0" borderId="0" xfId="51781" applyFont="1" applyAlignment="1"/>
    <xf numFmtId="4" fontId="31" fillId="0" borderId="0" xfId="51775" applyNumberFormat="1" applyFont="1" applyAlignment="1">
      <alignment horizontal="center" vertical="center"/>
    </xf>
    <xf numFmtId="0" fontId="3" fillId="0" borderId="0" xfId="51775" applyFont="1" applyAlignment="1">
      <alignment horizontal="center" vertical="center"/>
    </xf>
    <xf numFmtId="0" fontId="3" fillId="0" borderId="0" xfId="51775" applyFont="1" applyAlignment="1">
      <alignment horizontal="left" vertical="center"/>
    </xf>
    <xf numFmtId="0" fontId="296" fillId="0" borderId="0" xfId="51781" applyFont="1" applyAlignment="1">
      <alignment horizontal="right" vertical="center" indent="1"/>
    </xf>
    <xf numFmtId="0" fontId="275" fillId="0" borderId="0" xfId="51775" applyFont="1" applyAlignment="1">
      <alignment horizontal="left" vertical="center"/>
    </xf>
    <xf numFmtId="0" fontId="31" fillId="0" borderId="0" xfId="51775" applyFont="1" applyAlignment="1">
      <alignment vertical="center" wrapText="1"/>
    </xf>
    <xf numFmtId="0" fontId="274" fillId="38" borderId="127" xfId="51778" applyFont="1" applyFill="1" applyBorder="1" applyAlignment="1">
      <alignment horizontal="center" vertical="center"/>
    </xf>
    <xf numFmtId="0" fontId="274" fillId="38" borderId="147" xfId="51775" applyFont="1" applyFill="1" applyBorder="1">
      <alignment vertical="center"/>
    </xf>
    <xf numFmtId="0" fontId="274" fillId="38" borderId="147" xfId="51778" applyFont="1" applyFill="1" applyBorder="1" applyAlignment="1">
      <alignment horizontal="center" vertical="center"/>
    </xf>
    <xf numFmtId="0" fontId="274" fillId="38" borderId="147" xfId="51775" applyFont="1" applyFill="1" applyBorder="1" applyAlignment="1">
      <alignment horizontal="right" vertical="center"/>
    </xf>
    <xf numFmtId="10" fontId="61" fillId="39" borderId="152" xfId="51779" applyNumberFormat="1" applyFont="1" applyFill="1" applyBorder="1" applyAlignment="1" applyProtection="1">
      <alignment horizontal="center" vertical="center"/>
    </xf>
    <xf numFmtId="0" fontId="274" fillId="0" borderId="132" xfId="51778" applyFont="1" applyBorder="1" applyAlignment="1">
      <alignment horizontal="center" vertical="center"/>
    </xf>
    <xf numFmtId="0" fontId="280" fillId="0" borderId="135" xfId="51778" applyFont="1" applyBorder="1" applyAlignment="1">
      <alignment horizontal="left" vertical="center"/>
    </xf>
    <xf numFmtId="0" fontId="272" fillId="0" borderId="135" xfId="51778" applyFont="1" applyBorder="1" applyAlignment="1">
      <alignment horizontal="center" vertical="center"/>
    </xf>
    <xf numFmtId="10" fontId="274" fillId="0" borderId="133" xfId="51779" applyNumberFormat="1" applyFont="1" applyFill="1" applyBorder="1" applyAlignment="1" applyProtection="1">
      <alignment horizontal="center" vertical="center"/>
    </xf>
    <xf numFmtId="3" fontId="31" fillId="0" borderId="0" xfId="51775" applyNumberFormat="1" applyFont="1" applyAlignment="1">
      <alignment horizontal="left" vertical="center"/>
    </xf>
    <xf numFmtId="0" fontId="272" fillId="0" borderId="132" xfId="51778" applyFont="1" applyBorder="1" applyAlignment="1">
      <alignment horizontal="center" vertical="center"/>
    </xf>
    <xf numFmtId="0" fontId="45" fillId="0" borderId="135" xfId="51778" applyFont="1" applyBorder="1" applyAlignment="1">
      <alignment horizontal="left" vertical="center" indent="2"/>
    </xf>
    <xf numFmtId="10" fontId="272" fillId="0" borderId="30" xfId="51779" applyNumberFormat="1" applyFont="1" applyFill="1" applyBorder="1" applyAlignment="1" applyProtection="1">
      <alignment horizontal="center" vertical="center"/>
    </xf>
    <xf numFmtId="10" fontId="272" fillId="0" borderId="135" xfId="51779" applyNumberFormat="1" applyFont="1" applyFill="1" applyBorder="1" applyAlignment="1" applyProtection="1">
      <alignment horizontal="center" vertical="center"/>
    </xf>
    <xf numFmtId="10" fontId="45" fillId="0" borderId="141" xfId="17" applyNumberFormat="1" applyFont="1" applyFill="1" applyBorder="1" applyAlignment="1" applyProtection="1">
      <alignment horizontal="center" vertical="center"/>
    </xf>
    <xf numFmtId="0" fontId="274" fillId="0" borderId="135" xfId="51778" applyFont="1" applyBorder="1" applyAlignment="1">
      <alignment horizontal="left" vertical="center"/>
    </xf>
    <xf numFmtId="0" fontId="274" fillId="0" borderId="135" xfId="51778" applyFont="1" applyBorder="1" applyAlignment="1">
      <alignment horizontal="center" vertical="center"/>
    </xf>
    <xf numFmtId="10" fontId="272" fillId="0" borderId="133" xfId="51779" applyNumberFormat="1" applyFont="1" applyFill="1" applyBorder="1" applyAlignment="1" applyProtection="1">
      <alignment horizontal="center" vertical="center"/>
    </xf>
    <xf numFmtId="10" fontId="31" fillId="0" borderId="0" xfId="51775" applyNumberFormat="1" applyFont="1" applyAlignment="1">
      <alignment horizontal="left" vertical="center"/>
    </xf>
    <xf numFmtId="244" fontId="294" fillId="0" borderId="0" xfId="51781" applyNumberFormat="1" applyFont="1" applyAlignment="1"/>
    <xf numFmtId="0" fontId="0" fillId="0" borderId="0" xfId="0" applyAlignment="1">
      <alignment horizontal="center"/>
    </xf>
    <xf numFmtId="10" fontId="272" fillId="0" borderId="141" xfId="51779" applyNumberFormat="1" applyFont="1" applyFill="1" applyBorder="1" applyAlignment="1" applyProtection="1">
      <alignment horizontal="center" vertical="center"/>
    </xf>
    <xf numFmtId="245" fontId="0" fillId="0" borderId="0" xfId="17" applyNumberFormat="1" applyFont="1" applyProtection="1"/>
    <xf numFmtId="0" fontId="45" fillId="0" borderId="135" xfId="51778" applyFont="1" applyBorder="1" applyAlignment="1">
      <alignment horizontal="center" vertical="center"/>
    </xf>
    <xf numFmtId="10" fontId="45" fillId="0" borderId="133" xfId="51779" applyNumberFormat="1" applyFont="1" applyFill="1" applyBorder="1" applyAlignment="1" applyProtection="1">
      <alignment horizontal="center" vertical="center"/>
    </xf>
    <xf numFmtId="0" fontId="323" fillId="0" borderId="0" xfId="51775" applyFont="1" applyAlignment="1">
      <alignment horizontal="left" vertical="center"/>
    </xf>
    <xf numFmtId="44" fontId="157" fillId="0" borderId="0" xfId="51774" applyFont="1" applyFill="1" applyBorder="1" applyAlignment="1" applyProtection="1">
      <alignment horizontal="center" vertical="center"/>
    </xf>
    <xf numFmtId="165" fontId="45" fillId="0" borderId="0" xfId="51789" applyFont="1" applyFill="1" applyBorder="1" applyAlignment="1" applyProtection="1">
      <alignment horizontal="left" vertical="center"/>
    </xf>
    <xf numFmtId="0" fontId="45" fillId="0" borderId="0" xfId="77" applyAlignment="1">
      <alignment horizontal="left" indent="2"/>
    </xf>
    <xf numFmtId="165" fontId="48" fillId="0" borderId="0" xfId="51789" applyFont="1" applyFill="1" applyBorder="1" applyAlignment="1" applyProtection="1">
      <alignment horizontal="left" vertical="center"/>
    </xf>
    <xf numFmtId="0" fontId="45" fillId="0" borderId="0" xfId="0" applyFont="1" applyAlignment="1">
      <alignment horizontal="left"/>
    </xf>
    <xf numFmtId="4" fontId="45" fillId="0" borderId="0" xfId="51778" applyNumberFormat="1" applyFont="1" applyAlignment="1">
      <alignment horizontal="center" vertical="center"/>
    </xf>
    <xf numFmtId="10" fontId="61" fillId="0" borderId="0" xfId="17" applyNumberFormat="1" applyFont="1" applyFill="1" applyBorder="1" applyAlignment="1" applyProtection="1">
      <alignment horizontal="center" vertical="center"/>
    </xf>
    <xf numFmtId="10" fontId="274" fillId="0" borderId="141" xfId="51779" applyNumberFormat="1" applyFont="1" applyFill="1" applyBorder="1" applyAlignment="1" applyProtection="1">
      <alignment horizontal="center" vertical="center"/>
    </xf>
    <xf numFmtId="0" fontId="272" fillId="0" borderId="136" xfId="51778" applyFont="1" applyBorder="1" applyAlignment="1">
      <alignment horizontal="center" vertical="center"/>
    </xf>
    <xf numFmtId="0" fontId="45" fillId="0" borderId="140" xfId="51778" applyFont="1" applyBorder="1" applyAlignment="1">
      <alignment horizontal="left" vertical="center" indent="2"/>
    </xf>
    <xf numFmtId="0" fontId="272" fillId="0" borderId="140" xfId="51778" applyFont="1" applyBorder="1" applyAlignment="1">
      <alignment horizontal="center" vertical="center"/>
    </xf>
    <xf numFmtId="0" fontId="272" fillId="0" borderId="140" xfId="51778" applyFont="1" applyBorder="1" applyAlignment="1">
      <alignment horizontal="left" vertical="center"/>
    </xf>
    <xf numFmtId="10" fontId="272" fillId="0" borderId="137" xfId="51779" applyNumberFormat="1" applyFont="1" applyFill="1" applyBorder="1" applyAlignment="1" applyProtection="1">
      <alignment horizontal="center" vertical="center"/>
    </xf>
    <xf numFmtId="0" fontId="31" fillId="0" borderId="142" xfId="51778" applyFont="1" applyBorder="1" applyAlignment="1">
      <alignment horizontal="left" vertical="center"/>
    </xf>
    <xf numFmtId="4" fontId="45" fillId="0" borderId="126" xfId="51780" applyNumberFormat="1" applyFont="1" applyFill="1" applyBorder="1" applyAlignment="1" applyProtection="1">
      <alignment horizontal="right" vertical="center" indent="1"/>
    </xf>
    <xf numFmtId="4" fontId="31" fillId="0" borderId="0" xfId="17" applyNumberFormat="1" applyFont="1" applyAlignment="1" applyProtection="1">
      <alignment horizontal="right" vertical="center"/>
    </xf>
    <xf numFmtId="0" fontId="45" fillId="0" borderId="142" xfId="51778" applyFont="1" applyBorder="1" applyAlignment="1">
      <alignment horizontal="left" vertical="center"/>
    </xf>
    <xf numFmtId="4" fontId="47" fillId="0" borderId="141" xfId="51780" applyNumberFormat="1" applyFont="1" applyFill="1" applyBorder="1" applyAlignment="1" applyProtection="1">
      <alignment horizontal="right" vertical="center" indent="1"/>
    </xf>
    <xf numFmtId="0" fontId="47" fillId="38" borderId="198" xfId="51778" applyFont="1" applyFill="1" applyBorder="1" applyAlignment="1">
      <alignment horizontal="left" vertical="center"/>
    </xf>
    <xf numFmtId="4" fontId="47" fillId="39" borderId="194" xfId="51785" applyNumberFormat="1" applyFont="1" applyFill="1" applyBorder="1" applyAlignment="1" applyProtection="1">
      <alignment horizontal="right" vertical="center" indent="1"/>
    </xf>
    <xf numFmtId="0" fontId="299" fillId="0" borderId="0" xfId="51778" applyFont="1" applyAlignment="1">
      <alignment horizontal="left" vertical="center"/>
    </xf>
    <xf numFmtId="0" fontId="61" fillId="0" borderId="135" xfId="51778" applyFont="1" applyBorder="1" applyAlignment="1">
      <alignment horizontal="left" vertical="center"/>
    </xf>
    <xf numFmtId="0" fontId="47" fillId="0" borderId="135" xfId="51778" applyFont="1" applyBorder="1" applyAlignment="1">
      <alignment horizontal="left" vertical="center"/>
    </xf>
    <xf numFmtId="44" fontId="287" fillId="0" borderId="0" xfId="51774" applyFont="1" applyAlignment="1" applyProtection="1">
      <alignment horizontal="left" vertical="center"/>
    </xf>
    <xf numFmtId="0" fontId="45" fillId="0" borderId="31" xfId="51778" applyFont="1" applyBorder="1" applyAlignment="1">
      <alignment horizontal="left" vertical="center"/>
    </xf>
    <xf numFmtId="44" fontId="31" fillId="0" borderId="0" xfId="51774" applyFont="1" applyFill="1" applyBorder="1" applyAlignment="1" applyProtection="1">
      <alignment horizontal="left" vertical="center"/>
    </xf>
    <xf numFmtId="4" fontId="45" fillId="38" borderId="61" xfId="0" applyNumberFormat="1" applyFont="1" applyFill="1" applyBorder="1" applyAlignment="1">
      <alignment horizontal="left" vertical="center"/>
    </xf>
    <xf numFmtId="4" fontId="0" fillId="38" borderId="61" xfId="0" applyNumberFormat="1" applyFill="1" applyBorder="1" applyAlignment="1">
      <alignment horizontal="right" vertical="center" indent="1"/>
    </xf>
    <xf numFmtId="4" fontId="0" fillId="38" borderId="155" xfId="0" applyNumberFormat="1" applyFill="1" applyBorder="1" applyAlignment="1">
      <alignment horizontal="right" vertical="center" indent="1"/>
    </xf>
    <xf numFmtId="4" fontId="47" fillId="39" borderId="50" xfId="51785" applyNumberFormat="1" applyFont="1" applyFill="1" applyBorder="1" applyAlignment="1" applyProtection="1">
      <alignment horizontal="right" vertical="center" indent="1"/>
    </xf>
    <xf numFmtId="4" fontId="287" fillId="0" borderId="0" xfId="51774" applyNumberFormat="1" applyFont="1" applyFill="1" applyBorder="1" applyAlignment="1" applyProtection="1">
      <alignment horizontal="right" vertical="center"/>
    </xf>
    <xf numFmtId="4" fontId="322" fillId="0" borderId="0" xfId="51778" applyNumberFormat="1" applyFont="1" applyAlignment="1">
      <alignment horizontal="right" vertical="center"/>
    </xf>
    <xf numFmtId="4" fontId="287" fillId="0" borderId="0" xfId="0" applyNumberFormat="1" applyFont="1"/>
    <xf numFmtId="4" fontId="47" fillId="38" borderId="61" xfId="0" applyNumberFormat="1" applyFont="1" applyFill="1" applyBorder="1" applyAlignment="1">
      <alignment horizontal="left" vertical="center"/>
    </xf>
    <xf numFmtId="164" fontId="31" fillId="0" borderId="0" xfId="23" applyFont="1" applyAlignment="1" applyProtection="1">
      <alignment horizontal="left" vertical="center"/>
    </xf>
    <xf numFmtId="0" fontId="45" fillId="0" borderId="154" xfId="51778" applyFont="1" applyBorder="1" applyAlignment="1">
      <alignment horizontal="left" vertical="center"/>
    </xf>
    <xf numFmtId="4" fontId="45" fillId="0" borderId="30" xfId="51780" applyNumberFormat="1" applyFont="1" applyFill="1" applyBorder="1" applyAlignment="1" applyProtection="1">
      <alignment horizontal="right" vertical="center" indent="1"/>
    </xf>
    <xf numFmtId="0" fontId="286" fillId="0" borderId="132" xfId="51778" applyFont="1" applyBorder="1" applyAlignment="1">
      <alignment horizontal="center" vertical="center"/>
    </xf>
    <xf numFmtId="0" fontId="286" fillId="0" borderId="135" xfId="51778" applyFont="1" applyBorder="1" applyAlignment="1">
      <alignment horizontal="left" vertical="center"/>
    </xf>
    <xf numFmtId="10" fontId="286" fillId="0" borderId="135" xfId="51779" applyNumberFormat="1" applyFont="1" applyFill="1" applyBorder="1" applyAlignment="1" applyProtection="1">
      <alignment horizontal="center" vertical="center"/>
    </xf>
    <xf numFmtId="4" fontId="286" fillId="0" borderId="133" xfId="51780" applyNumberFormat="1" applyFont="1" applyFill="1" applyBorder="1" applyAlignment="1" applyProtection="1">
      <alignment horizontal="right" vertical="center" indent="1"/>
    </xf>
    <xf numFmtId="0" fontId="45" fillId="0" borderId="0" xfId="51775" applyFont="1" applyAlignment="1">
      <alignment horizontal="right" vertical="center"/>
    </xf>
    <xf numFmtId="10" fontId="47" fillId="0" borderId="0" xfId="17" applyNumberFormat="1" applyFont="1" applyAlignment="1" applyProtection="1">
      <alignment horizontal="right"/>
    </xf>
    <xf numFmtId="10" fontId="45" fillId="0" borderId="0" xfId="17" applyNumberFormat="1" applyFont="1" applyAlignment="1" applyProtection="1">
      <alignment horizontal="left" vertical="center" indent="1"/>
    </xf>
    <xf numFmtId="257" fontId="45" fillId="0" borderId="0" xfId="51775" applyNumberFormat="1" applyFont="1" applyAlignment="1">
      <alignment horizontal="left" vertical="center"/>
    </xf>
    <xf numFmtId="0" fontId="31" fillId="0" borderId="135" xfId="51775" applyFont="1" applyBorder="1" applyAlignment="1">
      <alignment horizontal="left" vertical="center"/>
    </xf>
    <xf numFmtId="4" fontId="47" fillId="0" borderId="0" xfId="51794" applyNumberFormat="1" applyFont="1" applyAlignment="1">
      <alignment horizontal="right" vertical="center" wrapText="1"/>
    </xf>
    <xf numFmtId="9" fontId="45" fillId="0" borderId="0" xfId="17" applyFont="1" applyAlignment="1" applyProtection="1">
      <alignment horizontal="left" vertical="center"/>
    </xf>
    <xf numFmtId="0" fontId="45" fillId="0" borderId="0" xfId="0" applyFont="1" applyAlignment="1">
      <alignment vertical="center"/>
    </xf>
    <xf numFmtId="10" fontId="47" fillId="38" borderId="61" xfId="17" applyNumberFormat="1" applyFont="1" applyFill="1" applyBorder="1" applyAlignment="1" applyProtection="1">
      <alignment horizontal="center" vertical="center"/>
    </xf>
    <xf numFmtId="252" fontId="305" fillId="38" borderId="198" xfId="51799" applyNumberFormat="1" applyFont="1" applyFill="1" applyBorder="1" applyAlignment="1" applyProtection="1">
      <alignment horizontal="center" vertical="center"/>
    </xf>
    <xf numFmtId="4" fontId="0" fillId="0" borderId="0" xfId="0" applyNumberFormat="1" applyAlignment="1">
      <alignment horizontal="right"/>
    </xf>
    <xf numFmtId="246" fontId="31" fillId="0" borderId="0" xfId="17" applyNumberFormat="1" applyFont="1" applyAlignment="1" applyProtection="1">
      <alignment horizontal="left" vertical="center"/>
    </xf>
    <xf numFmtId="0" fontId="286" fillId="0" borderId="135" xfId="51775" applyFont="1" applyBorder="1" applyAlignment="1">
      <alignment horizontal="left" vertical="center"/>
    </xf>
    <xf numFmtId="0" fontId="286" fillId="0" borderId="142" xfId="51778" applyFont="1" applyBorder="1" applyAlignment="1">
      <alignment horizontal="left" vertical="center"/>
    </xf>
    <xf numFmtId="4" fontId="286" fillId="0" borderId="141" xfId="51780" applyNumberFormat="1" applyFont="1" applyFill="1" applyBorder="1" applyAlignment="1" applyProtection="1">
      <alignment horizontal="right" vertical="center" indent="1"/>
    </xf>
    <xf numFmtId="256" fontId="0" fillId="0" borderId="0" xfId="17" applyNumberFormat="1" applyFont="1" applyProtection="1"/>
    <xf numFmtId="10" fontId="0" fillId="0" borderId="0" xfId="17" applyNumberFormat="1" applyFont="1" applyAlignment="1" applyProtection="1">
      <alignment horizontal="right"/>
    </xf>
    <xf numFmtId="44" fontId="45" fillId="0" borderId="0" xfId="51774" applyFont="1" applyAlignment="1" applyProtection="1">
      <alignment horizontal="left" vertical="center"/>
    </xf>
    <xf numFmtId="0" fontId="0" fillId="0" borderId="0" xfId="0" applyAlignment="1">
      <alignment horizontal="right"/>
    </xf>
    <xf numFmtId="10" fontId="286" fillId="0" borderId="26" xfId="51778" applyNumberFormat="1" applyFont="1" applyBorder="1" applyAlignment="1">
      <alignment horizontal="center" vertical="center"/>
    </xf>
    <xf numFmtId="4" fontId="286" fillId="0" borderId="133" xfId="17" applyNumberFormat="1" applyFont="1" applyFill="1" applyBorder="1" applyAlignment="1" applyProtection="1">
      <alignment horizontal="right" vertical="center" wrapText="1" indent="1"/>
    </xf>
    <xf numFmtId="0" fontId="290" fillId="0" borderId="132" xfId="51798" applyFill="1" applyBorder="1" applyAlignment="1" applyProtection="1">
      <alignment horizontal="center" vertical="center"/>
    </xf>
    <xf numFmtId="252" fontId="45" fillId="0" borderId="135" xfId="51799" applyNumberFormat="1" applyFont="1" applyFill="1" applyBorder="1" applyAlignment="1" applyProtection="1">
      <alignment horizontal="center" vertical="center"/>
    </xf>
    <xf numFmtId="4" fontId="47" fillId="38" borderId="204" xfId="0" applyNumberFormat="1" applyFont="1" applyFill="1" applyBorder="1" applyAlignment="1">
      <alignment horizontal="centerContinuous" vertical="center"/>
    </xf>
    <xf numFmtId="4" fontId="47" fillId="38" borderId="205" xfId="0" applyNumberFormat="1" applyFont="1" applyFill="1" applyBorder="1" applyAlignment="1">
      <alignment horizontal="centerContinuous" vertical="center"/>
    </xf>
    <xf numFmtId="10" fontId="31" fillId="0" borderId="26" xfId="51778" applyNumberFormat="1" applyFont="1" applyBorder="1" applyAlignment="1">
      <alignment horizontal="center" vertical="center"/>
    </xf>
    <xf numFmtId="4" fontId="45" fillId="0" borderId="133" xfId="17" applyNumberFormat="1" applyFont="1" applyFill="1" applyBorder="1" applyAlignment="1" applyProtection="1">
      <alignment horizontal="right" vertical="center" wrapText="1" indent="1"/>
    </xf>
    <xf numFmtId="0" fontId="292" fillId="0" borderId="163" xfId="51775" applyFont="1" applyBorder="1" applyAlignment="1">
      <alignment horizontal="center" vertical="center"/>
    </xf>
    <xf numFmtId="4" fontId="45" fillId="0" borderId="141" xfId="51780" applyNumberFormat="1" applyFont="1" applyFill="1" applyBorder="1" applyAlignment="1" applyProtection="1">
      <alignment horizontal="right" vertical="center" indent="1"/>
    </xf>
    <xf numFmtId="0" fontId="292" fillId="0" borderId="162" xfId="51775" applyFont="1" applyBorder="1" applyAlignment="1">
      <alignment horizontal="center" vertical="center"/>
    </xf>
    <xf numFmtId="44" fontId="31" fillId="0" borderId="0" xfId="51774" applyFont="1" applyFill="1" applyAlignment="1" applyProtection="1">
      <alignment horizontal="left" vertical="center"/>
    </xf>
    <xf numFmtId="2" fontId="31" fillId="0" borderId="0" xfId="17" applyNumberFormat="1" applyFont="1" applyFill="1" applyAlignment="1" applyProtection="1">
      <alignment horizontal="center" vertical="center"/>
    </xf>
    <xf numFmtId="10" fontId="31" fillId="0" borderId="0" xfId="17" applyNumberFormat="1" applyFont="1" applyFill="1" applyAlignment="1" applyProtection="1">
      <alignment horizontal="center" vertical="center"/>
    </xf>
    <xf numFmtId="4" fontId="31" fillId="0" borderId="31" xfId="51774" applyNumberFormat="1" applyFont="1" applyBorder="1" applyAlignment="1" applyProtection="1">
      <alignment vertical="center"/>
    </xf>
    <xf numFmtId="4" fontId="45" fillId="0" borderId="156" xfId="17" applyNumberFormat="1" applyFont="1" applyFill="1" applyBorder="1" applyAlignment="1" applyProtection="1">
      <alignment horizontal="right" vertical="center" wrapText="1" indent="1"/>
    </xf>
    <xf numFmtId="4" fontId="45" fillId="0" borderId="156" xfId="51780" applyNumberFormat="1" applyFont="1" applyFill="1" applyBorder="1" applyAlignment="1" applyProtection="1">
      <alignment horizontal="right" vertical="center" indent="1"/>
    </xf>
    <xf numFmtId="0" fontId="45" fillId="0" borderId="135" xfId="51778" applyFont="1" applyBorder="1" applyAlignment="1">
      <alignment horizontal="right" vertical="center" indent="1"/>
    </xf>
    <xf numFmtId="44" fontId="31" fillId="0" borderId="0" xfId="51774" applyFont="1" applyFill="1" applyAlignment="1" applyProtection="1">
      <alignment horizontal="center" vertical="center"/>
    </xf>
    <xf numFmtId="10" fontId="0" fillId="0" borderId="0" xfId="0" applyNumberFormat="1"/>
    <xf numFmtId="239" fontId="286" fillId="0" borderId="161" xfId="51778" applyNumberFormat="1" applyFont="1" applyBorder="1" applyAlignment="1">
      <alignment horizontal="center" vertical="center"/>
    </xf>
    <xf numFmtId="4" fontId="286" fillId="0" borderId="137" xfId="17" applyNumberFormat="1" applyFont="1" applyFill="1" applyBorder="1" applyAlignment="1" applyProtection="1">
      <alignment horizontal="right" vertical="center" wrapText="1" indent="1"/>
    </xf>
    <xf numFmtId="0" fontId="45" fillId="0" borderId="134" xfId="51778" applyFont="1" applyBorder="1" applyAlignment="1">
      <alignment horizontal="center" vertical="center"/>
    </xf>
    <xf numFmtId="4" fontId="61" fillId="0" borderId="0" xfId="0" applyNumberFormat="1" applyFont="1" applyAlignment="1">
      <alignment horizontal="center" vertical="center"/>
    </xf>
    <xf numFmtId="4" fontId="61" fillId="0" borderId="0" xfId="51775" applyNumberFormat="1" applyFont="1" applyAlignment="1">
      <alignment horizontal="center" vertical="center"/>
    </xf>
    <xf numFmtId="4" fontId="322" fillId="0" borderId="0" xfId="51775" applyNumberFormat="1" applyFont="1" applyAlignment="1">
      <alignment horizontal="left" vertical="center"/>
    </xf>
    <xf numFmtId="0" fontId="45" fillId="0" borderId="22" xfId="51781" applyFont="1" applyBorder="1" applyAlignment="1">
      <alignment vertical="center"/>
    </xf>
    <xf numFmtId="0" fontId="295" fillId="0" borderId="22" xfId="51781" applyFont="1" applyBorder="1" applyAlignment="1">
      <alignment vertical="center"/>
    </xf>
    <xf numFmtId="0" fontId="286" fillId="0" borderId="22" xfId="51781" applyFont="1" applyBorder="1" applyAlignment="1">
      <alignment vertical="center"/>
    </xf>
    <xf numFmtId="0" fontId="272" fillId="38" borderId="147" xfId="51778" applyFont="1" applyFill="1" applyBorder="1" applyAlignment="1">
      <alignment horizontal="right" vertical="center"/>
    </xf>
    <xf numFmtId="14" fontId="31" fillId="38" borderId="155" xfId="51778" applyNumberFormat="1" applyFont="1" applyFill="1" applyBorder="1" applyAlignment="1">
      <alignment horizontal="center" vertical="center"/>
    </xf>
    <xf numFmtId="0" fontId="272" fillId="38" borderId="173" xfId="51778" applyFont="1" applyFill="1" applyBorder="1" applyAlignment="1">
      <alignment horizontal="center" vertical="center"/>
    </xf>
    <xf numFmtId="0" fontId="31" fillId="38" borderId="198" xfId="51778" applyFont="1" applyFill="1" applyBorder="1" applyAlignment="1">
      <alignment horizontal="left" vertical="center"/>
    </xf>
    <xf numFmtId="0" fontId="31" fillId="38" borderId="147" xfId="51778" applyFont="1" applyFill="1" applyBorder="1" applyAlignment="1">
      <alignment horizontal="left" vertical="center"/>
    </xf>
    <xf numFmtId="0" fontId="281" fillId="0" borderId="0" xfId="51775" applyFont="1">
      <alignment vertical="center"/>
    </xf>
    <xf numFmtId="10" fontId="45" fillId="0" borderId="201" xfId="51776" applyNumberFormat="1" applyFont="1" applyBorder="1" applyAlignment="1" applyProtection="1">
      <alignment horizontal="center" vertical="center"/>
    </xf>
    <xf numFmtId="4" fontId="270" fillId="0" borderId="0" xfId="51775" applyNumberFormat="1" applyFont="1" applyAlignment="1">
      <alignment horizontal="center" vertical="center"/>
    </xf>
    <xf numFmtId="0" fontId="270" fillId="0" borderId="0" xfId="51775" applyFont="1" applyAlignment="1">
      <alignment horizontal="center" vertical="center"/>
    </xf>
    <xf numFmtId="0" fontId="45" fillId="0" borderId="0" xfId="51775" applyFont="1" applyAlignment="1">
      <alignment horizontal="center" vertical="center"/>
    </xf>
    <xf numFmtId="0" fontId="45" fillId="0" borderId="0" xfId="51775" applyFont="1">
      <alignment vertical="center"/>
    </xf>
    <xf numFmtId="10" fontId="48" fillId="0" borderId="126" xfId="51776" applyNumberFormat="1" applyFont="1" applyBorder="1" applyAlignment="1" applyProtection="1">
      <alignment horizontal="left" vertical="center" indent="3"/>
    </xf>
    <xf numFmtId="0" fontId="282" fillId="0" borderId="0" xfId="51775" applyFont="1">
      <alignment vertical="center"/>
    </xf>
    <xf numFmtId="0" fontId="271" fillId="0" borderId="22" xfId="51775" applyFont="1" applyBorder="1">
      <alignment vertical="center"/>
    </xf>
    <xf numFmtId="0" fontId="45" fillId="0" borderId="22" xfId="51777" applyFont="1" applyBorder="1" applyAlignment="1">
      <alignment horizontal="center" vertical="center"/>
    </xf>
    <xf numFmtId="0" fontId="45" fillId="0" borderId="22" xfId="51777" applyFont="1" applyBorder="1" applyAlignment="1">
      <alignment vertical="center"/>
    </xf>
    <xf numFmtId="10" fontId="45" fillId="0" borderId="12" xfId="51776" applyNumberFormat="1" applyFont="1" applyBorder="1" applyAlignment="1" applyProtection="1">
      <alignment horizontal="center" vertical="center"/>
    </xf>
    <xf numFmtId="10" fontId="45" fillId="0" borderId="200" xfId="51779" applyNumberFormat="1" applyFont="1" applyFill="1" applyBorder="1" applyAlignment="1" applyProtection="1">
      <alignment horizontal="center" vertical="center"/>
    </xf>
    <xf numFmtId="10" fontId="45" fillId="46" borderId="163" xfId="51779" applyNumberFormat="1" applyFont="1" applyFill="1" applyBorder="1" applyAlignment="1" applyProtection="1">
      <alignment horizontal="center" vertical="center"/>
    </xf>
    <xf numFmtId="10" fontId="45" fillId="46" borderId="162" xfId="51779" applyNumberFormat="1" applyFont="1" applyFill="1" applyBorder="1" applyAlignment="1" applyProtection="1">
      <alignment horizontal="center" vertical="center"/>
    </xf>
    <xf numFmtId="4" fontId="45" fillId="46" borderId="159" xfId="51779" applyNumberFormat="1" applyFont="1" applyFill="1" applyBorder="1" applyAlignment="1" applyProtection="1">
      <alignment horizontal="center" vertical="center"/>
    </xf>
    <xf numFmtId="2" fontId="45" fillId="40" borderId="162" xfId="23" applyNumberFormat="1" applyFont="1" applyFill="1" applyBorder="1" applyAlignment="1" applyProtection="1">
      <alignment horizontal="center" vertical="center" wrapText="1"/>
      <protection locked="0"/>
    </xf>
    <xf numFmtId="2" fontId="45" fillId="40" borderId="186" xfId="23" applyNumberFormat="1" applyFont="1" applyFill="1" applyBorder="1" applyAlignment="1" applyProtection="1">
      <alignment horizontal="center" vertical="center" wrapText="1"/>
      <protection locked="0"/>
    </xf>
    <xf numFmtId="0" fontId="61" fillId="38" borderId="147" xfId="51778" applyFont="1" applyFill="1" applyBorder="1" applyAlignment="1">
      <alignment horizontal="center" vertical="center"/>
    </xf>
    <xf numFmtId="10" fontId="272" fillId="47" borderId="133" xfId="51779" applyNumberFormat="1" applyFont="1" applyFill="1" applyBorder="1" applyAlignment="1">
      <alignment horizontal="center" vertical="top"/>
    </xf>
    <xf numFmtId="10" fontId="31" fillId="0" borderId="0" xfId="17" applyNumberFormat="1" applyFont="1" applyAlignment="1">
      <alignment horizontal="left" vertical="top"/>
    </xf>
    <xf numFmtId="10" fontId="45" fillId="40" borderId="157" xfId="51779" applyNumberFormat="1" applyFont="1" applyFill="1" applyBorder="1" applyAlignment="1" applyProtection="1">
      <alignment horizontal="center" vertical="center"/>
      <protection locked="0" hidden="1"/>
    </xf>
    <xf numFmtId="0" fontId="61" fillId="48" borderId="194" xfId="51778" applyFont="1" applyFill="1" applyBorder="1" applyAlignment="1" applyProtection="1">
      <alignment horizontal="center" vertical="center"/>
      <protection hidden="1"/>
    </xf>
    <xf numFmtId="4" fontId="45" fillId="8" borderId="133" xfId="51780" applyNumberFormat="1" applyFont="1" applyFill="1" applyBorder="1" applyAlignment="1" applyProtection="1">
      <alignment horizontal="right" vertical="center" indent="1"/>
    </xf>
    <xf numFmtId="10" fontId="31" fillId="0" borderId="0" xfId="17" applyNumberFormat="1" applyFont="1" applyAlignment="1" applyProtection="1">
      <alignment horizontal="right" vertical="center"/>
    </xf>
    <xf numFmtId="9" fontId="0" fillId="0" borderId="0" xfId="17" applyFont="1" applyFill="1" applyBorder="1" applyProtection="1"/>
    <xf numFmtId="4" fontId="31" fillId="0" borderId="0" xfId="17" applyNumberFormat="1" applyFont="1" applyAlignment="1" applyProtection="1">
      <alignment vertical="center"/>
    </xf>
    <xf numFmtId="0" fontId="0" fillId="0" borderId="207" xfId="0" applyBorder="1" applyAlignment="1">
      <alignment horizontal="center"/>
    </xf>
    <xf numFmtId="44" fontId="157" fillId="0" borderId="210" xfId="18845" applyFont="1" applyBorder="1" applyAlignment="1">
      <alignment horizontal="center"/>
    </xf>
    <xf numFmtId="44" fontId="157" fillId="0" borderId="211" xfId="18845" applyFont="1" applyBorder="1" applyAlignment="1">
      <alignment horizontal="center"/>
    </xf>
    <xf numFmtId="0" fontId="0" fillId="49" borderId="212" xfId="0" applyFill="1" applyBorder="1"/>
    <xf numFmtId="44" fontId="0" fillId="49" borderId="213" xfId="18845" applyFont="1" applyFill="1" applyBorder="1"/>
    <xf numFmtId="243" fontId="47" fillId="39" borderId="194" xfId="0" applyNumberFormat="1" applyFont="1" applyFill="1" applyBorder="1" applyAlignment="1">
      <alignment horizontal="center" vertical="center"/>
    </xf>
    <xf numFmtId="164" fontId="0" fillId="0" borderId="0" xfId="23" applyFont="1" applyProtection="1"/>
    <xf numFmtId="239" fontId="47" fillId="0" borderId="0" xfId="17" applyNumberFormat="1" applyFont="1" applyBorder="1" applyProtection="1"/>
    <xf numFmtId="258" fontId="31" fillId="0" borderId="0" xfId="51778" applyNumberFormat="1" applyFont="1" applyAlignment="1">
      <alignment horizontal="left" vertical="center"/>
    </xf>
    <xf numFmtId="43" fontId="45" fillId="0" borderId="0" xfId="0" applyNumberFormat="1" applyFont="1"/>
    <xf numFmtId="44" fontId="3" fillId="0" borderId="0" xfId="51775" applyNumberFormat="1" applyFont="1" applyAlignment="1">
      <alignment horizontal="center" vertical="center"/>
    </xf>
    <xf numFmtId="258" fontId="3" fillId="0" borderId="0" xfId="51775" applyNumberFormat="1" applyFont="1" applyAlignment="1">
      <alignment horizontal="left" vertical="center"/>
    </xf>
    <xf numFmtId="258" fontId="3" fillId="0" borderId="0" xfId="51775" applyNumberFormat="1" applyFont="1" applyAlignment="1">
      <alignment horizontal="center" vertical="center"/>
    </xf>
    <xf numFmtId="9" fontId="0" fillId="0" borderId="0" xfId="17" applyFont="1" applyBorder="1" applyProtection="1"/>
    <xf numFmtId="44" fontId="0" fillId="0" borderId="0" xfId="51774" applyFont="1" applyFill="1" applyBorder="1" applyProtection="1"/>
    <xf numFmtId="44" fontId="31" fillId="0" borderId="0" xfId="51775" applyNumberFormat="1" applyFont="1" applyAlignment="1">
      <alignment horizontal="left" vertical="center"/>
    </xf>
    <xf numFmtId="2" fontId="47" fillId="50" borderId="207" xfId="0" applyNumberFormat="1" applyFont="1" applyFill="1" applyBorder="1" applyAlignment="1">
      <alignment horizontal="center" vertical="center"/>
    </xf>
    <xf numFmtId="164" fontId="47" fillId="50" borderId="207" xfId="23" applyFont="1" applyFill="1" applyBorder="1" applyAlignment="1">
      <alignment horizontal="center" vertical="center"/>
    </xf>
    <xf numFmtId="2" fontId="47" fillId="50" borderId="217" xfId="0" applyNumberFormat="1" applyFont="1" applyFill="1" applyBorder="1" applyAlignment="1">
      <alignment horizontal="center" vertical="center"/>
    </xf>
    <xf numFmtId="2" fontId="47" fillId="50" borderId="218" xfId="0" applyNumberFormat="1" applyFont="1" applyFill="1" applyBorder="1" applyAlignment="1">
      <alignment horizontal="center" vertical="center"/>
    </xf>
    <xf numFmtId="44" fontId="0" fillId="0" borderId="207" xfId="51774" applyFont="1" applyBorder="1" applyAlignment="1">
      <alignment horizontal="center"/>
    </xf>
    <xf numFmtId="0" fontId="3" fillId="0" borderId="219" xfId="51775" applyFont="1" applyBorder="1" applyAlignment="1" applyProtection="1">
      <alignment horizontal="center" vertical="center"/>
      <protection hidden="1"/>
    </xf>
    <xf numFmtId="44" fontId="3" fillId="0" borderId="220" xfId="51774" applyFont="1" applyBorder="1" applyAlignment="1" applyProtection="1">
      <alignment horizontal="center" vertical="center"/>
      <protection hidden="1"/>
    </xf>
    <xf numFmtId="0" fontId="0" fillId="0" borderId="220" xfId="0" applyBorder="1" applyAlignment="1">
      <alignment horizontal="center"/>
    </xf>
    <xf numFmtId="44" fontId="0" fillId="0" borderId="220" xfId="51774" applyFont="1" applyBorder="1" applyAlignment="1">
      <alignment horizontal="center"/>
    </xf>
    <xf numFmtId="0" fontId="0" fillId="0" borderId="221" xfId="0" applyBorder="1" applyAlignment="1">
      <alignment horizontal="center"/>
    </xf>
    <xf numFmtId="44" fontId="157" fillId="40" borderId="224" xfId="51774" applyFont="1" applyFill="1" applyBorder="1" applyAlignment="1" applyProtection="1">
      <alignment horizontal="center" vertical="center"/>
      <protection locked="0" hidden="1"/>
    </xf>
    <xf numFmtId="0" fontId="0" fillId="9" borderId="214" xfId="0" applyFill="1" applyBorder="1" applyAlignment="1">
      <alignment horizontal="center" vertical="center"/>
    </xf>
    <xf numFmtId="44" fontId="47" fillId="9" borderId="215" xfId="18845" applyFont="1" applyFill="1" applyBorder="1" applyAlignment="1">
      <alignment horizontal="center" vertical="center"/>
    </xf>
    <xf numFmtId="0" fontId="323" fillId="0" borderId="0" xfId="51778" applyFont="1" applyAlignment="1">
      <alignment horizontal="center" vertical="center"/>
    </xf>
    <xf numFmtId="4" fontId="47" fillId="38" borderId="173" xfId="0" applyNumberFormat="1" applyFont="1" applyFill="1" applyBorder="1" applyAlignment="1">
      <alignment horizontal="center" vertical="center"/>
    </xf>
    <xf numFmtId="44" fontId="0" fillId="0" borderId="0" xfId="51774" applyFont="1" applyFill="1" applyProtection="1"/>
    <xf numFmtId="10" fontId="287" fillId="46" borderId="162" xfId="51779" applyNumberFormat="1" applyFont="1" applyFill="1" applyBorder="1" applyAlignment="1" applyProtection="1">
      <alignment horizontal="center" vertical="center"/>
      <protection locked="0"/>
    </xf>
    <xf numFmtId="4" fontId="45" fillId="40" borderId="156" xfId="51780" applyNumberFormat="1" applyFont="1" applyFill="1" applyBorder="1" applyAlignment="1" applyProtection="1">
      <alignment horizontal="right" vertical="center" indent="1"/>
      <protection locked="0"/>
    </xf>
    <xf numFmtId="251" fontId="61" fillId="40" borderId="193" xfId="51799" applyNumberFormat="1" applyFont="1" applyFill="1" applyBorder="1" applyAlignment="1" applyProtection="1">
      <alignment horizontal="center" vertical="center"/>
      <protection locked="0"/>
    </xf>
    <xf numFmtId="10" fontId="31" fillId="0" borderId="158" xfId="51778" applyNumberFormat="1" applyFont="1" applyBorder="1" applyAlignment="1" applyProtection="1">
      <alignment horizontal="center" vertical="center"/>
      <protection hidden="1"/>
    </xf>
    <xf numFmtId="2" fontId="31" fillId="40" borderId="158" xfId="51778" applyNumberFormat="1" applyFont="1" applyFill="1" applyBorder="1" applyAlignment="1" applyProtection="1">
      <alignment horizontal="center" vertical="center"/>
      <protection hidden="1"/>
    </xf>
    <xf numFmtId="2" fontId="45" fillId="0" borderId="158" xfId="51778" applyNumberFormat="1" applyFont="1" applyBorder="1" applyAlignment="1" applyProtection="1">
      <alignment horizontal="center" vertical="center"/>
      <protection hidden="1"/>
    </xf>
    <xf numFmtId="2" fontId="272" fillId="0" borderId="227" xfId="51778" applyNumberFormat="1" applyFont="1" applyBorder="1" applyAlignment="1" applyProtection="1">
      <alignment horizontal="center" vertical="center"/>
      <protection hidden="1"/>
    </xf>
    <xf numFmtId="2" fontId="272" fillId="0" borderId="158" xfId="51778" applyNumberFormat="1" applyFont="1" applyBorder="1" applyAlignment="1" applyProtection="1">
      <alignment horizontal="center" vertical="center"/>
      <protection hidden="1"/>
    </xf>
    <xf numFmtId="2" fontId="272" fillId="0" borderId="157" xfId="51778" applyNumberFormat="1" applyFont="1" applyBorder="1" applyAlignment="1" applyProtection="1">
      <alignment horizontal="center" vertical="center"/>
      <protection hidden="1"/>
    </xf>
    <xf numFmtId="2" fontId="272" fillId="0" borderId="228" xfId="51778" applyNumberFormat="1" applyFont="1" applyBorder="1" applyAlignment="1" applyProtection="1">
      <alignment horizontal="center" vertical="center"/>
      <protection hidden="1"/>
    </xf>
    <xf numFmtId="0" fontId="3" fillId="0" borderId="207" xfId="51775" applyFont="1" applyBorder="1" applyAlignment="1" applyProtection="1">
      <alignment horizontal="left" vertical="center"/>
      <protection hidden="1"/>
    </xf>
    <xf numFmtId="0" fontId="45" fillId="0" borderId="207" xfId="0" applyFont="1" applyBorder="1" applyAlignment="1">
      <alignment horizontal="center"/>
    </xf>
    <xf numFmtId="0" fontId="3" fillId="0" borderId="207" xfId="51775" applyFont="1" applyBorder="1" applyAlignment="1" applyProtection="1">
      <alignment horizontal="center" vertical="center"/>
      <protection hidden="1"/>
    </xf>
    <xf numFmtId="164" fontId="3" fillId="0" borderId="207" xfId="23" applyFont="1" applyBorder="1" applyAlignment="1" applyProtection="1">
      <alignment horizontal="center" vertical="center"/>
      <protection hidden="1"/>
    </xf>
    <xf numFmtId="2" fontId="47" fillId="50" borderId="207" xfId="0" applyNumberFormat="1" applyFont="1" applyFill="1" applyBorder="1" applyAlignment="1">
      <alignment vertical="center"/>
    </xf>
    <xf numFmtId="0" fontId="3" fillId="0" borderId="220" xfId="51775" applyFont="1" applyBorder="1" applyAlignment="1" applyProtection="1">
      <alignment horizontal="left" vertical="center"/>
      <protection hidden="1"/>
    </xf>
    <xf numFmtId="44" fontId="0" fillId="0" borderId="0" xfId="0" applyNumberFormat="1" applyAlignment="1">
      <alignment horizontal="right"/>
    </xf>
    <xf numFmtId="4" fontId="47" fillId="38" borderId="204" xfId="0" applyNumberFormat="1" applyFont="1" applyFill="1" applyBorder="1" applyAlignment="1">
      <alignment horizontal="center" vertical="center"/>
    </xf>
    <xf numFmtId="44" fontId="326" fillId="9" borderId="207" xfId="51774" applyFont="1" applyFill="1" applyBorder="1" applyAlignment="1" applyProtection="1">
      <alignment horizontal="left" vertical="center"/>
    </xf>
    <xf numFmtId="10" fontId="31" fillId="9" borderId="207" xfId="17" applyNumberFormat="1" applyFont="1" applyFill="1" applyBorder="1" applyAlignment="1" applyProtection="1">
      <alignment horizontal="right" vertical="center"/>
    </xf>
    <xf numFmtId="44" fontId="0" fillId="9" borderId="0" xfId="0" applyNumberFormat="1" applyFill="1" applyAlignment="1">
      <alignment horizontal="right"/>
    </xf>
    <xf numFmtId="0" fontId="3" fillId="0" borderId="207" xfId="51775" applyFont="1" applyBorder="1" applyAlignment="1" applyProtection="1">
      <alignment horizontal="left" vertical="center" wrapText="1"/>
      <protection hidden="1"/>
    </xf>
    <xf numFmtId="44" fontId="3" fillId="0" borderId="207" xfId="51774" applyFont="1" applyFill="1" applyBorder="1" applyAlignment="1" applyProtection="1">
      <alignment horizontal="center" vertical="center"/>
      <protection hidden="1"/>
    </xf>
    <xf numFmtId="0" fontId="0" fillId="0" borderId="207" xfId="0" applyBorder="1" applyAlignment="1">
      <alignment horizontal="center" vertical="center"/>
    </xf>
    <xf numFmtId="44" fontId="0" fillId="0" borderId="207" xfId="51774" applyFont="1" applyFill="1" applyBorder="1" applyAlignment="1">
      <alignment horizontal="center" vertical="center"/>
    </xf>
    <xf numFmtId="0" fontId="45" fillId="0" borderId="207" xfId="0" applyFont="1" applyBorder="1" applyAlignment="1">
      <alignment horizontal="center" vertical="center"/>
    </xf>
    <xf numFmtId="0" fontId="3" fillId="0" borderId="207" xfId="51778" applyFont="1" applyBorder="1" applyAlignment="1" applyProtection="1">
      <alignment horizontal="center" vertical="center"/>
      <protection hidden="1"/>
    </xf>
    <xf numFmtId="0" fontId="3" fillId="0" borderId="207" xfId="51778" applyFont="1" applyBorder="1" applyAlignment="1" applyProtection="1">
      <alignment horizontal="left" vertical="center" wrapText="1"/>
      <protection hidden="1"/>
    </xf>
    <xf numFmtId="44" fontId="89" fillId="0" borderId="207" xfId="51774" applyFont="1" applyFill="1" applyBorder="1" applyAlignment="1">
      <alignment horizontal="center" vertical="center"/>
    </xf>
    <xf numFmtId="44" fontId="0" fillId="0" borderId="207" xfId="51774" applyFont="1" applyFill="1" applyBorder="1" applyAlignment="1">
      <alignment horizontal="center"/>
    </xf>
    <xf numFmtId="164" fontId="47" fillId="0" borderId="0" xfId="23" applyFont="1" applyFill="1" applyBorder="1" applyAlignment="1" applyProtection="1">
      <alignment horizontal="center" vertical="center"/>
    </xf>
    <xf numFmtId="164" fontId="61" fillId="0" borderId="0" xfId="23" applyFont="1" applyFill="1" applyBorder="1" applyAlignment="1" applyProtection="1">
      <alignment horizontal="center" vertical="center"/>
    </xf>
    <xf numFmtId="4" fontId="47" fillId="38" borderId="198" xfId="0" applyNumberFormat="1" applyFont="1" applyFill="1" applyBorder="1" applyAlignment="1">
      <alignment horizontal="left" vertical="center"/>
    </xf>
    <xf numFmtId="4" fontId="0" fillId="38" borderId="198" xfId="0" applyNumberFormat="1" applyFill="1" applyBorder="1" applyAlignment="1">
      <alignment horizontal="right" vertical="center" indent="1"/>
    </xf>
    <xf numFmtId="4" fontId="0" fillId="38" borderId="205" xfId="0" applyNumberFormat="1" applyFill="1" applyBorder="1" applyAlignment="1">
      <alignment horizontal="right" vertical="center" indent="1"/>
    </xf>
    <xf numFmtId="0" fontId="45" fillId="0" borderId="136" xfId="51778" applyFont="1" applyBorder="1" applyAlignment="1">
      <alignment horizontal="center" vertical="center"/>
    </xf>
    <xf numFmtId="0" fontId="45" fillId="0" borderId="140" xfId="51778" applyFont="1" applyBorder="1" applyAlignment="1">
      <alignment horizontal="left" vertical="center"/>
    </xf>
    <xf numFmtId="0" fontId="45" fillId="0" borderId="22" xfId="51778" applyFont="1" applyBorder="1" applyAlignment="1">
      <alignment horizontal="left" vertical="center"/>
    </xf>
    <xf numFmtId="10" fontId="324" fillId="0" borderId="22" xfId="51783" applyNumberFormat="1" applyFont="1" applyFill="1" applyBorder="1" applyAlignment="1" applyProtection="1">
      <alignment horizontal="center" vertical="center"/>
    </xf>
    <xf numFmtId="4" fontId="45" fillId="0" borderId="137" xfId="51780" applyNumberFormat="1" applyFont="1" applyFill="1" applyBorder="1" applyAlignment="1" applyProtection="1">
      <alignment horizontal="right" vertical="center" indent="1"/>
    </xf>
    <xf numFmtId="4" fontId="47" fillId="0" borderId="133" xfId="51780" applyNumberFormat="1" applyFont="1" applyFill="1" applyBorder="1" applyAlignment="1" applyProtection="1">
      <alignment horizontal="right" vertical="center" indent="1"/>
    </xf>
    <xf numFmtId="4" fontId="287" fillId="40" borderId="157" xfId="17" applyNumberFormat="1" applyFont="1" applyFill="1" applyBorder="1" applyAlignment="1" applyProtection="1">
      <alignment horizontal="center" vertical="center"/>
      <protection hidden="1"/>
    </xf>
    <xf numFmtId="4" fontId="287" fillId="40" borderId="27" xfId="17" applyNumberFormat="1" applyFont="1" applyFill="1" applyBorder="1" applyAlignment="1" applyProtection="1">
      <alignment horizontal="center" vertical="center"/>
      <protection hidden="1"/>
    </xf>
    <xf numFmtId="0" fontId="31" fillId="0" borderId="212" xfId="51778" applyFont="1" applyBorder="1" applyAlignment="1" applyProtection="1">
      <alignment horizontal="left" vertical="center"/>
      <protection hidden="1"/>
    </xf>
    <xf numFmtId="4" fontId="31" fillId="40" borderId="229" xfId="51782" applyNumberFormat="1" applyFont="1" applyFill="1" applyBorder="1" applyAlignment="1" applyProtection="1">
      <alignment horizontal="center" vertical="center"/>
      <protection hidden="1"/>
    </xf>
    <xf numFmtId="4" fontId="31" fillId="40" borderId="230" xfId="51782" applyNumberFormat="1" applyFont="1" applyFill="1" applyBorder="1" applyAlignment="1" applyProtection="1">
      <alignment horizontal="center" vertical="center"/>
      <protection hidden="1"/>
    </xf>
    <xf numFmtId="0" fontId="31" fillId="0" borderId="212" xfId="51778" applyFont="1" applyBorder="1" applyAlignment="1" applyProtection="1">
      <alignment horizontal="center" vertical="center"/>
      <protection hidden="1"/>
    </xf>
    <xf numFmtId="0" fontId="300" fillId="0" borderId="212" xfId="51778" applyFont="1" applyBorder="1" applyAlignment="1" applyProtection="1">
      <alignment horizontal="left" vertical="center"/>
      <protection hidden="1"/>
    </xf>
    <xf numFmtId="0" fontId="91" fillId="0" borderId="212" xfId="0" applyFont="1" applyBorder="1" applyProtection="1">
      <protection hidden="1"/>
    </xf>
    <xf numFmtId="164" fontId="45" fillId="0" borderId="207" xfId="23" applyFont="1" applyBorder="1" applyAlignment="1">
      <alignment horizontal="center" vertical="center"/>
    </xf>
    <xf numFmtId="164" fontId="0" fillId="0" borderId="207" xfId="23" applyFont="1" applyBorder="1" applyAlignment="1">
      <alignment horizontal="center" vertical="center"/>
    </xf>
    <xf numFmtId="164" fontId="45" fillId="0" borderId="207" xfId="23" applyFont="1" applyBorder="1" applyAlignment="1">
      <alignment horizontal="center"/>
    </xf>
    <xf numFmtId="10" fontId="45" fillId="0" borderId="135" xfId="51779" applyNumberFormat="1" applyFont="1" applyFill="1" applyBorder="1" applyAlignment="1" applyProtection="1">
      <alignment horizontal="center" vertical="center"/>
      <protection locked="0"/>
    </xf>
    <xf numFmtId="164" fontId="61" fillId="0" borderId="194" xfId="23" applyFont="1" applyFill="1" applyBorder="1" applyAlignment="1" applyProtection="1">
      <alignment horizontal="center" vertical="center"/>
    </xf>
    <xf numFmtId="44" fontId="31" fillId="0" borderId="7" xfId="18845" applyFont="1" applyBorder="1" applyAlignment="1" applyProtection="1">
      <alignment horizontal="right" vertical="center"/>
    </xf>
    <xf numFmtId="44" fontId="31" fillId="0" borderId="207" xfId="18845" applyFont="1" applyBorder="1" applyAlignment="1" applyProtection="1">
      <alignment horizontal="right" vertical="center"/>
    </xf>
    <xf numFmtId="4" fontId="45" fillId="43" borderId="156" xfId="51780" applyNumberFormat="1" applyFont="1" applyFill="1" applyBorder="1" applyAlignment="1" applyProtection="1">
      <alignment horizontal="right" vertical="center" indent="1"/>
      <protection locked="0"/>
    </xf>
    <xf numFmtId="10" fontId="45" fillId="43" borderId="135" xfId="51779" applyNumberFormat="1" applyFont="1" applyFill="1" applyBorder="1" applyAlignment="1" applyProtection="1">
      <alignment horizontal="center" vertical="center"/>
      <protection locked="0"/>
    </xf>
    <xf numFmtId="10" fontId="45" fillId="9" borderId="162" xfId="51779" applyNumberFormat="1" applyFont="1" applyFill="1" applyBorder="1" applyAlignment="1" applyProtection="1">
      <alignment horizontal="center" vertical="center"/>
    </xf>
    <xf numFmtId="164" fontId="31" fillId="0" borderId="194" xfId="23" applyFont="1" applyBorder="1" applyAlignment="1" applyProtection="1">
      <alignment horizontal="right" vertical="center"/>
    </xf>
    <xf numFmtId="10" fontId="329" fillId="0" borderId="0" xfId="17" applyNumberFormat="1" applyFont="1" applyAlignment="1" applyProtection="1">
      <alignment horizontal="center" vertical="center"/>
    </xf>
    <xf numFmtId="164" fontId="31" fillId="0" borderId="231" xfId="23" applyFont="1" applyBorder="1" applyAlignment="1" applyProtection="1">
      <alignment horizontal="right" vertical="center"/>
    </xf>
    <xf numFmtId="0" fontId="294" fillId="0" borderId="0" xfId="0" applyFont="1"/>
    <xf numFmtId="0" fontId="45" fillId="0" borderId="0" xfId="0" applyFont="1" applyAlignment="1">
      <alignment horizontal="right"/>
    </xf>
    <xf numFmtId="4" fontId="45" fillId="0" borderId="0" xfId="0" applyNumberFormat="1" applyFont="1" applyAlignment="1">
      <alignment horizontal="right"/>
    </xf>
    <xf numFmtId="4" fontId="47" fillId="51" borderId="207" xfId="51785" applyNumberFormat="1" applyFont="1" applyFill="1" applyBorder="1" applyAlignment="1" applyProtection="1">
      <alignment horizontal="right" vertical="center" indent="1"/>
    </xf>
    <xf numFmtId="4" fontId="47" fillId="52" borderId="207" xfId="51785" applyNumberFormat="1" applyFont="1" applyFill="1" applyBorder="1" applyAlignment="1" applyProtection="1">
      <alignment horizontal="right" vertical="center" indent="1"/>
    </xf>
    <xf numFmtId="4" fontId="47" fillId="47" borderId="207" xfId="51785" applyNumberFormat="1" applyFont="1" applyFill="1" applyBorder="1" applyAlignment="1" applyProtection="1">
      <alignment horizontal="right" vertical="center" indent="1"/>
    </xf>
    <xf numFmtId="4" fontId="47" fillId="53" borderId="207" xfId="51785" applyNumberFormat="1" applyFont="1" applyFill="1" applyBorder="1" applyAlignment="1" applyProtection="1">
      <alignment horizontal="right" vertical="center" indent="1"/>
    </xf>
    <xf numFmtId="0" fontId="329" fillId="0" borderId="0" xfId="51778" applyFont="1" applyAlignment="1">
      <alignment horizontal="left" vertical="center"/>
    </xf>
    <xf numFmtId="4" fontId="31" fillId="0" borderId="0" xfId="51778" applyNumberFormat="1" applyFont="1" applyAlignment="1">
      <alignment horizontal="right" vertical="center"/>
    </xf>
    <xf numFmtId="4" fontId="0" fillId="0" borderId="0" xfId="0" applyNumberFormat="1" applyAlignment="1">
      <alignment horizontal="left"/>
    </xf>
    <xf numFmtId="4" fontId="31" fillId="0" borderId="0" xfId="17" applyNumberFormat="1" applyFont="1" applyFill="1" applyBorder="1" applyAlignment="1" applyProtection="1">
      <alignment horizontal="right" vertical="center"/>
    </xf>
    <xf numFmtId="4" fontId="47" fillId="0" borderId="207" xfId="51785" applyNumberFormat="1" applyFont="1" applyFill="1" applyBorder="1" applyAlignment="1" applyProtection="1">
      <alignment horizontal="right" vertical="center" indent="1"/>
    </xf>
    <xf numFmtId="0" fontId="0" fillId="0" borderId="207" xfId="0" applyBorder="1"/>
    <xf numFmtId="4" fontId="0" fillId="0" borderId="207" xfId="0" applyNumberFormat="1" applyBorder="1" applyAlignment="1">
      <alignment horizontal="right" vertical="center" indent="1"/>
    </xf>
    <xf numFmtId="4" fontId="0" fillId="0" borderId="207" xfId="0" applyNumberFormat="1" applyBorder="1" applyAlignment="1">
      <alignment horizontal="right" indent="1"/>
    </xf>
    <xf numFmtId="164" fontId="31" fillId="0" borderId="0" xfId="23" applyFont="1" applyAlignment="1">
      <alignment horizontal="left" vertical="center"/>
    </xf>
    <xf numFmtId="259" fontId="269" fillId="0" borderId="0" xfId="51775" applyNumberFormat="1" applyFont="1">
      <alignment vertical="center"/>
    </xf>
    <xf numFmtId="259" fontId="271" fillId="0" borderId="0" xfId="51775" applyNumberFormat="1" applyFont="1">
      <alignment vertical="center"/>
    </xf>
    <xf numFmtId="259" fontId="31" fillId="0" borderId="0" xfId="51775" applyNumberFormat="1" applyFont="1" applyAlignment="1">
      <alignment horizontal="left" vertical="center"/>
    </xf>
    <xf numFmtId="259" fontId="45" fillId="0" borderId="0" xfId="51775" applyNumberFormat="1" applyFont="1" applyAlignment="1">
      <alignment horizontal="left" vertical="center"/>
    </xf>
    <xf numFmtId="259" fontId="45" fillId="0" borderId="0" xfId="51778" applyNumberFormat="1" applyFont="1" applyAlignment="1">
      <alignment horizontal="left" vertical="center"/>
    </xf>
    <xf numFmtId="259" fontId="31" fillId="0" borderId="0" xfId="51778" applyNumberFormat="1" applyFont="1" applyAlignment="1">
      <alignment horizontal="left" vertical="center"/>
    </xf>
    <xf numFmtId="259" fontId="0" fillId="0" borderId="0" xfId="0" applyNumberFormat="1"/>
    <xf numFmtId="259" fontId="31" fillId="0" borderId="0" xfId="51774" applyNumberFormat="1" applyFont="1" applyAlignment="1">
      <alignment horizontal="left" vertical="center"/>
    </xf>
    <xf numFmtId="9" fontId="0" fillId="0" borderId="0" xfId="17" applyFont="1" applyAlignment="1">
      <alignment horizontal="center"/>
    </xf>
    <xf numFmtId="43" fontId="31" fillId="0" borderId="0" xfId="51778" applyNumberFormat="1" applyFont="1" applyAlignment="1">
      <alignment horizontal="left" vertical="center"/>
    </xf>
    <xf numFmtId="0" fontId="269" fillId="0" borderId="144" xfId="51775" applyFont="1" applyBorder="1" applyAlignment="1">
      <alignment horizontal="center" vertical="center"/>
    </xf>
    <xf numFmtId="0" fontId="269" fillId="0" borderId="125" xfId="51775" applyFont="1" applyBorder="1" applyAlignment="1">
      <alignment horizontal="center" vertical="center"/>
    </xf>
    <xf numFmtId="0" fontId="269" fillId="0" borderId="21" xfId="51775" applyFont="1" applyBorder="1" applyAlignment="1">
      <alignment horizontal="center" vertical="center"/>
    </xf>
    <xf numFmtId="0" fontId="270" fillId="0" borderId="145" xfId="51775" applyFont="1" applyBorder="1" applyAlignment="1">
      <alignment horizontal="center" vertical="center"/>
    </xf>
    <xf numFmtId="4" fontId="47" fillId="38" borderId="204" xfId="0" applyNumberFormat="1" applyFont="1" applyFill="1" applyBorder="1" applyAlignment="1">
      <alignment horizontal="center" vertical="center"/>
    </xf>
    <xf numFmtId="4" fontId="47" fillId="38" borderId="205" xfId="0" applyNumberFormat="1" applyFont="1" applyFill="1" applyBorder="1" applyAlignment="1">
      <alignment horizontal="center" vertical="center"/>
    </xf>
    <xf numFmtId="0" fontId="323" fillId="0" borderId="0" xfId="51778" applyFont="1" applyAlignment="1">
      <alignment horizontal="center" vertical="center"/>
    </xf>
    <xf numFmtId="10" fontId="47" fillId="0" borderId="132" xfId="51778" applyNumberFormat="1" applyFont="1" applyBorder="1" applyAlignment="1">
      <alignment horizontal="center" vertical="center"/>
    </xf>
    <xf numFmtId="10" fontId="47" fillId="0" borderId="133" xfId="51778" applyNumberFormat="1" applyFont="1" applyBorder="1" applyAlignment="1">
      <alignment horizontal="center" vertical="center"/>
    </xf>
    <xf numFmtId="239" fontId="45" fillId="0" borderId="136" xfId="51778" applyNumberFormat="1" applyFont="1" applyBorder="1" applyAlignment="1">
      <alignment horizontal="center" vertical="center"/>
    </xf>
    <xf numFmtId="239" fontId="45" fillId="0" borderId="137" xfId="51778" applyNumberFormat="1" applyFont="1" applyBorder="1" applyAlignment="1">
      <alignment horizontal="center" vertical="center"/>
    </xf>
    <xf numFmtId="4" fontId="47" fillId="38" borderId="173" xfId="0" applyNumberFormat="1" applyFont="1" applyFill="1" applyBorder="1" applyAlignment="1">
      <alignment horizontal="center" vertical="center"/>
    </xf>
    <xf numFmtId="4" fontId="47" fillId="38" borderId="155" xfId="0" applyNumberFormat="1" applyFont="1" applyFill="1" applyBorder="1" applyAlignment="1">
      <alignment horizontal="center" vertical="center"/>
    </xf>
    <xf numFmtId="0" fontId="280" fillId="48" borderId="214" xfId="51778" applyFont="1" applyFill="1" applyBorder="1" applyAlignment="1" applyProtection="1">
      <alignment horizontal="center" vertical="center"/>
      <protection hidden="1"/>
    </xf>
    <xf numFmtId="0" fontId="280" fillId="48" borderId="9" xfId="51778" applyFont="1" applyFill="1" applyBorder="1" applyAlignment="1" applyProtection="1">
      <alignment horizontal="center" vertical="center"/>
      <protection hidden="1"/>
    </xf>
    <xf numFmtId="0" fontId="280" fillId="48" borderId="215" xfId="51778" applyFont="1" applyFill="1" applyBorder="1" applyAlignment="1" applyProtection="1">
      <alignment horizontal="center" vertical="center"/>
      <protection hidden="1"/>
    </xf>
    <xf numFmtId="0" fontId="280" fillId="0" borderId="173" xfId="51778" applyFont="1" applyBorder="1" applyAlignment="1" applyProtection="1">
      <alignment horizontal="center" vertical="center"/>
      <protection hidden="1"/>
    </xf>
    <xf numFmtId="0" fontId="280" fillId="0" borderId="147" xfId="51778" applyFont="1" applyBorder="1" applyAlignment="1" applyProtection="1">
      <alignment horizontal="center" vertical="center"/>
      <protection hidden="1"/>
    </xf>
    <xf numFmtId="0" fontId="280" fillId="0" borderId="155" xfId="51778" applyFont="1" applyBorder="1" applyAlignment="1" applyProtection="1">
      <alignment horizontal="center" vertical="center"/>
      <protection hidden="1"/>
    </xf>
    <xf numFmtId="0" fontId="31" fillId="0" borderId="32" xfId="51778" applyFont="1" applyBorder="1" applyAlignment="1" applyProtection="1">
      <alignment horizontal="left" vertical="center" indent="1"/>
      <protection hidden="1"/>
    </xf>
    <xf numFmtId="0" fontId="31" fillId="0" borderId="0" xfId="51778" applyFont="1" applyAlignment="1" applyProtection="1">
      <alignment horizontal="left" vertical="center" indent="1"/>
      <protection hidden="1"/>
    </xf>
    <xf numFmtId="0" fontId="31" fillId="0" borderId="176" xfId="51778" applyFont="1" applyBorder="1" applyAlignment="1" applyProtection="1">
      <alignment horizontal="left" vertical="center" indent="1"/>
      <protection hidden="1"/>
    </xf>
    <xf numFmtId="0" fontId="31" fillId="0" borderId="159" xfId="51778" applyFont="1" applyBorder="1" applyAlignment="1" applyProtection="1">
      <alignment horizontal="left" vertical="center" indent="1"/>
      <protection hidden="1"/>
    </xf>
    <xf numFmtId="0" fontId="31" fillId="0" borderId="135" xfId="51778" applyFont="1" applyBorder="1" applyAlignment="1" applyProtection="1">
      <alignment horizontal="left" vertical="center" indent="1"/>
      <protection hidden="1"/>
    </xf>
    <xf numFmtId="0" fontId="31" fillId="0" borderId="160" xfId="51778" applyFont="1" applyBorder="1" applyAlignment="1" applyProtection="1">
      <alignment horizontal="left" vertical="center" indent="1"/>
      <protection hidden="1"/>
    </xf>
    <xf numFmtId="0" fontId="45" fillId="40" borderId="135" xfId="51778" applyFont="1" applyFill="1" applyBorder="1" applyAlignment="1" applyProtection="1">
      <alignment horizontal="center" vertical="center" wrapText="1"/>
      <protection hidden="1"/>
    </xf>
    <xf numFmtId="0" fontId="272" fillId="0" borderId="159" xfId="51778" applyFont="1" applyBorder="1" applyAlignment="1" applyProtection="1">
      <alignment horizontal="left" vertical="center" indent="1"/>
      <protection hidden="1"/>
    </xf>
    <xf numFmtId="0" fontId="272" fillId="0" borderId="135" xfId="51778" applyFont="1" applyBorder="1" applyAlignment="1" applyProtection="1">
      <alignment horizontal="left" vertical="center" indent="1"/>
      <protection hidden="1"/>
    </xf>
    <xf numFmtId="0" fontId="272" fillId="0" borderId="160" xfId="51778" applyFont="1" applyBorder="1" applyAlignment="1" applyProtection="1">
      <alignment horizontal="left" vertical="center" indent="1"/>
      <protection hidden="1"/>
    </xf>
    <xf numFmtId="0" fontId="272" fillId="0" borderId="167" xfId="51778" applyFont="1" applyBorder="1" applyAlignment="1" applyProtection="1">
      <alignment horizontal="left" vertical="center" indent="1"/>
      <protection hidden="1"/>
    </xf>
    <xf numFmtId="0" fontId="272" fillId="0" borderId="154" xfId="51778" applyFont="1" applyBorder="1" applyAlignment="1" applyProtection="1">
      <alignment horizontal="left" vertical="center" indent="1"/>
      <protection hidden="1"/>
    </xf>
    <xf numFmtId="0" fontId="272" fillId="0" borderId="168" xfId="51778" applyFont="1" applyBorder="1" applyAlignment="1" applyProtection="1">
      <alignment horizontal="left" vertical="center" indent="1"/>
      <protection hidden="1"/>
    </xf>
    <xf numFmtId="0" fontId="45" fillId="0" borderId="159" xfId="51778" applyFont="1" applyBorder="1" applyAlignment="1" applyProtection="1">
      <alignment horizontal="left" vertical="center" indent="1"/>
      <protection hidden="1"/>
    </xf>
    <xf numFmtId="0" fontId="45" fillId="0" borderId="135" xfId="51778" applyFont="1" applyBorder="1" applyAlignment="1" applyProtection="1">
      <alignment horizontal="left" vertical="center" indent="1"/>
      <protection hidden="1"/>
    </xf>
    <xf numFmtId="0" fontId="45" fillId="0" borderId="160" xfId="51778" applyFont="1" applyBorder="1" applyAlignment="1" applyProtection="1">
      <alignment horizontal="left" vertical="center" indent="1"/>
      <protection hidden="1"/>
    </xf>
    <xf numFmtId="0" fontId="45" fillId="0" borderId="167" xfId="51778" applyFont="1" applyBorder="1" applyAlignment="1" applyProtection="1">
      <alignment horizontal="left" vertical="center" indent="1"/>
      <protection hidden="1"/>
    </xf>
    <xf numFmtId="0" fontId="45" fillId="0" borderId="154" xfId="51778" applyFont="1" applyBorder="1" applyAlignment="1" applyProtection="1">
      <alignment horizontal="left" vertical="center" indent="1"/>
      <protection hidden="1"/>
    </xf>
    <xf numFmtId="0" fontId="45" fillId="0" borderId="168" xfId="51778" applyFont="1" applyBorder="1" applyAlignment="1" applyProtection="1">
      <alignment horizontal="left" vertical="center" indent="1"/>
      <protection hidden="1"/>
    </xf>
    <xf numFmtId="0" fontId="31" fillId="0" borderId="167" xfId="51778" applyFont="1" applyBorder="1" applyAlignment="1" applyProtection="1">
      <alignment horizontal="left" vertical="center" indent="1"/>
      <protection hidden="1"/>
    </xf>
    <xf numFmtId="0" fontId="31" fillId="0" borderId="154" xfId="51778" applyFont="1" applyBorder="1" applyAlignment="1" applyProtection="1">
      <alignment horizontal="left" vertical="center" indent="1"/>
      <protection hidden="1"/>
    </xf>
    <xf numFmtId="0" fontId="31" fillId="0" borderId="168" xfId="51778" applyFont="1" applyBorder="1" applyAlignment="1" applyProtection="1">
      <alignment horizontal="left" vertical="center" indent="1"/>
      <protection hidden="1"/>
    </xf>
    <xf numFmtId="0" fontId="264" fillId="40" borderId="179" xfId="51788" applyFont="1" applyFill="1" applyBorder="1" applyAlignment="1" applyProtection="1">
      <alignment horizontal="left" vertical="center" indent="1"/>
      <protection hidden="1"/>
    </xf>
    <xf numFmtId="0" fontId="264" fillId="40" borderId="145" xfId="51788" applyFont="1" applyFill="1" applyBorder="1" applyAlignment="1" applyProtection="1">
      <alignment horizontal="left" vertical="center" indent="1"/>
      <protection hidden="1"/>
    </xf>
    <xf numFmtId="0" fontId="264" fillId="40" borderId="180" xfId="51788" applyFont="1" applyFill="1" applyBorder="1" applyAlignment="1" applyProtection="1">
      <alignment horizontal="left" vertical="center" indent="1"/>
      <protection hidden="1"/>
    </xf>
    <xf numFmtId="0" fontId="264" fillId="40" borderId="171" xfId="51788" applyFont="1" applyFill="1" applyBorder="1" applyAlignment="1" applyProtection="1">
      <alignment horizontal="left" vertical="center" indent="1"/>
      <protection hidden="1"/>
    </xf>
    <xf numFmtId="0" fontId="264" fillId="40" borderId="22" xfId="51788" applyFont="1" applyFill="1" applyBorder="1" applyAlignment="1" applyProtection="1">
      <alignment horizontal="left" vertical="center" indent="1"/>
      <protection hidden="1"/>
    </xf>
    <xf numFmtId="0" fontId="264" fillId="40" borderId="181" xfId="51788" applyFont="1" applyFill="1" applyBorder="1" applyAlignment="1" applyProtection="1">
      <alignment horizontal="left" vertical="center" indent="1"/>
      <protection hidden="1"/>
    </xf>
    <xf numFmtId="0" fontId="264" fillId="40" borderId="182" xfId="51788" applyFont="1" applyFill="1" applyBorder="1" applyAlignment="1" applyProtection="1">
      <alignment horizontal="center" vertical="center"/>
      <protection hidden="1"/>
    </xf>
    <xf numFmtId="0" fontId="264" fillId="40" borderId="183" xfId="51788" applyFont="1" applyFill="1" applyBorder="1" applyAlignment="1" applyProtection="1">
      <alignment horizontal="center" vertical="center"/>
      <protection hidden="1"/>
    </xf>
    <xf numFmtId="0" fontId="272" fillId="0" borderId="159" xfId="51778" applyFont="1" applyBorder="1" applyAlignment="1" applyProtection="1">
      <alignment horizontal="left" vertical="center" wrapText="1" indent="1"/>
      <protection hidden="1"/>
    </xf>
    <xf numFmtId="0" fontId="272" fillId="0" borderId="135" xfId="51778" applyFont="1" applyBorder="1" applyAlignment="1" applyProtection="1">
      <alignment horizontal="left" vertical="center" wrapText="1" indent="1"/>
      <protection hidden="1"/>
    </xf>
    <xf numFmtId="0" fontId="272" fillId="0" borderId="160" xfId="51778" applyFont="1" applyBorder="1" applyAlignment="1" applyProtection="1">
      <alignment horizontal="left" vertical="center" wrapText="1" indent="1"/>
      <protection hidden="1"/>
    </xf>
    <xf numFmtId="49" fontId="264" fillId="38" borderId="187" xfId="51788" applyNumberFormat="1" applyFont="1" applyFill="1" applyBorder="1" applyAlignment="1" applyProtection="1">
      <alignment horizontal="center" vertical="center"/>
      <protection hidden="1"/>
    </xf>
    <xf numFmtId="49" fontId="264" fillId="38" borderId="190" xfId="51788" applyNumberFormat="1" applyFont="1" applyFill="1" applyBorder="1" applyAlignment="1" applyProtection="1">
      <alignment horizontal="center" vertical="center"/>
      <protection hidden="1"/>
    </xf>
    <xf numFmtId="0" fontId="302" fillId="38" borderId="188" xfId="51778" applyFont="1" applyFill="1" applyBorder="1" applyAlignment="1" applyProtection="1">
      <alignment horizontal="center" vertical="center"/>
      <protection hidden="1"/>
    </xf>
    <xf numFmtId="0" fontId="302" fillId="38" borderId="8" xfId="51778" applyFont="1" applyFill="1" applyBorder="1" applyAlignment="1" applyProtection="1">
      <alignment horizontal="center" vertical="center"/>
      <protection hidden="1"/>
    </xf>
    <xf numFmtId="0" fontId="302" fillId="38" borderId="188" xfId="51778" applyFont="1" applyFill="1" applyBorder="1" applyAlignment="1" applyProtection="1">
      <alignment horizontal="left" vertical="center" indent="1"/>
      <protection hidden="1"/>
    </xf>
    <xf numFmtId="0" fontId="302" fillId="38" borderId="8" xfId="51778" applyFont="1" applyFill="1" applyBorder="1" applyAlignment="1" applyProtection="1">
      <alignment horizontal="left" vertical="center" indent="1"/>
      <protection hidden="1"/>
    </xf>
    <xf numFmtId="49" fontId="264" fillId="40" borderId="177" xfId="51788" applyNumberFormat="1" applyFont="1" applyFill="1" applyBorder="1" applyAlignment="1" applyProtection="1">
      <alignment horizontal="center" vertical="center"/>
      <protection hidden="1"/>
    </xf>
    <xf numFmtId="49" fontId="264" fillId="40" borderId="178" xfId="51788" applyNumberFormat="1" applyFont="1" applyFill="1" applyBorder="1" applyAlignment="1" applyProtection="1">
      <alignment horizontal="center" vertical="center"/>
      <protection hidden="1"/>
    </xf>
    <xf numFmtId="0" fontId="264" fillId="40" borderId="182" xfId="51788" applyFont="1" applyFill="1" applyBorder="1" applyAlignment="1" applyProtection="1">
      <alignment horizontal="center" vertical="center" wrapText="1"/>
      <protection hidden="1"/>
    </xf>
    <xf numFmtId="0" fontId="264" fillId="40" borderId="183" xfId="51788" applyFont="1" applyFill="1" applyBorder="1" applyAlignment="1" applyProtection="1">
      <alignment horizontal="center" vertical="center" wrapText="1"/>
      <protection hidden="1"/>
    </xf>
    <xf numFmtId="0" fontId="264" fillId="40" borderId="184" xfId="51788" applyFont="1" applyFill="1" applyBorder="1" applyAlignment="1" applyProtection="1">
      <alignment horizontal="center" vertical="center"/>
      <protection hidden="1"/>
    </xf>
    <xf numFmtId="0" fontId="264" fillId="40" borderId="185" xfId="51788" applyFont="1" applyFill="1" applyBorder="1" applyAlignment="1" applyProtection="1">
      <alignment horizontal="center" vertical="center"/>
      <protection hidden="1"/>
    </xf>
    <xf numFmtId="0" fontId="270" fillId="0" borderId="200" xfId="51778" applyFont="1" applyBorder="1" applyAlignment="1" applyProtection="1">
      <alignment horizontal="center" vertical="center"/>
      <protection hidden="1"/>
    </xf>
    <xf numFmtId="0" fontId="280" fillId="40" borderId="65" xfId="51778" applyFont="1" applyFill="1" applyBorder="1" applyAlignment="1" applyProtection="1">
      <alignment horizontal="center" vertical="center"/>
      <protection hidden="1"/>
    </xf>
    <xf numFmtId="0" fontId="45" fillId="0" borderId="22" xfId="51777" applyFont="1" applyBorder="1" applyAlignment="1" applyProtection="1">
      <alignment horizontal="center" vertical="center"/>
      <protection hidden="1"/>
    </xf>
    <xf numFmtId="0" fontId="45" fillId="0" borderId="0" xfId="51778" applyFont="1" applyAlignment="1" applyProtection="1">
      <alignment horizontal="center" vertical="center"/>
      <protection hidden="1"/>
    </xf>
    <xf numFmtId="0" fontId="302" fillId="40" borderId="182" xfId="51778" applyFont="1" applyFill="1" applyBorder="1" applyAlignment="1" applyProtection="1">
      <alignment horizontal="center" vertical="center"/>
      <protection hidden="1"/>
    </xf>
    <xf numFmtId="0" fontId="302" fillId="40" borderId="183" xfId="51778" applyFont="1" applyFill="1" applyBorder="1" applyAlignment="1" applyProtection="1">
      <alignment horizontal="center" vertical="center"/>
      <protection hidden="1"/>
    </xf>
    <xf numFmtId="0" fontId="302" fillId="40" borderId="182" xfId="51778" applyFont="1" applyFill="1" applyBorder="1" applyAlignment="1" applyProtection="1">
      <alignment horizontal="center" vertical="center" wrapText="1"/>
      <protection hidden="1"/>
    </xf>
    <xf numFmtId="0" fontId="302" fillId="40" borderId="183" xfId="51778" applyFont="1" applyFill="1" applyBorder="1" applyAlignment="1" applyProtection="1">
      <alignment horizontal="center" vertical="center" wrapText="1"/>
      <protection hidden="1"/>
    </xf>
    <xf numFmtId="0" fontId="301" fillId="40" borderId="182" xfId="51788" applyFont="1" applyFill="1" applyBorder="1" applyAlignment="1" applyProtection="1">
      <alignment horizontal="center" vertical="center"/>
      <protection hidden="1"/>
    </xf>
    <xf numFmtId="0" fontId="301" fillId="40" borderId="183" xfId="51788" applyFont="1" applyFill="1" applyBorder="1" applyAlignment="1" applyProtection="1">
      <alignment horizontal="center" vertical="center"/>
      <protection hidden="1"/>
    </xf>
    <xf numFmtId="0" fontId="264" fillId="40" borderId="184" xfId="51778" applyFont="1" applyFill="1" applyBorder="1" applyAlignment="1" applyProtection="1">
      <alignment horizontal="center" vertical="center" wrapText="1"/>
      <protection hidden="1"/>
    </xf>
    <xf numFmtId="0" fontId="264" fillId="40" borderId="185" xfId="51778" applyFont="1" applyFill="1" applyBorder="1" applyAlignment="1" applyProtection="1">
      <alignment horizontal="center" vertical="center" wrapText="1"/>
      <protection hidden="1"/>
    </xf>
    <xf numFmtId="0" fontId="274" fillId="0" borderId="159" xfId="51778" applyFont="1" applyBorder="1" applyAlignment="1" applyProtection="1">
      <alignment horizontal="left" vertical="center" indent="1"/>
      <protection hidden="1"/>
    </xf>
    <xf numFmtId="0" fontId="274" fillId="0" borderId="135" xfId="51778" applyFont="1" applyBorder="1" applyAlignment="1" applyProtection="1">
      <alignment horizontal="left" vertical="center" indent="1"/>
      <protection hidden="1"/>
    </xf>
    <xf numFmtId="0" fontId="274" fillId="0" borderId="160" xfId="51778" applyFont="1" applyBorder="1" applyAlignment="1" applyProtection="1">
      <alignment horizontal="left" vertical="center" indent="1"/>
      <protection hidden="1"/>
    </xf>
    <xf numFmtId="2" fontId="45" fillId="0" borderId="159" xfId="51782" applyNumberFormat="1" applyFont="1" applyFill="1" applyBorder="1" applyAlignment="1" applyProtection="1">
      <alignment horizontal="left" vertical="center" indent="1"/>
      <protection hidden="1"/>
    </xf>
    <xf numFmtId="2" fontId="45" fillId="0" borderId="135" xfId="51782" applyNumberFormat="1" applyFont="1" applyFill="1" applyBorder="1" applyAlignment="1" applyProtection="1">
      <alignment horizontal="left" vertical="center" indent="1"/>
      <protection hidden="1"/>
    </xf>
    <xf numFmtId="2" fontId="45" fillId="0" borderId="160" xfId="51782" applyNumberFormat="1" applyFont="1" applyFill="1" applyBorder="1" applyAlignment="1" applyProtection="1">
      <alignment horizontal="left" vertical="center" indent="1"/>
      <protection hidden="1"/>
    </xf>
    <xf numFmtId="2" fontId="272" fillId="0" borderId="159" xfId="51782" applyNumberFormat="1" applyFont="1" applyFill="1" applyBorder="1" applyAlignment="1" applyProtection="1">
      <alignment horizontal="left" vertical="center" indent="1"/>
      <protection hidden="1"/>
    </xf>
    <xf numFmtId="2" fontId="272" fillId="0" borderId="135" xfId="51782" applyNumberFormat="1" applyFont="1" applyFill="1" applyBorder="1" applyAlignment="1" applyProtection="1">
      <alignment horizontal="left" vertical="center" indent="1"/>
      <protection hidden="1"/>
    </xf>
    <xf numFmtId="2" fontId="272" fillId="0" borderId="160" xfId="51782" applyNumberFormat="1" applyFont="1" applyFill="1" applyBorder="1" applyAlignment="1" applyProtection="1">
      <alignment horizontal="left" vertical="center" indent="1"/>
      <protection hidden="1"/>
    </xf>
    <xf numFmtId="0" fontId="31" fillId="40" borderId="154" xfId="51778" applyFont="1" applyFill="1" applyBorder="1" applyAlignment="1" applyProtection="1">
      <alignment horizontal="center" vertical="center" wrapText="1"/>
      <protection hidden="1"/>
    </xf>
    <xf numFmtId="0" fontId="31" fillId="40" borderId="168" xfId="51778" applyFont="1" applyFill="1" applyBorder="1" applyAlignment="1" applyProtection="1">
      <alignment horizontal="center" vertical="center" wrapText="1"/>
      <protection hidden="1"/>
    </xf>
    <xf numFmtId="0" fontId="280" fillId="40" borderId="148" xfId="51778" applyFont="1" applyFill="1" applyBorder="1" applyAlignment="1" applyProtection="1">
      <alignment horizontal="center" vertical="center" wrapText="1"/>
      <protection hidden="1"/>
    </xf>
    <xf numFmtId="0" fontId="280" fillId="40" borderId="7" xfId="51778" applyFont="1" applyFill="1" applyBorder="1" applyAlignment="1" applyProtection="1">
      <alignment horizontal="center" vertical="center" wrapText="1"/>
      <protection hidden="1"/>
    </xf>
    <xf numFmtId="0" fontId="302" fillId="40" borderId="179" xfId="51778" applyFont="1" applyFill="1" applyBorder="1" applyAlignment="1" applyProtection="1">
      <alignment horizontal="left" vertical="center" indent="1"/>
      <protection hidden="1"/>
    </xf>
    <xf numFmtId="0" fontId="302" fillId="40" borderId="145" xfId="51778" applyFont="1" applyFill="1" applyBorder="1" applyAlignment="1" applyProtection="1">
      <alignment horizontal="left" vertical="center" indent="1"/>
      <protection hidden="1"/>
    </xf>
    <xf numFmtId="0" fontId="302" fillId="40" borderId="180" xfId="51778" applyFont="1" applyFill="1" applyBorder="1" applyAlignment="1" applyProtection="1">
      <alignment horizontal="left" vertical="center" indent="1"/>
      <protection hidden="1"/>
    </xf>
    <xf numFmtId="0" fontId="302" fillId="40" borderId="171" xfId="51778" applyFont="1" applyFill="1" applyBorder="1" applyAlignment="1" applyProtection="1">
      <alignment horizontal="left" vertical="center" indent="1"/>
      <protection hidden="1"/>
    </xf>
    <xf numFmtId="0" fontId="302" fillId="40" borderId="22" xfId="51778" applyFont="1" applyFill="1" applyBorder="1" applyAlignment="1" applyProtection="1">
      <alignment horizontal="left" vertical="center" indent="1"/>
      <protection hidden="1"/>
    </xf>
    <xf numFmtId="0" fontId="302" fillId="40" borderId="181" xfId="51778" applyFont="1" applyFill="1" applyBorder="1" applyAlignment="1" applyProtection="1">
      <alignment horizontal="left" vertical="center" indent="1"/>
      <protection hidden="1"/>
    </xf>
    <xf numFmtId="0" fontId="45" fillId="40" borderId="168" xfId="51778" applyFont="1" applyFill="1" applyBorder="1" applyAlignment="1" applyProtection="1">
      <alignment horizontal="center" vertical="center"/>
      <protection hidden="1"/>
    </xf>
    <xf numFmtId="0" fontId="45" fillId="40" borderId="165" xfId="51778" applyFont="1" applyFill="1" applyBorder="1" applyAlignment="1" applyProtection="1">
      <alignment horizontal="center" vertical="center"/>
      <protection hidden="1"/>
    </xf>
    <xf numFmtId="0" fontId="45" fillId="40" borderId="167" xfId="51778" applyFont="1" applyFill="1" applyBorder="1" applyAlignment="1" applyProtection="1">
      <alignment horizontal="center" vertical="center"/>
      <protection hidden="1"/>
    </xf>
    <xf numFmtId="9" fontId="47" fillId="40" borderId="65" xfId="51778" applyNumberFormat="1" applyFont="1" applyFill="1" applyBorder="1" applyAlignment="1" applyProtection="1">
      <alignment horizontal="center" vertical="center" wrapText="1"/>
      <protection hidden="1"/>
    </xf>
    <xf numFmtId="250" fontId="304" fillId="0" borderId="148" xfId="51778" applyNumberFormat="1" applyFont="1" applyBorder="1" applyAlignment="1" applyProtection="1">
      <alignment horizontal="center" vertical="center"/>
      <protection hidden="1"/>
    </xf>
    <xf numFmtId="250" fontId="304" fillId="0" borderId="7" xfId="51778" applyNumberFormat="1" applyFont="1" applyBorder="1" applyAlignment="1" applyProtection="1">
      <alignment horizontal="center" vertical="center"/>
      <protection hidden="1"/>
    </xf>
    <xf numFmtId="0" fontId="45" fillId="40" borderId="200" xfId="51778" applyFont="1" applyFill="1" applyBorder="1" applyAlignment="1" applyProtection="1">
      <alignment horizontal="center" vertical="center"/>
      <protection hidden="1"/>
    </xf>
    <xf numFmtId="0" fontId="45" fillId="40" borderId="0" xfId="51778" applyFont="1" applyFill="1" applyAlignment="1" applyProtection="1">
      <alignment horizontal="center" vertical="center"/>
      <protection hidden="1"/>
    </xf>
    <xf numFmtId="0" fontId="264" fillId="43" borderId="182" xfId="51788" applyFont="1" applyFill="1" applyBorder="1" applyAlignment="1" applyProtection="1">
      <alignment horizontal="center" vertical="center"/>
      <protection hidden="1"/>
    </xf>
    <xf numFmtId="0" fontId="264" fillId="43" borderId="183" xfId="51788" applyFont="1" applyFill="1" applyBorder="1" applyAlignment="1" applyProtection="1">
      <alignment horizontal="center" vertical="center"/>
      <protection hidden="1"/>
    </xf>
    <xf numFmtId="0" fontId="293" fillId="0" borderId="32" xfId="51778" applyFont="1" applyBorder="1" applyAlignment="1" applyProtection="1">
      <alignment horizontal="left" vertical="center"/>
      <protection hidden="1"/>
    </xf>
    <xf numFmtId="0" fontId="280" fillId="40" borderId="173" xfId="51778" applyFont="1" applyFill="1" applyBorder="1" applyAlignment="1" applyProtection="1">
      <alignment horizontal="center" vertical="center"/>
      <protection hidden="1"/>
    </xf>
    <xf numFmtId="0" fontId="280" fillId="40" borderId="147" xfId="51778" applyFont="1" applyFill="1" applyBorder="1" applyAlignment="1" applyProtection="1">
      <alignment horizontal="center" vertical="center"/>
      <protection hidden="1"/>
    </xf>
    <xf numFmtId="0" fontId="280" fillId="40" borderId="155" xfId="51778" applyFont="1" applyFill="1" applyBorder="1" applyAlignment="1" applyProtection="1">
      <alignment horizontal="center" vertical="center"/>
      <protection hidden="1"/>
    </xf>
    <xf numFmtId="0" fontId="323" fillId="39" borderId="187" xfId="51778" applyFont="1" applyFill="1" applyBorder="1" applyAlignment="1" applyProtection="1">
      <alignment horizontal="center" vertical="center"/>
      <protection hidden="1"/>
    </xf>
    <xf numFmtId="0" fontId="323" fillId="39" borderId="189" xfId="51778" applyFont="1" applyFill="1" applyBorder="1" applyAlignment="1" applyProtection="1">
      <alignment horizontal="center" vertical="center"/>
      <protection hidden="1"/>
    </xf>
    <xf numFmtId="0" fontId="323" fillId="39" borderId="225" xfId="51778" applyFont="1" applyFill="1" applyBorder="1" applyAlignment="1" applyProtection="1">
      <alignment horizontal="center" vertical="center"/>
      <protection hidden="1"/>
    </xf>
    <xf numFmtId="0" fontId="323" fillId="39" borderId="226" xfId="51778" applyFont="1" applyFill="1" applyBorder="1" applyAlignment="1" applyProtection="1">
      <alignment horizontal="center" vertical="center"/>
      <protection hidden="1"/>
    </xf>
    <xf numFmtId="0" fontId="280" fillId="39" borderId="210" xfId="51778" applyFont="1" applyFill="1" applyBorder="1" applyAlignment="1" applyProtection="1">
      <alignment horizontal="center" vertical="center"/>
      <protection hidden="1"/>
    </xf>
    <xf numFmtId="0" fontId="280" fillId="39" borderId="216" xfId="51778" applyFont="1" applyFill="1" applyBorder="1" applyAlignment="1" applyProtection="1">
      <alignment horizontal="center" vertical="center"/>
      <protection hidden="1"/>
    </xf>
    <xf numFmtId="0" fontId="280" fillId="39" borderId="211" xfId="51778" applyFont="1" applyFill="1" applyBorder="1" applyAlignment="1" applyProtection="1">
      <alignment horizontal="center" vertical="center"/>
      <protection hidden="1"/>
    </xf>
    <xf numFmtId="0" fontId="280" fillId="39" borderId="217" xfId="51778" applyFont="1" applyFill="1" applyBorder="1" applyAlignment="1" applyProtection="1">
      <alignment horizontal="center" vertical="center"/>
      <protection hidden="1"/>
    </xf>
    <xf numFmtId="0" fontId="280" fillId="39" borderId="207" xfId="51778" applyFont="1" applyFill="1" applyBorder="1" applyAlignment="1" applyProtection="1">
      <alignment horizontal="center" vertical="center"/>
      <protection hidden="1"/>
    </xf>
    <xf numFmtId="0" fontId="280" fillId="39" borderId="218" xfId="51778" applyFont="1" applyFill="1" applyBorder="1" applyAlignment="1" applyProtection="1">
      <alignment horizontal="center" vertical="center"/>
      <protection hidden="1"/>
    </xf>
    <xf numFmtId="0" fontId="323" fillId="9" borderId="222" xfId="51775" applyFont="1" applyFill="1" applyBorder="1" applyAlignment="1" applyProtection="1">
      <alignment horizontal="center" vertical="center"/>
      <protection hidden="1"/>
    </xf>
    <xf numFmtId="0" fontId="323" fillId="9" borderId="223" xfId="51775" applyFont="1" applyFill="1" applyBorder="1" applyAlignment="1" applyProtection="1">
      <alignment horizontal="center" vertical="center"/>
      <protection hidden="1"/>
    </xf>
    <xf numFmtId="44" fontId="47" fillId="43" borderId="135" xfId="51774" applyFont="1" applyFill="1" applyBorder="1" applyAlignment="1" applyProtection="1">
      <alignment horizontal="center" vertical="center"/>
      <protection hidden="1"/>
    </xf>
    <xf numFmtId="44" fontId="47" fillId="43" borderId="133" xfId="51774" applyFont="1" applyFill="1" applyBorder="1" applyAlignment="1" applyProtection="1">
      <alignment horizontal="center" vertical="center"/>
      <protection hidden="1"/>
    </xf>
    <xf numFmtId="44" fontId="307" fillId="39" borderId="0" xfId="51782" applyFont="1" applyFill="1" applyBorder="1" applyAlignment="1" applyProtection="1">
      <alignment horizontal="center" vertical="center"/>
      <protection hidden="1"/>
    </xf>
    <xf numFmtId="44" fontId="307" fillId="39" borderId="126" xfId="51782" applyFont="1" applyFill="1" applyBorder="1" applyAlignment="1" applyProtection="1">
      <alignment horizontal="center" vertical="center"/>
      <protection hidden="1"/>
    </xf>
    <xf numFmtId="0" fontId="269" fillId="0" borderId="199" xfId="51778" applyFont="1" applyBorder="1" applyAlignment="1">
      <alignment horizontal="center" vertical="center"/>
    </xf>
    <xf numFmtId="0" fontId="269" fillId="0" borderId="200" xfId="51778" applyFont="1" applyBorder="1" applyAlignment="1">
      <alignment horizontal="center" vertical="center"/>
    </xf>
    <xf numFmtId="0" fontId="269" fillId="0" borderId="125" xfId="51778" applyFont="1" applyBorder="1" applyAlignment="1">
      <alignment horizontal="center" vertical="center"/>
    </xf>
    <xf numFmtId="0" fontId="269" fillId="0" borderId="0" xfId="51778" applyFont="1" applyAlignment="1">
      <alignment horizontal="center" vertical="center"/>
    </xf>
    <xf numFmtId="0" fontId="269" fillId="0" borderId="21" xfId="51778" applyFont="1" applyBorder="1" applyAlignment="1">
      <alignment horizontal="center" vertical="center"/>
    </xf>
    <xf numFmtId="0" fontId="269" fillId="0" borderId="22" xfId="51778" applyFont="1" applyBorder="1" applyAlignment="1">
      <alignment horizontal="center" vertical="center"/>
    </xf>
    <xf numFmtId="0" fontId="270" fillId="0" borderId="200" xfId="51778" applyFont="1" applyBorder="1" applyAlignment="1">
      <alignment horizontal="center" vertical="center"/>
    </xf>
    <xf numFmtId="0" fontId="270" fillId="0" borderId="201" xfId="51778" applyFont="1" applyBorder="1" applyAlignment="1">
      <alignment horizontal="center" vertical="center"/>
    </xf>
    <xf numFmtId="0" fontId="45" fillId="0" borderId="0" xfId="51777" applyFont="1" applyAlignment="1">
      <alignment horizontal="center" vertical="center"/>
    </xf>
    <xf numFmtId="0" fontId="45" fillId="0" borderId="126" xfId="51777" applyFont="1" applyBorder="1" applyAlignment="1">
      <alignment horizontal="center" vertical="center"/>
    </xf>
    <xf numFmtId="0" fontId="45" fillId="0" borderId="22" xfId="51777" applyFont="1" applyBorder="1" applyAlignment="1">
      <alignment horizontal="center" vertical="center"/>
    </xf>
    <xf numFmtId="0" fontId="45" fillId="0" borderId="12" xfId="51777" applyFont="1" applyBorder="1" applyAlignment="1">
      <alignment horizontal="center" vertical="center"/>
    </xf>
    <xf numFmtId="0" fontId="270" fillId="0" borderId="199" xfId="51775" applyFont="1" applyBorder="1" applyAlignment="1">
      <alignment horizontal="center" vertical="center"/>
    </xf>
    <xf numFmtId="0" fontId="270" fillId="0" borderId="200" xfId="51775" applyFont="1" applyBorder="1" applyAlignment="1">
      <alignment horizontal="center" vertical="center"/>
    </xf>
    <xf numFmtId="0" fontId="270" fillId="0" borderId="201" xfId="51775" applyFont="1" applyBorder="1" applyAlignment="1">
      <alignment horizontal="center" vertical="center"/>
    </xf>
    <xf numFmtId="0" fontId="45" fillId="0" borderId="125" xfId="51777" applyFont="1" applyBorder="1" applyAlignment="1">
      <alignment horizontal="center" vertical="center"/>
    </xf>
    <xf numFmtId="0" fontId="45" fillId="0" borderId="21" xfId="51775" applyFont="1" applyBorder="1" applyAlignment="1">
      <alignment horizontal="center" vertical="center"/>
    </xf>
    <xf numFmtId="0" fontId="45" fillId="0" borderId="22" xfId="51775" applyFont="1" applyBorder="1" applyAlignment="1">
      <alignment horizontal="center" vertical="center"/>
    </xf>
    <xf numFmtId="0" fontId="45" fillId="0" borderId="12" xfId="51775" applyFont="1" applyBorder="1" applyAlignment="1">
      <alignment horizontal="center" vertical="center"/>
    </xf>
    <xf numFmtId="0" fontId="31" fillId="0" borderId="0" xfId="51778" applyFont="1" applyAlignment="1">
      <alignment horizontal="center" vertical="center" wrapText="1"/>
    </xf>
    <xf numFmtId="0" fontId="288" fillId="43" borderId="145" xfId="51778" applyFont="1" applyFill="1" applyBorder="1" applyAlignment="1" applyProtection="1">
      <alignment horizontal="center" vertical="center" wrapText="1"/>
      <protection hidden="1"/>
    </xf>
    <xf numFmtId="0" fontId="288" fillId="43" borderId="22" xfId="51778" applyFont="1" applyFill="1" applyBorder="1" applyAlignment="1" applyProtection="1">
      <alignment horizontal="center" vertical="center" wrapText="1"/>
      <protection hidden="1"/>
    </xf>
    <xf numFmtId="0" fontId="293" fillId="43" borderId="144" xfId="51778" applyFont="1" applyFill="1" applyBorder="1" applyAlignment="1" applyProtection="1">
      <alignment horizontal="center" vertical="center" wrapText="1"/>
      <protection hidden="1"/>
    </xf>
    <xf numFmtId="0" fontId="293" fillId="43" borderId="145" xfId="51778" applyFont="1" applyFill="1" applyBorder="1" applyAlignment="1" applyProtection="1">
      <alignment horizontal="center" vertical="center" wrapText="1"/>
      <protection hidden="1"/>
    </xf>
    <xf numFmtId="0" fontId="293" fillId="43" borderId="146" xfId="51778" applyFont="1" applyFill="1" applyBorder="1" applyAlignment="1" applyProtection="1">
      <alignment horizontal="center" vertical="center" wrapText="1"/>
      <protection hidden="1"/>
    </xf>
    <xf numFmtId="44" fontId="293" fillId="43" borderId="145" xfId="51782" applyFont="1" applyFill="1" applyBorder="1" applyAlignment="1" applyProtection="1">
      <alignment horizontal="center" vertical="center"/>
      <protection hidden="1"/>
    </xf>
    <xf numFmtId="44" fontId="293" fillId="43" borderId="146" xfId="51782" applyFont="1" applyFill="1" applyBorder="1" applyAlignment="1" applyProtection="1">
      <alignment horizontal="center" vertical="center"/>
      <protection hidden="1"/>
    </xf>
    <xf numFmtId="0" fontId="45" fillId="0" borderId="199" xfId="51775" applyFont="1" applyBorder="1" applyAlignment="1">
      <alignment horizontal="center" vertical="center" wrapText="1"/>
    </xf>
    <xf numFmtId="0" fontId="45" fillId="0" borderId="200" xfId="51775" applyFont="1" applyBorder="1" applyAlignment="1">
      <alignment horizontal="center" vertical="center" wrapText="1"/>
    </xf>
    <xf numFmtId="0" fontId="45" fillId="0" borderId="201" xfId="51775" applyFont="1" applyBorder="1" applyAlignment="1">
      <alignment horizontal="center" vertical="center" wrapText="1"/>
    </xf>
    <xf numFmtId="0" fontId="45" fillId="0" borderId="125" xfId="51775" applyFont="1" applyBorder="1" applyAlignment="1">
      <alignment horizontal="center" vertical="center" wrapText="1"/>
    </xf>
    <xf numFmtId="0" fontId="45" fillId="0" borderId="0" xfId="51775" applyFont="1" applyAlignment="1">
      <alignment horizontal="center" vertical="center" wrapText="1"/>
    </xf>
    <xf numFmtId="0" fontId="45" fillId="0" borderId="126" xfId="51775" applyFont="1" applyBorder="1" applyAlignment="1">
      <alignment horizontal="center" vertical="center" wrapText="1"/>
    </xf>
    <xf numFmtId="0" fontId="45" fillId="0" borderId="21" xfId="51775" applyFont="1" applyBorder="1" applyAlignment="1">
      <alignment horizontal="center" vertical="center" wrapText="1"/>
    </xf>
    <xf numFmtId="0" fontId="45" fillId="0" borderId="22" xfId="51775" applyFont="1" applyBorder="1" applyAlignment="1">
      <alignment horizontal="center" vertical="center" wrapText="1"/>
    </xf>
    <xf numFmtId="0" fontId="45" fillId="0" borderId="12" xfId="51775" applyFont="1" applyBorder="1" applyAlignment="1">
      <alignment horizontal="center" vertical="center" wrapText="1"/>
    </xf>
    <xf numFmtId="0" fontId="270" fillId="0" borderId="199" xfId="51778" applyFont="1" applyBorder="1" applyAlignment="1">
      <alignment horizontal="center" vertical="center"/>
    </xf>
    <xf numFmtId="0" fontId="45" fillId="0" borderId="21" xfId="51777" applyFont="1" applyBorder="1" applyAlignment="1">
      <alignment horizontal="center" vertical="center"/>
    </xf>
    <xf numFmtId="0" fontId="272" fillId="0" borderId="22" xfId="51778" applyFont="1" applyBorder="1" applyAlignment="1">
      <alignment horizontal="center" vertical="top"/>
    </xf>
    <xf numFmtId="0" fontId="31" fillId="0" borderId="125" xfId="51778" applyFont="1" applyBorder="1" applyAlignment="1">
      <alignment horizontal="left" vertical="top" wrapText="1" indent="2"/>
    </xf>
    <xf numFmtId="0" fontId="31" fillId="0" borderId="0" xfId="51778" applyFont="1" applyAlignment="1">
      <alignment horizontal="left" vertical="top" wrapText="1" indent="2"/>
    </xf>
    <xf numFmtId="0" fontId="31" fillId="0" borderId="126" xfId="51778" applyFont="1" applyBorder="1" applyAlignment="1">
      <alignment horizontal="left" vertical="top" wrapText="1" indent="2"/>
    </xf>
    <xf numFmtId="0" fontId="31" fillId="0" borderId="21" xfId="51778" applyFont="1" applyBorder="1" applyAlignment="1">
      <alignment horizontal="left" vertical="top" wrapText="1" indent="2"/>
    </xf>
    <xf numFmtId="0" fontId="31" fillId="0" borderId="22" xfId="51778" applyFont="1" applyBorder="1" applyAlignment="1">
      <alignment horizontal="left" vertical="top" wrapText="1" indent="2"/>
    </xf>
    <xf numFmtId="0" fontId="31" fillId="0" borderId="12" xfId="51778" applyFont="1" applyBorder="1" applyAlignment="1">
      <alignment horizontal="left" vertical="top" wrapText="1" indent="2"/>
    </xf>
    <xf numFmtId="0" fontId="272" fillId="0" borderId="0" xfId="51778" applyFont="1" applyAlignment="1">
      <alignment horizontal="center" vertical="center"/>
    </xf>
    <xf numFmtId="0" fontId="280" fillId="40" borderId="199" xfId="51781" applyFont="1" applyFill="1" applyBorder="1" applyAlignment="1" applyProtection="1">
      <alignment horizontal="center" vertical="center"/>
      <protection hidden="1"/>
    </xf>
    <xf numFmtId="0" fontId="280" fillId="40" borderId="200" xfId="51781" applyFont="1" applyFill="1" applyBorder="1" applyAlignment="1" applyProtection="1">
      <alignment horizontal="center" vertical="center"/>
      <protection hidden="1"/>
    </xf>
    <xf numFmtId="0" fontId="280" fillId="40" borderId="125" xfId="51781" applyFont="1" applyFill="1" applyBorder="1" applyAlignment="1" applyProtection="1">
      <alignment horizontal="center" vertical="center"/>
      <protection hidden="1"/>
    </xf>
    <xf numFmtId="0" fontId="280" fillId="40" borderId="0" xfId="51781" applyFont="1" applyFill="1" applyAlignment="1" applyProtection="1">
      <alignment horizontal="center" vertical="center"/>
      <protection hidden="1"/>
    </xf>
    <xf numFmtId="0" fontId="280" fillId="40" borderId="200" xfId="51778" applyFont="1" applyFill="1" applyBorder="1" applyAlignment="1" applyProtection="1">
      <alignment horizontal="left" vertical="center"/>
      <protection hidden="1"/>
    </xf>
    <xf numFmtId="0" fontId="280" fillId="40" borderId="0" xfId="51778" applyFont="1" applyFill="1" applyAlignment="1" applyProtection="1">
      <alignment horizontal="left" vertical="center"/>
      <protection hidden="1"/>
    </xf>
    <xf numFmtId="0" fontId="280" fillId="40" borderId="200" xfId="51778" applyFont="1" applyFill="1" applyBorder="1" applyAlignment="1" applyProtection="1">
      <alignment horizontal="center" vertical="center" wrapText="1"/>
      <protection hidden="1"/>
    </xf>
    <xf numFmtId="0" fontId="280" fillId="40" borderId="0" xfId="51778" applyFont="1" applyFill="1" applyAlignment="1" applyProtection="1">
      <alignment horizontal="center" vertical="center" wrapText="1"/>
      <protection hidden="1"/>
    </xf>
  </cellXfs>
  <cellStyles count="51808">
    <cellStyle name="_x0001_" xfId="475" xr:uid="{00000000-0005-0000-0000-000000000000}"/>
    <cellStyle name=" " xfId="481" xr:uid="{00000000-0005-0000-0000-000001000000}"/>
    <cellStyle name="' '" xfId="476" xr:uid="{00000000-0005-0000-0000-000002000000}"/>
    <cellStyle name="- - _x0006_?_x0008__x0004_" xfId="477" xr:uid="{00000000-0005-0000-0000-000003000000}"/>
    <cellStyle name=" ?&quot;U??2U??BU??RU??bU??rU??괮??뭊??줦_x000e_`?쾇$`?헧&lt;`??_x0008_@??_x001e_@??:@?_x0002_VP@?_x0012_V`@?&quot;Vt@?2V??BV??RV??bV??rVP`?괯n`?뭋`?줧??쾈??헩_x0012_곞_x0010_ " xfId="478" xr:uid="{00000000-0005-0000-0000-000004000000}"/>
    <cellStyle name=" ?&quot;U??2U??BU??RU??bU??rU??괮??뭊??줦_x000e_`?쾇$`?헧&lt;`??_x0008_@??_x001e_@??:@?_x0002_VP@?_x0012_V`@?&quot;Vt@?2V??BV??RV??bV??rVP`?괯n`?뭋`?줧??쾈??헩_x0012_곞_x0010_  2" xfId="479" xr:uid="{00000000-0005-0000-0000-000005000000}"/>
    <cellStyle name=" [0]_요약표해외" xfId="480" xr:uid="{00000000-0005-0000-0000-000006000000}"/>
    <cellStyle name="_x000b_" xfId="482" xr:uid="{00000000-0005-0000-0000-000007000000}"/>
    <cellStyle name="_x000b_b" xfId="483" xr:uid="{00000000-0005-0000-0000-000008000000}"/>
    <cellStyle name="_x000c_b" xfId="484" xr:uid="{00000000-0005-0000-0000-000009000000}"/>
    <cellStyle name="_x000c_ōᅺb0ōᆊbXōᆚbōᆪb¨ōᆺb섄ōᇊb섰ōᇚb셌ōᇪb셨ōᇺb손ōሊbÌōሚbôōሪbŀōሺbŨōቊbƀōቚb솴ōቪb쇌ōቺb쇬ōኊb숄ōኚb술ōኪbƜōኺbƸōዊbǜōዚbǸōዪbɄō" xfId="485" xr:uid="{00000000-0005-0000-0000-00000A000000}"/>
    <cellStyle name="&quot;" xfId="486" xr:uid="{00000000-0005-0000-0000-00000B000000}"/>
    <cellStyle name="&quot; 2" xfId="9707" xr:uid="{00000000-0005-0000-0000-00000C000000}"/>
    <cellStyle name="&quot; 3" xfId="42478" xr:uid="{00000000-0005-0000-0000-00000D000000}"/>
    <cellStyle name="#,###" xfId="487" xr:uid="{00000000-0005-0000-0000-00000E000000}"/>
    <cellStyle name="#,##0" xfId="488" xr:uid="{00000000-0005-0000-0000-00000F000000}"/>
    <cellStyle name="#,##0 2" xfId="9708" xr:uid="{00000000-0005-0000-0000-000010000000}"/>
    <cellStyle name="#,##0 2 2" xfId="18920" xr:uid="{00000000-0005-0000-0000-000011000000}"/>
    <cellStyle name="#,##0 2 2 2" xfId="33197" xr:uid="{00000000-0005-0000-0000-000012000000}"/>
    <cellStyle name="#,##0 2 3" xfId="23883" xr:uid="{00000000-0005-0000-0000-000013000000}"/>
    <cellStyle name="#,##0 2 4" xfId="47140" xr:uid="{00000000-0005-0000-0000-000014000000}"/>
    <cellStyle name="#,##0 3" xfId="14071" xr:uid="{00000000-0005-0000-0000-000015000000}"/>
    <cellStyle name="#,##0 3 2" xfId="18921" xr:uid="{00000000-0005-0000-0000-000016000000}"/>
    <cellStyle name="#,##0 3 2 2" xfId="37555" xr:uid="{00000000-0005-0000-0000-000017000000}"/>
    <cellStyle name="#,##0 3 3" xfId="51502" xr:uid="{00000000-0005-0000-0000-000018000000}"/>
    <cellStyle name="#,##0 4" xfId="42479" xr:uid="{00000000-0005-0000-0000-000019000000}"/>
    <cellStyle name="(_x0010_.D?(.D?:.D?\.D?v.D??D??D??D_x0002_)?D_x0012_)_x0006_&gt;D&quot;)?D2)?DB)?DR)?Db)?Dr)_x0006_/D?_x001a_/D?./D?@/D?b/X??rTr??괫 " xfId="489" xr:uid="{00000000-0005-0000-0000-00001A000000}"/>
    <cellStyle name="(요약)" xfId="490" xr:uid="{00000000-0005-0000-0000-00001B000000}"/>
    <cellStyle name="(요약) 2" xfId="491" xr:uid="{00000000-0005-0000-0000-00001C000000}"/>
    <cellStyle name="_x0001_?_x0002_ _x0006__x0001_l" xfId="492" xr:uid="{00000000-0005-0000-0000-00001D000000}"/>
    <cellStyle name="?(2)" xfId="493" xr:uid="{00000000-0005-0000-0000-00001E000000}"/>
    <cellStyle name="_x0001_??" xfId="494" xr:uid="{00000000-0005-0000-0000-00001F000000}"/>
    <cellStyle name="??&amp;O?&amp;H?_x0008__x0006__x0017_?_x0007__x0001__x0001_" xfId="495" xr:uid="{00000000-0005-0000-0000-000020000000}"/>
    <cellStyle name="??&amp;O?&amp;H?_x0008__x000f__x0007_?_x0007__x0001__x0001_" xfId="496" xr:uid="{00000000-0005-0000-0000-000021000000}"/>
    <cellStyle name="??&amp;O?&amp;H?_x0008_??_x0007__x0001__x0001_" xfId="497" xr:uid="{00000000-0005-0000-0000-000022000000}"/>
    <cellStyle name="??&amp;O?&amp;H?_x0008_??_x0007__x0001__x0001_ 2" xfId="498" xr:uid="{00000000-0005-0000-0000-000023000000}"/>
    <cellStyle name="??&amp;O?&amp;H?_x0008_??_x0007__x0001__x0001_ 3" xfId="499" xr:uid="{00000000-0005-0000-0000-000024000000}"/>
    <cellStyle name="??&amp;O?&amp;H?_x0008_??_x0007__x0001__x0001_ 4" xfId="500" xr:uid="{00000000-0005-0000-0000-000025000000}"/>
    <cellStyle name="??&amp;O?&amp;H?_x0008_?l_x001a__x0007__x0001__x0001_" xfId="501" xr:uid="{00000000-0005-0000-0000-000026000000}"/>
    <cellStyle name="??&amp;쏗?뷐9_x0008__x0011__x0007_?_x0007__x0001__x0001_" xfId="502" xr:uid="{00000000-0005-0000-0000-000027000000}"/>
    <cellStyle name="???_x0010_" xfId="503" xr:uid="{00000000-0005-0000-0000-000028000000}"/>
    <cellStyle name="???_x0010_ 2" xfId="504" xr:uid="{00000000-0005-0000-0000-000029000000}"/>
    <cellStyle name="?_x001d_??%U²u&amp;H²9_x0008_? s_x000a__x0007__x0001__x0001_" xfId="505" xr:uid="{00000000-0005-0000-0000-00002A000000}"/>
    <cellStyle name="???_??" xfId="506" xr:uid="{00000000-0005-0000-0000-00002B000000}"/>
    <cellStyle name="??_??" xfId="507" xr:uid="{00000000-0005-0000-0000-00002C000000}"/>
    <cellStyle name="??A? [0]_laroux_1_¸???™? " xfId="508" xr:uid="{00000000-0005-0000-0000-00002D000000}"/>
    <cellStyle name="??A?_laroux_1_¸???™? " xfId="509" xr:uid="{00000000-0005-0000-0000-00002E000000}"/>
    <cellStyle name="??bU??rU??괮??뭊??줦_x000e_`?쾇$`?헧&lt;`??_x0008_@??_x001e_@??:@?_x0002_VP@?_x0012_V`@?&quot;Vt@?2V??BV??RV??bV??rVP`?괯n`?뭋`?줧??쾈??헩_x0012_곞_x0010_?(곞_x0010_?D곞_x0010_?T곞_x0010__x0002_Wl곞_x0010__x0012_W??&quot;W??2W??BW_x0014_a?RW4a?bWHa?rW\a? " xfId="510" xr:uid="{00000000-0005-0000-0000-00002F000000}"/>
    <cellStyle name="??bU??rU??괮??뭊??줦_x000e_`?쾇$`?헧&lt;`??_x0008_@??_x001e_@??:@?_x0002_VP@?_x0012_V`@?&quot;Vt@?2V??BV??RV??bV??rVP`?괯n`?뭋`?줧??쾈??헩_x0012_곞_x0010_?(곞_x0010_?D곞_x0010_?T곞_x0010__x0002_Wl곞_x0010__x0012_W??&quot;W??2W??BW_x0014_a?RW4a?bWHa?rW\a?  2" xfId="511" xr:uid="{00000000-0005-0000-0000-000030000000}"/>
    <cellStyle name="?”´?_?¼??¤´_¸???™? " xfId="512" xr:uid="{00000000-0005-0000-0000-000031000000}"/>
    <cellStyle name="?ðC%U?&amp;H?_x0008_?s_x000a__x0007__x0001__x0001_" xfId="513" xr:uid="{00000000-0005-0000-0000-000032000000}"/>
    <cellStyle name="?W?_laroux" xfId="514" xr:uid="{00000000-0005-0000-0000-000033000000}"/>
    <cellStyle name="?曹%U?&amp;H?_x0008_?s_x000a__x0007__x0001__x0001_" xfId="515" xr:uid="{00000000-0005-0000-0000-000034000000}"/>
    <cellStyle name="?曹%U?&amp;H?_x0008_?s_x000a__x0007__x0001__x0001_ 2" xfId="516" xr:uid="{00000000-0005-0000-0000-000035000000}"/>
    <cellStyle name="?曹%U?&amp;H?_x0008_?s_x000a__x0007__x0001__x0001_ 3" xfId="517" xr:uid="{00000000-0005-0000-0000-000036000000}"/>
    <cellStyle name="?曹%U?&amp;H?_x0008_?s_x000a__x0007__x0001__x0001_ 4" xfId="518" xr:uid="{00000000-0005-0000-0000-000037000000}"/>
    <cellStyle name="?曹%U?&amp;H?_x0008_?s_x000a__x0007__x0001__x0001_ 5" xfId="519" xr:uid="{00000000-0005-0000-0000-000038000000}"/>
    <cellStyle name="?曹%U?&amp;H?_x0008_?s_x000a__x0007__x0001__x0001_ 6" xfId="520" xr:uid="{00000000-0005-0000-0000-000039000000}"/>
    <cellStyle name="?曹%U?&amp;H?_x0008_?s_x000a__x0007__x0001__x0001_ 7" xfId="521" xr:uid="{00000000-0005-0000-0000-00003A000000}"/>
    <cellStyle name="?曹%U?&amp;H?_x0008_?s_x000a__x0007__x0001__x0001_ 8" xfId="522" xr:uid="{00000000-0005-0000-0000-00003B000000}"/>
    <cellStyle name="_%ED%8F%AC%29%201%EC%A0%9C%EA%B0%95%20%ED%83%88%EB%A6%B0%EB%A1%9C%20EIC%EC%84%A4%EB%B9%84%EB%B9%84%20%EB%82%B4%EC%97%AD(1)" xfId="523" xr:uid="{00000000-0005-0000-0000-00003C000000}"/>
    <cellStyle name="_(11-6)2001중장기계획(총괄)1" xfId="524" xr:uid="{00000000-0005-0000-0000-00003D000000}"/>
    <cellStyle name="_(11-6)2001중장기계획(총괄)1 2" xfId="525" xr:uid="{00000000-0005-0000-0000-00003E000000}"/>
    <cellStyle name="_(11-6)2001중장기계획(총괄)1 2_2011.02.24-Plumbing, HVAC &amp; Fire Fighting Works-동별산출(수정)" xfId="526" xr:uid="{00000000-0005-0000-0000-00003F000000}"/>
    <cellStyle name="_(11-6)2001중장기계획(총괄)1 2_2011.02.25-Plumbing, HVAC &amp; Fire Fighting Works-동별산출-추가아이템정리-2" xfId="527" xr:uid="{00000000-0005-0000-0000-000040000000}"/>
    <cellStyle name="_(11-6)2001중장기계획(총괄)1 2_4.Plumbing, HVAC &amp; Fire Fighting Works-동별산출" xfId="528" xr:uid="{00000000-0005-0000-0000-000041000000}"/>
    <cellStyle name="_(11-6)2001중장기계획(총괄)1_1.2_직접공사비_자재비" xfId="529" xr:uid="{00000000-0005-0000-0000-000042000000}"/>
    <cellStyle name="_(11-6)2001중장기계획(총괄)1_1.2_직접공사비_자재비 2" xfId="530" xr:uid="{00000000-0005-0000-0000-000043000000}"/>
    <cellStyle name="_(11-6)2001중장기계획(총괄)1_1.2_직접공사비_자재비 2_2011.02.24-Plumbing, HVAC &amp; Fire Fighting Works-동별산출(수정)" xfId="531" xr:uid="{00000000-0005-0000-0000-000044000000}"/>
    <cellStyle name="_(11-6)2001중장기계획(총괄)1_1.2_직접공사비_자재비 2_2011.02.25-Plumbing, HVAC &amp; Fire Fighting Works-동별산출-추가아이템정리-2" xfId="532" xr:uid="{00000000-0005-0000-0000-000045000000}"/>
    <cellStyle name="_(11-6)2001중장기계획(총괄)1_1.2_직접공사비_자재비 2_4.Plumbing, HVAC &amp; Fire Fighting Works-동별산출" xfId="533" xr:uid="{00000000-0005-0000-0000-000046000000}"/>
    <cellStyle name="_(11-6)2001중장기계획(총괄)1_1.2_직접공사비_자재비(건축)" xfId="534" xr:uid="{00000000-0005-0000-0000-000047000000}"/>
    <cellStyle name="_(11-6)2001중장기계획(총괄)1_1.2_직접공사비_자재비(건축) 2" xfId="535" xr:uid="{00000000-0005-0000-0000-000048000000}"/>
    <cellStyle name="_(11-6)2001중장기계획(총괄)1_1.2_직접공사비_자재비(건축) 2_2011.02.24-Plumbing, HVAC &amp; Fire Fighting Works-동별산출(수정)" xfId="536" xr:uid="{00000000-0005-0000-0000-000049000000}"/>
    <cellStyle name="_(11-6)2001중장기계획(총괄)1_1.2_직접공사비_자재비(건축) 2_2011.02.25-Plumbing, HVAC &amp; Fire Fighting Works-동별산출-추가아이템정리-2" xfId="537" xr:uid="{00000000-0005-0000-0000-00004A000000}"/>
    <cellStyle name="_(11-6)2001중장기계획(총괄)1_1.2_직접공사비_자재비(건축) 2_4.Plumbing, HVAC &amp; Fire Fighting Works-동별산출" xfId="538" xr:uid="{00000000-0005-0000-0000-00004B000000}"/>
    <cellStyle name="_(11-6)2001중장기계획(총괄)1_4단계예산서" xfId="539" xr:uid="{00000000-0005-0000-0000-00004C000000}"/>
    <cellStyle name="_(11-6)2001중장기계획(총괄)1_4단계예산서 2" xfId="540" xr:uid="{00000000-0005-0000-0000-00004D000000}"/>
    <cellStyle name="_(11-6)2001중장기계획(총괄)1_4단계예산서 2_2011.02.24-Plumbing, HVAC &amp; Fire Fighting Works-동별산출(수정)" xfId="541" xr:uid="{00000000-0005-0000-0000-00004E000000}"/>
    <cellStyle name="_(11-6)2001중장기계획(총괄)1_4단계예산서 2_2011.02.25-Plumbing, HVAC &amp; Fire Fighting Works-동별산출-추가아이템정리-2" xfId="542" xr:uid="{00000000-0005-0000-0000-00004F000000}"/>
    <cellStyle name="_(11-6)2001중장기계획(총괄)1_4단계예산서 2_4.Plumbing, HVAC &amp; Fire Fighting Works-동별산출" xfId="543" xr:uid="{00000000-0005-0000-0000-000050000000}"/>
    <cellStyle name="_(11-6)2001중장기계획(총괄)1_4단계예산서_1.2_직접공사비_자재비" xfId="544" xr:uid="{00000000-0005-0000-0000-000051000000}"/>
    <cellStyle name="_(11-6)2001중장기계획(총괄)1_4단계예산서_1.2_직접공사비_자재비 2" xfId="545" xr:uid="{00000000-0005-0000-0000-000052000000}"/>
    <cellStyle name="_(11-6)2001중장기계획(총괄)1_4단계예산서_1.2_직접공사비_자재비 2_2011.02.24-Plumbing, HVAC &amp; Fire Fighting Works-동별산출(수정)" xfId="546" xr:uid="{00000000-0005-0000-0000-000053000000}"/>
    <cellStyle name="_(11-6)2001중장기계획(총괄)1_4단계예산서_1.2_직접공사비_자재비 2_2011.02.25-Plumbing, HVAC &amp; Fire Fighting Works-동별산출-추가아이템정리-2" xfId="547" xr:uid="{00000000-0005-0000-0000-000054000000}"/>
    <cellStyle name="_(11-6)2001중장기계획(총괄)1_4단계예산서_1.2_직접공사비_자재비 2_4.Plumbing, HVAC &amp; Fire Fighting Works-동별산출" xfId="548" xr:uid="{00000000-0005-0000-0000-000055000000}"/>
    <cellStyle name="_(11-6)2001중장기계획(총괄)1_4단계예산서_1.2_직접공사비_자재비(건축)" xfId="549" xr:uid="{00000000-0005-0000-0000-000056000000}"/>
    <cellStyle name="_(11-6)2001중장기계획(총괄)1_4단계예산서_1.2_직접공사비_자재비(건축) 2" xfId="550" xr:uid="{00000000-0005-0000-0000-000057000000}"/>
    <cellStyle name="_(11-6)2001중장기계획(총괄)1_4단계예산서_1.2_직접공사비_자재비(건축) 2_2011.02.24-Plumbing, HVAC &amp; Fire Fighting Works-동별산출(수정)" xfId="551" xr:uid="{00000000-0005-0000-0000-000058000000}"/>
    <cellStyle name="_(11-6)2001중장기계획(총괄)1_4단계예산서_1.2_직접공사비_자재비(건축) 2_2011.02.25-Plumbing, HVAC &amp; Fire Fighting Works-동별산출-추가아이템정리-2" xfId="552" xr:uid="{00000000-0005-0000-0000-000059000000}"/>
    <cellStyle name="_(11-6)2001중장기계획(총괄)1_4단계예산서_1.2_직접공사비_자재비(건축) 2_4.Plumbing, HVAC &amp; Fire Fighting Works-동별산출" xfId="553" xr:uid="{00000000-0005-0000-0000-00005A000000}"/>
    <cellStyle name="_(11-6)2001중장기계획(총괄)1_4단계예산서_가실행 내역서(전기)050923" xfId="554" xr:uid="{00000000-0005-0000-0000-00005B000000}"/>
    <cellStyle name="_(11-6)2001중장기계획(총괄)1_4단계예산서_가실행 내역서(전기)050923 2" xfId="555" xr:uid="{00000000-0005-0000-0000-00005C000000}"/>
    <cellStyle name="_(11-6)2001중장기계획(총괄)1_4단계예산서_가실행 내역서(전기)050923 2_2011.02.24-Plumbing, HVAC &amp; Fire Fighting Works-동별산출(수정)" xfId="556" xr:uid="{00000000-0005-0000-0000-00005D000000}"/>
    <cellStyle name="_(11-6)2001중장기계획(총괄)1_4단계예산서_가실행 내역서(전기)050923 2_2011.02.25-Plumbing, HVAC &amp; Fire Fighting Works-동별산출-추가아이템정리-2" xfId="557" xr:uid="{00000000-0005-0000-0000-00005E000000}"/>
    <cellStyle name="_(11-6)2001중장기계획(총괄)1_4단계예산서_가실행 내역서(전기)050923 2_4.Plumbing, HVAC &amp; Fire Fighting Works-동별산출" xfId="558" xr:uid="{00000000-0005-0000-0000-00005F000000}"/>
    <cellStyle name="_(11-6)2001중장기계획(총괄)1_4단계예산서_가실행 내역서(전기)050923_1.2_직접공사비_자재비" xfId="559" xr:uid="{00000000-0005-0000-0000-000060000000}"/>
    <cellStyle name="_(11-6)2001중장기계획(총괄)1_4단계예산서_가실행 내역서(전기)050923_1.2_직접공사비_자재비 2" xfId="560" xr:uid="{00000000-0005-0000-0000-000061000000}"/>
    <cellStyle name="_(11-6)2001중장기계획(총괄)1_4단계예산서_가실행 내역서(전기)050923_1.2_직접공사비_자재비 2_2011.02.24-Plumbing, HVAC &amp; Fire Fighting Works-동별산출(수정)" xfId="561" xr:uid="{00000000-0005-0000-0000-000062000000}"/>
    <cellStyle name="_(11-6)2001중장기계획(총괄)1_4단계예산서_가실행 내역서(전기)050923_1.2_직접공사비_자재비 2_2011.02.25-Plumbing, HVAC &amp; Fire Fighting Works-동별산출-추가아이템정리-2" xfId="562" xr:uid="{00000000-0005-0000-0000-000063000000}"/>
    <cellStyle name="_(11-6)2001중장기계획(총괄)1_4단계예산서_가실행 내역서(전기)050923_1.2_직접공사비_자재비 2_4.Plumbing, HVAC &amp; Fire Fighting Works-동별산출" xfId="563" xr:uid="{00000000-0005-0000-0000-000064000000}"/>
    <cellStyle name="_(11-6)2001중장기계획(총괄)1_4단계예산서_가실행 내역서(전기)050923_1.2_직접공사비_자재비(건축)" xfId="564" xr:uid="{00000000-0005-0000-0000-000065000000}"/>
    <cellStyle name="_(11-6)2001중장기계획(총괄)1_4단계예산서_가실행 내역서(전기)050923_1.2_직접공사비_자재비(건축) 2" xfId="565" xr:uid="{00000000-0005-0000-0000-000066000000}"/>
    <cellStyle name="_(11-6)2001중장기계획(총괄)1_4단계예산서_가실행 내역서(전기)050923_1.2_직접공사비_자재비(건축) 2_2011.02.24-Plumbing, HVAC &amp; Fire Fighting Works-동별산출(수정)" xfId="566" xr:uid="{00000000-0005-0000-0000-000067000000}"/>
    <cellStyle name="_(11-6)2001중장기계획(총괄)1_4단계예산서_가실행 내역서(전기)050923_1.2_직접공사비_자재비(건축) 2_2011.02.25-Plumbing, HVAC &amp; Fire Fighting Works-동별산출-추가아이템정리-2" xfId="567" xr:uid="{00000000-0005-0000-0000-000068000000}"/>
    <cellStyle name="_(11-6)2001중장기계획(총괄)1_4단계예산서_가실행 내역서(전기)050923_1.2_직접공사비_자재비(건축) 2_4.Plumbing, HVAC &amp; Fire Fighting Works-동별산출" xfId="568" xr:uid="{00000000-0005-0000-0000-000069000000}"/>
    <cellStyle name="_(11-6)2001중장기계획(총괄)1_가실행 내역서(전기)050923" xfId="569" xr:uid="{00000000-0005-0000-0000-00006A000000}"/>
    <cellStyle name="_(11-6)2001중장기계획(총괄)1_가실행 내역서(전기)050923 2" xfId="570" xr:uid="{00000000-0005-0000-0000-00006B000000}"/>
    <cellStyle name="_(11-6)2001중장기계획(총괄)1_가실행 내역서(전기)050923 2_2011.02.24-Plumbing, HVAC &amp; Fire Fighting Works-동별산출(수정)" xfId="571" xr:uid="{00000000-0005-0000-0000-00006C000000}"/>
    <cellStyle name="_(11-6)2001중장기계획(총괄)1_가실행 내역서(전기)050923 2_2011.02.25-Plumbing, HVAC &amp; Fire Fighting Works-동별산출-추가아이템정리-2" xfId="572" xr:uid="{00000000-0005-0000-0000-00006D000000}"/>
    <cellStyle name="_(11-6)2001중장기계획(총괄)1_가실행 내역서(전기)050923 2_4.Plumbing, HVAC &amp; Fire Fighting Works-동별산출" xfId="573" xr:uid="{00000000-0005-0000-0000-00006E000000}"/>
    <cellStyle name="_(11-6)2001중장기계획(총괄)1_가실행 내역서(전기)050923_1.2_직접공사비_자재비" xfId="574" xr:uid="{00000000-0005-0000-0000-00006F000000}"/>
    <cellStyle name="_(11-6)2001중장기계획(총괄)1_가실행 내역서(전기)050923_1.2_직접공사비_자재비 2" xfId="575" xr:uid="{00000000-0005-0000-0000-000070000000}"/>
    <cellStyle name="_(11-6)2001중장기계획(총괄)1_가실행 내역서(전기)050923_1.2_직접공사비_자재비 2_2011.02.24-Plumbing, HVAC &amp; Fire Fighting Works-동별산출(수정)" xfId="576" xr:uid="{00000000-0005-0000-0000-000071000000}"/>
    <cellStyle name="_(11-6)2001중장기계획(총괄)1_가실행 내역서(전기)050923_1.2_직접공사비_자재비 2_2011.02.25-Plumbing, HVAC &amp; Fire Fighting Works-동별산출-추가아이템정리-2" xfId="577" xr:uid="{00000000-0005-0000-0000-000072000000}"/>
    <cellStyle name="_(11-6)2001중장기계획(총괄)1_가실행 내역서(전기)050923_1.2_직접공사비_자재비 2_4.Plumbing, HVAC &amp; Fire Fighting Works-동별산출" xfId="578" xr:uid="{00000000-0005-0000-0000-000073000000}"/>
    <cellStyle name="_(11-6)2001중장기계획(총괄)1_가실행 내역서(전기)050923_1.2_직접공사비_자재비(건축)" xfId="579" xr:uid="{00000000-0005-0000-0000-000074000000}"/>
    <cellStyle name="_(11-6)2001중장기계획(총괄)1_가실행 내역서(전기)050923_1.2_직접공사비_자재비(건축) 2" xfId="580" xr:uid="{00000000-0005-0000-0000-000075000000}"/>
    <cellStyle name="_(11-6)2001중장기계획(총괄)1_가실행 내역서(전기)050923_1.2_직접공사비_자재비(건축) 2_2011.02.24-Plumbing, HVAC &amp; Fire Fighting Works-동별산출(수정)" xfId="581" xr:uid="{00000000-0005-0000-0000-000076000000}"/>
    <cellStyle name="_(11-6)2001중장기계획(총괄)1_가실행 내역서(전기)050923_1.2_직접공사비_자재비(건축) 2_2011.02.25-Plumbing, HVAC &amp; Fire Fighting Works-동별산출-추가아이템정리-2" xfId="582" xr:uid="{00000000-0005-0000-0000-000077000000}"/>
    <cellStyle name="_(11-6)2001중장기계획(총괄)1_가실행 내역서(전기)050923_1.2_직접공사비_자재비(건축) 2_4.Plumbing, HVAC &amp; Fire Fighting Works-동별산출" xfId="583" xr:uid="{00000000-0005-0000-0000-000078000000}"/>
    <cellStyle name="_~MF2110" xfId="584" xr:uid="{00000000-0005-0000-0000-000079000000}"/>
    <cellStyle name="_~MF2110 2" xfId="585" xr:uid="{00000000-0005-0000-0000-00007A000000}"/>
    <cellStyle name="_~MF2110 2_2011.02.24-Plumbing, HVAC &amp; Fire Fighting Works-동별산출(수정)" xfId="586" xr:uid="{00000000-0005-0000-0000-00007B000000}"/>
    <cellStyle name="_~MF2110 2_2011.02.25-Plumbing, HVAC &amp; Fire Fighting Works-동별산출-추가아이템정리-2" xfId="587" xr:uid="{00000000-0005-0000-0000-00007C000000}"/>
    <cellStyle name="_~MF2110 2_4.Plumbing, HVAC &amp; Fire Fighting Works-동별산출" xfId="588" xr:uid="{00000000-0005-0000-0000-00007D000000}"/>
    <cellStyle name="_~MF2110_1.2_직접공사비_자재비" xfId="589" xr:uid="{00000000-0005-0000-0000-00007E000000}"/>
    <cellStyle name="_~MF2110_1.2_직접공사비_자재비 2" xfId="590" xr:uid="{00000000-0005-0000-0000-00007F000000}"/>
    <cellStyle name="_~MF2110_1.2_직접공사비_자재비 2_2011.02.24-Plumbing, HVAC &amp; Fire Fighting Works-동별산출(수정)" xfId="591" xr:uid="{00000000-0005-0000-0000-000080000000}"/>
    <cellStyle name="_~MF2110_1.2_직접공사비_자재비 2_2011.02.25-Plumbing, HVAC &amp; Fire Fighting Works-동별산출-추가아이템정리-2" xfId="592" xr:uid="{00000000-0005-0000-0000-000081000000}"/>
    <cellStyle name="_~MF2110_1.2_직접공사비_자재비 2_4.Plumbing, HVAC &amp; Fire Fighting Works-동별산출" xfId="593" xr:uid="{00000000-0005-0000-0000-000082000000}"/>
    <cellStyle name="_~MF2110_1.2_직접공사비_자재비(건축)" xfId="594" xr:uid="{00000000-0005-0000-0000-000083000000}"/>
    <cellStyle name="_~MF2110_1.2_직접공사비_자재비(건축) 2" xfId="595" xr:uid="{00000000-0005-0000-0000-000084000000}"/>
    <cellStyle name="_~MF2110_1.2_직접공사비_자재비(건축) 2_2011.02.24-Plumbing, HVAC &amp; Fire Fighting Works-동별산출(수정)" xfId="596" xr:uid="{00000000-0005-0000-0000-000085000000}"/>
    <cellStyle name="_~MF2110_1.2_직접공사비_자재비(건축) 2_2011.02.25-Plumbing, HVAC &amp; Fire Fighting Works-동별산출-추가아이템정리-2" xfId="597" xr:uid="{00000000-0005-0000-0000-000086000000}"/>
    <cellStyle name="_~MF2110_1.2_직접공사비_자재비(건축) 2_4.Plumbing, HVAC &amp; Fire Fighting Works-동별산출" xfId="598" xr:uid="{00000000-0005-0000-0000-000087000000}"/>
    <cellStyle name="_~MF2110_4단계예산서" xfId="599" xr:uid="{00000000-0005-0000-0000-000088000000}"/>
    <cellStyle name="_~MF2110_4단계예산서 2" xfId="600" xr:uid="{00000000-0005-0000-0000-000089000000}"/>
    <cellStyle name="_~MF2110_4단계예산서 2_2011.02.24-Plumbing, HVAC &amp; Fire Fighting Works-동별산출(수정)" xfId="601" xr:uid="{00000000-0005-0000-0000-00008A000000}"/>
    <cellStyle name="_~MF2110_4단계예산서 2_2011.02.25-Plumbing, HVAC &amp; Fire Fighting Works-동별산출-추가아이템정리-2" xfId="602" xr:uid="{00000000-0005-0000-0000-00008B000000}"/>
    <cellStyle name="_~MF2110_4단계예산서 2_4.Plumbing, HVAC &amp; Fire Fighting Works-동별산출" xfId="603" xr:uid="{00000000-0005-0000-0000-00008C000000}"/>
    <cellStyle name="_~MF2110_4단계예산서_1.2_직접공사비_자재비" xfId="604" xr:uid="{00000000-0005-0000-0000-00008D000000}"/>
    <cellStyle name="_~MF2110_4단계예산서_1.2_직접공사비_자재비 2" xfId="605" xr:uid="{00000000-0005-0000-0000-00008E000000}"/>
    <cellStyle name="_~MF2110_4단계예산서_1.2_직접공사비_자재비 2_2011.02.24-Plumbing, HVAC &amp; Fire Fighting Works-동별산출(수정)" xfId="606" xr:uid="{00000000-0005-0000-0000-00008F000000}"/>
    <cellStyle name="_~MF2110_4단계예산서_1.2_직접공사비_자재비 2_2011.02.25-Plumbing, HVAC &amp; Fire Fighting Works-동별산출-추가아이템정리-2" xfId="607" xr:uid="{00000000-0005-0000-0000-000090000000}"/>
    <cellStyle name="_~MF2110_4단계예산서_1.2_직접공사비_자재비 2_4.Plumbing, HVAC &amp; Fire Fighting Works-동별산출" xfId="608" xr:uid="{00000000-0005-0000-0000-000091000000}"/>
    <cellStyle name="_~MF2110_4단계예산서_1.2_직접공사비_자재비(건축)" xfId="609" xr:uid="{00000000-0005-0000-0000-000092000000}"/>
    <cellStyle name="_~MF2110_4단계예산서_1.2_직접공사비_자재비(건축) 2" xfId="610" xr:uid="{00000000-0005-0000-0000-000093000000}"/>
    <cellStyle name="_~MF2110_4단계예산서_1.2_직접공사비_자재비(건축) 2_2011.02.24-Plumbing, HVAC &amp; Fire Fighting Works-동별산출(수정)" xfId="611" xr:uid="{00000000-0005-0000-0000-000094000000}"/>
    <cellStyle name="_~MF2110_4단계예산서_1.2_직접공사비_자재비(건축) 2_2011.02.25-Plumbing, HVAC &amp; Fire Fighting Works-동별산출-추가아이템정리-2" xfId="612" xr:uid="{00000000-0005-0000-0000-000095000000}"/>
    <cellStyle name="_~MF2110_4단계예산서_1.2_직접공사비_자재비(건축) 2_4.Plumbing, HVAC &amp; Fire Fighting Works-동별산출" xfId="613" xr:uid="{00000000-0005-0000-0000-000096000000}"/>
    <cellStyle name="_~MF2110_4단계예산서_가실행 내역서(전기)050923" xfId="614" xr:uid="{00000000-0005-0000-0000-000097000000}"/>
    <cellStyle name="_~MF2110_4단계예산서_가실행 내역서(전기)050923 2" xfId="615" xr:uid="{00000000-0005-0000-0000-000098000000}"/>
    <cellStyle name="_~MF2110_4단계예산서_가실행 내역서(전기)050923 2_2011.02.24-Plumbing, HVAC &amp; Fire Fighting Works-동별산출(수정)" xfId="616" xr:uid="{00000000-0005-0000-0000-000099000000}"/>
    <cellStyle name="_~MF2110_4단계예산서_가실행 내역서(전기)050923 2_2011.02.25-Plumbing, HVAC &amp; Fire Fighting Works-동별산출-추가아이템정리-2" xfId="617" xr:uid="{00000000-0005-0000-0000-00009A000000}"/>
    <cellStyle name="_~MF2110_4단계예산서_가실행 내역서(전기)050923 2_4.Plumbing, HVAC &amp; Fire Fighting Works-동별산출" xfId="618" xr:uid="{00000000-0005-0000-0000-00009B000000}"/>
    <cellStyle name="_~MF2110_4단계예산서_가실행 내역서(전기)050923_1.2_직접공사비_자재비" xfId="619" xr:uid="{00000000-0005-0000-0000-00009C000000}"/>
    <cellStyle name="_~MF2110_4단계예산서_가실행 내역서(전기)050923_1.2_직접공사비_자재비 2" xfId="620" xr:uid="{00000000-0005-0000-0000-00009D000000}"/>
    <cellStyle name="_~MF2110_4단계예산서_가실행 내역서(전기)050923_1.2_직접공사비_자재비 2_2011.02.24-Plumbing, HVAC &amp; Fire Fighting Works-동별산출(수정)" xfId="621" xr:uid="{00000000-0005-0000-0000-00009E000000}"/>
    <cellStyle name="_~MF2110_4단계예산서_가실행 내역서(전기)050923_1.2_직접공사비_자재비 2_2011.02.25-Plumbing, HVAC &amp; Fire Fighting Works-동별산출-추가아이템정리-2" xfId="622" xr:uid="{00000000-0005-0000-0000-00009F000000}"/>
    <cellStyle name="_~MF2110_4단계예산서_가실행 내역서(전기)050923_1.2_직접공사비_자재비 2_4.Plumbing, HVAC &amp; Fire Fighting Works-동별산출" xfId="623" xr:uid="{00000000-0005-0000-0000-0000A0000000}"/>
    <cellStyle name="_~MF2110_4단계예산서_가실행 내역서(전기)050923_1.2_직접공사비_자재비(건축)" xfId="624" xr:uid="{00000000-0005-0000-0000-0000A1000000}"/>
    <cellStyle name="_~MF2110_4단계예산서_가실행 내역서(전기)050923_1.2_직접공사비_자재비(건축) 2" xfId="625" xr:uid="{00000000-0005-0000-0000-0000A2000000}"/>
    <cellStyle name="_~MF2110_4단계예산서_가실행 내역서(전기)050923_1.2_직접공사비_자재비(건축) 2_2011.02.24-Plumbing, HVAC &amp; Fire Fighting Works-동별산출(수정)" xfId="626" xr:uid="{00000000-0005-0000-0000-0000A3000000}"/>
    <cellStyle name="_~MF2110_4단계예산서_가실행 내역서(전기)050923_1.2_직접공사비_자재비(건축) 2_2011.02.25-Plumbing, HVAC &amp; Fire Fighting Works-동별산출-추가아이템정리-2" xfId="627" xr:uid="{00000000-0005-0000-0000-0000A4000000}"/>
    <cellStyle name="_~MF2110_4단계예산서_가실행 내역서(전기)050923_1.2_직접공사비_자재비(건축) 2_4.Plumbing, HVAC &amp; Fire Fighting Works-동별산출" xfId="628" xr:uid="{00000000-0005-0000-0000-0000A5000000}"/>
    <cellStyle name="_~MF2110_가실행 내역서(전기)050923" xfId="629" xr:uid="{00000000-0005-0000-0000-0000A6000000}"/>
    <cellStyle name="_~MF2110_가실행 내역서(전기)050923 2" xfId="630" xr:uid="{00000000-0005-0000-0000-0000A7000000}"/>
    <cellStyle name="_~MF2110_가실행 내역서(전기)050923 2_2011.02.24-Plumbing, HVAC &amp; Fire Fighting Works-동별산출(수정)" xfId="631" xr:uid="{00000000-0005-0000-0000-0000A8000000}"/>
    <cellStyle name="_~MF2110_가실행 내역서(전기)050923 2_2011.02.25-Plumbing, HVAC &amp; Fire Fighting Works-동별산출-추가아이템정리-2" xfId="632" xr:uid="{00000000-0005-0000-0000-0000A9000000}"/>
    <cellStyle name="_~MF2110_가실행 내역서(전기)050923 2_4.Plumbing, HVAC &amp; Fire Fighting Works-동별산출" xfId="633" xr:uid="{00000000-0005-0000-0000-0000AA000000}"/>
    <cellStyle name="_~MF2110_가실행 내역서(전기)050923_1.2_직접공사비_자재비" xfId="634" xr:uid="{00000000-0005-0000-0000-0000AB000000}"/>
    <cellStyle name="_~MF2110_가실행 내역서(전기)050923_1.2_직접공사비_자재비 2" xfId="635" xr:uid="{00000000-0005-0000-0000-0000AC000000}"/>
    <cellStyle name="_~MF2110_가실행 내역서(전기)050923_1.2_직접공사비_자재비 2_2011.02.24-Plumbing, HVAC &amp; Fire Fighting Works-동별산출(수정)" xfId="636" xr:uid="{00000000-0005-0000-0000-0000AD000000}"/>
    <cellStyle name="_~MF2110_가실행 내역서(전기)050923_1.2_직접공사비_자재비 2_2011.02.25-Plumbing, HVAC &amp; Fire Fighting Works-동별산출-추가아이템정리-2" xfId="637" xr:uid="{00000000-0005-0000-0000-0000AE000000}"/>
    <cellStyle name="_~MF2110_가실행 내역서(전기)050923_1.2_직접공사비_자재비 2_4.Plumbing, HVAC &amp; Fire Fighting Works-동별산출" xfId="638" xr:uid="{00000000-0005-0000-0000-0000AF000000}"/>
    <cellStyle name="_~MF2110_가실행 내역서(전기)050923_1.2_직접공사비_자재비(건축)" xfId="639" xr:uid="{00000000-0005-0000-0000-0000B0000000}"/>
    <cellStyle name="_~MF2110_가실행 내역서(전기)050923_1.2_직접공사비_자재비(건축) 2" xfId="640" xr:uid="{00000000-0005-0000-0000-0000B1000000}"/>
    <cellStyle name="_~MF2110_가실행 내역서(전기)050923_1.2_직접공사비_자재비(건축) 2_2011.02.24-Plumbing, HVAC &amp; Fire Fighting Works-동별산출(수정)" xfId="641" xr:uid="{00000000-0005-0000-0000-0000B2000000}"/>
    <cellStyle name="_~MF2110_가실행 내역서(전기)050923_1.2_직접공사비_자재비(건축) 2_2011.02.25-Plumbing, HVAC &amp; Fire Fighting Works-동별산출-추가아이템정리-2" xfId="642" xr:uid="{00000000-0005-0000-0000-0000B3000000}"/>
    <cellStyle name="_~MF2110_가실행 내역서(전기)050923_1.2_직접공사비_자재비(건축) 2_4.Plumbing, HVAC &amp; Fire Fighting Works-동별산출" xfId="643" xr:uid="{00000000-0005-0000-0000-0000B4000000}"/>
    <cellStyle name="_~MF373C" xfId="644" xr:uid="{00000000-0005-0000-0000-0000B5000000}"/>
    <cellStyle name="_~MF373C 2" xfId="645" xr:uid="{00000000-0005-0000-0000-0000B6000000}"/>
    <cellStyle name="_~MF373C 2_2011.02.24-Plumbing, HVAC &amp; Fire Fighting Works-동별산출(수정)" xfId="646" xr:uid="{00000000-0005-0000-0000-0000B7000000}"/>
    <cellStyle name="_~MF373C 2_2011.02.25-Plumbing, HVAC &amp; Fire Fighting Works-동별산출-추가아이템정리-2" xfId="647" xr:uid="{00000000-0005-0000-0000-0000B8000000}"/>
    <cellStyle name="_~MF373C 2_4.Plumbing, HVAC &amp; Fire Fighting Works-동별산출" xfId="648" xr:uid="{00000000-0005-0000-0000-0000B9000000}"/>
    <cellStyle name="_~MF373C_1.2_직접공사비_자재비" xfId="649" xr:uid="{00000000-0005-0000-0000-0000BA000000}"/>
    <cellStyle name="_~MF373C_1.2_직접공사비_자재비 2" xfId="650" xr:uid="{00000000-0005-0000-0000-0000BB000000}"/>
    <cellStyle name="_~MF373C_1.2_직접공사비_자재비 2_2011.02.24-Plumbing, HVAC &amp; Fire Fighting Works-동별산출(수정)" xfId="651" xr:uid="{00000000-0005-0000-0000-0000BC000000}"/>
    <cellStyle name="_~MF373C_1.2_직접공사비_자재비 2_2011.02.25-Plumbing, HVAC &amp; Fire Fighting Works-동별산출-추가아이템정리-2" xfId="652" xr:uid="{00000000-0005-0000-0000-0000BD000000}"/>
    <cellStyle name="_~MF373C_1.2_직접공사비_자재비 2_4.Plumbing, HVAC &amp; Fire Fighting Works-동별산출" xfId="653" xr:uid="{00000000-0005-0000-0000-0000BE000000}"/>
    <cellStyle name="_~MF373C_1.2_직접공사비_자재비(건축)" xfId="654" xr:uid="{00000000-0005-0000-0000-0000BF000000}"/>
    <cellStyle name="_~MF373C_1.2_직접공사비_자재비(건축) 2" xfId="655" xr:uid="{00000000-0005-0000-0000-0000C0000000}"/>
    <cellStyle name="_~MF373C_1.2_직접공사비_자재비(건축) 2_2011.02.24-Plumbing, HVAC &amp; Fire Fighting Works-동별산출(수정)" xfId="656" xr:uid="{00000000-0005-0000-0000-0000C1000000}"/>
    <cellStyle name="_~MF373C_1.2_직접공사비_자재비(건축) 2_2011.02.25-Plumbing, HVAC &amp; Fire Fighting Works-동별산출-추가아이템정리-2" xfId="657" xr:uid="{00000000-0005-0000-0000-0000C2000000}"/>
    <cellStyle name="_~MF373C_1.2_직접공사비_자재비(건축) 2_4.Plumbing, HVAC &amp; Fire Fighting Works-동별산출" xfId="658" xr:uid="{00000000-0005-0000-0000-0000C3000000}"/>
    <cellStyle name="_~MF373C_4단계예산서" xfId="659" xr:uid="{00000000-0005-0000-0000-0000C4000000}"/>
    <cellStyle name="_~MF373C_4단계예산서 2" xfId="660" xr:uid="{00000000-0005-0000-0000-0000C5000000}"/>
    <cellStyle name="_~MF373C_4단계예산서 2_2011.02.24-Plumbing, HVAC &amp; Fire Fighting Works-동별산출(수정)" xfId="661" xr:uid="{00000000-0005-0000-0000-0000C6000000}"/>
    <cellStyle name="_~MF373C_4단계예산서 2_2011.02.25-Plumbing, HVAC &amp; Fire Fighting Works-동별산출-추가아이템정리-2" xfId="662" xr:uid="{00000000-0005-0000-0000-0000C7000000}"/>
    <cellStyle name="_~MF373C_4단계예산서 2_4.Plumbing, HVAC &amp; Fire Fighting Works-동별산출" xfId="663" xr:uid="{00000000-0005-0000-0000-0000C8000000}"/>
    <cellStyle name="_~MF373C_4단계예산서_1.2_직접공사비_자재비" xfId="664" xr:uid="{00000000-0005-0000-0000-0000C9000000}"/>
    <cellStyle name="_~MF373C_4단계예산서_1.2_직접공사비_자재비 2" xfId="665" xr:uid="{00000000-0005-0000-0000-0000CA000000}"/>
    <cellStyle name="_~MF373C_4단계예산서_1.2_직접공사비_자재비 2_2011.02.24-Plumbing, HVAC &amp; Fire Fighting Works-동별산출(수정)" xfId="666" xr:uid="{00000000-0005-0000-0000-0000CB000000}"/>
    <cellStyle name="_~MF373C_4단계예산서_1.2_직접공사비_자재비 2_2011.02.25-Plumbing, HVAC &amp; Fire Fighting Works-동별산출-추가아이템정리-2" xfId="667" xr:uid="{00000000-0005-0000-0000-0000CC000000}"/>
    <cellStyle name="_~MF373C_4단계예산서_1.2_직접공사비_자재비 2_4.Plumbing, HVAC &amp; Fire Fighting Works-동별산출" xfId="668" xr:uid="{00000000-0005-0000-0000-0000CD000000}"/>
    <cellStyle name="_~MF373C_4단계예산서_1.2_직접공사비_자재비(건축)" xfId="669" xr:uid="{00000000-0005-0000-0000-0000CE000000}"/>
    <cellStyle name="_~MF373C_4단계예산서_1.2_직접공사비_자재비(건축) 2" xfId="670" xr:uid="{00000000-0005-0000-0000-0000CF000000}"/>
    <cellStyle name="_~MF373C_4단계예산서_1.2_직접공사비_자재비(건축) 2_2011.02.24-Plumbing, HVAC &amp; Fire Fighting Works-동별산출(수정)" xfId="671" xr:uid="{00000000-0005-0000-0000-0000D0000000}"/>
    <cellStyle name="_~MF373C_4단계예산서_1.2_직접공사비_자재비(건축) 2_2011.02.25-Plumbing, HVAC &amp; Fire Fighting Works-동별산출-추가아이템정리-2" xfId="672" xr:uid="{00000000-0005-0000-0000-0000D1000000}"/>
    <cellStyle name="_~MF373C_4단계예산서_1.2_직접공사비_자재비(건축) 2_4.Plumbing, HVAC &amp; Fire Fighting Works-동별산출" xfId="673" xr:uid="{00000000-0005-0000-0000-0000D2000000}"/>
    <cellStyle name="_~MF373C_4단계예산서_가실행 내역서(전기)050923" xfId="674" xr:uid="{00000000-0005-0000-0000-0000D3000000}"/>
    <cellStyle name="_~MF373C_4단계예산서_가실행 내역서(전기)050923 2" xfId="675" xr:uid="{00000000-0005-0000-0000-0000D4000000}"/>
    <cellStyle name="_~MF373C_4단계예산서_가실행 내역서(전기)050923 2_2011.02.24-Plumbing, HVAC &amp; Fire Fighting Works-동별산출(수정)" xfId="676" xr:uid="{00000000-0005-0000-0000-0000D5000000}"/>
    <cellStyle name="_~MF373C_4단계예산서_가실행 내역서(전기)050923 2_2011.02.25-Plumbing, HVAC &amp; Fire Fighting Works-동별산출-추가아이템정리-2" xfId="677" xr:uid="{00000000-0005-0000-0000-0000D6000000}"/>
    <cellStyle name="_~MF373C_4단계예산서_가실행 내역서(전기)050923 2_4.Plumbing, HVAC &amp; Fire Fighting Works-동별산출" xfId="678" xr:uid="{00000000-0005-0000-0000-0000D7000000}"/>
    <cellStyle name="_~MF373C_4단계예산서_가실행 내역서(전기)050923_1.2_직접공사비_자재비" xfId="679" xr:uid="{00000000-0005-0000-0000-0000D8000000}"/>
    <cellStyle name="_~MF373C_4단계예산서_가실행 내역서(전기)050923_1.2_직접공사비_자재비 2" xfId="680" xr:uid="{00000000-0005-0000-0000-0000D9000000}"/>
    <cellStyle name="_~MF373C_4단계예산서_가실행 내역서(전기)050923_1.2_직접공사비_자재비 2_2011.02.24-Plumbing, HVAC &amp; Fire Fighting Works-동별산출(수정)" xfId="681" xr:uid="{00000000-0005-0000-0000-0000DA000000}"/>
    <cellStyle name="_~MF373C_4단계예산서_가실행 내역서(전기)050923_1.2_직접공사비_자재비 2_2011.02.25-Plumbing, HVAC &amp; Fire Fighting Works-동별산출-추가아이템정리-2" xfId="682" xr:uid="{00000000-0005-0000-0000-0000DB000000}"/>
    <cellStyle name="_~MF373C_4단계예산서_가실행 내역서(전기)050923_1.2_직접공사비_자재비 2_4.Plumbing, HVAC &amp; Fire Fighting Works-동별산출" xfId="683" xr:uid="{00000000-0005-0000-0000-0000DC000000}"/>
    <cellStyle name="_~MF373C_4단계예산서_가실행 내역서(전기)050923_1.2_직접공사비_자재비(건축)" xfId="684" xr:uid="{00000000-0005-0000-0000-0000DD000000}"/>
    <cellStyle name="_~MF373C_4단계예산서_가실행 내역서(전기)050923_1.2_직접공사비_자재비(건축) 2" xfId="685" xr:uid="{00000000-0005-0000-0000-0000DE000000}"/>
    <cellStyle name="_~MF373C_4단계예산서_가실행 내역서(전기)050923_1.2_직접공사비_자재비(건축) 2_2011.02.24-Plumbing, HVAC &amp; Fire Fighting Works-동별산출(수정)" xfId="686" xr:uid="{00000000-0005-0000-0000-0000DF000000}"/>
    <cellStyle name="_~MF373C_4단계예산서_가실행 내역서(전기)050923_1.2_직접공사비_자재비(건축) 2_2011.02.25-Plumbing, HVAC &amp; Fire Fighting Works-동별산출-추가아이템정리-2" xfId="687" xr:uid="{00000000-0005-0000-0000-0000E0000000}"/>
    <cellStyle name="_~MF373C_4단계예산서_가실행 내역서(전기)050923_1.2_직접공사비_자재비(건축) 2_4.Plumbing, HVAC &amp; Fire Fighting Works-동별산출" xfId="688" xr:uid="{00000000-0005-0000-0000-0000E1000000}"/>
    <cellStyle name="_~MF373C_가실행 내역서(전기)050923" xfId="689" xr:uid="{00000000-0005-0000-0000-0000E2000000}"/>
    <cellStyle name="_~MF373C_가실행 내역서(전기)050923 2" xfId="690" xr:uid="{00000000-0005-0000-0000-0000E3000000}"/>
    <cellStyle name="_~MF373C_가실행 내역서(전기)050923 2_2011.02.24-Plumbing, HVAC &amp; Fire Fighting Works-동별산출(수정)" xfId="691" xr:uid="{00000000-0005-0000-0000-0000E4000000}"/>
    <cellStyle name="_~MF373C_가실행 내역서(전기)050923 2_2011.02.25-Plumbing, HVAC &amp; Fire Fighting Works-동별산출-추가아이템정리-2" xfId="692" xr:uid="{00000000-0005-0000-0000-0000E5000000}"/>
    <cellStyle name="_~MF373C_가실행 내역서(전기)050923 2_4.Plumbing, HVAC &amp; Fire Fighting Works-동별산출" xfId="693" xr:uid="{00000000-0005-0000-0000-0000E6000000}"/>
    <cellStyle name="_~MF373C_가실행 내역서(전기)050923_1.2_직접공사비_자재비" xfId="694" xr:uid="{00000000-0005-0000-0000-0000E7000000}"/>
    <cellStyle name="_~MF373C_가실행 내역서(전기)050923_1.2_직접공사비_자재비 2" xfId="695" xr:uid="{00000000-0005-0000-0000-0000E8000000}"/>
    <cellStyle name="_~MF373C_가실행 내역서(전기)050923_1.2_직접공사비_자재비 2_2011.02.24-Plumbing, HVAC &amp; Fire Fighting Works-동별산출(수정)" xfId="696" xr:uid="{00000000-0005-0000-0000-0000E9000000}"/>
    <cellStyle name="_~MF373C_가실행 내역서(전기)050923_1.2_직접공사비_자재비 2_2011.02.25-Plumbing, HVAC &amp; Fire Fighting Works-동별산출-추가아이템정리-2" xfId="697" xr:uid="{00000000-0005-0000-0000-0000EA000000}"/>
    <cellStyle name="_~MF373C_가실행 내역서(전기)050923_1.2_직접공사비_자재비 2_4.Plumbing, HVAC &amp; Fire Fighting Works-동별산출" xfId="698" xr:uid="{00000000-0005-0000-0000-0000EB000000}"/>
    <cellStyle name="_~MF373C_가실행 내역서(전기)050923_1.2_직접공사비_자재비(건축)" xfId="699" xr:uid="{00000000-0005-0000-0000-0000EC000000}"/>
    <cellStyle name="_~MF373C_가실행 내역서(전기)050923_1.2_직접공사비_자재비(건축) 2" xfId="700" xr:uid="{00000000-0005-0000-0000-0000ED000000}"/>
    <cellStyle name="_~MF373C_가실행 내역서(전기)050923_1.2_직접공사비_자재비(건축) 2_2011.02.24-Plumbing, HVAC &amp; Fire Fighting Works-동별산출(수정)" xfId="701" xr:uid="{00000000-0005-0000-0000-0000EE000000}"/>
    <cellStyle name="_~MF373C_가실행 내역서(전기)050923_1.2_직접공사비_자재비(건축) 2_2011.02.25-Plumbing, HVAC &amp; Fire Fighting Works-동별산출-추가아이템정리-2" xfId="702" xr:uid="{00000000-0005-0000-0000-0000EF000000}"/>
    <cellStyle name="_~MF373C_가실행 내역서(전기)050923_1.2_직접공사비_자재비(건축) 2_4.Plumbing, HVAC &amp; Fire Fighting Works-동별산출" xfId="703" xr:uid="{00000000-0005-0000-0000-0000F0000000}"/>
    <cellStyle name="_0 공사비총괄표" xfId="704" xr:uid="{00000000-0005-0000-0000-0000F1000000}"/>
    <cellStyle name="_02차 실행 토목 Rev 15 (권순규)" xfId="705" xr:uid="{00000000-0005-0000-0000-0000F2000000}"/>
    <cellStyle name="_080627 Shuweihat S2 Final ESTI_담수시운전_080627" xfId="706" xr:uid="{00000000-0005-0000-0000-0000F3000000}"/>
    <cellStyle name="_1  Case1(E  I Works  2005 12.09 세종Rev 2)" xfId="707" xr:uid="{00000000-0005-0000-0000-0000F4000000}"/>
    <cellStyle name="_1.6.2_토목실행예산내역_1206,07(본사확정)R2" xfId="708" xr:uid="{00000000-0005-0000-0000-0000F5000000}"/>
    <cellStyle name="_1.6.3_S2_건축실행예산내역_080917_rev.0" xfId="709" xr:uid="{00000000-0005-0000-0000-0000F6000000}"/>
    <cellStyle name="_1.Shuweihat MSF_Civil_BOQ-080423_with Price" xfId="710" xr:uid="{00000000-0005-0000-0000-0000F7000000}"/>
    <cellStyle name="_1.공사비집계표F" xfId="711" xr:uid="{00000000-0005-0000-0000-0000F8000000}"/>
    <cellStyle name="_2 Ras Azzour BOM(삼창작성)07.11.14." xfId="712" xr:uid="{00000000-0005-0000-0000-0000F9000000}"/>
    <cellStyle name="_2 해상기초(조)-실행-(도급줄여...)-(현)" xfId="713" xr:uid="{00000000-0005-0000-0000-0000FA000000}"/>
    <cellStyle name="_2.배관실행" xfId="714" xr:uid="{00000000-0005-0000-0000-0000FB000000}"/>
    <cellStyle name="_2.투자비 집계" xfId="715" xr:uid="{00000000-0005-0000-0000-0000FC000000}"/>
    <cellStyle name="_2001년만" xfId="716" xr:uid="{00000000-0005-0000-0000-0000FD000000}"/>
    <cellStyle name="_2001년만 2" xfId="717" xr:uid="{00000000-0005-0000-0000-0000FE000000}"/>
    <cellStyle name="_2001년만 2_2011.02.24-Plumbing, HVAC &amp; Fire Fighting Works-동별산출(수정)" xfId="718" xr:uid="{00000000-0005-0000-0000-0000FF000000}"/>
    <cellStyle name="_2001년만 2_2011.02.25-Plumbing, HVAC &amp; Fire Fighting Works-동별산출-추가아이템정리-2" xfId="719" xr:uid="{00000000-0005-0000-0000-000000010000}"/>
    <cellStyle name="_2001년만 2_4.Plumbing, HVAC &amp; Fire Fighting Works-동별산출" xfId="720" xr:uid="{00000000-0005-0000-0000-000001010000}"/>
    <cellStyle name="_2001년만_(11-6)2001중장기계획(총괄)1" xfId="721" xr:uid="{00000000-0005-0000-0000-000002010000}"/>
    <cellStyle name="_2001년만_(11-6)2001중장기계획(총괄)1 2" xfId="722" xr:uid="{00000000-0005-0000-0000-000003010000}"/>
    <cellStyle name="_2001년만_(11-6)2001중장기계획(총괄)1 2_2011.02.24-Plumbing, HVAC &amp; Fire Fighting Works-동별산출(수정)" xfId="723" xr:uid="{00000000-0005-0000-0000-000004010000}"/>
    <cellStyle name="_2001년만_(11-6)2001중장기계획(총괄)1 2_2011.02.25-Plumbing, HVAC &amp; Fire Fighting Works-동별산출-추가아이템정리-2" xfId="724" xr:uid="{00000000-0005-0000-0000-000005010000}"/>
    <cellStyle name="_2001년만_(11-6)2001중장기계획(총괄)1 2_4.Plumbing, HVAC &amp; Fire Fighting Works-동별산출" xfId="725" xr:uid="{00000000-0005-0000-0000-000006010000}"/>
    <cellStyle name="_2001년만_(11-6)2001중장기계획(총괄)1_1.2_직접공사비_자재비" xfId="726" xr:uid="{00000000-0005-0000-0000-000007010000}"/>
    <cellStyle name="_2001년만_(11-6)2001중장기계획(총괄)1_1.2_직접공사비_자재비 2" xfId="727" xr:uid="{00000000-0005-0000-0000-000008010000}"/>
    <cellStyle name="_2001년만_(11-6)2001중장기계획(총괄)1_1.2_직접공사비_자재비 2_2011.02.24-Plumbing, HVAC &amp; Fire Fighting Works-동별산출(수정)" xfId="728" xr:uid="{00000000-0005-0000-0000-000009010000}"/>
    <cellStyle name="_2001년만_(11-6)2001중장기계획(총괄)1_1.2_직접공사비_자재비 2_2011.02.25-Plumbing, HVAC &amp; Fire Fighting Works-동별산출-추가아이템정리-2" xfId="729" xr:uid="{00000000-0005-0000-0000-00000A010000}"/>
    <cellStyle name="_2001년만_(11-6)2001중장기계획(총괄)1_1.2_직접공사비_자재비 2_4.Plumbing, HVAC &amp; Fire Fighting Works-동별산출" xfId="730" xr:uid="{00000000-0005-0000-0000-00000B010000}"/>
    <cellStyle name="_2001년만_(11-6)2001중장기계획(총괄)1_1.2_직접공사비_자재비(건축)" xfId="731" xr:uid="{00000000-0005-0000-0000-00000C010000}"/>
    <cellStyle name="_2001년만_(11-6)2001중장기계획(총괄)1_1.2_직접공사비_자재비(건축) 2" xfId="732" xr:uid="{00000000-0005-0000-0000-00000D010000}"/>
    <cellStyle name="_2001년만_(11-6)2001중장기계획(총괄)1_1.2_직접공사비_자재비(건축) 2_2011.02.24-Plumbing, HVAC &amp; Fire Fighting Works-동별산출(수정)" xfId="733" xr:uid="{00000000-0005-0000-0000-00000E010000}"/>
    <cellStyle name="_2001년만_(11-6)2001중장기계획(총괄)1_1.2_직접공사비_자재비(건축) 2_2011.02.25-Plumbing, HVAC &amp; Fire Fighting Works-동별산출-추가아이템정리-2" xfId="734" xr:uid="{00000000-0005-0000-0000-00000F010000}"/>
    <cellStyle name="_2001년만_(11-6)2001중장기계획(총괄)1_1.2_직접공사비_자재비(건축) 2_4.Plumbing, HVAC &amp; Fire Fighting Works-동별산출" xfId="735" xr:uid="{00000000-0005-0000-0000-000010010000}"/>
    <cellStyle name="_2001년만_(11-6)2001중장기계획(총괄)1_4단계예산서" xfId="736" xr:uid="{00000000-0005-0000-0000-000011010000}"/>
    <cellStyle name="_2001년만_(11-6)2001중장기계획(총괄)1_4단계예산서 2" xfId="737" xr:uid="{00000000-0005-0000-0000-000012010000}"/>
    <cellStyle name="_2001년만_(11-6)2001중장기계획(총괄)1_4단계예산서 2_2011.02.24-Plumbing, HVAC &amp; Fire Fighting Works-동별산출(수정)" xfId="738" xr:uid="{00000000-0005-0000-0000-000013010000}"/>
    <cellStyle name="_2001년만_(11-6)2001중장기계획(총괄)1_4단계예산서 2_2011.02.25-Plumbing, HVAC &amp; Fire Fighting Works-동별산출-추가아이템정리-2" xfId="739" xr:uid="{00000000-0005-0000-0000-000014010000}"/>
    <cellStyle name="_2001년만_(11-6)2001중장기계획(총괄)1_4단계예산서 2_4.Plumbing, HVAC &amp; Fire Fighting Works-동별산출" xfId="740" xr:uid="{00000000-0005-0000-0000-000015010000}"/>
    <cellStyle name="_2001년만_(11-6)2001중장기계획(총괄)1_4단계예산서_1.2_직접공사비_자재비" xfId="741" xr:uid="{00000000-0005-0000-0000-000016010000}"/>
    <cellStyle name="_2001년만_(11-6)2001중장기계획(총괄)1_4단계예산서_1.2_직접공사비_자재비 2" xfId="742" xr:uid="{00000000-0005-0000-0000-000017010000}"/>
    <cellStyle name="_2001년만_(11-6)2001중장기계획(총괄)1_4단계예산서_1.2_직접공사비_자재비 2_2011.02.24-Plumbing, HVAC &amp; Fire Fighting Works-동별산출(수정)" xfId="743" xr:uid="{00000000-0005-0000-0000-000018010000}"/>
    <cellStyle name="_2001년만_(11-6)2001중장기계획(총괄)1_4단계예산서_1.2_직접공사비_자재비 2_2011.02.25-Plumbing, HVAC &amp; Fire Fighting Works-동별산출-추가아이템정리-2" xfId="744" xr:uid="{00000000-0005-0000-0000-000019010000}"/>
    <cellStyle name="_2001년만_(11-6)2001중장기계획(총괄)1_4단계예산서_1.2_직접공사비_자재비 2_4.Plumbing, HVAC &amp; Fire Fighting Works-동별산출" xfId="745" xr:uid="{00000000-0005-0000-0000-00001A010000}"/>
    <cellStyle name="_2001년만_(11-6)2001중장기계획(총괄)1_4단계예산서_1.2_직접공사비_자재비(건축)" xfId="746" xr:uid="{00000000-0005-0000-0000-00001B010000}"/>
    <cellStyle name="_2001년만_(11-6)2001중장기계획(총괄)1_4단계예산서_1.2_직접공사비_자재비(건축) 2" xfId="747" xr:uid="{00000000-0005-0000-0000-00001C010000}"/>
    <cellStyle name="_2001년만_(11-6)2001중장기계획(총괄)1_4단계예산서_1.2_직접공사비_자재비(건축) 2_2011.02.24-Plumbing, HVAC &amp; Fire Fighting Works-동별산출(수정)" xfId="748" xr:uid="{00000000-0005-0000-0000-00001D010000}"/>
    <cellStyle name="_2001년만_(11-6)2001중장기계획(총괄)1_4단계예산서_1.2_직접공사비_자재비(건축) 2_2011.02.25-Plumbing, HVAC &amp; Fire Fighting Works-동별산출-추가아이템정리-2" xfId="749" xr:uid="{00000000-0005-0000-0000-00001E010000}"/>
    <cellStyle name="_2001년만_(11-6)2001중장기계획(총괄)1_4단계예산서_1.2_직접공사비_자재비(건축) 2_4.Plumbing, HVAC &amp; Fire Fighting Works-동별산출" xfId="750" xr:uid="{00000000-0005-0000-0000-00001F010000}"/>
    <cellStyle name="_2001년만_(11-6)2001중장기계획(총괄)1_4단계예산서_가실행 내역서(전기)050923" xfId="751" xr:uid="{00000000-0005-0000-0000-000020010000}"/>
    <cellStyle name="_2001년만_(11-6)2001중장기계획(총괄)1_4단계예산서_가실행 내역서(전기)050923 2" xfId="752" xr:uid="{00000000-0005-0000-0000-000021010000}"/>
    <cellStyle name="_2001년만_(11-6)2001중장기계획(총괄)1_4단계예산서_가실행 내역서(전기)050923 2_2011.02.24-Plumbing, HVAC &amp; Fire Fighting Works-동별산출(수정)" xfId="753" xr:uid="{00000000-0005-0000-0000-000022010000}"/>
    <cellStyle name="_2001년만_(11-6)2001중장기계획(총괄)1_4단계예산서_가실행 내역서(전기)050923 2_2011.02.25-Plumbing, HVAC &amp; Fire Fighting Works-동별산출-추가아이템정리-2" xfId="754" xr:uid="{00000000-0005-0000-0000-000023010000}"/>
    <cellStyle name="_2001년만_(11-6)2001중장기계획(총괄)1_4단계예산서_가실행 내역서(전기)050923 2_4.Plumbing, HVAC &amp; Fire Fighting Works-동별산출" xfId="755" xr:uid="{00000000-0005-0000-0000-000024010000}"/>
    <cellStyle name="_2001년만_(11-6)2001중장기계획(총괄)1_4단계예산서_가실행 내역서(전기)050923_1.2_직접공사비_자재비" xfId="756" xr:uid="{00000000-0005-0000-0000-000025010000}"/>
    <cellStyle name="_2001년만_(11-6)2001중장기계획(총괄)1_4단계예산서_가실행 내역서(전기)050923_1.2_직접공사비_자재비 2" xfId="757" xr:uid="{00000000-0005-0000-0000-000026010000}"/>
    <cellStyle name="_2001년만_(11-6)2001중장기계획(총괄)1_4단계예산서_가실행 내역서(전기)050923_1.2_직접공사비_자재비 2_2011.02.24-Plumbing, HVAC &amp; Fire Fighting Works-동별산출(수정)" xfId="758" xr:uid="{00000000-0005-0000-0000-000027010000}"/>
    <cellStyle name="_2001년만_(11-6)2001중장기계획(총괄)1_4단계예산서_가실행 내역서(전기)050923_1.2_직접공사비_자재비 2_2011.02.25-Plumbing, HVAC &amp; Fire Fighting Works-동별산출-추가아이템정리-2" xfId="759" xr:uid="{00000000-0005-0000-0000-000028010000}"/>
    <cellStyle name="_2001년만_(11-6)2001중장기계획(총괄)1_4단계예산서_가실행 내역서(전기)050923_1.2_직접공사비_자재비 2_4.Plumbing, HVAC &amp; Fire Fighting Works-동별산출" xfId="760" xr:uid="{00000000-0005-0000-0000-000029010000}"/>
    <cellStyle name="_2001년만_(11-6)2001중장기계획(총괄)1_4단계예산서_가실행 내역서(전기)050923_1.2_직접공사비_자재비(건축)" xfId="761" xr:uid="{00000000-0005-0000-0000-00002A010000}"/>
    <cellStyle name="_2001년만_(11-6)2001중장기계획(총괄)1_4단계예산서_가실행 내역서(전기)050923_1.2_직접공사비_자재비(건축) 2" xfId="762" xr:uid="{00000000-0005-0000-0000-00002B010000}"/>
    <cellStyle name="_2001년만_(11-6)2001중장기계획(총괄)1_4단계예산서_가실행 내역서(전기)050923_1.2_직접공사비_자재비(건축) 2_2011.02.24-Plumbing, HVAC &amp; Fire Fighting Works-동별산출(수정)" xfId="763" xr:uid="{00000000-0005-0000-0000-00002C010000}"/>
    <cellStyle name="_2001년만_(11-6)2001중장기계획(총괄)1_4단계예산서_가실행 내역서(전기)050923_1.2_직접공사비_자재비(건축) 2_2011.02.25-Plumbing, HVAC &amp; Fire Fighting Works-동별산출-추가아이템정리-2" xfId="764" xr:uid="{00000000-0005-0000-0000-00002D010000}"/>
    <cellStyle name="_2001년만_(11-6)2001중장기계획(총괄)1_4단계예산서_가실행 내역서(전기)050923_1.2_직접공사비_자재비(건축) 2_4.Plumbing, HVAC &amp; Fire Fighting Works-동별산출" xfId="765" xr:uid="{00000000-0005-0000-0000-00002E010000}"/>
    <cellStyle name="_2001년만_(11-6)2001중장기계획(총괄)1_가실행 내역서(전기)050923" xfId="766" xr:uid="{00000000-0005-0000-0000-00002F010000}"/>
    <cellStyle name="_2001년만_(11-6)2001중장기계획(총괄)1_가실행 내역서(전기)050923 2" xfId="767" xr:uid="{00000000-0005-0000-0000-000030010000}"/>
    <cellStyle name="_2001년만_(11-6)2001중장기계획(총괄)1_가실행 내역서(전기)050923 2_2011.02.24-Plumbing, HVAC &amp; Fire Fighting Works-동별산출(수정)" xfId="768" xr:uid="{00000000-0005-0000-0000-000031010000}"/>
    <cellStyle name="_2001년만_(11-6)2001중장기계획(총괄)1_가실행 내역서(전기)050923 2_2011.02.25-Plumbing, HVAC &amp; Fire Fighting Works-동별산출-추가아이템정리-2" xfId="769" xr:uid="{00000000-0005-0000-0000-000032010000}"/>
    <cellStyle name="_2001년만_(11-6)2001중장기계획(총괄)1_가실행 내역서(전기)050923 2_4.Plumbing, HVAC &amp; Fire Fighting Works-동별산출" xfId="770" xr:uid="{00000000-0005-0000-0000-000033010000}"/>
    <cellStyle name="_2001년만_(11-6)2001중장기계획(총괄)1_가실행 내역서(전기)050923_1.2_직접공사비_자재비" xfId="771" xr:uid="{00000000-0005-0000-0000-000034010000}"/>
    <cellStyle name="_2001년만_(11-6)2001중장기계획(총괄)1_가실행 내역서(전기)050923_1.2_직접공사비_자재비 2" xfId="772" xr:uid="{00000000-0005-0000-0000-000035010000}"/>
    <cellStyle name="_2001년만_(11-6)2001중장기계획(총괄)1_가실행 내역서(전기)050923_1.2_직접공사비_자재비 2_2011.02.24-Plumbing, HVAC &amp; Fire Fighting Works-동별산출(수정)" xfId="773" xr:uid="{00000000-0005-0000-0000-000036010000}"/>
    <cellStyle name="_2001년만_(11-6)2001중장기계획(총괄)1_가실행 내역서(전기)050923_1.2_직접공사비_자재비 2_2011.02.25-Plumbing, HVAC &amp; Fire Fighting Works-동별산출-추가아이템정리-2" xfId="774" xr:uid="{00000000-0005-0000-0000-000037010000}"/>
    <cellStyle name="_2001년만_(11-6)2001중장기계획(총괄)1_가실행 내역서(전기)050923_1.2_직접공사비_자재비 2_4.Plumbing, HVAC &amp; Fire Fighting Works-동별산출" xfId="775" xr:uid="{00000000-0005-0000-0000-000038010000}"/>
    <cellStyle name="_2001년만_(11-6)2001중장기계획(총괄)1_가실행 내역서(전기)050923_1.2_직접공사비_자재비(건축)" xfId="776" xr:uid="{00000000-0005-0000-0000-000039010000}"/>
    <cellStyle name="_2001년만_(11-6)2001중장기계획(총괄)1_가실행 내역서(전기)050923_1.2_직접공사비_자재비(건축) 2" xfId="777" xr:uid="{00000000-0005-0000-0000-00003A010000}"/>
    <cellStyle name="_2001년만_(11-6)2001중장기계획(총괄)1_가실행 내역서(전기)050923_1.2_직접공사비_자재비(건축) 2_2011.02.24-Plumbing, HVAC &amp; Fire Fighting Works-동별산출(수정)" xfId="778" xr:uid="{00000000-0005-0000-0000-00003B010000}"/>
    <cellStyle name="_2001년만_(11-6)2001중장기계획(총괄)1_가실행 내역서(전기)050923_1.2_직접공사비_자재비(건축) 2_2011.02.25-Plumbing, HVAC &amp; Fire Fighting Works-동별산출-추가아이템정리-2" xfId="779" xr:uid="{00000000-0005-0000-0000-00003C010000}"/>
    <cellStyle name="_2001년만_(11-6)2001중장기계획(총괄)1_가실행 내역서(전기)050923_1.2_직접공사비_자재비(건축) 2_4.Plumbing, HVAC &amp; Fire Fighting Works-동별산출" xfId="780" xr:uid="{00000000-0005-0000-0000-00003D010000}"/>
    <cellStyle name="_2001년만_~MF1128" xfId="781" xr:uid="{00000000-0005-0000-0000-00003E010000}"/>
    <cellStyle name="_2001년만_~MF1128 2" xfId="782" xr:uid="{00000000-0005-0000-0000-00003F010000}"/>
    <cellStyle name="_2001년만_~MF1128 2_2011.02.24-Plumbing, HVAC &amp; Fire Fighting Works-동별산출(수정)" xfId="783" xr:uid="{00000000-0005-0000-0000-000040010000}"/>
    <cellStyle name="_2001년만_~MF1128 2_2011.02.25-Plumbing, HVAC &amp; Fire Fighting Works-동별산출-추가아이템정리-2" xfId="784" xr:uid="{00000000-0005-0000-0000-000041010000}"/>
    <cellStyle name="_2001년만_~MF1128 2_4.Plumbing, HVAC &amp; Fire Fighting Works-동별산출" xfId="785" xr:uid="{00000000-0005-0000-0000-000042010000}"/>
    <cellStyle name="_2001년만_~MF1128_(11-6)2001중장기계획(총괄)1" xfId="786" xr:uid="{00000000-0005-0000-0000-000043010000}"/>
    <cellStyle name="_2001년만_~MF1128_(11-6)2001중장기계획(총괄)1 2" xfId="787" xr:uid="{00000000-0005-0000-0000-000044010000}"/>
    <cellStyle name="_2001년만_~MF1128_(11-6)2001중장기계획(총괄)1 2_2011.02.24-Plumbing, HVAC &amp; Fire Fighting Works-동별산출(수정)" xfId="788" xr:uid="{00000000-0005-0000-0000-000045010000}"/>
    <cellStyle name="_2001년만_~MF1128_(11-6)2001중장기계획(총괄)1 2_2011.02.25-Plumbing, HVAC &amp; Fire Fighting Works-동별산출-추가아이템정리-2" xfId="789" xr:uid="{00000000-0005-0000-0000-000046010000}"/>
    <cellStyle name="_2001년만_~MF1128_(11-6)2001중장기계획(총괄)1 2_4.Plumbing, HVAC &amp; Fire Fighting Works-동별산출" xfId="790" xr:uid="{00000000-0005-0000-0000-000047010000}"/>
    <cellStyle name="_2001년만_~MF1128_(11-6)2001중장기계획(총괄)1_1.2_직접공사비_자재비" xfId="791" xr:uid="{00000000-0005-0000-0000-000048010000}"/>
    <cellStyle name="_2001년만_~MF1128_(11-6)2001중장기계획(총괄)1_1.2_직접공사비_자재비 2" xfId="792" xr:uid="{00000000-0005-0000-0000-000049010000}"/>
    <cellStyle name="_2001년만_~MF1128_(11-6)2001중장기계획(총괄)1_1.2_직접공사비_자재비 2_2011.02.24-Plumbing, HVAC &amp; Fire Fighting Works-동별산출(수정)" xfId="793" xr:uid="{00000000-0005-0000-0000-00004A010000}"/>
    <cellStyle name="_2001년만_~MF1128_(11-6)2001중장기계획(총괄)1_1.2_직접공사비_자재비 2_2011.02.25-Plumbing, HVAC &amp; Fire Fighting Works-동별산출-추가아이템정리-2" xfId="794" xr:uid="{00000000-0005-0000-0000-00004B010000}"/>
    <cellStyle name="_2001년만_~MF1128_(11-6)2001중장기계획(총괄)1_1.2_직접공사비_자재비 2_4.Plumbing, HVAC &amp; Fire Fighting Works-동별산출" xfId="795" xr:uid="{00000000-0005-0000-0000-00004C010000}"/>
    <cellStyle name="_2001년만_~MF1128_(11-6)2001중장기계획(총괄)1_1.2_직접공사비_자재비(건축)" xfId="796" xr:uid="{00000000-0005-0000-0000-00004D010000}"/>
    <cellStyle name="_2001년만_~MF1128_(11-6)2001중장기계획(총괄)1_1.2_직접공사비_자재비(건축) 2" xfId="797" xr:uid="{00000000-0005-0000-0000-00004E010000}"/>
    <cellStyle name="_2001년만_~MF1128_(11-6)2001중장기계획(총괄)1_1.2_직접공사비_자재비(건축) 2_2011.02.24-Plumbing, HVAC &amp; Fire Fighting Works-동별산출(수정)" xfId="798" xr:uid="{00000000-0005-0000-0000-00004F010000}"/>
    <cellStyle name="_2001년만_~MF1128_(11-6)2001중장기계획(총괄)1_1.2_직접공사비_자재비(건축) 2_2011.02.25-Plumbing, HVAC &amp; Fire Fighting Works-동별산출-추가아이템정리-2" xfId="799" xr:uid="{00000000-0005-0000-0000-000050010000}"/>
    <cellStyle name="_2001년만_~MF1128_(11-6)2001중장기계획(총괄)1_1.2_직접공사비_자재비(건축) 2_4.Plumbing, HVAC &amp; Fire Fighting Works-동별산출" xfId="800" xr:uid="{00000000-0005-0000-0000-000051010000}"/>
    <cellStyle name="_2001년만_~MF1128_(11-6)2001중장기계획(총괄)1_4단계예산서" xfId="801" xr:uid="{00000000-0005-0000-0000-000052010000}"/>
    <cellStyle name="_2001년만_~MF1128_(11-6)2001중장기계획(총괄)1_4단계예산서 2" xfId="802" xr:uid="{00000000-0005-0000-0000-000053010000}"/>
    <cellStyle name="_2001년만_~MF1128_(11-6)2001중장기계획(총괄)1_4단계예산서 2_2011.02.24-Plumbing, HVAC &amp; Fire Fighting Works-동별산출(수정)" xfId="803" xr:uid="{00000000-0005-0000-0000-000054010000}"/>
    <cellStyle name="_2001년만_~MF1128_(11-6)2001중장기계획(총괄)1_4단계예산서 2_2011.02.25-Plumbing, HVAC &amp; Fire Fighting Works-동별산출-추가아이템정리-2" xfId="804" xr:uid="{00000000-0005-0000-0000-000055010000}"/>
    <cellStyle name="_2001년만_~MF1128_(11-6)2001중장기계획(총괄)1_4단계예산서 2_4.Plumbing, HVAC &amp; Fire Fighting Works-동별산출" xfId="805" xr:uid="{00000000-0005-0000-0000-000056010000}"/>
    <cellStyle name="_2001년만_~MF1128_(11-6)2001중장기계획(총괄)1_4단계예산서_1.2_직접공사비_자재비" xfId="806" xr:uid="{00000000-0005-0000-0000-000057010000}"/>
    <cellStyle name="_2001년만_~MF1128_(11-6)2001중장기계획(총괄)1_4단계예산서_1.2_직접공사비_자재비 2" xfId="807" xr:uid="{00000000-0005-0000-0000-000058010000}"/>
    <cellStyle name="_2001년만_~MF1128_(11-6)2001중장기계획(총괄)1_4단계예산서_1.2_직접공사비_자재비 2_2011.02.24-Plumbing, HVAC &amp; Fire Fighting Works-동별산출(수정)" xfId="808" xr:uid="{00000000-0005-0000-0000-000059010000}"/>
    <cellStyle name="_2001년만_~MF1128_(11-6)2001중장기계획(총괄)1_4단계예산서_1.2_직접공사비_자재비 2_2011.02.25-Plumbing, HVAC &amp; Fire Fighting Works-동별산출-추가아이템정리-2" xfId="809" xr:uid="{00000000-0005-0000-0000-00005A010000}"/>
    <cellStyle name="_2001년만_~MF1128_(11-6)2001중장기계획(총괄)1_4단계예산서_1.2_직접공사비_자재비 2_4.Plumbing, HVAC &amp; Fire Fighting Works-동별산출" xfId="810" xr:uid="{00000000-0005-0000-0000-00005B010000}"/>
    <cellStyle name="_2001년만_~MF1128_(11-6)2001중장기계획(총괄)1_4단계예산서_1.2_직접공사비_자재비(건축)" xfId="811" xr:uid="{00000000-0005-0000-0000-00005C010000}"/>
    <cellStyle name="_2001년만_~MF1128_(11-6)2001중장기계획(총괄)1_4단계예산서_1.2_직접공사비_자재비(건축) 2" xfId="812" xr:uid="{00000000-0005-0000-0000-00005D010000}"/>
    <cellStyle name="_2001년만_~MF1128_(11-6)2001중장기계획(총괄)1_4단계예산서_1.2_직접공사비_자재비(건축) 2_2011.02.24-Plumbing, HVAC &amp; Fire Fighting Works-동별산출(수정)" xfId="813" xr:uid="{00000000-0005-0000-0000-00005E010000}"/>
    <cellStyle name="_2001년만_~MF1128_(11-6)2001중장기계획(총괄)1_4단계예산서_1.2_직접공사비_자재비(건축) 2_2011.02.25-Plumbing, HVAC &amp; Fire Fighting Works-동별산출-추가아이템정리-2" xfId="814" xr:uid="{00000000-0005-0000-0000-00005F010000}"/>
    <cellStyle name="_2001년만_~MF1128_(11-6)2001중장기계획(총괄)1_4단계예산서_1.2_직접공사비_자재비(건축) 2_4.Plumbing, HVAC &amp; Fire Fighting Works-동별산출" xfId="815" xr:uid="{00000000-0005-0000-0000-000060010000}"/>
    <cellStyle name="_2001년만_~MF1128_(11-6)2001중장기계획(총괄)1_4단계예산서_가실행 내역서(전기)050923" xfId="816" xr:uid="{00000000-0005-0000-0000-000061010000}"/>
    <cellStyle name="_2001년만_~MF1128_(11-6)2001중장기계획(총괄)1_4단계예산서_가실행 내역서(전기)050923 2" xfId="817" xr:uid="{00000000-0005-0000-0000-000062010000}"/>
    <cellStyle name="_2001년만_~MF1128_(11-6)2001중장기계획(총괄)1_4단계예산서_가실행 내역서(전기)050923 2_2011.02.24-Plumbing, HVAC &amp; Fire Fighting Works-동별산출(수정)" xfId="818" xr:uid="{00000000-0005-0000-0000-000063010000}"/>
    <cellStyle name="_2001년만_~MF1128_(11-6)2001중장기계획(총괄)1_4단계예산서_가실행 내역서(전기)050923 2_2011.02.25-Plumbing, HVAC &amp; Fire Fighting Works-동별산출-추가아이템정리-2" xfId="819" xr:uid="{00000000-0005-0000-0000-000064010000}"/>
    <cellStyle name="_2001년만_~MF1128_(11-6)2001중장기계획(총괄)1_4단계예산서_가실행 내역서(전기)050923 2_4.Plumbing, HVAC &amp; Fire Fighting Works-동별산출" xfId="820" xr:uid="{00000000-0005-0000-0000-000065010000}"/>
    <cellStyle name="_2001년만_~MF1128_(11-6)2001중장기계획(총괄)1_4단계예산서_가실행 내역서(전기)050923_1.2_직접공사비_자재비" xfId="821" xr:uid="{00000000-0005-0000-0000-000066010000}"/>
    <cellStyle name="_2001년만_~MF1128_(11-6)2001중장기계획(총괄)1_4단계예산서_가실행 내역서(전기)050923_1.2_직접공사비_자재비 2" xfId="822" xr:uid="{00000000-0005-0000-0000-000067010000}"/>
    <cellStyle name="_2001년만_~MF1128_(11-6)2001중장기계획(총괄)1_4단계예산서_가실행 내역서(전기)050923_1.2_직접공사비_자재비 2_2011.02.24-Plumbing, HVAC &amp; Fire Fighting Works-동별산출(수정)" xfId="823" xr:uid="{00000000-0005-0000-0000-000068010000}"/>
    <cellStyle name="_2001년만_~MF1128_(11-6)2001중장기계획(총괄)1_4단계예산서_가실행 내역서(전기)050923_1.2_직접공사비_자재비 2_2011.02.25-Plumbing, HVAC &amp; Fire Fighting Works-동별산출-추가아이템정리-2" xfId="824" xr:uid="{00000000-0005-0000-0000-000069010000}"/>
    <cellStyle name="_2001년만_~MF1128_(11-6)2001중장기계획(총괄)1_4단계예산서_가실행 내역서(전기)050923_1.2_직접공사비_자재비 2_4.Plumbing, HVAC &amp; Fire Fighting Works-동별산출" xfId="825" xr:uid="{00000000-0005-0000-0000-00006A010000}"/>
    <cellStyle name="_2001년만_~MF1128_(11-6)2001중장기계획(총괄)1_4단계예산서_가실행 내역서(전기)050923_1.2_직접공사비_자재비(건축)" xfId="826" xr:uid="{00000000-0005-0000-0000-00006B010000}"/>
    <cellStyle name="_2001년만_~MF1128_(11-6)2001중장기계획(총괄)1_4단계예산서_가실행 내역서(전기)050923_1.2_직접공사비_자재비(건축) 2" xfId="827" xr:uid="{00000000-0005-0000-0000-00006C010000}"/>
    <cellStyle name="_2001년만_~MF1128_(11-6)2001중장기계획(총괄)1_4단계예산서_가실행 내역서(전기)050923_1.2_직접공사비_자재비(건축) 2_2011.02.24-Plumbing, HVAC &amp; Fire Fighting Works-동별산출(수정)" xfId="828" xr:uid="{00000000-0005-0000-0000-00006D010000}"/>
    <cellStyle name="_2001년만_~MF1128_(11-6)2001중장기계획(총괄)1_4단계예산서_가실행 내역서(전기)050923_1.2_직접공사비_자재비(건축) 2_2011.02.25-Plumbing, HVAC &amp; Fire Fighting Works-동별산출-추가아이템정리-2" xfId="829" xr:uid="{00000000-0005-0000-0000-00006E010000}"/>
    <cellStyle name="_2001년만_~MF1128_(11-6)2001중장기계획(총괄)1_4단계예산서_가실행 내역서(전기)050923_1.2_직접공사비_자재비(건축) 2_4.Plumbing, HVAC &amp; Fire Fighting Works-동별산출" xfId="830" xr:uid="{00000000-0005-0000-0000-00006F010000}"/>
    <cellStyle name="_2001년만_~MF1128_(11-6)2001중장기계획(총괄)1_가실행 내역서(전기)050923" xfId="831" xr:uid="{00000000-0005-0000-0000-000070010000}"/>
    <cellStyle name="_2001년만_~MF1128_(11-6)2001중장기계획(총괄)1_가실행 내역서(전기)050923 2" xfId="832" xr:uid="{00000000-0005-0000-0000-000071010000}"/>
    <cellStyle name="_2001년만_~MF1128_(11-6)2001중장기계획(총괄)1_가실행 내역서(전기)050923 2_2011.02.24-Plumbing, HVAC &amp; Fire Fighting Works-동별산출(수정)" xfId="833" xr:uid="{00000000-0005-0000-0000-000072010000}"/>
    <cellStyle name="_2001년만_~MF1128_(11-6)2001중장기계획(총괄)1_가실행 내역서(전기)050923 2_2011.02.25-Plumbing, HVAC &amp; Fire Fighting Works-동별산출-추가아이템정리-2" xfId="834" xr:uid="{00000000-0005-0000-0000-000073010000}"/>
    <cellStyle name="_2001년만_~MF1128_(11-6)2001중장기계획(총괄)1_가실행 내역서(전기)050923 2_4.Plumbing, HVAC &amp; Fire Fighting Works-동별산출" xfId="835" xr:uid="{00000000-0005-0000-0000-000074010000}"/>
    <cellStyle name="_2001년만_~MF1128_(11-6)2001중장기계획(총괄)1_가실행 내역서(전기)050923_1.2_직접공사비_자재비" xfId="836" xr:uid="{00000000-0005-0000-0000-000075010000}"/>
    <cellStyle name="_2001년만_~MF1128_(11-6)2001중장기계획(총괄)1_가실행 내역서(전기)050923_1.2_직접공사비_자재비 2" xfId="837" xr:uid="{00000000-0005-0000-0000-000076010000}"/>
    <cellStyle name="_2001년만_~MF1128_(11-6)2001중장기계획(총괄)1_가실행 내역서(전기)050923_1.2_직접공사비_자재비 2_2011.02.24-Plumbing, HVAC &amp; Fire Fighting Works-동별산출(수정)" xfId="838" xr:uid="{00000000-0005-0000-0000-000077010000}"/>
    <cellStyle name="_2001년만_~MF1128_(11-6)2001중장기계획(총괄)1_가실행 내역서(전기)050923_1.2_직접공사비_자재비 2_2011.02.25-Plumbing, HVAC &amp; Fire Fighting Works-동별산출-추가아이템정리-2" xfId="839" xr:uid="{00000000-0005-0000-0000-000078010000}"/>
    <cellStyle name="_2001년만_~MF1128_(11-6)2001중장기계획(총괄)1_가실행 내역서(전기)050923_1.2_직접공사비_자재비 2_4.Plumbing, HVAC &amp; Fire Fighting Works-동별산출" xfId="840" xr:uid="{00000000-0005-0000-0000-000079010000}"/>
    <cellStyle name="_2001년만_~MF1128_(11-6)2001중장기계획(총괄)1_가실행 내역서(전기)050923_1.2_직접공사비_자재비(건축)" xfId="841" xr:uid="{00000000-0005-0000-0000-00007A010000}"/>
    <cellStyle name="_2001년만_~MF1128_(11-6)2001중장기계획(총괄)1_가실행 내역서(전기)050923_1.2_직접공사비_자재비(건축) 2" xfId="842" xr:uid="{00000000-0005-0000-0000-00007B010000}"/>
    <cellStyle name="_2001년만_~MF1128_(11-6)2001중장기계획(총괄)1_가실행 내역서(전기)050923_1.2_직접공사비_자재비(건축) 2_2011.02.24-Plumbing, HVAC &amp; Fire Fighting Works-동별산출(수정)" xfId="843" xr:uid="{00000000-0005-0000-0000-00007C010000}"/>
    <cellStyle name="_2001년만_~MF1128_(11-6)2001중장기계획(총괄)1_가실행 내역서(전기)050923_1.2_직접공사비_자재비(건축) 2_2011.02.25-Plumbing, HVAC &amp; Fire Fighting Works-동별산출-추가아이템정리-2" xfId="844" xr:uid="{00000000-0005-0000-0000-00007D010000}"/>
    <cellStyle name="_2001년만_~MF1128_(11-6)2001중장기계획(총괄)1_가실행 내역서(전기)050923_1.2_직접공사비_자재비(건축) 2_4.Plumbing, HVAC &amp; Fire Fighting Works-동별산출" xfId="845" xr:uid="{00000000-0005-0000-0000-00007E010000}"/>
    <cellStyle name="_2001년만_~MF1128_~MF2110" xfId="846" xr:uid="{00000000-0005-0000-0000-00007F010000}"/>
    <cellStyle name="_2001년만_~MF1128_~MF2110 2" xfId="847" xr:uid="{00000000-0005-0000-0000-000080010000}"/>
    <cellStyle name="_2001년만_~MF1128_~MF2110 2_2011.02.24-Plumbing, HVAC &amp; Fire Fighting Works-동별산출(수정)" xfId="848" xr:uid="{00000000-0005-0000-0000-000081010000}"/>
    <cellStyle name="_2001년만_~MF1128_~MF2110 2_2011.02.25-Plumbing, HVAC &amp; Fire Fighting Works-동별산출-추가아이템정리-2" xfId="849" xr:uid="{00000000-0005-0000-0000-000082010000}"/>
    <cellStyle name="_2001년만_~MF1128_~MF2110 2_4.Plumbing, HVAC &amp; Fire Fighting Works-동별산출" xfId="850" xr:uid="{00000000-0005-0000-0000-000083010000}"/>
    <cellStyle name="_2001년만_~MF1128_~MF2110_1.2_직접공사비_자재비" xfId="851" xr:uid="{00000000-0005-0000-0000-000084010000}"/>
    <cellStyle name="_2001년만_~MF1128_~MF2110_1.2_직접공사비_자재비 2" xfId="852" xr:uid="{00000000-0005-0000-0000-000085010000}"/>
    <cellStyle name="_2001년만_~MF1128_~MF2110_1.2_직접공사비_자재비 2_2011.02.24-Plumbing, HVAC &amp; Fire Fighting Works-동별산출(수정)" xfId="853" xr:uid="{00000000-0005-0000-0000-000086010000}"/>
    <cellStyle name="_2001년만_~MF1128_~MF2110_1.2_직접공사비_자재비 2_2011.02.25-Plumbing, HVAC &amp; Fire Fighting Works-동별산출-추가아이템정리-2" xfId="854" xr:uid="{00000000-0005-0000-0000-000087010000}"/>
    <cellStyle name="_2001년만_~MF1128_~MF2110_1.2_직접공사비_자재비 2_4.Plumbing, HVAC &amp; Fire Fighting Works-동별산출" xfId="855" xr:uid="{00000000-0005-0000-0000-000088010000}"/>
    <cellStyle name="_2001년만_~MF1128_~MF2110_1.2_직접공사비_자재비(건축)" xfId="856" xr:uid="{00000000-0005-0000-0000-000089010000}"/>
    <cellStyle name="_2001년만_~MF1128_~MF2110_1.2_직접공사비_자재비(건축) 2" xfId="857" xr:uid="{00000000-0005-0000-0000-00008A010000}"/>
    <cellStyle name="_2001년만_~MF1128_~MF2110_1.2_직접공사비_자재비(건축) 2_2011.02.24-Plumbing, HVAC &amp; Fire Fighting Works-동별산출(수정)" xfId="858" xr:uid="{00000000-0005-0000-0000-00008B010000}"/>
    <cellStyle name="_2001년만_~MF1128_~MF2110_1.2_직접공사비_자재비(건축) 2_2011.02.25-Plumbing, HVAC &amp; Fire Fighting Works-동별산출-추가아이템정리-2" xfId="859" xr:uid="{00000000-0005-0000-0000-00008C010000}"/>
    <cellStyle name="_2001년만_~MF1128_~MF2110_1.2_직접공사비_자재비(건축) 2_4.Plumbing, HVAC &amp; Fire Fighting Works-동별산출" xfId="860" xr:uid="{00000000-0005-0000-0000-00008D010000}"/>
    <cellStyle name="_2001년만_~MF1128_~MF2110_4단계예산서" xfId="861" xr:uid="{00000000-0005-0000-0000-00008E010000}"/>
    <cellStyle name="_2001년만_~MF1128_~MF2110_4단계예산서 2" xfId="862" xr:uid="{00000000-0005-0000-0000-00008F010000}"/>
    <cellStyle name="_2001년만_~MF1128_~MF2110_4단계예산서 2_2011.02.24-Plumbing, HVAC &amp; Fire Fighting Works-동별산출(수정)" xfId="863" xr:uid="{00000000-0005-0000-0000-000090010000}"/>
    <cellStyle name="_2001년만_~MF1128_~MF2110_4단계예산서 2_2011.02.25-Plumbing, HVAC &amp; Fire Fighting Works-동별산출-추가아이템정리-2" xfId="864" xr:uid="{00000000-0005-0000-0000-000091010000}"/>
    <cellStyle name="_2001년만_~MF1128_~MF2110_4단계예산서 2_4.Plumbing, HVAC &amp; Fire Fighting Works-동별산출" xfId="865" xr:uid="{00000000-0005-0000-0000-000092010000}"/>
    <cellStyle name="_2001년만_~MF1128_~MF2110_4단계예산서_1.2_직접공사비_자재비" xfId="866" xr:uid="{00000000-0005-0000-0000-000093010000}"/>
    <cellStyle name="_2001년만_~MF1128_~MF2110_4단계예산서_1.2_직접공사비_자재비 2" xfId="867" xr:uid="{00000000-0005-0000-0000-000094010000}"/>
    <cellStyle name="_2001년만_~MF1128_~MF2110_4단계예산서_1.2_직접공사비_자재비 2_2011.02.24-Plumbing, HVAC &amp; Fire Fighting Works-동별산출(수정)" xfId="868" xr:uid="{00000000-0005-0000-0000-000095010000}"/>
    <cellStyle name="_2001년만_~MF1128_~MF2110_4단계예산서_1.2_직접공사비_자재비 2_2011.02.25-Plumbing, HVAC &amp; Fire Fighting Works-동별산출-추가아이템정리-2" xfId="869" xr:uid="{00000000-0005-0000-0000-000096010000}"/>
    <cellStyle name="_2001년만_~MF1128_~MF2110_4단계예산서_1.2_직접공사비_자재비 2_4.Plumbing, HVAC &amp; Fire Fighting Works-동별산출" xfId="870" xr:uid="{00000000-0005-0000-0000-000097010000}"/>
    <cellStyle name="_2001년만_~MF1128_~MF2110_4단계예산서_1.2_직접공사비_자재비(건축)" xfId="871" xr:uid="{00000000-0005-0000-0000-000098010000}"/>
    <cellStyle name="_2001년만_~MF1128_~MF2110_4단계예산서_1.2_직접공사비_자재비(건축) 2" xfId="872" xr:uid="{00000000-0005-0000-0000-000099010000}"/>
    <cellStyle name="_2001년만_~MF1128_~MF2110_4단계예산서_1.2_직접공사비_자재비(건축) 2_2011.02.24-Plumbing, HVAC &amp; Fire Fighting Works-동별산출(수정)" xfId="873" xr:uid="{00000000-0005-0000-0000-00009A010000}"/>
    <cellStyle name="_2001년만_~MF1128_~MF2110_4단계예산서_1.2_직접공사비_자재비(건축) 2_2011.02.25-Plumbing, HVAC &amp; Fire Fighting Works-동별산출-추가아이템정리-2" xfId="874" xr:uid="{00000000-0005-0000-0000-00009B010000}"/>
    <cellStyle name="_2001년만_~MF1128_~MF2110_4단계예산서_1.2_직접공사비_자재비(건축) 2_4.Plumbing, HVAC &amp; Fire Fighting Works-동별산출" xfId="875" xr:uid="{00000000-0005-0000-0000-00009C010000}"/>
    <cellStyle name="_2001년만_~MF1128_~MF2110_4단계예산서_가실행 내역서(전기)050923" xfId="876" xr:uid="{00000000-0005-0000-0000-00009D010000}"/>
    <cellStyle name="_2001년만_~MF1128_~MF2110_4단계예산서_가실행 내역서(전기)050923 2" xfId="877" xr:uid="{00000000-0005-0000-0000-00009E010000}"/>
    <cellStyle name="_2001년만_~MF1128_~MF2110_4단계예산서_가실행 내역서(전기)050923 2_2011.02.24-Plumbing, HVAC &amp; Fire Fighting Works-동별산출(수정)" xfId="878" xr:uid="{00000000-0005-0000-0000-00009F010000}"/>
    <cellStyle name="_2001년만_~MF1128_~MF2110_4단계예산서_가실행 내역서(전기)050923 2_2011.02.25-Plumbing, HVAC &amp; Fire Fighting Works-동별산출-추가아이템정리-2" xfId="879" xr:uid="{00000000-0005-0000-0000-0000A0010000}"/>
    <cellStyle name="_2001년만_~MF1128_~MF2110_4단계예산서_가실행 내역서(전기)050923 2_4.Plumbing, HVAC &amp; Fire Fighting Works-동별산출" xfId="880" xr:uid="{00000000-0005-0000-0000-0000A1010000}"/>
    <cellStyle name="_2001년만_~MF1128_~MF2110_4단계예산서_가실행 내역서(전기)050923_1.2_직접공사비_자재비" xfId="881" xr:uid="{00000000-0005-0000-0000-0000A2010000}"/>
    <cellStyle name="_2001년만_~MF1128_~MF2110_4단계예산서_가실행 내역서(전기)050923_1.2_직접공사비_자재비 2" xfId="882" xr:uid="{00000000-0005-0000-0000-0000A3010000}"/>
    <cellStyle name="_2001년만_~MF1128_~MF2110_4단계예산서_가실행 내역서(전기)050923_1.2_직접공사비_자재비 2_2011.02.24-Plumbing, HVAC &amp; Fire Fighting Works-동별산출(수정)" xfId="883" xr:uid="{00000000-0005-0000-0000-0000A4010000}"/>
    <cellStyle name="_2001년만_~MF1128_~MF2110_4단계예산서_가실행 내역서(전기)050923_1.2_직접공사비_자재비 2_2011.02.25-Plumbing, HVAC &amp; Fire Fighting Works-동별산출-추가아이템정리-2" xfId="884" xr:uid="{00000000-0005-0000-0000-0000A5010000}"/>
    <cellStyle name="_2001년만_~MF1128_~MF2110_4단계예산서_가실행 내역서(전기)050923_1.2_직접공사비_자재비 2_4.Plumbing, HVAC &amp; Fire Fighting Works-동별산출" xfId="885" xr:uid="{00000000-0005-0000-0000-0000A6010000}"/>
    <cellStyle name="_2001년만_~MF1128_~MF2110_4단계예산서_가실행 내역서(전기)050923_1.2_직접공사비_자재비(건축)" xfId="886" xr:uid="{00000000-0005-0000-0000-0000A7010000}"/>
    <cellStyle name="_2001년만_~MF1128_~MF2110_4단계예산서_가실행 내역서(전기)050923_1.2_직접공사비_자재비(건축) 2" xfId="887" xr:uid="{00000000-0005-0000-0000-0000A8010000}"/>
    <cellStyle name="_2001년만_~MF1128_~MF2110_4단계예산서_가실행 내역서(전기)050923_1.2_직접공사비_자재비(건축) 2_2011.02.24-Plumbing, HVAC &amp; Fire Fighting Works-동별산출(수정)" xfId="888" xr:uid="{00000000-0005-0000-0000-0000A9010000}"/>
    <cellStyle name="_2001년만_~MF1128_~MF2110_4단계예산서_가실행 내역서(전기)050923_1.2_직접공사비_자재비(건축) 2_2011.02.25-Plumbing, HVAC &amp; Fire Fighting Works-동별산출-추가아이템정리-2" xfId="889" xr:uid="{00000000-0005-0000-0000-0000AA010000}"/>
    <cellStyle name="_2001년만_~MF1128_~MF2110_4단계예산서_가실행 내역서(전기)050923_1.2_직접공사비_자재비(건축) 2_4.Plumbing, HVAC &amp; Fire Fighting Works-동별산출" xfId="890" xr:uid="{00000000-0005-0000-0000-0000AB010000}"/>
    <cellStyle name="_2001년만_~MF1128_~MF2110_가실행 내역서(전기)050923" xfId="891" xr:uid="{00000000-0005-0000-0000-0000AC010000}"/>
    <cellStyle name="_2001년만_~MF1128_~MF2110_가실행 내역서(전기)050923 2" xfId="892" xr:uid="{00000000-0005-0000-0000-0000AD010000}"/>
    <cellStyle name="_2001년만_~MF1128_~MF2110_가실행 내역서(전기)050923 2_2011.02.24-Plumbing, HVAC &amp; Fire Fighting Works-동별산출(수정)" xfId="893" xr:uid="{00000000-0005-0000-0000-0000AE010000}"/>
    <cellStyle name="_2001년만_~MF1128_~MF2110_가실행 내역서(전기)050923 2_2011.02.25-Plumbing, HVAC &amp; Fire Fighting Works-동별산출-추가아이템정리-2" xfId="894" xr:uid="{00000000-0005-0000-0000-0000AF010000}"/>
    <cellStyle name="_2001년만_~MF1128_~MF2110_가실행 내역서(전기)050923 2_4.Plumbing, HVAC &amp; Fire Fighting Works-동별산출" xfId="895" xr:uid="{00000000-0005-0000-0000-0000B0010000}"/>
    <cellStyle name="_2001년만_~MF1128_~MF2110_가실행 내역서(전기)050923_1.2_직접공사비_자재비" xfId="896" xr:uid="{00000000-0005-0000-0000-0000B1010000}"/>
    <cellStyle name="_2001년만_~MF1128_~MF2110_가실행 내역서(전기)050923_1.2_직접공사비_자재비 2" xfId="897" xr:uid="{00000000-0005-0000-0000-0000B2010000}"/>
    <cellStyle name="_2001년만_~MF1128_~MF2110_가실행 내역서(전기)050923_1.2_직접공사비_자재비 2_2011.02.24-Plumbing, HVAC &amp; Fire Fighting Works-동별산출(수정)" xfId="898" xr:uid="{00000000-0005-0000-0000-0000B3010000}"/>
    <cellStyle name="_2001년만_~MF1128_~MF2110_가실행 내역서(전기)050923_1.2_직접공사비_자재비 2_2011.02.25-Plumbing, HVAC &amp; Fire Fighting Works-동별산출-추가아이템정리-2" xfId="899" xr:uid="{00000000-0005-0000-0000-0000B4010000}"/>
    <cellStyle name="_2001년만_~MF1128_~MF2110_가실행 내역서(전기)050923_1.2_직접공사비_자재비 2_4.Plumbing, HVAC &amp; Fire Fighting Works-동별산출" xfId="900" xr:uid="{00000000-0005-0000-0000-0000B5010000}"/>
    <cellStyle name="_2001년만_~MF1128_~MF2110_가실행 내역서(전기)050923_1.2_직접공사비_자재비(건축)" xfId="901" xr:uid="{00000000-0005-0000-0000-0000B6010000}"/>
    <cellStyle name="_2001년만_~MF1128_~MF2110_가실행 내역서(전기)050923_1.2_직접공사비_자재비(건축) 2" xfId="902" xr:uid="{00000000-0005-0000-0000-0000B7010000}"/>
    <cellStyle name="_2001년만_~MF1128_~MF2110_가실행 내역서(전기)050923_1.2_직접공사비_자재비(건축) 2_2011.02.24-Plumbing, HVAC &amp; Fire Fighting Works-동별산출(수정)" xfId="903" xr:uid="{00000000-0005-0000-0000-0000B8010000}"/>
    <cellStyle name="_2001년만_~MF1128_~MF2110_가실행 내역서(전기)050923_1.2_직접공사비_자재비(건축) 2_2011.02.25-Plumbing, HVAC &amp; Fire Fighting Works-동별산출-추가아이템정리-2" xfId="904" xr:uid="{00000000-0005-0000-0000-0000B9010000}"/>
    <cellStyle name="_2001년만_~MF1128_~MF2110_가실행 내역서(전기)050923_1.2_직접공사비_자재비(건축) 2_4.Plumbing, HVAC &amp; Fire Fighting Works-동별산출" xfId="905" xr:uid="{00000000-0005-0000-0000-0000BA010000}"/>
    <cellStyle name="_2001년만_~MF1128_~MF373C" xfId="906" xr:uid="{00000000-0005-0000-0000-0000BB010000}"/>
    <cellStyle name="_2001년만_~MF1128_~MF373C 2" xfId="907" xr:uid="{00000000-0005-0000-0000-0000BC010000}"/>
    <cellStyle name="_2001년만_~MF1128_~MF373C 2_2011.02.24-Plumbing, HVAC &amp; Fire Fighting Works-동별산출(수정)" xfId="908" xr:uid="{00000000-0005-0000-0000-0000BD010000}"/>
    <cellStyle name="_2001년만_~MF1128_~MF373C 2_2011.02.25-Plumbing, HVAC &amp; Fire Fighting Works-동별산출-추가아이템정리-2" xfId="909" xr:uid="{00000000-0005-0000-0000-0000BE010000}"/>
    <cellStyle name="_2001년만_~MF1128_~MF373C 2_4.Plumbing, HVAC &amp; Fire Fighting Works-동별산출" xfId="910" xr:uid="{00000000-0005-0000-0000-0000BF010000}"/>
    <cellStyle name="_2001년만_~MF1128_~MF373C_1.2_직접공사비_자재비" xfId="911" xr:uid="{00000000-0005-0000-0000-0000C0010000}"/>
    <cellStyle name="_2001년만_~MF1128_~MF373C_1.2_직접공사비_자재비 2" xfId="912" xr:uid="{00000000-0005-0000-0000-0000C1010000}"/>
    <cellStyle name="_2001년만_~MF1128_~MF373C_1.2_직접공사비_자재비 2_2011.02.24-Plumbing, HVAC &amp; Fire Fighting Works-동별산출(수정)" xfId="913" xr:uid="{00000000-0005-0000-0000-0000C2010000}"/>
    <cellStyle name="_2001년만_~MF1128_~MF373C_1.2_직접공사비_자재비 2_2011.02.25-Plumbing, HVAC &amp; Fire Fighting Works-동별산출-추가아이템정리-2" xfId="914" xr:uid="{00000000-0005-0000-0000-0000C3010000}"/>
    <cellStyle name="_2001년만_~MF1128_~MF373C_1.2_직접공사비_자재비 2_4.Plumbing, HVAC &amp; Fire Fighting Works-동별산출" xfId="915" xr:uid="{00000000-0005-0000-0000-0000C4010000}"/>
    <cellStyle name="_2001년만_~MF1128_~MF373C_1.2_직접공사비_자재비(건축)" xfId="916" xr:uid="{00000000-0005-0000-0000-0000C5010000}"/>
    <cellStyle name="_2001년만_~MF1128_~MF373C_1.2_직접공사비_자재비(건축) 2" xfId="917" xr:uid="{00000000-0005-0000-0000-0000C6010000}"/>
    <cellStyle name="_2001년만_~MF1128_~MF373C_1.2_직접공사비_자재비(건축) 2_2011.02.24-Plumbing, HVAC &amp; Fire Fighting Works-동별산출(수정)" xfId="918" xr:uid="{00000000-0005-0000-0000-0000C7010000}"/>
    <cellStyle name="_2001년만_~MF1128_~MF373C_1.2_직접공사비_자재비(건축) 2_2011.02.25-Plumbing, HVAC &amp; Fire Fighting Works-동별산출-추가아이템정리-2" xfId="919" xr:uid="{00000000-0005-0000-0000-0000C8010000}"/>
    <cellStyle name="_2001년만_~MF1128_~MF373C_1.2_직접공사비_자재비(건축) 2_4.Plumbing, HVAC &amp; Fire Fighting Works-동별산출" xfId="920" xr:uid="{00000000-0005-0000-0000-0000C9010000}"/>
    <cellStyle name="_2001년만_~MF1128_~MF373C_4단계예산서" xfId="921" xr:uid="{00000000-0005-0000-0000-0000CA010000}"/>
    <cellStyle name="_2001년만_~MF1128_~MF373C_4단계예산서 2" xfId="922" xr:uid="{00000000-0005-0000-0000-0000CB010000}"/>
    <cellStyle name="_2001년만_~MF1128_~MF373C_4단계예산서 2_2011.02.24-Plumbing, HVAC &amp; Fire Fighting Works-동별산출(수정)" xfId="923" xr:uid="{00000000-0005-0000-0000-0000CC010000}"/>
    <cellStyle name="_2001년만_~MF1128_~MF373C_4단계예산서 2_2011.02.25-Plumbing, HVAC &amp; Fire Fighting Works-동별산출-추가아이템정리-2" xfId="924" xr:uid="{00000000-0005-0000-0000-0000CD010000}"/>
    <cellStyle name="_2001년만_~MF1128_~MF373C_4단계예산서 2_4.Plumbing, HVAC &amp; Fire Fighting Works-동별산출" xfId="925" xr:uid="{00000000-0005-0000-0000-0000CE010000}"/>
    <cellStyle name="_2001년만_~MF1128_~MF373C_4단계예산서_1.2_직접공사비_자재비" xfId="926" xr:uid="{00000000-0005-0000-0000-0000CF010000}"/>
    <cellStyle name="_2001년만_~MF1128_~MF373C_4단계예산서_1.2_직접공사비_자재비 2" xfId="927" xr:uid="{00000000-0005-0000-0000-0000D0010000}"/>
    <cellStyle name="_2001년만_~MF1128_~MF373C_4단계예산서_1.2_직접공사비_자재비 2_2011.02.24-Plumbing, HVAC &amp; Fire Fighting Works-동별산출(수정)" xfId="928" xr:uid="{00000000-0005-0000-0000-0000D1010000}"/>
    <cellStyle name="_2001년만_~MF1128_~MF373C_4단계예산서_1.2_직접공사비_자재비 2_2011.02.25-Plumbing, HVAC &amp; Fire Fighting Works-동별산출-추가아이템정리-2" xfId="929" xr:uid="{00000000-0005-0000-0000-0000D2010000}"/>
    <cellStyle name="_2001년만_~MF1128_~MF373C_4단계예산서_1.2_직접공사비_자재비 2_4.Plumbing, HVAC &amp; Fire Fighting Works-동별산출" xfId="930" xr:uid="{00000000-0005-0000-0000-0000D3010000}"/>
    <cellStyle name="_2001년만_~MF1128_~MF373C_4단계예산서_1.2_직접공사비_자재비(건축)" xfId="931" xr:uid="{00000000-0005-0000-0000-0000D4010000}"/>
    <cellStyle name="_2001년만_~MF1128_~MF373C_4단계예산서_1.2_직접공사비_자재비(건축) 2" xfId="932" xr:uid="{00000000-0005-0000-0000-0000D5010000}"/>
    <cellStyle name="_2001년만_~MF1128_~MF373C_4단계예산서_1.2_직접공사비_자재비(건축) 2_2011.02.24-Plumbing, HVAC &amp; Fire Fighting Works-동별산출(수정)" xfId="933" xr:uid="{00000000-0005-0000-0000-0000D6010000}"/>
    <cellStyle name="_2001년만_~MF1128_~MF373C_4단계예산서_1.2_직접공사비_자재비(건축) 2_2011.02.25-Plumbing, HVAC &amp; Fire Fighting Works-동별산출-추가아이템정리-2" xfId="934" xr:uid="{00000000-0005-0000-0000-0000D7010000}"/>
    <cellStyle name="_2001년만_~MF1128_~MF373C_4단계예산서_1.2_직접공사비_자재비(건축) 2_4.Plumbing, HVAC &amp; Fire Fighting Works-동별산출" xfId="935" xr:uid="{00000000-0005-0000-0000-0000D8010000}"/>
    <cellStyle name="_2001년만_~MF1128_~MF373C_4단계예산서_가실행 내역서(전기)050923" xfId="936" xr:uid="{00000000-0005-0000-0000-0000D9010000}"/>
    <cellStyle name="_2001년만_~MF1128_~MF373C_4단계예산서_가실행 내역서(전기)050923 2" xfId="937" xr:uid="{00000000-0005-0000-0000-0000DA010000}"/>
    <cellStyle name="_2001년만_~MF1128_~MF373C_4단계예산서_가실행 내역서(전기)050923 2_2011.02.24-Plumbing, HVAC &amp; Fire Fighting Works-동별산출(수정)" xfId="938" xr:uid="{00000000-0005-0000-0000-0000DB010000}"/>
    <cellStyle name="_2001년만_~MF1128_~MF373C_4단계예산서_가실행 내역서(전기)050923 2_2011.02.25-Plumbing, HVAC &amp; Fire Fighting Works-동별산출-추가아이템정리-2" xfId="939" xr:uid="{00000000-0005-0000-0000-0000DC010000}"/>
    <cellStyle name="_2001년만_~MF1128_~MF373C_4단계예산서_가실행 내역서(전기)050923 2_4.Plumbing, HVAC &amp; Fire Fighting Works-동별산출" xfId="940" xr:uid="{00000000-0005-0000-0000-0000DD010000}"/>
    <cellStyle name="_2001년만_~MF1128_~MF373C_4단계예산서_가실행 내역서(전기)050923_1.2_직접공사비_자재비" xfId="941" xr:uid="{00000000-0005-0000-0000-0000DE010000}"/>
    <cellStyle name="_2001년만_~MF1128_~MF373C_4단계예산서_가실행 내역서(전기)050923_1.2_직접공사비_자재비 2" xfId="942" xr:uid="{00000000-0005-0000-0000-0000DF010000}"/>
    <cellStyle name="_2001년만_~MF1128_~MF373C_4단계예산서_가실행 내역서(전기)050923_1.2_직접공사비_자재비 2_2011.02.24-Plumbing, HVAC &amp; Fire Fighting Works-동별산출(수정)" xfId="943" xr:uid="{00000000-0005-0000-0000-0000E0010000}"/>
    <cellStyle name="_2001년만_~MF1128_~MF373C_4단계예산서_가실행 내역서(전기)050923_1.2_직접공사비_자재비 2_2011.02.25-Plumbing, HVAC &amp; Fire Fighting Works-동별산출-추가아이템정리-2" xfId="944" xr:uid="{00000000-0005-0000-0000-0000E1010000}"/>
    <cellStyle name="_2001년만_~MF1128_~MF373C_4단계예산서_가실행 내역서(전기)050923_1.2_직접공사비_자재비 2_4.Plumbing, HVAC &amp; Fire Fighting Works-동별산출" xfId="945" xr:uid="{00000000-0005-0000-0000-0000E2010000}"/>
    <cellStyle name="_2001년만_~MF1128_~MF373C_4단계예산서_가실행 내역서(전기)050923_1.2_직접공사비_자재비(건축)" xfId="946" xr:uid="{00000000-0005-0000-0000-0000E3010000}"/>
    <cellStyle name="_2001년만_~MF1128_~MF373C_4단계예산서_가실행 내역서(전기)050923_1.2_직접공사비_자재비(건축) 2" xfId="947" xr:uid="{00000000-0005-0000-0000-0000E4010000}"/>
    <cellStyle name="_2001년만_~MF1128_~MF373C_4단계예산서_가실행 내역서(전기)050923_1.2_직접공사비_자재비(건축) 2_2011.02.24-Plumbing, HVAC &amp; Fire Fighting Works-동별산출(수정)" xfId="948" xr:uid="{00000000-0005-0000-0000-0000E5010000}"/>
    <cellStyle name="_2001년만_~MF1128_~MF373C_4단계예산서_가실행 내역서(전기)050923_1.2_직접공사비_자재비(건축) 2_2011.02.25-Plumbing, HVAC &amp; Fire Fighting Works-동별산출-추가아이템정리-2" xfId="949" xr:uid="{00000000-0005-0000-0000-0000E6010000}"/>
    <cellStyle name="_2001년만_~MF1128_~MF373C_4단계예산서_가실행 내역서(전기)050923_1.2_직접공사비_자재비(건축) 2_4.Plumbing, HVAC &amp; Fire Fighting Works-동별산출" xfId="950" xr:uid="{00000000-0005-0000-0000-0000E7010000}"/>
    <cellStyle name="_2001년만_~MF1128_~MF373C_가실행 내역서(전기)050923" xfId="951" xr:uid="{00000000-0005-0000-0000-0000E8010000}"/>
    <cellStyle name="_2001년만_~MF1128_~MF373C_가실행 내역서(전기)050923 2" xfId="952" xr:uid="{00000000-0005-0000-0000-0000E9010000}"/>
    <cellStyle name="_2001년만_~MF1128_~MF373C_가실행 내역서(전기)050923 2_2011.02.24-Plumbing, HVAC &amp; Fire Fighting Works-동별산출(수정)" xfId="953" xr:uid="{00000000-0005-0000-0000-0000EA010000}"/>
    <cellStyle name="_2001년만_~MF1128_~MF373C_가실행 내역서(전기)050923 2_2011.02.25-Plumbing, HVAC &amp; Fire Fighting Works-동별산출-추가아이템정리-2" xfId="954" xr:uid="{00000000-0005-0000-0000-0000EB010000}"/>
    <cellStyle name="_2001년만_~MF1128_~MF373C_가실행 내역서(전기)050923 2_4.Plumbing, HVAC &amp; Fire Fighting Works-동별산출" xfId="955" xr:uid="{00000000-0005-0000-0000-0000EC010000}"/>
    <cellStyle name="_2001년만_~MF1128_~MF373C_가실행 내역서(전기)050923_1.2_직접공사비_자재비" xfId="956" xr:uid="{00000000-0005-0000-0000-0000ED010000}"/>
    <cellStyle name="_2001년만_~MF1128_~MF373C_가실행 내역서(전기)050923_1.2_직접공사비_자재비 2" xfId="957" xr:uid="{00000000-0005-0000-0000-0000EE010000}"/>
    <cellStyle name="_2001년만_~MF1128_~MF373C_가실행 내역서(전기)050923_1.2_직접공사비_자재비 2_2011.02.24-Plumbing, HVAC &amp; Fire Fighting Works-동별산출(수정)" xfId="958" xr:uid="{00000000-0005-0000-0000-0000EF010000}"/>
    <cellStyle name="_2001년만_~MF1128_~MF373C_가실행 내역서(전기)050923_1.2_직접공사비_자재비 2_2011.02.25-Plumbing, HVAC &amp; Fire Fighting Works-동별산출-추가아이템정리-2" xfId="959" xr:uid="{00000000-0005-0000-0000-0000F0010000}"/>
    <cellStyle name="_2001년만_~MF1128_~MF373C_가실행 내역서(전기)050923_1.2_직접공사비_자재비 2_4.Plumbing, HVAC &amp; Fire Fighting Works-동별산출" xfId="960" xr:uid="{00000000-0005-0000-0000-0000F1010000}"/>
    <cellStyle name="_2001년만_~MF1128_~MF373C_가실행 내역서(전기)050923_1.2_직접공사비_자재비(건축)" xfId="961" xr:uid="{00000000-0005-0000-0000-0000F2010000}"/>
    <cellStyle name="_2001년만_~MF1128_~MF373C_가실행 내역서(전기)050923_1.2_직접공사비_자재비(건축) 2" xfId="962" xr:uid="{00000000-0005-0000-0000-0000F3010000}"/>
    <cellStyle name="_2001년만_~MF1128_~MF373C_가실행 내역서(전기)050923_1.2_직접공사비_자재비(건축) 2_2011.02.24-Plumbing, HVAC &amp; Fire Fighting Works-동별산출(수정)" xfId="963" xr:uid="{00000000-0005-0000-0000-0000F4010000}"/>
    <cellStyle name="_2001년만_~MF1128_~MF373C_가실행 내역서(전기)050923_1.2_직접공사비_자재비(건축) 2_2011.02.25-Plumbing, HVAC &amp; Fire Fighting Works-동별산출-추가아이템정리-2" xfId="964" xr:uid="{00000000-0005-0000-0000-0000F5010000}"/>
    <cellStyle name="_2001년만_~MF1128_~MF373C_가실행 내역서(전기)050923_1.2_직접공사비_자재비(건축) 2_4.Plumbing, HVAC &amp; Fire Fighting Works-동별산출" xfId="965" xr:uid="{00000000-0005-0000-0000-0000F6010000}"/>
    <cellStyle name="_2001년만_~MF1128_1.2_직접공사비_자재비" xfId="966" xr:uid="{00000000-0005-0000-0000-0000F7010000}"/>
    <cellStyle name="_2001년만_~MF1128_1.2_직접공사비_자재비 2" xfId="967" xr:uid="{00000000-0005-0000-0000-0000F8010000}"/>
    <cellStyle name="_2001년만_~MF1128_1.2_직접공사비_자재비 2_2011.02.24-Plumbing, HVAC &amp; Fire Fighting Works-동별산출(수정)" xfId="968" xr:uid="{00000000-0005-0000-0000-0000F9010000}"/>
    <cellStyle name="_2001년만_~MF1128_1.2_직접공사비_자재비 2_2011.02.25-Plumbing, HVAC &amp; Fire Fighting Works-동별산출-추가아이템정리-2" xfId="969" xr:uid="{00000000-0005-0000-0000-0000FA010000}"/>
    <cellStyle name="_2001년만_~MF1128_1.2_직접공사비_자재비 2_4.Plumbing, HVAC &amp; Fire Fighting Works-동별산출" xfId="970" xr:uid="{00000000-0005-0000-0000-0000FB010000}"/>
    <cellStyle name="_2001년만_~MF1128_1.2_직접공사비_자재비(건축)" xfId="971" xr:uid="{00000000-0005-0000-0000-0000FC010000}"/>
    <cellStyle name="_2001년만_~MF1128_1.2_직접공사비_자재비(건축) 2" xfId="972" xr:uid="{00000000-0005-0000-0000-0000FD010000}"/>
    <cellStyle name="_2001년만_~MF1128_1.2_직접공사비_자재비(건축) 2_2011.02.24-Plumbing, HVAC &amp; Fire Fighting Works-동별산출(수정)" xfId="973" xr:uid="{00000000-0005-0000-0000-0000FE010000}"/>
    <cellStyle name="_2001년만_~MF1128_1.2_직접공사비_자재비(건축) 2_2011.02.25-Plumbing, HVAC &amp; Fire Fighting Works-동별산출-추가아이템정리-2" xfId="974" xr:uid="{00000000-0005-0000-0000-0000FF010000}"/>
    <cellStyle name="_2001년만_~MF1128_1.2_직접공사비_자재비(건축) 2_4.Plumbing, HVAC &amp; Fire Fighting Works-동별산출" xfId="975" xr:uid="{00000000-0005-0000-0000-000000020000}"/>
    <cellStyle name="_2001년만_~MF1128_2001예산배정액 및 내역2" xfId="976" xr:uid="{00000000-0005-0000-0000-000001020000}"/>
    <cellStyle name="_2001년만_~MF1128_2001예산배정액 및 내역2 2" xfId="977" xr:uid="{00000000-0005-0000-0000-000002020000}"/>
    <cellStyle name="_2001년만_~MF1128_2001예산배정액 및 내역2 2_2011.02.24-Plumbing, HVAC &amp; Fire Fighting Works-동별산출(수정)" xfId="978" xr:uid="{00000000-0005-0000-0000-000003020000}"/>
    <cellStyle name="_2001년만_~MF1128_2001예산배정액 및 내역2 2_2011.02.25-Plumbing, HVAC &amp; Fire Fighting Works-동별산출-추가아이템정리-2" xfId="979" xr:uid="{00000000-0005-0000-0000-000004020000}"/>
    <cellStyle name="_2001년만_~MF1128_2001예산배정액 및 내역2 2_4.Plumbing, HVAC &amp; Fire Fighting Works-동별산출" xfId="980" xr:uid="{00000000-0005-0000-0000-000005020000}"/>
    <cellStyle name="_2001년만_~MF1128_2001예산배정액 및 내역2_1.2_직접공사비_자재비" xfId="981" xr:uid="{00000000-0005-0000-0000-000006020000}"/>
    <cellStyle name="_2001년만_~MF1128_2001예산배정액 및 내역2_1.2_직접공사비_자재비 2" xfId="982" xr:uid="{00000000-0005-0000-0000-000007020000}"/>
    <cellStyle name="_2001년만_~MF1128_2001예산배정액 및 내역2_1.2_직접공사비_자재비 2_2011.02.24-Plumbing, HVAC &amp; Fire Fighting Works-동별산출(수정)" xfId="983" xr:uid="{00000000-0005-0000-0000-000008020000}"/>
    <cellStyle name="_2001년만_~MF1128_2001예산배정액 및 내역2_1.2_직접공사비_자재비 2_2011.02.25-Plumbing, HVAC &amp; Fire Fighting Works-동별산출-추가아이템정리-2" xfId="984" xr:uid="{00000000-0005-0000-0000-000009020000}"/>
    <cellStyle name="_2001년만_~MF1128_2001예산배정액 및 내역2_1.2_직접공사비_자재비 2_4.Plumbing, HVAC &amp; Fire Fighting Works-동별산출" xfId="985" xr:uid="{00000000-0005-0000-0000-00000A020000}"/>
    <cellStyle name="_2001년만_~MF1128_2001예산배정액 및 내역2_1.2_직접공사비_자재비(건축)" xfId="986" xr:uid="{00000000-0005-0000-0000-00000B020000}"/>
    <cellStyle name="_2001년만_~MF1128_2001예산배정액 및 내역2_1.2_직접공사비_자재비(건축) 2" xfId="987" xr:uid="{00000000-0005-0000-0000-00000C020000}"/>
    <cellStyle name="_2001년만_~MF1128_2001예산배정액 및 내역2_1.2_직접공사비_자재비(건축) 2_2011.02.24-Plumbing, HVAC &amp; Fire Fighting Works-동별산출(수정)" xfId="988" xr:uid="{00000000-0005-0000-0000-00000D020000}"/>
    <cellStyle name="_2001년만_~MF1128_2001예산배정액 및 내역2_1.2_직접공사비_자재비(건축) 2_2011.02.25-Plumbing, HVAC &amp; Fire Fighting Works-동별산출-추가아이템정리-2" xfId="989" xr:uid="{00000000-0005-0000-0000-00000E020000}"/>
    <cellStyle name="_2001년만_~MF1128_2001예산배정액 및 내역2_1.2_직접공사비_자재비(건축) 2_4.Plumbing, HVAC &amp; Fire Fighting Works-동별산출" xfId="990" xr:uid="{00000000-0005-0000-0000-00000F020000}"/>
    <cellStyle name="_2001년만_~MF1128_2001예산배정액 및 내역2_4단계예산서" xfId="991" xr:uid="{00000000-0005-0000-0000-000010020000}"/>
    <cellStyle name="_2001년만_~MF1128_2001예산배정액 및 내역2_4단계예산서 2" xfId="992" xr:uid="{00000000-0005-0000-0000-000011020000}"/>
    <cellStyle name="_2001년만_~MF1128_2001예산배정액 및 내역2_4단계예산서 2_2011.02.24-Plumbing, HVAC &amp; Fire Fighting Works-동별산출(수정)" xfId="993" xr:uid="{00000000-0005-0000-0000-000012020000}"/>
    <cellStyle name="_2001년만_~MF1128_2001예산배정액 및 내역2_4단계예산서 2_2011.02.25-Plumbing, HVAC &amp; Fire Fighting Works-동별산출-추가아이템정리-2" xfId="994" xr:uid="{00000000-0005-0000-0000-000013020000}"/>
    <cellStyle name="_2001년만_~MF1128_2001예산배정액 및 내역2_4단계예산서 2_4.Plumbing, HVAC &amp; Fire Fighting Works-동별산출" xfId="995" xr:uid="{00000000-0005-0000-0000-000014020000}"/>
    <cellStyle name="_2001년만_~MF1128_2001예산배정액 및 내역2_4단계예산서_1.2_직접공사비_자재비" xfId="996" xr:uid="{00000000-0005-0000-0000-000015020000}"/>
    <cellStyle name="_2001년만_~MF1128_2001예산배정액 및 내역2_4단계예산서_1.2_직접공사비_자재비 2" xfId="997" xr:uid="{00000000-0005-0000-0000-000016020000}"/>
    <cellStyle name="_2001년만_~MF1128_2001예산배정액 및 내역2_4단계예산서_1.2_직접공사비_자재비 2_2011.02.24-Plumbing, HVAC &amp; Fire Fighting Works-동별산출(수정)" xfId="998" xr:uid="{00000000-0005-0000-0000-000017020000}"/>
    <cellStyle name="_2001년만_~MF1128_2001예산배정액 및 내역2_4단계예산서_1.2_직접공사비_자재비 2_2011.02.25-Plumbing, HVAC &amp; Fire Fighting Works-동별산출-추가아이템정리-2" xfId="999" xr:uid="{00000000-0005-0000-0000-000018020000}"/>
    <cellStyle name="_2001년만_~MF1128_2001예산배정액 및 내역2_4단계예산서_1.2_직접공사비_자재비 2_4.Plumbing, HVAC &amp; Fire Fighting Works-동별산출" xfId="1000" xr:uid="{00000000-0005-0000-0000-000019020000}"/>
    <cellStyle name="_2001년만_~MF1128_2001예산배정액 및 내역2_4단계예산서_1.2_직접공사비_자재비(건축)" xfId="1001" xr:uid="{00000000-0005-0000-0000-00001A020000}"/>
    <cellStyle name="_2001년만_~MF1128_2001예산배정액 및 내역2_4단계예산서_1.2_직접공사비_자재비(건축) 2" xfId="1002" xr:uid="{00000000-0005-0000-0000-00001B020000}"/>
    <cellStyle name="_2001년만_~MF1128_2001예산배정액 및 내역2_4단계예산서_1.2_직접공사비_자재비(건축) 2_2011.02.24-Plumbing, HVAC &amp; Fire Fighting Works-동별산출(수정)" xfId="1003" xr:uid="{00000000-0005-0000-0000-00001C020000}"/>
    <cellStyle name="_2001년만_~MF1128_2001예산배정액 및 내역2_4단계예산서_1.2_직접공사비_자재비(건축) 2_2011.02.25-Plumbing, HVAC &amp; Fire Fighting Works-동별산출-추가아이템정리-2" xfId="1004" xr:uid="{00000000-0005-0000-0000-00001D020000}"/>
    <cellStyle name="_2001년만_~MF1128_2001예산배정액 및 내역2_4단계예산서_1.2_직접공사비_자재비(건축) 2_4.Plumbing, HVAC &amp; Fire Fighting Works-동별산출" xfId="1005" xr:uid="{00000000-0005-0000-0000-00001E020000}"/>
    <cellStyle name="_2001년만_~MF1128_2001예산배정액 및 내역2_4단계예산서_가실행 내역서(전기)050923" xfId="1006" xr:uid="{00000000-0005-0000-0000-00001F020000}"/>
    <cellStyle name="_2001년만_~MF1128_2001예산배정액 및 내역2_4단계예산서_가실행 내역서(전기)050923 2" xfId="1007" xr:uid="{00000000-0005-0000-0000-000020020000}"/>
    <cellStyle name="_2001년만_~MF1128_2001예산배정액 및 내역2_4단계예산서_가실행 내역서(전기)050923 2_2011.02.24-Plumbing, HVAC &amp; Fire Fighting Works-동별산출(수정)" xfId="1008" xr:uid="{00000000-0005-0000-0000-000021020000}"/>
    <cellStyle name="_2001년만_~MF1128_2001예산배정액 및 내역2_4단계예산서_가실행 내역서(전기)050923 2_2011.02.25-Plumbing, HVAC &amp; Fire Fighting Works-동별산출-추가아이템정리-2" xfId="1009" xr:uid="{00000000-0005-0000-0000-000022020000}"/>
    <cellStyle name="_2001년만_~MF1128_2001예산배정액 및 내역2_4단계예산서_가실행 내역서(전기)050923 2_4.Plumbing, HVAC &amp; Fire Fighting Works-동별산출" xfId="1010" xr:uid="{00000000-0005-0000-0000-000023020000}"/>
    <cellStyle name="_2001년만_~MF1128_2001예산배정액 및 내역2_4단계예산서_가실행 내역서(전기)050923_1.2_직접공사비_자재비" xfId="1011" xr:uid="{00000000-0005-0000-0000-000024020000}"/>
    <cellStyle name="_2001년만_~MF1128_2001예산배정액 및 내역2_4단계예산서_가실행 내역서(전기)050923_1.2_직접공사비_자재비 2" xfId="1012" xr:uid="{00000000-0005-0000-0000-000025020000}"/>
    <cellStyle name="_2001년만_~MF1128_2001예산배정액 및 내역2_4단계예산서_가실행 내역서(전기)050923_1.2_직접공사비_자재비 2_2011.02.24-Plumbing, HVAC &amp; Fire Fighting Works-동별산출(수정)" xfId="1013" xr:uid="{00000000-0005-0000-0000-000026020000}"/>
    <cellStyle name="_2001년만_~MF1128_2001예산배정액 및 내역2_4단계예산서_가실행 내역서(전기)050923_1.2_직접공사비_자재비 2_2011.02.25-Plumbing, HVAC &amp; Fire Fighting Works-동별산출-추가아이템정리-2" xfId="1014" xr:uid="{00000000-0005-0000-0000-000027020000}"/>
    <cellStyle name="_2001년만_~MF1128_2001예산배정액 및 내역2_4단계예산서_가실행 내역서(전기)050923_1.2_직접공사비_자재비 2_4.Plumbing, HVAC &amp; Fire Fighting Works-동별산출" xfId="1015" xr:uid="{00000000-0005-0000-0000-000028020000}"/>
    <cellStyle name="_2001년만_~MF1128_2001예산배정액 및 내역2_4단계예산서_가실행 내역서(전기)050923_1.2_직접공사비_자재비(건축)" xfId="1016" xr:uid="{00000000-0005-0000-0000-000029020000}"/>
    <cellStyle name="_2001년만_~MF1128_2001예산배정액 및 내역2_4단계예산서_가실행 내역서(전기)050923_1.2_직접공사비_자재비(건축) 2" xfId="1017" xr:uid="{00000000-0005-0000-0000-00002A020000}"/>
    <cellStyle name="_2001년만_~MF1128_2001예산배정액 및 내역2_4단계예산서_가실행 내역서(전기)050923_1.2_직접공사비_자재비(건축) 2_2011.02.24-Plumbing, HVAC &amp; Fire Fighting Works-동별산출(수정)" xfId="1018" xr:uid="{00000000-0005-0000-0000-00002B020000}"/>
    <cellStyle name="_2001년만_~MF1128_2001예산배정액 및 내역2_4단계예산서_가실행 내역서(전기)050923_1.2_직접공사비_자재비(건축) 2_2011.02.25-Plumbing, HVAC &amp; Fire Fighting Works-동별산출-추가아이템정리-2" xfId="1019" xr:uid="{00000000-0005-0000-0000-00002C020000}"/>
    <cellStyle name="_2001년만_~MF1128_2001예산배정액 및 내역2_4단계예산서_가실행 내역서(전기)050923_1.2_직접공사비_자재비(건축) 2_4.Plumbing, HVAC &amp; Fire Fighting Works-동별산출" xfId="1020" xr:uid="{00000000-0005-0000-0000-00002D020000}"/>
    <cellStyle name="_2001년만_~MF1128_2001예산배정액 및 내역2_가실행 내역서(전기)050923" xfId="1021" xr:uid="{00000000-0005-0000-0000-00002E020000}"/>
    <cellStyle name="_2001년만_~MF1128_2001예산배정액 및 내역2_가실행 내역서(전기)050923 2" xfId="1022" xr:uid="{00000000-0005-0000-0000-00002F020000}"/>
    <cellStyle name="_2001년만_~MF1128_2001예산배정액 및 내역2_가실행 내역서(전기)050923 2_2011.02.24-Plumbing, HVAC &amp; Fire Fighting Works-동별산출(수정)" xfId="1023" xr:uid="{00000000-0005-0000-0000-000030020000}"/>
    <cellStyle name="_2001년만_~MF1128_2001예산배정액 및 내역2_가실행 내역서(전기)050923 2_2011.02.25-Plumbing, HVAC &amp; Fire Fighting Works-동별산출-추가아이템정리-2" xfId="1024" xr:uid="{00000000-0005-0000-0000-000031020000}"/>
    <cellStyle name="_2001년만_~MF1128_2001예산배정액 및 내역2_가실행 내역서(전기)050923 2_4.Plumbing, HVAC &amp; Fire Fighting Works-동별산출" xfId="1025" xr:uid="{00000000-0005-0000-0000-000032020000}"/>
    <cellStyle name="_2001년만_~MF1128_2001예산배정액 및 내역2_가실행 내역서(전기)050923_1.2_직접공사비_자재비" xfId="1026" xr:uid="{00000000-0005-0000-0000-000033020000}"/>
    <cellStyle name="_2001년만_~MF1128_2001예산배정액 및 내역2_가실행 내역서(전기)050923_1.2_직접공사비_자재비 2" xfId="1027" xr:uid="{00000000-0005-0000-0000-000034020000}"/>
    <cellStyle name="_2001년만_~MF1128_2001예산배정액 및 내역2_가실행 내역서(전기)050923_1.2_직접공사비_자재비 2_2011.02.24-Plumbing, HVAC &amp; Fire Fighting Works-동별산출(수정)" xfId="1028" xr:uid="{00000000-0005-0000-0000-000035020000}"/>
    <cellStyle name="_2001년만_~MF1128_2001예산배정액 및 내역2_가실행 내역서(전기)050923_1.2_직접공사비_자재비 2_2011.02.25-Plumbing, HVAC &amp; Fire Fighting Works-동별산출-추가아이템정리-2" xfId="1029" xr:uid="{00000000-0005-0000-0000-000036020000}"/>
    <cellStyle name="_2001년만_~MF1128_2001예산배정액 및 내역2_가실행 내역서(전기)050923_1.2_직접공사비_자재비 2_4.Plumbing, HVAC &amp; Fire Fighting Works-동별산출" xfId="1030" xr:uid="{00000000-0005-0000-0000-000037020000}"/>
    <cellStyle name="_2001년만_~MF1128_2001예산배정액 및 내역2_가실행 내역서(전기)050923_1.2_직접공사비_자재비(건축)" xfId="1031" xr:uid="{00000000-0005-0000-0000-000038020000}"/>
    <cellStyle name="_2001년만_~MF1128_2001예산배정액 및 내역2_가실행 내역서(전기)050923_1.2_직접공사비_자재비(건축) 2" xfId="1032" xr:uid="{00000000-0005-0000-0000-000039020000}"/>
    <cellStyle name="_2001년만_~MF1128_2001예산배정액 및 내역2_가실행 내역서(전기)050923_1.2_직접공사비_자재비(건축) 2_2011.02.24-Plumbing, HVAC &amp; Fire Fighting Works-동별산출(수정)" xfId="1033" xr:uid="{00000000-0005-0000-0000-00003A020000}"/>
    <cellStyle name="_2001년만_~MF1128_2001예산배정액 및 내역2_가실행 내역서(전기)050923_1.2_직접공사비_자재비(건축) 2_2011.02.25-Plumbing, HVAC &amp; Fire Fighting Works-동별산출-추가아이템정리-2" xfId="1034" xr:uid="{00000000-0005-0000-0000-00003B020000}"/>
    <cellStyle name="_2001년만_~MF1128_2001예산배정액 및 내역2_가실행 내역서(전기)050923_1.2_직접공사비_자재비(건축) 2_4.Plumbing, HVAC &amp; Fire Fighting Works-동별산출" xfId="1035" xr:uid="{00000000-0005-0000-0000-00003C020000}"/>
    <cellStyle name="_2001년만_~MF1128_4단계예산서" xfId="1036" xr:uid="{00000000-0005-0000-0000-00003D020000}"/>
    <cellStyle name="_2001년만_~MF1128_4단계예산서 2" xfId="1037" xr:uid="{00000000-0005-0000-0000-00003E020000}"/>
    <cellStyle name="_2001년만_~MF1128_4단계예산서 2_2011.02.24-Plumbing, HVAC &amp; Fire Fighting Works-동별산출(수정)" xfId="1038" xr:uid="{00000000-0005-0000-0000-00003F020000}"/>
    <cellStyle name="_2001년만_~MF1128_4단계예산서 2_2011.02.25-Plumbing, HVAC &amp; Fire Fighting Works-동별산출-추가아이템정리-2" xfId="1039" xr:uid="{00000000-0005-0000-0000-000040020000}"/>
    <cellStyle name="_2001년만_~MF1128_4단계예산서 2_4.Plumbing, HVAC &amp; Fire Fighting Works-동별산출" xfId="1040" xr:uid="{00000000-0005-0000-0000-000041020000}"/>
    <cellStyle name="_2001년만_~MF1128_4단계예산서_1.2_직접공사비_자재비" xfId="1041" xr:uid="{00000000-0005-0000-0000-000042020000}"/>
    <cellStyle name="_2001년만_~MF1128_4단계예산서_1.2_직접공사비_자재비 2" xfId="1042" xr:uid="{00000000-0005-0000-0000-000043020000}"/>
    <cellStyle name="_2001년만_~MF1128_4단계예산서_1.2_직접공사비_자재비 2_2011.02.24-Plumbing, HVAC &amp; Fire Fighting Works-동별산출(수정)" xfId="1043" xr:uid="{00000000-0005-0000-0000-000044020000}"/>
    <cellStyle name="_2001년만_~MF1128_4단계예산서_1.2_직접공사비_자재비 2_2011.02.25-Plumbing, HVAC &amp; Fire Fighting Works-동별산출-추가아이템정리-2" xfId="1044" xr:uid="{00000000-0005-0000-0000-000045020000}"/>
    <cellStyle name="_2001년만_~MF1128_4단계예산서_1.2_직접공사비_자재비 2_4.Plumbing, HVAC &amp; Fire Fighting Works-동별산출" xfId="1045" xr:uid="{00000000-0005-0000-0000-000046020000}"/>
    <cellStyle name="_2001년만_~MF1128_4단계예산서_1.2_직접공사비_자재비(건축)" xfId="1046" xr:uid="{00000000-0005-0000-0000-000047020000}"/>
    <cellStyle name="_2001년만_~MF1128_4단계예산서_1.2_직접공사비_자재비(건축) 2" xfId="1047" xr:uid="{00000000-0005-0000-0000-000048020000}"/>
    <cellStyle name="_2001년만_~MF1128_4단계예산서_1.2_직접공사비_자재비(건축) 2_2011.02.24-Plumbing, HVAC &amp; Fire Fighting Works-동별산출(수정)" xfId="1048" xr:uid="{00000000-0005-0000-0000-000049020000}"/>
    <cellStyle name="_2001년만_~MF1128_4단계예산서_1.2_직접공사비_자재비(건축) 2_2011.02.25-Plumbing, HVAC &amp; Fire Fighting Works-동별산출-추가아이템정리-2" xfId="1049" xr:uid="{00000000-0005-0000-0000-00004A020000}"/>
    <cellStyle name="_2001년만_~MF1128_4단계예산서_1.2_직접공사비_자재비(건축) 2_4.Plumbing, HVAC &amp; Fire Fighting Works-동별산출" xfId="1050" xr:uid="{00000000-0005-0000-0000-00004B020000}"/>
    <cellStyle name="_2001년만_~MF1128_4단계예산서_가실행 내역서(전기)050923" xfId="1051" xr:uid="{00000000-0005-0000-0000-00004C020000}"/>
    <cellStyle name="_2001년만_~MF1128_4단계예산서_가실행 내역서(전기)050923 2" xfId="1052" xr:uid="{00000000-0005-0000-0000-00004D020000}"/>
    <cellStyle name="_2001년만_~MF1128_4단계예산서_가실행 내역서(전기)050923 2_2011.02.24-Plumbing, HVAC &amp; Fire Fighting Works-동별산출(수정)" xfId="1053" xr:uid="{00000000-0005-0000-0000-00004E020000}"/>
    <cellStyle name="_2001년만_~MF1128_4단계예산서_가실행 내역서(전기)050923 2_2011.02.25-Plumbing, HVAC &amp; Fire Fighting Works-동별산출-추가아이템정리-2" xfId="1054" xr:uid="{00000000-0005-0000-0000-00004F020000}"/>
    <cellStyle name="_2001년만_~MF1128_4단계예산서_가실행 내역서(전기)050923 2_4.Plumbing, HVAC &amp; Fire Fighting Works-동별산출" xfId="1055" xr:uid="{00000000-0005-0000-0000-000050020000}"/>
    <cellStyle name="_2001년만_~MF1128_4단계예산서_가실행 내역서(전기)050923_1.2_직접공사비_자재비" xfId="1056" xr:uid="{00000000-0005-0000-0000-000051020000}"/>
    <cellStyle name="_2001년만_~MF1128_4단계예산서_가실행 내역서(전기)050923_1.2_직접공사비_자재비 2" xfId="1057" xr:uid="{00000000-0005-0000-0000-000052020000}"/>
    <cellStyle name="_2001년만_~MF1128_4단계예산서_가실행 내역서(전기)050923_1.2_직접공사비_자재비 2_2011.02.24-Plumbing, HVAC &amp; Fire Fighting Works-동별산출(수정)" xfId="1058" xr:uid="{00000000-0005-0000-0000-000053020000}"/>
    <cellStyle name="_2001년만_~MF1128_4단계예산서_가실행 내역서(전기)050923_1.2_직접공사비_자재비 2_2011.02.25-Plumbing, HVAC &amp; Fire Fighting Works-동별산출-추가아이템정리-2" xfId="1059" xr:uid="{00000000-0005-0000-0000-000054020000}"/>
    <cellStyle name="_2001년만_~MF1128_4단계예산서_가실행 내역서(전기)050923_1.2_직접공사비_자재비 2_4.Plumbing, HVAC &amp; Fire Fighting Works-동별산출" xfId="1060" xr:uid="{00000000-0005-0000-0000-000055020000}"/>
    <cellStyle name="_2001년만_~MF1128_4단계예산서_가실행 내역서(전기)050923_1.2_직접공사비_자재비(건축)" xfId="1061" xr:uid="{00000000-0005-0000-0000-000056020000}"/>
    <cellStyle name="_2001년만_~MF1128_4단계예산서_가실행 내역서(전기)050923_1.2_직접공사비_자재비(건축) 2" xfId="1062" xr:uid="{00000000-0005-0000-0000-000057020000}"/>
    <cellStyle name="_2001년만_~MF1128_4단계예산서_가실행 내역서(전기)050923_1.2_직접공사비_자재비(건축) 2_2011.02.24-Plumbing, HVAC &amp; Fire Fighting Works-동별산출(수정)" xfId="1063" xr:uid="{00000000-0005-0000-0000-000058020000}"/>
    <cellStyle name="_2001년만_~MF1128_4단계예산서_가실행 내역서(전기)050923_1.2_직접공사비_자재비(건축) 2_2011.02.25-Plumbing, HVAC &amp; Fire Fighting Works-동별산출-추가아이템정리-2" xfId="1064" xr:uid="{00000000-0005-0000-0000-000059020000}"/>
    <cellStyle name="_2001년만_~MF1128_4단계예산서_가실행 내역서(전기)050923_1.2_직접공사비_자재비(건축) 2_4.Plumbing, HVAC &amp; Fire Fighting Works-동별산출" xfId="1065" xr:uid="{00000000-0005-0000-0000-00005A020000}"/>
    <cellStyle name="_2001년만_~MF1128_가실행 내역서(전기)050923" xfId="1066" xr:uid="{00000000-0005-0000-0000-00005B020000}"/>
    <cellStyle name="_2001년만_~MF1128_가실행 내역서(전기)050923 2" xfId="1067" xr:uid="{00000000-0005-0000-0000-00005C020000}"/>
    <cellStyle name="_2001년만_~MF1128_가실행 내역서(전기)050923 2_2011.02.24-Plumbing, HVAC &amp; Fire Fighting Works-동별산출(수정)" xfId="1068" xr:uid="{00000000-0005-0000-0000-00005D020000}"/>
    <cellStyle name="_2001년만_~MF1128_가실행 내역서(전기)050923 2_2011.02.25-Plumbing, HVAC &amp; Fire Fighting Works-동별산출-추가아이템정리-2" xfId="1069" xr:uid="{00000000-0005-0000-0000-00005E020000}"/>
    <cellStyle name="_2001년만_~MF1128_가실행 내역서(전기)050923 2_4.Plumbing, HVAC &amp; Fire Fighting Works-동별산출" xfId="1070" xr:uid="{00000000-0005-0000-0000-00005F020000}"/>
    <cellStyle name="_2001년만_~MF1128_가실행 내역서(전기)050923_1.2_직접공사비_자재비" xfId="1071" xr:uid="{00000000-0005-0000-0000-000060020000}"/>
    <cellStyle name="_2001년만_~MF1128_가실행 내역서(전기)050923_1.2_직접공사비_자재비 2" xfId="1072" xr:uid="{00000000-0005-0000-0000-000061020000}"/>
    <cellStyle name="_2001년만_~MF1128_가실행 내역서(전기)050923_1.2_직접공사비_자재비 2_2011.02.24-Plumbing, HVAC &amp; Fire Fighting Works-동별산출(수정)" xfId="1073" xr:uid="{00000000-0005-0000-0000-000062020000}"/>
    <cellStyle name="_2001년만_~MF1128_가실행 내역서(전기)050923_1.2_직접공사비_자재비 2_2011.02.25-Plumbing, HVAC &amp; Fire Fighting Works-동별산출-추가아이템정리-2" xfId="1074" xr:uid="{00000000-0005-0000-0000-000063020000}"/>
    <cellStyle name="_2001년만_~MF1128_가실행 내역서(전기)050923_1.2_직접공사비_자재비 2_4.Plumbing, HVAC &amp; Fire Fighting Works-동별산출" xfId="1075" xr:uid="{00000000-0005-0000-0000-000064020000}"/>
    <cellStyle name="_2001년만_~MF1128_가실행 내역서(전기)050923_1.2_직접공사비_자재비(건축)" xfId="1076" xr:uid="{00000000-0005-0000-0000-000065020000}"/>
    <cellStyle name="_2001년만_~MF1128_가실행 내역서(전기)050923_1.2_직접공사비_자재비(건축) 2" xfId="1077" xr:uid="{00000000-0005-0000-0000-000066020000}"/>
    <cellStyle name="_2001년만_~MF1128_가실행 내역서(전기)050923_1.2_직접공사비_자재비(건축) 2_2011.02.24-Plumbing, HVAC &amp; Fire Fighting Works-동별산출(수정)" xfId="1078" xr:uid="{00000000-0005-0000-0000-000067020000}"/>
    <cellStyle name="_2001년만_~MF1128_가실행 내역서(전기)050923_1.2_직접공사비_자재비(건축) 2_2011.02.25-Plumbing, HVAC &amp; Fire Fighting Works-동별산출-추가아이템정리-2" xfId="1079" xr:uid="{00000000-0005-0000-0000-000068020000}"/>
    <cellStyle name="_2001년만_~MF1128_가실행 내역서(전기)050923_1.2_직접공사비_자재비(건축) 2_4.Plumbing, HVAC &amp; Fire Fighting Works-동별산출" xfId="1080" xr:uid="{00000000-0005-0000-0000-000069020000}"/>
    <cellStyle name="_2001년만_~MF2110" xfId="1081" xr:uid="{00000000-0005-0000-0000-00006A020000}"/>
    <cellStyle name="_2001년만_~MF2110 2" xfId="1082" xr:uid="{00000000-0005-0000-0000-00006B020000}"/>
    <cellStyle name="_2001년만_~MF2110 2_2011.02.24-Plumbing, HVAC &amp; Fire Fighting Works-동별산출(수정)" xfId="1083" xr:uid="{00000000-0005-0000-0000-00006C020000}"/>
    <cellStyle name="_2001년만_~MF2110 2_2011.02.25-Plumbing, HVAC &amp; Fire Fighting Works-동별산출-추가아이템정리-2" xfId="1084" xr:uid="{00000000-0005-0000-0000-00006D020000}"/>
    <cellStyle name="_2001년만_~MF2110 2_4.Plumbing, HVAC &amp; Fire Fighting Works-동별산출" xfId="1085" xr:uid="{00000000-0005-0000-0000-00006E020000}"/>
    <cellStyle name="_2001년만_~MF2110_1.2_직접공사비_자재비" xfId="1086" xr:uid="{00000000-0005-0000-0000-00006F020000}"/>
    <cellStyle name="_2001년만_~MF2110_1.2_직접공사비_자재비 2" xfId="1087" xr:uid="{00000000-0005-0000-0000-000070020000}"/>
    <cellStyle name="_2001년만_~MF2110_1.2_직접공사비_자재비 2_2011.02.24-Plumbing, HVAC &amp; Fire Fighting Works-동별산출(수정)" xfId="1088" xr:uid="{00000000-0005-0000-0000-000071020000}"/>
    <cellStyle name="_2001년만_~MF2110_1.2_직접공사비_자재비 2_2011.02.25-Plumbing, HVAC &amp; Fire Fighting Works-동별산출-추가아이템정리-2" xfId="1089" xr:uid="{00000000-0005-0000-0000-000072020000}"/>
    <cellStyle name="_2001년만_~MF2110_1.2_직접공사비_자재비 2_4.Plumbing, HVAC &amp; Fire Fighting Works-동별산출" xfId="1090" xr:uid="{00000000-0005-0000-0000-000073020000}"/>
    <cellStyle name="_2001년만_~MF2110_1.2_직접공사비_자재비(건축)" xfId="1091" xr:uid="{00000000-0005-0000-0000-000074020000}"/>
    <cellStyle name="_2001년만_~MF2110_1.2_직접공사비_자재비(건축) 2" xfId="1092" xr:uid="{00000000-0005-0000-0000-000075020000}"/>
    <cellStyle name="_2001년만_~MF2110_1.2_직접공사비_자재비(건축) 2_2011.02.24-Plumbing, HVAC &amp; Fire Fighting Works-동별산출(수정)" xfId="1093" xr:uid="{00000000-0005-0000-0000-000076020000}"/>
    <cellStyle name="_2001년만_~MF2110_1.2_직접공사비_자재비(건축) 2_2011.02.25-Plumbing, HVAC &amp; Fire Fighting Works-동별산출-추가아이템정리-2" xfId="1094" xr:uid="{00000000-0005-0000-0000-000077020000}"/>
    <cellStyle name="_2001년만_~MF2110_1.2_직접공사비_자재비(건축) 2_4.Plumbing, HVAC &amp; Fire Fighting Works-동별산출" xfId="1095" xr:uid="{00000000-0005-0000-0000-000078020000}"/>
    <cellStyle name="_2001년만_~MF2110_4단계예산서" xfId="1096" xr:uid="{00000000-0005-0000-0000-000079020000}"/>
    <cellStyle name="_2001년만_~MF2110_4단계예산서 2" xfId="1097" xr:uid="{00000000-0005-0000-0000-00007A020000}"/>
    <cellStyle name="_2001년만_~MF2110_4단계예산서 2_2011.02.24-Plumbing, HVAC &amp; Fire Fighting Works-동별산출(수정)" xfId="1098" xr:uid="{00000000-0005-0000-0000-00007B020000}"/>
    <cellStyle name="_2001년만_~MF2110_4단계예산서 2_2011.02.25-Plumbing, HVAC &amp; Fire Fighting Works-동별산출-추가아이템정리-2" xfId="1099" xr:uid="{00000000-0005-0000-0000-00007C020000}"/>
    <cellStyle name="_2001년만_~MF2110_4단계예산서 2_4.Plumbing, HVAC &amp; Fire Fighting Works-동별산출" xfId="1100" xr:uid="{00000000-0005-0000-0000-00007D020000}"/>
    <cellStyle name="_2001년만_~MF2110_4단계예산서_1.2_직접공사비_자재비" xfId="1101" xr:uid="{00000000-0005-0000-0000-00007E020000}"/>
    <cellStyle name="_2001년만_~MF2110_4단계예산서_1.2_직접공사비_자재비 2" xfId="1102" xr:uid="{00000000-0005-0000-0000-00007F020000}"/>
    <cellStyle name="_2001년만_~MF2110_4단계예산서_1.2_직접공사비_자재비 2_2011.02.24-Plumbing, HVAC &amp; Fire Fighting Works-동별산출(수정)" xfId="1103" xr:uid="{00000000-0005-0000-0000-000080020000}"/>
    <cellStyle name="_2001년만_~MF2110_4단계예산서_1.2_직접공사비_자재비 2_2011.02.25-Plumbing, HVAC &amp; Fire Fighting Works-동별산출-추가아이템정리-2" xfId="1104" xr:uid="{00000000-0005-0000-0000-000081020000}"/>
    <cellStyle name="_2001년만_~MF2110_4단계예산서_1.2_직접공사비_자재비 2_4.Plumbing, HVAC &amp; Fire Fighting Works-동별산출" xfId="1105" xr:uid="{00000000-0005-0000-0000-000082020000}"/>
    <cellStyle name="_2001년만_~MF2110_4단계예산서_1.2_직접공사비_자재비(건축)" xfId="1106" xr:uid="{00000000-0005-0000-0000-000083020000}"/>
    <cellStyle name="_2001년만_~MF2110_4단계예산서_1.2_직접공사비_자재비(건축) 2" xfId="1107" xr:uid="{00000000-0005-0000-0000-000084020000}"/>
    <cellStyle name="_2001년만_~MF2110_4단계예산서_1.2_직접공사비_자재비(건축) 2_2011.02.24-Plumbing, HVAC &amp; Fire Fighting Works-동별산출(수정)" xfId="1108" xr:uid="{00000000-0005-0000-0000-000085020000}"/>
    <cellStyle name="_2001년만_~MF2110_4단계예산서_1.2_직접공사비_자재비(건축) 2_2011.02.25-Plumbing, HVAC &amp; Fire Fighting Works-동별산출-추가아이템정리-2" xfId="1109" xr:uid="{00000000-0005-0000-0000-000086020000}"/>
    <cellStyle name="_2001년만_~MF2110_4단계예산서_1.2_직접공사비_자재비(건축) 2_4.Plumbing, HVAC &amp; Fire Fighting Works-동별산출" xfId="1110" xr:uid="{00000000-0005-0000-0000-000087020000}"/>
    <cellStyle name="_2001년만_~MF2110_4단계예산서_가실행 내역서(전기)050923" xfId="1111" xr:uid="{00000000-0005-0000-0000-000088020000}"/>
    <cellStyle name="_2001년만_~MF2110_4단계예산서_가실행 내역서(전기)050923 2" xfId="1112" xr:uid="{00000000-0005-0000-0000-000089020000}"/>
    <cellStyle name="_2001년만_~MF2110_4단계예산서_가실행 내역서(전기)050923 2_2011.02.24-Plumbing, HVAC &amp; Fire Fighting Works-동별산출(수정)" xfId="1113" xr:uid="{00000000-0005-0000-0000-00008A020000}"/>
    <cellStyle name="_2001년만_~MF2110_4단계예산서_가실행 내역서(전기)050923 2_2011.02.25-Plumbing, HVAC &amp; Fire Fighting Works-동별산출-추가아이템정리-2" xfId="1114" xr:uid="{00000000-0005-0000-0000-00008B020000}"/>
    <cellStyle name="_2001년만_~MF2110_4단계예산서_가실행 내역서(전기)050923 2_4.Plumbing, HVAC &amp; Fire Fighting Works-동별산출" xfId="1115" xr:uid="{00000000-0005-0000-0000-00008C020000}"/>
    <cellStyle name="_2001년만_~MF2110_4단계예산서_가실행 내역서(전기)050923_1.2_직접공사비_자재비" xfId="1116" xr:uid="{00000000-0005-0000-0000-00008D020000}"/>
    <cellStyle name="_2001년만_~MF2110_4단계예산서_가실행 내역서(전기)050923_1.2_직접공사비_자재비 2" xfId="1117" xr:uid="{00000000-0005-0000-0000-00008E020000}"/>
    <cellStyle name="_2001년만_~MF2110_4단계예산서_가실행 내역서(전기)050923_1.2_직접공사비_자재비 2_2011.02.24-Plumbing, HVAC &amp; Fire Fighting Works-동별산출(수정)" xfId="1118" xr:uid="{00000000-0005-0000-0000-00008F020000}"/>
    <cellStyle name="_2001년만_~MF2110_4단계예산서_가실행 내역서(전기)050923_1.2_직접공사비_자재비 2_2011.02.25-Plumbing, HVAC &amp; Fire Fighting Works-동별산출-추가아이템정리-2" xfId="1119" xr:uid="{00000000-0005-0000-0000-000090020000}"/>
    <cellStyle name="_2001년만_~MF2110_4단계예산서_가실행 내역서(전기)050923_1.2_직접공사비_자재비 2_4.Plumbing, HVAC &amp; Fire Fighting Works-동별산출" xfId="1120" xr:uid="{00000000-0005-0000-0000-000091020000}"/>
    <cellStyle name="_2001년만_~MF2110_4단계예산서_가실행 내역서(전기)050923_1.2_직접공사비_자재비(건축)" xfId="1121" xr:uid="{00000000-0005-0000-0000-000092020000}"/>
    <cellStyle name="_2001년만_~MF2110_4단계예산서_가실행 내역서(전기)050923_1.2_직접공사비_자재비(건축) 2" xfId="1122" xr:uid="{00000000-0005-0000-0000-000093020000}"/>
    <cellStyle name="_2001년만_~MF2110_4단계예산서_가실행 내역서(전기)050923_1.2_직접공사비_자재비(건축) 2_2011.02.24-Plumbing, HVAC &amp; Fire Fighting Works-동별산출(수정)" xfId="1123" xr:uid="{00000000-0005-0000-0000-000094020000}"/>
    <cellStyle name="_2001년만_~MF2110_4단계예산서_가실행 내역서(전기)050923_1.2_직접공사비_자재비(건축) 2_2011.02.25-Plumbing, HVAC &amp; Fire Fighting Works-동별산출-추가아이템정리-2" xfId="1124" xr:uid="{00000000-0005-0000-0000-000095020000}"/>
    <cellStyle name="_2001년만_~MF2110_4단계예산서_가실행 내역서(전기)050923_1.2_직접공사비_자재비(건축) 2_4.Plumbing, HVAC &amp; Fire Fighting Works-동별산출" xfId="1125" xr:uid="{00000000-0005-0000-0000-000096020000}"/>
    <cellStyle name="_2001년만_~MF2110_가실행 내역서(전기)050923" xfId="1126" xr:uid="{00000000-0005-0000-0000-000097020000}"/>
    <cellStyle name="_2001년만_~MF2110_가실행 내역서(전기)050923 2" xfId="1127" xr:uid="{00000000-0005-0000-0000-000098020000}"/>
    <cellStyle name="_2001년만_~MF2110_가실행 내역서(전기)050923 2_2011.02.24-Plumbing, HVAC &amp; Fire Fighting Works-동별산출(수정)" xfId="1128" xr:uid="{00000000-0005-0000-0000-000099020000}"/>
    <cellStyle name="_2001년만_~MF2110_가실행 내역서(전기)050923 2_2011.02.25-Plumbing, HVAC &amp; Fire Fighting Works-동별산출-추가아이템정리-2" xfId="1129" xr:uid="{00000000-0005-0000-0000-00009A020000}"/>
    <cellStyle name="_2001년만_~MF2110_가실행 내역서(전기)050923 2_4.Plumbing, HVAC &amp; Fire Fighting Works-동별산출" xfId="1130" xr:uid="{00000000-0005-0000-0000-00009B020000}"/>
    <cellStyle name="_2001년만_~MF2110_가실행 내역서(전기)050923_1.2_직접공사비_자재비" xfId="1131" xr:uid="{00000000-0005-0000-0000-00009C020000}"/>
    <cellStyle name="_2001년만_~MF2110_가실행 내역서(전기)050923_1.2_직접공사비_자재비 2" xfId="1132" xr:uid="{00000000-0005-0000-0000-00009D020000}"/>
    <cellStyle name="_2001년만_~MF2110_가실행 내역서(전기)050923_1.2_직접공사비_자재비 2_2011.02.24-Plumbing, HVAC &amp; Fire Fighting Works-동별산출(수정)" xfId="1133" xr:uid="{00000000-0005-0000-0000-00009E020000}"/>
    <cellStyle name="_2001년만_~MF2110_가실행 내역서(전기)050923_1.2_직접공사비_자재비 2_2011.02.25-Plumbing, HVAC &amp; Fire Fighting Works-동별산출-추가아이템정리-2" xfId="1134" xr:uid="{00000000-0005-0000-0000-00009F020000}"/>
    <cellStyle name="_2001년만_~MF2110_가실행 내역서(전기)050923_1.2_직접공사비_자재비 2_4.Plumbing, HVAC &amp; Fire Fighting Works-동별산출" xfId="1135" xr:uid="{00000000-0005-0000-0000-0000A0020000}"/>
    <cellStyle name="_2001년만_~MF2110_가실행 내역서(전기)050923_1.2_직접공사비_자재비(건축)" xfId="1136" xr:uid="{00000000-0005-0000-0000-0000A1020000}"/>
    <cellStyle name="_2001년만_~MF2110_가실행 내역서(전기)050923_1.2_직접공사비_자재비(건축) 2" xfId="1137" xr:uid="{00000000-0005-0000-0000-0000A2020000}"/>
    <cellStyle name="_2001년만_~MF2110_가실행 내역서(전기)050923_1.2_직접공사비_자재비(건축) 2_2011.02.24-Plumbing, HVAC &amp; Fire Fighting Works-동별산출(수정)" xfId="1138" xr:uid="{00000000-0005-0000-0000-0000A3020000}"/>
    <cellStyle name="_2001년만_~MF2110_가실행 내역서(전기)050923_1.2_직접공사비_자재비(건축) 2_2011.02.25-Plumbing, HVAC &amp; Fire Fighting Works-동별산출-추가아이템정리-2" xfId="1139" xr:uid="{00000000-0005-0000-0000-0000A4020000}"/>
    <cellStyle name="_2001년만_~MF2110_가실행 내역서(전기)050923_1.2_직접공사비_자재비(건축) 2_4.Plumbing, HVAC &amp; Fire Fighting Works-동별산출" xfId="1140" xr:uid="{00000000-0005-0000-0000-0000A5020000}"/>
    <cellStyle name="_2001년만_~MF373C" xfId="1141" xr:uid="{00000000-0005-0000-0000-0000A6020000}"/>
    <cellStyle name="_2001년만_~MF373C 2" xfId="1142" xr:uid="{00000000-0005-0000-0000-0000A7020000}"/>
    <cellStyle name="_2001년만_~MF373C 2_2011.02.24-Plumbing, HVAC &amp; Fire Fighting Works-동별산출(수정)" xfId="1143" xr:uid="{00000000-0005-0000-0000-0000A8020000}"/>
    <cellStyle name="_2001년만_~MF373C 2_2011.02.25-Plumbing, HVAC &amp; Fire Fighting Works-동별산출-추가아이템정리-2" xfId="1144" xr:uid="{00000000-0005-0000-0000-0000A9020000}"/>
    <cellStyle name="_2001년만_~MF373C 2_4.Plumbing, HVAC &amp; Fire Fighting Works-동별산출" xfId="1145" xr:uid="{00000000-0005-0000-0000-0000AA020000}"/>
    <cellStyle name="_2001년만_~MF373C_1.2_직접공사비_자재비" xfId="1146" xr:uid="{00000000-0005-0000-0000-0000AB020000}"/>
    <cellStyle name="_2001년만_~MF373C_1.2_직접공사비_자재비 2" xfId="1147" xr:uid="{00000000-0005-0000-0000-0000AC020000}"/>
    <cellStyle name="_2001년만_~MF373C_1.2_직접공사비_자재비 2_2011.02.24-Plumbing, HVAC &amp; Fire Fighting Works-동별산출(수정)" xfId="1148" xr:uid="{00000000-0005-0000-0000-0000AD020000}"/>
    <cellStyle name="_2001년만_~MF373C_1.2_직접공사비_자재비 2_2011.02.25-Plumbing, HVAC &amp; Fire Fighting Works-동별산출-추가아이템정리-2" xfId="1149" xr:uid="{00000000-0005-0000-0000-0000AE020000}"/>
    <cellStyle name="_2001년만_~MF373C_1.2_직접공사비_자재비 2_4.Plumbing, HVAC &amp; Fire Fighting Works-동별산출" xfId="1150" xr:uid="{00000000-0005-0000-0000-0000AF020000}"/>
    <cellStyle name="_2001년만_~MF373C_1.2_직접공사비_자재비(건축)" xfId="1151" xr:uid="{00000000-0005-0000-0000-0000B0020000}"/>
    <cellStyle name="_2001년만_~MF373C_1.2_직접공사비_자재비(건축) 2" xfId="1152" xr:uid="{00000000-0005-0000-0000-0000B1020000}"/>
    <cellStyle name="_2001년만_~MF373C_1.2_직접공사비_자재비(건축) 2_2011.02.24-Plumbing, HVAC &amp; Fire Fighting Works-동별산출(수정)" xfId="1153" xr:uid="{00000000-0005-0000-0000-0000B2020000}"/>
    <cellStyle name="_2001년만_~MF373C_1.2_직접공사비_자재비(건축) 2_2011.02.25-Plumbing, HVAC &amp; Fire Fighting Works-동별산출-추가아이템정리-2" xfId="1154" xr:uid="{00000000-0005-0000-0000-0000B3020000}"/>
    <cellStyle name="_2001년만_~MF373C_1.2_직접공사비_자재비(건축) 2_4.Plumbing, HVAC &amp; Fire Fighting Works-동별산출" xfId="1155" xr:uid="{00000000-0005-0000-0000-0000B4020000}"/>
    <cellStyle name="_2001년만_~MF373C_4단계예산서" xfId="1156" xr:uid="{00000000-0005-0000-0000-0000B5020000}"/>
    <cellStyle name="_2001년만_~MF373C_4단계예산서 2" xfId="1157" xr:uid="{00000000-0005-0000-0000-0000B6020000}"/>
    <cellStyle name="_2001년만_~MF373C_4단계예산서 2_2011.02.24-Plumbing, HVAC &amp; Fire Fighting Works-동별산출(수정)" xfId="1158" xr:uid="{00000000-0005-0000-0000-0000B7020000}"/>
    <cellStyle name="_2001년만_~MF373C_4단계예산서 2_2011.02.25-Plumbing, HVAC &amp; Fire Fighting Works-동별산출-추가아이템정리-2" xfId="1159" xr:uid="{00000000-0005-0000-0000-0000B8020000}"/>
    <cellStyle name="_2001년만_~MF373C_4단계예산서 2_4.Plumbing, HVAC &amp; Fire Fighting Works-동별산출" xfId="1160" xr:uid="{00000000-0005-0000-0000-0000B9020000}"/>
    <cellStyle name="_2001년만_~MF373C_4단계예산서_1.2_직접공사비_자재비" xfId="1161" xr:uid="{00000000-0005-0000-0000-0000BA020000}"/>
    <cellStyle name="_2001년만_~MF373C_4단계예산서_1.2_직접공사비_자재비 2" xfId="1162" xr:uid="{00000000-0005-0000-0000-0000BB020000}"/>
    <cellStyle name="_2001년만_~MF373C_4단계예산서_1.2_직접공사비_자재비 2_2011.02.24-Plumbing, HVAC &amp; Fire Fighting Works-동별산출(수정)" xfId="1163" xr:uid="{00000000-0005-0000-0000-0000BC020000}"/>
    <cellStyle name="_2001년만_~MF373C_4단계예산서_1.2_직접공사비_자재비 2_2011.02.25-Plumbing, HVAC &amp; Fire Fighting Works-동별산출-추가아이템정리-2" xfId="1164" xr:uid="{00000000-0005-0000-0000-0000BD020000}"/>
    <cellStyle name="_2001년만_~MF373C_4단계예산서_1.2_직접공사비_자재비 2_4.Plumbing, HVAC &amp; Fire Fighting Works-동별산출" xfId="1165" xr:uid="{00000000-0005-0000-0000-0000BE020000}"/>
    <cellStyle name="_2001년만_~MF373C_4단계예산서_1.2_직접공사비_자재비(건축)" xfId="1166" xr:uid="{00000000-0005-0000-0000-0000BF020000}"/>
    <cellStyle name="_2001년만_~MF373C_4단계예산서_1.2_직접공사비_자재비(건축) 2" xfId="1167" xr:uid="{00000000-0005-0000-0000-0000C0020000}"/>
    <cellStyle name="_2001년만_~MF373C_4단계예산서_1.2_직접공사비_자재비(건축) 2_2011.02.24-Plumbing, HVAC &amp; Fire Fighting Works-동별산출(수정)" xfId="1168" xr:uid="{00000000-0005-0000-0000-0000C1020000}"/>
    <cellStyle name="_2001년만_~MF373C_4단계예산서_1.2_직접공사비_자재비(건축) 2_2011.02.25-Plumbing, HVAC &amp; Fire Fighting Works-동별산출-추가아이템정리-2" xfId="1169" xr:uid="{00000000-0005-0000-0000-0000C2020000}"/>
    <cellStyle name="_2001년만_~MF373C_4단계예산서_1.2_직접공사비_자재비(건축) 2_4.Plumbing, HVAC &amp; Fire Fighting Works-동별산출" xfId="1170" xr:uid="{00000000-0005-0000-0000-0000C3020000}"/>
    <cellStyle name="_2001년만_~MF373C_4단계예산서_가실행 내역서(전기)050923" xfId="1171" xr:uid="{00000000-0005-0000-0000-0000C4020000}"/>
    <cellStyle name="_2001년만_~MF373C_4단계예산서_가실행 내역서(전기)050923 2" xfId="1172" xr:uid="{00000000-0005-0000-0000-0000C5020000}"/>
    <cellStyle name="_2001년만_~MF373C_4단계예산서_가실행 내역서(전기)050923 2_2011.02.24-Plumbing, HVAC &amp; Fire Fighting Works-동별산출(수정)" xfId="1173" xr:uid="{00000000-0005-0000-0000-0000C6020000}"/>
    <cellStyle name="_2001년만_~MF373C_4단계예산서_가실행 내역서(전기)050923 2_2011.02.25-Plumbing, HVAC &amp; Fire Fighting Works-동별산출-추가아이템정리-2" xfId="1174" xr:uid="{00000000-0005-0000-0000-0000C7020000}"/>
    <cellStyle name="_2001년만_~MF373C_4단계예산서_가실행 내역서(전기)050923 2_4.Plumbing, HVAC &amp; Fire Fighting Works-동별산출" xfId="1175" xr:uid="{00000000-0005-0000-0000-0000C8020000}"/>
    <cellStyle name="_2001년만_~MF373C_4단계예산서_가실행 내역서(전기)050923_1.2_직접공사비_자재비" xfId="1176" xr:uid="{00000000-0005-0000-0000-0000C9020000}"/>
    <cellStyle name="_2001년만_~MF373C_4단계예산서_가실행 내역서(전기)050923_1.2_직접공사비_자재비 2" xfId="1177" xr:uid="{00000000-0005-0000-0000-0000CA020000}"/>
    <cellStyle name="_2001년만_~MF373C_4단계예산서_가실행 내역서(전기)050923_1.2_직접공사비_자재비 2_2011.02.24-Plumbing, HVAC &amp; Fire Fighting Works-동별산출(수정)" xfId="1178" xr:uid="{00000000-0005-0000-0000-0000CB020000}"/>
    <cellStyle name="_2001년만_~MF373C_4단계예산서_가실행 내역서(전기)050923_1.2_직접공사비_자재비 2_2011.02.25-Plumbing, HVAC &amp; Fire Fighting Works-동별산출-추가아이템정리-2" xfId="1179" xr:uid="{00000000-0005-0000-0000-0000CC020000}"/>
    <cellStyle name="_2001년만_~MF373C_4단계예산서_가실행 내역서(전기)050923_1.2_직접공사비_자재비 2_4.Plumbing, HVAC &amp; Fire Fighting Works-동별산출" xfId="1180" xr:uid="{00000000-0005-0000-0000-0000CD020000}"/>
    <cellStyle name="_2001년만_~MF373C_4단계예산서_가실행 내역서(전기)050923_1.2_직접공사비_자재비(건축)" xfId="1181" xr:uid="{00000000-0005-0000-0000-0000CE020000}"/>
    <cellStyle name="_2001년만_~MF373C_4단계예산서_가실행 내역서(전기)050923_1.2_직접공사비_자재비(건축) 2" xfId="1182" xr:uid="{00000000-0005-0000-0000-0000CF020000}"/>
    <cellStyle name="_2001년만_~MF373C_4단계예산서_가실행 내역서(전기)050923_1.2_직접공사비_자재비(건축) 2_2011.02.24-Plumbing, HVAC &amp; Fire Fighting Works-동별산출(수정)" xfId="1183" xr:uid="{00000000-0005-0000-0000-0000D0020000}"/>
    <cellStyle name="_2001년만_~MF373C_4단계예산서_가실행 내역서(전기)050923_1.2_직접공사비_자재비(건축) 2_2011.02.25-Plumbing, HVAC &amp; Fire Fighting Works-동별산출-추가아이템정리-2" xfId="1184" xr:uid="{00000000-0005-0000-0000-0000D1020000}"/>
    <cellStyle name="_2001년만_~MF373C_4단계예산서_가실행 내역서(전기)050923_1.2_직접공사비_자재비(건축) 2_4.Plumbing, HVAC &amp; Fire Fighting Works-동별산출" xfId="1185" xr:uid="{00000000-0005-0000-0000-0000D2020000}"/>
    <cellStyle name="_2001년만_~MF373C_가실행 내역서(전기)050923" xfId="1186" xr:uid="{00000000-0005-0000-0000-0000D3020000}"/>
    <cellStyle name="_2001년만_~MF373C_가실행 내역서(전기)050923 2" xfId="1187" xr:uid="{00000000-0005-0000-0000-0000D4020000}"/>
    <cellStyle name="_2001년만_~MF373C_가실행 내역서(전기)050923 2_2011.02.24-Plumbing, HVAC &amp; Fire Fighting Works-동별산출(수정)" xfId="1188" xr:uid="{00000000-0005-0000-0000-0000D5020000}"/>
    <cellStyle name="_2001년만_~MF373C_가실행 내역서(전기)050923 2_2011.02.25-Plumbing, HVAC &amp; Fire Fighting Works-동별산출-추가아이템정리-2" xfId="1189" xr:uid="{00000000-0005-0000-0000-0000D6020000}"/>
    <cellStyle name="_2001년만_~MF373C_가실행 내역서(전기)050923 2_4.Plumbing, HVAC &amp; Fire Fighting Works-동별산출" xfId="1190" xr:uid="{00000000-0005-0000-0000-0000D7020000}"/>
    <cellStyle name="_2001년만_~MF373C_가실행 내역서(전기)050923_1.2_직접공사비_자재비" xfId="1191" xr:uid="{00000000-0005-0000-0000-0000D8020000}"/>
    <cellStyle name="_2001년만_~MF373C_가실행 내역서(전기)050923_1.2_직접공사비_자재비 2" xfId="1192" xr:uid="{00000000-0005-0000-0000-0000D9020000}"/>
    <cellStyle name="_2001년만_~MF373C_가실행 내역서(전기)050923_1.2_직접공사비_자재비 2_2011.02.24-Plumbing, HVAC &amp; Fire Fighting Works-동별산출(수정)" xfId="1193" xr:uid="{00000000-0005-0000-0000-0000DA020000}"/>
    <cellStyle name="_2001년만_~MF373C_가실행 내역서(전기)050923_1.2_직접공사비_자재비 2_2011.02.25-Plumbing, HVAC &amp; Fire Fighting Works-동별산출-추가아이템정리-2" xfId="1194" xr:uid="{00000000-0005-0000-0000-0000DB020000}"/>
    <cellStyle name="_2001년만_~MF373C_가실행 내역서(전기)050923_1.2_직접공사비_자재비 2_4.Plumbing, HVAC &amp; Fire Fighting Works-동별산출" xfId="1195" xr:uid="{00000000-0005-0000-0000-0000DC020000}"/>
    <cellStyle name="_2001년만_~MF373C_가실행 내역서(전기)050923_1.2_직접공사비_자재비(건축)" xfId="1196" xr:uid="{00000000-0005-0000-0000-0000DD020000}"/>
    <cellStyle name="_2001년만_~MF373C_가실행 내역서(전기)050923_1.2_직접공사비_자재비(건축) 2" xfId="1197" xr:uid="{00000000-0005-0000-0000-0000DE020000}"/>
    <cellStyle name="_2001년만_~MF373C_가실행 내역서(전기)050923_1.2_직접공사비_자재비(건축) 2_2011.02.24-Plumbing, HVAC &amp; Fire Fighting Works-동별산출(수정)" xfId="1198" xr:uid="{00000000-0005-0000-0000-0000DF020000}"/>
    <cellStyle name="_2001년만_~MF373C_가실행 내역서(전기)050923_1.2_직접공사비_자재비(건축) 2_2011.02.25-Plumbing, HVAC &amp; Fire Fighting Works-동별산출-추가아이템정리-2" xfId="1199" xr:uid="{00000000-0005-0000-0000-0000E0020000}"/>
    <cellStyle name="_2001년만_~MF373C_가실행 내역서(전기)050923_1.2_직접공사비_자재비(건축) 2_4.Plumbing, HVAC &amp; Fire Fighting Works-동별산출" xfId="1200" xr:uid="{00000000-0005-0000-0000-0000E1020000}"/>
    <cellStyle name="_2001년만_1.2_직접공사비_자재비" xfId="1201" xr:uid="{00000000-0005-0000-0000-0000E2020000}"/>
    <cellStyle name="_2001년만_1.2_직접공사비_자재비 2" xfId="1202" xr:uid="{00000000-0005-0000-0000-0000E3020000}"/>
    <cellStyle name="_2001년만_1.2_직접공사비_자재비 2_2011.02.24-Plumbing, HVAC &amp; Fire Fighting Works-동별산출(수정)" xfId="1203" xr:uid="{00000000-0005-0000-0000-0000E4020000}"/>
    <cellStyle name="_2001년만_1.2_직접공사비_자재비 2_2011.02.25-Plumbing, HVAC &amp; Fire Fighting Works-동별산출-추가아이템정리-2" xfId="1204" xr:uid="{00000000-0005-0000-0000-0000E5020000}"/>
    <cellStyle name="_2001년만_1.2_직접공사비_자재비 2_4.Plumbing, HVAC &amp; Fire Fighting Works-동별산출" xfId="1205" xr:uid="{00000000-0005-0000-0000-0000E6020000}"/>
    <cellStyle name="_2001년만_1.2_직접공사비_자재비(건축)" xfId="1206" xr:uid="{00000000-0005-0000-0000-0000E7020000}"/>
    <cellStyle name="_2001년만_1.2_직접공사비_자재비(건축) 2" xfId="1207" xr:uid="{00000000-0005-0000-0000-0000E8020000}"/>
    <cellStyle name="_2001년만_1.2_직접공사비_자재비(건축) 2_2011.02.24-Plumbing, HVAC &amp; Fire Fighting Works-동별산출(수정)" xfId="1208" xr:uid="{00000000-0005-0000-0000-0000E9020000}"/>
    <cellStyle name="_2001년만_1.2_직접공사비_자재비(건축) 2_2011.02.25-Plumbing, HVAC &amp; Fire Fighting Works-동별산출-추가아이템정리-2" xfId="1209" xr:uid="{00000000-0005-0000-0000-0000EA020000}"/>
    <cellStyle name="_2001년만_1.2_직접공사비_자재비(건축) 2_4.Plumbing, HVAC &amp; Fire Fighting Works-동별산출" xfId="1210" xr:uid="{00000000-0005-0000-0000-0000EB020000}"/>
    <cellStyle name="_2001년만_2001예산배정액 및 내역2" xfId="1211" xr:uid="{00000000-0005-0000-0000-0000EC020000}"/>
    <cellStyle name="_2001년만_2001예산배정액 및 내역2 2" xfId="1212" xr:uid="{00000000-0005-0000-0000-0000ED020000}"/>
    <cellStyle name="_2001년만_2001예산배정액 및 내역2 2_2011.02.24-Plumbing, HVAC &amp; Fire Fighting Works-동별산출(수정)" xfId="1213" xr:uid="{00000000-0005-0000-0000-0000EE020000}"/>
    <cellStyle name="_2001년만_2001예산배정액 및 내역2 2_2011.02.25-Plumbing, HVAC &amp; Fire Fighting Works-동별산출-추가아이템정리-2" xfId="1214" xr:uid="{00000000-0005-0000-0000-0000EF020000}"/>
    <cellStyle name="_2001년만_2001예산배정액 및 내역2 2_4.Plumbing, HVAC &amp; Fire Fighting Works-동별산출" xfId="1215" xr:uid="{00000000-0005-0000-0000-0000F0020000}"/>
    <cellStyle name="_2001년만_2001예산배정액 및 내역2_1.2_직접공사비_자재비" xfId="1216" xr:uid="{00000000-0005-0000-0000-0000F1020000}"/>
    <cellStyle name="_2001년만_2001예산배정액 및 내역2_1.2_직접공사비_자재비 2" xfId="1217" xr:uid="{00000000-0005-0000-0000-0000F2020000}"/>
    <cellStyle name="_2001년만_2001예산배정액 및 내역2_1.2_직접공사비_자재비 2_2011.02.24-Plumbing, HVAC &amp; Fire Fighting Works-동별산출(수정)" xfId="1218" xr:uid="{00000000-0005-0000-0000-0000F3020000}"/>
    <cellStyle name="_2001년만_2001예산배정액 및 내역2_1.2_직접공사비_자재비 2_2011.02.25-Plumbing, HVAC &amp; Fire Fighting Works-동별산출-추가아이템정리-2" xfId="1219" xr:uid="{00000000-0005-0000-0000-0000F4020000}"/>
    <cellStyle name="_2001년만_2001예산배정액 및 내역2_1.2_직접공사비_자재비 2_4.Plumbing, HVAC &amp; Fire Fighting Works-동별산출" xfId="1220" xr:uid="{00000000-0005-0000-0000-0000F5020000}"/>
    <cellStyle name="_2001년만_2001예산배정액 및 내역2_1.2_직접공사비_자재비(건축)" xfId="1221" xr:uid="{00000000-0005-0000-0000-0000F6020000}"/>
    <cellStyle name="_2001년만_2001예산배정액 및 내역2_1.2_직접공사비_자재비(건축) 2" xfId="1222" xr:uid="{00000000-0005-0000-0000-0000F7020000}"/>
    <cellStyle name="_2001년만_2001예산배정액 및 내역2_1.2_직접공사비_자재비(건축) 2_2011.02.24-Plumbing, HVAC &amp; Fire Fighting Works-동별산출(수정)" xfId="1223" xr:uid="{00000000-0005-0000-0000-0000F8020000}"/>
    <cellStyle name="_2001년만_2001예산배정액 및 내역2_1.2_직접공사비_자재비(건축) 2_2011.02.25-Plumbing, HVAC &amp; Fire Fighting Works-동별산출-추가아이템정리-2" xfId="1224" xr:uid="{00000000-0005-0000-0000-0000F9020000}"/>
    <cellStyle name="_2001년만_2001예산배정액 및 내역2_1.2_직접공사비_자재비(건축) 2_4.Plumbing, HVAC &amp; Fire Fighting Works-동별산출" xfId="1225" xr:uid="{00000000-0005-0000-0000-0000FA020000}"/>
    <cellStyle name="_2001년만_2001예산배정액 및 내역2_4단계예산서" xfId="1226" xr:uid="{00000000-0005-0000-0000-0000FB020000}"/>
    <cellStyle name="_2001년만_2001예산배정액 및 내역2_4단계예산서 2" xfId="1227" xr:uid="{00000000-0005-0000-0000-0000FC020000}"/>
    <cellStyle name="_2001년만_2001예산배정액 및 내역2_4단계예산서 2_2011.02.24-Plumbing, HVAC &amp; Fire Fighting Works-동별산출(수정)" xfId="1228" xr:uid="{00000000-0005-0000-0000-0000FD020000}"/>
    <cellStyle name="_2001년만_2001예산배정액 및 내역2_4단계예산서 2_2011.02.25-Plumbing, HVAC &amp; Fire Fighting Works-동별산출-추가아이템정리-2" xfId="1229" xr:uid="{00000000-0005-0000-0000-0000FE020000}"/>
    <cellStyle name="_2001년만_2001예산배정액 및 내역2_4단계예산서 2_4.Plumbing, HVAC &amp; Fire Fighting Works-동별산출" xfId="1230" xr:uid="{00000000-0005-0000-0000-0000FF020000}"/>
    <cellStyle name="_2001년만_2001예산배정액 및 내역2_4단계예산서_1.2_직접공사비_자재비" xfId="1231" xr:uid="{00000000-0005-0000-0000-000000030000}"/>
    <cellStyle name="_2001년만_2001예산배정액 및 내역2_4단계예산서_1.2_직접공사비_자재비 2" xfId="1232" xr:uid="{00000000-0005-0000-0000-000001030000}"/>
    <cellStyle name="_2001년만_2001예산배정액 및 내역2_4단계예산서_1.2_직접공사비_자재비 2_2011.02.24-Plumbing, HVAC &amp; Fire Fighting Works-동별산출(수정)" xfId="1233" xr:uid="{00000000-0005-0000-0000-000002030000}"/>
    <cellStyle name="_2001년만_2001예산배정액 및 내역2_4단계예산서_1.2_직접공사비_자재비 2_2011.02.25-Plumbing, HVAC &amp; Fire Fighting Works-동별산출-추가아이템정리-2" xfId="1234" xr:uid="{00000000-0005-0000-0000-000003030000}"/>
    <cellStyle name="_2001년만_2001예산배정액 및 내역2_4단계예산서_1.2_직접공사비_자재비 2_4.Plumbing, HVAC &amp; Fire Fighting Works-동별산출" xfId="1235" xr:uid="{00000000-0005-0000-0000-000004030000}"/>
    <cellStyle name="_2001년만_2001예산배정액 및 내역2_4단계예산서_1.2_직접공사비_자재비(건축)" xfId="1236" xr:uid="{00000000-0005-0000-0000-000005030000}"/>
    <cellStyle name="_2001년만_2001예산배정액 및 내역2_4단계예산서_1.2_직접공사비_자재비(건축) 2" xfId="1237" xr:uid="{00000000-0005-0000-0000-000006030000}"/>
    <cellStyle name="_2001년만_2001예산배정액 및 내역2_4단계예산서_1.2_직접공사비_자재비(건축) 2_2011.02.24-Plumbing, HVAC &amp; Fire Fighting Works-동별산출(수정)" xfId="1238" xr:uid="{00000000-0005-0000-0000-000007030000}"/>
    <cellStyle name="_2001년만_2001예산배정액 및 내역2_4단계예산서_1.2_직접공사비_자재비(건축) 2_2011.02.25-Plumbing, HVAC &amp; Fire Fighting Works-동별산출-추가아이템정리-2" xfId="1239" xr:uid="{00000000-0005-0000-0000-000008030000}"/>
    <cellStyle name="_2001년만_2001예산배정액 및 내역2_4단계예산서_1.2_직접공사비_자재비(건축) 2_4.Plumbing, HVAC &amp; Fire Fighting Works-동별산출" xfId="1240" xr:uid="{00000000-0005-0000-0000-000009030000}"/>
    <cellStyle name="_2001년만_2001예산배정액 및 내역2_4단계예산서_가실행 내역서(전기)050923" xfId="1241" xr:uid="{00000000-0005-0000-0000-00000A030000}"/>
    <cellStyle name="_2001년만_2001예산배정액 및 내역2_4단계예산서_가실행 내역서(전기)050923 2" xfId="1242" xr:uid="{00000000-0005-0000-0000-00000B030000}"/>
    <cellStyle name="_2001년만_2001예산배정액 및 내역2_4단계예산서_가실행 내역서(전기)050923 2_2011.02.24-Plumbing, HVAC &amp; Fire Fighting Works-동별산출(수정)" xfId="1243" xr:uid="{00000000-0005-0000-0000-00000C030000}"/>
    <cellStyle name="_2001년만_2001예산배정액 및 내역2_4단계예산서_가실행 내역서(전기)050923 2_2011.02.25-Plumbing, HVAC &amp; Fire Fighting Works-동별산출-추가아이템정리-2" xfId="1244" xr:uid="{00000000-0005-0000-0000-00000D030000}"/>
    <cellStyle name="_2001년만_2001예산배정액 및 내역2_4단계예산서_가실행 내역서(전기)050923 2_4.Plumbing, HVAC &amp; Fire Fighting Works-동별산출" xfId="1245" xr:uid="{00000000-0005-0000-0000-00000E030000}"/>
    <cellStyle name="_2001년만_2001예산배정액 및 내역2_4단계예산서_가실행 내역서(전기)050923_1.2_직접공사비_자재비" xfId="1246" xr:uid="{00000000-0005-0000-0000-00000F030000}"/>
    <cellStyle name="_2001년만_2001예산배정액 및 내역2_4단계예산서_가실행 내역서(전기)050923_1.2_직접공사비_자재비 2" xfId="1247" xr:uid="{00000000-0005-0000-0000-000010030000}"/>
    <cellStyle name="_2001년만_2001예산배정액 및 내역2_4단계예산서_가실행 내역서(전기)050923_1.2_직접공사비_자재비 2_2011.02.24-Plumbing, HVAC &amp; Fire Fighting Works-동별산출(수정)" xfId="1248" xr:uid="{00000000-0005-0000-0000-000011030000}"/>
    <cellStyle name="_2001년만_2001예산배정액 및 내역2_4단계예산서_가실행 내역서(전기)050923_1.2_직접공사비_자재비 2_2011.02.25-Plumbing, HVAC &amp; Fire Fighting Works-동별산출-추가아이템정리-2" xfId="1249" xr:uid="{00000000-0005-0000-0000-000012030000}"/>
    <cellStyle name="_2001년만_2001예산배정액 및 내역2_4단계예산서_가실행 내역서(전기)050923_1.2_직접공사비_자재비 2_4.Plumbing, HVAC &amp; Fire Fighting Works-동별산출" xfId="1250" xr:uid="{00000000-0005-0000-0000-000013030000}"/>
    <cellStyle name="_2001년만_2001예산배정액 및 내역2_4단계예산서_가실행 내역서(전기)050923_1.2_직접공사비_자재비(건축)" xfId="1251" xr:uid="{00000000-0005-0000-0000-000014030000}"/>
    <cellStyle name="_2001년만_2001예산배정액 및 내역2_4단계예산서_가실행 내역서(전기)050923_1.2_직접공사비_자재비(건축) 2" xfId="1252" xr:uid="{00000000-0005-0000-0000-000015030000}"/>
    <cellStyle name="_2001년만_2001예산배정액 및 내역2_4단계예산서_가실행 내역서(전기)050923_1.2_직접공사비_자재비(건축) 2_2011.02.24-Plumbing, HVAC &amp; Fire Fighting Works-동별산출(수정)" xfId="1253" xr:uid="{00000000-0005-0000-0000-000016030000}"/>
    <cellStyle name="_2001년만_2001예산배정액 및 내역2_4단계예산서_가실행 내역서(전기)050923_1.2_직접공사비_자재비(건축) 2_2011.02.25-Plumbing, HVAC &amp; Fire Fighting Works-동별산출-추가아이템정리-2" xfId="1254" xr:uid="{00000000-0005-0000-0000-000017030000}"/>
    <cellStyle name="_2001년만_2001예산배정액 및 내역2_4단계예산서_가실행 내역서(전기)050923_1.2_직접공사비_자재비(건축) 2_4.Plumbing, HVAC &amp; Fire Fighting Works-동별산출" xfId="1255" xr:uid="{00000000-0005-0000-0000-000018030000}"/>
    <cellStyle name="_2001년만_2001예산배정액 및 내역2_가실행 내역서(전기)050923" xfId="1256" xr:uid="{00000000-0005-0000-0000-000019030000}"/>
    <cellStyle name="_2001년만_2001예산배정액 및 내역2_가실행 내역서(전기)050923 2" xfId="1257" xr:uid="{00000000-0005-0000-0000-00001A030000}"/>
    <cellStyle name="_2001년만_2001예산배정액 및 내역2_가실행 내역서(전기)050923 2_2011.02.24-Plumbing, HVAC &amp; Fire Fighting Works-동별산출(수정)" xfId="1258" xr:uid="{00000000-0005-0000-0000-00001B030000}"/>
    <cellStyle name="_2001년만_2001예산배정액 및 내역2_가실행 내역서(전기)050923 2_2011.02.25-Plumbing, HVAC &amp; Fire Fighting Works-동별산출-추가아이템정리-2" xfId="1259" xr:uid="{00000000-0005-0000-0000-00001C030000}"/>
    <cellStyle name="_2001년만_2001예산배정액 및 내역2_가실행 내역서(전기)050923 2_4.Plumbing, HVAC &amp; Fire Fighting Works-동별산출" xfId="1260" xr:uid="{00000000-0005-0000-0000-00001D030000}"/>
    <cellStyle name="_2001년만_2001예산배정액 및 내역2_가실행 내역서(전기)050923_1.2_직접공사비_자재비" xfId="1261" xr:uid="{00000000-0005-0000-0000-00001E030000}"/>
    <cellStyle name="_2001년만_2001예산배정액 및 내역2_가실행 내역서(전기)050923_1.2_직접공사비_자재비 2" xfId="1262" xr:uid="{00000000-0005-0000-0000-00001F030000}"/>
    <cellStyle name="_2001년만_2001예산배정액 및 내역2_가실행 내역서(전기)050923_1.2_직접공사비_자재비 2_2011.02.24-Plumbing, HVAC &amp; Fire Fighting Works-동별산출(수정)" xfId="1263" xr:uid="{00000000-0005-0000-0000-000020030000}"/>
    <cellStyle name="_2001년만_2001예산배정액 및 내역2_가실행 내역서(전기)050923_1.2_직접공사비_자재비 2_2011.02.25-Plumbing, HVAC &amp; Fire Fighting Works-동별산출-추가아이템정리-2" xfId="1264" xr:uid="{00000000-0005-0000-0000-000021030000}"/>
    <cellStyle name="_2001년만_2001예산배정액 및 내역2_가실행 내역서(전기)050923_1.2_직접공사비_자재비 2_4.Plumbing, HVAC &amp; Fire Fighting Works-동별산출" xfId="1265" xr:uid="{00000000-0005-0000-0000-000022030000}"/>
    <cellStyle name="_2001년만_2001예산배정액 및 내역2_가실행 내역서(전기)050923_1.2_직접공사비_자재비(건축)" xfId="1266" xr:uid="{00000000-0005-0000-0000-000023030000}"/>
    <cellStyle name="_2001년만_2001예산배정액 및 내역2_가실행 내역서(전기)050923_1.2_직접공사비_자재비(건축) 2" xfId="1267" xr:uid="{00000000-0005-0000-0000-000024030000}"/>
    <cellStyle name="_2001년만_2001예산배정액 및 내역2_가실행 내역서(전기)050923_1.2_직접공사비_자재비(건축) 2_2011.02.24-Plumbing, HVAC &amp; Fire Fighting Works-동별산출(수정)" xfId="1268" xr:uid="{00000000-0005-0000-0000-000025030000}"/>
    <cellStyle name="_2001년만_2001예산배정액 및 내역2_가실행 내역서(전기)050923_1.2_직접공사비_자재비(건축) 2_2011.02.25-Plumbing, HVAC &amp; Fire Fighting Works-동별산출-추가아이템정리-2" xfId="1269" xr:uid="{00000000-0005-0000-0000-000026030000}"/>
    <cellStyle name="_2001년만_2001예산배정액 및 내역2_가실행 내역서(전기)050923_1.2_직접공사비_자재비(건축) 2_4.Plumbing, HVAC &amp; Fire Fighting Works-동별산출" xfId="1270" xr:uid="{00000000-0005-0000-0000-000027030000}"/>
    <cellStyle name="_2001년만_4단계예산서" xfId="1271" xr:uid="{00000000-0005-0000-0000-000028030000}"/>
    <cellStyle name="_2001년만_4단계예산서 2" xfId="1272" xr:uid="{00000000-0005-0000-0000-000029030000}"/>
    <cellStyle name="_2001년만_4단계예산서 2_2011.02.24-Plumbing, HVAC &amp; Fire Fighting Works-동별산출(수정)" xfId="1273" xr:uid="{00000000-0005-0000-0000-00002A030000}"/>
    <cellStyle name="_2001년만_4단계예산서 2_2011.02.25-Plumbing, HVAC &amp; Fire Fighting Works-동별산출-추가아이템정리-2" xfId="1274" xr:uid="{00000000-0005-0000-0000-00002B030000}"/>
    <cellStyle name="_2001년만_4단계예산서 2_4.Plumbing, HVAC &amp; Fire Fighting Works-동별산출" xfId="1275" xr:uid="{00000000-0005-0000-0000-00002C030000}"/>
    <cellStyle name="_2001년만_4단계예산서_1.2_직접공사비_자재비" xfId="1276" xr:uid="{00000000-0005-0000-0000-00002D030000}"/>
    <cellStyle name="_2001년만_4단계예산서_1.2_직접공사비_자재비 2" xfId="1277" xr:uid="{00000000-0005-0000-0000-00002E030000}"/>
    <cellStyle name="_2001년만_4단계예산서_1.2_직접공사비_자재비 2_2011.02.24-Plumbing, HVAC &amp; Fire Fighting Works-동별산출(수정)" xfId="1278" xr:uid="{00000000-0005-0000-0000-00002F030000}"/>
    <cellStyle name="_2001년만_4단계예산서_1.2_직접공사비_자재비 2_2011.02.25-Plumbing, HVAC &amp; Fire Fighting Works-동별산출-추가아이템정리-2" xfId="1279" xr:uid="{00000000-0005-0000-0000-000030030000}"/>
    <cellStyle name="_2001년만_4단계예산서_1.2_직접공사비_자재비 2_4.Plumbing, HVAC &amp; Fire Fighting Works-동별산출" xfId="1280" xr:uid="{00000000-0005-0000-0000-000031030000}"/>
    <cellStyle name="_2001년만_4단계예산서_1.2_직접공사비_자재비(건축)" xfId="1281" xr:uid="{00000000-0005-0000-0000-000032030000}"/>
    <cellStyle name="_2001년만_4단계예산서_1.2_직접공사비_자재비(건축) 2" xfId="1282" xr:uid="{00000000-0005-0000-0000-000033030000}"/>
    <cellStyle name="_2001년만_4단계예산서_1.2_직접공사비_자재비(건축) 2_2011.02.24-Plumbing, HVAC &amp; Fire Fighting Works-동별산출(수정)" xfId="1283" xr:uid="{00000000-0005-0000-0000-000034030000}"/>
    <cellStyle name="_2001년만_4단계예산서_1.2_직접공사비_자재비(건축) 2_2011.02.25-Plumbing, HVAC &amp; Fire Fighting Works-동별산출-추가아이템정리-2" xfId="1284" xr:uid="{00000000-0005-0000-0000-000035030000}"/>
    <cellStyle name="_2001년만_4단계예산서_1.2_직접공사비_자재비(건축) 2_4.Plumbing, HVAC &amp; Fire Fighting Works-동별산출" xfId="1285" xr:uid="{00000000-0005-0000-0000-000036030000}"/>
    <cellStyle name="_2001년만_4단계예산서_가실행 내역서(전기)050923" xfId="1286" xr:uid="{00000000-0005-0000-0000-000037030000}"/>
    <cellStyle name="_2001년만_4단계예산서_가실행 내역서(전기)050923 2" xfId="1287" xr:uid="{00000000-0005-0000-0000-000038030000}"/>
    <cellStyle name="_2001년만_4단계예산서_가실행 내역서(전기)050923 2_2011.02.24-Plumbing, HVAC &amp; Fire Fighting Works-동별산출(수정)" xfId="1288" xr:uid="{00000000-0005-0000-0000-000039030000}"/>
    <cellStyle name="_2001년만_4단계예산서_가실행 내역서(전기)050923 2_2011.02.25-Plumbing, HVAC &amp; Fire Fighting Works-동별산출-추가아이템정리-2" xfId="1289" xr:uid="{00000000-0005-0000-0000-00003A030000}"/>
    <cellStyle name="_2001년만_4단계예산서_가실행 내역서(전기)050923 2_4.Plumbing, HVAC &amp; Fire Fighting Works-동별산출" xfId="1290" xr:uid="{00000000-0005-0000-0000-00003B030000}"/>
    <cellStyle name="_2001년만_4단계예산서_가실행 내역서(전기)050923_1.2_직접공사비_자재비" xfId="1291" xr:uid="{00000000-0005-0000-0000-00003C030000}"/>
    <cellStyle name="_2001년만_4단계예산서_가실행 내역서(전기)050923_1.2_직접공사비_자재비 2" xfId="1292" xr:uid="{00000000-0005-0000-0000-00003D030000}"/>
    <cellStyle name="_2001년만_4단계예산서_가실행 내역서(전기)050923_1.2_직접공사비_자재비 2_2011.02.24-Plumbing, HVAC &amp; Fire Fighting Works-동별산출(수정)" xfId="1293" xr:uid="{00000000-0005-0000-0000-00003E030000}"/>
    <cellStyle name="_2001년만_4단계예산서_가실행 내역서(전기)050923_1.2_직접공사비_자재비 2_2011.02.25-Plumbing, HVAC &amp; Fire Fighting Works-동별산출-추가아이템정리-2" xfId="1294" xr:uid="{00000000-0005-0000-0000-00003F030000}"/>
    <cellStyle name="_2001년만_4단계예산서_가실행 내역서(전기)050923_1.2_직접공사비_자재비 2_4.Plumbing, HVAC &amp; Fire Fighting Works-동별산출" xfId="1295" xr:uid="{00000000-0005-0000-0000-000040030000}"/>
    <cellStyle name="_2001년만_4단계예산서_가실행 내역서(전기)050923_1.2_직접공사비_자재비(건축)" xfId="1296" xr:uid="{00000000-0005-0000-0000-000041030000}"/>
    <cellStyle name="_2001년만_4단계예산서_가실행 내역서(전기)050923_1.2_직접공사비_자재비(건축) 2" xfId="1297" xr:uid="{00000000-0005-0000-0000-000042030000}"/>
    <cellStyle name="_2001년만_4단계예산서_가실행 내역서(전기)050923_1.2_직접공사비_자재비(건축) 2_2011.02.24-Plumbing, HVAC &amp; Fire Fighting Works-동별산출(수정)" xfId="1298" xr:uid="{00000000-0005-0000-0000-000043030000}"/>
    <cellStyle name="_2001년만_4단계예산서_가실행 내역서(전기)050923_1.2_직접공사비_자재비(건축) 2_2011.02.25-Plumbing, HVAC &amp; Fire Fighting Works-동별산출-추가아이템정리-2" xfId="1299" xr:uid="{00000000-0005-0000-0000-000044030000}"/>
    <cellStyle name="_2001년만_4단계예산서_가실행 내역서(전기)050923_1.2_직접공사비_자재비(건축) 2_4.Plumbing, HVAC &amp; Fire Fighting Works-동별산출" xfId="1300" xr:uid="{00000000-0005-0000-0000-000045030000}"/>
    <cellStyle name="_2001년만_가실행 내역서(전기)050923" xfId="1301" xr:uid="{00000000-0005-0000-0000-000046030000}"/>
    <cellStyle name="_2001년만_가실행 내역서(전기)050923 2" xfId="1302" xr:uid="{00000000-0005-0000-0000-000047030000}"/>
    <cellStyle name="_2001년만_가실행 내역서(전기)050923 2_2011.02.24-Plumbing, HVAC &amp; Fire Fighting Works-동별산출(수정)" xfId="1303" xr:uid="{00000000-0005-0000-0000-000048030000}"/>
    <cellStyle name="_2001년만_가실행 내역서(전기)050923 2_2011.02.25-Plumbing, HVAC &amp; Fire Fighting Works-동별산출-추가아이템정리-2" xfId="1304" xr:uid="{00000000-0005-0000-0000-000049030000}"/>
    <cellStyle name="_2001년만_가실행 내역서(전기)050923 2_4.Plumbing, HVAC &amp; Fire Fighting Works-동별산출" xfId="1305" xr:uid="{00000000-0005-0000-0000-00004A030000}"/>
    <cellStyle name="_2001년만_가실행 내역서(전기)050923_1.2_직접공사비_자재비" xfId="1306" xr:uid="{00000000-0005-0000-0000-00004B030000}"/>
    <cellStyle name="_2001년만_가실행 내역서(전기)050923_1.2_직접공사비_자재비 2" xfId="1307" xr:uid="{00000000-0005-0000-0000-00004C030000}"/>
    <cellStyle name="_2001년만_가실행 내역서(전기)050923_1.2_직접공사비_자재비 2_2011.02.24-Plumbing, HVAC &amp; Fire Fighting Works-동별산출(수정)" xfId="1308" xr:uid="{00000000-0005-0000-0000-00004D030000}"/>
    <cellStyle name="_2001년만_가실행 내역서(전기)050923_1.2_직접공사비_자재비 2_2011.02.25-Plumbing, HVAC &amp; Fire Fighting Works-동별산출-추가아이템정리-2" xfId="1309" xr:uid="{00000000-0005-0000-0000-00004E030000}"/>
    <cellStyle name="_2001년만_가실행 내역서(전기)050923_1.2_직접공사비_자재비 2_4.Plumbing, HVAC &amp; Fire Fighting Works-동별산출" xfId="1310" xr:uid="{00000000-0005-0000-0000-00004F030000}"/>
    <cellStyle name="_2001년만_가실행 내역서(전기)050923_1.2_직접공사비_자재비(건축)" xfId="1311" xr:uid="{00000000-0005-0000-0000-000050030000}"/>
    <cellStyle name="_2001년만_가실행 내역서(전기)050923_1.2_직접공사비_자재비(건축) 2" xfId="1312" xr:uid="{00000000-0005-0000-0000-000051030000}"/>
    <cellStyle name="_2001년만_가실행 내역서(전기)050923_1.2_직접공사비_자재비(건축) 2_2011.02.24-Plumbing, HVAC &amp; Fire Fighting Works-동별산출(수정)" xfId="1313" xr:uid="{00000000-0005-0000-0000-000052030000}"/>
    <cellStyle name="_2001년만_가실행 내역서(전기)050923_1.2_직접공사비_자재비(건축) 2_2011.02.25-Plumbing, HVAC &amp; Fire Fighting Works-동별산출-추가아이템정리-2" xfId="1314" xr:uid="{00000000-0005-0000-0000-000053030000}"/>
    <cellStyle name="_2001년만_가실행 내역서(전기)050923_1.2_직접공사비_자재비(건축) 2_4.Plumbing, HVAC &amp; Fire Fighting Works-동별산출" xfId="1315" xr:uid="{00000000-0005-0000-0000-000054030000}"/>
    <cellStyle name="_2001예산배정액 및 내역" xfId="1316" xr:uid="{00000000-0005-0000-0000-000055030000}"/>
    <cellStyle name="_2001예산배정액 및 내역 2" xfId="1317" xr:uid="{00000000-0005-0000-0000-000056030000}"/>
    <cellStyle name="_2001예산배정액 및 내역 2_2011.02.24-Plumbing, HVAC &amp; Fire Fighting Works-동별산출(수정)" xfId="1318" xr:uid="{00000000-0005-0000-0000-000057030000}"/>
    <cellStyle name="_2001예산배정액 및 내역 2_2011.02.25-Plumbing, HVAC &amp; Fire Fighting Works-동별산출-추가아이템정리-2" xfId="1319" xr:uid="{00000000-0005-0000-0000-000058030000}"/>
    <cellStyle name="_2001예산배정액 및 내역 2_4.Plumbing, HVAC &amp; Fire Fighting Works-동별산출" xfId="1320" xr:uid="{00000000-0005-0000-0000-000059030000}"/>
    <cellStyle name="_2001예산배정액 및 내역_1.2_직접공사비_자재비" xfId="1321" xr:uid="{00000000-0005-0000-0000-00005A030000}"/>
    <cellStyle name="_2001예산배정액 및 내역_1.2_직접공사비_자재비 2" xfId="1322" xr:uid="{00000000-0005-0000-0000-00005B030000}"/>
    <cellStyle name="_2001예산배정액 및 내역_1.2_직접공사비_자재비 2_2011.02.24-Plumbing, HVAC &amp; Fire Fighting Works-동별산출(수정)" xfId="1323" xr:uid="{00000000-0005-0000-0000-00005C030000}"/>
    <cellStyle name="_2001예산배정액 및 내역_1.2_직접공사비_자재비 2_2011.02.25-Plumbing, HVAC &amp; Fire Fighting Works-동별산출-추가아이템정리-2" xfId="1324" xr:uid="{00000000-0005-0000-0000-00005D030000}"/>
    <cellStyle name="_2001예산배정액 및 내역_1.2_직접공사비_자재비 2_4.Plumbing, HVAC &amp; Fire Fighting Works-동별산출" xfId="1325" xr:uid="{00000000-0005-0000-0000-00005E030000}"/>
    <cellStyle name="_2001예산배정액 및 내역_1.2_직접공사비_자재비(건축)" xfId="1326" xr:uid="{00000000-0005-0000-0000-00005F030000}"/>
    <cellStyle name="_2001예산배정액 및 내역_1.2_직접공사비_자재비(건축) 2" xfId="1327" xr:uid="{00000000-0005-0000-0000-000060030000}"/>
    <cellStyle name="_2001예산배정액 및 내역_1.2_직접공사비_자재비(건축) 2_2011.02.24-Plumbing, HVAC &amp; Fire Fighting Works-동별산출(수정)" xfId="1328" xr:uid="{00000000-0005-0000-0000-000061030000}"/>
    <cellStyle name="_2001예산배정액 및 내역_1.2_직접공사비_자재비(건축) 2_2011.02.25-Plumbing, HVAC &amp; Fire Fighting Works-동별산출-추가아이템정리-2" xfId="1329" xr:uid="{00000000-0005-0000-0000-000062030000}"/>
    <cellStyle name="_2001예산배정액 및 내역_1.2_직접공사비_자재비(건축) 2_4.Plumbing, HVAC &amp; Fire Fighting Works-동별산출" xfId="1330" xr:uid="{00000000-0005-0000-0000-000063030000}"/>
    <cellStyle name="_2001예산배정액 및 내역_4단계예산서" xfId="1331" xr:uid="{00000000-0005-0000-0000-000064030000}"/>
    <cellStyle name="_2001예산배정액 및 내역_4단계예산서 2" xfId="1332" xr:uid="{00000000-0005-0000-0000-000065030000}"/>
    <cellStyle name="_2001예산배정액 및 내역_4단계예산서 2_2011.02.24-Plumbing, HVAC &amp; Fire Fighting Works-동별산출(수정)" xfId="1333" xr:uid="{00000000-0005-0000-0000-000066030000}"/>
    <cellStyle name="_2001예산배정액 및 내역_4단계예산서 2_2011.02.25-Plumbing, HVAC &amp; Fire Fighting Works-동별산출-추가아이템정리-2" xfId="1334" xr:uid="{00000000-0005-0000-0000-000067030000}"/>
    <cellStyle name="_2001예산배정액 및 내역_4단계예산서 2_4.Plumbing, HVAC &amp; Fire Fighting Works-동별산출" xfId="1335" xr:uid="{00000000-0005-0000-0000-000068030000}"/>
    <cellStyle name="_2001예산배정액 및 내역_4단계예산서_1.2_직접공사비_자재비" xfId="1336" xr:uid="{00000000-0005-0000-0000-000069030000}"/>
    <cellStyle name="_2001예산배정액 및 내역_4단계예산서_1.2_직접공사비_자재비 2" xfId="1337" xr:uid="{00000000-0005-0000-0000-00006A030000}"/>
    <cellStyle name="_2001예산배정액 및 내역_4단계예산서_1.2_직접공사비_자재비 2_2011.02.24-Plumbing, HVAC &amp; Fire Fighting Works-동별산출(수정)" xfId="1338" xr:uid="{00000000-0005-0000-0000-00006B030000}"/>
    <cellStyle name="_2001예산배정액 및 내역_4단계예산서_1.2_직접공사비_자재비 2_2011.02.25-Plumbing, HVAC &amp; Fire Fighting Works-동별산출-추가아이템정리-2" xfId="1339" xr:uid="{00000000-0005-0000-0000-00006C030000}"/>
    <cellStyle name="_2001예산배정액 및 내역_4단계예산서_1.2_직접공사비_자재비 2_4.Plumbing, HVAC &amp; Fire Fighting Works-동별산출" xfId="1340" xr:uid="{00000000-0005-0000-0000-00006D030000}"/>
    <cellStyle name="_2001예산배정액 및 내역_4단계예산서_1.2_직접공사비_자재비(건축)" xfId="1341" xr:uid="{00000000-0005-0000-0000-00006E030000}"/>
    <cellStyle name="_2001예산배정액 및 내역_4단계예산서_1.2_직접공사비_자재비(건축) 2" xfId="1342" xr:uid="{00000000-0005-0000-0000-00006F030000}"/>
    <cellStyle name="_2001예산배정액 및 내역_4단계예산서_1.2_직접공사비_자재비(건축) 2_2011.02.24-Plumbing, HVAC &amp; Fire Fighting Works-동별산출(수정)" xfId="1343" xr:uid="{00000000-0005-0000-0000-000070030000}"/>
    <cellStyle name="_2001예산배정액 및 내역_4단계예산서_1.2_직접공사비_자재비(건축) 2_2011.02.25-Plumbing, HVAC &amp; Fire Fighting Works-동별산출-추가아이템정리-2" xfId="1344" xr:uid="{00000000-0005-0000-0000-000071030000}"/>
    <cellStyle name="_2001예산배정액 및 내역_4단계예산서_1.2_직접공사비_자재비(건축) 2_4.Plumbing, HVAC &amp; Fire Fighting Works-동별산출" xfId="1345" xr:uid="{00000000-0005-0000-0000-000072030000}"/>
    <cellStyle name="_2001예산배정액 및 내역_4단계예산서_가실행 내역서(전기)050923" xfId="1346" xr:uid="{00000000-0005-0000-0000-000073030000}"/>
    <cellStyle name="_2001예산배정액 및 내역_4단계예산서_가실행 내역서(전기)050923 2" xfId="1347" xr:uid="{00000000-0005-0000-0000-000074030000}"/>
    <cellStyle name="_2001예산배정액 및 내역_4단계예산서_가실행 내역서(전기)050923 2_2011.02.24-Plumbing, HVAC &amp; Fire Fighting Works-동별산출(수정)" xfId="1348" xr:uid="{00000000-0005-0000-0000-000075030000}"/>
    <cellStyle name="_2001예산배정액 및 내역_4단계예산서_가실행 내역서(전기)050923 2_2011.02.25-Plumbing, HVAC &amp; Fire Fighting Works-동별산출-추가아이템정리-2" xfId="1349" xr:uid="{00000000-0005-0000-0000-000076030000}"/>
    <cellStyle name="_2001예산배정액 및 내역_4단계예산서_가실행 내역서(전기)050923 2_4.Plumbing, HVAC &amp; Fire Fighting Works-동별산출" xfId="1350" xr:uid="{00000000-0005-0000-0000-000077030000}"/>
    <cellStyle name="_2001예산배정액 및 내역_4단계예산서_가실행 내역서(전기)050923_1.2_직접공사비_자재비" xfId="1351" xr:uid="{00000000-0005-0000-0000-000078030000}"/>
    <cellStyle name="_2001예산배정액 및 내역_4단계예산서_가실행 내역서(전기)050923_1.2_직접공사비_자재비 2" xfId="1352" xr:uid="{00000000-0005-0000-0000-000079030000}"/>
    <cellStyle name="_2001예산배정액 및 내역_4단계예산서_가실행 내역서(전기)050923_1.2_직접공사비_자재비 2_2011.02.24-Plumbing, HVAC &amp; Fire Fighting Works-동별산출(수정)" xfId="1353" xr:uid="{00000000-0005-0000-0000-00007A030000}"/>
    <cellStyle name="_2001예산배정액 및 내역_4단계예산서_가실행 내역서(전기)050923_1.2_직접공사비_자재비 2_2011.02.25-Plumbing, HVAC &amp; Fire Fighting Works-동별산출-추가아이템정리-2" xfId="1354" xr:uid="{00000000-0005-0000-0000-00007B030000}"/>
    <cellStyle name="_2001예산배정액 및 내역_4단계예산서_가실행 내역서(전기)050923_1.2_직접공사비_자재비 2_4.Plumbing, HVAC &amp; Fire Fighting Works-동별산출" xfId="1355" xr:uid="{00000000-0005-0000-0000-00007C030000}"/>
    <cellStyle name="_2001예산배정액 및 내역_4단계예산서_가실행 내역서(전기)050923_1.2_직접공사비_자재비(건축)" xfId="1356" xr:uid="{00000000-0005-0000-0000-00007D030000}"/>
    <cellStyle name="_2001예산배정액 및 내역_4단계예산서_가실행 내역서(전기)050923_1.2_직접공사비_자재비(건축) 2" xfId="1357" xr:uid="{00000000-0005-0000-0000-00007E030000}"/>
    <cellStyle name="_2001예산배정액 및 내역_4단계예산서_가실행 내역서(전기)050923_1.2_직접공사비_자재비(건축) 2_2011.02.24-Plumbing, HVAC &amp; Fire Fighting Works-동별산출(수정)" xfId="1358" xr:uid="{00000000-0005-0000-0000-00007F030000}"/>
    <cellStyle name="_2001예산배정액 및 내역_4단계예산서_가실행 내역서(전기)050923_1.2_직접공사비_자재비(건축) 2_2011.02.25-Plumbing, HVAC &amp; Fire Fighting Works-동별산출-추가아이템정리-2" xfId="1359" xr:uid="{00000000-0005-0000-0000-000080030000}"/>
    <cellStyle name="_2001예산배정액 및 내역_4단계예산서_가실행 내역서(전기)050923_1.2_직접공사비_자재비(건축) 2_4.Plumbing, HVAC &amp; Fire Fighting Works-동별산출" xfId="1360" xr:uid="{00000000-0005-0000-0000-000081030000}"/>
    <cellStyle name="_2001예산배정액 및 내역_가실행 내역서(전기)050923" xfId="1361" xr:uid="{00000000-0005-0000-0000-000082030000}"/>
    <cellStyle name="_2001예산배정액 및 내역_가실행 내역서(전기)050923 2" xfId="1362" xr:uid="{00000000-0005-0000-0000-000083030000}"/>
    <cellStyle name="_2001예산배정액 및 내역_가실행 내역서(전기)050923 2_2011.02.24-Plumbing, HVAC &amp; Fire Fighting Works-동별산출(수정)" xfId="1363" xr:uid="{00000000-0005-0000-0000-000084030000}"/>
    <cellStyle name="_2001예산배정액 및 내역_가실행 내역서(전기)050923 2_2011.02.25-Plumbing, HVAC &amp; Fire Fighting Works-동별산출-추가아이템정리-2" xfId="1364" xr:uid="{00000000-0005-0000-0000-000085030000}"/>
    <cellStyle name="_2001예산배정액 및 내역_가실행 내역서(전기)050923 2_4.Plumbing, HVAC &amp; Fire Fighting Works-동별산출" xfId="1365" xr:uid="{00000000-0005-0000-0000-000086030000}"/>
    <cellStyle name="_2001예산배정액 및 내역_가실행 내역서(전기)050923_1.2_직접공사비_자재비" xfId="1366" xr:uid="{00000000-0005-0000-0000-000087030000}"/>
    <cellStyle name="_2001예산배정액 및 내역_가실행 내역서(전기)050923_1.2_직접공사비_자재비 2" xfId="1367" xr:uid="{00000000-0005-0000-0000-000088030000}"/>
    <cellStyle name="_2001예산배정액 및 내역_가실행 내역서(전기)050923_1.2_직접공사비_자재비 2_2011.02.24-Plumbing, HVAC &amp; Fire Fighting Works-동별산출(수정)" xfId="1368" xr:uid="{00000000-0005-0000-0000-000089030000}"/>
    <cellStyle name="_2001예산배정액 및 내역_가실행 내역서(전기)050923_1.2_직접공사비_자재비 2_2011.02.25-Plumbing, HVAC &amp; Fire Fighting Works-동별산출-추가아이템정리-2" xfId="1369" xr:uid="{00000000-0005-0000-0000-00008A030000}"/>
    <cellStyle name="_2001예산배정액 및 내역_가실행 내역서(전기)050923_1.2_직접공사비_자재비 2_4.Plumbing, HVAC &amp; Fire Fighting Works-동별산출" xfId="1370" xr:uid="{00000000-0005-0000-0000-00008B030000}"/>
    <cellStyle name="_2001예산배정액 및 내역_가실행 내역서(전기)050923_1.2_직접공사비_자재비(건축)" xfId="1371" xr:uid="{00000000-0005-0000-0000-00008C030000}"/>
    <cellStyle name="_2001예산배정액 및 내역_가실행 내역서(전기)050923_1.2_직접공사비_자재비(건축) 2" xfId="1372" xr:uid="{00000000-0005-0000-0000-00008D030000}"/>
    <cellStyle name="_2001예산배정액 및 내역_가실행 내역서(전기)050923_1.2_직접공사비_자재비(건축) 2_2011.02.24-Plumbing, HVAC &amp; Fire Fighting Works-동별산출(수정)" xfId="1373" xr:uid="{00000000-0005-0000-0000-00008E030000}"/>
    <cellStyle name="_2001예산배정액 및 내역_가실행 내역서(전기)050923_1.2_직접공사비_자재비(건축) 2_2011.02.25-Plumbing, HVAC &amp; Fire Fighting Works-동별산출-추가아이템정리-2" xfId="1374" xr:uid="{00000000-0005-0000-0000-00008F030000}"/>
    <cellStyle name="_2001예산배정액 및 내역_가실행 내역서(전기)050923_1.2_직접공사비_자재비(건축) 2_4.Plumbing, HVAC &amp; Fire Fighting Works-동별산출" xfId="1375" xr:uid="{00000000-0005-0000-0000-000090030000}"/>
    <cellStyle name="_2001예산배정액 및 내역2" xfId="1376" xr:uid="{00000000-0005-0000-0000-000091030000}"/>
    <cellStyle name="_2001예산배정액 및 내역2 2" xfId="1377" xr:uid="{00000000-0005-0000-0000-000092030000}"/>
    <cellStyle name="_2001예산배정액 및 내역2 2_2011.02.24-Plumbing, HVAC &amp; Fire Fighting Works-동별산출(수정)" xfId="1378" xr:uid="{00000000-0005-0000-0000-000093030000}"/>
    <cellStyle name="_2001예산배정액 및 내역2 2_2011.02.25-Plumbing, HVAC &amp; Fire Fighting Works-동별산출-추가아이템정리-2" xfId="1379" xr:uid="{00000000-0005-0000-0000-000094030000}"/>
    <cellStyle name="_2001예산배정액 및 내역2 2_4.Plumbing, HVAC &amp; Fire Fighting Works-동별산출" xfId="1380" xr:uid="{00000000-0005-0000-0000-000095030000}"/>
    <cellStyle name="_2001예산배정액 및 내역2_1.2_직접공사비_자재비" xfId="1381" xr:uid="{00000000-0005-0000-0000-000096030000}"/>
    <cellStyle name="_2001예산배정액 및 내역2_1.2_직접공사비_자재비 2" xfId="1382" xr:uid="{00000000-0005-0000-0000-000097030000}"/>
    <cellStyle name="_2001예산배정액 및 내역2_1.2_직접공사비_자재비 2_2011.02.24-Plumbing, HVAC &amp; Fire Fighting Works-동별산출(수정)" xfId="1383" xr:uid="{00000000-0005-0000-0000-000098030000}"/>
    <cellStyle name="_2001예산배정액 및 내역2_1.2_직접공사비_자재비 2_2011.02.25-Plumbing, HVAC &amp; Fire Fighting Works-동별산출-추가아이템정리-2" xfId="1384" xr:uid="{00000000-0005-0000-0000-000099030000}"/>
    <cellStyle name="_2001예산배정액 및 내역2_1.2_직접공사비_자재비 2_4.Plumbing, HVAC &amp; Fire Fighting Works-동별산출" xfId="1385" xr:uid="{00000000-0005-0000-0000-00009A030000}"/>
    <cellStyle name="_2001예산배정액 및 내역2_1.2_직접공사비_자재비(건축)" xfId="1386" xr:uid="{00000000-0005-0000-0000-00009B030000}"/>
    <cellStyle name="_2001예산배정액 및 내역2_1.2_직접공사비_자재비(건축) 2" xfId="1387" xr:uid="{00000000-0005-0000-0000-00009C030000}"/>
    <cellStyle name="_2001예산배정액 및 내역2_1.2_직접공사비_자재비(건축) 2_2011.02.24-Plumbing, HVAC &amp; Fire Fighting Works-동별산출(수정)" xfId="1388" xr:uid="{00000000-0005-0000-0000-00009D030000}"/>
    <cellStyle name="_2001예산배정액 및 내역2_1.2_직접공사비_자재비(건축) 2_2011.02.25-Plumbing, HVAC &amp; Fire Fighting Works-동별산출-추가아이템정리-2" xfId="1389" xr:uid="{00000000-0005-0000-0000-00009E030000}"/>
    <cellStyle name="_2001예산배정액 및 내역2_1.2_직접공사비_자재비(건축) 2_4.Plumbing, HVAC &amp; Fire Fighting Works-동별산출" xfId="1390" xr:uid="{00000000-0005-0000-0000-00009F030000}"/>
    <cellStyle name="_2001예산배정액 및 내역2_4단계예산서" xfId="1391" xr:uid="{00000000-0005-0000-0000-0000A0030000}"/>
    <cellStyle name="_2001예산배정액 및 내역2_4단계예산서 2" xfId="1392" xr:uid="{00000000-0005-0000-0000-0000A1030000}"/>
    <cellStyle name="_2001예산배정액 및 내역2_4단계예산서 2_2011.02.24-Plumbing, HVAC &amp; Fire Fighting Works-동별산출(수정)" xfId="1393" xr:uid="{00000000-0005-0000-0000-0000A2030000}"/>
    <cellStyle name="_2001예산배정액 및 내역2_4단계예산서 2_2011.02.25-Plumbing, HVAC &amp; Fire Fighting Works-동별산출-추가아이템정리-2" xfId="1394" xr:uid="{00000000-0005-0000-0000-0000A3030000}"/>
    <cellStyle name="_2001예산배정액 및 내역2_4단계예산서 2_4.Plumbing, HVAC &amp; Fire Fighting Works-동별산출" xfId="1395" xr:uid="{00000000-0005-0000-0000-0000A4030000}"/>
    <cellStyle name="_2001예산배정액 및 내역2_4단계예산서_1.2_직접공사비_자재비" xfId="1396" xr:uid="{00000000-0005-0000-0000-0000A5030000}"/>
    <cellStyle name="_2001예산배정액 및 내역2_4단계예산서_1.2_직접공사비_자재비 2" xfId="1397" xr:uid="{00000000-0005-0000-0000-0000A6030000}"/>
    <cellStyle name="_2001예산배정액 및 내역2_4단계예산서_1.2_직접공사비_자재비 2_2011.02.24-Plumbing, HVAC &amp; Fire Fighting Works-동별산출(수정)" xfId="1398" xr:uid="{00000000-0005-0000-0000-0000A7030000}"/>
    <cellStyle name="_2001예산배정액 및 내역2_4단계예산서_1.2_직접공사비_자재비 2_2011.02.25-Plumbing, HVAC &amp; Fire Fighting Works-동별산출-추가아이템정리-2" xfId="1399" xr:uid="{00000000-0005-0000-0000-0000A8030000}"/>
    <cellStyle name="_2001예산배정액 및 내역2_4단계예산서_1.2_직접공사비_자재비 2_4.Plumbing, HVAC &amp; Fire Fighting Works-동별산출" xfId="1400" xr:uid="{00000000-0005-0000-0000-0000A9030000}"/>
    <cellStyle name="_2001예산배정액 및 내역2_4단계예산서_1.2_직접공사비_자재비(건축)" xfId="1401" xr:uid="{00000000-0005-0000-0000-0000AA030000}"/>
    <cellStyle name="_2001예산배정액 및 내역2_4단계예산서_1.2_직접공사비_자재비(건축) 2" xfId="1402" xr:uid="{00000000-0005-0000-0000-0000AB030000}"/>
    <cellStyle name="_2001예산배정액 및 내역2_4단계예산서_1.2_직접공사비_자재비(건축) 2_2011.02.24-Plumbing, HVAC &amp; Fire Fighting Works-동별산출(수정)" xfId="1403" xr:uid="{00000000-0005-0000-0000-0000AC030000}"/>
    <cellStyle name="_2001예산배정액 및 내역2_4단계예산서_1.2_직접공사비_자재비(건축) 2_2011.02.25-Plumbing, HVAC &amp; Fire Fighting Works-동별산출-추가아이템정리-2" xfId="1404" xr:uid="{00000000-0005-0000-0000-0000AD030000}"/>
    <cellStyle name="_2001예산배정액 및 내역2_4단계예산서_1.2_직접공사비_자재비(건축) 2_4.Plumbing, HVAC &amp; Fire Fighting Works-동별산출" xfId="1405" xr:uid="{00000000-0005-0000-0000-0000AE030000}"/>
    <cellStyle name="_2001예산배정액 및 내역2_4단계예산서_가실행 내역서(전기)050923" xfId="1406" xr:uid="{00000000-0005-0000-0000-0000AF030000}"/>
    <cellStyle name="_2001예산배정액 및 내역2_4단계예산서_가실행 내역서(전기)050923 2" xfId="1407" xr:uid="{00000000-0005-0000-0000-0000B0030000}"/>
    <cellStyle name="_2001예산배정액 및 내역2_4단계예산서_가실행 내역서(전기)050923 2_2011.02.24-Plumbing, HVAC &amp; Fire Fighting Works-동별산출(수정)" xfId="1408" xr:uid="{00000000-0005-0000-0000-0000B1030000}"/>
    <cellStyle name="_2001예산배정액 및 내역2_4단계예산서_가실행 내역서(전기)050923 2_2011.02.25-Plumbing, HVAC &amp; Fire Fighting Works-동별산출-추가아이템정리-2" xfId="1409" xr:uid="{00000000-0005-0000-0000-0000B2030000}"/>
    <cellStyle name="_2001예산배정액 및 내역2_4단계예산서_가실행 내역서(전기)050923 2_4.Plumbing, HVAC &amp; Fire Fighting Works-동별산출" xfId="1410" xr:uid="{00000000-0005-0000-0000-0000B3030000}"/>
    <cellStyle name="_2001예산배정액 및 내역2_4단계예산서_가실행 내역서(전기)050923_1.2_직접공사비_자재비" xfId="1411" xr:uid="{00000000-0005-0000-0000-0000B4030000}"/>
    <cellStyle name="_2001예산배정액 및 내역2_4단계예산서_가실행 내역서(전기)050923_1.2_직접공사비_자재비 2" xfId="1412" xr:uid="{00000000-0005-0000-0000-0000B5030000}"/>
    <cellStyle name="_2001예산배정액 및 내역2_4단계예산서_가실행 내역서(전기)050923_1.2_직접공사비_자재비 2_2011.02.24-Plumbing, HVAC &amp; Fire Fighting Works-동별산출(수정)" xfId="1413" xr:uid="{00000000-0005-0000-0000-0000B6030000}"/>
    <cellStyle name="_2001예산배정액 및 내역2_4단계예산서_가실행 내역서(전기)050923_1.2_직접공사비_자재비 2_2011.02.25-Plumbing, HVAC &amp; Fire Fighting Works-동별산출-추가아이템정리-2" xfId="1414" xr:uid="{00000000-0005-0000-0000-0000B7030000}"/>
    <cellStyle name="_2001예산배정액 및 내역2_4단계예산서_가실행 내역서(전기)050923_1.2_직접공사비_자재비 2_4.Plumbing, HVAC &amp; Fire Fighting Works-동별산출" xfId="1415" xr:uid="{00000000-0005-0000-0000-0000B8030000}"/>
    <cellStyle name="_2001예산배정액 및 내역2_4단계예산서_가실행 내역서(전기)050923_1.2_직접공사비_자재비(건축)" xfId="1416" xr:uid="{00000000-0005-0000-0000-0000B9030000}"/>
    <cellStyle name="_2001예산배정액 및 내역2_4단계예산서_가실행 내역서(전기)050923_1.2_직접공사비_자재비(건축) 2" xfId="1417" xr:uid="{00000000-0005-0000-0000-0000BA030000}"/>
    <cellStyle name="_2001예산배정액 및 내역2_4단계예산서_가실행 내역서(전기)050923_1.2_직접공사비_자재비(건축) 2_2011.02.24-Plumbing, HVAC &amp; Fire Fighting Works-동별산출(수정)" xfId="1418" xr:uid="{00000000-0005-0000-0000-0000BB030000}"/>
    <cellStyle name="_2001예산배정액 및 내역2_4단계예산서_가실행 내역서(전기)050923_1.2_직접공사비_자재비(건축) 2_2011.02.25-Plumbing, HVAC &amp; Fire Fighting Works-동별산출-추가아이템정리-2" xfId="1419" xr:uid="{00000000-0005-0000-0000-0000BC030000}"/>
    <cellStyle name="_2001예산배정액 및 내역2_4단계예산서_가실행 내역서(전기)050923_1.2_직접공사비_자재비(건축) 2_4.Plumbing, HVAC &amp; Fire Fighting Works-동별산출" xfId="1420" xr:uid="{00000000-0005-0000-0000-0000BD030000}"/>
    <cellStyle name="_2001예산배정액 및 내역2_가실행 내역서(전기)050923" xfId="1421" xr:uid="{00000000-0005-0000-0000-0000BE030000}"/>
    <cellStyle name="_2001예산배정액 및 내역2_가실행 내역서(전기)050923 2" xfId="1422" xr:uid="{00000000-0005-0000-0000-0000BF030000}"/>
    <cellStyle name="_2001예산배정액 및 내역2_가실행 내역서(전기)050923 2_2011.02.24-Plumbing, HVAC &amp; Fire Fighting Works-동별산출(수정)" xfId="1423" xr:uid="{00000000-0005-0000-0000-0000C0030000}"/>
    <cellStyle name="_2001예산배정액 및 내역2_가실행 내역서(전기)050923 2_2011.02.25-Plumbing, HVAC &amp; Fire Fighting Works-동별산출-추가아이템정리-2" xfId="1424" xr:uid="{00000000-0005-0000-0000-0000C1030000}"/>
    <cellStyle name="_2001예산배정액 및 내역2_가실행 내역서(전기)050923 2_4.Plumbing, HVAC &amp; Fire Fighting Works-동별산출" xfId="1425" xr:uid="{00000000-0005-0000-0000-0000C2030000}"/>
    <cellStyle name="_2001예산배정액 및 내역2_가실행 내역서(전기)050923_1.2_직접공사비_자재비" xfId="1426" xr:uid="{00000000-0005-0000-0000-0000C3030000}"/>
    <cellStyle name="_2001예산배정액 및 내역2_가실행 내역서(전기)050923_1.2_직접공사비_자재비 2" xfId="1427" xr:uid="{00000000-0005-0000-0000-0000C4030000}"/>
    <cellStyle name="_2001예산배정액 및 내역2_가실행 내역서(전기)050923_1.2_직접공사비_자재비 2_2011.02.24-Plumbing, HVAC &amp; Fire Fighting Works-동별산출(수정)" xfId="1428" xr:uid="{00000000-0005-0000-0000-0000C5030000}"/>
    <cellStyle name="_2001예산배정액 및 내역2_가실행 내역서(전기)050923_1.2_직접공사비_자재비 2_2011.02.25-Plumbing, HVAC &amp; Fire Fighting Works-동별산출-추가아이템정리-2" xfId="1429" xr:uid="{00000000-0005-0000-0000-0000C6030000}"/>
    <cellStyle name="_2001예산배정액 및 내역2_가실행 내역서(전기)050923_1.2_직접공사비_자재비 2_4.Plumbing, HVAC &amp; Fire Fighting Works-동별산출" xfId="1430" xr:uid="{00000000-0005-0000-0000-0000C7030000}"/>
    <cellStyle name="_2001예산배정액 및 내역2_가실행 내역서(전기)050923_1.2_직접공사비_자재비(건축)" xfId="1431" xr:uid="{00000000-0005-0000-0000-0000C8030000}"/>
    <cellStyle name="_2001예산배정액 및 내역2_가실행 내역서(전기)050923_1.2_직접공사비_자재비(건축) 2" xfId="1432" xr:uid="{00000000-0005-0000-0000-0000C9030000}"/>
    <cellStyle name="_2001예산배정액 및 내역2_가실행 내역서(전기)050923_1.2_직접공사비_자재비(건축) 2_2011.02.24-Plumbing, HVAC &amp; Fire Fighting Works-동별산출(수정)" xfId="1433" xr:uid="{00000000-0005-0000-0000-0000CA030000}"/>
    <cellStyle name="_2001예산배정액 및 내역2_가실행 내역서(전기)050923_1.2_직접공사비_자재비(건축) 2_2011.02.25-Plumbing, HVAC &amp; Fire Fighting Works-동별산출-추가아이템정리-2" xfId="1434" xr:uid="{00000000-0005-0000-0000-0000CB030000}"/>
    <cellStyle name="_2001예산배정액 및 내역2_가실행 내역서(전기)050923_1.2_직접공사비_자재비(건축) 2_4.Plumbing, HVAC &amp; Fire Fighting Works-동별산출" xfId="1435" xr:uid="{00000000-0005-0000-0000-0000CC030000}"/>
    <cellStyle name="_2004년_ 견적손익계산서_040317-최종" xfId="1436" xr:uid="{00000000-0005-0000-0000-0000CD030000}"/>
    <cellStyle name="_2005-05-19-추정가 산출_R1-backup" xfId="1437" xr:uid="{00000000-0005-0000-0000-0000CE030000}"/>
    <cellStyle name="_2005-05-20-투자비 검토_R2" xfId="1438" xr:uid="{00000000-0005-0000-0000-0000CF030000}"/>
    <cellStyle name="_2005-06-02-K6RH-K5RH FORMAT화 투자비(포스코제출)" xfId="1439" xr:uid="{00000000-0005-0000-0000-0000D0030000}"/>
    <cellStyle name="_2005-06-06-K6-K5포스코 양식" xfId="1440" xr:uid="{00000000-0005-0000-0000-0000D1030000}"/>
    <cellStyle name="_20070620BOQforElectrical&amp;I&amp;CErection" xfId="1441" xr:uid="{00000000-0005-0000-0000-0000D2030000}"/>
    <cellStyle name="_3 형도물양장(실)-실행-(현)-권" xfId="1442" xr:uid="{00000000-0005-0000-0000-0000D3030000}"/>
    <cellStyle name="_3. DOR &amp; BOQ" xfId="1443" xr:uid="{00000000-0005-0000-0000-0000D4030000}"/>
    <cellStyle name="_3.Shuweihat S2 -Plumbing BOM-Rev3-080422_with Price" xfId="1444" xr:uid="{00000000-0005-0000-0000-0000D5030000}"/>
    <cellStyle name="_333" xfId="1445" xr:uid="{00000000-0005-0000-0000-0000D6030000}"/>
    <cellStyle name="_3ACL-4 기계공사(FINAL)" xfId="1446" xr:uid="{00000000-0005-0000-0000-0000D7030000}"/>
    <cellStyle name="_4 대부도물양장-실행" xfId="1447" xr:uid="{00000000-0005-0000-0000-0000D8030000}"/>
    <cellStyle name="_4.산출내역_배관공사" xfId="1448" xr:uid="{00000000-0005-0000-0000-0000D9030000}"/>
    <cellStyle name="_4단계예산서" xfId="1449" xr:uid="{00000000-0005-0000-0000-0000DA030000}"/>
    <cellStyle name="_4단계예산서 2" xfId="1450" xr:uid="{00000000-0005-0000-0000-0000DB030000}"/>
    <cellStyle name="_4단계예산서 2_2011.02.24-Plumbing, HVAC &amp; Fire Fighting Works-동별산출(수정)" xfId="1451" xr:uid="{00000000-0005-0000-0000-0000DC030000}"/>
    <cellStyle name="_4단계예산서 2_2011.02.25-Plumbing, HVAC &amp; Fire Fighting Works-동별산출-추가아이템정리-2" xfId="1452" xr:uid="{00000000-0005-0000-0000-0000DD030000}"/>
    <cellStyle name="_4단계예산서 2_4.Plumbing, HVAC &amp; Fire Fighting Works-동별산출" xfId="1453" xr:uid="{00000000-0005-0000-0000-0000DE030000}"/>
    <cellStyle name="_4단계예산서_1.2_직접공사비_자재비" xfId="1454" xr:uid="{00000000-0005-0000-0000-0000DF030000}"/>
    <cellStyle name="_4단계예산서_1.2_직접공사비_자재비 2" xfId="1455" xr:uid="{00000000-0005-0000-0000-0000E0030000}"/>
    <cellStyle name="_4단계예산서_1.2_직접공사비_자재비 2_2011.02.24-Plumbing, HVAC &amp; Fire Fighting Works-동별산출(수정)" xfId="1456" xr:uid="{00000000-0005-0000-0000-0000E1030000}"/>
    <cellStyle name="_4단계예산서_1.2_직접공사비_자재비 2_2011.02.25-Plumbing, HVAC &amp; Fire Fighting Works-동별산출-추가아이템정리-2" xfId="1457" xr:uid="{00000000-0005-0000-0000-0000E2030000}"/>
    <cellStyle name="_4단계예산서_1.2_직접공사비_자재비 2_4.Plumbing, HVAC &amp; Fire Fighting Works-동별산출" xfId="1458" xr:uid="{00000000-0005-0000-0000-0000E3030000}"/>
    <cellStyle name="_4단계예산서_1.2_직접공사비_자재비(건축)" xfId="1459" xr:uid="{00000000-0005-0000-0000-0000E4030000}"/>
    <cellStyle name="_4단계예산서_1.2_직접공사비_자재비(건축) 2" xfId="1460" xr:uid="{00000000-0005-0000-0000-0000E5030000}"/>
    <cellStyle name="_4단계예산서_1.2_직접공사비_자재비(건축) 2_2011.02.24-Plumbing, HVAC &amp; Fire Fighting Works-동별산출(수정)" xfId="1461" xr:uid="{00000000-0005-0000-0000-0000E6030000}"/>
    <cellStyle name="_4단계예산서_1.2_직접공사비_자재비(건축) 2_2011.02.25-Plumbing, HVAC &amp; Fire Fighting Works-동별산출-추가아이템정리-2" xfId="1462" xr:uid="{00000000-0005-0000-0000-0000E7030000}"/>
    <cellStyle name="_4단계예산서_1.2_직접공사비_자재비(건축) 2_4.Plumbing, HVAC &amp; Fire Fighting Works-동별산출" xfId="1463" xr:uid="{00000000-0005-0000-0000-0000E8030000}"/>
    <cellStyle name="_4단계예산서_가실행 내역서(전기)050923" xfId="1464" xr:uid="{00000000-0005-0000-0000-0000E9030000}"/>
    <cellStyle name="_4단계예산서_가실행 내역서(전기)050923 2" xfId="1465" xr:uid="{00000000-0005-0000-0000-0000EA030000}"/>
    <cellStyle name="_4단계예산서_가실행 내역서(전기)050923 2_2011.02.24-Plumbing, HVAC &amp; Fire Fighting Works-동별산출(수정)" xfId="1466" xr:uid="{00000000-0005-0000-0000-0000EB030000}"/>
    <cellStyle name="_4단계예산서_가실행 내역서(전기)050923 2_2011.02.25-Plumbing, HVAC &amp; Fire Fighting Works-동별산출-추가아이템정리-2" xfId="1467" xr:uid="{00000000-0005-0000-0000-0000EC030000}"/>
    <cellStyle name="_4단계예산서_가실행 내역서(전기)050923 2_4.Plumbing, HVAC &amp; Fire Fighting Works-동별산출" xfId="1468" xr:uid="{00000000-0005-0000-0000-0000ED030000}"/>
    <cellStyle name="_4단계예산서_가실행 내역서(전기)050923_1.2_직접공사비_자재비" xfId="1469" xr:uid="{00000000-0005-0000-0000-0000EE030000}"/>
    <cellStyle name="_4단계예산서_가실행 내역서(전기)050923_1.2_직접공사비_자재비 2" xfId="1470" xr:uid="{00000000-0005-0000-0000-0000EF030000}"/>
    <cellStyle name="_4단계예산서_가실행 내역서(전기)050923_1.2_직접공사비_자재비 2_2011.02.24-Plumbing, HVAC &amp; Fire Fighting Works-동별산출(수정)" xfId="1471" xr:uid="{00000000-0005-0000-0000-0000F0030000}"/>
    <cellStyle name="_4단계예산서_가실행 내역서(전기)050923_1.2_직접공사비_자재비 2_2011.02.25-Plumbing, HVAC &amp; Fire Fighting Works-동별산출-추가아이템정리-2" xfId="1472" xr:uid="{00000000-0005-0000-0000-0000F1030000}"/>
    <cellStyle name="_4단계예산서_가실행 내역서(전기)050923_1.2_직접공사비_자재비 2_4.Plumbing, HVAC &amp; Fire Fighting Works-동별산출" xfId="1473" xr:uid="{00000000-0005-0000-0000-0000F2030000}"/>
    <cellStyle name="_4단계예산서_가실행 내역서(전기)050923_1.2_직접공사비_자재비(건축)" xfId="1474" xr:uid="{00000000-0005-0000-0000-0000F3030000}"/>
    <cellStyle name="_4단계예산서_가실행 내역서(전기)050923_1.2_직접공사비_자재비(건축) 2" xfId="1475" xr:uid="{00000000-0005-0000-0000-0000F4030000}"/>
    <cellStyle name="_4단계예산서_가실행 내역서(전기)050923_1.2_직접공사비_자재비(건축) 2_2011.02.24-Plumbing, HVAC &amp; Fire Fighting Works-동별산출(수정)" xfId="1476" xr:uid="{00000000-0005-0000-0000-0000F5030000}"/>
    <cellStyle name="_4단계예산서_가실행 내역서(전기)050923_1.2_직접공사비_자재비(건축) 2_2011.02.25-Plumbing, HVAC &amp; Fire Fighting Works-동별산출-추가아이템정리-2" xfId="1477" xr:uid="{00000000-0005-0000-0000-0000F6030000}"/>
    <cellStyle name="_4단계예산서_가실행 내역서(전기)050923_1.2_직접공사비_자재비(건축) 2_4.Plumbing, HVAC &amp; Fire Fighting Works-동별산출" xfId="1478" xr:uid="{00000000-0005-0000-0000-0000F7030000}"/>
    <cellStyle name="_8(1).BOQforElecI&amp;CWork_20070418(Rev1)" xfId="1479" xr:uid="{00000000-0005-0000-0000-0000F8030000}"/>
    <cellStyle name="_8. BOQ for Elec I&amp;C Work" xfId="1480" xr:uid="{00000000-0005-0000-0000-0000F9030000}"/>
    <cellStyle name="_Al Taweelah(Elec. &amp; Inst.)" xfId="1481" xr:uid="{00000000-0005-0000-0000-0000FA030000}"/>
    <cellStyle name="_AL-Ezzel(Elect n I&amp;C)" xfId="1482" xr:uid="{00000000-0005-0000-0000-0000FB030000}"/>
    <cellStyle name="_AL-Ezzel(세종기업)" xfId="1483" xr:uid="{00000000-0005-0000-0000-0000FC030000}"/>
    <cellStyle name="_Barrage-ELEC and INST-BM-0901_Rev_B(보관용)" xfId="1484" xr:uid="{00000000-0005-0000-0000-0000FD030000}"/>
    <cellStyle name="_Bidding-BQ-EI-Sejong" xfId="1485" xr:uid="{00000000-0005-0000-0000-0000FE030000}"/>
    <cellStyle name="_BOM_Shuaibah_전기계장공사 작업(5.19)제출" xfId="1486" xr:uid="{00000000-0005-0000-0000-0000FF030000}"/>
    <cellStyle name="_BOM_Shuaibah_전기계장공사 작업_물량조정 최종분(5.16)" xfId="1487" xr:uid="{00000000-0005-0000-0000-000000040000}"/>
    <cellStyle name="_Book1" xfId="1488" xr:uid="{00000000-0005-0000-0000-000001040000}"/>
    <cellStyle name="_BOQ Elec Instrument(GOSP-3)작업" xfId="1489" xr:uid="{00000000-0005-0000-0000-000002040000}"/>
    <cellStyle name="_BTIP 전기 계장 공사(신화이앤아이)최종제출(1차수정분)w.Crane2" xfId="1490" xr:uid="{00000000-0005-0000-0000-000003040000}"/>
    <cellStyle name="_C&amp;I-ErecBM-Bulk" xfId="1491" xr:uid="{00000000-0005-0000-0000-000004040000}"/>
    <cellStyle name="_cegins772.xls Chart 1" xfId="1492" xr:uid="{00000000-0005-0000-0000-000005040000}"/>
    <cellStyle name="_DOR - Electrical  Instrument Works(Sabiya-III 060117)" xfId="1493" xr:uid="{00000000-0005-0000-0000-000006040000}"/>
    <cellStyle name="_Elec and I &amp; C BOQ(견적)" xfId="1494" xr:uid="{00000000-0005-0000-0000-000007040000}"/>
    <cellStyle name="_Evaluation Table" xfId="1495" xr:uid="{00000000-0005-0000-0000-000008040000}"/>
    <cellStyle name="_Evaluation Table_090820 BOQ-Civil-ArchWork-Rev-2" xfId="1496" xr:uid="{00000000-0005-0000-0000-000009040000}"/>
    <cellStyle name="_Evaluation Table_090902_rev3_토목내역서(Abolt)" xfId="1497" xr:uid="{00000000-0005-0000-0000-00000A040000}"/>
    <cellStyle name="_Evaluation Table_2009-08-13 BOQ-Civil-ArchWork" xfId="1498" xr:uid="{00000000-0005-0000-0000-00000B040000}"/>
    <cellStyle name="_Evaluation Table_2009-08-20 BOQ-Civil-ArchWork-Rev-2" xfId="1499" xr:uid="{00000000-0005-0000-0000-00000C040000}"/>
    <cellStyle name="_Evaluation Table_2009-09-01 BOQ-Civil-ArchWork-Rev-3_Sleeper,Abolt" xfId="1500" xr:uid="{00000000-0005-0000-0000-00000D040000}"/>
    <cellStyle name="_Evaluation Table_BOQ form (Civil &amp; Building work)_by toyo" xfId="1501" xr:uid="{00000000-0005-0000-0000-00000E040000}"/>
    <cellStyle name="_Evaluation Table_BOQ form (Civil &amp; Building work)_by toyo 2" xfId="1502" xr:uid="{00000000-0005-0000-0000-00000F040000}"/>
    <cellStyle name="_Evaluation Table_BOQ form (Civil &amp; Building work)_by toyo 2_Total BQ Summary_Building_(Aug.10)RFQ용 BM" xfId="1503" xr:uid="{00000000-0005-0000-0000-000010040000}"/>
    <cellStyle name="_Evaluation Table_BOQ form (Civil &amp; Building work)_by toyo 3" xfId="1504" xr:uid="{00000000-0005-0000-0000-000011040000}"/>
    <cellStyle name="_Evaluation Table_BOQ form (Civil &amp; Building work)_by toyo 3_Total BQ Summary_Building_(Aug.10)RFQ용 BM" xfId="1505" xr:uid="{00000000-0005-0000-0000-000012040000}"/>
    <cellStyle name="_Evaluation Table_BOQ form (Civil &amp; Building work)_by toyo 4" xfId="1506" xr:uid="{00000000-0005-0000-0000-000013040000}"/>
    <cellStyle name="_Evaluation Table_BOQ form (Civil &amp; Building work)_by toyo 4_Total BQ Summary_Building_(Aug.10)RFQ용 BM" xfId="1507" xr:uid="{00000000-0005-0000-0000-000014040000}"/>
    <cellStyle name="_Evaluation Table_BOQ form (Civil &amp; Building work)_by toyo 5" xfId="1508" xr:uid="{00000000-0005-0000-0000-000015040000}"/>
    <cellStyle name="_Evaluation Table_BOQ form (Civil &amp; Building work)_by toyo 5_Total BQ Summary_Building_(Aug.10)RFQ용 BM" xfId="1509" xr:uid="{00000000-0005-0000-0000-000016040000}"/>
    <cellStyle name="_Evaluation Table_BOQ form (Civil &amp; Building work)_by toyo 6" xfId="1510" xr:uid="{00000000-0005-0000-0000-000017040000}"/>
    <cellStyle name="_Evaluation Table_BOQ form (Civil &amp; Building work)_by toyo 6_Total BQ Summary_Building_(Aug.10)RFQ용 BM" xfId="1511" xr:uid="{00000000-0005-0000-0000-000018040000}"/>
    <cellStyle name="_Evaluation Table_BOQ form (Civil &amp; Building work)_by toyo 7" xfId="1512" xr:uid="{00000000-0005-0000-0000-000019040000}"/>
    <cellStyle name="_Evaluation Table_BOQ form (Civil &amp; Building work)_by toyo 7_Total BQ Summary_Building_(Aug.10)RFQ용 BM" xfId="1513" xr:uid="{00000000-0005-0000-0000-00001A040000}"/>
    <cellStyle name="_Evaluation Table_BOQ form (Civil &amp; Building work)_by toyo 8" xfId="1514" xr:uid="{00000000-0005-0000-0000-00001B040000}"/>
    <cellStyle name="_Evaluation Table_BOQ form (Civil &amp; Building work)_by toyo 8_Total BQ Summary_Building_(Aug.10)RFQ용 BM" xfId="1515" xr:uid="{00000000-0005-0000-0000-00001C040000}"/>
    <cellStyle name="_Evaluation Table_BOQ form (Civil work)-CM1" xfId="1516" xr:uid="{00000000-0005-0000-0000-00001D040000}"/>
    <cellStyle name="_Evaluation Table_Total BQ Summary_Building_(Aug.10)RFQ용 BM" xfId="1517" xr:uid="{00000000-0005-0000-0000-00001E040000}"/>
    <cellStyle name="_FINEX 공동가대-2 기계공사" xfId="1518" xr:uid="{00000000-0005-0000-0000-00001F040000}"/>
    <cellStyle name="_FINEX 석회소성-2 기계공사" xfId="1519" xr:uid="{00000000-0005-0000-0000-000020040000}"/>
    <cellStyle name="_FINEX 석회소성-2 제작공사(현장)" xfId="1520" xr:uid="{00000000-0005-0000-0000-000021040000}"/>
    <cellStyle name="_FINEX 수배전-4 배관공사" xfId="1521" xr:uid="{00000000-0005-0000-0000-000022040000}"/>
    <cellStyle name="_FINEX 수배전-4 보온공사" xfId="1522" xr:uid="{00000000-0005-0000-0000-000023040000}"/>
    <cellStyle name="_FINEX 수배전-4 설치공사" xfId="1523" xr:uid="{00000000-0005-0000-0000-000024040000}"/>
    <cellStyle name="_FLOW(1) " xfId="1524" xr:uid="{00000000-0005-0000-0000-000025040000}"/>
    <cellStyle name="_Form of Tender(기계.전기)rev 1" xfId="1525" xr:uid="{00000000-0005-0000-0000-000026040000}"/>
    <cellStyle name="_G1RH3(본동)" xfId="1526" xr:uid="{00000000-0005-0000-0000-000027040000}"/>
    <cellStyle name="_G1RH3PBS(본동)" xfId="1527" xr:uid="{00000000-0005-0000-0000-000028040000}"/>
    <cellStyle name="_Inq-BQ-EI-7,8000" xfId="1528" xr:uid="{00000000-0005-0000-0000-000029040000}"/>
    <cellStyle name="_Inquiry for Electromechanical Works" xfId="1529" xr:uid="{00000000-0005-0000-0000-00002A040000}"/>
    <cellStyle name="_Inquiry for tank fab.&amp; Install" xfId="1530" xr:uid="{00000000-0005-0000-0000-00002B040000}"/>
    <cellStyle name="_Internal Installation Status" xfId="1531" xr:uid="{00000000-0005-0000-0000-00002C040000}"/>
    <cellStyle name="_Internal Installation Status_090820 BOQ-Civil-ArchWork-Rev-2" xfId="1532" xr:uid="{00000000-0005-0000-0000-00002D040000}"/>
    <cellStyle name="_Internal Installation Status_090902_rev3_토목내역서(Abolt)" xfId="1533" xr:uid="{00000000-0005-0000-0000-00002E040000}"/>
    <cellStyle name="_Internal Installation Status_2009-08-13 BOQ-Civil-ArchWork" xfId="1534" xr:uid="{00000000-0005-0000-0000-00002F040000}"/>
    <cellStyle name="_Internal Installation Status_2009-08-20 BOQ-Civil-ArchWork-Rev-2" xfId="1535" xr:uid="{00000000-0005-0000-0000-000030040000}"/>
    <cellStyle name="_Internal Installation Status_2009-09-01 BOQ-Civil-ArchWork-Rev-3_Sleeper,Abolt" xfId="1536" xr:uid="{00000000-0005-0000-0000-000031040000}"/>
    <cellStyle name="_Internal Installation Status_BOQ form (Civil &amp; Building work)_by toyo" xfId="1537" xr:uid="{00000000-0005-0000-0000-000032040000}"/>
    <cellStyle name="_Internal Installation Status_BOQ form (Civil &amp; Building work)_by toyo 2" xfId="1538" xr:uid="{00000000-0005-0000-0000-000033040000}"/>
    <cellStyle name="_Internal Installation Status_BOQ form (Civil &amp; Building work)_by toyo 2_Total BQ Summary_Building_(Aug.10)RFQ용 BM" xfId="1539" xr:uid="{00000000-0005-0000-0000-000034040000}"/>
    <cellStyle name="_Internal Installation Status_BOQ form (Civil &amp; Building work)_by toyo 3" xfId="1540" xr:uid="{00000000-0005-0000-0000-000035040000}"/>
    <cellStyle name="_Internal Installation Status_BOQ form (Civil &amp; Building work)_by toyo 3_Total BQ Summary_Building_(Aug.10)RFQ용 BM" xfId="1541" xr:uid="{00000000-0005-0000-0000-000036040000}"/>
    <cellStyle name="_Internal Installation Status_BOQ form (Civil &amp; Building work)_by toyo 4" xfId="1542" xr:uid="{00000000-0005-0000-0000-000037040000}"/>
    <cellStyle name="_Internal Installation Status_BOQ form (Civil &amp; Building work)_by toyo 4_Total BQ Summary_Building_(Aug.10)RFQ용 BM" xfId="1543" xr:uid="{00000000-0005-0000-0000-000038040000}"/>
    <cellStyle name="_Internal Installation Status_BOQ form (Civil &amp; Building work)_by toyo 5" xfId="1544" xr:uid="{00000000-0005-0000-0000-000039040000}"/>
    <cellStyle name="_Internal Installation Status_BOQ form (Civil &amp; Building work)_by toyo 5_Total BQ Summary_Building_(Aug.10)RFQ용 BM" xfId="1545" xr:uid="{00000000-0005-0000-0000-00003A040000}"/>
    <cellStyle name="_Internal Installation Status_BOQ form (Civil &amp; Building work)_by toyo 6" xfId="1546" xr:uid="{00000000-0005-0000-0000-00003B040000}"/>
    <cellStyle name="_Internal Installation Status_BOQ form (Civil &amp; Building work)_by toyo 6_Total BQ Summary_Building_(Aug.10)RFQ용 BM" xfId="1547" xr:uid="{00000000-0005-0000-0000-00003C040000}"/>
    <cellStyle name="_Internal Installation Status_BOQ form (Civil &amp; Building work)_by toyo 7" xfId="1548" xr:uid="{00000000-0005-0000-0000-00003D040000}"/>
    <cellStyle name="_Internal Installation Status_BOQ form (Civil &amp; Building work)_by toyo 7_Total BQ Summary_Building_(Aug.10)RFQ용 BM" xfId="1549" xr:uid="{00000000-0005-0000-0000-00003E040000}"/>
    <cellStyle name="_Internal Installation Status_BOQ form (Civil &amp; Building work)_by toyo 8" xfId="1550" xr:uid="{00000000-0005-0000-0000-00003F040000}"/>
    <cellStyle name="_Internal Installation Status_BOQ form (Civil &amp; Building work)_by toyo 8_Total BQ Summary_Building_(Aug.10)RFQ용 BM" xfId="1551" xr:uid="{00000000-0005-0000-0000-000040040000}"/>
    <cellStyle name="_Internal Installation Status_BOQ form (Civil work)-CM1" xfId="1552" xr:uid="{00000000-0005-0000-0000-000041040000}"/>
    <cellStyle name="_Internal Installation Status_Total BQ Summary_Building_(Aug.10)RFQ용 BM" xfId="1553" xr:uid="{00000000-0005-0000-0000-000042040000}"/>
    <cellStyle name="_Internal Work_BOQ" xfId="1554" xr:uid="{00000000-0005-0000-0000-000043040000}"/>
    <cellStyle name="_ISSA E &amp; I (Option)" xfId="1555" xr:uid="{00000000-0005-0000-0000-000044040000}"/>
    <cellStyle name="_i-tv40319-1(냉연)" xfId="1556" xr:uid="{00000000-0005-0000-0000-000045040000}"/>
    <cellStyle name="_K1R1일정계획(3000)" xfId="1557" xr:uid="{00000000-0005-0000-0000-000046040000}"/>
    <cellStyle name="_K6RH 포스코-투자비산출양식(050605)" xfId="1558" xr:uid="{00000000-0005-0000-0000-000047040000}"/>
    <cellStyle name="_laroux_1" xfId="1559" xr:uid="{00000000-0005-0000-0000-000048040000}"/>
    <cellStyle name="_laroux_3" xfId="1560" xr:uid="{00000000-0005-0000-0000-000049040000}"/>
    <cellStyle name="_laroux_3_2냉연 CSL_견적금액_재료비_Rev2" xfId="1561" xr:uid="{00000000-0005-0000-0000-00004A040000}"/>
    <cellStyle name="_laroux_3_2냉연 CSL_견적금액_재료비_Rev2_2차 예산산출기준_050927 (여기에 수정하십시요)" xfId="1562" xr:uid="{00000000-0005-0000-0000-00004B040000}"/>
    <cellStyle name="_laroux_3_2냉연 CSL_견적금액_재료비_Rev2_kjw - PMS report 양식(총괄)_020220" xfId="1563" xr:uid="{00000000-0005-0000-0000-00004C040000}"/>
    <cellStyle name="_laroux_3_2냉연 CSL_견적금액_재료비_Rev2_kjw - PMS report 양식(총괄)_020220_2차 예산산출기준_050927 (여기에 수정하십시요)" xfId="1564" xr:uid="{00000000-0005-0000-0000-00004D040000}"/>
    <cellStyle name="_laroux_3_2냉연 CSL_견적금액_재료비_Rev2_kjw - PMS report 양식(총괄)_020220_복사본 ISP 1115 수배전설비 투자비등록(전제사항)" xfId="1565" xr:uid="{00000000-0005-0000-0000-00004E040000}"/>
    <cellStyle name="_laroux_3_2냉연 CSL_견적금액_재료비_Rev2_kjw - PMS report 양식(총괄)_020220_복사본 ISP 1115 수배전설비 투자비등록(전제사항)_2차 예산산출기준_050927 (여기에 수정하십시요)" xfId="1566" xr:uid="{00000000-0005-0000-0000-00004F040000}"/>
    <cellStyle name="_laroux_3_2냉연 CSL_견적금액_재료비_Rev2_견적전기 (최종)" xfId="1567" xr:uid="{00000000-0005-0000-0000-000050040000}"/>
    <cellStyle name="_laroux_3_2냉연 CSL_견적금액_재료비_Rev2_견적전기 (최종)_2차 예산산출기준_050927 (여기에 수정하십시요)" xfId="1568" xr:uid="{00000000-0005-0000-0000-000051040000}"/>
    <cellStyle name="_laroux_3_2냉연 CSL_견적금액_재료비_Rev2_견적전기 (최종)_kjw - PMS report 양식(총괄)_020220" xfId="1569" xr:uid="{00000000-0005-0000-0000-000052040000}"/>
    <cellStyle name="_laroux_3_2냉연 CSL_견적금액_재료비_Rev2_견적전기 (최종)_kjw - PMS report 양식(총괄)_020220_2차 예산산출기준_050927 (여기에 수정하십시요)" xfId="1570" xr:uid="{00000000-0005-0000-0000-000053040000}"/>
    <cellStyle name="_laroux_3_2냉연 CSL_견적금액_재료비_Rev2_견적전기 (최종)_kjw - PMS report 양식(총괄)_020220_복사본 ISP 1115 수배전설비 투자비등록(전제사항)" xfId="1571" xr:uid="{00000000-0005-0000-0000-000054040000}"/>
    <cellStyle name="_laroux_3_2냉연 CSL_견적금액_재료비_Rev2_견적전기 (최종)_kjw - PMS report 양식(총괄)_020220_복사본 ISP 1115 수배전설비 투자비등록(전제사항)_2차 예산산출기준_050927 (여기에 수정하십시요)" xfId="1572" xr:uid="{00000000-0005-0000-0000-000055040000}"/>
    <cellStyle name="_laroux_3_2냉연 CSL_견적금액_재료비_Rev2_견적전기 (최종)_복사본 ISP 1115 수배전설비 투자비등록(전제사항)" xfId="1573" xr:uid="{00000000-0005-0000-0000-000056040000}"/>
    <cellStyle name="_laroux_3_2냉연 CSL_견적금액_재료비_Rev2_견적전기 (최종)_복사본 ISP 1115 수배전설비 투자비등록(전제사항)_2차 예산산출기준_050927 (여기에 수정하십시요)" xfId="1574" xr:uid="{00000000-0005-0000-0000-000057040000}"/>
    <cellStyle name="_laroux_3_2냉연 CSL_견적금액_재료비_Rev2_복사본 ISP 1115 수배전설비 투자비등록(전제사항)" xfId="1575" xr:uid="{00000000-0005-0000-0000-000058040000}"/>
    <cellStyle name="_laroux_3_2냉연 CSL_견적금액_재료비_Rev2_복사본 ISP 1115 수배전설비 투자비등록(전제사항)_2차 예산산출기준_050927 (여기에 수정하십시요)" xfId="1576" xr:uid="{00000000-0005-0000-0000-000059040000}"/>
    <cellStyle name="_laroux_3_2냉연 CSL_견적금액_재료비_Rev2_호주 CCL_견적금액_재료비_DDCRev0" xfId="1577" xr:uid="{00000000-0005-0000-0000-00005A040000}"/>
    <cellStyle name="_laroux_3_2냉연 CSL_견적금액_재료비_Rev2_호주 CCL_견적금액_재료비_DDCRev0_2차 예산산출기준_050927 (여기에 수정하십시요)" xfId="1578" xr:uid="{00000000-0005-0000-0000-00005B040000}"/>
    <cellStyle name="_laroux_3_2냉연 CSL_견적금액_재료비_Rev2_호주 CCL_견적금액_재료비_DDCRev0_kjw - PMS report 양식(총괄)_020220" xfId="1579" xr:uid="{00000000-0005-0000-0000-00005C040000}"/>
    <cellStyle name="_laroux_3_2냉연 CSL_견적금액_재료비_Rev2_호주 CCL_견적금액_재료비_DDCRev0_kjw - PMS report 양식(총괄)_020220_2차 예산산출기준_050927 (여기에 수정하십시요)" xfId="1580" xr:uid="{00000000-0005-0000-0000-00005D040000}"/>
    <cellStyle name="_laroux_3_2냉연 CSL_견적금액_재료비_Rev2_호주 CCL_견적금액_재료비_DDCRev0_kjw - PMS report 양식(총괄)_020220_복사본 ISP 1115 수배전설비 투자비등록(전제사항)" xfId="1581" xr:uid="{00000000-0005-0000-0000-00005E040000}"/>
    <cellStyle name="_laroux_3_2냉연 CSL_견적금액_재료비_Rev2_호주 CCL_견적금액_재료비_DDCRev0_kjw - PMS report 양식(총괄)_020220_복사본 ISP 1115 수배전설비 투자비등록(전제사항)_2차 예산산출기준_050927 (여기에 수정하십시요)" xfId="1582" xr:uid="{00000000-0005-0000-0000-00005F040000}"/>
    <cellStyle name="_laroux_3_2냉연 CSL_견적금액_재료비_Rev2_호주 CCL_견적금액_재료비_DDCRev0_복사본 ISP 1115 수배전설비 투자비등록(전제사항)" xfId="1583" xr:uid="{00000000-0005-0000-0000-000060040000}"/>
    <cellStyle name="_laroux_3_2냉연 CSL_견적금액_재료비_Rev2_호주 CCL_견적금액_재료비_DDCRev0_복사본 ISP 1115 수배전설비 투자비등록(전제사항)_2차 예산산출기준_050927 (여기에 수정하십시요)" xfId="1584" xr:uid="{00000000-0005-0000-0000-000061040000}"/>
    <cellStyle name="_laroux_3_2냉연 CSL_견적금액_재료비_Rev2_호주 CCL_견적금액_재료비_DDCRev0_호주 CCL_견적금액_재료비_DDCRev0" xfId="1585" xr:uid="{00000000-0005-0000-0000-000062040000}"/>
    <cellStyle name="_laroux_3_2냉연 CSL_견적금액_재료비_Rev2_호주 CCL_견적금액_재료비_DDCRev0_호주 CCL_견적금액_재료비_DDCRev0_2차 예산산출기준_050927 (여기에 수정하십시요)" xfId="1586" xr:uid="{00000000-0005-0000-0000-000063040000}"/>
    <cellStyle name="_laroux_3_2냉연 CSL_견적금액_재료비_Rev2_호주 CCL_견적금액_재료비_DDCRev0_호주 CCL_견적금액_재료비_DDCRev0_kjw - PMS report 양식(총괄)_020220" xfId="1587" xr:uid="{00000000-0005-0000-0000-000064040000}"/>
    <cellStyle name="_laroux_3_2냉연 CSL_견적금액_재료비_Rev2_호주 CCL_견적금액_재료비_DDCRev0_호주 CCL_견적금액_재료비_DDCRev0_kjw - PMS report 양식(총괄)_020220_2차 예산산출기준_050927 (여기에 수정하십시요)" xfId="1588" xr:uid="{00000000-0005-0000-0000-000065040000}"/>
    <cellStyle name="_laroux_3_2냉연 CSL_견적금액_재료비_Rev2_호주 CCL_견적금액_재료비_DDCRev0_호주 CCL_견적금액_재료비_DDCRev0_kjw - PMS report 양식(총괄)_020220_복사본 ISP 1115 수배전설비 투자비등록(전제사항)" xfId="1589" xr:uid="{00000000-0005-0000-0000-000066040000}"/>
    <cellStyle name="_laroux_3_2냉연 CSL_견적금액_재료비_Rev2_호주 CCL_견적금액_재료비_DDCRev0_호주 CCL_견적금액_재료비_DDCRev0_kjw - PMS report 양식(총괄)_020220_복사본 ISP 1115 수배전설비 투자비등록(전제사항)_2차 예산산출기준_050927 (여기에 수정하십시요)" xfId="1590" xr:uid="{00000000-0005-0000-0000-000067040000}"/>
    <cellStyle name="_laroux_3_2냉연 CSL_견적금액_재료비_Rev2_호주 CCL_견적금액_재료비_DDCRev0_호주 CCL_견적금액_재료비_DDCRev0_견적전기 (최종)" xfId="1591" xr:uid="{00000000-0005-0000-0000-000068040000}"/>
    <cellStyle name="_laroux_3_2냉연 CSL_견적금액_재료비_Rev2_호주 CCL_견적금액_재료비_DDCRev0_호주 CCL_견적금액_재료비_DDCRev0_견적전기 (최종)_2차 예산산출기준_050927 (여기에 수정하십시요)" xfId="1592" xr:uid="{00000000-0005-0000-0000-000069040000}"/>
    <cellStyle name="_laroux_3_2냉연 CSL_견적금액_재료비_Rev2_호주 CCL_견적금액_재료비_DDCRev0_호주 CCL_견적금액_재료비_DDCRev0_견적전기 (최종)_kjw - PMS report 양식(총괄)_020220" xfId="1593" xr:uid="{00000000-0005-0000-0000-00006A040000}"/>
    <cellStyle name="_laroux_3_2냉연 CSL_견적금액_재료비_Rev2_호주 CCL_견적금액_재료비_DDCRev0_호주 CCL_견적금액_재료비_DDCRev0_견적전기 (최종)_kjw - PMS report 양식(총괄)_020220_2차 예산산출기준_050927 (여기에 수정하십시요)" xfId="1594" xr:uid="{00000000-0005-0000-0000-00006B040000}"/>
    <cellStyle name="_laroux_3_2냉연 CSL_견적금액_재료비_Rev2_호주 CCL_견적금액_재료비_DDCRev0_호주 CCL_견적금액_재료비_DDCRev0_견적전기 (최종)_kjw - PMS report 양식(총괄)_020220_복사본 ISP 1115 수배전설비 투자비등록(전제사항)" xfId="1595" xr:uid="{00000000-0005-0000-0000-00006C040000}"/>
    <cellStyle name="_laroux_3_2냉연 CSL_견적금액_재료비_Rev2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596" xr:uid="{00000000-0005-0000-0000-00006D040000}"/>
    <cellStyle name="_laroux_3_2냉연 CSL_견적금액_재료비_Rev2_호주 CCL_견적금액_재료비_DDCRev0_호주 CCL_견적금액_재료비_DDCRev0_견적전기 (최종)_복사본 ISP 1115 수배전설비 투자비등록(전제사항)" xfId="1597" xr:uid="{00000000-0005-0000-0000-00006E040000}"/>
    <cellStyle name="_laroux_3_2냉연 CSL_견적금액_재료비_Rev2_호주 CCL_견적금액_재료비_DDCRev0_호주 CCL_견적금액_재료비_DDCRev0_견적전기 (최종)_복사본 ISP 1115 수배전설비 투자비등록(전제사항)_2차 예산산출기준_050927 (여기에 수정하십시요)" xfId="1598" xr:uid="{00000000-0005-0000-0000-00006F040000}"/>
    <cellStyle name="_laroux_3_2냉연 CSL_견적금액_재료비_Rev2_호주 CCL_견적금액_재료비_DDCRev0_호주 CCL_견적금액_재료비_DDCRev0_복사본 ISP 1115 수배전설비 투자비등록(전제사항)" xfId="1599" xr:uid="{00000000-0005-0000-0000-000070040000}"/>
    <cellStyle name="_laroux_3_2냉연 CSL_견적금액_재료비_Rev2_호주 CCL_견적금액_재료비_DDCRev0_호주 CCL_견적금액_재료비_DDCRev0_복사본 ISP 1115 수배전설비 투자비등록(전제사항)_2차 예산산출기준_050927 (여기에 수정하십시요)" xfId="1600" xr:uid="{00000000-0005-0000-0000-000071040000}"/>
    <cellStyle name="_laroux_3_2차 예산산출기준_050927 (여기에 수정하십시요)" xfId="1601" xr:uid="{00000000-0005-0000-0000-000072040000}"/>
    <cellStyle name="_laroux_3_kjw - PMS report 양식(총괄)_020220" xfId="1602" xr:uid="{00000000-0005-0000-0000-000073040000}"/>
    <cellStyle name="_laroux_3_kjw - PMS report 양식(총괄)_020220_2차 예산산출기준_050927 (여기에 수정하십시요)" xfId="1603" xr:uid="{00000000-0005-0000-0000-000074040000}"/>
    <cellStyle name="_laroux_3_kjw - PMS report 양식(총괄)_020220_복사본 ISP 1115 수배전설비 투자비등록(전제사항)" xfId="1604" xr:uid="{00000000-0005-0000-0000-000075040000}"/>
    <cellStyle name="_laroux_3_kjw - PMS report 양식(총괄)_020220_복사본 ISP 1115 수배전설비 투자비등록(전제사항)_2차 예산산출기준_050927 (여기에 수정하십시요)" xfId="1605" xr:uid="{00000000-0005-0000-0000-000076040000}"/>
    <cellStyle name="_laroux_3_PCCS CGL_SPM_견적 금액_재료비 영업통보" xfId="1606" xr:uid="{00000000-0005-0000-0000-000077040000}"/>
    <cellStyle name="_laroux_3_PCCS CGL_SPM_견적 금액_재료비 영업통보.Rev1" xfId="1607" xr:uid="{00000000-0005-0000-0000-000078040000}"/>
    <cellStyle name="_laroux_3_PCCS CGL_SPM_견적 금액_재료비 영업통보.Rev1_2차 예산산출기준_050927 (여기에 수정하십시요)" xfId="1608" xr:uid="{00000000-0005-0000-0000-000079040000}"/>
    <cellStyle name="_laroux_3_PCCS CGL_SPM_견적 금액_재료비 영업통보.Rev1_kjw - PMS report 양식(총괄)_020220" xfId="1609" xr:uid="{00000000-0005-0000-0000-00007A040000}"/>
    <cellStyle name="_laroux_3_PCCS CGL_SPM_견적 금액_재료비 영업통보.Rev1_kjw - PMS report 양식(총괄)_020220_2차 예산산출기준_050927 (여기에 수정하십시요)" xfId="1610" xr:uid="{00000000-0005-0000-0000-00007B040000}"/>
    <cellStyle name="_laroux_3_PCCS CGL_SPM_견적 금액_재료비 영업통보.Rev1_kjw - PMS report 양식(총괄)_020220_복사본 ISP 1115 수배전설비 투자비등록(전제사항)" xfId="1611" xr:uid="{00000000-0005-0000-0000-00007C040000}"/>
    <cellStyle name="_laroux_3_PCCS CGL_SPM_견적 금액_재료비 영업통보.Rev1_kjw - PMS report 양식(총괄)_020220_복사본 ISP 1115 수배전설비 투자비등록(전제사항)_2차 예산산출기준_050927 (여기에 수정하십시요)" xfId="1612" xr:uid="{00000000-0005-0000-0000-00007D040000}"/>
    <cellStyle name="_laroux_3_PCCS CGL_SPM_견적 금액_재료비 영업통보.Rev1_복사본 ISP 1115 수배전설비 투자비등록(전제사항)" xfId="1613" xr:uid="{00000000-0005-0000-0000-00007E040000}"/>
    <cellStyle name="_laroux_3_PCCS CGL_SPM_견적 금액_재료비 영업통보.Rev1_복사본 ISP 1115 수배전설비 투자비등록(전제사항)_2차 예산산출기준_050927 (여기에 수정하십시요)" xfId="1614" xr:uid="{00000000-0005-0000-0000-00007F040000}"/>
    <cellStyle name="_laroux_3_PCCS CGL_SPM_견적 금액_재료비 영업통보.Rev1_호주 CCL_견적금액_재료비_DDCRev0" xfId="1615" xr:uid="{00000000-0005-0000-0000-000080040000}"/>
    <cellStyle name="_laroux_3_PCCS CGL_SPM_견적 금액_재료비 영업통보.Rev1_호주 CCL_견적금액_재료비_DDCRev0_2차 예산산출기준_050927 (여기에 수정하십시요)" xfId="1616" xr:uid="{00000000-0005-0000-0000-000081040000}"/>
    <cellStyle name="_laroux_3_PCCS CGL_SPM_견적 금액_재료비 영업통보.Rev1_호주 CCL_견적금액_재료비_DDCRev0_kjw - PMS report 양식(총괄)_020220" xfId="1617" xr:uid="{00000000-0005-0000-0000-000082040000}"/>
    <cellStyle name="_laroux_3_PCCS CGL_SPM_견적 금액_재료비 영업통보.Rev1_호주 CCL_견적금액_재료비_DDCRev0_kjw - PMS report 양식(총괄)_020220_2차 예산산출기준_050927 (여기에 수정하십시요)" xfId="1618" xr:uid="{00000000-0005-0000-0000-000083040000}"/>
    <cellStyle name="_laroux_3_PCCS CGL_SPM_견적 금액_재료비 영업통보.Rev1_호주 CCL_견적금액_재료비_DDCRev0_kjw - PMS report 양식(총괄)_020220_복사본 ISP 1115 수배전설비 투자비등록(전제사항)" xfId="1619" xr:uid="{00000000-0005-0000-0000-000084040000}"/>
    <cellStyle name="_laroux_3_PCCS CGL_SPM_견적 금액_재료비 영업통보.Rev1_호주 CCL_견적금액_재료비_DDCRev0_kjw - PMS report 양식(총괄)_020220_복사본 ISP 1115 수배전설비 투자비등록(전제사항)_2차 예산산출기준_050927 (여기에 수정하십시요)" xfId="1620" xr:uid="{00000000-0005-0000-0000-000085040000}"/>
    <cellStyle name="_laroux_3_PCCS CGL_SPM_견적 금액_재료비 영업통보.Rev1_호주 CCL_견적금액_재료비_DDCRev0_견적전기 (최종)" xfId="1621" xr:uid="{00000000-0005-0000-0000-000086040000}"/>
    <cellStyle name="_laroux_3_PCCS CGL_SPM_견적 금액_재료비 영업통보.Rev1_호주 CCL_견적금액_재료비_DDCRev0_견적전기 (최종)_2차 예산산출기준_050927 (여기에 수정하십시요)" xfId="1622" xr:uid="{00000000-0005-0000-0000-000087040000}"/>
    <cellStyle name="_laroux_3_PCCS CGL_SPM_견적 금액_재료비 영업통보.Rev1_호주 CCL_견적금액_재료비_DDCRev0_견적전기 (최종)_kjw - PMS report 양식(총괄)_020220" xfId="1623" xr:uid="{00000000-0005-0000-0000-000088040000}"/>
    <cellStyle name="_laroux_3_PCCS CGL_SPM_견적 금액_재료비 영업통보.Rev1_호주 CCL_견적금액_재료비_DDCRev0_견적전기 (최종)_kjw - PMS report 양식(총괄)_020220_2차 예산산출기준_050927 (여기에 수정하십시요)" xfId="1624" xr:uid="{00000000-0005-0000-0000-000089040000}"/>
    <cellStyle name="_laroux_3_PCCS CGL_SPM_견적 금액_재료비 영업통보.Rev1_호주 CCL_견적금액_재료비_DDCRev0_견적전기 (최종)_kjw - PMS report 양식(총괄)_020220_복사본 ISP 1115 수배전설비 투자비등록(전제사항)" xfId="1625" xr:uid="{00000000-0005-0000-0000-00008A040000}"/>
    <cellStyle name="_laroux_3_PCCS CGL_SPM_견적 금액_재료비 영업통보.Rev1_호주 CCL_견적금액_재료비_DDCRev0_견적전기 (최종)_kjw - PMS report 양식(총괄)_020220_복사본 ISP 1115 수배전설비 투자비등록(전제사항)_2차 예산산출기준_050927 (여기에 수정하십시요)" xfId="1626" xr:uid="{00000000-0005-0000-0000-00008B040000}"/>
    <cellStyle name="_laroux_3_PCCS CGL_SPM_견적 금액_재료비 영업통보.Rev1_호주 CCL_견적금액_재료비_DDCRev0_견적전기 (최종)_복사본 ISP 1115 수배전설비 투자비등록(전제사항)" xfId="1627" xr:uid="{00000000-0005-0000-0000-00008C040000}"/>
    <cellStyle name="_laroux_3_PCCS CGL_SPM_견적 금액_재료비 영업통보.Rev1_호주 CCL_견적금액_재료비_DDCRev0_견적전기 (최종)_복사본 ISP 1115 수배전설비 투자비등록(전제사항)_2차 예산산출기준_050927 (여기에 수정하십시요)" xfId="1628" xr:uid="{00000000-0005-0000-0000-00008D040000}"/>
    <cellStyle name="_laroux_3_PCCS CGL_SPM_견적 금액_재료비 영업통보.Rev1_호주 CCL_견적금액_재료비_DDCRev0_복사본 ISP 1115 수배전설비 투자비등록(전제사항)" xfId="1629" xr:uid="{00000000-0005-0000-0000-00008E040000}"/>
    <cellStyle name="_laroux_3_PCCS CGL_SPM_견적 금액_재료비 영업통보.Rev1_호주 CCL_견적금액_재료비_DDCRev0_복사본 ISP 1115 수배전설비 투자비등록(전제사항)_2차 예산산출기준_050927 (여기에 수정하십시요)" xfId="1630" xr:uid="{00000000-0005-0000-0000-00008F040000}"/>
    <cellStyle name="_laroux_3_PCCS CGL_SPM_견적 금액_재료비 영업통보.Rev1_호주 CCL_견적금액_재료비_DDCRev0_호주 CCL_견적금액_재료비_DDCRev0" xfId="1631" xr:uid="{00000000-0005-0000-0000-000090040000}"/>
    <cellStyle name="_laroux_3_PCCS CGL_SPM_견적 금액_재료비 영업통보.Rev1_호주 CCL_견적금액_재료비_DDCRev0_호주 CCL_견적금액_재료비_DDCRev0_2차 예산산출기준_050927 (여기에 수정하십시요)" xfId="1632" xr:uid="{00000000-0005-0000-0000-000091040000}"/>
    <cellStyle name="_laroux_3_PCCS CGL_SPM_견적 금액_재료비 영업통보.Rev1_호주 CCL_견적금액_재료비_DDCRev0_호주 CCL_견적금액_재료비_DDCRev0_kjw - PMS report 양식(총괄)_020220" xfId="1633" xr:uid="{00000000-0005-0000-0000-000092040000}"/>
    <cellStyle name="_laroux_3_PCCS CGL_SPM_견적 금액_재료비 영업통보.Rev1_호주 CCL_견적금액_재료비_DDCRev0_호주 CCL_견적금액_재료비_DDCRev0_kjw - PMS report 양식(총괄)_020220_2차 예산산출기준_050927 (여기에 수정하십시요)" xfId="1634" xr:uid="{00000000-0005-0000-0000-000093040000}"/>
    <cellStyle name="_laroux_3_PCCS CGL_SPM_견적 금액_재료비 영업통보.Rev1_호주 CCL_견적금액_재료비_DDCRev0_호주 CCL_견적금액_재료비_DDCRev0_kjw - PMS report 양식(총괄)_020220_복사본 ISP 1115 수배전설비 투자비등록(전제사항)" xfId="1635" xr:uid="{00000000-0005-0000-0000-000094040000}"/>
    <cellStyle name="_laroux_3_PCCS CGL_SPM_견적 금액_재료비 영업통보.Rev1_호주 CCL_견적금액_재료비_DDCRev0_호주 CCL_견적금액_재료비_DDCRev0_kjw - PMS report 양식(총괄)_020220_복사본 ISP 1115 수배전설비 투자비등록(전제사항)_2차 예산산출기준_050927 (여기에 수정하십시요)" xfId="1636" xr:uid="{00000000-0005-0000-0000-000095040000}"/>
    <cellStyle name="_laroux_3_PCCS CGL_SPM_견적 금액_재료비 영업통보.Rev1_호주 CCL_견적금액_재료비_DDCRev0_호주 CCL_견적금액_재료비_DDCRev0_복사본 ISP 1115 수배전설비 투자비등록(전제사항)" xfId="1637" xr:uid="{00000000-0005-0000-0000-000096040000}"/>
    <cellStyle name="_laroux_3_PCCS CGL_SPM_견적 금액_재료비 영업통보.Rev1_호주 CCL_견적금액_재료비_DDCRev0_호주 CCL_견적금액_재료비_DDCRev0_복사본 ISP 1115 수배전설비 투자비등록(전제사항)_2차 예산산출기준_050927 (여기에 수정하십시요)" xfId="1638" xr:uid="{00000000-0005-0000-0000-000097040000}"/>
    <cellStyle name="_laroux_3_PCCS CGL_SPM_견적 금액_재료비 영업통보.Rev1_호주 CCL_견적금액_재료비_DDCRev0_호주 CCL_견적금액_재료비_DDCRev0_호주 CCL_견적금액_재료비_DDCRev0" xfId="1639" xr:uid="{00000000-0005-0000-0000-000098040000}"/>
    <cellStyle name="_laroux_3_PCCS CGL_SPM_견적 금액_재료비 영업통보.Rev1_호주 CCL_견적금액_재료비_DDCRev0_호주 CCL_견적금액_재료비_DDCRev0_호주 CCL_견적금액_재료비_DDCRev0_2차 예산산출기준_050927 (여기에 수정하십시요)" xfId="1640" xr:uid="{00000000-0005-0000-0000-000099040000}"/>
    <cellStyle name="_laroux_3_PCCS CGL_SPM_견적 금액_재료비 영업통보.Rev1_호주 CCL_견적금액_재료비_DDCRev0_호주 CCL_견적금액_재료비_DDCRev0_호주 CCL_견적금액_재료비_DDCRev0_kjw - PMS report 양식(총괄)_020220" xfId="1641" xr:uid="{00000000-0005-0000-0000-00009A040000}"/>
    <cellStyle name="_laroux_3_PCCS CGL_SPM_견적 금액_재료비 영업통보.Rev1_호주 CCL_견적금액_재료비_DDCRev0_호주 CCL_견적금액_재료비_DDCRev0_호주 CCL_견적금액_재료비_DDCRev0_kjw - PMS report 양식(총괄)_020220_2차 예산산출기준_050927 (여기에 수정하십시요)" xfId="1642" xr:uid="{00000000-0005-0000-0000-00009B040000}"/>
    <cellStyle name="_laroux_3_PCCS CGL_SPM_견적 금액_재료비 영업통보.Rev1_호주 CCL_견적금액_재료비_DDCRev0_호주 CCL_견적금액_재료비_DDCRev0_호주 CCL_견적금액_재료비_DDCRev0_kjw - PMS report 양식(총괄)_020220_복사본 ISP 1115 수배전설비 투자비등록(전제사항)" xfId="1643" xr:uid="{00000000-0005-0000-0000-00009C040000}"/>
    <cellStyle name="_laroux_3_PCCS CGL_SPM_견적 금액_재료비 영업통보.Rev1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644" xr:uid="{00000000-0005-0000-0000-00009D040000}"/>
    <cellStyle name="_laroux_3_PCCS CGL_SPM_견적 금액_재료비 영업통보.Rev1_호주 CCL_견적금액_재료비_DDCRev0_호주 CCL_견적금액_재료비_DDCRev0_호주 CCL_견적금액_재료비_DDCRev0_견적전기 (최종)" xfId="1645" xr:uid="{00000000-0005-0000-0000-00009E040000}"/>
    <cellStyle name="_laroux_3_PCCS CGL_SPM_견적 금액_재료비 영업통보.Rev1_호주 CCL_견적금액_재료비_DDCRev0_호주 CCL_견적금액_재료비_DDCRev0_호주 CCL_견적금액_재료비_DDCRev0_견적전기 (최종)_2차 예산산출기준_050927 (여기에 수정하십시요)" xfId="1646" xr:uid="{00000000-0005-0000-0000-00009F04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" xfId="1647" xr:uid="{00000000-0005-0000-0000-0000A004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_2차 예산산출기준_050927 (여기에 수정하십시요)" xfId="1648" xr:uid="{00000000-0005-0000-0000-0000A104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_복사본 ISP 1115 수배전설비 투자비등록(전제사항)" xfId="1649" xr:uid="{00000000-0005-0000-0000-0000A2040000}"/>
    <cellStyle name="_laroux_3_PCCS CGL_SPM_견적 금액_재료비 영업통보.Rev1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650" xr:uid="{00000000-0005-0000-0000-0000A3040000}"/>
    <cellStyle name="_laroux_3_PCCS CGL_SPM_견적 금액_재료비 영업통보.Rev1_호주 CCL_견적금액_재료비_DDCRev0_호주 CCL_견적금액_재료비_DDCRev0_호주 CCL_견적금액_재료비_DDCRev0_견적전기 (최종)_복사본 ISP 1115 수배전설비 투자비등록(전제사항)" xfId="1651" xr:uid="{00000000-0005-0000-0000-0000A4040000}"/>
    <cellStyle name="_laroux_3_PCCS CGL_SPM_견적 금액_재료비 영업통보.Rev1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652" xr:uid="{00000000-0005-0000-0000-0000A5040000}"/>
    <cellStyle name="_laroux_3_PCCS CGL_SPM_견적 금액_재료비 영업통보.Rev1_호주 CCL_견적금액_재료비_DDCRev0_호주 CCL_견적금액_재료비_DDCRev0_호주 CCL_견적금액_재료비_DDCRev0_복사본 ISP 1115 수배전설비 투자비등록(전제사항)" xfId="1653" xr:uid="{00000000-0005-0000-0000-0000A6040000}"/>
    <cellStyle name="_laroux_3_PCCS CGL_SPM_견적 금액_재료비 영업통보.Rev1_호주 CCL_견적금액_재료비_DDCRev0_호주 CCL_견적금액_재료비_DDCRev0_호주 CCL_견적금액_재료비_DDCRev0_복사본 ISP 1115 수배전설비 투자비등록(전제사항)_2차 예산산출기준_050927 (여기에 수정하십시요)" xfId="1654" xr:uid="{00000000-0005-0000-0000-0000A7040000}"/>
    <cellStyle name="_laroux_3_PCCS CGL_SPM_견적 금액_재료비 영업통보_2차 예산산출기준_050927 (여기에 수정하십시요)" xfId="1655" xr:uid="{00000000-0005-0000-0000-0000A8040000}"/>
    <cellStyle name="_laroux_3_PCCS CGL_SPM_견적 금액_재료비 영업통보_kjw - PMS report 양식(총괄)_020220" xfId="1656" xr:uid="{00000000-0005-0000-0000-0000A9040000}"/>
    <cellStyle name="_laroux_3_PCCS CGL_SPM_견적 금액_재료비 영업통보_kjw - PMS report 양식(총괄)_020220_2차 예산산출기준_050927 (여기에 수정하십시요)" xfId="1657" xr:uid="{00000000-0005-0000-0000-0000AA040000}"/>
    <cellStyle name="_laroux_3_PCCS CGL_SPM_견적 금액_재료비 영업통보_kjw - PMS report 양식(총괄)_020220_복사본 ISP 1115 수배전설비 투자비등록(전제사항)" xfId="1658" xr:uid="{00000000-0005-0000-0000-0000AB040000}"/>
    <cellStyle name="_laroux_3_PCCS CGL_SPM_견적 금액_재료비 영업통보_kjw - PMS report 양식(총괄)_020220_복사본 ISP 1115 수배전설비 투자비등록(전제사항)_2차 예산산출기준_050927 (여기에 수정하십시요)" xfId="1659" xr:uid="{00000000-0005-0000-0000-0000AC040000}"/>
    <cellStyle name="_laroux_3_PCCS CGL_SPM_견적 금액_재료비 영업통보_복사본 ISP 1115 수배전설비 투자비등록(전제사항)" xfId="1660" xr:uid="{00000000-0005-0000-0000-0000AD040000}"/>
    <cellStyle name="_laroux_3_PCCS CGL_SPM_견적 금액_재료비 영업통보_복사본 ISP 1115 수배전설비 투자비등록(전제사항)_2차 예산산출기준_050927 (여기에 수정하십시요)" xfId="1661" xr:uid="{00000000-0005-0000-0000-0000AE040000}"/>
    <cellStyle name="_laroux_3_PCCS CGL_SPM_견적 금액_재료비 영업통보_호주 CCL_견적금액_재료비_DDCRev0" xfId="1662" xr:uid="{00000000-0005-0000-0000-0000AF040000}"/>
    <cellStyle name="_laroux_3_PCCS CGL_SPM_견적 금액_재료비 영업통보_호주 CCL_견적금액_재료비_DDCRev0_2차 예산산출기준_050927 (여기에 수정하십시요)" xfId="1663" xr:uid="{00000000-0005-0000-0000-0000B0040000}"/>
    <cellStyle name="_laroux_3_PCCS CGL_SPM_견적 금액_재료비 영업통보_호주 CCL_견적금액_재료비_DDCRev0_kjw - PMS report 양식(총괄)_020220" xfId="1664" xr:uid="{00000000-0005-0000-0000-0000B1040000}"/>
    <cellStyle name="_laroux_3_PCCS CGL_SPM_견적 금액_재료비 영업통보_호주 CCL_견적금액_재료비_DDCRev0_kjw - PMS report 양식(총괄)_020220_2차 예산산출기준_050927 (여기에 수정하십시요)" xfId="1665" xr:uid="{00000000-0005-0000-0000-0000B2040000}"/>
    <cellStyle name="_laroux_3_PCCS CGL_SPM_견적 금액_재료비 영업통보_호주 CCL_견적금액_재료비_DDCRev0_kjw - PMS report 양식(총괄)_020220_복사본 ISP 1115 수배전설비 투자비등록(전제사항)" xfId="1666" xr:uid="{00000000-0005-0000-0000-0000B3040000}"/>
    <cellStyle name="_laroux_3_PCCS CGL_SPM_견적 금액_재료비 영업통보_호주 CCL_견적금액_재료비_DDCRev0_kjw - PMS report 양식(총괄)_020220_복사본 ISP 1115 수배전설비 투자비등록(전제사항)_2차 예산산출기준_050927 (여기에 수정하십시요)" xfId="1667" xr:uid="{00000000-0005-0000-0000-0000B4040000}"/>
    <cellStyle name="_laroux_3_PCCS CGL_SPM_견적 금액_재료비 영업통보_호주 CCL_견적금액_재료비_DDCRev0_견적전기 (최종)" xfId="1668" xr:uid="{00000000-0005-0000-0000-0000B5040000}"/>
    <cellStyle name="_laroux_3_PCCS CGL_SPM_견적 금액_재료비 영업통보_호주 CCL_견적금액_재료비_DDCRev0_견적전기 (최종)_2차 예산산출기준_050927 (여기에 수정하십시요)" xfId="1669" xr:uid="{00000000-0005-0000-0000-0000B6040000}"/>
    <cellStyle name="_laroux_3_PCCS CGL_SPM_견적 금액_재료비 영업통보_호주 CCL_견적금액_재료비_DDCRev0_견적전기 (최종)_kjw - PMS report 양식(총괄)_020220" xfId="1670" xr:uid="{00000000-0005-0000-0000-0000B7040000}"/>
    <cellStyle name="_laroux_3_PCCS CGL_SPM_견적 금액_재료비 영업통보_호주 CCL_견적금액_재료비_DDCRev0_견적전기 (최종)_kjw - PMS report 양식(총괄)_020220_2차 예산산출기준_050927 (여기에 수정하십시요)" xfId="1671" xr:uid="{00000000-0005-0000-0000-0000B8040000}"/>
    <cellStyle name="_laroux_3_PCCS CGL_SPM_견적 금액_재료비 영업통보_호주 CCL_견적금액_재료비_DDCRev0_견적전기 (최종)_kjw - PMS report 양식(총괄)_020220_복사본 ISP 1115 수배전설비 투자비등록(전제사항)" xfId="1672" xr:uid="{00000000-0005-0000-0000-0000B9040000}"/>
    <cellStyle name="_laroux_3_PCCS CGL_SPM_견적 금액_재료비 영업통보_호주 CCL_견적금액_재료비_DDCRev0_견적전기 (최종)_kjw - PMS report 양식(총괄)_020220_복사본 ISP 1115 수배전설비 투자비등록(전제사항)_2차 예산산출기준_050927 (여기에 수정하십시요)" xfId="1673" xr:uid="{00000000-0005-0000-0000-0000BA040000}"/>
    <cellStyle name="_laroux_3_PCCS CGL_SPM_견적 금액_재료비 영업통보_호주 CCL_견적금액_재료비_DDCRev0_견적전기 (최종)_복사본 ISP 1115 수배전설비 투자비등록(전제사항)" xfId="1674" xr:uid="{00000000-0005-0000-0000-0000BB040000}"/>
    <cellStyle name="_laroux_3_PCCS CGL_SPM_견적 금액_재료비 영업통보_호주 CCL_견적금액_재료비_DDCRev0_견적전기 (최종)_복사본 ISP 1115 수배전설비 투자비등록(전제사항)_2차 예산산출기준_050927 (여기에 수정하십시요)" xfId="1675" xr:uid="{00000000-0005-0000-0000-0000BC040000}"/>
    <cellStyle name="_laroux_3_PCCS CGL_SPM_견적 금액_재료비 영업통보_호주 CCL_견적금액_재료비_DDCRev0_복사본 ISP 1115 수배전설비 투자비등록(전제사항)" xfId="1676" xr:uid="{00000000-0005-0000-0000-0000BD040000}"/>
    <cellStyle name="_laroux_3_PCCS CGL_SPM_견적 금액_재료비 영업통보_호주 CCL_견적금액_재료비_DDCRev0_복사본 ISP 1115 수배전설비 투자비등록(전제사항)_2차 예산산출기준_050927 (여기에 수정하십시요)" xfId="1677" xr:uid="{00000000-0005-0000-0000-0000BE040000}"/>
    <cellStyle name="_laroux_3_PCCS CGL_SPM_견적 금액_재료비 영업통보_호주 CCL_견적금액_재료비_DDCRev0_호주 CCL_견적금액_재료비_DDCRev0" xfId="1678" xr:uid="{00000000-0005-0000-0000-0000BF040000}"/>
    <cellStyle name="_laroux_3_PCCS CGL_SPM_견적 금액_재료비 영업통보_호주 CCL_견적금액_재료비_DDCRev0_호주 CCL_견적금액_재료비_DDCRev0_2차 예산산출기준_050927 (여기에 수정하십시요)" xfId="1679" xr:uid="{00000000-0005-0000-0000-0000C0040000}"/>
    <cellStyle name="_laroux_3_PCCS CGL_SPM_견적 금액_재료비 영업통보_호주 CCL_견적금액_재료비_DDCRev0_호주 CCL_견적금액_재료비_DDCRev0_kjw - PMS report 양식(총괄)_020220" xfId="1680" xr:uid="{00000000-0005-0000-0000-0000C1040000}"/>
    <cellStyle name="_laroux_3_PCCS CGL_SPM_견적 금액_재료비 영업통보_호주 CCL_견적금액_재료비_DDCRev0_호주 CCL_견적금액_재료비_DDCRev0_kjw - PMS report 양식(총괄)_020220_2차 예산산출기준_050927 (여기에 수정하십시요)" xfId="1681" xr:uid="{00000000-0005-0000-0000-0000C2040000}"/>
    <cellStyle name="_laroux_3_PCCS CGL_SPM_견적 금액_재료비 영업통보_호주 CCL_견적금액_재료비_DDCRev0_호주 CCL_견적금액_재료비_DDCRev0_kjw - PMS report 양식(총괄)_020220_복사본 ISP 1115 수배전설비 투자비등록(전제사항)" xfId="1682" xr:uid="{00000000-0005-0000-0000-0000C3040000}"/>
    <cellStyle name="_laroux_3_PCCS CGL_SPM_견적 금액_재료비 영업통보_호주 CCL_견적금액_재료비_DDCRev0_호주 CCL_견적금액_재료비_DDCRev0_kjw - PMS report 양식(총괄)_020220_복사본 ISP 1115 수배전설비 투자비등록(전제사항)_2차 예산산출기준_050927 (여기에 수정하십시요)" xfId="1683" xr:uid="{00000000-0005-0000-0000-0000C4040000}"/>
    <cellStyle name="_laroux_3_PCCS CGL_SPM_견적 금액_재료비 영업통보_호주 CCL_견적금액_재료비_DDCRev0_호주 CCL_견적금액_재료비_DDCRev0_복사본 ISP 1115 수배전설비 투자비등록(전제사항)" xfId="1684" xr:uid="{00000000-0005-0000-0000-0000C5040000}"/>
    <cellStyle name="_laroux_3_PCCS CGL_SPM_견적 금액_재료비 영업통보_호주 CCL_견적금액_재료비_DDCRev0_호주 CCL_견적금액_재료비_DDCRev0_복사본 ISP 1115 수배전설비 투자비등록(전제사항)_2차 예산산출기준_050927 (여기에 수정하십시요)" xfId="1685" xr:uid="{00000000-0005-0000-0000-0000C6040000}"/>
    <cellStyle name="_laroux_3_PCCS CGL_SPM_견적 금액_재료비 영업통보_호주 CCL_견적금액_재료비_DDCRev0_호주 CCL_견적금액_재료비_DDCRev0_호주 CCL_견적금액_재료비_DDCRev0" xfId="1686" xr:uid="{00000000-0005-0000-0000-0000C7040000}"/>
    <cellStyle name="_laroux_3_PCCS CGL_SPM_견적 금액_재료비 영업통보_호주 CCL_견적금액_재료비_DDCRev0_호주 CCL_견적금액_재료비_DDCRev0_호주 CCL_견적금액_재료비_DDCRev0_2차 예산산출기준_050927 (여기에 수정하십시요)" xfId="1687" xr:uid="{00000000-0005-0000-0000-0000C8040000}"/>
    <cellStyle name="_laroux_3_PCCS CGL_SPM_견적 금액_재료비 영업통보_호주 CCL_견적금액_재료비_DDCRev0_호주 CCL_견적금액_재료비_DDCRev0_호주 CCL_견적금액_재료비_DDCRev0_kjw - PMS report 양식(총괄)_020220" xfId="1688" xr:uid="{00000000-0005-0000-0000-0000C9040000}"/>
    <cellStyle name="_laroux_3_PCCS CGL_SPM_견적 금액_재료비 영업통보_호주 CCL_견적금액_재료비_DDCRev0_호주 CCL_견적금액_재료비_DDCRev0_호주 CCL_견적금액_재료비_DDCRev0_kjw - PMS report 양식(총괄)_020220_2차 예산산출기준_050927 (여기에 수정하십시요)" xfId="1689" xr:uid="{00000000-0005-0000-0000-0000CA040000}"/>
    <cellStyle name="_laroux_3_PCCS CGL_SPM_견적 금액_재료비 영업통보_호주 CCL_견적금액_재료비_DDCRev0_호주 CCL_견적금액_재료비_DDCRev0_호주 CCL_견적금액_재료비_DDCRev0_kjw - PMS report 양식(총괄)_020220_복사본 ISP 1115 수배전설비 투자비등록(전제사항)" xfId="1690" xr:uid="{00000000-0005-0000-0000-0000CB040000}"/>
    <cellStyle name="_laroux_3_PCCS CGL_SPM_견적 금액_재료비 영업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691" xr:uid="{00000000-0005-0000-0000-0000CC040000}"/>
    <cellStyle name="_laroux_3_PCCS CGL_SPM_견적 금액_재료비 영업통보_호주 CCL_견적금액_재료비_DDCRev0_호주 CCL_견적금액_재료비_DDCRev0_호주 CCL_견적금액_재료비_DDCRev0_견적전기 (최종)" xfId="1692" xr:uid="{00000000-0005-0000-0000-0000CD040000}"/>
    <cellStyle name="_laroux_3_PCCS CGL_SPM_견적 금액_재료비 영업통보_호주 CCL_견적금액_재료비_DDCRev0_호주 CCL_견적금액_재료비_DDCRev0_호주 CCL_견적금액_재료비_DDCRev0_견적전기 (최종)_2차 예산산출기준_050927 (여기에 수정하십시요)" xfId="1693" xr:uid="{00000000-0005-0000-0000-0000CE040000}"/>
    <cellStyle name="_laroux_3_PCCS CGL_SPM_견적 금액_재료비 영업통보_호주 CCL_견적금액_재료비_DDCRev0_호주 CCL_견적금액_재료비_DDCRev0_호주 CCL_견적금액_재료비_DDCRev0_견적전기 (최종)_kjw - PMS report 양식(총괄)_020220" xfId="1694" xr:uid="{00000000-0005-0000-0000-0000CF040000}"/>
    <cellStyle name="_laroux_3_PCCS CGL_SPM_견적 금액_재료비 영업통보_호주 CCL_견적금액_재료비_DDCRev0_호주 CCL_견적금액_재료비_DDCRev0_호주 CCL_견적금액_재료비_DDCRev0_견적전기 (최종)_kjw - PMS report 양식(총괄)_020220_2차 예산산출기준_050927 (여기에 수정하십시요)" xfId="1695" xr:uid="{00000000-0005-0000-0000-0000D0040000}"/>
    <cellStyle name="_laroux_3_PCCS CGL_SPM_견적 금액_재료비 영업통보_호주 CCL_견적금액_재료비_DDCRev0_호주 CCL_견적금액_재료비_DDCRev0_호주 CCL_견적금액_재료비_DDCRev0_견적전기 (최종)_kjw - PMS report 양식(총괄)_020220_복사본 ISP 1115 수배전설비 투자비등록(전제사항)" xfId="1696" xr:uid="{00000000-0005-0000-0000-0000D1040000}"/>
    <cellStyle name="_laroux_3_PCCS CGL_SPM_견적 금액_재료비 영업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697" xr:uid="{00000000-0005-0000-0000-0000D2040000}"/>
    <cellStyle name="_laroux_3_PCCS CGL_SPM_견적 금액_재료비 영업통보_호주 CCL_견적금액_재료비_DDCRev0_호주 CCL_견적금액_재료비_DDCRev0_호주 CCL_견적금액_재료비_DDCRev0_견적전기 (최종)_복사본 ISP 1115 수배전설비 투자비등록(전제사항)" xfId="1698" xr:uid="{00000000-0005-0000-0000-0000D3040000}"/>
    <cellStyle name="_laroux_3_PCCS CGL_SPM_견적 금액_재료비 영업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699" xr:uid="{00000000-0005-0000-0000-0000D4040000}"/>
    <cellStyle name="_laroux_3_PCCS CGL_SPM_견적 금액_재료비 영업통보_호주 CCL_견적금액_재료비_DDCRev0_호주 CCL_견적금액_재료비_DDCRev0_호주 CCL_견적금액_재료비_DDCRev0_복사본 ISP 1115 수배전설비 투자비등록(전제사항)" xfId="1700" xr:uid="{00000000-0005-0000-0000-0000D5040000}"/>
    <cellStyle name="_laroux_3_PCCS CGL_SPM_견적 금액_재료비 영업통보_호주 CCL_견적금액_재료비_DDCRev0_호주 CCL_견적금액_재료비_DDCRev0_호주 CCL_견적금액_재료비_DDCRev0_복사본 ISP 1115 수배전설비 투자비등록(전제사항)_2차 예산산출기준_050927 (여기에 수정하십시요)" xfId="1701" xr:uid="{00000000-0005-0000-0000-0000D6040000}"/>
    <cellStyle name="_laroux_3_PCCS CGL_SPM_견적 금액_재료비.Rev4" xfId="1702" xr:uid="{00000000-0005-0000-0000-0000D7040000}"/>
    <cellStyle name="_laroux_3_PCCS CGL_SPM_견적 금액_재료비.Rev4_2차 예산산출기준_050927 (여기에 수정하십시요)" xfId="1703" xr:uid="{00000000-0005-0000-0000-0000D8040000}"/>
    <cellStyle name="_laroux_3_PCCS CGL_SPM_견적 금액_재료비.Rev4_kjw - PMS report 양식(총괄)_020220" xfId="1704" xr:uid="{00000000-0005-0000-0000-0000D9040000}"/>
    <cellStyle name="_laroux_3_PCCS CGL_SPM_견적 금액_재료비.Rev4_kjw - PMS report 양식(총괄)_020220_2차 예산산출기준_050927 (여기에 수정하십시요)" xfId="1705" xr:uid="{00000000-0005-0000-0000-0000DA040000}"/>
    <cellStyle name="_laroux_3_PCCS CGL_SPM_견적 금액_재료비.Rev4_kjw - PMS report 양식(총괄)_020220_복사본 ISP 1115 수배전설비 투자비등록(전제사항)" xfId="1706" xr:uid="{00000000-0005-0000-0000-0000DB040000}"/>
    <cellStyle name="_laroux_3_PCCS CGL_SPM_견적 금액_재료비.Rev4_kjw - PMS report 양식(총괄)_020220_복사본 ISP 1115 수배전설비 투자비등록(전제사항)_2차 예산산출기준_050927 (여기에 수정하십시요)" xfId="1707" xr:uid="{00000000-0005-0000-0000-0000DC040000}"/>
    <cellStyle name="_laroux_3_PCCS CGL_SPM_견적 금액_재료비.Rev4_복사본 ISP 1115 수배전설비 투자비등록(전제사항)" xfId="1708" xr:uid="{00000000-0005-0000-0000-0000DD040000}"/>
    <cellStyle name="_laroux_3_PCCS CGL_SPM_견적 금액_재료비.Rev4_복사본 ISP 1115 수배전설비 투자비등록(전제사항)_2차 예산산출기준_050927 (여기에 수정하십시요)" xfId="1709" xr:uid="{00000000-0005-0000-0000-0000DE040000}"/>
    <cellStyle name="_laroux_3_PCCS CGL_SPM_견적 금액_재료비.Rev4_호주 CCL_견적금액_재료비_DDCRev0" xfId="1710" xr:uid="{00000000-0005-0000-0000-0000DF040000}"/>
    <cellStyle name="_laroux_3_PCCS CGL_SPM_견적 금액_재료비.Rev4_호주 CCL_견적금액_재료비_DDCRev0_2차 예산산출기준_050927 (여기에 수정하십시요)" xfId="1711" xr:uid="{00000000-0005-0000-0000-0000E0040000}"/>
    <cellStyle name="_laroux_3_PCCS CGL_SPM_견적 금액_재료비.Rev4_호주 CCL_견적금액_재료비_DDCRev0_kjw - PMS report 양식(총괄)_020220" xfId="1712" xr:uid="{00000000-0005-0000-0000-0000E1040000}"/>
    <cellStyle name="_laroux_3_PCCS CGL_SPM_견적 금액_재료비.Rev4_호주 CCL_견적금액_재료비_DDCRev0_kjw - PMS report 양식(총괄)_020220_2차 예산산출기준_050927 (여기에 수정하십시요)" xfId="1713" xr:uid="{00000000-0005-0000-0000-0000E2040000}"/>
    <cellStyle name="_laroux_3_PCCS CGL_SPM_견적 금액_재료비.Rev4_호주 CCL_견적금액_재료비_DDCRev0_kjw - PMS report 양식(총괄)_020220_복사본 ISP 1115 수배전설비 투자비등록(전제사항)" xfId="1714" xr:uid="{00000000-0005-0000-0000-0000E3040000}"/>
    <cellStyle name="_laroux_3_PCCS CGL_SPM_견적 금액_재료비.Rev4_호주 CCL_견적금액_재료비_DDCRev0_kjw - PMS report 양식(총괄)_020220_복사본 ISP 1115 수배전설비 투자비등록(전제사항)_2차 예산산출기준_050927 (여기에 수정하십시요)" xfId="1715" xr:uid="{00000000-0005-0000-0000-0000E4040000}"/>
    <cellStyle name="_laroux_3_PCCS CGL_SPM_견적 금액_재료비.Rev4_호주 CCL_견적금액_재료비_DDCRev0_견적전기 (최종)" xfId="1716" xr:uid="{00000000-0005-0000-0000-0000E5040000}"/>
    <cellStyle name="_laroux_3_PCCS CGL_SPM_견적 금액_재료비.Rev4_호주 CCL_견적금액_재료비_DDCRev0_견적전기 (최종)_2차 예산산출기준_050927 (여기에 수정하십시요)" xfId="1717" xr:uid="{00000000-0005-0000-0000-0000E6040000}"/>
    <cellStyle name="_laroux_3_PCCS CGL_SPM_견적 금액_재료비.Rev4_호주 CCL_견적금액_재료비_DDCRev0_견적전기 (최종)_kjw - PMS report 양식(총괄)_020220" xfId="1718" xr:uid="{00000000-0005-0000-0000-0000E7040000}"/>
    <cellStyle name="_laroux_3_PCCS CGL_SPM_견적 금액_재료비.Rev4_호주 CCL_견적금액_재료비_DDCRev0_견적전기 (최종)_kjw - PMS report 양식(총괄)_020220_2차 예산산출기준_050927 (여기에 수정하십시요)" xfId="1719" xr:uid="{00000000-0005-0000-0000-0000E8040000}"/>
    <cellStyle name="_laroux_3_PCCS CGL_SPM_견적 금액_재료비.Rev4_호주 CCL_견적금액_재료비_DDCRev0_견적전기 (최종)_kjw - PMS report 양식(총괄)_020220_복사본 ISP 1115 수배전설비 투자비등록(전제사항)" xfId="1720" xr:uid="{00000000-0005-0000-0000-0000E9040000}"/>
    <cellStyle name="_laroux_3_PCCS CGL_SPM_견적 금액_재료비.Rev4_호주 CCL_견적금액_재료비_DDCRev0_견적전기 (최종)_kjw - PMS report 양식(총괄)_020220_복사본 ISP 1115 수배전설비 투자비등록(전제사항)_2차 예산산출기준_050927 (여기에 수정하십시요)" xfId="1721" xr:uid="{00000000-0005-0000-0000-0000EA040000}"/>
    <cellStyle name="_laroux_3_PCCS CGL_SPM_견적 금액_재료비.Rev4_호주 CCL_견적금액_재료비_DDCRev0_견적전기 (최종)_복사본 ISP 1115 수배전설비 투자비등록(전제사항)" xfId="1722" xr:uid="{00000000-0005-0000-0000-0000EB040000}"/>
    <cellStyle name="_laroux_3_PCCS CGL_SPM_견적 금액_재료비.Rev4_호주 CCL_견적금액_재료비_DDCRev0_견적전기 (최종)_복사본 ISP 1115 수배전설비 투자비등록(전제사항)_2차 예산산출기준_050927 (여기에 수정하십시요)" xfId="1723" xr:uid="{00000000-0005-0000-0000-0000EC040000}"/>
    <cellStyle name="_laroux_3_PCCS CGL_SPM_견적 금액_재료비.Rev4_호주 CCL_견적금액_재료비_DDCRev0_복사본 ISP 1115 수배전설비 투자비등록(전제사항)" xfId="1724" xr:uid="{00000000-0005-0000-0000-0000ED040000}"/>
    <cellStyle name="_laroux_3_PCCS CGL_SPM_견적 금액_재료비.Rev4_호주 CCL_견적금액_재료비_DDCRev0_복사본 ISP 1115 수배전설비 투자비등록(전제사항)_2차 예산산출기준_050927 (여기에 수정하십시요)" xfId="1725" xr:uid="{00000000-0005-0000-0000-0000EE040000}"/>
    <cellStyle name="_laroux_3_PCCS CGL_SPM_견적 금액_재료비.Rev4_호주 CCL_견적금액_재료비_DDCRev0_호주 CCL_견적금액_재료비_DDCRev0" xfId="1726" xr:uid="{00000000-0005-0000-0000-0000EF040000}"/>
    <cellStyle name="_laroux_3_PCCS CGL_SPM_견적 금액_재료비.Rev4_호주 CCL_견적금액_재료비_DDCRev0_호주 CCL_견적금액_재료비_DDCRev0_2차 예산산출기준_050927 (여기에 수정하십시요)" xfId="1727" xr:uid="{00000000-0005-0000-0000-0000F0040000}"/>
    <cellStyle name="_laroux_3_PCCS CGL_SPM_견적 금액_재료비.Rev4_호주 CCL_견적금액_재료비_DDCRev0_호주 CCL_견적금액_재료비_DDCRev0_kjw - PMS report 양식(총괄)_020220" xfId="1728" xr:uid="{00000000-0005-0000-0000-0000F1040000}"/>
    <cellStyle name="_laroux_3_PCCS CGL_SPM_견적 금액_재료비.Rev4_호주 CCL_견적금액_재료비_DDCRev0_호주 CCL_견적금액_재료비_DDCRev0_kjw - PMS report 양식(총괄)_020220_2차 예산산출기준_050927 (여기에 수정하십시요)" xfId="1729" xr:uid="{00000000-0005-0000-0000-0000F2040000}"/>
    <cellStyle name="_laroux_3_PCCS CGL_SPM_견적 금액_재료비.Rev4_호주 CCL_견적금액_재료비_DDCRev0_호주 CCL_견적금액_재료비_DDCRev0_kjw - PMS report 양식(총괄)_020220_복사본 ISP 1115 수배전설비 투자비등록(전제사항)" xfId="1730" xr:uid="{00000000-0005-0000-0000-0000F3040000}"/>
    <cellStyle name="_laroux_3_PCCS CGL_SPM_견적 금액_재료비.Rev4_호주 CCL_견적금액_재료비_DDCRev0_호주 CCL_견적금액_재료비_DDCRev0_kjw - PMS report 양식(총괄)_020220_복사본 ISP 1115 수배전설비 투자비등록(전제사항)_2차 예산산출기준_050927 (여기에 수정하십시요)" xfId="1731" xr:uid="{00000000-0005-0000-0000-0000F4040000}"/>
    <cellStyle name="_laroux_3_PCCS CGL_SPM_견적 금액_재료비.Rev4_호주 CCL_견적금액_재료비_DDCRev0_호주 CCL_견적금액_재료비_DDCRev0_복사본 ISP 1115 수배전설비 투자비등록(전제사항)" xfId="1732" xr:uid="{00000000-0005-0000-0000-0000F5040000}"/>
    <cellStyle name="_laroux_3_PCCS CGL_SPM_견적 금액_재료비.Rev4_호주 CCL_견적금액_재료비_DDCRev0_호주 CCL_견적금액_재료비_DDCRev0_복사본 ISP 1115 수배전설비 투자비등록(전제사항)_2차 예산산출기준_050927 (여기에 수정하십시요)" xfId="1733" xr:uid="{00000000-0005-0000-0000-0000F6040000}"/>
    <cellStyle name="_laroux_3_PCCS CGL_SPM_견적 금액_재료비.Rev4_호주 CCL_견적금액_재료비_DDCRev0_호주 CCL_견적금액_재료비_DDCRev0_호주 CCL_견적금액_재료비_DDCRev0" xfId="1734" xr:uid="{00000000-0005-0000-0000-0000F7040000}"/>
    <cellStyle name="_laroux_3_PCCS CGL_SPM_견적 금액_재료비.Rev4_호주 CCL_견적금액_재료비_DDCRev0_호주 CCL_견적금액_재료비_DDCRev0_호주 CCL_견적금액_재료비_DDCRev0_2차 예산산출기준_050927 (여기에 수정하십시요)" xfId="1735" xr:uid="{00000000-0005-0000-0000-0000F8040000}"/>
    <cellStyle name="_laroux_3_PCCS CGL_SPM_견적 금액_재료비.Rev4_호주 CCL_견적금액_재료비_DDCRev0_호주 CCL_견적금액_재료비_DDCRev0_호주 CCL_견적금액_재료비_DDCRev0_kjw - PMS report 양식(총괄)_020220" xfId="1736" xr:uid="{00000000-0005-0000-0000-0000F9040000}"/>
    <cellStyle name="_laroux_3_PCCS CGL_SPM_견적 금액_재료비.Rev4_호주 CCL_견적금액_재료비_DDCRev0_호주 CCL_견적금액_재료비_DDCRev0_호주 CCL_견적금액_재료비_DDCRev0_kjw - PMS report 양식(총괄)_020220_2차 예산산출기준_050927 (여기에 수정하십시요)" xfId="1737" xr:uid="{00000000-0005-0000-0000-0000FA040000}"/>
    <cellStyle name="_laroux_3_PCCS CGL_SPM_견적 금액_재료비.Rev4_호주 CCL_견적금액_재료비_DDCRev0_호주 CCL_견적금액_재료비_DDCRev0_호주 CCL_견적금액_재료비_DDCRev0_kjw - PMS report 양식(총괄)_020220_복사본 ISP 1115 수배전설비 투자비등록(전제사항)" xfId="1738" xr:uid="{00000000-0005-0000-0000-0000FB040000}"/>
    <cellStyle name="_laroux_3_PCCS CGL_SPM_견적 금액_재료비.Rev4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739" xr:uid="{00000000-0005-0000-0000-0000FC040000}"/>
    <cellStyle name="_laroux_3_PCCS CGL_SPM_견적 금액_재료비.Rev4_호주 CCL_견적금액_재료비_DDCRev0_호주 CCL_견적금액_재료비_DDCRev0_호주 CCL_견적금액_재료비_DDCRev0_견적전기 (최종)" xfId="1740" xr:uid="{00000000-0005-0000-0000-0000FD040000}"/>
    <cellStyle name="_laroux_3_PCCS CGL_SPM_견적 금액_재료비.Rev4_호주 CCL_견적금액_재료비_DDCRev0_호주 CCL_견적금액_재료비_DDCRev0_호주 CCL_견적금액_재료비_DDCRev0_견적전기 (최종)_2차 예산산출기준_050927 (여기에 수정하십시요)" xfId="1741" xr:uid="{00000000-0005-0000-0000-0000FE040000}"/>
    <cellStyle name="_laroux_3_PCCS CGL_SPM_견적 금액_재료비.Rev4_호주 CCL_견적금액_재료비_DDCRev0_호주 CCL_견적금액_재료비_DDCRev0_호주 CCL_견적금액_재료비_DDCRev0_견적전기 (최종)_kjw - PMS report 양식(총괄)_020220" xfId="1742" xr:uid="{00000000-0005-0000-0000-0000FF040000}"/>
    <cellStyle name="_laroux_3_PCCS CGL_SPM_견적 금액_재료비.Rev4_호주 CCL_견적금액_재료비_DDCRev0_호주 CCL_견적금액_재료비_DDCRev0_호주 CCL_견적금액_재료비_DDCRev0_견적전기 (최종)_kjw - PMS report 양식(총괄)_020220_2차 예산산출기준_050927 (여기에 수정하십시요)" xfId="1743" xr:uid="{00000000-0005-0000-0000-000000050000}"/>
    <cellStyle name="_laroux_3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" xfId="1744" xr:uid="{00000000-0005-0000-0000-000001050000}"/>
    <cellStyle name="_laroux_3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745" xr:uid="{00000000-0005-0000-0000-000002050000}"/>
    <cellStyle name="_laroux_3_PCCS CGL_SPM_견적 금액_재료비.Rev4_호주 CCL_견적금액_재료비_DDCRev0_호주 CCL_견적금액_재료비_DDCRev0_호주 CCL_견적금액_재료비_DDCRev0_견적전기 (최종)_복사본 ISP 1115 수배전설비 투자비등록(전제사항)" xfId="1746" xr:uid="{00000000-0005-0000-0000-000003050000}"/>
    <cellStyle name="_laroux_3_PCCS CGL_SPM_견적 금액_재료비.Rev4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747" xr:uid="{00000000-0005-0000-0000-000004050000}"/>
    <cellStyle name="_laroux_3_PCCS CGL_SPM_견적 금액_재료비.Rev4_호주 CCL_견적금액_재료비_DDCRev0_호주 CCL_견적금액_재료비_DDCRev0_호주 CCL_견적금액_재료비_DDCRev0_복사본 ISP 1115 수배전설비 투자비등록(전제사항)" xfId="1748" xr:uid="{00000000-0005-0000-0000-000005050000}"/>
    <cellStyle name="_laroux_3_PCCS CGL_SPM_견적 금액_재료비.Rev4_호주 CCL_견적금액_재료비_DDCRev0_호주 CCL_견적금액_재료비_DDCRev0_호주 CCL_견적금액_재료비_DDCRev0_복사본 ISP 1115 수배전설비 투자비등록(전제사항)_2차 예산산출기준_050927 (여기에 수정하십시요)" xfId="1749" xr:uid="{00000000-0005-0000-0000-000006050000}"/>
    <cellStyle name="_laroux_3_Type별 금액_DDC_POSCON_POSTAR-7000" xfId="1750" xr:uid="{00000000-0005-0000-0000-000007050000}"/>
    <cellStyle name="_laroux_3_Type별 금액_DDC_POSCON_POSTAR-7000_2차 예산산출기준_050927 (여기에 수정하십시요)" xfId="1751" xr:uid="{00000000-0005-0000-0000-000008050000}"/>
    <cellStyle name="_laroux_3_Type별 금액_DDC_POSCON_POSTAR-7000_kjw - PMS report 양식(총괄)_020220" xfId="1752" xr:uid="{00000000-0005-0000-0000-000009050000}"/>
    <cellStyle name="_laroux_3_Type별 금액_DDC_POSCON_POSTAR-7000_kjw - PMS report 양식(총괄)_020220_2차 예산산출기준_050927 (여기에 수정하십시요)" xfId="1753" xr:uid="{00000000-0005-0000-0000-00000A050000}"/>
    <cellStyle name="_laroux_3_Type별 금액_DDC_POSCON_POSTAR-7000_kjw - PMS report 양식(총괄)_020220_복사본 ISP 1115 수배전설비 투자비등록(전제사항)" xfId="1754" xr:uid="{00000000-0005-0000-0000-00000B050000}"/>
    <cellStyle name="_laroux_3_Type별 금액_DDC_POSCON_POSTAR-7000_kjw - PMS report 양식(총괄)_020220_복사본 ISP 1115 수배전설비 투자비등록(전제사항)_2차 예산산출기준_050927 (여기에 수정하십시요)" xfId="1755" xr:uid="{00000000-0005-0000-0000-00000C050000}"/>
    <cellStyle name="_laroux_3_Type별 금액_DDC_POSCON_POSTAR-7000_견적전기 (최종)" xfId="1756" xr:uid="{00000000-0005-0000-0000-00000D050000}"/>
    <cellStyle name="_laroux_3_Type별 금액_DDC_POSCON_POSTAR-7000_견적전기 (최종)_2차 예산산출기준_050927 (여기에 수정하십시요)" xfId="1757" xr:uid="{00000000-0005-0000-0000-00000E050000}"/>
    <cellStyle name="_laroux_3_Type별 금액_DDC_POSCON_POSTAR-7000_견적전기 (최종)_kjw - PMS report 양식(총괄)_020220" xfId="1758" xr:uid="{00000000-0005-0000-0000-00000F050000}"/>
    <cellStyle name="_laroux_3_Type별 금액_DDC_POSCON_POSTAR-7000_견적전기 (최종)_kjw - PMS report 양식(총괄)_020220_2차 예산산출기준_050927 (여기에 수정하십시요)" xfId="1759" xr:uid="{00000000-0005-0000-0000-000010050000}"/>
    <cellStyle name="_laroux_3_Type별 금액_DDC_POSCON_POSTAR-7000_견적전기 (최종)_kjw - PMS report 양식(총괄)_020220_복사본 ISP 1115 수배전설비 투자비등록(전제사항)" xfId="1760" xr:uid="{00000000-0005-0000-0000-000011050000}"/>
    <cellStyle name="_laroux_3_Type별 금액_DDC_POSCON_POSTAR-7000_견적전기 (최종)_kjw - PMS report 양식(총괄)_020220_복사본 ISP 1115 수배전설비 투자비등록(전제사항)_2차 예산산출기준_050927 (여기에 수정하십시요)" xfId="1761" xr:uid="{00000000-0005-0000-0000-000012050000}"/>
    <cellStyle name="_laroux_3_Type별 금액_DDC_POSCON_POSTAR-7000_견적전기 (최종)_복사본 ISP 1115 수배전설비 투자비등록(전제사항)" xfId="1762" xr:uid="{00000000-0005-0000-0000-000013050000}"/>
    <cellStyle name="_laroux_3_Type별 금액_DDC_POSCON_POSTAR-7000_견적전기 (최종)_복사본 ISP 1115 수배전설비 투자비등록(전제사항)_2차 예산산출기준_050927 (여기에 수정하십시요)" xfId="1763" xr:uid="{00000000-0005-0000-0000-000014050000}"/>
    <cellStyle name="_laroux_3_Type별 금액_DDC_POSCON_POSTAR-7000_복사본 ISP 1115 수배전설비 투자비등록(전제사항)" xfId="1764" xr:uid="{00000000-0005-0000-0000-000015050000}"/>
    <cellStyle name="_laroux_3_Type별 금액_DDC_POSCON_POSTAR-7000_복사본 ISP 1115 수배전설비 투자비등록(전제사항)_2차 예산산출기준_050927 (여기에 수정하십시요)" xfId="1765" xr:uid="{00000000-0005-0000-0000-000016050000}"/>
    <cellStyle name="_laroux_3_Type별 금액_DDC_POSCON_POSTAR-7000_호주 CCL_견적금액_재료비_DDCRev0" xfId="1766" xr:uid="{00000000-0005-0000-0000-000017050000}"/>
    <cellStyle name="_laroux_3_Type별 금액_DDC_POSCON_POSTAR-7000_호주 CCL_견적금액_재료비_DDCRev0_2차 예산산출기준_050927 (여기에 수정하십시요)" xfId="1767" xr:uid="{00000000-0005-0000-0000-000018050000}"/>
    <cellStyle name="_laroux_3_Type별 금액_DDC_POSCON_POSTAR-7000_호주 CCL_견적금액_재료비_DDCRev0_kjw - PMS report 양식(총괄)_020220" xfId="1768" xr:uid="{00000000-0005-0000-0000-000019050000}"/>
    <cellStyle name="_laroux_3_Type별 금액_DDC_POSCON_POSTAR-7000_호주 CCL_견적금액_재료비_DDCRev0_kjw - PMS report 양식(총괄)_020220_2차 예산산출기준_050927 (여기에 수정하십시요)" xfId="1769" xr:uid="{00000000-0005-0000-0000-00001A050000}"/>
    <cellStyle name="_laroux_3_Type별 금액_DDC_POSCON_POSTAR-7000_호주 CCL_견적금액_재료비_DDCRev0_kjw - PMS report 양식(총괄)_020220_복사본 ISP 1115 수배전설비 투자비등록(전제사항)" xfId="1770" xr:uid="{00000000-0005-0000-0000-00001B050000}"/>
    <cellStyle name="_laroux_3_Type별 금액_DDC_POSCON_POSTAR-7000_호주 CCL_견적금액_재료비_DDCRev0_kjw - PMS report 양식(총괄)_020220_복사본 ISP 1115 수배전설비 투자비등록(전제사항)_2차 예산산출기준_050927 (여기에 수정하십시요)" xfId="1771" xr:uid="{00000000-0005-0000-0000-00001C050000}"/>
    <cellStyle name="_laroux_3_Type별 금액_DDC_POSCON_POSTAR-7000_호주 CCL_견적금액_재료비_DDCRev0_복사본 ISP 1115 수배전설비 투자비등록(전제사항)" xfId="1772" xr:uid="{00000000-0005-0000-0000-00001D050000}"/>
    <cellStyle name="_laroux_3_Type별 금액_DDC_POSCON_POSTAR-7000_호주 CCL_견적금액_재료비_DDCRev0_복사본 ISP 1115 수배전설비 투자비등록(전제사항)_2차 예산산출기준_050927 (여기에 수정하십시요)" xfId="1773" xr:uid="{00000000-0005-0000-0000-00001E050000}"/>
    <cellStyle name="_laroux_3_Type별 금액_DDC_POSCON_POSTAR-7000_호주 CCL_견적금액_재료비_DDCRev0_호주 CCL_견적금액_재료비_DDCRev0" xfId="1774" xr:uid="{00000000-0005-0000-0000-00001F050000}"/>
    <cellStyle name="_laroux_3_Type별 금액_DDC_POSCON_POSTAR-7000_호주 CCL_견적금액_재료비_DDCRev0_호주 CCL_견적금액_재료비_DDCRev0_2차 예산산출기준_050927 (여기에 수정하십시요)" xfId="1775" xr:uid="{00000000-0005-0000-0000-000020050000}"/>
    <cellStyle name="_laroux_3_Type별 금액_DDC_POSCON_POSTAR-7000_호주 CCL_견적금액_재료비_DDCRev0_호주 CCL_견적금액_재료비_DDCRev0_kjw - PMS report 양식(총괄)_020220" xfId="1776" xr:uid="{00000000-0005-0000-0000-000021050000}"/>
    <cellStyle name="_laroux_3_Type별 금액_DDC_POSCON_POSTAR-7000_호주 CCL_견적금액_재료비_DDCRev0_호주 CCL_견적금액_재료비_DDCRev0_kjw - PMS report 양식(총괄)_020220_2차 예산산출기준_050927 (여기에 수정하십시요)" xfId="1777" xr:uid="{00000000-0005-0000-0000-000022050000}"/>
    <cellStyle name="_laroux_3_Type별 금액_DDC_POSCON_POSTAR-7000_호주 CCL_견적금액_재료비_DDCRev0_호주 CCL_견적금액_재료비_DDCRev0_kjw - PMS report 양식(총괄)_020220_복사본 ISP 1115 수배전설비 투자비등록(전제사항)" xfId="1778" xr:uid="{00000000-0005-0000-0000-000023050000}"/>
    <cellStyle name="_laroux_3_Type별 금액_DDC_POSCON_POSTAR-7000_호주 CCL_견적금액_재료비_DDCRev0_호주 CCL_견적금액_재료비_DDCRev0_kjw - PMS report 양식(총괄)_020220_복사본 ISP 1115 수배전설비 투자비등록(전제사항)_2차 예산산출기준_050927 (여기에 수정하십시요)" xfId="1779" xr:uid="{00000000-0005-0000-0000-000024050000}"/>
    <cellStyle name="_laroux_3_Type별 금액_DDC_POSCON_POSTAR-7000_호주 CCL_견적금액_재료비_DDCRev0_호주 CCL_견적금액_재료비_DDCRev0_견적전기 (최종)" xfId="1780" xr:uid="{00000000-0005-0000-0000-000025050000}"/>
    <cellStyle name="_laroux_3_Type별 금액_DDC_POSCON_POSTAR-7000_호주 CCL_견적금액_재료비_DDCRev0_호주 CCL_견적금액_재료비_DDCRev0_견적전기 (최종)_2차 예산산출기준_050927 (여기에 수정하십시요)" xfId="1781" xr:uid="{00000000-0005-0000-0000-000026050000}"/>
    <cellStyle name="_laroux_3_Type별 금액_DDC_POSCON_POSTAR-7000_호주 CCL_견적금액_재료비_DDCRev0_호주 CCL_견적금액_재료비_DDCRev0_견적전기 (최종)_kjw - PMS report 양식(총괄)_020220" xfId="1782" xr:uid="{00000000-0005-0000-0000-000027050000}"/>
    <cellStyle name="_laroux_3_Type별 금액_DDC_POSCON_POSTAR-7000_호주 CCL_견적금액_재료비_DDCRev0_호주 CCL_견적금액_재료비_DDCRev0_견적전기 (최종)_kjw - PMS report 양식(총괄)_020220_2차 예산산출기준_050927 (여기에 수정하십시요)" xfId="1783" xr:uid="{00000000-0005-0000-0000-000028050000}"/>
    <cellStyle name="_laroux_3_Type별 금액_DDC_POSCON_POSTAR-7000_호주 CCL_견적금액_재료비_DDCRev0_호주 CCL_견적금액_재료비_DDCRev0_견적전기 (최종)_kjw - PMS report 양식(총괄)_020220_복사본 ISP 1115 수배전설비 투자비등록(전제사항)" xfId="1784" xr:uid="{00000000-0005-0000-0000-000029050000}"/>
    <cellStyle name="_laroux_3_Type별 금액_DDC_POSCON_POSTAR-700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785" xr:uid="{00000000-0005-0000-0000-00002A050000}"/>
    <cellStyle name="_laroux_3_Type별 금액_DDC_POSCON_POSTAR-7000_호주 CCL_견적금액_재료비_DDCRev0_호주 CCL_견적금액_재료비_DDCRev0_견적전기 (최종)_복사본 ISP 1115 수배전설비 투자비등록(전제사항)" xfId="1786" xr:uid="{00000000-0005-0000-0000-00002B050000}"/>
    <cellStyle name="_laroux_3_Type별 금액_DDC_POSCON_POSTAR-7000_호주 CCL_견적금액_재료비_DDCRev0_호주 CCL_견적금액_재료비_DDCRev0_견적전기 (최종)_복사본 ISP 1115 수배전설비 투자비등록(전제사항)_2차 예산산출기준_050927 (여기에 수정하십시요)" xfId="1787" xr:uid="{00000000-0005-0000-0000-00002C050000}"/>
    <cellStyle name="_laroux_3_Type별 금액_DDC_POSCON_POSTAR-7000_호주 CCL_견적금액_재료비_DDCRev0_호주 CCL_견적금액_재료비_DDCRev0_복사본 ISP 1115 수배전설비 투자비등록(전제사항)" xfId="1788" xr:uid="{00000000-0005-0000-0000-00002D050000}"/>
    <cellStyle name="_laroux_3_Type별 금액_DDC_POSCON_POSTAR-7000_호주 CCL_견적금액_재료비_DDCRev0_호주 CCL_견적금액_재료비_DDCRev0_복사본 ISP 1115 수배전설비 투자비등록(전제사항)_2차 예산산출기준_050927 (여기에 수정하십시요)" xfId="1789" xr:uid="{00000000-0005-0000-0000-00002E050000}"/>
    <cellStyle name="_laroux_3_복사본 ISP 1115 수배전설비 투자비등록(전제사항)" xfId="1790" xr:uid="{00000000-0005-0000-0000-00002F050000}"/>
    <cellStyle name="_laroux_3_복사본 ISP 1115 수배전설비 투자비등록(전제사항)_2차 예산산출기준_050927 (여기에 수정하십시요)" xfId="1791" xr:uid="{00000000-0005-0000-0000-000030050000}"/>
    <cellStyle name="_laroux_3_중국대련_PCCS No.2 CCL_견적 금액_재료비_Rev0" xfId="1792" xr:uid="{00000000-0005-0000-0000-000031050000}"/>
    <cellStyle name="_laroux_3_중국대련_PCCS No.2 CCL_견적 금액_재료비_Rev0_2차 예산산출기준_050927 (여기에 수정하십시요)" xfId="1793" xr:uid="{00000000-0005-0000-0000-000032050000}"/>
    <cellStyle name="_laroux_3_중국대련_PCCS No.2 CCL_견적 금액_재료비_Rev0_kjw - PMS report 양식(총괄)_020220" xfId="1794" xr:uid="{00000000-0005-0000-0000-000033050000}"/>
    <cellStyle name="_laroux_3_중국대련_PCCS No.2 CCL_견적 금액_재료비_Rev0_kjw - PMS report 양식(총괄)_020220_2차 예산산출기준_050927 (여기에 수정하십시요)" xfId="1795" xr:uid="{00000000-0005-0000-0000-000034050000}"/>
    <cellStyle name="_laroux_3_중국대련_PCCS No.2 CCL_견적 금액_재료비_Rev0_kjw - PMS report 양식(총괄)_020220_복사본 ISP 1115 수배전설비 투자비등록(전제사항)" xfId="1796" xr:uid="{00000000-0005-0000-0000-000035050000}"/>
    <cellStyle name="_laroux_3_중국대련_PCCS No.2 CCL_견적 금액_재료비_Rev0_kjw - PMS report 양식(총괄)_020220_복사본 ISP 1115 수배전설비 투자비등록(전제사항)_2차 예산산출기준_050927 (여기에 수정하십시요)" xfId="1797" xr:uid="{00000000-0005-0000-0000-000036050000}"/>
    <cellStyle name="_laroux_3_중국대련_PCCS No.2 CCL_견적 금액_재료비_Rev0_복사본 ISP 1115 수배전설비 투자비등록(전제사항)" xfId="1798" xr:uid="{00000000-0005-0000-0000-000037050000}"/>
    <cellStyle name="_laroux_3_중국대련_PCCS No.2 CCL_견적 금액_재료비_Rev0_복사본 ISP 1115 수배전설비 투자비등록(전제사항)_2차 예산산출기준_050927 (여기에 수정하십시요)" xfId="1799" xr:uid="{00000000-0005-0000-0000-000038050000}"/>
    <cellStyle name="_laroux_3_중국대련_PCCS No.2 CCL_견적 금액_재료비_Rev0_호주 CCL_견적금액_재료비_DDCRev0" xfId="1800" xr:uid="{00000000-0005-0000-0000-000039050000}"/>
    <cellStyle name="_laroux_3_중국대련_PCCS No.2 CCL_견적 금액_재료비_Rev0_호주 CCL_견적금액_재료비_DDCRev0_2차 예산산출기준_050927 (여기에 수정하십시요)" xfId="1801" xr:uid="{00000000-0005-0000-0000-00003A050000}"/>
    <cellStyle name="_laroux_3_중국대련_PCCS No.2 CCL_견적 금액_재료비_Rev0_호주 CCL_견적금액_재료비_DDCRev0_kjw - PMS report 양식(총괄)_020220" xfId="1802" xr:uid="{00000000-0005-0000-0000-00003B050000}"/>
    <cellStyle name="_laroux_3_중국대련_PCCS No.2 CCL_견적 금액_재료비_Rev0_호주 CCL_견적금액_재료비_DDCRev0_kjw - PMS report 양식(총괄)_020220_2차 예산산출기준_050927 (여기에 수정하십시요)" xfId="1803" xr:uid="{00000000-0005-0000-0000-00003C050000}"/>
    <cellStyle name="_laroux_3_중국대련_PCCS No.2 CCL_견적 금액_재료비_Rev0_호주 CCL_견적금액_재료비_DDCRev0_kjw - PMS report 양식(총괄)_020220_복사본 ISP 1115 수배전설비 투자비등록(전제사항)" xfId="1804" xr:uid="{00000000-0005-0000-0000-00003D050000}"/>
    <cellStyle name="_laroux_3_중국대련_PCCS No.2 CCL_견적 금액_재료비_Rev0_호주 CCL_견적금액_재료비_DDCRev0_kjw - PMS report 양식(총괄)_020220_복사본 ISP 1115 수배전설비 투자비등록(전제사항)_2차 예산산출기준_050927 (여기에 수정하십시요)" xfId="1805" xr:uid="{00000000-0005-0000-0000-00003E050000}"/>
    <cellStyle name="_laroux_3_중국대련_PCCS No.2 CCL_견적 금액_재료비_Rev0_호주 CCL_견적금액_재료비_DDCRev0_견적전기 (최종)" xfId="1806" xr:uid="{00000000-0005-0000-0000-00003F050000}"/>
    <cellStyle name="_laroux_3_중국대련_PCCS No.2 CCL_견적 금액_재료비_Rev0_호주 CCL_견적금액_재료비_DDCRev0_견적전기 (최종)_2차 예산산출기준_050927 (여기에 수정하십시요)" xfId="1807" xr:uid="{00000000-0005-0000-0000-000040050000}"/>
    <cellStyle name="_laroux_3_중국대련_PCCS No.2 CCL_견적 금액_재료비_Rev0_호주 CCL_견적금액_재료비_DDCRev0_견적전기 (최종)_kjw - PMS report 양식(총괄)_020220" xfId="1808" xr:uid="{00000000-0005-0000-0000-000041050000}"/>
    <cellStyle name="_laroux_3_중국대련_PCCS No.2 CCL_견적 금액_재료비_Rev0_호주 CCL_견적금액_재료비_DDCRev0_견적전기 (최종)_kjw - PMS report 양식(총괄)_020220_2차 예산산출기준_050927 (여기에 수정하십시요)" xfId="1809" xr:uid="{00000000-0005-0000-0000-000042050000}"/>
    <cellStyle name="_laroux_3_중국대련_PCCS No.2 CCL_견적 금액_재료비_Rev0_호주 CCL_견적금액_재료비_DDCRev0_견적전기 (최종)_kjw - PMS report 양식(총괄)_020220_복사본 ISP 1115 수배전설비 투자비등록(전제사항)" xfId="1810" xr:uid="{00000000-0005-0000-0000-000043050000}"/>
    <cellStyle name="_laroux_3_중국대련_PCCS No.2 CCL_견적 금액_재료비_Rev0_호주 CCL_견적금액_재료비_DDCRev0_견적전기 (최종)_kjw - PMS report 양식(총괄)_020220_복사본 ISP 1115 수배전설비 투자비등록(전제사항)_2차 예산산출기준_050927 (여기에 수정하십시요)" xfId="1811" xr:uid="{00000000-0005-0000-0000-000044050000}"/>
    <cellStyle name="_laroux_3_중국대련_PCCS No.2 CCL_견적 금액_재료비_Rev0_호주 CCL_견적금액_재료비_DDCRev0_견적전기 (최종)_복사본 ISP 1115 수배전설비 투자비등록(전제사항)" xfId="1812" xr:uid="{00000000-0005-0000-0000-000045050000}"/>
    <cellStyle name="_laroux_3_중국대련_PCCS No.2 CCL_견적 금액_재료비_Rev0_호주 CCL_견적금액_재료비_DDCRev0_견적전기 (최종)_복사본 ISP 1115 수배전설비 투자비등록(전제사항)_2차 예산산출기준_050927 (여기에 수정하십시요)" xfId="1813" xr:uid="{00000000-0005-0000-0000-000046050000}"/>
    <cellStyle name="_laroux_3_중국대련_PCCS No.2 CCL_견적 금액_재료비_Rev0_호주 CCL_견적금액_재료비_DDCRev0_복사본 ISP 1115 수배전설비 투자비등록(전제사항)" xfId="1814" xr:uid="{00000000-0005-0000-0000-000047050000}"/>
    <cellStyle name="_laroux_3_중국대련_PCCS No.2 CCL_견적 금액_재료비_Rev0_호주 CCL_견적금액_재료비_DDCRev0_복사본 ISP 1115 수배전설비 투자비등록(전제사항)_2차 예산산출기준_050927 (여기에 수정하십시요)" xfId="1815" xr:uid="{00000000-0005-0000-0000-000048050000}"/>
    <cellStyle name="_laroux_3_중국대련_PCCS No.2 CCL_견적 금액_재료비_Rev0_호주 CCL_견적금액_재료비_DDCRev0_호주 CCL_견적금액_재료비_DDCRev0" xfId="1816" xr:uid="{00000000-0005-0000-0000-000049050000}"/>
    <cellStyle name="_laroux_3_중국대련_PCCS No.2 CCL_견적 금액_재료비_Rev0_호주 CCL_견적금액_재료비_DDCRev0_호주 CCL_견적금액_재료비_DDCRev0_2차 예산산출기준_050927 (여기에 수정하십시요)" xfId="1817" xr:uid="{00000000-0005-0000-0000-00004A050000}"/>
    <cellStyle name="_laroux_3_중국대련_PCCS No.2 CCL_견적 금액_재료비_Rev0_호주 CCL_견적금액_재료비_DDCRev0_호주 CCL_견적금액_재료비_DDCRev0_kjw - PMS report 양식(총괄)_020220" xfId="1818" xr:uid="{00000000-0005-0000-0000-00004B050000}"/>
    <cellStyle name="_laroux_3_중국대련_PCCS No.2 CCL_견적 금액_재료비_Rev0_호주 CCL_견적금액_재료비_DDCRev0_호주 CCL_견적금액_재료비_DDCRev0_kjw - PMS report 양식(총괄)_020220_2차 예산산출기준_050927 (여기에 수정하십시요)" xfId="1819" xr:uid="{00000000-0005-0000-0000-00004C050000}"/>
    <cellStyle name="_laroux_3_중국대련_PCCS No.2 CCL_견적 금액_재료비_Rev0_호주 CCL_견적금액_재료비_DDCRev0_호주 CCL_견적금액_재료비_DDCRev0_kjw - PMS report 양식(총괄)_020220_복사본 ISP 1115 수배전설비 투자비등록(전제사항)" xfId="1820" xr:uid="{00000000-0005-0000-0000-00004D050000}"/>
    <cellStyle name="_laroux_3_중국대련_PCCS No.2 CCL_견적 금액_재료비_Rev0_호주 CCL_견적금액_재료비_DDCRev0_호주 CCL_견적금액_재료비_DDCRev0_kjw - PMS report 양식(총괄)_020220_복사본 ISP 1115 수배전설비 투자비등록(전제사항)_2차 예산산출기준_050927 (여기에 수정하십시요)" xfId="1821" xr:uid="{00000000-0005-0000-0000-00004E050000}"/>
    <cellStyle name="_laroux_3_중국대련_PCCS No.2 CCL_견적 금액_재료비_Rev0_호주 CCL_견적금액_재료비_DDCRev0_호주 CCL_견적금액_재료비_DDCRev0_복사본 ISP 1115 수배전설비 투자비등록(전제사항)" xfId="1822" xr:uid="{00000000-0005-0000-0000-00004F050000}"/>
    <cellStyle name="_laroux_3_중국대련_PCCS No.2 CCL_견적 금액_재료비_Rev0_호주 CCL_견적금액_재료비_DDCRev0_호주 CCL_견적금액_재료비_DDCRev0_복사본 ISP 1115 수배전설비 투자비등록(전제사항)_2차 예산산출기준_050927 (여기에 수정하십시요)" xfId="1823" xr:uid="{00000000-0005-0000-0000-000050050000}"/>
    <cellStyle name="_laroux_3_중국대련_PCCS No.2 CCL_견적 금액_재료비_Rev0_호주 CCL_견적금액_재료비_DDCRev0_호주 CCL_견적금액_재료비_DDCRev0_호주 CCL_견적금액_재료비_DDCRev0" xfId="1824" xr:uid="{00000000-0005-0000-0000-000051050000}"/>
    <cellStyle name="_laroux_3_중국대련_PCCS No.2 CCL_견적 금액_재료비_Rev0_호주 CCL_견적금액_재료비_DDCRev0_호주 CCL_견적금액_재료비_DDCRev0_호주 CCL_견적금액_재료비_DDCRev0_2차 예산산출기준_050927 (여기에 수정하십시요)" xfId="1825" xr:uid="{00000000-0005-0000-0000-000052050000}"/>
    <cellStyle name="_laroux_3_중국대련_PCCS No.2 CCL_견적 금액_재료비_Rev0_호주 CCL_견적금액_재료비_DDCRev0_호주 CCL_견적금액_재료비_DDCRev0_호주 CCL_견적금액_재료비_DDCRev0_kjw - PMS report 양식(총괄)_020220" xfId="1826" xr:uid="{00000000-0005-0000-0000-000053050000}"/>
    <cellStyle name="_laroux_3_중국대련_PCCS No.2 CCL_견적 금액_재료비_Rev0_호주 CCL_견적금액_재료비_DDCRev0_호주 CCL_견적금액_재료비_DDCRev0_호주 CCL_견적금액_재료비_DDCRev0_kjw - PMS report 양식(총괄)_020220_2차 예산산출기준_050927 (여기에 수정하십시요)" xfId="1827" xr:uid="{00000000-0005-0000-0000-000054050000}"/>
    <cellStyle name="_laroux_3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" xfId="1828" xr:uid="{00000000-0005-0000-0000-000055050000}"/>
    <cellStyle name="_laroux_3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829" xr:uid="{00000000-0005-0000-0000-000056050000}"/>
    <cellStyle name="_laroux_3_중국대련_PCCS No.2 CCL_견적 금액_재료비_Rev0_호주 CCL_견적금액_재료비_DDCRev0_호주 CCL_견적금액_재료비_DDCRev0_호주 CCL_견적금액_재료비_DDCRev0_견적전기 (최종)" xfId="1830" xr:uid="{00000000-0005-0000-0000-000057050000}"/>
    <cellStyle name="_laroux_3_중국대련_PCCS No.2 CCL_견적 금액_재료비_Rev0_호주 CCL_견적금액_재료비_DDCRev0_호주 CCL_견적금액_재료비_DDCRev0_호주 CCL_견적금액_재료비_DDCRev0_견적전기 (최종)_2차 예산산출기준_050927 (여기에 수정하십시요)" xfId="1831" xr:uid="{00000000-0005-0000-0000-00005805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" xfId="1832" xr:uid="{00000000-0005-0000-0000-00005905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_2차 예산산출기준_050927 (여기에 수정하십시요)" xfId="1833" xr:uid="{00000000-0005-0000-0000-00005A05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" xfId="1834" xr:uid="{00000000-0005-0000-0000-00005B050000}"/>
    <cellStyle name="_laroux_3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835" xr:uid="{00000000-0005-0000-0000-00005C050000}"/>
    <cellStyle name="_laroux_3_중국대련_PCCS No.2 CCL_견적 금액_재료비_Rev0_호주 CCL_견적금액_재료비_DDCRev0_호주 CCL_견적금액_재료비_DDCRev0_호주 CCL_견적금액_재료비_DDCRev0_견적전기 (최종)_복사본 ISP 1115 수배전설비 투자비등록(전제사항)" xfId="1836" xr:uid="{00000000-0005-0000-0000-00005D050000}"/>
    <cellStyle name="_laroux_3_중국대련_PCCS No.2 CCL_견적 금액_재료비_Rev0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837" xr:uid="{00000000-0005-0000-0000-00005E050000}"/>
    <cellStyle name="_laroux_3_중국대련_PCCS No.2 CCL_견적 금액_재료비_Rev0_호주 CCL_견적금액_재료비_DDCRev0_호주 CCL_견적금액_재료비_DDCRev0_호주 CCL_견적금액_재료비_DDCRev0_복사본 ISP 1115 수배전설비 투자비등록(전제사항)" xfId="1838" xr:uid="{00000000-0005-0000-0000-00005F050000}"/>
    <cellStyle name="_laroux_3_중국대련_PCCS No.2 CCL_견적 금액_재료비_Rev0_호주 CCL_견적금액_재료비_DDCRev0_호주 CCL_견적금액_재료비_DDCRev0_호주 CCL_견적금액_재료비_DDCRev0_복사본 ISP 1115 수배전설비 투자비등록(전제사항)_2차 예산산출기준_050927 (여기에 수정하십시요)" xfId="1839" xr:uid="{00000000-0005-0000-0000-000060050000}"/>
    <cellStyle name="_laroux_3_중국안산_No.2 CGL_견적 금액_재료비 통보" xfId="1840" xr:uid="{00000000-0005-0000-0000-000061050000}"/>
    <cellStyle name="_laroux_3_중국안산_No.2 CGL_견적 금액_재료비 통보_2차 예산산출기준_050927 (여기에 수정하십시요)" xfId="1841" xr:uid="{00000000-0005-0000-0000-000062050000}"/>
    <cellStyle name="_laroux_3_중국안산_No.2 CGL_견적 금액_재료비 통보_kjw - PMS report 양식(총괄)_020220" xfId="1842" xr:uid="{00000000-0005-0000-0000-000063050000}"/>
    <cellStyle name="_laroux_3_중국안산_No.2 CGL_견적 금액_재료비 통보_kjw - PMS report 양식(총괄)_020220_2차 예산산출기준_050927 (여기에 수정하십시요)" xfId="1843" xr:uid="{00000000-0005-0000-0000-000064050000}"/>
    <cellStyle name="_laroux_3_중국안산_No.2 CGL_견적 금액_재료비 통보_kjw - PMS report 양식(총괄)_020220_복사본 ISP 1115 수배전설비 투자비등록(전제사항)" xfId="1844" xr:uid="{00000000-0005-0000-0000-000065050000}"/>
    <cellStyle name="_laroux_3_중국안산_No.2 CGL_견적 금액_재료비 통보_kjw - PMS report 양식(총괄)_020220_복사본 ISP 1115 수배전설비 투자비등록(전제사항)_2차 예산산출기준_050927 (여기에 수정하십시요)" xfId="1845" xr:uid="{00000000-0005-0000-0000-000066050000}"/>
    <cellStyle name="_laroux_3_중국안산_No.2 CGL_견적 금액_재료비 통보_PCCS CGL_SPM_견적 금액_재료비 통보" xfId="1846" xr:uid="{00000000-0005-0000-0000-000067050000}"/>
    <cellStyle name="_laroux_3_중국안산_No.2 CGL_견적 금액_재료비 통보_PCCS CGL_SPM_견적 금액_재료비 통보_2차 예산산출기준_050927 (여기에 수정하십시요)" xfId="1847" xr:uid="{00000000-0005-0000-0000-000068050000}"/>
    <cellStyle name="_laroux_3_중국안산_No.2 CGL_견적 금액_재료비 통보_PCCS CGL_SPM_견적 금액_재료비 통보_kjw - PMS report 양식(총괄)_020220" xfId="1848" xr:uid="{00000000-0005-0000-0000-000069050000}"/>
    <cellStyle name="_laroux_3_중국안산_No.2 CGL_견적 금액_재료비 통보_PCCS CGL_SPM_견적 금액_재료비 통보_kjw - PMS report 양식(총괄)_020220_2차 예산산출기준_050927 (여기에 수정하십시요)" xfId="1849" xr:uid="{00000000-0005-0000-0000-00006A050000}"/>
    <cellStyle name="_laroux_3_중국안산_No.2 CGL_견적 금액_재료비 통보_PCCS CGL_SPM_견적 금액_재료비 통보_kjw - PMS report 양식(총괄)_020220_복사본 ISP 1115 수배전설비 투자비등록(전제사항)" xfId="1850" xr:uid="{00000000-0005-0000-0000-00006B050000}"/>
    <cellStyle name="_laroux_3_중국안산_No.2 CGL_견적 금액_재료비 통보_PCCS CGL_SPM_견적 금액_재료비 통보_kjw - PMS report 양식(총괄)_020220_복사본 ISP 1115 수배전설비 투자비등록(전제사항)_2차 예산산출기준_050927 (여기에 수정하십시요)" xfId="1851" xr:uid="{00000000-0005-0000-0000-00006C050000}"/>
    <cellStyle name="_laroux_3_중국안산_No.2 CGL_견적 금액_재료비 통보_PCCS CGL_SPM_견적 금액_재료비 통보_복사본 ISP 1115 수배전설비 투자비등록(전제사항)" xfId="1852" xr:uid="{00000000-0005-0000-0000-00006D050000}"/>
    <cellStyle name="_laroux_3_중국안산_No.2 CGL_견적 금액_재료비 통보_PCCS CGL_SPM_견적 금액_재료비 통보_복사본 ISP 1115 수배전설비 투자비등록(전제사항)_2차 예산산출기준_050927 (여기에 수정하십시요)" xfId="1853" xr:uid="{00000000-0005-0000-0000-00006E050000}"/>
    <cellStyle name="_laroux_3_중국안산_No.2 CGL_견적 금액_재료비 통보_PCCS CGL_SPM_견적 금액_재료비 통보_호주 CCL_견적금액_재료비_DDCRev0" xfId="1854" xr:uid="{00000000-0005-0000-0000-00006F050000}"/>
    <cellStyle name="_laroux_3_중국안산_No.2 CGL_견적 금액_재료비 통보_PCCS CGL_SPM_견적 금액_재료비 통보_호주 CCL_견적금액_재료비_DDCRev0_2차 예산산출기준_050927 (여기에 수정하십시요)" xfId="1855" xr:uid="{00000000-0005-0000-0000-000070050000}"/>
    <cellStyle name="_laroux_3_중국안산_No.2 CGL_견적 금액_재료비 통보_PCCS CGL_SPM_견적 금액_재료비 통보_호주 CCL_견적금액_재료비_DDCRev0_kjw - PMS report 양식(총괄)_020220" xfId="1856" xr:uid="{00000000-0005-0000-0000-000071050000}"/>
    <cellStyle name="_laroux_3_중국안산_No.2 CGL_견적 금액_재료비 통보_PCCS CGL_SPM_견적 금액_재료비 통보_호주 CCL_견적금액_재료비_DDCRev0_kjw - PMS report 양식(총괄)_020220_2차 예산산출기준_050927 (여기에 수정하십시요)" xfId="1857" xr:uid="{00000000-0005-0000-0000-000072050000}"/>
    <cellStyle name="_laroux_3_중국안산_No.2 CGL_견적 금액_재료비 통보_PCCS CGL_SPM_견적 금액_재료비 통보_호주 CCL_견적금액_재료비_DDCRev0_kjw - PMS report 양식(총괄)_020220_복사본 ISP 1115 수배전설비 투자비등록(전제사항)" xfId="1858" xr:uid="{00000000-0005-0000-0000-000073050000}"/>
    <cellStyle name="_laroux_3_중국안산_No.2 CGL_견적 금액_재료비 통보_PCCS CGL_SPM_견적 금액_재료비 통보_호주 CCL_견적금액_재료비_DDCRev0_kjw - PMS report 양식(총괄)_020220_복사본 ISP 1115 수배전설비 투자비등록(전제사항)_2차 예산산출기준_050927 (여기에 수정하십시요)" xfId="1859" xr:uid="{00000000-0005-0000-0000-000074050000}"/>
    <cellStyle name="_laroux_3_중국안산_No.2 CGL_견적 금액_재료비 통보_PCCS CGL_SPM_견적 금액_재료비 통보_호주 CCL_견적금액_재료비_DDCRev0_견적전기 (최종)" xfId="1860" xr:uid="{00000000-0005-0000-0000-000075050000}"/>
    <cellStyle name="_laroux_3_중국안산_No.2 CGL_견적 금액_재료비 통보_PCCS CGL_SPM_견적 금액_재료비 통보_호주 CCL_견적금액_재료비_DDCRev0_견적전기 (최종)_2차 예산산출기준_050927 (여기에 수정하십시요)" xfId="1861" xr:uid="{00000000-0005-0000-0000-000076050000}"/>
    <cellStyle name="_laroux_3_중국안산_No.2 CGL_견적 금액_재료비 통보_PCCS CGL_SPM_견적 금액_재료비 통보_호주 CCL_견적금액_재료비_DDCRev0_견적전기 (최종)_kjw - PMS report 양식(총괄)_020220" xfId="1862" xr:uid="{00000000-0005-0000-0000-000077050000}"/>
    <cellStyle name="_laroux_3_중국안산_No.2 CGL_견적 금액_재료비 통보_PCCS CGL_SPM_견적 금액_재료비 통보_호주 CCL_견적금액_재료비_DDCRev0_견적전기 (최종)_kjw - PMS report 양식(총괄)_020220_2차 예산산출기준_050927 (여기에 수정하십시요)" xfId="1863" xr:uid="{00000000-0005-0000-0000-000078050000}"/>
    <cellStyle name="_laroux_3_중국안산_No.2 CGL_견적 금액_재료비 통보_PCCS CGL_SPM_견적 금액_재료비 통보_호주 CCL_견적금액_재료비_DDCRev0_견적전기 (최종)_kjw - PMS report 양식(총괄)_020220_복사본 ISP 1115 수배전설비 투자비등록(전제사항)" xfId="1864" xr:uid="{00000000-0005-0000-0000-000079050000}"/>
    <cellStyle name="_laroux_3_중국안산_No.2 CGL_견적 금액_재료비 통보_PCCS CGL_SPM_견적 금액_재료비 통보_호주 CCL_견적금액_재료비_DDCRev0_견적전기 (최종)_kjw - PMS report 양식(총괄)_020220_복사본 ISP 1115 수배전설비 투자비등록(전제사항)_2차 예산산출기준_050927 (여기에 수정하십시요)" xfId="1865" xr:uid="{00000000-0005-0000-0000-00007A050000}"/>
    <cellStyle name="_laroux_3_중국안산_No.2 CGL_견적 금액_재료비 통보_PCCS CGL_SPM_견적 금액_재료비 통보_호주 CCL_견적금액_재료비_DDCRev0_견적전기 (최종)_복사본 ISP 1115 수배전설비 투자비등록(전제사항)" xfId="1866" xr:uid="{00000000-0005-0000-0000-00007B050000}"/>
    <cellStyle name="_laroux_3_중국안산_No.2 CGL_견적 금액_재료비 통보_PCCS CGL_SPM_견적 금액_재료비 통보_호주 CCL_견적금액_재료비_DDCRev0_견적전기 (최종)_복사본 ISP 1115 수배전설비 투자비등록(전제사항)_2차 예산산출기준_050927 (여기에 수정하십시요)" xfId="1867" xr:uid="{00000000-0005-0000-0000-00007C050000}"/>
    <cellStyle name="_laroux_3_중국안산_No.2 CGL_견적 금액_재료비 통보_PCCS CGL_SPM_견적 금액_재료비 통보_호주 CCL_견적금액_재료비_DDCRev0_복사본 ISP 1115 수배전설비 투자비등록(전제사항)" xfId="1868" xr:uid="{00000000-0005-0000-0000-00007D050000}"/>
    <cellStyle name="_laroux_3_중국안산_No.2 CGL_견적 금액_재료비 통보_PCCS CGL_SPM_견적 금액_재료비 통보_호주 CCL_견적금액_재료비_DDCRev0_복사본 ISP 1115 수배전설비 투자비등록(전제사항)_2차 예산산출기준_050927 (여기에 수정하십시요)" xfId="1869" xr:uid="{00000000-0005-0000-0000-00007E050000}"/>
    <cellStyle name="_laroux_3_중국안산_No.2 CGL_견적 금액_재료비 통보_PCCS CGL_SPM_견적 금액_재료비 통보_호주 CCL_견적금액_재료비_DDCRev0_호주 CCL_견적금액_재료비_DDCRev0" xfId="1870" xr:uid="{00000000-0005-0000-0000-00007F050000}"/>
    <cellStyle name="_laroux_3_중국안산_No.2 CGL_견적 금액_재료비 통보_PCCS CGL_SPM_견적 금액_재료비 통보_호주 CCL_견적금액_재료비_DDCRev0_호주 CCL_견적금액_재료비_DDCRev0_2차 예산산출기준_050927 (여기에 수정하십시요)" xfId="1871" xr:uid="{00000000-0005-0000-0000-000080050000}"/>
    <cellStyle name="_laroux_3_중국안산_No.2 CGL_견적 금액_재료비 통보_PCCS CGL_SPM_견적 금액_재료비 통보_호주 CCL_견적금액_재료비_DDCRev0_호주 CCL_견적금액_재료비_DDCRev0_kjw - PMS report 양식(총괄)_020220" xfId="1872" xr:uid="{00000000-0005-0000-0000-000081050000}"/>
    <cellStyle name="_laroux_3_중국안산_No.2 CGL_견적 금액_재료비 통보_PCCS CGL_SPM_견적 금액_재료비 통보_호주 CCL_견적금액_재료비_DDCRev0_호주 CCL_견적금액_재료비_DDCRev0_kjw - PMS report 양식(총괄)_020220_2차 예산산출기준_050927 (여기에 수정하십시요)" xfId="1873" xr:uid="{00000000-0005-0000-0000-000082050000}"/>
    <cellStyle name="_laroux_3_중국안산_No.2 CGL_견적 금액_재료비 통보_PCCS CGL_SPM_견적 금액_재료비 통보_호주 CCL_견적금액_재료비_DDCRev0_호주 CCL_견적금액_재료비_DDCRev0_kjw - PMS report 양식(총괄)_020220_복사본 ISP 1115 수배전설비 투자비등록(전제사항)" xfId="1874" xr:uid="{00000000-0005-0000-0000-000083050000}"/>
    <cellStyle name="_laroux_3_중국안산_No.2 CGL_견적 금액_재료비 통보_PCCS CGL_SPM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1875" xr:uid="{00000000-0005-0000-0000-000084050000}"/>
    <cellStyle name="_laroux_3_중국안산_No.2 CGL_견적 금액_재료비 통보_PCCS CGL_SPM_견적 금액_재료비 통보_호주 CCL_견적금액_재료비_DDCRev0_호주 CCL_견적금액_재료비_DDCRev0_복사본 ISP 1115 수배전설비 투자비등록(전제사항)" xfId="1876" xr:uid="{00000000-0005-0000-0000-000085050000}"/>
    <cellStyle name="_laroux_3_중국안산_No.2 CGL_견적 금액_재료비 통보_PCCS CGL_SPM_견적 금액_재료비 통보_호주 CCL_견적금액_재료비_DDCRev0_호주 CCL_견적금액_재료비_DDCRev0_복사본 ISP 1115 수배전설비 투자비등록(전제사항)_2차 예산산출기준_050927 (여기에 수정하십시요)" xfId="1877" xr:uid="{00000000-0005-0000-0000-000086050000}"/>
    <cellStyle name="_laroux_3_중국안산_No.2 CGL_견적 금액_재료비 통보_PCCS CGL_SPM_견적 금액_재료비 통보_호주 CCL_견적금액_재료비_DDCRev0_호주 CCL_견적금액_재료비_DDCRev0_호주 CCL_견적금액_재료비_DDCRev0" xfId="1878" xr:uid="{00000000-0005-0000-0000-000087050000}"/>
    <cellStyle name="_laroux_3_중국안산_No.2 CGL_견적 금액_재료비 통보_PCCS CGL_SPM_견적 금액_재료비 통보_호주 CCL_견적금액_재료비_DDCRev0_호주 CCL_견적금액_재료비_DDCRev0_호주 CCL_견적금액_재료비_DDCRev0_2차 예산산출기준_050927 (여기에 수정하십시요)" xfId="1879" xr:uid="{00000000-0005-0000-0000-00008805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" xfId="1880" xr:uid="{00000000-0005-0000-0000-00008905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_2차 예산산출기준_050927 (여기에 수정하십시요)" xfId="1881" xr:uid="{00000000-0005-0000-0000-00008A05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_복사본 ISP 1115 수배전설비 투자비등록(전제사항)" xfId="1882" xr:uid="{00000000-0005-0000-0000-00008B050000}"/>
    <cellStyle name="_laroux_3_중국안산_No.2 CGL_견적 금액_재료비 통보_PCCS CGL_SPM_견적 금액_재료비 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883" xr:uid="{00000000-0005-0000-0000-00008C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" xfId="1884" xr:uid="{00000000-0005-0000-0000-00008D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2차 예산산출기준_050927 (여기에 수정하십시요)" xfId="1885" xr:uid="{00000000-0005-0000-0000-00008E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" xfId="1886" xr:uid="{00000000-0005-0000-0000-00008F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_2차 예산산출기준_050927 (여기에 수정하십시요)" xfId="1887" xr:uid="{00000000-0005-0000-0000-000090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" xfId="1888" xr:uid="{00000000-0005-0000-0000-000091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889" xr:uid="{00000000-0005-0000-0000-000092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복사본 ISP 1115 수배전설비 투자비등록(전제사항)" xfId="1890" xr:uid="{00000000-0005-0000-0000-000093050000}"/>
    <cellStyle name="_laroux_3_중국안산_No.2 CGL_견적 금액_재료비 통보_PCCS CGL_SPM_견적 금액_재료비 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891" xr:uid="{00000000-0005-0000-0000-000094050000}"/>
    <cellStyle name="_laroux_3_중국안산_No.2 CGL_견적 금액_재료비 통보_PCCS CGL_SPM_견적 금액_재료비 통보_호주 CCL_견적금액_재료비_DDCRev0_호주 CCL_견적금액_재료비_DDCRev0_호주 CCL_견적금액_재료비_DDCRev0_복사본 ISP 1115 수배전설비 투자비등록(전제사항)" xfId="1892" xr:uid="{00000000-0005-0000-0000-000095050000}"/>
    <cellStyle name="_laroux_3_중국안산_No.2 CGL_견적 금액_재료비 통보_PCCS CGL_SPM_견적 금액_재료비 통보_호주 CCL_견적금액_재료비_DDCRev0_호주 CCL_견적금액_재료비_DDCRev0_호주 CCL_견적금액_재료비_DDCRev0_복사본 ISP 1115 수배전설비 투자비등록(전제사항)_2차 예산산출기준_050927 (여기에 수정하십시요)" xfId="1893" xr:uid="{00000000-0005-0000-0000-000096050000}"/>
    <cellStyle name="_laroux_3_중국안산_No.2 CGL_견적 금액_재료비 통보_PCCS CGL_SPM_실행금액_재료비.Rev7(Mini일부)" xfId="1894" xr:uid="{00000000-0005-0000-0000-000097050000}"/>
    <cellStyle name="_laroux_3_중국안산_No.2 CGL_견적 금액_재료비 통보_PCCS CGL_SPM_실행금액_재료비.Rev7(Mini일부)_2차 예산산출기준_050927 (여기에 수정하십시요)" xfId="1895" xr:uid="{00000000-0005-0000-0000-000098050000}"/>
    <cellStyle name="_laroux_3_중국안산_No.2 CGL_견적 금액_재료비 통보_PCCS CGL_SPM_실행금액_재료비.Rev7(Mini일부)_kjw - PMS report 양식(총괄)_020220" xfId="1896" xr:uid="{00000000-0005-0000-0000-000099050000}"/>
    <cellStyle name="_laroux_3_중국안산_No.2 CGL_견적 금액_재료비 통보_PCCS CGL_SPM_실행금액_재료비.Rev7(Mini일부)_kjw - PMS report 양식(총괄)_020220_2차 예산산출기준_050927 (여기에 수정하십시요)" xfId="1897" xr:uid="{00000000-0005-0000-0000-00009A050000}"/>
    <cellStyle name="_laroux_3_중국안산_No.2 CGL_견적 금액_재료비 통보_PCCS CGL_SPM_실행금액_재료비.Rev7(Mini일부)_kjw - PMS report 양식(총괄)_020220_복사본 ISP 1115 수배전설비 투자비등록(전제사항)" xfId="1898" xr:uid="{00000000-0005-0000-0000-00009B050000}"/>
    <cellStyle name="_laroux_3_중국안산_No.2 CGL_견적 금액_재료비 통보_PCCS CGL_SPM_실행금액_재료비.Rev7(Mini일부)_kjw - PMS report 양식(총괄)_020220_복사본 ISP 1115 수배전설비 투자비등록(전제사항)_2차 예산산출기준_050927 (여기에 수정하십시요)" xfId="1899" xr:uid="{00000000-0005-0000-0000-00009C050000}"/>
    <cellStyle name="_laroux_3_중국안산_No.2 CGL_견적 금액_재료비 통보_PCCS CGL_SPM_실행금액_재료비.Rev7(Mini일부)_복사본 ISP 1115 수배전설비 투자비등록(전제사항)" xfId="1900" xr:uid="{00000000-0005-0000-0000-00009D050000}"/>
    <cellStyle name="_laroux_3_중국안산_No.2 CGL_견적 금액_재료비 통보_PCCS CGL_SPM_실행금액_재료비.Rev7(Mini일부)_복사본 ISP 1115 수배전설비 투자비등록(전제사항)_2차 예산산출기준_050927 (여기에 수정하십시요)" xfId="1901" xr:uid="{00000000-0005-0000-0000-00009E050000}"/>
    <cellStyle name="_laroux_3_중국안산_No.2 CGL_견적 금액_재료비 통보_PCCS CGL_SPM_실행금액_재료비.Rev7(Mini일부)_호주 CCL_견적금액_재료비_DDCRev0" xfId="1902" xr:uid="{00000000-0005-0000-0000-00009F050000}"/>
    <cellStyle name="_laroux_3_중국안산_No.2 CGL_견적 금액_재료비 통보_PCCS CGL_SPM_실행금액_재료비.Rev7(Mini일부)_호주 CCL_견적금액_재료비_DDCRev0_2차 예산산출기준_050927 (여기에 수정하십시요)" xfId="1903" xr:uid="{00000000-0005-0000-0000-0000A0050000}"/>
    <cellStyle name="_laroux_3_중국안산_No.2 CGL_견적 금액_재료비 통보_PCCS CGL_SPM_실행금액_재료비.Rev7(Mini일부)_호주 CCL_견적금액_재료비_DDCRev0_kjw - PMS report 양식(총괄)_020220" xfId="1904" xr:uid="{00000000-0005-0000-0000-0000A1050000}"/>
    <cellStyle name="_laroux_3_중국안산_No.2 CGL_견적 금액_재료비 통보_PCCS CGL_SPM_실행금액_재료비.Rev7(Mini일부)_호주 CCL_견적금액_재료비_DDCRev0_kjw - PMS report 양식(총괄)_020220_2차 예산산출기준_050927 (여기에 수정하십시요)" xfId="1905" xr:uid="{00000000-0005-0000-0000-0000A2050000}"/>
    <cellStyle name="_laroux_3_중국안산_No.2 CGL_견적 금액_재료비 통보_PCCS CGL_SPM_실행금액_재료비.Rev7(Mini일부)_호주 CCL_견적금액_재료비_DDCRev0_kjw - PMS report 양식(총괄)_020220_복사본 ISP 1115 수배전설비 투자비등록(전제사항)" xfId="1906" xr:uid="{00000000-0005-0000-0000-0000A3050000}"/>
    <cellStyle name="_laroux_3_중국안산_No.2 CGL_견적 금액_재료비 통보_PCCS CGL_SPM_실행금액_재료비.Rev7(Mini일부)_호주 CCL_견적금액_재료비_DDCRev0_kjw - PMS report 양식(총괄)_020220_복사본 ISP 1115 수배전설비 투자비등록(전제사항)_2차 예산산출기준_050927 (여기에 수정하십시요)" xfId="1907" xr:uid="{00000000-0005-0000-0000-0000A4050000}"/>
    <cellStyle name="_laroux_3_중국안산_No.2 CGL_견적 금액_재료비 통보_PCCS CGL_SPM_실행금액_재료비.Rev7(Mini일부)_호주 CCL_견적금액_재료비_DDCRev0_견적전기 (최종)" xfId="1908" xr:uid="{00000000-0005-0000-0000-0000A5050000}"/>
    <cellStyle name="_laroux_3_중국안산_No.2 CGL_견적 금액_재료비 통보_PCCS CGL_SPM_실행금액_재료비.Rev7(Mini일부)_호주 CCL_견적금액_재료비_DDCRev0_견적전기 (최종)_2차 예산산출기준_050927 (여기에 수정하십시요)" xfId="1909" xr:uid="{00000000-0005-0000-0000-0000A6050000}"/>
    <cellStyle name="_laroux_3_중국안산_No.2 CGL_견적 금액_재료비 통보_PCCS CGL_SPM_실행금액_재료비.Rev7(Mini일부)_호주 CCL_견적금액_재료비_DDCRev0_견적전기 (최종)_kjw - PMS report 양식(총괄)_020220" xfId="1910" xr:uid="{00000000-0005-0000-0000-0000A7050000}"/>
    <cellStyle name="_laroux_3_중국안산_No.2 CGL_견적 금액_재료비 통보_PCCS CGL_SPM_실행금액_재료비.Rev7(Mini일부)_호주 CCL_견적금액_재료비_DDCRev0_견적전기 (최종)_kjw - PMS report 양식(총괄)_020220_2차 예산산출기준_050927 (여기에 수정하십시요)" xfId="1911" xr:uid="{00000000-0005-0000-0000-0000A8050000}"/>
    <cellStyle name="_laroux_3_중국안산_No.2 CGL_견적 금액_재료비 통보_PCCS CGL_SPM_실행금액_재료비.Rev7(Mini일부)_호주 CCL_견적금액_재료비_DDCRev0_견적전기 (최종)_kjw - PMS report 양식(총괄)_020220_복사본 ISP 1115 수배전설비 투자비등록(전제사항)" xfId="1912" xr:uid="{00000000-0005-0000-0000-0000A9050000}"/>
    <cellStyle name="_laroux_3_중국안산_No.2 CGL_견적 금액_재료비 통보_PCCS CGL_SPM_실행금액_재료비.Rev7(Mini일부)_호주 CCL_견적금액_재료비_DDCRev0_견적전기 (최종)_kjw - PMS report 양식(총괄)_020220_복사본 ISP 1115 수배전설비 투자비등록(전제사항)_2차 예산산출기준_050927 (여기에 수정하십시요)" xfId="1913" xr:uid="{00000000-0005-0000-0000-0000AA050000}"/>
    <cellStyle name="_laroux_3_중국안산_No.2 CGL_견적 금액_재료비 통보_PCCS CGL_SPM_실행금액_재료비.Rev7(Mini일부)_호주 CCL_견적금액_재료비_DDCRev0_견적전기 (최종)_복사본 ISP 1115 수배전설비 투자비등록(전제사항)" xfId="1914" xr:uid="{00000000-0005-0000-0000-0000AB050000}"/>
    <cellStyle name="_laroux_3_중국안산_No.2 CGL_견적 금액_재료비 통보_PCCS CGL_SPM_실행금액_재료비.Rev7(Mini일부)_호주 CCL_견적금액_재료비_DDCRev0_견적전기 (최종)_복사본 ISP 1115 수배전설비 투자비등록(전제사항)_2차 예산산출기준_050927 (여기에 수정하십시요)" xfId="1915" xr:uid="{00000000-0005-0000-0000-0000AC050000}"/>
    <cellStyle name="_laroux_3_중국안산_No.2 CGL_견적 금액_재료비 통보_PCCS CGL_SPM_실행금액_재료비.Rev7(Mini일부)_호주 CCL_견적금액_재료비_DDCRev0_복사본 ISP 1115 수배전설비 투자비등록(전제사항)" xfId="1916" xr:uid="{00000000-0005-0000-0000-0000AD050000}"/>
    <cellStyle name="_laroux_3_중국안산_No.2 CGL_견적 금액_재료비 통보_PCCS CGL_SPM_실행금액_재료비.Rev7(Mini일부)_호주 CCL_견적금액_재료비_DDCRev0_복사본 ISP 1115 수배전설비 투자비등록(전제사항)_2차 예산산출기준_050927 (여기에 수정하십시요)" xfId="1917" xr:uid="{00000000-0005-0000-0000-0000AE050000}"/>
    <cellStyle name="_laroux_3_중국안산_No.2 CGL_견적 금액_재료비 통보_PCCS CGL_SPM_실행금액_재료비.Rev7(Mini일부)_호주 CCL_견적금액_재료비_DDCRev0_호주 CCL_견적금액_재료비_DDCRev0" xfId="1918" xr:uid="{00000000-0005-0000-0000-0000AF050000}"/>
    <cellStyle name="_laroux_3_중국안산_No.2 CGL_견적 금액_재료비 통보_PCCS CGL_SPM_실행금액_재료비.Rev7(Mini일부)_호주 CCL_견적금액_재료비_DDCRev0_호주 CCL_견적금액_재료비_DDCRev0_2차 예산산출기준_050927 (여기에 수정하십시요)" xfId="1919" xr:uid="{00000000-0005-0000-0000-0000B0050000}"/>
    <cellStyle name="_laroux_3_중국안산_No.2 CGL_견적 금액_재료비 통보_PCCS CGL_SPM_실행금액_재료비.Rev7(Mini일부)_호주 CCL_견적금액_재료비_DDCRev0_호주 CCL_견적금액_재료비_DDCRev0_kjw - PMS report 양식(총괄)_020220" xfId="1920" xr:uid="{00000000-0005-0000-0000-0000B1050000}"/>
    <cellStyle name="_laroux_3_중국안산_No.2 CGL_견적 금액_재료비 통보_PCCS CGL_SPM_실행금액_재료비.Rev7(Mini일부)_호주 CCL_견적금액_재료비_DDCRev0_호주 CCL_견적금액_재료비_DDCRev0_kjw - PMS report 양식(총괄)_020220_2차 예산산출기준_050927 (여기에 수정하십시요)" xfId="1921" xr:uid="{00000000-0005-0000-0000-0000B2050000}"/>
    <cellStyle name="_laroux_3_중국안산_No.2 CGL_견적 금액_재료비 통보_PCCS CGL_SPM_실행금액_재료비.Rev7(Mini일부)_호주 CCL_견적금액_재료비_DDCRev0_호주 CCL_견적금액_재료비_DDCRev0_kjw - PMS report 양식(총괄)_020220_복사본 ISP 1115 수배전설비 투자비등록(전제사항)" xfId="1922" xr:uid="{00000000-0005-0000-0000-0000B3050000}"/>
    <cellStyle name="_laroux_3_중국안산_No.2 CGL_견적 금액_재료비 통보_PCCS CGL_SPM_실행금액_재료비.Rev7(Mini일부)_호주 CCL_견적금액_재료비_DDCRev0_호주 CCL_견적금액_재료비_DDCRev0_kjw - PMS report 양식(총괄)_020220_복사본 ISP 1115 수배전설비 투자비등록(전제사항)_2차 예산산출기준_050927 (여기에 수정하십시요)" xfId="1923" xr:uid="{00000000-0005-0000-0000-0000B4050000}"/>
    <cellStyle name="_laroux_3_중국안산_No.2 CGL_견적 금액_재료비 통보_PCCS CGL_SPM_실행금액_재료비.Rev7(Mini일부)_호주 CCL_견적금액_재료비_DDCRev0_호주 CCL_견적금액_재료비_DDCRev0_복사본 ISP 1115 수배전설비 투자비등록(전제사항)" xfId="1924" xr:uid="{00000000-0005-0000-0000-0000B5050000}"/>
    <cellStyle name="_laroux_3_중국안산_No.2 CGL_견적 금액_재료비 통보_PCCS CGL_SPM_실행금액_재료비.Rev7(Mini일부)_호주 CCL_견적금액_재료비_DDCRev0_호주 CCL_견적금액_재료비_DDCRev0_복사본 ISP 1115 수배전설비 투자비등록(전제사항)_2차 예산산출기준_050927 (여기에 수정하십시요)" xfId="1925" xr:uid="{00000000-0005-0000-0000-0000B6050000}"/>
    <cellStyle name="_laroux_3_중국안산_No.2 CGL_견적 금액_재료비 통보_PCCS CGL_SPM_실행금액_재료비.Rev7(Mini일부)_호주 CCL_견적금액_재료비_DDCRev0_호주 CCL_견적금액_재료비_DDCRev0_호주 CCL_견적금액_재료비_DDCRev0" xfId="1926" xr:uid="{00000000-0005-0000-0000-0000B7050000}"/>
    <cellStyle name="_laroux_3_중국안산_No.2 CGL_견적 금액_재료비 통보_PCCS CGL_SPM_실행금액_재료비.Rev7(Mini일부)_호주 CCL_견적금액_재료비_DDCRev0_호주 CCL_견적금액_재료비_DDCRev0_호주 CCL_견적금액_재료비_DDCRev0_2차 예산산출기준_050927 (여기에 수정하십시요)" xfId="1927" xr:uid="{00000000-0005-0000-0000-0000B805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" xfId="1928" xr:uid="{00000000-0005-0000-0000-0000B905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_2차 예산산출기준_050927 (여기에 수정하십시요)" xfId="1929" xr:uid="{00000000-0005-0000-0000-0000BA05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_복사본 ISP 1115 수배전설비 투자비등록(전제사항)" xfId="1930" xr:uid="{00000000-0005-0000-0000-0000BB050000}"/>
    <cellStyle name="_laroux_3_중국안산_No.2 CGL_견적 금액_재료비 통보_PCCS CGL_SPM_실행금액_재료비.Rev7(Mini일부)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931" xr:uid="{00000000-0005-0000-0000-0000BC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" xfId="1932" xr:uid="{00000000-0005-0000-0000-0000BD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2차 예산산출기준_050927 (여기에 수정하십시요)" xfId="1933" xr:uid="{00000000-0005-0000-0000-0000BE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" xfId="1934" xr:uid="{00000000-0005-0000-0000-0000BF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_2차 예산산출기준_050927 (여기에 수정하십시요)" xfId="1935" xr:uid="{00000000-0005-0000-0000-0000C0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_복사본 ISP 1115 수배전설비 투자비등록(전제사항)" xfId="1936" xr:uid="{00000000-0005-0000-0000-0000C1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937" xr:uid="{00000000-0005-0000-0000-0000C2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복사본 ISP 1115 수배전설비 투자비등록(전제사항)" xfId="1938" xr:uid="{00000000-0005-0000-0000-0000C3050000}"/>
    <cellStyle name="_laroux_3_중국안산_No.2 CGL_견적 금액_재료비 통보_PCCS CGL_SPM_실행금액_재료비.Rev7(Mini일부)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939" xr:uid="{00000000-0005-0000-0000-0000C4050000}"/>
    <cellStyle name="_laroux_3_중국안산_No.2 CGL_견적 금액_재료비 통보_PCCS CGL_SPM_실행금액_재료비.Rev7(Mini일부)_호주 CCL_견적금액_재료비_DDCRev0_호주 CCL_견적금액_재료비_DDCRev0_호주 CCL_견적금액_재료비_DDCRev0_복사본 ISP 1115 수배전설비 투자비등록(전제사항)" xfId="1940" xr:uid="{00000000-0005-0000-0000-0000C5050000}"/>
    <cellStyle name="_laroux_3_중국안산_No.2 CGL_견적 금액_재료비 통보_PCCS CGL_SPM_실행금액_재료비.Rev7(Mini일부)_호주 CCL_견적금액_재료비_DDCRev0_호주 CCL_견적금액_재료비_DDCRev0_호주 CCL_견적금액_재료비_DDCRev0_복사본 ISP 1115 수배전설비 투자비등록(전제사항)_2차 예산산출기준_050927 (여기에 수정하십시요)" xfId="1941" xr:uid="{00000000-0005-0000-0000-0000C6050000}"/>
    <cellStyle name="_laroux_3_중국안산_No.2 CGL_견적 금액_재료비 통보_견적전기 (최종)" xfId="1942" xr:uid="{00000000-0005-0000-0000-0000C7050000}"/>
    <cellStyle name="_laroux_3_중국안산_No.2 CGL_견적 금액_재료비 통보_견적전기 (최종)_2차 예산산출기준_050927 (여기에 수정하십시요)" xfId="1943" xr:uid="{00000000-0005-0000-0000-0000C8050000}"/>
    <cellStyle name="_laroux_3_중국안산_No.2 CGL_견적 금액_재료비 통보_견적전기 (최종)_kjw - PMS report 양식(총괄)_020220" xfId="1944" xr:uid="{00000000-0005-0000-0000-0000C9050000}"/>
    <cellStyle name="_laroux_3_중국안산_No.2 CGL_견적 금액_재료비 통보_견적전기 (최종)_kjw - PMS report 양식(총괄)_020220_2차 예산산출기준_050927 (여기에 수정하십시요)" xfId="1945" xr:uid="{00000000-0005-0000-0000-0000CA050000}"/>
    <cellStyle name="_laroux_3_중국안산_No.2 CGL_견적 금액_재료비 통보_견적전기 (최종)_kjw - PMS report 양식(총괄)_020220_복사본 ISP 1115 수배전설비 투자비등록(전제사항)" xfId="1946" xr:uid="{00000000-0005-0000-0000-0000CB050000}"/>
    <cellStyle name="_laroux_3_중국안산_No.2 CGL_견적 금액_재료비 통보_견적전기 (최종)_kjw - PMS report 양식(총괄)_020220_복사본 ISP 1115 수배전설비 투자비등록(전제사항)_2차 예산산출기준_050927 (여기에 수정하십시요)" xfId="1947" xr:uid="{00000000-0005-0000-0000-0000CC050000}"/>
    <cellStyle name="_laroux_3_중국안산_No.2 CGL_견적 금액_재료비 통보_견적전기 (최종)_복사본 ISP 1115 수배전설비 투자비등록(전제사항)" xfId="1948" xr:uid="{00000000-0005-0000-0000-0000CD050000}"/>
    <cellStyle name="_laroux_3_중국안산_No.2 CGL_견적 금액_재료비 통보_견적전기 (최종)_복사본 ISP 1115 수배전설비 투자비등록(전제사항)_2차 예산산출기준_050927 (여기에 수정하십시요)" xfId="1949" xr:uid="{00000000-0005-0000-0000-0000CE050000}"/>
    <cellStyle name="_laroux_3_중국안산_No.2 CGL_견적 금액_재료비 통보_복사본 ISP 1115 수배전설비 투자비등록(전제사항)" xfId="1950" xr:uid="{00000000-0005-0000-0000-0000CF050000}"/>
    <cellStyle name="_laroux_3_중국안산_No.2 CGL_견적 금액_재료비 통보_복사본 ISP 1115 수배전설비 투자비등록(전제사항)_2차 예산산출기준_050927 (여기에 수정하십시요)" xfId="1951" xr:uid="{00000000-0005-0000-0000-0000D0050000}"/>
    <cellStyle name="_laroux_3_중국안산_No.2 CGL_견적 금액_재료비 통보_중국대련_PCCS No.2 CCL_견적 금액_재료비_Rev1" xfId="1952" xr:uid="{00000000-0005-0000-0000-0000D1050000}"/>
    <cellStyle name="_laroux_3_중국안산_No.2 CGL_견적 금액_재료비 통보_중국대련_PCCS No.2 CCL_견적 금액_재료비_Rev1_2차 예산산출기준_050927 (여기에 수정하십시요)" xfId="1953" xr:uid="{00000000-0005-0000-0000-0000D2050000}"/>
    <cellStyle name="_laroux_3_중국안산_No.2 CGL_견적 금액_재료비 통보_중국대련_PCCS No.2 CCL_견적 금액_재료비_Rev1_kjw - PMS report 양식(총괄)_020220" xfId="1954" xr:uid="{00000000-0005-0000-0000-0000D3050000}"/>
    <cellStyle name="_laroux_3_중국안산_No.2 CGL_견적 금액_재료비 통보_중국대련_PCCS No.2 CCL_견적 금액_재료비_Rev1_kjw - PMS report 양식(총괄)_020220_2차 예산산출기준_050927 (여기에 수정하십시요)" xfId="1955" xr:uid="{00000000-0005-0000-0000-0000D4050000}"/>
    <cellStyle name="_laroux_3_중국안산_No.2 CGL_견적 금액_재료비 통보_중국대련_PCCS No.2 CCL_견적 금액_재료비_Rev1_kjw - PMS report 양식(총괄)_020220_복사본 ISP 1115 수배전설비 투자비등록(전제사항)" xfId="1956" xr:uid="{00000000-0005-0000-0000-0000D5050000}"/>
    <cellStyle name="_laroux_3_중국안산_No.2 CGL_견적 금액_재료비 통보_중국대련_PCCS No.2 CCL_견적 금액_재료비_Rev1_kjw - PMS report 양식(총괄)_020220_복사본 ISP 1115 수배전설비 투자비등록(전제사항)_2차 예산산출기준_050927 (여기에 수정하십시요)" xfId="1957" xr:uid="{00000000-0005-0000-0000-0000D6050000}"/>
    <cellStyle name="_laroux_3_중국안산_No.2 CGL_견적 금액_재료비 통보_중국대련_PCCS No.2 CCL_견적 금액_재료비_Rev1_복사본 ISP 1115 수배전설비 투자비등록(전제사항)" xfId="1958" xr:uid="{00000000-0005-0000-0000-0000D7050000}"/>
    <cellStyle name="_laroux_3_중국안산_No.2 CGL_견적 금액_재료비 통보_중국대련_PCCS No.2 CCL_견적 금액_재료비_Rev1_복사본 ISP 1115 수배전설비 투자비등록(전제사항)_2차 예산산출기준_050927 (여기에 수정하십시요)" xfId="1959" xr:uid="{00000000-0005-0000-0000-0000D8050000}"/>
    <cellStyle name="_laroux_3_중국안산_No.2 CGL_견적 금액_재료비 통보_중국대련_PCCS No.2 CCL_견적 금액_재료비_Rev1_호주 CCL_견적금액_재료비_DDCRev0" xfId="1960" xr:uid="{00000000-0005-0000-0000-0000D9050000}"/>
    <cellStyle name="_laroux_3_중국안산_No.2 CGL_견적 금액_재료비 통보_중국대련_PCCS No.2 CCL_견적 금액_재료비_Rev1_호주 CCL_견적금액_재료비_DDCRev0_2차 예산산출기준_050927 (여기에 수정하십시요)" xfId="1961" xr:uid="{00000000-0005-0000-0000-0000DA050000}"/>
    <cellStyle name="_laroux_3_중국안산_No.2 CGL_견적 금액_재료비 통보_중국대련_PCCS No.2 CCL_견적 금액_재료비_Rev1_호주 CCL_견적금액_재료비_DDCRev0_kjw - PMS report 양식(총괄)_020220" xfId="1962" xr:uid="{00000000-0005-0000-0000-0000DB050000}"/>
    <cellStyle name="_laroux_3_중국안산_No.2 CGL_견적 금액_재료비 통보_중국대련_PCCS No.2 CCL_견적 금액_재료비_Rev1_호주 CCL_견적금액_재료비_DDCRev0_kjw - PMS report 양식(총괄)_020220_2차 예산산출기준_050927 (여기에 수정하십시요)" xfId="1963" xr:uid="{00000000-0005-0000-0000-0000DC050000}"/>
    <cellStyle name="_laroux_3_중국안산_No.2 CGL_견적 금액_재료비 통보_중국대련_PCCS No.2 CCL_견적 금액_재료비_Rev1_호주 CCL_견적금액_재료비_DDCRev0_kjw - PMS report 양식(총괄)_020220_복사본 ISP 1115 수배전설비 투자비등록(전제사항)" xfId="1964" xr:uid="{00000000-0005-0000-0000-0000DD050000}"/>
    <cellStyle name="_laroux_3_중국안산_No.2 CGL_견적 금액_재료비 통보_중국대련_PCCS No.2 CCL_견적 금액_재료비_Rev1_호주 CCL_견적금액_재료비_DDCRev0_kjw - PMS report 양식(총괄)_020220_복사본 ISP 1115 수배전설비 투자비등록(전제사항)_2차 예산산출기준_050927 (여기에 수정하십시요)" xfId="1965" xr:uid="{00000000-0005-0000-0000-0000DE050000}"/>
    <cellStyle name="_laroux_3_중국안산_No.2 CGL_견적 금액_재료비 통보_중국대련_PCCS No.2 CCL_견적 금액_재료비_Rev1_호주 CCL_견적금액_재료비_DDCRev0_견적전기 (최종)" xfId="1966" xr:uid="{00000000-0005-0000-0000-0000DF050000}"/>
    <cellStyle name="_laroux_3_중국안산_No.2 CGL_견적 금액_재료비 통보_중국대련_PCCS No.2 CCL_견적 금액_재료비_Rev1_호주 CCL_견적금액_재료비_DDCRev0_견적전기 (최종)_2차 예산산출기준_050927 (여기에 수정하십시요)" xfId="1967" xr:uid="{00000000-0005-0000-0000-0000E0050000}"/>
    <cellStyle name="_laroux_3_중국안산_No.2 CGL_견적 금액_재료비 통보_중국대련_PCCS No.2 CCL_견적 금액_재료비_Rev1_호주 CCL_견적금액_재료비_DDCRev0_견적전기 (최종)_kjw - PMS report 양식(총괄)_020220" xfId="1968" xr:uid="{00000000-0005-0000-0000-0000E1050000}"/>
    <cellStyle name="_laroux_3_중국안산_No.2 CGL_견적 금액_재료비 통보_중국대련_PCCS No.2 CCL_견적 금액_재료비_Rev1_호주 CCL_견적금액_재료비_DDCRev0_견적전기 (최종)_kjw - PMS report 양식(총괄)_020220_2차 예산산출기준_050927 (여기에 수정하십시요)" xfId="1969" xr:uid="{00000000-0005-0000-0000-0000E2050000}"/>
    <cellStyle name="_laroux_3_중국안산_No.2 CGL_견적 금액_재료비 통보_중국대련_PCCS No.2 CCL_견적 금액_재료비_Rev1_호주 CCL_견적금액_재료비_DDCRev0_견적전기 (최종)_kjw - PMS report 양식(총괄)_020220_복사본 ISP 1115 수배전설비 투자비등록(전제사항)" xfId="1970" xr:uid="{00000000-0005-0000-0000-0000E3050000}"/>
    <cellStyle name="_laroux_3_중국안산_No.2 CGL_견적 금액_재료비 통보_중국대련_PCCS No.2 CCL_견적 금액_재료비_Rev1_호주 CCL_견적금액_재료비_DDCRev0_견적전기 (최종)_kjw - PMS report 양식(총괄)_020220_복사본 ISP 1115 수배전설비 투자비등록(전제사항)_2차 예산산출기준_050927 (여기에 수정하십시요)" xfId="1971" xr:uid="{00000000-0005-0000-0000-0000E4050000}"/>
    <cellStyle name="_laroux_3_중국안산_No.2 CGL_견적 금액_재료비 통보_중국대련_PCCS No.2 CCL_견적 금액_재료비_Rev1_호주 CCL_견적금액_재료비_DDCRev0_견적전기 (최종)_복사본 ISP 1115 수배전설비 투자비등록(전제사항)" xfId="1972" xr:uid="{00000000-0005-0000-0000-0000E5050000}"/>
    <cellStyle name="_laroux_3_중국안산_No.2 CGL_견적 금액_재료비 통보_중국대련_PCCS No.2 CCL_견적 금액_재료비_Rev1_호주 CCL_견적금액_재료비_DDCRev0_견적전기 (최종)_복사본 ISP 1115 수배전설비 투자비등록(전제사항)_2차 예산산출기준_050927 (여기에 수정하십시요)" xfId="1973" xr:uid="{00000000-0005-0000-0000-0000E6050000}"/>
    <cellStyle name="_laroux_3_중국안산_No.2 CGL_견적 금액_재료비 통보_중국대련_PCCS No.2 CCL_견적 금액_재료비_Rev1_호주 CCL_견적금액_재료비_DDCRev0_복사본 ISP 1115 수배전설비 투자비등록(전제사항)" xfId="1974" xr:uid="{00000000-0005-0000-0000-0000E7050000}"/>
    <cellStyle name="_laroux_3_중국안산_No.2 CGL_견적 금액_재료비 통보_중국대련_PCCS No.2 CCL_견적 금액_재료비_Rev1_호주 CCL_견적금액_재료비_DDCRev0_복사본 ISP 1115 수배전설비 투자비등록(전제사항)_2차 예산산출기준_050927 (여기에 수정하십시요)" xfId="1975" xr:uid="{00000000-0005-0000-0000-0000E8050000}"/>
    <cellStyle name="_laroux_3_중국안산_No.2 CGL_견적 금액_재료비 통보_중국대련_PCCS No.2 CCL_견적 금액_재료비_Rev1_호주 CCL_견적금액_재료비_DDCRev0_호주 CCL_견적금액_재료비_DDCRev0" xfId="1976" xr:uid="{00000000-0005-0000-0000-0000E9050000}"/>
    <cellStyle name="_laroux_3_중국안산_No.2 CGL_견적 금액_재료비 통보_중국대련_PCCS No.2 CCL_견적 금액_재료비_Rev1_호주 CCL_견적금액_재료비_DDCRev0_호주 CCL_견적금액_재료비_DDCRev0_2차 예산산출기준_050927 (여기에 수정하십시요)" xfId="1977" xr:uid="{00000000-0005-0000-0000-0000EA050000}"/>
    <cellStyle name="_laroux_3_중국안산_No.2 CGL_견적 금액_재료비 통보_중국대련_PCCS No.2 CCL_견적 금액_재료비_Rev1_호주 CCL_견적금액_재료비_DDCRev0_호주 CCL_견적금액_재료비_DDCRev0_kjw - PMS report 양식(총괄)_020220" xfId="1978" xr:uid="{00000000-0005-0000-0000-0000EB050000}"/>
    <cellStyle name="_laroux_3_중국안산_No.2 CGL_견적 금액_재료비 통보_중국대련_PCCS No.2 CCL_견적 금액_재료비_Rev1_호주 CCL_견적금액_재료비_DDCRev0_호주 CCL_견적금액_재료비_DDCRev0_kjw - PMS report 양식(총괄)_020220_2차 예산산출기준_050927 (여기에 수정하십시요)" xfId="1979" xr:uid="{00000000-0005-0000-0000-0000EC050000}"/>
    <cellStyle name="_laroux_3_중국안산_No.2 CGL_견적 금액_재료비 통보_중국대련_PCCS No.2 CCL_견적 금액_재료비_Rev1_호주 CCL_견적금액_재료비_DDCRev0_호주 CCL_견적금액_재료비_DDCRev0_kjw - PMS report 양식(총괄)_020220_복사본 ISP 1115 수배전설비 투자비등록(전제사항)" xfId="1980" xr:uid="{00000000-0005-0000-0000-0000ED050000}"/>
    <cellStyle name="_laroux_3_중국안산_No.2 CGL_견적 금액_재료비 통보_중국대련_PCCS No.2 CCL_견적 금액_재료비_Rev1_호주 CCL_견적금액_재료비_DDCRev0_호주 CCL_견적금액_재료비_DDCRev0_kjw - PMS report 양식(총괄)_020220_복사본 ISP 1115 수배전설비 투자비등록(전제사항)_2차 예산산출기준_050927 (여기에 수정하십시요)" xfId="1981" xr:uid="{00000000-0005-0000-0000-0000EE050000}"/>
    <cellStyle name="_laroux_3_중국안산_No.2 CGL_견적 금액_재료비 통보_중국대련_PCCS No.2 CCL_견적 금액_재료비_Rev1_호주 CCL_견적금액_재료비_DDCRev0_호주 CCL_견적금액_재료비_DDCRev0_복사본 ISP 1115 수배전설비 투자비등록(전제사항)" xfId="1982" xr:uid="{00000000-0005-0000-0000-0000EF050000}"/>
    <cellStyle name="_laroux_3_중국안산_No.2 CGL_견적 금액_재료비 통보_중국대련_PCCS No.2 CCL_견적 금액_재료비_Rev1_호주 CCL_견적금액_재료비_DDCRev0_호주 CCL_견적금액_재료비_DDCRev0_복사본 ISP 1115 수배전설비 투자비등록(전제사항)_2차 예산산출기준_050927 (여기에 수정하십시요)" xfId="1983" xr:uid="{00000000-0005-0000-0000-0000F0050000}"/>
    <cellStyle name="_laroux_3_중국안산_No.2 CGL_견적 금액_재료비 통보_중국대련_PCCS No.2 CCL_견적 금액_재료비_Rev1_호주 CCL_견적금액_재료비_DDCRev0_호주 CCL_견적금액_재료비_DDCRev0_호주 CCL_견적금액_재료비_DDCRev0" xfId="1984" xr:uid="{00000000-0005-0000-0000-0000F1050000}"/>
    <cellStyle name="_laroux_3_중국안산_No.2 CGL_견적 금액_재료비 통보_중국대련_PCCS No.2 CCL_견적 금액_재료비_Rev1_호주 CCL_견적금액_재료비_DDCRev0_호주 CCL_견적금액_재료비_DDCRev0_호주 CCL_견적금액_재료비_DDCRev0_2차 예산산출기준_050927 (여기에 수정하십시요)" xfId="1985" xr:uid="{00000000-0005-0000-0000-0000F205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" xfId="1986" xr:uid="{00000000-0005-0000-0000-0000F305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_2차 예산산출기준_050927 (여기에 수정하십시요)" xfId="1987" xr:uid="{00000000-0005-0000-0000-0000F405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_복사본 ISP 1115 수배전설비 투자비등록(전제사항)" xfId="1988" xr:uid="{00000000-0005-0000-0000-0000F5050000}"/>
    <cellStyle name="_laroux_3_중국안산_No.2 CGL_견적 금액_재료비 통보_중국대련_PCCS No.2 CCL_견적 금액_재료비_Rev1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1989" xr:uid="{00000000-0005-0000-0000-0000F6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" xfId="1990" xr:uid="{00000000-0005-0000-0000-0000F7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2차 예산산출기준_050927 (여기에 수정하십시요)" xfId="1991" xr:uid="{00000000-0005-0000-0000-0000F8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" xfId="1992" xr:uid="{00000000-0005-0000-0000-0000F9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_2차 예산산출기준_050927 (여기에 수정하십시요)" xfId="1993" xr:uid="{00000000-0005-0000-0000-0000FA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_복사본 ISP 1115 수배전설비 투자비등록(전제사항)" xfId="1994" xr:uid="{00000000-0005-0000-0000-0000FB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1995" xr:uid="{00000000-0005-0000-0000-0000FC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복사본 ISP 1115 수배전설비 투자비등록(전제사항)" xfId="1996" xr:uid="{00000000-0005-0000-0000-0000FD050000}"/>
    <cellStyle name="_laroux_3_중국안산_No.2 CGL_견적 금액_재료비 통보_중국대련_PCCS No.2 CCL_견적 금액_재료비_Rev1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1997" xr:uid="{00000000-0005-0000-0000-0000FE050000}"/>
    <cellStyle name="_laroux_3_중국안산_No.2 CGL_견적 금액_재료비 통보_중국대련_PCCS No.2 CCL_견적 금액_재료비_Rev1_호주 CCL_견적금액_재료비_DDCRev0_호주 CCL_견적금액_재료비_DDCRev0_호주 CCL_견적금액_재료비_DDCRev0_복사본 ISP 1115 수배전설비 투자비등록(전제사항)" xfId="1998" xr:uid="{00000000-0005-0000-0000-0000FF050000}"/>
    <cellStyle name="_laroux_3_중국안산_No.2 CGL_견적 금액_재료비 통보_중국대련_PCCS No.2 CCL_견적 금액_재료비_Rev1_호주 CCL_견적금액_재료비_DDCRev0_호주 CCL_견적금액_재료비_DDCRev0_호주 CCL_견적금액_재료비_DDCRev0_복사본 ISP 1115 수배전설비 투자비등록(전제사항)_2차 예산산출기준_050927 (여기에 수정하십시요)" xfId="1999" xr:uid="{00000000-0005-0000-0000-000000060000}"/>
    <cellStyle name="_laroux_3_중국안산_No.2 CGL_견적 금액_재료비 통보_중국안산_No.1 CGL_견적 금액_재료비 통보" xfId="2000" xr:uid="{00000000-0005-0000-0000-000001060000}"/>
    <cellStyle name="_laroux_3_중국안산_No.2 CGL_견적 금액_재료비 통보_중국안산_No.1 CGL_견적 금액_재료비 통보_2차 예산산출기준_050927 (여기에 수정하십시요)" xfId="2001" xr:uid="{00000000-0005-0000-0000-000002060000}"/>
    <cellStyle name="_laroux_3_중국안산_No.2 CGL_견적 금액_재료비 통보_중국안산_No.1 CGL_견적 금액_재료비 통보_kjw - PMS report 양식(총괄)_020220" xfId="2002" xr:uid="{00000000-0005-0000-0000-000003060000}"/>
    <cellStyle name="_laroux_3_중국안산_No.2 CGL_견적 금액_재료비 통보_중국안산_No.1 CGL_견적 금액_재료비 통보_kjw - PMS report 양식(총괄)_020220_2차 예산산출기준_050927 (여기에 수정하십시요)" xfId="2003" xr:uid="{00000000-0005-0000-0000-000004060000}"/>
    <cellStyle name="_laroux_3_중국안산_No.2 CGL_견적 금액_재료비 통보_중국안산_No.1 CGL_견적 금액_재료비 통보_kjw - PMS report 양식(총괄)_020220_복사본 ISP 1115 수배전설비 투자비등록(전제사항)" xfId="2004" xr:uid="{00000000-0005-0000-0000-000005060000}"/>
    <cellStyle name="_laroux_3_중국안산_No.2 CGL_견적 금액_재료비 통보_중국안산_No.1 CGL_견적 금액_재료비 통보_kjw - PMS report 양식(총괄)_020220_복사본 ISP 1115 수배전설비 투자비등록(전제사항)_2차 예산산출기준_050927 (여기에 수정하십시요)" xfId="2005" xr:uid="{00000000-0005-0000-0000-000006060000}"/>
    <cellStyle name="_laroux_3_중국안산_No.2 CGL_견적 금액_재료비 통보_중국안산_No.1 CGL_견적 금액_재료비 통보_PCCS CGL_SPM_견적 금액_재료비.Rev4" xfId="2006" xr:uid="{00000000-0005-0000-0000-000007060000}"/>
    <cellStyle name="_laroux_3_중국안산_No.2 CGL_견적 금액_재료비 통보_중국안산_No.1 CGL_견적 금액_재료비 통보_PCCS CGL_SPM_견적 금액_재료비.Rev4_2차 예산산출기준_050927 (여기에 수정하십시요)" xfId="2007" xr:uid="{00000000-0005-0000-0000-000008060000}"/>
    <cellStyle name="_laroux_3_중국안산_No.2 CGL_견적 금액_재료비 통보_중국안산_No.1 CGL_견적 금액_재료비 통보_PCCS CGL_SPM_견적 금액_재료비.Rev4_kjw - PMS report 양식(총괄)_020220" xfId="2008" xr:uid="{00000000-0005-0000-0000-000009060000}"/>
    <cellStyle name="_laroux_3_중국안산_No.2 CGL_견적 금액_재료비 통보_중국안산_No.1 CGL_견적 금액_재료비 통보_PCCS CGL_SPM_견적 금액_재료비.Rev4_kjw - PMS report 양식(총괄)_020220_2차 예산산출기준_050927 (여기에 수정하십시요)" xfId="2009" xr:uid="{00000000-0005-0000-0000-00000A060000}"/>
    <cellStyle name="_laroux_3_중국안산_No.2 CGL_견적 금액_재료비 통보_중국안산_No.1 CGL_견적 금액_재료비 통보_PCCS CGL_SPM_견적 금액_재료비.Rev4_kjw - PMS report 양식(총괄)_020220_복사본 ISP 1115 수배전설비 투자비등록(전제사항)" xfId="2010" xr:uid="{00000000-0005-0000-0000-00000B060000}"/>
    <cellStyle name="_laroux_3_중국안산_No.2 CGL_견적 금액_재료비 통보_중국안산_No.1 CGL_견적 금액_재료비 통보_PCCS CGL_SPM_견적 금액_재료비.Rev4_kjw - PMS report 양식(총괄)_020220_복사본 ISP 1115 수배전설비 투자비등록(전제사항)_2차 예산산출기준_050927 (여기에 수정하십시요)" xfId="2011" xr:uid="{00000000-0005-0000-0000-00000C060000}"/>
    <cellStyle name="_laroux_3_중국안산_No.2 CGL_견적 금액_재료비 통보_중국안산_No.1 CGL_견적 금액_재료비 통보_PCCS CGL_SPM_견적 금액_재료비.Rev4_복사본 ISP 1115 수배전설비 투자비등록(전제사항)" xfId="2012" xr:uid="{00000000-0005-0000-0000-00000D060000}"/>
    <cellStyle name="_laroux_3_중국안산_No.2 CGL_견적 금액_재료비 통보_중국안산_No.1 CGL_견적 금액_재료비 통보_PCCS CGL_SPM_견적 금액_재료비.Rev4_복사본 ISP 1115 수배전설비 투자비등록(전제사항)_2차 예산산출기준_050927 (여기에 수정하십시요)" xfId="2013" xr:uid="{00000000-0005-0000-0000-00000E060000}"/>
    <cellStyle name="_laroux_3_중국안산_No.2 CGL_견적 금액_재료비 통보_중국안산_No.1 CGL_견적 금액_재료비 통보_PCCS CGL_SPM_견적 금액_재료비.Rev4_호주 CCL_견적금액_재료비_DDCRev0" xfId="2014" xr:uid="{00000000-0005-0000-0000-00000F060000}"/>
    <cellStyle name="_laroux_3_중국안산_No.2 CGL_견적 금액_재료비 통보_중국안산_No.1 CGL_견적 금액_재료비 통보_PCCS CGL_SPM_견적 금액_재료비.Rev4_호주 CCL_견적금액_재료비_DDCRev0_2차 예산산출기준_050927 (여기에 수정하십시요)" xfId="2015" xr:uid="{00000000-0005-0000-0000-000010060000}"/>
    <cellStyle name="_laroux_3_중국안산_No.2 CGL_견적 금액_재료비 통보_중국안산_No.1 CGL_견적 금액_재료비 통보_PCCS CGL_SPM_견적 금액_재료비.Rev4_호주 CCL_견적금액_재료비_DDCRev0_kjw - PMS report 양식(총괄)_020220" xfId="2016" xr:uid="{00000000-0005-0000-0000-000011060000}"/>
    <cellStyle name="_laroux_3_중국안산_No.2 CGL_견적 금액_재료비 통보_중국안산_No.1 CGL_견적 금액_재료비 통보_PCCS CGL_SPM_견적 금액_재료비.Rev4_호주 CCL_견적금액_재료비_DDCRev0_kjw - PMS report 양식(총괄)_020220_2차 예산산출기준_050927 (여기에 수정하십시요)" xfId="2017" xr:uid="{00000000-0005-0000-0000-000012060000}"/>
    <cellStyle name="_laroux_3_중국안산_No.2 CGL_견적 금액_재료비 통보_중국안산_No.1 CGL_견적 금액_재료비 통보_PCCS CGL_SPM_견적 금액_재료비.Rev4_호주 CCL_견적금액_재료비_DDCRev0_kjw - PMS report 양식(총괄)_020220_복사본 ISP 1115 수배전설비 투자비등록(전제사항)" xfId="2018" xr:uid="{00000000-0005-0000-0000-000013060000}"/>
    <cellStyle name="_laroux_3_중국안산_No.2 CGL_견적 금액_재료비 통보_중국안산_No.1 CGL_견적 금액_재료비 통보_PCCS CGL_SPM_견적 금액_재료비.Rev4_호주 CCL_견적금액_재료비_DDCRev0_kjw - PMS report 양식(총괄)_020220_복사본 ISP 1115 수배전설비 투자비등록(전제사항)_2차 예산산출기준_050927 (여기에 수정하십시요)" xfId="2019" xr:uid="{00000000-0005-0000-0000-000014060000}"/>
    <cellStyle name="_laroux_3_중국안산_No.2 CGL_견적 금액_재료비 통보_중국안산_No.1 CGL_견적 금액_재료비 통보_PCCS CGL_SPM_견적 금액_재료비.Rev4_호주 CCL_견적금액_재료비_DDCRev0_견적전기 (최종)" xfId="2020" xr:uid="{00000000-0005-0000-0000-000015060000}"/>
    <cellStyle name="_laroux_3_중국안산_No.2 CGL_견적 금액_재료비 통보_중국안산_No.1 CGL_견적 금액_재료비 통보_PCCS CGL_SPM_견적 금액_재료비.Rev4_호주 CCL_견적금액_재료비_DDCRev0_견적전기 (최종)_2차 예산산출기준_050927 (여기에 수정하십시요)" xfId="2021" xr:uid="{00000000-0005-0000-0000-00001606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" xfId="2022" xr:uid="{00000000-0005-0000-0000-00001706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_2차 예산산출기준_050927 (여기에 수정하십시요)" xfId="2023" xr:uid="{00000000-0005-0000-0000-00001806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_복사본 ISP 1115 수배전설비 투자비등록(전제사항)" xfId="2024" xr:uid="{00000000-0005-0000-0000-000019060000}"/>
    <cellStyle name="_laroux_3_중국안산_No.2 CGL_견적 금액_재료비 통보_중국안산_No.1 CGL_견적 금액_재료비 통보_PCCS CGL_SPM_견적 금액_재료비.Rev4_호주 CCL_견적금액_재료비_DDCRev0_견적전기 (최종)_kjw - PMS report 양식(총괄)_020220_복사본 ISP 1115 수배전설비 투자비등록(전제사항)_2차 예산산출기준_050927 (여기에 수정하십시요)" xfId="2025" xr:uid="{00000000-0005-0000-0000-00001A060000}"/>
    <cellStyle name="_laroux_3_중국안산_No.2 CGL_견적 금액_재료비 통보_중국안산_No.1 CGL_견적 금액_재료비 통보_PCCS CGL_SPM_견적 금액_재료비.Rev4_호주 CCL_견적금액_재료비_DDCRev0_견적전기 (최종)_복사본 ISP 1115 수배전설비 투자비등록(전제사항)" xfId="2026" xr:uid="{00000000-0005-0000-0000-00001B060000}"/>
    <cellStyle name="_laroux_3_중국안산_No.2 CGL_견적 금액_재료비 통보_중국안산_No.1 CGL_견적 금액_재료비 통보_PCCS CGL_SPM_견적 금액_재료비.Rev4_호주 CCL_견적금액_재료비_DDCRev0_견적전기 (최종)_복사본 ISP 1115 수배전설비 투자비등록(전제사항)_2차 예산산출기준_050927 (여기에 수정하십시요)" xfId="2027" xr:uid="{00000000-0005-0000-0000-00001C060000}"/>
    <cellStyle name="_laroux_3_중국안산_No.2 CGL_견적 금액_재료비 통보_중국안산_No.1 CGL_견적 금액_재료비 통보_PCCS CGL_SPM_견적 금액_재료비.Rev4_호주 CCL_견적금액_재료비_DDCRev0_복사본 ISP 1115 수배전설비 투자비등록(전제사항)" xfId="2028" xr:uid="{00000000-0005-0000-0000-00001D060000}"/>
    <cellStyle name="_laroux_3_중국안산_No.2 CGL_견적 금액_재료비 통보_중국안산_No.1 CGL_견적 금액_재료비 통보_PCCS CGL_SPM_견적 금액_재료비.Rev4_호주 CCL_견적금액_재료비_DDCRev0_복사본 ISP 1115 수배전설비 투자비등록(전제사항)_2차 예산산출기준_050927 (여기에 수정하십시요)" xfId="2029" xr:uid="{00000000-0005-0000-0000-00001E060000}"/>
    <cellStyle name="_laroux_3_중국안산_No.2 CGL_견적 금액_재료비 통보_중국안산_No.1 CGL_견적 금액_재료비 통보_PCCS CGL_SPM_견적 금액_재료비.Rev4_호주 CCL_견적금액_재료비_DDCRev0_호주 CCL_견적금액_재료비_DDCRev0" xfId="2030" xr:uid="{00000000-0005-0000-0000-00001F060000}"/>
    <cellStyle name="_laroux_3_중국안산_No.2 CGL_견적 금액_재료비 통보_중국안산_No.1 CGL_견적 금액_재료비 통보_PCCS CGL_SPM_견적 금액_재료비.Rev4_호주 CCL_견적금액_재료비_DDCRev0_호주 CCL_견적금액_재료비_DDCRev0_2차 예산산출기준_050927 (여기에 수정하십시요)" xfId="2031" xr:uid="{00000000-0005-0000-0000-00002006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" xfId="2032" xr:uid="{00000000-0005-0000-0000-00002106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_2차 예산산출기준_050927 (여기에 수정하십시요)" xfId="2033" xr:uid="{00000000-0005-0000-0000-00002206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_복사본 ISP 1115 수배전설비 투자비등록(전제사항)" xfId="2034" xr:uid="{00000000-0005-0000-0000-000023060000}"/>
    <cellStyle name="_laroux_3_중국안산_No.2 CGL_견적 금액_재료비 통보_중국안산_No.1 CGL_견적 금액_재료비 통보_PCCS CGL_SPM_견적 금액_재료비.Rev4_호주 CCL_견적금액_재료비_DDCRev0_호주 CCL_견적금액_재료비_DDCRev0_kjw - PMS report 양식(총괄)_020220_복사본 ISP 1115 수배전설비 투자비등록(전제사항)_2차 예산산출기준_050927 (여기에 수정하십시요)" xfId="2035" xr:uid="{00000000-0005-0000-0000-000024060000}"/>
    <cellStyle name="_laroux_3_중국안산_No.2 CGL_견적 금액_재료비 통보_중국안산_No.1 CGL_견적 금액_재료비 통보_PCCS CGL_SPM_견적 금액_재료비.Rev4_호주 CCL_견적금액_재료비_DDCRev0_호주 CCL_견적금액_재료비_DDCRev0_복사본 ISP 1115 수배전설비 투자비등록(전제사항)" xfId="2036" xr:uid="{00000000-0005-0000-0000-000025060000}"/>
    <cellStyle name="_laroux_3_중국안산_No.2 CGL_견적 금액_재료비 통보_중국안산_No.1 CGL_견적 금액_재료비 통보_PCCS CGL_SPM_견적 금액_재료비.Rev4_호주 CCL_견적금액_재료비_DDCRev0_호주 CCL_견적금액_재료비_DDCRev0_복사본 ISP 1115 수배전설비 투자비등록(전제사항)_2차 예산산출기준_050927 (여기에 수정하십시요)" xfId="2037" xr:uid="{00000000-0005-0000-0000-000026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" xfId="2038" xr:uid="{00000000-0005-0000-0000-000027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2차 예산산출기준_050927 (여기에 수정하십시요)" xfId="2039" xr:uid="{00000000-0005-0000-0000-000028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" xfId="2040" xr:uid="{00000000-0005-0000-0000-000029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_2차 예산산출기준_050927 (여기에 수정하십시요)" xfId="2041" xr:uid="{00000000-0005-0000-0000-00002A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_복사본 ISP 1115 수배전설비 투자비등록(전제사항)" xfId="2042" xr:uid="{00000000-0005-0000-0000-00002B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043" xr:uid="{00000000-0005-0000-0000-00002C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" xfId="2044" xr:uid="{00000000-0005-0000-0000-00002D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2차 예산산출기준_050927 (여기에 수정하십시요)" xfId="2045" xr:uid="{00000000-0005-0000-0000-00002E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" xfId="2046" xr:uid="{00000000-0005-0000-0000-00002F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_2차 예산산출기준_050927 (여기에 수정하십시요)" xfId="2047" xr:uid="{00000000-0005-0000-0000-000030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" xfId="2048" xr:uid="{00000000-0005-0000-0000-000031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" xfId="2049" xr:uid="{00000000-0005-0000-0000-000032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복사본 ISP 1115 수배전설비 투자비등록(전제사항)" xfId="2050" xr:uid="{00000000-0005-0000-0000-000033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051" xr:uid="{00000000-0005-0000-0000-000034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복사본 ISP 1115 수배전설비 투자비등록(전제사항)" xfId="2052" xr:uid="{00000000-0005-0000-0000-000035060000}"/>
    <cellStyle name="_laroux_3_중국안산_No.2 CGL_견적 금액_재료비 통보_중국안산_No.1 CGL_견적 금액_재료비 통보_PCCS CGL_SPM_견적 금액_재료비.Rev4_호주 CCL_견적금액_재료비_DDCRev0_호주 CCL_견적금액_재료비_DDCRev0_호주 CCL_견적금액_재료비_DDCRev0_복사본 ISP 1115 수배전설비 투자비등록(전제사항)_2차 예산산출기준_050927 (여기에 수정하십시요)" xfId="2053" xr:uid="{00000000-0005-0000-0000-000036060000}"/>
    <cellStyle name="_laroux_3_중국안산_No.2 CGL_견적 금액_재료비 통보_중국안산_No.1 CGL_견적 금액_재료비 통보_복사본 ISP 1115 수배전설비 투자비등록(전제사항)" xfId="2054" xr:uid="{00000000-0005-0000-0000-000037060000}"/>
    <cellStyle name="_laroux_3_중국안산_No.2 CGL_견적 금액_재료비 통보_중국안산_No.1 CGL_견적 금액_재료비 통보_복사본 ISP 1115 수배전설비 투자비등록(전제사항)_2차 예산산출기준_050927 (여기에 수정하십시요)" xfId="2055" xr:uid="{00000000-0005-0000-0000-000038060000}"/>
    <cellStyle name="_laroux_3_중국안산_No.2 CGL_견적 금액_재료비 통보_중국안산_No.1 CGL_견적 금액_재료비 통보_중국대련_PCCS No.2 CCL_견적 금액_재료비_Rev0" xfId="2056" xr:uid="{00000000-0005-0000-0000-000039060000}"/>
    <cellStyle name="_laroux_3_중국안산_No.2 CGL_견적 금액_재료비 통보_중국안산_No.1 CGL_견적 금액_재료비 통보_중국대련_PCCS No.2 CCL_견적 금액_재료비_Rev0_2차 예산산출기준_050927 (여기에 수정하십시요)" xfId="2057" xr:uid="{00000000-0005-0000-0000-00003A060000}"/>
    <cellStyle name="_laroux_3_중국안산_No.2 CGL_견적 금액_재료비 통보_중국안산_No.1 CGL_견적 금액_재료비 통보_중국대련_PCCS No.2 CCL_견적 금액_재료비_Rev0_kjw - PMS report 양식(총괄)_020220" xfId="2058" xr:uid="{00000000-0005-0000-0000-00003B060000}"/>
    <cellStyle name="_laroux_3_중국안산_No.2 CGL_견적 금액_재료비 통보_중국안산_No.1 CGL_견적 금액_재료비 통보_중국대련_PCCS No.2 CCL_견적 금액_재료비_Rev0_kjw - PMS report 양식(총괄)_020220_2차 예산산출기준_050927 (여기에 수정하십시요)" xfId="2059" xr:uid="{00000000-0005-0000-0000-00003C060000}"/>
    <cellStyle name="_laroux_3_중국안산_No.2 CGL_견적 금액_재료비 통보_중국안산_No.1 CGL_견적 금액_재료비 통보_중국대련_PCCS No.2 CCL_견적 금액_재료비_Rev0_kjw - PMS report 양식(총괄)_020220_복사본 ISP 1115 수배전설비 투자비등록(전제사항)" xfId="2060" xr:uid="{00000000-0005-0000-0000-00003D060000}"/>
    <cellStyle name="_laroux_3_중국안산_No.2 CGL_견적 금액_재료비 통보_중국안산_No.1 CGL_견적 금액_재료비 통보_중국대련_PCCS No.2 CCL_견적 금액_재료비_Rev0_kjw - PMS report 양식(총괄)_020220_복사본 ISP 1115 수배전설비 투자비등록(전제사항)_2차 예산산출기준_050927 (여기에 수정하십시요)" xfId="2061" xr:uid="{00000000-0005-0000-0000-00003E060000}"/>
    <cellStyle name="_laroux_3_중국안산_No.2 CGL_견적 금액_재료비 통보_중국안산_No.1 CGL_견적 금액_재료비 통보_중국대련_PCCS No.2 CCL_견적 금액_재료비_Rev0_복사본 ISP 1115 수배전설비 투자비등록(전제사항)" xfId="2062" xr:uid="{00000000-0005-0000-0000-00003F060000}"/>
    <cellStyle name="_laroux_3_중국안산_No.2 CGL_견적 금액_재료비 통보_중국안산_No.1 CGL_견적 금액_재료비 통보_중국대련_PCCS No.2 CCL_견적 금액_재료비_Rev0_복사본 ISP 1115 수배전설비 투자비등록(전제사항)_2차 예산산출기준_050927 (여기에 수정하십시요)" xfId="2063" xr:uid="{00000000-0005-0000-0000-000040060000}"/>
    <cellStyle name="_laroux_3_중국안산_No.2 CGL_견적 금액_재료비 통보_중국안산_No.1 CGL_견적 금액_재료비 통보_중국대련_PCCS No.2 CCL_견적 금액_재료비_Rev0_호주 CCL_견적금액_재료비_DDCRev0" xfId="2064" xr:uid="{00000000-0005-0000-0000-000041060000}"/>
    <cellStyle name="_laroux_3_중국안산_No.2 CGL_견적 금액_재료비 통보_중국안산_No.1 CGL_견적 금액_재료비 통보_중국대련_PCCS No.2 CCL_견적 금액_재료비_Rev0_호주 CCL_견적금액_재료비_DDCRev0_2차 예산산출기준_050927 (여기에 수정하십시요)" xfId="2065" xr:uid="{00000000-0005-0000-0000-00004206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" xfId="2066" xr:uid="{00000000-0005-0000-0000-00004306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_2차 예산산출기준_050927 (여기에 수정하십시요)" xfId="2067" xr:uid="{00000000-0005-0000-0000-00004406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_복사본 ISP 1115 수배전설비 투자비등록(전제사항)" xfId="2068" xr:uid="{00000000-0005-0000-0000-000045060000}"/>
    <cellStyle name="_laroux_3_중국안산_No.2 CGL_견적 금액_재료비 통보_중국안산_No.1 CGL_견적 금액_재료비 통보_중국대련_PCCS No.2 CCL_견적 금액_재료비_Rev0_호주 CCL_견적금액_재료비_DDCRev0_kjw - PMS report 양식(총괄)_020220_복사본 ISP 1115 수배전설비 투자비등록(전제사항)_2차 예산산출기준_050927 (여기에 수정하십시요)" xfId="2069" xr:uid="{00000000-0005-0000-0000-000046060000}"/>
    <cellStyle name="_laroux_3_중국안산_No.2 CGL_견적 금액_재료비 통보_중국안산_No.1 CGL_견적 금액_재료비 통보_중국대련_PCCS No.2 CCL_견적 금액_재료비_Rev0_호주 CCL_견적금액_재료비_DDCRev0_견적전기 (최종)" xfId="2070" xr:uid="{00000000-0005-0000-0000-000047060000}"/>
    <cellStyle name="_laroux_3_중국안산_No.2 CGL_견적 금액_재료비 통보_중국안산_No.1 CGL_견적 금액_재료비 통보_중국대련_PCCS No.2 CCL_견적 금액_재료비_Rev0_호주 CCL_견적금액_재료비_DDCRev0_견적전기 (최종)_2차 예산산출기준_050927 (여기에 수정하십시요)" xfId="2071" xr:uid="{00000000-0005-0000-0000-00004806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" xfId="2072" xr:uid="{00000000-0005-0000-0000-00004906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_2차 예산산출기준_050927 (여기에 수정하십시요)" xfId="2073" xr:uid="{00000000-0005-0000-0000-00004A06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_복사본 ISP 1115 수배전설비 투자비등록(전제사항)" xfId="2074" xr:uid="{00000000-0005-0000-0000-00004B060000}"/>
    <cellStyle name="_laroux_3_중국안산_No.2 CGL_견적 금액_재료비 통보_중국안산_No.1 CGL_견적 금액_재료비 통보_중국대련_PCCS No.2 CCL_견적 금액_재료비_Rev0_호주 CCL_견적금액_재료비_DDCRev0_견적전기 (최종)_kjw - PMS report 양식(총괄)_020220_복사본 ISP 1115 수배전설비 투자비등록(전제사항)_2차 예산산출기준_050927 (여기에 수정하십시요)" xfId="2075" xr:uid="{00000000-0005-0000-0000-00004C060000}"/>
    <cellStyle name="_laroux_3_중국안산_No.2 CGL_견적 금액_재료비 통보_중국안산_No.1 CGL_견적 금액_재료비 통보_중국대련_PCCS No.2 CCL_견적 금액_재료비_Rev0_호주 CCL_견적금액_재료비_DDCRev0_견적전기 (최종)_복사본 ISP 1115 수배전설비 투자비등록(전제사항)" xfId="2076" xr:uid="{00000000-0005-0000-0000-00004D060000}"/>
    <cellStyle name="_laroux_3_중국안산_No.2 CGL_견적 금액_재료비 통보_중국안산_No.1 CGL_견적 금액_재료비 통보_중국대련_PCCS No.2 CCL_견적 금액_재료비_Rev0_호주 CCL_견적금액_재료비_DDCRev0_견적전기 (최종)_복사본 ISP 1115 수배전설비 투자비등록(전제사항)_2차 예산산출기준_050927 (여기에 수정하십시요)" xfId="2077" xr:uid="{00000000-0005-0000-0000-00004E060000}"/>
    <cellStyle name="_laroux_3_중국안산_No.2 CGL_견적 금액_재료비 통보_중국안산_No.1 CGL_견적 금액_재료비 통보_중국대련_PCCS No.2 CCL_견적 금액_재료비_Rev0_호주 CCL_견적금액_재료비_DDCRev0_복사본 ISP 1115 수배전설비 투자비등록(전제사항)" xfId="2078" xr:uid="{00000000-0005-0000-0000-00004F060000}"/>
    <cellStyle name="_laroux_3_중국안산_No.2 CGL_견적 금액_재료비 통보_중국안산_No.1 CGL_견적 금액_재료비 통보_중국대련_PCCS No.2 CCL_견적 금액_재료비_Rev0_호주 CCL_견적금액_재료비_DDCRev0_복사본 ISP 1115 수배전설비 투자비등록(전제사항)_2차 예산산출기준_050927 (여기에 수정하십시요)" xfId="2079" xr:uid="{00000000-0005-0000-0000-000050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" xfId="2080" xr:uid="{00000000-0005-0000-0000-000051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2차 예산산출기준_050927 (여기에 수정하십시요)" xfId="2081" xr:uid="{00000000-0005-0000-0000-000052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" xfId="2082" xr:uid="{00000000-0005-0000-0000-000053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_2차 예산산출기준_050927 (여기에 수정하십시요)" xfId="2083" xr:uid="{00000000-0005-0000-0000-000054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_복사본 ISP 1115 수배전설비 투자비등록(전제사항)" xfId="2084" xr:uid="{00000000-0005-0000-0000-000055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kjw - PMS report 양식(총괄)_020220_복사본 ISP 1115 수배전설비 투자비등록(전제사항)_2차 예산산출기준_050927 (여기에 수정하십시요)" xfId="2085" xr:uid="{00000000-0005-0000-0000-000056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복사본 ISP 1115 수배전설비 투자비등록(전제사항)" xfId="2086" xr:uid="{00000000-0005-0000-0000-000057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복사본 ISP 1115 수배전설비 투자비등록(전제사항)_2차 예산산출기준_050927 (여기에 수정하십시요)" xfId="2087" xr:uid="{00000000-0005-0000-0000-000058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" xfId="2088" xr:uid="{00000000-0005-0000-0000-000059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2차 예산산출기준_050927 (여기에 수정하십시요)" xfId="2089" xr:uid="{00000000-0005-0000-0000-00005A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" xfId="2090" xr:uid="{00000000-0005-0000-0000-00005B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_2차 예산산출기준_050927 (여기에 수정하십시요)" xfId="2091" xr:uid="{00000000-0005-0000-0000-00005C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" xfId="2092" xr:uid="{00000000-0005-0000-0000-00005D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_2차 예산산출기준_050927 (여기에 수" xfId="2093" xr:uid="{00000000-0005-0000-0000-00005E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" xfId="2094" xr:uid="{00000000-0005-0000-0000-00005F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2차 예산산출기준_050927 (여기에 수정하십시요)" xfId="2095" xr:uid="{00000000-0005-0000-0000-000060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" xfId="2096" xr:uid="{00000000-0005-0000-0000-000061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_2차 예산산출기준_050927 (여기에 수정하십시요)" xfId="2097" xr:uid="{00000000-0005-0000-0000-000062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" xfId="2098" xr:uid="{00000000-0005-0000-0000-000063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" xfId="2099" xr:uid="{00000000-0005-0000-0000-000064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복사본 ISP 1115 수배전설비 투자비등록(전제사항)" xfId="2100" xr:uid="{00000000-0005-0000-0000-000065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101" xr:uid="{00000000-0005-0000-0000-000066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복사본 ISP 1115 수배전설비 투자비등록(전제사항)" xfId="2102" xr:uid="{00000000-0005-0000-0000-000067060000}"/>
    <cellStyle name="_laroux_3_중국안산_No.2 CGL_견적 금액_재료비 통보_중국안산_No.1 CGL_견적 금액_재료비 통보_중국대련_PCCS No.2 CCL_견적 금액_재료비_Rev0_호주 CCL_견적금액_재료비_DDCRev0_호주 CCL_견적금액_재료비_DDCRev0_호주 CCL_견적금액_재료비_DDCRev0_복사본 ISP 1115 수배전설비 투자비등록(전제사항)_2차 예산산출기준_050927 (여기에 수정하십시요)" xfId="2103" xr:uid="{00000000-0005-0000-0000-000068060000}"/>
    <cellStyle name="_laroux_3_중국안산_No.2 CGL_견적 금액_재료비 통보_중국안산_No.1 CGL_견적 금액_재료비 통보_호주 CCL_견적금액_재료비_DDCRev0" xfId="2104" xr:uid="{00000000-0005-0000-0000-000069060000}"/>
    <cellStyle name="_laroux_3_중국안산_No.2 CGL_견적 금액_재료비 통보_중국안산_No.1 CGL_견적 금액_재료비 통보_호주 CCL_견적금액_재료비_DDCRev0_2차 예산산출기준_050927 (여기에 수정하십시요)" xfId="2105" xr:uid="{00000000-0005-0000-0000-00006A060000}"/>
    <cellStyle name="_laroux_3_중국안산_No.2 CGL_견적 금액_재료비 통보_중국안산_No.1 CGL_견적 금액_재료비 통보_호주 CCL_견적금액_재료비_DDCRev0_kjw - PMS report 양식(총괄)_020220" xfId="2106" xr:uid="{00000000-0005-0000-0000-00006B060000}"/>
    <cellStyle name="_laroux_3_중국안산_No.2 CGL_견적 금액_재료비 통보_중국안산_No.1 CGL_견적 금액_재료비 통보_호주 CCL_견적금액_재료비_DDCRev0_kjw - PMS report 양식(총괄)_020220_2차 예산산출기준_050927 (여기에 수정하십시요)" xfId="2107" xr:uid="{00000000-0005-0000-0000-00006C060000}"/>
    <cellStyle name="_laroux_3_중국안산_No.2 CGL_견적 금액_재료비 통보_중국안산_No.1 CGL_견적 금액_재료비 통보_호주 CCL_견적금액_재료비_DDCRev0_kjw - PMS report 양식(총괄)_020220_복사본 ISP 1115 수배전설비 투자비등록(전제사항)" xfId="2108" xr:uid="{00000000-0005-0000-0000-00006D060000}"/>
    <cellStyle name="_laroux_3_중국안산_No.2 CGL_견적 금액_재료비 통보_중국안산_No.1 CGL_견적 금액_재료비 통보_호주 CCL_견적금액_재료비_DDCRev0_kjw - PMS report 양식(총괄)_020220_복사본 ISP 1115 수배전설비 투자비등록(전제사항)_2차 예산산출기준_050927 (여기에 수정하십시요)" xfId="2109" xr:uid="{00000000-0005-0000-0000-00006E060000}"/>
    <cellStyle name="_laroux_3_중국안산_No.2 CGL_견적 금액_재료비 통보_중국안산_No.1 CGL_견적 금액_재료비 통보_호주 CCL_견적금액_재료비_DDCRev0_견적전기 (최종)" xfId="2110" xr:uid="{00000000-0005-0000-0000-00006F060000}"/>
    <cellStyle name="_laroux_3_중국안산_No.2 CGL_견적 금액_재료비 통보_중국안산_No.1 CGL_견적 금액_재료비 통보_호주 CCL_견적금액_재료비_DDCRev0_견적전기 (최종)_2차 예산산출기준_050927 (여기에 수정하십시요)" xfId="2111" xr:uid="{00000000-0005-0000-0000-000070060000}"/>
    <cellStyle name="_laroux_3_중국안산_No.2 CGL_견적 금액_재료비 통보_중국안산_No.1 CGL_견적 금액_재료비 통보_호주 CCL_견적금액_재료비_DDCRev0_견적전기 (최종)_kjw - PMS report 양식(총괄)_020220" xfId="2112" xr:uid="{00000000-0005-0000-0000-000071060000}"/>
    <cellStyle name="_laroux_3_중국안산_No.2 CGL_견적 금액_재료비 통보_중국안산_No.1 CGL_견적 금액_재료비 통보_호주 CCL_견적금액_재료비_DDCRev0_견적전기 (최종)_kjw - PMS report 양식(총괄)_020220_2차 예산산출기준_050927 (여기에 수정하십시요)" xfId="2113" xr:uid="{00000000-0005-0000-0000-000072060000}"/>
    <cellStyle name="_laroux_3_중국안산_No.2 CGL_견적 금액_재료비 통보_중국안산_No.1 CGL_견적 금액_재료비 통보_호주 CCL_견적금액_재료비_DDCRev0_견적전기 (최종)_kjw - PMS report 양식(총괄)_020220_복사본 ISP 1115 수배전설비 투자비등록(전제사항)" xfId="2114" xr:uid="{00000000-0005-0000-0000-000073060000}"/>
    <cellStyle name="_laroux_3_중국안산_No.2 CGL_견적 금액_재료비 통보_중국안산_No.1 CGL_견적 금액_재료비 통보_호주 CCL_견적금액_재료비_DDCRev0_견적전기 (최종)_kjw - PMS report 양식(총괄)_020220_복사본 ISP 1115 수배전설비 투자비등록(전제사항)_2차 예산산출기준_050927 (여기에 수정하십시요)" xfId="2115" xr:uid="{00000000-0005-0000-0000-000074060000}"/>
    <cellStyle name="_laroux_3_중국안산_No.2 CGL_견적 금액_재료비 통보_중국안산_No.1 CGL_견적 금액_재료비 통보_호주 CCL_견적금액_재료비_DDCRev0_견적전기 (최종)_복사본 ISP 1115 수배전설비 투자비등록(전제사항)" xfId="2116" xr:uid="{00000000-0005-0000-0000-000075060000}"/>
    <cellStyle name="_laroux_3_중국안산_No.2 CGL_견적 금액_재료비 통보_중국안산_No.1 CGL_견적 금액_재료비 통보_호주 CCL_견적금액_재료비_DDCRev0_견적전기 (최종)_복사본 ISP 1115 수배전설비 투자비등록(전제사항)_2차 예산산출기준_050927 (여기에 수정하십시요)" xfId="2117" xr:uid="{00000000-0005-0000-0000-000076060000}"/>
    <cellStyle name="_laroux_3_중국안산_No.2 CGL_견적 금액_재료비 통보_중국안산_No.1 CGL_견적 금액_재료비 통보_호주 CCL_견적금액_재료비_DDCRev0_복사본 ISP 1115 수배전설비 투자비등록(전제사항)" xfId="2118" xr:uid="{00000000-0005-0000-0000-000077060000}"/>
    <cellStyle name="_laroux_3_중국안산_No.2 CGL_견적 금액_재료비 통보_중국안산_No.1 CGL_견적 금액_재료비 통보_호주 CCL_견적금액_재료비_DDCRev0_복사본 ISP 1115 수배전설비 투자비등록(전제사항)_2차 예산산출기준_050927 (여기에 수정하십시요)" xfId="2119" xr:uid="{00000000-0005-0000-0000-000078060000}"/>
    <cellStyle name="_laroux_3_중국안산_No.2 CGL_견적 금액_재료비 통보_중국안산_No.1 CGL_견적 금액_재료비 통보_호주 CCL_견적금액_재료비_DDCRev0_호주 CCL_견적금액_재료비_DDCRev0" xfId="2120" xr:uid="{00000000-0005-0000-0000-000079060000}"/>
    <cellStyle name="_laroux_3_중국안산_No.2 CGL_견적 금액_재료비 통보_중국안산_No.1 CGL_견적 금액_재료비 통보_호주 CCL_견적금액_재료비_DDCRev0_호주 CCL_견적금액_재료비_DDCRev0_2차 예산산출기준_050927 (여기에 수정하십시요)" xfId="2121" xr:uid="{00000000-0005-0000-0000-00007A060000}"/>
    <cellStyle name="_laroux_3_중국안산_No.2 CGL_견적 금액_재료비 통보_중국안산_No.1 CGL_견적 금액_재료비 통보_호주 CCL_견적금액_재료비_DDCRev0_호주 CCL_견적금액_재료비_DDCRev0_kjw - PMS report 양식(총괄)_020220" xfId="2122" xr:uid="{00000000-0005-0000-0000-00007B060000}"/>
    <cellStyle name="_laroux_3_중국안산_No.2 CGL_견적 금액_재료비 통보_중국안산_No.1 CGL_견적 금액_재료비 통보_호주 CCL_견적금액_재료비_DDCRev0_호주 CCL_견적금액_재료비_DDCRev0_kjw - PMS report 양식(총괄)_020220_2차 예산산출기준_050927 (여기에 수정하십시요)" xfId="2123" xr:uid="{00000000-0005-0000-0000-00007C060000}"/>
    <cellStyle name="_laroux_3_중국안산_No.2 CGL_견적 금액_재료비 통보_중국안산_No.1 CGL_견적 금액_재료비 통보_호주 CCL_견적금액_재료비_DDCRev0_호주 CCL_견적금액_재료비_DDCRev0_kjw - PMS report 양식(총괄)_020220_복사본 ISP 1115 수배전설비 투자비등록(전제사항)" xfId="2124" xr:uid="{00000000-0005-0000-0000-00007D060000}"/>
    <cellStyle name="_laroux_3_중국안산_No.2 CGL_견적 금액_재료비 통보_중국안산_No.1 CGL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2125" xr:uid="{00000000-0005-0000-0000-00007E060000}"/>
    <cellStyle name="_laroux_3_중국안산_No.2 CGL_견적 금액_재료비 통보_중국안산_No.1 CGL_견적 금액_재료비 통보_호주 CCL_견적금액_재료비_DDCRev0_호주 CCL_견적금액_재료비_DDCRev0_복사본 ISP 1115 수배전설비 투자비등록(전제사항)" xfId="2126" xr:uid="{00000000-0005-0000-0000-00007F060000}"/>
    <cellStyle name="_laroux_3_중국안산_No.2 CGL_견적 금액_재료비 통보_중국안산_No.1 CGL_견적 금액_재료비 통보_호주 CCL_견적금액_재료비_DDCRev0_호주 CCL_견적금액_재료비_DDCRev0_복사본 ISP 1115 수배전설비 투자비등록(전제사항)_2차 예산산출기준_050927 (여기에 수정하십시요)" xfId="2127" xr:uid="{00000000-0005-0000-0000-000080060000}"/>
    <cellStyle name="_laroux_3_중국안산_No.2 CGL_견적 금액_재료비 통보_중국안산_No.1 CGL_견적 금액_재료비 통보_호주 CCL_견적금액_재료비_DDCRev0_호주 CCL_견적금액_재료비_DDCRev0_호주 CCL_견적금액_재료비_DDCRev0" xfId="2128" xr:uid="{00000000-0005-0000-0000-000081060000}"/>
    <cellStyle name="_laroux_3_중국안산_No.2 CGL_견적 금액_재료비 통보_중국안산_No.1 CGL_견적 금액_재료비 통보_호주 CCL_견적금액_재료비_DDCRev0_호주 CCL_견적금액_재료비_DDCRev0_호주 CCL_견적금액_재료비_DDCRev0_2차 예산산출기준_050927 (여기에 수정하십시요)" xfId="2129" xr:uid="{00000000-0005-0000-0000-00008206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" xfId="2130" xr:uid="{00000000-0005-0000-0000-00008306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_2차 예산산출기준_050927 (여기에 수정하십시요)" xfId="2131" xr:uid="{00000000-0005-0000-0000-00008406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_복사본 ISP 1115 수배전설비 투자비등록(전제사항)" xfId="2132" xr:uid="{00000000-0005-0000-0000-000085060000}"/>
    <cellStyle name="_laroux_3_중국안산_No.2 CGL_견적 금액_재료비 통보_중국안산_No.1 CGL_견적 금액_재료비 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133" xr:uid="{00000000-0005-0000-0000-000086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" xfId="2134" xr:uid="{00000000-0005-0000-0000-000087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2차 예산산출기준_050927 (여기에 수정하십시요)" xfId="2135" xr:uid="{00000000-0005-0000-0000-000088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" xfId="2136" xr:uid="{00000000-0005-0000-0000-000089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_2차 예산산출기준_050927 (여기에 수정하십시요)" xfId="2137" xr:uid="{00000000-0005-0000-0000-00008A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" xfId="2138" xr:uid="{00000000-0005-0000-0000-00008B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2139" xr:uid="{00000000-0005-0000-0000-00008C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복사본 ISP 1115 수배전설비 투자비등록(전제사항)" xfId="2140" xr:uid="{00000000-0005-0000-0000-00008D060000}"/>
    <cellStyle name="_laroux_3_중국안산_No.2 CGL_견적 금액_재료비 통보_중국안산_No.1 CGL_견적 금액_재료비 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141" xr:uid="{00000000-0005-0000-0000-00008E060000}"/>
    <cellStyle name="_laroux_3_중국안산_No.2 CGL_견적 금액_재료비 통보_중국안산_No.1 CGL_견적 금액_재료비 통보_호주 CCL_견적금액_재료비_DDCRev0_호주 CCL_견적금액_재료비_DDCRev0_호주 CCL_견적금액_재료비_DDCRev0_복사본 ISP 1115 수배전설비 투자비등록(전제사항)" xfId="2142" xr:uid="{00000000-0005-0000-0000-00008F060000}"/>
    <cellStyle name="_laroux_3_중국안산_No.2 CGL_견적 금액_재료비 통보_중국안산_No.1 CGL_견적 금액_재료비 통보_호주 CCL_견적금액_재료비_DDCRev0_호주 CCL_견적금액_재료비_DDCRev0_호주 CCL_견적금액_재료비_DDCRev0_복사본 ISP 1115 수배전설비 투자비등록(전제사항)_2차 예산산출기준_050927 (여기에 수정하십시요)" xfId="2143" xr:uid="{00000000-0005-0000-0000-000090060000}"/>
    <cellStyle name="_laroux_3_중국안산_No.2 CGL_견적 금액_재료비 통보_중국안산_No.2 CGL_견적 금액_재료비 통보" xfId="2144" xr:uid="{00000000-0005-0000-0000-000091060000}"/>
    <cellStyle name="_laroux_3_중국안산_No.2 CGL_견적 금액_재료비 통보_중국안산_No.2 CGL_견적 금액_재료비 통보_2차 예산산출기준_050927 (여기에 수정하십시요)" xfId="2145" xr:uid="{00000000-0005-0000-0000-000092060000}"/>
    <cellStyle name="_laroux_3_중국안산_No.2 CGL_견적 금액_재료비 통보_중국안산_No.2 CGL_견적 금액_재료비 통보_kjw - PMS report 양식(총괄)_020220" xfId="2146" xr:uid="{00000000-0005-0000-0000-000093060000}"/>
    <cellStyle name="_laroux_3_중국안산_No.2 CGL_견적 금액_재료비 통보_중국안산_No.2 CGL_견적 금액_재료비 통보_kjw - PMS report 양식(총괄)_020220_2차 예산산출기준_050927 (여기에 수정하십시요)" xfId="2147" xr:uid="{00000000-0005-0000-0000-000094060000}"/>
    <cellStyle name="_laroux_3_중국안산_No.2 CGL_견적 금액_재료비 통보_중국안산_No.2 CGL_견적 금액_재료비 통보_kjw - PMS report 양식(총괄)_020220_복사본 ISP 1115 수배전설비 투자비등록(전제사항)" xfId="2148" xr:uid="{00000000-0005-0000-0000-000095060000}"/>
    <cellStyle name="_laroux_3_중국안산_No.2 CGL_견적 금액_재료비 통보_중국안산_No.2 CGL_견적 금액_재료비 통보_kjw - PMS report 양식(총괄)_020220_복사본 ISP 1115 수배전설비 투자비등록(전제사항)_2차 예산산출기준_050927 (여기에 수정하십시요)" xfId="2149" xr:uid="{00000000-0005-0000-0000-000096060000}"/>
    <cellStyle name="_laroux_3_중국안산_No.2 CGL_견적 금액_재료비 통보_중국안산_No.2 CGL_견적 금액_재료비 통보_PCCS CGL_SPM_견적 금액_재료비.Rev4" xfId="2150" xr:uid="{00000000-0005-0000-0000-000097060000}"/>
    <cellStyle name="_laroux_3_중국안산_No.2 CGL_견적 금액_재료비 통보_중국안산_No.2 CGL_견적 금액_재료비 통보_PCCS CGL_SPM_견적 금액_재료비.Rev4_2차 예산산출기준_050927 (여기에 수정하십시요)" xfId="2151" xr:uid="{00000000-0005-0000-0000-000098060000}"/>
    <cellStyle name="_laroux_3_중국안산_No.2 CGL_견적 금액_재료비 통보_중국안산_No.2 CGL_견적 금액_재료비 통보_PCCS CGL_SPM_견적 금액_재료비.Rev4_kjw - PMS report 양식(총괄)_020220" xfId="2152" xr:uid="{00000000-0005-0000-0000-000099060000}"/>
    <cellStyle name="_laroux_3_중국안산_No.2 CGL_견적 금액_재료비 통보_중국안산_No.2 CGL_견적 금액_재료비 통보_PCCS CGL_SPM_견적 금액_재료비.Rev4_kjw - PMS report 양식(총괄)_020220_2차 예산산출기준_050927 (여기에 수정하십시요)" xfId="2153" xr:uid="{00000000-0005-0000-0000-00009A060000}"/>
    <cellStyle name="_laroux_3_중국안산_No.2 CGL_견적 금액_재료비 통보_중국안산_No.2 CGL_견적 금액_재료비 통보_PCCS CGL_SPM_견적 금액_재료비.Rev4_kjw - PMS report 양식(총괄)_020220_복사본 ISP 1115 수배전설비 투자비등록(전제사항)" xfId="2154" xr:uid="{00000000-0005-0000-0000-00009B060000}"/>
    <cellStyle name="_laroux_3_중국안산_No.2 CGL_견적 금액_재료비 통보_중국안산_No.2 CGL_견적 금액_재료비 통보_PCCS CGL_SPM_견적 금액_재료비.Rev4_kjw - PMS report 양식(총괄)_020220_복사본 ISP 1115 수배전설비 투자비등록(전제사항)_2차 예산산출기준_050927 (여기에 수정하십시요)" xfId="2155" xr:uid="{00000000-0005-0000-0000-00009C060000}"/>
    <cellStyle name="_laroux_3_중국안산_No.2 CGL_견적 금액_재료비 통보_중국안산_No.2 CGL_견적 금액_재료비 통보_PCCS CGL_SPM_견적 금액_재료비.Rev4_복사본 ISP 1115 수배전설비 투자비등록(전제사항)" xfId="2156" xr:uid="{00000000-0005-0000-0000-00009D060000}"/>
    <cellStyle name="_laroux_3_중국안산_No.2 CGL_견적 금액_재료비 통보_중국안산_No.2 CGL_견적 금액_재료비 통보_PCCS CGL_SPM_견적 금액_재료비.Rev4_복사본 ISP 1115 수배전설비 투자비등록(전제사항)_2차 예산산출기준_050927 (여기에 수정하십시요)" xfId="2157" xr:uid="{00000000-0005-0000-0000-00009E060000}"/>
    <cellStyle name="_laroux_3_중국안산_No.2 CGL_견적 금액_재료비 통보_중국안산_No.2 CGL_견적 금액_재료비 통보_PCCS CGL_SPM_견적 금액_재료비.Rev4_호주 CCL_견적금액_재료비_DDCRev0" xfId="2158" xr:uid="{00000000-0005-0000-0000-00009F060000}"/>
    <cellStyle name="_laroux_3_중국안산_No.2 CGL_견적 금액_재료비 통보_중국안산_No.2 CGL_견적 금액_재료비 통보_PCCS CGL_SPM_견적 금액_재료비.Rev4_호주 CCL_견적금액_재료비_DDCRev0_2차 예산산출기준_050927 (여기에 수정하십시요)" xfId="2159" xr:uid="{00000000-0005-0000-0000-0000A0060000}"/>
    <cellStyle name="_laroux_3_중국안산_No.2 CGL_견적 금액_재료비 통보_중국안산_No.2 CGL_견적 금액_재료비 통보_PCCS CGL_SPM_견적 금액_재료비.Rev4_호주 CCL_견적금액_재료비_DDCRev0_kjw - PMS report 양식(총괄)_020220" xfId="2160" xr:uid="{00000000-0005-0000-0000-0000A1060000}"/>
    <cellStyle name="_laroux_3_중국안산_No.2 CGL_견적 금액_재료비 통보_중국안산_No.2 CGL_견적 금액_재료비 통보_PCCS CGL_SPM_견적 금액_재료비.Rev4_호주 CCL_견적금액_재료비_DDCRev0_kjw - PMS report 양식(총괄)_020220_2차 예산산출기준_050927 (여기에 수정하십시요)" xfId="2161" xr:uid="{00000000-0005-0000-0000-0000A2060000}"/>
    <cellStyle name="_laroux_3_중국안산_No.2 CGL_견적 금액_재료비 통보_중국안산_No.2 CGL_견적 금액_재료비 통보_PCCS CGL_SPM_견적 금액_재료비.Rev4_호주 CCL_견적금액_재료비_DDCRev0_kjw - PMS report 양식(총괄)_020220_복사본 ISP 1115 수배전설비 투자비등록(전제사항)" xfId="2162" xr:uid="{00000000-0005-0000-0000-0000A3060000}"/>
    <cellStyle name="_laroux_3_중국안산_No.2 CGL_견적 금액_재료비 통보_중국안산_No.2 CGL_견적 금액_재료비 통보_PCCS CGL_SPM_견적 금액_재료비.Rev4_호주 CCL_견적금액_재료비_DDCRev0_kjw - PMS report 양식(총괄)_020220_복사본 ISP 1115 수배전설비 투자비등록(전제사항)_2차 예산산출기준_050927 (여기에 수정하십시요)" xfId="2163" xr:uid="{00000000-0005-0000-0000-0000A4060000}"/>
    <cellStyle name="_laroux_3_중국안산_No.2 CGL_견적 금액_재료비 통보_중국안산_No.2 CGL_견적 금액_재료비 통보_PCCS CGL_SPM_견적 금액_재료비.Rev4_호주 CCL_견적금액_재료비_DDCRev0_견적전기 (최종)" xfId="2164" xr:uid="{00000000-0005-0000-0000-0000A5060000}"/>
    <cellStyle name="_laroux_3_중국안산_No.2 CGL_견적 금액_재료비 통보_중국안산_No.2 CGL_견적 금액_재료비 통보_PCCS CGL_SPM_견적 금액_재료비.Rev4_호주 CCL_견적금액_재료비_DDCRev0_견적전기 (최종)_2차 예산산출기준_050927 (여기에 수정하십시요)" xfId="2165" xr:uid="{00000000-0005-0000-0000-0000A606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" xfId="2166" xr:uid="{00000000-0005-0000-0000-0000A706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_2차 예산산출기준_050927 (여기에 수정하십시요)" xfId="2167" xr:uid="{00000000-0005-0000-0000-0000A806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_복사본 ISP 1115 수배전설비 투자비등록(전제사항)" xfId="2168" xr:uid="{00000000-0005-0000-0000-0000A9060000}"/>
    <cellStyle name="_laroux_3_중국안산_No.2 CGL_견적 금액_재료비 통보_중국안산_No.2 CGL_견적 금액_재료비 통보_PCCS CGL_SPM_견적 금액_재료비.Rev4_호주 CCL_견적금액_재료비_DDCRev0_견적전기 (최종)_kjw - PMS report 양식(총괄)_020220_복사본 ISP 1115 수배전설비 투자비등록(전제사항)_2차 예산산출기준_050927 (여기에 수정하십시요)" xfId="2169" xr:uid="{00000000-0005-0000-0000-0000AA060000}"/>
    <cellStyle name="_laroux_3_중국안산_No.2 CGL_견적 금액_재료비 통보_중국안산_No.2 CGL_견적 금액_재료비 통보_PCCS CGL_SPM_견적 금액_재료비.Rev4_호주 CCL_견적금액_재료비_DDCRev0_견적전기 (최종)_복사본 ISP 1115 수배전설비 투자비등록(전제사항)" xfId="2170" xr:uid="{00000000-0005-0000-0000-0000AB060000}"/>
    <cellStyle name="_laroux_3_중국안산_No.2 CGL_견적 금액_재료비 통보_중국안산_No.2 CGL_견적 금액_재료비 통보_PCCS CGL_SPM_견적 금액_재료비.Rev4_호주 CCL_견적금액_재료비_DDCRev0_견적전기 (최종)_복사본 ISP 1115 수배전설비 투자비등록(전제사항)_2차 예산산출기준_050927 (여기에 수정하십시요)" xfId="2171" xr:uid="{00000000-0005-0000-0000-0000AC060000}"/>
    <cellStyle name="_laroux_3_중국안산_No.2 CGL_견적 금액_재료비 통보_중국안산_No.2 CGL_견적 금액_재료비 통보_PCCS CGL_SPM_견적 금액_재료비.Rev4_호주 CCL_견적금액_재료비_DDCRev0_복사본 ISP 1115 수배전설비 투자비등록(전제사항)" xfId="2172" xr:uid="{00000000-0005-0000-0000-0000AD060000}"/>
    <cellStyle name="_laroux_3_중국안산_No.2 CGL_견적 금액_재료비 통보_중국안산_No.2 CGL_견적 금액_재료비 통보_PCCS CGL_SPM_견적 금액_재료비.Rev4_호주 CCL_견적금액_재료비_DDCRev0_복사본 ISP 1115 수배전설비 투자비등록(전제사항)_2차 예산산출기준_050927 (여기에 수정하십시요)" xfId="2173" xr:uid="{00000000-0005-0000-0000-0000AE060000}"/>
    <cellStyle name="_laroux_3_중국안산_No.2 CGL_견적 금액_재료비 통보_중국안산_No.2 CGL_견적 금액_재료비 통보_PCCS CGL_SPM_견적 금액_재료비.Rev4_호주 CCL_견적금액_재료비_DDCRev0_호주 CCL_견적금액_재료비_DDCRev0" xfId="2174" xr:uid="{00000000-0005-0000-0000-0000AF060000}"/>
    <cellStyle name="_laroux_3_중국안산_No.2 CGL_견적 금액_재료비 통보_중국안산_No.2 CGL_견적 금액_재료비 통보_PCCS CGL_SPM_견적 금액_재료비.Rev4_호주 CCL_견적금액_재료비_DDCRev0_호주 CCL_견적금액_재료비_DDCRev0_2차 예산산출기준_050927 (여기에 수정하십시요)" xfId="2175" xr:uid="{00000000-0005-0000-0000-0000B006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" xfId="2176" xr:uid="{00000000-0005-0000-0000-0000B106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_2차 예산산출기준_050927 (여기에 수정하십시요)" xfId="2177" xr:uid="{00000000-0005-0000-0000-0000B206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_복사본 ISP 1115 수배전설비 투자비등록(전제사항)" xfId="2178" xr:uid="{00000000-0005-0000-0000-0000B3060000}"/>
    <cellStyle name="_laroux_3_중국안산_No.2 CGL_견적 금액_재료비 통보_중국안산_No.2 CGL_견적 금액_재료비 통보_PCCS CGL_SPM_견적 금액_재료비.Rev4_호주 CCL_견적금액_재료비_DDCRev0_호주 CCL_견적금액_재료비_DDCRev0_kjw - PMS report 양식(총괄)_020220_복사본 ISP 1115 수배전설비 투자비등록(전제사항)_2차 예산산출기준_050927 (여기에 수정하십시요)" xfId="2179" xr:uid="{00000000-0005-0000-0000-0000B4060000}"/>
    <cellStyle name="_laroux_3_중국안산_No.2 CGL_견적 금액_재료비 통보_중국안산_No.2 CGL_견적 금액_재료비 통보_PCCS CGL_SPM_견적 금액_재료비.Rev4_호주 CCL_견적금액_재료비_DDCRev0_호주 CCL_견적금액_재료비_DDCRev0_복사본 ISP 1115 수배전설비 투자비등록(전제사항)" xfId="2180" xr:uid="{00000000-0005-0000-0000-0000B5060000}"/>
    <cellStyle name="_laroux_3_중국안산_No.2 CGL_견적 금액_재료비 통보_중국안산_No.2 CGL_견적 금액_재료비 통보_PCCS CGL_SPM_견적 금액_재료비.Rev4_호주 CCL_견적금액_재료비_DDCRev0_호주 CCL_견적금액_재료비_DDCRev0_복사본 ISP 1115 수배전설비 투자비등록(전제사항)_2차 예산산출기준_050927 (여기에 수정하십시요)" xfId="2181" xr:uid="{00000000-0005-0000-0000-0000B6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" xfId="2182" xr:uid="{00000000-0005-0000-0000-0000B7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2차 예산산출기준_050927 (여기에 수정하십시요)" xfId="2183" xr:uid="{00000000-0005-0000-0000-0000B8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" xfId="2184" xr:uid="{00000000-0005-0000-0000-0000B9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_2차 예산산출기준_050927 (여기에 수정하십시요)" xfId="2185" xr:uid="{00000000-0005-0000-0000-0000BA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_복사본 ISP 1115 수배전설비 투자비등록(전제사항)" xfId="2186" xr:uid="{00000000-0005-0000-0000-0000BB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187" xr:uid="{00000000-0005-0000-0000-0000BC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" xfId="2188" xr:uid="{00000000-0005-0000-0000-0000BD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2차 예산산출기준_050927 (여기에 수정하십시요)" xfId="2189" xr:uid="{00000000-0005-0000-0000-0000BE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" xfId="2190" xr:uid="{00000000-0005-0000-0000-0000BF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_2차 예산산출기준_050927 (여기에 수정하십시요)" xfId="2191" xr:uid="{00000000-0005-0000-0000-0000C0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" xfId="2192" xr:uid="{00000000-0005-0000-0000-0000C1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" xfId="2193" xr:uid="{00000000-0005-0000-0000-0000C2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복사본 ISP 1115 수배전설비 투자비등록(전제사항)" xfId="2194" xr:uid="{00000000-0005-0000-0000-0000C3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195" xr:uid="{00000000-0005-0000-0000-0000C4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복사본 ISP 1115 수배전설비 투자비등록(전제사항)" xfId="2196" xr:uid="{00000000-0005-0000-0000-0000C5060000}"/>
    <cellStyle name="_laroux_3_중국안산_No.2 CGL_견적 금액_재료비 통보_중국안산_No.2 CGL_견적 금액_재료비 통보_PCCS CGL_SPM_견적 금액_재료비.Rev4_호주 CCL_견적금액_재료비_DDCRev0_호주 CCL_견적금액_재료비_DDCRev0_호주 CCL_견적금액_재료비_DDCRev0_복사본 ISP 1115 수배전설비 투자비등록(전제사항)_2차 예산산출기준_050927 (여기에 수정하십시요)" xfId="2197" xr:uid="{00000000-0005-0000-0000-0000C6060000}"/>
    <cellStyle name="_laroux_3_중국안산_No.2 CGL_견적 금액_재료비 통보_중국안산_No.2 CGL_견적 금액_재료비 통보_복사본 ISP 1115 수배전설비 투자비등록(전제사항)" xfId="2198" xr:uid="{00000000-0005-0000-0000-0000C7060000}"/>
    <cellStyle name="_laroux_3_중국안산_No.2 CGL_견적 금액_재료비 통보_중국안산_No.2 CGL_견적 금액_재료비 통보_복사본 ISP 1115 수배전설비 투자비등록(전제사항)_2차 예산산출기준_050927 (여기에 수정하십시요)" xfId="2199" xr:uid="{00000000-0005-0000-0000-0000C8060000}"/>
    <cellStyle name="_laroux_3_중국안산_No.2 CGL_견적 금액_재료비 통보_중국안산_No.2 CGL_견적 금액_재료비 통보_중국대련_PCCS No.2 CCL_견적 금액_재료비_Rev0" xfId="2200" xr:uid="{00000000-0005-0000-0000-0000C9060000}"/>
    <cellStyle name="_laroux_3_중국안산_No.2 CGL_견적 금액_재료비 통보_중국안산_No.2 CGL_견적 금액_재료비 통보_중국대련_PCCS No.2 CCL_견적 금액_재료비_Rev0_2차 예산산출기준_050927 (여기에 수정하십시요)" xfId="2201" xr:uid="{00000000-0005-0000-0000-0000CA060000}"/>
    <cellStyle name="_laroux_3_중국안산_No.2 CGL_견적 금액_재료비 통보_중국안산_No.2 CGL_견적 금액_재료비 통보_중국대련_PCCS No.2 CCL_견적 금액_재료비_Rev0_kjw - PMS report 양식(총괄)_020220" xfId="2202" xr:uid="{00000000-0005-0000-0000-0000CB060000}"/>
    <cellStyle name="_laroux_3_중국안산_No.2 CGL_견적 금액_재료비 통보_중국안산_No.2 CGL_견적 금액_재료비 통보_중국대련_PCCS No.2 CCL_견적 금액_재료비_Rev0_kjw - PMS report 양식(총괄)_020220_2차 예산산출기준_050927 (여기에 수정하십시요)" xfId="2203" xr:uid="{00000000-0005-0000-0000-0000CC060000}"/>
    <cellStyle name="_laroux_3_중국안산_No.2 CGL_견적 금액_재료비 통보_중국안산_No.2 CGL_견적 금액_재료비 통보_중국대련_PCCS No.2 CCL_견적 금액_재료비_Rev0_kjw - PMS report 양식(총괄)_020220_복사본 ISP 1115 수배전설비 투자비등록(전제사항)" xfId="2204" xr:uid="{00000000-0005-0000-0000-0000CD060000}"/>
    <cellStyle name="_laroux_3_중국안산_No.2 CGL_견적 금액_재료비 통보_중국안산_No.2 CGL_견적 금액_재료비 통보_중국대련_PCCS No.2 CCL_견적 금액_재료비_Rev0_kjw - PMS report 양식(총괄)_020220_복사본 ISP 1115 수배전설비 투자비등록(전제사항)_2차 예산산출기준_050927 (여기에 수정하십시요)" xfId="2205" xr:uid="{00000000-0005-0000-0000-0000CE060000}"/>
    <cellStyle name="_laroux_3_중국안산_No.2 CGL_견적 금액_재료비 통보_중국안산_No.2 CGL_견적 금액_재료비 통보_중국대련_PCCS No.2 CCL_견적 금액_재료비_Rev0_복사본 ISP 1115 수배전설비 투자비등록(전제사항)" xfId="2206" xr:uid="{00000000-0005-0000-0000-0000CF060000}"/>
    <cellStyle name="_laroux_3_중국안산_No.2 CGL_견적 금액_재료비 통보_중국안산_No.2 CGL_견적 금액_재료비 통보_중국대련_PCCS No.2 CCL_견적 금액_재료비_Rev0_복사본 ISP 1115 수배전설비 투자비등록(전제사항)_2차 예산산출기준_050927 (여기에 수정하십시요)" xfId="2207" xr:uid="{00000000-0005-0000-0000-0000D0060000}"/>
    <cellStyle name="_laroux_3_중국안산_No.2 CGL_견적 금액_재료비 통보_중국안산_No.2 CGL_견적 금액_재료비 통보_중국대련_PCCS No.2 CCL_견적 금액_재료비_Rev0_호주 CCL_견적금액_재료비_DDCRev0" xfId="2208" xr:uid="{00000000-0005-0000-0000-0000D1060000}"/>
    <cellStyle name="_laroux_3_중국안산_No.2 CGL_견적 금액_재료비 통보_중국안산_No.2 CGL_견적 금액_재료비 통보_중국대련_PCCS No.2 CCL_견적 금액_재료비_Rev0_호주 CCL_견적금액_재료비_DDCRev0_2차 예산산출기준_050927 (여기에 수정하십시요)" xfId="2209" xr:uid="{00000000-0005-0000-0000-0000D206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" xfId="2210" xr:uid="{00000000-0005-0000-0000-0000D306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_2차 예산산출기준_050927 (여기에 수정하십시요)" xfId="2211" xr:uid="{00000000-0005-0000-0000-0000D406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_복사본 ISP 1115 수배전설비 투자비등록(전제사항)" xfId="2212" xr:uid="{00000000-0005-0000-0000-0000D5060000}"/>
    <cellStyle name="_laroux_3_중국안산_No.2 CGL_견적 금액_재료비 통보_중국안산_No.2 CGL_견적 금액_재료비 통보_중국대련_PCCS No.2 CCL_견적 금액_재료비_Rev0_호주 CCL_견적금액_재료비_DDCRev0_kjw - PMS report 양식(총괄)_020220_복사본 ISP 1115 수배전설비 투자비등록(전제사항)_2차 예산산출기준_050927 (여기에 수정하십시요)" xfId="2213" xr:uid="{00000000-0005-0000-0000-0000D6060000}"/>
    <cellStyle name="_laroux_3_중국안산_No.2 CGL_견적 금액_재료비 통보_중국안산_No.2 CGL_견적 금액_재료비 통보_중국대련_PCCS No.2 CCL_견적 금액_재료비_Rev0_호주 CCL_견적금액_재료비_DDCRev0_견적전기 (최종)" xfId="2214" xr:uid="{00000000-0005-0000-0000-0000D7060000}"/>
    <cellStyle name="_laroux_3_중국안산_No.2 CGL_견적 금액_재료비 통보_중국안산_No.2 CGL_견적 금액_재료비 통보_중국대련_PCCS No.2 CCL_견적 금액_재료비_Rev0_호주 CCL_견적금액_재료비_DDCRev0_견적전기 (최종)_2차 예산산출기준_050927 (여기에 수정하십시요)" xfId="2215" xr:uid="{00000000-0005-0000-0000-0000D806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" xfId="2216" xr:uid="{00000000-0005-0000-0000-0000D906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_2차 예산산출기준_050927 (여기에 수정하십시요)" xfId="2217" xr:uid="{00000000-0005-0000-0000-0000DA06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_복사본 ISP 1115 수배전설비 투자비등록(전제사항)" xfId="2218" xr:uid="{00000000-0005-0000-0000-0000DB060000}"/>
    <cellStyle name="_laroux_3_중국안산_No.2 CGL_견적 금액_재료비 통보_중국안산_No.2 CGL_견적 금액_재료비 통보_중국대련_PCCS No.2 CCL_견적 금액_재료비_Rev0_호주 CCL_견적금액_재료비_DDCRev0_견적전기 (최종)_kjw - PMS report 양식(총괄)_020220_복사본 ISP 1115 수배전설비 투자비등록(전제사항)_2차 예산산출기준_050927 (여기에 수정하십시요)" xfId="2219" xr:uid="{00000000-0005-0000-0000-0000DC060000}"/>
    <cellStyle name="_laroux_3_중국안산_No.2 CGL_견적 금액_재료비 통보_중국안산_No.2 CGL_견적 금액_재료비 통보_중국대련_PCCS No.2 CCL_견적 금액_재료비_Rev0_호주 CCL_견적금액_재료비_DDCRev0_견적전기 (최종)_복사본 ISP 1115 수배전설비 투자비등록(전제사항)" xfId="2220" xr:uid="{00000000-0005-0000-0000-0000DD060000}"/>
    <cellStyle name="_laroux_3_중국안산_No.2 CGL_견적 금액_재료비 통보_중국안산_No.2 CGL_견적 금액_재료비 통보_중국대련_PCCS No.2 CCL_견적 금액_재료비_Rev0_호주 CCL_견적금액_재료비_DDCRev0_견적전기 (최종)_복사본 ISP 1115 수배전설비 투자비등록(전제사항)_2차 예산산출기준_050927 (여기에 수정하십시요)" xfId="2221" xr:uid="{00000000-0005-0000-0000-0000DE060000}"/>
    <cellStyle name="_laroux_3_중국안산_No.2 CGL_견적 금액_재료비 통보_중국안산_No.2 CGL_견적 금액_재료비 통보_중국대련_PCCS No.2 CCL_견적 금액_재료비_Rev0_호주 CCL_견적금액_재료비_DDCRev0_복사본 ISP 1115 수배전설비 투자비등록(전제사항)" xfId="2222" xr:uid="{00000000-0005-0000-0000-0000DF060000}"/>
    <cellStyle name="_laroux_3_중국안산_No.2 CGL_견적 금액_재료비 통보_중국안산_No.2 CGL_견적 금액_재료비 통보_중국대련_PCCS No.2 CCL_견적 금액_재료비_Rev0_호주 CCL_견적금액_재료비_DDCRev0_복사본 ISP 1115 수배전설비 투자비등록(전제사항)_2차 예산산출기준_050927 (여기에 수정하십시요)" xfId="2223" xr:uid="{00000000-0005-0000-0000-0000E0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" xfId="2224" xr:uid="{00000000-0005-0000-0000-0000E1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2차 예산산출기준_050927 (여기에 수정하십시요)" xfId="2225" xr:uid="{00000000-0005-0000-0000-0000E2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" xfId="2226" xr:uid="{00000000-0005-0000-0000-0000E3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_2차 예산산출기준_050927 (여기에 수정하십시요)" xfId="2227" xr:uid="{00000000-0005-0000-0000-0000E4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_복사본 ISP 1115 수배전설비 투자비등록(전제사항)" xfId="2228" xr:uid="{00000000-0005-0000-0000-0000E5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kjw - PMS report 양식(총괄)_020220_복사본 ISP 1115 수배전설비 투자비등록(전제사항)_2차 예산산출기준_050927 (여기에 수정하십시요)" xfId="2229" xr:uid="{00000000-0005-0000-0000-0000E6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복사본 ISP 1115 수배전설비 투자비등록(전제사항)" xfId="2230" xr:uid="{00000000-0005-0000-0000-0000E7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복사본 ISP 1115 수배전설비 투자비등록(전제사항)_2차 예산산출기준_050927 (여기에 수정하십시요)" xfId="2231" xr:uid="{00000000-0005-0000-0000-0000E8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" xfId="2232" xr:uid="{00000000-0005-0000-0000-0000E9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2차 예산산출기준_050927 (여기에 수정하십시요)" xfId="2233" xr:uid="{00000000-0005-0000-0000-0000EA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" xfId="2234" xr:uid="{00000000-0005-0000-0000-0000EB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_2차 예산산출기준_050927 (여기에 수정하십시요)" xfId="2235" xr:uid="{00000000-0005-0000-0000-0000EC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" xfId="2236" xr:uid="{00000000-0005-0000-0000-0000ED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kjw - PMS report 양식(총괄)_020220_복사본 ISP 1115 수배전설비 투자비등록(전제사항)_2차 예산산출기준_050927 (여기에 수" xfId="2237" xr:uid="{00000000-0005-0000-0000-0000EE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" xfId="2238" xr:uid="{00000000-0005-0000-0000-0000EF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2차 예산산출기준_050927 (여기에 수정하십시요)" xfId="2239" xr:uid="{00000000-0005-0000-0000-0000F0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" xfId="2240" xr:uid="{00000000-0005-0000-0000-0000F1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_2차 예산산출기준_050927 (여기에 수정하십시요)" xfId="2241" xr:uid="{00000000-0005-0000-0000-0000F2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" xfId="2242" xr:uid="{00000000-0005-0000-0000-0000F3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" xfId="2243" xr:uid="{00000000-0005-0000-0000-0000F4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복사본 ISP 1115 수배전설비 투자비등록(전제사항)" xfId="2244" xr:uid="{00000000-0005-0000-0000-0000F5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245" xr:uid="{00000000-0005-0000-0000-0000F6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복사본 ISP 1115 수배전설비 투자비등록(전제사항)" xfId="2246" xr:uid="{00000000-0005-0000-0000-0000F7060000}"/>
    <cellStyle name="_laroux_3_중국안산_No.2 CGL_견적 금액_재료비 통보_중국안산_No.2 CGL_견적 금액_재료비 통보_중국대련_PCCS No.2 CCL_견적 금액_재료비_Rev0_호주 CCL_견적금액_재료비_DDCRev0_호주 CCL_견적금액_재료비_DDCRev0_호주 CCL_견적금액_재료비_DDCRev0_복사본 ISP 1115 수배전설비 투자비등록(전제사항)_2차 예산산출기준_050927 (여기에 수정하십시요)" xfId="2247" xr:uid="{00000000-0005-0000-0000-0000F8060000}"/>
    <cellStyle name="_laroux_3_중국안산_No.2 CGL_견적 금액_재료비 통보_중국안산_No.2 CGL_견적 금액_재료비 통보_중국안산_No.2 CGL_견적 금액_재료비 통보" xfId="2248" xr:uid="{00000000-0005-0000-0000-0000F9060000}"/>
    <cellStyle name="_laroux_3_중국안산_No.2 CGL_견적 금액_재료비 통보_중국안산_No.2 CGL_견적 금액_재료비 통보_중국안산_No.2 CGL_견적 금액_재료비 통보_2차 예산산출기준_050927 (여기에 수정하십시요)" xfId="2249" xr:uid="{00000000-0005-0000-0000-0000FA060000}"/>
    <cellStyle name="_laroux_3_중국안산_No.2 CGL_견적 금액_재료비 통보_중국안산_No.2 CGL_견적 금액_재료비 통보_중국안산_No.2 CGL_견적 금액_재료비 통보_kjw - PMS report 양식(총괄)_020220" xfId="2250" xr:uid="{00000000-0005-0000-0000-0000FB060000}"/>
    <cellStyle name="_laroux_3_중국안산_No.2 CGL_견적 금액_재료비 통보_중국안산_No.2 CGL_견적 금액_재료비 통보_중국안산_No.2 CGL_견적 금액_재료비 통보_kjw - PMS report 양식(총괄)_020220_2차 예산산출기준_050927 (여기에 수정하십시요)" xfId="2251" xr:uid="{00000000-0005-0000-0000-0000FC060000}"/>
    <cellStyle name="_laroux_3_중국안산_No.2 CGL_견적 금액_재료비 통보_중국안산_No.2 CGL_견적 금액_재료비 통보_중국안산_No.2 CGL_견적 금액_재료비 통보_kjw - PMS report 양식(총괄)_020220_복사본 ISP 1115 수배전설비 투자비등록(전제사항)" xfId="2252" xr:uid="{00000000-0005-0000-0000-0000FD060000}"/>
    <cellStyle name="_laroux_3_중국안산_No.2 CGL_견적 금액_재료비 통보_중국안산_No.2 CGL_견적 금액_재료비 통보_중국안산_No.2 CGL_견적 금액_재료비 통보_kjw - PMS report 양식(총괄)_020220_복사본 ISP 1115 수배전설비 투자비등록(전제사항)_2차 예산산출기준_050927 (여기에 수정하십시요)" xfId="2253" xr:uid="{00000000-0005-0000-0000-0000FE060000}"/>
    <cellStyle name="_laroux_3_중국안산_No.2 CGL_견적 금액_재료비 통보_중국안산_No.2 CGL_견적 금액_재료비 통보_중국안산_No.2 CGL_견적 금액_재료비 통보_복사본 ISP 1115 수배전설비 투자비등록(전제사항)" xfId="2254" xr:uid="{00000000-0005-0000-0000-0000FF060000}"/>
    <cellStyle name="_laroux_3_중국안산_No.2 CGL_견적 금액_재료비 통보_중국안산_No.2 CGL_견적 금액_재료비 통보_중국안산_No.2 CGL_견적 금액_재료비 통보_복사본 ISP 1115 수배전설비 투자비등록(전제사항)_2차 예산산출기준_050927 (여기에 수정하십시요)" xfId="2255" xr:uid="{00000000-0005-0000-0000-000000070000}"/>
    <cellStyle name="_laroux_3_중국안산_No.2 CGL_견적 금액_재료비 통보_중국안산_No.2 CGL_견적 금액_재료비 통보_중국안산_No.2 CGL_견적 금액_재료비 통보_호주 CCL_견적금액_재료비_DDCRev0" xfId="2256" xr:uid="{00000000-0005-0000-0000-000001070000}"/>
    <cellStyle name="_laroux_3_중국안산_No.2 CGL_견적 금액_재료비 통보_중국안산_No.2 CGL_견적 금액_재료비 통보_중국안산_No.2 CGL_견적 금액_재료비 통보_호주 CCL_견적금액_재료비_DDCRev0_2차 예산산출기준_050927 (여기에 수정하십시요)" xfId="2257" xr:uid="{00000000-0005-0000-0000-000002070000}"/>
    <cellStyle name="_laroux_3_중국안산_No.2 CGL_견적 금액_재료비 통보_중국안산_No.2 CGL_견적 금액_재료비 통보_중국안산_No.2 CGL_견적 금액_재료비 통보_호주 CCL_견적금액_재료비_DDCRev0_kjw - PMS report 양식(총괄)_020220" xfId="2258" xr:uid="{00000000-0005-0000-0000-000003070000}"/>
    <cellStyle name="_laroux_3_중국안산_No.2 CGL_견적 금액_재료비 통보_중국안산_No.2 CGL_견적 금액_재료비 통보_중국안산_No.2 CGL_견적 금액_재료비 통보_호주 CCL_견적금액_재료비_DDCRev0_kjw - PMS report 양식(총괄)_020220_2차 예산산출기준_050927 (여기에 수정하십시요)" xfId="2259" xr:uid="{00000000-0005-0000-0000-000004070000}"/>
    <cellStyle name="_laroux_3_중국안산_No.2 CGL_견적 금액_재료비 통보_중국안산_No.2 CGL_견적 금액_재료비 통보_중국안산_No.2 CGL_견적 금액_재료비 통보_호주 CCL_견적금액_재료비_DDCRev0_kjw - PMS report 양식(총괄)_020220_복사본 ISP 1115 수배전설비 투자비등록(전제사항)" xfId="2260" xr:uid="{00000000-0005-0000-0000-000005070000}"/>
    <cellStyle name="_laroux_3_중국안산_No.2 CGL_견적 금액_재료비 통보_중국안산_No.2 CGL_견적 금액_재료비 통보_중국안산_No.2 CGL_견적 금액_재료비 통보_호주 CCL_견적금액_재료비_DDCRev0_kjw - PMS report 양식(총괄)_020220_복사본 ISP 1115 수배전설비 투자비등록(전제사항)_2차 예산산출기준_050927 (여기에 수정하십시요)" xfId="2261" xr:uid="{00000000-0005-0000-0000-000006070000}"/>
    <cellStyle name="_laroux_3_중국안산_No.2 CGL_견적 금액_재료비 통보_중국안산_No.2 CGL_견적 금액_재료비 통보_중국안산_No.2 CGL_견적 금액_재료비 통보_호주 CCL_견적금액_재료비_DDCRev0_견적전기 (최종)" xfId="2262" xr:uid="{00000000-0005-0000-0000-000007070000}"/>
    <cellStyle name="_laroux_3_중국안산_No.2 CGL_견적 금액_재료비 통보_중국안산_No.2 CGL_견적 금액_재료비 통보_중국안산_No.2 CGL_견적 금액_재료비 통보_호주 CCL_견적금액_재료비_DDCRev0_견적전기 (최종)_2차 예산산출기준_050927 (여기에 수정하십시요)" xfId="2263" xr:uid="{00000000-0005-0000-0000-00000807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" xfId="2264" xr:uid="{00000000-0005-0000-0000-00000907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_2차 예산산출기준_050927 (여기에 수정하십시요)" xfId="2265" xr:uid="{00000000-0005-0000-0000-00000A07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_복사본 ISP 1115 수배전설비 투자비등록(전제사항)" xfId="2266" xr:uid="{00000000-0005-0000-0000-00000B070000}"/>
    <cellStyle name="_laroux_3_중국안산_No.2 CGL_견적 금액_재료비 통보_중국안산_No.2 CGL_견적 금액_재료비 통보_중국안산_No.2 CGL_견적 금액_재료비 통보_호주 CCL_견적금액_재료비_DDCRev0_견적전기 (최종)_kjw - PMS report 양식(총괄)_020220_복사본 ISP 1115 수배전설비 투자비등록(전제사항)_2차 예산산출기준_050927 (여기에 수정하십시요)" xfId="2267" xr:uid="{00000000-0005-0000-0000-00000C070000}"/>
    <cellStyle name="_laroux_3_중국안산_No.2 CGL_견적 금액_재료비 통보_중국안산_No.2 CGL_견적 금액_재료비 통보_중국안산_No.2 CGL_견적 금액_재료비 통보_호주 CCL_견적금액_재료비_DDCRev0_견적전기 (최종)_복사본 ISP 1115 수배전설비 투자비등록(전제사항)" xfId="2268" xr:uid="{00000000-0005-0000-0000-00000D070000}"/>
    <cellStyle name="_laroux_3_중국안산_No.2 CGL_견적 금액_재료비 통보_중국안산_No.2 CGL_견적 금액_재료비 통보_중국안산_No.2 CGL_견적 금액_재료비 통보_호주 CCL_견적금액_재료비_DDCRev0_견적전기 (최종)_복사본 ISP 1115 수배전설비 투자비등록(전제사항)_2차 예산산출기준_050927 (여기에 수정하십시요)" xfId="2269" xr:uid="{00000000-0005-0000-0000-00000E070000}"/>
    <cellStyle name="_laroux_3_중국안산_No.2 CGL_견적 금액_재료비 통보_중국안산_No.2 CGL_견적 금액_재료비 통보_중국안산_No.2 CGL_견적 금액_재료비 통보_호주 CCL_견적금액_재료비_DDCRev0_복사본 ISP 1115 수배전설비 투자비등록(전제사항)" xfId="2270" xr:uid="{00000000-0005-0000-0000-00000F070000}"/>
    <cellStyle name="_laroux_3_중국안산_No.2 CGL_견적 금액_재료비 통보_중국안산_No.2 CGL_견적 금액_재료비 통보_중국안산_No.2 CGL_견적 금액_재료비 통보_호주 CCL_견적금액_재료비_DDCRev0_복사본 ISP 1115 수배전설비 투자비등록(전제사항)_2차 예산산출기준_050927 (여기에 수정하십시요)" xfId="2271" xr:uid="{00000000-0005-0000-0000-000010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" xfId="2272" xr:uid="{00000000-0005-0000-0000-000011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2차 예산산출기준_050927 (여기에 수정하십시요)" xfId="2273" xr:uid="{00000000-0005-0000-0000-000012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" xfId="2274" xr:uid="{00000000-0005-0000-0000-000013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_2차 예산산출기준_050927 (여기에 수정하십시요)" xfId="2275" xr:uid="{00000000-0005-0000-0000-000014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_복사본 ISP 1115 수배전설비 투자비등록(전제사항)" xfId="2276" xr:uid="{00000000-0005-0000-0000-000015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2277" xr:uid="{00000000-0005-0000-0000-000016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복사본 ISP 1115 수배전설비 투자비등록(전제사항)" xfId="2278" xr:uid="{00000000-0005-0000-0000-000017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복사본 ISP 1115 수배전설비 투자비등록(전제사항)_2차 예산산출기준_050927 (여기에 수정하십시요)" xfId="2279" xr:uid="{00000000-0005-0000-0000-000018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" xfId="2280" xr:uid="{00000000-0005-0000-0000-000019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2차 예산산출기준_050927 (여기에 수정하십시요)" xfId="2281" xr:uid="{00000000-0005-0000-0000-00001A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" xfId="2282" xr:uid="{00000000-0005-0000-0000-00001B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_2차 예산산출기준_050927 (여기에 수정하십시요)" xfId="2283" xr:uid="{00000000-0005-0000-0000-00001C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_복사본 ISP 1115 수배전설비 투자비등록(전제사항)" xfId="2284" xr:uid="{00000000-0005-0000-0000-00001D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285" xr:uid="{00000000-0005-0000-0000-00001E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" xfId="2286" xr:uid="{00000000-0005-0000-0000-00001F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2차 예산산출기준_050927 (여기에 수정하십시요)" xfId="2287" xr:uid="{00000000-0005-0000-0000-000020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" xfId="2288" xr:uid="{00000000-0005-0000-0000-000021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2차 예산산출기준_050927 (여기에 수정하십시요)" xfId="2289" xr:uid="{00000000-0005-0000-0000-000022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" xfId="2290" xr:uid="{00000000-0005-0000-0000-000023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" xfId="2291" xr:uid="{00000000-0005-0000-0000-000024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복사본 ISP 1115 수배전설비 투자비등록(전제사항)" xfId="2292" xr:uid="{00000000-0005-0000-0000-000025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293" xr:uid="{00000000-0005-0000-0000-000026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복사본 ISP 1115 수배전설비 투자비등록(전제사항)" xfId="2294" xr:uid="{00000000-0005-0000-0000-000027070000}"/>
    <cellStyle name="_laroux_3_중국안산_No.2 CGL_견적 금액_재료비 통보_중국안산_No.2 CGL_견적 금액_재료비 통보_중국안산_No.2 CGL_견적 금액_재료비 통보_호주 CCL_견적금액_재료비_DDCRev0_호주 CCL_견적금액_재료비_DDCRev0_호주 CCL_견적금액_재료비_DDCRev0_복사본 ISP 1115 수배전설비 투자비등록(전제사항)_2차 예산산출기준_050927 (여기에 수정하십시요)" xfId="2295" xr:uid="{00000000-0005-0000-0000-000028070000}"/>
    <cellStyle name="_laroux_3_중국안산_No.2 CGL_견적 금액_재료비 통보_중국안산_No.2 CGL_견적 금액_재료비 통보_호주 CCL_견적금액_재료비_DDCRev0" xfId="2296" xr:uid="{00000000-0005-0000-0000-000029070000}"/>
    <cellStyle name="_laroux_3_중국안산_No.2 CGL_견적 금액_재료비 통보_중국안산_No.2 CGL_견적 금액_재료비 통보_호주 CCL_견적금액_재료비_DDCRev0_2차 예산산출기준_050927 (여기에 수정하십시요)" xfId="2297" xr:uid="{00000000-0005-0000-0000-00002A070000}"/>
    <cellStyle name="_laroux_3_중국안산_No.2 CGL_견적 금액_재료비 통보_중국안산_No.2 CGL_견적 금액_재료비 통보_호주 CCL_견적금액_재료비_DDCRev0_kjw - PMS report 양식(총괄)_020220" xfId="2298" xr:uid="{00000000-0005-0000-0000-00002B070000}"/>
    <cellStyle name="_laroux_3_중국안산_No.2 CGL_견적 금액_재료비 통보_중국안산_No.2 CGL_견적 금액_재료비 통보_호주 CCL_견적금액_재료비_DDCRev0_kjw - PMS report 양식(총괄)_020220_2차 예산산출기준_050927 (여기에 수정하십시요)" xfId="2299" xr:uid="{00000000-0005-0000-0000-00002C070000}"/>
    <cellStyle name="_laroux_3_중국안산_No.2 CGL_견적 금액_재료비 통보_중국안산_No.2 CGL_견적 금액_재료비 통보_호주 CCL_견적금액_재료비_DDCRev0_kjw - PMS report 양식(총괄)_020220_복사본 ISP 1115 수배전설비 투자비등록(전제사항)" xfId="2300" xr:uid="{00000000-0005-0000-0000-00002D070000}"/>
    <cellStyle name="_laroux_3_중국안산_No.2 CGL_견적 금액_재료비 통보_중국안산_No.2 CGL_견적 금액_재료비 통보_호주 CCL_견적금액_재료비_DDCRev0_kjw - PMS report 양식(총괄)_020220_복사본 ISP 1115 수배전설비 투자비등록(전제사항)_2차 예산산출기준_050927 (여기에 수정하십시요)" xfId="2301" xr:uid="{00000000-0005-0000-0000-00002E070000}"/>
    <cellStyle name="_laroux_3_중국안산_No.2 CGL_견적 금액_재료비 통보_중국안산_No.2 CGL_견적 금액_재료비 통보_호주 CCL_견적금액_재료비_DDCRev0_견적전기 (최종)" xfId="2302" xr:uid="{00000000-0005-0000-0000-00002F070000}"/>
    <cellStyle name="_laroux_3_중국안산_No.2 CGL_견적 금액_재료비 통보_중국안산_No.2 CGL_견적 금액_재료비 통보_호주 CCL_견적금액_재료비_DDCRev0_견적전기 (최종)_2차 예산산출기준_050927 (여기에 수정하십시요)" xfId="2303" xr:uid="{00000000-0005-0000-0000-000030070000}"/>
    <cellStyle name="_laroux_3_중국안산_No.2 CGL_견적 금액_재료비 통보_중국안산_No.2 CGL_견적 금액_재료비 통보_호주 CCL_견적금액_재료비_DDCRev0_견적전기 (최종)_kjw - PMS report 양식(총괄)_020220" xfId="2304" xr:uid="{00000000-0005-0000-0000-000031070000}"/>
    <cellStyle name="_laroux_3_중국안산_No.2 CGL_견적 금액_재료비 통보_중국안산_No.2 CGL_견적 금액_재료비 통보_호주 CCL_견적금액_재료비_DDCRev0_견적전기 (최종)_kjw - PMS report 양식(총괄)_020220_2차 예산산출기준_050927 (여기에 수정하십시요)" xfId="2305" xr:uid="{00000000-0005-0000-0000-000032070000}"/>
    <cellStyle name="_laroux_3_중국안산_No.2 CGL_견적 금액_재료비 통보_중국안산_No.2 CGL_견적 금액_재료비 통보_호주 CCL_견적금액_재료비_DDCRev0_견적전기 (최종)_kjw - PMS report 양식(총괄)_020220_복사본 ISP 1115 수배전설비 투자비등록(전제사항)" xfId="2306" xr:uid="{00000000-0005-0000-0000-000033070000}"/>
    <cellStyle name="_laroux_3_중국안산_No.2 CGL_견적 금액_재료비 통보_중국안산_No.2 CGL_견적 금액_재료비 통보_호주 CCL_견적금액_재료비_DDCRev0_견적전기 (최종)_kjw - PMS report 양식(총괄)_020220_복사본 ISP 1115 수배전설비 투자비등록(전제사항)_2차 예산산출기준_050927 (여기에 수정하십시요)" xfId="2307" xr:uid="{00000000-0005-0000-0000-000034070000}"/>
    <cellStyle name="_laroux_3_중국안산_No.2 CGL_견적 금액_재료비 통보_중국안산_No.2 CGL_견적 금액_재료비 통보_호주 CCL_견적금액_재료비_DDCRev0_견적전기 (최종)_복사본 ISP 1115 수배전설비 투자비등록(전제사항)" xfId="2308" xr:uid="{00000000-0005-0000-0000-000035070000}"/>
    <cellStyle name="_laroux_3_중국안산_No.2 CGL_견적 금액_재료비 통보_중국안산_No.2 CGL_견적 금액_재료비 통보_호주 CCL_견적금액_재료비_DDCRev0_견적전기 (최종)_복사본 ISP 1115 수배전설비 투자비등록(전제사항)_2차 예산산출기준_050927 (여기에 수정하십시요)" xfId="2309" xr:uid="{00000000-0005-0000-0000-000036070000}"/>
    <cellStyle name="_laroux_3_중국안산_No.2 CGL_견적 금액_재료비 통보_중국안산_No.2 CGL_견적 금액_재료비 통보_호주 CCL_견적금액_재료비_DDCRev0_복사본 ISP 1115 수배전설비 투자비등록(전제사항)" xfId="2310" xr:uid="{00000000-0005-0000-0000-000037070000}"/>
    <cellStyle name="_laroux_3_중국안산_No.2 CGL_견적 금액_재료비 통보_중국안산_No.2 CGL_견적 금액_재료비 통보_호주 CCL_견적금액_재료비_DDCRev0_복사본 ISP 1115 수배전설비 투자비등록(전제사항)_2차 예산산출기준_050927 (여기에 수정하십시요)" xfId="2311" xr:uid="{00000000-0005-0000-0000-000038070000}"/>
    <cellStyle name="_laroux_3_중국안산_No.2 CGL_견적 금액_재료비 통보_중국안산_No.2 CGL_견적 금액_재료비 통보_호주 CCL_견적금액_재료비_DDCRev0_호주 CCL_견적금액_재료비_DDCRev0" xfId="2312" xr:uid="{00000000-0005-0000-0000-000039070000}"/>
    <cellStyle name="_laroux_3_중국안산_No.2 CGL_견적 금액_재료비 통보_중국안산_No.2 CGL_견적 금액_재료비 통보_호주 CCL_견적금액_재료비_DDCRev0_호주 CCL_견적금액_재료비_DDCRev0_2차 예산산출기준_050927 (여기에 수정하십시요)" xfId="2313" xr:uid="{00000000-0005-0000-0000-00003A070000}"/>
    <cellStyle name="_laroux_3_중국안산_No.2 CGL_견적 금액_재료비 통보_중국안산_No.2 CGL_견적 금액_재료비 통보_호주 CCL_견적금액_재료비_DDCRev0_호주 CCL_견적금액_재료비_DDCRev0_kjw - PMS report 양식(총괄)_020220" xfId="2314" xr:uid="{00000000-0005-0000-0000-00003B070000}"/>
    <cellStyle name="_laroux_3_중국안산_No.2 CGL_견적 금액_재료비 통보_중국안산_No.2 CGL_견적 금액_재료비 통보_호주 CCL_견적금액_재료비_DDCRev0_호주 CCL_견적금액_재료비_DDCRev0_kjw - PMS report 양식(총괄)_020220_2차 예산산출기준_050927 (여기에 수정하십시요)" xfId="2315" xr:uid="{00000000-0005-0000-0000-00003C070000}"/>
    <cellStyle name="_laroux_3_중국안산_No.2 CGL_견적 금액_재료비 통보_중국안산_No.2 CGL_견적 금액_재료비 통보_호주 CCL_견적금액_재료비_DDCRev0_호주 CCL_견적금액_재료비_DDCRev0_kjw - PMS report 양식(총괄)_020220_복사본 ISP 1115 수배전설비 투자비등록(전제사항)" xfId="2316" xr:uid="{00000000-0005-0000-0000-00003D070000}"/>
    <cellStyle name="_laroux_3_중국안산_No.2 CGL_견적 금액_재료비 통보_중국안산_No.2 CGL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2317" xr:uid="{00000000-0005-0000-0000-00003E070000}"/>
    <cellStyle name="_laroux_3_중국안산_No.2 CGL_견적 금액_재료비 통보_중국안산_No.2 CGL_견적 금액_재료비 통보_호주 CCL_견적금액_재료비_DDCRev0_호주 CCL_견적금액_재료비_DDCRev0_복사본 ISP 1115 수배전설비 투자비등록(전제사항)" xfId="2318" xr:uid="{00000000-0005-0000-0000-00003F070000}"/>
    <cellStyle name="_laroux_3_중국안산_No.2 CGL_견적 금액_재료비 통보_중국안산_No.2 CGL_견적 금액_재료비 통보_호주 CCL_견적금액_재료비_DDCRev0_호주 CCL_견적금액_재료비_DDCRev0_복사본 ISP 1115 수배전설비 투자비등록(전제사항)_2차 예산산출기준_050927 (여기에 수정하십시요)" xfId="2319" xr:uid="{00000000-0005-0000-0000-000040070000}"/>
    <cellStyle name="_laroux_3_중국안산_No.2 CGL_견적 금액_재료비 통보_중국안산_No.2 CGL_견적 금액_재료비 통보_호주 CCL_견적금액_재료비_DDCRev0_호주 CCL_견적금액_재료비_DDCRev0_호주 CCL_견적금액_재료비_DDCRev0" xfId="2320" xr:uid="{00000000-0005-0000-0000-000041070000}"/>
    <cellStyle name="_laroux_3_중국안산_No.2 CGL_견적 금액_재료비 통보_중국안산_No.2 CGL_견적 금액_재료비 통보_호주 CCL_견적금액_재료비_DDCRev0_호주 CCL_견적금액_재료비_DDCRev0_호주 CCL_견적금액_재료비_DDCRev0_2차 예산산출기준_050927 (여기에 수정하십시요)" xfId="2321" xr:uid="{00000000-0005-0000-0000-00004207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" xfId="2322" xr:uid="{00000000-0005-0000-0000-00004307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_2차 예산산출기준_050927 (여기에 수정하십시요)" xfId="2323" xr:uid="{00000000-0005-0000-0000-00004407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_복사본 ISP 1115 수배전설비 투자비등록(전제사항)" xfId="2324" xr:uid="{00000000-0005-0000-0000-000045070000}"/>
    <cellStyle name="_laroux_3_중국안산_No.2 CGL_견적 금액_재료비 통보_중국안산_No.2 CGL_견적 금액_재료비 통보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325" xr:uid="{00000000-0005-0000-0000-000046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" xfId="2326" xr:uid="{00000000-0005-0000-0000-000047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2차 예산산출기준_050927 (여기에 수정하십시요)" xfId="2327" xr:uid="{00000000-0005-0000-0000-000048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" xfId="2328" xr:uid="{00000000-0005-0000-0000-000049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2차 예산산출기준_050927 (여기에 수정하십시요)" xfId="2329" xr:uid="{00000000-0005-0000-0000-00004A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" xfId="2330" xr:uid="{00000000-0005-0000-0000-00004B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2331" xr:uid="{00000000-0005-0000-0000-00004C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복사본 ISP 1115 수배전설비 투자비등록(전제사항)" xfId="2332" xr:uid="{00000000-0005-0000-0000-00004D070000}"/>
    <cellStyle name="_laroux_3_중국안산_No.2 CGL_견적 금액_재료비 통보_중국안산_No.2 CGL_견적 금액_재료비 통보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333" xr:uid="{00000000-0005-0000-0000-00004E070000}"/>
    <cellStyle name="_laroux_3_중국안산_No.2 CGL_견적 금액_재료비 통보_중국안산_No.2 CGL_견적 금액_재료비 통보_호주 CCL_견적금액_재료비_DDCRev0_호주 CCL_견적금액_재료비_DDCRev0_호주 CCL_견적금액_재료비_DDCRev0_복사본 ISP 1115 수배전설비 투자비등록(전제사항)" xfId="2334" xr:uid="{00000000-0005-0000-0000-00004F070000}"/>
    <cellStyle name="_laroux_3_중국안산_No.2 CGL_견적 금액_재료비 통보_중국안산_No.2 CGL_견적 금액_재료비 통보_호주 CCL_견적금액_재료비_DDCRev0_호주 CCL_견적금액_재료비_DDCRev0_호주 CCL_견적금액_재료비_DDCRev0_복사본 ISP 1115 수배전설비 투자비등록(전제사항)_2차 예산산출기준_050927 (여기에 수정하십시요)" xfId="2335" xr:uid="{00000000-0005-0000-0000-000050070000}"/>
    <cellStyle name="_laroux_3_중국안산_No.2 CGL_견적 금액_재료비 통보_호주 CCL_견적금액_재료비_DDCRev0" xfId="2336" xr:uid="{00000000-0005-0000-0000-000051070000}"/>
    <cellStyle name="_laroux_3_중국안산_No.2 CGL_견적 금액_재료비 통보_호주 CCL_견적금액_재료비_DDCRev0_2차 예산산출기준_050927 (여기에 수정하십시요)" xfId="2337" xr:uid="{00000000-0005-0000-0000-000052070000}"/>
    <cellStyle name="_laroux_3_중국안산_No.2 CGL_견적 금액_재료비 통보_호주 CCL_견적금액_재료비_DDCRev0_kjw - PMS report 양식(총괄)_020220" xfId="2338" xr:uid="{00000000-0005-0000-0000-000053070000}"/>
    <cellStyle name="_laroux_3_중국안산_No.2 CGL_견적 금액_재료비 통보_호주 CCL_견적금액_재료비_DDCRev0_kjw - PMS report 양식(총괄)_020220_2차 예산산출기준_050927 (여기에 수정하십시요)" xfId="2339" xr:uid="{00000000-0005-0000-0000-000054070000}"/>
    <cellStyle name="_laroux_3_중국안산_No.2 CGL_견적 금액_재료비 통보_호주 CCL_견적금액_재료비_DDCRev0_kjw - PMS report 양식(총괄)_020220_복사본 ISP 1115 수배전설비 투자비등록(전제사항)" xfId="2340" xr:uid="{00000000-0005-0000-0000-000055070000}"/>
    <cellStyle name="_laroux_3_중국안산_No.2 CGL_견적 금액_재료비 통보_호주 CCL_견적금액_재료비_DDCRev0_kjw - PMS report 양식(총괄)_020220_복사본 ISP 1115 수배전설비 투자비등록(전제사항)_2차 예산산출기준_050927 (여기에 수정하십시요)" xfId="2341" xr:uid="{00000000-0005-0000-0000-000056070000}"/>
    <cellStyle name="_laroux_3_중국안산_No.2 CGL_견적 금액_재료비 통보_호주 CCL_견적금액_재료비_DDCRev0_복사본 ISP 1115 수배전설비 투자비등록(전제사항)" xfId="2342" xr:uid="{00000000-0005-0000-0000-000057070000}"/>
    <cellStyle name="_laroux_3_중국안산_No.2 CGL_견적 금액_재료비 통보_호주 CCL_견적금액_재료비_DDCRev0_복사본 ISP 1115 수배전설비 투자비등록(전제사항)_2차 예산산출기준_050927 (여기에 수정하십시요)" xfId="2343" xr:uid="{00000000-0005-0000-0000-000058070000}"/>
    <cellStyle name="_laroux_3_중국안산_No.2 CGL_견적 금액_재료비 통보_호주 CCL_견적금액_재료비_DDCRev0_호주 CCL_견적금액_재료비_DDCRev0" xfId="2344" xr:uid="{00000000-0005-0000-0000-000059070000}"/>
    <cellStyle name="_laroux_3_중국안산_No.2 CGL_견적 금액_재료비 통보_호주 CCL_견적금액_재료비_DDCRev0_호주 CCL_견적금액_재료비_DDCRev0_2차 예산산출기준_050927 (여기에 수정하십시요)" xfId="2345" xr:uid="{00000000-0005-0000-0000-00005A070000}"/>
    <cellStyle name="_laroux_3_중국안산_No.2 CGL_견적 금액_재료비 통보_호주 CCL_견적금액_재료비_DDCRev0_호주 CCL_견적금액_재료비_DDCRev0_kjw - PMS report 양식(총괄)_020220" xfId="2346" xr:uid="{00000000-0005-0000-0000-00005B070000}"/>
    <cellStyle name="_laroux_3_중국안산_No.2 CGL_견적 금액_재료비 통보_호주 CCL_견적금액_재료비_DDCRev0_호주 CCL_견적금액_재료비_DDCRev0_kjw - PMS report 양식(총괄)_020220_2차 예산산출기준_050927 (여기에 수정하십시요)" xfId="2347" xr:uid="{00000000-0005-0000-0000-00005C070000}"/>
    <cellStyle name="_laroux_3_중국안산_No.2 CGL_견적 금액_재료비 통보_호주 CCL_견적금액_재료비_DDCRev0_호주 CCL_견적금액_재료비_DDCRev0_kjw - PMS report 양식(총괄)_020220_복사본 ISP 1115 수배전설비 투자비등록(전제사항)" xfId="2348" xr:uid="{00000000-0005-0000-0000-00005D070000}"/>
    <cellStyle name="_laroux_3_중국안산_No.2 CGL_견적 금액_재료비 통보_호주 CCL_견적금액_재료비_DDCRev0_호주 CCL_견적금액_재료비_DDCRev0_kjw - PMS report 양식(총괄)_020220_복사본 ISP 1115 수배전설비 투자비등록(전제사항)_2차 예산산출기준_050927 (여기에 수정하십시요)" xfId="2349" xr:uid="{00000000-0005-0000-0000-00005E070000}"/>
    <cellStyle name="_laroux_3_중국안산_No.2 CGL_견적 금액_재료비 통보_호주 CCL_견적금액_재료비_DDCRev0_호주 CCL_견적금액_재료비_DDCRev0_견적전기 (최종)" xfId="2350" xr:uid="{00000000-0005-0000-0000-00005F070000}"/>
    <cellStyle name="_laroux_3_중국안산_No.2 CGL_견적 금액_재료비 통보_호주 CCL_견적금액_재료비_DDCRev0_호주 CCL_견적금액_재료비_DDCRev0_견적전기 (최종)_2차 예산산출기준_050927 (여기에 수정하십시요)" xfId="2351" xr:uid="{00000000-0005-0000-0000-000060070000}"/>
    <cellStyle name="_laroux_3_중국안산_No.2 CGL_견적 금액_재료비 통보_호주 CCL_견적금액_재료비_DDCRev0_호주 CCL_견적금액_재료비_DDCRev0_견적전기 (최종)_kjw - PMS report 양식(총괄)_020220" xfId="2352" xr:uid="{00000000-0005-0000-0000-000061070000}"/>
    <cellStyle name="_laroux_3_중국안산_No.2 CGL_견적 금액_재료비 통보_호주 CCL_견적금액_재료비_DDCRev0_호주 CCL_견적금액_재료비_DDCRev0_견적전기 (최종)_kjw - PMS report 양식(총괄)_020220_2차 예산산출기준_050927 (여기에 수정하십시요)" xfId="2353" xr:uid="{00000000-0005-0000-0000-000062070000}"/>
    <cellStyle name="_laroux_3_중국안산_No.2 CGL_견적 금액_재료비 통보_호주 CCL_견적금액_재료비_DDCRev0_호주 CCL_견적금액_재료비_DDCRev0_견적전기 (최종)_kjw - PMS report 양식(총괄)_020220_복사본 ISP 1115 수배전설비 투자비등록(전제사항)" xfId="2354" xr:uid="{00000000-0005-0000-0000-000063070000}"/>
    <cellStyle name="_laroux_3_중국안산_No.2 CGL_견적 금액_재료비 통보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2355" xr:uid="{00000000-0005-0000-0000-000064070000}"/>
    <cellStyle name="_laroux_3_중국안산_No.2 CGL_견적 금액_재료비 통보_호주 CCL_견적금액_재료비_DDCRev0_호주 CCL_견적금액_재료비_DDCRev0_견적전기 (최종)_복사본 ISP 1115 수배전설비 투자비등록(전제사항)" xfId="2356" xr:uid="{00000000-0005-0000-0000-000065070000}"/>
    <cellStyle name="_laroux_3_중국안산_No.2 CGL_견적 금액_재료비 통보_호주 CCL_견적금액_재료비_DDCRev0_호주 CCL_견적금액_재료비_DDCRev0_견적전기 (최종)_복사본 ISP 1115 수배전설비 투자비등록(전제사항)_2차 예산산출기준_050927 (여기에 수정하십시요)" xfId="2357" xr:uid="{00000000-0005-0000-0000-000066070000}"/>
    <cellStyle name="_laroux_3_중국안산_No.2 CGL_견적 금액_재료비 통보_호주 CCL_견적금액_재료비_DDCRev0_호주 CCL_견적금액_재료비_DDCRev0_복사본 ISP 1115 수배전설비 투자비등록(전제사항)" xfId="2358" xr:uid="{00000000-0005-0000-0000-000067070000}"/>
    <cellStyle name="_laroux_3_중국안산_No.2 CGL_견적 금액_재료비 통보_호주 CCL_견적금액_재료비_DDCRev0_호주 CCL_견적금액_재료비_DDCRev0_복사본 ISP 1115 수배전설비 투자비등록(전제사항)_2차 예산산출기준_050927 (여기에 수정하십시요)" xfId="2359" xr:uid="{00000000-0005-0000-0000-000068070000}"/>
    <cellStyle name="_laroux_3_호주 CCL_견적금액_재료비_DDCRev0" xfId="2360" xr:uid="{00000000-0005-0000-0000-000069070000}"/>
    <cellStyle name="_laroux_3_호주 CCL_견적금액_재료비_DDCRev0_2차 예산산출기준_050927 (여기에 수정하십시요)" xfId="2361" xr:uid="{00000000-0005-0000-0000-00006A070000}"/>
    <cellStyle name="_laroux_3_호주 CCL_견적금액_재료비_DDCRev0_kjw - PMS report 양식(총괄)_020220" xfId="2362" xr:uid="{00000000-0005-0000-0000-00006B070000}"/>
    <cellStyle name="_laroux_3_호주 CCL_견적금액_재료비_DDCRev0_kjw - PMS report 양식(총괄)_020220_2차 예산산출기준_050927 (여기에 수정하십시요)" xfId="2363" xr:uid="{00000000-0005-0000-0000-00006C070000}"/>
    <cellStyle name="_laroux_3_호주 CCL_견적금액_재료비_DDCRev0_kjw - PMS report 양식(총괄)_020220_복사본 ISP 1115 수배전설비 투자비등록(전제사항)" xfId="2364" xr:uid="{00000000-0005-0000-0000-00006D070000}"/>
    <cellStyle name="_laroux_3_호주 CCL_견적금액_재료비_DDCRev0_kjw - PMS report 양식(총괄)_020220_복사본 ISP 1115 수배전설비 투자비등록(전제사항)_2차 예산산출기준_050927 (여기에 수정하십시요)" xfId="2365" xr:uid="{00000000-0005-0000-0000-00006E070000}"/>
    <cellStyle name="_laroux_3_호주 CCL_견적금액_재료비_DDCRev0_견적전기 (최종)" xfId="2366" xr:uid="{00000000-0005-0000-0000-00006F070000}"/>
    <cellStyle name="_laroux_3_호주 CCL_견적금액_재료비_DDCRev0_견적전기 (최종)_2차 예산산출기준_050927 (여기에 수정하십시요)" xfId="2367" xr:uid="{00000000-0005-0000-0000-000070070000}"/>
    <cellStyle name="_laroux_3_호주 CCL_견적금액_재료비_DDCRev0_견적전기 (최종)_kjw - PMS report 양식(총괄)_020220" xfId="2368" xr:uid="{00000000-0005-0000-0000-000071070000}"/>
    <cellStyle name="_laroux_3_호주 CCL_견적금액_재료비_DDCRev0_견적전기 (최종)_kjw - PMS report 양식(총괄)_020220_2차 예산산출기준_050927 (여기에 수정하십시요)" xfId="2369" xr:uid="{00000000-0005-0000-0000-000072070000}"/>
    <cellStyle name="_laroux_3_호주 CCL_견적금액_재료비_DDCRev0_견적전기 (최종)_kjw - PMS report 양식(총괄)_020220_복사본 ISP 1115 수배전설비 투자비등록(전제사항)" xfId="2370" xr:uid="{00000000-0005-0000-0000-000073070000}"/>
    <cellStyle name="_laroux_3_호주 CCL_견적금액_재료비_DDCRev0_견적전기 (최종)_kjw - PMS report 양식(총괄)_020220_복사본 ISP 1115 수배전설비 투자비등록(전제사항)_2차 예산산출기준_050927 (여기에 수정하십시요)" xfId="2371" xr:uid="{00000000-0005-0000-0000-000074070000}"/>
    <cellStyle name="_laroux_3_호주 CCL_견적금액_재료비_DDCRev0_견적전기 (최종)_복사본 ISP 1115 수배전설비 투자비등록(전제사항)" xfId="2372" xr:uid="{00000000-0005-0000-0000-000075070000}"/>
    <cellStyle name="_laroux_3_호주 CCL_견적금액_재료비_DDCRev0_견적전기 (최종)_복사본 ISP 1115 수배전설비 투자비등록(전제사항)_2차 예산산출기준_050927 (여기에 수정하십시요)" xfId="2373" xr:uid="{00000000-0005-0000-0000-000076070000}"/>
    <cellStyle name="_laroux_3_호주 CCL_견적금액_재료비_DDCRev0_복사본 ISP 1115 수배전설비 투자비등록(전제사항)" xfId="2374" xr:uid="{00000000-0005-0000-0000-000077070000}"/>
    <cellStyle name="_laroux_3_호주 CCL_견적금액_재료비_DDCRev0_복사본 ISP 1115 수배전설비 투자비등록(전제사항)_2차 예산산출기준_050927 (여기에 수정하십시요)" xfId="2375" xr:uid="{00000000-0005-0000-0000-000078070000}"/>
    <cellStyle name="_laroux_3_호주 CCL_견적금액_재료비_DDCRev0_호주 CCL_견적금액_재료비_DDCRev0" xfId="2376" xr:uid="{00000000-0005-0000-0000-000079070000}"/>
    <cellStyle name="_laroux_3_호주 CCL_견적금액_재료비_DDCRev0_호주 CCL_견적금액_재료비_DDCRev0_2차 예산산출기준_050927 (여기에 수정하십시요)" xfId="2377" xr:uid="{00000000-0005-0000-0000-00007A070000}"/>
    <cellStyle name="_laroux_3_호주 CCL_견적금액_재료비_DDCRev0_호주 CCL_견적금액_재료비_DDCRev0_kjw - PMS report 양식(총괄)_020220" xfId="2378" xr:uid="{00000000-0005-0000-0000-00007B070000}"/>
    <cellStyle name="_laroux_3_호주 CCL_견적금액_재료비_DDCRev0_호주 CCL_견적금액_재료비_DDCRev0_kjw - PMS report 양식(총괄)_020220_2차 예산산출기준_050927 (여기에 수정하십시요)" xfId="2379" xr:uid="{00000000-0005-0000-0000-00007C070000}"/>
    <cellStyle name="_laroux_3_호주 CCL_견적금액_재료비_DDCRev0_호주 CCL_견적금액_재료비_DDCRev0_kjw - PMS report 양식(총괄)_020220_복사본 ISP 1115 수배전설비 투자비등록(전제사항)" xfId="2380" xr:uid="{00000000-0005-0000-0000-00007D070000}"/>
    <cellStyle name="_laroux_3_호주 CCL_견적금액_재료비_DDCRev0_호주 CCL_견적금액_재료비_DDCRev0_kjw - PMS report 양식(총괄)_020220_복사본 ISP 1115 수배전설비 투자비등록(전제사항)_2차 예산산출기준_050927 (여기에 수정하십시요)" xfId="2381" xr:uid="{00000000-0005-0000-0000-00007E070000}"/>
    <cellStyle name="_laroux_3_호주 CCL_견적금액_재료비_DDCRev0_호주 CCL_견적금액_재료비_DDCRev0_복사본 ISP 1115 수배전설비 투자비등록(전제사항)" xfId="2382" xr:uid="{00000000-0005-0000-0000-00007F070000}"/>
    <cellStyle name="_laroux_3_호주 CCL_견적금액_재료비_DDCRev0_호주 CCL_견적금액_재료비_DDCRev0_복사본 ISP 1115 수배전설비 투자비등록(전제사항)_2차 예산산출기준_050927 (여기에 수정하십시요)" xfId="2383" xr:uid="{00000000-0005-0000-0000-000080070000}"/>
    <cellStyle name="_laroux_3_호주 CCL_견적금액_재료비_DDCRev0_호주 CCL_견적금액_재료비_DDCRev0_호주 CCL_견적금액_재료비_DDCRev0" xfId="2384" xr:uid="{00000000-0005-0000-0000-000081070000}"/>
    <cellStyle name="_laroux_3_호주 CCL_견적금액_재료비_DDCRev0_호주 CCL_견적금액_재료비_DDCRev0_호주 CCL_견적금액_재료비_DDCRev0_2차 예산산출기준_050927 (여기에 수정하십시요)" xfId="2385" xr:uid="{00000000-0005-0000-0000-000082070000}"/>
    <cellStyle name="_laroux_3_호주 CCL_견적금액_재료비_DDCRev0_호주 CCL_견적금액_재료비_DDCRev0_호주 CCL_견적금액_재료비_DDCRev0_kjw - PMS report 양식(총괄)_020220" xfId="2386" xr:uid="{00000000-0005-0000-0000-000083070000}"/>
    <cellStyle name="_laroux_3_호주 CCL_견적금액_재료비_DDCRev0_호주 CCL_견적금액_재료비_DDCRev0_호주 CCL_견적금액_재료비_DDCRev0_kjw - PMS report 양식(총괄)_020220_2차 예산산출기준_050927 (여기에 수정하십시요)" xfId="2387" xr:uid="{00000000-0005-0000-0000-000084070000}"/>
    <cellStyle name="_laroux_3_호주 CCL_견적금액_재료비_DDCRev0_호주 CCL_견적금액_재료비_DDCRev0_호주 CCL_견적금액_재료비_DDCRev0_kjw - PMS report 양식(총괄)_020220_복사본 ISP 1115 수배전설비 투자비등록(전제사항)" xfId="2388" xr:uid="{00000000-0005-0000-0000-000085070000}"/>
    <cellStyle name="_laroux_3_호주 CCL_견적금액_재료비_DDCRev0_호주 CCL_견적금액_재료비_DDCRev0_호주 CCL_견적금액_재료비_DDCRev0_kjw - PMS report 양식(총괄)_020220_복사본 ISP 1115 수배전설비 투자비등록(전제사항)_2차 예산산출기준_050927 (여기에 수정하십시요)" xfId="2389" xr:uid="{00000000-0005-0000-0000-000086070000}"/>
    <cellStyle name="_laroux_3_호주 CCL_견적금액_재료비_DDCRev0_호주 CCL_견적금액_재료비_DDCRev0_호주 CCL_견적금액_재료비_DDCRev0_견적전기 (최종)" xfId="2390" xr:uid="{00000000-0005-0000-0000-000087070000}"/>
    <cellStyle name="_laroux_3_호주 CCL_견적금액_재료비_DDCRev0_호주 CCL_견적금액_재료비_DDCRev0_호주 CCL_견적금액_재료비_DDCRev0_견적전기 (최종)_2차 예산산출기준_050927 (여기에 수정하십시요)" xfId="2391" xr:uid="{00000000-0005-0000-0000-000088070000}"/>
    <cellStyle name="_laroux_3_호주 CCL_견적금액_재료비_DDCRev0_호주 CCL_견적금액_재료비_DDCRev0_호주 CCL_견적금액_재료비_DDCRev0_견적전기 (최종)_kjw - PMS report 양식(총괄)_020220" xfId="2392" xr:uid="{00000000-0005-0000-0000-000089070000}"/>
    <cellStyle name="_laroux_3_호주 CCL_견적금액_재료비_DDCRev0_호주 CCL_견적금액_재료비_DDCRev0_호주 CCL_견적금액_재료비_DDCRev0_견적전기 (최종)_kjw - PMS report 양식(총괄)_020220_2차 예산산출기준_050927 (여기에 수정하십시요)" xfId="2393" xr:uid="{00000000-0005-0000-0000-00008A070000}"/>
    <cellStyle name="_laroux_3_호주 CCL_견적금액_재료비_DDCRev0_호주 CCL_견적금액_재료비_DDCRev0_호주 CCL_견적금액_재료비_DDCRev0_견적전기 (최종)_kjw - PMS report 양식(총괄)_020220_복사본 ISP 1115 수배전설비 투자비등록(전제사항)" xfId="2394" xr:uid="{00000000-0005-0000-0000-00008B070000}"/>
    <cellStyle name="_laroux_3_호주 CCL_견적금액_재료비_DDCRev0_호주 CCL_견적금액_재료비_DDCRev0_호주 CCL_견적금액_재료비_DDCRev0_견적전기 (최종)_kjw - PMS report 양식(총괄)_020220_복사본 ISP 1115 수배전설비 투자비등록(전제사항)_2차 예산산출기준_050927 (여기에 수정하십시요)" xfId="2395" xr:uid="{00000000-0005-0000-0000-00008C070000}"/>
    <cellStyle name="_laroux_3_호주 CCL_견적금액_재료비_DDCRev0_호주 CCL_견적금액_재료비_DDCRev0_호주 CCL_견적금액_재료비_DDCRev0_견적전기 (최종)_복사본 ISP 1115 수배전설비 투자비등록(전제사항)" xfId="2396" xr:uid="{00000000-0005-0000-0000-00008D070000}"/>
    <cellStyle name="_laroux_3_호주 CCL_견적금액_재료비_DDCRev0_호주 CCL_견적금액_재료비_DDCRev0_호주 CCL_견적금액_재료비_DDCRev0_견적전기 (최종)_복사본 ISP 1115 수배전설비 투자비등록(전제사항)_2차 예산산출기준_050927 (여기에 수정하십시요)" xfId="2397" xr:uid="{00000000-0005-0000-0000-00008E070000}"/>
    <cellStyle name="_laroux_3_호주 CCL_견적금액_재료비_DDCRev0_호주 CCL_견적금액_재료비_DDCRev0_호주 CCL_견적금액_재료비_DDCRev0_복사본 ISP 1115 수배전설비 투자비등록(전제사항)" xfId="2398" xr:uid="{00000000-0005-0000-0000-00008F070000}"/>
    <cellStyle name="_laroux_3_호주 CCL_견적금액_재료비_DDCRev0_호주 CCL_견적금액_재료비_DDCRev0_호주 CCL_견적금액_재료비_DDCRev0_복사본 ISP 1115 수배전설비 투자비등록(전제사항)_2차 예산산출기준_050927 (여기에 수정하십시요)" xfId="2399" xr:uid="{00000000-0005-0000-0000-000090070000}"/>
    <cellStyle name="_laroux_4" xfId="2400" xr:uid="{00000000-0005-0000-0000-000091070000}"/>
    <cellStyle name="_laroux_5" xfId="2401" xr:uid="{00000000-0005-0000-0000-000092070000}"/>
    <cellStyle name="_laroux_6" xfId="2402" xr:uid="{00000000-0005-0000-0000-000093070000}"/>
    <cellStyle name="_laroux_7" xfId="2403" xr:uid="{00000000-0005-0000-0000-000094070000}"/>
    <cellStyle name="_LAYOUT" xfId="2404" xr:uid="{00000000-0005-0000-0000-000095070000}"/>
    <cellStyle name="_LNG견적(대림통영)" xfId="2405" xr:uid="{00000000-0005-0000-0000-000096070000}"/>
    <cellStyle name="_Materials Cost" xfId="2406" xr:uid="{00000000-0005-0000-0000-000097070000}"/>
    <cellStyle name="_NEGS" xfId="2407" xr:uid="{00000000-0005-0000-0000-000098070000}"/>
    <cellStyle name="_NEGS_090820 BOQ-Civil-ArchWork-Rev-2" xfId="2408" xr:uid="{00000000-0005-0000-0000-000099070000}"/>
    <cellStyle name="_NEGS_090902_rev3_토목내역서(Abolt)" xfId="2409" xr:uid="{00000000-0005-0000-0000-00009A070000}"/>
    <cellStyle name="_NEGS_2009-08-13 BOQ-Civil-ArchWork" xfId="2410" xr:uid="{00000000-0005-0000-0000-00009B070000}"/>
    <cellStyle name="_NEGS_2009-08-20 BOQ-Civil-ArchWork-Rev-2" xfId="2411" xr:uid="{00000000-0005-0000-0000-00009C070000}"/>
    <cellStyle name="_NEGS_2009-09-01 BOQ-Civil-ArchWork-Rev-3_Sleeper,Abolt" xfId="2412" xr:uid="{00000000-0005-0000-0000-00009D070000}"/>
    <cellStyle name="_NEGS_BOQ form (Civil &amp; Building work)_by toyo" xfId="2413" xr:uid="{00000000-0005-0000-0000-00009E070000}"/>
    <cellStyle name="_NEGS_BOQ form (Civil &amp; Building work)_by toyo 2" xfId="2414" xr:uid="{00000000-0005-0000-0000-00009F070000}"/>
    <cellStyle name="_NEGS_BOQ form (Civil &amp; Building work)_by toyo 2_Total BQ Summary_Building_(Aug.10)RFQ용 BM" xfId="2415" xr:uid="{00000000-0005-0000-0000-0000A0070000}"/>
    <cellStyle name="_NEGS_BOQ form (Civil &amp; Building work)_by toyo 3" xfId="2416" xr:uid="{00000000-0005-0000-0000-0000A1070000}"/>
    <cellStyle name="_NEGS_BOQ form (Civil &amp; Building work)_by toyo 3_Total BQ Summary_Building_(Aug.10)RFQ용 BM" xfId="2417" xr:uid="{00000000-0005-0000-0000-0000A2070000}"/>
    <cellStyle name="_NEGS_BOQ form (Civil &amp; Building work)_by toyo 4" xfId="2418" xr:uid="{00000000-0005-0000-0000-0000A3070000}"/>
    <cellStyle name="_NEGS_BOQ form (Civil &amp; Building work)_by toyo 4_Total BQ Summary_Building_(Aug.10)RFQ용 BM" xfId="2419" xr:uid="{00000000-0005-0000-0000-0000A4070000}"/>
    <cellStyle name="_NEGS_BOQ form (Civil &amp; Building work)_by toyo 5" xfId="2420" xr:uid="{00000000-0005-0000-0000-0000A5070000}"/>
    <cellStyle name="_NEGS_BOQ form (Civil &amp; Building work)_by toyo 5_Total BQ Summary_Building_(Aug.10)RFQ용 BM" xfId="2421" xr:uid="{00000000-0005-0000-0000-0000A6070000}"/>
    <cellStyle name="_NEGS_BOQ form (Civil &amp; Building work)_by toyo 6" xfId="2422" xr:uid="{00000000-0005-0000-0000-0000A7070000}"/>
    <cellStyle name="_NEGS_BOQ form (Civil &amp; Building work)_by toyo 6_Total BQ Summary_Building_(Aug.10)RFQ용 BM" xfId="2423" xr:uid="{00000000-0005-0000-0000-0000A8070000}"/>
    <cellStyle name="_NEGS_BOQ form (Civil &amp; Building work)_by toyo 7" xfId="2424" xr:uid="{00000000-0005-0000-0000-0000A9070000}"/>
    <cellStyle name="_NEGS_BOQ form (Civil &amp; Building work)_by toyo 7_Total BQ Summary_Building_(Aug.10)RFQ용 BM" xfId="2425" xr:uid="{00000000-0005-0000-0000-0000AA070000}"/>
    <cellStyle name="_NEGS_BOQ form (Civil &amp; Building work)_by toyo 8" xfId="2426" xr:uid="{00000000-0005-0000-0000-0000AB070000}"/>
    <cellStyle name="_NEGS_BOQ form (Civil &amp; Building work)_by toyo 8_Total BQ Summary_Building_(Aug.10)RFQ용 BM" xfId="2427" xr:uid="{00000000-0005-0000-0000-0000AC070000}"/>
    <cellStyle name="_NEGS_BOQ form (Civil work)-CM1" xfId="2428" xr:uid="{00000000-0005-0000-0000-0000AD070000}"/>
    <cellStyle name="_NEGS_Total BQ Summary_Building_(Aug.10)RFQ용 BM" xfId="2429" xr:uid="{00000000-0005-0000-0000-0000AE070000}"/>
    <cellStyle name="_Peru RO_Erection BOQ(담수견적팀)_rev2" xfId="2430" xr:uid="{00000000-0005-0000-0000-0000AF070000}"/>
    <cellStyle name="_Peru RO_Transporation BOQ_rev1(담수견적팀)" xfId="2431" xr:uid="{00000000-0005-0000-0000-0000B0070000}"/>
    <cellStyle name="_PERU RO_시공물량_전기계장_r0_071031" xfId="2432" xr:uid="{00000000-0005-0000-0000-0000B1070000}"/>
    <cellStyle name="_POSCON_상세내역rev2" xfId="2433" xr:uid="{00000000-0005-0000-0000-0000B2070000}"/>
    <cellStyle name="_pos-설검-478(0) 광)4소결 추정공사비산출 -(총괄)" xfId="2434" xr:uid="{00000000-0005-0000-0000-0000B3070000}"/>
    <cellStyle name="_QLP_MCrev02" xfId="60" xr:uid="{00000000-0005-0000-0000-0000B4070000}"/>
    <cellStyle name="_QLP_MCrev02 2" xfId="350" xr:uid="{00000000-0005-0000-0000-0000B5070000}"/>
    <cellStyle name="_QLP_MCrev02_PO NASSAU - Rev 7 JFA 9-09" xfId="61" xr:uid="{00000000-0005-0000-0000-0000B6070000}"/>
    <cellStyle name="_QLP_MCrev02_PO NASSAU - Rev 7 JFA 9-09 2" xfId="351" xr:uid="{00000000-0005-0000-0000-0000B7070000}"/>
    <cellStyle name="_Quotation_Elec_Inst(Sejong.11,24)" xfId="2435" xr:uid="{00000000-0005-0000-0000-0000B8070000}"/>
    <cellStyle name="_Ras Laffan C IWPP(담수)변경BOQ제출 " xfId="2436" xr:uid="{00000000-0005-0000-0000-0000B9070000}"/>
    <cellStyle name="_RFP_Shuaibah Extension R.O(33 MIGD, 2006.11.07)" xfId="2437" xr:uid="{00000000-0005-0000-0000-0000BA070000}"/>
    <cellStyle name="_Sch-기계" xfId="2438" xr:uid="{00000000-0005-0000-0000-0000BB070000}"/>
    <cellStyle name="_Sheet1_Q3_laroux" xfId="2439" xr:uid="{00000000-0005-0000-0000-0000BC070000}"/>
    <cellStyle name="_Sheet2" xfId="2440" xr:uid="{00000000-0005-0000-0000-0000BD070000}"/>
    <cellStyle name="_Sheet3" xfId="2441" xr:uid="{00000000-0005-0000-0000-0000BE070000}"/>
    <cellStyle name="_Shoaiba-III Elec and Inst- BOM(9MSF+RO)" xfId="2442" xr:uid="{00000000-0005-0000-0000-0000BF070000}"/>
    <cellStyle name="_Shuwaikh_BOM and CBM_total-rev2" xfId="2443" xr:uid="{00000000-0005-0000-0000-0000C0070000}"/>
    <cellStyle name="_Shuweihat S2  _ _20080411" xfId="2444" xr:uid="{00000000-0005-0000-0000-0000C1070000}"/>
    <cellStyle name="_Shuweihat S2 -Plumbing BOM-Rev3-080422송부용_with Price" xfId="2445" xr:uid="{00000000-0005-0000-0000-0000C2070000}"/>
    <cellStyle name="_Sohar-Elec &amp; Inst BOM (050211) for PHDE-작업용파일" xfId="2446" xr:uid="{00000000-0005-0000-0000-0000C3070000}"/>
    <cellStyle name="_Sohar-Elec&amp;Inst BOM(세종기업-1.13)" xfId="2447" xr:uid="{00000000-0005-0000-0000-0000C4070000}"/>
    <cellStyle name="_TANK실행내역서" xfId="2448" xr:uid="{00000000-0005-0000-0000-0000C5070000}"/>
    <cellStyle name="_TANK실행내역서_남해화학스팀판매시설견적서(당사f)" xfId="2449" xr:uid="{00000000-0005-0000-0000-0000C6070000}"/>
    <cellStyle name="_TANK실행내역서_남해화학스팀판매시설견적서(성창2차)" xfId="2450" xr:uid="{00000000-0005-0000-0000-0000C7070000}"/>
    <cellStyle name="_TANK실행내역서_스팀판매시설견적서(성창2차)" xfId="2451" xr:uid="{00000000-0005-0000-0000-0000C8070000}"/>
    <cellStyle name="_TCM 전선관 배관 수량 산출(1)" xfId="2452" xr:uid="{00000000-0005-0000-0000-0000C9070000}"/>
    <cellStyle name="_Total Cover(기계+전기)" xfId="2453" xr:uid="{00000000-0005-0000-0000-0000CA070000}"/>
    <cellStyle name="_UAN 400KV Cable BOQ(Rev.1)" xfId="2454" xr:uid="{00000000-0005-0000-0000-0000CB070000}"/>
    <cellStyle name="_Virus" xfId="2455" xr:uid="{00000000-0005-0000-0000-0000CC070000}"/>
    <cellStyle name="_Virus_090820 BOQ-Civil-ArchWork-Rev-2" xfId="2456" xr:uid="{00000000-0005-0000-0000-0000CD070000}"/>
    <cellStyle name="_Virus_090902_rev3_토목내역서(Abolt)" xfId="2457" xr:uid="{00000000-0005-0000-0000-0000CE070000}"/>
    <cellStyle name="_Virus_2009-08-13 BOQ-Civil-ArchWork" xfId="2458" xr:uid="{00000000-0005-0000-0000-0000CF070000}"/>
    <cellStyle name="_Virus_2009-08-20 BOQ-Civil-ArchWork-Rev-2" xfId="2459" xr:uid="{00000000-0005-0000-0000-0000D0070000}"/>
    <cellStyle name="_Virus_2009-09-01 BOQ-Civil-ArchWork-Rev-3_Sleeper,Abolt" xfId="2460" xr:uid="{00000000-0005-0000-0000-0000D1070000}"/>
    <cellStyle name="_Virus_BOQ form (Civil &amp; Building work)_by toyo" xfId="2461" xr:uid="{00000000-0005-0000-0000-0000D2070000}"/>
    <cellStyle name="_Virus_BOQ form (Civil &amp; Building work)_by toyo 2" xfId="2462" xr:uid="{00000000-0005-0000-0000-0000D3070000}"/>
    <cellStyle name="_Virus_BOQ form (Civil &amp; Building work)_by toyo 2_Total BQ Summary_Building_(Aug.10)RFQ용 BM" xfId="2463" xr:uid="{00000000-0005-0000-0000-0000D4070000}"/>
    <cellStyle name="_Virus_BOQ form (Civil &amp; Building work)_by toyo 3" xfId="2464" xr:uid="{00000000-0005-0000-0000-0000D5070000}"/>
    <cellStyle name="_Virus_BOQ form (Civil &amp; Building work)_by toyo 3_Total BQ Summary_Building_(Aug.10)RFQ용 BM" xfId="2465" xr:uid="{00000000-0005-0000-0000-0000D6070000}"/>
    <cellStyle name="_Virus_BOQ form (Civil &amp; Building work)_by toyo 4" xfId="2466" xr:uid="{00000000-0005-0000-0000-0000D7070000}"/>
    <cellStyle name="_Virus_BOQ form (Civil &amp; Building work)_by toyo 4_Total BQ Summary_Building_(Aug.10)RFQ용 BM" xfId="2467" xr:uid="{00000000-0005-0000-0000-0000D8070000}"/>
    <cellStyle name="_Virus_BOQ form (Civil &amp; Building work)_by toyo 5" xfId="2468" xr:uid="{00000000-0005-0000-0000-0000D9070000}"/>
    <cellStyle name="_Virus_BOQ form (Civil &amp; Building work)_by toyo 5_Total BQ Summary_Building_(Aug.10)RFQ용 BM" xfId="2469" xr:uid="{00000000-0005-0000-0000-0000DA070000}"/>
    <cellStyle name="_Virus_BOQ form (Civil &amp; Building work)_by toyo 6" xfId="2470" xr:uid="{00000000-0005-0000-0000-0000DB070000}"/>
    <cellStyle name="_Virus_BOQ form (Civil &amp; Building work)_by toyo 6_Total BQ Summary_Building_(Aug.10)RFQ용 BM" xfId="2471" xr:uid="{00000000-0005-0000-0000-0000DC070000}"/>
    <cellStyle name="_Virus_BOQ form (Civil &amp; Building work)_by toyo 7" xfId="2472" xr:uid="{00000000-0005-0000-0000-0000DD070000}"/>
    <cellStyle name="_Virus_BOQ form (Civil &amp; Building work)_by toyo 7_Total BQ Summary_Building_(Aug.10)RFQ용 BM" xfId="2473" xr:uid="{00000000-0005-0000-0000-0000DE070000}"/>
    <cellStyle name="_Virus_BOQ form (Civil &amp; Building work)_by toyo 8" xfId="2474" xr:uid="{00000000-0005-0000-0000-0000DF070000}"/>
    <cellStyle name="_Virus_BOQ form (Civil &amp; Building work)_by toyo 8_Total BQ Summary_Building_(Aug.10)RFQ용 BM" xfId="2475" xr:uid="{00000000-0005-0000-0000-0000E0070000}"/>
    <cellStyle name="_Virus_BOQ form (Civil work)-CM1" xfId="2476" xr:uid="{00000000-0005-0000-0000-0000E1070000}"/>
    <cellStyle name="_Virus_Total BQ Summary_Building_(Aug.10)RFQ용 BM" xfId="2477" xr:uid="{00000000-0005-0000-0000-0000E2070000}"/>
    <cellStyle name="_가실행 내역서(전기)050923" xfId="2478" xr:uid="{00000000-0005-0000-0000-0000E3070000}"/>
    <cellStyle name="_가실행 내역서(전기)050923 2" xfId="2479" xr:uid="{00000000-0005-0000-0000-0000E4070000}"/>
    <cellStyle name="_가실행 내역서(전기)050923 2_2011.02.24-Plumbing, HVAC &amp; Fire Fighting Works-동별산출(수정)" xfId="2480" xr:uid="{00000000-0005-0000-0000-0000E5070000}"/>
    <cellStyle name="_가실행 내역서(전기)050923 2_2011.02.25-Plumbing, HVAC &amp; Fire Fighting Works-동별산출-추가아이템정리-2" xfId="2481" xr:uid="{00000000-0005-0000-0000-0000E6070000}"/>
    <cellStyle name="_가실행 내역서(전기)050923 2_4.Plumbing, HVAC &amp; Fire Fighting Works-동별산출" xfId="2482" xr:uid="{00000000-0005-0000-0000-0000E7070000}"/>
    <cellStyle name="_가실행 내역서(전기)050923_1.2_직접공사비_자재비" xfId="2483" xr:uid="{00000000-0005-0000-0000-0000E8070000}"/>
    <cellStyle name="_가실행 내역서(전기)050923_1.2_직접공사비_자재비 2" xfId="2484" xr:uid="{00000000-0005-0000-0000-0000E9070000}"/>
    <cellStyle name="_가실행 내역서(전기)050923_1.2_직접공사비_자재비 2_2011.02.24-Plumbing, HVAC &amp; Fire Fighting Works-동별산출(수정)" xfId="2485" xr:uid="{00000000-0005-0000-0000-0000EA070000}"/>
    <cellStyle name="_가실행 내역서(전기)050923_1.2_직접공사비_자재비 2_2011.02.25-Plumbing, HVAC &amp; Fire Fighting Works-동별산출-추가아이템정리-2" xfId="2486" xr:uid="{00000000-0005-0000-0000-0000EB070000}"/>
    <cellStyle name="_가실행 내역서(전기)050923_1.2_직접공사비_자재비 2_4.Plumbing, HVAC &amp; Fire Fighting Works-동별산출" xfId="2487" xr:uid="{00000000-0005-0000-0000-0000EC070000}"/>
    <cellStyle name="_가실행 내역서(전기)050923_1.2_직접공사비_자재비(건축)" xfId="2488" xr:uid="{00000000-0005-0000-0000-0000ED070000}"/>
    <cellStyle name="_가실행 내역서(전기)050923_1.2_직접공사비_자재비(건축) 2" xfId="2489" xr:uid="{00000000-0005-0000-0000-0000EE070000}"/>
    <cellStyle name="_가실행 내역서(전기)050923_1.2_직접공사비_자재비(건축) 2_2011.02.24-Plumbing, HVAC &amp; Fire Fighting Works-동별산출(수정)" xfId="2490" xr:uid="{00000000-0005-0000-0000-0000EF070000}"/>
    <cellStyle name="_가실행 내역서(전기)050923_1.2_직접공사비_자재비(건축) 2_2011.02.25-Plumbing, HVAC &amp; Fire Fighting Works-동별산출-추가아이템정리-2" xfId="2491" xr:uid="{00000000-0005-0000-0000-0000F0070000}"/>
    <cellStyle name="_가실행 내역서(전기)050923_1.2_직접공사비_자재비(건축) 2_4.Plumbing, HVAC &amp; Fire Fighting Works-동별산출" xfId="2492" xr:uid="{00000000-0005-0000-0000-0000F1070000}"/>
    <cellStyle name="_갑지(TC)" xfId="2493" xr:uid="{00000000-0005-0000-0000-0000F2070000}"/>
    <cellStyle name="_개요" xfId="2494" xr:uid="{00000000-0005-0000-0000-0000F3070000}"/>
    <cellStyle name="_견적가 Summary 집계" xfId="2495" xr:uid="{00000000-0005-0000-0000-0000F4070000}"/>
    <cellStyle name="_견적서(세종)" xfId="2496" xr:uid="{00000000-0005-0000-0000-0000F5070000}"/>
    <cellStyle name="_견적서구매팀R4" xfId="2497" xr:uid="{00000000-0005-0000-0000-0000F6070000}"/>
    <cellStyle name="_견적서-이란(Rev 3)" xfId="2498" xr:uid="{00000000-0005-0000-0000-0000F7070000}"/>
    <cellStyle name="_견적제출종합표_제강" xfId="2499" xr:uid="{00000000-0005-0000-0000-0000F8070000}"/>
    <cellStyle name="_공사물량 (2)_투자비" xfId="2500" xr:uid="{00000000-0005-0000-0000-0000F9070000}"/>
    <cellStyle name="_공사비분석" xfId="2501" xr:uid="{00000000-0005-0000-0000-0000FA070000}"/>
    <cellStyle name="_공사비총괄표" xfId="2502" xr:uid="{00000000-0005-0000-0000-0000FB070000}"/>
    <cellStyle name="_공정집진기" xfId="2503" xr:uid="{00000000-0005-0000-0000-0000FC070000}"/>
    <cellStyle name="_광) 5소결 철거물량 집계표(세화)_20080123" xfId="2504" xr:uid="{00000000-0005-0000-0000-0000FD070000}"/>
    <cellStyle name="_굴포천 밸브박스 전,계장공사" xfId="2505" xr:uid="{00000000-0005-0000-0000-0000FE070000}"/>
    <cellStyle name="_기기리스트-V1(진을덕_0508_a)" xfId="2506" xr:uid="{00000000-0005-0000-0000-0000FF070000}"/>
    <cellStyle name="_기술심의투자비(2용선예비처리) (1)" xfId="2507" xr:uid="{00000000-0005-0000-0000-000000080000}"/>
    <cellStyle name="_기전공사" xfId="2508" xr:uid="{00000000-0005-0000-0000-000001080000}"/>
    <cellStyle name="_기존기지 보강공사 내역서_(공종구분)" xfId="2509" xr:uid="{00000000-0005-0000-0000-000002080000}"/>
    <cellStyle name="_내역0928" xfId="2510" xr:uid="{00000000-0005-0000-0000-000003080000}"/>
    <cellStyle name="_달서결-1" xfId="2511" xr:uid="{00000000-0005-0000-0000-000004080000}"/>
    <cellStyle name="_물량5" xfId="2512" xr:uid="{00000000-0005-0000-0000-000005080000}"/>
    <cellStyle name="_물량종합 설비별 집계" xfId="2513" xr:uid="{00000000-0005-0000-0000-000006080000}"/>
    <cellStyle name="_보온물량참고" xfId="2514" xr:uid="{00000000-0005-0000-0000-000007080000}"/>
    <cellStyle name="_본설비 공사내역서_(공종구분)" xfId="2515" xr:uid="{00000000-0005-0000-0000-000008080000}"/>
    <cellStyle name="_부대결-1" xfId="2516" xr:uid="{00000000-0005-0000-0000-000009080000}"/>
    <cellStyle name="_설비증감" xfId="2517" xr:uid="{00000000-0005-0000-0000-00000A080000}"/>
    <cellStyle name="_설비증감_1" xfId="2518" xr:uid="{00000000-0005-0000-0000-00000B080000}"/>
    <cellStyle name="_설치_운송 Bom_rev 2" xfId="2519" xr:uid="{00000000-0005-0000-0000-00000C080000}"/>
    <cellStyle name="_세종" xfId="2520" xr:uid="{00000000-0005-0000-0000-00000D080000}"/>
    <cellStyle name="_수행방안" xfId="2521" xr:uid="{00000000-0005-0000-0000-00000E080000}"/>
    <cellStyle name="_수행조직,건설공정" xfId="2522" xr:uid="{00000000-0005-0000-0000-00000F080000}"/>
    <cellStyle name="_실적대비" xfId="2523" xr:uid="{00000000-0005-0000-0000-000010080000}"/>
    <cellStyle name="_실적대비_1" xfId="2524" xr:uid="{00000000-0005-0000-0000-000011080000}"/>
    <cellStyle name="_실행갑지" xfId="2525" xr:uid="{00000000-0005-0000-0000-000012080000}"/>
    <cellStyle name="_실행갑지_남해화학스팀판매시설견적서(당사f)" xfId="2526" xr:uid="{00000000-0005-0000-0000-000013080000}"/>
    <cellStyle name="_실행갑지_남해화학스팀판매시설견적서(성창2차)" xfId="2527" xr:uid="{00000000-0005-0000-0000-000014080000}"/>
    <cellStyle name="_실행갑지_스팀판매시설견적서(성창2차)" xfId="2528" xr:uid="{00000000-0005-0000-0000-000015080000}"/>
    <cellStyle name="_실행내역(배관공사,2002.06.07)" xfId="2529" xr:uid="{00000000-0005-0000-0000-000016080000}"/>
    <cellStyle name="_실행내역(철골공사)1" xfId="2530" xr:uid="{00000000-0005-0000-0000-000017080000}"/>
    <cellStyle name="_실행총괄표" xfId="2531" xr:uid="{00000000-0005-0000-0000-000018080000}"/>
    <cellStyle name="_싱가폴_Island_power_계장공사" xfId="2532" xr:uid="{00000000-0005-0000-0000-000019080000}"/>
    <cellStyle name="_오탁방지막" xfId="2533" xr:uid="{00000000-0005-0000-0000-00001A080000}"/>
    <cellStyle name="_인력]_laroux_1" xfId="2534" xr:uid="{00000000-0005-0000-0000-00001B080000}"/>
    <cellStyle name="_작업 - ElectromechanicalBOQforRO" xfId="2535" xr:uid="{00000000-0005-0000-0000-00001C080000}"/>
    <cellStyle name="_장비작업량" xfId="2536" xr:uid="{00000000-0005-0000-0000-00001D080000}"/>
    <cellStyle name="_장비작업량_090820 BOQ-Civil-ArchWork-Rev-2" xfId="2537" xr:uid="{00000000-0005-0000-0000-00001E080000}"/>
    <cellStyle name="_장비작업량_090902_rev3_토목내역서(Abolt)" xfId="2538" xr:uid="{00000000-0005-0000-0000-00001F080000}"/>
    <cellStyle name="_장비작업량_2009-08-13 BOQ-Civil-ArchWork" xfId="2539" xr:uid="{00000000-0005-0000-0000-000020080000}"/>
    <cellStyle name="_장비작업량_2009-08-20 BOQ-Civil-ArchWork-Rev-2" xfId="2540" xr:uid="{00000000-0005-0000-0000-000021080000}"/>
    <cellStyle name="_장비작업량_2009-09-01 BOQ-Civil-ArchWork-Rev-3_Sleeper,Abolt" xfId="2541" xr:uid="{00000000-0005-0000-0000-000022080000}"/>
    <cellStyle name="_장비작업량_BOQ form (Civil &amp; Building work)_by toyo" xfId="2542" xr:uid="{00000000-0005-0000-0000-000023080000}"/>
    <cellStyle name="_장비작업량_BOQ form (Civil &amp; Building work)_by toyo 2" xfId="2543" xr:uid="{00000000-0005-0000-0000-000024080000}"/>
    <cellStyle name="_장비작업량_BOQ form (Civil &amp; Building work)_by toyo 2_Total BQ Summary_Building_(Aug.10)RFQ용 BM" xfId="2544" xr:uid="{00000000-0005-0000-0000-000025080000}"/>
    <cellStyle name="_장비작업량_BOQ form (Civil &amp; Building work)_by toyo 3" xfId="2545" xr:uid="{00000000-0005-0000-0000-000026080000}"/>
    <cellStyle name="_장비작업량_BOQ form (Civil &amp; Building work)_by toyo 3_Total BQ Summary_Building_(Aug.10)RFQ용 BM" xfId="2546" xr:uid="{00000000-0005-0000-0000-000027080000}"/>
    <cellStyle name="_장비작업량_BOQ form (Civil &amp; Building work)_by toyo 4" xfId="2547" xr:uid="{00000000-0005-0000-0000-000028080000}"/>
    <cellStyle name="_장비작업량_BOQ form (Civil &amp; Building work)_by toyo 4_Total BQ Summary_Building_(Aug.10)RFQ용 BM" xfId="2548" xr:uid="{00000000-0005-0000-0000-000029080000}"/>
    <cellStyle name="_장비작업량_BOQ form (Civil &amp; Building work)_by toyo 5" xfId="2549" xr:uid="{00000000-0005-0000-0000-00002A080000}"/>
    <cellStyle name="_장비작업량_BOQ form (Civil &amp; Building work)_by toyo 5_Total BQ Summary_Building_(Aug.10)RFQ용 BM" xfId="2550" xr:uid="{00000000-0005-0000-0000-00002B080000}"/>
    <cellStyle name="_장비작업량_BOQ form (Civil &amp; Building work)_by toyo 6" xfId="2551" xr:uid="{00000000-0005-0000-0000-00002C080000}"/>
    <cellStyle name="_장비작업량_BOQ form (Civil &amp; Building work)_by toyo 6_Total BQ Summary_Building_(Aug.10)RFQ용 BM" xfId="2552" xr:uid="{00000000-0005-0000-0000-00002D080000}"/>
    <cellStyle name="_장비작업량_BOQ form (Civil &amp; Building work)_by toyo 7" xfId="2553" xr:uid="{00000000-0005-0000-0000-00002E080000}"/>
    <cellStyle name="_장비작업량_BOQ form (Civil &amp; Building work)_by toyo 7_Total BQ Summary_Building_(Aug.10)RFQ용 BM" xfId="2554" xr:uid="{00000000-0005-0000-0000-00002F080000}"/>
    <cellStyle name="_장비작업량_BOQ form (Civil &amp; Building work)_by toyo 8" xfId="2555" xr:uid="{00000000-0005-0000-0000-000030080000}"/>
    <cellStyle name="_장비작업량_BOQ form (Civil &amp; Building work)_by toyo 8_Total BQ Summary_Building_(Aug.10)RFQ용 BM" xfId="2556" xr:uid="{00000000-0005-0000-0000-000031080000}"/>
    <cellStyle name="_장비작업량_BOQ form (Civil work)-CM1" xfId="2557" xr:uid="{00000000-0005-0000-0000-000032080000}"/>
    <cellStyle name="_장비작업량_Total BQ Summary_Building_(Aug.10)RFQ용 BM" xfId="2558" xr:uid="{00000000-0005-0000-0000-000033080000}"/>
    <cellStyle name="_전기방식 일위대가" xfId="2559" xr:uid="{00000000-0005-0000-0000-000034080000}"/>
    <cellStyle name="_전기방식 일위대가 2" xfId="2560" xr:uid="{00000000-0005-0000-0000-000035080000}"/>
    <cellStyle name="_전기방식 일위대가 2_2011.02.24-Plumbing, HVAC &amp; Fire Fighting Works-동별산출(수정)" xfId="2561" xr:uid="{00000000-0005-0000-0000-000036080000}"/>
    <cellStyle name="_전기방식 일위대가 2_2011.02.25-Plumbing, HVAC &amp; Fire Fighting Works-동별산출-추가아이템정리-2" xfId="2562" xr:uid="{00000000-0005-0000-0000-000037080000}"/>
    <cellStyle name="_전기방식 일위대가 2_4.Plumbing, HVAC &amp; Fire Fighting Works-동별산출" xfId="2563" xr:uid="{00000000-0005-0000-0000-000038080000}"/>
    <cellStyle name="_전기방식 일위대가_1.2_직접공사비_자재비" xfId="2564" xr:uid="{00000000-0005-0000-0000-000039080000}"/>
    <cellStyle name="_전기방식 일위대가_1.2_직접공사비_자재비 2" xfId="2565" xr:uid="{00000000-0005-0000-0000-00003A080000}"/>
    <cellStyle name="_전기방식 일위대가_1.2_직접공사비_자재비 2_2011.02.24-Plumbing, HVAC &amp; Fire Fighting Works-동별산출(수정)" xfId="2566" xr:uid="{00000000-0005-0000-0000-00003B080000}"/>
    <cellStyle name="_전기방식 일위대가_1.2_직접공사비_자재비 2_2011.02.25-Plumbing, HVAC &amp; Fire Fighting Works-동별산출-추가아이템정리-2" xfId="2567" xr:uid="{00000000-0005-0000-0000-00003C080000}"/>
    <cellStyle name="_전기방식 일위대가_1.2_직접공사비_자재비 2_4.Plumbing, HVAC &amp; Fire Fighting Works-동별산출" xfId="2568" xr:uid="{00000000-0005-0000-0000-00003D080000}"/>
    <cellStyle name="_전기방식 일위대가_1.2_직접공사비_자재비(건축)" xfId="2569" xr:uid="{00000000-0005-0000-0000-00003E080000}"/>
    <cellStyle name="_전기방식 일위대가_1.2_직접공사비_자재비(건축) 2" xfId="2570" xr:uid="{00000000-0005-0000-0000-00003F080000}"/>
    <cellStyle name="_전기방식 일위대가_1.2_직접공사비_자재비(건축) 2_2011.02.24-Plumbing, HVAC &amp; Fire Fighting Works-동별산출(수정)" xfId="2571" xr:uid="{00000000-0005-0000-0000-000040080000}"/>
    <cellStyle name="_전기방식 일위대가_1.2_직접공사비_자재비(건축) 2_2011.02.25-Plumbing, HVAC &amp; Fire Fighting Works-동별산출-추가아이템정리-2" xfId="2572" xr:uid="{00000000-0005-0000-0000-000041080000}"/>
    <cellStyle name="_전기방식 일위대가_1.2_직접공사비_자재비(건축) 2_4.Plumbing, HVAC &amp; Fire Fighting Works-동별산출" xfId="2573" xr:uid="{00000000-0005-0000-0000-000042080000}"/>
    <cellStyle name="_전기방식 일위대가_가실행 내역서(전기)050923" xfId="2574" xr:uid="{00000000-0005-0000-0000-000043080000}"/>
    <cellStyle name="_전기방식 일위대가_가실행 내역서(전기)050923 2" xfId="2575" xr:uid="{00000000-0005-0000-0000-000044080000}"/>
    <cellStyle name="_전기방식 일위대가_가실행 내역서(전기)050923 2_2011.02.24-Plumbing, HVAC &amp; Fire Fighting Works-동별산출(수정)" xfId="2576" xr:uid="{00000000-0005-0000-0000-000045080000}"/>
    <cellStyle name="_전기방식 일위대가_가실행 내역서(전기)050923 2_2011.02.25-Plumbing, HVAC &amp; Fire Fighting Works-동별산출-추가아이템정리-2" xfId="2577" xr:uid="{00000000-0005-0000-0000-000046080000}"/>
    <cellStyle name="_전기방식 일위대가_가실행 내역서(전기)050923 2_4.Plumbing, HVAC &amp; Fire Fighting Works-동별산출" xfId="2578" xr:uid="{00000000-0005-0000-0000-000047080000}"/>
    <cellStyle name="_전기방식 일위대가_가실행 내역서(전기)050923_1.2_직접공사비_자재비" xfId="2579" xr:uid="{00000000-0005-0000-0000-000048080000}"/>
    <cellStyle name="_전기방식 일위대가_가실행 내역서(전기)050923_1.2_직접공사비_자재비 2" xfId="2580" xr:uid="{00000000-0005-0000-0000-000049080000}"/>
    <cellStyle name="_전기방식 일위대가_가실행 내역서(전기)050923_1.2_직접공사비_자재비 2_2011.02.24-Plumbing, HVAC &amp; Fire Fighting Works-동별산출(수정)" xfId="2581" xr:uid="{00000000-0005-0000-0000-00004A080000}"/>
    <cellStyle name="_전기방식 일위대가_가실행 내역서(전기)050923_1.2_직접공사비_자재비 2_2011.02.25-Plumbing, HVAC &amp; Fire Fighting Works-동별산출-추가아이템정리-2" xfId="2582" xr:uid="{00000000-0005-0000-0000-00004B080000}"/>
    <cellStyle name="_전기방식 일위대가_가실행 내역서(전기)050923_1.2_직접공사비_자재비 2_4.Plumbing, HVAC &amp; Fire Fighting Works-동별산출" xfId="2583" xr:uid="{00000000-0005-0000-0000-00004C080000}"/>
    <cellStyle name="_전기방식 일위대가_가실행 내역서(전기)050923_1.2_직접공사비_자재비(건축)" xfId="2584" xr:uid="{00000000-0005-0000-0000-00004D080000}"/>
    <cellStyle name="_전기방식 일위대가_가실행 내역서(전기)050923_1.2_직접공사비_자재비(건축) 2" xfId="2585" xr:uid="{00000000-0005-0000-0000-00004E080000}"/>
    <cellStyle name="_전기방식 일위대가_가실행 내역서(전기)050923_1.2_직접공사비_자재비(건축) 2_2011.02.24-Plumbing, HVAC &amp; Fire Fighting Works-동별산출(수정)" xfId="2586" xr:uid="{00000000-0005-0000-0000-00004F080000}"/>
    <cellStyle name="_전기방식 일위대가_가실행 내역서(전기)050923_1.2_직접공사비_자재비(건축) 2_2011.02.25-Plumbing, HVAC &amp; Fire Fighting Works-동별산출-추가아이템정리-2" xfId="2587" xr:uid="{00000000-0005-0000-0000-000050080000}"/>
    <cellStyle name="_전기방식 일위대가_가실행 내역서(전기)050923_1.2_직접공사비_자재비(건축) 2_4.Plumbing, HVAC &amp; Fire Fighting Works-동별산출" xfId="2588" xr:uid="{00000000-0005-0000-0000-000051080000}"/>
    <cellStyle name="_제작공정" xfId="2589" xr:uid="{00000000-0005-0000-0000-000052080000}"/>
    <cellStyle name="_제작공정보고(0605)수정" xfId="2590" xr:uid="{00000000-0005-0000-0000-000053080000}"/>
    <cellStyle name="_제작추진보고(POSCO020605)" xfId="2591" xr:uid="{00000000-0005-0000-0000-000054080000}"/>
    <cellStyle name="_중점관리일정표" xfId="2592" xr:uid="{00000000-0005-0000-0000-000055080000}"/>
    <cellStyle name="_증강붙임" xfId="2593" xr:uid="{00000000-0005-0000-0000-000056080000}"/>
    <cellStyle name="_증강사업" xfId="2594" xr:uid="{00000000-0005-0000-0000-000057080000}"/>
    <cellStyle name="_증강사업_1" xfId="2595" xr:uid="{00000000-0005-0000-0000-000058080000}"/>
    <cellStyle name="_철골배관bom" xfId="2596" xr:uid="{00000000-0005-0000-0000-000059080000}"/>
    <cellStyle name="_청송공정표1" xfId="2597" xr:uid="{00000000-0005-0000-0000-00005A080000}"/>
    <cellStyle name="_청송공정표1_1" xfId="2598" xr:uid="{00000000-0005-0000-0000-00005B080000}"/>
    <cellStyle name="_청송공정표1_2" xfId="2599" xr:uid="{00000000-0005-0000-0000-00005C080000}"/>
    <cellStyle name="_청송공정표1_2 2" xfId="2600" xr:uid="{00000000-0005-0000-0000-00005D080000}"/>
    <cellStyle name="_청송공정표1_3" xfId="2601" xr:uid="{00000000-0005-0000-0000-00005E080000}"/>
    <cellStyle name="_청송공정표2" xfId="2602" xr:uid="{00000000-0005-0000-0000-00005F080000}"/>
    <cellStyle name="_청송공정표2_1" xfId="2603" xr:uid="{00000000-0005-0000-0000-000060080000}"/>
    <cellStyle name="_청송공정표2_2" xfId="2604" xr:uid="{00000000-0005-0000-0000-000061080000}"/>
    <cellStyle name="_청송공정표2_2 2" xfId="2605" xr:uid="{00000000-0005-0000-0000-000062080000}"/>
    <cellStyle name="_청송공정표2_3" xfId="2606" xr:uid="{00000000-0005-0000-0000-000063080000}"/>
    <cellStyle name="_총괄" xfId="2607" xr:uid="{00000000-0005-0000-0000-000064080000}"/>
    <cellStyle name="_총괄표(시공)" xfId="2608" xr:uid="{00000000-0005-0000-0000-000065080000}"/>
    <cellStyle name="_추진일정" xfId="2609" xr:uid="{00000000-0005-0000-0000-000066080000}"/>
    <cellStyle name="_토목실행" xfId="2610" xr:uid="{00000000-0005-0000-0000-000067080000}"/>
    <cellStyle name="_토목실행_남해화학스팀판매시설견적서(당사f)" xfId="2611" xr:uid="{00000000-0005-0000-0000-000068080000}"/>
    <cellStyle name="_토목실행_남해화학스팀판매시설견적서(성창2차)" xfId="2612" xr:uid="{00000000-0005-0000-0000-000069080000}"/>
    <cellStyle name="_토목실행_스팀판매시설견적서(성창2차)" xfId="2613" xr:uid="{00000000-0005-0000-0000-00006A080000}"/>
    <cellStyle name="_투자내용" xfId="2614" xr:uid="{00000000-0005-0000-0000-00006B080000}"/>
    <cellStyle name="_투자비_1" xfId="2615" xr:uid="{00000000-0005-0000-0000-00006C080000}"/>
    <cellStyle name="_평택가견" xfId="2616" xr:uid="{00000000-0005-0000-0000-00006D080000}"/>
    <cellStyle name="_평택가실행내역서(노무비비교)051004" xfId="2617" xr:uid="{00000000-0005-0000-0000-00006E080000}"/>
    <cellStyle name="_평택가실행내역서(노무비비교)051004 2" xfId="2618" xr:uid="{00000000-0005-0000-0000-00006F080000}"/>
    <cellStyle name="_평택가실행내역서(노무비비교)051004 2_2011.02.24-Plumbing, HVAC &amp; Fire Fighting Works-동별산출(수정)" xfId="2619" xr:uid="{00000000-0005-0000-0000-000070080000}"/>
    <cellStyle name="_평택가실행내역서(노무비비교)051004 2_2011.02.25-Plumbing, HVAC &amp; Fire Fighting Works-동별산출-추가아이템정리-2" xfId="2620" xr:uid="{00000000-0005-0000-0000-000071080000}"/>
    <cellStyle name="_평택가실행내역서(노무비비교)051004 2_4.Plumbing, HVAC &amp; Fire Fighting Works-동별산출" xfId="2621" xr:uid="{00000000-0005-0000-0000-000072080000}"/>
    <cellStyle name="_평택가실행내역서(노무비비교)051004_1.2_직접공사비_자재비" xfId="2622" xr:uid="{00000000-0005-0000-0000-000073080000}"/>
    <cellStyle name="_평택가실행내역서(노무비비교)051004_1.2_직접공사비_자재비 2" xfId="2623" xr:uid="{00000000-0005-0000-0000-000074080000}"/>
    <cellStyle name="_평택가실행내역서(노무비비교)051004_1.2_직접공사비_자재비 2_2011.02.24-Plumbing, HVAC &amp; Fire Fighting Works-동별산출(수정)" xfId="2624" xr:uid="{00000000-0005-0000-0000-000075080000}"/>
    <cellStyle name="_평택가실행내역서(노무비비교)051004_1.2_직접공사비_자재비 2_2011.02.25-Plumbing, HVAC &amp; Fire Fighting Works-동별산출-추가아이템정리-2" xfId="2625" xr:uid="{00000000-0005-0000-0000-000076080000}"/>
    <cellStyle name="_평택가실행내역서(노무비비교)051004_1.2_직접공사비_자재비 2_4.Plumbing, HVAC &amp; Fire Fighting Works-동별산출" xfId="2626" xr:uid="{00000000-0005-0000-0000-000077080000}"/>
    <cellStyle name="_평택가실행내역서(노무비비교)051004_1.2_직접공사비_자재비(건축)" xfId="2627" xr:uid="{00000000-0005-0000-0000-000078080000}"/>
    <cellStyle name="_평택가실행내역서(노무비비교)051004_1.2_직접공사비_자재비(건축) 2" xfId="2628" xr:uid="{00000000-0005-0000-0000-000079080000}"/>
    <cellStyle name="_평택가실행내역서(노무비비교)051004_1.2_직접공사비_자재비(건축) 2_2011.02.24-Plumbing, HVAC &amp; Fire Fighting Works-동별산출(수정)" xfId="2629" xr:uid="{00000000-0005-0000-0000-00007A080000}"/>
    <cellStyle name="_평택가실행내역서(노무비비교)051004_1.2_직접공사비_자재비(건축) 2_2011.02.25-Plumbing, HVAC &amp; Fire Fighting Works-동별산출-추가아이템정리-2" xfId="2630" xr:uid="{00000000-0005-0000-0000-00007B080000}"/>
    <cellStyle name="_평택가실행내역서(노무비비교)051004_1.2_직접공사비_자재비(건축) 2_4.Plumbing, HVAC &amp; Fire Fighting Works-동별산출" xfId="2631" xr:uid="{00000000-0005-0000-0000-00007C080000}"/>
    <cellStyle name="_포항2제강 No.1 RH,OB설비 합리화" xfId="2632" xr:uid="{00000000-0005-0000-0000-00007D080000}"/>
    <cellStyle name="_포항2제강 No.1 RH,OB설비 합리화(020430)" xfId="2633" xr:uid="{00000000-0005-0000-0000-00007E080000}"/>
    <cellStyle name="_포항2제강 No.1 RH,OB설비 합리화(제작공정0401기준)" xfId="2634" xr:uid="{00000000-0005-0000-0000-00007F080000}"/>
    <cellStyle name="_하부댐굴착실행(확정)" xfId="2635" xr:uid="{00000000-0005-0000-0000-000080080000}"/>
    <cellStyle name="````````````````````````````````````````````````````````````````````````````````````````````````" xfId="2636" xr:uid="{00000000-0005-0000-0000-000081080000}"/>
    <cellStyle name="```````````````````````````````````````````````````````````````````````````````g" xfId="2637" xr:uid="{00000000-0005-0000-0000-000082080000}"/>
    <cellStyle name="```````````````````````````````````````````````````g" xfId="2638" xr:uid="{00000000-0005-0000-0000-000083080000}"/>
    <cellStyle name="```````````````````````````````g" xfId="2639" xr:uid="{00000000-0005-0000-0000-000084080000}"/>
    <cellStyle name="`````````g" xfId="2640" xr:uid="{00000000-0005-0000-0000-000085080000}"/>
    <cellStyle name="`|" xfId="2641" xr:uid="{00000000-0005-0000-0000-000086080000}"/>
    <cellStyle name="’E‰Y [0.00]_laroux" xfId="2642" xr:uid="{00000000-0005-0000-0000-000087080000}"/>
    <cellStyle name="’E‰Y_laroux" xfId="2643" xr:uid="{00000000-0005-0000-0000-000088080000}"/>
    <cellStyle name="¤@?e_TEST-1 " xfId="2644" xr:uid="{00000000-0005-0000-0000-000089080000}"/>
    <cellStyle name="=.곔_x0010__x0002_&gt;&gt;곔_x0010__x0012_&gt;_x001a_利_x0010_&quot;&gt;0利_x0010_2&gt;H利_x0010_B&gt;b利_x0010_R&gt;t利_x0010_b&gt;N곔_x0010_r&gt;b곔_x0010_?|곔_x0010_?똻??쥈????a_x0001_???A???????????????????????????????????????????????????????????????????????????? " xfId="2645" xr:uid="{00000000-0005-0000-0000-00008A080000}"/>
    <cellStyle name="&gt;b利_x0010_R&gt;t利_x0010_b&gt;N곔_x0010_r&gt;b곔_x0010_?|곔_x0010_?똻??쥈????a_x0001_???A??? " xfId="2646" xr:uid="{00000000-0005-0000-0000-00008B080000}"/>
    <cellStyle name="&gt;똻??쥈????a_x0001_???A?????????????????????????????????????????????????????????? " xfId="2647" xr:uid="{00000000-0005-0000-0000-00008C080000}"/>
    <cellStyle name="©ö?¢´? [0]_SPECIAL-PROCESS" xfId="2648" xr:uid="{00000000-0005-0000-0000-00008D080000}"/>
    <cellStyle name="©ö?¢´?_SPECIAL-PROCESS" xfId="2649" xr:uid="{00000000-0005-0000-0000-00008E080000}"/>
    <cellStyle name="æØè [0.00]_NT Server " xfId="2650" xr:uid="{00000000-0005-0000-0000-00008F080000}"/>
    <cellStyle name="æØè_NT Server " xfId="2651" xr:uid="{00000000-0005-0000-0000-000090080000}"/>
    <cellStyle name="ÊÝ [0.00]_NT Server " xfId="2652" xr:uid="{00000000-0005-0000-0000-000091080000}"/>
    <cellStyle name="ÊÝ_NT Server " xfId="2653" xr:uid="{00000000-0005-0000-0000-000092080000}"/>
    <cellStyle name="W?_½RmF¼° " xfId="2654" xr:uid="{00000000-0005-0000-0000-000093080000}"/>
    <cellStyle name="W_BOOKSHIP" xfId="2655" xr:uid="{00000000-0005-0000-0000-000094080000}"/>
    <cellStyle name="0" xfId="2656" xr:uid="{00000000-0005-0000-0000-000095080000}"/>
    <cellStyle name="0 Series" xfId="2657" xr:uid="{00000000-0005-0000-0000-000096080000}"/>
    <cellStyle name="0,0_x000d__x000a_NA_x000d__x000a_" xfId="1" xr:uid="{00000000-0005-0000-0000-000097080000}"/>
    <cellStyle name="0.0" xfId="2658" xr:uid="{00000000-0005-0000-0000-000098080000}"/>
    <cellStyle name="0.0 2" xfId="9720" xr:uid="{00000000-0005-0000-0000-000099080000}"/>
    <cellStyle name="0.0 2 2" xfId="18922" xr:uid="{00000000-0005-0000-0000-00009A080000}"/>
    <cellStyle name="0.0 2 2 2" xfId="33209" xr:uid="{00000000-0005-0000-0000-00009B080000}"/>
    <cellStyle name="0.0 2 3" xfId="23891" xr:uid="{00000000-0005-0000-0000-00009C080000}"/>
    <cellStyle name="0.0 2 4" xfId="47149" xr:uid="{00000000-0005-0000-0000-00009D080000}"/>
    <cellStyle name="0.0 3" xfId="9723" xr:uid="{00000000-0005-0000-0000-00009E080000}"/>
    <cellStyle name="0.0 3 2" xfId="18923" xr:uid="{00000000-0005-0000-0000-00009F080000}"/>
    <cellStyle name="0.0 3 2 2" xfId="33212" xr:uid="{00000000-0005-0000-0000-0000A0080000}"/>
    <cellStyle name="0.0 3 3" xfId="47152" xr:uid="{00000000-0005-0000-0000-0000A1080000}"/>
    <cellStyle name="0.0 4" xfId="42480" xr:uid="{00000000-0005-0000-0000-0000A2080000}"/>
    <cellStyle name="0.00" xfId="2659" xr:uid="{00000000-0005-0000-0000-0000A3080000}"/>
    <cellStyle name="0.00 2" xfId="9721" xr:uid="{00000000-0005-0000-0000-0000A4080000}"/>
    <cellStyle name="0.00 2 2" xfId="18924" xr:uid="{00000000-0005-0000-0000-0000A5080000}"/>
    <cellStyle name="0.00 2 2 2" xfId="33210" xr:uid="{00000000-0005-0000-0000-0000A6080000}"/>
    <cellStyle name="0.00 2 3" xfId="23892" xr:uid="{00000000-0005-0000-0000-0000A7080000}"/>
    <cellStyle name="0.00 2 4" xfId="47150" xr:uid="{00000000-0005-0000-0000-0000A8080000}"/>
    <cellStyle name="0.00 3" xfId="9722" xr:uid="{00000000-0005-0000-0000-0000A9080000}"/>
    <cellStyle name="0.00 3 2" xfId="18925" xr:uid="{00000000-0005-0000-0000-0000AA080000}"/>
    <cellStyle name="0.00 3 2 2" xfId="33211" xr:uid="{00000000-0005-0000-0000-0000AB080000}"/>
    <cellStyle name="0.00 3 3" xfId="47151" xr:uid="{00000000-0005-0000-0000-0000AC080000}"/>
    <cellStyle name="0.00 4" xfId="42481" xr:uid="{00000000-0005-0000-0000-0000AD080000}"/>
    <cellStyle name="00" xfId="2660" xr:uid="{00000000-0005-0000-0000-0000AE080000}"/>
    <cellStyle name="1" xfId="2661" xr:uid="{00000000-0005-0000-0000-0000AF080000}"/>
    <cellStyle name="1 2" xfId="2662" xr:uid="{00000000-0005-0000-0000-0000B0080000}"/>
    <cellStyle name="1_시민계략공사" xfId="2663" xr:uid="{00000000-0005-0000-0000-0000B1080000}"/>
    <cellStyle name="1_시민계략공사_전기-한남" xfId="2664" xr:uid="{00000000-0005-0000-0000-0000B2080000}"/>
    <cellStyle name="11" xfId="2665" xr:uid="{00000000-0005-0000-0000-0000B3080000}"/>
    <cellStyle name="12" xfId="2666" xr:uid="{00000000-0005-0000-0000-0000B4080000}"/>
    <cellStyle name="2)" xfId="2667" xr:uid="{00000000-0005-0000-0000-0000B5080000}"/>
    <cellStyle name="20% - Accent1" xfId="2668" xr:uid="{00000000-0005-0000-0000-0000B6080000}"/>
    <cellStyle name="20% - Accent2" xfId="2669" xr:uid="{00000000-0005-0000-0000-0000B7080000}"/>
    <cellStyle name="20% - Accent3" xfId="2670" xr:uid="{00000000-0005-0000-0000-0000B8080000}"/>
    <cellStyle name="20% - Accent4" xfId="2671" xr:uid="{00000000-0005-0000-0000-0000B9080000}"/>
    <cellStyle name="20% - Accent5" xfId="2672" xr:uid="{00000000-0005-0000-0000-0000BA080000}"/>
    <cellStyle name="20% - Accent6" xfId="2673" xr:uid="{00000000-0005-0000-0000-0000BB080000}"/>
    <cellStyle name="20% - Ênfase1 2" xfId="269" xr:uid="{00000000-0005-0000-0000-0000BC080000}"/>
    <cellStyle name="20% - Ênfase1 2 2" xfId="2674" xr:uid="{00000000-0005-0000-0000-0000BD080000}"/>
    <cellStyle name="20% - Ênfase1 2 3" xfId="352" xr:uid="{00000000-0005-0000-0000-0000BE080000}"/>
    <cellStyle name="20% - Ênfase1 3" xfId="2675" xr:uid="{00000000-0005-0000-0000-0000BF080000}"/>
    <cellStyle name="20% - Ênfase2 2" xfId="270" xr:uid="{00000000-0005-0000-0000-0000C0080000}"/>
    <cellStyle name="20% - Ênfase2 2 2" xfId="2676" xr:uid="{00000000-0005-0000-0000-0000C1080000}"/>
    <cellStyle name="20% - Ênfase2 2 3" xfId="353" xr:uid="{00000000-0005-0000-0000-0000C2080000}"/>
    <cellStyle name="20% - Ênfase2 3" xfId="2677" xr:uid="{00000000-0005-0000-0000-0000C3080000}"/>
    <cellStyle name="20% - Ênfase3 2" xfId="271" xr:uid="{00000000-0005-0000-0000-0000C4080000}"/>
    <cellStyle name="20% - Ênfase3 2 2" xfId="2678" xr:uid="{00000000-0005-0000-0000-0000C5080000}"/>
    <cellStyle name="20% - Ênfase3 2 3" xfId="354" xr:uid="{00000000-0005-0000-0000-0000C6080000}"/>
    <cellStyle name="20% - Ênfase3 3" xfId="2679" xr:uid="{00000000-0005-0000-0000-0000C7080000}"/>
    <cellStyle name="20% - Ênfase4 2" xfId="272" xr:uid="{00000000-0005-0000-0000-0000C8080000}"/>
    <cellStyle name="20% - Ênfase4 2 2" xfId="2680" xr:uid="{00000000-0005-0000-0000-0000C9080000}"/>
    <cellStyle name="20% - Ênfase4 2 3" xfId="355" xr:uid="{00000000-0005-0000-0000-0000CA080000}"/>
    <cellStyle name="20% - Ênfase4 3" xfId="2681" xr:uid="{00000000-0005-0000-0000-0000CB080000}"/>
    <cellStyle name="20% - Ênfase5 2" xfId="273" xr:uid="{00000000-0005-0000-0000-0000CC080000}"/>
    <cellStyle name="20% - Ênfase5 2 2" xfId="2682" xr:uid="{00000000-0005-0000-0000-0000CD080000}"/>
    <cellStyle name="20% - Ênfase5 2 3" xfId="356" xr:uid="{00000000-0005-0000-0000-0000CE080000}"/>
    <cellStyle name="20% - Ênfase5 3" xfId="2683" xr:uid="{00000000-0005-0000-0000-0000CF080000}"/>
    <cellStyle name="20% - Ênfase6 2" xfId="274" xr:uid="{00000000-0005-0000-0000-0000D0080000}"/>
    <cellStyle name="20% - Ênfase6 2 2" xfId="2684" xr:uid="{00000000-0005-0000-0000-0000D1080000}"/>
    <cellStyle name="20% - Ênfase6 2 3" xfId="357" xr:uid="{00000000-0005-0000-0000-0000D2080000}"/>
    <cellStyle name="20% - Ênfase6 3" xfId="2685" xr:uid="{00000000-0005-0000-0000-0000D3080000}"/>
    <cellStyle name="20% - アクセント 1" xfId="2686" xr:uid="{00000000-0005-0000-0000-0000D4080000}"/>
    <cellStyle name="20% - アクセント 1 2" xfId="2687" xr:uid="{00000000-0005-0000-0000-0000D5080000}"/>
    <cellStyle name="20% - アクセント 1 2 2" xfId="2688" xr:uid="{00000000-0005-0000-0000-0000D6080000}"/>
    <cellStyle name="20% - アクセント 1 2_2011.02.24-Plumbing, HVAC &amp; Fire Fighting Works-동별산출(수정)" xfId="2689" xr:uid="{00000000-0005-0000-0000-0000D7080000}"/>
    <cellStyle name="20% - アクセント 2" xfId="2690" xr:uid="{00000000-0005-0000-0000-0000D8080000}"/>
    <cellStyle name="20% - アクセント 2 2" xfId="2691" xr:uid="{00000000-0005-0000-0000-0000D9080000}"/>
    <cellStyle name="20% - アクセント 2 2 2" xfId="2692" xr:uid="{00000000-0005-0000-0000-0000DA080000}"/>
    <cellStyle name="20% - アクセント 2 2_2011.02.24-Plumbing, HVAC &amp; Fire Fighting Works-동별산출(수정)" xfId="2693" xr:uid="{00000000-0005-0000-0000-0000DB080000}"/>
    <cellStyle name="20% - アクセント 3" xfId="2694" xr:uid="{00000000-0005-0000-0000-0000DC080000}"/>
    <cellStyle name="20% - アクセント 3 2" xfId="2695" xr:uid="{00000000-0005-0000-0000-0000DD080000}"/>
    <cellStyle name="20% - アクセント 3 2 2" xfId="2696" xr:uid="{00000000-0005-0000-0000-0000DE080000}"/>
    <cellStyle name="20% - アクセント 3 2_2011.02.24-Plumbing, HVAC &amp; Fire Fighting Works-동별산출(수정)" xfId="2697" xr:uid="{00000000-0005-0000-0000-0000DF080000}"/>
    <cellStyle name="20% - アクセント 4" xfId="2698" xr:uid="{00000000-0005-0000-0000-0000E0080000}"/>
    <cellStyle name="20% - アクセント 4 2" xfId="2699" xr:uid="{00000000-0005-0000-0000-0000E1080000}"/>
    <cellStyle name="20% - アクセント 4 2 2" xfId="2700" xr:uid="{00000000-0005-0000-0000-0000E2080000}"/>
    <cellStyle name="20% - アクセント 4 2_2011.02.24-Plumbing, HVAC &amp; Fire Fighting Works-동별산출(수정)" xfId="2701" xr:uid="{00000000-0005-0000-0000-0000E3080000}"/>
    <cellStyle name="20% - アクセント 5" xfId="2702" xr:uid="{00000000-0005-0000-0000-0000E4080000}"/>
    <cellStyle name="20% - アクセント 5 2" xfId="2703" xr:uid="{00000000-0005-0000-0000-0000E5080000}"/>
    <cellStyle name="20% - アクセント 5 2 2" xfId="2704" xr:uid="{00000000-0005-0000-0000-0000E6080000}"/>
    <cellStyle name="20% - アクセント 5 2_2011.02.24-Plumbing, HVAC &amp; Fire Fighting Works-동별산출(수정)" xfId="2705" xr:uid="{00000000-0005-0000-0000-0000E7080000}"/>
    <cellStyle name="20% - アクセント 6" xfId="2706" xr:uid="{00000000-0005-0000-0000-0000E8080000}"/>
    <cellStyle name="20% - アクセント 6 2" xfId="2707" xr:uid="{00000000-0005-0000-0000-0000E9080000}"/>
    <cellStyle name="20% - アクセント 6 2 2" xfId="2708" xr:uid="{00000000-0005-0000-0000-0000EA080000}"/>
    <cellStyle name="20% - アクセント 6 2_2011.02.24-Plumbing, HVAC &amp; Fire Fighting Works-동별산출(수정)" xfId="2709" xr:uid="{00000000-0005-0000-0000-0000EB080000}"/>
    <cellStyle name="20% - 강조색1 2" xfId="2710" xr:uid="{00000000-0005-0000-0000-0000EC080000}"/>
    <cellStyle name="20% - 강조색1 2 2" xfId="2711" xr:uid="{00000000-0005-0000-0000-0000ED080000}"/>
    <cellStyle name="20% - 강조색1 3" xfId="2712" xr:uid="{00000000-0005-0000-0000-0000EE080000}"/>
    <cellStyle name="20% - 강조색2 2" xfId="2713" xr:uid="{00000000-0005-0000-0000-0000EF080000}"/>
    <cellStyle name="20% - 강조색2 2 2" xfId="2714" xr:uid="{00000000-0005-0000-0000-0000F0080000}"/>
    <cellStyle name="20% - 강조색2 3" xfId="2715" xr:uid="{00000000-0005-0000-0000-0000F1080000}"/>
    <cellStyle name="20% - 강조색3 2" xfId="2716" xr:uid="{00000000-0005-0000-0000-0000F2080000}"/>
    <cellStyle name="20% - 강조색3 2 2" xfId="2717" xr:uid="{00000000-0005-0000-0000-0000F3080000}"/>
    <cellStyle name="20% - 강조색3 3" xfId="2718" xr:uid="{00000000-0005-0000-0000-0000F4080000}"/>
    <cellStyle name="20% - 강조색4 2" xfId="2719" xr:uid="{00000000-0005-0000-0000-0000F5080000}"/>
    <cellStyle name="20% - 강조색4 2 2" xfId="2720" xr:uid="{00000000-0005-0000-0000-0000F6080000}"/>
    <cellStyle name="20% - 강조색4 3" xfId="2721" xr:uid="{00000000-0005-0000-0000-0000F7080000}"/>
    <cellStyle name="20% - 강조색5 2" xfId="2722" xr:uid="{00000000-0005-0000-0000-0000F8080000}"/>
    <cellStyle name="20% - 강조색6 2" xfId="2723" xr:uid="{00000000-0005-0000-0000-0000F9080000}"/>
    <cellStyle name="20% - 강조색6 2 2" xfId="2724" xr:uid="{00000000-0005-0000-0000-0000FA080000}"/>
    <cellStyle name="20% - 강조색6 3" xfId="2725" xr:uid="{00000000-0005-0000-0000-0000FB080000}"/>
    <cellStyle name="22" xfId="2726" xr:uid="{00000000-0005-0000-0000-0000FC080000}"/>
    <cellStyle name="222" xfId="2727" xr:uid="{00000000-0005-0000-0000-0000FD080000}"/>
    <cellStyle name="3" xfId="2728" xr:uid="{00000000-0005-0000-0000-0000FE080000}"/>
    <cellStyle name="3 2" xfId="2729" xr:uid="{00000000-0005-0000-0000-0000FF080000}"/>
    <cellStyle name="3_2연주 3연주기 공사비" xfId="2730" xr:uid="{00000000-0005-0000-0000-000000090000}"/>
    <cellStyle name="3_3열연 합리화 PBS체계 실적 공사비 분석표" xfId="2731" xr:uid="{00000000-0005-0000-0000-000001090000}"/>
    <cellStyle name="3_CDQ6-04옥외U" xfId="2732" xr:uid="{00000000-0005-0000-0000-000002090000}"/>
    <cellStyle name="3_CDQ8-05" xfId="2733" xr:uid="{00000000-0005-0000-0000-000003090000}"/>
    <cellStyle name="3_CDQ8-05집계" xfId="2734" xr:uid="{00000000-0005-0000-0000-000004090000}"/>
    <cellStyle name="3_co2산출근거" xfId="2735" xr:uid="{00000000-0005-0000-0000-000005090000}"/>
    <cellStyle name="3_G1RH3(본동)" xfId="2736" xr:uid="{00000000-0005-0000-0000-000006090000}"/>
    <cellStyle name="3_G1RH3PBS(본동)" xfId="2737" xr:uid="{00000000-0005-0000-0000-000007090000}"/>
    <cellStyle name="3_LNG-STS배관" xfId="2738" xr:uid="{00000000-0005-0000-0000-000008090000}"/>
    <cellStyle name="3_pos-설검-478(0) 광)4소결 추정공사비산출 -(총괄)" xfId="2739" xr:uid="{00000000-0005-0000-0000-000009090000}"/>
    <cellStyle name="3_공사비분석" xfId="2740" xr:uid="{00000000-0005-0000-0000-00000A090000}"/>
    <cellStyle name="3_배관0" xfId="2741" xr:uid="{00000000-0005-0000-0000-00000B090000}"/>
    <cellStyle name="3_배관0_LNG PIPING" xfId="2742" xr:uid="{00000000-0005-0000-0000-00000C090000}"/>
    <cellStyle name="3_배관공사" xfId="2743" xr:uid="{00000000-0005-0000-0000-00000D090000}"/>
    <cellStyle name="3_배관공사_CDQ8-05" xfId="2744" xr:uid="{00000000-0005-0000-0000-00000E090000}"/>
    <cellStyle name="3_배관공사1" xfId="2745" xr:uid="{00000000-0005-0000-0000-00000F090000}"/>
    <cellStyle name="3_산#2-2설비별기본물량산출 집계 " xfId="2746" xr:uid="{00000000-0005-0000-0000-000010090000}"/>
    <cellStyle name="3_산#2-2설비별기본물량산출 집계 _00설계서(1선재)" xfId="2747" xr:uid="{00000000-0005-0000-0000-000011090000}"/>
    <cellStyle name="3_산#2-2설비별기본물량산출 집계 _00제작사양서" xfId="2748" xr:uid="{00000000-0005-0000-0000-000012090000}"/>
    <cellStyle name="3_산#2-2설비별기본물량산출 집계 _1,2제강 수처리설비 개선" xfId="2749" xr:uid="{00000000-0005-0000-0000-000013090000}"/>
    <cellStyle name="3_산#2-2설비별기본물량산출 집계 _1소결 소결기 하부 SEALING 장치" xfId="2750" xr:uid="{00000000-0005-0000-0000-000014090000}"/>
    <cellStyle name="3_산#2-2설비별기본물량산출 집계 _1제강 경동대" xfId="2751" xr:uid="{00000000-0005-0000-0000-000015090000}"/>
    <cellStyle name="3_산#2-2설비별기본물량산출 집계 _1제강Ladle수리경동대증설" xfId="2752" xr:uid="{00000000-0005-0000-0000-000016090000}"/>
    <cellStyle name="3_산#2-2설비별기본물량산출 집계 _1코크스 정제식용유 첨가장치 설치" xfId="2753" xr:uid="{00000000-0005-0000-0000-000017090000}"/>
    <cellStyle name="3_산#2-2설비별기본물량산출 집계 _1후판유실기계" xfId="2754" xr:uid="{00000000-0005-0000-0000-000018090000}"/>
    <cellStyle name="3_산#2-2설비별기본물량산출 집계 _20DECANT-A" xfId="2755" xr:uid="{00000000-0005-0000-0000-000019090000}"/>
    <cellStyle name="3_산#2-2설비별기본물량산출 집계 _20DECANT-A_2연주 3연주기 공사비" xfId="2756" xr:uid="{00000000-0005-0000-0000-00001A090000}"/>
    <cellStyle name="3_산#2-2설비별기본물량산출 집계 _20DECANT-A_3열연 합리화 PBS체계 실적 공사비 분석표" xfId="2757" xr:uid="{00000000-0005-0000-0000-00001B090000}"/>
    <cellStyle name="3_산#2-2설비별기본물량산출 집계 _20DECANT-A_G1RH3(본동)" xfId="2758" xr:uid="{00000000-0005-0000-0000-00001C090000}"/>
    <cellStyle name="3_산#2-2설비별기본물량산출 집계 _20DECANT-A_G1RH3PBS(본동)" xfId="2759" xr:uid="{00000000-0005-0000-0000-00001D090000}"/>
    <cellStyle name="3_산#2-2설비별기본물량산출 집계 _20DECANT-A_공사비분석" xfId="2760" xr:uid="{00000000-0005-0000-0000-00001E090000}"/>
    <cellStyle name="3_산#2-2설비별기본물량산출 집계 _20DECANT-A_열연설계설명서" xfId="2761" xr:uid="{00000000-0005-0000-0000-00001F090000}"/>
    <cellStyle name="3_산#2-2설비별기본물량산출 집계 _20DECANT-A_열연설계설명서_2차 예산산출기준_050927 (여기에 수정하십시요)" xfId="2762" xr:uid="{00000000-0005-0000-0000-000020090000}"/>
    <cellStyle name="3_산#2-2설비별기본물량산출 집계 _20DECANT-A_열연설계설명서_복사본 ISP 1115 수배전설비 투자비등록(전제사항)" xfId="2763" xr:uid="{00000000-0005-0000-0000-000021090000}"/>
    <cellStyle name="3_산#2-2설비별기본물량산출 집계 _20DECANT-A_열연설계설명서_복사본 ISP 1115 수배전설비 투자비등록(전제사항)_2차 예산산출기준_050927 (여기에 수정하십시요)" xfId="2764" xr:uid="{00000000-0005-0000-0000-000022090000}"/>
    <cellStyle name="3_산#2-2설비별기본물량산출 집계 _20DECANT-A_열연설계설명서_상세 견적내역(STS 냉연)" xfId="2765" xr:uid="{00000000-0005-0000-0000-000023090000}"/>
    <cellStyle name="3_산#2-2설비별기본물량산출 집계 _20DECANT-A_열연설계설명서_상세 견적내역(STS 냉연)_2차 예산산출기준_050927 (여기에 수정하십시요)" xfId="2766" xr:uid="{00000000-0005-0000-0000-000024090000}"/>
    <cellStyle name="3_산#2-2설비별기본물량산출 집계 _20DECANT-A_열연설계설명서_상세 견적내역(STS 냉연)_FR 상세견적내역 (020803)" xfId="2767" xr:uid="{00000000-0005-0000-0000-000025090000}"/>
    <cellStyle name="3_산#2-2설비별기본물량산출 집계 _20DECANT-A_열연설계설명서_상세 견적내역(STS 냉연)_FR 상세견적내역 (020803)_2차 예산산출기준_050927 (여기에 수정하십시요)" xfId="2768" xr:uid="{00000000-0005-0000-0000-000026090000}"/>
    <cellStyle name="3_산#2-2설비별기본물량산출 집계 _20DECANT-A_열연설계설명서_상세 견적내역(STS 냉연)_FR 상세견적내역 (020803)_복사본 ISP 1115 수배전설비 투자비등록(전제사항)" xfId="2769" xr:uid="{00000000-0005-0000-0000-000027090000}"/>
    <cellStyle name="3_산#2-2설비별기본물량산출 집계 _20DECANT-A_열연설계설명서_상세 견적내역(STS 냉연)_FR 상세견적내역 (020803)_복사본 ISP 1115 수배전설비 투자비등록(전제사항)_2차 예산산출기준_050927 (여기에 수정하십시요)" xfId="2770" xr:uid="{00000000-0005-0000-0000-000028090000}"/>
    <cellStyle name="3_산#2-2설비별기본물량산출 집계 _20DECANT-A_열연설계설명서_상세 견적내역(STS 냉연)_POSCO구매견적(문종국)" xfId="2771" xr:uid="{00000000-0005-0000-0000-000029090000}"/>
    <cellStyle name="3_산#2-2설비별기본물량산출 집계 _20DECANT-A_열연설계설명서_상세 견적내역(STS 냉연)_POSCO구매견적(문종국)_2차 예산산출기준_050927 (여기에 수정하십시요)" xfId="2772" xr:uid="{00000000-0005-0000-0000-00002A090000}"/>
    <cellStyle name="3_산#2-2설비별기본물량산출 집계 _20DECANT-A_열연설계설명서_상세 견적내역(STS 냉연)_POSCO구매견적(문종국)_복사본 ISP 1115 수배전설비 투자비등록(전제사항)" xfId="2773" xr:uid="{00000000-0005-0000-0000-00002B090000}"/>
    <cellStyle name="3_산#2-2설비별기본물량산출 집계 _20DECANT-A_열연설계설명서_상세 견적내역(STS 냉연)_POSCO구매견적(문종국)_복사본 ISP 1115 수배전설비 투자비등록(전제사항)_2차 예산산출기준_050927 (여기에 수정하십시요)" xfId="2774" xr:uid="{00000000-0005-0000-0000-00002C090000}"/>
    <cellStyle name="3_산#2-2설비별기본물량산출 집계 _20DECANT-A_열연설계설명서_상세 견적내역(STS 냉연)_견적" xfId="2775" xr:uid="{00000000-0005-0000-0000-00002D090000}"/>
    <cellStyle name="3_산#2-2설비별기본물량산출 집계 _20DECANT-A_열연설계설명서_상세 견적내역(STS 냉연)_견적_2차 예산산출기준_050927 (여기에 수정하십시요)" xfId="2776" xr:uid="{00000000-0005-0000-0000-00002E090000}"/>
    <cellStyle name="3_산#2-2설비별기본물량산출 집계 _20DECANT-A_열연설계설명서_상세 견적내역(STS 냉연)_견적_복사본 ISP 1115 수배전설비 투자비등록(전제사항)" xfId="2777" xr:uid="{00000000-0005-0000-0000-00002F090000}"/>
    <cellStyle name="3_산#2-2설비별기본물량산출 집계 _20DECANT-A_열연설계설명서_상세 견적내역(STS 냉연)_견적_복사본 ISP 1115 수배전설비 투자비등록(전제사항)_2차 예산산출기준_050927 (여기에 수정하십시요)" xfId="2778" xr:uid="{00000000-0005-0000-0000-000030090000}"/>
    <cellStyle name="3_산#2-2설비별기본물량산출 집계 _20DECANT-A_열연설계설명서_상세 견적내역(STS 냉연)_견적서구매팀(020803)" xfId="2779" xr:uid="{00000000-0005-0000-0000-000031090000}"/>
    <cellStyle name="3_산#2-2설비별기본물량산출 집계 _20DECANT-A_열연설계설명서_상세 견적내역(STS 냉연)_견적서구매팀(020803)_2차 예산산출기준_050927 (여기에 수정하십시요)" xfId="2780" xr:uid="{00000000-0005-0000-0000-000032090000}"/>
    <cellStyle name="3_산#2-2설비별기본물량산출 집계 _20DECANT-A_열연설계설명서_상세 견적내역(STS 냉연)_견적서구매팀(020803)_복사본 ISP 1115 수배전설비 투자비등록(전제사항)" xfId="2781" xr:uid="{00000000-0005-0000-0000-000033090000}"/>
    <cellStyle name="3_산#2-2설비별기본물량산출 집계 _20DECANT-A_열연설계설명서_상세 견적내역(STS 냉연)_견적서구매팀(020803)_복사본 ISP 1115 수배전설비 투자비등록(전제사항)_2차 예산산출기준_050927 (여기에 수정하십시요)" xfId="2782" xr:uid="{00000000-0005-0000-0000-000034090000}"/>
    <cellStyle name="3_산#2-2설비별기본물량산출 집계 _20DECANT-A_열연설계설명서_상세 견적내역(STS 냉연)_복사본 ISP 1115 수배전설비 투자비등록(전제사항)" xfId="2783" xr:uid="{00000000-0005-0000-0000-000035090000}"/>
    <cellStyle name="3_산#2-2설비별기본물량산출 집계 _20DECANT-A_열연설계설명서_상세 견적내역(STS 냉연)_복사본 ISP 1115 수배전설비 투자비등록(전제사항)_2차 예산산출기준_050927 (여기에 수정하십시요)" xfId="2784" xr:uid="{00000000-0005-0000-0000-000036090000}"/>
    <cellStyle name="3_산#2-2설비별기본물량산출 집계 _20DECANT-A_열연설계설명서_상세 견적내역(STS 냉연)_상세 견적내역(STS 냉연020406)1" xfId="2785" xr:uid="{00000000-0005-0000-0000-000037090000}"/>
    <cellStyle name="3_산#2-2설비별기본물량산출 집계 _20DECANT-A_열연설계설명서_상세 견적내역(STS 냉연)_상세 견적내역(STS 냉연020406)1_2차 예산산출기준_050927 (여기에 수정하십시요)" xfId="2786" xr:uid="{00000000-0005-0000-0000-000038090000}"/>
    <cellStyle name="3_산#2-2설비별기본물량산출 집계 _20DECANT-A_열연설계설명서_상세 견적내역(STS 냉연)_상세 견적내역(STS 냉연020406)1_복사본 ISP 1115 수배전설비 투자비등록(전제사항)" xfId="2787" xr:uid="{00000000-0005-0000-0000-000039090000}"/>
    <cellStyle name="3_산#2-2설비별기본물량산출 집계 _20DECANT-A_열연설계설명서_상세 견적내역(STS 냉연)_상세 견적내역(STS 냉연020406)1_복사본 ISP 1115 수배전설비 투자비등록(전제사항)_2차 예산산출기준_050927 (여기에 수정하십시요)" xfId="2788" xr:uid="{00000000-0005-0000-0000-00003A090000}"/>
    <cellStyle name="3_산#2-2설비별기본물량산출 집계 _20DECANT-A_열연설계설명서_상세 견적내역(STS 냉연)_상세견적내역 (흠탐상기)" xfId="2789" xr:uid="{00000000-0005-0000-0000-00003B090000}"/>
    <cellStyle name="3_산#2-2설비별기본물량산출 집계 _20DECANT-A_열연설계설명서_상세 견적내역(STS 냉연)_상세견적내역 (흠탐상기)_2차 예산산출기준_050927 (여기에 수정하십시요)" xfId="2790" xr:uid="{00000000-0005-0000-0000-00003C090000}"/>
    <cellStyle name="3_산#2-2설비별기본물량산출 집계 _20DECANT-A_열연설계설명서_상세 견적내역(STS 냉연)_상세견적내역 (흠탐상기)_복사본 ISP 1115 수배전설비 투자비등록(전제사항)" xfId="2791" xr:uid="{00000000-0005-0000-0000-00003D090000}"/>
    <cellStyle name="3_산#2-2설비별기본물량산출 집계 _20DECANT-A_열연설계설명서_상세 견적내역(STS 냉연)_상세견적내역 (흠탐상기)_복사본 ISP 1115 수배전설비 투자비등록(전제사항)_2차 예산산출기준_050927 (여기에 수정하십시요)" xfId="2792" xr:uid="{00000000-0005-0000-0000-00003E090000}"/>
    <cellStyle name="3_산#2-2설비별기본물량산출 집계 _20DECANT-A_열연설계설명서_상세 견적내역(STS 냉연)_수처리 상세 견적내역(020524)" xfId="2793" xr:uid="{00000000-0005-0000-0000-00003F090000}"/>
    <cellStyle name="3_산#2-2설비별기본물량산출 집계 _20DECANT-A_열연설계설명서_상세 견적내역(STS 냉연)_수처리 상세 견적내역(020524)_2차 예산산출기준_050927 (여기에 수정하십시요)" xfId="2794" xr:uid="{00000000-0005-0000-0000-000040090000}"/>
    <cellStyle name="3_산#2-2설비별기본물량산출 집계 _20DECANT-A_열연설계설명서_상세 견적내역(STS 냉연)_수처리 상세 견적내역(020524)_복사본 ISP 1115 수배전설비 투자비등록(전제사항)" xfId="2795" xr:uid="{00000000-0005-0000-0000-000041090000}"/>
    <cellStyle name="3_산#2-2설비별기본물량산출 집계 _20DECANT-A_열연설계설명서_상세 견적내역(STS 냉연)_수처리 상세 견적내역(020524)_복사본 ISP 1115 수배전설비 투자비등록(전제사항)_2차 예산산출기준_050927 (여기에 수정하십시요)" xfId="2796" xr:uid="{00000000-0005-0000-0000-000042090000}"/>
    <cellStyle name="3_산#2-2설비별기본물량산출 집계 _20DECANT-A_열연설계설명서_상세 견적내역(STS 냉연)_총괄견적내역 2(포항강판 히다찌)" xfId="2797" xr:uid="{00000000-0005-0000-0000-000043090000}"/>
    <cellStyle name="3_산#2-2설비별기본물량산출 집계 _20DECANT-A_열연설계설명서_상세 견적내역(STS 냉연)_총괄견적내역 2(포항강판 히다찌)_2차 예산산출기준_050927 (여기에 수정하십시요)" xfId="2798" xr:uid="{00000000-0005-0000-0000-000044090000}"/>
    <cellStyle name="3_산#2-2설비별기본물량산출 집계 _20DECANT-A_열연설계설명서_상세 견적내역(STS 냉연)_총괄견적내역 2(포항강판 히다찌)_복사본 ISP 1115 수배전설비 투자비등록(전제사항)" xfId="2799" xr:uid="{00000000-0005-0000-0000-000045090000}"/>
    <cellStyle name="3_산#2-2설비별기본물량산출 집계 _20DECANT-A_열연설계설명서_상세 견적내역(STS 냉연)_총괄견적내역 2(포항강판 히다찌)_복사본 ISP 1115 수배전설비 투자비등록(전제사항)_2차 예산산출기준_050927 (여기에 수정하십시요)" xfId="2800" xr:uid="{00000000-0005-0000-0000-000046090000}"/>
    <cellStyle name="3_산#2-2설비별기본물량산출 집계 _20DECANT-A_열연설계설명서_상세 견적내역(STS 냉연)_총괄견적내역(STS 냉연020409)" xfId="2801" xr:uid="{00000000-0005-0000-0000-000047090000}"/>
    <cellStyle name="3_산#2-2설비별기본물량산출 집계 _20DECANT-A_열연설계설명서_상세 견적내역(STS 냉연)_총괄견적내역(STS 냉연020409)_2차 예산산출기준_050927 (여기에 수정하십시요)" xfId="2802" xr:uid="{00000000-0005-0000-0000-000048090000}"/>
    <cellStyle name="3_산#2-2설비별기본물량산출 집계 _20DECANT-A_열연설계설명서_상세 견적내역(STS 냉연)_총괄견적내역(STS 냉연020409)_복사본 ISP 1115 수배전설비 투자비등록(전제사항)" xfId="2803" xr:uid="{00000000-0005-0000-0000-000049090000}"/>
    <cellStyle name="3_산#2-2설비별기본물량산출 집계 _20DECANT-A_열연설계설명서_상세 견적내역(STS 냉연)_총괄견적내역(STS 냉연020409)_복사본 ISP 1115 수배전설비 투자비등록(전제사항)_2차 예산산출기준_050927 (여기에 수정하십시요)" xfId="2804" xr:uid="{00000000-0005-0000-0000-00004A090000}"/>
    <cellStyle name="3_산#2-2설비별기본물량산출 집계 _20DECANT-C" xfId="2805" xr:uid="{00000000-0005-0000-0000-00004B090000}"/>
    <cellStyle name="3_산#2-2설비별기본물량산출 집계 _20DECANT-C_2연주 3연주기 공사비" xfId="2806" xr:uid="{00000000-0005-0000-0000-00004C090000}"/>
    <cellStyle name="3_산#2-2설비별기본물량산출 집계 _20DECANT-C_3열연 합리화 PBS체계 실적 공사비 분석표" xfId="2807" xr:uid="{00000000-0005-0000-0000-00004D090000}"/>
    <cellStyle name="3_산#2-2설비별기본물량산출 집계 _20DECANT-C_G1RH3(본동)" xfId="2808" xr:uid="{00000000-0005-0000-0000-00004E090000}"/>
    <cellStyle name="3_산#2-2설비별기본물량산출 집계 _20DECANT-C_G1RH3PBS(본동)" xfId="2809" xr:uid="{00000000-0005-0000-0000-00004F090000}"/>
    <cellStyle name="3_산#2-2설비별기본물량산출 집계 _20DECANT-C_공사비분석" xfId="2810" xr:uid="{00000000-0005-0000-0000-000050090000}"/>
    <cellStyle name="3_산#2-2설비별기본물량산출 집계 _20DECANT-C_열연설계설명서" xfId="2811" xr:uid="{00000000-0005-0000-0000-000051090000}"/>
    <cellStyle name="3_산#2-2설비별기본물량산출 집계 _20DECANT-C_열연설계설명서_2차 예산산출기준_050927 (여기에 수정하십시요)" xfId="2812" xr:uid="{00000000-0005-0000-0000-000052090000}"/>
    <cellStyle name="3_산#2-2설비별기본물량산출 집계 _20DECANT-C_열연설계설명서_복사본 ISP 1115 수배전설비 투자비등록(전제사항)" xfId="2813" xr:uid="{00000000-0005-0000-0000-000053090000}"/>
    <cellStyle name="3_산#2-2설비별기본물량산출 집계 _20DECANT-C_열연설계설명서_복사본 ISP 1115 수배전설비 투자비등록(전제사항)_2차 예산산출기준_050927 (여기에 수정하십시요)" xfId="2814" xr:uid="{00000000-0005-0000-0000-000054090000}"/>
    <cellStyle name="3_산#2-2설비별기본물량산출 집계 _20DECANT-C_열연설계설명서_상세 견적내역(STS 냉연)" xfId="2815" xr:uid="{00000000-0005-0000-0000-000055090000}"/>
    <cellStyle name="3_산#2-2설비별기본물량산출 집계 _20DECANT-C_열연설계설명서_상세 견적내역(STS 냉연)_2차 예산산출기준_050927 (여기에 수정하십시요)" xfId="2816" xr:uid="{00000000-0005-0000-0000-000056090000}"/>
    <cellStyle name="3_산#2-2설비별기본물량산출 집계 _20DECANT-C_열연설계설명서_상세 견적내역(STS 냉연)_FR 상세견적내역 (020803)" xfId="2817" xr:uid="{00000000-0005-0000-0000-000057090000}"/>
    <cellStyle name="3_산#2-2설비별기본물량산출 집계 _20DECANT-C_열연설계설명서_상세 견적내역(STS 냉연)_FR 상세견적내역 (020803)_2차 예산산출기준_050927 (여기에 수정하십시요)" xfId="2818" xr:uid="{00000000-0005-0000-0000-000058090000}"/>
    <cellStyle name="3_산#2-2설비별기본물량산출 집계 _20DECANT-C_열연설계설명서_상세 견적내역(STS 냉연)_FR 상세견적내역 (020803)_복사본 ISP 1115 수배전설비 투자비등록(전제사항)" xfId="2819" xr:uid="{00000000-0005-0000-0000-000059090000}"/>
    <cellStyle name="3_산#2-2설비별기본물량산출 집계 _20DECANT-C_열연설계설명서_상세 견적내역(STS 냉연)_FR 상세견적내역 (020803)_복사본 ISP 1115 수배전설비 투자비등록(전제사항)_2차 예산산출기준_050927 (여기에 수정하십시요)" xfId="2820" xr:uid="{00000000-0005-0000-0000-00005A090000}"/>
    <cellStyle name="3_산#2-2설비별기본물량산출 집계 _20DECANT-C_열연설계설명서_상세 견적내역(STS 냉연)_POSCO구매견적(문종국)" xfId="2821" xr:uid="{00000000-0005-0000-0000-00005B090000}"/>
    <cellStyle name="3_산#2-2설비별기본물량산출 집계 _20DECANT-C_열연설계설명서_상세 견적내역(STS 냉연)_POSCO구매견적(문종국)_2차 예산산출기준_050927 (여기에 수정하십시요)" xfId="2822" xr:uid="{00000000-0005-0000-0000-00005C090000}"/>
    <cellStyle name="3_산#2-2설비별기본물량산출 집계 _20DECANT-C_열연설계설명서_상세 견적내역(STS 냉연)_POSCO구매견적(문종국)_복사본 ISP 1115 수배전설비 투자비등록(전제사항)" xfId="2823" xr:uid="{00000000-0005-0000-0000-00005D090000}"/>
    <cellStyle name="3_산#2-2설비별기본물량산출 집계 _20DECANT-C_열연설계설명서_상세 견적내역(STS 냉연)_POSCO구매견적(문종국)_복사본 ISP 1115 수배전설비 투자비등록(전제사항)_2차 예산산출기준_050927 (여기에 수정하십시요)" xfId="2824" xr:uid="{00000000-0005-0000-0000-00005E090000}"/>
    <cellStyle name="3_산#2-2설비별기본물량산출 집계 _20DECANT-C_열연설계설명서_상세 견적내역(STS 냉연)_견적" xfId="2825" xr:uid="{00000000-0005-0000-0000-00005F090000}"/>
    <cellStyle name="3_산#2-2설비별기본물량산출 집계 _20DECANT-C_열연설계설명서_상세 견적내역(STS 냉연)_견적_2차 예산산출기준_050927 (여기에 수정하십시요)" xfId="2826" xr:uid="{00000000-0005-0000-0000-000060090000}"/>
    <cellStyle name="3_산#2-2설비별기본물량산출 집계 _20DECANT-C_열연설계설명서_상세 견적내역(STS 냉연)_견적_복사본 ISP 1115 수배전설비 투자비등록(전제사항)" xfId="2827" xr:uid="{00000000-0005-0000-0000-000061090000}"/>
    <cellStyle name="3_산#2-2설비별기본물량산출 집계 _20DECANT-C_열연설계설명서_상세 견적내역(STS 냉연)_견적_복사본 ISP 1115 수배전설비 투자비등록(전제사항)_2차 예산산출기준_050927 (여기에 수정하십시요)" xfId="2828" xr:uid="{00000000-0005-0000-0000-000062090000}"/>
    <cellStyle name="3_산#2-2설비별기본물량산출 집계 _20DECANT-C_열연설계설명서_상세 견적내역(STS 냉연)_견적서구매팀(020803)" xfId="2829" xr:uid="{00000000-0005-0000-0000-000063090000}"/>
    <cellStyle name="3_산#2-2설비별기본물량산출 집계 _20DECANT-C_열연설계설명서_상세 견적내역(STS 냉연)_견적서구매팀(020803)_2차 예산산출기준_050927 (여기에 수정하십시요)" xfId="2830" xr:uid="{00000000-0005-0000-0000-000064090000}"/>
    <cellStyle name="3_산#2-2설비별기본물량산출 집계 _20DECANT-C_열연설계설명서_상세 견적내역(STS 냉연)_견적서구매팀(020803)_복사본 ISP 1115 수배전설비 투자비등록(전제사항)" xfId="2831" xr:uid="{00000000-0005-0000-0000-000065090000}"/>
    <cellStyle name="3_산#2-2설비별기본물량산출 집계 _20DECANT-C_열연설계설명서_상세 견적내역(STS 냉연)_견적서구매팀(020803)_복사본 ISP 1115 수배전설비 투자비등록(전제사항)_2차 예산산출기준_050927 (여기에 수정하십시요)" xfId="2832" xr:uid="{00000000-0005-0000-0000-000066090000}"/>
    <cellStyle name="3_산#2-2설비별기본물량산출 집계 _20DECANT-C_열연설계설명서_상세 견적내역(STS 냉연)_복사본 ISP 1115 수배전설비 투자비등록(전제사항)" xfId="2833" xr:uid="{00000000-0005-0000-0000-000067090000}"/>
    <cellStyle name="3_산#2-2설비별기본물량산출 집계 _20DECANT-C_열연설계설명서_상세 견적내역(STS 냉연)_복사본 ISP 1115 수배전설비 투자비등록(전제사항)_2차 예산산출기준_050927 (여기에 수정하십시요)" xfId="2834" xr:uid="{00000000-0005-0000-0000-000068090000}"/>
    <cellStyle name="3_산#2-2설비별기본물량산출 집계 _20DECANT-C_열연설계설명서_상세 견적내역(STS 냉연)_상세 견적내역(STS 냉연020406)1" xfId="2835" xr:uid="{00000000-0005-0000-0000-000069090000}"/>
    <cellStyle name="3_산#2-2설비별기본물량산출 집계 _20DECANT-C_열연설계설명서_상세 견적내역(STS 냉연)_상세 견적내역(STS 냉연020406)1_2차 예산산출기준_050927 (여기에 수정하십시요)" xfId="2836" xr:uid="{00000000-0005-0000-0000-00006A090000}"/>
    <cellStyle name="3_산#2-2설비별기본물량산출 집계 _20DECANT-C_열연설계설명서_상세 견적내역(STS 냉연)_상세 견적내역(STS 냉연020406)1_복사본 ISP 1115 수배전설비 투자비등록(전제사항)" xfId="2837" xr:uid="{00000000-0005-0000-0000-00006B090000}"/>
    <cellStyle name="3_산#2-2설비별기본물량산출 집계 _20DECANT-C_열연설계설명서_상세 견적내역(STS 냉연)_상세 견적내역(STS 냉연020406)1_복사본 ISP 1115 수배전설비 투자비등록(전제사항)_2차 예산산출기준_050927 (여기에 수정하십시요)" xfId="2838" xr:uid="{00000000-0005-0000-0000-00006C090000}"/>
    <cellStyle name="3_산#2-2설비별기본물량산출 집계 _20DECANT-C_열연설계설명서_상세 견적내역(STS 냉연)_상세견적내역 (흠탐상기)" xfId="2839" xr:uid="{00000000-0005-0000-0000-00006D090000}"/>
    <cellStyle name="3_산#2-2설비별기본물량산출 집계 _20DECANT-C_열연설계설명서_상세 견적내역(STS 냉연)_상세견적내역 (흠탐상기)_2차 예산산출기준_050927 (여기에 수정하십시요)" xfId="2840" xr:uid="{00000000-0005-0000-0000-00006E090000}"/>
    <cellStyle name="3_산#2-2설비별기본물량산출 집계 _20DECANT-C_열연설계설명서_상세 견적내역(STS 냉연)_상세견적내역 (흠탐상기)_복사본 ISP 1115 수배전설비 투자비등록(전제사항)" xfId="2841" xr:uid="{00000000-0005-0000-0000-00006F090000}"/>
    <cellStyle name="3_산#2-2설비별기본물량산출 집계 _20DECANT-C_열연설계설명서_상세 견적내역(STS 냉연)_상세견적내역 (흠탐상기)_복사본 ISP 1115 수배전설비 투자비등록(전제사항)_2차 예산산출기준_050927 (여기에 수정하십시요)" xfId="2842" xr:uid="{00000000-0005-0000-0000-000070090000}"/>
    <cellStyle name="3_산#2-2설비별기본물량산출 집계 _20DECANT-C_열연설계설명서_상세 견적내역(STS 냉연)_수처리 상세 견적내역(020524)" xfId="2843" xr:uid="{00000000-0005-0000-0000-000071090000}"/>
    <cellStyle name="3_산#2-2설비별기본물량산출 집계 _20DECANT-C_열연설계설명서_상세 견적내역(STS 냉연)_수처리 상세 견적내역(020524)_2차 예산산출기준_050927 (여기에 수정하십시요)" xfId="2844" xr:uid="{00000000-0005-0000-0000-000072090000}"/>
    <cellStyle name="3_산#2-2설비별기본물량산출 집계 _20DECANT-C_열연설계설명서_상세 견적내역(STS 냉연)_수처리 상세 견적내역(020524)_복사본 ISP 1115 수배전설비 투자비등록(전제사항)" xfId="2845" xr:uid="{00000000-0005-0000-0000-000073090000}"/>
    <cellStyle name="3_산#2-2설비별기본물량산출 집계 _20DECANT-C_열연설계설명서_상세 견적내역(STS 냉연)_수처리 상세 견적내역(020524)_복사본 ISP 1115 수배전설비 투자비등록(전제사항)_2차 예산산출기준_050927 (여기에 수정하십시요)" xfId="2846" xr:uid="{00000000-0005-0000-0000-000074090000}"/>
    <cellStyle name="3_산#2-2설비별기본물량산출 집계 _20DECANT-C_열연설계설명서_상세 견적내역(STS 냉연)_총괄견적내역 2(포항강판 히다찌)" xfId="2847" xr:uid="{00000000-0005-0000-0000-000075090000}"/>
    <cellStyle name="3_산#2-2설비별기본물량산출 집계 _20DECANT-C_열연설계설명서_상세 견적내역(STS 냉연)_총괄견적내역 2(포항강판 히다찌)_2차 예산산출기준_050927 (여기에 수정하십시요)" xfId="2848" xr:uid="{00000000-0005-0000-0000-000076090000}"/>
    <cellStyle name="3_산#2-2설비별기본물량산출 집계 _20DECANT-C_열연설계설명서_상세 견적내역(STS 냉연)_총괄견적내역 2(포항강판 히다찌)_복사본 ISP 1115 수배전설비 투자비등록(전제사항)" xfId="2849" xr:uid="{00000000-0005-0000-0000-000077090000}"/>
    <cellStyle name="3_산#2-2설비별기본물량산출 집계 _20DECANT-C_열연설계설명서_상세 견적내역(STS 냉연)_총괄견적내역 2(포항강판 히다찌)_복사본 ISP 1115 수배전설비 투자비등록(전제사항)_2차 예산산출기준_050927 (여기에 수정하십시요)" xfId="2850" xr:uid="{00000000-0005-0000-0000-000078090000}"/>
    <cellStyle name="3_산#2-2설비별기본물량산출 집계 _20DECANT-C_열연설계설명서_상세 견적내역(STS 냉연)_총괄견적내역(STS 냉연020409)" xfId="2851" xr:uid="{00000000-0005-0000-0000-000079090000}"/>
    <cellStyle name="3_산#2-2설비별기본물량산출 집계 _20DECANT-C_열연설계설명서_상세 견적내역(STS 냉연)_총괄견적내역(STS 냉연020409)_2차 예산산출기준_050927 (여기에 수정하십시요)" xfId="2852" xr:uid="{00000000-0005-0000-0000-00007A090000}"/>
    <cellStyle name="3_산#2-2설비별기본물량산출 집계 _20DECANT-C_열연설계설명서_상세 견적내역(STS 냉연)_총괄견적내역(STS 냉연020409)_복사본 ISP 1115 수배전설비 투자비등록(전제사항)" xfId="2853" xr:uid="{00000000-0005-0000-0000-00007B090000}"/>
    <cellStyle name="3_산#2-2설비별기본물량산출 집계 _20DECANT-C_열연설계설명서_상세 견적내역(STS 냉연)_총괄견적내역(STS 냉연020409)_복사본 ISP 1115 수배전설비 투자비등록(전제사항)_2차 예산산출기준_050927 (여기에 수정하십시요)" xfId="2854" xr:uid="{00000000-0005-0000-0000-00007C090000}"/>
    <cellStyle name="3_산#2-2설비별기본물량산출 집계 _20DECANT-사양서" xfId="2855" xr:uid="{00000000-0005-0000-0000-00007D090000}"/>
    <cellStyle name="3_산#2-2설비별기본물량산출 집계 _2가열로설계서(전기신설)" xfId="2856" xr:uid="{00000000-0005-0000-0000-00007E090000}"/>
    <cellStyle name="3_산#2-2설비별기본물량산출 집계 _2냉연 #3CAL FURNACE PYROMETER 개체-REV1" xfId="2857" xr:uid="{00000000-0005-0000-0000-00007F090000}"/>
    <cellStyle name="3_산#2-2설비별기본물량산출 집계 _2선재 COMP'" xfId="2858" xr:uid="{00000000-0005-0000-0000-000080090000}"/>
    <cellStyle name="3_산#2-2설비별기본물량산출 집계 _2소결 S35R BC 쌍 CHUTE" xfId="2859" xr:uid="{00000000-0005-0000-0000-000081090000}"/>
    <cellStyle name="3_산#2-2설비별기본물량산출 집계 _2연주 3연주기 공사비" xfId="2860" xr:uid="{00000000-0005-0000-0000-000082090000}"/>
    <cellStyle name="3_산#2-2설비별기본물량산출 집계 _2연주 SLAB G-M" xfId="2861" xr:uid="{00000000-0005-0000-0000-000083090000}"/>
    <cellStyle name="3_산#2-2설비별기본물량산출 집계 _2열연FM설계서" xfId="2862" xr:uid="{00000000-0005-0000-0000-000084090000}"/>
    <cellStyle name="3_산#2-2설비별기본물량산출 집계 _2열연-rev2" xfId="2863" xr:uid="{00000000-0005-0000-0000-000085090000}"/>
    <cellStyle name="3_산#2-2설비별기본물량산출 집계 _2제강 AUTO FILTER" xfId="2864" xr:uid="{00000000-0005-0000-0000-000086090000}"/>
    <cellStyle name="3_산#2-2설비별기본물량산출 집계 _2코크스 3기 로체 열화설비 교체" xfId="2865" xr:uid="{00000000-0005-0000-0000-000087090000}"/>
    <cellStyle name="3_산#2-2설비별기본물량산출 집계 _39(신설)" xfId="2866" xr:uid="{00000000-0005-0000-0000-000088090000}"/>
    <cellStyle name="3_산#2-2설비별기본물량산출 집계 _3기 SUB ECONOMIZER" xfId="2867" xr:uid="{00000000-0005-0000-0000-000089090000}"/>
    <cellStyle name="3_산#2-2설비별기본물량산출 집계 _3기선탄 유체커플링" xfId="2868" xr:uid="{00000000-0005-0000-0000-00008A090000}"/>
    <cellStyle name="3_산#2-2설비별기본물량산출 집계 _3열연 합리화 PBS체계 실적 공사비 분석표" xfId="2869" xr:uid="{00000000-0005-0000-0000-00008B090000}"/>
    <cellStyle name="3_산#2-2설비별기본물량산출 집계 _3후판 UST" xfId="2870" xr:uid="{00000000-0005-0000-0000-00008C090000}"/>
    <cellStyle name="3_산#2-2설비별기본물량산출 집계 _4-2기 BFG 배관교체" xfId="2871" xr:uid="{00000000-0005-0000-0000-00008D090000}"/>
    <cellStyle name="3_산#2-2설비별기본물량산출 집계 _72" xfId="2872" xr:uid="{00000000-0005-0000-0000-00008E090000}"/>
    <cellStyle name="3_산#2-2설비별기본물량산출 집계 _A-302B.C" xfId="2873" xr:uid="{00000000-0005-0000-0000-00008F090000}"/>
    <cellStyle name="3_산#2-2설비별기본물량산출 집계 _AIR CON___" xfId="2874" xr:uid="{00000000-0005-0000-0000-000090090000}"/>
    <cellStyle name="3_산#2-2설비별기본물량산출 집계 _b" xfId="2875" xr:uid="{00000000-0005-0000-0000-000091090000}"/>
    <cellStyle name="3_산#2-2설비별기본물량산출 집계 _b_2연주 3연주기 공사비" xfId="2876" xr:uid="{00000000-0005-0000-0000-000092090000}"/>
    <cellStyle name="3_산#2-2설비별기본물량산출 집계 _b_3열연 합리화 PBS체계 실적 공사비 분석표" xfId="2877" xr:uid="{00000000-0005-0000-0000-000093090000}"/>
    <cellStyle name="3_산#2-2설비별기본물량산출 집계 _b_G1RH3(본동)" xfId="2878" xr:uid="{00000000-0005-0000-0000-000094090000}"/>
    <cellStyle name="3_산#2-2설비별기본물량산출 집계 _b_G1RH3PBS(본동)" xfId="2879" xr:uid="{00000000-0005-0000-0000-000095090000}"/>
    <cellStyle name="3_산#2-2설비별기본물량산출 집계 _b_공사비분석" xfId="2880" xr:uid="{00000000-0005-0000-0000-000096090000}"/>
    <cellStyle name="3_산#2-2설비별기본물량산출 집계 _b_열연설계설명서" xfId="2881" xr:uid="{00000000-0005-0000-0000-000097090000}"/>
    <cellStyle name="3_산#2-2설비별기본물량산출 집계 _b_열연설계설명서_2차 예산산출기준_050927 (여기에 수정하십시요)" xfId="2882" xr:uid="{00000000-0005-0000-0000-000098090000}"/>
    <cellStyle name="3_산#2-2설비별기본물량산출 집계 _b_열연설계설명서_복사본 ISP 1115 수배전설비 투자비등록(전제사항)" xfId="2883" xr:uid="{00000000-0005-0000-0000-000099090000}"/>
    <cellStyle name="3_산#2-2설비별기본물량산출 집계 _b_열연설계설명서_복사본 ISP 1115 수배전설비 투자비등록(전제사항)_2차 예산산출기준_050927 (여기에 수정하십시요)" xfId="2884" xr:uid="{00000000-0005-0000-0000-00009A090000}"/>
    <cellStyle name="3_산#2-2설비별기본물량산출 집계 _b_열연설계설명서_상세 견적내역(STS 냉연)" xfId="2885" xr:uid="{00000000-0005-0000-0000-00009B090000}"/>
    <cellStyle name="3_산#2-2설비별기본물량산출 집계 _b_열연설계설명서_상세 견적내역(STS 냉연)_2차 예산산출기준_050927 (여기에 수정하십시요)" xfId="2886" xr:uid="{00000000-0005-0000-0000-00009C090000}"/>
    <cellStyle name="3_산#2-2설비별기본물량산출 집계 _b_열연설계설명서_상세 견적내역(STS 냉연)_FR 상세견적내역 (020803)" xfId="2887" xr:uid="{00000000-0005-0000-0000-00009D090000}"/>
    <cellStyle name="3_산#2-2설비별기본물량산출 집계 _b_열연설계설명서_상세 견적내역(STS 냉연)_FR 상세견적내역 (020803)_2차 예산산출기준_050927 (여기에 수정하십시요)" xfId="2888" xr:uid="{00000000-0005-0000-0000-00009E090000}"/>
    <cellStyle name="3_산#2-2설비별기본물량산출 집계 _b_열연설계설명서_상세 견적내역(STS 냉연)_FR 상세견적내역 (020803)_복사본 ISP 1115 수배전설비 투자비등록(전제사항)" xfId="2889" xr:uid="{00000000-0005-0000-0000-00009F090000}"/>
    <cellStyle name="3_산#2-2설비별기본물량산출 집계 _b_열연설계설명서_상세 견적내역(STS 냉연)_FR 상세견적내역 (020803)_복사본 ISP 1115 수배전설비 투자비등록(전제사항)_2차 예산산출기준_050927 (여기에 수정하십시요)" xfId="2890" xr:uid="{00000000-0005-0000-0000-0000A0090000}"/>
    <cellStyle name="3_산#2-2설비별기본물량산출 집계 _b_열연설계설명서_상세 견적내역(STS 냉연)_POSCO구매견적(문종국)" xfId="2891" xr:uid="{00000000-0005-0000-0000-0000A1090000}"/>
    <cellStyle name="3_산#2-2설비별기본물량산출 집계 _b_열연설계설명서_상세 견적내역(STS 냉연)_POSCO구매견적(문종국)_2차 예산산출기준_050927 (여기에 수정하십시요)" xfId="2892" xr:uid="{00000000-0005-0000-0000-0000A2090000}"/>
    <cellStyle name="3_산#2-2설비별기본물량산출 집계 _b_열연설계설명서_상세 견적내역(STS 냉연)_POSCO구매견적(문종국)_복사본 ISP 1115 수배전설비 투자비등록(전제사항)" xfId="2893" xr:uid="{00000000-0005-0000-0000-0000A3090000}"/>
    <cellStyle name="3_산#2-2설비별기본물량산출 집계 _b_열연설계설명서_상세 견적내역(STS 냉연)_POSCO구매견적(문종국)_복사본 ISP 1115 수배전설비 투자비등록(전제사항)_2차 예산산출기준_050927 (여기에 수정하십시요)" xfId="2894" xr:uid="{00000000-0005-0000-0000-0000A4090000}"/>
    <cellStyle name="3_산#2-2설비별기본물량산출 집계 _b_열연설계설명서_상세 견적내역(STS 냉연)_견적" xfId="2895" xr:uid="{00000000-0005-0000-0000-0000A5090000}"/>
    <cellStyle name="3_산#2-2설비별기본물량산출 집계 _b_열연설계설명서_상세 견적내역(STS 냉연)_견적_2차 예산산출기준_050927 (여기에 수정하십시요)" xfId="2896" xr:uid="{00000000-0005-0000-0000-0000A6090000}"/>
    <cellStyle name="3_산#2-2설비별기본물량산출 집계 _b_열연설계설명서_상세 견적내역(STS 냉연)_견적_복사본 ISP 1115 수배전설비 투자비등록(전제사항)" xfId="2897" xr:uid="{00000000-0005-0000-0000-0000A7090000}"/>
    <cellStyle name="3_산#2-2설비별기본물량산출 집계 _b_열연설계설명서_상세 견적내역(STS 냉연)_견적_복사본 ISP 1115 수배전설비 투자비등록(전제사항)_2차 예산산출기준_050927 (여기에 수정하십시요)" xfId="2898" xr:uid="{00000000-0005-0000-0000-0000A8090000}"/>
    <cellStyle name="3_산#2-2설비별기본물량산출 집계 _b_열연설계설명서_상세 견적내역(STS 냉연)_견적서구매팀(020803)" xfId="2899" xr:uid="{00000000-0005-0000-0000-0000A9090000}"/>
    <cellStyle name="3_산#2-2설비별기본물량산출 집계 _b_열연설계설명서_상세 견적내역(STS 냉연)_견적서구매팀(020803)_2차 예산산출기준_050927 (여기에 수정하십시요)" xfId="2900" xr:uid="{00000000-0005-0000-0000-0000AA090000}"/>
    <cellStyle name="3_산#2-2설비별기본물량산출 집계 _b_열연설계설명서_상세 견적내역(STS 냉연)_견적서구매팀(020803)_복사본 ISP 1115 수배전설비 투자비등록(전제사항)" xfId="2901" xr:uid="{00000000-0005-0000-0000-0000AB090000}"/>
    <cellStyle name="3_산#2-2설비별기본물량산출 집계 _b_열연설계설명서_상세 견적내역(STS 냉연)_견적서구매팀(020803)_복사본 ISP 1115 수배전설비 투자비등록(전제사항)_2차 예산산출기준_050927 (여기에 수정하십시요)" xfId="2902" xr:uid="{00000000-0005-0000-0000-0000AC090000}"/>
    <cellStyle name="3_산#2-2설비별기본물량산출 집계 _b_열연설계설명서_상세 견적내역(STS 냉연)_복사본 ISP 1115 수배전설비 투자비등록(전제사항)" xfId="2903" xr:uid="{00000000-0005-0000-0000-0000AD090000}"/>
    <cellStyle name="3_산#2-2설비별기본물량산출 집계 _b_열연설계설명서_상세 견적내역(STS 냉연)_복사본 ISP 1115 수배전설비 투자비등록(전제사항)_2차 예산산출기준_050927 (여기에 수정하십시요)" xfId="2904" xr:uid="{00000000-0005-0000-0000-0000AE090000}"/>
    <cellStyle name="3_산#2-2설비별기본물량산출 집계 _b_열연설계설명서_상세 견적내역(STS 냉연)_상세 견적내역(STS 냉연020406)1" xfId="2905" xr:uid="{00000000-0005-0000-0000-0000AF090000}"/>
    <cellStyle name="3_산#2-2설비별기본물량산출 집계 _b_열연설계설명서_상세 견적내역(STS 냉연)_상세 견적내역(STS 냉연020406)1_2차 예산산출기준_050927 (여기에 수정하십시요)" xfId="2906" xr:uid="{00000000-0005-0000-0000-0000B0090000}"/>
    <cellStyle name="3_산#2-2설비별기본물량산출 집계 _b_열연설계설명서_상세 견적내역(STS 냉연)_상세 견적내역(STS 냉연020406)1_복사본 ISP 1115 수배전설비 투자비등록(전제사항)" xfId="2907" xr:uid="{00000000-0005-0000-0000-0000B1090000}"/>
    <cellStyle name="3_산#2-2설비별기본물량산출 집계 _b_열연설계설명서_상세 견적내역(STS 냉연)_상세 견적내역(STS 냉연020406)1_복사본 ISP 1115 수배전설비 투자비등록(전제사항)_2차 예산산출기준_050927 (여기에 수정하십시요)" xfId="2908" xr:uid="{00000000-0005-0000-0000-0000B2090000}"/>
    <cellStyle name="3_산#2-2설비별기본물량산출 집계 _b_열연설계설명서_상세 견적내역(STS 냉연)_상세견적내역 (흠탐상기)" xfId="2909" xr:uid="{00000000-0005-0000-0000-0000B3090000}"/>
    <cellStyle name="3_산#2-2설비별기본물량산출 집계 _b_열연설계설명서_상세 견적내역(STS 냉연)_상세견적내역 (흠탐상기)_2차 예산산출기준_050927 (여기에 수정하십시요)" xfId="2910" xr:uid="{00000000-0005-0000-0000-0000B4090000}"/>
    <cellStyle name="3_산#2-2설비별기본물량산출 집계 _b_열연설계설명서_상세 견적내역(STS 냉연)_상세견적내역 (흠탐상기)_복사본 ISP 1115 수배전설비 투자비등록(전제사항)" xfId="2911" xr:uid="{00000000-0005-0000-0000-0000B5090000}"/>
    <cellStyle name="3_산#2-2설비별기본물량산출 집계 _b_열연설계설명서_상세 견적내역(STS 냉연)_상세견적내역 (흠탐상기)_복사본 ISP 1115 수배전설비 투자비등록(전제사항)_2차 예산산출기준_050927 (여기에 수정하십시요)" xfId="2912" xr:uid="{00000000-0005-0000-0000-0000B6090000}"/>
    <cellStyle name="3_산#2-2설비별기본물량산출 집계 _b_열연설계설명서_상세 견적내역(STS 냉연)_수처리 상세 견적내역(020524)" xfId="2913" xr:uid="{00000000-0005-0000-0000-0000B7090000}"/>
    <cellStyle name="3_산#2-2설비별기본물량산출 집계 _b_열연설계설명서_상세 견적내역(STS 냉연)_수처리 상세 견적내역(020524)_2차 예산산출기준_050927 (여기에 수정하십시요)" xfId="2914" xr:uid="{00000000-0005-0000-0000-0000B8090000}"/>
    <cellStyle name="3_산#2-2설비별기본물량산출 집계 _b_열연설계설명서_상세 견적내역(STS 냉연)_수처리 상세 견적내역(020524)_복사본 ISP 1115 수배전설비 투자비등록(전제사항)" xfId="2915" xr:uid="{00000000-0005-0000-0000-0000B9090000}"/>
    <cellStyle name="3_산#2-2설비별기본물량산출 집계 _b_열연설계설명서_상세 견적내역(STS 냉연)_수처리 상세 견적내역(020524)_복사본 ISP 1115 수배전설비 투자비등록(전제사항)_2차 예산산출기준_050927 (여기에 수정하십시요)" xfId="2916" xr:uid="{00000000-0005-0000-0000-0000BA090000}"/>
    <cellStyle name="3_산#2-2설비별기본물량산출 집계 _b_열연설계설명서_상세 견적내역(STS 냉연)_총괄견적내역 2(포항강판 히다찌)" xfId="2917" xr:uid="{00000000-0005-0000-0000-0000BB090000}"/>
    <cellStyle name="3_산#2-2설비별기본물량산출 집계 _b_열연설계설명서_상세 견적내역(STS 냉연)_총괄견적내역 2(포항강판 히다찌)_2차 예산산출기준_050927 (여기에 수정하십시요)" xfId="2918" xr:uid="{00000000-0005-0000-0000-0000BC090000}"/>
    <cellStyle name="3_산#2-2설비별기본물량산출 집계 _b_열연설계설명서_상세 견적내역(STS 냉연)_총괄견적내역 2(포항강판 히다찌)_복사본 ISP 1115 수배전설비 투자비등록(전제사항)" xfId="2919" xr:uid="{00000000-0005-0000-0000-0000BD090000}"/>
    <cellStyle name="3_산#2-2설비별기본물량산출 집계 _b_열연설계설명서_상세 견적내역(STS 냉연)_총괄견적내역 2(포항강판 히다찌)_복사본 ISP 1115 수배전설비 투자비등록(전제사항)_2차 예산산출기준_050927 (여기에 수정하십시요)" xfId="2920" xr:uid="{00000000-0005-0000-0000-0000BE090000}"/>
    <cellStyle name="3_산#2-2설비별기본물량산출 집계 _b_열연설계설명서_상세 견적내역(STS 냉연)_총괄견적내역(STS 냉연020409)" xfId="2921" xr:uid="{00000000-0005-0000-0000-0000BF090000}"/>
    <cellStyle name="3_산#2-2설비별기본물량산출 집계 _b_열연설계설명서_상세 견적내역(STS 냉연)_총괄견적내역(STS 냉연020409)_2차 예산산출기준_050927 (여기에 수정하십시요)" xfId="2922" xr:uid="{00000000-0005-0000-0000-0000C0090000}"/>
    <cellStyle name="3_산#2-2설비별기본물량산출 집계 _b_열연설계설명서_상세 견적내역(STS 냉연)_총괄견적내역(STS 냉연020409)_복사본 ISP 1115 수배전설비 투자비등록(전제사항)" xfId="2923" xr:uid="{00000000-0005-0000-0000-0000C1090000}"/>
    <cellStyle name="3_산#2-2설비별기본물량산출 집계 _b_열연설계설명서_상세 견적내역(STS 냉연)_총괄견적내역(STS 냉연020409)_복사본 ISP 1115 수배전설비 투자비등록(전제사항)_2차 예산산출기준_050927 (여기에 수정하십시요)" xfId="2924" xr:uid="{00000000-0005-0000-0000-0000C2090000}"/>
    <cellStyle name="3_산#2-2설비별기본물량산출 집계 _CABLE TRUSS" xfId="2925" xr:uid="{00000000-0005-0000-0000-0000C3090000}"/>
    <cellStyle name="3_산#2-2설비별기본물량산출 집계 _FINEX COLD HCL 장입" xfId="2926" xr:uid="{00000000-0005-0000-0000-0000C4090000}"/>
    <cellStyle name="3_산#2-2설비별기본물량산출 집계 _G1RH3(본동)" xfId="2927" xr:uid="{00000000-0005-0000-0000-0000C5090000}"/>
    <cellStyle name="3_산#2-2설비별기본물량산출 집계 _G1RH3PBS(본동)" xfId="2928" xr:uid="{00000000-0005-0000-0000-0000C6090000}"/>
    <cellStyle name="3_산#2-2설비별기본물량산출 집계 _Ladle배관물량산출" xfId="2929" xr:uid="{00000000-0005-0000-0000-0000C7090000}"/>
    <cellStyle name="3_산#2-2설비별기본물량산출 집계 _lbt" xfId="2930" xr:uid="{00000000-0005-0000-0000-0000C8090000}"/>
    <cellStyle name="3_산#2-2설비별기본물량산출 집계 _PUMP교체 자재 및 보온" xfId="2931" xr:uid="{00000000-0005-0000-0000-0000C9090000}"/>
    <cellStyle name="3_산#2-2설비별기본물량산출 집계 _SPM기계" xfId="2932" xr:uid="{00000000-0005-0000-0000-0000CA090000}"/>
    <cellStyle name="3_산#2-2설비별기본물량산출 집계 _STS 1제강 고압 COMPRESSOR" xfId="2933" xr:uid="{00000000-0005-0000-0000-0000CB090000}"/>
    <cellStyle name="3_산#2-2설비별기본물량산출 집계 _sts냉연spm" xfId="2934" xr:uid="{00000000-0005-0000-0000-0000CC090000}"/>
    <cellStyle name="3_산#2-2설비별기본물량산출 집계 _SUB ECO'배관물량" xfId="2935" xr:uid="{00000000-0005-0000-0000-0000CD090000}"/>
    <cellStyle name="3_산#2-2설비별기본물량산출 집계 _THICKENER" xfId="2936" xr:uid="{00000000-0005-0000-0000-0000CE090000}"/>
    <cellStyle name="3_산#2-2설비별기본물량산출 집계 _VOC 방출방지(2차공사)" xfId="2937" xr:uid="{00000000-0005-0000-0000-0000CF090000}"/>
    <cellStyle name="3_산#2-2설비별기본물량산출 집계 _강편유압연장치" xfId="2938" xr:uid="{00000000-0005-0000-0000-0000D0090000}"/>
    <cellStyle name="3_산#2-2설비별기본물량산출 집계 _고압안수" xfId="2939" xr:uid="{00000000-0005-0000-0000-0000D1090000}"/>
    <cellStyle name="3_산#2-2설비별기본물량산출 집계 _공사비내역서" xfId="2940" xr:uid="{00000000-0005-0000-0000-0000D2090000}"/>
    <cellStyle name="3_산#2-2설비별기본물량산출 집계 _공사비내역서_040617" xfId="2941" xr:uid="{00000000-0005-0000-0000-0000D3090000}"/>
    <cellStyle name="3_산#2-2설비별기본물량산출 집계 _공사비내역서_070111" xfId="2942" xr:uid="{00000000-0005-0000-0000-0000D4090000}"/>
    <cellStyle name="3_산#2-2설비별기본물량산출 집계 _공사비분석" xfId="2943" xr:uid="{00000000-0005-0000-0000-0000D5090000}"/>
    <cellStyle name="3_산#2-2설비별기본물량산출 집계 _공장제작" xfId="2944" xr:uid="{00000000-0005-0000-0000-0000D6090000}"/>
    <cellStyle name="3_산#2-2설비별기본물량산출 집계 _광) 5소결 철거물량 집계표(세화)_20080123" xfId="2945" xr:uid="{00000000-0005-0000-0000-0000D7090000}"/>
    <cellStyle name="3_산#2-2설비별기본물량산출 집계 _광양COAL" xfId="2946" xr:uid="{00000000-0005-0000-0000-0000D8090000}"/>
    <cellStyle name="3_산#2-2설비별기본물량산출 집계 _기계설계서" xfId="2947" xr:uid="{00000000-0005-0000-0000-0000D9090000}"/>
    <cellStyle name="3_산#2-2설비별기본물량산출 집계 _냉연계측설계서 POSCON (1001)" xfId="2948" xr:uid="{00000000-0005-0000-0000-0000DA090000}"/>
    <cellStyle name="3_산#2-2설비별기본물량산출 집계 _동력과 수소 #1,2 COG  COMP'" xfId="2949" xr:uid="{00000000-0005-0000-0000-0000DB090000}"/>
    <cellStyle name="3_산#2-2설비별기본물량산출 집계 _배열회수" xfId="2950" xr:uid="{00000000-0005-0000-0000-0000DC090000}"/>
    <cellStyle name="3_산#2-2설비별기본물량산출 집계 _보온공사" xfId="2951" xr:uid="{00000000-0005-0000-0000-0000DD090000}"/>
    <cellStyle name="3_산#2-2설비별기본물량산출 집계 _보온산출" xfId="2952" xr:uid="{00000000-0005-0000-0000-0000DE090000}"/>
    <cellStyle name="3_산#2-2설비별기본물량산출 집계 _산세물량산출Format" xfId="2953" xr:uid="{00000000-0005-0000-0000-0000DF090000}"/>
    <cellStyle name="3_산#2-2설비별기본물량산출 집계 _석회 분석회석" xfId="2954" xr:uid="{00000000-0005-0000-0000-0000E0090000}"/>
    <cellStyle name="3_산#2-2설비별기본물량산출 집계 _설계서" xfId="2955" xr:uid="{00000000-0005-0000-0000-0000E1090000}"/>
    <cellStyle name="3_산#2-2설비별기본물량산출 집계 _설계서 설명서" xfId="2956" xr:uid="{00000000-0005-0000-0000-0000E2090000}"/>
    <cellStyle name="3_산#2-2설비별기본물량산출 집계 _설계서_041130" xfId="2957" xr:uid="{00000000-0005-0000-0000-0000E3090000}"/>
    <cellStyle name="3_산#2-2설비별기본물량산출 집계 _설계서표지" xfId="2958" xr:uid="{00000000-0005-0000-0000-0000E4090000}"/>
    <cellStyle name="3_산#2-2설비별기본물량산출 집계 _소결 점화로 부대장치 개선" xfId="2959" xr:uid="{00000000-0005-0000-0000-0000E5090000}"/>
    <cellStyle name="3_산#2-2설비별기본물량산출 집계 _소둔 산출서" xfId="2960" xr:uid="{00000000-0005-0000-0000-0000E6090000}"/>
    <cellStyle name="3_산#2-2설비별기본물량산출 집계 _수량 산출서_040806" xfId="2961" xr:uid="{00000000-0005-0000-0000-0000E7090000}"/>
    <cellStyle name="3_산#2-2설비별기본물량산출 집계 _수량산출서" xfId="2962" xr:uid="{00000000-0005-0000-0000-0000E8090000}"/>
    <cellStyle name="3_산#2-2설비별기본물량산출 집계 _수량서_040713" xfId="2963" xr:uid="{00000000-0005-0000-0000-0000E9090000}"/>
    <cellStyle name="3_산#2-2설비별기본물량산출 집계 _압연수처리 함유설비(FINAL)" xfId="2964" xr:uid="{00000000-0005-0000-0000-0000EA090000}"/>
    <cellStyle name="3_산#2-2설비별기본물량산출 집계 _연소방재" xfId="2965" xr:uid="{00000000-0005-0000-0000-0000EB090000}"/>
    <cellStyle name="3_산#2-2설비별기본물량산출 집계 _열연설계설명서" xfId="2966" xr:uid="{00000000-0005-0000-0000-0000EC090000}"/>
    <cellStyle name="3_산#2-2설비별기본물량산출 집계 _열연설계설명서_2차 예산산출기준_050927 (여기에 수정하십시요)" xfId="2967" xr:uid="{00000000-0005-0000-0000-0000ED090000}"/>
    <cellStyle name="3_산#2-2설비별기본물량산출 집계 _열연설계설명서_복사본 ISP 1115 수배전설비 투자비등록(전제사항)" xfId="2968" xr:uid="{00000000-0005-0000-0000-0000EE090000}"/>
    <cellStyle name="3_산#2-2설비별기본물량산출 집계 _열연설계설명서_복사본 ISP 1115 수배전설비 투자비등록(전제사항)_2차 예산산출기준_050927 (여기에 수정하십시요)" xfId="2969" xr:uid="{00000000-0005-0000-0000-0000EF090000}"/>
    <cellStyle name="3_산#2-2설비별기본물량산출 집계 _열연설계설명서_상세 견적내역(STS 냉연)" xfId="2970" xr:uid="{00000000-0005-0000-0000-0000F0090000}"/>
    <cellStyle name="3_산#2-2설비별기본물량산출 집계 _열연설계설명서_상세 견적내역(STS 냉연)_2차 예산산출기준_050927 (여기에 수정하십시요)" xfId="2971" xr:uid="{00000000-0005-0000-0000-0000F1090000}"/>
    <cellStyle name="3_산#2-2설비별기본물량산출 집계 _열연설계설명서_상세 견적내역(STS 냉연)_FR 상세견적내역 (020803)" xfId="2972" xr:uid="{00000000-0005-0000-0000-0000F2090000}"/>
    <cellStyle name="3_산#2-2설비별기본물량산출 집계 _열연설계설명서_상세 견적내역(STS 냉연)_FR 상세견적내역 (020803)_2차 예산산출기준_050927 (여기에 수정하십시요)" xfId="2973" xr:uid="{00000000-0005-0000-0000-0000F3090000}"/>
    <cellStyle name="3_산#2-2설비별기본물량산출 집계 _열연설계설명서_상세 견적내역(STS 냉연)_FR 상세견적내역 (020803)_복사본 ISP 1115 수배전설비 투자비등록(전제사항)" xfId="2974" xr:uid="{00000000-0005-0000-0000-0000F4090000}"/>
    <cellStyle name="3_산#2-2설비별기본물량산출 집계 _열연설계설명서_상세 견적내역(STS 냉연)_FR 상세견적내역 (020803)_복사본 ISP 1115 수배전설비 투자비등록(전제사항)_2차 예산산출기준_050927 (여기에 수정하십시요)" xfId="2975" xr:uid="{00000000-0005-0000-0000-0000F5090000}"/>
    <cellStyle name="3_산#2-2설비별기본물량산출 집계 _열연설계설명서_상세 견적내역(STS 냉연)_POSCO구매견적(문종국)" xfId="2976" xr:uid="{00000000-0005-0000-0000-0000F6090000}"/>
    <cellStyle name="3_산#2-2설비별기본물량산출 집계 _열연설계설명서_상세 견적내역(STS 냉연)_POSCO구매견적(문종국)_2차 예산산출기준_050927 (여기에 수정하십시요)" xfId="2977" xr:uid="{00000000-0005-0000-0000-0000F7090000}"/>
    <cellStyle name="3_산#2-2설비별기본물량산출 집계 _열연설계설명서_상세 견적내역(STS 냉연)_POSCO구매견적(문종국)_복사본 ISP 1115 수배전설비 투자비등록(전제사항)" xfId="2978" xr:uid="{00000000-0005-0000-0000-0000F8090000}"/>
    <cellStyle name="3_산#2-2설비별기본물량산출 집계 _열연설계설명서_상세 견적내역(STS 냉연)_POSCO구매견적(문종국)_복사본 ISP 1115 수배전설비 투자비등록(전제사항)_2차 예산산출기준_050927 (여기에 수정하십시요)" xfId="2979" xr:uid="{00000000-0005-0000-0000-0000F9090000}"/>
    <cellStyle name="3_산#2-2설비별기본물량산출 집계 _열연설계설명서_상세 견적내역(STS 냉연)_견적" xfId="2980" xr:uid="{00000000-0005-0000-0000-0000FA090000}"/>
    <cellStyle name="3_산#2-2설비별기본물량산출 집계 _열연설계설명서_상세 견적내역(STS 냉연)_견적_2차 예산산출기준_050927 (여기에 수정하십시요)" xfId="2981" xr:uid="{00000000-0005-0000-0000-0000FB090000}"/>
    <cellStyle name="3_산#2-2설비별기본물량산출 집계 _열연설계설명서_상세 견적내역(STS 냉연)_견적_복사본 ISP 1115 수배전설비 투자비등록(전제사항)" xfId="2982" xr:uid="{00000000-0005-0000-0000-0000FC090000}"/>
    <cellStyle name="3_산#2-2설비별기본물량산출 집계 _열연설계설명서_상세 견적내역(STS 냉연)_견적_복사본 ISP 1115 수배전설비 투자비등록(전제사항)_2차 예산산출기준_050927 (여기에 수정하십시요)" xfId="2983" xr:uid="{00000000-0005-0000-0000-0000FD090000}"/>
    <cellStyle name="3_산#2-2설비별기본물량산출 집계 _열연설계설명서_상세 견적내역(STS 냉연)_견적서구매팀(020803)" xfId="2984" xr:uid="{00000000-0005-0000-0000-0000FE090000}"/>
    <cellStyle name="3_산#2-2설비별기본물량산출 집계 _열연설계설명서_상세 견적내역(STS 냉연)_견적서구매팀(020803)_2차 예산산출기준_050927 (여기에 수정하십시요)" xfId="2985" xr:uid="{00000000-0005-0000-0000-0000FF090000}"/>
    <cellStyle name="3_산#2-2설비별기본물량산출 집계 _열연설계설명서_상세 견적내역(STS 냉연)_견적서구매팀(020803)_복사본 ISP 1115 수배전설비 투자비등록(전제사항)" xfId="2986" xr:uid="{00000000-0005-0000-0000-0000000A0000}"/>
    <cellStyle name="3_산#2-2설비별기본물량산출 집계 _열연설계설명서_상세 견적내역(STS 냉연)_견적서구매팀(020803)_복사본 ISP 1115 수배전설비 투자비등록(전제사항)_2차 예산산출기준_050927 (여기에 수정하십시요)" xfId="2987" xr:uid="{00000000-0005-0000-0000-0000010A0000}"/>
    <cellStyle name="3_산#2-2설비별기본물량산출 집계 _열연설계설명서_상세 견적내역(STS 냉연)_복사본 ISP 1115 수배전설비 투자비등록(전제사항)" xfId="2988" xr:uid="{00000000-0005-0000-0000-0000020A0000}"/>
    <cellStyle name="3_산#2-2설비별기본물량산출 집계 _열연설계설명서_상세 견적내역(STS 냉연)_복사본 ISP 1115 수배전설비 투자비등록(전제사항)_2차 예산산출기준_050927 (여기에 수정하십시요)" xfId="2989" xr:uid="{00000000-0005-0000-0000-0000030A0000}"/>
    <cellStyle name="3_산#2-2설비별기본물량산출 집계 _열연설계설명서_상세 견적내역(STS 냉연)_상세 견적내역(STS 냉연020406)1" xfId="2990" xr:uid="{00000000-0005-0000-0000-0000040A0000}"/>
    <cellStyle name="3_산#2-2설비별기본물량산출 집계 _열연설계설명서_상세 견적내역(STS 냉연)_상세 견적내역(STS 냉연020406)1_2차 예산산출기준_050927 (여기에 수정하십시요)" xfId="2991" xr:uid="{00000000-0005-0000-0000-0000050A0000}"/>
    <cellStyle name="3_산#2-2설비별기본물량산출 집계 _열연설계설명서_상세 견적내역(STS 냉연)_상세 견적내역(STS 냉연020406)1_복사본 ISP 1115 수배전설비 투자비등록(전제사항)" xfId="2992" xr:uid="{00000000-0005-0000-0000-0000060A0000}"/>
    <cellStyle name="3_산#2-2설비별기본물량산출 집계 _열연설계설명서_상세 견적내역(STS 냉연)_상세 견적내역(STS 냉연020406)1_복사본 ISP 1115 수배전설비 투자비등록(전제사항)_2차 예산산출기준_050927 (여기에 수정하십시요)" xfId="2993" xr:uid="{00000000-0005-0000-0000-0000070A0000}"/>
    <cellStyle name="3_산#2-2설비별기본물량산출 집계 _열연설계설명서_상세 견적내역(STS 냉연)_상세견적내역 (흠탐상기)" xfId="2994" xr:uid="{00000000-0005-0000-0000-0000080A0000}"/>
    <cellStyle name="3_산#2-2설비별기본물량산출 집계 _열연설계설명서_상세 견적내역(STS 냉연)_상세견적내역 (흠탐상기)_2차 예산산출기준_050927 (여기에 수정하십시요)" xfId="2995" xr:uid="{00000000-0005-0000-0000-0000090A0000}"/>
    <cellStyle name="3_산#2-2설비별기본물량산출 집계 _열연설계설명서_상세 견적내역(STS 냉연)_상세견적내역 (흠탐상기)_복사본 ISP 1115 수배전설비 투자비등록(전제사항)" xfId="2996" xr:uid="{00000000-0005-0000-0000-00000A0A0000}"/>
    <cellStyle name="3_산#2-2설비별기본물량산출 집계 _열연설계설명서_상세 견적내역(STS 냉연)_상세견적내역 (흠탐상기)_복사본 ISP 1115 수배전설비 투자비등록(전제사항)_2차 예산산출기준_050927 (여기에 수정하십시요)" xfId="2997" xr:uid="{00000000-0005-0000-0000-00000B0A0000}"/>
    <cellStyle name="3_산#2-2설비별기본물량산출 집계 _열연설계설명서_상세 견적내역(STS 냉연)_수처리 상세 견적내역(020524)" xfId="2998" xr:uid="{00000000-0005-0000-0000-00000C0A0000}"/>
    <cellStyle name="3_산#2-2설비별기본물량산출 집계 _열연설계설명서_상세 견적내역(STS 냉연)_수처리 상세 견적내역(020524)_2차 예산산출기준_050927 (여기에 수정하십시요)" xfId="2999" xr:uid="{00000000-0005-0000-0000-00000D0A0000}"/>
    <cellStyle name="3_산#2-2설비별기본물량산출 집계 _열연설계설명서_상세 견적내역(STS 냉연)_수처리 상세 견적내역(020524)_복사본 ISP 1115 수배전설비 투자비등록(전제사항)" xfId="3000" xr:uid="{00000000-0005-0000-0000-00000E0A0000}"/>
    <cellStyle name="3_산#2-2설비별기본물량산출 집계 _열연설계설명서_상세 견적내역(STS 냉연)_수처리 상세 견적내역(020524)_복사본 ISP 1115 수배전설비 투자비등록(전제사항)_2차 예산산출기준_050927 (여기에 수정하십시요)" xfId="3001" xr:uid="{00000000-0005-0000-0000-00000F0A0000}"/>
    <cellStyle name="3_산#2-2설비별기본물량산출 집계 _열연설계설명서_상세 견적내역(STS 냉연)_총괄견적내역 2(포항강판 히다찌)" xfId="3002" xr:uid="{00000000-0005-0000-0000-0000100A0000}"/>
    <cellStyle name="3_산#2-2설비별기본물량산출 집계 _열연설계설명서_상세 견적내역(STS 냉연)_총괄견적내역 2(포항강판 히다찌)_2차 예산산출기준_050927 (여기에 수정하십시요)" xfId="3003" xr:uid="{00000000-0005-0000-0000-0000110A0000}"/>
    <cellStyle name="3_산#2-2설비별기본물량산출 집계 _열연설계설명서_상세 견적내역(STS 냉연)_총괄견적내역 2(포항강판 히다찌)_복사본 ISP 1115 수배전설비 투자비등록(전제사항)" xfId="3004" xr:uid="{00000000-0005-0000-0000-0000120A0000}"/>
    <cellStyle name="3_산#2-2설비별기본물량산출 집계 _열연설계설명서_상세 견적내역(STS 냉연)_총괄견적내역 2(포항강판 히다찌)_복사본 ISP 1115 수배전설비 투자비등록(전제사항)_2차 예산산출기준_050927 (여기에 수정하십시요)" xfId="3005" xr:uid="{00000000-0005-0000-0000-0000130A0000}"/>
    <cellStyle name="3_산#2-2설비별기본물량산출 집계 _열연설계설명서_상세 견적내역(STS 냉연)_총괄견적내역(STS 냉연020409)" xfId="3006" xr:uid="{00000000-0005-0000-0000-0000140A0000}"/>
    <cellStyle name="3_산#2-2설비별기본물량산출 집계 _열연설계설명서_상세 견적내역(STS 냉연)_총괄견적내역(STS 냉연020409)_2차 예산산출기준_050927 (여기에 수정하십시요)" xfId="3007" xr:uid="{00000000-0005-0000-0000-0000150A0000}"/>
    <cellStyle name="3_산#2-2설비별기본물량산출 집계 _열연설계설명서_상세 견적내역(STS 냉연)_총괄견적내역(STS 냉연020409)_복사본 ISP 1115 수배전설비 투자비등록(전제사항)" xfId="3008" xr:uid="{00000000-0005-0000-0000-0000160A0000}"/>
    <cellStyle name="3_산#2-2설비별기본물량산출 집계 _열연설계설명서_상세 견적내역(STS 냉연)_총괄견적내역(STS 냉연020409)_복사본 ISP 1115 수배전설비 투자비등록(전제사항)_2차 예산산출기준_050927 (여기에 수정하십시요)" xfId="3009" xr:uid="{00000000-0005-0000-0000-0000170A0000}"/>
    <cellStyle name="3_산#2-2설비별기본물량산출 집계 _전고로 MUD 예열장치" xfId="3010" xr:uid="{00000000-0005-0000-0000-0000180A0000}"/>
    <cellStyle name="3_산#2-2설비별기본물량산출 집계 _전기강판산회수합리화" xfId="3011" xr:uid="{00000000-0005-0000-0000-0000190A0000}"/>
    <cellStyle name="3_산#2-2설비별기본물량산출 집계 _제강연주 AIR CON 설치" xfId="3012" xr:uid="{00000000-0005-0000-0000-00001A0A0000}"/>
    <cellStyle name="3_산#2-2설비별기본물량산출 집계 _제작사양서" xfId="3013" xr:uid="{00000000-0005-0000-0000-00001B0A0000}"/>
    <cellStyle name="3_산#2-2설비별기본물량산출 집계 _창원특수강 산세공장 원가계산서" xfId="3014" xr:uid="{00000000-0005-0000-0000-00001C0A0000}"/>
    <cellStyle name="3_산#2-2설비별기본물량산출 집계 _화4-2기" xfId="3015" xr:uid="{00000000-0005-0000-0000-00001D0A0000}"/>
    <cellStyle name="3_산#2-2설비별기본물량산출 집계 _화4기" xfId="3016" xr:uid="{00000000-0005-0000-0000-00001E0A0000}"/>
    <cellStyle name="3_산#2-2설비별기본물량산출 집계 _화성VAPOR포집" xfId="3017" xr:uid="{00000000-0005-0000-0000-00001F0A0000}"/>
    <cellStyle name="3_산#2-2설비별기본물량산출 집계 _화성VAPOR포집(1차공사)" xfId="3018" xr:uid="{00000000-0005-0000-0000-0000200A0000}"/>
    <cellStyle name="3_산#2-2설비별기본물량산출 집계 _화성VAPOR포집(2차공사)" xfId="3019" xr:uid="{00000000-0005-0000-0000-0000210A0000}"/>
    <cellStyle name="3_산#2-2설비별기본물량산출 집계 _화성열교환기" xfId="3020" xr:uid="{00000000-0005-0000-0000-0000220A0000}"/>
    <cellStyle name="3_산#2-2설비별기본물량산출 집계 _화성열화설비교체" xfId="3021" xr:uid="{00000000-0005-0000-0000-0000230A0000}"/>
    <cellStyle name="3_산#7-5 비파괴검사(RT) " xfId="3022" xr:uid="{00000000-0005-0000-0000-0000240A0000}"/>
    <cellStyle name="3_산세약품소요량 " xfId="3023" xr:uid="{00000000-0005-0000-0000-0000250A0000}"/>
    <cellStyle name="3_산세약품소요량 _00설계서(1선재)" xfId="3024" xr:uid="{00000000-0005-0000-0000-0000260A0000}"/>
    <cellStyle name="3_산세약품소요량 _00제작사양서" xfId="3025" xr:uid="{00000000-0005-0000-0000-0000270A0000}"/>
    <cellStyle name="3_산세약품소요량 _1,2제강 수처리설비 개선" xfId="3026" xr:uid="{00000000-0005-0000-0000-0000280A0000}"/>
    <cellStyle name="3_산세약품소요량 _1소결 소결기 하부 SEALING 장치" xfId="3027" xr:uid="{00000000-0005-0000-0000-0000290A0000}"/>
    <cellStyle name="3_산세약품소요량 _1제강 경동대" xfId="3028" xr:uid="{00000000-0005-0000-0000-00002A0A0000}"/>
    <cellStyle name="3_산세약품소요량 _1제강Ladle수리경동대증설" xfId="3029" xr:uid="{00000000-0005-0000-0000-00002B0A0000}"/>
    <cellStyle name="3_산세약품소요량 _1코크스 정제식용유 첨가장치 설치" xfId="3030" xr:uid="{00000000-0005-0000-0000-00002C0A0000}"/>
    <cellStyle name="3_산세약품소요량 _1후판유실기계" xfId="3031" xr:uid="{00000000-0005-0000-0000-00002D0A0000}"/>
    <cellStyle name="3_산세약품소요량 _20DECANT-A" xfId="3032" xr:uid="{00000000-0005-0000-0000-00002E0A0000}"/>
    <cellStyle name="3_산세약품소요량 _20DECANT-A_2연주 3연주기 공사비" xfId="3033" xr:uid="{00000000-0005-0000-0000-00002F0A0000}"/>
    <cellStyle name="3_산세약품소요량 _20DECANT-A_3열연 합리화 PBS체계 실적 공사비 분석표" xfId="3034" xr:uid="{00000000-0005-0000-0000-0000300A0000}"/>
    <cellStyle name="3_산세약품소요량 _20DECANT-A_G1RH3(본동)" xfId="3035" xr:uid="{00000000-0005-0000-0000-0000310A0000}"/>
    <cellStyle name="3_산세약품소요량 _20DECANT-A_G1RH3PBS(본동)" xfId="3036" xr:uid="{00000000-0005-0000-0000-0000320A0000}"/>
    <cellStyle name="3_산세약품소요량 _20DECANT-A_공사비분석" xfId="3037" xr:uid="{00000000-0005-0000-0000-0000330A0000}"/>
    <cellStyle name="3_산세약품소요량 _20DECANT-A_열연설계설명서" xfId="3038" xr:uid="{00000000-0005-0000-0000-0000340A0000}"/>
    <cellStyle name="3_산세약품소요량 _20DECANT-A_열연설계설명서_2차 예산산출기준_050927 (여기에 수정하십시요)" xfId="3039" xr:uid="{00000000-0005-0000-0000-0000350A0000}"/>
    <cellStyle name="3_산세약품소요량 _20DECANT-A_열연설계설명서_복사본 ISP 1115 수배전설비 투자비등록(전제사항)" xfId="3040" xr:uid="{00000000-0005-0000-0000-0000360A0000}"/>
    <cellStyle name="3_산세약품소요량 _20DECANT-A_열연설계설명서_복사본 ISP 1115 수배전설비 투자비등록(전제사항)_2차 예산산출기준_050927 (여기에 수정하십시요)" xfId="3041" xr:uid="{00000000-0005-0000-0000-0000370A0000}"/>
    <cellStyle name="3_산세약품소요량 _20DECANT-A_열연설계설명서_상세 견적내역(STS 냉연)" xfId="3042" xr:uid="{00000000-0005-0000-0000-0000380A0000}"/>
    <cellStyle name="3_산세약품소요량 _20DECANT-A_열연설계설명서_상세 견적내역(STS 냉연)_2차 예산산출기준_050927 (여기에 수정하십시요)" xfId="3043" xr:uid="{00000000-0005-0000-0000-0000390A0000}"/>
    <cellStyle name="3_산세약품소요량 _20DECANT-A_열연설계설명서_상세 견적내역(STS 냉연)_견적" xfId="3044" xr:uid="{00000000-0005-0000-0000-00003A0A0000}"/>
    <cellStyle name="3_산세약품소요량 _20DECANT-A_열연설계설명서_상세 견적내역(STS 냉연)_견적_2차 예산산출기준_050927 (여기에 수정하십시요)" xfId="3045" xr:uid="{00000000-0005-0000-0000-00003B0A0000}"/>
    <cellStyle name="3_산세약품소요량 _20DECANT-A_열연설계설명서_상세 견적내역(STS 냉연)_견적_복사본 ISP 1115 수배전설비 투자비등록(전제사항)" xfId="3046" xr:uid="{00000000-0005-0000-0000-00003C0A0000}"/>
    <cellStyle name="3_산세약품소요량 _20DECANT-A_열연설계설명서_상세 견적내역(STS 냉연)_견적_복사본 ISP 1115 수배전설비 투자비등록(전제사항)_2차 예산산출기준_050927 (여기에 수정하십시요)" xfId="3047" xr:uid="{00000000-0005-0000-0000-00003D0A0000}"/>
    <cellStyle name="3_산세약품소요량 _20DECANT-A_열연설계설명서_상세 견적내역(STS 냉연)_견적서구매팀(020803)" xfId="3048" xr:uid="{00000000-0005-0000-0000-00003E0A0000}"/>
    <cellStyle name="3_산세약품소요량 _20DECANT-A_열연설계설명서_상세 견적내역(STS 냉연)_견적서구매팀(020803)_2차 예산산출기준_050927 (여기에 수정하십시요)" xfId="3049" xr:uid="{00000000-0005-0000-0000-00003F0A0000}"/>
    <cellStyle name="3_산세약품소요량 _20DECANT-A_열연설계설명서_상세 견적내역(STS 냉연)_견적서구매팀(020803)_복사본 ISP 1115 수배전설비 투자비등록(전제사항)" xfId="3050" xr:uid="{00000000-0005-0000-0000-0000400A0000}"/>
    <cellStyle name="3_산세약품소요량 _20DECANT-A_열연설계설명서_상세 견적내역(STS 냉연)_견적서구매팀(020803)_복사본 ISP 1115 수배전설비 투자비등록(전제사항)_2차 예산산출기준_050927 (여기에 수정하십시요)" xfId="3051" xr:uid="{00000000-0005-0000-0000-0000410A0000}"/>
    <cellStyle name="3_산세약품소요량 _20DECANT-A_열연설계설명서_상세 견적내역(STS 냉연)_복사본 ISP 1115 수배전설비 투자비등록(전제사항)" xfId="3052" xr:uid="{00000000-0005-0000-0000-0000420A0000}"/>
    <cellStyle name="3_산세약품소요량 _20DECANT-A_열연설계설명서_상세 견적내역(STS 냉연)_복사본 ISP 1115 수배전설비 투자비등록(전제사항)_2차 예산산출기준_050927 (여기에 수정하십시요)" xfId="3053" xr:uid="{00000000-0005-0000-0000-0000430A0000}"/>
    <cellStyle name="3_산세약품소요량 _20DECANT-A_열연설계설명서_상세 견적내역(STS 냉연)_상세 견적내역(STS 냉연020406)1" xfId="3054" xr:uid="{00000000-0005-0000-0000-0000440A0000}"/>
    <cellStyle name="3_산세약품소요량 _20DECANT-A_열연설계설명서_상세 견적내역(STS 냉연)_상세 견적내역(STS 냉연020406)1_2차 예산산출기준_050927 (여기에 수정하십시요)" xfId="3055" xr:uid="{00000000-0005-0000-0000-0000450A0000}"/>
    <cellStyle name="3_산세약품소요량 _20DECANT-A_열연설계설명서_상세 견적내역(STS 냉연)_상세 견적내역(STS 냉연020406)1_복사본 ISP 1115 수배전설비 투자비등록(전제사항)" xfId="3056" xr:uid="{00000000-0005-0000-0000-0000460A0000}"/>
    <cellStyle name="3_산세약품소요량 _20DECANT-A_열연설계설명서_상세 견적내역(STS 냉연)_상세 견적내역(STS 냉연020406)1_복사본 ISP 1115 수배전설비 투자비등록(전제사항)_2차 예산산출기준_050927 (여기에 수정하십시요)" xfId="3057" xr:uid="{00000000-0005-0000-0000-0000470A0000}"/>
    <cellStyle name="3_산세약품소요량 _20DECANT-A_열연설계설명서_상세 견적내역(STS 냉연)_상세견적내역 (흠탐상기)" xfId="3058" xr:uid="{00000000-0005-0000-0000-0000480A0000}"/>
    <cellStyle name="3_산세약품소요량 _20DECANT-A_열연설계설명서_상세 견적내역(STS 냉연)_상세견적내역 (흠탐상기)_2차 예산산출기준_050927 (여기에 수정하십시요)" xfId="3059" xr:uid="{00000000-0005-0000-0000-0000490A0000}"/>
    <cellStyle name="3_산세약품소요량 _20DECANT-A_열연설계설명서_상세 견적내역(STS 냉연)_상세견적내역 (흠탐상기)_복사본 ISP 1115 수배전설비 투자비등록(전제사항)" xfId="3060" xr:uid="{00000000-0005-0000-0000-00004A0A0000}"/>
    <cellStyle name="3_산세약품소요량 _20DECANT-A_열연설계설명서_상세 견적내역(STS 냉연)_상세견적내역 (흠탐상기)_복사본 ISP 1115 수배전설비 투자비등록(전제사항)_2차 예산산출기준_050927 (여기에 수정하십시요)" xfId="3061" xr:uid="{00000000-0005-0000-0000-00004B0A0000}"/>
    <cellStyle name="3_산세약품소요량 _20DECANT-A_열연설계설명서_상세 견적내역(STS 냉연)_수처리 상세 견적내역(020524)" xfId="3062" xr:uid="{00000000-0005-0000-0000-00004C0A0000}"/>
    <cellStyle name="3_산세약품소요량 _20DECANT-C" xfId="3063" xr:uid="{00000000-0005-0000-0000-00004D0A0000}"/>
    <cellStyle name="3_산세약품소요량 _20DECANT-C_2연주 3연주기 공사비" xfId="3064" xr:uid="{00000000-0005-0000-0000-00004E0A0000}"/>
    <cellStyle name="3_산세약품소요량 _20DECANT-C_3열연 합리화 PBS체계 실적 공사비 분석표" xfId="3065" xr:uid="{00000000-0005-0000-0000-00004F0A0000}"/>
    <cellStyle name="3_산세약품소요량 _20DECANT-C_G1RH3(본동)" xfId="3066" xr:uid="{00000000-0005-0000-0000-0000500A0000}"/>
    <cellStyle name="3_산세약품소요량 _20DECANT-C_G1RH3PBS(본동)" xfId="3067" xr:uid="{00000000-0005-0000-0000-0000510A0000}"/>
    <cellStyle name="3_산세약품소요량 _20DECANT-C_공사비분석" xfId="3068" xr:uid="{00000000-0005-0000-0000-0000520A0000}"/>
    <cellStyle name="3_산세약품소요량 _20DECANT-사양서" xfId="3069" xr:uid="{00000000-0005-0000-0000-0000530A0000}"/>
    <cellStyle name="3_산세약품소요량 _2가열로설계서(전기신설)" xfId="3070" xr:uid="{00000000-0005-0000-0000-0000540A0000}"/>
    <cellStyle name="3_산세약품소요량 _2냉연 #3CAL FURNACE PYROMETER 개체-REV1" xfId="3071" xr:uid="{00000000-0005-0000-0000-0000550A0000}"/>
    <cellStyle name="3_산세약품소요량 _2선재 COMP'" xfId="3072" xr:uid="{00000000-0005-0000-0000-0000560A0000}"/>
    <cellStyle name="3_산세약품소요량 _2소결 S35R BC 쌍 CHUTE" xfId="3073" xr:uid="{00000000-0005-0000-0000-0000570A0000}"/>
    <cellStyle name="3_산세약품소요량 _2연주 3연주기 공사비" xfId="3074" xr:uid="{00000000-0005-0000-0000-0000580A0000}"/>
    <cellStyle name="3_산세약품소요량 _2연주 SLAB G-M" xfId="3075" xr:uid="{00000000-0005-0000-0000-0000590A0000}"/>
    <cellStyle name="3_산세약품소요량 _2열연FM설계서" xfId="3076" xr:uid="{00000000-0005-0000-0000-00005A0A0000}"/>
    <cellStyle name="3_산세약품소요량 _2열연-rev2" xfId="3077" xr:uid="{00000000-0005-0000-0000-00005B0A0000}"/>
    <cellStyle name="3_산세약품소요량 _2제강 AUTO FILTER" xfId="3078" xr:uid="{00000000-0005-0000-0000-00005C0A0000}"/>
    <cellStyle name="3_산세약품소요량 _2코크스 3기 로체 열화설비 교체" xfId="3079" xr:uid="{00000000-0005-0000-0000-00005D0A0000}"/>
    <cellStyle name="3_산세약품소요량 _39(신설)" xfId="3080" xr:uid="{00000000-0005-0000-0000-00005E0A0000}"/>
    <cellStyle name="3_산세약품소요량 _3기 SUB ECONOMIZER" xfId="3081" xr:uid="{00000000-0005-0000-0000-00005F0A0000}"/>
    <cellStyle name="3_산세약품소요량 _3기선탄 유체커플링" xfId="3082" xr:uid="{00000000-0005-0000-0000-0000600A0000}"/>
    <cellStyle name="3_산세약품소요량 _3열연 합리화 PBS체계 실적 공사비 분석표" xfId="3083" xr:uid="{00000000-0005-0000-0000-0000610A0000}"/>
    <cellStyle name="3_산세약품소요량 _3후판 UST" xfId="3084" xr:uid="{00000000-0005-0000-0000-0000620A0000}"/>
    <cellStyle name="3_산세약품소요량 _4-2기 BFG 배관교체" xfId="3085" xr:uid="{00000000-0005-0000-0000-0000630A0000}"/>
    <cellStyle name="3_산세약품소요량 _72" xfId="3086" xr:uid="{00000000-0005-0000-0000-0000640A0000}"/>
    <cellStyle name="3_산세약품소요량 _A-302B.C" xfId="3087" xr:uid="{00000000-0005-0000-0000-0000650A0000}"/>
    <cellStyle name="3_산세약품소요량 _AIR CON___" xfId="3088" xr:uid="{00000000-0005-0000-0000-0000660A0000}"/>
    <cellStyle name="3_산세약품소요량 _b" xfId="3089" xr:uid="{00000000-0005-0000-0000-0000670A0000}"/>
    <cellStyle name="3_산세약품소요량 _b_2연주 3연주기 공사비" xfId="3090" xr:uid="{00000000-0005-0000-0000-0000680A0000}"/>
    <cellStyle name="3_산세약품소요량 _b_3열연 합리화 PBS체계 실적 공사비 분석표" xfId="3091" xr:uid="{00000000-0005-0000-0000-0000690A0000}"/>
    <cellStyle name="3_산세약품소요량 _b_G1RH3(본동)" xfId="3092" xr:uid="{00000000-0005-0000-0000-00006A0A0000}"/>
    <cellStyle name="3_산세약품소요량 _b_G1RH3PBS(본동)" xfId="3093" xr:uid="{00000000-0005-0000-0000-00006B0A0000}"/>
    <cellStyle name="3_산세약품소요량 _b_공사비분석" xfId="3094" xr:uid="{00000000-0005-0000-0000-00006C0A0000}"/>
    <cellStyle name="3_산세약품소요량 _CABLE TRUSS" xfId="3095" xr:uid="{00000000-0005-0000-0000-00006D0A0000}"/>
    <cellStyle name="3_산세약품소요량 _FINEX COLD HCL 장입" xfId="3096" xr:uid="{00000000-0005-0000-0000-00006E0A0000}"/>
    <cellStyle name="3_산세약품소요량 _G1RH3(본동)" xfId="3097" xr:uid="{00000000-0005-0000-0000-00006F0A0000}"/>
    <cellStyle name="3_산세약품소요량 _G1RH3PBS(본동)" xfId="3098" xr:uid="{00000000-0005-0000-0000-0000700A0000}"/>
    <cellStyle name="3_산세약품소요량 _Ladle배관물량산출" xfId="3099" xr:uid="{00000000-0005-0000-0000-0000710A0000}"/>
    <cellStyle name="3_산세약품소요량 _lbt" xfId="3100" xr:uid="{00000000-0005-0000-0000-0000720A0000}"/>
    <cellStyle name="3_산세약품소요량 _PUMP교체 자재 및 보온" xfId="3101" xr:uid="{00000000-0005-0000-0000-0000730A0000}"/>
    <cellStyle name="3_산세약품소요량 _SPM기계" xfId="3102" xr:uid="{00000000-0005-0000-0000-0000740A0000}"/>
    <cellStyle name="3_산세약품소요량 _STS 1제강 고압 COMPRESSOR" xfId="3103" xr:uid="{00000000-0005-0000-0000-0000750A0000}"/>
    <cellStyle name="3_산세약품소요량 _sts냉연spm" xfId="3104" xr:uid="{00000000-0005-0000-0000-0000760A0000}"/>
    <cellStyle name="3_산세약품소요량 _SUB ECO'배관물량" xfId="3105" xr:uid="{00000000-0005-0000-0000-0000770A0000}"/>
    <cellStyle name="3_산세약품소요량 _THICKENER" xfId="3106" xr:uid="{00000000-0005-0000-0000-0000780A0000}"/>
    <cellStyle name="3_산세약품소요량 _VOC 방출방지(2차공사)" xfId="3107" xr:uid="{00000000-0005-0000-0000-0000790A0000}"/>
    <cellStyle name="3_산세약품소요량 _강편유압연장치" xfId="3108" xr:uid="{00000000-0005-0000-0000-00007A0A0000}"/>
    <cellStyle name="3_산세약품소요량 _고압안수" xfId="3109" xr:uid="{00000000-0005-0000-0000-00007B0A0000}"/>
    <cellStyle name="3_산세약품소요량 _공사비내역서" xfId="3110" xr:uid="{00000000-0005-0000-0000-00007C0A0000}"/>
    <cellStyle name="3_산세약품소요량 _공사비내역서_040617" xfId="3111" xr:uid="{00000000-0005-0000-0000-00007D0A0000}"/>
    <cellStyle name="3_산세약품소요량 _공사비내역서_070111" xfId="3112" xr:uid="{00000000-0005-0000-0000-00007E0A0000}"/>
    <cellStyle name="3_산세약품소요량 _공사비분석" xfId="3113" xr:uid="{00000000-0005-0000-0000-00007F0A0000}"/>
    <cellStyle name="3_산세약품소요량 _공장제작" xfId="3114" xr:uid="{00000000-0005-0000-0000-0000800A0000}"/>
    <cellStyle name="3_산세약품소요량 _광) 5소결 철거물량 집계표(세화)_20080123" xfId="3115" xr:uid="{00000000-0005-0000-0000-0000810A0000}"/>
    <cellStyle name="3_산세약품소요량 _광양COAL" xfId="3116" xr:uid="{00000000-0005-0000-0000-0000820A0000}"/>
    <cellStyle name="3_산세약품소요량 _기계설계서" xfId="3117" xr:uid="{00000000-0005-0000-0000-0000830A0000}"/>
    <cellStyle name="3_산세약품소요량 _냉연계측설계서 POSCON (1001)" xfId="3118" xr:uid="{00000000-0005-0000-0000-0000840A0000}"/>
    <cellStyle name="3_산세약품소요량 _동력과 수소 #1,2 COG  COMP'" xfId="3119" xr:uid="{00000000-0005-0000-0000-0000850A0000}"/>
    <cellStyle name="3_산세약품소요량 _배열회수" xfId="3120" xr:uid="{00000000-0005-0000-0000-0000860A0000}"/>
    <cellStyle name="3_산세약품소요량 _보온공사" xfId="3121" xr:uid="{00000000-0005-0000-0000-0000870A0000}"/>
    <cellStyle name="3_산세약품소요량 _보온산출" xfId="3122" xr:uid="{00000000-0005-0000-0000-0000880A0000}"/>
    <cellStyle name="3_산세약품소요량 _산세물량산출Format" xfId="3123" xr:uid="{00000000-0005-0000-0000-0000890A0000}"/>
    <cellStyle name="3_산세약품소요량 _석회 분석회석" xfId="3124" xr:uid="{00000000-0005-0000-0000-00008A0A0000}"/>
    <cellStyle name="3_산세약품소요량 _설계서" xfId="3125" xr:uid="{00000000-0005-0000-0000-00008B0A0000}"/>
    <cellStyle name="3_산세약품소요량 _설계서 설명서" xfId="3126" xr:uid="{00000000-0005-0000-0000-00008C0A0000}"/>
    <cellStyle name="3_산세약품소요량 _설계서_041130" xfId="3127" xr:uid="{00000000-0005-0000-0000-00008D0A0000}"/>
    <cellStyle name="3_산세약품소요량 _설계서표지" xfId="3128" xr:uid="{00000000-0005-0000-0000-00008E0A0000}"/>
    <cellStyle name="3_산세약품소요량 _소결 점화로 부대장치 개선" xfId="3129" xr:uid="{00000000-0005-0000-0000-00008F0A0000}"/>
    <cellStyle name="3_산세약품소요량 _소둔 산출서" xfId="3130" xr:uid="{00000000-0005-0000-0000-0000900A0000}"/>
    <cellStyle name="3_산세약품소요량 _수량 산출서_040806" xfId="3131" xr:uid="{00000000-0005-0000-0000-0000910A0000}"/>
    <cellStyle name="3_산세약품소요량 _수량산출서" xfId="3132" xr:uid="{00000000-0005-0000-0000-0000920A0000}"/>
    <cellStyle name="3_산세약품소요량 _수량서_040713" xfId="3133" xr:uid="{00000000-0005-0000-0000-0000930A0000}"/>
    <cellStyle name="3_산세약품소요량 _압연수처리 함유설비(FINAL)" xfId="3134" xr:uid="{00000000-0005-0000-0000-0000940A0000}"/>
    <cellStyle name="3_산세약품소요량 _연소방재" xfId="3135" xr:uid="{00000000-0005-0000-0000-0000950A0000}"/>
    <cellStyle name="3_산세약품소요량 _전고로 MUD 예열장치" xfId="3136" xr:uid="{00000000-0005-0000-0000-0000960A0000}"/>
    <cellStyle name="3_산세약품소요량 _전기강판산회수합리화" xfId="3137" xr:uid="{00000000-0005-0000-0000-0000970A0000}"/>
    <cellStyle name="3_산세약품소요량 _제강연주 AIR CON 설치" xfId="3138" xr:uid="{00000000-0005-0000-0000-0000980A0000}"/>
    <cellStyle name="3_산세약품소요량 _제작사양서" xfId="3139" xr:uid="{00000000-0005-0000-0000-0000990A0000}"/>
    <cellStyle name="3_산세약품소요량 _창원특수강 산세공장 원가계산서" xfId="3140" xr:uid="{00000000-0005-0000-0000-00009A0A0000}"/>
    <cellStyle name="3_산세약품소요량 _화4-2기" xfId="3141" xr:uid="{00000000-0005-0000-0000-00009B0A0000}"/>
    <cellStyle name="3_산세약품소요량 _화4기" xfId="3142" xr:uid="{00000000-0005-0000-0000-00009C0A0000}"/>
    <cellStyle name="3_산세약품소요량 _화성VAPOR포집" xfId="3143" xr:uid="{00000000-0005-0000-0000-00009D0A0000}"/>
    <cellStyle name="3_산세약품소요량 _화성VAPOR포집(1차공사)" xfId="3144" xr:uid="{00000000-0005-0000-0000-00009E0A0000}"/>
    <cellStyle name="3_산세약품소요량 _화성VAPOR포집(2차공사)" xfId="3145" xr:uid="{00000000-0005-0000-0000-00009F0A0000}"/>
    <cellStyle name="3_산세약품소요량 _화성열교환기" xfId="3146" xr:uid="{00000000-0005-0000-0000-0000A00A0000}"/>
    <cellStyle name="3_산세약품소요량 _화성열화설비교체" xfId="3147" xr:uid="{00000000-0005-0000-0000-0000A10A0000}"/>
    <cellStyle name="3_신제선공장(최종산출서)" xfId="3148" xr:uid="{00000000-0005-0000-0000-0000A20A0000}"/>
    <cellStyle name="3_옥내배관" xfId="3149" xr:uid="{00000000-0005-0000-0000-0000A30A0000}"/>
    <cellStyle name="3_포철산기래들경동대" xfId="3150" xr:uid="{00000000-0005-0000-0000-0000A40A0000}"/>
    <cellStyle name="³£¹æ_inquiry_bq_hvac" xfId="3151" xr:uid="{00000000-0005-0000-0000-0000A50A0000}"/>
    <cellStyle name="333" xfId="3152" xr:uid="{00000000-0005-0000-0000-0000A60A0000}"/>
    <cellStyle name="333 2" xfId="47153" xr:uid="{00000000-0005-0000-0000-0000A70A0000}"/>
    <cellStyle name="333 3" xfId="42482" xr:uid="{00000000-0005-0000-0000-0000A80A0000}"/>
    <cellStyle name="40% - Accent1" xfId="3153" xr:uid="{00000000-0005-0000-0000-0000A90A0000}"/>
    <cellStyle name="40% - Accent2" xfId="3154" xr:uid="{00000000-0005-0000-0000-0000AA0A0000}"/>
    <cellStyle name="40% - Accent3" xfId="3155" xr:uid="{00000000-0005-0000-0000-0000AB0A0000}"/>
    <cellStyle name="40% - Accent4" xfId="3156" xr:uid="{00000000-0005-0000-0000-0000AC0A0000}"/>
    <cellStyle name="40% - Accent5" xfId="3157" xr:uid="{00000000-0005-0000-0000-0000AD0A0000}"/>
    <cellStyle name="40% - Accent6" xfId="3158" xr:uid="{00000000-0005-0000-0000-0000AE0A0000}"/>
    <cellStyle name="40% - Ênfase1 2" xfId="275" xr:uid="{00000000-0005-0000-0000-0000AF0A0000}"/>
    <cellStyle name="40% - Ênfase1 2 2" xfId="3159" xr:uid="{00000000-0005-0000-0000-0000B00A0000}"/>
    <cellStyle name="40% - Ênfase1 2 3" xfId="358" xr:uid="{00000000-0005-0000-0000-0000B10A0000}"/>
    <cellStyle name="40% - Ênfase1 3" xfId="3160" xr:uid="{00000000-0005-0000-0000-0000B20A0000}"/>
    <cellStyle name="40% - Ênfase2 2" xfId="276" xr:uid="{00000000-0005-0000-0000-0000B30A0000}"/>
    <cellStyle name="40% - Ênfase2 2 2" xfId="3161" xr:uid="{00000000-0005-0000-0000-0000B40A0000}"/>
    <cellStyle name="40% - Ênfase2 2 3" xfId="359" xr:uid="{00000000-0005-0000-0000-0000B50A0000}"/>
    <cellStyle name="40% - Ênfase2 3" xfId="3162" xr:uid="{00000000-0005-0000-0000-0000B60A0000}"/>
    <cellStyle name="40% - Ênfase3 2" xfId="277" xr:uid="{00000000-0005-0000-0000-0000B70A0000}"/>
    <cellStyle name="40% - Ênfase3 2 2" xfId="3163" xr:uid="{00000000-0005-0000-0000-0000B80A0000}"/>
    <cellStyle name="40% - Ênfase3 2 3" xfId="360" xr:uid="{00000000-0005-0000-0000-0000B90A0000}"/>
    <cellStyle name="40% - Ênfase3 3" xfId="3164" xr:uid="{00000000-0005-0000-0000-0000BA0A0000}"/>
    <cellStyle name="40% - Ênfase4 2" xfId="278" xr:uid="{00000000-0005-0000-0000-0000BB0A0000}"/>
    <cellStyle name="40% - Ênfase4 2 2" xfId="3165" xr:uid="{00000000-0005-0000-0000-0000BC0A0000}"/>
    <cellStyle name="40% - Ênfase4 2 3" xfId="361" xr:uid="{00000000-0005-0000-0000-0000BD0A0000}"/>
    <cellStyle name="40% - Ênfase4 3" xfId="3166" xr:uid="{00000000-0005-0000-0000-0000BE0A0000}"/>
    <cellStyle name="40% - Ênfase5 2" xfId="279" xr:uid="{00000000-0005-0000-0000-0000BF0A0000}"/>
    <cellStyle name="40% - Ênfase5 2 2" xfId="3167" xr:uid="{00000000-0005-0000-0000-0000C00A0000}"/>
    <cellStyle name="40% - Ênfase5 2 3" xfId="362" xr:uid="{00000000-0005-0000-0000-0000C10A0000}"/>
    <cellStyle name="40% - Ênfase5 3" xfId="3168" xr:uid="{00000000-0005-0000-0000-0000C20A0000}"/>
    <cellStyle name="40% - Ênfase6 2" xfId="280" xr:uid="{00000000-0005-0000-0000-0000C30A0000}"/>
    <cellStyle name="40% - Ênfase6 2 2" xfId="3169" xr:uid="{00000000-0005-0000-0000-0000C40A0000}"/>
    <cellStyle name="40% - Ênfase6 2 3" xfId="363" xr:uid="{00000000-0005-0000-0000-0000C50A0000}"/>
    <cellStyle name="40% - Ênfase6 3" xfId="3170" xr:uid="{00000000-0005-0000-0000-0000C60A0000}"/>
    <cellStyle name="40% - アクセント 1" xfId="3171" xr:uid="{00000000-0005-0000-0000-0000C70A0000}"/>
    <cellStyle name="40% - アクセント 1 2" xfId="3172" xr:uid="{00000000-0005-0000-0000-0000C80A0000}"/>
    <cellStyle name="40% - アクセント 1 2 2" xfId="3173" xr:uid="{00000000-0005-0000-0000-0000C90A0000}"/>
    <cellStyle name="40% - アクセント 1 2_2011.02.24-Plumbing, HVAC &amp; Fire Fighting Works-동별산출(수정)" xfId="3174" xr:uid="{00000000-0005-0000-0000-0000CA0A0000}"/>
    <cellStyle name="40% - アクセント 2" xfId="3175" xr:uid="{00000000-0005-0000-0000-0000CB0A0000}"/>
    <cellStyle name="40% - アクセント 2 2" xfId="3176" xr:uid="{00000000-0005-0000-0000-0000CC0A0000}"/>
    <cellStyle name="40% - アクセント 2 2 2" xfId="3177" xr:uid="{00000000-0005-0000-0000-0000CD0A0000}"/>
    <cellStyle name="40% - アクセント 2 2_2011.02.24-Plumbing, HVAC &amp; Fire Fighting Works-동별산출(수정)" xfId="3178" xr:uid="{00000000-0005-0000-0000-0000CE0A0000}"/>
    <cellStyle name="40% - アクセント 3" xfId="3179" xr:uid="{00000000-0005-0000-0000-0000CF0A0000}"/>
    <cellStyle name="40% - アクセント 3 2" xfId="3180" xr:uid="{00000000-0005-0000-0000-0000D00A0000}"/>
    <cellStyle name="40% - アクセント 3 2 2" xfId="3181" xr:uid="{00000000-0005-0000-0000-0000D10A0000}"/>
    <cellStyle name="40% - アクセント 3 2_2011.02.24-Plumbing, HVAC &amp; Fire Fighting Works-동별산출(수정)" xfId="3182" xr:uid="{00000000-0005-0000-0000-0000D20A0000}"/>
    <cellStyle name="40% - アクセント 4" xfId="3183" xr:uid="{00000000-0005-0000-0000-0000D30A0000}"/>
    <cellStyle name="40% - アクセント 4 2" xfId="3184" xr:uid="{00000000-0005-0000-0000-0000D40A0000}"/>
    <cellStyle name="40% - アクセント 4 2 2" xfId="3185" xr:uid="{00000000-0005-0000-0000-0000D50A0000}"/>
    <cellStyle name="40% - アクセント 4 2_2011.02.24-Plumbing, HVAC &amp; Fire Fighting Works-동별산출(수정)" xfId="3186" xr:uid="{00000000-0005-0000-0000-0000D60A0000}"/>
    <cellStyle name="40% - アクセント 5" xfId="3187" xr:uid="{00000000-0005-0000-0000-0000D70A0000}"/>
    <cellStyle name="40% - アクセント 5 2" xfId="3188" xr:uid="{00000000-0005-0000-0000-0000D80A0000}"/>
    <cellStyle name="40% - アクセント 5 2 2" xfId="3189" xr:uid="{00000000-0005-0000-0000-0000D90A0000}"/>
    <cellStyle name="40% - アクセント 5 2_2011.02.24-Plumbing, HVAC &amp; Fire Fighting Works-동별산출(수정)" xfId="3190" xr:uid="{00000000-0005-0000-0000-0000DA0A0000}"/>
    <cellStyle name="40% - アクセント 6" xfId="3191" xr:uid="{00000000-0005-0000-0000-0000DB0A0000}"/>
    <cellStyle name="40% - アクセント 6 2" xfId="3192" xr:uid="{00000000-0005-0000-0000-0000DC0A0000}"/>
    <cellStyle name="40% - アクセント 6 2 2" xfId="3193" xr:uid="{00000000-0005-0000-0000-0000DD0A0000}"/>
    <cellStyle name="40% - アクセント 6 2_2011.02.24-Plumbing, HVAC &amp; Fire Fighting Works-동별산출(수정)" xfId="3194" xr:uid="{00000000-0005-0000-0000-0000DE0A0000}"/>
    <cellStyle name="40% - 강조색1 2" xfId="3195" xr:uid="{00000000-0005-0000-0000-0000DF0A0000}"/>
    <cellStyle name="40% - 강조색1 2 2" xfId="3196" xr:uid="{00000000-0005-0000-0000-0000E00A0000}"/>
    <cellStyle name="40% - 강조색1 3" xfId="3197" xr:uid="{00000000-0005-0000-0000-0000E10A0000}"/>
    <cellStyle name="40% - 강조색2 2" xfId="3198" xr:uid="{00000000-0005-0000-0000-0000E20A0000}"/>
    <cellStyle name="40% - 강조색3 2" xfId="3199" xr:uid="{00000000-0005-0000-0000-0000E30A0000}"/>
    <cellStyle name="40% - 강조색3 2 2" xfId="3200" xr:uid="{00000000-0005-0000-0000-0000E40A0000}"/>
    <cellStyle name="40% - 강조색3 3" xfId="3201" xr:uid="{00000000-0005-0000-0000-0000E50A0000}"/>
    <cellStyle name="40% - 강조색4 2" xfId="3202" xr:uid="{00000000-0005-0000-0000-0000E60A0000}"/>
    <cellStyle name="40% - 강조색4 2 2" xfId="3203" xr:uid="{00000000-0005-0000-0000-0000E70A0000}"/>
    <cellStyle name="40% - 강조색4 3" xfId="3204" xr:uid="{00000000-0005-0000-0000-0000E80A0000}"/>
    <cellStyle name="40% - 강조색5 2" xfId="3205" xr:uid="{00000000-0005-0000-0000-0000E90A0000}"/>
    <cellStyle name="40% - 강조색5 2 2" xfId="3206" xr:uid="{00000000-0005-0000-0000-0000EA0A0000}"/>
    <cellStyle name="40% - 강조색5 3" xfId="3207" xr:uid="{00000000-0005-0000-0000-0000EB0A0000}"/>
    <cellStyle name="40% - 강조색6 2" xfId="3208" xr:uid="{00000000-0005-0000-0000-0000EC0A0000}"/>
    <cellStyle name="40% - 강조색6 2 2" xfId="3209" xr:uid="{00000000-0005-0000-0000-0000ED0A0000}"/>
    <cellStyle name="40% - 강조색6 3" xfId="3210" xr:uid="{00000000-0005-0000-0000-0000EE0A0000}"/>
    <cellStyle name="44" xfId="3211" xr:uid="{00000000-0005-0000-0000-0000EF0A0000}"/>
    <cellStyle name="60" xfId="3212" xr:uid="{00000000-0005-0000-0000-0000F00A0000}"/>
    <cellStyle name="60% - Accent1" xfId="3213" xr:uid="{00000000-0005-0000-0000-0000F10A0000}"/>
    <cellStyle name="60% - Accent2" xfId="3214" xr:uid="{00000000-0005-0000-0000-0000F20A0000}"/>
    <cellStyle name="60% - Accent3" xfId="3215" xr:uid="{00000000-0005-0000-0000-0000F30A0000}"/>
    <cellStyle name="60% - Accent4" xfId="3216" xr:uid="{00000000-0005-0000-0000-0000F40A0000}"/>
    <cellStyle name="60% - Accent5" xfId="3217" xr:uid="{00000000-0005-0000-0000-0000F50A0000}"/>
    <cellStyle name="60% - Accent6" xfId="3218" xr:uid="{00000000-0005-0000-0000-0000F60A0000}"/>
    <cellStyle name="60% - Ênfase1 2" xfId="281" xr:uid="{00000000-0005-0000-0000-0000F70A0000}"/>
    <cellStyle name="60% - Ênfase1 2 2" xfId="364" xr:uid="{00000000-0005-0000-0000-0000F80A0000}"/>
    <cellStyle name="60% - Ênfase2 2" xfId="282" xr:uid="{00000000-0005-0000-0000-0000F90A0000}"/>
    <cellStyle name="60% - Ênfase2 2 2" xfId="365" xr:uid="{00000000-0005-0000-0000-0000FA0A0000}"/>
    <cellStyle name="60% - Ênfase3 2" xfId="283" xr:uid="{00000000-0005-0000-0000-0000FB0A0000}"/>
    <cellStyle name="60% - Ênfase3 2 2" xfId="366" xr:uid="{00000000-0005-0000-0000-0000FC0A0000}"/>
    <cellStyle name="60% - Ênfase4 2" xfId="284" xr:uid="{00000000-0005-0000-0000-0000FD0A0000}"/>
    <cellStyle name="60% - Ênfase4 2 2" xfId="367" xr:uid="{00000000-0005-0000-0000-0000FE0A0000}"/>
    <cellStyle name="60% - Ênfase5 2" xfId="285" xr:uid="{00000000-0005-0000-0000-0000FF0A0000}"/>
    <cellStyle name="60% - Ênfase5 2 2" xfId="368" xr:uid="{00000000-0005-0000-0000-0000000B0000}"/>
    <cellStyle name="60% - Ênfase6 2" xfId="286" xr:uid="{00000000-0005-0000-0000-0000010B0000}"/>
    <cellStyle name="60% - Ênfase6 2 2" xfId="369" xr:uid="{00000000-0005-0000-0000-0000020B0000}"/>
    <cellStyle name="60% - アクセント 1" xfId="3219" xr:uid="{00000000-0005-0000-0000-0000030B0000}"/>
    <cellStyle name="60% - アクセント 1 2" xfId="3220" xr:uid="{00000000-0005-0000-0000-0000040B0000}"/>
    <cellStyle name="60% - アクセント 1 2 2" xfId="3221" xr:uid="{00000000-0005-0000-0000-0000050B0000}"/>
    <cellStyle name="60% - アクセント 1 2_2011.02.24-Plumbing, HVAC &amp; Fire Fighting Works-동별산출(수정)" xfId="3222" xr:uid="{00000000-0005-0000-0000-0000060B0000}"/>
    <cellStyle name="60% - アクセント 2" xfId="3223" xr:uid="{00000000-0005-0000-0000-0000070B0000}"/>
    <cellStyle name="60% - アクセント 2 2" xfId="3224" xr:uid="{00000000-0005-0000-0000-0000080B0000}"/>
    <cellStyle name="60% - アクセント 2 2 2" xfId="3225" xr:uid="{00000000-0005-0000-0000-0000090B0000}"/>
    <cellStyle name="60% - アクセント 2 2_2011.02.24-Plumbing, HVAC &amp; Fire Fighting Works-동별산출(수정)" xfId="3226" xr:uid="{00000000-0005-0000-0000-00000A0B0000}"/>
    <cellStyle name="60% - アクセント 3" xfId="3227" xr:uid="{00000000-0005-0000-0000-00000B0B0000}"/>
    <cellStyle name="60% - アクセント 3 2" xfId="3228" xr:uid="{00000000-0005-0000-0000-00000C0B0000}"/>
    <cellStyle name="60% - アクセント 3 2 2" xfId="3229" xr:uid="{00000000-0005-0000-0000-00000D0B0000}"/>
    <cellStyle name="60% - アクセント 3 2_2011.02.24-Plumbing, HVAC &amp; Fire Fighting Works-동별산출(수정)" xfId="3230" xr:uid="{00000000-0005-0000-0000-00000E0B0000}"/>
    <cellStyle name="60% - アクセント 4" xfId="3231" xr:uid="{00000000-0005-0000-0000-00000F0B0000}"/>
    <cellStyle name="60% - アクセント 4 2" xfId="3232" xr:uid="{00000000-0005-0000-0000-0000100B0000}"/>
    <cellStyle name="60% - アクセント 4 2 2" xfId="3233" xr:uid="{00000000-0005-0000-0000-0000110B0000}"/>
    <cellStyle name="60% - アクセント 4 2_2011.02.24-Plumbing, HVAC &amp; Fire Fighting Works-동별산출(수정)" xfId="3234" xr:uid="{00000000-0005-0000-0000-0000120B0000}"/>
    <cellStyle name="60% - アクセント 5" xfId="3235" xr:uid="{00000000-0005-0000-0000-0000130B0000}"/>
    <cellStyle name="60% - アクセント 5 2" xfId="3236" xr:uid="{00000000-0005-0000-0000-0000140B0000}"/>
    <cellStyle name="60% - アクセント 5 2 2" xfId="3237" xr:uid="{00000000-0005-0000-0000-0000150B0000}"/>
    <cellStyle name="60% - アクセント 5 2_2011.02.24-Plumbing, HVAC &amp; Fire Fighting Works-동별산출(수정)" xfId="3238" xr:uid="{00000000-0005-0000-0000-0000160B0000}"/>
    <cellStyle name="60% - アクセント 6" xfId="3239" xr:uid="{00000000-0005-0000-0000-0000170B0000}"/>
    <cellStyle name="60% - アクセント 6 2" xfId="3240" xr:uid="{00000000-0005-0000-0000-0000180B0000}"/>
    <cellStyle name="60% - アクセント 6 2 2" xfId="3241" xr:uid="{00000000-0005-0000-0000-0000190B0000}"/>
    <cellStyle name="60% - アクセント 6 2_2011.02.24-Plumbing, HVAC &amp; Fire Fighting Works-동별산출(수정)" xfId="3242" xr:uid="{00000000-0005-0000-0000-00001A0B0000}"/>
    <cellStyle name="60% - 강조색1 2" xfId="3243" xr:uid="{00000000-0005-0000-0000-00001B0B0000}"/>
    <cellStyle name="60% - 강조색1 2 2" xfId="3244" xr:uid="{00000000-0005-0000-0000-00001C0B0000}"/>
    <cellStyle name="60% - 강조색1 3" xfId="3245" xr:uid="{00000000-0005-0000-0000-00001D0B0000}"/>
    <cellStyle name="60% - 강조색2 2" xfId="3246" xr:uid="{00000000-0005-0000-0000-00001E0B0000}"/>
    <cellStyle name="60% - 강조색2 2 2" xfId="3247" xr:uid="{00000000-0005-0000-0000-00001F0B0000}"/>
    <cellStyle name="60% - 강조색2 3" xfId="3248" xr:uid="{00000000-0005-0000-0000-0000200B0000}"/>
    <cellStyle name="60% - 강조색3 2" xfId="3249" xr:uid="{00000000-0005-0000-0000-0000210B0000}"/>
    <cellStyle name="60% - 강조색3 2 2" xfId="3250" xr:uid="{00000000-0005-0000-0000-0000220B0000}"/>
    <cellStyle name="60% - 강조색3 3" xfId="3251" xr:uid="{00000000-0005-0000-0000-0000230B0000}"/>
    <cellStyle name="60% - 강조색4 2" xfId="3252" xr:uid="{00000000-0005-0000-0000-0000240B0000}"/>
    <cellStyle name="60% - 강조색4 2 2" xfId="3253" xr:uid="{00000000-0005-0000-0000-0000250B0000}"/>
    <cellStyle name="60% - 강조색4 3" xfId="3254" xr:uid="{00000000-0005-0000-0000-0000260B0000}"/>
    <cellStyle name="60% - 강조색5 2" xfId="3255" xr:uid="{00000000-0005-0000-0000-0000270B0000}"/>
    <cellStyle name="60% - 강조색5 2 2" xfId="3256" xr:uid="{00000000-0005-0000-0000-0000280B0000}"/>
    <cellStyle name="60% - 강조색5 3" xfId="3257" xr:uid="{00000000-0005-0000-0000-0000290B0000}"/>
    <cellStyle name="60% - 강조색6 2" xfId="3258" xr:uid="{00000000-0005-0000-0000-00002A0B0000}"/>
    <cellStyle name="60% - 강조색6 2 2" xfId="3259" xr:uid="{00000000-0005-0000-0000-00002B0B0000}"/>
    <cellStyle name="60% - 강조색6 3" xfId="3260" xr:uid="{00000000-0005-0000-0000-00002C0B0000}"/>
    <cellStyle name="9.5" xfId="3261" xr:uid="{00000000-0005-0000-0000-00002D0B0000}"/>
    <cellStyle name="፺bʼōᎊb˜ō᎚b쌼ōᎪb쎄ōᎺb쎨ōᏊb쏄ōᏚb쏜ōᏪb̀ōᏺb̤ōᐊb͔ōᐚb΀ōᐪbΰōᐺb쏸ōᑊb쐨ōᑚb쑀ōᑪb쑜ōᑺb쑸ōᒊbЄōᒚbЬōᒪ" xfId="3262" xr:uid="{00000000-0005-0000-0000-00002E0B0000}"/>
    <cellStyle name="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" xfId="3263" xr:uid="{00000000-0005-0000-0000-00002F0B0000}"/>
    <cellStyle name="A¨­¢¬¢Ò [0]_¡Æ©¬Au¡íeAa" xfId="3264" xr:uid="{00000000-0005-0000-0000-0000300B0000}"/>
    <cellStyle name="A¨­￠￢￠O [0]_¨uoAa¨oCAu " xfId="3265" xr:uid="{00000000-0005-0000-0000-0000310B0000}"/>
    <cellStyle name="A¨­￠￢￠O_¨uoAa¨oCAu " xfId="3266" xr:uid="{00000000-0005-0000-0000-0000320B0000}"/>
    <cellStyle name="A¨­¢¬¢Ò_insul for equip(alt)" xfId="3267" xr:uid="{00000000-0005-0000-0000-0000330B0000}"/>
    <cellStyle name="a1" xfId="3268" xr:uid="{00000000-0005-0000-0000-0000340B0000}"/>
    <cellStyle name="A1 2" xfId="3269" xr:uid="{00000000-0005-0000-0000-0000350B0000}"/>
    <cellStyle name="A2" xfId="3270" xr:uid="{00000000-0005-0000-0000-0000360B0000}"/>
    <cellStyle name="A2 2" xfId="9724" xr:uid="{00000000-0005-0000-0000-0000370B0000}"/>
    <cellStyle name="A2 2 2" xfId="18926" xr:uid="{00000000-0005-0000-0000-0000380B0000}"/>
    <cellStyle name="A2 2 2 2" xfId="33213" xr:uid="{00000000-0005-0000-0000-0000390B0000}"/>
    <cellStyle name="A2 2 3" xfId="23893" xr:uid="{00000000-0005-0000-0000-00003A0B0000}"/>
    <cellStyle name="A2 2 4" xfId="47154" xr:uid="{00000000-0005-0000-0000-00003B0B0000}"/>
    <cellStyle name="A2 3" xfId="9719" xr:uid="{00000000-0005-0000-0000-00003C0B0000}"/>
    <cellStyle name="A2 3 2" xfId="18927" xr:uid="{00000000-0005-0000-0000-00003D0B0000}"/>
    <cellStyle name="A2 3 2 2" xfId="33208" xr:uid="{00000000-0005-0000-0000-00003E0B0000}"/>
    <cellStyle name="A2 3 3" xfId="47148" xr:uid="{00000000-0005-0000-0000-00003F0B0000}"/>
    <cellStyle name="A2 4" xfId="42483" xr:uid="{00000000-0005-0000-0000-0000400B0000}"/>
    <cellStyle name="A3" xfId="3271" xr:uid="{00000000-0005-0000-0000-0000410B0000}"/>
    <cellStyle name="A3 2" xfId="9725" xr:uid="{00000000-0005-0000-0000-0000420B0000}"/>
    <cellStyle name="A3 2 2" xfId="18928" xr:uid="{00000000-0005-0000-0000-0000430B0000}"/>
    <cellStyle name="A3 2 2 2" xfId="33214" xr:uid="{00000000-0005-0000-0000-0000440B0000}"/>
    <cellStyle name="A3 2 3" xfId="23894" xr:uid="{00000000-0005-0000-0000-0000450B0000}"/>
    <cellStyle name="A3 2 4" xfId="47155" xr:uid="{00000000-0005-0000-0000-0000460B0000}"/>
    <cellStyle name="A3 3" xfId="9718" xr:uid="{00000000-0005-0000-0000-0000470B0000}"/>
    <cellStyle name="A3 3 2" xfId="18929" xr:uid="{00000000-0005-0000-0000-0000480B0000}"/>
    <cellStyle name="A3 3 2 2" xfId="33207" xr:uid="{00000000-0005-0000-0000-0000490B0000}"/>
    <cellStyle name="A3 3 3" xfId="47147" xr:uid="{00000000-0005-0000-0000-00004A0B0000}"/>
    <cellStyle name="A3 4" xfId="42484" xr:uid="{00000000-0005-0000-0000-00004B0B0000}"/>
    <cellStyle name="A-9" xfId="3272" xr:uid="{00000000-0005-0000-0000-00004C0B0000}"/>
    <cellStyle name="ＡＡ" xfId="3273" xr:uid="{00000000-0005-0000-0000-00004D0B0000}"/>
    <cellStyle name="ABANG" xfId="3274" xr:uid="{00000000-0005-0000-0000-00004E0B0000}"/>
    <cellStyle name="Accent1" xfId="3275" xr:uid="{00000000-0005-0000-0000-00004F0B0000}"/>
    <cellStyle name="Accent2" xfId="3276" xr:uid="{00000000-0005-0000-0000-0000500B0000}"/>
    <cellStyle name="Accent3" xfId="3277" xr:uid="{00000000-0005-0000-0000-0000510B0000}"/>
    <cellStyle name="Accent4" xfId="3278" xr:uid="{00000000-0005-0000-0000-0000520B0000}"/>
    <cellStyle name="Accent5" xfId="3279" xr:uid="{00000000-0005-0000-0000-0000530B0000}"/>
    <cellStyle name="Accent6" xfId="3280" xr:uid="{00000000-0005-0000-0000-0000540B0000}"/>
    <cellStyle name="AeE­ [0]_ 2ÆAAþº° " xfId="3281" xr:uid="{00000000-0005-0000-0000-0000550B0000}"/>
    <cellStyle name="ÅëÈ­ [0]_´ë¿©ÀüÃ¼" xfId="3282" xr:uid="{00000000-0005-0000-0000-0000560B0000}"/>
    <cellStyle name="AeE­ [0]_´eAN°yC￥ " xfId="3283" xr:uid="{00000000-0005-0000-0000-0000570B0000}"/>
    <cellStyle name="ÅëÈ­ [0]_¸ÅÃâ" xfId="3284" xr:uid="{00000000-0005-0000-0000-0000580B0000}"/>
    <cellStyle name="AeE­ [0]_¿￢AO Eng'g CA·IA§ÆRÆA " xfId="3285" xr:uid="{00000000-0005-0000-0000-0000590B0000}"/>
    <cellStyle name="ÅëÈ­ [0]_°è¾àÇöÈ²" xfId="3286" xr:uid="{00000000-0005-0000-0000-00005A0B0000}"/>
    <cellStyle name="AeE­ [0]_½C¿¹PL " xfId="3287" xr:uid="{00000000-0005-0000-0000-00005B0B0000}"/>
    <cellStyle name="ÅëÈ­ [0]_7°èÈ¹ " xfId="3288" xr:uid="{00000000-0005-0000-0000-00005C0B0000}"/>
    <cellStyle name="AeE­ [0]_AMT " xfId="3289" xr:uid="{00000000-0005-0000-0000-00005D0B0000}"/>
    <cellStyle name="ÅëÈ­ [0]_capa8x16x" xfId="3290" xr:uid="{00000000-0005-0000-0000-00005E0B0000}"/>
    <cellStyle name="AeE­ [0]_INQUIRY ¿μ¾÷AßAø " xfId="3291" xr:uid="{00000000-0005-0000-0000-00005F0B0000}"/>
    <cellStyle name="ÅëÈ­ [0]_insul for piping(process)" xfId="3292" xr:uid="{00000000-0005-0000-0000-0000600B0000}"/>
    <cellStyle name="AeE­_ 2ÆAAþº° " xfId="3293" xr:uid="{00000000-0005-0000-0000-0000610B0000}"/>
    <cellStyle name="ÅëÈ­_´ë¿©ÀüÃ¼" xfId="3294" xr:uid="{00000000-0005-0000-0000-0000620B0000}"/>
    <cellStyle name="AeE­_´eAN°yC￥ " xfId="3295" xr:uid="{00000000-0005-0000-0000-0000630B0000}"/>
    <cellStyle name="ÅëÈ­_¸ÅÃâ" xfId="3296" xr:uid="{00000000-0005-0000-0000-0000640B0000}"/>
    <cellStyle name="AeE­_¿￢AO Eng'g CA·IA§ÆRÆA " xfId="3297" xr:uid="{00000000-0005-0000-0000-0000650B0000}"/>
    <cellStyle name="ÅëÈ­_°è¾àÇöÈ²" xfId="3298" xr:uid="{00000000-0005-0000-0000-0000660B0000}"/>
    <cellStyle name="AeE­_½C¿¹PL " xfId="3299" xr:uid="{00000000-0005-0000-0000-0000670B0000}"/>
    <cellStyle name="ÅëÈ­_7°èÈ¹ " xfId="3300" xr:uid="{00000000-0005-0000-0000-0000680B0000}"/>
    <cellStyle name="AeE­_AMT " xfId="3301" xr:uid="{00000000-0005-0000-0000-0000690B0000}"/>
    <cellStyle name="ÅëÈ­_capa8x16x" xfId="3302" xr:uid="{00000000-0005-0000-0000-00006A0B0000}"/>
    <cellStyle name="AeE­_INQUIRY ¿μ¾÷AßAø " xfId="3303" xr:uid="{00000000-0005-0000-0000-00006B0B0000}"/>
    <cellStyle name="ÅëÈ­_insul for piping(process)" xfId="3304" xr:uid="{00000000-0005-0000-0000-00006C0B0000}"/>
    <cellStyle name="AeE¡© [0]_insul for equip(alt)" xfId="3305" xr:uid="{00000000-0005-0000-0000-00006D0B0000}"/>
    <cellStyle name="AeE¡©_insul for equip(alt)" xfId="3306" xr:uid="{00000000-0005-0000-0000-00006E0B0000}"/>
    <cellStyle name="AeE¡ⓒ [0]_¨uoAa¨oCAu " xfId="3307" xr:uid="{00000000-0005-0000-0000-00006F0B0000}"/>
    <cellStyle name="AeE¡ⓒ_¨uoAa¨oCAu " xfId="3308" xr:uid="{00000000-0005-0000-0000-0000700B0000}"/>
    <cellStyle name="alert" xfId="3309" xr:uid="{00000000-0005-0000-0000-0000710B0000}"/>
    <cellStyle name="ALIGNMENT" xfId="3310" xr:uid="{00000000-0005-0000-0000-0000720B0000}"/>
    <cellStyle name="args.style" xfId="3311" xr:uid="{00000000-0005-0000-0000-0000730B0000}"/>
    <cellStyle name="ARIAL" xfId="38" xr:uid="{00000000-0005-0000-0000-0000740B0000}"/>
    <cellStyle name="ARIAL-10" xfId="3312" xr:uid="{00000000-0005-0000-0000-0000750B0000}"/>
    <cellStyle name="ARIAL-8" xfId="3313" xr:uid="{00000000-0005-0000-0000-0000760B0000}"/>
    <cellStyle name="aroux`" xfId="3314" xr:uid="{00000000-0005-0000-0000-0000770B0000}"/>
    <cellStyle name="ÄÞ¸¶ [0]" xfId="3315" xr:uid="{00000000-0005-0000-0000-0000780B0000}"/>
    <cellStyle name="AÞ¸¶ [0]_ 2ÆAAþº° " xfId="3316" xr:uid="{00000000-0005-0000-0000-0000790B0000}"/>
    <cellStyle name="ÄÞ¸¶ [0]_´ë¿©ÀüÃ¼" xfId="3317" xr:uid="{00000000-0005-0000-0000-00007A0B0000}"/>
    <cellStyle name="AÞ¸¶ [0]_´eAN°yC￥ " xfId="3318" xr:uid="{00000000-0005-0000-0000-00007B0B0000}"/>
    <cellStyle name="ÄÞ¸¶ [0]_¸ÅÃâ" xfId="3319" xr:uid="{00000000-0005-0000-0000-00007C0B0000}"/>
    <cellStyle name="AÞ¸¶ [0]_¿￢AO Eng'g CA·IA§ÆRÆA " xfId="3320" xr:uid="{00000000-0005-0000-0000-00007D0B0000}"/>
    <cellStyle name="ÄÞ¸¶ [0]_¿ø°¡" xfId="3321" xr:uid="{00000000-0005-0000-0000-00007E0B0000}"/>
    <cellStyle name="AÞ¸¶ [0]_°ßAu≫eAa" xfId="3322" xr:uid="{00000000-0005-0000-0000-00007F0B0000}"/>
    <cellStyle name="ÄÞ¸¶ [0]_7°èÈ¹ " xfId="3323" xr:uid="{00000000-0005-0000-0000-0000800B0000}"/>
    <cellStyle name="AÞ¸¶ [0]_AN°y(1.25) " xfId="3324" xr:uid="{00000000-0005-0000-0000-0000810B0000}"/>
    <cellStyle name="ÄÞ¸¶ [0]_capa8x16x" xfId="3325" xr:uid="{00000000-0005-0000-0000-0000820B0000}"/>
    <cellStyle name="AÞ¸¶ [0]_INQUIRY ¿μ¾÷AßAø " xfId="3326" xr:uid="{00000000-0005-0000-0000-0000830B0000}"/>
    <cellStyle name="ÄÞ¸¶ [0]_insul for piping(process)" xfId="3327" xr:uid="{00000000-0005-0000-0000-0000840B0000}"/>
    <cellStyle name="ÄÞ¸¶ [20]" xfId="3328" xr:uid="{00000000-0005-0000-0000-0000850B0000}"/>
    <cellStyle name="AÞ¸¶_ 2ÆAAþº° " xfId="3329" xr:uid="{00000000-0005-0000-0000-0000860B0000}"/>
    <cellStyle name="ÄÞ¸¶_´ë¿©ÀüÃ¼" xfId="3330" xr:uid="{00000000-0005-0000-0000-0000870B0000}"/>
    <cellStyle name="AÞ¸¶_´eAN°yC￥ " xfId="3331" xr:uid="{00000000-0005-0000-0000-0000880B0000}"/>
    <cellStyle name="ÄÞ¸¶_¸ÅÃâ" xfId="3332" xr:uid="{00000000-0005-0000-0000-0000890B0000}"/>
    <cellStyle name="AÞ¸¶_¿￢AO Eng'g CA·IA§ÆRÆA " xfId="3333" xr:uid="{00000000-0005-0000-0000-00008A0B0000}"/>
    <cellStyle name="ÄÞ¸¶_°è¾àÇöÈ²" xfId="3334" xr:uid="{00000000-0005-0000-0000-00008B0B0000}"/>
    <cellStyle name="AÞ¸¶_½C¿¹PL " xfId="3335" xr:uid="{00000000-0005-0000-0000-00008C0B0000}"/>
    <cellStyle name="ÄÞ¸¶_7°èÈ¹ " xfId="3336" xr:uid="{00000000-0005-0000-0000-00008D0B0000}"/>
    <cellStyle name="AÞ¸¶_AN°y(1.25) " xfId="3337" xr:uid="{00000000-0005-0000-0000-00008E0B0000}"/>
    <cellStyle name="ÄÞ¸¶_capa8x16x" xfId="3338" xr:uid="{00000000-0005-0000-0000-00008F0B0000}"/>
    <cellStyle name="AÞ¸¶_INQUIRY ¿μ¾÷AßAø " xfId="3339" xr:uid="{00000000-0005-0000-0000-0000900B0000}"/>
    <cellStyle name="ÄÞ¸¶_insul for piping(process)" xfId="3340" xr:uid="{00000000-0005-0000-0000-0000910B0000}"/>
    <cellStyle name="_x0001_b" xfId="3341" xr:uid="{00000000-0005-0000-0000-0000920B0000}"/>
    <cellStyle name="Bad" xfId="3342" xr:uid="{00000000-0005-0000-0000-0000930B0000}"/>
    <cellStyle name="Besuchter Hyperlink" xfId="3343" xr:uid="{00000000-0005-0000-0000-0000940B0000}"/>
    <cellStyle name="blank" xfId="3344" xr:uid="{00000000-0005-0000-0000-0000950B0000}"/>
    <cellStyle name="blank - Style1" xfId="3345" xr:uid="{00000000-0005-0000-0000-0000960B0000}"/>
    <cellStyle name="blank 2" xfId="3346" xr:uid="{00000000-0005-0000-0000-0000970B0000}"/>
    <cellStyle name="BlueFont" xfId="3347" xr:uid="{00000000-0005-0000-0000-0000980B0000}"/>
    <cellStyle name="body" xfId="3348" xr:uid="{00000000-0005-0000-0000-0000990B0000}"/>
    <cellStyle name="Bom 2" xfId="2" xr:uid="{00000000-0005-0000-0000-00009A0B0000}"/>
    <cellStyle name="Bom 2 2" xfId="370" xr:uid="{00000000-0005-0000-0000-00009B0B0000}"/>
    <cellStyle name="๺b댜ōຊb댸ōບb뷬ōສb븄ō຺b블ō໊b븨ō໚b븼ō໪b덐ō໺b덠ō༊b델ō༚b뎔ō༪b뎬ō༺b빘ōཊb빰ōཚb뺌ōཪb뻘ōེb뻴ōྊb돌ōྚb돴ōྪ" xfId="3351" xr:uid="{00000000-0005-0000-0000-00009C0B0000}"/>
    <cellStyle name="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ōᇊb섰ōᇚb셌ōᇪb셨ōᇺb손ōሊbÌōሚbôōሪbŀōሺbŨōቊbƀōቚb솴ōቪb쇌" xfId="3352" xr:uid="{00000000-0005-0000-0000-00009D0B0000}"/>
    <cellStyle name="C" xfId="3353" xr:uid="{00000000-0005-0000-0000-00009E0B0000}"/>
    <cellStyle name="C¡IA¨ª_¡ic¨u¡A¨￢I¨￢¡Æ AN¡Æe " xfId="3354" xr:uid="{00000000-0005-0000-0000-00009F0B0000}"/>
    <cellStyle name="C¡ÍA¨ª_ALT2-euip" xfId="3355" xr:uid="{00000000-0005-0000-0000-0000A00B0000}"/>
    <cellStyle name="C￥AØ_ 2ÆAAþº° " xfId="3356" xr:uid="{00000000-0005-0000-0000-0000A10B0000}"/>
    <cellStyle name="Ç¥ÁØ_ 97³â °æ¿µºÐ¼®(¾È)" xfId="3357" xr:uid="{00000000-0005-0000-0000-0000A20B0000}"/>
    <cellStyle name="C￥AØ_´e³≫°ø¹R (2)" xfId="3358" xr:uid="{00000000-0005-0000-0000-0000A30B0000}"/>
    <cellStyle name="Ç¥ÁØ_¿µ¾÷ÇöÈ² " xfId="3359" xr:uid="{00000000-0005-0000-0000-0000A40B0000}"/>
    <cellStyle name="C￥AØ_¿uº°A¸≫c½CAu_³≫ºI°eE¹´e AßA¤A÷AI " xfId="3360" xr:uid="{00000000-0005-0000-0000-0000A50B0000}"/>
    <cellStyle name="Ç¥ÁØ_±âÈ¹ ºñ»ó" xfId="3361" xr:uid="{00000000-0005-0000-0000-0000A60B0000}"/>
    <cellStyle name="C￥AØ_≫c¾÷ºIº° AN°e " xfId="3362" xr:uid="{00000000-0005-0000-0000-0000A70B0000}"/>
    <cellStyle name="Ç¥ÁØ_0N-HANDLING " xfId="3363" xr:uid="{00000000-0005-0000-0000-0000A80B0000}"/>
    <cellStyle name="C￥AØ_¼±AoAc°i_1_³≫ºI°eE¹´e AßA¤A÷AI " xfId="3364" xr:uid="{00000000-0005-0000-0000-0000A90B0000}"/>
    <cellStyle name="Ç¥ÁØ_130t4" xfId="3365" xr:uid="{00000000-0005-0000-0000-0000AA0B0000}"/>
    <cellStyle name="C￥AØ_5-1±¤°i _6RCB1 " xfId="3366" xr:uid="{00000000-0005-0000-0000-0000AB0B0000}"/>
    <cellStyle name="Ç¥ÁØ_7°èÈ¹ " xfId="3367" xr:uid="{00000000-0005-0000-0000-0000AC0B0000}"/>
    <cellStyle name="C￥AØ_CoAo¹yAI °A¾×¿ⓒ½A " xfId="3368" xr:uid="{00000000-0005-0000-0000-0000AD0B0000}"/>
    <cellStyle name="Ç¥ÁØ_Sheet1_¿µ¾÷ÇöÈ² " xfId="3369" xr:uid="{00000000-0005-0000-0000-0000AE0B0000}"/>
    <cellStyle name="C￥AØ_Sheet1_¿μ¾÷CoE² " xfId="3370" xr:uid="{00000000-0005-0000-0000-0000AF0B0000}"/>
    <cellStyle name="Ç¥ÁØ_Sheet1_0N-HANDLING " xfId="3371" xr:uid="{00000000-0005-0000-0000-0000B00B0000}"/>
    <cellStyle name="C￥AØ_Sheet1_Ay°eC￥(2¿u) " xfId="3372" xr:uid="{00000000-0005-0000-0000-0000B10B0000}"/>
    <cellStyle name="Ç¥ÁØ_Sheet1_Áý°èÇ¥(2¿ù) " xfId="3373" xr:uid="{00000000-0005-0000-0000-0000B20B0000}"/>
    <cellStyle name="Calc Currency (0)" xfId="3374" xr:uid="{00000000-0005-0000-0000-0000B30B0000}"/>
    <cellStyle name="Calc Currency (0) 2" xfId="3375" xr:uid="{00000000-0005-0000-0000-0000B40B0000}"/>
    <cellStyle name="Calc Currency (0) 2 2" xfId="3376" xr:uid="{00000000-0005-0000-0000-0000B50B0000}"/>
    <cellStyle name="Calc Currency (0) 3" xfId="3377" xr:uid="{00000000-0005-0000-0000-0000B60B0000}"/>
    <cellStyle name="Calc Currency (0) 4" xfId="3378" xr:uid="{00000000-0005-0000-0000-0000B70B0000}"/>
    <cellStyle name="Calc Currency (2)" xfId="3379" xr:uid="{00000000-0005-0000-0000-0000B80B0000}"/>
    <cellStyle name="Calc Percent (0)" xfId="3380" xr:uid="{00000000-0005-0000-0000-0000B90B0000}"/>
    <cellStyle name="Calc Percent (1)" xfId="3381" xr:uid="{00000000-0005-0000-0000-0000BA0B0000}"/>
    <cellStyle name="Calc Percent (2)" xfId="3382" xr:uid="{00000000-0005-0000-0000-0000BB0B0000}"/>
    <cellStyle name="Calc Units (0)" xfId="3383" xr:uid="{00000000-0005-0000-0000-0000BC0B0000}"/>
    <cellStyle name="Calc Units (1)" xfId="3384" xr:uid="{00000000-0005-0000-0000-0000BD0B0000}"/>
    <cellStyle name="Calc Units (2)" xfId="3385" xr:uid="{00000000-0005-0000-0000-0000BE0B0000}"/>
    <cellStyle name="Calculation" xfId="3386" xr:uid="{00000000-0005-0000-0000-0000BF0B0000}"/>
    <cellStyle name="Calculation 2" xfId="9726" xr:uid="{00000000-0005-0000-0000-0000C00B0000}"/>
    <cellStyle name="Calculation 2 2" xfId="18930" xr:uid="{00000000-0005-0000-0000-0000C10B0000}"/>
    <cellStyle name="Calculation 2 2 2" xfId="33215" xr:uid="{00000000-0005-0000-0000-0000C20B0000}"/>
    <cellStyle name="Calculation 2 3" xfId="47156" xr:uid="{00000000-0005-0000-0000-0000C30B0000}"/>
    <cellStyle name="Calculation 3" xfId="9717" xr:uid="{00000000-0005-0000-0000-0000C40B0000}"/>
    <cellStyle name="Calculation 3 2" xfId="18931" xr:uid="{00000000-0005-0000-0000-0000C50B0000}"/>
    <cellStyle name="Calculation 3 2 2" xfId="33206" xr:uid="{00000000-0005-0000-0000-0000C60B0000}"/>
    <cellStyle name="Calculation 3 3" xfId="23890" xr:uid="{00000000-0005-0000-0000-0000C70B0000}"/>
    <cellStyle name="Calculation 3 4" xfId="47146" xr:uid="{00000000-0005-0000-0000-0000C80B0000}"/>
    <cellStyle name="Calculation 4" xfId="14466" xr:uid="{00000000-0005-0000-0000-0000C90B0000}"/>
    <cellStyle name="Calculation 4 2" xfId="18932" xr:uid="{00000000-0005-0000-0000-0000CA0B0000}"/>
    <cellStyle name="Calculation 4 3" xfId="28598" xr:uid="{00000000-0005-0000-0000-0000CB0B0000}"/>
    <cellStyle name="Calculation 4 4" xfId="42485" xr:uid="{00000000-0005-0000-0000-0000CC0B0000}"/>
    <cellStyle name="Cálculo 2" xfId="287" xr:uid="{00000000-0005-0000-0000-0000CD0B0000}"/>
    <cellStyle name="Cálculo 2 2" xfId="371" xr:uid="{00000000-0005-0000-0000-0000CE0B0000}"/>
    <cellStyle name="Cálculo 2 2 2" xfId="9661" xr:uid="{00000000-0005-0000-0000-0000CF0B0000}"/>
    <cellStyle name="Cálculo 2 2 2 2" xfId="18933" xr:uid="{00000000-0005-0000-0000-0000D00B0000}"/>
    <cellStyle name="Cálculo 2 2 2 2 2" xfId="33152" xr:uid="{00000000-0005-0000-0000-0000D10B0000}"/>
    <cellStyle name="Cálculo 2 2 2 3" xfId="47095" xr:uid="{00000000-0005-0000-0000-0000D20B0000}"/>
    <cellStyle name="Cálculo 2 2 3" xfId="14075" xr:uid="{00000000-0005-0000-0000-0000D30B0000}"/>
    <cellStyle name="Cálculo 2 2 3 2" xfId="18934" xr:uid="{00000000-0005-0000-0000-0000D40B0000}"/>
    <cellStyle name="Cálculo 2 2 3 2 2" xfId="37559" xr:uid="{00000000-0005-0000-0000-0000D50B0000}"/>
    <cellStyle name="Cálculo 2 2 3 3" xfId="28240" xr:uid="{00000000-0005-0000-0000-0000D60B0000}"/>
    <cellStyle name="Cálculo 2 2 3 4" xfId="51505" xr:uid="{00000000-0005-0000-0000-0000D70B0000}"/>
    <cellStyle name="Cálculo 2 2 4" xfId="14422" xr:uid="{00000000-0005-0000-0000-0000D80B0000}"/>
    <cellStyle name="Cálculo 2 2 4 2" xfId="18935" xr:uid="{00000000-0005-0000-0000-0000D90B0000}"/>
    <cellStyle name="Cálculo 2 2 4 3" xfId="28553" xr:uid="{00000000-0005-0000-0000-0000DA0B0000}"/>
    <cellStyle name="Cálculo 2 2 4 4" xfId="42433" xr:uid="{00000000-0005-0000-0000-0000DB0B0000}"/>
    <cellStyle name="Cálculo 2 3" xfId="9466" xr:uid="{00000000-0005-0000-0000-0000DC0B0000}"/>
    <cellStyle name="Cálculo 2 3 2" xfId="14138" xr:uid="{00000000-0005-0000-0000-0000DD0B0000}"/>
    <cellStyle name="Cálculo 2 3 2 2" xfId="37616" xr:uid="{00000000-0005-0000-0000-0000DE0B0000}"/>
    <cellStyle name="Cálculo 2 3 2 3" xfId="28302" xr:uid="{00000000-0005-0000-0000-0000DF0B0000}"/>
    <cellStyle name="Cálculo 2 3 2 4" xfId="51565" xr:uid="{00000000-0005-0000-0000-0000E00B0000}"/>
    <cellStyle name="Cálculo 2 3 3" xfId="14343" xr:uid="{00000000-0005-0000-0000-0000E10B0000}"/>
    <cellStyle name="Cálculo 2 3 3 2" xfId="18936" xr:uid="{00000000-0005-0000-0000-0000E20B0000}"/>
    <cellStyle name="Cálculo 2 3 3 2 2" xfId="37818" xr:uid="{00000000-0005-0000-0000-0000E30B0000}"/>
    <cellStyle name="Cálculo 2 3 3 3" xfId="28503" xr:uid="{00000000-0005-0000-0000-0000E40B0000}"/>
    <cellStyle name="Cálculo 2 3 3 4" xfId="51655" xr:uid="{00000000-0005-0000-0000-0000E50B0000}"/>
    <cellStyle name="Cálculo 2 3 4" xfId="18850" xr:uid="{00000000-0005-0000-0000-0000E60B0000}"/>
    <cellStyle name="Cálculo 2 3 4 2" xfId="18937" xr:uid="{00000000-0005-0000-0000-0000E70B0000}"/>
    <cellStyle name="Cálculo 2 3 4 3" xfId="32982" xr:uid="{00000000-0005-0000-0000-0000E80B0000}"/>
    <cellStyle name="Cálculo 2 3 5" xfId="18938" xr:uid="{00000000-0005-0000-0000-0000E90B0000}"/>
    <cellStyle name="Cálculo 2 3 6" xfId="23668" xr:uid="{00000000-0005-0000-0000-0000EA0B0000}"/>
    <cellStyle name="Cálculo 2 3 7" xfId="42255" xr:uid="{00000000-0005-0000-0000-0000EB0B0000}"/>
    <cellStyle name="Cálculo 2 4" xfId="9471" xr:uid="{00000000-0005-0000-0000-0000EC0B0000}"/>
    <cellStyle name="Cálculo 2 4 2" xfId="14142" xr:uid="{00000000-0005-0000-0000-0000ED0B0000}"/>
    <cellStyle name="Cálculo 2 4 2 2" xfId="37620" xr:uid="{00000000-0005-0000-0000-0000EE0B0000}"/>
    <cellStyle name="Cálculo 2 4 2 3" xfId="28306" xr:uid="{00000000-0005-0000-0000-0000EF0B0000}"/>
    <cellStyle name="Cálculo 2 4 2 4" xfId="51569" xr:uid="{00000000-0005-0000-0000-0000F00B0000}"/>
    <cellStyle name="Cálculo 2 4 3" xfId="14344" xr:uid="{00000000-0005-0000-0000-0000F10B0000}"/>
    <cellStyle name="Cálculo 2 4 3 2" xfId="18939" xr:uid="{00000000-0005-0000-0000-0000F20B0000}"/>
    <cellStyle name="Cálculo 2 4 3 2 2" xfId="37819" xr:uid="{00000000-0005-0000-0000-0000F30B0000}"/>
    <cellStyle name="Cálculo 2 4 3 3" xfId="28504" xr:uid="{00000000-0005-0000-0000-0000F40B0000}"/>
    <cellStyle name="Cálculo 2 4 3 4" xfId="51656" xr:uid="{00000000-0005-0000-0000-0000F50B0000}"/>
    <cellStyle name="Cálculo 2 4 4" xfId="18854" xr:uid="{00000000-0005-0000-0000-0000F60B0000}"/>
    <cellStyle name="Cálculo 2 4 4 2" xfId="18940" xr:uid="{00000000-0005-0000-0000-0000F70B0000}"/>
    <cellStyle name="Cálculo 2 4 4 3" xfId="32986" xr:uid="{00000000-0005-0000-0000-0000F80B0000}"/>
    <cellStyle name="Cálculo 2 4 5" xfId="18941" xr:uid="{00000000-0005-0000-0000-0000F90B0000}"/>
    <cellStyle name="Cálculo 2 4 6" xfId="23672" xr:uid="{00000000-0005-0000-0000-0000FA0B0000}"/>
    <cellStyle name="Cálculo 2 4 7" xfId="42259" xr:uid="{00000000-0005-0000-0000-0000FB0B0000}"/>
    <cellStyle name="Cálculo 2 5" xfId="9511" xr:uid="{00000000-0005-0000-0000-0000FC0B0000}"/>
    <cellStyle name="Cálculo 2 5 2" xfId="14353" xr:uid="{00000000-0005-0000-0000-0000FD0B0000}"/>
    <cellStyle name="Cálculo 2 5 2 2" xfId="18942" xr:uid="{00000000-0005-0000-0000-0000FE0B0000}"/>
    <cellStyle name="Cálculo 2 5 2 2 2" xfId="37828" xr:uid="{00000000-0005-0000-0000-0000FF0B0000}"/>
    <cellStyle name="Cálculo 2 5 2 3" xfId="28513" xr:uid="{00000000-0005-0000-0000-0000000C0000}"/>
    <cellStyle name="Cálculo 2 5 2 4" xfId="51604" xr:uid="{00000000-0005-0000-0000-0000010C0000}"/>
    <cellStyle name="Cálculo 2 5 3" xfId="18885" xr:uid="{00000000-0005-0000-0000-0000020C0000}"/>
    <cellStyle name="Cálculo 2 5 3 2" xfId="18943" xr:uid="{00000000-0005-0000-0000-0000030C0000}"/>
    <cellStyle name="Cálculo 2 5 3 3" xfId="51661" xr:uid="{00000000-0005-0000-0000-0000040C0000}"/>
    <cellStyle name="Cálculo 2 5 4" xfId="23705" xr:uid="{00000000-0005-0000-0000-0000050C0000}"/>
    <cellStyle name="Cálculo 2 6" xfId="9550" xr:uid="{00000000-0005-0000-0000-0000060C0000}"/>
    <cellStyle name="Cálculo 2 7" xfId="9643" xr:uid="{00000000-0005-0000-0000-0000070C0000}"/>
    <cellStyle name="Cálculo 2 7 2" xfId="18944" xr:uid="{00000000-0005-0000-0000-0000080C0000}"/>
    <cellStyle name="Cálculo 2 7 2 2" xfId="33135" xr:uid="{00000000-0005-0000-0000-0000090C0000}"/>
    <cellStyle name="Cálculo 2 7 3" xfId="47077" xr:uid="{00000000-0005-0000-0000-00000A0C0000}"/>
    <cellStyle name="Cálculo 2 8" xfId="14078" xr:uid="{00000000-0005-0000-0000-00000B0C0000}"/>
    <cellStyle name="Cálculo 2 8 2" xfId="18945" xr:uid="{00000000-0005-0000-0000-00000C0C0000}"/>
    <cellStyle name="Cálculo 2 8 2 2" xfId="37562" xr:uid="{00000000-0005-0000-0000-00000D0C0000}"/>
    <cellStyle name="Cálculo 2 8 3" xfId="28243" xr:uid="{00000000-0005-0000-0000-00000E0C0000}"/>
    <cellStyle name="Cálculo 2 8 4" xfId="51507" xr:uid="{00000000-0005-0000-0000-00000F0C0000}"/>
    <cellStyle name="Cálculo 2 9" xfId="42414" xr:uid="{00000000-0005-0000-0000-0000100C0000}"/>
    <cellStyle name="Cancel" xfId="3" xr:uid="{00000000-0005-0000-0000-0000110C0000}"/>
    <cellStyle name="Cancel 2" xfId="340" xr:uid="{00000000-0005-0000-0000-0000120C0000}"/>
    <cellStyle name="Cancel 3" xfId="372" xr:uid="{00000000-0005-0000-0000-0000130C0000}"/>
    <cellStyle name="Cancel 4" xfId="9467" xr:uid="{00000000-0005-0000-0000-0000140C0000}"/>
    <cellStyle name="category" xfId="3387" xr:uid="{00000000-0005-0000-0000-0000150C0000}"/>
    <cellStyle name="Célula de Verificação 2" xfId="4" xr:uid="{00000000-0005-0000-0000-0000160C0000}"/>
    <cellStyle name="Célula de Verificação 2 2" xfId="373" xr:uid="{00000000-0005-0000-0000-0000170C0000}"/>
    <cellStyle name="Célula Vinculada 2" xfId="5" xr:uid="{00000000-0005-0000-0000-0000180C0000}"/>
    <cellStyle name="Célula Vinculada 2 2" xfId="374" xr:uid="{00000000-0005-0000-0000-0000190C0000}"/>
    <cellStyle name="Check Cell" xfId="3388" xr:uid="{00000000-0005-0000-0000-00001A0C0000}"/>
    <cellStyle name="CIAIÆU¸μAⓒ" xfId="3389" xr:uid="{00000000-0005-0000-0000-00001B0C0000}"/>
    <cellStyle name="coba" xfId="3390" xr:uid="{00000000-0005-0000-0000-00001C0C0000}"/>
    <cellStyle name="coba 2" xfId="9727" xr:uid="{00000000-0005-0000-0000-00001D0C0000}"/>
    <cellStyle name="coba 2 2" xfId="18946" xr:uid="{00000000-0005-0000-0000-00001E0C0000}"/>
    <cellStyle name="coba 2 2 2" xfId="33216" xr:uid="{00000000-0005-0000-0000-00001F0C0000}"/>
    <cellStyle name="coba 2 3" xfId="23895" xr:uid="{00000000-0005-0000-0000-0000200C0000}"/>
    <cellStyle name="coba 2 4" xfId="47157" xr:uid="{00000000-0005-0000-0000-0000210C0000}"/>
    <cellStyle name="coba 3" xfId="9716" xr:uid="{00000000-0005-0000-0000-0000220C0000}"/>
    <cellStyle name="coba 3 2" xfId="18947" xr:uid="{00000000-0005-0000-0000-0000230C0000}"/>
    <cellStyle name="coba 3 2 2" xfId="33205" xr:uid="{00000000-0005-0000-0000-0000240C0000}"/>
    <cellStyle name="coba 3 3" xfId="47145" xr:uid="{00000000-0005-0000-0000-0000250C0000}"/>
    <cellStyle name="coba 4" xfId="42486" xr:uid="{00000000-0005-0000-0000-0000260C0000}"/>
    <cellStyle name="coba2" xfId="3391" xr:uid="{00000000-0005-0000-0000-0000270C0000}"/>
    <cellStyle name="coba2 2" xfId="9728" xr:uid="{00000000-0005-0000-0000-0000280C0000}"/>
    <cellStyle name="coba2 2 2" xfId="18948" xr:uid="{00000000-0005-0000-0000-0000290C0000}"/>
    <cellStyle name="coba2 2 2 2" xfId="33217" xr:uid="{00000000-0005-0000-0000-00002A0C0000}"/>
    <cellStyle name="coba2 2 3" xfId="23896" xr:uid="{00000000-0005-0000-0000-00002B0C0000}"/>
    <cellStyle name="coba2 2 4" xfId="47158" xr:uid="{00000000-0005-0000-0000-00002C0C0000}"/>
    <cellStyle name="coba2 3" xfId="9715" xr:uid="{00000000-0005-0000-0000-00002D0C0000}"/>
    <cellStyle name="coba2 3 2" xfId="18949" xr:uid="{00000000-0005-0000-0000-00002E0C0000}"/>
    <cellStyle name="coba2 3 2 2" xfId="33204" xr:uid="{00000000-0005-0000-0000-00002F0C0000}"/>
    <cellStyle name="coba2 3 3" xfId="47144" xr:uid="{00000000-0005-0000-0000-0000300C0000}"/>
    <cellStyle name="coba2 4" xfId="42487" xr:uid="{00000000-0005-0000-0000-0000310C0000}"/>
    <cellStyle name="Column Heading" xfId="3392" xr:uid="{00000000-0005-0000-0000-0000320C0000}"/>
    <cellStyle name="Column Heading 2" xfId="9729" xr:uid="{00000000-0005-0000-0000-0000330C0000}"/>
    <cellStyle name="Column Heading 3" xfId="42488" xr:uid="{00000000-0005-0000-0000-0000340C0000}"/>
    <cellStyle name="Com? [0]_ SG&amp;A Bridge " xfId="3393" xr:uid="{00000000-0005-0000-0000-0000350C0000}"/>
    <cellStyle name="Comma" xfId="62" xr:uid="{00000000-0005-0000-0000-0000360C0000}"/>
    <cellStyle name="Comma  - Style1" xfId="3394" xr:uid="{00000000-0005-0000-0000-0000370C0000}"/>
    <cellStyle name="Comma  - Style2" xfId="3395" xr:uid="{00000000-0005-0000-0000-0000380C0000}"/>
    <cellStyle name="Comma  - Style3" xfId="3396" xr:uid="{00000000-0005-0000-0000-0000390C0000}"/>
    <cellStyle name="Comma  - Style4" xfId="3397" xr:uid="{00000000-0005-0000-0000-00003A0C0000}"/>
    <cellStyle name="Comma  - Style5" xfId="3398" xr:uid="{00000000-0005-0000-0000-00003B0C0000}"/>
    <cellStyle name="Comma  - Style6" xfId="3399" xr:uid="{00000000-0005-0000-0000-00003C0C0000}"/>
    <cellStyle name="Comma  - Style7" xfId="3400" xr:uid="{00000000-0005-0000-0000-00003D0C0000}"/>
    <cellStyle name="Comma  - Style8" xfId="3401" xr:uid="{00000000-0005-0000-0000-00003E0C0000}"/>
    <cellStyle name="Comma [?_ SG&amp;A Bridge " xfId="3402" xr:uid="{00000000-0005-0000-0000-00003F0C0000}"/>
    <cellStyle name="Comma [0]" xfId="3403" xr:uid="{00000000-0005-0000-0000-0000400C0000}"/>
    <cellStyle name="Comma [0] 2" xfId="3404" xr:uid="{00000000-0005-0000-0000-0000410C0000}"/>
    <cellStyle name="Comma [0] 2 2" xfId="3405" xr:uid="{00000000-0005-0000-0000-0000420C0000}"/>
    <cellStyle name="Comma [0] 3" xfId="3406" xr:uid="{00000000-0005-0000-0000-0000430C0000}"/>
    <cellStyle name="Comma [0] 3 2" xfId="3407" xr:uid="{00000000-0005-0000-0000-0000440C0000}"/>
    <cellStyle name="Comma [0] 4" xfId="3408" xr:uid="{00000000-0005-0000-0000-0000450C0000}"/>
    <cellStyle name="Comma [0] 4 2" xfId="3409" xr:uid="{00000000-0005-0000-0000-0000460C0000}"/>
    <cellStyle name="Comma [0] 5" xfId="3410" xr:uid="{00000000-0005-0000-0000-0000470C0000}"/>
    <cellStyle name="Comma [0] 6" xfId="3411" xr:uid="{00000000-0005-0000-0000-0000480C0000}"/>
    <cellStyle name="Comma [0] 7" xfId="3412" xr:uid="{00000000-0005-0000-0000-0000490C0000}"/>
    <cellStyle name="Comma [0]_ SG&amp;A Bridge " xfId="3413" xr:uid="{00000000-0005-0000-0000-00004A0C0000}"/>
    <cellStyle name="Comma [00]" xfId="3414" xr:uid="{00000000-0005-0000-0000-00004B0C0000}"/>
    <cellStyle name="Comma 10" xfId="3415" xr:uid="{00000000-0005-0000-0000-00004C0C0000}"/>
    <cellStyle name="Comma 11" xfId="3416" xr:uid="{00000000-0005-0000-0000-00004D0C0000}"/>
    <cellStyle name="Comma 12" xfId="3417" xr:uid="{00000000-0005-0000-0000-00004E0C0000}"/>
    <cellStyle name="Comma 13" xfId="3418" xr:uid="{00000000-0005-0000-0000-00004F0C0000}"/>
    <cellStyle name="Comma 14" xfId="3419" xr:uid="{00000000-0005-0000-0000-0000500C0000}"/>
    <cellStyle name="Comma 15" xfId="3420" xr:uid="{00000000-0005-0000-0000-0000510C0000}"/>
    <cellStyle name="Comma 16" xfId="3421" xr:uid="{00000000-0005-0000-0000-0000520C0000}"/>
    <cellStyle name="Comma 17" xfId="3422" xr:uid="{00000000-0005-0000-0000-0000530C0000}"/>
    <cellStyle name="Comma 18" xfId="3423" xr:uid="{00000000-0005-0000-0000-0000540C0000}"/>
    <cellStyle name="Comma 19" xfId="3424" xr:uid="{00000000-0005-0000-0000-0000550C0000}"/>
    <cellStyle name="Comma 2" xfId="27" xr:uid="{00000000-0005-0000-0000-0000560C0000}"/>
    <cellStyle name="Comma 2 2" xfId="341" xr:uid="{00000000-0005-0000-0000-0000570C0000}"/>
    <cellStyle name="Comma 2 2 2" xfId="3425" xr:uid="{00000000-0005-0000-0000-0000580C0000}"/>
    <cellStyle name="Comma 2 3" xfId="9630" xr:uid="{00000000-0005-0000-0000-0000590C0000}"/>
    <cellStyle name="Comma 2 4" xfId="42401" xr:uid="{00000000-0005-0000-0000-00005A0C0000}"/>
    <cellStyle name="Comma 20" xfId="3426" xr:uid="{00000000-0005-0000-0000-00005B0C0000}"/>
    <cellStyle name="Comma 21" xfId="3427" xr:uid="{00000000-0005-0000-0000-00005C0C0000}"/>
    <cellStyle name="Comma 22" xfId="3428" xr:uid="{00000000-0005-0000-0000-00005D0C0000}"/>
    <cellStyle name="Comma 23" xfId="3429" xr:uid="{00000000-0005-0000-0000-00005E0C0000}"/>
    <cellStyle name="Comma 24" xfId="3430" xr:uid="{00000000-0005-0000-0000-00005F0C0000}"/>
    <cellStyle name="Comma 25" xfId="3431" xr:uid="{00000000-0005-0000-0000-0000600C0000}"/>
    <cellStyle name="Comma 26" xfId="3432" xr:uid="{00000000-0005-0000-0000-0000610C0000}"/>
    <cellStyle name="Comma 27" xfId="3433" xr:uid="{00000000-0005-0000-0000-0000620C0000}"/>
    <cellStyle name="Comma 28" xfId="3434" xr:uid="{00000000-0005-0000-0000-0000630C0000}"/>
    <cellStyle name="Comma 29" xfId="9452" xr:uid="{00000000-0005-0000-0000-0000640C0000}"/>
    <cellStyle name="Comma 29 2" xfId="14124" xr:uid="{00000000-0005-0000-0000-0000650C0000}"/>
    <cellStyle name="Comma 29 2 2" xfId="37603" xr:uid="{00000000-0005-0000-0000-0000660C0000}"/>
    <cellStyle name="Comma 29 2 3" xfId="28289" xr:uid="{00000000-0005-0000-0000-0000670C0000}"/>
    <cellStyle name="Comma 29 2 4" xfId="51552" xr:uid="{00000000-0005-0000-0000-0000680C0000}"/>
    <cellStyle name="Comma 29 3" xfId="18837" xr:uid="{00000000-0005-0000-0000-0000690C0000}"/>
    <cellStyle name="Comma 29 3 2" xfId="32969" xr:uid="{00000000-0005-0000-0000-00006A0C0000}"/>
    <cellStyle name="Comma 29 3 3" xfId="46873" xr:uid="{00000000-0005-0000-0000-00006B0C0000}"/>
    <cellStyle name="Comma 29 4" xfId="23655" xr:uid="{00000000-0005-0000-0000-00006C0C0000}"/>
    <cellStyle name="Comma 29 5" xfId="42242" xr:uid="{00000000-0005-0000-0000-00006D0C0000}"/>
    <cellStyle name="Comma 3" xfId="63" xr:uid="{00000000-0005-0000-0000-00006E0C0000}"/>
    <cellStyle name="Comma 4" xfId="64" xr:uid="{00000000-0005-0000-0000-00006F0C0000}"/>
    <cellStyle name="Comma 4 10" xfId="3435" xr:uid="{00000000-0005-0000-0000-0000700C0000}"/>
    <cellStyle name="Comma 4 10 2" xfId="3436" xr:uid="{00000000-0005-0000-0000-0000710C0000}"/>
    <cellStyle name="Comma 4 10 2 2" xfId="3437" xr:uid="{00000000-0005-0000-0000-0000720C0000}"/>
    <cellStyle name="Comma 4 10 2 2 2" xfId="9730" xr:uid="{00000000-0005-0000-0000-0000730C0000}"/>
    <cellStyle name="Comma 4 10 2 2 2 2" xfId="33218" xr:uid="{00000000-0005-0000-0000-0000740C0000}"/>
    <cellStyle name="Comma 4 10 2 2 2 3" xfId="23897" xr:uid="{00000000-0005-0000-0000-0000750C0000}"/>
    <cellStyle name="Comma 4 10 2 2 2 4" xfId="47159" xr:uid="{00000000-0005-0000-0000-0000760C0000}"/>
    <cellStyle name="Comma 4 10 2 2 3" xfId="14467" xr:uid="{00000000-0005-0000-0000-0000770C0000}"/>
    <cellStyle name="Comma 4 10 2 2 3 2" xfId="28599" xr:uid="{00000000-0005-0000-0000-0000780C0000}"/>
    <cellStyle name="Comma 4 10 2 2 3 3" xfId="42489" xr:uid="{00000000-0005-0000-0000-0000790C0000}"/>
    <cellStyle name="Comma 4 10 2 2 4" xfId="19279" xr:uid="{00000000-0005-0000-0000-00007A0C0000}"/>
    <cellStyle name="Comma 4 10 2 2 5" xfId="37912" xr:uid="{00000000-0005-0000-0000-00007B0C0000}"/>
    <cellStyle name="Comma 4 10 3" xfId="3438" xr:uid="{00000000-0005-0000-0000-00007C0C0000}"/>
    <cellStyle name="Comma 4 10 3 2" xfId="3439" xr:uid="{00000000-0005-0000-0000-00007D0C0000}"/>
    <cellStyle name="Comma 4 10 3 2 2" xfId="9731" xr:uid="{00000000-0005-0000-0000-00007E0C0000}"/>
    <cellStyle name="Comma 4 10 3 2 2 2" xfId="33219" xr:uid="{00000000-0005-0000-0000-00007F0C0000}"/>
    <cellStyle name="Comma 4 10 3 2 2 3" xfId="23898" xr:uid="{00000000-0005-0000-0000-0000800C0000}"/>
    <cellStyle name="Comma 4 10 3 2 2 4" xfId="47160" xr:uid="{00000000-0005-0000-0000-0000810C0000}"/>
    <cellStyle name="Comma 4 10 3 2 3" xfId="14468" xr:uid="{00000000-0005-0000-0000-0000820C0000}"/>
    <cellStyle name="Comma 4 10 3 2 3 2" xfId="28600" xr:uid="{00000000-0005-0000-0000-0000830C0000}"/>
    <cellStyle name="Comma 4 10 3 2 3 3" xfId="42490" xr:uid="{00000000-0005-0000-0000-0000840C0000}"/>
    <cellStyle name="Comma 4 10 3 2 4" xfId="19280" xr:uid="{00000000-0005-0000-0000-0000850C0000}"/>
    <cellStyle name="Comma 4 10 3 2 5" xfId="37913" xr:uid="{00000000-0005-0000-0000-0000860C0000}"/>
    <cellStyle name="Comma 4 10 4" xfId="3440" xr:uid="{00000000-0005-0000-0000-0000870C0000}"/>
    <cellStyle name="Comma 4 10 4 2" xfId="3441" xr:uid="{00000000-0005-0000-0000-0000880C0000}"/>
    <cellStyle name="Comma 4 10 4 2 2" xfId="9732" xr:uid="{00000000-0005-0000-0000-0000890C0000}"/>
    <cellStyle name="Comma 4 10 4 2 2 2" xfId="33220" xr:uid="{00000000-0005-0000-0000-00008A0C0000}"/>
    <cellStyle name="Comma 4 10 4 2 2 3" xfId="23899" xr:uid="{00000000-0005-0000-0000-00008B0C0000}"/>
    <cellStyle name="Comma 4 10 4 2 2 4" xfId="47161" xr:uid="{00000000-0005-0000-0000-00008C0C0000}"/>
    <cellStyle name="Comma 4 10 4 2 3" xfId="14469" xr:uid="{00000000-0005-0000-0000-00008D0C0000}"/>
    <cellStyle name="Comma 4 10 4 2 3 2" xfId="28601" xr:uid="{00000000-0005-0000-0000-00008E0C0000}"/>
    <cellStyle name="Comma 4 10 4 2 3 3" xfId="42491" xr:uid="{00000000-0005-0000-0000-00008F0C0000}"/>
    <cellStyle name="Comma 4 10 4 2 4" xfId="19281" xr:uid="{00000000-0005-0000-0000-0000900C0000}"/>
    <cellStyle name="Comma 4 10 4 2 5" xfId="37914" xr:uid="{00000000-0005-0000-0000-0000910C0000}"/>
    <cellStyle name="Comma 4 10 5" xfId="3442" xr:uid="{00000000-0005-0000-0000-0000920C0000}"/>
    <cellStyle name="Comma 4 10 5 2" xfId="3443" xr:uid="{00000000-0005-0000-0000-0000930C0000}"/>
    <cellStyle name="Comma 4 10 5 2 2" xfId="9733" xr:uid="{00000000-0005-0000-0000-0000940C0000}"/>
    <cellStyle name="Comma 4 10 5 2 2 2" xfId="33221" xr:uid="{00000000-0005-0000-0000-0000950C0000}"/>
    <cellStyle name="Comma 4 10 5 2 2 3" xfId="23900" xr:uid="{00000000-0005-0000-0000-0000960C0000}"/>
    <cellStyle name="Comma 4 10 5 2 2 4" xfId="47162" xr:uid="{00000000-0005-0000-0000-0000970C0000}"/>
    <cellStyle name="Comma 4 10 5 2 3" xfId="14470" xr:uid="{00000000-0005-0000-0000-0000980C0000}"/>
    <cellStyle name="Comma 4 10 5 2 3 2" xfId="28602" xr:uid="{00000000-0005-0000-0000-0000990C0000}"/>
    <cellStyle name="Comma 4 10 5 2 3 3" xfId="42492" xr:uid="{00000000-0005-0000-0000-00009A0C0000}"/>
    <cellStyle name="Comma 4 10 5 2 4" xfId="19282" xr:uid="{00000000-0005-0000-0000-00009B0C0000}"/>
    <cellStyle name="Comma 4 10 5 2 5" xfId="37915" xr:uid="{00000000-0005-0000-0000-00009C0C0000}"/>
    <cellStyle name="Comma 4 10 6" xfId="3444" xr:uid="{00000000-0005-0000-0000-00009D0C0000}"/>
    <cellStyle name="Comma 4 10 6 2" xfId="3445" xr:uid="{00000000-0005-0000-0000-00009E0C0000}"/>
    <cellStyle name="Comma 4 10 6 2 2" xfId="9734" xr:uid="{00000000-0005-0000-0000-00009F0C0000}"/>
    <cellStyle name="Comma 4 10 6 2 2 2" xfId="33222" xr:uid="{00000000-0005-0000-0000-0000A00C0000}"/>
    <cellStyle name="Comma 4 10 6 2 2 3" xfId="23901" xr:uid="{00000000-0005-0000-0000-0000A10C0000}"/>
    <cellStyle name="Comma 4 10 6 2 2 4" xfId="47163" xr:uid="{00000000-0005-0000-0000-0000A20C0000}"/>
    <cellStyle name="Comma 4 10 6 2 3" xfId="14471" xr:uid="{00000000-0005-0000-0000-0000A30C0000}"/>
    <cellStyle name="Comma 4 10 6 2 3 2" xfId="28603" xr:uid="{00000000-0005-0000-0000-0000A40C0000}"/>
    <cellStyle name="Comma 4 10 6 2 3 3" xfId="42493" xr:uid="{00000000-0005-0000-0000-0000A50C0000}"/>
    <cellStyle name="Comma 4 10 6 2 4" xfId="19283" xr:uid="{00000000-0005-0000-0000-0000A60C0000}"/>
    <cellStyle name="Comma 4 10 6 2 5" xfId="37916" xr:uid="{00000000-0005-0000-0000-0000A70C0000}"/>
    <cellStyle name="Comma 4 10 7" xfId="3446" xr:uid="{00000000-0005-0000-0000-0000A80C0000}"/>
    <cellStyle name="Comma 4 10 7 2" xfId="9735" xr:uid="{00000000-0005-0000-0000-0000A90C0000}"/>
    <cellStyle name="Comma 4 10 7 2 2" xfId="33223" xr:uid="{00000000-0005-0000-0000-0000AA0C0000}"/>
    <cellStyle name="Comma 4 10 7 2 3" xfId="23902" xr:uid="{00000000-0005-0000-0000-0000AB0C0000}"/>
    <cellStyle name="Comma 4 10 7 2 4" xfId="47164" xr:uid="{00000000-0005-0000-0000-0000AC0C0000}"/>
    <cellStyle name="Comma 4 10 7 3" xfId="14472" xr:uid="{00000000-0005-0000-0000-0000AD0C0000}"/>
    <cellStyle name="Comma 4 10 7 3 2" xfId="28604" xr:uid="{00000000-0005-0000-0000-0000AE0C0000}"/>
    <cellStyle name="Comma 4 10 7 3 3" xfId="42494" xr:uid="{00000000-0005-0000-0000-0000AF0C0000}"/>
    <cellStyle name="Comma 4 10 7 4" xfId="19284" xr:uid="{00000000-0005-0000-0000-0000B00C0000}"/>
    <cellStyle name="Comma 4 10 7 5" xfId="37917" xr:uid="{00000000-0005-0000-0000-0000B10C0000}"/>
    <cellStyle name="Comma 4 11" xfId="3447" xr:uid="{00000000-0005-0000-0000-0000B20C0000}"/>
    <cellStyle name="Comma 4 11 2" xfId="3448" xr:uid="{00000000-0005-0000-0000-0000B30C0000}"/>
    <cellStyle name="Comma 4 11 2 2" xfId="3449" xr:uid="{00000000-0005-0000-0000-0000B40C0000}"/>
    <cellStyle name="Comma 4 11 2 2 2" xfId="9736" xr:uid="{00000000-0005-0000-0000-0000B50C0000}"/>
    <cellStyle name="Comma 4 11 2 2 2 2" xfId="33224" xr:uid="{00000000-0005-0000-0000-0000B60C0000}"/>
    <cellStyle name="Comma 4 11 2 2 2 3" xfId="23903" xr:uid="{00000000-0005-0000-0000-0000B70C0000}"/>
    <cellStyle name="Comma 4 11 2 2 2 4" xfId="47165" xr:uid="{00000000-0005-0000-0000-0000B80C0000}"/>
    <cellStyle name="Comma 4 11 2 2 3" xfId="14473" xr:uid="{00000000-0005-0000-0000-0000B90C0000}"/>
    <cellStyle name="Comma 4 11 2 2 3 2" xfId="28605" xr:uid="{00000000-0005-0000-0000-0000BA0C0000}"/>
    <cellStyle name="Comma 4 11 2 2 3 3" xfId="42495" xr:uid="{00000000-0005-0000-0000-0000BB0C0000}"/>
    <cellStyle name="Comma 4 11 2 2 4" xfId="19285" xr:uid="{00000000-0005-0000-0000-0000BC0C0000}"/>
    <cellStyle name="Comma 4 11 2 2 5" xfId="37918" xr:uid="{00000000-0005-0000-0000-0000BD0C0000}"/>
    <cellStyle name="Comma 4 11 3" xfId="3450" xr:uid="{00000000-0005-0000-0000-0000BE0C0000}"/>
    <cellStyle name="Comma 4 11 3 2" xfId="3451" xr:uid="{00000000-0005-0000-0000-0000BF0C0000}"/>
    <cellStyle name="Comma 4 11 3 2 2" xfId="9737" xr:uid="{00000000-0005-0000-0000-0000C00C0000}"/>
    <cellStyle name="Comma 4 11 3 2 2 2" xfId="33225" xr:uid="{00000000-0005-0000-0000-0000C10C0000}"/>
    <cellStyle name="Comma 4 11 3 2 2 3" xfId="23904" xr:uid="{00000000-0005-0000-0000-0000C20C0000}"/>
    <cellStyle name="Comma 4 11 3 2 2 4" xfId="47166" xr:uid="{00000000-0005-0000-0000-0000C30C0000}"/>
    <cellStyle name="Comma 4 11 3 2 3" xfId="14474" xr:uid="{00000000-0005-0000-0000-0000C40C0000}"/>
    <cellStyle name="Comma 4 11 3 2 3 2" xfId="28606" xr:uid="{00000000-0005-0000-0000-0000C50C0000}"/>
    <cellStyle name="Comma 4 11 3 2 3 3" xfId="42496" xr:uid="{00000000-0005-0000-0000-0000C60C0000}"/>
    <cellStyle name="Comma 4 11 3 2 4" xfId="19286" xr:uid="{00000000-0005-0000-0000-0000C70C0000}"/>
    <cellStyle name="Comma 4 11 3 2 5" xfId="37919" xr:uid="{00000000-0005-0000-0000-0000C80C0000}"/>
    <cellStyle name="Comma 4 11 4" xfId="3452" xr:uid="{00000000-0005-0000-0000-0000C90C0000}"/>
    <cellStyle name="Comma 4 11 4 2" xfId="3453" xr:uid="{00000000-0005-0000-0000-0000CA0C0000}"/>
    <cellStyle name="Comma 4 11 4 2 2" xfId="9738" xr:uid="{00000000-0005-0000-0000-0000CB0C0000}"/>
    <cellStyle name="Comma 4 11 4 2 2 2" xfId="33226" xr:uid="{00000000-0005-0000-0000-0000CC0C0000}"/>
    <cellStyle name="Comma 4 11 4 2 2 3" xfId="23905" xr:uid="{00000000-0005-0000-0000-0000CD0C0000}"/>
    <cellStyle name="Comma 4 11 4 2 2 4" xfId="47167" xr:uid="{00000000-0005-0000-0000-0000CE0C0000}"/>
    <cellStyle name="Comma 4 11 4 2 3" xfId="14475" xr:uid="{00000000-0005-0000-0000-0000CF0C0000}"/>
    <cellStyle name="Comma 4 11 4 2 3 2" xfId="28607" xr:uid="{00000000-0005-0000-0000-0000D00C0000}"/>
    <cellStyle name="Comma 4 11 4 2 3 3" xfId="42497" xr:uid="{00000000-0005-0000-0000-0000D10C0000}"/>
    <cellStyle name="Comma 4 11 4 2 4" xfId="19287" xr:uid="{00000000-0005-0000-0000-0000D20C0000}"/>
    <cellStyle name="Comma 4 11 4 2 5" xfId="37920" xr:uid="{00000000-0005-0000-0000-0000D30C0000}"/>
    <cellStyle name="Comma 4 11 5" xfId="3454" xr:uid="{00000000-0005-0000-0000-0000D40C0000}"/>
    <cellStyle name="Comma 4 11 5 2" xfId="3455" xr:uid="{00000000-0005-0000-0000-0000D50C0000}"/>
    <cellStyle name="Comma 4 11 5 2 2" xfId="9739" xr:uid="{00000000-0005-0000-0000-0000D60C0000}"/>
    <cellStyle name="Comma 4 11 5 2 2 2" xfId="33227" xr:uid="{00000000-0005-0000-0000-0000D70C0000}"/>
    <cellStyle name="Comma 4 11 5 2 2 3" xfId="23906" xr:uid="{00000000-0005-0000-0000-0000D80C0000}"/>
    <cellStyle name="Comma 4 11 5 2 2 4" xfId="47168" xr:uid="{00000000-0005-0000-0000-0000D90C0000}"/>
    <cellStyle name="Comma 4 11 5 2 3" xfId="14476" xr:uid="{00000000-0005-0000-0000-0000DA0C0000}"/>
    <cellStyle name="Comma 4 11 5 2 3 2" xfId="28608" xr:uid="{00000000-0005-0000-0000-0000DB0C0000}"/>
    <cellStyle name="Comma 4 11 5 2 3 3" xfId="42498" xr:uid="{00000000-0005-0000-0000-0000DC0C0000}"/>
    <cellStyle name="Comma 4 11 5 2 4" xfId="19288" xr:uid="{00000000-0005-0000-0000-0000DD0C0000}"/>
    <cellStyle name="Comma 4 11 5 2 5" xfId="37921" xr:uid="{00000000-0005-0000-0000-0000DE0C0000}"/>
    <cellStyle name="Comma 4 11 6" xfId="3456" xr:uid="{00000000-0005-0000-0000-0000DF0C0000}"/>
    <cellStyle name="Comma 4 11 6 2" xfId="3457" xr:uid="{00000000-0005-0000-0000-0000E00C0000}"/>
    <cellStyle name="Comma 4 11 6 2 2" xfId="9740" xr:uid="{00000000-0005-0000-0000-0000E10C0000}"/>
    <cellStyle name="Comma 4 11 6 2 2 2" xfId="33228" xr:uid="{00000000-0005-0000-0000-0000E20C0000}"/>
    <cellStyle name="Comma 4 11 6 2 2 3" xfId="23907" xr:uid="{00000000-0005-0000-0000-0000E30C0000}"/>
    <cellStyle name="Comma 4 11 6 2 2 4" xfId="47169" xr:uid="{00000000-0005-0000-0000-0000E40C0000}"/>
    <cellStyle name="Comma 4 11 6 2 3" xfId="14477" xr:uid="{00000000-0005-0000-0000-0000E50C0000}"/>
    <cellStyle name="Comma 4 11 6 2 3 2" xfId="28609" xr:uid="{00000000-0005-0000-0000-0000E60C0000}"/>
    <cellStyle name="Comma 4 11 6 2 3 3" xfId="42499" xr:uid="{00000000-0005-0000-0000-0000E70C0000}"/>
    <cellStyle name="Comma 4 11 6 2 4" xfId="19289" xr:uid="{00000000-0005-0000-0000-0000E80C0000}"/>
    <cellStyle name="Comma 4 11 6 2 5" xfId="37922" xr:uid="{00000000-0005-0000-0000-0000E90C0000}"/>
    <cellStyle name="Comma 4 11 7" xfId="3458" xr:uid="{00000000-0005-0000-0000-0000EA0C0000}"/>
    <cellStyle name="Comma 4 11 7 2" xfId="9741" xr:uid="{00000000-0005-0000-0000-0000EB0C0000}"/>
    <cellStyle name="Comma 4 11 7 2 2" xfId="33229" xr:uid="{00000000-0005-0000-0000-0000EC0C0000}"/>
    <cellStyle name="Comma 4 11 7 2 3" xfId="23908" xr:uid="{00000000-0005-0000-0000-0000ED0C0000}"/>
    <cellStyle name="Comma 4 11 7 2 4" xfId="47170" xr:uid="{00000000-0005-0000-0000-0000EE0C0000}"/>
    <cellStyle name="Comma 4 11 7 3" xfId="14478" xr:uid="{00000000-0005-0000-0000-0000EF0C0000}"/>
    <cellStyle name="Comma 4 11 7 3 2" xfId="28610" xr:uid="{00000000-0005-0000-0000-0000F00C0000}"/>
    <cellStyle name="Comma 4 11 7 3 3" xfId="42500" xr:uid="{00000000-0005-0000-0000-0000F10C0000}"/>
    <cellStyle name="Comma 4 11 7 4" xfId="19290" xr:uid="{00000000-0005-0000-0000-0000F20C0000}"/>
    <cellStyle name="Comma 4 11 7 5" xfId="37923" xr:uid="{00000000-0005-0000-0000-0000F30C0000}"/>
    <cellStyle name="Comma 4 12" xfId="3459" xr:uid="{00000000-0005-0000-0000-0000F40C0000}"/>
    <cellStyle name="Comma 4 12 2" xfId="3460" xr:uid="{00000000-0005-0000-0000-0000F50C0000}"/>
    <cellStyle name="Comma 4 12 2 2" xfId="3461" xr:uid="{00000000-0005-0000-0000-0000F60C0000}"/>
    <cellStyle name="Comma 4 12 2 2 2" xfId="9742" xr:uid="{00000000-0005-0000-0000-0000F70C0000}"/>
    <cellStyle name="Comma 4 12 2 2 2 2" xfId="33230" xr:uid="{00000000-0005-0000-0000-0000F80C0000}"/>
    <cellStyle name="Comma 4 12 2 2 2 3" xfId="23909" xr:uid="{00000000-0005-0000-0000-0000F90C0000}"/>
    <cellStyle name="Comma 4 12 2 2 2 4" xfId="47171" xr:uid="{00000000-0005-0000-0000-0000FA0C0000}"/>
    <cellStyle name="Comma 4 12 2 2 3" xfId="14479" xr:uid="{00000000-0005-0000-0000-0000FB0C0000}"/>
    <cellStyle name="Comma 4 12 2 2 3 2" xfId="28611" xr:uid="{00000000-0005-0000-0000-0000FC0C0000}"/>
    <cellStyle name="Comma 4 12 2 2 3 3" xfId="42501" xr:uid="{00000000-0005-0000-0000-0000FD0C0000}"/>
    <cellStyle name="Comma 4 12 2 2 4" xfId="19291" xr:uid="{00000000-0005-0000-0000-0000FE0C0000}"/>
    <cellStyle name="Comma 4 12 2 2 5" xfId="37924" xr:uid="{00000000-0005-0000-0000-0000FF0C0000}"/>
    <cellStyle name="Comma 4 12 3" xfId="3462" xr:uid="{00000000-0005-0000-0000-0000000D0000}"/>
    <cellStyle name="Comma 4 12 3 2" xfId="3463" xr:uid="{00000000-0005-0000-0000-0000010D0000}"/>
    <cellStyle name="Comma 4 12 3 2 2" xfId="9743" xr:uid="{00000000-0005-0000-0000-0000020D0000}"/>
    <cellStyle name="Comma 4 12 3 2 2 2" xfId="33231" xr:uid="{00000000-0005-0000-0000-0000030D0000}"/>
    <cellStyle name="Comma 4 12 3 2 2 3" xfId="23910" xr:uid="{00000000-0005-0000-0000-0000040D0000}"/>
    <cellStyle name="Comma 4 12 3 2 2 4" xfId="47172" xr:uid="{00000000-0005-0000-0000-0000050D0000}"/>
    <cellStyle name="Comma 4 12 3 2 3" xfId="14480" xr:uid="{00000000-0005-0000-0000-0000060D0000}"/>
    <cellStyle name="Comma 4 12 3 2 3 2" xfId="28612" xr:uid="{00000000-0005-0000-0000-0000070D0000}"/>
    <cellStyle name="Comma 4 12 3 2 3 3" xfId="42502" xr:uid="{00000000-0005-0000-0000-0000080D0000}"/>
    <cellStyle name="Comma 4 12 3 2 4" xfId="19292" xr:uid="{00000000-0005-0000-0000-0000090D0000}"/>
    <cellStyle name="Comma 4 12 3 2 5" xfId="37925" xr:uid="{00000000-0005-0000-0000-00000A0D0000}"/>
    <cellStyle name="Comma 4 12 4" xfId="3464" xr:uid="{00000000-0005-0000-0000-00000B0D0000}"/>
    <cellStyle name="Comma 4 12 4 2" xfId="3465" xr:uid="{00000000-0005-0000-0000-00000C0D0000}"/>
    <cellStyle name="Comma 4 12 4 2 2" xfId="9744" xr:uid="{00000000-0005-0000-0000-00000D0D0000}"/>
    <cellStyle name="Comma 4 12 4 2 2 2" xfId="33232" xr:uid="{00000000-0005-0000-0000-00000E0D0000}"/>
    <cellStyle name="Comma 4 12 4 2 2 3" xfId="23911" xr:uid="{00000000-0005-0000-0000-00000F0D0000}"/>
    <cellStyle name="Comma 4 12 4 2 2 4" xfId="47173" xr:uid="{00000000-0005-0000-0000-0000100D0000}"/>
    <cellStyle name="Comma 4 12 4 2 3" xfId="14481" xr:uid="{00000000-0005-0000-0000-0000110D0000}"/>
    <cellStyle name="Comma 4 12 4 2 3 2" xfId="28613" xr:uid="{00000000-0005-0000-0000-0000120D0000}"/>
    <cellStyle name="Comma 4 12 4 2 3 3" xfId="42503" xr:uid="{00000000-0005-0000-0000-0000130D0000}"/>
    <cellStyle name="Comma 4 12 4 2 4" xfId="19293" xr:uid="{00000000-0005-0000-0000-0000140D0000}"/>
    <cellStyle name="Comma 4 12 4 2 5" xfId="37926" xr:uid="{00000000-0005-0000-0000-0000150D0000}"/>
    <cellStyle name="Comma 4 12 5" xfId="3466" xr:uid="{00000000-0005-0000-0000-0000160D0000}"/>
    <cellStyle name="Comma 4 12 5 2" xfId="3467" xr:uid="{00000000-0005-0000-0000-0000170D0000}"/>
    <cellStyle name="Comma 4 12 5 2 2" xfId="9745" xr:uid="{00000000-0005-0000-0000-0000180D0000}"/>
    <cellStyle name="Comma 4 12 5 2 2 2" xfId="33233" xr:uid="{00000000-0005-0000-0000-0000190D0000}"/>
    <cellStyle name="Comma 4 12 5 2 2 3" xfId="23912" xr:uid="{00000000-0005-0000-0000-00001A0D0000}"/>
    <cellStyle name="Comma 4 12 5 2 2 4" xfId="47174" xr:uid="{00000000-0005-0000-0000-00001B0D0000}"/>
    <cellStyle name="Comma 4 12 5 2 3" xfId="14482" xr:uid="{00000000-0005-0000-0000-00001C0D0000}"/>
    <cellStyle name="Comma 4 12 5 2 3 2" xfId="28614" xr:uid="{00000000-0005-0000-0000-00001D0D0000}"/>
    <cellStyle name="Comma 4 12 5 2 3 3" xfId="42504" xr:uid="{00000000-0005-0000-0000-00001E0D0000}"/>
    <cellStyle name="Comma 4 12 5 2 4" xfId="19294" xr:uid="{00000000-0005-0000-0000-00001F0D0000}"/>
    <cellStyle name="Comma 4 12 5 2 5" xfId="37927" xr:uid="{00000000-0005-0000-0000-0000200D0000}"/>
    <cellStyle name="Comma 4 12 6" xfId="3468" xr:uid="{00000000-0005-0000-0000-0000210D0000}"/>
    <cellStyle name="Comma 4 12 6 2" xfId="3469" xr:uid="{00000000-0005-0000-0000-0000220D0000}"/>
    <cellStyle name="Comma 4 12 6 2 2" xfId="9746" xr:uid="{00000000-0005-0000-0000-0000230D0000}"/>
    <cellStyle name="Comma 4 12 6 2 2 2" xfId="33234" xr:uid="{00000000-0005-0000-0000-0000240D0000}"/>
    <cellStyle name="Comma 4 12 6 2 2 3" xfId="23913" xr:uid="{00000000-0005-0000-0000-0000250D0000}"/>
    <cellStyle name="Comma 4 12 6 2 2 4" xfId="47175" xr:uid="{00000000-0005-0000-0000-0000260D0000}"/>
    <cellStyle name="Comma 4 12 6 2 3" xfId="14483" xr:uid="{00000000-0005-0000-0000-0000270D0000}"/>
    <cellStyle name="Comma 4 12 6 2 3 2" xfId="28615" xr:uid="{00000000-0005-0000-0000-0000280D0000}"/>
    <cellStyle name="Comma 4 12 6 2 3 3" xfId="42505" xr:uid="{00000000-0005-0000-0000-0000290D0000}"/>
    <cellStyle name="Comma 4 12 6 2 4" xfId="19295" xr:uid="{00000000-0005-0000-0000-00002A0D0000}"/>
    <cellStyle name="Comma 4 12 6 2 5" xfId="37928" xr:uid="{00000000-0005-0000-0000-00002B0D0000}"/>
    <cellStyle name="Comma 4 12 7" xfId="3470" xr:uid="{00000000-0005-0000-0000-00002C0D0000}"/>
    <cellStyle name="Comma 4 12 7 2" xfId="9747" xr:uid="{00000000-0005-0000-0000-00002D0D0000}"/>
    <cellStyle name="Comma 4 12 7 2 2" xfId="33235" xr:uid="{00000000-0005-0000-0000-00002E0D0000}"/>
    <cellStyle name="Comma 4 12 7 2 3" xfId="23914" xr:uid="{00000000-0005-0000-0000-00002F0D0000}"/>
    <cellStyle name="Comma 4 12 7 2 4" xfId="47176" xr:uid="{00000000-0005-0000-0000-0000300D0000}"/>
    <cellStyle name="Comma 4 12 7 3" xfId="14484" xr:uid="{00000000-0005-0000-0000-0000310D0000}"/>
    <cellStyle name="Comma 4 12 7 3 2" xfId="28616" xr:uid="{00000000-0005-0000-0000-0000320D0000}"/>
    <cellStyle name="Comma 4 12 7 3 3" xfId="42506" xr:uid="{00000000-0005-0000-0000-0000330D0000}"/>
    <cellStyle name="Comma 4 12 7 4" xfId="19296" xr:uid="{00000000-0005-0000-0000-0000340D0000}"/>
    <cellStyle name="Comma 4 12 7 5" xfId="37929" xr:uid="{00000000-0005-0000-0000-0000350D0000}"/>
    <cellStyle name="Comma 4 13" xfId="3471" xr:uid="{00000000-0005-0000-0000-0000360D0000}"/>
    <cellStyle name="Comma 4 13 2" xfId="3472" xr:uid="{00000000-0005-0000-0000-0000370D0000}"/>
    <cellStyle name="Comma 4 13 2 2" xfId="3473" xr:uid="{00000000-0005-0000-0000-0000380D0000}"/>
    <cellStyle name="Comma 4 13 2 2 2" xfId="9748" xr:uid="{00000000-0005-0000-0000-0000390D0000}"/>
    <cellStyle name="Comma 4 13 2 2 2 2" xfId="33236" xr:uid="{00000000-0005-0000-0000-00003A0D0000}"/>
    <cellStyle name="Comma 4 13 2 2 2 3" xfId="23915" xr:uid="{00000000-0005-0000-0000-00003B0D0000}"/>
    <cellStyle name="Comma 4 13 2 2 2 4" xfId="47177" xr:uid="{00000000-0005-0000-0000-00003C0D0000}"/>
    <cellStyle name="Comma 4 13 2 2 3" xfId="14485" xr:uid="{00000000-0005-0000-0000-00003D0D0000}"/>
    <cellStyle name="Comma 4 13 2 2 3 2" xfId="28617" xr:uid="{00000000-0005-0000-0000-00003E0D0000}"/>
    <cellStyle name="Comma 4 13 2 2 3 3" xfId="42507" xr:uid="{00000000-0005-0000-0000-00003F0D0000}"/>
    <cellStyle name="Comma 4 13 2 2 4" xfId="19297" xr:uid="{00000000-0005-0000-0000-0000400D0000}"/>
    <cellStyle name="Comma 4 13 2 2 5" xfId="37930" xr:uid="{00000000-0005-0000-0000-0000410D0000}"/>
    <cellStyle name="Comma 4 13 3" xfId="3474" xr:uid="{00000000-0005-0000-0000-0000420D0000}"/>
    <cellStyle name="Comma 4 13 3 2" xfId="3475" xr:uid="{00000000-0005-0000-0000-0000430D0000}"/>
    <cellStyle name="Comma 4 13 3 2 2" xfId="9749" xr:uid="{00000000-0005-0000-0000-0000440D0000}"/>
    <cellStyle name="Comma 4 13 3 2 2 2" xfId="33237" xr:uid="{00000000-0005-0000-0000-0000450D0000}"/>
    <cellStyle name="Comma 4 13 3 2 2 3" xfId="23916" xr:uid="{00000000-0005-0000-0000-0000460D0000}"/>
    <cellStyle name="Comma 4 13 3 2 2 4" xfId="47178" xr:uid="{00000000-0005-0000-0000-0000470D0000}"/>
    <cellStyle name="Comma 4 13 3 2 3" xfId="14486" xr:uid="{00000000-0005-0000-0000-0000480D0000}"/>
    <cellStyle name="Comma 4 13 3 2 3 2" xfId="28618" xr:uid="{00000000-0005-0000-0000-0000490D0000}"/>
    <cellStyle name="Comma 4 13 3 2 3 3" xfId="42508" xr:uid="{00000000-0005-0000-0000-00004A0D0000}"/>
    <cellStyle name="Comma 4 13 3 2 4" xfId="19298" xr:uid="{00000000-0005-0000-0000-00004B0D0000}"/>
    <cellStyle name="Comma 4 13 3 2 5" xfId="37931" xr:uid="{00000000-0005-0000-0000-00004C0D0000}"/>
    <cellStyle name="Comma 4 13 4" xfId="3476" xr:uid="{00000000-0005-0000-0000-00004D0D0000}"/>
    <cellStyle name="Comma 4 13 4 2" xfId="3477" xr:uid="{00000000-0005-0000-0000-00004E0D0000}"/>
    <cellStyle name="Comma 4 13 4 2 2" xfId="9750" xr:uid="{00000000-0005-0000-0000-00004F0D0000}"/>
    <cellStyle name="Comma 4 13 4 2 2 2" xfId="33238" xr:uid="{00000000-0005-0000-0000-0000500D0000}"/>
    <cellStyle name="Comma 4 13 4 2 2 3" xfId="23917" xr:uid="{00000000-0005-0000-0000-0000510D0000}"/>
    <cellStyle name="Comma 4 13 4 2 2 4" xfId="47179" xr:uid="{00000000-0005-0000-0000-0000520D0000}"/>
    <cellStyle name="Comma 4 13 4 2 3" xfId="14487" xr:uid="{00000000-0005-0000-0000-0000530D0000}"/>
    <cellStyle name="Comma 4 13 4 2 3 2" xfId="28619" xr:uid="{00000000-0005-0000-0000-0000540D0000}"/>
    <cellStyle name="Comma 4 13 4 2 3 3" xfId="42509" xr:uid="{00000000-0005-0000-0000-0000550D0000}"/>
    <cellStyle name="Comma 4 13 4 2 4" xfId="19299" xr:uid="{00000000-0005-0000-0000-0000560D0000}"/>
    <cellStyle name="Comma 4 13 4 2 5" xfId="37932" xr:uid="{00000000-0005-0000-0000-0000570D0000}"/>
    <cellStyle name="Comma 4 13 5" xfId="3478" xr:uid="{00000000-0005-0000-0000-0000580D0000}"/>
    <cellStyle name="Comma 4 13 5 2" xfId="3479" xr:uid="{00000000-0005-0000-0000-0000590D0000}"/>
    <cellStyle name="Comma 4 13 5 2 2" xfId="9751" xr:uid="{00000000-0005-0000-0000-00005A0D0000}"/>
    <cellStyle name="Comma 4 13 5 2 2 2" xfId="33239" xr:uid="{00000000-0005-0000-0000-00005B0D0000}"/>
    <cellStyle name="Comma 4 13 5 2 2 3" xfId="23918" xr:uid="{00000000-0005-0000-0000-00005C0D0000}"/>
    <cellStyle name="Comma 4 13 5 2 2 4" xfId="47180" xr:uid="{00000000-0005-0000-0000-00005D0D0000}"/>
    <cellStyle name="Comma 4 13 5 2 3" xfId="14488" xr:uid="{00000000-0005-0000-0000-00005E0D0000}"/>
    <cellStyle name="Comma 4 13 5 2 3 2" xfId="28620" xr:uid="{00000000-0005-0000-0000-00005F0D0000}"/>
    <cellStyle name="Comma 4 13 5 2 3 3" xfId="42510" xr:uid="{00000000-0005-0000-0000-0000600D0000}"/>
    <cellStyle name="Comma 4 13 5 2 4" xfId="19300" xr:uid="{00000000-0005-0000-0000-0000610D0000}"/>
    <cellStyle name="Comma 4 13 5 2 5" xfId="37933" xr:uid="{00000000-0005-0000-0000-0000620D0000}"/>
    <cellStyle name="Comma 4 13 6" xfId="3480" xr:uid="{00000000-0005-0000-0000-0000630D0000}"/>
    <cellStyle name="Comma 4 13 6 2" xfId="3481" xr:uid="{00000000-0005-0000-0000-0000640D0000}"/>
    <cellStyle name="Comma 4 13 6 2 2" xfId="9752" xr:uid="{00000000-0005-0000-0000-0000650D0000}"/>
    <cellStyle name="Comma 4 13 6 2 2 2" xfId="33240" xr:uid="{00000000-0005-0000-0000-0000660D0000}"/>
    <cellStyle name="Comma 4 13 6 2 2 3" xfId="23919" xr:uid="{00000000-0005-0000-0000-0000670D0000}"/>
    <cellStyle name="Comma 4 13 6 2 2 4" xfId="47181" xr:uid="{00000000-0005-0000-0000-0000680D0000}"/>
    <cellStyle name="Comma 4 13 6 2 3" xfId="14489" xr:uid="{00000000-0005-0000-0000-0000690D0000}"/>
    <cellStyle name="Comma 4 13 6 2 3 2" xfId="28621" xr:uid="{00000000-0005-0000-0000-00006A0D0000}"/>
    <cellStyle name="Comma 4 13 6 2 3 3" xfId="42511" xr:uid="{00000000-0005-0000-0000-00006B0D0000}"/>
    <cellStyle name="Comma 4 13 6 2 4" xfId="19301" xr:uid="{00000000-0005-0000-0000-00006C0D0000}"/>
    <cellStyle name="Comma 4 13 6 2 5" xfId="37934" xr:uid="{00000000-0005-0000-0000-00006D0D0000}"/>
    <cellStyle name="Comma 4 13 7" xfId="3482" xr:uid="{00000000-0005-0000-0000-00006E0D0000}"/>
    <cellStyle name="Comma 4 13 7 2" xfId="9753" xr:uid="{00000000-0005-0000-0000-00006F0D0000}"/>
    <cellStyle name="Comma 4 13 7 2 2" xfId="33241" xr:uid="{00000000-0005-0000-0000-0000700D0000}"/>
    <cellStyle name="Comma 4 13 7 2 3" xfId="23920" xr:uid="{00000000-0005-0000-0000-0000710D0000}"/>
    <cellStyle name="Comma 4 13 7 2 4" xfId="47182" xr:uid="{00000000-0005-0000-0000-0000720D0000}"/>
    <cellStyle name="Comma 4 13 7 3" xfId="14490" xr:uid="{00000000-0005-0000-0000-0000730D0000}"/>
    <cellStyle name="Comma 4 13 7 3 2" xfId="28622" xr:uid="{00000000-0005-0000-0000-0000740D0000}"/>
    <cellStyle name="Comma 4 13 7 3 3" xfId="42512" xr:uid="{00000000-0005-0000-0000-0000750D0000}"/>
    <cellStyle name="Comma 4 13 7 4" xfId="19302" xr:uid="{00000000-0005-0000-0000-0000760D0000}"/>
    <cellStyle name="Comma 4 13 7 5" xfId="37935" xr:uid="{00000000-0005-0000-0000-0000770D0000}"/>
    <cellStyle name="Comma 4 14" xfId="3483" xr:uid="{00000000-0005-0000-0000-0000780D0000}"/>
    <cellStyle name="Comma 4 14 2" xfId="3484" xr:uid="{00000000-0005-0000-0000-0000790D0000}"/>
    <cellStyle name="Comma 4 14 2 2" xfId="3485" xr:uid="{00000000-0005-0000-0000-00007A0D0000}"/>
    <cellStyle name="Comma 4 14 2 2 2" xfId="9754" xr:uid="{00000000-0005-0000-0000-00007B0D0000}"/>
    <cellStyle name="Comma 4 14 2 2 2 2" xfId="33242" xr:uid="{00000000-0005-0000-0000-00007C0D0000}"/>
    <cellStyle name="Comma 4 14 2 2 2 3" xfId="23921" xr:uid="{00000000-0005-0000-0000-00007D0D0000}"/>
    <cellStyle name="Comma 4 14 2 2 2 4" xfId="47183" xr:uid="{00000000-0005-0000-0000-00007E0D0000}"/>
    <cellStyle name="Comma 4 14 2 2 3" xfId="14491" xr:uid="{00000000-0005-0000-0000-00007F0D0000}"/>
    <cellStyle name="Comma 4 14 2 2 3 2" xfId="28623" xr:uid="{00000000-0005-0000-0000-0000800D0000}"/>
    <cellStyle name="Comma 4 14 2 2 3 3" xfId="42513" xr:uid="{00000000-0005-0000-0000-0000810D0000}"/>
    <cellStyle name="Comma 4 14 2 2 4" xfId="19303" xr:uid="{00000000-0005-0000-0000-0000820D0000}"/>
    <cellStyle name="Comma 4 14 2 2 5" xfId="37936" xr:uid="{00000000-0005-0000-0000-0000830D0000}"/>
    <cellStyle name="Comma 4 14 3" xfId="3486" xr:uid="{00000000-0005-0000-0000-0000840D0000}"/>
    <cellStyle name="Comma 4 14 3 2" xfId="3487" xr:uid="{00000000-0005-0000-0000-0000850D0000}"/>
    <cellStyle name="Comma 4 14 3 2 2" xfId="9755" xr:uid="{00000000-0005-0000-0000-0000860D0000}"/>
    <cellStyle name="Comma 4 14 3 2 2 2" xfId="33243" xr:uid="{00000000-0005-0000-0000-0000870D0000}"/>
    <cellStyle name="Comma 4 14 3 2 2 3" xfId="23922" xr:uid="{00000000-0005-0000-0000-0000880D0000}"/>
    <cellStyle name="Comma 4 14 3 2 2 4" xfId="47184" xr:uid="{00000000-0005-0000-0000-0000890D0000}"/>
    <cellStyle name="Comma 4 14 3 2 3" xfId="14492" xr:uid="{00000000-0005-0000-0000-00008A0D0000}"/>
    <cellStyle name="Comma 4 14 3 2 3 2" xfId="28624" xr:uid="{00000000-0005-0000-0000-00008B0D0000}"/>
    <cellStyle name="Comma 4 14 3 2 3 3" xfId="42514" xr:uid="{00000000-0005-0000-0000-00008C0D0000}"/>
    <cellStyle name="Comma 4 14 3 2 4" xfId="19304" xr:uid="{00000000-0005-0000-0000-00008D0D0000}"/>
    <cellStyle name="Comma 4 14 3 2 5" xfId="37937" xr:uid="{00000000-0005-0000-0000-00008E0D0000}"/>
    <cellStyle name="Comma 4 14 4" xfId="3488" xr:uid="{00000000-0005-0000-0000-00008F0D0000}"/>
    <cellStyle name="Comma 4 14 4 2" xfId="3489" xr:uid="{00000000-0005-0000-0000-0000900D0000}"/>
    <cellStyle name="Comma 4 14 4 2 2" xfId="9756" xr:uid="{00000000-0005-0000-0000-0000910D0000}"/>
    <cellStyle name="Comma 4 14 4 2 2 2" xfId="33244" xr:uid="{00000000-0005-0000-0000-0000920D0000}"/>
    <cellStyle name="Comma 4 14 4 2 2 3" xfId="23923" xr:uid="{00000000-0005-0000-0000-0000930D0000}"/>
    <cellStyle name="Comma 4 14 4 2 2 4" xfId="47185" xr:uid="{00000000-0005-0000-0000-0000940D0000}"/>
    <cellStyle name="Comma 4 14 4 2 3" xfId="14493" xr:uid="{00000000-0005-0000-0000-0000950D0000}"/>
    <cellStyle name="Comma 4 14 4 2 3 2" xfId="28625" xr:uid="{00000000-0005-0000-0000-0000960D0000}"/>
    <cellStyle name="Comma 4 14 4 2 3 3" xfId="42515" xr:uid="{00000000-0005-0000-0000-0000970D0000}"/>
    <cellStyle name="Comma 4 14 4 2 4" xfId="19305" xr:uid="{00000000-0005-0000-0000-0000980D0000}"/>
    <cellStyle name="Comma 4 14 4 2 5" xfId="37938" xr:uid="{00000000-0005-0000-0000-0000990D0000}"/>
    <cellStyle name="Comma 4 14 5" xfId="3490" xr:uid="{00000000-0005-0000-0000-00009A0D0000}"/>
    <cellStyle name="Comma 4 14 5 2" xfId="3491" xr:uid="{00000000-0005-0000-0000-00009B0D0000}"/>
    <cellStyle name="Comma 4 14 5 2 2" xfId="9757" xr:uid="{00000000-0005-0000-0000-00009C0D0000}"/>
    <cellStyle name="Comma 4 14 5 2 2 2" xfId="33245" xr:uid="{00000000-0005-0000-0000-00009D0D0000}"/>
    <cellStyle name="Comma 4 14 5 2 2 3" xfId="23924" xr:uid="{00000000-0005-0000-0000-00009E0D0000}"/>
    <cellStyle name="Comma 4 14 5 2 2 4" xfId="47186" xr:uid="{00000000-0005-0000-0000-00009F0D0000}"/>
    <cellStyle name="Comma 4 14 5 2 3" xfId="14494" xr:uid="{00000000-0005-0000-0000-0000A00D0000}"/>
    <cellStyle name="Comma 4 14 5 2 3 2" xfId="28626" xr:uid="{00000000-0005-0000-0000-0000A10D0000}"/>
    <cellStyle name="Comma 4 14 5 2 3 3" xfId="42516" xr:uid="{00000000-0005-0000-0000-0000A20D0000}"/>
    <cellStyle name="Comma 4 14 5 2 4" xfId="19306" xr:uid="{00000000-0005-0000-0000-0000A30D0000}"/>
    <cellStyle name="Comma 4 14 5 2 5" xfId="37939" xr:uid="{00000000-0005-0000-0000-0000A40D0000}"/>
    <cellStyle name="Comma 4 14 6" xfId="3492" xr:uid="{00000000-0005-0000-0000-0000A50D0000}"/>
    <cellStyle name="Comma 4 14 6 2" xfId="3493" xr:uid="{00000000-0005-0000-0000-0000A60D0000}"/>
    <cellStyle name="Comma 4 14 6 2 2" xfId="9758" xr:uid="{00000000-0005-0000-0000-0000A70D0000}"/>
    <cellStyle name="Comma 4 14 6 2 2 2" xfId="33246" xr:uid="{00000000-0005-0000-0000-0000A80D0000}"/>
    <cellStyle name="Comma 4 14 6 2 2 3" xfId="23925" xr:uid="{00000000-0005-0000-0000-0000A90D0000}"/>
    <cellStyle name="Comma 4 14 6 2 2 4" xfId="47187" xr:uid="{00000000-0005-0000-0000-0000AA0D0000}"/>
    <cellStyle name="Comma 4 14 6 2 3" xfId="14495" xr:uid="{00000000-0005-0000-0000-0000AB0D0000}"/>
    <cellStyle name="Comma 4 14 6 2 3 2" xfId="28627" xr:uid="{00000000-0005-0000-0000-0000AC0D0000}"/>
    <cellStyle name="Comma 4 14 6 2 3 3" xfId="42517" xr:uid="{00000000-0005-0000-0000-0000AD0D0000}"/>
    <cellStyle name="Comma 4 14 6 2 4" xfId="19307" xr:uid="{00000000-0005-0000-0000-0000AE0D0000}"/>
    <cellStyle name="Comma 4 14 6 2 5" xfId="37940" xr:uid="{00000000-0005-0000-0000-0000AF0D0000}"/>
    <cellStyle name="Comma 4 14 7" xfId="3494" xr:uid="{00000000-0005-0000-0000-0000B00D0000}"/>
    <cellStyle name="Comma 4 14 7 2" xfId="9759" xr:uid="{00000000-0005-0000-0000-0000B10D0000}"/>
    <cellStyle name="Comma 4 14 7 2 2" xfId="33247" xr:uid="{00000000-0005-0000-0000-0000B20D0000}"/>
    <cellStyle name="Comma 4 14 7 2 3" xfId="23926" xr:uid="{00000000-0005-0000-0000-0000B30D0000}"/>
    <cellStyle name="Comma 4 14 7 2 4" xfId="47188" xr:uid="{00000000-0005-0000-0000-0000B40D0000}"/>
    <cellStyle name="Comma 4 14 7 3" xfId="14496" xr:uid="{00000000-0005-0000-0000-0000B50D0000}"/>
    <cellStyle name="Comma 4 14 7 3 2" xfId="28628" xr:uid="{00000000-0005-0000-0000-0000B60D0000}"/>
    <cellStyle name="Comma 4 14 7 3 3" xfId="42518" xr:uid="{00000000-0005-0000-0000-0000B70D0000}"/>
    <cellStyle name="Comma 4 14 7 4" xfId="19308" xr:uid="{00000000-0005-0000-0000-0000B80D0000}"/>
    <cellStyle name="Comma 4 14 7 5" xfId="37941" xr:uid="{00000000-0005-0000-0000-0000B90D0000}"/>
    <cellStyle name="Comma 4 15" xfId="3495" xr:uid="{00000000-0005-0000-0000-0000BA0D0000}"/>
    <cellStyle name="Comma 4 15 2" xfId="3496" xr:uid="{00000000-0005-0000-0000-0000BB0D0000}"/>
    <cellStyle name="Comma 4 15 2 2" xfId="3497" xr:uid="{00000000-0005-0000-0000-0000BC0D0000}"/>
    <cellStyle name="Comma 4 15 2 2 2" xfId="9760" xr:uid="{00000000-0005-0000-0000-0000BD0D0000}"/>
    <cellStyle name="Comma 4 15 2 2 2 2" xfId="33248" xr:uid="{00000000-0005-0000-0000-0000BE0D0000}"/>
    <cellStyle name="Comma 4 15 2 2 2 3" xfId="23927" xr:uid="{00000000-0005-0000-0000-0000BF0D0000}"/>
    <cellStyle name="Comma 4 15 2 2 2 4" xfId="47189" xr:uid="{00000000-0005-0000-0000-0000C00D0000}"/>
    <cellStyle name="Comma 4 15 2 2 3" xfId="14497" xr:uid="{00000000-0005-0000-0000-0000C10D0000}"/>
    <cellStyle name="Comma 4 15 2 2 3 2" xfId="28629" xr:uid="{00000000-0005-0000-0000-0000C20D0000}"/>
    <cellStyle name="Comma 4 15 2 2 3 3" xfId="42519" xr:uid="{00000000-0005-0000-0000-0000C30D0000}"/>
    <cellStyle name="Comma 4 15 2 2 4" xfId="19309" xr:uid="{00000000-0005-0000-0000-0000C40D0000}"/>
    <cellStyle name="Comma 4 15 2 2 5" xfId="37942" xr:uid="{00000000-0005-0000-0000-0000C50D0000}"/>
    <cellStyle name="Comma 4 15 3" xfId="3498" xr:uid="{00000000-0005-0000-0000-0000C60D0000}"/>
    <cellStyle name="Comma 4 15 3 2" xfId="3499" xr:uid="{00000000-0005-0000-0000-0000C70D0000}"/>
    <cellStyle name="Comma 4 15 3 2 2" xfId="9761" xr:uid="{00000000-0005-0000-0000-0000C80D0000}"/>
    <cellStyle name="Comma 4 15 3 2 2 2" xfId="33249" xr:uid="{00000000-0005-0000-0000-0000C90D0000}"/>
    <cellStyle name="Comma 4 15 3 2 2 3" xfId="23928" xr:uid="{00000000-0005-0000-0000-0000CA0D0000}"/>
    <cellStyle name="Comma 4 15 3 2 2 4" xfId="47190" xr:uid="{00000000-0005-0000-0000-0000CB0D0000}"/>
    <cellStyle name="Comma 4 15 3 2 3" xfId="14498" xr:uid="{00000000-0005-0000-0000-0000CC0D0000}"/>
    <cellStyle name="Comma 4 15 3 2 3 2" xfId="28630" xr:uid="{00000000-0005-0000-0000-0000CD0D0000}"/>
    <cellStyle name="Comma 4 15 3 2 3 3" xfId="42520" xr:uid="{00000000-0005-0000-0000-0000CE0D0000}"/>
    <cellStyle name="Comma 4 15 3 2 4" xfId="19310" xr:uid="{00000000-0005-0000-0000-0000CF0D0000}"/>
    <cellStyle name="Comma 4 15 3 2 5" xfId="37943" xr:uid="{00000000-0005-0000-0000-0000D00D0000}"/>
    <cellStyle name="Comma 4 15 4" xfId="3500" xr:uid="{00000000-0005-0000-0000-0000D10D0000}"/>
    <cellStyle name="Comma 4 15 4 2" xfId="3501" xr:uid="{00000000-0005-0000-0000-0000D20D0000}"/>
    <cellStyle name="Comma 4 15 4 2 2" xfId="9762" xr:uid="{00000000-0005-0000-0000-0000D30D0000}"/>
    <cellStyle name="Comma 4 15 4 2 2 2" xfId="33250" xr:uid="{00000000-0005-0000-0000-0000D40D0000}"/>
    <cellStyle name="Comma 4 15 4 2 2 3" xfId="23929" xr:uid="{00000000-0005-0000-0000-0000D50D0000}"/>
    <cellStyle name="Comma 4 15 4 2 2 4" xfId="47191" xr:uid="{00000000-0005-0000-0000-0000D60D0000}"/>
    <cellStyle name="Comma 4 15 4 2 3" xfId="14499" xr:uid="{00000000-0005-0000-0000-0000D70D0000}"/>
    <cellStyle name="Comma 4 15 4 2 3 2" xfId="28631" xr:uid="{00000000-0005-0000-0000-0000D80D0000}"/>
    <cellStyle name="Comma 4 15 4 2 3 3" xfId="42521" xr:uid="{00000000-0005-0000-0000-0000D90D0000}"/>
    <cellStyle name="Comma 4 15 4 2 4" xfId="19311" xr:uid="{00000000-0005-0000-0000-0000DA0D0000}"/>
    <cellStyle name="Comma 4 15 4 2 5" xfId="37944" xr:uid="{00000000-0005-0000-0000-0000DB0D0000}"/>
    <cellStyle name="Comma 4 15 5" xfId="3502" xr:uid="{00000000-0005-0000-0000-0000DC0D0000}"/>
    <cellStyle name="Comma 4 15 5 2" xfId="3503" xr:uid="{00000000-0005-0000-0000-0000DD0D0000}"/>
    <cellStyle name="Comma 4 15 5 2 2" xfId="9763" xr:uid="{00000000-0005-0000-0000-0000DE0D0000}"/>
    <cellStyle name="Comma 4 15 5 2 2 2" xfId="33251" xr:uid="{00000000-0005-0000-0000-0000DF0D0000}"/>
    <cellStyle name="Comma 4 15 5 2 2 3" xfId="23930" xr:uid="{00000000-0005-0000-0000-0000E00D0000}"/>
    <cellStyle name="Comma 4 15 5 2 2 4" xfId="47192" xr:uid="{00000000-0005-0000-0000-0000E10D0000}"/>
    <cellStyle name="Comma 4 15 5 2 3" xfId="14500" xr:uid="{00000000-0005-0000-0000-0000E20D0000}"/>
    <cellStyle name="Comma 4 15 5 2 3 2" xfId="28632" xr:uid="{00000000-0005-0000-0000-0000E30D0000}"/>
    <cellStyle name="Comma 4 15 5 2 3 3" xfId="42522" xr:uid="{00000000-0005-0000-0000-0000E40D0000}"/>
    <cellStyle name="Comma 4 15 5 2 4" xfId="19312" xr:uid="{00000000-0005-0000-0000-0000E50D0000}"/>
    <cellStyle name="Comma 4 15 5 2 5" xfId="37945" xr:uid="{00000000-0005-0000-0000-0000E60D0000}"/>
    <cellStyle name="Comma 4 15 6" xfId="3504" xr:uid="{00000000-0005-0000-0000-0000E70D0000}"/>
    <cellStyle name="Comma 4 15 6 2" xfId="3505" xr:uid="{00000000-0005-0000-0000-0000E80D0000}"/>
    <cellStyle name="Comma 4 15 6 2 2" xfId="9764" xr:uid="{00000000-0005-0000-0000-0000E90D0000}"/>
    <cellStyle name="Comma 4 15 6 2 2 2" xfId="33252" xr:uid="{00000000-0005-0000-0000-0000EA0D0000}"/>
    <cellStyle name="Comma 4 15 6 2 2 3" xfId="23931" xr:uid="{00000000-0005-0000-0000-0000EB0D0000}"/>
    <cellStyle name="Comma 4 15 6 2 2 4" xfId="47193" xr:uid="{00000000-0005-0000-0000-0000EC0D0000}"/>
    <cellStyle name="Comma 4 15 6 2 3" xfId="14501" xr:uid="{00000000-0005-0000-0000-0000ED0D0000}"/>
    <cellStyle name="Comma 4 15 6 2 3 2" xfId="28633" xr:uid="{00000000-0005-0000-0000-0000EE0D0000}"/>
    <cellStyle name="Comma 4 15 6 2 3 3" xfId="42523" xr:uid="{00000000-0005-0000-0000-0000EF0D0000}"/>
    <cellStyle name="Comma 4 15 6 2 4" xfId="19313" xr:uid="{00000000-0005-0000-0000-0000F00D0000}"/>
    <cellStyle name="Comma 4 15 6 2 5" xfId="37946" xr:uid="{00000000-0005-0000-0000-0000F10D0000}"/>
    <cellStyle name="Comma 4 15 7" xfId="3506" xr:uid="{00000000-0005-0000-0000-0000F20D0000}"/>
    <cellStyle name="Comma 4 15 7 2" xfId="9765" xr:uid="{00000000-0005-0000-0000-0000F30D0000}"/>
    <cellStyle name="Comma 4 15 7 2 2" xfId="33253" xr:uid="{00000000-0005-0000-0000-0000F40D0000}"/>
    <cellStyle name="Comma 4 15 7 2 3" xfId="23932" xr:uid="{00000000-0005-0000-0000-0000F50D0000}"/>
    <cellStyle name="Comma 4 15 7 2 4" xfId="47194" xr:uid="{00000000-0005-0000-0000-0000F60D0000}"/>
    <cellStyle name="Comma 4 15 7 3" xfId="14502" xr:uid="{00000000-0005-0000-0000-0000F70D0000}"/>
    <cellStyle name="Comma 4 15 7 3 2" xfId="28634" xr:uid="{00000000-0005-0000-0000-0000F80D0000}"/>
    <cellStyle name="Comma 4 15 7 3 3" xfId="42524" xr:uid="{00000000-0005-0000-0000-0000F90D0000}"/>
    <cellStyle name="Comma 4 15 7 4" xfId="19314" xr:uid="{00000000-0005-0000-0000-0000FA0D0000}"/>
    <cellStyle name="Comma 4 15 7 5" xfId="37947" xr:uid="{00000000-0005-0000-0000-0000FB0D0000}"/>
    <cellStyle name="Comma 4 16" xfId="3507" xr:uid="{00000000-0005-0000-0000-0000FC0D0000}"/>
    <cellStyle name="Comma 4 16 2" xfId="3508" xr:uid="{00000000-0005-0000-0000-0000FD0D0000}"/>
    <cellStyle name="Comma 4 16 2 2" xfId="3509" xr:uid="{00000000-0005-0000-0000-0000FE0D0000}"/>
    <cellStyle name="Comma 4 16 2 2 2" xfId="9766" xr:uid="{00000000-0005-0000-0000-0000FF0D0000}"/>
    <cellStyle name="Comma 4 16 2 2 2 2" xfId="33254" xr:uid="{00000000-0005-0000-0000-0000000E0000}"/>
    <cellStyle name="Comma 4 16 2 2 2 3" xfId="23933" xr:uid="{00000000-0005-0000-0000-0000010E0000}"/>
    <cellStyle name="Comma 4 16 2 2 2 4" xfId="47195" xr:uid="{00000000-0005-0000-0000-0000020E0000}"/>
    <cellStyle name="Comma 4 16 2 2 3" xfId="14503" xr:uid="{00000000-0005-0000-0000-0000030E0000}"/>
    <cellStyle name="Comma 4 16 2 2 3 2" xfId="28635" xr:uid="{00000000-0005-0000-0000-0000040E0000}"/>
    <cellStyle name="Comma 4 16 2 2 3 3" xfId="42525" xr:uid="{00000000-0005-0000-0000-0000050E0000}"/>
    <cellStyle name="Comma 4 16 2 2 4" xfId="19315" xr:uid="{00000000-0005-0000-0000-0000060E0000}"/>
    <cellStyle name="Comma 4 16 2 2 5" xfId="37948" xr:uid="{00000000-0005-0000-0000-0000070E0000}"/>
    <cellStyle name="Comma 4 16 3" xfId="3510" xr:uid="{00000000-0005-0000-0000-0000080E0000}"/>
    <cellStyle name="Comma 4 16 3 2" xfId="3511" xr:uid="{00000000-0005-0000-0000-0000090E0000}"/>
    <cellStyle name="Comma 4 16 3 2 2" xfId="9767" xr:uid="{00000000-0005-0000-0000-00000A0E0000}"/>
    <cellStyle name="Comma 4 16 3 2 2 2" xfId="33255" xr:uid="{00000000-0005-0000-0000-00000B0E0000}"/>
    <cellStyle name="Comma 4 16 3 2 2 3" xfId="23934" xr:uid="{00000000-0005-0000-0000-00000C0E0000}"/>
    <cellStyle name="Comma 4 16 3 2 2 4" xfId="47196" xr:uid="{00000000-0005-0000-0000-00000D0E0000}"/>
    <cellStyle name="Comma 4 16 3 2 3" xfId="14504" xr:uid="{00000000-0005-0000-0000-00000E0E0000}"/>
    <cellStyle name="Comma 4 16 3 2 3 2" xfId="28636" xr:uid="{00000000-0005-0000-0000-00000F0E0000}"/>
    <cellStyle name="Comma 4 16 3 2 3 3" xfId="42526" xr:uid="{00000000-0005-0000-0000-0000100E0000}"/>
    <cellStyle name="Comma 4 16 3 2 4" xfId="19316" xr:uid="{00000000-0005-0000-0000-0000110E0000}"/>
    <cellStyle name="Comma 4 16 3 2 5" xfId="37949" xr:uid="{00000000-0005-0000-0000-0000120E0000}"/>
    <cellStyle name="Comma 4 16 4" xfId="3512" xr:uid="{00000000-0005-0000-0000-0000130E0000}"/>
    <cellStyle name="Comma 4 16 4 2" xfId="3513" xr:uid="{00000000-0005-0000-0000-0000140E0000}"/>
    <cellStyle name="Comma 4 16 4 2 2" xfId="9768" xr:uid="{00000000-0005-0000-0000-0000150E0000}"/>
    <cellStyle name="Comma 4 16 4 2 2 2" xfId="33256" xr:uid="{00000000-0005-0000-0000-0000160E0000}"/>
    <cellStyle name="Comma 4 16 4 2 2 3" xfId="23935" xr:uid="{00000000-0005-0000-0000-0000170E0000}"/>
    <cellStyle name="Comma 4 16 4 2 2 4" xfId="47197" xr:uid="{00000000-0005-0000-0000-0000180E0000}"/>
    <cellStyle name="Comma 4 16 4 2 3" xfId="14505" xr:uid="{00000000-0005-0000-0000-0000190E0000}"/>
    <cellStyle name="Comma 4 16 4 2 3 2" xfId="28637" xr:uid="{00000000-0005-0000-0000-00001A0E0000}"/>
    <cellStyle name="Comma 4 16 4 2 3 3" xfId="42527" xr:uid="{00000000-0005-0000-0000-00001B0E0000}"/>
    <cellStyle name="Comma 4 16 4 2 4" xfId="19317" xr:uid="{00000000-0005-0000-0000-00001C0E0000}"/>
    <cellStyle name="Comma 4 16 4 2 5" xfId="37950" xr:uid="{00000000-0005-0000-0000-00001D0E0000}"/>
    <cellStyle name="Comma 4 16 5" xfId="3514" xr:uid="{00000000-0005-0000-0000-00001E0E0000}"/>
    <cellStyle name="Comma 4 16 5 2" xfId="3515" xr:uid="{00000000-0005-0000-0000-00001F0E0000}"/>
    <cellStyle name="Comma 4 16 5 2 2" xfId="9769" xr:uid="{00000000-0005-0000-0000-0000200E0000}"/>
    <cellStyle name="Comma 4 16 5 2 2 2" xfId="33257" xr:uid="{00000000-0005-0000-0000-0000210E0000}"/>
    <cellStyle name="Comma 4 16 5 2 2 3" xfId="23936" xr:uid="{00000000-0005-0000-0000-0000220E0000}"/>
    <cellStyle name="Comma 4 16 5 2 2 4" xfId="47198" xr:uid="{00000000-0005-0000-0000-0000230E0000}"/>
    <cellStyle name="Comma 4 16 5 2 3" xfId="14506" xr:uid="{00000000-0005-0000-0000-0000240E0000}"/>
    <cellStyle name="Comma 4 16 5 2 3 2" xfId="28638" xr:uid="{00000000-0005-0000-0000-0000250E0000}"/>
    <cellStyle name="Comma 4 16 5 2 3 3" xfId="42528" xr:uid="{00000000-0005-0000-0000-0000260E0000}"/>
    <cellStyle name="Comma 4 16 5 2 4" xfId="19318" xr:uid="{00000000-0005-0000-0000-0000270E0000}"/>
    <cellStyle name="Comma 4 16 5 2 5" xfId="37951" xr:uid="{00000000-0005-0000-0000-0000280E0000}"/>
    <cellStyle name="Comma 4 16 6" xfId="3516" xr:uid="{00000000-0005-0000-0000-0000290E0000}"/>
    <cellStyle name="Comma 4 16 6 2" xfId="3517" xr:uid="{00000000-0005-0000-0000-00002A0E0000}"/>
    <cellStyle name="Comma 4 16 6 2 2" xfId="9770" xr:uid="{00000000-0005-0000-0000-00002B0E0000}"/>
    <cellStyle name="Comma 4 16 6 2 2 2" xfId="33258" xr:uid="{00000000-0005-0000-0000-00002C0E0000}"/>
    <cellStyle name="Comma 4 16 6 2 2 3" xfId="23937" xr:uid="{00000000-0005-0000-0000-00002D0E0000}"/>
    <cellStyle name="Comma 4 16 6 2 2 4" xfId="47199" xr:uid="{00000000-0005-0000-0000-00002E0E0000}"/>
    <cellStyle name="Comma 4 16 6 2 3" xfId="14507" xr:uid="{00000000-0005-0000-0000-00002F0E0000}"/>
    <cellStyle name="Comma 4 16 6 2 3 2" xfId="28639" xr:uid="{00000000-0005-0000-0000-0000300E0000}"/>
    <cellStyle name="Comma 4 16 6 2 3 3" xfId="42529" xr:uid="{00000000-0005-0000-0000-0000310E0000}"/>
    <cellStyle name="Comma 4 16 6 2 4" xfId="19319" xr:uid="{00000000-0005-0000-0000-0000320E0000}"/>
    <cellStyle name="Comma 4 16 6 2 5" xfId="37952" xr:uid="{00000000-0005-0000-0000-0000330E0000}"/>
    <cellStyle name="Comma 4 16 7" xfId="3518" xr:uid="{00000000-0005-0000-0000-0000340E0000}"/>
    <cellStyle name="Comma 4 16 7 2" xfId="9771" xr:uid="{00000000-0005-0000-0000-0000350E0000}"/>
    <cellStyle name="Comma 4 16 7 2 2" xfId="33259" xr:uid="{00000000-0005-0000-0000-0000360E0000}"/>
    <cellStyle name="Comma 4 16 7 2 3" xfId="23938" xr:uid="{00000000-0005-0000-0000-0000370E0000}"/>
    <cellStyle name="Comma 4 16 7 2 4" xfId="47200" xr:uid="{00000000-0005-0000-0000-0000380E0000}"/>
    <cellStyle name="Comma 4 16 7 3" xfId="14508" xr:uid="{00000000-0005-0000-0000-0000390E0000}"/>
    <cellStyle name="Comma 4 16 7 3 2" xfId="28640" xr:uid="{00000000-0005-0000-0000-00003A0E0000}"/>
    <cellStyle name="Comma 4 16 7 3 3" xfId="42530" xr:uid="{00000000-0005-0000-0000-00003B0E0000}"/>
    <cellStyle name="Comma 4 16 7 4" xfId="19320" xr:uid="{00000000-0005-0000-0000-00003C0E0000}"/>
    <cellStyle name="Comma 4 16 7 5" xfId="37953" xr:uid="{00000000-0005-0000-0000-00003D0E0000}"/>
    <cellStyle name="Comma 4 17" xfId="3519" xr:uid="{00000000-0005-0000-0000-00003E0E0000}"/>
    <cellStyle name="Comma 4 17 2" xfId="3520" xr:uid="{00000000-0005-0000-0000-00003F0E0000}"/>
    <cellStyle name="Comma 4 17 2 2" xfId="3521" xr:uid="{00000000-0005-0000-0000-0000400E0000}"/>
    <cellStyle name="Comma 4 17 2 2 2" xfId="9772" xr:uid="{00000000-0005-0000-0000-0000410E0000}"/>
    <cellStyle name="Comma 4 17 2 2 2 2" xfId="33260" xr:uid="{00000000-0005-0000-0000-0000420E0000}"/>
    <cellStyle name="Comma 4 17 2 2 2 3" xfId="23939" xr:uid="{00000000-0005-0000-0000-0000430E0000}"/>
    <cellStyle name="Comma 4 17 2 2 2 4" xfId="47201" xr:uid="{00000000-0005-0000-0000-0000440E0000}"/>
    <cellStyle name="Comma 4 17 2 2 3" xfId="14509" xr:uid="{00000000-0005-0000-0000-0000450E0000}"/>
    <cellStyle name="Comma 4 17 2 2 3 2" xfId="28641" xr:uid="{00000000-0005-0000-0000-0000460E0000}"/>
    <cellStyle name="Comma 4 17 2 2 3 3" xfId="42531" xr:uid="{00000000-0005-0000-0000-0000470E0000}"/>
    <cellStyle name="Comma 4 17 2 2 4" xfId="19321" xr:uid="{00000000-0005-0000-0000-0000480E0000}"/>
    <cellStyle name="Comma 4 17 2 2 5" xfId="37954" xr:uid="{00000000-0005-0000-0000-0000490E0000}"/>
    <cellStyle name="Comma 4 17 3" xfId="3522" xr:uid="{00000000-0005-0000-0000-00004A0E0000}"/>
    <cellStyle name="Comma 4 17 3 2" xfId="3523" xr:uid="{00000000-0005-0000-0000-00004B0E0000}"/>
    <cellStyle name="Comma 4 17 3 2 2" xfId="9773" xr:uid="{00000000-0005-0000-0000-00004C0E0000}"/>
    <cellStyle name="Comma 4 17 3 2 2 2" xfId="33261" xr:uid="{00000000-0005-0000-0000-00004D0E0000}"/>
    <cellStyle name="Comma 4 17 3 2 2 3" xfId="23940" xr:uid="{00000000-0005-0000-0000-00004E0E0000}"/>
    <cellStyle name="Comma 4 17 3 2 2 4" xfId="47202" xr:uid="{00000000-0005-0000-0000-00004F0E0000}"/>
    <cellStyle name="Comma 4 17 3 2 3" xfId="14510" xr:uid="{00000000-0005-0000-0000-0000500E0000}"/>
    <cellStyle name="Comma 4 17 3 2 3 2" xfId="28642" xr:uid="{00000000-0005-0000-0000-0000510E0000}"/>
    <cellStyle name="Comma 4 17 3 2 3 3" xfId="42532" xr:uid="{00000000-0005-0000-0000-0000520E0000}"/>
    <cellStyle name="Comma 4 17 3 2 4" xfId="19322" xr:uid="{00000000-0005-0000-0000-0000530E0000}"/>
    <cellStyle name="Comma 4 17 3 2 5" xfId="37955" xr:uid="{00000000-0005-0000-0000-0000540E0000}"/>
    <cellStyle name="Comma 4 17 4" xfId="3524" xr:uid="{00000000-0005-0000-0000-0000550E0000}"/>
    <cellStyle name="Comma 4 17 4 2" xfId="3525" xr:uid="{00000000-0005-0000-0000-0000560E0000}"/>
    <cellStyle name="Comma 4 17 4 2 2" xfId="9774" xr:uid="{00000000-0005-0000-0000-0000570E0000}"/>
    <cellStyle name="Comma 4 17 4 2 2 2" xfId="33262" xr:uid="{00000000-0005-0000-0000-0000580E0000}"/>
    <cellStyle name="Comma 4 17 4 2 2 3" xfId="23941" xr:uid="{00000000-0005-0000-0000-0000590E0000}"/>
    <cellStyle name="Comma 4 17 4 2 2 4" xfId="47203" xr:uid="{00000000-0005-0000-0000-00005A0E0000}"/>
    <cellStyle name="Comma 4 17 4 2 3" xfId="14511" xr:uid="{00000000-0005-0000-0000-00005B0E0000}"/>
    <cellStyle name="Comma 4 17 4 2 3 2" xfId="28643" xr:uid="{00000000-0005-0000-0000-00005C0E0000}"/>
    <cellStyle name="Comma 4 17 4 2 3 3" xfId="42533" xr:uid="{00000000-0005-0000-0000-00005D0E0000}"/>
    <cellStyle name="Comma 4 17 4 2 4" xfId="19323" xr:uid="{00000000-0005-0000-0000-00005E0E0000}"/>
    <cellStyle name="Comma 4 17 4 2 5" xfId="37956" xr:uid="{00000000-0005-0000-0000-00005F0E0000}"/>
    <cellStyle name="Comma 4 17 5" xfId="3526" xr:uid="{00000000-0005-0000-0000-0000600E0000}"/>
    <cellStyle name="Comma 4 17 5 2" xfId="3527" xr:uid="{00000000-0005-0000-0000-0000610E0000}"/>
    <cellStyle name="Comma 4 17 5 2 2" xfId="9775" xr:uid="{00000000-0005-0000-0000-0000620E0000}"/>
    <cellStyle name="Comma 4 17 5 2 2 2" xfId="33263" xr:uid="{00000000-0005-0000-0000-0000630E0000}"/>
    <cellStyle name="Comma 4 17 5 2 2 3" xfId="23942" xr:uid="{00000000-0005-0000-0000-0000640E0000}"/>
    <cellStyle name="Comma 4 17 5 2 2 4" xfId="47204" xr:uid="{00000000-0005-0000-0000-0000650E0000}"/>
    <cellStyle name="Comma 4 17 5 2 3" xfId="14512" xr:uid="{00000000-0005-0000-0000-0000660E0000}"/>
    <cellStyle name="Comma 4 17 5 2 3 2" xfId="28644" xr:uid="{00000000-0005-0000-0000-0000670E0000}"/>
    <cellStyle name="Comma 4 17 5 2 3 3" xfId="42534" xr:uid="{00000000-0005-0000-0000-0000680E0000}"/>
    <cellStyle name="Comma 4 17 5 2 4" xfId="19324" xr:uid="{00000000-0005-0000-0000-0000690E0000}"/>
    <cellStyle name="Comma 4 17 5 2 5" xfId="37957" xr:uid="{00000000-0005-0000-0000-00006A0E0000}"/>
    <cellStyle name="Comma 4 17 6" xfId="3528" xr:uid="{00000000-0005-0000-0000-00006B0E0000}"/>
    <cellStyle name="Comma 4 17 6 2" xfId="3529" xr:uid="{00000000-0005-0000-0000-00006C0E0000}"/>
    <cellStyle name="Comma 4 17 6 2 2" xfId="9776" xr:uid="{00000000-0005-0000-0000-00006D0E0000}"/>
    <cellStyle name="Comma 4 17 6 2 2 2" xfId="33264" xr:uid="{00000000-0005-0000-0000-00006E0E0000}"/>
    <cellStyle name="Comma 4 17 6 2 2 3" xfId="23943" xr:uid="{00000000-0005-0000-0000-00006F0E0000}"/>
    <cellStyle name="Comma 4 17 6 2 2 4" xfId="47205" xr:uid="{00000000-0005-0000-0000-0000700E0000}"/>
    <cellStyle name="Comma 4 17 6 2 3" xfId="14513" xr:uid="{00000000-0005-0000-0000-0000710E0000}"/>
    <cellStyle name="Comma 4 17 6 2 3 2" xfId="28645" xr:uid="{00000000-0005-0000-0000-0000720E0000}"/>
    <cellStyle name="Comma 4 17 6 2 3 3" xfId="42535" xr:uid="{00000000-0005-0000-0000-0000730E0000}"/>
    <cellStyle name="Comma 4 17 6 2 4" xfId="19325" xr:uid="{00000000-0005-0000-0000-0000740E0000}"/>
    <cellStyle name="Comma 4 17 6 2 5" xfId="37958" xr:uid="{00000000-0005-0000-0000-0000750E0000}"/>
    <cellStyle name="Comma 4 17 7" xfId="3530" xr:uid="{00000000-0005-0000-0000-0000760E0000}"/>
    <cellStyle name="Comma 4 17 7 2" xfId="9777" xr:uid="{00000000-0005-0000-0000-0000770E0000}"/>
    <cellStyle name="Comma 4 17 7 2 2" xfId="33265" xr:uid="{00000000-0005-0000-0000-0000780E0000}"/>
    <cellStyle name="Comma 4 17 7 2 3" xfId="23944" xr:uid="{00000000-0005-0000-0000-0000790E0000}"/>
    <cellStyle name="Comma 4 17 7 2 4" xfId="47206" xr:uid="{00000000-0005-0000-0000-00007A0E0000}"/>
    <cellStyle name="Comma 4 17 7 3" xfId="14514" xr:uid="{00000000-0005-0000-0000-00007B0E0000}"/>
    <cellStyle name="Comma 4 17 7 3 2" xfId="28646" xr:uid="{00000000-0005-0000-0000-00007C0E0000}"/>
    <cellStyle name="Comma 4 17 7 3 3" xfId="42536" xr:uid="{00000000-0005-0000-0000-00007D0E0000}"/>
    <cellStyle name="Comma 4 17 7 4" xfId="19326" xr:uid="{00000000-0005-0000-0000-00007E0E0000}"/>
    <cellStyle name="Comma 4 17 7 5" xfId="37959" xr:uid="{00000000-0005-0000-0000-00007F0E0000}"/>
    <cellStyle name="Comma 4 18" xfId="3531" xr:uid="{00000000-0005-0000-0000-0000800E0000}"/>
    <cellStyle name="Comma 4 18 2" xfId="3532" xr:uid="{00000000-0005-0000-0000-0000810E0000}"/>
    <cellStyle name="Comma 4 18 2 2" xfId="3533" xr:uid="{00000000-0005-0000-0000-0000820E0000}"/>
    <cellStyle name="Comma 4 18 2 2 2" xfId="9778" xr:uid="{00000000-0005-0000-0000-0000830E0000}"/>
    <cellStyle name="Comma 4 18 2 2 2 2" xfId="33266" xr:uid="{00000000-0005-0000-0000-0000840E0000}"/>
    <cellStyle name="Comma 4 18 2 2 2 3" xfId="23945" xr:uid="{00000000-0005-0000-0000-0000850E0000}"/>
    <cellStyle name="Comma 4 18 2 2 2 4" xfId="47207" xr:uid="{00000000-0005-0000-0000-0000860E0000}"/>
    <cellStyle name="Comma 4 18 2 2 3" xfId="14515" xr:uid="{00000000-0005-0000-0000-0000870E0000}"/>
    <cellStyle name="Comma 4 18 2 2 3 2" xfId="28647" xr:uid="{00000000-0005-0000-0000-0000880E0000}"/>
    <cellStyle name="Comma 4 18 2 2 3 3" xfId="42537" xr:uid="{00000000-0005-0000-0000-0000890E0000}"/>
    <cellStyle name="Comma 4 18 2 2 4" xfId="19327" xr:uid="{00000000-0005-0000-0000-00008A0E0000}"/>
    <cellStyle name="Comma 4 18 2 2 5" xfId="37960" xr:uid="{00000000-0005-0000-0000-00008B0E0000}"/>
    <cellStyle name="Comma 4 18 3" xfId="3534" xr:uid="{00000000-0005-0000-0000-00008C0E0000}"/>
    <cellStyle name="Comma 4 18 3 2" xfId="3535" xr:uid="{00000000-0005-0000-0000-00008D0E0000}"/>
    <cellStyle name="Comma 4 18 3 2 2" xfId="9779" xr:uid="{00000000-0005-0000-0000-00008E0E0000}"/>
    <cellStyle name="Comma 4 18 3 2 2 2" xfId="33267" xr:uid="{00000000-0005-0000-0000-00008F0E0000}"/>
    <cellStyle name="Comma 4 18 3 2 2 3" xfId="23946" xr:uid="{00000000-0005-0000-0000-0000900E0000}"/>
    <cellStyle name="Comma 4 18 3 2 2 4" xfId="47208" xr:uid="{00000000-0005-0000-0000-0000910E0000}"/>
    <cellStyle name="Comma 4 18 3 2 3" xfId="14516" xr:uid="{00000000-0005-0000-0000-0000920E0000}"/>
    <cellStyle name="Comma 4 18 3 2 3 2" xfId="28648" xr:uid="{00000000-0005-0000-0000-0000930E0000}"/>
    <cellStyle name="Comma 4 18 3 2 3 3" xfId="42538" xr:uid="{00000000-0005-0000-0000-0000940E0000}"/>
    <cellStyle name="Comma 4 18 3 2 4" xfId="19328" xr:uid="{00000000-0005-0000-0000-0000950E0000}"/>
    <cellStyle name="Comma 4 18 3 2 5" xfId="37961" xr:uid="{00000000-0005-0000-0000-0000960E0000}"/>
    <cellStyle name="Comma 4 18 4" xfId="3536" xr:uid="{00000000-0005-0000-0000-0000970E0000}"/>
    <cellStyle name="Comma 4 18 4 2" xfId="3537" xr:uid="{00000000-0005-0000-0000-0000980E0000}"/>
    <cellStyle name="Comma 4 18 4 2 2" xfId="9780" xr:uid="{00000000-0005-0000-0000-0000990E0000}"/>
    <cellStyle name="Comma 4 18 4 2 2 2" xfId="33268" xr:uid="{00000000-0005-0000-0000-00009A0E0000}"/>
    <cellStyle name="Comma 4 18 4 2 2 3" xfId="23947" xr:uid="{00000000-0005-0000-0000-00009B0E0000}"/>
    <cellStyle name="Comma 4 18 4 2 2 4" xfId="47209" xr:uid="{00000000-0005-0000-0000-00009C0E0000}"/>
    <cellStyle name="Comma 4 18 4 2 3" xfId="14517" xr:uid="{00000000-0005-0000-0000-00009D0E0000}"/>
    <cellStyle name="Comma 4 18 4 2 3 2" xfId="28649" xr:uid="{00000000-0005-0000-0000-00009E0E0000}"/>
    <cellStyle name="Comma 4 18 4 2 3 3" xfId="42539" xr:uid="{00000000-0005-0000-0000-00009F0E0000}"/>
    <cellStyle name="Comma 4 18 4 2 4" xfId="19329" xr:uid="{00000000-0005-0000-0000-0000A00E0000}"/>
    <cellStyle name="Comma 4 18 4 2 5" xfId="37962" xr:uid="{00000000-0005-0000-0000-0000A10E0000}"/>
    <cellStyle name="Comma 4 18 5" xfId="3538" xr:uid="{00000000-0005-0000-0000-0000A20E0000}"/>
    <cellStyle name="Comma 4 18 5 2" xfId="3539" xr:uid="{00000000-0005-0000-0000-0000A30E0000}"/>
    <cellStyle name="Comma 4 18 5 2 2" xfId="9781" xr:uid="{00000000-0005-0000-0000-0000A40E0000}"/>
    <cellStyle name="Comma 4 18 5 2 2 2" xfId="33269" xr:uid="{00000000-0005-0000-0000-0000A50E0000}"/>
    <cellStyle name="Comma 4 18 5 2 2 3" xfId="23948" xr:uid="{00000000-0005-0000-0000-0000A60E0000}"/>
    <cellStyle name="Comma 4 18 5 2 2 4" xfId="47210" xr:uid="{00000000-0005-0000-0000-0000A70E0000}"/>
    <cellStyle name="Comma 4 18 5 2 3" xfId="14518" xr:uid="{00000000-0005-0000-0000-0000A80E0000}"/>
    <cellStyle name="Comma 4 18 5 2 3 2" xfId="28650" xr:uid="{00000000-0005-0000-0000-0000A90E0000}"/>
    <cellStyle name="Comma 4 18 5 2 3 3" xfId="42540" xr:uid="{00000000-0005-0000-0000-0000AA0E0000}"/>
    <cellStyle name="Comma 4 18 5 2 4" xfId="19330" xr:uid="{00000000-0005-0000-0000-0000AB0E0000}"/>
    <cellStyle name="Comma 4 18 5 2 5" xfId="37963" xr:uid="{00000000-0005-0000-0000-0000AC0E0000}"/>
    <cellStyle name="Comma 4 18 6" xfId="3540" xr:uid="{00000000-0005-0000-0000-0000AD0E0000}"/>
    <cellStyle name="Comma 4 18 6 2" xfId="3541" xr:uid="{00000000-0005-0000-0000-0000AE0E0000}"/>
    <cellStyle name="Comma 4 18 6 2 2" xfId="9782" xr:uid="{00000000-0005-0000-0000-0000AF0E0000}"/>
    <cellStyle name="Comma 4 18 6 2 2 2" xfId="33270" xr:uid="{00000000-0005-0000-0000-0000B00E0000}"/>
    <cellStyle name="Comma 4 18 6 2 2 3" xfId="23949" xr:uid="{00000000-0005-0000-0000-0000B10E0000}"/>
    <cellStyle name="Comma 4 18 6 2 2 4" xfId="47211" xr:uid="{00000000-0005-0000-0000-0000B20E0000}"/>
    <cellStyle name="Comma 4 18 6 2 3" xfId="14519" xr:uid="{00000000-0005-0000-0000-0000B30E0000}"/>
    <cellStyle name="Comma 4 18 6 2 3 2" xfId="28651" xr:uid="{00000000-0005-0000-0000-0000B40E0000}"/>
    <cellStyle name="Comma 4 18 6 2 3 3" xfId="42541" xr:uid="{00000000-0005-0000-0000-0000B50E0000}"/>
    <cellStyle name="Comma 4 18 6 2 4" xfId="19331" xr:uid="{00000000-0005-0000-0000-0000B60E0000}"/>
    <cellStyle name="Comma 4 18 6 2 5" xfId="37964" xr:uid="{00000000-0005-0000-0000-0000B70E0000}"/>
    <cellStyle name="Comma 4 18 7" xfId="3542" xr:uid="{00000000-0005-0000-0000-0000B80E0000}"/>
    <cellStyle name="Comma 4 18 7 2" xfId="9783" xr:uid="{00000000-0005-0000-0000-0000B90E0000}"/>
    <cellStyle name="Comma 4 18 7 2 2" xfId="33271" xr:uid="{00000000-0005-0000-0000-0000BA0E0000}"/>
    <cellStyle name="Comma 4 18 7 2 3" xfId="23950" xr:uid="{00000000-0005-0000-0000-0000BB0E0000}"/>
    <cellStyle name="Comma 4 18 7 2 4" xfId="47212" xr:uid="{00000000-0005-0000-0000-0000BC0E0000}"/>
    <cellStyle name="Comma 4 18 7 3" xfId="14520" xr:uid="{00000000-0005-0000-0000-0000BD0E0000}"/>
    <cellStyle name="Comma 4 18 7 3 2" xfId="28652" xr:uid="{00000000-0005-0000-0000-0000BE0E0000}"/>
    <cellStyle name="Comma 4 18 7 3 3" xfId="42542" xr:uid="{00000000-0005-0000-0000-0000BF0E0000}"/>
    <cellStyle name="Comma 4 18 7 4" xfId="19332" xr:uid="{00000000-0005-0000-0000-0000C00E0000}"/>
    <cellStyle name="Comma 4 18 7 5" xfId="37965" xr:uid="{00000000-0005-0000-0000-0000C10E0000}"/>
    <cellStyle name="Comma 4 19" xfId="3543" xr:uid="{00000000-0005-0000-0000-0000C20E0000}"/>
    <cellStyle name="Comma 4 19 2" xfId="3544" xr:uid="{00000000-0005-0000-0000-0000C30E0000}"/>
    <cellStyle name="Comma 4 19 2 2" xfId="9784" xr:uid="{00000000-0005-0000-0000-0000C40E0000}"/>
    <cellStyle name="Comma 4 19 2 2 2" xfId="33272" xr:uid="{00000000-0005-0000-0000-0000C50E0000}"/>
    <cellStyle name="Comma 4 19 2 2 3" xfId="23951" xr:uid="{00000000-0005-0000-0000-0000C60E0000}"/>
    <cellStyle name="Comma 4 19 2 2 4" xfId="47213" xr:uid="{00000000-0005-0000-0000-0000C70E0000}"/>
    <cellStyle name="Comma 4 19 2 3" xfId="14521" xr:uid="{00000000-0005-0000-0000-0000C80E0000}"/>
    <cellStyle name="Comma 4 19 2 3 2" xfId="28653" xr:uid="{00000000-0005-0000-0000-0000C90E0000}"/>
    <cellStyle name="Comma 4 19 2 3 3" xfId="42543" xr:uid="{00000000-0005-0000-0000-0000CA0E0000}"/>
    <cellStyle name="Comma 4 19 2 4" xfId="19333" xr:uid="{00000000-0005-0000-0000-0000CB0E0000}"/>
    <cellStyle name="Comma 4 19 2 5" xfId="37966" xr:uid="{00000000-0005-0000-0000-0000CC0E0000}"/>
    <cellStyle name="Comma 4 2" xfId="65" xr:uid="{00000000-0005-0000-0000-0000CD0E0000}"/>
    <cellStyle name="Comma 4 2 10" xfId="3546" xr:uid="{00000000-0005-0000-0000-0000CE0E0000}"/>
    <cellStyle name="Comma 4 2 11" xfId="3547" xr:uid="{00000000-0005-0000-0000-0000CF0E0000}"/>
    <cellStyle name="Comma 4 2 12" xfId="3548" xr:uid="{00000000-0005-0000-0000-0000D00E0000}"/>
    <cellStyle name="Comma 4 2 13" xfId="3549" xr:uid="{00000000-0005-0000-0000-0000D10E0000}"/>
    <cellStyle name="Comma 4 2 14" xfId="3550" xr:uid="{00000000-0005-0000-0000-0000D20E0000}"/>
    <cellStyle name="Comma 4 2 15" xfId="3551" xr:uid="{00000000-0005-0000-0000-0000D30E0000}"/>
    <cellStyle name="Comma 4 2 16" xfId="3552" xr:uid="{00000000-0005-0000-0000-0000D40E0000}"/>
    <cellStyle name="Comma 4 2 17" xfId="3553" xr:uid="{00000000-0005-0000-0000-0000D50E0000}"/>
    <cellStyle name="Comma 4 2 18" xfId="3554" xr:uid="{00000000-0005-0000-0000-0000D60E0000}"/>
    <cellStyle name="Comma 4 2 19" xfId="3555" xr:uid="{00000000-0005-0000-0000-0000D70E0000}"/>
    <cellStyle name="Comma 4 2 19 2" xfId="3556" xr:uid="{00000000-0005-0000-0000-0000D80E0000}"/>
    <cellStyle name="Comma 4 2 19 2 2" xfId="9785" xr:uid="{00000000-0005-0000-0000-0000D90E0000}"/>
    <cellStyle name="Comma 4 2 19 2 2 2" xfId="33273" xr:uid="{00000000-0005-0000-0000-0000DA0E0000}"/>
    <cellStyle name="Comma 4 2 19 2 2 3" xfId="23952" xr:uid="{00000000-0005-0000-0000-0000DB0E0000}"/>
    <cellStyle name="Comma 4 2 19 2 2 4" xfId="47214" xr:uid="{00000000-0005-0000-0000-0000DC0E0000}"/>
    <cellStyle name="Comma 4 2 19 2 3" xfId="14522" xr:uid="{00000000-0005-0000-0000-0000DD0E0000}"/>
    <cellStyle name="Comma 4 2 19 2 3 2" xfId="28654" xr:uid="{00000000-0005-0000-0000-0000DE0E0000}"/>
    <cellStyle name="Comma 4 2 19 2 3 3" xfId="42544" xr:uid="{00000000-0005-0000-0000-0000DF0E0000}"/>
    <cellStyle name="Comma 4 2 19 2 4" xfId="19334" xr:uid="{00000000-0005-0000-0000-0000E00E0000}"/>
    <cellStyle name="Comma 4 2 19 2 5" xfId="37967" xr:uid="{00000000-0005-0000-0000-0000E10E0000}"/>
    <cellStyle name="Comma 4 2 2" xfId="3557" xr:uid="{00000000-0005-0000-0000-0000E20E0000}"/>
    <cellStyle name="Comma 4 2 20" xfId="3558" xr:uid="{00000000-0005-0000-0000-0000E30E0000}"/>
    <cellStyle name="Comma 4 2 20 2" xfId="3559" xr:uid="{00000000-0005-0000-0000-0000E40E0000}"/>
    <cellStyle name="Comma 4 2 20 2 2" xfId="9786" xr:uid="{00000000-0005-0000-0000-0000E50E0000}"/>
    <cellStyle name="Comma 4 2 20 2 2 2" xfId="33274" xr:uid="{00000000-0005-0000-0000-0000E60E0000}"/>
    <cellStyle name="Comma 4 2 20 2 2 3" xfId="23953" xr:uid="{00000000-0005-0000-0000-0000E70E0000}"/>
    <cellStyle name="Comma 4 2 20 2 2 4" xfId="47215" xr:uid="{00000000-0005-0000-0000-0000E80E0000}"/>
    <cellStyle name="Comma 4 2 20 2 3" xfId="14523" xr:uid="{00000000-0005-0000-0000-0000E90E0000}"/>
    <cellStyle name="Comma 4 2 20 2 3 2" xfId="28655" xr:uid="{00000000-0005-0000-0000-0000EA0E0000}"/>
    <cellStyle name="Comma 4 2 20 2 3 3" xfId="42545" xr:uid="{00000000-0005-0000-0000-0000EB0E0000}"/>
    <cellStyle name="Comma 4 2 20 2 4" xfId="19335" xr:uid="{00000000-0005-0000-0000-0000EC0E0000}"/>
    <cellStyle name="Comma 4 2 20 2 5" xfId="37968" xr:uid="{00000000-0005-0000-0000-0000ED0E0000}"/>
    <cellStyle name="Comma 4 2 21" xfId="3560" xr:uid="{00000000-0005-0000-0000-0000EE0E0000}"/>
    <cellStyle name="Comma 4 2 21 2" xfId="3561" xr:uid="{00000000-0005-0000-0000-0000EF0E0000}"/>
    <cellStyle name="Comma 4 2 21 2 2" xfId="9787" xr:uid="{00000000-0005-0000-0000-0000F00E0000}"/>
    <cellStyle name="Comma 4 2 21 2 2 2" xfId="33275" xr:uid="{00000000-0005-0000-0000-0000F10E0000}"/>
    <cellStyle name="Comma 4 2 21 2 2 3" xfId="23954" xr:uid="{00000000-0005-0000-0000-0000F20E0000}"/>
    <cellStyle name="Comma 4 2 21 2 2 4" xfId="47216" xr:uid="{00000000-0005-0000-0000-0000F30E0000}"/>
    <cellStyle name="Comma 4 2 21 2 3" xfId="14524" xr:uid="{00000000-0005-0000-0000-0000F40E0000}"/>
    <cellStyle name="Comma 4 2 21 2 3 2" xfId="28656" xr:uid="{00000000-0005-0000-0000-0000F50E0000}"/>
    <cellStyle name="Comma 4 2 21 2 3 3" xfId="42546" xr:uid="{00000000-0005-0000-0000-0000F60E0000}"/>
    <cellStyle name="Comma 4 2 21 2 4" xfId="19336" xr:uid="{00000000-0005-0000-0000-0000F70E0000}"/>
    <cellStyle name="Comma 4 2 21 2 5" xfId="37969" xr:uid="{00000000-0005-0000-0000-0000F80E0000}"/>
    <cellStyle name="Comma 4 2 22" xfId="3562" xr:uid="{00000000-0005-0000-0000-0000F90E0000}"/>
    <cellStyle name="Comma 4 2 22 2" xfId="3563" xr:uid="{00000000-0005-0000-0000-0000FA0E0000}"/>
    <cellStyle name="Comma 4 2 22 2 2" xfId="9788" xr:uid="{00000000-0005-0000-0000-0000FB0E0000}"/>
    <cellStyle name="Comma 4 2 22 2 2 2" xfId="33276" xr:uid="{00000000-0005-0000-0000-0000FC0E0000}"/>
    <cellStyle name="Comma 4 2 22 2 2 3" xfId="23955" xr:uid="{00000000-0005-0000-0000-0000FD0E0000}"/>
    <cellStyle name="Comma 4 2 22 2 2 4" xfId="47217" xr:uid="{00000000-0005-0000-0000-0000FE0E0000}"/>
    <cellStyle name="Comma 4 2 22 2 3" xfId="14525" xr:uid="{00000000-0005-0000-0000-0000FF0E0000}"/>
    <cellStyle name="Comma 4 2 22 2 3 2" xfId="28657" xr:uid="{00000000-0005-0000-0000-0000000F0000}"/>
    <cellStyle name="Comma 4 2 22 2 3 3" xfId="42547" xr:uid="{00000000-0005-0000-0000-0000010F0000}"/>
    <cellStyle name="Comma 4 2 22 2 4" xfId="19337" xr:uid="{00000000-0005-0000-0000-0000020F0000}"/>
    <cellStyle name="Comma 4 2 22 2 5" xfId="37970" xr:uid="{00000000-0005-0000-0000-0000030F0000}"/>
    <cellStyle name="Comma 4 2 23" xfId="3564" xr:uid="{00000000-0005-0000-0000-0000040F0000}"/>
    <cellStyle name="Comma 4 2 23 2" xfId="3565" xr:uid="{00000000-0005-0000-0000-0000050F0000}"/>
    <cellStyle name="Comma 4 2 23 2 2" xfId="9789" xr:uid="{00000000-0005-0000-0000-0000060F0000}"/>
    <cellStyle name="Comma 4 2 23 2 2 2" xfId="33277" xr:uid="{00000000-0005-0000-0000-0000070F0000}"/>
    <cellStyle name="Comma 4 2 23 2 2 3" xfId="23956" xr:uid="{00000000-0005-0000-0000-0000080F0000}"/>
    <cellStyle name="Comma 4 2 23 2 2 4" xfId="47218" xr:uid="{00000000-0005-0000-0000-0000090F0000}"/>
    <cellStyle name="Comma 4 2 23 2 3" xfId="14526" xr:uid="{00000000-0005-0000-0000-00000A0F0000}"/>
    <cellStyle name="Comma 4 2 23 2 3 2" xfId="28658" xr:uid="{00000000-0005-0000-0000-00000B0F0000}"/>
    <cellStyle name="Comma 4 2 23 2 3 3" xfId="42548" xr:uid="{00000000-0005-0000-0000-00000C0F0000}"/>
    <cellStyle name="Comma 4 2 23 2 4" xfId="19338" xr:uid="{00000000-0005-0000-0000-00000D0F0000}"/>
    <cellStyle name="Comma 4 2 23 2 5" xfId="37971" xr:uid="{00000000-0005-0000-0000-00000E0F0000}"/>
    <cellStyle name="Comma 4 2 24" xfId="3566" xr:uid="{00000000-0005-0000-0000-00000F0F0000}"/>
    <cellStyle name="Comma 4 2 25" xfId="3567" xr:uid="{00000000-0005-0000-0000-0000100F0000}"/>
    <cellStyle name="Comma 4 2 26" xfId="3568" xr:uid="{00000000-0005-0000-0000-0000110F0000}"/>
    <cellStyle name="Comma 4 2 27" xfId="3569" xr:uid="{00000000-0005-0000-0000-0000120F0000}"/>
    <cellStyle name="Comma 4 2 27 2" xfId="9790" xr:uid="{00000000-0005-0000-0000-0000130F0000}"/>
    <cellStyle name="Comma 4 2 27 2 2" xfId="33278" xr:uid="{00000000-0005-0000-0000-0000140F0000}"/>
    <cellStyle name="Comma 4 2 27 2 3" xfId="23957" xr:uid="{00000000-0005-0000-0000-0000150F0000}"/>
    <cellStyle name="Comma 4 2 27 2 4" xfId="47219" xr:uid="{00000000-0005-0000-0000-0000160F0000}"/>
    <cellStyle name="Comma 4 2 27 3" xfId="14527" xr:uid="{00000000-0005-0000-0000-0000170F0000}"/>
    <cellStyle name="Comma 4 2 27 3 2" xfId="28659" xr:uid="{00000000-0005-0000-0000-0000180F0000}"/>
    <cellStyle name="Comma 4 2 27 3 3" xfId="42549" xr:uid="{00000000-0005-0000-0000-0000190F0000}"/>
    <cellStyle name="Comma 4 2 27 4" xfId="19339" xr:uid="{00000000-0005-0000-0000-00001A0F0000}"/>
    <cellStyle name="Comma 4 2 27 5" xfId="37972" xr:uid="{00000000-0005-0000-0000-00001B0F0000}"/>
    <cellStyle name="Comma 4 2 28" xfId="3545" xr:uid="{00000000-0005-0000-0000-00001C0F0000}"/>
    <cellStyle name="Comma 4 2 29" xfId="9470" xr:uid="{00000000-0005-0000-0000-00001D0F0000}"/>
    <cellStyle name="Comma 4 2 29 2" xfId="14141" xr:uid="{00000000-0005-0000-0000-00001E0F0000}"/>
    <cellStyle name="Comma 4 2 29 2 2" xfId="37619" xr:uid="{00000000-0005-0000-0000-00001F0F0000}"/>
    <cellStyle name="Comma 4 2 29 2 3" xfId="28305" xr:uid="{00000000-0005-0000-0000-0000200F0000}"/>
    <cellStyle name="Comma 4 2 29 2 4" xfId="51568" xr:uid="{00000000-0005-0000-0000-0000210F0000}"/>
    <cellStyle name="Comma 4 2 29 3" xfId="18853" xr:uid="{00000000-0005-0000-0000-0000220F0000}"/>
    <cellStyle name="Comma 4 2 29 3 2" xfId="32985" xr:uid="{00000000-0005-0000-0000-0000230F0000}"/>
    <cellStyle name="Comma 4 2 29 3 3" xfId="46889" xr:uid="{00000000-0005-0000-0000-0000240F0000}"/>
    <cellStyle name="Comma 4 2 29 4" xfId="23671" xr:uid="{00000000-0005-0000-0000-0000250F0000}"/>
    <cellStyle name="Comma 4 2 29 5" xfId="42258" xr:uid="{00000000-0005-0000-0000-0000260F0000}"/>
    <cellStyle name="Comma 4 2 3" xfId="3570" xr:uid="{00000000-0005-0000-0000-0000270F0000}"/>
    <cellStyle name="Comma 4 2 30" xfId="9513" xr:uid="{00000000-0005-0000-0000-0000280F0000}"/>
    <cellStyle name="Comma 4 2 30 2" xfId="14180" xr:uid="{00000000-0005-0000-0000-0000290F0000}"/>
    <cellStyle name="Comma 4 2 30 2 2" xfId="37655" xr:uid="{00000000-0005-0000-0000-00002A0F0000}"/>
    <cellStyle name="Comma 4 2 30 2 3" xfId="28340" xr:uid="{00000000-0005-0000-0000-00002B0F0000}"/>
    <cellStyle name="Comma 4 2 30 2 4" xfId="51606" xr:uid="{00000000-0005-0000-0000-00002C0F0000}"/>
    <cellStyle name="Comma 4 2 30 3" xfId="18887" xr:uid="{00000000-0005-0000-0000-00002D0F0000}"/>
    <cellStyle name="Comma 4 2 30 3 2" xfId="33021" xr:uid="{00000000-0005-0000-0000-00002E0F0000}"/>
    <cellStyle name="Comma 4 2 30 3 3" xfId="46927" xr:uid="{00000000-0005-0000-0000-00002F0F0000}"/>
    <cellStyle name="Comma 4 2 30 4" xfId="23707" xr:uid="{00000000-0005-0000-0000-0000300F0000}"/>
    <cellStyle name="Comma 4 2 30 5" xfId="42293" xr:uid="{00000000-0005-0000-0000-0000310F0000}"/>
    <cellStyle name="Comma 4 2 31" xfId="9637" xr:uid="{00000000-0005-0000-0000-0000320F0000}"/>
    <cellStyle name="Comma 4 2 31 2" xfId="33129" xr:uid="{00000000-0005-0000-0000-0000330F0000}"/>
    <cellStyle name="Comma 4 2 31 3" xfId="23817" xr:uid="{00000000-0005-0000-0000-0000340F0000}"/>
    <cellStyle name="Comma 4 2 31 4" xfId="47071" xr:uid="{00000000-0005-0000-0000-0000350F0000}"/>
    <cellStyle name="Comma 4 2 32" xfId="14400" xr:uid="{00000000-0005-0000-0000-0000360F0000}"/>
    <cellStyle name="Comma 4 2 32 2" xfId="28532" xr:uid="{00000000-0005-0000-0000-0000370F0000}"/>
    <cellStyle name="Comma 4 2 32 3" xfId="42408" xr:uid="{00000000-0005-0000-0000-0000380F0000}"/>
    <cellStyle name="Comma 4 2 33" xfId="19213" xr:uid="{00000000-0005-0000-0000-0000390F0000}"/>
    <cellStyle name="Comma 4 2 34" xfId="37848" xr:uid="{00000000-0005-0000-0000-00003A0F0000}"/>
    <cellStyle name="Comma 4 2 4" xfId="3571" xr:uid="{00000000-0005-0000-0000-00003B0F0000}"/>
    <cellStyle name="Comma 4 2 5" xfId="3572" xr:uid="{00000000-0005-0000-0000-00003C0F0000}"/>
    <cellStyle name="Comma 4 2 6" xfId="3573" xr:uid="{00000000-0005-0000-0000-00003D0F0000}"/>
    <cellStyle name="Comma 4 2 7" xfId="3574" xr:uid="{00000000-0005-0000-0000-00003E0F0000}"/>
    <cellStyle name="Comma 4 2 8" xfId="3575" xr:uid="{00000000-0005-0000-0000-00003F0F0000}"/>
    <cellStyle name="Comma 4 2 9" xfId="3576" xr:uid="{00000000-0005-0000-0000-0000400F0000}"/>
    <cellStyle name="Comma 4 20" xfId="3577" xr:uid="{00000000-0005-0000-0000-0000410F0000}"/>
    <cellStyle name="Comma 4 20 2" xfId="3578" xr:uid="{00000000-0005-0000-0000-0000420F0000}"/>
    <cellStyle name="Comma 4 20 2 2" xfId="9791" xr:uid="{00000000-0005-0000-0000-0000430F0000}"/>
    <cellStyle name="Comma 4 20 2 2 2" xfId="33279" xr:uid="{00000000-0005-0000-0000-0000440F0000}"/>
    <cellStyle name="Comma 4 20 2 2 3" xfId="23958" xr:uid="{00000000-0005-0000-0000-0000450F0000}"/>
    <cellStyle name="Comma 4 20 2 2 4" xfId="47220" xr:uid="{00000000-0005-0000-0000-0000460F0000}"/>
    <cellStyle name="Comma 4 20 2 3" xfId="14528" xr:uid="{00000000-0005-0000-0000-0000470F0000}"/>
    <cellStyle name="Comma 4 20 2 3 2" xfId="28660" xr:uid="{00000000-0005-0000-0000-0000480F0000}"/>
    <cellStyle name="Comma 4 20 2 3 3" xfId="42550" xr:uid="{00000000-0005-0000-0000-0000490F0000}"/>
    <cellStyle name="Comma 4 20 2 4" xfId="19340" xr:uid="{00000000-0005-0000-0000-00004A0F0000}"/>
    <cellStyle name="Comma 4 20 2 5" xfId="37973" xr:uid="{00000000-0005-0000-0000-00004B0F0000}"/>
    <cellStyle name="Comma 4 21" xfId="3579" xr:uid="{00000000-0005-0000-0000-00004C0F0000}"/>
    <cellStyle name="Comma 4 21 2" xfId="3580" xr:uid="{00000000-0005-0000-0000-00004D0F0000}"/>
    <cellStyle name="Comma 4 21 2 2" xfId="9792" xr:uid="{00000000-0005-0000-0000-00004E0F0000}"/>
    <cellStyle name="Comma 4 21 2 2 2" xfId="33280" xr:uid="{00000000-0005-0000-0000-00004F0F0000}"/>
    <cellStyle name="Comma 4 21 2 2 3" xfId="23959" xr:uid="{00000000-0005-0000-0000-0000500F0000}"/>
    <cellStyle name="Comma 4 21 2 2 4" xfId="47221" xr:uid="{00000000-0005-0000-0000-0000510F0000}"/>
    <cellStyle name="Comma 4 21 2 3" xfId="14529" xr:uid="{00000000-0005-0000-0000-0000520F0000}"/>
    <cellStyle name="Comma 4 21 2 3 2" xfId="28661" xr:uid="{00000000-0005-0000-0000-0000530F0000}"/>
    <cellStyle name="Comma 4 21 2 3 3" xfId="42551" xr:uid="{00000000-0005-0000-0000-0000540F0000}"/>
    <cellStyle name="Comma 4 21 2 4" xfId="19341" xr:uid="{00000000-0005-0000-0000-0000550F0000}"/>
    <cellStyle name="Comma 4 21 2 5" xfId="37974" xr:uid="{00000000-0005-0000-0000-0000560F0000}"/>
    <cellStyle name="Comma 4 22" xfId="3581" xr:uid="{00000000-0005-0000-0000-0000570F0000}"/>
    <cellStyle name="Comma 4 22 2" xfId="3582" xr:uid="{00000000-0005-0000-0000-0000580F0000}"/>
    <cellStyle name="Comma 4 22 2 2" xfId="9793" xr:uid="{00000000-0005-0000-0000-0000590F0000}"/>
    <cellStyle name="Comma 4 22 2 2 2" xfId="33281" xr:uid="{00000000-0005-0000-0000-00005A0F0000}"/>
    <cellStyle name="Comma 4 22 2 2 3" xfId="23960" xr:uid="{00000000-0005-0000-0000-00005B0F0000}"/>
    <cellStyle name="Comma 4 22 2 2 4" xfId="47222" xr:uid="{00000000-0005-0000-0000-00005C0F0000}"/>
    <cellStyle name="Comma 4 22 2 3" xfId="14530" xr:uid="{00000000-0005-0000-0000-00005D0F0000}"/>
    <cellStyle name="Comma 4 22 2 3 2" xfId="28662" xr:uid="{00000000-0005-0000-0000-00005E0F0000}"/>
    <cellStyle name="Comma 4 22 2 3 3" xfId="42552" xr:uid="{00000000-0005-0000-0000-00005F0F0000}"/>
    <cellStyle name="Comma 4 22 2 4" xfId="19342" xr:uid="{00000000-0005-0000-0000-0000600F0000}"/>
    <cellStyle name="Comma 4 22 2 5" xfId="37975" xr:uid="{00000000-0005-0000-0000-0000610F0000}"/>
    <cellStyle name="Comma 4 23" xfId="3583" xr:uid="{00000000-0005-0000-0000-0000620F0000}"/>
    <cellStyle name="Comma 4 23 2" xfId="3584" xr:uid="{00000000-0005-0000-0000-0000630F0000}"/>
    <cellStyle name="Comma 4 23 2 2" xfId="9794" xr:uid="{00000000-0005-0000-0000-0000640F0000}"/>
    <cellStyle name="Comma 4 23 2 2 2" xfId="33282" xr:uid="{00000000-0005-0000-0000-0000650F0000}"/>
    <cellStyle name="Comma 4 23 2 2 3" xfId="23961" xr:uid="{00000000-0005-0000-0000-0000660F0000}"/>
    <cellStyle name="Comma 4 23 2 2 4" xfId="47223" xr:uid="{00000000-0005-0000-0000-0000670F0000}"/>
    <cellStyle name="Comma 4 23 2 3" xfId="14531" xr:uid="{00000000-0005-0000-0000-0000680F0000}"/>
    <cellStyle name="Comma 4 23 2 3 2" xfId="28663" xr:uid="{00000000-0005-0000-0000-0000690F0000}"/>
    <cellStyle name="Comma 4 23 2 3 3" xfId="42553" xr:uid="{00000000-0005-0000-0000-00006A0F0000}"/>
    <cellStyle name="Comma 4 23 2 4" xfId="19343" xr:uid="{00000000-0005-0000-0000-00006B0F0000}"/>
    <cellStyle name="Comma 4 23 2 5" xfId="37976" xr:uid="{00000000-0005-0000-0000-00006C0F0000}"/>
    <cellStyle name="Comma 4 24" xfId="3585" xr:uid="{00000000-0005-0000-0000-00006D0F0000}"/>
    <cellStyle name="Comma 4 24 2" xfId="3586" xr:uid="{00000000-0005-0000-0000-00006E0F0000}"/>
    <cellStyle name="Comma 4 24 2 2" xfId="9795" xr:uid="{00000000-0005-0000-0000-00006F0F0000}"/>
    <cellStyle name="Comma 4 24 2 2 2" xfId="33283" xr:uid="{00000000-0005-0000-0000-0000700F0000}"/>
    <cellStyle name="Comma 4 24 2 2 3" xfId="23962" xr:uid="{00000000-0005-0000-0000-0000710F0000}"/>
    <cellStyle name="Comma 4 24 2 2 4" xfId="47224" xr:uid="{00000000-0005-0000-0000-0000720F0000}"/>
    <cellStyle name="Comma 4 24 2 3" xfId="14532" xr:uid="{00000000-0005-0000-0000-0000730F0000}"/>
    <cellStyle name="Comma 4 24 2 3 2" xfId="28664" xr:uid="{00000000-0005-0000-0000-0000740F0000}"/>
    <cellStyle name="Comma 4 24 2 3 3" xfId="42554" xr:uid="{00000000-0005-0000-0000-0000750F0000}"/>
    <cellStyle name="Comma 4 24 2 4" xfId="19344" xr:uid="{00000000-0005-0000-0000-0000760F0000}"/>
    <cellStyle name="Comma 4 24 2 5" xfId="37977" xr:uid="{00000000-0005-0000-0000-0000770F0000}"/>
    <cellStyle name="Comma 4 25" xfId="3587" xr:uid="{00000000-0005-0000-0000-0000780F0000}"/>
    <cellStyle name="Comma 4 25 2" xfId="3588" xr:uid="{00000000-0005-0000-0000-0000790F0000}"/>
    <cellStyle name="Comma 4 25 2 2" xfId="9796" xr:uid="{00000000-0005-0000-0000-00007A0F0000}"/>
    <cellStyle name="Comma 4 25 2 2 2" xfId="33284" xr:uid="{00000000-0005-0000-0000-00007B0F0000}"/>
    <cellStyle name="Comma 4 25 2 2 3" xfId="23963" xr:uid="{00000000-0005-0000-0000-00007C0F0000}"/>
    <cellStyle name="Comma 4 25 2 2 4" xfId="47225" xr:uid="{00000000-0005-0000-0000-00007D0F0000}"/>
    <cellStyle name="Comma 4 25 2 3" xfId="14533" xr:uid="{00000000-0005-0000-0000-00007E0F0000}"/>
    <cellStyle name="Comma 4 25 2 3 2" xfId="28665" xr:uid="{00000000-0005-0000-0000-00007F0F0000}"/>
    <cellStyle name="Comma 4 25 2 3 3" xfId="42555" xr:uid="{00000000-0005-0000-0000-0000800F0000}"/>
    <cellStyle name="Comma 4 25 2 4" xfId="19345" xr:uid="{00000000-0005-0000-0000-0000810F0000}"/>
    <cellStyle name="Comma 4 25 2 5" xfId="37978" xr:uid="{00000000-0005-0000-0000-0000820F0000}"/>
    <cellStyle name="Comma 4 26" xfId="3589" xr:uid="{00000000-0005-0000-0000-0000830F0000}"/>
    <cellStyle name="Comma 4 26 2" xfId="3590" xr:uid="{00000000-0005-0000-0000-0000840F0000}"/>
    <cellStyle name="Comma 4 26 2 2" xfId="9797" xr:uid="{00000000-0005-0000-0000-0000850F0000}"/>
    <cellStyle name="Comma 4 26 2 2 2" xfId="33285" xr:uid="{00000000-0005-0000-0000-0000860F0000}"/>
    <cellStyle name="Comma 4 26 2 2 3" xfId="23964" xr:uid="{00000000-0005-0000-0000-0000870F0000}"/>
    <cellStyle name="Comma 4 26 2 2 4" xfId="47226" xr:uid="{00000000-0005-0000-0000-0000880F0000}"/>
    <cellStyle name="Comma 4 26 2 3" xfId="14534" xr:uid="{00000000-0005-0000-0000-0000890F0000}"/>
    <cellStyle name="Comma 4 26 2 3 2" xfId="28666" xr:uid="{00000000-0005-0000-0000-00008A0F0000}"/>
    <cellStyle name="Comma 4 26 2 3 3" xfId="42556" xr:uid="{00000000-0005-0000-0000-00008B0F0000}"/>
    <cellStyle name="Comma 4 26 2 4" xfId="19346" xr:uid="{00000000-0005-0000-0000-00008C0F0000}"/>
    <cellStyle name="Comma 4 26 2 5" xfId="37979" xr:uid="{00000000-0005-0000-0000-00008D0F0000}"/>
    <cellStyle name="Comma 4 27" xfId="3591" xr:uid="{00000000-0005-0000-0000-00008E0F0000}"/>
    <cellStyle name="Comma 4 27 2" xfId="3592" xr:uid="{00000000-0005-0000-0000-00008F0F0000}"/>
    <cellStyle name="Comma 4 27 2 2" xfId="9798" xr:uid="{00000000-0005-0000-0000-0000900F0000}"/>
    <cellStyle name="Comma 4 27 2 2 2" xfId="33286" xr:uid="{00000000-0005-0000-0000-0000910F0000}"/>
    <cellStyle name="Comma 4 27 2 2 3" xfId="23965" xr:uid="{00000000-0005-0000-0000-0000920F0000}"/>
    <cellStyle name="Comma 4 27 2 2 4" xfId="47227" xr:uid="{00000000-0005-0000-0000-0000930F0000}"/>
    <cellStyle name="Comma 4 27 2 3" xfId="14535" xr:uid="{00000000-0005-0000-0000-0000940F0000}"/>
    <cellStyle name="Comma 4 27 2 3 2" xfId="28667" xr:uid="{00000000-0005-0000-0000-0000950F0000}"/>
    <cellStyle name="Comma 4 27 2 3 3" xfId="42557" xr:uid="{00000000-0005-0000-0000-0000960F0000}"/>
    <cellStyle name="Comma 4 27 2 4" xfId="19347" xr:uid="{00000000-0005-0000-0000-0000970F0000}"/>
    <cellStyle name="Comma 4 27 2 5" xfId="37980" xr:uid="{00000000-0005-0000-0000-0000980F0000}"/>
    <cellStyle name="Comma 4 28" xfId="3593" xr:uid="{00000000-0005-0000-0000-0000990F0000}"/>
    <cellStyle name="Comma 4 28 2" xfId="3594" xr:uid="{00000000-0005-0000-0000-00009A0F0000}"/>
    <cellStyle name="Comma 4 28 2 2" xfId="9799" xr:uid="{00000000-0005-0000-0000-00009B0F0000}"/>
    <cellStyle name="Comma 4 28 2 2 2" xfId="33287" xr:uid="{00000000-0005-0000-0000-00009C0F0000}"/>
    <cellStyle name="Comma 4 28 2 2 3" xfId="23966" xr:uid="{00000000-0005-0000-0000-00009D0F0000}"/>
    <cellStyle name="Comma 4 28 2 2 4" xfId="47228" xr:uid="{00000000-0005-0000-0000-00009E0F0000}"/>
    <cellStyle name="Comma 4 28 2 3" xfId="14536" xr:uid="{00000000-0005-0000-0000-00009F0F0000}"/>
    <cellStyle name="Comma 4 28 2 3 2" xfId="28668" xr:uid="{00000000-0005-0000-0000-0000A00F0000}"/>
    <cellStyle name="Comma 4 28 2 3 3" xfId="42558" xr:uid="{00000000-0005-0000-0000-0000A10F0000}"/>
    <cellStyle name="Comma 4 28 2 4" xfId="19348" xr:uid="{00000000-0005-0000-0000-0000A20F0000}"/>
    <cellStyle name="Comma 4 28 2 5" xfId="37981" xr:uid="{00000000-0005-0000-0000-0000A30F0000}"/>
    <cellStyle name="Comma 4 29" xfId="3595" xr:uid="{00000000-0005-0000-0000-0000A40F0000}"/>
    <cellStyle name="Comma 4 29 2" xfId="3596" xr:uid="{00000000-0005-0000-0000-0000A50F0000}"/>
    <cellStyle name="Comma 4 29 2 2" xfId="9800" xr:uid="{00000000-0005-0000-0000-0000A60F0000}"/>
    <cellStyle name="Comma 4 29 2 2 2" xfId="33288" xr:uid="{00000000-0005-0000-0000-0000A70F0000}"/>
    <cellStyle name="Comma 4 29 2 2 3" xfId="23967" xr:uid="{00000000-0005-0000-0000-0000A80F0000}"/>
    <cellStyle name="Comma 4 29 2 2 4" xfId="47229" xr:uid="{00000000-0005-0000-0000-0000A90F0000}"/>
    <cellStyle name="Comma 4 29 2 3" xfId="14537" xr:uid="{00000000-0005-0000-0000-0000AA0F0000}"/>
    <cellStyle name="Comma 4 29 2 3 2" xfId="28669" xr:uid="{00000000-0005-0000-0000-0000AB0F0000}"/>
    <cellStyle name="Comma 4 29 2 3 3" xfId="42559" xr:uid="{00000000-0005-0000-0000-0000AC0F0000}"/>
    <cellStyle name="Comma 4 29 2 4" xfId="19349" xr:uid="{00000000-0005-0000-0000-0000AD0F0000}"/>
    <cellStyle name="Comma 4 29 2 5" xfId="37982" xr:uid="{00000000-0005-0000-0000-0000AE0F0000}"/>
    <cellStyle name="Comma 4 3" xfId="3597" xr:uid="{00000000-0005-0000-0000-0000AF0F0000}"/>
    <cellStyle name="Comma 4 3 10" xfId="3598" xr:uid="{00000000-0005-0000-0000-0000B00F0000}"/>
    <cellStyle name="Comma 4 3 10 2" xfId="3599" xr:uid="{00000000-0005-0000-0000-0000B10F0000}"/>
    <cellStyle name="Comma 4 3 10 2 2" xfId="9801" xr:uid="{00000000-0005-0000-0000-0000B20F0000}"/>
    <cellStyle name="Comma 4 3 10 2 2 2" xfId="33289" xr:uid="{00000000-0005-0000-0000-0000B30F0000}"/>
    <cellStyle name="Comma 4 3 10 2 2 3" xfId="23968" xr:uid="{00000000-0005-0000-0000-0000B40F0000}"/>
    <cellStyle name="Comma 4 3 10 2 2 4" xfId="47230" xr:uid="{00000000-0005-0000-0000-0000B50F0000}"/>
    <cellStyle name="Comma 4 3 10 2 3" xfId="14538" xr:uid="{00000000-0005-0000-0000-0000B60F0000}"/>
    <cellStyle name="Comma 4 3 10 2 3 2" xfId="28670" xr:uid="{00000000-0005-0000-0000-0000B70F0000}"/>
    <cellStyle name="Comma 4 3 10 2 3 3" xfId="42560" xr:uid="{00000000-0005-0000-0000-0000B80F0000}"/>
    <cellStyle name="Comma 4 3 10 2 4" xfId="19350" xr:uid="{00000000-0005-0000-0000-0000B90F0000}"/>
    <cellStyle name="Comma 4 3 10 2 5" xfId="37983" xr:uid="{00000000-0005-0000-0000-0000BA0F0000}"/>
    <cellStyle name="Comma 4 3 11" xfId="3600" xr:uid="{00000000-0005-0000-0000-0000BB0F0000}"/>
    <cellStyle name="Comma 4 3 11 2" xfId="3601" xr:uid="{00000000-0005-0000-0000-0000BC0F0000}"/>
    <cellStyle name="Comma 4 3 11 2 2" xfId="9802" xr:uid="{00000000-0005-0000-0000-0000BD0F0000}"/>
    <cellStyle name="Comma 4 3 11 2 2 2" xfId="33290" xr:uid="{00000000-0005-0000-0000-0000BE0F0000}"/>
    <cellStyle name="Comma 4 3 11 2 2 3" xfId="23969" xr:uid="{00000000-0005-0000-0000-0000BF0F0000}"/>
    <cellStyle name="Comma 4 3 11 2 2 4" xfId="47231" xr:uid="{00000000-0005-0000-0000-0000C00F0000}"/>
    <cellStyle name="Comma 4 3 11 2 3" xfId="14539" xr:uid="{00000000-0005-0000-0000-0000C10F0000}"/>
    <cellStyle name="Comma 4 3 11 2 3 2" xfId="28671" xr:uid="{00000000-0005-0000-0000-0000C20F0000}"/>
    <cellStyle name="Comma 4 3 11 2 3 3" xfId="42561" xr:uid="{00000000-0005-0000-0000-0000C30F0000}"/>
    <cellStyle name="Comma 4 3 11 2 4" xfId="19351" xr:uid="{00000000-0005-0000-0000-0000C40F0000}"/>
    <cellStyle name="Comma 4 3 11 2 5" xfId="37984" xr:uid="{00000000-0005-0000-0000-0000C50F0000}"/>
    <cellStyle name="Comma 4 3 12" xfId="3602" xr:uid="{00000000-0005-0000-0000-0000C60F0000}"/>
    <cellStyle name="Comma 4 3 12 2" xfId="3603" xr:uid="{00000000-0005-0000-0000-0000C70F0000}"/>
    <cellStyle name="Comma 4 3 12 2 2" xfId="9803" xr:uid="{00000000-0005-0000-0000-0000C80F0000}"/>
    <cellStyle name="Comma 4 3 12 2 2 2" xfId="33291" xr:uid="{00000000-0005-0000-0000-0000C90F0000}"/>
    <cellStyle name="Comma 4 3 12 2 2 3" xfId="23970" xr:uid="{00000000-0005-0000-0000-0000CA0F0000}"/>
    <cellStyle name="Comma 4 3 12 2 2 4" xfId="47232" xr:uid="{00000000-0005-0000-0000-0000CB0F0000}"/>
    <cellStyle name="Comma 4 3 12 2 3" xfId="14540" xr:uid="{00000000-0005-0000-0000-0000CC0F0000}"/>
    <cellStyle name="Comma 4 3 12 2 3 2" xfId="28672" xr:uid="{00000000-0005-0000-0000-0000CD0F0000}"/>
    <cellStyle name="Comma 4 3 12 2 3 3" xfId="42562" xr:uid="{00000000-0005-0000-0000-0000CE0F0000}"/>
    <cellStyle name="Comma 4 3 12 2 4" xfId="19352" xr:uid="{00000000-0005-0000-0000-0000CF0F0000}"/>
    <cellStyle name="Comma 4 3 12 2 5" xfId="37985" xr:uid="{00000000-0005-0000-0000-0000D00F0000}"/>
    <cellStyle name="Comma 4 3 13" xfId="3604" xr:uid="{00000000-0005-0000-0000-0000D10F0000}"/>
    <cellStyle name="Comma 4 3 13 2" xfId="3605" xr:uid="{00000000-0005-0000-0000-0000D20F0000}"/>
    <cellStyle name="Comma 4 3 13 2 2" xfId="9804" xr:uid="{00000000-0005-0000-0000-0000D30F0000}"/>
    <cellStyle name="Comma 4 3 13 2 2 2" xfId="33292" xr:uid="{00000000-0005-0000-0000-0000D40F0000}"/>
    <cellStyle name="Comma 4 3 13 2 2 3" xfId="23971" xr:uid="{00000000-0005-0000-0000-0000D50F0000}"/>
    <cellStyle name="Comma 4 3 13 2 2 4" xfId="47233" xr:uid="{00000000-0005-0000-0000-0000D60F0000}"/>
    <cellStyle name="Comma 4 3 13 2 3" xfId="14541" xr:uid="{00000000-0005-0000-0000-0000D70F0000}"/>
    <cellStyle name="Comma 4 3 13 2 3 2" xfId="28673" xr:uid="{00000000-0005-0000-0000-0000D80F0000}"/>
    <cellStyle name="Comma 4 3 13 2 3 3" xfId="42563" xr:uid="{00000000-0005-0000-0000-0000D90F0000}"/>
    <cellStyle name="Comma 4 3 13 2 4" xfId="19353" xr:uid="{00000000-0005-0000-0000-0000DA0F0000}"/>
    <cellStyle name="Comma 4 3 13 2 5" xfId="37986" xr:uid="{00000000-0005-0000-0000-0000DB0F0000}"/>
    <cellStyle name="Comma 4 3 14" xfId="3606" xr:uid="{00000000-0005-0000-0000-0000DC0F0000}"/>
    <cellStyle name="Comma 4 3 14 2" xfId="3607" xr:uid="{00000000-0005-0000-0000-0000DD0F0000}"/>
    <cellStyle name="Comma 4 3 14 2 2" xfId="9805" xr:uid="{00000000-0005-0000-0000-0000DE0F0000}"/>
    <cellStyle name="Comma 4 3 14 2 2 2" xfId="33293" xr:uid="{00000000-0005-0000-0000-0000DF0F0000}"/>
    <cellStyle name="Comma 4 3 14 2 2 3" xfId="23972" xr:uid="{00000000-0005-0000-0000-0000E00F0000}"/>
    <cellStyle name="Comma 4 3 14 2 2 4" xfId="47234" xr:uid="{00000000-0005-0000-0000-0000E10F0000}"/>
    <cellStyle name="Comma 4 3 14 2 3" xfId="14542" xr:uid="{00000000-0005-0000-0000-0000E20F0000}"/>
    <cellStyle name="Comma 4 3 14 2 3 2" xfId="28674" xr:uid="{00000000-0005-0000-0000-0000E30F0000}"/>
    <cellStyle name="Comma 4 3 14 2 3 3" xfId="42564" xr:uid="{00000000-0005-0000-0000-0000E40F0000}"/>
    <cellStyle name="Comma 4 3 14 2 4" xfId="19354" xr:uid="{00000000-0005-0000-0000-0000E50F0000}"/>
    <cellStyle name="Comma 4 3 14 2 5" xfId="37987" xr:uid="{00000000-0005-0000-0000-0000E60F0000}"/>
    <cellStyle name="Comma 4 3 15" xfId="3608" xr:uid="{00000000-0005-0000-0000-0000E70F0000}"/>
    <cellStyle name="Comma 4 3 15 2" xfId="3609" xr:uid="{00000000-0005-0000-0000-0000E80F0000}"/>
    <cellStyle name="Comma 4 3 15 2 2" xfId="9806" xr:uid="{00000000-0005-0000-0000-0000E90F0000}"/>
    <cellStyle name="Comma 4 3 15 2 2 2" xfId="33294" xr:uid="{00000000-0005-0000-0000-0000EA0F0000}"/>
    <cellStyle name="Comma 4 3 15 2 2 3" xfId="23973" xr:uid="{00000000-0005-0000-0000-0000EB0F0000}"/>
    <cellStyle name="Comma 4 3 15 2 2 4" xfId="47235" xr:uid="{00000000-0005-0000-0000-0000EC0F0000}"/>
    <cellStyle name="Comma 4 3 15 2 3" xfId="14543" xr:uid="{00000000-0005-0000-0000-0000ED0F0000}"/>
    <cellStyle name="Comma 4 3 15 2 3 2" xfId="28675" xr:uid="{00000000-0005-0000-0000-0000EE0F0000}"/>
    <cellStyle name="Comma 4 3 15 2 3 3" xfId="42565" xr:uid="{00000000-0005-0000-0000-0000EF0F0000}"/>
    <cellStyle name="Comma 4 3 15 2 4" xfId="19355" xr:uid="{00000000-0005-0000-0000-0000F00F0000}"/>
    <cellStyle name="Comma 4 3 15 2 5" xfId="37988" xr:uid="{00000000-0005-0000-0000-0000F10F0000}"/>
    <cellStyle name="Comma 4 3 16" xfId="3610" xr:uid="{00000000-0005-0000-0000-0000F20F0000}"/>
    <cellStyle name="Comma 4 3 16 2" xfId="3611" xr:uid="{00000000-0005-0000-0000-0000F30F0000}"/>
    <cellStyle name="Comma 4 3 16 2 2" xfId="9807" xr:uid="{00000000-0005-0000-0000-0000F40F0000}"/>
    <cellStyle name="Comma 4 3 16 2 2 2" xfId="33295" xr:uid="{00000000-0005-0000-0000-0000F50F0000}"/>
    <cellStyle name="Comma 4 3 16 2 2 3" xfId="23974" xr:uid="{00000000-0005-0000-0000-0000F60F0000}"/>
    <cellStyle name="Comma 4 3 16 2 2 4" xfId="47236" xr:uid="{00000000-0005-0000-0000-0000F70F0000}"/>
    <cellStyle name="Comma 4 3 16 2 3" xfId="14544" xr:uid="{00000000-0005-0000-0000-0000F80F0000}"/>
    <cellStyle name="Comma 4 3 16 2 3 2" xfId="28676" xr:uid="{00000000-0005-0000-0000-0000F90F0000}"/>
    <cellStyle name="Comma 4 3 16 2 3 3" xfId="42566" xr:uid="{00000000-0005-0000-0000-0000FA0F0000}"/>
    <cellStyle name="Comma 4 3 16 2 4" xfId="19356" xr:uid="{00000000-0005-0000-0000-0000FB0F0000}"/>
    <cellStyle name="Comma 4 3 16 2 5" xfId="37989" xr:uid="{00000000-0005-0000-0000-0000FC0F0000}"/>
    <cellStyle name="Comma 4 3 17" xfId="3612" xr:uid="{00000000-0005-0000-0000-0000FD0F0000}"/>
    <cellStyle name="Comma 4 3 17 2" xfId="3613" xr:uid="{00000000-0005-0000-0000-0000FE0F0000}"/>
    <cellStyle name="Comma 4 3 17 2 2" xfId="9808" xr:uid="{00000000-0005-0000-0000-0000FF0F0000}"/>
    <cellStyle name="Comma 4 3 17 2 2 2" xfId="33296" xr:uid="{00000000-0005-0000-0000-000000100000}"/>
    <cellStyle name="Comma 4 3 17 2 2 3" xfId="23975" xr:uid="{00000000-0005-0000-0000-000001100000}"/>
    <cellStyle name="Comma 4 3 17 2 2 4" xfId="47237" xr:uid="{00000000-0005-0000-0000-000002100000}"/>
    <cellStyle name="Comma 4 3 17 2 3" xfId="14545" xr:uid="{00000000-0005-0000-0000-000003100000}"/>
    <cellStyle name="Comma 4 3 17 2 3 2" xfId="28677" xr:uid="{00000000-0005-0000-0000-000004100000}"/>
    <cellStyle name="Comma 4 3 17 2 3 3" xfId="42567" xr:uid="{00000000-0005-0000-0000-000005100000}"/>
    <cellStyle name="Comma 4 3 17 2 4" xfId="19357" xr:uid="{00000000-0005-0000-0000-000006100000}"/>
    <cellStyle name="Comma 4 3 17 2 5" xfId="37990" xr:uid="{00000000-0005-0000-0000-000007100000}"/>
    <cellStyle name="Comma 4 3 18" xfId="3614" xr:uid="{00000000-0005-0000-0000-000008100000}"/>
    <cellStyle name="Comma 4 3 18 2" xfId="3615" xr:uid="{00000000-0005-0000-0000-000009100000}"/>
    <cellStyle name="Comma 4 3 18 2 2" xfId="9809" xr:uid="{00000000-0005-0000-0000-00000A100000}"/>
    <cellStyle name="Comma 4 3 18 2 2 2" xfId="33297" xr:uid="{00000000-0005-0000-0000-00000B100000}"/>
    <cellStyle name="Comma 4 3 18 2 2 3" xfId="23976" xr:uid="{00000000-0005-0000-0000-00000C100000}"/>
    <cellStyle name="Comma 4 3 18 2 2 4" xfId="47238" xr:uid="{00000000-0005-0000-0000-00000D100000}"/>
    <cellStyle name="Comma 4 3 18 2 3" xfId="14546" xr:uid="{00000000-0005-0000-0000-00000E100000}"/>
    <cellStyle name="Comma 4 3 18 2 3 2" xfId="28678" xr:uid="{00000000-0005-0000-0000-00000F100000}"/>
    <cellStyle name="Comma 4 3 18 2 3 3" xfId="42568" xr:uid="{00000000-0005-0000-0000-000010100000}"/>
    <cellStyle name="Comma 4 3 18 2 4" xfId="19358" xr:uid="{00000000-0005-0000-0000-000011100000}"/>
    <cellStyle name="Comma 4 3 18 2 5" xfId="37991" xr:uid="{00000000-0005-0000-0000-000012100000}"/>
    <cellStyle name="Comma 4 3 19" xfId="3616" xr:uid="{00000000-0005-0000-0000-000013100000}"/>
    <cellStyle name="Comma 4 3 19 2" xfId="3617" xr:uid="{00000000-0005-0000-0000-000014100000}"/>
    <cellStyle name="Comma 4 3 19 2 2" xfId="9810" xr:uid="{00000000-0005-0000-0000-000015100000}"/>
    <cellStyle name="Comma 4 3 19 2 2 2" xfId="33298" xr:uid="{00000000-0005-0000-0000-000016100000}"/>
    <cellStyle name="Comma 4 3 19 2 2 3" xfId="23977" xr:uid="{00000000-0005-0000-0000-000017100000}"/>
    <cellStyle name="Comma 4 3 19 2 2 4" xfId="47239" xr:uid="{00000000-0005-0000-0000-000018100000}"/>
    <cellStyle name="Comma 4 3 19 2 3" xfId="14547" xr:uid="{00000000-0005-0000-0000-000019100000}"/>
    <cellStyle name="Comma 4 3 19 2 3 2" xfId="28679" xr:uid="{00000000-0005-0000-0000-00001A100000}"/>
    <cellStyle name="Comma 4 3 19 2 3 3" xfId="42569" xr:uid="{00000000-0005-0000-0000-00001B100000}"/>
    <cellStyle name="Comma 4 3 19 2 4" xfId="19359" xr:uid="{00000000-0005-0000-0000-00001C100000}"/>
    <cellStyle name="Comma 4 3 19 2 5" xfId="37992" xr:uid="{00000000-0005-0000-0000-00001D100000}"/>
    <cellStyle name="Comma 4 3 2" xfId="3618" xr:uid="{00000000-0005-0000-0000-00001E100000}"/>
    <cellStyle name="Comma 4 3 2 2" xfId="3619" xr:uid="{00000000-0005-0000-0000-00001F100000}"/>
    <cellStyle name="Comma 4 3 2 2 2" xfId="9811" xr:uid="{00000000-0005-0000-0000-000020100000}"/>
    <cellStyle name="Comma 4 3 2 2 2 2" xfId="33299" xr:uid="{00000000-0005-0000-0000-000021100000}"/>
    <cellStyle name="Comma 4 3 2 2 2 3" xfId="23978" xr:uid="{00000000-0005-0000-0000-000022100000}"/>
    <cellStyle name="Comma 4 3 2 2 2 4" xfId="47240" xr:uid="{00000000-0005-0000-0000-000023100000}"/>
    <cellStyle name="Comma 4 3 2 2 3" xfId="14548" xr:uid="{00000000-0005-0000-0000-000024100000}"/>
    <cellStyle name="Comma 4 3 2 2 3 2" xfId="28680" xr:uid="{00000000-0005-0000-0000-000025100000}"/>
    <cellStyle name="Comma 4 3 2 2 3 3" xfId="42570" xr:uid="{00000000-0005-0000-0000-000026100000}"/>
    <cellStyle name="Comma 4 3 2 2 4" xfId="19360" xr:uid="{00000000-0005-0000-0000-000027100000}"/>
    <cellStyle name="Comma 4 3 2 2 5" xfId="37993" xr:uid="{00000000-0005-0000-0000-000028100000}"/>
    <cellStyle name="Comma 4 3 20" xfId="3620" xr:uid="{00000000-0005-0000-0000-000029100000}"/>
    <cellStyle name="Comma 4 3 20 2" xfId="3621" xr:uid="{00000000-0005-0000-0000-00002A100000}"/>
    <cellStyle name="Comma 4 3 20 2 2" xfId="9812" xr:uid="{00000000-0005-0000-0000-00002B100000}"/>
    <cellStyle name="Comma 4 3 20 2 2 2" xfId="33300" xr:uid="{00000000-0005-0000-0000-00002C100000}"/>
    <cellStyle name="Comma 4 3 20 2 2 3" xfId="23979" xr:uid="{00000000-0005-0000-0000-00002D100000}"/>
    <cellStyle name="Comma 4 3 20 2 2 4" xfId="47241" xr:uid="{00000000-0005-0000-0000-00002E100000}"/>
    <cellStyle name="Comma 4 3 20 2 3" xfId="14549" xr:uid="{00000000-0005-0000-0000-00002F100000}"/>
    <cellStyle name="Comma 4 3 20 2 3 2" xfId="28681" xr:uid="{00000000-0005-0000-0000-000030100000}"/>
    <cellStyle name="Comma 4 3 20 2 3 3" xfId="42571" xr:uid="{00000000-0005-0000-0000-000031100000}"/>
    <cellStyle name="Comma 4 3 20 2 4" xfId="19361" xr:uid="{00000000-0005-0000-0000-000032100000}"/>
    <cellStyle name="Comma 4 3 20 2 5" xfId="37994" xr:uid="{00000000-0005-0000-0000-000033100000}"/>
    <cellStyle name="Comma 4 3 21" xfId="3622" xr:uid="{00000000-0005-0000-0000-000034100000}"/>
    <cellStyle name="Comma 4 3 21 2" xfId="3623" xr:uid="{00000000-0005-0000-0000-000035100000}"/>
    <cellStyle name="Comma 4 3 21 2 2" xfId="9813" xr:uid="{00000000-0005-0000-0000-000036100000}"/>
    <cellStyle name="Comma 4 3 21 2 2 2" xfId="33301" xr:uid="{00000000-0005-0000-0000-000037100000}"/>
    <cellStyle name="Comma 4 3 21 2 2 3" xfId="23980" xr:uid="{00000000-0005-0000-0000-000038100000}"/>
    <cellStyle name="Comma 4 3 21 2 2 4" xfId="47242" xr:uid="{00000000-0005-0000-0000-000039100000}"/>
    <cellStyle name="Comma 4 3 21 2 3" xfId="14550" xr:uid="{00000000-0005-0000-0000-00003A100000}"/>
    <cellStyle name="Comma 4 3 21 2 3 2" xfId="28682" xr:uid="{00000000-0005-0000-0000-00003B100000}"/>
    <cellStyle name="Comma 4 3 21 2 3 3" xfId="42572" xr:uid="{00000000-0005-0000-0000-00003C100000}"/>
    <cellStyle name="Comma 4 3 21 2 4" xfId="19362" xr:uid="{00000000-0005-0000-0000-00003D100000}"/>
    <cellStyle name="Comma 4 3 21 2 5" xfId="37995" xr:uid="{00000000-0005-0000-0000-00003E100000}"/>
    <cellStyle name="Comma 4 3 22" xfId="3624" xr:uid="{00000000-0005-0000-0000-00003F100000}"/>
    <cellStyle name="Comma 4 3 22 2" xfId="3625" xr:uid="{00000000-0005-0000-0000-000040100000}"/>
    <cellStyle name="Comma 4 3 22 2 2" xfId="9814" xr:uid="{00000000-0005-0000-0000-000041100000}"/>
    <cellStyle name="Comma 4 3 22 2 2 2" xfId="33302" xr:uid="{00000000-0005-0000-0000-000042100000}"/>
    <cellStyle name="Comma 4 3 22 2 2 3" xfId="23981" xr:uid="{00000000-0005-0000-0000-000043100000}"/>
    <cellStyle name="Comma 4 3 22 2 2 4" xfId="47243" xr:uid="{00000000-0005-0000-0000-000044100000}"/>
    <cellStyle name="Comma 4 3 22 2 3" xfId="14551" xr:uid="{00000000-0005-0000-0000-000045100000}"/>
    <cellStyle name="Comma 4 3 22 2 3 2" xfId="28683" xr:uid="{00000000-0005-0000-0000-000046100000}"/>
    <cellStyle name="Comma 4 3 22 2 3 3" xfId="42573" xr:uid="{00000000-0005-0000-0000-000047100000}"/>
    <cellStyle name="Comma 4 3 22 2 4" xfId="19363" xr:uid="{00000000-0005-0000-0000-000048100000}"/>
    <cellStyle name="Comma 4 3 22 2 5" xfId="37996" xr:uid="{00000000-0005-0000-0000-000049100000}"/>
    <cellStyle name="Comma 4 3 23" xfId="3626" xr:uid="{00000000-0005-0000-0000-00004A100000}"/>
    <cellStyle name="Comma 4 3 23 2" xfId="3627" xr:uid="{00000000-0005-0000-0000-00004B100000}"/>
    <cellStyle name="Comma 4 3 23 2 2" xfId="9815" xr:uid="{00000000-0005-0000-0000-00004C100000}"/>
    <cellStyle name="Comma 4 3 23 2 2 2" xfId="33303" xr:uid="{00000000-0005-0000-0000-00004D100000}"/>
    <cellStyle name="Comma 4 3 23 2 2 3" xfId="23982" xr:uid="{00000000-0005-0000-0000-00004E100000}"/>
    <cellStyle name="Comma 4 3 23 2 2 4" xfId="47244" xr:uid="{00000000-0005-0000-0000-00004F100000}"/>
    <cellStyle name="Comma 4 3 23 2 3" xfId="14552" xr:uid="{00000000-0005-0000-0000-000050100000}"/>
    <cellStyle name="Comma 4 3 23 2 3 2" xfId="28684" xr:uid="{00000000-0005-0000-0000-000051100000}"/>
    <cellStyle name="Comma 4 3 23 2 3 3" xfId="42574" xr:uid="{00000000-0005-0000-0000-000052100000}"/>
    <cellStyle name="Comma 4 3 23 2 4" xfId="19364" xr:uid="{00000000-0005-0000-0000-000053100000}"/>
    <cellStyle name="Comma 4 3 23 2 5" xfId="37997" xr:uid="{00000000-0005-0000-0000-000054100000}"/>
    <cellStyle name="Comma 4 3 24" xfId="3628" xr:uid="{00000000-0005-0000-0000-000055100000}"/>
    <cellStyle name="Comma 4 3 24 2" xfId="9816" xr:uid="{00000000-0005-0000-0000-000056100000}"/>
    <cellStyle name="Comma 4 3 24 2 2" xfId="33304" xr:uid="{00000000-0005-0000-0000-000057100000}"/>
    <cellStyle name="Comma 4 3 24 2 3" xfId="23983" xr:uid="{00000000-0005-0000-0000-000058100000}"/>
    <cellStyle name="Comma 4 3 24 2 4" xfId="47245" xr:uid="{00000000-0005-0000-0000-000059100000}"/>
    <cellStyle name="Comma 4 3 24 3" xfId="14553" xr:uid="{00000000-0005-0000-0000-00005A100000}"/>
    <cellStyle name="Comma 4 3 24 3 2" xfId="28685" xr:uid="{00000000-0005-0000-0000-00005B100000}"/>
    <cellStyle name="Comma 4 3 24 3 3" xfId="42575" xr:uid="{00000000-0005-0000-0000-00005C100000}"/>
    <cellStyle name="Comma 4 3 24 4" xfId="19365" xr:uid="{00000000-0005-0000-0000-00005D100000}"/>
    <cellStyle name="Comma 4 3 24 5" xfId="37998" xr:uid="{00000000-0005-0000-0000-00005E100000}"/>
    <cellStyle name="Comma 4 3 3" xfId="3629" xr:uid="{00000000-0005-0000-0000-00005F100000}"/>
    <cellStyle name="Comma 4 3 3 2" xfId="3630" xr:uid="{00000000-0005-0000-0000-000060100000}"/>
    <cellStyle name="Comma 4 3 3 2 2" xfId="9817" xr:uid="{00000000-0005-0000-0000-000061100000}"/>
    <cellStyle name="Comma 4 3 3 2 2 2" xfId="33305" xr:uid="{00000000-0005-0000-0000-000062100000}"/>
    <cellStyle name="Comma 4 3 3 2 2 3" xfId="23984" xr:uid="{00000000-0005-0000-0000-000063100000}"/>
    <cellStyle name="Comma 4 3 3 2 2 4" xfId="47246" xr:uid="{00000000-0005-0000-0000-000064100000}"/>
    <cellStyle name="Comma 4 3 3 2 3" xfId="14554" xr:uid="{00000000-0005-0000-0000-000065100000}"/>
    <cellStyle name="Comma 4 3 3 2 3 2" xfId="28686" xr:uid="{00000000-0005-0000-0000-000066100000}"/>
    <cellStyle name="Comma 4 3 3 2 3 3" xfId="42576" xr:uid="{00000000-0005-0000-0000-000067100000}"/>
    <cellStyle name="Comma 4 3 3 2 4" xfId="19366" xr:uid="{00000000-0005-0000-0000-000068100000}"/>
    <cellStyle name="Comma 4 3 3 2 5" xfId="37999" xr:uid="{00000000-0005-0000-0000-000069100000}"/>
    <cellStyle name="Comma 4 3 4" xfId="3631" xr:uid="{00000000-0005-0000-0000-00006A100000}"/>
    <cellStyle name="Comma 4 3 4 2" xfId="3632" xr:uid="{00000000-0005-0000-0000-00006B100000}"/>
    <cellStyle name="Comma 4 3 4 2 2" xfId="9818" xr:uid="{00000000-0005-0000-0000-00006C100000}"/>
    <cellStyle name="Comma 4 3 4 2 2 2" xfId="33306" xr:uid="{00000000-0005-0000-0000-00006D100000}"/>
    <cellStyle name="Comma 4 3 4 2 2 3" xfId="23985" xr:uid="{00000000-0005-0000-0000-00006E100000}"/>
    <cellStyle name="Comma 4 3 4 2 2 4" xfId="47247" xr:uid="{00000000-0005-0000-0000-00006F100000}"/>
    <cellStyle name="Comma 4 3 4 2 3" xfId="14555" xr:uid="{00000000-0005-0000-0000-000070100000}"/>
    <cellStyle name="Comma 4 3 4 2 3 2" xfId="28687" xr:uid="{00000000-0005-0000-0000-000071100000}"/>
    <cellStyle name="Comma 4 3 4 2 3 3" xfId="42577" xr:uid="{00000000-0005-0000-0000-000072100000}"/>
    <cellStyle name="Comma 4 3 4 2 4" xfId="19367" xr:uid="{00000000-0005-0000-0000-000073100000}"/>
    <cellStyle name="Comma 4 3 4 2 5" xfId="38000" xr:uid="{00000000-0005-0000-0000-000074100000}"/>
    <cellStyle name="Comma 4 3 5" xfId="3633" xr:uid="{00000000-0005-0000-0000-000075100000}"/>
    <cellStyle name="Comma 4 3 5 2" xfId="3634" xr:uid="{00000000-0005-0000-0000-000076100000}"/>
    <cellStyle name="Comma 4 3 5 2 2" xfId="9819" xr:uid="{00000000-0005-0000-0000-000077100000}"/>
    <cellStyle name="Comma 4 3 5 2 2 2" xfId="33307" xr:uid="{00000000-0005-0000-0000-000078100000}"/>
    <cellStyle name="Comma 4 3 5 2 2 3" xfId="23986" xr:uid="{00000000-0005-0000-0000-000079100000}"/>
    <cellStyle name="Comma 4 3 5 2 2 4" xfId="47248" xr:uid="{00000000-0005-0000-0000-00007A100000}"/>
    <cellStyle name="Comma 4 3 5 2 3" xfId="14556" xr:uid="{00000000-0005-0000-0000-00007B100000}"/>
    <cellStyle name="Comma 4 3 5 2 3 2" xfId="28688" xr:uid="{00000000-0005-0000-0000-00007C100000}"/>
    <cellStyle name="Comma 4 3 5 2 3 3" xfId="42578" xr:uid="{00000000-0005-0000-0000-00007D100000}"/>
    <cellStyle name="Comma 4 3 5 2 4" xfId="19368" xr:uid="{00000000-0005-0000-0000-00007E100000}"/>
    <cellStyle name="Comma 4 3 5 2 5" xfId="38001" xr:uid="{00000000-0005-0000-0000-00007F100000}"/>
    <cellStyle name="Comma 4 3 6" xfId="3635" xr:uid="{00000000-0005-0000-0000-000080100000}"/>
    <cellStyle name="Comma 4 3 6 2" xfId="3636" xr:uid="{00000000-0005-0000-0000-000081100000}"/>
    <cellStyle name="Comma 4 3 6 2 2" xfId="9820" xr:uid="{00000000-0005-0000-0000-000082100000}"/>
    <cellStyle name="Comma 4 3 6 2 2 2" xfId="33308" xr:uid="{00000000-0005-0000-0000-000083100000}"/>
    <cellStyle name="Comma 4 3 6 2 2 3" xfId="23987" xr:uid="{00000000-0005-0000-0000-000084100000}"/>
    <cellStyle name="Comma 4 3 6 2 2 4" xfId="47249" xr:uid="{00000000-0005-0000-0000-000085100000}"/>
    <cellStyle name="Comma 4 3 6 2 3" xfId="14557" xr:uid="{00000000-0005-0000-0000-000086100000}"/>
    <cellStyle name="Comma 4 3 6 2 3 2" xfId="28689" xr:uid="{00000000-0005-0000-0000-000087100000}"/>
    <cellStyle name="Comma 4 3 6 2 3 3" xfId="42579" xr:uid="{00000000-0005-0000-0000-000088100000}"/>
    <cellStyle name="Comma 4 3 6 2 4" xfId="19369" xr:uid="{00000000-0005-0000-0000-000089100000}"/>
    <cellStyle name="Comma 4 3 6 2 5" xfId="38002" xr:uid="{00000000-0005-0000-0000-00008A100000}"/>
    <cellStyle name="Comma 4 3 7" xfId="3637" xr:uid="{00000000-0005-0000-0000-00008B100000}"/>
    <cellStyle name="Comma 4 3 7 2" xfId="3638" xr:uid="{00000000-0005-0000-0000-00008C100000}"/>
    <cellStyle name="Comma 4 3 7 2 2" xfId="9821" xr:uid="{00000000-0005-0000-0000-00008D100000}"/>
    <cellStyle name="Comma 4 3 7 2 2 2" xfId="33309" xr:uid="{00000000-0005-0000-0000-00008E100000}"/>
    <cellStyle name="Comma 4 3 7 2 2 3" xfId="23988" xr:uid="{00000000-0005-0000-0000-00008F100000}"/>
    <cellStyle name="Comma 4 3 7 2 2 4" xfId="47250" xr:uid="{00000000-0005-0000-0000-000090100000}"/>
    <cellStyle name="Comma 4 3 7 2 3" xfId="14558" xr:uid="{00000000-0005-0000-0000-000091100000}"/>
    <cellStyle name="Comma 4 3 7 2 3 2" xfId="28690" xr:uid="{00000000-0005-0000-0000-000092100000}"/>
    <cellStyle name="Comma 4 3 7 2 3 3" xfId="42580" xr:uid="{00000000-0005-0000-0000-000093100000}"/>
    <cellStyle name="Comma 4 3 7 2 4" xfId="19370" xr:uid="{00000000-0005-0000-0000-000094100000}"/>
    <cellStyle name="Comma 4 3 7 2 5" xfId="38003" xr:uid="{00000000-0005-0000-0000-000095100000}"/>
    <cellStyle name="Comma 4 3 8" xfId="3639" xr:uid="{00000000-0005-0000-0000-000096100000}"/>
    <cellStyle name="Comma 4 3 8 2" xfId="3640" xr:uid="{00000000-0005-0000-0000-000097100000}"/>
    <cellStyle name="Comma 4 3 8 2 2" xfId="9822" xr:uid="{00000000-0005-0000-0000-000098100000}"/>
    <cellStyle name="Comma 4 3 8 2 2 2" xfId="33310" xr:uid="{00000000-0005-0000-0000-000099100000}"/>
    <cellStyle name="Comma 4 3 8 2 2 3" xfId="23989" xr:uid="{00000000-0005-0000-0000-00009A100000}"/>
    <cellStyle name="Comma 4 3 8 2 2 4" xfId="47251" xr:uid="{00000000-0005-0000-0000-00009B100000}"/>
    <cellStyle name="Comma 4 3 8 2 3" xfId="14559" xr:uid="{00000000-0005-0000-0000-00009C100000}"/>
    <cellStyle name="Comma 4 3 8 2 3 2" xfId="28691" xr:uid="{00000000-0005-0000-0000-00009D100000}"/>
    <cellStyle name="Comma 4 3 8 2 3 3" xfId="42581" xr:uid="{00000000-0005-0000-0000-00009E100000}"/>
    <cellStyle name="Comma 4 3 8 2 4" xfId="19371" xr:uid="{00000000-0005-0000-0000-00009F100000}"/>
    <cellStyle name="Comma 4 3 8 2 5" xfId="38004" xr:uid="{00000000-0005-0000-0000-0000A0100000}"/>
    <cellStyle name="Comma 4 3 9" xfId="3641" xr:uid="{00000000-0005-0000-0000-0000A1100000}"/>
    <cellStyle name="Comma 4 3 9 2" xfId="3642" xr:uid="{00000000-0005-0000-0000-0000A2100000}"/>
    <cellStyle name="Comma 4 3 9 2 2" xfId="9823" xr:uid="{00000000-0005-0000-0000-0000A3100000}"/>
    <cellStyle name="Comma 4 3 9 2 2 2" xfId="33311" xr:uid="{00000000-0005-0000-0000-0000A4100000}"/>
    <cellStyle name="Comma 4 3 9 2 2 3" xfId="23990" xr:uid="{00000000-0005-0000-0000-0000A5100000}"/>
    <cellStyle name="Comma 4 3 9 2 2 4" xfId="47252" xr:uid="{00000000-0005-0000-0000-0000A6100000}"/>
    <cellStyle name="Comma 4 3 9 2 3" xfId="14560" xr:uid="{00000000-0005-0000-0000-0000A7100000}"/>
    <cellStyle name="Comma 4 3 9 2 3 2" xfId="28692" xr:uid="{00000000-0005-0000-0000-0000A8100000}"/>
    <cellStyle name="Comma 4 3 9 2 3 3" xfId="42582" xr:uid="{00000000-0005-0000-0000-0000A9100000}"/>
    <cellStyle name="Comma 4 3 9 2 4" xfId="19372" xr:uid="{00000000-0005-0000-0000-0000AA100000}"/>
    <cellStyle name="Comma 4 3 9 2 5" xfId="38005" xr:uid="{00000000-0005-0000-0000-0000AB100000}"/>
    <cellStyle name="Comma 4 30" xfId="3643" xr:uid="{00000000-0005-0000-0000-0000AC100000}"/>
    <cellStyle name="Comma 4 30 2" xfId="3644" xr:uid="{00000000-0005-0000-0000-0000AD100000}"/>
    <cellStyle name="Comma 4 30 2 2" xfId="9824" xr:uid="{00000000-0005-0000-0000-0000AE100000}"/>
    <cellStyle name="Comma 4 30 2 2 2" xfId="33312" xr:uid="{00000000-0005-0000-0000-0000AF100000}"/>
    <cellStyle name="Comma 4 30 2 2 3" xfId="23991" xr:uid="{00000000-0005-0000-0000-0000B0100000}"/>
    <cellStyle name="Comma 4 30 2 2 4" xfId="47253" xr:uid="{00000000-0005-0000-0000-0000B1100000}"/>
    <cellStyle name="Comma 4 30 2 3" xfId="14561" xr:uid="{00000000-0005-0000-0000-0000B2100000}"/>
    <cellStyle name="Comma 4 30 2 3 2" xfId="28693" xr:uid="{00000000-0005-0000-0000-0000B3100000}"/>
    <cellStyle name="Comma 4 30 2 3 3" xfId="42583" xr:uid="{00000000-0005-0000-0000-0000B4100000}"/>
    <cellStyle name="Comma 4 30 2 4" xfId="19373" xr:uid="{00000000-0005-0000-0000-0000B5100000}"/>
    <cellStyle name="Comma 4 30 2 5" xfId="38006" xr:uid="{00000000-0005-0000-0000-0000B6100000}"/>
    <cellStyle name="Comma 4 31" xfId="3645" xr:uid="{00000000-0005-0000-0000-0000B7100000}"/>
    <cellStyle name="Comma 4 31 2" xfId="3646" xr:uid="{00000000-0005-0000-0000-0000B8100000}"/>
    <cellStyle name="Comma 4 31 2 2" xfId="9825" xr:uid="{00000000-0005-0000-0000-0000B9100000}"/>
    <cellStyle name="Comma 4 31 2 2 2" xfId="33313" xr:uid="{00000000-0005-0000-0000-0000BA100000}"/>
    <cellStyle name="Comma 4 31 2 2 3" xfId="23992" xr:uid="{00000000-0005-0000-0000-0000BB100000}"/>
    <cellStyle name="Comma 4 31 2 2 4" xfId="47254" xr:uid="{00000000-0005-0000-0000-0000BC100000}"/>
    <cellStyle name="Comma 4 31 2 3" xfId="14562" xr:uid="{00000000-0005-0000-0000-0000BD100000}"/>
    <cellStyle name="Comma 4 31 2 3 2" xfId="28694" xr:uid="{00000000-0005-0000-0000-0000BE100000}"/>
    <cellStyle name="Comma 4 31 2 3 3" xfId="42584" xr:uid="{00000000-0005-0000-0000-0000BF100000}"/>
    <cellStyle name="Comma 4 31 2 4" xfId="19374" xr:uid="{00000000-0005-0000-0000-0000C0100000}"/>
    <cellStyle name="Comma 4 31 2 5" xfId="38007" xr:uid="{00000000-0005-0000-0000-0000C1100000}"/>
    <cellStyle name="Comma 4 32" xfId="3647" xr:uid="{00000000-0005-0000-0000-0000C2100000}"/>
    <cellStyle name="Comma 4 32 2" xfId="3648" xr:uid="{00000000-0005-0000-0000-0000C3100000}"/>
    <cellStyle name="Comma 4 32 2 2" xfId="9826" xr:uid="{00000000-0005-0000-0000-0000C4100000}"/>
    <cellStyle name="Comma 4 32 2 2 2" xfId="33314" xr:uid="{00000000-0005-0000-0000-0000C5100000}"/>
    <cellStyle name="Comma 4 32 2 2 3" xfId="23993" xr:uid="{00000000-0005-0000-0000-0000C6100000}"/>
    <cellStyle name="Comma 4 32 2 2 4" xfId="47255" xr:uid="{00000000-0005-0000-0000-0000C7100000}"/>
    <cellStyle name="Comma 4 32 2 3" xfId="14563" xr:uid="{00000000-0005-0000-0000-0000C8100000}"/>
    <cellStyle name="Comma 4 32 2 3 2" xfId="28695" xr:uid="{00000000-0005-0000-0000-0000C9100000}"/>
    <cellStyle name="Comma 4 32 2 3 3" xfId="42585" xr:uid="{00000000-0005-0000-0000-0000CA100000}"/>
    <cellStyle name="Comma 4 32 2 4" xfId="19375" xr:uid="{00000000-0005-0000-0000-0000CB100000}"/>
    <cellStyle name="Comma 4 32 2 5" xfId="38008" xr:uid="{00000000-0005-0000-0000-0000CC100000}"/>
    <cellStyle name="Comma 4 33" xfId="3649" xr:uid="{00000000-0005-0000-0000-0000CD100000}"/>
    <cellStyle name="Comma 4 33 2" xfId="3650" xr:uid="{00000000-0005-0000-0000-0000CE100000}"/>
    <cellStyle name="Comma 4 33 2 2" xfId="9827" xr:uid="{00000000-0005-0000-0000-0000CF100000}"/>
    <cellStyle name="Comma 4 33 2 2 2" xfId="33315" xr:uid="{00000000-0005-0000-0000-0000D0100000}"/>
    <cellStyle name="Comma 4 33 2 2 3" xfId="23994" xr:uid="{00000000-0005-0000-0000-0000D1100000}"/>
    <cellStyle name="Comma 4 33 2 2 4" xfId="47256" xr:uid="{00000000-0005-0000-0000-0000D2100000}"/>
    <cellStyle name="Comma 4 33 2 3" xfId="14564" xr:uid="{00000000-0005-0000-0000-0000D3100000}"/>
    <cellStyle name="Comma 4 33 2 3 2" xfId="28696" xr:uid="{00000000-0005-0000-0000-0000D4100000}"/>
    <cellStyle name="Comma 4 33 2 3 3" xfId="42586" xr:uid="{00000000-0005-0000-0000-0000D5100000}"/>
    <cellStyle name="Comma 4 33 2 4" xfId="19376" xr:uid="{00000000-0005-0000-0000-0000D6100000}"/>
    <cellStyle name="Comma 4 33 2 5" xfId="38009" xr:uid="{00000000-0005-0000-0000-0000D7100000}"/>
    <cellStyle name="Comma 4 34" xfId="3651" xr:uid="{00000000-0005-0000-0000-0000D8100000}"/>
    <cellStyle name="Comma 4 34 2" xfId="3652" xr:uid="{00000000-0005-0000-0000-0000D9100000}"/>
    <cellStyle name="Comma 4 34 2 2" xfId="9828" xr:uid="{00000000-0005-0000-0000-0000DA100000}"/>
    <cellStyle name="Comma 4 34 2 2 2" xfId="33316" xr:uid="{00000000-0005-0000-0000-0000DB100000}"/>
    <cellStyle name="Comma 4 34 2 2 3" xfId="23995" xr:uid="{00000000-0005-0000-0000-0000DC100000}"/>
    <cellStyle name="Comma 4 34 2 2 4" xfId="47257" xr:uid="{00000000-0005-0000-0000-0000DD100000}"/>
    <cellStyle name="Comma 4 34 2 3" xfId="14565" xr:uid="{00000000-0005-0000-0000-0000DE100000}"/>
    <cellStyle name="Comma 4 34 2 3 2" xfId="28697" xr:uid="{00000000-0005-0000-0000-0000DF100000}"/>
    <cellStyle name="Comma 4 34 2 3 3" xfId="42587" xr:uid="{00000000-0005-0000-0000-0000E0100000}"/>
    <cellStyle name="Comma 4 34 2 4" xfId="19377" xr:uid="{00000000-0005-0000-0000-0000E1100000}"/>
    <cellStyle name="Comma 4 34 2 5" xfId="38010" xr:uid="{00000000-0005-0000-0000-0000E2100000}"/>
    <cellStyle name="Comma 4 35" xfId="3653" xr:uid="{00000000-0005-0000-0000-0000E3100000}"/>
    <cellStyle name="Comma 4 35 2" xfId="3654" xr:uid="{00000000-0005-0000-0000-0000E4100000}"/>
    <cellStyle name="Comma 4 35 2 2" xfId="9829" xr:uid="{00000000-0005-0000-0000-0000E5100000}"/>
    <cellStyle name="Comma 4 35 2 2 2" xfId="33317" xr:uid="{00000000-0005-0000-0000-0000E6100000}"/>
    <cellStyle name="Comma 4 35 2 2 3" xfId="23996" xr:uid="{00000000-0005-0000-0000-0000E7100000}"/>
    <cellStyle name="Comma 4 35 2 2 4" xfId="47258" xr:uid="{00000000-0005-0000-0000-0000E8100000}"/>
    <cellStyle name="Comma 4 35 2 3" xfId="14566" xr:uid="{00000000-0005-0000-0000-0000E9100000}"/>
    <cellStyle name="Comma 4 35 2 3 2" xfId="28698" xr:uid="{00000000-0005-0000-0000-0000EA100000}"/>
    <cellStyle name="Comma 4 35 2 3 3" xfId="42588" xr:uid="{00000000-0005-0000-0000-0000EB100000}"/>
    <cellStyle name="Comma 4 35 2 4" xfId="19378" xr:uid="{00000000-0005-0000-0000-0000EC100000}"/>
    <cellStyle name="Comma 4 35 2 5" xfId="38011" xr:uid="{00000000-0005-0000-0000-0000ED100000}"/>
    <cellStyle name="Comma 4 36" xfId="3655" xr:uid="{00000000-0005-0000-0000-0000EE100000}"/>
    <cellStyle name="Comma 4 36 2" xfId="3656" xr:uid="{00000000-0005-0000-0000-0000EF100000}"/>
    <cellStyle name="Comma 4 36 2 2" xfId="9830" xr:uid="{00000000-0005-0000-0000-0000F0100000}"/>
    <cellStyle name="Comma 4 36 2 2 2" xfId="33318" xr:uid="{00000000-0005-0000-0000-0000F1100000}"/>
    <cellStyle name="Comma 4 36 2 2 3" xfId="23997" xr:uid="{00000000-0005-0000-0000-0000F2100000}"/>
    <cellStyle name="Comma 4 36 2 2 4" xfId="47259" xr:uid="{00000000-0005-0000-0000-0000F3100000}"/>
    <cellStyle name="Comma 4 36 2 3" xfId="14567" xr:uid="{00000000-0005-0000-0000-0000F4100000}"/>
    <cellStyle name="Comma 4 36 2 3 2" xfId="28699" xr:uid="{00000000-0005-0000-0000-0000F5100000}"/>
    <cellStyle name="Comma 4 36 2 3 3" xfId="42589" xr:uid="{00000000-0005-0000-0000-0000F6100000}"/>
    <cellStyle name="Comma 4 36 2 4" xfId="19379" xr:uid="{00000000-0005-0000-0000-0000F7100000}"/>
    <cellStyle name="Comma 4 36 2 5" xfId="38012" xr:uid="{00000000-0005-0000-0000-0000F8100000}"/>
    <cellStyle name="Comma 4 37" xfId="3657" xr:uid="{00000000-0005-0000-0000-0000F9100000}"/>
    <cellStyle name="Comma 4 37 2" xfId="3658" xr:uid="{00000000-0005-0000-0000-0000FA100000}"/>
    <cellStyle name="Comma 4 37 2 2" xfId="9831" xr:uid="{00000000-0005-0000-0000-0000FB100000}"/>
    <cellStyle name="Comma 4 37 2 2 2" xfId="33319" xr:uid="{00000000-0005-0000-0000-0000FC100000}"/>
    <cellStyle name="Comma 4 37 2 2 3" xfId="23998" xr:uid="{00000000-0005-0000-0000-0000FD100000}"/>
    <cellStyle name="Comma 4 37 2 2 4" xfId="47260" xr:uid="{00000000-0005-0000-0000-0000FE100000}"/>
    <cellStyle name="Comma 4 37 2 3" xfId="14568" xr:uid="{00000000-0005-0000-0000-0000FF100000}"/>
    <cellStyle name="Comma 4 37 2 3 2" xfId="28700" xr:uid="{00000000-0005-0000-0000-000000110000}"/>
    <cellStyle name="Comma 4 37 2 3 3" xfId="42590" xr:uid="{00000000-0005-0000-0000-000001110000}"/>
    <cellStyle name="Comma 4 37 2 4" xfId="19380" xr:uid="{00000000-0005-0000-0000-000002110000}"/>
    <cellStyle name="Comma 4 37 2 5" xfId="38013" xr:uid="{00000000-0005-0000-0000-000003110000}"/>
    <cellStyle name="Comma 4 38" xfId="3659" xr:uid="{00000000-0005-0000-0000-000004110000}"/>
    <cellStyle name="Comma 4 38 2" xfId="3660" xr:uid="{00000000-0005-0000-0000-000005110000}"/>
    <cellStyle name="Comma 4 38 2 2" xfId="9832" xr:uid="{00000000-0005-0000-0000-000006110000}"/>
    <cellStyle name="Comma 4 38 2 2 2" xfId="33320" xr:uid="{00000000-0005-0000-0000-000007110000}"/>
    <cellStyle name="Comma 4 38 2 2 3" xfId="23999" xr:uid="{00000000-0005-0000-0000-000008110000}"/>
    <cellStyle name="Comma 4 38 2 2 4" xfId="47261" xr:uid="{00000000-0005-0000-0000-000009110000}"/>
    <cellStyle name="Comma 4 38 2 3" xfId="14569" xr:uid="{00000000-0005-0000-0000-00000A110000}"/>
    <cellStyle name="Comma 4 38 2 3 2" xfId="28701" xr:uid="{00000000-0005-0000-0000-00000B110000}"/>
    <cellStyle name="Comma 4 38 2 3 3" xfId="42591" xr:uid="{00000000-0005-0000-0000-00000C110000}"/>
    <cellStyle name="Comma 4 38 2 4" xfId="19381" xr:uid="{00000000-0005-0000-0000-00000D110000}"/>
    <cellStyle name="Comma 4 38 2 5" xfId="38014" xr:uid="{00000000-0005-0000-0000-00000E110000}"/>
    <cellStyle name="Comma 4 39" xfId="3661" xr:uid="{00000000-0005-0000-0000-00000F110000}"/>
    <cellStyle name="Comma 4 39 2" xfId="3662" xr:uid="{00000000-0005-0000-0000-000010110000}"/>
    <cellStyle name="Comma 4 39 2 2" xfId="9833" xr:uid="{00000000-0005-0000-0000-000011110000}"/>
    <cellStyle name="Comma 4 39 2 2 2" xfId="33321" xr:uid="{00000000-0005-0000-0000-000012110000}"/>
    <cellStyle name="Comma 4 39 2 2 3" xfId="24000" xr:uid="{00000000-0005-0000-0000-000013110000}"/>
    <cellStyle name="Comma 4 39 2 2 4" xfId="47262" xr:uid="{00000000-0005-0000-0000-000014110000}"/>
    <cellStyle name="Comma 4 39 2 3" xfId="14570" xr:uid="{00000000-0005-0000-0000-000015110000}"/>
    <cellStyle name="Comma 4 39 2 3 2" xfId="28702" xr:uid="{00000000-0005-0000-0000-000016110000}"/>
    <cellStyle name="Comma 4 39 2 3 3" xfId="42592" xr:uid="{00000000-0005-0000-0000-000017110000}"/>
    <cellStyle name="Comma 4 39 2 4" xfId="19382" xr:uid="{00000000-0005-0000-0000-000018110000}"/>
    <cellStyle name="Comma 4 39 2 5" xfId="38015" xr:uid="{00000000-0005-0000-0000-000019110000}"/>
    <cellStyle name="Comma 4 4" xfId="3663" xr:uid="{00000000-0005-0000-0000-00001A110000}"/>
    <cellStyle name="Comma 4 4 10" xfId="3664" xr:uid="{00000000-0005-0000-0000-00001B110000}"/>
    <cellStyle name="Comma 4 4 10 2" xfId="3665" xr:uid="{00000000-0005-0000-0000-00001C110000}"/>
    <cellStyle name="Comma 4 4 10 2 2" xfId="9834" xr:uid="{00000000-0005-0000-0000-00001D110000}"/>
    <cellStyle name="Comma 4 4 10 2 2 2" xfId="33322" xr:uid="{00000000-0005-0000-0000-00001E110000}"/>
    <cellStyle name="Comma 4 4 10 2 2 3" xfId="24001" xr:uid="{00000000-0005-0000-0000-00001F110000}"/>
    <cellStyle name="Comma 4 4 10 2 2 4" xfId="47263" xr:uid="{00000000-0005-0000-0000-000020110000}"/>
    <cellStyle name="Comma 4 4 10 2 3" xfId="14571" xr:uid="{00000000-0005-0000-0000-000021110000}"/>
    <cellStyle name="Comma 4 4 10 2 3 2" xfId="28703" xr:uid="{00000000-0005-0000-0000-000022110000}"/>
    <cellStyle name="Comma 4 4 10 2 3 3" xfId="42593" xr:uid="{00000000-0005-0000-0000-000023110000}"/>
    <cellStyle name="Comma 4 4 10 2 4" xfId="19383" xr:uid="{00000000-0005-0000-0000-000024110000}"/>
    <cellStyle name="Comma 4 4 10 2 5" xfId="38016" xr:uid="{00000000-0005-0000-0000-000025110000}"/>
    <cellStyle name="Comma 4 4 11" xfId="3666" xr:uid="{00000000-0005-0000-0000-000026110000}"/>
    <cellStyle name="Comma 4 4 11 2" xfId="3667" xr:uid="{00000000-0005-0000-0000-000027110000}"/>
    <cellStyle name="Comma 4 4 11 2 2" xfId="9835" xr:uid="{00000000-0005-0000-0000-000028110000}"/>
    <cellStyle name="Comma 4 4 11 2 2 2" xfId="33323" xr:uid="{00000000-0005-0000-0000-000029110000}"/>
    <cellStyle name="Comma 4 4 11 2 2 3" xfId="24002" xr:uid="{00000000-0005-0000-0000-00002A110000}"/>
    <cellStyle name="Comma 4 4 11 2 2 4" xfId="47264" xr:uid="{00000000-0005-0000-0000-00002B110000}"/>
    <cellStyle name="Comma 4 4 11 2 3" xfId="14572" xr:uid="{00000000-0005-0000-0000-00002C110000}"/>
    <cellStyle name="Comma 4 4 11 2 3 2" xfId="28704" xr:uid="{00000000-0005-0000-0000-00002D110000}"/>
    <cellStyle name="Comma 4 4 11 2 3 3" xfId="42594" xr:uid="{00000000-0005-0000-0000-00002E110000}"/>
    <cellStyle name="Comma 4 4 11 2 4" xfId="19384" xr:uid="{00000000-0005-0000-0000-00002F110000}"/>
    <cellStyle name="Comma 4 4 11 2 5" xfId="38017" xr:uid="{00000000-0005-0000-0000-000030110000}"/>
    <cellStyle name="Comma 4 4 12" xfId="3668" xr:uid="{00000000-0005-0000-0000-000031110000}"/>
    <cellStyle name="Comma 4 4 12 2" xfId="3669" xr:uid="{00000000-0005-0000-0000-000032110000}"/>
    <cellStyle name="Comma 4 4 12 2 2" xfId="9836" xr:uid="{00000000-0005-0000-0000-000033110000}"/>
    <cellStyle name="Comma 4 4 12 2 2 2" xfId="33324" xr:uid="{00000000-0005-0000-0000-000034110000}"/>
    <cellStyle name="Comma 4 4 12 2 2 3" xfId="24003" xr:uid="{00000000-0005-0000-0000-000035110000}"/>
    <cellStyle name="Comma 4 4 12 2 2 4" xfId="47265" xr:uid="{00000000-0005-0000-0000-000036110000}"/>
    <cellStyle name="Comma 4 4 12 2 3" xfId="14573" xr:uid="{00000000-0005-0000-0000-000037110000}"/>
    <cellStyle name="Comma 4 4 12 2 3 2" xfId="28705" xr:uid="{00000000-0005-0000-0000-000038110000}"/>
    <cellStyle name="Comma 4 4 12 2 3 3" xfId="42595" xr:uid="{00000000-0005-0000-0000-000039110000}"/>
    <cellStyle name="Comma 4 4 12 2 4" xfId="19385" xr:uid="{00000000-0005-0000-0000-00003A110000}"/>
    <cellStyle name="Comma 4 4 12 2 5" xfId="38018" xr:uid="{00000000-0005-0000-0000-00003B110000}"/>
    <cellStyle name="Comma 4 4 13" xfId="3670" xr:uid="{00000000-0005-0000-0000-00003C110000}"/>
    <cellStyle name="Comma 4 4 13 2" xfId="3671" xr:uid="{00000000-0005-0000-0000-00003D110000}"/>
    <cellStyle name="Comma 4 4 13 2 2" xfId="9837" xr:uid="{00000000-0005-0000-0000-00003E110000}"/>
    <cellStyle name="Comma 4 4 13 2 2 2" xfId="33325" xr:uid="{00000000-0005-0000-0000-00003F110000}"/>
    <cellStyle name="Comma 4 4 13 2 2 3" xfId="24004" xr:uid="{00000000-0005-0000-0000-000040110000}"/>
    <cellStyle name="Comma 4 4 13 2 2 4" xfId="47266" xr:uid="{00000000-0005-0000-0000-000041110000}"/>
    <cellStyle name="Comma 4 4 13 2 3" xfId="14574" xr:uid="{00000000-0005-0000-0000-000042110000}"/>
    <cellStyle name="Comma 4 4 13 2 3 2" xfId="28706" xr:uid="{00000000-0005-0000-0000-000043110000}"/>
    <cellStyle name="Comma 4 4 13 2 3 3" xfId="42596" xr:uid="{00000000-0005-0000-0000-000044110000}"/>
    <cellStyle name="Comma 4 4 13 2 4" xfId="19386" xr:uid="{00000000-0005-0000-0000-000045110000}"/>
    <cellStyle name="Comma 4 4 13 2 5" xfId="38019" xr:uid="{00000000-0005-0000-0000-000046110000}"/>
    <cellStyle name="Comma 4 4 14" xfId="3672" xr:uid="{00000000-0005-0000-0000-000047110000}"/>
    <cellStyle name="Comma 4 4 14 2" xfId="3673" xr:uid="{00000000-0005-0000-0000-000048110000}"/>
    <cellStyle name="Comma 4 4 14 2 2" xfId="9838" xr:uid="{00000000-0005-0000-0000-000049110000}"/>
    <cellStyle name="Comma 4 4 14 2 2 2" xfId="33326" xr:uid="{00000000-0005-0000-0000-00004A110000}"/>
    <cellStyle name="Comma 4 4 14 2 2 3" xfId="24005" xr:uid="{00000000-0005-0000-0000-00004B110000}"/>
    <cellStyle name="Comma 4 4 14 2 2 4" xfId="47267" xr:uid="{00000000-0005-0000-0000-00004C110000}"/>
    <cellStyle name="Comma 4 4 14 2 3" xfId="14575" xr:uid="{00000000-0005-0000-0000-00004D110000}"/>
    <cellStyle name="Comma 4 4 14 2 3 2" xfId="28707" xr:uid="{00000000-0005-0000-0000-00004E110000}"/>
    <cellStyle name="Comma 4 4 14 2 3 3" xfId="42597" xr:uid="{00000000-0005-0000-0000-00004F110000}"/>
    <cellStyle name="Comma 4 4 14 2 4" xfId="19387" xr:uid="{00000000-0005-0000-0000-000050110000}"/>
    <cellStyle name="Comma 4 4 14 2 5" xfId="38020" xr:uid="{00000000-0005-0000-0000-000051110000}"/>
    <cellStyle name="Comma 4 4 15" xfId="3674" xr:uid="{00000000-0005-0000-0000-000052110000}"/>
    <cellStyle name="Comma 4 4 15 2" xfId="3675" xr:uid="{00000000-0005-0000-0000-000053110000}"/>
    <cellStyle name="Comma 4 4 15 2 2" xfId="9839" xr:uid="{00000000-0005-0000-0000-000054110000}"/>
    <cellStyle name="Comma 4 4 15 2 2 2" xfId="33327" xr:uid="{00000000-0005-0000-0000-000055110000}"/>
    <cellStyle name="Comma 4 4 15 2 2 3" xfId="24006" xr:uid="{00000000-0005-0000-0000-000056110000}"/>
    <cellStyle name="Comma 4 4 15 2 2 4" xfId="47268" xr:uid="{00000000-0005-0000-0000-000057110000}"/>
    <cellStyle name="Comma 4 4 15 2 3" xfId="14576" xr:uid="{00000000-0005-0000-0000-000058110000}"/>
    <cellStyle name="Comma 4 4 15 2 3 2" xfId="28708" xr:uid="{00000000-0005-0000-0000-000059110000}"/>
    <cellStyle name="Comma 4 4 15 2 3 3" xfId="42598" xr:uid="{00000000-0005-0000-0000-00005A110000}"/>
    <cellStyle name="Comma 4 4 15 2 4" xfId="19388" xr:uid="{00000000-0005-0000-0000-00005B110000}"/>
    <cellStyle name="Comma 4 4 15 2 5" xfId="38021" xr:uid="{00000000-0005-0000-0000-00005C110000}"/>
    <cellStyle name="Comma 4 4 16" xfId="3676" xr:uid="{00000000-0005-0000-0000-00005D110000}"/>
    <cellStyle name="Comma 4 4 16 2" xfId="3677" xr:uid="{00000000-0005-0000-0000-00005E110000}"/>
    <cellStyle name="Comma 4 4 16 2 2" xfId="9840" xr:uid="{00000000-0005-0000-0000-00005F110000}"/>
    <cellStyle name="Comma 4 4 16 2 2 2" xfId="33328" xr:uid="{00000000-0005-0000-0000-000060110000}"/>
    <cellStyle name="Comma 4 4 16 2 2 3" xfId="24007" xr:uid="{00000000-0005-0000-0000-000061110000}"/>
    <cellStyle name="Comma 4 4 16 2 2 4" xfId="47269" xr:uid="{00000000-0005-0000-0000-000062110000}"/>
    <cellStyle name="Comma 4 4 16 2 3" xfId="14577" xr:uid="{00000000-0005-0000-0000-000063110000}"/>
    <cellStyle name="Comma 4 4 16 2 3 2" xfId="28709" xr:uid="{00000000-0005-0000-0000-000064110000}"/>
    <cellStyle name="Comma 4 4 16 2 3 3" xfId="42599" xr:uid="{00000000-0005-0000-0000-000065110000}"/>
    <cellStyle name="Comma 4 4 16 2 4" xfId="19389" xr:uid="{00000000-0005-0000-0000-000066110000}"/>
    <cellStyle name="Comma 4 4 16 2 5" xfId="38022" xr:uid="{00000000-0005-0000-0000-000067110000}"/>
    <cellStyle name="Comma 4 4 17" xfId="3678" xr:uid="{00000000-0005-0000-0000-000068110000}"/>
    <cellStyle name="Comma 4 4 17 2" xfId="3679" xr:uid="{00000000-0005-0000-0000-000069110000}"/>
    <cellStyle name="Comma 4 4 17 2 2" xfId="9841" xr:uid="{00000000-0005-0000-0000-00006A110000}"/>
    <cellStyle name="Comma 4 4 17 2 2 2" xfId="33329" xr:uid="{00000000-0005-0000-0000-00006B110000}"/>
    <cellStyle name="Comma 4 4 17 2 2 3" xfId="24008" xr:uid="{00000000-0005-0000-0000-00006C110000}"/>
    <cellStyle name="Comma 4 4 17 2 2 4" xfId="47270" xr:uid="{00000000-0005-0000-0000-00006D110000}"/>
    <cellStyle name="Comma 4 4 17 2 3" xfId="14578" xr:uid="{00000000-0005-0000-0000-00006E110000}"/>
    <cellStyle name="Comma 4 4 17 2 3 2" xfId="28710" xr:uid="{00000000-0005-0000-0000-00006F110000}"/>
    <cellStyle name="Comma 4 4 17 2 3 3" xfId="42600" xr:uid="{00000000-0005-0000-0000-000070110000}"/>
    <cellStyle name="Comma 4 4 17 2 4" xfId="19390" xr:uid="{00000000-0005-0000-0000-000071110000}"/>
    <cellStyle name="Comma 4 4 17 2 5" xfId="38023" xr:uid="{00000000-0005-0000-0000-000072110000}"/>
    <cellStyle name="Comma 4 4 18" xfId="3680" xr:uid="{00000000-0005-0000-0000-000073110000}"/>
    <cellStyle name="Comma 4 4 18 2" xfId="3681" xr:uid="{00000000-0005-0000-0000-000074110000}"/>
    <cellStyle name="Comma 4 4 18 2 2" xfId="9842" xr:uid="{00000000-0005-0000-0000-000075110000}"/>
    <cellStyle name="Comma 4 4 18 2 2 2" xfId="33330" xr:uid="{00000000-0005-0000-0000-000076110000}"/>
    <cellStyle name="Comma 4 4 18 2 2 3" xfId="24009" xr:uid="{00000000-0005-0000-0000-000077110000}"/>
    <cellStyle name="Comma 4 4 18 2 2 4" xfId="47271" xr:uid="{00000000-0005-0000-0000-000078110000}"/>
    <cellStyle name="Comma 4 4 18 2 3" xfId="14579" xr:uid="{00000000-0005-0000-0000-000079110000}"/>
    <cellStyle name="Comma 4 4 18 2 3 2" xfId="28711" xr:uid="{00000000-0005-0000-0000-00007A110000}"/>
    <cellStyle name="Comma 4 4 18 2 3 3" xfId="42601" xr:uid="{00000000-0005-0000-0000-00007B110000}"/>
    <cellStyle name="Comma 4 4 18 2 4" xfId="19391" xr:uid="{00000000-0005-0000-0000-00007C110000}"/>
    <cellStyle name="Comma 4 4 18 2 5" xfId="38024" xr:uid="{00000000-0005-0000-0000-00007D110000}"/>
    <cellStyle name="Comma 4 4 19" xfId="3682" xr:uid="{00000000-0005-0000-0000-00007E110000}"/>
    <cellStyle name="Comma 4 4 19 2" xfId="3683" xr:uid="{00000000-0005-0000-0000-00007F110000}"/>
    <cellStyle name="Comma 4 4 19 2 2" xfId="9843" xr:uid="{00000000-0005-0000-0000-000080110000}"/>
    <cellStyle name="Comma 4 4 19 2 2 2" xfId="33331" xr:uid="{00000000-0005-0000-0000-000081110000}"/>
    <cellStyle name="Comma 4 4 19 2 2 3" xfId="24010" xr:uid="{00000000-0005-0000-0000-000082110000}"/>
    <cellStyle name="Comma 4 4 19 2 2 4" xfId="47272" xr:uid="{00000000-0005-0000-0000-000083110000}"/>
    <cellStyle name="Comma 4 4 19 2 3" xfId="14580" xr:uid="{00000000-0005-0000-0000-000084110000}"/>
    <cellStyle name="Comma 4 4 19 2 3 2" xfId="28712" xr:uid="{00000000-0005-0000-0000-000085110000}"/>
    <cellStyle name="Comma 4 4 19 2 3 3" xfId="42602" xr:uid="{00000000-0005-0000-0000-000086110000}"/>
    <cellStyle name="Comma 4 4 19 2 4" xfId="19392" xr:uid="{00000000-0005-0000-0000-000087110000}"/>
    <cellStyle name="Comma 4 4 19 2 5" xfId="38025" xr:uid="{00000000-0005-0000-0000-000088110000}"/>
    <cellStyle name="Comma 4 4 2" xfId="3684" xr:uid="{00000000-0005-0000-0000-000089110000}"/>
    <cellStyle name="Comma 4 4 2 2" xfId="3685" xr:uid="{00000000-0005-0000-0000-00008A110000}"/>
    <cellStyle name="Comma 4 4 2 2 2" xfId="9844" xr:uid="{00000000-0005-0000-0000-00008B110000}"/>
    <cellStyle name="Comma 4 4 2 2 2 2" xfId="33332" xr:uid="{00000000-0005-0000-0000-00008C110000}"/>
    <cellStyle name="Comma 4 4 2 2 2 3" xfId="24011" xr:uid="{00000000-0005-0000-0000-00008D110000}"/>
    <cellStyle name="Comma 4 4 2 2 2 4" xfId="47273" xr:uid="{00000000-0005-0000-0000-00008E110000}"/>
    <cellStyle name="Comma 4 4 2 2 3" xfId="14581" xr:uid="{00000000-0005-0000-0000-00008F110000}"/>
    <cellStyle name="Comma 4 4 2 2 3 2" xfId="28713" xr:uid="{00000000-0005-0000-0000-000090110000}"/>
    <cellStyle name="Comma 4 4 2 2 3 3" xfId="42603" xr:uid="{00000000-0005-0000-0000-000091110000}"/>
    <cellStyle name="Comma 4 4 2 2 4" xfId="19393" xr:uid="{00000000-0005-0000-0000-000092110000}"/>
    <cellStyle name="Comma 4 4 2 2 5" xfId="38026" xr:uid="{00000000-0005-0000-0000-000093110000}"/>
    <cellStyle name="Comma 4 4 20" xfId="3686" xr:uid="{00000000-0005-0000-0000-000094110000}"/>
    <cellStyle name="Comma 4 4 20 2" xfId="3687" xr:uid="{00000000-0005-0000-0000-000095110000}"/>
    <cellStyle name="Comma 4 4 20 2 2" xfId="9845" xr:uid="{00000000-0005-0000-0000-000096110000}"/>
    <cellStyle name="Comma 4 4 20 2 2 2" xfId="33333" xr:uid="{00000000-0005-0000-0000-000097110000}"/>
    <cellStyle name="Comma 4 4 20 2 2 3" xfId="24012" xr:uid="{00000000-0005-0000-0000-000098110000}"/>
    <cellStyle name="Comma 4 4 20 2 2 4" xfId="47274" xr:uid="{00000000-0005-0000-0000-000099110000}"/>
    <cellStyle name="Comma 4 4 20 2 3" xfId="14582" xr:uid="{00000000-0005-0000-0000-00009A110000}"/>
    <cellStyle name="Comma 4 4 20 2 3 2" xfId="28714" xr:uid="{00000000-0005-0000-0000-00009B110000}"/>
    <cellStyle name="Comma 4 4 20 2 3 3" xfId="42604" xr:uid="{00000000-0005-0000-0000-00009C110000}"/>
    <cellStyle name="Comma 4 4 20 2 4" xfId="19394" xr:uid="{00000000-0005-0000-0000-00009D110000}"/>
    <cellStyle name="Comma 4 4 20 2 5" xfId="38027" xr:uid="{00000000-0005-0000-0000-00009E110000}"/>
    <cellStyle name="Comma 4 4 21" xfId="3688" xr:uid="{00000000-0005-0000-0000-00009F110000}"/>
    <cellStyle name="Comma 4 4 21 2" xfId="3689" xr:uid="{00000000-0005-0000-0000-0000A0110000}"/>
    <cellStyle name="Comma 4 4 21 2 2" xfId="9846" xr:uid="{00000000-0005-0000-0000-0000A1110000}"/>
    <cellStyle name="Comma 4 4 21 2 2 2" xfId="33334" xr:uid="{00000000-0005-0000-0000-0000A2110000}"/>
    <cellStyle name="Comma 4 4 21 2 2 3" xfId="24013" xr:uid="{00000000-0005-0000-0000-0000A3110000}"/>
    <cellStyle name="Comma 4 4 21 2 2 4" xfId="47275" xr:uid="{00000000-0005-0000-0000-0000A4110000}"/>
    <cellStyle name="Comma 4 4 21 2 3" xfId="14583" xr:uid="{00000000-0005-0000-0000-0000A5110000}"/>
    <cellStyle name="Comma 4 4 21 2 3 2" xfId="28715" xr:uid="{00000000-0005-0000-0000-0000A6110000}"/>
    <cellStyle name="Comma 4 4 21 2 3 3" xfId="42605" xr:uid="{00000000-0005-0000-0000-0000A7110000}"/>
    <cellStyle name="Comma 4 4 21 2 4" xfId="19395" xr:uid="{00000000-0005-0000-0000-0000A8110000}"/>
    <cellStyle name="Comma 4 4 21 2 5" xfId="38028" xr:uid="{00000000-0005-0000-0000-0000A9110000}"/>
    <cellStyle name="Comma 4 4 22" xfId="3690" xr:uid="{00000000-0005-0000-0000-0000AA110000}"/>
    <cellStyle name="Comma 4 4 22 2" xfId="3691" xr:uid="{00000000-0005-0000-0000-0000AB110000}"/>
    <cellStyle name="Comma 4 4 22 2 2" xfId="9847" xr:uid="{00000000-0005-0000-0000-0000AC110000}"/>
    <cellStyle name="Comma 4 4 22 2 2 2" xfId="33335" xr:uid="{00000000-0005-0000-0000-0000AD110000}"/>
    <cellStyle name="Comma 4 4 22 2 2 3" xfId="24014" xr:uid="{00000000-0005-0000-0000-0000AE110000}"/>
    <cellStyle name="Comma 4 4 22 2 2 4" xfId="47276" xr:uid="{00000000-0005-0000-0000-0000AF110000}"/>
    <cellStyle name="Comma 4 4 22 2 3" xfId="14584" xr:uid="{00000000-0005-0000-0000-0000B0110000}"/>
    <cellStyle name="Comma 4 4 22 2 3 2" xfId="28716" xr:uid="{00000000-0005-0000-0000-0000B1110000}"/>
    <cellStyle name="Comma 4 4 22 2 3 3" xfId="42606" xr:uid="{00000000-0005-0000-0000-0000B2110000}"/>
    <cellStyle name="Comma 4 4 22 2 4" xfId="19396" xr:uid="{00000000-0005-0000-0000-0000B3110000}"/>
    <cellStyle name="Comma 4 4 22 2 5" xfId="38029" xr:uid="{00000000-0005-0000-0000-0000B4110000}"/>
    <cellStyle name="Comma 4 4 23" xfId="3692" xr:uid="{00000000-0005-0000-0000-0000B5110000}"/>
    <cellStyle name="Comma 4 4 23 2" xfId="3693" xr:uid="{00000000-0005-0000-0000-0000B6110000}"/>
    <cellStyle name="Comma 4 4 23 2 2" xfId="9848" xr:uid="{00000000-0005-0000-0000-0000B7110000}"/>
    <cellStyle name="Comma 4 4 23 2 2 2" xfId="33336" xr:uid="{00000000-0005-0000-0000-0000B8110000}"/>
    <cellStyle name="Comma 4 4 23 2 2 3" xfId="24015" xr:uid="{00000000-0005-0000-0000-0000B9110000}"/>
    <cellStyle name="Comma 4 4 23 2 2 4" xfId="47277" xr:uid="{00000000-0005-0000-0000-0000BA110000}"/>
    <cellStyle name="Comma 4 4 23 2 3" xfId="14585" xr:uid="{00000000-0005-0000-0000-0000BB110000}"/>
    <cellStyle name="Comma 4 4 23 2 3 2" xfId="28717" xr:uid="{00000000-0005-0000-0000-0000BC110000}"/>
    <cellStyle name="Comma 4 4 23 2 3 3" xfId="42607" xr:uid="{00000000-0005-0000-0000-0000BD110000}"/>
    <cellStyle name="Comma 4 4 23 2 4" xfId="19397" xr:uid="{00000000-0005-0000-0000-0000BE110000}"/>
    <cellStyle name="Comma 4 4 23 2 5" xfId="38030" xr:uid="{00000000-0005-0000-0000-0000BF110000}"/>
    <cellStyle name="Comma 4 4 24" xfId="3694" xr:uid="{00000000-0005-0000-0000-0000C0110000}"/>
    <cellStyle name="Comma 4 4 24 2" xfId="9849" xr:uid="{00000000-0005-0000-0000-0000C1110000}"/>
    <cellStyle name="Comma 4 4 24 2 2" xfId="33337" xr:uid="{00000000-0005-0000-0000-0000C2110000}"/>
    <cellStyle name="Comma 4 4 24 2 3" xfId="24016" xr:uid="{00000000-0005-0000-0000-0000C3110000}"/>
    <cellStyle name="Comma 4 4 24 2 4" xfId="47278" xr:uid="{00000000-0005-0000-0000-0000C4110000}"/>
    <cellStyle name="Comma 4 4 24 3" xfId="14586" xr:uid="{00000000-0005-0000-0000-0000C5110000}"/>
    <cellStyle name="Comma 4 4 24 3 2" xfId="28718" xr:uid="{00000000-0005-0000-0000-0000C6110000}"/>
    <cellStyle name="Comma 4 4 24 3 3" xfId="42608" xr:uid="{00000000-0005-0000-0000-0000C7110000}"/>
    <cellStyle name="Comma 4 4 24 4" xfId="19398" xr:uid="{00000000-0005-0000-0000-0000C8110000}"/>
    <cellStyle name="Comma 4 4 24 5" xfId="38031" xr:uid="{00000000-0005-0000-0000-0000C9110000}"/>
    <cellStyle name="Comma 4 4 3" xfId="3695" xr:uid="{00000000-0005-0000-0000-0000CA110000}"/>
    <cellStyle name="Comma 4 4 3 2" xfId="3696" xr:uid="{00000000-0005-0000-0000-0000CB110000}"/>
    <cellStyle name="Comma 4 4 3 2 2" xfId="9850" xr:uid="{00000000-0005-0000-0000-0000CC110000}"/>
    <cellStyle name="Comma 4 4 3 2 2 2" xfId="33338" xr:uid="{00000000-0005-0000-0000-0000CD110000}"/>
    <cellStyle name="Comma 4 4 3 2 2 3" xfId="24017" xr:uid="{00000000-0005-0000-0000-0000CE110000}"/>
    <cellStyle name="Comma 4 4 3 2 2 4" xfId="47279" xr:uid="{00000000-0005-0000-0000-0000CF110000}"/>
    <cellStyle name="Comma 4 4 3 2 3" xfId="14587" xr:uid="{00000000-0005-0000-0000-0000D0110000}"/>
    <cellStyle name="Comma 4 4 3 2 3 2" xfId="28719" xr:uid="{00000000-0005-0000-0000-0000D1110000}"/>
    <cellStyle name="Comma 4 4 3 2 3 3" xfId="42609" xr:uid="{00000000-0005-0000-0000-0000D2110000}"/>
    <cellStyle name="Comma 4 4 3 2 4" xfId="19399" xr:uid="{00000000-0005-0000-0000-0000D3110000}"/>
    <cellStyle name="Comma 4 4 3 2 5" xfId="38032" xr:uid="{00000000-0005-0000-0000-0000D4110000}"/>
    <cellStyle name="Comma 4 4 4" xfId="3697" xr:uid="{00000000-0005-0000-0000-0000D5110000}"/>
    <cellStyle name="Comma 4 4 4 2" xfId="3698" xr:uid="{00000000-0005-0000-0000-0000D6110000}"/>
    <cellStyle name="Comma 4 4 4 2 2" xfId="9851" xr:uid="{00000000-0005-0000-0000-0000D7110000}"/>
    <cellStyle name="Comma 4 4 4 2 2 2" xfId="33339" xr:uid="{00000000-0005-0000-0000-0000D8110000}"/>
    <cellStyle name="Comma 4 4 4 2 2 3" xfId="24018" xr:uid="{00000000-0005-0000-0000-0000D9110000}"/>
    <cellStyle name="Comma 4 4 4 2 2 4" xfId="47280" xr:uid="{00000000-0005-0000-0000-0000DA110000}"/>
    <cellStyle name="Comma 4 4 4 2 3" xfId="14588" xr:uid="{00000000-0005-0000-0000-0000DB110000}"/>
    <cellStyle name="Comma 4 4 4 2 3 2" xfId="28720" xr:uid="{00000000-0005-0000-0000-0000DC110000}"/>
    <cellStyle name="Comma 4 4 4 2 3 3" xfId="42610" xr:uid="{00000000-0005-0000-0000-0000DD110000}"/>
    <cellStyle name="Comma 4 4 4 2 4" xfId="19400" xr:uid="{00000000-0005-0000-0000-0000DE110000}"/>
    <cellStyle name="Comma 4 4 4 2 5" xfId="38033" xr:uid="{00000000-0005-0000-0000-0000DF110000}"/>
    <cellStyle name="Comma 4 4 5" xfId="3699" xr:uid="{00000000-0005-0000-0000-0000E0110000}"/>
    <cellStyle name="Comma 4 4 5 2" xfId="3700" xr:uid="{00000000-0005-0000-0000-0000E1110000}"/>
    <cellStyle name="Comma 4 4 5 2 2" xfId="9852" xr:uid="{00000000-0005-0000-0000-0000E2110000}"/>
    <cellStyle name="Comma 4 4 5 2 2 2" xfId="33340" xr:uid="{00000000-0005-0000-0000-0000E3110000}"/>
    <cellStyle name="Comma 4 4 5 2 2 3" xfId="24019" xr:uid="{00000000-0005-0000-0000-0000E4110000}"/>
    <cellStyle name="Comma 4 4 5 2 2 4" xfId="47281" xr:uid="{00000000-0005-0000-0000-0000E5110000}"/>
    <cellStyle name="Comma 4 4 5 2 3" xfId="14589" xr:uid="{00000000-0005-0000-0000-0000E6110000}"/>
    <cellStyle name="Comma 4 4 5 2 3 2" xfId="28721" xr:uid="{00000000-0005-0000-0000-0000E7110000}"/>
    <cellStyle name="Comma 4 4 5 2 3 3" xfId="42611" xr:uid="{00000000-0005-0000-0000-0000E8110000}"/>
    <cellStyle name="Comma 4 4 5 2 4" xfId="19401" xr:uid="{00000000-0005-0000-0000-0000E9110000}"/>
    <cellStyle name="Comma 4 4 5 2 5" xfId="38034" xr:uid="{00000000-0005-0000-0000-0000EA110000}"/>
    <cellStyle name="Comma 4 4 6" xfId="3701" xr:uid="{00000000-0005-0000-0000-0000EB110000}"/>
    <cellStyle name="Comma 4 4 6 2" xfId="3702" xr:uid="{00000000-0005-0000-0000-0000EC110000}"/>
    <cellStyle name="Comma 4 4 6 2 2" xfId="9853" xr:uid="{00000000-0005-0000-0000-0000ED110000}"/>
    <cellStyle name="Comma 4 4 6 2 2 2" xfId="33341" xr:uid="{00000000-0005-0000-0000-0000EE110000}"/>
    <cellStyle name="Comma 4 4 6 2 2 3" xfId="24020" xr:uid="{00000000-0005-0000-0000-0000EF110000}"/>
    <cellStyle name="Comma 4 4 6 2 2 4" xfId="47282" xr:uid="{00000000-0005-0000-0000-0000F0110000}"/>
    <cellStyle name="Comma 4 4 6 2 3" xfId="14590" xr:uid="{00000000-0005-0000-0000-0000F1110000}"/>
    <cellStyle name="Comma 4 4 6 2 3 2" xfId="28722" xr:uid="{00000000-0005-0000-0000-0000F2110000}"/>
    <cellStyle name="Comma 4 4 6 2 3 3" xfId="42612" xr:uid="{00000000-0005-0000-0000-0000F3110000}"/>
    <cellStyle name="Comma 4 4 6 2 4" xfId="19402" xr:uid="{00000000-0005-0000-0000-0000F4110000}"/>
    <cellStyle name="Comma 4 4 6 2 5" xfId="38035" xr:uid="{00000000-0005-0000-0000-0000F5110000}"/>
    <cellStyle name="Comma 4 4 7" xfId="3703" xr:uid="{00000000-0005-0000-0000-0000F6110000}"/>
    <cellStyle name="Comma 4 4 7 2" xfId="3704" xr:uid="{00000000-0005-0000-0000-0000F7110000}"/>
    <cellStyle name="Comma 4 4 7 2 2" xfId="9854" xr:uid="{00000000-0005-0000-0000-0000F8110000}"/>
    <cellStyle name="Comma 4 4 7 2 2 2" xfId="33342" xr:uid="{00000000-0005-0000-0000-0000F9110000}"/>
    <cellStyle name="Comma 4 4 7 2 2 3" xfId="24021" xr:uid="{00000000-0005-0000-0000-0000FA110000}"/>
    <cellStyle name="Comma 4 4 7 2 2 4" xfId="47283" xr:uid="{00000000-0005-0000-0000-0000FB110000}"/>
    <cellStyle name="Comma 4 4 7 2 3" xfId="14591" xr:uid="{00000000-0005-0000-0000-0000FC110000}"/>
    <cellStyle name="Comma 4 4 7 2 3 2" xfId="28723" xr:uid="{00000000-0005-0000-0000-0000FD110000}"/>
    <cellStyle name="Comma 4 4 7 2 3 3" xfId="42613" xr:uid="{00000000-0005-0000-0000-0000FE110000}"/>
    <cellStyle name="Comma 4 4 7 2 4" xfId="19403" xr:uid="{00000000-0005-0000-0000-0000FF110000}"/>
    <cellStyle name="Comma 4 4 7 2 5" xfId="38036" xr:uid="{00000000-0005-0000-0000-000000120000}"/>
    <cellStyle name="Comma 4 4 8" xfId="3705" xr:uid="{00000000-0005-0000-0000-000001120000}"/>
    <cellStyle name="Comma 4 4 8 2" xfId="3706" xr:uid="{00000000-0005-0000-0000-000002120000}"/>
    <cellStyle name="Comma 4 4 8 2 2" xfId="9855" xr:uid="{00000000-0005-0000-0000-000003120000}"/>
    <cellStyle name="Comma 4 4 8 2 2 2" xfId="33343" xr:uid="{00000000-0005-0000-0000-000004120000}"/>
    <cellStyle name="Comma 4 4 8 2 2 3" xfId="24022" xr:uid="{00000000-0005-0000-0000-000005120000}"/>
    <cellStyle name="Comma 4 4 8 2 2 4" xfId="47284" xr:uid="{00000000-0005-0000-0000-000006120000}"/>
    <cellStyle name="Comma 4 4 8 2 3" xfId="14592" xr:uid="{00000000-0005-0000-0000-000007120000}"/>
    <cellStyle name="Comma 4 4 8 2 3 2" xfId="28724" xr:uid="{00000000-0005-0000-0000-000008120000}"/>
    <cellStyle name="Comma 4 4 8 2 3 3" xfId="42614" xr:uid="{00000000-0005-0000-0000-000009120000}"/>
    <cellStyle name="Comma 4 4 8 2 4" xfId="19404" xr:uid="{00000000-0005-0000-0000-00000A120000}"/>
    <cellStyle name="Comma 4 4 8 2 5" xfId="38037" xr:uid="{00000000-0005-0000-0000-00000B120000}"/>
    <cellStyle name="Comma 4 4 9" xfId="3707" xr:uid="{00000000-0005-0000-0000-00000C120000}"/>
    <cellStyle name="Comma 4 4 9 2" xfId="3708" xr:uid="{00000000-0005-0000-0000-00000D120000}"/>
    <cellStyle name="Comma 4 4 9 2 2" xfId="9856" xr:uid="{00000000-0005-0000-0000-00000E120000}"/>
    <cellStyle name="Comma 4 4 9 2 2 2" xfId="33344" xr:uid="{00000000-0005-0000-0000-00000F120000}"/>
    <cellStyle name="Comma 4 4 9 2 2 3" xfId="24023" xr:uid="{00000000-0005-0000-0000-000010120000}"/>
    <cellStyle name="Comma 4 4 9 2 2 4" xfId="47285" xr:uid="{00000000-0005-0000-0000-000011120000}"/>
    <cellStyle name="Comma 4 4 9 2 3" xfId="14593" xr:uid="{00000000-0005-0000-0000-000012120000}"/>
    <cellStyle name="Comma 4 4 9 2 3 2" xfId="28725" xr:uid="{00000000-0005-0000-0000-000013120000}"/>
    <cellStyle name="Comma 4 4 9 2 3 3" xfId="42615" xr:uid="{00000000-0005-0000-0000-000014120000}"/>
    <cellStyle name="Comma 4 4 9 2 4" xfId="19405" xr:uid="{00000000-0005-0000-0000-000015120000}"/>
    <cellStyle name="Comma 4 4 9 2 5" xfId="38038" xr:uid="{00000000-0005-0000-0000-000016120000}"/>
    <cellStyle name="Comma 4 40" xfId="3709" xr:uid="{00000000-0005-0000-0000-000017120000}"/>
    <cellStyle name="Comma 4 40 2" xfId="3710" xr:uid="{00000000-0005-0000-0000-000018120000}"/>
    <cellStyle name="Comma 4 40 2 2" xfId="9857" xr:uid="{00000000-0005-0000-0000-000019120000}"/>
    <cellStyle name="Comma 4 40 2 2 2" xfId="33345" xr:uid="{00000000-0005-0000-0000-00001A120000}"/>
    <cellStyle name="Comma 4 40 2 2 3" xfId="24024" xr:uid="{00000000-0005-0000-0000-00001B120000}"/>
    <cellStyle name="Comma 4 40 2 2 4" xfId="47286" xr:uid="{00000000-0005-0000-0000-00001C120000}"/>
    <cellStyle name="Comma 4 40 2 3" xfId="14594" xr:uid="{00000000-0005-0000-0000-00001D120000}"/>
    <cellStyle name="Comma 4 40 2 3 2" xfId="28726" xr:uid="{00000000-0005-0000-0000-00001E120000}"/>
    <cellStyle name="Comma 4 40 2 3 3" xfId="42616" xr:uid="{00000000-0005-0000-0000-00001F120000}"/>
    <cellStyle name="Comma 4 40 2 4" xfId="19406" xr:uid="{00000000-0005-0000-0000-000020120000}"/>
    <cellStyle name="Comma 4 40 2 5" xfId="38039" xr:uid="{00000000-0005-0000-0000-000021120000}"/>
    <cellStyle name="Comma 4 41" xfId="3711" xr:uid="{00000000-0005-0000-0000-000022120000}"/>
    <cellStyle name="Comma 4 41 2" xfId="3712" xr:uid="{00000000-0005-0000-0000-000023120000}"/>
    <cellStyle name="Comma 4 41 2 2" xfId="9858" xr:uid="{00000000-0005-0000-0000-000024120000}"/>
    <cellStyle name="Comma 4 41 2 2 2" xfId="33346" xr:uid="{00000000-0005-0000-0000-000025120000}"/>
    <cellStyle name="Comma 4 41 2 2 3" xfId="24025" xr:uid="{00000000-0005-0000-0000-000026120000}"/>
    <cellStyle name="Comma 4 41 2 2 4" xfId="47287" xr:uid="{00000000-0005-0000-0000-000027120000}"/>
    <cellStyle name="Comma 4 41 2 3" xfId="14595" xr:uid="{00000000-0005-0000-0000-000028120000}"/>
    <cellStyle name="Comma 4 41 2 3 2" xfId="28727" xr:uid="{00000000-0005-0000-0000-000029120000}"/>
    <cellStyle name="Comma 4 41 2 3 3" xfId="42617" xr:uid="{00000000-0005-0000-0000-00002A120000}"/>
    <cellStyle name="Comma 4 41 2 4" xfId="19407" xr:uid="{00000000-0005-0000-0000-00002B120000}"/>
    <cellStyle name="Comma 4 41 2 5" xfId="38040" xr:uid="{00000000-0005-0000-0000-00002C120000}"/>
    <cellStyle name="Comma 4 42" xfId="3713" xr:uid="{00000000-0005-0000-0000-00002D120000}"/>
    <cellStyle name="Comma 4 42 2" xfId="3714" xr:uid="{00000000-0005-0000-0000-00002E120000}"/>
    <cellStyle name="Comma 4 42 2 2" xfId="9859" xr:uid="{00000000-0005-0000-0000-00002F120000}"/>
    <cellStyle name="Comma 4 42 2 2 2" xfId="33347" xr:uid="{00000000-0005-0000-0000-000030120000}"/>
    <cellStyle name="Comma 4 42 2 2 3" xfId="24026" xr:uid="{00000000-0005-0000-0000-000031120000}"/>
    <cellStyle name="Comma 4 42 2 2 4" xfId="47288" xr:uid="{00000000-0005-0000-0000-000032120000}"/>
    <cellStyle name="Comma 4 42 2 3" xfId="14596" xr:uid="{00000000-0005-0000-0000-000033120000}"/>
    <cellStyle name="Comma 4 42 2 3 2" xfId="28728" xr:uid="{00000000-0005-0000-0000-000034120000}"/>
    <cellStyle name="Comma 4 42 2 3 3" xfId="42618" xr:uid="{00000000-0005-0000-0000-000035120000}"/>
    <cellStyle name="Comma 4 42 2 4" xfId="19408" xr:uid="{00000000-0005-0000-0000-000036120000}"/>
    <cellStyle name="Comma 4 42 2 5" xfId="38041" xr:uid="{00000000-0005-0000-0000-000037120000}"/>
    <cellStyle name="Comma 4 43" xfId="3715" xr:uid="{00000000-0005-0000-0000-000038120000}"/>
    <cellStyle name="Comma 4 43 2" xfId="3716" xr:uid="{00000000-0005-0000-0000-000039120000}"/>
    <cellStyle name="Comma 4 43 2 2" xfId="9860" xr:uid="{00000000-0005-0000-0000-00003A120000}"/>
    <cellStyle name="Comma 4 43 2 2 2" xfId="33348" xr:uid="{00000000-0005-0000-0000-00003B120000}"/>
    <cellStyle name="Comma 4 43 2 2 3" xfId="24027" xr:uid="{00000000-0005-0000-0000-00003C120000}"/>
    <cellStyle name="Comma 4 43 2 2 4" xfId="47289" xr:uid="{00000000-0005-0000-0000-00003D120000}"/>
    <cellStyle name="Comma 4 43 2 3" xfId="14597" xr:uid="{00000000-0005-0000-0000-00003E120000}"/>
    <cellStyle name="Comma 4 43 2 3 2" xfId="28729" xr:uid="{00000000-0005-0000-0000-00003F120000}"/>
    <cellStyle name="Comma 4 43 2 3 3" xfId="42619" xr:uid="{00000000-0005-0000-0000-000040120000}"/>
    <cellStyle name="Comma 4 43 2 4" xfId="19409" xr:uid="{00000000-0005-0000-0000-000041120000}"/>
    <cellStyle name="Comma 4 43 2 5" xfId="38042" xr:uid="{00000000-0005-0000-0000-000042120000}"/>
    <cellStyle name="Comma 4 44" xfId="3717" xr:uid="{00000000-0005-0000-0000-000043120000}"/>
    <cellStyle name="Comma 4 44 2" xfId="3718" xr:uid="{00000000-0005-0000-0000-000044120000}"/>
    <cellStyle name="Comma 4 44 2 2" xfId="9861" xr:uid="{00000000-0005-0000-0000-000045120000}"/>
    <cellStyle name="Comma 4 44 2 2 2" xfId="33349" xr:uid="{00000000-0005-0000-0000-000046120000}"/>
    <cellStyle name="Comma 4 44 2 2 3" xfId="24028" xr:uid="{00000000-0005-0000-0000-000047120000}"/>
    <cellStyle name="Comma 4 44 2 2 4" xfId="47290" xr:uid="{00000000-0005-0000-0000-000048120000}"/>
    <cellStyle name="Comma 4 44 2 3" xfId="14598" xr:uid="{00000000-0005-0000-0000-000049120000}"/>
    <cellStyle name="Comma 4 44 2 3 2" xfId="28730" xr:uid="{00000000-0005-0000-0000-00004A120000}"/>
    <cellStyle name="Comma 4 44 2 3 3" xfId="42620" xr:uid="{00000000-0005-0000-0000-00004B120000}"/>
    <cellStyle name="Comma 4 44 2 4" xfId="19410" xr:uid="{00000000-0005-0000-0000-00004C120000}"/>
    <cellStyle name="Comma 4 44 2 5" xfId="38043" xr:uid="{00000000-0005-0000-0000-00004D120000}"/>
    <cellStyle name="Comma 4 45" xfId="3719" xr:uid="{00000000-0005-0000-0000-00004E120000}"/>
    <cellStyle name="Comma 4 45 2" xfId="3720" xr:uid="{00000000-0005-0000-0000-00004F120000}"/>
    <cellStyle name="Comma 4 45 2 2" xfId="9862" xr:uid="{00000000-0005-0000-0000-000050120000}"/>
    <cellStyle name="Comma 4 45 2 2 2" xfId="33350" xr:uid="{00000000-0005-0000-0000-000051120000}"/>
    <cellStyle name="Comma 4 45 2 2 3" xfId="24029" xr:uid="{00000000-0005-0000-0000-000052120000}"/>
    <cellStyle name="Comma 4 45 2 2 4" xfId="47291" xr:uid="{00000000-0005-0000-0000-000053120000}"/>
    <cellStyle name="Comma 4 45 2 3" xfId="14599" xr:uid="{00000000-0005-0000-0000-000054120000}"/>
    <cellStyle name="Comma 4 45 2 3 2" xfId="28731" xr:uid="{00000000-0005-0000-0000-000055120000}"/>
    <cellStyle name="Comma 4 45 2 3 3" xfId="42621" xr:uid="{00000000-0005-0000-0000-000056120000}"/>
    <cellStyle name="Comma 4 45 2 4" xfId="19411" xr:uid="{00000000-0005-0000-0000-000057120000}"/>
    <cellStyle name="Comma 4 45 2 5" xfId="38044" xr:uid="{00000000-0005-0000-0000-000058120000}"/>
    <cellStyle name="Comma 4 46" xfId="3721" xr:uid="{00000000-0005-0000-0000-000059120000}"/>
    <cellStyle name="Comma 4 46 2" xfId="3722" xr:uid="{00000000-0005-0000-0000-00005A120000}"/>
    <cellStyle name="Comma 4 46 2 2" xfId="9863" xr:uid="{00000000-0005-0000-0000-00005B120000}"/>
    <cellStyle name="Comma 4 46 2 2 2" xfId="33351" xr:uid="{00000000-0005-0000-0000-00005C120000}"/>
    <cellStyle name="Comma 4 46 2 2 3" xfId="24030" xr:uid="{00000000-0005-0000-0000-00005D120000}"/>
    <cellStyle name="Comma 4 46 2 2 4" xfId="47292" xr:uid="{00000000-0005-0000-0000-00005E120000}"/>
    <cellStyle name="Comma 4 46 2 3" xfId="14600" xr:uid="{00000000-0005-0000-0000-00005F120000}"/>
    <cellStyle name="Comma 4 46 2 3 2" xfId="28732" xr:uid="{00000000-0005-0000-0000-000060120000}"/>
    <cellStyle name="Comma 4 46 2 3 3" xfId="42622" xr:uid="{00000000-0005-0000-0000-000061120000}"/>
    <cellStyle name="Comma 4 46 2 4" xfId="19412" xr:uid="{00000000-0005-0000-0000-000062120000}"/>
    <cellStyle name="Comma 4 46 2 5" xfId="38045" xr:uid="{00000000-0005-0000-0000-000063120000}"/>
    <cellStyle name="Comma 4 47" xfId="3723" xr:uid="{00000000-0005-0000-0000-000064120000}"/>
    <cellStyle name="Comma 4 47 2" xfId="3724" xr:uid="{00000000-0005-0000-0000-000065120000}"/>
    <cellStyle name="Comma 4 47 2 2" xfId="9864" xr:uid="{00000000-0005-0000-0000-000066120000}"/>
    <cellStyle name="Comma 4 47 2 2 2" xfId="33352" xr:uid="{00000000-0005-0000-0000-000067120000}"/>
    <cellStyle name="Comma 4 47 2 2 3" xfId="24031" xr:uid="{00000000-0005-0000-0000-000068120000}"/>
    <cellStyle name="Comma 4 47 2 2 4" xfId="47293" xr:uid="{00000000-0005-0000-0000-000069120000}"/>
    <cellStyle name="Comma 4 47 2 3" xfId="14601" xr:uid="{00000000-0005-0000-0000-00006A120000}"/>
    <cellStyle name="Comma 4 47 2 3 2" xfId="28733" xr:uid="{00000000-0005-0000-0000-00006B120000}"/>
    <cellStyle name="Comma 4 47 2 3 3" xfId="42623" xr:uid="{00000000-0005-0000-0000-00006C120000}"/>
    <cellStyle name="Comma 4 47 2 4" xfId="19413" xr:uid="{00000000-0005-0000-0000-00006D120000}"/>
    <cellStyle name="Comma 4 47 2 5" xfId="38046" xr:uid="{00000000-0005-0000-0000-00006E120000}"/>
    <cellStyle name="Comma 4 48" xfId="3725" xr:uid="{00000000-0005-0000-0000-00006F120000}"/>
    <cellStyle name="Comma 4 48 2" xfId="3726" xr:uid="{00000000-0005-0000-0000-000070120000}"/>
    <cellStyle name="Comma 4 48 2 2" xfId="9865" xr:uid="{00000000-0005-0000-0000-000071120000}"/>
    <cellStyle name="Comma 4 48 2 2 2" xfId="33353" xr:uid="{00000000-0005-0000-0000-000072120000}"/>
    <cellStyle name="Comma 4 48 2 2 3" xfId="24032" xr:uid="{00000000-0005-0000-0000-000073120000}"/>
    <cellStyle name="Comma 4 48 2 2 4" xfId="47294" xr:uid="{00000000-0005-0000-0000-000074120000}"/>
    <cellStyle name="Comma 4 48 2 3" xfId="14602" xr:uid="{00000000-0005-0000-0000-000075120000}"/>
    <cellStyle name="Comma 4 48 2 3 2" xfId="28734" xr:uid="{00000000-0005-0000-0000-000076120000}"/>
    <cellStyle name="Comma 4 48 2 3 3" xfId="42624" xr:uid="{00000000-0005-0000-0000-000077120000}"/>
    <cellStyle name="Comma 4 48 2 4" xfId="19414" xr:uid="{00000000-0005-0000-0000-000078120000}"/>
    <cellStyle name="Comma 4 48 2 5" xfId="38047" xr:uid="{00000000-0005-0000-0000-000079120000}"/>
    <cellStyle name="Comma 4 49" xfId="3727" xr:uid="{00000000-0005-0000-0000-00007A120000}"/>
    <cellStyle name="Comma 4 49 2" xfId="3728" xr:uid="{00000000-0005-0000-0000-00007B120000}"/>
    <cellStyle name="Comma 4 49 2 2" xfId="9866" xr:uid="{00000000-0005-0000-0000-00007C120000}"/>
    <cellStyle name="Comma 4 49 2 2 2" xfId="33354" xr:uid="{00000000-0005-0000-0000-00007D120000}"/>
    <cellStyle name="Comma 4 49 2 2 3" xfId="24033" xr:uid="{00000000-0005-0000-0000-00007E120000}"/>
    <cellStyle name="Comma 4 49 2 2 4" xfId="47295" xr:uid="{00000000-0005-0000-0000-00007F120000}"/>
    <cellStyle name="Comma 4 49 2 3" xfId="14603" xr:uid="{00000000-0005-0000-0000-000080120000}"/>
    <cellStyle name="Comma 4 49 2 3 2" xfId="28735" xr:uid="{00000000-0005-0000-0000-000081120000}"/>
    <cellStyle name="Comma 4 49 2 3 3" xfId="42625" xr:uid="{00000000-0005-0000-0000-000082120000}"/>
    <cellStyle name="Comma 4 49 2 4" xfId="19415" xr:uid="{00000000-0005-0000-0000-000083120000}"/>
    <cellStyle name="Comma 4 49 2 5" xfId="38048" xr:uid="{00000000-0005-0000-0000-000084120000}"/>
    <cellStyle name="Comma 4 5" xfId="3729" xr:uid="{00000000-0005-0000-0000-000085120000}"/>
    <cellStyle name="Comma 4 5 10" xfId="3730" xr:uid="{00000000-0005-0000-0000-000086120000}"/>
    <cellStyle name="Comma 4 5 10 2" xfId="3731" xr:uid="{00000000-0005-0000-0000-000087120000}"/>
    <cellStyle name="Comma 4 5 10 2 2" xfId="9867" xr:uid="{00000000-0005-0000-0000-000088120000}"/>
    <cellStyle name="Comma 4 5 10 2 2 2" xfId="33355" xr:uid="{00000000-0005-0000-0000-000089120000}"/>
    <cellStyle name="Comma 4 5 10 2 2 3" xfId="24034" xr:uid="{00000000-0005-0000-0000-00008A120000}"/>
    <cellStyle name="Comma 4 5 10 2 2 4" xfId="47296" xr:uid="{00000000-0005-0000-0000-00008B120000}"/>
    <cellStyle name="Comma 4 5 10 2 3" xfId="14604" xr:uid="{00000000-0005-0000-0000-00008C120000}"/>
    <cellStyle name="Comma 4 5 10 2 3 2" xfId="28736" xr:uid="{00000000-0005-0000-0000-00008D120000}"/>
    <cellStyle name="Comma 4 5 10 2 3 3" xfId="42626" xr:uid="{00000000-0005-0000-0000-00008E120000}"/>
    <cellStyle name="Comma 4 5 10 2 4" xfId="19416" xr:uid="{00000000-0005-0000-0000-00008F120000}"/>
    <cellStyle name="Comma 4 5 10 2 5" xfId="38049" xr:uid="{00000000-0005-0000-0000-000090120000}"/>
    <cellStyle name="Comma 4 5 11" xfId="3732" xr:uid="{00000000-0005-0000-0000-000091120000}"/>
    <cellStyle name="Comma 4 5 11 2" xfId="9868" xr:uid="{00000000-0005-0000-0000-000092120000}"/>
    <cellStyle name="Comma 4 5 11 2 2" xfId="33356" xr:uid="{00000000-0005-0000-0000-000093120000}"/>
    <cellStyle name="Comma 4 5 11 2 3" xfId="24035" xr:uid="{00000000-0005-0000-0000-000094120000}"/>
    <cellStyle name="Comma 4 5 11 2 4" xfId="47297" xr:uid="{00000000-0005-0000-0000-000095120000}"/>
    <cellStyle name="Comma 4 5 11 3" xfId="14605" xr:uid="{00000000-0005-0000-0000-000096120000}"/>
    <cellStyle name="Comma 4 5 11 3 2" xfId="28737" xr:uid="{00000000-0005-0000-0000-000097120000}"/>
    <cellStyle name="Comma 4 5 11 3 3" xfId="42627" xr:uid="{00000000-0005-0000-0000-000098120000}"/>
    <cellStyle name="Comma 4 5 11 4" xfId="19417" xr:uid="{00000000-0005-0000-0000-000099120000}"/>
    <cellStyle name="Comma 4 5 11 5" xfId="38050" xr:uid="{00000000-0005-0000-0000-00009A120000}"/>
    <cellStyle name="Comma 4 5 2" xfId="3733" xr:uid="{00000000-0005-0000-0000-00009B120000}"/>
    <cellStyle name="Comma 4 5 2 2" xfId="3734" xr:uid="{00000000-0005-0000-0000-00009C120000}"/>
    <cellStyle name="Comma 4 5 2 2 2" xfId="9869" xr:uid="{00000000-0005-0000-0000-00009D120000}"/>
    <cellStyle name="Comma 4 5 2 2 2 2" xfId="33357" xr:uid="{00000000-0005-0000-0000-00009E120000}"/>
    <cellStyle name="Comma 4 5 2 2 2 3" xfId="24036" xr:uid="{00000000-0005-0000-0000-00009F120000}"/>
    <cellStyle name="Comma 4 5 2 2 2 4" xfId="47298" xr:uid="{00000000-0005-0000-0000-0000A0120000}"/>
    <cellStyle name="Comma 4 5 2 2 3" xfId="14606" xr:uid="{00000000-0005-0000-0000-0000A1120000}"/>
    <cellStyle name="Comma 4 5 2 2 3 2" xfId="28738" xr:uid="{00000000-0005-0000-0000-0000A2120000}"/>
    <cellStyle name="Comma 4 5 2 2 3 3" xfId="42628" xr:uid="{00000000-0005-0000-0000-0000A3120000}"/>
    <cellStyle name="Comma 4 5 2 2 4" xfId="19418" xr:uid="{00000000-0005-0000-0000-0000A4120000}"/>
    <cellStyle name="Comma 4 5 2 2 5" xfId="38051" xr:uid="{00000000-0005-0000-0000-0000A5120000}"/>
    <cellStyle name="Comma 4 5 3" xfId="3735" xr:uid="{00000000-0005-0000-0000-0000A6120000}"/>
    <cellStyle name="Comma 4 5 3 2" xfId="3736" xr:uid="{00000000-0005-0000-0000-0000A7120000}"/>
    <cellStyle name="Comma 4 5 3 2 2" xfId="9870" xr:uid="{00000000-0005-0000-0000-0000A8120000}"/>
    <cellStyle name="Comma 4 5 3 2 2 2" xfId="33358" xr:uid="{00000000-0005-0000-0000-0000A9120000}"/>
    <cellStyle name="Comma 4 5 3 2 2 3" xfId="24037" xr:uid="{00000000-0005-0000-0000-0000AA120000}"/>
    <cellStyle name="Comma 4 5 3 2 2 4" xfId="47299" xr:uid="{00000000-0005-0000-0000-0000AB120000}"/>
    <cellStyle name="Comma 4 5 3 2 3" xfId="14607" xr:uid="{00000000-0005-0000-0000-0000AC120000}"/>
    <cellStyle name="Comma 4 5 3 2 3 2" xfId="28739" xr:uid="{00000000-0005-0000-0000-0000AD120000}"/>
    <cellStyle name="Comma 4 5 3 2 3 3" xfId="42629" xr:uid="{00000000-0005-0000-0000-0000AE120000}"/>
    <cellStyle name="Comma 4 5 3 2 4" xfId="19419" xr:uid="{00000000-0005-0000-0000-0000AF120000}"/>
    <cellStyle name="Comma 4 5 3 2 5" xfId="38052" xr:uid="{00000000-0005-0000-0000-0000B0120000}"/>
    <cellStyle name="Comma 4 5 4" xfId="3737" xr:uid="{00000000-0005-0000-0000-0000B1120000}"/>
    <cellStyle name="Comma 4 5 4 2" xfId="3738" xr:uid="{00000000-0005-0000-0000-0000B2120000}"/>
    <cellStyle name="Comma 4 5 4 2 2" xfId="9871" xr:uid="{00000000-0005-0000-0000-0000B3120000}"/>
    <cellStyle name="Comma 4 5 4 2 2 2" xfId="33359" xr:uid="{00000000-0005-0000-0000-0000B4120000}"/>
    <cellStyle name="Comma 4 5 4 2 2 3" xfId="24038" xr:uid="{00000000-0005-0000-0000-0000B5120000}"/>
    <cellStyle name="Comma 4 5 4 2 2 4" xfId="47300" xr:uid="{00000000-0005-0000-0000-0000B6120000}"/>
    <cellStyle name="Comma 4 5 4 2 3" xfId="14608" xr:uid="{00000000-0005-0000-0000-0000B7120000}"/>
    <cellStyle name="Comma 4 5 4 2 3 2" xfId="28740" xr:uid="{00000000-0005-0000-0000-0000B8120000}"/>
    <cellStyle name="Comma 4 5 4 2 3 3" xfId="42630" xr:uid="{00000000-0005-0000-0000-0000B9120000}"/>
    <cellStyle name="Comma 4 5 4 2 4" xfId="19420" xr:uid="{00000000-0005-0000-0000-0000BA120000}"/>
    <cellStyle name="Comma 4 5 4 2 5" xfId="38053" xr:uid="{00000000-0005-0000-0000-0000BB120000}"/>
    <cellStyle name="Comma 4 5 5" xfId="3739" xr:uid="{00000000-0005-0000-0000-0000BC120000}"/>
    <cellStyle name="Comma 4 5 5 2" xfId="3740" xr:uid="{00000000-0005-0000-0000-0000BD120000}"/>
    <cellStyle name="Comma 4 5 5 2 2" xfId="9872" xr:uid="{00000000-0005-0000-0000-0000BE120000}"/>
    <cellStyle name="Comma 4 5 5 2 2 2" xfId="33360" xr:uid="{00000000-0005-0000-0000-0000BF120000}"/>
    <cellStyle name="Comma 4 5 5 2 2 3" xfId="24039" xr:uid="{00000000-0005-0000-0000-0000C0120000}"/>
    <cellStyle name="Comma 4 5 5 2 2 4" xfId="47301" xr:uid="{00000000-0005-0000-0000-0000C1120000}"/>
    <cellStyle name="Comma 4 5 5 2 3" xfId="14609" xr:uid="{00000000-0005-0000-0000-0000C2120000}"/>
    <cellStyle name="Comma 4 5 5 2 3 2" xfId="28741" xr:uid="{00000000-0005-0000-0000-0000C3120000}"/>
    <cellStyle name="Comma 4 5 5 2 3 3" xfId="42631" xr:uid="{00000000-0005-0000-0000-0000C4120000}"/>
    <cellStyle name="Comma 4 5 5 2 4" xfId="19421" xr:uid="{00000000-0005-0000-0000-0000C5120000}"/>
    <cellStyle name="Comma 4 5 5 2 5" xfId="38054" xr:uid="{00000000-0005-0000-0000-0000C6120000}"/>
    <cellStyle name="Comma 4 5 6" xfId="3741" xr:uid="{00000000-0005-0000-0000-0000C7120000}"/>
    <cellStyle name="Comma 4 5 6 2" xfId="3742" xr:uid="{00000000-0005-0000-0000-0000C8120000}"/>
    <cellStyle name="Comma 4 5 6 2 2" xfId="9873" xr:uid="{00000000-0005-0000-0000-0000C9120000}"/>
    <cellStyle name="Comma 4 5 6 2 2 2" xfId="33361" xr:uid="{00000000-0005-0000-0000-0000CA120000}"/>
    <cellStyle name="Comma 4 5 6 2 2 3" xfId="24040" xr:uid="{00000000-0005-0000-0000-0000CB120000}"/>
    <cellStyle name="Comma 4 5 6 2 2 4" xfId="47302" xr:uid="{00000000-0005-0000-0000-0000CC120000}"/>
    <cellStyle name="Comma 4 5 6 2 3" xfId="14610" xr:uid="{00000000-0005-0000-0000-0000CD120000}"/>
    <cellStyle name="Comma 4 5 6 2 3 2" xfId="28742" xr:uid="{00000000-0005-0000-0000-0000CE120000}"/>
    <cellStyle name="Comma 4 5 6 2 3 3" xfId="42632" xr:uid="{00000000-0005-0000-0000-0000CF120000}"/>
    <cellStyle name="Comma 4 5 6 2 4" xfId="19422" xr:uid="{00000000-0005-0000-0000-0000D0120000}"/>
    <cellStyle name="Comma 4 5 6 2 5" xfId="38055" xr:uid="{00000000-0005-0000-0000-0000D1120000}"/>
    <cellStyle name="Comma 4 5 7" xfId="3743" xr:uid="{00000000-0005-0000-0000-0000D2120000}"/>
    <cellStyle name="Comma 4 5 7 2" xfId="3744" xr:uid="{00000000-0005-0000-0000-0000D3120000}"/>
    <cellStyle name="Comma 4 5 7 2 2" xfId="9874" xr:uid="{00000000-0005-0000-0000-0000D4120000}"/>
    <cellStyle name="Comma 4 5 7 2 2 2" xfId="33362" xr:uid="{00000000-0005-0000-0000-0000D5120000}"/>
    <cellStyle name="Comma 4 5 7 2 2 3" xfId="24041" xr:uid="{00000000-0005-0000-0000-0000D6120000}"/>
    <cellStyle name="Comma 4 5 7 2 2 4" xfId="47303" xr:uid="{00000000-0005-0000-0000-0000D7120000}"/>
    <cellStyle name="Comma 4 5 7 2 3" xfId="14611" xr:uid="{00000000-0005-0000-0000-0000D8120000}"/>
    <cellStyle name="Comma 4 5 7 2 3 2" xfId="28743" xr:uid="{00000000-0005-0000-0000-0000D9120000}"/>
    <cellStyle name="Comma 4 5 7 2 3 3" xfId="42633" xr:uid="{00000000-0005-0000-0000-0000DA120000}"/>
    <cellStyle name="Comma 4 5 7 2 4" xfId="19423" xr:uid="{00000000-0005-0000-0000-0000DB120000}"/>
    <cellStyle name="Comma 4 5 7 2 5" xfId="38056" xr:uid="{00000000-0005-0000-0000-0000DC120000}"/>
    <cellStyle name="Comma 4 5 8" xfId="3745" xr:uid="{00000000-0005-0000-0000-0000DD120000}"/>
    <cellStyle name="Comma 4 5 8 2" xfId="3746" xr:uid="{00000000-0005-0000-0000-0000DE120000}"/>
    <cellStyle name="Comma 4 5 8 2 2" xfId="9875" xr:uid="{00000000-0005-0000-0000-0000DF120000}"/>
    <cellStyle name="Comma 4 5 8 2 2 2" xfId="33363" xr:uid="{00000000-0005-0000-0000-0000E0120000}"/>
    <cellStyle name="Comma 4 5 8 2 2 3" xfId="24042" xr:uid="{00000000-0005-0000-0000-0000E1120000}"/>
    <cellStyle name="Comma 4 5 8 2 2 4" xfId="47304" xr:uid="{00000000-0005-0000-0000-0000E2120000}"/>
    <cellStyle name="Comma 4 5 8 2 3" xfId="14612" xr:uid="{00000000-0005-0000-0000-0000E3120000}"/>
    <cellStyle name="Comma 4 5 8 2 3 2" xfId="28744" xr:uid="{00000000-0005-0000-0000-0000E4120000}"/>
    <cellStyle name="Comma 4 5 8 2 3 3" xfId="42634" xr:uid="{00000000-0005-0000-0000-0000E5120000}"/>
    <cellStyle name="Comma 4 5 8 2 4" xfId="19424" xr:uid="{00000000-0005-0000-0000-0000E6120000}"/>
    <cellStyle name="Comma 4 5 8 2 5" xfId="38057" xr:uid="{00000000-0005-0000-0000-0000E7120000}"/>
    <cellStyle name="Comma 4 5 9" xfId="3747" xr:uid="{00000000-0005-0000-0000-0000E8120000}"/>
    <cellStyle name="Comma 4 5 9 2" xfId="3748" xr:uid="{00000000-0005-0000-0000-0000E9120000}"/>
    <cellStyle name="Comma 4 5 9 2 2" xfId="9876" xr:uid="{00000000-0005-0000-0000-0000EA120000}"/>
    <cellStyle name="Comma 4 5 9 2 2 2" xfId="33364" xr:uid="{00000000-0005-0000-0000-0000EB120000}"/>
    <cellStyle name="Comma 4 5 9 2 2 3" xfId="24043" xr:uid="{00000000-0005-0000-0000-0000EC120000}"/>
    <cellStyle name="Comma 4 5 9 2 2 4" xfId="47305" xr:uid="{00000000-0005-0000-0000-0000ED120000}"/>
    <cellStyle name="Comma 4 5 9 2 3" xfId="14613" xr:uid="{00000000-0005-0000-0000-0000EE120000}"/>
    <cellStyle name="Comma 4 5 9 2 3 2" xfId="28745" xr:uid="{00000000-0005-0000-0000-0000EF120000}"/>
    <cellStyle name="Comma 4 5 9 2 3 3" xfId="42635" xr:uid="{00000000-0005-0000-0000-0000F0120000}"/>
    <cellStyle name="Comma 4 5 9 2 4" xfId="19425" xr:uid="{00000000-0005-0000-0000-0000F1120000}"/>
    <cellStyle name="Comma 4 5 9 2 5" xfId="38058" xr:uid="{00000000-0005-0000-0000-0000F2120000}"/>
    <cellStyle name="Comma 4 50" xfId="3749" xr:uid="{00000000-0005-0000-0000-0000F3120000}"/>
    <cellStyle name="Comma 4 50 2" xfId="3750" xr:uid="{00000000-0005-0000-0000-0000F4120000}"/>
    <cellStyle name="Comma 4 50 2 2" xfId="9877" xr:uid="{00000000-0005-0000-0000-0000F5120000}"/>
    <cellStyle name="Comma 4 50 2 2 2" xfId="33365" xr:uid="{00000000-0005-0000-0000-0000F6120000}"/>
    <cellStyle name="Comma 4 50 2 2 3" xfId="24044" xr:uid="{00000000-0005-0000-0000-0000F7120000}"/>
    <cellStyle name="Comma 4 50 2 2 4" xfId="47306" xr:uid="{00000000-0005-0000-0000-0000F8120000}"/>
    <cellStyle name="Comma 4 50 2 3" xfId="14614" xr:uid="{00000000-0005-0000-0000-0000F9120000}"/>
    <cellStyle name="Comma 4 50 2 3 2" xfId="28746" xr:uid="{00000000-0005-0000-0000-0000FA120000}"/>
    <cellStyle name="Comma 4 50 2 3 3" xfId="42636" xr:uid="{00000000-0005-0000-0000-0000FB120000}"/>
    <cellStyle name="Comma 4 50 2 4" xfId="19426" xr:uid="{00000000-0005-0000-0000-0000FC120000}"/>
    <cellStyle name="Comma 4 50 2 5" xfId="38059" xr:uid="{00000000-0005-0000-0000-0000FD120000}"/>
    <cellStyle name="Comma 4 51" xfId="3751" xr:uid="{00000000-0005-0000-0000-0000FE120000}"/>
    <cellStyle name="Comma 4 51 2" xfId="3752" xr:uid="{00000000-0005-0000-0000-0000FF120000}"/>
    <cellStyle name="Comma 4 51 2 2" xfId="9878" xr:uid="{00000000-0005-0000-0000-000000130000}"/>
    <cellStyle name="Comma 4 51 2 2 2" xfId="33366" xr:uid="{00000000-0005-0000-0000-000001130000}"/>
    <cellStyle name="Comma 4 51 2 2 3" xfId="24045" xr:uid="{00000000-0005-0000-0000-000002130000}"/>
    <cellStyle name="Comma 4 51 2 2 4" xfId="47307" xr:uid="{00000000-0005-0000-0000-000003130000}"/>
    <cellStyle name="Comma 4 51 2 3" xfId="14615" xr:uid="{00000000-0005-0000-0000-000004130000}"/>
    <cellStyle name="Comma 4 51 2 3 2" xfId="28747" xr:uid="{00000000-0005-0000-0000-000005130000}"/>
    <cellStyle name="Comma 4 51 2 3 3" xfId="42637" xr:uid="{00000000-0005-0000-0000-000006130000}"/>
    <cellStyle name="Comma 4 51 2 4" xfId="19427" xr:uid="{00000000-0005-0000-0000-000007130000}"/>
    <cellStyle name="Comma 4 51 2 5" xfId="38060" xr:uid="{00000000-0005-0000-0000-000008130000}"/>
    <cellStyle name="Comma 4 52" xfId="3753" xr:uid="{00000000-0005-0000-0000-000009130000}"/>
    <cellStyle name="Comma 4 52 2" xfId="3754" xr:uid="{00000000-0005-0000-0000-00000A130000}"/>
    <cellStyle name="Comma 4 52 2 2" xfId="9879" xr:uid="{00000000-0005-0000-0000-00000B130000}"/>
    <cellStyle name="Comma 4 52 2 2 2" xfId="33367" xr:uid="{00000000-0005-0000-0000-00000C130000}"/>
    <cellStyle name="Comma 4 52 2 2 3" xfId="24046" xr:uid="{00000000-0005-0000-0000-00000D130000}"/>
    <cellStyle name="Comma 4 52 2 2 4" xfId="47308" xr:uid="{00000000-0005-0000-0000-00000E130000}"/>
    <cellStyle name="Comma 4 52 2 3" xfId="14616" xr:uid="{00000000-0005-0000-0000-00000F130000}"/>
    <cellStyle name="Comma 4 52 2 3 2" xfId="28748" xr:uid="{00000000-0005-0000-0000-000010130000}"/>
    <cellStyle name="Comma 4 52 2 3 3" xfId="42638" xr:uid="{00000000-0005-0000-0000-000011130000}"/>
    <cellStyle name="Comma 4 52 2 4" xfId="19428" xr:uid="{00000000-0005-0000-0000-000012130000}"/>
    <cellStyle name="Comma 4 52 2 5" xfId="38061" xr:uid="{00000000-0005-0000-0000-000013130000}"/>
    <cellStyle name="Comma 4 53" xfId="3755" xr:uid="{00000000-0005-0000-0000-000014130000}"/>
    <cellStyle name="Comma 4 53 2" xfId="3756" xr:uid="{00000000-0005-0000-0000-000015130000}"/>
    <cellStyle name="Comma 4 53 2 2" xfId="9880" xr:uid="{00000000-0005-0000-0000-000016130000}"/>
    <cellStyle name="Comma 4 53 2 2 2" xfId="33368" xr:uid="{00000000-0005-0000-0000-000017130000}"/>
    <cellStyle name="Comma 4 53 2 2 3" xfId="24047" xr:uid="{00000000-0005-0000-0000-000018130000}"/>
    <cellStyle name="Comma 4 53 2 2 4" xfId="47309" xr:uid="{00000000-0005-0000-0000-000019130000}"/>
    <cellStyle name="Comma 4 53 2 3" xfId="14617" xr:uid="{00000000-0005-0000-0000-00001A130000}"/>
    <cellStyle name="Comma 4 53 2 3 2" xfId="28749" xr:uid="{00000000-0005-0000-0000-00001B130000}"/>
    <cellStyle name="Comma 4 53 2 3 3" xfId="42639" xr:uid="{00000000-0005-0000-0000-00001C130000}"/>
    <cellStyle name="Comma 4 53 2 4" xfId="19429" xr:uid="{00000000-0005-0000-0000-00001D130000}"/>
    <cellStyle name="Comma 4 53 2 5" xfId="38062" xr:uid="{00000000-0005-0000-0000-00001E130000}"/>
    <cellStyle name="Comma 4 54" xfId="3757" xr:uid="{00000000-0005-0000-0000-00001F130000}"/>
    <cellStyle name="Comma 4 54 2" xfId="3758" xr:uid="{00000000-0005-0000-0000-000020130000}"/>
    <cellStyle name="Comma 4 54 2 2" xfId="9881" xr:uid="{00000000-0005-0000-0000-000021130000}"/>
    <cellStyle name="Comma 4 54 2 2 2" xfId="33369" xr:uid="{00000000-0005-0000-0000-000022130000}"/>
    <cellStyle name="Comma 4 54 2 2 3" xfId="24048" xr:uid="{00000000-0005-0000-0000-000023130000}"/>
    <cellStyle name="Comma 4 54 2 2 4" xfId="47310" xr:uid="{00000000-0005-0000-0000-000024130000}"/>
    <cellStyle name="Comma 4 54 2 3" xfId="14618" xr:uid="{00000000-0005-0000-0000-000025130000}"/>
    <cellStyle name="Comma 4 54 2 3 2" xfId="28750" xr:uid="{00000000-0005-0000-0000-000026130000}"/>
    <cellStyle name="Comma 4 54 2 3 3" xfId="42640" xr:uid="{00000000-0005-0000-0000-000027130000}"/>
    <cellStyle name="Comma 4 54 2 4" xfId="19430" xr:uid="{00000000-0005-0000-0000-000028130000}"/>
    <cellStyle name="Comma 4 54 2 5" xfId="38063" xr:uid="{00000000-0005-0000-0000-000029130000}"/>
    <cellStyle name="Comma 4 55" xfId="3759" xr:uid="{00000000-0005-0000-0000-00002A130000}"/>
    <cellStyle name="Comma 4 55 2" xfId="3760" xr:uid="{00000000-0005-0000-0000-00002B130000}"/>
    <cellStyle name="Comma 4 55 2 2" xfId="9882" xr:uid="{00000000-0005-0000-0000-00002C130000}"/>
    <cellStyle name="Comma 4 55 2 2 2" xfId="33370" xr:uid="{00000000-0005-0000-0000-00002D130000}"/>
    <cellStyle name="Comma 4 55 2 2 3" xfId="24049" xr:uid="{00000000-0005-0000-0000-00002E130000}"/>
    <cellStyle name="Comma 4 55 2 2 4" xfId="47311" xr:uid="{00000000-0005-0000-0000-00002F130000}"/>
    <cellStyle name="Comma 4 55 2 3" xfId="14619" xr:uid="{00000000-0005-0000-0000-000030130000}"/>
    <cellStyle name="Comma 4 55 2 3 2" xfId="28751" xr:uid="{00000000-0005-0000-0000-000031130000}"/>
    <cellStyle name="Comma 4 55 2 3 3" xfId="42641" xr:uid="{00000000-0005-0000-0000-000032130000}"/>
    <cellStyle name="Comma 4 55 2 4" xfId="19431" xr:uid="{00000000-0005-0000-0000-000033130000}"/>
    <cellStyle name="Comma 4 55 2 5" xfId="38064" xr:uid="{00000000-0005-0000-0000-000034130000}"/>
    <cellStyle name="Comma 4 56" xfId="3761" xr:uid="{00000000-0005-0000-0000-000035130000}"/>
    <cellStyle name="Comma 4 56 2" xfId="3762" xr:uid="{00000000-0005-0000-0000-000036130000}"/>
    <cellStyle name="Comma 4 56 2 2" xfId="9883" xr:uid="{00000000-0005-0000-0000-000037130000}"/>
    <cellStyle name="Comma 4 56 2 2 2" xfId="33371" xr:uid="{00000000-0005-0000-0000-000038130000}"/>
    <cellStyle name="Comma 4 56 2 2 3" xfId="24050" xr:uid="{00000000-0005-0000-0000-000039130000}"/>
    <cellStyle name="Comma 4 56 2 2 4" xfId="47312" xr:uid="{00000000-0005-0000-0000-00003A130000}"/>
    <cellStyle name="Comma 4 56 2 3" xfId="14620" xr:uid="{00000000-0005-0000-0000-00003B130000}"/>
    <cellStyle name="Comma 4 56 2 3 2" xfId="28752" xr:uid="{00000000-0005-0000-0000-00003C130000}"/>
    <cellStyle name="Comma 4 56 2 3 3" xfId="42642" xr:uid="{00000000-0005-0000-0000-00003D130000}"/>
    <cellStyle name="Comma 4 56 2 4" xfId="19432" xr:uid="{00000000-0005-0000-0000-00003E130000}"/>
    <cellStyle name="Comma 4 56 2 5" xfId="38065" xr:uid="{00000000-0005-0000-0000-00003F130000}"/>
    <cellStyle name="Comma 4 57" xfId="3763" xr:uid="{00000000-0005-0000-0000-000040130000}"/>
    <cellStyle name="Comma 4 57 2" xfId="3764" xr:uid="{00000000-0005-0000-0000-000041130000}"/>
    <cellStyle name="Comma 4 57 2 2" xfId="9884" xr:uid="{00000000-0005-0000-0000-000042130000}"/>
    <cellStyle name="Comma 4 57 2 2 2" xfId="33372" xr:uid="{00000000-0005-0000-0000-000043130000}"/>
    <cellStyle name="Comma 4 57 2 2 3" xfId="24051" xr:uid="{00000000-0005-0000-0000-000044130000}"/>
    <cellStyle name="Comma 4 57 2 2 4" xfId="47313" xr:uid="{00000000-0005-0000-0000-000045130000}"/>
    <cellStyle name="Comma 4 57 2 3" xfId="14621" xr:uid="{00000000-0005-0000-0000-000046130000}"/>
    <cellStyle name="Comma 4 57 2 3 2" xfId="28753" xr:uid="{00000000-0005-0000-0000-000047130000}"/>
    <cellStyle name="Comma 4 57 2 3 3" xfId="42643" xr:uid="{00000000-0005-0000-0000-000048130000}"/>
    <cellStyle name="Comma 4 57 2 4" xfId="19433" xr:uid="{00000000-0005-0000-0000-000049130000}"/>
    <cellStyle name="Comma 4 57 2 5" xfId="38066" xr:uid="{00000000-0005-0000-0000-00004A130000}"/>
    <cellStyle name="Comma 4 58" xfId="3765" xr:uid="{00000000-0005-0000-0000-00004B130000}"/>
    <cellStyle name="Comma 4 58 2" xfId="3766" xr:uid="{00000000-0005-0000-0000-00004C130000}"/>
    <cellStyle name="Comma 4 58 2 2" xfId="9885" xr:uid="{00000000-0005-0000-0000-00004D130000}"/>
    <cellStyle name="Comma 4 58 2 2 2" xfId="33373" xr:uid="{00000000-0005-0000-0000-00004E130000}"/>
    <cellStyle name="Comma 4 58 2 2 3" xfId="24052" xr:uid="{00000000-0005-0000-0000-00004F130000}"/>
    <cellStyle name="Comma 4 58 2 2 4" xfId="47314" xr:uid="{00000000-0005-0000-0000-000050130000}"/>
    <cellStyle name="Comma 4 58 2 3" xfId="14622" xr:uid="{00000000-0005-0000-0000-000051130000}"/>
    <cellStyle name="Comma 4 58 2 3 2" xfId="28754" xr:uid="{00000000-0005-0000-0000-000052130000}"/>
    <cellStyle name="Comma 4 58 2 3 3" xfId="42644" xr:uid="{00000000-0005-0000-0000-000053130000}"/>
    <cellStyle name="Comma 4 58 2 4" xfId="19434" xr:uid="{00000000-0005-0000-0000-000054130000}"/>
    <cellStyle name="Comma 4 58 2 5" xfId="38067" xr:uid="{00000000-0005-0000-0000-000055130000}"/>
    <cellStyle name="Comma 4 59" xfId="3767" xr:uid="{00000000-0005-0000-0000-000056130000}"/>
    <cellStyle name="Comma 4 59 2" xfId="3768" xr:uid="{00000000-0005-0000-0000-000057130000}"/>
    <cellStyle name="Comma 4 59 2 2" xfId="9886" xr:uid="{00000000-0005-0000-0000-000058130000}"/>
    <cellStyle name="Comma 4 59 2 2 2" xfId="33374" xr:uid="{00000000-0005-0000-0000-000059130000}"/>
    <cellStyle name="Comma 4 59 2 2 3" xfId="24053" xr:uid="{00000000-0005-0000-0000-00005A130000}"/>
    <cellStyle name="Comma 4 59 2 2 4" xfId="47315" xr:uid="{00000000-0005-0000-0000-00005B130000}"/>
    <cellStyle name="Comma 4 59 2 3" xfId="14623" xr:uid="{00000000-0005-0000-0000-00005C130000}"/>
    <cellStyle name="Comma 4 59 2 3 2" xfId="28755" xr:uid="{00000000-0005-0000-0000-00005D130000}"/>
    <cellStyle name="Comma 4 59 2 3 3" xfId="42645" xr:uid="{00000000-0005-0000-0000-00005E130000}"/>
    <cellStyle name="Comma 4 59 2 4" xfId="19435" xr:uid="{00000000-0005-0000-0000-00005F130000}"/>
    <cellStyle name="Comma 4 59 2 5" xfId="38068" xr:uid="{00000000-0005-0000-0000-000060130000}"/>
    <cellStyle name="Comma 4 6" xfId="3769" xr:uid="{00000000-0005-0000-0000-000061130000}"/>
    <cellStyle name="Comma 4 6 2" xfId="3770" xr:uid="{00000000-0005-0000-0000-000062130000}"/>
    <cellStyle name="Comma 4 6 2 2" xfId="3771" xr:uid="{00000000-0005-0000-0000-000063130000}"/>
    <cellStyle name="Comma 4 6 2 2 2" xfId="9887" xr:uid="{00000000-0005-0000-0000-000064130000}"/>
    <cellStyle name="Comma 4 6 2 2 2 2" xfId="33375" xr:uid="{00000000-0005-0000-0000-000065130000}"/>
    <cellStyle name="Comma 4 6 2 2 2 3" xfId="24054" xr:uid="{00000000-0005-0000-0000-000066130000}"/>
    <cellStyle name="Comma 4 6 2 2 2 4" xfId="47316" xr:uid="{00000000-0005-0000-0000-000067130000}"/>
    <cellStyle name="Comma 4 6 2 2 3" xfId="14624" xr:uid="{00000000-0005-0000-0000-000068130000}"/>
    <cellStyle name="Comma 4 6 2 2 3 2" xfId="28756" xr:uid="{00000000-0005-0000-0000-000069130000}"/>
    <cellStyle name="Comma 4 6 2 2 3 3" xfId="42646" xr:uid="{00000000-0005-0000-0000-00006A130000}"/>
    <cellStyle name="Comma 4 6 2 2 4" xfId="19436" xr:uid="{00000000-0005-0000-0000-00006B130000}"/>
    <cellStyle name="Comma 4 6 2 2 5" xfId="38069" xr:uid="{00000000-0005-0000-0000-00006C130000}"/>
    <cellStyle name="Comma 4 6 3" xfId="3772" xr:uid="{00000000-0005-0000-0000-00006D130000}"/>
    <cellStyle name="Comma 4 6 3 2" xfId="3773" xr:uid="{00000000-0005-0000-0000-00006E130000}"/>
    <cellStyle name="Comma 4 6 3 2 2" xfId="9888" xr:uid="{00000000-0005-0000-0000-00006F130000}"/>
    <cellStyle name="Comma 4 6 3 2 2 2" xfId="33376" xr:uid="{00000000-0005-0000-0000-000070130000}"/>
    <cellStyle name="Comma 4 6 3 2 2 3" xfId="24055" xr:uid="{00000000-0005-0000-0000-000071130000}"/>
    <cellStyle name="Comma 4 6 3 2 2 4" xfId="47317" xr:uid="{00000000-0005-0000-0000-000072130000}"/>
    <cellStyle name="Comma 4 6 3 2 3" xfId="14625" xr:uid="{00000000-0005-0000-0000-000073130000}"/>
    <cellStyle name="Comma 4 6 3 2 3 2" xfId="28757" xr:uid="{00000000-0005-0000-0000-000074130000}"/>
    <cellStyle name="Comma 4 6 3 2 3 3" xfId="42647" xr:uid="{00000000-0005-0000-0000-000075130000}"/>
    <cellStyle name="Comma 4 6 3 2 4" xfId="19437" xr:uid="{00000000-0005-0000-0000-000076130000}"/>
    <cellStyle name="Comma 4 6 3 2 5" xfId="38070" xr:uid="{00000000-0005-0000-0000-000077130000}"/>
    <cellStyle name="Comma 4 6 4" xfId="3774" xr:uid="{00000000-0005-0000-0000-000078130000}"/>
    <cellStyle name="Comma 4 6 4 2" xfId="3775" xr:uid="{00000000-0005-0000-0000-000079130000}"/>
    <cellStyle name="Comma 4 6 4 2 2" xfId="9889" xr:uid="{00000000-0005-0000-0000-00007A130000}"/>
    <cellStyle name="Comma 4 6 4 2 2 2" xfId="33377" xr:uid="{00000000-0005-0000-0000-00007B130000}"/>
    <cellStyle name="Comma 4 6 4 2 2 3" xfId="24056" xr:uid="{00000000-0005-0000-0000-00007C130000}"/>
    <cellStyle name="Comma 4 6 4 2 2 4" xfId="47318" xr:uid="{00000000-0005-0000-0000-00007D130000}"/>
    <cellStyle name="Comma 4 6 4 2 3" xfId="14626" xr:uid="{00000000-0005-0000-0000-00007E130000}"/>
    <cellStyle name="Comma 4 6 4 2 3 2" xfId="28758" xr:uid="{00000000-0005-0000-0000-00007F130000}"/>
    <cellStyle name="Comma 4 6 4 2 3 3" xfId="42648" xr:uid="{00000000-0005-0000-0000-000080130000}"/>
    <cellStyle name="Comma 4 6 4 2 4" xfId="19438" xr:uid="{00000000-0005-0000-0000-000081130000}"/>
    <cellStyle name="Comma 4 6 4 2 5" xfId="38071" xr:uid="{00000000-0005-0000-0000-000082130000}"/>
    <cellStyle name="Comma 4 6 5" xfId="3776" xr:uid="{00000000-0005-0000-0000-000083130000}"/>
    <cellStyle name="Comma 4 6 5 2" xfId="3777" xr:uid="{00000000-0005-0000-0000-000084130000}"/>
    <cellStyle name="Comma 4 6 5 2 2" xfId="9890" xr:uid="{00000000-0005-0000-0000-000085130000}"/>
    <cellStyle name="Comma 4 6 5 2 2 2" xfId="33378" xr:uid="{00000000-0005-0000-0000-000086130000}"/>
    <cellStyle name="Comma 4 6 5 2 2 3" xfId="24057" xr:uid="{00000000-0005-0000-0000-000087130000}"/>
    <cellStyle name="Comma 4 6 5 2 2 4" xfId="47319" xr:uid="{00000000-0005-0000-0000-000088130000}"/>
    <cellStyle name="Comma 4 6 5 2 3" xfId="14627" xr:uid="{00000000-0005-0000-0000-000089130000}"/>
    <cellStyle name="Comma 4 6 5 2 3 2" xfId="28759" xr:uid="{00000000-0005-0000-0000-00008A130000}"/>
    <cellStyle name="Comma 4 6 5 2 3 3" xfId="42649" xr:uid="{00000000-0005-0000-0000-00008B130000}"/>
    <cellStyle name="Comma 4 6 5 2 4" xfId="19439" xr:uid="{00000000-0005-0000-0000-00008C130000}"/>
    <cellStyle name="Comma 4 6 5 2 5" xfId="38072" xr:uid="{00000000-0005-0000-0000-00008D130000}"/>
    <cellStyle name="Comma 4 6 6" xfId="3778" xr:uid="{00000000-0005-0000-0000-00008E130000}"/>
    <cellStyle name="Comma 4 6 6 2" xfId="3779" xr:uid="{00000000-0005-0000-0000-00008F130000}"/>
    <cellStyle name="Comma 4 6 6 2 2" xfId="9891" xr:uid="{00000000-0005-0000-0000-000090130000}"/>
    <cellStyle name="Comma 4 6 6 2 2 2" xfId="33379" xr:uid="{00000000-0005-0000-0000-000091130000}"/>
    <cellStyle name="Comma 4 6 6 2 2 3" xfId="24058" xr:uid="{00000000-0005-0000-0000-000092130000}"/>
    <cellStyle name="Comma 4 6 6 2 2 4" xfId="47320" xr:uid="{00000000-0005-0000-0000-000093130000}"/>
    <cellStyle name="Comma 4 6 6 2 3" xfId="14628" xr:uid="{00000000-0005-0000-0000-000094130000}"/>
    <cellStyle name="Comma 4 6 6 2 3 2" xfId="28760" xr:uid="{00000000-0005-0000-0000-000095130000}"/>
    <cellStyle name="Comma 4 6 6 2 3 3" xfId="42650" xr:uid="{00000000-0005-0000-0000-000096130000}"/>
    <cellStyle name="Comma 4 6 6 2 4" xfId="19440" xr:uid="{00000000-0005-0000-0000-000097130000}"/>
    <cellStyle name="Comma 4 6 6 2 5" xfId="38073" xr:uid="{00000000-0005-0000-0000-000098130000}"/>
    <cellStyle name="Comma 4 6 7" xfId="3780" xr:uid="{00000000-0005-0000-0000-000099130000}"/>
    <cellStyle name="Comma 4 6 7 2" xfId="9892" xr:uid="{00000000-0005-0000-0000-00009A130000}"/>
    <cellStyle name="Comma 4 6 7 2 2" xfId="33380" xr:uid="{00000000-0005-0000-0000-00009B130000}"/>
    <cellStyle name="Comma 4 6 7 2 3" xfId="24059" xr:uid="{00000000-0005-0000-0000-00009C130000}"/>
    <cellStyle name="Comma 4 6 7 2 4" xfId="47321" xr:uid="{00000000-0005-0000-0000-00009D130000}"/>
    <cellStyle name="Comma 4 6 7 3" xfId="14629" xr:uid="{00000000-0005-0000-0000-00009E130000}"/>
    <cellStyle name="Comma 4 6 7 3 2" xfId="28761" xr:uid="{00000000-0005-0000-0000-00009F130000}"/>
    <cellStyle name="Comma 4 6 7 3 3" xfId="42651" xr:uid="{00000000-0005-0000-0000-0000A0130000}"/>
    <cellStyle name="Comma 4 6 7 4" xfId="19441" xr:uid="{00000000-0005-0000-0000-0000A1130000}"/>
    <cellStyle name="Comma 4 6 7 5" xfId="38074" xr:uid="{00000000-0005-0000-0000-0000A2130000}"/>
    <cellStyle name="Comma 4 60" xfId="3781" xr:uid="{00000000-0005-0000-0000-0000A3130000}"/>
    <cellStyle name="Comma 4 60 2" xfId="3782" xr:uid="{00000000-0005-0000-0000-0000A4130000}"/>
    <cellStyle name="Comma 4 60 2 2" xfId="9893" xr:uid="{00000000-0005-0000-0000-0000A5130000}"/>
    <cellStyle name="Comma 4 60 2 2 2" xfId="33381" xr:uid="{00000000-0005-0000-0000-0000A6130000}"/>
    <cellStyle name="Comma 4 60 2 2 3" xfId="24060" xr:uid="{00000000-0005-0000-0000-0000A7130000}"/>
    <cellStyle name="Comma 4 60 2 2 4" xfId="47322" xr:uid="{00000000-0005-0000-0000-0000A8130000}"/>
    <cellStyle name="Comma 4 60 2 3" xfId="14630" xr:uid="{00000000-0005-0000-0000-0000A9130000}"/>
    <cellStyle name="Comma 4 60 2 3 2" xfId="28762" xr:uid="{00000000-0005-0000-0000-0000AA130000}"/>
    <cellStyle name="Comma 4 60 2 3 3" xfId="42652" xr:uid="{00000000-0005-0000-0000-0000AB130000}"/>
    <cellStyle name="Comma 4 60 2 4" xfId="19442" xr:uid="{00000000-0005-0000-0000-0000AC130000}"/>
    <cellStyle name="Comma 4 60 2 5" xfId="38075" xr:uid="{00000000-0005-0000-0000-0000AD130000}"/>
    <cellStyle name="Comma 4 61" xfId="3783" xr:uid="{00000000-0005-0000-0000-0000AE130000}"/>
    <cellStyle name="Comma 4 61 2" xfId="3784" xr:uid="{00000000-0005-0000-0000-0000AF130000}"/>
    <cellStyle name="Comma 4 61 2 2" xfId="9894" xr:uid="{00000000-0005-0000-0000-0000B0130000}"/>
    <cellStyle name="Comma 4 61 2 2 2" xfId="33382" xr:uid="{00000000-0005-0000-0000-0000B1130000}"/>
    <cellStyle name="Comma 4 61 2 2 3" xfId="24061" xr:uid="{00000000-0005-0000-0000-0000B2130000}"/>
    <cellStyle name="Comma 4 61 2 2 4" xfId="47323" xr:uid="{00000000-0005-0000-0000-0000B3130000}"/>
    <cellStyle name="Comma 4 61 2 3" xfId="14631" xr:uid="{00000000-0005-0000-0000-0000B4130000}"/>
    <cellStyle name="Comma 4 61 2 3 2" xfId="28763" xr:uid="{00000000-0005-0000-0000-0000B5130000}"/>
    <cellStyle name="Comma 4 61 2 3 3" xfId="42653" xr:uid="{00000000-0005-0000-0000-0000B6130000}"/>
    <cellStyle name="Comma 4 61 2 4" xfId="19443" xr:uid="{00000000-0005-0000-0000-0000B7130000}"/>
    <cellStyle name="Comma 4 61 2 5" xfId="38076" xr:uid="{00000000-0005-0000-0000-0000B8130000}"/>
    <cellStyle name="Comma 4 62" xfId="3785" xr:uid="{00000000-0005-0000-0000-0000B9130000}"/>
    <cellStyle name="Comma 4 62 2" xfId="3786" xr:uid="{00000000-0005-0000-0000-0000BA130000}"/>
    <cellStyle name="Comma 4 62 2 2" xfId="9895" xr:uid="{00000000-0005-0000-0000-0000BB130000}"/>
    <cellStyle name="Comma 4 62 2 2 2" xfId="33383" xr:uid="{00000000-0005-0000-0000-0000BC130000}"/>
    <cellStyle name="Comma 4 62 2 2 3" xfId="24062" xr:uid="{00000000-0005-0000-0000-0000BD130000}"/>
    <cellStyle name="Comma 4 62 2 2 4" xfId="47324" xr:uid="{00000000-0005-0000-0000-0000BE130000}"/>
    <cellStyle name="Comma 4 62 2 3" xfId="14632" xr:uid="{00000000-0005-0000-0000-0000BF130000}"/>
    <cellStyle name="Comma 4 62 2 3 2" xfId="28764" xr:uid="{00000000-0005-0000-0000-0000C0130000}"/>
    <cellStyle name="Comma 4 62 2 3 3" xfId="42654" xr:uid="{00000000-0005-0000-0000-0000C1130000}"/>
    <cellStyle name="Comma 4 62 2 4" xfId="19444" xr:uid="{00000000-0005-0000-0000-0000C2130000}"/>
    <cellStyle name="Comma 4 62 2 5" xfId="38077" xr:uid="{00000000-0005-0000-0000-0000C3130000}"/>
    <cellStyle name="Comma 4 63" xfId="3787" xr:uid="{00000000-0005-0000-0000-0000C4130000}"/>
    <cellStyle name="Comma 4 63 2" xfId="3788" xr:uid="{00000000-0005-0000-0000-0000C5130000}"/>
    <cellStyle name="Comma 4 63 2 2" xfId="9896" xr:uid="{00000000-0005-0000-0000-0000C6130000}"/>
    <cellStyle name="Comma 4 63 2 2 2" xfId="33384" xr:uid="{00000000-0005-0000-0000-0000C7130000}"/>
    <cellStyle name="Comma 4 63 2 2 3" xfId="24063" xr:uid="{00000000-0005-0000-0000-0000C8130000}"/>
    <cellStyle name="Comma 4 63 2 2 4" xfId="47325" xr:uid="{00000000-0005-0000-0000-0000C9130000}"/>
    <cellStyle name="Comma 4 63 2 3" xfId="14633" xr:uid="{00000000-0005-0000-0000-0000CA130000}"/>
    <cellStyle name="Comma 4 63 2 3 2" xfId="28765" xr:uid="{00000000-0005-0000-0000-0000CB130000}"/>
    <cellStyle name="Comma 4 63 2 3 3" xfId="42655" xr:uid="{00000000-0005-0000-0000-0000CC130000}"/>
    <cellStyle name="Comma 4 63 2 4" xfId="19445" xr:uid="{00000000-0005-0000-0000-0000CD130000}"/>
    <cellStyle name="Comma 4 63 2 5" xfId="38078" xr:uid="{00000000-0005-0000-0000-0000CE130000}"/>
    <cellStyle name="Comma 4 64" xfId="3789" xr:uid="{00000000-0005-0000-0000-0000CF130000}"/>
    <cellStyle name="Comma 4 64 2" xfId="3790" xr:uid="{00000000-0005-0000-0000-0000D0130000}"/>
    <cellStyle name="Comma 4 64 2 2" xfId="9897" xr:uid="{00000000-0005-0000-0000-0000D1130000}"/>
    <cellStyle name="Comma 4 64 2 2 2" xfId="33385" xr:uid="{00000000-0005-0000-0000-0000D2130000}"/>
    <cellStyle name="Comma 4 64 2 2 3" xfId="24064" xr:uid="{00000000-0005-0000-0000-0000D3130000}"/>
    <cellStyle name="Comma 4 64 2 2 4" xfId="47326" xr:uid="{00000000-0005-0000-0000-0000D4130000}"/>
    <cellStyle name="Comma 4 64 2 3" xfId="14634" xr:uid="{00000000-0005-0000-0000-0000D5130000}"/>
    <cellStyle name="Comma 4 64 2 3 2" xfId="28766" xr:uid="{00000000-0005-0000-0000-0000D6130000}"/>
    <cellStyle name="Comma 4 64 2 3 3" xfId="42656" xr:uid="{00000000-0005-0000-0000-0000D7130000}"/>
    <cellStyle name="Comma 4 64 2 4" xfId="19446" xr:uid="{00000000-0005-0000-0000-0000D8130000}"/>
    <cellStyle name="Comma 4 64 2 5" xfId="38079" xr:uid="{00000000-0005-0000-0000-0000D9130000}"/>
    <cellStyle name="Comma 4 65" xfId="3791" xr:uid="{00000000-0005-0000-0000-0000DA130000}"/>
    <cellStyle name="Comma 4 65 2" xfId="3792" xr:uid="{00000000-0005-0000-0000-0000DB130000}"/>
    <cellStyle name="Comma 4 65 2 2" xfId="9898" xr:uid="{00000000-0005-0000-0000-0000DC130000}"/>
    <cellStyle name="Comma 4 65 2 2 2" xfId="33386" xr:uid="{00000000-0005-0000-0000-0000DD130000}"/>
    <cellStyle name="Comma 4 65 2 2 3" xfId="24065" xr:uid="{00000000-0005-0000-0000-0000DE130000}"/>
    <cellStyle name="Comma 4 65 2 2 4" xfId="47327" xr:uid="{00000000-0005-0000-0000-0000DF130000}"/>
    <cellStyle name="Comma 4 65 2 3" xfId="14635" xr:uid="{00000000-0005-0000-0000-0000E0130000}"/>
    <cellStyle name="Comma 4 65 2 3 2" xfId="28767" xr:uid="{00000000-0005-0000-0000-0000E1130000}"/>
    <cellStyle name="Comma 4 65 2 3 3" xfId="42657" xr:uid="{00000000-0005-0000-0000-0000E2130000}"/>
    <cellStyle name="Comma 4 65 2 4" xfId="19447" xr:uid="{00000000-0005-0000-0000-0000E3130000}"/>
    <cellStyle name="Comma 4 65 2 5" xfId="38080" xr:uid="{00000000-0005-0000-0000-0000E4130000}"/>
    <cellStyle name="Comma 4 66" xfId="3793" xr:uid="{00000000-0005-0000-0000-0000E5130000}"/>
    <cellStyle name="Comma 4 66 2" xfId="3794" xr:uid="{00000000-0005-0000-0000-0000E6130000}"/>
    <cellStyle name="Comma 4 66 2 2" xfId="9899" xr:uid="{00000000-0005-0000-0000-0000E7130000}"/>
    <cellStyle name="Comma 4 66 2 2 2" xfId="33387" xr:uid="{00000000-0005-0000-0000-0000E8130000}"/>
    <cellStyle name="Comma 4 66 2 2 3" xfId="24066" xr:uid="{00000000-0005-0000-0000-0000E9130000}"/>
    <cellStyle name="Comma 4 66 2 2 4" xfId="47328" xr:uid="{00000000-0005-0000-0000-0000EA130000}"/>
    <cellStyle name="Comma 4 66 2 3" xfId="14636" xr:uid="{00000000-0005-0000-0000-0000EB130000}"/>
    <cellStyle name="Comma 4 66 2 3 2" xfId="28768" xr:uid="{00000000-0005-0000-0000-0000EC130000}"/>
    <cellStyle name="Comma 4 66 2 3 3" xfId="42658" xr:uid="{00000000-0005-0000-0000-0000ED130000}"/>
    <cellStyle name="Comma 4 66 2 4" xfId="19448" xr:uid="{00000000-0005-0000-0000-0000EE130000}"/>
    <cellStyle name="Comma 4 66 2 5" xfId="38081" xr:uid="{00000000-0005-0000-0000-0000EF130000}"/>
    <cellStyle name="Comma 4 67" xfId="3795" xr:uid="{00000000-0005-0000-0000-0000F0130000}"/>
    <cellStyle name="Comma 4 67 2" xfId="3796" xr:uid="{00000000-0005-0000-0000-0000F1130000}"/>
    <cellStyle name="Comma 4 67 2 2" xfId="9900" xr:uid="{00000000-0005-0000-0000-0000F2130000}"/>
    <cellStyle name="Comma 4 67 2 2 2" xfId="33388" xr:uid="{00000000-0005-0000-0000-0000F3130000}"/>
    <cellStyle name="Comma 4 67 2 2 3" xfId="24067" xr:uid="{00000000-0005-0000-0000-0000F4130000}"/>
    <cellStyle name="Comma 4 67 2 2 4" xfId="47329" xr:uid="{00000000-0005-0000-0000-0000F5130000}"/>
    <cellStyle name="Comma 4 67 2 3" xfId="14637" xr:uid="{00000000-0005-0000-0000-0000F6130000}"/>
    <cellStyle name="Comma 4 67 2 3 2" xfId="28769" xr:uid="{00000000-0005-0000-0000-0000F7130000}"/>
    <cellStyle name="Comma 4 67 2 3 3" xfId="42659" xr:uid="{00000000-0005-0000-0000-0000F8130000}"/>
    <cellStyle name="Comma 4 67 2 4" xfId="19449" xr:uid="{00000000-0005-0000-0000-0000F9130000}"/>
    <cellStyle name="Comma 4 67 2 5" xfId="38082" xr:uid="{00000000-0005-0000-0000-0000FA130000}"/>
    <cellStyle name="Comma 4 68" xfId="3797" xr:uid="{00000000-0005-0000-0000-0000FB130000}"/>
    <cellStyle name="Comma 4 68 2" xfId="3798" xr:uid="{00000000-0005-0000-0000-0000FC130000}"/>
    <cellStyle name="Comma 4 68 2 2" xfId="9901" xr:uid="{00000000-0005-0000-0000-0000FD130000}"/>
    <cellStyle name="Comma 4 68 2 2 2" xfId="33389" xr:uid="{00000000-0005-0000-0000-0000FE130000}"/>
    <cellStyle name="Comma 4 68 2 2 3" xfId="24068" xr:uid="{00000000-0005-0000-0000-0000FF130000}"/>
    <cellStyle name="Comma 4 68 2 2 4" xfId="47330" xr:uid="{00000000-0005-0000-0000-000000140000}"/>
    <cellStyle name="Comma 4 68 2 3" xfId="14638" xr:uid="{00000000-0005-0000-0000-000001140000}"/>
    <cellStyle name="Comma 4 68 2 3 2" xfId="28770" xr:uid="{00000000-0005-0000-0000-000002140000}"/>
    <cellStyle name="Comma 4 68 2 3 3" xfId="42660" xr:uid="{00000000-0005-0000-0000-000003140000}"/>
    <cellStyle name="Comma 4 68 2 4" xfId="19450" xr:uid="{00000000-0005-0000-0000-000004140000}"/>
    <cellStyle name="Comma 4 68 2 5" xfId="38083" xr:uid="{00000000-0005-0000-0000-000005140000}"/>
    <cellStyle name="Comma 4 69" xfId="3799" xr:uid="{00000000-0005-0000-0000-000006140000}"/>
    <cellStyle name="Comma 4 69 2" xfId="3800" xr:uid="{00000000-0005-0000-0000-000007140000}"/>
    <cellStyle name="Comma 4 69 2 2" xfId="9902" xr:uid="{00000000-0005-0000-0000-000008140000}"/>
    <cellStyle name="Comma 4 69 2 2 2" xfId="33390" xr:uid="{00000000-0005-0000-0000-000009140000}"/>
    <cellStyle name="Comma 4 69 2 2 3" xfId="24069" xr:uid="{00000000-0005-0000-0000-00000A140000}"/>
    <cellStyle name="Comma 4 69 2 2 4" xfId="47331" xr:uid="{00000000-0005-0000-0000-00000B140000}"/>
    <cellStyle name="Comma 4 69 2 3" xfId="14639" xr:uid="{00000000-0005-0000-0000-00000C140000}"/>
    <cellStyle name="Comma 4 69 2 3 2" xfId="28771" xr:uid="{00000000-0005-0000-0000-00000D140000}"/>
    <cellStyle name="Comma 4 69 2 3 3" xfId="42661" xr:uid="{00000000-0005-0000-0000-00000E140000}"/>
    <cellStyle name="Comma 4 69 2 4" xfId="19451" xr:uid="{00000000-0005-0000-0000-00000F140000}"/>
    <cellStyle name="Comma 4 69 2 5" xfId="38084" xr:uid="{00000000-0005-0000-0000-000010140000}"/>
    <cellStyle name="Comma 4 7" xfId="3801" xr:uid="{00000000-0005-0000-0000-000011140000}"/>
    <cellStyle name="Comma 4 7 2" xfId="3802" xr:uid="{00000000-0005-0000-0000-000012140000}"/>
    <cellStyle name="Comma 4 7 2 2" xfId="3803" xr:uid="{00000000-0005-0000-0000-000013140000}"/>
    <cellStyle name="Comma 4 7 2 2 2" xfId="9903" xr:uid="{00000000-0005-0000-0000-000014140000}"/>
    <cellStyle name="Comma 4 7 2 2 2 2" xfId="33391" xr:uid="{00000000-0005-0000-0000-000015140000}"/>
    <cellStyle name="Comma 4 7 2 2 2 3" xfId="24070" xr:uid="{00000000-0005-0000-0000-000016140000}"/>
    <cellStyle name="Comma 4 7 2 2 2 4" xfId="47332" xr:uid="{00000000-0005-0000-0000-000017140000}"/>
    <cellStyle name="Comma 4 7 2 2 3" xfId="14640" xr:uid="{00000000-0005-0000-0000-000018140000}"/>
    <cellStyle name="Comma 4 7 2 2 3 2" xfId="28772" xr:uid="{00000000-0005-0000-0000-000019140000}"/>
    <cellStyle name="Comma 4 7 2 2 3 3" xfId="42662" xr:uid="{00000000-0005-0000-0000-00001A140000}"/>
    <cellStyle name="Comma 4 7 2 2 4" xfId="19452" xr:uid="{00000000-0005-0000-0000-00001B140000}"/>
    <cellStyle name="Comma 4 7 2 2 5" xfId="38085" xr:uid="{00000000-0005-0000-0000-00001C140000}"/>
    <cellStyle name="Comma 4 7 3" xfId="3804" xr:uid="{00000000-0005-0000-0000-00001D140000}"/>
    <cellStyle name="Comma 4 7 3 2" xfId="3805" xr:uid="{00000000-0005-0000-0000-00001E140000}"/>
    <cellStyle name="Comma 4 7 3 2 2" xfId="9904" xr:uid="{00000000-0005-0000-0000-00001F140000}"/>
    <cellStyle name="Comma 4 7 3 2 2 2" xfId="33392" xr:uid="{00000000-0005-0000-0000-000020140000}"/>
    <cellStyle name="Comma 4 7 3 2 2 3" xfId="24071" xr:uid="{00000000-0005-0000-0000-000021140000}"/>
    <cellStyle name="Comma 4 7 3 2 2 4" xfId="47333" xr:uid="{00000000-0005-0000-0000-000022140000}"/>
    <cellStyle name="Comma 4 7 3 2 3" xfId="14641" xr:uid="{00000000-0005-0000-0000-000023140000}"/>
    <cellStyle name="Comma 4 7 3 2 3 2" xfId="28773" xr:uid="{00000000-0005-0000-0000-000024140000}"/>
    <cellStyle name="Comma 4 7 3 2 3 3" xfId="42663" xr:uid="{00000000-0005-0000-0000-000025140000}"/>
    <cellStyle name="Comma 4 7 3 2 4" xfId="19453" xr:uid="{00000000-0005-0000-0000-000026140000}"/>
    <cellStyle name="Comma 4 7 3 2 5" xfId="38086" xr:uid="{00000000-0005-0000-0000-000027140000}"/>
    <cellStyle name="Comma 4 7 4" xfId="3806" xr:uid="{00000000-0005-0000-0000-000028140000}"/>
    <cellStyle name="Comma 4 7 4 2" xfId="3807" xr:uid="{00000000-0005-0000-0000-000029140000}"/>
    <cellStyle name="Comma 4 7 4 2 2" xfId="9905" xr:uid="{00000000-0005-0000-0000-00002A140000}"/>
    <cellStyle name="Comma 4 7 4 2 2 2" xfId="33393" xr:uid="{00000000-0005-0000-0000-00002B140000}"/>
    <cellStyle name="Comma 4 7 4 2 2 3" xfId="24072" xr:uid="{00000000-0005-0000-0000-00002C140000}"/>
    <cellStyle name="Comma 4 7 4 2 2 4" xfId="47334" xr:uid="{00000000-0005-0000-0000-00002D140000}"/>
    <cellStyle name="Comma 4 7 4 2 3" xfId="14642" xr:uid="{00000000-0005-0000-0000-00002E140000}"/>
    <cellStyle name="Comma 4 7 4 2 3 2" xfId="28774" xr:uid="{00000000-0005-0000-0000-00002F140000}"/>
    <cellStyle name="Comma 4 7 4 2 3 3" xfId="42664" xr:uid="{00000000-0005-0000-0000-000030140000}"/>
    <cellStyle name="Comma 4 7 4 2 4" xfId="19454" xr:uid="{00000000-0005-0000-0000-000031140000}"/>
    <cellStyle name="Comma 4 7 4 2 5" xfId="38087" xr:uid="{00000000-0005-0000-0000-000032140000}"/>
    <cellStyle name="Comma 4 7 5" xfId="3808" xr:uid="{00000000-0005-0000-0000-000033140000}"/>
    <cellStyle name="Comma 4 7 5 2" xfId="3809" xr:uid="{00000000-0005-0000-0000-000034140000}"/>
    <cellStyle name="Comma 4 7 5 2 2" xfId="9906" xr:uid="{00000000-0005-0000-0000-000035140000}"/>
    <cellStyle name="Comma 4 7 5 2 2 2" xfId="33394" xr:uid="{00000000-0005-0000-0000-000036140000}"/>
    <cellStyle name="Comma 4 7 5 2 2 3" xfId="24073" xr:uid="{00000000-0005-0000-0000-000037140000}"/>
    <cellStyle name="Comma 4 7 5 2 2 4" xfId="47335" xr:uid="{00000000-0005-0000-0000-000038140000}"/>
    <cellStyle name="Comma 4 7 5 2 3" xfId="14643" xr:uid="{00000000-0005-0000-0000-000039140000}"/>
    <cellStyle name="Comma 4 7 5 2 3 2" xfId="28775" xr:uid="{00000000-0005-0000-0000-00003A140000}"/>
    <cellStyle name="Comma 4 7 5 2 3 3" xfId="42665" xr:uid="{00000000-0005-0000-0000-00003B140000}"/>
    <cellStyle name="Comma 4 7 5 2 4" xfId="19455" xr:uid="{00000000-0005-0000-0000-00003C140000}"/>
    <cellStyle name="Comma 4 7 5 2 5" xfId="38088" xr:uid="{00000000-0005-0000-0000-00003D140000}"/>
    <cellStyle name="Comma 4 7 6" xfId="3810" xr:uid="{00000000-0005-0000-0000-00003E140000}"/>
    <cellStyle name="Comma 4 7 6 2" xfId="3811" xr:uid="{00000000-0005-0000-0000-00003F140000}"/>
    <cellStyle name="Comma 4 7 6 2 2" xfId="9907" xr:uid="{00000000-0005-0000-0000-000040140000}"/>
    <cellStyle name="Comma 4 7 6 2 2 2" xfId="33395" xr:uid="{00000000-0005-0000-0000-000041140000}"/>
    <cellStyle name="Comma 4 7 6 2 2 3" xfId="24074" xr:uid="{00000000-0005-0000-0000-000042140000}"/>
    <cellStyle name="Comma 4 7 6 2 2 4" xfId="47336" xr:uid="{00000000-0005-0000-0000-000043140000}"/>
    <cellStyle name="Comma 4 7 6 2 3" xfId="14644" xr:uid="{00000000-0005-0000-0000-000044140000}"/>
    <cellStyle name="Comma 4 7 6 2 3 2" xfId="28776" xr:uid="{00000000-0005-0000-0000-000045140000}"/>
    <cellStyle name="Comma 4 7 6 2 3 3" xfId="42666" xr:uid="{00000000-0005-0000-0000-000046140000}"/>
    <cellStyle name="Comma 4 7 6 2 4" xfId="19456" xr:uid="{00000000-0005-0000-0000-000047140000}"/>
    <cellStyle name="Comma 4 7 6 2 5" xfId="38089" xr:uid="{00000000-0005-0000-0000-000048140000}"/>
    <cellStyle name="Comma 4 7 7" xfId="3812" xr:uid="{00000000-0005-0000-0000-000049140000}"/>
    <cellStyle name="Comma 4 7 7 2" xfId="9908" xr:uid="{00000000-0005-0000-0000-00004A140000}"/>
    <cellStyle name="Comma 4 7 7 2 2" xfId="33396" xr:uid="{00000000-0005-0000-0000-00004B140000}"/>
    <cellStyle name="Comma 4 7 7 2 3" xfId="24075" xr:uid="{00000000-0005-0000-0000-00004C140000}"/>
    <cellStyle name="Comma 4 7 7 2 4" xfId="47337" xr:uid="{00000000-0005-0000-0000-00004D140000}"/>
    <cellStyle name="Comma 4 7 7 3" xfId="14645" xr:uid="{00000000-0005-0000-0000-00004E140000}"/>
    <cellStyle name="Comma 4 7 7 3 2" xfId="28777" xr:uid="{00000000-0005-0000-0000-00004F140000}"/>
    <cellStyle name="Comma 4 7 7 3 3" xfId="42667" xr:uid="{00000000-0005-0000-0000-000050140000}"/>
    <cellStyle name="Comma 4 7 7 4" xfId="19457" xr:uid="{00000000-0005-0000-0000-000051140000}"/>
    <cellStyle name="Comma 4 7 7 5" xfId="38090" xr:uid="{00000000-0005-0000-0000-000052140000}"/>
    <cellStyle name="Comma 4 70" xfId="3813" xr:uid="{00000000-0005-0000-0000-000053140000}"/>
    <cellStyle name="Comma 4 70 2" xfId="3814" xr:uid="{00000000-0005-0000-0000-000054140000}"/>
    <cellStyle name="Comma 4 70 2 2" xfId="9909" xr:uid="{00000000-0005-0000-0000-000055140000}"/>
    <cellStyle name="Comma 4 70 2 2 2" xfId="33397" xr:uid="{00000000-0005-0000-0000-000056140000}"/>
    <cellStyle name="Comma 4 70 2 2 3" xfId="24076" xr:uid="{00000000-0005-0000-0000-000057140000}"/>
    <cellStyle name="Comma 4 70 2 2 4" xfId="47338" xr:uid="{00000000-0005-0000-0000-000058140000}"/>
    <cellStyle name="Comma 4 70 2 3" xfId="14646" xr:uid="{00000000-0005-0000-0000-000059140000}"/>
    <cellStyle name="Comma 4 70 2 3 2" xfId="28778" xr:uid="{00000000-0005-0000-0000-00005A140000}"/>
    <cellStyle name="Comma 4 70 2 3 3" xfId="42668" xr:uid="{00000000-0005-0000-0000-00005B140000}"/>
    <cellStyle name="Comma 4 70 2 4" xfId="19458" xr:uid="{00000000-0005-0000-0000-00005C140000}"/>
    <cellStyle name="Comma 4 70 2 5" xfId="38091" xr:uid="{00000000-0005-0000-0000-00005D140000}"/>
    <cellStyle name="Comma 4 71" xfId="3815" xr:uid="{00000000-0005-0000-0000-00005E140000}"/>
    <cellStyle name="Comma 4 71 2" xfId="3816" xr:uid="{00000000-0005-0000-0000-00005F140000}"/>
    <cellStyle name="Comma 4 71 2 2" xfId="9910" xr:uid="{00000000-0005-0000-0000-000060140000}"/>
    <cellStyle name="Comma 4 71 2 2 2" xfId="33398" xr:uid="{00000000-0005-0000-0000-000061140000}"/>
    <cellStyle name="Comma 4 71 2 2 3" xfId="24077" xr:uid="{00000000-0005-0000-0000-000062140000}"/>
    <cellStyle name="Comma 4 71 2 2 4" xfId="47339" xr:uid="{00000000-0005-0000-0000-000063140000}"/>
    <cellStyle name="Comma 4 71 2 3" xfId="14647" xr:uid="{00000000-0005-0000-0000-000064140000}"/>
    <cellStyle name="Comma 4 71 2 3 2" xfId="28779" xr:uid="{00000000-0005-0000-0000-000065140000}"/>
    <cellStyle name="Comma 4 71 2 3 3" xfId="42669" xr:uid="{00000000-0005-0000-0000-000066140000}"/>
    <cellStyle name="Comma 4 71 2 4" xfId="19459" xr:uid="{00000000-0005-0000-0000-000067140000}"/>
    <cellStyle name="Comma 4 71 2 5" xfId="38092" xr:uid="{00000000-0005-0000-0000-000068140000}"/>
    <cellStyle name="Comma 4 72" xfId="3817" xr:uid="{00000000-0005-0000-0000-000069140000}"/>
    <cellStyle name="Comma 4 72 2" xfId="3818" xr:uid="{00000000-0005-0000-0000-00006A140000}"/>
    <cellStyle name="Comma 4 72 2 2" xfId="9911" xr:uid="{00000000-0005-0000-0000-00006B140000}"/>
    <cellStyle name="Comma 4 72 2 2 2" xfId="33399" xr:uid="{00000000-0005-0000-0000-00006C140000}"/>
    <cellStyle name="Comma 4 72 2 2 3" xfId="24078" xr:uid="{00000000-0005-0000-0000-00006D140000}"/>
    <cellStyle name="Comma 4 72 2 2 4" xfId="47340" xr:uid="{00000000-0005-0000-0000-00006E140000}"/>
    <cellStyle name="Comma 4 72 2 3" xfId="14648" xr:uid="{00000000-0005-0000-0000-00006F140000}"/>
    <cellStyle name="Comma 4 72 2 3 2" xfId="28780" xr:uid="{00000000-0005-0000-0000-000070140000}"/>
    <cellStyle name="Comma 4 72 2 3 3" xfId="42670" xr:uid="{00000000-0005-0000-0000-000071140000}"/>
    <cellStyle name="Comma 4 72 2 4" xfId="19460" xr:uid="{00000000-0005-0000-0000-000072140000}"/>
    <cellStyle name="Comma 4 72 2 5" xfId="38093" xr:uid="{00000000-0005-0000-0000-000073140000}"/>
    <cellStyle name="Comma 4 73" xfId="3819" xr:uid="{00000000-0005-0000-0000-000074140000}"/>
    <cellStyle name="Comma 4 73 2" xfId="3820" xr:uid="{00000000-0005-0000-0000-000075140000}"/>
    <cellStyle name="Comma 4 73 2 2" xfId="9912" xr:uid="{00000000-0005-0000-0000-000076140000}"/>
    <cellStyle name="Comma 4 73 2 2 2" xfId="33400" xr:uid="{00000000-0005-0000-0000-000077140000}"/>
    <cellStyle name="Comma 4 73 2 2 3" xfId="24079" xr:uid="{00000000-0005-0000-0000-000078140000}"/>
    <cellStyle name="Comma 4 73 2 2 4" xfId="47341" xr:uid="{00000000-0005-0000-0000-000079140000}"/>
    <cellStyle name="Comma 4 73 2 3" xfId="14649" xr:uid="{00000000-0005-0000-0000-00007A140000}"/>
    <cellStyle name="Comma 4 73 2 3 2" xfId="28781" xr:uid="{00000000-0005-0000-0000-00007B140000}"/>
    <cellStyle name="Comma 4 73 2 3 3" xfId="42671" xr:uid="{00000000-0005-0000-0000-00007C140000}"/>
    <cellStyle name="Comma 4 73 2 4" xfId="19461" xr:uid="{00000000-0005-0000-0000-00007D140000}"/>
    <cellStyle name="Comma 4 73 2 5" xfId="38094" xr:uid="{00000000-0005-0000-0000-00007E140000}"/>
    <cellStyle name="Comma 4 74" xfId="3821" xr:uid="{00000000-0005-0000-0000-00007F140000}"/>
    <cellStyle name="Comma 4 74 2" xfId="3822" xr:uid="{00000000-0005-0000-0000-000080140000}"/>
    <cellStyle name="Comma 4 74 2 2" xfId="9913" xr:uid="{00000000-0005-0000-0000-000081140000}"/>
    <cellStyle name="Comma 4 74 2 2 2" xfId="33401" xr:uid="{00000000-0005-0000-0000-000082140000}"/>
    <cellStyle name="Comma 4 74 2 2 3" xfId="24080" xr:uid="{00000000-0005-0000-0000-000083140000}"/>
    <cellStyle name="Comma 4 74 2 2 4" xfId="47342" xr:uid="{00000000-0005-0000-0000-000084140000}"/>
    <cellStyle name="Comma 4 74 2 3" xfId="14650" xr:uid="{00000000-0005-0000-0000-000085140000}"/>
    <cellStyle name="Comma 4 74 2 3 2" xfId="28782" xr:uid="{00000000-0005-0000-0000-000086140000}"/>
    <cellStyle name="Comma 4 74 2 3 3" xfId="42672" xr:uid="{00000000-0005-0000-0000-000087140000}"/>
    <cellStyle name="Comma 4 74 2 4" xfId="19462" xr:uid="{00000000-0005-0000-0000-000088140000}"/>
    <cellStyle name="Comma 4 74 2 5" xfId="38095" xr:uid="{00000000-0005-0000-0000-000089140000}"/>
    <cellStyle name="Comma 4 75" xfId="3823" xr:uid="{00000000-0005-0000-0000-00008A140000}"/>
    <cellStyle name="Comma 4 75 2" xfId="3824" xr:uid="{00000000-0005-0000-0000-00008B140000}"/>
    <cellStyle name="Comma 4 75 2 2" xfId="9914" xr:uid="{00000000-0005-0000-0000-00008C140000}"/>
    <cellStyle name="Comma 4 75 2 2 2" xfId="33402" xr:uid="{00000000-0005-0000-0000-00008D140000}"/>
    <cellStyle name="Comma 4 75 2 2 3" xfId="24081" xr:uid="{00000000-0005-0000-0000-00008E140000}"/>
    <cellStyle name="Comma 4 75 2 2 4" xfId="47343" xr:uid="{00000000-0005-0000-0000-00008F140000}"/>
    <cellStyle name="Comma 4 75 2 3" xfId="14651" xr:uid="{00000000-0005-0000-0000-000090140000}"/>
    <cellStyle name="Comma 4 75 2 3 2" xfId="28783" xr:uid="{00000000-0005-0000-0000-000091140000}"/>
    <cellStyle name="Comma 4 75 2 3 3" xfId="42673" xr:uid="{00000000-0005-0000-0000-000092140000}"/>
    <cellStyle name="Comma 4 75 2 4" xfId="19463" xr:uid="{00000000-0005-0000-0000-000093140000}"/>
    <cellStyle name="Comma 4 75 2 5" xfId="38096" xr:uid="{00000000-0005-0000-0000-000094140000}"/>
    <cellStyle name="Comma 4 76" xfId="3825" xr:uid="{00000000-0005-0000-0000-000095140000}"/>
    <cellStyle name="Comma 4 77" xfId="3826" xr:uid="{00000000-0005-0000-0000-000096140000}"/>
    <cellStyle name="Comma 4 78" xfId="3827" xr:uid="{00000000-0005-0000-0000-000097140000}"/>
    <cellStyle name="Comma 4 79" xfId="3828" xr:uid="{00000000-0005-0000-0000-000098140000}"/>
    <cellStyle name="Comma 4 79 2" xfId="9915" xr:uid="{00000000-0005-0000-0000-000099140000}"/>
    <cellStyle name="Comma 4 79 2 2" xfId="33403" xr:uid="{00000000-0005-0000-0000-00009A140000}"/>
    <cellStyle name="Comma 4 79 2 3" xfId="24082" xr:uid="{00000000-0005-0000-0000-00009B140000}"/>
    <cellStyle name="Comma 4 79 2 4" xfId="47344" xr:uid="{00000000-0005-0000-0000-00009C140000}"/>
    <cellStyle name="Comma 4 79 3" xfId="14652" xr:uid="{00000000-0005-0000-0000-00009D140000}"/>
    <cellStyle name="Comma 4 79 3 2" xfId="28784" xr:uid="{00000000-0005-0000-0000-00009E140000}"/>
    <cellStyle name="Comma 4 79 3 3" xfId="42674" xr:uid="{00000000-0005-0000-0000-00009F140000}"/>
    <cellStyle name="Comma 4 79 4" xfId="19464" xr:uid="{00000000-0005-0000-0000-0000A0140000}"/>
    <cellStyle name="Comma 4 79 5" xfId="38097" xr:uid="{00000000-0005-0000-0000-0000A1140000}"/>
    <cellStyle name="Comma 4 8" xfId="3829" xr:uid="{00000000-0005-0000-0000-0000A2140000}"/>
    <cellStyle name="Comma 4 8 2" xfId="3830" xr:uid="{00000000-0005-0000-0000-0000A3140000}"/>
    <cellStyle name="Comma 4 8 2 2" xfId="3831" xr:uid="{00000000-0005-0000-0000-0000A4140000}"/>
    <cellStyle name="Comma 4 8 2 2 2" xfId="9916" xr:uid="{00000000-0005-0000-0000-0000A5140000}"/>
    <cellStyle name="Comma 4 8 2 2 2 2" xfId="33404" xr:uid="{00000000-0005-0000-0000-0000A6140000}"/>
    <cellStyle name="Comma 4 8 2 2 2 3" xfId="24083" xr:uid="{00000000-0005-0000-0000-0000A7140000}"/>
    <cellStyle name="Comma 4 8 2 2 2 4" xfId="47345" xr:uid="{00000000-0005-0000-0000-0000A8140000}"/>
    <cellStyle name="Comma 4 8 2 2 3" xfId="14653" xr:uid="{00000000-0005-0000-0000-0000A9140000}"/>
    <cellStyle name="Comma 4 8 2 2 3 2" xfId="28785" xr:uid="{00000000-0005-0000-0000-0000AA140000}"/>
    <cellStyle name="Comma 4 8 2 2 3 3" xfId="42675" xr:uid="{00000000-0005-0000-0000-0000AB140000}"/>
    <cellStyle name="Comma 4 8 2 2 4" xfId="19465" xr:uid="{00000000-0005-0000-0000-0000AC140000}"/>
    <cellStyle name="Comma 4 8 2 2 5" xfId="38098" xr:uid="{00000000-0005-0000-0000-0000AD140000}"/>
    <cellStyle name="Comma 4 8 3" xfId="3832" xr:uid="{00000000-0005-0000-0000-0000AE140000}"/>
    <cellStyle name="Comma 4 8 3 2" xfId="3833" xr:uid="{00000000-0005-0000-0000-0000AF140000}"/>
    <cellStyle name="Comma 4 8 3 2 2" xfId="9917" xr:uid="{00000000-0005-0000-0000-0000B0140000}"/>
    <cellStyle name="Comma 4 8 3 2 2 2" xfId="33405" xr:uid="{00000000-0005-0000-0000-0000B1140000}"/>
    <cellStyle name="Comma 4 8 3 2 2 3" xfId="24084" xr:uid="{00000000-0005-0000-0000-0000B2140000}"/>
    <cellStyle name="Comma 4 8 3 2 2 4" xfId="47346" xr:uid="{00000000-0005-0000-0000-0000B3140000}"/>
    <cellStyle name="Comma 4 8 3 2 3" xfId="14654" xr:uid="{00000000-0005-0000-0000-0000B4140000}"/>
    <cellStyle name="Comma 4 8 3 2 3 2" xfId="28786" xr:uid="{00000000-0005-0000-0000-0000B5140000}"/>
    <cellStyle name="Comma 4 8 3 2 3 3" xfId="42676" xr:uid="{00000000-0005-0000-0000-0000B6140000}"/>
    <cellStyle name="Comma 4 8 3 2 4" xfId="19466" xr:uid="{00000000-0005-0000-0000-0000B7140000}"/>
    <cellStyle name="Comma 4 8 3 2 5" xfId="38099" xr:uid="{00000000-0005-0000-0000-0000B8140000}"/>
    <cellStyle name="Comma 4 8 4" xfId="3834" xr:uid="{00000000-0005-0000-0000-0000B9140000}"/>
    <cellStyle name="Comma 4 8 4 2" xfId="3835" xr:uid="{00000000-0005-0000-0000-0000BA140000}"/>
    <cellStyle name="Comma 4 8 4 2 2" xfId="9918" xr:uid="{00000000-0005-0000-0000-0000BB140000}"/>
    <cellStyle name="Comma 4 8 4 2 2 2" xfId="33406" xr:uid="{00000000-0005-0000-0000-0000BC140000}"/>
    <cellStyle name="Comma 4 8 4 2 2 3" xfId="24085" xr:uid="{00000000-0005-0000-0000-0000BD140000}"/>
    <cellStyle name="Comma 4 8 4 2 2 4" xfId="47347" xr:uid="{00000000-0005-0000-0000-0000BE140000}"/>
    <cellStyle name="Comma 4 8 4 2 3" xfId="14655" xr:uid="{00000000-0005-0000-0000-0000BF140000}"/>
    <cellStyle name="Comma 4 8 4 2 3 2" xfId="28787" xr:uid="{00000000-0005-0000-0000-0000C0140000}"/>
    <cellStyle name="Comma 4 8 4 2 3 3" xfId="42677" xr:uid="{00000000-0005-0000-0000-0000C1140000}"/>
    <cellStyle name="Comma 4 8 4 2 4" xfId="19467" xr:uid="{00000000-0005-0000-0000-0000C2140000}"/>
    <cellStyle name="Comma 4 8 4 2 5" xfId="38100" xr:uid="{00000000-0005-0000-0000-0000C3140000}"/>
    <cellStyle name="Comma 4 8 5" xfId="3836" xr:uid="{00000000-0005-0000-0000-0000C4140000}"/>
    <cellStyle name="Comma 4 8 5 2" xfId="3837" xr:uid="{00000000-0005-0000-0000-0000C5140000}"/>
    <cellStyle name="Comma 4 8 5 2 2" xfId="9919" xr:uid="{00000000-0005-0000-0000-0000C6140000}"/>
    <cellStyle name="Comma 4 8 5 2 2 2" xfId="33407" xr:uid="{00000000-0005-0000-0000-0000C7140000}"/>
    <cellStyle name="Comma 4 8 5 2 2 3" xfId="24086" xr:uid="{00000000-0005-0000-0000-0000C8140000}"/>
    <cellStyle name="Comma 4 8 5 2 2 4" xfId="47348" xr:uid="{00000000-0005-0000-0000-0000C9140000}"/>
    <cellStyle name="Comma 4 8 5 2 3" xfId="14656" xr:uid="{00000000-0005-0000-0000-0000CA140000}"/>
    <cellStyle name="Comma 4 8 5 2 3 2" xfId="28788" xr:uid="{00000000-0005-0000-0000-0000CB140000}"/>
    <cellStyle name="Comma 4 8 5 2 3 3" xfId="42678" xr:uid="{00000000-0005-0000-0000-0000CC140000}"/>
    <cellStyle name="Comma 4 8 5 2 4" xfId="19468" xr:uid="{00000000-0005-0000-0000-0000CD140000}"/>
    <cellStyle name="Comma 4 8 5 2 5" xfId="38101" xr:uid="{00000000-0005-0000-0000-0000CE140000}"/>
    <cellStyle name="Comma 4 8 6" xfId="3838" xr:uid="{00000000-0005-0000-0000-0000CF140000}"/>
    <cellStyle name="Comma 4 8 6 2" xfId="3839" xr:uid="{00000000-0005-0000-0000-0000D0140000}"/>
    <cellStyle name="Comma 4 8 6 2 2" xfId="9920" xr:uid="{00000000-0005-0000-0000-0000D1140000}"/>
    <cellStyle name="Comma 4 8 6 2 2 2" xfId="33408" xr:uid="{00000000-0005-0000-0000-0000D2140000}"/>
    <cellStyle name="Comma 4 8 6 2 2 3" xfId="24087" xr:uid="{00000000-0005-0000-0000-0000D3140000}"/>
    <cellStyle name="Comma 4 8 6 2 2 4" xfId="47349" xr:uid="{00000000-0005-0000-0000-0000D4140000}"/>
    <cellStyle name="Comma 4 8 6 2 3" xfId="14657" xr:uid="{00000000-0005-0000-0000-0000D5140000}"/>
    <cellStyle name="Comma 4 8 6 2 3 2" xfId="28789" xr:uid="{00000000-0005-0000-0000-0000D6140000}"/>
    <cellStyle name="Comma 4 8 6 2 3 3" xfId="42679" xr:uid="{00000000-0005-0000-0000-0000D7140000}"/>
    <cellStyle name="Comma 4 8 6 2 4" xfId="19469" xr:uid="{00000000-0005-0000-0000-0000D8140000}"/>
    <cellStyle name="Comma 4 8 6 2 5" xfId="38102" xr:uid="{00000000-0005-0000-0000-0000D9140000}"/>
    <cellStyle name="Comma 4 8 7" xfId="3840" xr:uid="{00000000-0005-0000-0000-0000DA140000}"/>
    <cellStyle name="Comma 4 8 7 2" xfId="9921" xr:uid="{00000000-0005-0000-0000-0000DB140000}"/>
    <cellStyle name="Comma 4 8 7 2 2" xfId="33409" xr:uid="{00000000-0005-0000-0000-0000DC140000}"/>
    <cellStyle name="Comma 4 8 7 2 3" xfId="24088" xr:uid="{00000000-0005-0000-0000-0000DD140000}"/>
    <cellStyle name="Comma 4 8 7 2 4" xfId="47350" xr:uid="{00000000-0005-0000-0000-0000DE140000}"/>
    <cellStyle name="Comma 4 8 7 3" xfId="14658" xr:uid="{00000000-0005-0000-0000-0000DF140000}"/>
    <cellStyle name="Comma 4 8 7 3 2" xfId="28790" xr:uid="{00000000-0005-0000-0000-0000E0140000}"/>
    <cellStyle name="Comma 4 8 7 3 3" xfId="42680" xr:uid="{00000000-0005-0000-0000-0000E1140000}"/>
    <cellStyle name="Comma 4 8 7 4" xfId="19470" xr:uid="{00000000-0005-0000-0000-0000E2140000}"/>
    <cellStyle name="Comma 4 8 7 5" xfId="38103" xr:uid="{00000000-0005-0000-0000-0000E3140000}"/>
    <cellStyle name="Comma 4 80" xfId="375" xr:uid="{00000000-0005-0000-0000-0000E4140000}"/>
    <cellStyle name="Comma 4 80 2" xfId="9662" xr:uid="{00000000-0005-0000-0000-0000E5140000}"/>
    <cellStyle name="Comma 4 80 2 2" xfId="33153" xr:uid="{00000000-0005-0000-0000-0000E6140000}"/>
    <cellStyle name="Comma 4 80 2 3" xfId="23839" xr:uid="{00000000-0005-0000-0000-0000E7140000}"/>
    <cellStyle name="Comma 4 80 2 4" xfId="47096" xr:uid="{00000000-0005-0000-0000-0000E8140000}"/>
    <cellStyle name="Comma 4 80 3" xfId="14423" xr:uid="{00000000-0005-0000-0000-0000E9140000}"/>
    <cellStyle name="Comma 4 80 3 2" xfId="28554" xr:uid="{00000000-0005-0000-0000-0000EA140000}"/>
    <cellStyle name="Comma 4 80 3 3" xfId="42434" xr:uid="{00000000-0005-0000-0000-0000EB140000}"/>
    <cellStyle name="Comma 4 80 4" xfId="19235" xr:uid="{00000000-0005-0000-0000-0000EC140000}"/>
    <cellStyle name="Comma 4 80 5" xfId="37870" xr:uid="{00000000-0005-0000-0000-0000ED140000}"/>
    <cellStyle name="Comma 4 81" xfId="9469" xr:uid="{00000000-0005-0000-0000-0000EE140000}"/>
    <cellStyle name="Comma 4 81 2" xfId="14140" xr:uid="{00000000-0005-0000-0000-0000EF140000}"/>
    <cellStyle name="Comma 4 81 2 2" xfId="37618" xr:uid="{00000000-0005-0000-0000-0000F0140000}"/>
    <cellStyle name="Comma 4 81 2 3" xfId="28304" xr:uid="{00000000-0005-0000-0000-0000F1140000}"/>
    <cellStyle name="Comma 4 81 2 4" xfId="51567" xr:uid="{00000000-0005-0000-0000-0000F2140000}"/>
    <cellStyle name="Comma 4 81 3" xfId="18852" xr:uid="{00000000-0005-0000-0000-0000F3140000}"/>
    <cellStyle name="Comma 4 81 3 2" xfId="32984" xr:uid="{00000000-0005-0000-0000-0000F4140000}"/>
    <cellStyle name="Comma 4 81 3 3" xfId="46888" xr:uid="{00000000-0005-0000-0000-0000F5140000}"/>
    <cellStyle name="Comma 4 81 4" xfId="23670" xr:uid="{00000000-0005-0000-0000-0000F6140000}"/>
    <cellStyle name="Comma 4 81 5" xfId="42257" xr:uid="{00000000-0005-0000-0000-0000F7140000}"/>
    <cellStyle name="Comma 4 82" xfId="9512" xr:uid="{00000000-0005-0000-0000-0000F8140000}"/>
    <cellStyle name="Comma 4 82 2" xfId="14179" xr:uid="{00000000-0005-0000-0000-0000F9140000}"/>
    <cellStyle name="Comma 4 82 2 2" xfId="37654" xr:uid="{00000000-0005-0000-0000-0000FA140000}"/>
    <cellStyle name="Comma 4 82 2 3" xfId="28339" xr:uid="{00000000-0005-0000-0000-0000FB140000}"/>
    <cellStyle name="Comma 4 82 2 4" xfId="51605" xr:uid="{00000000-0005-0000-0000-0000FC140000}"/>
    <cellStyle name="Comma 4 82 3" xfId="18886" xr:uid="{00000000-0005-0000-0000-0000FD140000}"/>
    <cellStyle name="Comma 4 82 3 2" xfId="33020" xr:uid="{00000000-0005-0000-0000-0000FE140000}"/>
    <cellStyle name="Comma 4 82 3 3" xfId="46926" xr:uid="{00000000-0005-0000-0000-0000FF140000}"/>
    <cellStyle name="Comma 4 82 4" xfId="23706" xr:uid="{00000000-0005-0000-0000-000000150000}"/>
    <cellStyle name="Comma 4 82 5" xfId="42292" xr:uid="{00000000-0005-0000-0000-000001150000}"/>
    <cellStyle name="Comma 4 83" xfId="9636" xr:uid="{00000000-0005-0000-0000-000002150000}"/>
    <cellStyle name="Comma 4 83 2" xfId="33128" xr:uid="{00000000-0005-0000-0000-000003150000}"/>
    <cellStyle name="Comma 4 83 3" xfId="23816" xr:uid="{00000000-0005-0000-0000-000004150000}"/>
    <cellStyle name="Comma 4 83 4" xfId="47070" xr:uid="{00000000-0005-0000-0000-000005150000}"/>
    <cellStyle name="Comma 4 84" xfId="14399" xr:uid="{00000000-0005-0000-0000-000006150000}"/>
    <cellStyle name="Comma 4 84 2" xfId="28531" xr:uid="{00000000-0005-0000-0000-000007150000}"/>
    <cellStyle name="Comma 4 84 3" xfId="42407" xr:uid="{00000000-0005-0000-0000-000008150000}"/>
    <cellStyle name="Comma 4 85" xfId="19212" xr:uid="{00000000-0005-0000-0000-000009150000}"/>
    <cellStyle name="Comma 4 86" xfId="37847" xr:uid="{00000000-0005-0000-0000-00000A150000}"/>
    <cellStyle name="Comma 4 9" xfId="3841" xr:uid="{00000000-0005-0000-0000-00000B150000}"/>
    <cellStyle name="Comma 4 9 2" xfId="3842" xr:uid="{00000000-0005-0000-0000-00000C150000}"/>
    <cellStyle name="Comma 4 9 2 2" xfId="3843" xr:uid="{00000000-0005-0000-0000-00000D150000}"/>
    <cellStyle name="Comma 4 9 2 2 2" xfId="9922" xr:uid="{00000000-0005-0000-0000-00000E150000}"/>
    <cellStyle name="Comma 4 9 2 2 2 2" xfId="33410" xr:uid="{00000000-0005-0000-0000-00000F150000}"/>
    <cellStyle name="Comma 4 9 2 2 2 3" xfId="24089" xr:uid="{00000000-0005-0000-0000-000010150000}"/>
    <cellStyle name="Comma 4 9 2 2 2 4" xfId="47351" xr:uid="{00000000-0005-0000-0000-000011150000}"/>
    <cellStyle name="Comma 4 9 2 2 3" xfId="14659" xr:uid="{00000000-0005-0000-0000-000012150000}"/>
    <cellStyle name="Comma 4 9 2 2 3 2" xfId="28791" xr:uid="{00000000-0005-0000-0000-000013150000}"/>
    <cellStyle name="Comma 4 9 2 2 3 3" xfId="42681" xr:uid="{00000000-0005-0000-0000-000014150000}"/>
    <cellStyle name="Comma 4 9 2 2 4" xfId="19471" xr:uid="{00000000-0005-0000-0000-000015150000}"/>
    <cellStyle name="Comma 4 9 2 2 5" xfId="38104" xr:uid="{00000000-0005-0000-0000-000016150000}"/>
    <cellStyle name="Comma 4 9 3" xfId="3844" xr:uid="{00000000-0005-0000-0000-000017150000}"/>
    <cellStyle name="Comma 4 9 3 2" xfId="3845" xr:uid="{00000000-0005-0000-0000-000018150000}"/>
    <cellStyle name="Comma 4 9 3 2 2" xfId="9923" xr:uid="{00000000-0005-0000-0000-000019150000}"/>
    <cellStyle name="Comma 4 9 3 2 2 2" xfId="33411" xr:uid="{00000000-0005-0000-0000-00001A150000}"/>
    <cellStyle name="Comma 4 9 3 2 2 3" xfId="24090" xr:uid="{00000000-0005-0000-0000-00001B150000}"/>
    <cellStyle name="Comma 4 9 3 2 2 4" xfId="47352" xr:uid="{00000000-0005-0000-0000-00001C150000}"/>
    <cellStyle name="Comma 4 9 3 2 3" xfId="14660" xr:uid="{00000000-0005-0000-0000-00001D150000}"/>
    <cellStyle name="Comma 4 9 3 2 3 2" xfId="28792" xr:uid="{00000000-0005-0000-0000-00001E150000}"/>
    <cellStyle name="Comma 4 9 3 2 3 3" xfId="42682" xr:uid="{00000000-0005-0000-0000-00001F150000}"/>
    <cellStyle name="Comma 4 9 3 2 4" xfId="19472" xr:uid="{00000000-0005-0000-0000-000020150000}"/>
    <cellStyle name="Comma 4 9 3 2 5" xfId="38105" xr:uid="{00000000-0005-0000-0000-000021150000}"/>
    <cellStyle name="Comma 4 9 4" xfId="3846" xr:uid="{00000000-0005-0000-0000-000022150000}"/>
    <cellStyle name="Comma 4 9 4 2" xfId="3847" xr:uid="{00000000-0005-0000-0000-000023150000}"/>
    <cellStyle name="Comma 4 9 4 2 2" xfId="9924" xr:uid="{00000000-0005-0000-0000-000024150000}"/>
    <cellStyle name="Comma 4 9 4 2 2 2" xfId="33412" xr:uid="{00000000-0005-0000-0000-000025150000}"/>
    <cellStyle name="Comma 4 9 4 2 2 3" xfId="24091" xr:uid="{00000000-0005-0000-0000-000026150000}"/>
    <cellStyle name="Comma 4 9 4 2 2 4" xfId="47353" xr:uid="{00000000-0005-0000-0000-000027150000}"/>
    <cellStyle name="Comma 4 9 4 2 3" xfId="14661" xr:uid="{00000000-0005-0000-0000-000028150000}"/>
    <cellStyle name="Comma 4 9 4 2 3 2" xfId="28793" xr:uid="{00000000-0005-0000-0000-000029150000}"/>
    <cellStyle name="Comma 4 9 4 2 3 3" xfId="42683" xr:uid="{00000000-0005-0000-0000-00002A150000}"/>
    <cellStyle name="Comma 4 9 4 2 4" xfId="19473" xr:uid="{00000000-0005-0000-0000-00002B150000}"/>
    <cellStyle name="Comma 4 9 4 2 5" xfId="38106" xr:uid="{00000000-0005-0000-0000-00002C150000}"/>
    <cellStyle name="Comma 4 9 5" xfId="3848" xr:uid="{00000000-0005-0000-0000-00002D150000}"/>
    <cellStyle name="Comma 4 9 5 2" xfId="3849" xr:uid="{00000000-0005-0000-0000-00002E150000}"/>
    <cellStyle name="Comma 4 9 5 2 2" xfId="9925" xr:uid="{00000000-0005-0000-0000-00002F150000}"/>
    <cellStyle name="Comma 4 9 5 2 2 2" xfId="33413" xr:uid="{00000000-0005-0000-0000-000030150000}"/>
    <cellStyle name="Comma 4 9 5 2 2 3" xfId="24092" xr:uid="{00000000-0005-0000-0000-000031150000}"/>
    <cellStyle name="Comma 4 9 5 2 2 4" xfId="47354" xr:uid="{00000000-0005-0000-0000-000032150000}"/>
    <cellStyle name="Comma 4 9 5 2 3" xfId="14662" xr:uid="{00000000-0005-0000-0000-000033150000}"/>
    <cellStyle name="Comma 4 9 5 2 3 2" xfId="28794" xr:uid="{00000000-0005-0000-0000-000034150000}"/>
    <cellStyle name="Comma 4 9 5 2 3 3" xfId="42684" xr:uid="{00000000-0005-0000-0000-000035150000}"/>
    <cellStyle name="Comma 4 9 5 2 4" xfId="19474" xr:uid="{00000000-0005-0000-0000-000036150000}"/>
    <cellStyle name="Comma 4 9 5 2 5" xfId="38107" xr:uid="{00000000-0005-0000-0000-000037150000}"/>
    <cellStyle name="Comma 4 9 6" xfId="3850" xr:uid="{00000000-0005-0000-0000-000038150000}"/>
    <cellStyle name="Comma 4 9 6 2" xfId="3851" xr:uid="{00000000-0005-0000-0000-000039150000}"/>
    <cellStyle name="Comma 4 9 6 2 2" xfId="9926" xr:uid="{00000000-0005-0000-0000-00003A150000}"/>
    <cellStyle name="Comma 4 9 6 2 2 2" xfId="33414" xr:uid="{00000000-0005-0000-0000-00003B150000}"/>
    <cellStyle name="Comma 4 9 6 2 2 3" xfId="24093" xr:uid="{00000000-0005-0000-0000-00003C150000}"/>
    <cellStyle name="Comma 4 9 6 2 2 4" xfId="47355" xr:uid="{00000000-0005-0000-0000-00003D150000}"/>
    <cellStyle name="Comma 4 9 6 2 3" xfId="14663" xr:uid="{00000000-0005-0000-0000-00003E150000}"/>
    <cellStyle name="Comma 4 9 6 2 3 2" xfId="28795" xr:uid="{00000000-0005-0000-0000-00003F150000}"/>
    <cellStyle name="Comma 4 9 6 2 3 3" xfId="42685" xr:uid="{00000000-0005-0000-0000-000040150000}"/>
    <cellStyle name="Comma 4 9 6 2 4" xfId="19475" xr:uid="{00000000-0005-0000-0000-000041150000}"/>
    <cellStyle name="Comma 4 9 6 2 5" xfId="38108" xr:uid="{00000000-0005-0000-0000-000042150000}"/>
    <cellStyle name="Comma 4 9 7" xfId="3852" xr:uid="{00000000-0005-0000-0000-000043150000}"/>
    <cellStyle name="Comma 4 9 7 2" xfId="9927" xr:uid="{00000000-0005-0000-0000-000044150000}"/>
    <cellStyle name="Comma 4 9 7 2 2" xfId="33415" xr:uid="{00000000-0005-0000-0000-000045150000}"/>
    <cellStyle name="Comma 4 9 7 2 3" xfId="24094" xr:uid="{00000000-0005-0000-0000-000046150000}"/>
    <cellStyle name="Comma 4 9 7 2 4" xfId="47356" xr:uid="{00000000-0005-0000-0000-000047150000}"/>
    <cellStyle name="Comma 4 9 7 3" xfId="14664" xr:uid="{00000000-0005-0000-0000-000048150000}"/>
    <cellStyle name="Comma 4 9 7 3 2" xfId="28796" xr:uid="{00000000-0005-0000-0000-000049150000}"/>
    <cellStyle name="Comma 4 9 7 3 3" xfId="42686" xr:uid="{00000000-0005-0000-0000-00004A150000}"/>
    <cellStyle name="Comma 4 9 7 4" xfId="19476" xr:uid="{00000000-0005-0000-0000-00004B150000}"/>
    <cellStyle name="Comma 4 9 7 5" xfId="38109" xr:uid="{00000000-0005-0000-0000-00004C150000}"/>
    <cellStyle name="Comma 5" xfId="3853" xr:uid="{00000000-0005-0000-0000-00004D150000}"/>
    <cellStyle name="Comma 6" xfId="3854" xr:uid="{00000000-0005-0000-0000-00004E150000}"/>
    <cellStyle name="Comma 7" xfId="3855" xr:uid="{00000000-0005-0000-0000-00004F150000}"/>
    <cellStyle name="Comma 8" xfId="3856" xr:uid="{00000000-0005-0000-0000-000050150000}"/>
    <cellStyle name="Comma 9" xfId="3857" xr:uid="{00000000-0005-0000-0000-000051150000}"/>
    <cellStyle name="comma zerodec" xfId="3858" xr:uid="{00000000-0005-0000-0000-000052150000}"/>
    <cellStyle name="comma zerodec 2" xfId="3859" xr:uid="{00000000-0005-0000-0000-000053150000}"/>
    <cellStyle name="Comma_ SG&amp;A Bridge " xfId="3860" xr:uid="{00000000-0005-0000-0000-000054150000}"/>
    <cellStyle name="Comma0" xfId="66" xr:uid="{00000000-0005-0000-0000-000055150000}"/>
    <cellStyle name="Comm뼬_E&amp;ONW2" xfId="3861" xr:uid="{00000000-0005-0000-0000-000056150000}"/>
    <cellStyle name="Copied" xfId="3862" xr:uid="{00000000-0005-0000-0000-000057150000}"/>
    <cellStyle name="Curren?_x0012_퐀_x0017_?" xfId="3863" xr:uid="{00000000-0005-0000-0000-000058150000}"/>
    <cellStyle name="Currency" xfId="67" xr:uid="{00000000-0005-0000-0000-000059150000}"/>
    <cellStyle name="Currency [0]" xfId="3864" xr:uid="{00000000-0005-0000-0000-00005A150000}"/>
    <cellStyle name="Currency [0] 2" xfId="3865" xr:uid="{00000000-0005-0000-0000-00005B150000}"/>
    <cellStyle name="Currency [0] 3" xfId="3866" xr:uid="{00000000-0005-0000-0000-00005C150000}"/>
    <cellStyle name="Currency [0] 4" xfId="3867" xr:uid="{00000000-0005-0000-0000-00005D150000}"/>
    <cellStyle name="Currency [0]_ SG&amp;A Bridge " xfId="3868" xr:uid="{00000000-0005-0000-0000-00005E150000}"/>
    <cellStyle name="Currency 10" xfId="3869" xr:uid="{00000000-0005-0000-0000-00005F150000}"/>
    <cellStyle name="Currency 11" xfId="3870" xr:uid="{00000000-0005-0000-0000-000060150000}"/>
    <cellStyle name="Currency 12" xfId="3871" xr:uid="{00000000-0005-0000-0000-000061150000}"/>
    <cellStyle name="Currency 13" xfId="3872" xr:uid="{00000000-0005-0000-0000-000062150000}"/>
    <cellStyle name="Currency 14" xfId="3873" xr:uid="{00000000-0005-0000-0000-000063150000}"/>
    <cellStyle name="Currency 15" xfId="3874" xr:uid="{00000000-0005-0000-0000-000064150000}"/>
    <cellStyle name="Currency 16" xfId="3875" xr:uid="{00000000-0005-0000-0000-000065150000}"/>
    <cellStyle name="Currency 17" xfId="3876" xr:uid="{00000000-0005-0000-0000-000066150000}"/>
    <cellStyle name="Currency 18" xfId="3877" xr:uid="{00000000-0005-0000-0000-000067150000}"/>
    <cellStyle name="Currency 19" xfId="3878" xr:uid="{00000000-0005-0000-0000-000068150000}"/>
    <cellStyle name="Currency 2" xfId="3879" xr:uid="{00000000-0005-0000-0000-000069150000}"/>
    <cellStyle name="Currency 20" xfId="3880" xr:uid="{00000000-0005-0000-0000-00006A150000}"/>
    <cellStyle name="Currency 21" xfId="3881" xr:uid="{00000000-0005-0000-0000-00006B150000}"/>
    <cellStyle name="Currency 22" xfId="3882" xr:uid="{00000000-0005-0000-0000-00006C150000}"/>
    <cellStyle name="Currency 23" xfId="3883" xr:uid="{00000000-0005-0000-0000-00006D150000}"/>
    <cellStyle name="Currency 24" xfId="3884" xr:uid="{00000000-0005-0000-0000-00006E150000}"/>
    <cellStyle name="Currency 25" xfId="3885" xr:uid="{00000000-0005-0000-0000-00006F150000}"/>
    <cellStyle name="Currency 26" xfId="3886" xr:uid="{00000000-0005-0000-0000-000070150000}"/>
    <cellStyle name="Currency 27" xfId="3887" xr:uid="{00000000-0005-0000-0000-000071150000}"/>
    <cellStyle name="Currency 28" xfId="9454" xr:uid="{00000000-0005-0000-0000-000072150000}"/>
    <cellStyle name="Currency 28 2" xfId="14126" xr:uid="{00000000-0005-0000-0000-000073150000}"/>
    <cellStyle name="Currency 28 2 2" xfId="37605" xr:uid="{00000000-0005-0000-0000-000074150000}"/>
    <cellStyle name="Currency 28 2 3" xfId="28291" xr:uid="{00000000-0005-0000-0000-000075150000}"/>
    <cellStyle name="Currency 28 2 4" xfId="51554" xr:uid="{00000000-0005-0000-0000-000076150000}"/>
    <cellStyle name="Currency 28 3" xfId="18839" xr:uid="{00000000-0005-0000-0000-000077150000}"/>
    <cellStyle name="Currency 28 3 2" xfId="32971" xr:uid="{00000000-0005-0000-0000-000078150000}"/>
    <cellStyle name="Currency 28 3 3" xfId="46875" xr:uid="{00000000-0005-0000-0000-000079150000}"/>
    <cellStyle name="Currency 28 4" xfId="23657" xr:uid="{00000000-0005-0000-0000-00007A150000}"/>
    <cellStyle name="Currency 28 5" xfId="42244" xr:uid="{00000000-0005-0000-0000-00007B150000}"/>
    <cellStyle name="Currency 3" xfId="3888" xr:uid="{00000000-0005-0000-0000-00007C150000}"/>
    <cellStyle name="Currency 4" xfId="3889" xr:uid="{00000000-0005-0000-0000-00007D150000}"/>
    <cellStyle name="Currency 5" xfId="3890" xr:uid="{00000000-0005-0000-0000-00007E150000}"/>
    <cellStyle name="Currency 6" xfId="3891" xr:uid="{00000000-0005-0000-0000-00007F150000}"/>
    <cellStyle name="Currency 7" xfId="3892" xr:uid="{00000000-0005-0000-0000-000080150000}"/>
    <cellStyle name="Currency 8" xfId="3893" xr:uid="{00000000-0005-0000-0000-000081150000}"/>
    <cellStyle name="Currency 9" xfId="3894" xr:uid="{00000000-0005-0000-0000-000082150000}"/>
    <cellStyle name="Currency_ SG&amp;A Bridge " xfId="3895" xr:uid="{00000000-0005-0000-0000-000083150000}"/>
    <cellStyle name="Currency0" xfId="68" xr:uid="{00000000-0005-0000-0000-000084150000}"/>
    <cellStyle name="Currency0 2" xfId="3896" xr:uid="{00000000-0005-0000-0000-000085150000}"/>
    <cellStyle name="Currency0 2 2" xfId="3897" xr:uid="{00000000-0005-0000-0000-000086150000}"/>
    <cellStyle name="Currency1" xfId="3898" xr:uid="{00000000-0005-0000-0000-000087150000}"/>
    <cellStyle name="Currency1 2" xfId="3899" xr:uid="{00000000-0005-0000-0000-000088150000}"/>
    <cellStyle name="CurreX硹Ā₀_x0010_" xfId="3900" xr:uid="{00000000-0005-0000-0000-000089150000}"/>
    <cellStyle name="custom" xfId="3901" xr:uid="{00000000-0005-0000-0000-00008A150000}"/>
    <cellStyle name="Custom - 유형8" xfId="3902" xr:uid="{00000000-0005-0000-0000-00008B150000}"/>
    <cellStyle name="D_x0018_" xfId="3903" xr:uid="{00000000-0005-0000-0000-00008C150000}"/>
    <cellStyle name="Data" xfId="69" xr:uid="{00000000-0005-0000-0000-00008D150000}"/>
    <cellStyle name="Data   - 유형2" xfId="3905" xr:uid="{00000000-0005-0000-0000-00008E150000}"/>
    <cellStyle name="Data   - 유형2 2" xfId="9928" xr:uid="{00000000-0005-0000-0000-00008F150000}"/>
    <cellStyle name="Data   - 유형2 2 2" xfId="18950" xr:uid="{00000000-0005-0000-0000-000090150000}"/>
    <cellStyle name="Data   - 유형2 2 2 2" xfId="33416" xr:uid="{00000000-0005-0000-0000-000091150000}"/>
    <cellStyle name="Data   - 유형2 2 3" xfId="47357" xr:uid="{00000000-0005-0000-0000-000092150000}"/>
    <cellStyle name="Data   - 유형2 3" xfId="9714" xr:uid="{00000000-0005-0000-0000-000093150000}"/>
    <cellStyle name="Data   - 유형2 3 2" xfId="18951" xr:uid="{00000000-0005-0000-0000-000094150000}"/>
    <cellStyle name="Data   - 유형2 3 2 2" xfId="33203" xr:uid="{00000000-0005-0000-0000-000095150000}"/>
    <cellStyle name="Data   - 유형2 3 3" xfId="23889" xr:uid="{00000000-0005-0000-0000-000096150000}"/>
    <cellStyle name="Data   - 유형2 3 4" xfId="47143" xr:uid="{00000000-0005-0000-0000-000097150000}"/>
    <cellStyle name="Data   - 유형2 4" xfId="42687" xr:uid="{00000000-0005-0000-0000-000098150000}"/>
    <cellStyle name="Data 2" xfId="3904" xr:uid="{00000000-0005-0000-0000-000099150000}"/>
    <cellStyle name="Date" xfId="70" xr:uid="{00000000-0005-0000-0000-00009A150000}"/>
    <cellStyle name="Date 2" xfId="3907" xr:uid="{00000000-0005-0000-0000-00009B150000}"/>
    <cellStyle name="Date 3" xfId="3908" xr:uid="{00000000-0005-0000-0000-00009C150000}"/>
    <cellStyle name="Date 4" xfId="3909" xr:uid="{00000000-0005-0000-0000-00009D150000}"/>
    <cellStyle name="Date 5" xfId="3906" xr:uid="{00000000-0005-0000-0000-00009E150000}"/>
    <cellStyle name="Dezimal [0]_KHI_KAB1" xfId="3910" xr:uid="{00000000-0005-0000-0000-00009F150000}"/>
    <cellStyle name="Dezimal_EKG_Burried_2004-12-13" xfId="3911" xr:uid="{00000000-0005-0000-0000-0000A0150000}"/>
    <cellStyle name="Dollar (zero dec)" xfId="3912" xr:uid="{00000000-0005-0000-0000-0000A1150000}"/>
    <cellStyle name="Dollar (zero dec) 2" xfId="3913" xr:uid="{00000000-0005-0000-0000-0000A2150000}"/>
    <cellStyle name="ency [0]_Cash&amp;DSO Chart" xfId="3914" xr:uid="{00000000-0005-0000-0000-0000A3150000}"/>
    <cellStyle name="Ênfase1 2" xfId="288" xr:uid="{00000000-0005-0000-0000-0000A4150000}"/>
    <cellStyle name="Ênfase1 2 2" xfId="376" xr:uid="{00000000-0005-0000-0000-0000A5150000}"/>
    <cellStyle name="Ênfase2 2" xfId="289" xr:uid="{00000000-0005-0000-0000-0000A6150000}"/>
    <cellStyle name="Ênfase2 2 2" xfId="377" xr:uid="{00000000-0005-0000-0000-0000A7150000}"/>
    <cellStyle name="Ênfase3 2" xfId="290" xr:uid="{00000000-0005-0000-0000-0000A8150000}"/>
    <cellStyle name="Ênfase3 2 2" xfId="378" xr:uid="{00000000-0005-0000-0000-0000A9150000}"/>
    <cellStyle name="Ênfase4 2" xfId="291" xr:uid="{00000000-0005-0000-0000-0000AA150000}"/>
    <cellStyle name="Ênfase4 2 2" xfId="379" xr:uid="{00000000-0005-0000-0000-0000AB150000}"/>
    <cellStyle name="Ênfase5 2" xfId="292" xr:uid="{00000000-0005-0000-0000-0000AC150000}"/>
    <cellStyle name="Ênfase5 2 2" xfId="380" xr:uid="{00000000-0005-0000-0000-0000AD150000}"/>
    <cellStyle name="Ênfase6 2" xfId="293" xr:uid="{00000000-0005-0000-0000-0000AE150000}"/>
    <cellStyle name="Ênfase6 2 2" xfId="381" xr:uid="{00000000-0005-0000-0000-0000AF150000}"/>
    <cellStyle name="Entered" xfId="3915" xr:uid="{00000000-0005-0000-0000-0000B0150000}"/>
    <cellStyle name="Entrada 2" xfId="6" xr:uid="{00000000-0005-0000-0000-0000B1150000}"/>
    <cellStyle name="Entrada 2 2" xfId="382" xr:uid="{00000000-0005-0000-0000-0000B2150000}"/>
    <cellStyle name="Entrada 2 2 2" xfId="9663" xr:uid="{00000000-0005-0000-0000-0000B3150000}"/>
    <cellStyle name="Entrada 2 2 2 2" xfId="18952" xr:uid="{00000000-0005-0000-0000-0000B4150000}"/>
    <cellStyle name="Entrada 2 2 2 2 2" xfId="33154" xr:uid="{00000000-0005-0000-0000-0000B5150000}"/>
    <cellStyle name="Entrada 2 2 2 3" xfId="47097" xr:uid="{00000000-0005-0000-0000-0000B6150000}"/>
    <cellStyle name="Entrada 2 2 3" xfId="14074" xr:uid="{00000000-0005-0000-0000-0000B7150000}"/>
    <cellStyle name="Entrada 2 2 3 2" xfId="18953" xr:uid="{00000000-0005-0000-0000-0000B8150000}"/>
    <cellStyle name="Entrada 2 2 3 2 2" xfId="37558" xr:uid="{00000000-0005-0000-0000-0000B9150000}"/>
    <cellStyle name="Entrada 2 2 3 3" xfId="28239" xr:uid="{00000000-0005-0000-0000-0000BA150000}"/>
    <cellStyle name="Entrada 2 2 3 4" xfId="51504" xr:uid="{00000000-0005-0000-0000-0000BB150000}"/>
    <cellStyle name="Entrada 2 2 4" xfId="14424" xr:uid="{00000000-0005-0000-0000-0000BC150000}"/>
    <cellStyle name="Entrada 2 2 4 2" xfId="18954" xr:uid="{00000000-0005-0000-0000-0000BD150000}"/>
    <cellStyle name="Entrada 2 2 4 3" xfId="28555" xr:uid="{00000000-0005-0000-0000-0000BE150000}"/>
    <cellStyle name="Entrada 2 2 4 4" xfId="42435" xr:uid="{00000000-0005-0000-0000-0000BF150000}"/>
    <cellStyle name="Entrada 2 3" xfId="9472" xr:uid="{00000000-0005-0000-0000-0000C0150000}"/>
    <cellStyle name="Entrada 2 3 2" xfId="14143" xr:uid="{00000000-0005-0000-0000-0000C1150000}"/>
    <cellStyle name="Entrada 2 3 2 2" xfId="37621" xr:uid="{00000000-0005-0000-0000-0000C2150000}"/>
    <cellStyle name="Entrada 2 3 2 3" xfId="28307" xr:uid="{00000000-0005-0000-0000-0000C3150000}"/>
    <cellStyle name="Entrada 2 3 2 4" xfId="51570" xr:uid="{00000000-0005-0000-0000-0000C4150000}"/>
    <cellStyle name="Entrada 2 3 3" xfId="14345" xr:uid="{00000000-0005-0000-0000-0000C5150000}"/>
    <cellStyle name="Entrada 2 3 3 2" xfId="18955" xr:uid="{00000000-0005-0000-0000-0000C6150000}"/>
    <cellStyle name="Entrada 2 3 3 2 2" xfId="37820" xr:uid="{00000000-0005-0000-0000-0000C7150000}"/>
    <cellStyle name="Entrada 2 3 3 3" xfId="28505" xr:uid="{00000000-0005-0000-0000-0000C8150000}"/>
    <cellStyle name="Entrada 2 3 3 4" xfId="51657" xr:uid="{00000000-0005-0000-0000-0000C9150000}"/>
    <cellStyle name="Entrada 2 3 4" xfId="18855" xr:uid="{00000000-0005-0000-0000-0000CA150000}"/>
    <cellStyle name="Entrada 2 3 4 2" xfId="18956" xr:uid="{00000000-0005-0000-0000-0000CB150000}"/>
    <cellStyle name="Entrada 2 3 4 3" xfId="32987" xr:uid="{00000000-0005-0000-0000-0000CC150000}"/>
    <cellStyle name="Entrada 2 3 5" xfId="18957" xr:uid="{00000000-0005-0000-0000-0000CD150000}"/>
    <cellStyle name="Entrada 2 3 6" xfId="23673" xr:uid="{00000000-0005-0000-0000-0000CE150000}"/>
    <cellStyle name="Entrada 2 3 7" xfId="42260" xr:uid="{00000000-0005-0000-0000-0000CF150000}"/>
    <cellStyle name="Entrada 2 4" xfId="9465" xr:uid="{00000000-0005-0000-0000-0000D0150000}"/>
    <cellStyle name="Entrada 2 4 2" xfId="14137" xr:uid="{00000000-0005-0000-0000-0000D1150000}"/>
    <cellStyle name="Entrada 2 4 2 2" xfId="37615" xr:uid="{00000000-0005-0000-0000-0000D2150000}"/>
    <cellStyle name="Entrada 2 4 2 3" xfId="28301" xr:uid="{00000000-0005-0000-0000-0000D3150000}"/>
    <cellStyle name="Entrada 2 4 2 4" xfId="51564" xr:uid="{00000000-0005-0000-0000-0000D4150000}"/>
    <cellStyle name="Entrada 2 4 3" xfId="14342" xr:uid="{00000000-0005-0000-0000-0000D5150000}"/>
    <cellStyle name="Entrada 2 4 3 2" xfId="18958" xr:uid="{00000000-0005-0000-0000-0000D6150000}"/>
    <cellStyle name="Entrada 2 4 3 2 2" xfId="37817" xr:uid="{00000000-0005-0000-0000-0000D7150000}"/>
    <cellStyle name="Entrada 2 4 3 3" xfId="28502" xr:uid="{00000000-0005-0000-0000-0000D8150000}"/>
    <cellStyle name="Entrada 2 4 3 4" xfId="51654" xr:uid="{00000000-0005-0000-0000-0000D9150000}"/>
    <cellStyle name="Entrada 2 4 4" xfId="18849" xr:uid="{00000000-0005-0000-0000-0000DA150000}"/>
    <cellStyle name="Entrada 2 4 4 2" xfId="18959" xr:uid="{00000000-0005-0000-0000-0000DB150000}"/>
    <cellStyle name="Entrada 2 4 4 3" xfId="32981" xr:uid="{00000000-0005-0000-0000-0000DC150000}"/>
    <cellStyle name="Entrada 2 4 5" xfId="18960" xr:uid="{00000000-0005-0000-0000-0000DD150000}"/>
    <cellStyle name="Entrada 2 4 6" xfId="23667" xr:uid="{00000000-0005-0000-0000-0000DE150000}"/>
    <cellStyle name="Entrada 2 4 7" xfId="42254" xr:uid="{00000000-0005-0000-0000-0000DF150000}"/>
    <cellStyle name="Entrada 2 5" xfId="9514" xr:uid="{00000000-0005-0000-0000-0000E0150000}"/>
    <cellStyle name="Entrada 2 5 2" xfId="14354" xr:uid="{00000000-0005-0000-0000-0000E1150000}"/>
    <cellStyle name="Entrada 2 5 2 2" xfId="18961" xr:uid="{00000000-0005-0000-0000-0000E2150000}"/>
    <cellStyle name="Entrada 2 5 2 2 2" xfId="37829" xr:uid="{00000000-0005-0000-0000-0000E3150000}"/>
    <cellStyle name="Entrada 2 5 2 3" xfId="28514" xr:uid="{00000000-0005-0000-0000-0000E4150000}"/>
    <cellStyle name="Entrada 2 5 2 4" xfId="51607" xr:uid="{00000000-0005-0000-0000-0000E5150000}"/>
    <cellStyle name="Entrada 2 5 3" xfId="18888" xr:uid="{00000000-0005-0000-0000-0000E6150000}"/>
    <cellStyle name="Entrada 2 5 3 2" xfId="18962" xr:uid="{00000000-0005-0000-0000-0000E7150000}"/>
    <cellStyle name="Entrada 2 5 3 3" xfId="51662" xr:uid="{00000000-0005-0000-0000-0000E8150000}"/>
    <cellStyle name="Entrada 2 5 4" xfId="23708" xr:uid="{00000000-0005-0000-0000-0000E9150000}"/>
    <cellStyle name="Entrada 2 6" xfId="9619" xr:uid="{00000000-0005-0000-0000-0000EA150000}"/>
    <cellStyle name="Entrada 2 6 2" xfId="18963" xr:uid="{00000000-0005-0000-0000-0000EB150000}"/>
    <cellStyle name="Entrada 2 6 2 2" xfId="33114" xr:uid="{00000000-0005-0000-0000-0000EC150000}"/>
    <cellStyle name="Entrada 2 6 3" xfId="47055" xr:uid="{00000000-0005-0000-0000-0000ED150000}"/>
    <cellStyle name="Entrada 2 7" xfId="14123" xr:uid="{00000000-0005-0000-0000-0000EE150000}"/>
    <cellStyle name="Entrada 2 7 2" xfId="18964" xr:uid="{00000000-0005-0000-0000-0000EF150000}"/>
    <cellStyle name="Entrada 2 7 2 2" xfId="37602" xr:uid="{00000000-0005-0000-0000-0000F0150000}"/>
    <cellStyle name="Entrada 2 7 3" xfId="28288" xr:uid="{00000000-0005-0000-0000-0000F1150000}"/>
    <cellStyle name="Entrada 2 7 4" xfId="51548" xr:uid="{00000000-0005-0000-0000-0000F2150000}"/>
    <cellStyle name="Entrada 2 8" xfId="42389" xr:uid="{00000000-0005-0000-0000-0000F3150000}"/>
    <cellStyle name="Estilo 1" xfId="71" xr:uid="{00000000-0005-0000-0000-0000F4150000}"/>
    <cellStyle name="Estilo 1 2" xfId="383" xr:uid="{00000000-0005-0000-0000-0000F5150000}"/>
    <cellStyle name="Estilo 1 3" xfId="9473" xr:uid="{00000000-0005-0000-0000-0000F6150000}"/>
    <cellStyle name="Euro" xfId="72" xr:uid="{00000000-0005-0000-0000-0000F7150000}"/>
    <cellStyle name="Euro 2" xfId="3916" xr:uid="{00000000-0005-0000-0000-0000F8150000}"/>
    <cellStyle name="Euro 2 2" xfId="3917" xr:uid="{00000000-0005-0000-0000-0000F9150000}"/>
    <cellStyle name="Explanatory Text" xfId="3918" xr:uid="{00000000-0005-0000-0000-0000FA150000}"/>
    <cellStyle name="F2" xfId="3919" xr:uid="{00000000-0005-0000-0000-0000FB150000}"/>
    <cellStyle name="F3" xfId="3920" xr:uid="{00000000-0005-0000-0000-0000FC150000}"/>
    <cellStyle name="F4" xfId="3921" xr:uid="{00000000-0005-0000-0000-0000FD150000}"/>
    <cellStyle name="F5" xfId="3922" xr:uid="{00000000-0005-0000-0000-0000FE150000}"/>
    <cellStyle name="F6" xfId="3923" xr:uid="{00000000-0005-0000-0000-0000FF150000}"/>
    <cellStyle name="F7" xfId="3924" xr:uid="{00000000-0005-0000-0000-000000160000}"/>
    <cellStyle name="F8" xfId="3925" xr:uid="{00000000-0005-0000-0000-000001160000}"/>
    <cellStyle name="Fixed" xfId="73" xr:uid="{00000000-0005-0000-0000-000002160000}"/>
    <cellStyle name="Fixed 2" xfId="3926" xr:uid="{00000000-0005-0000-0000-000003160000}"/>
    <cellStyle name="Fixed 3" xfId="3927" xr:uid="{00000000-0005-0000-0000-000004160000}"/>
    <cellStyle name="Fixed 4" xfId="3928" xr:uid="{00000000-0005-0000-0000-000005160000}"/>
    <cellStyle name="Fixo" xfId="74" xr:uid="{00000000-0005-0000-0000-000006160000}"/>
    <cellStyle name="Followed Hyperlink_Additional Tender Doc to be Submitted Form-rsu" xfId="3929" xr:uid="{00000000-0005-0000-0000-000007160000}"/>
    <cellStyle name="g" xfId="3930" xr:uid="{00000000-0005-0000-0000-000008160000}"/>
    <cellStyle name="Ganz_TM_DBLATT" xfId="3931" xr:uid="{00000000-0005-0000-0000-000009160000}"/>
    <cellStyle name="Good" xfId="3932" xr:uid="{00000000-0005-0000-0000-00000A160000}"/>
    <cellStyle name="Grey" xfId="3933" xr:uid="{00000000-0005-0000-0000-00000B160000}"/>
    <cellStyle name="H &amp; DSO_PRODUCT DETAIL Q1 actuals" xfId="3934" xr:uid="{00000000-0005-0000-0000-00000C160000}"/>
    <cellStyle name="haha" xfId="3935" xr:uid="{00000000-0005-0000-0000-00000D160000}"/>
    <cellStyle name="head" xfId="3936" xr:uid="{00000000-0005-0000-0000-00000E160000}"/>
    <cellStyle name="head 1" xfId="3937" xr:uid="{00000000-0005-0000-0000-00000F160000}"/>
    <cellStyle name="head 1-1" xfId="3938" xr:uid="{00000000-0005-0000-0000-000010160000}"/>
    <cellStyle name="HEADER" xfId="3939" xr:uid="{00000000-0005-0000-0000-000011160000}"/>
    <cellStyle name="Header1" xfId="3940" xr:uid="{00000000-0005-0000-0000-000012160000}"/>
    <cellStyle name="Header2" xfId="3941" xr:uid="{00000000-0005-0000-0000-000013160000}"/>
    <cellStyle name="Header2 2" xfId="9929" xr:uid="{00000000-0005-0000-0000-000014160000}"/>
    <cellStyle name="Header2 2 2" xfId="18965" xr:uid="{00000000-0005-0000-0000-000015160000}"/>
    <cellStyle name="Header2 2 3" xfId="24095" xr:uid="{00000000-0005-0000-0000-000016160000}"/>
    <cellStyle name="Header2 2 4" xfId="47358" xr:uid="{00000000-0005-0000-0000-000017160000}"/>
    <cellStyle name="Header2 3" xfId="9713" xr:uid="{00000000-0005-0000-0000-000018160000}"/>
    <cellStyle name="Header2 3 2" xfId="18966" xr:uid="{00000000-0005-0000-0000-000019160000}"/>
    <cellStyle name="Header2 3 2 2" xfId="33202" xr:uid="{00000000-0005-0000-0000-00001A160000}"/>
    <cellStyle name="Header2 3 3" xfId="23888" xr:uid="{00000000-0005-0000-0000-00001B160000}"/>
    <cellStyle name="Header2 3 4" xfId="42688" xr:uid="{00000000-0005-0000-0000-00001C160000}"/>
    <cellStyle name="Heading 1" xfId="75" xr:uid="{00000000-0005-0000-0000-00001D160000}"/>
    <cellStyle name="Heading 1 2" xfId="3942" xr:uid="{00000000-0005-0000-0000-00001E160000}"/>
    <cellStyle name="Heading 2" xfId="76" xr:uid="{00000000-0005-0000-0000-00001F160000}"/>
    <cellStyle name="Heading 2 2" xfId="3943" xr:uid="{00000000-0005-0000-0000-000020160000}"/>
    <cellStyle name="Heading 3" xfId="3944" xr:uid="{00000000-0005-0000-0000-000021160000}"/>
    <cellStyle name="Heading 3 2" xfId="9930" xr:uid="{00000000-0005-0000-0000-000022160000}"/>
    <cellStyle name="Heading 3 2 2" xfId="24096" xr:uid="{00000000-0005-0000-0000-000023160000}"/>
    <cellStyle name="Heading 3 3" xfId="19477" xr:uid="{00000000-0005-0000-0000-000024160000}"/>
    <cellStyle name="Heading 4" xfId="3945" xr:uid="{00000000-0005-0000-0000-000025160000}"/>
    <cellStyle name="Heading1" xfId="3946" xr:uid="{00000000-0005-0000-0000-000026160000}"/>
    <cellStyle name="Heading1 2" xfId="3947" xr:uid="{00000000-0005-0000-0000-000027160000}"/>
    <cellStyle name="Heading1 3" xfId="3948" xr:uid="{00000000-0005-0000-0000-000028160000}"/>
    <cellStyle name="Heading1 4" xfId="3949" xr:uid="{00000000-0005-0000-0000-000029160000}"/>
    <cellStyle name="HEADING2" xfId="3950" xr:uid="{00000000-0005-0000-0000-00002A160000}"/>
    <cellStyle name="Heading2 2" xfId="3951" xr:uid="{00000000-0005-0000-0000-00002B160000}"/>
    <cellStyle name="Heading2 3" xfId="3952" xr:uid="{00000000-0005-0000-0000-00002C160000}"/>
    <cellStyle name="Heading2 4" xfId="3953" xr:uid="{00000000-0005-0000-0000-00002D160000}"/>
    <cellStyle name="Helv8_PFD4.XLS" xfId="3954" xr:uid="{00000000-0005-0000-0000-00002E160000}"/>
    <cellStyle name="Hiperlink" xfId="51798" builtinId="8"/>
    <cellStyle name="Hiperlink 2" xfId="51787" xr:uid="{00000000-0005-0000-0000-000030160000}"/>
    <cellStyle name="Hyperlink 2" xfId="3955" xr:uid="{00000000-0005-0000-0000-000031160000}"/>
    <cellStyle name="Incorreto 2" xfId="294" xr:uid="{00000000-0005-0000-0000-000032160000}"/>
    <cellStyle name="Incorreto 2 2" xfId="384" xr:uid="{00000000-0005-0000-0000-000033160000}"/>
    <cellStyle name="Input" xfId="3956" xr:uid="{00000000-0005-0000-0000-000034160000}"/>
    <cellStyle name="Input [yellow]" xfId="3957" xr:uid="{00000000-0005-0000-0000-000035160000}"/>
    <cellStyle name="Input [yellow] 2" xfId="9932" xr:uid="{00000000-0005-0000-0000-000036160000}"/>
    <cellStyle name="Input [yellow] 2 2" xfId="18967" xr:uid="{00000000-0005-0000-0000-000037160000}"/>
    <cellStyle name="Input [yellow] 2 2 2" xfId="33418" xr:uid="{00000000-0005-0000-0000-000038160000}"/>
    <cellStyle name="Input [yellow] 2 3" xfId="24098" xr:uid="{00000000-0005-0000-0000-000039160000}"/>
    <cellStyle name="Input [yellow] 2 4" xfId="47360" xr:uid="{00000000-0005-0000-0000-00003A160000}"/>
    <cellStyle name="Input [yellow] 3" xfId="9711" xr:uid="{00000000-0005-0000-0000-00003B160000}"/>
    <cellStyle name="Input [yellow] 3 2" xfId="18968" xr:uid="{00000000-0005-0000-0000-00003C160000}"/>
    <cellStyle name="Input [yellow] 3 2 2" xfId="33200" xr:uid="{00000000-0005-0000-0000-00003D160000}"/>
    <cellStyle name="Input [yellow] 3 3" xfId="23886" xr:uid="{00000000-0005-0000-0000-00003E160000}"/>
    <cellStyle name="Input [yellow] 3 4" xfId="47142" xr:uid="{00000000-0005-0000-0000-00003F160000}"/>
    <cellStyle name="Input [yellow] 4" xfId="42690" xr:uid="{00000000-0005-0000-0000-000040160000}"/>
    <cellStyle name="Input 2" xfId="9931" xr:uid="{00000000-0005-0000-0000-000041160000}"/>
    <cellStyle name="Input 2 2" xfId="18969" xr:uid="{00000000-0005-0000-0000-000042160000}"/>
    <cellStyle name="Input 2 2 2" xfId="33417" xr:uid="{00000000-0005-0000-0000-000043160000}"/>
    <cellStyle name="Input 2 3" xfId="24097" xr:uid="{00000000-0005-0000-0000-000044160000}"/>
    <cellStyle name="Input 2 4" xfId="47359" xr:uid="{00000000-0005-0000-0000-000045160000}"/>
    <cellStyle name="Input 3" xfId="9712" xr:uid="{00000000-0005-0000-0000-000046160000}"/>
    <cellStyle name="Input 3 2" xfId="18970" xr:uid="{00000000-0005-0000-0000-000047160000}"/>
    <cellStyle name="Input 3 2 2" xfId="33201" xr:uid="{00000000-0005-0000-0000-000048160000}"/>
    <cellStyle name="Input 3 3" xfId="23887" xr:uid="{00000000-0005-0000-0000-000049160000}"/>
    <cellStyle name="Input 4" xfId="14665" xr:uid="{00000000-0005-0000-0000-00004A160000}"/>
    <cellStyle name="Input 4 2" xfId="18971" xr:uid="{00000000-0005-0000-0000-00004B160000}"/>
    <cellStyle name="Input 4 3" xfId="28797" xr:uid="{00000000-0005-0000-0000-00004C160000}"/>
    <cellStyle name="Input 4 4" xfId="42689" xr:uid="{00000000-0005-0000-0000-00004D160000}"/>
    <cellStyle name="Input 5" xfId="19478" xr:uid="{00000000-0005-0000-0000-00004E160000}"/>
    <cellStyle name="Input 6" xfId="38110" xr:uid="{00000000-0005-0000-0000-00004F160000}"/>
    <cellStyle name="Input_Jeddah Instrument list (2)" xfId="3958" xr:uid="{00000000-0005-0000-0000-000050160000}"/>
    <cellStyle name="KIB" xfId="3959" xr:uid="{00000000-0005-0000-0000-000051160000}"/>
    <cellStyle name="L`" xfId="3960" xr:uid="{00000000-0005-0000-0000-000052160000}"/>
    <cellStyle name="L` 2" xfId="3961" xr:uid="{00000000-0005-0000-0000-000053160000}"/>
    <cellStyle name="Labels - 유형3" xfId="3962" xr:uid="{00000000-0005-0000-0000-000054160000}"/>
    <cellStyle name="Labels - 유형3 2" xfId="9933" xr:uid="{00000000-0005-0000-0000-000055160000}"/>
    <cellStyle name="Labels - 유형3 2 2" xfId="18972" xr:uid="{00000000-0005-0000-0000-000056160000}"/>
    <cellStyle name="Labels - 유형3 2 2 2" xfId="33419" xr:uid="{00000000-0005-0000-0000-000057160000}"/>
    <cellStyle name="Labels - 유형3 2 3" xfId="24099" xr:uid="{00000000-0005-0000-0000-000058160000}"/>
    <cellStyle name="Labels - 유형3 2 4" xfId="47361" xr:uid="{00000000-0005-0000-0000-000059160000}"/>
    <cellStyle name="Labels - 유형3 3" xfId="9710" xr:uid="{00000000-0005-0000-0000-00005A160000}"/>
    <cellStyle name="Labels - 유형3 3 2" xfId="18973" xr:uid="{00000000-0005-0000-0000-00005B160000}"/>
    <cellStyle name="Labels - 유형3 3 2 2" xfId="33199" xr:uid="{00000000-0005-0000-0000-00005C160000}"/>
    <cellStyle name="Labels - 유형3 3 3" xfId="23885" xr:uid="{00000000-0005-0000-0000-00005D160000}"/>
    <cellStyle name="Labels - 유형3 3 4" xfId="47141" xr:uid="{00000000-0005-0000-0000-00005E160000}"/>
    <cellStyle name="Labels - 유형3 4" xfId="42691" xr:uid="{00000000-0005-0000-0000-00005F160000}"/>
    <cellStyle name="lain-lain" xfId="3963" xr:uid="{00000000-0005-0000-0000-000060160000}"/>
    <cellStyle name="left" xfId="3964" xr:uid="{00000000-0005-0000-0000-000061160000}"/>
    <cellStyle name="letter go-8" xfId="3965" xr:uid="{00000000-0005-0000-0000-000062160000}"/>
    <cellStyle name="Level1" xfId="3966" xr:uid="{00000000-0005-0000-0000-000063160000}"/>
    <cellStyle name="Level2" xfId="3967" xr:uid="{00000000-0005-0000-0000-000064160000}"/>
    <cellStyle name="Level3" xfId="3968" xr:uid="{00000000-0005-0000-0000-000065160000}"/>
    <cellStyle name="Linked Cell" xfId="3969" xr:uid="{00000000-0005-0000-0000-000066160000}"/>
    <cellStyle name="M S SANS SERIF" xfId="39" xr:uid="{00000000-0005-0000-0000-000067160000}"/>
    <cellStyle name="Migliaia (0)_32839016" xfId="3970" xr:uid="{00000000-0005-0000-0000-000068160000}"/>
    <cellStyle name="Migliaia_32839016" xfId="3971" xr:uid="{00000000-0005-0000-0000-000069160000}"/>
    <cellStyle name="Millares [0]_elec" xfId="3972" xr:uid="{00000000-0005-0000-0000-00006A160000}"/>
    <cellStyle name="Millares_elec" xfId="3973" xr:uid="{00000000-0005-0000-0000-00006B160000}"/>
    <cellStyle name="Milliers [0]_Arabian Spec" xfId="3974" xr:uid="{00000000-0005-0000-0000-00006C160000}"/>
    <cellStyle name="Milliers_Arabian Spec" xfId="3975" xr:uid="{00000000-0005-0000-0000-00006D160000}"/>
    <cellStyle name="Model" xfId="3976" xr:uid="{00000000-0005-0000-0000-00006E160000}"/>
    <cellStyle name="Moeda" xfId="51774" builtinId="4"/>
    <cellStyle name="Moeda 10" xfId="18845" xr:uid="{00000000-0005-0000-0000-000070160000}"/>
    <cellStyle name="Moeda 11" xfId="46882" xr:uid="{00000000-0005-0000-0000-000071160000}"/>
    <cellStyle name="Moeda 12" xfId="51746" xr:uid="{00000000-0005-0000-0000-000072160000}"/>
    <cellStyle name="Moeda 13" xfId="51751" xr:uid="{00000000-0005-0000-0000-000073160000}"/>
    <cellStyle name="Moeda 14" xfId="51780" xr:uid="{00000000-0005-0000-0000-000074160000}"/>
    <cellStyle name="Moeda 15" xfId="51806" xr:uid="{2C1D0982-4333-4BF0-8E38-F6A95CABB84B}"/>
    <cellStyle name="Moeda 2" xfId="26" xr:uid="{00000000-0005-0000-0000-000075160000}"/>
    <cellStyle name="Moeda 2 10" xfId="9629" xr:uid="{00000000-0005-0000-0000-000076160000}"/>
    <cellStyle name="Moeda 2 10 2" xfId="33123" xr:uid="{00000000-0005-0000-0000-000077160000}"/>
    <cellStyle name="Moeda 2 10 3" xfId="23811" xr:uid="{00000000-0005-0000-0000-000078160000}"/>
    <cellStyle name="Moeda 2 10 4" xfId="47065" xr:uid="{00000000-0005-0000-0000-000079160000}"/>
    <cellStyle name="Moeda 2 11" xfId="14394" xr:uid="{00000000-0005-0000-0000-00007A160000}"/>
    <cellStyle name="Moeda 2 11 2" xfId="28526" xr:uid="{00000000-0005-0000-0000-00007B160000}"/>
    <cellStyle name="Moeda 2 11 3" xfId="42400" xr:uid="{00000000-0005-0000-0000-00007C160000}"/>
    <cellStyle name="Moeda 2 12" xfId="19207" xr:uid="{00000000-0005-0000-0000-00007D160000}"/>
    <cellStyle name="Moeda 2 13" xfId="37842" xr:uid="{00000000-0005-0000-0000-00007E160000}"/>
    <cellStyle name="Moeda 2 14" xfId="51802" xr:uid="{00000000-0005-0000-0000-00007F160000}"/>
    <cellStyle name="Moeda 2 2" xfId="386" xr:uid="{00000000-0005-0000-0000-000080160000}"/>
    <cellStyle name="Moeda 2 2 2" xfId="387" xr:uid="{00000000-0005-0000-0000-000081160000}"/>
    <cellStyle name="Moeda 2 2 3" xfId="388" xr:uid="{00000000-0005-0000-0000-000082160000}"/>
    <cellStyle name="Moeda 2 2 4" xfId="3977" xr:uid="{00000000-0005-0000-0000-000083160000}"/>
    <cellStyle name="Moeda 2 2 5" xfId="9665" xr:uid="{00000000-0005-0000-0000-000084160000}"/>
    <cellStyle name="Moeda 2 2 5 2" xfId="33156" xr:uid="{00000000-0005-0000-0000-000085160000}"/>
    <cellStyle name="Moeda 2 2 5 3" xfId="23841" xr:uid="{00000000-0005-0000-0000-000086160000}"/>
    <cellStyle name="Moeda 2 2 5 4" xfId="47099" xr:uid="{00000000-0005-0000-0000-000087160000}"/>
    <cellStyle name="Moeda 2 2 6" xfId="14426" xr:uid="{00000000-0005-0000-0000-000088160000}"/>
    <cellStyle name="Moeda 2 2 6 2" xfId="28557" xr:uid="{00000000-0005-0000-0000-000089160000}"/>
    <cellStyle name="Moeda 2 2 6 3" xfId="42437" xr:uid="{00000000-0005-0000-0000-00008A160000}"/>
    <cellStyle name="Moeda 2 2 7" xfId="19237" xr:uid="{00000000-0005-0000-0000-00008B160000}"/>
    <cellStyle name="Moeda 2 2 8" xfId="37872" xr:uid="{00000000-0005-0000-0000-00008C160000}"/>
    <cellStyle name="Moeda 2 3" xfId="389" xr:uid="{00000000-0005-0000-0000-00008D160000}"/>
    <cellStyle name="Moeda 2 4" xfId="3978" xr:uid="{00000000-0005-0000-0000-00008E160000}"/>
    <cellStyle name="Moeda 2 5" xfId="3979" xr:uid="{00000000-0005-0000-0000-00008F160000}"/>
    <cellStyle name="Moeda 2 6" xfId="3980" xr:uid="{00000000-0005-0000-0000-000090160000}"/>
    <cellStyle name="Moeda 2 6 2" xfId="9934" xr:uid="{00000000-0005-0000-0000-000091160000}"/>
    <cellStyle name="Moeda 2 6 2 2" xfId="33420" xr:uid="{00000000-0005-0000-0000-000092160000}"/>
    <cellStyle name="Moeda 2 6 2 3" xfId="24100" xr:uid="{00000000-0005-0000-0000-000093160000}"/>
    <cellStyle name="Moeda 2 6 2 4" xfId="47362" xr:uid="{00000000-0005-0000-0000-000094160000}"/>
    <cellStyle name="Moeda 2 6 3" xfId="14666" xr:uid="{00000000-0005-0000-0000-000095160000}"/>
    <cellStyle name="Moeda 2 6 3 2" xfId="28798" xr:uid="{00000000-0005-0000-0000-000096160000}"/>
    <cellStyle name="Moeda 2 6 3 3" xfId="42692" xr:uid="{00000000-0005-0000-0000-000097160000}"/>
    <cellStyle name="Moeda 2 6 4" xfId="19479" xr:uid="{00000000-0005-0000-0000-000098160000}"/>
    <cellStyle name="Moeda 2 6 5" xfId="38111" xr:uid="{00000000-0005-0000-0000-000099160000}"/>
    <cellStyle name="Moeda 2 7" xfId="385" xr:uid="{00000000-0005-0000-0000-00009A160000}"/>
    <cellStyle name="Moeda 2 7 2" xfId="9664" xr:uid="{00000000-0005-0000-0000-00009B160000}"/>
    <cellStyle name="Moeda 2 7 2 2" xfId="33155" xr:uid="{00000000-0005-0000-0000-00009C160000}"/>
    <cellStyle name="Moeda 2 7 2 3" xfId="23840" xr:uid="{00000000-0005-0000-0000-00009D160000}"/>
    <cellStyle name="Moeda 2 7 2 4" xfId="47098" xr:uid="{00000000-0005-0000-0000-00009E160000}"/>
    <cellStyle name="Moeda 2 7 3" xfId="14425" xr:uid="{00000000-0005-0000-0000-00009F160000}"/>
    <cellStyle name="Moeda 2 7 3 2" xfId="28556" xr:uid="{00000000-0005-0000-0000-0000A0160000}"/>
    <cellStyle name="Moeda 2 7 3 3" xfId="42436" xr:uid="{00000000-0005-0000-0000-0000A1160000}"/>
    <cellStyle name="Moeda 2 7 4" xfId="19236" xr:uid="{00000000-0005-0000-0000-0000A2160000}"/>
    <cellStyle name="Moeda 2 7 5" xfId="37871" xr:uid="{00000000-0005-0000-0000-0000A3160000}"/>
    <cellStyle name="Moeda 2 8" xfId="9474" xr:uid="{00000000-0005-0000-0000-0000A4160000}"/>
    <cellStyle name="Moeda 2 8 2" xfId="14144" xr:uid="{00000000-0005-0000-0000-0000A5160000}"/>
    <cellStyle name="Moeda 2 8 2 2" xfId="37622" xr:uid="{00000000-0005-0000-0000-0000A6160000}"/>
    <cellStyle name="Moeda 2 8 2 3" xfId="28308" xr:uid="{00000000-0005-0000-0000-0000A7160000}"/>
    <cellStyle name="Moeda 2 8 2 4" xfId="51571" xr:uid="{00000000-0005-0000-0000-0000A8160000}"/>
    <cellStyle name="Moeda 2 8 3" xfId="18856" xr:uid="{00000000-0005-0000-0000-0000A9160000}"/>
    <cellStyle name="Moeda 2 8 3 2" xfId="32988" xr:uid="{00000000-0005-0000-0000-0000AA160000}"/>
    <cellStyle name="Moeda 2 8 3 3" xfId="46890" xr:uid="{00000000-0005-0000-0000-0000AB160000}"/>
    <cellStyle name="Moeda 2 8 4" xfId="23674" xr:uid="{00000000-0005-0000-0000-0000AC160000}"/>
    <cellStyle name="Moeda 2 8 5" xfId="42261" xr:uid="{00000000-0005-0000-0000-0000AD160000}"/>
    <cellStyle name="Moeda 2 9" xfId="9515" xr:uid="{00000000-0005-0000-0000-0000AE160000}"/>
    <cellStyle name="Moeda 2 9 2" xfId="14181" xr:uid="{00000000-0005-0000-0000-0000AF160000}"/>
    <cellStyle name="Moeda 2 9 2 2" xfId="37656" xr:uid="{00000000-0005-0000-0000-0000B0160000}"/>
    <cellStyle name="Moeda 2 9 2 3" xfId="28341" xr:uid="{00000000-0005-0000-0000-0000B1160000}"/>
    <cellStyle name="Moeda 2 9 2 4" xfId="51608" xr:uid="{00000000-0005-0000-0000-0000B2160000}"/>
    <cellStyle name="Moeda 2 9 3" xfId="18889" xr:uid="{00000000-0005-0000-0000-0000B3160000}"/>
    <cellStyle name="Moeda 2 9 3 2" xfId="33022" xr:uid="{00000000-0005-0000-0000-0000B4160000}"/>
    <cellStyle name="Moeda 2 9 3 3" xfId="46928" xr:uid="{00000000-0005-0000-0000-0000B5160000}"/>
    <cellStyle name="Moeda 2 9 4" xfId="23709" xr:uid="{00000000-0005-0000-0000-0000B6160000}"/>
    <cellStyle name="Moeda 2 9 5" xfId="42294" xr:uid="{00000000-0005-0000-0000-0000B7160000}"/>
    <cellStyle name="Moeda 3" xfId="29" xr:uid="{00000000-0005-0000-0000-0000B8160000}"/>
    <cellStyle name="Moeda 3 10" xfId="51782" xr:uid="{00000000-0005-0000-0000-0000B9160000}"/>
    <cellStyle name="Moeda 3 2" xfId="3981" xr:uid="{00000000-0005-0000-0000-0000BA160000}"/>
    <cellStyle name="Moeda 3 2 2" xfId="9935" xr:uid="{00000000-0005-0000-0000-0000BB160000}"/>
    <cellStyle name="Moeda 3 2 2 2" xfId="33421" xr:uid="{00000000-0005-0000-0000-0000BC160000}"/>
    <cellStyle name="Moeda 3 2 2 3" xfId="24101" xr:uid="{00000000-0005-0000-0000-0000BD160000}"/>
    <cellStyle name="Moeda 3 2 2 4" xfId="47363" xr:uid="{00000000-0005-0000-0000-0000BE160000}"/>
    <cellStyle name="Moeda 3 2 3" xfId="14667" xr:uid="{00000000-0005-0000-0000-0000BF160000}"/>
    <cellStyle name="Moeda 3 2 3 2" xfId="28799" xr:uid="{00000000-0005-0000-0000-0000C0160000}"/>
    <cellStyle name="Moeda 3 2 3 3" xfId="42693" xr:uid="{00000000-0005-0000-0000-0000C1160000}"/>
    <cellStyle name="Moeda 3 2 4" xfId="19480" xr:uid="{00000000-0005-0000-0000-0000C2160000}"/>
    <cellStyle name="Moeda 3 2 5" xfId="38112" xr:uid="{00000000-0005-0000-0000-0000C3160000}"/>
    <cellStyle name="Moeda 3 3" xfId="390" xr:uid="{00000000-0005-0000-0000-0000C4160000}"/>
    <cellStyle name="Moeda 3 3 2" xfId="9666" xr:uid="{00000000-0005-0000-0000-0000C5160000}"/>
    <cellStyle name="Moeda 3 3 2 2" xfId="33157" xr:uid="{00000000-0005-0000-0000-0000C6160000}"/>
    <cellStyle name="Moeda 3 3 2 3" xfId="23842" xr:uid="{00000000-0005-0000-0000-0000C7160000}"/>
    <cellStyle name="Moeda 3 3 2 4" xfId="47100" xr:uid="{00000000-0005-0000-0000-0000C8160000}"/>
    <cellStyle name="Moeda 3 3 3" xfId="14427" xr:uid="{00000000-0005-0000-0000-0000C9160000}"/>
    <cellStyle name="Moeda 3 3 3 2" xfId="28558" xr:uid="{00000000-0005-0000-0000-0000CA160000}"/>
    <cellStyle name="Moeda 3 3 3 3" xfId="42438" xr:uid="{00000000-0005-0000-0000-0000CB160000}"/>
    <cellStyle name="Moeda 3 3 4" xfId="19238" xr:uid="{00000000-0005-0000-0000-0000CC160000}"/>
    <cellStyle name="Moeda 3 3 5" xfId="37873" xr:uid="{00000000-0005-0000-0000-0000CD160000}"/>
    <cellStyle name="Moeda 3 4" xfId="9475" xr:uid="{00000000-0005-0000-0000-0000CE160000}"/>
    <cellStyle name="Moeda 3 4 2" xfId="14145" xr:uid="{00000000-0005-0000-0000-0000CF160000}"/>
    <cellStyle name="Moeda 3 4 2 2" xfId="37623" xr:uid="{00000000-0005-0000-0000-0000D0160000}"/>
    <cellStyle name="Moeda 3 4 2 3" xfId="28309" xr:uid="{00000000-0005-0000-0000-0000D1160000}"/>
    <cellStyle name="Moeda 3 4 2 4" xfId="51572" xr:uid="{00000000-0005-0000-0000-0000D2160000}"/>
    <cellStyle name="Moeda 3 4 3" xfId="18857" xr:uid="{00000000-0005-0000-0000-0000D3160000}"/>
    <cellStyle name="Moeda 3 4 3 2" xfId="32989" xr:uid="{00000000-0005-0000-0000-0000D4160000}"/>
    <cellStyle name="Moeda 3 4 3 3" xfId="46891" xr:uid="{00000000-0005-0000-0000-0000D5160000}"/>
    <cellStyle name="Moeda 3 4 4" xfId="23675" xr:uid="{00000000-0005-0000-0000-0000D6160000}"/>
    <cellStyle name="Moeda 3 4 5" xfId="42262" xr:uid="{00000000-0005-0000-0000-0000D7160000}"/>
    <cellStyle name="Moeda 3 5" xfId="9516" xr:uid="{00000000-0005-0000-0000-0000D8160000}"/>
    <cellStyle name="Moeda 3 5 2" xfId="14182" xr:uid="{00000000-0005-0000-0000-0000D9160000}"/>
    <cellStyle name="Moeda 3 5 2 2" xfId="37657" xr:uid="{00000000-0005-0000-0000-0000DA160000}"/>
    <cellStyle name="Moeda 3 5 2 3" xfId="28342" xr:uid="{00000000-0005-0000-0000-0000DB160000}"/>
    <cellStyle name="Moeda 3 5 2 4" xfId="51609" xr:uid="{00000000-0005-0000-0000-0000DC160000}"/>
    <cellStyle name="Moeda 3 5 3" xfId="18890" xr:uid="{00000000-0005-0000-0000-0000DD160000}"/>
    <cellStyle name="Moeda 3 5 3 2" xfId="33023" xr:uid="{00000000-0005-0000-0000-0000DE160000}"/>
    <cellStyle name="Moeda 3 5 3 3" xfId="46929" xr:uid="{00000000-0005-0000-0000-0000DF160000}"/>
    <cellStyle name="Moeda 3 5 4" xfId="23710" xr:uid="{00000000-0005-0000-0000-0000E0160000}"/>
    <cellStyle name="Moeda 3 5 5" xfId="42295" xr:uid="{00000000-0005-0000-0000-0000E1160000}"/>
    <cellStyle name="Moeda 3 6" xfId="9632" xr:uid="{00000000-0005-0000-0000-0000E2160000}"/>
    <cellStyle name="Moeda 3 6 2" xfId="33125" xr:uid="{00000000-0005-0000-0000-0000E3160000}"/>
    <cellStyle name="Moeda 3 6 3" xfId="23813" xr:uid="{00000000-0005-0000-0000-0000E4160000}"/>
    <cellStyle name="Moeda 3 6 4" xfId="47067" xr:uid="{00000000-0005-0000-0000-0000E5160000}"/>
    <cellStyle name="Moeda 3 7" xfId="14396" xr:uid="{00000000-0005-0000-0000-0000E6160000}"/>
    <cellStyle name="Moeda 3 7 2" xfId="28528" xr:uid="{00000000-0005-0000-0000-0000E7160000}"/>
    <cellStyle name="Moeda 3 7 3" xfId="42403" xr:uid="{00000000-0005-0000-0000-0000E8160000}"/>
    <cellStyle name="Moeda 3 8" xfId="19209" xr:uid="{00000000-0005-0000-0000-0000E9160000}"/>
    <cellStyle name="Moeda 3 9" xfId="37844" xr:uid="{00000000-0005-0000-0000-0000EA160000}"/>
    <cellStyle name="Moeda 4" xfId="266" xr:uid="{00000000-0005-0000-0000-0000EB160000}"/>
    <cellStyle name="Moeda 4 2" xfId="392" xr:uid="{00000000-0005-0000-0000-0000EC160000}"/>
    <cellStyle name="Moeda 4 2 2" xfId="3982" xr:uid="{00000000-0005-0000-0000-0000ED160000}"/>
    <cellStyle name="Moeda 4 2 3" xfId="3983" xr:uid="{00000000-0005-0000-0000-0000EE160000}"/>
    <cellStyle name="Moeda 4 2 4" xfId="9668" xr:uid="{00000000-0005-0000-0000-0000EF160000}"/>
    <cellStyle name="Moeda 4 2 4 2" xfId="33159" xr:uid="{00000000-0005-0000-0000-0000F0160000}"/>
    <cellStyle name="Moeda 4 2 4 3" xfId="23844" xr:uid="{00000000-0005-0000-0000-0000F1160000}"/>
    <cellStyle name="Moeda 4 2 4 4" xfId="47102" xr:uid="{00000000-0005-0000-0000-0000F2160000}"/>
    <cellStyle name="Moeda 4 2 5" xfId="14429" xr:uid="{00000000-0005-0000-0000-0000F3160000}"/>
    <cellStyle name="Moeda 4 2 5 2" xfId="28560" xr:uid="{00000000-0005-0000-0000-0000F4160000}"/>
    <cellStyle name="Moeda 4 2 5 3" xfId="42440" xr:uid="{00000000-0005-0000-0000-0000F5160000}"/>
    <cellStyle name="Moeda 4 2 6" xfId="19240" xr:uid="{00000000-0005-0000-0000-0000F6160000}"/>
    <cellStyle name="Moeda 4 2 7" xfId="37875" xr:uid="{00000000-0005-0000-0000-0000F7160000}"/>
    <cellStyle name="Moeda 4 2 8" xfId="51789" xr:uid="{00000000-0005-0000-0000-0000F8160000}"/>
    <cellStyle name="Moeda 4 3" xfId="3984" xr:uid="{00000000-0005-0000-0000-0000F9160000}"/>
    <cellStyle name="Moeda 4 4" xfId="3985" xr:uid="{00000000-0005-0000-0000-0000FA160000}"/>
    <cellStyle name="Moeda 4 5" xfId="391" xr:uid="{00000000-0005-0000-0000-0000FB160000}"/>
    <cellStyle name="Moeda 4 5 2" xfId="9667" xr:uid="{00000000-0005-0000-0000-0000FC160000}"/>
    <cellStyle name="Moeda 4 5 2 2" xfId="33158" xr:uid="{00000000-0005-0000-0000-0000FD160000}"/>
    <cellStyle name="Moeda 4 5 2 3" xfId="23843" xr:uid="{00000000-0005-0000-0000-0000FE160000}"/>
    <cellStyle name="Moeda 4 5 2 4" xfId="47101" xr:uid="{00000000-0005-0000-0000-0000FF160000}"/>
    <cellStyle name="Moeda 4 5 3" xfId="14428" xr:uid="{00000000-0005-0000-0000-000000170000}"/>
    <cellStyle name="Moeda 4 5 3 2" xfId="28559" xr:uid="{00000000-0005-0000-0000-000001170000}"/>
    <cellStyle name="Moeda 4 5 3 3" xfId="42439" xr:uid="{00000000-0005-0000-0000-000002170000}"/>
    <cellStyle name="Moeda 4 5 4" xfId="19239" xr:uid="{00000000-0005-0000-0000-000003170000}"/>
    <cellStyle name="Moeda 4 5 5" xfId="37874" xr:uid="{00000000-0005-0000-0000-000004170000}"/>
    <cellStyle name="Moeda 4 6" xfId="9476" xr:uid="{00000000-0005-0000-0000-000005170000}"/>
    <cellStyle name="Moeda 4 6 2" xfId="14146" xr:uid="{00000000-0005-0000-0000-000006170000}"/>
    <cellStyle name="Moeda 4 6 2 2" xfId="37624" xr:uid="{00000000-0005-0000-0000-000007170000}"/>
    <cellStyle name="Moeda 4 6 2 3" xfId="28310" xr:uid="{00000000-0005-0000-0000-000008170000}"/>
    <cellStyle name="Moeda 4 6 2 4" xfId="51573" xr:uid="{00000000-0005-0000-0000-000009170000}"/>
    <cellStyle name="Moeda 4 6 3" xfId="18858" xr:uid="{00000000-0005-0000-0000-00000A170000}"/>
    <cellStyle name="Moeda 4 6 3 2" xfId="32990" xr:uid="{00000000-0005-0000-0000-00000B170000}"/>
    <cellStyle name="Moeda 4 6 3 3" xfId="46892" xr:uid="{00000000-0005-0000-0000-00000C170000}"/>
    <cellStyle name="Moeda 4 6 4" xfId="23676" xr:uid="{00000000-0005-0000-0000-00000D170000}"/>
    <cellStyle name="Moeda 4 6 5" xfId="42263" xr:uid="{00000000-0005-0000-0000-00000E170000}"/>
    <cellStyle name="Moeda 4 7" xfId="9517" xr:uid="{00000000-0005-0000-0000-00000F170000}"/>
    <cellStyle name="Moeda 4 7 2" xfId="14183" xr:uid="{00000000-0005-0000-0000-000010170000}"/>
    <cellStyle name="Moeda 4 7 2 2" xfId="37658" xr:uid="{00000000-0005-0000-0000-000011170000}"/>
    <cellStyle name="Moeda 4 7 2 3" xfId="28343" xr:uid="{00000000-0005-0000-0000-000012170000}"/>
    <cellStyle name="Moeda 4 7 2 4" xfId="51610" xr:uid="{00000000-0005-0000-0000-000013170000}"/>
    <cellStyle name="Moeda 4 7 3" xfId="18891" xr:uid="{00000000-0005-0000-0000-000014170000}"/>
    <cellStyle name="Moeda 4 7 3 2" xfId="33024" xr:uid="{00000000-0005-0000-0000-000015170000}"/>
    <cellStyle name="Moeda 4 7 3 3" xfId="46930" xr:uid="{00000000-0005-0000-0000-000016170000}"/>
    <cellStyle name="Moeda 4 7 4" xfId="23711" xr:uid="{00000000-0005-0000-0000-000017170000}"/>
    <cellStyle name="Moeda 4 7 5" xfId="42296" xr:uid="{00000000-0005-0000-0000-000018170000}"/>
    <cellStyle name="Moeda 5" xfId="330" xr:uid="{00000000-0005-0000-0000-000019170000}"/>
    <cellStyle name="Moeda 5 2" xfId="393" xr:uid="{00000000-0005-0000-0000-00001A170000}"/>
    <cellStyle name="Moeda 5 3" xfId="9477" xr:uid="{00000000-0005-0000-0000-00001B170000}"/>
    <cellStyle name="Moeda 5 3 2" xfId="14147" xr:uid="{00000000-0005-0000-0000-00001C170000}"/>
    <cellStyle name="Moeda 5 3 2 2" xfId="37625" xr:uid="{00000000-0005-0000-0000-00001D170000}"/>
    <cellStyle name="Moeda 5 3 2 3" xfId="28311" xr:uid="{00000000-0005-0000-0000-00001E170000}"/>
    <cellStyle name="Moeda 5 3 2 4" xfId="51574" xr:uid="{00000000-0005-0000-0000-00001F170000}"/>
    <cellStyle name="Moeda 5 3 3" xfId="18859" xr:uid="{00000000-0005-0000-0000-000020170000}"/>
    <cellStyle name="Moeda 5 3 3 2" xfId="32991" xr:uid="{00000000-0005-0000-0000-000021170000}"/>
    <cellStyle name="Moeda 5 3 3 3" xfId="46893" xr:uid="{00000000-0005-0000-0000-000022170000}"/>
    <cellStyle name="Moeda 5 3 4" xfId="23677" xr:uid="{00000000-0005-0000-0000-000023170000}"/>
    <cellStyle name="Moeda 5 3 5" xfId="42264" xr:uid="{00000000-0005-0000-0000-000024170000}"/>
    <cellStyle name="Moeda 5 4" xfId="9518" xr:uid="{00000000-0005-0000-0000-000025170000}"/>
    <cellStyle name="Moeda 5 4 2" xfId="14184" xr:uid="{00000000-0005-0000-0000-000026170000}"/>
    <cellStyle name="Moeda 5 4 2 2" xfId="37659" xr:uid="{00000000-0005-0000-0000-000027170000}"/>
    <cellStyle name="Moeda 5 4 2 3" xfId="28344" xr:uid="{00000000-0005-0000-0000-000028170000}"/>
    <cellStyle name="Moeda 5 4 2 4" xfId="51611" xr:uid="{00000000-0005-0000-0000-000029170000}"/>
    <cellStyle name="Moeda 5 4 3" xfId="18892" xr:uid="{00000000-0005-0000-0000-00002A170000}"/>
    <cellStyle name="Moeda 5 4 3 2" xfId="33025" xr:uid="{00000000-0005-0000-0000-00002B170000}"/>
    <cellStyle name="Moeda 5 4 3 3" xfId="46931" xr:uid="{00000000-0005-0000-0000-00002C170000}"/>
    <cellStyle name="Moeda 5 4 4" xfId="23712" xr:uid="{00000000-0005-0000-0000-00002D170000}"/>
    <cellStyle name="Moeda 5 4 5" xfId="42297" xr:uid="{00000000-0005-0000-0000-00002E170000}"/>
    <cellStyle name="Moeda 5 5" xfId="9644" xr:uid="{00000000-0005-0000-0000-00002F170000}"/>
    <cellStyle name="Moeda 5 5 2" xfId="33136" xr:uid="{00000000-0005-0000-0000-000030170000}"/>
    <cellStyle name="Moeda 5 5 3" xfId="23823" xr:uid="{00000000-0005-0000-0000-000031170000}"/>
    <cellStyle name="Moeda 5 5 4" xfId="47079" xr:uid="{00000000-0005-0000-0000-000032170000}"/>
    <cellStyle name="Moeda 5 6" xfId="14407" xr:uid="{00000000-0005-0000-0000-000033170000}"/>
    <cellStyle name="Moeda 5 6 2" xfId="28538" xr:uid="{00000000-0005-0000-0000-000034170000}"/>
    <cellStyle name="Moeda 5 6 3" xfId="42416" xr:uid="{00000000-0005-0000-0000-000035170000}"/>
    <cellStyle name="Moeda 5 7" xfId="19220" xr:uid="{00000000-0005-0000-0000-000036170000}"/>
    <cellStyle name="Moeda 5 8" xfId="37855" xr:uid="{00000000-0005-0000-0000-000037170000}"/>
    <cellStyle name="Moeda 5 9" xfId="51793" xr:uid="{00000000-0005-0000-0000-000038170000}"/>
    <cellStyle name="Moeda 6" xfId="3986" xr:uid="{00000000-0005-0000-0000-000039170000}"/>
    <cellStyle name="Moeda 7" xfId="3987" xr:uid="{00000000-0005-0000-0000-00003A170000}"/>
    <cellStyle name="Moeda 7 2" xfId="9936" xr:uid="{00000000-0005-0000-0000-00003B170000}"/>
    <cellStyle name="Moeda 7 2 2" xfId="33422" xr:uid="{00000000-0005-0000-0000-00003C170000}"/>
    <cellStyle name="Moeda 7 2 3" xfId="24102" xr:uid="{00000000-0005-0000-0000-00003D170000}"/>
    <cellStyle name="Moeda 7 2 4" xfId="47364" xr:uid="{00000000-0005-0000-0000-00003E170000}"/>
    <cellStyle name="Moeda 7 3" xfId="14668" xr:uid="{00000000-0005-0000-0000-00003F170000}"/>
    <cellStyle name="Moeda 7 3 2" xfId="28800" xr:uid="{00000000-0005-0000-0000-000040170000}"/>
    <cellStyle name="Moeda 7 3 3" xfId="42694" xr:uid="{00000000-0005-0000-0000-000041170000}"/>
    <cellStyle name="Moeda 7 4" xfId="19481" xr:uid="{00000000-0005-0000-0000-000042170000}"/>
    <cellStyle name="Moeda 7 5" xfId="38113" xr:uid="{00000000-0005-0000-0000-000043170000}"/>
    <cellStyle name="Moeda 8" xfId="3988" xr:uid="{00000000-0005-0000-0000-000044170000}"/>
    <cellStyle name="Moeda 8 2" xfId="9937" xr:uid="{00000000-0005-0000-0000-000045170000}"/>
    <cellStyle name="Moeda 8 2 2" xfId="33423" xr:uid="{00000000-0005-0000-0000-000046170000}"/>
    <cellStyle name="Moeda 8 2 3" xfId="24103" xr:uid="{00000000-0005-0000-0000-000047170000}"/>
    <cellStyle name="Moeda 8 2 4" xfId="47365" xr:uid="{00000000-0005-0000-0000-000048170000}"/>
    <cellStyle name="Moeda 8 3" xfId="14669" xr:uid="{00000000-0005-0000-0000-000049170000}"/>
    <cellStyle name="Moeda 8 3 2" xfId="28801" xr:uid="{00000000-0005-0000-0000-00004A170000}"/>
    <cellStyle name="Moeda 8 3 3" xfId="42695" xr:uid="{00000000-0005-0000-0000-00004B170000}"/>
    <cellStyle name="Moeda 8 4" xfId="19482" xr:uid="{00000000-0005-0000-0000-00004C170000}"/>
    <cellStyle name="Moeda 8 5" xfId="38114" xr:uid="{00000000-0005-0000-0000-00004D170000}"/>
    <cellStyle name="Moeda 9" xfId="9460" xr:uid="{00000000-0005-0000-0000-00004E170000}"/>
    <cellStyle name="Moeda 9 2" xfId="14132" xr:uid="{00000000-0005-0000-0000-00004F170000}"/>
    <cellStyle name="Moeda 9 2 2" xfId="37611" xr:uid="{00000000-0005-0000-0000-000050170000}"/>
    <cellStyle name="Moeda 9 2 3" xfId="28297" xr:uid="{00000000-0005-0000-0000-000051170000}"/>
    <cellStyle name="Moeda 9 2 4" xfId="51560" xr:uid="{00000000-0005-0000-0000-000052170000}"/>
    <cellStyle name="Moeda 9 3" xfId="18844" xr:uid="{00000000-0005-0000-0000-000053170000}"/>
    <cellStyle name="Moeda 9 3 2" xfId="32977" xr:uid="{00000000-0005-0000-0000-000054170000}"/>
    <cellStyle name="Moeda 9 3 3" xfId="46881" xr:uid="{00000000-0005-0000-0000-000055170000}"/>
    <cellStyle name="Moeda 9 4" xfId="23663" xr:uid="{00000000-0005-0000-0000-000056170000}"/>
    <cellStyle name="Moeda 9 5" xfId="42250" xr:uid="{00000000-0005-0000-0000-000057170000}"/>
    <cellStyle name="Mon?aire [0]_Arabian Spec" xfId="3989" xr:uid="{00000000-0005-0000-0000-000058170000}"/>
    <cellStyle name="Mon?aire_Arabian Spec" xfId="3990" xr:uid="{00000000-0005-0000-0000-000059170000}"/>
    <cellStyle name="Moneda [0]_MECHYUND" xfId="3991" xr:uid="{00000000-0005-0000-0000-00005A170000}"/>
    <cellStyle name="Moneda_MECHYUND" xfId="3992" xr:uid="{00000000-0005-0000-0000-00005B170000}"/>
    <cellStyle name="MS GOSIC-10" xfId="3993" xr:uid="{00000000-0005-0000-0000-00005C170000}"/>
    <cellStyle name="MS GOSIC-8" xfId="3994" xr:uid="{00000000-0005-0000-0000-00005D170000}"/>
    <cellStyle name="MS_Arabic" xfId="3995" xr:uid="{00000000-0005-0000-0000-00005E170000}"/>
    <cellStyle name="neu" xfId="3996" xr:uid="{00000000-0005-0000-0000-00005F170000}"/>
    <cellStyle name="neu 2" xfId="9938" xr:uid="{00000000-0005-0000-0000-000060170000}"/>
    <cellStyle name="neu 2 2" xfId="18974" xr:uid="{00000000-0005-0000-0000-000061170000}"/>
    <cellStyle name="neu 2 3" xfId="24104" xr:uid="{00000000-0005-0000-0000-000062170000}"/>
    <cellStyle name="neu 2 4" xfId="47366" xr:uid="{00000000-0005-0000-0000-000063170000}"/>
    <cellStyle name="neu 3" xfId="9709" xr:uid="{00000000-0005-0000-0000-000064170000}"/>
    <cellStyle name="neu 3 2" xfId="18975" xr:uid="{00000000-0005-0000-0000-000065170000}"/>
    <cellStyle name="neu 3 2 2" xfId="33198" xr:uid="{00000000-0005-0000-0000-000066170000}"/>
    <cellStyle name="neu 3 3" xfId="23884" xr:uid="{00000000-0005-0000-0000-000067170000}"/>
    <cellStyle name="neu 3 4" xfId="42696" xr:uid="{00000000-0005-0000-0000-000068170000}"/>
    <cellStyle name="Neutra 2" xfId="7" xr:uid="{00000000-0005-0000-0000-000069170000}"/>
    <cellStyle name="Neutra 2 2" xfId="394" xr:uid="{00000000-0005-0000-0000-00006A170000}"/>
    <cellStyle name="Neutral" xfId="3997" xr:uid="{00000000-0005-0000-0000-00006B170000}"/>
    <cellStyle name="New Times Roman" xfId="3998" xr:uid="{00000000-0005-0000-0000-00006C170000}"/>
    <cellStyle name="no dec" xfId="3999" xr:uid="{00000000-0005-0000-0000-00006D170000}"/>
    <cellStyle name="Normal" xfId="0" builtinId="0"/>
    <cellStyle name="Normal - Style1" xfId="77" xr:uid="{00000000-0005-0000-0000-00006F170000}"/>
    <cellStyle name="Normal - Style1 2" xfId="4000" xr:uid="{00000000-0005-0000-0000-000070170000}"/>
    <cellStyle name="Normal - Style1 3" xfId="4001" xr:uid="{00000000-0005-0000-0000-000071170000}"/>
    <cellStyle name="Normal - Style1 4" xfId="4002" xr:uid="{00000000-0005-0000-0000-000072170000}"/>
    <cellStyle name="Normal - Style1 5" xfId="395" xr:uid="{00000000-0005-0000-0000-000073170000}"/>
    <cellStyle name="Normal - Style2" xfId="4003" xr:uid="{00000000-0005-0000-0000-000074170000}"/>
    <cellStyle name="Normal - Style3" xfId="4004" xr:uid="{00000000-0005-0000-0000-000075170000}"/>
    <cellStyle name="Normal - Style4" xfId="4005" xr:uid="{00000000-0005-0000-0000-000076170000}"/>
    <cellStyle name="Normal - Style5" xfId="4006" xr:uid="{00000000-0005-0000-0000-000077170000}"/>
    <cellStyle name="Normal - Style6" xfId="4007" xr:uid="{00000000-0005-0000-0000-000078170000}"/>
    <cellStyle name="Normal - 유형1" xfId="4008" xr:uid="{00000000-0005-0000-0000-000079170000}"/>
    <cellStyle name="Normal 10" xfId="8" xr:uid="{00000000-0005-0000-0000-00007A170000}"/>
    <cellStyle name="Normal 10 2" xfId="397" xr:uid="{00000000-0005-0000-0000-00007B170000}"/>
    <cellStyle name="Normal 10 2 2" xfId="4009" xr:uid="{00000000-0005-0000-0000-00007C170000}"/>
    <cellStyle name="Normal 10 2 2 2" xfId="4010" xr:uid="{00000000-0005-0000-0000-00007D170000}"/>
    <cellStyle name="Normal 10 3" xfId="4011" xr:uid="{00000000-0005-0000-0000-00007E170000}"/>
    <cellStyle name="Normal 10 4" xfId="396" xr:uid="{00000000-0005-0000-0000-00007F170000}"/>
    <cellStyle name="Normal 100" xfId="78" xr:uid="{00000000-0005-0000-0000-000080170000}"/>
    <cellStyle name="Normal 101" xfId="79" xr:uid="{00000000-0005-0000-0000-000081170000}"/>
    <cellStyle name="Normal 102" xfId="80" xr:uid="{00000000-0005-0000-0000-000082170000}"/>
    <cellStyle name="Normal 103" xfId="81" xr:uid="{00000000-0005-0000-0000-000083170000}"/>
    <cellStyle name="Normal 104" xfId="82" xr:uid="{00000000-0005-0000-0000-000084170000}"/>
    <cellStyle name="Normal 105" xfId="83" xr:uid="{00000000-0005-0000-0000-000085170000}"/>
    <cellStyle name="Normal 106" xfId="84" xr:uid="{00000000-0005-0000-0000-000086170000}"/>
    <cellStyle name="Normal 107" xfId="85" xr:uid="{00000000-0005-0000-0000-000087170000}"/>
    <cellStyle name="Normal 108" xfId="86" xr:uid="{00000000-0005-0000-0000-000088170000}"/>
    <cellStyle name="Normal 109" xfId="87" xr:uid="{00000000-0005-0000-0000-000089170000}"/>
    <cellStyle name="Normal 11" xfId="32" xr:uid="{00000000-0005-0000-0000-00008A170000}"/>
    <cellStyle name="Normal 11 10" xfId="398" xr:uid="{00000000-0005-0000-0000-00008B170000}"/>
    <cellStyle name="Normal 11 2" xfId="4012" xr:uid="{00000000-0005-0000-0000-00008C170000}"/>
    <cellStyle name="Normal 11 2 10" xfId="19483" xr:uid="{00000000-0005-0000-0000-00008D170000}"/>
    <cellStyle name="Normal 11 2 11" xfId="38115" xr:uid="{00000000-0005-0000-0000-00008E170000}"/>
    <cellStyle name="Normal 11 2 2" xfId="4013" xr:uid="{00000000-0005-0000-0000-00008F170000}"/>
    <cellStyle name="Normal 11 2 2 2" xfId="4014" xr:uid="{00000000-0005-0000-0000-000090170000}"/>
    <cellStyle name="Normal 11 2 2 2 2" xfId="9941" xr:uid="{00000000-0005-0000-0000-000091170000}"/>
    <cellStyle name="Normal 11 2 2 2 2 2" xfId="33426" xr:uid="{00000000-0005-0000-0000-000092170000}"/>
    <cellStyle name="Normal 11 2 2 2 2 3" xfId="24107" xr:uid="{00000000-0005-0000-0000-000093170000}"/>
    <cellStyle name="Normal 11 2 2 2 2 4" xfId="47369" xr:uid="{00000000-0005-0000-0000-000094170000}"/>
    <cellStyle name="Normal 11 2 2 2 3" xfId="14672" xr:uid="{00000000-0005-0000-0000-000095170000}"/>
    <cellStyle name="Normal 11 2 2 2 3 2" xfId="18918" xr:uid="{00000000-0005-0000-0000-000096170000}"/>
    <cellStyle name="Normal 11 2 2 2 3 3" xfId="28804" xr:uid="{00000000-0005-0000-0000-000097170000}"/>
    <cellStyle name="Normal 11 2 2 2 3 4" xfId="42699" xr:uid="{00000000-0005-0000-0000-000098170000}"/>
    <cellStyle name="Normal 11 2 2 2 4" xfId="19485" xr:uid="{00000000-0005-0000-0000-000099170000}"/>
    <cellStyle name="Normal 11 2 2 2 5" xfId="38117" xr:uid="{00000000-0005-0000-0000-00009A170000}"/>
    <cellStyle name="Normal 11 2 2 3" xfId="9940" xr:uid="{00000000-0005-0000-0000-00009B170000}"/>
    <cellStyle name="Normal 11 2 2 3 2" xfId="33425" xr:uid="{00000000-0005-0000-0000-00009C170000}"/>
    <cellStyle name="Normal 11 2 2 3 3" xfId="24106" xr:uid="{00000000-0005-0000-0000-00009D170000}"/>
    <cellStyle name="Normal 11 2 2 3 4" xfId="47368" xr:uid="{00000000-0005-0000-0000-00009E170000}"/>
    <cellStyle name="Normal 11 2 2 4" xfId="14671" xr:uid="{00000000-0005-0000-0000-00009F170000}"/>
    <cellStyle name="Normal 11 2 2 4 2" xfId="28803" xr:uid="{00000000-0005-0000-0000-0000A0170000}"/>
    <cellStyle name="Normal 11 2 2 4 3" xfId="42698" xr:uid="{00000000-0005-0000-0000-0000A1170000}"/>
    <cellStyle name="Normal 11 2 2 5" xfId="19484" xr:uid="{00000000-0005-0000-0000-0000A2170000}"/>
    <cellStyle name="Normal 11 2 2 6" xfId="38116" xr:uid="{00000000-0005-0000-0000-0000A3170000}"/>
    <cellStyle name="Normal 11 2 3" xfId="4015" xr:uid="{00000000-0005-0000-0000-0000A4170000}"/>
    <cellStyle name="Normal 11 2 3 2" xfId="4016" xr:uid="{00000000-0005-0000-0000-0000A5170000}"/>
    <cellStyle name="Normal 11 2 3 2 2" xfId="9943" xr:uid="{00000000-0005-0000-0000-0000A6170000}"/>
    <cellStyle name="Normal 11 2 3 2 2 2" xfId="33428" xr:uid="{00000000-0005-0000-0000-0000A7170000}"/>
    <cellStyle name="Normal 11 2 3 2 2 3" xfId="24109" xr:uid="{00000000-0005-0000-0000-0000A8170000}"/>
    <cellStyle name="Normal 11 2 3 2 2 4" xfId="47371" xr:uid="{00000000-0005-0000-0000-0000A9170000}"/>
    <cellStyle name="Normal 11 2 3 2 3" xfId="14674" xr:uid="{00000000-0005-0000-0000-0000AA170000}"/>
    <cellStyle name="Normal 11 2 3 2 3 2" xfId="28806" xr:uid="{00000000-0005-0000-0000-0000AB170000}"/>
    <cellStyle name="Normal 11 2 3 2 3 3" xfId="42701" xr:uid="{00000000-0005-0000-0000-0000AC170000}"/>
    <cellStyle name="Normal 11 2 3 2 4" xfId="19487" xr:uid="{00000000-0005-0000-0000-0000AD170000}"/>
    <cellStyle name="Normal 11 2 3 2 5" xfId="38119" xr:uid="{00000000-0005-0000-0000-0000AE170000}"/>
    <cellStyle name="Normal 11 2 3 3" xfId="9942" xr:uid="{00000000-0005-0000-0000-0000AF170000}"/>
    <cellStyle name="Normal 11 2 3 3 2" xfId="33427" xr:uid="{00000000-0005-0000-0000-0000B0170000}"/>
    <cellStyle name="Normal 11 2 3 3 3" xfId="24108" xr:uid="{00000000-0005-0000-0000-0000B1170000}"/>
    <cellStyle name="Normal 11 2 3 3 4" xfId="47370" xr:uid="{00000000-0005-0000-0000-0000B2170000}"/>
    <cellStyle name="Normal 11 2 3 4" xfId="14673" xr:uid="{00000000-0005-0000-0000-0000B3170000}"/>
    <cellStyle name="Normal 11 2 3 4 2" xfId="28805" xr:uid="{00000000-0005-0000-0000-0000B4170000}"/>
    <cellStyle name="Normal 11 2 3 4 3" xfId="42700" xr:uid="{00000000-0005-0000-0000-0000B5170000}"/>
    <cellStyle name="Normal 11 2 3 5" xfId="19486" xr:uid="{00000000-0005-0000-0000-0000B6170000}"/>
    <cellStyle name="Normal 11 2 3 6" xfId="38118" xr:uid="{00000000-0005-0000-0000-0000B7170000}"/>
    <cellStyle name="Normal 11 2 4" xfId="4017" xr:uid="{00000000-0005-0000-0000-0000B8170000}"/>
    <cellStyle name="Normal 11 2 4 2" xfId="4018" xr:uid="{00000000-0005-0000-0000-0000B9170000}"/>
    <cellStyle name="Normal 11 2 4 2 2" xfId="9945" xr:uid="{00000000-0005-0000-0000-0000BA170000}"/>
    <cellStyle name="Normal 11 2 4 2 2 2" xfId="33430" xr:uid="{00000000-0005-0000-0000-0000BB170000}"/>
    <cellStyle name="Normal 11 2 4 2 2 3" xfId="24111" xr:uid="{00000000-0005-0000-0000-0000BC170000}"/>
    <cellStyle name="Normal 11 2 4 2 2 4" xfId="47373" xr:uid="{00000000-0005-0000-0000-0000BD170000}"/>
    <cellStyle name="Normal 11 2 4 2 3" xfId="14676" xr:uid="{00000000-0005-0000-0000-0000BE170000}"/>
    <cellStyle name="Normal 11 2 4 2 3 2" xfId="28808" xr:uid="{00000000-0005-0000-0000-0000BF170000}"/>
    <cellStyle name="Normal 11 2 4 2 3 3" xfId="42703" xr:uid="{00000000-0005-0000-0000-0000C0170000}"/>
    <cellStyle name="Normal 11 2 4 2 4" xfId="19489" xr:uid="{00000000-0005-0000-0000-0000C1170000}"/>
    <cellStyle name="Normal 11 2 4 2 5" xfId="38121" xr:uid="{00000000-0005-0000-0000-0000C2170000}"/>
    <cellStyle name="Normal 11 2 4 3" xfId="9944" xr:uid="{00000000-0005-0000-0000-0000C3170000}"/>
    <cellStyle name="Normal 11 2 4 3 2" xfId="33429" xr:uid="{00000000-0005-0000-0000-0000C4170000}"/>
    <cellStyle name="Normal 11 2 4 3 3" xfId="24110" xr:uid="{00000000-0005-0000-0000-0000C5170000}"/>
    <cellStyle name="Normal 11 2 4 3 4" xfId="47372" xr:uid="{00000000-0005-0000-0000-0000C6170000}"/>
    <cellStyle name="Normal 11 2 4 4" xfId="14675" xr:uid="{00000000-0005-0000-0000-0000C7170000}"/>
    <cellStyle name="Normal 11 2 4 4 2" xfId="28807" xr:uid="{00000000-0005-0000-0000-0000C8170000}"/>
    <cellStyle name="Normal 11 2 4 4 3" xfId="42702" xr:uid="{00000000-0005-0000-0000-0000C9170000}"/>
    <cellStyle name="Normal 11 2 4 5" xfId="19488" xr:uid="{00000000-0005-0000-0000-0000CA170000}"/>
    <cellStyle name="Normal 11 2 4 6" xfId="38120" xr:uid="{00000000-0005-0000-0000-0000CB170000}"/>
    <cellStyle name="Normal 11 2 5" xfId="4019" xr:uid="{00000000-0005-0000-0000-0000CC170000}"/>
    <cellStyle name="Normal 11 2 5 2" xfId="4020" xr:uid="{00000000-0005-0000-0000-0000CD170000}"/>
    <cellStyle name="Normal 11 2 5 2 2" xfId="9947" xr:uid="{00000000-0005-0000-0000-0000CE170000}"/>
    <cellStyle name="Normal 11 2 5 2 2 2" xfId="33432" xr:uid="{00000000-0005-0000-0000-0000CF170000}"/>
    <cellStyle name="Normal 11 2 5 2 2 3" xfId="24113" xr:uid="{00000000-0005-0000-0000-0000D0170000}"/>
    <cellStyle name="Normal 11 2 5 2 2 4" xfId="47375" xr:uid="{00000000-0005-0000-0000-0000D1170000}"/>
    <cellStyle name="Normal 11 2 5 2 3" xfId="14678" xr:uid="{00000000-0005-0000-0000-0000D2170000}"/>
    <cellStyle name="Normal 11 2 5 2 3 2" xfId="28810" xr:uid="{00000000-0005-0000-0000-0000D3170000}"/>
    <cellStyle name="Normal 11 2 5 2 3 3" xfId="42705" xr:uid="{00000000-0005-0000-0000-0000D4170000}"/>
    <cellStyle name="Normal 11 2 5 2 4" xfId="19491" xr:uid="{00000000-0005-0000-0000-0000D5170000}"/>
    <cellStyle name="Normal 11 2 5 2 5" xfId="38123" xr:uid="{00000000-0005-0000-0000-0000D6170000}"/>
    <cellStyle name="Normal 11 2 5 3" xfId="9946" xr:uid="{00000000-0005-0000-0000-0000D7170000}"/>
    <cellStyle name="Normal 11 2 5 3 2" xfId="33431" xr:uid="{00000000-0005-0000-0000-0000D8170000}"/>
    <cellStyle name="Normal 11 2 5 3 3" xfId="24112" xr:uid="{00000000-0005-0000-0000-0000D9170000}"/>
    <cellStyle name="Normal 11 2 5 3 4" xfId="47374" xr:uid="{00000000-0005-0000-0000-0000DA170000}"/>
    <cellStyle name="Normal 11 2 5 4" xfId="14677" xr:uid="{00000000-0005-0000-0000-0000DB170000}"/>
    <cellStyle name="Normal 11 2 5 4 2" xfId="28809" xr:uid="{00000000-0005-0000-0000-0000DC170000}"/>
    <cellStyle name="Normal 11 2 5 4 3" xfId="42704" xr:uid="{00000000-0005-0000-0000-0000DD170000}"/>
    <cellStyle name="Normal 11 2 5 5" xfId="19490" xr:uid="{00000000-0005-0000-0000-0000DE170000}"/>
    <cellStyle name="Normal 11 2 5 6" xfId="38122" xr:uid="{00000000-0005-0000-0000-0000DF170000}"/>
    <cellStyle name="Normal 11 2 6" xfId="4021" xr:uid="{00000000-0005-0000-0000-0000E0170000}"/>
    <cellStyle name="Normal 11 2 6 2" xfId="4022" xr:uid="{00000000-0005-0000-0000-0000E1170000}"/>
    <cellStyle name="Normal 11 2 6 2 2" xfId="9949" xr:uid="{00000000-0005-0000-0000-0000E2170000}"/>
    <cellStyle name="Normal 11 2 6 2 2 2" xfId="33434" xr:uid="{00000000-0005-0000-0000-0000E3170000}"/>
    <cellStyle name="Normal 11 2 6 2 2 3" xfId="24115" xr:uid="{00000000-0005-0000-0000-0000E4170000}"/>
    <cellStyle name="Normal 11 2 6 2 2 4" xfId="47377" xr:uid="{00000000-0005-0000-0000-0000E5170000}"/>
    <cellStyle name="Normal 11 2 6 2 3" xfId="14680" xr:uid="{00000000-0005-0000-0000-0000E6170000}"/>
    <cellStyle name="Normal 11 2 6 2 3 2" xfId="28812" xr:uid="{00000000-0005-0000-0000-0000E7170000}"/>
    <cellStyle name="Normal 11 2 6 2 3 3" xfId="42707" xr:uid="{00000000-0005-0000-0000-0000E8170000}"/>
    <cellStyle name="Normal 11 2 6 2 4" xfId="19493" xr:uid="{00000000-0005-0000-0000-0000E9170000}"/>
    <cellStyle name="Normal 11 2 6 2 5" xfId="38125" xr:uid="{00000000-0005-0000-0000-0000EA170000}"/>
    <cellStyle name="Normal 11 2 6 3" xfId="9948" xr:uid="{00000000-0005-0000-0000-0000EB170000}"/>
    <cellStyle name="Normal 11 2 6 3 2" xfId="33433" xr:uid="{00000000-0005-0000-0000-0000EC170000}"/>
    <cellStyle name="Normal 11 2 6 3 3" xfId="24114" xr:uid="{00000000-0005-0000-0000-0000ED170000}"/>
    <cellStyle name="Normal 11 2 6 3 4" xfId="47376" xr:uid="{00000000-0005-0000-0000-0000EE170000}"/>
    <cellStyle name="Normal 11 2 6 4" xfId="14679" xr:uid="{00000000-0005-0000-0000-0000EF170000}"/>
    <cellStyle name="Normal 11 2 6 4 2" xfId="28811" xr:uid="{00000000-0005-0000-0000-0000F0170000}"/>
    <cellStyle name="Normal 11 2 6 4 3" xfId="42706" xr:uid="{00000000-0005-0000-0000-0000F1170000}"/>
    <cellStyle name="Normal 11 2 6 5" xfId="19492" xr:uid="{00000000-0005-0000-0000-0000F2170000}"/>
    <cellStyle name="Normal 11 2 6 6" xfId="38124" xr:uid="{00000000-0005-0000-0000-0000F3170000}"/>
    <cellStyle name="Normal 11 2 7" xfId="4023" xr:uid="{00000000-0005-0000-0000-0000F4170000}"/>
    <cellStyle name="Normal 11 2 7 2" xfId="9950" xr:uid="{00000000-0005-0000-0000-0000F5170000}"/>
    <cellStyle name="Normal 11 2 7 2 2" xfId="33435" xr:uid="{00000000-0005-0000-0000-0000F6170000}"/>
    <cellStyle name="Normal 11 2 7 2 3" xfId="24116" xr:uid="{00000000-0005-0000-0000-0000F7170000}"/>
    <cellStyle name="Normal 11 2 7 2 4" xfId="47378" xr:uid="{00000000-0005-0000-0000-0000F8170000}"/>
    <cellStyle name="Normal 11 2 7 3" xfId="14681" xr:uid="{00000000-0005-0000-0000-0000F9170000}"/>
    <cellStyle name="Normal 11 2 7 3 2" xfId="28813" xr:uid="{00000000-0005-0000-0000-0000FA170000}"/>
    <cellStyle name="Normal 11 2 7 3 3" xfId="42708" xr:uid="{00000000-0005-0000-0000-0000FB170000}"/>
    <cellStyle name="Normal 11 2 7 4" xfId="19494" xr:uid="{00000000-0005-0000-0000-0000FC170000}"/>
    <cellStyle name="Normal 11 2 7 5" xfId="38126" xr:uid="{00000000-0005-0000-0000-0000FD170000}"/>
    <cellStyle name="Normal 11 2 8" xfId="9939" xr:uid="{00000000-0005-0000-0000-0000FE170000}"/>
    <cellStyle name="Normal 11 2 8 2" xfId="33424" xr:uid="{00000000-0005-0000-0000-0000FF170000}"/>
    <cellStyle name="Normal 11 2 8 3" xfId="24105" xr:uid="{00000000-0005-0000-0000-000000180000}"/>
    <cellStyle name="Normal 11 2 8 4" xfId="47367" xr:uid="{00000000-0005-0000-0000-000001180000}"/>
    <cellStyle name="Normal 11 2 9" xfId="14670" xr:uid="{00000000-0005-0000-0000-000002180000}"/>
    <cellStyle name="Normal 11 2 9 2" xfId="28802" xr:uid="{00000000-0005-0000-0000-000003180000}"/>
    <cellStyle name="Normal 11 2 9 3" xfId="42697" xr:uid="{00000000-0005-0000-0000-000004180000}"/>
    <cellStyle name="Normal 11 3" xfId="4024" xr:uid="{00000000-0005-0000-0000-000005180000}"/>
    <cellStyle name="Normal 11 3 10" xfId="19495" xr:uid="{00000000-0005-0000-0000-000006180000}"/>
    <cellStyle name="Normal 11 3 11" xfId="38127" xr:uid="{00000000-0005-0000-0000-000007180000}"/>
    <cellStyle name="Normal 11 3 2" xfId="4025" xr:uid="{00000000-0005-0000-0000-000008180000}"/>
    <cellStyle name="Normal 11 3 2 2" xfId="4026" xr:uid="{00000000-0005-0000-0000-000009180000}"/>
    <cellStyle name="Normal 11 3 2 2 2" xfId="9953" xr:uid="{00000000-0005-0000-0000-00000A180000}"/>
    <cellStyle name="Normal 11 3 2 2 2 2" xfId="33438" xr:uid="{00000000-0005-0000-0000-00000B180000}"/>
    <cellStyle name="Normal 11 3 2 2 2 3" xfId="24119" xr:uid="{00000000-0005-0000-0000-00000C180000}"/>
    <cellStyle name="Normal 11 3 2 2 2 4" xfId="47381" xr:uid="{00000000-0005-0000-0000-00000D180000}"/>
    <cellStyle name="Normal 11 3 2 2 3" xfId="14684" xr:uid="{00000000-0005-0000-0000-00000E180000}"/>
    <cellStyle name="Normal 11 3 2 2 3 2" xfId="28816" xr:uid="{00000000-0005-0000-0000-00000F180000}"/>
    <cellStyle name="Normal 11 3 2 2 3 3" xfId="42711" xr:uid="{00000000-0005-0000-0000-000010180000}"/>
    <cellStyle name="Normal 11 3 2 2 4" xfId="19497" xr:uid="{00000000-0005-0000-0000-000011180000}"/>
    <cellStyle name="Normal 11 3 2 2 5" xfId="38129" xr:uid="{00000000-0005-0000-0000-000012180000}"/>
    <cellStyle name="Normal 11 3 2 3" xfId="9952" xr:uid="{00000000-0005-0000-0000-000013180000}"/>
    <cellStyle name="Normal 11 3 2 3 2" xfId="33437" xr:uid="{00000000-0005-0000-0000-000014180000}"/>
    <cellStyle name="Normal 11 3 2 3 3" xfId="24118" xr:uid="{00000000-0005-0000-0000-000015180000}"/>
    <cellStyle name="Normal 11 3 2 3 4" xfId="47380" xr:uid="{00000000-0005-0000-0000-000016180000}"/>
    <cellStyle name="Normal 11 3 2 4" xfId="14683" xr:uid="{00000000-0005-0000-0000-000017180000}"/>
    <cellStyle name="Normal 11 3 2 4 2" xfId="28815" xr:uid="{00000000-0005-0000-0000-000018180000}"/>
    <cellStyle name="Normal 11 3 2 4 3" xfId="42710" xr:uid="{00000000-0005-0000-0000-000019180000}"/>
    <cellStyle name="Normal 11 3 2 5" xfId="19496" xr:uid="{00000000-0005-0000-0000-00001A180000}"/>
    <cellStyle name="Normal 11 3 2 6" xfId="38128" xr:uid="{00000000-0005-0000-0000-00001B180000}"/>
    <cellStyle name="Normal 11 3 3" xfId="4027" xr:uid="{00000000-0005-0000-0000-00001C180000}"/>
    <cellStyle name="Normal 11 3 3 2" xfId="4028" xr:uid="{00000000-0005-0000-0000-00001D180000}"/>
    <cellStyle name="Normal 11 3 3 2 2" xfId="9955" xr:uid="{00000000-0005-0000-0000-00001E180000}"/>
    <cellStyle name="Normal 11 3 3 2 2 2" xfId="33440" xr:uid="{00000000-0005-0000-0000-00001F180000}"/>
    <cellStyle name="Normal 11 3 3 2 2 3" xfId="24121" xr:uid="{00000000-0005-0000-0000-000020180000}"/>
    <cellStyle name="Normal 11 3 3 2 2 4" xfId="47383" xr:uid="{00000000-0005-0000-0000-000021180000}"/>
    <cellStyle name="Normal 11 3 3 2 3" xfId="14686" xr:uid="{00000000-0005-0000-0000-000022180000}"/>
    <cellStyle name="Normal 11 3 3 2 3 2" xfId="28818" xr:uid="{00000000-0005-0000-0000-000023180000}"/>
    <cellStyle name="Normal 11 3 3 2 3 3" xfId="42713" xr:uid="{00000000-0005-0000-0000-000024180000}"/>
    <cellStyle name="Normal 11 3 3 2 4" xfId="19499" xr:uid="{00000000-0005-0000-0000-000025180000}"/>
    <cellStyle name="Normal 11 3 3 2 5" xfId="38131" xr:uid="{00000000-0005-0000-0000-000026180000}"/>
    <cellStyle name="Normal 11 3 3 3" xfId="9954" xr:uid="{00000000-0005-0000-0000-000027180000}"/>
    <cellStyle name="Normal 11 3 3 3 2" xfId="33439" xr:uid="{00000000-0005-0000-0000-000028180000}"/>
    <cellStyle name="Normal 11 3 3 3 3" xfId="24120" xr:uid="{00000000-0005-0000-0000-000029180000}"/>
    <cellStyle name="Normal 11 3 3 3 4" xfId="47382" xr:uid="{00000000-0005-0000-0000-00002A180000}"/>
    <cellStyle name="Normal 11 3 3 4" xfId="14685" xr:uid="{00000000-0005-0000-0000-00002B180000}"/>
    <cellStyle name="Normal 11 3 3 4 2" xfId="28817" xr:uid="{00000000-0005-0000-0000-00002C180000}"/>
    <cellStyle name="Normal 11 3 3 4 3" xfId="42712" xr:uid="{00000000-0005-0000-0000-00002D180000}"/>
    <cellStyle name="Normal 11 3 3 5" xfId="19498" xr:uid="{00000000-0005-0000-0000-00002E180000}"/>
    <cellStyle name="Normal 11 3 3 6" xfId="38130" xr:uid="{00000000-0005-0000-0000-00002F180000}"/>
    <cellStyle name="Normal 11 3 4" xfId="4029" xr:uid="{00000000-0005-0000-0000-000030180000}"/>
    <cellStyle name="Normal 11 3 4 2" xfId="4030" xr:uid="{00000000-0005-0000-0000-000031180000}"/>
    <cellStyle name="Normal 11 3 4 2 2" xfId="9957" xr:uid="{00000000-0005-0000-0000-000032180000}"/>
    <cellStyle name="Normal 11 3 4 2 2 2" xfId="33442" xr:uid="{00000000-0005-0000-0000-000033180000}"/>
    <cellStyle name="Normal 11 3 4 2 2 3" xfId="24123" xr:uid="{00000000-0005-0000-0000-000034180000}"/>
    <cellStyle name="Normal 11 3 4 2 2 4" xfId="47385" xr:uid="{00000000-0005-0000-0000-000035180000}"/>
    <cellStyle name="Normal 11 3 4 2 3" xfId="14688" xr:uid="{00000000-0005-0000-0000-000036180000}"/>
    <cellStyle name="Normal 11 3 4 2 3 2" xfId="28820" xr:uid="{00000000-0005-0000-0000-000037180000}"/>
    <cellStyle name="Normal 11 3 4 2 3 3" xfId="42715" xr:uid="{00000000-0005-0000-0000-000038180000}"/>
    <cellStyle name="Normal 11 3 4 2 4" xfId="19501" xr:uid="{00000000-0005-0000-0000-000039180000}"/>
    <cellStyle name="Normal 11 3 4 2 5" xfId="38133" xr:uid="{00000000-0005-0000-0000-00003A180000}"/>
    <cellStyle name="Normal 11 3 4 3" xfId="9956" xr:uid="{00000000-0005-0000-0000-00003B180000}"/>
    <cellStyle name="Normal 11 3 4 3 2" xfId="33441" xr:uid="{00000000-0005-0000-0000-00003C180000}"/>
    <cellStyle name="Normal 11 3 4 3 3" xfId="24122" xr:uid="{00000000-0005-0000-0000-00003D180000}"/>
    <cellStyle name="Normal 11 3 4 3 4" xfId="47384" xr:uid="{00000000-0005-0000-0000-00003E180000}"/>
    <cellStyle name="Normal 11 3 4 4" xfId="14687" xr:uid="{00000000-0005-0000-0000-00003F180000}"/>
    <cellStyle name="Normal 11 3 4 4 2" xfId="28819" xr:uid="{00000000-0005-0000-0000-000040180000}"/>
    <cellStyle name="Normal 11 3 4 4 3" xfId="42714" xr:uid="{00000000-0005-0000-0000-000041180000}"/>
    <cellStyle name="Normal 11 3 4 5" xfId="19500" xr:uid="{00000000-0005-0000-0000-000042180000}"/>
    <cellStyle name="Normal 11 3 4 6" xfId="38132" xr:uid="{00000000-0005-0000-0000-000043180000}"/>
    <cellStyle name="Normal 11 3 5" xfId="4031" xr:uid="{00000000-0005-0000-0000-000044180000}"/>
    <cellStyle name="Normal 11 3 5 2" xfId="4032" xr:uid="{00000000-0005-0000-0000-000045180000}"/>
    <cellStyle name="Normal 11 3 5 2 2" xfId="9959" xr:uid="{00000000-0005-0000-0000-000046180000}"/>
    <cellStyle name="Normal 11 3 5 2 2 2" xfId="33444" xr:uid="{00000000-0005-0000-0000-000047180000}"/>
    <cellStyle name="Normal 11 3 5 2 2 3" xfId="24125" xr:uid="{00000000-0005-0000-0000-000048180000}"/>
    <cellStyle name="Normal 11 3 5 2 2 4" xfId="47387" xr:uid="{00000000-0005-0000-0000-000049180000}"/>
    <cellStyle name="Normal 11 3 5 2 3" xfId="14690" xr:uid="{00000000-0005-0000-0000-00004A180000}"/>
    <cellStyle name="Normal 11 3 5 2 3 2" xfId="28822" xr:uid="{00000000-0005-0000-0000-00004B180000}"/>
    <cellStyle name="Normal 11 3 5 2 3 3" xfId="42717" xr:uid="{00000000-0005-0000-0000-00004C180000}"/>
    <cellStyle name="Normal 11 3 5 2 4" xfId="19503" xr:uid="{00000000-0005-0000-0000-00004D180000}"/>
    <cellStyle name="Normal 11 3 5 2 5" xfId="38135" xr:uid="{00000000-0005-0000-0000-00004E180000}"/>
    <cellStyle name="Normal 11 3 5 3" xfId="9958" xr:uid="{00000000-0005-0000-0000-00004F180000}"/>
    <cellStyle name="Normal 11 3 5 3 2" xfId="33443" xr:uid="{00000000-0005-0000-0000-000050180000}"/>
    <cellStyle name="Normal 11 3 5 3 3" xfId="24124" xr:uid="{00000000-0005-0000-0000-000051180000}"/>
    <cellStyle name="Normal 11 3 5 3 4" xfId="47386" xr:uid="{00000000-0005-0000-0000-000052180000}"/>
    <cellStyle name="Normal 11 3 5 4" xfId="14689" xr:uid="{00000000-0005-0000-0000-000053180000}"/>
    <cellStyle name="Normal 11 3 5 4 2" xfId="28821" xr:uid="{00000000-0005-0000-0000-000054180000}"/>
    <cellStyle name="Normal 11 3 5 4 3" xfId="42716" xr:uid="{00000000-0005-0000-0000-000055180000}"/>
    <cellStyle name="Normal 11 3 5 5" xfId="19502" xr:uid="{00000000-0005-0000-0000-000056180000}"/>
    <cellStyle name="Normal 11 3 5 6" xfId="38134" xr:uid="{00000000-0005-0000-0000-000057180000}"/>
    <cellStyle name="Normal 11 3 6" xfId="4033" xr:uid="{00000000-0005-0000-0000-000058180000}"/>
    <cellStyle name="Normal 11 3 6 2" xfId="4034" xr:uid="{00000000-0005-0000-0000-000059180000}"/>
    <cellStyle name="Normal 11 3 6 2 2" xfId="9961" xr:uid="{00000000-0005-0000-0000-00005A180000}"/>
    <cellStyle name="Normal 11 3 6 2 2 2" xfId="33446" xr:uid="{00000000-0005-0000-0000-00005B180000}"/>
    <cellStyle name="Normal 11 3 6 2 2 3" xfId="24127" xr:uid="{00000000-0005-0000-0000-00005C180000}"/>
    <cellStyle name="Normal 11 3 6 2 2 4" xfId="47389" xr:uid="{00000000-0005-0000-0000-00005D180000}"/>
    <cellStyle name="Normal 11 3 6 2 3" xfId="14692" xr:uid="{00000000-0005-0000-0000-00005E180000}"/>
    <cellStyle name="Normal 11 3 6 2 3 2" xfId="28824" xr:uid="{00000000-0005-0000-0000-00005F180000}"/>
    <cellStyle name="Normal 11 3 6 2 3 3" xfId="42719" xr:uid="{00000000-0005-0000-0000-000060180000}"/>
    <cellStyle name="Normal 11 3 6 2 4" xfId="19505" xr:uid="{00000000-0005-0000-0000-000061180000}"/>
    <cellStyle name="Normal 11 3 6 2 5" xfId="38137" xr:uid="{00000000-0005-0000-0000-000062180000}"/>
    <cellStyle name="Normal 11 3 6 3" xfId="9960" xr:uid="{00000000-0005-0000-0000-000063180000}"/>
    <cellStyle name="Normal 11 3 6 3 2" xfId="33445" xr:uid="{00000000-0005-0000-0000-000064180000}"/>
    <cellStyle name="Normal 11 3 6 3 3" xfId="24126" xr:uid="{00000000-0005-0000-0000-000065180000}"/>
    <cellStyle name="Normal 11 3 6 3 4" xfId="47388" xr:uid="{00000000-0005-0000-0000-000066180000}"/>
    <cellStyle name="Normal 11 3 6 4" xfId="14691" xr:uid="{00000000-0005-0000-0000-000067180000}"/>
    <cellStyle name="Normal 11 3 6 4 2" xfId="28823" xr:uid="{00000000-0005-0000-0000-000068180000}"/>
    <cellStyle name="Normal 11 3 6 4 3" xfId="42718" xr:uid="{00000000-0005-0000-0000-000069180000}"/>
    <cellStyle name="Normal 11 3 6 5" xfId="19504" xr:uid="{00000000-0005-0000-0000-00006A180000}"/>
    <cellStyle name="Normal 11 3 6 6" xfId="38136" xr:uid="{00000000-0005-0000-0000-00006B180000}"/>
    <cellStyle name="Normal 11 3 7" xfId="4035" xr:uid="{00000000-0005-0000-0000-00006C180000}"/>
    <cellStyle name="Normal 11 3 7 2" xfId="9962" xr:uid="{00000000-0005-0000-0000-00006D180000}"/>
    <cellStyle name="Normal 11 3 7 2 2" xfId="33447" xr:uid="{00000000-0005-0000-0000-00006E180000}"/>
    <cellStyle name="Normal 11 3 7 2 3" xfId="24128" xr:uid="{00000000-0005-0000-0000-00006F180000}"/>
    <cellStyle name="Normal 11 3 7 2 4" xfId="47390" xr:uid="{00000000-0005-0000-0000-000070180000}"/>
    <cellStyle name="Normal 11 3 7 3" xfId="14693" xr:uid="{00000000-0005-0000-0000-000071180000}"/>
    <cellStyle name="Normal 11 3 7 3 2" xfId="28825" xr:uid="{00000000-0005-0000-0000-000072180000}"/>
    <cellStyle name="Normal 11 3 7 3 3" xfId="42720" xr:uid="{00000000-0005-0000-0000-000073180000}"/>
    <cellStyle name="Normal 11 3 7 4" xfId="19506" xr:uid="{00000000-0005-0000-0000-000074180000}"/>
    <cellStyle name="Normal 11 3 7 5" xfId="38138" xr:uid="{00000000-0005-0000-0000-000075180000}"/>
    <cellStyle name="Normal 11 3 8" xfId="9951" xr:uid="{00000000-0005-0000-0000-000076180000}"/>
    <cellStyle name="Normal 11 3 8 2" xfId="33436" xr:uid="{00000000-0005-0000-0000-000077180000}"/>
    <cellStyle name="Normal 11 3 8 3" xfId="24117" xr:uid="{00000000-0005-0000-0000-000078180000}"/>
    <cellStyle name="Normal 11 3 8 4" xfId="47379" xr:uid="{00000000-0005-0000-0000-000079180000}"/>
    <cellStyle name="Normal 11 3 9" xfId="14682" xr:uid="{00000000-0005-0000-0000-00007A180000}"/>
    <cellStyle name="Normal 11 3 9 2" xfId="28814" xr:uid="{00000000-0005-0000-0000-00007B180000}"/>
    <cellStyle name="Normal 11 3 9 3" xfId="42709" xr:uid="{00000000-0005-0000-0000-00007C180000}"/>
    <cellStyle name="Normal 11 4" xfId="4036" xr:uid="{00000000-0005-0000-0000-00007D180000}"/>
    <cellStyle name="Normal 11 4 10" xfId="19507" xr:uid="{00000000-0005-0000-0000-00007E180000}"/>
    <cellStyle name="Normal 11 4 11" xfId="38139" xr:uid="{00000000-0005-0000-0000-00007F180000}"/>
    <cellStyle name="Normal 11 4 2" xfId="4037" xr:uid="{00000000-0005-0000-0000-000080180000}"/>
    <cellStyle name="Normal 11 4 2 2" xfId="4038" xr:uid="{00000000-0005-0000-0000-000081180000}"/>
    <cellStyle name="Normal 11 4 2 2 2" xfId="9965" xr:uid="{00000000-0005-0000-0000-000082180000}"/>
    <cellStyle name="Normal 11 4 2 2 2 2" xfId="33450" xr:uid="{00000000-0005-0000-0000-000083180000}"/>
    <cellStyle name="Normal 11 4 2 2 2 3" xfId="24131" xr:uid="{00000000-0005-0000-0000-000084180000}"/>
    <cellStyle name="Normal 11 4 2 2 2 4" xfId="47393" xr:uid="{00000000-0005-0000-0000-000085180000}"/>
    <cellStyle name="Normal 11 4 2 2 3" xfId="14696" xr:uid="{00000000-0005-0000-0000-000086180000}"/>
    <cellStyle name="Normal 11 4 2 2 3 2" xfId="28828" xr:uid="{00000000-0005-0000-0000-000087180000}"/>
    <cellStyle name="Normal 11 4 2 2 3 3" xfId="42723" xr:uid="{00000000-0005-0000-0000-000088180000}"/>
    <cellStyle name="Normal 11 4 2 2 4" xfId="19509" xr:uid="{00000000-0005-0000-0000-000089180000}"/>
    <cellStyle name="Normal 11 4 2 2 5" xfId="38141" xr:uid="{00000000-0005-0000-0000-00008A180000}"/>
    <cellStyle name="Normal 11 4 2 3" xfId="9964" xr:uid="{00000000-0005-0000-0000-00008B180000}"/>
    <cellStyle name="Normal 11 4 2 3 2" xfId="33449" xr:uid="{00000000-0005-0000-0000-00008C180000}"/>
    <cellStyle name="Normal 11 4 2 3 3" xfId="24130" xr:uid="{00000000-0005-0000-0000-00008D180000}"/>
    <cellStyle name="Normal 11 4 2 3 4" xfId="47392" xr:uid="{00000000-0005-0000-0000-00008E180000}"/>
    <cellStyle name="Normal 11 4 2 4" xfId="14695" xr:uid="{00000000-0005-0000-0000-00008F180000}"/>
    <cellStyle name="Normal 11 4 2 4 2" xfId="28827" xr:uid="{00000000-0005-0000-0000-000090180000}"/>
    <cellStyle name="Normal 11 4 2 4 3" xfId="42722" xr:uid="{00000000-0005-0000-0000-000091180000}"/>
    <cellStyle name="Normal 11 4 2 5" xfId="19508" xr:uid="{00000000-0005-0000-0000-000092180000}"/>
    <cellStyle name="Normal 11 4 2 6" xfId="38140" xr:uid="{00000000-0005-0000-0000-000093180000}"/>
    <cellStyle name="Normal 11 4 3" xfId="4039" xr:uid="{00000000-0005-0000-0000-000094180000}"/>
    <cellStyle name="Normal 11 4 3 2" xfId="4040" xr:uid="{00000000-0005-0000-0000-000095180000}"/>
    <cellStyle name="Normal 11 4 3 2 2" xfId="9967" xr:uid="{00000000-0005-0000-0000-000096180000}"/>
    <cellStyle name="Normal 11 4 3 2 2 2" xfId="33452" xr:uid="{00000000-0005-0000-0000-000097180000}"/>
    <cellStyle name="Normal 11 4 3 2 2 3" xfId="24133" xr:uid="{00000000-0005-0000-0000-000098180000}"/>
    <cellStyle name="Normal 11 4 3 2 2 4" xfId="47395" xr:uid="{00000000-0005-0000-0000-000099180000}"/>
    <cellStyle name="Normal 11 4 3 2 3" xfId="14698" xr:uid="{00000000-0005-0000-0000-00009A180000}"/>
    <cellStyle name="Normal 11 4 3 2 3 2" xfId="28830" xr:uid="{00000000-0005-0000-0000-00009B180000}"/>
    <cellStyle name="Normal 11 4 3 2 3 3" xfId="42725" xr:uid="{00000000-0005-0000-0000-00009C180000}"/>
    <cellStyle name="Normal 11 4 3 2 4" xfId="19511" xr:uid="{00000000-0005-0000-0000-00009D180000}"/>
    <cellStyle name="Normal 11 4 3 2 5" xfId="38143" xr:uid="{00000000-0005-0000-0000-00009E180000}"/>
    <cellStyle name="Normal 11 4 3 3" xfId="9966" xr:uid="{00000000-0005-0000-0000-00009F180000}"/>
    <cellStyle name="Normal 11 4 3 3 2" xfId="33451" xr:uid="{00000000-0005-0000-0000-0000A0180000}"/>
    <cellStyle name="Normal 11 4 3 3 3" xfId="24132" xr:uid="{00000000-0005-0000-0000-0000A1180000}"/>
    <cellStyle name="Normal 11 4 3 3 4" xfId="47394" xr:uid="{00000000-0005-0000-0000-0000A2180000}"/>
    <cellStyle name="Normal 11 4 3 4" xfId="14697" xr:uid="{00000000-0005-0000-0000-0000A3180000}"/>
    <cellStyle name="Normal 11 4 3 4 2" xfId="28829" xr:uid="{00000000-0005-0000-0000-0000A4180000}"/>
    <cellStyle name="Normal 11 4 3 4 3" xfId="42724" xr:uid="{00000000-0005-0000-0000-0000A5180000}"/>
    <cellStyle name="Normal 11 4 3 5" xfId="19510" xr:uid="{00000000-0005-0000-0000-0000A6180000}"/>
    <cellStyle name="Normal 11 4 3 6" xfId="38142" xr:uid="{00000000-0005-0000-0000-0000A7180000}"/>
    <cellStyle name="Normal 11 4 4" xfId="4041" xr:uid="{00000000-0005-0000-0000-0000A8180000}"/>
    <cellStyle name="Normal 11 4 4 2" xfId="4042" xr:uid="{00000000-0005-0000-0000-0000A9180000}"/>
    <cellStyle name="Normal 11 4 4 2 2" xfId="9969" xr:uid="{00000000-0005-0000-0000-0000AA180000}"/>
    <cellStyle name="Normal 11 4 4 2 2 2" xfId="33454" xr:uid="{00000000-0005-0000-0000-0000AB180000}"/>
    <cellStyle name="Normal 11 4 4 2 2 3" xfId="24135" xr:uid="{00000000-0005-0000-0000-0000AC180000}"/>
    <cellStyle name="Normal 11 4 4 2 2 4" xfId="47397" xr:uid="{00000000-0005-0000-0000-0000AD180000}"/>
    <cellStyle name="Normal 11 4 4 2 3" xfId="14700" xr:uid="{00000000-0005-0000-0000-0000AE180000}"/>
    <cellStyle name="Normal 11 4 4 2 3 2" xfId="28832" xr:uid="{00000000-0005-0000-0000-0000AF180000}"/>
    <cellStyle name="Normal 11 4 4 2 3 3" xfId="42727" xr:uid="{00000000-0005-0000-0000-0000B0180000}"/>
    <cellStyle name="Normal 11 4 4 2 4" xfId="19513" xr:uid="{00000000-0005-0000-0000-0000B1180000}"/>
    <cellStyle name="Normal 11 4 4 2 5" xfId="38145" xr:uid="{00000000-0005-0000-0000-0000B2180000}"/>
    <cellStyle name="Normal 11 4 4 3" xfId="9968" xr:uid="{00000000-0005-0000-0000-0000B3180000}"/>
    <cellStyle name="Normal 11 4 4 3 2" xfId="33453" xr:uid="{00000000-0005-0000-0000-0000B4180000}"/>
    <cellStyle name="Normal 11 4 4 3 3" xfId="24134" xr:uid="{00000000-0005-0000-0000-0000B5180000}"/>
    <cellStyle name="Normal 11 4 4 3 4" xfId="47396" xr:uid="{00000000-0005-0000-0000-0000B6180000}"/>
    <cellStyle name="Normal 11 4 4 4" xfId="14699" xr:uid="{00000000-0005-0000-0000-0000B7180000}"/>
    <cellStyle name="Normal 11 4 4 4 2" xfId="28831" xr:uid="{00000000-0005-0000-0000-0000B8180000}"/>
    <cellStyle name="Normal 11 4 4 4 3" xfId="42726" xr:uid="{00000000-0005-0000-0000-0000B9180000}"/>
    <cellStyle name="Normal 11 4 4 5" xfId="19512" xr:uid="{00000000-0005-0000-0000-0000BA180000}"/>
    <cellStyle name="Normal 11 4 4 6" xfId="38144" xr:uid="{00000000-0005-0000-0000-0000BB180000}"/>
    <cellStyle name="Normal 11 4 5" xfId="4043" xr:uid="{00000000-0005-0000-0000-0000BC180000}"/>
    <cellStyle name="Normal 11 4 5 2" xfId="4044" xr:uid="{00000000-0005-0000-0000-0000BD180000}"/>
    <cellStyle name="Normal 11 4 5 2 2" xfId="9971" xr:uid="{00000000-0005-0000-0000-0000BE180000}"/>
    <cellStyle name="Normal 11 4 5 2 2 2" xfId="33456" xr:uid="{00000000-0005-0000-0000-0000BF180000}"/>
    <cellStyle name="Normal 11 4 5 2 2 3" xfId="24137" xr:uid="{00000000-0005-0000-0000-0000C0180000}"/>
    <cellStyle name="Normal 11 4 5 2 2 4" xfId="47399" xr:uid="{00000000-0005-0000-0000-0000C1180000}"/>
    <cellStyle name="Normal 11 4 5 2 3" xfId="14702" xr:uid="{00000000-0005-0000-0000-0000C2180000}"/>
    <cellStyle name="Normal 11 4 5 2 3 2" xfId="28834" xr:uid="{00000000-0005-0000-0000-0000C3180000}"/>
    <cellStyle name="Normal 11 4 5 2 3 3" xfId="42729" xr:uid="{00000000-0005-0000-0000-0000C4180000}"/>
    <cellStyle name="Normal 11 4 5 2 4" xfId="19515" xr:uid="{00000000-0005-0000-0000-0000C5180000}"/>
    <cellStyle name="Normal 11 4 5 2 5" xfId="38147" xr:uid="{00000000-0005-0000-0000-0000C6180000}"/>
    <cellStyle name="Normal 11 4 5 3" xfId="9970" xr:uid="{00000000-0005-0000-0000-0000C7180000}"/>
    <cellStyle name="Normal 11 4 5 3 2" xfId="33455" xr:uid="{00000000-0005-0000-0000-0000C8180000}"/>
    <cellStyle name="Normal 11 4 5 3 3" xfId="24136" xr:uid="{00000000-0005-0000-0000-0000C9180000}"/>
    <cellStyle name="Normal 11 4 5 3 4" xfId="47398" xr:uid="{00000000-0005-0000-0000-0000CA180000}"/>
    <cellStyle name="Normal 11 4 5 4" xfId="14701" xr:uid="{00000000-0005-0000-0000-0000CB180000}"/>
    <cellStyle name="Normal 11 4 5 4 2" xfId="28833" xr:uid="{00000000-0005-0000-0000-0000CC180000}"/>
    <cellStyle name="Normal 11 4 5 4 3" xfId="42728" xr:uid="{00000000-0005-0000-0000-0000CD180000}"/>
    <cellStyle name="Normal 11 4 5 5" xfId="19514" xr:uid="{00000000-0005-0000-0000-0000CE180000}"/>
    <cellStyle name="Normal 11 4 5 6" xfId="38146" xr:uid="{00000000-0005-0000-0000-0000CF180000}"/>
    <cellStyle name="Normal 11 4 6" xfId="4045" xr:uid="{00000000-0005-0000-0000-0000D0180000}"/>
    <cellStyle name="Normal 11 4 6 2" xfId="4046" xr:uid="{00000000-0005-0000-0000-0000D1180000}"/>
    <cellStyle name="Normal 11 4 6 2 2" xfId="9973" xr:uid="{00000000-0005-0000-0000-0000D2180000}"/>
    <cellStyle name="Normal 11 4 6 2 2 2" xfId="33458" xr:uid="{00000000-0005-0000-0000-0000D3180000}"/>
    <cellStyle name="Normal 11 4 6 2 2 3" xfId="24139" xr:uid="{00000000-0005-0000-0000-0000D4180000}"/>
    <cellStyle name="Normal 11 4 6 2 2 4" xfId="47401" xr:uid="{00000000-0005-0000-0000-0000D5180000}"/>
    <cellStyle name="Normal 11 4 6 2 3" xfId="14704" xr:uid="{00000000-0005-0000-0000-0000D6180000}"/>
    <cellStyle name="Normal 11 4 6 2 3 2" xfId="28836" xr:uid="{00000000-0005-0000-0000-0000D7180000}"/>
    <cellStyle name="Normal 11 4 6 2 3 3" xfId="42731" xr:uid="{00000000-0005-0000-0000-0000D8180000}"/>
    <cellStyle name="Normal 11 4 6 2 4" xfId="19517" xr:uid="{00000000-0005-0000-0000-0000D9180000}"/>
    <cellStyle name="Normal 11 4 6 2 5" xfId="38149" xr:uid="{00000000-0005-0000-0000-0000DA180000}"/>
    <cellStyle name="Normal 11 4 6 3" xfId="9972" xr:uid="{00000000-0005-0000-0000-0000DB180000}"/>
    <cellStyle name="Normal 11 4 6 3 2" xfId="33457" xr:uid="{00000000-0005-0000-0000-0000DC180000}"/>
    <cellStyle name="Normal 11 4 6 3 3" xfId="24138" xr:uid="{00000000-0005-0000-0000-0000DD180000}"/>
    <cellStyle name="Normal 11 4 6 3 4" xfId="47400" xr:uid="{00000000-0005-0000-0000-0000DE180000}"/>
    <cellStyle name="Normal 11 4 6 4" xfId="14703" xr:uid="{00000000-0005-0000-0000-0000DF180000}"/>
    <cellStyle name="Normal 11 4 6 4 2" xfId="28835" xr:uid="{00000000-0005-0000-0000-0000E0180000}"/>
    <cellStyle name="Normal 11 4 6 4 3" xfId="42730" xr:uid="{00000000-0005-0000-0000-0000E1180000}"/>
    <cellStyle name="Normal 11 4 6 5" xfId="19516" xr:uid="{00000000-0005-0000-0000-0000E2180000}"/>
    <cellStyle name="Normal 11 4 6 6" xfId="38148" xr:uid="{00000000-0005-0000-0000-0000E3180000}"/>
    <cellStyle name="Normal 11 4 7" xfId="4047" xr:uid="{00000000-0005-0000-0000-0000E4180000}"/>
    <cellStyle name="Normal 11 4 7 2" xfId="9974" xr:uid="{00000000-0005-0000-0000-0000E5180000}"/>
    <cellStyle name="Normal 11 4 7 2 2" xfId="33459" xr:uid="{00000000-0005-0000-0000-0000E6180000}"/>
    <cellStyle name="Normal 11 4 7 2 3" xfId="24140" xr:uid="{00000000-0005-0000-0000-0000E7180000}"/>
    <cellStyle name="Normal 11 4 7 2 4" xfId="47402" xr:uid="{00000000-0005-0000-0000-0000E8180000}"/>
    <cellStyle name="Normal 11 4 7 3" xfId="14705" xr:uid="{00000000-0005-0000-0000-0000E9180000}"/>
    <cellStyle name="Normal 11 4 7 3 2" xfId="28837" xr:uid="{00000000-0005-0000-0000-0000EA180000}"/>
    <cellStyle name="Normal 11 4 7 3 3" xfId="42732" xr:uid="{00000000-0005-0000-0000-0000EB180000}"/>
    <cellStyle name="Normal 11 4 7 4" xfId="19518" xr:uid="{00000000-0005-0000-0000-0000EC180000}"/>
    <cellStyle name="Normal 11 4 7 5" xfId="38150" xr:uid="{00000000-0005-0000-0000-0000ED180000}"/>
    <cellStyle name="Normal 11 4 8" xfId="9963" xr:uid="{00000000-0005-0000-0000-0000EE180000}"/>
    <cellStyle name="Normal 11 4 8 2" xfId="33448" xr:uid="{00000000-0005-0000-0000-0000EF180000}"/>
    <cellStyle name="Normal 11 4 8 3" xfId="24129" xr:uid="{00000000-0005-0000-0000-0000F0180000}"/>
    <cellStyle name="Normal 11 4 8 4" xfId="47391" xr:uid="{00000000-0005-0000-0000-0000F1180000}"/>
    <cellStyle name="Normal 11 4 9" xfId="14694" xr:uid="{00000000-0005-0000-0000-0000F2180000}"/>
    <cellStyle name="Normal 11 4 9 2" xfId="28826" xr:uid="{00000000-0005-0000-0000-0000F3180000}"/>
    <cellStyle name="Normal 11 4 9 3" xfId="42721" xr:uid="{00000000-0005-0000-0000-0000F4180000}"/>
    <cellStyle name="Normal 11 5" xfId="4048" xr:uid="{00000000-0005-0000-0000-0000F5180000}"/>
    <cellStyle name="Normal 11 5 10" xfId="19519" xr:uid="{00000000-0005-0000-0000-0000F6180000}"/>
    <cellStyle name="Normal 11 5 11" xfId="38151" xr:uid="{00000000-0005-0000-0000-0000F7180000}"/>
    <cellStyle name="Normal 11 5 2" xfId="4049" xr:uid="{00000000-0005-0000-0000-0000F8180000}"/>
    <cellStyle name="Normal 11 5 2 2" xfId="4050" xr:uid="{00000000-0005-0000-0000-0000F9180000}"/>
    <cellStyle name="Normal 11 5 2 2 2" xfId="9977" xr:uid="{00000000-0005-0000-0000-0000FA180000}"/>
    <cellStyle name="Normal 11 5 2 2 2 2" xfId="33462" xr:uid="{00000000-0005-0000-0000-0000FB180000}"/>
    <cellStyle name="Normal 11 5 2 2 2 3" xfId="24143" xr:uid="{00000000-0005-0000-0000-0000FC180000}"/>
    <cellStyle name="Normal 11 5 2 2 2 4" xfId="47405" xr:uid="{00000000-0005-0000-0000-0000FD180000}"/>
    <cellStyle name="Normal 11 5 2 2 3" xfId="14708" xr:uid="{00000000-0005-0000-0000-0000FE180000}"/>
    <cellStyle name="Normal 11 5 2 2 3 2" xfId="28840" xr:uid="{00000000-0005-0000-0000-0000FF180000}"/>
    <cellStyle name="Normal 11 5 2 2 3 3" xfId="42735" xr:uid="{00000000-0005-0000-0000-000000190000}"/>
    <cellStyle name="Normal 11 5 2 2 4" xfId="19521" xr:uid="{00000000-0005-0000-0000-000001190000}"/>
    <cellStyle name="Normal 11 5 2 2 5" xfId="38153" xr:uid="{00000000-0005-0000-0000-000002190000}"/>
    <cellStyle name="Normal 11 5 2 3" xfId="9976" xr:uid="{00000000-0005-0000-0000-000003190000}"/>
    <cellStyle name="Normal 11 5 2 3 2" xfId="33461" xr:uid="{00000000-0005-0000-0000-000004190000}"/>
    <cellStyle name="Normal 11 5 2 3 3" xfId="24142" xr:uid="{00000000-0005-0000-0000-000005190000}"/>
    <cellStyle name="Normal 11 5 2 3 4" xfId="47404" xr:uid="{00000000-0005-0000-0000-000006190000}"/>
    <cellStyle name="Normal 11 5 2 4" xfId="14707" xr:uid="{00000000-0005-0000-0000-000007190000}"/>
    <cellStyle name="Normal 11 5 2 4 2" xfId="28839" xr:uid="{00000000-0005-0000-0000-000008190000}"/>
    <cellStyle name="Normal 11 5 2 4 3" xfId="42734" xr:uid="{00000000-0005-0000-0000-000009190000}"/>
    <cellStyle name="Normal 11 5 2 5" xfId="19520" xr:uid="{00000000-0005-0000-0000-00000A190000}"/>
    <cellStyle name="Normal 11 5 2 6" xfId="38152" xr:uid="{00000000-0005-0000-0000-00000B190000}"/>
    <cellStyle name="Normal 11 5 3" xfId="4051" xr:uid="{00000000-0005-0000-0000-00000C190000}"/>
    <cellStyle name="Normal 11 5 3 2" xfId="4052" xr:uid="{00000000-0005-0000-0000-00000D190000}"/>
    <cellStyle name="Normal 11 5 3 2 2" xfId="9979" xr:uid="{00000000-0005-0000-0000-00000E190000}"/>
    <cellStyle name="Normal 11 5 3 2 2 2" xfId="33464" xr:uid="{00000000-0005-0000-0000-00000F190000}"/>
    <cellStyle name="Normal 11 5 3 2 2 3" xfId="24145" xr:uid="{00000000-0005-0000-0000-000010190000}"/>
    <cellStyle name="Normal 11 5 3 2 2 4" xfId="47407" xr:uid="{00000000-0005-0000-0000-000011190000}"/>
    <cellStyle name="Normal 11 5 3 2 3" xfId="14710" xr:uid="{00000000-0005-0000-0000-000012190000}"/>
    <cellStyle name="Normal 11 5 3 2 3 2" xfId="28842" xr:uid="{00000000-0005-0000-0000-000013190000}"/>
    <cellStyle name="Normal 11 5 3 2 3 3" xfId="42737" xr:uid="{00000000-0005-0000-0000-000014190000}"/>
    <cellStyle name="Normal 11 5 3 2 4" xfId="19523" xr:uid="{00000000-0005-0000-0000-000015190000}"/>
    <cellStyle name="Normal 11 5 3 2 5" xfId="38155" xr:uid="{00000000-0005-0000-0000-000016190000}"/>
    <cellStyle name="Normal 11 5 3 3" xfId="9978" xr:uid="{00000000-0005-0000-0000-000017190000}"/>
    <cellStyle name="Normal 11 5 3 3 2" xfId="33463" xr:uid="{00000000-0005-0000-0000-000018190000}"/>
    <cellStyle name="Normal 11 5 3 3 3" xfId="24144" xr:uid="{00000000-0005-0000-0000-000019190000}"/>
    <cellStyle name="Normal 11 5 3 3 4" xfId="47406" xr:uid="{00000000-0005-0000-0000-00001A190000}"/>
    <cellStyle name="Normal 11 5 3 4" xfId="14709" xr:uid="{00000000-0005-0000-0000-00001B190000}"/>
    <cellStyle name="Normal 11 5 3 4 2" xfId="28841" xr:uid="{00000000-0005-0000-0000-00001C190000}"/>
    <cellStyle name="Normal 11 5 3 4 3" xfId="42736" xr:uid="{00000000-0005-0000-0000-00001D190000}"/>
    <cellStyle name="Normal 11 5 3 5" xfId="19522" xr:uid="{00000000-0005-0000-0000-00001E190000}"/>
    <cellStyle name="Normal 11 5 3 6" xfId="38154" xr:uid="{00000000-0005-0000-0000-00001F190000}"/>
    <cellStyle name="Normal 11 5 4" xfId="4053" xr:uid="{00000000-0005-0000-0000-000020190000}"/>
    <cellStyle name="Normal 11 5 4 2" xfId="4054" xr:uid="{00000000-0005-0000-0000-000021190000}"/>
    <cellStyle name="Normal 11 5 4 2 2" xfId="9981" xr:uid="{00000000-0005-0000-0000-000022190000}"/>
    <cellStyle name="Normal 11 5 4 2 2 2" xfId="33466" xr:uid="{00000000-0005-0000-0000-000023190000}"/>
    <cellStyle name="Normal 11 5 4 2 2 3" xfId="24147" xr:uid="{00000000-0005-0000-0000-000024190000}"/>
    <cellStyle name="Normal 11 5 4 2 2 4" xfId="47409" xr:uid="{00000000-0005-0000-0000-000025190000}"/>
    <cellStyle name="Normal 11 5 4 2 3" xfId="14712" xr:uid="{00000000-0005-0000-0000-000026190000}"/>
    <cellStyle name="Normal 11 5 4 2 3 2" xfId="28844" xr:uid="{00000000-0005-0000-0000-000027190000}"/>
    <cellStyle name="Normal 11 5 4 2 3 3" xfId="42739" xr:uid="{00000000-0005-0000-0000-000028190000}"/>
    <cellStyle name="Normal 11 5 4 2 4" xfId="19525" xr:uid="{00000000-0005-0000-0000-000029190000}"/>
    <cellStyle name="Normal 11 5 4 2 5" xfId="38157" xr:uid="{00000000-0005-0000-0000-00002A190000}"/>
    <cellStyle name="Normal 11 5 4 3" xfId="9980" xr:uid="{00000000-0005-0000-0000-00002B190000}"/>
    <cellStyle name="Normal 11 5 4 3 2" xfId="33465" xr:uid="{00000000-0005-0000-0000-00002C190000}"/>
    <cellStyle name="Normal 11 5 4 3 3" xfId="24146" xr:uid="{00000000-0005-0000-0000-00002D190000}"/>
    <cellStyle name="Normal 11 5 4 3 4" xfId="47408" xr:uid="{00000000-0005-0000-0000-00002E190000}"/>
    <cellStyle name="Normal 11 5 4 4" xfId="14711" xr:uid="{00000000-0005-0000-0000-00002F190000}"/>
    <cellStyle name="Normal 11 5 4 4 2" xfId="28843" xr:uid="{00000000-0005-0000-0000-000030190000}"/>
    <cellStyle name="Normal 11 5 4 4 3" xfId="42738" xr:uid="{00000000-0005-0000-0000-000031190000}"/>
    <cellStyle name="Normal 11 5 4 5" xfId="19524" xr:uid="{00000000-0005-0000-0000-000032190000}"/>
    <cellStyle name="Normal 11 5 4 6" xfId="38156" xr:uid="{00000000-0005-0000-0000-000033190000}"/>
    <cellStyle name="Normal 11 5 5" xfId="4055" xr:uid="{00000000-0005-0000-0000-000034190000}"/>
    <cellStyle name="Normal 11 5 5 2" xfId="4056" xr:uid="{00000000-0005-0000-0000-000035190000}"/>
    <cellStyle name="Normal 11 5 5 2 2" xfId="9983" xr:uid="{00000000-0005-0000-0000-000036190000}"/>
    <cellStyle name="Normal 11 5 5 2 2 2" xfId="33468" xr:uid="{00000000-0005-0000-0000-000037190000}"/>
    <cellStyle name="Normal 11 5 5 2 2 3" xfId="24149" xr:uid="{00000000-0005-0000-0000-000038190000}"/>
    <cellStyle name="Normal 11 5 5 2 2 4" xfId="47411" xr:uid="{00000000-0005-0000-0000-000039190000}"/>
    <cellStyle name="Normal 11 5 5 2 3" xfId="14714" xr:uid="{00000000-0005-0000-0000-00003A190000}"/>
    <cellStyle name="Normal 11 5 5 2 3 2" xfId="28846" xr:uid="{00000000-0005-0000-0000-00003B190000}"/>
    <cellStyle name="Normal 11 5 5 2 3 3" xfId="42741" xr:uid="{00000000-0005-0000-0000-00003C190000}"/>
    <cellStyle name="Normal 11 5 5 2 4" xfId="19527" xr:uid="{00000000-0005-0000-0000-00003D190000}"/>
    <cellStyle name="Normal 11 5 5 2 5" xfId="38159" xr:uid="{00000000-0005-0000-0000-00003E190000}"/>
    <cellStyle name="Normal 11 5 5 3" xfId="9982" xr:uid="{00000000-0005-0000-0000-00003F190000}"/>
    <cellStyle name="Normal 11 5 5 3 2" xfId="33467" xr:uid="{00000000-0005-0000-0000-000040190000}"/>
    <cellStyle name="Normal 11 5 5 3 3" xfId="24148" xr:uid="{00000000-0005-0000-0000-000041190000}"/>
    <cellStyle name="Normal 11 5 5 3 4" xfId="47410" xr:uid="{00000000-0005-0000-0000-000042190000}"/>
    <cellStyle name="Normal 11 5 5 4" xfId="14713" xr:uid="{00000000-0005-0000-0000-000043190000}"/>
    <cellStyle name="Normal 11 5 5 4 2" xfId="28845" xr:uid="{00000000-0005-0000-0000-000044190000}"/>
    <cellStyle name="Normal 11 5 5 4 3" xfId="42740" xr:uid="{00000000-0005-0000-0000-000045190000}"/>
    <cellStyle name="Normal 11 5 5 5" xfId="19526" xr:uid="{00000000-0005-0000-0000-000046190000}"/>
    <cellStyle name="Normal 11 5 5 6" xfId="38158" xr:uid="{00000000-0005-0000-0000-000047190000}"/>
    <cellStyle name="Normal 11 5 6" xfId="4057" xr:uid="{00000000-0005-0000-0000-000048190000}"/>
    <cellStyle name="Normal 11 5 6 2" xfId="4058" xr:uid="{00000000-0005-0000-0000-000049190000}"/>
    <cellStyle name="Normal 11 5 6 2 2" xfId="9985" xr:uid="{00000000-0005-0000-0000-00004A190000}"/>
    <cellStyle name="Normal 11 5 6 2 2 2" xfId="33470" xr:uid="{00000000-0005-0000-0000-00004B190000}"/>
    <cellStyle name="Normal 11 5 6 2 2 3" xfId="24151" xr:uid="{00000000-0005-0000-0000-00004C190000}"/>
    <cellStyle name="Normal 11 5 6 2 2 4" xfId="47413" xr:uid="{00000000-0005-0000-0000-00004D190000}"/>
    <cellStyle name="Normal 11 5 6 2 3" xfId="14716" xr:uid="{00000000-0005-0000-0000-00004E190000}"/>
    <cellStyle name="Normal 11 5 6 2 3 2" xfId="28848" xr:uid="{00000000-0005-0000-0000-00004F190000}"/>
    <cellStyle name="Normal 11 5 6 2 3 3" xfId="42743" xr:uid="{00000000-0005-0000-0000-000050190000}"/>
    <cellStyle name="Normal 11 5 6 2 4" xfId="19529" xr:uid="{00000000-0005-0000-0000-000051190000}"/>
    <cellStyle name="Normal 11 5 6 2 5" xfId="38161" xr:uid="{00000000-0005-0000-0000-000052190000}"/>
    <cellStyle name="Normal 11 5 6 3" xfId="9984" xr:uid="{00000000-0005-0000-0000-000053190000}"/>
    <cellStyle name="Normal 11 5 6 3 2" xfId="33469" xr:uid="{00000000-0005-0000-0000-000054190000}"/>
    <cellStyle name="Normal 11 5 6 3 3" xfId="24150" xr:uid="{00000000-0005-0000-0000-000055190000}"/>
    <cellStyle name="Normal 11 5 6 3 4" xfId="47412" xr:uid="{00000000-0005-0000-0000-000056190000}"/>
    <cellStyle name="Normal 11 5 6 4" xfId="14715" xr:uid="{00000000-0005-0000-0000-000057190000}"/>
    <cellStyle name="Normal 11 5 6 4 2" xfId="28847" xr:uid="{00000000-0005-0000-0000-000058190000}"/>
    <cellStyle name="Normal 11 5 6 4 3" xfId="42742" xr:uid="{00000000-0005-0000-0000-000059190000}"/>
    <cellStyle name="Normal 11 5 6 5" xfId="19528" xr:uid="{00000000-0005-0000-0000-00005A190000}"/>
    <cellStyle name="Normal 11 5 6 6" xfId="38160" xr:uid="{00000000-0005-0000-0000-00005B190000}"/>
    <cellStyle name="Normal 11 5 7" xfId="4059" xr:uid="{00000000-0005-0000-0000-00005C190000}"/>
    <cellStyle name="Normal 11 5 7 2" xfId="9986" xr:uid="{00000000-0005-0000-0000-00005D190000}"/>
    <cellStyle name="Normal 11 5 7 2 2" xfId="33471" xr:uid="{00000000-0005-0000-0000-00005E190000}"/>
    <cellStyle name="Normal 11 5 7 2 3" xfId="24152" xr:uid="{00000000-0005-0000-0000-00005F190000}"/>
    <cellStyle name="Normal 11 5 7 2 4" xfId="47414" xr:uid="{00000000-0005-0000-0000-000060190000}"/>
    <cellStyle name="Normal 11 5 7 3" xfId="14717" xr:uid="{00000000-0005-0000-0000-000061190000}"/>
    <cellStyle name="Normal 11 5 7 3 2" xfId="28849" xr:uid="{00000000-0005-0000-0000-000062190000}"/>
    <cellStyle name="Normal 11 5 7 3 3" xfId="42744" xr:uid="{00000000-0005-0000-0000-000063190000}"/>
    <cellStyle name="Normal 11 5 7 4" xfId="19530" xr:uid="{00000000-0005-0000-0000-000064190000}"/>
    <cellStyle name="Normal 11 5 7 5" xfId="38162" xr:uid="{00000000-0005-0000-0000-000065190000}"/>
    <cellStyle name="Normal 11 5 8" xfId="9975" xr:uid="{00000000-0005-0000-0000-000066190000}"/>
    <cellStyle name="Normal 11 5 8 2" xfId="33460" xr:uid="{00000000-0005-0000-0000-000067190000}"/>
    <cellStyle name="Normal 11 5 8 3" xfId="24141" xr:uid="{00000000-0005-0000-0000-000068190000}"/>
    <cellStyle name="Normal 11 5 8 4" xfId="47403" xr:uid="{00000000-0005-0000-0000-000069190000}"/>
    <cellStyle name="Normal 11 5 9" xfId="14706" xr:uid="{00000000-0005-0000-0000-00006A190000}"/>
    <cellStyle name="Normal 11 5 9 2" xfId="28838" xr:uid="{00000000-0005-0000-0000-00006B190000}"/>
    <cellStyle name="Normal 11 5 9 3" xfId="42733" xr:uid="{00000000-0005-0000-0000-00006C190000}"/>
    <cellStyle name="Normal 11 6" xfId="4060" xr:uid="{00000000-0005-0000-0000-00006D190000}"/>
    <cellStyle name="Normal 11 6 10" xfId="19531" xr:uid="{00000000-0005-0000-0000-00006E190000}"/>
    <cellStyle name="Normal 11 6 11" xfId="38163" xr:uid="{00000000-0005-0000-0000-00006F190000}"/>
    <cellStyle name="Normal 11 6 2" xfId="4061" xr:uid="{00000000-0005-0000-0000-000070190000}"/>
    <cellStyle name="Normal 11 6 2 2" xfId="4062" xr:uid="{00000000-0005-0000-0000-000071190000}"/>
    <cellStyle name="Normal 11 6 2 2 2" xfId="9989" xr:uid="{00000000-0005-0000-0000-000072190000}"/>
    <cellStyle name="Normal 11 6 2 2 2 2" xfId="33474" xr:uid="{00000000-0005-0000-0000-000073190000}"/>
    <cellStyle name="Normal 11 6 2 2 2 3" xfId="24155" xr:uid="{00000000-0005-0000-0000-000074190000}"/>
    <cellStyle name="Normal 11 6 2 2 2 4" xfId="47417" xr:uid="{00000000-0005-0000-0000-000075190000}"/>
    <cellStyle name="Normal 11 6 2 2 3" xfId="14720" xr:uid="{00000000-0005-0000-0000-000076190000}"/>
    <cellStyle name="Normal 11 6 2 2 3 2" xfId="28852" xr:uid="{00000000-0005-0000-0000-000077190000}"/>
    <cellStyle name="Normal 11 6 2 2 3 3" xfId="42747" xr:uid="{00000000-0005-0000-0000-000078190000}"/>
    <cellStyle name="Normal 11 6 2 2 4" xfId="19533" xr:uid="{00000000-0005-0000-0000-000079190000}"/>
    <cellStyle name="Normal 11 6 2 2 5" xfId="38165" xr:uid="{00000000-0005-0000-0000-00007A190000}"/>
    <cellStyle name="Normal 11 6 2 3" xfId="9988" xr:uid="{00000000-0005-0000-0000-00007B190000}"/>
    <cellStyle name="Normal 11 6 2 3 2" xfId="33473" xr:uid="{00000000-0005-0000-0000-00007C190000}"/>
    <cellStyle name="Normal 11 6 2 3 3" xfId="24154" xr:uid="{00000000-0005-0000-0000-00007D190000}"/>
    <cellStyle name="Normal 11 6 2 3 4" xfId="47416" xr:uid="{00000000-0005-0000-0000-00007E190000}"/>
    <cellStyle name="Normal 11 6 2 4" xfId="14719" xr:uid="{00000000-0005-0000-0000-00007F190000}"/>
    <cellStyle name="Normal 11 6 2 4 2" xfId="28851" xr:uid="{00000000-0005-0000-0000-000080190000}"/>
    <cellStyle name="Normal 11 6 2 4 3" xfId="42746" xr:uid="{00000000-0005-0000-0000-000081190000}"/>
    <cellStyle name="Normal 11 6 2 5" xfId="19532" xr:uid="{00000000-0005-0000-0000-000082190000}"/>
    <cellStyle name="Normal 11 6 2 6" xfId="38164" xr:uid="{00000000-0005-0000-0000-000083190000}"/>
    <cellStyle name="Normal 11 6 3" xfId="4063" xr:uid="{00000000-0005-0000-0000-000084190000}"/>
    <cellStyle name="Normal 11 6 3 2" xfId="4064" xr:uid="{00000000-0005-0000-0000-000085190000}"/>
    <cellStyle name="Normal 11 6 3 2 2" xfId="9991" xr:uid="{00000000-0005-0000-0000-000086190000}"/>
    <cellStyle name="Normal 11 6 3 2 2 2" xfId="33476" xr:uid="{00000000-0005-0000-0000-000087190000}"/>
    <cellStyle name="Normal 11 6 3 2 2 3" xfId="24157" xr:uid="{00000000-0005-0000-0000-000088190000}"/>
    <cellStyle name="Normal 11 6 3 2 2 4" xfId="47419" xr:uid="{00000000-0005-0000-0000-000089190000}"/>
    <cellStyle name="Normal 11 6 3 2 3" xfId="14722" xr:uid="{00000000-0005-0000-0000-00008A190000}"/>
    <cellStyle name="Normal 11 6 3 2 3 2" xfId="28854" xr:uid="{00000000-0005-0000-0000-00008B190000}"/>
    <cellStyle name="Normal 11 6 3 2 3 3" xfId="42749" xr:uid="{00000000-0005-0000-0000-00008C190000}"/>
    <cellStyle name="Normal 11 6 3 2 4" xfId="19535" xr:uid="{00000000-0005-0000-0000-00008D190000}"/>
    <cellStyle name="Normal 11 6 3 2 5" xfId="38167" xr:uid="{00000000-0005-0000-0000-00008E190000}"/>
    <cellStyle name="Normal 11 6 3 3" xfId="9990" xr:uid="{00000000-0005-0000-0000-00008F190000}"/>
    <cellStyle name="Normal 11 6 3 3 2" xfId="33475" xr:uid="{00000000-0005-0000-0000-000090190000}"/>
    <cellStyle name="Normal 11 6 3 3 3" xfId="24156" xr:uid="{00000000-0005-0000-0000-000091190000}"/>
    <cellStyle name="Normal 11 6 3 3 4" xfId="47418" xr:uid="{00000000-0005-0000-0000-000092190000}"/>
    <cellStyle name="Normal 11 6 3 4" xfId="14721" xr:uid="{00000000-0005-0000-0000-000093190000}"/>
    <cellStyle name="Normal 11 6 3 4 2" xfId="28853" xr:uid="{00000000-0005-0000-0000-000094190000}"/>
    <cellStyle name="Normal 11 6 3 4 3" xfId="42748" xr:uid="{00000000-0005-0000-0000-000095190000}"/>
    <cellStyle name="Normal 11 6 3 5" xfId="19534" xr:uid="{00000000-0005-0000-0000-000096190000}"/>
    <cellStyle name="Normal 11 6 3 6" xfId="38166" xr:uid="{00000000-0005-0000-0000-000097190000}"/>
    <cellStyle name="Normal 11 6 4" xfId="4065" xr:uid="{00000000-0005-0000-0000-000098190000}"/>
    <cellStyle name="Normal 11 6 4 2" xfId="4066" xr:uid="{00000000-0005-0000-0000-000099190000}"/>
    <cellStyle name="Normal 11 6 4 2 2" xfId="9993" xr:uid="{00000000-0005-0000-0000-00009A190000}"/>
    <cellStyle name="Normal 11 6 4 2 2 2" xfId="33478" xr:uid="{00000000-0005-0000-0000-00009B190000}"/>
    <cellStyle name="Normal 11 6 4 2 2 3" xfId="24159" xr:uid="{00000000-0005-0000-0000-00009C190000}"/>
    <cellStyle name="Normal 11 6 4 2 2 4" xfId="47421" xr:uid="{00000000-0005-0000-0000-00009D190000}"/>
    <cellStyle name="Normal 11 6 4 2 3" xfId="14724" xr:uid="{00000000-0005-0000-0000-00009E190000}"/>
    <cellStyle name="Normal 11 6 4 2 3 2" xfId="28856" xr:uid="{00000000-0005-0000-0000-00009F190000}"/>
    <cellStyle name="Normal 11 6 4 2 3 3" xfId="42751" xr:uid="{00000000-0005-0000-0000-0000A0190000}"/>
    <cellStyle name="Normal 11 6 4 2 4" xfId="19537" xr:uid="{00000000-0005-0000-0000-0000A1190000}"/>
    <cellStyle name="Normal 11 6 4 2 5" xfId="38169" xr:uid="{00000000-0005-0000-0000-0000A2190000}"/>
    <cellStyle name="Normal 11 6 4 3" xfId="9992" xr:uid="{00000000-0005-0000-0000-0000A3190000}"/>
    <cellStyle name="Normal 11 6 4 3 2" xfId="33477" xr:uid="{00000000-0005-0000-0000-0000A4190000}"/>
    <cellStyle name="Normal 11 6 4 3 3" xfId="24158" xr:uid="{00000000-0005-0000-0000-0000A5190000}"/>
    <cellStyle name="Normal 11 6 4 3 4" xfId="47420" xr:uid="{00000000-0005-0000-0000-0000A6190000}"/>
    <cellStyle name="Normal 11 6 4 4" xfId="14723" xr:uid="{00000000-0005-0000-0000-0000A7190000}"/>
    <cellStyle name="Normal 11 6 4 4 2" xfId="28855" xr:uid="{00000000-0005-0000-0000-0000A8190000}"/>
    <cellStyle name="Normal 11 6 4 4 3" xfId="42750" xr:uid="{00000000-0005-0000-0000-0000A9190000}"/>
    <cellStyle name="Normal 11 6 4 5" xfId="19536" xr:uid="{00000000-0005-0000-0000-0000AA190000}"/>
    <cellStyle name="Normal 11 6 4 6" xfId="38168" xr:uid="{00000000-0005-0000-0000-0000AB190000}"/>
    <cellStyle name="Normal 11 6 5" xfId="4067" xr:uid="{00000000-0005-0000-0000-0000AC190000}"/>
    <cellStyle name="Normal 11 6 5 2" xfId="4068" xr:uid="{00000000-0005-0000-0000-0000AD190000}"/>
    <cellStyle name="Normal 11 6 5 2 2" xfId="9995" xr:uid="{00000000-0005-0000-0000-0000AE190000}"/>
    <cellStyle name="Normal 11 6 5 2 2 2" xfId="33480" xr:uid="{00000000-0005-0000-0000-0000AF190000}"/>
    <cellStyle name="Normal 11 6 5 2 2 3" xfId="24161" xr:uid="{00000000-0005-0000-0000-0000B0190000}"/>
    <cellStyle name="Normal 11 6 5 2 2 4" xfId="47423" xr:uid="{00000000-0005-0000-0000-0000B1190000}"/>
    <cellStyle name="Normal 11 6 5 2 3" xfId="14726" xr:uid="{00000000-0005-0000-0000-0000B2190000}"/>
    <cellStyle name="Normal 11 6 5 2 3 2" xfId="28858" xr:uid="{00000000-0005-0000-0000-0000B3190000}"/>
    <cellStyle name="Normal 11 6 5 2 3 3" xfId="42753" xr:uid="{00000000-0005-0000-0000-0000B4190000}"/>
    <cellStyle name="Normal 11 6 5 2 4" xfId="19539" xr:uid="{00000000-0005-0000-0000-0000B5190000}"/>
    <cellStyle name="Normal 11 6 5 2 5" xfId="38171" xr:uid="{00000000-0005-0000-0000-0000B6190000}"/>
    <cellStyle name="Normal 11 6 5 3" xfId="9994" xr:uid="{00000000-0005-0000-0000-0000B7190000}"/>
    <cellStyle name="Normal 11 6 5 3 2" xfId="33479" xr:uid="{00000000-0005-0000-0000-0000B8190000}"/>
    <cellStyle name="Normal 11 6 5 3 3" xfId="24160" xr:uid="{00000000-0005-0000-0000-0000B9190000}"/>
    <cellStyle name="Normal 11 6 5 3 4" xfId="47422" xr:uid="{00000000-0005-0000-0000-0000BA190000}"/>
    <cellStyle name="Normal 11 6 5 4" xfId="14725" xr:uid="{00000000-0005-0000-0000-0000BB190000}"/>
    <cellStyle name="Normal 11 6 5 4 2" xfId="28857" xr:uid="{00000000-0005-0000-0000-0000BC190000}"/>
    <cellStyle name="Normal 11 6 5 4 3" xfId="42752" xr:uid="{00000000-0005-0000-0000-0000BD190000}"/>
    <cellStyle name="Normal 11 6 5 5" xfId="19538" xr:uid="{00000000-0005-0000-0000-0000BE190000}"/>
    <cellStyle name="Normal 11 6 5 6" xfId="38170" xr:uid="{00000000-0005-0000-0000-0000BF190000}"/>
    <cellStyle name="Normal 11 6 6" xfId="4069" xr:uid="{00000000-0005-0000-0000-0000C0190000}"/>
    <cellStyle name="Normal 11 6 6 2" xfId="4070" xr:uid="{00000000-0005-0000-0000-0000C1190000}"/>
    <cellStyle name="Normal 11 6 6 2 2" xfId="9997" xr:uid="{00000000-0005-0000-0000-0000C2190000}"/>
    <cellStyle name="Normal 11 6 6 2 2 2" xfId="33482" xr:uid="{00000000-0005-0000-0000-0000C3190000}"/>
    <cellStyle name="Normal 11 6 6 2 2 3" xfId="24163" xr:uid="{00000000-0005-0000-0000-0000C4190000}"/>
    <cellStyle name="Normal 11 6 6 2 2 4" xfId="47425" xr:uid="{00000000-0005-0000-0000-0000C5190000}"/>
    <cellStyle name="Normal 11 6 6 2 3" xfId="14728" xr:uid="{00000000-0005-0000-0000-0000C6190000}"/>
    <cellStyle name="Normal 11 6 6 2 3 2" xfId="28860" xr:uid="{00000000-0005-0000-0000-0000C7190000}"/>
    <cellStyle name="Normal 11 6 6 2 3 3" xfId="42755" xr:uid="{00000000-0005-0000-0000-0000C8190000}"/>
    <cellStyle name="Normal 11 6 6 2 4" xfId="19541" xr:uid="{00000000-0005-0000-0000-0000C9190000}"/>
    <cellStyle name="Normal 11 6 6 2 5" xfId="38173" xr:uid="{00000000-0005-0000-0000-0000CA190000}"/>
    <cellStyle name="Normal 11 6 6 3" xfId="9996" xr:uid="{00000000-0005-0000-0000-0000CB190000}"/>
    <cellStyle name="Normal 11 6 6 3 2" xfId="33481" xr:uid="{00000000-0005-0000-0000-0000CC190000}"/>
    <cellStyle name="Normal 11 6 6 3 3" xfId="24162" xr:uid="{00000000-0005-0000-0000-0000CD190000}"/>
    <cellStyle name="Normal 11 6 6 3 4" xfId="47424" xr:uid="{00000000-0005-0000-0000-0000CE190000}"/>
    <cellStyle name="Normal 11 6 6 4" xfId="14727" xr:uid="{00000000-0005-0000-0000-0000CF190000}"/>
    <cellStyle name="Normal 11 6 6 4 2" xfId="28859" xr:uid="{00000000-0005-0000-0000-0000D0190000}"/>
    <cellStyle name="Normal 11 6 6 4 3" xfId="42754" xr:uid="{00000000-0005-0000-0000-0000D1190000}"/>
    <cellStyle name="Normal 11 6 6 5" xfId="19540" xr:uid="{00000000-0005-0000-0000-0000D2190000}"/>
    <cellStyle name="Normal 11 6 6 6" xfId="38172" xr:uid="{00000000-0005-0000-0000-0000D3190000}"/>
    <cellStyle name="Normal 11 6 7" xfId="4071" xr:uid="{00000000-0005-0000-0000-0000D4190000}"/>
    <cellStyle name="Normal 11 6 7 2" xfId="9998" xr:uid="{00000000-0005-0000-0000-0000D5190000}"/>
    <cellStyle name="Normal 11 6 7 2 2" xfId="33483" xr:uid="{00000000-0005-0000-0000-0000D6190000}"/>
    <cellStyle name="Normal 11 6 7 2 3" xfId="24164" xr:uid="{00000000-0005-0000-0000-0000D7190000}"/>
    <cellStyle name="Normal 11 6 7 2 4" xfId="47426" xr:uid="{00000000-0005-0000-0000-0000D8190000}"/>
    <cellStyle name="Normal 11 6 7 3" xfId="14729" xr:uid="{00000000-0005-0000-0000-0000D9190000}"/>
    <cellStyle name="Normal 11 6 7 3 2" xfId="28861" xr:uid="{00000000-0005-0000-0000-0000DA190000}"/>
    <cellStyle name="Normal 11 6 7 3 3" xfId="42756" xr:uid="{00000000-0005-0000-0000-0000DB190000}"/>
    <cellStyle name="Normal 11 6 7 4" xfId="19542" xr:uid="{00000000-0005-0000-0000-0000DC190000}"/>
    <cellStyle name="Normal 11 6 7 5" xfId="38174" xr:uid="{00000000-0005-0000-0000-0000DD190000}"/>
    <cellStyle name="Normal 11 6 8" xfId="9987" xr:uid="{00000000-0005-0000-0000-0000DE190000}"/>
    <cellStyle name="Normal 11 6 8 2" xfId="33472" xr:uid="{00000000-0005-0000-0000-0000DF190000}"/>
    <cellStyle name="Normal 11 6 8 3" xfId="24153" xr:uid="{00000000-0005-0000-0000-0000E0190000}"/>
    <cellStyle name="Normal 11 6 8 4" xfId="47415" xr:uid="{00000000-0005-0000-0000-0000E1190000}"/>
    <cellStyle name="Normal 11 6 9" xfId="14718" xr:uid="{00000000-0005-0000-0000-0000E2190000}"/>
    <cellStyle name="Normal 11 6 9 2" xfId="28850" xr:uid="{00000000-0005-0000-0000-0000E3190000}"/>
    <cellStyle name="Normal 11 6 9 3" xfId="42745" xr:uid="{00000000-0005-0000-0000-0000E4190000}"/>
    <cellStyle name="Normal 11 7" xfId="4072" xr:uid="{00000000-0005-0000-0000-0000E5190000}"/>
    <cellStyle name="Normal 11 7 10" xfId="19543" xr:uid="{00000000-0005-0000-0000-0000E6190000}"/>
    <cellStyle name="Normal 11 7 11" xfId="38175" xr:uid="{00000000-0005-0000-0000-0000E7190000}"/>
    <cellStyle name="Normal 11 7 2" xfId="4073" xr:uid="{00000000-0005-0000-0000-0000E8190000}"/>
    <cellStyle name="Normal 11 7 2 2" xfId="4074" xr:uid="{00000000-0005-0000-0000-0000E9190000}"/>
    <cellStyle name="Normal 11 7 2 2 2" xfId="10001" xr:uid="{00000000-0005-0000-0000-0000EA190000}"/>
    <cellStyle name="Normal 11 7 2 2 2 2" xfId="33486" xr:uid="{00000000-0005-0000-0000-0000EB190000}"/>
    <cellStyle name="Normal 11 7 2 2 2 3" xfId="24167" xr:uid="{00000000-0005-0000-0000-0000EC190000}"/>
    <cellStyle name="Normal 11 7 2 2 2 4" xfId="47429" xr:uid="{00000000-0005-0000-0000-0000ED190000}"/>
    <cellStyle name="Normal 11 7 2 2 3" xfId="14732" xr:uid="{00000000-0005-0000-0000-0000EE190000}"/>
    <cellStyle name="Normal 11 7 2 2 3 2" xfId="28864" xr:uid="{00000000-0005-0000-0000-0000EF190000}"/>
    <cellStyle name="Normal 11 7 2 2 3 3" xfId="42759" xr:uid="{00000000-0005-0000-0000-0000F0190000}"/>
    <cellStyle name="Normal 11 7 2 2 4" xfId="19545" xr:uid="{00000000-0005-0000-0000-0000F1190000}"/>
    <cellStyle name="Normal 11 7 2 2 5" xfId="38177" xr:uid="{00000000-0005-0000-0000-0000F2190000}"/>
    <cellStyle name="Normal 11 7 2 3" xfId="10000" xr:uid="{00000000-0005-0000-0000-0000F3190000}"/>
    <cellStyle name="Normal 11 7 2 3 2" xfId="33485" xr:uid="{00000000-0005-0000-0000-0000F4190000}"/>
    <cellStyle name="Normal 11 7 2 3 3" xfId="24166" xr:uid="{00000000-0005-0000-0000-0000F5190000}"/>
    <cellStyle name="Normal 11 7 2 3 4" xfId="47428" xr:uid="{00000000-0005-0000-0000-0000F6190000}"/>
    <cellStyle name="Normal 11 7 2 4" xfId="14731" xr:uid="{00000000-0005-0000-0000-0000F7190000}"/>
    <cellStyle name="Normal 11 7 2 4 2" xfId="28863" xr:uid="{00000000-0005-0000-0000-0000F8190000}"/>
    <cellStyle name="Normal 11 7 2 4 3" xfId="42758" xr:uid="{00000000-0005-0000-0000-0000F9190000}"/>
    <cellStyle name="Normal 11 7 2 5" xfId="19544" xr:uid="{00000000-0005-0000-0000-0000FA190000}"/>
    <cellStyle name="Normal 11 7 2 6" xfId="38176" xr:uid="{00000000-0005-0000-0000-0000FB190000}"/>
    <cellStyle name="Normal 11 7 3" xfId="4075" xr:uid="{00000000-0005-0000-0000-0000FC190000}"/>
    <cellStyle name="Normal 11 7 3 2" xfId="4076" xr:uid="{00000000-0005-0000-0000-0000FD190000}"/>
    <cellStyle name="Normal 11 7 3 2 2" xfId="10003" xr:uid="{00000000-0005-0000-0000-0000FE190000}"/>
    <cellStyle name="Normal 11 7 3 2 2 2" xfId="33488" xr:uid="{00000000-0005-0000-0000-0000FF190000}"/>
    <cellStyle name="Normal 11 7 3 2 2 3" xfId="24169" xr:uid="{00000000-0005-0000-0000-0000001A0000}"/>
    <cellStyle name="Normal 11 7 3 2 2 4" xfId="47431" xr:uid="{00000000-0005-0000-0000-0000011A0000}"/>
    <cellStyle name="Normal 11 7 3 2 3" xfId="14734" xr:uid="{00000000-0005-0000-0000-0000021A0000}"/>
    <cellStyle name="Normal 11 7 3 2 3 2" xfId="28866" xr:uid="{00000000-0005-0000-0000-0000031A0000}"/>
    <cellStyle name="Normal 11 7 3 2 3 3" xfId="42761" xr:uid="{00000000-0005-0000-0000-0000041A0000}"/>
    <cellStyle name="Normal 11 7 3 2 4" xfId="19547" xr:uid="{00000000-0005-0000-0000-0000051A0000}"/>
    <cellStyle name="Normal 11 7 3 2 5" xfId="38179" xr:uid="{00000000-0005-0000-0000-0000061A0000}"/>
    <cellStyle name="Normal 11 7 3 3" xfId="10002" xr:uid="{00000000-0005-0000-0000-0000071A0000}"/>
    <cellStyle name="Normal 11 7 3 3 2" xfId="33487" xr:uid="{00000000-0005-0000-0000-0000081A0000}"/>
    <cellStyle name="Normal 11 7 3 3 3" xfId="24168" xr:uid="{00000000-0005-0000-0000-0000091A0000}"/>
    <cellStyle name="Normal 11 7 3 3 4" xfId="47430" xr:uid="{00000000-0005-0000-0000-00000A1A0000}"/>
    <cellStyle name="Normal 11 7 3 4" xfId="14733" xr:uid="{00000000-0005-0000-0000-00000B1A0000}"/>
    <cellStyle name="Normal 11 7 3 4 2" xfId="28865" xr:uid="{00000000-0005-0000-0000-00000C1A0000}"/>
    <cellStyle name="Normal 11 7 3 4 3" xfId="42760" xr:uid="{00000000-0005-0000-0000-00000D1A0000}"/>
    <cellStyle name="Normal 11 7 3 5" xfId="19546" xr:uid="{00000000-0005-0000-0000-00000E1A0000}"/>
    <cellStyle name="Normal 11 7 3 6" xfId="38178" xr:uid="{00000000-0005-0000-0000-00000F1A0000}"/>
    <cellStyle name="Normal 11 7 4" xfId="4077" xr:uid="{00000000-0005-0000-0000-0000101A0000}"/>
    <cellStyle name="Normal 11 7 4 2" xfId="4078" xr:uid="{00000000-0005-0000-0000-0000111A0000}"/>
    <cellStyle name="Normal 11 7 4 2 2" xfId="10005" xr:uid="{00000000-0005-0000-0000-0000121A0000}"/>
    <cellStyle name="Normal 11 7 4 2 2 2" xfId="33490" xr:uid="{00000000-0005-0000-0000-0000131A0000}"/>
    <cellStyle name="Normal 11 7 4 2 2 3" xfId="24171" xr:uid="{00000000-0005-0000-0000-0000141A0000}"/>
    <cellStyle name="Normal 11 7 4 2 2 4" xfId="47433" xr:uid="{00000000-0005-0000-0000-0000151A0000}"/>
    <cellStyle name="Normal 11 7 4 2 3" xfId="14736" xr:uid="{00000000-0005-0000-0000-0000161A0000}"/>
    <cellStyle name="Normal 11 7 4 2 3 2" xfId="28868" xr:uid="{00000000-0005-0000-0000-0000171A0000}"/>
    <cellStyle name="Normal 11 7 4 2 3 3" xfId="42763" xr:uid="{00000000-0005-0000-0000-0000181A0000}"/>
    <cellStyle name="Normal 11 7 4 2 4" xfId="19549" xr:uid="{00000000-0005-0000-0000-0000191A0000}"/>
    <cellStyle name="Normal 11 7 4 2 5" xfId="38181" xr:uid="{00000000-0005-0000-0000-00001A1A0000}"/>
    <cellStyle name="Normal 11 7 4 3" xfId="10004" xr:uid="{00000000-0005-0000-0000-00001B1A0000}"/>
    <cellStyle name="Normal 11 7 4 3 2" xfId="33489" xr:uid="{00000000-0005-0000-0000-00001C1A0000}"/>
    <cellStyle name="Normal 11 7 4 3 3" xfId="24170" xr:uid="{00000000-0005-0000-0000-00001D1A0000}"/>
    <cellStyle name="Normal 11 7 4 3 4" xfId="47432" xr:uid="{00000000-0005-0000-0000-00001E1A0000}"/>
    <cellStyle name="Normal 11 7 4 4" xfId="14735" xr:uid="{00000000-0005-0000-0000-00001F1A0000}"/>
    <cellStyle name="Normal 11 7 4 4 2" xfId="28867" xr:uid="{00000000-0005-0000-0000-0000201A0000}"/>
    <cellStyle name="Normal 11 7 4 4 3" xfId="42762" xr:uid="{00000000-0005-0000-0000-0000211A0000}"/>
    <cellStyle name="Normal 11 7 4 5" xfId="19548" xr:uid="{00000000-0005-0000-0000-0000221A0000}"/>
    <cellStyle name="Normal 11 7 4 6" xfId="38180" xr:uid="{00000000-0005-0000-0000-0000231A0000}"/>
    <cellStyle name="Normal 11 7 5" xfId="4079" xr:uid="{00000000-0005-0000-0000-0000241A0000}"/>
    <cellStyle name="Normal 11 7 5 2" xfId="4080" xr:uid="{00000000-0005-0000-0000-0000251A0000}"/>
    <cellStyle name="Normal 11 7 5 2 2" xfId="10007" xr:uid="{00000000-0005-0000-0000-0000261A0000}"/>
    <cellStyle name="Normal 11 7 5 2 2 2" xfId="33492" xr:uid="{00000000-0005-0000-0000-0000271A0000}"/>
    <cellStyle name="Normal 11 7 5 2 2 3" xfId="24173" xr:uid="{00000000-0005-0000-0000-0000281A0000}"/>
    <cellStyle name="Normal 11 7 5 2 2 4" xfId="47435" xr:uid="{00000000-0005-0000-0000-0000291A0000}"/>
    <cellStyle name="Normal 11 7 5 2 3" xfId="14738" xr:uid="{00000000-0005-0000-0000-00002A1A0000}"/>
    <cellStyle name="Normal 11 7 5 2 3 2" xfId="28870" xr:uid="{00000000-0005-0000-0000-00002B1A0000}"/>
    <cellStyle name="Normal 11 7 5 2 3 3" xfId="42765" xr:uid="{00000000-0005-0000-0000-00002C1A0000}"/>
    <cellStyle name="Normal 11 7 5 2 4" xfId="19551" xr:uid="{00000000-0005-0000-0000-00002D1A0000}"/>
    <cellStyle name="Normal 11 7 5 2 5" xfId="38183" xr:uid="{00000000-0005-0000-0000-00002E1A0000}"/>
    <cellStyle name="Normal 11 7 5 3" xfId="10006" xr:uid="{00000000-0005-0000-0000-00002F1A0000}"/>
    <cellStyle name="Normal 11 7 5 3 2" xfId="33491" xr:uid="{00000000-0005-0000-0000-0000301A0000}"/>
    <cellStyle name="Normal 11 7 5 3 3" xfId="24172" xr:uid="{00000000-0005-0000-0000-0000311A0000}"/>
    <cellStyle name="Normal 11 7 5 3 4" xfId="47434" xr:uid="{00000000-0005-0000-0000-0000321A0000}"/>
    <cellStyle name="Normal 11 7 5 4" xfId="14737" xr:uid="{00000000-0005-0000-0000-0000331A0000}"/>
    <cellStyle name="Normal 11 7 5 4 2" xfId="28869" xr:uid="{00000000-0005-0000-0000-0000341A0000}"/>
    <cellStyle name="Normal 11 7 5 4 3" xfId="42764" xr:uid="{00000000-0005-0000-0000-0000351A0000}"/>
    <cellStyle name="Normal 11 7 5 5" xfId="19550" xr:uid="{00000000-0005-0000-0000-0000361A0000}"/>
    <cellStyle name="Normal 11 7 5 6" xfId="38182" xr:uid="{00000000-0005-0000-0000-0000371A0000}"/>
    <cellStyle name="Normal 11 7 6" xfId="4081" xr:uid="{00000000-0005-0000-0000-0000381A0000}"/>
    <cellStyle name="Normal 11 7 6 2" xfId="4082" xr:uid="{00000000-0005-0000-0000-0000391A0000}"/>
    <cellStyle name="Normal 11 7 6 2 2" xfId="10009" xr:uid="{00000000-0005-0000-0000-00003A1A0000}"/>
    <cellStyle name="Normal 11 7 6 2 2 2" xfId="33494" xr:uid="{00000000-0005-0000-0000-00003B1A0000}"/>
    <cellStyle name="Normal 11 7 6 2 2 3" xfId="24175" xr:uid="{00000000-0005-0000-0000-00003C1A0000}"/>
    <cellStyle name="Normal 11 7 6 2 2 4" xfId="47437" xr:uid="{00000000-0005-0000-0000-00003D1A0000}"/>
    <cellStyle name="Normal 11 7 6 2 3" xfId="14740" xr:uid="{00000000-0005-0000-0000-00003E1A0000}"/>
    <cellStyle name="Normal 11 7 6 2 3 2" xfId="28872" xr:uid="{00000000-0005-0000-0000-00003F1A0000}"/>
    <cellStyle name="Normal 11 7 6 2 3 3" xfId="42767" xr:uid="{00000000-0005-0000-0000-0000401A0000}"/>
    <cellStyle name="Normal 11 7 6 2 4" xfId="19553" xr:uid="{00000000-0005-0000-0000-0000411A0000}"/>
    <cellStyle name="Normal 11 7 6 2 5" xfId="38185" xr:uid="{00000000-0005-0000-0000-0000421A0000}"/>
    <cellStyle name="Normal 11 7 6 3" xfId="10008" xr:uid="{00000000-0005-0000-0000-0000431A0000}"/>
    <cellStyle name="Normal 11 7 6 3 2" xfId="33493" xr:uid="{00000000-0005-0000-0000-0000441A0000}"/>
    <cellStyle name="Normal 11 7 6 3 3" xfId="24174" xr:uid="{00000000-0005-0000-0000-0000451A0000}"/>
    <cellStyle name="Normal 11 7 6 3 4" xfId="47436" xr:uid="{00000000-0005-0000-0000-0000461A0000}"/>
    <cellStyle name="Normal 11 7 6 4" xfId="14739" xr:uid="{00000000-0005-0000-0000-0000471A0000}"/>
    <cellStyle name="Normal 11 7 6 4 2" xfId="28871" xr:uid="{00000000-0005-0000-0000-0000481A0000}"/>
    <cellStyle name="Normal 11 7 6 4 3" xfId="42766" xr:uid="{00000000-0005-0000-0000-0000491A0000}"/>
    <cellStyle name="Normal 11 7 6 5" xfId="19552" xr:uid="{00000000-0005-0000-0000-00004A1A0000}"/>
    <cellStyle name="Normal 11 7 6 6" xfId="38184" xr:uid="{00000000-0005-0000-0000-00004B1A0000}"/>
    <cellStyle name="Normal 11 7 7" xfId="4083" xr:uid="{00000000-0005-0000-0000-00004C1A0000}"/>
    <cellStyle name="Normal 11 7 7 2" xfId="10010" xr:uid="{00000000-0005-0000-0000-00004D1A0000}"/>
    <cellStyle name="Normal 11 7 7 2 2" xfId="33495" xr:uid="{00000000-0005-0000-0000-00004E1A0000}"/>
    <cellStyle name="Normal 11 7 7 2 3" xfId="24176" xr:uid="{00000000-0005-0000-0000-00004F1A0000}"/>
    <cellStyle name="Normal 11 7 7 2 4" xfId="47438" xr:uid="{00000000-0005-0000-0000-0000501A0000}"/>
    <cellStyle name="Normal 11 7 7 3" xfId="14741" xr:uid="{00000000-0005-0000-0000-0000511A0000}"/>
    <cellStyle name="Normal 11 7 7 3 2" xfId="28873" xr:uid="{00000000-0005-0000-0000-0000521A0000}"/>
    <cellStyle name="Normal 11 7 7 3 3" xfId="42768" xr:uid="{00000000-0005-0000-0000-0000531A0000}"/>
    <cellStyle name="Normal 11 7 7 4" xfId="19554" xr:uid="{00000000-0005-0000-0000-0000541A0000}"/>
    <cellStyle name="Normal 11 7 7 5" xfId="38186" xr:uid="{00000000-0005-0000-0000-0000551A0000}"/>
    <cellStyle name="Normal 11 7 8" xfId="9999" xr:uid="{00000000-0005-0000-0000-0000561A0000}"/>
    <cellStyle name="Normal 11 7 8 2" xfId="33484" xr:uid="{00000000-0005-0000-0000-0000571A0000}"/>
    <cellStyle name="Normal 11 7 8 3" xfId="24165" xr:uid="{00000000-0005-0000-0000-0000581A0000}"/>
    <cellStyle name="Normal 11 7 8 4" xfId="47427" xr:uid="{00000000-0005-0000-0000-0000591A0000}"/>
    <cellStyle name="Normal 11 7 9" xfId="14730" xr:uid="{00000000-0005-0000-0000-00005A1A0000}"/>
    <cellStyle name="Normal 11 7 9 2" xfId="28862" xr:uid="{00000000-0005-0000-0000-00005B1A0000}"/>
    <cellStyle name="Normal 11 7 9 3" xfId="42757" xr:uid="{00000000-0005-0000-0000-00005C1A0000}"/>
    <cellStyle name="Normal 11 8" xfId="4084" xr:uid="{00000000-0005-0000-0000-00005D1A0000}"/>
    <cellStyle name="Normal 11 8 10" xfId="19555" xr:uid="{00000000-0005-0000-0000-00005E1A0000}"/>
    <cellStyle name="Normal 11 8 11" xfId="38187" xr:uid="{00000000-0005-0000-0000-00005F1A0000}"/>
    <cellStyle name="Normal 11 8 2" xfId="4085" xr:uid="{00000000-0005-0000-0000-0000601A0000}"/>
    <cellStyle name="Normal 11 8 2 2" xfId="4086" xr:uid="{00000000-0005-0000-0000-0000611A0000}"/>
    <cellStyle name="Normal 11 8 2 2 2" xfId="10013" xr:uid="{00000000-0005-0000-0000-0000621A0000}"/>
    <cellStyle name="Normal 11 8 2 2 2 2" xfId="33498" xr:uid="{00000000-0005-0000-0000-0000631A0000}"/>
    <cellStyle name="Normal 11 8 2 2 2 3" xfId="24179" xr:uid="{00000000-0005-0000-0000-0000641A0000}"/>
    <cellStyle name="Normal 11 8 2 2 2 4" xfId="47441" xr:uid="{00000000-0005-0000-0000-0000651A0000}"/>
    <cellStyle name="Normal 11 8 2 2 3" xfId="14744" xr:uid="{00000000-0005-0000-0000-0000661A0000}"/>
    <cellStyle name="Normal 11 8 2 2 3 2" xfId="28876" xr:uid="{00000000-0005-0000-0000-0000671A0000}"/>
    <cellStyle name="Normal 11 8 2 2 3 3" xfId="42771" xr:uid="{00000000-0005-0000-0000-0000681A0000}"/>
    <cellStyle name="Normal 11 8 2 2 4" xfId="19557" xr:uid="{00000000-0005-0000-0000-0000691A0000}"/>
    <cellStyle name="Normal 11 8 2 2 5" xfId="38189" xr:uid="{00000000-0005-0000-0000-00006A1A0000}"/>
    <cellStyle name="Normal 11 8 2 3" xfId="10012" xr:uid="{00000000-0005-0000-0000-00006B1A0000}"/>
    <cellStyle name="Normal 11 8 2 3 2" xfId="33497" xr:uid="{00000000-0005-0000-0000-00006C1A0000}"/>
    <cellStyle name="Normal 11 8 2 3 3" xfId="24178" xr:uid="{00000000-0005-0000-0000-00006D1A0000}"/>
    <cellStyle name="Normal 11 8 2 3 4" xfId="47440" xr:uid="{00000000-0005-0000-0000-00006E1A0000}"/>
    <cellStyle name="Normal 11 8 2 4" xfId="14743" xr:uid="{00000000-0005-0000-0000-00006F1A0000}"/>
    <cellStyle name="Normal 11 8 2 4 2" xfId="28875" xr:uid="{00000000-0005-0000-0000-0000701A0000}"/>
    <cellStyle name="Normal 11 8 2 4 3" xfId="42770" xr:uid="{00000000-0005-0000-0000-0000711A0000}"/>
    <cellStyle name="Normal 11 8 2 5" xfId="19556" xr:uid="{00000000-0005-0000-0000-0000721A0000}"/>
    <cellStyle name="Normal 11 8 2 6" xfId="38188" xr:uid="{00000000-0005-0000-0000-0000731A0000}"/>
    <cellStyle name="Normal 11 8 3" xfId="4087" xr:uid="{00000000-0005-0000-0000-0000741A0000}"/>
    <cellStyle name="Normal 11 8 3 2" xfId="4088" xr:uid="{00000000-0005-0000-0000-0000751A0000}"/>
    <cellStyle name="Normal 11 8 3 2 2" xfId="10015" xr:uid="{00000000-0005-0000-0000-0000761A0000}"/>
    <cellStyle name="Normal 11 8 3 2 2 2" xfId="33500" xr:uid="{00000000-0005-0000-0000-0000771A0000}"/>
    <cellStyle name="Normal 11 8 3 2 2 3" xfId="24181" xr:uid="{00000000-0005-0000-0000-0000781A0000}"/>
    <cellStyle name="Normal 11 8 3 2 2 4" xfId="47443" xr:uid="{00000000-0005-0000-0000-0000791A0000}"/>
    <cellStyle name="Normal 11 8 3 2 3" xfId="14746" xr:uid="{00000000-0005-0000-0000-00007A1A0000}"/>
    <cellStyle name="Normal 11 8 3 2 3 2" xfId="28878" xr:uid="{00000000-0005-0000-0000-00007B1A0000}"/>
    <cellStyle name="Normal 11 8 3 2 3 3" xfId="42773" xr:uid="{00000000-0005-0000-0000-00007C1A0000}"/>
    <cellStyle name="Normal 11 8 3 2 4" xfId="19559" xr:uid="{00000000-0005-0000-0000-00007D1A0000}"/>
    <cellStyle name="Normal 11 8 3 2 5" xfId="38191" xr:uid="{00000000-0005-0000-0000-00007E1A0000}"/>
    <cellStyle name="Normal 11 8 3 3" xfId="10014" xr:uid="{00000000-0005-0000-0000-00007F1A0000}"/>
    <cellStyle name="Normal 11 8 3 3 2" xfId="33499" xr:uid="{00000000-0005-0000-0000-0000801A0000}"/>
    <cellStyle name="Normal 11 8 3 3 3" xfId="24180" xr:uid="{00000000-0005-0000-0000-0000811A0000}"/>
    <cellStyle name="Normal 11 8 3 3 4" xfId="47442" xr:uid="{00000000-0005-0000-0000-0000821A0000}"/>
    <cellStyle name="Normal 11 8 3 4" xfId="14745" xr:uid="{00000000-0005-0000-0000-0000831A0000}"/>
    <cellStyle name="Normal 11 8 3 4 2" xfId="28877" xr:uid="{00000000-0005-0000-0000-0000841A0000}"/>
    <cellStyle name="Normal 11 8 3 4 3" xfId="42772" xr:uid="{00000000-0005-0000-0000-0000851A0000}"/>
    <cellStyle name="Normal 11 8 3 5" xfId="19558" xr:uid="{00000000-0005-0000-0000-0000861A0000}"/>
    <cellStyle name="Normal 11 8 3 6" xfId="38190" xr:uid="{00000000-0005-0000-0000-0000871A0000}"/>
    <cellStyle name="Normal 11 8 4" xfId="4089" xr:uid="{00000000-0005-0000-0000-0000881A0000}"/>
    <cellStyle name="Normal 11 8 4 2" xfId="4090" xr:uid="{00000000-0005-0000-0000-0000891A0000}"/>
    <cellStyle name="Normal 11 8 4 2 2" xfId="10017" xr:uid="{00000000-0005-0000-0000-00008A1A0000}"/>
    <cellStyle name="Normal 11 8 4 2 2 2" xfId="33502" xr:uid="{00000000-0005-0000-0000-00008B1A0000}"/>
    <cellStyle name="Normal 11 8 4 2 2 3" xfId="24183" xr:uid="{00000000-0005-0000-0000-00008C1A0000}"/>
    <cellStyle name="Normal 11 8 4 2 2 4" xfId="47445" xr:uid="{00000000-0005-0000-0000-00008D1A0000}"/>
    <cellStyle name="Normal 11 8 4 2 3" xfId="14748" xr:uid="{00000000-0005-0000-0000-00008E1A0000}"/>
    <cellStyle name="Normal 11 8 4 2 3 2" xfId="28880" xr:uid="{00000000-0005-0000-0000-00008F1A0000}"/>
    <cellStyle name="Normal 11 8 4 2 3 3" xfId="42775" xr:uid="{00000000-0005-0000-0000-0000901A0000}"/>
    <cellStyle name="Normal 11 8 4 2 4" xfId="19561" xr:uid="{00000000-0005-0000-0000-0000911A0000}"/>
    <cellStyle name="Normal 11 8 4 2 5" xfId="38193" xr:uid="{00000000-0005-0000-0000-0000921A0000}"/>
    <cellStyle name="Normal 11 8 4 3" xfId="10016" xr:uid="{00000000-0005-0000-0000-0000931A0000}"/>
    <cellStyle name="Normal 11 8 4 3 2" xfId="33501" xr:uid="{00000000-0005-0000-0000-0000941A0000}"/>
    <cellStyle name="Normal 11 8 4 3 3" xfId="24182" xr:uid="{00000000-0005-0000-0000-0000951A0000}"/>
    <cellStyle name="Normal 11 8 4 3 4" xfId="47444" xr:uid="{00000000-0005-0000-0000-0000961A0000}"/>
    <cellStyle name="Normal 11 8 4 4" xfId="14747" xr:uid="{00000000-0005-0000-0000-0000971A0000}"/>
    <cellStyle name="Normal 11 8 4 4 2" xfId="28879" xr:uid="{00000000-0005-0000-0000-0000981A0000}"/>
    <cellStyle name="Normal 11 8 4 4 3" xfId="42774" xr:uid="{00000000-0005-0000-0000-0000991A0000}"/>
    <cellStyle name="Normal 11 8 4 5" xfId="19560" xr:uid="{00000000-0005-0000-0000-00009A1A0000}"/>
    <cellStyle name="Normal 11 8 4 6" xfId="38192" xr:uid="{00000000-0005-0000-0000-00009B1A0000}"/>
    <cellStyle name="Normal 11 8 5" xfId="4091" xr:uid="{00000000-0005-0000-0000-00009C1A0000}"/>
    <cellStyle name="Normal 11 8 5 2" xfId="4092" xr:uid="{00000000-0005-0000-0000-00009D1A0000}"/>
    <cellStyle name="Normal 11 8 5 2 2" xfId="10019" xr:uid="{00000000-0005-0000-0000-00009E1A0000}"/>
    <cellStyle name="Normal 11 8 5 2 2 2" xfId="33504" xr:uid="{00000000-0005-0000-0000-00009F1A0000}"/>
    <cellStyle name="Normal 11 8 5 2 2 3" xfId="24185" xr:uid="{00000000-0005-0000-0000-0000A01A0000}"/>
    <cellStyle name="Normal 11 8 5 2 2 4" xfId="47447" xr:uid="{00000000-0005-0000-0000-0000A11A0000}"/>
    <cellStyle name="Normal 11 8 5 2 3" xfId="14750" xr:uid="{00000000-0005-0000-0000-0000A21A0000}"/>
    <cellStyle name="Normal 11 8 5 2 3 2" xfId="28882" xr:uid="{00000000-0005-0000-0000-0000A31A0000}"/>
    <cellStyle name="Normal 11 8 5 2 3 3" xfId="42777" xr:uid="{00000000-0005-0000-0000-0000A41A0000}"/>
    <cellStyle name="Normal 11 8 5 2 4" xfId="19563" xr:uid="{00000000-0005-0000-0000-0000A51A0000}"/>
    <cellStyle name="Normal 11 8 5 2 5" xfId="38195" xr:uid="{00000000-0005-0000-0000-0000A61A0000}"/>
    <cellStyle name="Normal 11 8 5 3" xfId="10018" xr:uid="{00000000-0005-0000-0000-0000A71A0000}"/>
    <cellStyle name="Normal 11 8 5 3 2" xfId="33503" xr:uid="{00000000-0005-0000-0000-0000A81A0000}"/>
    <cellStyle name="Normal 11 8 5 3 3" xfId="24184" xr:uid="{00000000-0005-0000-0000-0000A91A0000}"/>
    <cellStyle name="Normal 11 8 5 3 4" xfId="47446" xr:uid="{00000000-0005-0000-0000-0000AA1A0000}"/>
    <cellStyle name="Normal 11 8 5 4" xfId="14749" xr:uid="{00000000-0005-0000-0000-0000AB1A0000}"/>
    <cellStyle name="Normal 11 8 5 4 2" xfId="28881" xr:uid="{00000000-0005-0000-0000-0000AC1A0000}"/>
    <cellStyle name="Normal 11 8 5 4 3" xfId="42776" xr:uid="{00000000-0005-0000-0000-0000AD1A0000}"/>
    <cellStyle name="Normal 11 8 5 5" xfId="19562" xr:uid="{00000000-0005-0000-0000-0000AE1A0000}"/>
    <cellStyle name="Normal 11 8 5 6" xfId="38194" xr:uid="{00000000-0005-0000-0000-0000AF1A0000}"/>
    <cellStyle name="Normal 11 8 6" xfId="4093" xr:uid="{00000000-0005-0000-0000-0000B01A0000}"/>
    <cellStyle name="Normal 11 8 6 2" xfId="4094" xr:uid="{00000000-0005-0000-0000-0000B11A0000}"/>
    <cellStyle name="Normal 11 8 6 2 2" xfId="10021" xr:uid="{00000000-0005-0000-0000-0000B21A0000}"/>
    <cellStyle name="Normal 11 8 6 2 2 2" xfId="33506" xr:uid="{00000000-0005-0000-0000-0000B31A0000}"/>
    <cellStyle name="Normal 11 8 6 2 2 3" xfId="24187" xr:uid="{00000000-0005-0000-0000-0000B41A0000}"/>
    <cellStyle name="Normal 11 8 6 2 2 4" xfId="47449" xr:uid="{00000000-0005-0000-0000-0000B51A0000}"/>
    <cellStyle name="Normal 11 8 6 2 3" xfId="14752" xr:uid="{00000000-0005-0000-0000-0000B61A0000}"/>
    <cellStyle name="Normal 11 8 6 2 3 2" xfId="28884" xr:uid="{00000000-0005-0000-0000-0000B71A0000}"/>
    <cellStyle name="Normal 11 8 6 2 3 3" xfId="42779" xr:uid="{00000000-0005-0000-0000-0000B81A0000}"/>
    <cellStyle name="Normal 11 8 6 2 4" xfId="19565" xr:uid="{00000000-0005-0000-0000-0000B91A0000}"/>
    <cellStyle name="Normal 11 8 6 2 5" xfId="38197" xr:uid="{00000000-0005-0000-0000-0000BA1A0000}"/>
    <cellStyle name="Normal 11 8 6 3" xfId="10020" xr:uid="{00000000-0005-0000-0000-0000BB1A0000}"/>
    <cellStyle name="Normal 11 8 6 3 2" xfId="33505" xr:uid="{00000000-0005-0000-0000-0000BC1A0000}"/>
    <cellStyle name="Normal 11 8 6 3 3" xfId="24186" xr:uid="{00000000-0005-0000-0000-0000BD1A0000}"/>
    <cellStyle name="Normal 11 8 6 3 4" xfId="47448" xr:uid="{00000000-0005-0000-0000-0000BE1A0000}"/>
    <cellStyle name="Normal 11 8 6 4" xfId="14751" xr:uid="{00000000-0005-0000-0000-0000BF1A0000}"/>
    <cellStyle name="Normal 11 8 6 4 2" xfId="28883" xr:uid="{00000000-0005-0000-0000-0000C01A0000}"/>
    <cellStyle name="Normal 11 8 6 4 3" xfId="42778" xr:uid="{00000000-0005-0000-0000-0000C11A0000}"/>
    <cellStyle name="Normal 11 8 6 5" xfId="19564" xr:uid="{00000000-0005-0000-0000-0000C21A0000}"/>
    <cellStyle name="Normal 11 8 6 6" xfId="38196" xr:uid="{00000000-0005-0000-0000-0000C31A0000}"/>
    <cellStyle name="Normal 11 8 7" xfId="4095" xr:uid="{00000000-0005-0000-0000-0000C41A0000}"/>
    <cellStyle name="Normal 11 8 7 2" xfId="10022" xr:uid="{00000000-0005-0000-0000-0000C51A0000}"/>
    <cellStyle name="Normal 11 8 7 2 2" xfId="33507" xr:uid="{00000000-0005-0000-0000-0000C61A0000}"/>
    <cellStyle name="Normal 11 8 7 2 3" xfId="24188" xr:uid="{00000000-0005-0000-0000-0000C71A0000}"/>
    <cellStyle name="Normal 11 8 7 2 4" xfId="47450" xr:uid="{00000000-0005-0000-0000-0000C81A0000}"/>
    <cellStyle name="Normal 11 8 7 3" xfId="14753" xr:uid="{00000000-0005-0000-0000-0000C91A0000}"/>
    <cellStyle name="Normal 11 8 7 3 2" xfId="28885" xr:uid="{00000000-0005-0000-0000-0000CA1A0000}"/>
    <cellStyle name="Normal 11 8 7 3 3" xfId="42780" xr:uid="{00000000-0005-0000-0000-0000CB1A0000}"/>
    <cellStyle name="Normal 11 8 7 4" xfId="19566" xr:uid="{00000000-0005-0000-0000-0000CC1A0000}"/>
    <cellStyle name="Normal 11 8 7 5" xfId="38198" xr:uid="{00000000-0005-0000-0000-0000CD1A0000}"/>
    <cellStyle name="Normal 11 8 8" xfId="10011" xr:uid="{00000000-0005-0000-0000-0000CE1A0000}"/>
    <cellStyle name="Normal 11 8 8 2" xfId="33496" xr:uid="{00000000-0005-0000-0000-0000CF1A0000}"/>
    <cellStyle name="Normal 11 8 8 3" xfId="24177" xr:uid="{00000000-0005-0000-0000-0000D01A0000}"/>
    <cellStyle name="Normal 11 8 8 4" xfId="47439" xr:uid="{00000000-0005-0000-0000-0000D11A0000}"/>
    <cellStyle name="Normal 11 8 9" xfId="14742" xr:uid="{00000000-0005-0000-0000-0000D21A0000}"/>
    <cellStyle name="Normal 11 8 9 2" xfId="28874" xr:uid="{00000000-0005-0000-0000-0000D31A0000}"/>
    <cellStyle name="Normal 11 8 9 3" xfId="42769" xr:uid="{00000000-0005-0000-0000-0000D41A0000}"/>
    <cellStyle name="Normal 11 9" xfId="4096" xr:uid="{00000000-0005-0000-0000-0000D51A0000}"/>
    <cellStyle name="Normal 11 9 10" xfId="19567" xr:uid="{00000000-0005-0000-0000-0000D61A0000}"/>
    <cellStyle name="Normal 11 9 11" xfId="38199" xr:uid="{00000000-0005-0000-0000-0000D71A0000}"/>
    <cellStyle name="Normal 11 9 2" xfId="4097" xr:uid="{00000000-0005-0000-0000-0000D81A0000}"/>
    <cellStyle name="Normal 11 9 2 2" xfId="4098" xr:uid="{00000000-0005-0000-0000-0000D91A0000}"/>
    <cellStyle name="Normal 11 9 2 2 2" xfId="10025" xr:uid="{00000000-0005-0000-0000-0000DA1A0000}"/>
    <cellStyle name="Normal 11 9 2 2 2 2" xfId="33510" xr:uid="{00000000-0005-0000-0000-0000DB1A0000}"/>
    <cellStyle name="Normal 11 9 2 2 2 3" xfId="24191" xr:uid="{00000000-0005-0000-0000-0000DC1A0000}"/>
    <cellStyle name="Normal 11 9 2 2 2 4" xfId="47453" xr:uid="{00000000-0005-0000-0000-0000DD1A0000}"/>
    <cellStyle name="Normal 11 9 2 2 3" xfId="14756" xr:uid="{00000000-0005-0000-0000-0000DE1A0000}"/>
    <cellStyle name="Normal 11 9 2 2 3 2" xfId="28888" xr:uid="{00000000-0005-0000-0000-0000DF1A0000}"/>
    <cellStyle name="Normal 11 9 2 2 3 3" xfId="42783" xr:uid="{00000000-0005-0000-0000-0000E01A0000}"/>
    <cellStyle name="Normal 11 9 2 2 4" xfId="19569" xr:uid="{00000000-0005-0000-0000-0000E11A0000}"/>
    <cellStyle name="Normal 11 9 2 2 5" xfId="38201" xr:uid="{00000000-0005-0000-0000-0000E21A0000}"/>
    <cellStyle name="Normal 11 9 2 3" xfId="10024" xr:uid="{00000000-0005-0000-0000-0000E31A0000}"/>
    <cellStyle name="Normal 11 9 2 3 2" xfId="33509" xr:uid="{00000000-0005-0000-0000-0000E41A0000}"/>
    <cellStyle name="Normal 11 9 2 3 3" xfId="24190" xr:uid="{00000000-0005-0000-0000-0000E51A0000}"/>
    <cellStyle name="Normal 11 9 2 3 4" xfId="47452" xr:uid="{00000000-0005-0000-0000-0000E61A0000}"/>
    <cellStyle name="Normal 11 9 2 4" xfId="14755" xr:uid="{00000000-0005-0000-0000-0000E71A0000}"/>
    <cellStyle name="Normal 11 9 2 4 2" xfId="28887" xr:uid="{00000000-0005-0000-0000-0000E81A0000}"/>
    <cellStyle name="Normal 11 9 2 4 3" xfId="42782" xr:uid="{00000000-0005-0000-0000-0000E91A0000}"/>
    <cellStyle name="Normal 11 9 2 5" xfId="19568" xr:uid="{00000000-0005-0000-0000-0000EA1A0000}"/>
    <cellStyle name="Normal 11 9 2 6" xfId="38200" xr:uid="{00000000-0005-0000-0000-0000EB1A0000}"/>
    <cellStyle name="Normal 11 9 3" xfId="4099" xr:uid="{00000000-0005-0000-0000-0000EC1A0000}"/>
    <cellStyle name="Normal 11 9 3 2" xfId="4100" xr:uid="{00000000-0005-0000-0000-0000ED1A0000}"/>
    <cellStyle name="Normal 11 9 3 2 2" xfId="10027" xr:uid="{00000000-0005-0000-0000-0000EE1A0000}"/>
    <cellStyle name="Normal 11 9 3 2 2 2" xfId="33512" xr:uid="{00000000-0005-0000-0000-0000EF1A0000}"/>
    <cellStyle name="Normal 11 9 3 2 2 3" xfId="24193" xr:uid="{00000000-0005-0000-0000-0000F01A0000}"/>
    <cellStyle name="Normal 11 9 3 2 2 4" xfId="47455" xr:uid="{00000000-0005-0000-0000-0000F11A0000}"/>
    <cellStyle name="Normal 11 9 3 2 3" xfId="14758" xr:uid="{00000000-0005-0000-0000-0000F21A0000}"/>
    <cellStyle name="Normal 11 9 3 2 3 2" xfId="28890" xr:uid="{00000000-0005-0000-0000-0000F31A0000}"/>
    <cellStyle name="Normal 11 9 3 2 3 3" xfId="42785" xr:uid="{00000000-0005-0000-0000-0000F41A0000}"/>
    <cellStyle name="Normal 11 9 3 2 4" xfId="19571" xr:uid="{00000000-0005-0000-0000-0000F51A0000}"/>
    <cellStyle name="Normal 11 9 3 2 5" xfId="38203" xr:uid="{00000000-0005-0000-0000-0000F61A0000}"/>
    <cellStyle name="Normal 11 9 3 3" xfId="10026" xr:uid="{00000000-0005-0000-0000-0000F71A0000}"/>
    <cellStyle name="Normal 11 9 3 3 2" xfId="33511" xr:uid="{00000000-0005-0000-0000-0000F81A0000}"/>
    <cellStyle name="Normal 11 9 3 3 3" xfId="24192" xr:uid="{00000000-0005-0000-0000-0000F91A0000}"/>
    <cellStyle name="Normal 11 9 3 3 4" xfId="47454" xr:uid="{00000000-0005-0000-0000-0000FA1A0000}"/>
    <cellStyle name="Normal 11 9 3 4" xfId="14757" xr:uid="{00000000-0005-0000-0000-0000FB1A0000}"/>
    <cellStyle name="Normal 11 9 3 4 2" xfId="28889" xr:uid="{00000000-0005-0000-0000-0000FC1A0000}"/>
    <cellStyle name="Normal 11 9 3 4 3" xfId="42784" xr:uid="{00000000-0005-0000-0000-0000FD1A0000}"/>
    <cellStyle name="Normal 11 9 3 5" xfId="19570" xr:uid="{00000000-0005-0000-0000-0000FE1A0000}"/>
    <cellStyle name="Normal 11 9 3 6" xfId="38202" xr:uid="{00000000-0005-0000-0000-0000FF1A0000}"/>
    <cellStyle name="Normal 11 9 4" xfId="4101" xr:uid="{00000000-0005-0000-0000-0000001B0000}"/>
    <cellStyle name="Normal 11 9 4 2" xfId="4102" xr:uid="{00000000-0005-0000-0000-0000011B0000}"/>
    <cellStyle name="Normal 11 9 4 2 2" xfId="10029" xr:uid="{00000000-0005-0000-0000-0000021B0000}"/>
    <cellStyle name="Normal 11 9 4 2 2 2" xfId="33514" xr:uid="{00000000-0005-0000-0000-0000031B0000}"/>
    <cellStyle name="Normal 11 9 4 2 2 3" xfId="24195" xr:uid="{00000000-0005-0000-0000-0000041B0000}"/>
    <cellStyle name="Normal 11 9 4 2 2 4" xfId="47457" xr:uid="{00000000-0005-0000-0000-0000051B0000}"/>
    <cellStyle name="Normal 11 9 4 2 3" xfId="14760" xr:uid="{00000000-0005-0000-0000-0000061B0000}"/>
    <cellStyle name="Normal 11 9 4 2 3 2" xfId="28892" xr:uid="{00000000-0005-0000-0000-0000071B0000}"/>
    <cellStyle name="Normal 11 9 4 2 3 3" xfId="42787" xr:uid="{00000000-0005-0000-0000-0000081B0000}"/>
    <cellStyle name="Normal 11 9 4 2 4" xfId="19573" xr:uid="{00000000-0005-0000-0000-0000091B0000}"/>
    <cellStyle name="Normal 11 9 4 2 5" xfId="38205" xr:uid="{00000000-0005-0000-0000-00000A1B0000}"/>
    <cellStyle name="Normal 11 9 4 3" xfId="10028" xr:uid="{00000000-0005-0000-0000-00000B1B0000}"/>
    <cellStyle name="Normal 11 9 4 3 2" xfId="33513" xr:uid="{00000000-0005-0000-0000-00000C1B0000}"/>
    <cellStyle name="Normal 11 9 4 3 3" xfId="24194" xr:uid="{00000000-0005-0000-0000-00000D1B0000}"/>
    <cellStyle name="Normal 11 9 4 3 4" xfId="47456" xr:uid="{00000000-0005-0000-0000-00000E1B0000}"/>
    <cellStyle name="Normal 11 9 4 4" xfId="14759" xr:uid="{00000000-0005-0000-0000-00000F1B0000}"/>
    <cellStyle name="Normal 11 9 4 4 2" xfId="28891" xr:uid="{00000000-0005-0000-0000-0000101B0000}"/>
    <cellStyle name="Normal 11 9 4 4 3" xfId="42786" xr:uid="{00000000-0005-0000-0000-0000111B0000}"/>
    <cellStyle name="Normal 11 9 4 5" xfId="19572" xr:uid="{00000000-0005-0000-0000-0000121B0000}"/>
    <cellStyle name="Normal 11 9 4 6" xfId="38204" xr:uid="{00000000-0005-0000-0000-0000131B0000}"/>
    <cellStyle name="Normal 11 9 5" xfId="4103" xr:uid="{00000000-0005-0000-0000-0000141B0000}"/>
    <cellStyle name="Normal 11 9 5 2" xfId="4104" xr:uid="{00000000-0005-0000-0000-0000151B0000}"/>
    <cellStyle name="Normal 11 9 5 2 2" xfId="10031" xr:uid="{00000000-0005-0000-0000-0000161B0000}"/>
    <cellStyle name="Normal 11 9 5 2 2 2" xfId="33516" xr:uid="{00000000-0005-0000-0000-0000171B0000}"/>
    <cellStyle name="Normal 11 9 5 2 2 3" xfId="24197" xr:uid="{00000000-0005-0000-0000-0000181B0000}"/>
    <cellStyle name="Normal 11 9 5 2 2 4" xfId="47459" xr:uid="{00000000-0005-0000-0000-0000191B0000}"/>
    <cellStyle name="Normal 11 9 5 2 3" xfId="14762" xr:uid="{00000000-0005-0000-0000-00001A1B0000}"/>
    <cellStyle name="Normal 11 9 5 2 3 2" xfId="28894" xr:uid="{00000000-0005-0000-0000-00001B1B0000}"/>
    <cellStyle name="Normal 11 9 5 2 3 3" xfId="42789" xr:uid="{00000000-0005-0000-0000-00001C1B0000}"/>
    <cellStyle name="Normal 11 9 5 2 4" xfId="19575" xr:uid="{00000000-0005-0000-0000-00001D1B0000}"/>
    <cellStyle name="Normal 11 9 5 2 5" xfId="38207" xr:uid="{00000000-0005-0000-0000-00001E1B0000}"/>
    <cellStyle name="Normal 11 9 5 3" xfId="10030" xr:uid="{00000000-0005-0000-0000-00001F1B0000}"/>
    <cellStyle name="Normal 11 9 5 3 2" xfId="33515" xr:uid="{00000000-0005-0000-0000-0000201B0000}"/>
    <cellStyle name="Normal 11 9 5 3 3" xfId="24196" xr:uid="{00000000-0005-0000-0000-0000211B0000}"/>
    <cellStyle name="Normal 11 9 5 3 4" xfId="47458" xr:uid="{00000000-0005-0000-0000-0000221B0000}"/>
    <cellStyle name="Normal 11 9 5 4" xfId="14761" xr:uid="{00000000-0005-0000-0000-0000231B0000}"/>
    <cellStyle name="Normal 11 9 5 4 2" xfId="28893" xr:uid="{00000000-0005-0000-0000-0000241B0000}"/>
    <cellStyle name="Normal 11 9 5 4 3" xfId="42788" xr:uid="{00000000-0005-0000-0000-0000251B0000}"/>
    <cellStyle name="Normal 11 9 5 5" xfId="19574" xr:uid="{00000000-0005-0000-0000-0000261B0000}"/>
    <cellStyle name="Normal 11 9 5 6" xfId="38206" xr:uid="{00000000-0005-0000-0000-0000271B0000}"/>
    <cellStyle name="Normal 11 9 6" xfId="4105" xr:uid="{00000000-0005-0000-0000-0000281B0000}"/>
    <cellStyle name="Normal 11 9 6 2" xfId="4106" xr:uid="{00000000-0005-0000-0000-0000291B0000}"/>
    <cellStyle name="Normal 11 9 6 2 2" xfId="10033" xr:uid="{00000000-0005-0000-0000-00002A1B0000}"/>
    <cellStyle name="Normal 11 9 6 2 2 2" xfId="33518" xr:uid="{00000000-0005-0000-0000-00002B1B0000}"/>
    <cellStyle name="Normal 11 9 6 2 2 3" xfId="24199" xr:uid="{00000000-0005-0000-0000-00002C1B0000}"/>
    <cellStyle name="Normal 11 9 6 2 2 4" xfId="47461" xr:uid="{00000000-0005-0000-0000-00002D1B0000}"/>
    <cellStyle name="Normal 11 9 6 2 3" xfId="14764" xr:uid="{00000000-0005-0000-0000-00002E1B0000}"/>
    <cellStyle name="Normal 11 9 6 2 3 2" xfId="28896" xr:uid="{00000000-0005-0000-0000-00002F1B0000}"/>
    <cellStyle name="Normal 11 9 6 2 3 3" xfId="42791" xr:uid="{00000000-0005-0000-0000-0000301B0000}"/>
    <cellStyle name="Normal 11 9 6 2 4" xfId="19577" xr:uid="{00000000-0005-0000-0000-0000311B0000}"/>
    <cellStyle name="Normal 11 9 6 2 5" xfId="38209" xr:uid="{00000000-0005-0000-0000-0000321B0000}"/>
    <cellStyle name="Normal 11 9 6 3" xfId="10032" xr:uid="{00000000-0005-0000-0000-0000331B0000}"/>
    <cellStyle name="Normal 11 9 6 3 2" xfId="33517" xr:uid="{00000000-0005-0000-0000-0000341B0000}"/>
    <cellStyle name="Normal 11 9 6 3 3" xfId="24198" xr:uid="{00000000-0005-0000-0000-0000351B0000}"/>
    <cellStyle name="Normal 11 9 6 3 4" xfId="47460" xr:uid="{00000000-0005-0000-0000-0000361B0000}"/>
    <cellStyle name="Normal 11 9 6 4" xfId="14763" xr:uid="{00000000-0005-0000-0000-0000371B0000}"/>
    <cellStyle name="Normal 11 9 6 4 2" xfId="28895" xr:uid="{00000000-0005-0000-0000-0000381B0000}"/>
    <cellStyle name="Normal 11 9 6 4 3" xfId="42790" xr:uid="{00000000-0005-0000-0000-0000391B0000}"/>
    <cellStyle name="Normal 11 9 6 5" xfId="19576" xr:uid="{00000000-0005-0000-0000-00003A1B0000}"/>
    <cellStyle name="Normal 11 9 6 6" xfId="38208" xr:uid="{00000000-0005-0000-0000-00003B1B0000}"/>
    <cellStyle name="Normal 11 9 7" xfId="4107" xr:uid="{00000000-0005-0000-0000-00003C1B0000}"/>
    <cellStyle name="Normal 11 9 7 2" xfId="10034" xr:uid="{00000000-0005-0000-0000-00003D1B0000}"/>
    <cellStyle name="Normal 11 9 7 2 2" xfId="33519" xr:uid="{00000000-0005-0000-0000-00003E1B0000}"/>
    <cellStyle name="Normal 11 9 7 2 3" xfId="24200" xr:uid="{00000000-0005-0000-0000-00003F1B0000}"/>
    <cellStyle name="Normal 11 9 7 2 4" xfId="47462" xr:uid="{00000000-0005-0000-0000-0000401B0000}"/>
    <cellStyle name="Normal 11 9 7 3" xfId="14765" xr:uid="{00000000-0005-0000-0000-0000411B0000}"/>
    <cellStyle name="Normal 11 9 7 3 2" xfId="28897" xr:uid="{00000000-0005-0000-0000-0000421B0000}"/>
    <cellStyle name="Normal 11 9 7 3 3" xfId="42792" xr:uid="{00000000-0005-0000-0000-0000431B0000}"/>
    <cellStyle name="Normal 11 9 7 4" xfId="19578" xr:uid="{00000000-0005-0000-0000-0000441B0000}"/>
    <cellStyle name="Normal 11 9 7 5" xfId="38210" xr:uid="{00000000-0005-0000-0000-0000451B0000}"/>
    <cellStyle name="Normal 11 9 8" xfId="10023" xr:uid="{00000000-0005-0000-0000-0000461B0000}"/>
    <cellStyle name="Normal 11 9 8 2" xfId="33508" xr:uid="{00000000-0005-0000-0000-0000471B0000}"/>
    <cellStyle name="Normal 11 9 8 3" xfId="24189" xr:uid="{00000000-0005-0000-0000-0000481B0000}"/>
    <cellStyle name="Normal 11 9 8 4" xfId="47451" xr:uid="{00000000-0005-0000-0000-0000491B0000}"/>
    <cellStyle name="Normal 11 9 9" xfId="14754" xr:uid="{00000000-0005-0000-0000-00004A1B0000}"/>
    <cellStyle name="Normal 11 9 9 2" xfId="28886" xr:uid="{00000000-0005-0000-0000-00004B1B0000}"/>
    <cellStyle name="Normal 11 9 9 3" xfId="42781" xr:uid="{00000000-0005-0000-0000-00004C1B0000}"/>
    <cellStyle name="Normal 110" xfId="88" xr:uid="{00000000-0005-0000-0000-00004D1B0000}"/>
    <cellStyle name="Normal 111" xfId="89" xr:uid="{00000000-0005-0000-0000-00004E1B0000}"/>
    <cellStyle name="Normal 112" xfId="90" xr:uid="{00000000-0005-0000-0000-00004F1B0000}"/>
    <cellStyle name="Normal 113" xfId="91" xr:uid="{00000000-0005-0000-0000-0000501B0000}"/>
    <cellStyle name="Normal 114" xfId="92" xr:uid="{00000000-0005-0000-0000-0000511B0000}"/>
    <cellStyle name="Normal 115" xfId="93" xr:uid="{00000000-0005-0000-0000-0000521B0000}"/>
    <cellStyle name="Normal 116" xfId="94" xr:uid="{00000000-0005-0000-0000-0000531B0000}"/>
    <cellStyle name="Normal 117" xfId="95" xr:uid="{00000000-0005-0000-0000-0000541B0000}"/>
    <cellStyle name="Normal 118" xfId="96" xr:uid="{00000000-0005-0000-0000-0000551B0000}"/>
    <cellStyle name="Normal 119" xfId="97" xr:uid="{00000000-0005-0000-0000-0000561B0000}"/>
    <cellStyle name="Normal 12" xfId="34" xr:uid="{00000000-0005-0000-0000-0000571B0000}"/>
    <cellStyle name="Normal 12 10" xfId="4108" xr:uid="{00000000-0005-0000-0000-0000581B0000}"/>
    <cellStyle name="Normal 12 11" xfId="4109" xr:uid="{00000000-0005-0000-0000-0000591B0000}"/>
    <cellStyle name="Normal 12 12" xfId="4110" xr:uid="{00000000-0005-0000-0000-00005A1B0000}"/>
    <cellStyle name="Normal 12 13" xfId="4111" xr:uid="{00000000-0005-0000-0000-00005B1B0000}"/>
    <cellStyle name="Normal 12 14" xfId="4112" xr:uid="{00000000-0005-0000-0000-00005C1B0000}"/>
    <cellStyle name="Normal 12 15" xfId="399" xr:uid="{00000000-0005-0000-0000-00005D1B0000}"/>
    <cellStyle name="Normal 12 16" xfId="9478" xr:uid="{00000000-0005-0000-0000-00005E1B0000}"/>
    <cellStyle name="Normal 12 2" xfId="400" xr:uid="{00000000-0005-0000-0000-00005F1B0000}"/>
    <cellStyle name="Normal 12 2 2" xfId="4113" xr:uid="{00000000-0005-0000-0000-0000601B0000}"/>
    <cellStyle name="Normal 12 2 2 2" xfId="10035" xr:uid="{00000000-0005-0000-0000-0000611B0000}"/>
    <cellStyle name="Normal 12 2 2 2 2" xfId="33520" xr:uid="{00000000-0005-0000-0000-0000621B0000}"/>
    <cellStyle name="Normal 12 2 2 2 3" xfId="24201" xr:uid="{00000000-0005-0000-0000-0000631B0000}"/>
    <cellStyle name="Normal 12 2 2 2 4" xfId="47463" xr:uid="{00000000-0005-0000-0000-0000641B0000}"/>
    <cellStyle name="Normal 12 2 2 3" xfId="14766" xr:uid="{00000000-0005-0000-0000-0000651B0000}"/>
    <cellStyle name="Normal 12 2 2 3 2" xfId="28898" xr:uid="{00000000-0005-0000-0000-0000661B0000}"/>
    <cellStyle name="Normal 12 2 2 3 3" xfId="42793" xr:uid="{00000000-0005-0000-0000-0000671B0000}"/>
    <cellStyle name="Normal 12 2 2 4" xfId="19579" xr:uid="{00000000-0005-0000-0000-0000681B0000}"/>
    <cellStyle name="Normal 12 2 2 5" xfId="38211" xr:uid="{00000000-0005-0000-0000-0000691B0000}"/>
    <cellStyle name="Normal 12 2 3" xfId="9669" xr:uid="{00000000-0005-0000-0000-00006A1B0000}"/>
    <cellStyle name="Normal 12 2 3 2" xfId="33160" xr:uid="{00000000-0005-0000-0000-00006B1B0000}"/>
    <cellStyle name="Normal 12 2 3 3" xfId="23845" xr:uid="{00000000-0005-0000-0000-00006C1B0000}"/>
    <cellStyle name="Normal 12 2 3 4" xfId="47103" xr:uid="{00000000-0005-0000-0000-00006D1B0000}"/>
    <cellStyle name="Normal 12 2 4" xfId="14430" xr:uid="{00000000-0005-0000-0000-00006E1B0000}"/>
    <cellStyle name="Normal 12 2 4 2" xfId="28561" xr:uid="{00000000-0005-0000-0000-00006F1B0000}"/>
    <cellStyle name="Normal 12 2 4 3" xfId="42441" xr:uid="{00000000-0005-0000-0000-0000701B0000}"/>
    <cellStyle name="Normal 12 2 5" xfId="19241" xr:uid="{00000000-0005-0000-0000-0000711B0000}"/>
    <cellStyle name="Normal 12 2 6" xfId="37876" xr:uid="{00000000-0005-0000-0000-0000721B0000}"/>
    <cellStyle name="Normal 12 3" xfId="4114" xr:uid="{00000000-0005-0000-0000-0000731B0000}"/>
    <cellStyle name="Normal 12 4" xfId="4115" xr:uid="{00000000-0005-0000-0000-0000741B0000}"/>
    <cellStyle name="Normal 12 5" xfId="4116" xr:uid="{00000000-0005-0000-0000-0000751B0000}"/>
    <cellStyle name="Normal 12 6" xfId="4117" xr:uid="{00000000-0005-0000-0000-0000761B0000}"/>
    <cellStyle name="Normal 12 7" xfId="4118" xr:uid="{00000000-0005-0000-0000-0000771B0000}"/>
    <cellStyle name="Normal 12 8" xfId="4119" xr:uid="{00000000-0005-0000-0000-0000781B0000}"/>
    <cellStyle name="Normal 12 9" xfId="4120" xr:uid="{00000000-0005-0000-0000-0000791B0000}"/>
    <cellStyle name="Normal 120" xfId="98" xr:uid="{00000000-0005-0000-0000-00007A1B0000}"/>
    <cellStyle name="Normal 121" xfId="99" xr:uid="{00000000-0005-0000-0000-00007B1B0000}"/>
    <cellStyle name="Normal 122" xfId="100" xr:uid="{00000000-0005-0000-0000-00007C1B0000}"/>
    <cellStyle name="Normal 123" xfId="101" xr:uid="{00000000-0005-0000-0000-00007D1B0000}"/>
    <cellStyle name="Normal 124" xfId="102" xr:uid="{00000000-0005-0000-0000-00007E1B0000}"/>
    <cellStyle name="Normal 125" xfId="103" xr:uid="{00000000-0005-0000-0000-00007F1B0000}"/>
    <cellStyle name="Normal 126" xfId="104" xr:uid="{00000000-0005-0000-0000-0000801B0000}"/>
    <cellStyle name="Normal 127" xfId="105" xr:uid="{00000000-0005-0000-0000-0000811B0000}"/>
    <cellStyle name="Normal 128" xfId="44" xr:uid="{00000000-0005-0000-0000-0000821B0000}"/>
    <cellStyle name="Normal 129" xfId="106" xr:uid="{00000000-0005-0000-0000-0000831B0000}"/>
    <cellStyle name="Normal 13" xfId="35" xr:uid="{00000000-0005-0000-0000-0000841B0000}"/>
    <cellStyle name="Normal 13 10" xfId="401" xr:uid="{00000000-0005-0000-0000-0000851B0000}"/>
    <cellStyle name="Normal 13 11" xfId="9479" xr:uid="{00000000-0005-0000-0000-0000861B0000}"/>
    <cellStyle name="Normal 13 11 2" xfId="14148" xr:uid="{00000000-0005-0000-0000-0000871B0000}"/>
    <cellStyle name="Normal 13 11 2 2" xfId="37626" xr:uid="{00000000-0005-0000-0000-0000881B0000}"/>
    <cellStyle name="Normal 13 11 2 3" xfId="28312" xr:uid="{00000000-0005-0000-0000-0000891B0000}"/>
    <cellStyle name="Normal 13 11 2 4" xfId="51575" xr:uid="{00000000-0005-0000-0000-00008A1B0000}"/>
    <cellStyle name="Normal 13 11 3" xfId="18860" xr:uid="{00000000-0005-0000-0000-00008B1B0000}"/>
    <cellStyle name="Normal 13 11 3 2" xfId="32992" xr:uid="{00000000-0005-0000-0000-00008C1B0000}"/>
    <cellStyle name="Normal 13 11 3 3" xfId="46894" xr:uid="{00000000-0005-0000-0000-00008D1B0000}"/>
    <cellStyle name="Normal 13 11 4" xfId="23678" xr:uid="{00000000-0005-0000-0000-00008E1B0000}"/>
    <cellStyle name="Normal 13 11 5" xfId="42265" xr:uid="{00000000-0005-0000-0000-00008F1B0000}"/>
    <cellStyle name="Normal 13 12" xfId="9519" xr:uid="{00000000-0005-0000-0000-0000901B0000}"/>
    <cellStyle name="Normal 13 12 2" xfId="14185" xr:uid="{00000000-0005-0000-0000-0000911B0000}"/>
    <cellStyle name="Normal 13 12 2 2" xfId="37660" xr:uid="{00000000-0005-0000-0000-0000921B0000}"/>
    <cellStyle name="Normal 13 12 2 3" xfId="28345" xr:uid="{00000000-0005-0000-0000-0000931B0000}"/>
    <cellStyle name="Normal 13 12 2 4" xfId="51612" xr:uid="{00000000-0005-0000-0000-0000941B0000}"/>
    <cellStyle name="Normal 13 12 3" xfId="18893" xr:uid="{00000000-0005-0000-0000-0000951B0000}"/>
    <cellStyle name="Normal 13 12 3 2" xfId="33026" xr:uid="{00000000-0005-0000-0000-0000961B0000}"/>
    <cellStyle name="Normal 13 12 3 3" xfId="46932" xr:uid="{00000000-0005-0000-0000-0000971B0000}"/>
    <cellStyle name="Normal 13 12 4" xfId="23713" xr:uid="{00000000-0005-0000-0000-0000981B0000}"/>
    <cellStyle name="Normal 13 12 5" xfId="42298" xr:uid="{00000000-0005-0000-0000-0000991B0000}"/>
    <cellStyle name="Normal 13 13" xfId="9634" xr:uid="{00000000-0005-0000-0000-00009A1B0000}"/>
    <cellStyle name="Normal 13 14" xfId="42405" xr:uid="{00000000-0005-0000-0000-00009B1B0000}"/>
    <cellStyle name="Normal 13 2" xfId="402" xr:uid="{00000000-0005-0000-0000-00009C1B0000}"/>
    <cellStyle name="Normal 13 2 2" xfId="4121" xr:uid="{00000000-0005-0000-0000-00009D1B0000}"/>
    <cellStyle name="Normal 13 2 2 2" xfId="10036" xr:uid="{00000000-0005-0000-0000-00009E1B0000}"/>
    <cellStyle name="Normal 13 2 2 2 2" xfId="33521" xr:uid="{00000000-0005-0000-0000-00009F1B0000}"/>
    <cellStyle name="Normal 13 2 2 2 3" xfId="24202" xr:uid="{00000000-0005-0000-0000-0000A01B0000}"/>
    <cellStyle name="Normal 13 2 2 2 4" xfId="47464" xr:uid="{00000000-0005-0000-0000-0000A11B0000}"/>
    <cellStyle name="Normal 13 2 2 3" xfId="14767" xr:uid="{00000000-0005-0000-0000-0000A21B0000}"/>
    <cellStyle name="Normal 13 2 2 3 2" xfId="28899" xr:uid="{00000000-0005-0000-0000-0000A31B0000}"/>
    <cellStyle name="Normal 13 2 2 3 3" xfId="42794" xr:uid="{00000000-0005-0000-0000-0000A41B0000}"/>
    <cellStyle name="Normal 13 2 2 4" xfId="19580" xr:uid="{00000000-0005-0000-0000-0000A51B0000}"/>
    <cellStyle name="Normal 13 2 2 5" xfId="38212" xr:uid="{00000000-0005-0000-0000-0000A61B0000}"/>
    <cellStyle name="Normal 13 2 3" xfId="4122" xr:uid="{00000000-0005-0000-0000-0000A71B0000}"/>
    <cellStyle name="Normal 13 2 3 2" xfId="10037" xr:uid="{00000000-0005-0000-0000-0000A81B0000}"/>
    <cellStyle name="Normal 13 2 3 2 2" xfId="33522" xr:uid="{00000000-0005-0000-0000-0000A91B0000}"/>
    <cellStyle name="Normal 13 2 3 2 3" xfId="24203" xr:uid="{00000000-0005-0000-0000-0000AA1B0000}"/>
    <cellStyle name="Normal 13 2 3 2 4" xfId="47465" xr:uid="{00000000-0005-0000-0000-0000AB1B0000}"/>
    <cellStyle name="Normal 13 2 3 3" xfId="14768" xr:uid="{00000000-0005-0000-0000-0000AC1B0000}"/>
    <cellStyle name="Normal 13 2 3 3 2" xfId="28900" xr:uid="{00000000-0005-0000-0000-0000AD1B0000}"/>
    <cellStyle name="Normal 13 2 3 3 3" xfId="42795" xr:uid="{00000000-0005-0000-0000-0000AE1B0000}"/>
    <cellStyle name="Normal 13 2 3 4" xfId="19581" xr:uid="{00000000-0005-0000-0000-0000AF1B0000}"/>
    <cellStyle name="Normal 13 2 3 5" xfId="38213" xr:uid="{00000000-0005-0000-0000-0000B01B0000}"/>
    <cellStyle name="Normal 13 2 4" xfId="4123" xr:uid="{00000000-0005-0000-0000-0000B11B0000}"/>
    <cellStyle name="Normal 13 2 4 2" xfId="10038" xr:uid="{00000000-0005-0000-0000-0000B21B0000}"/>
    <cellStyle name="Normal 13 2 4 2 2" xfId="33523" xr:uid="{00000000-0005-0000-0000-0000B31B0000}"/>
    <cellStyle name="Normal 13 2 4 2 3" xfId="24204" xr:uid="{00000000-0005-0000-0000-0000B41B0000}"/>
    <cellStyle name="Normal 13 2 4 2 4" xfId="47466" xr:uid="{00000000-0005-0000-0000-0000B51B0000}"/>
    <cellStyle name="Normal 13 2 4 3" xfId="14769" xr:uid="{00000000-0005-0000-0000-0000B61B0000}"/>
    <cellStyle name="Normal 13 2 4 3 2" xfId="28901" xr:uid="{00000000-0005-0000-0000-0000B71B0000}"/>
    <cellStyle name="Normal 13 2 4 3 3" xfId="42796" xr:uid="{00000000-0005-0000-0000-0000B81B0000}"/>
    <cellStyle name="Normal 13 2 4 4" xfId="19582" xr:uid="{00000000-0005-0000-0000-0000B91B0000}"/>
    <cellStyle name="Normal 13 2 4 5" xfId="38214" xr:uid="{00000000-0005-0000-0000-0000BA1B0000}"/>
    <cellStyle name="Normal 13 2 5" xfId="9670" xr:uid="{00000000-0005-0000-0000-0000BB1B0000}"/>
    <cellStyle name="Normal 13 2 5 2" xfId="33161" xr:uid="{00000000-0005-0000-0000-0000BC1B0000}"/>
    <cellStyle name="Normal 13 2 5 3" xfId="23846" xr:uid="{00000000-0005-0000-0000-0000BD1B0000}"/>
    <cellStyle name="Normal 13 2 5 4" xfId="47104" xr:uid="{00000000-0005-0000-0000-0000BE1B0000}"/>
    <cellStyle name="Normal 13 2 6" xfId="14431" xr:uid="{00000000-0005-0000-0000-0000BF1B0000}"/>
    <cellStyle name="Normal 13 2 6 2" xfId="28562" xr:uid="{00000000-0005-0000-0000-0000C01B0000}"/>
    <cellStyle name="Normal 13 2 6 3" xfId="42442" xr:uid="{00000000-0005-0000-0000-0000C11B0000}"/>
    <cellStyle name="Normal 13 2 7" xfId="19242" xr:uid="{00000000-0005-0000-0000-0000C21B0000}"/>
    <cellStyle name="Normal 13 2 8" xfId="37877" xr:uid="{00000000-0005-0000-0000-0000C31B0000}"/>
    <cellStyle name="Normal 13 3" xfId="4124" xr:uid="{00000000-0005-0000-0000-0000C41B0000}"/>
    <cellStyle name="Normal 13 4" xfId="4125" xr:uid="{00000000-0005-0000-0000-0000C51B0000}"/>
    <cellStyle name="Normal 13 5" xfId="4126" xr:uid="{00000000-0005-0000-0000-0000C61B0000}"/>
    <cellStyle name="Normal 13 6" xfId="4127" xr:uid="{00000000-0005-0000-0000-0000C71B0000}"/>
    <cellStyle name="Normal 13 7" xfId="4128" xr:uid="{00000000-0005-0000-0000-0000C81B0000}"/>
    <cellStyle name="Normal 13 8" xfId="4129" xr:uid="{00000000-0005-0000-0000-0000C91B0000}"/>
    <cellStyle name="Normal 13 9" xfId="4130" xr:uid="{00000000-0005-0000-0000-0000CA1B0000}"/>
    <cellStyle name="Normal 130" xfId="45" xr:uid="{00000000-0005-0000-0000-0000CB1B0000}"/>
    <cellStyle name="Normal 131" xfId="46" xr:uid="{00000000-0005-0000-0000-0000CC1B0000}"/>
    <cellStyle name="Normal 132" xfId="107" xr:uid="{00000000-0005-0000-0000-0000CD1B0000}"/>
    <cellStyle name="Normal 133" xfId="48" xr:uid="{00000000-0005-0000-0000-0000CE1B0000}"/>
    <cellStyle name="Normal 134" xfId="108" xr:uid="{00000000-0005-0000-0000-0000CF1B0000}"/>
    <cellStyle name="Normal 135" xfId="52" xr:uid="{00000000-0005-0000-0000-0000D01B0000}"/>
    <cellStyle name="Normal 136" xfId="55" xr:uid="{00000000-0005-0000-0000-0000D11B0000}"/>
    <cellStyle name="Normal 137" xfId="56" xr:uid="{00000000-0005-0000-0000-0000D21B0000}"/>
    <cellStyle name="Normal 138" xfId="109" xr:uid="{00000000-0005-0000-0000-0000D31B0000}"/>
    <cellStyle name="Normal 139" xfId="53" xr:uid="{00000000-0005-0000-0000-0000D41B0000}"/>
    <cellStyle name="Normal 14" xfId="37" xr:uid="{00000000-0005-0000-0000-0000D51B0000}"/>
    <cellStyle name="Normal 14 10" xfId="403" xr:uid="{00000000-0005-0000-0000-0000D61B0000}"/>
    <cellStyle name="Normal 14 11" xfId="9480" xr:uid="{00000000-0005-0000-0000-0000D71B0000}"/>
    <cellStyle name="Normal 14 11 2" xfId="14149" xr:uid="{00000000-0005-0000-0000-0000D81B0000}"/>
    <cellStyle name="Normal 14 11 2 2" xfId="37627" xr:uid="{00000000-0005-0000-0000-0000D91B0000}"/>
    <cellStyle name="Normal 14 11 2 3" xfId="28313" xr:uid="{00000000-0005-0000-0000-0000DA1B0000}"/>
    <cellStyle name="Normal 14 11 2 4" xfId="51576" xr:uid="{00000000-0005-0000-0000-0000DB1B0000}"/>
    <cellStyle name="Normal 14 11 3" xfId="18861" xr:uid="{00000000-0005-0000-0000-0000DC1B0000}"/>
    <cellStyle name="Normal 14 11 3 2" xfId="32993" xr:uid="{00000000-0005-0000-0000-0000DD1B0000}"/>
    <cellStyle name="Normal 14 11 3 3" xfId="46895" xr:uid="{00000000-0005-0000-0000-0000DE1B0000}"/>
    <cellStyle name="Normal 14 11 4" xfId="23679" xr:uid="{00000000-0005-0000-0000-0000DF1B0000}"/>
    <cellStyle name="Normal 14 11 5" xfId="42266" xr:uid="{00000000-0005-0000-0000-0000E01B0000}"/>
    <cellStyle name="Normal 14 12" xfId="9520" xr:uid="{00000000-0005-0000-0000-0000E11B0000}"/>
    <cellStyle name="Normal 14 12 2" xfId="14186" xr:uid="{00000000-0005-0000-0000-0000E21B0000}"/>
    <cellStyle name="Normal 14 12 2 2" xfId="37661" xr:uid="{00000000-0005-0000-0000-0000E31B0000}"/>
    <cellStyle name="Normal 14 12 2 3" xfId="28346" xr:uid="{00000000-0005-0000-0000-0000E41B0000}"/>
    <cellStyle name="Normal 14 12 2 4" xfId="51613" xr:uid="{00000000-0005-0000-0000-0000E51B0000}"/>
    <cellStyle name="Normal 14 12 3" xfId="18894" xr:uid="{00000000-0005-0000-0000-0000E61B0000}"/>
    <cellStyle name="Normal 14 12 3 2" xfId="33027" xr:uid="{00000000-0005-0000-0000-0000E71B0000}"/>
    <cellStyle name="Normal 14 12 3 3" xfId="46933" xr:uid="{00000000-0005-0000-0000-0000E81B0000}"/>
    <cellStyle name="Normal 14 12 4" xfId="23714" xr:uid="{00000000-0005-0000-0000-0000E91B0000}"/>
    <cellStyle name="Normal 14 12 5" xfId="42299" xr:uid="{00000000-0005-0000-0000-0000EA1B0000}"/>
    <cellStyle name="Normal 14 13" xfId="51681" xr:uid="{00000000-0005-0000-0000-0000EB1B0000}"/>
    <cellStyle name="Normal 14 2" xfId="339" xr:uid="{00000000-0005-0000-0000-0000EC1B0000}"/>
    <cellStyle name="Normal 14 2 2" xfId="4131" xr:uid="{00000000-0005-0000-0000-0000ED1B0000}"/>
    <cellStyle name="Normal 14 2 3" xfId="9653" xr:uid="{00000000-0005-0000-0000-0000EE1B0000}"/>
    <cellStyle name="Normal 14 2 3 2" xfId="33144" xr:uid="{00000000-0005-0000-0000-0000EF1B0000}"/>
    <cellStyle name="Normal 14 2 3 3" xfId="23831" xr:uid="{00000000-0005-0000-0000-0000F01B0000}"/>
    <cellStyle name="Normal 14 2 3 4" xfId="47087" xr:uid="{00000000-0005-0000-0000-0000F11B0000}"/>
    <cellStyle name="Normal 14 2 4" xfId="14415" xr:uid="{00000000-0005-0000-0000-0000F21B0000}"/>
    <cellStyle name="Normal 14 2 4 2" xfId="28546" xr:uid="{00000000-0005-0000-0000-0000F31B0000}"/>
    <cellStyle name="Normal 14 2 4 3" xfId="42425" xr:uid="{00000000-0005-0000-0000-0000F41B0000}"/>
    <cellStyle name="Normal 14 2 5" xfId="19228" xr:uid="{00000000-0005-0000-0000-0000F51B0000}"/>
    <cellStyle name="Normal 14 2 6" xfId="37863" xr:uid="{00000000-0005-0000-0000-0000F61B0000}"/>
    <cellStyle name="Normal 14 3" xfId="4132" xr:uid="{00000000-0005-0000-0000-0000F71B0000}"/>
    <cellStyle name="Normal 14 4" xfId="4133" xr:uid="{00000000-0005-0000-0000-0000F81B0000}"/>
    <cellStyle name="Normal 14 5" xfId="4134" xr:uid="{00000000-0005-0000-0000-0000F91B0000}"/>
    <cellStyle name="Normal 14 6" xfId="4135" xr:uid="{00000000-0005-0000-0000-0000FA1B0000}"/>
    <cellStyle name="Normal 14 7" xfId="4136" xr:uid="{00000000-0005-0000-0000-0000FB1B0000}"/>
    <cellStyle name="Normal 14 8" xfId="4137" xr:uid="{00000000-0005-0000-0000-0000FC1B0000}"/>
    <cellStyle name="Normal 14 9" xfId="4138" xr:uid="{00000000-0005-0000-0000-0000FD1B0000}"/>
    <cellStyle name="Normal 140" xfId="110" xr:uid="{00000000-0005-0000-0000-0000FE1B0000}"/>
    <cellStyle name="Normal 140 2" xfId="9451" xr:uid="{00000000-0005-0000-0000-0000FF1B0000}"/>
    <cellStyle name="Normal 141" xfId="54" xr:uid="{00000000-0005-0000-0000-0000001C0000}"/>
    <cellStyle name="Normal 142" xfId="49" xr:uid="{00000000-0005-0000-0000-0000011C0000}"/>
    <cellStyle name="Normal 143" xfId="111" xr:uid="{00000000-0005-0000-0000-0000021C0000}"/>
    <cellStyle name="Normal 144" xfId="112" xr:uid="{00000000-0005-0000-0000-0000031C0000}"/>
    <cellStyle name="Normal 145" xfId="58" xr:uid="{00000000-0005-0000-0000-0000041C0000}"/>
    <cellStyle name="Normal 146" xfId="59" xr:uid="{00000000-0005-0000-0000-0000051C0000}"/>
    <cellStyle name="Normal 147" xfId="57" xr:uid="{00000000-0005-0000-0000-0000061C0000}"/>
    <cellStyle name="Normal 148" xfId="113" xr:uid="{00000000-0005-0000-0000-0000071C0000}"/>
    <cellStyle name="Normal 149" xfId="114" xr:uid="{00000000-0005-0000-0000-0000081C0000}"/>
    <cellStyle name="Normal 15" xfId="115" xr:uid="{00000000-0005-0000-0000-0000091C0000}"/>
    <cellStyle name="Normal 15 10" xfId="4139" xr:uid="{00000000-0005-0000-0000-00000A1C0000}"/>
    <cellStyle name="Normal 15 11" xfId="4140" xr:uid="{00000000-0005-0000-0000-00000B1C0000}"/>
    <cellStyle name="Normal 15 12" xfId="4141" xr:uid="{00000000-0005-0000-0000-00000C1C0000}"/>
    <cellStyle name="Normal 15 13" xfId="4142" xr:uid="{00000000-0005-0000-0000-00000D1C0000}"/>
    <cellStyle name="Normal 15 14" xfId="4143" xr:uid="{00000000-0005-0000-0000-00000E1C0000}"/>
    <cellStyle name="Normal 15 15" xfId="404" xr:uid="{00000000-0005-0000-0000-00000F1C0000}"/>
    <cellStyle name="Normal 15 16" xfId="9464" xr:uid="{00000000-0005-0000-0000-0000101C0000}"/>
    <cellStyle name="Normal 15 16 2" xfId="14136" xr:uid="{00000000-0005-0000-0000-0000111C0000}"/>
    <cellStyle name="Normal 15 16 3" xfId="46886" xr:uid="{00000000-0005-0000-0000-0000121C0000}"/>
    <cellStyle name="Normal 15 2" xfId="4144" xr:uid="{00000000-0005-0000-0000-0000131C0000}"/>
    <cellStyle name="Normal 15 2 10" xfId="19583" xr:uid="{00000000-0005-0000-0000-0000141C0000}"/>
    <cellStyle name="Normal 15 2 11" xfId="38215" xr:uid="{00000000-0005-0000-0000-0000151C0000}"/>
    <cellStyle name="Normal 15 2 2" xfId="4145" xr:uid="{00000000-0005-0000-0000-0000161C0000}"/>
    <cellStyle name="Normal 15 2 2 2" xfId="4146" xr:uid="{00000000-0005-0000-0000-0000171C0000}"/>
    <cellStyle name="Normal 15 2 2 2 2" xfId="10041" xr:uid="{00000000-0005-0000-0000-0000181C0000}"/>
    <cellStyle name="Normal 15 2 2 2 2 2" xfId="33526" xr:uid="{00000000-0005-0000-0000-0000191C0000}"/>
    <cellStyle name="Normal 15 2 2 2 2 3" xfId="24207" xr:uid="{00000000-0005-0000-0000-00001A1C0000}"/>
    <cellStyle name="Normal 15 2 2 2 2 4" xfId="47469" xr:uid="{00000000-0005-0000-0000-00001B1C0000}"/>
    <cellStyle name="Normal 15 2 2 2 3" xfId="14772" xr:uid="{00000000-0005-0000-0000-00001C1C0000}"/>
    <cellStyle name="Normal 15 2 2 2 3 2" xfId="28904" xr:uid="{00000000-0005-0000-0000-00001D1C0000}"/>
    <cellStyle name="Normal 15 2 2 2 3 3" xfId="42799" xr:uid="{00000000-0005-0000-0000-00001E1C0000}"/>
    <cellStyle name="Normal 15 2 2 2 4" xfId="19585" xr:uid="{00000000-0005-0000-0000-00001F1C0000}"/>
    <cellStyle name="Normal 15 2 2 2 5" xfId="38217" xr:uid="{00000000-0005-0000-0000-0000201C0000}"/>
    <cellStyle name="Normal 15 2 2 3" xfId="10040" xr:uid="{00000000-0005-0000-0000-0000211C0000}"/>
    <cellStyle name="Normal 15 2 2 3 2" xfId="33525" xr:uid="{00000000-0005-0000-0000-0000221C0000}"/>
    <cellStyle name="Normal 15 2 2 3 3" xfId="24206" xr:uid="{00000000-0005-0000-0000-0000231C0000}"/>
    <cellStyle name="Normal 15 2 2 3 4" xfId="47468" xr:uid="{00000000-0005-0000-0000-0000241C0000}"/>
    <cellStyle name="Normal 15 2 2 4" xfId="14771" xr:uid="{00000000-0005-0000-0000-0000251C0000}"/>
    <cellStyle name="Normal 15 2 2 4 2" xfId="28903" xr:uid="{00000000-0005-0000-0000-0000261C0000}"/>
    <cellStyle name="Normal 15 2 2 4 3" xfId="42798" xr:uid="{00000000-0005-0000-0000-0000271C0000}"/>
    <cellStyle name="Normal 15 2 2 5" xfId="19584" xr:uid="{00000000-0005-0000-0000-0000281C0000}"/>
    <cellStyle name="Normal 15 2 2 6" xfId="38216" xr:uid="{00000000-0005-0000-0000-0000291C0000}"/>
    <cellStyle name="Normal 15 2 3" xfId="4147" xr:uid="{00000000-0005-0000-0000-00002A1C0000}"/>
    <cellStyle name="Normal 15 2 3 2" xfId="4148" xr:uid="{00000000-0005-0000-0000-00002B1C0000}"/>
    <cellStyle name="Normal 15 2 3 2 2" xfId="10043" xr:uid="{00000000-0005-0000-0000-00002C1C0000}"/>
    <cellStyle name="Normal 15 2 3 2 2 2" xfId="33528" xr:uid="{00000000-0005-0000-0000-00002D1C0000}"/>
    <cellStyle name="Normal 15 2 3 2 2 3" xfId="24209" xr:uid="{00000000-0005-0000-0000-00002E1C0000}"/>
    <cellStyle name="Normal 15 2 3 2 2 4" xfId="47471" xr:uid="{00000000-0005-0000-0000-00002F1C0000}"/>
    <cellStyle name="Normal 15 2 3 2 3" xfId="14774" xr:uid="{00000000-0005-0000-0000-0000301C0000}"/>
    <cellStyle name="Normal 15 2 3 2 3 2" xfId="28906" xr:uid="{00000000-0005-0000-0000-0000311C0000}"/>
    <cellStyle name="Normal 15 2 3 2 3 3" xfId="42801" xr:uid="{00000000-0005-0000-0000-0000321C0000}"/>
    <cellStyle name="Normal 15 2 3 2 4" xfId="19587" xr:uid="{00000000-0005-0000-0000-0000331C0000}"/>
    <cellStyle name="Normal 15 2 3 2 5" xfId="38219" xr:uid="{00000000-0005-0000-0000-0000341C0000}"/>
    <cellStyle name="Normal 15 2 3 3" xfId="10042" xr:uid="{00000000-0005-0000-0000-0000351C0000}"/>
    <cellStyle name="Normal 15 2 3 3 2" xfId="33527" xr:uid="{00000000-0005-0000-0000-0000361C0000}"/>
    <cellStyle name="Normal 15 2 3 3 3" xfId="24208" xr:uid="{00000000-0005-0000-0000-0000371C0000}"/>
    <cellStyle name="Normal 15 2 3 3 4" xfId="47470" xr:uid="{00000000-0005-0000-0000-0000381C0000}"/>
    <cellStyle name="Normal 15 2 3 4" xfId="14773" xr:uid="{00000000-0005-0000-0000-0000391C0000}"/>
    <cellStyle name="Normal 15 2 3 4 2" xfId="28905" xr:uid="{00000000-0005-0000-0000-00003A1C0000}"/>
    <cellStyle name="Normal 15 2 3 4 3" xfId="42800" xr:uid="{00000000-0005-0000-0000-00003B1C0000}"/>
    <cellStyle name="Normal 15 2 3 5" xfId="19586" xr:uid="{00000000-0005-0000-0000-00003C1C0000}"/>
    <cellStyle name="Normal 15 2 3 6" xfId="38218" xr:uid="{00000000-0005-0000-0000-00003D1C0000}"/>
    <cellStyle name="Normal 15 2 4" xfId="4149" xr:uid="{00000000-0005-0000-0000-00003E1C0000}"/>
    <cellStyle name="Normal 15 2 4 2" xfId="4150" xr:uid="{00000000-0005-0000-0000-00003F1C0000}"/>
    <cellStyle name="Normal 15 2 4 2 2" xfId="10045" xr:uid="{00000000-0005-0000-0000-0000401C0000}"/>
    <cellStyle name="Normal 15 2 4 2 2 2" xfId="33530" xr:uid="{00000000-0005-0000-0000-0000411C0000}"/>
    <cellStyle name="Normal 15 2 4 2 2 3" xfId="24211" xr:uid="{00000000-0005-0000-0000-0000421C0000}"/>
    <cellStyle name="Normal 15 2 4 2 2 4" xfId="47473" xr:uid="{00000000-0005-0000-0000-0000431C0000}"/>
    <cellStyle name="Normal 15 2 4 2 3" xfId="14776" xr:uid="{00000000-0005-0000-0000-0000441C0000}"/>
    <cellStyle name="Normal 15 2 4 2 3 2" xfId="28908" xr:uid="{00000000-0005-0000-0000-0000451C0000}"/>
    <cellStyle name="Normal 15 2 4 2 3 3" xfId="42803" xr:uid="{00000000-0005-0000-0000-0000461C0000}"/>
    <cellStyle name="Normal 15 2 4 2 4" xfId="19589" xr:uid="{00000000-0005-0000-0000-0000471C0000}"/>
    <cellStyle name="Normal 15 2 4 2 5" xfId="38221" xr:uid="{00000000-0005-0000-0000-0000481C0000}"/>
    <cellStyle name="Normal 15 2 4 3" xfId="10044" xr:uid="{00000000-0005-0000-0000-0000491C0000}"/>
    <cellStyle name="Normal 15 2 4 3 2" xfId="33529" xr:uid="{00000000-0005-0000-0000-00004A1C0000}"/>
    <cellStyle name="Normal 15 2 4 3 3" xfId="24210" xr:uid="{00000000-0005-0000-0000-00004B1C0000}"/>
    <cellStyle name="Normal 15 2 4 3 4" xfId="47472" xr:uid="{00000000-0005-0000-0000-00004C1C0000}"/>
    <cellStyle name="Normal 15 2 4 4" xfId="14775" xr:uid="{00000000-0005-0000-0000-00004D1C0000}"/>
    <cellStyle name="Normal 15 2 4 4 2" xfId="28907" xr:uid="{00000000-0005-0000-0000-00004E1C0000}"/>
    <cellStyle name="Normal 15 2 4 4 3" xfId="42802" xr:uid="{00000000-0005-0000-0000-00004F1C0000}"/>
    <cellStyle name="Normal 15 2 4 5" xfId="19588" xr:uid="{00000000-0005-0000-0000-0000501C0000}"/>
    <cellStyle name="Normal 15 2 4 6" xfId="38220" xr:uid="{00000000-0005-0000-0000-0000511C0000}"/>
    <cellStyle name="Normal 15 2 5" xfId="4151" xr:uid="{00000000-0005-0000-0000-0000521C0000}"/>
    <cellStyle name="Normal 15 2 5 2" xfId="4152" xr:uid="{00000000-0005-0000-0000-0000531C0000}"/>
    <cellStyle name="Normal 15 2 5 2 2" xfId="10047" xr:uid="{00000000-0005-0000-0000-0000541C0000}"/>
    <cellStyle name="Normal 15 2 5 2 2 2" xfId="33532" xr:uid="{00000000-0005-0000-0000-0000551C0000}"/>
    <cellStyle name="Normal 15 2 5 2 2 3" xfId="24213" xr:uid="{00000000-0005-0000-0000-0000561C0000}"/>
    <cellStyle name="Normal 15 2 5 2 2 4" xfId="47475" xr:uid="{00000000-0005-0000-0000-0000571C0000}"/>
    <cellStyle name="Normal 15 2 5 2 3" xfId="14778" xr:uid="{00000000-0005-0000-0000-0000581C0000}"/>
    <cellStyle name="Normal 15 2 5 2 3 2" xfId="28910" xr:uid="{00000000-0005-0000-0000-0000591C0000}"/>
    <cellStyle name="Normal 15 2 5 2 3 3" xfId="42805" xr:uid="{00000000-0005-0000-0000-00005A1C0000}"/>
    <cellStyle name="Normal 15 2 5 2 4" xfId="19591" xr:uid="{00000000-0005-0000-0000-00005B1C0000}"/>
    <cellStyle name="Normal 15 2 5 2 5" xfId="38223" xr:uid="{00000000-0005-0000-0000-00005C1C0000}"/>
    <cellStyle name="Normal 15 2 5 3" xfId="10046" xr:uid="{00000000-0005-0000-0000-00005D1C0000}"/>
    <cellStyle name="Normal 15 2 5 3 2" xfId="33531" xr:uid="{00000000-0005-0000-0000-00005E1C0000}"/>
    <cellStyle name="Normal 15 2 5 3 3" xfId="24212" xr:uid="{00000000-0005-0000-0000-00005F1C0000}"/>
    <cellStyle name="Normal 15 2 5 3 4" xfId="47474" xr:uid="{00000000-0005-0000-0000-0000601C0000}"/>
    <cellStyle name="Normal 15 2 5 4" xfId="14777" xr:uid="{00000000-0005-0000-0000-0000611C0000}"/>
    <cellStyle name="Normal 15 2 5 4 2" xfId="28909" xr:uid="{00000000-0005-0000-0000-0000621C0000}"/>
    <cellStyle name="Normal 15 2 5 4 3" xfId="42804" xr:uid="{00000000-0005-0000-0000-0000631C0000}"/>
    <cellStyle name="Normal 15 2 5 5" xfId="19590" xr:uid="{00000000-0005-0000-0000-0000641C0000}"/>
    <cellStyle name="Normal 15 2 5 6" xfId="38222" xr:uid="{00000000-0005-0000-0000-0000651C0000}"/>
    <cellStyle name="Normal 15 2 6" xfId="4153" xr:uid="{00000000-0005-0000-0000-0000661C0000}"/>
    <cellStyle name="Normal 15 2 6 2" xfId="4154" xr:uid="{00000000-0005-0000-0000-0000671C0000}"/>
    <cellStyle name="Normal 15 2 6 2 2" xfId="10049" xr:uid="{00000000-0005-0000-0000-0000681C0000}"/>
    <cellStyle name="Normal 15 2 6 2 2 2" xfId="33534" xr:uid="{00000000-0005-0000-0000-0000691C0000}"/>
    <cellStyle name="Normal 15 2 6 2 2 3" xfId="24215" xr:uid="{00000000-0005-0000-0000-00006A1C0000}"/>
    <cellStyle name="Normal 15 2 6 2 2 4" xfId="47477" xr:uid="{00000000-0005-0000-0000-00006B1C0000}"/>
    <cellStyle name="Normal 15 2 6 2 3" xfId="14780" xr:uid="{00000000-0005-0000-0000-00006C1C0000}"/>
    <cellStyle name="Normal 15 2 6 2 3 2" xfId="28912" xr:uid="{00000000-0005-0000-0000-00006D1C0000}"/>
    <cellStyle name="Normal 15 2 6 2 3 3" xfId="42807" xr:uid="{00000000-0005-0000-0000-00006E1C0000}"/>
    <cellStyle name="Normal 15 2 6 2 4" xfId="19593" xr:uid="{00000000-0005-0000-0000-00006F1C0000}"/>
    <cellStyle name="Normal 15 2 6 2 5" xfId="38225" xr:uid="{00000000-0005-0000-0000-0000701C0000}"/>
    <cellStyle name="Normal 15 2 6 3" xfId="10048" xr:uid="{00000000-0005-0000-0000-0000711C0000}"/>
    <cellStyle name="Normal 15 2 6 3 2" xfId="33533" xr:uid="{00000000-0005-0000-0000-0000721C0000}"/>
    <cellStyle name="Normal 15 2 6 3 3" xfId="24214" xr:uid="{00000000-0005-0000-0000-0000731C0000}"/>
    <cellStyle name="Normal 15 2 6 3 4" xfId="47476" xr:uid="{00000000-0005-0000-0000-0000741C0000}"/>
    <cellStyle name="Normal 15 2 6 4" xfId="14779" xr:uid="{00000000-0005-0000-0000-0000751C0000}"/>
    <cellStyle name="Normal 15 2 6 4 2" xfId="28911" xr:uid="{00000000-0005-0000-0000-0000761C0000}"/>
    <cellStyle name="Normal 15 2 6 4 3" xfId="42806" xr:uid="{00000000-0005-0000-0000-0000771C0000}"/>
    <cellStyle name="Normal 15 2 6 5" xfId="19592" xr:uid="{00000000-0005-0000-0000-0000781C0000}"/>
    <cellStyle name="Normal 15 2 6 6" xfId="38224" xr:uid="{00000000-0005-0000-0000-0000791C0000}"/>
    <cellStyle name="Normal 15 2 7" xfId="4155" xr:uid="{00000000-0005-0000-0000-00007A1C0000}"/>
    <cellStyle name="Normal 15 2 7 2" xfId="10050" xr:uid="{00000000-0005-0000-0000-00007B1C0000}"/>
    <cellStyle name="Normal 15 2 7 2 2" xfId="33535" xr:uid="{00000000-0005-0000-0000-00007C1C0000}"/>
    <cellStyle name="Normal 15 2 7 2 3" xfId="24216" xr:uid="{00000000-0005-0000-0000-00007D1C0000}"/>
    <cellStyle name="Normal 15 2 7 2 4" xfId="47478" xr:uid="{00000000-0005-0000-0000-00007E1C0000}"/>
    <cellStyle name="Normal 15 2 7 3" xfId="14781" xr:uid="{00000000-0005-0000-0000-00007F1C0000}"/>
    <cellStyle name="Normal 15 2 7 3 2" xfId="28913" xr:uid="{00000000-0005-0000-0000-0000801C0000}"/>
    <cellStyle name="Normal 15 2 7 3 3" xfId="42808" xr:uid="{00000000-0005-0000-0000-0000811C0000}"/>
    <cellStyle name="Normal 15 2 7 4" xfId="19594" xr:uid="{00000000-0005-0000-0000-0000821C0000}"/>
    <cellStyle name="Normal 15 2 7 5" xfId="38226" xr:uid="{00000000-0005-0000-0000-0000831C0000}"/>
    <cellStyle name="Normal 15 2 8" xfId="10039" xr:uid="{00000000-0005-0000-0000-0000841C0000}"/>
    <cellStyle name="Normal 15 2 8 2" xfId="33524" xr:uid="{00000000-0005-0000-0000-0000851C0000}"/>
    <cellStyle name="Normal 15 2 8 3" xfId="24205" xr:uid="{00000000-0005-0000-0000-0000861C0000}"/>
    <cellStyle name="Normal 15 2 8 4" xfId="47467" xr:uid="{00000000-0005-0000-0000-0000871C0000}"/>
    <cellStyle name="Normal 15 2 9" xfId="14770" xr:uid="{00000000-0005-0000-0000-0000881C0000}"/>
    <cellStyle name="Normal 15 2 9 2" xfId="28902" xr:uid="{00000000-0005-0000-0000-0000891C0000}"/>
    <cellStyle name="Normal 15 2 9 3" xfId="42797" xr:uid="{00000000-0005-0000-0000-00008A1C0000}"/>
    <cellStyle name="Normal 15 3" xfId="4156" xr:uid="{00000000-0005-0000-0000-00008B1C0000}"/>
    <cellStyle name="Normal 15 3 10" xfId="19595" xr:uid="{00000000-0005-0000-0000-00008C1C0000}"/>
    <cellStyle name="Normal 15 3 11" xfId="38227" xr:uid="{00000000-0005-0000-0000-00008D1C0000}"/>
    <cellStyle name="Normal 15 3 2" xfId="4157" xr:uid="{00000000-0005-0000-0000-00008E1C0000}"/>
    <cellStyle name="Normal 15 3 2 2" xfId="4158" xr:uid="{00000000-0005-0000-0000-00008F1C0000}"/>
    <cellStyle name="Normal 15 3 2 2 2" xfId="10053" xr:uid="{00000000-0005-0000-0000-0000901C0000}"/>
    <cellStyle name="Normal 15 3 2 2 2 2" xfId="33538" xr:uid="{00000000-0005-0000-0000-0000911C0000}"/>
    <cellStyle name="Normal 15 3 2 2 2 3" xfId="24219" xr:uid="{00000000-0005-0000-0000-0000921C0000}"/>
    <cellStyle name="Normal 15 3 2 2 2 4" xfId="47481" xr:uid="{00000000-0005-0000-0000-0000931C0000}"/>
    <cellStyle name="Normal 15 3 2 2 3" xfId="14784" xr:uid="{00000000-0005-0000-0000-0000941C0000}"/>
    <cellStyle name="Normal 15 3 2 2 3 2" xfId="28916" xr:uid="{00000000-0005-0000-0000-0000951C0000}"/>
    <cellStyle name="Normal 15 3 2 2 3 3" xfId="42811" xr:uid="{00000000-0005-0000-0000-0000961C0000}"/>
    <cellStyle name="Normal 15 3 2 2 4" xfId="19597" xr:uid="{00000000-0005-0000-0000-0000971C0000}"/>
    <cellStyle name="Normal 15 3 2 2 5" xfId="38229" xr:uid="{00000000-0005-0000-0000-0000981C0000}"/>
    <cellStyle name="Normal 15 3 2 3" xfId="10052" xr:uid="{00000000-0005-0000-0000-0000991C0000}"/>
    <cellStyle name="Normal 15 3 2 3 2" xfId="33537" xr:uid="{00000000-0005-0000-0000-00009A1C0000}"/>
    <cellStyle name="Normal 15 3 2 3 3" xfId="24218" xr:uid="{00000000-0005-0000-0000-00009B1C0000}"/>
    <cellStyle name="Normal 15 3 2 3 4" xfId="47480" xr:uid="{00000000-0005-0000-0000-00009C1C0000}"/>
    <cellStyle name="Normal 15 3 2 4" xfId="14783" xr:uid="{00000000-0005-0000-0000-00009D1C0000}"/>
    <cellStyle name="Normal 15 3 2 4 2" xfId="28915" xr:uid="{00000000-0005-0000-0000-00009E1C0000}"/>
    <cellStyle name="Normal 15 3 2 4 3" xfId="42810" xr:uid="{00000000-0005-0000-0000-00009F1C0000}"/>
    <cellStyle name="Normal 15 3 2 5" xfId="19596" xr:uid="{00000000-0005-0000-0000-0000A01C0000}"/>
    <cellStyle name="Normal 15 3 2 6" xfId="38228" xr:uid="{00000000-0005-0000-0000-0000A11C0000}"/>
    <cellStyle name="Normal 15 3 3" xfId="4159" xr:uid="{00000000-0005-0000-0000-0000A21C0000}"/>
    <cellStyle name="Normal 15 3 3 2" xfId="4160" xr:uid="{00000000-0005-0000-0000-0000A31C0000}"/>
    <cellStyle name="Normal 15 3 3 2 2" xfId="10055" xr:uid="{00000000-0005-0000-0000-0000A41C0000}"/>
    <cellStyle name="Normal 15 3 3 2 2 2" xfId="33540" xr:uid="{00000000-0005-0000-0000-0000A51C0000}"/>
    <cellStyle name="Normal 15 3 3 2 2 3" xfId="24221" xr:uid="{00000000-0005-0000-0000-0000A61C0000}"/>
    <cellStyle name="Normal 15 3 3 2 2 4" xfId="47483" xr:uid="{00000000-0005-0000-0000-0000A71C0000}"/>
    <cellStyle name="Normal 15 3 3 2 3" xfId="14786" xr:uid="{00000000-0005-0000-0000-0000A81C0000}"/>
    <cellStyle name="Normal 15 3 3 2 3 2" xfId="28918" xr:uid="{00000000-0005-0000-0000-0000A91C0000}"/>
    <cellStyle name="Normal 15 3 3 2 3 3" xfId="42813" xr:uid="{00000000-0005-0000-0000-0000AA1C0000}"/>
    <cellStyle name="Normal 15 3 3 2 4" xfId="19599" xr:uid="{00000000-0005-0000-0000-0000AB1C0000}"/>
    <cellStyle name="Normal 15 3 3 2 5" xfId="38231" xr:uid="{00000000-0005-0000-0000-0000AC1C0000}"/>
    <cellStyle name="Normal 15 3 3 3" xfId="10054" xr:uid="{00000000-0005-0000-0000-0000AD1C0000}"/>
    <cellStyle name="Normal 15 3 3 3 2" xfId="33539" xr:uid="{00000000-0005-0000-0000-0000AE1C0000}"/>
    <cellStyle name="Normal 15 3 3 3 3" xfId="24220" xr:uid="{00000000-0005-0000-0000-0000AF1C0000}"/>
    <cellStyle name="Normal 15 3 3 3 4" xfId="47482" xr:uid="{00000000-0005-0000-0000-0000B01C0000}"/>
    <cellStyle name="Normal 15 3 3 4" xfId="14785" xr:uid="{00000000-0005-0000-0000-0000B11C0000}"/>
    <cellStyle name="Normal 15 3 3 4 2" xfId="28917" xr:uid="{00000000-0005-0000-0000-0000B21C0000}"/>
    <cellStyle name="Normal 15 3 3 4 3" xfId="42812" xr:uid="{00000000-0005-0000-0000-0000B31C0000}"/>
    <cellStyle name="Normal 15 3 3 5" xfId="19598" xr:uid="{00000000-0005-0000-0000-0000B41C0000}"/>
    <cellStyle name="Normal 15 3 3 6" xfId="38230" xr:uid="{00000000-0005-0000-0000-0000B51C0000}"/>
    <cellStyle name="Normal 15 3 4" xfId="4161" xr:uid="{00000000-0005-0000-0000-0000B61C0000}"/>
    <cellStyle name="Normal 15 3 4 2" xfId="4162" xr:uid="{00000000-0005-0000-0000-0000B71C0000}"/>
    <cellStyle name="Normal 15 3 4 2 2" xfId="10057" xr:uid="{00000000-0005-0000-0000-0000B81C0000}"/>
    <cellStyle name="Normal 15 3 4 2 2 2" xfId="33542" xr:uid="{00000000-0005-0000-0000-0000B91C0000}"/>
    <cellStyle name="Normal 15 3 4 2 2 3" xfId="24223" xr:uid="{00000000-0005-0000-0000-0000BA1C0000}"/>
    <cellStyle name="Normal 15 3 4 2 2 4" xfId="47485" xr:uid="{00000000-0005-0000-0000-0000BB1C0000}"/>
    <cellStyle name="Normal 15 3 4 2 3" xfId="14788" xr:uid="{00000000-0005-0000-0000-0000BC1C0000}"/>
    <cellStyle name="Normal 15 3 4 2 3 2" xfId="28920" xr:uid="{00000000-0005-0000-0000-0000BD1C0000}"/>
    <cellStyle name="Normal 15 3 4 2 3 3" xfId="42815" xr:uid="{00000000-0005-0000-0000-0000BE1C0000}"/>
    <cellStyle name="Normal 15 3 4 2 4" xfId="19601" xr:uid="{00000000-0005-0000-0000-0000BF1C0000}"/>
    <cellStyle name="Normal 15 3 4 2 5" xfId="38233" xr:uid="{00000000-0005-0000-0000-0000C01C0000}"/>
    <cellStyle name="Normal 15 3 4 3" xfId="10056" xr:uid="{00000000-0005-0000-0000-0000C11C0000}"/>
    <cellStyle name="Normal 15 3 4 3 2" xfId="33541" xr:uid="{00000000-0005-0000-0000-0000C21C0000}"/>
    <cellStyle name="Normal 15 3 4 3 3" xfId="24222" xr:uid="{00000000-0005-0000-0000-0000C31C0000}"/>
    <cellStyle name="Normal 15 3 4 3 4" xfId="47484" xr:uid="{00000000-0005-0000-0000-0000C41C0000}"/>
    <cellStyle name="Normal 15 3 4 4" xfId="14787" xr:uid="{00000000-0005-0000-0000-0000C51C0000}"/>
    <cellStyle name="Normal 15 3 4 4 2" xfId="28919" xr:uid="{00000000-0005-0000-0000-0000C61C0000}"/>
    <cellStyle name="Normal 15 3 4 4 3" xfId="42814" xr:uid="{00000000-0005-0000-0000-0000C71C0000}"/>
    <cellStyle name="Normal 15 3 4 5" xfId="19600" xr:uid="{00000000-0005-0000-0000-0000C81C0000}"/>
    <cellStyle name="Normal 15 3 4 6" xfId="38232" xr:uid="{00000000-0005-0000-0000-0000C91C0000}"/>
    <cellStyle name="Normal 15 3 5" xfId="4163" xr:uid="{00000000-0005-0000-0000-0000CA1C0000}"/>
    <cellStyle name="Normal 15 3 5 2" xfId="4164" xr:uid="{00000000-0005-0000-0000-0000CB1C0000}"/>
    <cellStyle name="Normal 15 3 5 2 2" xfId="10059" xr:uid="{00000000-0005-0000-0000-0000CC1C0000}"/>
    <cellStyle name="Normal 15 3 5 2 2 2" xfId="33544" xr:uid="{00000000-0005-0000-0000-0000CD1C0000}"/>
    <cellStyle name="Normal 15 3 5 2 2 3" xfId="24225" xr:uid="{00000000-0005-0000-0000-0000CE1C0000}"/>
    <cellStyle name="Normal 15 3 5 2 2 4" xfId="47487" xr:uid="{00000000-0005-0000-0000-0000CF1C0000}"/>
    <cellStyle name="Normal 15 3 5 2 3" xfId="14790" xr:uid="{00000000-0005-0000-0000-0000D01C0000}"/>
    <cellStyle name="Normal 15 3 5 2 3 2" xfId="28922" xr:uid="{00000000-0005-0000-0000-0000D11C0000}"/>
    <cellStyle name="Normal 15 3 5 2 3 3" xfId="42817" xr:uid="{00000000-0005-0000-0000-0000D21C0000}"/>
    <cellStyle name="Normal 15 3 5 2 4" xfId="19603" xr:uid="{00000000-0005-0000-0000-0000D31C0000}"/>
    <cellStyle name="Normal 15 3 5 2 5" xfId="38235" xr:uid="{00000000-0005-0000-0000-0000D41C0000}"/>
    <cellStyle name="Normal 15 3 5 3" xfId="10058" xr:uid="{00000000-0005-0000-0000-0000D51C0000}"/>
    <cellStyle name="Normal 15 3 5 3 2" xfId="33543" xr:uid="{00000000-0005-0000-0000-0000D61C0000}"/>
    <cellStyle name="Normal 15 3 5 3 3" xfId="24224" xr:uid="{00000000-0005-0000-0000-0000D71C0000}"/>
    <cellStyle name="Normal 15 3 5 3 4" xfId="47486" xr:uid="{00000000-0005-0000-0000-0000D81C0000}"/>
    <cellStyle name="Normal 15 3 5 4" xfId="14789" xr:uid="{00000000-0005-0000-0000-0000D91C0000}"/>
    <cellStyle name="Normal 15 3 5 4 2" xfId="28921" xr:uid="{00000000-0005-0000-0000-0000DA1C0000}"/>
    <cellStyle name="Normal 15 3 5 4 3" xfId="42816" xr:uid="{00000000-0005-0000-0000-0000DB1C0000}"/>
    <cellStyle name="Normal 15 3 5 5" xfId="19602" xr:uid="{00000000-0005-0000-0000-0000DC1C0000}"/>
    <cellStyle name="Normal 15 3 5 6" xfId="38234" xr:uid="{00000000-0005-0000-0000-0000DD1C0000}"/>
    <cellStyle name="Normal 15 3 6" xfId="4165" xr:uid="{00000000-0005-0000-0000-0000DE1C0000}"/>
    <cellStyle name="Normal 15 3 6 2" xfId="4166" xr:uid="{00000000-0005-0000-0000-0000DF1C0000}"/>
    <cellStyle name="Normal 15 3 6 2 2" xfId="10061" xr:uid="{00000000-0005-0000-0000-0000E01C0000}"/>
    <cellStyle name="Normal 15 3 6 2 2 2" xfId="33546" xr:uid="{00000000-0005-0000-0000-0000E11C0000}"/>
    <cellStyle name="Normal 15 3 6 2 2 3" xfId="24227" xr:uid="{00000000-0005-0000-0000-0000E21C0000}"/>
    <cellStyle name="Normal 15 3 6 2 2 4" xfId="47489" xr:uid="{00000000-0005-0000-0000-0000E31C0000}"/>
    <cellStyle name="Normal 15 3 6 2 3" xfId="14792" xr:uid="{00000000-0005-0000-0000-0000E41C0000}"/>
    <cellStyle name="Normal 15 3 6 2 3 2" xfId="28924" xr:uid="{00000000-0005-0000-0000-0000E51C0000}"/>
    <cellStyle name="Normal 15 3 6 2 3 3" xfId="42819" xr:uid="{00000000-0005-0000-0000-0000E61C0000}"/>
    <cellStyle name="Normal 15 3 6 2 4" xfId="19605" xr:uid="{00000000-0005-0000-0000-0000E71C0000}"/>
    <cellStyle name="Normal 15 3 6 2 5" xfId="38237" xr:uid="{00000000-0005-0000-0000-0000E81C0000}"/>
    <cellStyle name="Normal 15 3 6 3" xfId="10060" xr:uid="{00000000-0005-0000-0000-0000E91C0000}"/>
    <cellStyle name="Normal 15 3 6 3 2" xfId="33545" xr:uid="{00000000-0005-0000-0000-0000EA1C0000}"/>
    <cellStyle name="Normal 15 3 6 3 3" xfId="24226" xr:uid="{00000000-0005-0000-0000-0000EB1C0000}"/>
    <cellStyle name="Normal 15 3 6 3 4" xfId="47488" xr:uid="{00000000-0005-0000-0000-0000EC1C0000}"/>
    <cellStyle name="Normal 15 3 6 4" xfId="14791" xr:uid="{00000000-0005-0000-0000-0000ED1C0000}"/>
    <cellStyle name="Normal 15 3 6 4 2" xfId="28923" xr:uid="{00000000-0005-0000-0000-0000EE1C0000}"/>
    <cellStyle name="Normal 15 3 6 4 3" xfId="42818" xr:uid="{00000000-0005-0000-0000-0000EF1C0000}"/>
    <cellStyle name="Normal 15 3 6 5" xfId="19604" xr:uid="{00000000-0005-0000-0000-0000F01C0000}"/>
    <cellStyle name="Normal 15 3 6 6" xfId="38236" xr:uid="{00000000-0005-0000-0000-0000F11C0000}"/>
    <cellStyle name="Normal 15 3 7" xfId="4167" xr:uid="{00000000-0005-0000-0000-0000F21C0000}"/>
    <cellStyle name="Normal 15 3 7 2" xfId="10062" xr:uid="{00000000-0005-0000-0000-0000F31C0000}"/>
    <cellStyle name="Normal 15 3 7 2 2" xfId="33547" xr:uid="{00000000-0005-0000-0000-0000F41C0000}"/>
    <cellStyle name="Normal 15 3 7 2 3" xfId="24228" xr:uid="{00000000-0005-0000-0000-0000F51C0000}"/>
    <cellStyle name="Normal 15 3 7 2 4" xfId="47490" xr:uid="{00000000-0005-0000-0000-0000F61C0000}"/>
    <cellStyle name="Normal 15 3 7 3" xfId="14793" xr:uid="{00000000-0005-0000-0000-0000F71C0000}"/>
    <cellStyle name="Normal 15 3 7 3 2" xfId="28925" xr:uid="{00000000-0005-0000-0000-0000F81C0000}"/>
    <cellStyle name="Normal 15 3 7 3 3" xfId="42820" xr:uid="{00000000-0005-0000-0000-0000F91C0000}"/>
    <cellStyle name="Normal 15 3 7 4" xfId="19606" xr:uid="{00000000-0005-0000-0000-0000FA1C0000}"/>
    <cellStyle name="Normal 15 3 7 5" xfId="38238" xr:uid="{00000000-0005-0000-0000-0000FB1C0000}"/>
    <cellStyle name="Normal 15 3 8" xfId="10051" xr:uid="{00000000-0005-0000-0000-0000FC1C0000}"/>
    <cellStyle name="Normal 15 3 8 2" xfId="33536" xr:uid="{00000000-0005-0000-0000-0000FD1C0000}"/>
    <cellStyle name="Normal 15 3 8 3" xfId="24217" xr:uid="{00000000-0005-0000-0000-0000FE1C0000}"/>
    <cellStyle name="Normal 15 3 8 4" xfId="47479" xr:uid="{00000000-0005-0000-0000-0000FF1C0000}"/>
    <cellStyle name="Normal 15 3 9" xfId="14782" xr:uid="{00000000-0005-0000-0000-0000001D0000}"/>
    <cellStyle name="Normal 15 3 9 2" xfId="28914" xr:uid="{00000000-0005-0000-0000-0000011D0000}"/>
    <cellStyle name="Normal 15 3 9 3" xfId="42809" xr:uid="{00000000-0005-0000-0000-0000021D0000}"/>
    <cellStyle name="Normal 15 4" xfId="4168" xr:uid="{00000000-0005-0000-0000-0000031D0000}"/>
    <cellStyle name="Normal 15 4 10" xfId="19607" xr:uid="{00000000-0005-0000-0000-0000041D0000}"/>
    <cellStyle name="Normal 15 4 11" xfId="38239" xr:uid="{00000000-0005-0000-0000-0000051D0000}"/>
    <cellStyle name="Normal 15 4 2" xfId="4169" xr:uid="{00000000-0005-0000-0000-0000061D0000}"/>
    <cellStyle name="Normal 15 4 2 2" xfId="4170" xr:uid="{00000000-0005-0000-0000-0000071D0000}"/>
    <cellStyle name="Normal 15 4 2 2 2" xfId="10065" xr:uid="{00000000-0005-0000-0000-0000081D0000}"/>
    <cellStyle name="Normal 15 4 2 2 2 2" xfId="33550" xr:uid="{00000000-0005-0000-0000-0000091D0000}"/>
    <cellStyle name="Normal 15 4 2 2 2 3" xfId="24231" xr:uid="{00000000-0005-0000-0000-00000A1D0000}"/>
    <cellStyle name="Normal 15 4 2 2 2 4" xfId="47493" xr:uid="{00000000-0005-0000-0000-00000B1D0000}"/>
    <cellStyle name="Normal 15 4 2 2 3" xfId="14796" xr:uid="{00000000-0005-0000-0000-00000C1D0000}"/>
    <cellStyle name="Normal 15 4 2 2 3 2" xfId="28928" xr:uid="{00000000-0005-0000-0000-00000D1D0000}"/>
    <cellStyle name="Normal 15 4 2 2 3 3" xfId="42823" xr:uid="{00000000-0005-0000-0000-00000E1D0000}"/>
    <cellStyle name="Normal 15 4 2 2 4" xfId="19609" xr:uid="{00000000-0005-0000-0000-00000F1D0000}"/>
    <cellStyle name="Normal 15 4 2 2 5" xfId="38241" xr:uid="{00000000-0005-0000-0000-0000101D0000}"/>
    <cellStyle name="Normal 15 4 2 3" xfId="10064" xr:uid="{00000000-0005-0000-0000-0000111D0000}"/>
    <cellStyle name="Normal 15 4 2 3 2" xfId="33549" xr:uid="{00000000-0005-0000-0000-0000121D0000}"/>
    <cellStyle name="Normal 15 4 2 3 3" xfId="24230" xr:uid="{00000000-0005-0000-0000-0000131D0000}"/>
    <cellStyle name="Normal 15 4 2 3 4" xfId="47492" xr:uid="{00000000-0005-0000-0000-0000141D0000}"/>
    <cellStyle name="Normal 15 4 2 4" xfId="14795" xr:uid="{00000000-0005-0000-0000-0000151D0000}"/>
    <cellStyle name="Normal 15 4 2 4 2" xfId="28927" xr:uid="{00000000-0005-0000-0000-0000161D0000}"/>
    <cellStyle name="Normal 15 4 2 4 3" xfId="42822" xr:uid="{00000000-0005-0000-0000-0000171D0000}"/>
    <cellStyle name="Normal 15 4 2 5" xfId="19608" xr:uid="{00000000-0005-0000-0000-0000181D0000}"/>
    <cellStyle name="Normal 15 4 2 6" xfId="38240" xr:uid="{00000000-0005-0000-0000-0000191D0000}"/>
    <cellStyle name="Normal 15 4 3" xfId="4171" xr:uid="{00000000-0005-0000-0000-00001A1D0000}"/>
    <cellStyle name="Normal 15 4 3 2" xfId="4172" xr:uid="{00000000-0005-0000-0000-00001B1D0000}"/>
    <cellStyle name="Normal 15 4 3 2 2" xfId="10067" xr:uid="{00000000-0005-0000-0000-00001C1D0000}"/>
    <cellStyle name="Normal 15 4 3 2 2 2" xfId="33552" xr:uid="{00000000-0005-0000-0000-00001D1D0000}"/>
    <cellStyle name="Normal 15 4 3 2 2 3" xfId="24233" xr:uid="{00000000-0005-0000-0000-00001E1D0000}"/>
    <cellStyle name="Normal 15 4 3 2 2 4" xfId="47495" xr:uid="{00000000-0005-0000-0000-00001F1D0000}"/>
    <cellStyle name="Normal 15 4 3 2 3" xfId="14798" xr:uid="{00000000-0005-0000-0000-0000201D0000}"/>
    <cellStyle name="Normal 15 4 3 2 3 2" xfId="28930" xr:uid="{00000000-0005-0000-0000-0000211D0000}"/>
    <cellStyle name="Normal 15 4 3 2 3 3" xfId="42825" xr:uid="{00000000-0005-0000-0000-0000221D0000}"/>
    <cellStyle name="Normal 15 4 3 2 4" xfId="19611" xr:uid="{00000000-0005-0000-0000-0000231D0000}"/>
    <cellStyle name="Normal 15 4 3 2 5" xfId="38243" xr:uid="{00000000-0005-0000-0000-0000241D0000}"/>
    <cellStyle name="Normal 15 4 3 3" xfId="10066" xr:uid="{00000000-0005-0000-0000-0000251D0000}"/>
    <cellStyle name="Normal 15 4 3 3 2" xfId="33551" xr:uid="{00000000-0005-0000-0000-0000261D0000}"/>
    <cellStyle name="Normal 15 4 3 3 3" xfId="24232" xr:uid="{00000000-0005-0000-0000-0000271D0000}"/>
    <cellStyle name="Normal 15 4 3 3 4" xfId="47494" xr:uid="{00000000-0005-0000-0000-0000281D0000}"/>
    <cellStyle name="Normal 15 4 3 4" xfId="14797" xr:uid="{00000000-0005-0000-0000-0000291D0000}"/>
    <cellStyle name="Normal 15 4 3 4 2" xfId="28929" xr:uid="{00000000-0005-0000-0000-00002A1D0000}"/>
    <cellStyle name="Normal 15 4 3 4 3" xfId="42824" xr:uid="{00000000-0005-0000-0000-00002B1D0000}"/>
    <cellStyle name="Normal 15 4 3 5" xfId="19610" xr:uid="{00000000-0005-0000-0000-00002C1D0000}"/>
    <cellStyle name="Normal 15 4 3 6" xfId="38242" xr:uid="{00000000-0005-0000-0000-00002D1D0000}"/>
    <cellStyle name="Normal 15 4 4" xfId="4173" xr:uid="{00000000-0005-0000-0000-00002E1D0000}"/>
    <cellStyle name="Normal 15 4 4 2" xfId="4174" xr:uid="{00000000-0005-0000-0000-00002F1D0000}"/>
    <cellStyle name="Normal 15 4 4 2 2" xfId="10069" xr:uid="{00000000-0005-0000-0000-0000301D0000}"/>
    <cellStyle name="Normal 15 4 4 2 2 2" xfId="33554" xr:uid="{00000000-0005-0000-0000-0000311D0000}"/>
    <cellStyle name="Normal 15 4 4 2 2 3" xfId="24235" xr:uid="{00000000-0005-0000-0000-0000321D0000}"/>
    <cellStyle name="Normal 15 4 4 2 2 4" xfId="47497" xr:uid="{00000000-0005-0000-0000-0000331D0000}"/>
    <cellStyle name="Normal 15 4 4 2 3" xfId="14800" xr:uid="{00000000-0005-0000-0000-0000341D0000}"/>
    <cellStyle name="Normal 15 4 4 2 3 2" xfId="28932" xr:uid="{00000000-0005-0000-0000-0000351D0000}"/>
    <cellStyle name="Normal 15 4 4 2 3 3" xfId="42827" xr:uid="{00000000-0005-0000-0000-0000361D0000}"/>
    <cellStyle name="Normal 15 4 4 2 4" xfId="19613" xr:uid="{00000000-0005-0000-0000-0000371D0000}"/>
    <cellStyle name="Normal 15 4 4 2 5" xfId="38245" xr:uid="{00000000-0005-0000-0000-0000381D0000}"/>
    <cellStyle name="Normal 15 4 4 3" xfId="10068" xr:uid="{00000000-0005-0000-0000-0000391D0000}"/>
    <cellStyle name="Normal 15 4 4 3 2" xfId="33553" xr:uid="{00000000-0005-0000-0000-00003A1D0000}"/>
    <cellStyle name="Normal 15 4 4 3 3" xfId="24234" xr:uid="{00000000-0005-0000-0000-00003B1D0000}"/>
    <cellStyle name="Normal 15 4 4 3 4" xfId="47496" xr:uid="{00000000-0005-0000-0000-00003C1D0000}"/>
    <cellStyle name="Normal 15 4 4 4" xfId="14799" xr:uid="{00000000-0005-0000-0000-00003D1D0000}"/>
    <cellStyle name="Normal 15 4 4 4 2" xfId="28931" xr:uid="{00000000-0005-0000-0000-00003E1D0000}"/>
    <cellStyle name="Normal 15 4 4 4 3" xfId="42826" xr:uid="{00000000-0005-0000-0000-00003F1D0000}"/>
    <cellStyle name="Normal 15 4 4 5" xfId="19612" xr:uid="{00000000-0005-0000-0000-0000401D0000}"/>
    <cellStyle name="Normal 15 4 4 6" xfId="38244" xr:uid="{00000000-0005-0000-0000-0000411D0000}"/>
    <cellStyle name="Normal 15 4 5" xfId="4175" xr:uid="{00000000-0005-0000-0000-0000421D0000}"/>
    <cellStyle name="Normal 15 4 5 2" xfId="4176" xr:uid="{00000000-0005-0000-0000-0000431D0000}"/>
    <cellStyle name="Normal 15 4 5 2 2" xfId="10071" xr:uid="{00000000-0005-0000-0000-0000441D0000}"/>
    <cellStyle name="Normal 15 4 5 2 2 2" xfId="33556" xr:uid="{00000000-0005-0000-0000-0000451D0000}"/>
    <cellStyle name="Normal 15 4 5 2 2 3" xfId="24237" xr:uid="{00000000-0005-0000-0000-0000461D0000}"/>
    <cellStyle name="Normal 15 4 5 2 2 4" xfId="47499" xr:uid="{00000000-0005-0000-0000-0000471D0000}"/>
    <cellStyle name="Normal 15 4 5 2 3" xfId="14802" xr:uid="{00000000-0005-0000-0000-0000481D0000}"/>
    <cellStyle name="Normal 15 4 5 2 3 2" xfId="28934" xr:uid="{00000000-0005-0000-0000-0000491D0000}"/>
    <cellStyle name="Normal 15 4 5 2 3 3" xfId="42829" xr:uid="{00000000-0005-0000-0000-00004A1D0000}"/>
    <cellStyle name="Normal 15 4 5 2 4" xfId="19615" xr:uid="{00000000-0005-0000-0000-00004B1D0000}"/>
    <cellStyle name="Normal 15 4 5 2 5" xfId="38247" xr:uid="{00000000-0005-0000-0000-00004C1D0000}"/>
    <cellStyle name="Normal 15 4 5 3" xfId="10070" xr:uid="{00000000-0005-0000-0000-00004D1D0000}"/>
    <cellStyle name="Normal 15 4 5 3 2" xfId="33555" xr:uid="{00000000-0005-0000-0000-00004E1D0000}"/>
    <cellStyle name="Normal 15 4 5 3 3" xfId="24236" xr:uid="{00000000-0005-0000-0000-00004F1D0000}"/>
    <cellStyle name="Normal 15 4 5 3 4" xfId="47498" xr:uid="{00000000-0005-0000-0000-0000501D0000}"/>
    <cellStyle name="Normal 15 4 5 4" xfId="14801" xr:uid="{00000000-0005-0000-0000-0000511D0000}"/>
    <cellStyle name="Normal 15 4 5 4 2" xfId="28933" xr:uid="{00000000-0005-0000-0000-0000521D0000}"/>
    <cellStyle name="Normal 15 4 5 4 3" xfId="42828" xr:uid="{00000000-0005-0000-0000-0000531D0000}"/>
    <cellStyle name="Normal 15 4 5 5" xfId="19614" xr:uid="{00000000-0005-0000-0000-0000541D0000}"/>
    <cellStyle name="Normal 15 4 5 6" xfId="38246" xr:uid="{00000000-0005-0000-0000-0000551D0000}"/>
    <cellStyle name="Normal 15 4 6" xfId="4177" xr:uid="{00000000-0005-0000-0000-0000561D0000}"/>
    <cellStyle name="Normal 15 4 6 2" xfId="4178" xr:uid="{00000000-0005-0000-0000-0000571D0000}"/>
    <cellStyle name="Normal 15 4 6 2 2" xfId="10073" xr:uid="{00000000-0005-0000-0000-0000581D0000}"/>
    <cellStyle name="Normal 15 4 6 2 2 2" xfId="33558" xr:uid="{00000000-0005-0000-0000-0000591D0000}"/>
    <cellStyle name="Normal 15 4 6 2 2 3" xfId="24239" xr:uid="{00000000-0005-0000-0000-00005A1D0000}"/>
    <cellStyle name="Normal 15 4 6 2 2 4" xfId="47501" xr:uid="{00000000-0005-0000-0000-00005B1D0000}"/>
    <cellStyle name="Normal 15 4 6 2 3" xfId="14804" xr:uid="{00000000-0005-0000-0000-00005C1D0000}"/>
    <cellStyle name="Normal 15 4 6 2 3 2" xfId="28936" xr:uid="{00000000-0005-0000-0000-00005D1D0000}"/>
    <cellStyle name="Normal 15 4 6 2 3 3" xfId="42831" xr:uid="{00000000-0005-0000-0000-00005E1D0000}"/>
    <cellStyle name="Normal 15 4 6 2 4" xfId="19617" xr:uid="{00000000-0005-0000-0000-00005F1D0000}"/>
    <cellStyle name="Normal 15 4 6 2 5" xfId="38249" xr:uid="{00000000-0005-0000-0000-0000601D0000}"/>
    <cellStyle name="Normal 15 4 6 3" xfId="10072" xr:uid="{00000000-0005-0000-0000-0000611D0000}"/>
    <cellStyle name="Normal 15 4 6 3 2" xfId="33557" xr:uid="{00000000-0005-0000-0000-0000621D0000}"/>
    <cellStyle name="Normal 15 4 6 3 3" xfId="24238" xr:uid="{00000000-0005-0000-0000-0000631D0000}"/>
    <cellStyle name="Normal 15 4 6 3 4" xfId="47500" xr:uid="{00000000-0005-0000-0000-0000641D0000}"/>
    <cellStyle name="Normal 15 4 6 4" xfId="14803" xr:uid="{00000000-0005-0000-0000-0000651D0000}"/>
    <cellStyle name="Normal 15 4 6 4 2" xfId="28935" xr:uid="{00000000-0005-0000-0000-0000661D0000}"/>
    <cellStyle name="Normal 15 4 6 4 3" xfId="42830" xr:uid="{00000000-0005-0000-0000-0000671D0000}"/>
    <cellStyle name="Normal 15 4 6 5" xfId="19616" xr:uid="{00000000-0005-0000-0000-0000681D0000}"/>
    <cellStyle name="Normal 15 4 6 6" xfId="38248" xr:uid="{00000000-0005-0000-0000-0000691D0000}"/>
    <cellStyle name="Normal 15 4 7" xfId="4179" xr:uid="{00000000-0005-0000-0000-00006A1D0000}"/>
    <cellStyle name="Normal 15 4 7 2" xfId="10074" xr:uid="{00000000-0005-0000-0000-00006B1D0000}"/>
    <cellStyle name="Normal 15 4 7 2 2" xfId="33559" xr:uid="{00000000-0005-0000-0000-00006C1D0000}"/>
    <cellStyle name="Normal 15 4 7 2 3" xfId="24240" xr:uid="{00000000-0005-0000-0000-00006D1D0000}"/>
    <cellStyle name="Normal 15 4 7 2 4" xfId="47502" xr:uid="{00000000-0005-0000-0000-00006E1D0000}"/>
    <cellStyle name="Normal 15 4 7 3" xfId="14805" xr:uid="{00000000-0005-0000-0000-00006F1D0000}"/>
    <cellStyle name="Normal 15 4 7 3 2" xfId="28937" xr:uid="{00000000-0005-0000-0000-0000701D0000}"/>
    <cellStyle name="Normal 15 4 7 3 3" xfId="42832" xr:uid="{00000000-0005-0000-0000-0000711D0000}"/>
    <cellStyle name="Normal 15 4 7 4" xfId="19618" xr:uid="{00000000-0005-0000-0000-0000721D0000}"/>
    <cellStyle name="Normal 15 4 7 5" xfId="38250" xr:uid="{00000000-0005-0000-0000-0000731D0000}"/>
    <cellStyle name="Normal 15 4 8" xfId="10063" xr:uid="{00000000-0005-0000-0000-0000741D0000}"/>
    <cellStyle name="Normal 15 4 8 2" xfId="33548" xr:uid="{00000000-0005-0000-0000-0000751D0000}"/>
    <cellStyle name="Normal 15 4 8 3" xfId="24229" xr:uid="{00000000-0005-0000-0000-0000761D0000}"/>
    <cellStyle name="Normal 15 4 8 4" xfId="47491" xr:uid="{00000000-0005-0000-0000-0000771D0000}"/>
    <cellStyle name="Normal 15 4 9" xfId="14794" xr:uid="{00000000-0005-0000-0000-0000781D0000}"/>
    <cellStyle name="Normal 15 4 9 2" xfId="28926" xr:uid="{00000000-0005-0000-0000-0000791D0000}"/>
    <cellStyle name="Normal 15 4 9 3" xfId="42821" xr:uid="{00000000-0005-0000-0000-00007A1D0000}"/>
    <cellStyle name="Normal 15 5" xfId="4180" xr:uid="{00000000-0005-0000-0000-00007B1D0000}"/>
    <cellStyle name="Normal 15 5 10" xfId="19619" xr:uid="{00000000-0005-0000-0000-00007C1D0000}"/>
    <cellStyle name="Normal 15 5 11" xfId="38251" xr:uid="{00000000-0005-0000-0000-00007D1D0000}"/>
    <cellStyle name="Normal 15 5 2" xfId="4181" xr:uid="{00000000-0005-0000-0000-00007E1D0000}"/>
    <cellStyle name="Normal 15 5 2 2" xfId="4182" xr:uid="{00000000-0005-0000-0000-00007F1D0000}"/>
    <cellStyle name="Normal 15 5 2 2 2" xfId="10077" xr:uid="{00000000-0005-0000-0000-0000801D0000}"/>
    <cellStyle name="Normal 15 5 2 2 2 2" xfId="33562" xr:uid="{00000000-0005-0000-0000-0000811D0000}"/>
    <cellStyle name="Normal 15 5 2 2 2 3" xfId="24243" xr:uid="{00000000-0005-0000-0000-0000821D0000}"/>
    <cellStyle name="Normal 15 5 2 2 2 4" xfId="47505" xr:uid="{00000000-0005-0000-0000-0000831D0000}"/>
    <cellStyle name="Normal 15 5 2 2 3" xfId="14808" xr:uid="{00000000-0005-0000-0000-0000841D0000}"/>
    <cellStyle name="Normal 15 5 2 2 3 2" xfId="28940" xr:uid="{00000000-0005-0000-0000-0000851D0000}"/>
    <cellStyle name="Normal 15 5 2 2 3 3" xfId="42835" xr:uid="{00000000-0005-0000-0000-0000861D0000}"/>
    <cellStyle name="Normal 15 5 2 2 4" xfId="19621" xr:uid="{00000000-0005-0000-0000-0000871D0000}"/>
    <cellStyle name="Normal 15 5 2 2 5" xfId="38253" xr:uid="{00000000-0005-0000-0000-0000881D0000}"/>
    <cellStyle name="Normal 15 5 2 3" xfId="10076" xr:uid="{00000000-0005-0000-0000-0000891D0000}"/>
    <cellStyle name="Normal 15 5 2 3 2" xfId="33561" xr:uid="{00000000-0005-0000-0000-00008A1D0000}"/>
    <cellStyle name="Normal 15 5 2 3 3" xfId="24242" xr:uid="{00000000-0005-0000-0000-00008B1D0000}"/>
    <cellStyle name="Normal 15 5 2 3 4" xfId="47504" xr:uid="{00000000-0005-0000-0000-00008C1D0000}"/>
    <cellStyle name="Normal 15 5 2 4" xfId="14807" xr:uid="{00000000-0005-0000-0000-00008D1D0000}"/>
    <cellStyle name="Normal 15 5 2 4 2" xfId="28939" xr:uid="{00000000-0005-0000-0000-00008E1D0000}"/>
    <cellStyle name="Normal 15 5 2 4 3" xfId="42834" xr:uid="{00000000-0005-0000-0000-00008F1D0000}"/>
    <cellStyle name="Normal 15 5 2 5" xfId="19620" xr:uid="{00000000-0005-0000-0000-0000901D0000}"/>
    <cellStyle name="Normal 15 5 2 6" xfId="38252" xr:uid="{00000000-0005-0000-0000-0000911D0000}"/>
    <cellStyle name="Normal 15 5 3" xfId="4183" xr:uid="{00000000-0005-0000-0000-0000921D0000}"/>
    <cellStyle name="Normal 15 5 3 2" xfId="4184" xr:uid="{00000000-0005-0000-0000-0000931D0000}"/>
    <cellStyle name="Normal 15 5 3 2 2" xfId="10079" xr:uid="{00000000-0005-0000-0000-0000941D0000}"/>
    <cellStyle name="Normal 15 5 3 2 2 2" xfId="33564" xr:uid="{00000000-0005-0000-0000-0000951D0000}"/>
    <cellStyle name="Normal 15 5 3 2 2 3" xfId="24245" xr:uid="{00000000-0005-0000-0000-0000961D0000}"/>
    <cellStyle name="Normal 15 5 3 2 2 4" xfId="47507" xr:uid="{00000000-0005-0000-0000-0000971D0000}"/>
    <cellStyle name="Normal 15 5 3 2 3" xfId="14810" xr:uid="{00000000-0005-0000-0000-0000981D0000}"/>
    <cellStyle name="Normal 15 5 3 2 3 2" xfId="28942" xr:uid="{00000000-0005-0000-0000-0000991D0000}"/>
    <cellStyle name="Normal 15 5 3 2 3 3" xfId="42837" xr:uid="{00000000-0005-0000-0000-00009A1D0000}"/>
    <cellStyle name="Normal 15 5 3 2 4" xfId="19623" xr:uid="{00000000-0005-0000-0000-00009B1D0000}"/>
    <cellStyle name="Normal 15 5 3 2 5" xfId="38255" xr:uid="{00000000-0005-0000-0000-00009C1D0000}"/>
    <cellStyle name="Normal 15 5 3 3" xfId="10078" xr:uid="{00000000-0005-0000-0000-00009D1D0000}"/>
    <cellStyle name="Normal 15 5 3 3 2" xfId="33563" xr:uid="{00000000-0005-0000-0000-00009E1D0000}"/>
    <cellStyle name="Normal 15 5 3 3 3" xfId="24244" xr:uid="{00000000-0005-0000-0000-00009F1D0000}"/>
    <cellStyle name="Normal 15 5 3 3 4" xfId="47506" xr:uid="{00000000-0005-0000-0000-0000A01D0000}"/>
    <cellStyle name="Normal 15 5 3 4" xfId="14809" xr:uid="{00000000-0005-0000-0000-0000A11D0000}"/>
    <cellStyle name="Normal 15 5 3 4 2" xfId="28941" xr:uid="{00000000-0005-0000-0000-0000A21D0000}"/>
    <cellStyle name="Normal 15 5 3 4 3" xfId="42836" xr:uid="{00000000-0005-0000-0000-0000A31D0000}"/>
    <cellStyle name="Normal 15 5 3 5" xfId="19622" xr:uid="{00000000-0005-0000-0000-0000A41D0000}"/>
    <cellStyle name="Normal 15 5 3 6" xfId="38254" xr:uid="{00000000-0005-0000-0000-0000A51D0000}"/>
    <cellStyle name="Normal 15 5 4" xfId="4185" xr:uid="{00000000-0005-0000-0000-0000A61D0000}"/>
    <cellStyle name="Normal 15 5 4 2" xfId="4186" xr:uid="{00000000-0005-0000-0000-0000A71D0000}"/>
    <cellStyle name="Normal 15 5 4 2 2" xfId="10081" xr:uid="{00000000-0005-0000-0000-0000A81D0000}"/>
    <cellStyle name="Normal 15 5 4 2 2 2" xfId="33566" xr:uid="{00000000-0005-0000-0000-0000A91D0000}"/>
    <cellStyle name="Normal 15 5 4 2 2 3" xfId="24247" xr:uid="{00000000-0005-0000-0000-0000AA1D0000}"/>
    <cellStyle name="Normal 15 5 4 2 2 4" xfId="47509" xr:uid="{00000000-0005-0000-0000-0000AB1D0000}"/>
    <cellStyle name="Normal 15 5 4 2 3" xfId="14812" xr:uid="{00000000-0005-0000-0000-0000AC1D0000}"/>
    <cellStyle name="Normal 15 5 4 2 3 2" xfId="28944" xr:uid="{00000000-0005-0000-0000-0000AD1D0000}"/>
    <cellStyle name="Normal 15 5 4 2 3 3" xfId="42839" xr:uid="{00000000-0005-0000-0000-0000AE1D0000}"/>
    <cellStyle name="Normal 15 5 4 2 4" xfId="19625" xr:uid="{00000000-0005-0000-0000-0000AF1D0000}"/>
    <cellStyle name="Normal 15 5 4 2 5" xfId="38257" xr:uid="{00000000-0005-0000-0000-0000B01D0000}"/>
    <cellStyle name="Normal 15 5 4 3" xfId="10080" xr:uid="{00000000-0005-0000-0000-0000B11D0000}"/>
    <cellStyle name="Normal 15 5 4 3 2" xfId="33565" xr:uid="{00000000-0005-0000-0000-0000B21D0000}"/>
    <cellStyle name="Normal 15 5 4 3 3" xfId="24246" xr:uid="{00000000-0005-0000-0000-0000B31D0000}"/>
    <cellStyle name="Normal 15 5 4 3 4" xfId="47508" xr:uid="{00000000-0005-0000-0000-0000B41D0000}"/>
    <cellStyle name="Normal 15 5 4 4" xfId="14811" xr:uid="{00000000-0005-0000-0000-0000B51D0000}"/>
    <cellStyle name="Normal 15 5 4 4 2" xfId="28943" xr:uid="{00000000-0005-0000-0000-0000B61D0000}"/>
    <cellStyle name="Normal 15 5 4 4 3" xfId="42838" xr:uid="{00000000-0005-0000-0000-0000B71D0000}"/>
    <cellStyle name="Normal 15 5 4 5" xfId="19624" xr:uid="{00000000-0005-0000-0000-0000B81D0000}"/>
    <cellStyle name="Normal 15 5 4 6" xfId="38256" xr:uid="{00000000-0005-0000-0000-0000B91D0000}"/>
    <cellStyle name="Normal 15 5 5" xfId="4187" xr:uid="{00000000-0005-0000-0000-0000BA1D0000}"/>
    <cellStyle name="Normal 15 5 5 2" xfId="4188" xr:uid="{00000000-0005-0000-0000-0000BB1D0000}"/>
    <cellStyle name="Normal 15 5 5 2 2" xfId="10083" xr:uid="{00000000-0005-0000-0000-0000BC1D0000}"/>
    <cellStyle name="Normal 15 5 5 2 2 2" xfId="33568" xr:uid="{00000000-0005-0000-0000-0000BD1D0000}"/>
    <cellStyle name="Normal 15 5 5 2 2 3" xfId="24249" xr:uid="{00000000-0005-0000-0000-0000BE1D0000}"/>
    <cellStyle name="Normal 15 5 5 2 2 4" xfId="47511" xr:uid="{00000000-0005-0000-0000-0000BF1D0000}"/>
    <cellStyle name="Normal 15 5 5 2 3" xfId="14814" xr:uid="{00000000-0005-0000-0000-0000C01D0000}"/>
    <cellStyle name="Normal 15 5 5 2 3 2" xfId="28946" xr:uid="{00000000-0005-0000-0000-0000C11D0000}"/>
    <cellStyle name="Normal 15 5 5 2 3 3" xfId="42841" xr:uid="{00000000-0005-0000-0000-0000C21D0000}"/>
    <cellStyle name="Normal 15 5 5 2 4" xfId="19627" xr:uid="{00000000-0005-0000-0000-0000C31D0000}"/>
    <cellStyle name="Normal 15 5 5 2 5" xfId="38259" xr:uid="{00000000-0005-0000-0000-0000C41D0000}"/>
    <cellStyle name="Normal 15 5 5 3" xfId="10082" xr:uid="{00000000-0005-0000-0000-0000C51D0000}"/>
    <cellStyle name="Normal 15 5 5 3 2" xfId="33567" xr:uid="{00000000-0005-0000-0000-0000C61D0000}"/>
    <cellStyle name="Normal 15 5 5 3 3" xfId="24248" xr:uid="{00000000-0005-0000-0000-0000C71D0000}"/>
    <cellStyle name="Normal 15 5 5 3 4" xfId="47510" xr:uid="{00000000-0005-0000-0000-0000C81D0000}"/>
    <cellStyle name="Normal 15 5 5 4" xfId="14813" xr:uid="{00000000-0005-0000-0000-0000C91D0000}"/>
    <cellStyle name="Normal 15 5 5 4 2" xfId="28945" xr:uid="{00000000-0005-0000-0000-0000CA1D0000}"/>
    <cellStyle name="Normal 15 5 5 4 3" xfId="42840" xr:uid="{00000000-0005-0000-0000-0000CB1D0000}"/>
    <cellStyle name="Normal 15 5 5 5" xfId="19626" xr:uid="{00000000-0005-0000-0000-0000CC1D0000}"/>
    <cellStyle name="Normal 15 5 5 6" xfId="38258" xr:uid="{00000000-0005-0000-0000-0000CD1D0000}"/>
    <cellStyle name="Normal 15 5 6" xfId="4189" xr:uid="{00000000-0005-0000-0000-0000CE1D0000}"/>
    <cellStyle name="Normal 15 5 6 2" xfId="4190" xr:uid="{00000000-0005-0000-0000-0000CF1D0000}"/>
    <cellStyle name="Normal 15 5 6 2 2" xfId="10085" xr:uid="{00000000-0005-0000-0000-0000D01D0000}"/>
    <cellStyle name="Normal 15 5 6 2 2 2" xfId="33570" xr:uid="{00000000-0005-0000-0000-0000D11D0000}"/>
    <cellStyle name="Normal 15 5 6 2 2 3" xfId="24251" xr:uid="{00000000-0005-0000-0000-0000D21D0000}"/>
    <cellStyle name="Normal 15 5 6 2 2 4" xfId="47513" xr:uid="{00000000-0005-0000-0000-0000D31D0000}"/>
    <cellStyle name="Normal 15 5 6 2 3" xfId="14816" xr:uid="{00000000-0005-0000-0000-0000D41D0000}"/>
    <cellStyle name="Normal 15 5 6 2 3 2" xfId="28948" xr:uid="{00000000-0005-0000-0000-0000D51D0000}"/>
    <cellStyle name="Normal 15 5 6 2 3 3" xfId="42843" xr:uid="{00000000-0005-0000-0000-0000D61D0000}"/>
    <cellStyle name="Normal 15 5 6 2 4" xfId="19629" xr:uid="{00000000-0005-0000-0000-0000D71D0000}"/>
    <cellStyle name="Normal 15 5 6 2 5" xfId="38261" xr:uid="{00000000-0005-0000-0000-0000D81D0000}"/>
    <cellStyle name="Normal 15 5 6 3" xfId="10084" xr:uid="{00000000-0005-0000-0000-0000D91D0000}"/>
    <cellStyle name="Normal 15 5 6 3 2" xfId="33569" xr:uid="{00000000-0005-0000-0000-0000DA1D0000}"/>
    <cellStyle name="Normal 15 5 6 3 3" xfId="24250" xr:uid="{00000000-0005-0000-0000-0000DB1D0000}"/>
    <cellStyle name="Normal 15 5 6 3 4" xfId="47512" xr:uid="{00000000-0005-0000-0000-0000DC1D0000}"/>
    <cellStyle name="Normal 15 5 6 4" xfId="14815" xr:uid="{00000000-0005-0000-0000-0000DD1D0000}"/>
    <cellStyle name="Normal 15 5 6 4 2" xfId="28947" xr:uid="{00000000-0005-0000-0000-0000DE1D0000}"/>
    <cellStyle name="Normal 15 5 6 4 3" xfId="42842" xr:uid="{00000000-0005-0000-0000-0000DF1D0000}"/>
    <cellStyle name="Normal 15 5 6 5" xfId="19628" xr:uid="{00000000-0005-0000-0000-0000E01D0000}"/>
    <cellStyle name="Normal 15 5 6 6" xfId="38260" xr:uid="{00000000-0005-0000-0000-0000E11D0000}"/>
    <cellStyle name="Normal 15 5 7" xfId="4191" xr:uid="{00000000-0005-0000-0000-0000E21D0000}"/>
    <cellStyle name="Normal 15 5 7 2" xfId="10086" xr:uid="{00000000-0005-0000-0000-0000E31D0000}"/>
    <cellStyle name="Normal 15 5 7 2 2" xfId="33571" xr:uid="{00000000-0005-0000-0000-0000E41D0000}"/>
    <cellStyle name="Normal 15 5 7 2 3" xfId="24252" xr:uid="{00000000-0005-0000-0000-0000E51D0000}"/>
    <cellStyle name="Normal 15 5 7 2 4" xfId="47514" xr:uid="{00000000-0005-0000-0000-0000E61D0000}"/>
    <cellStyle name="Normal 15 5 7 3" xfId="14817" xr:uid="{00000000-0005-0000-0000-0000E71D0000}"/>
    <cellStyle name="Normal 15 5 7 3 2" xfId="28949" xr:uid="{00000000-0005-0000-0000-0000E81D0000}"/>
    <cellStyle name="Normal 15 5 7 3 3" xfId="42844" xr:uid="{00000000-0005-0000-0000-0000E91D0000}"/>
    <cellStyle name="Normal 15 5 7 4" xfId="19630" xr:uid="{00000000-0005-0000-0000-0000EA1D0000}"/>
    <cellStyle name="Normal 15 5 7 5" xfId="38262" xr:uid="{00000000-0005-0000-0000-0000EB1D0000}"/>
    <cellStyle name="Normal 15 5 8" xfId="10075" xr:uid="{00000000-0005-0000-0000-0000EC1D0000}"/>
    <cellStyle name="Normal 15 5 8 2" xfId="33560" xr:uid="{00000000-0005-0000-0000-0000ED1D0000}"/>
    <cellStyle name="Normal 15 5 8 3" xfId="24241" xr:uid="{00000000-0005-0000-0000-0000EE1D0000}"/>
    <cellStyle name="Normal 15 5 8 4" xfId="47503" xr:uid="{00000000-0005-0000-0000-0000EF1D0000}"/>
    <cellStyle name="Normal 15 5 9" xfId="14806" xr:uid="{00000000-0005-0000-0000-0000F01D0000}"/>
    <cellStyle name="Normal 15 5 9 2" xfId="28938" xr:uid="{00000000-0005-0000-0000-0000F11D0000}"/>
    <cellStyle name="Normal 15 5 9 3" xfId="42833" xr:uid="{00000000-0005-0000-0000-0000F21D0000}"/>
    <cellStyle name="Normal 15 6" xfId="4192" xr:uid="{00000000-0005-0000-0000-0000F31D0000}"/>
    <cellStyle name="Normal 15 6 10" xfId="19631" xr:uid="{00000000-0005-0000-0000-0000F41D0000}"/>
    <cellStyle name="Normal 15 6 11" xfId="38263" xr:uid="{00000000-0005-0000-0000-0000F51D0000}"/>
    <cellStyle name="Normal 15 6 2" xfId="4193" xr:uid="{00000000-0005-0000-0000-0000F61D0000}"/>
    <cellStyle name="Normal 15 6 2 2" xfId="4194" xr:uid="{00000000-0005-0000-0000-0000F71D0000}"/>
    <cellStyle name="Normal 15 6 2 2 2" xfId="10089" xr:uid="{00000000-0005-0000-0000-0000F81D0000}"/>
    <cellStyle name="Normal 15 6 2 2 2 2" xfId="33574" xr:uid="{00000000-0005-0000-0000-0000F91D0000}"/>
    <cellStyle name="Normal 15 6 2 2 2 3" xfId="24255" xr:uid="{00000000-0005-0000-0000-0000FA1D0000}"/>
    <cellStyle name="Normal 15 6 2 2 2 4" xfId="47517" xr:uid="{00000000-0005-0000-0000-0000FB1D0000}"/>
    <cellStyle name="Normal 15 6 2 2 3" xfId="14820" xr:uid="{00000000-0005-0000-0000-0000FC1D0000}"/>
    <cellStyle name="Normal 15 6 2 2 3 2" xfId="28952" xr:uid="{00000000-0005-0000-0000-0000FD1D0000}"/>
    <cellStyle name="Normal 15 6 2 2 3 3" xfId="42847" xr:uid="{00000000-0005-0000-0000-0000FE1D0000}"/>
    <cellStyle name="Normal 15 6 2 2 4" xfId="19633" xr:uid="{00000000-0005-0000-0000-0000FF1D0000}"/>
    <cellStyle name="Normal 15 6 2 2 5" xfId="38265" xr:uid="{00000000-0005-0000-0000-0000001E0000}"/>
    <cellStyle name="Normal 15 6 2 3" xfId="10088" xr:uid="{00000000-0005-0000-0000-0000011E0000}"/>
    <cellStyle name="Normal 15 6 2 3 2" xfId="33573" xr:uid="{00000000-0005-0000-0000-0000021E0000}"/>
    <cellStyle name="Normal 15 6 2 3 3" xfId="24254" xr:uid="{00000000-0005-0000-0000-0000031E0000}"/>
    <cellStyle name="Normal 15 6 2 3 4" xfId="47516" xr:uid="{00000000-0005-0000-0000-0000041E0000}"/>
    <cellStyle name="Normal 15 6 2 4" xfId="14819" xr:uid="{00000000-0005-0000-0000-0000051E0000}"/>
    <cellStyle name="Normal 15 6 2 4 2" xfId="28951" xr:uid="{00000000-0005-0000-0000-0000061E0000}"/>
    <cellStyle name="Normal 15 6 2 4 3" xfId="42846" xr:uid="{00000000-0005-0000-0000-0000071E0000}"/>
    <cellStyle name="Normal 15 6 2 5" xfId="19632" xr:uid="{00000000-0005-0000-0000-0000081E0000}"/>
    <cellStyle name="Normal 15 6 2 6" xfId="38264" xr:uid="{00000000-0005-0000-0000-0000091E0000}"/>
    <cellStyle name="Normal 15 6 3" xfId="4195" xr:uid="{00000000-0005-0000-0000-00000A1E0000}"/>
    <cellStyle name="Normal 15 6 3 2" xfId="4196" xr:uid="{00000000-0005-0000-0000-00000B1E0000}"/>
    <cellStyle name="Normal 15 6 3 2 2" xfId="10091" xr:uid="{00000000-0005-0000-0000-00000C1E0000}"/>
    <cellStyle name="Normal 15 6 3 2 2 2" xfId="33576" xr:uid="{00000000-0005-0000-0000-00000D1E0000}"/>
    <cellStyle name="Normal 15 6 3 2 2 3" xfId="24257" xr:uid="{00000000-0005-0000-0000-00000E1E0000}"/>
    <cellStyle name="Normal 15 6 3 2 2 4" xfId="47519" xr:uid="{00000000-0005-0000-0000-00000F1E0000}"/>
    <cellStyle name="Normal 15 6 3 2 3" xfId="14822" xr:uid="{00000000-0005-0000-0000-0000101E0000}"/>
    <cellStyle name="Normal 15 6 3 2 3 2" xfId="28954" xr:uid="{00000000-0005-0000-0000-0000111E0000}"/>
    <cellStyle name="Normal 15 6 3 2 3 3" xfId="42849" xr:uid="{00000000-0005-0000-0000-0000121E0000}"/>
    <cellStyle name="Normal 15 6 3 2 4" xfId="19635" xr:uid="{00000000-0005-0000-0000-0000131E0000}"/>
    <cellStyle name="Normal 15 6 3 2 5" xfId="38267" xr:uid="{00000000-0005-0000-0000-0000141E0000}"/>
    <cellStyle name="Normal 15 6 3 3" xfId="10090" xr:uid="{00000000-0005-0000-0000-0000151E0000}"/>
    <cellStyle name="Normal 15 6 3 3 2" xfId="33575" xr:uid="{00000000-0005-0000-0000-0000161E0000}"/>
    <cellStyle name="Normal 15 6 3 3 3" xfId="24256" xr:uid="{00000000-0005-0000-0000-0000171E0000}"/>
    <cellStyle name="Normal 15 6 3 3 4" xfId="47518" xr:uid="{00000000-0005-0000-0000-0000181E0000}"/>
    <cellStyle name="Normal 15 6 3 4" xfId="14821" xr:uid="{00000000-0005-0000-0000-0000191E0000}"/>
    <cellStyle name="Normal 15 6 3 4 2" xfId="28953" xr:uid="{00000000-0005-0000-0000-00001A1E0000}"/>
    <cellStyle name="Normal 15 6 3 4 3" xfId="42848" xr:uid="{00000000-0005-0000-0000-00001B1E0000}"/>
    <cellStyle name="Normal 15 6 3 5" xfId="19634" xr:uid="{00000000-0005-0000-0000-00001C1E0000}"/>
    <cellStyle name="Normal 15 6 3 6" xfId="38266" xr:uid="{00000000-0005-0000-0000-00001D1E0000}"/>
    <cellStyle name="Normal 15 6 4" xfId="4197" xr:uid="{00000000-0005-0000-0000-00001E1E0000}"/>
    <cellStyle name="Normal 15 6 4 2" xfId="4198" xr:uid="{00000000-0005-0000-0000-00001F1E0000}"/>
    <cellStyle name="Normal 15 6 4 2 2" xfId="10093" xr:uid="{00000000-0005-0000-0000-0000201E0000}"/>
    <cellStyle name="Normal 15 6 4 2 2 2" xfId="33578" xr:uid="{00000000-0005-0000-0000-0000211E0000}"/>
    <cellStyle name="Normal 15 6 4 2 2 3" xfId="24259" xr:uid="{00000000-0005-0000-0000-0000221E0000}"/>
    <cellStyle name="Normal 15 6 4 2 2 4" xfId="47521" xr:uid="{00000000-0005-0000-0000-0000231E0000}"/>
    <cellStyle name="Normal 15 6 4 2 3" xfId="14824" xr:uid="{00000000-0005-0000-0000-0000241E0000}"/>
    <cellStyle name="Normal 15 6 4 2 3 2" xfId="28956" xr:uid="{00000000-0005-0000-0000-0000251E0000}"/>
    <cellStyle name="Normal 15 6 4 2 3 3" xfId="42851" xr:uid="{00000000-0005-0000-0000-0000261E0000}"/>
    <cellStyle name="Normal 15 6 4 2 4" xfId="19637" xr:uid="{00000000-0005-0000-0000-0000271E0000}"/>
    <cellStyle name="Normal 15 6 4 2 5" xfId="38269" xr:uid="{00000000-0005-0000-0000-0000281E0000}"/>
    <cellStyle name="Normal 15 6 4 3" xfId="10092" xr:uid="{00000000-0005-0000-0000-0000291E0000}"/>
    <cellStyle name="Normal 15 6 4 3 2" xfId="33577" xr:uid="{00000000-0005-0000-0000-00002A1E0000}"/>
    <cellStyle name="Normal 15 6 4 3 3" xfId="24258" xr:uid="{00000000-0005-0000-0000-00002B1E0000}"/>
    <cellStyle name="Normal 15 6 4 3 4" xfId="47520" xr:uid="{00000000-0005-0000-0000-00002C1E0000}"/>
    <cellStyle name="Normal 15 6 4 4" xfId="14823" xr:uid="{00000000-0005-0000-0000-00002D1E0000}"/>
    <cellStyle name="Normal 15 6 4 4 2" xfId="28955" xr:uid="{00000000-0005-0000-0000-00002E1E0000}"/>
    <cellStyle name="Normal 15 6 4 4 3" xfId="42850" xr:uid="{00000000-0005-0000-0000-00002F1E0000}"/>
    <cellStyle name="Normal 15 6 4 5" xfId="19636" xr:uid="{00000000-0005-0000-0000-0000301E0000}"/>
    <cellStyle name="Normal 15 6 4 6" xfId="38268" xr:uid="{00000000-0005-0000-0000-0000311E0000}"/>
    <cellStyle name="Normal 15 6 5" xfId="4199" xr:uid="{00000000-0005-0000-0000-0000321E0000}"/>
    <cellStyle name="Normal 15 6 5 2" xfId="4200" xr:uid="{00000000-0005-0000-0000-0000331E0000}"/>
    <cellStyle name="Normal 15 6 5 2 2" xfId="10095" xr:uid="{00000000-0005-0000-0000-0000341E0000}"/>
    <cellStyle name="Normal 15 6 5 2 2 2" xfId="33580" xr:uid="{00000000-0005-0000-0000-0000351E0000}"/>
    <cellStyle name="Normal 15 6 5 2 2 3" xfId="24261" xr:uid="{00000000-0005-0000-0000-0000361E0000}"/>
    <cellStyle name="Normal 15 6 5 2 2 4" xfId="47523" xr:uid="{00000000-0005-0000-0000-0000371E0000}"/>
    <cellStyle name="Normal 15 6 5 2 3" xfId="14826" xr:uid="{00000000-0005-0000-0000-0000381E0000}"/>
    <cellStyle name="Normal 15 6 5 2 3 2" xfId="28958" xr:uid="{00000000-0005-0000-0000-0000391E0000}"/>
    <cellStyle name="Normal 15 6 5 2 3 3" xfId="42853" xr:uid="{00000000-0005-0000-0000-00003A1E0000}"/>
    <cellStyle name="Normal 15 6 5 2 4" xfId="19639" xr:uid="{00000000-0005-0000-0000-00003B1E0000}"/>
    <cellStyle name="Normal 15 6 5 2 5" xfId="38271" xr:uid="{00000000-0005-0000-0000-00003C1E0000}"/>
    <cellStyle name="Normal 15 6 5 3" xfId="10094" xr:uid="{00000000-0005-0000-0000-00003D1E0000}"/>
    <cellStyle name="Normal 15 6 5 3 2" xfId="33579" xr:uid="{00000000-0005-0000-0000-00003E1E0000}"/>
    <cellStyle name="Normal 15 6 5 3 3" xfId="24260" xr:uid="{00000000-0005-0000-0000-00003F1E0000}"/>
    <cellStyle name="Normal 15 6 5 3 4" xfId="47522" xr:uid="{00000000-0005-0000-0000-0000401E0000}"/>
    <cellStyle name="Normal 15 6 5 4" xfId="14825" xr:uid="{00000000-0005-0000-0000-0000411E0000}"/>
    <cellStyle name="Normal 15 6 5 4 2" xfId="28957" xr:uid="{00000000-0005-0000-0000-0000421E0000}"/>
    <cellStyle name="Normal 15 6 5 4 3" xfId="42852" xr:uid="{00000000-0005-0000-0000-0000431E0000}"/>
    <cellStyle name="Normal 15 6 5 5" xfId="19638" xr:uid="{00000000-0005-0000-0000-0000441E0000}"/>
    <cellStyle name="Normal 15 6 5 6" xfId="38270" xr:uid="{00000000-0005-0000-0000-0000451E0000}"/>
    <cellStyle name="Normal 15 6 6" xfId="4201" xr:uid="{00000000-0005-0000-0000-0000461E0000}"/>
    <cellStyle name="Normal 15 6 6 2" xfId="4202" xr:uid="{00000000-0005-0000-0000-0000471E0000}"/>
    <cellStyle name="Normal 15 6 6 2 2" xfId="10097" xr:uid="{00000000-0005-0000-0000-0000481E0000}"/>
    <cellStyle name="Normal 15 6 6 2 2 2" xfId="33582" xr:uid="{00000000-0005-0000-0000-0000491E0000}"/>
    <cellStyle name="Normal 15 6 6 2 2 3" xfId="24263" xr:uid="{00000000-0005-0000-0000-00004A1E0000}"/>
    <cellStyle name="Normal 15 6 6 2 2 4" xfId="47525" xr:uid="{00000000-0005-0000-0000-00004B1E0000}"/>
    <cellStyle name="Normal 15 6 6 2 3" xfId="14828" xr:uid="{00000000-0005-0000-0000-00004C1E0000}"/>
    <cellStyle name="Normal 15 6 6 2 3 2" xfId="28960" xr:uid="{00000000-0005-0000-0000-00004D1E0000}"/>
    <cellStyle name="Normal 15 6 6 2 3 3" xfId="42855" xr:uid="{00000000-0005-0000-0000-00004E1E0000}"/>
    <cellStyle name="Normal 15 6 6 2 4" xfId="19641" xr:uid="{00000000-0005-0000-0000-00004F1E0000}"/>
    <cellStyle name="Normal 15 6 6 2 5" xfId="38273" xr:uid="{00000000-0005-0000-0000-0000501E0000}"/>
    <cellStyle name="Normal 15 6 6 3" xfId="10096" xr:uid="{00000000-0005-0000-0000-0000511E0000}"/>
    <cellStyle name="Normal 15 6 6 3 2" xfId="33581" xr:uid="{00000000-0005-0000-0000-0000521E0000}"/>
    <cellStyle name="Normal 15 6 6 3 3" xfId="24262" xr:uid="{00000000-0005-0000-0000-0000531E0000}"/>
    <cellStyle name="Normal 15 6 6 3 4" xfId="47524" xr:uid="{00000000-0005-0000-0000-0000541E0000}"/>
    <cellStyle name="Normal 15 6 6 4" xfId="14827" xr:uid="{00000000-0005-0000-0000-0000551E0000}"/>
    <cellStyle name="Normal 15 6 6 4 2" xfId="28959" xr:uid="{00000000-0005-0000-0000-0000561E0000}"/>
    <cellStyle name="Normal 15 6 6 4 3" xfId="42854" xr:uid="{00000000-0005-0000-0000-0000571E0000}"/>
    <cellStyle name="Normal 15 6 6 5" xfId="19640" xr:uid="{00000000-0005-0000-0000-0000581E0000}"/>
    <cellStyle name="Normal 15 6 6 6" xfId="38272" xr:uid="{00000000-0005-0000-0000-0000591E0000}"/>
    <cellStyle name="Normal 15 6 7" xfId="4203" xr:uid="{00000000-0005-0000-0000-00005A1E0000}"/>
    <cellStyle name="Normal 15 6 7 2" xfId="10098" xr:uid="{00000000-0005-0000-0000-00005B1E0000}"/>
    <cellStyle name="Normal 15 6 7 2 2" xfId="33583" xr:uid="{00000000-0005-0000-0000-00005C1E0000}"/>
    <cellStyle name="Normal 15 6 7 2 3" xfId="24264" xr:uid="{00000000-0005-0000-0000-00005D1E0000}"/>
    <cellStyle name="Normal 15 6 7 2 4" xfId="47526" xr:uid="{00000000-0005-0000-0000-00005E1E0000}"/>
    <cellStyle name="Normal 15 6 7 3" xfId="14829" xr:uid="{00000000-0005-0000-0000-00005F1E0000}"/>
    <cellStyle name="Normal 15 6 7 3 2" xfId="28961" xr:uid="{00000000-0005-0000-0000-0000601E0000}"/>
    <cellStyle name="Normal 15 6 7 3 3" xfId="42856" xr:uid="{00000000-0005-0000-0000-0000611E0000}"/>
    <cellStyle name="Normal 15 6 7 4" xfId="19642" xr:uid="{00000000-0005-0000-0000-0000621E0000}"/>
    <cellStyle name="Normal 15 6 7 5" xfId="38274" xr:uid="{00000000-0005-0000-0000-0000631E0000}"/>
    <cellStyle name="Normal 15 6 8" xfId="10087" xr:uid="{00000000-0005-0000-0000-0000641E0000}"/>
    <cellStyle name="Normal 15 6 8 2" xfId="33572" xr:uid="{00000000-0005-0000-0000-0000651E0000}"/>
    <cellStyle name="Normal 15 6 8 3" xfId="24253" xr:uid="{00000000-0005-0000-0000-0000661E0000}"/>
    <cellStyle name="Normal 15 6 8 4" xfId="47515" xr:uid="{00000000-0005-0000-0000-0000671E0000}"/>
    <cellStyle name="Normal 15 6 9" xfId="14818" xr:uid="{00000000-0005-0000-0000-0000681E0000}"/>
    <cellStyle name="Normal 15 6 9 2" xfId="28950" xr:uid="{00000000-0005-0000-0000-0000691E0000}"/>
    <cellStyle name="Normal 15 6 9 3" xfId="42845" xr:uid="{00000000-0005-0000-0000-00006A1E0000}"/>
    <cellStyle name="Normal 15 7" xfId="4204" xr:uid="{00000000-0005-0000-0000-00006B1E0000}"/>
    <cellStyle name="Normal 15 7 10" xfId="19643" xr:uid="{00000000-0005-0000-0000-00006C1E0000}"/>
    <cellStyle name="Normal 15 7 11" xfId="38275" xr:uid="{00000000-0005-0000-0000-00006D1E0000}"/>
    <cellStyle name="Normal 15 7 2" xfId="4205" xr:uid="{00000000-0005-0000-0000-00006E1E0000}"/>
    <cellStyle name="Normal 15 7 2 2" xfId="4206" xr:uid="{00000000-0005-0000-0000-00006F1E0000}"/>
    <cellStyle name="Normal 15 7 2 2 2" xfId="10101" xr:uid="{00000000-0005-0000-0000-0000701E0000}"/>
    <cellStyle name="Normal 15 7 2 2 2 2" xfId="33586" xr:uid="{00000000-0005-0000-0000-0000711E0000}"/>
    <cellStyle name="Normal 15 7 2 2 2 3" xfId="24267" xr:uid="{00000000-0005-0000-0000-0000721E0000}"/>
    <cellStyle name="Normal 15 7 2 2 2 4" xfId="47529" xr:uid="{00000000-0005-0000-0000-0000731E0000}"/>
    <cellStyle name="Normal 15 7 2 2 3" xfId="14832" xr:uid="{00000000-0005-0000-0000-0000741E0000}"/>
    <cellStyle name="Normal 15 7 2 2 3 2" xfId="28964" xr:uid="{00000000-0005-0000-0000-0000751E0000}"/>
    <cellStyle name="Normal 15 7 2 2 3 3" xfId="42859" xr:uid="{00000000-0005-0000-0000-0000761E0000}"/>
    <cellStyle name="Normal 15 7 2 2 4" xfId="19645" xr:uid="{00000000-0005-0000-0000-0000771E0000}"/>
    <cellStyle name="Normal 15 7 2 2 5" xfId="38277" xr:uid="{00000000-0005-0000-0000-0000781E0000}"/>
    <cellStyle name="Normal 15 7 2 3" xfId="10100" xr:uid="{00000000-0005-0000-0000-0000791E0000}"/>
    <cellStyle name="Normal 15 7 2 3 2" xfId="33585" xr:uid="{00000000-0005-0000-0000-00007A1E0000}"/>
    <cellStyle name="Normal 15 7 2 3 3" xfId="24266" xr:uid="{00000000-0005-0000-0000-00007B1E0000}"/>
    <cellStyle name="Normal 15 7 2 3 4" xfId="47528" xr:uid="{00000000-0005-0000-0000-00007C1E0000}"/>
    <cellStyle name="Normal 15 7 2 4" xfId="14831" xr:uid="{00000000-0005-0000-0000-00007D1E0000}"/>
    <cellStyle name="Normal 15 7 2 4 2" xfId="28963" xr:uid="{00000000-0005-0000-0000-00007E1E0000}"/>
    <cellStyle name="Normal 15 7 2 4 3" xfId="42858" xr:uid="{00000000-0005-0000-0000-00007F1E0000}"/>
    <cellStyle name="Normal 15 7 2 5" xfId="19644" xr:uid="{00000000-0005-0000-0000-0000801E0000}"/>
    <cellStyle name="Normal 15 7 2 6" xfId="38276" xr:uid="{00000000-0005-0000-0000-0000811E0000}"/>
    <cellStyle name="Normal 15 7 3" xfId="4207" xr:uid="{00000000-0005-0000-0000-0000821E0000}"/>
    <cellStyle name="Normal 15 7 3 2" xfId="4208" xr:uid="{00000000-0005-0000-0000-0000831E0000}"/>
    <cellStyle name="Normal 15 7 3 2 2" xfId="10103" xr:uid="{00000000-0005-0000-0000-0000841E0000}"/>
    <cellStyle name="Normal 15 7 3 2 2 2" xfId="33588" xr:uid="{00000000-0005-0000-0000-0000851E0000}"/>
    <cellStyle name="Normal 15 7 3 2 2 3" xfId="24269" xr:uid="{00000000-0005-0000-0000-0000861E0000}"/>
    <cellStyle name="Normal 15 7 3 2 2 4" xfId="47531" xr:uid="{00000000-0005-0000-0000-0000871E0000}"/>
    <cellStyle name="Normal 15 7 3 2 3" xfId="14834" xr:uid="{00000000-0005-0000-0000-0000881E0000}"/>
    <cellStyle name="Normal 15 7 3 2 3 2" xfId="28966" xr:uid="{00000000-0005-0000-0000-0000891E0000}"/>
    <cellStyle name="Normal 15 7 3 2 3 3" xfId="42861" xr:uid="{00000000-0005-0000-0000-00008A1E0000}"/>
    <cellStyle name="Normal 15 7 3 2 4" xfId="19647" xr:uid="{00000000-0005-0000-0000-00008B1E0000}"/>
    <cellStyle name="Normal 15 7 3 2 5" xfId="38279" xr:uid="{00000000-0005-0000-0000-00008C1E0000}"/>
    <cellStyle name="Normal 15 7 3 3" xfId="10102" xr:uid="{00000000-0005-0000-0000-00008D1E0000}"/>
    <cellStyle name="Normal 15 7 3 3 2" xfId="33587" xr:uid="{00000000-0005-0000-0000-00008E1E0000}"/>
    <cellStyle name="Normal 15 7 3 3 3" xfId="24268" xr:uid="{00000000-0005-0000-0000-00008F1E0000}"/>
    <cellStyle name="Normal 15 7 3 3 4" xfId="47530" xr:uid="{00000000-0005-0000-0000-0000901E0000}"/>
    <cellStyle name="Normal 15 7 3 4" xfId="14833" xr:uid="{00000000-0005-0000-0000-0000911E0000}"/>
    <cellStyle name="Normal 15 7 3 4 2" xfId="28965" xr:uid="{00000000-0005-0000-0000-0000921E0000}"/>
    <cellStyle name="Normal 15 7 3 4 3" xfId="42860" xr:uid="{00000000-0005-0000-0000-0000931E0000}"/>
    <cellStyle name="Normal 15 7 3 5" xfId="19646" xr:uid="{00000000-0005-0000-0000-0000941E0000}"/>
    <cellStyle name="Normal 15 7 3 6" xfId="38278" xr:uid="{00000000-0005-0000-0000-0000951E0000}"/>
    <cellStyle name="Normal 15 7 4" xfId="4209" xr:uid="{00000000-0005-0000-0000-0000961E0000}"/>
    <cellStyle name="Normal 15 7 4 2" xfId="4210" xr:uid="{00000000-0005-0000-0000-0000971E0000}"/>
    <cellStyle name="Normal 15 7 4 2 2" xfId="10105" xr:uid="{00000000-0005-0000-0000-0000981E0000}"/>
    <cellStyle name="Normal 15 7 4 2 2 2" xfId="33590" xr:uid="{00000000-0005-0000-0000-0000991E0000}"/>
    <cellStyle name="Normal 15 7 4 2 2 3" xfId="24271" xr:uid="{00000000-0005-0000-0000-00009A1E0000}"/>
    <cellStyle name="Normal 15 7 4 2 2 4" xfId="47533" xr:uid="{00000000-0005-0000-0000-00009B1E0000}"/>
    <cellStyle name="Normal 15 7 4 2 3" xfId="14836" xr:uid="{00000000-0005-0000-0000-00009C1E0000}"/>
    <cellStyle name="Normal 15 7 4 2 3 2" xfId="28968" xr:uid="{00000000-0005-0000-0000-00009D1E0000}"/>
    <cellStyle name="Normal 15 7 4 2 3 3" xfId="42863" xr:uid="{00000000-0005-0000-0000-00009E1E0000}"/>
    <cellStyle name="Normal 15 7 4 2 4" xfId="19649" xr:uid="{00000000-0005-0000-0000-00009F1E0000}"/>
    <cellStyle name="Normal 15 7 4 2 5" xfId="38281" xr:uid="{00000000-0005-0000-0000-0000A01E0000}"/>
    <cellStyle name="Normal 15 7 4 3" xfId="10104" xr:uid="{00000000-0005-0000-0000-0000A11E0000}"/>
    <cellStyle name="Normal 15 7 4 3 2" xfId="33589" xr:uid="{00000000-0005-0000-0000-0000A21E0000}"/>
    <cellStyle name="Normal 15 7 4 3 3" xfId="24270" xr:uid="{00000000-0005-0000-0000-0000A31E0000}"/>
    <cellStyle name="Normal 15 7 4 3 4" xfId="47532" xr:uid="{00000000-0005-0000-0000-0000A41E0000}"/>
    <cellStyle name="Normal 15 7 4 4" xfId="14835" xr:uid="{00000000-0005-0000-0000-0000A51E0000}"/>
    <cellStyle name="Normal 15 7 4 4 2" xfId="28967" xr:uid="{00000000-0005-0000-0000-0000A61E0000}"/>
    <cellStyle name="Normal 15 7 4 4 3" xfId="42862" xr:uid="{00000000-0005-0000-0000-0000A71E0000}"/>
    <cellStyle name="Normal 15 7 4 5" xfId="19648" xr:uid="{00000000-0005-0000-0000-0000A81E0000}"/>
    <cellStyle name="Normal 15 7 4 6" xfId="38280" xr:uid="{00000000-0005-0000-0000-0000A91E0000}"/>
    <cellStyle name="Normal 15 7 5" xfId="4211" xr:uid="{00000000-0005-0000-0000-0000AA1E0000}"/>
    <cellStyle name="Normal 15 7 5 2" xfId="4212" xr:uid="{00000000-0005-0000-0000-0000AB1E0000}"/>
    <cellStyle name="Normal 15 7 5 2 2" xfId="10107" xr:uid="{00000000-0005-0000-0000-0000AC1E0000}"/>
    <cellStyle name="Normal 15 7 5 2 2 2" xfId="33592" xr:uid="{00000000-0005-0000-0000-0000AD1E0000}"/>
    <cellStyle name="Normal 15 7 5 2 2 3" xfId="24273" xr:uid="{00000000-0005-0000-0000-0000AE1E0000}"/>
    <cellStyle name="Normal 15 7 5 2 2 4" xfId="47535" xr:uid="{00000000-0005-0000-0000-0000AF1E0000}"/>
    <cellStyle name="Normal 15 7 5 2 3" xfId="14838" xr:uid="{00000000-0005-0000-0000-0000B01E0000}"/>
    <cellStyle name="Normal 15 7 5 2 3 2" xfId="28970" xr:uid="{00000000-0005-0000-0000-0000B11E0000}"/>
    <cellStyle name="Normal 15 7 5 2 3 3" xfId="42865" xr:uid="{00000000-0005-0000-0000-0000B21E0000}"/>
    <cellStyle name="Normal 15 7 5 2 4" xfId="19651" xr:uid="{00000000-0005-0000-0000-0000B31E0000}"/>
    <cellStyle name="Normal 15 7 5 2 5" xfId="38283" xr:uid="{00000000-0005-0000-0000-0000B41E0000}"/>
    <cellStyle name="Normal 15 7 5 3" xfId="10106" xr:uid="{00000000-0005-0000-0000-0000B51E0000}"/>
    <cellStyle name="Normal 15 7 5 3 2" xfId="33591" xr:uid="{00000000-0005-0000-0000-0000B61E0000}"/>
    <cellStyle name="Normal 15 7 5 3 3" xfId="24272" xr:uid="{00000000-0005-0000-0000-0000B71E0000}"/>
    <cellStyle name="Normal 15 7 5 3 4" xfId="47534" xr:uid="{00000000-0005-0000-0000-0000B81E0000}"/>
    <cellStyle name="Normal 15 7 5 4" xfId="14837" xr:uid="{00000000-0005-0000-0000-0000B91E0000}"/>
    <cellStyle name="Normal 15 7 5 4 2" xfId="28969" xr:uid="{00000000-0005-0000-0000-0000BA1E0000}"/>
    <cellStyle name="Normal 15 7 5 4 3" xfId="42864" xr:uid="{00000000-0005-0000-0000-0000BB1E0000}"/>
    <cellStyle name="Normal 15 7 5 5" xfId="19650" xr:uid="{00000000-0005-0000-0000-0000BC1E0000}"/>
    <cellStyle name="Normal 15 7 5 6" xfId="38282" xr:uid="{00000000-0005-0000-0000-0000BD1E0000}"/>
    <cellStyle name="Normal 15 7 6" xfId="4213" xr:uid="{00000000-0005-0000-0000-0000BE1E0000}"/>
    <cellStyle name="Normal 15 7 6 2" xfId="4214" xr:uid="{00000000-0005-0000-0000-0000BF1E0000}"/>
    <cellStyle name="Normal 15 7 6 2 2" xfId="10109" xr:uid="{00000000-0005-0000-0000-0000C01E0000}"/>
    <cellStyle name="Normal 15 7 6 2 2 2" xfId="33594" xr:uid="{00000000-0005-0000-0000-0000C11E0000}"/>
    <cellStyle name="Normal 15 7 6 2 2 3" xfId="24275" xr:uid="{00000000-0005-0000-0000-0000C21E0000}"/>
    <cellStyle name="Normal 15 7 6 2 2 4" xfId="47537" xr:uid="{00000000-0005-0000-0000-0000C31E0000}"/>
    <cellStyle name="Normal 15 7 6 2 3" xfId="14840" xr:uid="{00000000-0005-0000-0000-0000C41E0000}"/>
    <cellStyle name="Normal 15 7 6 2 3 2" xfId="28972" xr:uid="{00000000-0005-0000-0000-0000C51E0000}"/>
    <cellStyle name="Normal 15 7 6 2 3 3" xfId="42867" xr:uid="{00000000-0005-0000-0000-0000C61E0000}"/>
    <cellStyle name="Normal 15 7 6 2 4" xfId="19653" xr:uid="{00000000-0005-0000-0000-0000C71E0000}"/>
    <cellStyle name="Normal 15 7 6 2 5" xfId="38285" xr:uid="{00000000-0005-0000-0000-0000C81E0000}"/>
    <cellStyle name="Normal 15 7 6 3" xfId="10108" xr:uid="{00000000-0005-0000-0000-0000C91E0000}"/>
    <cellStyle name="Normal 15 7 6 3 2" xfId="33593" xr:uid="{00000000-0005-0000-0000-0000CA1E0000}"/>
    <cellStyle name="Normal 15 7 6 3 3" xfId="24274" xr:uid="{00000000-0005-0000-0000-0000CB1E0000}"/>
    <cellStyle name="Normal 15 7 6 3 4" xfId="47536" xr:uid="{00000000-0005-0000-0000-0000CC1E0000}"/>
    <cellStyle name="Normal 15 7 6 4" xfId="14839" xr:uid="{00000000-0005-0000-0000-0000CD1E0000}"/>
    <cellStyle name="Normal 15 7 6 4 2" xfId="28971" xr:uid="{00000000-0005-0000-0000-0000CE1E0000}"/>
    <cellStyle name="Normal 15 7 6 4 3" xfId="42866" xr:uid="{00000000-0005-0000-0000-0000CF1E0000}"/>
    <cellStyle name="Normal 15 7 6 5" xfId="19652" xr:uid="{00000000-0005-0000-0000-0000D01E0000}"/>
    <cellStyle name="Normal 15 7 6 6" xfId="38284" xr:uid="{00000000-0005-0000-0000-0000D11E0000}"/>
    <cellStyle name="Normal 15 7 7" xfId="4215" xr:uid="{00000000-0005-0000-0000-0000D21E0000}"/>
    <cellStyle name="Normal 15 7 7 2" xfId="10110" xr:uid="{00000000-0005-0000-0000-0000D31E0000}"/>
    <cellStyle name="Normal 15 7 7 2 2" xfId="33595" xr:uid="{00000000-0005-0000-0000-0000D41E0000}"/>
    <cellStyle name="Normal 15 7 7 2 3" xfId="24276" xr:uid="{00000000-0005-0000-0000-0000D51E0000}"/>
    <cellStyle name="Normal 15 7 7 2 4" xfId="47538" xr:uid="{00000000-0005-0000-0000-0000D61E0000}"/>
    <cellStyle name="Normal 15 7 7 3" xfId="14841" xr:uid="{00000000-0005-0000-0000-0000D71E0000}"/>
    <cellStyle name="Normal 15 7 7 3 2" xfId="28973" xr:uid="{00000000-0005-0000-0000-0000D81E0000}"/>
    <cellStyle name="Normal 15 7 7 3 3" xfId="42868" xr:uid="{00000000-0005-0000-0000-0000D91E0000}"/>
    <cellStyle name="Normal 15 7 7 4" xfId="19654" xr:uid="{00000000-0005-0000-0000-0000DA1E0000}"/>
    <cellStyle name="Normal 15 7 7 5" xfId="38286" xr:uid="{00000000-0005-0000-0000-0000DB1E0000}"/>
    <cellStyle name="Normal 15 7 8" xfId="10099" xr:uid="{00000000-0005-0000-0000-0000DC1E0000}"/>
    <cellStyle name="Normal 15 7 8 2" xfId="33584" xr:uid="{00000000-0005-0000-0000-0000DD1E0000}"/>
    <cellStyle name="Normal 15 7 8 3" xfId="24265" xr:uid="{00000000-0005-0000-0000-0000DE1E0000}"/>
    <cellStyle name="Normal 15 7 8 4" xfId="47527" xr:uid="{00000000-0005-0000-0000-0000DF1E0000}"/>
    <cellStyle name="Normal 15 7 9" xfId="14830" xr:uid="{00000000-0005-0000-0000-0000E01E0000}"/>
    <cellStyle name="Normal 15 7 9 2" xfId="28962" xr:uid="{00000000-0005-0000-0000-0000E11E0000}"/>
    <cellStyle name="Normal 15 7 9 3" xfId="42857" xr:uid="{00000000-0005-0000-0000-0000E21E0000}"/>
    <cellStyle name="Normal 15 8" xfId="4216" xr:uid="{00000000-0005-0000-0000-0000E31E0000}"/>
    <cellStyle name="Normal 15 8 10" xfId="19655" xr:uid="{00000000-0005-0000-0000-0000E41E0000}"/>
    <cellStyle name="Normal 15 8 11" xfId="38287" xr:uid="{00000000-0005-0000-0000-0000E51E0000}"/>
    <cellStyle name="Normal 15 8 2" xfId="4217" xr:uid="{00000000-0005-0000-0000-0000E61E0000}"/>
    <cellStyle name="Normal 15 8 2 2" xfId="4218" xr:uid="{00000000-0005-0000-0000-0000E71E0000}"/>
    <cellStyle name="Normal 15 8 2 2 2" xfId="10113" xr:uid="{00000000-0005-0000-0000-0000E81E0000}"/>
    <cellStyle name="Normal 15 8 2 2 2 2" xfId="33598" xr:uid="{00000000-0005-0000-0000-0000E91E0000}"/>
    <cellStyle name="Normal 15 8 2 2 2 3" xfId="24279" xr:uid="{00000000-0005-0000-0000-0000EA1E0000}"/>
    <cellStyle name="Normal 15 8 2 2 2 4" xfId="47541" xr:uid="{00000000-0005-0000-0000-0000EB1E0000}"/>
    <cellStyle name="Normal 15 8 2 2 3" xfId="14844" xr:uid="{00000000-0005-0000-0000-0000EC1E0000}"/>
    <cellStyle name="Normal 15 8 2 2 3 2" xfId="28976" xr:uid="{00000000-0005-0000-0000-0000ED1E0000}"/>
    <cellStyle name="Normal 15 8 2 2 3 3" xfId="42871" xr:uid="{00000000-0005-0000-0000-0000EE1E0000}"/>
    <cellStyle name="Normal 15 8 2 2 4" xfId="19657" xr:uid="{00000000-0005-0000-0000-0000EF1E0000}"/>
    <cellStyle name="Normal 15 8 2 2 5" xfId="38289" xr:uid="{00000000-0005-0000-0000-0000F01E0000}"/>
    <cellStyle name="Normal 15 8 2 3" xfId="10112" xr:uid="{00000000-0005-0000-0000-0000F11E0000}"/>
    <cellStyle name="Normal 15 8 2 3 2" xfId="33597" xr:uid="{00000000-0005-0000-0000-0000F21E0000}"/>
    <cellStyle name="Normal 15 8 2 3 3" xfId="24278" xr:uid="{00000000-0005-0000-0000-0000F31E0000}"/>
    <cellStyle name="Normal 15 8 2 3 4" xfId="47540" xr:uid="{00000000-0005-0000-0000-0000F41E0000}"/>
    <cellStyle name="Normal 15 8 2 4" xfId="14843" xr:uid="{00000000-0005-0000-0000-0000F51E0000}"/>
    <cellStyle name="Normal 15 8 2 4 2" xfId="28975" xr:uid="{00000000-0005-0000-0000-0000F61E0000}"/>
    <cellStyle name="Normal 15 8 2 4 3" xfId="42870" xr:uid="{00000000-0005-0000-0000-0000F71E0000}"/>
    <cellStyle name="Normal 15 8 2 5" xfId="19656" xr:uid="{00000000-0005-0000-0000-0000F81E0000}"/>
    <cellStyle name="Normal 15 8 2 6" xfId="38288" xr:uid="{00000000-0005-0000-0000-0000F91E0000}"/>
    <cellStyle name="Normal 15 8 3" xfId="4219" xr:uid="{00000000-0005-0000-0000-0000FA1E0000}"/>
    <cellStyle name="Normal 15 8 3 2" xfId="4220" xr:uid="{00000000-0005-0000-0000-0000FB1E0000}"/>
    <cellStyle name="Normal 15 8 3 2 2" xfId="10115" xr:uid="{00000000-0005-0000-0000-0000FC1E0000}"/>
    <cellStyle name="Normal 15 8 3 2 2 2" xfId="33600" xr:uid="{00000000-0005-0000-0000-0000FD1E0000}"/>
    <cellStyle name="Normal 15 8 3 2 2 3" xfId="24281" xr:uid="{00000000-0005-0000-0000-0000FE1E0000}"/>
    <cellStyle name="Normal 15 8 3 2 2 4" xfId="47543" xr:uid="{00000000-0005-0000-0000-0000FF1E0000}"/>
    <cellStyle name="Normal 15 8 3 2 3" xfId="14846" xr:uid="{00000000-0005-0000-0000-0000001F0000}"/>
    <cellStyle name="Normal 15 8 3 2 3 2" xfId="28978" xr:uid="{00000000-0005-0000-0000-0000011F0000}"/>
    <cellStyle name="Normal 15 8 3 2 3 3" xfId="42873" xr:uid="{00000000-0005-0000-0000-0000021F0000}"/>
    <cellStyle name="Normal 15 8 3 2 4" xfId="19659" xr:uid="{00000000-0005-0000-0000-0000031F0000}"/>
    <cellStyle name="Normal 15 8 3 2 5" xfId="38291" xr:uid="{00000000-0005-0000-0000-0000041F0000}"/>
    <cellStyle name="Normal 15 8 3 3" xfId="10114" xr:uid="{00000000-0005-0000-0000-0000051F0000}"/>
    <cellStyle name="Normal 15 8 3 3 2" xfId="33599" xr:uid="{00000000-0005-0000-0000-0000061F0000}"/>
    <cellStyle name="Normal 15 8 3 3 3" xfId="24280" xr:uid="{00000000-0005-0000-0000-0000071F0000}"/>
    <cellStyle name="Normal 15 8 3 3 4" xfId="47542" xr:uid="{00000000-0005-0000-0000-0000081F0000}"/>
    <cellStyle name="Normal 15 8 3 4" xfId="14845" xr:uid="{00000000-0005-0000-0000-0000091F0000}"/>
    <cellStyle name="Normal 15 8 3 4 2" xfId="28977" xr:uid="{00000000-0005-0000-0000-00000A1F0000}"/>
    <cellStyle name="Normal 15 8 3 4 3" xfId="42872" xr:uid="{00000000-0005-0000-0000-00000B1F0000}"/>
    <cellStyle name="Normal 15 8 3 5" xfId="19658" xr:uid="{00000000-0005-0000-0000-00000C1F0000}"/>
    <cellStyle name="Normal 15 8 3 6" xfId="38290" xr:uid="{00000000-0005-0000-0000-00000D1F0000}"/>
    <cellStyle name="Normal 15 8 4" xfId="4221" xr:uid="{00000000-0005-0000-0000-00000E1F0000}"/>
    <cellStyle name="Normal 15 8 4 2" xfId="4222" xr:uid="{00000000-0005-0000-0000-00000F1F0000}"/>
    <cellStyle name="Normal 15 8 4 2 2" xfId="10117" xr:uid="{00000000-0005-0000-0000-0000101F0000}"/>
    <cellStyle name="Normal 15 8 4 2 2 2" xfId="33602" xr:uid="{00000000-0005-0000-0000-0000111F0000}"/>
    <cellStyle name="Normal 15 8 4 2 2 3" xfId="24283" xr:uid="{00000000-0005-0000-0000-0000121F0000}"/>
    <cellStyle name="Normal 15 8 4 2 2 4" xfId="47545" xr:uid="{00000000-0005-0000-0000-0000131F0000}"/>
    <cellStyle name="Normal 15 8 4 2 3" xfId="14848" xr:uid="{00000000-0005-0000-0000-0000141F0000}"/>
    <cellStyle name="Normal 15 8 4 2 3 2" xfId="28980" xr:uid="{00000000-0005-0000-0000-0000151F0000}"/>
    <cellStyle name="Normal 15 8 4 2 3 3" xfId="42875" xr:uid="{00000000-0005-0000-0000-0000161F0000}"/>
    <cellStyle name="Normal 15 8 4 2 4" xfId="19661" xr:uid="{00000000-0005-0000-0000-0000171F0000}"/>
    <cellStyle name="Normal 15 8 4 2 5" xfId="38293" xr:uid="{00000000-0005-0000-0000-0000181F0000}"/>
    <cellStyle name="Normal 15 8 4 3" xfId="10116" xr:uid="{00000000-0005-0000-0000-0000191F0000}"/>
    <cellStyle name="Normal 15 8 4 3 2" xfId="33601" xr:uid="{00000000-0005-0000-0000-00001A1F0000}"/>
    <cellStyle name="Normal 15 8 4 3 3" xfId="24282" xr:uid="{00000000-0005-0000-0000-00001B1F0000}"/>
    <cellStyle name="Normal 15 8 4 3 4" xfId="47544" xr:uid="{00000000-0005-0000-0000-00001C1F0000}"/>
    <cellStyle name="Normal 15 8 4 4" xfId="14847" xr:uid="{00000000-0005-0000-0000-00001D1F0000}"/>
    <cellStyle name="Normal 15 8 4 4 2" xfId="28979" xr:uid="{00000000-0005-0000-0000-00001E1F0000}"/>
    <cellStyle name="Normal 15 8 4 4 3" xfId="42874" xr:uid="{00000000-0005-0000-0000-00001F1F0000}"/>
    <cellStyle name="Normal 15 8 4 5" xfId="19660" xr:uid="{00000000-0005-0000-0000-0000201F0000}"/>
    <cellStyle name="Normal 15 8 4 6" xfId="38292" xr:uid="{00000000-0005-0000-0000-0000211F0000}"/>
    <cellStyle name="Normal 15 8 5" xfId="4223" xr:uid="{00000000-0005-0000-0000-0000221F0000}"/>
    <cellStyle name="Normal 15 8 5 2" xfId="4224" xr:uid="{00000000-0005-0000-0000-0000231F0000}"/>
    <cellStyle name="Normal 15 8 5 2 2" xfId="10119" xr:uid="{00000000-0005-0000-0000-0000241F0000}"/>
    <cellStyle name="Normal 15 8 5 2 2 2" xfId="33604" xr:uid="{00000000-0005-0000-0000-0000251F0000}"/>
    <cellStyle name="Normal 15 8 5 2 2 3" xfId="24285" xr:uid="{00000000-0005-0000-0000-0000261F0000}"/>
    <cellStyle name="Normal 15 8 5 2 2 4" xfId="47547" xr:uid="{00000000-0005-0000-0000-0000271F0000}"/>
    <cellStyle name="Normal 15 8 5 2 3" xfId="14850" xr:uid="{00000000-0005-0000-0000-0000281F0000}"/>
    <cellStyle name="Normal 15 8 5 2 3 2" xfId="28982" xr:uid="{00000000-0005-0000-0000-0000291F0000}"/>
    <cellStyle name="Normal 15 8 5 2 3 3" xfId="42877" xr:uid="{00000000-0005-0000-0000-00002A1F0000}"/>
    <cellStyle name="Normal 15 8 5 2 4" xfId="19663" xr:uid="{00000000-0005-0000-0000-00002B1F0000}"/>
    <cellStyle name="Normal 15 8 5 2 5" xfId="38295" xr:uid="{00000000-0005-0000-0000-00002C1F0000}"/>
    <cellStyle name="Normal 15 8 5 3" xfId="10118" xr:uid="{00000000-0005-0000-0000-00002D1F0000}"/>
    <cellStyle name="Normal 15 8 5 3 2" xfId="33603" xr:uid="{00000000-0005-0000-0000-00002E1F0000}"/>
    <cellStyle name="Normal 15 8 5 3 3" xfId="24284" xr:uid="{00000000-0005-0000-0000-00002F1F0000}"/>
    <cellStyle name="Normal 15 8 5 3 4" xfId="47546" xr:uid="{00000000-0005-0000-0000-0000301F0000}"/>
    <cellStyle name="Normal 15 8 5 4" xfId="14849" xr:uid="{00000000-0005-0000-0000-0000311F0000}"/>
    <cellStyle name="Normal 15 8 5 4 2" xfId="28981" xr:uid="{00000000-0005-0000-0000-0000321F0000}"/>
    <cellStyle name="Normal 15 8 5 4 3" xfId="42876" xr:uid="{00000000-0005-0000-0000-0000331F0000}"/>
    <cellStyle name="Normal 15 8 5 5" xfId="19662" xr:uid="{00000000-0005-0000-0000-0000341F0000}"/>
    <cellStyle name="Normal 15 8 5 6" xfId="38294" xr:uid="{00000000-0005-0000-0000-0000351F0000}"/>
    <cellStyle name="Normal 15 8 6" xfId="4225" xr:uid="{00000000-0005-0000-0000-0000361F0000}"/>
    <cellStyle name="Normal 15 8 6 2" xfId="4226" xr:uid="{00000000-0005-0000-0000-0000371F0000}"/>
    <cellStyle name="Normal 15 8 6 2 2" xfId="10121" xr:uid="{00000000-0005-0000-0000-0000381F0000}"/>
    <cellStyle name="Normal 15 8 6 2 2 2" xfId="33606" xr:uid="{00000000-0005-0000-0000-0000391F0000}"/>
    <cellStyle name="Normal 15 8 6 2 2 3" xfId="24287" xr:uid="{00000000-0005-0000-0000-00003A1F0000}"/>
    <cellStyle name="Normal 15 8 6 2 2 4" xfId="47549" xr:uid="{00000000-0005-0000-0000-00003B1F0000}"/>
    <cellStyle name="Normal 15 8 6 2 3" xfId="14852" xr:uid="{00000000-0005-0000-0000-00003C1F0000}"/>
    <cellStyle name="Normal 15 8 6 2 3 2" xfId="28984" xr:uid="{00000000-0005-0000-0000-00003D1F0000}"/>
    <cellStyle name="Normal 15 8 6 2 3 3" xfId="42879" xr:uid="{00000000-0005-0000-0000-00003E1F0000}"/>
    <cellStyle name="Normal 15 8 6 2 4" xfId="19665" xr:uid="{00000000-0005-0000-0000-00003F1F0000}"/>
    <cellStyle name="Normal 15 8 6 2 5" xfId="38297" xr:uid="{00000000-0005-0000-0000-0000401F0000}"/>
    <cellStyle name="Normal 15 8 6 3" xfId="10120" xr:uid="{00000000-0005-0000-0000-0000411F0000}"/>
    <cellStyle name="Normal 15 8 6 3 2" xfId="33605" xr:uid="{00000000-0005-0000-0000-0000421F0000}"/>
    <cellStyle name="Normal 15 8 6 3 3" xfId="24286" xr:uid="{00000000-0005-0000-0000-0000431F0000}"/>
    <cellStyle name="Normal 15 8 6 3 4" xfId="47548" xr:uid="{00000000-0005-0000-0000-0000441F0000}"/>
    <cellStyle name="Normal 15 8 6 4" xfId="14851" xr:uid="{00000000-0005-0000-0000-0000451F0000}"/>
    <cellStyle name="Normal 15 8 6 4 2" xfId="28983" xr:uid="{00000000-0005-0000-0000-0000461F0000}"/>
    <cellStyle name="Normal 15 8 6 4 3" xfId="42878" xr:uid="{00000000-0005-0000-0000-0000471F0000}"/>
    <cellStyle name="Normal 15 8 6 5" xfId="19664" xr:uid="{00000000-0005-0000-0000-0000481F0000}"/>
    <cellStyle name="Normal 15 8 6 6" xfId="38296" xr:uid="{00000000-0005-0000-0000-0000491F0000}"/>
    <cellStyle name="Normal 15 8 7" xfId="4227" xr:uid="{00000000-0005-0000-0000-00004A1F0000}"/>
    <cellStyle name="Normal 15 8 7 2" xfId="10122" xr:uid="{00000000-0005-0000-0000-00004B1F0000}"/>
    <cellStyle name="Normal 15 8 7 2 2" xfId="33607" xr:uid="{00000000-0005-0000-0000-00004C1F0000}"/>
    <cellStyle name="Normal 15 8 7 2 3" xfId="24288" xr:uid="{00000000-0005-0000-0000-00004D1F0000}"/>
    <cellStyle name="Normal 15 8 7 2 4" xfId="47550" xr:uid="{00000000-0005-0000-0000-00004E1F0000}"/>
    <cellStyle name="Normal 15 8 7 3" xfId="14853" xr:uid="{00000000-0005-0000-0000-00004F1F0000}"/>
    <cellStyle name="Normal 15 8 7 3 2" xfId="28985" xr:uid="{00000000-0005-0000-0000-0000501F0000}"/>
    <cellStyle name="Normal 15 8 7 3 3" xfId="42880" xr:uid="{00000000-0005-0000-0000-0000511F0000}"/>
    <cellStyle name="Normal 15 8 7 4" xfId="19666" xr:uid="{00000000-0005-0000-0000-0000521F0000}"/>
    <cellStyle name="Normal 15 8 7 5" xfId="38298" xr:uid="{00000000-0005-0000-0000-0000531F0000}"/>
    <cellStyle name="Normal 15 8 8" xfId="10111" xr:uid="{00000000-0005-0000-0000-0000541F0000}"/>
    <cellStyle name="Normal 15 8 8 2" xfId="33596" xr:uid="{00000000-0005-0000-0000-0000551F0000}"/>
    <cellStyle name="Normal 15 8 8 3" xfId="24277" xr:uid="{00000000-0005-0000-0000-0000561F0000}"/>
    <cellStyle name="Normal 15 8 8 4" xfId="47539" xr:uid="{00000000-0005-0000-0000-0000571F0000}"/>
    <cellStyle name="Normal 15 8 9" xfId="14842" xr:uid="{00000000-0005-0000-0000-0000581F0000}"/>
    <cellStyle name="Normal 15 8 9 2" xfId="28974" xr:uid="{00000000-0005-0000-0000-0000591F0000}"/>
    <cellStyle name="Normal 15 8 9 3" xfId="42869" xr:uid="{00000000-0005-0000-0000-00005A1F0000}"/>
    <cellStyle name="Normal 15 9" xfId="4228" xr:uid="{00000000-0005-0000-0000-00005B1F0000}"/>
    <cellStyle name="Normal 15 9 10" xfId="19667" xr:uid="{00000000-0005-0000-0000-00005C1F0000}"/>
    <cellStyle name="Normal 15 9 11" xfId="38299" xr:uid="{00000000-0005-0000-0000-00005D1F0000}"/>
    <cellStyle name="Normal 15 9 2" xfId="4229" xr:uid="{00000000-0005-0000-0000-00005E1F0000}"/>
    <cellStyle name="Normal 15 9 2 2" xfId="4230" xr:uid="{00000000-0005-0000-0000-00005F1F0000}"/>
    <cellStyle name="Normal 15 9 2 2 2" xfId="10125" xr:uid="{00000000-0005-0000-0000-0000601F0000}"/>
    <cellStyle name="Normal 15 9 2 2 2 2" xfId="33610" xr:uid="{00000000-0005-0000-0000-0000611F0000}"/>
    <cellStyle name="Normal 15 9 2 2 2 3" xfId="24291" xr:uid="{00000000-0005-0000-0000-0000621F0000}"/>
    <cellStyle name="Normal 15 9 2 2 2 4" xfId="47553" xr:uid="{00000000-0005-0000-0000-0000631F0000}"/>
    <cellStyle name="Normal 15 9 2 2 3" xfId="14856" xr:uid="{00000000-0005-0000-0000-0000641F0000}"/>
    <cellStyle name="Normal 15 9 2 2 3 2" xfId="28988" xr:uid="{00000000-0005-0000-0000-0000651F0000}"/>
    <cellStyle name="Normal 15 9 2 2 3 3" xfId="42883" xr:uid="{00000000-0005-0000-0000-0000661F0000}"/>
    <cellStyle name="Normal 15 9 2 2 4" xfId="19669" xr:uid="{00000000-0005-0000-0000-0000671F0000}"/>
    <cellStyle name="Normal 15 9 2 2 5" xfId="38301" xr:uid="{00000000-0005-0000-0000-0000681F0000}"/>
    <cellStyle name="Normal 15 9 2 3" xfId="10124" xr:uid="{00000000-0005-0000-0000-0000691F0000}"/>
    <cellStyle name="Normal 15 9 2 3 2" xfId="33609" xr:uid="{00000000-0005-0000-0000-00006A1F0000}"/>
    <cellStyle name="Normal 15 9 2 3 3" xfId="24290" xr:uid="{00000000-0005-0000-0000-00006B1F0000}"/>
    <cellStyle name="Normal 15 9 2 3 4" xfId="47552" xr:uid="{00000000-0005-0000-0000-00006C1F0000}"/>
    <cellStyle name="Normal 15 9 2 4" xfId="14855" xr:uid="{00000000-0005-0000-0000-00006D1F0000}"/>
    <cellStyle name="Normal 15 9 2 4 2" xfId="28987" xr:uid="{00000000-0005-0000-0000-00006E1F0000}"/>
    <cellStyle name="Normal 15 9 2 4 3" xfId="42882" xr:uid="{00000000-0005-0000-0000-00006F1F0000}"/>
    <cellStyle name="Normal 15 9 2 5" xfId="19668" xr:uid="{00000000-0005-0000-0000-0000701F0000}"/>
    <cellStyle name="Normal 15 9 2 6" xfId="38300" xr:uid="{00000000-0005-0000-0000-0000711F0000}"/>
    <cellStyle name="Normal 15 9 3" xfId="4231" xr:uid="{00000000-0005-0000-0000-0000721F0000}"/>
    <cellStyle name="Normal 15 9 3 2" xfId="4232" xr:uid="{00000000-0005-0000-0000-0000731F0000}"/>
    <cellStyle name="Normal 15 9 3 2 2" xfId="10127" xr:uid="{00000000-0005-0000-0000-0000741F0000}"/>
    <cellStyle name="Normal 15 9 3 2 2 2" xfId="33612" xr:uid="{00000000-0005-0000-0000-0000751F0000}"/>
    <cellStyle name="Normal 15 9 3 2 2 3" xfId="24293" xr:uid="{00000000-0005-0000-0000-0000761F0000}"/>
    <cellStyle name="Normal 15 9 3 2 2 4" xfId="47555" xr:uid="{00000000-0005-0000-0000-0000771F0000}"/>
    <cellStyle name="Normal 15 9 3 2 3" xfId="14858" xr:uid="{00000000-0005-0000-0000-0000781F0000}"/>
    <cellStyle name="Normal 15 9 3 2 3 2" xfId="28990" xr:uid="{00000000-0005-0000-0000-0000791F0000}"/>
    <cellStyle name="Normal 15 9 3 2 3 3" xfId="42885" xr:uid="{00000000-0005-0000-0000-00007A1F0000}"/>
    <cellStyle name="Normal 15 9 3 2 4" xfId="19671" xr:uid="{00000000-0005-0000-0000-00007B1F0000}"/>
    <cellStyle name="Normal 15 9 3 2 5" xfId="38303" xr:uid="{00000000-0005-0000-0000-00007C1F0000}"/>
    <cellStyle name="Normal 15 9 3 3" xfId="10126" xr:uid="{00000000-0005-0000-0000-00007D1F0000}"/>
    <cellStyle name="Normal 15 9 3 3 2" xfId="33611" xr:uid="{00000000-0005-0000-0000-00007E1F0000}"/>
    <cellStyle name="Normal 15 9 3 3 3" xfId="24292" xr:uid="{00000000-0005-0000-0000-00007F1F0000}"/>
    <cellStyle name="Normal 15 9 3 3 4" xfId="47554" xr:uid="{00000000-0005-0000-0000-0000801F0000}"/>
    <cellStyle name="Normal 15 9 3 4" xfId="14857" xr:uid="{00000000-0005-0000-0000-0000811F0000}"/>
    <cellStyle name="Normal 15 9 3 4 2" xfId="28989" xr:uid="{00000000-0005-0000-0000-0000821F0000}"/>
    <cellStyle name="Normal 15 9 3 4 3" xfId="42884" xr:uid="{00000000-0005-0000-0000-0000831F0000}"/>
    <cellStyle name="Normal 15 9 3 5" xfId="19670" xr:uid="{00000000-0005-0000-0000-0000841F0000}"/>
    <cellStyle name="Normal 15 9 3 6" xfId="38302" xr:uid="{00000000-0005-0000-0000-0000851F0000}"/>
    <cellStyle name="Normal 15 9 4" xfId="4233" xr:uid="{00000000-0005-0000-0000-0000861F0000}"/>
    <cellStyle name="Normal 15 9 4 2" xfId="4234" xr:uid="{00000000-0005-0000-0000-0000871F0000}"/>
    <cellStyle name="Normal 15 9 4 2 2" xfId="10129" xr:uid="{00000000-0005-0000-0000-0000881F0000}"/>
    <cellStyle name="Normal 15 9 4 2 2 2" xfId="33614" xr:uid="{00000000-0005-0000-0000-0000891F0000}"/>
    <cellStyle name="Normal 15 9 4 2 2 3" xfId="24295" xr:uid="{00000000-0005-0000-0000-00008A1F0000}"/>
    <cellStyle name="Normal 15 9 4 2 2 4" xfId="47557" xr:uid="{00000000-0005-0000-0000-00008B1F0000}"/>
    <cellStyle name="Normal 15 9 4 2 3" xfId="14860" xr:uid="{00000000-0005-0000-0000-00008C1F0000}"/>
    <cellStyle name="Normal 15 9 4 2 3 2" xfId="28992" xr:uid="{00000000-0005-0000-0000-00008D1F0000}"/>
    <cellStyle name="Normal 15 9 4 2 3 3" xfId="42887" xr:uid="{00000000-0005-0000-0000-00008E1F0000}"/>
    <cellStyle name="Normal 15 9 4 2 4" xfId="19673" xr:uid="{00000000-0005-0000-0000-00008F1F0000}"/>
    <cellStyle name="Normal 15 9 4 2 5" xfId="38305" xr:uid="{00000000-0005-0000-0000-0000901F0000}"/>
    <cellStyle name="Normal 15 9 4 3" xfId="10128" xr:uid="{00000000-0005-0000-0000-0000911F0000}"/>
    <cellStyle name="Normal 15 9 4 3 2" xfId="33613" xr:uid="{00000000-0005-0000-0000-0000921F0000}"/>
    <cellStyle name="Normal 15 9 4 3 3" xfId="24294" xr:uid="{00000000-0005-0000-0000-0000931F0000}"/>
    <cellStyle name="Normal 15 9 4 3 4" xfId="47556" xr:uid="{00000000-0005-0000-0000-0000941F0000}"/>
    <cellStyle name="Normal 15 9 4 4" xfId="14859" xr:uid="{00000000-0005-0000-0000-0000951F0000}"/>
    <cellStyle name="Normal 15 9 4 4 2" xfId="28991" xr:uid="{00000000-0005-0000-0000-0000961F0000}"/>
    <cellStyle name="Normal 15 9 4 4 3" xfId="42886" xr:uid="{00000000-0005-0000-0000-0000971F0000}"/>
    <cellStyle name="Normal 15 9 4 5" xfId="19672" xr:uid="{00000000-0005-0000-0000-0000981F0000}"/>
    <cellStyle name="Normal 15 9 4 6" xfId="38304" xr:uid="{00000000-0005-0000-0000-0000991F0000}"/>
    <cellStyle name="Normal 15 9 5" xfId="4235" xr:uid="{00000000-0005-0000-0000-00009A1F0000}"/>
    <cellStyle name="Normal 15 9 5 2" xfId="4236" xr:uid="{00000000-0005-0000-0000-00009B1F0000}"/>
    <cellStyle name="Normal 15 9 5 2 2" xfId="10131" xr:uid="{00000000-0005-0000-0000-00009C1F0000}"/>
    <cellStyle name="Normal 15 9 5 2 2 2" xfId="33616" xr:uid="{00000000-0005-0000-0000-00009D1F0000}"/>
    <cellStyle name="Normal 15 9 5 2 2 3" xfId="24297" xr:uid="{00000000-0005-0000-0000-00009E1F0000}"/>
    <cellStyle name="Normal 15 9 5 2 2 4" xfId="47559" xr:uid="{00000000-0005-0000-0000-00009F1F0000}"/>
    <cellStyle name="Normal 15 9 5 2 3" xfId="14862" xr:uid="{00000000-0005-0000-0000-0000A01F0000}"/>
    <cellStyle name="Normal 15 9 5 2 3 2" xfId="28994" xr:uid="{00000000-0005-0000-0000-0000A11F0000}"/>
    <cellStyle name="Normal 15 9 5 2 3 3" xfId="42889" xr:uid="{00000000-0005-0000-0000-0000A21F0000}"/>
    <cellStyle name="Normal 15 9 5 2 4" xfId="19675" xr:uid="{00000000-0005-0000-0000-0000A31F0000}"/>
    <cellStyle name="Normal 15 9 5 2 5" xfId="38307" xr:uid="{00000000-0005-0000-0000-0000A41F0000}"/>
    <cellStyle name="Normal 15 9 5 3" xfId="10130" xr:uid="{00000000-0005-0000-0000-0000A51F0000}"/>
    <cellStyle name="Normal 15 9 5 3 2" xfId="33615" xr:uid="{00000000-0005-0000-0000-0000A61F0000}"/>
    <cellStyle name="Normal 15 9 5 3 3" xfId="24296" xr:uid="{00000000-0005-0000-0000-0000A71F0000}"/>
    <cellStyle name="Normal 15 9 5 3 4" xfId="47558" xr:uid="{00000000-0005-0000-0000-0000A81F0000}"/>
    <cellStyle name="Normal 15 9 5 4" xfId="14861" xr:uid="{00000000-0005-0000-0000-0000A91F0000}"/>
    <cellStyle name="Normal 15 9 5 4 2" xfId="28993" xr:uid="{00000000-0005-0000-0000-0000AA1F0000}"/>
    <cellStyle name="Normal 15 9 5 4 3" xfId="42888" xr:uid="{00000000-0005-0000-0000-0000AB1F0000}"/>
    <cellStyle name="Normal 15 9 5 5" xfId="19674" xr:uid="{00000000-0005-0000-0000-0000AC1F0000}"/>
    <cellStyle name="Normal 15 9 5 6" xfId="38306" xr:uid="{00000000-0005-0000-0000-0000AD1F0000}"/>
    <cellStyle name="Normal 15 9 6" xfId="4237" xr:uid="{00000000-0005-0000-0000-0000AE1F0000}"/>
    <cellStyle name="Normal 15 9 6 2" xfId="4238" xr:uid="{00000000-0005-0000-0000-0000AF1F0000}"/>
    <cellStyle name="Normal 15 9 6 2 2" xfId="10133" xr:uid="{00000000-0005-0000-0000-0000B01F0000}"/>
    <cellStyle name="Normal 15 9 6 2 2 2" xfId="33618" xr:uid="{00000000-0005-0000-0000-0000B11F0000}"/>
    <cellStyle name="Normal 15 9 6 2 2 3" xfId="24299" xr:uid="{00000000-0005-0000-0000-0000B21F0000}"/>
    <cellStyle name="Normal 15 9 6 2 2 4" xfId="47561" xr:uid="{00000000-0005-0000-0000-0000B31F0000}"/>
    <cellStyle name="Normal 15 9 6 2 3" xfId="14864" xr:uid="{00000000-0005-0000-0000-0000B41F0000}"/>
    <cellStyle name="Normal 15 9 6 2 3 2" xfId="28996" xr:uid="{00000000-0005-0000-0000-0000B51F0000}"/>
    <cellStyle name="Normal 15 9 6 2 3 3" xfId="42891" xr:uid="{00000000-0005-0000-0000-0000B61F0000}"/>
    <cellStyle name="Normal 15 9 6 2 4" xfId="19677" xr:uid="{00000000-0005-0000-0000-0000B71F0000}"/>
    <cellStyle name="Normal 15 9 6 2 5" xfId="38309" xr:uid="{00000000-0005-0000-0000-0000B81F0000}"/>
    <cellStyle name="Normal 15 9 6 3" xfId="10132" xr:uid="{00000000-0005-0000-0000-0000B91F0000}"/>
    <cellStyle name="Normal 15 9 6 3 2" xfId="33617" xr:uid="{00000000-0005-0000-0000-0000BA1F0000}"/>
    <cellStyle name="Normal 15 9 6 3 3" xfId="24298" xr:uid="{00000000-0005-0000-0000-0000BB1F0000}"/>
    <cellStyle name="Normal 15 9 6 3 4" xfId="47560" xr:uid="{00000000-0005-0000-0000-0000BC1F0000}"/>
    <cellStyle name="Normal 15 9 6 4" xfId="14863" xr:uid="{00000000-0005-0000-0000-0000BD1F0000}"/>
    <cellStyle name="Normal 15 9 6 4 2" xfId="28995" xr:uid="{00000000-0005-0000-0000-0000BE1F0000}"/>
    <cellStyle name="Normal 15 9 6 4 3" xfId="42890" xr:uid="{00000000-0005-0000-0000-0000BF1F0000}"/>
    <cellStyle name="Normal 15 9 6 5" xfId="19676" xr:uid="{00000000-0005-0000-0000-0000C01F0000}"/>
    <cellStyle name="Normal 15 9 6 6" xfId="38308" xr:uid="{00000000-0005-0000-0000-0000C11F0000}"/>
    <cellStyle name="Normal 15 9 7" xfId="4239" xr:uid="{00000000-0005-0000-0000-0000C21F0000}"/>
    <cellStyle name="Normal 15 9 7 2" xfId="10134" xr:uid="{00000000-0005-0000-0000-0000C31F0000}"/>
    <cellStyle name="Normal 15 9 7 2 2" xfId="33619" xr:uid="{00000000-0005-0000-0000-0000C41F0000}"/>
    <cellStyle name="Normal 15 9 7 2 3" xfId="24300" xr:uid="{00000000-0005-0000-0000-0000C51F0000}"/>
    <cellStyle name="Normal 15 9 7 2 4" xfId="47562" xr:uid="{00000000-0005-0000-0000-0000C61F0000}"/>
    <cellStyle name="Normal 15 9 7 3" xfId="14865" xr:uid="{00000000-0005-0000-0000-0000C71F0000}"/>
    <cellStyle name="Normal 15 9 7 3 2" xfId="28997" xr:uid="{00000000-0005-0000-0000-0000C81F0000}"/>
    <cellStyle name="Normal 15 9 7 3 3" xfId="42892" xr:uid="{00000000-0005-0000-0000-0000C91F0000}"/>
    <cellStyle name="Normal 15 9 7 4" xfId="19678" xr:uid="{00000000-0005-0000-0000-0000CA1F0000}"/>
    <cellStyle name="Normal 15 9 7 5" xfId="38310" xr:uid="{00000000-0005-0000-0000-0000CB1F0000}"/>
    <cellStyle name="Normal 15 9 8" xfId="10123" xr:uid="{00000000-0005-0000-0000-0000CC1F0000}"/>
    <cellStyle name="Normal 15 9 8 2" xfId="33608" xr:uid="{00000000-0005-0000-0000-0000CD1F0000}"/>
    <cellStyle name="Normal 15 9 8 3" xfId="24289" xr:uid="{00000000-0005-0000-0000-0000CE1F0000}"/>
    <cellStyle name="Normal 15 9 8 4" xfId="47551" xr:uid="{00000000-0005-0000-0000-0000CF1F0000}"/>
    <cellStyle name="Normal 15 9 9" xfId="14854" xr:uid="{00000000-0005-0000-0000-0000D01F0000}"/>
    <cellStyle name="Normal 15 9 9 2" xfId="28986" xr:uid="{00000000-0005-0000-0000-0000D11F0000}"/>
    <cellStyle name="Normal 15 9 9 3" xfId="42881" xr:uid="{00000000-0005-0000-0000-0000D21F0000}"/>
    <cellStyle name="Normal 150" xfId="116" xr:uid="{00000000-0005-0000-0000-0000D31F0000}"/>
    <cellStyle name="Normal 151" xfId="117" xr:uid="{00000000-0005-0000-0000-0000D41F0000}"/>
    <cellStyle name="Normal 152" xfId="118" xr:uid="{00000000-0005-0000-0000-0000D51F0000}"/>
    <cellStyle name="Normal 153" xfId="119" xr:uid="{00000000-0005-0000-0000-0000D61F0000}"/>
    <cellStyle name="Normal 154" xfId="120" xr:uid="{00000000-0005-0000-0000-0000D71F0000}"/>
    <cellStyle name="Normal 155" xfId="121" xr:uid="{00000000-0005-0000-0000-0000D81F0000}"/>
    <cellStyle name="Normal 156" xfId="122" xr:uid="{00000000-0005-0000-0000-0000D91F0000}"/>
    <cellStyle name="Normal 157" xfId="123" xr:uid="{00000000-0005-0000-0000-0000DA1F0000}"/>
    <cellStyle name="Normal 158" xfId="124" xr:uid="{00000000-0005-0000-0000-0000DB1F0000}"/>
    <cellStyle name="Normal 159" xfId="125" xr:uid="{00000000-0005-0000-0000-0000DC1F0000}"/>
    <cellStyle name="Normal 16" xfId="126" xr:uid="{00000000-0005-0000-0000-0000DD1F0000}"/>
    <cellStyle name="Normal 16 10" xfId="4240" xr:uid="{00000000-0005-0000-0000-0000DE1F0000}"/>
    <cellStyle name="Normal 16 11" xfId="4241" xr:uid="{00000000-0005-0000-0000-0000DF1F0000}"/>
    <cellStyle name="Normal 16 12" xfId="4242" xr:uid="{00000000-0005-0000-0000-0000E01F0000}"/>
    <cellStyle name="Normal 16 13" xfId="4243" xr:uid="{00000000-0005-0000-0000-0000E11F0000}"/>
    <cellStyle name="Normal 16 14" xfId="4244" xr:uid="{00000000-0005-0000-0000-0000E21F0000}"/>
    <cellStyle name="Normal 16 15" xfId="405" xr:uid="{00000000-0005-0000-0000-0000E31F0000}"/>
    <cellStyle name="Normal 16 16" xfId="9507" xr:uid="{00000000-0005-0000-0000-0000E41F0000}"/>
    <cellStyle name="Normal 16 16 2" xfId="14175" xr:uid="{00000000-0005-0000-0000-0000E51F0000}"/>
    <cellStyle name="Normal 16 16 3" xfId="46922" xr:uid="{00000000-0005-0000-0000-0000E61F0000}"/>
    <cellStyle name="Normal 16 2" xfId="4245" xr:uid="{00000000-0005-0000-0000-0000E71F0000}"/>
    <cellStyle name="Normal 16 2 10" xfId="19679" xr:uid="{00000000-0005-0000-0000-0000E81F0000}"/>
    <cellStyle name="Normal 16 2 11" xfId="38311" xr:uid="{00000000-0005-0000-0000-0000E91F0000}"/>
    <cellStyle name="Normal 16 2 2" xfId="4246" xr:uid="{00000000-0005-0000-0000-0000EA1F0000}"/>
    <cellStyle name="Normal 16 2 2 2" xfId="4247" xr:uid="{00000000-0005-0000-0000-0000EB1F0000}"/>
    <cellStyle name="Normal 16 2 2 2 2" xfId="10137" xr:uid="{00000000-0005-0000-0000-0000EC1F0000}"/>
    <cellStyle name="Normal 16 2 2 2 2 2" xfId="33622" xr:uid="{00000000-0005-0000-0000-0000ED1F0000}"/>
    <cellStyle name="Normal 16 2 2 2 2 3" xfId="24303" xr:uid="{00000000-0005-0000-0000-0000EE1F0000}"/>
    <cellStyle name="Normal 16 2 2 2 2 4" xfId="47565" xr:uid="{00000000-0005-0000-0000-0000EF1F0000}"/>
    <cellStyle name="Normal 16 2 2 2 3" xfId="14868" xr:uid="{00000000-0005-0000-0000-0000F01F0000}"/>
    <cellStyle name="Normal 16 2 2 2 3 2" xfId="29000" xr:uid="{00000000-0005-0000-0000-0000F11F0000}"/>
    <cellStyle name="Normal 16 2 2 2 3 3" xfId="42895" xr:uid="{00000000-0005-0000-0000-0000F21F0000}"/>
    <cellStyle name="Normal 16 2 2 2 4" xfId="19681" xr:uid="{00000000-0005-0000-0000-0000F31F0000}"/>
    <cellStyle name="Normal 16 2 2 2 5" xfId="38313" xr:uid="{00000000-0005-0000-0000-0000F41F0000}"/>
    <cellStyle name="Normal 16 2 2 3" xfId="10136" xr:uid="{00000000-0005-0000-0000-0000F51F0000}"/>
    <cellStyle name="Normal 16 2 2 3 2" xfId="33621" xr:uid="{00000000-0005-0000-0000-0000F61F0000}"/>
    <cellStyle name="Normal 16 2 2 3 3" xfId="24302" xr:uid="{00000000-0005-0000-0000-0000F71F0000}"/>
    <cellStyle name="Normal 16 2 2 3 4" xfId="47564" xr:uid="{00000000-0005-0000-0000-0000F81F0000}"/>
    <cellStyle name="Normal 16 2 2 4" xfId="14867" xr:uid="{00000000-0005-0000-0000-0000F91F0000}"/>
    <cellStyle name="Normal 16 2 2 4 2" xfId="28999" xr:uid="{00000000-0005-0000-0000-0000FA1F0000}"/>
    <cellStyle name="Normal 16 2 2 4 3" xfId="42894" xr:uid="{00000000-0005-0000-0000-0000FB1F0000}"/>
    <cellStyle name="Normal 16 2 2 5" xfId="19680" xr:uid="{00000000-0005-0000-0000-0000FC1F0000}"/>
    <cellStyle name="Normal 16 2 2 6" xfId="38312" xr:uid="{00000000-0005-0000-0000-0000FD1F0000}"/>
    <cellStyle name="Normal 16 2 3" xfId="4248" xr:uid="{00000000-0005-0000-0000-0000FE1F0000}"/>
    <cellStyle name="Normal 16 2 3 2" xfId="4249" xr:uid="{00000000-0005-0000-0000-0000FF1F0000}"/>
    <cellStyle name="Normal 16 2 3 2 2" xfId="10139" xr:uid="{00000000-0005-0000-0000-000000200000}"/>
    <cellStyle name="Normal 16 2 3 2 2 2" xfId="33624" xr:uid="{00000000-0005-0000-0000-000001200000}"/>
    <cellStyle name="Normal 16 2 3 2 2 3" xfId="24305" xr:uid="{00000000-0005-0000-0000-000002200000}"/>
    <cellStyle name="Normal 16 2 3 2 2 4" xfId="47567" xr:uid="{00000000-0005-0000-0000-000003200000}"/>
    <cellStyle name="Normal 16 2 3 2 3" xfId="14870" xr:uid="{00000000-0005-0000-0000-000004200000}"/>
    <cellStyle name="Normal 16 2 3 2 3 2" xfId="29002" xr:uid="{00000000-0005-0000-0000-000005200000}"/>
    <cellStyle name="Normal 16 2 3 2 3 3" xfId="42897" xr:uid="{00000000-0005-0000-0000-000006200000}"/>
    <cellStyle name="Normal 16 2 3 2 4" xfId="19683" xr:uid="{00000000-0005-0000-0000-000007200000}"/>
    <cellStyle name="Normal 16 2 3 2 5" xfId="38315" xr:uid="{00000000-0005-0000-0000-000008200000}"/>
    <cellStyle name="Normal 16 2 3 3" xfId="10138" xr:uid="{00000000-0005-0000-0000-000009200000}"/>
    <cellStyle name="Normal 16 2 3 3 2" xfId="33623" xr:uid="{00000000-0005-0000-0000-00000A200000}"/>
    <cellStyle name="Normal 16 2 3 3 3" xfId="24304" xr:uid="{00000000-0005-0000-0000-00000B200000}"/>
    <cellStyle name="Normal 16 2 3 3 4" xfId="47566" xr:uid="{00000000-0005-0000-0000-00000C200000}"/>
    <cellStyle name="Normal 16 2 3 4" xfId="14869" xr:uid="{00000000-0005-0000-0000-00000D200000}"/>
    <cellStyle name="Normal 16 2 3 4 2" xfId="29001" xr:uid="{00000000-0005-0000-0000-00000E200000}"/>
    <cellStyle name="Normal 16 2 3 4 3" xfId="42896" xr:uid="{00000000-0005-0000-0000-00000F200000}"/>
    <cellStyle name="Normal 16 2 3 5" xfId="19682" xr:uid="{00000000-0005-0000-0000-000010200000}"/>
    <cellStyle name="Normal 16 2 3 6" xfId="38314" xr:uid="{00000000-0005-0000-0000-000011200000}"/>
    <cellStyle name="Normal 16 2 4" xfId="4250" xr:uid="{00000000-0005-0000-0000-000012200000}"/>
    <cellStyle name="Normal 16 2 4 2" xfId="4251" xr:uid="{00000000-0005-0000-0000-000013200000}"/>
    <cellStyle name="Normal 16 2 4 2 2" xfId="10141" xr:uid="{00000000-0005-0000-0000-000014200000}"/>
    <cellStyle name="Normal 16 2 4 2 2 2" xfId="33626" xr:uid="{00000000-0005-0000-0000-000015200000}"/>
    <cellStyle name="Normal 16 2 4 2 2 3" xfId="24307" xr:uid="{00000000-0005-0000-0000-000016200000}"/>
    <cellStyle name="Normal 16 2 4 2 2 4" xfId="47569" xr:uid="{00000000-0005-0000-0000-000017200000}"/>
    <cellStyle name="Normal 16 2 4 2 3" xfId="14872" xr:uid="{00000000-0005-0000-0000-000018200000}"/>
    <cellStyle name="Normal 16 2 4 2 3 2" xfId="29004" xr:uid="{00000000-0005-0000-0000-000019200000}"/>
    <cellStyle name="Normal 16 2 4 2 3 3" xfId="42899" xr:uid="{00000000-0005-0000-0000-00001A200000}"/>
    <cellStyle name="Normal 16 2 4 2 4" xfId="19685" xr:uid="{00000000-0005-0000-0000-00001B200000}"/>
    <cellStyle name="Normal 16 2 4 2 5" xfId="38317" xr:uid="{00000000-0005-0000-0000-00001C200000}"/>
    <cellStyle name="Normal 16 2 4 3" xfId="10140" xr:uid="{00000000-0005-0000-0000-00001D200000}"/>
    <cellStyle name="Normal 16 2 4 3 2" xfId="33625" xr:uid="{00000000-0005-0000-0000-00001E200000}"/>
    <cellStyle name="Normal 16 2 4 3 3" xfId="24306" xr:uid="{00000000-0005-0000-0000-00001F200000}"/>
    <cellStyle name="Normal 16 2 4 3 4" xfId="47568" xr:uid="{00000000-0005-0000-0000-000020200000}"/>
    <cellStyle name="Normal 16 2 4 4" xfId="14871" xr:uid="{00000000-0005-0000-0000-000021200000}"/>
    <cellStyle name="Normal 16 2 4 4 2" xfId="29003" xr:uid="{00000000-0005-0000-0000-000022200000}"/>
    <cellStyle name="Normal 16 2 4 4 3" xfId="42898" xr:uid="{00000000-0005-0000-0000-000023200000}"/>
    <cellStyle name="Normal 16 2 4 5" xfId="19684" xr:uid="{00000000-0005-0000-0000-000024200000}"/>
    <cellStyle name="Normal 16 2 4 6" xfId="38316" xr:uid="{00000000-0005-0000-0000-000025200000}"/>
    <cellStyle name="Normal 16 2 5" xfId="4252" xr:uid="{00000000-0005-0000-0000-000026200000}"/>
    <cellStyle name="Normal 16 2 5 2" xfId="4253" xr:uid="{00000000-0005-0000-0000-000027200000}"/>
    <cellStyle name="Normal 16 2 5 2 2" xfId="10143" xr:uid="{00000000-0005-0000-0000-000028200000}"/>
    <cellStyle name="Normal 16 2 5 2 2 2" xfId="33628" xr:uid="{00000000-0005-0000-0000-000029200000}"/>
    <cellStyle name="Normal 16 2 5 2 2 3" xfId="24309" xr:uid="{00000000-0005-0000-0000-00002A200000}"/>
    <cellStyle name="Normal 16 2 5 2 2 4" xfId="47571" xr:uid="{00000000-0005-0000-0000-00002B200000}"/>
    <cellStyle name="Normal 16 2 5 2 3" xfId="14874" xr:uid="{00000000-0005-0000-0000-00002C200000}"/>
    <cellStyle name="Normal 16 2 5 2 3 2" xfId="29006" xr:uid="{00000000-0005-0000-0000-00002D200000}"/>
    <cellStyle name="Normal 16 2 5 2 3 3" xfId="42901" xr:uid="{00000000-0005-0000-0000-00002E200000}"/>
    <cellStyle name="Normal 16 2 5 2 4" xfId="19687" xr:uid="{00000000-0005-0000-0000-00002F200000}"/>
    <cellStyle name="Normal 16 2 5 2 5" xfId="38319" xr:uid="{00000000-0005-0000-0000-000030200000}"/>
    <cellStyle name="Normal 16 2 5 3" xfId="10142" xr:uid="{00000000-0005-0000-0000-000031200000}"/>
    <cellStyle name="Normal 16 2 5 3 2" xfId="33627" xr:uid="{00000000-0005-0000-0000-000032200000}"/>
    <cellStyle name="Normal 16 2 5 3 3" xfId="24308" xr:uid="{00000000-0005-0000-0000-000033200000}"/>
    <cellStyle name="Normal 16 2 5 3 4" xfId="47570" xr:uid="{00000000-0005-0000-0000-000034200000}"/>
    <cellStyle name="Normal 16 2 5 4" xfId="14873" xr:uid="{00000000-0005-0000-0000-000035200000}"/>
    <cellStyle name="Normal 16 2 5 4 2" xfId="29005" xr:uid="{00000000-0005-0000-0000-000036200000}"/>
    <cellStyle name="Normal 16 2 5 4 3" xfId="42900" xr:uid="{00000000-0005-0000-0000-000037200000}"/>
    <cellStyle name="Normal 16 2 5 5" xfId="19686" xr:uid="{00000000-0005-0000-0000-000038200000}"/>
    <cellStyle name="Normal 16 2 5 6" xfId="38318" xr:uid="{00000000-0005-0000-0000-000039200000}"/>
    <cellStyle name="Normal 16 2 6" xfId="4254" xr:uid="{00000000-0005-0000-0000-00003A200000}"/>
    <cellStyle name="Normal 16 2 6 2" xfId="4255" xr:uid="{00000000-0005-0000-0000-00003B200000}"/>
    <cellStyle name="Normal 16 2 6 2 2" xfId="10145" xr:uid="{00000000-0005-0000-0000-00003C200000}"/>
    <cellStyle name="Normal 16 2 6 2 2 2" xfId="33630" xr:uid="{00000000-0005-0000-0000-00003D200000}"/>
    <cellStyle name="Normal 16 2 6 2 2 3" xfId="24311" xr:uid="{00000000-0005-0000-0000-00003E200000}"/>
    <cellStyle name="Normal 16 2 6 2 2 4" xfId="47573" xr:uid="{00000000-0005-0000-0000-00003F200000}"/>
    <cellStyle name="Normal 16 2 6 2 3" xfId="14876" xr:uid="{00000000-0005-0000-0000-000040200000}"/>
    <cellStyle name="Normal 16 2 6 2 3 2" xfId="29008" xr:uid="{00000000-0005-0000-0000-000041200000}"/>
    <cellStyle name="Normal 16 2 6 2 3 3" xfId="42903" xr:uid="{00000000-0005-0000-0000-000042200000}"/>
    <cellStyle name="Normal 16 2 6 2 4" xfId="19689" xr:uid="{00000000-0005-0000-0000-000043200000}"/>
    <cellStyle name="Normal 16 2 6 2 5" xfId="38321" xr:uid="{00000000-0005-0000-0000-000044200000}"/>
    <cellStyle name="Normal 16 2 6 3" xfId="10144" xr:uid="{00000000-0005-0000-0000-000045200000}"/>
    <cellStyle name="Normal 16 2 6 3 2" xfId="33629" xr:uid="{00000000-0005-0000-0000-000046200000}"/>
    <cellStyle name="Normal 16 2 6 3 3" xfId="24310" xr:uid="{00000000-0005-0000-0000-000047200000}"/>
    <cellStyle name="Normal 16 2 6 3 4" xfId="47572" xr:uid="{00000000-0005-0000-0000-000048200000}"/>
    <cellStyle name="Normal 16 2 6 4" xfId="14875" xr:uid="{00000000-0005-0000-0000-000049200000}"/>
    <cellStyle name="Normal 16 2 6 4 2" xfId="29007" xr:uid="{00000000-0005-0000-0000-00004A200000}"/>
    <cellStyle name="Normal 16 2 6 4 3" xfId="42902" xr:uid="{00000000-0005-0000-0000-00004B200000}"/>
    <cellStyle name="Normal 16 2 6 5" xfId="19688" xr:uid="{00000000-0005-0000-0000-00004C200000}"/>
    <cellStyle name="Normal 16 2 6 6" xfId="38320" xr:uid="{00000000-0005-0000-0000-00004D200000}"/>
    <cellStyle name="Normal 16 2 7" xfId="4256" xr:uid="{00000000-0005-0000-0000-00004E200000}"/>
    <cellStyle name="Normal 16 2 7 2" xfId="10146" xr:uid="{00000000-0005-0000-0000-00004F200000}"/>
    <cellStyle name="Normal 16 2 7 2 2" xfId="33631" xr:uid="{00000000-0005-0000-0000-000050200000}"/>
    <cellStyle name="Normal 16 2 7 2 3" xfId="24312" xr:uid="{00000000-0005-0000-0000-000051200000}"/>
    <cellStyle name="Normal 16 2 7 2 4" xfId="47574" xr:uid="{00000000-0005-0000-0000-000052200000}"/>
    <cellStyle name="Normal 16 2 7 3" xfId="14877" xr:uid="{00000000-0005-0000-0000-000053200000}"/>
    <cellStyle name="Normal 16 2 7 3 2" xfId="29009" xr:uid="{00000000-0005-0000-0000-000054200000}"/>
    <cellStyle name="Normal 16 2 7 3 3" xfId="42904" xr:uid="{00000000-0005-0000-0000-000055200000}"/>
    <cellStyle name="Normal 16 2 7 4" xfId="19690" xr:uid="{00000000-0005-0000-0000-000056200000}"/>
    <cellStyle name="Normal 16 2 7 5" xfId="38322" xr:uid="{00000000-0005-0000-0000-000057200000}"/>
    <cellStyle name="Normal 16 2 8" xfId="10135" xr:uid="{00000000-0005-0000-0000-000058200000}"/>
    <cellStyle name="Normal 16 2 8 2" xfId="33620" xr:uid="{00000000-0005-0000-0000-000059200000}"/>
    <cellStyle name="Normal 16 2 8 3" xfId="24301" xr:uid="{00000000-0005-0000-0000-00005A200000}"/>
    <cellStyle name="Normal 16 2 8 4" xfId="47563" xr:uid="{00000000-0005-0000-0000-00005B200000}"/>
    <cellStyle name="Normal 16 2 9" xfId="14866" xr:uid="{00000000-0005-0000-0000-00005C200000}"/>
    <cellStyle name="Normal 16 2 9 2" xfId="28998" xr:uid="{00000000-0005-0000-0000-00005D200000}"/>
    <cellStyle name="Normal 16 2 9 3" xfId="42893" xr:uid="{00000000-0005-0000-0000-00005E200000}"/>
    <cellStyle name="Normal 16 3" xfId="4257" xr:uid="{00000000-0005-0000-0000-00005F200000}"/>
    <cellStyle name="Normal 16 3 10" xfId="19691" xr:uid="{00000000-0005-0000-0000-000060200000}"/>
    <cellStyle name="Normal 16 3 11" xfId="38323" xr:uid="{00000000-0005-0000-0000-000061200000}"/>
    <cellStyle name="Normal 16 3 2" xfId="4258" xr:uid="{00000000-0005-0000-0000-000062200000}"/>
    <cellStyle name="Normal 16 3 2 2" xfId="4259" xr:uid="{00000000-0005-0000-0000-000063200000}"/>
    <cellStyle name="Normal 16 3 2 2 2" xfId="10149" xr:uid="{00000000-0005-0000-0000-000064200000}"/>
    <cellStyle name="Normal 16 3 2 2 2 2" xfId="33634" xr:uid="{00000000-0005-0000-0000-000065200000}"/>
    <cellStyle name="Normal 16 3 2 2 2 3" xfId="24315" xr:uid="{00000000-0005-0000-0000-000066200000}"/>
    <cellStyle name="Normal 16 3 2 2 2 4" xfId="47577" xr:uid="{00000000-0005-0000-0000-000067200000}"/>
    <cellStyle name="Normal 16 3 2 2 3" xfId="14880" xr:uid="{00000000-0005-0000-0000-000068200000}"/>
    <cellStyle name="Normal 16 3 2 2 3 2" xfId="29012" xr:uid="{00000000-0005-0000-0000-000069200000}"/>
    <cellStyle name="Normal 16 3 2 2 3 3" xfId="42907" xr:uid="{00000000-0005-0000-0000-00006A200000}"/>
    <cellStyle name="Normal 16 3 2 2 4" xfId="19693" xr:uid="{00000000-0005-0000-0000-00006B200000}"/>
    <cellStyle name="Normal 16 3 2 2 5" xfId="38325" xr:uid="{00000000-0005-0000-0000-00006C200000}"/>
    <cellStyle name="Normal 16 3 2 3" xfId="10148" xr:uid="{00000000-0005-0000-0000-00006D200000}"/>
    <cellStyle name="Normal 16 3 2 3 2" xfId="33633" xr:uid="{00000000-0005-0000-0000-00006E200000}"/>
    <cellStyle name="Normal 16 3 2 3 3" xfId="24314" xr:uid="{00000000-0005-0000-0000-00006F200000}"/>
    <cellStyle name="Normal 16 3 2 3 4" xfId="47576" xr:uid="{00000000-0005-0000-0000-000070200000}"/>
    <cellStyle name="Normal 16 3 2 4" xfId="14879" xr:uid="{00000000-0005-0000-0000-000071200000}"/>
    <cellStyle name="Normal 16 3 2 4 2" xfId="29011" xr:uid="{00000000-0005-0000-0000-000072200000}"/>
    <cellStyle name="Normal 16 3 2 4 3" xfId="42906" xr:uid="{00000000-0005-0000-0000-000073200000}"/>
    <cellStyle name="Normal 16 3 2 5" xfId="19692" xr:uid="{00000000-0005-0000-0000-000074200000}"/>
    <cellStyle name="Normal 16 3 2 6" xfId="38324" xr:uid="{00000000-0005-0000-0000-000075200000}"/>
    <cellStyle name="Normal 16 3 3" xfId="4260" xr:uid="{00000000-0005-0000-0000-000076200000}"/>
    <cellStyle name="Normal 16 3 3 2" xfId="4261" xr:uid="{00000000-0005-0000-0000-000077200000}"/>
    <cellStyle name="Normal 16 3 3 2 2" xfId="10151" xr:uid="{00000000-0005-0000-0000-000078200000}"/>
    <cellStyle name="Normal 16 3 3 2 2 2" xfId="33636" xr:uid="{00000000-0005-0000-0000-000079200000}"/>
    <cellStyle name="Normal 16 3 3 2 2 3" xfId="24317" xr:uid="{00000000-0005-0000-0000-00007A200000}"/>
    <cellStyle name="Normal 16 3 3 2 2 4" xfId="47579" xr:uid="{00000000-0005-0000-0000-00007B200000}"/>
    <cellStyle name="Normal 16 3 3 2 3" xfId="14882" xr:uid="{00000000-0005-0000-0000-00007C200000}"/>
    <cellStyle name="Normal 16 3 3 2 3 2" xfId="29014" xr:uid="{00000000-0005-0000-0000-00007D200000}"/>
    <cellStyle name="Normal 16 3 3 2 3 3" xfId="42909" xr:uid="{00000000-0005-0000-0000-00007E200000}"/>
    <cellStyle name="Normal 16 3 3 2 4" xfId="19695" xr:uid="{00000000-0005-0000-0000-00007F200000}"/>
    <cellStyle name="Normal 16 3 3 2 5" xfId="38327" xr:uid="{00000000-0005-0000-0000-000080200000}"/>
    <cellStyle name="Normal 16 3 3 3" xfId="10150" xr:uid="{00000000-0005-0000-0000-000081200000}"/>
    <cellStyle name="Normal 16 3 3 3 2" xfId="33635" xr:uid="{00000000-0005-0000-0000-000082200000}"/>
    <cellStyle name="Normal 16 3 3 3 3" xfId="24316" xr:uid="{00000000-0005-0000-0000-000083200000}"/>
    <cellStyle name="Normal 16 3 3 3 4" xfId="47578" xr:uid="{00000000-0005-0000-0000-000084200000}"/>
    <cellStyle name="Normal 16 3 3 4" xfId="14881" xr:uid="{00000000-0005-0000-0000-000085200000}"/>
    <cellStyle name="Normal 16 3 3 4 2" xfId="29013" xr:uid="{00000000-0005-0000-0000-000086200000}"/>
    <cellStyle name="Normal 16 3 3 4 3" xfId="42908" xr:uid="{00000000-0005-0000-0000-000087200000}"/>
    <cellStyle name="Normal 16 3 3 5" xfId="19694" xr:uid="{00000000-0005-0000-0000-000088200000}"/>
    <cellStyle name="Normal 16 3 3 6" xfId="38326" xr:uid="{00000000-0005-0000-0000-000089200000}"/>
    <cellStyle name="Normal 16 3 4" xfId="4262" xr:uid="{00000000-0005-0000-0000-00008A200000}"/>
    <cellStyle name="Normal 16 3 4 2" xfId="4263" xr:uid="{00000000-0005-0000-0000-00008B200000}"/>
    <cellStyle name="Normal 16 3 4 2 2" xfId="10153" xr:uid="{00000000-0005-0000-0000-00008C200000}"/>
    <cellStyle name="Normal 16 3 4 2 2 2" xfId="33638" xr:uid="{00000000-0005-0000-0000-00008D200000}"/>
    <cellStyle name="Normal 16 3 4 2 2 3" xfId="24319" xr:uid="{00000000-0005-0000-0000-00008E200000}"/>
    <cellStyle name="Normal 16 3 4 2 2 4" xfId="47581" xr:uid="{00000000-0005-0000-0000-00008F200000}"/>
    <cellStyle name="Normal 16 3 4 2 3" xfId="14884" xr:uid="{00000000-0005-0000-0000-000090200000}"/>
    <cellStyle name="Normal 16 3 4 2 3 2" xfId="29016" xr:uid="{00000000-0005-0000-0000-000091200000}"/>
    <cellStyle name="Normal 16 3 4 2 3 3" xfId="42911" xr:uid="{00000000-0005-0000-0000-000092200000}"/>
    <cellStyle name="Normal 16 3 4 2 4" xfId="19697" xr:uid="{00000000-0005-0000-0000-000093200000}"/>
    <cellStyle name="Normal 16 3 4 2 5" xfId="38329" xr:uid="{00000000-0005-0000-0000-000094200000}"/>
    <cellStyle name="Normal 16 3 4 3" xfId="10152" xr:uid="{00000000-0005-0000-0000-000095200000}"/>
    <cellStyle name="Normal 16 3 4 3 2" xfId="33637" xr:uid="{00000000-0005-0000-0000-000096200000}"/>
    <cellStyle name="Normal 16 3 4 3 3" xfId="24318" xr:uid="{00000000-0005-0000-0000-000097200000}"/>
    <cellStyle name="Normal 16 3 4 3 4" xfId="47580" xr:uid="{00000000-0005-0000-0000-000098200000}"/>
    <cellStyle name="Normal 16 3 4 4" xfId="14883" xr:uid="{00000000-0005-0000-0000-000099200000}"/>
    <cellStyle name="Normal 16 3 4 4 2" xfId="29015" xr:uid="{00000000-0005-0000-0000-00009A200000}"/>
    <cellStyle name="Normal 16 3 4 4 3" xfId="42910" xr:uid="{00000000-0005-0000-0000-00009B200000}"/>
    <cellStyle name="Normal 16 3 4 5" xfId="19696" xr:uid="{00000000-0005-0000-0000-00009C200000}"/>
    <cellStyle name="Normal 16 3 4 6" xfId="38328" xr:uid="{00000000-0005-0000-0000-00009D200000}"/>
    <cellStyle name="Normal 16 3 5" xfId="4264" xr:uid="{00000000-0005-0000-0000-00009E200000}"/>
    <cellStyle name="Normal 16 3 5 2" xfId="4265" xr:uid="{00000000-0005-0000-0000-00009F200000}"/>
    <cellStyle name="Normal 16 3 5 2 2" xfId="10155" xr:uid="{00000000-0005-0000-0000-0000A0200000}"/>
    <cellStyle name="Normal 16 3 5 2 2 2" xfId="33640" xr:uid="{00000000-0005-0000-0000-0000A1200000}"/>
    <cellStyle name="Normal 16 3 5 2 2 3" xfId="24321" xr:uid="{00000000-0005-0000-0000-0000A2200000}"/>
    <cellStyle name="Normal 16 3 5 2 2 4" xfId="47583" xr:uid="{00000000-0005-0000-0000-0000A3200000}"/>
    <cellStyle name="Normal 16 3 5 2 3" xfId="14886" xr:uid="{00000000-0005-0000-0000-0000A4200000}"/>
    <cellStyle name="Normal 16 3 5 2 3 2" xfId="29018" xr:uid="{00000000-0005-0000-0000-0000A5200000}"/>
    <cellStyle name="Normal 16 3 5 2 3 3" xfId="42913" xr:uid="{00000000-0005-0000-0000-0000A6200000}"/>
    <cellStyle name="Normal 16 3 5 2 4" xfId="19699" xr:uid="{00000000-0005-0000-0000-0000A7200000}"/>
    <cellStyle name="Normal 16 3 5 2 5" xfId="38331" xr:uid="{00000000-0005-0000-0000-0000A8200000}"/>
    <cellStyle name="Normal 16 3 5 3" xfId="10154" xr:uid="{00000000-0005-0000-0000-0000A9200000}"/>
    <cellStyle name="Normal 16 3 5 3 2" xfId="33639" xr:uid="{00000000-0005-0000-0000-0000AA200000}"/>
    <cellStyle name="Normal 16 3 5 3 3" xfId="24320" xr:uid="{00000000-0005-0000-0000-0000AB200000}"/>
    <cellStyle name="Normal 16 3 5 3 4" xfId="47582" xr:uid="{00000000-0005-0000-0000-0000AC200000}"/>
    <cellStyle name="Normal 16 3 5 4" xfId="14885" xr:uid="{00000000-0005-0000-0000-0000AD200000}"/>
    <cellStyle name="Normal 16 3 5 4 2" xfId="29017" xr:uid="{00000000-0005-0000-0000-0000AE200000}"/>
    <cellStyle name="Normal 16 3 5 4 3" xfId="42912" xr:uid="{00000000-0005-0000-0000-0000AF200000}"/>
    <cellStyle name="Normal 16 3 5 5" xfId="19698" xr:uid="{00000000-0005-0000-0000-0000B0200000}"/>
    <cellStyle name="Normal 16 3 5 6" xfId="38330" xr:uid="{00000000-0005-0000-0000-0000B1200000}"/>
    <cellStyle name="Normal 16 3 6" xfId="4266" xr:uid="{00000000-0005-0000-0000-0000B2200000}"/>
    <cellStyle name="Normal 16 3 6 2" xfId="4267" xr:uid="{00000000-0005-0000-0000-0000B3200000}"/>
    <cellStyle name="Normal 16 3 6 2 2" xfId="10157" xr:uid="{00000000-0005-0000-0000-0000B4200000}"/>
    <cellStyle name="Normal 16 3 6 2 2 2" xfId="33642" xr:uid="{00000000-0005-0000-0000-0000B5200000}"/>
    <cellStyle name="Normal 16 3 6 2 2 3" xfId="24323" xr:uid="{00000000-0005-0000-0000-0000B6200000}"/>
    <cellStyle name="Normal 16 3 6 2 2 4" xfId="47585" xr:uid="{00000000-0005-0000-0000-0000B7200000}"/>
    <cellStyle name="Normal 16 3 6 2 3" xfId="14888" xr:uid="{00000000-0005-0000-0000-0000B8200000}"/>
    <cellStyle name="Normal 16 3 6 2 3 2" xfId="29020" xr:uid="{00000000-0005-0000-0000-0000B9200000}"/>
    <cellStyle name="Normal 16 3 6 2 3 3" xfId="42915" xr:uid="{00000000-0005-0000-0000-0000BA200000}"/>
    <cellStyle name="Normal 16 3 6 2 4" xfId="19701" xr:uid="{00000000-0005-0000-0000-0000BB200000}"/>
    <cellStyle name="Normal 16 3 6 2 5" xfId="38333" xr:uid="{00000000-0005-0000-0000-0000BC200000}"/>
    <cellStyle name="Normal 16 3 6 3" xfId="10156" xr:uid="{00000000-0005-0000-0000-0000BD200000}"/>
    <cellStyle name="Normal 16 3 6 3 2" xfId="33641" xr:uid="{00000000-0005-0000-0000-0000BE200000}"/>
    <cellStyle name="Normal 16 3 6 3 3" xfId="24322" xr:uid="{00000000-0005-0000-0000-0000BF200000}"/>
    <cellStyle name="Normal 16 3 6 3 4" xfId="47584" xr:uid="{00000000-0005-0000-0000-0000C0200000}"/>
    <cellStyle name="Normal 16 3 6 4" xfId="14887" xr:uid="{00000000-0005-0000-0000-0000C1200000}"/>
    <cellStyle name="Normal 16 3 6 4 2" xfId="29019" xr:uid="{00000000-0005-0000-0000-0000C2200000}"/>
    <cellStyle name="Normal 16 3 6 4 3" xfId="42914" xr:uid="{00000000-0005-0000-0000-0000C3200000}"/>
    <cellStyle name="Normal 16 3 6 5" xfId="19700" xr:uid="{00000000-0005-0000-0000-0000C4200000}"/>
    <cellStyle name="Normal 16 3 6 6" xfId="38332" xr:uid="{00000000-0005-0000-0000-0000C5200000}"/>
    <cellStyle name="Normal 16 3 7" xfId="4268" xr:uid="{00000000-0005-0000-0000-0000C6200000}"/>
    <cellStyle name="Normal 16 3 7 2" xfId="10158" xr:uid="{00000000-0005-0000-0000-0000C7200000}"/>
    <cellStyle name="Normal 16 3 7 2 2" xfId="33643" xr:uid="{00000000-0005-0000-0000-0000C8200000}"/>
    <cellStyle name="Normal 16 3 7 2 3" xfId="24324" xr:uid="{00000000-0005-0000-0000-0000C9200000}"/>
    <cellStyle name="Normal 16 3 7 2 4" xfId="47586" xr:uid="{00000000-0005-0000-0000-0000CA200000}"/>
    <cellStyle name="Normal 16 3 7 3" xfId="14889" xr:uid="{00000000-0005-0000-0000-0000CB200000}"/>
    <cellStyle name="Normal 16 3 7 3 2" xfId="29021" xr:uid="{00000000-0005-0000-0000-0000CC200000}"/>
    <cellStyle name="Normal 16 3 7 3 3" xfId="42916" xr:uid="{00000000-0005-0000-0000-0000CD200000}"/>
    <cellStyle name="Normal 16 3 7 4" xfId="19702" xr:uid="{00000000-0005-0000-0000-0000CE200000}"/>
    <cellStyle name="Normal 16 3 7 5" xfId="38334" xr:uid="{00000000-0005-0000-0000-0000CF200000}"/>
    <cellStyle name="Normal 16 3 8" xfId="10147" xr:uid="{00000000-0005-0000-0000-0000D0200000}"/>
    <cellStyle name="Normal 16 3 8 2" xfId="33632" xr:uid="{00000000-0005-0000-0000-0000D1200000}"/>
    <cellStyle name="Normal 16 3 8 3" xfId="24313" xr:uid="{00000000-0005-0000-0000-0000D2200000}"/>
    <cellStyle name="Normal 16 3 8 4" xfId="47575" xr:uid="{00000000-0005-0000-0000-0000D3200000}"/>
    <cellStyle name="Normal 16 3 9" xfId="14878" xr:uid="{00000000-0005-0000-0000-0000D4200000}"/>
    <cellStyle name="Normal 16 3 9 2" xfId="29010" xr:uid="{00000000-0005-0000-0000-0000D5200000}"/>
    <cellStyle name="Normal 16 3 9 3" xfId="42905" xr:uid="{00000000-0005-0000-0000-0000D6200000}"/>
    <cellStyle name="Normal 16 4" xfId="4269" xr:uid="{00000000-0005-0000-0000-0000D7200000}"/>
    <cellStyle name="Normal 16 4 10" xfId="19703" xr:uid="{00000000-0005-0000-0000-0000D8200000}"/>
    <cellStyle name="Normal 16 4 11" xfId="38335" xr:uid="{00000000-0005-0000-0000-0000D9200000}"/>
    <cellStyle name="Normal 16 4 2" xfId="4270" xr:uid="{00000000-0005-0000-0000-0000DA200000}"/>
    <cellStyle name="Normal 16 4 2 2" xfId="4271" xr:uid="{00000000-0005-0000-0000-0000DB200000}"/>
    <cellStyle name="Normal 16 4 2 2 2" xfId="10161" xr:uid="{00000000-0005-0000-0000-0000DC200000}"/>
    <cellStyle name="Normal 16 4 2 2 2 2" xfId="33646" xr:uid="{00000000-0005-0000-0000-0000DD200000}"/>
    <cellStyle name="Normal 16 4 2 2 2 3" xfId="24327" xr:uid="{00000000-0005-0000-0000-0000DE200000}"/>
    <cellStyle name="Normal 16 4 2 2 2 4" xfId="47589" xr:uid="{00000000-0005-0000-0000-0000DF200000}"/>
    <cellStyle name="Normal 16 4 2 2 3" xfId="14892" xr:uid="{00000000-0005-0000-0000-0000E0200000}"/>
    <cellStyle name="Normal 16 4 2 2 3 2" xfId="29024" xr:uid="{00000000-0005-0000-0000-0000E1200000}"/>
    <cellStyle name="Normal 16 4 2 2 3 3" xfId="42919" xr:uid="{00000000-0005-0000-0000-0000E2200000}"/>
    <cellStyle name="Normal 16 4 2 2 4" xfId="19705" xr:uid="{00000000-0005-0000-0000-0000E3200000}"/>
    <cellStyle name="Normal 16 4 2 2 5" xfId="38337" xr:uid="{00000000-0005-0000-0000-0000E4200000}"/>
    <cellStyle name="Normal 16 4 2 3" xfId="10160" xr:uid="{00000000-0005-0000-0000-0000E5200000}"/>
    <cellStyle name="Normal 16 4 2 3 2" xfId="33645" xr:uid="{00000000-0005-0000-0000-0000E6200000}"/>
    <cellStyle name="Normal 16 4 2 3 3" xfId="24326" xr:uid="{00000000-0005-0000-0000-0000E7200000}"/>
    <cellStyle name="Normal 16 4 2 3 4" xfId="47588" xr:uid="{00000000-0005-0000-0000-0000E8200000}"/>
    <cellStyle name="Normal 16 4 2 4" xfId="14891" xr:uid="{00000000-0005-0000-0000-0000E9200000}"/>
    <cellStyle name="Normal 16 4 2 4 2" xfId="29023" xr:uid="{00000000-0005-0000-0000-0000EA200000}"/>
    <cellStyle name="Normal 16 4 2 4 3" xfId="42918" xr:uid="{00000000-0005-0000-0000-0000EB200000}"/>
    <cellStyle name="Normal 16 4 2 5" xfId="19704" xr:uid="{00000000-0005-0000-0000-0000EC200000}"/>
    <cellStyle name="Normal 16 4 2 6" xfId="38336" xr:uid="{00000000-0005-0000-0000-0000ED200000}"/>
    <cellStyle name="Normal 16 4 3" xfId="4272" xr:uid="{00000000-0005-0000-0000-0000EE200000}"/>
    <cellStyle name="Normal 16 4 3 2" xfId="4273" xr:uid="{00000000-0005-0000-0000-0000EF200000}"/>
    <cellStyle name="Normal 16 4 3 2 2" xfId="10163" xr:uid="{00000000-0005-0000-0000-0000F0200000}"/>
    <cellStyle name="Normal 16 4 3 2 2 2" xfId="33648" xr:uid="{00000000-0005-0000-0000-0000F1200000}"/>
    <cellStyle name="Normal 16 4 3 2 2 3" xfId="24329" xr:uid="{00000000-0005-0000-0000-0000F2200000}"/>
    <cellStyle name="Normal 16 4 3 2 2 4" xfId="47591" xr:uid="{00000000-0005-0000-0000-0000F3200000}"/>
    <cellStyle name="Normal 16 4 3 2 3" xfId="14894" xr:uid="{00000000-0005-0000-0000-0000F4200000}"/>
    <cellStyle name="Normal 16 4 3 2 3 2" xfId="29026" xr:uid="{00000000-0005-0000-0000-0000F5200000}"/>
    <cellStyle name="Normal 16 4 3 2 3 3" xfId="42921" xr:uid="{00000000-0005-0000-0000-0000F6200000}"/>
    <cellStyle name="Normal 16 4 3 2 4" xfId="19707" xr:uid="{00000000-0005-0000-0000-0000F7200000}"/>
    <cellStyle name="Normal 16 4 3 2 5" xfId="38339" xr:uid="{00000000-0005-0000-0000-0000F8200000}"/>
    <cellStyle name="Normal 16 4 3 3" xfId="10162" xr:uid="{00000000-0005-0000-0000-0000F9200000}"/>
    <cellStyle name="Normal 16 4 3 3 2" xfId="33647" xr:uid="{00000000-0005-0000-0000-0000FA200000}"/>
    <cellStyle name="Normal 16 4 3 3 3" xfId="24328" xr:uid="{00000000-0005-0000-0000-0000FB200000}"/>
    <cellStyle name="Normal 16 4 3 3 4" xfId="47590" xr:uid="{00000000-0005-0000-0000-0000FC200000}"/>
    <cellStyle name="Normal 16 4 3 4" xfId="14893" xr:uid="{00000000-0005-0000-0000-0000FD200000}"/>
    <cellStyle name="Normal 16 4 3 4 2" xfId="29025" xr:uid="{00000000-0005-0000-0000-0000FE200000}"/>
    <cellStyle name="Normal 16 4 3 4 3" xfId="42920" xr:uid="{00000000-0005-0000-0000-0000FF200000}"/>
    <cellStyle name="Normal 16 4 3 5" xfId="19706" xr:uid="{00000000-0005-0000-0000-000000210000}"/>
    <cellStyle name="Normal 16 4 3 6" xfId="38338" xr:uid="{00000000-0005-0000-0000-000001210000}"/>
    <cellStyle name="Normal 16 4 4" xfId="4274" xr:uid="{00000000-0005-0000-0000-000002210000}"/>
    <cellStyle name="Normal 16 4 4 2" xfId="4275" xr:uid="{00000000-0005-0000-0000-000003210000}"/>
    <cellStyle name="Normal 16 4 4 2 2" xfId="10165" xr:uid="{00000000-0005-0000-0000-000004210000}"/>
    <cellStyle name="Normal 16 4 4 2 2 2" xfId="33650" xr:uid="{00000000-0005-0000-0000-000005210000}"/>
    <cellStyle name="Normal 16 4 4 2 2 3" xfId="24331" xr:uid="{00000000-0005-0000-0000-000006210000}"/>
    <cellStyle name="Normal 16 4 4 2 2 4" xfId="47593" xr:uid="{00000000-0005-0000-0000-000007210000}"/>
    <cellStyle name="Normal 16 4 4 2 3" xfId="14896" xr:uid="{00000000-0005-0000-0000-000008210000}"/>
    <cellStyle name="Normal 16 4 4 2 3 2" xfId="29028" xr:uid="{00000000-0005-0000-0000-000009210000}"/>
    <cellStyle name="Normal 16 4 4 2 3 3" xfId="42923" xr:uid="{00000000-0005-0000-0000-00000A210000}"/>
    <cellStyle name="Normal 16 4 4 2 4" xfId="19709" xr:uid="{00000000-0005-0000-0000-00000B210000}"/>
    <cellStyle name="Normal 16 4 4 2 5" xfId="38341" xr:uid="{00000000-0005-0000-0000-00000C210000}"/>
    <cellStyle name="Normal 16 4 4 3" xfId="10164" xr:uid="{00000000-0005-0000-0000-00000D210000}"/>
    <cellStyle name="Normal 16 4 4 3 2" xfId="33649" xr:uid="{00000000-0005-0000-0000-00000E210000}"/>
    <cellStyle name="Normal 16 4 4 3 3" xfId="24330" xr:uid="{00000000-0005-0000-0000-00000F210000}"/>
    <cellStyle name="Normal 16 4 4 3 4" xfId="47592" xr:uid="{00000000-0005-0000-0000-000010210000}"/>
    <cellStyle name="Normal 16 4 4 4" xfId="14895" xr:uid="{00000000-0005-0000-0000-000011210000}"/>
    <cellStyle name="Normal 16 4 4 4 2" xfId="29027" xr:uid="{00000000-0005-0000-0000-000012210000}"/>
    <cellStyle name="Normal 16 4 4 4 3" xfId="42922" xr:uid="{00000000-0005-0000-0000-000013210000}"/>
    <cellStyle name="Normal 16 4 4 5" xfId="19708" xr:uid="{00000000-0005-0000-0000-000014210000}"/>
    <cellStyle name="Normal 16 4 4 6" xfId="38340" xr:uid="{00000000-0005-0000-0000-000015210000}"/>
    <cellStyle name="Normal 16 4 5" xfId="4276" xr:uid="{00000000-0005-0000-0000-000016210000}"/>
    <cellStyle name="Normal 16 4 5 2" xfId="4277" xr:uid="{00000000-0005-0000-0000-000017210000}"/>
    <cellStyle name="Normal 16 4 5 2 2" xfId="10167" xr:uid="{00000000-0005-0000-0000-000018210000}"/>
    <cellStyle name="Normal 16 4 5 2 2 2" xfId="33652" xr:uid="{00000000-0005-0000-0000-000019210000}"/>
    <cellStyle name="Normal 16 4 5 2 2 3" xfId="24333" xr:uid="{00000000-0005-0000-0000-00001A210000}"/>
    <cellStyle name="Normal 16 4 5 2 2 4" xfId="47595" xr:uid="{00000000-0005-0000-0000-00001B210000}"/>
    <cellStyle name="Normal 16 4 5 2 3" xfId="14898" xr:uid="{00000000-0005-0000-0000-00001C210000}"/>
    <cellStyle name="Normal 16 4 5 2 3 2" xfId="29030" xr:uid="{00000000-0005-0000-0000-00001D210000}"/>
    <cellStyle name="Normal 16 4 5 2 3 3" xfId="42925" xr:uid="{00000000-0005-0000-0000-00001E210000}"/>
    <cellStyle name="Normal 16 4 5 2 4" xfId="19711" xr:uid="{00000000-0005-0000-0000-00001F210000}"/>
    <cellStyle name="Normal 16 4 5 2 5" xfId="38343" xr:uid="{00000000-0005-0000-0000-000020210000}"/>
    <cellStyle name="Normal 16 4 5 3" xfId="10166" xr:uid="{00000000-0005-0000-0000-000021210000}"/>
    <cellStyle name="Normal 16 4 5 3 2" xfId="33651" xr:uid="{00000000-0005-0000-0000-000022210000}"/>
    <cellStyle name="Normal 16 4 5 3 3" xfId="24332" xr:uid="{00000000-0005-0000-0000-000023210000}"/>
    <cellStyle name="Normal 16 4 5 3 4" xfId="47594" xr:uid="{00000000-0005-0000-0000-000024210000}"/>
    <cellStyle name="Normal 16 4 5 4" xfId="14897" xr:uid="{00000000-0005-0000-0000-000025210000}"/>
    <cellStyle name="Normal 16 4 5 4 2" xfId="29029" xr:uid="{00000000-0005-0000-0000-000026210000}"/>
    <cellStyle name="Normal 16 4 5 4 3" xfId="42924" xr:uid="{00000000-0005-0000-0000-000027210000}"/>
    <cellStyle name="Normal 16 4 5 5" xfId="19710" xr:uid="{00000000-0005-0000-0000-000028210000}"/>
    <cellStyle name="Normal 16 4 5 6" xfId="38342" xr:uid="{00000000-0005-0000-0000-000029210000}"/>
    <cellStyle name="Normal 16 4 6" xfId="4278" xr:uid="{00000000-0005-0000-0000-00002A210000}"/>
    <cellStyle name="Normal 16 4 6 2" xfId="4279" xr:uid="{00000000-0005-0000-0000-00002B210000}"/>
    <cellStyle name="Normal 16 4 6 2 2" xfId="10169" xr:uid="{00000000-0005-0000-0000-00002C210000}"/>
    <cellStyle name="Normal 16 4 6 2 2 2" xfId="33654" xr:uid="{00000000-0005-0000-0000-00002D210000}"/>
    <cellStyle name="Normal 16 4 6 2 2 3" xfId="24335" xr:uid="{00000000-0005-0000-0000-00002E210000}"/>
    <cellStyle name="Normal 16 4 6 2 2 4" xfId="47597" xr:uid="{00000000-0005-0000-0000-00002F210000}"/>
    <cellStyle name="Normal 16 4 6 2 3" xfId="14900" xr:uid="{00000000-0005-0000-0000-000030210000}"/>
    <cellStyle name="Normal 16 4 6 2 3 2" xfId="29032" xr:uid="{00000000-0005-0000-0000-000031210000}"/>
    <cellStyle name="Normal 16 4 6 2 3 3" xfId="42927" xr:uid="{00000000-0005-0000-0000-000032210000}"/>
    <cellStyle name="Normal 16 4 6 2 4" xfId="19713" xr:uid="{00000000-0005-0000-0000-000033210000}"/>
    <cellStyle name="Normal 16 4 6 2 5" xfId="38345" xr:uid="{00000000-0005-0000-0000-000034210000}"/>
    <cellStyle name="Normal 16 4 6 3" xfId="10168" xr:uid="{00000000-0005-0000-0000-000035210000}"/>
    <cellStyle name="Normal 16 4 6 3 2" xfId="33653" xr:uid="{00000000-0005-0000-0000-000036210000}"/>
    <cellStyle name="Normal 16 4 6 3 3" xfId="24334" xr:uid="{00000000-0005-0000-0000-000037210000}"/>
    <cellStyle name="Normal 16 4 6 3 4" xfId="47596" xr:uid="{00000000-0005-0000-0000-000038210000}"/>
    <cellStyle name="Normal 16 4 6 4" xfId="14899" xr:uid="{00000000-0005-0000-0000-000039210000}"/>
    <cellStyle name="Normal 16 4 6 4 2" xfId="29031" xr:uid="{00000000-0005-0000-0000-00003A210000}"/>
    <cellStyle name="Normal 16 4 6 4 3" xfId="42926" xr:uid="{00000000-0005-0000-0000-00003B210000}"/>
    <cellStyle name="Normal 16 4 6 5" xfId="19712" xr:uid="{00000000-0005-0000-0000-00003C210000}"/>
    <cellStyle name="Normal 16 4 6 6" xfId="38344" xr:uid="{00000000-0005-0000-0000-00003D210000}"/>
    <cellStyle name="Normal 16 4 7" xfId="4280" xr:uid="{00000000-0005-0000-0000-00003E210000}"/>
    <cellStyle name="Normal 16 4 7 2" xfId="10170" xr:uid="{00000000-0005-0000-0000-00003F210000}"/>
    <cellStyle name="Normal 16 4 7 2 2" xfId="33655" xr:uid="{00000000-0005-0000-0000-000040210000}"/>
    <cellStyle name="Normal 16 4 7 2 3" xfId="24336" xr:uid="{00000000-0005-0000-0000-000041210000}"/>
    <cellStyle name="Normal 16 4 7 2 4" xfId="47598" xr:uid="{00000000-0005-0000-0000-000042210000}"/>
    <cellStyle name="Normal 16 4 7 3" xfId="14901" xr:uid="{00000000-0005-0000-0000-000043210000}"/>
    <cellStyle name="Normal 16 4 7 3 2" xfId="29033" xr:uid="{00000000-0005-0000-0000-000044210000}"/>
    <cellStyle name="Normal 16 4 7 3 3" xfId="42928" xr:uid="{00000000-0005-0000-0000-000045210000}"/>
    <cellStyle name="Normal 16 4 7 4" xfId="19714" xr:uid="{00000000-0005-0000-0000-000046210000}"/>
    <cellStyle name="Normal 16 4 7 5" xfId="38346" xr:uid="{00000000-0005-0000-0000-000047210000}"/>
    <cellStyle name="Normal 16 4 8" xfId="10159" xr:uid="{00000000-0005-0000-0000-000048210000}"/>
    <cellStyle name="Normal 16 4 8 2" xfId="33644" xr:uid="{00000000-0005-0000-0000-000049210000}"/>
    <cellStyle name="Normal 16 4 8 3" xfId="24325" xr:uid="{00000000-0005-0000-0000-00004A210000}"/>
    <cellStyle name="Normal 16 4 8 4" xfId="47587" xr:uid="{00000000-0005-0000-0000-00004B210000}"/>
    <cellStyle name="Normal 16 4 9" xfId="14890" xr:uid="{00000000-0005-0000-0000-00004C210000}"/>
    <cellStyle name="Normal 16 4 9 2" xfId="29022" xr:uid="{00000000-0005-0000-0000-00004D210000}"/>
    <cellStyle name="Normal 16 4 9 3" xfId="42917" xr:uid="{00000000-0005-0000-0000-00004E210000}"/>
    <cellStyle name="Normal 16 5" xfId="4281" xr:uid="{00000000-0005-0000-0000-00004F210000}"/>
    <cellStyle name="Normal 16 5 10" xfId="19715" xr:uid="{00000000-0005-0000-0000-000050210000}"/>
    <cellStyle name="Normal 16 5 11" xfId="38347" xr:uid="{00000000-0005-0000-0000-000051210000}"/>
    <cellStyle name="Normal 16 5 2" xfId="4282" xr:uid="{00000000-0005-0000-0000-000052210000}"/>
    <cellStyle name="Normal 16 5 2 2" xfId="4283" xr:uid="{00000000-0005-0000-0000-000053210000}"/>
    <cellStyle name="Normal 16 5 2 2 2" xfId="10173" xr:uid="{00000000-0005-0000-0000-000054210000}"/>
    <cellStyle name="Normal 16 5 2 2 2 2" xfId="33658" xr:uid="{00000000-0005-0000-0000-000055210000}"/>
    <cellStyle name="Normal 16 5 2 2 2 3" xfId="24339" xr:uid="{00000000-0005-0000-0000-000056210000}"/>
    <cellStyle name="Normal 16 5 2 2 2 4" xfId="47601" xr:uid="{00000000-0005-0000-0000-000057210000}"/>
    <cellStyle name="Normal 16 5 2 2 3" xfId="14904" xr:uid="{00000000-0005-0000-0000-000058210000}"/>
    <cellStyle name="Normal 16 5 2 2 3 2" xfId="29036" xr:uid="{00000000-0005-0000-0000-000059210000}"/>
    <cellStyle name="Normal 16 5 2 2 3 3" xfId="42931" xr:uid="{00000000-0005-0000-0000-00005A210000}"/>
    <cellStyle name="Normal 16 5 2 2 4" xfId="19717" xr:uid="{00000000-0005-0000-0000-00005B210000}"/>
    <cellStyle name="Normal 16 5 2 2 5" xfId="38349" xr:uid="{00000000-0005-0000-0000-00005C210000}"/>
    <cellStyle name="Normal 16 5 2 3" xfId="10172" xr:uid="{00000000-0005-0000-0000-00005D210000}"/>
    <cellStyle name="Normal 16 5 2 3 2" xfId="33657" xr:uid="{00000000-0005-0000-0000-00005E210000}"/>
    <cellStyle name="Normal 16 5 2 3 3" xfId="24338" xr:uid="{00000000-0005-0000-0000-00005F210000}"/>
    <cellStyle name="Normal 16 5 2 3 4" xfId="47600" xr:uid="{00000000-0005-0000-0000-000060210000}"/>
    <cellStyle name="Normal 16 5 2 4" xfId="14903" xr:uid="{00000000-0005-0000-0000-000061210000}"/>
    <cellStyle name="Normal 16 5 2 4 2" xfId="29035" xr:uid="{00000000-0005-0000-0000-000062210000}"/>
    <cellStyle name="Normal 16 5 2 4 3" xfId="42930" xr:uid="{00000000-0005-0000-0000-000063210000}"/>
    <cellStyle name="Normal 16 5 2 5" xfId="19716" xr:uid="{00000000-0005-0000-0000-000064210000}"/>
    <cellStyle name="Normal 16 5 2 6" xfId="38348" xr:uid="{00000000-0005-0000-0000-000065210000}"/>
    <cellStyle name="Normal 16 5 3" xfId="4284" xr:uid="{00000000-0005-0000-0000-000066210000}"/>
    <cellStyle name="Normal 16 5 3 2" xfId="4285" xr:uid="{00000000-0005-0000-0000-000067210000}"/>
    <cellStyle name="Normal 16 5 3 2 2" xfId="10175" xr:uid="{00000000-0005-0000-0000-000068210000}"/>
    <cellStyle name="Normal 16 5 3 2 2 2" xfId="33660" xr:uid="{00000000-0005-0000-0000-000069210000}"/>
    <cellStyle name="Normal 16 5 3 2 2 3" xfId="24341" xr:uid="{00000000-0005-0000-0000-00006A210000}"/>
    <cellStyle name="Normal 16 5 3 2 2 4" xfId="47603" xr:uid="{00000000-0005-0000-0000-00006B210000}"/>
    <cellStyle name="Normal 16 5 3 2 3" xfId="14906" xr:uid="{00000000-0005-0000-0000-00006C210000}"/>
    <cellStyle name="Normal 16 5 3 2 3 2" xfId="29038" xr:uid="{00000000-0005-0000-0000-00006D210000}"/>
    <cellStyle name="Normal 16 5 3 2 3 3" xfId="42933" xr:uid="{00000000-0005-0000-0000-00006E210000}"/>
    <cellStyle name="Normal 16 5 3 2 4" xfId="19719" xr:uid="{00000000-0005-0000-0000-00006F210000}"/>
    <cellStyle name="Normal 16 5 3 2 5" xfId="38351" xr:uid="{00000000-0005-0000-0000-000070210000}"/>
    <cellStyle name="Normal 16 5 3 3" xfId="10174" xr:uid="{00000000-0005-0000-0000-000071210000}"/>
    <cellStyle name="Normal 16 5 3 3 2" xfId="33659" xr:uid="{00000000-0005-0000-0000-000072210000}"/>
    <cellStyle name="Normal 16 5 3 3 3" xfId="24340" xr:uid="{00000000-0005-0000-0000-000073210000}"/>
    <cellStyle name="Normal 16 5 3 3 4" xfId="47602" xr:uid="{00000000-0005-0000-0000-000074210000}"/>
    <cellStyle name="Normal 16 5 3 4" xfId="14905" xr:uid="{00000000-0005-0000-0000-000075210000}"/>
    <cellStyle name="Normal 16 5 3 4 2" xfId="29037" xr:uid="{00000000-0005-0000-0000-000076210000}"/>
    <cellStyle name="Normal 16 5 3 4 3" xfId="42932" xr:uid="{00000000-0005-0000-0000-000077210000}"/>
    <cellStyle name="Normal 16 5 3 5" xfId="19718" xr:uid="{00000000-0005-0000-0000-000078210000}"/>
    <cellStyle name="Normal 16 5 3 6" xfId="38350" xr:uid="{00000000-0005-0000-0000-000079210000}"/>
    <cellStyle name="Normal 16 5 4" xfId="4286" xr:uid="{00000000-0005-0000-0000-00007A210000}"/>
    <cellStyle name="Normal 16 5 4 2" xfId="4287" xr:uid="{00000000-0005-0000-0000-00007B210000}"/>
    <cellStyle name="Normal 16 5 4 2 2" xfId="10177" xr:uid="{00000000-0005-0000-0000-00007C210000}"/>
    <cellStyle name="Normal 16 5 4 2 2 2" xfId="33662" xr:uid="{00000000-0005-0000-0000-00007D210000}"/>
    <cellStyle name="Normal 16 5 4 2 2 3" xfId="24343" xr:uid="{00000000-0005-0000-0000-00007E210000}"/>
    <cellStyle name="Normal 16 5 4 2 2 4" xfId="47605" xr:uid="{00000000-0005-0000-0000-00007F210000}"/>
    <cellStyle name="Normal 16 5 4 2 3" xfId="14908" xr:uid="{00000000-0005-0000-0000-000080210000}"/>
    <cellStyle name="Normal 16 5 4 2 3 2" xfId="29040" xr:uid="{00000000-0005-0000-0000-000081210000}"/>
    <cellStyle name="Normal 16 5 4 2 3 3" xfId="42935" xr:uid="{00000000-0005-0000-0000-000082210000}"/>
    <cellStyle name="Normal 16 5 4 2 4" xfId="19721" xr:uid="{00000000-0005-0000-0000-000083210000}"/>
    <cellStyle name="Normal 16 5 4 2 5" xfId="38353" xr:uid="{00000000-0005-0000-0000-000084210000}"/>
    <cellStyle name="Normal 16 5 4 3" xfId="10176" xr:uid="{00000000-0005-0000-0000-000085210000}"/>
    <cellStyle name="Normal 16 5 4 3 2" xfId="33661" xr:uid="{00000000-0005-0000-0000-000086210000}"/>
    <cellStyle name="Normal 16 5 4 3 3" xfId="24342" xr:uid="{00000000-0005-0000-0000-000087210000}"/>
    <cellStyle name="Normal 16 5 4 3 4" xfId="47604" xr:uid="{00000000-0005-0000-0000-000088210000}"/>
    <cellStyle name="Normal 16 5 4 4" xfId="14907" xr:uid="{00000000-0005-0000-0000-000089210000}"/>
    <cellStyle name="Normal 16 5 4 4 2" xfId="29039" xr:uid="{00000000-0005-0000-0000-00008A210000}"/>
    <cellStyle name="Normal 16 5 4 4 3" xfId="42934" xr:uid="{00000000-0005-0000-0000-00008B210000}"/>
    <cellStyle name="Normal 16 5 4 5" xfId="19720" xr:uid="{00000000-0005-0000-0000-00008C210000}"/>
    <cellStyle name="Normal 16 5 4 6" xfId="38352" xr:uid="{00000000-0005-0000-0000-00008D210000}"/>
    <cellStyle name="Normal 16 5 5" xfId="4288" xr:uid="{00000000-0005-0000-0000-00008E210000}"/>
    <cellStyle name="Normal 16 5 5 2" xfId="4289" xr:uid="{00000000-0005-0000-0000-00008F210000}"/>
    <cellStyle name="Normal 16 5 5 2 2" xfId="10179" xr:uid="{00000000-0005-0000-0000-000090210000}"/>
    <cellStyle name="Normal 16 5 5 2 2 2" xfId="33664" xr:uid="{00000000-0005-0000-0000-000091210000}"/>
    <cellStyle name="Normal 16 5 5 2 2 3" xfId="24345" xr:uid="{00000000-0005-0000-0000-000092210000}"/>
    <cellStyle name="Normal 16 5 5 2 2 4" xfId="47607" xr:uid="{00000000-0005-0000-0000-000093210000}"/>
    <cellStyle name="Normal 16 5 5 2 3" xfId="14910" xr:uid="{00000000-0005-0000-0000-000094210000}"/>
    <cellStyle name="Normal 16 5 5 2 3 2" xfId="29042" xr:uid="{00000000-0005-0000-0000-000095210000}"/>
    <cellStyle name="Normal 16 5 5 2 3 3" xfId="42937" xr:uid="{00000000-0005-0000-0000-000096210000}"/>
    <cellStyle name="Normal 16 5 5 2 4" xfId="19723" xr:uid="{00000000-0005-0000-0000-000097210000}"/>
    <cellStyle name="Normal 16 5 5 2 5" xfId="38355" xr:uid="{00000000-0005-0000-0000-000098210000}"/>
    <cellStyle name="Normal 16 5 5 3" xfId="10178" xr:uid="{00000000-0005-0000-0000-000099210000}"/>
    <cellStyle name="Normal 16 5 5 3 2" xfId="33663" xr:uid="{00000000-0005-0000-0000-00009A210000}"/>
    <cellStyle name="Normal 16 5 5 3 3" xfId="24344" xr:uid="{00000000-0005-0000-0000-00009B210000}"/>
    <cellStyle name="Normal 16 5 5 3 4" xfId="47606" xr:uid="{00000000-0005-0000-0000-00009C210000}"/>
    <cellStyle name="Normal 16 5 5 4" xfId="14909" xr:uid="{00000000-0005-0000-0000-00009D210000}"/>
    <cellStyle name="Normal 16 5 5 4 2" xfId="29041" xr:uid="{00000000-0005-0000-0000-00009E210000}"/>
    <cellStyle name="Normal 16 5 5 4 3" xfId="42936" xr:uid="{00000000-0005-0000-0000-00009F210000}"/>
    <cellStyle name="Normal 16 5 5 5" xfId="19722" xr:uid="{00000000-0005-0000-0000-0000A0210000}"/>
    <cellStyle name="Normal 16 5 5 6" xfId="38354" xr:uid="{00000000-0005-0000-0000-0000A1210000}"/>
    <cellStyle name="Normal 16 5 6" xfId="4290" xr:uid="{00000000-0005-0000-0000-0000A2210000}"/>
    <cellStyle name="Normal 16 5 6 2" xfId="4291" xr:uid="{00000000-0005-0000-0000-0000A3210000}"/>
    <cellStyle name="Normal 16 5 6 2 2" xfId="10181" xr:uid="{00000000-0005-0000-0000-0000A4210000}"/>
    <cellStyle name="Normal 16 5 6 2 2 2" xfId="33666" xr:uid="{00000000-0005-0000-0000-0000A5210000}"/>
    <cellStyle name="Normal 16 5 6 2 2 3" xfId="24347" xr:uid="{00000000-0005-0000-0000-0000A6210000}"/>
    <cellStyle name="Normal 16 5 6 2 2 4" xfId="47609" xr:uid="{00000000-0005-0000-0000-0000A7210000}"/>
    <cellStyle name="Normal 16 5 6 2 3" xfId="14912" xr:uid="{00000000-0005-0000-0000-0000A8210000}"/>
    <cellStyle name="Normal 16 5 6 2 3 2" xfId="29044" xr:uid="{00000000-0005-0000-0000-0000A9210000}"/>
    <cellStyle name="Normal 16 5 6 2 3 3" xfId="42939" xr:uid="{00000000-0005-0000-0000-0000AA210000}"/>
    <cellStyle name="Normal 16 5 6 2 4" xfId="19725" xr:uid="{00000000-0005-0000-0000-0000AB210000}"/>
    <cellStyle name="Normal 16 5 6 2 5" xfId="38357" xr:uid="{00000000-0005-0000-0000-0000AC210000}"/>
    <cellStyle name="Normal 16 5 6 3" xfId="10180" xr:uid="{00000000-0005-0000-0000-0000AD210000}"/>
    <cellStyle name="Normal 16 5 6 3 2" xfId="33665" xr:uid="{00000000-0005-0000-0000-0000AE210000}"/>
    <cellStyle name="Normal 16 5 6 3 3" xfId="24346" xr:uid="{00000000-0005-0000-0000-0000AF210000}"/>
    <cellStyle name="Normal 16 5 6 3 4" xfId="47608" xr:uid="{00000000-0005-0000-0000-0000B0210000}"/>
    <cellStyle name="Normal 16 5 6 4" xfId="14911" xr:uid="{00000000-0005-0000-0000-0000B1210000}"/>
    <cellStyle name="Normal 16 5 6 4 2" xfId="29043" xr:uid="{00000000-0005-0000-0000-0000B2210000}"/>
    <cellStyle name="Normal 16 5 6 4 3" xfId="42938" xr:uid="{00000000-0005-0000-0000-0000B3210000}"/>
    <cellStyle name="Normal 16 5 6 5" xfId="19724" xr:uid="{00000000-0005-0000-0000-0000B4210000}"/>
    <cellStyle name="Normal 16 5 6 6" xfId="38356" xr:uid="{00000000-0005-0000-0000-0000B5210000}"/>
    <cellStyle name="Normal 16 5 7" xfId="4292" xr:uid="{00000000-0005-0000-0000-0000B6210000}"/>
    <cellStyle name="Normal 16 5 7 2" xfId="10182" xr:uid="{00000000-0005-0000-0000-0000B7210000}"/>
    <cellStyle name="Normal 16 5 7 2 2" xfId="33667" xr:uid="{00000000-0005-0000-0000-0000B8210000}"/>
    <cellStyle name="Normal 16 5 7 2 3" xfId="24348" xr:uid="{00000000-0005-0000-0000-0000B9210000}"/>
    <cellStyle name="Normal 16 5 7 2 4" xfId="47610" xr:uid="{00000000-0005-0000-0000-0000BA210000}"/>
    <cellStyle name="Normal 16 5 7 3" xfId="14913" xr:uid="{00000000-0005-0000-0000-0000BB210000}"/>
    <cellStyle name="Normal 16 5 7 3 2" xfId="29045" xr:uid="{00000000-0005-0000-0000-0000BC210000}"/>
    <cellStyle name="Normal 16 5 7 3 3" xfId="42940" xr:uid="{00000000-0005-0000-0000-0000BD210000}"/>
    <cellStyle name="Normal 16 5 7 4" xfId="19726" xr:uid="{00000000-0005-0000-0000-0000BE210000}"/>
    <cellStyle name="Normal 16 5 7 5" xfId="38358" xr:uid="{00000000-0005-0000-0000-0000BF210000}"/>
    <cellStyle name="Normal 16 5 8" xfId="10171" xr:uid="{00000000-0005-0000-0000-0000C0210000}"/>
    <cellStyle name="Normal 16 5 8 2" xfId="33656" xr:uid="{00000000-0005-0000-0000-0000C1210000}"/>
    <cellStyle name="Normal 16 5 8 3" xfId="24337" xr:uid="{00000000-0005-0000-0000-0000C2210000}"/>
    <cellStyle name="Normal 16 5 8 4" xfId="47599" xr:uid="{00000000-0005-0000-0000-0000C3210000}"/>
    <cellStyle name="Normal 16 5 9" xfId="14902" xr:uid="{00000000-0005-0000-0000-0000C4210000}"/>
    <cellStyle name="Normal 16 5 9 2" xfId="29034" xr:uid="{00000000-0005-0000-0000-0000C5210000}"/>
    <cellStyle name="Normal 16 5 9 3" xfId="42929" xr:uid="{00000000-0005-0000-0000-0000C6210000}"/>
    <cellStyle name="Normal 16 6" xfId="4293" xr:uid="{00000000-0005-0000-0000-0000C7210000}"/>
    <cellStyle name="Normal 16 6 10" xfId="19727" xr:uid="{00000000-0005-0000-0000-0000C8210000}"/>
    <cellStyle name="Normal 16 6 11" xfId="38359" xr:uid="{00000000-0005-0000-0000-0000C9210000}"/>
    <cellStyle name="Normal 16 6 2" xfId="4294" xr:uid="{00000000-0005-0000-0000-0000CA210000}"/>
    <cellStyle name="Normal 16 6 2 2" xfId="4295" xr:uid="{00000000-0005-0000-0000-0000CB210000}"/>
    <cellStyle name="Normal 16 6 2 2 2" xfId="10185" xr:uid="{00000000-0005-0000-0000-0000CC210000}"/>
    <cellStyle name="Normal 16 6 2 2 2 2" xfId="33670" xr:uid="{00000000-0005-0000-0000-0000CD210000}"/>
    <cellStyle name="Normal 16 6 2 2 2 3" xfId="24351" xr:uid="{00000000-0005-0000-0000-0000CE210000}"/>
    <cellStyle name="Normal 16 6 2 2 2 4" xfId="47613" xr:uid="{00000000-0005-0000-0000-0000CF210000}"/>
    <cellStyle name="Normal 16 6 2 2 3" xfId="14916" xr:uid="{00000000-0005-0000-0000-0000D0210000}"/>
    <cellStyle name="Normal 16 6 2 2 3 2" xfId="29048" xr:uid="{00000000-0005-0000-0000-0000D1210000}"/>
    <cellStyle name="Normal 16 6 2 2 3 3" xfId="42943" xr:uid="{00000000-0005-0000-0000-0000D2210000}"/>
    <cellStyle name="Normal 16 6 2 2 4" xfId="19729" xr:uid="{00000000-0005-0000-0000-0000D3210000}"/>
    <cellStyle name="Normal 16 6 2 2 5" xfId="38361" xr:uid="{00000000-0005-0000-0000-0000D4210000}"/>
    <cellStyle name="Normal 16 6 2 3" xfId="10184" xr:uid="{00000000-0005-0000-0000-0000D5210000}"/>
    <cellStyle name="Normal 16 6 2 3 2" xfId="33669" xr:uid="{00000000-0005-0000-0000-0000D6210000}"/>
    <cellStyle name="Normal 16 6 2 3 3" xfId="24350" xr:uid="{00000000-0005-0000-0000-0000D7210000}"/>
    <cellStyle name="Normal 16 6 2 3 4" xfId="47612" xr:uid="{00000000-0005-0000-0000-0000D8210000}"/>
    <cellStyle name="Normal 16 6 2 4" xfId="14915" xr:uid="{00000000-0005-0000-0000-0000D9210000}"/>
    <cellStyle name="Normal 16 6 2 4 2" xfId="29047" xr:uid="{00000000-0005-0000-0000-0000DA210000}"/>
    <cellStyle name="Normal 16 6 2 4 3" xfId="42942" xr:uid="{00000000-0005-0000-0000-0000DB210000}"/>
    <cellStyle name="Normal 16 6 2 5" xfId="19728" xr:uid="{00000000-0005-0000-0000-0000DC210000}"/>
    <cellStyle name="Normal 16 6 2 6" xfId="38360" xr:uid="{00000000-0005-0000-0000-0000DD210000}"/>
    <cellStyle name="Normal 16 6 3" xfId="4296" xr:uid="{00000000-0005-0000-0000-0000DE210000}"/>
    <cellStyle name="Normal 16 6 3 2" xfId="4297" xr:uid="{00000000-0005-0000-0000-0000DF210000}"/>
    <cellStyle name="Normal 16 6 3 2 2" xfId="10187" xr:uid="{00000000-0005-0000-0000-0000E0210000}"/>
    <cellStyle name="Normal 16 6 3 2 2 2" xfId="33672" xr:uid="{00000000-0005-0000-0000-0000E1210000}"/>
    <cellStyle name="Normal 16 6 3 2 2 3" xfId="24353" xr:uid="{00000000-0005-0000-0000-0000E2210000}"/>
    <cellStyle name="Normal 16 6 3 2 2 4" xfId="47615" xr:uid="{00000000-0005-0000-0000-0000E3210000}"/>
    <cellStyle name="Normal 16 6 3 2 3" xfId="14918" xr:uid="{00000000-0005-0000-0000-0000E4210000}"/>
    <cellStyle name="Normal 16 6 3 2 3 2" xfId="29050" xr:uid="{00000000-0005-0000-0000-0000E5210000}"/>
    <cellStyle name="Normal 16 6 3 2 3 3" xfId="42945" xr:uid="{00000000-0005-0000-0000-0000E6210000}"/>
    <cellStyle name="Normal 16 6 3 2 4" xfId="19731" xr:uid="{00000000-0005-0000-0000-0000E7210000}"/>
    <cellStyle name="Normal 16 6 3 2 5" xfId="38363" xr:uid="{00000000-0005-0000-0000-0000E8210000}"/>
    <cellStyle name="Normal 16 6 3 3" xfId="10186" xr:uid="{00000000-0005-0000-0000-0000E9210000}"/>
    <cellStyle name="Normal 16 6 3 3 2" xfId="33671" xr:uid="{00000000-0005-0000-0000-0000EA210000}"/>
    <cellStyle name="Normal 16 6 3 3 3" xfId="24352" xr:uid="{00000000-0005-0000-0000-0000EB210000}"/>
    <cellStyle name="Normal 16 6 3 3 4" xfId="47614" xr:uid="{00000000-0005-0000-0000-0000EC210000}"/>
    <cellStyle name="Normal 16 6 3 4" xfId="14917" xr:uid="{00000000-0005-0000-0000-0000ED210000}"/>
    <cellStyle name="Normal 16 6 3 4 2" xfId="29049" xr:uid="{00000000-0005-0000-0000-0000EE210000}"/>
    <cellStyle name="Normal 16 6 3 4 3" xfId="42944" xr:uid="{00000000-0005-0000-0000-0000EF210000}"/>
    <cellStyle name="Normal 16 6 3 5" xfId="19730" xr:uid="{00000000-0005-0000-0000-0000F0210000}"/>
    <cellStyle name="Normal 16 6 3 6" xfId="38362" xr:uid="{00000000-0005-0000-0000-0000F1210000}"/>
    <cellStyle name="Normal 16 6 4" xfId="4298" xr:uid="{00000000-0005-0000-0000-0000F2210000}"/>
    <cellStyle name="Normal 16 6 4 2" xfId="4299" xr:uid="{00000000-0005-0000-0000-0000F3210000}"/>
    <cellStyle name="Normal 16 6 4 2 2" xfId="10189" xr:uid="{00000000-0005-0000-0000-0000F4210000}"/>
    <cellStyle name="Normal 16 6 4 2 2 2" xfId="33674" xr:uid="{00000000-0005-0000-0000-0000F5210000}"/>
    <cellStyle name="Normal 16 6 4 2 2 3" xfId="24355" xr:uid="{00000000-0005-0000-0000-0000F6210000}"/>
    <cellStyle name="Normal 16 6 4 2 2 4" xfId="47617" xr:uid="{00000000-0005-0000-0000-0000F7210000}"/>
    <cellStyle name="Normal 16 6 4 2 3" xfId="14920" xr:uid="{00000000-0005-0000-0000-0000F8210000}"/>
    <cellStyle name="Normal 16 6 4 2 3 2" xfId="29052" xr:uid="{00000000-0005-0000-0000-0000F9210000}"/>
    <cellStyle name="Normal 16 6 4 2 3 3" xfId="42947" xr:uid="{00000000-0005-0000-0000-0000FA210000}"/>
    <cellStyle name="Normal 16 6 4 2 4" xfId="19733" xr:uid="{00000000-0005-0000-0000-0000FB210000}"/>
    <cellStyle name="Normal 16 6 4 2 5" xfId="38365" xr:uid="{00000000-0005-0000-0000-0000FC210000}"/>
    <cellStyle name="Normal 16 6 4 3" xfId="10188" xr:uid="{00000000-0005-0000-0000-0000FD210000}"/>
    <cellStyle name="Normal 16 6 4 3 2" xfId="33673" xr:uid="{00000000-0005-0000-0000-0000FE210000}"/>
    <cellStyle name="Normal 16 6 4 3 3" xfId="24354" xr:uid="{00000000-0005-0000-0000-0000FF210000}"/>
    <cellStyle name="Normal 16 6 4 3 4" xfId="47616" xr:uid="{00000000-0005-0000-0000-000000220000}"/>
    <cellStyle name="Normal 16 6 4 4" xfId="14919" xr:uid="{00000000-0005-0000-0000-000001220000}"/>
    <cellStyle name="Normal 16 6 4 4 2" xfId="29051" xr:uid="{00000000-0005-0000-0000-000002220000}"/>
    <cellStyle name="Normal 16 6 4 4 3" xfId="42946" xr:uid="{00000000-0005-0000-0000-000003220000}"/>
    <cellStyle name="Normal 16 6 4 5" xfId="19732" xr:uid="{00000000-0005-0000-0000-000004220000}"/>
    <cellStyle name="Normal 16 6 4 6" xfId="38364" xr:uid="{00000000-0005-0000-0000-000005220000}"/>
    <cellStyle name="Normal 16 6 5" xfId="4300" xr:uid="{00000000-0005-0000-0000-000006220000}"/>
    <cellStyle name="Normal 16 6 5 2" xfId="4301" xr:uid="{00000000-0005-0000-0000-000007220000}"/>
    <cellStyle name="Normal 16 6 5 2 2" xfId="10191" xr:uid="{00000000-0005-0000-0000-000008220000}"/>
    <cellStyle name="Normal 16 6 5 2 2 2" xfId="33676" xr:uid="{00000000-0005-0000-0000-000009220000}"/>
    <cellStyle name="Normal 16 6 5 2 2 3" xfId="24357" xr:uid="{00000000-0005-0000-0000-00000A220000}"/>
    <cellStyle name="Normal 16 6 5 2 2 4" xfId="47619" xr:uid="{00000000-0005-0000-0000-00000B220000}"/>
    <cellStyle name="Normal 16 6 5 2 3" xfId="14922" xr:uid="{00000000-0005-0000-0000-00000C220000}"/>
    <cellStyle name="Normal 16 6 5 2 3 2" xfId="29054" xr:uid="{00000000-0005-0000-0000-00000D220000}"/>
    <cellStyle name="Normal 16 6 5 2 3 3" xfId="42949" xr:uid="{00000000-0005-0000-0000-00000E220000}"/>
    <cellStyle name="Normal 16 6 5 2 4" xfId="19735" xr:uid="{00000000-0005-0000-0000-00000F220000}"/>
    <cellStyle name="Normal 16 6 5 2 5" xfId="38367" xr:uid="{00000000-0005-0000-0000-000010220000}"/>
    <cellStyle name="Normal 16 6 5 3" xfId="10190" xr:uid="{00000000-0005-0000-0000-000011220000}"/>
    <cellStyle name="Normal 16 6 5 3 2" xfId="33675" xr:uid="{00000000-0005-0000-0000-000012220000}"/>
    <cellStyle name="Normal 16 6 5 3 3" xfId="24356" xr:uid="{00000000-0005-0000-0000-000013220000}"/>
    <cellStyle name="Normal 16 6 5 3 4" xfId="47618" xr:uid="{00000000-0005-0000-0000-000014220000}"/>
    <cellStyle name="Normal 16 6 5 4" xfId="14921" xr:uid="{00000000-0005-0000-0000-000015220000}"/>
    <cellStyle name="Normal 16 6 5 4 2" xfId="29053" xr:uid="{00000000-0005-0000-0000-000016220000}"/>
    <cellStyle name="Normal 16 6 5 4 3" xfId="42948" xr:uid="{00000000-0005-0000-0000-000017220000}"/>
    <cellStyle name="Normal 16 6 5 5" xfId="19734" xr:uid="{00000000-0005-0000-0000-000018220000}"/>
    <cellStyle name="Normal 16 6 5 6" xfId="38366" xr:uid="{00000000-0005-0000-0000-000019220000}"/>
    <cellStyle name="Normal 16 6 6" xfId="4302" xr:uid="{00000000-0005-0000-0000-00001A220000}"/>
    <cellStyle name="Normal 16 6 6 2" xfId="4303" xr:uid="{00000000-0005-0000-0000-00001B220000}"/>
    <cellStyle name="Normal 16 6 6 2 2" xfId="10193" xr:uid="{00000000-0005-0000-0000-00001C220000}"/>
    <cellStyle name="Normal 16 6 6 2 2 2" xfId="33678" xr:uid="{00000000-0005-0000-0000-00001D220000}"/>
    <cellStyle name="Normal 16 6 6 2 2 3" xfId="24359" xr:uid="{00000000-0005-0000-0000-00001E220000}"/>
    <cellStyle name="Normal 16 6 6 2 2 4" xfId="47621" xr:uid="{00000000-0005-0000-0000-00001F220000}"/>
    <cellStyle name="Normal 16 6 6 2 3" xfId="14924" xr:uid="{00000000-0005-0000-0000-000020220000}"/>
    <cellStyle name="Normal 16 6 6 2 3 2" xfId="29056" xr:uid="{00000000-0005-0000-0000-000021220000}"/>
    <cellStyle name="Normal 16 6 6 2 3 3" xfId="42951" xr:uid="{00000000-0005-0000-0000-000022220000}"/>
    <cellStyle name="Normal 16 6 6 2 4" xfId="19737" xr:uid="{00000000-0005-0000-0000-000023220000}"/>
    <cellStyle name="Normal 16 6 6 2 5" xfId="38369" xr:uid="{00000000-0005-0000-0000-000024220000}"/>
    <cellStyle name="Normal 16 6 6 3" xfId="10192" xr:uid="{00000000-0005-0000-0000-000025220000}"/>
    <cellStyle name="Normal 16 6 6 3 2" xfId="33677" xr:uid="{00000000-0005-0000-0000-000026220000}"/>
    <cellStyle name="Normal 16 6 6 3 3" xfId="24358" xr:uid="{00000000-0005-0000-0000-000027220000}"/>
    <cellStyle name="Normal 16 6 6 3 4" xfId="47620" xr:uid="{00000000-0005-0000-0000-000028220000}"/>
    <cellStyle name="Normal 16 6 6 4" xfId="14923" xr:uid="{00000000-0005-0000-0000-000029220000}"/>
    <cellStyle name="Normal 16 6 6 4 2" xfId="29055" xr:uid="{00000000-0005-0000-0000-00002A220000}"/>
    <cellStyle name="Normal 16 6 6 4 3" xfId="42950" xr:uid="{00000000-0005-0000-0000-00002B220000}"/>
    <cellStyle name="Normal 16 6 6 5" xfId="19736" xr:uid="{00000000-0005-0000-0000-00002C220000}"/>
    <cellStyle name="Normal 16 6 6 6" xfId="38368" xr:uid="{00000000-0005-0000-0000-00002D220000}"/>
    <cellStyle name="Normal 16 6 7" xfId="4304" xr:uid="{00000000-0005-0000-0000-00002E220000}"/>
    <cellStyle name="Normal 16 6 7 2" xfId="10194" xr:uid="{00000000-0005-0000-0000-00002F220000}"/>
    <cellStyle name="Normal 16 6 7 2 2" xfId="33679" xr:uid="{00000000-0005-0000-0000-000030220000}"/>
    <cellStyle name="Normal 16 6 7 2 3" xfId="24360" xr:uid="{00000000-0005-0000-0000-000031220000}"/>
    <cellStyle name="Normal 16 6 7 2 4" xfId="47622" xr:uid="{00000000-0005-0000-0000-000032220000}"/>
    <cellStyle name="Normal 16 6 7 3" xfId="14925" xr:uid="{00000000-0005-0000-0000-000033220000}"/>
    <cellStyle name="Normal 16 6 7 3 2" xfId="29057" xr:uid="{00000000-0005-0000-0000-000034220000}"/>
    <cellStyle name="Normal 16 6 7 3 3" xfId="42952" xr:uid="{00000000-0005-0000-0000-000035220000}"/>
    <cellStyle name="Normal 16 6 7 4" xfId="19738" xr:uid="{00000000-0005-0000-0000-000036220000}"/>
    <cellStyle name="Normal 16 6 7 5" xfId="38370" xr:uid="{00000000-0005-0000-0000-000037220000}"/>
    <cellStyle name="Normal 16 6 8" xfId="10183" xr:uid="{00000000-0005-0000-0000-000038220000}"/>
    <cellStyle name="Normal 16 6 8 2" xfId="33668" xr:uid="{00000000-0005-0000-0000-000039220000}"/>
    <cellStyle name="Normal 16 6 8 3" xfId="24349" xr:uid="{00000000-0005-0000-0000-00003A220000}"/>
    <cellStyle name="Normal 16 6 8 4" xfId="47611" xr:uid="{00000000-0005-0000-0000-00003B220000}"/>
    <cellStyle name="Normal 16 6 9" xfId="14914" xr:uid="{00000000-0005-0000-0000-00003C220000}"/>
    <cellStyle name="Normal 16 6 9 2" xfId="29046" xr:uid="{00000000-0005-0000-0000-00003D220000}"/>
    <cellStyle name="Normal 16 6 9 3" xfId="42941" xr:uid="{00000000-0005-0000-0000-00003E220000}"/>
    <cellStyle name="Normal 16 7" xfId="4305" xr:uid="{00000000-0005-0000-0000-00003F220000}"/>
    <cellStyle name="Normal 16 7 10" xfId="19739" xr:uid="{00000000-0005-0000-0000-000040220000}"/>
    <cellStyle name="Normal 16 7 11" xfId="38371" xr:uid="{00000000-0005-0000-0000-000041220000}"/>
    <cellStyle name="Normal 16 7 2" xfId="4306" xr:uid="{00000000-0005-0000-0000-000042220000}"/>
    <cellStyle name="Normal 16 7 2 2" xfId="4307" xr:uid="{00000000-0005-0000-0000-000043220000}"/>
    <cellStyle name="Normal 16 7 2 2 2" xfId="10197" xr:uid="{00000000-0005-0000-0000-000044220000}"/>
    <cellStyle name="Normal 16 7 2 2 2 2" xfId="33682" xr:uid="{00000000-0005-0000-0000-000045220000}"/>
    <cellStyle name="Normal 16 7 2 2 2 3" xfId="24363" xr:uid="{00000000-0005-0000-0000-000046220000}"/>
    <cellStyle name="Normal 16 7 2 2 2 4" xfId="47625" xr:uid="{00000000-0005-0000-0000-000047220000}"/>
    <cellStyle name="Normal 16 7 2 2 3" xfId="14928" xr:uid="{00000000-0005-0000-0000-000048220000}"/>
    <cellStyle name="Normal 16 7 2 2 3 2" xfId="29060" xr:uid="{00000000-0005-0000-0000-000049220000}"/>
    <cellStyle name="Normal 16 7 2 2 3 3" xfId="42955" xr:uid="{00000000-0005-0000-0000-00004A220000}"/>
    <cellStyle name="Normal 16 7 2 2 4" xfId="19741" xr:uid="{00000000-0005-0000-0000-00004B220000}"/>
    <cellStyle name="Normal 16 7 2 2 5" xfId="38373" xr:uid="{00000000-0005-0000-0000-00004C220000}"/>
    <cellStyle name="Normal 16 7 2 3" xfId="10196" xr:uid="{00000000-0005-0000-0000-00004D220000}"/>
    <cellStyle name="Normal 16 7 2 3 2" xfId="33681" xr:uid="{00000000-0005-0000-0000-00004E220000}"/>
    <cellStyle name="Normal 16 7 2 3 3" xfId="24362" xr:uid="{00000000-0005-0000-0000-00004F220000}"/>
    <cellStyle name="Normal 16 7 2 3 4" xfId="47624" xr:uid="{00000000-0005-0000-0000-000050220000}"/>
    <cellStyle name="Normal 16 7 2 4" xfId="14927" xr:uid="{00000000-0005-0000-0000-000051220000}"/>
    <cellStyle name="Normal 16 7 2 4 2" xfId="29059" xr:uid="{00000000-0005-0000-0000-000052220000}"/>
    <cellStyle name="Normal 16 7 2 4 3" xfId="42954" xr:uid="{00000000-0005-0000-0000-000053220000}"/>
    <cellStyle name="Normal 16 7 2 5" xfId="19740" xr:uid="{00000000-0005-0000-0000-000054220000}"/>
    <cellStyle name="Normal 16 7 2 6" xfId="38372" xr:uid="{00000000-0005-0000-0000-000055220000}"/>
    <cellStyle name="Normal 16 7 3" xfId="4308" xr:uid="{00000000-0005-0000-0000-000056220000}"/>
    <cellStyle name="Normal 16 7 3 2" xfId="4309" xr:uid="{00000000-0005-0000-0000-000057220000}"/>
    <cellStyle name="Normal 16 7 3 2 2" xfId="10199" xr:uid="{00000000-0005-0000-0000-000058220000}"/>
    <cellStyle name="Normal 16 7 3 2 2 2" xfId="33684" xr:uid="{00000000-0005-0000-0000-000059220000}"/>
    <cellStyle name="Normal 16 7 3 2 2 3" xfId="24365" xr:uid="{00000000-0005-0000-0000-00005A220000}"/>
    <cellStyle name="Normal 16 7 3 2 2 4" xfId="47627" xr:uid="{00000000-0005-0000-0000-00005B220000}"/>
    <cellStyle name="Normal 16 7 3 2 3" xfId="14930" xr:uid="{00000000-0005-0000-0000-00005C220000}"/>
    <cellStyle name="Normal 16 7 3 2 3 2" xfId="29062" xr:uid="{00000000-0005-0000-0000-00005D220000}"/>
    <cellStyle name="Normal 16 7 3 2 3 3" xfId="42957" xr:uid="{00000000-0005-0000-0000-00005E220000}"/>
    <cellStyle name="Normal 16 7 3 2 4" xfId="19743" xr:uid="{00000000-0005-0000-0000-00005F220000}"/>
    <cellStyle name="Normal 16 7 3 2 5" xfId="38375" xr:uid="{00000000-0005-0000-0000-000060220000}"/>
    <cellStyle name="Normal 16 7 3 3" xfId="10198" xr:uid="{00000000-0005-0000-0000-000061220000}"/>
    <cellStyle name="Normal 16 7 3 3 2" xfId="33683" xr:uid="{00000000-0005-0000-0000-000062220000}"/>
    <cellStyle name="Normal 16 7 3 3 3" xfId="24364" xr:uid="{00000000-0005-0000-0000-000063220000}"/>
    <cellStyle name="Normal 16 7 3 3 4" xfId="47626" xr:uid="{00000000-0005-0000-0000-000064220000}"/>
    <cellStyle name="Normal 16 7 3 4" xfId="14929" xr:uid="{00000000-0005-0000-0000-000065220000}"/>
    <cellStyle name="Normal 16 7 3 4 2" xfId="29061" xr:uid="{00000000-0005-0000-0000-000066220000}"/>
    <cellStyle name="Normal 16 7 3 4 3" xfId="42956" xr:uid="{00000000-0005-0000-0000-000067220000}"/>
    <cellStyle name="Normal 16 7 3 5" xfId="19742" xr:uid="{00000000-0005-0000-0000-000068220000}"/>
    <cellStyle name="Normal 16 7 3 6" xfId="38374" xr:uid="{00000000-0005-0000-0000-000069220000}"/>
    <cellStyle name="Normal 16 7 4" xfId="4310" xr:uid="{00000000-0005-0000-0000-00006A220000}"/>
    <cellStyle name="Normal 16 7 4 2" xfId="4311" xr:uid="{00000000-0005-0000-0000-00006B220000}"/>
    <cellStyle name="Normal 16 7 4 2 2" xfId="10201" xr:uid="{00000000-0005-0000-0000-00006C220000}"/>
    <cellStyle name="Normal 16 7 4 2 2 2" xfId="33686" xr:uid="{00000000-0005-0000-0000-00006D220000}"/>
    <cellStyle name="Normal 16 7 4 2 2 3" xfId="24367" xr:uid="{00000000-0005-0000-0000-00006E220000}"/>
    <cellStyle name="Normal 16 7 4 2 2 4" xfId="47629" xr:uid="{00000000-0005-0000-0000-00006F220000}"/>
    <cellStyle name="Normal 16 7 4 2 3" xfId="14932" xr:uid="{00000000-0005-0000-0000-000070220000}"/>
    <cellStyle name="Normal 16 7 4 2 3 2" xfId="29064" xr:uid="{00000000-0005-0000-0000-000071220000}"/>
    <cellStyle name="Normal 16 7 4 2 3 3" xfId="42959" xr:uid="{00000000-0005-0000-0000-000072220000}"/>
    <cellStyle name="Normal 16 7 4 2 4" xfId="19745" xr:uid="{00000000-0005-0000-0000-000073220000}"/>
    <cellStyle name="Normal 16 7 4 2 5" xfId="38377" xr:uid="{00000000-0005-0000-0000-000074220000}"/>
    <cellStyle name="Normal 16 7 4 3" xfId="10200" xr:uid="{00000000-0005-0000-0000-000075220000}"/>
    <cellStyle name="Normal 16 7 4 3 2" xfId="33685" xr:uid="{00000000-0005-0000-0000-000076220000}"/>
    <cellStyle name="Normal 16 7 4 3 3" xfId="24366" xr:uid="{00000000-0005-0000-0000-000077220000}"/>
    <cellStyle name="Normal 16 7 4 3 4" xfId="47628" xr:uid="{00000000-0005-0000-0000-000078220000}"/>
    <cellStyle name="Normal 16 7 4 4" xfId="14931" xr:uid="{00000000-0005-0000-0000-000079220000}"/>
    <cellStyle name="Normal 16 7 4 4 2" xfId="29063" xr:uid="{00000000-0005-0000-0000-00007A220000}"/>
    <cellStyle name="Normal 16 7 4 4 3" xfId="42958" xr:uid="{00000000-0005-0000-0000-00007B220000}"/>
    <cellStyle name="Normal 16 7 4 5" xfId="19744" xr:uid="{00000000-0005-0000-0000-00007C220000}"/>
    <cellStyle name="Normal 16 7 4 6" xfId="38376" xr:uid="{00000000-0005-0000-0000-00007D220000}"/>
    <cellStyle name="Normal 16 7 5" xfId="4312" xr:uid="{00000000-0005-0000-0000-00007E220000}"/>
    <cellStyle name="Normal 16 7 5 2" xfId="4313" xr:uid="{00000000-0005-0000-0000-00007F220000}"/>
    <cellStyle name="Normal 16 7 5 2 2" xfId="10203" xr:uid="{00000000-0005-0000-0000-000080220000}"/>
    <cellStyle name="Normal 16 7 5 2 2 2" xfId="33688" xr:uid="{00000000-0005-0000-0000-000081220000}"/>
    <cellStyle name="Normal 16 7 5 2 2 3" xfId="24369" xr:uid="{00000000-0005-0000-0000-000082220000}"/>
    <cellStyle name="Normal 16 7 5 2 2 4" xfId="47631" xr:uid="{00000000-0005-0000-0000-000083220000}"/>
    <cellStyle name="Normal 16 7 5 2 3" xfId="14934" xr:uid="{00000000-0005-0000-0000-000084220000}"/>
    <cellStyle name="Normal 16 7 5 2 3 2" xfId="29066" xr:uid="{00000000-0005-0000-0000-000085220000}"/>
    <cellStyle name="Normal 16 7 5 2 3 3" xfId="42961" xr:uid="{00000000-0005-0000-0000-000086220000}"/>
    <cellStyle name="Normal 16 7 5 2 4" xfId="19747" xr:uid="{00000000-0005-0000-0000-000087220000}"/>
    <cellStyle name="Normal 16 7 5 2 5" xfId="38379" xr:uid="{00000000-0005-0000-0000-000088220000}"/>
    <cellStyle name="Normal 16 7 5 3" xfId="10202" xr:uid="{00000000-0005-0000-0000-000089220000}"/>
    <cellStyle name="Normal 16 7 5 3 2" xfId="33687" xr:uid="{00000000-0005-0000-0000-00008A220000}"/>
    <cellStyle name="Normal 16 7 5 3 3" xfId="24368" xr:uid="{00000000-0005-0000-0000-00008B220000}"/>
    <cellStyle name="Normal 16 7 5 3 4" xfId="47630" xr:uid="{00000000-0005-0000-0000-00008C220000}"/>
    <cellStyle name="Normal 16 7 5 4" xfId="14933" xr:uid="{00000000-0005-0000-0000-00008D220000}"/>
    <cellStyle name="Normal 16 7 5 4 2" xfId="29065" xr:uid="{00000000-0005-0000-0000-00008E220000}"/>
    <cellStyle name="Normal 16 7 5 4 3" xfId="42960" xr:uid="{00000000-0005-0000-0000-00008F220000}"/>
    <cellStyle name="Normal 16 7 5 5" xfId="19746" xr:uid="{00000000-0005-0000-0000-000090220000}"/>
    <cellStyle name="Normal 16 7 5 6" xfId="38378" xr:uid="{00000000-0005-0000-0000-000091220000}"/>
    <cellStyle name="Normal 16 7 6" xfId="4314" xr:uid="{00000000-0005-0000-0000-000092220000}"/>
    <cellStyle name="Normal 16 7 6 2" xfId="4315" xr:uid="{00000000-0005-0000-0000-000093220000}"/>
    <cellStyle name="Normal 16 7 6 2 2" xfId="10205" xr:uid="{00000000-0005-0000-0000-000094220000}"/>
    <cellStyle name="Normal 16 7 6 2 2 2" xfId="33690" xr:uid="{00000000-0005-0000-0000-000095220000}"/>
    <cellStyle name="Normal 16 7 6 2 2 3" xfId="24371" xr:uid="{00000000-0005-0000-0000-000096220000}"/>
    <cellStyle name="Normal 16 7 6 2 2 4" xfId="47633" xr:uid="{00000000-0005-0000-0000-000097220000}"/>
    <cellStyle name="Normal 16 7 6 2 3" xfId="14936" xr:uid="{00000000-0005-0000-0000-000098220000}"/>
    <cellStyle name="Normal 16 7 6 2 3 2" xfId="29068" xr:uid="{00000000-0005-0000-0000-000099220000}"/>
    <cellStyle name="Normal 16 7 6 2 3 3" xfId="42963" xr:uid="{00000000-0005-0000-0000-00009A220000}"/>
    <cellStyle name="Normal 16 7 6 2 4" xfId="19749" xr:uid="{00000000-0005-0000-0000-00009B220000}"/>
    <cellStyle name="Normal 16 7 6 2 5" xfId="38381" xr:uid="{00000000-0005-0000-0000-00009C220000}"/>
    <cellStyle name="Normal 16 7 6 3" xfId="10204" xr:uid="{00000000-0005-0000-0000-00009D220000}"/>
    <cellStyle name="Normal 16 7 6 3 2" xfId="33689" xr:uid="{00000000-0005-0000-0000-00009E220000}"/>
    <cellStyle name="Normal 16 7 6 3 3" xfId="24370" xr:uid="{00000000-0005-0000-0000-00009F220000}"/>
    <cellStyle name="Normal 16 7 6 3 4" xfId="47632" xr:uid="{00000000-0005-0000-0000-0000A0220000}"/>
    <cellStyle name="Normal 16 7 6 4" xfId="14935" xr:uid="{00000000-0005-0000-0000-0000A1220000}"/>
    <cellStyle name="Normal 16 7 6 4 2" xfId="29067" xr:uid="{00000000-0005-0000-0000-0000A2220000}"/>
    <cellStyle name="Normal 16 7 6 4 3" xfId="42962" xr:uid="{00000000-0005-0000-0000-0000A3220000}"/>
    <cellStyle name="Normal 16 7 6 5" xfId="19748" xr:uid="{00000000-0005-0000-0000-0000A4220000}"/>
    <cellStyle name="Normal 16 7 6 6" xfId="38380" xr:uid="{00000000-0005-0000-0000-0000A5220000}"/>
    <cellStyle name="Normal 16 7 7" xfId="4316" xr:uid="{00000000-0005-0000-0000-0000A6220000}"/>
    <cellStyle name="Normal 16 7 7 2" xfId="10206" xr:uid="{00000000-0005-0000-0000-0000A7220000}"/>
    <cellStyle name="Normal 16 7 7 2 2" xfId="33691" xr:uid="{00000000-0005-0000-0000-0000A8220000}"/>
    <cellStyle name="Normal 16 7 7 2 3" xfId="24372" xr:uid="{00000000-0005-0000-0000-0000A9220000}"/>
    <cellStyle name="Normal 16 7 7 2 4" xfId="47634" xr:uid="{00000000-0005-0000-0000-0000AA220000}"/>
    <cellStyle name="Normal 16 7 7 3" xfId="14937" xr:uid="{00000000-0005-0000-0000-0000AB220000}"/>
    <cellStyle name="Normal 16 7 7 3 2" xfId="29069" xr:uid="{00000000-0005-0000-0000-0000AC220000}"/>
    <cellStyle name="Normal 16 7 7 3 3" xfId="42964" xr:uid="{00000000-0005-0000-0000-0000AD220000}"/>
    <cellStyle name="Normal 16 7 7 4" xfId="19750" xr:uid="{00000000-0005-0000-0000-0000AE220000}"/>
    <cellStyle name="Normal 16 7 7 5" xfId="38382" xr:uid="{00000000-0005-0000-0000-0000AF220000}"/>
    <cellStyle name="Normal 16 7 8" xfId="10195" xr:uid="{00000000-0005-0000-0000-0000B0220000}"/>
    <cellStyle name="Normal 16 7 8 2" xfId="33680" xr:uid="{00000000-0005-0000-0000-0000B1220000}"/>
    <cellStyle name="Normal 16 7 8 3" xfId="24361" xr:uid="{00000000-0005-0000-0000-0000B2220000}"/>
    <cellStyle name="Normal 16 7 8 4" xfId="47623" xr:uid="{00000000-0005-0000-0000-0000B3220000}"/>
    <cellStyle name="Normal 16 7 9" xfId="14926" xr:uid="{00000000-0005-0000-0000-0000B4220000}"/>
    <cellStyle name="Normal 16 7 9 2" xfId="29058" xr:uid="{00000000-0005-0000-0000-0000B5220000}"/>
    <cellStyle name="Normal 16 7 9 3" xfId="42953" xr:uid="{00000000-0005-0000-0000-0000B6220000}"/>
    <cellStyle name="Normal 16 8" xfId="4317" xr:uid="{00000000-0005-0000-0000-0000B7220000}"/>
    <cellStyle name="Normal 16 8 10" xfId="19751" xr:uid="{00000000-0005-0000-0000-0000B8220000}"/>
    <cellStyle name="Normal 16 8 11" xfId="38383" xr:uid="{00000000-0005-0000-0000-0000B9220000}"/>
    <cellStyle name="Normal 16 8 2" xfId="4318" xr:uid="{00000000-0005-0000-0000-0000BA220000}"/>
    <cellStyle name="Normal 16 8 2 2" xfId="4319" xr:uid="{00000000-0005-0000-0000-0000BB220000}"/>
    <cellStyle name="Normal 16 8 2 2 2" xfId="10209" xr:uid="{00000000-0005-0000-0000-0000BC220000}"/>
    <cellStyle name="Normal 16 8 2 2 2 2" xfId="33694" xr:uid="{00000000-0005-0000-0000-0000BD220000}"/>
    <cellStyle name="Normal 16 8 2 2 2 3" xfId="24375" xr:uid="{00000000-0005-0000-0000-0000BE220000}"/>
    <cellStyle name="Normal 16 8 2 2 2 4" xfId="47637" xr:uid="{00000000-0005-0000-0000-0000BF220000}"/>
    <cellStyle name="Normal 16 8 2 2 3" xfId="14940" xr:uid="{00000000-0005-0000-0000-0000C0220000}"/>
    <cellStyle name="Normal 16 8 2 2 3 2" xfId="29072" xr:uid="{00000000-0005-0000-0000-0000C1220000}"/>
    <cellStyle name="Normal 16 8 2 2 3 3" xfId="42967" xr:uid="{00000000-0005-0000-0000-0000C2220000}"/>
    <cellStyle name="Normal 16 8 2 2 4" xfId="19753" xr:uid="{00000000-0005-0000-0000-0000C3220000}"/>
    <cellStyle name="Normal 16 8 2 2 5" xfId="38385" xr:uid="{00000000-0005-0000-0000-0000C4220000}"/>
    <cellStyle name="Normal 16 8 2 3" xfId="10208" xr:uid="{00000000-0005-0000-0000-0000C5220000}"/>
    <cellStyle name="Normal 16 8 2 3 2" xfId="33693" xr:uid="{00000000-0005-0000-0000-0000C6220000}"/>
    <cellStyle name="Normal 16 8 2 3 3" xfId="24374" xr:uid="{00000000-0005-0000-0000-0000C7220000}"/>
    <cellStyle name="Normal 16 8 2 3 4" xfId="47636" xr:uid="{00000000-0005-0000-0000-0000C8220000}"/>
    <cellStyle name="Normal 16 8 2 4" xfId="14939" xr:uid="{00000000-0005-0000-0000-0000C9220000}"/>
    <cellStyle name="Normal 16 8 2 4 2" xfId="29071" xr:uid="{00000000-0005-0000-0000-0000CA220000}"/>
    <cellStyle name="Normal 16 8 2 4 3" xfId="42966" xr:uid="{00000000-0005-0000-0000-0000CB220000}"/>
    <cellStyle name="Normal 16 8 2 5" xfId="19752" xr:uid="{00000000-0005-0000-0000-0000CC220000}"/>
    <cellStyle name="Normal 16 8 2 6" xfId="38384" xr:uid="{00000000-0005-0000-0000-0000CD220000}"/>
    <cellStyle name="Normal 16 8 3" xfId="4320" xr:uid="{00000000-0005-0000-0000-0000CE220000}"/>
    <cellStyle name="Normal 16 8 3 2" xfId="4321" xr:uid="{00000000-0005-0000-0000-0000CF220000}"/>
    <cellStyle name="Normal 16 8 3 2 2" xfId="10211" xr:uid="{00000000-0005-0000-0000-0000D0220000}"/>
    <cellStyle name="Normal 16 8 3 2 2 2" xfId="33696" xr:uid="{00000000-0005-0000-0000-0000D1220000}"/>
    <cellStyle name="Normal 16 8 3 2 2 3" xfId="24377" xr:uid="{00000000-0005-0000-0000-0000D2220000}"/>
    <cellStyle name="Normal 16 8 3 2 2 4" xfId="47639" xr:uid="{00000000-0005-0000-0000-0000D3220000}"/>
    <cellStyle name="Normal 16 8 3 2 3" xfId="14942" xr:uid="{00000000-0005-0000-0000-0000D4220000}"/>
    <cellStyle name="Normal 16 8 3 2 3 2" xfId="29074" xr:uid="{00000000-0005-0000-0000-0000D5220000}"/>
    <cellStyle name="Normal 16 8 3 2 3 3" xfId="42969" xr:uid="{00000000-0005-0000-0000-0000D6220000}"/>
    <cellStyle name="Normal 16 8 3 2 4" xfId="19755" xr:uid="{00000000-0005-0000-0000-0000D7220000}"/>
    <cellStyle name="Normal 16 8 3 2 5" xfId="38387" xr:uid="{00000000-0005-0000-0000-0000D8220000}"/>
    <cellStyle name="Normal 16 8 3 3" xfId="10210" xr:uid="{00000000-0005-0000-0000-0000D9220000}"/>
    <cellStyle name="Normal 16 8 3 3 2" xfId="33695" xr:uid="{00000000-0005-0000-0000-0000DA220000}"/>
    <cellStyle name="Normal 16 8 3 3 3" xfId="24376" xr:uid="{00000000-0005-0000-0000-0000DB220000}"/>
    <cellStyle name="Normal 16 8 3 3 4" xfId="47638" xr:uid="{00000000-0005-0000-0000-0000DC220000}"/>
    <cellStyle name="Normal 16 8 3 4" xfId="14941" xr:uid="{00000000-0005-0000-0000-0000DD220000}"/>
    <cellStyle name="Normal 16 8 3 4 2" xfId="29073" xr:uid="{00000000-0005-0000-0000-0000DE220000}"/>
    <cellStyle name="Normal 16 8 3 4 3" xfId="42968" xr:uid="{00000000-0005-0000-0000-0000DF220000}"/>
    <cellStyle name="Normal 16 8 3 5" xfId="19754" xr:uid="{00000000-0005-0000-0000-0000E0220000}"/>
    <cellStyle name="Normal 16 8 3 6" xfId="38386" xr:uid="{00000000-0005-0000-0000-0000E1220000}"/>
    <cellStyle name="Normal 16 8 4" xfId="4322" xr:uid="{00000000-0005-0000-0000-0000E2220000}"/>
    <cellStyle name="Normal 16 8 4 2" xfId="4323" xr:uid="{00000000-0005-0000-0000-0000E3220000}"/>
    <cellStyle name="Normal 16 8 4 2 2" xfId="10213" xr:uid="{00000000-0005-0000-0000-0000E4220000}"/>
    <cellStyle name="Normal 16 8 4 2 2 2" xfId="33698" xr:uid="{00000000-0005-0000-0000-0000E5220000}"/>
    <cellStyle name="Normal 16 8 4 2 2 3" xfId="24379" xr:uid="{00000000-0005-0000-0000-0000E6220000}"/>
    <cellStyle name="Normal 16 8 4 2 2 4" xfId="47641" xr:uid="{00000000-0005-0000-0000-0000E7220000}"/>
    <cellStyle name="Normal 16 8 4 2 3" xfId="14944" xr:uid="{00000000-0005-0000-0000-0000E8220000}"/>
    <cellStyle name="Normal 16 8 4 2 3 2" xfId="29076" xr:uid="{00000000-0005-0000-0000-0000E9220000}"/>
    <cellStyle name="Normal 16 8 4 2 3 3" xfId="42971" xr:uid="{00000000-0005-0000-0000-0000EA220000}"/>
    <cellStyle name="Normal 16 8 4 2 4" xfId="19757" xr:uid="{00000000-0005-0000-0000-0000EB220000}"/>
    <cellStyle name="Normal 16 8 4 2 5" xfId="38389" xr:uid="{00000000-0005-0000-0000-0000EC220000}"/>
    <cellStyle name="Normal 16 8 4 3" xfId="10212" xr:uid="{00000000-0005-0000-0000-0000ED220000}"/>
    <cellStyle name="Normal 16 8 4 3 2" xfId="33697" xr:uid="{00000000-0005-0000-0000-0000EE220000}"/>
    <cellStyle name="Normal 16 8 4 3 3" xfId="24378" xr:uid="{00000000-0005-0000-0000-0000EF220000}"/>
    <cellStyle name="Normal 16 8 4 3 4" xfId="47640" xr:uid="{00000000-0005-0000-0000-0000F0220000}"/>
    <cellStyle name="Normal 16 8 4 4" xfId="14943" xr:uid="{00000000-0005-0000-0000-0000F1220000}"/>
    <cellStyle name="Normal 16 8 4 4 2" xfId="29075" xr:uid="{00000000-0005-0000-0000-0000F2220000}"/>
    <cellStyle name="Normal 16 8 4 4 3" xfId="42970" xr:uid="{00000000-0005-0000-0000-0000F3220000}"/>
    <cellStyle name="Normal 16 8 4 5" xfId="19756" xr:uid="{00000000-0005-0000-0000-0000F4220000}"/>
    <cellStyle name="Normal 16 8 4 6" xfId="38388" xr:uid="{00000000-0005-0000-0000-0000F5220000}"/>
    <cellStyle name="Normal 16 8 5" xfId="4324" xr:uid="{00000000-0005-0000-0000-0000F6220000}"/>
    <cellStyle name="Normal 16 8 5 2" xfId="4325" xr:uid="{00000000-0005-0000-0000-0000F7220000}"/>
    <cellStyle name="Normal 16 8 5 2 2" xfId="10215" xr:uid="{00000000-0005-0000-0000-0000F8220000}"/>
    <cellStyle name="Normal 16 8 5 2 2 2" xfId="33700" xr:uid="{00000000-0005-0000-0000-0000F9220000}"/>
    <cellStyle name="Normal 16 8 5 2 2 3" xfId="24381" xr:uid="{00000000-0005-0000-0000-0000FA220000}"/>
    <cellStyle name="Normal 16 8 5 2 2 4" xfId="47643" xr:uid="{00000000-0005-0000-0000-0000FB220000}"/>
    <cellStyle name="Normal 16 8 5 2 3" xfId="14946" xr:uid="{00000000-0005-0000-0000-0000FC220000}"/>
    <cellStyle name="Normal 16 8 5 2 3 2" xfId="29078" xr:uid="{00000000-0005-0000-0000-0000FD220000}"/>
    <cellStyle name="Normal 16 8 5 2 3 3" xfId="42973" xr:uid="{00000000-0005-0000-0000-0000FE220000}"/>
    <cellStyle name="Normal 16 8 5 2 4" xfId="19759" xr:uid="{00000000-0005-0000-0000-0000FF220000}"/>
    <cellStyle name="Normal 16 8 5 2 5" xfId="38391" xr:uid="{00000000-0005-0000-0000-000000230000}"/>
    <cellStyle name="Normal 16 8 5 3" xfId="10214" xr:uid="{00000000-0005-0000-0000-000001230000}"/>
    <cellStyle name="Normal 16 8 5 3 2" xfId="33699" xr:uid="{00000000-0005-0000-0000-000002230000}"/>
    <cellStyle name="Normal 16 8 5 3 3" xfId="24380" xr:uid="{00000000-0005-0000-0000-000003230000}"/>
    <cellStyle name="Normal 16 8 5 3 4" xfId="47642" xr:uid="{00000000-0005-0000-0000-000004230000}"/>
    <cellStyle name="Normal 16 8 5 4" xfId="14945" xr:uid="{00000000-0005-0000-0000-000005230000}"/>
    <cellStyle name="Normal 16 8 5 4 2" xfId="29077" xr:uid="{00000000-0005-0000-0000-000006230000}"/>
    <cellStyle name="Normal 16 8 5 4 3" xfId="42972" xr:uid="{00000000-0005-0000-0000-000007230000}"/>
    <cellStyle name="Normal 16 8 5 5" xfId="19758" xr:uid="{00000000-0005-0000-0000-000008230000}"/>
    <cellStyle name="Normal 16 8 5 6" xfId="38390" xr:uid="{00000000-0005-0000-0000-000009230000}"/>
    <cellStyle name="Normal 16 8 6" xfId="4326" xr:uid="{00000000-0005-0000-0000-00000A230000}"/>
    <cellStyle name="Normal 16 8 6 2" xfId="4327" xr:uid="{00000000-0005-0000-0000-00000B230000}"/>
    <cellStyle name="Normal 16 8 6 2 2" xfId="10217" xr:uid="{00000000-0005-0000-0000-00000C230000}"/>
    <cellStyle name="Normal 16 8 6 2 2 2" xfId="33702" xr:uid="{00000000-0005-0000-0000-00000D230000}"/>
    <cellStyle name="Normal 16 8 6 2 2 3" xfId="24383" xr:uid="{00000000-0005-0000-0000-00000E230000}"/>
    <cellStyle name="Normal 16 8 6 2 2 4" xfId="47645" xr:uid="{00000000-0005-0000-0000-00000F230000}"/>
    <cellStyle name="Normal 16 8 6 2 3" xfId="14948" xr:uid="{00000000-0005-0000-0000-000010230000}"/>
    <cellStyle name="Normal 16 8 6 2 3 2" xfId="29080" xr:uid="{00000000-0005-0000-0000-000011230000}"/>
    <cellStyle name="Normal 16 8 6 2 3 3" xfId="42975" xr:uid="{00000000-0005-0000-0000-000012230000}"/>
    <cellStyle name="Normal 16 8 6 2 4" xfId="19761" xr:uid="{00000000-0005-0000-0000-000013230000}"/>
    <cellStyle name="Normal 16 8 6 2 5" xfId="38393" xr:uid="{00000000-0005-0000-0000-000014230000}"/>
    <cellStyle name="Normal 16 8 6 3" xfId="10216" xr:uid="{00000000-0005-0000-0000-000015230000}"/>
    <cellStyle name="Normal 16 8 6 3 2" xfId="33701" xr:uid="{00000000-0005-0000-0000-000016230000}"/>
    <cellStyle name="Normal 16 8 6 3 3" xfId="24382" xr:uid="{00000000-0005-0000-0000-000017230000}"/>
    <cellStyle name="Normal 16 8 6 3 4" xfId="47644" xr:uid="{00000000-0005-0000-0000-000018230000}"/>
    <cellStyle name="Normal 16 8 6 4" xfId="14947" xr:uid="{00000000-0005-0000-0000-000019230000}"/>
    <cellStyle name="Normal 16 8 6 4 2" xfId="29079" xr:uid="{00000000-0005-0000-0000-00001A230000}"/>
    <cellStyle name="Normal 16 8 6 4 3" xfId="42974" xr:uid="{00000000-0005-0000-0000-00001B230000}"/>
    <cellStyle name="Normal 16 8 6 5" xfId="19760" xr:uid="{00000000-0005-0000-0000-00001C230000}"/>
    <cellStyle name="Normal 16 8 6 6" xfId="38392" xr:uid="{00000000-0005-0000-0000-00001D230000}"/>
    <cellStyle name="Normal 16 8 7" xfId="4328" xr:uid="{00000000-0005-0000-0000-00001E230000}"/>
    <cellStyle name="Normal 16 8 7 2" xfId="10218" xr:uid="{00000000-0005-0000-0000-00001F230000}"/>
    <cellStyle name="Normal 16 8 7 2 2" xfId="33703" xr:uid="{00000000-0005-0000-0000-000020230000}"/>
    <cellStyle name="Normal 16 8 7 2 3" xfId="24384" xr:uid="{00000000-0005-0000-0000-000021230000}"/>
    <cellStyle name="Normal 16 8 7 2 4" xfId="47646" xr:uid="{00000000-0005-0000-0000-000022230000}"/>
    <cellStyle name="Normal 16 8 7 3" xfId="14949" xr:uid="{00000000-0005-0000-0000-000023230000}"/>
    <cellStyle name="Normal 16 8 7 3 2" xfId="29081" xr:uid="{00000000-0005-0000-0000-000024230000}"/>
    <cellStyle name="Normal 16 8 7 3 3" xfId="42976" xr:uid="{00000000-0005-0000-0000-000025230000}"/>
    <cellStyle name="Normal 16 8 7 4" xfId="19762" xr:uid="{00000000-0005-0000-0000-000026230000}"/>
    <cellStyle name="Normal 16 8 7 5" xfId="38394" xr:uid="{00000000-0005-0000-0000-000027230000}"/>
    <cellStyle name="Normal 16 8 8" xfId="10207" xr:uid="{00000000-0005-0000-0000-000028230000}"/>
    <cellStyle name="Normal 16 8 8 2" xfId="33692" xr:uid="{00000000-0005-0000-0000-000029230000}"/>
    <cellStyle name="Normal 16 8 8 3" xfId="24373" xr:uid="{00000000-0005-0000-0000-00002A230000}"/>
    <cellStyle name="Normal 16 8 8 4" xfId="47635" xr:uid="{00000000-0005-0000-0000-00002B230000}"/>
    <cellStyle name="Normal 16 8 9" xfId="14938" xr:uid="{00000000-0005-0000-0000-00002C230000}"/>
    <cellStyle name="Normal 16 8 9 2" xfId="29070" xr:uid="{00000000-0005-0000-0000-00002D230000}"/>
    <cellStyle name="Normal 16 8 9 3" xfId="42965" xr:uid="{00000000-0005-0000-0000-00002E230000}"/>
    <cellStyle name="Normal 16 9" xfId="4329" xr:uid="{00000000-0005-0000-0000-00002F230000}"/>
    <cellStyle name="Normal 16 9 10" xfId="19763" xr:uid="{00000000-0005-0000-0000-000030230000}"/>
    <cellStyle name="Normal 16 9 11" xfId="38395" xr:uid="{00000000-0005-0000-0000-000031230000}"/>
    <cellStyle name="Normal 16 9 2" xfId="4330" xr:uid="{00000000-0005-0000-0000-000032230000}"/>
    <cellStyle name="Normal 16 9 2 2" xfId="4331" xr:uid="{00000000-0005-0000-0000-000033230000}"/>
    <cellStyle name="Normal 16 9 2 2 2" xfId="10221" xr:uid="{00000000-0005-0000-0000-000034230000}"/>
    <cellStyle name="Normal 16 9 2 2 2 2" xfId="33706" xr:uid="{00000000-0005-0000-0000-000035230000}"/>
    <cellStyle name="Normal 16 9 2 2 2 3" xfId="24387" xr:uid="{00000000-0005-0000-0000-000036230000}"/>
    <cellStyle name="Normal 16 9 2 2 2 4" xfId="47649" xr:uid="{00000000-0005-0000-0000-000037230000}"/>
    <cellStyle name="Normal 16 9 2 2 3" xfId="14952" xr:uid="{00000000-0005-0000-0000-000038230000}"/>
    <cellStyle name="Normal 16 9 2 2 3 2" xfId="29084" xr:uid="{00000000-0005-0000-0000-000039230000}"/>
    <cellStyle name="Normal 16 9 2 2 3 3" xfId="42979" xr:uid="{00000000-0005-0000-0000-00003A230000}"/>
    <cellStyle name="Normal 16 9 2 2 4" xfId="19765" xr:uid="{00000000-0005-0000-0000-00003B230000}"/>
    <cellStyle name="Normal 16 9 2 2 5" xfId="38397" xr:uid="{00000000-0005-0000-0000-00003C230000}"/>
    <cellStyle name="Normal 16 9 2 3" xfId="10220" xr:uid="{00000000-0005-0000-0000-00003D230000}"/>
    <cellStyle name="Normal 16 9 2 3 2" xfId="33705" xr:uid="{00000000-0005-0000-0000-00003E230000}"/>
    <cellStyle name="Normal 16 9 2 3 3" xfId="24386" xr:uid="{00000000-0005-0000-0000-00003F230000}"/>
    <cellStyle name="Normal 16 9 2 3 4" xfId="47648" xr:uid="{00000000-0005-0000-0000-000040230000}"/>
    <cellStyle name="Normal 16 9 2 4" xfId="14951" xr:uid="{00000000-0005-0000-0000-000041230000}"/>
    <cellStyle name="Normal 16 9 2 4 2" xfId="29083" xr:uid="{00000000-0005-0000-0000-000042230000}"/>
    <cellStyle name="Normal 16 9 2 4 3" xfId="42978" xr:uid="{00000000-0005-0000-0000-000043230000}"/>
    <cellStyle name="Normal 16 9 2 5" xfId="19764" xr:uid="{00000000-0005-0000-0000-000044230000}"/>
    <cellStyle name="Normal 16 9 2 6" xfId="38396" xr:uid="{00000000-0005-0000-0000-000045230000}"/>
    <cellStyle name="Normal 16 9 3" xfId="4332" xr:uid="{00000000-0005-0000-0000-000046230000}"/>
    <cellStyle name="Normal 16 9 3 2" xfId="4333" xr:uid="{00000000-0005-0000-0000-000047230000}"/>
    <cellStyle name="Normal 16 9 3 2 2" xfId="10223" xr:uid="{00000000-0005-0000-0000-000048230000}"/>
    <cellStyle name="Normal 16 9 3 2 2 2" xfId="33708" xr:uid="{00000000-0005-0000-0000-000049230000}"/>
    <cellStyle name="Normal 16 9 3 2 2 3" xfId="24389" xr:uid="{00000000-0005-0000-0000-00004A230000}"/>
    <cellStyle name="Normal 16 9 3 2 2 4" xfId="47651" xr:uid="{00000000-0005-0000-0000-00004B230000}"/>
    <cellStyle name="Normal 16 9 3 2 3" xfId="14954" xr:uid="{00000000-0005-0000-0000-00004C230000}"/>
    <cellStyle name="Normal 16 9 3 2 3 2" xfId="29086" xr:uid="{00000000-0005-0000-0000-00004D230000}"/>
    <cellStyle name="Normal 16 9 3 2 3 3" xfId="42981" xr:uid="{00000000-0005-0000-0000-00004E230000}"/>
    <cellStyle name="Normal 16 9 3 2 4" xfId="19767" xr:uid="{00000000-0005-0000-0000-00004F230000}"/>
    <cellStyle name="Normal 16 9 3 2 5" xfId="38399" xr:uid="{00000000-0005-0000-0000-000050230000}"/>
    <cellStyle name="Normal 16 9 3 3" xfId="10222" xr:uid="{00000000-0005-0000-0000-000051230000}"/>
    <cellStyle name="Normal 16 9 3 3 2" xfId="33707" xr:uid="{00000000-0005-0000-0000-000052230000}"/>
    <cellStyle name="Normal 16 9 3 3 3" xfId="24388" xr:uid="{00000000-0005-0000-0000-000053230000}"/>
    <cellStyle name="Normal 16 9 3 3 4" xfId="47650" xr:uid="{00000000-0005-0000-0000-000054230000}"/>
    <cellStyle name="Normal 16 9 3 4" xfId="14953" xr:uid="{00000000-0005-0000-0000-000055230000}"/>
    <cellStyle name="Normal 16 9 3 4 2" xfId="29085" xr:uid="{00000000-0005-0000-0000-000056230000}"/>
    <cellStyle name="Normal 16 9 3 4 3" xfId="42980" xr:uid="{00000000-0005-0000-0000-000057230000}"/>
    <cellStyle name="Normal 16 9 3 5" xfId="19766" xr:uid="{00000000-0005-0000-0000-000058230000}"/>
    <cellStyle name="Normal 16 9 3 6" xfId="38398" xr:uid="{00000000-0005-0000-0000-000059230000}"/>
    <cellStyle name="Normal 16 9 4" xfId="4334" xr:uid="{00000000-0005-0000-0000-00005A230000}"/>
    <cellStyle name="Normal 16 9 4 2" xfId="4335" xr:uid="{00000000-0005-0000-0000-00005B230000}"/>
    <cellStyle name="Normal 16 9 4 2 2" xfId="10225" xr:uid="{00000000-0005-0000-0000-00005C230000}"/>
    <cellStyle name="Normal 16 9 4 2 2 2" xfId="33710" xr:uid="{00000000-0005-0000-0000-00005D230000}"/>
    <cellStyle name="Normal 16 9 4 2 2 3" xfId="24391" xr:uid="{00000000-0005-0000-0000-00005E230000}"/>
    <cellStyle name="Normal 16 9 4 2 2 4" xfId="47653" xr:uid="{00000000-0005-0000-0000-00005F230000}"/>
    <cellStyle name="Normal 16 9 4 2 3" xfId="14956" xr:uid="{00000000-0005-0000-0000-000060230000}"/>
    <cellStyle name="Normal 16 9 4 2 3 2" xfId="29088" xr:uid="{00000000-0005-0000-0000-000061230000}"/>
    <cellStyle name="Normal 16 9 4 2 3 3" xfId="42983" xr:uid="{00000000-0005-0000-0000-000062230000}"/>
    <cellStyle name="Normal 16 9 4 2 4" xfId="19769" xr:uid="{00000000-0005-0000-0000-000063230000}"/>
    <cellStyle name="Normal 16 9 4 2 5" xfId="38401" xr:uid="{00000000-0005-0000-0000-000064230000}"/>
    <cellStyle name="Normal 16 9 4 3" xfId="10224" xr:uid="{00000000-0005-0000-0000-000065230000}"/>
    <cellStyle name="Normal 16 9 4 3 2" xfId="33709" xr:uid="{00000000-0005-0000-0000-000066230000}"/>
    <cellStyle name="Normal 16 9 4 3 3" xfId="24390" xr:uid="{00000000-0005-0000-0000-000067230000}"/>
    <cellStyle name="Normal 16 9 4 3 4" xfId="47652" xr:uid="{00000000-0005-0000-0000-000068230000}"/>
    <cellStyle name="Normal 16 9 4 4" xfId="14955" xr:uid="{00000000-0005-0000-0000-000069230000}"/>
    <cellStyle name="Normal 16 9 4 4 2" xfId="29087" xr:uid="{00000000-0005-0000-0000-00006A230000}"/>
    <cellStyle name="Normal 16 9 4 4 3" xfId="42982" xr:uid="{00000000-0005-0000-0000-00006B230000}"/>
    <cellStyle name="Normal 16 9 4 5" xfId="19768" xr:uid="{00000000-0005-0000-0000-00006C230000}"/>
    <cellStyle name="Normal 16 9 4 6" xfId="38400" xr:uid="{00000000-0005-0000-0000-00006D230000}"/>
    <cellStyle name="Normal 16 9 5" xfId="4336" xr:uid="{00000000-0005-0000-0000-00006E230000}"/>
    <cellStyle name="Normal 16 9 5 2" xfId="4337" xr:uid="{00000000-0005-0000-0000-00006F230000}"/>
    <cellStyle name="Normal 16 9 5 2 2" xfId="10227" xr:uid="{00000000-0005-0000-0000-000070230000}"/>
    <cellStyle name="Normal 16 9 5 2 2 2" xfId="33712" xr:uid="{00000000-0005-0000-0000-000071230000}"/>
    <cellStyle name="Normal 16 9 5 2 2 3" xfId="24393" xr:uid="{00000000-0005-0000-0000-000072230000}"/>
    <cellStyle name="Normal 16 9 5 2 2 4" xfId="47655" xr:uid="{00000000-0005-0000-0000-000073230000}"/>
    <cellStyle name="Normal 16 9 5 2 3" xfId="14958" xr:uid="{00000000-0005-0000-0000-000074230000}"/>
    <cellStyle name="Normal 16 9 5 2 3 2" xfId="29090" xr:uid="{00000000-0005-0000-0000-000075230000}"/>
    <cellStyle name="Normal 16 9 5 2 3 3" xfId="42985" xr:uid="{00000000-0005-0000-0000-000076230000}"/>
    <cellStyle name="Normal 16 9 5 2 4" xfId="19771" xr:uid="{00000000-0005-0000-0000-000077230000}"/>
    <cellStyle name="Normal 16 9 5 2 5" xfId="38403" xr:uid="{00000000-0005-0000-0000-000078230000}"/>
    <cellStyle name="Normal 16 9 5 3" xfId="10226" xr:uid="{00000000-0005-0000-0000-000079230000}"/>
    <cellStyle name="Normal 16 9 5 3 2" xfId="33711" xr:uid="{00000000-0005-0000-0000-00007A230000}"/>
    <cellStyle name="Normal 16 9 5 3 3" xfId="24392" xr:uid="{00000000-0005-0000-0000-00007B230000}"/>
    <cellStyle name="Normal 16 9 5 3 4" xfId="47654" xr:uid="{00000000-0005-0000-0000-00007C230000}"/>
    <cellStyle name="Normal 16 9 5 4" xfId="14957" xr:uid="{00000000-0005-0000-0000-00007D230000}"/>
    <cellStyle name="Normal 16 9 5 4 2" xfId="29089" xr:uid="{00000000-0005-0000-0000-00007E230000}"/>
    <cellStyle name="Normal 16 9 5 4 3" xfId="42984" xr:uid="{00000000-0005-0000-0000-00007F230000}"/>
    <cellStyle name="Normal 16 9 5 5" xfId="19770" xr:uid="{00000000-0005-0000-0000-000080230000}"/>
    <cellStyle name="Normal 16 9 5 6" xfId="38402" xr:uid="{00000000-0005-0000-0000-000081230000}"/>
    <cellStyle name="Normal 16 9 6" xfId="4338" xr:uid="{00000000-0005-0000-0000-000082230000}"/>
    <cellStyle name="Normal 16 9 6 2" xfId="4339" xr:uid="{00000000-0005-0000-0000-000083230000}"/>
    <cellStyle name="Normal 16 9 6 2 2" xfId="10229" xr:uid="{00000000-0005-0000-0000-000084230000}"/>
    <cellStyle name="Normal 16 9 6 2 2 2" xfId="33714" xr:uid="{00000000-0005-0000-0000-000085230000}"/>
    <cellStyle name="Normal 16 9 6 2 2 3" xfId="24395" xr:uid="{00000000-0005-0000-0000-000086230000}"/>
    <cellStyle name="Normal 16 9 6 2 2 4" xfId="47657" xr:uid="{00000000-0005-0000-0000-000087230000}"/>
    <cellStyle name="Normal 16 9 6 2 3" xfId="14960" xr:uid="{00000000-0005-0000-0000-000088230000}"/>
    <cellStyle name="Normal 16 9 6 2 3 2" xfId="29092" xr:uid="{00000000-0005-0000-0000-000089230000}"/>
    <cellStyle name="Normal 16 9 6 2 3 3" xfId="42987" xr:uid="{00000000-0005-0000-0000-00008A230000}"/>
    <cellStyle name="Normal 16 9 6 2 4" xfId="19773" xr:uid="{00000000-0005-0000-0000-00008B230000}"/>
    <cellStyle name="Normal 16 9 6 2 5" xfId="38405" xr:uid="{00000000-0005-0000-0000-00008C230000}"/>
    <cellStyle name="Normal 16 9 6 3" xfId="10228" xr:uid="{00000000-0005-0000-0000-00008D230000}"/>
    <cellStyle name="Normal 16 9 6 3 2" xfId="33713" xr:uid="{00000000-0005-0000-0000-00008E230000}"/>
    <cellStyle name="Normal 16 9 6 3 3" xfId="24394" xr:uid="{00000000-0005-0000-0000-00008F230000}"/>
    <cellStyle name="Normal 16 9 6 3 4" xfId="47656" xr:uid="{00000000-0005-0000-0000-000090230000}"/>
    <cellStyle name="Normal 16 9 6 4" xfId="14959" xr:uid="{00000000-0005-0000-0000-000091230000}"/>
    <cellStyle name="Normal 16 9 6 4 2" xfId="29091" xr:uid="{00000000-0005-0000-0000-000092230000}"/>
    <cellStyle name="Normal 16 9 6 4 3" xfId="42986" xr:uid="{00000000-0005-0000-0000-000093230000}"/>
    <cellStyle name="Normal 16 9 6 5" xfId="19772" xr:uid="{00000000-0005-0000-0000-000094230000}"/>
    <cellStyle name="Normal 16 9 6 6" xfId="38404" xr:uid="{00000000-0005-0000-0000-000095230000}"/>
    <cellStyle name="Normal 16 9 7" xfId="4340" xr:uid="{00000000-0005-0000-0000-000096230000}"/>
    <cellStyle name="Normal 16 9 7 2" xfId="10230" xr:uid="{00000000-0005-0000-0000-000097230000}"/>
    <cellStyle name="Normal 16 9 7 2 2" xfId="33715" xr:uid="{00000000-0005-0000-0000-000098230000}"/>
    <cellStyle name="Normal 16 9 7 2 3" xfId="24396" xr:uid="{00000000-0005-0000-0000-000099230000}"/>
    <cellStyle name="Normal 16 9 7 2 4" xfId="47658" xr:uid="{00000000-0005-0000-0000-00009A230000}"/>
    <cellStyle name="Normal 16 9 7 3" xfId="14961" xr:uid="{00000000-0005-0000-0000-00009B230000}"/>
    <cellStyle name="Normal 16 9 7 3 2" xfId="29093" xr:uid="{00000000-0005-0000-0000-00009C230000}"/>
    <cellStyle name="Normal 16 9 7 3 3" xfId="42988" xr:uid="{00000000-0005-0000-0000-00009D230000}"/>
    <cellStyle name="Normal 16 9 7 4" xfId="19774" xr:uid="{00000000-0005-0000-0000-00009E230000}"/>
    <cellStyle name="Normal 16 9 7 5" xfId="38406" xr:uid="{00000000-0005-0000-0000-00009F230000}"/>
    <cellStyle name="Normal 16 9 8" xfId="10219" xr:uid="{00000000-0005-0000-0000-0000A0230000}"/>
    <cellStyle name="Normal 16 9 8 2" xfId="33704" xr:uid="{00000000-0005-0000-0000-0000A1230000}"/>
    <cellStyle name="Normal 16 9 8 3" xfId="24385" xr:uid="{00000000-0005-0000-0000-0000A2230000}"/>
    <cellStyle name="Normal 16 9 8 4" xfId="47647" xr:uid="{00000000-0005-0000-0000-0000A3230000}"/>
    <cellStyle name="Normal 16 9 9" xfId="14950" xr:uid="{00000000-0005-0000-0000-0000A4230000}"/>
    <cellStyle name="Normal 16 9 9 2" xfId="29082" xr:uid="{00000000-0005-0000-0000-0000A5230000}"/>
    <cellStyle name="Normal 16 9 9 3" xfId="42977" xr:uid="{00000000-0005-0000-0000-0000A6230000}"/>
    <cellStyle name="Normal 160" xfId="127" xr:uid="{00000000-0005-0000-0000-0000A7230000}"/>
    <cellStyle name="Normal 161" xfId="128" xr:uid="{00000000-0005-0000-0000-0000A8230000}"/>
    <cellStyle name="Normal 162" xfId="129" xr:uid="{00000000-0005-0000-0000-0000A9230000}"/>
    <cellStyle name="Normal 163" xfId="130" xr:uid="{00000000-0005-0000-0000-0000AA230000}"/>
    <cellStyle name="Normal 164" xfId="131" xr:uid="{00000000-0005-0000-0000-0000AB230000}"/>
    <cellStyle name="Normal 165" xfId="132" xr:uid="{00000000-0005-0000-0000-0000AC230000}"/>
    <cellStyle name="Normal 166" xfId="133" xr:uid="{00000000-0005-0000-0000-0000AD230000}"/>
    <cellStyle name="Normal 167" xfId="134" xr:uid="{00000000-0005-0000-0000-0000AE230000}"/>
    <cellStyle name="Normal 168" xfId="135" xr:uid="{00000000-0005-0000-0000-0000AF230000}"/>
    <cellStyle name="Normal 169" xfId="136" xr:uid="{00000000-0005-0000-0000-0000B0230000}"/>
    <cellStyle name="Normal 17" xfId="137" xr:uid="{00000000-0005-0000-0000-0000B1230000}"/>
    <cellStyle name="Normal 17 10" xfId="4341" xr:uid="{00000000-0005-0000-0000-0000B2230000}"/>
    <cellStyle name="Normal 17 11" xfId="4342" xr:uid="{00000000-0005-0000-0000-0000B3230000}"/>
    <cellStyle name="Normal 17 12" xfId="4343" xr:uid="{00000000-0005-0000-0000-0000B4230000}"/>
    <cellStyle name="Normal 17 13" xfId="4344" xr:uid="{00000000-0005-0000-0000-0000B5230000}"/>
    <cellStyle name="Normal 17 14" xfId="4345" xr:uid="{00000000-0005-0000-0000-0000B6230000}"/>
    <cellStyle name="Normal 17 15" xfId="406" xr:uid="{00000000-0005-0000-0000-0000B7230000}"/>
    <cellStyle name="Normal 17 16" xfId="9509" xr:uid="{00000000-0005-0000-0000-0000B8230000}"/>
    <cellStyle name="Normal 17 16 2" xfId="14177" xr:uid="{00000000-0005-0000-0000-0000B9230000}"/>
    <cellStyle name="Normal 17 16 3" xfId="46924" xr:uid="{00000000-0005-0000-0000-0000BA230000}"/>
    <cellStyle name="Normal 17 2" xfId="4346" xr:uid="{00000000-0005-0000-0000-0000BB230000}"/>
    <cellStyle name="Normal 17 2 10" xfId="19775" xr:uid="{00000000-0005-0000-0000-0000BC230000}"/>
    <cellStyle name="Normal 17 2 11" xfId="38407" xr:uid="{00000000-0005-0000-0000-0000BD230000}"/>
    <cellStyle name="Normal 17 2 2" xfId="4347" xr:uid="{00000000-0005-0000-0000-0000BE230000}"/>
    <cellStyle name="Normal 17 2 2 2" xfId="4348" xr:uid="{00000000-0005-0000-0000-0000BF230000}"/>
    <cellStyle name="Normal 17 2 2 2 2" xfId="10233" xr:uid="{00000000-0005-0000-0000-0000C0230000}"/>
    <cellStyle name="Normal 17 2 2 2 2 2" xfId="33718" xr:uid="{00000000-0005-0000-0000-0000C1230000}"/>
    <cellStyle name="Normal 17 2 2 2 2 3" xfId="24399" xr:uid="{00000000-0005-0000-0000-0000C2230000}"/>
    <cellStyle name="Normal 17 2 2 2 2 4" xfId="47661" xr:uid="{00000000-0005-0000-0000-0000C3230000}"/>
    <cellStyle name="Normal 17 2 2 2 3" xfId="14964" xr:uid="{00000000-0005-0000-0000-0000C4230000}"/>
    <cellStyle name="Normal 17 2 2 2 3 2" xfId="29096" xr:uid="{00000000-0005-0000-0000-0000C5230000}"/>
    <cellStyle name="Normal 17 2 2 2 3 3" xfId="42991" xr:uid="{00000000-0005-0000-0000-0000C6230000}"/>
    <cellStyle name="Normal 17 2 2 2 4" xfId="19777" xr:uid="{00000000-0005-0000-0000-0000C7230000}"/>
    <cellStyle name="Normal 17 2 2 2 5" xfId="38409" xr:uid="{00000000-0005-0000-0000-0000C8230000}"/>
    <cellStyle name="Normal 17 2 2 3" xfId="10232" xr:uid="{00000000-0005-0000-0000-0000C9230000}"/>
    <cellStyle name="Normal 17 2 2 3 2" xfId="33717" xr:uid="{00000000-0005-0000-0000-0000CA230000}"/>
    <cellStyle name="Normal 17 2 2 3 3" xfId="24398" xr:uid="{00000000-0005-0000-0000-0000CB230000}"/>
    <cellStyle name="Normal 17 2 2 3 4" xfId="47660" xr:uid="{00000000-0005-0000-0000-0000CC230000}"/>
    <cellStyle name="Normal 17 2 2 4" xfId="14963" xr:uid="{00000000-0005-0000-0000-0000CD230000}"/>
    <cellStyle name="Normal 17 2 2 4 2" xfId="29095" xr:uid="{00000000-0005-0000-0000-0000CE230000}"/>
    <cellStyle name="Normal 17 2 2 4 3" xfId="42990" xr:uid="{00000000-0005-0000-0000-0000CF230000}"/>
    <cellStyle name="Normal 17 2 2 5" xfId="19776" xr:uid="{00000000-0005-0000-0000-0000D0230000}"/>
    <cellStyle name="Normal 17 2 2 6" xfId="38408" xr:uid="{00000000-0005-0000-0000-0000D1230000}"/>
    <cellStyle name="Normal 17 2 3" xfId="4349" xr:uid="{00000000-0005-0000-0000-0000D2230000}"/>
    <cellStyle name="Normal 17 2 3 2" xfId="4350" xr:uid="{00000000-0005-0000-0000-0000D3230000}"/>
    <cellStyle name="Normal 17 2 3 2 2" xfId="10235" xr:uid="{00000000-0005-0000-0000-0000D4230000}"/>
    <cellStyle name="Normal 17 2 3 2 2 2" xfId="33720" xr:uid="{00000000-0005-0000-0000-0000D5230000}"/>
    <cellStyle name="Normal 17 2 3 2 2 3" xfId="24401" xr:uid="{00000000-0005-0000-0000-0000D6230000}"/>
    <cellStyle name="Normal 17 2 3 2 2 4" xfId="47663" xr:uid="{00000000-0005-0000-0000-0000D7230000}"/>
    <cellStyle name="Normal 17 2 3 2 3" xfId="14966" xr:uid="{00000000-0005-0000-0000-0000D8230000}"/>
    <cellStyle name="Normal 17 2 3 2 3 2" xfId="29098" xr:uid="{00000000-0005-0000-0000-0000D9230000}"/>
    <cellStyle name="Normal 17 2 3 2 3 3" xfId="42993" xr:uid="{00000000-0005-0000-0000-0000DA230000}"/>
    <cellStyle name="Normal 17 2 3 2 4" xfId="19779" xr:uid="{00000000-0005-0000-0000-0000DB230000}"/>
    <cellStyle name="Normal 17 2 3 2 5" xfId="38411" xr:uid="{00000000-0005-0000-0000-0000DC230000}"/>
    <cellStyle name="Normal 17 2 3 3" xfId="10234" xr:uid="{00000000-0005-0000-0000-0000DD230000}"/>
    <cellStyle name="Normal 17 2 3 3 2" xfId="33719" xr:uid="{00000000-0005-0000-0000-0000DE230000}"/>
    <cellStyle name="Normal 17 2 3 3 3" xfId="24400" xr:uid="{00000000-0005-0000-0000-0000DF230000}"/>
    <cellStyle name="Normal 17 2 3 3 4" xfId="47662" xr:uid="{00000000-0005-0000-0000-0000E0230000}"/>
    <cellStyle name="Normal 17 2 3 4" xfId="14965" xr:uid="{00000000-0005-0000-0000-0000E1230000}"/>
    <cellStyle name="Normal 17 2 3 4 2" xfId="29097" xr:uid="{00000000-0005-0000-0000-0000E2230000}"/>
    <cellStyle name="Normal 17 2 3 4 3" xfId="42992" xr:uid="{00000000-0005-0000-0000-0000E3230000}"/>
    <cellStyle name="Normal 17 2 3 5" xfId="19778" xr:uid="{00000000-0005-0000-0000-0000E4230000}"/>
    <cellStyle name="Normal 17 2 3 6" xfId="38410" xr:uid="{00000000-0005-0000-0000-0000E5230000}"/>
    <cellStyle name="Normal 17 2 4" xfId="4351" xr:uid="{00000000-0005-0000-0000-0000E6230000}"/>
    <cellStyle name="Normal 17 2 4 2" xfId="4352" xr:uid="{00000000-0005-0000-0000-0000E7230000}"/>
    <cellStyle name="Normal 17 2 4 2 2" xfId="10237" xr:uid="{00000000-0005-0000-0000-0000E8230000}"/>
    <cellStyle name="Normal 17 2 4 2 2 2" xfId="33722" xr:uid="{00000000-0005-0000-0000-0000E9230000}"/>
    <cellStyle name="Normal 17 2 4 2 2 3" xfId="24403" xr:uid="{00000000-0005-0000-0000-0000EA230000}"/>
    <cellStyle name="Normal 17 2 4 2 2 4" xfId="47665" xr:uid="{00000000-0005-0000-0000-0000EB230000}"/>
    <cellStyle name="Normal 17 2 4 2 3" xfId="14968" xr:uid="{00000000-0005-0000-0000-0000EC230000}"/>
    <cellStyle name="Normal 17 2 4 2 3 2" xfId="29100" xr:uid="{00000000-0005-0000-0000-0000ED230000}"/>
    <cellStyle name="Normal 17 2 4 2 3 3" xfId="42995" xr:uid="{00000000-0005-0000-0000-0000EE230000}"/>
    <cellStyle name="Normal 17 2 4 2 4" xfId="19781" xr:uid="{00000000-0005-0000-0000-0000EF230000}"/>
    <cellStyle name="Normal 17 2 4 2 5" xfId="38413" xr:uid="{00000000-0005-0000-0000-0000F0230000}"/>
    <cellStyle name="Normal 17 2 4 3" xfId="10236" xr:uid="{00000000-0005-0000-0000-0000F1230000}"/>
    <cellStyle name="Normal 17 2 4 3 2" xfId="33721" xr:uid="{00000000-0005-0000-0000-0000F2230000}"/>
    <cellStyle name="Normal 17 2 4 3 3" xfId="24402" xr:uid="{00000000-0005-0000-0000-0000F3230000}"/>
    <cellStyle name="Normal 17 2 4 3 4" xfId="47664" xr:uid="{00000000-0005-0000-0000-0000F4230000}"/>
    <cellStyle name="Normal 17 2 4 4" xfId="14967" xr:uid="{00000000-0005-0000-0000-0000F5230000}"/>
    <cellStyle name="Normal 17 2 4 4 2" xfId="29099" xr:uid="{00000000-0005-0000-0000-0000F6230000}"/>
    <cellStyle name="Normal 17 2 4 4 3" xfId="42994" xr:uid="{00000000-0005-0000-0000-0000F7230000}"/>
    <cellStyle name="Normal 17 2 4 5" xfId="19780" xr:uid="{00000000-0005-0000-0000-0000F8230000}"/>
    <cellStyle name="Normal 17 2 4 6" xfId="38412" xr:uid="{00000000-0005-0000-0000-0000F9230000}"/>
    <cellStyle name="Normal 17 2 5" xfId="4353" xr:uid="{00000000-0005-0000-0000-0000FA230000}"/>
    <cellStyle name="Normal 17 2 5 2" xfId="4354" xr:uid="{00000000-0005-0000-0000-0000FB230000}"/>
    <cellStyle name="Normal 17 2 5 2 2" xfId="10239" xr:uid="{00000000-0005-0000-0000-0000FC230000}"/>
    <cellStyle name="Normal 17 2 5 2 2 2" xfId="33724" xr:uid="{00000000-0005-0000-0000-0000FD230000}"/>
    <cellStyle name="Normal 17 2 5 2 2 3" xfId="24405" xr:uid="{00000000-0005-0000-0000-0000FE230000}"/>
    <cellStyle name="Normal 17 2 5 2 2 4" xfId="47667" xr:uid="{00000000-0005-0000-0000-0000FF230000}"/>
    <cellStyle name="Normal 17 2 5 2 3" xfId="14970" xr:uid="{00000000-0005-0000-0000-000000240000}"/>
    <cellStyle name="Normal 17 2 5 2 3 2" xfId="29102" xr:uid="{00000000-0005-0000-0000-000001240000}"/>
    <cellStyle name="Normal 17 2 5 2 3 3" xfId="42997" xr:uid="{00000000-0005-0000-0000-000002240000}"/>
    <cellStyle name="Normal 17 2 5 2 4" xfId="19783" xr:uid="{00000000-0005-0000-0000-000003240000}"/>
    <cellStyle name="Normal 17 2 5 2 5" xfId="38415" xr:uid="{00000000-0005-0000-0000-000004240000}"/>
    <cellStyle name="Normal 17 2 5 3" xfId="10238" xr:uid="{00000000-0005-0000-0000-000005240000}"/>
    <cellStyle name="Normal 17 2 5 3 2" xfId="33723" xr:uid="{00000000-0005-0000-0000-000006240000}"/>
    <cellStyle name="Normal 17 2 5 3 3" xfId="24404" xr:uid="{00000000-0005-0000-0000-000007240000}"/>
    <cellStyle name="Normal 17 2 5 3 4" xfId="47666" xr:uid="{00000000-0005-0000-0000-000008240000}"/>
    <cellStyle name="Normal 17 2 5 4" xfId="14969" xr:uid="{00000000-0005-0000-0000-000009240000}"/>
    <cellStyle name="Normal 17 2 5 4 2" xfId="29101" xr:uid="{00000000-0005-0000-0000-00000A240000}"/>
    <cellStyle name="Normal 17 2 5 4 3" xfId="42996" xr:uid="{00000000-0005-0000-0000-00000B240000}"/>
    <cellStyle name="Normal 17 2 5 5" xfId="19782" xr:uid="{00000000-0005-0000-0000-00000C240000}"/>
    <cellStyle name="Normal 17 2 5 6" xfId="38414" xr:uid="{00000000-0005-0000-0000-00000D240000}"/>
    <cellStyle name="Normal 17 2 6" xfId="4355" xr:uid="{00000000-0005-0000-0000-00000E240000}"/>
    <cellStyle name="Normal 17 2 6 2" xfId="4356" xr:uid="{00000000-0005-0000-0000-00000F240000}"/>
    <cellStyle name="Normal 17 2 6 2 2" xfId="10241" xr:uid="{00000000-0005-0000-0000-000010240000}"/>
    <cellStyle name="Normal 17 2 6 2 2 2" xfId="33726" xr:uid="{00000000-0005-0000-0000-000011240000}"/>
    <cellStyle name="Normal 17 2 6 2 2 3" xfId="24407" xr:uid="{00000000-0005-0000-0000-000012240000}"/>
    <cellStyle name="Normal 17 2 6 2 2 4" xfId="47669" xr:uid="{00000000-0005-0000-0000-000013240000}"/>
    <cellStyle name="Normal 17 2 6 2 3" xfId="14972" xr:uid="{00000000-0005-0000-0000-000014240000}"/>
    <cellStyle name="Normal 17 2 6 2 3 2" xfId="29104" xr:uid="{00000000-0005-0000-0000-000015240000}"/>
    <cellStyle name="Normal 17 2 6 2 3 3" xfId="42999" xr:uid="{00000000-0005-0000-0000-000016240000}"/>
    <cellStyle name="Normal 17 2 6 2 4" xfId="19785" xr:uid="{00000000-0005-0000-0000-000017240000}"/>
    <cellStyle name="Normal 17 2 6 2 5" xfId="38417" xr:uid="{00000000-0005-0000-0000-000018240000}"/>
    <cellStyle name="Normal 17 2 6 3" xfId="10240" xr:uid="{00000000-0005-0000-0000-000019240000}"/>
    <cellStyle name="Normal 17 2 6 3 2" xfId="33725" xr:uid="{00000000-0005-0000-0000-00001A240000}"/>
    <cellStyle name="Normal 17 2 6 3 3" xfId="24406" xr:uid="{00000000-0005-0000-0000-00001B240000}"/>
    <cellStyle name="Normal 17 2 6 3 4" xfId="47668" xr:uid="{00000000-0005-0000-0000-00001C240000}"/>
    <cellStyle name="Normal 17 2 6 4" xfId="14971" xr:uid="{00000000-0005-0000-0000-00001D240000}"/>
    <cellStyle name="Normal 17 2 6 4 2" xfId="29103" xr:uid="{00000000-0005-0000-0000-00001E240000}"/>
    <cellStyle name="Normal 17 2 6 4 3" xfId="42998" xr:uid="{00000000-0005-0000-0000-00001F240000}"/>
    <cellStyle name="Normal 17 2 6 5" xfId="19784" xr:uid="{00000000-0005-0000-0000-000020240000}"/>
    <cellStyle name="Normal 17 2 6 6" xfId="38416" xr:uid="{00000000-0005-0000-0000-000021240000}"/>
    <cellStyle name="Normal 17 2 7" xfId="4357" xr:uid="{00000000-0005-0000-0000-000022240000}"/>
    <cellStyle name="Normal 17 2 7 2" xfId="10242" xr:uid="{00000000-0005-0000-0000-000023240000}"/>
    <cellStyle name="Normal 17 2 7 2 2" xfId="33727" xr:uid="{00000000-0005-0000-0000-000024240000}"/>
    <cellStyle name="Normal 17 2 7 2 3" xfId="24408" xr:uid="{00000000-0005-0000-0000-000025240000}"/>
    <cellStyle name="Normal 17 2 7 2 4" xfId="47670" xr:uid="{00000000-0005-0000-0000-000026240000}"/>
    <cellStyle name="Normal 17 2 7 3" xfId="14973" xr:uid="{00000000-0005-0000-0000-000027240000}"/>
    <cellStyle name="Normal 17 2 7 3 2" xfId="29105" xr:uid="{00000000-0005-0000-0000-000028240000}"/>
    <cellStyle name="Normal 17 2 7 3 3" xfId="43000" xr:uid="{00000000-0005-0000-0000-000029240000}"/>
    <cellStyle name="Normal 17 2 7 4" xfId="19786" xr:uid="{00000000-0005-0000-0000-00002A240000}"/>
    <cellStyle name="Normal 17 2 7 5" xfId="38418" xr:uid="{00000000-0005-0000-0000-00002B240000}"/>
    <cellStyle name="Normal 17 2 8" xfId="10231" xr:uid="{00000000-0005-0000-0000-00002C240000}"/>
    <cellStyle name="Normal 17 2 8 2" xfId="33716" xr:uid="{00000000-0005-0000-0000-00002D240000}"/>
    <cellStyle name="Normal 17 2 8 3" xfId="24397" xr:uid="{00000000-0005-0000-0000-00002E240000}"/>
    <cellStyle name="Normal 17 2 8 4" xfId="47659" xr:uid="{00000000-0005-0000-0000-00002F240000}"/>
    <cellStyle name="Normal 17 2 9" xfId="14962" xr:uid="{00000000-0005-0000-0000-000030240000}"/>
    <cellStyle name="Normal 17 2 9 2" xfId="29094" xr:uid="{00000000-0005-0000-0000-000031240000}"/>
    <cellStyle name="Normal 17 2 9 3" xfId="42989" xr:uid="{00000000-0005-0000-0000-000032240000}"/>
    <cellStyle name="Normal 17 3" xfId="4358" xr:uid="{00000000-0005-0000-0000-000033240000}"/>
    <cellStyle name="Normal 17 3 10" xfId="19787" xr:uid="{00000000-0005-0000-0000-000034240000}"/>
    <cellStyle name="Normal 17 3 11" xfId="38419" xr:uid="{00000000-0005-0000-0000-000035240000}"/>
    <cellStyle name="Normal 17 3 2" xfId="4359" xr:uid="{00000000-0005-0000-0000-000036240000}"/>
    <cellStyle name="Normal 17 3 2 2" xfId="4360" xr:uid="{00000000-0005-0000-0000-000037240000}"/>
    <cellStyle name="Normal 17 3 2 2 2" xfId="10245" xr:uid="{00000000-0005-0000-0000-000038240000}"/>
    <cellStyle name="Normal 17 3 2 2 2 2" xfId="33730" xr:uid="{00000000-0005-0000-0000-000039240000}"/>
    <cellStyle name="Normal 17 3 2 2 2 3" xfId="24411" xr:uid="{00000000-0005-0000-0000-00003A240000}"/>
    <cellStyle name="Normal 17 3 2 2 2 4" xfId="47673" xr:uid="{00000000-0005-0000-0000-00003B240000}"/>
    <cellStyle name="Normal 17 3 2 2 3" xfId="14976" xr:uid="{00000000-0005-0000-0000-00003C240000}"/>
    <cellStyle name="Normal 17 3 2 2 3 2" xfId="29108" xr:uid="{00000000-0005-0000-0000-00003D240000}"/>
    <cellStyle name="Normal 17 3 2 2 3 3" xfId="43003" xr:uid="{00000000-0005-0000-0000-00003E240000}"/>
    <cellStyle name="Normal 17 3 2 2 4" xfId="19789" xr:uid="{00000000-0005-0000-0000-00003F240000}"/>
    <cellStyle name="Normal 17 3 2 2 5" xfId="38421" xr:uid="{00000000-0005-0000-0000-000040240000}"/>
    <cellStyle name="Normal 17 3 2 3" xfId="10244" xr:uid="{00000000-0005-0000-0000-000041240000}"/>
    <cellStyle name="Normal 17 3 2 3 2" xfId="33729" xr:uid="{00000000-0005-0000-0000-000042240000}"/>
    <cellStyle name="Normal 17 3 2 3 3" xfId="24410" xr:uid="{00000000-0005-0000-0000-000043240000}"/>
    <cellStyle name="Normal 17 3 2 3 4" xfId="47672" xr:uid="{00000000-0005-0000-0000-000044240000}"/>
    <cellStyle name="Normal 17 3 2 4" xfId="14975" xr:uid="{00000000-0005-0000-0000-000045240000}"/>
    <cellStyle name="Normal 17 3 2 4 2" xfId="29107" xr:uid="{00000000-0005-0000-0000-000046240000}"/>
    <cellStyle name="Normal 17 3 2 4 3" xfId="43002" xr:uid="{00000000-0005-0000-0000-000047240000}"/>
    <cellStyle name="Normal 17 3 2 5" xfId="19788" xr:uid="{00000000-0005-0000-0000-000048240000}"/>
    <cellStyle name="Normal 17 3 2 6" xfId="38420" xr:uid="{00000000-0005-0000-0000-000049240000}"/>
    <cellStyle name="Normal 17 3 3" xfId="4361" xr:uid="{00000000-0005-0000-0000-00004A240000}"/>
    <cellStyle name="Normal 17 3 3 2" xfId="4362" xr:uid="{00000000-0005-0000-0000-00004B240000}"/>
    <cellStyle name="Normal 17 3 3 2 2" xfId="10247" xr:uid="{00000000-0005-0000-0000-00004C240000}"/>
    <cellStyle name="Normal 17 3 3 2 2 2" xfId="33732" xr:uid="{00000000-0005-0000-0000-00004D240000}"/>
    <cellStyle name="Normal 17 3 3 2 2 3" xfId="24413" xr:uid="{00000000-0005-0000-0000-00004E240000}"/>
    <cellStyle name="Normal 17 3 3 2 2 4" xfId="47675" xr:uid="{00000000-0005-0000-0000-00004F240000}"/>
    <cellStyle name="Normal 17 3 3 2 3" xfId="14978" xr:uid="{00000000-0005-0000-0000-000050240000}"/>
    <cellStyle name="Normal 17 3 3 2 3 2" xfId="29110" xr:uid="{00000000-0005-0000-0000-000051240000}"/>
    <cellStyle name="Normal 17 3 3 2 3 3" xfId="43005" xr:uid="{00000000-0005-0000-0000-000052240000}"/>
    <cellStyle name="Normal 17 3 3 2 4" xfId="19791" xr:uid="{00000000-0005-0000-0000-000053240000}"/>
    <cellStyle name="Normal 17 3 3 2 5" xfId="38423" xr:uid="{00000000-0005-0000-0000-000054240000}"/>
    <cellStyle name="Normal 17 3 3 3" xfId="10246" xr:uid="{00000000-0005-0000-0000-000055240000}"/>
    <cellStyle name="Normal 17 3 3 3 2" xfId="33731" xr:uid="{00000000-0005-0000-0000-000056240000}"/>
    <cellStyle name="Normal 17 3 3 3 3" xfId="24412" xr:uid="{00000000-0005-0000-0000-000057240000}"/>
    <cellStyle name="Normal 17 3 3 3 4" xfId="47674" xr:uid="{00000000-0005-0000-0000-000058240000}"/>
    <cellStyle name="Normal 17 3 3 4" xfId="14977" xr:uid="{00000000-0005-0000-0000-000059240000}"/>
    <cellStyle name="Normal 17 3 3 4 2" xfId="29109" xr:uid="{00000000-0005-0000-0000-00005A240000}"/>
    <cellStyle name="Normal 17 3 3 4 3" xfId="43004" xr:uid="{00000000-0005-0000-0000-00005B240000}"/>
    <cellStyle name="Normal 17 3 3 5" xfId="19790" xr:uid="{00000000-0005-0000-0000-00005C240000}"/>
    <cellStyle name="Normal 17 3 3 6" xfId="38422" xr:uid="{00000000-0005-0000-0000-00005D240000}"/>
    <cellStyle name="Normal 17 3 4" xfId="4363" xr:uid="{00000000-0005-0000-0000-00005E240000}"/>
    <cellStyle name="Normal 17 3 4 2" xfId="4364" xr:uid="{00000000-0005-0000-0000-00005F240000}"/>
    <cellStyle name="Normal 17 3 4 2 2" xfId="10249" xr:uid="{00000000-0005-0000-0000-000060240000}"/>
    <cellStyle name="Normal 17 3 4 2 2 2" xfId="33734" xr:uid="{00000000-0005-0000-0000-000061240000}"/>
    <cellStyle name="Normal 17 3 4 2 2 3" xfId="24415" xr:uid="{00000000-0005-0000-0000-000062240000}"/>
    <cellStyle name="Normal 17 3 4 2 2 4" xfId="47677" xr:uid="{00000000-0005-0000-0000-000063240000}"/>
    <cellStyle name="Normal 17 3 4 2 3" xfId="14980" xr:uid="{00000000-0005-0000-0000-000064240000}"/>
    <cellStyle name="Normal 17 3 4 2 3 2" xfId="29112" xr:uid="{00000000-0005-0000-0000-000065240000}"/>
    <cellStyle name="Normal 17 3 4 2 3 3" xfId="43007" xr:uid="{00000000-0005-0000-0000-000066240000}"/>
    <cellStyle name="Normal 17 3 4 2 4" xfId="19793" xr:uid="{00000000-0005-0000-0000-000067240000}"/>
    <cellStyle name="Normal 17 3 4 2 5" xfId="38425" xr:uid="{00000000-0005-0000-0000-000068240000}"/>
    <cellStyle name="Normal 17 3 4 3" xfId="10248" xr:uid="{00000000-0005-0000-0000-000069240000}"/>
    <cellStyle name="Normal 17 3 4 3 2" xfId="33733" xr:uid="{00000000-0005-0000-0000-00006A240000}"/>
    <cellStyle name="Normal 17 3 4 3 3" xfId="24414" xr:uid="{00000000-0005-0000-0000-00006B240000}"/>
    <cellStyle name="Normal 17 3 4 3 4" xfId="47676" xr:uid="{00000000-0005-0000-0000-00006C240000}"/>
    <cellStyle name="Normal 17 3 4 4" xfId="14979" xr:uid="{00000000-0005-0000-0000-00006D240000}"/>
    <cellStyle name="Normal 17 3 4 4 2" xfId="29111" xr:uid="{00000000-0005-0000-0000-00006E240000}"/>
    <cellStyle name="Normal 17 3 4 4 3" xfId="43006" xr:uid="{00000000-0005-0000-0000-00006F240000}"/>
    <cellStyle name="Normal 17 3 4 5" xfId="19792" xr:uid="{00000000-0005-0000-0000-000070240000}"/>
    <cellStyle name="Normal 17 3 4 6" xfId="38424" xr:uid="{00000000-0005-0000-0000-000071240000}"/>
    <cellStyle name="Normal 17 3 5" xfId="4365" xr:uid="{00000000-0005-0000-0000-000072240000}"/>
    <cellStyle name="Normal 17 3 5 2" xfId="4366" xr:uid="{00000000-0005-0000-0000-000073240000}"/>
    <cellStyle name="Normal 17 3 5 2 2" xfId="10251" xr:uid="{00000000-0005-0000-0000-000074240000}"/>
    <cellStyle name="Normal 17 3 5 2 2 2" xfId="33736" xr:uid="{00000000-0005-0000-0000-000075240000}"/>
    <cellStyle name="Normal 17 3 5 2 2 3" xfId="24417" xr:uid="{00000000-0005-0000-0000-000076240000}"/>
    <cellStyle name="Normal 17 3 5 2 2 4" xfId="47679" xr:uid="{00000000-0005-0000-0000-000077240000}"/>
    <cellStyle name="Normal 17 3 5 2 3" xfId="14982" xr:uid="{00000000-0005-0000-0000-000078240000}"/>
    <cellStyle name="Normal 17 3 5 2 3 2" xfId="29114" xr:uid="{00000000-0005-0000-0000-000079240000}"/>
    <cellStyle name="Normal 17 3 5 2 3 3" xfId="43009" xr:uid="{00000000-0005-0000-0000-00007A240000}"/>
    <cellStyle name="Normal 17 3 5 2 4" xfId="19795" xr:uid="{00000000-0005-0000-0000-00007B240000}"/>
    <cellStyle name="Normal 17 3 5 2 5" xfId="38427" xr:uid="{00000000-0005-0000-0000-00007C240000}"/>
    <cellStyle name="Normal 17 3 5 3" xfId="10250" xr:uid="{00000000-0005-0000-0000-00007D240000}"/>
    <cellStyle name="Normal 17 3 5 3 2" xfId="33735" xr:uid="{00000000-0005-0000-0000-00007E240000}"/>
    <cellStyle name="Normal 17 3 5 3 3" xfId="24416" xr:uid="{00000000-0005-0000-0000-00007F240000}"/>
    <cellStyle name="Normal 17 3 5 3 4" xfId="47678" xr:uid="{00000000-0005-0000-0000-000080240000}"/>
    <cellStyle name="Normal 17 3 5 4" xfId="14981" xr:uid="{00000000-0005-0000-0000-000081240000}"/>
    <cellStyle name="Normal 17 3 5 4 2" xfId="29113" xr:uid="{00000000-0005-0000-0000-000082240000}"/>
    <cellStyle name="Normal 17 3 5 4 3" xfId="43008" xr:uid="{00000000-0005-0000-0000-000083240000}"/>
    <cellStyle name="Normal 17 3 5 5" xfId="19794" xr:uid="{00000000-0005-0000-0000-000084240000}"/>
    <cellStyle name="Normal 17 3 5 6" xfId="38426" xr:uid="{00000000-0005-0000-0000-000085240000}"/>
    <cellStyle name="Normal 17 3 6" xfId="4367" xr:uid="{00000000-0005-0000-0000-000086240000}"/>
    <cellStyle name="Normal 17 3 6 2" xfId="4368" xr:uid="{00000000-0005-0000-0000-000087240000}"/>
    <cellStyle name="Normal 17 3 6 2 2" xfId="10253" xr:uid="{00000000-0005-0000-0000-000088240000}"/>
    <cellStyle name="Normal 17 3 6 2 2 2" xfId="33738" xr:uid="{00000000-0005-0000-0000-000089240000}"/>
    <cellStyle name="Normal 17 3 6 2 2 3" xfId="24419" xr:uid="{00000000-0005-0000-0000-00008A240000}"/>
    <cellStyle name="Normal 17 3 6 2 2 4" xfId="47681" xr:uid="{00000000-0005-0000-0000-00008B240000}"/>
    <cellStyle name="Normal 17 3 6 2 3" xfId="14984" xr:uid="{00000000-0005-0000-0000-00008C240000}"/>
    <cellStyle name="Normal 17 3 6 2 3 2" xfId="29116" xr:uid="{00000000-0005-0000-0000-00008D240000}"/>
    <cellStyle name="Normal 17 3 6 2 3 3" xfId="43011" xr:uid="{00000000-0005-0000-0000-00008E240000}"/>
    <cellStyle name="Normal 17 3 6 2 4" xfId="19797" xr:uid="{00000000-0005-0000-0000-00008F240000}"/>
    <cellStyle name="Normal 17 3 6 2 5" xfId="38429" xr:uid="{00000000-0005-0000-0000-000090240000}"/>
    <cellStyle name="Normal 17 3 6 3" xfId="10252" xr:uid="{00000000-0005-0000-0000-000091240000}"/>
    <cellStyle name="Normal 17 3 6 3 2" xfId="33737" xr:uid="{00000000-0005-0000-0000-000092240000}"/>
    <cellStyle name="Normal 17 3 6 3 3" xfId="24418" xr:uid="{00000000-0005-0000-0000-000093240000}"/>
    <cellStyle name="Normal 17 3 6 3 4" xfId="47680" xr:uid="{00000000-0005-0000-0000-000094240000}"/>
    <cellStyle name="Normal 17 3 6 4" xfId="14983" xr:uid="{00000000-0005-0000-0000-000095240000}"/>
    <cellStyle name="Normal 17 3 6 4 2" xfId="29115" xr:uid="{00000000-0005-0000-0000-000096240000}"/>
    <cellStyle name="Normal 17 3 6 4 3" xfId="43010" xr:uid="{00000000-0005-0000-0000-000097240000}"/>
    <cellStyle name="Normal 17 3 6 5" xfId="19796" xr:uid="{00000000-0005-0000-0000-000098240000}"/>
    <cellStyle name="Normal 17 3 6 6" xfId="38428" xr:uid="{00000000-0005-0000-0000-000099240000}"/>
    <cellStyle name="Normal 17 3 7" xfId="4369" xr:uid="{00000000-0005-0000-0000-00009A240000}"/>
    <cellStyle name="Normal 17 3 7 2" xfId="10254" xr:uid="{00000000-0005-0000-0000-00009B240000}"/>
    <cellStyle name="Normal 17 3 7 2 2" xfId="33739" xr:uid="{00000000-0005-0000-0000-00009C240000}"/>
    <cellStyle name="Normal 17 3 7 2 3" xfId="24420" xr:uid="{00000000-0005-0000-0000-00009D240000}"/>
    <cellStyle name="Normal 17 3 7 2 4" xfId="47682" xr:uid="{00000000-0005-0000-0000-00009E240000}"/>
    <cellStyle name="Normal 17 3 7 3" xfId="14985" xr:uid="{00000000-0005-0000-0000-00009F240000}"/>
    <cellStyle name="Normal 17 3 7 3 2" xfId="29117" xr:uid="{00000000-0005-0000-0000-0000A0240000}"/>
    <cellStyle name="Normal 17 3 7 3 3" xfId="43012" xr:uid="{00000000-0005-0000-0000-0000A1240000}"/>
    <cellStyle name="Normal 17 3 7 4" xfId="19798" xr:uid="{00000000-0005-0000-0000-0000A2240000}"/>
    <cellStyle name="Normal 17 3 7 5" xfId="38430" xr:uid="{00000000-0005-0000-0000-0000A3240000}"/>
    <cellStyle name="Normal 17 3 8" xfId="10243" xr:uid="{00000000-0005-0000-0000-0000A4240000}"/>
    <cellStyle name="Normal 17 3 8 2" xfId="33728" xr:uid="{00000000-0005-0000-0000-0000A5240000}"/>
    <cellStyle name="Normal 17 3 8 3" xfId="24409" xr:uid="{00000000-0005-0000-0000-0000A6240000}"/>
    <cellStyle name="Normal 17 3 8 4" xfId="47671" xr:uid="{00000000-0005-0000-0000-0000A7240000}"/>
    <cellStyle name="Normal 17 3 9" xfId="14974" xr:uid="{00000000-0005-0000-0000-0000A8240000}"/>
    <cellStyle name="Normal 17 3 9 2" xfId="29106" xr:uid="{00000000-0005-0000-0000-0000A9240000}"/>
    <cellStyle name="Normal 17 3 9 3" xfId="43001" xr:uid="{00000000-0005-0000-0000-0000AA240000}"/>
    <cellStyle name="Normal 17 4" xfId="4370" xr:uid="{00000000-0005-0000-0000-0000AB240000}"/>
    <cellStyle name="Normal 17 4 10" xfId="19799" xr:uid="{00000000-0005-0000-0000-0000AC240000}"/>
    <cellStyle name="Normal 17 4 11" xfId="38431" xr:uid="{00000000-0005-0000-0000-0000AD240000}"/>
    <cellStyle name="Normal 17 4 2" xfId="4371" xr:uid="{00000000-0005-0000-0000-0000AE240000}"/>
    <cellStyle name="Normal 17 4 2 2" xfId="4372" xr:uid="{00000000-0005-0000-0000-0000AF240000}"/>
    <cellStyle name="Normal 17 4 2 2 2" xfId="10257" xr:uid="{00000000-0005-0000-0000-0000B0240000}"/>
    <cellStyle name="Normal 17 4 2 2 2 2" xfId="33742" xr:uid="{00000000-0005-0000-0000-0000B1240000}"/>
    <cellStyle name="Normal 17 4 2 2 2 3" xfId="24423" xr:uid="{00000000-0005-0000-0000-0000B2240000}"/>
    <cellStyle name="Normal 17 4 2 2 2 4" xfId="47685" xr:uid="{00000000-0005-0000-0000-0000B3240000}"/>
    <cellStyle name="Normal 17 4 2 2 3" xfId="14988" xr:uid="{00000000-0005-0000-0000-0000B4240000}"/>
    <cellStyle name="Normal 17 4 2 2 3 2" xfId="29120" xr:uid="{00000000-0005-0000-0000-0000B5240000}"/>
    <cellStyle name="Normal 17 4 2 2 3 3" xfId="43015" xr:uid="{00000000-0005-0000-0000-0000B6240000}"/>
    <cellStyle name="Normal 17 4 2 2 4" xfId="19801" xr:uid="{00000000-0005-0000-0000-0000B7240000}"/>
    <cellStyle name="Normal 17 4 2 2 5" xfId="38433" xr:uid="{00000000-0005-0000-0000-0000B8240000}"/>
    <cellStyle name="Normal 17 4 2 3" xfId="10256" xr:uid="{00000000-0005-0000-0000-0000B9240000}"/>
    <cellStyle name="Normal 17 4 2 3 2" xfId="33741" xr:uid="{00000000-0005-0000-0000-0000BA240000}"/>
    <cellStyle name="Normal 17 4 2 3 3" xfId="24422" xr:uid="{00000000-0005-0000-0000-0000BB240000}"/>
    <cellStyle name="Normal 17 4 2 3 4" xfId="47684" xr:uid="{00000000-0005-0000-0000-0000BC240000}"/>
    <cellStyle name="Normal 17 4 2 4" xfId="14987" xr:uid="{00000000-0005-0000-0000-0000BD240000}"/>
    <cellStyle name="Normal 17 4 2 4 2" xfId="29119" xr:uid="{00000000-0005-0000-0000-0000BE240000}"/>
    <cellStyle name="Normal 17 4 2 4 3" xfId="43014" xr:uid="{00000000-0005-0000-0000-0000BF240000}"/>
    <cellStyle name="Normal 17 4 2 5" xfId="19800" xr:uid="{00000000-0005-0000-0000-0000C0240000}"/>
    <cellStyle name="Normal 17 4 2 6" xfId="38432" xr:uid="{00000000-0005-0000-0000-0000C1240000}"/>
    <cellStyle name="Normal 17 4 3" xfId="4373" xr:uid="{00000000-0005-0000-0000-0000C2240000}"/>
    <cellStyle name="Normal 17 4 3 2" xfId="4374" xr:uid="{00000000-0005-0000-0000-0000C3240000}"/>
    <cellStyle name="Normal 17 4 3 2 2" xfId="10259" xr:uid="{00000000-0005-0000-0000-0000C4240000}"/>
    <cellStyle name="Normal 17 4 3 2 2 2" xfId="33744" xr:uid="{00000000-0005-0000-0000-0000C5240000}"/>
    <cellStyle name="Normal 17 4 3 2 2 3" xfId="24425" xr:uid="{00000000-0005-0000-0000-0000C6240000}"/>
    <cellStyle name="Normal 17 4 3 2 2 4" xfId="47687" xr:uid="{00000000-0005-0000-0000-0000C7240000}"/>
    <cellStyle name="Normal 17 4 3 2 3" xfId="14990" xr:uid="{00000000-0005-0000-0000-0000C8240000}"/>
    <cellStyle name="Normal 17 4 3 2 3 2" xfId="29122" xr:uid="{00000000-0005-0000-0000-0000C9240000}"/>
    <cellStyle name="Normal 17 4 3 2 3 3" xfId="43017" xr:uid="{00000000-0005-0000-0000-0000CA240000}"/>
    <cellStyle name="Normal 17 4 3 2 4" xfId="19803" xr:uid="{00000000-0005-0000-0000-0000CB240000}"/>
    <cellStyle name="Normal 17 4 3 2 5" xfId="38435" xr:uid="{00000000-0005-0000-0000-0000CC240000}"/>
    <cellStyle name="Normal 17 4 3 3" xfId="10258" xr:uid="{00000000-0005-0000-0000-0000CD240000}"/>
    <cellStyle name="Normal 17 4 3 3 2" xfId="33743" xr:uid="{00000000-0005-0000-0000-0000CE240000}"/>
    <cellStyle name="Normal 17 4 3 3 3" xfId="24424" xr:uid="{00000000-0005-0000-0000-0000CF240000}"/>
    <cellStyle name="Normal 17 4 3 3 4" xfId="47686" xr:uid="{00000000-0005-0000-0000-0000D0240000}"/>
    <cellStyle name="Normal 17 4 3 4" xfId="14989" xr:uid="{00000000-0005-0000-0000-0000D1240000}"/>
    <cellStyle name="Normal 17 4 3 4 2" xfId="29121" xr:uid="{00000000-0005-0000-0000-0000D2240000}"/>
    <cellStyle name="Normal 17 4 3 4 3" xfId="43016" xr:uid="{00000000-0005-0000-0000-0000D3240000}"/>
    <cellStyle name="Normal 17 4 3 5" xfId="19802" xr:uid="{00000000-0005-0000-0000-0000D4240000}"/>
    <cellStyle name="Normal 17 4 3 6" xfId="38434" xr:uid="{00000000-0005-0000-0000-0000D5240000}"/>
    <cellStyle name="Normal 17 4 4" xfId="4375" xr:uid="{00000000-0005-0000-0000-0000D6240000}"/>
    <cellStyle name="Normal 17 4 4 2" xfId="4376" xr:uid="{00000000-0005-0000-0000-0000D7240000}"/>
    <cellStyle name="Normal 17 4 4 2 2" xfId="10261" xr:uid="{00000000-0005-0000-0000-0000D8240000}"/>
    <cellStyle name="Normal 17 4 4 2 2 2" xfId="33746" xr:uid="{00000000-0005-0000-0000-0000D9240000}"/>
    <cellStyle name="Normal 17 4 4 2 2 3" xfId="24427" xr:uid="{00000000-0005-0000-0000-0000DA240000}"/>
    <cellStyle name="Normal 17 4 4 2 2 4" xfId="47689" xr:uid="{00000000-0005-0000-0000-0000DB240000}"/>
    <cellStyle name="Normal 17 4 4 2 3" xfId="14992" xr:uid="{00000000-0005-0000-0000-0000DC240000}"/>
    <cellStyle name="Normal 17 4 4 2 3 2" xfId="29124" xr:uid="{00000000-0005-0000-0000-0000DD240000}"/>
    <cellStyle name="Normal 17 4 4 2 3 3" xfId="43019" xr:uid="{00000000-0005-0000-0000-0000DE240000}"/>
    <cellStyle name="Normal 17 4 4 2 4" xfId="19805" xr:uid="{00000000-0005-0000-0000-0000DF240000}"/>
    <cellStyle name="Normal 17 4 4 2 5" xfId="38437" xr:uid="{00000000-0005-0000-0000-0000E0240000}"/>
    <cellStyle name="Normal 17 4 4 3" xfId="10260" xr:uid="{00000000-0005-0000-0000-0000E1240000}"/>
    <cellStyle name="Normal 17 4 4 3 2" xfId="33745" xr:uid="{00000000-0005-0000-0000-0000E2240000}"/>
    <cellStyle name="Normal 17 4 4 3 3" xfId="24426" xr:uid="{00000000-0005-0000-0000-0000E3240000}"/>
    <cellStyle name="Normal 17 4 4 3 4" xfId="47688" xr:uid="{00000000-0005-0000-0000-0000E4240000}"/>
    <cellStyle name="Normal 17 4 4 4" xfId="14991" xr:uid="{00000000-0005-0000-0000-0000E5240000}"/>
    <cellStyle name="Normal 17 4 4 4 2" xfId="29123" xr:uid="{00000000-0005-0000-0000-0000E6240000}"/>
    <cellStyle name="Normal 17 4 4 4 3" xfId="43018" xr:uid="{00000000-0005-0000-0000-0000E7240000}"/>
    <cellStyle name="Normal 17 4 4 5" xfId="19804" xr:uid="{00000000-0005-0000-0000-0000E8240000}"/>
    <cellStyle name="Normal 17 4 4 6" xfId="38436" xr:uid="{00000000-0005-0000-0000-0000E9240000}"/>
    <cellStyle name="Normal 17 4 5" xfId="4377" xr:uid="{00000000-0005-0000-0000-0000EA240000}"/>
    <cellStyle name="Normal 17 4 5 2" xfId="4378" xr:uid="{00000000-0005-0000-0000-0000EB240000}"/>
    <cellStyle name="Normal 17 4 5 2 2" xfId="10263" xr:uid="{00000000-0005-0000-0000-0000EC240000}"/>
    <cellStyle name="Normal 17 4 5 2 2 2" xfId="33748" xr:uid="{00000000-0005-0000-0000-0000ED240000}"/>
    <cellStyle name="Normal 17 4 5 2 2 3" xfId="24429" xr:uid="{00000000-0005-0000-0000-0000EE240000}"/>
    <cellStyle name="Normal 17 4 5 2 2 4" xfId="47691" xr:uid="{00000000-0005-0000-0000-0000EF240000}"/>
    <cellStyle name="Normal 17 4 5 2 3" xfId="14994" xr:uid="{00000000-0005-0000-0000-0000F0240000}"/>
    <cellStyle name="Normal 17 4 5 2 3 2" xfId="29126" xr:uid="{00000000-0005-0000-0000-0000F1240000}"/>
    <cellStyle name="Normal 17 4 5 2 3 3" xfId="43021" xr:uid="{00000000-0005-0000-0000-0000F2240000}"/>
    <cellStyle name="Normal 17 4 5 2 4" xfId="19807" xr:uid="{00000000-0005-0000-0000-0000F3240000}"/>
    <cellStyle name="Normal 17 4 5 2 5" xfId="38439" xr:uid="{00000000-0005-0000-0000-0000F4240000}"/>
    <cellStyle name="Normal 17 4 5 3" xfId="10262" xr:uid="{00000000-0005-0000-0000-0000F5240000}"/>
    <cellStyle name="Normal 17 4 5 3 2" xfId="33747" xr:uid="{00000000-0005-0000-0000-0000F6240000}"/>
    <cellStyle name="Normal 17 4 5 3 3" xfId="24428" xr:uid="{00000000-0005-0000-0000-0000F7240000}"/>
    <cellStyle name="Normal 17 4 5 3 4" xfId="47690" xr:uid="{00000000-0005-0000-0000-0000F8240000}"/>
    <cellStyle name="Normal 17 4 5 4" xfId="14993" xr:uid="{00000000-0005-0000-0000-0000F9240000}"/>
    <cellStyle name="Normal 17 4 5 4 2" xfId="29125" xr:uid="{00000000-0005-0000-0000-0000FA240000}"/>
    <cellStyle name="Normal 17 4 5 4 3" xfId="43020" xr:uid="{00000000-0005-0000-0000-0000FB240000}"/>
    <cellStyle name="Normal 17 4 5 5" xfId="19806" xr:uid="{00000000-0005-0000-0000-0000FC240000}"/>
    <cellStyle name="Normal 17 4 5 6" xfId="38438" xr:uid="{00000000-0005-0000-0000-0000FD240000}"/>
    <cellStyle name="Normal 17 4 6" xfId="4379" xr:uid="{00000000-0005-0000-0000-0000FE240000}"/>
    <cellStyle name="Normal 17 4 6 2" xfId="4380" xr:uid="{00000000-0005-0000-0000-0000FF240000}"/>
    <cellStyle name="Normal 17 4 6 2 2" xfId="10265" xr:uid="{00000000-0005-0000-0000-000000250000}"/>
    <cellStyle name="Normal 17 4 6 2 2 2" xfId="33750" xr:uid="{00000000-0005-0000-0000-000001250000}"/>
    <cellStyle name="Normal 17 4 6 2 2 3" xfId="24431" xr:uid="{00000000-0005-0000-0000-000002250000}"/>
    <cellStyle name="Normal 17 4 6 2 2 4" xfId="47693" xr:uid="{00000000-0005-0000-0000-000003250000}"/>
    <cellStyle name="Normal 17 4 6 2 3" xfId="14996" xr:uid="{00000000-0005-0000-0000-000004250000}"/>
    <cellStyle name="Normal 17 4 6 2 3 2" xfId="29128" xr:uid="{00000000-0005-0000-0000-000005250000}"/>
    <cellStyle name="Normal 17 4 6 2 3 3" xfId="43023" xr:uid="{00000000-0005-0000-0000-000006250000}"/>
    <cellStyle name="Normal 17 4 6 2 4" xfId="19809" xr:uid="{00000000-0005-0000-0000-000007250000}"/>
    <cellStyle name="Normal 17 4 6 2 5" xfId="38441" xr:uid="{00000000-0005-0000-0000-000008250000}"/>
    <cellStyle name="Normal 17 4 6 3" xfId="10264" xr:uid="{00000000-0005-0000-0000-000009250000}"/>
    <cellStyle name="Normal 17 4 6 3 2" xfId="33749" xr:uid="{00000000-0005-0000-0000-00000A250000}"/>
    <cellStyle name="Normal 17 4 6 3 3" xfId="24430" xr:uid="{00000000-0005-0000-0000-00000B250000}"/>
    <cellStyle name="Normal 17 4 6 3 4" xfId="47692" xr:uid="{00000000-0005-0000-0000-00000C250000}"/>
    <cellStyle name="Normal 17 4 6 4" xfId="14995" xr:uid="{00000000-0005-0000-0000-00000D250000}"/>
    <cellStyle name="Normal 17 4 6 4 2" xfId="29127" xr:uid="{00000000-0005-0000-0000-00000E250000}"/>
    <cellStyle name="Normal 17 4 6 4 3" xfId="43022" xr:uid="{00000000-0005-0000-0000-00000F250000}"/>
    <cellStyle name="Normal 17 4 6 5" xfId="19808" xr:uid="{00000000-0005-0000-0000-000010250000}"/>
    <cellStyle name="Normal 17 4 6 6" xfId="38440" xr:uid="{00000000-0005-0000-0000-000011250000}"/>
    <cellStyle name="Normal 17 4 7" xfId="4381" xr:uid="{00000000-0005-0000-0000-000012250000}"/>
    <cellStyle name="Normal 17 4 7 2" xfId="10266" xr:uid="{00000000-0005-0000-0000-000013250000}"/>
    <cellStyle name="Normal 17 4 7 2 2" xfId="33751" xr:uid="{00000000-0005-0000-0000-000014250000}"/>
    <cellStyle name="Normal 17 4 7 2 3" xfId="24432" xr:uid="{00000000-0005-0000-0000-000015250000}"/>
    <cellStyle name="Normal 17 4 7 2 4" xfId="47694" xr:uid="{00000000-0005-0000-0000-000016250000}"/>
    <cellStyle name="Normal 17 4 7 3" xfId="14997" xr:uid="{00000000-0005-0000-0000-000017250000}"/>
    <cellStyle name="Normal 17 4 7 3 2" xfId="29129" xr:uid="{00000000-0005-0000-0000-000018250000}"/>
    <cellStyle name="Normal 17 4 7 3 3" xfId="43024" xr:uid="{00000000-0005-0000-0000-000019250000}"/>
    <cellStyle name="Normal 17 4 7 4" xfId="19810" xr:uid="{00000000-0005-0000-0000-00001A250000}"/>
    <cellStyle name="Normal 17 4 7 5" xfId="38442" xr:uid="{00000000-0005-0000-0000-00001B250000}"/>
    <cellStyle name="Normal 17 4 8" xfId="10255" xr:uid="{00000000-0005-0000-0000-00001C250000}"/>
    <cellStyle name="Normal 17 4 8 2" xfId="33740" xr:uid="{00000000-0005-0000-0000-00001D250000}"/>
    <cellStyle name="Normal 17 4 8 3" xfId="24421" xr:uid="{00000000-0005-0000-0000-00001E250000}"/>
    <cellStyle name="Normal 17 4 8 4" xfId="47683" xr:uid="{00000000-0005-0000-0000-00001F250000}"/>
    <cellStyle name="Normal 17 4 9" xfId="14986" xr:uid="{00000000-0005-0000-0000-000020250000}"/>
    <cellStyle name="Normal 17 4 9 2" xfId="29118" xr:uid="{00000000-0005-0000-0000-000021250000}"/>
    <cellStyle name="Normal 17 4 9 3" xfId="43013" xr:uid="{00000000-0005-0000-0000-000022250000}"/>
    <cellStyle name="Normal 17 5" xfId="4382" xr:uid="{00000000-0005-0000-0000-000023250000}"/>
    <cellStyle name="Normal 17 5 10" xfId="19811" xr:uid="{00000000-0005-0000-0000-000024250000}"/>
    <cellStyle name="Normal 17 5 11" xfId="38443" xr:uid="{00000000-0005-0000-0000-000025250000}"/>
    <cellStyle name="Normal 17 5 2" xfId="4383" xr:uid="{00000000-0005-0000-0000-000026250000}"/>
    <cellStyle name="Normal 17 5 2 2" xfId="4384" xr:uid="{00000000-0005-0000-0000-000027250000}"/>
    <cellStyle name="Normal 17 5 2 2 2" xfId="10269" xr:uid="{00000000-0005-0000-0000-000028250000}"/>
    <cellStyle name="Normal 17 5 2 2 2 2" xfId="33754" xr:uid="{00000000-0005-0000-0000-000029250000}"/>
    <cellStyle name="Normal 17 5 2 2 2 3" xfId="24435" xr:uid="{00000000-0005-0000-0000-00002A250000}"/>
    <cellStyle name="Normal 17 5 2 2 2 4" xfId="47697" xr:uid="{00000000-0005-0000-0000-00002B250000}"/>
    <cellStyle name="Normal 17 5 2 2 3" xfId="15000" xr:uid="{00000000-0005-0000-0000-00002C250000}"/>
    <cellStyle name="Normal 17 5 2 2 3 2" xfId="29132" xr:uid="{00000000-0005-0000-0000-00002D250000}"/>
    <cellStyle name="Normal 17 5 2 2 3 3" xfId="43027" xr:uid="{00000000-0005-0000-0000-00002E250000}"/>
    <cellStyle name="Normal 17 5 2 2 4" xfId="19813" xr:uid="{00000000-0005-0000-0000-00002F250000}"/>
    <cellStyle name="Normal 17 5 2 2 5" xfId="38445" xr:uid="{00000000-0005-0000-0000-000030250000}"/>
    <cellStyle name="Normal 17 5 2 3" xfId="10268" xr:uid="{00000000-0005-0000-0000-000031250000}"/>
    <cellStyle name="Normal 17 5 2 3 2" xfId="33753" xr:uid="{00000000-0005-0000-0000-000032250000}"/>
    <cellStyle name="Normal 17 5 2 3 3" xfId="24434" xr:uid="{00000000-0005-0000-0000-000033250000}"/>
    <cellStyle name="Normal 17 5 2 3 4" xfId="47696" xr:uid="{00000000-0005-0000-0000-000034250000}"/>
    <cellStyle name="Normal 17 5 2 4" xfId="14999" xr:uid="{00000000-0005-0000-0000-000035250000}"/>
    <cellStyle name="Normal 17 5 2 4 2" xfId="29131" xr:uid="{00000000-0005-0000-0000-000036250000}"/>
    <cellStyle name="Normal 17 5 2 4 3" xfId="43026" xr:uid="{00000000-0005-0000-0000-000037250000}"/>
    <cellStyle name="Normal 17 5 2 5" xfId="19812" xr:uid="{00000000-0005-0000-0000-000038250000}"/>
    <cellStyle name="Normal 17 5 2 6" xfId="38444" xr:uid="{00000000-0005-0000-0000-000039250000}"/>
    <cellStyle name="Normal 17 5 3" xfId="4385" xr:uid="{00000000-0005-0000-0000-00003A250000}"/>
    <cellStyle name="Normal 17 5 3 2" xfId="4386" xr:uid="{00000000-0005-0000-0000-00003B250000}"/>
    <cellStyle name="Normal 17 5 3 2 2" xfId="10271" xr:uid="{00000000-0005-0000-0000-00003C250000}"/>
    <cellStyle name="Normal 17 5 3 2 2 2" xfId="33756" xr:uid="{00000000-0005-0000-0000-00003D250000}"/>
    <cellStyle name="Normal 17 5 3 2 2 3" xfId="24437" xr:uid="{00000000-0005-0000-0000-00003E250000}"/>
    <cellStyle name="Normal 17 5 3 2 2 4" xfId="47699" xr:uid="{00000000-0005-0000-0000-00003F250000}"/>
    <cellStyle name="Normal 17 5 3 2 3" xfId="15002" xr:uid="{00000000-0005-0000-0000-000040250000}"/>
    <cellStyle name="Normal 17 5 3 2 3 2" xfId="29134" xr:uid="{00000000-0005-0000-0000-000041250000}"/>
    <cellStyle name="Normal 17 5 3 2 3 3" xfId="43029" xr:uid="{00000000-0005-0000-0000-000042250000}"/>
    <cellStyle name="Normal 17 5 3 2 4" xfId="19815" xr:uid="{00000000-0005-0000-0000-000043250000}"/>
    <cellStyle name="Normal 17 5 3 2 5" xfId="38447" xr:uid="{00000000-0005-0000-0000-000044250000}"/>
    <cellStyle name="Normal 17 5 3 3" xfId="10270" xr:uid="{00000000-0005-0000-0000-000045250000}"/>
    <cellStyle name="Normal 17 5 3 3 2" xfId="33755" xr:uid="{00000000-0005-0000-0000-000046250000}"/>
    <cellStyle name="Normal 17 5 3 3 3" xfId="24436" xr:uid="{00000000-0005-0000-0000-000047250000}"/>
    <cellStyle name="Normal 17 5 3 3 4" xfId="47698" xr:uid="{00000000-0005-0000-0000-000048250000}"/>
    <cellStyle name="Normal 17 5 3 4" xfId="15001" xr:uid="{00000000-0005-0000-0000-000049250000}"/>
    <cellStyle name="Normal 17 5 3 4 2" xfId="29133" xr:uid="{00000000-0005-0000-0000-00004A250000}"/>
    <cellStyle name="Normal 17 5 3 4 3" xfId="43028" xr:uid="{00000000-0005-0000-0000-00004B250000}"/>
    <cellStyle name="Normal 17 5 3 5" xfId="19814" xr:uid="{00000000-0005-0000-0000-00004C250000}"/>
    <cellStyle name="Normal 17 5 3 6" xfId="38446" xr:uid="{00000000-0005-0000-0000-00004D250000}"/>
    <cellStyle name="Normal 17 5 4" xfId="4387" xr:uid="{00000000-0005-0000-0000-00004E250000}"/>
    <cellStyle name="Normal 17 5 4 2" xfId="4388" xr:uid="{00000000-0005-0000-0000-00004F250000}"/>
    <cellStyle name="Normal 17 5 4 2 2" xfId="10273" xr:uid="{00000000-0005-0000-0000-000050250000}"/>
    <cellStyle name="Normal 17 5 4 2 2 2" xfId="33758" xr:uid="{00000000-0005-0000-0000-000051250000}"/>
    <cellStyle name="Normal 17 5 4 2 2 3" xfId="24439" xr:uid="{00000000-0005-0000-0000-000052250000}"/>
    <cellStyle name="Normal 17 5 4 2 2 4" xfId="47701" xr:uid="{00000000-0005-0000-0000-000053250000}"/>
    <cellStyle name="Normal 17 5 4 2 3" xfId="15004" xr:uid="{00000000-0005-0000-0000-000054250000}"/>
    <cellStyle name="Normal 17 5 4 2 3 2" xfId="29136" xr:uid="{00000000-0005-0000-0000-000055250000}"/>
    <cellStyle name="Normal 17 5 4 2 3 3" xfId="43031" xr:uid="{00000000-0005-0000-0000-000056250000}"/>
    <cellStyle name="Normal 17 5 4 2 4" xfId="19817" xr:uid="{00000000-0005-0000-0000-000057250000}"/>
    <cellStyle name="Normal 17 5 4 2 5" xfId="38449" xr:uid="{00000000-0005-0000-0000-000058250000}"/>
    <cellStyle name="Normal 17 5 4 3" xfId="10272" xr:uid="{00000000-0005-0000-0000-000059250000}"/>
    <cellStyle name="Normal 17 5 4 3 2" xfId="33757" xr:uid="{00000000-0005-0000-0000-00005A250000}"/>
    <cellStyle name="Normal 17 5 4 3 3" xfId="24438" xr:uid="{00000000-0005-0000-0000-00005B250000}"/>
    <cellStyle name="Normal 17 5 4 3 4" xfId="47700" xr:uid="{00000000-0005-0000-0000-00005C250000}"/>
    <cellStyle name="Normal 17 5 4 4" xfId="15003" xr:uid="{00000000-0005-0000-0000-00005D250000}"/>
    <cellStyle name="Normal 17 5 4 4 2" xfId="29135" xr:uid="{00000000-0005-0000-0000-00005E250000}"/>
    <cellStyle name="Normal 17 5 4 4 3" xfId="43030" xr:uid="{00000000-0005-0000-0000-00005F250000}"/>
    <cellStyle name="Normal 17 5 4 5" xfId="19816" xr:uid="{00000000-0005-0000-0000-000060250000}"/>
    <cellStyle name="Normal 17 5 4 6" xfId="38448" xr:uid="{00000000-0005-0000-0000-000061250000}"/>
    <cellStyle name="Normal 17 5 5" xfId="4389" xr:uid="{00000000-0005-0000-0000-000062250000}"/>
    <cellStyle name="Normal 17 5 5 2" xfId="4390" xr:uid="{00000000-0005-0000-0000-000063250000}"/>
    <cellStyle name="Normal 17 5 5 2 2" xfId="10275" xr:uid="{00000000-0005-0000-0000-000064250000}"/>
    <cellStyle name="Normal 17 5 5 2 2 2" xfId="33760" xr:uid="{00000000-0005-0000-0000-000065250000}"/>
    <cellStyle name="Normal 17 5 5 2 2 3" xfId="24441" xr:uid="{00000000-0005-0000-0000-000066250000}"/>
    <cellStyle name="Normal 17 5 5 2 2 4" xfId="47703" xr:uid="{00000000-0005-0000-0000-000067250000}"/>
    <cellStyle name="Normal 17 5 5 2 3" xfId="15006" xr:uid="{00000000-0005-0000-0000-000068250000}"/>
    <cellStyle name="Normal 17 5 5 2 3 2" xfId="29138" xr:uid="{00000000-0005-0000-0000-000069250000}"/>
    <cellStyle name="Normal 17 5 5 2 3 3" xfId="43033" xr:uid="{00000000-0005-0000-0000-00006A250000}"/>
    <cellStyle name="Normal 17 5 5 2 4" xfId="19819" xr:uid="{00000000-0005-0000-0000-00006B250000}"/>
    <cellStyle name="Normal 17 5 5 2 5" xfId="38451" xr:uid="{00000000-0005-0000-0000-00006C250000}"/>
    <cellStyle name="Normal 17 5 5 3" xfId="10274" xr:uid="{00000000-0005-0000-0000-00006D250000}"/>
    <cellStyle name="Normal 17 5 5 3 2" xfId="33759" xr:uid="{00000000-0005-0000-0000-00006E250000}"/>
    <cellStyle name="Normal 17 5 5 3 3" xfId="24440" xr:uid="{00000000-0005-0000-0000-00006F250000}"/>
    <cellStyle name="Normal 17 5 5 3 4" xfId="47702" xr:uid="{00000000-0005-0000-0000-000070250000}"/>
    <cellStyle name="Normal 17 5 5 4" xfId="15005" xr:uid="{00000000-0005-0000-0000-000071250000}"/>
    <cellStyle name="Normal 17 5 5 4 2" xfId="29137" xr:uid="{00000000-0005-0000-0000-000072250000}"/>
    <cellStyle name="Normal 17 5 5 4 3" xfId="43032" xr:uid="{00000000-0005-0000-0000-000073250000}"/>
    <cellStyle name="Normal 17 5 5 5" xfId="19818" xr:uid="{00000000-0005-0000-0000-000074250000}"/>
    <cellStyle name="Normal 17 5 5 6" xfId="38450" xr:uid="{00000000-0005-0000-0000-000075250000}"/>
    <cellStyle name="Normal 17 5 6" xfId="4391" xr:uid="{00000000-0005-0000-0000-000076250000}"/>
    <cellStyle name="Normal 17 5 6 2" xfId="4392" xr:uid="{00000000-0005-0000-0000-000077250000}"/>
    <cellStyle name="Normal 17 5 6 2 2" xfId="10277" xr:uid="{00000000-0005-0000-0000-000078250000}"/>
    <cellStyle name="Normal 17 5 6 2 2 2" xfId="33762" xr:uid="{00000000-0005-0000-0000-000079250000}"/>
    <cellStyle name="Normal 17 5 6 2 2 3" xfId="24443" xr:uid="{00000000-0005-0000-0000-00007A250000}"/>
    <cellStyle name="Normal 17 5 6 2 2 4" xfId="47705" xr:uid="{00000000-0005-0000-0000-00007B250000}"/>
    <cellStyle name="Normal 17 5 6 2 3" xfId="15008" xr:uid="{00000000-0005-0000-0000-00007C250000}"/>
    <cellStyle name="Normal 17 5 6 2 3 2" xfId="29140" xr:uid="{00000000-0005-0000-0000-00007D250000}"/>
    <cellStyle name="Normal 17 5 6 2 3 3" xfId="43035" xr:uid="{00000000-0005-0000-0000-00007E250000}"/>
    <cellStyle name="Normal 17 5 6 2 4" xfId="19821" xr:uid="{00000000-0005-0000-0000-00007F250000}"/>
    <cellStyle name="Normal 17 5 6 2 5" xfId="38453" xr:uid="{00000000-0005-0000-0000-000080250000}"/>
    <cellStyle name="Normal 17 5 6 3" xfId="10276" xr:uid="{00000000-0005-0000-0000-000081250000}"/>
    <cellStyle name="Normal 17 5 6 3 2" xfId="33761" xr:uid="{00000000-0005-0000-0000-000082250000}"/>
    <cellStyle name="Normal 17 5 6 3 3" xfId="24442" xr:uid="{00000000-0005-0000-0000-000083250000}"/>
    <cellStyle name="Normal 17 5 6 3 4" xfId="47704" xr:uid="{00000000-0005-0000-0000-000084250000}"/>
    <cellStyle name="Normal 17 5 6 4" xfId="15007" xr:uid="{00000000-0005-0000-0000-000085250000}"/>
    <cellStyle name="Normal 17 5 6 4 2" xfId="29139" xr:uid="{00000000-0005-0000-0000-000086250000}"/>
    <cellStyle name="Normal 17 5 6 4 3" xfId="43034" xr:uid="{00000000-0005-0000-0000-000087250000}"/>
    <cellStyle name="Normal 17 5 6 5" xfId="19820" xr:uid="{00000000-0005-0000-0000-000088250000}"/>
    <cellStyle name="Normal 17 5 6 6" xfId="38452" xr:uid="{00000000-0005-0000-0000-000089250000}"/>
    <cellStyle name="Normal 17 5 7" xfId="4393" xr:uid="{00000000-0005-0000-0000-00008A250000}"/>
    <cellStyle name="Normal 17 5 7 2" xfId="10278" xr:uid="{00000000-0005-0000-0000-00008B250000}"/>
    <cellStyle name="Normal 17 5 7 2 2" xfId="33763" xr:uid="{00000000-0005-0000-0000-00008C250000}"/>
    <cellStyle name="Normal 17 5 7 2 3" xfId="24444" xr:uid="{00000000-0005-0000-0000-00008D250000}"/>
    <cellStyle name="Normal 17 5 7 2 4" xfId="47706" xr:uid="{00000000-0005-0000-0000-00008E250000}"/>
    <cellStyle name="Normal 17 5 7 3" xfId="15009" xr:uid="{00000000-0005-0000-0000-00008F250000}"/>
    <cellStyle name="Normal 17 5 7 3 2" xfId="29141" xr:uid="{00000000-0005-0000-0000-000090250000}"/>
    <cellStyle name="Normal 17 5 7 3 3" xfId="43036" xr:uid="{00000000-0005-0000-0000-000091250000}"/>
    <cellStyle name="Normal 17 5 7 4" xfId="19822" xr:uid="{00000000-0005-0000-0000-000092250000}"/>
    <cellStyle name="Normal 17 5 7 5" xfId="38454" xr:uid="{00000000-0005-0000-0000-000093250000}"/>
    <cellStyle name="Normal 17 5 8" xfId="10267" xr:uid="{00000000-0005-0000-0000-000094250000}"/>
    <cellStyle name="Normal 17 5 8 2" xfId="33752" xr:uid="{00000000-0005-0000-0000-000095250000}"/>
    <cellStyle name="Normal 17 5 8 3" xfId="24433" xr:uid="{00000000-0005-0000-0000-000096250000}"/>
    <cellStyle name="Normal 17 5 8 4" xfId="47695" xr:uid="{00000000-0005-0000-0000-000097250000}"/>
    <cellStyle name="Normal 17 5 9" xfId="14998" xr:uid="{00000000-0005-0000-0000-000098250000}"/>
    <cellStyle name="Normal 17 5 9 2" xfId="29130" xr:uid="{00000000-0005-0000-0000-000099250000}"/>
    <cellStyle name="Normal 17 5 9 3" xfId="43025" xr:uid="{00000000-0005-0000-0000-00009A250000}"/>
    <cellStyle name="Normal 17 6" xfId="4394" xr:uid="{00000000-0005-0000-0000-00009B250000}"/>
    <cellStyle name="Normal 17 6 10" xfId="19823" xr:uid="{00000000-0005-0000-0000-00009C250000}"/>
    <cellStyle name="Normal 17 6 11" xfId="38455" xr:uid="{00000000-0005-0000-0000-00009D250000}"/>
    <cellStyle name="Normal 17 6 2" xfId="4395" xr:uid="{00000000-0005-0000-0000-00009E250000}"/>
    <cellStyle name="Normal 17 6 2 2" xfId="4396" xr:uid="{00000000-0005-0000-0000-00009F250000}"/>
    <cellStyle name="Normal 17 6 2 2 2" xfId="10281" xr:uid="{00000000-0005-0000-0000-0000A0250000}"/>
    <cellStyle name="Normal 17 6 2 2 2 2" xfId="33766" xr:uid="{00000000-0005-0000-0000-0000A1250000}"/>
    <cellStyle name="Normal 17 6 2 2 2 3" xfId="24447" xr:uid="{00000000-0005-0000-0000-0000A2250000}"/>
    <cellStyle name="Normal 17 6 2 2 2 4" xfId="47709" xr:uid="{00000000-0005-0000-0000-0000A3250000}"/>
    <cellStyle name="Normal 17 6 2 2 3" xfId="15012" xr:uid="{00000000-0005-0000-0000-0000A4250000}"/>
    <cellStyle name="Normal 17 6 2 2 3 2" xfId="29144" xr:uid="{00000000-0005-0000-0000-0000A5250000}"/>
    <cellStyle name="Normal 17 6 2 2 3 3" xfId="43039" xr:uid="{00000000-0005-0000-0000-0000A6250000}"/>
    <cellStyle name="Normal 17 6 2 2 4" xfId="19825" xr:uid="{00000000-0005-0000-0000-0000A7250000}"/>
    <cellStyle name="Normal 17 6 2 2 5" xfId="38457" xr:uid="{00000000-0005-0000-0000-0000A8250000}"/>
    <cellStyle name="Normal 17 6 2 3" xfId="10280" xr:uid="{00000000-0005-0000-0000-0000A9250000}"/>
    <cellStyle name="Normal 17 6 2 3 2" xfId="33765" xr:uid="{00000000-0005-0000-0000-0000AA250000}"/>
    <cellStyle name="Normal 17 6 2 3 3" xfId="24446" xr:uid="{00000000-0005-0000-0000-0000AB250000}"/>
    <cellStyle name="Normal 17 6 2 3 4" xfId="47708" xr:uid="{00000000-0005-0000-0000-0000AC250000}"/>
    <cellStyle name="Normal 17 6 2 4" xfId="15011" xr:uid="{00000000-0005-0000-0000-0000AD250000}"/>
    <cellStyle name="Normal 17 6 2 4 2" xfId="29143" xr:uid="{00000000-0005-0000-0000-0000AE250000}"/>
    <cellStyle name="Normal 17 6 2 4 3" xfId="43038" xr:uid="{00000000-0005-0000-0000-0000AF250000}"/>
    <cellStyle name="Normal 17 6 2 5" xfId="19824" xr:uid="{00000000-0005-0000-0000-0000B0250000}"/>
    <cellStyle name="Normal 17 6 2 6" xfId="38456" xr:uid="{00000000-0005-0000-0000-0000B1250000}"/>
    <cellStyle name="Normal 17 6 3" xfId="4397" xr:uid="{00000000-0005-0000-0000-0000B2250000}"/>
    <cellStyle name="Normal 17 6 3 2" xfId="4398" xr:uid="{00000000-0005-0000-0000-0000B3250000}"/>
    <cellStyle name="Normal 17 6 3 2 2" xfId="10283" xr:uid="{00000000-0005-0000-0000-0000B4250000}"/>
    <cellStyle name="Normal 17 6 3 2 2 2" xfId="33768" xr:uid="{00000000-0005-0000-0000-0000B5250000}"/>
    <cellStyle name="Normal 17 6 3 2 2 3" xfId="24449" xr:uid="{00000000-0005-0000-0000-0000B6250000}"/>
    <cellStyle name="Normal 17 6 3 2 2 4" xfId="47711" xr:uid="{00000000-0005-0000-0000-0000B7250000}"/>
    <cellStyle name="Normal 17 6 3 2 3" xfId="15014" xr:uid="{00000000-0005-0000-0000-0000B8250000}"/>
    <cellStyle name="Normal 17 6 3 2 3 2" xfId="29146" xr:uid="{00000000-0005-0000-0000-0000B9250000}"/>
    <cellStyle name="Normal 17 6 3 2 3 3" xfId="43041" xr:uid="{00000000-0005-0000-0000-0000BA250000}"/>
    <cellStyle name="Normal 17 6 3 2 4" xfId="19827" xr:uid="{00000000-0005-0000-0000-0000BB250000}"/>
    <cellStyle name="Normal 17 6 3 2 5" xfId="38459" xr:uid="{00000000-0005-0000-0000-0000BC250000}"/>
    <cellStyle name="Normal 17 6 3 3" xfId="10282" xr:uid="{00000000-0005-0000-0000-0000BD250000}"/>
    <cellStyle name="Normal 17 6 3 3 2" xfId="33767" xr:uid="{00000000-0005-0000-0000-0000BE250000}"/>
    <cellStyle name="Normal 17 6 3 3 3" xfId="24448" xr:uid="{00000000-0005-0000-0000-0000BF250000}"/>
    <cellStyle name="Normal 17 6 3 3 4" xfId="47710" xr:uid="{00000000-0005-0000-0000-0000C0250000}"/>
    <cellStyle name="Normal 17 6 3 4" xfId="15013" xr:uid="{00000000-0005-0000-0000-0000C1250000}"/>
    <cellStyle name="Normal 17 6 3 4 2" xfId="29145" xr:uid="{00000000-0005-0000-0000-0000C2250000}"/>
    <cellStyle name="Normal 17 6 3 4 3" xfId="43040" xr:uid="{00000000-0005-0000-0000-0000C3250000}"/>
    <cellStyle name="Normal 17 6 3 5" xfId="19826" xr:uid="{00000000-0005-0000-0000-0000C4250000}"/>
    <cellStyle name="Normal 17 6 3 6" xfId="38458" xr:uid="{00000000-0005-0000-0000-0000C5250000}"/>
    <cellStyle name="Normal 17 6 4" xfId="4399" xr:uid="{00000000-0005-0000-0000-0000C6250000}"/>
    <cellStyle name="Normal 17 6 4 2" xfId="4400" xr:uid="{00000000-0005-0000-0000-0000C7250000}"/>
    <cellStyle name="Normal 17 6 4 2 2" xfId="10285" xr:uid="{00000000-0005-0000-0000-0000C8250000}"/>
    <cellStyle name="Normal 17 6 4 2 2 2" xfId="33770" xr:uid="{00000000-0005-0000-0000-0000C9250000}"/>
    <cellStyle name="Normal 17 6 4 2 2 3" xfId="24451" xr:uid="{00000000-0005-0000-0000-0000CA250000}"/>
    <cellStyle name="Normal 17 6 4 2 2 4" xfId="47713" xr:uid="{00000000-0005-0000-0000-0000CB250000}"/>
    <cellStyle name="Normal 17 6 4 2 3" xfId="15016" xr:uid="{00000000-0005-0000-0000-0000CC250000}"/>
    <cellStyle name="Normal 17 6 4 2 3 2" xfId="29148" xr:uid="{00000000-0005-0000-0000-0000CD250000}"/>
    <cellStyle name="Normal 17 6 4 2 3 3" xfId="43043" xr:uid="{00000000-0005-0000-0000-0000CE250000}"/>
    <cellStyle name="Normal 17 6 4 2 4" xfId="19829" xr:uid="{00000000-0005-0000-0000-0000CF250000}"/>
    <cellStyle name="Normal 17 6 4 2 5" xfId="38461" xr:uid="{00000000-0005-0000-0000-0000D0250000}"/>
    <cellStyle name="Normal 17 6 4 3" xfId="10284" xr:uid="{00000000-0005-0000-0000-0000D1250000}"/>
    <cellStyle name="Normal 17 6 4 3 2" xfId="33769" xr:uid="{00000000-0005-0000-0000-0000D2250000}"/>
    <cellStyle name="Normal 17 6 4 3 3" xfId="24450" xr:uid="{00000000-0005-0000-0000-0000D3250000}"/>
    <cellStyle name="Normal 17 6 4 3 4" xfId="47712" xr:uid="{00000000-0005-0000-0000-0000D4250000}"/>
    <cellStyle name="Normal 17 6 4 4" xfId="15015" xr:uid="{00000000-0005-0000-0000-0000D5250000}"/>
    <cellStyle name="Normal 17 6 4 4 2" xfId="29147" xr:uid="{00000000-0005-0000-0000-0000D6250000}"/>
    <cellStyle name="Normal 17 6 4 4 3" xfId="43042" xr:uid="{00000000-0005-0000-0000-0000D7250000}"/>
    <cellStyle name="Normal 17 6 4 5" xfId="19828" xr:uid="{00000000-0005-0000-0000-0000D8250000}"/>
    <cellStyle name="Normal 17 6 4 6" xfId="38460" xr:uid="{00000000-0005-0000-0000-0000D9250000}"/>
    <cellStyle name="Normal 17 6 5" xfId="4401" xr:uid="{00000000-0005-0000-0000-0000DA250000}"/>
    <cellStyle name="Normal 17 6 5 2" xfId="4402" xr:uid="{00000000-0005-0000-0000-0000DB250000}"/>
    <cellStyle name="Normal 17 6 5 2 2" xfId="10287" xr:uid="{00000000-0005-0000-0000-0000DC250000}"/>
    <cellStyle name="Normal 17 6 5 2 2 2" xfId="33772" xr:uid="{00000000-0005-0000-0000-0000DD250000}"/>
    <cellStyle name="Normal 17 6 5 2 2 3" xfId="24453" xr:uid="{00000000-0005-0000-0000-0000DE250000}"/>
    <cellStyle name="Normal 17 6 5 2 2 4" xfId="47715" xr:uid="{00000000-0005-0000-0000-0000DF250000}"/>
    <cellStyle name="Normal 17 6 5 2 3" xfId="15018" xr:uid="{00000000-0005-0000-0000-0000E0250000}"/>
    <cellStyle name="Normal 17 6 5 2 3 2" xfId="29150" xr:uid="{00000000-0005-0000-0000-0000E1250000}"/>
    <cellStyle name="Normal 17 6 5 2 3 3" xfId="43045" xr:uid="{00000000-0005-0000-0000-0000E2250000}"/>
    <cellStyle name="Normal 17 6 5 2 4" xfId="19831" xr:uid="{00000000-0005-0000-0000-0000E3250000}"/>
    <cellStyle name="Normal 17 6 5 2 5" xfId="38463" xr:uid="{00000000-0005-0000-0000-0000E4250000}"/>
    <cellStyle name="Normal 17 6 5 3" xfId="10286" xr:uid="{00000000-0005-0000-0000-0000E5250000}"/>
    <cellStyle name="Normal 17 6 5 3 2" xfId="33771" xr:uid="{00000000-0005-0000-0000-0000E6250000}"/>
    <cellStyle name="Normal 17 6 5 3 3" xfId="24452" xr:uid="{00000000-0005-0000-0000-0000E7250000}"/>
    <cellStyle name="Normal 17 6 5 3 4" xfId="47714" xr:uid="{00000000-0005-0000-0000-0000E8250000}"/>
    <cellStyle name="Normal 17 6 5 4" xfId="15017" xr:uid="{00000000-0005-0000-0000-0000E9250000}"/>
    <cellStyle name="Normal 17 6 5 4 2" xfId="29149" xr:uid="{00000000-0005-0000-0000-0000EA250000}"/>
    <cellStyle name="Normal 17 6 5 4 3" xfId="43044" xr:uid="{00000000-0005-0000-0000-0000EB250000}"/>
    <cellStyle name="Normal 17 6 5 5" xfId="19830" xr:uid="{00000000-0005-0000-0000-0000EC250000}"/>
    <cellStyle name="Normal 17 6 5 6" xfId="38462" xr:uid="{00000000-0005-0000-0000-0000ED250000}"/>
    <cellStyle name="Normal 17 6 6" xfId="4403" xr:uid="{00000000-0005-0000-0000-0000EE250000}"/>
    <cellStyle name="Normal 17 6 6 2" xfId="4404" xr:uid="{00000000-0005-0000-0000-0000EF250000}"/>
    <cellStyle name="Normal 17 6 6 2 2" xfId="10289" xr:uid="{00000000-0005-0000-0000-0000F0250000}"/>
    <cellStyle name="Normal 17 6 6 2 2 2" xfId="33774" xr:uid="{00000000-0005-0000-0000-0000F1250000}"/>
    <cellStyle name="Normal 17 6 6 2 2 3" xfId="24455" xr:uid="{00000000-0005-0000-0000-0000F2250000}"/>
    <cellStyle name="Normal 17 6 6 2 2 4" xfId="47717" xr:uid="{00000000-0005-0000-0000-0000F3250000}"/>
    <cellStyle name="Normal 17 6 6 2 3" xfId="15020" xr:uid="{00000000-0005-0000-0000-0000F4250000}"/>
    <cellStyle name="Normal 17 6 6 2 3 2" xfId="29152" xr:uid="{00000000-0005-0000-0000-0000F5250000}"/>
    <cellStyle name="Normal 17 6 6 2 3 3" xfId="43047" xr:uid="{00000000-0005-0000-0000-0000F6250000}"/>
    <cellStyle name="Normal 17 6 6 2 4" xfId="19833" xr:uid="{00000000-0005-0000-0000-0000F7250000}"/>
    <cellStyle name="Normal 17 6 6 2 5" xfId="38465" xr:uid="{00000000-0005-0000-0000-0000F8250000}"/>
    <cellStyle name="Normal 17 6 6 3" xfId="10288" xr:uid="{00000000-0005-0000-0000-0000F9250000}"/>
    <cellStyle name="Normal 17 6 6 3 2" xfId="33773" xr:uid="{00000000-0005-0000-0000-0000FA250000}"/>
    <cellStyle name="Normal 17 6 6 3 3" xfId="24454" xr:uid="{00000000-0005-0000-0000-0000FB250000}"/>
    <cellStyle name="Normal 17 6 6 3 4" xfId="47716" xr:uid="{00000000-0005-0000-0000-0000FC250000}"/>
    <cellStyle name="Normal 17 6 6 4" xfId="15019" xr:uid="{00000000-0005-0000-0000-0000FD250000}"/>
    <cellStyle name="Normal 17 6 6 4 2" xfId="29151" xr:uid="{00000000-0005-0000-0000-0000FE250000}"/>
    <cellStyle name="Normal 17 6 6 4 3" xfId="43046" xr:uid="{00000000-0005-0000-0000-0000FF250000}"/>
    <cellStyle name="Normal 17 6 6 5" xfId="19832" xr:uid="{00000000-0005-0000-0000-000000260000}"/>
    <cellStyle name="Normal 17 6 6 6" xfId="38464" xr:uid="{00000000-0005-0000-0000-000001260000}"/>
    <cellStyle name="Normal 17 6 7" xfId="4405" xr:uid="{00000000-0005-0000-0000-000002260000}"/>
    <cellStyle name="Normal 17 6 7 2" xfId="10290" xr:uid="{00000000-0005-0000-0000-000003260000}"/>
    <cellStyle name="Normal 17 6 7 2 2" xfId="33775" xr:uid="{00000000-0005-0000-0000-000004260000}"/>
    <cellStyle name="Normal 17 6 7 2 3" xfId="24456" xr:uid="{00000000-0005-0000-0000-000005260000}"/>
    <cellStyle name="Normal 17 6 7 2 4" xfId="47718" xr:uid="{00000000-0005-0000-0000-000006260000}"/>
    <cellStyle name="Normal 17 6 7 3" xfId="15021" xr:uid="{00000000-0005-0000-0000-000007260000}"/>
    <cellStyle name="Normal 17 6 7 3 2" xfId="29153" xr:uid="{00000000-0005-0000-0000-000008260000}"/>
    <cellStyle name="Normal 17 6 7 3 3" xfId="43048" xr:uid="{00000000-0005-0000-0000-000009260000}"/>
    <cellStyle name="Normal 17 6 7 4" xfId="19834" xr:uid="{00000000-0005-0000-0000-00000A260000}"/>
    <cellStyle name="Normal 17 6 7 5" xfId="38466" xr:uid="{00000000-0005-0000-0000-00000B260000}"/>
    <cellStyle name="Normal 17 6 8" xfId="10279" xr:uid="{00000000-0005-0000-0000-00000C260000}"/>
    <cellStyle name="Normal 17 6 8 2" xfId="33764" xr:uid="{00000000-0005-0000-0000-00000D260000}"/>
    <cellStyle name="Normal 17 6 8 3" xfId="24445" xr:uid="{00000000-0005-0000-0000-00000E260000}"/>
    <cellStyle name="Normal 17 6 8 4" xfId="47707" xr:uid="{00000000-0005-0000-0000-00000F260000}"/>
    <cellStyle name="Normal 17 6 9" xfId="15010" xr:uid="{00000000-0005-0000-0000-000010260000}"/>
    <cellStyle name="Normal 17 6 9 2" xfId="29142" xr:uid="{00000000-0005-0000-0000-000011260000}"/>
    <cellStyle name="Normal 17 6 9 3" xfId="43037" xr:uid="{00000000-0005-0000-0000-000012260000}"/>
    <cellStyle name="Normal 17 7" xfId="4406" xr:uid="{00000000-0005-0000-0000-000013260000}"/>
    <cellStyle name="Normal 17 7 10" xfId="19835" xr:uid="{00000000-0005-0000-0000-000014260000}"/>
    <cellStyle name="Normal 17 7 11" xfId="38467" xr:uid="{00000000-0005-0000-0000-000015260000}"/>
    <cellStyle name="Normal 17 7 2" xfId="4407" xr:uid="{00000000-0005-0000-0000-000016260000}"/>
    <cellStyle name="Normal 17 7 2 2" xfId="4408" xr:uid="{00000000-0005-0000-0000-000017260000}"/>
    <cellStyle name="Normal 17 7 2 2 2" xfId="10293" xr:uid="{00000000-0005-0000-0000-000018260000}"/>
    <cellStyle name="Normal 17 7 2 2 2 2" xfId="33778" xr:uid="{00000000-0005-0000-0000-000019260000}"/>
    <cellStyle name="Normal 17 7 2 2 2 3" xfId="24459" xr:uid="{00000000-0005-0000-0000-00001A260000}"/>
    <cellStyle name="Normal 17 7 2 2 2 4" xfId="47721" xr:uid="{00000000-0005-0000-0000-00001B260000}"/>
    <cellStyle name="Normal 17 7 2 2 3" xfId="15024" xr:uid="{00000000-0005-0000-0000-00001C260000}"/>
    <cellStyle name="Normal 17 7 2 2 3 2" xfId="29156" xr:uid="{00000000-0005-0000-0000-00001D260000}"/>
    <cellStyle name="Normal 17 7 2 2 3 3" xfId="43051" xr:uid="{00000000-0005-0000-0000-00001E260000}"/>
    <cellStyle name="Normal 17 7 2 2 4" xfId="19837" xr:uid="{00000000-0005-0000-0000-00001F260000}"/>
    <cellStyle name="Normal 17 7 2 2 5" xfId="38469" xr:uid="{00000000-0005-0000-0000-000020260000}"/>
    <cellStyle name="Normal 17 7 2 3" xfId="10292" xr:uid="{00000000-0005-0000-0000-000021260000}"/>
    <cellStyle name="Normal 17 7 2 3 2" xfId="33777" xr:uid="{00000000-0005-0000-0000-000022260000}"/>
    <cellStyle name="Normal 17 7 2 3 3" xfId="24458" xr:uid="{00000000-0005-0000-0000-000023260000}"/>
    <cellStyle name="Normal 17 7 2 3 4" xfId="47720" xr:uid="{00000000-0005-0000-0000-000024260000}"/>
    <cellStyle name="Normal 17 7 2 4" xfId="15023" xr:uid="{00000000-0005-0000-0000-000025260000}"/>
    <cellStyle name="Normal 17 7 2 4 2" xfId="29155" xr:uid="{00000000-0005-0000-0000-000026260000}"/>
    <cellStyle name="Normal 17 7 2 4 3" xfId="43050" xr:uid="{00000000-0005-0000-0000-000027260000}"/>
    <cellStyle name="Normal 17 7 2 5" xfId="19836" xr:uid="{00000000-0005-0000-0000-000028260000}"/>
    <cellStyle name="Normal 17 7 2 6" xfId="38468" xr:uid="{00000000-0005-0000-0000-000029260000}"/>
    <cellStyle name="Normal 17 7 3" xfId="4409" xr:uid="{00000000-0005-0000-0000-00002A260000}"/>
    <cellStyle name="Normal 17 7 3 2" xfId="4410" xr:uid="{00000000-0005-0000-0000-00002B260000}"/>
    <cellStyle name="Normal 17 7 3 2 2" xfId="10295" xr:uid="{00000000-0005-0000-0000-00002C260000}"/>
    <cellStyle name="Normal 17 7 3 2 2 2" xfId="33780" xr:uid="{00000000-0005-0000-0000-00002D260000}"/>
    <cellStyle name="Normal 17 7 3 2 2 3" xfId="24461" xr:uid="{00000000-0005-0000-0000-00002E260000}"/>
    <cellStyle name="Normal 17 7 3 2 2 4" xfId="47723" xr:uid="{00000000-0005-0000-0000-00002F260000}"/>
    <cellStyle name="Normal 17 7 3 2 3" xfId="15026" xr:uid="{00000000-0005-0000-0000-000030260000}"/>
    <cellStyle name="Normal 17 7 3 2 3 2" xfId="29158" xr:uid="{00000000-0005-0000-0000-000031260000}"/>
    <cellStyle name="Normal 17 7 3 2 3 3" xfId="43053" xr:uid="{00000000-0005-0000-0000-000032260000}"/>
    <cellStyle name="Normal 17 7 3 2 4" xfId="19839" xr:uid="{00000000-0005-0000-0000-000033260000}"/>
    <cellStyle name="Normal 17 7 3 2 5" xfId="38471" xr:uid="{00000000-0005-0000-0000-000034260000}"/>
    <cellStyle name="Normal 17 7 3 3" xfId="10294" xr:uid="{00000000-0005-0000-0000-000035260000}"/>
    <cellStyle name="Normal 17 7 3 3 2" xfId="33779" xr:uid="{00000000-0005-0000-0000-000036260000}"/>
    <cellStyle name="Normal 17 7 3 3 3" xfId="24460" xr:uid="{00000000-0005-0000-0000-000037260000}"/>
    <cellStyle name="Normal 17 7 3 3 4" xfId="47722" xr:uid="{00000000-0005-0000-0000-000038260000}"/>
    <cellStyle name="Normal 17 7 3 4" xfId="15025" xr:uid="{00000000-0005-0000-0000-000039260000}"/>
    <cellStyle name="Normal 17 7 3 4 2" xfId="29157" xr:uid="{00000000-0005-0000-0000-00003A260000}"/>
    <cellStyle name="Normal 17 7 3 4 3" xfId="43052" xr:uid="{00000000-0005-0000-0000-00003B260000}"/>
    <cellStyle name="Normal 17 7 3 5" xfId="19838" xr:uid="{00000000-0005-0000-0000-00003C260000}"/>
    <cellStyle name="Normal 17 7 3 6" xfId="38470" xr:uid="{00000000-0005-0000-0000-00003D260000}"/>
    <cellStyle name="Normal 17 7 4" xfId="4411" xr:uid="{00000000-0005-0000-0000-00003E260000}"/>
    <cellStyle name="Normal 17 7 4 2" xfId="4412" xr:uid="{00000000-0005-0000-0000-00003F260000}"/>
    <cellStyle name="Normal 17 7 4 2 2" xfId="10297" xr:uid="{00000000-0005-0000-0000-000040260000}"/>
    <cellStyle name="Normal 17 7 4 2 2 2" xfId="33782" xr:uid="{00000000-0005-0000-0000-000041260000}"/>
    <cellStyle name="Normal 17 7 4 2 2 3" xfId="24463" xr:uid="{00000000-0005-0000-0000-000042260000}"/>
    <cellStyle name="Normal 17 7 4 2 2 4" xfId="47725" xr:uid="{00000000-0005-0000-0000-000043260000}"/>
    <cellStyle name="Normal 17 7 4 2 3" xfId="15028" xr:uid="{00000000-0005-0000-0000-000044260000}"/>
    <cellStyle name="Normal 17 7 4 2 3 2" xfId="29160" xr:uid="{00000000-0005-0000-0000-000045260000}"/>
    <cellStyle name="Normal 17 7 4 2 3 3" xfId="43055" xr:uid="{00000000-0005-0000-0000-000046260000}"/>
    <cellStyle name="Normal 17 7 4 2 4" xfId="19841" xr:uid="{00000000-0005-0000-0000-000047260000}"/>
    <cellStyle name="Normal 17 7 4 2 5" xfId="38473" xr:uid="{00000000-0005-0000-0000-000048260000}"/>
    <cellStyle name="Normal 17 7 4 3" xfId="10296" xr:uid="{00000000-0005-0000-0000-000049260000}"/>
    <cellStyle name="Normal 17 7 4 3 2" xfId="33781" xr:uid="{00000000-0005-0000-0000-00004A260000}"/>
    <cellStyle name="Normal 17 7 4 3 3" xfId="24462" xr:uid="{00000000-0005-0000-0000-00004B260000}"/>
    <cellStyle name="Normal 17 7 4 3 4" xfId="47724" xr:uid="{00000000-0005-0000-0000-00004C260000}"/>
    <cellStyle name="Normal 17 7 4 4" xfId="15027" xr:uid="{00000000-0005-0000-0000-00004D260000}"/>
    <cellStyle name="Normal 17 7 4 4 2" xfId="29159" xr:uid="{00000000-0005-0000-0000-00004E260000}"/>
    <cellStyle name="Normal 17 7 4 4 3" xfId="43054" xr:uid="{00000000-0005-0000-0000-00004F260000}"/>
    <cellStyle name="Normal 17 7 4 5" xfId="19840" xr:uid="{00000000-0005-0000-0000-000050260000}"/>
    <cellStyle name="Normal 17 7 4 6" xfId="38472" xr:uid="{00000000-0005-0000-0000-000051260000}"/>
    <cellStyle name="Normal 17 7 5" xfId="4413" xr:uid="{00000000-0005-0000-0000-000052260000}"/>
    <cellStyle name="Normal 17 7 5 2" xfId="4414" xr:uid="{00000000-0005-0000-0000-000053260000}"/>
    <cellStyle name="Normal 17 7 5 2 2" xfId="10299" xr:uid="{00000000-0005-0000-0000-000054260000}"/>
    <cellStyle name="Normal 17 7 5 2 2 2" xfId="33784" xr:uid="{00000000-0005-0000-0000-000055260000}"/>
    <cellStyle name="Normal 17 7 5 2 2 3" xfId="24465" xr:uid="{00000000-0005-0000-0000-000056260000}"/>
    <cellStyle name="Normal 17 7 5 2 2 4" xfId="47727" xr:uid="{00000000-0005-0000-0000-000057260000}"/>
    <cellStyle name="Normal 17 7 5 2 3" xfId="15030" xr:uid="{00000000-0005-0000-0000-000058260000}"/>
    <cellStyle name="Normal 17 7 5 2 3 2" xfId="29162" xr:uid="{00000000-0005-0000-0000-000059260000}"/>
    <cellStyle name="Normal 17 7 5 2 3 3" xfId="43057" xr:uid="{00000000-0005-0000-0000-00005A260000}"/>
    <cellStyle name="Normal 17 7 5 2 4" xfId="19843" xr:uid="{00000000-0005-0000-0000-00005B260000}"/>
    <cellStyle name="Normal 17 7 5 2 5" xfId="38475" xr:uid="{00000000-0005-0000-0000-00005C260000}"/>
    <cellStyle name="Normal 17 7 5 3" xfId="10298" xr:uid="{00000000-0005-0000-0000-00005D260000}"/>
    <cellStyle name="Normal 17 7 5 3 2" xfId="33783" xr:uid="{00000000-0005-0000-0000-00005E260000}"/>
    <cellStyle name="Normal 17 7 5 3 3" xfId="24464" xr:uid="{00000000-0005-0000-0000-00005F260000}"/>
    <cellStyle name="Normal 17 7 5 3 4" xfId="47726" xr:uid="{00000000-0005-0000-0000-000060260000}"/>
    <cellStyle name="Normal 17 7 5 4" xfId="15029" xr:uid="{00000000-0005-0000-0000-000061260000}"/>
    <cellStyle name="Normal 17 7 5 4 2" xfId="29161" xr:uid="{00000000-0005-0000-0000-000062260000}"/>
    <cellStyle name="Normal 17 7 5 4 3" xfId="43056" xr:uid="{00000000-0005-0000-0000-000063260000}"/>
    <cellStyle name="Normal 17 7 5 5" xfId="19842" xr:uid="{00000000-0005-0000-0000-000064260000}"/>
    <cellStyle name="Normal 17 7 5 6" xfId="38474" xr:uid="{00000000-0005-0000-0000-000065260000}"/>
    <cellStyle name="Normal 17 7 6" xfId="4415" xr:uid="{00000000-0005-0000-0000-000066260000}"/>
    <cellStyle name="Normal 17 7 6 2" xfId="4416" xr:uid="{00000000-0005-0000-0000-000067260000}"/>
    <cellStyle name="Normal 17 7 6 2 2" xfId="10301" xr:uid="{00000000-0005-0000-0000-000068260000}"/>
    <cellStyle name="Normal 17 7 6 2 2 2" xfId="33786" xr:uid="{00000000-0005-0000-0000-000069260000}"/>
    <cellStyle name="Normal 17 7 6 2 2 3" xfId="24467" xr:uid="{00000000-0005-0000-0000-00006A260000}"/>
    <cellStyle name="Normal 17 7 6 2 2 4" xfId="47729" xr:uid="{00000000-0005-0000-0000-00006B260000}"/>
    <cellStyle name="Normal 17 7 6 2 3" xfId="15032" xr:uid="{00000000-0005-0000-0000-00006C260000}"/>
    <cellStyle name="Normal 17 7 6 2 3 2" xfId="29164" xr:uid="{00000000-0005-0000-0000-00006D260000}"/>
    <cellStyle name="Normal 17 7 6 2 3 3" xfId="43059" xr:uid="{00000000-0005-0000-0000-00006E260000}"/>
    <cellStyle name="Normal 17 7 6 2 4" xfId="19845" xr:uid="{00000000-0005-0000-0000-00006F260000}"/>
    <cellStyle name="Normal 17 7 6 2 5" xfId="38477" xr:uid="{00000000-0005-0000-0000-000070260000}"/>
    <cellStyle name="Normal 17 7 6 3" xfId="10300" xr:uid="{00000000-0005-0000-0000-000071260000}"/>
    <cellStyle name="Normal 17 7 6 3 2" xfId="33785" xr:uid="{00000000-0005-0000-0000-000072260000}"/>
    <cellStyle name="Normal 17 7 6 3 3" xfId="24466" xr:uid="{00000000-0005-0000-0000-000073260000}"/>
    <cellStyle name="Normal 17 7 6 3 4" xfId="47728" xr:uid="{00000000-0005-0000-0000-000074260000}"/>
    <cellStyle name="Normal 17 7 6 4" xfId="15031" xr:uid="{00000000-0005-0000-0000-000075260000}"/>
    <cellStyle name="Normal 17 7 6 4 2" xfId="29163" xr:uid="{00000000-0005-0000-0000-000076260000}"/>
    <cellStyle name="Normal 17 7 6 4 3" xfId="43058" xr:uid="{00000000-0005-0000-0000-000077260000}"/>
    <cellStyle name="Normal 17 7 6 5" xfId="19844" xr:uid="{00000000-0005-0000-0000-000078260000}"/>
    <cellStyle name="Normal 17 7 6 6" xfId="38476" xr:uid="{00000000-0005-0000-0000-000079260000}"/>
    <cellStyle name="Normal 17 7 7" xfId="4417" xr:uid="{00000000-0005-0000-0000-00007A260000}"/>
    <cellStyle name="Normal 17 7 7 2" xfId="10302" xr:uid="{00000000-0005-0000-0000-00007B260000}"/>
    <cellStyle name="Normal 17 7 7 2 2" xfId="33787" xr:uid="{00000000-0005-0000-0000-00007C260000}"/>
    <cellStyle name="Normal 17 7 7 2 3" xfId="24468" xr:uid="{00000000-0005-0000-0000-00007D260000}"/>
    <cellStyle name="Normal 17 7 7 2 4" xfId="47730" xr:uid="{00000000-0005-0000-0000-00007E260000}"/>
    <cellStyle name="Normal 17 7 7 3" xfId="15033" xr:uid="{00000000-0005-0000-0000-00007F260000}"/>
    <cellStyle name="Normal 17 7 7 3 2" xfId="29165" xr:uid="{00000000-0005-0000-0000-000080260000}"/>
    <cellStyle name="Normal 17 7 7 3 3" xfId="43060" xr:uid="{00000000-0005-0000-0000-000081260000}"/>
    <cellStyle name="Normal 17 7 7 4" xfId="19846" xr:uid="{00000000-0005-0000-0000-000082260000}"/>
    <cellStyle name="Normal 17 7 7 5" xfId="38478" xr:uid="{00000000-0005-0000-0000-000083260000}"/>
    <cellStyle name="Normal 17 7 8" xfId="10291" xr:uid="{00000000-0005-0000-0000-000084260000}"/>
    <cellStyle name="Normal 17 7 8 2" xfId="33776" xr:uid="{00000000-0005-0000-0000-000085260000}"/>
    <cellStyle name="Normal 17 7 8 3" xfId="24457" xr:uid="{00000000-0005-0000-0000-000086260000}"/>
    <cellStyle name="Normal 17 7 8 4" xfId="47719" xr:uid="{00000000-0005-0000-0000-000087260000}"/>
    <cellStyle name="Normal 17 7 9" xfId="15022" xr:uid="{00000000-0005-0000-0000-000088260000}"/>
    <cellStyle name="Normal 17 7 9 2" xfId="29154" xr:uid="{00000000-0005-0000-0000-000089260000}"/>
    <cellStyle name="Normal 17 7 9 3" xfId="43049" xr:uid="{00000000-0005-0000-0000-00008A260000}"/>
    <cellStyle name="Normal 17 8" xfId="4418" xr:uid="{00000000-0005-0000-0000-00008B260000}"/>
    <cellStyle name="Normal 17 8 10" xfId="19847" xr:uid="{00000000-0005-0000-0000-00008C260000}"/>
    <cellStyle name="Normal 17 8 11" xfId="38479" xr:uid="{00000000-0005-0000-0000-00008D260000}"/>
    <cellStyle name="Normal 17 8 2" xfId="4419" xr:uid="{00000000-0005-0000-0000-00008E260000}"/>
    <cellStyle name="Normal 17 8 2 2" xfId="4420" xr:uid="{00000000-0005-0000-0000-00008F260000}"/>
    <cellStyle name="Normal 17 8 2 2 2" xfId="10305" xr:uid="{00000000-0005-0000-0000-000090260000}"/>
    <cellStyle name="Normal 17 8 2 2 2 2" xfId="33790" xr:uid="{00000000-0005-0000-0000-000091260000}"/>
    <cellStyle name="Normal 17 8 2 2 2 3" xfId="24471" xr:uid="{00000000-0005-0000-0000-000092260000}"/>
    <cellStyle name="Normal 17 8 2 2 2 4" xfId="47733" xr:uid="{00000000-0005-0000-0000-000093260000}"/>
    <cellStyle name="Normal 17 8 2 2 3" xfId="15036" xr:uid="{00000000-0005-0000-0000-000094260000}"/>
    <cellStyle name="Normal 17 8 2 2 3 2" xfId="29168" xr:uid="{00000000-0005-0000-0000-000095260000}"/>
    <cellStyle name="Normal 17 8 2 2 3 3" xfId="43063" xr:uid="{00000000-0005-0000-0000-000096260000}"/>
    <cellStyle name="Normal 17 8 2 2 4" xfId="19849" xr:uid="{00000000-0005-0000-0000-000097260000}"/>
    <cellStyle name="Normal 17 8 2 2 5" xfId="38481" xr:uid="{00000000-0005-0000-0000-000098260000}"/>
    <cellStyle name="Normal 17 8 2 3" xfId="10304" xr:uid="{00000000-0005-0000-0000-000099260000}"/>
    <cellStyle name="Normal 17 8 2 3 2" xfId="33789" xr:uid="{00000000-0005-0000-0000-00009A260000}"/>
    <cellStyle name="Normal 17 8 2 3 3" xfId="24470" xr:uid="{00000000-0005-0000-0000-00009B260000}"/>
    <cellStyle name="Normal 17 8 2 3 4" xfId="47732" xr:uid="{00000000-0005-0000-0000-00009C260000}"/>
    <cellStyle name="Normal 17 8 2 4" xfId="15035" xr:uid="{00000000-0005-0000-0000-00009D260000}"/>
    <cellStyle name="Normal 17 8 2 4 2" xfId="29167" xr:uid="{00000000-0005-0000-0000-00009E260000}"/>
    <cellStyle name="Normal 17 8 2 4 3" xfId="43062" xr:uid="{00000000-0005-0000-0000-00009F260000}"/>
    <cellStyle name="Normal 17 8 2 5" xfId="19848" xr:uid="{00000000-0005-0000-0000-0000A0260000}"/>
    <cellStyle name="Normal 17 8 2 6" xfId="38480" xr:uid="{00000000-0005-0000-0000-0000A1260000}"/>
    <cellStyle name="Normal 17 8 3" xfId="4421" xr:uid="{00000000-0005-0000-0000-0000A2260000}"/>
    <cellStyle name="Normal 17 8 3 2" xfId="4422" xr:uid="{00000000-0005-0000-0000-0000A3260000}"/>
    <cellStyle name="Normal 17 8 3 2 2" xfId="10307" xr:uid="{00000000-0005-0000-0000-0000A4260000}"/>
    <cellStyle name="Normal 17 8 3 2 2 2" xfId="33792" xr:uid="{00000000-0005-0000-0000-0000A5260000}"/>
    <cellStyle name="Normal 17 8 3 2 2 3" xfId="24473" xr:uid="{00000000-0005-0000-0000-0000A6260000}"/>
    <cellStyle name="Normal 17 8 3 2 2 4" xfId="47735" xr:uid="{00000000-0005-0000-0000-0000A7260000}"/>
    <cellStyle name="Normal 17 8 3 2 3" xfId="15038" xr:uid="{00000000-0005-0000-0000-0000A8260000}"/>
    <cellStyle name="Normal 17 8 3 2 3 2" xfId="29170" xr:uid="{00000000-0005-0000-0000-0000A9260000}"/>
    <cellStyle name="Normal 17 8 3 2 3 3" xfId="43065" xr:uid="{00000000-0005-0000-0000-0000AA260000}"/>
    <cellStyle name="Normal 17 8 3 2 4" xfId="19851" xr:uid="{00000000-0005-0000-0000-0000AB260000}"/>
    <cellStyle name="Normal 17 8 3 2 5" xfId="38483" xr:uid="{00000000-0005-0000-0000-0000AC260000}"/>
    <cellStyle name="Normal 17 8 3 3" xfId="10306" xr:uid="{00000000-0005-0000-0000-0000AD260000}"/>
    <cellStyle name="Normal 17 8 3 3 2" xfId="33791" xr:uid="{00000000-0005-0000-0000-0000AE260000}"/>
    <cellStyle name="Normal 17 8 3 3 3" xfId="24472" xr:uid="{00000000-0005-0000-0000-0000AF260000}"/>
    <cellStyle name="Normal 17 8 3 3 4" xfId="47734" xr:uid="{00000000-0005-0000-0000-0000B0260000}"/>
    <cellStyle name="Normal 17 8 3 4" xfId="15037" xr:uid="{00000000-0005-0000-0000-0000B1260000}"/>
    <cellStyle name="Normal 17 8 3 4 2" xfId="29169" xr:uid="{00000000-0005-0000-0000-0000B2260000}"/>
    <cellStyle name="Normal 17 8 3 4 3" xfId="43064" xr:uid="{00000000-0005-0000-0000-0000B3260000}"/>
    <cellStyle name="Normal 17 8 3 5" xfId="19850" xr:uid="{00000000-0005-0000-0000-0000B4260000}"/>
    <cellStyle name="Normal 17 8 3 6" xfId="38482" xr:uid="{00000000-0005-0000-0000-0000B5260000}"/>
    <cellStyle name="Normal 17 8 4" xfId="4423" xr:uid="{00000000-0005-0000-0000-0000B6260000}"/>
    <cellStyle name="Normal 17 8 4 2" xfId="4424" xr:uid="{00000000-0005-0000-0000-0000B7260000}"/>
    <cellStyle name="Normal 17 8 4 2 2" xfId="10309" xr:uid="{00000000-0005-0000-0000-0000B8260000}"/>
    <cellStyle name="Normal 17 8 4 2 2 2" xfId="33794" xr:uid="{00000000-0005-0000-0000-0000B9260000}"/>
    <cellStyle name="Normal 17 8 4 2 2 3" xfId="24475" xr:uid="{00000000-0005-0000-0000-0000BA260000}"/>
    <cellStyle name="Normal 17 8 4 2 2 4" xfId="47737" xr:uid="{00000000-0005-0000-0000-0000BB260000}"/>
    <cellStyle name="Normal 17 8 4 2 3" xfId="15040" xr:uid="{00000000-0005-0000-0000-0000BC260000}"/>
    <cellStyle name="Normal 17 8 4 2 3 2" xfId="29172" xr:uid="{00000000-0005-0000-0000-0000BD260000}"/>
    <cellStyle name="Normal 17 8 4 2 3 3" xfId="43067" xr:uid="{00000000-0005-0000-0000-0000BE260000}"/>
    <cellStyle name="Normal 17 8 4 2 4" xfId="19853" xr:uid="{00000000-0005-0000-0000-0000BF260000}"/>
    <cellStyle name="Normal 17 8 4 2 5" xfId="38485" xr:uid="{00000000-0005-0000-0000-0000C0260000}"/>
    <cellStyle name="Normal 17 8 4 3" xfId="10308" xr:uid="{00000000-0005-0000-0000-0000C1260000}"/>
    <cellStyle name="Normal 17 8 4 3 2" xfId="33793" xr:uid="{00000000-0005-0000-0000-0000C2260000}"/>
    <cellStyle name="Normal 17 8 4 3 3" xfId="24474" xr:uid="{00000000-0005-0000-0000-0000C3260000}"/>
    <cellStyle name="Normal 17 8 4 3 4" xfId="47736" xr:uid="{00000000-0005-0000-0000-0000C4260000}"/>
    <cellStyle name="Normal 17 8 4 4" xfId="15039" xr:uid="{00000000-0005-0000-0000-0000C5260000}"/>
    <cellStyle name="Normal 17 8 4 4 2" xfId="29171" xr:uid="{00000000-0005-0000-0000-0000C6260000}"/>
    <cellStyle name="Normal 17 8 4 4 3" xfId="43066" xr:uid="{00000000-0005-0000-0000-0000C7260000}"/>
    <cellStyle name="Normal 17 8 4 5" xfId="19852" xr:uid="{00000000-0005-0000-0000-0000C8260000}"/>
    <cellStyle name="Normal 17 8 4 6" xfId="38484" xr:uid="{00000000-0005-0000-0000-0000C9260000}"/>
    <cellStyle name="Normal 17 8 5" xfId="4425" xr:uid="{00000000-0005-0000-0000-0000CA260000}"/>
    <cellStyle name="Normal 17 8 5 2" xfId="4426" xr:uid="{00000000-0005-0000-0000-0000CB260000}"/>
    <cellStyle name="Normal 17 8 5 2 2" xfId="10311" xr:uid="{00000000-0005-0000-0000-0000CC260000}"/>
    <cellStyle name="Normal 17 8 5 2 2 2" xfId="33796" xr:uid="{00000000-0005-0000-0000-0000CD260000}"/>
    <cellStyle name="Normal 17 8 5 2 2 3" xfId="24477" xr:uid="{00000000-0005-0000-0000-0000CE260000}"/>
    <cellStyle name="Normal 17 8 5 2 2 4" xfId="47739" xr:uid="{00000000-0005-0000-0000-0000CF260000}"/>
    <cellStyle name="Normal 17 8 5 2 3" xfId="15042" xr:uid="{00000000-0005-0000-0000-0000D0260000}"/>
    <cellStyle name="Normal 17 8 5 2 3 2" xfId="29174" xr:uid="{00000000-0005-0000-0000-0000D1260000}"/>
    <cellStyle name="Normal 17 8 5 2 3 3" xfId="43069" xr:uid="{00000000-0005-0000-0000-0000D2260000}"/>
    <cellStyle name="Normal 17 8 5 2 4" xfId="19855" xr:uid="{00000000-0005-0000-0000-0000D3260000}"/>
    <cellStyle name="Normal 17 8 5 2 5" xfId="38487" xr:uid="{00000000-0005-0000-0000-0000D4260000}"/>
    <cellStyle name="Normal 17 8 5 3" xfId="10310" xr:uid="{00000000-0005-0000-0000-0000D5260000}"/>
    <cellStyle name="Normal 17 8 5 3 2" xfId="33795" xr:uid="{00000000-0005-0000-0000-0000D6260000}"/>
    <cellStyle name="Normal 17 8 5 3 3" xfId="24476" xr:uid="{00000000-0005-0000-0000-0000D7260000}"/>
    <cellStyle name="Normal 17 8 5 3 4" xfId="47738" xr:uid="{00000000-0005-0000-0000-0000D8260000}"/>
    <cellStyle name="Normal 17 8 5 4" xfId="15041" xr:uid="{00000000-0005-0000-0000-0000D9260000}"/>
    <cellStyle name="Normal 17 8 5 4 2" xfId="29173" xr:uid="{00000000-0005-0000-0000-0000DA260000}"/>
    <cellStyle name="Normal 17 8 5 4 3" xfId="43068" xr:uid="{00000000-0005-0000-0000-0000DB260000}"/>
    <cellStyle name="Normal 17 8 5 5" xfId="19854" xr:uid="{00000000-0005-0000-0000-0000DC260000}"/>
    <cellStyle name="Normal 17 8 5 6" xfId="38486" xr:uid="{00000000-0005-0000-0000-0000DD260000}"/>
    <cellStyle name="Normal 17 8 6" xfId="4427" xr:uid="{00000000-0005-0000-0000-0000DE260000}"/>
    <cellStyle name="Normal 17 8 6 2" xfId="4428" xr:uid="{00000000-0005-0000-0000-0000DF260000}"/>
    <cellStyle name="Normal 17 8 6 2 2" xfId="10313" xr:uid="{00000000-0005-0000-0000-0000E0260000}"/>
    <cellStyle name="Normal 17 8 6 2 2 2" xfId="33798" xr:uid="{00000000-0005-0000-0000-0000E1260000}"/>
    <cellStyle name="Normal 17 8 6 2 2 3" xfId="24479" xr:uid="{00000000-0005-0000-0000-0000E2260000}"/>
    <cellStyle name="Normal 17 8 6 2 2 4" xfId="47741" xr:uid="{00000000-0005-0000-0000-0000E3260000}"/>
    <cellStyle name="Normal 17 8 6 2 3" xfId="15044" xr:uid="{00000000-0005-0000-0000-0000E4260000}"/>
    <cellStyle name="Normal 17 8 6 2 3 2" xfId="29176" xr:uid="{00000000-0005-0000-0000-0000E5260000}"/>
    <cellStyle name="Normal 17 8 6 2 3 3" xfId="43071" xr:uid="{00000000-0005-0000-0000-0000E6260000}"/>
    <cellStyle name="Normal 17 8 6 2 4" xfId="19857" xr:uid="{00000000-0005-0000-0000-0000E7260000}"/>
    <cellStyle name="Normal 17 8 6 2 5" xfId="38489" xr:uid="{00000000-0005-0000-0000-0000E8260000}"/>
    <cellStyle name="Normal 17 8 6 3" xfId="10312" xr:uid="{00000000-0005-0000-0000-0000E9260000}"/>
    <cellStyle name="Normal 17 8 6 3 2" xfId="33797" xr:uid="{00000000-0005-0000-0000-0000EA260000}"/>
    <cellStyle name="Normal 17 8 6 3 3" xfId="24478" xr:uid="{00000000-0005-0000-0000-0000EB260000}"/>
    <cellStyle name="Normal 17 8 6 3 4" xfId="47740" xr:uid="{00000000-0005-0000-0000-0000EC260000}"/>
    <cellStyle name="Normal 17 8 6 4" xfId="15043" xr:uid="{00000000-0005-0000-0000-0000ED260000}"/>
    <cellStyle name="Normal 17 8 6 4 2" xfId="29175" xr:uid="{00000000-0005-0000-0000-0000EE260000}"/>
    <cellStyle name="Normal 17 8 6 4 3" xfId="43070" xr:uid="{00000000-0005-0000-0000-0000EF260000}"/>
    <cellStyle name="Normal 17 8 6 5" xfId="19856" xr:uid="{00000000-0005-0000-0000-0000F0260000}"/>
    <cellStyle name="Normal 17 8 6 6" xfId="38488" xr:uid="{00000000-0005-0000-0000-0000F1260000}"/>
    <cellStyle name="Normal 17 8 7" xfId="4429" xr:uid="{00000000-0005-0000-0000-0000F2260000}"/>
    <cellStyle name="Normal 17 8 7 2" xfId="10314" xr:uid="{00000000-0005-0000-0000-0000F3260000}"/>
    <cellStyle name="Normal 17 8 7 2 2" xfId="33799" xr:uid="{00000000-0005-0000-0000-0000F4260000}"/>
    <cellStyle name="Normal 17 8 7 2 3" xfId="24480" xr:uid="{00000000-0005-0000-0000-0000F5260000}"/>
    <cellStyle name="Normal 17 8 7 2 4" xfId="47742" xr:uid="{00000000-0005-0000-0000-0000F6260000}"/>
    <cellStyle name="Normal 17 8 7 3" xfId="15045" xr:uid="{00000000-0005-0000-0000-0000F7260000}"/>
    <cellStyle name="Normal 17 8 7 3 2" xfId="29177" xr:uid="{00000000-0005-0000-0000-0000F8260000}"/>
    <cellStyle name="Normal 17 8 7 3 3" xfId="43072" xr:uid="{00000000-0005-0000-0000-0000F9260000}"/>
    <cellStyle name="Normal 17 8 7 4" xfId="19858" xr:uid="{00000000-0005-0000-0000-0000FA260000}"/>
    <cellStyle name="Normal 17 8 7 5" xfId="38490" xr:uid="{00000000-0005-0000-0000-0000FB260000}"/>
    <cellStyle name="Normal 17 8 8" xfId="10303" xr:uid="{00000000-0005-0000-0000-0000FC260000}"/>
    <cellStyle name="Normal 17 8 8 2" xfId="33788" xr:uid="{00000000-0005-0000-0000-0000FD260000}"/>
    <cellStyle name="Normal 17 8 8 3" xfId="24469" xr:uid="{00000000-0005-0000-0000-0000FE260000}"/>
    <cellStyle name="Normal 17 8 8 4" xfId="47731" xr:uid="{00000000-0005-0000-0000-0000FF260000}"/>
    <cellStyle name="Normal 17 8 9" xfId="15034" xr:uid="{00000000-0005-0000-0000-000000270000}"/>
    <cellStyle name="Normal 17 8 9 2" xfId="29166" xr:uid="{00000000-0005-0000-0000-000001270000}"/>
    <cellStyle name="Normal 17 8 9 3" xfId="43061" xr:uid="{00000000-0005-0000-0000-000002270000}"/>
    <cellStyle name="Normal 17 9" xfId="4430" xr:uid="{00000000-0005-0000-0000-000003270000}"/>
    <cellStyle name="Normal 17 9 10" xfId="19859" xr:uid="{00000000-0005-0000-0000-000004270000}"/>
    <cellStyle name="Normal 17 9 11" xfId="38491" xr:uid="{00000000-0005-0000-0000-000005270000}"/>
    <cellStyle name="Normal 17 9 2" xfId="4431" xr:uid="{00000000-0005-0000-0000-000006270000}"/>
    <cellStyle name="Normal 17 9 2 2" xfId="4432" xr:uid="{00000000-0005-0000-0000-000007270000}"/>
    <cellStyle name="Normal 17 9 2 2 2" xfId="10317" xr:uid="{00000000-0005-0000-0000-000008270000}"/>
    <cellStyle name="Normal 17 9 2 2 2 2" xfId="33802" xr:uid="{00000000-0005-0000-0000-000009270000}"/>
    <cellStyle name="Normal 17 9 2 2 2 3" xfId="24483" xr:uid="{00000000-0005-0000-0000-00000A270000}"/>
    <cellStyle name="Normal 17 9 2 2 2 4" xfId="47745" xr:uid="{00000000-0005-0000-0000-00000B270000}"/>
    <cellStyle name="Normal 17 9 2 2 3" xfId="15048" xr:uid="{00000000-0005-0000-0000-00000C270000}"/>
    <cellStyle name="Normal 17 9 2 2 3 2" xfId="29180" xr:uid="{00000000-0005-0000-0000-00000D270000}"/>
    <cellStyle name="Normal 17 9 2 2 3 3" xfId="43075" xr:uid="{00000000-0005-0000-0000-00000E270000}"/>
    <cellStyle name="Normal 17 9 2 2 4" xfId="19861" xr:uid="{00000000-0005-0000-0000-00000F270000}"/>
    <cellStyle name="Normal 17 9 2 2 5" xfId="38493" xr:uid="{00000000-0005-0000-0000-000010270000}"/>
    <cellStyle name="Normal 17 9 2 3" xfId="10316" xr:uid="{00000000-0005-0000-0000-000011270000}"/>
    <cellStyle name="Normal 17 9 2 3 2" xfId="33801" xr:uid="{00000000-0005-0000-0000-000012270000}"/>
    <cellStyle name="Normal 17 9 2 3 3" xfId="24482" xr:uid="{00000000-0005-0000-0000-000013270000}"/>
    <cellStyle name="Normal 17 9 2 3 4" xfId="47744" xr:uid="{00000000-0005-0000-0000-000014270000}"/>
    <cellStyle name="Normal 17 9 2 4" xfId="15047" xr:uid="{00000000-0005-0000-0000-000015270000}"/>
    <cellStyle name="Normal 17 9 2 4 2" xfId="29179" xr:uid="{00000000-0005-0000-0000-000016270000}"/>
    <cellStyle name="Normal 17 9 2 4 3" xfId="43074" xr:uid="{00000000-0005-0000-0000-000017270000}"/>
    <cellStyle name="Normal 17 9 2 5" xfId="19860" xr:uid="{00000000-0005-0000-0000-000018270000}"/>
    <cellStyle name="Normal 17 9 2 6" xfId="38492" xr:uid="{00000000-0005-0000-0000-000019270000}"/>
    <cellStyle name="Normal 17 9 3" xfId="4433" xr:uid="{00000000-0005-0000-0000-00001A270000}"/>
    <cellStyle name="Normal 17 9 3 2" xfId="4434" xr:uid="{00000000-0005-0000-0000-00001B270000}"/>
    <cellStyle name="Normal 17 9 3 2 2" xfId="10319" xr:uid="{00000000-0005-0000-0000-00001C270000}"/>
    <cellStyle name="Normal 17 9 3 2 2 2" xfId="33804" xr:uid="{00000000-0005-0000-0000-00001D270000}"/>
    <cellStyle name="Normal 17 9 3 2 2 3" xfId="24485" xr:uid="{00000000-0005-0000-0000-00001E270000}"/>
    <cellStyle name="Normal 17 9 3 2 2 4" xfId="47747" xr:uid="{00000000-0005-0000-0000-00001F270000}"/>
    <cellStyle name="Normal 17 9 3 2 3" xfId="15050" xr:uid="{00000000-0005-0000-0000-000020270000}"/>
    <cellStyle name="Normal 17 9 3 2 3 2" xfId="29182" xr:uid="{00000000-0005-0000-0000-000021270000}"/>
    <cellStyle name="Normal 17 9 3 2 3 3" xfId="43077" xr:uid="{00000000-0005-0000-0000-000022270000}"/>
    <cellStyle name="Normal 17 9 3 2 4" xfId="19863" xr:uid="{00000000-0005-0000-0000-000023270000}"/>
    <cellStyle name="Normal 17 9 3 2 5" xfId="38495" xr:uid="{00000000-0005-0000-0000-000024270000}"/>
    <cellStyle name="Normal 17 9 3 3" xfId="10318" xr:uid="{00000000-0005-0000-0000-000025270000}"/>
    <cellStyle name="Normal 17 9 3 3 2" xfId="33803" xr:uid="{00000000-0005-0000-0000-000026270000}"/>
    <cellStyle name="Normal 17 9 3 3 3" xfId="24484" xr:uid="{00000000-0005-0000-0000-000027270000}"/>
    <cellStyle name="Normal 17 9 3 3 4" xfId="47746" xr:uid="{00000000-0005-0000-0000-000028270000}"/>
    <cellStyle name="Normal 17 9 3 4" xfId="15049" xr:uid="{00000000-0005-0000-0000-000029270000}"/>
    <cellStyle name="Normal 17 9 3 4 2" xfId="29181" xr:uid="{00000000-0005-0000-0000-00002A270000}"/>
    <cellStyle name="Normal 17 9 3 4 3" xfId="43076" xr:uid="{00000000-0005-0000-0000-00002B270000}"/>
    <cellStyle name="Normal 17 9 3 5" xfId="19862" xr:uid="{00000000-0005-0000-0000-00002C270000}"/>
    <cellStyle name="Normal 17 9 3 6" xfId="38494" xr:uid="{00000000-0005-0000-0000-00002D270000}"/>
    <cellStyle name="Normal 17 9 4" xfId="4435" xr:uid="{00000000-0005-0000-0000-00002E270000}"/>
    <cellStyle name="Normal 17 9 4 2" xfId="4436" xr:uid="{00000000-0005-0000-0000-00002F270000}"/>
    <cellStyle name="Normal 17 9 4 2 2" xfId="10321" xr:uid="{00000000-0005-0000-0000-000030270000}"/>
    <cellStyle name="Normal 17 9 4 2 2 2" xfId="33806" xr:uid="{00000000-0005-0000-0000-000031270000}"/>
    <cellStyle name="Normal 17 9 4 2 2 3" xfId="24487" xr:uid="{00000000-0005-0000-0000-000032270000}"/>
    <cellStyle name="Normal 17 9 4 2 2 4" xfId="47749" xr:uid="{00000000-0005-0000-0000-000033270000}"/>
    <cellStyle name="Normal 17 9 4 2 3" xfId="15052" xr:uid="{00000000-0005-0000-0000-000034270000}"/>
    <cellStyle name="Normal 17 9 4 2 3 2" xfId="29184" xr:uid="{00000000-0005-0000-0000-000035270000}"/>
    <cellStyle name="Normal 17 9 4 2 3 3" xfId="43079" xr:uid="{00000000-0005-0000-0000-000036270000}"/>
    <cellStyle name="Normal 17 9 4 2 4" xfId="19865" xr:uid="{00000000-0005-0000-0000-000037270000}"/>
    <cellStyle name="Normal 17 9 4 2 5" xfId="38497" xr:uid="{00000000-0005-0000-0000-000038270000}"/>
    <cellStyle name="Normal 17 9 4 3" xfId="10320" xr:uid="{00000000-0005-0000-0000-000039270000}"/>
    <cellStyle name="Normal 17 9 4 3 2" xfId="33805" xr:uid="{00000000-0005-0000-0000-00003A270000}"/>
    <cellStyle name="Normal 17 9 4 3 3" xfId="24486" xr:uid="{00000000-0005-0000-0000-00003B270000}"/>
    <cellStyle name="Normal 17 9 4 3 4" xfId="47748" xr:uid="{00000000-0005-0000-0000-00003C270000}"/>
    <cellStyle name="Normal 17 9 4 4" xfId="15051" xr:uid="{00000000-0005-0000-0000-00003D270000}"/>
    <cellStyle name="Normal 17 9 4 4 2" xfId="29183" xr:uid="{00000000-0005-0000-0000-00003E270000}"/>
    <cellStyle name="Normal 17 9 4 4 3" xfId="43078" xr:uid="{00000000-0005-0000-0000-00003F270000}"/>
    <cellStyle name="Normal 17 9 4 5" xfId="19864" xr:uid="{00000000-0005-0000-0000-000040270000}"/>
    <cellStyle name="Normal 17 9 4 6" xfId="38496" xr:uid="{00000000-0005-0000-0000-000041270000}"/>
    <cellStyle name="Normal 17 9 5" xfId="4437" xr:uid="{00000000-0005-0000-0000-000042270000}"/>
    <cellStyle name="Normal 17 9 5 2" xfId="4438" xr:uid="{00000000-0005-0000-0000-000043270000}"/>
    <cellStyle name="Normal 17 9 5 2 2" xfId="10323" xr:uid="{00000000-0005-0000-0000-000044270000}"/>
    <cellStyle name="Normal 17 9 5 2 2 2" xfId="33808" xr:uid="{00000000-0005-0000-0000-000045270000}"/>
    <cellStyle name="Normal 17 9 5 2 2 3" xfId="24489" xr:uid="{00000000-0005-0000-0000-000046270000}"/>
    <cellStyle name="Normal 17 9 5 2 2 4" xfId="47751" xr:uid="{00000000-0005-0000-0000-000047270000}"/>
    <cellStyle name="Normal 17 9 5 2 3" xfId="15054" xr:uid="{00000000-0005-0000-0000-000048270000}"/>
    <cellStyle name="Normal 17 9 5 2 3 2" xfId="29186" xr:uid="{00000000-0005-0000-0000-000049270000}"/>
    <cellStyle name="Normal 17 9 5 2 3 3" xfId="43081" xr:uid="{00000000-0005-0000-0000-00004A270000}"/>
    <cellStyle name="Normal 17 9 5 2 4" xfId="19867" xr:uid="{00000000-0005-0000-0000-00004B270000}"/>
    <cellStyle name="Normal 17 9 5 2 5" xfId="38499" xr:uid="{00000000-0005-0000-0000-00004C270000}"/>
    <cellStyle name="Normal 17 9 5 3" xfId="10322" xr:uid="{00000000-0005-0000-0000-00004D270000}"/>
    <cellStyle name="Normal 17 9 5 3 2" xfId="33807" xr:uid="{00000000-0005-0000-0000-00004E270000}"/>
    <cellStyle name="Normal 17 9 5 3 3" xfId="24488" xr:uid="{00000000-0005-0000-0000-00004F270000}"/>
    <cellStyle name="Normal 17 9 5 3 4" xfId="47750" xr:uid="{00000000-0005-0000-0000-000050270000}"/>
    <cellStyle name="Normal 17 9 5 4" xfId="15053" xr:uid="{00000000-0005-0000-0000-000051270000}"/>
    <cellStyle name="Normal 17 9 5 4 2" xfId="29185" xr:uid="{00000000-0005-0000-0000-000052270000}"/>
    <cellStyle name="Normal 17 9 5 4 3" xfId="43080" xr:uid="{00000000-0005-0000-0000-000053270000}"/>
    <cellStyle name="Normal 17 9 5 5" xfId="19866" xr:uid="{00000000-0005-0000-0000-000054270000}"/>
    <cellStyle name="Normal 17 9 5 6" xfId="38498" xr:uid="{00000000-0005-0000-0000-000055270000}"/>
    <cellStyle name="Normal 17 9 6" xfId="4439" xr:uid="{00000000-0005-0000-0000-000056270000}"/>
    <cellStyle name="Normal 17 9 6 2" xfId="4440" xr:uid="{00000000-0005-0000-0000-000057270000}"/>
    <cellStyle name="Normal 17 9 6 2 2" xfId="10325" xr:uid="{00000000-0005-0000-0000-000058270000}"/>
    <cellStyle name="Normal 17 9 6 2 2 2" xfId="33810" xr:uid="{00000000-0005-0000-0000-000059270000}"/>
    <cellStyle name="Normal 17 9 6 2 2 3" xfId="24491" xr:uid="{00000000-0005-0000-0000-00005A270000}"/>
    <cellStyle name="Normal 17 9 6 2 2 4" xfId="47753" xr:uid="{00000000-0005-0000-0000-00005B270000}"/>
    <cellStyle name="Normal 17 9 6 2 3" xfId="15056" xr:uid="{00000000-0005-0000-0000-00005C270000}"/>
    <cellStyle name="Normal 17 9 6 2 3 2" xfId="29188" xr:uid="{00000000-0005-0000-0000-00005D270000}"/>
    <cellStyle name="Normal 17 9 6 2 3 3" xfId="43083" xr:uid="{00000000-0005-0000-0000-00005E270000}"/>
    <cellStyle name="Normal 17 9 6 2 4" xfId="19869" xr:uid="{00000000-0005-0000-0000-00005F270000}"/>
    <cellStyle name="Normal 17 9 6 2 5" xfId="38501" xr:uid="{00000000-0005-0000-0000-000060270000}"/>
    <cellStyle name="Normal 17 9 6 3" xfId="10324" xr:uid="{00000000-0005-0000-0000-000061270000}"/>
    <cellStyle name="Normal 17 9 6 3 2" xfId="33809" xr:uid="{00000000-0005-0000-0000-000062270000}"/>
    <cellStyle name="Normal 17 9 6 3 3" xfId="24490" xr:uid="{00000000-0005-0000-0000-000063270000}"/>
    <cellStyle name="Normal 17 9 6 3 4" xfId="47752" xr:uid="{00000000-0005-0000-0000-000064270000}"/>
    <cellStyle name="Normal 17 9 6 4" xfId="15055" xr:uid="{00000000-0005-0000-0000-000065270000}"/>
    <cellStyle name="Normal 17 9 6 4 2" xfId="29187" xr:uid="{00000000-0005-0000-0000-000066270000}"/>
    <cellStyle name="Normal 17 9 6 4 3" xfId="43082" xr:uid="{00000000-0005-0000-0000-000067270000}"/>
    <cellStyle name="Normal 17 9 6 5" xfId="19868" xr:uid="{00000000-0005-0000-0000-000068270000}"/>
    <cellStyle name="Normal 17 9 6 6" xfId="38500" xr:uid="{00000000-0005-0000-0000-000069270000}"/>
    <cellStyle name="Normal 17 9 7" xfId="4441" xr:uid="{00000000-0005-0000-0000-00006A270000}"/>
    <cellStyle name="Normal 17 9 7 2" xfId="10326" xr:uid="{00000000-0005-0000-0000-00006B270000}"/>
    <cellStyle name="Normal 17 9 7 2 2" xfId="33811" xr:uid="{00000000-0005-0000-0000-00006C270000}"/>
    <cellStyle name="Normal 17 9 7 2 3" xfId="24492" xr:uid="{00000000-0005-0000-0000-00006D270000}"/>
    <cellStyle name="Normal 17 9 7 2 4" xfId="47754" xr:uid="{00000000-0005-0000-0000-00006E270000}"/>
    <cellStyle name="Normal 17 9 7 3" xfId="15057" xr:uid="{00000000-0005-0000-0000-00006F270000}"/>
    <cellStyle name="Normal 17 9 7 3 2" xfId="29189" xr:uid="{00000000-0005-0000-0000-000070270000}"/>
    <cellStyle name="Normal 17 9 7 3 3" xfId="43084" xr:uid="{00000000-0005-0000-0000-000071270000}"/>
    <cellStyle name="Normal 17 9 7 4" xfId="19870" xr:uid="{00000000-0005-0000-0000-000072270000}"/>
    <cellStyle name="Normal 17 9 7 5" xfId="38502" xr:uid="{00000000-0005-0000-0000-000073270000}"/>
    <cellStyle name="Normal 17 9 8" xfId="10315" xr:uid="{00000000-0005-0000-0000-000074270000}"/>
    <cellStyle name="Normal 17 9 8 2" xfId="33800" xr:uid="{00000000-0005-0000-0000-000075270000}"/>
    <cellStyle name="Normal 17 9 8 3" xfId="24481" xr:uid="{00000000-0005-0000-0000-000076270000}"/>
    <cellStyle name="Normal 17 9 8 4" xfId="47743" xr:uid="{00000000-0005-0000-0000-000077270000}"/>
    <cellStyle name="Normal 17 9 9" xfId="15046" xr:uid="{00000000-0005-0000-0000-000078270000}"/>
    <cellStyle name="Normal 17 9 9 2" xfId="29178" xr:uid="{00000000-0005-0000-0000-000079270000}"/>
    <cellStyle name="Normal 17 9 9 3" xfId="43073" xr:uid="{00000000-0005-0000-0000-00007A270000}"/>
    <cellStyle name="Normal 170" xfId="138" xr:uid="{00000000-0005-0000-0000-00007B270000}"/>
    <cellStyle name="Normal 171" xfId="139" xr:uid="{00000000-0005-0000-0000-00007C270000}"/>
    <cellStyle name="Normal 172" xfId="140" xr:uid="{00000000-0005-0000-0000-00007D270000}"/>
    <cellStyle name="Normal 173" xfId="141" xr:uid="{00000000-0005-0000-0000-00007E270000}"/>
    <cellStyle name="Normal 174" xfId="142" xr:uid="{00000000-0005-0000-0000-00007F270000}"/>
    <cellStyle name="Normal 175" xfId="143" xr:uid="{00000000-0005-0000-0000-000080270000}"/>
    <cellStyle name="Normal 176" xfId="144" xr:uid="{00000000-0005-0000-0000-000081270000}"/>
    <cellStyle name="Normal 177" xfId="145" xr:uid="{00000000-0005-0000-0000-000082270000}"/>
    <cellStyle name="Normal 178" xfId="146" xr:uid="{00000000-0005-0000-0000-000083270000}"/>
    <cellStyle name="Normal 179" xfId="147" xr:uid="{00000000-0005-0000-0000-000084270000}"/>
    <cellStyle name="Normal 18" xfId="148" xr:uid="{00000000-0005-0000-0000-000085270000}"/>
    <cellStyle name="Normal 18 10" xfId="4442" xr:uid="{00000000-0005-0000-0000-000086270000}"/>
    <cellStyle name="Normal 18 11" xfId="4443" xr:uid="{00000000-0005-0000-0000-000087270000}"/>
    <cellStyle name="Normal 18 12" xfId="4444" xr:uid="{00000000-0005-0000-0000-000088270000}"/>
    <cellStyle name="Normal 18 13" xfId="4445" xr:uid="{00000000-0005-0000-0000-000089270000}"/>
    <cellStyle name="Normal 18 14" xfId="4446" xr:uid="{00000000-0005-0000-0000-00008A270000}"/>
    <cellStyle name="Normal 18 15" xfId="407" xr:uid="{00000000-0005-0000-0000-00008B270000}"/>
    <cellStyle name="Normal 18 16" xfId="9508" xr:uid="{00000000-0005-0000-0000-00008C270000}"/>
    <cellStyle name="Normal 18 16 2" xfId="14176" xr:uid="{00000000-0005-0000-0000-00008D270000}"/>
    <cellStyle name="Normal 18 16 3" xfId="46923" xr:uid="{00000000-0005-0000-0000-00008E270000}"/>
    <cellStyle name="Normal 18 17" xfId="51675" xr:uid="{00000000-0005-0000-0000-00008F270000}"/>
    <cellStyle name="Normal 18 2" xfId="4447" xr:uid="{00000000-0005-0000-0000-000090270000}"/>
    <cellStyle name="Normal 18 2 10" xfId="19871" xr:uid="{00000000-0005-0000-0000-000091270000}"/>
    <cellStyle name="Normal 18 2 11" xfId="38503" xr:uid="{00000000-0005-0000-0000-000092270000}"/>
    <cellStyle name="Normal 18 2 2" xfId="4448" xr:uid="{00000000-0005-0000-0000-000093270000}"/>
    <cellStyle name="Normal 18 2 2 2" xfId="4449" xr:uid="{00000000-0005-0000-0000-000094270000}"/>
    <cellStyle name="Normal 18 2 2 2 2" xfId="10329" xr:uid="{00000000-0005-0000-0000-000095270000}"/>
    <cellStyle name="Normal 18 2 2 2 2 2" xfId="33814" xr:uid="{00000000-0005-0000-0000-000096270000}"/>
    <cellStyle name="Normal 18 2 2 2 2 3" xfId="24495" xr:uid="{00000000-0005-0000-0000-000097270000}"/>
    <cellStyle name="Normal 18 2 2 2 2 4" xfId="47757" xr:uid="{00000000-0005-0000-0000-000098270000}"/>
    <cellStyle name="Normal 18 2 2 2 3" xfId="15060" xr:uid="{00000000-0005-0000-0000-000099270000}"/>
    <cellStyle name="Normal 18 2 2 2 3 2" xfId="29192" xr:uid="{00000000-0005-0000-0000-00009A270000}"/>
    <cellStyle name="Normal 18 2 2 2 3 3" xfId="43087" xr:uid="{00000000-0005-0000-0000-00009B270000}"/>
    <cellStyle name="Normal 18 2 2 2 4" xfId="19873" xr:uid="{00000000-0005-0000-0000-00009C270000}"/>
    <cellStyle name="Normal 18 2 2 2 5" xfId="38505" xr:uid="{00000000-0005-0000-0000-00009D270000}"/>
    <cellStyle name="Normal 18 2 2 3" xfId="10328" xr:uid="{00000000-0005-0000-0000-00009E270000}"/>
    <cellStyle name="Normal 18 2 2 3 2" xfId="33813" xr:uid="{00000000-0005-0000-0000-00009F270000}"/>
    <cellStyle name="Normal 18 2 2 3 3" xfId="24494" xr:uid="{00000000-0005-0000-0000-0000A0270000}"/>
    <cellStyle name="Normal 18 2 2 3 4" xfId="47756" xr:uid="{00000000-0005-0000-0000-0000A1270000}"/>
    <cellStyle name="Normal 18 2 2 4" xfId="15059" xr:uid="{00000000-0005-0000-0000-0000A2270000}"/>
    <cellStyle name="Normal 18 2 2 4 2" xfId="29191" xr:uid="{00000000-0005-0000-0000-0000A3270000}"/>
    <cellStyle name="Normal 18 2 2 4 3" xfId="43086" xr:uid="{00000000-0005-0000-0000-0000A4270000}"/>
    <cellStyle name="Normal 18 2 2 5" xfId="19872" xr:uid="{00000000-0005-0000-0000-0000A5270000}"/>
    <cellStyle name="Normal 18 2 2 6" xfId="38504" xr:uid="{00000000-0005-0000-0000-0000A6270000}"/>
    <cellStyle name="Normal 18 2 3" xfId="4450" xr:uid="{00000000-0005-0000-0000-0000A7270000}"/>
    <cellStyle name="Normal 18 2 3 2" xfId="4451" xr:uid="{00000000-0005-0000-0000-0000A8270000}"/>
    <cellStyle name="Normal 18 2 3 2 2" xfId="10331" xr:uid="{00000000-0005-0000-0000-0000A9270000}"/>
    <cellStyle name="Normal 18 2 3 2 2 2" xfId="33816" xr:uid="{00000000-0005-0000-0000-0000AA270000}"/>
    <cellStyle name="Normal 18 2 3 2 2 3" xfId="24497" xr:uid="{00000000-0005-0000-0000-0000AB270000}"/>
    <cellStyle name="Normal 18 2 3 2 2 4" xfId="47759" xr:uid="{00000000-0005-0000-0000-0000AC270000}"/>
    <cellStyle name="Normal 18 2 3 2 3" xfId="15062" xr:uid="{00000000-0005-0000-0000-0000AD270000}"/>
    <cellStyle name="Normal 18 2 3 2 3 2" xfId="29194" xr:uid="{00000000-0005-0000-0000-0000AE270000}"/>
    <cellStyle name="Normal 18 2 3 2 3 3" xfId="43089" xr:uid="{00000000-0005-0000-0000-0000AF270000}"/>
    <cellStyle name="Normal 18 2 3 2 4" xfId="19875" xr:uid="{00000000-0005-0000-0000-0000B0270000}"/>
    <cellStyle name="Normal 18 2 3 2 5" xfId="38507" xr:uid="{00000000-0005-0000-0000-0000B1270000}"/>
    <cellStyle name="Normal 18 2 3 3" xfId="10330" xr:uid="{00000000-0005-0000-0000-0000B2270000}"/>
    <cellStyle name="Normal 18 2 3 3 2" xfId="33815" xr:uid="{00000000-0005-0000-0000-0000B3270000}"/>
    <cellStyle name="Normal 18 2 3 3 3" xfId="24496" xr:uid="{00000000-0005-0000-0000-0000B4270000}"/>
    <cellStyle name="Normal 18 2 3 3 4" xfId="47758" xr:uid="{00000000-0005-0000-0000-0000B5270000}"/>
    <cellStyle name="Normal 18 2 3 4" xfId="15061" xr:uid="{00000000-0005-0000-0000-0000B6270000}"/>
    <cellStyle name="Normal 18 2 3 4 2" xfId="29193" xr:uid="{00000000-0005-0000-0000-0000B7270000}"/>
    <cellStyle name="Normal 18 2 3 4 3" xfId="43088" xr:uid="{00000000-0005-0000-0000-0000B8270000}"/>
    <cellStyle name="Normal 18 2 3 5" xfId="19874" xr:uid="{00000000-0005-0000-0000-0000B9270000}"/>
    <cellStyle name="Normal 18 2 3 6" xfId="38506" xr:uid="{00000000-0005-0000-0000-0000BA270000}"/>
    <cellStyle name="Normal 18 2 4" xfId="4452" xr:uid="{00000000-0005-0000-0000-0000BB270000}"/>
    <cellStyle name="Normal 18 2 4 2" xfId="4453" xr:uid="{00000000-0005-0000-0000-0000BC270000}"/>
    <cellStyle name="Normal 18 2 4 2 2" xfId="10333" xr:uid="{00000000-0005-0000-0000-0000BD270000}"/>
    <cellStyle name="Normal 18 2 4 2 2 2" xfId="33818" xr:uid="{00000000-0005-0000-0000-0000BE270000}"/>
    <cellStyle name="Normal 18 2 4 2 2 3" xfId="24499" xr:uid="{00000000-0005-0000-0000-0000BF270000}"/>
    <cellStyle name="Normal 18 2 4 2 2 4" xfId="47761" xr:uid="{00000000-0005-0000-0000-0000C0270000}"/>
    <cellStyle name="Normal 18 2 4 2 3" xfId="15064" xr:uid="{00000000-0005-0000-0000-0000C1270000}"/>
    <cellStyle name="Normal 18 2 4 2 3 2" xfId="29196" xr:uid="{00000000-0005-0000-0000-0000C2270000}"/>
    <cellStyle name="Normal 18 2 4 2 3 3" xfId="43091" xr:uid="{00000000-0005-0000-0000-0000C3270000}"/>
    <cellStyle name="Normal 18 2 4 2 4" xfId="19877" xr:uid="{00000000-0005-0000-0000-0000C4270000}"/>
    <cellStyle name="Normal 18 2 4 2 5" xfId="38509" xr:uid="{00000000-0005-0000-0000-0000C5270000}"/>
    <cellStyle name="Normal 18 2 4 3" xfId="10332" xr:uid="{00000000-0005-0000-0000-0000C6270000}"/>
    <cellStyle name="Normal 18 2 4 3 2" xfId="33817" xr:uid="{00000000-0005-0000-0000-0000C7270000}"/>
    <cellStyle name="Normal 18 2 4 3 3" xfId="24498" xr:uid="{00000000-0005-0000-0000-0000C8270000}"/>
    <cellStyle name="Normal 18 2 4 3 4" xfId="47760" xr:uid="{00000000-0005-0000-0000-0000C9270000}"/>
    <cellStyle name="Normal 18 2 4 4" xfId="15063" xr:uid="{00000000-0005-0000-0000-0000CA270000}"/>
    <cellStyle name="Normal 18 2 4 4 2" xfId="29195" xr:uid="{00000000-0005-0000-0000-0000CB270000}"/>
    <cellStyle name="Normal 18 2 4 4 3" xfId="43090" xr:uid="{00000000-0005-0000-0000-0000CC270000}"/>
    <cellStyle name="Normal 18 2 4 5" xfId="19876" xr:uid="{00000000-0005-0000-0000-0000CD270000}"/>
    <cellStyle name="Normal 18 2 4 6" xfId="38508" xr:uid="{00000000-0005-0000-0000-0000CE270000}"/>
    <cellStyle name="Normal 18 2 5" xfId="4454" xr:uid="{00000000-0005-0000-0000-0000CF270000}"/>
    <cellStyle name="Normal 18 2 5 2" xfId="4455" xr:uid="{00000000-0005-0000-0000-0000D0270000}"/>
    <cellStyle name="Normal 18 2 5 2 2" xfId="10335" xr:uid="{00000000-0005-0000-0000-0000D1270000}"/>
    <cellStyle name="Normal 18 2 5 2 2 2" xfId="33820" xr:uid="{00000000-0005-0000-0000-0000D2270000}"/>
    <cellStyle name="Normal 18 2 5 2 2 3" xfId="24501" xr:uid="{00000000-0005-0000-0000-0000D3270000}"/>
    <cellStyle name="Normal 18 2 5 2 2 4" xfId="47763" xr:uid="{00000000-0005-0000-0000-0000D4270000}"/>
    <cellStyle name="Normal 18 2 5 2 3" xfId="15066" xr:uid="{00000000-0005-0000-0000-0000D5270000}"/>
    <cellStyle name="Normal 18 2 5 2 3 2" xfId="29198" xr:uid="{00000000-0005-0000-0000-0000D6270000}"/>
    <cellStyle name="Normal 18 2 5 2 3 3" xfId="43093" xr:uid="{00000000-0005-0000-0000-0000D7270000}"/>
    <cellStyle name="Normal 18 2 5 2 4" xfId="19879" xr:uid="{00000000-0005-0000-0000-0000D8270000}"/>
    <cellStyle name="Normal 18 2 5 2 5" xfId="38511" xr:uid="{00000000-0005-0000-0000-0000D9270000}"/>
    <cellStyle name="Normal 18 2 5 3" xfId="10334" xr:uid="{00000000-0005-0000-0000-0000DA270000}"/>
    <cellStyle name="Normal 18 2 5 3 2" xfId="33819" xr:uid="{00000000-0005-0000-0000-0000DB270000}"/>
    <cellStyle name="Normal 18 2 5 3 3" xfId="24500" xr:uid="{00000000-0005-0000-0000-0000DC270000}"/>
    <cellStyle name="Normal 18 2 5 3 4" xfId="47762" xr:uid="{00000000-0005-0000-0000-0000DD270000}"/>
    <cellStyle name="Normal 18 2 5 4" xfId="15065" xr:uid="{00000000-0005-0000-0000-0000DE270000}"/>
    <cellStyle name="Normal 18 2 5 4 2" xfId="29197" xr:uid="{00000000-0005-0000-0000-0000DF270000}"/>
    <cellStyle name="Normal 18 2 5 4 3" xfId="43092" xr:uid="{00000000-0005-0000-0000-0000E0270000}"/>
    <cellStyle name="Normal 18 2 5 5" xfId="19878" xr:uid="{00000000-0005-0000-0000-0000E1270000}"/>
    <cellStyle name="Normal 18 2 5 6" xfId="38510" xr:uid="{00000000-0005-0000-0000-0000E2270000}"/>
    <cellStyle name="Normal 18 2 6" xfId="4456" xr:uid="{00000000-0005-0000-0000-0000E3270000}"/>
    <cellStyle name="Normal 18 2 6 2" xfId="4457" xr:uid="{00000000-0005-0000-0000-0000E4270000}"/>
    <cellStyle name="Normal 18 2 6 2 2" xfId="10337" xr:uid="{00000000-0005-0000-0000-0000E5270000}"/>
    <cellStyle name="Normal 18 2 6 2 2 2" xfId="33822" xr:uid="{00000000-0005-0000-0000-0000E6270000}"/>
    <cellStyle name="Normal 18 2 6 2 2 3" xfId="24503" xr:uid="{00000000-0005-0000-0000-0000E7270000}"/>
    <cellStyle name="Normal 18 2 6 2 2 4" xfId="47765" xr:uid="{00000000-0005-0000-0000-0000E8270000}"/>
    <cellStyle name="Normal 18 2 6 2 3" xfId="15068" xr:uid="{00000000-0005-0000-0000-0000E9270000}"/>
    <cellStyle name="Normal 18 2 6 2 3 2" xfId="29200" xr:uid="{00000000-0005-0000-0000-0000EA270000}"/>
    <cellStyle name="Normal 18 2 6 2 3 3" xfId="43095" xr:uid="{00000000-0005-0000-0000-0000EB270000}"/>
    <cellStyle name="Normal 18 2 6 2 4" xfId="19881" xr:uid="{00000000-0005-0000-0000-0000EC270000}"/>
    <cellStyle name="Normal 18 2 6 2 5" xfId="38513" xr:uid="{00000000-0005-0000-0000-0000ED270000}"/>
    <cellStyle name="Normal 18 2 6 3" xfId="10336" xr:uid="{00000000-0005-0000-0000-0000EE270000}"/>
    <cellStyle name="Normal 18 2 6 3 2" xfId="33821" xr:uid="{00000000-0005-0000-0000-0000EF270000}"/>
    <cellStyle name="Normal 18 2 6 3 3" xfId="24502" xr:uid="{00000000-0005-0000-0000-0000F0270000}"/>
    <cellStyle name="Normal 18 2 6 3 4" xfId="47764" xr:uid="{00000000-0005-0000-0000-0000F1270000}"/>
    <cellStyle name="Normal 18 2 6 4" xfId="15067" xr:uid="{00000000-0005-0000-0000-0000F2270000}"/>
    <cellStyle name="Normal 18 2 6 4 2" xfId="29199" xr:uid="{00000000-0005-0000-0000-0000F3270000}"/>
    <cellStyle name="Normal 18 2 6 4 3" xfId="43094" xr:uid="{00000000-0005-0000-0000-0000F4270000}"/>
    <cellStyle name="Normal 18 2 6 5" xfId="19880" xr:uid="{00000000-0005-0000-0000-0000F5270000}"/>
    <cellStyle name="Normal 18 2 6 6" xfId="38512" xr:uid="{00000000-0005-0000-0000-0000F6270000}"/>
    <cellStyle name="Normal 18 2 7" xfId="4458" xr:uid="{00000000-0005-0000-0000-0000F7270000}"/>
    <cellStyle name="Normal 18 2 7 2" xfId="10338" xr:uid="{00000000-0005-0000-0000-0000F8270000}"/>
    <cellStyle name="Normal 18 2 7 2 2" xfId="33823" xr:uid="{00000000-0005-0000-0000-0000F9270000}"/>
    <cellStyle name="Normal 18 2 7 2 3" xfId="24504" xr:uid="{00000000-0005-0000-0000-0000FA270000}"/>
    <cellStyle name="Normal 18 2 7 2 4" xfId="47766" xr:uid="{00000000-0005-0000-0000-0000FB270000}"/>
    <cellStyle name="Normal 18 2 7 3" xfId="15069" xr:uid="{00000000-0005-0000-0000-0000FC270000}"/>
    <cellStyle name="Normal 18 2 7 3 2" xfId="29201" xr:uid="{00000000-0005-0000-0000-0000FD270000}"/>
    <cellStyle name="Normal 18 2 7 3 3" xfId="43096" xr:uid="{00000000-0005-0000-0000-0000FE270000}"/>
    <cellStyle name="Normal 18 2 7 4" xfId="19882" xr:uid="{00000000-0005-0000-0000-0000FF270000}"/>
    <cellStyle name="Normal 18 2 7 5" xfId="38514" xr:uid="{00000000-0005-0000-0000-000000280000}"/>
    <cellStyle name="Normal 18 2 8" xfId="10327" xr:uid="{00000000-0005-0000-0000-000001280000}"/>
    <cellStyle name="Normal 18 2 8 2" xfId="33812" xr:uid="{00000000-0005-0000-0000-000002280000}"/>
    <cellStyle name="Normal 18 2 8 3" xfId="24493" xr:uid="{00000000-0005-0000-0000-000003280000}"/>
    <cellStyle name="Normal 18 2 8 4" xfId="47755" xr:uid="{00000000-0005-0000-0000-000004280000}"/>
    <cellStyle name="Normal 18 2 9" xfId="15058" xr:uid="{00000000-0005-0000-0000-000005280000}"/>
    <cellStyle name="Normal 18 2 9 2" xfId="29190" xr:uid="{00000000-0005-0000-0000-000006280000}"/>
    <cellStyle name="Normal 18 2 9 3" xfId="43085" xr:uid="{00000000-0005-0000-0000-000007280000}"/>
    <cellStyle name="Normal 18 3" xfId="4459" xr:uid="{00000000-0005-0000-0000-000008280000}"/>
    <cellStyle name="Normal 18 3 10" xfId="19883" xr:uid="{00000000-0005-0000-0000-000009280000}"/>
    <cellStyle name="Normal 18 3 11" xfId="38515" xr:uid="{00000000-0005-0000-0000-00000A280000}"/>
    <cellStyle name="Normal 18 3 2" xfId="4460" xr:uid="{00000000-0005-0000-0000-00000B280000}"/>
    <cellStyle name="Normal 18 3 2 2" xfId="4461" xr:uid="{00000000-0005-0000-0000-00000C280000}"/>
    <cellStyle name="Normal 18 3 2 2 2" xfId="10341" xr:uid="{00000000-0005-0000-0000-00000D280000}"/>
    <cellStyle name="Normal 18 3 2 2 2 2" xfId="33826" xr:uid="{00000000-0005-0000-0000-00000E280000}"/>
    <cellStyle name="Normal 18 3 2 2 2 3" xfId="24507" xr:uid="{00000000-0005-0000-0000-00000F280000}"/>
    <cellStyle name="Normal 18 3 2 2 2 4" xfId="47769" xr:uid="{00000000-0005-0000-0000-000010280000}"/>
    <cellStyle name="Normal 18 3 2 2 3" xfId="15072" xr:uid="{00000000-0005-0000-0000-000011280000}"/>
    <cellStyle name="Normal 18 3 2 2 3 2" xfId="29204" xr:uid="{00000000-0005-0000-0000-000012280000}"/>
    <cellStyle name="Normal 18 3 2 2 3 3" xfId="43099" xr:uid="{00000000-0005-0000-0000-000013280000}"/>
    <cellStyle name="Normal 18 3 2 2 4" xfId="19885" xr:uid="{00000000-0005-0000-0000-000014280000}"/>
    <cellStyle name="Normal 18 3 2 2 5" xfId="38517" xr:uid="{00000000-0005-0000-0000-000015280000}"/>
    <cellStyle name="Normal 18 3 2 3" xfId="10340" xr:uid="{00000000-0005-0000-0000-000016280000}"/>
    <cellStyle name="Normal 18 3 2 3 2" xfId="33825" xr:uid="{00000000-0005-0000-0000-000017280000}"/>
    <cellStyle name="Normal 18 3 2 3 3" xfId="24506" xr:uid="{00000000-0005-0000-0000-000018280000}"/>
    <cellStyle name="Normal 18 3 2 3 4" xfId="47768" xr:uid="{00000000-0005-0000-0000-000019280000}"/>
    <cellStyle name="Normal 18 3 2 4" xfId="15071" xr:uid="{00000000-0005-0000-0000-00001A280000}"/>
    <cellStyle name="Normal 18 3 2 4 2" xfId="29203" xr:uid="{00000000-0005-0000-0000-00001B280000}"/>
    <cellStyle name="Normal 18 3 2 4 3" xfId="43098" xr:uid="{00000000-0005-0000-0000-00001C280000}"/>
    <cellStyle name="Normal 18 3 2 5" xfId="19884" xr:uid="{00000000-0005-0000-0000-00001D280000}"/>
    <cellStyle name="Normal 18 3 2 6" xfId="38516" xr:uid="{00000000-0005-0000-0000-00001E280000}"/>
    <cellStyle name="Normal 18 3 3" xfId="4462" xr:uid="{00000000-0005-0000-0000-00001F280000}"/>
    <cellStyle name="Normal 18 3 3 2" xfId="4463" xr:uid="{00000000-0005-0000-0000-000020280000}"/>
    <cellStyle name="Normal 18 3 3 2 2" xfId="10343" xr:uid="{00000000-0005-0000-0000-000021280000}"/>
    <cellStyle name="Normal 18 3 3 2 2 2" xfId="33828" xr:uid="{00000000-0005-0000-0000-000022280000}"/>
    <cellStyle name="Normal 18 3 3 2 2 3" xfId="24509" xr:uid="{00000000-0005-0000-0000-000023280000}"/>
    <cellStyle name="Normal 18 3 3 2 2 4" xfId="47771" xr:uid="{00000000-0005-0000-0000-000024280000}"/>
    <cellStyle name="Normal 18 3 3 2 3" xfId="15074" xr:uid="{00000000-0005-0000-0000-000025280000}"/>
    <cellStyle name="Normal 18 3 3 2 3 2" xfId="29206" xr:uid="{00000000-0005-0000-0000-000026280000}"/>
    <cellStyle name="Normal 18 3 3 2 3 3" xfId="43101" xr:uid="{00000000-0005-0000-0000-000027280000}"/>
    <cellStyle name="Normal 18 3 3 2 4" xfId="19887" xr:uid="{00000000-0005-0000-0000-000028280000}"/>
    <cellStyle name="Normal 18 3 3 2 5" xfId="38519" xr:uid="{00000000-0005-0000-0000-000029280000}"/>
    <cellStyle name="Normal 18 3 3 3" xfId="10342" xr:uid="{00000000-0005-0000-0000-00002A280000}"/>
    <cellStyle name="Normal 18 3 3 3 2" xfId="33827" xr:uid="{00000000-0005-0000-0000-00002B280000}"/>
    <cellStyle name="Normal 18 3 3 3 3" xfId="24508" xr:uid="{00000000-0005-0000-0000-00002C280000}"/>
    <cellStyle name="Normal 18 3 3 3 4" xfId="47770" xr:uid="{00000000-0005-0000-0000-00002D280000}"/>
    <cellStyle name="Normal 18 3 3 4" xfId="15073" xr:uid="{00000000-0005-0000-0000-00002E280000}"/>
    <cellStyle name="Normal 18 3 3 4 2" xfId="29205" xr:uid="{00000000-0005-0000-0000-00002F280000}"/>
    <cellStyle name="Normal 18 3 3 4 3" xfId="43100" xr:uid="{00000000-0005-0000-0000-000030280000}"/>
    <cellStyle name="Normal 18 3 3 5" xfId="19886" xr:uid="{00000000-0005-0000-0000-000031280000}"/>
    <cellStyle name="Normal 18 3 3 6" xfId="38518" xr:uid="{00000000-0005-0000-0000-000032280000}"/>
    <cellStyle name="Normal 18 3 4" xfId="4464" xr:uid="{00000000-0005-0000-0000-000033280000}"/>
    <cellStyle name="Normal 18 3 4 2" xfId="4465" xr:uid="{00000000-0005-0000-0000-000034280000}"/>
    <cellStyle name="Normal 18 3 4 2 2" xfId="10345" xr:uid="{00000000-0005-0000-0000-000035280000}"/>
    <cellStyle name="Normal 18 3 4 2 2 2" xfId="33830" xr:uid="{00000000-0005-0000-0000-000036280000}"/>
    <cellStyle name="Normal 18 3 4 2 2 3" xfId="24511" xr:uid="{00000000-0005-0000-0000-000037280000}"/>
    <cellStyle name="Normal 18 3 4 2 2 4" xfId="47773" xr:uid="{00000000-0005-0000-0000-000038280000}"/>
    <cellStyle name="Normal 18 3 4 2 3" xfId="15076" xr:uid="{00000000-0005-0000-0000-000039280000}"/>
    <cellStyle name="Normal 18 3 4 2 3 2" xfId="29208" xr:uid="{00000000-0005-0000-0000-00003A280000}"/>
    <cellStyle name="Normal 18 3 4 2 3 3" xfId="43103" xr:uid="{00000000-0005-0000-0000-00003B280000}"/>
    <cellStyle name="Normal 18 3 4 2 4" xfId="19889" xr:uid="{00000000-0005-0000-0000-00003C280000}"/>
    <cellStyle name="Normal 18 3 4 2 5" xfId="38521" xr:uid="{00000000-0005-0000-0000-00003D280000}"/>
    <cellStyle name="Normal 18 3 4 3" xfId="10344" xr:uid="{00000000-0005-0000-0000-00003E280000}"/>
    <cellStyle name="Normal 18 3 4 3 2" xfId="33829" xr:uid="{00000000-0005-0000-0000-00003F280000}"/>
    <cellStyle name="Normal 18 3 4 3 3" xfId="24510" xr:uid="{00000000-0005-0000-0000-000040280000}"/>
    <cellStyle name="Normal 18 3 4 3 4" xfId="47772" xr:uid="{00000000-0005-0000-0000-000041280000}"/>
    <cellStyle name="Normal 18 3 4 4" xfId="15075" xr:uid="{00000000-0005-0000-0000-000042280000}"/>
    <cellStyle name="Normal 18 3 4 4 2" xfId="29207" xr:uid="{00000000-0005-0000-0000-000043280000}"/>
    <cellStyle name="Normal 18 3 4 4 3" xfId="43102" xr:uid="{00000000-0005-0000-0000-000044280000}"/>
    <cellStyle name="Normal 18 3 4 5" xfId="19888" xr:uid="{00000000-0005-0000-0000-000045280000}"/>
    <cellStyle name="Normal 18 3 4 6" xfId="38520" xr:uid="{00000000-0005-0000-0000-000046280000}"/>
    <cellStyle name="Normal 18 3 5" xfId="4466" xr:uid="{00000000-0005-0000-0000-000047280000}"/>
    <cellStyle name="Normal 18 3 5 2" xfId="4467" xr:uid="{00000000-0005-0000-0000-000048280000}"/>
    <cellStyle name="Normal 18 3 5 2 2" xfId="10347" xr:uid="{00000000-0005-0000-0000-000049280000}"/>
    <cellStyle name="Normal 18 3 5 2 2 2" xfId="33832" xr:uid="{00000000-0005-0000-0000-00004A280000}"/>
    <cellStyle name="Normal 18 3 5 2 2 3" xfId="24513" xr:uid="{00000000-0005-0000-0000-00004B280000}"/>
    <cellStyle name="Normal 18 3 5 2 2 4" xfId="47775" xr:uid="{00000000-0005-0000-0000-00004C280000}"/>
    <cellStyle name="Normal 18 3 5 2 3" xfId="15078" xr:uid="{00000000-0005-0000-0000-00004D280000}"/>
    <cellStyle name="Normal 18 3 5 2 3 2" xfId="29210" xr:uid="{00000000-0005-0000-0000-00004E280000}"/>
    <cellStyle name="Normal 18 3 5 2 3 3" xfId="43105" xr:uid="{00000000-0005-0000-0000-00004F280000}"/>
    <cellStyle name="Normal 18 3 5 2 4" xfId="19891" xr:uid="{00000000-0005-0000-0000-000050280000}"/>
    <cellStyle name="Normal 18 3 5 2 5" xfId="38523" xr:uid="{00000000-0005-0000-0000-000051280000}"/>
    <cellStyle name="Normal 18 3 5 3" xfId="10346" xr:uid="{00000000-0005-0000-0000-000052280000}"/>
    <cellStyle name="Normal 18 3 5 3 2" xfId="33831" xr:uid="{00000000-0005-0000-0000-000053280000}"/>
    <cellStyle name="Normal 18 3 5 3 3" xfId="24512" xr:uid="{00000000-0005-0000-0000-000054280000}"/>
    <cellStyle name="Normal 18 3 5 3 4" xfId="47774" xr:uid="{00000000-0005-0000-0000-000055280000}"/>
    <cellStyle name="Normal 18 3 5 4" xfId="15077" xr:uid="{00000000-0005-0000-0000-000056280000}"/>
    <cellStyle name="Normal 18 3 5 4 2" xfId="29209" xr:uid="{00000000-0005-0000-0000-000057280000}"/>
    <cellStyle name="Normal 18 3 5 4 3" xfId="43104" xr:uid="{00000000-0005-0000-0000-000058280000}"/>
    <cellStyle name="Normal 18 3 5 5" xfId="19890" xr:uid="{00000000-0005-0000-0000-000059280000}"/>
    <cellStyle name="Normal 18 3 5 6" xfId="38522" xr:uid="{00000000-0005-0000-0000-00005A280000}"/>
    <cellStyle name="Normal 18 3 6" xfId="4468" xr:uid="{00000000-0005-0000-0000-00005B280000}"/>
    <cellStyle name="Normal 18 3 6 2" xfId="4469" xr:uid="{00000000-0005-0000-0000-00005C280000}"/>
    <cellStyle name="Normal 18 3 6 2 2" xfId="10349" xr:uid="{00000000-0005-0000-0000-00005D280000}"/>
    <cellStyle name="Normal 18 3 6 2 2 2" xfId="33834" xr:uid="{00000000-0005-0000-0000-00005E280000}"/>
    <cellStyle name="Normal 18 3 6 2 2 3" xfId="24515" xr:uid="{00000000-0005-0000-0000-00005F280000}"/>
    <cellStyle name="Normal 18 3 6 2 2 4" xfId="47777" xr:uid="{00000000-0005-0000-0000-000060280000}"/>
    <cellStyle name="Normal 18 3 6 2 3" xfId="15080" xr:uid="{00000000-0005-0000-0000-000061280000}"/>
    <cellStyle name="Normal 18 3 6 2 3 2" xfId="29212" xr:uid="{00000000-0005-0000-0000-000062280000}"/>
    <cellStyle name="Normal 18 3 6 2 3 3" xfId="43107" xr:uid="{00000000-0005-0000-0000-000063280000}"/>
    <cellStyle name="Normal 18 3 6 2 4" xfId="19893" xr:uid="{00000000-0005-0000-0000-000064280000}"/>
    <cellStyle name="Normal 18 3 6 2 5" xfId="38525" xr:uid="{00000000-0005-0000-0000-000065280000}"/>
    <cellStyle name="Normal 18 3 6 3" xfId="10348" xr:uid="{00000000-0005-0000-0000-000066280000}"/>
    <cellStyle name="Normal 18 3 6 3 2" xfId="33833" xr:uid="{00000000-0005-0000-0000-000067280000}"/>
    <cellStyle name="Normal 18 3 6 3 3" xfId="24514" xr:uid="{00000000-0005-0000-0000-000068280000}"/>
    <cellStyle name="Normal 18 3 6 3 4" xfId="47776" xr:uid="{00000000-0005-0000-0000-000069280000}"/>
    <cellStyle name="Normal 18 3 6 4" xfId="15079" xr:uid="{00000000-0005-0000-0000-00006A280000}"/>
    <cellStyle name="Normal 18 3 6 4 2" xfId="29211" xr:uid="{00000000-0005-0000-0000-00006B280000}"/>
    <cellStyle name="Normal 18 3 6 4 3" xfId="43106" xr:uid="{00000000-0005-0000-0000-00006C280000}"/>
    <cellStyle name="Normal 18 3 6 5" xfId="19892" xr:uid="{00000000-0005-0000-0000-00006D280000}"/>
    <cellStyle name="Normal 18 3 6 6" xfId="38524" xr:uid="{00000000-0005-0000-0000-00006E280000}"/>
    <cellStyle name="Normal 18 3 7" xfId="4470" xr:uid="{00000000-0005-0000-0000-00006F280000}"/>
    <cellStyle name="Normal 18 3 7 2" xfId="10350" xr:uid="{00000000-0005-0000-0000-000070280000}"/>
    <cellStyle name="Normal 18 3 7 2 2" xfId="33835" xr:uid="{00000000-0005-0000-0000-000071280000}"/>
    <cellStyle name="Normal 18 3 7 2 3" xfId="24516" xr:uid="{00000000-0005-0000-0000-000072280000}"/>
    <cellStyle name="Normal 18 3 7 2 4" xfId="47778" xr:uid="{00000000-0005-0000-0000-000073280000}"/>
    <cellStyle name="Normal 18 3 7 3" xfId="15081" xr:uid="{00000000-0005-0000-0000-000074280000}"/>
    <cellStyle name="Normal 18 3 7 3 2" xfId="29213" xr:uid="{00000000-0005-0000-0000-000075280000}"/>
    <cellStyle name="Normal 18 3 7 3 3" xfId="43108" xr:uid="{00000000-0005-0000-0000-000076280000}"/>
    <cellStyle name="Normal 18 3 7 4" xfId="19894" xr:uid="{00000000-0005-0000-0000-000077280000}"/>
    <cellStyle name="Normal 18 3 7 5" xfId="38526" xr:uid="{00000000-0005-0000-0000-000078280000}"/>
    <cellStyle name="Normal 18 3 8" xfId="10339" xr:uid="{00000000-0005-0000-0000-000079280000}"/>
    <cellStyle name="Normal 18 3 8 2" xfId="33824" xr:uid="{00000000-0005-0000-0000-00007A280000}"/>
    <cellStyle name="Normal 18 3 8 3" xfId="24505" xr:uid="{00000000-0005-0000-0000-00007B280000}"/>
    <cellStyle name="Normal 18 3 8 4" xfId="47767" xr:uid="{00000000-0005-0000-0000-00007C280000}"/>
    <cellStyle name="Normal 18 3 9" xfId="15070" xr:uid="{00000000-0005-0000-0000-00007D280000}"/>
    <cellStyle name="Normal 18 3 9 2" xfId="29202" xr:uid="{00000000-0005-0000-0000-00007E280000}"/>
    <cellStyle name="Normal 18 3 9 3" xfId="43097" xr:uid="{00000000-0005-0000-0000-00007F280000}"/>
    <cellStyle name="Normal 18 4" xfId="4471" xr:uid="{00000000-0005-0000-0000-000080280000}"/>
    <cellStyle name="Normal 18 4 10" xfId="19895" xr:uid="{00000000-0005-0000-0000-000081280000}"/>
    <cellStyle name="Normal 18 4 11" xfId="38527" xr:uid="{00000000-0005-0000-0000-000082280000}"/>
    <cellStyle name="Normal 18 4 2" xfId="4472" xr:uid="{00000000-0005-0000-0000-000083280000}"/>
    <cellStyle name="Normal 18 4 2 2" xfId="4473" xr:uid="{00000000-0005-0000-0000-000084280000}"/>
    <cellStyle name="Normal 18 4 2 2 2" xfId="10353" xr:uid="{00000000-0005-0000-0000-000085280000}"/>
    <cellStyle name="Normal 18 4 2 2 2 2" xfId="33838" xr:uid="{00000000-0005-0000-0000-000086280000}"/>
    <cellStyle name="Normal 18 4 2 2 2 3" xfId="24519" xr:uid="{00000000-0005-0000-0000-000087280000}"/>
    <cellStyle name="Normal 18 4 2 2 2 4" xfId="47781" xr:uid="{00000000-0005-0000-0000-000088280000}"/>
    <cellStyle name="Normal 18 4 2 2 3" xfId="15084" xr:uid="{00000000-0005-0000-0000-000089280000}"/>
    <cellStyle name="Normal 18 4 2 2 3 2" xfId="29216" xr:uid="{00000000-0005-0000-0000-00008A280000}"/>
    <cellStyle name="Normal 18 4 2 2 3 3" xfId="43111" xr:uid="{00000000-0005-0000-0000-00008B280000}"/>
    <cellStyle name="Normal 18 4 2 2 4" xfId="19897" xr:uid="{00000000-0005-0000-0000-00008C280000}"/>
    <cellStyle name="Normal 18 4 2 2 5" xfId="38529" xr:uid="{00000000-0005-0000-0000-00008D280000}"/>
    <cellStyle name="Normal 18 4 2 3" xfId="10352" xr:uid="{00000000-0005-0000-0000-00008E280000}"/>
    <cellStyle name="Normal 18 4 2 3 2" xfId="33837" xr:uid="{00000000-0005-0000-0000-00008F280000}"/>
    <cellStyle name="Normal 18 4 2 3 3" xfId="24518" xr:uid="{00000000-0005-0000-0000-000090280000}"/>
    <cellStyle name="Normal 18 4 2 3 4" xfId="47780" xr:uid="{00000000-0005-0000-0000-000091280000}"/>
    <cellStyle name="Normal 18 4 2 4" xfId="15083" xr:uid="{00000000-0005-0000-0000-000092280000}"/>
    <cellStyle name="Normal 18 4 2 4 2" xfId="29215" xr:uid="{00000000-0005-0000-0000-000093280000}"/>
    <cellStyle name="Normal 18 4 2 4 3" xfId="43110" xr:uid="{00000000-0005-0000-0000-000094280000}"/>
    <cellStyle name="Normal 18 4 2 5" xfId="19896" xr:uid="{00000000-0005-0000-0000-000095280000}"/>
    <cellStyle name="Normal 18 4 2 6" xfId="38528" xr:uid="{00000000-0005-0000-0000-000096280000}"/>
    <cellStyle name="Normal 18 4 3" xfId="4474" xr:uid="{00000000-0005-0000-0000-000097280000}"/>
    <cellStyle name="Normal 18 4 3 2" xfId="4475" xr:uid="{00000000-0005-0000-0000-000098280000}"/>
    <cellStyle name="Normal 18 4 3 2 2" xfId="10355" xr:uid="{00000000-0005-0000-0000-000099280000}"/>
    <cellStyle name="Normal 18 4 3 2 2 2" xfId="33840" xr:uid="{00000000-0005-0000-0000-00009A280000}"/>
    <cellStyle name="Normal 18 4 3 2 2 3" xfId="24521" xr:uid="{00000000-0005-0000-0000-00009B280000}"/>
    <cellStyle name="Normal 18 4 3 2 2 4" xfId="47783" xr:uid="{00000000-0005-0000-0000-00009C280000}"/>
    <cellStyle name="Normal 18 4 3 2 3" xfId="15086" xr:uid="{00000000-0005-0000-0000-00009D280000}"/>
    <cellStyle name="Normal 18 4 3 2 3 2" xfId="29218" xr:uid="{00000000-0005-0000-0000-00009E280000}"/>
    <cellStyle name="Normal 18 4 3 2 3 3" xfId="43113" xr:uid="{00000000-0005-0000-0000-00009F280000}"/>
    <cellStyle name="Normal 18 4 3 2 4" xfId="19899" xr:uid="{00000000-0005-0000-0000-0000A0280000}"/>
    <cellStyle name="Normal 18 4 3 2 5" xfId="38531" xr:uid="{00000000-0005-0000-0000-0000A1280000}"/>
    <cellStyle name="Normal 18 4 3 3" xfId="10354" xr:uid="{00000000-0005-0000-0000-0000A2280000}"/>
    <cellStyle name="Normal 18 4 3 3 2" xfId="33839" xr:uid="{00000000-0005-0000-0000-0000A3280000}"/>
    <cellStyle name="Normal 18 4 3 3 3" xfId="24520" xr:uid="{00000000-0005-0000-0000-0000A4280000}"/>
    <cellStyle name="Normal 18 4 3 3 4" xfId="47782" xr:uid="{00000000-0005-0000-0000-0000A5280000}"/>
    <cellStyle name="Normal 18 4 3 4" xfId="15085" xr:uid="{00000000-0005-0000-0000-0000A6280000}"/>
    <cellStyle name="Normal 18 4 3 4 2" xfId="29217" xr:uid="{00000000-0005-0000-0000-0000A7280000}"/>
    <cellStyle name="Normal 18 4 3 4 3" xfId="43112" xr:uid="{00000000-0005-0000-0000-0000A8280000}"/>
    <cellStyle name="Normal 18 4 3 5" xfId="19898" xr:uid="{00000000-0005-0000-0000-0000A9280000}"/>
    <cellStyle name="Normal 18 4 3 6" xfId="38530" xr:uid="{00000000-0005-0000-0000-0000AA280000}"/>
    <cellStyle name="Normal 18 4 4" xfId="4476" xr:uid="{00000000-0005-0000-0000-0000AB280000}"/>
    <cellStyle name="Normal 18 4 4 2" xfId="4477" xr:uid="{00000000-0005-0000-0000-0000AC280000}"/>
    <cellStyle name="Normal 18 4 4 2 2" xfId="10357" xr:uid="{00000000-0005-0000-0000-0000AD280000}"/>
    <cellStyle name="Normal 18 4 4 2 2 2" xfId="33842" xr:uid="{00000000-0005-0000-0000-0000AE280000}"/>
    <cellStyle name="Normal 18 4 4 2 2 3" xfId="24523" xr:uid="{00000000-0005-0000-0000-0000AF280000}"/>
    <cellStyle name="Normal 18 4 4 2 2 4" xfId="47785" xr:uid="{00000000-0005-0000-0000-0000B0280000}"/>
    <cellStyle name="Normal 18 4 4 2 3" xfId="15088" xr:uid="{00000000-0005-0000-0000-0000B1280000}"/>
    <cellStyle name="Normal 18 4 4 2 3 2" xfId="29220" xr:uid="{00000000-0005-0000-0000-0000B2280000}"/>
    <cellStyle name="Normal 18 4 4 2 3 3" xfId="43115" xr:uid="{00000000-0005-0000-0000-0000B3280000}"/>
    <cellStyle name="Normal 18 4 4 2 4" xfId="19901" xr:uid="{00000000-0005-0000-0000-0000B4280000}"/>
    <cellStyle name="Normal 18 4 4 2 5" xfId="38533" xr:uid="{00000000-0005-0000-0000-0000B5280000}"/>
    <cellStyle name="Normal 18 4 4 3" xfId="10356" xr:uid="{00000000-0005-0000-0000-0000B6280000}"/>
    <cellStyle name="Normal 18 4 4 3 2" xfId="33841" xr:uid="{00000000-0005-0000-0000-0000B7280000}"/>
    <cellStyle name="Normal 18 4 4 3 3" xfId="24522" xr:uid="{00000000-0005-0000-0000-0000B8280000}"/>
    <cellStyle name="Normal 18 4 4 3 4" xfId="47784" xr:uid="{00000000-0005-0000-0000-0000B9280000}"/>
    <cellStyle name="Normal 18 4 4 4" xfId="15087" xr:uid="{00000000-0005-0000-0000-0000BA280000}"/>
    <cellStyle name="Normal 18 4 4 4 2" xfId="29219" xr:uid="{00000000-0005-0000-0000-0000BB280000}"/>
    <cellStyle name="Normal 18 4 4 4 3" xfId="43114" xr:uid="{00000000-0005-0000-0000-0000BC280000}"/>
    <cellStyle name="Normal 18 4 4 5" xfId="19900" xr:uid="{00000000-0005-0000-0000-0000BD280000}"/>
    <cellStyle name="Normal 18 4 4 6" xfId="38532" xr:uid="{00000000-0005-0000-0000-0000BE280000}"/>
    <cellStyle name="Normal 18 4 5" xfId="4478" xr:uid="{00000000-0005-0000-0000-0000BF280000}"/>
    <cellStyle name="Normal 18 4 5 2" xfId="4479" xr:uid="{00000000-0005-0000-0000-0000C0280000}"/>
    <cellStyle name="Normal 18 4 5 2 2" xfId="10359" xr:uid="{00000000-0005-0000-0000-0000C1280000}"/>
    <cellStyle name="Normal 18 4 5 2 2 2" xfId="33844" xr:uid="{00000000-0005-0000-0000-0000C2280000}"/>
    <cellStyle name="Normal 18 4 5 2 2 3" xfId="24525" xr:uid="{00000000-0005-0000-0000-0000C3280000}"/>
    <cellStyle name="Normal 18 4 5 2 2 4" xfId="47787" xr:uid="{00000000-0005-0000-0000-0000C4280000}"/>
    <cellStyle name="Normal 18 4 5 2 3" xfId="15090" xr:uid="{00000000-0005-0000-0000-0000C5280000}"/>
    <cellStyle name="Normal 18 4 5 2 3 2" xfId="29222" xr:uid="{00000000-0005-0000-0000-0000C6280000}"/>
    <cellStyle name="Normal 18 4 5 2 3 3" xfId="43117" xr:uid="{00000000-0005-0000-0000-0000C7280000}"/>
    <cellStyle name="Normal 18 4 5 2 4" xfId="19903" xr:uid="{00000000-0005-0000-0000-0000C8280000}"/>
    <cellStyle name="Normal 18 4 5 2 5" xfId="38535" xr:uid="{00000000-0005-0000-0000-0000C9280000}"/>
    <cellStyle name="Normal 18 4 5 3" xfId="10358" xr:uid="{00000000-0005-0000-0000-0000CA280000}"/>
    <cellStyle name="Normal 18 4 5 3 2" xfId="33843" xr:uid="{00000000-0005-0000-0000-0000CB280000}"/>
    <cellStyle name="Normal 18 4 5 3 3" xfId="24524" xr:uid="{00000000-0005-0000-0000-0000CC280000}"/>
    <cellStyle name="Normal 18 4 5 3 4" xfId="47786" xr:uid="{00000000-0005-0000-0000-0000CD280000}"/>
    <cellStyle name="Normal 18 4 5 4" xfId="15089" xr:uid="{00000000-0005-0000-0000-0000CE280000}"/>
    <cellStyle name="Normal 18 4 5 4 2" xfId="29221" xr:uid="{00000000-0005-0000-0000-0000CF280000}"/>
    <cellStyle name="Normal 18 4 5 4 3" xfId="43116" xr:uid="{00000000-0005-0000-0000-0000D0280000}"/>
    <cellStyle name="Normal 18 4 5 5" xfId="19902" xr:uid="{00000000-0005-0000-0000-0000D1280000}"/>
    <cellStyle name="Normal 18 4 5 6" xfId="38534" xr:uid="{00000000-0005-0000-0000-0000D2280000}"/>
    <cellStyle name="Normal 18 4 6" xfId="4480" xr:uid="{00000000-0005-0000-0000-0000D3280000}"/>
    <cellStyle name="Normal 18 4 6 2" xfId="4481" xr:uid="{00000000-0005-0000-0000-0000D4280000}"/>
    <cellStyle name="Normal 18 4 6 2 2" xfId="10361" xr:uid="{00000000-0005-0000-0000-0000D5280000}"/>
    <cellStyle name="Normal 18 4 6 2 2 2" xfId="33846" xr:uid="{00000000-0005-0000-0000-0000D6280000}"/>
    <cellStyle name="Normal 18 4 6 2 2 3" xfId="24527" xr:uid="{00000000-0005-0000-0000-0000D7280000}"/>
    <cellStyle name="Normal 18 4 6 2 2 4" xfId="47789" xr:uid="{00000000-0005-0000-0000-0000D8280000}"/>
    <cellStyle name="Normal 18 4 6 2 3" xfId="15092" xr:uid="{00000000-0005-0000-0000-0000D9280000}"/>
    <cellStyle name="Normal 18 4 6 2 3 2" xfId="29224" xr:uid="{00000000-0005-0000-0000-0000DA280000}"/>
    <cellStyle name="Normal 18 4 6 2 3 3" xfId="43119" xr:uid="{00000000-0005-0000-0000-0000DB280000}"/>
    <cellStyle name="Normal 18 4 6 2 4" xfId="19905" xr:uid="{00000000-0005-0000-0000-0000DC280000}"/>
    <cellStyle name="Normal 18 4 6 2 5" xfId="38537" xr:uid="{00000000-0005-0000-0000-0000DD280000}"/>
    <cellStyle name="Normal 18 4 6 3" xfId="10360" xr:uid="{00000000-0005-0000-0000-0000DE280000}"/>
    <cellStyle name="Normal 18 4 6 3 2" xfId="33845" xr:uid="{00000000-0005-0000-0000-0000DF280000}"/>
    <cellStyle name="Normal 18 4 6 3 3" xfId="24526" xr:uid="{00000000-0005-0000-0000-0000E0280000}"/>
    <cellStyle name="Normal 18 4 6 3 4" xfId="47788" xr:uid="{00000000-0005-0000-0000-0000E1280000}"/>
    <cellStyle name="Normal 18 4 6 4" xfId="15091" xr:uid="{00000000-0005-0000-0000-0000E2280000}"/>
    <cellStyle name="Normal 18 4 6 4 2" xfId="29223" xr:uid="{00000000-0005-0000-0000-0000E3280000}"/>
    <cellStyle name="Normal 18 4 6 4 3" xfId="43118" xr:uid="{00000000-0005-0000-0000-0000E4280000}"/>
    <cellStyle name="Normal 18 4 6 5" xfId="19904" xr:uid="{00000000-0005-0000-0000-0000E5280000}"/>
    <cellStyle name="Normal 18 4 6 6" xfId="38536" xr:uid="{00000000-0005-0000-0000-0000E6280000}"/>
    <cellStyle name="Normal 18 4 7" xfId="4482" xr:uid="{00000000-0005-0000-0000-0000E7280000}"/>
    <cellStyle name="Normal 18 4 7 2" xfId="10362" xr:uid="{00000000-0005-0000-0000-0000E8280000}"/>
    <cellStyle name="Normal 18 4 7 2 2" xfId="33847" xr:uid="{00000000-0005-0000-0000-0000E9280000}"/>
    <cellStyle name="Normal 18 4 7 2 3" xfId="24528" xr:uid="{00000000-0005-0000-0000-0000EA280000}"/>
    <cellStyle name="Normal 18 4 7 2 4" xfId="47790" xr:uid="{00000000-0005-0000-0000-0000EB280000}"/>
    <cellStyle name="Normal 18 4 7 3" xfId="15093" xr:uid="{00000000-0005-0000-0000-0000EC280000}"/>
    <cellStyle name="Normal 18 4 7 3 2" xfId="29225" xr:uid="{00000000-0005-0000-0000-0000ED280000}"/>
    <cellStyle name="Normal 18 4 7 3 3" xfId="43120" xr:uid="{00000000-0005-0000-0000-0000EE280000}"/>
    <cellStyle name="Normal 18 4 7 4" xfId="19906" xr:uid="{00000000-0005-0000-0000-0000EF280000}"/>
    <cellStyle name="Normal 18 4 7 5" xfId="38538" xr:uid="{00000000-0005-0000-0000-0000F0280000}"/>
    <cellStyle name="Normal 18 4 8" xfId="10351" xr:uid="{00000000-0005-0000-0000-0000F1280000}"/>
    <cellStyle name="Normal 18 4 8 2" xfId="33836" xr:uid="{00000000-0005-0000-0000-0000F2280000}"/>
    <cellStyle name="Normal 18 4 8 3" xfId="24517" xr:uid="{00000000-0005-0000-0000-0000F3280000}"/>
    <cellStyle name="Normal 18 4 8 4" xfId="47779" xr:uid="{00000000-0005-0000-0000-0000F4280000}"/>
    <cellStyle name="Normal 18 4 9" xfId="15082" xr:uid="{00000000-0005-0000-0000-0000F5280000}"/>
    <cellStyle name="Normal 18 4 9 2" xfId="29214" xr:uid="{00000000-0005-0000-0000-0000F6280000}"/>
    <cellStyle name="Normal 18 4 9 3" xfId="43109" xr:uid="{00000000-0005-0000-0000-0000F7280000}"/>
    <cellStyle name="Normal 18 5" xfId="4483" xr:uid="{00000000-0005-0000-0000-0000F8280000}"/>
    <cellStyle name="Normal 18 5 10" xfId="19907" xr:uid="{00000000-0005-0000-0000-0000F9280000}"/>
    <cellStyle name="Normal 18 5 11" xfId="38539" xr:uid="{00000000-0005-0000-0000-0000FA280000}"/>
    <cellStyle name="Normal 18 5 2" xfId="4484" xr:uid="{00000000-0005-0000-0000-0000FB280000}"/>
    <cellStyle name="Normal 18 5 2 2" xfId="4485" xr:uid="{00000000-0005-0000-0000-0000FC280000}"/>
    <cellStyle name="Normal 18 5 2 2 2" xfId="10365" xr:uid="{00000000-0005-0000-0000-0000FD280000}"/>
    <cellStyle name="Normal 18 5 2 2 2 2" xfId="33850" xr:uid="{00000000-0005-0000-0000-0000FE280000}"/>
    <cellStyle name="Normal 18 5 2 2 2 3" xfId="24531" xr:uid="{00000000-0005-0000-0000-0000FF280000}"/>
    <cellStyle name="Normal 18 5 2 2 2 4" xfId="47793" xr:uid="{00000000-0005-0000-0000-000000290000}"/>
    <cellStyle name="Normal 18 5 2 2 3" xfId="15096" xr:uid="{00000000-0005-0000-0000-000001290000}"/>
    <cellStyle name="Normal 18 5 2 2 3 2" xfId="29228" xr:uid="{00000000-0005-0000-0000-000002290000}"/>
    <cellStyle name="Normal 18 5 2 2 3 3" xfId="43123" xr:uid="{00000000-0005-0000-0000-000003290000}"/>
    <cellStyle name="Normal 18 5 2 2 4" xfId="19909" xr:uid="{00000000-0005-0000-0000-000004290000}"/>
    <cellStyle name="Normal 18 5 2 2 5" xfId="38541" xr:uid="{00000000-0005-0000-0000-000005290000}"/>
    <cellStyle name="Normal 18 5 2 3" xfId="10364" xr:uid="{00000000-0005-0000-0000-000006290000}"/>
    <cellStyle name="Normal 18 5 2 3 2" xfId="33849" xr:uid="{00000000-0005-0000-0000-000007290000}"/>
    <cellStyle name="Normal 18 5 2 3 3" xfId="24530" xr:uid="{00000000-0005-0000-0000-000008290000}"/>
    <cellStyle name="Normal 18 5 2 3 4" xfId="47792" xr:uid="{00000000-0005-0000-0000-000009290000}"/>
    <cellStyle name="Normal 18 5 2 4" xfId="15095" xr:uid="{00000000-0005-0000-0000-00000A290000}"/>
    <cellStyle name="Normal 18 5 2 4 2" xfId="29227" xr:uid="{00000000-0005-0000-0000-00000B290000}"/>
    <cellStyle name="Normal 18 5 2 4 3" xfId="43122" xr:uid="{00000000-0005-0000-0000-00000C290000}"/>
    <cellStyle name="Normal 18 5 2 5" xfId="19908" xr:uid="{00000000-0005-0000-0000-00000D290000}"/>
    <cellStyle name="Normal 18 5 2 6" xfId="38540" xr:uid="{00000000-0005-0000-0000-00000E290000}"/>
    <cellStyle name="Normal 18 5 3" xfId="4486" xr:uid="{00000000-0005-0000-0000-00000F290000}"/>
    <cellStyle name="Normal 18 5 3 2" xfId="4487" xr:uid="{00000000-0005-0000-0000-000010290000}"/>
    <cellStyle name="Normal 18 5 3 2 2" xfId="10367" xr:uid="{00000000-0005-0000-0000-000011290000}"/>
    <cellStyle name="Normal 18 5 3 2 2 2" xfId="33852" xr:uid="{00000000-0005-0000-0000-000012290000}"/>
    <cellStyle name="Normal 18 5 3 2 2 3" xfId="24533" xr:uid="{00000000-0005-0000-0000-000013290000}"/>
    <cellStyle name="Normal 18 5 3 2 2 4" xfId="47795" xr:uid="{00000000-0005-0000-0000-000014290000}"/>
    <cellStyle name="Normal 18 5 3 2 3" xfId="15098" xr:uid="{00000000-0005-0000-0000-000015290000}"/>
    <cellStyle name="Normal 18 5 3 2 3 2" xfId="29230" xr:uid="{00000000-0005-0000-0000-000016290000}"/>
    <cellStyle name="Normal 18 5 3 2 3 3" xfId="43125" xr:uid="{00000000-0005-0000-0000-000017290000}"/>
    <cellStyle name="Normal 18 5 3 2 4" xfId="19911" xr:uid="{00000000-0005-0000-0000-000018290000}"/>
    <cellStyle name="Normal 18 5 3 2 5" xfId="38543" xr:uid="{00000000-0005-0000-0000-000019290000}"/>
    <cellStyle name="Normal 18 5 3 3" xfId="10366" xr:uid="{00000000-0005-0000-0000-00001A290000}"/>
    <cellStyle name="Normal 18 5 3 3 2" xfId="33851" xr:uid="{00000000-0005-0000-0000-00001B290000}"/>
    <cellStyle name="Normal 18 5 3 3 3" xfId="24532" xr:uid="{00000000-0005-0000-0000-00001C290000}"/>
    <cellStyle name="Normal 18 5 3 3 4" xfId="47794" xr:uid="{00000000-0005-0000-0000-00001D290000}"/>
    <cellStyle name="Normal 18 5 3 4" xfId="15097" xr:uid="{00000000-0005-0000-0000-00001E290000}"/>
    <cellStyle name="Normal 18 5 3 4 2" xfId="29229" xr:uid="{00000000-0005-0000-0000-00001F290000}"/>
    <cellStyle name="Normal 18 5 3 4 3" xfId="43124" xr:uid="{00000000-0005-0000-0000-000020290000}"/>
    <cellStyle name="Normal 18 5 3 5" xfId="19910" xr:uid="{00000000-0005-0000-0000-000021290000}"/>
    <cellStyle name="Normal 18 5 3 6" xfId="38542" xr:uid="{00000000-0005-0000-0000-000022290000}"/>
    <cellStyle name="Normal 18 5 4" xfId="4488" xr:uid="{00000000-0005-0000-0000-000023290000}"/>
    <cellStyle name="Normal 18 5 4 2" xfId="4489" xr:uid="{00000000-0005-0000-0000-000024290000}"/>
    <cellStyle name="Normal 18 5 4 2 2" xfId="10369" xr:uid="{00000000-0005-0000-0000-000025290000}"/>
    <cellStyle name="Normal 18 5 4 2 2 2" xfId="33854" xr:uid="{00000000-0005-0000-0000-000026290000}"/>
    <cellStyle name="Normal 18 5 4 2 2 3" xfId="24535" xr:uid="{00000000-0005-0000-0000-000027290000}"/>
    <cellStyle name="Normal 18 5 4 2 2 4" xfId="47797" xr:uid="{00000000-0005-0000-0000-000028290000}"/>
    <cellStyle name="Normal 18 5 4 2 3" xfId="15100" xr:uid="{00000000-0005-0000-0000-000029290000}"/>
    <cellStyle name="Normal 18 5 4 2 3 2" xfId="29232" xr:uid="{00000000-0005-0000-0000-00002A290000}"/>
    <cellStyle name="Normal 18 5 4 2 3 3" xfId="43127" xr:uid="{00000000-0005-0000-0000-00002B290000}"/>
    <cellStyle name="Normal 18 5 4 2 4" xfId="19913" xr:uid="{00000000-0005-0000-0000-00002C290000}"/>
    <cellStyle name="Normal 18 5 4 2 5" xfId="38545" xr:uid="{00000000-0005-0000-0000-00002D290000}"/>
    <cellStyle name="Normal 18 5 4 3" xfId="10368" xr:uid="{00000000-0005-0000-0000-00002E290000}"/>
    <cellStyle name="Normal 18 5 4 3 2" xfId="33853" xr:uid="{00000000-0005-0000-0000-00002F290000}"/>
    <cellStyle name="Normal 18 5 4 3 3" xfId="24534" xr:uid="{00000000-0005-0000-0000-000030290000}"/>
    <cellStyle name="Normal 18 5 4 3 4" xfId="47796" xr:uid="{00000000-0005-0000-0000-000031290000}"/>
    <cellStyle name="Normal 18 5 4 4" xfId="15099" xr:uid="{00000000-0005-0000-0000-000032290000}"/>
    <cellStyle name="Normal 18 5 4 4 2" xfId="29231" xr:uid="{00000000-0005-0000-0000-000033290000}"/>
    <cellStyle name="Normal 18 5 4 4 3" xfId="43126" xr:uid="{00000000-0005-0000-0000-000034290000}"/>
    <cellStyle name="Normal 18 5 4 5" xfId="19912" xr:uid="{00000000-0005-0000-0000-000035290000}"/>
    <cellStyle name="Normal 18 5 4 6" xfId="38544" xr:uid="{00000000-0005-0000-0000-000036290000}"/>
    <cellStyle name="Normal 18 5 5" xfId="4490" xr:uid="{00000000-0005-0000-0000-000037290000}"/>
    <cellStyle name="Normal 18 5 5 2" xfId="4491" xr:uid="{00000000-0005-0000-0000-000038290000}"/>
    <cellStyle name="Normal 18 5 5 2 2" xfId="10371" xr:uid="{00000000-0005-0000-0000-000039290000}"/>
    <cellStyle name="Normal 18 5 5 2 2 2" xfId="33856" xr:uid="{00000000-0005-0000-0000-00003A290000}"/>
    <cellStyle name="Normal 18 5 5 2 2 3" xfId="24537" xr:uid="{00000000-0005-0000-0000-00003B290000}"/>
    <cellStyle name="Normal 18 5 5 2 2 4" xfId="47799" xr:uid="{00000000-0005-0000-0000-00003C290000}"/>
    <cellStyle name="Normal 18 5 5 2 3" xfId="15102" xr:uid="{00000000-0005-0000-0000-00003D290000}"/>
    <cellStyle name="Normal 18 5 5 2 3 2" xfId="29234" xr:uid="{00000000-0005-0000-0000-00003E290000}"/>
    <cellStyle name="Normal 18 5 5 2 3 3" xfId="43129" xr:uid="{00000000-0005-0000-0000-00003F290000}"/>
    <cellStyle name="Normal 18 5 5 2 4" xfId="19915" xr:uid="{00000000-0005-0000-0000-000040290000}"/>
    <cellStyle name="Normal 18 5 5 2 5" xfId="38547" xr:uid="{00000000-0005-0000-0000-000041290000}"/>
    <cellStyle name="Normal 18 5 5 3" xfId="10370" xr:uid="{00000000-0005-0000-0000-000042290000}"/>
    <cellStyle name="Normal 18 5 5 3 2" xfId="33855" xr:uid="{00000000-0005-0000-0000-000043290000}"/>
    <cellStyle name="Normal 18 5 5 3 3" xfId="24536" xr:uid="{00000000-0005-0000-0000-000044290000}"/>
    <cellStyle name="Normal 18 5 5 3 4" xfId="47798" xr:uid="{00000000-0005-0000-0000-000045290000}"/>
    <cellStyle name="Normal 18 5 5 4" xfId="15101" xr:uid="{00000000-0005-0000-0000-000046290000}"/>
    <cellStyle name="Normal 18 5 5 4 2" xfId="29233" xr:uid="{00000000-0005-0000-0000-000047290000}"/>
    <cellStyle name="Normal 18 5 5 4 3" xfId="43128" xr:uid="{00000000-0005-0000-0000-000048290000}"/>
    <cellStyle name="Normal 18 5 5 5" xfId="19914" xr:uid="{00000000-0005-0000-0000-000049290000}"/>
    <cellStyle name="Normal 18 5 5 6" xfId="38546" xr:uid="{00000000-0005-0000-0000-00004A290000}"/>
    <cellStyle name="Normal 18 5 6" xfId="4492" xr:uid="{00000000-0005-0000-0000-00004B290000}"/>
    <cellStyle name="Normal 18 5 6 2" xfId="4493" xr:uid="{00000000-0005-0000-0000-00004C290000}"/>
    <cellStyle name="Normal 18 5 6 2 2" xfId="10373" xr:uid="{00000000-0005-0000-0000-00004D290000}"/>
    <cellStyle name="Normal 18 5 6 2 2 2" xfId="33858" xr:uid="{00000000-0005-0000-0000-00004E290000}"/>
    <cellStyle name="Normal 18 5 6 2 2 3" xfId="24539" xr:uid="{00000000-0005-0000-0000-00004F290000}"/>
    <cellStyle name="Normal 18 5 6 2 2 4" xfId="47801" xr:uid="{00000000-0005-0000-0000-000050290000}"/>
    <cellStyle name="Normal 18 5 6 2 3" xfId="15104" xr:uid="{00000000-0005-0000-0000-000051290000}"/>
    <cellStyle name="Normal 18 5 6 2 3 2" xfId="29236" xr:uid="{00000000-0005-0000-0000-000052290000}"/>
    <cellStyle name="Normal 18 5 6 2 3 3" xfId="43131" xr:uid="{00000000-0005-0000-0000-000053290000}"/>
    <cellStyle name="Normal 18 5 6 2 4" xfId="19917" xr:uid="{00000000-0005-0000-0000-000054290000}"/>
    <cellStyle name="Normal 18 5 6 2 5" xfId="38549" xr:uid="{00000000-0005-0000-0000-000055290000}"/>
    <cellStyle name="Normal 18 5 6 3" xfId="10372" xr:uid="{00000000-0005-0000-0000-000056290000}"/>
    <cellStyle name="Normal 18 5 6 3 2" xfId="33857" xr:uid="{00000000-0005-0000-0000-000057290000}"/>
    <cellStyle name="Normal 18 5 6 3 3" xfId="24538" xr:uid="{00000000-0005-0000-0000-000058290000}"/>
    <cellStyle name="Normal 18 5 6 3 4" xfId="47800" xr:uid="{00000000-0005-0000-0000-000059290000}"/>
    <cellStyle name="Normal 18 5 6 4" xfId="15103" xr:uid="{00000000-0005-0000-0000-00005A290000}"/>
    <cellStyle name="Normal 18 5 6 4 2" xfId="29235" xr:uid="{00000000-0005-0000-0000-00005B290000}"/>
    <cellStyle name="Normal 18 5 6 4 3" xfId="43130" xr:uid="{00000000-0005-0000-0000-00005C290000}"/>
    <cellStyle name="Normal 18 5 6 5" xfId="19916" xr:uid="{00000000-0005-0000-0000-00005D290000}"/>
    <cellStyle name="Normal 18 5 6 6" xfId="38548" xr:uid="{00000000-0005-0000-0000-00005E290000}"/>
    <cellStyle name="Normal 18 5 7" xfId="4494" xr:uid="{00000000-0005-0000-0000-00005F290000}"/>
    <cellStyle name="Normal 18 5 7 2" xfId="10374" xr:uid="{00000000-0005-0000-0000-000060290000}"/>
    <cellStyle name="Normal 18 5 7 2 2" xfId="33859" xr:uid="{00000000-0005-0000-0000-000061290000}"/>
    <cellStyle name="Normal 18 5 7 2 3" xfId="24540" xr:uid="{00000000-0005-0000-0000-000062290000}"/>
    <cellStyle name="Normal 18 5 7 2 4" xfId="47802" xr:uid="{00000000-0005-0000-0000-000063290000}"/>
    <cellStyle name="Normal 18 5 7 3" xfId="15105" xr:uid="{00000000-0005-0000-0000-000064290000}"/>
    <cellStyle name="Normal 18 5 7 3 2" xfId="29237" xr:uid="{00000000-0005-0000-0000-000065290000}"/>
    <cellStyle name="Normal 18 5 7 3 3" xfId="43132" xr:uid="{00000000-0005-0000-0000-000066290000}"/>
    <cellStyle name="Normal 18 5 7 4" xfId="19918" xr:uid="{00000000-0005-0000-0000-000067290000}"/>
    <cellStyle name="Normal 18 5 7 5" xfId="38550" xr:uid="{00000000-0005-0000-0000-000068290000}"/>
    <cellStyle name="Normal 18 5 8" xfId="10363" xr:uid="{00000000-0005-0000-0000-000069290000}"/>
    <cellStyle name="Normal 18 5 8 2" xfId="33848" xr:uid="{00000000-0005-0000-0000-00006A290000}"/>
    <cellStyle name="Normal 18 5 8 3" xfId="24529" xr:uid="{00000000-0005-0000-0000-00006B290000}"/>
    <cellStyle name="Normal 18 5 8 4" xfId="47791" xr:uid="{00000000-0005-0000-0000-00006C290000}"/>
    <cellStyle name="Normal 18 5 9" xfId="15094" xr:uid="{00000000-0005-0000-0000-00006D290000}"/>
    <cellStyle name="Normal 18 5 9 2" xfId="29226" xr:uid="{00000000-0005-0000-0000-00006E290000}"/>
    <cellStyle name="Normal 18 5 9 3" xfId="43121" xr:uid="{00000000-0005-0000-0000-00006F290000}"/>
    <cellStyle name="Normal 18 6" xfId="4495" xr:uid="{00000000-0005-0000-0000-000070290000}"/>
    <cellStyle name="Normal 18 6 10" xfId="19919" xr:uid="{00000000-0005-0000-0000-000071290000}"/>
    <cellStyle name="Normal 18 6 11" xfId="38551" xr:uid="{00000000-0005-0000-0000-000072290000}"/>
    <cellStyle name="Normal 18 6 2" xfId="4496" xr:uid="{00000000-0005-0000-0000-000073290000}"/>
    <cellStyle name="Normal 18 6 2 2" xfId="4497" xr:uid="{00000000-0005-0000-0000-000074290000}"/>
    <cellStyle name="Normal 18 6 2 2 2" xfId="10377" xr:uid="{00000000-0005-0000-0000-000075290000}"/>
    <cellStyle name="Normal 18 6 2 2 2 2" xfId="33862" xr:uid="{00000000-0005-0000-0000-000076290000}"/>
    <cellStyle name="Normal 18 6 2 2 2 3" xfId="24543" xr:uid="{00000000-0005-0000-0000-000077290000}"/>
    <cellStyle name="Normal 18 6 2 2 2 4" xfId="47805" xr:uid="{00000000-0005-0000-0000-000078290000}"/>
    <cellStyle name="Normal 18 6 2 2 3" xfId="15108" xr:uid="{00000000-0005-0000-0000-000079290000}"/>
    <cellStyle name="Normal 18 6 2 2 3 2" xfId="29240" xr:uid="{00000000-0005-0000-0000-00007A290000}"/>
    <cellStyle name="Normal 18 6 2 2 3 3" xfId="43135" xr:uid="{00000000-0005-0000-0000-00007B290000}"/>
    <cellStyle name="Normal 18 6 2 2 4" xfId="19921" xr:uid="{00000000-0005-0000-0000-00007C290000}"/>
    <cellStyle name="Normal 18 6 2 2 5" xfId="38553" xr:uid="{00000000-0005-0000-0000-00007D290000}"/>
    <cellStyle name="Normal 18 6 2 3" xfId="10376" xr:uid="{00000000-0005-0000-0000-00007E290000}"/>
    <cellStyle name="Normal 18 6 2 3 2" xfId="33861" xr:uid="{00000000-0005-0000-0000-00007F290000}"/>
    <cellStyle name="Normal 18 6 2 3 3" xfId="24542" xr:uid="{00000000-0005-0000-0000-000080290000}"/>
    <cellStyle name="Normal 18 6 2 3 4" xfId="47804" xr:uid="{00000000-0005-0000-0000-000081290000}"/>
    <cellStyle name="Normal 18 6 2 4" xfId="15107" xr:uid="{00000000-0005-0000-0000-000082290000}"/>
    <cellStyle name="Normal 18 6 2 4 2" xfId="29239" xr:uid="{00000000-0005-0000-0000-000083290000}"/>
    <cellStyle name="Normal 18 6 2 4 3" xfId="43134" xr:uid="{00000000-0005-0000-0000-000084290000}"/>
    <cellStyle name="Normal 18 6 2 5" xfId="19920" xr:uid="{00000000-0005-0000-0000-000085290000}"/>
    <cellStyle name="Normal 18 6 2 6" xfId="38552" xr:uid="{00000000-0005-0000-0000-000086290000}"/>
    <cellStyle name="Normal 18 6 3" xfId="4498" xr:uid="{00000000-0005-0000-0000-000087290000}"/>
    <cellStyle name="Normal 18 6 3 2" xfId="4499" xr:uid="{00000000-0005-0000-0000-000088290000}"/>
    <cellStyle name="Normal 18 6 3 2 2" xfId="10379" xr:uid="{00000000-0005-0000-0000-000089290000}"/>
    <cellStyle name="Normal 18 6 3 2 2 2" xfId="33864" xr:uid="{00000000-0005-0000-0000-00008A290000}"/>
    <cellStyle name="Normal 18 6 3 2 2 3" xfId="24545" xr:uid="{00000000-0005-0000-0000-00008B290000}"/>
    <cellStyle name="Normal 18 6 3 2 2 4" xfId="47807" xr:uid="{00000000-0005-0000-0000-00008C290000}"/>
    <cellStyle name="Normal 18 6 3 2 3" xfId="15110" xr:uid="{00000000-0005-0000-0000-00008D290000}"/>
    <cellStyle name="Normal 18 6 3 2 3 2" xfId="29242" xr:uid="{00000000-0005-0000-0000-00008E290000}"/>
    <cellStyle name="Normal 18 6 3 2 3 3" xfId="43137" xr:uid="{00000000-0005-0000-0000-00008F290000}"/>
    <cellStyle name="Normal 18 6 3 2 4" xfId="19923" xr:uid="{00000000-0005-0000-0000-000090290000}"/>
    <cellStyle name="Normal 18 6 3 2 5" xfId="38555" xr:uid="{00000000-0005-0000-0000-000091290000}"/>
    <cellStyle name="Normal 18 6 3 3" xfId="10378" xr:uid="{00000000-0005-0000-0000-000092290000}"/>
    <cellStyle name="Normal 18 6 3 3 2" xfId="33863" xr:uid="{00000000-0005-0000-0000-000093290000}"/>
    <cellStyle name="Normal 18 6 3 3 3" xfId="24544" xr:uid="{00000000-0005-0000-0000-000094290000}"/>
    <cellStyle name="Normal 18 6 3 3 4" xfId="47806" xr:uid="{00000000-0005-0000-0000-000095290000}"/>
    <cellStyle name="Normal 18 6 3 4" xfId="15109" xr:uid="{00000000-0005-0000-0000-000096290000}"/>
    <cellStyle name="Normal 18 6 3 4 2" xfId="29241" xr:uid="{00000000-0005-0000-0000-000097290000}"/>
    <cellStyle name="Normal 18 6 3 4 3" xfId="43136" xr:uid="{00000000-0005-0000-0000-000098290000}"/>
    <cellStyle name="Normal 18 6 3 5" xfId="19922" xr:uid="{00000000-0005-0000-0000-000099290000}"/>
    <cellStyle name="Normal 18 6 3 6" xfId="38554" xr:uid="{00000000-0005-0000-0000-00009A290000}"/>
    <cellStyle name="Normal 18 6 4" xfId="4500" xr:uid="{00000000-0005-0000-0000-00009B290000}"/>
    <cellStyle name="Normal 18 6 4 2" xfId="4501" xr:uid="{00000000-0005-0000-0000-00009C290000}"/>
    <cellStyle name="Normal 18 6 4 2 2" xfId="10381" xr:uid="{00000000-0005-0000-0000-00009D290000}"/>
    <cellStyle name="Normal 18 6 4 2 2 2" xfId="33866" xr:uid="{00000000-0005-0000-0000-00009E290000}"/>
    <cellStyle name="Normal 18 6 4 2 2 3" xfId="24547" xr:uid="{00000000-0005-0000-0000-00009F290000}"/>
    <cellStyle name="Normal 18 6 4 2 2 4" xfId="47809" xr:uid="{00000000-0005-0000-0000-0000A0290000}"/>
    <cellStyle name="Normal 18 6 4 2 3" xfId="15112" xr:uid="{00000000-0005-0000-0000-0000A1290000}"/>
    <cellStyle name="Normal 18 6 4 2 3 2" xfId="29244" xr:uid="{00000000-0005-0000-0000-0000A2290000}"/>
    <cellStyle name="Normal 18 6 4 2 3 3" xfId="43139" xr:uid="{00000000-0005-0000-0000-0000A3290000}"/>
    <cellStyle name="Normal 18 6 4 2 4" xfId="19925" xr:uid="{00000000-0005-0000-0000-0000A4290000}"/>
    <cellStyle name="Normal 18 6 4 2 5" xfId="38557" xr:uid="{00000000-0005-0000-0000-0000A5290000}"/>
    <cellStyle name="Normal 18 6 4 3" xfId="10380" xr:uid="{00000000-0005-0000-0000-0000A6290000}"/>
    <cellStyle name="Normal 18 6 4 3 2" xfId="33865" xr:uid="{00000000-0005-0000-0000-0000A7290000}"/>
    <cellStyle name="Normal 18 6 4 3 3" xfId="24546" xr:uid="{00000000-0005-0000-0000-0000A8290000}"/>
    <cellStyle name="Normal 18 6 4 3 4" xfId="47808" xr:uid="{00000000-0005-0000-0000-0000A9290000}"/>
    <cellStyle name="Normal 18 6 4 4" xfId="15111" xr:uid="{00000000-0005-0000-0000-0000AA290000}"/>
    <cellStyle name="Normal 18 6 4 4 2" xfId="29243" xr:uid="{00000000-0005-0000-0000-0000AB290000}"/>
    <cellStyle name="Normal 18 6 4 4 3" xfId="43138" xr:uid="{00000000-0005-0000-0000-0000AC290000}"/>
    <cellStyle name="Normal 18 6 4 5" xfId="19924" xr:uid="{00000000-0005-0000-0000-0000AD290000}"/>
    <cellStyle name="Normal 18 6 4 6" xfId="38556" xr:uid="{00000000-0005-0000-0000-0000AE290000}"/>
    <cellStyle name="Normal 18 6 5" xfId="4502" xr:uid="{00000000-0005-0000-0000-0000AF290000}"/>
    <cellStyle name="Normal 18 6 5 2" xfId="4503" xr:uid="{00000000-0005-0000-0000-0000B0290000}"/>
    <cellStyle name="Normal 18 6 5 2 2" xfId="10383" xr:uid="{00000000-0005-0000-0000-0000B1290000}"/>
    <cellStyle name="Normal 18 6 5 2 2 2" xfId="33868" xr:uid="{00000000-0005-0000-0000-0000B2290000}"/>
    <cellStyle name="Normal 18 6 5 2 2 3" xfId="24549" xr:uid="{00000000-0005-0000-0000-0000B3290000}"/>
    <cellStyle name="Normal 18 6 5 2 2 4" xfId="47811" xr:uid="{00000000-0005-0000-0000-0000B4290000}"/>
    <cellStyle name="Normal 18 6 5 2 3" xfId="15114" xr:uid="{00000000-0005-0000-0000-0000B5290000}"/>
    <cellStyle name="Normal 18 6 5 2 3 2" xfId="29246" xr:uid="{00000000-0005-0000-0000-0000B6290000}"/>
    <cellStyle name="Normal 18 6 5 2 3 3" xfId="43141" xr:uid="{00000000-0005-0000-0000-0000B7290000}"/>
    <cellStyle name="Normal 18 6 5 2 4" xfId="19927" xr:uid="{00000000-0005-0000-0000-0000B8290000}"/>
    <cellStyle name="Normal 18 6 5 2 5" xfId="38559" xr:uid="{00000000-0005-0000-0000-0000B9290000}"/>
    <cellStyle name="Normal 18 6 5 3" xfId="10382" xr:uid="{00000000-0005-0000-0000-0000BA290000}"/>
    <cellStyle name="Normal 18 6 5 3 2" xfId="33867" xr:uid="{00000000-0005-0000-0000-0000BB290000}"/>
    <cellStyle name="Normal 18 6 5 3 3" xfId="24548" xr:uid="{00000000-0005-0000-0000-0000BC290000}"/>
    <cellStyle name="Normal 18 6 5 3 4" xfId="47810" xr:uid="{00000000-0005-0000-0000-0000BD290000}"/>
    <cellStyle name="Normal 18 6 5 4" xfId="15113" xr:uid="{00000000-0005-0000-0000-0000BE290000}"/>
    <cellStyle name="Normal 18 6 5 4 2" xfId="29245" xr:uid="{00000000-0005-0000-0000-0000BF290000}"/>
    <cellStyle name="Normal 18 6 5 4 3" xfId="43140" xr:uid="{00000000-0005-0000-0000-0000C0290000}"/>
    <cellStyle name="Normal 18 6 5 5" xfId="19926" xr:uid="{00000000-0005-0000-0000-0000C1290000}"/>
    <cellStyle name="Normal 18 6 5 6" xfId="38558" xr:uid="{00000000-0005-0000-0000-0000C2290000}"/>
    <cellStyle name="Normal 18 6 6" xfId="4504" xr:uid="{00000000-0005-0000-0000-0000C3290000}"/>
    <cellStyle name="Normal 18 6 6 2" xfId="4505" xr:uid="{00000000-0005-0000-0000-0000C4290000}"/>
    <cellStyle name="Normal 18 6 6 2 2" xfId="10385" xr:uid="{00000000-0005-0000-0000-0000C5290000}"/>
    <cellStyle name="Normal 18 6 6 2 2 2" xfId="33870" xr:uid="{00000000-0005-0000-0000-0000C6290000}"/>
    <cellStyle name="Normal 18 6 6 2 2 3" xfId="24551" xr:uid="{00000000-0005-0000-0000-0000C7290000}"/>
    <cellStyle name="Normal 18 6 6 2 2 4" xfId="47813" xr:uid="{00000000-0005-0000-0000-0000C8290000}"/>
    <cellStyle name="Normal 18 6 6 2 3" xfId="15116" xr:uid="{00000000-0005-0000-0000-0000C9290000}"/>
    <cellStyle name="Normal 18 6 6 2 3 2" xfId="29248" xr:uid="{00000000-0005-0000-0000-0000CA290000}"/>
    <cellStyle name="Normal 18 6 6 2 3 3" xfId="43143" xr:uid="{00000000-0005-0000-0000-0000CB290000}"/>
    <cellStyle name="Normal 18 6 6 2 4" xfId="19929" xr:uid="{00000000-0005-0000-0000-0000CC290000}"/>
    <cellStyle name="Normal 18 6 6 2 5" xfId="38561" xr:uid="{00000000-0005-0000-0000-0000CD290000}"/>
    <cellStyle name="Normal 18 6 6 3" xfId="10384" xr:uid="{00000000-0005-0000-0000-0000CE290000}"/>
    <cellStyle name="Normal 18 6 6 3 2" xfId="33869" xr:uid="{00000000-0005-0000-0000-0000CF290000}"/>
    <cellStyle name="Normal 18 6 6 3 3" xfId="24550" xr:uid="{00000000-0005-0000-0000-0000D0290000}"/>
    <cellStyle name="Normal 18 6 6 3 4" xfId="47812" xr:uid="{00000000-0005-0000-0000-0000D1290000}"/>
    <cellStyle name="Normal 18 6 6 4" xfId="15115" xr:uid="{00000000-0005-0000-0000-0000D2290000}"/>
    <cellStyle name="Normal 18 6 6 4 2" xfId="29247" xr:uid="{00000000-0005-0000-0000-0000D3290000}"/>
    <cellStyle name="Normal 18 6 6 4 3" xfId="43142" xr:uid="{00000000-0005-0000-0000-0000D4290000}"/>
    <cellStyle name="Normal 18 6 6 5" xfId="19928" xr:uid="{00000000-0005-0000-0000-0000D5290000}"/>
    <cellStyle name="Normal 18 6 6 6" xfId="38560" xr:uid="{00000000-0005-0000-0000-0000D6290000}"/>
    <cellStyle name="Normal 18 6 7" xfId="4506" xr:uid="{00000000-0005-0000-0000-0000D7290000}"/>
    <cellStyle name="Normal 18 6 7 2" xfId="10386" xr:uid="{00000000-0005-0000-0000-0000D8290000}"/>
    <cellStyle name="Normal 18 6 7 2 2" xfId="33871" xr:uid="{00000000-0005-0000-0000-0000D9290000}"/>
    <cellStyle name="Normal 18 6 7 2 3" xfId="24552" xr:uid="{00000000-0005-0000-0000-0000DA290000}"/>
    <cellStyle name="Normal 18 6 7 2 4" xfId="47814" xr:uid="{00000000-0005-0000-0000-0000DB290000}"/>
    <cellStyle name="Normal 18 6 7 3" xfId="15117" xr:uid="{00000000-0005-0000-0000-0000DC290000}"/>
    <cellStyle name="Normal 18 6 7 3 2" xfId="29249" xr:uid="{00000000-0005-0000-0000-0000DD290000}"/>
    <cellStyle name="Normal 18 6 7 3 3" xfId="43144" xr:uid="{00000000-0005-0000-0000-0000DE290000}"/>
    <cellStyle name="Normal 18 6 7 4" xfId="19930" xr:uid="{00000000-0005-0000-0000-0000DF290000}"/>
    <cellStyle name="Normal 18 6 7 5" xfId="38562" xr:uid="{00000000-0005-0000-0000-0000E0290000}"/>
    <cellStyle name="Normal 18 6 8" xfId="10375" xr:uid="{00000000-0005-0000-0000-0000E1290000}"/>
    <cellStyle name="Normal 18 6 8 2" xfId="33860" xr:uid="{00000000-0005-0000-0000-0000E2290000}"/>
    <cellStyle name="Normal 18 6 8 3" xfId="24541" xr:uid="{00000000-0005-0000-0000-0000E3290000}"/>
    <cellStyle name="Normal 18 6 8 4" xfId="47803" xr:uid="{00000000-0005-0000-0000-0000E4290000}"/>
    <cellStyle name="Normal 18 6 9" xfId="15106" xr:uid="{00000000-0005-0000-0000-0000E5290000}"/>
    <cellStyle name="Normal 18 6 9 2" xfId="29238" xr:uid="{00000000-0005-0000-0000-0000E6290000}"/>
    <cellStyle name="Normal 18 6 9 3" xfId="43133" xr:uid="{00000000-0005-0000-0000-0000E7290000}"/>
    <cellStyle name="Normal 18 7" xfId="4507" xr:uid="{00000000-0005-0000-0000-0000E8290000}"/>
    <cellStyle name="Normal 18 7 10" xfId="19931" xr:uid="{00000000-0005-0000-0000-0000E9290000}"/>
    <cellStyle name="Normal 18 7 11" xfId="38563" xr:uid="{00000000-0005-0000-0000-0000EA290000}"/>
    <cellStyle name="Normal 18 7 2" xfId="4508" xr:uid="{00000000-0005-0000-0000-0000EB290000}"/>
    <cellStyle name="Normal 18 7 2 2" xfId="4509" xr:uid="{00000000-0005-0000-0000-0000EC290000}"/>
    <cellStyle name="Normal 18 7 2 2 2" xfId="10389" xr:uid="{00000000-0005-0000-0000-0000ED290000}"/>
    <cellStyle name="Normal 18 7 2 2 2 2" xfId="33874" xr:uid="{00000000-0005-0000-0000-0000EE290000}"/>
    <cellStyle name="Normal 18 7 2 2 2 3" xfId="24555" xr:uid="{00000000-0005-0000-0000-0000EF290000}"/>
    <cellStyle name="Normal 18 7 2 2 2 4" xfId="47817" xr:uid="{00000000-0005-0000-0000-0000F0290000}"/>
    <cellStyle name="Normal 18 7 2 2 3" xfId="15120" xr:uid="{00000000-0005-0000-0000-0000F1290000}"/>
    <cellStyle name="Normal 18 7 2 2 3 2" xfId="29252" xr:uid="{00000000-0005-0000-0000-0000F2290000}"/>
    <cellStyle name="Normal 18 7 2 2 3 3" xfId="43147" xr:uid="{00000000-0005-0000-0000-0000F3290000}"/>
    <cellStyle name="Normal 18 7 2 2 4" xfId="19933" xr:uid="{00000000-0005-0000-0000-0000F4290000}"/>
    <cellStyle name="Normal 18 7 2 2 5" xfId="38565" xr:uid="{00000000-0005-0000-0000-0000F5290000}"/>
    <cellStyle name="Normal 18 7 2 3" xfId="10388" xr:uid="{00000000-0005-0000-0000-0000F6290000}"/>
    <cellStyle name="Normal 18 7 2 3 2" xfId="33873" xr:uid="{00000000-0005-0000-0000-0000F7290000}"/>
    <cellStyle name="Normal 18 7 2 3 3" xfId="24554" xr:uid="{00000000-0005-0000-0000-0000F8290000}"/>
    <cellStyle name="Normal 18 7 2 3 4" xfId="47816" xr:uid="{00000000-0005-0000-0000-0000F9290000}"/>
    <cellStyle name="Normal 18 7 2 4" xfId="15119" xr:uid="{00000000-0005-0000-0000-0000FA290000}"/>
    <cellStyle name="Normal 18 7 2 4 2" xfId="29251" xr:uid="{00000000-0005-0000-0000-0000FB290000}"/>
    <cellStyle name="Normal 18 7 2 4 3" xfId="43146" xr:uid="{00000000-0005-0000-0000-0000FC290000}"/>
    <cellStyle name="Normal 18 7 2 5" xfId="19932" xr:uid="{00000000-0005-0000-0000-0000FD290000}"/>
    <cellStyle name="Normal 18 7 2 6" xfId="38564" xr:uid="{00000000-0005-0000-0000-0000FE290000}"/>
    <cellStyle name="Normal 18 7 3" xfId="4510" xr:uid="{00000000-0005-0000-0000-0000FF290000}"/>
    <cellStyle name="Normal 18 7 3 2" xfId="4511" xr:uid="{00000000-0005-0000-0000-0000002A0000}"/>
    <cellStyle name="Normal 18 7 3 2 2" xfId="10391" xr:uid="{00000000-0005-0000-0000-0000012A0000}"/>
    <cellStyle name="Normal 18 7 3 2 2 2" xfId="33876" xr:uid="{00000000-0005-0000-0000-0000022A0000}"/>
    <cellStyle name="Normal 18 7 3 2 2 3" xfId="24557" xr:uid="{00000000-0005-0000-0000-0000032A0000}"/>
    <cellStyle name="Normal 18 7 3 2 2 4" xfId="47819" xr:uid="{00000000-0005-0000-0000-0000042A0000}"/>
    <cellStyle name="Normal 18 7 3 2 3" xfId="15122" xr:uid="{00000000-0005-0000-0000-0000052A0000}"/>
    <cellStyle name="Normal 18 7 3 2 3 2" xfId="29254" xr:uid="{00000000-0005-0000-0000-0000062A0000}"/>
    <cellStyle name="Normal 18 7 3 2 3 3" xfId="43149" xr:uid="{00000000-0005-0000-0000-0000072A0000}"/>
    <cellStyle name="Normal 18 7 3 2 4" xfId="19935" xr:uid="{00000000-0005-0000-0000-0000082A0000}"/>
    <cellStyle name="Normal 18 7 3 2 5" xfId="38567" xr:uid="{00000000-0005-0000-0000-0000092A0000}"/>
    <cellStyle name="Normal 18 7 3 3" xfId="10390" xr:uid="{00000000-0005-0000-0000-00000A2A0000}"/>
    <cellStyle name="Normal 18 7 3 3 2" xfId="33875" xr:uid="{00000000-0005-0000-0000-00000B2A0000}"/>
    <cellStyle name="Normal 18 7 3 3 3" xfId="24556" xr:uid="{00000000-0005-0000-0000-00000C2A0000}"/>
    <cellStyle name="Normal 18 7 3 3 4" xfId="47818" xr:uid="{00000000-0005-0000-0000-00000D2A0000}"/>
    <cellStyle name="Normal 18 7 3 4" xfId="15121" xr:uid="{00000000-0005-0000-0000-00000E2A0000}"/>
    <cellStyle name="Normal 18 7 3 4 2" xfId="29253" xr:uid="{00000000-0005-0000-0000-00000F2A0000}"/>
    <cellStyle name="Normal 18 7 3 4 3" xfId="43148" xr:uid="{00000000-0005-0000-0000-0000102A0000}"/>
    <cellStyle name="Normal 18 7 3 5" xfId="19934" xr:uid="{00000000-0005-0000-0000-0000112A0000}"/>
    <cellStyle name="Normal 18 7 3 6" xfId="38566" xr:uid="{00000000-0005-0000-0000-0000122A0000}"/>
    <cellStyle name="Normal 18 7 4" xfId="4512" xr:uid="{00000000-0005-0000-0000-0000132A0000}"/>
    <cellStyle name="Normal 18 7 4 2" xfId="4513" xr:uid="{00000000-0005-0000-0000-0000142A0000}"/>
    <cellStyle name="Normal 18 7 4 2 2" xfId="10393" xr:uid="{00000000-0005-0000-0000-0000152A0000}"/>
    <cellStyle name="Normal 18 7 4 2 2 2" xfId="33878" xr:uid="{00000000-0005-0000-0000-0000162A0000}"/>
    <cellStyle name="Normal 18 7 4 2 2 3" xfId="24559" xr:uid="{00000000-0005-0000-0000-0000172A0000}"/>
    <cellStyle name="Normal 18 7 4 2 2 4" xfId="47821" xr:uid="{00000000-0005-0000-0000-0000182A0000}"/>
    <cellStyle name="Normal 18 7 4 2 3" xfId="15124" xr:uid="{00000000-0005-0000-0000-0000192A0000}"/>
    <cellStyle name="Normal 18 7 4 2 3 2" xfId="29256" xr:uid="{00000000-0005-0000-0000-00001A2A0000}"/>
    <cellStyle name="Normal 18 7 4 2 3 3" xfId="43151" xr:uid="{00000000-0005-0000-0000-00001B2A0000}"/>
    <cellStyle name="Normal 18 7 4 2 4" xfId="19937" xr:uid="{00000000-0005-0000-0000-00001C2A0000}"/>
    <cellStyle name="Normal 18 7 4 2 5" xfId="38569" xr:uid="{00000000-0005-0000-0000-00001D2A0000}"/>
    <cellStyle name="Normal 18 7 4 3" xfId="10392" xr:uid="{00000000-0005-0000-0000-00001E2A0000}"/>
    <cellStyle name="Normal 18 7 4 3 2" xfId="33877" xr:uid="{00000000-0005-0000-0000-00001F2A0000}"/>
    <cellStyle name="Normal 18 7 4 3 3" xfId="24558" xr:uid="{00000000-0005-0000-0000-0000202A0000}"/>
    <cellStyle name="Normal 18 7 4 3 4" xfId="47820" xr:uid="{00000000-0005-0000-0000-0000212A0000}"/>
    <cellStyle name="Normal 18 7 4 4" xfId="15123" xr:uid="{00000000-0005-0000-0000-0000222A0000}"/>
    <cellStyle name="Normal 18 7 4 4 2" xfId="29255" xr:uid="{00000000-0005-0000-0000-0000232A0000}"/>
    <cellStyle name="Normal 18 7 4 4 3" xfId="43150" xr:uid="{00000000-0005-0000-0000-0000242A0000}"/>
    <cellStyle name="Normal 18 7 4 5" xfId="19936" xr:uid="{00000000-0005-0000-0000-0000252A0000}"/>
    <cellStyle name="Normal 18 7 4 6" xfId="38568" xr:uid="{00000000-0005-0000-0000-0000262A0000}"/>
    <cellStyle name="Normal 18 7 5" xfId="4514" xr:uid="{00000000-0005-0000-0000-0000272A0000}"/>
    <cellStyle name="Normal 18 7 5 2" xfId="4515" xr:uid="{00000000-0005-0000-0000-0000282A0000}"/>
    <cellStyle name="Normal 18 7 5 2 2" xfId="10395" xr:uid="{00000000-0005-0000-0000-0000292A0000}"/>
    <cellStyle name="Normal 18 7 5 2 2 2" xfId="33880" xr:uid="{00000000-0005-0000-0000-00002A2A0000}"/>
    <cellStyle name="Normal 18 7 5 2 2 3" xfId="24561" xr:uid="{00000000-0005-0000-0000-00002B2A0000}"/>
    <cellStyle name="Normal 18 7 5 2 2 4" xfId="47823" xr:uid="{00000000-0005-0000-0000-00002C2A0000}"/>
    <cellStyle name="Normal 18 7 5 2 3" xfId="15126" xr:uid="{00000000-0005-0000-0000-00002D2A0000}"/>
    <cellStyle name="Normal 18 7 5 2 3 2" xfId="29258" xr:uid="{00000000-0005-0000-0000-00002E2A0000}"/>
    <cellStyle name="Normal 18 7 5 2 3 3" xfId="43153" xr:uid="{00000000-0005-0000-0000-00002F2A0000}"/>
    <cellStyle name="Normal 18 7 5 2 4" xfId="19939" xr:uid="{00000000-0005-0000-0000-0000302A0000}"/>
    <cellStyle name="Normal 18 7 5 2 5" xfId="38571" xr:uid="{00000000-0005-0000-0000-0000312A0000}"/>
    <cellStyle name="Normal 18 7 5 3" xfId="10394" xr:uid="{00000000-0005-0000-0000-0000322A0000}"/>
    <cellStyle name="Normal 18 7 5 3 2" xfId="33879" xr:uid="{00000000-0005-0000-0000-0000332A0000}"/>
    <cellStyle name="Normal 18 7 5 3 3" xfId="24560" xr:uid="{00000000-0005-0000-0000-0000342A0000}"/>
    <cellStyle name="Normal 18 7 5 3 4" xfId="47822" xr:uid="{00000000-0005-0000-0000-0000352A0000}"/>
    <cellStyle name="Normal 18 7 5 4" xfId="15125" xr:uid="{00000000-0005-0000-0000-0000362A0000}"/>
    <cellStyle name="Normal 18 7 5 4 2" xfId="29257" xr:uid="{00000000-0005-0000-0000-0000372A0000}"/>
    <cellStyle name="Normal 18 7 5 4 3" xfId="43152" xr:uid="{00000000-0005-0000-0000-0000382A0000}"/>
    <cellStyle name="Normal 18 7 5 5" xfId="19938" xr:uid="{00000000-0005-0000-0000-0000392A0000}"/>
    <cellStyle name="Normal 18 7 5 6" xfId="38570" xr:uid="{00000000-0005-0000-0000-00003A2A0000}"/>
    <cellStyle name="Normal 18 7 6" xfId="4516" xr:uid="{00000000-0005-0000-0000-00003B2A0000}"/>
    <cellStyle name="Normal 18 7 6 2" xfId="4517" xr:uid="{00000000-0005-0000-0000-00003C2A0000}"/>
    <cellStyle name="Normal 18 7 6 2 2" xfId="10397" xr:uid="{00000000-0005-0000-0000-00003D2A0000}"/>
    <cellStyle name="Normal 18 7 6 2 2 2" xfId="33882" xr:uid="{00000000-0005-0000-0000-00003E2A0000}"/>
    <cellStyle name="Normal 18 7 6 2 2 3" xfId="24563" xr:uid="{00000000-0005-0000-0000-00003F2A0000}"/>
    <cellStyle name="Normal 18 7 6 2 2 4" xfId="47825" xr:uid="{00000000-0005-0000-0000-0000402A0000}"/>
    <cellStyle name="Normal 18 7 6 2 3" xfId="15128" xr:uid="{00000000-0005-0000-0000-0000412A0000}"/>
    <cellStyle name="Normal 18 7 6 2 3 2" xfId="29260" xr:uid="{00000000-0005-0000-0000-0000422A0000}"/>
    <cellStyle name="Normal 18 7 6 2 3 3" xfId="43155" xr:uid="{00000000-0005-0000-0000-0000432A0000}"/>
    <cellStyle name="Normal 18 7 6 2 4" xfId="19941" xr:uid="{00000000-0005-0000-0000-0000442A0000}"/>
    <cellStyle name="Normal 18 7 6 2 5" xfId="38573" xr:uid="{00000000-0005-0000-0000-0000452A0000}"/>
    <cellStyle name="Normal 18 7 6 3" xfId="10396" xr:uid="{00000000-0005-0000-0000-0000462A0000}"/>
    <cellStyle name="Normal 18 7 6 3 2" xfId="33881" xr:uid="{00000000-0005-0000-0000-0000472A0000}"/>
    <cellStyle name="Normal 18 7 6 3 3" xfId="24562" xr:uid="{00000000-0005-0000-0000-0000482A0000}"/>
    <cellStyle name="Normal 18 7 6 3 4" xfId="47824" xr:uid="{00000000-0005-0000-0000-0000492A0000}"/>
    <cellStyle name="Normal 18 7 6 4" xfId="15127" xr:uid="{00000000-0005-0000-0000-00004A2A0000}"/>
    <cellStyle name="Normal 18 7 6 4 2" xfId="29259" xr:uid="{00000000-0005-0000-0000-00004B2A0000}"/>
    <cellStyle name="Normal 18 7 6 4 3" xfId="43154" xr:uid="{00000000-0005-0000-0000-00004C2A0000}"/>
    <cellStyle name="Normal 18 7 6 5" xfId="19940" xr:uid="{00000000-0005-0000-0000-00004D2A0000}"/>
    <cellStyle name="Normal 18 7 6 6" xfId="38572" xr:uid="{00000000-0005-0000-0000-00004E2A0000}"/>
    <cellStyle name="Normal 18 7 7" xfId="4518" xr:uid="{00000000-0005-0000-0000-00004F2A0000}"/>
    <cellStyle name="Normal 18 7 7 2" xfId="10398" xr:uid="{00000000-0005-0000-0000-0000502A0000}"/>
    <cellStyle name="Normal 18 7 7 2 2" xfId="33883" xr:uid="{00000000-0005-0000-0000-0000512A0000}"/>
    <cellStyle name="Normal 18 7 7 2 3" xfId="24564" xr:uid="{00000000-0005-0000-0000-0000522A0000}"/>
    <cellStyle name="Normal 18 7 7 2 4" xfId="47826" xr:uid="{00000000-0005-0000-0000-0000532A0000}"/>
    <cellStyle name="Normal 18 7 7 3" xfId="15129" xr:uid="{00000000-0005-0000-0000-0000542A0000}"/>
    <cellStyle name="Normal 18 7 7 3 2" xfId="29261" xr:uid="{00000000-0005-0000-0000-0000552A0000}"/>
    <cellStyle name="Normal 18 7 7 3 3" xfId="43156" xr:uid="{00000000-0005-0000-0000-0000562A0000}"/>
    <cellStyle name="Normal 18 7 7 4" xfId="19942" xr:uid="{00000000-0005-0000-0000-0000572A0000}"/>
    <cellStyle name="Normal 18 7 7 5" xfId="38574" xr:uid="{00000000-0005-0000-0000-0000582A0000}"/>
    <cellStyle name="Normal 18 7 8" xfId="10387" xr:uid="{00000000-0005-0000-0000-0000592A0000}"/>
    <cellStyle name="Normal 18 7 8 2" xfId="33872" xr:uid="{00000000-0005-0000-0000-00005A2A0000}"/>
    <cellStyle name="Normal 18 7 8 3" xfId="24553" xr:uid="{00000000-0005-0000-0000-00005B2A0000}"/>
    <cellStyle name="Normal 18 7 8 4" xfId="47815" xr:uid="{00000000-0005-0000-0000-00005C2A0000}"/>
    <cellStyle name="Normal 18 7 9" xfId="15118" xr:uid="{00000000-0005-0000-0000-00005D2A0000}"/>
    <cellStyle name="Normal 18 7 9 2" xfId="29250" xr:uid="{00000000-0005-0000-0000-00005E2A0000}"/>
    <cellStyle name="Normal 18 7 9 3" xfId="43145" xr:uid="{00000000-0005-0000-0000-00005F2A0000}"/>
    <cellStyle name="Normal 18 8" xfId="4519" xr:uid="{00000000-0005-0000-0000-0000602A0000}"/>
    <cellStyle name="Normal 18 8 10" xfId="19943" xr:uid="{00000000-0005-0000-0000-0000612A0000}"/>
    <cellStyle name="Normal 18 8 11" xfId="38575" xr:uid="{00000000-0005-0000-0000-0000622A0000}"/>
    <cellStyle name="Normal 18 8 2" xfId="4520" xr:uid="{00000000-0005-0000-0000-0000632A0000}"/>
    <cellStyle name="Normal 18 8 2 2" xfId="4521" xr:uid="{00000000-0005-0000-0000-0000642A0000}"/>
    <cellStyle name="Normal 18 8 2 2 2" xfId="10401" xr:uid="{00000000-0005-0000-0000-0000652A0000}"/>
    <cellStyle name="Normal 18 8 2 2 2 2" xfId="33886" xr:uid="{00000000-0005-0000-0000-0000662A0000}"/>
    <cellStyle name="Normal 18 8 2 2 2 3" xfId="24567" xr:uid="{00000000-0005-0000-0000-0000672A0000}"/>
    <cellStyle name="Normal 18 8 2 2 2 4" xfId="47829" xr:uid="{00000000-0005-0000-0000-0000682A0000}"/>
    <cellStyle name="Normal 18 8 2 2 3" xfId="15132" xr:uid="{00000000-0005-0000-0000-0000692A0000}"/>
    <cellStyle name="Normal 18 8 2 2 3 2" xfId="29264" xr:uid="{00000000-0005-0000-0000-00006A2A0000}"/>
    <cellStyle name="Normal 18 8 2 2 3 3" xfId="43159" xr:uid="{00000000-0005-0000-0000-00006B2A0000}"/>
    <cellStyle name="Normal 18 8 2 2 4" xfId="19945" xr:uid="{00000000-0005-0000-0000-00006C2A0000}"/>
    <cellStyle name="Normal 18 8 2 2 5" xfId="38577" xr:uid="{00000000-0005-0000-0000-00006D2A0000}"/>
    <cellStyle name="Normal 18 8 2 3" xfId="10400" xr:uid="{00000000-0005-0000-0000-00006E2A0000}"/>
    <cellStyle name="Normal 18 8 2 3 2" xfId="33885" xr:uid="{00000000-0005-0000-0000-00006F2A0000}"/>
    <cellStyle name="Normal 18 8 2 3 3" xfId="24566" xr:uid="{00000000-0005-0000-0000-0000702A0000}"/>
    <cellStyle name="Normal 18 8 2 3 4" xfId="47828" xr:uid="{00000000-0005-0000-0000-0000712A0000}"/>
    <cellStyle name="Normal 18 8 2 4" xfId="15131" xr:uid="{00000000-0005-0000-0000-0000722A0000}"/>
    <cellStyle name="Normal 18 8 2 4 2" xfId="29263" xr:uid="{00000000-0005-0000-0000-0000732A0000}"/>
    <cellStyle name="Normal 18 8 2 4 3" xfId="43158" xr:uid="{00000000-0005-0000-0000-0000742A0000}"/>
    <cellStyle name="Normal 18 8 2 5" xfId="19944" xr:uid="{00000000-0005-0000-0000-0000752A0000}"/>
    <cellStyle name="Normal 18 8 2 6" xfId="38576" xr:uid="{00000000-0005-0000-0000-0000762A0000}"/>
    <cellStyle name="Normal 18 8 3" xfId="4522" xr:uid="{00000000-0005-0000-0000-0000772A0000}"/>
    <cellStyle name="Normal 18 8 3 2" xfId="4523" xr:uid="{00000000-0005-0000-0000-0000782A0000}"/>
    <cellStyle name="Normal 18 8 3 2 2" xfId="10403" xr:uid="{00000000-0005-0000-0000-0000792A0000}"/>
    <cellStyle name="Normal 18 8 3 2 2 2" xfId="33888" xr:uid="{00000000-0005-0000-0000-00007A2A0000}"/>
    <cellStyle name="Normal 18 8 3 2 2 3" xfId="24569" xr:uid="{00000000-0005-0000-0000-00007B2A0000}"/>
    <cellStyle name="Normal 18 8 3 2 2 4" xfId="47831" xr:uid="{00000000-0005-0000-0000-00007C2A0000}"/>
    <cellStyle name="Normal 18 8 3 2 3" xfId="15134" xr:uid="{00000000-0005-0000-0000-00007D2A0000}"/>
    <cellStyle name="Normal 18 8 3 2 3 2" xfId="29266" xr:uid="{00000000-0005-0000-0000-00007E2A0000}"/>
    <cellStyle name="Normal 18 8 3 2 3 3" xfId="43161" xr:uid="{00000000-0005-0000-0000-00007F2A0000}"/>
    <cellStyle name="Normal 18 8 3 2 4" xfId="19947" xr:uid="{00000000-0005-0000-0000-0000802A0000}"/>
    <cellStyle name="Normal 18 8 3 2 5" xfId="38579" xr:uid="{00000000-0005-0000-0000-0000812A0000}"/>
    <cellStyle name="Normal 18 8 3 3" xfId="10402" xr:uid="{00000000-0005-0000-0000-0000822A0000}"/>
    <cellStyle name="Normal 18 8 3 3 2" xfId="33887" xr:uid="{00000000-0005-0000-0000-0000832A0000}"/>
    <cellStyle name="Normal 18 8 3 3 3" xfId="24568" xr:uid="{00000000-0005-0000-0000-0000842A0000}"/>
    <cellStyle name="Normal 18 8 3 3 4" xfId="47830" xr:uid="{00000000-0005-0000-0000-0000852A0000}"/>
    <cellStyle name="Normal 18 8 3 4" xfId="15133" xr:uid="{00000000-0005-0000-0000-0000862A0000}"/>
    <cellStyle name="Normal 18 8 3 4 2" xfId="29265" xr:uid="{00000000-0005-0000-0000-0000872A0000}"/>
    <cellStyle name="Normal 18 8 3 4 3" xfId="43160" xr:uid="{00000000-0005-0000-0000-0000882A0000}"/>
    <cellStyle name="Normal 18 8 3 5" xfId="19946" xr:uid="{00000000-0005-0000-0000-0000892A0000}"/>
    <cellStyle name="Normal 18 8 3 6" xfId="38578" xr:uid="{00000000-0005-0000-0000-00008A2A0000}"/>
    <cellStyle name="Normal 18 8 4" xfId="4524" xr:uid="{00000000-0005-0000-0000-00008B2A0000}"/>
    <cellStyle name="Normal 18 8 4 2" xfId="4525" xr:uid="{00000000-0005-0000-0000-00008C2A0000}"/>
    <cellStyle name="Normal 18 8 4 2 2" xfId="10405" xr:uid="{00000000-0005-0000-0000-00008D2A0000}"/>
    <cellStyle name="Normal 18 8 4 2 2 2" xfId="33890" xr:uid="{00000000-0005-0000-0000-00008E2A0000}"/>
    <cellStyle name="Normal 18 8 4 2 2 3" xfId="24571" xr:uid="{00000000-0005-0000-0000-00008F2A0000}"/>
    <cellStyle name="Normal 18 8 4 2 2 4" xfId="47833" xr:uid="{00000000-0005-0000-0000-0000902A0000}"/>
    <cellStyle name="Normal 18 8 4 2 3" xfId="15136" xr:uid="{00000000-0005-0000-0000-0000912A0000}"/>
    <cellStyle name="Normal 18 8 4 2 3 2" xfId="29268" xr:uid="{00000000-0005-0000-0000-0000922A0000}"/>
    <cellStyle name="Normal 18 8 4 2 3 3" xfId="43163" xr:uid="{00000000-0005-0000-0000-0000932A0000}"/>
    <cellStyle name="Normal 18 8 4 2 4" xfId="19949" xr:uid="{00000000-0005-0000-0000-0000942A0000}"/>
    <cellStyle name="Normal 18 8 4 2 5" xfId="38581" xr:uid="{00000000-0005-0000-0000-0000952A0000}"/>
    <cellStyle name="Normal 18 8 4 3" xfId="10404" xr:uid="{00000000-0005-0000-0000-0000962A0000}"/>
    <cellStyle name="Normal 18 8 4 3 2" xfId="33889" xr:uid="{00000000-0005-0000-0000-0000972A0000}"/>
    <cellStyle name="Normal 18 8 4 3 3" xfId="24570" xr:uid="{00000000-0005-0000-0000-0000982A0000}"/>
    <cellStyle name="Normal 18 8 4 3 4" xfId="47832" xr:uid="{00000000-0005-0000-0000-0000992A0000}"/>
    <cellStyle name="Normal 18 8 4 4" xfId="15135" xr:uid="{00000000-0005-0000-0000-00009A2A0000}"/>
    <cellStyle name="Normal 18 8 4 4 2" xfId="29267" xr:uid="{00000000-0005-0000-0000-00009B2A0000}"/>
    <cellStyle name="Normal 18 8 4 4 3" xfId="43162" xr:uid="{00000000-0005-0000-0000-00009C2A0000}"/>
    <cellStyle name="Normal 18 8 4 5" xfId="19948" xr:uid="{00000000-0005-0000-0000-00009D2A0000}"/>
    <cellStyle name="Normal 18 8 4 6" xfId="38580" xr:uid="{00000000-0005-0000-0000-00009E2A0000}"/>
    <cellStyle name="Normal 18 8 5" xfId="4526" xr:uid="{00000000-0005-0000-0000-00009F2A0000}"/>
    <cellStyle name="Normal 18 8 5 2" xfId="4527" xr:uid="{00000000-0005-0000-0000-0000A02A0000}"/>
    <cellStyle name="Normal 18 8 5 2 2" xfId="10407" xr:uid="{00000000-0005-0000-0000-0000A12A0000}"/>
    <cellStyle name="Normal 18 8 5 2 2 2" xfId="33892" xr:uid="{00000000-0005-0000-0000-0000A22A0000}"/>
    <cellStyle name="Normal 18 8 5 2 2 3" xfId="24573" xr:uid="{00000000-0005-0000-0000-0000A32A0000}"/>
    <cellStyle name="Normal 18 8 5 2 2 4" xfId="47835" xr:uid="{00000000-0005-0000-0000-0000A42A0000}"/>
    <cellStyle name="Normal 18 8 5 2 3" xfId="15138" xr:uid="{00000000-0005-0000-0000-0000A52A0000}"/>
    <cellStyle name="Normal 18 8 5 2 3 2" xfId="29270" xr:uid="{00000000-0005-0000-0000-0000A62A0000}"/>
    <cellStyle name="Normal 18 8 5 2 3 3" xfId="43165" xr:uid="{00000000-0005-0000-0000-0000A72A0000}"/>
    <cellStyle name="Normal 18 8 5 2 4" xfId="19951" xr:uid="{00000000-0005-0000-0000-0000A82A0000}"/>
    <cellStyle name="Normal 18 8 5 2 5" xfId="38583" xr:uid="{00000000-0005-0000-0000-0000A92A0000}"/>
    <cellStyle name="Normal 18 8 5 3" xfId="10406" xr:uid="{00000000-0005-0000-0000-0000AA2A0000}"/>
    <cellStyle name="Normal 18 8 5 3 2" xfId="33891" xr:uid="{00000000-0005-0000-0000-0000AB2A0000}"/>
    <cellStyle name="Normal 18 8 5 3 3" xfId="24572" xr:uid="{00000000-0005-0000-0000-0000AC2A0000}"/>
    <cellStyle name="Normal 18 8 5 3 4" xfId="47834" xr:uid="{00000000-0005-0000-0000-0000AD2A0000}"/>
    <cellStyle name="Normal 18 8 5 4" xfId="15137" xr:uid="{00000000-0005-0000-0000-0000AE2A0000}"/>
    <cellStyle name="Normal 18 8 5 4 2" xfId="29269" xr:uid="{00000000-0005-0000-0000-0000AF2A0000}"/>
    <cellStyle name="Normal 18 8 5 4 3" xfId="43164" xr:uid="{00000000-0005-0000-0000-0000B02A0000}"/>
    <cellStyle name="Normal 18 8 5 5" xfId="19950" xr:uid="{00000000-0005-0000-0000-0000B12A0000}"/>
    <cellStyle name="Normal 18 8 5 6" xfId="38582" xr:uid="{00000000-0005-0000-0000-0000B22A0000}"/>
    <cellStyle name="Normal 18 8 6" xfId="4528" xr:uid="{00000000-0005-0000-0000-0000B32A0000}"/>
    <cellStyle name="Normal 18 8 6 2" xfId="4529" xr:uid="{00000000-0005-0000-0000-0000B42A0000}"/>
    <cellStyle name="Normal 18 8 6 2 2" xfId="10409" xr:uid="{00000000-0005-0000-0000-0000B52A0000}"/>
    <cellStyle name="Normal 18 8 6 2 2 2" xfId="33894" xr:uid="{00000000-0005-0000-0000-0000B62A0000}"/>
    <cellStyle name="Normal 18 8 6 2 2 3" xfId="24575" xr:uid="{00000000-0005-0000-0000-0000B72A0000}"/>
    <cellStyle name="Normal 18 8 6 2 2 4" xfId="47837" xr:uid="{00000000-0005-0000-0000-0000B82A0000}"/>
    <cellStyle name="Normal 18 8 6 2 3" xfId="15140" xr:uid="{00000000-0005-0000-0000-0000B92A0000}"/>
    <cellStyle name="Normal 18 8 6 2 3 2" xfId="29272" xr:uid="{00000000-0005-0000-0000-0000BA2A0000}"/>
    <cellStyle name="Normal 18 8 6 2 3 3" xfId="43167" xr:uid="{00000000-0005-0000-0000-0000BB2A0000}"/>
    <cellStyle name="Normal 18 8 6 2 4" xfId="19953" xr:uid="{00000000-0005-0000-0000-0000BC2A0000}"/>
    <cellStyle name="Normal 18 8 6 2 5" xfId="38585" xr:uid="{00000000-0005-0000-0000-0000BD2A0000}"/>
    <cellStyle name="Normal 18 8 6 3" xfId="10408" xr:uid="{00000000-0005-0000-0000-0000BE2A0000}"/>
    <cellStyle name="Normal 18 8 6 3 2" xfId="33893" xr:uid="{00000000-0005-0000-0000-0000BF2A0000}"/>
    <cellStyle name="Normal 18 8 6 3 3" xfId="24574" xr:uid="{00000000-0005-0000-0000-0000C02A0000}"/>
    <cellStyle name="Normal 18 8 6 3 4" xfId="47836" xr:uid="{00000000-0005-0000-0000-0000C12A0000}"/>
    <cellStyle name="Normal 18 8 6 4" xfId="15139" xr:uid="{00000000-0005-0000-0000-0000C22A0000}"/>
    <cellStyle name="Normal 18 8 6 4 2" xfId="29271" xr:uid="{00000000-0005-0000-0000-0000C32A0000}"/>
    <cellStyle name="Normal 18 8 6 4 3" xfId="43166" xr:uid="{00000000-0005-0000-0000-0000C42A0000}"/>
    <cellStyle name="Normal 18 8 6 5" xfId="19952" xr:uid="{00000000-0005-0000-0000-0000C52A0000}"/>
    <cellStyle name="Normal 18 8 6 6" xfId="38584" xr:uid="{00000000-0005-0000-0000-0000C62A0000}"/>
    <cellStyle name="Normal 18 8 7" xfId="4530" xr:uid="{00000000-0005-0000-0000-0000C72A0000}"/>
    <cellStyle name="Normal 18 8 7 2" xfId="10410" xr:uid="{00000000-0005-0000-0000-0000C82A0000}"/>
    <cellStyle name="Normal 18 8 7 2 2" xfId="33895" xr:uid="{00000000-0005-0000-0000-0000C92A0000}"/>
    <cellStyle name="Normal 18 8 7 2 3" xfId="24576" xr:uid="{00000000-0005-0000-0000-0000CA2A0000}"/>
    <cellStyle name="Normal 18 8 7 2 4" xfId="47838" xr:uid="{00000000-0005-0000-0000-0000CB2A0000}"/>
    <cellStyle name="Normal 18 8 7 3" xfId="15141" xr:uid="{00000000-0005-0000-0000-0000CC2A0000}"/>
    <cellStyle name="Normal 18 8 7 3 2" xfId="29273" xr:uid="{00000000-0005-0000-0000-0000CD2A0000}"/>
    <cellStyle name="Normal 18 8 7 3 3" xfId="43168" xr:uid="{00000000-0005-0000-0000-0000CE2A0000}"/>
    <cellStyle name="Normal 18 8 7 4" xfId="19954" xr:uid="{00000000-0005-0000-0000-0000CF2A0000}"/>
    <cellStyle name="Normal 18 8 7 5" xfId="38586" xr:uid="{00000000-0005-0000-0000-0000D02A0000}"/>
    <cellStyle name="Normal 18 8 8" xfId="10399" xr:uid="{00000000-0005-0000-0000-0000D12A0000}"/>
    <cellStyle name="Normal 18 8 8 2" xfId="33884" xr:uid="{00000000-0005-0000-0000-0000D22A0000}"/>
    <cellStyle name="Normal 18 8 8 3" xfId="24565" xr:uid="{00000000-0005-0000-0000-0000D32A0000}"/>
    <cellStyle name="Normal 18 8 8 4" xfId="47827" xr:uid="{00000000-0005-0000-0000-0000D42A0000}"/>
    <cellStyle name="Normal 18 8 9" xfId="15130" xr:uid="{00000000-0005-0000-0000-0000D52A0000}"/>
    <cellStyle name="Normal 18 8 9 2" xfId="29262" xr:uid="{00000000-0005-0000-0000-0000D62A0000}"/>
    <cellStyle name="Normal 18 8 9 3" xfId="43157" xr:uid="{00000000-0005-0000-0000-0000D72A0000}"/>
    <cellStyle name="Normal 18 9" xfId="4531" xr:uid="{00000000-0005-0000-0000-0000D82A0000}"/>
    <cellStyle name="Normal 18 9 10" xfId="19955" xr:uid="{00000000-0005-0000-0000-0000D92A0000}"/>
    <cellStyle name="Normal 18 9 11" xfId="38587" xr:uid="{00000000-0005-0000-0000-0000DA2A0000}"/>
    <cellStyle name="Normal 18 9 2" xfId="4532" xr:uid="{00000000-0005-0000-0000-0000DB2A0000}"/>
    <cellStyle name="Normal 18 9 2 2" xfId="4533" xr:uid="{00000000-0005-0000-0000-0000DC2A0000}"/>
    <cellStyle name="Normal 18 9 2 2 2" xfId="10413" xr:uid="{00000000-0005-0000-0000-0000DD2A0000}"/>
    <cellStyle name="Normal 18 9 2 2 2 2" xfId="33898" xr:uid="{00000000-0005-0000-0000-0000DE2A0000}"/>
    <cellStyle name="Normal 18 9 2 2 2 3" xfId="24579" xr:uid="{00000000-0005-0000-0000-0000DF2A0000}"/>
    <cellStyle name="Normal 18 9 2 2 2 4" xfId="47841" xr:uid="{00000000-0005-0000-0000-0000E02A0000}"/>
    <cellStyle name="Normal 18 9 2 2 3" xfId="15144" xr:uid="{00000000-0005-0000-0000-0000E12A0000}"/>
    <cellStyle name="Normal 18 9 2 2 3 2" xfId="29276" xr:uid="{00000000-0005-0000-0000-0000E22A0000}"/>
    <cellStyle name="Normal 18 9 2 2 3 3" xfId="43171" xr:uid="{00000000-0005-0000-0000-0000E32A0000}"/>
    <cellStyle name="Normal 18 9 2 2 4" xfId="19957" xr:uid="{00000000-0005-0000-0000-0000E42A0000}"/>
    <cellStyle name="Normal 18 9 2 2 5" xfId="38589" xr:uid="{00000000-0005-0000-0000-0000E52A0000}"/>
    <cellStyle name="Normal 18 9 2 3" xfId="10412" xr:uid="{00000000-0005-0000-0000-0000E62A0000}"/>
    <cellStyle name="Normal 18 9 2 3 2" xfId="33897" xr:uid="{00000000-0005-0000-0000-0000E72A0000}"/>
    <cellStyle name="Normal 18 9 2 3 3" xfId="24578" xr:uid="{00000000-0005-0000-0000-0000E82A0000}"/>
    <cellStyle name="Normal 18 9 2 3 4" xfId="47840" xr:uid="{00000000-0005-0000-0000-0000E92A0000}"/>
    <cellStyle name="Normal 18 9 2 4" xfId="15143" xr:uid="{00000000-0005-0000-0000-0000EA2A0000}"/>
    <cellStyle name="Normal 18 9 2 4 2" xfId="29275" xr:uid="{00000000-0005-0000-0000-0000EB2A0000}"/>
    <cellStyle name="Normal 18 9 2 4 3" xfId="43170" xr:uid="{00000000-0005-0000-0000-0000EC2A0000}"/>
    <cellStyle name="Normal 18 9 2 5" xfId="19956" xr:uid="{00000000-0005-0000-0000-0000ED2A0000}"/>
    <cellStyle name="Normal 18 9 2 6" xfId="38588" xr:uid="{00000000-0005-0000-0000-0000EE2A0000}"/>
    <cellStyle name="Normal 18 9 3" xfId="4534" xr:uid="{00000000-0005-0000-0000-0000EF2A0000}"/>
    <cellStyle name="Normal 18 9 3 2" xfId="4535" xr:uid="{00000000-0005-0000-0000-0000F02A0000}"/>
    <cellStyle name="Normal 18 9 3 2 2" xfId="10415" xr:uid="{00000000-0005-0000-0000-0000F12A0000}"/>
    <cellStyle name="Normal 18 9 3 2 2 2" xfId="33900" xr:uid="{00000000-0005-0000-0000-0000F22A0000}"/>
    <cellStyle name="Normal 18 9 3 2 2 3" xfId="24581" xr:uid="{00000000-0005-0000-0000-0000F32A0000}"/>
    <cellStyle name="Normal 18 9 3 2 2 4" xfId="47843" xr:uid="{00000000-0005-0000-0000-0000F42A0000}"/>
    <cellStyle name="Normal 18 9 3 2 3" xfId="15146" xr:uid="{00000000-0005-0000-0000-0000F52A0000}"/>
    <cellStyle name="Normal 18 9 3 2 3 2" xfId="29278" xr:uid="{00000000-0005-0000-0000-0000F62A0000}"/>
    <cellStyle name="Normal 18 9 3 2 3 3" xfId="43173" xr:uid="{00000000-0005-0000-0000-0000F72A0000}"/>
    <cellStyle name="Normal 18 9 3 2 4" xfId="19959" xr:uid="{00000000-0005-0000-0000-0000F82A0000}"/>
    <cellStyle name="Normal 18 9 3 2 5" xfId="38591" xr:uid="{00000000-0005-0000-0000-0000F92A0000}"/>
    <cellStyle name="Normal 18 9 3 3" xfId="10414" xr:uid="{00000000-0005-0000-0000-0000FA2A0000}"/>
    <cellStyle name="Normal 18 9 3 3 2" xfId="33899" xr:uid="{00000000-0005-0000-0000-0000FB2A0000}"/>
    <cellStyle name="Normal 18 9 3 3 3" xfId="24580" xr:uid="{00000000-0005-0000-0000-0000FC2A0000}"/>
    <cellStyle name="Normal 18 9 3 3 4" xfId="47842" xr:uid="{00000000-0005-0000-0000-0000FD2A0000}"/>
    <cellStyle name="Normal 18 9 3 4" xfId="15145" xr:uid="{00000000-0005-0000-0000-0000FE2A0000}"/>
    <cellStyle name="Normal 18 9 3 4 2" xfId="29277" xr:uid="{00000000-0005-0000-0000-0000FF2A0000}"/>
    <cellStyle name="Normal 18 9 3 4 3" xfId="43172" xr:uid="{00000000-0005-0000-0000-0000002B0000}"/>
    <cellStyle name="Normal 18 9 3 5" xfId="19958" xr:uid="{00000000-0005-0000-0000-0000012B0000}"/>
    <cellStyle name="Normal 18 9 3 6" xfId="38590" xr:uid="{00000000-0005-0000-0000-0000022B0000}"/>
    <cellStyle name="Normal 18 9 4" xfId="4536" xr:uid="{00000000-0005-0000-0000-0000032B0000}"/>
    <cellStyle name="Normal 18 9 4 2" xfId="4537" xr:uid="{00000000-0005-0000-0000-0000042B0000}"/>
    <cellStyle name="Normal 18 9 4 2 2" xfId="10417" xr:uid="{00000000-0005-0000-0000-0000052B0000}"/>
    <cellStyle name="Normal 18 9 4 2 2 2" xfId="33902" xr:uid="{00000000-0005-0000-0000-0000062B0000}"/>
    <cellStyle name="Normal 18 9 4 2 2 3" xfId="24583" xr:uid="{00000000-0005-0000-0000-0000072B0000}"/>
    <cellStyle name="Normal 18 9 4 2 2 4" xfId="47845" xr:uid="{00000000-0005-0000-0000-0000082B0000}"/>
    <cellStyle name="Normal 18 9 4 2 3" xfId="15148" xr:uid="{00000000-0005-0000-0000-0000092B0000}"/>
    <cellStyle name="Normal 18 9 4 2 3 2" xfId="29280" xr:uid="{00000000-0005-0000-0000-00000A2B0000}"/>
    <cellStyle name="Normal 18 9 4 2 3 3" xfId="43175" xr:uid="{00000000-0005-0000-0000-00000B2B0000}"/>
    <cellStyle name="Normal 18 9 4 2 4" xfId="19961" xr:uid="{00000000-0005-0000-0000-00000C2B0000}"/>
    <cellStyle name="Normal 18 9 4 2 5" xfId="38593" xr:uid="{00000000-0005-0000-0000-00000D2B0000}"/>
    <cellStyle name="Normal 18 9 4 3" xfId="10416" xr:uid="{00000000-0005-0000-0000-00000E2B0000}"/>
    <cellStyle name="Normal 18 9 4 3 2" xfId="33901" xr:uid="{00000000-0005-0000-0000-00000F2B0000}"/>
    <cellStyle name="Normal 18 9 4 3 3" xfId="24582" xr:uid="{00000000-0005-0000-0000-0000102B0000}"/>
    <cellStyle name="Normal 18 9 4 3 4" xfId="47844" xr:uid="{00000000-0005-0000-0000-0000112B0000}"/>
    <cellStyle name="Normal 18 9 4 4" xfId="15147" xr:uid="{00000000-0005-0000-0000-0000122B0000}"/>
    <cellStyle name="Normal 18 9 4 4 2" xfId="29279" xr:uid="{00000000-0005-0000-0000-0000132B0000}"/>
    <cellStyle name="Normal 18 9 4 4 3" xfId="43174" xr:uid="{00000000-0005-0000-0000-0000142B0000}"/>
    <cellStyle name="Normal 18 9 4 5" xfId="19960" xr:uid="{00000000-0005-0000-0000-0000152B0000}"/>
    <cellStyle name="Normal 18 9 4 6" xfId="38592" xr:uid="{00000000-0005-0000-0000-0000162B0000}"/>
    <cellStyle name="Normal 18 9 5" xfId="4538" xr:uid="{00000000-0005-0000-0000-0000172B0000}"/>
    <cellStyle name="Normal 18 9 5 2" xfId="4539" xr:uid="{00000000-0005-0000-0000-0000182B0000}"/>
    <cellStyle name="Normal 18 9 5 2 2" xfId="10419" xr:uid="{00000000-0005-0000-0000-0000192B0000}"/>
    <cellStyle name="Normal 18 9 5 2 2 2" xfId="33904" xr:uid="{00000000-0005-0000-0000-00001A2B0000}"/>
    <cellStyle name="Normal 18 9 5 2 2 3" xfId="24585" xr:uid="{00000000-0005-0000-0000-00001B2B0000}"/>
    <cellStyle name="Normal 18 9 5 2 2 4" xfId="47847" xr:uid="{00000000-0005-0000-0000-00001C2B0000}"/>
    <cellStyle name="Normal 18 9 5 2 3" xfId="15150" xr:uid="{00000000-0005-0000-0000-00001D2B0000}"/>
    <cellStyle name="Normal 18 9 5 2 3 2" xfId="29282" xr:uid="{00000000-0005-0000-0000-00001E2B0000}"/>
    <cellStyle name="Normal 18 9 5 2 3 3" xfId="43177" xr:uid="{00000000-0005-0000-0000-00001F2B0000}"/>
    <cellStyle name="Normal 18 9 5 2 4" xfId="19963" xr:uid="{00000000-0005-0000-0000-0000202B0000}"/>
    <cellStyle name="Normal 18 9 5 2 5" xfId="38595" xr:uid="{00000000-0005-0000-0000-0000212B0000}"/>
    <cellStyle name="Normal 18 9 5 3" xfId="10418" xr:uid="{00000000-0005-0000-0000-0000222B0000}"/>
    <cellStyle name="Normal 18 9 5 3 2" xfId="33903" xr:uid="{00000000-0005-0000-0000-0000232B0000}"/>
    <cellStyle name="Normal 18 9 5 3 3" xfId="24584" xr:uid="{00000000-0005-0000-0000-0000242B0000}"/>
    <cellStyle name="Normal 18 9 5 3 4" xfId="47846" xr:uid="{00000000-0005-0000-0000-0000252B0000}"/>
    <cellStyle name="Normal 18 9 5 4" xfId="15149" xr:uid="{00000000-0005-0000-0000-0000262B0000}"/>
    <cellStyle name="Normal 18 9 5 4 2" xfId="29281" xr:uid="{00000000-0005-0000-0000-0000272B0000}"/>
    <cellStyle name="Normal 18 9 5 4 3" xfId="43176" xr:uid="{00000000-0005-0000-0000-0000282B0000}"/>
    <cellStyle name="Normal 18 9 5 5" xfId="19962" xr:uid="{00000000-0005-0000-0000-0000292B0000}"/>
    <cellStyle name="Normal 18 9 5 6" xfId="38594" xr:uid="{00000000-0005-0000-0000-00002A2B0000}"/>
    <cellStyle name="Normal 18 9 6" xfId="4540" xr:uid="{00000000-0005-0000-0000-00002B2B0000}"/>
    <cellStyle name="Normal 18 9 6 2" xfId="4541" xr:uid="{00000000-0005-0000-0000-00002C2B0000}"/>
    <cellStyle name="Normal 18 9 6 2 2" xfId="10421" xr:uid="{00000000-0005-0000-0000-00002D2B0000}"/>
    <cellStyle name="Normal 18 9 6 2 2 2" xfId="33906" xr:uid="{00000000-0005-0000-0000-00002E2B0000}"/>
    <cellStyle name="Normal 18 9 6 2 2 3" xfId="24587" xr:uid="{00000000-0005-0000-0000-00002F2B0000}"/>
    <cellStyle name="Normal 18 9 6 2 2 4" xfId="47849" xr:uid="{00000000-0005-0000-0000-0000302B0000}"/>
    <cellStyle name="Normal 18 9 6 2 3" xfId="15152" xr:uid="{00000000-0005-0000-0000-0000312B0000}"/>
    <cellStyle name="Normal 18 9 6 2 3 2" xfId="29284" xr:uid="{00000000-0005-0000-0000-0000322B0000}"/>
    <cellStyle name="Normal 18 9 6 2 3 3" xfId="43179" xr:uid="{00000000-0005-0000-0000-0000332B0000}"/>
    <cellStyle name="Normal 18 9 6 2 4" xfId="19965" xr:uid="{00000000-0005-0000-0000-0000342B0000}"/>
    <cellStyle name="Normal 18 9 6 2 5" xfId="38597" xr:uid="{00000000-0005-0000-0000-0000352B0000}"/>
    <cellStyle name="Normal 18 9 6 3" xfId="10420" xr:uid="{00000000-0005-0000-0000-0000362B0000}"/>
    <cellStyle name="Normal 18 9 6 3 2" xfId="33905" xr:uid="{00000000-0005-0000-0000-0000372B0000}"/>
    <cellStyle name="Normal 18 9 6 3 3" xfId="24586" xr:uid="{00000000-0005-0000-0000-0000382B0000}"/>
    <cellStyle name="Normal 18 9 6 3 4" xfId="47848" xr:uid="{00000000-0005-0000-0000-0000392B0000}"/>
    <cellStyle name="Normal 18 9 6 4" xfId="15151" xr:uid="{00000000-0005-0000-0000-00003A2B0000}"/>
    <cellStyle name="Normal 18 9 6 4 2" xfId="29283" xr:uid="{00000000-0005-0000-0000-00003B2B0000}"/>
    <cellStyle name="Normal 18 9 6 4 3" xfId="43178" xr:uid="{00000000-0005-0000-0000-00003C2B0000}"/>
    <cellStyle name="Normal 18 9 6 5" xfId="19964" xr:uid="{00000000-0005-0000-0000-00003D2B0000}"/>
    <cellStyle name="Normal 18 9 6 6" xfId="38596" xr:uid="{00000000-0005-0000-0000-00003E2B0000}"/>
    <cellStyle name="Normal 18 9 7" xfId="4542" xr:uid="{00000000-0005-0000-0000-00003F2B0000}"/>
    <cellStyle name="Normal 18 9 7 2" xfId="10422" xr:uid="{00000000-0005-0000-0000-0000402B0000}"/>
    <cellStyle name="Normal 18 9 7 2 2" xfId="33907" xr:uid="{00000000-0005-0000-0000-0000412B0000}"/>
    <cellStyle name="Normal 18 9 7 2 3" xfId="24588" xr:uid="{00000000-0005-0000-0000-0000422B0000}"/>
    <cellStyle name="Normal 18 9 7 2 4" xfId="47850" xr:uid="{00000000-0005-0000-0000-0000432B0000}"/>
    <cellStyle name="Normal 18 9 7 3" xfId="15153" xr:uid="{00000000-0005-0000-0000-0000442B0000}"/>
    <cellStyle name="Normal 18 9 7 3 2" xfId="29285" xr:uid="{00000000-0005-0000-0000-0000452B0000}"/>
    <cellStyle name="Normal 18 9 7 3 3" xfId="43180" xr:uid="{00000000-0005-0000-0000-0000462B0000}"/>
    <cellStyle name="Normal 18 9 7 4" xfId="19966" xr:uid="{00000000-0005-0000-0000-0000472B0000}"/>
    <cellStyle name="Normal 18 9 7 5" xfId="38598" xr:uid="{00000000-0005-0000-0000-0000482B0000}"/>
    <cellStyle name="Normal 18 9 8" xfId="10411" xr:uid="{00000000-0005-0000-0000-0000492B0000}"/>
    <cellStyle name="Normal 18 9 8 2" xfId="33896" xr:uid="{00000000-0005-0000-0000-00004A2B0000}"/>
    <cellStyle name="Normal 18 9 8 3" xfId="24577" xr:uid="{00000000-0005-0000-0000-00004B2B0000}"/>
    <cellStyle name="Normal 18 9 8 4" xfId="47839" xr:uid="{00000000-0005-0000-0000-00004C2B0000}"/>
    <cellStyle name="Normal 18 9 9" xfId="15142" xr:uid="{00000000-0005-0000-0000-00004D2B0000}"/>
    <cellStyle name="Normal 18 9 9 2" xfId="29274" xr:uid="{00000000-0005-0000-0000-00004E2B0000}"/>
    <cellStyle name="Normal 18 9 9 3" xfId="43169" xr:uid="{00000000-0005-0000-0000-00004F2B0000}"/>
    <cellStyle name="Normal 180" xfId="149" xr:uid="{00000000-0005-0000-0000-0000502B0000}"/>
    <cellStyle name="Normal 181" xfId="150" xr:uid="{00000000-0005-0000-0000-0000512B0000}"/>
    <cellStyle name="Normal 182" xfId="151" xr:uid="{00000000-0005-0000-0000-0000522B0000}"/>
    <cellStyle name="Normal 183" xfId="152" xr:uid="{00000000-0005-0000-0000-0000532B0000}"/>
    <cellStyle name="Normal 184" xfId="153" xr:uid="{00000000-0005-0000-0000-0000542B0000}"/>
    <cellStyle name="Normal 185" xfId="154" xr:uid="{00000000-0005-0000-0000-0000552B0000}"/>
    <cellStyle name="Normal 186" xfId="155" xr:uid="{00000000-0005-0000-0000-0000562B0000}"/>
    <cellStyle name="Normal 187" xfId="156" xr:uid="{00000000-0005-0000-0000-0000572B0000}"/>
    <cellStyle name="Normal 188" xfId="157" xr:uid="{00000000-0005-0000-0000-0000582B0000}"/>
    <cellStyle name="Normal 189" xfId="158" xr:uid="{00000000-0005-0000-0000-0000592B0000}"/>
    <cellStyle name="Normal 19" xfId="159" xr:uid="{00000000-0005-0000-0000-00005A2B0000}"/>
    <cellStyle name="Normal 19 10" xfId="4543" xr:uid="{00000000-0005-0000-0000-00005B2B0000}"/>
    <cellStyle name="Normal 19 11" xfId="4544" xr:uid="{00000000-0005-0000-0000-00005C2B0000}"/>
    <cellStyle name="Normal 19 12" xfId="4545" xr:uid="{00000000-0005-0000-0000-00005D2B0000}"/>
    <cellStyle name="Normal 19 13" xfId="4546" xr:uid="{00000000-0005-0000-0000-00005E2B0000}"/>
    <cellStyle name="Normal 19 14" xfId="4547" xr:uid="{00000000-0005-0000-0000-00005F2B0000}"/>
    <cellStyle name="Normal 19 15" xfId="4548" xr:uid="{00000000-0005-0000-0000-0000602B0000}"/>
    <cellStyle name="Normal 19 16" xfId="408" xr:uid="{00000000-0005-0000-0000-0000612B0000}"/>
    <cellStyle name="Normal 19 2" xfId="4549" xr:uid="{00000000-0005-0000-0000-0000622B0000}"/>
    <cellStyle name="Normal 19 2 10" xfId="19967" xr:uid="{00000000-0005-0000-0000-0000632B0000}"/>
    <cellStyle name="Normal 19 2 11" xfId="38599" xr:uid="{00000000-0005-0000-0000-0000642B0000}"/>
    <cellStyle name="Normal 19 2 2" xfId="4550" xr:uid="{00000000-0005-0000-0000-0000652B0000}"/>
    <cellStyle name="Normal 19 2 2 2" xfId="4551" xr:uid="{00000000-0005-0000-0000-0000662B0000}"/>
    <cellStyle name="Normal 19 2 2 2 2" xfId="10425" xr:uid="{00000000-0005-0000-0000-0000672B0000}"/>
    <cellStyle name="Normal 19 2 2 2 2 2" xfId="33910" xr:uid="{00000000-0005-0000-0000-0000682B0000}"/>
    <cellStyle name="Normal 19 2 2 2 2 3" xfId="24591" xr:uid="{00000000-0005-0000-0000-0000692B0000}"/>
    <cellStyle name="Normal 19 2 2 2 2 4" xfId="47853" xr:uid="{00000000-0005-0000-0000-00006A2B0000}"/>
    <cellStyle name="Normal 19 2 2 2 3" xfId="15156" xr:uid="{00000000-0005-0000-0000-00006B2B0000}"/>
    <cellStyle name="Normal 19 2 2 2 3 2" xfId="29288" xr:uid="{00000000-0005-0000-0000-00006C2B0000}"/>
    <cellStyle name="Normal 19 2 2 2 3 3" xfId="43183" xr:uid="{00000000-0005-0000-0000-00006D2B0000}"/>
    <cellStyle name="Normal 19 2 2 2 4" xfId="19969" xr:uid="{00000000-0005-0000-0000-00006E2B0000}"/>
    <cellStyle name="Normal 19 2 2 2 5" xfId="38601" xr:uid="{00000000-0005-0000-0000-00006F2B0000}"/>
    <cellStyle name="Normal 19 2 2 3" xfId="10424" xr:uid="{00000000-0005-0000-0000-0000702B0000}"/>
    <cellStyle name="Normal 19 2 2 3 2" xfId="33909" xr:uid="{00000000-0005-0000-0000-0000712B0000}"/>
    <cellStyle name="Normal 19 2 2 3 3" xfId="24590" xr:uid="{00000000-0005-0000-0000-0000722B0000}"/>
    <cellStyle name="Normal 19 2 2 3 4" xfId="47852" xr:uid="{00000000-0005-0000-0000-0000732B0000}"/>
    <cellStyle name="Normal 19 2 2 4" xfId="15155" xr:uid="{00000000-0005-0000-0000-0000742B0000}"/>
    <cellStyle name="Normal 19 2 2 4 2" xfId="29287" xr:uid="{00000000-0005-0000-0000-0000752B0000}"/>
    <cellStyle name="Normal 19 2 2 4 3" xfId="43182" xr:uid="{00000000-0005-0000-0000-0000762B0000}"/>
    <cellStyle name="Normal 19 2 2 5" xfId="19968" xr:uid="{00000000-0005-0000-0000-0000772B0000}"/>
    <cellStyle name="Normal 19 2 2 6" xfId="38600" xr:uid="{00000000-0005-0000-0000-0000782B0000}"/>
    <cellStyle name="Normal 19 2 3" xfId="4552" xr:uid="{00000000-0005-0000-0000-0000792B0000}"/>
    <cellStyle name="Normal 19 2 3 2" xfId="4553" xr:uid="{00000000-0005-0000-0000-00007A2B0000}"/>
    <cellStyle name="Normal 19 2 3 2 2" xfId="10427" xr:uid="{00000000-0005-0000-0000-00007B2B0000}"/>
    <cellStyle name="Normal 19 2 3 2 2 2" xfId="33912" xr:uid="{00000000-0005-0000-0000-00007C2B0000}"/>
    <cellStyle name="Normal 19 2 3 2 2 3" xfId="24593" xr:uid="{00000000-0005-0000-0000-00007D2B0000}"/>
    <cellStyle name="Normal 19 2 3 2 2 4" xfId="47855" xr:uid="{00000000-0005-0000-0000-00007E2B0000}"/>
    <cellStyle name="Normal 19 2 3 2 3" xfId="15158" xr:uid="{00000000-0005-0000-0000-00007F2B0000}"/>
    <cellStyle name="Normal 19 2 3 2 3 2" xfId="29290" xr:uid="{00000000-0005-0000-0000-0000802B0000}"/>
    <cellStyle name="Normal 19 2 3 2 3 3" xfId="43185" xr:uid="{00000000-0005-0000-0000-0000812B0000}"/>
    <cellStyle name="Normal 19 2 3 2 4" xfId="19971" xr:uid="{00000000-0005-0000-0000-0000822B0000}"/>
    <cellStyle name="Normal 19 2 3 2 5" xfId="38603" xr:uid="{00000000-0005-0000-0000-0000832B0000}"/>
    <cellStyle name="Normal 19 2 3 3" xfId="10426" xr:uid="{00000000-0005-0000-0000-0000842B0000}"/>
    <cellStyle name="Normal 19 2 3 3 2" xfId="33911" xr:uid="{00000000-0005-0000-0000-0000852B0000}"/>
    <cellStyle name="Normal 19 2 3 3 3" xfId="24592" xr:uid="{00000000-0005-0000-0000-0000862B0000}"/>
    <cellStyle name="Normal 19 2 3 3 4" xfId="47854" xr:uid="{00000000-0005-0000-0000-0000872B0000}"/>
    <cellStyle name="Normal 19 2 3 4" xfId="15157" xr:uid="{00000000-0005-0000-0000-0000882B0000}"/>
    <cellStyle name="Normal 19 2 3 4 2" xfId="29289" xr:uid="{00000000-0005-0000-0000-0000892B0000}"/>
    <cellStyle name="Normal 19 2 3 4 3" xfId="43184" xr:uid="{00000000-0005-0000-0000-00008A2B0000}"/>
    <cellStyle name="Normal 19 2 3 5" xfId="19970" xr:uid="{00000000-0005-0000-0000-00008B2B0000}"/>
    <cellStyle name="Normal 19 2 3 6" xfId="38602" xr:uid="{00000000-0005-0000-0000-00008C2B0000}"/>
    <cellStyle name="Normal 19 2 4" xfId="4554" xr:uid="{00000000-0005-0000-0000-00008D2B0000}"/>
    <cellStyle name="Normal 19 2 4 2" xfId="4555" xr:uid="{00000000-0005-0000-0000-00008E2B0000}"/>
    <cellStyle name="Normal 19 2 4 2 2" xfId="10429" xr:uid="{00000000-0005-0000-0000-00008F2B0000}"/>
    <cellStyle name="Normal 19 2 4 2 2 2" xfId="33914" xr:uid="{00000000-0005-0000-0000-0000902B0000}"/>
    <cellStyle name="Normal 19 2 4 2 2 3" xfId="24595" xr:uid="{00000000-0005-0000-0000-0000912B0000}"/>
    <cellStyle name="Normal 19 2 4 2 2 4" xfId="47857" xr:uid="{00000000-0005-0000-0000-0000922B0000}"/>
    <cellStyle name="Normal 19 2 4 2 3" xfId="15160" xr:uid="{00000000-0005-0000-0000-0000932B0000}"/>
    <cellStyle name="Normal 19 2 4 2 3 2" xfId="29292" xr:uid="{00000000-0005-0000-0000-0000942B0000}"/>
    <cellStyle name="Normal 19 2 4 2 3 3" xfId="43187" xr:uid="{00000000-0005-0000-0000-0000952B0000}"/>
    <cellStyle name="Normal 19 2 4 2 4" xfId="19973" xr:uid="{00000000-0005-0000-0000-0000962B0000}"/>
    <cellStyle name="Normal 19 2 4 2 5" xfId="38605" xr:uid="{00000000-0005-0000-0000-0000972B0000}"/>
    <cellStyle name="Normal 19 2 4 3" xfId="10428" xr:uid="{00000000-0005-0000-0000-0000982B0000}"/>
    <cellStyle name="Normal 19 2 4 3 2" xfId="33913" xr:uid="{00000000-0005-0000-0000-0000992B0000}"/>
    <cellStyle name="Normal 19 2 4 3 3" xfId="24594" xr:uid="{00000000-0005-0000-0000-00009A2B0000}"/>
    <cellStyle name="Normal 19 2 4 3 4" xfId="47856" xr:uid="{00000000-0005-0000-0000-00009B2B0000}"/>
    <cellStyle name="Normal 19 2 4 4" xfId="15159" xr:uid="{00000000-0005-0000-0000-00009C2B0000}"/>
    <cellStyle name="Normal 19 2 4 4 2" xfId="29291" xr:uid="{00000000-0005-0000-0000-00009D2B0000}"/>
    <cellStyle name="Normal 19 2 4 4 3" xfId="43186" xr:uid="{00000000-0005-0000-0000-00009E2B0000}"/>
    <cellStyle name="Normal 19 2 4 5" xfId="19972" xr:uid="{00000000-0005-0000-0000-00009F2B0000}"/>
    <cellStyle name="Normal 19 2 4 6" xfId="38604" xr:uid="{00000000-0005-0000-0000-0000A02B0000}"/>
    <cellStyle name="Normal 19 2 5" xfId="4556" xr:uid="{00000000-0005-0000-0000-0000A12B0000}"/>
    <cellStyle name="Normal 19 2 5 2" xfId="4557" xr:uid="{00000000-0005-0000-0000-0000A22B0000}"/>
    <cellStyle name="Normal 19 2 5 2 2" xfId="10431" xr:uid="{00000000-0005-0000-0000-0000A32B0000}"/>
    <cellStyle name="Normal 19 2 5 2 2 2" xfId="33916" xr:uid="{00000000-0005-0000-0000-0000A42B0000}"/>
    <cellStyle name="Normal 19 2 5 2 2 3" xfId="24597" xr:uid="{00000000-0005-0000-0000-0000A52B0000}"/>
    <cellStyle name="Normal 19 2 5 2 2 4" xfId="47859" xr:uid="{00000000-0005-0000-0000-0000A62B0000}"/>
    <cellStyle name="Normal 19 2 5 2 3" xfId="15162" xr:uid="{00000000-0005-0000-0000-0000A72B0000}"/>
    <cellStyle name="Normal 19 2 5 2 3 2" xfId="29294" xr:uid="{00000000-0005-0000-0000-0000A82B0000}"/>
    <cellStyle name="Normal 19 2 5 2 3 3" xfId="43189" xr:uid="{00000000-0005-0000-0000-0000A92B0000}"/>
    <cellStyle name="Normal 19 2 5 2 4" xfId="19975" xr:uid="{00000000-0005-0000-0000-0000AA2B0000}"/>
    <cellStyle name="Normal 19 2 5 2 5" xfId="38607" xr:uid="{00000000-0005-0000-0000-0000AB2B0000}"/>
    <cellStyle name="Normal 19 2 5 3" xfId="10430" xr:uid="{00000000-0005-0000-0000-0000AC2B0000}"/>
    <cellStyle name="Normal 19 2 5 3 2" xfId="33915" xr:uid="{00000000-0005-0000-0000-0000AD2B0000}"/>
    <cellStyle name="Normal 19 2 5 3 3" xfId="24596" xr:uid="{00000000-0005-0000-0000-0000AE2B0000}"/>
    <cellStyle name="Normal 19 2 5 3 4" xfId="47858" xr:uid="{00000000-0005-0000-0000-0000AF2B0000}"/>
    <cellStyle name="Normal 19 2 5 4" xfId="15161" xr:uid="{00000000-0005-0000-0000-0000B02B0000}"/>
    <cellStyle name="Normal 19 2 5 4 2" xfId="29293" xr:uid="{00000000-0005-0000-0000-0000B12B0000}"/>
    <cellStyle name="Normal 19 2 5 4 3" xfId="43188" xr:uid="{00000000-0005-0000-0000-0000B22B0000}"/>
    <cellStyle name="Normal 19 2 5 5" xfId="19974" xr:uid="{00000000-0005-0000-0000-0000B32B0000}"/>
    <cellStyle name="Normal 19 2 5 6" xfId="38606" xr:uid="{00000000-0005-0000-0000-0000B42B0000}"/>
    <cellStyle name="Normal 19 2 6" xfId="4558" xr:uid="{00000000-0005-0000-0000-0000B52B0000}"/>
    <cellStyle name="Normal 19 2 6 2" xfId="4559" xr:uid="{00000000-0005-0000-0000-0000B62B0000}"/>
    <cellStyle name="Normal 19 2 6 2 2" xfId="10433" xr:uid="{00000000-0005-0000-0000-0000B72B0000}"/>
    <cellStyle name="Normal 19 2 6 2 2 2" xfId="33918" xr:uid="{00000000-0005-0000-0000-0000B82B0000}"/>
    <cellStyle name="Normal 19 2 6 2 2 3" xfId="24599" xr:uid="{00000000-0005-0000-0000-0000B92B0000}"/>
    <cellStyle name="Normal 19 2 6 2 2 4" xfId="47861" xr:uid="{00000000-0005-0000-0000-0000BA2B0000}"/>
    <cellStyle name="Normal 19 2 6 2 3" xfId="15164" xr:uid="{00000000-0005-0000-0000-0000BB2B0000}"/>
    <cellStyle name="Normal 19 2 6 2 3 2" xfId="29296" xr:uid="{00000000-0005-0000-0000-0000BC2B0000}"/>
    <cellStyle name="Normal 19 2 6 2 3 3" xfId="43191" xr:uid="{00000000-0005-0000-0000-0000BD2B0000}"/>
    <cellStyle name="Normal 19 2 6 2 4" xfId="19977" xr:uid="{00000000-0005-0000-0000-0000BE2B0000}"/>
    <cellStyle name="Normal 19 2 6 2 5" xfId="38609" xr:uid="{00000000-0005-0000-0000-0000BF2B0000}"/>
    <cellStyle name="Normal 19 2 6 3" xfId="10432" xr:uid="{00000000-0005-0000-0000-0000C02B0000}"/>
    <cellStyle name="Normal 19 2 6 3 2" xfId="33917" xr:uid="{00000000-0005-0000-0000-0000C12B0000}"/>
    <cellStyle name="Normal 19 2 6 3 3" xfId="24598" xr:uid="{00000000-0005-0000-0000-0000C22B0000}"/>
    <cellStyle name="Normal 19 2 6 3 4" xfId="47860" xr:uid="{00000000-0005-0000-0000-0000C32B0000}"/>
    <cellStyle name="Normal 19 2 6 4" xfId="15163" xr:uid="{00000000-0005-0000-0000-0000C42B0000}"/>
    <cellStyle name="Normal 19 2 6 4 2" xfId="29295" xr:uid="{00000000-0005-0000-0000-0000C52B0000}"/>
    <cellStyle name="Normal 19 2 6 4 3" xfId="43190" xr:uid="{00000000-0005-0000-0000-0000C62B0000}"/>
    <cellStyle name="Normal 19 2 6 5" xfId="19976" xr:uid="{00000000-0005-0000-0000-0000C72B0000}"/>
    <cellStyle name="Normal 19 2 6 6" xfId="38608" xr:uid="{00000000-0005-0000-0000-0000C82B0000}"/>
    <cellStyle name="Normal 19 2 7" xfId="4560" xr:uid="{00000000-0005-0000-0000-0000C92B0000}"/>
    <cellStyle name="Normal 19 2 7 2" xfId="10434" xr:uid="{00000000-0005-0000-0000-0000CA2B0000}"/>
    <cellStyle name="Normal 19 2 7 2 2" xfId="33919" xr:uid="{00000000-0005-0000-0000-0000CB2B0000}"/>
    <cellStyle name="Normal 19 2 7 2 3" xfId="24600" xr:uid="{00000000-0005-0000-0000-0000CC2B0000}"/>
    <cellStyle name="Normal 19 2 7 2 4" xfId="47862" xr:uid="{00000000-0005-0000-0000-0000CD2B0000}"/>
    <cellStyle name="Normal 19 2 7 3" xfId="15165" xr:uid="{00000000-0005-0000-0000-0000CE2B0000}"/>
    <cellStyle name="Normal 19 2 7 3 2" xfId="29297" xr:uid="{00000000-0005-0000-0000-0000CF2B0000}"/>
    <cellStyle name="Normal 19 2 7 3 3" xfId="43192" xr:uid="{00000000-0005-0000-0000-0000D02B0000}"/>
    <cellStyle name="Normal 19 2 7 4" xfId="19978" xr:uid="{00000000-0005-0000-0000-0000D12B0000}"/>
    <cellStyle name="Normal 19 2 7 5" xfId="38610" xr:uid="{00000000-0005-0000-0000-0000D22B0000}"/>
    <cellStyle name="Normal 19 2 8" xfId="10423" xr:uid="{00000000-0005-0000-0000-0000D32B0000}"/>
    <cellStyle name="Normal 19 2 8 2" xfId="33908" xr:uid="{00000000-0005-0000-0000-0000D42B0000}"/>
    <cellStyle name="Normal 19 2 8 3" xfId="24589" xr:uid="{00000000-0005-0000-0000-0000D52B0000}"/>
    <cellStyle name="Normal 19 2 8 4" xfId="47851" xr:uid="{00000000-0005-0000-0000-0000D62B0000}"/>
    <cellStyle name="Normal 19 2 9" xfId="15154" xr:uid="{00000000-0005-0000-0000-0000D72B0000}"/>
    <cellStyle name="Normal 19 2 9 2" xfId="29286" xr:uid="{00000000-0005-0000-0000-0000D82B0000}"/>
    <cellStyle name="Normal 19 2 9 3" xfId="43181" xr:uid="{00000000-0005-0000-0000-0000D92B0000}"/>
    <cellStyle name="Normal 19 3" xfId="4561" xr:uid="{00000000-0005-0000-0000-0000DA2B0000}"/>
    <cellStyle name="Normal 19 3 10" xfId="19979" xr:uid="{00000000-0005-0000-0000-0000DB2B0000}"/>
    <cellStyle name="Normal 19 3 11" xfId="38611" xr:uid="{00000000-0005-0000-0000-0000DC2B0000}"/>
    <cellStyle name="Normal 19 3 2" xfId="4562" xr:uid="{00000000-0005-0000-0000-0000DD2B0000}"/>
    <cellStyle name="Normal 19 3 2 2" xfId="4563" xr:uid="{00000000-0005-0000-0000-0000DE2B0000}"/>
    <cellStyle name="Normal 19 3 2 2 2" xfId="10437" xr:uid="{00000000-0005-0000-0000-0000DF2B0000}"/>
    <cellStyle name="Normal 19 3 2 2 2 2" xfId="33922" xr:uid="{00000000-0005-0000-0000-0000E02B0000}"/>
    <cellStyle name="Normal 19 3 2 2 2 3" xfId="24603" xr:uid="{00000000-0005-0000-0000-0000E12B0000}"/>
    <cellStyle name="Normal 19 3 2 2 2 4" xfId="47865" xr:uid="{00000000-0005-0000-0000-0000E22B0000}"/>
    <cellStyle name="Normal 19 3 2 2 3" xfId="15168" xr:uid="{00000000-0005-0000-0000-0000E32B0000}"/>
    <cellStyle name="Normal 19 3 2 2 3 2" xfId="29300" xr:uid="{00000000-0005-0000-0000-0000E42B0000}"/>
    <cellStyle name="Normal 19 3 2 2 3 3" xfId="43195" xr:uid="{00000000-0005-0000-0000-0000E52B0000}"/>
    <cellStyle name="Normal 19 3 2 2 4" xfId="19981" xr:uid="{00000000-0005-0000-0000-0000E62B0000}"/>
    <cellStyle name="Normal 19 3 2 2 5" xfId="38613" xr:uid="{00000000-0005-0000-0000-0000E72B0000}"/>
    <cellStyle name="Normal 19 3 2 3" xfId="10436" xr:uid="{00000000-0005-0000-0000-0000E82B0000}"/>
    <cellStyle name="Normal 19 3 2 3 2" xfId="33921" xr:uid="{00000000-0005-0000-0000-0000E92B0000}"/>
    <cellStyle name="Normal 19 3 2 3 3" xfId="24602" xr:uid="{00000000-0005-0000-0000-0000EA2B0000}"/>
    <cellStyle name="Normal 19 3 2 3 4" xfId="47864" xr:uid="{00000000-0005-0000-0000-0000EB2B0000}"/>
    <cellStyle name="Normal 19 3 2 4" xfId="15167" xr:uid="{00000000-0005-0000-0000-0000EC2B0000}"/>
    <cellStyle name="Normal 19 3 2 4 2" xfId="29299" xr:uid="{00000000-0005-0000-0000-0000ED2B0000}"/>
    <cellStyle name="Normal 19 3 2 4 3" xfId="43194" xr:uid="{00000000-0005-0000-0000-0000EE2B0000}"/>
    <cellStyle name="Normal 19 3 2 5" xfId="19980" xr:uid="{00000000-0005-0000-0000-0000EF2B0000}"/>
    <cellStyle name="Normal 19 3 2 6" xfId="38612" xr:uid="{00000000-0005-0000-0000-0000F02B0000}"/>
    <cellStyle name="Normal 19 3 3" xfId="4564" xr:uid="{00000000-0005-0000-0000-0000F12B0000}"/>
    <cellStyle name="Normal 19 3 3 2" xfId="4565" xr:uid="{00000000-0005-0000-0000-0000F22B0000}"/>
    <cellStyle name="Normal 19 3 3 2 2" xfId="10439" xr:uid="{00000000-0005-0000-0000-0000F32B0000}"/>
    <cellStyle name="Normal 19 3 3 2 2 2" xfId="33924" xr:uid="{00000000-0005-0000-0000-0000F42B0000}"/>
    <cellStyle name="Normal 19 3 3 2 2 3" xfId="24605" xr:uid="{00000000-0005-0000-0000-0000F52B0000}"/>
    <cellStyle name="Normal 19 3 3 2 2 4" xfId="47867" xr:uid="{00000000-0005-0000-0000-0000F62B0000}"/>
    <cellStyle name="Normal 19 3 3 2 3" xfId="15170" xr:uid="{00000000-0005-0000-0000-0000F72B0000}"/>
    <cellStyle name="Normal 19 3 3 2 3 2" xfId="29302" xr:uid="{00000000-0005-0000-0000-0000F82B0000}"/>
    <cellStyle name="Normal 19 3 3 2 3 3" xfId="43197" xr:uid="{00000000-0005-0000-0000-0000F92B0000}"/>
    <cellStyle name="Normal 19 3 3 2 4" xfId="19983" xr:uid="{00000000-0005-0000-0000-0000FA2B0000}"/>
    <cellStyle name="Normal 19 3 3 2 5" xfId="38615" xr:uid="{00000000-0005-0000-0000-0000FB2B0000}"/>
    <cellStyle name="Normal 19 3 3 3" xfId="10438" xr:uid="{00000000-0005-0000-0000-0000FC2B0000}"/>
    <cellStyle name="Normal 19 3 3 3 2" xfId="33923" xr:uid="{00000000-0005-0000-0000-0000FD2B0000}"/>
    <cellStyle name="Normal 19 3 3 3 3" xfId="24604" xr:uid="{00000000-0005-0000-0000-0000FE2B0000}"/>
    <cellStyle name="Normal 19 3 3 3 4" xfId="47866" xr:uid="{00000000-0005-0000-0000-0000FF2B0000}"/>
    <cellStyle name="Normal 19 3 3 4" xfId="15169" xr:uid="{00000000-0005-0000-0000-0000002C0000}"/>
    <cellStyle name="Normal 19 3 3 4 2" xfId="29301" xr:uid="{00000000-0005-0000-0000-0000012C0000}"/>
    <cellStyle name="Normal 19 3 3 4 3" xfId="43196" xr:uid="{00000000-0005-0000-0000-0000022C0000}"/>
    <cellStyle name="Normal 19 3 3 5" xfId="19982" xr:uid="{00000000-0005-0000-0000-0000032C0000}"/>
    <cellStyle name="Normal 19 3 3 6" xfId="38614" xr:uid="{00000000-0005-0000-0000-0000042C0000}"/>
    <cellStyle name="Normal 19 3 4" xfId="4566" xr:uid="{00000000-0005-0000-0000-0000052C0000}"/>
    <cellStyle name="Normal 19 3 4 2" xfId="4567" xr:uid="{00000000-0005-0000-0000-0000062C0000}"/>
    <cellStyle name="Normal 19 3 4 2 2" xfId="10441" xr:uid="{00000000-0005-0000-0000-0000072C0000}"/>
    <cellStyle name="Normal 19 3 4 2 2 2" xfId="33926" xr:uid="{00000000-0005-0000-0000-0000082C0000}"/>
    <cellStyle name="Normal 19 3 4 2 2 3" xfId="24607" xr:uid="{00000000-0005-0000-0000-0000092C0000}"/>
    <cellStyle name="Normal 19 3 4 2 2 4" xfId="47869" xr:uid="{00000000-0005-0000-0000-00000A2C0000}"/>
    <cellStyle name="Normal 19 3 4 2 3" xfId="15172" xr:uid="{00000000-0005-0000-0000-00000B2C0000}"/>
    <cellStyle name="Normal 19 3 4 2 3 2" xfId="29304" xr:uid="{00000000-0005-0000-0000-00000C2C0000}"/>
    <cellStyle name="Normal 19 3 4 2 3 3" xfId="43199" xr:uid="{00000000-0005-0000-0000-00000D2C0000}"/>
    <cellStyle name="Normal 19 3 4 2 4" xfId="19985" xr:uid="{00000000-0005-0000-0000-00000E2C0000}"/>
    <cellStyle name="Normal 19 3 4 2 5" xfId="38617" xr:uid="{00000000-0005-0000-0000-00000F2C0000}"/>
    <cellStyle name="Normal 19 3 4 3" xfId="10440" xr:uid="{00000000-0005-0000-0000-0000102C0000}"/>
    <cellStyle name="Normal 19 3 4 3 2" xfId="33925" xr:uid="{00000000-0005-0000-0000-0000112C0000}"/>
    <cellStyle name="Normal 19 3 4 3 3" xfId="24606" xr:uid="{00000000-0005-0000-0000-0000122C0000}"/>
    <cellStyle name="Normal 19 3 4 3 4" xfId="47868" xr:uid="{00000000-0005-0000-0000-0000132C0000}"/>
    <cellStyle name="Normal 19 3 4 4" xfId="15171" xr:uid="{00000000-0005-0000-0000-0000142C0000}"/>
    <cellStyle name="Normal 19 3 4 4 2" xfId="29303" xr:uid="{00000000-0005-0000-0000-0000152C0000}"/>
    <cellStyle name="Normal 19 3 4 4 3" xfId="43198" xr:uid="{00000000-0005-0000-0000-0000162C0000}"/>
    <cellStyle name="Normal 19 3 4 5" xfId="19984" xr:uid="{00000000-0005-0000-0000-0000172C0000}"/>
    <cellStyle name="Normal 19 3 4 6" xfId="38616" xr:uid="{00000000-0005-0000-0000-0000182C0000}"/>
    <cellStyle name="Normal 19 3 5" xfId="4568" xr:uid="{00000000-0005-0000-0000-0000192C0000}"/>
    <cellStyle name="Normal 19 3 5 2" xfId="4569" xr:uid="{00000000-0005-0000-0000-00001A2C0000}"/>
    <cellStyle name="Normal 19 3 5 2 2" xfId="10443" xr:uid="{00000000-0005-0000-0000-00001B2C0000}"/>
    <cellStyle name="Normal 19 3 5 2 2 2" xfId="33928" xr:uid="{00000000-0005-0000-0000-00001C2C0000}"/>
    <cellStyle name="Normal 19 3 5 2 2 3" xfId="24609" xr:uid="{00000000-0005-0000-0000-00001D2C0000}"/>
    <cellStyle name="Normal 19 3 5 2 2 4" xfId="47871" xr:uid="{00000000-0005-0000-0000-00001E2C0000}"/>
    <cellStyle name="Normal 19 3 5 2 3" xfId="15174" xr:uid="{00000000-0005-0000-0000-00001F2C0000}"/>
    <cellStyle name="Normal 19 3 5 2 3 2" xfId="29306" xr:uid="{00000000-0005-0000-0000-0000202C0000}"/>
    <cellStyle name="Normal 19 3 5 2 3 3" xfId="43201" xr:uid="{00000000-0005-0000-0000-0000212C0000}"/>
    <cellStyle name="Normal 19 3 5 2 4" xfId="19987" xr:uid="{00000000-0005-0000-0000-0000222C0000}"/>
    <cellStyle name="Normal 19 3 5 2 5" xfId="38619" xr:uid="{00000000-0005-0000-0000-0000232C0000}"/>
    <cellStyle name="Normal 19 3 5 3" xfId="10442" xr:uid="{00000000-0005-0000-0000-0000242C0000}"/>
    <cellStyle name="Normal 19 3 5 3 2" xfId="33927" xr:uid="{00000000-0005-0000-0000-0000252C0000}"/>
    <cellStyle name="Normal 19 3 5 3 3" xfId="24608" xr:uid="{00000000-0005-0000-0000-0000262C0000}"/>
    <cellStyle name="Normal 19 3 5 3 4" xfId="47870" xr:uid="{00000000-0005-0000-0000-0000272C0000}"/>
    <cellStyle name="Normal 19 3 5 4" xfId="15173" xr:uid="{00000000-0005-0000-0000-0000282C0000}"/>
    <cellStyle name="Normal 19 3 5 4 2" xfId="29305" xr:uid="{00000000-0005-0000-0000-0000292C0000}"/>
    <cellStyle name="Normal 19 3 5 4 3" xfId="43200" xr:uid="{00000000-0005-0000-0000-00002A2C0000}"/>
    <cellStyle name="Normal 19 3 5 5" xfId="19986" xr:uid="{00000000-0005-0000-0000-00002B2C0000}"/>
    <cellStyle name="Normal 19 3 5 6" xfId="38618" xr:uid="{00000000-0005-0000-0000-00002C2C0000}"/>
    <cellStyle name="Normal 19 3 6" xfId="4570" xr:uid="{00000000-0005-0000-0000-00002D2C0000}"/>
    <cellStyle name="Normal 19 3 6 2" xfId="4571" xr:uid="{00000000-0005-0000-0000-00002E2C0000}"/>
    <cellStyle name="Normal 19 3 6 2 2" xfId="10445" xr:uid="{00000000-0005-0000-0000-00002F2C0000}"/>
    <cellStyle name="Normal 19 3 6 2 2 2" xfId="33930" xr:uid="{00000000-0005-0000-0000-0000302C0000}"/>
    <cellStyle name="Normal 19 3 6 2 2 3" xfId="24611" xr:uid="{00000000-0005-0000-0000-0000312C0000}"/>
    <cellStyle name="Normal 19 3 6 2 2 4" xfId="47873" xr:uid="{00000000-0005-0000-0000-0000322C0000}"/>
    <cellStyle name="Normal 19 3 6 2 3" xfId="15176" xr:uid="{00000000-0005-0000-0000-0000332C0000}"/>
    <cellStyle name="Normal 19 3 6 2 3 2" xfId="29308" xr:uid="{00000000-0005-0000-0000-0000342C0000}"/>
    <cellStyle name="Normal 19 3 6 2 3 3" xfId="43203" xr:uid="{00000000-0005-0000-0000-0000352C0000}"/>
    <cellStyle name="Normal 19 3 6 2 4" xfId="19989" xr:uid="{00000000-0005-0000-0000-0000362C0000}"/>
    <cellStyle name="Normal 19 3 6 2 5" xfId="38621" xr:uid="{00000000-0005-0000-0000-0000372C0000}"/>
    <cellStyle name="Normal 19 3 6 3" xfId="10444" xr:uid="{00000000-0005-0000-0000-0000382C0000}"/>
    <cellStyle name="Normal 19 3 6 3 2" xfId="33929" xr:uid="{00000000-0005-0000-0000-0000392C0000}"/>
    <cellStyle name="Normal 19 3 6 3 3" xfId="24610" xr:uid="{00000000-0005-0000-0000-00003A2C0000}"/>
    <cellStyle name="Normal 19 3 6 3 4" xfId="47872" xr:uid="{00000000-0005-0000-0000-00003B2C0000}"/>
    <cellStyle name="Normal 19 3 6 4" xfId="15175" xr:uid="{00000000-0005-0000-0000-00003C2C0000}"/>
    <cellStyle name="Normal 19 3 6 4 2" xfId="29307" xr:uid="{00000000-0005-0000-0000-00003D2C0000}"/>
    <cellStyle name="Normal 19 3 6 4 3" xfId="43202" xr:uid="{00000000-0005-0000-0000-00003E2C0000}"/>
    <cellStyle name="Normal 19 3 6 5" xfId="19988" xr:uid="{00000000-0005-0000-0000-00003F2C0000}"/>
    <cellStyle name="Normal 19 3 6 6" xfId="38620" xr:uid="{00000000-0005-0000-0000-0000402C0000}"/>
    <cellStyle name="Normal 19 3 7" xfId="4572" xr:uid="{00000000-0005-0000-0000-0000412C0000}"/>
    <cellStyle name="Normal 19 3 7 2" xfId="10446" xr:uid="{00000000-0005-0000-0000-0000422C0000}"/>
    <cellStyle name="Normal 19 3 7 2 2" xfId="33931" xr:uid="{00000000-0005-0000-0000-0000432C0000}"/>
    <cellStyle name="Normal 19 3 7 2 3" xfId="24612" xr:uid="{00000000-0005-0000-0000-0000442C0000}"/>
    <cellStyle name="Normal 19 3 7 2 4" xfId="47874" xr:uid="{00000000-0005-0000-0000-0000452C0000}"/>
    <cellStyle name="Normal 19 3 7 3" xfId="15177" xr:uid="{00000000-0005-0000-0000-0000462C0000}"/>
    <cellStyle name="Normal 19 3 7 3 2" xfId="29309" xr:uid="{00000000-0005-0000-0000-0000472C0000}"/>
    <cellStyle name="Normal 19 3 7 3 3" xfId="43204" xr:uid="{00000000-0005-0000-0000-0000482C0000}"/>
    <cellStyle name="Normal 19 3 7 4" xfId="19990" xr:uid="{00000000-0005-0000-0000-0000492C0000}"/>
    <cellStyle name="Normal 19 3 7 5" xfId="38622" xr:uid="{00000000-0005-0000-0000-00004A2C0000}"/>
    <cellStyle name="Normal 19 3 8" xfId="10435" xr:uid="{00000000-0005-0000-0000-00004B2C0000}"/>
    <cellStyle name="Normal 19 3 8 2" xfId="33920" xr:uid="{00000000-0005-0000-0000-00004C2C0000}"/>
    <cellStyle name="Normal 19 3 8 3" xfId="24601" xr:uid="{00000000-0005-0000-0000-00004D2C0000}"/>
    <cellStyle name="Normal 19 3 8 4" xfId="47863" xr:uid="{00000000-0005-0000-0000-00004E2C0000}"/>
    <cellStyle name="Normal 19 3 9" xfId="15166" xr:uid="{00000000-0005-0000-0000-00004F2C0000}"/>
    <cellStyle name="Normal 19 3 9 2" xfId="29298" xr:uid="{00000000-0005-0000-0000-0000502C0000}"/>
    <cellStyle name="Normal 19 3 9 3" xfId="43193" xr:uid="{00000000-0005-0000-0000-0000512C0000}"/>
    <cellStyle name="Normal 19 4" xfId="4573" xr:uid="{00000000-0005-0000-0000-0000522C0000}"/>
    <cellStyle name="Normal 19 4 10" xfId="19991" xr:uid="{00000000-0005-0000-0000-0000532C0000}"/>
    <cellStyle name="Normal 19 4 11" xfId="38623" xr:uid="{00000000-0005-0000-0000-0000542C0000}"/>
    <cellStyle name="Normal 19 4 2" xfId="4574" xr:uid="{00000000-0005-0000-0000-0000552C0000}"/>
    <cellStyle name="Normal 19 4 2 2" xfId="4575" xr:uid="{00000000-0005-0000-0000-0000562C0000}"/>
    <cellStyle name="Normal 19 4 2 2 2" xfId="10449" xr:uid="{00000000-0005-0000-0000-0000572C0000}"/>
    <cellStyle name="Normal 19 4 2 2 2 2" xfId="33934" xr:uid="{00000000-0005-0000-0000-0000582C0000}"/>
    <cellStyle name="Normal 19 4 2 2 2 3" xfId="24615" xr:uid="{00000000-0005-0000-0000-0000592C0000}"/>
    <cellStyle name="Normal 19 4 2 2 2 4" xfId="47877" xr:uid="{00000000-0005-0000-0000-00005A2C0000}"/>
    <cellStyle name="Normal 19 4 2 2 3" xfId="15180" xr:uid="{00000000-0005-0000-0000-00005B2C0000}"/>
    <cellStyle name="Normal 19 4 2 2 3 2" xfId="29312" xr:uid="{00000000-0005-0000-0000-00005C2C0000}"/>
    <cellStyle name="Normal 19 4 2 2 3 3" xfId="43207" xr:uid="{00000000-0005-0000-0000-00005D2C0000}"/>
    <cellStyle name="Normal 19 4 2 2 4" xfId="19993" xr:uid="{00000000-0005-0000-0000-00005E2C0000}"/>
    <cellStyle name="Normal 19 4 2 2 5" xfId="38625" xr:uid="{00000000-0005-0000-0000-00005F2C0000}"/>
    <cellStyle name="Normal 19 4 2 3" xfId="10448" xr:uid="{00000000-0005-0000-0000-0000602C0000}"/>
    <cellStyle name="Normal 19 4 2 3 2" xfId="33933" xr:uid="{00000000-0005-0000-0000-0000612C0000}"/>
    <cellStyle name="Normal 19 4 2 3 3" xfId="24614" xr:uid="{00000000-0005-0000-0000-0000622C0000}"/>
    <cellStyle name="Normal 19 4 2 3 4" xfId="47876" xr:uid="{00000000-0005-0000-0000-0000632C0000}"/>
    <cellStyle name="Normal 19 4 2 4" xfId="15179" xr:uid="{00000000-0005-0000-0000-0000642C0000}"/>
    <cellStyle name="Normal 19 4 2 4 2" xfId="29311" xr:uid="{00000000-0005-0000-0000-0000652C0000}"/>
    <cellStyle name="Normal 19 4 2 4 3" xfId="43206" xr:uid="{00000000-0005-0000-0000-0000662C0000}"/>
    <cellStyle name="Normal 19 4 2 5" xfId="19992" xr:uid="{00000000-0005-0000-0000-0000672C0000}"/>
    <cellStyle name="Normal 19 4 2 6" xfId="38624" xr:uid="{00000000-0005-0000-0000-0000682C0000}"/>
    <cellStyle name="Normal 19 4 3" xfId="4576" xr:uid="{00000000-0005-0000-0000-0000692C0000}"/>
    <cellStyle name="Normal 19 4 3 2" xfId="4577" xr:uid="{00000000-0005-0000-0000-00006A2C0000}"/>
    <cellStyle name="Normal 19 4 3 2 2" xfId="10451" xr:uid="{00000000-0005-0000-0000-00006B2C0000}"/>
    <cellStyle name="Normal 19 4 3 2 2 2" xfId="33936" xr:uid="{00000000-0005-0000-0000-00006C2C0000}"/>
    <cellStyle name="Normal 19 4 3 2 2 3" xfId="24617" xr:uid="{00000000-0005-0000-0000-00006D2C0000}"/>
    <cellStyle name="Normal 19 4 3 2 2 4" xfId="47879" xr:uid="{00000000-0005-0000-0000-00006E2C0000}"/>
    <cellStyle name="Normal 19 4 3 2 3" xfId="15182" xr:uid="{00000000-0005-0000-0000-00006F2C0000}"/>
    <cellStyle name="Normal 19 4 3 2 3 2" xfId="29314" xr:uid="{00000000-0005-0000-0000-0000702C0000}"/>
    <cellStyle name="Normal 19 4 3 2 3 3" xfId="43209" xr:uid="{00000000-0005-0000-0000-0000712C0000}"/>
    <cellStyle name="Normal 19 4 3 2 4" xfId="19995" xr:uid="{00000000-0005-0000-0000-0000722C0000}"/>
    <cellStyle name="Normal 19 4 3 2 5" xfId="38627" xr:uid="{00000000-0005-0000-0000-0000732C0000}"/>
    <cellStyle name="Normal 19 4 3 3" xfId="10450" xr:uid="{00000000-0005-0000-0000-0000742C0000}"/>
    <cellStyle name="Normal 19 4 3 3 2" xfId="33935" xr:uid="{00000000-0005-0000-0000-0000752C0000}"/>
    <cellStyle name="Normal 19 4 3 3 3" xfId="24616" xr:uid="{00000000-0005-0000-0000-0000762C0000}"/>
    <cellStyle name="Normal 19 4 3 3 4" xfId="47878" xr:uid="{00000000-0005-0000-0000-0000772C0000}"/>
    <cellStyle name="Normal 19 4 3 4" xfId="15181" xr:uid="{00000000-0005-0000-0000-0000782C0000}"/>
    <cellStyle name="Normal 19 4 3 4 2" xfId="29313" xr:uid="{00000000-0005-0000-0000-0000792C0000}"/>
    <cellStyle name="Normal 19 4 3 4 3" xfId="43208" xr:uid="{00000000-0005-0000-0000-00007A2C0000}"/>
    <cellStyle name="Normal 19 4 3 5" xfId="19994" xr:uid="{00000000-0005-0000-0000-00007B2C0000}"/>
    <cellStyle name="Normal 19 4 3 6" xfId="38626" xr:uid="{00000000-0005-0000-0000-00007C2C0000}"/>
    <cellStyle name="Normal 19 4 4" xfId="4578" xr:uid="{00000000-0005-0000-0000-00007D2C0000}"/>
    <cellStyle name="Normal 19 4 4 2" xfId="4579" xr:uid="{00000000-0005-0000-0000-00007E2C0000}"/>
    <cellStyle name="Normal 19 4 4 2 2" xfId="10453" xr:uid="{00000000-0005-0000-0000-00007F2C0000}"/>
    <cellStyle name="Normal 19 4 4 2 2 2" xfId="33938" xr:uid="{00000000-0005-0000-0000-0000802C0000}"/>
    <cellStyle name="Normal 19 4 4 2 2 3" xfId="24619" xr:uid="{00000000-0005-0000-0000-0000812C0000}"/>
    <cellStyle name="Normal 19 4 4 2 2 4" xfId="47881" xr:uid="{00000000-0005-0000-0000-0000822C0000}"/>
    <cellStyle name="Normal 19 4 4 2 3" xfId="15184" xr:uid="{00000000-0005-0000-0000-0000832C0000}"/>
    <cellStyle name="Normal 19 4 4 2 3 2" xfId="29316" xr:uid="{00000000-0005-0000-0000-0000842C0000}"/>
    <cellStyle name="Normal 19 4 4 2 3 3" xfId="43211" xr:uid="{00000000-0005-0000-0000-0000852C0000}"/>
    <cellStyle name="Normal 19 4 4 2 4" xfId="19997" xr:uid="{00000000-0005-0000-0000-0000862C0000}"/>
    <cellStyle name="Normal 19 4 4 2 5" xfId="38629" xr:uid="{00000000-0005-0000-0000-0000872C0000}"/>
    <cellStyle name="Normal 19 4 4 3" xfId="10452" xr:uid="{00000000-0005-0000-0000-0000882C0000}"/>
    <cellStyle name="Normal 19 4 4 3 2" xfId="33937" xr:uid="{00000000-0005-0000-0000-0000892C0000}"/>
    <cellStyle name="Normal 19 4 4 3 3" xfId="24618" xr:uid="{00000000-0005-0000-0000-00008A2C0000}"/>
    <cellStyle name="Normal 19 4 4 3 4" xfId="47880" xr:uid="{00000000-0005-0000-0000-00008B2C0000}"/>
    <cellStyle name="Normal 19 4 4 4" xfId="15183" xr:uid="{00000000-0005-0000-0000-00008C2C0000}"/>
    <cellStyle name="Normal 19 4 4 4 2" xfId="29315" xr:uid="{00000000-0005-0000-0000-00008D2C0000}"/>
    <cellStyle name="Normal 19 4 4 4 3" xfId="43210" xr:uid="{00000000-0005-0000-0000-00008E2C0000}"/>
    <cellStyle name="Normal 19 4 4 5" xfId="19996" xr:uid="{00000000-0005-0000-0000-00008F2C0000}"/>
    <cellStyle name="Normal 19 4 4 6" xfId="38628" xr:uid="{00000000-0005-0000-0000-0000902C0000}"/>
    <cellStyle name="Normal 19 4 5" xfId="4580" xr:uid="{00000000-0005-0000-0000-0000912C0000}"/>
    <cellStyle name="Normal 19 4 5 2" xfId="4581" xr:uid="{00000000-0005-0000-0000-0000922C0000}"/>
    <cellStyle name="Normal 19 4 5 2 2" xfId="10455" xr:uid="{00000000-0005-0000-0000-0000932C0000}"/>
    <cellStyle name="Normal 19 4 5 2 2 2" xfId="33940" xr:uid="{00000000-0005-0000-0000-0000942C0000}"/>
    <cellStyle name="Normal 19 4 5 2 2 3" xfId="24621" xr:uid="{00000000-0005-0000-0000-0000952C0000}"/>
    <cellStyle name="Normal 19 4 5 2 2 4" xfId="47883" xr:uid="{00000000-0005-0000-0000-0000962C0000}"/>
    <cellStyle name="Normal 19 4 5 2 3" xfId="15186" xr:uid="{00000000-0005-0000-0000-0000972C0000}"/>
    <cellStyle name="Normal 19 4 5 2 3 2" xfId="29318" xr:uid="{00000000-0005-0000-0000-0000982C0000}"/>
    <cellStyle name="Normal 19 4 5 2 3 3" xfId="43213" xr:uid="{00000000-0005-0000-0000-0000992C0000}"/>
    <cellStyle name="Normal 19 4 5 2 4" xfId="19999" xr:uid="{00000000-0005-0000-0000-00009A2C0000}"/>
    <cellStyle name="Normal 19 4 5 2 5" xfId="38631" xr:uid="{00000000-0005-0000-0000-00009B2C0000}"/>
    <cellStyle name="Normal 19 4 5 3" xfId="10454" xr:uid="{00000000-0005-0000-0000-00009C2C0000}"/>
    <cellStyle name="Normal 19 4 5 3 2" xfId="33939" xr:uid="{00000000-0005-0000-0000-00009D2C0000}"/>
    <cellStyle name="Normal 19 4 5 3 3" xfId="24620" xr:uid="{00000000-0005-0000-0000-00009E2C0000}"/>
    <cellStyle name="Normal 19 4 5 3 4" xfId="47882" xr:uid="{00000000-0005-0000-0000-00009F2C0000}"/>
    <cellStyle name="Normal 19 4 5 4" xfId="15185" xr:uid="{00000000-0005-0000-0000-0000A02C0000}"/>
    <cellStyle name="Normal 19 4 5 4 2" xfId="29317" xr:uid="{00000000-0005-0000-0000-0000A12C0000}"/>
    <cellStyle name="Normal 19 4 5 4 3" xfId="43212" xr:uid="{00000000-0005-0000-0000-0000A22C0000}"/>
    <cellStyle name="Normal 19 4 5 5" xfId="19998" xr:uid="{00000000-0005-0000-0000-0000A32C0000}"/>
    <cellStyle name="Normal 19 4 5 6" xfId="38630" xr:uid="{00000000-0005-0000-0000-0000A42C0000}"/>
    <cellStyle name="Normal 19 4 6" xfId="4582" xr:uid="{00000000-0005-0000-0000-0000A52C0000}"/>
    <cellStyle name="Normal 19 4 6 2" xfId="4583" xr:uid="{00000000-0005-0000-0000-0000A62C0000}"/>
    <cellStyle name="Normal 19 4 6 2 2" xfId="10457" xr:uid="{00000000-0005-0000-0000-0000A72C0000}"/>
    <cellStyle name="Normal 19 4 6 2 2 2" xfId="33942" xr:uid="{00000000-0005-0000-0000-0000A82C0000}"/>
    <cellStyle name="Normal 19 4 6 2 2 3" xfId="24623" xr:uid="{00000000-0005-0000-0000-0000A92C0000}"/>
    <cellStyle name="Normal 19 4 6 2 2 4" xfId="47885" xr:uid="{00000000-0005-0000-0000-0000AA2C0000}"/>
    <cellStyle name="Normal 19 4 6 2 3" xfId="15188" xr:uid="{00000000-0005-0000-0000-0000AB2C0000}"/>
    <cellStyle name="Normal 19 4 6 2 3 2" xfId="29320" xr:uid="{00000000-0005-0000-0000-0000AC2C0000}"/>
    <cellStyle name="Normal 19 4 6 2 3 3" xfId="43215" xr:uid="{00000000-0005-0000-0000-0000AD2C0000}"/>
    <cellStyle name="Normal 19 4 6 2 4" xfId="20001" xr:uid="{00000000-0005-0000-0000-0000AE2C0000}"/>
    <cellStyle name="Normal 19 4 6 2 5" xfId="38633" xr:uid="{00000000-0005-0000-0000-0000AF2C0000}"/>
    <cellStyle name="Normal 19 4 6 3" xfId="10456" xr:uid="{00000000-0005-0000-0000-0000B02C0000}"/>
    <cellStyle name="Normal 19 4 6 3 2" xfId="33941" xr:uid="{00000000-0005-0000-0000-0000B12C0000}"/>
    <cellStyle name="Normal 19 4 6 3 3" xfId="24622" xr:uid="{00000000-0005-0000-0000-0000B22C0000}"/>
    <cellStyle name="Normal 19 4 6 3 4" xfId="47884" xr:uid="{00000000-0005-0000-0000-0000B32C0000}"/>
    <cellStyle name="Normal 19 4 6 4" xfId="15187" xr:uid="{00000000-0005-0000-0000-0000B42C0000}"/>
    <cellStyle name="Normal 19 4 6 4 2" xfId="29319" xr:uid="{00000000-0005-0000-0000-0000B52C0000}"/>
    <cellStyle name="Normal 19 4 6 4 3" xfId="43214" xr:uid="{00000000-0005-0000-0000-0000B62C0000}"/>
    <cellStyle name="Normal 19 4 6 5" xfId="20000" xr:uid="{00000000-0005-0000-0000-0000B72C0000}"/>
    <cellStyle name="Normal 19 4 6 6" xfId="38632" xr:uid="{00000000-0005-0000-0000-0000B82C0000}"/>
    <cellStyle name="Normal 19 4 7" xfId="4584" xr:uid="{00000000-0005-0000-0000-0000B92C0000}"/>
    <cellStyle name="Normal 19 4 7 2" xfId="10458" xr:uid="{00000000-0005-0000-0000-0000BA2C0000}"/>
    <cellStyle name="Normal 19 4 7 2 2" xfId="33943" xr:uid="{00000000-0005-0000-0000-0000BB2C0000}"/>
    <cellStyle name="Normal 19 4 7 2 3" xfId="24624" xr:uid="{00000000-0005-0000-0000-0000BC2C0000}"/>
    <cellStyle name="Normal 19 4 7 2 4" xfId="47886" xr:uid="{00000000-0005-0000-0000-0000BD2C0000}"/>
    <cellStyle name="Normal 19 4 7 3" xfId="15189" xr:uid="{00000000-0005-0000-0000-0000BE2C0000}"/>
    <cellStyle name="Normal 19 4 7 3 2" xfId="29321" xr:uid="{00000000-0005-0000-0000-0000BF2C0000}"/>
    <cellStyle name="Normal 19 4 7 3 3" xfId="43216" xr:uid="{00000000-0005-0000-0000-0000C02C0000}"/>
    <cellStyle name="Normal 19 4 7 4" xfId="20002" xr:uid="{00000000-0005-0000-0000-0000C12C0000}"/>
    <cellStyle name="Normal 19 4 7 5" xfId="38634" xr:uid="{00000000-0005-0000-0000-0000C22C0000}"/>
    <cellStyle name="Normal 19 4 8" xfId="10447" xr:uid="{00000000-0005-0000-0000-0000C32C0000}"/>
    <cellStyle name="Normal 19 4 8 2" xfId="33932" xr:uid="{00000000-0005-0000-0000-0000C42C0000}"/>
    <cellStyle name="Normal 19 4 8 3" xfId="24613" xr:uid="{00000000-0005-0000-0000-0000C52C0000}"/>
    <cellStyle name="Normal 19 4 8 4" xfId="47875" xr:uid="{00000000-0005-0000-0000-0000C62C0000}"/>
    <cellStyle name="Normal 19 4 9" xfId="15178" xr:uid="{00000000-0005-0000-0000-0000C72C0000}"/>
    <cellStyle name="Normal 19 4 9 2" xfId="29310" xr:uid="{00000000-0005-0000-0000-0000C82C0000}"/>
    <cellStyle name="Normal 19 4 9 3" xfId="43205" xr:uid="{00000000-0005-0000-0000-0000C92C0000}"/>
    <cellStyle name="Normal 19 5" xfId="4585" xr:uid="{00000000-0005-0000-0000-0000CA2C0000}"/>
    <cellStyle name="Normal 19 5 10" xfId="20003" xr:uid="{00000000-0005-0000-0000-0000CB2C0000}"/>
    <cellStyle name="Normal 19 5 11" xfId="38635" xr:uid="{00000000-0005-0000-0000-0000CC2C0000}"/>
    <cellStyle name="Normal 19 5 2" xfId="4586" xr:uid="{00000000-0005-0000-0000-0000CD2C0000}"/>
    <cellStyle name="Normal 19 5 2 2" xfId="4587" xr:uid="{00000000-0005-0000-0000-0000CE2C0000}"/>
    <cellStyle name="Normal 19 5 2 2 2" xfId="10461" xr:uid="{00000000-0005-0000-0000-0000CF2C0000}"/>
    <cellStyle name="Normal 19 5 2 2 2 2" xfId="33946" xr:uid="{00000000-0005-0000-0000-0000D02C0000}"/>
    <cellStyle name="Normal 19 5 2 2 2 3" xfId="24627" xr:uid="{00000000-0005-0000-0000-0000D12C0000}"/>
    <cellStyle name="Normal 19 5 2 2 2 4" xfId="47889" xr:uid="{00000000-0005-0000-0000-0000D22C0000}"/>
    <cellStyle name="Normal 19 5 2 2 3" xfId="15192" xr:uid="{00000000-0005-0000-0000-0000D32C0000}"/>
    <cellStyle name="Normal 19 5 2 2 3 2" xfId="29324" xr:uid="{00000000-0005-0000-0000-0000D42C0000}"/>
    <cellStyle name="Normal 19 5 2 2 3 3" xfId="43219" xr:uid="{00000000-0005-0000-0000-0000D52C0000}"/>
    <cellStyle name="Normal 19 5 2 2 4" xfId="20005" xr:uid="{00000000-0005-0000-0000-0000D62C0000}"/>
    <cellStyle name="Normal 19 5 2 2 5" xfId="38637" xr:uid="{00000000-0005-0000-0000-0000D72C0000}"/>
    <cellStyle name="Normal 19 5 2 3" xfId="10460" xr:uid="{00000000-0005-0000-0000-0000D82C0000}"/>
    <cellStyle name="Normal 19 5 2 3 2" xfId="33945" xr:uid="{00000000-0005-0000-0000-0000D92C0000}"/>
    <cellStyle name="Normal 19 5 2 3 3" xfId="24626" xr:uid="{00000000-0005-0000-0000-0000DA2C0000}"/>
    <cellStyle name="Normal 19 5 2 3 4" xfId="47888" xr:uid="{00000000-0005-0000-0000-0000DB2C0000}"/>
    <cellStyle name="Normal 19 5 2 4" xfId="15191" xr:uid="{00000000-0005-0000-0000-0000DC2C0000}"/>
    <cellStyle name="Normal 19 5 2 4 2" xfId="29323" xr:uid="{00000000-0005-0000-0000-0000DD2C0000}"/>
    <cellStyle name="Normal 19 5 2 4 3" xfId="43218" xr:uid="{00000000-0005-0000-0000-0000DE2C0000}"/>
    <cellStyle name="Normal 19 5 2 5" xfId="20004" xr:uid="{00000000-0005-0000-0000-0000DF2C0000}"/>
    <cellStyle name="Normal 19 5 2 6" xfId="38636" xr:uid="{00000000-0005-0000-0000-0000E02C0000}"/>
    <cellStyle name="Normal 19 5 3" xfId="4588" xr:uid="{00000000-0005-0000-0000-0000E12C0000}"/>
    <cellStyle name="Normal 19 5 3 2" xfId="4589" xr:uid="{00000000-0005-0000-0000-0000E22C0000}"/>
    <cellStyle name="Normal 19 5 3 2 2" xfId="10463" xr:uid="{00000000-0005-0000-0000-0000E32C0000}"/>
    <cellStyle name="Normal 19 5 3 2 2 2" xfId="33948" xr:uid="{00000000-0005-0000-0000-0000E42C0000}"/>
    <cellStyle name="Normal 19 5 3 2 2 3" xfId="24629" xr:uid="{00000000-0005-0000-0000-0000E52C0000}"/>
    <cellStyle name="Normal 19 5 3 2 2 4" xfId="47891" xr:uid="{00000000-0005-0000-0000-0000E62C0000}"/>
    <cellStyle name="Normal 19 5 3 2 3" xfId="15194" xr:uid="{00000000-0005-0000-0000-0000E72C0000}"/>
    <cellStyle name="Normal 19 5 3 2 3 2" xfId="29326" xr:uid="{00000000-0005-0000-0000-0000E82C0000}"/>
    <cellStyle name="Normal 19 5 3 2 3 3" xfId="43221" xr:uid="{00000000-0005-0000-0000-0000E92C0000}"/>
    <cellStyle name="Normal 19 5 3 2 4" xfId="20007" xr:uid="{00000000-0005-0000-0000-0000EA2C0000}"/>
    <cellStyle name="Normal 19 5 3 2 5" xfId="38639" xr:uid="{00000000-0005-0000-0000-0000EB2C0000}"/>
    <cellStyle name="Normal 19 5 3 3" xfId="10462" xr:uid="{00000000-0005-0000-0000-0000EC2C0000}"/>
    <cellStyle name="Normal 19 5 3 3 2" xfId="33947" xr:uid="{00000000-0005-0000-0000-0000ED2C0000}"/>
    <cellStyle name="Normal 19 5 3 3 3" xfId="24628" xr:uid="{00000000-0005-0000-0000-0000EE2C0000}"/>
    <cellStyle name="Normal 19 5 3 3 4" xfId="47890" xr:uid="{00000000-0005-0000-0000-0000EF2C0000}"/>
    <cellStyle name="Normal 19 5 3 4" xfId="15193" xr:uid="{00000000-0005-0000-0000-0000F02C0000}"/>
    <cellStyle name="Normal 19 5 3 4 2" xfId="29325" xr:uid="{00000000-0005-0000-0000-0000F12C0000}"/>
    <cellStyle name="Normal 19 5 3 4 3" xfId="43220" xr:uid="{00000000-0005-0000-0000-0000F22C0000}"/>
    <cellStyle name="Normal 19 5 3 5" xfId="20006" xr:uid="{00000000-0005-0000-0000-0000F32C0000}"/>
    <cellStyle name="Normal 19 5 3 6" xfId="38638" xr:uid="{00000000-0005-0000-0000-0000F42C0000}"/>
    <cellStyle name="Normal 19 5 4" xfId="4590" xr:uid="{00000000-0005-0000-0000-0000F52C0000}"/>
    <cellStyle name="Normal 19 5 4 2" xfId="4591" xr:uid="{00000000-0005-0000-0000-0000F62C0000}"/>
    <cellStyle name="Normal 19 5 4 2 2" xfId="10465" xr:uid="{00000000-0005-0000-0000-0000F72C0000}"/>
    <cellStyle name="Normal 19 5 4 2 2 2" xfId="33950" xr:uid="{00000000-0005-0000-0000-0000F82C0000}"/>
    <cellStyle name="Normal 19 5 4 2 2 3" xfId="24631" xr:uid="{00000000-0005-0000-0000-0000F92C0000}"/>
    <cellStyle name="Normal 19 5 4 2 2 4" xfId="47893" xr:uid="{00000000-0005-0000-0000-0000FA2C0000}"/>
    <cellStyle name="Normal 19 5 4 2 3" xfId="15196" xr:uid="{00000000-0005-0000-0000-0000FB2C0000}"/>
    <cellStyle name="Normal 19 5 4 2 3 2" xfId="29328" xr:uid="{00000000-0005-0000-0000-0000FC2C0000}"/>
    <cellStyle name="Normal 19 5 4 2 3 3" xfId="43223" xr:uid="{00000000-0005-0000-0000-0000FD2C0000}"/>
    <cellStyle name="Normal 19 5 4 2 4" xfId="20009" xr:uid="{00000000-0005-0000-0000-0000FE2C0000}"/>
    <cellStyle name="Normal 19 5 4 2 5" xfId="38641" xr:uid="{00000000-0005-0000-0000-0000FF2C0000}"/>
    <cellStyle name="Normal 19 5 4 3" xfId="10464" xr:uid="{00000000-0005-0000-0000-0000002D0000}"/>
    <cellStyle name="Normal 19 5 4 3 2" xfId="33949" xr:uid="{00000000-0005-0000-0000-0000012D0000}"/>
    <cellStyle name="Normal 19 5 4 3 3" xfId="24630" xr:uid="{00000000-0005-0000-0000-0000022D0000}"/>
    <cellStyle name="Normal 19 5 4 3 4" xfId="47892" xr:uid="{00000000-0005-0000-0000-0000032D0000}"/>
    <cellStyle name="Normal 19 5 4 4" xfId="15195" xr:uid="{00000000-0005-0000-0000-0000042D0000}"/>
    <cellStyle name="Normal 19 5 4 4 2" xfId="29327" xr:uid="{00000000-0005-0000-0000-0000052D0000}"/>
    <cellStyle name="Normal 19 5 4 4 3" xfId="43222" xr:uid="{00000000-0005-0000-0000-0000062D0000}"/>
    <cellStyle name="Normal 19 5 4 5" xfId="20008" xr:uid="{00000000-0005-0000-0000-0000072D0000}"/>
    <cellStyle name="Normal 19 5 4 6" xfId="38640" xr:uid="{00000000-0005-0000-0000-0000082D0000}"/>
    <cellStyle name="Normal 19 5 5" xfId="4592" xr:uid="{00000000-0005-0000-0000-0000092D0000}"/>
    <cellStyle name="Normal 19 5 5 2" xfId="4593" xr:uid="{00000000-0005-0000-0000-00000A2D0000}"/>
    <cellStyle name="Normal 19 5 5 2 2" xfId="10467" xr:uid="{00000000-0005-0000-0000-00000B2D0000}"/>
    <cellStyle name="Normal 19 5 5 2 2 2" xfId="33952" xr:uid="{00000000-0005-0000-0000-00000C2D0000}"/>
    <cellStyle name="Normal 19 5 5 2 2 3" xfId="24633" xr:uid="{00000000-0005-0000-0000-00000D2D0000}"/>
    <cellStyle name="Normal 19 5 5 2 2 4" xfId="47895" xr:uid="{00000000-0005-0000-0000-00000E2D0000}"/>
    <cellStyle name="Normal 19 5 5 2 3" xfId="15198" xr:uid="{00000000-0005-0000-0000-00000F2D0000}"/>
    <cellStyle name="Normal 19 5 5 2 3 2" xfId="29330" xr:uid="{00000000-0005-0000-0000-0000102D0000}"/>
    <cellStyle name="Normal 19 5 5 2 3 3" xfId="43225" xr:uid="{00000000-0005-0000-0000-0000112D0000}"/>
    <cellStyle name="Normal 19 5 5 2 4" xfId="20011" xr:uid="{00000000-0005-0000-0000-0000122D0000}"/>
    <cellStyle name="Normal 19 5 5 2 5" xfId="38643" xr:uid="{00000000-0005-0000-0000-0000132D0000}"/>
    <cellStyle name="Normal 19 5 5 3" xfId="10466" xr:uid="{00000000-0005-0000-0000-0000142D0000}"/>
    <cellStyle name="Normal 19 5 5 3 2" xfId="33951" xr:uid="{00000000-0005-0000-0000-0000152D0000}"/>
    <cellStyle name="Normal 19 5 5 3 3" xfId="24632" xr:uid="{00000000-0005-0000-0000-0000162D0000}"/>
    <cellStyle name="Normal 19 5 5 3 4" xfId="47894" xr:uid="{00000000-0005-0000-0000-0000172D0000}"/>
    <cellStyle name="Normal 19 5 5 4" xfId="15197" xr:uid="{00000000-0005-0000-0000-0000182D0000}"/>
    <cellStyle name="Normal 19 5 5 4 2" xfId="29329" xr:uid="{00000000-0005-0000-0000-0000192D0000}"/>
    <cellStyle name="Normal 19 5 5 4 3" xfId="43224" xr:uid="{00000000-0005-0000-0000-00001A2D0000}"/>
    <cellStyle name="Normal 19 5 5 5" xfId="20010" xr:uid="{00000000-0005-0000-0000-00001B2D0000}"/>
    <cellStyle name="Normal 19 5 5 6" xfId="38642" xr:uid="{00000000-0005-0000-0000-00001C2D0000}"/>
    <cellStyle name="Normal 19 5 6" xfId="4594" xr:uid="{00000000-0005-0000-0000-00001D2D0000}"/>
    <cellStyle name="Normal 19 5 6 2" xfId="4595" xr:uid="{00000000-0005-0000-0000-00001E2D0000}"/>
    <cellStyle name="Normal 19 5 6 2 2" xfId="10469" xr:uid="{00000000-0005-0000-0000-00001F2D0000}"/>
    <cellStyle name="Normal 19 5 6 2 2 2" xfId="33954" xr:uid="{00000000-0005-0000-0000-0000202D0000}"/>
    <cellStyle name="Normal 19 5 6 2 2 3" xfId="24635" xr:uid="{00000000-0005-0000-0000-0000212D0000}"/>
    <cellStyle name="Normal 19 5 6 2 2 4" xfId="47897" xr:uid="{00000000-0005-0000-0000-0000222D0000}"/>
    <cellStyle name="Normal 19 5 6 2 3" xfId="15200" xr:uid="{00000000-0005-0000-0000-0000232D0000}"/>
    <cellStyle name="Normal 19 5 6 2 3 2" xfId="29332" xr:uid="{00000000-0005-0000-0000-0000242D0000}"/>
    <cellStyle name="Normal 19 5 6 2 3 3" xfId="43227" xr:uid="{00000000-0005-0000-0000-0000252D0000}"/>
    <cellStyle name="Normal 19 5 6 2 4" xfId="20013" xr:uid="{00000000-0005-0000-0000-0000262D0000}"/>
    <cellStyle name="Normal 19 5 6 2 5" xfId="38645" xr:uid="{00000000-0005-0000-0000-0000272D0000}"/>
    <cellStyle name="Normal 19 5 6 3" xfId="10468" xr:uid="{00000000-0005-0000-0000-0000282D0000}"/>
    <cellStyle name="Normal 19 5 6 3 2" xfId="33953" xr:uid="{00000000-0005-0000-0000-0000292D0000}"/>
    <cellStyle name="Normal 19 5 6 3 3" xfId="24634" xr:uid="{00000000-0005-0000-0000-00002A2D0000}"/>
    <cellStyle name="Normal 19 5 6 3 4" xfId="47896" xr:uid="{00000000-0005-0000-0000-00002B2D0000}"/>
    <cellStyle name="Normal 19 5 6 4" xfId="15199" xr:uid="{00000000-0005-0000-0000-00002C2D0000}"/>
    <cellStyle name="Normal 19 5 6 4 2" xfId="29331" xr:uid="{00000000-0005-0000-0000-00002D2D0000}"/>
    <cellStyle name="Normal 19 5 6 4 3" xfId="43226" xr:uid="{00000000-0005-0000-0000-00002E2D0000}"/>
    <cellStyle name="Normal 19 5 6 5" xfId="20012" xr:uid="{00000000-0005-0000-0000-00002F2D0000}"/>
    <cellStyle name="Normal 19 5 6 6" xfId="38644" xr:uid="{00000000-0005-0000-0000-0000302D0000}"/>
    <cellStyle name="Normal 19 5 7" xfId="4596" xr:uid="{00000000-0005-0000-0000-0000312D0000}"/>
    <cellStyle name="Normal 19 5 7 2" xfId="10470" xr:uid="{00000000-0005-0000-0000-0000322D0000}"/>
    <cellStyle name="Normal 19 5 7 2 2" xfId="33955" xr:uid="{00000000-0005-0000-0000-0000332D0000}"/>
    <cellStyle name="Normal 19 5 7 2 3" xfId="24636" xr:uid="{00000000-0005-0000-0000-0000342D0000}"/>
    <cellStyle name="Normal 19 5 7 2 4" xfId="47898" xr:uid="{00000000-0005-0000-0000-0000352D0000}"/>
    <cellStyle name="Normal 19 5 7 3" xfId="15201" xr:uid="{00000000-0005-0000-0000-0000362D0000}"/>
    <cellStyle name="Normal 19 5 7 3 2" xfId="29333" xr:uid="{00000000-0005-0000-0000-0000372D0000}"/>
    <cellStyle name="Normal 19 5 7 3 3" xfId="43228" xr:uid="{00000000-0005-0000-0000-0000382D0000}"/>
    <cellStyle name="Normal 19 5 7 4" xfId="20014" xr:uid="{00000000-0005-0000-0000-0000392D0000}"/>
    <cellStyle name="Normal 19 5 7 5" xfId="38646" xr:uid="{00000000-0005-0000-0000-00003A2D0000}"/>
    <cellStyle name="Normal 19 5 8" xfId="10459" xr:uid="{00000000-0005-0000-0000-00003B2D0000}"/>
    <cellStyle name="Normal 19 5 8 2" xfId="33944" xr:uid="{00000000-0005-0000-0000-00003C2D0000}"/>
    <cellStyle name="Normal 19 5 8 3" xfId="24625" xr:uid="{00000000-0005-0000-0000-00003D2D0000}"/>
    <cellStyle name="Normal 19 5 8 4" xfId="47887" xr:uid="{00000000-0005-0000-0000-00003E2D0000}"/>
    <cellStyle name="Normal 19 5 9" xfId="15190" xr:uid="{00000000-0005-0000-0000-00003F2D0000}"/>
    <cellStyle name="Normal 19 5 9 2" xfId="29322" xr:uid="{00000000-0005-0000-0000-0000402D0000}"/>
    <cellStyle name="Normal 19 5 9 3" xfId="43217" xr:uid="{00000000-0005-0000-0000-0000412D0000}"/>
    <cellStyle name="Normal 19 6" xfId="4597" xr:uid="{00000000-0005-0000-0000-0000422D0000}"/>
    <cellStyle name="Normal 19 6 10" xfId="20015" xr:uid="{00000000-0005-0000-0000-0000432D0000}"/>
    <cellStyle name="Normal 19 6 11" xfId="38647" xr:uid="{00000000-0005-0000-0000-0000442D0000}"/>
    <cellStyle name="Normal 19 6 2" xfId="4598" xr:uid="{00000000-0005-0000-0000-0000452D0000}"/>
    <cellStyle name="Normal 19 6 2 2" xfId="4599" xr:uid="{00000000-0005-0000-0000-0000462D0000}"/>
    <cellStyle name="Normal 19 6 2 2 2" xfId="10473" xr:uid="{00000000-0005-0000-0000-0000472D0000}"/>
    <cellStyle name="Normal 19 6 2 2 2 2" xfId="33958" xr:uid="{00000000-0005-0000-0000-0000482D0000}"/>
    <cellStyle name="Normal 19 6 2 2 2 3" xfId="24639" xr:uid="{00000000-0005-0000-0000-0000492D0000}"/>
    <cellStyle name="Normal 19 6 2 2 2 4" xfId="47901" xr:uid="{00000000-0005-0000-0000-00004A2D0000}"/>
    <cellStyle name="Normal 19 6 2 2 3" xfId="15204" xr:uid="{00000000-0005-0000-0000-00004B2D0000}"/>
    <cellStyle name="Normal 19 6 2 2 3 2" xfId="29336" xr:uid="{00000000-0005-0000-0000-00004C2D0000}"/>
    <cellStyle name="Normal 19 6 2 2 3 3" xfId="43231" xr:uid="{00000000-0005-0000-0000-00004D2D0000}"/>
    <cellStyle name="Normal 19 6 2 2 4" xfId="20017" xr:uid="{00000000-0005-0000-0000-00004E2D0000}"/>
    <cellStyle name="Normal 19 6 2 2 5" xfId="38649" xr:uid="{00000000-0005-0000-0000-00004F2D0000}"/>
    <cellStyle name="Normal 19 6 2 3" xfId="10472" xr:uid="{00000000-0005-0000-0000-0000502D0000}"/>
    <cellStyle name="Normal 19 6 2 3 2" xfId="33957" xr:uid="{00000000-0005-0000-0000-0000512D0000}"/>
    <cellStyle name="Normal 19 6 2 3 3" xfId="24638" xr:uid="{00000000-0005-0000-0000-0000522D0000}"/>
    <cellStyle name="Normal 19 6 2 3 4" xfId="47900" xr:uid="{00000000-0005-0000-0000-0000532D0000}"/>
    <cellStyle name="Normal 19 6 2 4" xfId="15203" xr:uid="{00000000-0005-0000-0000-0000542D0000}"/>
    <cellStyle name="Normal 19 6 2 4 2" xfId="29335" xr:uid="{00000000-0005-0000-0000-0000552D0000}"/>
    <cellStyle name="Normal 19 6 2 4 3" xfId="43230" xr:uid="{00000000-0005-0000-0000-0000562D0000}"/>
    <cellStyle name="Normal 19 6 2 5" xfId="20016" xr:uid="{00000000-0005-0000-0000-0000572D0000}"/>
    <cellStyle name="Normal 19 6 2 6" xfId="38648" xr:uid="{00000000-0005-0000-0000-0000582D0000}"/>
    <cellStyle name="Normal 19 6 3" xfId="4600" xr:uid="{00000000-0005-0000-0000-0000592D0000}"/>
    <cellStyle name="Normal 19 6 3 2" xfId="4601" xr:uid="{00000000-0005-0000-0000-00005A2D0000}"/>
    <cellStyle name="Normal 19 6 3 2 2" xfId="10475" xr:uid="{00000000-0005-0000-0000-00005B2D0000}"/>
    <cellStyle name="Normal 19 6 3 2 2 2" xfId="33960" xr:uid="{00000000-0005-0000-0000-00005C2D0000}"/>
    <cellStyle name="Normal 19 6 3 2 2 3" xfId="24641" xr:uid="{00000000-0005-0000-0000-00005D2D0000}"/>
    <cellStyle name="Normal 19 6 3 2 2 4" xfId="47903" xr:uid="{00000000-0005-0000-0000-00005E2D0000}"/>
    <cellStyle name="Normal 19 6 3 2 3" xfId="15206" xr:uid="{00000000-0005-0000-0000-00005F2D0000}"/>
    <cellStyle name="Normal 19 6 3 2 3 2" xfId="29338" xr:uid="{00000000-0005-0000-0000-0000602D0000}"/>
    <cellStyle name="Normal 19 6 3 2 3 3" xfId="43233" xr:uid="{00000000-0005-0000-0000-0000612D0000}"/>
    <cellStyle name="Normal 19 6 3 2 4" xfId="20019" xr:uid="{00000000-0005-0000-0000-0000622D0000}"/>
    <cellStyle name="Normal 19 6 3 2 5" xfId="38651" xr:uid="{00000000-0005-0000-0000-0000632D0000}"/>
    <cellStyle name="Normal 19 6 3 3" xfId="10474" xr:uid="{00000000-0005-0000-0000-0000642D0000}"/>
    <cellStyle name="Normal 19 6 3 3 2" xfId="33959" xr:uid="{00000000-0005-0000-0000-0000652D0000}"/>
    <cellStyle name="Normal 19 6 3 3 3" xfId="24640" xr:uid="{00000000-0005-0000-0000-0000662D0000}"/>
    <cellStyle name="Normal 19 6 3 3 4" xfId="47902" xr:uid="{00000000-0005-0000-0000-0000672D0000}"/>
    <cellStyle name="Normal 19 6 3 4" xfId="15205" xr:uid="{00000000-0005-0000-0000-0000682D0000}"/>
    <cellStyle name="Normal 19 6 3 4 2" xfId="29337" xr:uid="{00000000-0005-0000-0000-0000692D0000}"/>
    <cellStyle name="Normal 19 6 3 4 3" xfId="43232" xr:uid="{00000000-0005-0000-0000-00006A2D0000}"/>
    <cellStyle name="Normal 19 6 3 5" xfId="20018" xr:uid="{00000000-0005-0000-0000-00006B2D0000}"/>
    <cellStyle name="Normal 19 6 3 6" xfId="38650" xr:uid="{00000000-0005-0000-0000-00006C2D0000}"/>
    <cellStyle name="Normal 19 6 4" xfId="4602" xr:uid="{00000000-0005-0000-0000-00006D2D0000}"/>
    <cellStyle name="Normal 19 6 4 2" xfId="4603" xr:uid="{00000000-0005-0000-0000-00006E2D0000}"/>
    <cellStyle name="Normal 19 6 4 2 2" xfId="10477" xr:uid="{00000000-0005-0000-0000-00006F2D0000}"/>
    <cellStyle name="Normal 19 6 4 2 2 2" xfId="33962" xr:uid="{00000000-0005-0000-0000-0000702D0000}"/>
    <cellStyle name="Normal 19 6 4 2 2 3" xfId="24643" xr:uid="{00000000-0005-0000-0000-0000712D0000}"/>
    <cellStyle name="Normal 19 6 4 2 2 4" xfId="47905" xr:uid="{00000000-0005-0000-0000-0000722D0000}"/>
    <cellStyle name="Normal 19 6 4 2 3" xfId="15208" xr:uid="{00000000-0005-0000-0000-0000732D0000}"/>
    <cellStyle name="Normal 19 6 4 2 3 2" xfId="29340" xr:uid="{00000000-0005-0000-0000-0000742D0000}"/>
    <cellStyle name="Normal 19 6 4 2 3 3" xfId="43235" xr:uid="{00000000-0005-0000-0000-0000752D0000}"/>
    <cellStyle name="Normal 19 6 4 2 4" xfId="20021" xr:uid="{00000000-0005-0000-0000-0000762D0000}"/>
    <cellStyle name="Normal 19 6 4 2 5" xfId="38653" xr:uid="{00000000-0005-0000-0000-0000772D0000}"/>
    <cellStyle name="Normal 19 6 4 3" xfId="10476" xr:uid="{00000000-0005-0000-0000-0000782D0000}"/>
    <cellStyle name="Normal 19 6 4 3 2" xfId="33961" xr:uid="{00000000-0005-0000-0000-0000792D0000}"/>
    <cellStyle name="Normal 19 6 4 3 3" xfId="24642" xr:uid="{00000000-0005-0000-0000-00007A2D0000}"/>
    <cellStyle name="Normal 19 6 4 3 4" xfId="47904" xr:uid="{00000000-0005-0000-0000-00007B2D0000}"/>
    <cellStyle name="Normal 19 6 4 4" xfId="15207" xr:uid="{00000000-0005-0000-0000-00007C2D0000}"/>
    <cellStyle name="Normal 19 6 4 4 2" xfId="29339" xr:uid="{00000000-0005-0000-0000-00007D2D0000}"/>
    <cellStyle name="Normal 19 6 4 4 3" xfId="43234" xr:uid="{00000000-0005-0000-0000-00007E2D0000}"/>
    <cellStyle name="Normal 19 6 4 5" xfId="20020" xr:uid="{00000000-0005-0000-0000-00007F2D0000}"/>
    <cellStyle name="Normal 19 6 4 6" xfId="38652" xr:uid="{00000000-0005-0000-0000-0000802D0000}"/>
    <cellStyle name="Normal 19 6 5" xfId="4604" xr:uid="{00000000-0005-0000-0000-0000812D0000}"/>
    <cellStyle name="Normal 19 6 5 2" xfId="4605" xr:uid="{00000000-0005-0000-0000-0000822D0000}"/>
    <cellStyle name="Normal 19 6 5 2 2" xfId="10479" xr:uid="{00000000-0005-0000-0000-0000832D0000}"/>
    <cellStyle name="Normal 19 6 5 2 2 2" xfId="33964" xr:uid="{00000000-0005-0000-0000-0000842D0000}"/>
    <cellStyle name="Normal 19 6 5 2 2 3" xfId="24645" xr:uid="{00000000-0005-0000-0000-0000852D0000}"/>
    <cellStyle name="Normal 19 6 5 2 2 4" xfId="47907" xr:uid="{00000000-0005-0000-0000-0000862D0000}"/>
    <cellStyle name="Normal 19 6 5 2 3" xfId="15210" xr:uid="{00000000-0005-0000-0000-0000872D0000}"/>
    <cellStyle name="Normal 19 6 5 2 3 2" xfId="29342" xr:uid="{00000000-0005-0000-0000-0000882D0000}"/>
    <cellStyle name="Normal 19 6 5 2 3 3" xfId="43237" xr:uid="{00000000-0005-0000-0000-0000892D0000}"/>
    <cellStyle name="Normal 19 6 5 2 4" xfId="20023" xr:uid="{00000000-0005-0000-0000-00008A2D0000}"/>
    <cellStyle name="Normal 19 6 5 2 5" xfId="38655" xr:uid="{00000000-0005-0000-0000-00008B2D0000}"/>
    <cellStyle name="Normal 19 6 5 3" xfId="10478" xr:uid="{00000000-0005-0000-0000-00008C2D0000}"/>
    <cellStyle name="Normal 19 6 5 3 2" xfId="33963" xr:uid="{00000000-0005-0000-0000-00008D2D0000}"/>
    <cellStyle name="Normal 19 6 5 3 3" xfId="24644" xr:uid="{00000000-0005-0000-0000-00008E2D0000}"/>
    <cellStyle name="Normal 19 6 5 3 4" xfId="47906" xr:uid="{00000000-0005-0000-0000-00008F2D0000}"/>
    <cellStyle name="Normal 19 6 5 4" xfId="15209" xr:uid="{00000000-0005-0000-0000-0000902D0000}"/>
    <cellStyle name="Normal 19 6 5 4 2" xfId="29341" xr:uid="{00000000-0005-0000-0000-0000912D0000}"/>
    <cellStyle name="Normal 19 6 5 4 3" xfId="43236" xr:uid="{00000000-0005-0000-0000-0000922D0000}"/>
    <cellStyle name="Normal 19 6 5 5" xfId="20022" xr:uid="{00000000-0005-0000-0000-0000932D0000}"/>
    <cellStyle name="Normal 19 6 5 6" xfId="38654" xr:uid="{00000000-0005-0000-0000-0000942D0000}"/>
    <cellStyle name="Normal 19 6 6" xfId="4606" xr:uid="{00000000-0005-0000-0000-0000952D0000}"/>
    <cellStyle name="Normal 19 6 6 2" xfId="4607" xr:uid="{00000000-0005-0000-0000-0000962D0000}"/>
    <cellStyle name="Normal 19 6 6 2 2" xfId="10481" xr:uid="{00000000-0005-0000-0000-0000972D0000}"/>
    <cellStyle name="Normal 19 6 6 2 2 2" xfId="33966" xr:uid="{00000000-0005-0000-0000-0000982D0000}"/>
    <cellStyle name="Normal 19 6 6 2 2 3" xfId="24647" xr:uid="{00000000-0005-0000-0000-0000992D0000}"/>
    <cellStyle name="Normal 19 6 6 2 2 4" xfId="47909" xr:uid="{00000000-0005-0000-0000-00009A2D0000}"/>
    <cellStyle name="Normal 19 6 6 2 3" xfId="15212" xr:uid="{00000000-0005-0000-0000-00009B2D0000}"/>
    <cellStyle name="Normal 19 6 6 2 3 2" xfId="29344" xr:uid="{00000000-0005-0000-0000-00009C2D0000}"/>
    <cellStyle name="Normal 19 6 6 2 3 3" xfId="43239" xr:uid="{00000000-0005-0000-0000-00009D2D0000}"/>
    <cellStyle name="Normal 19 6 6 2 4" xfId="20025" xr:uid="{00000000-0005-0000-0000-00009E2D0000}"/>
    <cellStyle name="Normal 19 6 6 2 5" xfId="38657" xr:uid="{00000000-0005-0000-0000-00009F2D0000}"/>
    <cellStyle name="Normal 19 6 6 3" xfId="10480" xr:uid="{00000000-0005-0000-0000-0000A02D0000}"/>
    <cellStyle name="Normal 19 6 6 3 2" xfId="33965" xr:uid="{00000000-0005-0000-0000-0000A12D0000}"/>
    <cellStyle name="Normal 19 6 6 3 3" xfId="24646" xr:uid="{00000000-0005-0000-0000-0000A22D0000}"/>
    <cellStyle name="Normal 19 6 6 3 4" xfId="47908" xr:uid="{00000000-0005-0000-0000-0000A32D0000}"/>
    <cellStyle name="Normal 19 6 6 4" xfId="15211" xr:uid="{00000000-0005-0000-0000-0000A42D0000}"/>
    <cellStyle name="Normal 19 6 6 4 2" xfId="29343" xr:uid="{00000000-0005-0000-0000-0000A52D0000}"/>
    <cellStyle name="Normal 19 6 6 4 3" xfId="43238" xr:uid="{00000000-0005-0000-0000-0000A62D0000}"/>
    <cellStyle name="Normal 19 6 6 5" xfId="20024" xr:uid="{00000000-0005-0000-0000-0000A72D0000}"/>
    <cellStyle name="Normal 19 6 6 6" xfId="38656" xr:uid="{00000000-0005-0000-0000-0000A82D0000}"/>
    <cellStyle name="Normal 19 6 7" xfId="4608" xr:uid="{00000000-0005-0000-0000-0000A92D0000}"/>
    <cellStyle name="Normal 19 6 7 2" xfId="10482" xr:uid="{00000000-0005-0000-0000-0000AA2D0000}"/>
    <cellStyle name="Normal 19 6 7 2 2" xfId="33967" xr:uid="{00000000-0005-0000-0000-0000AB2D0000}"/>
    <cellStyle name="Normal 19 6 7 2 3" xfId="24648" xr:uid="{00000000-0005-0000-0000-0000AC2D0000}"/>
    <cellStyle name="Normal 19 6 7 2 4" xfId="47910" xr:uid="{00000000-0005-0000-0000-0000AD2D0000}"/>
    <cellStyle name="Normal 19 6 7 3" xfId="15213" xr:uid="{00000000-0005-0000-0000-0000AE2D0000}"/>
    <cellStyle name="Normal 19 6 7 3 2" xfId="29345" xr:uid="{00000000-0005-0000-0000-0000AF2D0000}"/>
    <cellStyle name="Normal 19 6 7 3 3" xfId="43240" xr:uid="{00000000-0005-0000-0000-0000B02D0000}"/>
    <cellStyle name="Normal 19 6 7 4" xfId="20026" xr:uid="{00000000-0005-0000-0000-0000B12D0000}"/>
    <cellStyle name="Normal 19 6 7 5" xfId="38658" xr:uid="{00000000-0005-0000-0000-0000B22D0000}"/>
    <cellStyle name="Normal 19 6 8" xfId="10471" xr:uid="{00000000-0005-0000-0000-0000B32D0000}"/>
    <cellStyle name="Normal 19 6 8 2" xfId="33956" xr:uid="{00000000-0005-0000-0000-0000B42D0000}"/>
    <cellStyle name="Normal 19 6 8 3" xfId="24637" xr:uid="{00000000-0005-0000-0000-0000B52D0000}"/>
    <cellStyle name="Normal 19 6 8 4" xfId="47899" xr:uid="{00000000-0005-0000-0000-0000B62D0000}"/>
    <cellStyle name="Normal 19 6 9" xfId="15202" xr:uid="{00000000-0005-0000-0000-0000B72D0000}"/>
    <cellStyle name="Normal 19 6 9 2" xfId="29334" xr:uid="{00000000-0005-0000-0000-0000B82D0000}"/>
    <cellStyle name="Normal 19 6 9 3" xfId="43229" xr:uid="{00000000-0005-0000-0000-0000B92D0000}"/>
    <cellStyle name="Normal 19 7" xfId="4609" xr:uid="{00000000-0005-0000-0000-0000BA2D0000}"/>
    <cellStyle name="Normal 19 7 10" xfId="20027" xr:uid="{00000000-0005-0000-0000-0000BB2D0000}"/>
    <cellStyle name="Normal 19 7 11" xfId="38659" xr:uid="{00000000-0005-0000-0000-0000BC2D0000}"/>
    <cellStyle name="Normal 19 7 2" xfId="4610" xr:uid="{00000000-0005-0000-0000-0000BD2D0000}"/>
    <cellStyle name="Normal 19 7 2 2" xfId="4611" xr:uid="{00000000-0005-0000-0000-0000BE2D0000}"/>
    <cellStyle name="Normal 19 7 2 2 2" xfId="10485" xr:uid="{00000000-0005-0000-0000-0000BF2D0000}"/>
    <cellStyle name="Normal 19 7 2 2 2 2" xfId="33970" xr:uid="{00000000-0005-0000-0000-0000C02D0000}"/>
    <cellStyle name="Normal 19 7 2 2 2 3" xfId="24651" xr:uid="{00000000-0005-0000-0000-0000C12D0000}"/>
    <cellStyle name="Normal 19 7 2 2 2 4" xfId="47913" xr:uid="{00000000-0005-0000-0000-0000C22D0000}"/>
    <cellStyle name="Normal 19 7 2 2 3" xfId="15216" xr:uid="{00000000-0005-0000-0000-0000C32D0000}"/>
    <cellStyle name="Normal 19 7 2 2 3 2" xfId="29348" xr:uid="{00000000-0005-0000-0000-0000C42D0000}"/>
    <cellStyle name="Normal 19 7 2 2 3 3" xfId="43243" xr:uid="{00000000-0005-0000-0000-0000C52D0000}"/>
    <cellStyle name="Normal 19 7 2 2 4" xfId="20029" xr:uid="{00000000-0005-0000-0000-0000C62D0000}"/>
    <cellStyle name="Normal 19 7 2 2 5" xfId="38661" xr:uid="{00000000-0005-0000-0000-0000C72D0000}"/>
    <cellStyle name="Normal 19 7 2 3" xfId="10484" xr:uid="{00000000-0005-0000-0000-0000C82D0000}"/>
    <cellStyle name="Normal 19 7 2 3 2" xfId="33969" xr:uid="{00000000-0005-0000-0000-0000C92D0000}"/>
    <cellStyle name="Normal 19 7 2 3 3" xfId="24650" xr:uid="{00000000-0005-0000-0000-0000CA2D0000}"/>
    <cellStyle name="Normal 19 7 2 3 4" xfId="47912" xr:uid="{00000000-0005-0000-0000-0000CB2D0000}"/>
    <cellStyle name="Normal 19 7 2 4" xfId="15215" xr:uid="{00000000-0005-0000-0000-0000CC2D0000}"/>
    <cellStyle name="Normal 19 7 2 4 2" xfId="29347" xr:uid="{00000000-0005-0000-0000-0000CD2D0000}"/>
    <cellStyle name="Normal 19 7 2 4 3" xfId="43242" xr:uid="{00000000-0005-0000-0000-0000CE2D0000}"/>
    <cellStyle name="Normal 19 7 2 5" xfId="20028" xr:uid="{00000000-0005-0000-0000-0000CF2D0000}"/>
    <cellStyle name="Normal 19 7 2 6" xfId="38660" xr:uid="{00000000-0005-0000-0000-0000D02D0000}"/>
    <cellStyle name="Normal 19 7 3" xfId="4612" xr:uid="{00000000-0005-0000-0000-0000D12D0000}"/>
    <cellStyle name="Normal 19 7 3 2" xfId="4613" xr:uid="{00000000-0005-0000-0000-0000D22D0000}"/>
    <cellStyle name="Normal 19 7 3 2 2" xfId="10487" xr:uid="{00000000-0005-0000-0000-0000D32D0000}"/>
    <cellStyle name="Normal 19 7 3 2 2 2" xfId="33972" xr:uid="{00000000-0005-0000-0000-0000D42D0000}"/>
    <cellStyle name="Normal 19 7 3 2 2 3" xfId="24653" xr:uid="{00000000-0005-0000-0000-0000D52D0000}"/>
    <cellStyle name="Normal 19 7 3 2 2 4" xfId="47915" xr:uid="{00000000-0005-0000-0000-0000D62D0000}"/>
    <cellStyle name="Normal 19 7 3 2 3" xfId="15218" xr:uid="{00000000-0005-0000-0000-0000D72D0000}"/>
    <cellStyle name="Normal 19 7 3 2 3 2" xfId="29350" xr:uid="{00000000-0005-0000-0000-0000D82D0000}"/>
    <cellStyle name="Normal 19 7 3 2 3 3" xfId="43245" xr:uid="{00000000-0005-0000-0000-0000D92D0000}"/>
    <cellStyle name="Normal 19 7 3 2 4" xfId="20031" xr:uid="{00000000-0005-0000-0000-0000DA2D0000}"/>
    <cellStyle name="Normal 19 7 3 2 5" xfId="38663" xr:uid="{00000000-0005-0000-0000-0000DB2D0000}"/>
    <cellStyle name="Normal 19 7 3 3" xfId="10486" xr:uid="{00000000-0005-0000-0000-0000DC2D0000}"/>
    <cellStyle name="Normal 19 7 3 3 2" xfId="33971" xr:uid="{00000000-0005-0000-0000-0000DD2D0000}"/>
    <cellStyle name="Normal 19 7 3 3 3" xfId="24652" xr:uid="{00000000-0005-0000-0000-0000DE2D0000}"/>
    <cellStyle name="Normal 19 7 3 3 4" xfId="47914" xr:uid="{00000000-0005-0000-0000-0000DF2D0000}"/>
    <cellStyle name="Normal 19 7 3 4" xfId="15217" xr:uid="{00000000-0005-0000-0000-0000E02D0000}"/>
    <cellStyle name="Normal 19 7 3 4 2" xfId="29349" xr:uid="{00000000-0005-0000-0000-0000E12D0000}"/>
    <cellStyle name="Normal 19 7 3 4 3" xfId="43244" xr:uid="{00000000-0005-0000-0000-0000E22D0000}"/>
    <cellStyle name="Normal 19 7 3 5" xfId="20030" xr:uid="{00000000-0005-0000-0000-0000E32D0000}"/>
    <cellStyle name="Normal 19 7 3 6" xfId="38662" xr:uid="{00000000-0005-0000-0000-0000E42D0000}"/>
    <cellStyle name="Normal 19 7 4" xfId="4614" xr:uid="{00000000-0005-0000-0000-0000E52D0000}"/>
    <cellStyle name="Normal 19 7 4 2" xfId="4615" xr:uid="{00000000-0005-0000-0000-0000E62D0000}"/>
    <cellStyle name="Normal 19 7 4 2 2" xfId="10489" xr:uid="{00000000-0005-0000-0000-0000E72D0000}"/>
    <cellStyle name="Normal 19 7 4 2 2 2" xfId="33974" xr:uid="{00000000-0005-0000-0000-0000E82D0000}"/>
    <cellStyle name="Normal 19 7 4 2 2 3" xfId="24655" xr:uid="{00000000-0005-0000-0000-0000E92D0000}"/>
    <cellStyle name="Normal 19 7 4 2 2 4" xfId="47917" xr:uid="{00000000-0005-0000-0000-0000EA2D0000}"/>
    <cellStyle name="Normal 19 7 4 2 3" xfId="15220" xr:uid="{00000000-0005-0000-0000-0000EB2D0000}"/>
    <cellStyle name="Normal 19 7 4 2 3 2" xfId="29352" xr:uid="{00000000-0005-0000-0000-0000EC2D0000}"/>
    <cellStyle name="Normal 19 7 4 2 3 3" xfId="43247" xr:uid="{00000000-0005-0000-0000-0000ED2D0000}"/>
    <cellStyle name="Normal 19 7 4 2 4" xfId="20033" xr:uid="{00000000-0005-0000-0000-0000EE2D0000}"/>
    <cellStyle name="Normal 19 7 4 2 5" xfId="38665" xr:uid="{00000000-0005-0000-0000-0000EF2D0000}"/>
    <cellStyle name="Normal 19 7 4 3" xfId="10488" xr:uid="{00000000-0005-0000-0000-0000F02D0000}"/>
    <cellStyle name="Normal 19 7 4 3 2" xfId="33973" xr:uid="{00000000-0005-0000-0000-0000F12D0000}"/>
    <cellStyle name="Normal 19 7 4 3 3" xfId="24654" xr:uid="{00000000-0005-0000-0000-0000F22D0000}"/>
    <cellStyle name="Normal 19 7 4 3 4" xfId="47916" xr:uid="{00000000-0005-0000-0000-0000F32D0000}"/>
    <cellStyle name="Normal 19 7 4 4" xfId="15219" xr:uid="{00000000-0005-0000-0000-0000F42D0000}"/>
    <cellStyle name="Normal 19 7 4 4 2" xfId="29351" xr:uid="{00000000-0005-0000-0000-0000F52D0000}"/>
    <cellStyle name="Normal 19 7 4 4 3" xfId="43246" xr:uid="{00000000-0005-0000-0000-0000F62D0000}"/>
    <cellStyle name="Normal 19 7 4 5" xfId="20032" xr:uid="{00000000-0005-0000-0000-0000F72D0000}"/>
    <cellStyle name="Normal 19 7 4 6" xfId="38664" xr:uid="{00000000-0005-0000-0000-0000F82D0000}"/>
    <cellStyle name="Normal 19 7 5" xfId="4616" xr:uid="{00000000-0005-0000-0000-0000F92D0000}"/>
    <cellStyle name="Normal 19 7 5 2" xfId="4617" xr:uid="{00000000-0005-0000-0000-0000FA2D0000}"/>
    <cellStyle name="Normal 19 7 5 2 2" xfId="10491" xr:uid="{00000000-0005-0000-0000-0000FB2D0000}"/>
    <cellStyle name="Normal 19 7 5 2 2 2" xfId="33976" xr:uid="{00000000-0005-0000-0000-0000FC2D0000}"/>
    <cellStyle name="Normal 19 7 5 2 2 3" xfId="24657" xr:uid="{00000000-0005-0000-0000-0000FD2D0000}"/>
    <cellStyle name="Normal 19 7 5 2 2 4" xfId="47919" xr:uid="{00000000-0005-0000-0000-0000FE2D0000}"/>
    <cellStyle name="Normal 19 7 5 2 3" xfId="15222" xr:uid="{00000000-0005-0000-0000-0000FF2D0000}"/>
    <cellStyle name="Normal 19 7 5 2 3 2" xfId="29354" xr:uid="{00000000-0005-0000-0000-0000002E0000}"/>
    <cellStyle name="Normal 19 7 5 2 3 3" xfId="43249" xr:uid="{00000000-0005-0000-0000-0000012E0000}"/>
    <cellStyle name="Normal 19 7 5 2 4" xfId="20035" xr:uid="{00000000-0005-0000-0000-0000022E0000}"/>
    <cellStyle name="Normal 19 7 5 2 5" xfId="38667" xr:uid="{00000000-0005-0000-0000-0000032E0000}"/>
    <cellStyle name="Normal 19 7 5 3" xfId="10490" xr:uid="{00000000-0005-0000-0000-0000042E0000}"/>
    <cellStyle name="Normal 19 7 5 3 2" xfId="33975" xr:uid="{00000000-0005-0000-0000-0000052E0000}"/>
    <cellStyle name="Normal 19 7 5 3 3" xfId="24656" xr:uid="{00000000-0005-0000-0000-0000062E0000}"/>
    <cellStyle name="Normal 19 7 5 3 4" xfId="47918" xr:uid="{00000000-0005-0000-0000-0000072E0000}"/>
    <cellStyle name="Normal 19 7 5 4" xfId="15221" xr:uid="{00000000-0005-0000-0000-0000082E0000}"/>
    <cellStyle name="Normal 19 7 5 4 2" xfId="29353" xr:uid="{00000000-0005-0000-0000-0000092E0000}"/>
    <cellStyle name="Normal 19 7 5 4 3" xfId="43248" xr:uid="{00000000-0005-0000-0000-00000A2E0000}"/>
    <cellStyle name="Normal 19 7 5 5" xfId="20034" xr:uid="{00000000-0005-0000-0000-00000B2E0000}"/>
    <cellStyle name="Normal 19 7 5 6" xfId="38666" xr:uid="{00000000-0005-0000-0000-00000C2E0000}"/>
    <cellStyle name="Normal 19 7 6" xfId="4618" xr:uid="{00000000-0005-0000-0000-00000D2E0000}"/>
    <cellStyle name="Normal 19 7 6 2" xfId="4619" xr:uid="{00000000-0005-0000-0000-00000E2E0000}"/>
    <cellStyle name="Normal 19 7 6 2 2" xfId="10493" xr:uid="{00000000-0005-0000-0000-00000F2E0000}"/>
    <cellStyle name="Normal 19 7 6 2 2 2" xfId="33978" xr:uid="{00000000-0005-0000-0000-0000102E0000}"/>
    <cellStyle name="Normal 19 7 6 2 2 3" xfId="24659" xr:uid="{00000000-0005-0000-0000-0000112E0000}"/>
    <cellStyle name="Normal 19 7 6 2 2 4" xfId="47921" xr:uid="{00000000-0005-0000-0000-0000122E0000}"/>
    <cellStyle name="Normal 19 7 6 2 3" xfId="15224" xr:uid="{00000000-0005-0000-0000-0000132E0000}"/>
    <cellStyle name="Normal 19 7 6 2 3 2" xfId="29356" xr:uid="{00000000-0005-0000-0000-0000142E0000}"/>
    <cellStyle name="Normal 19 7 6 2 3 3" xfId="43251" xr:uid="{00000000-0005-0000-0000-0000152E0000}"/>
    <cellStyle name="Normal 19 7 6 2 4" xfId="20037" xr:uid="{00000000-0005-0000-0000-0000162E0000}"/>
    <cellStyle name="Normal 19 7 6 2 5" xfId="38669" xr:uid="{00000000-0005-0000-0000-0000172E0000}"/>
    <cellStyle name="Normal 19 7 6 3" xfId="10492" xr:uid="{00000000-0005-0000-0000-0000182E0000}"/>
    <cellStyle name="Normal 19 7 6 3 2" xfId="33977" xr:uid="{00000000-0005-0000-0000-0000192E0000}"/>
    <cellStyle name="Normal 19 7 6 3 3" xfId="24658" xr:uid="{00000000-0005-0000-0000-00001A2E0000}"/>
    <cellStyle name="Normal 19 7 6 3 4" xfId="47920" xr:uid="{00000000-0005-0000-0000-00001B2E0000}"/>
    <cellStyle name="Normal 19 7 6 4" xfId="15223" xr:uid="{00000000-0005-0000-0000-00001C2E0000}"/>
    <cellStyle name="Normal 19 7 6 4 2" xfId="29355" xr:uid="{00000000-0005-0000-0000-00001D2E0000}"/>
    <cellStyle name="Normal 19 7 6 4 3" xfId="43250" xr:uid="{00000000-0005-0000-0000-00001E2E0000}"/>
    <cellStyle name="Normal 19 7 6 5" xfId="20036" xr:uid="{00000000-0005-0000-0000-00001F2E0000}"/>
    <cellStyle name="Normal 19 7 6 6" xfId="38668" xr:uid="{00000000-0005-0000-0000-0000202E0000}"/>
    <cellStyle name="Normal 19 7 7" xfId="4620" xr:uid="{00000000-0005-0000-0000-0000212E0000}"/>
    <cellStyle name="Normal 19 7 7 2" xfId="10494" xr:uid="{00000000-0005-0000-0000-0000222E0000}"/>
    <cellStyle name="Normal 19 7 7 2 2" xfId="33979" xr:uid="{00000000-0005-0000-0000-0000232E0000}"/>
    <cellStyle name="Normal 19 7 7 2 3" xfId="24660" xr:uid="{00000000-0005-0000-0000-0000242E0000}"/>
    <cellStyle name="Normal 19 7 7 2 4" xfId="47922" xr:uid="{00000000-0005-0000-0000-0000252E0000}"/>
    <cellStyle name="Normal 19 7 7 3" xfId="15225" xr:uid="{00000000-0005-0000-0000-0000262E0000}"/>
    <cellStyle name="Normal 19 7 7 3 2" xfId="29357" xr:uid="{00000000-0005-0000-0000-0000272E0000}"/>
    <cellStyle name="Normal 19 7 7 3 3" xfId="43252" xr:uid="{00000000-0005-0000-0000-0000282E0000}"/>
    <cellStyle name="Normal 19 7 7 4" xfId="20038" xr:uid="{00000000-0005-0000-0000-0000292E0000}"/>
    <cellStyle name="Normal 19 7 7 5" xfId="38670" xr:uid="{00000000-0005-0000-0000-00002A2E0000}"/>
    <cellStyle name="Normal 19 7 8" xfId="10483" xr:uid="{00000000-0005-0000-0000-00002B2E0000}"/>
    <cellStyle name="Normal 19 7 8 2" xfId="33968" xr:uid="{00000000-0005-0000-0000-00002C2E0000}"/>
    <cellStyle name="Normal 19 7 8 3" xfId="24649" xr:uid="{00000000-0005-0000-0000-00002D2E0000}"/>
    <cellStyle name="Normal 19 7 8 4" xfId="47911" xr:uid="{00000000-0005-0000-0000-00002E2E0000}"/>
    <cellStyle name="Normal 19 7 9" xfId="15214" xr:uid="{00000000-0005-0000-0000-00002F2E0000}"/>
    <cellStyle name="Normal 19 7 9 2" xfId="29346" xr:uid="{00000000-0005-0000-0000-0000302E0000}"/>
    <cellStyle name="Normal 19 7 9 3" xfId="43241" xr:uid="{00000000-0005-0000-0000-0000312E0000}"/>
    <cellStyle name="Normal 19 8" xfId="4621" xr:uid="{00000000-0005-0000-0000-0000322E0000}"/>
    <cellStyle name="Normal 19 8 10" xfId="20039" xr:uid="{00000000-0005-0000-0000-0000332E0000}"/>
    <cellStyle name="Normal 19 8 11" xfId="38671" xr:uid="{00000000-0005-0000-0000-0000342E0000}"/>
    <cellStyle name="Normal 19 8 2" xfId="4622" xr:uid="{00000000-0005-0000-0000-0000352E0000}"/>
    <cellStyle name="Normal 19 8 2 2" xfId="4623" xr:uid="{00000000-0005-0000-0000-0000362E0000}"/>
    <cellStyle name="Normal 19 8 2 2 2" xfId="10497" xr:uid="{00000000-0005-0000-0000-0000372E0000}"/>
    <cellStyle name="Normal 19 8 2 2 2 2" xfId="33982" xr:uid="{00000000-0005-0000-0000-0000382E0000}"/>
    <cellStyle name="Normal 19 8 2 2 2 3" xfId="24663" xr:uid="{00000000-0005-0000-0000-0000392E0000}"/>
    <cellStyle name="Normal 19 8 2 2 2 4" xfId="47925" xr:uid="{00000000-0005-0000-0000-00003A2E0000}"/>
    <cellStyle name="Normal 19 8 2 2 3" xfId="15228" xr:uid="{00000000-0005-0000-0000-00003B2E0000}"/>
    <cellStyle name="Normal 19 8 2 2 3 2" xfId="29360" xr:uid="{00000000-0005-0000-0000-00003C2E0000}"/>
    <cellStyle name="Normal 19 8 2 2 3 3" xfId="43255" xr:uid="{00000000-0005-0000-0000-00003D2E0000}"/>
    <cellStyle name="Normal 19 8 2 2 4" xfId="20041" xr:uid="{00000000-0005-0000-0000-00003E2E0000}"/>
    <cellStyle name="Normal 19 8 2 2 5" xfId="38673" xr:uid="{00000000-0005-0000-0000-00003F2E0000}"/>
    <cellStyle name="Normal 19 8 2 3" xfId="10496" xr:uid="{00000000-0005-0000-0000-0000402E0000}"/>
    <cellStyle name="Normal 19 8 2 3 2" xfId="33981" xr:uid="{00000000-0005-0000-0000-0000412E0000}"/>
    <cellStyle name="Normal 19 8 2 3 3" xfId="24662" xr:uid="{00000000-0005-0000-0000-0000422E0000}"/>
    <cellStyle name="Normal 19 8 2 3 4" xfId="47924" xr:uid="{00000000-0005-0000-0000-0000432E0000}"/>
    <cellStyle name="Normal 19 8 2 4" xfId="15227" xr:uid="{00000000-0005-0000-0000-0000442E0000}"/>
    <cellStyle name="Normal 19 8 2 4 2" xfId="29359" xr:uid="{00000000-0005-0000-0000-0000452E0000}"/>
    <cellStyle name="Normal 19 8 2 4 3" xfId="43254" xr:uid="{00000000-0005-0000-0000-0000462E0000}"/>
    <cellStyle name="Normal 19 8 2 5" xfId="20040" xr:uid="{00000000-0005-0000-0000-0000472E0000}"/>
    <cellStyle name="Normal 19 8 2 6" xfId="38672" xr:uid="{00000000-0005-0000-0000-0000482E0000}"/>
    <cellStyle name="Normal 19 8 3" xfId="4624" xr:uid="{00000000-0005-0000-0000-0000492E0000}"/>
    <cellStyle name="Normal 19 8 3 2" xfId="4625" xr:uid="{00000000-0005-0000-0000-00004A2E0000}"/>
    <cellStyle name="Normal 19 8 3 2 2" xfId="10499" xr:uid="{00000000-0005-0000-0000-00004B2E0000}"/>
    <cellStyle name="Normal 19 8 3 2 2 2" xfId="33984" xr:uid="{00000000-0005-0000-0000-00004C2E0000}"/>
    <cellStyle name="Normal 19 8 3 2 2 3" xfId="24665" xr:uid="{00000000-0005-0000-0000-00004D2E0000}"/>
    <cellStyle name="Normal 19 8 3 2 2 4" xfId="47927" xr:uid="{00000000-0005-0000-0000-00004E2E0000}"/>
    <cellStyle name="Normal 19 8 3 2 3" xfId="15230" xr:uid="{00000000-0005-0000-0000-00004F2E0000}"/>
    <cellStyle name="Normal 19 8 3 2 3 2" xfId="29362" xr:uid="{00000000-0005-0000-0000-0000502E0000}"/>
    <cellStyle name="Normal 19 8 3 2 3 3" xfId="43257" xr:uid="{00000000-0005-0000-0000-0000512E0000}"/>
    <cellStyle name="Normal 19 8 3 2 4" xfId="20043" xr:uid="{00000000-0005-0000-0000-0000522E0000}"/>
    <cellStyle name="Normal 19 8 3 2 5" xfId="38675" xr:uid="{00000000-0005-0000-0000-0000532E0000}"/>
    <cellStyle name="Normal 19 8 3 3" xfId="10498" xr:uid="{00000000-0005-0000-0000-0000542E0000}"/>
    <cellStyle name="Normal 19 8 3 3 2" xfId="33983" xr:uid="{00000000-0005-0000-0000-0000552E0000}"/>
    <cellStyle name="Normal 19 8 3 3 3" xfId="24664" xr:uid="{00000000-0005-0000-0000-0000562E0000}"/>
    <cellStyle name="Normal 19 8 3 3 4" xfId="47926" xr:uid="{00000000-0005-0000-0000-0000572E0000}"/>
    <cellStyle name="Normal 19 8 3 4" xfId="15229" xr:uid="{00000000-0005-0000-0000-0000582E0000}"/>
    <cellStyle name="Normal 19 8 3 4 2" xfId="29361" xr:uid="{00000000-0005-0000-0000-0000592E0000}"/>
    <cellStyle name="Normal 19 8 3 4 3" xfId="43256" xr:uid="{00000000-0005-0000-0000-00005A2E0000}"/>
    <cellStyle name="Normal 19 8 3 5" xfId="20042" xr:uid="{00000000-0005-0000-0000-00005B2E0000}"/>
    <cellStyle name="Normal 19 8 3 6" xfId="38674" xr:uid="{00000000-0005-0000-0000-00005C2E0000}"/>
    <cellStyle name="Normal 19 8 4" xfId="4626" xr:uid="{00000000-0005-0000-0000-00005D2E0000}"/>
    <cellStyle name="Normal 19 8 4 2" xfId="4627" xr:uid="{00000000-0005-0000-0000-00005E2E0000}"/>
    <cellStyle name="Normal 19 8 4 2 2" xfId="10501" xr:uid="{00000000-0005-0000-0000-00005F2E0000}"/>
    <cellStyle name="Normal 19 8 4 2 2 2" xfId="33986" xr:uid="{00000000-0005-0000-0000-0000602E0000}"/>
    <cellStyle name="Normal 19 8 4 2 2 3" xfId="24667" xr:uid="{00000000-0005-0000-0000-0000612E0000}"/>
    <cellStyle name="Normal 19 8 4 2 2 4" xfId="47929" xr:uid="{00000000-0005-0000-0000-0000622E0000}"/>
    <cellStyle name="Normal 19 8 4 2 3" xfId="15232" xr:uid="{00000000-0005-0000-0000-0000632E0000}"/>
    <cellStyle name="Normal 19 8 4 2 3 2" xfId="29364" xr:uid="{00000000-0005-0000-0000-0000642E0000}"/>
    <cellStyle name="Normal 19 8 4 2 3 3" xfId="43259" xr:uid="{00000000-0005-0000-0000-0000652E0000}"/>
    <cellStyle name="Normal 19 8 4 2 4" xfId="20045" xr:uid="{00000000-0005-0000-0000-0000662E0000}"/>
    <cellStyle name="Normal 19 8 4 2 5" xfId="38677" xr:uid="{00000000-0005-0000-0000-0000672E0000}"/>
    <cellStyle name="Normal 19 8 4 3" xfId="10500" xr:uid="{00000000-0005-0000-0000-0000682E0000}"/>
    <cellStyle name="Normal 19 8 4 3 2" xfId="33985" xr:uid="{00000000-0005-0000-0000-0000692E0000}"/>
    <cellStyle name="Normal 19 8 4 3 3" xfId="24666" xr:uid="{00000000-0005-0000-0000-00006A2E0000}"/>
    <cellStyle name="Normal 19 8 4 3 4" xfId="47928" xr:uid="{00000000-0005-0000-0000-00006B2E0000}"/>
    <cellStyle name="Normal 19 8 4 4" xfId="15231" xr:uid="{00000000-0005-0000-0000-00006C2E0000}"/>
    <cellStyle name="Normal 19 8 4 4 2" xfId="29363" xr:uid="{00000000-0005-0000-0000-00006D2E0000}"/>
    <cellStyle name="Normal 19 8 4 4 3" xfId="43258" xr:uid="{00000000-0005-0000-0000-00006E2E0000}"/>
    <cellStyle name="Normal 19 8 4 5" xfId="20044" xr:uid="{00000000-0005-0000-0000-00006F2E0000}"/>
    <cellStyle name="Normal 19 8 4 6" xfId="38676" xr:uid="{00000000-0005-0000-0000-0000702E0000}"/>
    <cellStyle name="Normal 19 8 5" xfId="4628" xr:uid="{00000000-0005-0000-0000-0000712E0000}"/>
    <cellStyle name="Normal 19 8 5 2" xfId="4629" xr:uid="{00000000-0005-0000-0000-0000722E0000}"/>
    <cellStyle name="Normal 19 8 5 2 2" xfId="10503" xr:uid="{00000000-0005-0000-0000-0000732E0000}"/>
    <cellStyle name="Normal 19 8 5 2 2 2" xfId="33988" xr:uid="{00000000-0005-0000-0000-0000742E0000}"/>
    <cellStyle name="Normal 19 8 5 2 2 3" xfId="24669" xr:uid="{00000000-0005-0000-0000-0000752E0000}"/>
    <cellStyle name="Normal 19 8 5 2 2 4" xfId="47931" xr:uid="{00000000-0005-0000-0000-0000762E0000}"/>
    <cellStyle name="Normal 19 8 5 2 3" xfId="15234" xr:uid="{00000000-0005-0000-0000-0000772E0000}"/>
    <cellStyle name="Normal 19 8 5 2 3 2" xfId="29366" xr:uid="{00000000-0005-0000-0000-0000782E0000}"/>
    <cellStyle name="Normal 19 8 5 2 3 3" xfId="43261" xr:uid="{00000000-0005-0000-0000-0000792E0000}"/>
    <cellStyle name="Normal 19 8 5 2 4" xfId="20047" xr:uid="{00000000-0005-0000-0000-00007A2E0000}"/>
    <cellStyle name="Normal 19 8 5 2 5" xfId="38679" xr:uid="{00000000-0005-0000-0000-00007B2E0000}"/>
    <cellStyle name="Normal 19 8 5 3" xfId="10502" xr:uid="{00000000-0005-0000-0000-00007C2E0000}"/>
    <cellStyle name="Normal 19 8 5 3 2" xfId="33987" xr:uid="{00000000-0005-0000-0000-00007D2E0000}"/>
    <cellStyle name="Normal 19 8 5 3 3" xfId="24668" xr:uid="{00000000-0005-0000-0000-00007E2E0000}"/>
    <cellStyle name="Normal 19 8 5 3 4" xfId="47930" xr:uid="{00000000-0005-0000-0000-00007F2E0000}"/>
    <cellStyle name="Normal 19 8 5 4" xfId="15233" xr:uid="{00000000-0005-0000-0000-0000802E0000}"/>
    <cellStyle name="Normal 19 8 5 4 2" xfId="29365" xr:uid="{00000000-0005-0000-0000-0000812E0000}"/>
    <cellStyle name="Normal 19 8 5 4 3" xfId="43260" xr:uid="{00000000-0005-0000-0000-0000822E0000}"/>
    <cellStyle name="Normal 19 8 5 5" xfId="20046" xr:uid="{00000000-0005-0000-0000-0000832E0000}"/>
    <cellStyle name="Normal 19 8 5 6" xfId="38678" xr:uid="{00000000-0005-0000-0000-0000842E0000}"/>
    <cellStyle name="Normal 19 8 6" xfId="4630" xr:uid="{00000000-0005-0000-0000-0000852E0000}"/>
    <cellStyle name="Normal 19 8 6 2" xfId="4631" xr:uid="{00000000-0005-0000-0000-0000862E0000}"/>
    <cellStyle name="Normal 19 8 6 2 2" xfId="10505" xr:uid="{00000000-0005-0000-0000-0000872E0000}"/>
    <cellStyle name="Normal 19 8 6 2 2 2" xfId="33990" xr:uid="{00000000-0005-0000-0000-0000882E0000}"/>
    <cellStyle name="Normal 19 8 6 2 2 3" xfId="24671" xr:uid="{00000000-0005-0000-0000-0000892E0000}"/>
    <cellStyle name="Normal 19 8 6 2 2 4" xfId="47933" xr:uid="{00000000-0005-0000-0000-00008A2E0000}"/>
    <cellStyle name="Normal 19 8 6 2 3" xfId="15236" xr:uid="{00000000-0005-0000-0000-00008B2E0000}"/>
    <cellStyle name="Normal 19 8 6 2 3 2" xfId="29368" xr:uid="{00000000-0005-0000-0000-00008C2E0000}"/>
    <cellStyle name="Normal 19 8 6 2 3 3" xfId="43263" xr:uid="{00000000-0005-0000-0000-00008D2E0000}"/>
    <cellStyle name="Normal 19 8 6 2 4" xfId="20049" xr:uid="{00000000-0005-0000-0000-00008E2E0000}"/>
    <cellStyle name="Normal 19 8 6 2 5" xfId="38681" xr:uid="{00000000-0005-0000-0000-00008F2E0000}"/>
    <cellStyle name="Normal 19 8 6 3" xfId="10504" xr:uid="{00000000-0005-0000-0000-0000902E0000}"/>
    <cellStyle name="Normal 19 8 6 3 2" xfId="33989" xr:uid="{00000000-0005-0000-0000-0000912E0000}"/>
    <cellStyle name="Normal 19 8 6 3 3" xfId="24670" xr:uid="{00000000-0005-0000-0000-0000922E0000}"/>
    <cellStyle name="Normal 19 8 6 3 4" xfId="47932" xr:uid="{00000000-0005-0000-0000-0000932E0000}"/>
    <cellStyle name="Normal 19 8 6 4" xfId="15235" xr:uid="{00000000-0005-0000-0000-0000942E0000}"/>
    <cellStyle name="Normal 19 8 6 4 2" xfId="29367" xr:uid="{00000000-0005-0000-0000-0000952E0000}"/>
    <cellStyle name="Normal 19 8 6 4 3" xfId="43262" xr:uid="{00000000-0005-0000-0000-0000962E0000}"/>
    <cellStyle name="Normal 19 8 6 5" xfId="20048" xr:uid="{00000000-0005-0000-0000-0000972E0000}"/>
    <cellStyle name="Normal 19 8 6 6" xfId="38680" xr:uid="{00000000-0005-0000-0000-0000982E0000}"/>
    <cellStyle name="Normal 19 8 7" xfId="4632" xr:uid="{00000000-0005-0000-0000-0000992E0000}"/>
    <cellStyle name="Normal 19 8 7 2" xfId="10506" xr:uid="{00000000-0005-0000-0000-00009A2E0000}"/>
    <cellStyle name="Normal 19 8 7 2 2" xfId="33991" xr:uid="{00000000-0005-0000-0000-00009B2E0000}"/>
    <cellStyle name="Normal 19 8 7 2 3" xfId="24672" xr:uid="{00000000-0005-0000-0000-00009C2E0000}"/>
    <cellStyle name="Normal 19 8 7 2 4" xfId="47934" xr:uid="{00000000-0005-0000-0000-00009D2E0000}"/>
    <cellStyle name="Normal 19 8 7 3" xfId="15237" xr:uid="{00000000-0005-0000-0000-00009E2E0000}"/>
    <cellStyle name="Normal 19 8 7 3 2" xfId="29369" xr:uid="{00000000-0005-0000-0000-00009F2E0000}"/>
    <cellStyle name="Normal 19 8 7 3 3" xfId="43264" xr:uid="{00000000-0005-0000-0000-0000A02E0000}"/>
    <cellStyle name="Normal 19 8 7 4" xfId="20050" xr:uid="{00000000-0005-0000-0000-0000A12E0000}"/>
    <cellStyle name="Normal 19 8 7 5" xfId="38682" xr:uid="{00000000-0005-0000-0000-0000A22E0000}"/>
    <cellStyle name="Normal 19 8 8" xfId="10495" xr:uid="{00000000-0005-0000-0000-0000A32E0000}"/>
    <cellStyle name="Normal 19 8 8 2" xfId="33980" xr:uid="{00000000-0005-0000-0000-0000A42E0000}"/>
    <cellStyle name="Normal 19 8 8 3" xfId="24661" xr:uid="{00000000-0005-0000-0000-0000A52E0000}"/>
    <cellStyle name="Normal 19 8 8 4" xfId="47923" xr:uid="{00000000-0005-0000-0000-0000A62E0000}"/>
    <cellStyle name="Normal 19 8 9" xfId="15226" xr:uid="{00000000-0005-0000-0000-0000A72E0000}"/>
    <cellStyle name="Normal 19 8 9 2" xfId="29358" xr:uid="{00000000-0005-0000-0000-0000A82E0000}"/>
    <cellStyle name="Normal 19 8 9 3" xfId="43253" xr:uid="{00000000-0005-0000-0000-0000A92E0000}"/>
    <cellStyle name="Normal 19 9" xfId="4633" xr:uid="{00000000-0005-0000-0000-0000AA2E0000}"/>
    <cellStyle name="Normal 19 9 10" xfId="20051" xr:uid="{00000000-0005-0000-0000-0000AB2E0000}"/>
    <cellStyle name="Normal 19 9 11" xfId="38683" xr:uid="{00000000-0005-0000-0000-0000AC2E0000}"/>
    <cellStyle name="Normal 19 9 2" xfId="4634" xr:uid="{00000000-0005-0000-0000-0000AD2E0000}"/>
    <cellStyle name="Normal 19 9 2 2" xfId="4635" xr:uid="{00000000-0005-0000-0000-0000AE2E0000}"/>
    <cellStyle name="Normal 19 9 2 2 2" xfId="10509" xr:uid="{00000000-0005-0000-0000-0000AF2E0000}"/>
    <cellStyle name="Normal 19 9 2 2 2 2" xfId="33994" xr:uid="{00000000-0005-0000-0000-0000B02E0000}"/>
    <cellStyle name="Normal 19 9 2 2 2 3" xfId="24675" xr:uid="{00000000-0005-0000-0000-0000B12E0000}"/>
    <cellStyle name="Normal 19 9 2 2 2 4" xfId="47937" xr:uid="{00000000-0005-0000-0000-0000B22E0000}"/>
    <cellStyle name="Normal 19 9 2 2 3" xfId="15240" xr:uid="{00000000-0005-0000-0000-0000B32E0000}"/>
    <cellStyle name="Normal 19 9 2 2 3 2" xfId="29372" xr:uid="{00000000-0005-0000-0000-0000B42E0000}"/>
    <cellStyle name="Normal 19 9 2 2 3 3" xfId="43267" xr:uid="{00000000-0005-0000-0000-0000B52E0000}"/>
    <cellStyle name="Normal 19 9 2 2 4" xfId="20053" xr:uid="{00000000-0005-0000-0000-0000B62E0000}"/>
    <cellStyle name="Normal 19 9 2 2 5" xfId="38685" xr:uid="{00000000-0005-0000-0000-0000B72E0000}"/>
    <cellStyle name="Normal 19 9 2 3" xfId="10508" xr:uid="{00000000-0005-0000-0000-0000B82E0000}"/>
    <cellStyle name="Normal 19 9 2 3 2" xfId="33993" xr:uid="{00000000-0005-0000-0000-0000B92E0000}"/>
    <cellStyle name="Normal 19 9 2 3 3" xfId="24674" xr:uid="{00000000-0005-0000-0000-0000BA2E0000}"/>
    <cellStyle name="Normal 19 9 2 3 4" xfId="47936" xr:uid="{00000000-0005-0000-0000-0000BB2E0000}"/>
    <cellStyle name="Normal 19 9 2 4" xfId="15239" xr:uid="{00000000-0005-0000-0000-0000BC2E0000}"/>
    <cellStyle name="Normal 19 9 2 4 2" xfId="29371" xr:uid="{00000000-0005-0000-0000-0000BD2E0000}"/>
    <cellStyle name="Normal 19 9 2 4 3" xfId="43266" xr:uid="{00000000-0005-0000-0000-0000BE2E0000}"/>
    <cellStyle name="Normal 19 9 2 5" xfId="20052" xr:uid="{00000000-0005-0000-0000-0000BF2E0000}"/>
    <cellStyle name="Normal 19 9 2 6" xfId="38684" xr:uid="{00000000-0005-0000-0000-0000C02E0000}"/>
    <cellStyle name="Normal 19 9 3" xfId="4636" xr:uid="{00000000-0005-0000-0000-0000C12E0000}"/>
    <cellStyle name="Normal 19 9 3 2" xfId="4637" xr:uid="{00000000-0005-0000-0000-0000C22E0000}"/>
    <cellStyle name="Normal 19 9 3 2 2" xfId="10511" xr:uid="{00000000-0005-0000-0000-0000C32E0000}"/>
    <cellStyle name="Normal 19 9 3 2 2 2" xfId="33996" xr:uid="{00000000-0005-0000-0000-0000C42E0000}"/>
    <cellStyle name="Normal 19 9 3 2 2 3" xfId="24677" xr:uid="{00000000-0005-0000-0000-0000C52E0000}"/>
    <cellStyle name="Normal 19 9 3 2 2 4" xfId="47939" xr:uid="{00000000-0005-0000-0000-0000C62E0000}"/>
    <cellStyle name="Normal 19 9 3 2 3" xfId="15242" xr:uid="{00000000-0005-0000-0000-0000C72E0000}"/>
    <cellStyle name="Normal 19 9 3 2 3 2" xfId="29374" xr:uid="{00000000-0005-0000-0000-0000C82E0000}"/>
    <cellStyle name="Normal 19 9 3 2 3 3" xfId="43269" xr:uid="{00000000-0005-0000-0000-0000C92E0000}"/>
    <cellStyle name="Normal 19 9 3 2 4" xfId="20055" xr:uid="{00000000-0005-0000-0000-0000CA2E0000}"/>
    <cellStyle name="Normal 19 9 3 2 5" xfId="38687" xr:uid="{00000000-0005-0000-0000-0000CB2E0000}"/>
    <cellStyle name="Normal 19 9 3 3" xfId="10510" xr:uid="{00000000-0005-0000-0000-0000CC2E0000}"/>
    <cellStyle name="Normal 19 9 3 3 2" xfId="33995" xr:uid="{00000000-0005-0000-0000-0000CD2E0000}"/>
    <cellStyle name="Normal 19 9 3 3 3" xfId="24676" xr:uid="{00000000-0005-0000-0000-0000CE2E0000}"/>
    <cellStyle name="Normal 19 9 3 3 4" xfId="47938" xr:uid="{00000000-0005-0000-0000-0000CF2E0000}"/>
    <cellStyle name="Normal 19 9 3 4" xfId="15241" xr:uid="{00000000-0005-0000-0000-0000D02E0000}"/>
    <cellStyle name="Normal 19 9 3 4 2" xfId="29373" xr:uid="{00000000-0005-0000-0000-0000D12E0000}"/>
    <cellStyle name="Normal 19 9 3 4 3" xfId="43268" xr:uid="{00000000-0005-0000-0000-0000D22E0000}"/>
    <cellStyle name="Normal 19 9 3 5" xfId="20054" xr:uid="{00000000-0005-0000-0000-0000D32E0000}"/>
    <cellStyle name="Normal 19 9 3 6" xfId="38686" xr:uid="{00000000-0005-0000-0000-0000D42E0000}"/>
    <cellStyle name="Normal 19 9 4" xfId="4638" xr:uid="{00000000-0005-0000-0000-0000D52E0000}"/>
    <cellStyle name="Normal 19 9 4 2" xfId="4639" xr:uid="{00000000-0005-0000-0000-0000D62E0000}"/>
    <cellStyle name="Normal 19 9 4 2 2" xfId="10513" xr:uid="{00000000-0005-0000-0000-0000D72E0000}"/>
    <cellStyle name="Normal 19 9 4 2 2 2" xfId="33998" xr:uid="{00000000-0005-0000-0000-0000D82E0000}"/>
    <cellStyle name="Normal 19 9 4 2 2 3" xfId="24679" xr:uid="{00000000-0005-0000-0000-0000D92E0000}"/>
    <cellStyle name="Normal 19 9 4 2 2 4" xfId="47941" xr:uid="{00000000-0005-0000-0000-0000DA2E0000}"/>
    <cellStyle name="Normal 19 9 4 2 3" xfId="15244" xr:uid="{00000000-0005-0000-0000-0000DB2E0000}"/>
    <cellStyle name="Normal 19 9 4 2 3 2" xfId="29376" xr:uid="{00000000-0005-0000-0000-0000DC2E0000}"/>
    <cellStyle name="Normal 19 9 4 2 3 3" xfId="43271" xr:uid="{00000000-0005-0000-0000-0000DD2E0000}"/>
    <cellStyle name="Normal 19 9 4 2 4" xfId="20057" xr:uid="{00000000-0005-0000-0000-0000DE2E0000}"/>
    <cellStyle name="Normal 19 9 4 2 5" xfId="38689" xr:uid="{00000000-0005-0000-0000-0000DF2E0000}"/>
    <cellStyle name="Normal 19 9 4 3" xfId="10512" xr:uid="{00000000-0005-0000-0000-0000E02E0000}"/>
    <cellStyle name="Normal 19 9 4 3 2" xfId="33997" xr:uid="{00000000-0005-0000-0000-0000E12E0000}"/>
    <cellStyle name="Normal 19 9 4 3 3" xfId="24678" xr:uid="{00000000-0005-0000-0000-0000E22E0000}"/>
    <cellStyle name="Normal 19 9 4 3 4" xfId="47940" xr:uid="{00000000-0005-0000-0000-0000E32E0000}"/>
    <cellStyle name="Normal 19 9 4 4" xfId="15243" xr:uid="{00000000-0005-0000-0000-0000E42E0000}"/>
    <cellStyle name="Normal 19 9 4 4 2" xfId="29375" xr:uid="{00000000-0005-0000-0000-0000E52E0000}"/>
    <cellStyle name="Normal 19 9 4 4 3" xfId="43270" xr:uid="{00000000-0005-0000-0000-0000E62E0000}"/>
    <cellStyle name="Normal 19 9 4 5" xfId="20056" xr:uid="{00000000-0005-0000-0000-0000E72E0000}"/>
    <cellStyle name="Normal 19 9 4 6" xfId="38688" xr:uid="{00000000-0005-0000-0000-0000E82E0000}"/>
    <cellStyle name="Normal 19 9 5" xfId="4640" xr:uid="{00000000-0005-0000-0000-0000E92E0000}"/>
    <cellStyle name="Normal 19 9 5 2" xfId="4641" xr:uid="{00000000-0005-0000-0000-0000EA2E0000}"/>
    <cellStyle name="Normal 19 9 5 2 2" xfId="10515" xr:uid="{00000000-0005-0000-0000-0000EB2E0000}"/>
    <cellStyle name="Normal 19 9 5 2 2 2" xfId="34000" xr:uid="{00000000-0005-0000-0000-0000EC2E0000}"/>
    <cellStyle name="Normal 19 9 5 2 2 3" xfId="24681" xr:uid="{00000000-0005-0000-0000-0000ED2E0000}"/>
    <cellStyle name="Normal 19 9 5 2 2 4" xfId="47943" xr:uid="{00000000-0005-0000-0000-0000EE2E0000}"/>
    <cellStyle name="Normal 19 9 5 2 3" xfId="15246" xr:uid="{00000000-0005-0000-0000-0000EF2E0000}"/>
    <cellStyle name="Normal 19 9 5 2 3 2" xfId="29378" xr:uid="{00000000-0005-0000-0000-0000F02E0000}"/>
    <cellStyle name="Normal 19 9 5 2 3 3" xfId="43273" xr:uid="{00000000-0005-0000-0000-0000F12E0000}"/>
    <cellStyle name="Normal 19 9 5 2 4" xfId="20059" xr:uid="{00000000-0005-0000-0000-0000F22E0000}"/>
    <cellStyle name="Normal 19 9 5 2 5" xfId="38691" xr:uid="{00000000-0005-0000-0000-0000F32E0000}"/>
    <cellStyle name="Normal 19 9 5 3" xfId="10514" xr:uid="{00000000-0005-0000-0000-0000F42E0000}"/>
    <cellStyle name="Normal 19 9 5 3 2" xfId="33999" xr:uid="{00000000-0005-0000-0000-0000F52E0000}"/>
    <cellStyle name="Normal 19 9 5 3 3" xfId="24680" xr:uid="{00000000-0005-0000-0000-0000F62E0000}"/>
    <cellStyle name="Normal 19 9 5 3 4" xfId="47942" xr:uid="{00000000-0005-0000-0000-0000F72E0000}"/>
    <cellStyle name="Normal 19 9 5 4" xfId="15245" xr:uid="{00000000-0005-0000-0000-0000F82E0000}"/>
    <cellStyle name="Normal 19 9 5 4 2" xfId="29377" xr:uid="{00000000-0005-0000-0000-0000F92E0000}"/>
    <cellStyle name="Normal 19 9 5 4 3" xfId="43272" xr:uid="{00000000-0005-0000-0000-0000FA2E0000}"/>
    <cellStyle name="Normal 19 9 5 5" xfId="20058" xr:uid="{00000000-0005-0000-0000-0000FB2E0000}"/>
    <cellStyle name="Normal 19 9 5 6" xfId="38690" xr:uid="{00000000-0005-0000-0000-0000FC2E0000}"/>
    <cellStyle name="Normal 19 9 6" xfId="4642" xr:uid="{00000000-0005-0000-0000-0000FD2E0000}"/>
    <cellStyle name="Normal 19 9 6 2" xfId="4643" xr:uid="{00000000-0005-0000-0000-0000FE2E0000}"/>
    <cellStyle name="Normal 19 9 6 2 2" xfId="10517" xr:uid="{00000000-0005-0000-0000-0000FF2E0000}"/>
    <cellStyle name="Normal 19 9 6 2 2 2" xfId="34002" xr:uid="{00000000-0005-0000-0000-0000002F0000}"/>
    <cellStyle name="Normal 19 9 6 2 2 3" xfId="24683" xr:uid="{00000000-0005-0000-0000-0000012F0000}"/>
    <cellStyle name="Normal 19 9 6 2 2 4" xfId="47945" xr:uid="{00000000-0005-0000-0000-0000022F0000}"/>
    <cellStyle name="Normal 19 9 6 2 3" xfId="15248" xr:uid="{00000000-0005-0000-0000-0000032F0000}"/>
    <cellStyle name="Normal 19 9 6 2 3 2" xfId="29380" xr:uid="{00000000-0005-0000-0000-0000042F0000}"/>
    <cellStyle name="Normal 19 9 6 2 3 3" xfId="43275" xr:uid="{00000000-0005-0000-0000-0000052F0000}"/>
    <cellStyle name="Normal 19 9 6 2 4" xfId="20061" xr:uid="{00000000-0005-0000-0000-0000062F0000}"/>
    <cellStyle name="Normal 19 9 6 2 5" xfId="38693" xr:uid="{00000000-0005-0000-0000-0000072F0000}"/>
    <cellStyle name="Normal 19 9 6 3" xfId="10516" xr:uid="{00000000-0005-0000-0000-0000082F0000}"/>
    <cellStyle name="Normal 19 9 6 3 2" xfId="34001" xr:uid="{00000000-0005-0000-0000-0000092F0000}"/>
    <cellStyle name="Normal 19 9 6 3 3" xfId="24682" xr:uid="{00000000-0005-0000-0000-00000A2F0000}"/>
    <cellStyle name="Normal 19 9 6 3 4" xfId="47944" xr:uid="{00000000-0005-0000-0000-00000B2F0000}"/>
    <cellStyle name="Normal 19 9 6 4" xfId="15247" xr:uid="{00000000-0005-0000-0000-00000C2F0000}"/>
    <cellStyle name="Normal 19 9 6 4 2" xfId="29379" xr:uid="{00000000-0005-0000-0000-00000D2F0000}"/>
    <cellStyle name="Normal 19 9 6 4 3" xfId="43274" xr:uid="{00000000-0005-0000-0000-00000E2F0000}"/>
    <cellStyle name="Normal 19 9 6 5" xfId="20060" xr:uid="{00000000-0005-0000-0000-00000F2F0000}"/>
    <cellStyle name="Normal 19 9 6 6" xfId="38692" xr:uid="{00000000-0005-0000-0000-0000102F0000}"/>
    <cellStyle name="Normal 19 9 7" xfId="4644" xr:uid="{00000000-0005-0000-0000-0000112F0000}"/>
    <cellStyle name="Normal 19 9 7 2" xfId="10518" xr:uid="{00000000-0005-0000-0000-0000122F0000}"/>
    <cellStyle name="Normal 19 9 7 2 2" xfId="34003" xr:uid="{00000000-0005-0000-0000-0000132F0000}"/>
    <cellStyle name="Normal 19 9 7 2 3" xfId="24684" xr:uid="{00000000-0005-0000-0000-0000142F0000}"/>
    <cellStyle name="Normal 19 9 7 2 4" xfId="47946" xr:uid="{00000000-0005-0000-0000-0000152F0000}"/>
    <cellStyle name="Normal 19 9 7 3" xfId="15249" xr:uid="{00000000-0005-0000-0000-0000162F0000}"/>
    <cellStyle name="Normal 19 9 7 3 2" xfId="29381" xr:uid="{00000000-0005-0000-0000-0000172F0000}"/>
    <cellStyle name="Normal 19 9 7 3 3" xfId="43276" xr:uid="{00000000-0005-0000-0000-0000182F0000}"/>
    <cellStyle name="Normal 19 9 7 4" xfId="20062" xr:uid="{00000000-0005-0000-0000-0000192F0000}"/>
    <cellStyle name="Normal 19 9 7 5" xfId="38694" xr:uid="{00000000-0005-0000-0000-00001A2F0000}"/>
    <cellStyle name="Normal 19 9 8" xfId="10507" xr:uid="{00000000-0005-0000-0000-00001B2F0000}"/>
    <cellStyle name="Normal 19 9 8 2" xfId="33992" xr:uid="{00000000-0005-0000-0000-00001C2F0000}"/>
    <cellStyle name="Normal 19 9 8 3" xfId="24673" xr:uid="{00000000-0005-0000-0000-00001D2F0000}"/>
    <cellStyle name="Normal 19 9 8 4" xfId="47935" xr:uid="{00000000-0005-0000-0000-00001E2F0000}"/>
    <cellStyle name="Normal 19 9 9" xfId="15238" xr:uid="{00000000-0005-0000-0000-00001F2F0000}"/>
    <cellStyle name="Normal 19 9 9 2" xfId="29370" xr:uid="{00000000-0005-0000-0000-0000202F0000}"/>
    <cellStyle name="Normal 19 9 9 3" xfId="43265" xr:uid="{00000000-0005-0000-0000-0000212F0000}"/>
    <cellStyle name="Normal 190" xfId="160" xr:uid="{00000000-0005-0000-0000-0000222F0000}"/>
    <cellStyle name="Normal 191" xfId="161" xr:uid="{00000000-0005-0000-0000-0000232F0000}"/>
    <cellStyle name="Normal 192" xfId="162" xr:uid="{00000000-0005-0000-0000-0000242F0000}"/>
    <cellStyle name="Normal 193" xfId="163" xr:uid="{00000000-0005-0000-0000-0000252F0000}"/>
    <cellStyle name="Normal 194" xfId="164" xr:uid="{00000000-0005-0000-0000-0000262F0000}"/>
    <cellStyle name="Normal 195" xfId="165" xr:uid="{00000000-0005-0000-0000-0000272F0000}"/>
    <cellStyle name="Normal 196" xfId="166" xr:uid="{00000000-0005-0000-0000-0000282F0000}"/>
    <cellStyle name="Normal 197" xfId="167" xr:uid="{00000000-0005-0000-0000-0000292F0000}"/>
    <cellStyle name="Normal 198" xfId="168" xr:uid="{00000000-0005-0000-0000-00002A2F0000}"/>
    <cellStyle name="Normal 199" xfId="169" xr:uid="{00000000-0005-0000-0000-00002B2F0000}"/>
    <cellStyle name="Normal 2" xfId="9" xr:uid="{00000000-0005-0000-0000-00002C2F0000}"/>
    <cellStyle name="Normal 2 10" xfId="4645" xr:uid="{00000000-0005-0000-0000-00002D2F0000}"/>
    <cellStyle name="Normal 2 10 10" xfId="20063" xr:uid="{00000000-0005-0000-0000-00002E2F0000}"/>
    <cellStyle name="Normal 2 10 11" xfId="38695" xr:uid="{00000000-0005-0000-0000-00002F2F0000}"/>
    <cellStyle name="Normal 2 10 2" xfId="4646" xr:uid="{00000000-0005-0000-0000-0000302F0000}"/>
    <cellStyle name="Normal 2 10 2 2" xfId="4647" xr:uid="{00000000-0005-0000-0000-0000312F0000}"/>
    <cellStyle name="Normal 2 10 2 2 2" xfId="10521" xr:uid="{00000000-0005-0000-0000-0000322F0000}"/>
    <cellStyle name="Normal 2 10 2 2 2 2" xfId="34006" xr:uid="{00000000-0005-0000-0000-0000332F0000}"/>
    <cellStyle name="Normal 2 10 2 2 2 3" xfId="24687" xr:uid="{00000000-0005-0000-0000-0000342F0000}"/>
    <cellStyle name="Normal 2 10 2 2 2 4" xfId="47949" xr:uid="{00000000-0005-0000-0000-0000352F0000}"/>
    <cellStyle name="Normal 2 10 2 2 3" xfId="15252" xr:uid="{00000000-0005-0000-0000-0000362F0000}"/>
    <cellStyle name="Normal 2 10 2 2 3 2" xfId="29384" xr:uid="{00000000-0005-0000-0000-0000372F0000}"/>
    <cellStyle name="Normal 2 10 2 2 3 3" xfId="43279" xr:uid="{00000000-0005-0000-0000-0000382F0000}"/>
    <cellStyle name="Normal 2 10 2 2 4" xfId="20065" xr:uid="{00000000-0005-0000-0000-0000392F0000}"/>
    <cellStyle name="Normal 2 10 2 2 5" xfId="38697" xr:uid="{00000000-0005-0000-0000-00003A2F0000}"/>
    <cellStyle name="Normal 2 10 2 3" xfId="10520" xr:uid="{00000000-0005-0000-0000-00003B2F0000}"/>
    <cellStyle name="Normal 2 10 2 3 2" xfId="34005" xr:uid="{00000000-0005-0000-0000-00003C2F0000}"/>
    <cellStyle name="Normal 2 10 2 3 3" xfId="24686" xr:uid="{00000000-0005-0000-0000-00003D2F0000}"/>
    <cellStyle name="Normal 2 10 2 3 4" xfId="47948" xr:uid="{00000000-0005-0000-0000-00003E2F0000}"/>
    <cellStyle name="Normal 2 10 2 4" xfId="15251" xr:uid="{00000000-0005-0000-0000-00003F2F0000}"/>
    <cellStyle name="Normal 2 10 2 4 2" xfId="29383" xr:uid="{00000000-0005-0000-0000-0000402F0000}"/>
    <cellStyle name="Normal 2 10 2 4 3" xfId="43278" xr:uid="{00000000-0005-0000-0000-0000412F0000}"/>
    <cellStyle name="Normal 2 10 2 5" xfId="20064" xr:uid="{00000000-0005-0000-0000-0000422F0000}"/>
    <cellStyle name="Normal 2 10 2 6" xfId="38696" xr:uid="{00000000-0005-0000-0000-0000432F0000}"/>
    <cellStyle name="Normal 2 10 3" xfId="4648" xr:uid="{00000000-0005-0000-0000-0000442F0000}"/>
    <cellStyle name="Normal 2 10 3 2" xfId="4649" xr:uid="{00000000-0005-0000-0000-0000452F0000}"/>
    <cellStyle name="Normal 2 10 3 2 2" xfId="10523" xr:uid="{00000000-0005-0000-0000-0000462F0000}"/>
    <cellStyle name="Normal 2 10 3 2 2 2" xfId="34008" xr:uid="{00000000-0005-0000-0000-0000472F0000}"/>
    <cellStyle name="Normal 2 10 3 2 2 3" xfId="24689" xr:uid="{00000000-0005-0000-0000-0000482F0000}"/>
    <cellStyle name="Normal 2 10 3 2 2 4" xfId="47951" xr:uid="{00000000-0005-0000-0000-0000492F0000}"/>
    <cellStyle name="Normal 2 10 3 2 3" xfId="15254" xr:uid="{00000000-0005-0000-0000-00004A2F0000}"/>
    <cellStyle name="Normal 2 10 3 2 3 2" xfId="29386" xr:uid="{00000000-0005-0000-0000-00004B2F0000}"/>
    <cellStyle name="Normal 2 10 3 2 3 3" xfId="43281" xr:uid="{00000000-0005-0000-0000-00004C2F0000}"/>
    <cellStyle name="Normal 2 10 3 2 4" xfId="20067" xr:uid="{00000000-0005-0000-0000-00004D2F0000}"/>
    <cellStyle name="Normal 2 10 3 2 5" xfId="38699" xr:uid="{00000000-0005-0000-0000-00004E2F0000}"/>
    <cellStyle name="Normal 2 10 3 3" xfId="10522" xr:uid="{00000000-0005-0000-0000-00004F2F0000}"/>
    <cellStyle name="Normal 2 10 3 3 2" xfId="34007" xr:uid="{00000000-0005-0000-0000-0000502F0000}"/>
    <cellStyle name="Normal 2 10 3 3 3" xfId="24688" xr:uid="{00000000-0005-0000-0000-0000512F0000}"/>
    <cellStyle name="Normal 2 10 3 3 4" xfId="47950" xr:uid="{00000000-0005-0000-0000-0000522F0000}"/>
    <cellStyle name="Normal 2 10 3 4" xfId="15253" xr:uid="{00000000-0005-0000-0000-0000532F0000}"/>
    <cellStyle name="Normal 2 10 3 4 2" xfId="29385" xr:uid="{00000000-0005-0000-0000-0000542F0000}"/>
    <cellStyle name="Normal 2 10 3 4 3" xfId="43280" xr:uid="{00000000-0005-0000-0000-0000552F0000}"/>
    <cellStyle name="Normal 2 10 3 5" xfId="20066" xr:uid="{00000000-0005-0000-0000-0000562F0000}"/>
    <cellStyle name="Normal 2 10 3 6" xfId="38698" xr:uid="{00000000-0005-0000-0000-0000572F0000}"/>
    <cellStyle name="Normal 2 10 4" xfId="4650" xr:uid="{00000000-0005-0000-0000-0000582F0000}"/>
    <cellStyle name="Normal 2 10 4 2" xfId="4651" xr:uid="{00000000-0005-0000-0000-0000592F0000}"/>
    <cellStyle name="Normal 2 10 4 2 2" xfId="10525" xr:uid="{00000000-0005-0000-0000-00005A2F0000}"/>
    <cellStyle name="Normal 2 10 4 2 2 2" xfId="34010" xr:uid="{00000000-0005-0000-0000-00005B2F0000}"/>
    <cellStyle name="Normal 2 10 4 2 2 3" xfId="24691" xr:uid="{00000000-0005-0000-0000-00005C2F0000}"/>
    <cellStyle name="Normal 2 10 4 2 2 4" xfId="47953" xr:uid="{00000000-0005-0000-0000-00005D2F0000}"/>
    <cellStyle name="Normal 2 10 4 2 3" xfId="15256" xr:uid="{00000000-0005-0000-0000-00005E2F0000}"/>
    <cellStyle name="Normal 2 10 4 2 3 2" xfId="29388" xr:uid="{00000000-0005-0000-0000-00005F2F0000}"/>
    <cellStyle name="Normal 2 10 4 2 3 3" xfId="43283" xr:uid="{00000000-0005-0000-0000-0000602F0000}"/>
    <cellStyle name="Normal 2 10 4 2 4" xfId="20069" xr:uid="{00000000-0005-0000-0000-0000612F0000}"/>
    <cellStyle name="Normal 2 10 4 2 5" xfId="38701" xr:uid="{00000000-0005-0000-0000-0000622F0000}"/>
    <cellStyle name="Normal 2 10 4 3" xfId="10524" xr:uid="{00000000-0005-0000-0000-0000632F0000}"/>
    <cellStyle name="Normal 2 10 4 3 2" xfId="34009" xr:uid="{00000000-0005-0000-0000-0000642F0000}"/>
    <cellStyle name="Normal 2 10 4 3 3" xfId="24690" xr:uid="{00000000-0005-0000-0000-0000652F0000}"/>
    <cellStyle name="Normal 2 10 4 3 4" xfId="47952" xr:uid="{00000000-0005-0000-0000-0000662F0000}"/>
    <cellStyle name="Normal 2 10 4 4" xfId="15255" xr:uid="{00000000-0005-0000-0000-0000672F0000}"/>
    <cellStyle name="Normal 2 10 4 4 2" xfId="29387" xr:uid="{00000000-0005-0000-0000-0000682F0000}"/>
    <cellStyle name="Normal 2 10 4 4 3" xfId="43282" xr:uid="{00000000-0005-0000-0000-0000692F0000}"/>
    <cellStyle name="Normal 2 10 4 5" xfId="20068" xr:uid="{00000000-0005-0000-0000-00006A2F0000}"/>
    <cellStyle name="Normal 2 10 4 6" xfId="38700" xr:uid="{00000000-0005-0000-0000-00006B2F0000}"/>
    <cellStyle name="Normal 2 10 5" xfId="4652" xr:uid="{00000000-0005-0000-0000-00006C2F0000}"/>
    <cellStyle name="Normal 2 10 5 2" xfId="4653" xr:uid="{00000000-0005-0000-0000-00006D2F0000}"/>
    <cellStyle name="Normal 2 10 5 2 2" xfId="10527" xr:uid="{00000000-0005-0000-0000-00006E2F0000}"/>
    <cellStyle name="Normal 2 10 5 2 2 2" xfId="34012" xr:uid="{00000000-0005-0000-0000-00006F2F0000}"/>
    <cellStyle name="Normal 2 10 5 2 2 3" xfId="24693" xr:uid="{00000000-0005-0000-0000-0000702F0000}"/>
    <cellStyle name="Normal 2 10 5 2 2 4" xfId="47955" xr:uid="{00000000-0005-0000-0000-0000712F0000}"/>
    <cellStyle name="Normal 2 10 5 2 3" xfId="15258" xr:uid="{00000000-0005-0000-0000-0000722F0000}"/>
    <cellStyle name="Normal 2 10 5 2 3 2" xfId="29390" xr:uid="{00000000-0005-0000-0000-0000732F0000}"/>
    <cellStyle name="Normal 2 10 5 2 3 3" xfId="43285" xr:uid="{00000000-0005-0000-0000-0000742F0000}"/>
    <cellStyle name="Normal 2 10 5 2 4" xfId="20071" xr:uid="{00000000-0005-0000-0000-0000752F0000}"/>
    <cellStyle name="Normal 2 10 5 2 5" xfId="38703" xr:uid="{00000000-0005-0000-0000-0000762F0000}"/>
    <cellStyle name="Normal 2 10 5 3" xfId="10526" xr:uid="{00000000-0005-0000-0000-0000772F0000}"/>
    <cellStyle name="Normal 2 10 5 3 2" xfId="34011" xr:uid="{00000000-0005-0000-0000-0000782F0000}"/>
    <cellStyle name="Normal 2 10 5 3 3" xfId="24692" xr:uid="{00000000-0005-0000-0000-0000792F0000}"/>
    <cellStyle name="Normal 2 10 5 3 4" xfId="47954" xr:uid="{00000000-0005-0000-0000-00007A2F0000}"/>
    <cellStyle name="Normal 2 10 5 4" xfId="15257" xr:uid="{00000000-0005-0000-0000-00007B2F0000}"/>
    <cellStyle name="Normal 2 10 5 4 2" xfId="29389" xr:uid="{00000000-0005-0000-0000-00007C2F0000}"/>
    <cellStyle name="Normal 2 10 5 4 3" xfId="43284" xr:uid="{00000000-0005-0000-0000-00007D2F0000}"/>
    <cellStyle name="Normal 2 10 5 5" xfId="20070" xr:uid="{00000000-0005-0000-0000-00007E2F0000}"/>
    <cellStyle name="Normal 2 10 5 6" xfId="38702" xr:uid="{00000000-0005-0000-0000-00007F2F0000}"/>
    <cellStyle name="Normal 2 10 6" xfId="4654" xr:uid="{00000000-0005-0000-0000-0000802F0000}"/>
    <cellStyle name="Normal 2 10 6 2" xfId="4655" xr:uid="{00000000-0005-0000-0000-0000812F0000}"/>
    <cellStyle name="Normal 2 10 6 2 2" xfId="10529" xr:uid="{00000000-0005-0000-0000-0000822F0000}"/>
    <cellStyle name="Normal 2 10 6 2 2 2" xfId="34014" xr:uid="{00000000-0005-0000-0000-0000832F0000}"/>
    <cellStyle name="Normal 2 10 6 2 2 3" xfId="24695" xr:uid="{00000000-0005-0000-0000-0000842F0000}"/>
    <cellStyle name="Normal 2 10 6 2 2 4" xfId="47957" xr:uid="{00000000-0005-0000-0000-0000852F0000}"/>
    <cellStyle name="Normal 2 10 6 2 3" xfId="15260" xr:uid="{00000000-0005-0000-0000-0000862F0000}"/>
    <cellStyle name="Normal 2 10 6 2 3 2" xfId="29392" xr:uid="{00000000-0005-0000-0000-0000872F0000}"/>
    <cellStyle name="Normal 2 10 6 2 3 3" xfId="43287" xr:uid="{00000000-0005-0000-0000-0000882F0000}"/>
    <cellStyle name="Normal 2 10 6 2 4" xfId="20073" xr:uid="{00000000-0005-0000-0000-0000892F0000}"/>
    <cellStyle name="Normal 2 10 6 2 5" xfId="38705" xr:uid="{00000000-0005-0000-0000-00008A2F0000}"/>
    <cellStyle name="Normal 2 10 6 3" xfId="10528" xr:uid="{00000000-0005-0000-0000-00008B2F0000}"/>
    <cellStyle name="Normal 2 10 6 3 2" xfId="34013" xr:uid="{00000000-0005-0000-0000-00008C2F0000}"/>
    <cellStyle name="Normal 2 10 6 3 3" xfId="24694" xr:uid="{00000000-0005-0000-0000-00008D2F0000}"/>
    <cellStyle name="Normal 2 10 6 3 4" xfId="47956" xr:uid="{00000000-0005-0000-0000-00008E2F0000}"/>
    <cellStyle name="Normal 2 10 6 4" xfId="15259" xr:uid="{00000000-0005-0000-0000-00008F2F0000}"/>
    <cellStyle name="Normal 2 10 6 4 2" xfId="29391" xr:uid="{00000000-0005-0000-0000-0000902F0000}"/>
    <cellStyle name="Normal 2 10 6 4 3" xfId="43286" xr:uid="{00000000-0005-0000-0000-0000912F0000}"/>
    <cellStyle name="Normal 2 10 6 5" xfId="20072" xr:uid="{00000000-0005-0000-0000-0000922F0000}"/>
    <cellStyle name="Normal 2 10 6 6" xfId="38704" xr:uid="{00000000-0005-0000-0000-0000932F0000}"/>
    <cellStyle name="Normal 2 10 7" xfId="4656" xr:uid="{00000000-0005-0000-0000-0000942F0000}"/>
    <cellStyle name="Normal 2 10 7 2" xfId="10530" xr:uid="{00000000-0005-0000-0000-0000952F0000}"/>
    <cellStyle name="Normal 2 10 7 2 2" xfId="34015" xr:uid="{00000000-0005-0000-0000-0000962F0000}"/>
    <cellStyle name="Normal 2 10 7 2 3" xfId="24696" xr:uid="{00000000-0005-0000-0000-0000972F0000}"/>
    <cellStyle name="Normal 2 10 7 2 4" xfId="47958" xr:uid="{00000000-0005-0000-0000-0000982F0000}"/>
    <cellStyle name="Normal 2 10 7 3" xfId="15261" xr:uid="{00000000-0005-0000-0000-0000992F0000}"/>
    <cellStyle name="Normal 2 10 7 3 2" xfId="29393" xr:uid="{00000000-0005-0000-0000-00009A2F0000}"/>
    <cellStyle name="Normal 2 10 7 3 3" xfId="43288" xr:uid="{00000000-0005-0000-0000-00009B2F0000}"/>
    <cellStyle name="Normal 2 10 7 4" xfId="20074" xr:uid="{00000000-0005-0000-0000-00009C2F0000}"/>
    <cellStyle name="Normal 2 10 7 5" xfId="38706" xr:uid="{00000000-0005-0000-0000-00009D2F0000}"/>
    <cellStyle name="Normal 2 10 8" xfId="10519" xr:uid="{00000000-0005-0000-0000-00009E2F0000}"/>
    <cellStyle name="Normal 2 10 8 2" xfId="34004" xr:uid="{00000000-0005-0000-0000-00009F2F0000}"/>
    <cellStyle name="Normal 2 10 8 3" xfId="24685" xr:uid="{00000000-0005-0000-0000-0000A02F0000}"/>
    <cellStyle name="Normal 2 10 8 4" xfId="47947" xr:uid="{00000000-0005-0000-0000-0000A12F0000}"/>
    <cellStyle name="Normal 2 10 9" xfId="15250" xr:uid="{00000000-0005-0000-0000-0000A22F0000}"/>
    <cellStyle name="Normal 2 10 9 2" xfId="29382" xr:uid="{00000000-0005-0000-0000-0000A32F0000}"/>
    <cellStyle name="Normal 2 10 9 3" xfId="43277" xr:uid="{00000000-0005-0000-0000-0000A42F0000}"/>
    <cellStyle name="Normal 2 11" xfId="4657" xr:uid="{00000000-0005-0000-0000-0000A52F0000}"/>
    <cellStyle name="Normal 2 11 10" xfId="20075" xr:uid="{00000000-0005-0000-0000-0000A62F0000}"/>
    <cellStyle name="Normal 2 11 11" xfId="38707" xr:uid="{00000000-0005-0000-0000-0000A72F0000}"/>
    <cellStyle name="Normal 2 11 2" xfId="4658" xr:uid="{00000000-0005-0000-0000-0000A82F0000}"/>
    <cellStyle name="Normal 2 11 2 2" xfId="4659" xr:uid="{00000000-0005-0000-0000-0000A92F0000}"/>
    <cellStyle name="Normal 2 11 2 2 2" xfId="10533" xr:uid="{00000000-0005-0000-0000-0000AA2F0000}"/>
    <cellStyle name="Normal 2 11 2 2 2 2" xfId="34018" xr:uid="{00000000-0005-0000-0000-0000AB2F0000}"/>
    <cellStyle name="Normal 2 11 2 2 2 3" xfId="24699" xr:uid="{00000000-0005-0000-0000-0000AC2F0000}"/>
    <cellStyle name="Normal 2 11 2 2 2 4" xfId="47961" xr:uid="{00000000-0005-0000-0000-0000AD2F0000}"/>
    <cellStyle name="Normal 2 11 2 2 3" xfId="15264" xr:uid="{00000000-0005-0000-0000-0000AE2F0000}"/>
    <cellStyle name="Normal 2 11 2 2 3 2" xfId="29396" xr:uid="{00000000-0005-0000-0000-0000AF2F0000}"/>
    <cellStyle name="Normal 2 11 2 2 3 3" xfId="43291" xr:uid="{00000000-0005-0000-0000-0000B02F0000}"/>
    <cellStyle name="Normal 2 11 2 2 4" xfId="20077" xr:uid="{00000000-0005-0000-0000-0000B12F0000}"/>
    <cellStyle name="Normal 2 11 2 2 5" xfId="38709" xr:uid="{00000000-0005-0000-0000-0000B22F0000}"/>
    <cellStyle name="Normal 2 11 2 3" xfId="10532" xr:uid="{00000000-0005-0000-0000-0000B32F0000}"/>
    <cellStyle name="Normal 2 11 2 3 2" xfId="34017" xr:uid="{00000000-0005-0000-0000-0000B42F0000}"/>
    <cellStyle name="Normal 2 11 2 3 3" xfId="24698" xr:uid="{00000000-0005-0000-0000-0000B52F0000}"/>
    <cellStyle name="Normal 2 11 2 3 4" xfId="47960" xr:uid="{00000000-0005-0000-0000-0000B62F0000}"/>
    <cellStyle name="Normal 2 11 2 4" xfId="15263" xr:uid="{00000000-0005-0000-0000-0000B72F0000}"/>
    <cellStyle name="Normal 2 11 2 4 2" xfId="29395" xr:uid="{00000000-0005-0000-0000-0000B82F0000}"/>
    <cellStyle name="Normal 2 11 2 4 3" xfId="43290" xr:uid="{00000000-0005-0000-0000-0000B92F0000}"/>
    <cellStyle name="Normal 2 11 2 5" xfId="20076" xr:uid="{00000000-0005-0000-0000-0000BA2F0000}"/>
    <cellStyle name="Normal 2 11 2 6" xfId="38708" xr:uid="{00000000-0005-0000-0000-0000BB2F0000}"/>
    <cellStyle name="Normal 2 11 3" xfId="4660" xr:uid="{00000000-0005-0000-0000-0000BC2F0000}"/>
    <cellStyle name="Normal 2 11 3 2" xfId="4661" xr:uid="{00000000-0005-0000-0000-0000BD2F0000}"/>
    <cellStyle name="Normal 2 11 3 2 2" xfId="10535" xr:uid="{00000000-0005-0000-0000-0000BE2F0000}"/>
    <cellStyle name="Normal 2 11 3 2 2 2" xfId="34020" xr:uid="{00000000-0005-0000-0000-0000BF2F0000}"/>
    <cellStyle name="Normal 2 11 3 2 2 3" xfId="24701" xr:uid="{00000000-0005-0000-0000-0000C02F0000}"/>
    <cellStyle name="Normal 2 11 3 2 2 4" xfId="47963" xr:uid="{00000000-0005-0000-0000-0000C12F0000}"/>
    <cellStyle name="Normal 2 11 3 2 3" xfId="15266" xr:uid="{00000000-0005-0000-0000-0000C22F0000}"/>
    <cellStyle name="Normal 2 11 3 2 3 2" xfId="29398" xr:uid="{00000000-0005-0000-0000-0000C32F0000}"/>
    <cellStyle name="Normal 2 11 3 2 3 3" xfId="43293" xr:uid="{00000000-0005-0000-0000-0000C42F0000}"/>
    <cellStyle name="Normal 2 11 3 2 4" xfId="20079" xr:uid="{00000000-0005-0000-0000-0000C52F0000}"/>
    <cellStyle name="Normal 2 11 3 2 5" xfId="38711" xr:uid="{00000000-0005-0000-0000-0000C62F0000}"/>
    <cellStyle name="Normal 2 11 3 3" xfId="10534" xr:uid="{00000000-0005-0000-0000-0000C72F0000}"/>
    <cellStyle name="Normal 2 11 3 3 2" xfId="34019" xr:uid="{00000000-0005-0000-0000-0000C82F0000}"/>
    <cellStyle name="Normal 2 11 3 3 3" xfId="24700" xr:uid="{00000000-0005-0000-0000-0000C92F0000}"/>
    <cellStyle name="Normal 2 11 3 3 4" xfId="47962" xr:uid="{00000000-0005-0000-0000-0000CA2F0000}"/>
    <cellStyle name="Normal 2 11 3 4" xfId="15265" xr:uid="{00000000-0005-0000-0000-0000CB2F0000}"/>
    <cellStyle name="Normal 2 11 3 4 2" xfId="29397" xr:uid="{00000000-0005-0000-0000-0000CC2F0000}"/>
    <cellStyle name="Normal 2 11 3 4 3" xfId="43292" xr:uid="{00000000-0005-0000-0000-0000CD2F0000}"/>
    <cellStyle name="Normal 2 11 3 5" xfId="20078" xr:uid="{00000000-0005-0000-0000-0000CE2F0000}"/>
    <cellStyle name="Normal 2 11 3 6" xfId="38710" xr:uid="{00000000-0005-0000-0000-0000CF2F0000}"/>
    <cellStyle name="Normal 2 11 4" xfId="4662" xr:uid="{00000000-0005-0000-0000-0000D02F0000}"/>
    <cellStyle name="Normal 2 11 4 2" xfId="4663" xr:uid="{00000000-0005-0000-0000-0000D12F0000}"/>
    <cellStyle name="Normal 2 11 4 2 2" xfId="10537" xr:uid="{00000000-0005-0000-0000-0000D22F0000}"/>
    <cellStyle name="Normal 2 11 4 2 2 2" xfId="34022" xr:uid="{00000000-0005-0000-0000-0000D32F0000}"/>
    <cellStyle name="Normal 2 11 4 2 2 3" xfId="24703" xr:uid="{00000000-0005-0000-0000-0000D42F0000}"/>
    <cellStyle name="Normal 2 11 4 2 2 4" xfId="47965" xr:uid="{00000000-0005-0000-0000-0000D52F0000}"/>
    <cellStyle name="Normal 2 11 4 2 3" xfId="15268" xr:uid="{00000000-0005-0000-0000-0000D62F0000}"/>
    <cellStyle name="Normal 2 11 4 2 3 2" xfId="29400" xr:uid="{00000000-0005-0000-0000-0000D72F0000}"/>
    <cellStyle name="Normal 2 11 4 2 3 3" xfId="43295" xr:uid="{00000000-0005-0000-0000-0000D82F0000}"/>
    <cellStyle name="Normal 2 11 4 2 4" xfId="20081" xr:uid="{00000000-0005-0000-0000-0000D92F0000}"/>
    <cellStyle name="Normal 2 11 4 2 5" xfId="38713" xr:uid="{00000000-0005-0000-0000-0000DA2F0000}"/>
    <cellStyle name="Normal 2 11 4 3" xfId="10536" xr:uid="{00000000-0005-0000-0000-0000DB2F0000}"/>
    <cellStyle name="Normal 2 11 4 3 2" xfId="34021" xr:uid="{00000000-0005-0000-0000-0000DC2F0000}"/>
    <cellStyle name="Normal 2 11 4 3 3" xfId="24702" xr:uid="{00000000-0005-0000-0000-0000DD2F0000}"/>
    <cellStyle name="Normal 2 11 4 3 4" xfId="47964" xr:uid="{00000000-0005-0000-0000-0000DE2F0000}"/>
    <cellStyle name="Normal 2 11 4 4" xfId="15267" xr:uid="{00000000-0005-0000-0000-0000DF2F0000}"/>
    <cellStyle name="Normal 2 11 4 4 2" xfId="29399" xr:uid="{00000000-0005-0000-0000-0000E02F0000}"/>
    <cellStyle name="Normal 2 11 4 4 3" xfId="43294" xr:uid="{00000000-0005-0000-0000-0000E12F0000}"/>
    <cellStyle name="Normal 2 11 4 5" xfId="20080" xr:uid="{00000000-0005-0000-0000-0000E22F0000}"/>
    <cellStyle name="Normal 2 11 4 6" xfId="38712" xr:uid="{00000000-0005-0000-0000-0000E32F0000}"/>
    <cellStyle name="Normal 2 11 5" xfId="4664" xr:uid="{00000000-0005-0000-0000-0000E42F0000}"/>
    <cellStyle name="Normal 2 11 5 2" xfId="4665" xr:uid="{00000000-0005-0000-0000-0000E52F0000}"/>
    <cellStyle name="Normal 2 11 5 2 2" xfId="10539" xr:uid="{00000000-0005-0000-0000-0000E62F0000}"/>
    <cellStyle name="Normal 2 11 5 2 2 2" xfId="34024" xr:uid="{00000000-0005-0000-0000-0000E72F0000}"/>
    <cellStyle name="Normal 2 11 5 2 2 3" xfId="24705" xr:uid="{00000000-0005-0000-0000-0000E82F0000}"/>
    <cellStyle name="Normal 2 11 5 2 2 4" xfId="47967" xr:uid="{00000000-0005-0000-0000-0000E92F0000}"/>
    <cellStyle name="Normal 2 11 5 2 3" xfId="15270" xr:uid="{00000000-0005-0000-0000-0000EA2F0000}"/>
    <cellStyle name="Normal 2 11 5 2 3 2" xfId="29402" xr:uid="{00000000-0005-0000-0000-0000EB2F0000}"/>
    <cellStyle name="Normal 2 11 5 2 3 3" xfId="43297" xr:uid="{00000000-0005-0000-0000-0000EC2F0000}"/>
    <cellStyle name="Normal 2 11 5 2 4" xfId="20083" xr:uid="{00000000-0005-0000-0000-0000ED2F0000}"/>
    <cellStyle name="Normal 2 11 5 2 5" xfId="38715" xr:uid="{00000000-0005-0000-0000-0000EE2F0000}"/>
    <cellStyle name="Normal 2 11 5 3" xfId="10538" xr:uid="{00000000-0005-0000-0000-0000EF2F0000}"/>
    <cellStyle name="Normal 2 11 5 3 2" xfId="34023" xr:uid="{00000000-0005-0000-0000-0000F02F0000}"/>
    <cellStyle name="Normal 2 11 5 3 3" xfId="24704" xr:uid="{00000000-0005-0000-0000-0000F12F0000}"/>
    <cellStyle name="Normal 2 11 5 3 4" xfId="47966" xr:uid="{00000000-0005-0000-0000-0000F22F0000}"/>
    <cellStyle name="Normal 2 11 5 4" xfId="15269" xr:uid="{00000000-0005-0000-0000-0000F32F0000}"/>
    <cellStyle name="Normal 2 11 5 4 2" xfId="29401" xr:uid="{00000000-0005-0000-0000-0000F42F0000}"/>
    <cellStyle name="Normal 2 11 5 4 3" xfId="43296" xr:uid="{00000000-0005-0000-0000-0000F52F0000}"/>
    <cellStyle name="Normal 2 11 5 5" xfId="20082" xr:uid="{00000000-0005-0000-0000-0000F62F0000}"/>
    <cellStyle name="Normal 2 11 5 6" xfId="38714" xr:uid="{00000000-0005-0000-0000-0000F72F0000}"/>
    <cellStyle name="Normal 2 11 6" xfId="4666" xr:uid="{00000000-0005-0000-0000-0000F82F0000}"/>
    <cellStyle name="Normal 2 11 6 2" xfId="4667" xr:uid="{00000000-0005-0000-0000-0000F92F0000}"/>
    <cellStyle name="Normal 2 11 6 2 2" xfId="10541" xr:uid="{00000000-0005-0000-0000-0000FA2F0000}"/>
    <cellStyle name="Normal 2 11 6 2 2 2" xfId="34026" xr:uid="{00000000-0005-0000-0000-0000FB2F0000}"/>
    <cellStyle name="Normal 2 11 6 2 2 3" xfId="24707" xr:uid="{00000000-0005-0000-0000-0000FC2F0000}"/>
    <cellStyle name="Normal 2 11 6 2 2 4" xfId="47969" xr:uid="{00000000-0005-0000-0000-0000FD2F0000}"/>
    <cellStyle name="Normal 2 11 6 2 3" xfId="15272" xr:uid="{00000000-0005-0000-0000-0000FE2F0000}"/>
    <cellStyle name="Normal 2 11 6 2 3 2" xfId="29404" xr:uid="{00000000-0005-0000-0000-0000FF2F0000}"/>
    <cellStyle name="Normal 2 11 6 2 3 3" xfId="43299" xr:uid="{00000000-0005-0000-0000-000000300000}"/>
    <cellStyle name="Normal 2 11 6 2 4" xfId="20085" xr:uid="{00000000-0005-0000-0000-000001300000}"/>
    <cellStyle name="Normal 2 11 6 2 5" xfId="38717" xr:uid="{00000000-0005-0000-0000-000002300000}"/>
    <cellStyle name="Normal 2 11 6 3" xfId="10540" xr:uid="{00000000-0005-0000-0000-000003300000}"/>
    <cellStyle name="Normal 2 11 6 3 2" xfId="34025" xr:uid="{00000000-0005-0000-0000-000004300000}"/>
    <cellStyle name="Normal 2 11 6 3 3" xfId="24706" xr:uid="{00000000-0005-0000-0000-000005300000}"/>
    <cellStyle name="Normal 2 11 6 3 4" xfId="47968" xr:uid="{00000000-0005-0000-0000-000006300000}"/>
    <cellStyle name="Normal 2 11 6 4" xfId="15271" xr:uid="{00000000-0005-0000-0000-000007300000}"/>
    <cellStyle name="Normal 2 11 6 4 2" xfId="29403" xr:uid="{00000000-0005-0000-0000-000008300000}"/>
    <cellStyle name="Normal 2 11 6 4 3" xfId="43298" xr:uid="{00000000-0005-0000-0000-000009300000}"/>
    <cellStyle name="Normal 2 11 6 5" xfId="20084" xr:uid="{00000000-0005-0000-0000-00000A300000}"/>
    <cellStyle name="Normal 2 11 6 6" xfId="38716" xr:uid="{00000000-0005-0000-0000-00000B300000}"/>
    <cellStyle name="Normal 2 11 7" xfId="4668" xr:uid="{00000000-0005-0000-0000-00000C300000}"/>
    <cellStyle name="Normal 2 11 7 2" xfId="10542" xr:uid="{00000000-0005-0000-0000-00000D300000}"/>
    <cellStyle name="Normal 2 11 7 2 2" xfId="34027" xr:uid="{00000000-0005-0000-0000-00000E300000}"/>
    <cellStyle name="Normal 2 11 7 2 3" xfId="24708" xr:uid="{00000000-0005-0000-0000-00000F300000}"/>
    <cellStyle name="Normal 2 11 7 2 4" xfId="47970" xr:uid="{00000000-0005-0000-0000-000010300000}"/>
    <cellStyle name="Normal 2 11 7 3" xfId="15273" xr:uid="{00000000-0005-0000-0000-000011300000}"/>
    <cellStyle name="Normal 2 11 7 3 2" xfId="29405" xr:uid="{00000000-0005-0000-0000-000012300000}"/>
    <cellStyle name="Normal 2 11 7 3 3" xfId="43300" xr:uid="{00000000-0005-0000-0000-000013300000}"/>
    <cellStyle name="Normal 2 11 7 4" xfId="20086" xr:uid="{00000000-0005-0000-0000-000014300000}"/>
    <cellStyle name="Normal 2 11 7 5" xfId="38718" xr:uid="{00000000-0005-0000-0000-000015300000}"/>
    <cellStyle name="Normal 2 11 8" xfId="10531" xr:uid="{00000000-0005-0000-0000-000016300000}"/>
    <cellStyle name="Normal 2 11 8 2" xfId="34016" xr:uid="{00000000-0005-0000-0000-000017300000}"/>
    <cellStyle name="Normal 2 11 8 3" xfId="24697" xr:uid="{00000000-0005-0000-0000-000018300000}"/>
    <cellStyle name="Normal 2 11 8 4" xfId="47959" xr:uid="{00000000-0005-0000-0000-000019300000}"/>
    <cellStyle name="Normal 2 11 9" xfId="15262" xr:uid="{00000000-0005-0000-0000-00001A300000}"/>
    <cellStyle name="Normal 2 11 9 2" xfId="29394" xr:uid="{00000000-0005-0000-0000-00001B300000}"/>
    <cellStyle name="Normal 2 11 9 3" xfId="43289" xr:uid="{00000000-0005-0000-0000-00001C300000}"/>
    <cellStyle name="Normal 2 12" xfId="4669" xr:uid="{00000000-0005-0000-0000-00001D300000}"/>
    <cellStyle name="Normal 2 12 10" xfId="20087" xr:uid="{00000000-0005-0000-0000-00001E300000}"/>
    <cellStyle name="Normal 2 12 11" xfId="38719" xr:uid="{00000000-0005-0000-0000-00001F300000}"/>
    <cellStyle name="Normal 2 12 2" xfId="4670" xr:uid="{00000000-0005-0000-0000-000020300000}"/>
    <cellStyle name="Normal 2 12 2 2" xfId="4671" xr:uid="{00000000-0005-0000-0000-000021300000}"/>
    <cellStyle name="Normal 2 12 2 2 2" xfId="10545" xr:uid="{00000000-0005-0000-0000-000022300000}"/>
    <cellStyle name="Normal 2 12 2 2 2 2" xfId="34030" xr:uid="{00000000-0005-0000-0000-000023300000}"/>
    <cellStyle name="Normal 2 12 2 2 2 3" xfId="24711" xr:uid="{00000000-0005-0000-0000-000024300000}"/>
    <cellStyle name="Normal 2 12 2 2 2 4" xfId="47973" xr:uid="{00000000-0005-0000-0000-000025300000}"/>
    <cellStyle name="Normal 2 12 2 2 3" xfId="15276" xr:uid="{00000000-0005-0000-0000-000026300000}"/>
    <cellStyle name="Normal 2 12 2 2 3 2" xfId="29408" xr:uid="{00000000-0005-0000-0000-000027300000}"/>
    <cellStyle name="Normal 2 12 2 2 3 3" xfId="43303" xr:uid="{00000000-0005-0000-0000-000028300000}"/>
    <cellStyle name="Normal 2 12 2 2 4" xfId="20089" xr:uid="{00000000-0005-0000-0000-000029300000}"/>
    <cellStyle name="Normal 2 12 2 2 5" xfId="38721" xr:uid="{00000000-0005-0000-0000-00002A300000}"/>
    <cellStyle name="Normal 2 12 2 3" xfId="10544" xr:uid="{00000000-0005-0000-0000-00002B300000}"/>
    <cellStyle name="Normal 2 12 2 3 2" xfId="34029" xr:uid="{00000000-0005-0000-0000-00002C300000}"/>
    <cellStyle name="Normal 2 12 2 3 3" xfId="24710" xr:uid="{00000000-0005-0000-0000-00002D300000}"/>
    <cellStyle name="Normal 2 12 2 3 4" xfId="47972" xr:uid="{00000000-0005-0000-0000-00002E300000}"/>
    <cellStyle name="Normal 2 12 2 4" xfId="15275" xr:uid="{00000000-0005-0000-0000-00002F300000}"/>
    <cellStyle name="Normal 2 12 2 4 2" xfId="29407" xr:uid="{00000000-0005-0000-0000-000030300000}"/>
    <cellStyle name="Normal 2 12 2 4 3" xfId="43302" xr:uid="{00000000-0005-0000-0000-000031300000}"/>
    <cellStyle name="Normal 2 12 2 5" xfId="20088" xr:uid="{00000000-0005-0000-0000-000032300000}"/>
    <cellStyle name="Normal 2 12 2 6" xfId="38720" xr:uid="{00000000-0005-0000-0000-000033300000}"/>
    <cellStyle name="Normal 2 12 3" xfId="4672" xr:uid="{00000000-0005-0000-0000-000034300000}"/>
    <cellStyle name="Normal 2 12 3 2" xfId="4673" xr:uid="{00000000-0005-0000-0000-000035300000}"/>
    <cellStyle name="Normal 2 12 3 2 2" xfId="10547" xr:uid="{00000000-0005-0000-0000-000036300000}"/>
    <cellStyle name="Normal 2 12 3 2 2 2" xfId="34032" xr:uid="{00000000-0005-0000-0000-000037300000}"/>
    <cellStyle name="Normal 2 12 3 2 2 3" xfId="24713" xr:uid="{00000000-0005-0000-0000-000038300000}"/>
    <cellStyle name="Normal 2 12 3 2 2 4" xfId="47975" xr:uid="{00000000-0005-0000-0000-000039300000}"/>
    <cellStyle name="Normal 2 12 3 2 3" xfId="15278" xr:uid="{00000000-0005-0000-0000-00003A300000}"/>
    <cellStyle name="Normal 2 12 3 2 3 2" xfId="29410" xr:uid="{00000000-0005-0000-0000-00003B300000}"/>
    <cellStyle name="Normal 2 12 3 2 3 3" xfId="43305" xr:uid="{00000000-0005-0000-0000-00003C300000}"/>
    <cellStyle name="Normal 2 12 3 2 4" xfId="20091" xr:uid="{00000000-0005-0000-0000-00003D300000}"/>
    <cellStyle name="Normal 2 12 3 2 5" xfId="38723" xr:uid="{00000000-0005-0000-0000-00003E300000}"/>
    <cellStyle name="Normal 2 12 3 3" xfId="10546" xr:uid="{00000000-0005-0000-0000-00003F300000}"/>
    <cellStyle name="Normal 2 12 3 3 2" xfId="34031" xr:uid="{00000000-0005-0000-0000-000040300000}"/>
    <cellStyle name="Normal 2 12 3 3 3" xfId="24712" xr:uid="{00000000-0005-0000-0000-000041300000}"/>
    <cellStyle name="Normal 2 12 3 3 4" xfId="47974" xr:uid="{00000000-0005-0000-0000-000042300000}"/>
    <cellStyle name="Normal 2 12 3 4" xfId="15277" xr:uid="{00000000-0005-0000-0000-000043300000}"/>
    <cellStyle name="Normal 2 12 3 4 2" xfId="29409" xr:uid="{00000000-0005-0000-0000-000044300000}"/>
    <cellStyle name="Normal 2 12 3 4 3" xfId="43304" xr:uid="{00000000-0005-0000-0000-000045300000}"/>
    <cellStyle name="Normal 2 12 3 5" xfId="20090" xr:uid="{00000000-0005-0000-0000-000046300000}"/>
    <cellStyle name="Normal 2 12 3 6" xfId="38722" xr:uid="{00000000-0005-0000-0000-000047300000}"/>
    <cellStyle name="Normal 2 12 4" xfId="4674" xr:uid="{00000000-0005-0000-0000-000048300000}"/>
    <cellStyle name="Normal 2 12 4 2" xfId="4675" xr:uid="{00000000-0005-0000-0000-000049300000}"/>
    <cellStyle name="Normal 2 12 4 2 2" xfId="10549" xr:uid="{00000000-0005-0000-0000-00004A300000}"/>
    <cellStyle name="Normal 2 12 4 2 2 2" xfId="34034" xr:uid="{00000000-0005-0000-0000-00004B300000}"/>
    <cellStyle name="Normal 2 12 4 2 2 3" xfId="24715" xr:uid="{00000000-0005-0000-0000-00004C300000}"/>
    <cellStyle name="Normal 2 12 4 2 2 4" xfId="47977" xr:uid="{00000000-0005-0000-0000-00004D300000}"/>
    <cellStyle name="Normal 2 12 4 2 3" xfId="15280" xr:uid="{00000000-0005-0000-0000-00004E300000}"/>
    <cellStyle name="Normal 2 12 4 2 3 2" xfId="29412" xr:uid="{00000000-0005-0000-0000-00004F300000}"/>
    <cellStyle name="Normal 2 12 4 2 3 3" xfId="43307" xr:uid="{00000000-0005-0000-0000-000050300000}"/>
    <cellStyle name="Normal 2 12 4 2 4" xfId="20093" xr:uid="{00000000-0005-0000-0000-000051300000}"/>
    <cellStyle name="Normal 2 12 4 2 5" xfId="38725" xr:uid="{00000000-0005-0000-0000-000052300000}"/>
    <cellStyle name="Normal 2 12 4 3" xfId="10548" xr:uid="{00000000-0005-0000-0000-000053300000}"/>
    <cellStyle name="Normal 2 12 4 3 2" xfId="34033" xr:uid="{00000000-0005-0000-0000-000054300000}"/>
    <cellStyle name="Normal 2 12 4 3 3" xfId="24714" xr:uid="{00000000-0005-0000-0000-000055300000}"/>
    <cellStyle name="Normal 2 12 4 3 4" xfId="47976" xr:uid="{00000000-0005-0000-0000-000056300000}"/>
    <cellStyle name="Normal 2 12 4 4" xfId="15279" xr:uid="{00000000-0005-0000-0000-000057300000}"/>
    <cellStyle name="Normal 2 12 4 4 2" xfId="29411" xr:uid="{00000000-0005-0000-0000-000058300000}"/>
    <cellStyle name="Normal 2 12 4 4 3" xfId="43306" xr:uid="{00000000-0005-0000-0000-000059300000}"/>
    <cellStyle name="Normal 2 12 4 5" xfId="20092" xr:uid="{00000000-0005-0000-0000-00005A300000}"/>
    <cellStyle name="Normal 2 12 4 6" xfId="38724" xr:uid="{00000000-0005-0000-0000-00005B300000}"/>
    <cellStyle name="Normal 2 12 5" xfId="4676" xr:uid="{00000000-0005-0000-0000-00005C300000}"/>
    <cellStyle name="Normal 2 12 5 2" xfId="4677" xr:uid="{00000000-0005-0000-0000-00005D300000}"/>
    <cellStyle name="Normal 2 12 5 2 2" xfId="10551" xr:uid="{00000000-0005-0000-0000-00005E300000}"/>
    <cellStyle name="Normal 2 12 5 2 2 2" xfId="34036" xr:uid="{00000000-0005-0000-0000-00005F300000}"/>
    <cellStyle name="Normal 2 12 5 2 2 3" xfId="24717" xr:uid="{00000000-0005-0000-0000-000060300000}"/>
    <cellStyle name="Normal 2 12 5 2 2 4" xfId="47979" xr:uid="{00000000-0005-0000-0000-000061300000}"/>
    <cellStyle name="Normal 2 12 5 2 3" xfId="15282" xr:uid="{00000000-0005-0000-0000-000062300000}"/>
    <cellStyle name="Normal 2 12 5 2 3 2" xfId="29414" xr:uid="{00000000-0005-0000-0000-000063300000}"/>
    <cellStyle name="Normal 2 12 5 2 3 3" xfId="43309" xr:uid="{00000000-0005-0000-0000-000064300000}"/>
    <cellStyle name="Normal 2 12 5 2 4" xfId="20095" xr:uid="{00000000-0005-0000-0000-000065300000}"/>
    <cellStyle name="Normal 2 12 5 2 5" xfId="38727" xr:uid="{00000000-0005-0000-0000-000066300000}"/>
    <cellStyle name="Normal 2 12 5 3" xfId="10550" xr:uid="{00000000-0005-0000-0000-000067300000}"/>
    <cellStyle name="Normal 2 12 5 3 2" xfId="34035" xr:uid="{00000000-0005-0000-0000-000068300000}"/>
    <cellStyle name="Normal 2 12 5 3 3" xfId="24716" xr:uid="{00000000-0005-0000-0000-000069300000}"/>
    <cellStyle name="Normal 2 12 5 3 4" xfId="47978" xr:uid="{00000000-0005-0000-0000-00006A300000}"/>
    <cellStyle name="Normal 2 12 5 4" xfId="15281" xr:uid="{00000000-0005-0000-0000-00006B300000}"/>
    <cellStyle name="Normal 2 12 5 4 2" xfId="29413" xr:uid="{00000000-0005-0000-0000-00006C300000}"/>
    <cellStyle name="Normal 2 12 5 4 3" xfId="43308" xr:uid="{00000000-0005-0000-0000-00006D300000}"/>
    <cellStyle name="Normal 2 12 5 5" xfId="20094" xr:uid="{00000000-0005-0000-0000-00006E300000}"/>
    <cellStyle name="Normal 2 12 5 6" xfId="38726" xr:uid="{00000000-0005-0000-0000-00006F300000}"/>
    <cellStyle name="Normal 2 12 6" xfId="4678" xr:uid="{00000000-0005-0000-0000-000070300000}"/>
    <cellStyle name="Normal 2 12 6 2" xfId="4679" xr:uid="{00000000-0005-0000-0000-000071300000}"/>
    <cellStyle name="Normal 2 12 6 2 2" xfId="10553" xr:uid="{00000000-0005-0000-0000-000072300000}"/>
    <cellStyle name="Normal 2 12 6 2 2 2" xfId="34038" xr:uid="{00000000-0005-0000-0000-000073300000}"/>
    <cellStyle name="Normal 2 12 6 2 2 3" xfId="24719" xr:uid="{00000000-0005-0000-0000-000074300000}"/>
    <cellStyle name="Normal 2 12 6 2 2 4" xfId="47981" xr:uid="{00000000-0005-0000-0000-000075300000}"/>
    <cellStyle name="Normal 2 12 6 2 3" xfId="15284" xr:uid="{00000000-0005-0000-0000-000076300000}"/>
    <cellStyle name="Normal 2 12 6 2 3 2" xfId="29416" xr:uid="{00000000-0005-0000-0000-000077300000}"/>
    <cellStyle name="Normal 2 12 6 2 3 3" xfId="43311" xr:uid="{00000000-0005-0000-0000-000078300000}"/>
    <cellStyle name="Normal 2 12 6 2 4" xfId="20097" xr:uid="{00000000-0005-0000-0000-000079300000}"/>
    <cellStyle name="Normal 2 12 6 2 5" xfId="38729" xr:uid="{00000000-0005-0000-0000-00007A300000}"/>
    <cellStyle name="Normal 2 12 6 3" xfId="10552" xr:uid="{00000000-0005-0000-0000-00007B300000}"/>
    <cellStyle name="Normal 2 12 6 3 2" xfId="34037" xr:uid="{00000000-0005-0000-0000-00007C300000}"/>
    <cellStyle name="Normal 2 12 6 3 3" xfId="24718" xr:uid="{00000000-0005-0000-0000-00007D300000}"/>
    <cellStyle name="Normal 2 12 6 3 4" xfId="47980" xr:uid="{00000000-0005-0000-0000-00007E300000}"/>
    <cellStyle name="Normal 2 12 6 4" xfId="15283" xr:uid="{00000000-0005-0000-0000-00007F300000}"/>
    <cellStyle name="Normal 2 12 6 4 2" xfId="29415" xr:uid="{00000000-0005-0000-0000-000080300000}"/>
    <cellStyle name="Normal 2 12 6 4 3" xfId="43310" xr:uid="{00000000-0005-0000-0000-000081300000}"/>
    <cellStyle name="Normal 2 12 6 5" xfId="20096" xr:uid="{00000000-0005-0000-0000-000082300000}"/>
    <cellStyle name="Normal 2 12 6 6" xfId="38728" xr:uid="{00000000-0005-0000-0000-000083300000}"/>
    <cellStyle name="Normal 2 12 7" xfId="4680" xr:uid="{00000000-0005-0000-0000-000084300000}"/>
    <cellStyle name="Normal 2 12 7 2" xfId="10554" xr:uid="{00000000-0005-0000-0000-000085300000}"/>
    <cellStyle name="Normal 2 12 7 2 2" xfId="34039" xr:uid="{00000000-0005-0000-0000-000086300000}"/>
    <cellStyle name="Normal 2 12 7 2 3" xfId="24720" xr:uid="{00000000-0005-0000-0000-000087300000}"/>
    <cellStyle name="Normal 2 12 7 2 4" xfId="47982" xr:uid="{00000000-0005-0000-0000-000088300000}"/>
    <cellStyle name="Normal 2 12 7 3" xfId="15285" xr:uid="{00000000-0005-0000-0000-000089300000}"/>
    <cellStyle name="Normal 2 12 7 3 2" xfId="29417" xr:uid="{00000000-0005-0000-0000-00008A300000}"/>
    <cellStyle name="Normal 2 12 7 3 3" xfId="43312" xr:uid="{00000000-0005-0000-0000-00008B300000}"/>
    <cellStyle name="Normal 2 12 7 4" xfId="20098" xr:uid="{00000000-0005-0000-0000-00008C300000}"/>
    <cellStyle name="Normal 2 12 7 5" xfId="38730" xr:uid="{00000000-0005-0000-0000-00008D300000}"/>
    <cellStyle name="Normal 2 12 8" xfId="10543" xr:uid="{00000000-0005-0000-0000-00008E300000}"/>
    <cellStyle name="Normal 2 12 8 2" xfId="34028" xr:uid="{00000000-0005-0000-0000-00008F300000}"/>
    <cellStyle name="Normal 2 12 8 3" xfId="24709" xr:uid="{00000000-0005-0000-0000-000090300000}"/>
    <cellStyle name="Normal 2 12 8 4" xfId="47971" xr:uid="{00000000-0005-0000-0000-000091300000}"/>
    <cellStyle name="Normal 2 12 9" xfId="15274" xr:uid="{00000000-0005-0000-0000-000092300000}"/>
    <cellStyle name="Normal 2 12 9 2" xfId="29406" xr:uid="{00000000-0005-0000-0000-000093300000}"/>
    <cellStyle name="Normal 2 12 9 3" xfId="43301" xr:uid="{00000000-0005-0000-0000-000094300000}"/>
    <cellStyle name="Normal 2 13" xfId="4681" xr:uid="{00000000-0005-0000-0000-000095300000}"/>
    <cellStyle name="Normal 2 13 10" xfId="20099" xr:uid="{00000000-0005-0000-0000-000096300000}"/>
    <cellStyle name="Normal 2 13 11" xfId="38731" xr:uid="{00000000-0005-0000-0000-000097300000}"/>
    <cellStyle name="Normal 2 13 2" xfId="4682" xr:uid="{00000000-0005-0000-0000-000098300000}"/>
    <cellStyle name="Normal 2 13 2 2" xfId="4683" xr:uid="{00000000-0005-0000-0000-000099300000}"/>
    <cellStyle name="Normal 2 13 2 2 2" xfId="10557" xr:uid="{00000000-0005-0000-0000-00009A300000}"/>
    <cellStyle name="Normal 2 13 2 2 2 2" xfId="34042" xr:uid="{00000000-0005-0000-0000-00009B300000}"/>
    <cellStyle name="Normal 2 13 2 2 2 3" xfId="24723" xr:uid="{00000000-0005-0000-0000-00009C300000}"/>
    <cellStyle name="Normal 2 13 2 2 2 4" xfId="47985" xr:uid="{00000000-0005-0000-0000-00009D300000}"/>
    <cellStyle name="Normal 2 13 2 2 3" xfId="15288" xr:uid="{00000000-0005-0000-0000-00009E300000}"/>
    <cellStyle name="Normal 2 13 2 2 3 2" xfId="29420" xr:uid="{00000000-0005-0000-0000-00009F300000}"/>
    <cellStyle name="Normal 2 13 2 2 3 3" xfId="43315" xr:uid="{00000000-0005-0000-0000-0000A0300000}"/>
    <cellStyle name="Normal 2 13 2 2 4" xfId="20101" xr:uid="{00000000-0005-0000-0000-0000A1300000}"/>
    <cellStyle name="Normal 2 13 2 2 5" xfId="38733" xr:uid="{00000000-0005-0000-0000-0000A2300000}"/>
    <cellStyle name="Normal 2 13 2 3" xfId="10556" xr:uid="{00000000-0005-0000-0000-0000A3300000}"/>
    <cellStyle name="Normal 2 13 2 3 2" xfId="34041" xr:uid="{00000000-0005-0000-0000-0000A4300000}"/>
    <cellStyle name="Normal 2 13 2 3 3" xfId="24722" xr:uid="{00000000-0005-0000-0000-0000A5300000}"/>
    <cellStyle name="Normal 2 13 2 3 4" xfId="47984" xr:uid="{00000000-0005-0000-0000-0000A6300000}"/>
    <cellStyle name="Normal 2 13 2 4" xfId="15287" xr:uid="{00000000-0005-0000-0000-0000A7300000}"/>
    <cellStyle name="Normal 2 13 2 4 2" xfId="29419" xr:uid="{00000000-0005-0000-0000-0000A8300000}"/>
    <cellStyle name="Normal 2 13 2 4 3" xfId="43314" xr:uid="{00000000-0005-0000-0000-0000A9300000}"/>
    <cellStyle name="Normal 2 13 2 5" xfId="20100" xr:uid="{00000000-0005-0000-0000-0000AA300000}"/>
    <cellStyle name="Normal 2 13 2 6" xfId="38732" xr:uid="{00000000-0005-0000-0000-0000AB300000}"/>
    <cellStyle name="Normal 2 13 3" xfId="4684" xr:uid="{00000000-0005-0000-0000-0000AC300000}"/>
    <cellStyle name="Normal 2 13 3 2" xfId="4685" xr:uid="{00000000-0005-0000-0000-0000AD300000}"/>
    <cellStyle name="Normal 2 13 3 2 2" xfId="10559" xr:uid="{00000000-0005-0000-0000-0000AE300000}"/>
    <cellStyle name="Normal 2 13 3 2 2 2" xfId="34044" xr:uid="{00000000-0005-0000-0000-0000AF300000}"/>
    <cellStyle name="Normal 2 13 3 2 2 3" xfId="24725" xr:uid="{00000000-0005-0000-0000-0000B0300000}"/>
    <cellStyle name="Normal 2 13 3 2 2 4" xfId="47987" xr:uid="{00000000-0005-0000-0000-0000B1300000}"/>
    <cellStyle name="Normal 2 13 3 2 3" xfId="15290" xr:uid="{00000000-0005-0000-0000-0000B2300000}"/>
    <cellStyle name="Normal 2 13 3 2 3 2" xfId="29422" xr:uid="{00000000-0005-0000-0000-0000B3300000}"/>
    <cellStyle name="Normal 2 13 3 2 3 3" xfId="43317" xr:uid="{00000000-0005-0000-0000-0000B4300000}"/>
    <cellStyle name="Normal 2 13 3 2 4" xfId="20103" xr:uid="{00000000-0005-0000-0000-0000B5300000}"/>
    <cellStyle name="Normal 2 13 3 2 5" xfId="38735" xr:uid="{00000000-0005-0000-0000-0000B6300000}"/>
    <cellStyle name="Normal 2 13 3 3" xfId="10558" xr:uid="{00000000-0005-0000-0000-0000B7300000}"/>
    <cellStyle name="Normal 2 13 3 3 2" xfId="34043" xr:uid="{00000000-0005-0000-0000-0000B8300000}"/>
    <cellStyle name="Normal 2 13 3 3 3" xfId="24724" xr:uid="{00000000-0005-0000-0000-0000B9300000}"/>
    <cellStyle name="Normal 2 13 3 3 4" xfId="47986" xr:uid="{00000000-0005-0000-0000-0000BA300000}"/>
    <cellStyle name="Normal 2 13 3 4" xfId="15289" xr:uid="{00000000-0005-0000-0000-0000BB300000}"/>
    <cellStyle name="Normal 2 13 3 4 2" xfId="29421" xr:uid="{00000000-0005-0000-0000-0000BC300000}"/>
    <cellStyle name="Normal 2 13 3 4 3" xfId="43316" xr:uid="{00000000-0005-0000-0000-0000BD300000}"/>
    <cellStyle name="Normal 2 13 3 5" xfId="20102" xr:uid="{00000000-0005-0000-0000-0000BE300000}"/>
    <cellStyle name="Normal 2 13 3 6" xfId="38734" xr:uid="{00000000-0005-0000-0000-0000BF300000}"/>
    <cellStyle name="Normal 2 13 4" xfId="4686" xr:uid="{00000000-0005-0000-0000-0000C0300000}"/>
    <cellStyle name="Normal 2 13 4 2" xfId="4687" xr:uid="{00000000-0005-0000-0000-0000C1300000}"/>
    <cellStyle name="Normal 2 13 4 2 2" xfId="10561" xr:uid="{00000000-0005-0000-0000-0000C2300000}"/>
    <cellStyle name="Normal 2 13 4 2 2 2" xfId="34046" xr:uid="{00000000-0005-0000-0000-0000C3300000}"/>
    <cellStyle name="Normal 2 13 4 2 2 3" xfId="24727" xr:uid="{00000000-0005-0000-0000-0000C4300000}"/>
    <cellStyle name="Normal 2 13 4 2 2 4" xfId="47989" xr:uid="{00000000-0005-0000-0000-0000C5300000}"/>
    <cellStyle name="Normal 2 13 4 2 3" xfId="15292" xr:uid="{00000000-0005-0000-0000-0000C6300000}"/>
    <cellStyle name="Normal 2 13 4 2 3 2" xfId="29424" xr:uid="{00000000-0005-0000-0000-0000C7300000}"/>
    <cellStyle name="Normal 2 13 4 2 3 3" xfId="43319" xr:uid="{00000000-0005-0000-0000-0000C8300000}"/>
    <cellStyle name="Normal 2 13 4 2 4" xfId="20105" xr:uid="{00000000-0005-0000-0000-0000C9300000}"/>
    <cellStyle name="Normal 2 13 4 2 5" xfId="38737" xr:uid="{00000000-0005-0000-0000-0000CA300000}"/>
    <cellStyle name="Normal 2 13 4 3" xfId="10560" xr:uid="{00000000-0005-0000-0000-0000CB300000}"/>
    <cellStyle name="Normal 2 13 4 3 2" xfId="34045" xr:uid="{00000000-0005-0000-0000-0000CC300000}"/>
    <cellStyle name="Normal 2 13 4 3 3" xfId="24726" xr:uid="{00000000-0005-0000-0000-0000CD300000}"/>
    <cellStyle name="Normal 2 13 4 3 4" xfId="47988" xr:uid="{00000000-0005-0000-0000-0000CE300000}"/>
    <cellStyle name="Normal 2 13 4 4" xfId="15291" xr:uid="{00000000-0005-0000-0000-0000CF300000}"/>
    <cellStyle name="Normal 2 13 4 4 2" xfId="29423" xr:uid="{00000000-0005-0000-0000-0000D0300000}"/>
    <cellStyle name="Normal 2 13 4 4 3" xfId="43318" xr:uid="{00000000-0005-0000-0000-0000D1300000}"/>
    <cellStyle name="Normal 2 13 4 5" xfId="20104" xr:uid="{00000000-0005-0000-0000-0000D2300000}"/>
    <cellStyle name="Normal 2 13 4 6" xfId="38736" xr:uid="{00000000-0005-0000-0000-0000D3300000}"/>
    <cellStyle name="Normal 2 13 5" xfId="4688" xr:uid="{00000000-0005-0000-0000-0000D4300000}"/>
    <cellStyle name="Normal 2 13 5 2" xfId="4689" xr:uid="{00000000-0005-0000-0000-0000D5300000}"/>
    <cellStyle name="Normal 2 13 5 2 2" xfId="10563" xr:uid="{00000000-0005-0000-0000-0000D6300000}"/>
    <cellStyle name="Normal 2 13 5 2 2 2" xfId="34048" xr:uid="{00000000-0005-0000-0000-0000D7300000}"/>
    <cellStyle name="Normal 2 13 5 2 2 3" xfId="24729" xr:uid="{00000000-0005-0000-0000-0000D8300000}"/>
    <cellStyle name="Normal 2 13 5 2 2 4" xfId="47991" xr:uid="{00000000-0005-0000-0000-0000D9300000}"/>
    <cellStyle name="Normal 2 13 5 2 3" xfId="15294" xr:uid="{00000000-0005-0000-0000-0000DA300000}"/>
    <cellStyle name="Normal 2 13 5 2 3 2" xfId="29426" xr:uid="{00000000-0005-0000-0000-0000DB300000}"/>
    <cellStyle name="Normal 2 13 5 2 3 3" xfId="43321" xr:uid="{00000000-0005-0000-0000-0000DC300000}"/>
    <cellStyle name="Normal 2 13 5 2 4" xfId="20107" xr:uid="{00000000-0005-0000-0000-0000DD300000}"/>
    <cellStyle name="Normal 2 13 5 2 5" xfId="38739" xr:uid="{00000000-0005-0000-0000-0000DE300000}"/>
    <cellStyle name="Normal 2 13 5 3" xfId="10562" xr:uid="{00000000-0005-0000-0000-0000DF300000}"/>
    <cellStyle name="Normal 2 13 5 3 2" xfId="34047" xr:uid="{00000000-0005-0000-0000-0000E0300000}"/>
    <cellStyle name="Normal 2 13 5 3 3" xfId="24728" xr:uid="{00000000-0005-0000-0000-0000E1300000}"/>
    <cellStyle name="Normal 2 13 5 3 4" xfId="47990" xr:uid="{00000000-0005-0000-0000-0000E2300000}"/>
    <cellStyle name="Normal 2 13 5 4" xfId="15293" xr:uid="{00000000-0005-0000-0000-0000E3300000}"/>
    <cellStyle name="Normal 2 13 5 4 2" xfId="29425" xr:uid="{00000000-0005-0000-0000-0000E4300000}"/>
    <cellStyle name="Normal 2 13 5 4 3" xfId="43320" xr:uid="{00000000-0005-0000-0000-0000E5300000}"/>
    <cellStyle name="Normal 2 13 5 5" xfId="20106" xr:uid="{00000000-0005-0000-0000-0000E6300000}"/>
    <cellStyle name="Normal 2 13 5 6" xfId="38738" xr:uid="{00000000-0005-0000-0000-0000E7300000}"/>
    <cellStyle name="Normal 2 13 6" xfId="4690" xr:uid="{00000000-0005-0000-0000-0000E8300000}"/>
    <cellStyle name="Normal 2 13 6 2" xfId="4691" xr:uid="{00000000-0005-0000-0000-0000E9300000}"/>
    <cellStyle name="Normal 2 13 6 2 2" xfId="10565" xr:uid="{00000000-0005-0000-0000-0000EA300000}"/>
    <cellStyle name="Normal 2 13 6 2 2 2" xfId="34050" xr:uid="{00000000-0005-0000-0000-0000EB300000}"/>
    <cellStyle name="Normal 2 13 6 2 2 3" xfId="24731" xr:uid="{00000000-0005-0000-0000-0000EC300000}"/>
    <cellStyle name="Normal 2 13 6 2 2 4" xfId="47993" xr:uid="{00000000-0005-0000-0000-0000ED300000}"/>
    <cellStyle name="Normal 2 13 6 2 3" xfId="15296" xr:uid="{00000000-0005-0000-0000-0000EE300000}"/>
    <cellStyle name="Normal 2 13 6 2 3 2" xfId="29428" xr:uid="{00000000-0005-0000-0000-0000EF300000}"/>
    <cellStyle name="Normal 2 13 6 2 3 3" xfId="43323" xr:uid="{00000000-0005-0000-0000-0000F0300000}"/>
    <cellStyle name="Normal 2 13 6 2 4" xfId="20109" xr:uid="{00000000-0005-0000-0000-0000F1300000}"/>
    <cellStyle name="Normal 2 13 6 2 5" xfId="38741" xr:uid="{00000000-0005-0000-0000-0000F2300000}"/>
    <cellStyle name="Normal 2 13 6 3" xfId="10564" xr:uid="{00000000-0005-0000-0000-0000F3300000}"/>
    <cellStyle name="Normal 2 13 6 3 2" xfId="34049" xr:uid="{00000000-0005-0000-0000-0000F4300000}"/>
    <cellStyle name="Normal 2 13 6 3 3" xfId="24730" xr:uid="{00000000-0005-0000-0000-0000F5300000}"/>
    <cellStyle name="Normal 2 13 6 3 4" xfId="47992" xr:uid="{00000000-0005-0000-0000-0000F6300000}"/>
    <cellStyle name="Normal 2 13 6 4" xfId="15295" xr:uid="{00000000-0005-0000-0000-0000F7300000}"/>
    <cellStyle name="Normal 2 13 6 4 2" xfId="29427" xr:uid="{00000000-0005-0000-0000-0000F8300000}"/>
    <cellStyle name="Normal 2 13 6 4 3" xfId="43322" xr:uid="{00000000-0005-0000-0000-0000F9300000}"/>
    <cellStyle name="Normal 2 13 6 5" xfId="20108" xr:uid="{00000000-0005-0000-0000-0000FA300000}"/>
    <cellStyle name="Normal 2 13 6 6" xfId="38740" xr:uid="{00000000-0005-0000-0000-0000FB300000}"/>
    <cellStyle name="Normal 2 13 7" xfId="4692" xr:uid="{00000000-0005-0000-0000-0000FC300000}"/>
    <cellStyle name="Normal 2 13 7 2" xfId="10566" xr:uid="{00000000-0005-0000-0000-0000FD300000}"/>
    <cellStyle name="Normal 2 13 7 2 2" xfId="34051" xr:uid="{00000000-0005-0000-0000-0000FE300000}"/>
    <cellStyle name="Normal 2 13 7 2 3" xfId="24732" xr:uid="{00000000-0005-0000-0000-0000FF300000}"/>
    <cellStyle name="Normal 2 13 7 2 4" xfId="47994" xr:uid="{00000000-0005-0000-0000-000000310000}"/>
    <cellStyle name="Normal 2 13 7 3" xfId="15297" xr:uid="{00000000-0005-0000-0000-000001310000}"/>
    <cellStyle name="Normal 2 13 7 3 2" xfId="29429" xr:uid="{00000000-0005-0000-0000-000002310000}"/>
    <cellStyle name="Normal 2 13 7 3 3" xfId="43324" xr:uid="{00000000-0005-0000-0000-000003310000}"/>
    <cellStyle name="Normal 2 13 7 4" xfId="20110" xr:uid="{00000000-0005-0000-0000-000004310000}"/>
    <cellStyle name="Normal 2 13 7 5" xfId="38742" xr:uid="{00000000-0005-0000-0000-000005310000}"/>
    <cellStyle name="Normal 2 13 8" xfId="10555" xr:uid="{00000000-0005-0000-0000-000006310000}"/>
    <cellStyle name="Normal 2 13 8 2" xfId="34040" xr:uid="{00000000-0005-0000-0000-000007310000}"/>
    <cellStyle name="Normal 2 13 8 3" xfId="24721" xr:uid="{00000000-0005-0000-0000-000008310000}"/>
    <cellStyle name="Normal 2 13 8 4" xfId="47983" xr:uid="{00000000-0005-0000-0000-000009310000}"/>
    <cellStyle name="Normal 2 13 9" xfId="15286" xr:uid="{00000000-0005-0000-0000-00000A310000}"/>
    <cellStyle name="Normal 2 13 9 2" xfId="29418" xr:uid="{00000000-0005-0000-0000-00000B310000}"/>
    <cellStyle name="Normal 2 13 9 3" xfId="43313" xr:uid="{00000000-0005-0000-0000-00000C310000}"/>
    <cellStyle name="Normal 2 14" xfId="4693" xr:uid="{00000000-0005-0000-0000-00000D310000}"/>
    <cellStyle name="Normal 2 14 2" xfId="4694" xr:uid="{00000000-0005-0000-0000-00000E310000}"/>
    <cellStyle name="Normal 2 14 2 2" xfId="10568" xr:uid="{00000000-0005-0000-0000-00000F310000}"/>
    <cellStyle name="Normal 2 14 2 2 2" xfId="34053" xr:uid="{00000000-0005-0000-0000-000010310000}"/>
    <cellStyle name="Normal 2 14 2 2 3" xfId="24734" xr:uid="{00000000-0005-0000-0000-000011310000}"/>
    <cellStyle name="Normal 2 14 2 2 4" xfId="47996" xr:uid="{00000000-0005-0000-0000-000012310000}"/>
    <cellStyle name="Normal 2 14 2 3" xfId="15299" xr:uid="{00000000-0005-0000-0000-000013310000}"/>
    <cellStyle name="Normal 2 14 2 3 2" xfId="29431" xr:uid="{00000000-0005-0000-0000-000014310000}"/>
    <cellStyle name="Normal 2 14 2 3 3" xfId="43326" xr:uid="{00000000-0005-0000-0000-000015310000}"/>
    <cellStyle name="Normal 2 14 2 4" xfId="20112" xr:uid="{00000000-0005-0000-0000-000016310000}"/>
    <cellStyle name="Normal 2 14 2 5" xfId="38744" xr:uid="{00000000-0005-0000-0000-000017310000}"/>
    <cellStyle name="Normal 2 14 3" xfId="10567" xr:uid="{00000000-0005-0000-0000-000018310000}"/>
    <cellStyle name="Normal 2 14 3 2" xfId="34052" xr:uid="{00000000-0005-0000-0000-000019310000}"/>
    <cellStyle name="Normal 2 14 3 3" xfId="24733" xr:uid="{00000000-0005-0000-0000-00001A310000}"/>
    <cellStyle name="Normal 2 14 3 4" xfId="47995" xr:uid="{00000000-0005-0000-0000-00001B310000}"/>
    <cellStyle name="Normal 2 14 4" xfId="15298" xr:uid="{00000000-0005-0000-0000-00001C310000}"/>
    <cellStyle name="Normal 2 14 4 2" xfId="29430" xr:uid="{00000000-0005-0000-0000-00001D310000}"/>
    <cellStyle name="Normal 2 14 4 3" xfId="43325" xr:uid="{00000000-0005-0000-0000-00001E310000}"/>
    <cellStyle name="Normal 2 14 5" xfId="20111" xr:uid="{00000000-0005-0000-0000-00001F310000}"/>
    <cellStyle name="Normal 2 14 6" xfId="38743" xr:uid="{00000000-0005-0000-0000-000020310000}"/>
    <cellStyle name="Normal 2 15" xfId="4695" xr:uid="{00000000-0005-0000-0000-000021310000}"/>
    <cellStyle name="Normal 2 15 2" xfId="4696" xr:uid="{00000000-0005-0000-0000-000022310000}"/>
    <cellStyle name="Normal 2 15 2 2" xfId="10570" xr:uid="{00000000-0005-0000-0000-000023310000}"/>
    <cellStyle name="Normal 2 15 2 2 2" xfId="34055" xr:uid="{00000000-0005-0000-0000-000024310000}"/>
    <cellStyle name="Normal 2 15 2 2 3" xfId="24736" xr:uid="{00000000-0005-0000-0000-000025310000}"/>
    <cellStyle name="Normal 2 15 2 2 4" xfId="47998" xr:uid="{00000000-0005-0000-0000-000026310000}"/>
    <cellStyle name="Normal 2 15 2 3" xfId="15301" xr:uid="{00000000-0005-0000-0000-000027310000}"/>
    <cellStyle name="Normal 2 15 2 3 2" xfId="29433" xr:uid="{00000000-0005-0000-0000-000028310000}"/>
    <cellStyle name="Normal 2 15 2 3 3" xfId="43328" xr:uid="{00000000-0005-0000-0000-000029310000}"/>
    <cellStyle name="Normal 2 15 2 4" xfId="20114" xr:uid="{00000000-0005-0000-0000-00002A310000}"/>
    <cellStyle name="Normal 2 15 2 5" xfId="38746" xr:uid="{00000000-0005-0000-0000-00002B310000}"/>
    <cellStyle name="Normal 2 15 3" xfId="10569" xr:uid="{00000000-0005-0000-0000-00002C310000}"/>
    <cellStyle name="Normal 2 15 3 2" xfId="34054" xr:uid="{00000000-0005-0000-0000-00002D310000}"/>
    <cellStyle name="Normal 2 15 3 3" xfId="24735" xr:uid="{00000000-0005-0000-0000-00002E310000}"/>
    <cellStyle name="Normal 2 15 3 4" xfId="47997" xr:uid="{00000000-0005-0000-0000-00002F310000}"/>
    <cellStyle name="Normal 2 15 4" xfId="15300" xr:uid="{00000000-0005-0000-0000-000030310000}"/>
    <cellStyle name="Normal 2 15 4 2" xfId="29432" xr:uid="{00000000-0005-0000-0000-000031310000}"/>
    <cellStyle name="Normal 2 15 4 3" xfId="43327" xr:uid="{00000000-0005-0000-0000-000032310000}"/>
    <cellStyle name="Normal 2 15 5" xfId="20113" xr:uid="{00000000-0005-0000-0000-000033310000}"/>
    <cellStyle name="Normal 2 15 6" xfId="38745" xr:uid="{00000000-0005-0000-0000-000034310000}"/>
    <cellStyle name="Normal 2 16" xfId="4697" xr:uid="{00000000-0005-0000-0000-000035310000}"/>
    <cellStyle name="Normal 2 16 2" xfId="4698" xr:uid="{00000000-0005-0000-0000-000036310000}"/>
    <cellStyle name="Normal 2 16 2 2" xfId="10572" xr:uid="{00000000-0005-0000-0000-000037310000}"/>
    <cellStyle name="Normal 2 16 2 2 2" xfId="34057" xr:uid="{00000000-0005-0000-0000-000038310000}"/>
    <cellStyle name="Normal 2 16 2 2 3" xfId="24738" xr:uid="{00000000-0005-0000-0000-000039310000}"/>
    <cellStyle name="Normal 2 16 2 2 4" xfId="48000" xr:uid="{00000000-0005-0000-0000-00003A310000}"/>
    <cellStyle name="Normal 2 16 2 3" xfId="15303" xr:uid="{00000000-0005-0000-0000-00003B310000}"/>
    <cellStyle name="Normal 2 16 2 3 2" xfId="29435" xr:uid="{00000000-0005-0000-0000-00003C310000}"/>
    <cellStyle name="Normal 2 16 2 3 3" xfId="43330" xr:uid="{00000000-0005-0000-0000-00003D310000}"/>
    <cellStyle name="Normal 2 16 2 4" xfId="20116" xr:uid="{00000000-0005-0000-0000-00003E310000}"/>
    <cellStyle name="Normal 2 16 2 5" xfId="38748" xr:uid="{00000000-0005-0000-0000-00003F310000}"/>
    <cellStyle name="Normal 2 16 3" xfId="10571" xr:uid="{00000000-0005-0000-0000-000040310000}"/>
    <cellStyle name="Normal 2 16 3 2" xfId="34056" xr:uid="{00000000-0005-0000-0000-000041310000}"/>
    <cellStyle name="Normal 2 16 3 3" xfId="24737" xr:uid="{00000000-0005-0000-0000-000042310000}"/>
    <cellStyle name="Normal 2 16 3 4" xfId="47999" xr:uid="{00000000-0005-0000-0000-000043310000}"/>
    <cellStyle name="Normal 2 16 4" xfId="15302" xr:uid="{00000000-0005-0000-0000-000044310000}"/>
    <cellStyle name="Normal 2 16 4 2" xfId="29434" xr:uid="{00000000-0005-0000-0000-000045310000}"/>
    <cellStyle name="Normal 2 16 4 3" xfId="43329" xr:uid="{00000000-0005-0000-0000-000046310000}"/>
    <cellStyle name="Normal 2 16 5" xfId="20115" xr:uid="{00000000-0005-0000-0000-000047310000}"/>
    <cellStyle name="Normal 2 16 6" xfId="38747" xr:uid="{00000000-0005-0000-0000-000048310000}"/>
    <cellStyle name="Normal 2 17" xfId="4699" xr:uid="{00000000-0005-0000-0000-000049310000}"/>
    <cellStyle name="Normal 2 17 2" xfId="4700" xr:uid="{00000000-0005-0000-0000-00004A310000}"/>
    <cellStyle name="Normal 2 17 2 2" xfId="10574" xr:uid="{00000000-0005-0000-0000-00004B310000}"/>
    <cellStyle name="Normal 2 17 2 2 2" xfId="34059" xr:uid="{00000000-0005-0000-0000-00004C310000}"/>
    <cellStyle name="Normal 2 17 2 2 3" xfId="24740" xr:uid="{00000000-0005-0000-0000-00004D310000}"/>
    <cellStyle name="Normal 2 17 2 2 4" xfId="48002" xr:uid="{00000000-0005-0000-0000-00004E310000}"/>
    <cellStyle name="Normal 2 17 2 3" xfId="15305" xr:uid="{00000000-0005-0000-0000-00004F310000}"/>
    <cellStyle name="Normal 2 17 2 3 2" xfId="29437" xr:uid="{00000000-0005-0000-0000-000050310000}"/>
    <cellStyle name="Normal 2 17 2 3 3" xfId="43332" xr:uid="{00000000-0005-0000-0000-000051310000}"/>
    <cellStyle name="Normal 2 17 2 4" xfId="20118" xr:uid="{00000000-0005-0000-0000-000052310000}"/>
    <cellStyle name="Normal 2 17 2 5" xfId="38750" xr:uid="{00000000-0005-0000-0000-000053310000}"/>
    <cellStyle name="Normal 2 17 3" xfId="10573" xr:uid="{00000000-0005-0000-0000-000054310000}"/>
    <cellStyle name="Normal 2 17 3 2" xfId="34058" xr:uid="{00000000-0005-0000-0000-000055310000}"/>
    <cellStyle name="Normal 2 17 3 3" xfId="24739" xr:uid="{00000000-0005-0000-0000-000056310000}"/>
    <cellStyle name="Normal 2 17 3 4" xfId="48001" xr:uid="{00000000-0005-0000-0000-000057310000}"/>
    <cellStyle name="Normal 2 17 4" xfId="15304" xr:uid="{00000000-0005-0000-0000-000058310000}"/>
    <cellStyle name="Normal 2 17 4 2" xfId="29436" xr:uid="{00000000-0005-0000-0000-000059310000}"/>
    <cellStyle name="Normal 2 17 4 3" xfId="43331" xr:uid="{00000000-0005-0000-0000-00005A310000}"/>
    <cellStyle name="Normal 2 17 5" xfId="20117" xr:uid="{00000000-0005-0000-0000-00005B310000}"/>
    <cellStyle name="Normal 2 17 6" xfId="38749" xr:uid="{00000000-0005-0000-0000-00005C310000}"/>
    <cellStyle name="Normal 2 18" xfId="4701" xr:uid="{00000000-0005-0000-0000-00005D310000}"/>
    <cellStyle name="Normal 2 18 2" xfId="4702" xr:uid="{00000000-0005-0000-0000-00005E310000}"/>
    <cellStyle name="Normal 2 18 2 2" xfId="10576" xr:uid="{00000000-0005-0000-0000-00005F310000}"/>
    <cellStyle name="Normal 2 18 2 2 2" xfId="34061" xr:uid="{00000000-0005-0000-0000-000060310000}"/>
    <cellStyle name="Normal 2 18 2 2 3" xfId="24742" xr:uid="{00000000-0005-0000-0000-000061310000}"/>
    <cellStyle name="Normal 2 18 2 2 4" xfId="48004" xr:uid="{00000000-0005-0000-0000-000062310000}"/>
    <cellStyle name="Normal 2 18 2 3" xfId="15307" xr:uid="{00000000-0005-0000-0000-000063310000}"/>
    <cellStyle name="Normal 2 18 2 3 2" xfId="29439" xr:uid="{00000000-0005-0000-0000-000064310000}"/>
    <cellStyle name="Normal 2 18 2 3 3" xfId="43334" xr:uid="{00000000-0005-0000-0000-000065310000}"/>
    <cellStyle name="Normal 2 18 2 4" xfId="20120" xr:uid="{00000000-0005-0000-0000-000066310000}"/>
    <cellStyle name="Normal 2 18 2 5" xfId="38752" xr:uid="{00000000-0005-0000-0000-000067310000}"/>
    <cellStyle name="Normal 2 18 3" xfId="10575" xr:uid="{00000000-0005-0000-0000-000068310000}"/>
    <cellStyle name="Normal 2 18 3 2" xfId="34060" xr:uid="{00000000-0005-0000-0000-000069310000}"/>
    <cellStyle name="Normal 2 18 3 3" xfId="24741" xr:uid="{00000000-0005-0000-0000-00006A310000}"/>
    <cellStyle name="Normal 2 18 3 4" xfId="48003" xr:uid="{00000000-0005-0000-0000-00006B310000}"/>
    <cellStyle name="Normal 2 18 4" xfId="15306" xr:uid="{00000000-0005-0000-0000-00006C310000}"/>
    <cellStyle name="Normal 2 18 4 2" xfId="29438" xr:uid="{00000000-0005-0000-0000-00006D310000}"/>
    <cellStyle name="Normal 2 18 4 3" xfId="43333" xr:uid="{00000000-0005-0000-0000-00006E310000}"/>
    <cellStyle name="Normal 2 18 5" xfId="20119" xr:uid="{00000000-0005-0000-0000-00006F310000}"/>
    <cellStyle name="Normal 2 18 6" xfId="38751" xr:uid="{00000000-0005-0000-0000-000070310000}"/>
    <cellStyle name="Normal 2 19" xfId="4703" xr:uid="{00000000-0005-0000-0000-000071310000}"/>
    <cellStyle name="Normal 2 19 2" xfId="4704" xr:uid="{00000000-0005-0000-0000-000072310000}"/>
    <cellStyle name="Normal 2 19 2 2" xfId="10578" xr:uid="{00000000-0005-0000-0000-000073310000}"/>
    <cellStyle name="Normal 2 19 2 2 2" xfId="34063" xr:uid="{00000000-0005-0000-0000-000074310000}"/>
    <cellStyle name="Normal 2 19 2 2 3" xfId="24744" xr:uid="{00000000-0005-0000-0000-000075310000}"/>
    <cellStyle name="Normal 2 19 2 2 4" xfId="48006" xr:uid="{00000000-0005-0000-0000-000076310000}"/>
    <cellStyle name="Normal 2 19 2 3" xfId="15309" xr:uid="{00000000-0005-0000-0000-000077310000}"/>
    <cellStyle name="Normal 2 19 2 3 2" xfId="29441" xr:uid="{00000000-0005-0000-0000-000078310000}"/>
    <cellStyle name="Normal 2 19 2 3 3" xfId="43336" xr:uid="{00000000-0005-0000-0000-000079310000}"/>
    <cellStyle name="Normal 2 19 2 4" xfId="20122" xr:uid="{00000000-0005-0000-0000-00007A310000}"/>
    <cellStyle name="Normal 2 19 2 5" xfId="38754" xr:uid="{00000000-0005-0000-0000-00007B310000}"/>
    <cellStyle name="Normal 2 19 3" xfId="10577" xr:uid="{00000000-0005-0000-0000-00007C310000}"/>
    <cellStyle name="Normal 2 19 3 2" xfId="34062" xr:uid="{00000000-0005-0000-0000-00007D310000}"/>
    <cellStyle name="Normal 2 19 3 3" xfId="24743" xr:uid="{00000000-0005-0000-0000-00007E310000}"/>
    <cellStyle name="Normal 2 19 3 4" xfId="48005" xr:uid="{00000000-0005-0000-0000-00007F310000}"/>
    <cellStyle name="Normal 2 19 4" xfId="15308" xr:uid="{00000000-0005-0000-0000-000080310000}"/>
    <cellStyle name="Normal 2 19 4 2" xfId="29440" xr:uid="{00000000-0005-0000-0000-000081310000}"/>
    <cellStyle name="Normal 2 19 4 3" xfId="43335" xr:uid="{00000000-0005-0000-0000-000082310000}"/>
    <cellStyle name="Normal 2 19 5" xfId="20121" xr:uid="{00000000-0005-0000-0000-000083310000}"/>
    <cellStyle name="Normal 2 19 6" xfId="38753" xr:uid="{00000000-0005-0000-0000-000084310000}"/>
    <cellStyle name="Normal 2 2" xfId="10" xr:uid="{00000000-0005-0000-0000-000085310000}"/>
    <cellStyle name="Normal 2 2 10" xfId="4705" xr:uid="{00000000-0005-0000-0000-000086310000}"/>
    <cellStyle name="Normal 2 2 10 10" xfId="20123" xr:uid="{00000000-0005-0000-0000-000087310000}"/>
    <cellStyle name="Normal 2 2 10 11" xfId="38755" xr:uid="{00000000-0005-0000-0000-000088310000}"/>
    <cellStyle name="Normal 2 2 10 2" xfId="4706" xr:uid="{00000000-0005-0000-0000-000089310000}"/>
    <cellStyle name="Normal 2 2 10 2 2" xfId="4707" xr:uid="{00000000-0005-0000-0000-00008A310000}"/>
    <cellStyle name="Normal 2 2 10 2 2 2" xfId="10581" xr:uid="{00000000-0005-0000-0000-00008B310000}"/>
    <cellStyle name="Normal 2 2 10 2 2 2 2" xfId="34066" xr:uid="{00000000-0005-0000-0000-00008C310000}"/>
    <cellStyle name="Normal 2 2 10 2 2 2 3" xfId="24747" xr:uid="{00000000-0005-0000-0000-00008D310000}"/>
    <cellStyle name="Normal 2 2 10 2 2 2 4" xfId="48009" xr:uid="{00000000-0005-0000-0000-00008E310000}"/>
    <cellStyle name="Normal 2 2 10 2 2 3" xfId="15312" xr:uid="{00000000-0005-0000-0000-00008F310000}"/>
    <cellStyle name="Normal 2 2 10 2 2 3 2" xfId="29444" xr:uid="{00000000-0005-0000-0000-000090310000}"/>
    <cellStyle name="Normal 2 2 10 2 2 3 3" xfId="43339" xr:uid="{00000000-0005-0000-0000-000091310000}"/>
    <cellStyle name="Normal 2 2 10 2 2 4" xfId="20125" xr:uid="{00000000-0005-0000-0000-000092310000}"/>
    <cellStyle name="Normal 2 2 10 2 2 5" xfId="38757" xr:uid="{00000000-0005-0000-0000-000093310000}"/>
    <cellStyle name="Normal 2 2 10 2 3" xfId="10580" xr:uid="{00000000-0005-0000-0000-000094310000}"/>
    <cellStyle name="Normal 2 2 10 2 3 2" xfId="34065" xr:uid="{00000000-0005-0000-0000-000095310000}"/>
    <cellStyle name="Normal 2 2 10 2 3 3" xfId="24746" xr:uid="{00000000-0005-0000-0000-000096310000}"/>
    <cellStyle name="Normal 2 2 10 2 3 4" xfId="48008" xr:uid="{00000000-0005-0000-0000-000097310000}"/>
    <cellStyle name="Normal 2 2 10 2 4" xfId="15311" xr:uid="{00000000-0005-0000-0000-000098310000}"/>
    <cellStyle name="Normal 2 2 10 2 4 2" xfId="29443" xr:uid="{00000000-0005-0000-0000-000099310000}"/>
    <cellStyle name="Normal 2 2 10 2 4 3" xfId="43338" xr:uid="{00000000-0005-0000-0000-00009A310000}"/>
    <cellStyle name="Normal 2 2 10 2 5" xfId="20124" xr:uid="{00000000-0005-0000-0000-00009B310000}"/>
    <cellStyle name="Normal 2 2 10 2 6" xfId="38756" xr:uid="{00000000-0005-0000-0000-00009C310000}"/>
    <cellStyle name="Normal 2 2 10 3" xfId="4708" xr:uid="{00000000-0005-0000-0000-00009D310000}"/>
    <cellStyle name="Normal 2 2 10 3 2" xfId="4709" xr:uid="{00000000-0005-0000-0000-00009E310000}"/>
    <cellStyle name="Normal 2 2 10 3 2 2" xfId="10583" xr:uid="{00000000-0005-0000-0000-00009F310000}"/>
    <cellStyle name="Normal 2 2 10 3 2 2 2" xfId="34068" xr:uid="{00000000-0005-0000-0000-0000A0310000}"/>
    <cellStyle name="Normal 2 2 10 3 2 2 3" xfId="24749" xr:uid="{00000000-0005-0000-0000-0000A1310000}"/>
    <cellStyle name="Normal 2 2 10 3 2 2 4" xfId="48011" xr:uid="{00000000-0005-0000-0000-0000A2310000}"/>
    <cellStyle name="Normal 2 2 10 3 2 3" xfId="15314" xr:uid="{00000000-0005-0000-0000-0000A3310000}"/>
    <cellStyle name="Normal 2 2 10 3 2 3 2" xfId="29446" xr:uid="{00000000-0005-0000-0000-0000A4310000}"/>
    <cellStyle name="Normal 2 2 10 3 2 3 3" xfId="43341" xr:uid="{00000000-0005-0000-0000-0000A5310000}"/>
    <cellStyle name="Normal 2 2 10 3 2 4" xfId="20127" xr:uid="{00000000-0005-0000-0000-0000A6310000}"/>
    <cellStyle name="Normal 2 2 10 3 2 5" xfId="38759" xr:uid="{00000000-0005-0000-0000-0000A7310000}"/>
    <cellStyle name="Normal 2 2 10 3 3" xfId="10582" xr:uid="{00000000-0005-0000-0000-0000A8310000}"/>
    <cellStyle name="Normal 2 2 10 3 3 2" xfId="34067" xr:uid="{00000000-0005-0000-0000-0000A9310000}"/>
    <cellStyle name="Normal 2 2 10 3 3 3" xfId="24748" xr:uid="{00000000-0005-0000-0000-0000AA310000}"/>
    <cellStyle name="Normal 2 2 10 3 3 4" xfId="48010" xr:uid="{00000000-0005-0000-0000-0000AB310000}"/>
    <cellStyle name="Normal 2 2 10 3 4" xfId="15313" xr:uid="{00000000-0005-0000-0000-0000AC310000}"/>
    <cellStyle name="Normal 2 2 10 3 4 2" xfId="29445" xr:uid="{00000000-0005-0000-0000-0000AD310000}"/>
    <cellStyle name="Normal 2 2 10 3 4 3" xfId="43340" xr:uid="{00000000-0005-0000-0000-0000AE310000}"/>
    <cellStyle name="Normal 2 2 10 3 5" xfId="20126" xr:uid="{00000000-0005-0000-0000-0000AF310000}"/>
    <cellStyle name="Normal 2 2 10 3 6" xfId="38758" xr:uid="{00000000-0005-0000-0000-0000B0310000}"/>
    <cellStyle name="Normal 2 2 10 4" xfId="4710" xr:uid="{00000000-0005-0000-0000-0000B1310000}"/>
    <cellStyle name="Normal 2 2 10 4 2" xfId="4711" xr:uid="{00000000-0005-0000-0000-0000B2310000}"/>
    <cellStyle name="Normal 2 2 10 4 2 2" xfId="10585" xr:uid="{00000000-0005-0000-0000-0000B3310000}"/>
    <cellStyle name="Normal 2 2 10 4 2 2 2" xfId="34070" xr:uid="{00000000-0005-0000-0000-0000B4310000}"/>
    <cellStyle name="Normal 2 2 10 4 2 2 3" xfId="24751" xr:uid="{00000000-0005-0000-0000-0000B5310000}"/>
    <cellStyle name="Normal 2 2 10 4 2 2 4" xfId="48013" xr:uid="{00000000-0005-0000-0000-0000B6310000}"/>
    <cellStyle name="Normal 2 2 10 4 2 3" xfId="15316" xr:uid="{00000000-0005-0000-0000-0000B7310000}"/>
    <cellStyle name="Normal 2 2 10 4 2 3 2" xfId="29448" xr:uid="{00000000-0005-0000-0000-0000B8310000}"/>
    <cellStyle name="Normal 2 2 10 4 2 3 3" xfId="43343" xr:uid="{00000000-0005-0000-0000-0000B9310000}"/>
    <cellStyle name="Normal 2 2 10 4 2 4" xfId="20129" xr:uid="{00000000-0005-0000-0000-0000BA310000}"/>
    <cellStyle name="Normal 2 2 10 4 2 5" xfId="38761" xr:uid="{00000000-0005-0000-0000-0000BB310000}"/>
    <cellStyle name="Normal 2 2 10 4 3" xfId="10584" xr:uid="{00000000-0005-0000-0000-0000BC310000}"/>
    <cellStyle name="Normal 2 2 10 4 3 2" xfId="34069" xr:uid="{00000000-0005-0000-0000-0000BD310000}"/>
    <cellStyle name="Normal 2 2 10 4 3 3" xfId="24750" xr:uid="{00000000-0005-0000-0000-0000BE310000}"/>
    <cellStyle name="Normal 2 2 10 4 3 4" xfId="48012" xr:uid="{00000000-0005-0000-0000-0000BF310000}"/>
    <cellStyle name="Normal 2 2 10 4 4" xfId="15315" xr:uid="{00000000-0005-0000-0000-0000C0310000}"/>
    <cellStyle name="Normal 2 2 10 4 4 2" xfId="29447" xr:uid="{00000000-0005-0000-0000-0000C1310000}"/>
    <cellStyle name="Normal 2 2 10 4 4 3" xfId="43342" xr:uid="{00000000-0005-0000-0000-0000C2310000}"/>
    <cellStyle name="Normal 2 2 10 4 5" xfId="20128" xr:uid="{00000000-0005-0000-0000-0000C3310000}"/>
    <cellStyle name="Normal 2 2 10 4 6" xfId="38760" xr:uid="{00000000-0005-0000-0000-0000C4310000}"/>
    <cellStyle name="Normal 2 2 10 5" xfId="4712" xr:uid="{00000000-0005-0000-0000-0000C5310000}"/>
    <cellStyle name="Normal 2 2 10 5 2" xfId="4713" xr:uid="{00000000-0005-0000-0000-0000C6310000}"/>
    <cellStyle name="Normal 2 2 10 5 2 2" xfId="10587" xr:uid="{00000000-0005-0000-0000-0000C7310000}"/>
    <cellStyle name="Normal 2 2 10 5 2 2 2" xfId="34072" xr:uid="{00000000-0005-0000-0000-0000C8310000}"/>
    <cellStyle name="Normal 2 2 10 5 2 2 3" xfId="24753" xr:uid="{00000000-0005-0000-0000-0000C9310000}"/>
    <cellStyle name="Normal 2 2 10 5 2 2 4" xfId="48015" xr:uid="{00000000-0005-0000-0000-0000CA310000}"/>
    <cellStyle name="Normal 2 2 10 5 2 3" xfId="15318" xr:uid="{00000000-0005-0000-0000-0000CB310000}"/>
    <cellStyle name="Normal 2 2 10 5 2 3 2" xfId="29450" xr:uid="{00000000-0005-0000-0000-0000CC310000}"/>
    <cellStyle name="Normal 2 2 10 5 2 3 3" xfId="43345" xr:uid="{00000000-0005-0000-0000-0000CD310000}"/>
    <cellStyle name="Normal 2 2 10 5 2 4" xfId="20131" xr:uid="{00000000-0005-0000-0000-0000CE310000}"/>
    <cellStyle name="Normal 2 2 10 5 2 5" xfId="38763" xr:uid="{00000000-0005-0000-0000-0000CF310000}"/>
    <cellStyle name="Normal 2 2 10 5 3" xfId="10586" xr:uid="{00000000-0005-0000-0000-0000D0310000}"/>
    <cellStyle name="Normal 2 2 10 5 3 2" xfId="34071" xr:uid="{00000000-0005-0000-0000-0000D1310000}"/>
    <cellStyle name="Normal 2 2 10 5 3 3" xfId="24752" xr:uid="{00000000-0005-0000-0000-0000D2310000}"/>
    <cellStyle name="Normal 2 2 10 5 3 4" xfId="48014" xr:uid="{00000000-0005-0000-0000-0000D3310000}"/>
    <cellStyle name="Normal 2 2 10 5 4" xfId="15317" xr:uid="{00000000-0005-0000-0000-0000D4310000}"/>
    <cellStyle name="Normal 2 2 10 5 4 2" xfId="29449" xr:uid="{00000000-0005-0000-0000-0000D5310000}"/>
    <cellStyle name="Normal 2 2 10 5 4 3" xfId="43344" xr:uid="{00000000-0005-0000-0000-0000D6310000}"/>
    <cellStyle name="Normal 2 2 10 5 5" xfId="20130" xr:uid="{00000000-0005-0000-0000-0000D7310000}"/>
    <cellStyle name="Normal 2 2 10 5 6" xfId="38762" xr:uid="{00000000-0005-0000-0000-0000D8310000}"/>
    <cellStyle name="Normal 2 2 10 6" xfId="4714" xr:uid="{00000000-0005-0000-0000-0000D9310000}"/>
    <cellStyle name="Normal 2 2 10 6 2" xfId="4715" xr:uid="{00000000-0005-0000-0000-0000DA310000}"/>
    <cellStyle name="Normal 2 2 10 6 2 2" xfId="10589" xr:uid="{00000000-0005-0000-0000-0000DB310000}"/>
    <cellStyle name="Normal 2 2 10 6 2 2 2" xfId="34074" xr:uid="{00000000-0005-0000-0000-0000DC310000}"/>
    <cellStyle name="Normal 2 2 10 6 2 2 3" xfId="24755" xr:uid="{00000000-0005-0000-0000-0000DD310000}"/>
    <cellStyle name="Normal 2 2 10 6 2 2 4" xfId="48017" xr:uid="{00000000-0005-0000-0000-0000DE310000}"/>
    <cellStyle name="Normal 2 2 10 6 2 3" xfId="15320" xr:uid="{00000000-0005-0000-0000-0000DF310000}"/>
    <cellStyle name="Normal 2 2 10 6 2 3 2" xfId="29452" xr:uid="{00000000-0005-0000-0000-0000E0310000}"/>
    <cellStyle name="Normal 2 2 10 6 2 3 3" xfId="43347" xr:uid="{00000000-0005-0000-0000-0000E1310000}"/>
    <cellStyle name="Normal 2 2 10 6 2 4" xfId="20133" xr:uid="{00000000-0005-0000-0000-0000E2310000}"/>
    <cellStyle name="Normal 2 2 10 6 2 5" xfId="38765" xr:uid="{00000000-0005-0000-0000-0000E3310000}"/>
    <cellStyle name="Normal 2 2 10 6 3" xfId="10588" xr:uid="{00000000-0005-0000-0000-0000E4310000}"/>
    <cellStyle name="Normal 2 2 10 6 3 2" xfId="34073" xr:uid="{00000000-0005-0000-0000-0000E5310000}"/>
    <cellStyle name="Normal 2 2 10 6 3 3" xfId="24754" xr:uid="{00000000-0005-0000-0000-0000E6310000}"/>
    <cellStyle name="Normal 2 2 10 6 3 4" xfId="48016" xr:uid="{00000000-0005-0000-0000-0000E7310000}"/>
    <cellStyle name="Normal 2 2 10 6 4" xfId="15319" xr:uid="{00000000-0005-0000-0000-0000E8310000}"/>
    <cellStyle name="Normal 2 2 10 6 4 2" xfId="29451" xr:uid="{00000000-0005-0000-0000-0000E9310000}"/>
    <cellStyle name="Normal 2 2 10 6 4 3" xfId="43346" xr:uid="{00000000-0005-0000-0000-0000EA310000}"/>
    <cellStyle name="Normal 2 2 10 6 5" xfId="20132" xr:uid="{00000000-0005-0000-0000-0000EB310000}"/>
    <cellStyle name="Normal 2 2 10 6 6" xfId="38764" xr:uid="{00000000-0005-0000-0000-0000EC310000}"/>
    <cellStyle name="Normal 2 2 10 7" xfId="4716" xr:uid="{00000000-0005-0000-0000-0000ED310000}"/>
    <cellStyle name="Normal 2 2 10 7 2" xfId="10590" xr:uid="{00000000-0005-0000-0000-0000EE310000}"/>
    <cellStyle name="Normal 2 2 10 7 2 2" xfId="34075" xr:uid="{00000000-0005-0000-0000-0000EF310000}"/>
    <cellStyle name="Normal 2 2 10 7 2 3" xfId="24756" xr:uid="{00000000-0005-0000-0000-0000F0310000}"/>
    <cellStyle name="Normal 2 2 10 7 2 4" xfId="48018" xr:uid="{00000000-0005-0000-0000-0000F1310000}"/>
    <cellStyle name="Normal 2 2 10 7 3" xfId="15321" xr:uid="{00000000-0005-0000-0000-0000F2310000}"/>
    <cellStyle name="Normal 2 2 10 7 3 2" xfId="29453" xr:uid="{00000000-0005-0000-0000-0000F3310000}"/>
    <cellStyle name="Normal 2 2 10 7 3 3" xfId="43348" xr:uid="{00000000-0005-0000-0000-0000F4310000}"/>
    <cellStyle name="Normal 2 2 10 7 4" xfId="20134" xr:uid="{00000000-0005-0000-0000-0000F5310000}"/>
    <cellStyle name="Normal 2 2 10 7 5" xfId="38766" xr:uid="{00000000-0005-0000-0000-0000F6310000}"/>
    <cellStyle name="Normal 2 2 10 8" xfId="10579" xr:uid="{00000000-0005-0000-0000-0000F7310000}"/>
    <cellStyle name="Normal 2 2 10 8 2" xfId="34064" xr:uid="{00000000-0005-0000-0000-0000F8310000}"/>
    <cellStyle name="Normal 2 2 10 8 3" xfId="24745" xr:uid="{00000000-0005-0000-0000-0000F9310000}"/>
    <cellStyle name="Normal 2 2 10 8 4" xfId="48007" xr:uid="{00000000-0005-0000-0000-0000FA310000}"/>
    <cellStyle name="Normal 2 2 10 9" xfId="15310" xr:uid="{00000000-0005-0000-0000-0000FB310000}"/>
    <cellStyle name="Normal 2 2 10 9 2" xfId="29442" xr:uid="{00000000-0005-0000-0000-0000FC310000}"/>
    <cellStyle name="Normal 2 2 10 9 3" xfId="43337" xr:uid="{00000000-0005-0000-0000-0000FD310000}"/>
    <cellStyle name="Normal 2 2 11" xfId="4717" xr:uid="{00000000-0005-0000-0000-0000FE310000}"/>
    <cellStyle name="Normal 2 2 11 2" xfId="4718" xr:uid="{00000000-0005-0000-0000-0000FF310000}"/>
    <cellStyle name="Normal 2 2 11 2 2" xfId="10592" xr:uid="{00000000-0005-0000-0000-000000320000}"/>
    <cellStyle name="Normal 2 2 11 2 2 2" xfId="34077" xr:uid="{00000000-0005-0000-0000-000001320000}"/>
    <cellStyle name="Normal 2 2 11 2 2 3" xfId="24758" xr:uid="{00000000-0005-0000-0000-000002320000}"/>
    <cellStyle name="Normal 2 2 11 2 2 4" xfId="48020" xr:uid="{00000000-0005-0000-0000-000003320000}"/>
    <cellStyle name="Normal 2 2 11 2 3" xfId="15323" xr:uid="{00000000-0005-0000-0000-000004320000}"/>
    <cellStyle name="Normal 2 2 11 2 3 2" xfId="29455" xr:uid="{00000000-0005-0000-0000-000005320000}"/>
    <cellStyle name="Normal 2 2 11 2 3 3" xfId="43350" xr:uid="{00000000-0005-0000-0000-000006320000}"/>
    <cellStyle name="Normal 2 2 11 2 4" xfId="20136" xr:uid="{00000000-0005-0000-0000-000007320000}"/>
    <cellStyle name="Normal 2 2 11 2 5" xfId="38768" xr:uid="{00000000-0005-0000-0000-000008320000}"/>
    <cellStyle name="Normal 2 2 11 3" xfId="10591" xr:uid="{00000000-0005-0000-0000-000009320000}"/>
    <cellStyle name="Normal 2 2 11 3 2" xfId="34076" xr:uid="{00000000-0005-0000-0000-00000A320000}"/>
    <cellStyle name="Normal 2 2 11 3 3" xfId="24757" xr:uid="{00000000-0005-0000-0000-00000B320000}"/>
    <cellStyle name="Normal 2 2 11 3 4" xfId="48019" xr:uid="{00000000-0005-0000-0000-00000C320000}"/>
    <cellStyle name="Normal 2 2 11 4" xfId="15322" xr:uid="{00000000-0005-0000-0000-00000D320000}"/>
    <cellStyle name="Normal 2 2 11 4 2" xfId="29454" xr:uid="{00000000-0005-0000-0000-00000E320000}"/>
    <cellStyle name="Normal 2 2 11 4 3" xfId="43349" xr:uid="{00000000-0005-0000-0000-00000F320000}"/>
    <cellStyle name="Normal 2 2 11 5" xfId="20135" xr:uid="{00000000-0005-0000-0000-000010320000}"/>
    <cellStyle name="Normal 2 2 11 6" xfId="38767" xr:uid="{00000000-0005-0000-0000-000011320000}"/>
    <cellStyle name="Normal 2 2 12" xfId="4719" xr:uid="{00000000-0005-0000-0000-000012320000}"/>
    <cellStyle name="Normal 2 2 12 2" xfId="4720" xr:uid="{00000000-0005-0000-0000-000013320000}"/>
    <cellStyle name="Normal 2 2 12 2 2" xfId="10594" xr:uid="{00000000-0005-0000-0000-000014320000}"/>
    <cellStyle name="Normal 2 2 12 2 2 2" xfId="34079" xr:uid="{00000000-0005-0000-0000-000015320000}"/>
    <cellStyle name="Normal 2 2 12 2 2 3" xfId="24760" xr:uid="{00000000-0005-0000-0000-000016320000}"/>
    <cellStyle name="Normal 2 2 12 2 2 4" xfId="48022" xr:uid="{00000000-0005-0000-0000-000017320000}"/>
    <cellStyle name="Normal 2 2 12 2 3" xfId="15325" xr:uid="{00000000-0005-0000-0000-000018320000}"/>
    <cellStyle name="Normal 2 2 12 2 3 2" xfId="29457" xr:uid="{00000000-0005-0000-0000-000019320000}"/>
    <cellStyle name="Normal 2 2 12 2 3 3" xfId="43352" xr:uid="{00000000-0005-0000-0000-00001A320000}"/>
    <cellStyle name="Normal 2 2 12 2 4" xfId="20138" xr:uid="{00000000-0005-0000-0000-00001B320000}"/>
    <cellStyle name="Normal 2 2 12 2 5" xfId="38770" xr:uid="{00000000-0005-0000-0000-00001C320000}"/>
    <cellStyle name="Normal 2 2 12 3" xfId="10593" xr:uid="{00000000-0005-0000-0000-00001D320000}"/>
    <cellStyle name="Normal 2 2 12 3 2" xfId="34078" xr:uid="{00000000-0005-0000-0000-00001E320000}"/>
    <cellStyle name="Normal 2 2 12 3 3" xfId="24759" xr:uid="{00000000-0005-0000-0000-00001F320000}"/>
    <cellStyle name="Normal 2 2 12 3 4" xfId="48021" xr:uid="{00000000-0005-0000-0000-000020320000}"/>
    <cellStyle name="Normal 2 2 12 4" xfId="15324" xr:uid="{00000000-0005-0000-0000-000021320000}"/>
    <cellStyle name="Normal 2 2 12 4 2" xfId="29456" xr:uid="{00000000-0005-0000-0000-000022320000}"/>
    <cellStyle name="Normal 2 2 12 4 3" xfId="43351" xr:uid="{00000000-0005-0000-0000-000023320000}"/>
    <cellStyle name="Normal 2 2 12 5" xfId="20137" xr:uid="{00000000-0005-0000-0000-000024320000}"/>
    <cellStyle name="Normal 2 2 12 6" xfId="38769" xr:uid="{00000000-0005-0000-0000-000025320000}"/>
    <cellStyle name="Normal 2 2 13" xfId="4721" xr:uid="{00000000-0005-0000-0000-000026320000}"/>
    <cellStyle name="Normal 2 2 13 2" xfId="4722" xr:uid="{00000000-0005-0000-0000-000027320000}"/>
    <cellStyle name="Normal 2 2 13 2 2" xfId="10596" xr:uid="{00000000-0005-0000-0000-000028320000}"/>
    <cellStyle name="Normal 2 2 13 2 2 2" xfId="34081" xr:uid="{00000000-0005-0000-0000-000029320000}"/>
    <cellStyle name="Normal 2 2 13 2 2 3" xfId="24762" xr:uid="{00000000-0005-0000-0000-00002A320000}"/>
    <cellStyle name="Normal 2 2 13 2 2 4" xfId="48024" xr:uid="{00000000-0005-0000-0000-00002B320000}"/>
    <cellStyle name="Normal 2 2 13 2 3" xfId="15327" xr:uid="{00000000-0005-0000-0000-00002C320000}"/>
    <cellStyle name="Normal 2 2 13 2 3 2" xfId="29459" xr:uid="{00000000-0005-0000-0000-00002D320000}"/>
    <cellStyle name="Normal 2 2 13 2 3 3" xfId="43354" xr:uid="{00000000-0005-0000-0000-00002E320000}"/>
    <cellStyle name="Normal 2 2 13 2 4" xfId="20140" xr:uid="{00000000-0005-0000-0000-00002F320000}"/>
    <cellStyle name="Normal 2 2 13 2 5" xfId="38772" xr:uid="{00000000-0005-0000-0000-000030320000}"/>
    <cellStyle name="Normal 2 2 13 3" xfId="10595" xr:uid="{00000000-0005-0000-0000-000031320000}"/>
    <cellStyle name="Normal 2 2 13 3 2" xfId="34080" xr:uid="{00000000-0005-0000-0000-000032320000}"/>
    <cellStyle name="Normal 2 2 13 3 3" xfId="24761" xr:uid="{00000000-0005-0000-0000-000033320000}"/>
    <cellStyle name="Normal 2 2 13 3 4" xfId="48023" xr:uid="{00000000-0005-0000-0000-000034320000}"/>
    <cellStyle name="Normal 2 2 13 4" xfId="15326" xr:uid="{00000000-0005-0000-0000-000035320000}"/>
    <cellStyle name="Normal 2 2 13 4 2" xfId="29458" xr:uid="{00000000-0005-0000-0000-000036320000}"/>
    <cellStyle name="Normal 2 2 13 4 3" xfId="43353" xr:uid="{00000000-0005-0000-0000-000037320000}"/>
    <cellStyle name="Normal 2 2 13 5" xfId="20139" xr:uid="{00000000-0005-0000-0000-000038320000}"/>
    <cellStyle name="Normal 2 2 13 6" xfId="38771" xr:uid="{00000000-0005-0000-0000-000039320000}"/>
    <cellStyle name="Normal 2 2 14" xfId="4723" xr:uid="{00000000-0005-0000-0000-00003A320000}"/>
    <cellStyle name="Normal 2 2 14 2" xfId="4724" xr:uid="{00000000-0005-0000-0000-00003B320000}"/>
    <cellStyle name="Normal 2 2 14 2 2" xfId="10598" xr:uid="{00000000-0005-0000-0000-00003C320000}"/>
    <cellStyle name="Normal 2 2 14 2 2 2" xfId="34083" xr:uid="{00000000-0005-0000-0000-00003D320000}"/>
    <cellStyle name="Normal 2 2 14 2 2 3" xfId="24764" xr:uid="{00000000-0005-0000-0000-00003E320000}"/>
    <cellStyle name="Normal 2 2 14 2 2 4" xfId="48026" xr:uid="{00000000-0005-0000-0000-00003F320000}"/>
    <cellStyle name="Normal 2 2 14 2 3" xfId="15329" xr:uid="{00000000-0005-0000-0000-000040320000}"/>
    <cellStyle name="Normal 2 2 14 2 3 2" xfId="29461" xr:uid="{00000000-0005-0000-0000-000041320000}"/>
    <cellStyle name="Normal 2 2 14 2 3 3" xfId="43356" xr:uid="{00000000-0005-0000-0000-000042320000}"/>
    <cellStyle name="Normal 2 2 14 2 4" xfId="20142" xr:uid="{00000000-0005-0000-0000-000043320000}"/>
    <cellStyle name="Normal 2 2 14 2 5" xfId="38774" xr:uid="{00000000-0005-0000-0000-000044320000}"/>
    <cellStyle name="Normal 2 2 14 3" xfId="10597" xr:uid="{00000000-0005-0000-0000-000045320000}"/>
    <cellStyle name="Normal 2 2 14 3 2" xfId="34082" xr:uid="{00000000-0005-0000-0000-000046320000}"/>
    <cellStyle name="Normal 2 2 14 3 3" xfId="24763" xr:uid="{00000000-0005-0000-0000-000047320000}"/>
    <cellStyle name="Normal 2 2 14 3 4" xfId="48025" xr:uid="{00000000-0005-0000-0000-000048320000}"/>
    <cellStyle name="Normal 2 2 14 4" xfId="15328" xr:uid="{00000000-0005-0000-0000-000049320000}"/>
    <cellStyle name="Normal 2 2 14 4 2" xfId="29460" xr:uid="{00000000-0005-0000-0000-00004A320000}"/>
    <cellStyle name="Normal 2 2 14 4 3" xfId="43355" xr:uid="{00000000-0005-0000-0000-00004B320000}"/>
    <cellStyle name="Normal 2 2 14 5" xfId="20141" xr:uid="{00000000-0005-0000-0000-00004C320000}"/>
    <cellStyle name="Normal 2 2 14 6" xfId="38773" xr:uid="{00000000-0005-0000-0000-00004D320000}"/>
    <cellStyle name="Normal 2 2 15" xfId="4725" xr:uid="{00000000-0005-0000-0000-00004E320000}"/>
    <cellStyle name="Normal 2 2 15 2" xfId="4726" xr:uid="{00000000-0005-0000-0000-00004F320000}"/>
    <cellStyle name="Normal 2 2 15 2 2" xfId="10600" xr:uid="{00000000-0005-0000-0000-000050320000}"/>
    <cellStyle name="Normal 2 2 15 2 2 2" xfId="34085" xr:uid="{00000000-0005-0000-0000-000051320000}"/>
    <cellStyle name="Normal 2 2 15 2 2 3" xfId="24766" xr:uid="{00000000-0005-0000-0000-000052320000}"/>
    <cellStyle name="Normal 2 2 15 2 2 4" xfId="48028" xr:uid="{00000000-0005-0000-0000-000053320000}"/>
    <cellStyle name="Normal 2 2 15 2 3" xfId="15331" xr:uid="{00000000-0005-0000-0000-000054320000}"/>
    <cellStyle name="Normal 2 2 15 2 3 2" xfId="29463" xr:uid="{00000000-0005-0000-0000-000055320000}"/>
    <cellStyle name="Normal 2 2 15 2 3 3" xfId="43358" xr:uid="{00000000-0005-0000-0000-000056320000}"/>
    <cellStyle name="Normal 2 2 15 2 4" xfId="20144" xr:uid="{00000000-0005-0000-0000-000057320000}"/>
    <cellStyle name="Normal 2 2 15 2 5" xfId="38776" xr:uid="{00000000-0005-0000-0000-000058320000}"/>
    <cellStyle name="Normal 2 2 15 3" xfId="10599" xr:uid="{00000000-0005-0000-0000-000059320000}"/>
    <cellStyle name="Normal 2 2 15 3 2" xfId="34084" xr:uid="{00000000-0005-0000-0000-00005A320000}"/>
    <cellStyle name="Normal 2 2 15 3 3" xfId="24765" xr:uid="{00000000-0005-0000-0000-00005B320000}"/>
    <cellStyle name="Normal 2 2 15 3 4" xfId="48027" xr:uid="{00000000-0005-0000-0000-00005C320000}"/>
    <cellStyle name="Normal 2 2 15 4" xfId="15330" xr:uid="{00000000-0005-0000-0000-00005D320000}"/>
    <cellStyle name="Normal 2 2 15 4 2" xfId="29462" xr:uid="{00000000-0005-0000-0000-00005E320000}"/>
    <cellStyle name="Normal 2 2 15 4 3" xfId="43357" xr:uid="{00000000-0005-0000-0000-00005F320000}"/>
    <cellStyle name="Normal 2 2 15 5" xfId="20143" xr:uid="{00000000-0005-0000-0000-000060320000}"/>
    <cellStyle name="Normal 2 2 15 6" xfId="38775" xr:uid="{00000000-0005-0000-0000-000061320000}"/>
    <cellStyle name="Normal 2 2 16" xfId="410" xr:uid="{00000000-0005-0000-0000-000062320000}"/>
    <cellStyle name="Normal 2 2 16 2" xfId="9671" xr:uid="{00000000-0005-0000-0000-000063320000}"/>
    <cellStyle name="Normal 2 2 16 2 2" xfId="33162" xr:uid="{00000000-0005-0000-0000-000064320000}"/>
    <cellStyle name="Normal 2 2 16 2 3" xfId="23847" xr:uid="{00000000-0005-0000-0000-000065320000}"/>
    <cellStyle name="Normal 2 2 16 2 4" xfId="47105" xr:uid="{00000000-0005-0000-0000-000066320000}"/>
    <cellStyle name="Normal 2 2 16 3" xfId="14432" xr:uid="{00000000-0005-0000-0000-000067320000}"/>
    <cellStyle name="Normal 2 2 16 3 2" xfId="28563" xr:uid="{00000000-0005-0000-0000-000068320000}"/>
    <cellStyle name="Normal 2 2 16 3 3" xfId="42443" xr:uid="{00000000-0005-0000-0000-000069320000}"/>
    <cellStyle name="Normal 2 2 16 4" xfId="19243" xr:uid="{00000000-0005-0000-0000-00006A320000}"/>
    <cellStyle name="Normal 2 2 16 5" xfId="37878" xr:uid="{00000000-0005-0000-0000-00006B320000}"/>
    <cellStyle name="Normal 2 2 2" xfId="47" xr:uid="{00000000-0005-0000-0000-00006C320000}"/>
    <cellStyle name="Normal 2 2 2 10" xfId="4727" xr:uid="{00000000-0005-0000-0000-00006D320000}"/>
    <cellStyle name="Normal 2 2 2 11" xfId="4728" xr:uid="{00000000-0005-0000-0000-00006E320000}"/>
    <cellStyle name="Normal 2 2 2 12" xfId="4729" xr:uid="{00000000-0005-0000-0000-00006F320000}"/>
    <cellStyle name="Normal 2 2 2 13" xfId="4730" xr:uid="{00000000-0005-0000-0000-000070320000}"/>
    <cellStyle name="Normal 2 2 2 14" xfId="4731" xr:uid="{00000000-0005-0000-0000-000071320000}"/>
    <cellStyle name="Normal 2 2 2 15" xfId="4732" xr:uid="{00000000-0005-0000-0000-000072320000}"/>
    <cellStyle name="Normal 2 2 2 16" xfId="4733" xr:uid="{00000000-0005-0000-0000-000073320000}"/>
    <cellStyle name="Normal 2 2 2 16 2" xfId="10601" xr:uid="{00000000-0005-0000-0000-000074320000}"/>
    <cellStyle name="Normal 2 2 2 16 2 2" xfId="34086" xr:uid="{00000000-0005-0000-0000-000075320000}"/>
    <cellStyle name="Normal 2 2 2 16 2 3" xfId="24767" xr:uid="{00000000-0005-0000-0000-000076320000}"/>
    <cellStyle name="Normal 2 2 2 16 2 4" xfId="48029" xr:uid="{00000000-0005-0000-0000-000077320000}"/>
    <cellStyle name="Normal 2 2 2 16 3" xfId="15332" xr:uid="{00000000-0005-0000-0000-000078320000}"/>
    <cellStyle name="Normal 2 2 2 16 3 2" xfId="29464" xr:uid="{00000000-0005-0000-0000-000079320000}"/>
    <cellStyle name="Normal 2 2 2 16 3 3" xfId="43359" xr:uid="{00000000-0005-0000-0000-00007A320000}"/>
    <cellStyle name="Normal 2 2 2 16 4" xfId="20145" xr:uid="{00000000-0005-0000-0000-00007B320000}"/>
    <cellStyle name="Normal 2 2 2 16 5" xfId="38777" xr:uid="{00000000-0005-0000-0000-00007C320000}"/>
    <cellStyle name="Normal 2 2 2 17" xfId="4734" xr:uid="{00000000-0005-0000-0000-00007D320000}"/>
    <cellStyle name="Normal 2 2 2 17 2" xfId="10602" xr:uid="{00000000-0005-0000-0000-00007E320000}"/>
    <cellStyle name="Normal 2 2 2 17 2 2" xfId="34087" xr:uid="{00000000-0005-0000-0000-00007F320000}"/>
    <cellStyle name="Normal 2 2 2 17 2 3" xfId="24768" xr:uid="{00000000-0005-0000-0000-000080320000}"/>
    <cellStyle name="Normal 2 2 2 17 2 4" xfId="48030" xr:uid="{00000000-0005-0000-0000-000081320000}"/>
    <cellStyle name="Normal 2 2 2 17 3" xfId="15333" xr:uid="{00000000-0005-0000-0000-000082320000}"/>
    <cellStyle name="Normal 2 2 2 17 3 2" xfId="29465" xr:uid="{00000000-0005-0000-0000-000083320000}"/>
    <cellStyle name="Normal 2 2 2 17 3 3" xfId="43360" xr:uid="{00000000-0005-0000-0000-000084320000}"/>
    <cellStyle name="Normal 2 2 2 17 4" xfId="20146" xr:uid="{00000000-0005-0000-0000-000085320000}"/>
    <cellStyle name="Normal 2 2 2 17 5" xfId="38778" xr:uid="{00000000-0005-0000-0000-000086320000}"/>
    <cellStyle name="Normal 2 2 2 18" xfId="411" xr:uid="{00000000-0005-0000-0000-000087320000}"/>
    <cellStyle name="Normal 2 2 2 2" xfId="4735" xr:uid="{00000000-0005-0000-0000-000088320000}"/>
    <cellStyle name="Normal 2 2 2 2 2" xfId="4736" xr:uid="{00000000-0005-0000-0000-000089320000}"/>
    <cellStyle name="Normal 2 2 2 2 2 10" xfId="20147" xr:uid="{00000000-0005-0000-0000-00008A320000}"/>
    <cellStyle name="Normal 2 2 2 2 2 11" xfId="38779" xr:uid="{00000000-0005-0000-0000-00008B320000}"/>
    <cellStyle name="Normal 2 2 2 2 2 2" xfId="4737" xr:uid="{00000000-0005-0000-0000-00008C320000}"/>
    <cellStyle name="Normal 2 2 2 2 2 3" xfId="4738" xr:uid="{00000000-0005-0000-0000-00008D320000}"/>
    <cellStyle name="Normal 2 2 2 2 2 4" xfId="4739" xr:uid="{00000000-0005-0000-0000-00008E320000}"/>
    <cellStyle name="Normal 2 2 2 2 2 5" xfId="4740" xr:uid="{00000000-0005-0000-0000-00008F320000}"/>
    <cellStyle name="Normal 2 2 2 2 2 6" xfId="4741" xr:uid="{00000000-0005-0000-0000-000090320000}"/>
    <cellStyle name="Normal 2 2 2 2 2 7" xfId="4742" xr:uid="{00000000-0005-0000-0000-000091320000}"/>
    <cellStyle name="Normal 2 2 2 2 2 7 2" xfId="10604" xr:uid="{00000000-0005-0000-0000-000092320000}"/>
    <cellStyle name="Normal 2 2 2 2 2 7 2 2" xfId="34089" xr:uid="{00000000-0005-0000-0000-000093320000}"/>
    <cellStyle name="Normal 2 2 2 2 2 7 2 3" xfId="24770" xr:uid="{00000000-0005-0000-0000-000094320000}"/>
    <cellStyle name="Normal 2 2 2 2 2 7 2 4" xfId="48032" xr:uid="{00000000-0005-0000-0000-000095320000}"/>
    <cellStyle name="Normal 2 2 2 2 2 7 3" xfId="15335" xr:uid="{00000000-0005-0000-0000-000096320000}"/>
    <cellStyle name="Normal 2 2 2 2 2 7 3 2" xfId="29467" xr:uid="{00000000-0005-0000-0000-000097320000}"/>
    <cellStyle name="Normal 2 2 2 2 2 7 3 3" xfId="43362" xr:uid="{00000000-0005-0000-0000-000098320000}"/>
    <cellStyle name="Normal 2 2 2 2 2 7 4" xfId="20148" xr:uid="{00000000-0005-0000-0000-000099320000}"/>
    <cellStyle name="Normal 2 2 2 2 2 7 5" xfId="38780" xr:uid="{00000000-0005-0000-0000-00009A320000}"/>
    <cellStyle name="Normal 2 2 2 2 2 8" xfId="10603" xr:uid="{00000000-0005-0000-0000-00009B320000}"/>
    <cellStyle name="Normal 2 2 2 2 2 8 2" xfId="34088" xr:uid="{00000000-0005-0000-0000-00009C320000}"/>
    <cellStyle name="Normal 2 2 2 2 2 8 3" xfId="24769" xr:uid="{00000000-0005-0000-0000-00009D320000}"/>
    <cellStyle name="Normal 2 2 2 2 2 8 4" xfId="48031" xr:uid="{00000000-0005-0000-0000-00009E320000}"/>
    <cellStyle name="Normal 2 2 2 2 2 9" xfId="15334" xr:uid="{00000000-0005-0000-0000-00009F320000}"/>
    <cellStyle name="Normal 2 2 2 2 2 9 2" xfId="29466" xr:uid="{00000000-0005-0000-0000-0000A0320000}"/>
    <cellStyle name="Normal 2 2 2 2 2 9 3" xfId="43361" xr:uid="{00000000-0005-0000-0000-0000A1320000}"/>
    <cellStyle name="Normal 2 2 2 2 3" xfId="4743" xr:uid="{00000000-0005-0000-0000-0000A2320000}"/>
    <cellStyle name="Normal 2 2 2 2 3 2" xfId="4744" xr:uid="{00000000-0005-0000-0000-0000A3320000}"/>
    <cellStyle name="Normal 2 2 2 2 3 2 2" xfId="10606" xr:uid="{00000000-0005-0000-0000-0000A4320000}"/>
    <cellStyle name="Normal 2 2 2 2 3 2 2 2" xfId="34091" xr:uid="{00000000-0005-0000-0000-0000A5320000}"/>
    <cellStyle name="Normal 2 2 2 2 3 2 2 3" xfId="24772" xr:uid="{00000000-0005-0000-0000-0000A6320000}"/>
    <cellStyle name="Normal 2 2 2 2 3 2 2 4" xfId="48034" xr:uid="{00000000-0005-0000-0000-0000A7320000}"/>
    <cellStyle name="Normal 2 2 2 2 3 2 3" xfId="15337" xr:uid="{00000000-0005-0000-0000-0000A8320000}"/>
    <cellStyle name="Normal 2 2 2 2 3 2 3 2" xfId="29469" xr:uid="{00000000-0005-0000-0000-0000A9320000}"/>
    <cellStyle name="Normal 2 2 2 2 3 2 3 3" xfId="43364" xr:uid="{00000000-0005-0000-0000-0000AA320000}"/>
    <cellStyle name="Normal 2 2 2 2 3 2 4" xfId="20150" xr:uid="{00000000-0005-0000-0000-0000AB320000}"/>
    <cellStyle name="Normal 2 2 2 2 3 2 5" xfId="38782" xr:uid="{00000000-0005-0000-0000-0000AC320000}"/>
    <cellStyle name="Normal 2 2 2 2 3 3" xfId="10605" xr:uid="{00000000-0005-0000-0000-0000AD320000}"/>
    <cellStyle name="Normal 2 2 2 2 3 3 2" xfId="34090" xr:uid="{00000000-0005-0000-0000-0000AE320000}"/>
    <cellStyle name="Normal 2 2 2 2 3 3 3" xfId="24771" xr:uid="{00000000-0005-0000-0000-0000AF320000}"/>
    <cellStyle name="Normal 2 2 2 2 3 3 4" xfId="48033" xr:uid="{00000000-0005-0000-0000-0000B0320000}"/>
    <cellStyle name="Normal 2 2 2 2 3 4" xfId="15336" xr:uid="{00000000-0005-0000-0000-0000B1320000}"/>
    <cellStyle name="Normal 2 2 2 2 3 4 2" xfId="29468" xr:uid="{00000000-0005-0000-0000-0000B2320000}"/>
    <cellStyle name="Normal 2 2 2 2 3 4 3" xfId="43363" xr:uid="{00000000-0005-0000-0000-0000B3320000}"/>
    <cellStyle name="Normal 2 2 2 2 3 5" xfId="20149" xr:uid="{00000000-0005-0000-0000-0000B4320000}"/>
    <cellStyle name="Normal 2 2 2 2 3 6" xfId="38781" xr:uid="{00000000-0005-0000-0000-0000B5320000}"/>
    <cellStyle name="Normal 2 2 2 2 4" xfId="4745" xr:uid="{00000000-0005-0000-0000-0000B6320000}"/>
    <cellStyle name="Normal 2 2 2 2 4 2" xfId="4746" xr:uid="{00000000-0005-0000-0000-0000B7320000}"/>
    <cellStyle name="Normal 2 2 2 2 4 2 2" xfId="10608" xr:uid="{00000000-0005-0000-0000-0000B8320000}"/>
    <cellStyle name="Normal 2 2 2 2 4 2 2 2" xfId="34093" xr:uid="{00000000-0005-0000-0000-0000B9320000}"/>
    <cellStyle name="Normal 2 2 2 2 4 2 2 3" xfId="24774" xr:uid="{00000000-0005-0000-0000-0000BA320000}"/>
    <cellStyle name="Normal 2 2 2 2 4 2 2 4" xfId="48036" xr:uid="{00000000-0005-0000-0000-0000BB320000}"/>
    <cellStyle name="Normal 2 2 2 2 4 2 3" xfId="15339" xr:uid="{00000000-0005-0000-0000-0000BC320000}"/>
    <cellStyle name="Normal 2 2 2 2 4 2 3 2" xfId="29471" xr:uid="{00000000-0005-0000-0000-0000BD320000}"/>
    <cellStyle name="Normal 2 2 2 2 4 2 3 3" xfId="43366" xr:uid="{00000000-0005-0000-0000-0000BE320000}"/>
    <cellStyle name="Normal 2 2 2 2 4 2 4" xfId="20152" xr:uid="{00000000-0005-0000-0000-0000BF320000}"/>
    <cellStyle name="Normal 2 2 2 2 4 2 5" xfId="38784" xr:uid="{00000000-0005-0000-0000-0000C0320000}"/>
    <cellStyle name="Normal 2 2 2 2 4 3" xfId="10607" xr:uid="{00000000-0005-0000-0000-0000C1320000}"/>
    <cellStyle name="Normal 2 2 2 2 4 3 2" xfId="34092" xr:uid="{00000000-0005-0000-0000-0000C2320000}"/>
    <cellStyle name="Normal 2 2 2 2 4 3 3" xfId="24773" xr:uid="{00000000-0005-0000-0000-0000C3320000}"/>
    <cellStyle name="Normal 2 2 2 2 4 3 4" xfId="48035" xr:uid="{00000000-0005-0000-0000-0000C4320000}"/>
    <cellStyle name="Normal 2 2 2 2 4 4" xfId="15338" xr:uid="{00000000-0005-0000-0000-0000C5320000}"/>
    <cellStyle name="Normal 2 2 2 2 4 4 2" xfId="29470" xr:uid="{00000000-0005-0000-0000-0000C6320000}"/>
    <cellStyle name="Normal 2 2 2 2 4 4 3" xfId="43365" xr:uid="{00000000-0005-0000-0000-0000C7320000}"/>
    <cellStyle name="Normal 2 2 2 2 4 5" xfId="20151" xr:uid="{00000000-0005-0000-0000-0000C8320000}"/>
    <cellStyle name="Normal 2 2 2 2 4 6" xfId="38783" xr:uid="{00000000-0005-0000-0000-0000C9320000}"/>
    <cellStyle name="Normal 2 2 2 2 5" xfId="4747" xr:uid="{00000000-0005-0000-0000-0000CA320000}"/>
    <cellStyle name="Normal 2 2 2 2 5 2" xfId="4748" xr:uid="{00000000-0005-0000-0000-0000CB320000}"/>
    <cellStyle name="Normal 2 2 2 2 5 2 2" xfId="10610" xr:uid="{00000000-0005-0000-0000-0000CC320000}"/>
    <cellStyle name="Normal 2 2 2 2 5 2 2 2" xfId="34095" xr:uid="{00000000-0005-0000-0000-0000CD320000}"/>
    <cellStyle name="Normal 2 2 2 2 5 2 2 3" xfId="24776" xr:uid="{00000000-0005-0000-0000-0000CE320000}"/>
    <cellStyle name="Normal 2 2 2 2 5 2 2 4" xfId="48038" xr:uid="{00000000-0005-0000-0000-0000CF320000}"/>
    <cellStyle name="Normal 2 2 2 2 5 2 3" xfId="15341" xr:uid="{00000000-0005-0000-0000-0000D0320000}"/>
    <cellStyle name="Normal 2 2 2 2 5 2 3 2" xfId="29473" xr:uid="{00000000-0005-0000-0000-0000D1320000}"/>
    <cellStyle name="Normal 2 2 2 2 5 2 3 3" xfId="43368" xr:uid="{00000000-0005-0000-0000-0000D2320000}"/>
    <cellStyle name="Normal 2 2 2 2 5 2 4" xfId="20154" xr:uid="{00000000-0005-0000-0000-0000D3320000}"/>
    <cellStyle name="Normal 2 2 2 2 5 2 5" xfId="38786" xr:uid="{00000000-0005-0000-0000-0000D4320000}"/>
    <cellStyle name="Normal 2 2 2 2 5 3" xfId="10609" xr:uid="{00000000-0005-0000-0000-0000D5320000}"/>
    <cellStyle name="Normal 2 2 2 2 5 3 2" xfId="34094" xr:uid="{00000000-0005-0000-0000-0000D6320000}"/>
    <cellStyle name="Normal 2 2 2 2 5 3 3" xfId="24775" xr:uid="{00000000-0005-0000-0000-0000D7320000}"/>
    <cellStyle name="Normal 2 2 2 2 5 3 4" xfId="48037" xr:uid="{00000000-0005-0000-0000-0000D8320000}"/>
    <cellStyle name="Normal 2 2 2 2 5 4" xfId="15340" xr:uid="{00000000-0005-0000-0000-0000D9320000}"/>
    <cellStyle name="Normal 2 2 2 2 5 4 2" xfId="29472" xr:uid="{00000000-0005-0000-0000-0000DA320000}"/>
    <cellStyle name="Normal 2 2 2 2 5 4 3" xfId="43367" xr:uid="{00000000-0005-0000-0000-0000DB320000}"/>
    <cellStyle name="Normal 2 2 2 2 5 5" xfId="20153" xr:uid="{00000000-0005-0000-0000-0000DC320000}"/>
    <cellStyle name="Normal 2 2 2 2 5 6" xfId="38785" xr:uid="{00000000-0005-0000-0000-0000DD320000}"/>
    <cellStyle name="Normal 2 2 2 2 6" xfId="4749" xr:uid="{00000000-0005-0000-0000-0000DE320000}"/>
    <cellStyle name="Normal 2 2 2 2 6 2" xfId="4750" xr:uid="{00000000-0005-0000-0000-0000DF320000}"/>
    <cellStyle name="Normal 2 2 2 2 6 2 2" xfId="10612" xr:uid="{00000000-0005-0000-0000-0000E0320000}"/>
    <cellStyle name="Normal 2 2 2 2 6 2 2 2" xfId="34097" xr:uid="{00000000-0005-0000-0000-0000E1320000}"/>
    <cellStyle name="Normal 2 2 2 2 6 2 2 3" xfId="24778" xr:uid="{00000000-0005-0000-0000-0000E2320000}"/>
    <cellStyle name="Normal 2 2 2 2 6 2 2 4" xfId="48040" xr:uid="{00000000-0005-0000-0000-0000E3320000}"/>
    <cellStyle name="Normal 2 2 2 2 6 2 3" xfId="15343" xr:uid="{00000000-0005-0000-0000-0000E4320000}"/>
    <cellStyle name="Normal 2 2 2 2 6 2 3 2" xfId="29475" xr:uid="{00000000-0005-0000-0000-0000E5320000}"/>
    <cellStyle name="Normal 2 2 2 2 6 2 3 3" xfId="43370" xr:uid="{00000000-0005-0000-0000-0000E6320000}"/>
    <cellStyle name="Normal 2 2 2 2 6 2 4" xfId="20156" xr:uid="{00000000-0005-0000-0000-0000E7320000}"/>
    <cellStyle name="Normal 2 2 2 2 6 2 5" xfId="38788" xr:uid="{00000000-0005-0000-0000-0000E8320000}"/>
    <cellStyle name="Normal 2 2 2 2 6 3" xfId="10611" xr:uid="{00000000-0005-0000-0000-0000E9320000}"/>
    <cellStyle name="Normal 2 2 2 2 6 3 2" xfId="34096" xr:uid="{00000000-0005-0000-0000-0000EA320000}"/>
    <cellStyle name="Normal 2 2 2 2 6 3 3" xfId="24777" xr:uid="{00000000-0005-0000-0000-0000EB320000}"/>
    <cellStyle name="Normal 2 2 2 2 6 3 4" xfId="48039" xr:uid="{00000000-0005-0000-0000-0000EC320000}"/>
    <cellStyle name="Normal 2 2 2 2 6 4" xfId="15342" xr:uid="{00000000-0005-0000-0000-0000ED320000}"/>
    <cellStyle name="Normal 2 2 2 2 6 4 2" xfId="29474" xr:uid="{00000000-0005-0000-0000-0000EE320000}"/>
    <cellStyle name="Normal 2 2 2 2 6 4 3" xfId="43369" xr:uid="{00000000-0005-0000-0000-0000EF320000}"/>
    <cellStyle name="Normal 2 2 2 2 6 5" xfId="20155" xr:uid="{00000000-0005-0000-0000-0000F0320000}"/>
    <cellStyle name="Normal 2 2 2 2 6 6" xfId="38787" xr:uid="{00000000-0005-0000-0000-0000F1320000}"/>
    <cellStyle name="Normal 2 2 2 3" xfId="4751" xr:uid="{00000000-0005-0000-0000-0000F2320000}"/>
    <cellStyle name="Normal 2 2 2 4" xfId="4752" xr:uid="{00000000-0005-0000-0000-0000F3320000}"/>
    <cellStyle name="Normal 2 2 2 5" xfId="4753" xr:uid="{00000000-0005-0000-0000-0000F4320000}"/>
    <cellStyle name="Normal 2 2 2 6" xfId="4754" xr:uid="{00000000-0005-0000-0000-0000F5320000}"/>
    <cellStyle name="Normal 2 2 2 7" xfId="4755" xr:uid="{00000000-0005-0000-0000-0000F6320000}"/>
    <cellStyle name="Normal 2 2 2 8" xfId="4756" xr:uid="{00000000-0005-0000-0000-0000F7320000}"/>
    <cellStyle name="Normal 2 2 2 9" xfId="4757" xr:uid="{00000000-0005-0000-0000-0000F8320000}"/>
    <cellStyle name="Normal 2 2 3" xfId="4758" xr:uid="{00000000-0005-0000-0000-0000F9320000}"/>
    <cellStyle name="Normal 2 2 3 10" xfId="20157" xr:uid="{00000000-0005-0000-0000-0000FA320000}"/>
    <cellStyle name="Normal 2 2 3 11" xfId="38789" xr:uid="{00000000-0005-0000-0000-0000FB320000}"/>
    <cellStyle name="Normal 2 2 3 2" xfId="4759" xr:uid="{00000000-0005-0000-0000-0000FC320000}"/>
    <cellStyle name="Normal 2 2 3 2 2" xfId="4760" xr:uid="{00000000-0005-0000-0000-0000FD320000}"/>
    <cellStyle name="Normal 2 2 3 2 2 2" xfId="10615" xr:uid="{00000000-0005-0000-0000-0000FE320000}"/>
    <cellStyle name="Normal 2 2 3 2 2 2 2" xfId="34100" xr:uid="{00000000-0005-0000-0000-0000FF320000}"/>
    <cellStyle name="Normal 2 2 3 2 2 2 3" xfId="24781" xr:uid="{00000000-0005-0000-0000-000000330000}"/>
    <cellStyle name="Normal 2 2 3 2 2 2 4" xfId="48043" xr:uid="{00000000-0005-0000-0000-000001330000}"/>
    <cellStyle name="Normal 2 2 3 2 2 3" xfId="15346" xr:uid="{00000000-0005-0000-0000-000002330000}"/>
    <cellStyle name="Normal 2 2 3 2 2 3 2" xfId="29478" xr:uid="{00000000-0005-0000-0000-000003330000}"/>
    <cellStyle name="Normal 2 2 3 2 2 3 3" xfId="43373" xr:uid="{00000000-0005-0000-0000-000004330000}"/>
    <cellStyle name="Normal 2 2 3 2 2 4" xfId="20159" xr:uid="{00000000-0005-0000-0000-000005330000}"/>
    <cellStyle name="Normal 2 2 3 2 2 5" xfId="38791" xr:uid="{00000000-0005-0000-0000-000006330000}"/>
    <cellStyle name="Normal 2 2 3 2 3" xfId="10614" xr:uid="{00000000-0005-0000-0000-000007330000}"/>
    <cellStyle name="Normal 2 2 3 2 3 2" xfId="34099" xr:uid="{00000000-0005-0000-0000-000008330000}"/>
    <cellStyle name="Normal 2 2 3 2 3 3" xfId="24780" xr:uid="{00000000-0005-0000-0000-000009330000}"/>
    <cellStyle name="Normal 2 2 3 2 3 4" xfId="48042" xr:uid="{00000000-0005-0000-0000-00000A330000}"/>
    <cellStyle name="Normal 2 2 3 2 4" xfId="15345" xr:uid="{00000000-0005-0000-0000-00000B330000}"/>
    <cellStyle name="Normal 2 2 3 2 4 2" xfId="29477" xr:uid="{00000000-0005-0000-0000-00000C330000}"/>
    <cellStyle name="Normal 2 2 3 2 4 3" xfId="43372" xr:uid="{00000000-0005-0000-0000-00000D330000}"/>
    <cellStyle name="Normal 2 2 3 2 5" xfId="20158" xr:uid="{00000000-0005-0000-0000-00000E330000}"/>
    <cellStyle name="Normal 2 2 3 2 6" xfId="38790" xr:uid="{00000000-0005-0000-0000-00000F330000}"/>
    <cellStyle name="Normal 2 2 3 3" xfId="4761" xr:uid="{00000000-0005-0000-0000-000010330000}"/>
    <cellStyle name="Normal 2 2 3 3 2" xfId="4762" xr:uid="{00000000-0005-0000-0000-000011330000}"/>
    <cellStyle name="Normal 2 2 3 3 2 2" xfId="10617" xr:uid="{00000000-0005-0000-0000-000012330000}"/>
    <cellStyle name="Normal 2 2 3 3 2 2 2" xfId="34102" xr:uid="{00000000-0005-0000-0000-000013330000}"/>
    <cellStyle name="Normal 2 2 3 3 2 2 3" xfId="24783" xr:uid="{00000000-0005-0000-0000-000014330000}"/>
    <cellStyle name="Normal 2 2 3 3 2 2 4" xfId="48045" xr:uid="{00000000-0005-0000-0000-000015330000}"/>
    <cellStyle name="Normal 2 2 3 3 2 3" xfId="15348" xr:uid="{00000000-0005-0000-0000-000016330000}"/>
    <cellStyle name="Normal 2 2 3 3 2 3 2" xfId="29480" xr:uid="{00000000-0005-0000-0000-000017330000}"/>
    <cellStyle name="Normal 2 2 3 3 2 3 3" xfId="43375" xr:uid="{00000000-0005-0000-0000-000018330000}"/>
    <cellStyle name="Normal 2 2 3 3 2 4" xfId="20161" xr:uid="{00000000-0005-0000-0000-000019330000}"/>
    <cellStyle name="Normal 2 2 3 3 2 5" xfId="38793" xr:uid="{00000000-0005-0000-0000-00001A330000}"/>
    <cellStyle name="Normal 2 2 3 3 3" xfId="10616" xr:uid="{00000000-0005-0000-0000-00001B330000}"/>
    <cellStyle name="Normal 2 2 3 3 3 2" xfId="34101" xr:uid="{00000000-0005-0000-0000-00001C330000}"/>
    <cellStyle name="Normal 2 2 3 3 3 3" xfId="24782" xr:uid="{00000000-0005-0000-0000-00001D330000}"/>
    <cellStyle name="Normal 2 2 3 3 3 4" xfId="48044" xr:uid="{00000000-0005-0000-0000-00001E330000}"/>
    <cellStyle name="Normal 2 2 3 3 4" xfId="15347" xr:uid="{00000000-0005-0000-0000-00001F330000}"/>
    <cellStyle name="Normal 2 2 3 3 4 2" xfId="29479" xr:uid="{00000000-0005-0000-0000-000020330000}"/>
    <cellStyle name="Normal 2 2 3 3 4 3" xfId="43374" xr:uid="{00000000-0005-0000-0000-000021330000}"/>
    <cellStyle name="Normal 2 2 3 3 5" xfId="20160" xr:uid="{00000000-0005-0000-0000-000022330000}"/>
    <cellStyle name="Normal 2 2 3 3 6" xfId="38792" xr:uid="{00000000-0005-0000-0000-000023330000}"/>
    <cellStyle name="Normal 2 2 3 4" xfId="4763" xr:uid="{00000000-0005-0000-0000-000024330000}"/>
    <cellStyle name="Normal 2 2 3 4 2" xfId="4764" xr:uid="{00000000-0005-0000-0000-000025330000}"/>
    <cellStyle name="Normal 2 2 3 4 2 2" xfId="10619" xr:uid="{00000000-0005-0000-0000-000026330000}"/>
    <cellStyle name="Normal 2 2 3 4 2 2 2" xfId="34104" xr:uid="{00000000-0005-0000-0000-000027330000}"/>
    <cellStyle name="Normal 2 2 3 4 2 2 3" xfId="24785" xr:uid="{00000000-0005-0000-0000-000028330000}"/>
    <cellStyle name="Normal 2 2 3 4 2 2 4" xfId="48047" xr:uid="{00000000-0005-0000-0000-000029330000}"/>
    <cellStyle name="Normal 2 2 3 4 2 3" xfId="15350" xr:uid="{00000000-0005-0000-0000-00002A330000}"/>
    <cellStyle name="Normal 2 2 3 4 2 3 2" xfId="29482" xr:uid="{00000000-0005-0000-0000-00002B330000}"/>
    <cellStyle name="Normal 2 2 3 4 2 3 3" xfId="43377" xr:uid="{00000000-0005-0000-0000-00002C330000}"/>
    <cellStyle name="Normal 2 2 3 4 2 4" xfId="20163" xr:uid="{00000000-0005-0000-0000-00002D330000}"/>
    <cellStyle name="Normal 2 2 3 4 2 5" xfId="38795" xr:uid="{00000000-0005-0000-0000-00002E330000}"/>
    <cellStyle name="Normal 2 2 3 4 3" xfId="10618" xr:uid="{00000000-0005-0000-0000-00002F330000}"/>
    <cellStyle name="Normal 2 2 3 4 3 2" xfId="34103" xr:uid="{00000000-0005-0000-0000-000030330000}"/>
    <cellStyle name="Normal 2 2 3 4 3 3" xfId="24784" xr:uid="{00000000-0005-0000-0000-000031330000}"/>
    <cellStyle name="Normal 2 2 3 4 3 4" xfId="48046" xr:uid="{00000000-0005-0000-0000-000032330000}"/>
    <cellStyle name="Normal 2 2 3 4 4" xfId="15349" xr:uid="{00000000-0005-0000-0000-000033330000}"/>
    <cellStyle name="Normal 2 2 3 4 4 2" xfId="29481" xr:uid="{00000000-0005-0000-0000-000034330000}"/>
    <cellStyle name="Normal 2 2 3 4 4 3" xfId="43376" xr:uid="{00000000-0005-0000-0000-000035330000}"/>
    <cellStyle name="Normal 2 2 3 4 5" xfId="20162" xr:uid="{00000000-0005-0000-0000-000036330000}"/>
    <cellStyle name="Normal 2 2 3 4 6" xfId="38794" xr:uid="{00000000-0005-0000-0000-000037330000}"/>
    <cellStyle name="Normal 2 2 3 5" xfId="4765" xr:uid="{00000000-0005-0000-0000-000038330000}"/>
    <cellStyle name="Normal 2 2 3 5 2" xfId="4766" xr:uid="{00000000-0005-0000-0000-000039330000}"/>
    <cellStyle name="Normal 2 2 3 5 2 2" xfId="10621" xr:uid="{00000000-0005-0000-0000-00003A330000}"/>
    <cellStyle name="Normal 2 2 3 5 2 2 2" xfId="34106" xr:uid="{00000000-0005-0000-0000-00003B330000}"/>
    <cellStyle name="Normal 2 2 3 5 2 2 3" xfId="24787" xr:uid="{00000000-0005-0000-0000-00003C330000}"/>
    <cellStyle name="Normal 2 2 3 5 2 2 4" xfId="48049" xr:uid="{00000000-0005-0000-0000-00003D330000}"/>
    <cellStyle name="Normal 2 2 3 5 2 3" xfId="15352" xr:uid="{00000000-0005-0000-0000-00003E330000}"/>
    <cellStyle name="Normal 2 2 3 5 2 3 2" xfId="29484" xr:uid="{00000000-0005-0000-0000-00003F330000}"/>
    <cellStyle name="Normal 2 2 3 5 2 3 3" xfId="43379" xr:uid="{00000000-0005-0000-0000-000040330000}"/>
    <cellStyle name="Normal 2 2 3 5 2 4" xfId="20165" xr:uid="{00000000-0005-0000-0000-000041330000}"/>
    <cellStyle name="Normal 2 2 3 5 2 5" xfId="38797" xr:uid="{00000000-0005-0000-0000-000042330000}"/>
    <cellStyle name="Normal 2 2 3 5 3" xfId="10620" xr:uid="{00000000-0005-0000-0000-000043330000}"/>
    <cellStyle name="Normal 2 2 3 5 3 2" xfId="34105" xr:uid="{00000000-0005-0000-0000-000044330000}"/>
    <cellStyle name="Normal 2 2 3 5 3 3" xfId="24786" xr:uid="{00000000-0005-0000-0000-000045330000}"/>
    <cellStyle name="Normal 2 2 3 5 3 4" xfId="48048" xr:uid="{00000000-0005-0000-0000-000046330000}"/>
    <cellStyle name="Normal 2 2 3 5 4" xfId="15351" xr:uid="{00000000-0005-0000-0000-000047330000}"/>
    <cellStyle name="Normal 2 2 3 5 4 2" xfId="29483" xr:uid="{00000000-0005-0000-0000-000048330000}"/>
    <cellStyle name="Normal 2 2 3 5 4 3" xfId="43378" xr:uid="{00000000-0005-0000-0000-000049330000}"/>
    <cellStyle name="Normal 2 2 3 5 5" xfId="20164" xr:uid="{00000000-0005-0000-0000-00004A330000}"/>
    <cellStyle name="Normal 2 2 3 5 6" xfId="38796" xr:uid="{00000000-0005-0000-0000-00004B330000}"/>
    <cellStyle name="Normal 2 2 3 6" xfId="4767" xr:uid="{00000000-0005-0000-0000-00004C330000}"/>
    <cellStyle name="Normal 2 2 3 6 2" xfId="4768" xr:uid="{00000000-0005-0000-0000-00004D330000}"/>
    <cellStyle name="Normal 2 2 3 6 2 2" xfId="10623" xr:uid="{00000000-0005-0000-0000-00004E330000}"/>
    <cellStyle name="Normal 2 2 3 6 2 2 2" xfId="34108" xr:uid="{00000000-0005-0000-0000-00004F330000}"/>
    <cellStyle name="Normal 2 2 3 6 2 2 3" xfId="24789" xr:uid="{00000000-0005-0000-0000-000050330000}"/>
    <cellStyle name="Normal 2 2 3 6 2 2 4" xfId="48051" xr:uid="{00000000-0005-0000-0000-000051330000}"/>
    <cellStyle name="Normal 2 2 3 6 2 3" xfId="15354" xr:uid="{00000000-0005-0000-0000-000052330000}"/>
    <cellStyle name="Normal 2 2 3 6 2 3 2" xfId="29486" xr:uid="{00000000-0005-0000-0000-000053330000}"/>
    <cellStyle name="Normal 2 2 3 6 2 3 3" xfId="43381" xr:uid="{00000000-0005-0000-0000-000054330000}"/>
    <cellStyle name="Normal 2 2 3 6 2 4" xfId="20167" xr:uid="{00000000-0005-0000-0000-000055330000}"/>
    <cellStyle name="Normal 2 2 3 6 2 5" xfId="38799" xr:uid="{00000000-0005-0000-0000-000056330000}"/>
    <cellStyle name="Normal 2 2 3 6 3" xfId="10622" xr:uid="{00000000-0005-0000-0000-000057330000}"/>
    <cellStyle name="Normal 2 2 3 6 3 2" xfId="34107" xr:uid="{00000000-0005-0000-0000-000058330000}"/>
    <cellStyle name="Normal 2 2 3 6 3 3" xfId="24788" xr:uid="{00000000-0005-0000-0000-000059330000}"/>
    <cellStyle name="Normal 2 2 3 6 3 4" xfId="48050" xr:uid="{00000000-0005-0000-0000-00005A330000}"/>
    <cellStyle name="Normal 2 2 3 6 4" xfId="15353" xr:uid="{00000000-0005-0000-0000-00005B330000}"/>
    <cellStyle name="Normal 2 2 3 6 4 2" xfId="29485" xr:uid="{00000000-0005-0000-0000-00005C330000}"/>
    <cellStyle name="Normal 2 2 3 6 4 3" xfId="43380" xr:uid="{00000000-0005-0000-0000-00005D330000}"/>
    <cellStyle name="Normal 2 2 3 6 5" xfId="20166" xr:uid="{00000000-0005-0000-0000-00005E330000}"/>
    <cellStyle name="Normal 2 2 3 6 6" xfId="38798" xr:uid="{00000000-0005-0000-0000-00005F330000}"/>
    <cellStyle name="Normal 2 2 3 7" xfId="4769" xr:uid="{00000000-0005-0000-0000-000060330000}"/>
    <cellStyle name="Normal 2 2 3 7 2" xfId="10624" xr:uid="{00000000-0005-0000-0000-000061330000}"/>
    <cellStyle name="Normal 2 2 3 7 2 2" xfId="34109" xr:uid="{00000000-0005-0000-0000-000062330000}"/>
    <cellStyle name="Normal 2 2 3 7 2 3" xfId="24790" xr:uid="{00000000-0005-0000-0000-000063330000}"/>
    <cellStyle name="Normal 2 2 3 7 2 4" xfId="48052" xr:uid="{00000000-0005-0000-0000-000064330000}"/>
    <cellStyle name="Normal 2 2 3 7 3" xfId="15355" xr:uid="{00000000-0005-0000-0000-000065330000}"/>
    <cellStyle name="Normal 2 2 3 7 3 2" xfId="29487" xr:uid="{00000000-0005-0000-0000-000066330000}"/>
    <cellStyle name="Normal 2 2 3 7 3 3" xfId="43382" xr:uid="{00000000-0005-0000-0000-000067330000}"/>
    <cellStyle name="Normal 2 2 3 7 4" xfId="20168" xr:uid="{00000000-0005-0000-0000-000068330000}"/>
    <cellStyle name="Normal 2 2 3 7 5" xfId="38800" xr:uid="{00000000-0005-0000-0000-000069330000}"/>
    <cellStyle name="Normal 2 2 3 8" xfId="10613" xr:uid="{00000000-0005-0000-0000-00006A330000}"/>
    <cellStyle name="Normal 2 2 3 8 2" xfId="34098" xr:uid="{00000000-0005-0000-0000-00006B330000}"/>
    <cellStyle name="Normal 2 2 3 8 3" xfId="24779" xr:uid="{00000000-0005-0000-0000-00006C330000}"/>
    <cellStyle name="Normal 2 2 3 8 4" xfId="48041" xr:uid="{00000000-0005-0000-0000-00006D330000}"/>
    <cellStyle name="Normal 2 2 3 9" xfId="15344" xr:uid="{00000000-0005-0000-0000-00006E330000}"/>
    <cellStyle name="Normal 2 2 3 9 2" xfId="29476" xr:uid="{00000000-0005-0000-0000-00006F330000}"/>
    <cellStyle name="Normal 2 2 3 9 3" xfId="43371" xr:uid="{00000000-0005-0000-0000-000070330000}"/>
    <cellStyle name="Normal 2 2 4" xfId="4770" xr:uid="{00000000-0005-0000-0000-000071330000}"/>
    <cellStyle name="Normal 2 2 4 10" xfId="20169" xr:uid="{00000000-0005-0000-0000-000072330000}"/>
    <cellStyle name="Normal 2 2 4 11" xfId="38801" xr:uid="{00000000-0005-0000-0000-000073330000}"/>
    <cellStyle name="Normal 2 2 4 2" xfId="4771" xr:uid="{00000000-0005-0000-0000-000074330000}"/>
    <cellStyle name="Normal 2 2 4 2 2" xfId="4772" xr:uid="{00000000-0005-0000-0000-000075330000}"/>
    <cellStyle name="Normal 2 2 4 2 2 2" xfId="10627" xr:uid="{00000000-0005-0000-0000-000076330000}"/>
    <cellStyle name="Normal 2 2 4 2 2 2 2" xfId="34112" xr:uid="{00000000-0005-0000-0000-000077330000}"/>
    <cellStyle name="Normal 2 2 4 2 2 2 3" xfId="24793" xr:uid="{00000000-0005-0000-0000-000078330000}"/>
    <cellStyle name="Normal 2 2 4 2 2 2 4" xfId="48055" xr:uid="{00000000-0005-0000-0000-000079330000}"/>
    <cellStyle name="Normal 2 2 4 2 2 3" xfId="15358" xr:uid="{00000000-0005-0000-0000-00007A330000}"/>
    <cellStyle name="Normal 2 2 4 2 2 3 2" xfId="29490" xr:uid="{00000000-0005-0000-0000-00007B330000}"/>
    <cellStyle name="Normal 2 2 4 2 2 3 3" xfId="43385" xr:uid="{00000000-0005-0000-0000-00007C330000}"/>
    <cellStyle name="Normal 2 2 4 2 2 4" xfId="20171" xr:uid="{00000000-0005-0000-0000-00007D330000}"/>
    <cellStyle name="Normal 2 2 4 2 2 5" xfId="38803" xr:uid="{00000000-0005-0000-0000-00007E330000}"/>
    <cellStyle name="Normal 2 2 4 2 3" xfId="10626" xr:uid="{00000000-0005-0000-0000-00007F330000}"/>
    <cellStyle name="Normal 2 2 4 2 3 2" xfId="34111" xr:uid="{00000000-0005-0000-0000-000080330000}"/>
    <cellStyle name="Normal 2 2 4 2 3 3" xfId="24792" xr:uid="{00000000-0005-0000-0000-000081330000}"/>
    <cellStyle name="Normal 2 2 4 2 3 4" xfId="48054" xr:uid="{00000000-0005-0000-0000-000082330000}"/>
    <cellStyle name="Normal 2 2 4 2 4" xfId="15357" xr:uid="{00000000-0005-0000-0000-000083330000}"/>
    <cellStyle name="Normal 2 2 4 2 4 2" xfId="29489" xr:uid="{00000000-0005-0000-0000-000084330000}"/>
    <cellStyle name="Normal 2 2 4 2 4 3" xfId="43384" xr:uid="{00000000-0005-0000-0000-000085330000}"/>
    <cellStyle name="Normal 2 2 4 2 5" xfId="20170" xr:uid="{00000000-0005-0000-0000-000086330000}"/>
    <cellStyle name="Normal 2 2 4 2 6" xfId="38802" xr:uid="{00000000-0005-0000-0000-000087330000}"/>
    <cellStyle name="Normal 2 2 4 3" xfId="4773" xr:uid="{00000000-0005-0000-0000-000088330000}"/>
    <cellStyle name="Normal 2 2 4 3 2" xfId="4774" xr:uid="{00000000-0005-0000-0000-000089330000}"/>
    <cellStyle name="Normal 2 2 4 3 2 2" xfId="10629" xr:uid="{00000000-0005-0000-0000-00008A330000}"/>
    <cellStyle name="Normal 2 2 4 3 2 2 2" xfId="34114" xr:uid="{00000000-0005-0000-0000-00008B330000}"/>
    <cellStyle name="Normal 2 2 4 3 2 2 3" xfId="24795" xr:uid="{00000000-0005-0000-0000-00008C330000}"/>
    <cellStyle name="Normal 2 2 4 3 2 2 4" xfId="48057" xr:uid="{00000000-0005-0000-0000-00008D330000}"/>
    <cellStyle name="Normal 2 2 4 3 2 3" xfId="15360" xr:uid="{00000000-0005-0000-0000-00008E330000}"/>
    <cellStyle name="Normal 2 2 4 3 2 3 2" xfId="29492" xr:uid="{00000000-0005-0000-0000-00008F330000}"/>
    <cellStyle name="Normal 2 2 4 3 2 3 3" xfId="43387" xr:uid="{00000000-0005-0000-0000-000090330000}"/>
    <cellStyle name="Normal 2 2 4 3 2 4" xfId="20173" xr:uid="{00000000-0005-0000-0000-000091330000}"/>
    <cellStyle name="Normal 2 2 4 3 2 5" xfId="38805" xr:uid="{00000000-0005-0000-0000-000092330000}"/>
    <cellStyle name="Normal 2 2 4 3 3" xfId="10628" xr:uid="{00000000-0005-0000-0000-000093330000}"/>
    <cellStyle name="Normal 2 2 4 3 3 2" xfId="34113" xr:uid="{00000000-0005-0000-0000-000094330000}"/>
    <cellStyle name="Normal 2 2 4 3 3 3" xfId="24794" xr:uid="{00000000-0005-0000-0000-000095330000}"/>
    <cellStyle name="Normal 2 2 4 3 3 4" xfId="48056" xr:uid="{00000000-0005-0000-0000-000096330000}"/>
    <cellStyle name="Normal 2 2 4 3 4" xfId="15359" xr:uid="{00000000-0005-0000-0000-000097330000}"/>
    <cellStyle name="Normal 2 2 4 3 4 2" xfId="29491" xr:uid="{00000000-0005-0000-0000-000098330000}"/>
    <cellStyle name="Normal 2 2 4 3 4 3" xfId="43386" xr:uid="{00000000-0005-0000-0000-000099330000}"/>
    <cellStyle name="Normal 2 2 4 3 5" xfId="20172" xr:uid="{00000000-0005-0000-0000-00009A330000}"/>
    <cellStyle name="Normal 2 2 4 3 6" xfId="38804" xr:uid="{00000000-0005-0000-0000-00009B330000}"/>
    <cellStyle name="Normal 2 2 4 4" xfId="4775" xr:uid="{00000000-0005-0000-0000-00009C330000}"/>
    <cellStyle name="Normal 2 2 4 4 2" xfId="4776" xr:uid="{00000000-0005-0000-0000-00009D330000}"/>
    <cellStyle name="Normal 2 2 4 4 2 2" xfId="10631" xr:uid="{00000000-0005-0000-0000-00009E330000}"/>
    <cellStyle name="Normal 2 2 4 4 2 2 2" xfId="34116" xr:uid="{00000000-0005-0000-0000-00009F330000}"/>
    <cellStyle name="Normal 2 2 4 4 2 2 3" xfId="24797" xr:uid="{00000000-0005-0000-0000-0000A0330000}"/>
    <cellStyle name="Normal 2 2 4 4 2 2 4" xfId="48059" xr:uid="{00000000-0005-0000-0000-0000A1330000}"/>
    <cellStyle name="Normal 2 2 4 4 2 3" xfId="15362" xr:uid="{00000000-0005-0000-0000-0000A2330000}"/>
    <cellStyle name="Normal 2 2 4 4 2 3 2" xfId="29494" xr:uid="{00000000-0005-0000-0000-0000A3330000}"/>
    <cellStyle name="Normal 2 2 4 4 2 3 3" xfId="43389" xr:uid="{00000000-0005-0000-0000-0000A4330000}"/>
    <cellStyle name="Normal 2 2 4 4 2 4" xfId="20175" xr:uid="{00000000-0005-0000-0000-0000A5330000}"/>
    <cellStyle name="Normal 2 2 4 4 2 5" xfId="38807" xr:uid="{00000000-0005-0000-0000-0000A6330000}"/>
    <cellStyle name="Normal 2 2 4 4 3" xfId="10630" xr:uid="{00000000-0005-0000-0000-0000A7330000}"/>
    <cellStyle name="Normal 2 2 4 4 3 2" xfId="34115" xr:uid="{00000000-0005-0000-0000-0000A8330000}"/>
    <cellStyle name="Normal 2 2 4 4 3 3" xfId="24796" xr:uid="{00000000-0005-0000-0000-0000A9330000}"/>
    <cellStyle name="Normal 2 2 4 4 3 4" xfId="48058" xr:uid="{00000000-0005-0000-0000-0000AA330000}"/>
    <cellStyle name="Normal 2 2 4 4 4" xfId="15361" xr:uid="{00000000-0005-0000-0000-0000AB330000}"/>
    <cellStyle name="Normal 2 2 4 4 4 2" xfId="29493" xr:uid="{00000000-0005-0000-0000-0000AC330000}"/>
    <cellStyle name="Normal 2 2 4 4 4 3" xfId="43388" xr:uid="{00000000-0005-0000-0000-0000AD330000}"/>
    <cellStyle name="Normal 2 2 4 4 5" xfId="20174" xr:uid="{00000000-0005-0000-0000-0000AE330000}"/>
    <cellStyle name="Normal 2 2 4 4 6" xfId="38806" xr:uid="{00000000-0005-0000-0000-0000AF330000}"/>
    <cellStyle name="Normal 2 2 4 5" xfId="4777" xr:uid="{00000000-0005-0000-0000-0000B0330000}"/>
    <cellStyle name="Normal 2 2 4 5 2" xfId="4778" xr:uid="{00000000-0005-0000-0000-0000B1330000}"/>
    <cellStyle name="Normal 2 2 4 5 2 2" xfId="10633" xr:uid="{00000000-0005-0000-0000-0000B2330000}"/>
    <cellStyle name="Normal 2 2 4 5 2 2 2" xfId="34118" xr:uid="{00000000-0005-0000-0000-0000B3330000}"/>
    <cellStyle name="Normal 2 2 4 5 2 2 3" xfId="24799" xr:uid="{00000000-0005-0000-0000-0000B4330000}"/>
    <cellStyle name="Normal 2 2 4 5 2 2 4" xfId="48061" xr:uid="{00000000-0005-0000-0000-0000B5330000}"/>
    <cellStyle name="Normal 2 2 4 5 2 3" xfId="15364" xr:uid="{00000000-0005-0000-0000-0000B6330000}"/>
    <cellStyle name="Normal 2 2 4 5 2 3 2" xfId="29496" xr:uid="{00000000-0005-0000-0000-0000B7330000}"/>
    <cellStyle name="Normal 2 2 4 5 2 3 3" xfId="43391" xr:uid="{00000000-0005-0000-0000-0000B8330000}"/>
    <cellStyle name="Normal 2 2 4 5 2 4" xfId="20177" xr:uid="{00000000-0005-0000-0000-0000B9330000}"/>
    <cellStyle name="Normal 2 2 4 5 2 5" xfId="38809" xr:uid="{00000000-0005-0000-0000-0000BA330000}"/>
    <cellStyle name="Normal 2 2 4 5 3" xfId="10632" xr:uid="{00000000-0005-0000-0000-0000BB330000}"/>
    <cellStyle name="Normal 2 2 4 5 3 2" xfId="34117" xr:uid="{00000000-0005-0000-0000-0000BC330000}"/>
    <cellStyle name="Normal 2 2 4 5 3 3" xfId="24798" xr:uid="{00000000-0005-0000-0000-0000BD330000}"/>
    <cellStyle name="Normal 2 2 4 5 3 4" xfId="48060" xr:uid="{00000000-0005-0000-0000-0000BE330000}"/>
    <cellStyle name="Normal 2 2 4 5 4" xfId="15363" xr:uid="{00000000-0005-0000-0000-0000BF330000}"/>
    <cellStyle name="Normal 2 2 4 5 4 2" xfId="29495" xr:uid="{00000000-0005-0000-0000-0000C0330000}"/>
    <cellStyle name="Normal 2 2 4 5 4 3" xfId="43390" xr:uid="{00000000-0005-0000-0000-0000C1330000}"/>
    <cellStyle name="Normal 2 2 4 5 5" xfId="20176" xr:uid="{00000000-0005-0000-0000-0000C2330000}"/>
    <cellStyle name="Normal 2 2 4 5 6" xfId="38808" xr:uid="{00000000-0005-0000-0000-0000C3330000}"/>
    <cellStyle name="Normal 2 2 4 6" xfId="4779" xr:uid="{00000000-0005-0000-0000-0000C4330000}"/>
    <cellStyle name="Normal 2 2 4 6 2" xfId="4780" xr:uid="{00000000-0005-0000-0000-0000C5330000}"/>
    <cellStyle name="Normal 2 2 4 6 2 2" xfId="10635" xr:uid="{00000000-0005-0000-0000-0000C6330000}"/>
    <cellStyle name="Normal 2 2 4 6 2 2 2" xfId="34120" xr:uid="{00000000-0005-0000-0000-0000C7330000}"/>
    <cellStyle name="Normal 2 2 4 6 2 2 3" xfId="24801" xr:uid="{00000000-0005-0000-0000-0000C8330000}"/>
    <cellStyle name="Normal 2 2 4 6 2 2 4" xfId="48063" xr:uid="{00000000-0005-0000-0000-0000C9330000}"/>
    <cellStyle name="Normal 2 2 4 6 2 3" xfId="15366" xr:uid="{00000000-0005-0000-0000-0000CA330000}"/>
    <cellStyle name="Normal 2 2 4 6 2 3 2" xfId="29498" xr:uid="{00000000-0005-0000-0000-0000CB330000}"/>
    <cellStyle name="Normal 2 2 4 6 2 3 3" xfId="43393" xr:uid="{00000000-0005-0000-0000-0000CC330000}"/>
    <cellStyle name="Normal 2 2 4 6 2 4" xfId="20179" xr:uid="{00000000-0005-0000-0000-0000CD330000}"/>
    <cellStyle name="Normal 2 2 4 6 2 5" xfId="38811" xr:uid="{00000000-0005-0000-0000-0000CE330000}"/>
    <cellStyle name="Normal 2 2 4 6 3" xfId="10634" xr:uid="{00000000-0005-0000-0000-0000CF330000}"/>
    <cellStyle name="Normal 2 2 4 6 3 2" xfId="34119" xr:uid="{00000000-0005-0000-0000-0000D0330000}"/>
    <cellStyle name="Normal 2 2 4 6 3 3" xfId="24800" xr:uid="{00000000-0005-0000-0000-0000D1330000}"/>
    <cellStyle name="Normal 2 2 4 6 3 4" xfId="48062" xr:uid="{00000000-0005-0000-0000-0000D2330000}"/>
    <cellStyle name="Normal 2 2 4 6 4" xfId="15365" xr:uid="{00000000-0005-0000-0000-0000D3330000}"/>
    <cellStyle name="Normal 2 2 4 6 4 2" xfId="29497" xr:uid="{00000000-0005-0000-0000-0000D4330000}"/>
    <cellStyle name="Normal 2 2 4 6 4 3" xfId="43392" xr:uid="{00000000-0005-0000-0000-0000D5330000}"/>
    <cellStyle name="Normal 2 2 4 6 5" xfId="20178" xr:uid="{00000000-0005-0000-0000-0000D6330000}"/>
    <cellStyle name="Normal 2 2 4 6 6" xfId="38810" xr:uid="{00000000-0005-0000-0000-0000D7330000}"/>
    <cellStyle name="Normal 2 2 4 7" xfId="4781" xr:uid="{00000000-0005-0000-0000-0000D8330000}"/>
    <cellStyle name="Normal 2 2 4 7 2" xfId="10636" xr:uid="{00000000-0005-0000-0000-0000D9330000}"/>
    <cellStyle name="Normal 2 2 4 7 2 2" xfId="34121" xr:uid="{00000000-0005-0000-0000-0000DA330000}"/>
    <cellStyle name="Normal 2 2 4 7 2 3" xfId="24802" xr:uid="{00000000-0005-0000-0000-0000DB330000}"/>
    <cellStyle name="Normal 2 2 4 7 2 4" xfId="48064" xr:uid="{00000000-0005-0000-0000-0000DC330000}"/>
    <cellStyle name="Normal 2 2 4 7 3" xfId="15367" xr:uid="{00000000-0005-0000-0000-0000DD330000}"/>
    <cellStyle name="Normal 2 2 4 7 3 2" xfId="29499" xr:uid="{00000000-0005-0000-0000-0000DE330000}"/>
    <cellStyle name="Normal 2 2 4 7 3 3" xfId="43394" xr:uid="{00000000-0005-0000-0000-0000DF330000}"/>
    <cellStyle name="Normal 2 2 4 7 4" xfId="20180" xr:uid="{00000000-0005-0000-0000-0000E0330000}"/>
    <cellStyle name="Normal 2 2 4 7 5" xfId="38812" xr:uid="{00000000-0005-0000-0000-0000E1330000}"/>
    <cellStyle name="Normal 2 2 4 8" xfId="10625" xr:uid="{00000000-0005-0000-0000-0000E2330000}"/>
    <cellStyle name="Normal 2 2 4 8 2" xfId="34110" xr:uid="{00000000-0005-0000-0000-0000E3330000}"/>
    <cellStyle name="Normal 2 2 4 8 3" xfId="24791" xr:uid="{00000000-0005-0000-0000-0000E4330000}"/>
    <cellStyle name="Normal 2 2 4 8 4" xfId="48053" xr:uid="{00000000-0005-0000-0000-0000E5330000}"/>
    <cellStyle name="Normal 2 2 4 9" xfId="15356" xr:uid="{00000000-0005-0000-0000-0000E6330000}"/>
    <cellStyle name="Normal 2 2 4 9 2" xfId="29488" xr:uid="{00000000-0005-0000-0000-0000E7330000}"/>
    <cellStyle name="Normal 2 2 4 9 3" xfId="43383" xr:uid="{00000000-0005-0000-0000-0000E8330000}"/>
    <cellStyle name="Normal 2 2 5" xfId="4782" xr:uid="{00000000-0005-0000-0000-0000E9330000}"/>
    <cellStyle name="Normal 2 2 5 10" xfId="20181" xr:uid="{00000000-0005-0000-0000-0000EA330000}"/>
    <cellStyle name="Normal 2 2 5 11" xfId="38813" xr:uid="{00000000-0005-0000-0000-0000EB330000}"/>
    <cellStyle name="Normal 2 2 5 2" xfId="4783" xr:uid="{00000000-0005-0000-0000-0000EC330000}"/>
    <cellStyle name="Normal 2 2 5 2 2" xfId="4784" xr:uid="{00000000-0005-0000-0000-0000ED330000}"/>
    <cellStyle name="Normal 2 2 5 2 2 2" xfId="10639" xr:uid="{00000000-0005-0000-0000-0000EE330000}"/>
    <cellStyle name="Normal 2 2 5 2 2 2 2" xfId="34124" xr:uid="{00000000-0005-0000-0000-0000EF330000}"/>
    <cellStyle name="Normal 2 2 5 2 2 2 3" xfId="24805" xr:uid="{00000000-0005-0000-0000-0000F0330000}"/>
    <cellStyle name="Normal 2 2 5 2 2 2 4" xfId="48067" xr:uid="{00000000-0005-0000-0000-0000F1330000}"/>
    <cellStyle name="Normal 2 2 5 2 2 3" xfId="15370" xr:uid="{00000000-0005-0000-0000-0000F2330000}"/>
    <cellStyle name="Normal 2 2 5 2 2 3 2" xfId="29502" xr:uid="{00000000-0005-0000-0000-0000F3330000}"/>
    <cellStyle name="Normal 2 2 5 2 2 3 3" xfId="43397" xr:uid="{00000000-0005-0000-0000-0000F4330000}"/>
    <cellStyle name="Normal 2 2 5 2 2 4" xfId="20183" xr:uid="{00000000-0005-0000-0000-0000F5330000}"/>
    <cellStyle name="Normal 2 2 5 2 2 5" xfId="38815" xr:uid="{00000000-0005-0000-0000-0000F6330000}"/>
    <cellStyle name="Normal 2 2 5 2 3" xfId="10638" xr:uid="{00000000-0005-0000-0000-0000F7330000}"/>
    <cellStyle name="Normal 2 2 5 2 3 2" xfId="34123" xr:uid="{00000000-0005-0000-0000-0000F8330000}"/>
    <cellStyle name="Normal 2 2 5 2 3 3" xfId="24804" xr:uid="{00000000-0005-0000-0000-0000F9330000}"/>
    <cellStyle name="Normal 2 2 5 2 3 4" xfId="48066" xr:uid="{00000000-0005-0000-0000-0000FA330000}"/>
    <cellStyle name="Normal 2 2 5 2 4" xfId="15369" xr:uid="{00000000-0005-0000-0000-0000FB330000}"/>
    <cellStyle name="Normal 2 2 5 2 4 2" xfId="29501" xr:uid="{00000000-0005-0000-0000-0000FC330000}"/>
    <cellStyle name="Normal 2 2 5 2 4 3" xfId="43396" xr:uid="{00000000-0005-0000-0000-0000FD330000}"/>
    <cellStyle name="Normal 2 2 5 2 5" xfId="20182" xr:uid="{00000000-0005-0000-0000-0000FE330000}"/>
    <cellStyle name="Normal 2 2 5 2 6" xfId="38814" xr:uid="{00000000-0005-0000-0000-0000FF330000}"/>
    <cellStyle name="Normal 2 2 5 3" xfId="4785" xr:uid="{00000000-0005-0000-0000-000000340000}"/>
    <cellStyle name="Normal 2 2 5 3 2" xfId="4786" xr:uid="{00000000-0005-0000-0000-000001340000}"/>
    <cellStyle name="Normal 2 2 5 3 2 2" xfId="10641" xr:uid="{00000000-0005-0000-0000-000002340000}"/>
    <cellStyle name="Normal 2 2 5 3 2 2 2" xfId="34126" xr:uid="{00000000-0005-0000-0000-000003340000}"/>
    <cellStyle name="Normal 2 2 5 3 2 2 3" xfId="24807" xr:uid="{00000000-0005-0000-0000-000004340000}"/>
    <cellStyle name="Normal 2 2 5 3 2 2 4" xfId="48069" xr:uid="{00000000-0005-0000-0000-000005340000}"/>
    <cellStyle name="Normal 2 2 5 3 2 3" xfId="15372" xr:uid="{00000000-0005-0000-0000-000006340000}"/>
    <cellStyle name="Normal 2 2 5 3 2 3 2" xfId="29504" xr:uid="{00000000-0005-0000-0000-000007340000}"/>
    <cellStyle name="Normal 2 2 5 3 2 3 3" xfId="43399" xr:uid="{00000000-0005-0000-0000-000008340000}"/>
    <cellStyle name="Normal 2 2 5 3 2 4" xfId="20185" xr:uid="{00000000-0005-0000-0000-000009340000}"/>
    <cellStyle name="Normal 2 2 5 3 2 5" xfId="38817" xr:uid="{00000000-0005-0000-0000-00000A340000}"/>
    <cellStyle name="Normal 2 2 5 3 3" xfId="10640" xr:uid="{00000000-0005-0000-0000-00000B340000}"/>
    <cellStyle name="Normal 2 2 5 3 3 2" xfId="34125" xr:uid="{00000000-0005-0000-0000-00000C340000}"/>
    <cellStyle name="Normal 2 2 5 3 3 3" xfId="24806" xr:uid="{00000000-0005-0000-0000-00000D340000}"/>
    <cellStyle name="Normal 2 2 5 3 3 4" xfId="48068" xr:uid="{00000000-0005-0000-0000-00000E340000}"/>
    <cellStyle name="Normal 2 2 5 3 4" xfId="15371" xr:uid="{00000000-0005-0000-0000-00000F340000}"/>
    <cellStyle name="Normal 2 2 5 3 4 2" xfId="29503" xr:uid="{00000000-0005-0000-0000-000010340000}"/>
    <cellStyle name="Normal 2 2 5 3 4 3" xfId="43398" xr:uid="{00000000-0005-0000-0000-000011340000}"/>
    <cellStyle name="Normal 2 2 5 3 5" xfId="20184" xr:uid="{00000000-0005-0000-0000-000012340000}"/>
    <cellStyle name="Normal 2 2 5 3 6" xfId="38816" xr:uid="{00000000-0005-0000-0000-000013340000}"/>
    <cellStyle name="Normal 2 2 5 4" xfId="4787" xr:uid="{00000000-0005-0000-0000-000014340000}"/>
    <cellStyle name="Normal 2 2 5 4 2" xfId="4788" xr:uid="{00000000-0005-0000-0000-000015340000}"/>
    <cellStyle name="Normal 2 2 5 4 2 2" xfId="10643" xr:uid="{00000000-0005-0000-0000-000016340000}"/>
    <cellStyle name="Normal 2 2 5 4 2 2 2" xfId="34128" xr:uid="{00000000-0005-0000-0000-000017340000}"/>
    <cellStyle name="Normal 2 2 5 4 2 2 3" xfId="24809" xr:uid="{00000000-0005-0000-0000-000018340000}"/>
    <cellStyle name="Normal 2 2 5 4 2 2 4" xfId="48071" xr:uid="{00000000-0005-0000-0000-000019340000}"/>
    <cellStyle name="Normal 2 2 5 4 2 3" xfId="15374" xr:uid="{00000000-0005-0000-0000-00001A340000}"/>
    <cellStyle name="Normal 2 2 5 4 2 3 2" xfId="29506" xr:uid="{00000000-0005-0000-0000-00001B340000}"/>
    <cellStyle name="Normal 2 2 5 4 2 3 3" xfId="43401" xr:uid="{00000000-0005-0000-0000-00001C340000}"/>
    <cellStyle name="Normal 2 2 5 4 2 4" xfId="20187" xr:uid="{00000000-0005-0000-0000-00001D340000}"/>
    <cellStyle name="Normal 2 2 5 4 2 5" xfId="38819" xr:uid="{00000000-0005-0000-0000-00001E340000}"/>
    <cellStyle name="Normal 2 2 5 4 3" xfId="10642" xr:uid="{00000000-0005-0000-0000-00001F340000}"/>
    <cellStyle name="Normal 2 2 5 4 3 2" xfId="34127" xr:uid="{00000000-0005-0000-0000-000020340000}"/>
    <cellStyle name="Normal 2 2 5 4 3 3" xfId="24808" xr:uid="{00000000-0005-0000-0000-000021340000}"/>
    <cellStyle name="Normal 2 2 5 4 3 4" xfId="48070" xr:uid="{00000000-0005-0000-0000-000022340000}"/>
    <cellStyle name="Normal 2 2 5 4 4" xfId="15373" xr:uid="{00000000-0005-0000-0000-000023340000}"/>
    <cellStyle name="Normal 2 2 5 4 4 2" xfId="29505" xr:uid="{00000000-0005-0000-0000-000024340000}"/>
    <cellStyle name="Normal 2 2 5 4 4 3" xfId="43400" xr:uid="{00000000-0005-0000-0000-000025340000}"/>
    <cellStyle name="Normal 2 2 5 4 5" xfId="20186" xr:uid="{00000000-0005-0000-0000-000026340000}"/>
    <cellStyle name="Normal 2 2 5 4 6" xfId="38818" xr:uid="{00000000-0005-0000-0000-000027340000}"/>
    <cellStyle name="Normal 2 2 5 5" xfId="4789" xr:uid="{00000000-0005-0000-0000-000028340000}"/>
    <cellStyle name="Normal 2 2 5 5 2" xfId="4790" xr:uid="{00000000-0005-0000-0000-000029340000}"/>
    <cellStyle name="Normal 2 2 5 5 2 2" xfId="10645" xr:uid="{00000000-0005-0000-0000-00002A340000}"/>
    <cellStyle name="Normal 2 2 5 5 2 2 2" xfId="34130" xr:uid="{00000000-0005-0000-0000-00002B340000}"/>
    <cellStyle name="Normal 2 2 5 5 2 2 3" xfId="24811" xr:uid="{00000000-0005-0000-0000-00002C340000}"/>
    <cellStyle name="Normal 2 2 5 5 2 2 4" xfId="48073" xr:uid="{00000000-0005-0000-0000-00002D340000}"/>
    <cellStyle name="Normal 2 2 5 5 2 3" xfId="15376" xr:uid="{00000000-0005-0000-0000-00002E340000}"/>
    <cellStyle name="Normal 2 2 5 5 2 3 2" xfId="29508" xr:uid="{00000000-0005-0000-0000-00002F340000}"/>
    <cellStyle name="Normal 2 2 5 5 2 3 3" xfId="43403" xr:uid="{00000000-0005-0000-0000-000030340000}"/>
    <cellStyle name="Normal 2 2 5 5 2 4" xfId="20189" xr:uid="{00000000-0005-0000-0000-000031340000}"/>
    <cellStyle name="Normal 2 2 5 5 2 5" xfId="38821" xr:uid="{00000000-0005-0000-0000-000032340000}"/>
    <cellStyle name="Normal 2 2 5 5 3" xfId="10644" xr:uid="{00000000-0005-0000-0000-000033340000}"/>
    <cellStyle name="Normal 2 2 5 5 3 2" xfId="34129" xr:uid="{00000000-0005-0000-0000-000034340000}"/>
    <cellStyle name="Normal 2 2 5 5 3 3" xfId="24810" xr:uid="{00000000-0005-0000-0000-000035340000}"/>
    <cellStyle name="Normal 2 2 5 5 3 4" xfId="48072" xr:uid="{00000000-0005-0000-0000-000036340000}"/>
    <cellStyle name="Normal 2 2 5 5 4" xfId="15375" xr:uid="{00000000-0005-0000-0000-000037340000}"/>
    <cellStyle name="Normal 2 2 5 5 4 2" xfId="29507" xr:uid="{00000000-0005-0000-0000-000038340000}"/>
    <cellStyle name="Normal 2 2 5 5 4 3" xfId="43402" xr:uid="{00000000-0005-0000-0000-000039340000}"/>
    <cellStyle name="Normal 2 2 5 5 5" xfId="20188" xr:uid="{00000000-0005-0000-0000-00003A340000}"/>
    <cellStyle name="Normal 2 2 5 5 6" xfId="38820" xr:uid="{00000000-0005-0000-0000-00003B340000}"/>
    <cellStyle name="Normal 2 2 5 6" xfId="4791" xr:uid="{00000000-0005-0000-0000-00003C340000}"/>
    <cellStyle name="Normal 2 2 5 6 2" xfId="4792" xr:uid="{00000000-0005-0000-0000-00003D340000}"/>
    <cellStyle name="Normal 2 2 5 6 2 2" xfId="10647" xr:uid="{00000000-0005-0000-0000-00003E340000}"/>
    <cellStyle name="Normal 2 2 5 6 2 2 2" xfId="34132" xr:uid="{00000000-0005-0000-0000-00003F340000}"/>
    <cellStyle name="Normal 2 2 5 6 2 2 3" xfId="24813" xr:uid="{00000000-0005-0000-0000-000040340000}"/>
    <cellStyle name="Normal 2 2 5 6 2 2 4" xfId="48075" xr:uid="{00000000-0005-0000-0000-000041340000}"/>
    <cellStyle name="Normal 2 2 5 6 2 3" xfId="15378" xr:uid="{00000000-0005-0000-0000-000042340000}"/>
    <cellStyle name="Normal 2 2 5 6 2 3 2" xfId="29510" xr:uid="{00000000-0005-0000-0000-000043340000}"/>
    <cellStyle name="Normal 2 2 5 6 2 3 3" xfId="43405" xr:uid="{00000000-0005-0000-0000-000044340000}"/>
    <cellStyle name="Normal 2 2 5 6 2 4" xfId="20191" xr:uid="{00000000-0005-0000-0000-000045340000}"/>
    <cellStyle name="Normal 2 2 5 6 2 5" xfId="38823" xr:uid="{00000000-0005-0000-0000-000046340000}"/>
    <cellStyle name="Normal 2 2 5 6 3" xfId="10646" xr:uid="{00000000-0005-0000-0000-000047340000}"/>
    <cellStyle name="Normal 2 2 5 6 3 2" xfId="34131" xr:uid="{00000000-0005-0000-0000-000048340000}"/>
    <cellStyle name="Normal 2 2 5 6 3 3" xfId="24812" xr:uid="{00000000-0005-0000-0000-000049340000}"/>
    <cellStyle name="Normal 2 2 5 6 3 4" xfId="48074" xr:uid="{00000000-0005-0000-0000-00004A340000}"/>
    <cellStyle name="Normal 2 2 5 6 4" xfId="15377" xr:uid="{00000000-0005-0000-0000-00004B340000}"/>
    <cellStyle name="Normal 2 2 5 6 4 2" xfId="29509" xr:uid="{00000000-0005-0000-0000-00004C340000}"/>
    <cellStyle name="Normal 2 2 5 6 4 3" xfId="43404" xr:uid="{00000000-0005-0000-0000-00004D340000}"/>
    <cellStyle name="Normal 2 2 5 6 5" xfId="20190" xr:uid="{00000000-0005-0000-0000-00004E340000}"/>
    <cellStyle name="Normal 2 2 5 6 6" xfId="38822" xr:uid="{00000000-0005-0000-0000-00004F340000}"/>
    <cellStyle name="Normal 2 2 5 7" xfId="4793" xr:uid="{00000000-0005-0000-0000-000050340000}"/>
    <cellStyle name="Normal 2 2 5 7 2" xfId="10648" xr:uid="{00000000-0005-0000-0000-000051340000}"/>
    <cellStyle name="Normal 2 2 5 7 2 2" xfId="34133" xr:uid="{00000000-0005-0000-0000-000052340000}"/>
    <cellStyle name="Normal 2 2 5 7 2 3" xfId="24814" xr:uid="{00000000-0005-0000-0000-000053340000}"/>
    <cellStyle name="Normal 2 2 5 7 2 4" xfId="48076" xr:uid="{00000000-0005-0000-0000-000054340000}"/>
    <cellStyle name="Normal 2 2 5 7 3" xfId="15379" xr:uid="{00000000-0005-0000-0000-000055340000}"/>
    <cellStyle name="Normal 2 2 5 7 3 2" xfId="29511" xr:uid="{00000000-0005-0000-0000-000056340000}"/>
    <cellStyle name="Normal 2 2 5 7 3 3" xfId="43406" xr:uid="{00000000-0005-0000-0000-000057340000}"/>
    <cellStyle name="Normal 2 2 5 7 4" xfId="20192" xr:uid="{00000000-0005-0000-0000-000058340000}"/>
    <cellStyle name="Normal 2 2 5 7 5" xfId="38824" xr:uid="{00000000-0005-0000-0000-000059340000}"/>
    <cellStyle name="Normal 2 2 5 8" xfId="10637" xr:uid="{00000000-0005-0000-0000-00005A340000}"/>
    <cellStyle name="Normal 2 2 5 8 2" xfId="34122" xr:uid="{00000000-0005-0000-0000-00005B340000}"/>
    <cellStyle name="Normal 2 2 5 8 3" xfId="24803" xr:uid="{00000000-0005-0000-0000-00005C340000}"/>
    <cellStyle name="Normal 2 2 5 8 4" xfId="48065" xr:uid="{00000000-0005-0000-0000-00005D340000}"/>
    <cellStyle name="Normal 2 2 5 9" xfId="15368" xr:uid="{00000000-0005-0000-0000-00005E340000}"/>
    <cellStyle name="Normal 2 2 5 9 2" xfId="29500" xr:uid="{00000000-0005-0000-0000-00005F340000}"/>
    <cellStyle name="Normal 2 2 5 9 3" xfId="43395" xr:uid="{00000000-0005-0000-0000-000060340000}"/>
    <cellStyle name="Normal 2 2 6" xfId="4794" xr:uid="{00000000-0005-0000-0000-000061340000}"/>
    <cellStyle name="Normal 2 2 6 10" xfId="20193" xr:uid="{00000000-0005-0000-0000-000062340000}"/>
    <cellStyle name="Normal 2 2 6 11" xfId="38825" xr:uid="{00000000-0005-0000-0000-000063340000}"/>
    <cellStyle name="Normal 2 2 6 2" xfId="4795" xr:uid="{00000000-0005-0000-0000-000064340000}"/>
    <cellStyle name="Normal 2 2 6 2 2" xfId="4796" xr:uid="{00000000-0005-0000-0000-000065340000}"/>
    <cellStyle name="Normal 2 2 6 2 2 2" xfId="10651" xr:uid="{00000000-0005-0000-0000-000066340000}"/>
    <cellStyle name="Normal 2 2 6 2 2 2 2" xfId="34136" xr:uid="{00000000-0005-0000-0000-000067340000}"/>
    <cellStyle name="Normal 2 2 6 2 2 2 3" xfId="24817" xr:uid="{00000000-0005-0000-0000-000068340000}"/>
    <cellStyle name="Normal 2 2 6 2 2 2 4" xfId="48079" xr:uid="{00000000-0005-0000-0000-000069340000}"/>
    <cellStyle name="Normal 2 2 6 2 2 3" xfId="15382" xr:uid="{00000000-0005-0000-0000-00006A340000}"/>
    <cellStyle name="Normal 2 2 6 2 2 3 2" xfId="29514" xr:uid="{00000000-0005-0000-0000-00006B340000}"/>
    <cellStyle name="Normal 2 2 6 2 2 3 3" xfId="43409" xr:uid="{00000000-0005-0000-0000-00006C340000}"/>
    <cellStyle name="Normal 2 2 6 2 2 4" xfId="20195" xr:uid="{00000000-0005-0000-0000-00006D340000}"/>
    <cellStyle name="Normal 2 2 6 2 2 5" xfId="38827" xr:uid="{00000000-0005-0000-0000-00006E340000}"/>
    <cellStyle name="Normal 2 2 6 2 3" xfId="10650" xr:uid="{00000000-0005-0000-0000-00006F340000}"/>
    <cellStyle name="Normal 2 2 6 2 3 2" xfId="34135" xr:uid="{00000000-0005-0000-0000-000070340000}"/>
    <cellStyle name="Normal 2 2 6 2 3 3" xfId="24816" xr:uid="{00000000-0005-0000-0000-000071340000}"/>
    <cellStyle name="Normal 2 2 6 2 3 4" xfId="48078" xr:uid="{00000000-0005-0000-0000-000072340000}"/>
    <cellStyle name="Normal 2 2 6 2 4" xfId="15381" xr:uid="{00000000-0005-0000-0000-000073340000}"/>
    <cellStyle name="Normal 2 2 6 2 4 2" xfId="29513" xr:uid="{00000000-0005-0000-0000-000074340000}"/>
    <cellStyle name="Normal 2 2 6 2 4 3" xfId="43408" xr:uid="{00000000-0005-0000-0000-000075340000}"/>
    <cellStyle name="Normal 2 2 6 2 5" xfId="20194" xr:uid="{00000000-0005-0000-0000-000076340000}"/>
    <cellStyle name="Normal 2 2 6 2 6" xfId="38826" xr:uid="{00000000-0005-0000-0000-000077340000}"/>
    <cellStyle name="Normal 2 2 6 3" xfId="4797" xr:uid="{00000000-0005-0000-0000-000078340000}"/>
    <cellStyle name="Normal 2 2 6 3 2" xfId="4798" xr:uid="{00000000-0005-0000-0000-000079340000}"/>
    <cellStyle name="Normal 2 2 6 3 2 2" xfId="10653" xr:uid="{00000000-0005-0000-0000-00007A340000}"/>
    <cellStyle name="Normal 2 2 6 3 2 2 2" xfId="34138" xr:uid="{00000000-0005-0000-0000-00007B340000}"/>
    <cellStyle name="Normal 2 2 6 3 2 2 3" xfId="24819" xr:uid="{00000000-0005-0000-0000-00007C340000}"/>
    <cellStyle name="Normal 2 2 6 3 2 2 4" xfId="48081" xr:uid="{00000000-0005-0000-0000-00007D340000}"/>
    <cellStyle name="Normal 2 2 6 3 2 3" xfId="15384" xr:uid="{00000000-0005-0000-0000-00007E340000}"/>
    <cellStyle name="Normal 2 2 6 3 2 3 2" xfId="29516" xr:uid="{00000000-0005-0000-0000-00007F340000}"/>
    <cellStyle name="Normal 2 2 6 3 2 3 3" xfId="43411" xr:uid="{00000000-0005-0000-0000-000080340000}"/>
    <cellStyle name="Normal 2 2 6 3 2 4" xfId="20197" xr:uid="{00000000-0005-0000-0000-000081340000}"/>
    <cellStyle name="Normal 2 2 6 3 2 5" xfId="38829" xr:uid="{00000000-0005-0000-0000-000082340000}"/>
    <cellStyle name="Normal 2 2 6 3 3" xfId="10652" xr:uid="{00000000-0005-0000-0000-000083340000}"/>
    <cellStyle name="Normal 2 2 6 3 3 2" xfId="34137" xr:uid="{00000000-0005-0000-0000-000084340000}"/>
    <cellStyle name="Normal 2 2 6 3 3 3" xfId="24818" xr:uid="{00000000-0005-0000-0000-000085340000}"/>
    <cellStyle name="Normal 2 2 6 3 3 4" xfId="48080" xr:uid="{00000000-0005-0000-0000-000086340000}"/>
    <cellStyle name="Normal 2 2 6 3 4" xfId="15383" xr:uid="{00000000-0005-0000-0000-000087340000}"/>
    <cellStyle name="Normal 2 2 6 3 4 2" xfId="29515" xr:uid="{00000000-0005-0000-0000-000088340000}"/>
    <cellStyle name="Normal 2 2 6 3 4 3" xfId="43410" xr:uid="{00000000-0005-0000-0000-000089340000}"/>
    <cellStyle name="Normal 2 2 6 3 5" xfId="20196" xr:uid="{00000000-0005-0000-0000-00008A340000}"/>
    <cellStyle name="Normal 2 2 6 3 6" xfId="38828" xr:uid="{00000000-0005-0000-0000-00008B340000}"/>
    <cellStyle name="Normal 2 2 6 4" xfId="4799" xr:uid="{00000000-0005-0000-0000-00008C340000}"/>
    <cellStyle name="Normal 2 2 6 4 2" xfId="4800" xr:uid="{00000000-0005-0000-0000-00008D340000}"/>
    <cellStyle name="Normal 2 2 6 4 2 2" xfId="10655" xr:uid="{00000000-0005-0000-0000-00008E340000}"/>
    <cellStyle name="Normal 2 2 6 4 2 2 2" xfId="34140" xr:uid="{00000000-0005-0000-0000-00008F340000}"/>
    <cellStyle name="Normal 2 2 6 4 2 2 3" xfId="24821" xr:uid="{00000000-0005-0000-0000-000090340000}"/>
    <cellStyle name="Normal 2 2 6 4 2 2 4" xfId="48083" xr:uid="{00000000-0005-0000-0000-000091340000}"/>
    <cellStyle name="Normal 2 2 6 4 2 3" xfId="15386" xr:uid="{00000000-0005-0000-0000-000092340000}"/>
    <cellStyle name="Normal 2 2 6 4 2 3 2" xfId="29518" xr:uid="{00000000-0005-0000-0000-000093340000}"/>
    <cellStyle name="Normal 2 2 6 4 2 3 3" xfId="43413" xr:uid="{00000000-0005-0000-0000-000094340000}"/>
    <cellStyle name="Normal 2 2 6 4 2 4" xfId="20199" xr:uid="{00000000-0005-0000-0000-000095340000}"/>
    <cellStyle name="Normal 2 2 6 4 2 5" xfId="38831" xr:uid="{00000000-0005-0000-0000-000096340000}"/>
    <cellStyle name="Normal 2 2 6 4 3" xfId="10654" xr:uid="{00000000-0005-0000-0000-000097340000}"/>
    <cellStyle name="Normal 2 2 6 4 3 2" xfId="34139" xr:uid="{00000000-0005-0000-0000-000098340000}"/>
    <cellStyle name="Normal 2 2 6 4 3 3" xfId="24820" xr:uid="{00000000-0005-0000-0000-000099340000}"/>
    <cellStyle name="Normal 2 2 6 4 3 4" xfId="48082" xr:uid="{00000000-0005-0000-0000-00009A340000}"/>
    <cellStyle name="Normal 2 2 6 4 4" xfId="15385" xr:uid="{00000000-0005-0000-0000-00009B340000}"/>
    <cellStyle name="Normal 2 2 6 4 4 2" xfId="29517" xr:uid="{00000000-0005-0000-0000-00009C340000}"/>
    <cellStyle name="Normal 2 2 6 4 4 3" xfId="43412" xr:uid="{00000000-0005-0000-0000-00009D340000}"/>
    <cellStyle name="Normal 2 2 6 4 5" xfId="20198" xr:uid="{00000000-0005-0000-0000-00009E340000}"/>
    <cellStyle name="Normal 2 2 6 4 6" xfId="38830" xr:uid="{00000000-0005-0000-0000-00009F340000}"/>
    <cellStyle name="Normal 2 2 6 5" xfId="4801" xr:uid="{00000000-0005-0000-0000-0000A0340000}"/>
    <cellStyle name="Normal 2 2 6 5 2" xfId="4802" xr:uid="{00000000-0005-0000-0000-0000A1340000}"/>
    <cellStyle name="Normal 2 2 6 5 2 2" xfId="10657" xr:uid="{00000000-0005-0000-0000-0000A2340000}"/>
    <cellStyle name="Normal 2 2 6 5 2 2 2" xfId="34142" xr:uid="{00000000-0005-0000-0000-0000A3340000}"/>
    <cellStyle name="Normal 2 2 6 5 2 2 3" xfId="24823" xr:uid="{00000000-0005-0000-0000-0000A4340000}"/>
    <cellStyle name="Normal 2 2 6 5 2 2 4" xfId="48085" xr:uid="{00000000-0005-0000-0000-0000A5340000}"/>
    <cellStyle name="Normal 2 2 6 5 2 3" xfId="15388" xr:uid="{00000000-0005-0000-0000-0000A6340000}"/>
    <cellStyle name="Normal 2 2 6 5 2 3 2" xfId="29520" xr:uid="{00000000-0005-0000-0000-0000A7340000}"/>
    <cellStyle name="Normal 2 2 6 5 2 3 3" xfId="43415" xr:uid="{00000000-0005-0000-0000-0000A8340000}"/>
    <cellStyle name="Normal 2 2 6 5 2 4" xfId="20201" xr:uid="{00000000-0005-0000-0000-0000A9340000}"/>
    <cellStyle name="Normal 2 2 6 5 2 5" xfId="38833" xr:uid="{00000000-0005-0000-0000-0000AA340000}"/>
    <cellStyle name="Normal 2 2 6 5 3" xfId="10656" xr:uid="{00000000-0005-0000-0000-0000AB340000}"/>
    <cellStyle name="Normal 2 2 6 5 3 2" xfId="34141" xr:uid="{00000000-0005-0000-0000-0000AC340000}"/>
    <cellStyle name="Normal 2 2 6 5 3 3" xfId="24822" xr:uid="{00000000-0005-0000-0000-0000AD340000}"/>
    <cellStyle name="Normal 2 2 6 5 3 4" xfId="48084" xr:uid="{00000000-0005-0000-0000-0000AE340000}"/>
    <cellStyle name="Normal 2 2 6 5 4" xfId="15387" xr:uid="{00000000-0005-0000-0000-0000AF340000}"/>
    <cellStyle name="Normal 2 2 6 5 4 2" xfId="29519" xr:uid="{00000000-0005-0000-0000-0000B0340000}"/>
    <cellStyle name="Normal 2 2 6 5 4 3" xfId="43414" xr:uid="{00000000-0005-0000-0000-0000B1340000}"/>
    <cellStyle name="Normal 2 2 6 5 5" xfId="20200" xr:uid="{00000000-0005-0000-0000-0000B2340000}"/>
    <cellStyle name="Normal 2 2 6 5 6" xfId="38832" xr:uid="{00000000-0005-0000-0000-0000B3340000}"/>
    <cellStyle name="Normal 2 2 6 6" xfId="4803" xr:uid="{00000000-0005-0000-0000-0000B4340000}"/>
    <cellStyle name="Normal 2 2 6 6 2" xfId="4804" xr:uid="{00000000-0005-0000-0000-0000B5340000}"/>
    <cellStyle name="Normal 2 2 6 6 2 2" xfId="10659" xr:uid="{00000000-0005-0000-0000-0000B6340000}"/>
    <cellStyle name="Normal 2 2 6 6 2 2 2" xfId="34144" xr:uid="{00000000-0005-0000-0000-0000B7340000}"/>
    <cellStyle name="Normal 2 2 6 6 2 2 3" xfId="24825" xr:uid="{00000000-0005-0000-0000-0000B8340000}"/>
    <cellStyle name="Normal 2 2 6 6 2 2 4" xfId="48087" xr:uid="{00000000-0005-0000-0000-0000B9340000}"/>
    <cellStyle name="Normal 2 2 6 6 2 3" xfId="15390" xr:uid="{00000000-0005-0000-0000-0000BA340000}"/>
    <cellStyle name="Normal 2 2 6 6 2 3 2" xfId="29522" xr:uid="{00000000-0005-0000-0000-0000BB340000}"/>
    <cellStyle name="Normal 2 2 6 6 2 3 3" xfId="43417" xr:uid="{00000000-0005-0000-0000-0000BC340000}"/>
    <cellStyle name="Normal 2 2 6 6 2 4" xfId="20203" xr:uid="{00000000-0005-0000-0000-0000BD340000}"/>
    <cellStyle name="Normal 2 2 6 6 2 5" xfId="38835" xr:uid="{00000000-0005-0000-0000-0000BE340000}"/>
    <cellStyle name="Normal 2 2 6 6 3" xfId="10658" xr:uid="{00000000-0005-0000-0000-0000BF340000}"/>
    <cellStyle name="Normal 2 2 6 6 3 2" xfId="34143" xr:uid="{00000000-0005-0000-0000-0000C0340000}"/>
    <cellStyle name="Normal 2 2 6 6 3 3" xfId="24824" xr:uid="{00000000-0005-0000-0000-0000C1340000}"/>
    <cellStyle name="Normal 2 2 6 6 3 4" xfId="48086" xr:uid="{00000000-0005-0000-0000-0000C2340000}"/>
    <cellStyle name="Normal 2 2 6 6 4" xfId="15389" xr:uid="{00000000-0005-0000-0000-0000C3340000}"/>
    <cellStyle name="Normal 2 2 6 6 4 2" xfId="29521" xr:uid="{00000000-0005-0000-0000-0000C4340000}"/>
    <cellStyle name="Normal 2 2 6 6 4 3" xfId="43416" xr:uid="{00000000-0005-0000-0000-0000C5340000}"/>
    <cellStyle name="Normal 2 2 6 6 5" xfId="20202" xr:uid="{00000000-0005-0000-0000-0000C6340000}"/>
    <cellStyle name="Normal 2 2 6 6 6" xfId="38834" xr:uid="{00000000-0005-0000-0000-0000C7340000}"/>
    <cellStyle name="Normal 2 2 6 7" xfId="4805" xr:uid="{00000000-0005-0000-0000-0000C8340000}"/>
    <cellStyle name="Normal 2 2 6 7 2" xfId="10660" xr:uid="{00000000-0005-0000-0000-0000C9340000}"/>
    <cellStyle name="Normal 2 2 6 7 2 2" xfId="34145" xr:uid="{00000000-0005-0000-0000-0000CA340000}"/>
    <cellStyle name="Normal 2 2 6 7 2 3" xfId="24826" xr:uid="{00000000-0005-0000-0000-0000CB340000}"/>
    <cellStyle name="Normal 2 2 6 7 2 4" xfId="48088" xr:uid="{00000000-0005-0000-0000-0000CC340000}"/>
    <cellStyle name="Normal 2 2 6 7 3" xfId="15391" xr:uid="{00000000-0005-0000-0000-0000CD340000}"/>
    <cellStyle name="Normal 2 2 6 7 3 2" xfId="29523" xr:uid="{00000000-0005-0000-0000-0000CE340000}"/>
    <cellStyle name="Normal 2 2 6 7 3 3" xfId="43418" xr:uid="{00000000-0005-0000-0000-0000CF340000}"/>
    <cellStyle name="Normal 2 2 6 7 4" xfId="20204" xr:uid="{00000000-0005-0000-0000-0000D0340000}"/>
    <cellStyle name="Normal 2 2 6 7 5" xfId="38836" xr:uid="{00000000-0005-0000-0000-0000D1340000}"/>
    <cellStyle name="Normal 2 2 6 8" xfId="10649" xr:uid="{00000000-0005-0000-0000-0000D2340000}"/>
    <cellStyle name="Normal 2 2 6 8 2" xfId="34134" xr:uid="{00000000-0005-0000-0000-0000D3340000}"/>
    <cellStyle name="Normal 2 2 6 8 3" xfId="24815" xr:uid="{00000000-0005-0000-0000-0000D4340000}"/>
    <cellStyle name="Normal 2 2 6 8 4" xfId="48077" xr:uid="{00000000-0005-0000-0000-0000D5340000}"/>
    <cellStyle name="Normal 2 2 6 9" xfId="15380" xr:uid="{00000000-0005-0000-0000-0000D6340000}"/>
    <cellStyle name="Normal 2 2 6 9 2" xfId="29512" xr:uid="{00000000-0005-0000-0000-0000D7340000}"/>
    <cellStyle name="Normal 2 2 6 9 3" xfId="43407" xr:uid="{00000000-0005-0000-0000-0000D8340000}"/>
    <cellStyle name="Normal 2 2 7" xfId="4806" xr:uid="{00000000-0005-0000-0000-0000D9340000}"/>
    <cellStyle name="Normal 2 2 7 10" xfId="20205" xr:uid="{00000000-0005-0000-0000-0000DA340000}"/>
    <cellStyle name="Normal 2 2 7 11" xfId="38837" xr:uid="{00000000-0005-0000-0000-0000DB340000}"/>
    <cellStyle name="Normal 2 2 7 2" xfId="4807" xr:uid="{00000000-0005-0000-0000-0000DC340000}"/>
    <cellStyle name="Normal 2 2 7 2 2" xfId="4808" xr:uid="{00000000-0005-0000-0000-0000DD340000}"/>
    <cellStyle name="Normal 2 2 7 2 2 2" xfId="10663" xr:uid="{00000000-0005-0000-0000-0000DE340000}"/>
    <cellStyle name="Normal 2 2 7 2 2 2 2" xfId="34148" xr:uid="{00000000-0005-0000-0000-0000DF340000}"/>
    <cellStyle name="Normal 2 2 7 2 2 2 3" xfId="24829" xr:uid="{00000000-0005-0000-0000-0000E0340000}"/>
    <cellStyle name="Normal 2 2 7 2 2 2 4" xfId="48091" xr:uid="{00000000-0005-0000-0000-0000E1340000}"/>
    <cellStyle name="Normal 2 2 7 2 2 3" xfId="15394" xr:uid="{00000000-0005-0000-0000-0000E2340000}"/>
    <cellStyle name="Normal 2 2 7 2 2 3 2" xfId="29526" xr:uid="{00000000-0005-0000-0000-0000E3340000}"/>
    <cellStyle name="Normal 2 2 7 2 2 3 3" xfId="43421" xr:uid="{00000000-0005-0000-0000-0000E4340000}"/>
    <cellStyle name="Normal 2 2 7 2 2 4" xfId="20207" xr:uid="{00000000-0005-0000-0000-0000E5340000}"/>
    <cellStyle name="Normal 2 2 7 2 2 5" xfId="38839" xr:uid="{00000000-0005-0000-0000-0000E6340000}"/>
    <cellStyle name="Normal 2 2 7 2 3" xfId="10662" xr:uid="{00000000-0005-0000-0000-0000E7340000}"/>
    <cellStyle name="Normal 2 2 7 2 3 2" xfId="34147" xr:uid="{00000000-0005-0000-0000-0000E8340000}"/>
    <cellStyle name="Normal 2 2 7 2 3 3" xfId="24828" xr:uid="{00000000-0005-0000-0000-0000E9340000}"/>
    <cellStyle name="Normal 2 2 7 2 3 4" xfId="48090" xr:uid="{00000000-0005-0000-0000-0000EA340000}"/>
    <cellStyle name="Normal 2 2 7 2 4" xfId="15393" xr:uid="{00000000-0005-0000-0000-0000EB340000}"/>
    <cellStyle name="Normal 2 2 7 2 4 2" xfId="29525" xr:uid="{00000000-0005-0000-0000-0000EC340000}"/>
    <cellStyle name="Normal 2 2 7 2 4 3" xfId="43420" xr:uid="{00000000-0005-0000-0000-0000ED340000}"/>
    <cellStyle name="Normal 2 2 7 2 5" xfId="20206" xr:uid="{00000000-0005-0000-0000-0000EE340000}"/>
    <cellStyle name="Normal 2 2 7 2 6" xfId="38838" xr:uid="{00000000-0005-0000-0000-0000EF340000}"/>
    <cellStyle name="Normal 2 2 7 3" xfId="4809" xr:uid="{00000000-0005-0000-0000-0000F0340000}"/>
    <cellStyle name="Normal 2 2 7 3 2" xfId="4810" xr:uid="{00000000-0005-0000-0000-0000F1340000}"/>
    <cellStyle name="Normal 2 2 7 3 2 2" xfId="10665" xr:uid="{00000000-0005-0000-0000-0000F2340000}"/>
    <cellStyle name="Normal 2 2 7 3 2 2 2" xfId="34150" xr:uid="{00000000-0005-0000-0000-0000F3340000}"/>
    <cellStyle name="Normal 2 2 7 3 2 2 3" xfId="24831" xr:uid="{00000000-0005-0000-0000-0000F4340000}"/>
    <cellStyle name="Normal 2 2 7 3 2 2 4" xfId="48093" xr:uid="{00000000-0005-0000-0000-0000F5340000}"/>
    <cellStyle name="Normal 2 2 7 3 2 3" xfId="15396" xr:uid="{00000000-0005-0000-0000-0000F6340000}"/>
    <cellStyle name="Normal 2 2 7 3 2 3 2" xfId="29528" xr:uid="{00000000-0005-0000-0000-0000F7340000}"/>
    <cellStyle name="Normal 2 2 7 3 2 3 3" xfId="43423" xr:uid="{00000000-0005-0000-0000-0000F8340000}"/>
    <cellStyle name="Normal 2 2 7 3 2 4" xfId="20209" xr:uid="{00000000-0005-0000-0000-0000F9340000}"/>
    <cellStyle name="Normal 2 2 7 3 2 5" xfId="38841" xr:uid="{00000000-0005-0000-0000-0000FA340000}"/>
    <cellStyle name="Normal 2 2 7 3 3" xfId="10664" xr:uid="{00000000-0005-0000-0000-0000FB340000}"/>
    <cellStyle name="Normal 2 2 7 3 3 2" xfId="34149" xr:uid="{00000000-0005-0000-0000-0000FC340000}"/>
    <cellStyle name="Normal 2 2 7 3 3 3" xfId="24830" xr:uid="{00000000-0005-0000-0000-0000FD340000}"/>
    <cellStyle name="Normal 2 2 7 3 3 4" xfId="48092" xr:uid="{00000000-0005-0000-0000-0000FE340000}"/>
    <cellStyle name="Normal 2 2 7 3 4" xfId="15395" xr:uid="{00000000-0005-0000-0000-0000FF340000}"/>
    <cellStyle name="Normal 2 2 7 3 4 2" xfId="29527" xr:uid="{00000000-0005-0000-0000-000000350000}"/>
    <cellStyle name="Normal 2 2 7 3 4 3" xfId="43422" xr:uid="{00000000-0005-0000-0000-000001350000}"/>
    <cellStyle name="Normal 2 2 7 3 5" xfId="20208" xr:uid="{00000000-0005-0000-0000-000002350000}"/>
    <cellStyle name="Normal 2 2 7 3 6" xfId="38840" xr:uid="{00000000-0005-0000-0000-000003350000}"/>
    <cellStyle name="Normal 2 2 7 4" xfId="4811" xr:uid="{00000000-0005-0000-0000-000004350000}"/>
    <cellStyle name="Normal 2 2 7 4 2" xfId="4812" xr:uid="{00000000-0005-0000-0000-000005350000}"/>
    <cellStyle name="Normal 2 2 7 4 2 2" xfId="10667" xr:uid="{00000000-0005-0000-0000-000006350000}"/>
    <cellStyle name="Normal 2 2 7 4 2 2 2" xfId="34152" xr:uid="{00000000-0005-0000-0000-000007350000}"/>
    <cellStyle name="Normal 2 2 7 4 2 2 3" xfId="24833" xr:uid="{00000000-0005-0000-0000-000008350000}"/>
    <cellStyle name="Normal 2 2 7 4 2 2 4" xfId="48095" xr:uid="{00000000-0005-0000-0000-000009350000}"/>
    <cellStyle name="Normal 2 2 7 4 2 3" xfId="15398" xr:uid="{00000000-0005-0000-0000-00000A350000}"/>
    <cellStyle name="Normal 2 2 7 4 2 3 2" xfId="29530" xr:uid="{00000000-0005-0000-0000-00000B350000}"/>
    <cellStyle name="Normal 2 2 7 4 2 3 3" xfId="43425" xr:uid="{00000000-0005-0000-0000-00000C350000}"/>
    <cellStyle name="Normal 2 2 7 4 2 4" xfId="20211" xr:uid="{00000000-0005-0000-0000-00000D350000}"/>
    <cellStyle name="Normal 2 2 7 4 2 5" xfId="38843" xr:uid="{00000000-0005-0000-0000-00000E350000}"/>
    <cellStyle name="Normal 2 2 7 4 3" xfId="10666" xr:uid="{00000000-0005-0000-0000-00000F350000}"/>
    <cellStyle name="Normal 2 2 7 4 3 2" xfId="34151" xr:uid="{00000000-0005-0000-0000-000010350000}"/>
    <cellStyle name="Normal 2 2 7 4 3 3" xfId="24832" xr:uid="{00000000-0005-0000-0000-000011350000}"/>
    <cellStyle name="Normal 2 2 7 4 3 4" xfId="48094" xr:uid="{00000000-0005-0000-0000-000012350000}"/>
    <cellStyle name="Normal 2 2 7 4 4" xfId="15397" xr:uid="{00000000-0005-0000-0000-000013350000}"/>
    <cellStyle name="Normal 2 2 7 4 4 2" xfId="29529" xr:uid="{00000000-0005-0000-0000-000014350000}"/>
    <cellStyle name="Normal 2 2 7 4 4 3" xfId="43424" xr:uid="{00000000-0005-0000-0000-000015350000}"/>
    <cellStyle name="Normal 2 2 7 4 5" xfId="20210" xr:uid="{00000000-0005-0000-0000-000016350000}"/>
    <cellStyle name="Normal 2 2 7 4 6" xfId="38842" xr:uid="{00000000-0005-0000-0000-000017350000}"/>
    <cellStyle name="Normal 2 2 7 5" xfId="4813" xr:uid="{00000000-0005-0000-0000-000018350000}"/>
    <cellStyle name="Normal 2 2 7 5 2" xfId="4814" xr:uid="{00000000-0005-0000-0000-000019350000}"/>
    <cellStyle name="Normal 2 2 7 5 2 2" xfId="10669" xr:uid="{00000000-0005-0000-0000-00001A350000}"/>
    <cellStyle name="Normal 2 2 7 5 2 2 2" xfId="34154" xr:uid="{00000000-0005-0000-0000-00001B350000}"/>
    <cellStyle name="Normal 2 2 7 5 2 2 3" xfId="24835" xr:uid="{00000000-0005-0000-0000-00001C350000}"/>
    <cellStyle name="Normal 2 2 7 5 2 2 4" xfId="48097" xr:uid="{00000000-0005-0000-0000-00001D350000}"/>
    <cellStyle name="Normal 2 2 7 5 2 3" xfId="15400" xr:uid="{00000000-0005-0000-0000-00001E350000}"/>
    <cellStyle name="Normal 2 2 7 5 2 3 2" xfId="29532" xr:uid="{00000000-0005-0000-0000-00001F350000}"/>
    <cellStyle name="Normal 2 2 7 5 2 3 3" xfId="43427" xr:uid="{00000000-0005-0000-0000-000020350000}"/>
    <cellStyle name="Normal 2 2 7 5 2 4" xfId="20213" xr:uid="{00000000-0005-0000-0000-000021350000}"/>
    <cellStyle name="Normal 2 2 7 5 2 5" xfId="38845" xr:uid="{00000000-0005-0000-0000-000022350000}"/>
    <cellStyle name="Normal 2 2 7 5 3" xfId="10668" xr:uid="{00000000-0005-0000-0000-000023350000}"/>
    <cellStyle name="Normal 2 2 7 5 3 2" xfId="34153" xr:uid="{00000000-0005-0000-0000-000024350000}"/>
    <cellStyle name="Normal 2 2 7 5 3 3" xfId="24834" xr:uid="{00000000-0005-0000-0000-000025350000}"/>
    <cellStyle name="Normal 2 2 7 5 3 4" xfId="48096" xr:uid="{00000000-0005-0000-0000-000026350000}"/>
    <cellStyle name="Normal 2 2 7 5 4" xfId="15399" xr:uid="{00000000-0005-0000-0000-000027350000}"/>
    <cellStyle name="Normal 2 2 7 5 4 2" xfId="29531" xr:uid="{00000000-0005-0000-0000-000028350000}"/>
    <cellStyle name="Normal 2 2 7 5 4 3" xfId="43426" xr:uid="{00000000-0005-0000-0000-000029350000}"/>
    <cellStyle name="Normal 2 2 7 5 5" xfId="20212" xr:uid="{00000000-0005-0000-0000-00002A350000}"/>
    <cellStyle name="Normal 2 2 7 5 6" xfId="38844" xr:uid="{00000000-0005-0000-0000-00002B350000}"/>
    <cellStyle name="Normal 2 2 7 6" xfId="4815" xr:uid="{00000000-0005-0000-0000-00002C350000}"/>
    <cellStyle name="Normal 2 2 7 6 2" xfId="4816" xr:uid="{00000000-0005-0000-0000-00002D350000}"/>
    <cellStyle name="Normal 2 2 7 6 2 2" xfId="10671" xr:uid="{00000000-0005-0000-0000-00002E350000}"/>
    <cellStyle name="Normal 2 2 7 6 2 2 2" xfId="34156" xr:uid="{00000000-0005-0000-0000-00002F350000}"/>
    <cellStyle name="Normal 2 2 7 6 2 2 3" xfId="24837" xr:uid="{00000000-0005-0000-0000-000030350000}"/>
    <cellStyle name="Normal 2 2 7 6 2 2 4" xfId="48099" xr:uid="{00000000-0005-0000-0000-000031350000}"/>
    <cellStyle name="Normal 2 2 7 6 2 3" xfId="15402" xr:uid="{00000000-0005-0000-0000-000032350000}"/>
    <cellStyle name="Normal 2 2 7 6 2 3 2" xfId="29534" xr:uid="{00000000-0005-0000-0000-000033350000}"/>
    <cellStyle name="Normal 2 2 7 6 2 3 3" xfId="43429" xr:uid="{00000000-0005-0000-0000-000034350000}"/>
    <cellStyle name="Normal 2 2 7 6 2 4" xfId="20215" xr:uid="{00000000-0005-0000-0000-000035350000}"/>
    <cellStyle name="Normal 2 2 7 6 2 5" xfId="38847" xr:uid="{00000000-0005-0000-0000-000036350000}"/>
    <cellStyle name="Normal 2 2 7 6 3" xfId="10670" xr:uid="{00000000-0005-0000-0000-000037350000}"/>
    <cellStyle name="Normal 2 2 7 6 3 2" xfId="34155" xr:uid="{00000000-0005-0000-0000-000038350000}"/>
    <cellStyle name="Normal 2 2 7 6 3 3" xfId="24836" xr:uid="{00000000-0005-0000-0000-000039350000}"/>
    <cellStyle name="Normal 2 2 7 6 3 4" xfId="48098" xr:uid="{00000000-0005-0000-0000-00003A350000}"/>
    <cellStyle name="Normal 2 2 7 6 4" xfId="15401" xr:uid="{00000000-0005-0000-0000-00003B350000}"/>
    <cellStyle name="Normal 2 2 7 6 4 2" xfId="29533" xr:uid="{00000000-0005-0000-0000-00003C350000}"/>
    <cellStyle name="Normal 2 2 7 6 4 3" xfId="43428" xr:uid="{00000000-0005-0000-0000-00003D350000}"/>
    <cellStyle name="Normal 2 2 7 6 5" xfId="20214" xr:uid="{00000000-0005-0000-0000-00003E350000}"/>
    <cellStyle name="Normal 2 2 7 6 6" xfId="38846" xr:uid="{00000000-0005-0000-0000-00003F350000}"/>
    <cellStyle name="Normal 2 2 7 7" xfId="4817" xr:uid="{00000000-0005-0000-0000-000040350000}"/>
    <cellStyle name="Normal 2 2 7 7 2" xfId="10672" xr:uid="{00000000-0005-0000-0000-000041350000}"/>
    <cellStyle name="Normal 2 2 7 7 2 2" xfId="34157" xr:uid="{00000000-0005-0000-0000-000042350000}"/>
    <cellStyle name="Normal 2 2 7 7 2 3" xfId="24838" xr:uid="{00000000-0005-0000-0000-000043350000}"/>
    <cellStyle name="Normal 2 2 7 7 2 4" xfId="48100" xr:uid="{00000000-0005-0000-0000-000044350000}"/>
    <cellStyle name="Normal 2 2 7 7 3" xfId="15403" xr:uid="{00000000-0005-0000-0000-000045350000}"/>
    <cellStyle name="Normal 2 2 7 7 3 2" xfId="29535" xr:uid="{00000000-0005-0000-0000-000046350000}"/>
    <cellStyle name="Normal 2 2 7 7 3 3" xfId="43430" xr:uid="{00000000-0005-0000-0000-000047350000}"/>
    <cellStyle name="Normal 2 2 7 7 4" xfId="20216" xr:uid="{00000000-0005-0000-0000-000048350000}"/>
    <cellStyle name="Normal 2 2 7 7 5" xfId="38848" xr:uid="{00000000-0005-0000-0000-000049350000}"/>
    <cellStyle name="Normal 2 2 7 8" xfId="10661" xr:uid="{00000000-0005-0000-0000-00004A350000}"/>
    <cellStyle name="Normal 2 2 7 8 2" xfId="34146" xr:uid="{00000000-0005-0000-0000-00004B350000}"/>
    <cellStyle name="Normal 2 2 7 8 3" xfId="24827" xr:uid="{00000000-0005-0000-0000-00004C350000}"/>
    <cellStyle name="Normal 2 2 7 8 4" xfId="48089" xr:uid="{00000000-0005-0000-0000-00004D350000}"/>
    <cellStyle name="Normal 2 2 7 9" xfId="15392" xr:uid="{00000000-0005-0000-0000-00004E350000}"/>
    <cellStyle name="Normal 2 2 7 9 2" xfId="29524" xr:uid="{00000000-0005-0000-0000-00004F350000}"/>
    <cellStyle name="Normal 2 2 7 9 3" xfId="43419" xr:uid="{00000000-0005-0000-0000-000050350000}"/>
    <cellStyle name="Normal 2 2 8" xfId="4818" xr:uid="{00000000-0005-0000-0000-000051350000}"/>
    <cellStyle name="Normal 2 2 8 10" xfId="20217" xr:uid="{00000000-0005-0000-0000-000052350000}"/>
    <cellStyle name="Normal 2 2 8 11" xfId="38849" xr:uid="{00000000-0005-0000-0000-000053350000}"/>
    <cellStyle name="Normal 2 2 8 2" xfId="4819" xr:uid="{00000000-0005-0000-0000-000054350000}"/>
    <cellStyle name="Normal 2 2 8 2 2" xfId="4820" xr:uid="{00000000-0005-0000-0000-000055350000}"/>
    <cellStyle name="Normal 2 2 8 2 2 2" xfId="10675" xr:uid="{00000000-0005-0000-0000-000056350000}"/>
    <cellStyle name="Normal 2 2 8 2 2 2 2" xfId="34160" xr:uid="{00000000-0005-0000-0000-000057350000}"/>
    <cellStyle name="Normal 2 2 8 2 2 2 3" xfId="24841" xr:uid="{00000000-0005-0000-0000-000058350000}"/>
    <cellStyle name="Normal 2 2 8 2 2 2 4" xfId="48103" xr:uid="{00000000-0005-0000-0000-000059350000}"/>
    <cellStyle name="Normal 2 2 8 2 2 3" xfId="15406" xr:uid="{00000000-0005-0000-0000-00005A350000}"/>
    <cellStyle name="Normal 2 2 8 2 2 3 2" xfId="29538" xr:uid="{00000000-0005-0000-0000-00005B350000}"/>
    <cellStyle name="Normal 2 2 8 2 2 3 3" xfId="43433" xr:uid="{00000000-0005-0000-0000-00005C350000}"/>
    <cellStyle name="Normal 2 2 8 2 2 4" xfId="20219" xr:uid="{00000000-0005-0000-0000-00005D350000}"/>
    <cellStyle name="Normal 2 2 8 2 2 5" xfId="38851" xr:uid="{00000000-0005-0000-0000-00005E350000}"/>
    <cellStyle name="Normal 2 2 8 2 3" xfId="10674" xr:uid="{00000000-0005-0000-0000-00005F350000}"/>
    <cellStyle name="Normal 2 2 8 2 3 2" xfId="34159" xr:uid="{00000000-0005-0000-0000-000060350000}"/>
    <cellStyle name="Normal 2 2 8 2 3 3" xfId="24840" xr:uid="{00000000-0005-0000-0000-000061350000}"/>
    <cellStyle name="Normal 2 2 8 2 3 4" xfId="48102" xr:uid="{00000000-0005-0000-0000-000062350000}"/>
    <cellStyle name="Normal 2 2 8 2 4" xfId="15405" xr:uid="{00000000-0005-0000-0000-000063350000}"/>
    <cellStyle name="Normal 2 2 8 2 4 2" xfId="29537" xr:uid="{00000000-0005-0000-0000-000064350000}"/>
    <cellStyle name="Normal 2 2 8 2 4 3" xfId="43432" xr:uid="{00000000-0005-0000-0000-000065350000}"/>
    <cellStyle name="Normal 2 2 8 2 5" xfId="20218" xr:uid="{00000000-0005-0000-0000-000066350000}"/>
    <cellStyle name="Normal 2 2 8 2 6" xfId="38850" xr:uid="{00000000-0005-0000-0000-000067350000}"/>
    <cellStyle name="Normal 2 2 8 3" xfId="4821" xr:uid="{00000000-0005-0000-0000-000068350000}"/>
    <cellStyle name="Normal 2 2 8 3 2" xfId="4822" xr:uid="{00000000-0005-0000-0000-000069350000}"/>
    <cellStyle name="Normal 2 2 8 3 2 2" xfId="10677" xr:uid="{00000000-0005-0000-0000-00006A350000}"/>
    <cellStyle name="Normal 2 2 8 3 2 2 2" xfId="34162" xr:uid="{00000000-0005-0000-0000-00006B350000}"/>
    <cellStyle name="Normal 2 2 8 3 2 2 3" xfId="24843" xr:uid="{00000000-0005-0000-0000-00006C350000}"/>
    <cellStyle name="Normal 2 2 8 3 2 2 4" xfId="48105" xr:uid="{00000000-0005-0000-0000-00006D350000}"/>
    <cellStyle name="Normal 2 2 8 3 2 3" xfId="15408" xr:uid="{00000000-0005-0000-0000-00006E350000}"/>
    <cellStyle name="Normal 2 2 8 3 2 3 2" xfId="29540" xr:uid="{00000000-0005-0000-0000-00006F350000}"/>
    <cellStyle name="Normal 2 2 8 3 2 3 3" xfId="43435" xr:uid="{00000000-0005-0000-0000-000070350000}"/>
    <cellStyle name="Normal 2 2 8 3 2 4" xfId="20221" xr:uid="{00000000-0005-0000-0000-000071350000}"/>
    <cellStyle name="Normal 2 2 8 3 2 5" xfId="38853" xr:uid="{00000000-0005-0000-0000-000072350000}"/>
    <cellStyle name="Normal 2 2 8 3 3" xfId="10676" xr:uid="{00000000-0005-0000-0000-000073350000}"/>
    <cellStyle name="Normal 2 2 8 3 3 2" xfId="34161" xr:uid="{00000000-0005-0000-0000-000074350000}"/>
    <cellStyle name="Normal 2 2 8 3 3 3" xfId="24842" xr:uid="{00000000-0005-0000-0000-000075350000}"/>
    <cellStyle name="Normal 2 2 8 3 3 4" xfId="48104" xr:uid="{00000000-0005-0000-0000-000076350000}"/>
    <cellStyle name="Normal 2 2 8 3 4" xfId="15407" xr:uid="{00000000-0005-0000-0000-000077350000}"/>
    <cellStyle name="Normal 2 2 8 3 4 2" xfId="29539" xr:uid="{00000000-0005-0000-0000-000078350000}"/>
    <cellStyle name="Normal 2 2 8 3 4 3" xfId="43434" xr:uid="{00000000-0005-0000-0000-000079350000}"/>
    <cellStyle name="Normal 2 2 8 3 5" xfId="20220" xr:uid="{00000000-0005-0000-0000-00007A350000}"/>
    <cellStyle name="Normal 2 2 8 3 6" xfId="38852" xr:uid="{00000000-0005-0000-0000-00007B350000}"/>
    <cellStyle name="Normal 2 2 8 4" xfId="4823" xr:uid="{00000000-0005-0000-0000-00007C350000}"/>
    <cellStyle name="Normal 2 2 8 4 2" xfId="4824" xr:uid="{00000000-0005-0000-0000-00007D350000}"/>
    <cellStyle name="Normal 2 2 8 4 2 2" xfId="10679" xr:uid="{00000000-0005-0000-0000-00007E350000}"/>
    <cellStyle name="Normal 2 2 8 4 2 2 2" xfId="34164" xr:uid="{00000000-0005-0000-0000-00007F350000}"/>
    <cellStyle name="Normal 2 2 8 4 2 2 3" xfId="24845" xr:uid="{00000000-0005-0000-0000-000080350000}"/>
    <cellStyle name="Normal 2 2 8 4 2 2 4" xfId="48107" xr:uid="{00000000-0005-0000-0000-000081350000}"/>
    <cellStyle name="Normal 2 2 8 4 2 3" xfId="15410" xr:uid="{00000000-0005-0000-0000-000082350000}"/>
    <cellStyle name="Normal 2 2 8 4 2 3 2" xfId="29542" xr:uid="{00000000-0005-0000-0000-000083350000}"/>
    <cellStyle name="Normal 2 2 8 4 2 3 3" xfId="43437" xr:uid="{00000000-0005-0000-0000-000084350000}"/>
    <cellStyle name="Normal 2 2 8 4 2 4" xfId="20223" xr:uid="{00000000-0005-0000-0000-000085350000}"/>
    <cellStyle name="Normal 2 2 8 4 2 5" xfId="38855" xr:uid="{00000000-0005-0000-0000-000086350000}"/>
    <cellStyle name="Normal 2 2 8 4 3" xfId="10678" xr:uid="{00000000-0005-0000-0000-000087350000}"/>
    <cellStyle name="Normal 2 2 8 4 3 2" xfId="34163" xr:uid="{00000000-0005-0000-0000-000088350000}"/>
    <cellStyle name="Normal 2 2 8 4 3 3" xfId="24844" xr:uid="{00000000-0005-0000-0000-000089350000}"/>
    <cellStyle name="Normal 2 2 8 4 3 4" xfId="48106" xr:uid="{00000000-0005-0000-0000-00008A350000}"/>
    <cellStyle name="Normal 2 2 8 4 4" xfId="15409" xr:uid="{00000000-0005-0000-0000-00008B350000}"/>
    <cellStyle name="Normal 2 2 8 4 4 2" xfId="29541" xr:uid="{00000000-0005-0000-0000-00008C350000}"/>
    <cellStyle name="Normal 2 2 8 4 4 3" xfId="43436" xr:uid="{00000000-0005-0000-0000-00008D350000}"/>
    <cellStyle name="Normal 2 2 8 4 5" xfId="20222" xr:uid="{00000000-0005-0000-0000-00008E350000}"/>
    <cellStyle name="Normal 2 2 8 4 6" xfId="38854" xr:uid="{00000000-0005-0000-0000-00008F350000}"/>
    <cellStyle name="Normal 2 2 8 5" xfId="4825" xr:uid="{00000000-0005-0000-0000-000090350000}"/>
    <cellStyle name="Normal 2 2 8 5 2" xfId="4826" xr:uid="{00000000-0005-0000-0000-000091350000}"/>
    <cellStyle name="Normal 2 2 8 5 2 2" xfId="10681" xr:uid="{00000000-0005-0000-0000-000092350000}"/>
    <cellStyle name="Normal 2 2 8 5 2 2 2" xfId="34166" xr:uid="{00000000-0005-0000-0000-000093350000}"/>
    <cellStyle name="Normal 2 2 8 5 2 2 3" xfId="24847" xr:uid="{00000000-0005-0000-0000-000094350000}"/>
    <cellStyle name="Normal 2 2 8 5 2 2 4" xfId="48109" xr:uid="{00000000-0005-0000-0000-000095350000}"/>
    <cellStyle name="Normal 2 2 8 5 2 3" xfId="15412" xr:uid="{00000000-0005-0000-0000-000096350000}"/>
    <cellStyle name="Normal 2 2 8 5 2 3 2" xfId="29544" xr:uid="{00000000-0005-0000-0000-000097350000}"/>
    <cellStyle name="Normal 2 2 8 5 2 3 3" xfId="43439" xr:uid="{00000000-0005-0000-0000-000098350000}"/>
    <cellStyle name="Normal 2 2 8 5 2 4" xfId="20225" xr:uid="{00000000-0005-0000-0000-000099350000}"/>
    <cellStyle name="Normal 2 2 8 5 2 5" xfId="38857" xr:uid="{00000000-0005-0000-0000-00009A350000}"/>
    <cellStyle name="Normal 2 2 8 5 3" xfId="10680" xr:uid="{00000000-0005-0000-0000-00009B350000}"/>
    <cellStyle name="Normal 2 2 8 5 3 2" xfId="34165" xr:uid="{00000000-0005-0000-0000-00009C350000}"/>
    <cellStyle name="Normal 2 2 8 5 3 3" xfId="24846" xr:uid="{00000000-0005-0000-0000-00009D350000}"/>
    <cellStyle name="Normal 2 2 8 5 3 4" xfId="48108" xr:uid="{00000000-0005-0000-0000-00009E350000}"/>
    <cellStyle name="Normal 2 2 8 5 4" xfId="15411" xr:uid="{00000000-0005-0000-0000-00009F350000}"/>
    <cellStyle name="Normal 2 2 8 5 4 2" xfId="29543" xr:uid="{00000000-0005-0000-0000-0000A0350000}"/>
    <cellStyle name="Normal 2 2 8 5 4 3" xfId="43438" xr:uid="{00000000-0005-0000-0000-0000A1350000}"/>
    <cellStyle name="Normal 2 2 8 5 5" xfId="20224" xr:uid="{00000000-0005-0000-0000-0000A2350000}"/>
    <cellStyle name="Normal 2 2 8 5 6" xfId="38856" xr:uid="{00000000-0005-0000-0000-0000A3350000}"/>
    <cellStyle name="Normal 2 2 8 6" xfId="4827" xr:uid="{00000000-0005-0000-0000-0000A4350000}"/>
    <cellStyle name="Normal 2 2 8 6 2" xfId="4828" xr:uid="{00000000-0005-0000-0000-0000A5350000}"/>
    <cellStyle name="Normal 2 2 8 6 2 2" xfId="10683" xr:uid="{00000000-0005-0000-0000-0000A6350000}"/>
    <cellStyle name="Normal 2 2 8 6 2 2 2" xfId="34168" xr:uid="{00000000-0005-0000-0000-0000A7350000}"/>
    <cellStyle name="Normal 2 2 8 6 2 2 3" xfId="24849" xr:uid="{00000000-0005-0000-0000-0000A8350000}"/>
    <cellStyle name="Normal 2 2 8 6 2 2 4" xfId="48111" xr:uid="{00000000-0005-0000-0000-0000A9350000}"/>
    <cellStyle name="Normal 2 2 8 6 2 3" xfId="15414" xr:uid="{00000000-0005-0000-0000-0000AA350000}"/>
    <cellStyle name="Normal 2 2 8 6 2 3 2" xfId="29546" xr:uid="{00000000-0005-0000-0000-0000AB350000}"/>
    <cellStyle name="Normal 2 2 8 6 2 3 3" xfId="43441" xr:uid="{00000000-0005-0000-0000-0000AC350000}"/>
    <cellStyle name="Normal 2 2 8 6 2 4" xfId="20227" xr:uid="{00000000-0005-0000-0000-0000AD350000}"/>
    <cellStyle name="Normal 2 2 8 6 2 5" xfId="38859" xr:uid="{00000000-0005-0000-0000-0000AE350000}"/>
    <cellStyle name="Normal 2 2 8 6 3" xfId="10682" xr:uid="{00000000-0005-0000-0000-0000AF350000}"/>
    <cellStyle name="Normal 2 2 8 6 3 2" xfId="34167" xr:uid="{00000000-0005-0000-0000-0000B0350000}"/>
    <cellStyle name="Normal 2 2 8 6 3 3" xfId="24848" xr:uid="{00000000-0005-0000-0000-0000B1350000}"/>
    <cellStyle name="Normal 2 2 8 6 3 4" xfId="48110" xr:uid="{00000000-0005-0000-0000-0000B2350000}"/>
    <cellStyle name="Normal 2 2 8 6 4" xfId="15413" xr:uid="{00000000-0005-0000-0000-0000B3350000}"/>
    <cellStyle name="Normal 2 2 8 6 4 2" xfId="29545" xr:uid="{00000000-0005-0000-0000-0000B4350000}"/>
    <cellStyle name="Normal 2 2 8 6 4 3" xfId="43440" xr:uid="{00000000-0005-0000-0000-0000B5350000}"/>
    <cellStyle name="Normal 2 2 8 6 5" xfId="20226" xr:uid="{00000000-0005-0000-0000-0000B6350000}"/>
    <cellStyle name="Normal 2 2 8 6 6" xfId="38858" xr:uid="{00000000-0005-0000-0000-0000B7350000}"/>
    <cellStyle name="Normal 2 2 8 7" xfId="4829" xr:uid="{00000000-0005-0000-0000-0000B8350000}"/>
    <cellStyle name="Normal 2 2 8 7 2" xfId="10684" xr:uid="{00000000-0005-0000-0000-0000B9350000}"/>
    <cellStyle name="Normal 2 2 8 7 2 2" xfId="34169" xr:uid="{00000000-0005-0000-0000-0000BA350000}"/>
    <cellStyle name="Normal 2 2 8 7 2 3" xfId="24850" xr:uid="{00000000-0005-0000-0000-0000BB350000}"/>
    <cellStyle name="Normal 2 2 8 7 2 4" xfId="48112" xr:uid="{00000000-0005-0000-0000-0000BC350000}"/>
    <cellStyle name="Normal 2 2 8 7 3" xfId="15415" xr:uid="{00000000-0005-0000-0000-0000BD350000}"/>
    <cellStyle name="Normal 2 2 8 7 3 2" xfId="29547" xr:uid="{00000000-0005-0000-0000-0000BE350000}"/>
    <cellStyle name="Normal 2 2 8 7 3 3" xfId="43442" xr:uid="{00000000-0005-0000-0000-0000BF350000}"/>
    <cellStyle name="Normal 2 2 8 7 4" xfId="20228" xr:uid="{00000000-0005-0000-0000-0000C0350000}"/>
    <cellStyle name="Normal 2 2 8 7 5" xfId="38860" xr:uid="{00000000-0005-0000-0000-0000C1350000}"/>
    <cellStyle name="Normal 2 2 8 8" xfId="10673" xr:uid="{00000000-0005-0000-0000-0000C2350000}"/>
    <cellStyle name="Normal 2 2 8 8 2" xfId="34158" xr:uid="{00000000-0005-0000-0000-0000C3350000}"/>
    <cellStyle name="Normal 2 2 8 8 3" xfId="24839" xr:uid="{00000000-0005-0000-0000-0000C4350000}"/>
    <cellStyle name="Normal 2 2 8 8 4" xfId="48101" xr:uid="{00000000-0005-0000-0000-0000C5350000}"/>
    <cellStyle name="Normal 2 2 8 9" xfId="15404" xr:uid="{00000000-0005-0000-0000-0000C6350000}"/>
    <cellStyle name="Normal 2 2 8 9 2" xfId="29536" xr:uid="{00000000-0005-0000-0000-0000C7350000}"/>
    <cellStyle name="Normal 2 2 8 9 3" xfId="43431" xr:uid="{00000000-0005-0000-0000-0000C8350000}"/>
    <cellStyle name="Normal 2 2 9" xfId="4830" xr:uid="{00000000-0005-0000-0000-0000C9350000}"/>
    <cellStyle name="Normal 2 2 9 10" xfId="20229" xr:uid="{00000000-0005-0000-0000-0000CA350000}"/>
    <cellStyle name="Normal 2 2 9 11" xfId="38861" xr:uid="{00000000-0005-0000-0000-0000CB350000}"/>
    <cellStyle name="Normal 2 2 9 2" xfId="4831" xr:uid="{00000000-0005-0000-0000-0000CC350000}"/>
    <cellStyle name="Normal 2 2 9 2 2" xfId="4832" xr:uid="{00000000-0005-0000-0000-0000CD350000}"/>
    <cellStyle name="Normal 2 2 9 2 2 2" xfId="10687" xr:uid="{00000000-0005-0000-0000-0000CE350000}"/>
    <cellStyle name="Normal 2 2 9 2 2 2 2" xfId="34172" xr:uid="{00000000-0005-0000-0000-0000CF350000}"/>
    <cellStyle name="Normal 2 2 9 2 2 2 3" xfId="24853" xr:uid="{00000000-0005-0000-0000-0000D0350000}"/>
    <cellStyle name="Normal 2 2 9 2 2 2 4" xfId="48115" xr:uid="{00000000-0005-0000-0000-0000D1350000}"/>
    <cellStyle name="Normal 2 2 9 2 2 3" xfId="15418" xr:uid="{00000000-0005-0000-0000-0000D2350000}"/>
    <cellStyle name="Normal 2 2 9 2 2 3 2" xfId="29550" xr:uid="{00000000-0005-0000-0000-0000D3350000}"/>
    <cellStyle name="Normal 2 2 9 2 2 3 3" xfId="43445" xr:uid="{00000000-0005-0000-0000-0000D4350000}"/>
    <cellStyle name="Normal 2 2 9 2 2 4" xfId="20231" xr:uid="{00000000-0005-0000-0000-0000D5350000}"/>
    <cellStyle name="Normal 2 2 9 2 2 5" xfId="38863" xr:uid="{00000000-0005-0000-0000-0000D6350000}"/>
    <cellStyle name="Normal 2 2 9 2 3" xfId="10686" xr:uid="{00000000-0005-0000-0000-0000D7350000}"/>
    <cellStyle name="Normal 2 2 9 2 3 2" xfId="34171" xr:uid="{00000000-0005-0000-0000-0000D8350000}"/>
    <cellStyle name="Normal 2 2 9 2 3 3" xfId="24852" xr:uid="{00000000-0005-0000-0000-0000D9350000}"/>
    <cellStyle name="Normal 2 2 9 2 3 4" xfId="48114" xr:uid="{00000000-0005-0000-0000-0000DA350000}"/>
    <cellStyle name="Normal 2 2 9 2 4" xfId="15417" xr:uid="{00000000-0005-0000-0000-0000DB350000}"/>
    <cellStyle name="Normal 2 2 9 2 4 2" xfId="29549" xr:uid="{00000000-0005-0000-0000-0000DC350000}"/>
    <cellStyle name="Normal 2 2 9 2 4 3" xfId="43444" xr:uid="{00000000-0005-0000-0000-0000DD350000}"/>
    <cellStyle name="Normal 2 2 9 2 5" xfId="20230" xr:uid="{00000000-0005-0000-0000-0000DE350000}"/>
    <cellStyle name="Normal 2 2 9 2 6" xfId="38862" xr:uid="{00000000-0005-0000-0000-0000DF350000}"/>
    <cellStyle name="Normal 2 2 9 3" xfId="4833" xr:uid="{00000000-0005-0000-0000-0000E0350000}"/>
    <cellStyle name="Normal 2 2 9 3 2" xfId="4834" xr:uid="{00000000-0005-0000-0000-0000E1350000}"/>
    <cellStyle name="Normal 2 2 9 3 2 2" xfId="10689" xr:uid="{00000000-0005-0000-0000-0000E2350000}"/>
    <cellStyle name="Normal 2 2 9 3 2 2 2" xfId="34174" xr:uid="{00000000-0005-0000-0000-0000E3350000}"/>
    <cellStyle name="Normal 2 2 9 3 2 2 3" xfId="24855" xr:uid="{00000000-0005-0000-0000-0000E4350000}"/>
    <cellStyle name="Normal 2 2 9 3 2 2 4" xfId="48117" xr:uid="{00000000-0005-0000-0000-0000E5350000}"/>
    <cellStyle name="Normal 2 2 9 3 2 3" xfId="15420" xr:uid="{00000000-0005-0000-0000-0000E6350000}"/>
    <cellStyle name="Normal 2 2 9 3 2 3 2" xfId="29552" xr:uid="{00000000-0005-0000-0000-0000E7350000}"/>
    <cellStyle name="Normal 2 2 9 3 2 3 3" xfId="43447" xr:uid="{00000000-0005-0000-0000-0000E8350000}"/>
    <cellStyle name="Normal 2 2 9 3 2 4" xfId="20233" xr:uid="{00000000-0005-0000-0000-0000E9350000}"/>
    <cellStyle name="Normal 2 2 9 3 2 5" xfId="38865" xr:uid="{00000000-0005-0000-0000-0000EA350000}"/>
    <cellStyle name="Normal 2 2 9 3 3" xfId="10688" xr:uid="{00000000-0005-0000-0000-0000EB350000}"/>
    <cellStyle name="Normal 2 2 9 3 3 2" xfId="34173" xr:uid="{00000000-0005-0000-0000-0000EC350000}"/>
    <cellStyle name="Normal 2 2 9 3 3 3" xfId="24854" xr:uid="{00000000-0005-0000-0000-0000ED350000}"/>
    <cellStyle name="Normal 2 2 9 3 3 4" xfId="48116" xr:uid="{00000000-0005-0000-0000-0000EE350000}"/>
    <cellStyle name="Normal 2 2 9 3 4" xfId="15419" xr:uid="{00000000-0005-0000-0000-0000EF350000}"/>
    <cellStyle name="Normal 2 2 9 3 4 2" xfId="29551" xr:uid="{00000000-0005-0000-0000-0000F0350000}"/>
    <cellStyle name="Normal 2 2 9 3 4 3" xfId="43446" xr:uid="{00000000-0005-0000-0000-0000F1350000}"/>
    <cellStyle name="Normal 2 2 9 3 5" xfId="20232" xr:uid="{00000000-0005-0000-0000-0000F2350000}"/>
    <cellStyle name="Normal 2 2 9 3 6" xfId="38864" xr:uid="{00000000-0005-0000-0000-0000F3350000}"/>
    <cellStyle name="Normal 2 2 9 4" xfId="4835" xr:uid="{00000000-0005-0000-0000-0000F4350000}"/>
    <cellStyle name="Normal 2 2 9 4 2" xfId="4836" xr:uid="{00000000-0005-0000-0000-0000F5350000}"/>
    <cellStyle name="Normal 2 2 9 4 2 2" xfId="10691" xr:uid="{00000000-0005-0000-0000-0000F6350000}"/>
    <cellStyle name="Normal 2 2 9 4 2 2 2" xfId="34176" xr:uid="{00000000-0005-0000-0000-0000F7350000}"/>
    <cellStyle name="Normal 2 2 9 4 2 2 3" xfId="24857" xr:uid="{00000000-0005-0000-0000-0000F8350000}"/>
    <cellStyle name="Normal 2 2 9 4 2 2 4" xfId="48119" xr:uid="{00000000-0005-0000-0000-0000F9350000}"/>
    <cellStyle name="Normal 2 2 9 4 2 3" xfId="15422" xr:uid="{00000000-0005-0000-0000-0000FA350000}"/>
    <cellStyle name="Normal 2 2 9 4 2 3 2" xfId="29554" xr:uid="{00000000-0005-0000-0000-0000FB350000}"/>
    <cellStyle name="Normal 2 2 9 4 2 3 3" xfId="43449" xr:uid="{00000000-0005-0000-0000-0000FC350000}"/>
    <cellStyle name="Normal 2 2 9 4 2 4" xfId="20235" xr:uid="{00000000-0005-0000-0000-0000FD350000}"/>
    <cellStyle name="Normal 2 2 9 4 2 5" xfId="38867" xr:uid="{00000000-0005-0000-0000-0000FE350000}"/>
    <cellStyle name="Normal 2 2 9 4 3" xfId="10690" xr:uid="{00000000-0005-0000-0000-0000FF350000}"/>
    <cellStyle name="Normal 2 2 9 4 3 2" xfId="34175" xr:uid="{00000000-0005-0000-0000-000000360000}"/>
    <cellStyle name="Normal 2 2 9 4 3 3" xfId="24856" xr:uid="{00000000-0005-0000-0000-000001360000}"/>
    <cellStyle name="Normal 2 2 9 4 3 4" xfId="48118" xr:uid="{00000000-0005-0000-0000-000002360000}"/>
    <cellStyle name="Normal 2 2 9 4 4" xfId="15421" xr:uid="{00000000-0005-0000-0000-000003360000}"/>
    <cellStyle name="Normal 2 2 9 4 4 2" xfId="29553" xr:uid="{00000000-0005-0000-0000-000004360000}"/>
    <cellStyle name="Normal 2 2 9 4 4 3" xfId="43448" xr:uid="{00000000-0005-0000-0000-000005360000}"/>
    <cellStyle name="Normal 2 2 9 4 5" xfId="20234" xr:uid="{00000000-0005-0000-0000-000006360000}"/>
    <cellStyle name="Normal 2 2 9 4 6" xfId="38866" xr:uid="{00000000-0005-0000-0000-000007360000}"/>
    <cellStyle name="Normal 2 2 9 5" xfId="4837" xr:uid="{00000000-0005-0000-0000-000008360000}"/>
    <cellStyle name="Normal 2 2 9 5 2" xfId="4838" xr:uid="{00000000-0005-0000-0000-000009360000}"/>
    <cellStyle name="Normal 2 2 9 5 2 2" xfId="10693" xr:uid="{00000000-0005-0000-0000-00000A360000}"/>
    <cellStyle name="Normal 2 2 9 5 2 2 2" xfId="34178" xr:uid="{00000000-0005-0000-0000-00000B360000}"/>
    <cellStyle name="Normal 2 2 9 5 2 2 3" xfId="24859" xr:uid="{00000000-0005-0000-0000-00000C360000}"/>
    <cellStyle name="Normal 2 2 9 5 2 2 4" xfId="48121" xr:uid="{00000000-0005-0000-0000-00000D360000}"/>
    <cellStyle name="Normal 2 2 9 5 2 3" xfId="15424" xr:uid="{00000000-0005-0000-0000-00000E360000}"/>
    <cellStyle name="Normal 2 2 9 5 2 3 2" xfId="29556" xr:uid="{00000000-0005-0000-0000-00000F360000}"/>
    <cellStyle name="Normal 2 2 9 5 2 3 3" xfId="43451" xr:uid="{00000000-0005-0000-0000-000010360000}"/>
    <cellStyle name="Normal 2 2 9 5 2 4" xfId="20237" xr:uid="{00000000-0005-0000-0000-000011360000}"/>
    <cellStyle name="Normal 2 2 9 5 2 5" xfId="38869" xr:uid="{00000000-0005-0000-0000-000012360000}"/>
    <cellStyle name="Normal 2 2 9 5 3" xfId="10692" xr:uid="{00000000-0005-0000-0000-000013360000}"/>
    <cellStyle name="Normal 2 2 9 5 3 2" xfId="34177" xr:uid="{00000000-0005-0000-0000-000014360000}"/>
    <cellStyle name="Normal 2 2 9 5 3 3" xfId="24858" xr:uid="{00000000-0005-0000-0000-000015360000}"/>
    <cellStyle name="Normal 2 2 9 5 3 4" xfId="48120" xr:uid="{00000000-0005-0000-0000-000016360000}"/>
    <cellStyle name="Normal 2 2 9 5 4" xfId="15423" xr:uid="{00000000-0005-0000-0000-000017360000}"/>
    <cellStyle name="Normal 2 2 9 5 4 2" xfId="29555" xr:uid="{00000000-0005-0000-0000-000018360000}"/>
    <cellStyle name="Normal 2 2 9 5 4 3" xfId="43450" xr:uid="{00000000-0005-0000-0000-000019360000}"/>
    <cellStyle name="Normal 2 2 9 5 5" xfId="20236" xr:uid="{00000000-0005-0000-0000-00001A360000}"/>
    <cellStyle name="Normal 2 2 9 5 6" xfId="38868" xr:uid="{00000000-0005-0000-0000-00001B360000}"/>
    <cellStyle name="Normal 2 2 9 6" xfId="4839" xr:uid="{00000000-0005-0000-0000-00001C360000}"/>
    <cellStyle name="Normal 2 2 9 6 2" xfId="4840" xr:uid="{00000000-0005-0000-0000-00001D360000}"/>
    <cellStyle name="Normal 2 2 9 6 2 2" xfId="10695" xr:uid="{00000000-0005-0000-0000-00001E360000}"/>
    <cellStyle name="Normal 2 2 9 6 2 2 2" xfId="34180" xr:uid="{00000000-0005-0000-0000-00001F360000}"/>
    <cellStyle name="Normal 2 2 9 6 2 2 3" xfId="24861" xr:uid="{00000000-0005-0000-0000-000020360000}"/>
    <cellStyle name="Normal 2 2 9 6 2 2 4" xfId="48123" xr:uid="{00000000-0005-0000-0000-000021360000}"/>
    <cellStyle name="Normal 2 2 9 6 2 3" xfId="15426" xr:uid="{00000000-0005-0000-0000-000022360000}"/>
    <cellStyle name="Normal 2 2 9 6 2 3 2" xfId="29558" xr:uid="{00000000-0005-0000-0000-000023360000}"/>
    <cellStyle name="Normal 2 2 9 6 2 3 3" xfId="43453" xr:uid="{00000000-0005-0000-0000-000024360000}"/>
    <cellStyle name="Normal 2 2 9 6 2 4" xfId="20239" xr:uid="{00000000-0005-0000-0000-000025360000}"/>
    <cellStyle name="Normal 2 2 9 6 2 5" xfId="38871" xr:uid="{00000000-0005-0000-0000-000026360000}"/>
    <cellStyle name="Normal 2 2 9 6 3" xfId="10694" xr:uid="{00000000-0005-0000-0000-000027360000}"/>
    <cellStyle name="Normal 2 2 9 6 3 2" xfId="34179" xr:uid="{00000000-0005-0000-0000-000028360000}"/>
    <cellStyle name="Normal 2 2 9 6 3 3" xfId="24860" xr:uid="{00000000-0005-0000-0000-000029360000}"/>
    <cellStyle name="Normal 2 2 9 6 3 4" xfId="48122" xr:uid="{00000000-0005-0000-0000-00002A360000}"/>
    <cellStyle name="Normal 2 2 9 6 4" xfId="15425" xr:uid="{00000000-0005-0000-0000-00002B360000}"/>
    <cellStyle name="Normal 2 2 9 6 4 2" xfId="29557" xr:uid="{00000000-0005-0000-0000-00002C360000}"/>
    <cellStyle name="Normal 2 2 9 6 4 3" xfId="43452" xr:uid="{00000000-0005-0000-0000-00002D360000}"/>
    <cellStyle name="Normal 2 2 9 6 5" xfId="20238" xr:uid="{00000000-0005-0000-0000-00002E360000}"/>
    <cellStyle name="Normal 2 2 9 6 6" xfId="38870" xr:uid="{00000000-0005-0000-0000-00002F360000}"/>
    <cellStyle name="Normal 2 2 9 7" xfId="4841" xr:uid="{00000000-0005-0000-0000-000030360000}"/>
    <cellStyle name="Normal 2 2 9 7 2" xfId="10696" xr:uid="{00000000-0005-0000-0000-000031360000}"/>
    <cellStyle name="Normal 2 2 9 7 2 2" xfId="34181" xr:uid="{00000000-0005-0000-0000-000032360000}"/>
    <cellStyle name="Normal 2 2 9 7 2 3" xfId="24862" xr:uid="{00000000-0005-0000-0000-000033360000}"/>
    <cellStyle name="Normal 2 2 9 7 2 4" xfId="48124" xr:uid="{00000000-0005-0000-0000-000034360000}"/>
    <cellStyle name="Normal 2 2 9 7 3" xfId="15427" xr:uid="{00000000-0005-0000-0000-000035360000}"/>
    <cellStyle name="Normal 2 2 9 7 3 2" xfId="29559" xr:uid="{00000000-0005-0000-0000-000036360000}"/>
    <cellStyle name="Normal 2 2 9 7 3 3" xfId="43454" xr:uid="{00000000-0005-0000-0000-000037360000}"/>
    <cellStyle name="Normal 2 2 9 7 4" xfId="20240" xr:uid="{00000000-0005-0000-0000-000038360000}"/>
    <cellStyle name="Normal 2 2 9 7 5" xfId="38872" xr:uid="{00000000-0005-0000-0000-000039360000}"/>
    <cellStyle name="Normal 2 2 9 8" xfId="10685" xr:uid="{00000000-0005-0000-0000-00003A360000}"/>
    <cellStyle name="Normal 2 2 9 8 2" xfId="34170" xr:uid="{00000000-0005-0000-0000-00003B360000}"/>
    <cellStyle name="Normal 2 2 9 8 3" xfId="24851" xr:uid="{00000000-0005-0000-0000-00003C360000}"/>
    <cellStyle name="Normal 2 2 9 8 4" xfId="48113" xr:uid="{00000000-0005-0000-0000-00003D360000}"/>
    <cellStyle name="Normal 2 2 9 9" xfId="15416" xr:uid="{00000000-0005-0000-0000-00003E360000}"/>
    <cellStyle name="Normal 2 2 9 9 2" xfId="29548" xr:uid="{00000000-0005-0000-0000-00003F360000}"/>
    <cellStyle name="Normal 2 2 9 9 3" xfId="43443" xr:uid="{00000000-0005-0000-0000-000040360000}"/>
    <cellStyle name="Normal 2 20" xfId="4842" xr:uid="{00000000-0005-0000-0000-000041360000}"/>
    <cellStyle name="Normal 2 20 2" xfId="4843" xr:uid="{00000000-0005-0000-0000-000042360000}"/>
    <cellStyle name="Normal 2 20 2 2" xfId="10698" xr:uid="{00000000-0005-0000-0000-000043360000}"/>
    <cellStyle name="Normal 2 20 2 2 2" xfId="34183" xr:uid="{00000000-0005-0000-0000-000044360000}"/>
    <cellStyle name="Normal 2 20 2 2 3" xfId="24864" xr:uid="{00000000-0005-0000-0000-000045360000}"/>
    <cellStyle name="Normal 2 20 2 2 4" xfId="48126" xr:uid="{00000000-0005-0000-0000-000046360000}"/>
    <cellStyle name="Normal 2 20 2 3" xfId="15429" xr:uid="{00000000-0005-0000-0000-000047360000}"/>
    <cellStyle name="Normal 2 20 2 3 2" xfId="29561" xr:uid="{00000000-0005-0000-0000-000048360000}"/>
    <cellStyle name="Normal 2 20 2 3 3" xfId="43456" xr:uid="{00000000-0005-0000-0000-000049360000}"/>
    <cellStyle name="Normal 2 20 2 4" xfId="20242" xr:uid="{00000000-0005-0000-0000-00004A360000}"/>
    <cellStyle name="Normal 2 20 2 5" xfId="38874" xr:uid="{00000000-0005-0000-0000-00004B360000}"/>
    <cellStyle name="Normal 2 20 3" xfId="10697" xr:uid="{00000000-0005-0000-0000-00004C360000}"/>
    <cellStyle name="Normal 2 20 3 2" xfId="34182" xr:uid="{00000000-0005-0000-0000-00004D360000}"/>
    <cellStyle name="Normal 2 20 3 3" xfId="24863" xr:uid="{00000000-0005-0000-0000-00004E360000}"/>
    <cellStyle name="Normal 2 20 3 4" xfId="48125" xr:uid="{00000000-0005-0000-0000-00004F360000}"/>
    <cellStyle name="Normal 2 20 4" xfId="15428" xr:uid="{00000000-0005-0000-0000-000050360000}"/>
    <cellStyle name="Normal 2 20 4 2" xfId="29560" xr:uid="{00000000-0005-0000-0000-000051360000}"/>
    <cellStyle name="Normal 2 20 4 3" xfId="43455" xr:uid="{00000000-0005-0000-0000-000052360000}"/>
    <cellStyle name="Normal 2 20 5" xfId="20241" xr:uid="{00000000-0005-0000-0000-000053360000}"/>
    <cellStyle name="Normal 2 20 6" xfId="38873" xr:uid="{00000000-0005-0000-0000-000054360000}"/>
    <cellStyle name="Normal 2 21" xfId="4844" xr:uid="{00000000-0005-0000-0000-000055360000}"/>
    <cellStyle name="Normal 2 21 2" xfId="4845" xr:uid="{00000000-0005-0000-0000-000056360000}"/>
    <cellStyle name="Normal 2 21 2 2" xfId="10700" xr:uid="{00000000-0005-0000-0000-000057360000}"/>
    <cellStyle name="Normal 2 21 2 2 2" xfId="34185" xr:uid="{00000000-0005-0000-0000-000058360000}"/>
    <cellStyle name="Normal 2 21 2 2 3" xfId="24866" xr:uid="{00000000-0005-0000-0000-000059360000}"/>
    <cellStyle name="Normal 2 21 2 2 4" xfId="48128" xr:uid="{00000000-0005-0000-0000-00005A360000}"/>
    <cellStyle name="Normal 2 21 2 3" xfId="15431" xr:uid="{00000000-0005-0000-0000-00005B360000}"/>
    <cellStyle name="Normal 2 21 2 3 2" xfId="29563" xr:uid="{00000000-0005-0000-0000-00005C360000}"/>
    <cellStyle name="Normal 2 21 2 3 3" xfId="43458" xr:uid="{00000000-0005-0000-0000-00005D360000}"/>
    <cellStyle name="Normal 2 21 2 4" xfId="20244" xr:uid="{00000000-0005-0000-0000-00005E360000}"/>
    <cellStyle name="Normal 2 21 2 5" xfId="38876" xr:uid="{00000000-0005-0000-0000-00005F360000}"/>
    <cellStyle name="Normal 2 21 3" xfId="10699" xr:uid="{00000000-0005-0000-0000-000060360000}"/>
    <cellStyle name="Normal 2 21 3 2" xfId="34184" xr:uid="{00000000-0005-0000-0000-000061360000}"/>
    <cellStyle name="Normal 2 21 3 3" xfId="24865" xr:uid="{00000000-0005-0000-0000-000062360000}"/>
    <cellStyle name="Normal 2 21 3 4" xfId="48127" xr:uid="{00000000-0005-0000-0000-000063360000}"/>
    <cellStyle name="Normal 2 21 4" xfId="15430" xr:uid="{00000000-0005-0000-0000-000064360000}"/>
    <cellStyle name="Normal 2 21 4 2" xfId="29562" xr:uid="{00000000-0005-0000-0000-000065360000}"/>
    <cellStyle name="Normal 2 21 4 3" xfId="43457" xr:uid="{00000000-0005-0000-0000-000066360000}"/>
    <cellStyle name="Normal 2 21 5" xfId="20243" xr:uid="{00000000-0005-0000-0000-000067360000}"/>
    <cellStyle name="Normal 2 21 6" xfId="38875" xr:uid="{00000000-0005-0000-0000-000068360000}"/>
    <cellStyle name="Normal 2 22" xfId="4846" xr:uid="{00000000-0005-0000-0000-000069360000}"/>
    <cellStyle name="Normal 2 22 2" xfId="4847" xr:uid="{00000000-0005-0000-0000-00006A360000}"/>
    <cellStyle name="Normal 2 22 2 2" xfId="10702" xr:uid="{00000000-0005-0000-0000-00006B360000}"/>
    <cellStyle name="Normal 2 22 2 2 2" xfId="34187" xr:uid="{00000000-0005-0000-0000-00006C360000}"/>
    <cellStyle name="Normal 2 22 2 2 3" xfId="24868" xr:uid="{00000000-0005-0000-0000-00006D360000}"/>
    <cellStyle name="Normal 2 22 2 2 4" xfId="48130" xr:uid="{00000000-0005-0000-0000-00006E360000}"/>
    <cellStyle name="Normal 2 22 2 3" xfId="15433" xr:uid="{00000000-0005-0000-0000-00006F360000}"/>
    <cellStyle name="Normal 2 22 2 3 2" xfId="29565" xr:uid="{00000000-0005-0000-0000-000070360000}"/>
    <cellStyle name="Normal 2 22 2 3 3" xfId="43460" xr:uid="{00000000-0005-0000-0000-000071360000}"/>
    <cellStyle name="Normal 2 22 2 4" xfId="20246" xr:uid="{00000000-0005-0000-0000-000072360000}"/>
    <cellStyle name="Normal 2 22 2 5" xfId="38878" xr:uid="{00000000-0005-0000-0000-000073360000}"/>
    <cellStyle name="Normal 2 22 3" xfId="10701" xr:uid="{00000000-0005-0000-0000-000074360000}"/>
    <cellStyle name="Normal 2 22 3 2" xfId="34186" xr:uid="{00000000-0005-0000-0000-000075360000}"/>
    <cellStyle name="Normal 2 22 3 3" xfId="24867" xr:uid="{00000000-0005-0000-0000-000076360000}"/>
    <cellStyle name="Normal 2 22 3 4" xfId="48129" xr:uid="{00000000-0005-0000-0000-000077360000}"/>
    <cellStyle name="Normal 2 22 4" xfId="15432" xr:uid="{00000000-0005-0000-0000-000078360000}"/>
    <cellStyle name="Normal 2 22 4 2" xfId="29564" xr:uid="{00000000-0005-0000-0000-000079360000}"/>
    <cellStyle name="Normal 2 22 4 3" xfId="43459" xr:uid="{00000000-0005-0000-0000-00007A360000}"/>
    <cellStyle name="Normal 2 22 5" xfId="20245" xr:uid="{00000000-0005-0000-0000-00007B360000}"/>
    <cellStyle name="Normal 2 22 6" xfId="38877" xr:uid="{00000000-0005-0000-0000-00007C360000}"/>
    <cellStyle name="Normal 2 23" xfId="4848" xr:uid="{00000000-0005-0000-0000-00007D360000}"/>
    <cellStyle name="Normal 2 23 2" xfId="4849" xr:uid="{00000000-0005-0000-0000-00007E360000}"/>
    <cellStyle name="Normal 2 23 2 2" xfId="10704" xr:uid="{00000000-0005-0000-0000-00007F360000}"/>
    <cellStyle name="Normal 2 23 2 2 2" xfId="34189" xr:uid="{00000000-0005-0000-0000-000080360000}"/>
    <cellStyle name="Normal 2 23 2 2 3" xfId="24870" xr:uid="{00000000-0005-0000-0000-000081360000}"/>
    <cellStyle name="Normal 2 23 2 2 4" xfId="48132" xr:uid="{00000000-0005-0000-0000-000082360000}"/>
    <cellStyle name="Normal 2 23 2 3" xfId="15435" xr:uid="{00000000-0005-0000-0000-000083360000}"/>
    <cellStyle name="Normal 2 23 2 3 2" xfId="29567" xr:uid="{00000000-0005-0000-0000-000084360000}"/>
    <cellStyle name="Normal 2 23 2 3 3" xfId="43462" xr:uid="{00000000-0005-0000-0000-000085360000}"/>
    <cellStyle name="Normal 2 23 2 4" xfId="20248" xr:uid="{00000000-0005-0000-0000-000086360000}"/>
    <cellStyle name="Normal 2 23 2 5" xfId="38880" xr:uid="{00000000-0005-0000-0000-000087360000}"/>
    <cellStyle name="Normal 2 23 3" xfId="10703" xr:uid="{00000000-0005-0000-0000-000088360000}"/>
    <cellStyle name="Normal 2 23 3 2" xfId="34188" xr:uid="{00000000-0005-0000-0000-000089360000}"/>
    <cellStyle name="Normal 2 23 3 3" xfId="24869" xr:uid="{00000000-0005-0000-0000-00008A360000}"/>
    <cellStyle name="Normal 2 23 3 4" xfId="48131" xr:uid="{00000000-0005-0000-0000-00008B360000}"/>
    <cellStyle name="Normal 2 23 4" xfId="15434" xr:uid="{00000000-0005-0000-0000-00008C360000}"/>
    <cellStyle name="Normal 2 23 4 2" xfId="29566" xr:uid="{00000000-0005-0000-0000-00008D360000}"/>
    <cellStyle name="Normal 2 23 4 3" xfId="43461" xr:uid="{00000000-0005-0000-0000-00008E360000}"/>
    <cellStyle name="Normal 2 23 5" xfId="20247" xr:uid="{00000000-0005-0000-0000-00008F360000}"/>
    <cellStyle name="Normal 2 23 6" xfId="38879" xr:uid="{00000000-0005-0000-0000-000090360000}"/>
    <cellStyle name="Normal 2 24" xfId="4850" xr:uid="{00000000-0005-0000-0000-000091360000}"/>
    <cellStyle name="Normal 2 24 2" xfId="4851" xr:uid="{00000000-0005-0000-0000-000092360000}"/>
    <cellStyle name="Normal 2 24 2 2" xfId="10706" xr:uid="{00000000-0005-0000-0000-000093360000}"/>
    <cellStyle name="Normal 2 24 2 2 2" xfId="34191" xr:uid="{00000000-0005-0000-0000-000094360000}"/>
    <cellStyle name="Normal 2 24 2 2 3" xfId="24872" xr:uid="{00000000-0005-0000-0000-000095360000}"/>
    <cellStyle name="Normal 2 24 2 2 4" xfId="48134" xr:uid="{00000000-0005-0000-0000-000096360000}"/>
    <cellStyle name="Normal 2 24 2 3" xfId="15437" xr:uid="{00000000-0005-0000-0000-000097360000}"/>
    <cellStyle name="Normal 2 24 2 3 2" xfId="29569" xr:uid="{00000000-0005-0000-0000-000098360000}"/>
    <cellStyle name="Normal 2 24 2 3 3" xfId="43464" xr:uid="{00000000-0005-0000-0000-000099360000}"/>
    <cellStyle name="Normal 2 24 2 4" xfId="20250" xr:uid="{00000000-0005-0000-0000-00009A360000}"/>
    <cellStyle name="Normal 2 24 2 5" xfId="38882" xr:uid="{00000000-0005-0000-0000-00009B360000}"/>
    <cellStyle name="Normal 2 24 3" xfId="10705" xr:uid="{00000000-0005-0000-0000-00009C360000}"/>
    <cellStyle name="Normal 2 24 3 2" xfId="34190" xr:uid="{00000000-0005-0000-0000-00009D360000}"/>
    <cellStyle name="Normal 2 24 3 3" xfId="24871" xr:uid="{00000000-0005-0000-0000-00009E360000}"/>
    <cellStyle name="Normal 2 24 3 4" xfId="48133" xr:uid="{00000000-0005-0000-0000-00009F360000}"/>
    <cellStyle name="Normal 2 24 4" xfId="15436" xr:uid="{00000000-0005-0000-0000-0000A0360000}"/>
    <cellStyle name="Normal 2 24 4 2" xfId="29568" xr:uid="{00000000-0005-0000-0000-0000A1360000}"/>
    <cellStyle name="Normal 2 24 4 3" xfId="43463" xr:uid="{00000000-0005-0000-0000-0000A2360000}"/>
    <cellStyle name="Normal 2 24 5" xfId="20249" xr:uid="{00000000-0005-0000-0000-0000A3360000}"/>
    <cellStyle name="Normal 2 24 6" xfId="38881" xr:uid="{00000000-0005-0000-0000-0000A4360000}"/>
    <cellStyle name="Normal 2 25" xfId="4852" xr:uid="{00000000-0005-0000-0000-0000A5360000}"/>
    <cellStyle name="Normal 2 25 2" xfId="4853" xr:uid="{00000000-0005-0000-0000-0000A6360000}"/>
    <cellStyle name="Normal 2 25 2 2" xfId="10708" xr:uid="{00000000-0005-0000-0000-0000A7360000}"/>
    <cellStyle name="Normal 2 25 2 2 2" xfId="34193" xr:uid="{00000000-0005-0000-0000-0000A8360000}"/>
    <cellStyle name="Normal 2 25 2 2 3" xfId="24874" xr:uid="{00000000-0005-0000-0000-0000A9360000}"/>
    <cellStyle name="Normal 2 25 2 2 4" xfId="48136" xr:uid="{00000000-0005-0000-0000-0000AA360000}"/>
    <cellStyle name="Normal 2 25 2 3" xfId="15439" xr:uid="{00000000-0005-0000-0000-0000AB360000}"/>
    <cellStyle name="Normal 2 25 2 3 2" xfId="29571" xr:uid="{00000000-0005-0000-0000-0000AC360000}"/>
    <cellStyle name="Normal 2 25 2 3 3" xfId="43466" xr:uid="{00000000-0005-0000-0000-0000AD360000}"/>
    <cellStyle name="Normal 2 25 2 4" xfId="20252" xr:uid="{00000000-0005-0000-0000-0000AE360000}"/>
    <cellStyle name="Normal 2 25 2 5" xfId="38884" xr:uid="{00000000-0005-0000-0000-0000AF360000}"/>
    <cellStyle name="Normal 2 25 3" xfId="10707" xr:uid="{00000000-0005-0000-0000-0000B0360000}"/>
    <cellStyle name="Normal 2 25 3 2" xfId="34192" xr:uid="{00000000-0005-0000-0000-0000B1360000}"/>
    <cellStyle name="Normal 2 25 3 3" xfId="24873" xr:uid="{00000000-0005-0000-0000-0000B2360000}"/>
    <cellStyle name="Normal 2 25 3 4" xfId="48135" xr:uid="{00000000-0005-0000-0000-0000B3360000}"/>
    <cellStyle name="Normal 2 25 4" xfId="15438" xr:uid="{00000000-0005-0000-0000-0000B4360000}"/>
    <cellStyle name="Normal 2 25 4 2" xfId="29570" xr:uid="{00000000-0005-0000-0000-0000B5360000}"/>
    <cellStyle name="Normal 2 25 4 3" xfId="43465" xr:uid="{00000000-0005-0000-0000-0000B6360000}"/>
    <cellStyle name="Normal 2 25 5" xfId="20251" xr:uid="{00000000-0005-0000-0000-0000B7360000}"/>
    <cellStyle name="Normal 2 25 6" xfId="38883" xr:uid="{00000000-0005-0000-0000-0000B8360000}"/>
    <cellStyle name="Normal 2 26" xfId="4854" xr:uid="{00000000-0005-0000-0000-0000B9360000}"/>
    <cellStyle name="Normal 2 26 2" xfId="4855" xr:uid="{00000000-0005-0000-0000-0000BA360000}"/>
    <cellStyle name="Normal 2 26 2 2" xfId="10710" xr:uid="{00000000-0005-0000-0000-0000BB360000}"/>
    <cellStyle name="Normal 2 26 2 2 2" xfId="34195" xr:uid="{00000000-0005-0000-0000-0000BC360000}"/>
    <cellStyle name="Normal 2 26 2 2 3" xfId="24876" xr:uid="{00000000-0005-0000-0000-0000BD360000}"/>
    <cellStyle name="Normal 2 26 2 2 4" xfId="48138" xr:uid="{00000000-0005-0000-0000-0000BE360000}"/>
    <cellStyle name="Normal 2 26 2 3" xfId="15441" xr:uid="{00000000-0005-0000-0000-0000BF360000}"/>
    <cellStyle name="Normal 2 26 2 3 2" xfId="29573" xr:uid="{00000000-0005-0000-0000-0000C0360000}"/>
    <cellStyle name="Normal 2 26 2 3 3" xfId="43468" xr:uid="{00000000-0005-0000-0000-0000C1360000}"/>
    <cellStyle name="Normal 2 26 2 4" xfId="20254" xr:uid="{00000000-0005-0000-0000-0000C2360000}"/>
    <cellStyle name="Normal 2 26 2 5" xfId="38886" xr:uid="{00000000-0005-0000-0000-0000C3360000}"/>
    <cellStyle name="Normal 2 26 3" xfId="10709" xr:uid="{00000000-0005-0000-0000-0000C4360000}"/>
    <cellStyle name="Normal 2 26 3 2" xfId="34194" xr:uid="{00000000-0005-0000-0000-0000C5360000}"/>
    <cellStyle name="Normal 2 26 3 3" xfId="24875" xr:uid="{00000000-0005-0000-0000-0000C6360000}"/>
    <cellStyle name="Normal 2 26 3 4" xfId="48137" xr:uid="{00000000-0005-0000-0000-0000C7360000}"/>
    <cellStyle name="Normal 2 26 4" xfId="15440" xr:uid="{00000000-0005-0000-0000-0000C8360000}"/>
    <cellStyle name="Normal 2 26 4 2" xfId="29572" xr:uid="{00000000-0005-0000-0000-0000C9360000}"/>
    <cellStyle name="Normal 2 26 4 3" xfId="43467" xr:uid="{00000000-0005-0000-0000-0000CA360000}"/>
    <cellStyle name="Normal 2 26 5" xfId="20253" xr:uid="{00000000-0005-0000-0000-0000CB360000}"/>
    <cellStyle name="Normal 2 26 6" xfId="38885" xr:uid="{00000000-0005-0000-0000-0000CC360000}"/>
    <cellStyle name="Normal 2 27" xfId="4856" xr:uid="{00000000-0005-0000-0000-0000CD360000}"/>
    <cellStyle name="Normal 2 27 2" xfId="4857" xr:uid="{00000000-0005-0000-0000-0000CE360000}"/>
    <cellStyle name="Normal 2 27 2 2" xfId="10712" xr:uid="{00000000-0005-0000-0000-0000CF360000}"/>
    <cellStyle name="Normal 2 27 2 2 2" xfId="34197" xr:uid="{00000000-0005-0000-0000-0000D0360000}"/>
    <cellStyle name="Normal 2 27 2 2 3" xfId="24878" xr:uid="{00000000-0005-0000-0000-0000D1360000}"/>
    <cellStyle name="Normal 2 27 2 2 4" xfId="48140" xr:uid="{00000000-0005-0000-0000-0000D2360000}"/>
    <cellStyle name="Normal 2 27 2 3" xfId="15443" xr:uid="{00000000-0005-0000-0000-0000D3360000}"/>
    <cellStyle name="Normal 2 27 2 3 2" xfId="29575" xr:uid="{00000000-0005-0000-0000-0000D4360000}"/>
    <cellStyle name="Normal 2 27 2 3 3" xfId="43470" xr:uid="{00000000-0005-0000-0000-0000D5360000}"/>
    <cellStyle name="Normal 2 27 2 4" xfId="20256" xr:uid="{00000000-0005-0000-0000-0000D6360000}"/>
    <cellStyle name="Normal 2 27 2 5" xfId="38888" xr:uid="{00000000-0005-0000-0000-0000D7360000}"/>
    <cellStyle name="Normal 2 27 3" xfId="10711" xr:uid="{00000000-0005-0000-0000-0000D8360000}"/>
    <cellStyle name="Normal 2 27 3 2" xfId="34196" xr:uid="{00000000-0005-0000-0000-0000D9360000}"/>
    <cellStyle name="Normal 2 27 3 3" xfId="24877" xr:uid="{00000000-0005-0000-0000-0000DA360000}"/>
    <cellStyle name="Normal 2 27 3 4" xfId="48139" xr:uid="{00000000-0005-0000-0000-0000DB360000}"/>
    <cellStyle name="Normal 2 27 4" xfId="15442" xr:uid="{00000000-0005-0000-0000-0000DC360000}"/>
    <cellStyle name="Normal 2 27 4 2" xfId="29574" xr:uid="{00000000-0005-0000-0000-0000DD360000}"/>
    <cellStyle name="Normal 2 27 4 3" xfId="43469" xr:uid="{00000000-0005-0000-0000-0000DE360000}"/>
    <cellStyle name="Normal 2 27 5" xfId="20255" xr:uid="{00000000-0005-0000-0000-0000DF360000}"/>
    <cellStyle name="Normal 2 27 6" xfId="38887" xr:uid="{00000000-0005-0000-0000-0000E0360000}"/>
    <cellStyle name="Normal 2 28" xfId="4858" xr:uid="{00000000-0005-0000-0000-0000E1360000}"/>
    <cellStyle name="Normal 2 28 2" xfId="4859" xr:uid="{00000000-0005-0000-0000-0000E2360000}"/>
    <cellStyle name="Normal 2 28 2 2" xfId="10714" xr:uid="{00000000-0005-0000-0000-0000E3360000}"/>
    <cellStyle name="Normal 2 28 2 2 2" xfId="34199" xr:uid="{00000000-0005-0000-0000-0000E4360000}"/>
    <cellStyle name="Normal 2 28 2 2 3" xfId="24880" xr:uid="{00000000-0005-0000-0000-0000E5360000}"/>
    <cellStyle name="Normal 2 28 2 2 4" xfId="48142" xr:uid="{00000000-0005-0000-0000-0000E6360000}"/>
    <cellStyle name="Normal 2 28 2 3" xfId="15445" xr:uid="{00000000-0005-0000-0000-0000E7360000}"/>
    <cellStyle name="Normal 2 28 2 3 2" xfId="29577" xr:uid="{00000000-0005-0000-0000-0000E8360000}"/>
    <cellStyle name="Normal 2 28 2 3 3" xfId="43472" xr:uid="{00000000-0005-0000-0000-0000E9360000}"/>
    <cellStyle name="Normal 2 28 2 4" xfId="20258" xr:uid="{00000000-0005-0000-0000-0000EA360000}"/>
    <cellStyle name="Normal 2 28 2 5" xfId="38890" xr:uid="{00000000-0005-0000-0000-0000EB360000}"/>
    <cellStyle name="Normal 2 28 3" xfId="10713" xr:uid="{00000000-0005-0000-0000-0000EC360000}"/>
    <cellStyle name="Normal 2 28 3 2" xfId="34198" xr:uid="{00000000-0005-0000-0000-0000ED360000}"/>
    <cellStyle name="Normal 2 28 3 3" xfId="24879" xr:uid="{00000000-0005-0000-0000-0000EE360000}"/>
    <cellStyle name="Normal 2 28 3 4" xfId="48141" xr:uid="{00000000-0005-0000-0000-0000EF360000}"/>
    <cellStyle name="Normal 2 28 4" xfId="15444" xr:uid="{00000000-0005-0000-0000-0000F0360000}"/>
    <cellStyle name="Normal 2 28 4 2" xfId="29576" xr:uid="{00000000-0005-0000-0000-0000F1360000}"/>
    <cellStyle name="Normal 2 28 4 3" xfId="43471" xr:uid="{00000000-0005-0000-0000-0000F2360000}"/>
    <cellStyle name="Normal 2 28 5" xfId="20257" xr:uid="{00000000-0005-0000-0000-0000F3360000}"/>
    <cellStyle name="Normal 2 28 6" xfId="38889" xr:uid="{00000000-0005-0000-0000-0000F4360000}"/>
    <cellStyle name="Normal 2 29" xfId="4860" xr:uid="{00000000-0005-0000-0000-0000F5360000}"/>
    <cellStyle name="Normal 2 29 2" xfId="4861" xr:uid="{00000000-0005-0000-0000-0000F6360000}"/>
    <cellStyle name="Normal 2 29 2 2" xfId="10716" xr:uid="{00000000-0005-0000-0000-0000F7360000}"/>
    <cellStyle name="Normal 2 29 2 2 2" xfId="34201" xr:uid="{00000000-0005-0000-0000-0000F8360000}"/>
    <cellStyle name="Normal 2 29 2 2 3" xfId="24882" xr:uid="{00000000-0005-0000-0000-0000F9360000}"/>
    <cellStyle name="Normal 2 29 2 2 4" xfId="48144" xr:uid="{00000000-0005-0000-0000-0000FA360000}"/>
    <cellStyle name="Normal 2 29 2 3" xfId="15447" xr:uid="{00000000-0005-0000-0000-0000FB360000}"/>
    <cellStyle name="Normal 2 29 2 3 2" xfId="29579" xr:uid="{00000000-0005-0000-0000-0000FC360000}"/>
    <cellStyle name="Normal 2 29 2 3 3" xfId="43474" xr:uid="{00000000-0005-0000-0000-0000FD360000}"/>
    <cellStyle name="Normal 2 29 2 4" xfId="20260" xr:uid="{00000000-0005-0000-0000-0000FE360000}"/>
    <cellStyle name="Normal 2 29 2 5" xfId="38892" xr:uid="{00000000-0005-0000-0000-0000FF360000}"/>
    <cellStyle name="Normal 2 29 3" xfId="10715" xr:uid="{00000000-0005-0000-0000-000000370000}"/>
    <cellStyle name="Normal 2 29 3 2" xfId="34200" xr:uid="{00000000-0005-0000-0000-000001370000}"/>
    <cellStyle name="Normal 2 29 3 3" xfId="24881" xr:uid="{00000000-0005-0000-0000-000002370000}"/>
    <cellStyle name="Normal 2 29 3 4" xfId="48143" xr:uid="{00000000-0005-0000-0000-000003370000}"/>
    <cellStyle name="Normal 2 29 4" xfId="15446" xr:uid="{00000000-0005-0000-0000-000004370000}"/>
    <cellStyle name="Normal 2 29 4 2" xfId="29578" xr:uid="{00000000-0005-0000-0000-000005370000}"/>
    <cellStyle name="Normal 2 29 4 3" xfId="43473" xr:uid="{00000000-0005-0000-0000-000006370000}"/>
    <cellStyle name="Normal 2 29 5" xfId="20259" xr:uid="{00000000-0005-0000-0000-000007370000}"/>
    <cellStyle name="Normal 2 29 6" xfId="38891" xr:uid="{00000000-0005-0000-0000-000008370000}"/>
    <cellStyle name="Normal 2 3" xfId="25" xr:uid="{00000000-0005-0000-0000-000009370000}"/>
    <cellStyle name="Normal 2 3 10" xfId="4862" xr:uid="{00000000-0005-0000-0000-00000A370000}"/>
    <cellStyle name="Normal 2 3 10 2" xfId="4863" xr:uid="{00000000-0005-0000-0000-00000B370000}"/>
    <cellStyle name="Normal 2 3 10 2 2" xfId="10718" xr:uid="{00000000-0005-0000-0000-00000C370000}"/>
    <cellStyle name="Normal 2 3 10 2 2 2" xfId="34203" xr:uid="{00000000-0005-0000-0000-00000D370000}"/>
    <cellStyle name="Normal 2 3 10 2 2 3" xfId="24884" xr:uid="{00000000-0005-0000-0000-00000E370000}"/>
    <cellStyle name="Normal 2 3 10 2 2 4" xfId="48146" xr:uid="{00000000-0005-0000-0000-00000F370000}"/>
    <cellStyle name="Normal 2 3 10 2 3" xfId="15449" xr:uid="{00000000-0005-0000-0000-000010370000}"/>
    <cellStyle name="Normal 2 3 10 2 3 2" xfId="29581" xr:uid="{00000000-0005-0000-0000-000011370000}"/>
    <cellStyle name="Normal 2 3 10 2 3 3" xfId="43476" xr:uid="{00000000-0005-0000-0000-000012370000}"/>
    <cellStyle name="Normal 2 3 10 2 4" xfId="20262" xr:uid="{00000000-0005-0000-0000-000013370000}"/>
    <cellStyle name="Normal 2 3 10 2 5" xfId="38894" xr:uid="{00000000-0005-0000-0000-000014370000}"/>
    <cellStyle name="Normal 2 3 10 3" xfId="10717" xr:uid="{00000000-0005-0000-0000-000015370000}"/>
    <cellStyle name="Normal 2 3 10 3 2" xfId="34202" xr:uid="{00000000-0005-0000-0000-000016370000}"/>
    <cellStyle name="Normal 2 3 10 3 3" xfId="24883" xr:uid="{00000000-0005-0000-0000-000017370000}"/>
    <cellStyle name="Normal 2 3 10 3 4" xfId="48145" xr:uid="{00000000-0005-0000-0000-000018370000}"/>
    <cellStyle name="Normal 2 3 10 4" xfId="15448" xr:uid="{00000000-0005-0000-0000-000019370000}"/>
    <cellStyle name="Normal 2 3 10 4 2" xfId="29580" xr:uid="{00000000-0005-0000-0000-00001A370000}"/>
    <cellStyle name="Normal 2 3 10 4 3" xfId="43475" xr:uid="{00000000-0005-0000-0000-00001B370000}"/>
    <cellStyle name="Normal 2 3 10 5" xfId="20261" xr:uid="{00000000-0005-0000-0000-00001C370000}"/>
    <cellStyle name="Normal 2 3 10 6" xfId="38893" xr:uid="{00000000-0005-0000-0000-00001D370000}"/>
    <cellStyle name="Normal 2 3 11" xfId="4864" xr:uid="{00000000-0005-0000-0000-00001E370000}"/>
    <cellStyle name="Normal 2 3 11 2" xfId="4865" xr:uid="{00000000-0005-0000-0000-00001F370000}"/>
    <cellStyle name="Normal 2 3 11 2 2" xfId="10720" xr:uid="{00000000-0005-0000-0000-000020370000}"/>
    <cellStyle name="Normal 2 3 11 2 2 2" xfId="34205" xr:uid="{00000000-0005-0000-0000-000021370000}"/>
    <cellStyle name="Normal 2 3 11 2 2 3" xfId="24886" xr:uid="{00000000-0005-0000-0000-000022370000}"/>
    <cellStyle name="Normal 2 3 11 2 2 4" xfId="48148" xr:uid="{00000000-0005-0000-0000-000023370000}"/>
    <cellStyle name="Normal 2 3 11 2 3" xfId="15451" xr:uid="{00000000-0005-0000-0000-000024370000}"/>
    <cellStyle name="Normal 2 3 11 2 3 2" xfId="29583" xr:uid="{00000000-0005-0000-0000-000025370000}"/>
    <cellStyle name="Normal 2 3 11 2 3 3" xfId="43478" xr:uid="{00000000-0005-0000-0000-000026370000}"/>
    <cellStyle name="Normal 2 3 11 2 4" xfId="20264" xr:uid="{00000000-0005-0000-0000-000027370000}"/>
    <cellStyle name="Normal 2 3 11 2 5" xfId="38896" xr:uid="{00000000-0005-0000-0000-000028370000}"/>
    <cellStyle name="Normal 2 3 11 3" xfId="10719" xr:uid="{00000000-0005-0000-0000-000029370000}"/>
    <cellStyle name="Normal 2 3 11 3 2" xfId="34204" xr:uid="{00000000-0005-0000-0000-00002A370000}"/>
    <cellStyle name="Normal 2 3 11 3 3" xfId="24885" xr:uid="{00000000-0005-0000-0000-00002B370000}"/>
    <cellStyle name="Normal 2 3 11 3 4" xfId="48147" xr:uid="{00000000-0005-0000-0000-00002C370000}"/>
    <cellStyle name="Normal 2 3 11 4" xfId="15450" xr:uid="{00000000-0005-0000-0000-00002D370000}"/>
    <cellStyle name="Normal 2 3 11 4 2" xfId="29582" xr:uid="{00000000-0005-0000-0000-00002E370000}"/>
    <cellStyle name="Normal 2 3 11 4 3" xfId="43477" xr:uid="{00000000-0005-0000-0000-00002F370000}"/>
    <cellStyle name="Normal 2 3 11 5" xfId="20263" xr:uid="{00000000-0005-0000-0000-000030370000}"/>
    <cellStyle name="Normal 2 3 11 6" xfId="38895" xr:uid="{00000000-0005-0000-0000-000031370000}"/>
    <cellStyle name="Normal 2 3 12" xfId="4866" xr:uid="{00000000-0005-0000-0000-000032370000}"/>
    <cellStyle name="Normal 2 3 12 2" xfId="4867" xr:uid="{00000000-0005-0000-0000-000033370000}"/>
    <cellStyle name="Normal 2 3 12 2 2" xfId="10722" xr:uid="{00000000-0005-0000-0000-000034370000}"/>
    <cellStyle name="Normal 2 3 12 2 2 2" xfId="34207" xr:uid="{00000000-0005-0000-0000-000035370000}"/>
    <cellStyle name="Normal 2 3 12 2 2 3" xfId="24888" xr:uid="{00000000-0005-0000-0000-000036370000}"/>
    <cellStyle name="Normal 2 3 12 2 2 4" xfId="48150" xr:uid="{00000000-0005-0000-0000-000037370000}"/>
    <cellStyle name="Normal 2 3 12 2 3" xfId="15453" xr:uid="{00000000-0005-0000-0000-000038370000}"/>
    <cellStyle name="Normal 2 3 12 2 3 2" xfId="29585" xr:uid="{00000000-0005-0000-0000-000039370000}"/>
    <cellStyle name="Normal 2 3 12 2 3 3" xfId="43480" xr:uid="{00000000-0005-0000-0000-00003A370000}"/>
    <cellStyle name="Normal 2 3 12 2 4" xfId="20266" xr:uid="{00000000-0005-0000-0000-00003B370000}"/>
    <cellStyle name="Normal 2 3 12 2 5" xfId="38898" xr:uid="{00000000-0005-0000-0000-00003C370000}"/>
    <cellStyle name="Normal 2 3 12 3" xfId="10721" xr:uid="{00000000-0005-0000-0000-00003D370000}"/>
    <cellStyle name="Normal 2 3 12 3 2" xfId="34206" xr:uid="{00000000-0005-0000-0000-00003E370000}"/>
    <cellStyle name="Normal 2 3 12 3 3" xfId="24887" xr:uid="{00000000-0005-0000-0000-00003F370000}"/>
    <cellStyle name="Normal 2 3 12 3 4" xfId="48149" xr:uid="{00000000-0005-0000-0000-000040370000}"/>
    <cellStyle name="Normal 2 3 12 4" xfId="15452" xr:uid="{00000000-0005-0000-0000-000041370000}"/>
    <cellStyle name="Normal 2 3 12 4 2" xfId="29584" xr:uid="{00000000-0005-0000-0000-000042370000}"/>
    <cellStyle name="Normal 2 3 12 4 3" xfId="43479" xr:uid="{00000000-0005-0000-0000-000043370000}"/>
    <cellStyle name="Normal 2 3 12 5" xfId="20265" xr:uid="{00000000-0005-0000-0000-000044370000}"/>
    <cellStyle name="Normal 2 3 12 6" xfId="38897" xr:uid="{00000000-0005-0000-0000-000045370000}"/>
    <cellStyle name="Normal 2 3 13" xfId="4868" xr:uid="{00000000-0005-0000-0000-000046370000}"/>
    <cellStyle name="Normal 2 3 13 2" xfId="4869" xr:uid="{00000000-0005-0000-0000-000047370000}"/>
    <cellStyle name="Normal 2 3 13 2 2" xfId="10724" xr:uid="{00000000-0005-0000-0000-000048370000}"/>
    <cellStyle name="Normal 2 3 13 2 2 2" xfId="34209" xr:uid="{00000000-0005-0000-0000-000049370000}"/>
    <cellStyle name="Normal 2 3 13 2 2 3" xfId="24890" xr:uid="{00000000-0005-0000-0000-00004A370000}"/>
    <cellStyle name="Normal 2 3 13 2 2 4" xfId="48152" xr:uid="{00000000-0005-0000-0000-00004B370000}"/>
    <cellStyle name="Normal 2 3 13 2 3" xfId="15455" xr:uid="{00000000-0005-0000-0000-00004C370000}"/>
    <cellStyle name="Normal 2 3 13 2 3 2" xfId="29587" xr:uid="{00000000-0005-0000-0000-00004D370000}"/>
    <cellStyle name="Normal 2 3 13 2 3 3" xfId="43482" xr:uid="{00000000-0005-0000-0000-00004E370000}"/>
    <cellStyle name="Normal 2 3 13 2 4" xfId="20268" xr:uid="{00000000-0005-0000-0000-00004F370000}"/>
    <cellStyle name="Normal 2 3 13 2 5" xfId="38900" xr:uid="{00000000-0005-0000-0000-000050370000}"/>
    <cellStyle name="Normal 2 3 13 3" xfId="10723" xr:uid="{00000000-0005-0000-0000-000051370000}"/>
    <cellStyle name="Normal 2 3 13 3 2" xfId="34208" xr:uid="{00000000-0005-0000-0000-000052370000}"/>
    <cellStyle name="Normal 2 3 13 3 3" xfId="24889" xr:uid="{00000000-0005-0000-0000-000053370000}"/>
    <cellStyle name="Normal 2 3 13 3 4" xfId="48151" xr:uid="{00000000-0005-0000-0000-000054370000}"/>
    <cellStyle name="Normal 2 3 13 4" xfId="15454" xr:uid="{00000000-0005-0000-0000-000055370000}"/>
    <cellStyle name="Normal 2 3 13 4 2" xfId="29586" xr:uid="{00000000-0005-0000-0000-000056370000}"/>
    <cellStyle name="Normal 2 3 13 4 3" xfId="43481" xr:uid="{00000000-0005-0000-0000-000057370000}"/>
    <cellStyle name="Normal 2 3 13 5" xfId="20267" xr:uid="{00000000-0005-0000-0000-000058370000}"/>
    <cellStyle name="Normal 2 3 13 6" xfId="38899" xr:uid="{00000000-0005-0000-0000-000059370000}"/>
    <cellStyle name="Normal 2 3 14" xfId="4870" xr:uid="{00000000-0005-0000-0000-00005A370000}"/>
    <cellStyle name="Normal 2 3 14 2" xfId="4871" xr:uid="{00000000-0005-0000-0000-00005B370000}"/>
    <cellStyle name="Normal 2 3 14 2 2" xfId="10726" xr:uid="{00000000-0005-0000-0000-00005C370000}"/>
    <cellStyle name="Normal 2 3 14 2 2 2" xfId="34211" xr:uid="{00000000-0005-0000-0000-00005D370000}"/>
    <cellStyle name="Normal 2 3 14 2 2 3" xfId="24892" xr:uid="{00000000-0005-0000-0000-00005E370000}"/>
    <cellStyle name="Normal 2 3 14 2 2 4" xfId="48154" xr:uid="{00000000-0005-0000-0000-00005F370000}"/>
    <cellStyle name="Normal 2 3 14 2 3" xfId="15457" xr:uid="{00000000-0005-0000-0000-000060370000}"/>
    <cellStyle name="Normal 2 3 14 2 3 2" xfId="29589" xr:uid="{00000000-0005-0000-0000-000061370000}"/>
    <cellStyle name="Normal 2 3 14 2 3 3" xfId="43484" xr:uid="{00000000-0005-0000-0000-000062370000}"/>
    <cellStyle name="Normal 2 3 14 2 4" xfId="20270" xr:uid="{00000000-0005-0000-0000-000063370000}"/>
    <cellStyle name="Normal 2 3 14 2 5" xfId="38902" xr:uid="{00000000-0005-0000-0000-000064370000}"/>
    <cellStyle name="Normal 2 3 14 3" xfId="10725" xr:uid="{00000000-0005-0000-0000-000065370000}"/>
    <cellStyle name="Normal 2 3 14 3 2" xfId="34210" xr:uid="{00000000-0005-0000-0000-000066370000}"/>
    <cellStyle name="Normal 2 3 14 3 3" xfId="24891" xr:uid="{00000000-0005-0000-0000-000067370000}"/>
    <cellStyle name="Normal 2 3 14 3 4" xfId="48153" xr:uid="{00000000-0005-0000-0000-000068370000}"/>
    <cellStyle name="Normal 2 3 14 4" xfId="15456" xr:uid="{00000000-0005-0000-0000-000069370000}"/>
    <cellStyle name="Normal 2 3 14 4 2" xfId="29588" xr:uid="{00000000-0005-0000-0000-00006A370000}"/>
    <cellStyle name="Normal 2 3 14 4 3" xfId="43483" xr:uid="{00000000-0005-0000-0000-00006B370000}"/>
    <cellStyle name="Normal 2 3 14 5" xfId="20269" xr:uid="{00000000-0005-0000-0000-00006C370000}"/>
    <cellStyle name="Normal 2 3 14 6" xfId="38901" xr:uid="{00000000-0005-0000-0000-00006D370000}"/>
    <cellStyle name="Normal 2 3 15" xfId="4872" xr:uid="{00000000-0005-0000-0000-00006E370000}"/>
    <cellStyle name="Normal 2 3 15 2" xfId="4873" xr:uid="{00000000-0005-0000-0000-00006F370000}"/>
    <cellStyle name="Normal 2 3 15 2 2" xfId="10728" xr:uid="{00000000-0005-0000-0000-000070370000}"/>
    <cellStyle name="Normal 2 3 15 2 2 2" xfId="34213" xr:uid="{00000000-0005-0000-0000-000071370000}"/>
    <cellStyle name="Normal 2 3 15 2 2 3" xfId="24894" xr:uid="{00000000-0005-0000-0000-000072370000}"/>
    <cellStyle name="Normal 2 3 15 2 2 4" xfId="48156" xr:uid="{00000000-0005-0000-0000-000073370000}"/>
    <cellStyle name="Normal 2 3 15 2 3" xfId="15459" xr:uid="{00000000-0005-0000-0000-000074370000}"/>
    <cellStyle name="Normal 2 3 15 2 3 2" xfId="29591" xr:uid="{00000000-0005-0000-0000-000075370000}"/>
    <cellStyle name="Normal 2 3 15 2 3 3" xfId="43486" xr:uid="{00000000-0005-0000-0000-000076370000}"/>
    <cellStyle name="Normal 2 3 15 2 4" xfId="20272" xr:uid="{00000000-0005-0000-0000-000077370000}"/>
    <cellStyle name="Normal 2 3 15 2 5" xfId="38904" xr:uid="{00000000-0005-0000-0000-000078370000}"/>
    <cellStyle name="Normal 2 3 15 3" xfId="10727" xr:uid="{00000000-0005-0000-0000-000079370000}"/>
    <cellStyle name="Normal 2 3 15 3 2" xfId="34212" xr:uid="{00000000-0005-0000-0000-00007A370000}"/>
    <cellStyle name="Normal 2 3 15 3 3" xfId="24893" xr:uid="{00000000-0005-0000-0000-00007B370000}"/>
    <cellStyle name="Normal 2 3 15 3 4" xfId="48155" xr:uid="{00000000-0005-0000-0000-00007C370000}"/>
    <cellStyle name="Normal 2 3 15 4" xfId="15458" xr:uid="{00000000-0005-0000-0000-00007D370000}"/>
    <cellStyle name="Normal 2 3 15 4 2" xfId="29590" xr:uid="{00000000-0005-0000-0000-00007E370000}"/>
    <cellStyle name="Normal 2 3 15 4 3" xfId="43485" xr:uid="{00000000-0005-0000-0000-00007F370000}"/>
    <cellStyle name="Normal 2 3 15 5" xfId="20271" xr:uid="{00000000-0005-0000-0000-000080370000}"/>
    <cellStyle name="Normal 2 3 15 6" xfId="38903" xr:uid="{00000000-0005-0000-0000-000081370000}"/>
    <cellStyle name="Normal 2 3 16" xfId="4874" xr:uid="{00000000-0005-0000-0000-000082370000}"/>
    <cellStyle name="Normal 2 3 16 2" xfId="4875" xr:uid="{00000000-0005-0000-0000-000083370000}"/>
    <cellStyle name="Normal 2 3 16 2 2" xfId="10730" xr:uid="{00000000-0005-0000-0000-000084370000}"/>
    <cellStyle name="Normal 2 3 16 2 2 2" xfId="34215" xr:uid="{00000000-0005-0000-0000-000085370000}"/>
    <cellStyle name="Normal 2 3 16 2 2 3" xfId="24896" xr:uid="{00000000-0005-0000-0000-000086370000}"/>
    <cellStyle name="Normal 2 3 16 2 2 4" xfId="48158" xr:uid="{00000000-0005-0000-0000-000087370000}"/>
    <cellStyle name="Normal 2 3 16 2 3" xfId="15461" xr:uid="{00000000-0005-0000-0000-000088370000}"/>
    <cellStyle name="Normal 2 3 16 2 3 2" xfId="29593" xr:uid="{00000000-0005-0000-0000-000089370000}"/>
    <cellStyle name="Normal 2 3 16 2 3 3" xfId="43488" xr:uid="{00000000-0005-0000-0000-00008A370000}"/>
    <cellStyle name="Normal 2 3 16 2 4" xfId="20274" xr:uid="{00000000-0005-0000-0000-00008B370000}"/>
    <cellStyle name="Normal 2 3 16 2 5" xfId="38906" xr:uid="{00000000-0005-0000-0000-00008C370000}"/>
    <cellStyle name="Normal 2 3 16 3" xfId="10729" xr:uid="{00000000-0005-0000-0000-00008D370000}"/>
    <cellStyle name="Normal 2 3 16 3 2" xfId="34214" xr:uid="{00000000-0005-0000-0000-00008E370000}"/>
    <cellStyle name="Normal 2 3 16 3 3" xfId="24895" xr:uid="{00000000-0005-0000-0000-00008F370000}"/>
    <cellStyle name="Normal 2 3 16 3 4" xfId="48157" xr:uid="{00000000-0005-0000-0000-000090370000}"/>
    <cellStyle name="Normal 2 3 16 4" xfId="15460" xr:uid="{00000000-0005-0000-0000-000091370000}"/>
    <cellStyle name="Normal 2 3 16 4 2" xfId="29592" xr:uid="{00000000-0005-0000-0000-000092370000}"/>
    <cellStyle name="Normal 2 3 16 4 3" xfId="43487" xr:uid="{00000000-0005-0000-0000-000093370000}"/>
    <cellStyle name="Normal 2 3 16 5" xfId="20273" xr:uid="{00000000-0005-0000-0000-000094370000}"/>
    <cellStyle name="Normal 2 3 16 6" xfId="38905" xr:uid="{00000000-0005-0000-0000-000095370000}"/>
    <cellStyle name="Normal 2 3 17" xfId="4876" xr:uid="{00000000-0005-0000-0000-000096370000}"/>
    <cellStyle name="Normal 2 3 17 2" xfId="4877" xr:uid="{00000000-0005-0000-0000-000097370000}"/>
    <cellStyle name="Normal 2 3 17 2 2" xfId="10732" xr:uid="{00000000-0005-0000-0000-000098370000}"/>
    <cellStyle name="Normal 2 3 17 2 2 2" xfId="34217" xr:uid="{00000000-0005-0000-0000-000099370000}"/>
    <cellStyle name="Normal 2 3 17 2 2 3" xfId="24898" xr:uid="{00000000-0005-0000-0000-00009A370000}"/>
    <cellStyle name="Normal 2 3 17 2 2 4" xfId="48160" xr:uid="{00000000-0005-0000-0000-00009B370000}"/>
    <cellStyle name="Normal 2 3 17 2 3" xfId="15463" xr:uid="{00000000-0005-0000-0000-00009C370000}"/>
    <cellStyle name="Normal 2 3 17 2 3 2" xfId="29595" xr:uid="{00000000-0005-0000-0000-00009D370000}"/>
    <cellStyle name="Normal 2 3 17 2 3 3" xfId="43490" xr:uid="{00000000-0005-0000-0000-00009E370000}"/>
    <cellStyle name="Normal 2 3 17 2 4" xfId="20276" xr:uid="{00000000-0005-0000-0000-00009F370000}"/>
    <cellStyle name="Normal 2 3 17 2 5" xfId="38908" xr:uid="{00000000-0005-0000-0000-0000A0370000}"/>
    <cellStyle name="Normal 2 3 17 3" xfId="10731" xr:uid="{00000000-0005-0000-0000-0000A1370000}"/>
    <cellStyle name="Normal 2 3 17 3 2" xfId="34216" xr:uid="{00000000-0005-0000-0000-0000A2370000}"/>
    <cellStyle name="Normal 2 3 17 3 3" xfId="24897" xr:uid="{00000000-0005-0000-0000-0000A3370000}"/>
    <cellStyle name="Normal 2 3 17 3 4" xfId="48159" xr:uid="{00000000-0005-0000-0000-0000A4370000}"/>
    <cellStyle name="Normal 2 3 17 4" xfId="15462" xr:uid="{00000000-0005-0000-0000-0000A5370000}"/>
    <cellStyle name="Normal 2 3 17 4 2" xfId="29594" xr:uid="{00000000-0005-0000-0000-0000A6370000}"/>
    <cellStyle name="Normal 2 3 17 4 3" xfId="43489" xr:uid="{00000000-0005-0000-0000-0000A7370000}"/>
    <cellStyle name="Normal 2 3 17 5" xfId="20275" xr:uid="{00000000-0005-0000-0000-0000A8370000}"/>
    <cellStyle name="Normal 2 3 17 6" xfId="38907" xr:uid="{00000000-0005-0000-0000-0000A9370000}"/>
    <cellStyle name="Normal 2 3 18" xfId="4878" xr:uid="{00000000-0005-0000-0000-0000AA370000}"/>
    <cellStyle name="Normal 2 3 18 2" xfId="4879" xr:uid="{00000000-0005-0000-0000-0000AB370000}"/>
    <cellStyle name="Normal 2 3 18 2 2" xfId="10734" xr:uid="{00000000-0005-0000-0000-0000AC370000}"/>
    <cellStyle name="Normal 2 3 18 2 2 2" xfId="34219" xr:uid="{00000000-0005-0000-0000-0000AD370000}"/>
    <cellStyle name="Normal 2 3 18 2 2 3" xfId="24900" xr:uid="{00000000-0005-0000-0000-0000AE370000}"/>
    <cellStyle name="Normal 2 3 18 2 2 4" xfId="48162" xr:uid="{00000000-0005-0000-0000-0000AF370000}"/>
    <cellStyle name="Normal 2 3 18 2 3" xfId="15465" xr:uid="{00000000-0005-0000-0000-0000B0370000}"/>
    <cellStyle name="Normal 2 3 18 2 3 2" xfId="29597" xr:uid="{00000000-0005-0000-0000-0000B1370000}"/>
    <cellStyle name="Normal 2 3 18 2 3 3" xfId="43492" xr:uid="{00000000-0005-0000-0000-0000B2370000}"/>
    <cellStyle name="Normal 2 3 18 2 4" xfId="20278" xr:uid="{00000000-0005-0000-0000-0000B3370000}"/>
    <cellStyle name="Normal 2 3 18 2 5" xfId="38910" xr:uid="{00000000-0005-0000-0000-0000B4370000}"/>
    <cellStyle name="Normal 2 3 18 3" xfId="10733" xr:uid="{00000000-0005-0000-0000-0000B5370000}"/>
    <cellStyle name="Normal 2 3 18 3 2" xfId="34218" xr:uid="{00000000-0005-0000-0000-0000B6370000}"/>
    <cellStyle name="Normal 2 3 18 3 3" xfId="24899" xr:uid="{00000000-0005-0000-0000-0000B7370000}"/>
    <cellStyle name="Normal 2 3 18 3 4" xfId="48161" xr:uid="{00000000-0005-0000-0000-0000B8370000}"/>
    <cellStyle name="Normal 2 3 18 4" xfId="15464" xr:uid="{00000000-0005-0000-0000-0000B9370000}"/>
    <cellStyle name="Normal 2 3 18 4 2" xfId="29596" xr:uid="{00000000-0005-0000-0000-0000BA370000}"/>
    <cellStyle name="Normal 2 3 18 4 3" xfId="43491" xr:uid="{00000000-0005-0000-0000-0000BB370000}"/>
    <cellStyle name="Normal 2 3 18 5" xfId="20277" xr:uid="{00000000-0005-0000-0000-0000BC370000}"/>
    <cellStyle name="Normal 2 3 18 6" xfId="38909" xr:uid="{00000000-0005-0000-0000-0000BD370000}"/>
    <cellStyle name="Normal 2 3 19" xfId="4880" xr:uid="{00000000-0005-0000-0000-0000BE370000}"/>
    <cellStyle name="Normal 2 3 19 2" xfId="4881" xr:uid="{00000000-0005-0000-0000-0000BF370000}"/>
    <cellStyle name="Normal 2 3 19 2 2" xfId="10736" xr:uid="{00000000-0005-0000-0000-0000C0370000}"/>
    <cellStyle name="Normal 2 3 19 2 2 2" xfId="34221" xr:uid="{00000000-0005-0000-0000-0000C1370000}"/>
    <cellStyle name="Normal 2 3 19 2 2 3" xfId="24902" xr:uid="{00000000-0005-0000-0000-0000C2370000}"/>
    <cellStyle name="Normal 2 3 19 2 2 4" xfId="48164" xr:uid="{00000000-0005-0000-0000-0000C3370000}"/>
    <cellStyle name="Normal 2 3 19 2 3" xfId="15467" xr:uid="{00000000-0005-0000-0000-0000C4370000}"/>
    <cellStyle name="Normal 2 3 19 2 3 2" xfId="29599" xr:uid="{00000000-0005-0000-0000-0000C5370000}"/>
    <cellStyle name="Normal 2 3 19 2 3 3" xfId="43494" xr:uid="{00000000-0005-0000-0000-0000C6370000}"/>
    <cellStyle name="Normal 2 3 19 2 4" xfId="20280" xr:uid="{00000000-0005-0000-0000-0000C7370000}"/>
    <cellStyle name="Normal 2 3 19 2 5" xfId="38912" xr:uid="{00000000-0005-0000-0000-0000C8370000}"/>
    <cellStyle name="Normal 2 3 19 3" xfId="10735" xr:uid="{00000000-0005-0000-0000-0000C9370000}"/>
    <cellStyle name="Normal 2 3 19 3 2" xfId="34220" xr:uid="{00000000-0005-0000-0000-0000CA370000}"/>
    <cellStyle name="Normal 2 3 19 3 3" xfId="24901" xr:uid="{00000000-0005-0000-0000-0000CB370000}"/>
    <cellStyle name="Normal 2 3 19 3 4" xfId="48163" xr:uid="{00000000-0005-0000-0000-0000CC370000}"/>
    <cellStyle name="Normal 2 3 19 4" xfId="15466" xr:uid="{00000000-0005-0000-0000-0000CD370000}"/>
    <cellStyle name="Normal 2 3 19 4 2" xfId="29598" xr:uid="{00000000-0005-0000-0000-0000CE370000}"/>
    <cellStyle name="Normal 2 3 19 4 3" xfId="43493" xr:uid="{00000000-0005-0000-0000-0000CF370000}"/>
    <cellStyle name="Normal 2 3 19 5" xfId="20279" xr:uid="{00000000-0005-0000-0000-0000D0370000}"/>
    <cellStyle name="Normal 2 3 19 6" xfId="38911" xr:uid="{00000000-0005-0000-0000-0000D1370000}"/>
    <cellStyle name="Normal 2 3 2" xfId="342" xr:uid="{00000000-0005-0000-0000-0000D2370000}"/>
    <cellStyle name="Normal 2 3 2 10" xfId="4883" xr:uid="{00000000-0005-0000-0000-0000D3370000}"/>
    <cellStyle name="Normal 2 3 2 10 2" xfId="4884" xr:uid="{00000000-0005-0000-0000-0000D4370000}"/>
    <cellStyle name="Normal 2 3 2 10 2 2" xfId="10739" xr:uid="{00000000-0005-0000-0000-0000D5370000}"/>
    <cellStyle name="Normal 2 3 2 10 2 2 2" xfId="34224" xr:uid="{00000000-0005-0000-0000-0000D6370000}"/>
    <cellStyle name="Normal 2 3 2 10 2 2 3" xfId="24905" xr:uid="{00000000-0005-0000-0000-0000D7370000}"/>
    <cellStyle name="Normal 2 3 2 10 2 2 4" xfId="48167" xr:uid="{00000000-0005-0000-0000-0000D8370000}"/>
    <cellStyle name="Normal 2 3 2 10 2 3" xfId="15470" xr:uid="{00000000-0005-0000-0000-0000D9370000}"/>
    <cellStyle name="Normal 2 3 2 10 2 3 2" xfId="29602" xr:uid="{00000000-0005-0000-0000-0000DA370000}"/>
    <cellStyle name="Normal 2 3 2 10 2 3 3" xfId="43497" xr:uid="{00000000-0005-0000-0000-0000DB370000}"/>
    <cellStyle name="Normal 2 3 2 10 2 4" xfId="20283" xr:uid="{00000000-0005-0000-0000-0000DC370000}"/>
    <cellStyle name="Normal 2 3 2 10 2 5" xfId="38915" xr:uid="{00000000-0005-0000-0000-0000DD370000}"/>
    <cellStyle name="Normal 2 3 2 10 3" xfId="10738" xr:uid="{00000000-0005-0000-0000-0000DE370000}"/>
    <cellStyle name="Normal 2 3 2 10 3 2" xfId="34223" xr:uid="{00000000-0005-0000-0000-0000DF370000}"/>
    <cellStyle name="Normal 2 3 2 10 3 3" xfId="24904" xr:uid="{00000000-0005-0000-0000-0000E0370000}"/>
    <cellStyle name="Normal 2 3 2 10 3 4" xfId="48166" xr:uid="{00000000-0005-0000-0000-0000E1370000}"/>
    <cellStyle name="Normal 2 3 2 10 4" xfId="15469" xr:uid="{00000000-0005-0000-0000-0000E2370000}"/>
    <cellStyle name="Normal 2 3 2 10 4 2" xfId="29601" xr:uid="{00000000-0005-0000-0000-0000E3370000}"/>
    <cellStyle name="Normal 2 3 2 10 4 3" xfId="43496" xr:uid="{00000000-0005-0000-0000-0000E4370000}"/>
    <cellStyle name="Normal 2 3 2 10 5" xfId="20282" xr:uid="{00000000-0005-0000-0000-0000E5370000}"/>
    <cellStyle name="Normal 2 3 2 10 6" xfId="38914" xr:uid="{00000000-0005-0000-0000-0000E6370000}"/>
    <cellStyle name="Normal 2 3 2 11" xfId="4885" xr:uid="{00000000-0005-0000-0000-0000E7370000}"/>
    <cellStyle name="Normal 2 3 2 11 2" xfId="4886" xr:uid="{00000000-0005-0000-0000-0000E8370000}"/>
    <cellStyle name="Normal 2 3 2 11 2 2" xfId="10741" xr:uid="{00000000-0005-0000-0000-0000E9370000}"/>
    <cellStyle name="Normal 2 3 2 11 2 2 2" xfId="34226" xr:uid="{00000000-0005-0000-0000-0000EA370000}"/>
    <cellStyle name="Normal 2 3 2 11 2 2 3" xfId="24907" xr:uid="{00000000-0005-0000-0000-0000EB370000}"/>
    <cellStyle name="Normal 2 3 2 11 2 2 4" xfId="48169" xr:uid="{00000000-0005-0000-0000-0000EC370000}"/>
    <cellStyle name="Normal 2 3 2 11 2 3" xfId="15472" xr:uid="{00000000-0005-0000-0000-0000ED370000}"/>
    <cellStyle name="Normal 2 3 2 11 2 3 2" xfId="29604" xr:uid="{00000000-0005-0000-0000-0000EE370000}"/>
    <cellStyle name="Normal 2 3 2 11 2 3 3" xfId="43499" xr:uid="{00000000-0005-0000-0000-0000EF370000}"/>
    <cellStyle name="Normal 2 3 2 11 2 4" xfId="20285" xr:uid="{00000000-0005-0000-0000-0000F0370000}"/>
    <cellStyle name="Normal 2 3 2 11 2 5" xfId="38917" xr:uid="{00000000-0005-0000-0000-0000F1370000}"/>
    <cellStyle name="Normal 2 3 2 11 3" xfId="10740" xr:uid="{00000000-0005-0000-0000-0000F2370000}"/>
    <cellStyle name="Normal 2 3 2 11 3 2" xfId="34225" xr:uid="{00000000-0005-0000-0000-0000F3370000}"/>
    <cellStyle name="Normal 2 3 2 11 3 3" xfId="24906" xr:uid="{00000000-0005-0000-0000-0000F4370000}"/>
    <cellStyle name="Normal 2 3 2 11 3 4" xfId="48168" xr:uid="{00000000-0005-0000-0000-0000F5370000}"/>
    <cellStyle name="Normal 2 3 2 11 4" xfId="15471" xr:uid="{00000000-0005-0000-0000-0000F6370000}"/>
    <cellStyle name="Normal 2 3 2 11 4 2" xfId="29603" xr:uid="{00000000-0005-0000-0000-0000F7370000}"/>
    <cellStyle name="Normal 2 3 2 11 4 3" xfId="43498" xr:uid="{00000000-0005-0000-0000-0000F8370000}"/>
    <cellStyle name="Normal 2 3 2 11 5" xfId="20284" xr:uid="{00000000-0005-0000-0000-0000F9370000}"/>
    <cellStyle name="Normal 2 3 2 11 6" xfId="38916" xr:uid="{00000000-0005-0000-0000-0000FA370000}"/>
    <cellStyle name="Normal 2 3 2 12" xfId="4887" xr:uid="{00000000-0005-0000-0000-0000FB370000}"/>
    <cellStyle name="Normal 2 3 2 12 2" xfId="4888" xr:uid="{00000000-0005-0000-0000-0000FC370000}"/>
    <cellStyle name="Normal 2 3 2 12 2 2" xfId="10743" xr:uid="{00000000-0005-0000-0000-0000FD370000}"/>
    <cellStyle name="Normal 2 3 2 12 2 2 2" xfId="34228" xr:uid="{00000000-0005-0000-0000-0000FE370000}"/>
    <cellStyle name="Normal 2 3 2 12 2 2 3" xfId="24909" xr:uid="{00000000-0005-0000-0000-0000FF370000}"/>
    <cellStyle name="Normal 2 3 2 12 2 2 4" xfId="48171" xr:uid="{00000000-0005-0000-0000-000000380000}"/>
    <cellStyle name="Normal 2 3 2 12 2 3" xfId="15474" xr:uid="{00000000-0005-0000-0000-000001380000}"/>
    <cellStyle name="Normal 2 3 2 12 2 3 2" xfId="29606" xr:uid="{00000000-0005-0000-0000-000002380000}"/>
    <cellStyle name="Normal 2 3 2 12 2 3 3" xfId="43501" xr:uid="{00000000-0005-0000-0000-000003380000}"/>
    <cellStyle name="Normal 2 3 2 12 2 4" xfId="20287" xr:uid="{00000000-0005-0000-0000-000004380000}"/>
    <cellStyle name="Normal 2 3 2 12 2 5" xfId="38919" xr:uid="{00000000-0005-0000-0000-000005380000}"/>
    <cellStyle name="Normal 2 3 2 12 3" xfId="10742" xr:uid="{00000000-0005-0000-0000-000006380000}"/>
    <cellStyle name="Normal 2 3 2 12 3 2" xfId="34227" xr:uid="{00000000-0005-0000-0000-000007380000}"/>
    <cellStyle name="Normal 2 3 2 12 3 3" xfId="24908" xr:uid="{00000000-0005-0000-0000-000008380000}"/>
    <cellStyle name="Normal 2 3 2 12 3 4" xfId="48170" xr:uid="{00000000-0005-0000-0000-000009380000}"/>
    <cellStyle name="Normal 2 3 2 12 4" xfId="15473" xr:uid="{00000000-0005-0000-0000-00000A380000}"/>
    <cellStyle name="Normal 2 3 2 12 4 2" xfId="29605" xr:uid="{00000000-0005-0000-0000-00000B380000}"/>
    <cellStyle name="Normal 2 3 2 12 4 3" xfId="43500" xr:uid="{00000000-0005-0000-0000-00000C380000}"/>
    <cellStyle name="Normal 2 3 2 12 5" xfId="20286" xr:uid="{00000000-0005-0000-0000-00000D380000}"/>
    <cellStyle name="Normal 2 3 2 12 6" xfId="38918" xr:uid="{00000000-0005-0000-0000-00000E380000}"/>
    <cellStyle name="Normal 2 3 2 13" xfId="4889" xr:uid="{00000000-0005-0000-0000-00000F380000}"/>
    <cellStyle name="Normal 2 3 2 13 2" xfId="4890" xr:uid="{00000000-0005-0000-0000-000010380000}"/>
    <cellStyle name="Normal 2 3 2 13 2 2" xfId="10745" xr:uid="{00000000-0005-0000-0000-000011380000}"/>
    <cellStyle name="Normal 2 3 2 13 2 2 2" xfId="34230" xr:uid="{00000000-0005-0000-0000-000012380000}"/>
    <cellStyle name="Normal 2 3 2 13 2 2 3" xfId="24911" xr:uid="{00000000-0005-0000-0000-000013380000}"/>
    <cellStyle name="Normal 2 3 2 13 2 2 4" xfId="48173" xr:uid="{00000000-0005-0000-0000-000014380000}"/>
    <cellStyle name="Normal 2 3 2 13 2 3" xfId="15476" xr:uid="{00000000-0005-0000-0000-000015380000}"/>
    <cellStyle name="Normal 2 3 2 13 2 3 2" xfId="29608" xr:uid="{00000000-0005-0000-0000-000016380000}"/>
    <cellStyle name="Normal 2 3 2 13 2 3 3" xfId="43503" xr:uid="{00000000-0005-0000-0000-000017380000}"/>
    <cellStyle name="Normal 2 3 2 13 2 4" xfId="20289" xr:uid="{00000000-0005-0000-0000-000018380000}"/>
    <cellStyle name="Normal 2 3 2 13 2 5" xfId="38921" xr:uid="{00000000-0005-0000-0000-000019380000}"/>
    <cellStyle name="Normal 2 3 2 13 3" xfId="10744" xr:uid="{00000000-0005-0000-0000-00001A380000}"/>
    <cellStyle name="Normal 2 3 2 13 3 2" xfId="34229" xr:uid="{00000000-0005-0000-0000-00001B380000}"/>
    <cellStyle name="Normal 2 3 2 13 3 3" xfId="24910" xr:uid="{00000000-0005-0000-0000-00001C380000}"/>
    <cellStyle name="Normal 2 3 2 13 3 4" xfId="48172" xr:uid="{00000000-0005-0000-0000-00001D380000}"/>
    <cellStyle name="Normal 2 3 2 13 4" xfId="15475" xr:uid="{00000000-0005-0000-0000-00001E380000}"/>
    <cellStyle name="Normal 2 3 2 13 4 2" xfId="29607" xr:uid="{00000000-0005-0000-0000-00001F380000}"/>
    <cellStyle name="Normal 2 3 2 13 4 3" xfId="43502" xr:uid="{00000000-0005-0000-0000-000020380000}"/>
    <cellStyle name="Normal 2 3 2 13 5" xfId="20288" xr:uid="{00000000-0005-0000-0000-000021380000}"/>
    <cellStyle name="Normal 2 3 2 13 6" xfId="38920" xr:uid="{00000000-0005-0000-0000-000022380000}"/>
    <cellStyle name="Normal 2 3 2 14" xfId="4891" xr:uid="{00000000-0005-0000-0000-000023380000}"/>
    <cellStyle name="Normal 2 3 2 14 2" xfId="4892" xr:uid="{00000000-0005-0000-0000-000024380000}"/>
    <cellStyle name="Normal 2 3 2 14 2 2" xfId="10747" xr:uid="{00000000-0005-0000-0000-000025380000}"/>
    <cellStyle name="Normal 2 3 2 14 2 2 2" xfId="34232" xr:uid="{00000000-0005-0000-0000-000026380000}"/>
    <cellStyle name="Normal 2 3 2 14 2 2 3" xfId="24913" xr:uid="{00000000-0005-0000-0000-000027380000}"/>
    <cellStyle name="Normal 2 3 2 14 2 2 4" xfId="48175" xr:uid="{00000000-0005-0000-0000-000028380000}"/>
    <cellStyle name="Normal 2 3 2 14 2 3" xfId="15478" xr:uid="{00000000-0005-0000-0000-000029380000}"/>
    <cellStyle name="Normal 2 3 2 14 2 3 2" xfId="29610" xr:uid="{00000000-0005-0000-0000-00002A380000}"/>
    <cellStyle name="Normal 2 3 2 14 2 3 3" xfId="43505" xr:uid="{00000000-0005-0000-0000-00002B380000}"/>
    <cellStyle name="Normal 2 3 2 14 2 4" xfId="20291" xr:uid="{00000000-0005-0000-0000-00002C380000}"/>
    <cellStyle name="Normal 2 3 2 14 2 5" xfId="38923" xr:uid="{00000000-0005-0000-0000-00002D380000}"/>
    <cellStyle name="Normal 2 3 2 14 3" xfId="10746" xr:uid="{00000000-0005-0000-0000-00002E380000}"/>
    <cellStyle name="Normal 2 3 2 14 3 2" xfId="34231" xr:uid="{00000000-0005-0000-0000-00002F380000}"/>
    <cellStyle name="Normal 2 3 2 14 3 3" xfId="24912" xr:uid="{00000000-0005-0000-0000-000030380000}"/>
    <cellStyle name="Normal 2 3 2 14 3 4" xfId="48174" xr:uid="{00000000-0005-0000-0000-000031380000}"/>
    <cellStyle name="Normal 2 3 2 14 4" xfId="15477" xr:uid="{00000000-0005-0000-0000-000032380000}"/>
    <cellStyle name="Normal 2 3 2 14 4 2" xfId="29609" xr:uid="{00000000-0005-0000-0000-000033380000}"/>
    <cellStyle name="Normal 2 3 2 14 4 3" xfId="43504" xr:uid="{00000000-0005-0000-0000-000034380000}"/>
    <cellStyle name="Normal 2 3 2 14 5" xfId="20290" xr:uid="{00000000-0005-0000-0000-000035380000}"/>
    <cellStyle name="Normal 2 3 2 14 6" xfId="38922" xr:uid="{00000000-0005-0000-0000-000036380000}"/>
    <cellStyle name="Normal 2 3 2 15" xfId="4893" xr:uid="{00000000-0005-0000-0000-000037380000}"/>
    <cellStyle name="Normal 2 3 2 15 2" xfId="4894" xr:uid="{00000000-0005-0000-0000-000038380000}"/>
    <cellStyle name="Normal 2 3 2 15 2 2" xfId="10749" xr:uid="{00000000-0005-0000-0000-000039380000}"/>
    <cellStyle name="Normal 2 3 2 15 2 2 2" xfId="34234" xr:uid="{00000000-0005-0000-0000-00003A380000}"/>
    <cellStyle name="Normal 2 3 2 15 2 2 3" xfId="24915" xr:uid="{00000000-0005-0000-0000-00003B380000}"/>
    <cellStyle name="Normal 2 3 2 15 2 2 4" xfId="48177" xr:uid="{00000000-0005-0000-0000-00003C380000}"/>
    <cellStyle name="Normal 2 3 2 15 2 3" xfId="15480" xr:uid="{00000000-0005-0000-0000-00003D380000}"/>
    <cellStyle name="Normal 2 3 2 15 2 3 2" xfId="29612" xr:uid="{00000000-0005-0000-0000-00003E380000}"/>
    <cellStyle name="Normal 2 3 2 15 2 3 3" xfId="43507" xr:uid="{00000000-0005-0000-0000-00003F380000}"/>
    <cellStyle name="Normal 2 3 2 15 2 4" xfId="20293" xr:uid="{00000000-0005-0000-0000-000040380000}"/>
    <cellStyle name="Normal 2 3 2 15 2 5" xfId="38925" xr:uid="{00000000-0005-0000-0000-000041380000}"/>
    <cellStyle name="Normal 2 3 2 15 3" xfId="10748" xr:uid="{00000000-0005-0000-0000-000042380000}"/>
    <cellStyle name="Normal 2 3 2 15 3 2" xfId="34233" xr:uid="{00000000-0005-0000-0000-000043380000}"/>
    <cellStyle name="Normal 2 3 2 15 3 3" xfId="24914" xr:uid="{00000000-0005-0000-0000-000044380000}"/>
    <cellStyle name="Normal 2 3 2 15 3 4" xfId="48176" xr:uid="{00000000-0005-0000-0000-000045380000}"/>
    <cellStyle name="Normal 2 3 2 15 4" xfId="15479" xr:uid="{00000000-0005-0000-0000-000046380000}"/>
    <cellStyle name="Normal 2 3 2 15 4 2" xfId="29611" xr:uid="{00000000-0005-0000-0000-000047380000}"/>
    <cellStyle name="Normal 2 3 2 15 4 3" xfId="43506" xr:uid="{00000000-0005-0000-0000-000048380000}"/>
    <cellStyle name="Normal 2 3 2 15 5" xfId="20292" xr:uid="{00000000-0005-0000-0000-000049380000}"/>
    <cellStyle name="Normal 2 3 2 15 6" xfId="38924" xr:uid="{00000000-0005-0000-0000-00004A380000}"/>
    <cellStyle name="Normal 2 3 2 16" xfId="4895" xr:uid="{00000000-0005-0000-0000-00004B380000}"/>
    <cellStyle name="Normal 2 3 2 16 2" xfId="4896" xr:uid="{00000000-0005-0000-0000-00004C380000}"/>
    <cellStyle name="Normal 2 3 2 16 2 2" xfId="10751" xr:uid="{00000000-0005-0000-0000-00004D380000}"/>
    <cellStyle name="Normal 2 3 2 16 2 2 2" xfId="34236" xr:uid="{00000000-0005-0000-0000-00004E380000}"/>
    <cellStyle name="Normal 2 3 2 16 2 2 3" xfId="24917" xr:uid="{00000000-0005-0000-0000-00004F380000}"/>
    <cellStyle name="Normal 2 3 2 16 2 2 4" xfId="48179" xr:uid="{00000000-0005-0000-0000-000050380000}"/>
    <cellStyle name="Normal 2 3 2 16 2 3" xfId="15482" xr:uid="{00000000-0005-0000-0000-000051380000}"/>
    <cellStyle name="Normal 2 3 2 16 2 3 2" xfId="29614" xr:uid="{00000000-0005-0000-0000-000052380000}"/>
    <cellStyle name="Normal 2 3 2 16 2 3 3" xfId="43509" xr:uid="{00000000-0005-0000-0000-000053380000}"/>
    <cellStyle name="Normal 2 3 2 16 2 4" xfId="20295" xr:uid="{00000000-0005-0000-0000-000054380000}"/>
    <cellStyle name="Normal 2 3 2 16 2 5" xfId="38927" xr:uid="{00000000-0005-0000-0000-000055380000}"/>
    <cellStyle name="Normal 2 3 2 16 3" xfId="10750" xr:uid="{00000000-0005-0000-0000-000056380000}"/>
    <cellStyle name="Normal 2 3 2 16 3 2" xfId="34235" xr:uid="{00000000-0005-0000-0000-000057380000}"/>
    <cellStyle name="Normal 2 3 2 16 3 3" xfId="24916" xr:uid="{00000000-0005-0000-0000-000058380000}"/>
    <cellStyle name="Normal 2 3 2 16 3 4" xfId="48178" xr:uid="{00000000-0005-0000-0000-000059380000}"/>
    <cellStyle name="Normal 2 3 2 16 4" xfId="15481" xr:uid="{00000000-0005-0000-0000-00005A380000}"/>
    <cellStyle name="Normal 2 3 2 16 4 2" xfId="29613" xr:uid="{00000000-0005-0000-0000-00005B380000}"/>
    <cellStyle name="Normal 2 3 2 16 4 3" xfId="43508" xr:uid="{00000000-0005-0000-0000-00005C380000}"/>
    <cellStyle name="Normal 2 3 2 16 5" xfId="20294" xr:uid="{00000000-0005-0000-0000-00005D380000}"/>
    <cellStyle name="Normal 2 3 2 16 6" xfId="38926" xr:uid="{00000000-0005-0000-0000-00005E380000}"/>
    <cellStyle name="Normal 2 3 2 17" xfId="4897" xr:uid="{00000000-0005-0000-0000-00005F380000}"/>
    <cellStyle name="Normal 2 3 2 17 2" xfId="4898" xr:uid="{00000000-0005-0000-0000-000060380000}"/>
    <cellStyle name="Normal 2 3 2 17 2 2" xfId="10753" xr:uid="{00000000-0005-0000-0000-000061380000}"/>
    <cellStyle name="Normal 2 3 2 17 2 2 2" xfId="34238" xr:uid="{00000000-0005-0000-0000-000062380000}"/>
    <cellStyle name="Normal 2 3 2 17 2 2 3" xfId="24919" xr:uid="{00000000-0005-0000-0000-000063380000}"/>
    <cellStyle name="Normal 2 3 2 17 2 2 4" xfId="48181" xr:uid="{00000000-0005-0000-0000-000064380000}"/>
    <cellStyle name="Normal 2 3 2 17 2 3" xfId="15484" xr:uid="{00000000-0005-0000-0000-000065380000}"/>
    <cellStyle name="Normal 2 3 2 17 2 3 2" xfId="29616" xr:uid="{00000000-0005-0000-0000-000066380000}"/>
    <cellStyle name="Normal 2 3 2 17 2 3 3" xfId="43511" xr:uid="{00000000-0005-0000-0000-000067380000}"/>
    <cellStyle name="Normal 2 3 2 17 2 4" xfId="20297" xr:uid="{00000000-0005-0000-0000-000068380000}"/>
    <cellStyle name="Normal 2 3 2 17 2 5" xfId="38929" xr:uid="{00000000-0005-0000-0000-000069380000}"/>
    <cellStyle name="Normal 2 3 2 17 3" xfId="10752" xr:uid="{00000000-0005-0000-0000-00006A380000}"/>
    <cellStyle name="Normal 2 3 2 17 3 2" xfId="34237" xr:uid="{00000000-0005-0000-0000-00006B380000}"/>
    <cellStyle name="Normal 2 3 2 17 3 3" xfId="24918" xr:uid="{00000000-0005-0000-0000-00006C380000}"/>
    <cellStyle name="Normal 2 3 2 17 3 4" xfId="48180" xr:uid="{00000000-0005-0000-0000-00006D380000}"/>
    <cellStyle name="Normal 2 3 2 17 4" xfId="15483" xr:uid="{00000000-0005-0000-0000-00006E380000}"/>
    <cellStyle name="Normal 2 3 2 17 4 2" xfId="29615" xr:uid="{00000000-0005-0000-0000-00006F380000}"/>
    <cellStyle name="Normal 2 3 2 17 4 3" xfId="43510" xr:uid="{00000000-0005-0000-0000-000070380000}"/>
    <cellStyle name="Normal 2 3 2 17 5" xfId="20296" xr:uid="{00000000-0005-0000-0000-000071380000}"/>
    <cellStyle name="Normal 2 3 2 17 6" xfId="38928" xr:uid="{00000000-0005-0000-0000-000072380000}"/>
    <cellStyle name="Normal 2 3 2 18" xfId="4899" xr:uid="{00000000-0005-0000-0000-000073380000}"/>
    <cellStyle name="Normal 2 3 2 18 2" xfId="4900" xr:uid="{00000000-0005-0000-0000-000074380000}"/>
    <cellStyle name="Normal 2 3 2 18 2 2" xfId="10755" xr:uid="{00000000-0005-0000-0000-000075380000}"/>
    <cellStyle name="Normal 2 3 2 18 2 2 2" xfId="34240" xr:uid="{00000000-0005-0000-0000-000076380000}"/>
    <cellStyle name="Normal 2 3 2 18 2 2 3" xfId="24921" xr:uid="{00000000-0005-0000-0000-000077380000}"/>
    <cellStyle name="Normal 2 3 2 18 2 2 4" xfId="48183" xr:uid="{00000000-0005-0000-0000-000078380000}"/>
    <cellStyle name="Normal 2 3 2 18 2 3" xfId="15486" xr:uid="{00000000-0005-0000-0000-000079380000}"/>
    <cellStyle name="Normal 2 3 2 18 2 3 2" xfId="29618" xr:uid="{00000000-0005-0000-0000-00007A380000}"/>
    <cellStyle name="Normal 2 3 2 18 2 3 3" xfId="43513" xr:uid="{00000000-0005-0000-0000-00007B380000}"/>
    <cellStyle name="Normal 2 3 2 18 2 4" xfId="20299" xr:uid="{00000000-0005-0000-0000-00007C380000}"/>
    <cellStyle name="Normal 2 3 2 18 2 5" xfId="38931" xr:uid="{00000000-0005-0000-0000-00007D380000}"/>
    <cellStyle name="Normal 2 3 2 18 3" xfId="10754" xr:uid="{00000000-0005-0000-0000-00007E380000}"/>
    <cellStyle name="Normal 2 3 2 18 3 2" xfId="34239" xr:uid="{00000000-0005-0000-0000-00007F380000}"/>
    <cellStyle name="Normal 2 3 2 18 3 3" xfId="24920" xr:uid="{00000000-0005-0000-0000-000080380000}"/>
    <cellStyle name="Normal 2 3 2 18 3 4" xfId="48182" xr:uid="{00000000-0005-0000-0000-000081380000}"/>
    <cellStyle name="Normal 2 3 2 18 4" xfId="15485" xr:uid="{00000000-0005-0000-0000-000082380000}"/>
    <cellStyle name="Normal 2 3 2 18 4 2" xfId="29617" xr:uid="{00000000-0005-0000-0000-000083380000}"/>
    <cellStyle name="Normal 2 3 2 18 4 3" xfId="43512" xr:uid="{00000000-0005-0000-0000-000084380000}"/>
    <cellStyle name="Normal 2 3 2 18 5" xfId="20298" xr:uid="{00000000-0005-0000-0000-000085380000}"/>
    <cellStyle name="Normal 2 3 2 18 6" xfId="38930" xr:uid="{00000000-0005-0000-0000-000086380000}"/>
    <cellStyle name="Normal 2 3 2 19" xfId="4901" xr:uid="{00000000-0005-0000-0000-000087380000}"/>
    <cellStyle name="Normal 2 3 2 19 2" xfId="4902" xr:uid="{00000000-0005-0000-0000-000088380000}"/>
    <cellStyle name="Normal 2 3 2 19 2 2" xfId="10757" xr:uid="{00000000-0005-0000-0000-000089380000}"/>
    <cellStyle name="Normal 2 3 2 19 2 2 2" xfId="34242" xr:uid="{00000000-0005-0000-0000-00008A380000}"/>
    <cellStyle name="Normal 2 3 2 19 2 2 3" xfId="24923" xr:uid="{00000000-0005-0000-0000-00008B380000}"/>
    <cellStyle name="Normal 2 3 2 19 2 2 4" xfId="48185" xr:uid="{00000000-0005-0000-0000-00008C380000}"/>
    <cellStyle name="Normal 2 3 2 19 2 3" xfId="15488" xr:uid="{00000000-0005-0000-0000-00008D380000}"/>
    <cellStyle name="Normal 2 3 2 19 2 3 2" xfId="29620" xr:uid="{00000000-0005-0000-0000-00008E380000}"/>
    <cellStyle name="Normal 2 3 2 19 2 3 3" xfId="43515" xr:uid="{00000000-0005-0000-0000-00008F380000}"/>
    <cellStyle name="Normal 2 3 2 19 2 4" xfId="20301" xr:uid="{00000000-0005-0000-0000-000090380000}"/>
    <cellStyle name="Normal 2 3 2 19 2 5" xfId="38933" xr:uid="{00000000-0005-0000-0000-000091380000}"/>
    <cellStyle name="Normal 2 3 2 19 3" xfId="10756" xr:uid="{00000000-0005-0000-0000-000092380000}"/>
    <cellStyle name="Normal 2 3 2 19 3 2" xfId="34241" xr:uid="{00000000-0005-0000-0000-000093380000}"/>
    <cellStyle name="Normal 2 3 2 19 3 3" xfId="24922" xr:uid="{00000000-0005-0000-0000-000094380000}"/>
    <cellStyle name="Normal 2 3 2 19 3 4" xfId="48184" xr:uid="{00000000-0005-0000-0000-000095380000}"/>
    <cellStyle name="Normal 2 3 2 19 4" xfId="15487" xr:uid="{00000000-0005-0000-0000-000096380000}"/>
    <cellStyle name="Normal 2 3 2 19 4 2" xfId="29619" xr:uid="{00000000-0005-0000-0000-000097380000}"/>
    <cellStyle name="Normal 2 3 2 19 4 3" xfId="43514" xr:uid="{00000000-0005-0000-0000-000098380000}"/>
    <cellStyle name="Normal 2 3 2 19 5" xfId="20300" xr:uid="{00000000-0005-0000-0000-000099380000}"/>
    <cellStyle name="Normal 2 3 2 19 6" xfId="38932" xr:uid="{00000000-0005-0000-0000-00009A380000}"/>
    <cellStyle name="Normal 2 3 2 2" xfId="4903" xr:uid="{00000000-0005-0000-0000-00009B380000}"/>
    <cellStyle name="Normal 2 3 2 2 2" xfId="4904" xr:uid="{00000000-0005-0000-0000-00009C380000}"/>
    <cellStyle name="Normal 2 3 2 2 2 2" xfId="10759" xr:uid="{00000000-0005-0000-0000-00009D380000}"/>
    <cellStyle name="Normal 2 3 2 2 2 2 2" xfId="34244" xr:uid="{00000000-0005-0000-0000-00009E380000}"/>
    <cellStyle name="Normal 2 3 2 2 2 2 3" xfId="24925" xr:uid="{00000000-0005-0000-0000-00009F380000}"/>
    <cellStyle name="Normal 2 3 2 2 2 2 4" xfId="48187" xr:uid="{00000000-0005-0000-0000-0000A0380000}"/>
    <cellStyle name="Normal 2 3 2 2 2 3" xfId="15490" xr:uid="{00000000-0005-0000-0000-0000A1380000}"/>
    <cellStyle name="Normal 2 3 2 2 2 3 2" xfId="29622" xr:uid="{00000000-0005-0000-0000-0000A2380000}"/>
    <cellStyle name="Normal 2 3 2 2 2 3 3" xfId="43517" xr:uid="{00000000-0005-0000-0000-0000A3380000}"/>
    <cellStyle name="Normal 2 3 2 2 2 4" xfId="20303" xr:uid="{00000000-0005-0000-0000-0000A4380000}"/>
    <cellStyle name="Normal 2 3 2 2 2 5" xfId="38935" xr:uid="{00000000-0005-0000-0000-0000A5380000}"/>
    <cellStyle name="Normal 2 3 2 2 3" xfId="10758" xr:uid="{00000000-0005-0000-0000-0000A6380000}"/>
    <cellStyle name="Normal 2 3 2 2 3 2" xfId="34243" xr:uid="{00000000-0005-0000-0000-0000A7380000}"/>
    <cellStyle name="Normal 2 3 2 2 3 3" xfId="24924" xr:uid="{00000000-0005-0000-0000-0000A8380000}"/>
    <cellStyle name="Normal 2 3 2 2 3 4" xfId="48186" xr:uid="{00000000-0005-0000-0000-0000A9380000}"/>
    <cellStyle name="Normal 2 3 2 2 4" xfId="15489" xr:uid="{00000000-0005-0000-0000-0000AA380000}"/>
    <cellStyle name="Normal 2 3 2 2 4 2" xfId="29621" xr:uid="{00000000-0005-0000-0000-0000AB380000}"/>
    <cellStyle name="Normal 2 3 2 2 4 3" xfId="43516" xr:uid="{00000000-0005-0000-0000-0000AC380000}"/>
    <cellStyle name="Normal 2 3 2 2 5" xfId="20302" xr:uid="{00000000-0005-0000-0000-0000AD380000}"/>
    <cellStyle name="Normal 2 3 2 2 6" xfId="38934" xr:uid="{00000000-0005-0000-0000-0000AE380000}"/>
    <cellStyle name="Normal 2 3 2 20" xfId="4905" xr:uid="{00000000-0005-0000-0000-0000AF380000}"/>
    <cellStyle name="Normal 2 3 2 20 2" xfId="4906" xr:uid="{00000000-0005-0000-0000-0000B0380000}"/>
    <cellStyle name="Normal 2 3 2 20 2 2" xfId="10761" xr:uid="{00000000-0005-0000-0000-0000B1380000}"/>
    <cellStyle name="Normal 2 3 2 20 2 2 2" xfId="34246" xr:uid="{00000000-0005-0000-0000-0000B2380000}"/>
    <cellStyle name="Normal 2 3 2 20 2 2 3" xfId="24927" xr:uid="{00000000-0005-0000-0000-0000B3380000}"/>
    <cellStyle name="Normal 2 3 2 20 2 2 4" xfId="48189" xr:uid="{00000000-0005-0000-0000-0000B4380000}"/>
    <cellStyle name="Normal 2 3 2 20 2 3" xfId="15492" xr:uid="{00000000-0005-0000-0000-0000B5380000}"/>
    <cellStyle name="Normal 2 3 2 20 2 3 2" xfId="29624" xr:uid="{00000000-0005-0000-0000-0000B6380000}"/>
    <cellStyle name="Normal 2 3 2 20 2 3 3" xfId="43519" xr:uid="{00000000-0005-0000-0000-0000B7380000}"/>
    <cellStyle name="Normal 2 3 2 20 2 4" xfId="20305" xr:uid="{00000000-0005-0000-0000-0000B8380000}"/>
    <cellStyle name="Normal 2 3 2 20 2 5" xfId="38937" xr:uid="{00000000-0005-0000-0000-0000B9380000}"/>
    <cellStyle name="Normal 2 3 2 20 3" xfId="10760" xr:uid="{00000000-0005-0000-0000-0000BA380000}"/>
    <cellStyle name="Normal 2 3 2 20 3 2" xfId="34245" xr:uid="{00000000-0005-0000-0000-0000BB380000}"/>
    <cellStyle name="Normal 2 3 2 20 3 3" xfId="24926" xr:uid="{00000000-0005-0000-0000-0000BC380000}"/>
    <cellStyle name="Normal 2 3 2 20 3 4" xfId="48188" xr:uid="{00000000-0005-0000-0000-0000BD380000}"/>
    <cellStyle name="Normal 2 3 2 20 4" xfId="15491" xr:uid="{00000000-0005-0000-0000-0000BE380000}"/>
    <cellStyle name="Normal 2 3 2 20 4 2" xfId="29623" xr:uid="{00000000-0005-0000-0000-0000BF380000}"/>
    <cellStyle name="Normal 2 3 2 20 4 3" xfId="43518" xr:uid="{00000000-0005-0000-0000-0000C0380000}"/>
    <cellStyle name="Normal 2 3 2 20 5" xfId="20304" xr:uid="{00000000-0005-0000-0000-0000C1380000}"/>
    <cellStyle name="Normal 2 3 2 20 6" xfId="38936" xr:uid="{00000000-0005-0000-0000-0000C2380000}"/>
    <cellStyle name="Normal 2 3 2 21" xfId="4907" xr:uid="{00000000-0005-0000-0000-0000C3380000}"/>
    <cellStyle name="Normal 2 3 2 21 2" xfId="4908" xr:uid="{00000000-0005-0000-0000-0000C4380000}"/>
    <cellStyle name="Normal 2 3 2 21 2 2" xfId="10763" xr:uid="{00000000-0005-0000-0000-0000C5380000}"/>
    <cellStyle name="Normal 2 3 2 21 2 2 2" xfId="34248" xr:uid="{00000000-0005-0000-0000-0000C6380000}"/>
    <cellStyle name="Normal 2 3 2 21 2 2 3" xfId="24929" xr:uid="{00000000-0005-0000-0000-0000C7380000}"/>
    <cellStyle name="Normal 2 3 2 21 2 2 4" xfId="48191" xr:uid="{00000000-0005-0000-0000-0000C8380000}"/>
    <cellStyle name="Normal 2 3 2 21 2 3" xfId="15494" xr:uid="{00000000-0005-0000-0000-0000C9380000}"/>
    <cellStyle name="Normal 2 3 2 21 2 3 2" xfId="29626" xr:uid="{00000000-0005-0000-0000-0000CA380000}"/>
    <cellStyle name="Normal 2 3 2 21 2 3 3" xfId="43521" xr:uid="{00000000-0005-0000-0000-0000CB380000}"/>
    <cellStyle name="Normal 2 3 2 21 2 4" xfId="20307" xr:uid="{00000000-0005-0000-0000-0000CC380000}"/>
    <cellStyle name="Normal 2 3 2 21 2 5" xfId="38939" xr:uid="{00000000-0005-0000-0000-0000CD380000}"/>
    <cellStyle name="Normal 2 3 2 21 3" xfId="10762" xr:uid="{00000000-0005-0000-0000-0000CE380000}"/>
    <cellStyle name="Normal 2 3 2 21 3 2" xfId="34247" xr:uid="{00000000-0005-0000-0000-0000CF380000}"/>
    <cellStyle name="Normal 2 3 2 21 3 3" xfId="24928" xr:uid="{00000000-0005-0000-0000-0000D0380000}"/>
    <cellStyle name="Normal 2 3 2 21 3 4" xfId="48190" xr:uid="{00000000-0005-0000-0000-0000D1380000}"/>
    <cellStyle name="Normal 2 3 2 21 4" xfId="15493" xr:uid="{00000000-0005-0000-0000-0000D2380000}"/>
    <cellStyle name="Normal 2 3 2 21 4 2" xfId="29625" xr:uid="{00000000-0005-0000-0000-0000D3380000}"/>
    <cellStyle name="Normal 2 3 2 21 4 3" xfId="43520" xr:uid="{00000000-0005-0000-0000-0000D4380000}"/>
    <cellStyle name="Normal 2 3 2 21 5" xfId="20306" xr:uid="{00000000-0005-0000-0000-0000D5380000}"/>
    <cellStyle name="Normal 2 3 2 21 6" xfId="38938" xr:uid="{00000000-0005-0000-0000-0000D6380000}"/>
    <cellStyle name="Normal 2 3 2 22" xfId="4909" xr:uid="{00000000-0005-0000-0000-0000D7380000}"/>
    <cellStyle name="Normal 2 3 2 22 2" xfId="4910" xr:uid="{00000000-0005-0000-0000-0000D8380000}"/>
    <cellStyle name="Normal 2 3 2 22 2 2" xfId="10765" xr:uid="{00000000-0005-0000-0000-0000D9380000}"/>
    <cellStyle name="Normal 2 3 2 22 2 2 2" xfId="34250" xr:uid="{00000000-0005-0000-0000-0000DA380000}"/>
    <cellStyle name="Normal 2 3 2 22 2 2 3" xfId="24931" xr:uid="{00000000-0005-0000-0000-0000DB380000}"/>
    <cellStyle name="Normal 2 3 2 22 2 2 4" xfId="48193" xr:uid="{00000000-0005-0000-0000-0000DC380000}"/>
    <cellStyle name="Normal 2 3 2 22 2 3" xfId="15496" xr:uid="{00000000-0005-0000-0000-0000DD380000}"/>
    <cellStyle name="Normal 2 3 2 22 2 3 2" xfId="29628" xr:uid="{00000000-0005-0000-0000-0000DE380000}"/>
    <cellStyle name="Normal 2 3 2 22 2 3 3" xfId="43523" xr:uid="{00000000-0005-0000-0000-0000DF380000}"/>
    <cellStyle name="Normal 2 3 2 22 2 4" xfId="20309" xr:uid="{00000000-0005-0000-0000-0000E0380000}"/>
    <cellStyle name="Normal 2 3 2 22 2 5" xfId="38941" xr:uid="{00000000-0005-0000-0000-0000E1380000}"/>
    <cellStyle name="Normal 2 3 2 22 3" xfId="10764" xr:uid="{00000000-0005-0000-0000-0000E2380000}"/>
    <cellStyle name="Normal 2 3 2 22 3 2" xfId="34249" xr:uid="{00000000-0005-0000-0000-0000E3380000}"/>
    <cellStyle name="Normal 2 3 2 22 3 3" xfId="24930" xr:uid="{00000000-0005-0000-0000-0000E4380000}"/>
    <cellStyle name="Normal 2 3 2 22 3 4" xfId="48192" xr:uid="{00000000-0005-0000-0000-0000E5380000}"/>
    <cellStyle name="Normal 2 3 2 22 4" xfId="15495" xr:uid="{00000000-0005-0000-0000-0000E6380000}"/>
    <cellStyle name="Normal 2 3 2 22 4 2" xfId="29627" xr:uid="{00000000-0005-0000-0000-0000E7380000}"/>
    <cellStyle name="Normal 2 3 2 22 4 3" xfId="43522" xr:uid="{00000000-0005-0000-0000-0000E8380000}"/>
    <cellStyle name="Normal 2 3 2 22 5" xfId="20308" xr:uid="{00000000-0005-0000-0000-0000E9380000}"/>
    <cellStyle name="Normal 2 3 2 22 6" xfId="38940" xr:uid="{00000000-0005-0000-0000-0000EA380000}"/>
    <cellStyle name="Normal 2 3 2 23" xfId="4911" xr:uid="{00000000-0005-0000-0000-0000EB380000}"/>
    <cellStyle name="Normal 2 3 2 23 2" xfId="4912" xr:uid="{00000000-0005-0000-0000-0000EC380000}"/>
    <cellStyle name="Normal 2 3 2 23 2 2" xfId="10767" xr:uid="{00000000-0005-0000-0000-0000ED380000}"/>
    <cellStyle name="Normal 2 3 2 23 2 2 2" xfId="34252" xr:uid="{00000000-0005-0000-0000-0000EE380000}"/>
    <cellStyle name="Normal 2 3 2 23 2 2 3" xfId="24933" xr:uid="{00000000-0005-0000-0000-0000EF380000}"/>
    <cellStyle name="Normal 2 3 2 23 2 2 4" xfId="48195" xr:uid="{00000000-0005-0000-0000-0000F0380000}"/>
    <cellStyle name="Normal 2 3 2 23 2 3" xfId="15498" xr:uid="{00000000-0005-0000-0000-0000F1380000}"/>
    <cellStyle name="Normal 2 3 2 23 2 3 2" xfId="29630" xr:uid="{00000000-0005-0000-0000-0000F2380000}"/>
    <cellStyle name="Normal 2 3 2 23 2 3 3" xfId="43525" xr:uid="{00000000-0005-0000-0000-0000F3380000}"/>
    <cellStyle name="Normal 2 3 2 23 2 4" xfId="20311" xr:uid="{00000000-0005-0000-0000-0000F4380000}"/>
    <cellStyle name="Normal 2 3 2 23 2 5" xfId="38943" xr:uid="{00000000-0005-0000-0000-0000F5380000}"/>
    <cellStyle name="Normal 2 3 2 23 3" xfId="10766" xr:uid="{00000000-0005-0000-0000-0000F6380000}"/>
    <cellStyle name="Normal 2 3 2 23 3 2" xfId="34251" xr:uid="{00000000-0005-0000-0000-0000F7380000}"/>
    <cellStyle name="Normal 2 3 2 23 3 3" xfId="24932" xr:uid="{00000000-0005-0000-0000-0000F8380000}"/>
    <cellStyle name="Normal 2 3 2 23 3 4" xfId="48194" xr:uid="{00000000-0005-0000-0000-0000F9380000}"/>
    <cellStyle name="Normal 2 3 2 23 4" xfId="15497" xr:uid="{00000000-0005-0000-0000-0000FA380000}"/>
    <cellStyle name="Normal 2 3 2 23 4 2" xfId="29629" xr:uid="{00000000-0005-0000-0000-0000FB380000}"/>
    <cellStyle name="Normal 2 3 2 23 4 3" xfId="43524" xr:uid="{00000000-0005-0000-0000-0000FC380000}"/>
    <cellStyle name="Normal 2 3 2 23 5" xfId="20310" xr:uid="{00000000-0005-0000-0000-0000FD380000}"/>
    <cellStyle name="Normal 2 3 2 23 6" xfId="38942" xr:uid="{00000000-0005-0000-0000-0000FE380000}"/>
    <cellStyle name="Normal 2 3 2 24" xfId="4913" xr:uid="{00000000-0005-0000-0000-0000FF380000}"/>
    <cellStyle name="Normal 2 3 2 24 2" xfId="10768" xr:uid="{00000000-0005-0000-0000-000000390000}"/>
    <cellStyle name="Normal 2 3 2 24 2 2" xfId="34253" xr:uid="{00000000-0005-0000-0000-000001390000}"/>
    <cellStyle name="Normal 2 3 2 24 2 3" xfId="24934" xr:uid="{00000000-0005-0000-0000-000002390000}"/>
    <cellStyle name="Normal 2 3 2 24 2 4" xfId="48196" xr:uid="{00000000-0005-0000-0000-000003390000}"/>
    <cellStyle name="Normal 2 3 2 24 3" xfId="15499" xr:uid="{00000000-0005-0000-0000-000004390000}"/>
    <cellStyle name="Normal 2 3 2 24 3 2" xfId="29631" xr:uid="{00000000-0005-0000-0000-000005390000}"/>
    <cellStyle name="Normal 2 3 2 24 3 3" xfId="43526" xr:uid="{00000000-0005-0000-0000-000006390000}"/>
    <cellStyle name="Normal 2 3 2 24 4" xfId="20312" xr:uid="{00000000-0005-0000-0000-000007390000}"/>
    <cellStyle name="Normal 2 3 2 24 5" xfId="38944" xr:uid="{00000000-0005-0000-0000-000008390000}"/>
    <cellStyle name="Normal 2 3 2 25" xfId="4882" xr:uid="{00000000-0005-0000-0000-000009390000}"/>
    <cellStyle name="Normal 2 3 2 25 2" xfId="10737" xr:uid="{00000000-0005-0000-0000-00000A390000}"/>
    <cellStyle name="Normal 2 3 2 25 2 2" xfId="34222" xr:uid="{00000000-0005-0000-0000-00000B390000}"/>
    <cellStyle name="Normal 2 3 2 25 2 3" xfId="24903" xr:uid="{00000000-0005-0000-0000-00000C390000}"/>
    <cellStyle name="Normal 2 3 2 25 2 4" xfId="48165" xr:uid="{00000000-0005-0000-0000-00000D390000}"/>
    <cellStyle name="Normal 2 3 2 25 3" xfId="15468" xr:uid="{00000000-0005-0000-0000-00000E390000}"/>
    <cellStyle name="Normal 2 3 2 25 3 2" xfId="29600" xr:uid="{00000000-0005-0000-0000-00000F390000}"/>
    <cellStyle name="Normal 2 3 2 25 3 3" xfId="43495" xr:uid="{00000000-0005-0000-0000-000010390000}"/>
    <cellStyle name="Normal 2 3 2 25 4" xfId="20281" xr:uid="{00000000-0005-0000-0000-000011390000}"/>
    <cellStyle name="Normal 2 3 2 25 5" xfId="38913" xr:uid="{00000000-0005-0000-0000-000012390000}"/>
    <cellStyle name="Normal 2 3 2 26" xfId="9481" xr:uid="{00000000-0005-0000-0000-000013390000}"/>
    <cellStyle name="Normal 2 3 2 26 2" xfId="14150" xr:uid="{00000000-0005-0000-0000-000014390000}"/>
    <cellStyle name="Normal 2 3 2 26 2 2" xfId="37628" xr:uid="{00000000-0005-0000-0000-000015390000}"/>
    <cellStyle name="Normal 2 3 2 26 2 3" xfId="28314" xr:uid="{00000000-0005-0000-0000-000016390000}"/>
    <cellStyle name="Normal 2 3 2 26 2 4" xfId="51577" xr:uid="{00000000-0005-0000-0000-000017390000}"/>
    <cellStyle name="Normal 2 3 2 26 3" xfId="18862" xr:uid="{00000000-0005-0000-0000-000018390000}"/>
    <cellStyle name="Normal 2 3 2 26 3 2" xfId="32994" xr:uid="{00000000-0005-0000-0000-000019390000}"/>
    <cellStyle name="Normal 2 3 2 26 3 3" xfId="46896" xr:uid="{00000000-0005-0000-0000-00001A390000}"/>
    <cellStyle name="Normal 2 3 2 26 4" xfId="23680" xr:uid="{00000000-0005-0000-0000-00001B390000}"/>
    <cellStyle name="Normal 2 3 2 26 5" xfId="42267" xr:uid="{00000000-0005-0000-0000-00001C390000}"/>
    <cellStyle name="Normal 2 3 2 27" xfId="9521" xr:uid="{00000000-0005-0000-0000-00001D390000}"/>
    <cellStyle name="Normal 2 3 2 27 2" xfId="14187" xr:uid="{00000000-0005-0000-0000-00001E390000}"/>
    <cellStyle name="Normal 2 3 2 27 2 2" xfId="37662" xr:uid="{00000000-0005-0000-0000-00001F390000}"/>
    <cellStyle name="Normal 2 3 2 27 2 3" xfId="28347" xr:uid="{00000000-0005-0000-0000-000020390000}"/>
    <cellStyle name="Normal 2 3 2 27 2 4" xfId="51614" xr:uid="{00000000-0005-0000-0000-000021390000}"/>
    <cellStyle name="Normal 2 3 2 27 3" xfId="18895" xr:uid="{00000000-0005-0000-0000-000022390000}"/>
    <cellStyle name="Normal 2 3 2 27 3 2" xfId="33028" xr:uid="{00000000-0005-0000-0000-000023390000}"/>
    <cellStyle name="Normal 2 3 2 27 3 3" xfId="46934" xr:uid="{00000000-0005-0000-0000-000024390000}"/>
    <cellStyle name="Normal 2 3 2 27 4" xfId="23715" xr:uid="{00000000-0005-0000-0000-000025390000}"/>
    <cellStyle name="Normal 2 3 2 27 5" xfId="42300" xr:uid="{00000000-0005-0000-0000-000026390000}"/>
    <cellStyle name="Normal 2 3 2 28" xfId="9654" xr:uid="{00000000-0005-0000-0000-000027390000}"/>
    <cellStyle name="Normal 2 3 2 28 2" xfId="33145" xr:uid="{00000000-0005-0000-0000-000028390000}"/>
    <cellStyle name="Normal 2 3 2 28 3" xfId="23832" xr:uid="{00000000-0005-0000-0000-000029390000}"/>
    <cellStyle name="Normal 2 3 2 28 4" xfId="47088" xr:uid="{00000000-0005-0000-0000-00002A390000}"/>
    <cellStyle name="Normal 2 3 2 29" xfId="14416" xr:uid="{00000000-0005-0000-0000-00002B390000}"/>
    <cellStyle name="Normal 2 3 2 29 2" xfId="28547" xr:uid="{00000000-0005-0000-0000-00002C390000}"/>
    <cellStyle name="Normal 2 3 2 29 3" xfId="42426" xr:uid="{00000000-0005-0000-0000-00002D390000}"/>
    <cellStyle name="Normal 2 3 2 3" xfId="4914" xr:uid="{00000000-0005-0000-0000-00002E390000}"/>
    <cellStyle name="Normal 2 3 2 3 2" xfId="4915" xr:uid="{00000000-0005-0000-0000-00002F390000}"/>
    <cellStyle name="Normal 2 3 2 3 2 2" xfId="10770" xr:uid="{00000000-0005-0000-0000-000030390000}"/>
    <cellStyle name="Normal 2 3 2 3 2 2 2" xfId="34255" xr:uid="{00000000-0005-0000-0000-000031390000}"/>
    <cellStyle name="Normal 2 3 2 3 2 2 3" xfId="24936" xr:uid="{00000000-0005-0000-0000-000032390000}"/>
    <cellStyle name="Normal 2 3 2 3 2 2 4" xfId="48198" xr:uid="{00000000-0005-0000-0000-000033390000}"/>
    <cellStyle name="Normal 2 3 2 3 2 3" xfId="15501" xr:uid="{00000000-0005-0000-0000-000034390000}"/>
    <cellStyle name="Normal 2 3 2 3 2 3 2" xfId="29633" xr:uid="{00000000-0005-0000-0000-000035390000}"/>
    <cellStyle name="Normal 2 3 2 3 2 3 3" xfId="43528" xr:uid="{00000000-0005-0000-0000-000036390000}"/>
    <cellStyle name="Normal 2 3 2 3 2 4" xfId="20314" xr:uid="{00000000-0005-0000-0000-000037390000}"/>
    <cellStyle name="Normal 2 3 2 3 2 5" xfId="38946" xr:uid="{00000000-0005-0000-0000-000038390000}"/>
    <cellStyle name="Normal 2 3 2 3 3" xfId="10769" xr:uid="{00000000-0005-0000-0000-000039390000}"/>
    <cellStyle name="Normal 2 3 2 3 3 2" xfId="34254" xr:uid="{00000000-0005-0000-0000-00003A390000}"/>
    <cellStyle name="Normal 2 3 2 3 3 3" xfId="24935" xr:uid="{00000000-0005-0000-0000-00003B390000}"/>
    <cellStyle name="Normal 2 3 2 3 3 4" xfId="48197" xr:uid="{00000000-0005-0000-0000-00003C390000}"/>
    <cellStyle name="Normal 2 3 2 3 4" xfId="15500" xr:uid="{00000000-0005-0000-0000-00003D390000}"/>
    <cellStyle name="Normal 2 3 2 3 4 2" xfId="29632" xr:uid="{00000000-0005-0000-0000-00003E390000}"/>
    <cellStyle name="Normal 2 3 2 3 4 3" xfId="43527" xr:uid="{00000000-0005-0000-0000-00003F390000}"/>
    <cellStyle name="Normal 2 3 2 3 5" xfId="20313" xr:uid="{00000000-0005-0000-0000-000040390000}"/>
    <cellStyle name="Normal 2 3 2 3 6" xfId="38945" xr:uid="{00000000-0005-0000-0000-000041390000}"/>
    <cellStyle name="Normal 2 3 2 30" xfId="19229" xr:uid="{00000000-0005-0000-0000-000042390000}"/>
    <cellStyle name="Normal 2 3 2 31" xfId="37864" xr:uid="{00000000-0005-0000-0000-000043390000}"/>
    <cellStyle name="Normal 2 3 2 4" xfId="4916" xr:uid="{00000000-0005-0000-0000-000044390000}"/>
    <cellStyle name="Normal 2 3 2 4 2" xfId="4917" xr:uid="{00000000-0005-0000-0000-000045390000}"/>
    <cellStyle name="Normal 2 3 2 4 2 2" xfId="10772" xr:uid="{00000000-0005-0000-0000-000046390000}"/>
    <cellStyle name="Normal 2 3 2 4 2 2 2" xfId="34257" xr:uid="{00000000-0005-0000-0000-000047390000}"/>
    <cellStyle name="Normal 2 3 2 4 2 2 3" xfId="24938" xr:uid="{00000000-0005-0000-0000-000048390000}"/>
    <cellStyle name="Normal 2 3 2 4 2 2 4" xfId="48200" xr:uid="{00000000-0005-0000-0000-000049390000}"/>
    <cellStyle name="Normal 2 3 2 4 2 3" xfId="15503" xr:uid="{00000000-0005-0000-0000-00004A390000}"/>
    <cellStyle name="Normal 2 3 2 4 2 3 2" xfId="29635" xr:uid="{00000000-0005-0000-0000-00004B390000}"/>
    <cellStyle name="Normal 2 3 2 4 2 3 3" xfId="43530" xr:uid="{00000000-0005-0000-0000-00004C390000}"/>
    <cellStyle name="Normal 2 3 2 4 2 4" xfId="20316" xr:uid="{00000000-0005-0000-0000-00004D390000}"/>
    <cellStyle name="Normal 2 3 2 4 2 5" xfId="38948" xr:uid="{00000000-0005-0000-0000-00004E390000}"/>
    <cellStyle name="Normal 2 3 2 4 3" xfId="10771" xr:uid="{00000000-0005-0000-0000-00004F390000}"/>
    <cellStyle name="Normal 2 3 2 4 3 2" xfId="34256" xr:uid="{00000000-0005-0000-0000-000050390000}"/>
    <cellStyle name="Normal 2 3 2 4 3 3" xfId="24937" xr:uid="{00000000-0005-0000-0000-000051390000}"/>
    <cellStyle name="Normal 2 3 2 4 3 4" xfId="48199" xr:uid="{00000000-0005-0000-0000-000052390000}"/>
    <cellStyle name="Normal 2 3 2 4 4" xfId="15502" xr:uid="{00000000-0005-0000-0000-000053390000}"/>
    <cellStyle name="Normal 2 3 2 4 4 2" xfId="29634" xr:uid="{00000000-0005-0000-0000-000054390000}"/>
    <cellStyle name="Normal 2 3 2 4 4 3" xfId="43529" xr:uid="{00000000-0005-0000-0000-000055390000}"/>
    <cellStyle name="Normal 2 3 2 4 5" xfId="20315" xr:uid="{00000000-0005-0000-0000-000056390000}"/>
    <cellStyle name="Normal 2 3 2 4 6" xfId="38947" xr:uid="{00000000-0005-0000-0000-000057390000}"/>
    <cellStyle name="Normal 2 3 2 5" xfId="4918" xr:uid="{00000000-0005-0000-0000-000058390000}"/>
    <cellStyle name="Normal 2 3 2 5 2" xfId="4919" xr:uid="{00000000-0005-0000-0000-000059390000}"/>
    <cellStyle name="Normal 2 3 2 5 2 2" xfId="10774" xr:uid="{00000000-0005-0000-0000-00005A390000}"/>
    <cellStyle name="Normal 2 3 2 5 2 2 2" xfId="34259" xr:uid="{00000000-0005-0000-0000-00005B390000}"/>
    <cellStyle name="Normal 2 3 2 5 2 2 3" xfId="24940" xr:uid="{00000000-0005-0000-0000-00005C390000}"/>
    <cellStyle name="Normal 2 3 2 5 2 2 4" xfId="48202" xr:uid="{00000000-0005-0000-0000-00005D390000}"/>
    <cellStyle name="Normal 2 3 2 5 2 3" xfId="15505" xr:uid="{00000000-0005-0000-0000-00005E390000}"/>
    <cellStyle name="Normal 2 3 2 5 2 3 2" xfId="29637" xr:uid="{00000000-0005-0000-0000-00005F390000}"/>
    <cellStyle name="Normal 2 3 2 5 2 3 3" xfId="43532" xr:uid="{00000000-0005-0000-0000-000060390000}"/>
    <cellStyle name="Normal 2 3 2 5 2 4" xfId="20318" xr:uid="{00000000-0005-0000-0000-000061390000}"/>
    <cellStyle name="Normal 2 3 2 5 2 5" xfId="38950" xr:uid="{00000000-0005-0000-0000-000062390000}"/>
    <cellStyle name="Normal 2 3 2 5 3" xfId="10773" xr:uid="{00000000-0005-0000-0000-000063390000}"/>
    <cellStyle name="Normal 2 3 2 5 3 2" xfId="34258" xr:uid="{00000000-0005-0000-0000-000064390000}"/>
    <cellStyle name="Normal 2 3 2 5 3 3" xfId="24939" xr:uid="{00000000-0005-0000-0000-000065390000}"/>
    <cellStyle name="Normal 2 3 2 5 3 4" xfId="48201" xr:uid="{00000000-0005-0000-0000-000066390000}"/>
    <cellStyle name="Normal 2 3 2 5 4" xfId="15504" xr:uid="{00000000-0005-0000-0000-000067390000}"/>
    <cellStyle name="Normal 2 3 2 5 4 2" xfId="29636" xr:uid="{00000000-0005-0000-0000-000068390000}"/>
    <cellStyle name="Normal 2 3 2 5 4 3" xfId="43531" xr:uid="{00000000-0005-0000-0000-000069390000}"/>
    <cellStyle name="Normal 2 3 2 5 5" xfId="20317" xr:uid="{00000000-0005-0000-0000-00006A390000}"/>
    <cellStyle name="Normal 2 3 2 5 6" xfId="38949" xr:uid="{00000000-0005-0000-0000-00006B390000}"/>
    <cellStyle name="Normal 2 3 2 6" xfId="4920" xr:uid="{00000000-0005-0000-0000-00006C390000}"/>
    <cellStyle name="Normal 2 3 2 6 2" xfId="4921" xr:uid="{00000000-0005-0000-0000-00006D390000}"/>
    <cellStyle name="Normal 2 3 2 6 2 2" xfId="10776" xr:uid="{00000000-0005-0000-0000-00006E390000}"/>
    <cellStyle name="Normal 2 3 2 6 2 2 2" xfId="34261" xr:uid="{00000000-0005-0000-0000-00006F390000}"/>
    <cellStyle name="Normal 2 3 2 6 2 2 3" xfId="24942" xr:uid="{00000000-0005-0000-0000-000070390000}"/>
    <cellStyle name="Normal 2 3 2 6 2 2 4" xfId="48204" xr:uid="{00000000-0005-0000-0000-000071390000}"/>
    <cellStyle name="Normal 2 3 2 6 2 3" xfId="15507" xr:uid="{00000000-0005-0000-0000-000072390000}"/>
    <cellStyle name="Normal 2 3 2 6 2 3 2" xfId="29639" xr:uid="{00000000-0005-0000-0000-000073390000}"/>
    <cellStyle name="Normal 2 3 2 6 2 3 3" xfId="43534" xr:uid="{00000000-0005-0000-0000-000074390000}"/>
    <cellStyle name="Normal 2 3 2 6 2 4" xfId="20320" xr:uid="{00000000-0005-0000-0000-000075390000}"/>
    <cellStyle name="Normal 2 3 2 6 2 5" xfId="38952" xr:uid="{00000000-0005-0000-0000-000076390000}"/>
    <cellStyle name="Normal 2 3 2 6 3" xfId="10775" xr:uid="{00000000-0005-0000-0000-000077390000}"/>
    <cellStyle name="Normal 2 3 2 6 3 2" xfId="34260" xr:uid="{00000000-0005-0000-0000-000078390000}"/>
    <cellStyle name="Normal 2 3 2 6 3 3" xfId="24941" xr:uid="{00000000-0005-0000-0000-000079390000}"/>
    <cellStyle name="Normal 2 3 2 6 3 4" xfId="48203" xr:uid="{00000000-0005-0000-0000-00007A390000}"/>
    <cellStyle name="Normal 2 3 2 6 4" xfId="15506" xr:uid="{00000000-0005-0000-0000-00007B390000}"/>
    <cellStyle name="Normal 2 3 2 6 4 2" xfId="29638" xr:uid="{00000000-0005-0000-0000-00007C390000}"/>
    <cellStyle name="Normal 2 3 2 6 4 3" xfId="43533" xr:uid="{00000000-0005-0000-0000-00007D390000}"/>
    <cellStyle name="Normal 2 3 2 6 5" xfId="20319" xr:uid="{00000000-0005-0000-0000-00007E390000}"/>
    <cellStyle name="Normal 2 3 2 6 6" xfId="38951" xr:uid="{00000000-0005-0000-0000-00007F390000}"/>
    <cellStyle name="Normal 2 3 2 7" xfId="4922" xr:uid="{00000000-0005-0000-0000-000080390000}"/>
    <cellStyle name="Normal 2 3 2 7 2" xfId="4923" xr:uid="{00000000-0005-0000-0000-000081390000}"/>
    <cellStyle name="Normal 2 3 2 7 2 2" xfId="10778" xr:uid="{00000000-0005-0000-0000-000082390000}"/>
    <cellStyle name="Normal 2 3 2 7 2 2 2" xfId="34263" xr:uid="{00000000-0005-0000-0000-000083390000}"/>
    <cellStyle name="Normal 2 3 2 7 2 2 3" xfId="24944" xr:uid="{00000000-0005-0000-0000-000084390000}"/>
    <cellStyle name="Normal 2 3 2 7 2 2 4" xfId="48206" xr:uid="{00000000-0005-0000-0000-000085390000}"/>
    <cellStyle name="Normal 2 3 2 7 2 3" xfId="15509" xr:uid="{00000000-0005-0000-0000-000086390000}"/>
    <cellStyle name="Normal 2 3 2 7 2 3 2" xfId="29641" xr:uid="{00000000-0005-0000-0000-000087390000}"/>
    <cellStyle name="Normal 2 3 2 7 2 3 3" xfId="43536" xr:uid="{00000000-0005-0000-0000-000088390000}"/>
    <cellStyle name="Normal 2 3 2 7 2 4" xfId="20322" xr:uid="{00000000-0005-0000-0000-000089390000}"/>
    <cellStyle name="Normal 2 3 2 7 2 5" xfId="38954" xr:uid="{00000000-0005-0000-0000-00008A390000}"/>
    <cellStyle name="Normal 2 3 2 7 3" xfId="10777" xr:uid="{00000000-0005-0000-0000-00008B390000}"/>
    <cellStyle name="Normal 2 3 2 7 3 2" xfId="34262" xr:uid="{00000000-0005-0000-0000-00008C390000}"/>
    <cellStyle name="Normal 2 3 2 7 3 3" xfId="24943" xr:uid="{00000000-0005-0000-0000-00008D390000}"/>
    <cellStyle name="Normal 2 3 2 7 3 4" xfId="48205" xr:uid="{00000000-0005-0000-0000-00008E390000}"/>
    <cellStyle name="Normal 2 3 2 7 4" xfId="15508" xr:uid="{00000000-0005-0000-0000-00008F390000}"/>
    <cellStyle name="Normal 2 3 2 7 4 2" xfId="29640" xr:uid="{00000000-0005-0000-0000-000090390000}"/>
    <cellStyle name="Normal 2 3 2 7 4 3" xfId="43535" xr:uid="{00000000-0005-0000-0000-000091390000}"/>
    <cellStyle name="Normal 2 3 2 7 5" xfId="20321" xr:uid="{00000000-0005-0000-0000-000092390000}"/>
    <cellStyle name="Normal 2 3 2 7 6" xfId="38953" xr:uid="{00000000-0005-0000-0000-000093390000}"/>
    <cellStyle name="Normal 2 3 2 8" xfId="4924" xr:uid="{00000000-0005-0000-0000-000094390000}"/>
    <cellStyle name="Normal 2 3 2 8 2" xfId="4925" xr:uid="{00000000-0005-0000-0000-000095390000}"/>
    <cellStyle name="Normal 2 3 2 8 2 2" xfId="10780" xr:uid="{00000000-0005-0000-0000-000096390000}"/>
    <cellStyle name="Normal 2 3 2 8 2 2 2" xfId="34265" xr:uid="{00000000-0005-0000-0000-000097390000}"/>
    <cellStyle name="Normal 2 3 2 8 2 2 3" xfId="24946" xr:uid="{00000000-0005-0000-0000-000098390000}"/>
    <cellStyle name="Normal 2 3 2 8 2 2 4" xfId="48208" xr:uid="{00000000-0005-0000-0000-000099390000}"/>
    <cellStyle name="Normal 2 3 2 8 2 3" xfId="15511" xr:uid="{00000000-0005-0000-0000-00009A390000}"/>
    <cellStyle name="Normal 2 3 2 8 2 3 2" xfId="29643" xr:uid="{00000000-0005-0000-0000-00009B390000}"/>
    <cellStyle name="Normal 2 3 2 8 2 3 3" xfId="43538" xr:uid="{00000000-0005-0000-0000-00009C390000}"/>
    <cellStyle name="Normal 2 3 2 8 2 4" xfId="20324" xr:uid="{00000000-0005-0000-0000-00009D390000}"/>
    <cellStyle name="Normal 2 3 2 8 2 5" xfId="38956" xr:uid="{00000000-0005-0000-0000-00009E390000}"/>
    <cellStyle name="Normal 2 3 2 8 3" xfId="10779" xr:uid="{00000000-0005-0000-0000-00009F390000}"/>
    <cellStyle name="Normal 2 3 2 8 3 2" xfId="34264" xr:uid="{00000000-0005-0000-0000-0000A0390000}"/>
    <cellStyle name="Normal 2 3 2 8 3 3" xfId="24945" xr:uid="{00000000-0005-0000-0000-0000A1390000}"/>
    <cellStyle name="Normal 2 3 2 8 3 4" xfId="48207" xr:uid="{00000000-0005-0000-0000-0000A2390000}"/>
    <cellStyle name="Normal 2 3 2 8 4" xfId="15510" xr:uid="{00000000-0005-0000-0000-0000A3390000}"/>
    <cellStyle name="Normal 2 3 2 8 4 2" xfId="29642" xr:uid="{00000000-0005-0000-0000-0000A4390000}"/>
    <cellStyle name="Normal 2 3 2 8 4 3" xfId="43537" xr:uid="{00000000-0005-0000-0000-0000A5390000}"/>
    <cellStyle name="Normal 2 3 2 8 5" xfId="20323" xr:uid="{00000000-0005-0000-0000-0000A6390000}"/>
    <cellStyle name="Normal 2 3 2 8 6" xfId="38955" xr:uid="{00000000-0005-0000-0000-0000A7390000}"/>
    <cellStyle name="Normal 2 3 2 9" xfId="4926" xr:uid="{00000000-0005-0000-0000-0000A8390000}"/>
    <cellStyle name="Normal 2 3 2 9 2" xfId="4927" xr:uid="{00000000-0005-0000-0000-0000A9390000}"/>
    <cellStyle name="Normal 2 3 2 9 2 2" xfId="10782" xr:uid="{00000000-0005-0000-0000-0000AA390000}"/>
    <cellStyle name="Normal 2 3 2 9 2 2 2" xfId="34267" xr:uid="{00000000-0005-0000-0000-0000AB390000}"/>
    <cellStyle name="Normal 2 3 2 9 2 2 3" xfId="24948" xr:uid="{00000000-0005-0000-0000-0000AC390000}"/>
    <cellStyle name="Normal 2 3 2 9 2 2 4" xfId="48210" xr:uid="{00000000-0005-0000-0000-0000AD390000}"/>
    <cellStyle name="Normal 2 3 2 9 2 3" xfId="15513" xr:uid="{00000000-0005-0000-0000-0000AE390000}"/>
    <cellStyle name="Normal 2 3 2 9 2 3 2" xfId="29645" xr:uid="{00000000-0005-0000-0000-0000AF390000}"/>
    <cellStyle name="Normal 2 3 2 9 2 3 3" xfId="43540" xr:uid="{00000000-0005-0000-0000-0000B0390000}"/>
    <cellStyle name="Normal 2 3 2 9 2 4" xfId="20326" xr:uid="{00000000-0005-0000-0000-0000B1390000}"/>
    <cellStyle name="Normal 2 3 2 9 2 5" xfId="38958" xr:uid="{00000000-0005-0000-0000-0000B2390000}"/>
    <cellStyle name="Normal 2 3 2 9 3" xfId="10781" xr:uid="{00000000-0005-0000-0000-0000B3390000}"/>
    <cellStyle name="Normal 2 3 2 9 3 2" xfId="34266" xr:uid="{00000000-0005-0000-0000-0000B4390000}"/>
    <cellStyle name="Normal 2 3 2 9 3 3" xfId="24947" xr:uid="{00000000-0005-0000-0000-0000B5390000}"/>
    <cellStyle name="Normal 2 3 2 9 3 4" xfId="48209" xr:uid="{00000000-0005-0000-0000-0000B6390000}"/>
    <cellStyle name="Normal 2 3 2 9 4" xfId="15512" xr:uid="{00000000-0005-0000-0000-0000B7390000}"/>
    <cellStyle name="Normal 2 3 2 9 4 2" xfId="29644" xr:uid="{00000000-0005-0000-0000-0000B8390000}"/>
    <cellStyle name="Normal 2 3 2 9 4 3" xfId="43539" xr:uid="{00000000-0005-0000-0000-0000B9390000}"/>
    <cellStyle name="Normal 2 3 2 9 5" xfId="20325" xr:uid="{00000000-0005-0000-0000-0000BA390000}"/>
    <cellStyle name="Normal 2 3 2 9 6" xfId="38957" xr:uid="{00000000-0005-0000-0000-0000BB390000}"/>
    <cellStyle name="Normal 2 3 20" xfId="4928" xr:uid="{00000000-0005-0000-0000-0000BC390000}"/>
    <cellStyle name="Normal 2 3 20 2" xfId="4929" xr:uid="{00000000-0005-0000-0000-0000BD390000}"/>
    <cellStyle name="Normal 2 3 20 2 2" xfId="10784" xr:uid="{00000000-0005-0000-0000-0000BE390000}"/>
    <cellStyle name="Normal 2 3 20 2 2 2" xfId="34269" xr:uid="{00000000-0005-0000-0000-0000BF390000}"/>
    <cellStyle name="Normal 2 3 20 2 2 3" xfId="24950" xr:uid="{00000000-0005-0000-0000-0000C0390000}"/>
    <cellStyle name="Normal 2 3 20 2 2 4" xfId="48212" xr:uid="{00000000-0005-0000-0000-0000C1390000}"/>
    <cellStyle name="Normal 2 3 20 2 3" xfId="15515" xr:uid="{00000000-0005-0000-0000-0000C2390000}"/>
    <cellStyle name="Normal 2 3 20 2 3 2" xfId="29647" xr:uid="{00000000-0005-0000-0000-0000C3390000}"/>
    <cellStyle name="Normal 2 3 20 2 3 3" xfId="43542" xr:uid="{00000000-0005-0000-0000-0000C4390000}"/>
    <cellStyle name="Normal 2 3 20 2 4" xfId="20328" xr:uid="{00000000-0005-0000-0000-0000C5390000}"/>
    <cellStyle name="Normal 2 3 20 2 5" xfId="38960" xr:uid="{00000000-0005-0000-0000-0000C6390000}"/>
    <cellStyle name="Normal 2 3 20 3" xfId="10783" xr:uid="{00000000-0005-0000-0000-0000C7390000}"/>
    <cellStyle name="Normal 2 3 20 3 2" xfId="34268" xr:uid="{00000000-0005-0000-0000-0000C8390000}"/>
    <cellStyle name="Normal 2 3 20 3 3" xfId="24949" xr:uid="{00000000-0005-0000-0000-0000C9390000}"/>
    <cellStyle name="Normal 2 3 20 3 4" xfId="48211" xr:uid="{00000000-0005-0000-0000-0000CA390000}"/>
    <cellStyle name="Normal 2 3 20 4" xfId="15514" xr:uid="{00000000-0005-0000-0000-0000CB390000}"/>
    <cellStyle name="Normal 2 3 20 4 2" xfId="29646" xr:uid="{00000000-0005-0000-0000-0000CC390000}"/>
    <cellStyle name="Normal 2 3 20 4 3" xfId="43541" xr:uid="{00000000-0005-0000-0000-0000CD390000}"/>
    <cellStyle name="Normal 2 3 20 5" xfId="20327" xr:uid="{00000000-0005-0000-0000-0000CE390000}"/>
    <cellStyle name="Normal 2 3 20 6" xfId="38959" xr:uid="{00000000-0005-0000-0000-0000CF390000}"/>
    <cellStyle name="Normal 2 3 21" xfId="4930" xr:uid="{00000000-0005-0000-0000-0000D0390000}"/>
    <cellStyle name="Normal 2 3 21 2" xfId="4931" xr:uid="{00000000-0005-0000-0000-0000D1390000}"/>
    <cellStyle name="Normal 2 3 21 2 2" xfId="10786" xr:uid="{00000000-0005-0000-0000-0000D2390000}"/>
    <cellStyle name="Normal 2 3 21 2 2 2" xfId="34271" xr:uid="{00000000-0005-0000-0000-0000D3390000}"/>
    <cellStyle name="Normal 2 3 21 2 2 3" xfId="24952" xr:uid="{00000000-0005-0000-0000-0000D4390000}"/>
    <cellStyle name="Normal 2 3 21 2 2 4" xfId="48214" xr:uid="{00000000-0005-0000-0000-0000D5390000}"/>
    <cellStyle name="Normal 2 3 21 2 3" xfId="15517" xr:uid="{00000000-0005-0000-0000-0000D6390000}"/>
    <cellStyle name="Normal 2 3 21 2 3 2" xfId="29649" xr:uid="{00000000-0005-0000-0000-0000D7390000}"/>
    <cellStyle name="Normal 2 3 21 2 3 3" xfId="43544" xr:uid="{00000000-0005-0000-0000-0000D8390000}"/>
    <cellStyle name="Normal 2 3 21 2 4" xfId="20330" xr:uid="{00000000-0005-0000-0000-0000D9390000}"/>
    <cellStyle name="Normal 2 3 21 2 5" xfId="38962" xr:uid="{00000000-0005-0000-0000-0000DA390000}"/>
    <cellStyle name="Normal 2 3 21 3" xfId="10785" xr:uid="{00000000-0005-0000-0000-0000DB390000}"/>
    <cellStyle name="Normal 2 3 21 3 2" xfId="34270" xr:uid="{00000000-0005-0000-0000-0000DC390000}"/>
    <cellStyle name="Normal 2 3 21 3 3" xfId="24951" xr:uid="{00000000-0005-0000-0000-0000DD390000}"/>
    <cellStyle name="Normal 2 3 21 3 4" xfId="48213" xr:uid="{00000000-0005-0000-0000-0000DE390000}"/>
    <cellStyle name="Normal 2 3 21 4" xfId="15516" xr:uid="{00000000-0005-0000-0000-0000DF390000}"/>
    <cellStyle name="Normal 2 3 21 4 2" xfId="29648" xr:uid="{00000000-0005-0000-0000-0000E0390000}"/>
    <cellStyle name="Normal 2 3 21 4 3" xfId="43543" xr:uid="{00000000-0005-0000-0000-0000E1390000}"/>
    <cellStyle name="Normal 2 3 21 5" xfId="20329" xr:uid="{00000000-0005-0000-0000-0000E2390000}"/>
    <cellStyle name="Normal 2 3 21 6" xfId="38961" xr:uid="{00000000-0005-0000-0000-0000E3390000}"/>
    <cellStyle name="Normal 2 3 22" xfId="4932" xr:uid="{00000000-0005-0000-0000-0000E4390000}"/>
    <cellStyle name="Normal 2 3 22 2" xfId="4933" xr:uid="{00000000-0005-0000-0000-0000E5390000}"/>
    <cellStyle name="Normal 2 3 22 2 2" xfId="10788" xr:uid="{00000000-0005-0000-0000-0000E6390000}"/>
    <cellStyle name="Normal 2 3 22 2 2 2" xfId="34273" xr:uid="{00000000-0005-0000-0000-0000E7390000}"/>
    <cellStyle name="Normal 2 3 22 2 2 3" xfId="24954" xr:uid="{00000000-0005-0000-0000-0000E8390000}"/>
    <cellStyle name="Normal 2 3 22 2 2 4" xfId="48216" xr:uid="{00000000-0005-0000-0000-0000E9390000}"/>
    <cellStyle name="Normal 2 3 22 2 3" xfId="15519" xr:uid="{00000000-0005-0000-0000-0000EA390000}"/>
    <cellStyle name="Normal 2 3 22 2 3 2" xfId="29651" xr:uid="{00000000-0005-0000-0000-0000EB390000}"/>
    <cellStyle name="Normal 2 3 22 2 3 3" xfId="43546" xr:uid="{00000000-0005-0000-0000-0000EC390000}"/>
    <cellStyle name="Normal 2 3 22 2 4" xfId="20332" xr:uid="{00000000-0005-0000-0000-0000ED390000}"/>
    <cellStyle name="Normal 2 3 22 2 5" xfId="38964" xr:uid="{00000000-0005-0000-0000-0000EE390000}"/>
    <cellStyle name="Normal 2 3 22 3" xfId="10787" xr:uid="{00000000-0005-0000-0000-0000EF390000}"/>
    <cellStyle name="Normal 2 3 22 3 2" xfId="34272" xr:uid="{00000000-0005-0000-0000-0000F0390000}"/>
    <cellStyle name="Normal 2 3 22 3 3" xfId="24953" xr:uid="{00000000-0005-0000-0000-0000F1390000}"/>
    <cellStyle name="Normal 2 3 22 3 4" xfId="48215" xr:uid="{00000000-0005-0000-0000-0000F2390000}"/>
    <cellStyle name="Normal 2 3 22 4" xfId="15518" xr:uid="{00000000-0005-0000-0000-0000F3390000}"/>
    <cellStyle name="Normal 2 3 22 4 2" xfId="29650" xr:uid="{00000000-0005-0000-0000-0000F4390000}"/>
    <cellStyle name="Normal 2 3 22 4 3" xfId="43545" xr:uid="{00000000-0005-0000-0000-0000F5390000}"/>
    <cellStyle name="Normal 2 3 22 5" xfId="20331" xr:uid="{00000000-0005-0000-0000-0000F6390000}"/>
    <cellStyle name="Normal 2 3 22 6" xfId="38963" xr:uid="{00000000-0005-0000-0000-0000F7390000}"/>
    <cellStyle name="Normal 2 3 23" xfId="4934" xr:uid="{00000000-0005-0000-0000-0000F8390000}"/>
    <cellStyle name="Normal 2 3 23 2" xfId="4935" xr:uid="{00000000-0005-0000-0000-0000F9390000}"/>
    <cellStyle name="Normal 2 3 23 2 2" xfId="10790" xr:uid="{00000000-0005-0000-0000-0000FA390000}"/>
    <cellStyle name="Normal 2 3 23 2 2 2" xfId="34275" xr:uid="{00000000-0005-0000-0000-0000FB390000}"/>
    <cellStyle name="Normal 2 3 23 2 2 3" xfId="24956" xr:uid="{00000000-0005-0000-0000-0000FC390000}"/>
    <cellStyle name="Normal 2 3 23 2 2 4" xfId="48218" xr:uid="{00000000-0005-0000-0000-0000FD390000}"/>
    <cellStyle name="Normal 2 3 23 2 3" xfId="15521" xr:uid="{00000000-0005-0000-0000-0000FE390000}"/>
    <cellStyle name="Normal 2 3 23 2 3 2" xfId="29653" xr:uid="{00000000-0005-0000-0000-0000FF390000}"/>
    <cellStyle name="Normal 2 3 23 2 3 3" xfId="43548" xr:uid="{00000000-0005-0000-0000-0000003A0000}"/>
    <cellStyle name="Normal 2 3 23 2 4" xfId="20334" xr:uid="{00000000-0005-0000-0000-0000013A0000}"/>
    <cellStyle name="Normal 2 3 23 2 5" xfId="38966" xr:uid="{00000000-0005-0000-0000-0000023A0000}"/>
    <cellStyle name="Normal 2 3 23 3" xfId="10789" xr:uid="{00000000-0005-0000-0000-0000033A0000}"/>
    <cellStyle name="Normal 2 3 23 3 2" xfId="34274" xr:uid="{00000000-0005-0000-0000-0000043A0000}"/>
    <cellStyle name="Normal 2 3 23 3 3" xfId="24955" xr:uid="{00000000-0005-0000-0000-0000053A0000}"/>
    <cellStyle name="Normal 2 3 23 3 4" xfId="48217" xr:uid="{00000000-0005-0000-0000-0000063A0000}"/>
    <cellStyle name="Normal 2 3 23 4" xfId="15520" xr:uid="{00000000-0005-0000-0000-0000073A0000}"/>
    <cellStyle name="Normal 2 3 23 4 2" xfId="29652" xr:uid="{00000000-0005-0000-0000-0000083A0000}"/>
    <cellStyle name="Normal 2 3 23 4 3" xfId="43547" xr:uid="{00000000-0005-0000-0000-0000093A0000}"/>
    <cellStyle name="Normal 2 3 23 5" xfId="20333" xr:uid="{00000000-0005-0000-0000-00000A3A0000}"/>
    <cellStyle name="Normal 2 3 23 6" xfId="38965" xr:uid="{00000000-0005-0000-0000-00000B3A0000}"/>
    <cellStyle name="Normal 2 3 24" xfId="4936" xr:uid="{00000000-0005-0000-0000-00000C3A0000}"/>
    <cellStyle name="Normal 2 3 24 2" xfId="4937" xr:uid="{00000000-0005-0000-0000-00000D3A0000}"/>
    <cellStyle name="Normal 2 3 24 2 2" xfId="10792" xr:uid="{00000000-0005-0000-0000-00000E3A0000}"/>
    <cellStyle name="Normal 2 3 24 2 2 2" xfId="34277" xr:uid="{00000000-0005-0000-0000-00000F3A0000}"/>
    <cellStyle name="Normal 2 3 24 2 2 3" xfId="24958" xr:uid="{00000000-0005-0000-0000-0000103A0000}"/>
    <cellStyle name="Normal 2 3 24 2 2 4" xfId="48220" xr:uid="{00000000-0005-0000-0000-0000113A0000}"/>
    <cellStyle name="Normal 2 3 24 2 3" xfId="15523" xr:uid="{00000000-0005-0000-0000-0000123A0000}"/>
    <cellStyle name="Normal 2 3 24 2 3 2" xfId="29655" xr:uid="{00000000-0005-0000-0000-0000133A0000}"/>
    <cellStyle name="Normal 2 3 24 2 3 3" xfId="43550" xr:uid="{00000000-0005-0000-0000-0000143A0000}"/>
    <cellStyle name="Normal 2 3 24 2 4" xfId="20336" xr:uid="{00000000-0005-0000-0000-0000153A0000}"/>
    <cellStyle name="Normal 2 3 24 2 5" xfId="38968" xr:uid="{00000000-0005-0000-0000-0000163A0000}"/>
    <cellStyle name="Normal 2 3 24 3" xfId="10791" xr:uid="{00000000-0005-0000-0000-0000173A0000}"/>
    <cellStyle name="Normal 2 3 24 3 2" xfId="34276" xr:uid="{00000000-0005-0000-0000-0000183A0000}"/>
    <cellStyle name="Normal 2 3 24 3 3" xfId="24957" xr:uid="{00000000-0005-0000-0000-0000193A0000}"/>
    <cellStyle name="Normal 2 3 24 3 4" xfId="48219" xr:uid="{00000000-0005-0000-0000-00001A3A0000}"/>
    <cellStyle name="Normal 2 3 24 4" xfId="15522" xr:uid="{00000000-0005-0000-0000-00001B3A0000}"/>
    <cellStyle name="Normal 2 3 24 4 2" xfId="29654" xr:uid="{00000000-0005-0000-0000-00001C3A0000}"/>
    <cellStyle name="Normal 2 3 24 4 3" xfId="43549" xr:uid="{00000000-0005-0000-0000-00001D3A0000}"/>
    <cellStyle name="Normal 2 3 24 5" xfId="20335" xr:uid="{00000000-0005-0000-0000-00001E3A0000}"/>
    <cellStyle name="Normal 2 3 24 6" xfId="38967" xr:uid="{00000000-0005-0000-0000-00001F3A0000}"/>
    <cellStyle name="Normal 2 3 25" xfId="4938" xr:uid="{00000000-0005-0000-0000-0000203A0000}"/>
    <cellStyle name="Normal 2 3 25 2" xfId="4939" xr:uid="{00000000-0005-0000-0000-0000213A0000}"/>
    <cellStyle name="Normal 2 3 25 2 2" xfId="10794" xr:uid="{00000000-0005-0000-0000-0000223A0000}"/>
    <cellStyle name="Normal 2 3 25 2 2 2" xfId="34279" xr:uid="{00000000-0005-0000-0000-0000233A0000}"/>
    <cellStyle name="Normal 2 3 25 2 2 3" xfId="24960" xr:uid="{00000000-0005-0000-0000-0000243A0000}"/>
    <cellStyle name="Normal 2 3 25 2 2 4" xfId="48222" xr:uid="{00000000-0005-0000-0000-0000253A0000}"/>
    <cellStyle name="Normal 2 3 25 2 3" xfId="15525" xr:uid="{00000000-0005-0000-0000-0000263A0000}"/>
    <cellStyle name="Normal 2 3 25 2 3 2" xfId="29657" xr:uid="{00000000-0005-0000-0000-0000273A0000}"/>
    <cellStyle name="Normal 2 3 25 2 3 3" xfId="43552" xr:uid="{00000000-0005-0000-0000-0000283A0000}"/>
    <cellStyle name="Normal 2 3 25 2 4" xfId="20338" xr:uid="{00000000-0005-0000-0000-0000293A0000}"/>
    <cellStyle name="Normal 2 3 25 2 5" xfId="38970" xr:uid="{00000000-0005-0000-0000-00002A3A0000}"/>
    <cellStyle name="Normal 2 3 25 3" xfId="10793" xr:uid="{00000000-0005-0000-0000-00002B3A0000}"/>
    <cellStyle name="Normal 2 3 25 3 2" xfId="34278" xr:uid="{00000000-0005-0000-0000-00002C3A0000}"/>
    <cellStyle name="Normal 2 3 25 3 3" xfId="24959" xr:uid="{00000000-0005-0000-0000-00002D3A0000}"/>
    <cellStyle name="Normal 2 3 25 3 4" xfId="48221" xr:uid="{00000000-0005-0000-0000-00002E3A0000}"/>
    <cellStyle name="Normal 2 3 25 4" xfId="15524" xr:uid="{00000000-0005-0000-0000-00002F3A0000}"/>
    <cellStyle name="Normal 2 3 25 4 2" xfId="29656" xr:uid="{00000000-0005-0000-0000-0000303A0000}"/>
    <cellStyle name="Normal 2 3 25 4 3" xfId="43551" xr:uid="{00000000-0005-0000-0000-0000313A0000}"/>
    <cellStyle name="Normal 2 3 25 5" xfId="20337" xr:uid="{00000000-0005-0000-0000-0000323A0000}"/>
    <cellStyle name="Normal 2 3 25 6" xfId="38969" xr:uid="{00000000-0005-0000-0000-0000333A0000}"/>
    <cellStyle name="Normal 2 3 26" xfId="4940" xr:uid="{00000000-0005-0000-0000-0000343A0000}"/>
    <cellStyle name="Normal 2 3 26 2" xfId="4941" xr:uid="{00000000-0005-0000-0000-0000353A0000}"/>
    <cellStyle name="Normal 2 3 26 2 2" xfId="10796" xr:uid="{00000000-0005-0000-0000-0000363A0000}"/>
    <cellStyle name="Normal 2 3 26 2 2 2" xfId="34281" xr:uid="{00000000-0005-0000-0000-0000373A0000}"/>
    <cellStyle name="Normal 2 3 26 2 2 3" xfId="24962" xr:uid="{00000000-0005-0000-0000-0000383A0000}"/>
    <cellStyle name="Normal 2 3 26 2 2 4" xfId="48224" xr:uid="{00000000-0005-0000-0000-0000393A0000}"/>
    <cellStyle name="Normal 2 3 26 2 3" xfId="15527" xr:uid="{00000000-0005-0000-0000-00003A3A0000}"/>
    <cellStyle name="Normal 2 3 26 2 3 2" xfId="29659" xr:uid="{00000000-0005-0000-0000-00003B3A0000}"/>
    <cellStyle name="Normal 2 3 26 2 3 3" xfId="43554" xr:uid="{00000000-0005-0000-0000-00003C3A0000}"/>
    <cellStyle name="Normal 2 3 26 2 4" xfId="20340" xr:uid="{00000000-0005-0000-0000-00003D3A0000}"/>
    <cellStyle name="Normal 2 3 26 2 5" xfId="38972" xr:uid="{00000000-0005-0000-0000-00003E3A0000}"/>
    <cellStyle name="Normal 2 3 26 3" xfId="10795" xr:uid="{00000000-0005-0000-0000-00003F3A0000}"/>
    <cellStyle name="Normal 2 3 26 3 2" xfId="34280" xr:uid="{00000000-0005-0000-0000-0000403A0000}"/>
    <cellStyle name="Normal 2 3 26 3 3" xfId="24961" xr:uid="{00000000-0005-0000-0000-0000413A0000}"/>
    <cellStyle name="Normal 2 3 26 3 4" xfId="48223" xr:uid="{00000000-0005-0000-0000-0000423A0000}"/>
    <cellStyle name="Normal 2 3 26 4" xfId="15526" xr:uid="{00000000-0005-0000-0000-0000433A0000}"/>
    <cellStyle name="Normal 2 3 26 4 2" xfId="29658" xr:uid="{00000000-0005-0000-0000-0000443A0000}"/>
    <cellStyle name="Normal 2 3 26 4 3" xfId="43553" xr:uid="{00000000-0005-0000-0000-0000453A0000}"/>
    <cellStyle name="Normal 2 3 26 5" xfId="20339" xr:uid="{00000000-0005-0000-0000-0000463A0000}"/>
    <cellStyle name="Normal 2 3 26 6" xfId="38971" xr:uid="{00000000-0005-0000-0000-0000473A0000}"/>
    <cellStyle name="Normal 2 3 27" xfId="4942" xr:uid="{00000000-0005-0000-0000-0000483A0000}"/>
    <cellStyle name="Normal 2 3 27 2" xfId="10797" xr:uid="{00000000-0005-0000-0000-0000493A0000}"/>
    <cellStyle name="Normal 2 3 27 2 2" xfId="34282" xr:uid="{00000000-0005-0000-0000-00004A3A0000}"/>
    <cellStyle name="Normal 2 3 27 2 3" xfId="24963" xr:uid="{00000000-0005-0000-0000-00004B3A0000}"/>
    <cellStyle name="Normal 2 3 27 2 4" xfId="48225" xr:uid="{00000000-0005-0000-0000-00004C3A0000}"/>
    <cellStyle name="Normal 2 3 27 3" xfId="15528" xr:uid="{00000000-0005-0000-0000-00004D3A0000}"/>
    <cellStyle name="Normal 2 3 27 3 2" xfId="29660" xr:uid="{00000000-0005-0000-0000-00004E3A0000}"/>
    <cellStyle name="Normal 2 3 27 3 3" xfId="43555" xr:uid="{00000000-0005-0000-0000-00004F3A0000}"/>
    <cellStyle name="Normal 2 3 27 4" xfId="20341" xr:uid="{00000000-0005-0000-0000-0000503A0000}"/>
    <cellStyle name="Normal 2 3 27 5" xfId="38973" xr:uid="{00000000-0005-0000-0000-0000513A0000}"/>
    <cellStyle name="Normal 2 3 28" xfId="4943" xr:uid="{00000000-0005-0000-0000-0000523A0000}"/>
    <cellStyle name="Normal 2 3 28 2" xfId="10798" xr:uid="{00000000-0005-0000-0000-0000533A0000}"/>
    <cellStyle name="Normal 2 3 28 2 2" xfId="34283" xr:uid="{00000000-0005-0000-0000-0000543A0000}"/>
    <cellStyle name="Normal 2 3 28 2 3" xfId="24964" xr:uid="{00000000-0005-0000-0000-0000553A0000}"/>
    <cellStyle name="Normal 2 3 28 2 4" xfId="48226" xr:uid="{00000000-0005-0000-0000-0000563A0000}"/>
    <cellStyle name="Normal 2 3 28 3" xfId="15529" xr:uid="{00000000-0005-0000-0000-0000573A0000}"/>
    <cellStyle name="Normal 2 3 28 3 2" xfId="29661" xr:uid="{00000000-0005-0000-0000-0000583A0000}"/>
    <cellStyle name="Normal 2 3 28 3 3" xfId="43556" xr:uid="{00000000-0005-0000-0000-0000593A0000}"/>
    <cellStyle name="Normal 2 3 28 4" xfId="20342" xr:uid="{00000000-0005-0000-0000-00005A3A0000}"/>
    <cellStyle name="Normal 2 3 28 5" xfId="38974" xr:uid="{00000000-0005-0000-0000-00005B3A0000}"/>
    <cellStyle name="Normal 2 3 29" xfId="4944" xr:uid="{00000000-0005-0000-0000-00005C3A0000}"/>
    <cellStyle name="Normal 2 3 29 2" xfId="10799" xr:uid="{00000000-0005-0000-0000-00005D3A0000}"/>
    <cellStyle name="Normal 2 3 29 2 2" xfId="34284" xr:uid="{00000000-0005-0000-0000-00005E3A0000}"/>
    <cellStyle name="Normal 2 3 29 2 3" xfId="24965" xr:uid="{00000000-0005-0000-0000-00005F3A0000}"/>
    <cellStyle name="Normal 2 3 29 2 4" xfId="48227" xr:uid="{00000000-0005-0000-0000-0000603A0000}"/>
    <cellStyle name="Normal 2 3 29 3" xfId="15530" xr:uid="{00000000-0005-0000-0000-0000613A0000}"/>
    <cellStyle name="Normal 2 3 29 3 2" xfId="29662" xr:uid="{00000000-0005-0000-0000-0000623A0000}"/>
    <cellStyle name="Normal 2 3 29 3 3" xfId="43557" xr:uid="{00000000-0005-0000-0000-0000633A0000}"/>
    <cellStyle name="Normal 2 3 29 4" xfId="20343" xr:uid="{00000000-0005-0000-0000-0000643A0000}"/>
    <cellStyle name="Normal 2 3 29 5" xfId="38975" xr:uid="{00000000-0005-0000-0000-0000653A0000}"/>
    <cellStyle name="Normal 2 3 3" xfId="4945" xr:uid="{00000000-0005-0000-0000-0000663A0000}"/>
    <cellStyle name="Normal 2 3 3 10" xfId="4946" xr:uid="{00000000-0005-0000-0000-0000673A0000}"/>
    <cellStyle name="Normal 2 3 3 10 2" xfId="4947" xr:uid="{00000000-0005-0000-0000-0000683A0000}"/>
    <cellStyle name="Normal 2 3 3 10 2 2" xfId="10802" xr:uid="{00000000-0005-0000-0000-0000693A0000}"/>
    <cellStyle name="Normal 2 3 3 10 2 2 2" xfId="34287" xr:uid="{00000000-0005-0000-0000-00006A3A0000}"/>
    <cellStyle name="Normal 2 3 3 10 2 2 3" xfId="24968" xr:uid="{00000000-0005-0000-0000-00006B3A0000}"/>
    <cellStyle name="Normal 2 3 3 10 2 2 4" xfId="48230" xr:uid="{00000000-0005-0000-0000-00006C3A0000}"/>
    <cellStyle name="Normal 2 3 3 10 2 3" xfId="15533" xr:uid="{00000000-0005-0000-0000-00006D3A0000}"/>
    <cellStyle name="Normal 2 3 3 10 2 3 2" xfId="29665" xr:uid="{00000000-0005-0000-0000-00006E3A0000}"/>
    <cellStyle name="Normal 2 3 3 10 2 3 3" xfId="43560" xr:uid="{00000000-0005-0000-0000-00006F3A0000}"/>
    <cellStyle name="Normal 2 3 3 10 2 4" xfId="20346" xr:uid="{00000000-0005-0000-0000-0000703A0000}"/>
    <cellStyle name="Normal 2 3 3 10 2 5" xfId="38978" xr:uid="{00000000-0005-0000-0000-0000713A0000}"/>
    <cellStyle name="Normal 2 3 3 10 3" xfId="10801" xr:uid="{00000000-0005-0000-0000-0000723A0000}"/>
    <cellStyle name="Normal 2 3 3 10 3 2" xfId="34286" xr:uid="{00000000-0005-0000-0000-0000733A0000}"/>
    <cellStyle name="Normal 2 3 3 10 3 3" xfId="24967" xr:uid="{00000000-0005-0000-0000-0000743A0000}"/>
    <cellStyle name="Normal 2 3 3 10 3 4" xfId="48229" xr:uid="{00000000-0005-0000-0000-0000753A0000}"/>
    <cellStyle name="Normal 2 3 3 10 4" xfId="15532" xr:uid="{00000000-0005-0000-0000-0000763A0000}"/>
    <cellStyle name="Normal 2 3 3 10 4 2" xfId="29664" xr:uid="{00000000-0005-0000-0000-0000773A0000}"/>
    <cellStyle name="Normal 2 3 3 10 4 3" xfId="43559" xr:uid="{00000000-0005-0000-0000-0000783A0000}"/>
    <cellStyle name="Normal 2 3 3 10 5" xfId="20345" xr:uid="{00000000-0005-0000-0000-0000793A0000}"/>
    <cellStyle name="Normal 2 3 3 10 6" xfId="38977" xr:uid="{00000000-0005-0000-0000-00007A3A0000}"/>
    <cellStyle name="Normal 2 3 3 11" xfId="4948" xr:uid="{00000000-0005-0000-0000-00007B3A0000}"/>
    <cellStyle name="Normal 2 3 3 11 2" xfId="10803" xr:uid="{00000000-0005-0000-0000-00007C3A0000}"/>
    <cellStyle name="Normal 2 3 3 11 2 2" xfId="34288" xr:uid="{00000000-0005-0000-0000-00007D3A0000}"/>
    <cellStyle name="Normal 2 3 3 11 2 3" xfId="24969" xr:uid="{00000000-0005-0000-0000-00007E3A0000}"/>
    <cellStyle name="Normal 2 3 3 11 2 4" xfId="48231" xr:uid="{00000000-0005-0000-0000-00007F3A0000}"/>
    <cellStyle name="Normal 2 3 3 11 3" xfId="15534" xr:uid="{00000000-0005-0000-0000-0000803A0000}"/>
    <cellStyle name="Normal 2 3 3 11 3 2" xfId="29666" xr:uid="{00000000-0005-0000-0000-0000813A0000}"/>
    <cellStyle name="Normal 2 3 3 11 3 3" xfId="43561" xr:uid="{00000000-0005-0000-0000-0000823A0000}"/>
    <cellStyle name="Normal 2 3 3 11 4" xfId="20347" xr:uid="{00000000-0005-0000-0000-0000833A0000}"/>
    <cellStyle name="Normal 2 3 3 11 5" xfId="38979" xr:uid="{00000000-0005-0000-0000-0000843A0000}"/>
    <cellStyle name="Normal 2 3 3 12" xfId="10800" xr:uid="{00000000-0005-0000-0000-0000853A0000}"/>
    <cellStyle name="Normal 2 3 3 12 2" xfId="34285" xr:uid="{00000000-0005-0000-0000-0000863A0000}"/>
    <cellStyle name="Normal 2 3 3 12 3" xfId="24966" xr:uid="{00000000-0005-0000-0000-0000873A0000}"/>
    <cellStyle name="Normal 2 3 3 12 4" xfId="48228" xr:uid="{00000000-0005-0000-0000-0000883A0000}"/>
    <cellStyle name="Normal 2 3 3 13" xfId="15531" xr:uid="{00000000-0005-0000-0000-0000893A0000}"/>
    <cellStyle name="Normal 2 3 3 13 2" xfId="29663" xr:uid="{00000000-0005-0000-0000-00008A3A0000}"/>
    <cellStyle name="Normal 2 3 3 13 3" xfId="43558" xr:uid="{00000000-0005-0000-0000-00008B3A0000}"/>
    <cellStyle name="Normal 2 3 3 14" xfId="20344" xr:uid="{00000000-0005-0000-0000-00008C3A0000}"/>
    <cellStyle name="Normal 2 3 3 15" xfId="38976" xr:uid="{00000000-0005-0000-0000-00008D3A0000}"/>
    <cellStyle name="Normal 2 3 3 2" xfId="4949" xr:uid="{00000000-0005-0000-0000-00008E3A0000}"/>
    <cellStyle name="Normal 2 3 3 2 2" xfId="4950" xr:uid="{00000000-0005-0000-0000-00008F3A0000}"/>
    <cellStyle name="Normal 2 3 3 2 2 2" xfId="10805" xr:uid="{00000000-0005-0000-0000-0000903A0000}"/>
    <cellStyle name="Normal 2 3 3 2 2 2 2" xfId="34290" xr:uid="{00000000-0005-0000-0000-0000913A0000}"/>
    <cellStyle name="Normal 2 3 3 2 2 2 3" xfId="24971" xr:uid="{00000000-0005-0000-0000-0000923A0000}"/>
    <cellStyle name="Normal 2 3 3 2 2 2 4" xfId="48233" xr:uid="{00000000-0005-0000-0000-0000933A0000}"/>
    <cellStyle name="Normal 2 3 3 2 2 3" xfId="15536" xr:uid="{00000000-0005-0000-0000-0000943A0000}"/>
    <cellStyle name="Normal 2 3 3 2 2 3 2" xfId="29668" xr:uid="{00000000-0005-0000-0000-0000953A0000}"/>
    <cellStyle name="Normal 2 3 3 2 2 3 3" xfId="43563" xr:uid="{00000000-0005-0000-0000-0000963A0000}"/>
    <cellStyle name="Normal 2 3 3 2 2 4" xfId="20349" xr:uid="{00000000-0005-0000-0000-0000973A0000}"/>
    <cellStyle name="Normal 2 3 3 2 2 5" xfId="38981" xr:uid="{00000000-0005-0000-0000-0000983A0000}"/>
    <cellStyle name="Normal 2 3 3 2 3" xfId="10804" xr:uid="{00000000-0005-0000-0000-0000993A0000}"/>
    <cellStyle name="Normal 2 3 3 2 3 2" xfId="34289" xr:uid="{00000000-0005-0000-0000-00009A3A0000}"/>
    <cellStyle name="Normal 2 3 3 2 3 3" xfId="24970" xr:uid="{00000000-0005-0000-0000-00009B3A0000}"/>
    <cellStyle name="Normal 2 3 3 2 3 4" xfId="48232" xr:uid="{00000000-0005-0000-0000-00009C3A0000}"/>
    <cellStyle name="Normal 2 3 3 2 4" xfId="15535" xr:uid="{00000000-0005-0000-0000-00009D3A0000}"/>
    <cellStyle name="Normal 2 3 3 2 4 2" xfId="29667" xr:uid="{00000000-0005-0000-0000-00009E3A0000}"/>
    <cellStyle name="Normal 2 3 3 2 4 3" xfId="43562" xr:uid="{00000000-0005-0000-0000-00009F3A0000}"/>
    <cellStyle name="Normal 2 3 3 2 5" xfId="20348" xr:uid="{00000000-0005-0000-0000-0000A03A0000}"/>
    <cellStyle name="Normal 2 3 3 2 6" xfId="38980" xr:uid="{00000000-0005-0000-0000-0000A13A0000}"/>
    <cellStyle name="Normal 2 3 3 3" xfId="4951" xr:uid="{00000000-0005-0000-0000-0000A23A0000}"/>
    <cellStyle name="Normal 2 3 3 3 2" xfId="4952" xr:uid="{00000000-0005-0000-0000-0000A33A0000}"/>
    <cellStyle name="Normal 2 3 3 3 2 2" xfId="10807" xr:uid="{00000000-0005-0000-0000-0000A43A0000}"/>
    <cellStyle name="Normal 2 3 3 3 2 2 2" xfId="34292" xr:uid="{00000000-0005-0000-0000-0000A53A0000}"/>
    <cellStyle name="Normal 2 3 3 3 2 2 3" xfId="24973" xr:uid="{00000000-0005-0000-0000-0000A63A0000}"/>
    <cellStyle name="Normal 2 3 3 3 2 2 4" xfId="48235" xr:uid="{00000000-0005-0000-0000-0000A73A0000}"/>
    <cellStyle name="Normal 2 3 3 3 2 3" xfId="15538" xr:uid="{00000000-0005-0000-0000-0000A83A0000}"/>
    <cellStyle name="Normal 2 3 3 3 2 3 2" xfId="29670" xr:uid="{00000000-0005-0000-0000-0000A93A0000}"/>
    <cellStyle name="Normal 2 3 3 3 2 3 3" xfId="43565" xr:uid="{00000000-0005-0000-0000-0000AA3A0000}"/>
    <cellStyle name="Normal 2 3 3 3 2 4" xfId="20351" xr:uid="{00000000-0005-0000-0000-0000AB3A0000}"/>
    <cellStyle name="Normal 2 3 3 3 2 5" xfId="38983" xr:uid="{00000000-0005-0000-0000-0000AC3A0000}"/>
    <cellStyle name="Normal 2 3 3 3 3" xfId="10806" xr:uid="{00000000-0005-0000-0000-0000AD3A0000}"/>
    <cellStyle name="Normal 2 3 3 3 3 2" xfId="34291" xr:uid="{00000000-0005-0000-0000-0000AE3A0000}"/>
    <cellStyle name="Normal 2 3 3 3 3 3" xfId="24972" xr:uid="{00000000-0005-0000-0000-0000AF3A0000}"/>
    <cellStyle name="Normal 2 3 3 3 3 4" xfId="48234" xr:uid="{00000000-0005-0000-0000-0000B03A0000}"/>
    <cellStyle name="Normal 2 3 3 3 4" xfId="15537" xr:uid="{00000000-0005-0000-0000-0000B13A0000}"/>
    <cellStyle name="Normal 2 3 3 3 4 2" xfId="29669" xr:uid="{00000000-0005-0000-0000-0000B23A0000}"/>
    <cellStyle name="Normal 2 3 3 3 4 3" xfId="43564" xr:uid="{00000000-0005-0000-0000-0000B33A0000}"/>
    <cellStyle name="Normal 2 3 3 3 5" xfId="20350" xr:uid="{00000000-0005-0000-0000-0000B43A0000}"/>
    <cellStyle name="Normal 2 3 3 3 6" xfId="38982" xr:uid="{00000000-0005-0000-0000-0000B53A0000}"/>
    <cellStyle name="Normal 2 3 3 4" xfId="4953" xr:uid="{00000000-0005-0000-0000-0000B63A0000}"/>
    <cellStyle name="Normal 2 3 3 4 2" xfId="4954" xr:uid="{00000000-0005-0000-0000-0000B73A0000}"/>
    <cellStyle name="Normal 2 3 3 4 2 2" xfId="10809" xr:uid="{00000000-0005-0000-0000-0000B83A0000}"/>
    <cellStyle name="Normal 2 3 3 4 2 2 2" xfId="34294" xr:uid="{00000000-0005-0000-0000-0000B93A0000}"/>
    <cellStyle name="Normal 2 3 3 4 2 2 3" xfId="24975" xr:uid="{00000000-0005-0000-0000-0000BA3A0000}"/>
    <cellStyle name="Normal 2 3 3 4 2 2 4" xfId="48237" xr:uid="{00000000-0005-0000-0000-0000BB3A0000}"/>
    <cellStyle name="Normal 2 3 3 4 2 3" xfId="15540" xr:uid="{00000000-0005-0000-0000-0000BC3A0000}"/>
    <cellStyle name="Normal 2 3 3 4 2 3 2" xfId="29672" xr:uid="{00000000-0005-0000-0000-0000BD3A0000}"/>
    <cellStyle name="Normal 2 3 3 4 2 3 3" xfId="43567" xr:uid="{00000000-0005-0000-0000-0000BE3A0000}"/>
    <cellStyle name="Normal 2 3 3 4 2 4" xfId="20353" xr:uid="{00000000-0005-0000-0000-0000BF3A0000}"/>
    <cellStyle name="Normal 2 3 3 4 2 5" xfId="38985" xr:uid="{00000000-0005-0000-0000-0000C03A0000}"/>
    <cellStyle name="Normal 2 3 3 4 3" xfId="10808" xr:uid="{00000000-0005-0000-0000-0000C13A0000}"/>
    <cellStyle name="Normal 2 3 3 4 3 2" xfId="34293" xr:uid="{00000000-0005-0000-0000-0000C23A0000}"/>
    <cellStyle name="Normal 2 3 3 4 3 3" xfId="24974" xr:uid="{00000000-0005-0000-0000-0000C33A0000}"/>
    <cellStyle name="Normal 2 3 3 4 3 4" xfId="48236" xr:uid="{00000000-0005-0000-0000-0000C43A0000}"/>
    <cellStyle name="Normal 2 3 3 4 4" xfId="15539" xr:uid="{00000000-0005-0000-0000-0000C53A0000}"/>
    <cellStyle name="Normal 2 3 3 4 4 2" xfId="29671" xr:uid="{00000000-0005-0000-0000-0000C63A0000}"/>
    <cellStyle name="Normal 2 3 3 4 4 3" xfId="43566" xr:uid="{00000000-0005-0000-0000-0000C73A0000}"/>
    <cellStyle name="Normal 2 3 3 4 5" xfId="20352" xr:uid="{00000000-0005-0000-0000-0000C83A0000}"/>
    <cellStyle name="Normal 2 3 3 4 6" xfId="38984" xr:uid="{00000000-0005-0000-0000-0000C93A0000}"/>
    <cellStyle name="Normal 2 3 3 5" xfId="4955" xr:uid="{00000000-0005-0000-0000-0000CA3A0000}"/>
    <cellStyle name="Normal 2 3 3 5 2" xfId="4956" xr:uid="{00000000-0005-0000-0000-0000CB3A0000}"/>
    <cellStyle name="Normal 2 3 3 5 2 2" xfId="10811" xr:uid="{00000000-0005-0000-0000-0000CC3A0000}"/>
    <cellStyle name="Normal 2 3 3 5 2 2 2" xfId="34296" xr:uid="{00000000-0005-0000-0000-0000CD3A0000}"/>
    <cellStyle name="Normal 2 3 3 5 2 2 3" xfId="24977" xr:uid="{00000000-0005-0000-0000-0000CE3A0000}"/>
    <cellStyle name="Normal 2 3 3 5 2 2 4" xfId="48239" xr:uid="{00000000-0005-0000-0000-0000CF3A0000}"/>
    <cellStyle name="Normal 2 3 3 5 2 3" xfId="15542" xr:uid="{00000000-0005-0000-0000-0000D03A0000}"/>
    <cellStyle name="Normal 2 3 3 5 2 3 2" xfId="29674" xr:uid="{00000000-0005-0000-0000-0000D13A0000}"/>
    <cellStyle name="Normal 2 3 3 5 2 3 3" xfId="43569" xr:uid="{00000000-0005-0000-0000-0000D23A0000}"/>
    <cellStyle name="Normal 2 3 3 5 2 4" xfId="20355" xr:uid="{00000000-0005-0000-0000-0000D33A0000}"/>
    <cellStyle name="Normal 2 3 3 5 2 5" xfId="38987" xr:uid="{00000000-0005-0000-0000-0000D43A0000}"/>
    <cellStyle name="Normal 2 3 3 5 3" xfId="10810" xr:uid="{00000000-0005-0000-0000-0000D53A0000}"/>
    <cellStyle name="Normal 2 3 3 5 3 2" xfId="34295" xr:uid="{00000000-0005-0000-0000-0000D63A0000}"/>
    <cellStyle name="Normal 2 3 3 5 3 3" xfId="24976" xr:uid="{00000000-0005-0000-0000-0000D73A0000}"/>
    <cellStyle name="Normal 2 3 3 5 3 4" xfId="48238" xr:uid="{00000000-0005-0000-0000-0000D83A0000}"/>
    <cellStyle name="Normal 2 3 3 5 4" xfId="15541" xr:uid="{00000000-0005-0000-0000-0000D93A0000}"/>
    <cellStyle name="Normal 2 3 3 5 4 2" xfId="29673" xr:uid="{00000000-0005-0000-0000-0000DA3A0000}"/>
    <cellStyle name="Normal 2 3 3 5 4 3" xfId="43568" xr:uid="{00000000-0005-0000-0000-0000DB3A0000}"/>
    <cellStyle name="Normal 2 3 3 5 5" xfId="20354" xr:uid="{00000000-0005-0000-0000-0000DC3A0000}"/>
    <cellStyle name="Normal 2 3 3 5 6" xfId="38986" xr:uid="{00000000-0005-0000-0000-0000DD3A0000}"/>
    <cellStyle name="Normal 2 3 3 6" xfId="4957" xr:uid="{00000000-0005-0000-0000-0000DE3A0000}"/>
    <cellStyle name="Normal 2 3 3 6 2" xfId="4958" xr:uid="{00000000-0005-0000-0000-0000DF3A0000}"/>
    <cellStyle name="Normal 2 3 3 6 2 2" xfId="10813" xr:uid="{00000000-0005-0000-0000-0000E03A0000}"/>
    <cellStyle name="Normal 2 3 3 6 2 2 2" xfId="34298" xr:uid="{00000000-0005-0000-0000-0000E13A0000}"/>
    <cellStyle name="Normal 2 3 3 6 2 2 3" xfId="24979" xr:uid="{00000000-0005-0000-0000-0000E23A0000}"/>
    <cellStyle name="Normal 2 3 3 6 2 2 4" xfId="48241" xr:uid="{00000000-0005-0000-0000-0000E33A0000}"/>
    <cellStyle name="Normal 2 3 3 6 2 3" xfId="15544" xr:uid="{00000000-0005-0000-0000-0000E43A0000}"/>
    <cellStyle name="Normal 2 3 3 6 2 3 2" xfId="29676" xr:uid="{00000000-0005-0000-0000-0000E53A0000}"/>
    <cellStyle name="Normal 2 3 3 6 2 3 3" xfId="43571" xr:uid="{00000000-0005-0000-0000-0000E63A0000}"/>
    <cellStyle name="Normal 2 3 3 6 2 4" xfId="20357" xr:uid="{00000000-0005-0000-0000-0000E73A0000}"/>
    <cellStyle name="Normal 2 3 3 6 2 5" xfId="38989" xr:uid="{00000000-0005-0000-0000-0000E83A0000}"/>
    <cellStyle name="Normal 2 3 3 6 3" xfId="10812" xr:uid="{00000000-0005-0000-0000-0000E93A0000}"/>
    <cellStyle name="Normal 2 3 3 6 3 2" xfId="34297" xr:uid="{00000000-0005-0000-0000-0000EA3A0000}"/>
    <cellStyle name="Normal 2 3 3 6 3 3" xfId="24978" xr:uid="{00000000-0005-0000-0000-0000EB3A0000}"/>
    <cellStyle name="Normal 2 3 3 6 3 4" xfId="48240" xr:uid="{00000000-0005-0000-0000-0000EC3A0000}"/>
    <cellStyle name="Normal 2 3 3 6 4" xfId="15543" xr:uid="{00000000-0005-0000-0000-0000ED3A0000}"/>
    <cellStyle name="Normal 2 3 3 6 4 2" xfId="29675" xr:uid="{00000000-0005-0000-0000-0000EE3A0000}"/>
    <cellStyle name="Normal 2 3 3 6 4 3" xfId="43570" xr:uid="{00000000-0005-0000-0000-0000EF3A0000}"/>
    <cellStyle name="Normal 2 3 3 6 5" xfId="20356" xr:uid="{00000000-0005-0000-0000-0000F03A0000}"/>
    <cellStyle name="Normal 2 3 3 6 6" xfId="38988" xr:uid="{00000000-0005-0000-0000-0000F13A0000}"/>
    <cellStyle name="Normal 2 3 3 7" xfId="4959" xr:uid="{00000000-0005-0000-0000-0000F23A0000}"/>
    <cellStyle name="Normal 2 3 3 7 2" xfId="4960" xr:uid="{00000000-0005-0000-0000-0000F33A0000}"/>
    <cellStyle name="Normal 2 3 3 7 2 2" xfId="10815" xr:uid="{00000000-0005-0000-0000-0000F43A0000}"/>
    <cellStyle name="Normal 2 3 3 7 2 2 2" xfId="34300" xr:uid="{00000000-0005-0000-0000-0000F53A0000}"/>
    <cellStyle name="Normal 2 3 3 7 2 2 3" xfId="24981" xr:uid="{00000000-0005-0000-0000-0000F63A0000}"/>
    <cellStyle name="Normal 2 3 3 7 2 2 4" xfId="48243" xr:uid="{00000000-0005-0000-0000-0000F73A0000}"/>
    <cellStyle name="Normal 2 3 3 7 2 3" xfId="15546" xr:uid="{00000000-0005-0000-0000-0000F83A0000}"/>
    <cellStyle name="Normal 2 3 3 7 2 3 2" xfId="29678" xr:uid="{00000000-0005-0000-0000-0000F93A0000}"/>
    <cellStyle name="Normal 2 3 3 7 2 3 3" xfId="43573" xr:uid="{00000000-0005-0000-0000-0000FA3A0000}"/>
    <cellStyle name="Normal 2 3 3 7 2 4" xfId="20359" xr:uid="{00000000-0005-0000-0000-0000FB3A0000}"/>
    <cellStyle name="Normal 2 3 3 7 2 5" xfId="38991" xr:uid="{00000000-0005-0000-0000-0000FC3A0000}"/>
    <cellStyle name="Normal 2 3 3 7 3" xfId="10814" xr:uid="{00000000-0005-0000-0000-0000FD3A0000}"/>
    <cellStyle name="Normal 2 3 3 7 3 2" xfId="34299" xr:uid="{00000000-0005-0000-0000-0000FE3A0000}"/>
    <cellStyle name="Normal 2 3 3 7 3 3" xfId="24980" xr:uid="{00000000-0005-0000-0000-0000FF3A0000}"/>
    <cellStyle name="Normal 2 3 3 7 3 4" xfId="48242" xr:uid="{00000000-0005-0000-0000-0000003B0000}"/>
    <cellStyle name="Normal 2 3 3 7 4" xfId="15545" xr:uid="{00000000-0005-0000-0000-0000013B0000}"/>
    <cellStyle name="Normal 2 3 3 7 4 2" xfId="29677" xr:uid="{00000000-0005-0000-0000-0000023B0000}"/>
    <cellStyle name="Normal 2 3 3 7 4 3" xfId="43572" xr:uid="{00000000-0005-0000-0000-0000033B0000}"/>
    <cellStyle name="Normal 2 3 3 7 5" xfId="20358" xr:uid="{00000000-0005-0000-0000-0000043B0000}"/>
    <cellStyle name="Normal 2 3 3 7 6" xfId="38990" xr:uid="{00000000-0005-0000-0000-0000053B0000}"/>
    <cellStyle name="Normal 2 3 3 8" xfId="4961" xr:uid="{00000000-0005-0000-0000-0000063B0000}"/>
    <cellStyle name="Normal 2 3 3 8 2" xfId="4962" xr:uid="{00000000-0005-0000-0000-0000073B0000}"/>
    <cellStyle name="Normal 2 3 3 8 2 2" xfId="10817" xr:uid="{00000000-0005-0000-0000-0000083B0000}"/>
    <cellStyle name="Normal 2 3 3 8 2 2 2" xfId="34302" xr:uid="{00000000-0005-0000-0000-0000093B0000}"/>
    <cellStyle name="Normal 2 3 3 8 2 2 3" xfId="24983" xr:uid="{00000000-0005-0000-0000-00000A3B0000}"/>
    <cellStyle name="Normal 2 3 3 8 2 2 4" xfId="48245" xr:uid="{00000000-0005-0000-0000-00000B3B0000}"/>
    <cellStyle name="Normal 2 3 3 8 2 3" xfId="15548" xr:uid="{00000000-0005-0000-0000-00000C3B0000}"/>
    <cellStyle name="Normal 2 3 3 8 2 3 2" xfId="29680" xr:uid="{00000000-0005-0000-0000-00000D3B0000}"/>
    <cellStyle name="Normal 2 3 3 8 2 3 3" xfId="43575" xr:uid="{00000000-0005-0000-0000-00000E3B0000}"/>
    <cellStyle name="Normal 2 3 3 8 2 4" xfId="20361" xr:uid="{00000000-0005-0000-0000-00000F3B0000}"/>
    <cellStyle name="Normal 2 3 3 8 2 5" xfId="38993" xr:uid="{00000000-0005-0000-0000-0000103B0000}"/>
    <cellStyle name="Normal 2 3 3 8 3" xfId="10816" xr:uid="{00000000-0005-0000-0000-0000113B0000}"/>
    <cellStyle name="Normal 2 3 3 8 3 2" xfId="34301" xr:uid="{00000000-0005-0000-0000-0000123B0000}"/>
    <cellStyle name="Normal 2 3 3 8 3 3" xfId="24982" xr:uid="{00000000-0005-0000-0000-0000133B0000}"/>
    <cellStyle name="Normal 2 3 3 8 3 4" xfId="48244" xr:uid="{00000000-0005-0000-0000-0000143B0000}"/>
    <cellStyle name="Normal 2 3 3 8 4" xfId="15547" xr:uid="{00000000-0005-0000-0000-0000153B0000}"/>
    <cellStyle name="Normal 2 3 3 8 4 2" xfId="29679" xr:uid="{00000000-0005-0000-0000-0000163B0000}"/>
    <cellStyle name="Normal 2 3 3 8 4 3" xfId="43574" xr:uid="{00000000-0005-0000-0000-0000173B0000}"/>
    <cellStyle name="Normal 2 3 3 8 5" xfId="20360" xr:uid="{00000000-0005-0000-0000-0000183B0000}"/>
    <cellStyle name="Normal 2 3 3 8 6" xfId="38992" xr:uid="{00000000-0005-0000-0000-0000193B0000}"/>
    <cellStyle name="Normal 2 3 3 9" xfId="4963" xr:uid="{00000000-0005-0000-0000-00001A3B0000}"/>
    <cellStyle name="Normal 2 3 3 9 2" xfId="4964" xr:uid="{00000000-0005-0000-0000-00001B3B0000}"/>
    <cellStyle name="Normal 2 3 3 9 2 2" xfId="10819" xr:uid="{00000000-0005-0000-0000-00001C3B0000}"/>
    <cellStyle name="Normal 2 3 3 9 2 2 2" xfId="34304" xr:uid="{00000000-0005-0000-0000-00001D3B0000}"/>
    <cellStyle name="Normal 2 3 3 9 2 2 3" xfId="24985" xr:uid="{00000000-0005-0000-0000-00001E3B0000}"/>
    <cellStyle name="Normal 2 3 3 9 2 2 4" xfId="48247" xr:uid="{00000000-0005-0000-0000-00001F3B0000}"/>
    <cellStyle name="Normal 2 3 3 9 2 3" xfId="15550" xr:uid="{00000000-0005-0000-0000-0000203B0000}"/>
    <cellStyle name="Normal 2 3 3 9 2 3 2" xfId="29682" xr:uid="{00000000-0005-0000-0000-0000213B0000}"/>
    <cellStyle name="Normal 2 3 3 9 2 3 3" xfId="43577" xr:uid="{00000000-0005-0000-0000-0000223B0000}"/>
    <cellStyle name="Normal 2 3 3 9 2 4" xfId="20363" xr:uid="{00000000-0005-0000-0000-0000233B0000}"/>
    <cellStyle name="Normal 2 3 3 9 2 5" xfId="38995" xr:uid="{00000000-0005-0000-0000-0000243B0000}"/>
    <cellStyle name="Normal 2 3 3 9 3" xfId="10818" xr:uid="{00000000-0005-0000-0000-0000253B0000}"/>
    <cellStyle name="Normal 2 3 3 9 3 2" xfId="34303" xr:uid="{00000000-0005-0000-0000-0000263B0000}"/>
    <cellStyle name="Normal 2 3 3 9 3 3" xfId="24984" xr:uid="{00000000-0005-0000-0000-0000273B0000}"/>
    <cellStyle name="Normal 2 3 3 9 3 4" xfId="48246" xr:uid="{00000000-0005-0000-0000-0000283B0000}"/>
    <cellStyle name="Normal 2 3 3 9 4" xfId="15549" xr:uid="{00000000-0005-0000-0000-0000293B0000}"/>
    <cellStyle name="Normal 2 3 3 9 4 2" xfId="29681" xr:uid="{00000000-0005-0000-0000-00002A3B0000}"/>
    <cellStyle name="Normal 2 3 3 9 4 3" xfId="43576" xr:uid="{00000000-0005-0000-0000-00002B3B0000}"/>
    <cellStyle name="Normal 2 3 3 9 5" xfId="20362" xr:uid="{00000000-0005-0000-0000-00002C3B0000}"/>
    <cellStyle name="Normal 2 3 3 9 6" xfId="38994" xr:uid="{00000000-0005-0000-0000-00002D3B0000}"/>
    <cellStyle name="Normal 2 3 30" xfId="4965" xr:uid="{00000000-0005-0000-0000-00002E3B0000}"/>
    <cellStyle name="Normal 2 3 31" xfId="412" xr:uid="{00000000-0005-0000-0000-00002F3B0000}"/>
    <cellStyle name="Normal 2 3 31 2" xfId="9672" xr:uid="{00000000-0005-0000-0000-0000303B0000}"/>
    <cellStyle name="Normal 2 3 31 2 2" xfId="33163" xr:uid="{00000000-0005-0000-0000-0000313B0000}"/>
    <cellStyle name="Normal 2 3 31 2 3" xfId="23848" xr:uid="{00000000-0005-0000-0000-0000323B0000}"/>
    <cellStyle name="Normal 2 3 31 2 4" xfId="47106" xr:uid="{00000000-0005-0000-0000-0000333B0000}"/>
    <cellStyle name="Normal 2 3 31 3" xfId="14433" xr:uid="{00000000-0005-0000-0000-0000343B0000}"/>
    <cellStyle name="Normal 2 3 31 3 2" xfId="28564" xr:uid="{00000000-0005-0000-0000-0000353B0000}"/>
    <cellStyle name="Normal 2 3 31 3 3" xfId="42444" xr:uid="{00000000-0005-0000-0000-0000363B0000}"/>
    <cellStyle name="Normal 2 3 31 4" xfId="19244" xr:uid="{00000000-0005-0000-0000-0000373B0000}"/>
    <cellStyle name="Normal 2 3 31 5" xfId="37879" xr:uid="{00000000-0005-0000-0000-0000383B0000}"/>
    <cellStyle name="Normal 2 3 32" xfId="9628" xr:uid="{00000000-0005-0000-0000-0000393B0000}"/>
    <cellStyle name="Normal 2 3 33" xfId="42399" xr:uid="{00000000-0005-0000-0000-00003A3B0000}"/>
    <cellStyle name="Normal 2 3 34" xfId="51778" xr:uid="{00000000-0005-0000-0000-00003B3B0000}"/>
    <cellStyle name="Normal 2 3 4" xfId="4966" xr:uid="{00000000-0005-0000-0000-00003C3B0000}"/>
    <cellStyle name="Normal 2 3 4 10" xfId="20364" xr:uid="{00000000-0005-0000-0000-00003D3B0000}"/>
    <cellStyle name="Normal 2 3 4 11" xfId="38996" xr:uid="{00000000-0005-0000-0000-00003E3B0000}"/>
    <cellStyle name="Normal 2 3 4 2" xfId="4967" xr:uid="{00000000-0005-0000-0000-00003F3B0000}"/>
    <cellStyle name="Normal 2 3 4 2 2" xfId="4968" xr:uid="{00000000-0005-0000-0000-0000403B0000}"/>
    <cellStyle name="Normal 2 3 4 2 2 2" xfId="10822" xr:uid="{00000000-0005-0000-0000-0000413B0000}"/>
    <cellStyle name="Normal 2 3 4 2 2 2 2" xfId="34307" xr:uid="{00000000-0005-0000-0000-0000423B0000}"/>
    <cellStyle name="Normal 2 3 4 2 2 2 3" xfId="24988" xr:uid="{00000000-0005-0000-0000-0000433B0000}"/>
    <cellStyle name="Normal 2 3 4 2 2 2 4" xfId="48250" xr:uid="{00000000-0005-0000-0000-0000443B0000}"/>
    <cellStyle name="Normal 2 3 4 2 2 3" xfId="15553" xr:uid="{00000000-0005-0000-0000-0000453B0000}"/>
    <cellStyle name="Normal 2 3 4 2 2 3 2" xfId="29685" xr:uid="{00000000-0005-0000-0000-0000463B0000}"/>
    <cellStyle name="Normal 2 3 4 2 2 3 3" xfId="43580" xr:uid="{00000000-0005-0000-0000-0000473B0000}"/>
    <cellStyle name="Normal 2 3 4 2 2 4" xfId="20366" xr:uid="{00000000-0005-0000-0000-0000483B0000}"/>
    <cellStyle name="Normal 2 3 4 2 2 5" xfId="38998" xr:uid="{00000000-0005-0000-0000-0000493B0000}"/>
    <cellStyle name="Normal 2 3 4 2 3" xfId="10821" xr:uid="{00000000-0005-0000-0000-00004A3B0000}"/>
    <cellStyle name="Normal 2 3 4 2 3 2" xfId="34306" xr:uid="{00000000-0005-0000-0000-00004B3B0000}"/>
    <cellStyle name="Normal 2 3 4 2 3 3" xfId="24987" xr:uid="{00000000-0005-0000-0000-00004C3B0000}"/>
    <cellStyle name="Normal 2 3 4 2 3 4" xfId="48249" xr:uid="{00000000-0005-0000-0000-00004D3B0000}"/>
    <cellStyle name="Normal 2 3 4 2 4" xfId="15552" xr:uid="{00000000-0005-0000-0000-00004E3B0000}"/>
    <cellStyle name="Normal 2 3 4 2 4 2" xfId="29684" xr:uid="{00000000-0005-0000-0000-00004F3B0000}"/>
    <cellStyle name="Normal 2 3 4 2 4 3" xfId="43579" xr:uid="{00000000-0005-0000-0000-0000503B0000}"/>
    <cellStyle name="Normal 2 3 4 2 5" xfId="20365" xr:uid="{00000000-0005-0000-0000-0000513B0000}"/>
    <cellStyle name="Normal 2 3 4 2 6" xfId="38997" xr:uid="{00000000-0005-0000-0000-0000523B0000}"/>
    <cellStyle name="Normal 2 3 4 3" xfId="4969" xr:uid="{00000000-0005-0000-0000-0000533B0000}"/>
    <cellStyle name="Normal 2 3 4 3 2" xfId="4970" xr:uid="{00000000-0005-0000-0000-0000543B0000}"/>
    <cellStyle name="Normal 2 3 4 3 2 2" xfId="10824" xr:uid="{00000000-0005-0000-0000-0000553B0000}"/>
    <cellStyle name="Normal 2 3 4 3 2 2 2" xfId="34309" xr:uid="{00000000-0005-0000-0000-0000563B0000}"/>
    <cellStyle name="Normal 2 3 4 3 2 2 3" xfId="24990" xr:uid="{00000000-0005-0000-0000-0000573B0000}"/>
    <cellStyle name="Normal 2 3 4 3 2 2 4" xfId="48252" xr:uid="{00000000-0005-0000-0000-0000583B0000}"/>
    <cellStyle name="Normal 2 3 4 3 2 3" xfId="15555" xr:uid="{00000000-0005-0000-0000-0000593B0000}"/>
    <cellStyle name="Normal 2 3 4 3 2 3 2" xfId="29687" xr:uid="{00000000-0005-0000-0000-00005A3B0000}"/>
    <cellStyle name="Normal 2 3 4 3 2 3 3" xfId="43582" xr:uid="{00000000-0005-0000-0000-00005B3B0000}"/>
    <cellStyle name="Normal 2 3 4 3 2 4" xfId="20368" xr:uid="{00000000-0005-0000-0000-00005C3B0000}"/>
    <cellStyle name="Normal 2 3 4 3 2 5" xfId="39000" xr:uid="{00000000-0005-0000-0000-00005D3B0000}"/>
    <cellStyle name="Normal 2 3 4 3 3" xfId="10823" xr:uid="{00000000-0005-0000-0000-00005E3B0000}"/>
    <cellStyle name="Normal 2 3 4 3 3 2" xfId="34308" xr:uid="{00000000-0005-0000-0000-00005F3B0000}"/>
    <cellStyle name="Normal 2 3 4 3 3 3" xfId="24989" xr:uid="{00000000-0005-0000-0000-0000603B0000}"/>
    <cellStyle name="Normal 2 3 4 3 3 4" xfId="48251" xr:uid="{00000000-0005-0000-0000-0000613B0000}"/>
    <cellStyle name="Normal 2 3 4 3 4" xfId="15554" xr:uid="{00000000-0005-0000-0000-0000623B0000}"/>
    <cellStyle name="Normal 2 3 4 3 4 2" xfId="29686" xr:uid="{00000000-0005-0000-0000-0000633B0000}"/>
    <cellStyle name="Normal 2 3 4 3 4 3" xfId="43581" xr:uid="{00000000-0005-0000-0000-0000643B0000}"/>
    <cellStyle name="Normal 2 3 4 3 5" xfId="20367" xr:uid="{00000000-0005-0000-0000-0000653B0000}"/>
    <cellStyle name="Normal 2 3 4 3 6" xfId="38999" xr:uid="{00000000-0005-0000-0000-0000663B0000}"/>
    <cellStyle name="Normal 2 3 4 4" xfId="4971" xr:uid="{00000000-0005-0000-0000-0000673B0000}"/>
    <cellStyle name="Normal 2 3 4 4 2" xfId="4972" xr:uid="{00000000-0005-0000-0000-0000683B0000}"/>
    <cellStyle name="Normal 2 3 4 4 2 2" xfId="10826" xr:uid="{00000000-0005-0000-0000-0000693B0000}"/>
    <cellStyle name="Normal 2 3 4 4 2 2 2" xfId="34311" xr:uid="{00000000-0005-0000-0000-00006A3B0000}"/>
    <cellStyle name="Normal 2 3 4 4 2 2 3" xfId="24992" xr:uid="{00000000-0005-0000-0000-00006B3B0000}"/>
    <cellStyle name="Normal 2 3 4 4 2 2 4" xfId="48254" xr:uid="{00000000-0005-0000-0000-00006C3B0000}"/>
    <cellStyle name="Normal 2 3 4 4 2 3" xfId="15557" xr:uid="{00000000-0005-0000-0000-00006D3B0000}"/>
    <cellStyle name="Normal 2 3 4 4 2 3 2" xfId="29689" xr:uid="{00000000-0005-0000-0000-00006E3B0000}"/>
    <cellStyle name="Normal 2 3 4 4 2 3 3" xfId="43584" xr:uid="{00000000-0005-0000-0000-00006F3B0000}"/>
    <cellStyle name="Normal 2 3 4 4 2 4" xfId="20370" xr:uid="{00000000-0005-0000-0000-0000703B0000}"/>
    <cellStyle name="Normal 2 3 4 4 2 5" xfId="39002" xr:uid="{00000000-0005-0000-0000-0000713B0000}"/>
    <cellStyle name="Normal 2 3 4 4 3" xfId="10825" xr:uid="{00000000-0005-0000-0000-0000723B0000}"/>
    <cellStyle name="Normal 2 3 4 4 3 2" xfId="34310" xr:uid="{00000000-0005-0000-0000-0000733B0000}"/>
    <cellStyle name="Normal 2 3 4 4 3 3" xfId="24991" xr:uid="{00000000-0005-0000-0000-0000743B0000}"/>
    <cellStyle name="Normal 2 3 4 4 3 4" xfId="48253" xr:uid="{00000000-0005-0000-0000-0000753B0000}"/>
    <cellStyle name="Normal 2 3 4 4 4" xfId="15556" xr:uid="{00000000-0005-0000-0000-0000763B0000}"/>
    <cellStyle name="Normal 2 3 4 4 4 2" xfId="29688" xr:uid="{00000000-0005-0000-0000-0000773B0000}"/>
    <cellStyle name="Normal 2 3 4 4 4 3" xfId="43583" xr:uid="{00000000-0005-0000-0000-0000783B0000}"/>
    <cellStyle name="Normal 2 3 4 4 5" xfId="20369" xr:uid="{00000000-0005-0000-0000-0000793B0000}"/>
    <cellStyle name="Normal 2 3 4 4 6" xfId="39001" xr:uid="{00000000-0005-0000-0000-00007A3B0000}"/>
    <cellStyle name="Normal 2 3 4 5" xfId="4973" xr:uid="{00000000-0005-0000-0000-00007B3B0000}"/>
    <cellStyle name="Normal 2 3 4 5 2" xfId="4974" xr:uid="{00000000-0005-0000-0000-00007C3B0000}"/>
    <cellStyle name="Normal 2 3 4 5 2 2" xfId="10828" xr:uid="{00000000-0005-0000-0000-00007D3B0000}"/>
    <cellStyle name="Normal 2 3 4 5 2 2 2" xfId="34313" xr:uid="{00000000-0005-0000-0000-00007E3B0000}"/>
    <cellStyle name="Normal 2 3 4 5 2 2 3" xfId="24994" xr:uid="{00000000-0005-0000-0000-00007F3B0000}"/>
    <cellStyle name="Normal 2 3 4 5 2 2 4" xfId="48256" xr:uid="{00000000-0005-0000-0000-0000803B0000}"/>
    <cellStyle name="Normal 2 3 4 5 2 3" xfId="15559" xr:uid="{00000000-0005-0000-0000-0000813B0000}"/>
    <cellStyle name="Normal 2 3 4 5 2 3 2" xfId="29691" xr:uid="{00000000-0005-0000-0000-0000823B0000}"/>
    <cellStyle name="Normal 2 3 4 5 2 3 3" xfId="43586" xr:uid="{00000000-0005-0000-0000-0000833B0000}"/>
    <cellStyle name="Normal 2 3 4 5 2 4" xfId="20372" xr:uid="{00000000-0005-0000-0000-0000843B0000}"/>
    <cellStyle name="Normal 2 3 4 5 2 5" xfId="39004" xr:uid="{00000000-0005-0000-0000-0000853B0000}"/>
    <cellStyle name="Normal 2 3 4 5 3" xfId="10827" xr:uid="{00000000-0005-0000-0000-0000863B0000}"/>
    <cellStyle name="Normal 2 3 4 5 3 2" xfId="34312" xr:uid="{00000000-0005-0000-0000-0000873B0000}"/>
    <cellStyle name="Normal 2 3 4 5 3 3" xfId="24993" xr:uid="{00000000-0005-0000-0000-0000883B0000}"/>
    <cellStyle name="Normal 2 3 4 5 3 4" xfId="48255" xr:uid="{00000000-0005-0000-0000-0000893B0000}"/>
    <cellStyle name="Normal 2 3 4 5 4" xfId="15558" xr:uid="{00000000-0005-0000-0000-00008A3B0000}"/>
    <cellStyle name="Normal 2 3 4 5 4 2" xfId="29690" xr:uid="{00000000-0005-0000-0000-00008B3B0000}"/>
    <cellStyle name="Normal 2 3 4 5 4 3" xfId="43585" xr:uid="{00000000-0005-0000-0000-00008C3B0000}"/>
    <cellStyle name="Normal 2 3 4 5 5" xfId="20371" xr:uid="{00000000-0005-0000-0000-00008D3B0000}"/>
    <cellStyle name="Normal 2 3 4 5 6" xfId="39003" xr:uid="{00000000-0005-0000-0000-00008E3B0000}"/>
    <cellStyle name="Normal 2 3 4 6" xfId="4975" xr:uid="{00000000-0005-0000-0000-00008F3B0000}"/>
    <cellStyle name="Normal 2 3 4 6 2" xfId="4976" xr:uid="{00000000-0005-0000-0000-0000903B0000}"/>
    <cellStyle name="Normal 2 3 4 6 2 2" xfId="10830" xr:uid="{00000000-0005-0000-0000-0000913B0000}"/>
    <cellStyle name="Normal 2 3 4 6 2 2 2" xfId="34315" xr:uid="{00000000-0005-0000-0000-0000923B0000}"/>
    <cellStyle name="Normal 2 3 4 6 2 2 3" xfId="24996" xr:uid="{00000000-0005-0000-0000-0000933B0000}"/>
    <cellStyle name="Normal 2 3 4 6 2 2 4" xfId="48258" xr:uid="{00000000-0005-0000-0000-0000943B0000}"/>
    <cellStyle name="Normal 2 3 4 6 2 3" xfId="15561" xr:uid="{00000000-0005-0000-0000-0000953B0000}"/>
    <cellStyle name="Normal 2 3 4 6 2 3 2" xfId="29693" xr:uid="{00000000-0005-0000-0000-0000963B0000}"/>
    <cellStyle name="Normal 2 3 4 6 2 3 3" xfId="43588" xr:uid="{00000000-0005-0000-0000-0000973B0000}"/>
    <cellStyle name="Normal 2 3 4 6 2 4" xfId="20374" xr:uid="{00000000-0005-0000-0000-0000983B0000}"/>
    <cellStyle name="Normal 2 3 4 6 2 5" xfId="39006" xr:uid="{00000000-0005-0000-0000-0000993B0000}"/>
    <cellStyle name="Normal 2 3 4 6 3" xfId="10829" xr:uid="{00000000-0005-0000-0000-00009A3B0000}"/>
    <cellStyle name="Normal 2 3 4 6 3 2" xfId="34314" xr:uid="{00000000-0005-0000-0000-00009B3B0000}"/>
    <cellStyle name="Normal 2 3 4 6 3 3" xfId="24995" xr:uid="{00000000-0005-0000-0000-00009C3B0000}"/>
    <cellStyle name="Normal 2 3 4 6 3 4" xfId="48257" xr:uid="{00000000-0005-0000-0000-00009D3B0000}"/>
    <cellStyle name="Normal 2 3 4 6 4" xfId="15560" xr:uid="{00000000-0005-0000-0000-00009E3B0000}"/>
    <cellStyle name="Normal 2 3 4 6 4 2" xfId="29692" xr:uid="{00000000-0005-0000-0000-00009F3B0000}"/>
    <cellStyle name="Normal 2 3 4 6 4 3" xfId="43587" xr:uid="{00000000-0005-0000-0000-0000A03B0000}"/>
    <cellStyle name="Normal 2 3 4 6 5" xfId="20373" xr:uid="{00000000-0005-0000-0000-0000A13B0000}"/>
    <cellStyle name="Normal 2 3 4 6 6" xfId="39005" xr:uid="{00000000-0005-0000-0000-0000A23B0000}"/>
    <cellStyle name="Normal 2 3 4 7" xfId="4977" xr:uid="{00000000-0005-0000-0000-0000A33B0000}"/>
    <cellStyle name="Normal 2 3 4 7 2" xfId="10831" xr:uid="{00000000-0005-0000-0000-0000A43B0000}"/>
    <cellStyle name="Normal 2 3 4 7 2 2" xfId="34316" xr:uid="{00000000-0005-0000-0000-0000A53B0000}"/>
    <cellStyle name="Normal 2 3 4 7 2 3" xfId="24997" xr:uid="{00000000-0005-0000-0000-0000A63B0000}"/>
    <cellStyle name="Normal 2 3 4 7 2 4" xfId="48259" xr:uid="{00000000-0005-0000-0000-0000A73B0000}"/>
    <cellStyle name="Normal 2 3 4 7 3" xfId="15562" xr:uid="{00000000-0005-0000-0000-0000A83B0000}"/>
    <cellStyle name="Normal 2 3 4 7 3 2" xfId="29694" xr:uid="{00000000-0005-0000-0000-0000A93B0000}"/>
    <cellStyle name="Normal 2 3 4 7 3 3" xfId="43589" xr:uid="{00000000-0005-0000-0000-0000AA3B0000}"/>
    <cellStyle name="Normal 2 3 4 7 4" xfId="20375" xr:uid="{00000000-0005-0000-0000-0000AB3B0000}"/>
    <cellStyle name="Normal 2 3 4 7 5" xfId="39007" xr:uid="{00000000-0005-0000-0000-0000AC3B0000}"/>
    <cellStyle name="Normal 2 3 4 8" xfId="10820" xr:uid="{00000000-0005-0000-0000-0000AD3B0000}"/>
    <cellStyle name="Normal 2 3 4 8 2" xfId="34305" xr:uid="{00000000-0005-0000-0000-0000AE3B0000}"/>
    <cellStyle name="Normal 2 3 4 8 3" xfId="24986" xr:uid="{00000000-0005-0000-0000-0000AF3B0000}"/>
    <cellStyle name="Normal 2 3 4 8 4" xfId="48248" xr:uid="{00000000-0005-0000-0000-0000B03B0000}"/>
    <cellStyle name="Normal 2 3 4 9" xfId="15551" xr:uid="{00000000-0005-0000-0000-0000B13B0000}"/>
    <cellStyle name="Normal 2 3 4 9 2" xfId="29683" xr:uid="{00000000-0005-0000-0000-0000B23B0000}"/>
    <cellStyle name="Normal 2 3 4 9 3" xfId="43578" xr:uid="{00000000-0005-0000-0000-0000B33B0000}"/>
    <cellStyle name="Normal 2 3 5" xfId="4978" xr:uid="{00000000-0005-0000-0000-0000B43B0000}"/>
    <cellStyle name="Normal 2 3 5 10" xfId="20376" xr:uid="{00000000-0005-0000-0000-0000B53B0000}"/>
    <cellStyle name="Normal 2 3 5 11" xfId="39008" xr:uid="{00000000-0005-0000-0000-0000B63B0000}"/>
    <cellStyle name="Normal 2 3 5 2" xfId="4979" xr:uid="{00000000-0005-0000-0000-0000B73B0000}"/>
    <cellStyle name="Normal 2 3 5 2 2" xfId="4980" xr:uid="{00000000-0005-0000-0000-0000B83B0000}"/>
    <cellStyle name="Normal 2 3 5 2 2 2" xfId="10834" xr:uid="{00000000-0005-0000-0000-0000B93B0000}"/>
    <cellStyle name="Normal 2 3 5 2 2 2 2" xfId="34319" xr:uid="{00000000-0005-0000-0000-0000BA3B0000}"/>
    <cellStyle name="Normal 2 3 5 2 2 2 3" xfId="25000" xr:uid="{00000000-0005-0000-0000-0000BB3B0000}"/>
    <cellStyle name="Normal 2 3 5 2 2 2 4" xfId="48262" xr:uid="{00000000-0005-0000-0000-0000BC3B0000}"/>
    <cellStyle name="Normal 2 3 5 2 2 3" xfId="15565" xr:uid="{00000000-0005-0000-0000-0000BD3B0000}"/>
    <cellStyle name="Normal 2 3 5 2 2 3 2" xfId="29697" xr:uid="{00000000-0005-0000-0000-0000BE3B0000}"/>
    <cellStyle name="Normal 2 3 5 2 2 3 3" xfId="43592" xr:uid="{00000000-0005-0000-0000-0000BF3B0000}"/>
    <cellStyle name="Normal 2 3 5 2 2 4" xfId="20378" xr:uid="{00000000-0005-0000-0000-0000C03B0000}"/>
    <cellStyle name="Normal 2 3 5 2 2 5" xfId="39010" xr:uid="{00000000-0005-0000-0000-0000C13B0000}"/>
    <cellStyle name="Normal 2 3 5 2 3" xfId="10833" xr:uid="{00000000-0005-0000-0000-0000C23B0000}"/>
    <cellStyle name="Normal 2 3 5 2 3 2" xfId="34318" xr:uid="{00000000-0005-0000-0000-0000C33B0000}"/>
    <cellStyle name="Normal 2 3 5 2 3 3" xfId="24999" xr:uid="{00000000-0005-0000-0000-0000C43B0000}"/>
    <cellStyle name="Normal 2 3 5 2 3 4" xfId="48261" xr:uid="{00000000-0005-0000-0000-0000C53B0000}"/>
    <cellStyle name="Normal 2 3 5 2 4" xfId="15564" xr:uid="{00000000-0005-0000-0000-0000C63B0000}"/>
    <cellStyle name="Normal 2 3 5 2 4 2" xfId="29696" xr:uid="{00000000-0005-0000-0000-0000C73B0000}"/>
    <cellStyle name="Normal 2 3 5 2 4 3" xfId="43591" xr:uid="{00000000-0005-0000-0000-0000C83B0000}"/>
    <cellStyle name="Normal 2 3 5 2 5" xfId="20377" xr:uid="{00000000-0005-0000-0000-0000C93B0000}"/>
    <cellStyle name="Normal 2 3 5 2 6" xfId="39009" xr:uid="{00000000-0005-0000-0000-0000CA3B0000}"/>
    <cellStyle name="Normal 2 3 5 3" xfId="4981" xr:uid="{00000000-0005-0000-0000-0000CB3B0000}"/>
    <cellStyle name="Normal 2 3 5 3 2" xfId="4982" xr:uid="{00000000-0005-0000-0000-0000CC3B0000}"/>
    <cellStyle name="Normal 2 3 5 3 2 2" xfId="10836" xr:uid="{00000000-0005-0000-0000-0000CD3B0000}"/>
    <cellStyle name="Normal 2 3 5 3 2 2 2" xfId="34321" xr:uid="{00000000-0005-0000-0000-0000CE3B0000}"/>
    <cellStyle name="Normal 2 3 5 3 2 2 3" xfId="25002" xr:uid="{00000000-0005-0000-0000-0000CF3B0000}"/>
    <cellStyle name="Normal 2 3 5 3 2 2 4" xfId="48264" xr:uid="{00000000-0005-0000-0000-0000D03B0000}"/>
    <cellStyle name="Normal 2 3 5 3 2 3" xfId="15567" xr:uid="{00000000-0005-0000-0000-0000D13B0000}"/>
    <cellStyle name="Normal 2 3 5 3 2 3 2" xfId="29699" xr:uid="{00000000-0005-0000-0000-0000D23B0000}"/>
    <cellStyle name="Normal 2 3 5 3 2 3 3" xfId="43594" xr:uid="{00000000-0005-0000-0000-0000D33B0000}"/>
    <cellStyle name="Normal 2 3 5 3 2 4" xfId="20380" xr:uid="{00000000-0005-0000-0000-0000D43B0000}"/>
    <cellStyle name="Normal 2 3 5 3 2 5" xfId="39012" xr:uid="{00000000-0005-0000-0000-0000D53B0000}"/>
    <cellStyle name="Normal 2 3 5 3 3" xfId="10835" xr:uid="{00000000-0005-0000-0000-0000D63B0000}"/>
    <cellStyle name="Normal 2 3 5 3 3 2" xfId="34320" xr:uid="{00000000-0005-0000-0000-0000D73B0000}"/>
    <cellStyle name="Normal 2 3 5 3 3 3" xfId="25001" xr:uid="{00000000-0005-0000-0000-0000D83B0000}"/>
    <cellStyle name="Normal 2 3 5 3 3 4" xfId="48263" xr:uid="{00000000-0005-0000-0000-0000D93B0000}"/>
    <cellStyle name="Normal 2 3 5 3 4" xfId="15566" xr:uid="{00000000-0005-0000-0000-0000DA3B0000}"/>
    <cellStyle name="Normal 2 3 5 3 4 2" xfId="29698" xr:uid="{00000000-0005-0000-0000-0000DB3B0000}"/>
    <cellStyle name="Normal 2 3 5 3 4 3" xfId="43593" xr:uid="{00000000-0005-0000-0000-0000DC3B0000}"/>
    <cellStyle name="Normal 2 3 5 3 5" xfId="20379" xr:uid="{00000000-0005-0000-0000-0000DD3B0000}"/>
    <cellStyle name="Normal 2 3 5 3 6" xfId="39011" xr:uid="{00000000-0005-0000-0000-0000DE3B0000}"/>
    <cellStyle name="Normal 2 3 5 4" xfId="4983" xr:uid="{00000000-0005-0000-0000-0000DF3B0000}"/>
    <cellStyle name="Normal 2 3 5 4 2" xfId="4984" xr:uid="{00000000-0005-0000-0000-0000E03B0000}"/>
    <cellStyle name="Normal 2 3 5 4 2 2" xfId="10838" xr:uid="{00000000-0005-0000-0000-0000E13B0000}"/>
    <cellStyle name="Normal 2 3 5 4 2 2 2" xfId="34323" xr:uid="{00000000-0005-0000-0000-0000E23B0000}"/>
    <cellStyle name="Normal 2 3 5 4 2 2 3" xfId="25004" xr:uid="{00000000-0005-0000-0000-0000E33B0000}"/>
    <cellStyle name="Normal 2 3 5 4 2 2 4" xfId="48266" xr:uid="{00000000-0005-0000-0000-0000E43B0000}"/>
    <cellStyle name="Normal 2 3 5 4 2 3" xfId="15569" xr:uid="{00000000-0005-0000-0000-0000E53B0000}"/>
    <cellStyle name="Normal 2 3 5 4 2 3 2" xfId="29701" xr:uid="{00000000-0005-0000-0000-0000E63B0000}"/>
    <cellStyle name="Normal 2 3 5 4 2 3 3" xfId="43596" xr:uid="{00000000-0005-0000-0000-0000E73B0000}"/>
    <cellStyle name="Normal 2 3 5 4 2 4" xfId="20382" xr:uid="{00000000-0005-0000-0000-0000E83B0000}"/>
    <cellStyle name="Normal 2 3 5 4 2 5" xfId="39014" xr:uid="{00000000-0005-0000-0000-0000E93B0000}"/>
    <cellStyle name="Normal 2 3 5 4 3" xfId="10837" xr:uid="{00000000-0005-0000-0000-0000EA3B0000}"/>
    <cellStyle name="Normal 2 3 5 4 3 2" xfId="34322" xr:uid="{00000000-0005-0000-0000-0000EB3B0000}"/>
    <cellStyle name="Normal 2 3 5 4 3 3" xfId="25003" xr:uid="{00000000-0005-0000-0000-0000EC3B0000}"/>
    <cellStyle name="Normal 2 3 5 4 3 4" xfId="48265" xr:uid="{00000000-0005-0000-0000-0000ED3B0000}"/>
    <cellStyle name="Normal 2 3 5 4 4" xfId="15568" xr:uid="{00000000-0005-0000-0000-0000EE3B0000}"/>
    <cellStyle name="Normal 2 3 5 4 4 2" xfId="29700" xr:uid="{00000000-0005-0000-0000-0000EF3B0000}"/>
    <cellStyle name="Normal 2 3 5 4 4 3" xfId="43595" xr:uid="{00000000-0005-0000-0000-0000F03B0000}"/>
    <cellStyle name="Normal 2 3 5 4 5" xfId="20381" xr:uid="{00000000-0005-0000-0000-0000F13B0000}"/>
    <cellStyle name="Normal 2 3 5 4 6" xfId="39013" xr:uid="{00000000-0005-0000-0000-0000F23B0000}"/>
    <cellStyle name="Normal 2 3 5 5" xfId="4985" xr:uid="{00000000-0005-0000-0000-0000F33B0000}"/>
    <cellStyle name="Normal 2 3 5 5 2" xfId="4986" xr:uid="{00000000-0005-0000-0000-0000F43B0000}"/>
    <cellStyle name="Normal 2 3 5 5 2 2" xfId="10840" xr:uid="{00000000-0005-0000-0000-0000F53B0000}"/>
    <cellStyle name="Normal 2 3 5 5 2 2 2" xfId="34325" xr:uid="{00000000-0005-0000-0000-0000F63B0000}"/>
    <cellStyle name="Normal 2 3 5 5 2 2 3" xfId="25006" xr:uid="{00000000-0005-0000-0000-0000F73B0000}"/>
    <cellStyle name="Normal 2 3 5 5 2 2 4" xfId="48268" xr:uid="{00000000-0005-0000-0000-0000F83B0000}"/>
    <cellStyle name="Normal 2 3 5 5 2 3" xfId="15571" xr:uid="{00000000-0005-0000-0000-0000F93B0000}"/>
    <cellStyle name="Normal 2 3 5 5 2 3 2" xfId="29703" xr:uid="{00000000-0005-0000-0000-0000FA3B0000}"/>
    <cellStyle name="Normal 2 3 5 5 2 3 3" xfId="43598" xr:uid="{00000000-0005-0000-0000-0000FB3B0000}"/>
    <cellStyle name="Normal 2 3 5 5 2 4" xfId="20384" xr:uid="{00000000-0005-0000-0000-0000FC3B0000}"/>
    <cellStyle name="Normal 2 3 5 5 2 5" xfId="39016" xr:uid="{00000000-0005-0000-0000-0000FD3B0000}"/>
    <cellStyle name="Normal 2 3 5 5 3" xfId="10839" xr:uid="{00000000-0005-0000-0000-0000FE3B0000}"/>
    <cellStyle name="Normal 2 3 5 5 3 2" xfId="34324" xr:uid="{00000000-0005-0000-0000-0000FF3B0000}"/>
    <cellStyle name="Normal 2 3 5 5 3 3" xfId="25005" xr:uid="{00000000-0005-0000-0000-0000003C0000}"/>
    <cellStyle name="Normal 2 3 5 5 3 4" xfId="48267" xr:uid="{00000000-0005-0000-0000-0000013C0000}"/>
    <cellStyle name="Normal 2 3 5 5 4" xfId="15570" xr:uid="{00000000-0005-0000-0000-0000023C0000}"/>
    <cellStyle name="Normal 2 3 5 5 4 2" xfId="29702" xr:uid="{00000000-0005-0000-0000-0000033C0000}"/>
    <cellStyle name="Normal 2 3 5 5 4 3" xfId="43597" xr:uid="{00000000-0005-0000-0000-0000043C0000}"/>
    <cellStyle name="Normal 2 3 5 5 5" xfId="20383" xr:uid="{00000000-0005-0000-0000-0000053C0000}"/>
    <cellStyle name="Normal 2 3 5 5 6" xfId="39015" xr:uid="{00000000-0005-0000-0000-0000063C0000}"/>
    <cellStyle name="Normal 2 3 5 6" xfId="4987" xr:uid="{00000000-0005-0000-0000-0000073C0000}"/>
    <cellStyle name="Normal 2 3 5 6 2" xfId="4988" xr:uid="{00000000-0005-0000-0000-0000083C0000}"/>
    <cellStyle name="Normal 2 3 5 6 2 2" xfId="10842" xr:uid="{00000000-0005-0000-0000-0000093C0000}"/>
    <cellStyle name="Normal 2 3 5 6 2 2 2" xfId="34327" xr:uid="{00000000-0005-0000-0000-00000A3C0000}"/>
    <cellStyle name="Normal 2 3 5 6 2 2 3" xfId="25008" xr:uid="{00000000-0005-0000-0000-00000B3C0000}"/>
    <cellStyle name="Normal 2 3 5 6 2 2 4" xfId="48270" xr:uid="{00000000-0005-0000-0000-00000C3C0000}"/>
    <cellStyle name="Normal 2 3 5 6 2 3" xfId="15573" xr:uid="{00000000-0005-0000-0000-00000D3C0000}"/>
    <cellStyle name="Normal 2 3 5 6 2 3 2" xfId="29705" xr:uid="{00000000-0005-0000-0000-00000E3C0000}"/>
    <cellStyle name="Normal 2 3 5 6 2 3 3" xfId="43600" xr:uid="{00000000-0005-0000-0000-00000F3C0000}"/>
    <cellStyle name="Normal 2 3 5 6 2 4" xfId="20386" xr:uid="{00000000-0005-0000-0000-0000103C0000}"/>
    <cellStyle name="Normal 2 3 5 6 2 5" xfId="39018" xr:uid="{00000000-0005-0000-0000-0000113C0000}"/>
    <cellStyle name="Normal 2 3 5 6 3" xfId="10841" xr:uid="{00000000-0005-0000-0000-0000123C0000}"/>
    <cellStyle name="Normal 2 3 5 6 3 2" xfId="34326" xr:uid="{00000000-0005-0000-0000-0000133C0000}"/>
    <cellStyle name="Normal 2 3 5 6 3 3" xfId="25007" xr:uid="{00000000-0005-0000-0000-0000143C0000}"/>
    <cellStyle name="Normal 2 3 5 6 3 4" xfId="48269" xr:uid="{00000000-0005-0000-0000-0000153C0000}"/>
    <cellStyle name="Normal 2 3 5 6 4" xfId="15572" xr:uid="{00000000-0005-0000-0000-0000163C0000}"/>
    <cellStyle name="Normal 2 3 5 6 4 2" xfId="29704" xr:uid="{00000000-0005-0000-0000-0000173C0000}"/>
    <cellStyle name="Normal 2 3 5 6 4 3" xfId="43599" xr:uid="{00000000-0005-0000-0000-0000183C0000}"/>
    <cellStyle name="Normal 2 3 5 6 5" xfId="20385" xr:uid="{00000000-0005-0000-0000-0000193C0000}"/>
    <cellStyle name="Normal 2 3 5 6 6" xfId="39017" xr:uid="{00000000-0005-0000-0000-00001A3C0000}"/>
    <cellStyle name="Normal 2 3 5 7" xfId="4989" xr:uid="{00000000-0005-0000-0000-00001B3C0000}"/>
    <cellStyle name="Normal 2 3 5 7 2" xfId="10843" xr:uid="{00000000-0005-0000-0000-00001C3C0000}"/>
    <cellStyle name="Normal 2 3 5 7 2 2" xfId="34328" xr:uid="{00000000-0005-0000-0000-00001D3C0000}"/>
    <cellStyle name="Normal 2 3 5 7 2 3" xfId="25009" xr:uid="{00000000-0005-0000-0000-00001E3C0000}"/>
    <cellStyle name="Normal 2 3 5 7 2 4" xfId="48271" xr:uid="{00000000-0005-0000-0000-00001F3C0000}"/>
    <cellStyle name="Normal 2 3 5 7 3" xfId="15574" xr:uid="{00000000-0005-0000-0000-0000203C0000}"/>
    <cellStyle name="Normal 2 3 5 7 3 2" xfId="29706" xr:uid="{00000000-0005-0000-0000-0000213C0000}"/>
    <cellStyle name="Normal 2 3 5 7 3 3" xfId="43601" xr:uid="{00000000-0005-0000-0000-0000223C0000}"/>
    <cellStyle name="Normal 2 3 5 7 4" xfId="20387" xr:uid="{00000000-0005-0000-0000-0000233C0000}"/>
    <cellStyle name="Normal 2 3 5 7 5" xfId="39019" xr:uid="{00000000-0005-0000-0000-0000243C0000}"/>
    <cellStyle name="Normal 2 3 5 8" xfId="10832" xr:uid="{00000000-0005-0000-0000-0000253C0000}"/>
    <cellStyle name="Normal 2 3 5 8 2" xfId="34317" xr:uid="{00000000-0005-0000-0000-0000263C0000}"/>
    <cellStyle name="Normal 2 3 5 8 3" xfId="24998" xr:uid="{00000000-0005-0000-0000-0000273C0000}"/>
    <cellStyle name="Normal 2 3 5 8 4" xfId="48260" xr:uid="{00000000-0005-0000-0000-0000283C0000}"/>
    <cellStyle name="Normal 2 3 5 9" xfId="15563" xr:uid="{00000000-0005-0000-0000-0000293C0000}"/>
    <cellStyle name="Normal 2 3 5 9 2" xfId="29695" xr:uid="{00000000-0005-0000-0000-00002A3C0000}"/>
    <cellStyle name="Normal 2 3 5 9 3" xfId="43590" xr:uid="{00000000-0005-0000-0000-00002B3C0000}"/>
    <cellStyle name="Normal 2 3 6" xfId="4990" xr:uid="{00000000-0005-0000-0000-00002C3C0000}"/>
    <cellStyle name="Normal 2 3 6 10" xfId="20388" xr:uid="{00000000-0005-0000-0000-00002D3C0000}"/>
    <cellStyle name="Normal 2 3 6 11" xfId="39020" xr:uid="{00000000-0005-0000-0000-00002E3C0000}"/>
    <cellStyle name="Normal 2 3 6 2" xfId="4991" xr:uid="{00000000-0005-0000-0000-00002F3C0000}"/>
    <cellStyle name="Normal 2 3 6 2 2" xfId="4992" xr:uid="{00000000-0005-0000-0000-0000303C0000}"/>
    <cellStyle name="Normal 2 3 6 2 2 2" xfId="10846" xr:uid="{00000000-0005-0000-0000-0000313C0000}"/>
    <cellStyle name="Normal 2 3 6 2 2 2 2" xfId="34331" xr:uid="{00000000-0005-0000-0000-0000323C0000}"/>
    <cellStyle name="Normal 2 3 6 2 2 2 3" xfId="25012" xr:uid="{00000000-0005-0000-0000-0000333C0000}"/>
    <cellStyle name="Normal 2 3 6 2 2 2 4" xfId="48274" xr:uid="{00000000-0005-0000-0000-0000343C0000}"/>
    <cellStyle name="Normal 2 3 6 2 2 3" xfId="15577" xr:uid="{00000000-0005-0000-0000-0000353C0000}"/>
    <cellStyle name="Normal 2 3 6 2 2 3 2" xfId="29709" xr:uid="{00000000-0005-0000-0000-0000363C0000}"/>
    <cellStyle name="Normal 2 3 6 2 2 3 3" xfId="43604" xr:uid="{00000000-0005-0000-0000-0000373C0000}"/>
    <cellStyle name="Normal 2 3 6 2 2 4" xfId="20390" xr:uid="{00000000-0005-0000-0000-0000383C0000}"/>
    <cellStyle name="Normal 2 3 6 2 2 5" xfId="39022" xr:uid="{00000000-0005-0000-0000-0000393C0000}"/>
    <cellStyle name="Normal 2 3 6 2 3" xfId="10845" xr:uid="{00000000-0005-0000-0000-00003A3C0000}"/>
    <cellStyle name="Normal 2 3 6 2 3 2" xfId="34330" xr:uid="{00000000-0005-0000-0000-00003B3C0000}"/>
    <cellStyle name="Normal 2 3 6 2 3 3" xfId="25011" xr:uid="{00000000-0005-0000-0000-00003C3C0000}"/>
    <cellStyle name="Normal 2 3 6 2 3 4" xfId="48273" xr:uid="{00000000-0005-0000-0000-00003D3C0000}"/>
    <cellStyle name="Normal 2 3 6 2 4" xfId="15576" xr:uid="{00000000-0005-0000-0000-00003E3C0000}"/>
    <cellStyle name="Normal 2 3 6 2 4 2" xfId="29708" xr:uid="{00000000-0005-0000-0000-00003F3C0000}"/>
    <cellStyle name="Normal 2 3 6 2 4 3" xfId="43603" xr:uid="{00000000-0005-0000-0000-0000403C0000}"/>
    <cellStyle name="Normal 2 3 6 2 5" xfId="20389" xr:uid="{00000000-0005-0000-0000-0000413C0000}"/>
    <cellStyle name="Normal 2 3 6 2 6" xfId="39021" xr:uid="{00000000-0005-0000-0000-0000423C0000}"/>
    <cellStyle name="Normal 2 3 6 3" xfId="4993" xr:uid="{00000000-0005-0000-0000-0000433C0000}"/>
    <cellStyle name="Normal 2 3 6 3 2" xfId="4994" xr:uid="{00000000-0005-0000-0000-0000443C0000}"/>
    <cellStyle name="Normal 2 3 6 3 2 2" xfId="10848" xr:uid="{00000000-0005-0000-0000-0000453C0000}"/>
    <cellStyle name="Normal 2 3 6 3 2 2 2" xfId="34333" xr:uid="{00000000-0005-0000-0000-0000463C0000}"/>
    <cellStyle name="Normal 2 3 6 3 2 2 3" xfId="25014" xr:uid="{00000000-0005-0000-0000-0000473C0000}"/>
    <cellStyle name="Normal 2 3 6 3 2 2 4" xfId="48276" xr:uid="{00000000-0005-0000-0000-0000483C0000}"/>
    <cellStyle name="Normal 2 3 6 3 2 3" xfId="15579" xr:uid="{00000000-0005-0000-0000-0000493C0000}"/>
    <cellStyle name="Normal 2 3 6 3 2 3 2" xfId="29711" xr:uid="{00000000-0005-0000-0000-00004A3C0000}"/>
    <cellStyle name="Normal 2 3 6 3 2 3 3" xfId="43606" xr:uid="{00000000-0005-0000-0000-00004B3C0000}"/>
    <cellStyle name="Normal 2 3 6 3 2 4" xfId="20392" xr:uid="{00000000-0005-0000-0000-00004C3C0000}"/>
    <cellStyle name="Normal 2 3 6 3 2 5" xfId="39024" xr:uid="{00000000-0005-0000-0000-00004D3C0000}"/>
    <cellStyle name="Normal 2 3 6 3 3" xfId="10847" xr:uid="{00000000-0005-0000-0000-00004E3C0000}"/>
    <cellStyle name="Normal 2 3 6 3 3 2" xfId="34332" xr:uid="{00000000-0005-0000-0000-00004F3C0000}"/>
    <cellStyle name="Normal 2 3 6 3 3 3" xfId="25013" xr:uid="{00000000-0005-0000-0000-0000503C0000}"/>
    <cellStyle name="Normal 2 3 6 3 3 4" xfId="48275" xr:uid="{00000000-0005-0000-0000-0000513C0000}"/>
    <cellStyle name="Normal 2 3 6 3 4" xfId="15578" xr:uid="{00000000-0005-0000-0000-0000523C0000}"/>
    <cellStyle name="Normal 2 3 6 3 4 2" xfId="29710" xr:uid="{00000000-0005-0000-0000-0000533C0000}"/>
    <cellStyle name="Normal 2 3 6 3 4 3" xfId="43605" xr:uid="{00000000-0005-0000-0000-0000543C0000}"/>
    <cellStyle name="Normal 2 3 6 3 5" xfId="20391" xr:uid="{00000000-0005-0000-0000-0000553C0000}"/>
    <cellStyle name="Normal 2 3 6 3 6" xfId="39023" xr:uid="{00000000-0005-0000-0000-0000563C0000}"/>
    <cellStyle name="Normal 2 3 6 4" xfId="4995" xr:uid="{00000000-0005-0000-0000-0000573C0000}"/>
    <cellStyle name="Normal 2 3 6 4 2" xfId="4996" xr:uid="{00000000-0005-0000-0000-0000583C0000}"/>
    <cellStyle name="Normal 2 3 6 4 2 2" xfId="10850" xr:uid="{00000000-0005-0000-0000-0000593C0000}"/>
    <cellStyle name="Normal 2 3 6 4 2 2 2" xfId="34335" xr:uid="{00000000-0005-0000-0000-00005A3C0000}"/>
    <cellStyle name="Normal 2 3 6 4 2 2 3" xfId="25016" xr:uid="{00000000-0005-0000-0000-00005B3C0000}"/>
    <cellStyle name="Normal 2 3 6 4 2 2 4" xfId="48278" xr:uid="{00000000-0005-0000-0000-00005C3C0000}"/>
    <cellStyle name="Normal 2 3 6 4 2 3" xfId="15581" xr:uid="{00000000-0005-0000-0000-00005D3C0000}"/>
    <cellStyle name="Normal 2 3 6 4 2 3 2" xfId="29713" xr:uid="{00000000-0005-0000-0000-00005E3C0000}"/>
    <cellStyle name="Normal 2 3 6 4 2 3 3" xfId="43608" xr:uid="{00000000-0005-0000-0000-00005F3C0000}"/>
    <cellStyle name="Normal 2 3 6 4 2 4" xfId="20394" xr:uid="{00000000-0005-0000-0000-0000603C0000}"/>
    <cellStyle name="Normal 2 3 6 4 2 5" xfId="39026" xr:uid="{00000000-0005-0000-0000-0000613C0000}"/>
    <cellStyle name="Normal 2 3 6 4 3" xfId="10849" xr:uid="{00000000-0005-0000-0000-0000623C0000}"/>
    <cellStyle name="Normal 2 3 6 4 3 2" xfId="34334" xr:uid="{00000000-0005-0000-0000-0000633C0000}"/>
    <cellStyle name="Normal 2 3 6 4 3 3" xfId="25015" xr:uid="{00000000-0005-0000-0000-0000643C0000}"/>
    <cellStyle name="Normal 2 3 6 4 3 4" xfId="48277" xr:uid="{00000000-0005-0000-0000-0000653C0000}"/>
    <cellStyle name="Normal 2 3 6 4 4" xfId="15580" xr:uid="{00000000-0005-0000-0000-0000663C0000}"/>
    <cellStyle name="Normal 2 3 6 4 4 2" xfId="29712" xr:uid="{00000000-0005-0000-0000-0000673C0000}"/>
    <cellStyle name="Normal 2 3 6 4 4 3" xfId="43607" xr:uid="{00000000-0005-0000-0000-0000683C0000}"/>
    <cellStyle name="Normal 2 3 6 4 5" xfId="20393" xr:uid="{00000000-0005-0000-0000-0000693C0000}"/>
    <cellStyle name="Normal 2 3 6 4 6" xfId="39025" xr:uid="{00000000-0005-0000-0000-00006A3C0000}"/>
    <cellStyle name="Normal 2 3 6 5" xfId="4997" xr:uid="{00000000-0005-0000-0000-00006B3C0000}"/>
    <cellStyle name="Normal 2 3 6 5 2" xfId="4998" xr:uid="{00000000-0005-0000-0000-00006C3C0000}"/>
    <cellStyle name="Normal 2 3 6 5 2 2" xfId="10852" xr:uid="{00000000-0005-0000-0000-00006D3C0000}"/>
    <cellStyle name="Normal 2 3 6 5 2 2 2" xfId="34337" xr:uid="{00000000-0005-0000-0000-00006E3C0000}"/>
    <cellStyle name="Normal 2 3 6 5 2 2 3" xfId="25018" xr:uid="{00000000-0005-0000-0000-00006F3C0000}"/>
    <cellStyle name="Normal 2 3 6 5 2 2 4" xfId="48280" xr:uid="{00000000-0005-0000-0000-0000703C0000}"/>
    <cellStyle name="Normal 2 3 6 5 2 3" xfId="15583" xr:uid="{00000000-0005-0000-0000-0000713C0000}"/>
    <cellStyle name="Normal 2 3 6 5 2 3 2" xfId="29715" xr:uid="{00000000-0005-0000-0000-0000723C0000}"/>
    <cellStyle name="Normal 2 3 6 5 2 3 3" xfId="43610" xr:uid="{00000000-0005-0000-0000-0000733C0000}"/>
    <cellStyle name="Normal 2 3 6 5 2 4" xfId="20396" xr:uid="{00000000-0005-0000-0000-0000743C0000}"/>
    <cellStyle name="Normal 2 3 6 5 2 5" xfId="39028" xr:uid="{00000000-0005-0000-0000-0000753C0000}"/>
    <cellStyle name="Normal 2 3 6 5 3" xfId="10851" xr:uid="{00000000-0005-0000-0000-0000763C0000}"/>
    <cellStyle name="Normal 2 3 6 5 3 2" xfId="34336" xr:uid="{00000000-0005-0000-0000-0000773C0000}"/>
    <cellStyle name="Normal 2 3 6 5 3 3" xfId="25017" xr:uid="{00000000-0005-0000-0000-0000783C0000}"/>
    <cellStyle name="Normal 2 3 6 5 3 4" xfId="48279" xr:uid="{00000000-0005-0000-0000-0000793C0000}"/>
    <cellStyle name="Normal 2 3 6 5 4" xfId="15582" xr:uid="{00000000-0005-0000-0000-00007A3C0000}"/>
    <cellStyle name="Normal 2 3 6 5 4 2" xfId="29714" xr:uid="{00000000-0005-0000-0000-00007B3C0000}"/>
    <cellStyle name="Normal 2 3 6 5 4 3" xfId="43609" xr:uid="{00000000-0005-0000-0000-00007C3C0000}"/>
    <cellStyle name="Normal 2 3 6 5 5" xfId="20395" xr:uid="{00000000-0005-0000-0000-00007D3C0000}"/>
    <cellStyle name="Normal 2 3 6 5 6" xfId="39027" xr:uid="{00000000-0005-0000-0000-00007E3C0000}"/>
    <cellStyle name="Normal 2 3 6 6" xfId="4999" xr:uid="{00000000-0005-0000-0000-00007F3C0000}"/>
    <cellStyle name="Normal 2 3 6 6 2" xfId="5000" xr:uid="{00000000-0005-0000-0000-0000803C0000}"/>
    <cellStyle name="Normal 2 3 6 6 2 2" xfId="10854" xr:uid="{00000000-0005-0000-0000-0000813C0000}"/>
    <cellStyle name="Normal 2 3 6 6 2 2 2" xfId="34339" xr:uid="{00000000-0005-0000-0000-0000823C0000}"/>
    <cellStyle name="Normal 2 3 6 6 2 2 3" xfId="25020" xr:uid="{00000000-0005-0000-0000-0000833C0000}"/>
    <cellStyle name="Normal 2 3 6 6 2 2 4" xfId="48282" xr:uid="{00000000-0005-0000-0000-0000843C0000}"/>
    <cellStyle name="Normal 2 3 6 6 2 3" xfId="15585" xr:uid="{00000000-0005-0000-0000-0000853C0000}"/>
    <cellStyle name="Normal 2 3 6 6 2 3 2" xfId="29717" xr:uid="{00000000-0005-0000-0000-0000863C0000}"/>
    <cellStyle name="Normal 2 3 6 6 2 3 3" xfId="43612" xr:uid="{00000000-0005-0000-0000-0000873C0000}"/>
    <cellStyle name="Normal 2 3 6 6 2 4" xfId="20398" xr:uid="{00000000-0005-0000-0000-0000883C0000}"/>
    <cellStyle name="Normal 2 3 6 6 2 5" xfId="39030" xr:uid="{00000000-0005-0000-0000-0000893C0000}"/>
    <cellStyle name="Normal 2 3 6 6 3" xfId="10853" xr:uid="{00000000-0005-0000-0000-00008A3C0000}"/>
    <cellStyle name="Normal 2 3 6 6 3 2" xfId="34338" xr:uid="{00000000-0005-0000-0000-00008B3C0000}"/>
    <cellStyle name="Normal 2 3 6 6 3 3" xfId="25019" xr:uid="{00000000-0005-0000-0000-00008C3C0000}"/>
    <cellStyle name="Normal 2 3 6 6 3 4" xfId="48281" xr:uid="{00000000-0005-0000-0000-00008D3C0000}"/>
    <cellStyle name="Normal 2 3 6 6 4" xfId="15584" xr:uid="{00000000-0005-0000-0000-00008E3C0000}"/>
    <cellStyle name="Normal 2 3 6 6 4 2" xfId="29716" xr:uid="{00000000-0005-0000-0000-00008F3C0000}"/>
    <cellStyle name="Normal 2 3 6 6 4 3" xfId="43611" xr:uid="{00000000-0005-0000-0000-0000903C0000}"/>
    <cellStyle name="Normal 2 3 6 6 5" xfId="20397" xr:uid="{00000000-0005-0000-0000-0000913C0000}"/>
    <cellStyle name="Normal 2 3 6 6 6" xfId="39029" xr:uid="{00000000-0005-0000-0000-0000923C0000}"/>
    <cellStyle name="Normal 2 3 6 7" xfId="5001" xr:uid="{00000000-0005-0000-0000-0000933C0000}"/>
    <cellStyle name="Normal 2 3 6 7 2" xfId="10855" xr:uid="{00000000-0005-0000-0000-0000943C0000}"/>
    <cellStyle name="Normal 2 3 6 7 2 2" xfId="34340" xr:uid="{00000000-0005-0000-0000-0000953C0000}"/>
    <cellStyle name="Normal 2 3 6 7 2 3" xfId="25021" xr:uid="{00000000-0005-0000-0000-0000963C0000}"/>
    <cellStyle name="Normal 2 3 6 7 2 4" xfId="48283" xr:uid="{00000000-0005-0000-0000-0000973C0000}"/>
    <cellStyle name="Normal 2 3 6 7 3" xfId="15586" xr:uid="{00000000-0005-0000-0000-0000983C0000}"/>
    <cellStyle name="Normal 2 3 6 7 3 2" xfId="29718" xr:uid="{00000000-0005-0000-0000-0000993C0000}"/>
    <cellStyle name="Normal 2 3 6 7 3 3" xfId="43613" xr:uid="{00000000-0005-0000-0000-00009A3C0000}"/>
    <cellStyle name="Normal 2 3 6 7 4" xfId="20399" xr:uid="{00000000-0005-0000-0000-00009B3C0000}"/>
    <cellStyle name="Normal 2 3 6 7 5" xfId="39031" xr:uid="{00000000-0005-0000-0000-00009C3C0000}"/>
    <cellStyle name="Normal 2 3 6 8" xfId="10844" xr:uid="{00000000-0005-0000-0000-00009D3C0000}"/>
    <cellStyle name="Normal 2 3 6 8 2" xfId="34329" xr:uid="{00000000-0005-0000-0000-00009E3C0000}"/>
    <cellStyle name="Normal 2 3 6 8 3" xfId="25010" xr:uid="{00000000-0005-0000-0000-00009F3C0000}"/>
    <cellStyle name="Normal 2 3 6 8 4" xfId="48272" xr:uid="{00000000-0005-0000-0000-0000A03C0000}"/>
    <cellStyle name="Normal 2 3 6 9" xfId="15575" xr:uid="{00000000-0005-0000-0000-0000A13C0000}"/>
    <cellStyle name="Normal 2 3 6 9 2" xfId="29707" xr:uid="{00000000-0005-0000-0000-0000A23C0000}"/>
    <cellStyle name="Normal 2 3 6 9 3" xfId="43602" xr:uid="{00000000-0005-0000-0000-0000A33C0000}"/>
    <cellStyle name="Normal 2 3 7" xfId="5002" xr:uid="{00000000-0005-0000-0000-0000A43C0000}"/>
    <cellStyle name="Normal 2 3 7 10" xfId="20400" xr:uid="{00000000-0005-0000-0000-0000A53C0000}"/>
    <cellStyle name="Normal 2 3 7 11" xfId="39032" xr:uid="{00000000-0005-0000-0000-0000A63C0000}"/>
    <cellStyle name="Normal 2 3 7 2" xfId="5003" xr:uid="{00000000-0005-0000-0000-0000A73C0000}"/>
    <cellStyle name="Normal 2 3 7 2 2" xfId="5004" xr:uid="{00000000-0005-0000-0000-0000A83C0000}"/>
    <cellStyle name="Normal 2 3 7 2 2 2" xfId="10858" xr:uid="{00000000-0005-0000-0000-0000A93C0000}"/>
    <cellStyle name="Normal 2 3 7 2 2 2 2" xfId="34343" xr:uid="{00000000-0005-0000-0000-0000AA3C0000}"/>
    <cellStyle name="Normal 2 3 7 2 2 2 3" xfId="25024" xr:uid="{00000000-0005-0000-0000-0000AB3C0000}"/>
    <cellStyle name="Normal 2 3 7 2 2 2 4" xfId="48286" xr:uid="{00000000-0005-0000-0000-0000AC3C0000}"/>
    <cellStyle name="Normal 2 3 7 2 2 3" xfId="15589" xr:uid="{00000000-0005-0000-0000-0000AD3C0000}"/>
    <cellStyle name="Normal 2 3 7 2 2 3 2" xfId="29721" xr:uid="{00000000-0005-0000-0000-0000AE3C0000}"/>
    <cellStyle name="Normal 2 3 7 2 2 3 3" xfId="43616" xr:uid="{00000000-0005-0000-0000-0000AF3C0000}"/>
    <cellStyle name="Normal 2 3 7 2 2 4" xfId="20402" xr:uid="{00000000-0005-0000-0000-0000B03C0000}"/>
    <cellStyle name="Normal 2 3 7 2 2 5" xfId="39034" xr:uid="{00000000-0005-0000-0000-0000B13C0000}"/>
    <cellStyle name="Normal 2 3 7 2 3" xfId="10857" xr:uid="{00000000-0005-0000-0000-0000B23C0000}"/>
    <cellStyle name="Normal 2 3 7 2 3 2" xfId="34342" xr:uid="{00000000-0005-0000-0000-0000B33C0000}"/>
    <cellStyle name="Normal 2 3 7 2 3 3" xfId="25023" xr:uid="{00000000-0005-0000-0000-0000B43C0000}"/>
    <cellStyle name="Normal 2 3 7 2 3 4" xfId="48285" xr:uid="{00000000-0005-0000-0000-0000B53C0000}"/>
    <cellStyle name="Normal 2 3 7 2 4" xfId="15588" xr:uid="{00000000-0005-0000-0000-0000B63C0000}"/>
    <cellStyle name="Normal 2 3 7 2 4 2" xfId="29720" xr:uid="{00000000-0005-0000-0000-0000B73C0000}"/>
    <cellStyle name="Normal 2 3 7 2 4 3" xfId="43615" xr:uid="{00000000-0005-0000-0000-0000B83C0000}"/>
    <cellStyle name="Normal 2 3 7 2 5" xfId="20401" xr:uid="{00000000-0005-0000-0000-0000B93C0000}"/>
    <cellStyle name="Normal 2 3 7 2 6" xfId="39033" xr:uid="{00000000-0005-0000-0000-0000BA3C0000}"/>
    <cellStyle name="Normal 2 3 7 3" xfId="5005" xr:uid="{00000000-0005-0000-0000-0000BB3C0000}"/>
    <cellStyle name="Normal 2 3 7 3 2" xfId="5006" xr:uid="{00000000-0005-0000-0000-0000BC3C0000}"/>
    <cellStyle name="Normal 2 3 7 3 2 2" xfId="10860" xr:uid="{00000000-0005-0000-0000-0000BD3C0000}"/>
    <cellStyle name="Normal 2 3 7 3 2 2 2" xfId="34345" xr:uid="{00000000-0005-0000-0000-0000BE3C0000}"/>
    <cellStyle name="Normal 2 3 7 3 2 2 3" xfId="25026" xr:uid="{00000000-0005-0000-0000-0000BF3C0000}"/>
    <cellStyle name="Normal 2 3 7 3 2 2 4" xfId="48288" xr:uid="{00000000-0005-0000-0000-0000C03C0000}"/>
    <cellStyle name="Normal 2 3 7 3 2 3" xfId="15591" xr:uid="{00000000-0005-0000-0000-0000C13C0000}"/>
    <cellStyle name="Normal 2 3 7 3 2 3 2" xfId="29723" xr:uid="{00000000-0005-0000-0000-0000C23C0000}"/>
    <cellStyle name="Normal 2 3 7 3 2 3 3" xfId="43618" xr:uid="{00000000-0005-0000-0000-0000C33C0000}"/>
    <cellStyle name="Normal 2 3 7 3 2 4" xfId="20404" xr:uid="{00000000-0005-0000-0000-0000C43C0000}"/>
    <cellStyle name="Normal 2 3 7 3 2 5" xfId="39036" xr:uid="{00000000-0005-0000-0000-0000C53C0000}"/>
    <cellStyle name="Normal 2 3 7 3 3" xfId="10859" xr:uid="{00000000-0005-0000-0000-0000C63C0000}"/>
    <cellStyle name="Normal 2 3 7 3 3 2" xfId="34344" xr:uid="{00000000-0005-0000-0000-0000C73C0000}"/>
    <cellStyle name="Normal 2 3 7 3 3 3" xfId="25025" xr:uid="{00000000-0005-0000-0000-0000C83C0000}"/>
    <cellStyle name="Normal 2 3 7 3 3 4" xfId="48287" xr:uid="{00000000-0005-0000-0000-0000C93C0000}"/>
    <cellStyle name="Normal 2 3 7 3 4" xfId="15590" xr:uid="{00000000-0005-0000-0000-0000CA3C0000}"/>
    <cellStyle name="Normal 2 3 7 3 4 2" xfId="29722" xr:uid="{00000000-0005-0000-0000-0000CB3C0000}"/>
    <cellStyle name="Normal 2 3 7 3 4 3" xfId="43617" xr:uid="{00000000-0005-0000-0000-0000CC3C0000}"/>
    <cellStyle name="Normal 2 3 7 3 5" xfId="20403" xr:uid="{00000000-0005-0000-0000-0000CD3C0000}"/>
    <cellStyle name="Normal 2 3 7 3 6" xfId="39035" xr:uid="{00000000-0005-0000-0000-0000CE3C0000}"/>
    <cellStyle name="Normal 2 3 7 4" xfId="5007" xr:uid="{00000000-0005-0000-0000-0000CF3C0000}"/>
    <cellStyle name="Normal 2 3 7 4 2" xfId="5008" xr:uid="{00000000-0005-0000-0000-0000D03C0000}"/>
    <cellStyle name="Normal 2 3 7 4 2 2" xfId="10862" xr:uid="{00000000-0005-0000-0000-0000D13C0000}"/>
    <cellStyle name="Normal 2 3 7 4 2 2 2" xfId="34347" xr:uid="{00000000-0005-0000-0000-0000D23C0000}"/>
    <cellStyle name="Normal 2 3 7 4 2 2 3" xfId="25028" xr:uid="{00000000-0005-0000-0000-0000D33C0000}"/>
    <cellStyle name="Normal 2 3 7 4 2 2 4" xfId="48290" xr:uid="{00000000-0005-0000-0000-0000D43C0000}"/>
    <cellStyle name="Normal 2 3 7 4 2 3" xfId="15593" xr:uid="{00000000-0005-0000-0000-0000D53C0000}"/>
    <cellStyle name="Normal 2 3 7 4 2 3 2" xfId="29725" xr:uid="{00000000-0005-0000-0000-0000D63C0000}"/>
    <cellStyle name="Normal 2 3 7 4 2 3 3" xfId="43620" xr:uid="{00000000-0005-0000-0000-0000D73C0000}"/>
    <cellStyle name="Normal 2 3 7 4 2 4" xfId="20406" xr:uid="{00000000-0005-0000-0000-0000D83C0000}"/>
    <cellStyle name="Normal 2 3 7 4 2 5" xfId="39038" xr:uid="{00000000-0005-0000-0000-0000D93C0000}"/>
    <cellStyle name="Normal 2 3 7 4 3" xfId="10861" xr:uid="{00000000-0005-0000-0000-0000DA3C0000}"/>
    <cellStyle name="Normal 2 3 7 4 3 2" xfId="34346" xr:uid="{00000000-0005-0000-0000-0000DB3C0000}"/>
    <cellStyle name="Normal 2 3 7 4 3 3" xfId="25027" xr:uid="{00000000-0005-0000-0000-0000DC3C0000}"/>
    <cellStyle name="Normal 2 3 7 4 3 4" xfId="48289" xr:uid="{00000000-0005-0000-0000-0000DD3C0000}"/>
    <cellStyle name="Normal 2 3 7 4 4" xfId="15592" xr:uid="{00000000-0005-0000-0000-0000DE3C0000}"/>
    <cellStyle name="Normal 2 3 7 4 4 2" xfId="29724" xr:uid="{00000000-0005-0000-0000-0000DF3C0000}"/>
    <cellStyle name="Normal 2 3 7 4 4 3" xfId="43619" xr:uid="{00000000-0005-0000-0000-0000E03C0000}"/>
    <cellStyle name="Normal 2 3 7 4 5" xfId="20405" xr:uid="{00000000-0005-0000-0000-0000E13C0000}"/>
    <cellStyle name="Normal 2 3 7 4 6" xfId="39037" xr:uid="{00000000-0005-0000-0000-0000E23C0000}"/>
    <cellStyle name="Normal 2 3 7 5" xfId="5009" xr:uid="{00000000-0005-0000-0000-0000E33C0000}"/>
    <cellStyle name="Normal 2 3 7 5 2" xfId="5010" xr:uid="{00000000-0005-0000-0000-0000E43C0000}"/>
    <cellStyle name="Normal 2 3 7 5 2 2" xfId="10864" xr:uid="{00000000-0005-0000-0000-0000E53C0000}"/>
    <cellStyle name="Normal 2 3 7 5 2 2 2" xfId="34349" xr:uid="{00000000-0005-0000-0000-0000E63C0000}"/>
    <cellStyle name="Normal 2 3 7 5 2 2 3" xfId="25030" xr:uid="{00000000-0005-0000-0000-0000E73C0000}"/>
    <cellStyle name="Normal 2 3 7 5 2 2 4" xfId="48292" xr:uid="{00000000-0005-0000-0000-0000E83C0000}"/>
    <cellStyle name="Normal 2 3 7 5 2 3" xfId="15595" xr:uid="{00000000-0005-0000-0000-0000E93C0000}"/>
    <cellStyle name="Normal 2 3 7 5 2 3 2" xfId="29727" xr:uid="{00000000-0005-0000-0000-0000EA3C0000}"/>
    <cellStyle name="Normal 2 3 7 5 2 3 3" xfId="43622" xr:uid="{00000000-0005-0000-0000-0000EB3C0000}"/>
    <cellStyle name="Normal 2 3 7 5 2 4" xfId="20408" xr:uid="{00000000-0005-0000-0000-0000EC3C0000}"/>
    <cellStyle name="Normal 2 3 7 5 2 5" xfId="39040" xr:uid="{00000000-0005-0000-0000-0000ED3C0000}"/>
    <cellStyle name="Normal 2 3 7 5 3" xfId="10863" xr:uid="{00000000-0005-0000-0000-0000EE3C0000}"/>
    <cellStyle name="Normal 2 3 7 5 3 2" xfId="34348" xr:uid="{00000000-0005-0000-0000-0000EF3C0000}"/>
    <cellStyle name="Normal 2 3 7 5 3 3" xfId="25029" xr:uid="{00000000-0005-0000-0000-0000F03C0000}"/>
    <cellStyle name="Normal 2 3 7 5 3 4" xfId="48291" xr:uid="{00000000-0005-0000-0000-0000F13C0000}"/>
    <cellStyle name="Normal 2 3 7 5 4" xfId="15594" xr:uid="{00000000-0005-0000-0000-0000F23C0000}"/>
    <cellStyle name="Normal 2 3 7 5 4 2" xfId="29726" xr:uid="{00000000-0005-0000-0000-0000F33C0000}"/>
    <cellStyle name="Normal 2 3 7 5 4 3" xfId="43621" xr:uid="{00000000-0005-0000-0000-0000F43C0000}"/>
    <cellStyle name="Normal 2 3 7 5 5" xfId="20407" xr:uid="{00000000-0005-0000-0000-0000F53C0000}"/>
    <cellStyle name="Normal 2 3 7 5 6" xfId="39039" xr:uid="{00000000-0005-0000-0000-0000F63C0000}"/>
    <cellStyle name="Normal 2 3 7 6" xfId="5011" xr:uid="{00000000-0005-0000-0000-0000F73C0000}"/>
    <cellStyle name="Normal 2 3 7 6 2" xfId="5012" xr:uid="{00000000-0005-0000-0000-0000F83C0000}"/>
    <cellStyle name="Normal 2 3 7 6 2 2" xfId="10866" xr:uid="{00000000-0005-0000-0000-0000F93C0000}"/>
    <cellStyle name="Normal 2 3 7 6 2 2 2" xfId="34351" xr:uid="{00000000-0005-0000-0000-0000FA3C0000}"/>
    <cellStyle name="Normal 2 3 7 6 2 2 3" xfId="25032" xr:uid="{00000000-0005-0000-0000-0000FB3C0000}"/>
    <cellStyle name="Normal 2 3 7 6 2 2 4" xfId="48294" xr:uid="{00000000-0005-0000-0000-0000FC3C0000}"/>
    <cellStyle name="Normal 2 3 7 6 2 3" xfId="15597" xr:uid="{00000000-0005-0000-0000-0000FD3C0000}"/>
    <cellStyle name="Normal 2 3 7 6 2 3 2" xfId="29729" xr:uid="{00000000-0005-0000-0000-0000FE3C0000}"/>
    <cellStyle name="Normal 2 3 7 6 2 3 3" xfId="43624" xr:uid="{00000000-0005-0000-0000-0000FF3C0000}"/>
    <cellStyle name="Normal 2 3 7 6 2 4" xfId="20410" xr:uid="{00000000-0005-0000-0000-0000003D0000}"/>
    <cellStyle name="Normal 2 3 7 6 2 5" xfId="39042" xr:uid="{00000000-0005-0000-0000-0000013D0000}"/>
    <cellStyle name="Normal 2 3 7 6 3" xfId="10865" xr:uid="{00000000-0005-0000-0000-0000023D0000}"/>
    <cellStyle name="Normal 2 3 7 6 3 2" xfId="34350" xr:uid="{00000000-0005-0000-0000-0000033D0000}"/>
    <cellStyle name="Normal 2 3 7 6 3 3" xfId="25031" xr:uid="{00000000-0005-0000-0000-0000043D0000}"/>
    <cellStyle name="Normal 2 3 7 6 3 4" xfId="48293" xr:uid="{00000000-0005-0000-0000-0000053D0000}"/>
    <cellStyle name="Normal 2 3 7 6 4" xfId="15596" xr:uid="{00000000-0005-0000-0000-0000063D0000}"/>
    <cellStyle name="Normal 2 3 7 6 4 2" xfId="29728" xr:uid="{00000000-0005-0000-0000-0000073D0000}"/>
    <cellStyle name="Normal 2 3 7 6 4 3" xfId="43623" xr:uid="{00000000-0005-0000-0000-0000083D0000}"/>
    <cellStyle name="Normal 2 3 7 6 5" xfId="20409" xr:uid="{00000000-0005-0000-0000-0000093D0000}"/>
    <cellStyle name="Normal 2 3 7 6 6" xfId="39041" xr:uid="{00000000-0005-0000-0000-00000A3D0000}"/>
    <cellStyle name="Normal 2 3 7 7" xfId="5013" xr:uid="{00000000-0005-0000-0000-00000B3D0000}"/>
    <cellStyle name="Normal 2 3 7 7 2" xfId="10867" xr:uid="{00000000-0005-0000-0000-00000C3D0000}"/>
    <cellStyle name="Normal 2 3 7 7 2 2" xfId="34352" xr:uid="{00000000-0005-0000-0000-00000D3D0000}"/>
    <cellStyle name="Normal 2 3 7 7 2 3" xfId="25033" xr:uid="{00000000-0005-0000-0000-00000E3D0000}"/>
    <cellStyle name="Normal 2 3 7 7 2 4" xfId="48295" xr:uid="{00000000-0005-0000-0000-00000F3D0000}"/>
    <cellStyle name="Normal 2 3 7 7 3" xfId="15598" xr:uid="{00000000-0005-0000-0000-0000103D0000}"/>
    <cellStyle name="Normal 2 3 7 7 3 2" xfId="29730" xr:uid="{00000000-0005-0000-0000-0000113D0000}"/>
    <cellStyle name="Normal 2 3 7 7 3 3" xfId="43625" xr:uid="{00000000-0005-0000-0000-0000123D0000}"/>
    <cellStyle name="Normal 2 3 7 7 4" xfId="20411" xr:uid="{00000000-0005-0000-0000-0000133D0000}"/>
    <cellStyle name="Normal 2 3 7 7 5" xfId="39043" xr:uid="{00000000-0005-0000-0000-0000143D0000}"/>
    <cellStyle name="Normal 2 3 7 8" xfId="10856" xr:uid="{00000000-0005-0000-0000-0000153D0000}"/>
    <cellStyle name="Normal 2 3 7 8 2" xfId="34341" xr:uid="{00000000-0005-0000-0000-0000163D0000}"/>
    <cellStyle name="Normal 2 3 7 8 3" xfId="25022" xr:uid="{00000000-0005-0000-0000-0000173D0000}"/>
    <cellStyle name="Normal 2 3 7 8 4" xfId="48284" xr:uid="{00000000-0005-0000-0000-0000183D0000}"/>
    <cellStyle name="Normal 2 3 7 9" xfId="15587" xr:uid="{00000000-0005-0000-0000-0000193D0000}"/>
    <cellStyle name="Normal 2 3 7 9 2" xfId="29719" xr:uid="{00000000-0005-0000-0000-00001A3D0000}"/>
    <cellStyle name="Normal 2 3 7 9 3" xfId="43614" xr:uid="{00000000-0005-0000-0000-00001B3D0000}"/>
    <cellStyle name="Normal 2 3 8" xfId="5014" xr:uid="{00000000-0005-0000-0000-00001C3D0000}"/>
    <cellStyle name="Normal 2 3 8 10" xfId="20412" xr:uid="{00000000-0005-0000-0000-00001D3D0000}"/>
    <cellStyle name="Normal 2 3 8 11" xfId="39044" xr:uid="{00000000-0005-0000-0000-00001E3D0000}"/>
    <cellStyle name="Normal 2 3 8 2" xfId="5015" xr:uid="{00000000-0005-0000-0000-00001F3D0000}"/>
    <cellStyle name="Normal 2 3 8 2 2" xfId="5016" xr:uid="{00000000-0005-0000-0000-0000203D0000}"/>
    <cellStyle name="Normal 2 3 8 2 2 2" xfId="10870" xr:uid="{00000000-0005-0000-0000-0000213D0000}"/>
    <cellStyle name="Normal 2 3 8 2 2 2 2" xfId="34355" xr:uid="{00000000-0005-0000-0000-0000223D0000}"/>
    <cellStyle name="Normal 2 3 8 2 2 2 3" xfId="25036" xr:uid="{00000000-0005-0000-0000-0000233D0000}"/>
    <cellStyle name="Normal 2 3 8 2 2 2 4" xfId="48298" xr:uid="{00000000-0005-0000-0000-0000243D0000}"/>
    <cellStyle name="Normal 2 3 8 2 2 3" xfId="15601" xr:uid="{00000000-0005-0000-0000-0000253D0000}"/>
    <cellStyle name="Normal 2 3 8 2 2 3 2" xfId="29733" xr:uid="{00000000-0005-0000-0000-0000263D0000}"/>
    <cellStyle name="Normal 2 3 8 2 2 3 3" xfId="43628" xr:uid="{00000000-0005-0000-0000-0000273D0000}"/>
    <cellStyle name="Normal 2 3 8 2 2 4" xfId="20414" xr:uid="{00000000-0005-0000-0000-0000283D0000}"/>
    <cellStyle name="Normal 2 3 8 2 2 5" xfId="39046" xr:uid="{00000000-0005-0000-0000-0000293D0000}"/>
    <cellStyle name="Normal 2 3 8 2 3" xfId="10869" xr:uid="{00000000-0005-0000-0000-00002A3D0000}"/>
    <cellStyle name="Normal 2 3 8 2 3 2" xfId="34354" xr:uid="{00000000-0005-0000-0000-00002B3D0000}"/>
    <cellStyle name="Normal 2 3 8 2 3 3" xfId="25035" xr:uid="{00000000-0005-0000-0000-00002C3D0000}"/>
    <cellStyle name="Normal 2 3 8 2 3 4" xfId="48297" xr:uid="{00000000-0005-0000-0000-00002D3D0000}"/>
    <cellStyle name="Normal 2 3 8 2 4" xfId="15600" xr:uid="{00000000-0005-0000-0000-00002E3D0000}"/>
    <cellStyle name="Normal 2 3 8 2 4 2" xfId="29732" xr:uid="{00000000-0005-0000-0000-00002F3D0000}"/>
    <cellStyle name="Normal 2 3 8 2 4 3" xfId="43627" xr:uid="{00000000-0005-0000-0000-0000303D0000}"/>
    <cellStyle name="Normal 2 3 8 2 5" xfId="20413" xr:uid="{00000000-0005-0000-0000-0000313D0000}"/>
    <cellStyle name="Normal 2 3 8 2 6" xfId="39045" xr:uid="{00000000-0005-0000-0000-0000323D0000}"/>
    <cellStyle name="Normal 2 3 8 3" xfId="5017" xr:uid="{00000000-0005-0000-0000-0000333D0000}"/>
    <cellStyle name="Normal 2 3 8 3 2" xfId="5018" xr:uid="{00000000-0005-0000-0000-0000343D0000}"/>
    <cellStyle name="Normal 2 3 8 3 2 2" xfId="10872" xr:uid="{00000000-0005-0000-0000-0000353D0000}"/>
    <cellStyle name="Normal 2 3 8 3 2 2 2" xfId="34357" xr:uid="{00000000-0005-0000-0000-0000363D0000}"/>
    <cellStyle name="Normal 2 3 8 3 2 2 3" xfId="25038" xr:uid="{00000000-0005-0000-0000-0000373D0000}"/>
    <cellStyle name="Normal 2 3 8 3 2 2 4" xfId="48300" xr:uid="{00000000-0005-0000-0000-0000383D0000}"/>
    <cellStyle name="Normal 2 3 8 3 2 3" xfId="15603" xr:uid="{00000000-0005-0000-0000-0000393D0000}"/>
    <cellStyle name="Normal 2 3 8 3 2 3 2" xfId="29735" xr:uid="{00000000-0005-0000-0000-00003A3D0000}"/>
    <cellStyle name="Normal 2 3 8 3 2 3 3" xfId="43630" xr:uid="{00000000-0005-0000-0000-00003B3D0000}"/>
    <cellStyle name="Normal 2 3 8 3 2 4" xfId="20416" xr:uid="{00000000-0005-0000-0000-00003C3D0000}"/>
    <cellStyle name="Normal 2 3 8 3 2 5" xfId="39048" xr:uid="{00000000-0005-0000-0000-00003D3D0000}"/>
    <cellStyle name="Normal 2 3 8 3 3" xfId="10871" xr:uid="{00000000-0005-0000-0000-00003E3D0000}"/>
    <cellStyle name="Normal 2 3 8 3 3 2" xfId="34356" xr:uid="{00000000-0005-0000-0000-00003F3D0000}"/>
    <cellStyle name="Normal 2 3 8 3 3 3" xfId="25037" xr:uid="{00000000-0005-0000-0000-0000403D0000}"/>
    <cellStyle name="Normal 2 3 8 3 3 4" xfId="48299" xr:uid="{00000000-0005-0000-0000-0000413D0000}"/>
    <cellStyle name="Normal 2 3 8 3 4" xfId="15602" xr:uid="{00000000-0005-0000-0000-0000423D0000}"/>
    <cellStyle name="Normal 2 3 8 3 4 2" xfId="29734" xr:uid="{00000000-0005-0000-0000-0000433D0000}"/>
    <cellStyle name="Normal 2 3 8 3 4 3" xfId="43629" xr:uid="{00000000-0005-0000-0000-0000443D0000}"/>
    <cellStyle name="Normal 2 3 8 3 5" xfId="20415" xr:uid="{00000000-0005-0000-0000-0000453D0000}"/>
    <cellStyle name="Normal 2 3 8 3 6" xfId="39047" xr:uid="{00000000-0005-0000-0000-0000463D0000}"/>
    <cellStyle name="Normal 2 3 8 4" xfId="5019" xr:uid="{00000000-0005-0000-0000-0000473D0000}"/>
    <cellStyle name="Normal 2 3 8 4 2" xfId="5020" xr:uid="{00000000-0005-0000-0000-0000483D0000}"/>
    <cellStyle name="Normal 2 3 8 4 2 2" xfId="10874" xr:uid="{00000000-0005-0000-0000-0000493D0000}"/>
    <cellStyle name="Normal 2 3 8 4 2 2 2" xfId="34359" xr:uid="{00000000-0005-0000-0000-00004A3D0000}"/>
    <cellStyle name="Normal 2 3 8 4 2 2 3" xfId="25040" xr:uid="{00000000-0005-0000-0000-00004B3D0000}"/>
    <cellStyle name="Normal 2 3 8 4 2 2 4" xfId="48302" xr:uid="{00000000-0005-0000-0000-00004C3D0000}"/>
    <cellStyle name="Normal 2 3 8 4 2 3" xfId="15605" xr:uid="{00000000-0005-0000-0000-00004D3D0000}"/>
    <cellStyle name="Normal 2 3 8 4 2 3 2" xfId="29737" xr:uid="{00000000-0005-0000-0000-00004E3D0000}"/>
    <cellStyle name="Normal 2 3 8 4 2 3 3" xfId="43632" xr:uid="{00000000-0005-0000-0000-00004F3D0000}"/>
    <cellStyle name="Normal 2 3 8 4 2 4" xfId="20418" xr:uid="{00000000-0005-0000-0000-0000503D0000}"/>
    <cellStyle name="Normal 2 3 8 4 2 5" xfId="39050" xr:uid="{00000000-0005-0000-0000-0000513D0000}"/>
    <cellStyle name="Normal 2 3 8 4 3" xfId="10873" xr:uid="{00000000-0005-0000-0000-0000523D0000}"/>
    <cellStyle name="Normal 2 3 8 4 3 2" xfId="34358" xr:uid="{00000000-0005-0000-0000-0000533D0000}"/>
    <cellStyle name="Normal 2 3 8 4 3 3" xfId="25039" xr:uid="{00000000-0005-0000-0000-0000543D0000}"/>
    <cellStyle name="Normal 2 3 8 4 3 4" xfId="48301" xr:uid="{00000000-0005-0000-0000-0000553D0000}"/>
    <cellStyle name="Normal 2 3 8 4 4" xfId="15604" xr:uid="{00000000-0005-0000-0000-0000563D0000}"/>
    <cellStyle name="Normal 2 3 8 4 4 2" xfId="29736" xr:uid="{00000000-0005-0000-0000-0000573D0000}"/>
    <cellStyle name="Normal 2 3 8 4 4 3" xfId="43631" xr:uid="{00000000-0005-0000-0000-0000583D0000}"/>
    <cellStyle name="Normal 2 3 8 4 5" xfId="20417" xr:uid="{00000000-0005-0000-0000-0000593D0000}"/>
    <cellStyle name="Normal 2 3 8 4 6" xfId="39049" xr:uid="{00000000-0005-0000-0000-00005A3D0000}"/>
    <cellStyle name="Normal 2 3 8 5" xfId="5021" xr:uid="{00000000-0005-0000-0000-00005B3D0000}"/>
    <cellStyle name="Normal 2 3 8 5 2" xfId="5022" xr:uid="{00000000-0005-0000-0000-00005C3D0000}"/>
    <cellStyle name="Normal 2 3 8 5 2 2" xfId="10876" xr:uid="{00000000-0005-0000-0000-00005D3D0000}"/>
    <cellStyle name="Normal 2 3 8 5 2 2 2" xfId="34361" xr:uid="{00000000-0005-0000-0000-00005E3D0000}"/>
    <cellStyle name="Normal 2 3 8 5 2 2 3" xfId="25042" xr:uid="{00000000-0005-0000-0000-00005F3D0000}"/>
    <cellStyle name="Normal 2 3 8 5 2 2 4" xfId="48304" xr:uid="{00000000-0005-0000-0000-0000603D0000}"/>
    <cellStyle name="Normal 2 3 8 5 2 3" xfId="15607" xr:uid="{00000000-0005-0000-0000-0000613D0000}"/>
    <cellStyle name="Normal 2 3 8 5 2 3 2" xfId="29739" xr:uid="{00000000-0005-0000-0000-0000623D0000}"/>
    <cellStyle name="Normal 2 3 8 5 2 3 3" xfId="43634" xr:uid="{00000000-0005-0000-0000-0000633D0000}"/>
    <cellStyle name="Normal 2 3 8 5 2 4" xfId="20420" xr:uid="{00000000-0005-0000-0000-0000643D0000}"/>
    <cellStyle name="Normal 2 3 8 5 2 5" xfId="39052" xr:uid="{00000000-0005-0000-0000-0000653D0000}"/>
    <cellStyle name="Normal 2 3 8 5 3" xfId="10875" xr:uid="{00000000-0005-0000-0000-0000663D0000}"/>
    <cellStyle name="Normal 2 3 8 5 3 2" xfId="34360" xr:uid="{00000000-0005-0000-0000-0000673D0000}"/>
    <cellStyle name="Normal 2 3 8 5 3 3" xfId="25041" xr:uid="{00000000-0005-0000-0000-0000683D0000}"/>
    <cellStyle name="Normal 2 3 8 5 3 4" xfId="48303" xr:uid="{00000000-0005-0000-0000-0000693D0000}"/>
    <cellStyle name="Normal 2 3 8 5 4" xfId="15606" xr:uid="{00000000-0005-0000-0000-00006A3D0000}"/>
    <cellStyle name="Normal 2 3 8 5 4 2" xfId="29738" xr:uid="{00000000-0005-0000-0000-00006B3D0000}"/>
    <cellStyle name="Normal 2 3 8 5 4 3" xfId="43633" xr:uid="{00000000-0005-0000-0000-00006C3D0000}"/>
    <cellStyle name="Normal 2 3 8 5 5" xfId="20419" xr:uid="{00000000-0005-0000-0000-00006D3D0000}"/>
    <cellStyle name="Normal 2 3 8 5 6" xfId="39051" xr:uid="{00000000-0005-0000-0000-00006E3D0000}"/>
    <cellStyle name="Normal 2 3 8 6" xfId="5023" xr:uid="{00000000-0005-0000-0000-00006F3D0000}"/>
    <cellStyle name="Normal 2 3 8 6 2" xfId="5024" xr:uid="{00000000-0005-0000-0000-0000703D0000}"/>
    <cellStyle name="Normal 2 3 8 6 2 2" xfId="10878" xr:uid="{00000000-0005-0000-0000-0000713D0000}"/>
    <cellStyle name="Normal 2 3 8 6 2 2 2" xfId="34363" xr:uid="{00000000-0005-0000-0000-0000723D0000}"/>
    <cellStyle name="Normal 2 3 8 6 2 2 3" xfId="25044" xr:uid="{00000000-0005-0000-0000-0000733D0000}"/>
    <cellStyle name="Normal 2 3 8 6 2 2 4" xfId="48306" xr:uid="{00000000-0005-0000-0000-0000743D0000}"/>
    <cellStyle name="Normal 2 3 8 6 2 3" xfId="15609" xr:uid="{00000000-0005-0000-0000-0000753D0000}"/>
    <cellStyle name="Normal 2 3 8 6 2 3 2" xfId="29741" xr:uid="{00000000-0005-0000-0000-0000763D0000}"/>
    <cellStyle name="Normal 2 3 8 6 2 3 3" xfId="43636" xr:uid="{00000000-0005-0000-0000-0000773D0000}"/>
    <cellStyle name="Normal 2 3 8 6 2 4" xfId="20422" xr:uid="{00000000-0005-0000-0000-0000783D0000}"/>
    <cellStyle name="Normal 2 3 8 6 2 5" xfId="39054" xr:uid="{00000000-0005-0000-0000-0000793D0000}"/>
    <cellStyle name="Normal 2 3 8 6 3" xfId="10877" xr:uid="{00000000-0005-0000-0000-00007A3D0000}"/>
    <cellStyle name="Normal 2 3 8 6 3 2" xfId="34362" xr:uid="{00000000-0005-0000-0000-00007B3D0000}"/>
    <cellStyle name="Normal 2 3 8 6 3 3" xfId="25043" xr:uid="{00000000-0005-0000-0000-00007C3D0000}"/>
    <cellStyle name="Normal 2 3 8 6 3 4" xfId="48305" xr:uid="{00000000-0005-0000-0000-00007D3D0000}"/>
    <cellStyle name="Normal 2 3 8 6 4" xfId="15608" xr:uid="{00000000-0005-0000-0000-00007E3D0000}"/>
    <cellStyle name="Normal 2 3 8 6 4 2" xfId="29740" xr:uid="{00000000-0005-0000-0000-00007F3D0000}"/>
    <cellStyle name="Normal 2 3 8 6 4 3" xfId="43635" xr:uid="{00000000-0005-0000-0000-0000803D0000}"/>
    <cellStyle name="Normal 2 3 8 6 5" xfId="20421" xr:uid="{00000000-0005-0000-0000-0000813D0000}"/>
    <cellStyle name="Normal 2 3 8 6 6" xfId="39053" xr:uid="{00000000-0005-0000-0000-0000823D0000}"/>
    <cellStyle name="Normal 2 3 8 7" xfId="5025" xr:uid="{00000000-0005-0000-0000-0000833D0000}"/>
    <cellStyle name="Normal 2 3 8 7 2" xfId="10879" xr:uid="{00000000-0005-0000-0000-0000843D0000}"/>
    <cellStyle name="Normal 2 3 8 7 2 2" xfId="34364" xr:uid="{00000000-0005-0000-0000-0000853D0000}"/>
    <cellStyle name="Normal 2 3 8 7 2 3" xfId="25045" xr:uid="{00000000-0005-0000-0000-0000863D0000}"/>
    <cellStyle name="Normal 2 3 8 7 2 4" xfId="48307" xr:uid="{00000000-0005-0000-0000-0000873D0000}"/>
    <cellStyle name="Normal 2 3 8 7 3" xfId="15610" xr:uid="{00000000-0005-0000-0000-0000883D0000}"/>
    <cellStyle name="Normal 2 3 8 7 3 2" xfId="29742" xr:uid="{00000000-0005-0000-0000-0000893D0000}"/>
    <cellStyle name="Normal 2 3 8 7 3 3" xfId="43637" xr:uid="{00000000-0005-0000-0000-00008A3D0000}"/>
    <cellStyle name="Normal 2 3 8 7 4" xfId="20423" xr:uid="{00000000-0005-0000-0000-00008B3D0000}"/>
    <cellStyle name="Normal 2 3 8 7 5" xfId="39055" xr:uid="{00000000-0005-0000-0000-00008C3D0000}"/>
    <cellStyle name="Normal 2 3 8 8" xfId="10868" xr:uid="{00000000-0005-0000-0000-00008D3D0000}"/>
    <cellStyle name="Normal 2 3 8 8 2" xfId="34353" xr:uid="{00000000-0005-0000-0000-00008E3D0000}"/>
    <cellStyle name="Normal 2 3 8 8 3" xfId="25034" xr:uid="{00000000-0005-0000-0000-00008F3D0000}"/>
    <cellStyle name="Normal 2 3 8 8 4" xfId="48296" xr:uid="{00000000-0005-0000-0000-0000903D0000}"/>
    <cellStyle name="Normal 2 3 8 9" xfId="15599" xr:uid="{00000000-0005-0000-0000-0000913D0000}"/>
    <cellStyle name="Normal 2 3 8 9 2" xfId="29731" xr:uid="{00000000-0005-0000-0000-0000923D0000}"/>
    <cellStyle name="Normal 2 3 8 9 3" xfId="43626" xr:uid="{00000000-0005-0000-0000-0000933D0000}"/>
    <cellStyle name="Normal 2 3 9" xfId="5026" xr:uid="{00000000-0005-0000-0000-0000943D0000}"/>
    <cellStyle name="Normal 2 3 9 10" xfId="20424" xr:uid="{00000000-0005-0000-0000-0000953D0000}"/>
    <cellStyle name="Normal 2 3 9 11" xfId="39056" xr:uid="{00000000-0005-0000-0000-0000963D0000}"/>
    <cellStyle name="Normal 2 3 9 2" xfId="5027" xr:uid="{00000000-0005-0000-0000-0000973D0000}"/>
    <cellStyle name="Normal 2 3 9 2 2" xfId="5028" xr:uid="{00000000-0005-0000-0000-0000983D0000}"/>
    <cellStyle name="Normal 2 3 9 2 2 2" xfId="10882" xr:uid="{00000000-0005-0000-0000-0000993D0000}"/>
    <cellStyle name="Normal 2 3 9 2 2 2 2" xfId="34367" xr:uid="{00000000-0005-0000-0000-00009A3D0000}"/>
    <cellStyle name="Normal 2 3 9 2 2 2 3" xfId="25048" xr:uid="{00000000-0005-0000-0000-00009B3D0000}"/>
    <cellStyle name="Normal 2 3 9 2 2 2 4" xfId="48310" xr:uid="{00000000-0005-0000-0000-00009C3D0000}"/>
    <cellStyle name="Normal 2 3 9 2 2 3" xfId="15613" xr:uid="{00000000-0005-0000-0000-00009D3D0000}"/>
    <cellStyle name="Normal 2 3 9 2 2 3 2" xfId="29745" xr:uid="{00000000-0005-0000-0000-00009E3D0000}"/>
    <cellStyle name="Normal 2 3 9 2 2 3 3" xfId="43640" xr:uid="{00000000-0005-0000-0000-00009F3D0000}"/>
    <cellStyle name="Normal 2 3 9 2 2 4" xfId="20426" xr:uid="{00000000-0005-0000-0000-0000A03D0000}"/>
    <cellStyle name="Normal 2 3 9 2 2 5" xfId="39058" xr:uid="{00000000-0005-0000-0000-0000A13D0000}"/>
    <cellStyle name="Normal 2 3 9 2 3" xfId="10881" xr:uid="{00000000-0005-0000-0000-0000A23D0000}"/>
    <cellStyle name="Normal 2 3 9 2 3 2" xfId="34366" xr:uid="{00000000-0005-0000-0000-0000A33D0000}"/>
    <cellStyle name="Normal 2 3 9 2 3 3" xfId="25047" xr:uid="{00000000-0005-0000-0000-0000A43D0000}"/>
    <cellStyle name="Normal 2 3 9 2 3 4" xfId="48309" xr:uid="{00000000-0005-0000-0000-0000A53D0000}"/>
    <cellStyle name="Normal 2 3 9 2 4" xfId="15612" xr:uid="{00000000-0005-0000-0000-0000A63D0000}"/>
    <cellStyle name="Normal 2 3 9 2 4 2" xfId="29744" xr:uid="{00000000-0005-0000-0000-0000A73D0000}"/>
    <cellStyle name="Normal 2 3 9 2 4 3" xfId="43639" xr:uid="{00000000-0005-0000-0000-0000A83D0000}"/>
    <cellStyle name="Normal 2 3 9 2 5" xfId="20425" xr:uid="{00000000-0005-0000-0000-0000A93D0000}"/>
    <cellStyle name="Normal 2 3 9 2 6" xfId="39057" xr:uid="{00000000-0005-0000-0000-0000AA3D0000}"/>
    <cellStyle name="Normal 2 3 9 3" xfId="5029" xr:uid="{00000000-0005-0000-0000-0000AB3D0000}"/>
    <cellStyle name="Normal 2 3 9 3 2" xfId="5030" xr:uid="{00000000-0005-0000-0000-0000AC3D0000}"/>
    <cellStyle name="Normal 2 3 9 3 2 2" xfId="10884" xr:uid="{00000000-0005-0000-0000-0000AD3D0000}"/>
    <cellStyle name="Normal 2 3 9 3 2 2 2" xfId="34369" xr:uid="{00000000-0005-0000-0000-0000AE3D0000}"/>
    <cellStyle name="Normal 2 3 9 3 2 2 3" xfId="25050" xr:uid="{00000000-0005-0000-0000-0000AF3D0000}"/>
    <cellStyle name="Normal 2 3 9 3 2 2 4" xfId="48312" xr:uid="{00000000-0005-0000-0000-0000B03D0000}"/>
    <cellStyle name="Normal 2 3 9 3 2 3" xfId="15615" xr:uid="{00000000-0005-0000-0000-0000B13D0000}"/>
    <cellStyle name="Normal 2 3 9 3 2 3 2" xfId="29747" xr:uid="{00000000-0005-0000-0000-0000B23D0000}"/>
    <cellStyle name="Normal 2 3 9 3 2 3 3" xfId="43642" xr:uid="{00000000-0005-0000-0000-0000B33D0000}"/>
    <cellStyle name="Normal 2 3 9 3 2 4" xfId="20428" xr:uid="{00000000-0005-0000-0000-0000B43D0000}"/>
    <cellStyle name="Normal 2 3 9 3 2 5" xfId="39060" xr:uid="{00000000-0005-0000-0000-0000B53D0000}"/>
    <cellStyle name="Normal 2 3 9 3 3" xfId="10883" xr:uid="{00000000-0005-0000-0000-0000B63D0000}"/>
    <cellStyle name="Normal 2 3 9 3 3 2" xfId="34368" xr:uid="{00000000-0005-0000-0000-0000B73D0000}"/>
    <cellStyle name="Normal 2 3 9 3 3 3" xfId="25049" xr:uid="{00000000-0005-0000-0000-0000B83D0000}"/>
    <cellStyle name="Normal 2 3 9 3 3 4" xfId="48311" xr:uid="{00000000-0005-0000-0000-0000B93D0000}"/>
    <cellStyle name="Normal 2 3 9 3 4" xfId="15614" xr:uid="{00000000-0005-0000-0000-0000BA3D0000}"/>
    <cellStyle name="Normal 2 3 9 3 4 2" xfId="29746" xr:uid="{00000000-0005-0000-0000-0000BB3D0000}"/>
    <cellStyle name="Normal 2 3 9 3 4 3" xfId="43641" xr:uid="{00000000-0005-0000-0000-0000BC3D0000}"/>
    <cellStyle name="Normal 2 3 9 3 5" xfId="20427" xr:uid="{00000000-0005-0000-0000-0000BD3D0000}"/>
    <cellStyle name="Normal 2 3 9 3 6" xfId="39059" xr:uid="{00000000-0005-0000-0000-0000BE3D0000}"/>
    <cellStyle name="Normal 2 3 9 4" xfId="5031" xr:uid="{00000000-0005-0000-0000-0000BF3D0000}"/>
    <cellStyle name="Normal 2 3 9 4 2" xfId="5032" xr:uid="{00000000-0005-0000-0000-0000C03D0000}"/>
    <cellStyle name="Normal 2 3 9 4 2 2" xfId="10886" xr:uid="{00000000-0005-0000-0000-0000C13D0000}"/>
    <cellStyle name="Normal 2 3 9 4 2 2 2" xfId="34371" xr:uid="{00000000-0005-0000-0000-0000C23D0000}"/>
    <cellStyle name="Normal 2 3 9 4 2 2 3" xfId="25052" xr:uid="{00000000-0005-0000-0000-0000C33D0000}"/>
    <cellStyle name="Normal 2 3 9 4 2 2 4" xfId="48314" xr:uid="{00000000-0005-0000-0000-0000C43D0000}"/>
    <cellStyle name="Normal 2 3 9 4 2 3" xfId="15617" xr:uid="{00000000-0005-0000-0000-0000C53D0000}"/>
    <cellStyle name="Normal 2 3 9 4 2 3 2" xfId="29749" xr:uid="{00000000-0005-0000-0000-0000C63D0000}"/>
    <cellStyle name="Normal 2 3 9 4 2 3 3" xfId="43644" xr:uid="{00000000-0005-0000-0000-0000C73D0000}"/>
    <cellStyle name="Normal 2 3 9 4 2 4" xfId="20430" xr:uid="{00000000-0005-0000-0000-0000C83D0000}"/>
    <cellStyle name="Normal 2 3 9 4 2 5" xfId="39062" xr:uid="{00000000-0005-0000-0000-0000C93D0000}"/>
    <cellStyle name="Normal 2 3 9 4 3" xfId="10885" xr:uid="{00000000-0005-0000-0000-0000CA3D0000}"/>
    <cellStyle name="Normal 2 3 9 4 3 2" xfId="34370" xr:uid="{00000000-0005-0000-0000-0000CB3D0000}"/>
    <cellStyle name="Normal 2 3 9 4 3 3" xfId="25051" xr:uid="{00000000-0005-0000-0000-0000CC3D0000}"/>
    <cellStyle name="Normal 2 3 9 4 3 4" xfId="48313" xr:uid="{00000000-0005-0000-0000-0000CD3D0000}"/>
    <cellStyle name="Normal 2 3 9 4 4" xfId="15616" xr:uid="{00000000-0005-0000-0000-0000CE3D0000}"/>
    <cellStyle name="Normal 2 3 9 4 4 2" xfId="29748" xr:uid="{00000000-0005-0000-0000-0000CF3D0000}"/>
    <cellStyle name="Normal 2 3 9 4 4 3" xfId="43643" xr:uid="{00000000-0005-0000-0000-0000D03D0000}"/>
    <cellStyle name="Normal 2 3 9 4 5" xfId="20429" xr:uid="{00000000-0005-0000-0000-0000D13D0000}"/>
    <cellStyle name="Normal 2 3 9 4 6" xfId="39061" xr:uid="{00000000-0005-0000-0000-0000D23D0000}"/>
    <cellStyle name="Normal 2 3 9 5" xfId="5033" xr:uid="{00000000-0005-0000-0000-0000D33D0000}"/>
    <cellStyle name="Normal 2 3 9 5 2" xfId="5034" xr:uid="{00000000-0005-0000-0000-0000D43D0000}"/>
    <cellStyle name="Normal 2 3 9 5 2 2" xfId="10888" xr:uid="{00000000-0005-0000-0000-0000D53D0000}"/>
    <cellStyle name="Normal 2 3 9 5 2 2 2" xfId="34373" xr:uid="{00000000-0005-0000-0000-0000D63D0000}"/>
    <cellStyle name="Normal 2 3 9 5 2 2 3" xfId="25054" xr:uid="{00000000-0005-0000-0000-0000D73D0000}"/>
    <cellStyle name="Normal 2 3 9 5 2 2 4" xfId="48316" xr:uid="{00000000-0005-0000-0000-0000D83D0000}"/>
    <cellStyle name="Normal 2 3 9 5 2 3" xfId="15619" xr:uid="{00000000-0005-0000-0000-0000D93D0000}"/>
    <cellStyle name="Normal 2 3 9 5 2 3 2" xfId="29751" xr:uid="{00000000-0005-0000-0000-0000DA3D0000}"/>
    <cellStyle name="Normal 2 3 9 5 2 3 3" xfId="43646" xr:uid="{00000000-0005-0000-0000-0000DB3D0000}"/>
    <cellStyle name="Normal 2 3 9 5 2 4" xfId="20432" xr:uid="{00000000-0005-0000-0000-0000DC3D0000}"/>
    <cellStyle name="Normal 2 3 9 5 2 5" xfId="39064" xr:uid="{00000000-0005-0000-0000-0000DD3D0000}"/>
    <cellStyle name="Normal 2 3 9 5 3" xfId="10887" xr:uid="{00000000-0005-0000-0000-0000DE3D0000}"/>
    <cellStyle name="Normal 2 3 9 5 3 2" xfId="34372" xr:uid="{00000000-0005-0000-0000-0000DF3D0000}"/>
    <cellStyle name="Normal 2 3 9 5 3 3" xfId="25053" xr:uid="{00000000-0005-0000-0000-0000E03D0000}"/>
    <cellStyle name="Normal 2 3 9 5 3 4" xfId="48315" xr:uid="{00000000-0005-0000-0000-0000E13D0000}"/>
    <cellStyle name="Normal 2 3 9 5 4" xfId="15618" xr:uid="{00000000-0005-0000-0000-0000E23D0000}"/>
    <cellStyle name="Normal 2 3 9 5 4 2" xfId="29750" xr:uid="{00000000-0005-0000-0000-0000E33D0000}"/>
    <cellStyle name="Normal 2 3 9 5 4 3" xfId="43645" xr:uid="{00000000-0005-0000-0000-0000E43D0000}"/>
    <cellStyle name="Normal 2 3 9 5 5" xfId="20431" xr:uid="{00000000-0005-0000-0000-0000E53D0000}"/>
    <cellStyle name="Normal 2 3 9 5 6" xfId="39063" xr:uid="{00000000-0005-0000-0000-0000E63D0000}"/>
    <cellStyle name="Normal 2 3 9 6" xfId="5035" xr:uid="{00000000-0005-0000-0000-0000E73D0000}"/>
    <cellStyle name="Normal 2 3 9 6 2" xfId="5036" xr:uid="{00000000-0005-0000-0000-0000E83D0000}"/>
    <cellStyle name="Normal 2 3 9 6 2 2" xfId="10890" xr:uid="{00000000-0005-0000-0000-0000E93D0000}"/>
    <cellStyle name="Normal 2 3 9 6 2 2 2" xfId="34375" xr:uid="{00000000-0005-0000-0000-0000EA3D0000}"/>
    <cellStyle name="Normal 2 3 9 6 2 2 3" xfId="25056" xr:uid="{00000000-0005-0000-0000-0000EB3D0000}"/>
    <cellStyle name="Normal 2 3 9 6 2 2 4" xfId="48318" xr:uid="{00000000-0005-0000-0000-0000EC3D0000}"/>
    <cellStyle name="Normal 2 3 9 6 2 3" xfId="15621" xr:uid="{00000000-0005-0000-0000-0000ED3D0000}"/>
    <cellStyle name="Normal 2 3 9 6 2 3 2" xfId="29753" xr:uid="{00000000-0005-0000-0000-0000EE3D0000}"/>
    <cellStyle name="Normal 2 3 9 6 2 3 3" xfId="43648" xr:uid="{00000000-0005-0000-0000-0000EF3D0000}"/>
    <cellStyle name="Normal 2 3 9 6 2 4" xfId="20434" xr:uid="{00000000-0005-0000-0000-0000F03D0000}"/>
    <cellStyle name="Normal 2 3 9 6 2 5" xfId="39066" xr:uid="{00000000-0005-0000-0000-0000F13D0000}"/>
    <cellStyle name="Normal 2 3 9 6 3" xfId="10889" xr:uid="{00000000-0005-0000-0000-0000F23D0000}"/>
    <cellStyle name="Normal 2 3 9 6 3 2" xfId="34374" xr:uid="{00000000-0005-0000-0000-0000F33D0000}"/>
    <cellStyle name="Normal 2 3 9 6 3 3" xfId="25055" xr:uid="{00000000-0005-0000-0000-0000F43D0000}"/>
    <cellStyle name="Normal 2 3 9 6 3 4" xfId="48317" xr:uid="{00000000-0005-0000-0000-0000F53D0000}"/>
    <cellStyle name="Normal 2 3 9 6 4" xfId="15620" xr:uid="{00000000-0005-0000-0000-0000F63D0000}"/>
    <cellStyle name="Normal 2 3 9 6 4 2" xfId="29752" xr:uid="{00000000-0005-0000-0000-0000F73D0000}"/>
    <cellStyle name="Normal 2 3 9 6 4 3" xfId="43647" xr:uid="{00000000-0005-0000-0000-0000F83D0000}"/>
    <cellStyle name="Normal 2 3 9 6 5" xfId="20433" xr:uid="{00000000-0005-0000-0000-0000F93D0000}"/>
    <cellStyle name="Normal 2 3 9 6 6" xfId="39065" xr:uid="{00000000-0005-0000-0000-0000FA3D0000}"/>
    <cellStyle name="Normal 2 3 9 7" xfId="5037" xr:uid="{00000000-0005-0000-0000-0000FB3D0000}"/>
    <cellStyle name="Normal 2 3 9 7 2" xfId="10891" xr:uid="{00000000-0005-0000-0000-0000FC3D0000}"/>
    <cellStyle name="Normal 2 3 9 7 2 2" xfId="34376" xr:uid="{00000000-0005-0000-0000-0000FD3D0000}"/>
    <cellStyle name="Normal 2 3 9 7 2 3" xfId="25057" xr:uid="{00000000-0005-0000-0000-0000FE3D0000}"/>
    <cellStyle name="Normal 2 3 9 7 2 4" xfId="48319" xr:uid="{00000000-0005-0000-0000-0000FF3D0000}"/>
    <cellStyle name="Normal 2 3 9 7 3" xfId="15622" xr:uid="{00000000-0005-0000-0000-0000003E0000}"/>
    <cellStyle name="Normal 2 3 9 7 3 2" xfId="29754" xr:uid="{00000000-0005-0000-0000-0000013E0000}"/>
    <cellStyle name="Normal 2 3 9 7 3 3" xfId="43649" xr:uid="{00000000-0005-0000-0000-0000023E0000}"/>
    <cellStyle name="Normal 2 3 9 7 4" xfId="20435" xr:uid="{00000000-0005-0000-0000-0000033E0000}"/>
    <cellStyle name="Normal 2 3 9 7 5" xfId="39067" xr:uid="{00000000-0005-0000-0000-0000043E0000}"/>
    <cellStyle name="Normal 2 3 9 8" xfId="10880" xr:uid="{00000000-0005-0000-0000-0000053E0000}"/>
    <cellStyle name="Normal 2 3 9 8 2" xfId="34365" xr:uid="{00000000-0005-0000-0000-0000063E0000}"/>
    <cellStyle name="Normal 2 3 9 8 3" xfId="25046" xr:uid="{00000000-0005-0000-0000-0000073E0000}"/>
    <cellStyle name="Normal 2 3 9 8 4" xfId="48308" xr:uid="{00000000-0005-0000-0000-0000083E0000}"/>
    <cellStyle name="Normal 2 3 9 9" xfId="15611" xr:uid="{00000000-0005-0000-0000-0000093E0000}"/>
    <cellStyle name="Normal 2 3 9 9 2" xfId="29743" xr:uid="{00000000-0005-0000-0000-00000A3E0000}"/>
    <cellStyle name="Normal 2 3 9 9 3" xfId="43638" xr:uid="{00000000-0005-0000-0000-00000B3E0000}"/>
    <cellStyle name="Normal 2 30" xfId="5038" xr:uid="{00000000-0005-0000-0000-00000C3E0000}"/>
    <cellStyle name="Normal 2 30 2" xfId="5039" xr:uid="{00000000-0005-0000-0000-00000D3E0000}"/>
    <cellStyle name="Normal 2 30 2 2" xfId="10893" xr:uid="{00000000-0005-0000-0000-00000E3E0000}"/>
    <cellStyle name="Normal 2 30 2 2 2" xfId="34378" xr:uid="{00000000-0005-0000-0000-00000F3E0000}"/>
    <cellStyle name="Normal 2 30 2 2 3" xfId="25059" xr:uid="{00000000-0005-0000-0000-0000103E0000}"/>
    <cellStyle name="Normal 2 30 2 2 4" xfId="48321" xr:uid="{00000000-0005-0000-0000-0000113E0000}"/>
    <cellStyle name="Normal 2 30 2 3" xfId="15624" xr:uid="{00000000-0005-0000-0000-0000123E0000}"/>
    <cellStyle name="Normal 2 30 2 3 2" xfId="29756" xr:uid="{00000000-0005-0000-0000-0000133E0000}"/>
    <cellStyle name="Normal 2 30 2 3 3" xfId="43651" xr:uid="{00000000-0005-0000-0000-0000143E0000}"/>
    <cellStyle name="Normal 2 30 2 4" xfId="20437" xr:uid="{00000000-0005-0000-0000-0000153E0000}"/>
    <cellStyle name="Normal 2 30 2 5" xfId="39069" xr:uid="{00000000-0005-0000-0000-0000163E0000}"/>
    <cellStyle name="Normal 2 30 3" xfId="10892" xr:uid="{00000000-0005-0000-0000-0000173E0000}"/>
    <cellStyle name="Normal 2 30 3 2" xfId="34377" xr:uid="{00000000-0005-0000-0000-0000183E0000}"/>
    <cellStyle name="Normal 2 30 3 3" xfId="25058" xr:uid="{00000000-0005-0000-0000-0000193E0000}"/>
    <cellStyle name="Normal 2 30 3 4" xfId="48320" xr:uid="{00000000-0005-0000-0000-00001A3E0000}"/>
    <cellStyle name="Normal 2 30 4" xfId="15623" xr:uid="{00000000-0005-0000-0000-00001B3E0000}"/>
    <cellStyle name="Normal 2 30 4 2" xfId="29755" xr:uid="{00000000-0005-0000-0000-00001C3E0000}"/>
    <cellStyle name="Normal 2 30 4 3" xfId="43650" xr:uid="{00000000-0005-0000-0000-00001D3E0000}"/>
    <cellStyle name="Normal 2 30 5" xfId="20436" xr:uid="{00000000-0005-0000-0000-00001E3E0000}"/>
    <cellStyle name="Normal 2 30 6" xfId="39068" xr:uid="{00000000-0005-0000-0000-00001F3E0000}"/>
    <cellStyle name="Normal 2 31" xfId="5040" xr:uid="{00000000-0005-0000-0000-0000203E0000}"/>
    <cellStyle name="Normal 2 31 2" xfId="5041" xr:uid="{00000000-0005-0000-0000-0000213E0000}"/>
    <cellStyle name="Normal 2 31 2 2" xfId="10895" xr:uid="{00000000-0005-0000-0000-0000223E0000}"/>
    <cellStyle name="Normal 2 31 2 2 2" xfId="34380" xr:uid="{00000000-0005-0000-0000-0000233E0000}"/>
    <cellStyle name="Normal 2 31 2 2 3" xfId="25061" xr:uid="{00000000-0005-0000-0000-0000243E0000}"/>
    <cellStyle name="Normal 2 31 2 2 4" xfId="48323" xr:uid="{00000000-0005-0000-0000-0000253E0000}"/>
    <cellStyle name="Normal 2 31 2 3" xfId="15626" xr:uid="{00000000-0005-0000-0000-0000263E0000}"/>
    <cellStyle name="Normal 2 31 2 3 2" xfId="29758" xr:uid="{00000000-0005-0000-0000-0000273E0000}"/>
    <cellStyle name="Normal 2 31 2 3 3" xfId="43653" xr:uid="{00000000-0005-0000-0000-0000283E0000}"/>
    <cellStyle name="Normal 2 31 2 4" xfId="20439" xr:uid="{00000000-0005-0000-0000-0000293E0000}"/>
    <cellStyle name="Normal 2 31 2 5" xfId="39071" xr:uid="{00000000-0005-0000-0000-00002A3E0000}"/>
    <cellStyle name="Normal 2 31 3" xfId="10894" xr:uid="{00000000-0005-0000-0000-00002B3E0000}"/>
    <cellStyle name="Normal 2 31 3 2" xfId="34379" xr:uid="{00000000-0005-0000-0000-00002C3E0000}"/>
    <cellStyle name="Normal 2 31 3 3" xfId="25060" xr:uid="{00000000-0005-0000-0000-00002D3E0000}"/>
    <cellStyle name="Normal 2 31 3 4" xfId="48322" xr:uid="{00000000-0005-0000-0000-00002E3E0000}"/>
    <cellStyle name="Normal 2 31 4" xfId="15625" xr:uid="{00000000-0005-0000-0000-00002F3E0000}"/>
    <cellStyle name="Normal 2 31 4 2" xfId="29757" xr:uid="{00000000-0005-0000-0000-0000303E0000}"/>
    <cellStyle name="Normal 2 31 4 3" xfId="43652" xr:uid="{00000000-0005-0000-0000-0000313E0000}"/>
    <cellStyle name="Normal 2 31 5" xfId="20438" xr:uid="{00000000-0005-0000-0000-0000323E0000}"/>
    <cellStyle name="Normal 2 31 6" xfId="39070" xr:uid="{00000000-0005-0000-0000-0000333E0000}"/>
    <cellStyle name="Normal 2 32" xfId="5042" xr:uid="{00000000-0005-0000-0000-0000343E0000}"/>
    <cellStyle name="Normal 2 32 2" xfId="5043" xr:uid="{00000000-0005-0000-0000-0000353E0000}"/>
    <cellStyle name="Normal 2 32 2 2" xfId="10897" xr:uid="{00000000-0005-0000-0000-0000363E0000}"/>
    <cellStyle name="Normal 2 32 2 2 2" xfId="34382" xr:uid="{00000000-0005-0000-0000-0000373E0000}"/>
    <cellStyle name="Normal 2 32 2 2 3" xfId="25063" xr:uid="{00000000-0005-0000-0000-0000383E0000}"/>
    <cellStyle name="Normal 2 32 2 2 4" xfId="48325" xr:uid="{00000000-0005-0000-0000-0000393E0000}"/>
    <cellStyle name="Normal 2 32 2 3" xfId="15628" xr:uid="{00000000-0005-0000-0000-00003A3E0000}"/>
    <cellStyle name="Normal 2 32 2 3 2" xfId="29760" xr:uid="{00000000-0005-0000-0000-00003B3E0000}"/>
    <cellStyle name="Normal 2 32 2 3 3" xfId="43655" xr:uid="{00000000-0005-0000-0000-00003C3E0000}"/>
    <cellStyle name="Normal 2 32 2 4" xfId="20441" xr:uid="{00000000-0005-0000-0000-00003D3E0000}"/>
    <cellStyle name="Normal 2 32 2 5" xfId="39073" xr:uid="{00000000-0005-0000-0000-00003E3E0000}"/>
    <cellStyle name="Normal 2 32 3" xfId="10896" xr:uid="{00000000-0005-0000-0000-00003F3E0000}"/>
    <cellStyle name="Normal 2 32 3 2" xfId="34381" xr:uid="{00000000-0005-0000-0000-0000403E0000}"/>
    <cellStyle name="Normal 2 32 3 3" xfId="25062" xr:uid="{00000000-0005-0000-0000-0000413E0000}"/>
    <cellStyle name="Normal 2 32 3 4" xfId="48324" xr:uid="{00000000-0005-0000-0000-0000423E0000}"/>
    <cellStyle name="Normal 2 32 4" xfId="15627" xr:uid="{00000000-0005-0000-0000-0000433E0000}"/>
    <cellStyle name="Normal 2 32 4 2" xfId="29759" xr:uid="{00000000-0005-0000-0000-0000443E0000}"/>
    <cellStyle name="Normal 2 32 4 3" xfId="43654" xr:uid="{00000000-0005-0000-0000-0000453E0000}"/>
    <cellStyle name="Normal 2 32 5" xfId="20440" xr:uid="{00000000-0005-0000-0000-0000463E0000}"/>
    <cellStyle name="Normal 2 32 6" xfId="39072" xr:uid="{00000000-0005-0000-0000-0000473E0000}"/>
    <cellStyle name="Normal 2 33" xfId="5044" xr:uid="{00000000-0005-0000-0000-0000483E0000}"/>
    <cellStyle name="Normal 2 33 2" xfId="5045" xr:uid="{00000000-0005-0000-0000-0000493E0000}"/>
    <cellStyle name="Normal 2 33 2 2" xfId="10899" xr:uid="{00000000-0005-0000-0000-00004A3E0000}"/>
    <cellStyle name="Normal 2 33 2 2 2" xfId="34384" xr:uid="{00000000-0005-0000-0000-00004B3E0000}"/>
    <cellStyle name="Normal 2 33 2 2 3" xfId="25065" xr:uid="{00000000-0005-0000-0000-00004C3E0000}"/>
    <cellStyle name="Normal 2 33 2 2 4" xfId="48327" xr:uid="{00000000-0005-0000-0000-00004D3E0000}"/>
    <cellStyle name="Normal 2 33 2 3" xfId="15630" xr:uid="{00000000-0005-0000-0000-00004E3E0000}"/>
    <cellStyle name="Normal 2 33 2 3 2" xfId="29762" xr:uid="{00000000-0005-0000-0000-00004F3E0000}"/>
    <cellStyle name="Normal 2 33 2 3 3" xfId="43657" xr:uid="{00000000-0005-0000-0000-0000503E0000}"/>
    <cellStyle name="Normal 2 33 2 4" xfId="20443" xr:uid="{00000000-0005-0000-0000-0000513E0000}"/>
    <cellStyle name="Normal 2 33 2 5" xfId="39075" xr:uid="{00000000-0005-0000-0000-0000523E0000}"/>
    <cellStyle name="Normal 2 33 3" xfId="10898" xr:uid="{00000000-0005-0000-0000-0000533E0000}"/>
    <cellStyle name="Normal 2 33 3 2" xfId="34383" xr:uid="{00000000-0005-0000-0000-0000543E0000}"/>
    <cellStyle name="Normal 2 33 3 3" xfId="25064" xr:uid="{00000000-0005-0000-0000-0000553E0000}"/>
    <cellStyle name="Normal 2 33 3 4" xfId="48326" xr:uid="{00000000-0005-0000-0000-0000563E0000}"/>
    <cellStyle name="Normal 2 33 4" xfId="15629" xr:uid="{00000000-0005-0000-0000-0000573E0000}"/>
    <cellStyle name="Normal 2 33 4 2" xfId="29761" xr:uid="{00000000-0005-0000-0000-0000583E0000}"/>
    <cellStyle name="Normal 2 33 4 3" xfId="43656" xr:uid="{00000000-0005-0000-0000-0000593E0000}"/>
    <cellStyle name="Normal 2 33 5" xfId="20442" xr:uid="{00000000-0005-0000-0000-00005A3E0000}"/>
    <cellStyle name="Normal 2 33 6" xfId="39074" xr:uid="{00000000-0005-0000-0000-00005B3E0000}"/>
    <cellStyle name="Normal 2 34" xfId="5046" xr:uid="{00000000-0005-0000-0000-00005C3E0000}"/>
    <cellStyle name="Normal 2 34 2" xfId="5047" xr:uid="{00000000-0005-0000-0000-00005D3E0000}"/>
    <cellStyle name="Normal 2 34 2 2" xfId="10901" xr:uid="{00000000-0005-0000-0000-00005E3E0000}"/>
    <cellStyle name="Normal 2 34 2 2 2" xfId="34386" xr:uid="{00000000-0005-0000-0000-00005F3E0000}"/>
    <cellStyle name="Normal 2 34 2 2 3" xfId="25067" xr:uid="{00000000-0005-0000-0000-0000603E0000}"/>
    <cellStyle name="Normal 2 34 2 2 4" xfId="48329" xr:uid="{00000000-0005-0000-0000-0000613E0000}"/>
    <cellStyle name="Normal 2 34 2 3" xfId="15632" xr:uid="{00000000-0005-0000-0000-0000623E0000}"/>
    <cellStyle name="Normal 2 34 2 3 2" xfId="29764" xr:uid="{00000000-0005-0000-0000-0000633E0000}"/>
    <cellStyle name="Normal 2 34 2 3 3" xfId="43659" xr:uid="{00000000-0005-0000-0000-0000643E0000}"/>
    <cellStyle name="Normal 2 34 2 4" xfId="20445" xr:uid="{00000000-0005-0000-0000-0000653E0000}"/>
    <cellStyle name="Normal 2 34 2 5" xfId="39077" xr:uid="{00000000-0005-0000-0000-0000663E0000}"/>
    <cellStyle name="Normal 2 34 3" xfId="10900" xr:uid="{00000000-0005-0000-0000-0000673E0000}"/>
    <cellStyle name="Normal 2 34 3 2" xfId="34385" xr:uid="{00000000-0005-0000-0000-0000683E0000}"/>
    <cellStyle name="Normal 2 34 3 3" xfId="25066" xr:uid="{00000000-0005-0000-0000-0000693E0000}"/>
    <cellStyle name="Normal 2 34 3 4" xfId="48328" xr:uid="{00000000-0005-0000-0000-00006A3E0000}"/>
    <cellStyle name="Normal 2 34 4" xfId="15631" xr:uid="{00000000-0005-0000-0000-00006B3E0000}"/>
    <cellStyle name="Normal 2 34 4 2" xfId="29763" xr:uid="{00000000-0005-0000-0000-00006C3E0000}"/>
    <cellStyle name="Normal 2 34 4 3" xfId="43658" xr:uid="{00000000-0005-0000-0000-00006D3E0000}"/>
    <cellStyle name="Normal 2 34 5" xfId="20444" xr:uid="{00000000-0005-0000-0000-00006E3E0000}"/>
    <cellStyle name="Normal 2 34 6" xfId="39076" xr:uid="{00000000-0005-0000-0000-00006F3E0000}"/>
    <cellStyle name="Normal 2 35" xfId="5048" xr:uid="{00000000-0005-0000-0000-0000703E0000}"/>
    <cellStyle name="Normal 2 35 2" xfId="5049" xr:uid="{00000000-0005-0000-0000-0000713E0000}"/>
    <cellStyle name="Normal 2 35 2 2" xfId="10903" xr:uid="{00000000-0005-0000-0000-0000723E0000}"/>
    <cellStyle name="Normal 2 35 2 2 2" xfId="34388" xr:uid="{00000000-0005-0000-0000-0000733E0000}"/>
    <cellStyle name="Normal 2 35 2 2 3" xfId="25069" xr:uid="{00000000-0005-0000-0000-0000743E0000}"/>
    <cellStyle name="Normal 2 35 2 2 4" xfId="48331" xr:uid="{00000000-0005-0000-0000-0000753E0000}"/>
    <cellStyle name="Normal 2 35 2 3" xfId="15634" xr:uid="{00000000-0005-0000-0000-0000763E0000}"/>
    <cellStyle name="Normal 2 35 2 3 2" xfId="29766" xr:uid="{00000000-0005-0000-0000-0000773E0000}"/>
    <cellStyle name="Normal 2 35 2 3 3" xfId="43661" xr:uid="{00000000-0005-0000-0000-0000783E0000}"/>
    <cellStyle name="Normal 2 35 2 4" xfId="20447" xr:uid="{00000000-0005-0000-0000-0000793E0000}"/>
    <cellStyle name="Normal 2 35 2 5" xfId="39079" xr:uid="{00000000-0005-0000-0000-00007A3E0000}"/>
    <cellStyle name="Normal 2 35 3" xfId="10902" xr:uid="{00000000-0005-0000-0000-00007B3E0000}"/>
    <cellStyle name="Normal 2 35 3 2" xfId="34387" xr:uid="{00000000-0005-0000-0000-00007C3E0000}"/>
    <cellStyle name="Normal 2 35 3 3" xfId="25068" xr:uid="{00000000-0005-0000-0000-00007D3E0000}"/>
    <cellStyle name="Normal 2 35 3 4" xfId="48330" xr:uid="{00000000-0005-0000-0000-00007E3E0000}"/>
    <cellStyle name="Normal 2 35 4" xfId="15633" xr:uid="{00000000-0005-0000-0000-00007F3E0000}"/>
    <cellStyle name="Normal 2 35 4 2" xfId="29765" xr:uid="{00000000-0005-0000-0000-0000803E0000}"/>
    <cellStyle name="Normal 2 35 4 3" xfId="43660" xr:uid="{00000000-0005-0000-0000-0000813E0000}"/>
    <cellStyle name="Normal 2 35 5" xfId="20446" xr:uid="{00000000-0005-0000-0000-0000823E0000}"/>
    <cellStyle name="Normal 2 35 6" xfId="39078" xr:uid="{00000000-0005-0000-0000-0000833E0000}"/>
    <cellStyle name="Normal 2 36" xfId="5050" xr:uid="{00000000-0005-0000-0000-0000843E0000}"/>
    <cellStyle name="Normal 2 36 2" xfId="5051" xr:uid="{00000000-0005-0000-0000-0000853E0000}"/>
    <cellStyle name="Normal 2 36 2 2" xfId="10905" xr:uid="{00000000-0005-0000-0000-0000863E0000}"/>
    <cellStyle name="Normal 2 36 2 2 2" xfId="34390" xr:uid="{00000000-0005-0000-0000-0000873E0000}"/>
    <cellStyle name="Normal 2 36 2 2 3" xfId="25071" xr:uid="{00000000-0005-0000-0000-0000883E0000}"/>
    <cellStyle name="Normal 2 36 2 2 4" xfId="48333" xr:uid="{00000000-0005-0000-0000-0000893E0000}"/>
    <cellStyle name="Normal 2 36 2 3" xfId="15636" xr:uid="{00000000-0005-0000-0000-00008A3E0000}"/>
    <cellStyle name="Normal 2 36 2 3 2" xfId="29768" xr:uid="{00000000-0005-0000-0000-00008B3E0000}"/>
    <cellStyle name="Normal 2 36 2 3 3" xfId="43663" xr:uid="{00000000-0005-0000-0000-00008C3E0000}"/>
    <cellStyle name="Normal 2 36 2 4" xfId="20449" xr:uid="{00000000-0005-0000-0000-00008D3E0000}"/>
    <cellStyle name="Normal 2 36 2 5" xfId="39081" xr:uid="{00000000-0005-0000-0000-00008E3E0000}"/>
    <cellStyle name="Normal 2 36 3" xfId="10904" xr:uid="{00000000-0005-0000-0000-00008F3E0000}"/>
    <cellStyle name="Normal 2 36 3 2" xfId="34389" xr:uid="{00000000-0005-0000-0000-0000903E0000}"/>
    <cellStyle name="Normal 2 36 3 3" xfId="25070" xr:uid="{00000000-0005-0000-0000-0000913E0000}"/>
    <cellStyle name="Normal 2 36 3 4" xfId="48332" xr:uid="{00000000-0005-0000-0000-0000923E0000}"/>
    <cellStyle name="Normal 2 36 4" xfId="15635" xr:uid="{00000000-0005-0000-0000-0000933E0000}"/>
    <cellStyle name="Normal 2 36 4 2" xfId="29767" xr:uid="{00000000-0005-0000-0000-0000943E0000}"/>
    <cellStyle name="Normal 2 36 4 3" xfId="43662" xr:uid="{00000000-0005-0000-0000-0000953E0000}"/>
    <cellStyle name="Normal 2 36 5" xfId="20448" xr:uid="{00000000-0005-0000-0000-0000963E0000}"/>
    <cellStyle name="Normal 2 36 6" xfId="39080" xr:uid="{00000000-0005-0000-0000-0000973E0000}"/>
    <cellStyle name="Normal 2 37" xfId="5052" xr:uid="{00000000-0005-0000-0000-0000983E0000}"/>
    <cellStyle name="Normal 2 37 2" xfId="5053" xr:uid="{00000000-0005-0000-0000-0000993E0000}"/>
    <cellStyle name="Normal 2 37 2 2" xfId="10907" xr:uid="{00000000-0005-0000-0000-00009A3E0000}"/>
    <cellStyle name="Normal 2 37 2 2 2" xfId="34392" xr:uid="{00000000-0005-0000-0000-00009B3E0000}"/>
    <cellStyle name="Normal 2 37 2 2 3" xfId="25073" xr:uid="{00000000-0005-0000-0000-00009C3E0000}"/>
    <cellStyle name="Normal 2 37 2 2 4" xfId="48335" xr:uid="{00000000-0005-0000-0000-00009D3E0000}"/>
    <cellStyle name="Normal 2 37 2 3" xfId="15638" xr:uid="{00000000-0005-0000-0000-00009E3E0000}"/>
    <cellStyle name="Normal 2 37 2 3 2" xfId="29770" xr:uid="{00000000-0005-0000-0000-00009F3E0000}"/>
    <cellStyle name="Normal 2 37 2 3 3" xfId="43665" xr:uid="{00000000-0005-0000-0000-0000A03E0000}"/>
    <cellStyle name="Normal 2 37 2 4" xfId="20451" xr:uid="{00000000-0005-0000-0000-0000A13E0000}"/>
    <cellStyle name="Normal 2 37 2 5" xfId="39083" xr:uid="{00000000-0005-0000-0000-0000A23E0000}"/>
    <cellStyle name="Normal 2 37 3" xfId="10906" xr:uid="{00000000-0005-0000-0000-0000A33E0000}"/>
    <cellStyle name="Normal 2 37 3 2" xfId="34391" xr:uid="{00000000-0005-0000-0000-0000A43E0000}"/>
    <cellStyle name="Normal 2 37 3 3" xfId="25072" xr:uid="{00000000-0005-0000-0000-0000A53E0000}"/>
    <cellStyle name="Normal 2 37 3 4" xfId="48334" xr:uid="{00000000-0005-0000-0000-0000A63E0000}"/>
    <cellStyle name="Normal 2 37 4" xfId="15637" xr:uid="{00000000-0005-0000-0000-0000A73E0000}"/>
    <cellStyle name="Normal 2 37 4 2" xfId="29769" xr:uid="{00000000-0005-0000-0000-0000A83E0000}"/>
    <cellStyle name="Normal 2 37 4 3" xfId="43664" xr:uid="{00000000-0005-0000-0000-0000A93E0000}"/>
    <cellStyle name="Normal 2 37 5" xfId="20450" xr:uid="{00000000-0005-0000-0000-0000AA3E0000}"/>
    <cellStyle name="Normal 2 37 6" xfId="39082" xr:uid="{00000000-0005-0000-0000-0000AB3E0000}"/>
    <cellStyle name="Normal 2 38" xfId="5054" xr:uid="{00000000-0005-0000-0000-0000AC3E0000}"/>
    <cellStyle name="Normal 2 38 2" xfId="5055" xr:uid="{00000000-0005-0000-0000-0000AD3E0000}"/>
    <cellStyle name="Normal 2 38 2 2" xfId="10909" xr:uid="{00000000-0005-0000-0000-0000AE3E0000}"/>
    <cellStyle name="Normal 2 38 2 2 2" xfId="34394" xr:uid="{00000000-0005-0000-0000-0000AF3E0000}"/>
    <cellStyle name="Normal 2 38 2 2 3" xfId="25075" xr:uid="{00000000-0005-0000-0000-0000B03E0000}"/>
    <cellStyle name="Normal 2 38 2 2 4" xfId="48337" xr:uid="{00000000-0005-0000-0000-0000B13E0000}"/>
    <cellStyle name="Normal 2 38 2 3" xfId="15640" xr:uid="{00000000-0005-0000-0000-0000B23E0000}"/>
    <cellStyle name="Normal 2 38 2 3 2" xfId="29772" xr:uid="{00000000-0005-0000-0000-0000B33E0000}"/>
    <cellStyle name="Normal 2 38 2 3 3" xfId="43667" xr:uid="{00000000-0005-0000-0000-0000B43E0000}"/>
    <cellStyle name="Normal 2 38 2 4" xfId="20453" xr:uid="{00000000-0005-0000-0000-0000B53E0000}"/>
    <cellStyle name="Normal 2 38 2 5" xfId="39085" xr:uid="{00000000-0005-0000-0000-0000B63E0000}"/>
    <cellStyle name="Normal 2 38 3" xfId="10908" xr:uid="{00000000-0005-0000-0000-0000B73E0000}"/>
    <cellStyle name="Normal 2 38 3 2" xfId="34393" xr:uid="{00000000-0005-0000-0000-0000B83E0000}"/>
    <cellStyle name="Normal 2 38 3 3" xfId="25074" xr:uid="{00000000-0005-0000-0000-0000B93E0000}"/>
    <cellStyle name="Normal 2 38 3 4" xfId="48336" xr:uid="{00000000-0005-0000-0000-0000BA3E0000}"/>
    <cellStyle name="Normal 2 38 4" xfId="15639" xr:uid="{00000000-0005-0000-0000-0000BB3E0000}"/>
    <cellStyle name="Normal 2 38 4 2" xfId="29771" xr:uid="{00000000-0005-0000-0000-0000BC3E0000}"/>
    <cellStyle name="Normal 2 38 4 3" xfId="43666" xr:uid="{00000000-0005-0000-0000-0000BD3E0000}"/>
    <cellStyle name="Normal 2 38 5" xfId="20452" xr:uid="{00000000-0005-0000-0000-0000BE3E0000}"/>
    <cellStyle name="Normal 2 38 6" xfId="39084" xr:uid="{00000000-0005-0000-0000-0000BF3E0000}"/>
    <cellStyle name="Normal 2 39" xfId="5056" xr:uid="{00000000-0005-0000-0000-0000C03E0000}"/>
    <cellStyle name="Normal 2 39 2" xfId="5057" xr:uid="{00000000-0005-0000-0000-0000C13E0000}"/>
    <cellStyle name="Normal 2 39 2 2" xfId="10911" xr:uid="{00000000-0005-0000-0000-0000C23E0000}"/>
    <cellStyle name="Normal 2 39 2 2 2" xfId="34396" xr:uid="{00000000-0005-0000-0000-0000C33E0000}"/>
    <cellStyle name="Normal 2 39 2 2 3" xfId="25077" xr:uid="{00000000-0005-0000-0000-0000C43E0000}"/>
    <cellStyle name="Normal 2 39 2 2 4" xfId="48339" xr:uid="{00000000-0005-0000-0000-0000C53E0000}"/>
    <cellStyle name="Normal 2 39 2 3" xfId="15642" xr:uid="{00000000-0005-0000-0000-0000C63E0000}"/>
    <cellStyle name="Normal 2 39 2 3 2" xfId="29774" xr:uid="{00000000-0005-0000-0000-0000C73E0000}"/>
    <cellStyle name="Normal 2 39 2 3 3" xfId="43669" xr:uid="{00000000-0005-0000-0000-0000C83E0000}"/>
    <cellStyle name="Normal 2 39 2 4" xfId="20455" xr:uid="{00000000-0005-0000-0000-0000C93E0000}"/>
    <cellStyle name="Normal 2 39 2 5" xfId="39087" xr:uid="{00000000-0005-0000-0000-0000CA3E0000}"/>
    <cellStyle name="Normal 2 39 3" xfId="10910" xr:uid="{00000000-0005-0000-0000-0000CB3E0000}"/>
    <cellStyle name="Normal 2 39 3 2" xfId="34395" xr:uid="{00000000-0005-0000-0000-0000CC3E0000}"/>
    <cellStyle name="Normal 2 39 3 3" xfId="25076" xr:uid="{00000000-0005-0000-0000-0000CD3E0000}"/>
    <cellStyle name="Normal 2 39 3 4" xfId="48338" xr:uid="{00000000-0005-0000-0000-0000CE3E0000}"/>
    <cellStyle name="Normal 2 39 4" xfId="15641" xr:uid="{00000000-0005-0000-0000-0000CF3E0000}"/>
    <cellStyle name="Normal 2 39 4 2" xfId="29773" xr:uid="{00000000-0005-0000-0000-0000D03E0000}"/>
    <cellStyle name="Normal 2 39 4 3" xfId="43668" xr:uid="{00000000-0005-0000-0000-0000D13E0000}"/>
    <cellStyle name="Normal 2 39 5" xfId="20454" xr:uid="{00000000-0005-0000-0000-0000D23E0000}"/>
    <cellStyle name="Normal 2 39 6" xfId="39086" xr:uid="{00000000-0005-0000-0000-0000D33E0000}"/>
    <cellStyle name="Normal 2 4" xfId="343" xr:uid="{00000000-0005-0000-0000-0000D43E0000}"/>
    <cellStyle name="Normal 2 4 10" xfId="5059" xr:uid="{00000000-0005-0000-0000-0000D53E0000}"/>
    <cellStyle name="Normal 2 4 10 2" xfId="5060" xr:uid="{00000000-0005-0000-0000-0000D63E0000}"/>
    <cellStyle name="Normal 2 4 10 2 2" xfId="10914" xr:uid="{00000000-0005-0000-0000-0000D73E0000}"/>
    <cellStyle name="Normal 2 4 10 2 2 2" xfId="34399" xr:uid="{00000000-0005-0000-0000-0000D83E0000}"/>
    <cellStyle name="Normal 2 4 10 2 2 3" xfId="25080" xr:uid="{00000000-0005-0000-0000-0000D93E0000}"/>
    <cellStyle name="Normal 2 4 10 2 2 4" xfId="48342" xr:uid="{00000000-0005-0000-0000-0000DA3E0000}"/>
    <cellStyle name="Normal 2 4 10 2 3" xfId="15645" xr:uid="{00000000-0005-0000-0000-0000DB3E0000}"/>
    <cellStyle name="Normal 2 4 10 2 3 2" xfId="29777" xr:uid="{00000000-0005-0000-0000-0000DC3E0000}"/>
    <cellStyle name="Normal 2 4 10 2 3 3" xfId="43672" xr:uid="{00000000-0005-0000-0000-0000DD3E0000}"/>
    <cellStyle name="Normal 2 4 10 2 4" xfId="20458" xr:uid="{00000000-0005-0000-0000-0000DE3E0000}"/>
    <cellStyle name="Normal 2 4 10 2 5" xfId="39090" xr:uid="{00000000-0005-0000-0000-0000DF3E0000}"/>
    <cellStyle name="Normal 2 4 10 3" xfId="10913" xr:uid="{00000000-0005-0000-0000-0000E03E0000}"/>
    <cellStyle name="Normal 2 4 10 3 2" xfId="34398" xr:uid="{00000000-0005-0000-0000-0000E13E0000}"/>
    <cellStyle name="Normal 2 4 10 3 3" xfId="25079" xr:uid="{00000000-0005-0000-0000-0000E23E0000}"/>
    <cellStyle name="Normal 2 4 10 3 4" xfId="48341" xr:uid="{00000000-0005-0000-0000-0000E33E0000}"/>
    <cellStyle name="Normal 2 4 10 4" xfId="15644" xr:uid="{00000000-0005-0000-0000-0000E43E0000}"/>
    <cellStyle name="Normal 2 4 10 4 2" xfId="29776" xr:uid="{00000000-0005-0000-0000-0000E53E0000}"/>
    <cellStyle name="Normal 2 4 10 4 3" xfId="43671" xr:uid="{00000000-0005-0000-0000-0000E63E0000}"/>
    <cellStyle name="Normal 2 4 10 5" xfId="20457" xr:uid="{00000000-0005-0000-0000-0000E73E0000}"/>
    <cellStyle name="Normal 2 4 10 6" xfId="39089" xr:uid="{00000000-0005-0000-0000-0000E83E0000}"/>
    <cellStyle name="Normal 2 4 11" xfId="5061" xr:uid="{00000000-0005-0000-0000-0000E93E0000}"/>
    <cellStyle name="Normal 2 4 11 2" xfId="5062" xr:uid="{00000000-0005-0000-0000-0000EA3E0000}"/>
    <cellStyle name="Normal 2 4 11 2 2" xfId="10916" xr:uid="{00000000-0005-0000-0000-0000EB3E0000}"/>
    <cellStyle name="Normal 2 4 11 2 2 2" xfId="34401" xr:uid="{00000000-0005-0000-0000-0000EC3E0000}"/>
    <cellStyle name="Normal 2 4 11 2 2 3" xfId="25082" xr:uid="{00000000-0005-0000-0000-0000ED3E0000}"/>
    <cellStyle name="Normal 2 4 11 2 2 4" xfId="48344" xr:uid="{00000000-0005-0000-0000-0000EE3E0000}"/>
    <cellStyle name="Normal 2 4 11 2 3" xfId="15647" xr:uid="{00000000-0005-0000-0000-0000EF3E0000}"/>
    <cellStyle name="Normal 2 4 11 2 3 2" xfId="29779" xr:uid="{00000000-0005-0000-0000-0000F03E0000}"/>
    <cellStyle name="Normal 2 4 11 2 3 3" xfId="43674" xr:uid="{00000000-0005-0000-0000-0000F13E0000}"/>
    <cellStyle name="Normal 2 4 11 2 4" xfId="20460" xr:uid="{00000000-0005-0000-0000-0000F23E0000}"/>
    <cellStyle name="Normal 2 4 11 2 5" xfId="39092" xr:uid="{00000000-0005-0000-0000-0000F33E0000}"/>
    <cellStyle name="Normal 2 4 11 3" xfId="10915" xr:uid="{00000000-0005-0000-0000-0000F43E0000}"/>
    <cellStyle name="Normal 2 4 11 3 2" xfId="34400" xr:uid="{00000000-0005-0000-0000-0000F53E0000}"/>
    <cellStyle name="Normal 2 4 11 3 3" xfId="25081" xr:uid="{00000000-0005-0000-0000-0000F63E0000}"/>
    <cellStyle name="Normal 2 4 11 3 4" xfId="48343" xr:uid="{00000000-0005-0000-0000-0000F73E0000}"/>
    <cellStyle name="Normal 2 4 11 4" xfId="15646" xr:uid="{00000000-0005-0000-0000-0000F83E0000}"/>
    <cellStyle name="Normal 2 4 11 4 2" xfId="29778" xr:uid="{00000000-0005-0000-0000-0000F93E0000}"/>
    <cellStyle name="Normal 2 4 11 4 3" xfId="43673" xr:uid="{00000000-0005-0000-0000-0000FA3E0000}"/>
    <cellStyle name="Normal 2 4 11 5" xfId="20459" xr:uid="{00000000-0005-0000-0000-0000FB3E0000}"/>
    <cellStyle name="Normal 2 4 11 6" xfId="39091" xr:uid="{00000000-0005-0000-0000-0000FC3E0000}"/>
    <cellStyle name="Normal 2 4 12" xfId="5063" xr:uid="{00000000-0005-0000-0000-0000FD3E0000}"/>
    <cellStyle name="Normal 2 4 12 2" xfId="5064" xr:uid="{00000000-0005-0000-0000-0000FE3E0000}"/>
    <cellStyle name="Normal 2 4 12 2 2" xfId="10918" xr:uid="{00000000-0005-0000-0000-0000FF3E0000}"/>
    <cellStyle name="Normal 2 4 12 2 2 2" xfId="34403" xr:uid="{00000000-0005-0000-0000-0000003F0000}"/>
    <cellStyle name="Normal 2 4 12 2 2 3" xfId="25084" xr:uid="{00000000-0005-0000-0000-0000013F0000}"/>
    <cellStyle name="Normal 2 4 12 2 2 4" xfId="48346" xr:uid="{00000000-0005-0000-0000-0000023F0000}"/>
    <cellStyle name="Normal 2 4 12 2 3" xfId="15649" xr:uid="{00000000-0005-0000-0000-0000033F0000}"/>
    <cellStyle name="Normal 2 4 12 2 3 2" xfId="29781" xr:uid="{00000000-0005-0000-0000-0000043F0000}"/>
    <cellStyle name="Normal 2 4 12 2 3 3" xfId="43676" xr:uid="{00000000-0005-0000-0000-0000053F0000}"/>
    <cellStyle name="Normal 2 4 12 2 4" xfId="20462" xr:uid="{00000000-0005-0000-0000-0000063F0000}"/>
    <cellStyle name="Normal 2 4 12 2 5" xfId="39094" xr:uid="{00000000-0005-0000-0000-0000073F0000}"/>
    <cellStyle name="Normal 2 4 12 3" xfId="10917" xr:uid="{00000000-0005-0000-0000-0000083F0000}"/>
    <cellStyle name="Normal 2 4 12 3 2" xfId="34402" xr:uid="{00000000-0005-0000-0000-0000093F0000}"/>
    <cellStyle name="Normal 2 4 12 3 3" xfId="25083" xr:uid="{00000000-0005-0000-0000-00000A3F0000}"/>
    <cellStyle name="Normal 2 4 12 3 4" xfId="48345" xr:uid="{00000000-0005-0000-0000-00000B3F0000}"/>
    <cellStyle name="Normal 2 4 12 4" xfId="15648" xr:uid="{00000000-0005-0000-0000-00000C3F0000}"/>
    <cellStyle name="Normal 2 4 12 4 2" xfId="29780" xr:uid="{00000000-0005-0000-0000-00000D3F0000}"/>
    <cellStyle name="Normal 2 4 12 4 3" xfId="43675" xr:uid="{00000000-0005-0000-0000-00000E3F0000}"/>
    <cellStyle name="Normal 2 4 12 5" xfId="20461" xr:uid="{00000000-0005-0000-0000-00000F3F0000}"/>
    <cellStyle name="Normal 2 4 12 6" xfId="39093" xr:uid="{00000000-0005-0000-0000-0000103F0000}"/>
    <cellStyle name="Normal 2 4 13" xfId="5065" xr:uid="{00000000-0005-0000-0000-0000113F0000}"/>
    <cellStyle name="Normal 2 4 13 2" xfId="5066" xr:uid="{00000000-0005-0000-0000-0000123F0000}"/>
    <cellStyle name="Normal 2 4 13 2 2" xfId="10920" xr:uid="{00000000-0005-0000-0000-0000133F0000}"/>
    <cellStyle name="Normal 2 4 13 2 2 2" xfId="34405" xr:uid="{00000000-0005-0000-0000-0000143F0000}"/>
    <cellStyle name="Normal 2 4 13 2 2 3" xfId="25086" xr:uid="{00000000-0005-0000-0000-0000153F0000}"/>
    <cellStyle name="Normal 2 4 13 2 2 4" xfId="48348" xr:uid="{00000000-0005-0000-0000-0000163F0000}"/>
    <cellStyle name="Normal 2 4 13 2 3" xfId="15651" xr:uid="{00000000-0005-0000-0000-0000173F0000}"/>
    <cellStyle name="Normal 2 4 13 2 3 2" xfId="29783" xr:uid="{00000000-0005-0000-0000-0000183F0000}"/>
    <cellStyle name="Normal 2 4 13 2 3 3" xfId="43678" xr:uid="{00000000-0005-0000-0000-0000193F0000}"/>
    <cellStyle name="Normal 2 4 13 2 4" xfId="20464" xr:uid="{00000000-0005-0000-0000-00001A3F0000}"/>
    <cellStyle name="Normal 2 4 13 2 5" xfId="39096" xr:uid="{00000000-0005-0000-0000-00001B3F0000}"/>
    <cellStyle name="Normal 2 4 13 3" xfId="10919" xr:uid="{00000000-0005-0000-0000-00001C3F0000}"/>
    <cellStyle name="Normal 2 4 13 3 2" xfId="34404" xr:uid="{00000000-0005-0000-0000-00001D3F0000}"/>
    <cellStyle name="Normal 2 4 13 3 3" xfId="25085" xr:uid="{00000000-0005-0000-0000-00001E3F0000}"/>
    <cellStyle name="Normal 2 4 13 3 4" xfId="48347" xr:uid="{00000000-0005-0000-0000-00001F3F0000}"/>
    <cellStyle name="Normal 2 4 13 4" xfId="15650" xr:uid="{00000000-0005-0000-0000-0000203F0000}"/>
    <cellStyle name="Normal 2 4 13 4 2" xfId="29782" xr:uid="{00000000-0005-0000-0000-0000213F0000}"/>
    <cellStyle name="Normal 2 4 13 4 3" xfId="43677" xr:uid="{00000000-0005-0000-0000-0000223F0000}"/>
    <cellStyle name="Normal 2 4 13 5" xfId="20463" xr:uid="{00000000-0005-0000-0000-0000233F0000}"/>
    <cellStyle name="Normal 2 4 13 6" xfId="39095" xr:uid="{00000000-0005-0000-0000-0000243F0000}"/>
    <cellStyle name="Normal 2 4 14" xfId="5067" xr:uid="{00000000-0005-0000-0000-0000253F0000}"/>
    <cellStyle name="Normal 2 4 14 2" xfId="5068" xr:uid="{00000000-0005-0000-0000-0000263F0000}"/>
    <cellStyle name="Normal 2 4 14 2 2" xfId="10922" xr:uid="{00000000-0005-0000-0000-0000273F0000}"/>
    <cellStyle name="Normal 2 4 14 2 2 2" xfId="34407" xr:uid="{00000000-0005-0000-0000-0000283F0000}"/>
    <cellStyle name="Normal 2 4 14 2 2 3" xfId="25088" xr:uid="{00000000-0005-0000-0000-0000293F0000}"/>
    <cellStyle name="Normal 2 4 14 2 2 4" xfId="48350" xr:uid="{00000000-0005-0000-0000-00002A3F0000}"/>
    <cellStyle name="Normal 2 4 14 2 3" xfId="15653" xr:uid="{00000000-0005-0000-0000-00002B3F0000}"/>
    <cellStyle name="Normal 2 4 14 2 3 2" xfId="29785" xr:uid="{00000000-0005-0000-0000-00002C3F0000}"/>
    <cellStyle name="Normal 2 4 14 2 3 3" xfId="43680" xr:uid="{00000000-0005-0000-0000-00002D3F0000}"/>
    <cellStyle name="Normal 2 4 14 2 4" xfId="20466" xr:uid="{00000000-0005-0000-0000-00002E3F0000}"/>
    <cellStyle name="Normal 2 4 14 2 5" xfId="39098" xr:uid="{00000000-0005-0000-0000-00002F3F0000}"/>
    <cellStyle name="Normal 2 4 14 3" xfId="10921" xr:uid="{00000000-0005-0000-0000-0000303F0000}"/>
    <cellStyle name="Normal 2 4 14 3 2" xfId="34406" xr:uid="{00000000-0005-0000-0000-0000313F0000}"/>
    <cellStyle name="Normal 2 4 14 3 3" xfId="25087" xr:uid="{00000000-0005-0000-0000-0000323F0000}"/>
    <cellStyle name="Normal 2 4 14 3 4" xfId="48349" xr:uid="{00000000-0005-0000-0000-0000333F0000}"/>
    <cellStyle name="Normal 2 4 14 4" xfId="15652" xr:uid="{00000000-0005-0000-0000-0000343F0000}"/>
    <cellStyle name="Normal 2 4 14 4 2" xfId="29784" xr:uid="{00000000-0005-0000-0000-0000353F0000}"/>
    <cellStyle name="Normal 2 4 14 4 3" xfId="43679" xr:uid="{00000000-0005-0000-0000-0000363F0000}"/>
    <cellStyle name="Normal 2 4 14 5" xfId="20465" xr:uid="{00000000-0005-0000-0000-0000373F0000}"/>
    <cellStyle name="Normal 2 4 14 6" xfId="39097" xr:uid="{00000000-0005-0000-0000-0000383F0000}"/>
    <cellStyle name="Normal 2 4 15" xfId="5069" xr:uid="{00000000-0005-0000-0000-0000393F0000}"/>
    <cellStyle name="Normal 2 4 15 2" xfId="5070" xr:uid="{00000000-0005-0000-0000-00003A3F0000}"/>
    <cellStyle name="Normal 2 4 15 2 2" xfId="10924" xr:uid="{00000000-0005-0000-0000-00003B3F0000}"/>
    <cellStyle name="Normal 2 4 15 2 2 2" xfId="34409" xr:uid="{00000000-0005-0000-0000-00003C3F0000}"/>
    <cellStyle name="Normal 2 4 15 2 2 3" xfId="25090" xr:uid="{00000000-0005-0000-0000-00003D3F0000}"/>
    <cellStyle name="Normal 2 4 15 2 2 4" xfId="48352" xr:uid="{00000000-0005-0000-0000-00003E3F0000}"/>
    <cellStyle name="Normal 2 4 15 2 3" xfId="15655" xr:uid="{00000000-0005-0000-0000-00003F3F0000}"/>
    <cellStyle name="Normal 2 4 15 2 3 2" xfId="29787" xr:uid="{00000000-0005-0000-0000-0000403F0000}"/>
    <cellStyle name="Normal 2 4 15 2 3 3" xfId="43682" xr:uid="{00000000-0005-0000-0000-0000413F0000}"/>
    <cellStyle name="Normal 2 4 15 2 4" xfId="20468" xr:uid="{00000000-0005-0000-0000-0000423F0000}"/>
    <cellStyle name="Normal 2 4 15 2 5" xfId="39100" xr:uid="{00000000-0005-0000-0000-0000433F0000}"/>
    <cellStyle name="Normal 2 4 15 3" xfId="10923" xr:uid="{00000000-0005-0000-0000-0000443F0000}"/>
    <cellStyle name="Normal 2 4 15 3 2" xfId="34408" xr:uid="{00000000-0005-0000-0000-0000453F0000}"/>
    <cellStyle name="Normal 2 4 15 3 3" xfId="25089" xr:uid="{00000000-0005-0000-0000-0000463F0000}"/>
    <cellStyle name="Normal 2 4 15 3 4" xfId="48351" xr:uid="{00000000-0005-0000-0000-0000473F0000}"/>
    <cellStyle name="Normal 2 4 15 4" xfId="15654" xr:uid="{00000000-0005-0000-0000-0000483F0000}"/>
    <cellStyle name="Normal 2 4 15 4 2" xfId="29786" xr:uid="{00000000-0005-0000-0000-0000493F0000}"/>
    <cellStyle name="Normal 2 4 15 4 3" xfId="43681" xr:uid="{00000000-0005-0000-0000-00004A3F0000}"/>
    <cellStyle name="Normal 2 4 15 5" xfId="20467" xr:uid="{00000000-0005-0000-0000-00004B3F0000}"/>
    <cellStyle name="Normal 2 4 15 6" xfId="39099" xr:uid="{00000000-0005-0000-0000-00004C3F0000}"/>
    <cellStyle name="Normal 2 4 16" xfId="5071" xr:uid="{00000000-0005-0000-0000-00004D3F0000}"/>
    <cellStyle name="Normal 2 4 16 2" xfId="5072" xr:uid="{00000000-0005-0000-0000-00004E3F0000}"/>
    <cellStyle name="Normal 2 4 16 2 2" xfId="10926" xr:uid="{00000000-0005-0000-0000-00004F3F0000}"/>
    <cellStyle name="Normal 2 4 16 2 2 2" xfId="34411" xr:uid="{00000000-0005-0000-0000-0000503F0000}"/>
    <cellStyle name="Normal 2 4 16 2 2 3" xfId="25092" xr:uid="{00000000-0005-0000-0000-0000513F0000}"/>
    <cellStyle name="Normal 2 4 16 2 2 4" xfId="48354" xr:uid="{00000000-0005-0000-0000-0000523F0000}"/>
    <cellStyle name="Normal 2 4 16 2 3" xfId="15657" xr:uid="{00000000-0005-0000-0000-0000533F0000}"/>
    <cellStyle name="Normal 2 4 16 2 3 2" xfId="29789" xr:uid="{00000000-0005-0000-0000-0000543F0000}"/>
    <cellStyle name="Normal 2 4 16 2 3 3" xfId="43684" xr:uid="{00000000-0005-0000-0000-0000553F0000}"/>
    <cellStyle name="Normal 2 4 16 2 4" xfId="20470" xr:uid="{00000000-0005-0000-0000-0000563F0000}"/>
    <cellStyle name="Normal 2 4 16 2 5" xfId="39102" xr:uid="{00000000-0005-0000-0000-0000573F0000}"/>
    <cellStyle name="Normal 2 4 16 3" xfId="10925" xr:uid="{00000000-0005-0000-0000-0000583F0000}"/>
    <cellStyle name="Normal 2 4 16 3 2" xfId="34410" xr:uid="{00000000-0005-0000-0000-0000593F0000}"/>
    <cellStyle name="Normal 2 4 16 3 3" xfId="25091" xr:uid="{00000000-0005-0000-0000-00005A3F0000}"/>
    <cellStyle name="Normal 2 4 16 3 4" xfId="48353" xr:uid="{00000000-0005-0000-0000-00005B3F0000}"/>
    <cellStyle name="Normal 2 4 16 4" xfId="15656" xr:uid="{00000000-0005-0000-0000-00005C3F0000}"/>
    <cellStyle name="Normal 2 4 16 4 2" xfId="29788" xr:uid="{00000000-0005-0000-0000-00005D3F0000}"/>
    <cellStyle name="Normal 2 4 16 4 3" xfId="43683" xr:uid="{00000000-0005-0000-0000-00005E3F0000}"/>
    <cellStyle name="Normal 2 4 16 5" xfId="20469" xr:uid="{00000000-0005-0000-0000-00005F3F0000}"/>
    <cellStyle name="Normal 2 4 16 6" xfId="39101" xr:uid="{00000000-0005-0000-0000-0000603F0000}"/>
    <cellStyle name="Normal 2 4 17" xfId="5073" xr:uid="{00000000-0005-0000-0000-0000613F0000}"/>
    <cellStyle name="Normal 2 4 17 2" xfId="5074" xr:uid="{00000000-0005-0000-0000-0000623F0000}"/>
    <cellStyle name="Normal 2 4 17 2 2" xfId="10928" xr:uid="{00000000-0005-0000-0000-0000633F0000}"/>
    <cellStyle name="Normal 2 4 17 2 2 2" xfId="34413" xr:uid="{00000000-0005-0000-0000-0000643F0000}"/>
    <cellStyle name="Normal 2 4 17 2 2 3" xfId="25094" xr:uid="{00000000-0005-0000-0000-0000653F0000}"/>
    <cellStyle name="Normal 2 4 17 2 2 4" xfId="48356" xr:uid="{00000000-0005-0000-0000-0000663F0000}"/>
    <cellStyle name="Normal 2 4 17 2 3" xfId="15659" xr:uid="{00000000-0005-0000-0000-0000673F0000}"/>
    <cellStyle name="Normal 2 4 17 2 3 2" xfId="29791" xr:uid="{00000000-0005-0000-0000-0000683F0000}"/>
    <cellStyle name="Normal 2 4 17 2 3 3" xfId="43686" xr:uid="{00000000-0005-0000-0000-0000693F0000}"/>
    <cellStyle name="Normal 2 4 17 2 4" xfId="20472" xr:uid="{00000000-0005-0000-0000-00006A3F0000}"/>
    <cellStyle name="Normal 2 4 17 2 5" xfId="39104" xr:uid="{00000000-0005-0000-0000-00006B3F0000}"/>
    <cellStyle name="Normal 2 4 17 3" xfId="10927" xr:uid="{00000000-0005-0000-0000-00006C3F0000}"/>
    <cellStyle name="Normal 2 4 17 3 2" xfId="34412" xr:uid="{00000000-0005-0000-0000-00006D3F0000}"/>
    <cellStyle name="Normal 2 4 17 3 3" xfId="25093" xr:uid="{00000000-0005-0000-0000-00006E3F0000}"/>
    <cellStyle name="Normal 2 4 17 3 4" xfId="48355" xr:uid="{00000000-0005-0000-0000-00006F3F0000}"/>
    <cellStyle name="Normal 2 4 17 4" xfId="15658" xr:uid="{00000000-0005-0000-0000-0000703F0000}"/>
    <cellStyle name="Normal 2 4 17 4 2" xfId="29790" xr:uid="{00000000-0005-0000-0000-0000713F0000}"/>
    <cellStyle name="Normal 2 4 17 4 3" xfId="43685" xr:uid="{00000000-0005-0000-0000-0000723F0000}"/>
    <cellStyle name="Normal 2 4 17 5" xfId="20471" xr:uid="{00000000-0005-0000-0000-0000733F0000}"/>
    <cellStyle name="Normal 2 4 17 6" xfId="39103" xr:uid="{00000000-0005-0000-0000-0000743F0000}"/>
    <cellStyle name="Normal 2 4 18" xfId="5075" xr:uid="{00000000-0005-0000-0000-0000753F0000}"/>
    <cellStyle name="Normal 2 4 18 2" xfId="5076" xr:uid="{00000000-0005-0000-0000-0000763F0000}"/>
    <cellStyle name="Normal 2 4 18 2 2" xfId="10930" xr:uid="{00000000-0005-0000-0000-0000773F0000}"/>
    <cellStyle name="Normal 2 4 18 2 2 2" xfId="34415" xr:uid="{00000000-0005-0000-0000-0000783F0000}"/>
    <cellStyle name="Normal 2 4 18 2 2 3" xfId="25096" xr:uid="{00000000-0005-0000-0000-0000793F0000}"/>
    <cellStyle name="Normal 2 4 18 2 2 4" xfId="48358" xr:uid="{00000000-0005-0000-0000-00007A3F0000}"/>
    <cellStyle name="Normal 2 4 18 2 3" xfId="15661" xr:uid="{00000000-0005-0000-0000-00007B3F0000}"/>
    <cellStyle name="Normal 2 4 18 2 3 2" xfId="29793" xr:uid="{00000000-0005-0000-0000-00007C3F0000}"/>
    <cellStyle name="Normal 2 4 18 2 3 3" xfId="43688" xr:uid="{00000000-0005-0000-0000-00007D3F0000}"/>
    <cellStyle name="Normal 2 4 18 2 4" xfId="20474" xr:uid="{00000000-0005-0000-0000-00007E3F0000}"/>
    <cellStyle name="Normal 2 4 18 2 5" xfId="39106" xr:uid="{00000000-0005-0000-0000-00007F3F0000}"/>
    <cellStyle name="Normal 2 4 18 3" xfId="10929" xr:uid="{00000000-0005-0000-0000-0000803F0000}"/>
    <cellStyle name="Normal 2 4 18 3 2" xfId="34414" xr:uid="{00000000-0005-0000-0000-0000813F0000}"/>
    <cellStyle name="Normal 2 4 18 3 3" xfId="25095" xr:uid="{00000000-0005-0000-0000-0000823F0000}"/>
    <cellStyle name="Normal 2 4 18 3 4" xfId="48357" xr:uid="{00000000-0005-0000-0000-0000833F0000}"/>
    <cellStyle name="Normal 2 4 18 4" xfId="15660" xr:uid="{00000000-0005-0000-0000-0000843F0000}"/>
    <cellStyle name="Normal 2 4 18 4 2" xfId="29792" xr:uid="{00000000-0005-0000-0000-0000853F0000}"/>
    <cellStyle name="Normal 2 4 18 4 3" xfId="43687" xr:uid="{00000000-0005-0000-0000-0000863F0000}"/>
    <cellStyle name="Normal 2 4 18 5" xfId="20473" xr:uid="{00000000-0005-0000-0000-0000873F0000}"/>
    <cellStyle name="Normal 2 4 18 6" xfId="39105" xr:uid="{00000000-0005-0000-0000-0000883F0000}"/>
    <cellStyle name="Normal 2 4 19" xfId="5077" xr:uid="{00000000-0005-0000-0000-0000893F0000}"/>
    <cellStyle name="Normal 2 4 2" xfId="5078" xr:uid="{00000000-0005-0000-0000-00008A3F0000}"/>
    <cellStyle name="Normal 2 4 2 2" xfId="5079" xr:uid="{00000000-0005-0000-0000-00008B3F0000}"/>
    <cellStyle name="Normal 2 4 2 2 2" xfId="10932" xr:uid="{00000000-0005-0000-0000-00008C3F0000}"/>
    <cellStyle name="Normal 2 4 2 2 2 2" xfId="34417" xr:uid="{00000000-0005-0000-0000-00008D3F0000}"/>
    <cellStyle name="Normal 2 4 2 2 2 3" xfId="25098" xr:uid="{00000000-0005-0000-0000-00008E3F0000}"/>
    <cellStyle name="Normal 2 4 2 2 2 4" xfId="48360" xr:uid="{00000000-0005-0000-0000-00008F3F0000}"/>
    <cellStyle name="Normal 2 4 2 2 3" xfId="15663" xr:uid="{00000000-0005-0000-0000-0000903F0000}"/>
    <cellStyle name="Normal 2 4 2 2 3 2" xfId="29795" xr:uid="{00000000-0005-0000-0000-0000913F0000}"/>
    <cellStyle name="Normal 2 4 2 2 3 3" xfId="43690" xr:uid="{00000000-0005-0000-0000-0000923F0000}"/>
    <cellStyle name="Normal 2 4 2 2 4" xfId="20476" xr:uid="{00000000-0005-0000-0000-0000933F0000}"/>
    <cellStyle name="Normal 2 4 2 2 5" xfId="39108" xr:uid="{00000000-0005-0000-0000-0000943F0000}"/>
    <cellStyle name="Normal 2 4 2 3" xfId="10931" xr:uid="{00000000-0005-0000-0000-0000953F0000}"/>
    <cellStyle name="Normal 2 4 2 3 2" xfId="34416" xr:uid="{00000000-0005-0000-0000-0000963F0000}"/>
    <cellStyle name="Normal 2 4 2 3 3" xfId="25097" xr:uid="{00000000-0005-0000-0000-0000973F0000}"/>
    <cellStyle name="Normal 2 4 2 3 4" xfId="48359" xr:uid="{00000000-0005-0000-0000-0000983F0000}"/>
    <cellStyle name="Normal 2 4 2 4" xfId="15662" xr:uid="{00000000-0005-0000-0000-0000993F0000}"/>
    <cellStyle name="Normal 2 4 2 4 2" xfId="29794" xr:uid="{00000000-0005-0000-0000-00009A3F0000}"/>
    <cellStyle name="Normal 2 4 2 4 3" xfId="43689" xr:uid="{00000000-0005-0000-0000-00009B3F0000}"/>
    <cellStyle name="Normal 2 4 2 5" xfId="20475" xr:uid="{00000000-0005-0000-0000-00009C3F0000}"/>
    <cellStyle name="Normal 2 4 2 6" xfId="39107" xr:uid="{00000000-0005-0000-0000-00009D3F0000}"/>
    <cellStyle name="Normal 2 4 20" xfId="5058" xr:uid="{00000000-0005-0000-0000-00009E3F0000}"/>
    <cellStyle name="Normal 2 4 20 2" xfId="10912" xr:uid="{00000000-0005-0000-0000-00009F3F0000}"/>
    <cellStyle name="Normal 2 4 20 2 2" xfId="34397" xr:uid="{00000000-0005-0000-0000-0000A03F0000}"/>
    <cellStyle name="Normal 2 4 20 2 3" xfId="25078" xr:uid="{00000000-0005-0000-0000-0000A13F0000}"/>
    <cellStyle name="Normal 2 4 20 2 4" xfId="48340" xr:uid="{00000000-0005-0000-0000-0000A23F0000}"/>
    <cellStyle name="Normal 2 4 20 3" xfId="15643" xr:uid="{00000000-0005-0000-0000-0000A33F0000}"/>
    <cellStyle name="Normal 2 4 20 3 2" xfId="29775" xr:uid="{00000000-0005-0000-0000-0000A43F0000}"/>
    <cellStyle name="Normal 2 4 20 3 3" xfId="43670" xr:uid="{00000000-0005-0000-0000-0000A53F0000}"/>
    <cellStyle name="Normal 2 4 20 4" xfId="20456" xr:uid="{00000000-0005-0000-0000-0000A63F0000}"/>
    <cellStyle name="Normal 2 4 20 5" xfId="39088" xr:uid="{00000000-0005-0000-0000-0000A73F0000}"/>
    <cellStyle name="Normal 2 4 21" xfId="9482" xr:uid="{00000000-0005-0000-0000-0000A83F0000}"/>
    <cellStyle name="Normal 2 4 21 2" xfId="14151" xr:uid="{00000000-0005-0000-0000-0000A93F0000}"/>
    <cellStyle name="Normal 2 4 21 2 2" xfId="37629" xr:uid="{00000000-0005-0000-0000-0000AA3F0000}"/>
    <cellStyle name="Normal 2 4 21 2 3" xfId="28315" xr:uid="{00000000-0005-0000-0000-0000AB3F0000}"/>
    <cellStyle name="Normal 2 4 21 2 4" xfId="51578" xr:uid="{00000000-0005-0000-0000-0000AC3F0000}"/>
    <cellStyle name="Normal 2 4 21 3" xfId="18863" xr:uid="{00000000-0005-0000-0000-0000AD3F0000}"/>
    <cellStyle name="Normal 2 4 21 3 2" xfId="32995" xr:uid="{00000000-0005-0000-0000-0000AE3F0000}"/>
    <cellStyle name="Normal 2 4 21 3 3" xfId="46897" xr:uid="{00000000-0005-0000-0000-0000AF3F0000}"/>
    <cellStyle name="Normal 2 4 21 4" xfId="23681" xr:uid="{00000000-0005-0000-0000-0000B03F0000}"/>
    <cellStyle name="Normal 2 4 21 5" xfId="42268" xr:uid="{00000000-0005-0000-0000-0000B13F0000}"/>
    <cellStyle name="Normal 2 4 22" xfId="9522" xr:uid="{00000000-0005-0000-0000-0000B23F0000}"/>
    <cellStyle name="Normal 2 4 22 2" xfId="14188" xr:uid="{00000000-0005-0000-0000-0000B33F0000}"/>
    <cellStyle name="Normal 2 4 22 2 2" xfId="37663" xr:uid="{00000000-0005-0000-0000-0000B43F0000}"/>
    <cellStyle name="Normal 2 4 22 2 3" xfId="28348" xr:uid="{00000000-0005-0000-0000-0000B53F0000}"/>
    <cellStyle name="Normal 2 4 22 2 4" xfId="51615" xr:uid="{00000000-0005-0000-0000-0000B63F0000}"/>
    <cellStyle name="Normal 2 4 22 3" xfId="18896" xr:uid="{00000000-0005-0000-0000-0000B73F0000}"/>
    <cellStyle name="Normal 2 4 22 3 2" xfId="33029" xr:uid="{00000000-0005-0000-0000-0000B83F0000}"/>
    <cellStyle name="Normal 2 4 22 3 3" xfId="46935" xr:uid="{00000000-0005-0000-0000-0000B93F0000}"/>
    <cellStyle name="Normal 2 4 22 4" xfId="23716" xr:uid="{00000000-0005-0000-0000-0000BA3F0000}"/>
    <cellStyle name="Normal 2 4 22 5" xfId="42301" xr:uid="{00000000-0005-0000-0000-0000BB3F0000}"/>
    <cellStyle name="Normal 2 4 23" xfId="9655" xr:uid="{00000000-0005-0000-0000-0000BC3F0000}"/>
    <cellStyle name="Normal 2 4 23 2" xfId="33146" xr:uid="{00000000-0005-0000-0000-0000BD3F0000}"/>
    <cellStyle name="Normal 2 4 23 3" xfId="23833" xr:uid="{00000000-0005-0000-0000-0000BE3F0000}"/>
    <cellStyle name="Normal 2 4 23 4" xfId="47089" xr:uid="{00000000-0005-0000-0000-0000BF3F0000}"/>
    <cellStyle name="Normal 2 4 24" xfId="14417" xr:uid="{00000000-0005-0000-0000-0000C03F0000}"/>
    <cellStyle name="Normal 2 4 24 2" xfId="28548" xr:uid="{00000000-0005-0000-0000-0000C13F0000}"/>
    <cellStyle name="Normal 2 4 24 3" xfId="42427" xr:uid="{00000000-0005-0000-0000-0000C23F0000}"/>
    <cellStyle name="Normal 2 4 25" xfId="19230" xr:uid="{00000000-0005-0000-0000-0000C33F0000}"/>
    <cellStyle name="Normal 2 4 26" xfId="37865" xr:uid="{00000000-0005-0000-0000-0000C43F0000}"/>
    <cellStyle name="Normal 2 4 3" xfId="5080" xr:uid="{00000000-0005-0000-0000-0000C53F0000}"/>
    <cellStyle name="Normal 2 4 3 2" xfId="5081" xr:uid="{00000000-0005-0000-0000-0000C63F0000}"/>
    <cellStyle name="Normal 2 4 3 2 2" xfId="10934" xr:uid="{00000000-0005-0000-0000-0000C73F0000}"/>
    <cellStyle name="Normal 2 4 3 2 2 2" xfId="34419" xr:uid="{00000000-0005-0000-0000-0000C83F0000}"/>
    <cellStyle name="Normal 2 4 3 2 2 3" xfId="25100" xr:uid="{00000000-0005-0000-0000-0000C93F0000}"/>
    <cellStyle name="Normal 2 4 3 2 2 4" xfId="48362" xr:uid="{00000000-0005-0000-0000-0000CA3F0000}"/>
    <cellStyle name="Normal 2 4 3 2 3" xfId="15665" xr:uid="{00000000-0005-0000-0000-0000CB3F0000}"/>
    <cellStyle name="Normal 2 4 3 2 3 2" xfId="29797" xr:uid="{00000000-0005-0000-0000-0000CC3F0000}"/>
    <cellStyle name="Normal 2 4 3 2 3 3" xfId="43692" xr:uid="{00000000-0005-0000-0000-0000CD3F0000}"/>
    <cellStyle name="Normal 2 4 3 2 4" xfId="20478" xr:uid="{00000000-0005-0000-0000-0000CE3F0000}"/>
    <cellStyle name="Normal 2 4 3 2 5" xfId="39110" xr:uid="{00000000-0005-0000-0000-0000CF3F0000}"/>
    <cellStyle name="Normal 2 4 3 3" xfId="10933" xr:uid="{00000000-0005-0000-0000-0000D03F0000}"/>
    <cellStyle name="Normal 2 4 3 3 2" xfId="34418" xr:uid="{00000000-0005-0000-0000-0000D13F0000}"/>
    <cellStyle name="Normal 2 4 3 3 3" xfId="25099" xr:uid="{00000000-0005-0000-0000-0000D23F0000}"/>
    <cellStyle name="Normal 2 4 3 3 4" xfId="48361" xr:uid="{00000000-0005-0000-0000-0000D33F0000}"/>
    <cellStyle name="Normal 2 4 3 4" xfId="15664" xr:uid="{00000000-0005-0000-0000-0000D43F0000}"/>
    <cellStyle name="Normal 2 4 3 4 2" xfId="29796" xr:uid="{00000000-0005-0000-0000-0000D53F0000}"/>
    <cellStyle name="Normal 2 4 3 4 3" xfId="43691" xr:uid="{00000000-0005-0000-0000-0000D63F0000}"/>
    <cellStyle name="Normal 2 4 3 5" xfId="20477" xr:uid="{00000000-0005-0000-0000-0000D73F0000}"/>
    <cellStyle name="Normal 2 4 3 6" xfId="39109" xr:uid="{00000000-0005-0000-0000-0000D83F0000}"/>
    <cellStyle name="Normal 2 4 4" xfId="5082" xr:uid="{00000000-0005-0000-0000-0000D93F0000}"/>
    <cellStyle name="Normal 2 4 4 2" xfId="5083" xr:uid="{00000000-0005-0000-0000-0000DA3F0000}"/>
    <cellStyle name="Normal 2 4 4 2 2" xfId="10936" xr:uid="{00000000-0005-0000-0000-0000DB3F0000}"/>
    <cellStyle name="Normal 2 4 4 2 2 2" xfId="34421" xr:uid="{00000000-0005-0000-0000-0000DC3F0000}"/>
    <cellStyle name="Normal 2 4 4 2 2 3" xfId="25102" xr:uid="{00000000-0005-0000-0000-0000DD3F0000}"/>
    <cellStyle name="Normal 2 4 4 2 2 4" xfId="48364" xr:uid="{00000000-0005-0000-0000-0000DE3F0000}"/>
    <cellStyle name="Normal 2 4 4 2 3" xfId="15667" xr:uid="{00000000-0005-0000-0000-0000DF3F0000}"/>
    <cellStyle name="Normal 2 4 4 2 3 2" xfId="29799" xr:uid="{00000000-0005-0000-0000-0000E03F0000}"/>
    <cellStyle name="Normal 2 4 4 2 3 3" xfId="43694" xr:uid="{00000000-0005-0000-0000-0000E13F0000}"/>
    <cellStyle name="Normal 2 4 4 2 4" xfId="20480" xr:uid="{00000000-0005-0000-0000-0000E23F0000}"/>
    <cellStyle name="Normal 2 4 4 2 5" xfId="39112" xr:uid="{00000000-0005-0000-0000-0000E33F0000}"/>
    <cellStyle name="Normal 2 4 4 3" xfId="10935" xr:uid="{00000000-0005-0000-0000-0000E43F0000}"/>
    <cellStyle name="Normal 2 4 4 3 2" xfId="34420" xr:uid="{00000000-0005-0000-0000-0000E53F0000}"/>
    <cellStyle name="Normal 2 4 4 3 3" xfId="25101" xr:uid="{00000000-0005-0000-0000-0000E63F0000}"/>
    <cellStyle name="Normal 2 4 4 3 4" xfId="48363" xr:uid="{00000000-0005-0000-0000-0000E73F0000}"/>
    <cellStyle name="Normal 2 4 4 4" xfId="15666" xr:uid="{00000000-0005-0000-0000-0000E83F0000}"/>
    <cellStyle name="Normal 2 4 4 4 2" xfId="29798" xr:uid="{00000000-0005-0000-0000-0000E93F0000}"/>
    <cellStyle name="Normal 2 4 4 4 3" xfId="43693" xr:uid="{00000000-0005-0000-0000-0000EA3F0000}"/>
    <cellStyle name="Normal 2 4 4 5" xfId="20479" xr:uid="{00000000-0005-0000-0000-0000EB3F0000}"/>
    <cellStyle name="Normal 2 4 4 6" xfId="39111" xr:uid="{00000000-0005-0000-0000-0000EC3F0000}"/>
    <cellStyle name="Normal 2 4 5" xfId="5084" xr:uid="{00000000-0005-0000-0000-0000ED3F0000}"/>
    <cellStyle name="Normal 2 4 5 2" xfId="5085" xr:uid="{00000000-0005-0000-0000-0000EE3F0000}"/>
    <cellStyle name="Normal 2 4 5 2 2" xfId="10938" xr:uid="{00000000-0005-0000-0000-0000EF3F0000}"/>
    <cellStyle name="Normal 2 4 5 2 2 2" xfId="34423" xr:uid="{00000000-0005-0000-0000-0000F03F0000}"/>
    <cellStyle name="Normal 2 4 5 2 2 3" xfId="25104" xr:uid="{00000000-0005-0000-0000-0000F13F0000}"/>
    <cellStyle name="Normal 2 4 5 2 2 4" xfId="48366" xr:uid="{00000000-0005-0000-0000-0000F23F0000}"/>
    <cellStyle name="Normal 2 4 5 2 3" xfId="15669" xr:uid="{00000000-0005-0000-0000-0000F33F0000}"/>
    <cellStyle name="Normal 2 4 5 2 3 2" xfId="29801" xr:uid="{00000000-0005-0000-0000-0000F43F0000}"/>
    <cellStyle name="Normal 2 4 5 2 3 3" xfId="43696" xr:uid="{00000000-0005-0000-0000-0000F53F0000}"/>
    <cellStyle name="Normal 2 4 5 2 4" xfId="20482" xr:uid="{00000000-0005-0000-0000-0000F63F0000}"/>
    <cellStyle name="Normal 2 4 5 2 5" xfId="39114" xr:uid="{00000000-0005-0000-0000-0000F73F0000}"/>
    <cellStyle name="Normal 2 4 5 3" xfId="10937" xr:uid="{00000000-0005-0000-0000-0000F83F0000}"/>
    <cellStyle name="Normal 2 4 5 3 2" xfId="34422" xr:uid="{00000000-0005-0000-0000-0000F93F0000}"/>
    <cellStyle name="Normal 2 4 5 3 3" xfId="25103" xr:uid="{00000000-0005-0000-0000-0000FA3F0000}"/>
    <cellStyle name="Normal 2 4 5 3 4" xfId="48365" xr:uid="{00000000-0005-0000-0000-0000FB3F0000}"/>
    <cellStyle name="Normal 2 4 5 4" xfId="15668" xr:uid="{00000000-0005-0000-0000-0000FC3F0000}"/>
    <cellStyle name="Normal 2 4 5 4 2" xfId="29800" xr:uid="{00000000-0005-0000-0000-0000FD3F0000}"/>
    <cellStyle name="Normal 2 4 5 4 3" xfId="43695" xr:uid="{00000000-0005-0000-0000-0000FE3F0000}"/>
    <cellStyle name="Normal 2 4 5 5" xfId="20481" xr:uid="{00000000-0005-0000-0000-0000FF3F0000}"/>
    <cellStyle name="Normal 2 4 5 6" xfId="39113" xr:uid="{00000000-0005-0000-0000-000000400000}"/>
    <cellStyle name="Normal 2 4 6" xfId="5086" xr:uid="{00000000-0005-0000-0000-000001400000}"/>
    <cellStyle name="Normal 2 4 6 2" xfId="5087" xr:uid="{00000000-0005-0000-0000-000002400000}"/>
    <cellStyle name="Normal 2 4 6 2 2" xfId="10940" xr:uid="{00000000-0005-0000-0000-000003400000}"/>
    <cellStyle name="Normal 2 4 6 2 2 2" xfId="34425" xr:uid="{00000000-0005-0000-0000-000004400000}"/>
    <cellStyle name="Normal 2 4 6 2 2 3" xfId="25106" xr:uid="{00000000-0005-0000-0000-000005400000}"/>
    <cellStyle name="Normal 2 4 6 2 2 4" xfId="48368" xr:uid="{00000000-0005-0000-0000-000006400000}"/>
    <cellStyle name="Normal 2 4 6 2 3" xfId="15671" xr:uid="{00000000-0005-0000-0000-000007400000}"/>
    <cellStyle name="Normal 2 4 6 2 3 2" xfId="29803" xr:uid="{00000000-0005-0000-0000-000008400000}"/>
    <cellStyle name="Normal 2 4 6 2 3 3" xfId="43698" xr:uid="{00000000-0005-0000-0000-000009400000}"/>
    <cellStyle name="Normal 2 4 6 2 4" xfId="20484" xr:uid="{00000000-0005-0000-0000-00000A400000}"/>
    <cellStyle name="Normal 2 4 6 2 5" xfId="39116" xr:uid="{00000000-0005-0000-0000-00000B400000}"/>
    <cellStyle name="Normal 2 4 6 3" xfId="10939" xr:uid="{00000000-0005-0000-0000-00000C400000}"/>
    <cellStyle name="Normal 2 4 6 3 2" xfId="34424" xr:uid="{00000000-0005-0000-0000-00000D400000}"/>
    <cellStyle name="Normal 2 4 6 3 3" xfId="25105" xr:uid="{00000000-0005-0000-0000-00000E400000}"/>
    <cellStyle name="Normal 2 4 6 3 4" xfId="48367" xr:uid="{00000000-0005-0000-0000-00000F400000}"/>
    <cellStyle name="Normal 2 4 6 4" xfId="15670" xr:uid="{00000000-0005-0000-0000-000010400000}"/>
    <cellStyle name="Normal 2 4 6 4 2" xfId="29802" xr:uid="{00000000-0005-0000-0000-000011400000}"/>
    <cellStyle name="Normal 2 4 6 4 3" xfId="43697" xr:uid="{00000000-0005-0000-0000-000012400000}"/>
    <cellStyle name="Normal 2 4 6 5" xfId="20483" xr:uid="{00000000-0005-0000-0000-000013400000}"/>
    <cellStyle name="Normal 2 4 6 6" xfId="39115" xr:uid="{00000000-0005-0000-0000-000014400000}"/>
    <cellStyle name="Normal 2 4 7" xfId="5088" xr:uid="{00000000-0005-0000-0000-000015400000}"/>
    <cellStyle name="Normal 2 4 7 2" xfId="5089" xr:uid="{00000000-0005-0000-0000-000016400000}"/>
    <cellStyle name="Normal 2 4 7 2 2" xfId="10942" xr:uid="{00000000-0005-0000-0000-000017400000}"/>
    <cellStyle name="Normal 2 4 7 2 2 2" xfId="34427" xr:uid="{00000000-0005-0000-0000-000018400000}"/>
    <cellStyle name="Normal 2 4 7 2 2 3" xfId="25108" xr:uid="{00000000-0005-0000-0000-000019400000}"/>
    <cellStyle name="Normal 2 4 7 2 2 4" xfId="48370" xr:uid="{00000000-0005-0000-0000-00001A400000}"/>
    <cellStyle name="Normal 2 4 7 2 3" xfId="15673" xr:uid="{00000000-0005-0000-0000-00001B400000}"/>
    <cellStyle name="Normal 2 4 7 2 3 2" xfId="29805" xr:uid="{00000000-0005-0000-0000-00001C400000}"/>
    <cellStyle name="Normal 2 4 7 2 3 3" xfId="43700" xr:uid="{00000000-0005-0000-0000-00001D400000}"/>
    <cellStyle name="Normal 2 4 7 2 4" xfId="20486" xr:uid="{00000000-0005-0000-0000-00001E400000}"/>
    <cellStyle name="Normal 2 4 7 2 5" xfId="39118" xr:uid="{00000000-0005-0000-0000-00001F400000}"/>
    <cellStyle name="Normal 2 4 7 3" xfId="10941" xr:uid="{00000000-0005-0000-0000-000020400000}"/>
    <cellStyle name="Normal 2 4 7 3 2" xfId="34426" xr:uid="{00000000-0005-0000-0000-000021400000}"/>
    <cellStyle name="Normal 2 4 7 3 3" xfId="25107" xr:uid="{00000000-0005-0000-0000-000022400000}"/>
    <cellStyle name="Normal 2 4 7 3 4" xfId="48369" xr:uid="{00000000-0005-0000-0000-000023400000}"/>
    <cellStyle name="Normal 2 4 7 4" xfId="15672" xr:uid="{00000000-0005-0000-0000-000024400000}"/>
    <cellStyle name="Normal 2 4 7 4 2" xfId="29804" xr:uid="{00000000-0005-0000-0000-000025400000}"/>
    <cellStyle name="Normal 2 4 7 4 3" xfId="43699" xr:uid="{00000000-0005-0000-0000-000026400000}"/>
    <cellStyle name="Normal 2 4 7 5" xfId="20485" xr:uid="{00000000-0005-0000-0000-000027400000}"/>
    <cellStyle name="Normal 2 4 7 6" xfId="39117" xr:uid="{00000000-0005-0000-0000-000028400000}"/>
    <cellStyle name="Normal 2 4 8" xfId="5090" xr:uid="{00000000-0005-0000-0000-000029400000}"/>
    <cellStyle name="Normal 2 4 8 2" xfId="5091" xr:uid="{00000000-0005-0000-0000-00002A400000}"/>
    <cellStyle name="Normal 2 4 8 2 2" xfId="10944" xr:uid="{00000000-0005-0000-0000-00002B400000}"/>
    <cellStyle name="Normal 2 4 8 2 2 2" xfId="34429" xr:uid="{00000000-0005-0000-0000-00002C400000}"/>
    <cellStyle name="Normal 2 4 8 2 2 3" xfId="25110" xr:uid="{00000000-0005-0000-0000-00002D400000}"/>
    <cellStyle name="Normal 2 4 8 2 2 4" xfId="48372" xr:uid="{00000000-0005-0000-0000-00002E400000}"/>
    <cellStyle name="Normal 2 4 8 2 3" xfId="15675" xr:uid="{00000000-0005-0000-0000-00002F400000}"/>
    <cellStyle name="Normal 2 4 8 2 3 2" xfId="29807" xr:uid="{00000000-0005-0000-0000-000030400000}"/>
    <cellStyle name="Normal 2 4 8 2 3 3" xfId="43702" xr:uid="{00000000-0005-0000-0000-000031400000}"/>
    <cellStyle name="Normal 2 4 8 2 4" xfId="20488" xr:uid="{00000000-0005-0000-0000-000032400000}"/>
    <cellStyle name="Normal 2 4 8 2 5" xfId="39120" xr:uid="{00000000-0005-0000-0000-000033400000}"/>
    <cellStyle name="Normal 2 4 8 3" xfId="10943" xr:uid="{00000000-0005-0000-0000-000034400000}"/>
    <cellStyle name="Normal 2 4 8 3 2" xfId="34428" xr:uid="{00000000-0005-0000-0000-000035400000}"/>
    <cellStyle name="Normal 2 4 8 3 3" xfId="25109" xr:uid="{00000000-0005-0000-0000-000036400000}"/>
    <cellStyle name="Normal 2 4 8 3 4" xfId="48371" xr:uid="{00000000-0005-0000-0000-000037400000}"/>
    <cellStyle name="Normal 2 4 8 4" xfId="15674" xr:uid="{00000000-0005-0000-0000-000038400000}"/>
    <cellStyle name="Normal 2 4 8 4 2" xfId="29806" xr:uid="{00000000-0005-0000-0000-000039400000}"/>
    <cellStyle name="Normal 2 4 8 4 3" xfId="43701" xr:uid="{00000000-0005-0000-0000-00003A400000}"/>
    <cellStyle name="Normal 2 4 8 5" xfId="20487" xr:uid="{00000000-0005-0000-0000-00003B400000}"/>
    <cellStyle name="Normal 2 4 8 6" xfId="39119" xr:uid="{00000000-0005-0000-0000-00003C400000}"/>
    <cellStyle name="Normal 2 4 9" xfId="5092" xr:uid="{00000000-0005-0000-0000-00003D400000}"/>
    <cellStyle name="Normal 2 4 9 2" xfId="5093" xr:uid="{00000000-0005-0000-0000-00003E400000}"/>
    <cellStyle name="Normal 2 4 9 2 2" xfId="10946" xr:uid="{00000000-0005-0000-0000-00003F400000}"/>
    <cellStyle name="Normal 2 4 9 2 2 2" xfId="34431" xr:uid="{00000000-0005-0000-0000-000040400000}"/>
    <cellStyle name="Normal 2 4 9 2 2 3" xfId="25112" xr:uid="{00000000-0005-0000-0000-000041400000}"/>
    <cellStyle name="Normal 2 4 9 2 2 4" xfId="48374" xr:uid="{00000000-0005-0000-0000-000042400000}"/>
    <cellStyle name="Normal 2 4 9 2 3" xfId="15677" xr:uid="{00000000-0005-0000-0000-000043400000}"/>
    <cellStyle name="Normal 2 4 9 2 3 2" xfId="29809" xr:uid="{00000000-0005-0000-0000-000044400000}"/>
    <cellStyle name="Normal 2 4 9 2 3 3" xfId="43704" xr:uid="{00000000-0005-0000-0000-000045400000}"/>
    <cellStyle name="Normal 2 4 9 2 4" xfId="20490" xr:uid="{00000000-0005-0000-0000-000046400000}"/>
    <cellStyle name="Normal 2 4 9 2 5" xfId="39122" xr:uid="{00000000-0005-0000-0000-000047400000}"/>
    <cellStyle name="Normal 2 4 9 3" xfId="10945" xr:uid="{00000000-0005-0000-0000-000048400000}"/>
    <cellStyle name="Normal 2 4 9 3 2" xfId="34430" xr:uid="{00000000-0005-0000-0000-000049400000}"/>
    <cellStyle name="Normal 2 4 9 3 3" xfId="25111" xr:uid="{00000000-0005-0000-0000-00004A400000}"/>
    <cellStyle name="Normal 2 4 9 3 4" xfId="48373" xr:uid="{00000000-0005-0000-0000-00004B400000}"/>
    <cellStyle name="Normal 2 4 9 4" xfId="15676" xr:uid="{00000000-0005-0000-0000-00004C400000}"/>
    <cellStyle name="Normal 2 4 9 4 2" xfId="29808" xr:uid="{00000000-0005-0000-0000-00004D400000}"/>
    <cellStyle name="Normal 2 4 9 4 3" xfId="43703" xr:uid="{00000000-0005-0000-0000-00004E400000}"/>
    <cellStyle name="Normal 2 4 9 5" xfId="20489" xr:uid="{00000000-0005-0000-0000-00004F400000}"/>
    <cellStyle name="Normal 2 4 9 6" xfId="39121" xr:uid="{00000000-0005-0000-0000-000050400000}"/>
    <cellStyle name="Normal 2 40" xfId="5094" xr:uid="{00000000-0005-0000-0000-000051400000}"/>
    <cellStyle name="Normal 2 40 2" xfId="5095" xr:uid="{00000000-0005-0000-0000-000052400000}"/>
    <cellStyle name="Normal 2 40 2 2" xfId="10948" xr:uid="{00000000-0005-0000-0000-000053400000}"/>
    <cellStyle name="Normal 2 40 2 2 2" xfId="34433" xr:uid="{00000000-0005-0000-0000-000054400000}"/>
    <cellStyle name="Normal 2 40 2 2 3" xfId="25114" xr:uid="{00000000-0005-0000-0000-000055400000}"/>
    <cellStyle name="Normal 2 40 2 2 4" xfId="48376" xr:uid="{00000000-0005-0000-0000-000056400000}"/>
    <cellStyle name="Normal 2 40 2 3" xfId="15679" xr:uid="{00000000-0005-0000-0000-000057400000}"/>
    <cellStyle name="Normal 2 40 2 3 2" xfId="29811" xr:uid="{00000000-0005-0000-0000-000058400000}"/>
    <cellStyle name="Normal 2 40 2 3 3" xfId="43706" xr:uid="{00000000-0005-0000-0000-000059400000}"/>
    <cellStyle name="Normal 2 40 2 4" xfId="20492" xr:uid="{00000000-0005-0000-0000-00005A400000}"/>
    <cellStyle name="Normal 2 40 2 5" xfId="39124" xr:uid="{00000000-0005-0000-0000-00005B400000}"/>
    <cellStyle name="Normal 2 40 3" xfId="10947" xr:uid="{00000000-0005-0000-0000-00005C400000}"/>
    <cellStyle name="Normal 2 40 3 2" xfId="34432" xr:uid="{00000000-0005-0000-0000-00005D400000}"/>
    <cellStyle name="Normal 2 40 3 3" xfId="25113" xr:uid="{00000000-0005-0000-0000-00005E400000}"/>
    <cellStyle name="Normal 2 40 3 4" xfId="48375" xr:uid="{00000000-0005-0000-0000-00005F400000}"/>
    <cellStyle name="Normal 2 40 4" xfId="15678" xr:uid="{00000000-0005-0000-0000-000060400000}"/>
    <cellStyle name="Normal 2 40 4 2" xfId="29810" xr:uid="{00000000-0005-0000-0000-000061400000}"/>
    <cellStyle name="Normal 2 40 4 3" xfId="43705" xr:uid="{00000000-0005-0000-0000-000062400000}"/>
    <cellStyle name="Normal 2 40 5" xfId="20491" xr:uid="{00000000-0005-0000-0000-000063400000}"/>
    <cellStyle name="Normal 2 40 6" xfId="39123" xr:uid="{00000000-0005-0000-0000-000064400000}"/>
    <cellStyle name="Normal 2 41" xfId="5096" xr:uid="{00000000-0005-0000-0000-000065400000}"/>
    <cellStyle name="Normal 2 41 2" xfId="5097" xr:uid="{00000000-0005-0000-0000-000066400000}"/>
    <cellStyle name="Normal 2 41 2 2" xfId="10950" xr:uid="{00000000-0005-0000-0000-000067400000}"/>
    <cellStyle name="Normal 2 41 2 2 2" xfId="34435" xr:uid="{00000000-0005-0000-0000-000068400000}"/>
    <cellStyle name="Normal 2 41 2 2 3" xfId="25116" xr:uid="{00000000-0005-0000-0000-000069400000}"/>
    <cellStyle name="Normal 2 41 2 2 4" xfId="48378" xr:uid="{00000000-0005-0000-0000-00006A400000}"/>
    <cellStyle name="Normal 2 41 2 3" xfId="15681" xr:uid="{00000000-0005-0000-0000-00006B400000}"/>
    <cellStyle name="Normal 2 41 2 3 2" xfId="29813" xr:uid="{00000000-0005-0000-0000-00006C400000}"/>
    <cellStyle name="Normal 2 41 2 3 3" xfId="43708" xr:uid="{00000000-0005-0000-0000-00006D400000}"/>
    <cellStyle name="Normal 2 41 2 4" xfId="20494" xr:uid="{00000000-0005-0000-0000-00006E400000}"/>
    <cellStyle name="Normal 2 41 2 5" xfId="39126" xr:uid="{00000000-0005-0000-0000-00006F400000}"/>
    <cellStyle name="Normal 2 41 3" xfId="10949" xr:uid="{00000000-0005-0000-0000-000070400000}"/>
    <cellStyle name="Normal 2 41 3 2" xfId="34434" xr:uid="{00000000-0005-0000-0000-000071400000}"/>
    <cellStyle name="Normal 2 41 3 3" xfId="25115" xr:uid="{00000000-0005-0000-0000-000072400000}"/>
    <cellStyle name="Normal 2 41 3 4" xfId="48377" xr:uid="{00000000-0005-0000-0000-000073400000}"/>
    <cellStyle name="Normal 2 41 4" xfId="15680" xr:uid="{00000000-0005-0000-0000-000074400000}"/>
    <cellStyle name="Normal 2 41 4 2" xfId="29812" xr:uid="{00000000-0005-0000-0000-000075400000}"/>
    <cellStyle name="Normal 2 41 4 3" xfId="43707" xr:uid="{00000000-0005-0000-0000-000076400000}"/>
    <cellStyle name="Normal 2 41 5" xfId="20493" xr:uid="{00000000-0005-0000-0000-000077400000}"/>
    <cellStyle name="Normal 2 41 6" xfId="39125" xr:uid="{00000000-0005-0000-0000-000078400000}"/>
    <cellStyle name="Normal 2 42" xfId="5098" xr:uid="{00000000-0005-0000-0000-000079400000}"/>
    <cellStyle name="Normal 2 42 2" xfId="5099" xr:uid="{00000000-0005-0000-0000-00007A400000}"/>
    <cellStyle name="Normal 2 42 2 2" xfId="10952" xr:uid="{00000000-0005-0000-0000-00007B400000}"/>
    <cellStyle name="Normal 2 42 2 2 2" xfId="34437" xr:uid="{00000000-0005-0000-0000-00007C400000}"/>
    <cellStyle name="Normal 2 42 2 2 3" xfId="25118" xr:uid="{00000000-0005-0000-0000-00007D400000}"/>
    <cellStyle name="Normal 2 42 2 2 4" xfId="48380" xr:uid="{00000000-0005-0000-0000-00007E400000}"/>
    <cellStyle name="Normal 2 42 2 3" xfId="15683" xr:uid="{00000000-0005-0000-0000-00007F400000}"/>
    <cellStyle name="Normal 2 42 2 3 2" xfId="29815" xr:uid="{00000000-0005-0000-0000-000080400000}"/>
    <cellStyle name="Normal 2 42 2 3 3" xfId="43710" xr:uid="{00000000-0005-0000-0000-000081400000}"/>
    <cellStyle name="Normal 2 42 2 4" xfId="20496" xr:uid="{00000000-0005-0000-0000-000082400000}"/>
    <cellStyle name="Normal 2 42 2 5" xfId="39128" xr:uid="{00000000-0005-0000-0000-000083400000}"/>
    <cellStyle name="Normal 2 42 3" xfId="10951" xr:uid="{00000000-0005-0000-0000-000084400000}"/>
    <cellStyle name="Normal 2 42 3 2" xfId="34436" xr:uid="{00000000-0005-0000-0000-000085400000}"/>
    <cellStyle name="Normal 2 42 3 3" xfId="25117" xr:uid="{00000000-0005-0000-0000-000086400000}"/>
    <cellStyle name="Normal 2 42 3 4" xfId="48379" xr:uid="{00000000-0005-0000-0000-000087400000}"/>
    <cellStyle name="Normal 2 42 4" xfId="15682" xr:uid="{00000000-0005-0000-0000-000088400000}"/>
    <cellStyle name="Normal 2 42 4 2" xfId="29814" xr:uid="{00000000-0005-0000-0000-000089400000}"/>
    <cellStyle name="Normal 2 42 4 3" xfId="43709" xr:uid="{00000000-0005-0000-0000-00008A400000}"/>
    <cellStyle name="Normal 2 42 5" xfId="20495" xr:uid="{00000000-0005-0000-0000-00008B400000}"/>
    <cellStyle name="Normal 2 42 6" xfId="39127" xr:uid="{00000000-0005-0000-0000-00008C400000}"/>
    <cellStyle name="Normal 2 43" xfId="5100" xr:uid="{00000000-0005-0000-0000-00008D400000}"/>
    <cellStyle name="Normal 2 43 2" xfId="5101" xr:uid="{00000000-0005-0000-0000-00008E400000}"/>
    <cellStyle name="Normal 2 43 2 2" xfId="10954" xr:uid="{00000000-0005-0000-0000-00008F400000}"/>
    <cellStyle name="Normal 2 43 2 2 2" xfId="34439" xr:uid="{00000000-0005-0000-0000-000090400000}"/>
    <cellStyle name="Normal 2 43 2 2 3" xfId="25120" xr:uid="{00000000-0005-0000-0000-000091400000}"/>
    <cellStyle name="Normal 2 43 2 2 4" xfId="48382" xr:uid="{00000000-0005-0000-0000-000092400000}"/>
    <cellStyle name="Normal 2 43 2 3" xfId="15685" xr:uid="{00000000-0005-0000-0000-000093400000}"/>
    <cellStyle name="Normal 2 43 2 3 2" xfId="29817" xr:uid="{00000000-0005-0000-0000-000094400000}"/>
    <cellStyle name="Normal 2 43 2 3 3" xfId="43712" xr:uid="{00000000-0005-0000-0000-000095400000}"/>
    <cellStyle name="Normal 2 43 2 4" xfId="20498" xr:uid="{00000000-0005-0000-0000-000096400000}"/>
    <cellStyle name="Normal 2 43 2 5" xfId="39130" xr:uid="{00000000-0005-0000-0000-000097400000}"/>
    <cellStyle name="Normal 2 43 3" xfId="10953" xr:uid="{00000000-0005-0000-0000-000098400000}"/>
    <cellStyle name="Normal 2 43 3 2" xfId="34438" xr:uid="{00000000-0005-0000-0000-000099400000}"/>
    <cellStyle name="Normal 2 43 3 3" xfId="25119" xr:uid="{00000000-0005-0000-0000-00009A400000}"/>
    <cellStyle name="Normal 2 43 3 4" xfId="48381" xr:uid="{00000000-0005-0000-0000-00009B400000}"/>
    <cellStyle name="Normal 2 43 4" xfId="15684" xr:uid="{00000000-0005-0000-0000-00009C400000}"/>
    <cellStyle name="Normal 2 43 4 2" xfId="29816" xr:uid="{00000000-0005-0000-0000-00009D400000}"/>
    <cellStyle name="Normal 2 43 4 3" xfId="43711" xr:uid="{00000000-0005-0000-0000-00009E400000}"/>
    <cellStyle name="Normal 2 43 5" xfId="20497" xr:uid="{00000000-0005-0000-0000-00009F400000}"/>
    <cellStyle name="Normal 2 43 6" xfId="39129" xr:uid="{00000000-0005-0000-0000-0000A0400000}"/>
    <cellStyle name="Normal 2 44" xfId="5102" xr:uid="{00000000-0005-0000-0000-0000A1400000}"/>
    <cellStyle name="Normal 2 44 2" xfId="5103" xr:uid="{00000000-0005-0000-0000-0000A2400000}"/>
    <cellStyle name="Normal 2 44 2 2" xfId="10956" xr:uid="{00000000-0005-0000-0000-0000A3400000}"/>
    <cellStyle name="Normal 2 44 2 2 2" xfId="34441" xr:uid="{00000000-0005-0000-0000-0000A4400000}"/>
    <cellStyle name="Normal 2 44 2 2 3" xfId="25122" xr:uid="{00000000-0005-0000-0000-0000A5400000}"/>
    <cellStyle name="Normal 2 44 2 2 4" xfId="48384" xr:uid="{00000000-0005-0000-0000-0000A6400000}"/>
    <cellStyle name="Normal 2 44 2 3" xfId="15687" xr:uid="{00000000-0005-0000-0000-0000A7400000}"/>
    <cellStyle name="Normal 2 44 2 3 2" xfId="29819" xr:uid="{00000000-0005-0000-0000-0000A8400000}"/>
    <cellStyle name="Normal 2 44 2 3 3" xfId="43714" xr:uid="{00000000-0005-0000-0000-0000A9400000}"/>
    <cellStyle name="Normal 2 44 2 4" xfId="20500" xr:uid="{00000000-0005-0000-0000-0000AA400000}"/>
    <cellStyle name="Normal 2 44 2 5" xfId="39132" xr:uid="{00000000-0005-0000-0000-0000AB400000}"/>
    <cellStyle name="Normal 2 44 3" xfId="10955" xr:uid="{00000000-0005-0000-0000-0000AC400000}"/>
    <cellStyle name="Normal 2 44 3 2" xfId="34440" xr:uid="{00000000-0005-0000-0000-0000AD400000}"/>
    <cellStyle name="Normal 2 44 3 3" xfId="25121" xr:uid="{00000000-0005-0000-0000-0000AE400000}"/>
    <cellStyle name="Normal 2 44 3 4" xfId="48383" xr:uid="{00000000-0005-0000-0000-0000AF400000}"/>
    <cellStyle name="Normal 2 44 4" xfId="15686" xr:uid="{00000000-0005-0000-0000-0000B0400000}"/>
    <cellStyle name="Normal 2 44 4 2" xfId="29818" xr:uid="{00000000-0005-0000-0000-0000B1400000}"/>
    <cellStyle name="Normal 2 44 4 3" xfId="43713" xr:uid="{00000000-0005-0000-0000-0000B2400000}"/>
    <cellStyle name="Normal 2 44 5" xfId="20499" xr:uid="{00000000-0005-0000-0000-0000B3400000}"/>
    <cellStyle name="Normal 2 44 6" xfId="39131" xr:uid="{00000000-0005-0000-0000-0000B4400000}"/>
    <cellStyle name="Normal 2 45" xfId="5104" xr:uid="{00000000-0005-0000-0000-0000B5400000}"/>
    <cellStyle name="Normal 2 45 2" xfId="5105" xr:uid="{00000000-0005-0000-0000-0000B6400000}"/>
    <cellStyle name="Normal 2 45 2 2" xfId="10958" xr:uid="{00000000-0005-0000-0000-0000B7400000}"/>
    <cellStyle name="Normal 2 45 2 2 2" xfId="34443" xr:uid="{00000000-0005-0000-0000-0000B8400000}"/>
    <cellStyle name="Normal 2 45 2 2 3" xfId="25124" xr:uid="{00000000-0005-0000-0000-0000B9400000}"/>
    <cellStyle name="Normal 2 45 2 2 4" xfId="48386" xr:uid="{00000000-0005-0000-0000-0000BA400000}"/>
    <cellStyle name="Normal 2 45 2 3" xfId="15689" xr:uid="{00000000-0005-0000-0000-0000BB400000}"/>
    <cellStyle name="Normal 2 45 2 3 2" xfId="29821" xr:uid="{00000000-0005-0000-0000-0000BC400000}"/>
    <cellStyle name="Normal 2 45 2 3 3" xfId="43716" xr:uid="{00000000-0005-0000-0000-0000BD400000}"/>
    <cellStyle name="Normal 2 45 2 4" xfId="20502" xr:uid="{00000000-0005-0000-0000-0000BE400000}"/>
    <cellStyle name="Normal 2 45 2 5" xfId="39134" xr:uid="{00000000-0005-0000-0000-0000BF400000}"/>
    <cellStyle name="Normal 2 45 3" xfId="10957" xr:uid="{00000000-0005-0000-0000-0000C0400000}"/>
    <cellStyle name="Normal 2 45 3 2" xfId="34442" xr:uid="{00000000-0005-0000-0000-0000C1400000}"/>
    <cellStyle name="Normal 2 45 3 3" xfId="25123" xr:uid="{00000000-0005-0000-0000-0000C2400000}"/>
    <cellStyle name="Normal 2 45 3 4" xfId="48385" xr:uid="{00000000-0005-0000-0000-0000C3400000}"/>
    <cellStyle name="Normal 2 45 4" xfId="15688" xr:uid="{00000000-0005-0000-0000-0000C4400000}"/>
    <cellStyle name="Normal 2 45 4 2" xfId="29820" xr:uid="{00000000-0005-0000-0000-0000C5400000}"/>
    <cellStyle name="Normal 2 45 4 3" xfId="43715" xr:uid="{00000000-0005-0000-0000-0000C6400000}"/>
    <cellStyle name="Normal 2 45 5" xfId="20501" xr:uid="{00000000-0005-0000-0000-0000C7400000}"/>
    <cellStyle name="Normal 2 45 6" xfId="39133" xr:uid="{00000000-0005-0000-0000-0000C8400000}"/>
    <cellStyle name="Normal 2 46" xfId="5106" xr:uid="{00000000-0005-0000-0000-0000C9400000}"/>
    <cellStyle name="Normal 2 46 2" xfId="5107" xr:uid="{00000000-0005-0000-0000-0000CA400000}"/>
    <cellStyle name="Normal 2 46 2 2" xfId="10960" xr:uid="{00000000-0005-0000-0000-0000CB400000}"/>
    <cellStyle name="Normal 2 46 2 2 2" xfId="34445" xr:uid="{00000000-0005-0000-0000-0000CC400000}"/>
    <cellStyle name="Normal 2 46 2 2 3" xfId="25126" xr:uid="{00000000-0005-0000-0000-0000CD400000}"/>
    <cellStyle name="Normal 2 46 2 2 4" xfId="48388" xr:uid="{00000000-0005-0000-0000-0000CE400000}"/>
    <cellStyle name="Normal 2 46 2 3" xfId="15691" xr:uid="{00000000-0005-0000-0000-0000CF400000}"/>
    <cellStyle name="Normal 2 46 2 3 2" xfId="29823" xr:uid="{00000000-0005-0000-0000-0000D0400000}"/>
    <cellStyle name="Normal 2 46 2 3 3" xfId="43718" xr:uid="{00000000-0005-0000-0000-0000D1400000}"/>
    <cellStyle name="Normal 2 46 2 4" xfId="20504" xr:uid="{00000000-0005-0000-0000-0000D2400000}"/>
    <cellStyle name="Normal 2 46 2 5" xfId="39136" xr:uid="{00000000-0005-0000-0000-0000D3400000}"/>
    <cellStyle name="Normal 2 46 3" xfId="10959" xr:uid="{00000000-0005-0000-0000-0000D4400000}"/>
    <cellStyle name="Normal 2 46 3 2" xfId="34444" xr:uid="{00000000-0005-0000-0000-0000D5400000}"/>
    <cellStyle name="Normal 2 46 3 3" xfId="25125" xr:uid="{00000000-0005-0000-0000-0000D6400000}"/>
    <cellStyle name="Normal 2 46 3 4" xfId="48387" xr:uid="{00000000-0005-0000-0000-0000D7400000}"/>
    <cellStyle name="Normal 2 46 4" xfId="15690" xr:uid="{00000000-0005-0000-0000-0000D8400000}"/>
    <cellStyle name="Normal 2 46 4 2" xfId="29822" xr:uid="{00000000-0005-0000-0000-0000D9400000}"/>
    <cellStyle name="Normal 2 46 4 3" xfId="43717" xr:uid="{00000000-0005-0000-0000-0000DA400000}"/>
    <cellStyle name="Normal 2 46 5" xfId="20503" xr:uid="{00000000-0005-0000-0000-0000DB400000}"/>
    <cellStyle name="Normal 2 46 6" xfId="39135" xr:uid="{00000000-0005-0000-0000-0000DC400000}"/>
    <cellStyle name="Normal 2 47" xfId="5108" xr:uid="{00000000-0005-0000-0000-0000DD400000}"/>
    <cellStyle name="Normal 2 47 2" xfId="5109" xr:uid="{00000000-0005-0000-0000-0000DE400000}"/>
    <cellStyle name="Normal 2 47 2 2" xfId="10962" xr:uid="{00000000-0005-0000-0000-0000DF400000}"/>
    <cellStyle name="Normal 2 47 2 2 2" xfId="34447" xr:uid="{00000000-0005-0000-0000-0000E0400000}"/>
    <cellStyle name="Normal 2 47 2 2 3" xfId="25128" xr:uid="{00000000-0005-0000-0000-0000E1400000}"/>
    <cellStyle name="Normal 2 47 2 2 4" xfId="48390" xr:uid="{00000000-0005-0000-0000-0000E2400000}"/>
    <cellStyle name="Normal 2 47 2 3" xfId="15693" xr:uid="{00000000-0005-0000-0000-0000E3400000}"/>
    <cellStyle name="Normal 2 47 2 3 2" xfId="29825" xr:uid="{00000000-0005-0000-0000-0000E4400000}"/>
    <cellStyle name="Normal 2 47 2 3 3" xfId="43720" xr:uid="{00000000-0005-0000-0000-0000E5400000}"/>
    <cellStyle name="Normal 2 47 2 4" xfId="20506" xr:uid="{00000000-0005-0000-0000-0000E6400000}"/>
    <cellStyle name="Normal 2 47 2 5" xfId="39138" xr:uid="{00000000-0005-0000-0000-0000E7400000}"/>
    <cellStyle name="Normal 2 47 3" xfId="10961" xr:uid="{00000000-0005-0000-0000-0000E8400000}"/>
    <cellStyle name="Normal 2 47 3 2" xfId="34446" xr:uid="{00000000-0005-0000-0000-0000E9400000}"/>
    <cellStyle name="Normal 2 47 3 3" xfId="25127" xr:uid="{00000000-0005-0000-0000-0000EA400000}"/>
    <cellStyle name="Normal 2 47 3 4" xfId="48389" xr:uid="{00000000-0005-0000-0000-0000EB400000}"/>
    <cellStyle name="Normal 2 47 4" xfId="15692" xr:uid="{00000000-0005-0000-0000-0000EC400000}"/>
    <cellStyle name="Normal 2 47 4 2" xfId="29824" xr:uid="{00000000-0005-0000-0000-0000ED400000}"/>
    <cellStyle name="Normal 2 47 4 3" xfId="43719" xr:uid="{00000000-0005-0000-0000-0000EE400000}"/>
    <cellStyle name="Normal 2 47 5" xfId="20505" xr:uid="{00000000-0005-0000-0000-0000EF400000}"/>
    <cellStyle name="Normal 2 47 6" xfId="39137" xr:uid="{00000000-0005-0000-0000-0000F0400000}"/>
    <cellStyle name="Normal 2 48" xfId="5110" xr:uid="{00000000-0005-0000-0000-0000F1400000}"/>
    <cellStyle name="Normal 2 48 2" xfId="5111" xr:uid="{00000000-0005-0000-0000-0000F2400000}"/>
    <cellStyle name="Normal 2 48 2 2" xfId="10964" xr:uid="{00000000-0005-0000-0000-0000F3400000}"/>
    <cellStyle name="Normal 2 48 2 2 2" xfId="34449" xr:uid="{00000000-0005-0000-0000-0000F4400000}"/>
    <cellStyle name="Normal 2 48 2 2 3" xfId="25130" xr:uid="{00000000-0005-0000-0000-0000F5400000}"/>
    <cellStyle name="Normal 2 48 2 2 4" xfId="48392" xr:uid="{00000000-0005-0000-0000-0000F6400000}"/>
    <cellStyle name="Normal 2 48 2 3" xfId="15695" xr:uid="{00000000-0005-0000-0000-0000F7400000}"/>
    <cellStyle name="Normal 2 48 2 3 2" xfId="29827" xr:uid="{00000000-0005-0000-0000-0000F8400000}"/>
    <cellStyle name="Normal 2 48 2 3 3" xfId="43722" xr:uid="{00000000-0005-0000-0000-0000F9400000}"/>
    <cellStyle name="Normal 2 48 2 4" xfId="20508" xr:uid="{00000000-0005-0000-0000-0000FA400000}"/>
    <cellStyle name="Normal 2 48 2 5" xfId="39140" xr:uid="{00000000-0005-0000-0000-0000FB400000}"/>
    <cellStyle name="Normal 2 48 3" xfId="10963" xr:uid="{00000000-0005-0000-0000-0000FC400000}"/>
    <cellStyle name="Normal 2 48 3 2" xfId="34448" xr:uid="{00000000-0005-0000-0000-0000FD400000}"/>
    <cellStyle name="Normal 2 48 3 3" xfId="25129" xr:uid="{00000000-0005-0000-0000-0000FE400000}"/>
    <cellStyle name="Normal 2 48 3 4" xfId="48391" xr:uid="{00000000-0005-0000-0000-0000FF400000}"/>
    <cellStyle name="Normal 2 48 4" xfId="15694" xr:uid="{00000000-0005-0000-0000-000000410000}"/>
    <cellStyle name="Normal 2 48 4 2" xfId="29826" xr:uid="{00000000-0005-0000-0000-000001410000}"/>
    <cellStyle name="Normal 2 48 4 3" xfId="43721" xr:uid="{00000000-0005-0000-0000-000002410000}"/>
    <cellStyle name="Normal 2 48 5" xfId="20507" xr:uid="{00000000-0005-0000-0000-000003410000}"/>
    <cellStyle name="Normal 2 48 6" xfId="39139" xr:uid="{00000000-0005-0000-0000-000004410000}"/>
    <cellStyle name="Normal 2 49" xfId="5112" xr:uid="{00000000-0005-0000-0000-000005410000}"/>
    <cellStyle name="Normal 2 49 2" xfId="5113" xr:uid="{00000000-0005-0000-0000-000006410000}"/>
    <cellStyle name="Normal 2 49 2 2" xfId="10966" xr:uid="{00000000-0005-0000-0000-000007410000}"/>
    <cellStyle name="Normal 2 49 2 2 2" xfId="34451" xr:uid="{00000000-0005-0000-0000-000008410000}"/>
    <cellStyle name="Normal 2 49 2 2 3" xfId="25132" xr:uid="{00000000-0005-0000-0000-000009410000}"/>
    <cellStyle name="Normal 2 49 2 2 4" xfId="48394" xr:uid="{00000000-0005-0000-0000-00000A410000}"/>
    <cellStyle name="Normal 2 49 2 3" xfId="15697" xr:uid="{00000000-0005-0000-0000-00000B410000}"/>
    <cellStyle name="Normal 2 49 2 3 2" xfId="29829" xr:uid="{00000000-0005-0000-0000-00000C410000}"/>
    <cellStyle name="Normal 2 49 2 3 3" xfId="43724" xr:uid="{00000000-0005-0000-0000-00000D410000}"/>
    <cellStyle name="Normal 2 49 2 4" xfId="20510" xr:uid="{00000000-0005-0000-0000-00000E410000}"/>
    <cellStyle name="Normal 2 49 2 5" xfId="39142" xr:uid="{00000000-0005-0000-0000-00000F410000}"/>
    <cellStyle name="Normal 2 49 3" xfId="10965" xr:uid="{00000000-0005-0000-0000-000010410000}"/>
    <cellStyle name="Normal 2 49 3 2" xfId="34450" xr:uid="{00000000-0005-0000-0000-000011410000}"/>
    <cellStyle name="Normal 2 49 3 3" xfId="25131" xr:uid="{00000000-0005-0000-0000-000012410000}"/>
    <cellStyle name="Normal 2 49 3 4" xfId="48393" xr:uid="{00000000-0005-0000-0000-000013410000}"/>
    <cellStyle name="Normal 2 49 4" xfId="15696" xr:uid="{00000000-0005-0000-0000-000014410000}"/>
    <cellStyle name="Normal 2 49 4 2" xfId="29828" xr:uid="{00000000-0005-0000-0000-000015410000}"/>
    <cellStyle name="Normal 2 49 4 3" xfId="43723" xr:uid="{00000000-0005-0000-0000-000016410000}"/>
    <cellStyle name="Normal 2 49 5" xfId="20509" xr:uid="{00000000-0005-0000-0000-000017410000}"/>
    <cellStyle name="Normal 2 49 6" xfId="39141" xr:uid="{00000000-0005-0000-0000-000018410000}"/>
    <cellStyle name="Normal 2 5" xfId="5114" xr:uid="{00000000-0005-0000-0000-000019410000}"/>
    <cellStyle name="Normal 2 5 10" xfId="5115" xr:uid="{00000000-0005-0000-0000-00001A410000}"/>
    <cellStyle name="Normal 2 5 10 2" xfId="5116" xr:uid="{00000000-0005-0000-0000-00001B410000}"/>
    <cellStyle name="Normal 2 5 10 2 2" xfId="10968" xr:uid="{00000000-0005-0000-0000-00001C410000}"/>
    <cellStyle name="Normal 2 5 10 2 2 2" xfId="34453" xr:uid="{00000000-0005-0000-0000-00001D410000}"/>
    <cellStyle name="Normal 2 5 10 2 2 3" xfId="25134" xr:uid="{00000000-0005-0000-0000-00001E410000}"/>
    <cellStyle name="Normal 2 5 10 2 2 4" xfId="48396" xr:uid="{00000000-0005-0000-0000-00001F410000}"/>
    <cellStyle name="Normal 2 5 10 2 3" xfId="15699" xr:uid="{00000000-0005-0000-0000-000020410000}"/>
    <cellStyle name="Normal 2 5 10 2 3 2" xfId="29831" xr:uid="{00000000-0005-0000-0000-000021410000}"/>
    <cellStyle name="Normal 2 5 10 2 3 3" xfId="43726" xr:uid="{00000000-0005-0000-0000-000022410000}"/>
    <cellStyle name="Normal 2 5 10 2 4" xfId="20512" xr:uid="{00000000-0005-0000-0000-000023410000}"/>
    <cellStyle name="Normal 2 5 10 2 5" xfId="39144" xr:uid="{00000000-0005-0000-0000-000024410000}"/>
    <cellStyle name="Normal 2 5 10 3" xfId="10967" xr:uid="{00000000-0005-0000-0000-000025410000}"/>
    <cellStyle name="Normal 2 5 10 3 2" xfId="34452" xr:uid="{00000000-0005-0000-0000-000026410000}"/>
    <cellStyle name="Normal 2 5 10 3 3" xfId="25133" xr:uid="{00000000-0005-0000-0000-000027410000}"/>
    <cellStyle name="Normal 2 5 10 3 4" xfId="48395" xr:uid="{00000000-0005-0000-0000-000028410000}"/>
    <cellStyle name="Normal 2 5 10 4" xfId="15698" xr:uid="{00000000-0005-0000-0000-000029410000}"/>
    <cellStyle name="Normal 2 5 10 4 2" xfId="29830" xr:uid="{00000000-0005-0000-0000-00002A410000}"/>
    <cellStyle name="Normal 2 5 10 4 3" xfId="43725" xr:uid="{00000000-0005-0000-0000-00002B410000}"/>
    <cellStyle name="Normal 2 5 10 5" xfId="20511" xr:uid="{00000000-0005-0000-0000-00002C410000}"/>
    <cellStyle name="Normal 2 5 10 6" xfId="39143" xr:uid="{00000000-0005-0000-0000-00002D410000}"/>
    <cellStyle name="Normal 2 5 11" xfId="5117" xr:uid="{00000000-0005-0000-0000-00002E410000}"/>
    <cellStyle name="Normal 2 5 11 2" xfId="5118" xr:uid="{00000000-0005-0000-0000-00002F410000}"/>
    <cellStyle name="Normal 2 5 11 2 2" xfId="10970" xr:uid="{00000000-0005-0000-0000-000030410000}"/>
    <cellStyle name="Normal 2 5 11 2 2 2" xfId="34455" xr:uid="{00000000-0005-0000-0000-000031410000}"/>
    <cellStyle name="Normal 2 5 11 2 2 3" xfId="25136" xr:uid="{00000000-0005-0000-0000-000032410000}"/>
    <cellStyle name="Normal 2 5 11 2 2 4" xfId="48398" xr:uid="{00000000-0005-0000-0000-000033410000}"/>
    <cellStyle name="Normal 2 5 11 2 3" xfId="15701" xr:uid="{00000000-0005-0000-0000-000034410000}"/>
    <cellStyle name="Normal 2 5 11 2 3 2" xfId="29833" xr:uid="{00000000-0005-0000-0000-000035410000}"/>
    <cellStyle name="Normal 2 5 11 2 3 3" xfId="43728" xr:uid="{00000000-0005-0000-0000-000036410000}"/>
    <cellStyle name="Normal 2 5 11 2 4" xfId="20514" xr:uid="{00000000-0005-0000-0000-000037410000}"/>
    <cellStyle name="Normal 2 5 11 2 5" xfId="39146" xr:uid="{00000000-0005-0000-0000-000038410000}"/>
    <cellStyle name="Normal 2 5 11 3" xfId="10969" xr:uid="{00000000-0005-0000-0000-000039410000}"/>
    <cellStyle name="Normal 2 5 11 3 2" xfId="34454" xr:uid="{00000000-0005-0000-0000-00003A410000}"/>
    <cellStyle name="Normal 2 5 11 3 3" xfId="25135" xr:uid="{00000000-0005-0000-0000-00003B410000}"/>
    <cellStyle name="Normal 2 5 11 3 4" xfId="48397" xr:uid="{00000000-0005-0000-0000-00003C410000}"/>
    <cellStyle name="Normal 2 5 11 4" xfId="15700" xr:uid="{00000000-0005-0000-0000-00003D410000}"/>
    <cellStyle name="Normal 2 5 11 4 2" xfId="29832" xr:uid="{00000000-0005-0000-0000-00003E410000}"/>
    <cellStyle name="Normal 2 5 11 4 3" xfId="43727" xr:uid="{00000000-0005-0000-0000-00003F410000}"/>
    <cellStyle name="Normal 2 5 11 5" xfId="20513" xr:uid="{00000000-0005-0000-0000-000040410000}"/>
    <cellStyle name="Normal 2 5 11 6" xfId="39145" xr:uid="{00000000-0005-0000-0000-000041410000}"/>
    <cellStyle name="Normal 2 5 12" xfId="5119" xr:uid="{00000000-0005-0000-0000-000042410000}"/>
    <cellStyle name="Normal 2 5 12 2" xfId="5120" xr:uid="{00000000-0005-0000-0000-000043410000}"/>
    <cellStyle name="Normal 2 5 12 2 2" xfId="10972" xr:uid="{00000000-0005-0000-0000-000044410000}"/>
    <cellStyle name="Normal 2 5 12 2 2 2" xfId="34457" xr:uid="{00000000-0005-0000-0000-000045410000}"/>
    <cellStyle name="Normal 2 5 12 2 2 3" xfId="25138" xr:uid="{00000000-0005-0000-0000-000046410000}"/>
    <cellStyle name="Normal 2 5 12 2 2 4" xfId="48400" xr:uid="{00000000-0005-0000-0000-000047410000}"/>
    <cellStyle name="Normal 2 5 12 2 3" xfId="15703" xr:uid="{00000000-0005-0000-0000-000048410000}"/>
    <cellStyle name="Normal 2 5 12 2 3 2" xfId="29835" xr:uid="{00000000-0005-0000-0000-000049410000}"/>
    <cellStyle name="Normal 2 5 12 2 3 3" xfId="43730" xr:uid="{00000000-0005-0000-0000-00004A410000}"/>
    <cellStyle name="Normal 2 5 12 2 4" xfId="20516" xr:uid="{00000000-0005-0000-0000-00004B410000}"/>
    <cellStyle name="Normal 2 5 12 2 5" xfId="39148" xr:uid="{00000000-0005-0000-0000-00004C410000}"/>
    <cellStyle name="Normal 2 5 12 3" xfId="10971" xr:uid="{00000000-0005-0000-0000-00004D410000}"/>
    <cellStyle name="Normal 2 5 12 3 2" xfId="34456" xr:uid="{00000000-0005-0000-0000-00004E410000}"/>
    <cellStyle name="Normal 2 5 12 3 3" xfId="25137" xr:uid="{00000000-0005-0000-0000-00004F410000}"/>
    <cellStyle name="Normal 2 5 12 3 4" xfId="48399" xr:uid="{00000000-0005-0000-0000-000050410000}"/>
    <cellStyle name="Normal 2 5 12 4" xfId="15702" xr:uid="{00000000-0005-0000-0000-000051410000}"/>
    <cellStyle name="Normal 2 5 12 4 2" xfId="29834" xr:uid="{00000000-0005-0000-0000-000052410000}"/>
    <cellStyle name="Normal 2 5 12 4 3" xfId="43729" xr:uid="{00000000-0005-0000-0000-000053410000}"/>
    <cellStyle name="Normal 2 5 12 5" xfId="20515" xr:uid="{00000000-0005-0000-0000-000054410000}"/>
    <cellStyle name="Normal 2 5 12 6" xfId="39147" xr:uid="{00000000-0005-0000-0000-000055410000}"/>
    <cellStyle name="Normal 2 5 13" xfId="5121" xr:uid="{00000000-0005-0000-0000-000056410000}"/>
    <cellStyle name="Normal 2 5 13 2" xfId="5122" xr:uid="{00000000-0005-0000-0000-000057410000}"/>
    <cellStyle name="Normal 2 5 13 2 2" xfId="10974" xr:uid="{00000000-0005-0000-0000-000058410000}"/>
    <cellStyle name="Normal 2 5 13 2 2 2" xfId="34459" xr:uid="{00000000-0005-0000-0000-000059410000}"/>
    <cellStyle name="Normal 2 5 13 2 2 3" xfId="25140" xr:uid="{00000000-0005-0000-0000-00005A410000}"/>
    <cellStyle name="Normal 2 5 13 2 2 4" xfId="48402" xr:uid="{00000000-0005-0000-0000-00005B410000}"/>
    <cellStyle name="Normal 2 5 13 2 3" xfId="15705" xr:uid="{00000000-0005-0000-0000-00005C410000}"/>
    <cellStyle name="Normal 2 5 13 2 3 2" xfId="29837" xr:uid="{00000000-0005-0000-0000-00005D410000}"/>
    <cellStyle name="Normal 2 5 13 2 3 3" xfId="43732" xr:uid="{00000000-0005-0000-0000-00005E410000}"/>
    <cellStyle name="Normal 2 5 13 2 4" xfId="20518" xr:uid="{00000000-0005-0000-0000-00005F410000}"/>
    <cellStyle name="Normal 2 5 13 2 5" xfId="39150" xr:uid="{00000000-0005-0000-0000-000060410000}"/>
    <cellStyle name="Normal 2 5 13 3" xfId="10973" xr:uid="{00000000-0005-0000-0000-000061410000}"/>
    <cellStyle name="Normal 2 5 13 3 2" xfId="34458" xr:uid="{00000000-0005-0000-0000-000062410000}"/>
    <cellStyle name="Normal 2 5 13 3 3" xfId="25139" xr:uid="{00000000-0005-0000-0000-000063410000}"/>
    <cellStyle name="Normal 2 5 13 3 4" xfId="48401" xr:uid="{00000000-0005-0000-0000-000064410000}"/>
    <cellStyle name="Normal 2 5 13 4" xfId="15704" xr:uid="{00000000-0005-0000-0000-000065410000}"/>
    <cellStyle name="Normal 2 5 13 4 2" xfId="29836" xr:uid="{00000000-0005-0000-0000-000066410000}"/>
    <cellStyle name="Normal 2 5 13 4 3" xfId="43731" xr:uid="{00000000-0005-0000-0000-000067410000}"/>
    <cellStyle name="Normal 2 5 13 5" xfId="20517" xr:uid="{00000000-0005-0000-0000-000068410000}"/>
    <cellStyle name="Normal 2 5 13 6" xfId="39149" xr:uid="{00000000-0005-0000-0000-000069410000}"/>
    <cellStyle name="Normal 2 5 14" xfId="5123" xr:uid="{00000000-0005-0000-0000-00006A410000}"/>
    <cellStyle name="Normal 2 5 14 2" xfId="5124" xr:uid="{00000000-0005-0000-0000-00006B410000}"/>
    <cellStyle name="Normal 2 5 14 2 2" xfId="10976" xr:uid="{00000000-0005-0000-0000-00006C410000}"/>
    <cellStyle name="Normal 2 5 14 2 2 2" xfId="34461" xr:uid="{00000000-0005-0000-0000-00006D410000}"/>
    <cellStyle name="Normal 2 5 14 2 2 3" xfId="25142" xr:uid="{00000000-0005-0000-0000-00006E410000}"/>
    <cellStyle name="Normal 2 5 14 2 2 4" xfId="48404" xr:uid="{00000000-0005-0000-0000-00006F410000}"/>
    <cellStyle name="Normal 2 5 14 2 3" xfId="15707" xr:uid="{00000000-0005-0000-0000-000070410000}"/>
    <cellStyle name="Normal 2 5 14 2 3 2" xfId="29839" xr:uid="{00000000-0005-0000-0000-000071410000}"/>
    <cellStyle name="Normal 2 5 14 2 3 3" xfId="43734" xr:uid="{00000000-0005-0000-0000-000072410000}"/>
    <cellStyle name="Normal 2 5 14 2 4" xfId="20520" xr:uid="{00000000-0005-0000-0000-000073410000}"/>
    <cellStyle name="Normal 2 5 14 2 5" xfId="39152" xr:uid="{00000000-0005-0000-0000-000074410000}"/>
    <cellStyle name="Normal 2 5 14 3" xfId="10975" xr:uid="{00000000-0005-0000-0000-000075410000}"/>
    <cellStyle name="Normal 2 5 14 3 2" xfId="34460" xr:uid="{00000000-0005-0000-0000-000076410000}"/>
    <cellStyle name="Normal 2 5 14 3 3" xfId="25141" xr:uid="{00000000-0005-0000-0000-000077410000}"/>
    <cellStyle name="Normal 2 5 14 3 4" xfId="48403" xr:uid="{00000000-0005-0000-0000-000078410000}"/>
    <cellStyle name="Normal 2 5 14 4" xfId="15706" xr:uid="{00000000-0005-0000-0000-000079410000}"/>
    <cellStyle name="Normal 2 5 14 4 2" xfId="29838" xr:uid="{00000000-0005-0000-0000-00007A410000}"/>
    <cellStyle name="Normal 2 5 14 4 3" xfId="43733" xr:uid="{00000000-0005-0000-0000-00007B410000}"/>
    <cellStyle name="Normal 2 5 14 5" xfId="20519" xr:uid="{00000000-0005-0000-0000-00007C410000}"/>
    <cellStyle name="Normal 2 5 14 6" xfId="39151" xr:uid="{00000000-0005-0000-0000-00007D410000}"/>
    <cellStyle name="Normal 2 5 15" xfId="5125" xr:uid="{00000000-0005-0000-0000-00007E410000}"/>
    <cellStyle name="Normal 2 5 15 2" xfId="5126" xr:uid="{00000000-0005-0000-0000-00007F410000}"/>
    <cellStyle name="Normal 2 5 15 2 2" xfId="10978" xr:uid="{00000000-0005-0000-0000-000080410000}"/>
    <cellStyle name="Normal 2 5 15 2 2 2" xfId="34463" xr:uid="{00000000-0005-0000-0000-000081410000}"/>
    <cellStyle name="Normal 2 5 15 2 2 3" xfId="25144" xr:uid="{00000000-0005-0000-0000-000082410000}"/>
    <cellStyle name="Normal 2 5 15 2 2 4" xfId="48406" xr:uid="{00000000-0005-0000-0000-000083410000}"/>
    <cellStyle name="Normal 2 5 15 2 3" xfId="15709" xr:uid="{00000000-0005-0000-0000-000084410000}"/>
    <cellStyle name="Normal 2 5 15 2 3 2" xfId="29841" xr:uid="{00000000-0005-0000-0000-000085410000}"/>
    <cellStyle name="Normal 2 5 15 2 3 3" xfId="43736" xr:uid="{00000000-0005-0000-0000-000086410000}"/>
    <cellStyle name="Normal 2 5 15 2 4" xfId="20522" xr:uid="{00000000-0005-0000-0000-000087410000}"/>
    <cellStyle name="Normal 2 5 15 2 5" xfId="39154" xr:uid="{00000000-0005-0000-0000-000088410000}"/>
    <cellStyle name="Normal 2 5 15 3" xfId="10977" xr:uid="{00000000-0005-0000-0000-000089410000}"/>
    <cellStyle name="Normal 2 5 15 3 2" xfId="34462" xr:uid="{00000000-0005-0000-0000-00008A410000}"/>
    <cellStyle name="Normal 2 5 15 3 3" xfId="25143" xr:uid="{00000000-0005-0000-0000-00008B410000}"/>
    <cellStyle name="Normal 2 5 15 3 4" xfId="48405" xr:uid="{00000000-0005-0000-0000-00008C410000}"/>
    <cellStyle name="Normal 2 5 15 4" xfId="15708" xr:uid="{00000000-0005-0000-0000-00008D410000}"/>
    <cellStyle name="Normal 2 5 15 4 2" xfId="29840" xr:uid="{00000000-0005-0000-0000-00008E410000}"/>
    <cellStyle name="Normal 2 5 15 4 3" xfId="43735" xr:uid="{00000000-0005-0000-0000-00008F410000}"/>
    <cellStyle name="Normal 2 5 15 5" xfId="20521" xr:uid="{00000000-0005-0000-0000-000090410000}"/>
    <cellStyle name="Normal 2 5 15 6" xfId="39153" xr:uid="{00000000-0005-0000-0000-000091410000}"/>
    <cellStyle name="Normal 2 5 16" xfId="5127" xr:uid="{00000000-0005-0000-0000-000092410000}"/>
    <cellStyle name="Normal 2 5 16 2" xfId="5128" xr:uid="{00000000-0005-0000-0000-000093410000}"/>
    <cellStyle name="Normal 2 5 16 2 2" xfId="10980" xr:uid="{00000000-0005-0000-0000-000094410000}"/>
    <cellStyle name="Normal 2 5 16 2 2 2" xfId="34465" xr:uid="{00000000-0005-0000-0000-000095410000}"/>
    <cellStyle name="Normal 2 5 16 2 2 3" xfId="25146" xr:uid="{00000000-0005-0000-0000-000096410000}"/>
    <cellStyle name="Normal 2 5 16 2 2 4" xfId="48408" xr:uid="{00000000-0005-0000-0000-000097410000}"/>
    <cellStyle name="Normal 2 5 16 2 3" xfId="15711" xr:uid="{00000000-0005-0000-0000-000098410000}"/>
    <cellStyle name="Normal 2 5 16 2 3 2" xfId="29843" xr:uid="{00000000-0005-0000-0000-000099410000}"/>
    <cellStyle name="Normal 2 5 16 2 3 3" xfId="43738" xr:uid="{00000000-0005-0000-0000-00009A410000}"/>
    <cellStyle name="Normal 2 5 16 2 4" xfId="20524" xr:uid="{00000000-0005-0000-0000-00009B410000}"/>
    <cellStyle name="Normal 2 5 16 2 5" xfId="39156" xr:uid="{00000000-0005-0000-0000-00009C410000}"/>
    <cellStyle name="Normal 2 5 16 3" xfId="10979" xr:uid="{00000000-0005-0000-0000-00009D410000}"/>
    <cellStyle name="Normal 2 5 16 3 2" xfId="34464" xr:uid="{00000000-0005-0000-0000-00009E410000}"/>
    <cellStyle name="Normal 2 5 16 3 3" xfId="25145" xr:uid="{00000000-0005-0000-0000-00009F410000}"/>
    <cellStyle name="Normal 2 5 16 3 4" xfId="48407" xr:uid="{00000000-0005-0000-0000-0000A0410000}"/>
    <cellStyle name="Normal 2 5 16 4" xfId="15710" xr:uid="{00000000-0005-0000-0000-0000A1410000}"/>
    <cellStyle name="Normal 2 5 16 4 2" xfId="29842" xr:uid="{00000000-0005-0000-0000-0000A2410000}"/>
    <cellStyle name="Normal 2 5 16 4 3" xfId="43737" xr:uid="{00000000-0005-0000-0000-0000A3410000}"/>
    <cellStyle name="Normal 2 5 16 5" xfId="20523" xr:uid="{00000000-0005-0000-0000-0000A4410000}"/>
    <cellStyle name="Normal 2 5 16 6" xfId="39155" xr:uid="{00000000-0005-0000-0000-0000A5410000}"/>
    <cellStyle name="Normal 2 5 17" xfId="5129" xr:uid="{00000000-0005-0000-0000-0000A6410000}"/>
    <cellStyle name="Normal 2 5 17 2" xfId="5130" xr:uid="{00000000-0005-0000-0000-0000A7410000}"/>
    <cellStyle name="Normal 2 5 17 2 2" xfId="10982" xr:uid="{00000000-0005-0000-0000-0000A8410000}"/>
    <cellStyle name="Normal 2 5 17 2 2 2" xfId="34467" xr:uid="{00000000-0005-0000-0000-0000A9410000}"/>
    <cellStyle name="Normal 2 5 17 2 2 3" xfId="25148" xr:uid="{00000000-0005-0000-0000-0000AA410000}"/>
    <cellStyle name="Normal 2 5 17 2 2 4" xfId="48410" xr:uid="{00000000-0005-0000-0000-0000AB410000}"/>
    <cellStyle name="Normal 2 5 17 2 3" xfId="15713" xr:uid="{00000000-0005-0000-0000-0000AC410000}"/>
    <cellStyle name="Normal 2 5 17 2 3 2" xfId="29845" xr:uid="{00000000-0005-0000-0000-0000AD410000}"/>
    <cellStyle name="Normal 2 5 17 2 3 3" xfId="43740" xr:uid="{00000000-0005-0000-0000-0000AE410000}"/>
    <cellStyle name="Normal 2 5 17 2 4" xfId="20526" xr:uid="{00000000-0005-0000-0000-0000AF410000}"/>
    <cellStyle name="Normal 2 5 17 2 5" xfId="39158" xr:uid="{00000000-0005-0000-0000-0000B0410000}"/>
    <cellStyle name="Normal 2 5 17 3" xfId="10981" xr:uid="{00000000-0005-0000-0000-0000B1410000}"/>
    <cellStyle name="Normal 2 5 17 3 2" xfId="34466" xr:uid="{00000000-0005-0000-0000-0000B2410000}"/>
    <cellStyle name="Normal 2 5 17 3 3" xfId="25147" xr:uid="{00000000-0005-0000-0000-0000B3410000}"/>
    <cellStyle name="Normal 2 5 17 3 4" xfId="48409" xr:uid="{00000000-0005-0000-0000-0000B4410000}"/>
    <cellStyle name="Normal 2 5 17 4" xfId="15712" xr:uid="{00000000-0005-0000-0000-0000B5410000}"/>
    <cellStyle name="Normal 2 5 17 4 2" xfId="29844" xr:uid="{00000000-0005-0000-0000-0000B6410000}"/>
    <cellStyle name="Normal 2 5 17 4 3" xfId="43739" xr:uid="{00000000-0005-0000-0000-0000B7410000}"/>
    <cellStyle name="Normal 2 5 17 5" xfId="20525" xr:uid="{00000000-0005-0000-0000-0000B8410000}"/>
    <cellStyle name="Normal 2 5 17 6" xfId="39157" xr:uid="{00000000-0005-0000-0000-0000B9410000}"/>
    <cellStyle name="Normal 2 5 18" xfId="5131" xr:uid="{00000000-0005-0000-0000-0000BA410000}"/>
    <cellStyle name="Normal 2 5 18 2" xfId="5132" xr:uid="{00000000-0005-0000-0000-0000BB410000}"/>
    <cellStyle name="Normal 2 5 18 2 2" xfId="10984" xr:uid="{00000000-0005-0000-0000-0000BC410000}"/>
    <cellStyle name="Normal 2 5 18 2 2 2" xfId="34469" xr:uid="{00000000-0005-0000-0000-0000BD410000}"/>
    <cellStyle name="Normal 2 5 18 2 2 3" xfId="25150" xr:uid="{00000000-0005-0000-0000-0000BE410000}"/>
    <cellStyle name="Normal 2 5 18 2 2 4" xfId="48412" xr:uid="{00000000-0005-0000-0000-0000BF410000}"/>
    <cellStyle name="Normal 2 5 18 2 3" xfId="15715" xr:uid="{00000000-0005-0000-0000-0000C0410000}"/>
    <cellStyle name="Normal 2 5 18 2 3 2" xfId="29847" xr:uid="{00000000-0005-0000-0000-0000C1410000}"/>
    <cellStyle name="Normal 2 5 18 2 3 3" xfId="43742" xr:uid="{00000000-0005-0000-0000-0000C2410000}"/>
    <cellStyle name="Normal 2 5 18 2 4" xfId="20528" xr:uid="{00000000-0005-0000-0000-0000C3410000}"/>
    <cellStyle name="Normal 2 5 18 2 5" xfId="39160" xr:uid="{00000000-0005-0000-0000-0000C4410000}"/>
    <cellStyle name="Normal 2 5 18 3" xfId="10983" xr:uid="{00000000-0005-0000-0000-0000C5410000}"/>
    <cellStyle name="Normal 2 5 18 3 2" xfId="34468" xr:uid="{00000000-0005-0000-0000-0000C6410000}"/>
    <cellStyle name="Normal 2 5 18 3 3" xfId="25149" xr:uid="{00000000-0005-0000-0000-0000C7410000}"/>
    <cellStyle name="Normal 2 5 18 3 4" xfId="48411" xr:uid="{00000000-0005-0000-0000-0000C8410000}"/>
    <cellStyle name="Normal 2 5 18 4" xfId="15714" xr:uid="{00000000-0005-0000-0000-0000C9410000}"/>
    <cellStyle name="Normal 2 5 18 4 2" xfId="29846" xr:uid="{00000000-0005-0000-0000-0000CA410000}"/>
    <cellStyle name="Normal 2 5 18 4 3" xfId="43741" xr:uid="{00000000-0005-0000-0000-0000CB410000}"/>
    <cellStyle name="Normal 2 5 18 5" xfId="20527" xr:uid="{00000000-0005-0000-0000-0000CC410000}"/>
    <cellStyle name="Normal 2 5 18 6" xfId="39159" xr:uid="{00000000-0005-0000-0000-0000CD410000}"/>
    <cellStyle name="Normal 2 5 2" xfId="5133" xr:uid="{00000000-0005-0000-0000-0000CE410000}"/>
    <cellStyle name="Normal 2 5 2 2" xfId="5134" xr:uid="{00000000-0005-0000-0000-0000CF410000}"/>
    <cellStyle name="Normal 2 5 2 2 2" xfId="10986" xr:uid="{00000000-0005-0000-0000-0000D0410000}"/>
    <cellStyle name="Normal 2 5 2 2 2 2" xfId="34471" xr:uid="{00000000-0005-0000-0000-0000D1410000}"/>
    <cellStyle name="Normal 2 5 2 2 2 3" xfId="25152" xr:uid="{00000000-0005-0000-0000-0000D2410000}"/>
    <cellStyle name="Normal 2 5 2 2 2 4" xfId="48414" xr:uid="{00000000-0005-0000-0000-0000D3410000}"/>
    <cellStyle name="Normal 2 5 2 2 3" xfId="15717" xr:uid="{00000000-0005-0000-0000-0000D4410000}"/>
    <cellStyle name="Normal 2 5 2 2 3 2" xfId="29849" xr:uid="{00000000-0005-0000-0000-0000D5410000}"/>
    <cellStyle name="Normal 2 5 2 2 3 3" xfId="43744" xr:uid="{00000000-0005-0000-0000-0000D6410000}"/>
    <cellStyle name="Normal 2 5 2 2 4" xfId="20530" xr:uid="{00000000-0005-0000-0000-0000D7410000}"/>
    <cellStyle name="Normal 2 5 2 2 5" xfId="39162" xr:uid="{00000000-0005-0000-0000-0000D8410000}"/>
    <cellStyle name="Normal 2 5 2 3" xfId="10985" xr:uid="{00000000-0005-0000-0000-0000D9410000}"/>
    <cellStyle name="Normal 2 5 2 3 2" xfId="34470" xr:uid="{00000000-0005-0000-0000-0000DA410000}"/>
    <cellStyle name="Normal 2 5 2 3 3" xfId="25151" xr:uid="{00000000-0005-0000-0000-0000DB410000}"/>
    <cellStyle name="Normal 2 5 2 3 4" xfId="48413" xr:uid="{00000000-0005-0000-0000-0000DC410000}"/>
    <cellStyle name="Normal 2 5 2 4" xfId="15716" xr:uid="{00000000-0005-0000-0000-0000DD410000}"/>
    <cellStyle name="Normal 2 5 2 4 2" xfId="29848" xr:uid="{00000000-0005-0000-0000-0000DE410000}"/>
    <cellStyle name="Normal 2 5 2 4 3" xfId="43743" xr:uid="{00000000-0005-0000-0000-0000DF410000}"/>
    <cellStyle name="Normal 2 5 2 5" xfId="20529" xr:uid="{00000000-0005-0000-0000-0000E0410000}"/>
    <cellStyle name="Normal 2 5 2 6" xfId="39161" xr:uid="{00000000-0005-0000-0000-0000E1410000}"/>
    <cellStyle name="Normal 2 5 3" xfId="5135" xr:uid="{00000000-0005-0000-0000-0000E2410000}"/>
    <cellStyle name="Normal 2 5 3 2" xfId="5136" xr:uid="{00000000-0005-0000-0000-0000E3410000}"/>
    <cellStyle name="Normal 2 5 3 2 2" xfId="10988" xr:uid="{00000000-0005-0000-0000-0000E4410000}"/>
    <cellStyle name="Normal 2 5 3 2 2 2" xfId="34473" xr:uid="{00000000-0005-0000-0000-0000E5410000}"/>
    <cellStyle name="Normal 2 5 3 2 2 3" xfId="25154" xr:uid="{00000000-0005-0000-0000-0000E6410000}"/>
    <cellStyle name="Normal 2 5 3 2 2 4" xfId="48416" xr:uid="{00000000-0005-0000-0000-0000E7410000}"/>
    <cellStyle name="Normal 2 5 3 2 3" xfId="15719" xr:uid="{00000000-0005-0000-0000-0000E8410000}"/>
    <cellStyle name="Normal 2 5 3 2 3 2" xfId="29851" xr:uid="{00000000-0005-0000-0000-0000E9410000}"/>
    <cellStyle name="Normal 2 5 3 2 3 3" xfId="43746" xr:uid="{00000000-0005-0000-0000-0000EA410000}"/>
    <cellStyle name="Normal 2 5 3 2 4" xfId="20532" xr:uid="{00000000-0005-0000-0000-0000EB410000}"/>
    <cellStyle name="Normal 2 5 3 2 5" xfId="39164" xr:uid="{00000000-0005-0000-0000-0000EC410000}"/>
    <cellStyle name="Normal 2 5 3 3" xfId="10987" xr:uid="{00000000-0005-0000-0000-0000ED410000}"/>
    <cellStyle name="Normal 2 5 3 3 2" xfId="34472" xr:uid="{00000000-0005-0000-0000-0000EE410000}"/>
    <cellStyle name="Normal 2 5 3 3 3" xfId="25153" xr:uid="{00000000-0005-0000-0000-0000EF410000}"/>
    <cellStyle name="Normal 2 5 3 3 4" xfId="48415" xr:uid="{00000000-0005-0000-0000-0000F0410000}"/>
    <cellStyle name="Normal 2 5 3 4" xfId="15718" xr:uid="{00000000-0005-0000-0000-0000F1410000}"/>
    <cellStyle name="Normal 2 5 3 4 2" xfId="29850" xr:uid="{00000000-0005-0000-0000-0000F2410000}"/>
    <cellStyle name="Normal 2 5 3 4 3" xfId="43745" xr:uid="{00000000-0005-0000-0000-0000F3410000}"/>
    <cellStyle name="Normal 2 5 3 5" xfId="20531" xr:uid="{00000000-0005-0000-0000-0000F4410000}"/>
    <cellStyle name="Normal 2 5 3 6" xfId="39163" xr:uid="{00000000-0005-0000-0000-0000F5410000}"/>
    <cellStyle name="Normal 2 5 4" xfId="5137" xr:uid="{00000000-0005-0000-0000-0000F6410000}"/>
    <cellStyle name="Normal 2 5 4 2" xfId="5138" xr:uid="{00000000-0005-0000-0000-0000F7410000}"/>
    <cellStyle name="Normal 2 5 4 2 2" xfId="10990" xr:uid="{00000000-0005-0000-0000-0000F8410000}"/>
    <cellStyle name="Normal 2 5 4 2 2 2" xfId="34475" xr:uid="{00000000-0005-0000-0000-0000F9410000}"/>
    <cellStyle name="Normal 2 5 4 2 2 3" xfId="25156" xr:uid="{00000000-0005-0000-0000-0000FA410000}"/>
    <cellStyle name="Normal 2 5 4 2 2 4" xfId="48418" xr:uid="{00000000-0005-0000-0000-0000FB410000}"/>
    <cellStyle name="Normal 2 5 4 2 3" xfId="15721" xr:uid="{00000000-0005-0000-0000-0000FC410000}"/>
    <cellStyle name="Normal 2 5 4 2 3 2" xfId="29853" xr:uid="{00000000-0005-0000-0000-0000FD410000}"/>
    <cellStyle name="Normal 2 5 4 2 3 3" xfId="43748" xr:uid="{00000000-0005-0000-0000-0000FE410000}"/>
    <cellStyle name="Normal 2 5 4 2 4" xfId="20534" xr:uid="{00000000-0005-0000-0000-0000FF410000}"/>
    <cellStyle name="Normal 2 5 4 2 5" xfId="39166" xr:uid="{00000000-0005-0000-0000-000000420000}"/>
    <cellStyle name="Normal 2 5 4 3" xfId="10989" xr:uid="{00000000-0005-0000-0000-000001420000}"/>
    <cellStyle name="Normal 2 5 4 3 2" xfId="34474" xr:uid="{00000000-0005-0000-0000-000002420000}"/>
    <cellStyle name="Normal 2 5 4 3 3" xfId="25155" xr:uid="{00000000-0005-0000-0000-000003420000}"/>
    <cellStyle name="Normal 2 5 4 3 4" xfId="48417" xr:uid="{00000000-0005-0000-0000-000004420000}"/>
    <cellStyle name="Normal 2 5 4 4" xfId="15720" xr:uid="{00000000-0005-0000-0000-000005420000}"/>
    <cellStyle name="Normal 2 5 4 4 2" xfId="29852" xr:uid="{00000000-0005-0000-0000-000006420000}"/>
    <cellStyle name="Normal 2 5 4 4 3" xfId="43747" xr:uid="{00000000-0005-0000-0000-000007420000}"/>
    <cellStyle name="Normal 2 5 4 5" xfId="20533" xr:uid="{00000000-0005-0000-0000-000008420000}"/>
    <cellStyle name="Normal 2 5 4 6" xfId="39165" xr:uid="{00000000-0005-0000-0000-000009420000}"/>
    <cellStyle name="Normal 2 5 5" xfId="5139" xr:uid="{00000000-0005-0000-0000-00000A420000}"/>
    <cellStyle name="Normal 2 5 5 2" xfId="5140" xr:uid="{00000000-0005-0000-0000-00000B420000}"/>
    <cellStyle name="Normal 2 5 5 2 2" xfId="10992" xr:uid="{00000000-0005-0000-0000-00000C420000}"/>
    <cellStyle name="Normal 2 5 5 2 2 2" xfId="34477" xr:uid="{00000000-0005-0000-0000-00000D420000}"/>
    <cellStyle name="Normal 2 5 5 2 2 3" xfId="25158" xr:uid="{00000000-0005-0000-0000-00000E420000}"/>
    <cellStyle name="Normal 2 5 5 2 2 4" xfId="48420" xr:uid="{00000000-0005-0000-0000-00000F420000}"/>
    <cellStyle name="Normal 2 5 5 2 3" xfId="15723" xr:uid="{00000000-0005-0000-0000-000010420000}"/>
    <cellStyle name="Normal 2 5 5 2 3 2" xfId="29855" xr:uid="{00000000-0005-0000-0000-000011420000}"/>
    <cellStyle name="Normal 2 5 5 2 3 3" xfId="43750" xr:uid="{00000000-0005-0000-0000-000012420000}"/>
    <cellStyle name="Normal 2 5 5 2 4" xfId="20536" xr:uid="{00000000-0005-0000-0000-000013420000}"/>
    <cellStyle name="Normal 2 5 5 2 5" xfId="39168" xr:uid="{00000000-0005-0000-0000-000014420000}"/>
    <cellStyle name="Normal 2 5 5 3" xfId="10991" xr:uid="{00000000-0005-0000-0000-000015420000}"/>
    <cellStyle name="Normal 2 5 5 3 2" xfId="34476" xr:uid="{00000000-0005-0000-0000-000016420000}"/>
    <cellStyle name="Normal 2 5 5 3 3" xfId="25157" xr:uid="{00000000-0005-0000-0000-000017420000}"/>
    <cellStyle name="Normal 2 5 5 3 4" xfId="48419" xr:uid="{00000000-0005-0000-0000-000018420000}"/>
    <cellStyle name="Normal 2 5 5 4" xfId="15722" xr:uid="{00000000-0005-0000-0000-000019420000}"/>
    <cellStyle name="Normal 2 5 5 4 2" xfId="29854" xr:uid="{00000000-0005-0000-0000-00001A420000}"/>
    <cellStyle name="Normal 2 5 5 4 3" xfId="43749" xr:uid="{00000000-0005-0000-0000-00001B420000}"/>
    <cellStyle name="Normal 2 5 5 5" xfId="20535" xr:uid="{00000000-0005-0000-0000-00001C420000}"/>
    <cellStyle name="Normal 2 5 5 6" xfId="39167" xr:uid="{00000000-0005-0000-0000-00001D420000}"/>
    <cellStyle name="Normal 2 5 6" xfId="5141" xr:uid="{00000000-0005-0000-0000-00001E420000}"/>
    <cellStyle name="Normal 2 5 6 2" xfId="5142" xr:uid="{00000000-0005-0000-0000-00001F420000}"/>
    <cellStyle name="Normal 2 5 6 2 2" xfId="10994" xr:uid="{00000000-0005-0000-0000-000020420000}"/>
    <cellStyle name="Normal 2 5 6 2 2 2" xfId="34479" xr:uid="{00000000-0005-0000-0000-000021420000}"/>
    <cellStyle name="Normal 2 5 6 2 2 3" xfId="25160" xr:uid="{00000000-0005-0000-0000-000022420000}"/>
    <cellStyle name="Normal 2 5 6 2 2 4" xfId="48422" xr:uid="{00000000-0005-0000-0000-000023420000}"/>
    <cellStyle name="Normal 2 5 6 2 3" xfId="15725" xr:uid="{00000000-0005-0000-0000-000024420000}"/>
    <cellStyle name="Normal 2 5 6 2 3 2" xfId="29857" xr:uid="{00000000-0005-0000-0000-000025420000}"/>
    <cellStyle name="Normal 2 5 6 2 3 3" xfId="43752" xr:uid="{00000000-0005-0000-0000-000026420000}"/>
    <cellStyle name="Normal 2 5 6 2 4" xfId="20538" xr:uid="{00000000-0005-0000-0000-000027420000}"/>
    <cellStyle name="Normal 2 5 6 2 5" xfId="39170" xr:uid="{00000000-0005-0000-0000-000028420000}"/>
    <cellStyle name="Normal 2 5 6 3" xfId="10993" xr:uid="{00000000-0005-0000-0000-000029420000}"/>
    <cellStyle name="Normal 2 5 6 3 2" xfId="34478" xr:uid="{00000000-0005-0000-0000-00002A420000}"/>
    <cellStyle name="Normal 2 5 6 3 3" xfId="25159" xr:uid="{00000000-0005-0000-0000-00002B420000}"/>
    <cellStyle name="Normal 2 5 6 3 4" xfId="48421" xr:uid="{00000000-0005-0000-0000-00002C420000}"/>
    <cellStyle name="Normal 2 5 6 4" xfId="15724" xr:uid="{00000000-0005-0000-0000-00002D420000}"/>
    <cellStyle name="Normal 2 5 6 4 2" xfId="29856" xr:uid="{00000000-0005-0000-0000-00002E420000}"/>
    <cellStyle name="Normal 2 5 6 4 3" xfId="43751" xr:uid="{00000000-0005-0000-0000-00002F420000}"/>
    <cellStyle name="Normal 2 5 6 5" xfId="20537" xr:uid="{00000000-0005-0000-0000-000030420000}"/>
    <cellStyle name="Normal 2 5 6 6" xfId="39169" xr:uid="{00000000-0005-0000-0000-000031420000}"/>
    <cellStyle name="Normal 2 5 7" xfId="5143" xr:uid="{00000000-0005-0000-0000-000032420000}"/>
    <cellStyle name="Normal 2 5 7 2" xfId="5144" xr:uid="{00000000-0005-0000-0000-000033420000}"/>
    <cellStyle name="Normal 2 5 7 2 2" xfId="10996" xr:uid="{00000000-0005-0000-0000-000034420000}"/>
    <cellStyle name="Normal 2 5 7 2 2 2" xfId="34481" xr:uid="{00000000-0005-0000-0000-000035420000}"/>
    <cellStyle name="Normal 2 5 7 2 2 3" xfId="25162" xr:uid="{00000000-0005-0000-0000-000036420000}"/>
    <cellStyle name="Normal 2 5 7 2 2 4" xfId="48424" xr:uid="{00000000-0005-0000-0000-000037420000}"/>
    <cellStyle name="Normal 2 5 7 2 3" xfId="15727" xr:uid="{00000000-0005-0000-0000-000038420000}"/>
    <cellStyle name="Normal 2 5 7 2 3 2" xfId="29859" xr:uid="{00000000-0005-0000-0000-000039420000}"/>
    <cellStyle name="Normal 2 5 7 2 3 3" xfId="43754" xr:uid="{00000000-0005-0000-0000-00003A420000}"/>
    <cellStyle name="Normal 2 5 7 2 4" xfId="20540" xr:uid="{00000000-0005-0000-0000-00003B420000}"/>
    <cellStyle name="Normal 2 5 7 2 5" xfId="39172" xr:uid="{00000000-0005-0000-0000-00003C420000}"/>
    <cellStyle name="Normal 2 5 7 3" xfId="10995" xr:uid="{00000000-0005-0000-0000-00003D420000}"/>
    <cellStyle name="Normal 2 5 7 3 2" xfId="34480" xr:uid="{00000000-0005-0000-0000-00003E420000}"/>
    <cellStyle name="Normal 2 5 7 3 3" xfId="25161" xr:uid="{00000000-0005-0000-0000-00003F420000}"/>
    <cellStyle name="Normal 2 5 7 3 4" xfId="48423" xr:uid="{00000000-0005-0000-0000-000040420000}"/>
    <cellStyle name="Normal 2 5 7 4" xfId="15726" xr:uid="{00000000-0005-0000-0000-000041420000}"/>
    <cellStyle name="Normal 2 5 7 4 2" xfId="29858" xr:uid="{00000000-0005-0000-0000-000042420000}"/>
    <cellStyle name="Normal 2 5 7 4 3" xfId="43753" xr:uid="{00000000-0005-0000-0000-000043420000}"/>
    <cellStyle name="Normal 2 5 7 5" xfId="20539" xr:uid="{00000000-0005-0000-0000-000044420000}"/>
    <cellStyle name="Normal 2 5 7 6" xfId="39171" xr:uid="{00000000-0005-0000-0000-000045420000}"/>
    <cellStyle name="Normal 2 5 8" xfId="5145" xr:uid="{00000000-0005-0000-0000-000046420000}"/>
    <cellStyle name="Normal 2 5 8 2" xfId="5146" xr:uid="{00000000-0005-0000-0000-000047420000}"/>
    <cellStyle name="Normal 2 5 8 2 2" xfId="10998" xr:uid="{00000000-0005-0000-0000-000048420000}"/>
    <cellStyle name="Normal 2 5 8 2 2 2" xfId="34483" xr:uid="{00000000-0005-0000-0000-000049420000}"/>
    <cellStyle name="Normal 2 5 8 2 2 3" xfId="25164" xr:uid="{00000000-0005-0000-0000-00004A420000}"/>
    <cellStyle name="Normal 2 5 8 2 2 4" xfId="48426" xr:uid="{00000000-0005-0000-0000-00004B420000}"/>
    <cellStyle name="Normal 2 5 8 2 3" xfId="15729" xr:uid="{00000000-0005-0000-0000-00004C420000}"/>
    <cellStyle name="Normal 2 5 8 2 3 2" xfId="29861" xr:uid="{00000000-0005-0000-0000-00004D420000}"/>
    <cellStyle name="Normal 2 5 8 2 3 3" xfId="43756" xr:uid="{00000000-0005-0000-0000-00004E420000}"/>
    <cellStyle name="Normal 2 5 8 2 4" xfId="20542" xr:uid="{00000000-0005-0000-0000-00004F420000}"/>
    <cellStyle name="Normal 2 5 8 2 5" xfId="39174" xr:uid="{00000000-0005-0000-0000-000050420000}"/>
    <cellStyle name="Normal 2 5 8 3" xfId="10997" xr:uid="{00000000-0005-0000-0000-000051420000}"/>
    <cellStyle name="Normal 2 5 8 3 2" xfId="34482" xr:uid="{00000000-0005-0000-0000-000052420000}"/>
    <cellStyle name="Normal 2 5 8 3 3" xfId="25163" xr:uid="{00000000-0005-0000-0000-000053420000}"/>
    <cellStyle name="Normal 2 5 8 3 4" xfId="48425" xr:uid="{00000000-0005-0000-0000-000054420000}"/>
    <cellStyle name="Normal 2 5 8 4" xfId="15728" xr:uid="{00000000-0005-0000-0000-000055420000}"/>
    <cellStyle name="Normal 2 5 8 4 2" xfId="29860" xr:uid="{00000000-0005-0000-0000-000056420000}"/>
    <cellStyle name="Normal 2 5 8 4 3" xfId="43755" xr:uid="{00000000-0005-0000-0000-000057420000}"/>
    <cellStyle name="Normal 2 5 8 5" xfId="20541" xr:uid="{00000000-0005-0000-0000-000058420000}"/>
    <cellStyle name="Normal 2 5 8 6" xfId="39173" xr:uid="{00000000-0005-0000-0000-000059420000}"/>
    <cellStyle name="Normal 2 5 9" xfId="5147" xr:uid="{00000000-0005-0000-0000-00005A420000}"/>
    <cellStyle name="Normal 2 5 9 2" xfId="5148" xr:uid="{00000000-0005-0000-0000-00005B420000}"/>
    <cellStyle name="Normal 2 5 9 2 2" xfId="11000" xr:uid="{00000000-0005-0000-0000-00005C420000}"/>
    <cellStyle name="Normal 2 5 9 2 2 2" xfId="34485" xr:uid="{00000000-0005-0000-0000-00005D420000}"/>
    <cellStyle name="Normal 2 5 9 2 2 3" xfId="25166" xr:uid="{00000000-0005-0000-0000-00005E420000}"/>
    <cellStyle name="Normal 2 5 9 2 2 4" xfId="48428" xr:uid="{00000000-0005-0000-0000-00005F420000}"/>
    <cellStyle name="Normal 2 5 9 2 3" xfId="15731" xr:uid="{00000000-0005-0000-0000-000060420000}"/>
    <cellStyle name="Normal 2 5 9 2 3 2" xfId="29863" xr:uid="{00000000-0005-0000-0000-000061420000}"/>
    <cellStyle name="Normal 2 5 9 2 3 3" xfId="43758" xr:uid="{00000000-0005-0000-0000-000062420000}"/>
    <cellStyle name="Normal 2 5 9 2 4" xfId="20544" xr:uid="{00000000-0005-0000-0000-000063420000}"/>
    <cellStyle name="Normal 2 5 9 2 5" xfId="39176" xr:uid="{00000000-0005-0000-0000-000064420000}"/>
    <cellStyle name="Normal 2 5 9 3" xfId="10999" xr:uid="{00000000-0005-0000-0000-000065420000}"/>
    <cellStyle name="Normal 2 5 9 3 2" xfId="34484" xr:uid="{00000000-0005-0000-0000-000066420000}"/>
    <cellStyle name="Normal 2 5 9 3 3" xfId="25165" xr:uid="{00000000-0005-0000-0000-000067420000}"/>
    <cellStyle name="Normal 2 5 9 3 4" xfId="48427" xr:uid="{00000000-0005-0000-0000-000068420000}"/>
    <cellStyle name="Normal 2 5 9 4" xfId="15730" xr:uid="{00000000-0005-0000-0000-000069420000}"/>
    <cellStyle name="Normal 2 5 9 4 2" xfId="29862" xr:uid="{00000000-0005-0000-0000-00006A420000}"/>
    <cellStyle name="Normal 2 5 9 4 3" xfId="43757" xr:uid="{00000000-0005-0000-0000-00006B420000}"/>
    <cellStyle name="Normal 2 5 9 5" xfId="20543" xr:uid="{00000000-0005-0000-0000-00006C420000}"/>
    <cellStyle name="Normal 2 5 9 6" xfId="39175" xr:uid="{00000000-0005-0000-0000-00006D420000}"/>
    <cellStyle name="Normal 2 50" xfId="5149" xr:uid="{00000000-0005-0000-0000-00006E420000}"/>
    <cellStyle name="Normal 2 50 2" xfId="5150" xr:uid="{00000000-0005-0000-0000-00006F420000}"/>
    <cellStyle name="Normal 2 50 2 2" xfId="11002" xr:uid="{00000000-0005-0000-0000-000070420000}"/>
    <cellStyle name="Normal 2 50 2 2 2" xfId="34487" xr:uid="{00000000-0005-0000-0000-000071420000}"/>
    <cellStyle name="Normal 2 50 2 2 3" xfId="25168" xr:uid="{00000000-0005-0000-0000-000072420000}"/>
    <cellStyle name="Normal 2 50 2 2 4" xfId="48430" xr:uid="{00000000-0005-0000-0000-000073420000}"/>
    <cellStyle name="Normal 2 50 2 3" xfId="15733" xr:uid="{00000000-0005-0000-0000-000074420000}"/>
    <cellStyle name="Normal 2 50 2 3 2" xfId="29865" xr:uid="{00000000-0005-0000-0000-000075420000}"/>
    <cellStyle name="Normal 2 50 2 3 3" xfId="43760" xr:uid="{00000000-0005-0000-0000-000076420000}"/>
    <cellStyle name="Normal 2 50 2 4" xfId="20546" xr:uid="{00000000-0005-0000-0000-000077420000}"/>
    <cellStyle name="Normal 2 50 2 5" xfId="39178" xr:uid="{00000000-0005-0000-0000-000078420000}"/>
    <cellStyle name="Normal 2 50 3" xfId="11001" xr:uid="{00000000-0005-0000-0000-000079420000}"/>
    <cellStyle name="Normal 2 50 3 2" xfId="34486" xr:uid="{00000000-0005-0000-0000-00007A420000}"/>
    <cellStyle name="Normal 2 50 3 3" xfId="25167" xr:uid="{00000000-0005-0000-0000-00007B420000}"/>
    <cellStyle name="Normal 2 50 3 4" xfId="48429" xr:uid="{00000000-0005-0000-0000-00007C420000}"/>
    <cellStyle name="Normal 2 50 4" xfId="15732" xr:uid="{00000000-0005-0000-0000-00007D420000}"/>
    <cellStyle name="Normal 2 50 4 2" xfId="29864" xr:uid="{00000000-0005-0000-0000-00007E420000}"/>
    <cellStyle name="Normal 2 50 4 3" xfId="43759" xr:uid="{00000000-0005-0000-0000-00007F420000}"/>
    <cellStyle name="Normal 2 50 5" xfId="20545" xr:uid="{00000000-0005-0000-0000-000080420000}"/>
    <cellStyle name="Normal 2 50 6" xfId="39177" xr:uid="{00000000-0005-0000-0000-000081420000}"/>
    <cellStyle name="Normal 2 51" xfId="5151" xr:uid="{00000000-0005-0000-0000-000082420000}"/>
    <cellStyle name="Normal 2 51 2" xfId="5152" xr:uid="{00000000-0005-0000-0000-000083420000}"/>
    <cellStyle name="Normal 2 51 2 2" xfId="11004" xr:uid="{00000000-0005-0000-0000-000084420000}"/>
    <cellStyle name="Normal 2 51 2 2 2" xfId="34489" xr:uid="{00000000-0005-0000-0000-000085420000}"/>
    <cellStyle name="Normal 2 51 2 2 3" xfId="25170" xr:uid="{00000000-0005-0000-0000-000086420000}"/>
    <cellStyle name="Normal 2 51 2 2 4" xfId="48432" xr:uid="{00000000-0005-0000-0000-000087420000}"/>
    <cellStyle name="Normal 2 51 2 3" xfId="15735" xr:uid="{00000000-0005-0000-0000-000088420000}"/>
    <cellStyle name="Normal 2 51 2 3 2" xfId="29867" xr:uid="{00000000-0005-0000-0000-000089420000}"/>
    <cellStyle name="Normal 2 51 2 3 3" xfId="43762" xr:uid="{00000000-0005-0000-0000-00008A420000}"/>
    <cellStyle name="Normal 2 51 2 4" xfId="20548" xr:uid="{00000000-0005-0000-0000-00008B420000}"/>
    <cellStyle name="Normal 2 51 2 5" xfId="39180" xr:uid="{00000000-0005-0000-0000-00008C420000}"/>
    <cellStyle name="Normal 2 51 3" xfId="11003" xr:uid="{00000000-0005-0000-0000-00008D420000}"/>
    <cellStyle name="Normal 2 51 3 2" xfId="34488" xr:uid="{00000000-0005-0000-0000-00008E420000}"/>
    <cellStyle name="Normal 2 51 3 3" xfId="25169" xr:uid="{00000000-0005-0000-0000-00008F420000}"/>
    <cellStyle name="Normal 2 51 3 4" xfId="48431" xr:uid="{00000000-0005-0000-0000-000090420000}"/>
    <cellStyle name="Normal 2 51 4" xfId="15734" xr:uid="{00000000-0005-0000-0000-000091420000}"/>
    <cellStyle name="Normal 2 51 4 2" xfId="29866" xr:uid="{00000000-0005-0000-0000-000092420000}"/>
    <cellStyle name="Normal 2 51 4 3" xfId="43761" xr:uid="{00000000-0005-0000-0000-000093420000}"/>
    <cellStyle name="Normal 2 51 5" xfId="20547" xr:uid="{00000000-0005-0000-0000-000094420000}"/>
    <cellStyle name="Normal 2 51 6" xfId="39179" xr:uid="{00000000-0005-0000-0000-000095420000}"/>
    <cellStyle name="Normal 2 52" xfId="5153" xr:uid="{00000000-0005-0000-0000-000096420000}"/>
    <cellStyle name="Normal 2 52 2" xfId="5154" xr:uid="{00000000-0005-0000-0000-000097420000}"/>
    <cellStyle name="Normal 2 52 2 2" xfId="11006" xr:uid="{00000000-0005-0000-0000-000098420000}"/>
    <cellStyle name="Normal 2 52 2 2 2" xfId="34491" xr:uid="{00000000-0005-0000-0000-000099420000}"/>
    <cellStyle name="Normal 2 52 2 2 3" xfId="25172" xr:uid="{00000000-0005-0000-0000-00009A420000}"/>
    <cellStyle name="Normal 2 52 2 2 4" xfId="48434" xr:uid="{00000000-0005-0000-0000-00009B420000}"/>
    <cellStyle name="Normal 2 52 2 3" xfId="15737" xr:uid="{00000000-0005-0000-0000-00009C420000}"/>
    <cellStyle name="Normal 2 52 2 3 2" xfId="29869" xr:uid="{00000000-0005-0000-0000-00009D420000}"/>
    <cellStyle name="Normal 2 52 2 3 3" xfId="43764" xr:uid="{00000000-0005-0000-0000-00009E420000}"/>
    <cellStyle name="Normal 2 52 2 4" xfId="20550" xr:uid="{00000000-0005-0000-0000-00009F420000}"/>
    <cellStyle name="Normal 2 52 2 5" xfId="39182" xr:uid="{00000000-0005-0000-0000-0000A0420000}"/>
    <cellStyle name="Normal 2 52 3" xfId="11005" xr:uid="{00000000-0005-0000-0000-0000A1420000}"/>
    <cellStyle name="Normal 2 52 3 2" xfId="34490" xr:uid="{00000000-0005-0000-0000-0000A2420000}"/>
    <cellStyle name="Normal 2 52 3 3" xfId="25171" xr:uid="{00000000-0005-0000-0000-0000A3420000}"/>
    <cellStyle name="Normal 2 52 3 4" xfId="48433" xr:uid="{00000000-0005-0000-0000-0000A4420000}"/>
    <cellStyle name="Normal 2 52 4" xfId="15736" xr:uid="{00000000-0005-0000-0000-0000A5420000}"/>
    <cellStyle name="Normal 2 52 4 2" xfId="29868" xr:uid="{00000000-0005-0000-0000-0000A6420000}"/>
    <cellStyle name="Normal 2 52 4 3" xfId="43763" xr:uid="{00000000-0005-0000-0000-0000A7420000}"/>
    <cellStyle name="Normal 2 52 5" xfId="20549" xr:uid="{00000000-0005-0000-0000-0000A8420000}"/>
    <cellStyle name="Normal 2 52 6" xfId="39181" xr:uid="{00000000-0005-0000-0000-0000A9420000}"/>
    <cellStyle name="Normal 2 53" xfId="5155" xr:uid="{00000000-0005-0000-0000-0000AA420000}"/>
    <cellStyle name="Normal 2 53 2" xfId="5156" xr:uid="{00000000-0005-0000-0000-0000AB420000}"/>
    <cellStyle name="Normal 2 53 2 2" xfId="11008" xr:uid="{00000000-0005-0000-0000-0000AC420000}"/>
    <cellStyle name="Normal 2 53 2 2 2" xfId="34493" xr:uid="{00000000-0005-0000-0000-0000AD420000}"/>
    <cellStyle name="Normal 2 53 2 2 3" xfId="25174" xr:uid="{00000000-0005-0000-0000-0000AE420000}"/>
    <cellStyle name="Normal 2 53 2 2 4" xfId="48436" xr:uid="{00000000-0005-0000-0000-0000AF420000}"/>
    <cellStyle name="Normal 2 53 2 3" xfId="15739" xr:uid="{00000000-0005-0000-0000-0000B0420000}"/>
    <cellStyle name="Normal 2 53 2 3 2" xfId="29871" xr:uid="{00000000-0005-0000-0000-0000B1420000}"/>
    <cellStyle name="Normal 2 53 2 3 3" xfId="43766" xr:uid="{00000000-0005-0000-0000-0000B2420000}"/>
    <cellStyle name="Normal 2 53 2 4" xfId="20552" xr:uid="{00000000-0005-0000-0000-0000B3420000}"/>
    <cellStyle name="Normal 2 53 2 5" xfId="39184" xr:uid="{00000000-0005-0000-0000-0000B4420000}"/>
    <cellStyle name="Normal 2 53 3" xfId="11007" xr:uid="{00000000-0005-0000-0000-0000B5420000}"/>
    <cellStyle name="Normal 2 53 3 2" xfId="34492" xr:uid="{00000000-0005-0000-0000-0000B6420000}"/>
    <cellStyle name="Normal 2 53 3 3" xfId="25173" xr:uid="{00000000-0005-0000-0000-0000B7420000}"/>
    <cellStyle name="Normal 2 53 3 4" xfId="48435" xr:uid="{00000000-0005-0000-0000-0000B8420000}"/>
    <cellStyle name="Normal 2 53 4" xfId="15738" xr:uid="{00000000-0005-0000-0000-0000B9420000}"/>
    <cellStyle name="Normal 2 53 4 2" xfId="29870" xr:uid="{00000000-0005-0000-0000-0000BA420000}"/>
    <cellStyle name="Normal 2 53 4 3" xfId="43765" xr:uid="{00000000-0005-0000-0000-0000BB420000}"/>
    <cellStyle name="Normal 2 53 5" xfId="20551" xr:uid="{00000000-0005-0000-0000-0000BC420000}"/>
    <cellStyle name="Normal 2 53 6" xfId="39183" xr:uid="{00000000-0005-0000-0000-0000BD420000}"/>
    <cellStyle name="Normal 2 54" xfId="5157" xr:uid="{00000000-0005-0000-0000-0000BE420000}"/>
    <cellStyle name="Normal 2 54 2" xfId="5158" xr:uid="{00000000-0005-0000-0000-0000BF420000}"/>
    <cellStyle name="Normal 2 54 2 2" xfId="11010" xr:uid="{00000000-0005-0000-0000-0000C0420000}"/>
    <cellStyle name="Normal 2 54 2 2 2" xfId="34495" xr:uid="{00000000-0005-0000-0000-0000C1420000}"/>
    <cellStyle name="Normal 2 54 2 2 3" xfId="25176" xr:uid="{00000000-0005-0000-0000-0000C2420000}"/>
    <cellStyle name="Normal 2 54 2 2 4" xfId="48438" xr:uid="{00000000-0005-0000-0000-0000C3420000}"/>
    <cellStyle name="Normal 2 54 2 3" xfId="15741" xr:uid="{00000000-0005-0000-0000-0000C4420000}"/>
    <cellStyle name="Normal 2 54 2 3 2" xfId="29873" xr:uid="{00000000-0005-0000-0000-0000C5420000}"/>
    <cellStyle name="Normal 2 54 2 3 3" xfId="43768" xr:uid="{00000000-0005-0000-0000-0000C6420000}"/>
    <cellStyle name="Normal 2 54 2 4" xfId="20554" xr:uid="{00000000-0005-0000-0000-0000C7420000}"/>
    <cellStyle name="Normal 2 54 2 5" xfId="39186" xr:uid="{00000000-0005-0000-0000-0000C8420000}"/>
    <cellStyle name="Normal 2 54 3" xfId="11009" xr:uid="{00000000-0005-0000-0000-0000C9420000}"/>
    <cellStyle name="Normal 2 54 3 2" xfId="34494" xr:uid="{00000000-0005-0000-0000-0000CA420000}"/>
    <cellStyle name="Normal 2 54 3 3" xfId="25175" xr:uid="{00000000-0005-0000-0000-0000CB420000}"/>
    <cellStyle name="Normal 2 54 3 4" xfId="48437" xr:uid="{00000000-0005-0000-0000-0000CC420000}"/>
    <cellStyle name="Normal 2 54 4" xfId="15740" xr:uid="{00000000-0005-0000-0000-0000CD420000}"/>
    <cellStyle name="Normal 2 54 4 2" xfId="29872" xr:uid="{00000000-0005-0000-0000-0000CE420000}"/>
    <cellStyle name="Normal 2 54 4 3" xfId="43767" xr:uid="{00000000-0005-0000-0000-0000CF420000}"/>
    <cellStyle name="Normal 2 54 5" xfId="20553" xr:uid="{00000000-0005-0000-0000-0000D0420000}"/>
    <cellStyle name="Normal 2 54 6" xfId="39185" xr:uid="{00000000-0005-0000-0000-0000D1420000}"/>
    <cellStyle name="Normal 2 55" xfId="5159" xr:uid="{00000000-0005-0000-0000-0000D2420000}"/>
    <cellStyle name="Normal 2 55 2" xfId="5160" xr:uid="{00000000-0005-0000-0000-0000D3420000}"/>
    <cellStyle name="Normal 2 55 2 2" xfId="11012" xr:uid="{00000000-0005-0000-0000-0000D4420000}"/>
    <cellStyle name="Normal 2 55 2 2 2" xfId="34497" xr:uid="{00000000-0005-0000-0000-0000D5420000}"/>
    <cellStyle name="Normal 2 55 2 2 3" xfId="25178" xr:uid="{00000000-0005-0000-0000-0000D6420000}"/>
    <cellStyle name="Normal 2 55 2 2 4" xfId="48440" xr:uid="{00000000-0005-0000-0000-0000D7420000}"/>
    <cellStyle name="Normal 2 55 2 3" xfId="15743" xr:uid="{00000000-0005-0000-0000-0000D8420000}"/>
    <cellStyle name="Normal 2 55 2 3 2" xfId="29875" xr:uid="{00000000-0005-0000-0000-0000D9420000}"/>
    <cellStyle name="Normal 2 55 2 3 3" xfId="43770" xr:uid="{00000000-0005-0000-0000-0000DA420000}"/>
    <cellStyle name="Normal 2 55 2 4" xfId="20556" xr:uid="{00000000-0005-0000-0000-0000DB420000}"/>
    <cellStyle name="Normal 2 55 2 5" xfId="39188" xr:uid="{00000000-0005-0000-0000-0000DC420000}"/>
    <cellStyle name="Normal 2 55 3" xfId="11011" xr:uid="{00000000-0005-0000-0000-0000DD420000}"/>
    <cellStyle name="Normal 2 55 3 2" xfId="34496" xr:uid="{00000000-0005-0000-0000-0000DE420000}"/>
    <cellStyle name="Normal 2 55 3 3" xfId="25177" xr:uid="{00000000-0005-0000-0000-0000DF420000}"/>
    <cellStyle name="Normal 2 55 3 4" xfId="48439" xr:uid="{00000000-0005-0000-0000-0000E0420000}"/>
    <cellStyle name="Normal 2 55 4" xfId="15742" xr:uid="{00000000-0005-0000-0000-0000E1420000}"/>
    <cellStyle name="Normal 2 55 4 2" xfId="29874" xr:uid="{00000000-0005-0000-0000-0000E2420000}"/>
    <cellStyle name="Normal 2 55 4 3" xfId="43769" xr:uid="{00000000-0005-0000-0000-0000E3420000}"/>
    <cellStyle name="Normal 2 55 5" xfId="20555" xr:uid="{00000000-0005-0000-0000-0000E4420000}"/>
    <cellStyle name="Normal 2 55 6" xfId="39187" xr:uid="{00000000-0005-0000-0000-0000E5420000}"/>
    <cellStyle name="Normal 2 56" xfId="5161" xr:uid="{00000000-0005-0000-0000-0000E6420000}"/>
    <cellStyle name="Normal 2 56 2" xfId="5162" xr:uid="{00000000-0005-0000-0000-0000E7420000}"/>
    <cellStyle name="Normal 2 56 2 2" xfId="11014" xr:uid="{00000000-0005-0000-0000-0000E8420000}"/>
    <cellStyle name="Normal 2 56 2 2 2" xfId="34499" xr:uid="{00000000-0005-0000-0000-0000E9420000}"/>
    <cellStyle name="Normal 2 56 2 2 3" xfId="25180" xr:uid="{00000000-0005-0000-0000-0000EA420000}"/>
    <cellStyle name="Normal 2 56 2 2 4" xfId="48442" xr:uid="{00000000-0005-0000-0000-0000EB420000}"/>
    <cellStyle name="Normal 2 56 2 3" xfId="15745" xr:uid="{00000000-0005-0000-0000-0000EC420000}"/>
    <cellStyle name="Normal 2 56 2 3 2" xfId="29877" xr:uid="{00000000-0005-0000-0000-0000ED420000}"/>
    <cellStyle name="Normal 2 56 2 3 3" xfId="43772" xr:uid="{00000000-0005-0000-0000-0000EE420000}"/>
    <cellStyle name="Normal 2 56 2 4" xfId="20558" xr:uid="{00000000-0005-0000-0000-0000EF420000}"/>
    <cellStyle name="Normal 2 56 2 5" xfId="39190" xr:uid="{00000000-0005-0000-0000-0000F0420000}"/>
    <cellStyle name="Normal 2 56 3" xfId="11013" xr:uid="{00000000-0005-0000-0000-0000F1420000}"/>
    <cellStyle name="Normal 2 56 3 2" xfId="34498" xr:uid="{00000000-0005-0000-0000-0000F2420000}"/>
    <cellStyle name="Normal 2 56 3 3" xfId="25179" xr:uid="{00000000-0005-0000-0000-0000F3420000}"/>
    <cellStyle name="Normal 2 56 3 4" xfId="48441" xr:uid="{00000000-0005-0000-0000-0000F4420000}"/>
    <cellStyle name="Normal 2 56 4" xfId="15744" xr:uid="{00000000-0005-0000-0000-0000F5420000}"/>
    <cellStyle name="Normal 2 56 4 2" xfId="29876" xr:uid="{00000000-0005-0000-0000-0000F6420000}"/>
    <cellStyle name="Normal 2 56 4 3" xfId="43771" xr:uid="{00000000-0005-0000-0000-0000F7420000}"/>
    <cellStyle name="Normal 2 56 5" xfId="20557" xr:uid="{00000000-0005-0000-0000-0000F8420000}"/>
    <cellStyle name="Normal 2 56 6" xfId="39189" xr:uid="{00000000-0005-0000-0000-0000F9420000}"/>
    <cellStyle name="Normal 2 57" xfId="5163" xr:uid="{00000000-0005-0000-0000-0000FA420000}"/>
    <cellStyle name="Normal 2 57 2" xfId="5164" xr:uid="{00000000-0005-0000-0000-0000FB420000}"/>
    <cellStyle name="Normal 2 57 2 2" xfId="11016" xr:uid="{00000000-0005-0000-0000-0000FC420000}"/>
    <cellStyle name="Normal 2 57 2 2 2" xfId="34501" xr:uid="{00000000-0005-0000-0000-0000FD420000}"/>
    <cellStyle name="Normal 2 57 2 2 3" xfId="25182" xr:uid="{00000000-0005-0000-0000-0000FE420000}"/>
    <cellStyle name="Normal 2 57 2 2 4" xfId="48444" xr:uid="{00000000-0005-0000-0000-0000FF420000}"/>
    <cellStyle name="Normal 2 57 2 3" xfId="15747" xr:uid="{00000000-0005-0000-0000-000000430000}"/>
    <cellStyle name="Normal 2 57 2 3 2" xfId="29879" xr:uid="{00000000-0005-0000-0000-000001430000}"/>
    <cellStyle name="Normal 2 57 2 3 3" xfId="43774" xr:uid="{00000000-0005-0000-0000-000002430000}"/>
    <cellStyle name="Normal 2 57 2 4" xfId="20560" xr:uid="{00000000-0005-0000-0000-000003430000}"/>
    <cellStyle name="Normal 2 57 2 5" xfId="39192" xr:uid="{00000000-0005-0000-0000-000004430000}"/>
    <cellStyle name="Normal 2 57 3" xfId="11015" xr:uid="{00000000-0005-0000-0000-000005430000}"/>
    <cellStyle name="Normal 2 57 3 2" xfId="34500" xr:uid="{00000000-0005-0000-0000-000006430000}"/>
    <cellStyle name="Normal 2 57 3 3" xfId="25181" xr:uid="{00000000-0005-0000-0000-000007430000}"/>
    <cellStyle name="Normal 2 57 3 4" xfId="48443" xr:uid="{00000000-0005-0000-0000-000008430000}"/>
    <cellStyle name="Normal 2 57 4" xfId="15746" xr:uid="{00000000-0005-0000-0000-000009430000}"/>
    <cellStyle name="Normal 2 57 4 2" xfId="29878" xr:uid="{00000000-0005-0000-0000-00000A430000}"/>
    <cellStyle name="Normal 2 57 4 3" xfId="43773" xr:uid="{00000000-0005-0000-0000-00000B430000}"/>
    <cellStyle name="Normal 2 57 5" xfId="20559" xr:uid="{00000000-0005-0000-0000-00000C430000}"/>
    <cellStyle name="Normal 2 57 6" xfId="39191" xr:uid="{00000000-0005-0000-0000-00000D430000}"/>
    <cellStyle name="Normal 2 58" xfId="5165" xr:uid="{00000000-0005-0000-0000-00000E430000}"/>
    <cellStyle name="Normal 2 58 2" xfId="5166" xr:uid="{00000000-0005-0000-0000-00000F430000}"/>
    <cellStyle name="Normal 2 58 2 2" xfId="11018" xr:uid="{00000000-0005-0000-0000-000010430000}"/>
    <cellStyle name="Normal 2 58 2 2 2" xfId="34503" xr:uid="{00000000-0005-0000-0000-000011430000}"/>
    <cellStyle name="Normal 2 58 2 2 3" xfId="25184" xr:uid="{00000000-0005-0000-0000-000012430000}"/>
    <cellStyle name="Normal 2 58 2 2 4" xfId="48446" xr:uid="{00000000-0005-0000-0000-000013430000}"/>
    <cellStyle name="Normal 2 58 2 3" xfId="15749" xr:uid="{00000000-0005-0000-0000-000014430000}"/>
    <cellStyle name="Normal 2 58 2 3 2" xfId="29881" xr:uid="{00000000-0005-0000-0000-000015430000}"/>
    <cellStyle name="Normal 2 58 2 3 3" xfId="43776" xr:uid="{00000000-0005-0000-0000-000016430000}"/>
    <cellStyle name="Normal 2 58 2 4" xfId="20562" xr:uid="{00000000-0005-0000-0000-000017430000}"/>
    <cellStyle name="Normal 2 58 2 5" xfId="39194" xr:uid="{00000000-0005-0000-0000-000018430000}"/>
    <cellStyle name="Normal 2 58 3" xfId="11017" xr:uid="{00000000-0005-0000-0000-000019430000}"/>
    <cellStyle name="Normal 2 58 3 2" xfId="34502" xr:uid="{00000000-0005-0000-0000-00001A430000}"/>
    <cellStyle name="Normal 2 58 3 3" xfId="25183" xr:uid="{00000000-0005-0000-0000-00001B430000}"/>
    <cellStyle name="Normal 2 58 3 4" xfId="48445" xr:uid="{00000000-0005-0000-0000-00001C430000}"/>
    <cellStyle name="Normal 2 58 4" xfId="15748" xr:uid="{00000000-0005-0000-0000-00001D430000}"/>
    <cellStyle name="Normal 2 58 4 2" xfId="29880" xr:uid="{00000000-0005-0000-0000-00001E430000}"/>
    <cellStyle name="Normal 2 58 4 3" xfId="43775" xr:uid="{00000000-0005-0000-0000-00001F430000}"/>
    <cellStyle name="Normal 2 58 5" xfId="20561" xr:uid="{00000000-0005-0000-0000-000020430000}"/>
    <cellStyle name="Normal 2 58 6" xfId="39193" xr:uid="{00000000-0005-0000-0000-000021430000}"/>
    <cellStyle name="Normal 2 59" xfId="5167" xr:uid="{00000000-0005-0000-0000-000022430000}"/>
    <cellStyle name="Normal 2 59 2" xfId="5168" xr:uid="{00000000-0005-0000-0000-000023430000}"/>
    <cellStyle name="Normal 2 59 2 2" xfId="11020" xr:uid="{00000000-0005-0000-0000-000024430000}"/>
    <cellStyle name="Normal 2 59 2 2 2" xfId="34505" xr:uid="{00000000-0005-0000-0000-000025430000}"/>
    <cellStyle name="Normal 2 59 2 2 3" xfId="25186" xr:uid="{00000000-0005-0000-0000-000026430000}"/>
    <cellStyle name="Normal 2 59 2 2 4" xfId="48448" xr:uid="{00000000-0005-0000-0000-000027430000}"/>
    <cellStyle name="Normal 2 59 2 3" xfId="15751" xr:uid="{00000000-0005-0000-0000-000028430000}"/>
    <cellStyle name="Normal 2 59 2 3 2" xfId="29883" xr:uid="{00000000-0005-0000-0000-000029430000}"/>
    <cellStyle name="Normal 2 59 2 3 3" xfId="43778" xr:uid="{00000000-0005-0000-0000-00002A430000}"/>
    <cellStyle name="Normal 2 59 2 4" xfId="20564" xr:uid="{00000000-0005-0000-0000-00002B430000}"/>
    <cellStyle name="Normal 2 59 2 5" xfId="39196" xr:uid="{00000000-0005-0000-0000-00002C430000}"/>
    <cellStyle name="Normal 2 59 3" xfId="11019" xr:uid="{00000000-0005-0000-0000-00002D430000}"/>
    <cellStyle name="Normal 2 59 3 2" xfId="34504" xr:uid="{00000000-0005-0000-0000-00002E430000}"/>
    <cellStyle name="Normal 2 59 3 3" xfId="25185" xr:uid="{00000000-0005-0000-0000-00002F430000}"/>
    <cellStyle name="Normal 2 59 3 4" xfId="48447" xr:uid="{00000000-0005-0000-0000-000030430000}"/>
    <cellStyle name="Normal 2 59 4" xfId="15750" xr:uid="{00000000-0005-0000-0000-000031430000}"/>
    <cellStyle name="Normal 2 59 4 2" xfId="29882" xr:uid="{00000000-0005-0000-0000-000032430000}"/>
    <cellStyle name="Normal 2 59 4 3" xfId="43777" xr:uid="{00000000-0005-0000-0000-000033430000}"/>
    <cellStyle name="Normal 2 59 5" xfId="20563" xr:uid="{00000000-0005-0000-0000-000034430000}"/>
    <cellStyle name="Normal 2 59 6" xfId="39195" xr:uid="{00000000-0005-0000-0000-000035430000}"/>
    <cellStyle name="Normal 2 6" xfId="5169" xr:uid="{00000000-0005-0000-0000-000036430000}"/>
    <cellStyle name="Normal 2 6 10" xfId="5170" xr:uid="{00000000-0005-0000-0000-000037430000}"/>
    <cellStyle name="Normal 2 6 10 2" xfId="5171" xr:uid="{00000000-0005-0000-0000-000038430000}"/>
    <cellStyle name="Normal 2 6 10 2 2" xfId="11023" xr:uid="{00000000-0005-0000-0000-000039430000}"/>
    <cellStyle name="Normal 2 6 10 2 2 2" xfId="34508" xr:uid="{00000000-0005-0000-0000-00003A430000}"/>
    <cellStyle name="Normal 2 6 10 2 2 3" xfId="25189" xr:uid="{00000000-0005-0000-0000-00003B430000}"/>
    <cellStyle name="Normal 2 6 10 2 2 4" xfId="48451" xr:uid="{00000000-0005-0000-0000-00003C430000}"/>
    <cellStyle name="Normal 2 6 10 2 3" xfId="15754" xr:uid="{00000000-0005-0000-0000-00003D430000}"/>
    <cellStyle name="Normal 2 6 10 2 3 2" xfId="29886" xr:uid="{00000000-0005-0000-0000-00003E430000}"/>
    <cellStyle name="Normal 2 6 10 2 3 3" xfId="43781" xr:uid="{00000000-0005-0000-0000-00003F430000}"/>
    <cellStyle name="Normal 2 6 10 2 4" xfId="20567" xr:uid="{00000000-0005-0000-0000-000040430000}"/>
    <cellStyle name="Normal 2 6 10 2 5" xfId="39199" xr:uid="{00000000-0005-0000-0000-000041430000}"/>
    <cellStyle name="Normal 2 6 10 3" xfId="11022" xr:uid="{00000000-0005-0000-0000-000042430000}"/>
    <cellStyle name="Normal 2 6 10 3 2" xfId="34507" xr:uid="{00000000-0005-0000-0000-000043430000}"/>
    <cellStyle name="Normal 2 6 10 3 3" xfId="25188" xr:uid="{00000000-0005-0000-0000-000044430000}"/>
    <cellStyle name="Normal 2 6 10 3 4" xfId="48450" xr:uid="{00000000-0005-0000-0000-000045430000}"/>
    <cellStyle name="Normal 2 6 10 4" xfId="15753" xr:uid="{00000000-0005-0000-0000-000046430000}"/>
    <cellStyle name="Normal 2 6 10 4 2" xfId="29885" xr:uid="{00000000-0005-0000-0000-000047430000}"/>
    <cellStyle name="Normal 2 6 10 4 3" xfId="43780" xr:uid="{00000000-0005-0000-0000-000048430000}"/>
    <cellStyle name="Normal 2 6 10 5" xfId="20566" xr:uid="{00000000-0005-0000-0000-000049430000}"/>
    <cellStyle name="Normal 2 6 10 6" xfId="39198" xr:uid="{00000000-0005-0000-0000-00004A430000}"/>
    <cellStyle name="Normal 2 6 11" xfId="5172" xr:uid="{00000000-0005-0000-0000-00004B430000}"/>
    <cellStyle name="Normal 2 6 11 2" xfId="5173" xr:uid="{00000000-0005-0000-0000-00004C430000}"/>
    <cellStyle name="Normal 2 6 11 2 2" xfId="11025" xr:uid="{00000000-0005-0000-0000-00004D430000}"/>
    <cellStyle name="Normal 2 6 11 2 2 2" xfId="34510" xr:uid="{00000000-0005-0000-0000-00004E430000}"/>
    <cellStyle name="Normal 2 6 11 2 2 3" xfId="25191" xr:uid="{00000000-0005-0000-0000-00004F430000}"/>
    <cellStyle name="Normal 2 6 11 2 2 4" xfId="48453" xr:uid="{00000000-0005-0000-0000-000050430000}"/>
    <cellStyle name="Normal 2 6 11 2 3" xfId="15756" xr:uid="{00000000-0005-0000-0000-000051430000}"/>
    <cellStyle name="Normal 2 6 11 2 3 2" xfId="29888" xr:uid="{00000000-0005-0000-0000-000052430000}"/>
    <cellStyle name="Normal 2 6 11 2 3 3" xfId="43783" xr:uid="{00000000-0005-0000-0000-000053430000}"/>
    <cellStyle name="Normal 2 6 11 2 4" xfId="20569" xr:uid="{00000000-0005-0000-0000-000054430000}"/>
    <cellStyle name="Normal 2 6 11 2 5" xfId="39201" xr:uid="{00000000-0005-0000-0000-000055430000}"/>
    <cellStyle name="Normal 2 6 11 3" xfId="11024" xr:uid="{00000000-0005-0000-0000-000056430000}"/>
    <cellStyle name="Normal 2 6 11 3 2" xfId="34509" xr:uid="{00000000-0005-0000-0000-000057430000}"/>
    <cellStyle name="Normal 2 6 11 3 3" xfId="25190" xr:uid="{00000000-0005-0000-0000-000058430000}"/>
    <cellStyle name="Normal 2 6 11 3 4" xfId="48452" xr:uid="{00000000-0005-0000-0000-000059430000}"/>
    <cellStyle name="Normal 2 6 11 4" xfId="15755" xr:uid="{00000000-0005-0000-0000-00005A430000}"/>
    <cellStyle name="Normal 2 6 11 4 2" xfId="29887" xr:uid="{00000000-0005-0000-0000-00005B430000}"/>
    <cellStyle name="Normal 2 6 11 4 3" xfId="43782" xr:uid="{00000000-0005-0000-0000-00005C430000}"/>
    <cellStyle name="Normal 2 6 11 5" xfId="20568" xr:uid="{00000000-0005-0000-0000-00005D430000}"/>
    <cellStyle name="Normal 2 6 11 6" xfId="39200" xr:uid="{00000000-0005-0000-0000-00005E430000}"/>
    <cellStyle name="Normal 2 6 12" xfId="5174" xr:uid="{00000000-0005-0000-0000-00005F430000}"/>
    <cellStyle name="Normal 2 6 12 2" xfId="5175" xr:uid="{00000000-0005-0000-0000-000060430000}"/>
    <cellStyle name="Normal 2 6 12 2 2" xfId="11027" xr:uid="{00000000-0005-0000-0000-000061430000}"/>
    <cellStyle name="Normal 2 6 12 2 2 2" xfId="34512" xr:uid="{00000000-0005-0000-0000-000062430000}"/>
    <cellStyle name="Normal 2 6 12 2 2 3" xfId="25193" xr:uid="{00000000-0005-0000-0000-000063430000}"/>
    <cellStyle name="Normal 2 6 12 2 2 4" xfId="48455" xr:uid="{00000000-0005-0000-0000-000064430000}"/>
    <cellStyle name="Normal 2 6 12 2 3" xfId="15758" xr:uid="{00000000-0005-0000-0000-000065430000}"/>
    <cellStyle name="Normal 2 6 12 2 3 2" xfId="29890" xr:uid="{00000000-0005-0000-0000-000066430000}"/>
    <cellStyle name="Normal 2 6 12 2 3 3" xfId="43785" xr:uid="{00000000-0005-0000-0000-000067430000}"/>
    <cellStyle name="Normal 2 6 12 2 4" xfId="20571" xr:uid="{00000000-0005-0000-0000-000068430000}"/>
    <cellStyle name="Normal 2 6 12 2 5" xfId="39203" xr:uid="{00000000-0005-0000-0000-000069430000}"/>
    <cellStyle name="Normal 2 6 12 3" xfId="11026" xr:uid="{00000000-0005-0000-0000-00006A430000}"/>
    <cellStyle name="Normal 2 6 12 3 2" xfId="34511" xr:uid="{00000000-0005-0000-0000-00006B430000}"/>
    <cellStyle name="Normal 2 6 12 3 3" xfId="25192" xr:uid="{00000000-0005-0000-0000-00006C430000}"/>
    <cellStyle name="Normal 2 6 12 3 4" xfId="48454" xr:uid="{00000000-0005-0000-0000-00006D430000}"/>
    <cellStyle name="Normal 2 6 12 4" xfId="15757" xr:uid="{00000000-0005-0000-0000-00006E430000}"/>
    <cellStyle name="Normal 2 6 12 4 2" xfId="29889" xr:uid="{00000000-0005-0000-0000-00006F430000}"/>
    <cellStyle name="Normal 2 6 12 4 3" xfId="43784" xr:uid="{00000000-0005-0000-0000-000070430000}"/>
    <cellStyle name="Normal 2 6 12 5" xfId="20570" xr:uid="{00000000-0005-0000-0000-000071430000}"/>
    <cellStyle name="Normal 2 6 12 6" xfId="39202" xr:uid="{00000000-0005-0000-0000-000072430000}"/>
    <cellStyle name="Normal 2 6 13" xfId="5176" xr:uid="{00000000-0005-0000-0000-000073430000}"/>
    <cellStyle name="Normal 2 6 13 2" xfId="5177" xr:uid="{00000000-0005-0000-0000-000074430000}"/>
    <cellStyle name="Normal 2 6 13 2 2" xfId="11029" xr:uid="{00000000-0005-0000-0000-000075430000}"/>
    <cellStyle name="Normal 2 6 13 2 2 2" xfId="34514" xr:uid="{00000000-0005-0000-0000-000076430000}"/>
    <cellStyle name="Normal 2 6 13 2 2 3" xfId="25195" xr:uid="{00000000-0005-0000-0000-000077430000}"/>
    <cellStyle name="Normal 2 6 13 2 2 4" xfId="48457" xr:uid="{00000000-0005-0000-0000-000078430000}"/>
    <cellStyle name="Normal 2 6 13 2 3" xfId="15760" xr:uid="{00000000-0005-0000-0000-000079430000}"/>
    <cellStyle name="Normal 2 6 13 2 3 2" xfId="29892" xr:uid="{00000000-0005-0000-0000-00007A430000}"/>
    <cellStyle name="Normal 2 6 13 2 3 3" xfId="43787" xr:uid="{00000000-0005-0000-0000-00007B430000}"/>
    <cellStyle name="Normal 2 6 13 2 4" xfId="20573" xr:uid="{00000000-0005-0000-0000-00007C430000}"/>
    <cellStyle name="Normal 2 6 13 2 5" xfId="39205" xr:uid="{00000000-0005-0000-0000-00007D430000}"/>
    <cellStyle name="Normal 2 6 13 3" xfId="11028" xr:uid="{00000000-0005-0000-0000-00007E430000}"/>
    <cellStyle name="Normal 2 6 13 3 2" xfId="34513" xr:uid="{00000000-0005-0000-0000-00007F430000}"/>
    <cellStyle name="Normal 2 6 13 3 3" xfId="25194" xr:uid="{00000000-0005-0000-0000-000080430000}"/>
    <cellStyle name="Normal 2 6 13 3 4" xfId="48456" xr:uid="{00000000-0005-0000-0000-000081430000}"/>
    <cellStyle name="Normal 2 6 13 4" xfId="15759" xr:uid="{00000000-0005-0000-0000-000082430000}"/>
    <cellStyle name="Normal 2 6 13 4 2" xfId="29891" xr:uid="{00000000-0005-0000-0000-000083430000}"/>
    <cellStyle name="Normal 2 6 13 4 3" xfId="43786" xr:uid="{00000000-0005-0000-0000-000084430000}"/>
    <cellStyle name="Normal 2 6 13 5" xfId="20572" xr:uid="{00000000-0005-0000-0000-000085430000}"/>
    <cellStyle name="Normal 2 6 13 6" xfId="39204" xr:uid="{00000000-0005-0000-0000-000086430000}"/>
    <cellStyle name="Normal 2 6 14" xfId="5178" xr:uid="{00000000-0005-0000-0000-000087430000}"/>
    <cellStyle name="Normal 2 6 14 2" xfId="5179" xr:uid="{00000000-0005-0000-0000-000088430000}"/>
    <cellStyle name="Normal 2 6 14 2 2" xfId="11031" xr:uid="{00000000-0005-0000-0000-000089430000}"/>
    <cellStyle name="Normal 2 6 14 2 2 2" xfId="34516" xr:uid="{00000000-0005-0000-0000-00008A430000}"/>
    <cellStyle name="Normal 2 6 14 2 2 3" xfId="25197" xr:uid="{00000000-0005-0000-0000-00008B430000}"/>
    <cellStyle name="Normal 2 6 14 2 2 4" xfId="48459" xr:uid="{00000000-0005-0000-0000-00008C430000}"/>
    <cellStyle name="Normal 2 6 14 2 3" xfId="15762" xr:uid="{00000000-0005-0000-0000-00008D430000}"/>
    <cellStyle name="Normal 2 6 14 2 3 2" xfId="29894" xr:uid="{00000000-0005-0000-0000-00008E430000}"/>
    <cellStyle name="Normal 2 6 14 2 3 3" xfId="43789" xr:uid="{00000000-0005-0000-0000-00008F430000}"/>
    <cellStyle name="Normal 2 6 14 2 4" xfId="20575" xr:uid="{00000000-0005-0000-0000-000090430000}"/>
    <cellStyle name="Normal 2 6 14 2 5" xfId="39207" xr:uid="{00000000-0005-0000-0000-000091430000}"/>
    <cellStyle name="Normal 2 6 14 3" xfId="11030" xr:uid="{00000000-0005-0000-0000-000092430000}"/>
    <cellStyle name="Normal 2 6 14 3 2" xfId="34515" xr:uid="{00000000-0005-0000-0000-000093430000}"/>
    <cellStyle name="Normal 2 6 14 3 3" xfId="25196" xr:uid="{00000000-0005-0000-0000-000094430000}"/>
    <cellStyle name="Normal 2 6 14 3 4" xfId="48458" xr:uid="{00000000-0005-0000-0000-000095430000}"/>
    <cellStyle name="Normal 2 6 14 4" xfId="15761" xr:uid="{00000000-0005-0000-0000-000096430000}"/>
    <cellStyle name="Normal 2 6 14 4 2" xfId="29893" xr:uid="{00000000-0005-0000-0000-000097430000}"/>
    <cellStyle name="Normal 2 6 14 4 3" xfId="43788" xr:uid="{00000000-0005-0000-0000-000098430000}"/>
    <cellStyle name="Normal 2 6 14 5" xfId="20574" xr:uid="{00000000-0005-0000-0000-000099430000}"/>
    <cellStyle name="Normal 2 6 14 6" xfId="39206" xr:uid="{00000000-0005-0000-0000-00009A430000}"/>
    <cellStyle name="Normal 2 6 15" xfId="5180" xr:uid="{00000000-0005-0000-0000-00009B430000}"/>
    <cellStyle name="Normal 2 6 15 2" xfId="5181" xr:uid="{00000000-0005-0000-0000-00009C430000}"/>
    <cellStyle name="Normal 2 6 15 2 2" xfId="11033" xr:uid="{00000000-0005-0000-0000-00009D430000}"/>
    <cellStyle name="Normal 2 6 15 2 2 2" xfId="34518" xr:uid="{00000000-0005-0000-0000-00009E430000}"/>
    <cellStyle name="Normal 2 6 15 2 2 3" xfId="25199" xr:uid="{00000000-0005-0000-0000-00009F430000}"/>
    <cellStyle name="Normal 2 6 15 2 2 4" xfId="48461" xr:uid="{00000000-0005-0000-0000-0000A0430000}"/>
    <cellStyle name="Normal 2 6 15 2 3" xfId="15764" xr:uid="{00000000-0005-0000-0000-0000A1430000}"/>
    <cellStyle name="Normal 2 6 15 2 3 2" xfId="29896" xr:uid="{00000000-0005-0000-0000-0000A2430000}"/>
    <cellStyle name="Normal 2 6 15 2 3 3" xfId="43791" xr:uid="{00000000-0005-0000-0000-0000A3430000}"/>
    <cellStyle name="Normal 2 6 15 2 4" xfId="20577" xr:uid="{00000000-0005-0000-0000-0000A4430000}"/>
    <cellStyle name="Normal 2 6 15 2 5" xfId="39209" xr:uid="{00000000-0005-0000-0000-0000A5430000}"/>
    <cellStyle name="Normal 2 6 15 3" xfId="11032" xr:uid="{00000000-0005-0000-0000-0000A6430000}"/>
    <cellStyle name="Normal 2 6 15 3 2" xfId="34517" xr:uid="{00000000-0005-0000-0000-0000A7430000}"/>
    <cellStyle name="Normal 2 6 15 3 3" xfId="25198" xr:uid="{00000000-0005-0000-0000-0000A8430000}"/>
    <cellStyle name="Normal 2 6 15 3 4" xfId="48460" xr:uid="{00000000-0005-0000-0000-0000A9430000}"/>
    <cellStyle name="Normal 2 6 15 4" xfId="15763" xr:uid="{00000000-0005-0000-0000-0000AA430000}"/>
    <cellStyle name="Normal 2 6 15 4 2" xfId="29895" xr:uid="{00000000-0005-0000-0000-0000AB430000}"/>
    <cellStyle name="Normal 2 6 15 4 3" xfId="43790" xr:uid="{00000000-0005-0000-0000-0000AC430000}"/>
    <cellStyle name="Normal 2 6 15 5" xfId="20576" xr:uid="{00000000-0005-0000-0000-0000AD430000}"/>
    <cellStyle name="Normal 2 6 15 6" xfId="39208" xr:uid="{00000000-0005-0000-0000-0000AE430000}"/>
    <cellStyle name="Normal 2 6 16" xfId="5182" xr:uid="{00000000-0005-0000-0000-0000AF430000}"/>
    <cellStyle name="Normal 2 6 16 2" xfId="5183" xr:uid="{00000000-0005-0000-0000-0000B0430000}"/>
    <cellStyle name="Normal 2 6 16 2 2" xfId="11035" xr:uid="{00000000-0005-0000-0000-0000B1430000}"/>
    <cellStyle name="Normal 2 6 16 2 2 2" xfId="34520" xr:uid="{00000000-0005-0000-0000-0000B2430000}"/>
    <cellStyle name="Normal 2 6 16 2 2 3" xfId="25201" xr:uid="{00000000-0005-0000-0000-0000B3430000}"/>
    <cellStyle name="Normal 2 6 16 2 2 4" xfId="48463" xr:uid="{00000000-0005-0000-0000-0000B4430000}"/>
    <cellStyle name="Normal 2 6 16 2 3" xfId="15766" xr:uid="{00000000-0005-0000-0000-0000B5430000}"/>
    <cellStyle name="Normal 2 6 16 2 3 2" xfId="29898" xr:uid="{00000000-0005-0000-0000-0000B6430000}"/>
    <cellStyle name="Normal 2 6 16 2 3 3" xfId="43793" xr:uid="{00000000-0005-0000-0000-0000B7430000}"/>
    <cellStyle name="Normal 2 6 16 2 4" xfId="20579" xr:uid="{00000000-0005-0000-0000-0000B8430000}"/>
    <cellStyle name="Normal 2 6 16 2 5" xfId="39211" xr:uid="{00000000-0005-0000-0000-0000B9430000}"/>
    <cellStyle name="Normal 2 6 16 3" xfId="11034" xr:uid="{00000000-0005-0000-0000-0000BA430000}"/>
    <cellStyle name="Normal 2 6 16 3 2" xfId="34519" xr:uid="{00000000-0005-0000-0000-0000BB430000}"/>
    <cellStyle name="Normal 2 6 16 3 3" xfId="25200" xr:uid="{00000000-0005-0000-0000-0000BC430000}"/>
    <cellStyle name="Normal 2 6 16 3 4" xfId="48462" xr:uid="{00000000-0005-0000-0000-0000BD430000}"/>
    <cellStyle name="Normal 2 6 16 4" xfId="15765" xr:uid="{00000000-0005-0000-0000-0000BE430000}"/>
    <cellStyle name="Normal 2 6 16 4 2" xfId="29897" xr:uid="{00000000-0005-0000-0000-0000BF430000}"/>
    <cellStyle name="Normal 2 6 16 4 3" xfId="43792" xr:uid="{00000000-0005-0000-0000-0000C0430000}"/>
    <cellStyle name="Normal 2 6 16 5" xfId="20578" xr:uid="{00000000-0005-0000-0000-0000C1430000}"/>
    <cellStyle name="Normal 2 6 16 6" xfId="39210" xr:uid="{00000000-0005-0000-0000-0000C2430000}"/>
    <cellStyle name="Normal 2 6 17" xfId="5184" xr:uid="{00000000-0005-0000-0000-0000C3430000}"/>
    <cellStyle name="Normal 2 6 17 2" xfId="5185" xr:uid="{00000000-0005-0000-0000-0000C4430000}"/>
    <cellStyle name="Normal 2 6 17 2 2" xfId="11037" xr:uid="{00000000-0005-0000-0000-0000C5430000}"/>
    <cellStyle name="Normal 2 6 17 2 2 2" xfId="34522" xr:uid="{00000000-0005-0000-0000-0000C6430000}"/>
    <cellStyle name="Normal 2 6 17 2 2 3" xfId="25203" xr:uid="{00000000-0005-0000-0000-0000C7430000}"/>
    <cellStyle name="Normal 2 6 17 2 2 4" xfId="48465" xr:uid="{00000000-0005-0000-0000-0000C8430000}"/>
    <cellStyle name="Normal 2 6 17 2 3" xfId="15768" xr:uid="{00000000-0005-0000-0000-0000C9430000}"/>
    <cellStyle name="Normal 2 6 17 2 3 2" xfId="29900" xr:uid="{00000000-0005-0000-0000-0000CA430000}"/>
    <cellStyle name="Normal 2 6 17 2 3 3" xfId="43795" xr:uid="{00000000-0005-0000-0000-0000CB430000}"/>
    <cellStyle name="Normal 2 6 17 2 4" xfId="20581" xr:uid="{00000000-0005-0000-0000-0000CC430000}"/>
    <cellStyle name="Normal 2 6 17 2 5" xfId="39213" xr:uid="{00000000-0005-0000-0000-0000CD430000}"/>
    <cellStyle name="Normal 2 6 17 3" xfId="11036" xr:uid="{00000000-0005-0000-0000-0000CE430000}"/>
    <cellStyle name="Normal 2 6 17 3 2" xfId="34521" xr:uid="{00000000-0005-0000-0000-0000CF430000}"/>
    <cellStyle name="Normal 2 6 17 3 3" xfId="25202" xr:uid="{00000000-0005-0000-0000-0000D0430000}"/>
    <cellStyle name="Normal 2 6 17 3 4" xfId="48464" xr:uid="{00000000-0005-0000-0000-0000D1430000}"/>
    <cellStyle name="Normal 2 6 17 4" xfId="15767" xr:uid="{00000000-0005-0000-0000-0000D2430000}"/>
    <cellStyle name="Normal 2 6 17 4 2" xfId="29899" xr:uid="{00000000-0005-0000-0000-0000D3430000}"/>
    <cellStyle name="Normal 2 6 17 4 3" xfId="43794" xr:uid="{00000000-0005-0000-0000-0000D4430000}"/>
    <cellStyle name="Normal 2 6 17 5" xfId="20580" xr:uid="{00000000-0005-0000-0000-0000D5430000}"/>
    <cellStyle name="Normal 2 6 17 6" xfId="39212" xr:uid="{00000000-0005-0000-0000-0000D6430000}"/>
    <cellStyle name="Normal 2 6 18" xfId="5186" xr:uid="{00000000-0005-0000-0000-0000D7430000}"/>
    <cellStyle name="Normal 2 6 18 2" xfId="5187" xr:uid="{00000000-0005-0000-0000-0000D8430000}"/>
    <cellStyle name="Normal 2 6 18 2 2" xfId="11039" xr:uid="{00000000-0005-0000-0000-0000D9430000}"/>
    <cellStyle name="Normal 2 6 18 2 2 2" xfId="34524" xr:uid="{00000000-0005-0000-0000-0000DA430000}"/>
    <cellStyle name="Normal 2 6 18 2 2 3" xfId="25205" xr:uid="{00000000-0005-0000-0000-0000DB430000}"/>
    <cellStyle name="Normal 2 6 18 2 2 4" xfId="48467" xr:uid="{00000000-0005-0000-0000-0000DC430000}"/>
    <cellStyle name="Normal 2 6 18 2 3" xfId="15770" xr:uid="{00000000-0005-0000-0000-0000DD430000}"/>
    <cellStyle name="Normal 2 6 18 2 3 2" xfId="29902" xr:uid="{00000000-0005-0000-0000-0000DE430000}"/>
    <cellStyle name="Normal 2 6 18 2 3 3" xfId="43797" xr:uid="{00000000-0005-0000-0000-0000DF430000}"/>
    <cellStyle name="Normal 2 6 18 2 4" xfId="20583" xr:uid="{00000000-0005-0000-0000-0000E0430000}"/>
    <cellStyle name="Normal 2 6 18 2 5" xfId="39215" xr:uid="{00000000-0005-0000-0000-0000E1430000}"/>
    <cellStyle name="Normal 2 6 18 3" xfId="11038" xr:uid="{00000000-0005-0000-0000-0000E2430000}"/>
    <cellStyle name="Normal 2 6 18 3 2" xfId="34523" xr:uid="{00000000-0005-0000-0000-0000E3430000}"/>
    <cellStyle name="Normal 2 6 18 3 3" xfId="25204" xr:uid="{00000000-0005-0000-0000-0000E4430000}"/>
    <cellStyle name="Normal 2 6 18 3 4" xfId="48466" xr:uid="{00000000-0005-0000-0000-0000E5430000}"/>
    <cellStyle name="Normal 2 6 18 4" xfId="15769" xr:uid="{00000000-0005-0000-0000-0000E6430000}"/>
    <cellStyle name="Normal 2 6 18 4 2" xfId="29901" xr:uid="{00000000-0005-0000-0000-0000E7430000}"/>
    <cellStyle name="Normal 2 6 18 4 3" xfId="43796" xr:uid="{00000000-0005-0000-0000-0000E8430000}"/>
    <cellStyle name="Normal 2 6 18 5" xfId="20582" xr:uid="{00000000-0005-0000-0000-0000E9430000}"/>
    <cellStyle name="Normal 2 6 18 6" xfId="39214" xr:uid="{00000000-0005-0000-0000-0000EA430000}"/>
    <cellStyle name="Normal 2 6 19" xfId="5188" xr:uid="{00000000-0005-0000-0000-0000EB430000}"/>
    <cellStyle name="Normal 2 6 19 2" xfId="5189" xr:uid="{00000000-0005-0000-0000-0000EC430000}"/>
    <cellStyle name="Normal 2 6 19 2 2" xfId="11041" xr:uid="{00000000-0005-0000-0000-0000ED430000}"/>
    <cellStyle name="Normal 2 6 19 2 2 2" xfId="34526" xr:uid="{00000000-0005-0000-0000-0000EE430000}"/>
    <cellStyle name="Normal 2 6 19 2 2 3" xfId="25207" xr:uid="{00000000-0005-0000-0000-0000EF430000}"/>
    <cellStyle name="Normal 2 6 19 2 2 4" xfId="48469" xr:uid="{00000000-0005-0000-0000-0000F0430000}"/>
    <cellStyle name="Normal 2 6 19 2 3" xfId="15772" xr:uid="{00000000-0005-0000-0000-0000F1430000}"/>
    <cellStyle name="Normal 2 6 19 2 3 2" xfId="29904" xr:uid="{00000000-0005-0000-0000-0000F2430000}"/>
    <cellStyle name="Normal 2 6 19 2 3 3" xfId="43799" xr:uid="{00000000-0005-0000-0000-0000F3430000}"/>
    <cellStyle name="Normal 2 6 19 2 4" xfId="20585" xr:uid="{00000000-0005-0000-0000-0000F4430000}"/>
    <cellStyle name="Normal 2 6 19 2 5" xfId="39217" xr:uid="{00000000-0005-0000-0000-0000F5430000}"/>
    <cellStyle name="Normal 2 6 19 3" xfId="11040" xr:uid="{00000000-0005-0000-0000-0000F6430000}"/>
    <cellStyle name="Normal 2 6 19 3 2" xfId="34525" xr:uid="{00000000-0005-0000-0000-0000F7430000}"/>
    <cellStyle name="Normal 2 6 19 3 3" xfId="25206" xr:uid="{00000000-0005-0000-0000-0000F8430000}"/>
    <cellStyle name="Normal 2 6 19 3 4" xfId="48468" xr:uid="{00000000-0005-0000-0000-0000F9430000}"/>
    <cellStyle name="Normal 2 6 19 4" xfId="15771" xr:uid="{00000000-0005-0000-0000-0000FA430000}"/>
    <cellStyle name="Normal 2 6 19 4 2" xfId="29903" xr:uid="{00000000-0005-0000-0000-0000FB430000}"/>
    <cellStyle name="Normal 2 6 19 4 3" xfId="43798" xr:uid="{00000000-0005-0000-0000-0000FC430000}"/>
    <cellStyle name="Normal 2 6 19 5" xfId="20584" xr:uid="{00000000-0005-0000-0000-0000FD430000}"/>
    <cellStyle name="Normal 2 6 19 6" xfId="39216" xr:uid="{00000000-0005-0000-0000-0000FE430000}"/>
    <cellStyle name="Normal 2 6 2" xfId="5190" xr:uid="{00000000-0005-0000-0000-0000FF430000}"/>
    <cellStyle name="Normal 2 6 2 2" xfId="5191" xr:uid="{00000000-0005-0000-0000-000000440000}"/>
    <cellStyle name="Normal 2 6 2 2 2" xfId="11043" xr:uid="{00000000-0005-0000-0000-000001440000}"/>
    <cellStyle name="Normal 2 6 2 2 2 2" xfId="34528" xr:uid="{00000000-0005-0000-0000-000002440000}"/>
    <cellStyle name="Normal 2 6 2 2 2 3" xfId="25209" xr:uid="{00000000-0005-0000-0000-000003440000}"/>
    <cellStyle name="Normal 2 6 2 2 2 4" xfId="48471" xr:uid="{00000000-0005-0000-0000-000004440000}"/>
    <cellStyle name="Normal 2 6 2 2 3" xfId="15774" xr:uid="{00000000-0005-0000-0000-000005440000}"/>
    <cellStyle name="Normal 2 6 2 2 3 2" xfId="29906" xr:uid="{00000000-0005-0000-0000-000006440000}"/>
    <cellStyle name="Normal 2 6 2 2 3 3" xfId="43801" xr:uid="{00000000-0005-0000-0000-000007440000}"/>
    <cellStyle name="Normal 2 6 2 2 4" xfId="20587" xr:uid="{00000000-0005-0000-0000-000008440000}"/>
    <cellStyle name="Normal 2 6 2 2 5" xfId="39219" xr:uid="{00000000-0005-0000-0000-000009440000}"/>
    <cellStyle name="Normal 2 6 2 3" xfId="11042" xr:uid="{00000000-0005-0000-0000-00000A440000}"/>
    <cellStyle name="Normal 2 6 2 3 2" xfId="34527" xr:uid="{00000000-0005-0000-0000-00000B440000}"/>
    <cellStyle name="Normal 2 6 2 3 3" xfId="25208" xr:uid="{00000000-0005-0000-0000-00000C440000}"/>
    <cellStyle name="Normal 2 6 2 3 4" xfId="48470" xr:uid="{00000000-0005-0000-0000-00000D440000}"/>
    <cellStyle name="Normal 2 6 2 4" xfId="15773" xr:uid="{00000000-0005-0000-0000-00000E440000}"/>
    <cellStyle name="Normal 2 6 2 4 2" xfId="29905" xr:uid="{00000000-0005-0000-0000-00000F440000}"/>
    <cellStyle name="Normal 2 6 2 4 3" xfId="43800" xr:uid="{00000000-0005-0000-0000-000010440000}"/>
    <cellStyle name="Normal 2 6 2 5" xfId="20586" xr:uid="{00000000-0005-0000-0000-000011440000}"/>
    <cellStyle name="Normal 2 6 2 6" xfId="39218" xr:uid="{00000000-0005-0000-0000-000012440000}"/>
    <cellStyle name="Normal 2 6 20" xfId="5192" xr:uid="{00000000-0005-0000-0000-000013440000}"/>
    <cellStyle name="Normal 2 6 20 2" xfId="5193" xr:uid="{00000000-0005-0000-0000-000014440000}"/>
    <cellStyle name="Normal 2 6 20 2 2" xfId="11045" xr:uid="{00000000-0005-0000-0000-000015440000}"/>
    <cellStyle name="Normal 2 6 20 2 2 2" xfId="34530" xr:uid="{00000000-0005-0000-0000-000016440000}"/>
    <cellStyle name="Normal 2 6 20 2 2 3" xfId="25211" xr:uid="{00000000-0005-0000-0000-000017440000}"/>
    <cellStyle name="Normal 2 6 20 2 2 4" xfId="48473" xr:uid="{00000000-0005-0000-0000-000018440000}"/>
    <cellStyle name="Normal 2 6 20 2 3" xfId="15776" xr:uid="{00000000-0005-0000-0000-000019440000}"/>
    <cellStyle name="Normal 2 6 20 2 3 2" xfId="29908" xr:uid="{00000000-0005-0000-0000-00001A440000}"/>
    <cellStyle name="Normal 2 6 20 2 3 3" xfId="43803" xr:uid="{00000000-0005-0000-0000-00001B440000}"/>
    <cellStyle name="Normal 2 6 20 2 4" xfId="20589" xr:uid="{00000000-0005-0000-0000-00001C440000}"/>
    <cellStyle name="Normal 2 6 20 2 5" xfId="39221" xr:uid="{00000000-0005-0000-0000-00001D440000}"/>
    <cellStyle name="Normal 2 6 20 3" xfId="11044" xr:uid="{00000000-0005-0000-0000-00001E440000}"/>
    <cellStyle name="Normal 2 6 20 3 2" xfId="34529" xr:uid="{00000000-0005-0000-0000-00001F440000}"/>
    <cellStyle name="Normal 2 6 20 3 3" xfId="25210" xr:uid="{00000000-0005-0000-0000-000020440000}"/>
    <cellStyle name="Normal 2 6 20 3 4" xfId="48472" xr:uid="{00000000-0005-0000-0000-000021440000}"/>
    <cellStyle name="Normal 2 6 20 4" xfId="15775" xr:uid="{00000000-0005-0000-0000-000022440000}"/>
    <cellStyle name="Normal 2 6 20 4 2" xfId="29907" xr:uid="{00000000-0005-0000-0000-000023440000}"/>
    <cellStyle name="Normal 2 6 20 4 3" xfId="43802" xr:uid="{00000000-0005-0000-0000-000024440000}"/>
    <cellStyle name="Normal 2 6 20 5" xfId="20588" xr:uid="{00000000-0005-0000-0000-000025440000}"/>
    <cellStyle name="Normal 2 6 20 6" xfId="39220" xr:uid="{00000000-0005-0000-0000-000026440000}"/>
    <cellStyle name="Normal 2 6 21" xfId="5194" xr:uid="{00000000-0005-0000-0000-000027440000}"/>
    <cellStyle name="Normal 2 6 21 2" xfId="5195" xr:uid="{00000000-0005-0000-0000-000028440000}"/>
    <cellStyle name="Normal 2 6 21 2 2" xfId="11047" xr:uid="{00000000-0005-0000-0000-000029440000}"/>
    <cellStyle name="Normal 2 6 21 2 2 2" xfId="34532" xr:uid="{00000000-0005-0000-0000-00002A440000}"/>
    <cellStyle name="Normal 2 6 21 2 2 3" xfId="25213" xr:uid="{00000000-0005-0000-0000-00002B440000}"/>
    <cellStyle name="Normal 2 6 21 2 2 4" xfId="48475" xr:uid="{00000000-0005-0000-0000-00002C440000}"/>
    <cellStyle name="Normal 2 6 21 2 3" xfId="15778" xr:uid="{00000000-0005-0000-0000-00002D440000}"/>
    <cellStyle name="Normal 2 6 21 2 3 2" xfId="29910" xr:uid="{00000000-0005-0000-0000-00002E440000}"/>
    <cellStyle name="Normal 2 6 21 2 3 3" xfId="43805" xr:uid="{00000000-0005-0000-0000-00002F440000}"/>
    <cellStyle name="Normal 2 6 21 2 4" xfId="20591" xr:uid="{00000000-0005-0000-0000-000030440000}"/>
    <cellStyle name="Normal 2 6 21 2 5" xfId="39223" xr:uid="{00000000-0005-0000-0000-000031440000}"/>
    <cellStyle name="Normal 2 6 21 3" xfId="11046" xr:uid="{00000000-0005-0000-0000-000032440000}"/>
    <cellStyle name="Normal 2 6 21 3 2" xfId="34531" xr:uid="{00000000-0005-0000-0000-000033440000}"/>
    <cellStyle name="Normal 2 6 21 3 3" xfId="25212" xr:uid="{00000000-0005-0000-0000-000034440000}"/>
    <cellStyle name="Normal 2 6 21 3 4" xfId="48474" xr:uid="{00000000-0005-0000-0000-000035440000}"/>
    <cellStyle name="Normal 2 6 21 4" xfId="15777" xr:uid="{00000000-0005-0000-0000-000036440000}"/>
    <cellStyle name="Normal 2 6 21 4 2" xfId="29909" xr:uid="{00000000-0005-0000-0000-000037440000}"/>
    <cellStyle name="Normal 2 6 21 4 3" xfId="43804" xr:uid="{00000000-0005-0000-0000-000038440000}"/>
    <cellStyle name="Normal 2 6 21 5" xfId="20590" xr:uid="{00000000-0005-0000-0000-000039440000}"/>
    <cellStyle name="Normal 2 6 21 6" xfId="39222" xr:uid="{00000000-0005-0000-0000-00003A440000}"/>
    <cellStyle name="Normal 2 6 22" xfId="5196" xr:uid="{00000000-0005-0000-0000-00003B440000}"/>
    <cellStyle name="Normal 2 6 22 2" xfId="5197" xr:uid="{00000000-0005-0000-0000-00003C440000}"/>
    <cellStyle name="Normal 2 6 22 2 2" xfId="11049" xr:uid="{00000000-0005-0000-0000-00003D440000}"/>
    <cellStyle name="Normal 2 6 22 2 2 2" xfId="34534" xr:uid="{00000000-0005-0000-0000-00003E440000}"/>
    <cellStyle name="Normal 2 6 22 2 2 3" xfId="25215" xr:uid="{00000000-0005-0000-0000-00003F440000}"/>
    <cellStyle name="Normal 2 6 22 2 2 4" xfId="48477" xr:uid="{00000000-0005-0000-0000-000040440000}"/>
    <cellStyle name="Normal 2 6 22 2 3" xfId="15780" xr:uid="{00000000-0005-0000-0000-000041440000}"/>
    <cellStyle name="Normal 2 6 22 2 3 2" xfId="29912" xr:uid="{00000000-0005-0000-0000-000042440000}"/>
    <cellStyle name="Normal 2 6 22 2 3 3" xfId="43807" xr:uid="{00000000-0005-0000-0000-000043440000}"/>
    <cellStyle name="Normal 2 6 22 2 4" xfId="20593" xr:uid="{00000000-0005-0000-0000-000044440000}"/>
    <cellStyle name="Normal 2 6 22 2 5" xfId="39225" xr:uid="{00000000-0005-0000-0000-000045440000}"/>
    <cellStyle name="Normal 2 6 22 3" xfId="11048" xr:uid="{00000000-0005-0000-0000-000046440000}"/>
    <cellStyle name="Normal 2 6 22 3 2" xfId="34533" xr:uid="{00000000-0005-0000-0000-000047440000}"/>
    <cellStyle name="Normal 2 6 22 3 3" xfId="25214" xr:uid="{00000000-0005-0000-0000-000048440000}"/>
    <cellStyle name="Normal 2 6 22 3 4" xfId="48476" xr:uid="{00000000-0005-0000-0000-000049440000}"/>
    <cellStyle name="Normal 2 6 22 4" xfId="15779" xr:uid="{00000000-0005-0000-0000-00004A440000}"/>
    <cellStyle name="Normal 2 6 22 4 2" xfId="29911" xr:uid="{00000000-0005-0000-0000-00004B440000}"/>
    <cellStyle name="Normal 2 6 22 4 3" xfId="43806" xr:uid="{00000000-0005-0000-0000-00004C440000}"/>
    <cellStyle name="Normal 2 6 22 5" xfId="20592" xr:uid="{00000000-0005-0000-0000-00004D440000}"/>
    <cellStyle name="Normal 2 6 22 6" xfId="39224" xr:uid="{00000000-0005-0000-0000-00004E440000}"/>
    <cellStyle name="Normal 2 6 23" xfId="5198" xr:uid="{00000000-0005-0000-0000-00004F440000}"/>
    <cellStyle name="Normal 2 6 23 2" xfId="5199" xr:uid="{00000000-0005-0000-0000-000050440000}"/>
    <cellStyle name="Normal 2 6 23 2 2" xfId="11051" xr:uid="{00000000-0005-0000-0000-000051440000}"/>
    <cellStyle name="Normal 2 6 23 2 2 2" xfId="34536" xr:uid="{00000000-0005-0000-0000-000052440000}"/>
    <cellStyle name="Normal 2 6 23 2 2 3" xfId="25217" xr:uid="{00000000-0005-0000-0000-000053440000}"/>
    <cellStyle name="Normal 2 6 23 2 2 4" xfId="48479" xr:uid="{00000000-0005-0000-0000-000054440000}"/>
    <cellStyle name="Normal 2 6 23 2 3" xfId="15782" xr:uid="{00000000-0005-0000-0000-000055440000}"/>
    <cellStyle name="Normal 2 6 23 2 3 2" xfId="29914" xr:uid="{00000000-0005-0000-0000-000056440000}"/>
    <cellStyle name="Normal 2 6 23 2 3 3" xfId="43809" xr:uid="{00000000-0005-0000-0000-000057440000}"/>
    <cellStyle name="Normal 2 6 23 2 4" xfId="20595" xr:uid="{00000000-0005-0000-0000-000058440000}"/>
    <cellStyle name="Normal 2 6 23 2 5" xfId="39227" xr:uid="{00000000-0005-0000-0000-000059440000}"/>
    <cellStyle name="Normal 2 6 23 3" xfId="11050" xr:uid="{00000000-0005-0000-0000-00005A440000}"/>
    <cellStyle name="Normal 2 6 23 3 2" xfId="34535" xr:uid="{00000000-0005-0000-0000-00005B440000}"/>
    <cellStyle name="Normal 2 6 23 3 3" xfId="25216" xr:uid="{00000000-0005-0000-0000-00005C440000}"/>
    <cellStyle name="Normal 2 6 23 3 4" xfId="48478" xr:uid="{00000000-0005-0000-0000-00005D440000}"/>
    <cellStyle name="Normal 2 6 23 4" xfId="15781" xr:uid="{00000000-0005-0000-0000-00005E440000}"/>
    <cellStyle name="Normal 2 6 23 4 2" xfId="29913" xr:uid="{00000000-0005-0000-0000-00005F440000}"/>
    <cellStyle name="Normal 2 6 23 4 3" xfId="43808" xr:uid="{00000000-0005-0000-0000-000060440000}"/>
    <cellStyle name="Normal 2 6 23 5" xfId="20594" xr:uid="{00000000-0005-0000-0000-000061440000}"/>
    <cellStyle name="Normal 2 6 23 6" xfId="39226" xr:uid="{00000000-0005-0000-0000-000062440000}"/>
    <cellStyle name="Normal 2 6 24" xfId="5200" xr:uid="{00000000-0005-0000-0000-000063440000}"/>
    <cellStyle name="Normal 2 6 24 2" xfId="11052" xr:uid="{00000000-0005-0000-0000-000064440000}"/>
    <cellStyle name="Normal 2 6 24 2 2" xfId="34537" xr:uid="{00000000-0005-0000-0000-000065440000}"/>
    <cellStyle name="Normal 2 6 24 2 3" xfId="25218" xr:uid="{00000000-0005-0000-0000-000066440000}"/>
    <cellStyle name="Normal 2 6 24 2 4" xfId="48480" xr:uid="{00000000-0005-0000-0000-000067440000}"/>
    <cellStyle name="Normal 2 6 24 3" xfId="15783" xr:uid="{00000000-0005-0000-0000-000068440000}"/>
    <cellStyle name="Normal 2 6 24 3 2" xfId="29915" xr:uid="{00000000-0005-0000-0000-000069440000}"/>
    <cellStyle name="Normal 2 6 24 3 3" xfId="43810" xr:uid="{00000000-0005-0000-0000-00006A440000}"/>
    <cellStyle name="Normal 2 6 24 4" xfId="20596" xr:uid="{00000000-0005-0000-0000-00006B440000}"/>
    <cellStyle name="Normal 2 6 24 5" xfId="39228" xr:uid="{00000000-0005-0000-0000-00006C440000}"/>
    <cellStyle name="Normal 2 6 25" xfId="11021" xr:uid="{00000000-0005-0000-0000-00006D440000}"/>
    <cellStyle name="Normal 2 6 25 2" xfId="34506" xr:uid="{00000000-0005-0000-0000-00006E440000}"/>
    <cellStyle name="Normal 2 6 25 3" xfId="25187" xr:uid="{00000000-0005-0000-0000-00006F440000}"/>
    <cellStyle name="Normal 2 6 25 4" xfId="48449" xr:uid="{00000000-0005-0000-0000-000070440000}"/>
    <cellStyle name="Normal 2 6 26" xfId="15752" xr:uid="{00000000-0005-0000-0000-000071440000}"/>
    <cellStyle name="Normal 2 6 26 2" xfId="29884" xr:uid="{00000000-0005-0000-0000-000072440000}"/>
    <cellStyle name="Normal 2 6 26 3" xfId="43779" xr:uid="{00000000-0005-0000-0000-000073440000}"/>
    <cellStyle name="Normal 2 6 27" xfId="20565" xr:uid="{00000000-0005-0000-0000-000074440000}"/>
    <cellStyle name="Normal 2 6 28" xfId="39197" xr:uid="{00000000-0005-0000-0000-000075440000}"/>
    <cellStyle name="Normal 2 6 3" xfId="5201" xr:uid="{00000000-0005-0000-0000-000076440000}"/>
    <cellStyle name="Normal 2 6 3 2" xfId="5202" xr:uid="{00000000-0005-0000-0000-000077440000}"/>
    <cellStyle name="Normal 2 6 3 2 2" xfId="11054" xr:uid="{00000000-0005-0000-0000-000078440000}"/>
    <cellStyle name="Normal 2 6 3 2 2 2" xfId="34539" xr:uid="{00000000-0005-0000-0000-000079440000}"/>
    <cellStyle name="Normal 2 6 3 2 2 3" xfId="25220" xr:uid="{00000000-0005-0000-0000-00007A440000}"/>
    <cellStyle name="Normal 2 6 3 2 2 4" xfId="48482" xr:uid="{00000000-0005-0000-0000-00007B440000}"/>
    <cellStyle name="Normal 2 6 3 2 3" xfId="15785" xr:uid="{00000000-0005-0000-0000-00007C440000}"/>
    <cellStyle name="Normal 2 6 3 2 3 2" xfId="29917" xr:uid="{00000000-0005-0000-0000-00007D440000}"/>
    <cellStyle name="Normal 2 6 3 2 3 3" xfId="43812" xr:uid="{00000000-0005-0000-0000-00007E440000}"/>
    <cellStyle name="Normal 2 6 3 2 4" xfId="20598" xr:uid="{00000000-0005-0000-0000-00007F440000}"/>
    <cellStyle name="Normal 2 6 3 2 5" xfId="39230" xr:uid="{00000000-0005-0000-0000-000080440000}"/>
    <cellStyle name="Normal 2 6 3 3" xfId="11053" xr:uid="{00000000-0005-0000-0000-000081440000}"/>
    <cellStyle name="Normal 2 6 3 3 2" xfId="34538" xr:uid="{00000000-0005-0000-0000-000082440000}"/>
    <cellStyle name="Normal 2 6 3 3 3" xfId="25219" xr:uid="{00000000-0005-0000-0000-000083440000}"/>
    <cellStyle name="Normal 2 6 3 3 4" xfId="48481" xr:uid="{00000000-0005-0000-0000-000084440000}"/>
    <cellStyle name="Normal 2 6 3 4" xfId="15784" xr:uid="{00000000-0005-0000-0000-000085440000}"/>
    <cellStyle name="Normal 2 6 3 4 2" xfId="29916" xr:uid="{00000000-0005-0000-0000-000086440000}"/>
    <cellStyle name="Normal 2 6 3 4 3" xfId="43811" xr:uid="{00000000-0005-0000-0000-000087440000}"/>
    <cellStyle name="Normal 2 6 3 5" xfId="20597" xr:uid="{00000000-0005-0000-0000-000088440000}"/>
    <cellStyle name="Normal 2 6 3 6" xfId="39229" xr:uid="{00000000-0005-0000-0000-000089440000}"/>
    <cellStyle name="Normal 2 6 4" xfId="5203" xr:uid="{00000000-0005-0000-0000-00008A440000}"/>
    <cellStyle name="Normal 2 6 4 2" xfId="5204" xr:uid="{00000000-0005-0000-0000-00008B440000}"/>
    <cellStyle name="Normal 2 6 4 2 2" xfId="11056" xr:uid="{00000000-0005-0000-0000-00008C440000}"/>
    <cellStyle name="Normal 2 6 4 2 2 2" xfId="34541" xr:uid="{00000000-0005-0000-0000-00008D440000}"/>
    <cellStyle name="Normal 2 6 4 2 2 3" xfId="25222" xr:uid="{00000000-0005-0000-0000-00008E440000}"/>
    <cellStyle name="Normal 2 6 4 2 2 4" xfId="48484" xr:uid="{00000000-0005-0000-0000-00008F440000}"/>
    <cellStyle name="Normal 2 6 4 2 3" xfId="15787" xr:uid="{00000000-0005-0000-0000-000090440000}"/>
    <cellStyle name="Normal 2 6 4 2 3 2" xfId="29919" xr:uid="{00000000-0005-0000-0000-000091440000}"/>
    <cellStyle name="Normal 2 6 4 2 3 3" xfId="43814" xr:uid="{00000000-0005-0000-0000-000092440000}"/>
    <cellStyle name="Normal 2 6 4 2 4" xfId="20600" xr:uid="{00000000-0005-0000-0000-000093440000}"/>
    <cellStyle name="Normal 2 6 4 2 5" xfId="39232" xr:uid="{00000000-0005-0000-0000-000094440000}"/>
    <cellStyle name="Normal 2 6 4 3" xfId="11055" xr:uid="{00000000-0005-0000-0000-000095440000}"/>
    <cellStyle name="Normal 2 6 4 3 2" xfId="34540" xr:uid="{00000000-0005-0000-0000-000096440000}"/>
    <cellStyle name="Normal 2 6 4 3 3" xfId="25221" xr:uid="{00000000-0005-0000-0000-000097440000}"/>
    <cellStyle name="Normal 2 6 4 3 4" xfId="48483" xr:uid="{00000000-0005-0000-0000-000098440000}"/>
    <cellStyle name="Normal 2 6 4 4" xfId="15786" xr:uid="{00000000-0005-0000-0000-000099440000}"/>
    <cellStyle name="Normal 2 6 4 4 2" xfId="29918" xr:uid="{00000000-0005-0000-0000-00009A440000}"/>
    <cellStyle name="Normal 2 6 4 4 3" xfId="43813" xr:uid="{00000000-0005-0000-0000-00009B440000}"/>
    <cellStyle name="Normal 2 6 4 5" xfId="20599" xr:uid="{00000000-0005-0000-0000-00009C440000}"/>
    <cellStyle name="Normal 2 6 4 6" xfId="39231" xr:uid="{00000000-0005-0000-0000-00009D440000}"/>
    <cellStyle name="Normal 2 6 5" xfId="5205" xr:uid="{00000000-0005-0000-0000-00009E440000}"/>
    <cellStyle name="Normal 2 6 5 2" xfId="5206" xr:uid="{00000000-0005-0000-0000-00009F440000}"/>
    <cellStyle name="Normal 2 6 5 2 2" xfId="11058" xr:uid="{00000000-0005-0000-0000-0000A0440000}"/>
    <cellStyle name="Normal 2 6 5 2 2 2" xfId="34543" xr:uid="{00000000-0005-0000-0000-0000A1440000}"/>
    <cellStyle name="Normal 2 6 5 2 2 3" xfId="25224" xr:uid="{00000000-0005-0000-0000-0000A2440000}"/>
    <cellStyle name="Normal 2 6 5 2 2 4" xfId="48486" xr:uid="{00000000-0005-0000-0000-0000A3440000}"/>
    <cellStyle name="Normal 2 6 5 2 3" xfId="15789" xr:uid="{00000000-0005-0000-0000-0000A4440000}"/>
    <cellStyle name="Normal 2 6 5 2 3 2" xfId="29921" xr:uid="{00000000-0005-0000-0000-0000A5440000}"/>
    <cellStyle name="Normal 2 6 5 2 3 3" xfId="43816" xr:uid="{00000000-0005-0000-0000-0000A6440000}"/>
    <cellStyle name="Normal 2 6 5 2 4" xfId="20602" xr:uid="{00000000-0005-0000-0000-0000A7440000}"/>
    <cellStyle name="Normal 2 6 5 2 5" xfId="39234" xr:uid="{00000000-0005-0000-0000-0000A8440000}"/>
    <cellStyle name="Normal 2 6 5 3" xfId="11057" xr:uid="{00000000-0005-0000-0000-0000A9440000}"/>
    <cellStyle name="Normal 2 6 5 3 2" xfId="34542" xr:uid="{00000000-0005-0000-0000-0000AA440000}"/>
    <cellStyle name="Normal 2 6 5 3 3" xfId="25223" xr:uid="{00000000-0005-0000-0000-0000AB440000}"/>
    <cellStyle name="Normal 2 6 5 3 4" xfId="48485" xr:uid="{00000000-0005-0000-0000-0000AC440000}"/>
    <cellStyle name="Normal 2 6 5 4" xfId="15788" xr:uid="{00000000-0005-0000-0000-0000AD440000}"/>
    <cellStyle name="Normal 2 6 5 4 2" xfId="29920" xr:uid="{00000000-0005-0000-0000-0000AE440000}"/>
    <cellStyle name="Normal 2 6 5 4 3" xfId="43815" xr:uid="{00000000-0005-0000-0000-0000AF440000}"/>
    <cellStyle name="Normal 2 6 5 5" xfId="20601" xr:uid="{00000000-0005-0000-0000-0000B0440000}"/>
    <cellStyle name="Normal 2 6 5 6" xfId="39233" xr:uid="{00000000-0005-0000-0000-0000B1440000}"/>
    <cellStyle name="Normal 2 6 6" xfId="5207" xr:uid="{00000000-0005-0000-0000-0000B2440000}"/>
    <cellStyle name="Normal 2 6 6 2" xfId="5208" xr:uid="{00000000-0005-0000-0000-0000B3440000}"/>
    <cellStyle name="Normal 2 6 6 2 2" xfId="11060" xr:uid="{00000000-0005-0000-0000-0000B4440000}"/>
    <cellStyle name="Normal 2 6 6 2 2 2" xfId="34545" xr:uid="{00000000-0005-0000-0000-0000B5440000}"/>
    <cellStyle name="Normal 2 6 6 2 2 3" xfId="25226" xr:uid="{00000000-0005-0000-0000-0000B6440000}"/>
    <cellStyle name="Normal 2 6 6 2 2 4" xfId="48488" xr:uid="{00000000-0005-0000-0000-0000B7440000}"/>
    <cellStyle name="Normal 2 6 6 2 3" xfId="15791" xr:uid="{00000000-0005-0000-0000-0000B8440000}"/>
    <cellStyle name="Normal 2 6 6 2 3 2" xfId="29923" xr:uid="{00000000-0005-0000-0000-0000B9440000}"/>
    <cellStyle name="Normal 2 6 6 2 3 3" xfId="43818" xr:uid="{00000000-0005-0000-0000-0000BA440000}"/>
    <cellStyle name="Normal 2 6 6 2 4" xfId="20604" xr:uid="{00000000-0005-0000-0000-0000BB440000}"/>
    <cellStyle name="Normal 2 6 6 2 5" xfId="39236" xr:uid="{00000000-0005-0000-0000-0000BC440000}"/>
    <cellStyle name="Normal 2 6 6 3" xfId="11059" xr:uid="{00000000-0005-0000-0000-0000BD440000}"/>
    <cellStyle name="Normal 2 6 6 3 2" xfId="34544" xr:uid="{00000000-0005-0000-0000-0000BE440000}"/>
    <cellStyle name="Normal 2 6 6 3 3" xfId="25225" xr:uid="{00000000-0005-0000-0000-0000BF440000}"/>
    <cellStyle name="Normal 2 6 6 3 4" xfId="48487" xr:uid="{00000000-0005-0000-0000-0000C0440000}"/>
    <cellStyle name="Normal 2 6 6 4" xfId="15790" xr:uid="{00000000-0005-0000-0000-0000C1440000}"/>
    <cellStyle name="Normal 2 6 6 4 2" xfId="29922" xr:uid="{00000000-0005-0000-0000-0000C2440000}"/>
    <cellStyle name="Normal 2 6 6 4 3" xfId="43817" xr:uid="{00000000-0005-0000-0000-0000C3440000}"/>
    <cellStyle name="Normal 2 6 6 5" xfId="20603" xr:uid="{00000000-0005-0000-0000-0000C4440000}"/>
    <cellStyle name="Normal 2 6 6 6" xfId="39235" xr:uid="{00000000-0005-0000-0000-0000C5440000}"/>
    <cellStyle name="Normal 2 6 7" xfId="5209" xr:uid="{00000000-0005-0000-0000-0000C6440000}"/>
    <cellStyle name="Normal 2 6 7 2" xfId="5210" xr:uid="{00000000-0005-0000-0000-0000C7440000}"/>
    <cellStyle name="Normal 2 6 7 2 2" xfId="11062" xr:uid="{00000000-0005-0000-0000-0000C8440000}"/>
    <cellStyle name="Normal 2 6 7 2 2 2" xfId="34547" xr:uid="{00000000-0005-0000-0000-0000C9440000}"/>
    <cellStyle name="Normal 2 6 7 2 2 3" xfId="25228" xr:uid="{00000000-0005-0000-0000-0000CA440000}"/>
    <cellStyle name="Normal 2 6 7 2 2 4" xfId="48490" xr:uid="{00000000-0005-0000-0000-0000CB440000}"/>
    <cellStyle name="Normal 2 6 7 2 3" xfId="15793" xr:uid="{00000000-0005-0000-0000-0000CC440000}"/>
    <cellStyle name="Normal 2 6 7 2 3 2" xfId="29925" xr:uid="{00000000-0005-0000-0000-0000CD440000}"/>
    <cellStyle name="Normal 2 6 7 2 3 3" xfId="43820" xr:uid="{00000000-0005-0000-0000-0000CE440000}"/>
    <cellStyle name="Normal 2 6 7 2 4" xfId="20606" xr:uid="{00000000-0005-0000-0000-0000CF440000}"/>
    <cellStyle name="Normal 2 6 7 2 5" xfId="39238" xr:uid="{00000000-0005-0000-0000-0000D0440000}"/>
    <cellStyle name="Normal 2 6 7 3" xfId="11061" xr:uid="{00000000-0005-0000-0000-0000D1440000}"/>
    <cellStyle name="Normal 2 6 7 3 2" xfId="34546" xr:uid="{00000000-0005-0000-0000-0000D2440000}"/>
    <cellStyle name="Normal 2 6 7 3 3" xfId="25227" xr:uid="{00000000-0005-0000-0000-0000D3440000}"/>
    <cellStyle name="Normal 2 6 7 3 4" xfId="48489" xr:uid="{00000000-0005-0000-0000-0000D4440000}"/>
    <cellStyle name="Normal 2 6 7 4" xfId="15792" xr:uid="{00000000-0005-0000-0000-0000D5440000}"/>
    <cellStyle name="Normal 2 6 7 4 2" xfId="29924" xr:uid="{00000000-0005-0000-0000-0000D6440000}"/>
    <cellStyle name="Normal 2 6 7 4 3" xfId="43819" xr:uid="{00000000-0005-0000-0000-0000D7440000}"/>
    <cellStyle name="Normal 2 6 7 5" xfId="20605" xr:uid="{00000000-0005-0000-0000-0000D8440000}"/>
    <cellStyle name="Normal 2 6 7 6" xfId="39237" xr:uid="{00000000-0005-0000-0000-0000D9440000}"/>
    <cellStyle name="Normal 2 6 8" xfId="5211" xr:uid="{00000000-0005-0000-0000-0000DA440000}"/>
    <cellStyle name="Normal 2 6 8 2" xfId="5212" xr:uid="{00000000-0005-0000-0000-0000DB440000}"/>
    <cellStyle name="Normal 2 6 8 2 2" xfId="11064" xr:uid="{00000000-0005-0000-0000-0000DC440000}"/>
    <cellStyle name="Normal 2 6 8 2 2 2" xfId="34549" xr:uid="{00000000-0005-0000-0000-0000DD440000}"/>
    <cellStyle name="Normal 2 6 8 2 2 3" xfId="25230" xr:uid="{00000000-0005-0000-0000-0000DE440000}"/>
    <cellStyle name="Normal 2 6 8 2 2 4" xfId="48492" xr:uid="{00000000-0005-0000-0000-0000DF440000}"/>
    <cellStyle name="Normal 2 6 8 2 3" xfId="15795" xr:uid="{00000000-0005-0000-0000-0000E0440000}"/>
    <cellStyle name="Normal 2 6 8 2 3 2" xfId="29927" xr:uid="{00000000-0005-0000-0000-0000E1440000}"/>
    <cellStyle name="Normal 2 6 8 2 3 3" xfId="43822" xr:uid="{00000000-0005-0000-0000-0000E2440000}"/>
    <cellStyle name="Normal 2 6 8 2 4" xfId="20608" xr:uid="{00000000-0005-0000-0000-0000E3440000}"/>
    <cellStyle name="Normal 2 6 8 2 5" xfId="39240" xr:uid="{00000000-0005-0000-0000-0000E4440000}"/>
    <cellStyle name="Normal 2 6 8 3" xfId="11063" xr:uid="{00000000-0005-0000-0000-0000E5440000}"/>
    <cellStyle name="Normal 2 6 8 3 2" xfId="34548" xr:uid="{00000000-0005-0000-0000-0000E6440000}"/>
    <cellStyle name="Normal 2 6 8 3 3" xfId="25229" xr:uid="{00000000-0005-0000-0000-0000E7440000}"/>
    <cellStyle name="Normal 2 6 8 3 4" xfId="48491" xr:uid="{00000000-0005-0000-0000-0000E8440000}"/>
    <cellStyle name="Normal 2 6 8 4" xfId="15794" xr:uid="{00000000-0005-0000-0000-0000E9440000}"/>
    <cellStyle name="Normal 2 6 8 4 2" xfId="29926" xr:uid="{00000000-0005-0000-0000-0000EA440000}"/>
    <cellStyle name="Normal 2 6 8 4 3" xfId="43821" xr:uid="{00000000-0005-0000-0000-0000EB440000}"/>
    <cellStyle name="Normal 2 6 8 5" xfId="20607" xr:uid="{00000000-0005-0000-0000-0000EC440000}"/>
    <cellStyle name="Normal 2 6 8 6" xfId="39239" xr:uid="{00000000-0005-0000-0000-0000ED440000}"/>
    <cellStyle name="Normal 2 6 9" xfId="5213" xr:uid="{00000000-0005-0000-0000-0000EE440000}"/>
    <cellStyle name="Normal 2 6 9 2" xfId="5214" xr:uid="{00000000-0005-0000-0000-0000EF440000}"/>
    <cellStyle name="Normal 2 6 9 2 2" xfId="11066" xr:uid="{00000000-0005-0000-0000-0000F0440000}"/>
    <cellStyle name="Normal 2 6 9 2 2 2" xfId="34551" xr:uid="{00000000-0005-0000-0000-0000F1440000}"/>
    <cellStyle name="Normal 2 6 9 2 2 3" xfId="25232" xr:uid="{00000000-0005-0000-0000-0000F2440000}"/>
    <cellStyle name="Normal 2 6 9 2 2 4" xfId="48494" xr:uid="{00000000-0005-0000-0000-0000F3440000}"/>
    <cellStyle name="Normal 2 6 9 2 3" xfId="15797" xr:uid="{00000000-0005-0000-0000-0000F4440000}"/>
    <cellStyle name="Normal 2 6 9 2 3 2" xfId="29929" xr:uid="{00000000-0005-0000-0000-0000F5440000}"/>
    <cellStyle name="Normal 2 6 9 2 3 3" xfId="43824" xr:uid="{00000000-0005-0000-0000-0000F6440000}"/>
    <cellStyle name="Normal 2 6 9 2 4" xfId="20610" xr:uid="{00000000-0005-0000-0000-0000F7440000}"/>
    <cellStyle name="Normal 2 6 9 2 5" xfId="39242" xr:uid="{00000000-0005-0000-0000-0000F8440000}"/>
    <cellStyle name="Normal 2 6 9 3" xfId="11065" xr:uid="{00000000-0005-0000-0000-0000F9440000}"/>
    <cellStyle name="Normal 2 6 9 3 2" xfId="34550" xr:uid="{00000000-0005-0000-0000-0000FA440000}"/>
    <cellStyle name="Normal 2 6 9 3 3" xfId="25231" xr:uid="{00000000-0005-0000-0000-0000FB440000}"/>
    <cellStyle name="Normal 2 6 9 3 4" xfId="48493" xr:uid="{00000000-0005-0000-0000-0000FC440000}"/>
    <cellStyle name="Normal 2 6 9 4" xfId="15796" xr:uid="{00000000-0005-0000-0000-0000FD440000}"/>
    <cellStyle name="Normal 2 6 9 4 2" xfId="29928" xr:uid="{00000000-0005-0000-0000-0000FE440000}"/>
    <cellStyle name="Normal 2 6 9 4 3" xfId="43823" xr:uid="{00000000-0005-0000-0000-0000FF440000}"/>
    <cellStyle name="Normal 2 6 9 5" xfId="20609" xr:uid="{00000000-0005-0000-0000-000000450000}"/>
    <cellStyle name="Normal 2 6 9 6" xfId="39241" xr:uid="{00000000-0005-0000-0000-000001450000}"/>
    <cellStyle name="Normal 2 60" xfId="5215" xr:uid="{00000000-0005-0000-0000-000002450000}"/>
    <cellStyle name="Normal 2 60 2" xfId="5216" xr:uid="{00000000-0005-0000-0000-000003450000}"/>
    <cellStyle name="Normal 2 60 2 2" xfId="11068" xr:uid="{00000000-0005-0000-0000-000004450000}"/>
    <cellStyle name="Normal 2 60 2 2 2" xfId="34553" xr:uid="{00000000-0005-0000-0000-000005450000}"/>
    <cellStyle name="Normal 2 60 2 2 3" xfId="25234" xr:uid="{00000000-0005-0000-0000-000006450000}"/>
    <cellStyle name="Normal 2 60 2 2 4" xfId="48496" xr:uid="{00000000-0005-0000-0000-000007450000}"/>
    <cellStyle name="Normal 2 60 2 3" xfId="15799" xr:uid="{00000000-0005-0000-0000-000008450000}"/>
    <cellStyle name="Normal 2 60 2 3 2" xfId="29931" xr:uid="{00000000-0005-0000-0000-000009450000}"/>
    <cellStyle name="Normal 2 60 2 3 3" xfId="43826" xr:uid="{00000000-0005-0000-0000-00000A450000}"/>
    <cellStyle name="Normal 2 60 2 4" xfId="20612" xr:uid="{00000000-0005-0000-0000-00000B450000}"/>
    <cellStyle name="Normal 2 60 2 5" xfId="39244" xr:uid="{00000000-0005-0000-0000-00000C450000}"/>
    <cellStyle name="Normal 2 60 3" xfId="11067" xr:uid="{00000000-0005-0000-0000-00000D450000}"/>
    <cellStyle name="Normal 2 60 3 2" xfId="34552" xr:uid="{00000000-0005-0000-0000-00000E450000}"/>
    <cellStyle name="Normal 2 60 3 3" xfId="25233" xr:uid="{00000000-0005-0000-0000-00000F450000}"/>
    <cellStyle name="Normal 2 60 3 4" xfId="48495" xr:uid="{00000000-0005-0000-0000-000010450000}"/>
    <cellStyle name="Normal 2 60 4" xfId="15798" xr:uid="{00000000-0005-0000-0000-000011450000}"/>
    <cellStyle name="Normal 2 60 4 2" xfId="29930" xr:uid="{00000000-0005-0000-0000-000012450000}"/>
    <cellStyle name="Normal 2 60 4 3" xfId="43825" xr:uid="{00000000-0005-0000-0000-000013450000}"/>
    <cellStyle name="Normal 2 60 5" xfId="20611" xr:uid="{00000000-0005-0000-0000-000014450000}"/>
    <cellStyle name="Normal 2 60 6" xfId="39243" xr:uid="{00000000-0005-0000-0000-000015450000}"/>
    <cellStyle name="Normal 2 61" xfId="5217" xr:uid="{00000000-0005-0000-0000-000016450000}"/>
    <cellStyle name="Normal 2 61 2" xfId="5218" xr:uid="{00000000-0005-0000-0000-000017450000}"/>
    <cellStyle name="Normal 2 61 2 2" xfId="11070" xr:uid="{00000000-0005-0000-0000-000018450000}"/>
    <cellStyle name="Normal 2 61 2 2 2" xfId="34555" xr:uid="{00000000-0005-0000-0000-000019450000}"/>
    <cellStyle name="Normal 2 61 2 2 3" xfId="25236" xr:uid="{00000000-0005-0000-0000-00001A450000}"/>
    <cellStyle name="Normal 2 61 2 2 4" xfId="48498" xr:uid="{00000000-0005-0000-0000-00001B450000}"/>
    <cellStyle name="Normal 2 61 2 3" xfId="15801" xr:uid="{00000000-0005-0000-0000-00001C450000}"/>
    <cellStyle name="Normal 2 61 2 3 2" xfId="29933" xr:uid="{00000000-0005-0000-0000-00001D450000}"/>
    <cellStyle name="Normal 2 61 2 3 3" xfId="43828" xr:uid="{00000000-0005-0000-0000-00001E450000}"/>
    <cellStyle name="Normal 2 61 2 4" xfId="20614" xr:uid="{00000000-0005-0000-0000-00001F450000}"/>
    <cellStyle name="Normal 2 61 2 5" xfId="39246" xr:uid="{00000000-0005-0000-0000-000020450000}"/>
    <cellStyle name="Normal 2 61 3" xfId="11069" xr:uid="{00000000-0005-0000-0000-000021450000}"/>
    <cellStyle name="Normal 2 61 3 2" xfId="34554" xr:uid="{00000000-0005-0000-0000-000022450000}"/>
    <cellStyle name="Normal 2 61 3 3" xfId="25235" xr:uid="{00000000-0005-0000-0000-000023450000}"/>
    <cellStyle name="Normal 2 61 3 4" xfId="48497" xr:uid="{00000000-0005-0000-0000-000024450000}"/>
    <cellStyle name="Normal 2 61 4" xfId="15800" xr:uid="{00000000-0005-0000-0000-000025450000}"/>
    <cellStyle name="Normal 2 61 4 2" xfId="29932" xr:uid="{00000000-0005-0000-0000-000026450000}"/>
    <cellStyle name="Normal 2 61 4 3" xfId="43827" xr:uid="{00000000-0005-0000-0000-000027450000}"/>
    <cellStyle name="Normal 2 61 5" xfId="20613" xr:uid="{00000000-0005-0000-0000-000028450000}"/>
    <cellStyle name="Normal 2 61 6" xfId="39245" xr:uid="{00000000-0005-0000-0000-000029450000}"/>
    <cellStyle name="Normal 2 62" xfId="5219" xr:uid="{00000000-0005-0000-0000-00002A450000}"/>
    <cellStyle name="Normal 2 62 2" xfId="5220" xr:uid="{00000000-0005-0000-0000-00002B450000}"/>
    <cellStyle name="Normal 2 62 2 2" xfId="11072" xr:uid="{00000000-0005-0000-0000-00002C450000}"/>
    <cellStyle name="Normal 2 62 2 2 2" xfId="34557" xr:uid="{00000000-0005-0000-0000-00002D450000}"/>
    <cellStyle name="Normal 2 62 2 2 3" xfId="25238" xr:uid="{00000000-0005-0000-0000-00002E450000}"/>
    <cellStyle name="Normal 2 62 2 2 4" xfId="48500" xr:uid="{00000000-0005-0000-0000-00002F450000}"/>
    <cellStyle name="Normal 2 62 2 3" xfId="15803" xr:uid="{00000000-0005-0000-0000-000030450000}"/>
    <cellStyle name="Normal 2 62 2 3 2" xfId="29935" xr:uid="{00000000-0005-0000-0000-000031450000}"/>
    <cellStyle name="Normal 2 62 2 3 3" xfId="43830" xr:uid="{00000000-0005-0000-0000-000032450000}"/>
    <cellStyle name="Normal 2 62 2 4" xfId="20616" xr:uid="{00000000-0005-0000-0000-000033450000}"/>
    <cellStyle name="Normal 2 62 2 5" xfId="39248" xr:uid="{00000000-0005-0000-0000-000034450000}"/>
    <cellStyle name="Normal 2 62 3" xfId="11071" xr:uid="{00000000-0005-0000-0000-000035450000}"/>
    <cellStyle name="Normal 2 62 3 2" xfId="34556" xr:uid="{00000000-0005-0000-0000-000036450000}"/>
    <cellStyle name="Normal 2 62 3 3" xfId="25237" xr:uid="{00000000-0005-0000-0000-000037450000}"/>
    <cellStyle name="Normal 2 62 3 4" xfId="48499" xr:uid="{00000000-0005-0000-0000-000038450000}"/>
    <cellStyle name="Normal 2 62 4" xfId="15802" xr:uid="{00000000-0005-0000-0000-000039450000}"/>
    <cellStyle name="Normal 2 62 4 2" xfId="29934" xr:uid="{00000000-0005-0000-0000-00003A450000}"/>
    <cellStyle name="Normal 2 62 4 3" xfId="43829" xr:uid="{00000000-0005-0000-0000-00003B450000}"/>
    <cellStyle name="Normal 2 62 5" xfId="20615" xr:uid="{00000000-0005-0000-0000-00003C450000}"/>
    <cellStyle name="Normal 2 62 6" xfId="39247" xr:uid="{00000000-0005-0000-0000-00003D450000}"/>
    <cellStyle name="Normal 2 63" xfId="5221" xr:uid="{00000000-0005-0000-0000-00003E450000}"/>
    <cellStyle name="Normal 2 63 2" xfId="5222" xr:uid="{00000000-0005-0000-0000-00003F450000}"/>
    <cellStyle name="Normal 2 63 2 2" xfId="11074" xr:uid="{00000000-0005-0000-0000-000040450000}"/>
    <cellStyle name="Normal 2 63 2 2 2" xfId="34559" xr:uid="{00000000-0005-0000-0000-000041450000}"/>
    <cellStyle name="Normal 2 63 2 2 3" xfId="25240" xr:uid="{00000000-0005-0000-0000-000042450000}"/>
    <cellStyle name="Normal 2 63 2 2 4" xfId="48502" xr:uid="{00000000-0005-0000-0000-000043450000}"/>
    <cellStyle name="Normal 2 63 2 3" xfId="15805" xr:uid="{00000000-0005-0000-0000-000044450000}"/>
    <cellStyle name="Normal 2 63 2 3 2" xfId="29937" xr:uid="{00000000-0005-0000-0000-000045450000}"/>
    <cellStyle name="Normal 2 63 2 3 3" xfId="43832" xr:uid="{00000000-0005-0000-0000-000046450000}"/>
    <cellStyle name="Normal 2 63 2 4" xfId="20618" xr:uid="{00000000-0005-0000-0000-000047450000}"/>
    <cellStyle name="Normal 2 63 2 5" xfId="39250" xr:uid="{00000000-0005-0000-0000-000048450000}"/>
    <cellStyle name="Normal 2 63 3" xfId="11073" xr:uid="{00000000-0005-0000-0000-000049450000}"/>
    <cellStyle name="Normal 2 63 3 2" xfId="34558" xr:uid="{00000000-0005-0000-0000-00004A450000}"/>
    <cellStyle name="Normal 2 63 3 3" xfId="25239" xr:uid="{00000000-0005-0000-0000-00004B450000}"/>
    <cellStyle name="Normal 2 63 3 4" xfId="48501" xr:uid="{00000000-0005-0000-0000-00004C450000}"/>
    <cellStyle name="Normal 2 63 4" xfId="15804" xr:uid="{00000000-0005-0000-0000-00004D450000}"/>
    <cellStyle name="Normal 2 63 4 2" xfId="29936" xr:uid="{00000000-0005-0000-0000-00004E450000}"/>
    <cellStyle name="Normal 2 63 4 3" xfId="43831" xr:uid="{00000000-0005-0000-0000-00004F450000}"/>
    <cellStyle name="Normal 2 63 5" xfId="20617" xr:uid="{00000000-0005-0000-0000-000050450000}"/>
    <cellStyle name="Normal 2 63 6" xfId="39249" xr:uid="{00000000-0005-0000-0000-000051450000}"/>
    <cellStyle name="Normal 2 64" xfId="5223" xr:uid="{00000000-0005-0000-0000-000052450000}"/>
    <cellStyle name="Normal 2 64 2" xfId="5224" xr:uid="{00000000-0005-0000-0000-000053450000}"/>
    <cellStyle name="Normal 2 64 2 2" xfId="11076" xr:uid="{00000000-0005-0000-0000-000054450000}"/>
    <cellStyle name="Normal 2 64 2 2 2" xfId="34561" xr:uid="{00000000-0005-0000-0000-000055450000}"/>
    <cellStyle name="Normal 2 64 2 2 3" xfId="25242" xr:uid="{00000000-0005-0000-0000-000056450000}"/>
    <cellStyle name="Normal 2 64 2 2 4" xfId="48504" xr:uid="{00000000-0005-0000-0000-000057450000}"/>
    <cellStyle name="Normal 2 64 2 3" xfId="15807" xr:uid="{00000000-0005-0000-0000-000058450000}"/>
    <cellStyle name="Normal 2 64 2 3 2" xfId="29939" xr:uid="{00000000-0005-0000-0000-000059450000}"/>
    <cellStyle name="Normal 2 64 2 3 3" xfId="43834" xr:uid="{00000000-0005-0000-0000-00005A450000}"/>
    <cellStyle name="Normal 2 64 2 4" xfId="20620" xr:uid="{00000000-0005-0000-0000-00005B450000}"/>
    <cellStyle name="Normal 2 64 2 5" xfId="39252" xr:uid="{00000000-0005-0000-0000-00005C450000}"/>
    <cellStyle name="Normal 2 64 3" xfId="11075" xr:uid="{00000000-0005-0000-0000-00005D450000}"/>
    <cellStyle name="Normal 2 64 3 2" xfId="34560" xr:uid="{00000000-0005-0000-0000-00005E450000}"/>
    <cellStyle name="Normal 2 64 3 3" xfId="25241" xr:uid="{00000000-0005-0000-0000-00005F450000}"/>
    <cellStyle name="Normal 2 64 3 4" xfId="48503" xr:uid="{00000000-0005-0000-0000-000060450000}"/>
    <cellStyle name="Normal 2 64 4" xfId="15806" xr:uid="{00000000-0005-0000-0000-000061450000}"/>
    <cellStyle name="Normal 2 64 4 2" xfId="29938" xr:uid="{00000000-0005-0000-0000-000062450000}"/>
    <cellStyle name="Normal 2 64 4 3" xfId="43833" xr:uid="{00000000-0005-0000-0000-000063450000}"/>
    <cellStyle name="Normal 2 64 5" xfId="20619" xr:uid="{00000000-0005-0000-0000-000064450000}"/>
    <cellStyle name="Normal 2 64 6" xfId="39251" xr:uid="{00000000-0005-0000-0000-000065450000}"/>
    <cellStyle name="Normal 2 65" xfId="5225" xr:uid="{00000000-0005-0000-0000-000066450000}"/>
    <cellStyle name="Normal 2 65 2" xfId="5226" xr:uid="{00000000-0005-0000-0000-000067450000}"/>
    <cellStyle name="Normal 2 65 2 2" xfId="11078" xr:uid="{00000000-0005-0000-0000-000068450000}"/>
    <cellStyle name="Normal 2 65 2 2 2" xfId="34563" xr:uid="{00000000-0005-0000-0000-000069450000}"/>
    <cellStyle name="Normal 2 65 2 2 3" xfId="25244" xr:uid="{00000000-0005-0000-0000-00006A450000}"/>
    <cellStyle name="Normal 2 65 2 2 4" xfId="48506" xr:uid="{00000000-0005-0000-0000-00006B450000}"/>
    <cellStyle name="Normal 2 65 2 3" xfId="15809" xr:uid="{00000000-0005-0000-0000-00006C450000}"/>
    <cellStyle name="Normal 2 65 2 3 2" xfId="29941" xr:uid="{00000000-0005-0000-0000-00006D450000}"/>
    <cellStyle name="Normal 2 65 2 3 3" xfId="43836" xr:uid="{00000000-0005-0000-0000-00006E450000}"/>
    <cellStyle name="Normal 2 65 2 4" xfId="20622" xr:uid="{00000000-0005-0000-0000-00006F450000}"/>
    <cellStyle name="Normal 2 65 2 5" xfId="39254" xr:uid="{00000000-0005-0000-0000-000070450000}"/>
    <cellStyle name="Normal 2 65 3" xfId="11077" xr:uid="{00000000-0005-0000-0000-000071450000}"/>
    <cellStyle name="Normal 2 65 3 2" xfId="34562" xr:uid="{00000000-0005-0000-0000-000072450000}"/>
    <cellStyle name="Normal 2 65 3 3" xfId="25243" xr:uid="{00000000-0005-0000-0000-000073450000}"/>
    <cellStyle name="Normal 2 65 3 4" xfId="48505" xr:uid="{00000000-0005-0000-0000-000074450000}"/>
    <cellStyle name="Normal 2 65 4" xfId="15808" xr:uid="{00000000-0005-0000-0000-000075450000}"/>
    <cellStyle name="Normal 2 65 4 2" xfId="29940" xr:uid="{00000000-0005-0000-0000-000076450000}"/>
    <cellStyle name="Normal 2 65 4 3" xfId="43835" xr:uid="{00000000-0005-0000-0000-000077450000}"/>
    <cellStyle name="Normal 2 65 5" xfId="20621" xr:uid="{00000000-0005-0000-0000-000078450000}"/>
    <cellStyle name="Normal 2 65 6" xfId="39253" xr:uid="{00000000-0005-0000-0000-000079450000}"/>
    <cellStyle name="Normal 2 66" xfId="5227" xr:uid="{00000000-0005-0000-0000-00007A450000}"/>
    <cellStyle name="Normal 2 66 2" xfId="11079" xr:uid="{00000000-0005-0000-0000-00007B450000}"/>
    <cellStyle name="Normal 2 66 2 2" xfId="34564" xr:uid="{00000000-0005-0000-0000-00007C450000}"/>
    <cellStyle name="Normal 2 66 2 3" xfId="25245" xr:uid="{00000000-0005-0000-0000-00007D450000}"/>
    <cellStyle name="Normal 2 66 2 4" xfId="48507" xr:uid="{00000000-0005-0000-0000-00007E450000}"/>
    <cellStyle name="Normal 2 66 3" xfId="15810" xr:uid="{00000000-0005-0000-0000-00007F450000}"/>
    <cellStyle name="Normal 2 66 3 2" xfId="29942" xr:uid="{00000000-0005-0000-0000-000080450000}"/>
    <cellStyle name="Normal 2 66 3 3" xfId="43837" xr:uid="{00000000-0005-0000-0000-000081450000}"/>
    <cellStyle name="Normal 2 66 4" xfId="20623" xr:uid="{00000000-0005-0000-0000-000082450000}"/>
    <cellStyle name="Normal 2 66 5" xfId="39255" xr:uid="{00000000-0005-0000-0000-000083450000}"/>
    <cellStyle name="Normal 2 67" xfId="5228" xr:uid="{00000000-0005-0000-0000-000084450000}"/>
    <cellStyle name="Normal 2 67 2" xfId="11080" xr:uid="{00000000-0005-0000-0000-000085450000}"/>
    <cellStyle name="Normal 2 67 2 2" xfId="34565" xr:uid="{00000000-0005-0000-0000-000086450000}"/>
    <cellStyle name="Normal 2 67 2 3" xfId="25246" xr:uid="{00000000-0005-0000-0000-000087450000}"/>
    <cellStyle name="Normal 2 67 2 4" xfId="48508" xr:uid="{00000000-0005-0000-0000-000088450000}"/>
    <cellStyle name="Normal 2 67 3" xfId="15811" xr:uid="{00000000-0005-0000-0000-000089450000}"/>
    <cellStyle name="Normal 2 67 3 2" xfId="29943" xr:uid="{00000000-0005-0000-0000-00008A450000}"/>
    <cellStyle name="Normal 2 67 3 3" xfId="43838" xr:uid="{00000000-0005-0000-0000-00008B450000}"/>
    <cellStyle name="Normal 2 67 4" xfId="20624" xr:uid="{00000000-0005-0000-0000-00008C450000}"/>
    <cellStyle name="Normal 2 67 5" xfId="39256" xr:uid="{00000000-0005-0000-0000-00008D450000}"/>
    <cellStyle name="Normal 2 68" xfId="5229" xr:uid="{00000000-0005-0000-0000-00008E450000}"/>
    <cellStyle name="Normal 2 68 2" xfId="11081" xr:uid="{00000000-0005-0000-0000-00008F450000}"/>
    <cellStyle name="Normal 2 68 2 2" xfId="34566" xr:uid="{00000000-0005-0000-0000-000090450000}"/>
    <cellStyle name="Normal 2 68 2 3" xfId="25247" xr:uid="{00000000-0005-0000-0000-000091450000}"/>
    <cellStyle name="Normal 2 68 2 4" xfId="48509" xr:uid="{00000000-0005-0000-0000-000092450000}"/>
    <cellStyle name="Normal 2 68 3" xfId="15812" xr:uid="{00000000-0005-0000-0000-000093450000}"/>
    <cellStyle name="Normal 2 68 3 2" xfId="29944" xr:uid="{00000000-0005-0000-0000-000094450000}"/>
    <cellStyle name="Normal 2 68 3 3" xfId="43839" xr:uid="{00000000-0005-0000-0000-000095450000}"/>
    <cellStyle name="Normal 2 68 4" xfId="20625" xr:uid="{00000000-0005-0000-0000-000096450000}"/>
    <cellStyle name="Normal 2 68 5" xfId="39257" xr:uid="{00000000-0005-0000-0000-000097450000}"/>
    <cellStyle name="Normal 2 69" xfId="5230" xr:uid="{00000000-0005-0000-0000-000098450000}"/>
    <cellStyle name="Normal 2 69 2" xfId="11082" xr:uid="{00000000-0005-0000-0000-000099450000}"/>
    <cellStyle name="Normal 2 69 2 2" xfId="34567" xr:uid="{00000000-0005-0000-0000-00009A450000}"/>
    <cellStyle name="Normal 2 69 2 3" xfId="25248" xr:uid="{00000000-0005-0000-0000-00009B450000}"/>
    <cellStyle name="Normal 2 69 2 4" xfId="48510" xr:uid="{00000000-0005-0000-0000-00009C450000}"/>
    <cellStyle name="Normal 2 69 3" xfId="15813" xr:uid="{00000000-0005-0000-0000-00009D450000}"/>
    <cellStyle name="Normal 2 69 3 2" xfId="29945" xr:uid="{00000000-0005-0000-0000-00009E450000}"/>
    <cellStyle name="Normal 2 69 3 3" xfId="43840" xr:uid="{00000000-0005-0000-0000-00009F450000}"/>
    <cellStyle name="Normal 2 69 4" xfId="20626" xr:uid="{00000000-0005-0000-0000-0000A0450000}"/>
    <cellStyle name="Normal 2 69 5" xfId="39258" xr:uid="{00000000-0005-0000-0000-0000A1450000}"/>
    <cellStyle name="Normal 2 7" xfId="5231" xr:uid="{00000000-0005-0000-0000-0000A2450000}"/>
    <cellStyle name="Normal 2 7 10" xfId="5232" xr:uid="{00000000-0005-0000-0000-0000A3450000}"/>
    <cellStyle name="Normal 2 7 10 2" xfId="5233" xr:uid="{00000000-0005-0000-0000-0000A4450000}"/>
    <cellStyle name="Normal 2 7 10 2 2" xfId="11085" xr:uid="{00000000-0005-0000-0000-0000A5450000}"/>
    <cellStyle name="Normal 2 7 10 2 2 2" xfId="34570" xr:uid="{00000000-0005-0000-0000-0000A6450000}"/>
    <cellStyle name="Normal 2 7 10 2 2 3" xfId="25251" xr:uid="{00000000-0005-0000-0000-0000A7450000}"/>
    <cellStyle name="Normal 2 7 10 2 2 4" xfId="48513" xr:uid="{00000000-0005-0000-0000-0000A8450000}"/>
    <cellStyle name="Normal 2 7 10 2 3" xfId="15816" xr:uid="{00000000-0005-0000-0000-0000A9450000}"/>
    <cellStyle name="Normal 2 7 10 2 3 2" xfId="29948" xr:uid="{00000000-0005-0000-0000-0000AA450000}"/>
    <cellStyle name="Normal 2 7 10 2 3 3" xfId="43843" xr:uid="{00000000-0005-0000-0000-0000AB450000}"/>
    <cellStyle name="Normal 2 7 10 2 4" xfId="20629" xr:uid="{00000000-0005-0000-0000-0000AC450000}"/>
    <cellStyle name="Normal 2 7 10 2 5" xfId="39261" xr:uid="{00000000-0005-0000-0000-0000AD450000}"/>
    <cellStyle name="Normal 2 7 10 3" xfId="11084" xr:uid="{00000000-0005-0000-0000-0000AE450000}"/>
    <cellStyle name="Normal 2 7 10 3 2" xfId="34569" xr:uid="{00000000-0005-0000-0000-0000AF450000}"/>
    <cellStyle name="Normal 2 7 10 3 3" xfId="25250" xr:uid="{00000000-0005-0000-0000-0000B0450000}"/>
    <cellStyle name="Normal 2 7 10 3 4" xfId="48512" xr:uid="{00000000-0005-0000-0000-0000B1450000}"/>
    <cellStyle name="Normal 2 7 10 4" xfId="15815" xr:uid="{00000000-0005-0000-0000-0000B2450000}"/>
    <cellStyle name="Normal 2 7 10 4 2" xfId="29947" xr:uid="{00000000-0005-0000-0000-0000B3450000}"/>
    <cellStyle name="Normal 2 7 10 4 3" xfId="43842" xr:uid="{00000000-0005-0000-0000-0000B4450000}"/>
    <cellStyle name="Normal 2 7 10 5" xfId="20628" xr:uid="{00000000-0005-0000-0000-0000B5450000}"/>
    <cellStyle name="Normal 2 7 10 6" xfId="39260" xr:uid="{00000000-0005-0000-0000-0000B6450000}"/>
    <cellStyle name="Normal 2 7 11" xfId="5234" xr:uid="{00000000-0005-0000-0000-0000B7450000}"/>
    <cellStyle name="Normal 2 7 11 2" xfId="11086" xr:uid="{00000000-0005-0000-0000-0000B8450000}"/>
    <cellStyle name="Normal 2 7 11 2 2" xfId="34571" xr:uid="{00000000-0005-0000-0000-0000B9450000}"/>
    <cellStyle name="Normal 2 7 11 2 3" xfId="25252" xr:uid="{00000000-0005-0000-0000-0000BA450000}"/>
    <cellStyle name="Normal 2 7 11 2 4" xfId="48514" xr:uid="{00000000-0005-0000-0000-0000BB450000}"/>
    <cellStyle name="Normal 2 7 11 3" xfId="15817" xr:uid="{00000000-0005-0000-0000-0000BC450000}"/>
    <cellStyle name="Normal 2 7 11 3 2" xfId="29949" xr:uid="{00000000-0005-0000-0000-0000BD450000}"/>
    <cellStyle name="Normal 2 7 11 3 3" xfId="43844" xr:uid="{00000000-0005-0000-0000-0000BE450000}"/>
    <cellStyle name="Normal 2 7 11 4" xfId="20630" xr:uid="{00000000-0005-0000-0000-0000BF450000}"/>
    <cellStyle name="Normal 2 7 11 5" xfId="39262" xr:uid="{00000000-0005-0000-0000-0000C0450000}"/>
    <cellStyle name="Normal 2 7 12" xfId="11083" xr:uid="{00000000-0005-0000-0000-0000C1450000}"/>
    <cellStyle name="Normal 2 7 12 2" xfId="34568" xr:uid="{00000000-0005-0000-0000-0000C2450000}"/>
    <cellStyle name="Normal 2 7 12 3" xfId="25249" xr:uid="{00000000-0005-0000-0000-0000C3450000}"/>
    <cellStyle name="Normal 2 7 12 4" xfId="48511" xr:uid="{00000000-0005-0000-0000-0000C4450000}"/>
    <cellStyle name="Normal 2 7 13" xfId="15814" xr:uid="{00000000-0005-0000-0000-0000C5450000}"/>
    <cellStyle name="Normal 2 7 13 2" xfId="29946" xr:uid="{00000000-0005-0000-0000-0000C6450000}"/>
    <cellStyle name="Normal 2 7 13 3" xfId="43841" xr:uid="{00000000-0005-0000-0000-0000C7450000}"/>
    <cellStyle name="Normal 2 7 14" xfId="20627" xr:uid="{00000000-0005-0000-0000-0000C8450000}"/>
    <cellStyle name="Normal 2 7 15" xfId="39259" xr:uid="{00000000-0005-0000-0000-0000C9450000}"/>
    <cellStyle name="Normal 2 7 2" xfId="5235" xr:uid="{00000000-0005-0000-0000-0000CA450000}"/>
    <cellStyle name="Normal 2 7 2 2" xfId="5236" xr:uid="{00000000-0005-0000-0000-0000CB450000}"/>
    <cellStyle name="Normal 2 7 2 2 2" xfId="11088" xr:uid="{00000000-0005-0000-0000-0000CC450000}"/>
    <cellStyle name="Normal 2 7 2 2 2 2" xfId="34573" xr:uid="{00000000-0005-0000-0000-0000CD450000}"/>
    <cellStyle name="Normal 2 7 2 2 2 3" xfId="25254" xr:uid="{00000000-0005-0000-0000-0000CE450000}"/>
    <cellStyle name="Normal 2 7 2 2 2 4" xfId="48516" xr:uid="{00000000-0005-0000-0000-0000CF450000}"/>
    <cellStyle name="Normal 2 7 2 2 3" xfId="15819" xr:uid="{00000000-0005-0000-0000-0000D0450000}"/>
    <cellStyle name="Normal 2 7 2 2 3 2" xfId="29951" xr:uid="{00000000-0005-0000-0000-0000D1450000}"/>
    <cellStyle name="Normal 2 7 2 2 3 3" xfId="43846" xr:uid="{00000000-0005-0000-0000-0000D2450000}"/>
    <cellStyle name="Normal 2 7 2 2 4" xfId="20632" xr:uid="{00000000-0005-0000-0000-0000D3450000}"/>
    <cellStyle name="Normal 2 7 2 2 5" xfId="39264" xr:uid="{00000000-0005-0000-0000-0000D4450000}"/>
    <cellStyle name="Normal 2 7 2 3" xfId="11087" xr:uid="{00000000-0005-0000-0000-0000D5450000}"/>
    <cellStyle name="Normal 2 7 2 3 2" xfId="34572" xr:uid="{00000000-0005-0000-0000-0000D6450000}"/>
    <cellStyle name="Normal 2 7 2 3 3" xfId="25253" xr:uid="{00000000-0005-0000-0000-0000D7450000}"/>
    <cellStyle name="Normal 2 7 2 3 4" xfId="48515" xr:uid="{00000000-0005-0000-0000-0000D8450000}"/>
    <cellStyle name="Normal 2 7 2 4" xfId="15818" xr:uid="{00000000-0005-0000-0000-0000D9450000}"/>
    <cellStyle name="Normal 2 7 2 4 2" xfId="29950" xr:uid="{00000000-0005-0000-0000-0000DA450000}"/>
    <cellStyle name="Normal 2 7 2 4 3" xfId="43845" xr:uid="{00000000-0005-0000-0000-0000DB450000}"/>
    <cellStyle name="Normal 2 7 2 5" xfId="20631" xr:uid="{00000000-0005-0000-0000-0000DC450000}"/>
    <cellStyle name="Normal 2 7 2 6" xfId="39263" xr:uid="{00000000-0005-0000-0000-0000DD450000}"/>
    <cellStyle name="Normal 2 7 3" xfId="5237" xr:uid="{00000000-0005-0000-0000-0000DE450000}"/>
    <cellStyle name="Normal 2 7 3 2" xfId="5238" xr:uid="{00000000-0005-0000-0000-0000DF450000}"/>
    <cellStyle name="Normal 2 7 3 2 2" xfId="11090" xr:uid="{00000000-0005-0000-0000-0000E0450000}"/>
    <cellStyle name="Normal 2 7 3 2 2 2" xfId="34575" xr:uid="{00000000-0005-0000-0000-0000E1450000}"/>
    <cellStyle name="Normal 2 7 3 2 2 3" xfId="25256" xr:uid="{00000000-0005-0000-0000-0000E2450000}"/>
    <cellStyle name="Normal 2 7 3 2 2 4" xfId="48518" xr:uid="{00000000-0005-0000-0000-0000E3450000}"/>
    <cellStyle name="Normal 2 7 3 2 3" xfId="15821" xr:uid="{00000000-0005-0000-0000-0000E4450000}"/>
    <cellStyle name="Normal 2 7 3 2 3 2" xfId="29953" xr:uid="{00000000-0005-0000-0000-0000E5450000}"/>
    <cellStyle name="Normal 2 7 3 2 3 3" xfId="43848" xr:uid="{00000000-0005-0000-0000-0000E6450000}"/>
    <cellStyle name="Normal 2 7 3 2 4" xfId="20634" xr:uid="{00000000-0005-0000-0000-0000E7450000}"/>
    <cellStyle name="Normal 2 7 3 2 5" xfId="39266" xr:uid="{00000000-0005-0000-0000-0000E8450000}"/>
    <cellStyle name="Normal 2 7 3 3" xfId="11089" xr:uid="{00000000-0005-0000-0000-0000E9450000}"/>
    <cellStyle name="Normal 2 7 3 3 2" xfId="34574" xr:uid="{00000000-0005-0000-0000-0000EA450000}"/>
    <cellStyle name="Normal 2 7 3 3 3" xfId="25255" xr:uid="{00000000-0005-0000-0000-0000EB450000}"/>
    <cellStyle name="Normal 2 7 3 3 4" xfId="48517" xr:uid="{00000000-0005-0000-0000-0000EC450000}"/>
    <cellStyle name="Normal 2 7 3 4" xfId="15820" xr:uid="{00000000-0005-0000-0000-0000ED450000}"/>
    <cellStyle name="Normal 2 7 3 4 2" xfId="29952" xr:uid="{00000000-0005-0000-0000-0000EE450000}"/>
    <cellStyle name="Normal 2 7 3 4 3" xfId="43847" xr:uid="{00000000-0005-0000-0000-0000EF450000}"/>
    <cellStyle name="Normal 2 7 3 5" xfId="20633" xr:uid="{00000000-0005-0000-0000-0000F0450000}"/>
    <cellStyle name="Normal 2 7 3 6" xfId="39265" xr:uid="{00000000-0005-0000-0000-0000F1450000}"/>
    <cellStyle name="Normal 2 7 4" xfId="5239" xr:uid="{00000000-0005-0000-0000-0000F2450000}"/>
    <cellStyle name="Normal 2 7 4 2" xfId="5240" xr:uid="{00000000-0005-0000-0000-0000F3450000}"/>
    <cellStyle name="Normal 2 7 4 2 2" xfId="11092" xr:uid="{00000000-0005-0000-0000-0000F4450000}"/>
    <cellStyle name="Normal 2 7 4 2 2 2" xfId="34577" xr:uid="{00000000-0005-0000-0000-0000F5450000}"/>
    <cellStyle name="Normal 2 7 4 2 2 3" xfId="25258" xr:uid="{00000000-0005-0000-0000-0000F6450000}"/>
    <cellStyle name="Normal 2 7 4 2 2 4" xfId="48520" xr:uid="{00000000-0005-0000-0000-0000F7450000}"/>
    <cellStyle name="Normal 2 7 4 2 3" xfId="15823" xr:uid="{00000000-0005-0000-0000-0000F8450000}"/>
    <cellStyle name="Normal 2 7 4 2 3 2" xfId="29955" xr:uid="{00000000-0005-0000-0000-0000F9450000}"/>
    <cellStyle name="Normal 2 7 4 2 3 3" xfId="43850" xr:uid="{00000000-0005-0000-0000-0000FA450000}"/>
    <cellStyle name="Normal 2 7 4 2 4" xfId="20636" xr:uid="{00000000-0005-0000-0000-0000FB450000}"/>
    <cellStyle name="Normal 2 7 4 2 5" xfId="39268" xr:uid="{00000000-0005-0000-0000-0000FC450000}"/>
    <cellStyle name="Normal 2 7 4 3" xfId="11091" xr:uid="{00000000-0005-0000-0000-0000FD450000}"/>
    <cellStyle name="Normal 2 7 4 3 2" xfId="34576" xr:uid="{00000000-0005-0000-0000-0000FE450000}"/>
    <cellStyle name="Normal 2 7 4 3 3" xfId="25257" xr:uid="{00000000-0005-0000-0000-0000FF450000}"/>
    <cellStyle name="Normal 2 7 4 3 4" xfId="48519" xr:uid="{00000000-0005-0000-0000-000000460000}"/>
    <cellStyle name="Normal 2 7 4 4" xfId="15822" xr:uid="{00000000-0005-0000-0000-000001460000}"/>
    <cellStyle name="Normal 2 7 4 4 2" xfId="29954" xr:uid="{00000000-0005-0000-0000-000002460000}"/>
    <cellStyle name="Normal 2 7 4 4 3" xfId="43849" xr:uid="{00000000-0005-0000-0000-000003460000}"/>
    <cellStyle name="Normal 2 7 4 5" xfId="20635" xr:uid="{00000000-0005-0000-0000-000004460000}"/>
    <cellStyle name="Normal 2 7 4 6" xfId="39267" xr:uid="{00000000-0005-0000-0000-000005460000}"/>
    <cellStyle name="Normal 2 7 5" xfId="5241" xr:uid="{00000000-0005-0000-0000-000006460000}"/>
    <cellStyle name="Normal 2 7 5 2" xfId="5242" xr:uid="{00000000-0005-0000-0000-000007460000}"/>
    <cellStyle name="Normal 2 7 5 2 2" xfId="11094" xr:uid="{00000000-0005-0000-0000-000008460000}"/>
    <cellStyle name="Normal 2 7 5 2 2 2" xfId="34579" xr:uid="{00000000-0005-0000-0000-000009460000}"/>
    <cellStyle name="Normal 2 7 5 2 2 3" xfId="25260" xr:uid="{00000000-0005-0000-0000-00000A460000}"/>
    <cellStyle name="Normal 2 7 5 2 2 4" xfId="48522" xr:uid="{00000000-0005-0000-0000-00000B460000}"/>
    <cellStyle name="Normal 2 7 5 2 3" xfId="15825" xr:uid="{00000000-0005-0000-0000-00000C460000}"/>
    <cellStyle name="Normal 2 7 5 2 3 2" xfId="29957" xr:uid="{00000000-0005-0000-0000-00000D460000}"/>
    <cellStyle name="Normal 2 7 5 2 3 3" xfId="43852" xr:uid="{00000000-0005-0000-0000-00000E460000}"/>
    <cellStyle name="Normal 2 7 5 2 4" xfId="20638" xr:uid="{00000000-0005-0000-0000-00000F460000}"/>
    <cellStyle name="Normal 2 7 5 2 5" xfId="39270" xr:uid="{00000000-0005-0000-0000-000010460000}"/>
    <cellStyle name="Normal 2 7 5 3" xfId="11093" xr:uid="{00000000-0005-0000-0000-000011460000}"/>
    <cellStyle name="Normal 2 7 5 3 2" xfId="34578" xr:uid="{00000000-0005-0000-0000-000012460000}"/>
    <cellStyle name="Normal 2 7 5 3 3" xfId="25259" xr:uid="{00000000-0005-0000-0000-000013460000}"/>
    <cellStyle name="Normal 2 7 5 3 4" xfId="48521" xr:uid="{00000000-0005-0000-0000-000014460000}"/>
    <cellStyle name="Normal 2 7 5 4" xfId="15824" xr:uid="{00000000-0005-0000-0000-000015460000}"/>
    <cellStyle name="Normal 2 7 5 4 2" xfId="29956" xr:uid="{00000000-0005-0000-0000-000016460000}"/>
    <cellStyle name="Normal 2 7 5 4 3" xfId="43851" xr:uid="{00000000-0005-0000-0000-000017460000}"/>
    <cellStyle name="Normal 2 7 5 5" xfId="20637" xr:uid="{00000000-0005-0000-0000-000018460000}"/>
    <cellStyle name="Normal 2 7 5 6" xfId="39269" xr:uid="{00000000-0005-0000-0000-000019460000}"/>
    <cellStyle name="Normal 2 7 6" xfId="5243" xr:uid="{00000000-0005-0000-0000-00001A460000}"/>
    <cellStyle name="Normal 2 7 6 2" xfId="5244" xr:uid="{00000000-0005-0000-0000-00001B460000}"/>
    <cellStyle name="Normal 2 7 6 2 2" xfId="11096" xr:uid="{00000000-0005-0000-0000-00001C460000}"/>
    <cellStyle name="Normal 2 7 6 2 2 2" xfId="34581" xr:uid="{00000000-0005-0000-0000-00001D460000}"/>
    <cellStyle name="Normal 2 7 6 2 2 3" xfId="25262" xr:uid="{00000000-0005-0000-0000-00001E460000}"/>
    <cellStyle name="Normal 2 7 6 2 2 4" xfId="48524" xr:uid="{00000000-0005-0000-0000-00001F460000}"/>
    <cellStyle name="Normal 2 7 6 2 3" xfId="15827" xr:uid="{00000000-0005-0000-0000-000020460000}"/>
    <cellStyle name="Normal 2 7 6 2 3 2" xfId="29959" xr:uid="{00000000-0005-0000-0000-000021460000}"/>
    <cellStyle name="Normal 2 7 6 2 3 3" xfId="43854" xr:uid="{00000000-0005-0000-0000-000022460000}"/>
    <cellStyle name="Normal 2 7 6 2 4" xfId="20640" xr:uid="{00000000-0005-0000-0000-000023460000}"/>
    <cellStyle name="Normal 2 7 6 2 5" xfId="39272" xr:uid="{00000000-0005-0000-0000-000024460000}"/>
    <cellStyle name="Normal 2 7 6 3" xfId="11095" xr:uid="{00000000-0005-0000-0000-000025460000}"/>
    <cellStyle name="Normal 2 7 6 3 2" xfId="34580" xr:uid="{00000000-0005-0000-0000-000026460000}"/>
    <cellStyle name="Normal 2 7 6 3 3" xfId="25261" xr:uid="{00000000-0005-0000-0000-000027460000}"/>
    <cellStyle name="Normal 2 7 6 3 4" xfId="48523" xr:uid="{00000000-0005-0000-0000-000028460000}"/>
    <cellStyle name="Normal 2 7 6 4" xfId="15826" xr:uid="{00000000-0005-0000-0000-000029460000}"/>
    <cellStyle name="Normal 2 7 6 4 2" xfId="29958" xr:uid="{00000000-0005-0000-0000-00002A460000}"/>
    <cellStyle name="Normal 2 7 6 4 3" xfId="43853" xr:uid="{00000000-0005-0000-0000-00002B460000}"/>
    <cellStyle name="Normal 2 7 6 5" xfId="20639" xr:uid="{00000000-0005-0000-0000-00002C460000}"/>
    <cellStyle name="Normal 2 7 6 6" xfId="39271" xr:uid="{00000000-0005-0000-0000-00002D460000}"/>
    <cellStyle name="Normal 2 7 7" xfId="5245" xr:uid="{00000000-0005-0000-0000-00002E460000}"/>
    <cellStyle name="Normal 2 7 7 2" xfId="5246" xr:uid="{00000000-0005-0000-0000-00002F460000}"/>
    <cellStyle name="Normal 2 7 7 2 2" xfId="11098" xr:uid="{00000000-0005-0000-0000-000030460000}"/>
    <cellStyle name="Normal 2 7 7 2 2 2" xfId="34583" xr:uid="{00000000-0005-0000-0000-000031460000}"/>
    <cellStyle name="Normal 2 7 7 2 2 3" xfId="25264" xr:uid="{00000000-0005-0000-0000-000032460000}"/>
    <cellStyle name="Normal 2 7 7 2 2 4" xfId="48526" xr:uid="{00000000-0005-0000-0000-000033460000}"/>
    <cellStyle name="Normal 2 7 7 2 3" xfId="15829" xr:uid="{00000000-0005-0000-0000-000034460000}"/>
    <cellStyle name="Normal 2 7 7 2 3 2" xfId="29961" xr:uid="{00000000-0005-0000-0000-000035460000}"/>
    <cellStyle name="Normal 2 7 7 2 3 3" xfId="43856" xr:uid="{00000000-0005-0000-0000-000036460000}"/>
    <cellStyle name="Normal 2 7 7 2 4" xfId="20642" xr:uid="{00000000-0005-0000-0000-000037460000}"/>
    <cellStyle name="Normal 2 7 7 2 5" xfId="39274" xr:uid="{00000000-0005-0000-0000-000038460000}"/>
    <cellStyle name="Normal 2 7 7 3" xfId="11097" xr:uid="{00000000-0005-0000-0000-000039460000}"/>
    <cellStyle name="Normal 2 7 7 3 2" xfId="34582" xr:uid="{00000000-0005-0000-0000-00003A460000}"/>
    <cellStyle name="Normal 2 7 7 3 3" xfId="25263" xr:uid="{00000000-0005-0000-0000-00003B460000}"/>
    <cellStyle name="Normal 2 7 7 3 4" xfId="48525" xr:uid="{00000000-0005-0000-0000-00003C460000}"/>
    <cellStyle name="Normal 2 7 7 4" xfId="15828" xr:uid="{00000000-0005-0000-0000-00003D460000}"/>
    <cellStyle name="Normal 2 7 7 4 2" xfId="29960" xr:uid="{00000000-0005-0000-0000-00003E460000}"/>
    <cellStyle name="Normal 2 7 7 4 3" xfId="43855" xr:uid="{00000000-0005-0000-0000-00003F460000}"/>
    <cellStyle name="Normal 2 7 7 5" xfId="20641" xr:uid="{00000000-0005-0000-0000-000040460000}"/>
    <cellStyle name="Normal 2 7 7 6" xfId="39273" xr:uid="{00000000-0005-0000-0000-000041460000}"/>
    <cellStyle name="Normal 2 7 8" xfId="5247" xr:uid="{00000000-0005-0000-0000-000042460000}"/>
    <cellStyle name="Normal 2 7 8 2" xfId="5248" xr:uid="{00000000-0005-0000-0000-000043460000}"/>
    <cellStyle name="Normal 2 7 8 2 2" xfId="11100" xr:uid="{00000000-0005-0000-0000-000044460000}"/>
    <cellStyle name="Normal 2 7 8 2 2 2" xfId="34585" xr:uid="{00000000-0005-0000-0000-000045460000}"/>
    <cellStyle name="Normal 2 7 8 2 2 3" xfId="25266" xr:uid="{00000000-0005-0000-0000-000046460000}"/>
    <cellStyle name="Normal 2 7 8 2 2 4" xfId="48528" xr:uid="{00000000-0005-0000-0000-000047460000}"/>
    <cellStyle name="Normal 2 7 8 2 3" xfId="15831" xr:uid="{00000000-0005-0000-0000-000048460000}"/>
    <cellStyle name="Normal 2 7 8 2 3 2" xfId="29963" xr:uid="{00000000-0005-0000-0000-000049460000}"/>
    <cellStyle name="Normal 2 7 8 2 3 3" xfId="43858" xr:uid="{00000000-0005-0000-0000-00004A460000}"/>
    <cellStyle name="Normal 2 7 8 2 4" xfId="20644" xr:uid="{00000000-0005-0000-0000-00004B460000}"/>
    <cellStyle name="Normal 2 7 8 2 5" xfId="39276" xr:uid="{00000000-0005-0000-0000-00004C460000}"/>
    <cellStyle name="Normal 2 7 8 3" xfId="11099" xr:uid="{00000000-0005-0000-0000-00004D460000}"/>
    <cellStyle name="Normal 2 7 8 3 2" xfId="34584" xr:uid="{00000000-0005-0000-0000-00004E460000}"/>
    <cellStyle name="Normal 2 7 8 3 3" xfId="25265" xr:uid="{00000000-0005-0000-0000-00004F460000}"/>
    <cellStyle name="Normal 2 7 8 3 4" xfId="48527" xr:uid="{00000000-0005-0000-0000-000050460000}"/>
    <cellStyle name="Normal 2 7 8 4" xfId="15830" xr:uid="{00000000-0005-0000-0000-000051460000}"/>
    <cellStyle name="Normal 2 7 8 4 2" xfId="29962" xr:uid="{00000000-0005-0000-0000-000052460000}"/>
    <cellStyle name="Normal 2 7 8 4 3" xfId="43857" xr:uid="{00000000-0005-0000-0000-000053460000}"/>
    <cellStyle name="Normal 2 7 8 5" xfId="20643" xr:uid="{00000000-0005-0000-0000-000054460000}"/>
    <cellStyle name="Normal 2 7 8 6" xfId="39275" xr:uid="{00000000-0005-0000-0000-000055460000}"/>
    <cellStyle name="Normal 2 7 9" xfId="5249" xr:uid="{00000000-0005-0000-0000-000056460000}"/>
    <cellStyle name="Normal 2 7 9 2" xfId="5250" xr:uid="{00000000-0005-0000-0000-000057460000}"/>
    <cellStyle name="Normal 2 7 9 2 2" xfId="11102" xr:uid="{00000000-0005-0000-0000-000058460000}"/>
    <cellStyle name="Normal 2 7 9 2 2 2" xfId="34587" xr:uid="{00000000-0005-0000-0000-000059460000}"/>
    <cellStyle name="Normal 2 7 9 2 2 3" xfId="25268" xr:uid="{00000000-0005-0000-0000-00005A460000}"/>
    <cellStyle name="Normal 2 7 9 2 2 4" xfId="48530" xr:uid="{00000000-0005-0000-0000-00005B460000}"/>
    <cellStyle name="Normal 2 7 9 2 3" xfId="15833" xr:uid="{00000000-0005-0000-0000-00005C460000}"/>
    <cellStyle name="Normal 2 7 9 2 3 2" xfId="29965" xr:uid="{00000000-0005-0000-0000-00005D460000}"/>
    <cellStyle name="Normal 2 7 9 2 3 3" xfId="43860" xr:uid="{00000000-0005-0000-0000-00005E460000}"/>
    <cellStyle name="Normal 2 7 9 2 4" xfId="20646" xr:uid="{00000000-0005-0000-0000-00005F460000}"/>
    <cellStyle name="Normal 2 7 9 2 5" xfId="39278" xr:uid="{00000000-0005-0000-0000-000060460000}"/>
    <cellStyle name="Normal 2 7 9 3" xfId="11101" xr:uid="{00000000-0005-0000-0000-000061460000}"/>
    <cellStyle name="Normal 2 7 9 3 2" xfId="34586" xr:uid="{00000000-0005-0000-0000-000062460000}"/>
    <cellStyle name="Normal 2 7 9 3 3" xfId="25267" xr:uid="{00000000-0005-0000-0000-000063460000}"/>
    <cellStyle name="Normal 2 7 9 3 4" xfId="48529" xr:uid="{00000000-0005-0000-0000-000064460000}"/>
    <cellStyle name="Normal 2 7 9 4" xfId="15832" xr:uid="{00000000-0005-0000-0000-000065460000}"/>
    <cellStyle name="Normal 2 7 9 4 2" xfId="29964" xr:uid="{00000000-0005-0000-0000-000066460000}"/>
    <cellStyle name="Normal 2 7 9 4 3" xfId="43859" xr:uid="{00000000-0005-0000-0000-000067460000}"/>
    <cellStyle name="Normal 2 7 9 5" xfId="20645" xr:uid="{00000000-0005-0000-0000-000068460000}"/>
    <cellStyle name="Normal 2 7 9 6" xfId="39277" xr:uid="{00000000-0005-0000-0000-000069460000}"/>
    <cellStyle name="Normal 2 70" xfId="409" xr:uid="{00000000-0005-0000-0000-00006A460000}"/>
    <cellStyle name="Normal 2 71" xfId="9584" xr:uid="{00000000-0005-0000-0000-00006B460000}"/>
    <cellStyle name="Normal 2 72" xfId="47030" xr:uid="{00000000-0005-0000-0000-00006C460000}"/>
    <cellStyle name="Normal 2 73" xfId="51788" xr:uid="{00000000-0005-0000-0000-00006D460000}"/>
    <cellStyle name="Normal 2 74" xfId="51803" xr:uid="{00000000-0005-0000-0000-00006E460000}"/>
    <cellStyle name="Normal 2 8" xfId="5251" xr:uid="{00000000-0005-0000-0000-00006F460000}"/>
    <cellStyle name="Normal 2 8 10" xfId="20647" xr:uid="{00000000-0005-0000-0000-000070460000}"/>
    <cellStyle name="Normal 2 8 11" xfId="39279" xr:uid="{00000000-0005-0000-0000-000071460000}"/>
    <cellStyle name="Normal 2 8 2" xfId="5252" xr:uid="{00000000-0005-0000-0000-000072460000}"/>
    <cellStyle name="Normal 2 8 2 2" xfId="5253" xr:uid="{00000000-0005-0000-0000-000073460000}"/>
    <cellStyle name="Normal 2 8 2 2 2" xfId="11105" xr:uid="{00000000-0005-0000-0000-000074460000}"/>
    <cellStyle name="Normal 2 8 2 2 2 2" xfId="34590" xr:uid="{00000000-0005-0000-0000-000075460000}"/>
    <cellStyle name="Normal 2 8 2 2 2 3" xfId="25271" xr:uid="{00000000-0005-0000-0000-000076460000}"/>
    <cellStyle name="Normal 2 8 2 2 2 4" xfId="48533" xr:uid="{00000000-0005-0000-0000-000077460000}"/>
    <cellStyle name="Normal 2 8 2 2 3" xfId="15836" xr:uid="{00000000-0005-0000-0000-000078460000}"/>
    <cellStyle name="Normal 2 8 2 2 3 2" xfId="29968" xr:uid="{00000000-0005-0000-0000-000079460000}"/>
    <cellStyle name="Normal 2 8 2 2 3 3" xfId="43863" xr:uid="{00000000-0005-0000-0000-00007A460000}"/>
    <cellStyle name="Normal 2 8 2 2 4" xfId="20649" xr:uid="{00000000-0005-0000-0000-00007B460000}"/>
    <cellStyle name="Normal 2 8 2 2 5" xfId="39281" xr:uid="{00000000-0005-0000-0000-00007C460000}"/>
    <cellStyle name="Normal 2 8 2 3" xfId="11104" xr:uid="{00000000-0005-0000-0000-00007D460000}"/>
    <cellStyle name="Normal 2 8 2 3 2" xfId="34589" xr:uid="{00000000-0005-0000-0000-00007E460000}"/>
    <cellStyle name="Normal 2 8 2 3 3" xfId="25270" xr:uid="{00000000-0005-0000-0000-00007F460000}"/>
    <cellStyle name="Normal 2 8 2 3 4" xfId="48532" xr:uid="{00000000-0005-0000-0000-000080460000}"/>
    <cellStyle name="Normal 2 8 2 4" xfId="15835" xr:uid="{00000000-0005-0000-0000-000081460000}"/>
    <cellStyle name="Normal 2 8 2 4 2" xfId="29967" xr:uid="{00000000-0005-0000-0000-000082460000}"/>
    <cellStyle name="Normal 2 8 2 4 3" xfId="43862" xr:uid="{00000000-0005-0000-0000-000083460000}"/>
    <cellStyle name="Normal 2 8 2 5" xfId="20648" xr:uid="{00000000-0005-0000-0000-000084460000}"/>
    <cellStyle name="Normal 2 8 2 6" xfId="39280" xr:uid="{00000000-0005-0000-0000-000085460000}"/>
    <cellStyle name="Normal 2 8 3" xfId="5254" xr:uid="{00000000-0005-0000-0000-000086460000}"/>
    <cellStyle name="Normal 2 8 3 2" xfId="5255" xr:uid="{00000000-0005-0000-0000-000087460000}"/>
    <cellStyle name="Normal 2 8 3 2 2" xfId="11107" xr:uid="{00000000-0005-0000-0000-000088460000}"/>
    <cellStyle name="Normal 2 8 3 2 2 2" xfId="34592" xr:uid="{00000000-0005-0000-0000-000089460000}"/>
    <cellStyle name="Normal 2 8 3 2 2 3" xfId="25273" xr:uid="{00000000-0005-0000-0000-00008A460000}"/>
    <cellStyle name="Normal 2 8 3 2 2 4" xfId="48535" xr:uid="{00000000-0005-0000-0000-00008B460000}"/>
    <cellStyle name="Normal 2 8 3 2 3" xfId="15838" xr:uid="{00000000-0005-0000-0000-00008C460000}"/>
    <cellStyle name="Normal 2 8 3 2 3 2" xfId="29970" xr:uid="{00000000-0005-0000-0000-00008D460000}"/>
    <cellStyle name="Normal 2 8 3 2 3 3" xfId="43865" xr:uid="{00000000-0005-0000-0000-00008E460000}"/>
    <cellStyle name="Normal 2 8 3 2 4" xfId="20651" xr:uid="{00000000-0005-0000-0000-00008F460000}"/>
    <cellStyle name="Normal 2 8 3 2 5" xfId="39283" xr:uid="{00000000-0005-0000-0000-000090460000}"/>
    <cellStyle name="Normal 2 8 3 3" xfId="11106" xr:uid="{00000000-0005-0000-0000-000091460000}"/>
    <cellStyle name="Normal 2 8 3 3 2" xfId="34591" xr:uid="{00000000-0005-0000-0000-000092460000}"/>
    <cellStyle name="Normal 2 8 3 3 3" xfId="25272" xr:uid="{00000000-0005-0000-0000-000093460000}"/>
    <cellStyle name="Normal 2 8 3 3 4" xfId="48534" xr:uid="{00000000-0005-0000-0000-000094460000}"/>
    <cellStyle name="Normal 2 8 3 4" xfId="15837" xr:uid="{00000000-0005-0000-0000-000095460000}"/>
    <cellStyle name="Normal 2 8 3 4 2" xfId="29969" xr:uid="{00000000-0005-0000-0000-000096460000}"/>
    <cellStyle name="Normal 2 8 3 4 3" xfId="43864" xr:uid="{00000000-0005-0000-0000-000097460000}"/>
    <cellStyle name="Normal 2 8 3 5" xfId="20650" xr:uid="{00000000-0005-0000-0000-000098460000}"/>
    <cellStyle name="Normal 2 8 3 6" xfId="39282" xr:uid="{00000000-0005-0000-0000-000099460000}"/>
    <cellStyle name="Normal 2 8 4" xfId="5256" xr:uid="{00000000-0005-0000-0000-00009A460000}"/>
    <cellStyle name="Normal 2 8 4 2" xfId="5257" xr:uid="{00000000-0005-0000-0000-00009B460000}"/>
    <cellStyle name="Normal 2 8 4 2 2" xfId="11109" xr:uid="{00000000-0005-0000-0000-00009C460000}"/>
    <cellStyle name="Normal 2 8 4 2 2 2" xfId="34594" xr:uid="{00000000-0005-0000-0000-00009D460000}"/>
    <cellStyle name="Normal 2 8 4 2 2 3" xfId="25275" xr:uid="{00000000-0005-0000-0000-00009E460000}"/>
    <cellStyle name="Normal 2 8 4 2 2 4" xfId="48537" xr:uid="{00000000-0005-0000-0000-00009F460000}"/>
    <cellStyle name="Normal 2 8 4 2 3" xfId="15840" xr:uid="{00000000-0005-0000-0000-0000A0460000}"/>
    <cellStyle name="Normal 2 8 4 2 3 2" xfId="29972" xr:uid="{00000000-0005-0000-0000-0000A1460000}"/>
    <cellStyle name="Normal 2 8 4 2 3 3" xfId="43867" xr:uid="{00000000-0005-0000-0000-0000A2460000}"/>
    <cellStyle name="Normal 2 8 4 2 4" xfId="20653" xr:uid="{00000000-0005-0000-0000-0000A3460000}"/>
    <cellStyle name="Normal 2 8 4 2 5" xfId="39285" xr:uid="{00000000-0005-0000-0000-0000A4460000}"/>
    <cellStyle name="Normal 2 8 4 3" xfId="11108" xr:uid="{00000000-0005-0000-0000-0000A5460000}"/>
    <cellStyle name="Normal 2 8 4 3 2" xfId="34593" xr:uid="{00000000-0005-0000-0000-0000A6460000}"/>
    <cellStyle name="Normal 2 8 4 3 3" xfId="25274" xr:uid="{00000000-0005-0000-0000-0000A7460000}"/>
    <cellStyle name="Normal 2 8 4 3 4" xfId="48536" xr:uid="{00000000-0005-0000-0000-0000A8460000}"/>
    <cellStyle name="Normal 2 8 4 4" xfId="15839" xr:uid="{00000000-0005-0000-0000-0000A9460000}"/>
    <cellStyle name="Normal 2 8 4 4 2" xfId="29971" xr:uid="{00000000-0005-0000-0000-0000AA460000}"/>
    <cellStyle name="Normal 2 8 4 4 3" xfId="43866" xr:uid="{00000000-0005-0000-0000-0000AB460000}"/>
    <cellStyle name="Normal 2 8 4 5" xfId="20652" xr:uid="{00000000-0005-0000-0000-0000AC460000}"/>
    <cellStyle name="Normal 2 8 4 6" xfId="39284" xr:uid="{00000000-0005-0000-0000-0000AD460000}"/>
    <cellStyle name="Normal 2 8 5" xfId="5258" xr:uid="{00000000-0005-0000-0000-0000AE460000}"/>
    <cellStyle name="Normal 2 8 5 2" xfId="5259" xr:uid="{00000000-0005-0000-0000-0000AF460000}"/>
    <cellStyle name="Normal 2 8 5 2 2" xfId="11111" xr:uid="{00000000-0005-0000-0000-0000B0460000}"/>
    <cellStyle name="Normal 2 8 5 2 2 2" xfId="34596" xr:uid="{00000000-0005-0000-0000-0000B1460000}"/>
    <cellStyle name="Normal 2 8 5 2 2 3" xfId="25277" xr:uid="{00000000-0005-0000-0000-0000B2460000}"/>
    <cellStyle name="Normal 2 8 5 2 2 4" xfId="48539" xr:uid="{00000000-0005-0000-0000-0000B3460000}"/>
    <cellStyle name="Normal 2 8 5 2 3" xfId="15842" xr:uid="{00000000-0005-0000-0000-0000B4460000}"/>
    <cellStyle name="Normal 2 8 5 2 3 2" xfId="29974" xr:uid="{00000000-0005-0000-0000-0000B5460000}"/>
    <cellStyle name="Normal 2 8 5 2 3 3" xfId="43869" xr:uid="{00000000-0005-0000-0000-0000B6460000}"/>
    <cellStyle name="Normal 2 8 5 2 4" xfId="20655" xr:uid="{00000000-0005-0000-0000-0000B7460000}"/>
    <cellStyle name="Normal 2 8 5 2 5" xfId="39287" xr:uid="{00000000-0005-0000-0000-0000B8460000}"/>
    <cellStyle name="Normal 2 8 5 3" xfId="11110" xr:uid="{00000000-0005-0000-0000-0000B9460000}"/>
    <cellStyle name="Normal 2 8 5 3 2" xfId="34595" xr:uid="{00000000-0005-0000-0000-0000BA460000}"/>
    <cellStyle name="Normal 2 8 5 3 3" xfId="25276" xr:uid="{00000000-0005-0000-0000-0000BB460000}"/>
    <cellStyle name="Normal 2 8 5 3 4" xfId="48538" xr:uid="{00000000-0005-0000-0000-0000BC460000}"/>
    <cellStyle name="Normal 2 8 5 4" xfId="15841" xr:uid="{00000000-0005-0000-0000-0000BD460000}"/>
    <cellStyle name="Normal 2 8 5 4 2" xfId="29973" xr:uid="{00000000-0005-0000-0000-0000BE460000}"/>
    <cellStyle name="Normal 2 8 5 4 3" xfId="43868" xr:uid="{00000000-0005-0000-0000-0000BF460000}"/>
    <cellStyle name="Normal 2 8 5 5" xfId="20654" xr:uid="{00000000-0005-0000-0000-0000C0460000}"/>
    <cellStyle name="Normal 2 8 5 6" xfId="39286" xr:uid="{00000000-0005-0000-0000-0000C1460000}"/>
    <cellStyle name="Normal 2 8 6" xfId="5260" xr:uid="{00000000-0005-0000-0000-0000C2460000}"/>
    <cellStyle name="Normal 2 8 6 2" xfId="5261" xr:uid="{00000000-0005-0000-0000-0000C3460000}"/>
    <cellStyle name="Normal 2 8 6 2 2" xfId="11113" xr:uid="{00000000-0005-0000-0000-0000C4460000}"/>
    <cellStyle name="Normal 2 8 6 2 2 2" xfId="34598" xr:uid="{00000000-0005-0000-0000-0000C5460000}"/>
    <cellStyle name="Normal 2 8 6 2 2 3" xfId="25279" xr:uid="{00000000-0005-0000-0000-0000C6460000}"/>
    <cellStyle name="Normal 2 8 6 2 2 4" xfId="48541" xr:uid="{00000000-0005-0000-0000-0000C7460000}"/>
    <cellStyle name="Normal 2 8 6 2 3" xfId="15844" xr:uid="{00000000-0005-0000-0000-0000C8460000}"/>
    <cellStyle name="Normal 2 8 6 2 3 2" xfId="29976" xr:uid="{00000000-0005-0000-0000-0000C9460000}"/>
    <cellStyle name="Normal 2 8 6 2 3 3" xfId="43871" xr:uid="{00000000-0005-0000-0000-0000CA460000}"/>
    <cellStyle name="Normal 2 8 6 2 4" xfId="20657" xr:uid="{00000000-0005-0000-0000-0000CB460000}"/>
    <cellStyle name="Normal 2 8 6 2 5" xfId="39289" xr:uid="{00000000-0005-0000-0000-0000CC460000}"/>
    <cellStyle name="Normal 2 8 6 3" xfId="11112" xr:uid="{00000000-0005-0000-0000-0000CD460000}"/>
    <cellStyle name="Normal 2 8 6 3 2" xfId="34597" xr:uid="{00000000-0005-0000-0000-0000CE460000}"/>
    <cellStyle name="Normal 2 8 6 3 3" xfId="25278" xr:uid="{00000000-0005-0000-0000-0000CF460000}"/>
    <cellStyle name="Normal 2 8 6 3 4" xfId="48540" xr:uid="{00000000-0005-0000-0000-0000D0460000}"/>
    <cellStyle name="Normal 2 8 6 4" xfId="15843" xr:uid="{00000000-0005-0000-0000-0000D1460000}"/>
    <cellStyle name="Normal 2 8 6 4 2" xfId="29975" xr:uid="{00000000-0005-0000-0000-0000D2460000}"/>
    <cellStyle name="Normal 2 8 6 4 3" xfId="43870" xr:uid="{00000000-0005-0000-0000-0000D3460000}"/>
    <cellStyle name="Normal 2 8 6 5" xfId="20656" xr:uid="{00000000-0005-0000-0000-0000D4460000}"/>
    <cellStyle name="Normal 2 8 6 6" xfId="39288" xr:uid="{00000000-0005-0000-0000-0000D5460000}"/>
    <cellStyle name="Normal 2 8 7" xfId="5262" xr:uid="{00000000-0005-0000-0000-0000D6460000}"/>
    <cellStyle name="Normal 2 8 7 2" xfId="11114" xr:uid="{00000000-0005-0000-0000-0000D7460000}"/>
    <cellStyle name="Normal 2 8 7 2 2" xfId="34599" xr:uid="{00000000-0005-0000-0000-0000D8460000}"/>
    <cellStyle name="Normal 2 8 7 2 3" xfId="25280" xr:uid="{00000000-0005-0000-0000-0000D9460000}"/>
    <cellStyle name="Normal 2 8 7 2 4" xfId="48542" xr:uid="{00000000-0005-0000-0000-0000DA460000}"/>
    <cellStyle name="Normal 2 8 7 3" xfId="15845" xr:uid="{00000000-0005-0000-0000-0000DB460000}"/>
    <cellStyle name="Normal 2 8 7 3 2" xfId="29977" xr:uid="{00000000-0005-0000-0000-0000DC460000}"/>
    <cellStyle name="Normal 2 8 7 3 3" xfId="43872" xr:uid="{00000000-0005-0000-0000-0000DD460000}"/>
    <cellStyle name="Normal 2 8 7 4" xfId="20658" xr:uid="{00000000-0005-0000-0000-0000DE460000}"/>
    <cellStyle name="Normal 2 8 7 5" xfId="39290" xr:uid="{00000000-0005-0000-0000-0000DF460000}"/>
    <cellStyle name="Normal 2 8 8" xfId="11103" xr:uid="{00000000-0005-0000-0000-0000E0460000}"/>
    <cellStyle name="Normal 2 8 8 2" xfId="34588" xr:uid="{00000000-0005-0000-0000-0000E1460000}"/>
    <cellStyle name="Normal 2 8 8 3" xfId="25269" xr:uid="{00000000-0005-0000-0000-0000E2460000}"/>
    <cellStyle name="Normal 2 8 8 4" xfId="48531" xr:uid="{00000000-0005-0000-0000-0000E3460000}"/>
    <cellStyle name="Normal 2 8 9" xfId="15834" xr:uid="{00000000-0005-0000-0000-0000E4460000}"/>
    <cellStyle name="Normal 2 8 9 2" xfId="29966" xr:uid="{00000000-0005-0000-0000-0000E5460000}"/>
    <cellStyle name="Normal 2 8 9 3" xfId="43861" xr:uid="{00000000-0005-0000-0000-0000E6460000}"/>
    <cellStyle name="Normal 2 9" xfId="5263" xr:uid="{00000000-0005-0000-0000-0000E7460000}"/>
    <cellStyle name="Normal 2 9 10" xfId="20659" xr:uid="{00000000-0005-0000-0000-0000E8460000}"/>
    <cellStyle name="Normal 2 9 11" xfId="39291" xr:uid="{00000000-0005-0000-0000-0000E9460000}"/>
    <cellStyle name="Normal 2 9 2" xfId="5264" xr:uid="{00000000-0005-0000-0000-0000EA460000}"/>
    <cellStyle name="Normal 2 9 2 2" xfId="5265" xr:uid="{00000000-0005-0000-0000-0000EB460000}"/>
    <cellStyle name="Normal 2 9 2 2 2" xfId="11117" xr:uid="{00000000-0005-0000-0000-0000EC460000}"/>
    <cellStyle name="Normal 2 9 2 2 2 2" xfId="34602" xr:uid="{00000000-0005-0000-0000-0000ED460000}"/>
    <cellStyle name="Normal 2 9 2 2 2 3" xfId="25283" xr:uid="{00000000-0005-0000-0000-0000EE460000}"/>
    <cellStyle name="Normal 2 9 2 2 2 4" xfId="48545" xr:uid="{00000000-0005-0000-0000-0000EF460000}"/>
    <cellStyle name="Normal 2 9 2 2 3" xfId="15848" xr:uid="{00000000-0005-0000-0000-0000F0460000}"/>
    <cellStyle name="Normal 2 9 2 2 3 2" xfId="29980" xr:uid="{00000000-0005-0000-0000-0000F1460000}"/>
    <cellStyle name="Normal 2 9 2 2 3 3" xfId="43875" xr:uid="{00000000-0005-0000-0000-0000F2460000}"/>
    <cellStyle name="Normal 2 9 2 2 4" xfId="20661" xr:uid="{00000000-0005-0000-0000-0000F3460000}"/>
    <cellStyle name="Normal 2 9 2 2 5" xfId="39293" xr:uid="{00000000-0005-0000-0000-0000F4460000}"/>
    <cellStyle name="Normal 2 9 2 3" xfId="11116" xr:uid="{00000000-0005-0000-0000-0000F5460000}"/>
    <cellStyle name="Normal 2 9 2 3 2" xfId="34601" xr:uid="{00000000-0005-0000-0000-0000F6460000}"/>
    <cellStyle name="Normal 2 9 2 3 3" xfId="25282" xr:uid="{00000000-0005-0000-0000-0000F7460000}"/>
    <cellStyle name="Normal 2 9 2 3 4" xfId="48544" xr:uid="{00000000-0005-0000-0000-0000F8460000}"/>
    <cellStyle name="Normal 2 9 2 4" xfId="15847" xr:uid="{00000000-0005-0000-0000-0000F9460000}"/>
    <cellStyle name="Normal 2 9 2 4 2" xfId="29979" xr:uid="{00000000-0005-0000-0000-0000FA460000}"/>
    <cellStyle name="Normal 2 9 2 4 3" xfId="43874" xr:uid="{00000000-0005-0000-0000-0000FB460000}"/>
    <cellStyle name="Normal 2 9 2 5" xfId="20660" xr:uid="{00000000-0005-0000-0000-0000FC460000}"/>
    <cellStyle name="Normal 2 9 2 6" xfId="39292" xr:uid="{00000000-0005-0000-0000-0000FD460000}"/>
    <cellStyle name="Normal 2 9 3" xfId="5266" xr:uid="{00000000-0005-0000-0000-0000FE460000}"/>
    <cellStyle name="Normal 2 9 3 2" xfId="5267" xr:uid="{00000000-0005-0000-0000-0000FF460000}"/>
    <cellStyle name="Normal 2 9 3 2 2" xfId="11119" xr:uid="{00000000-0005-0000-0000-000000470000}"/>
    <cellStyle name="Normal 2 9 3 2 2 2" xfId="34604" xr:uid="{00000000-0005-0000-0000-000001470000}"/>
    <cellStyle name="Normal 2 9 3 2 2 3" xfId="25285" xr:uid="{00000000-0005-0000-0000-000002470000}"/>
    <cellStyle name="Normal 2 9 3 2 2 4" xfId="48547" xr:uid="{00000000-0005-0000-0000-000003470000}"/>
    <cellStyle name="Normal 2 9 3 2 3" xfId="15850" xr:uid="{00000000-0005-0000-0000-000004470000}"/>
    <cellStyle name="Normal 2 9 3 2 3 2" xfId="29982" xr:uid="{00000000-0005-0000-0000-000005470000}"/>
    <cellStyle name="Normal 2 9 3 2 3 3" xfId="43877" xr:uid="{00000000-0005-0000-0000-000006470000}"/>
    <cellStyle name="Normal 2 9 3 2 4" xfId="20663" xr:uid="{00000000-0005-0000-0000-000007470000}"/>
    <cellStyle name="Normal 2 9 3 2 5" xfId="39295" xr:uid="{00000000-0005-0000-0000-000008470000}"/>
    <cellStyle name="Normal 2 9 3 3" xfId="11118" xr:uid="{00000000-0005-0000-0000-000009470000}"/>
    <cellStyle name="Normal 2 9 3 3 2" xfId="34603" xr:uid="{00000000-0005-0000-0000-00000A470000}"/>
    <cellStyle name="Normal 2 9 3 3 3" xfId="25284" xr:uid="{00000000-0005-0000-0000-00000B470000}"/>
    <cellStyle name="Normal 2 9 3 3 4" xfId="48546" xr:uid="{00000000-0005-0000-0000-00000C470000}"/>
    <cellStyle name="Normal 2 9 3 4" xfId="15849" xr:uid="{00000000-0005-0000-0000-00000D470000}"/>
    <cellStyle name="Normal 2 9 3 4 2" xfId="29981" xr:uid="{00000000-0005-0000-0000-00000E470000}"/>
    <cellStyle name="Normal 2 9 3 4 3" xfId="43876" xr:uid="{00000000-0005-0000-0000-00000F470000}"/>
    <cellStyle name="Normal 2 9 3 5" xfId="20662" xr:uid="{00000000-0005-0000-0000-000010470000}"/>
    <cellStyle name="Normal 2 9 3 6" xfId="39294" xr:uid="{00000000-0005-0000-0000-000011470000}"/>
    <cellStyle name="Normal 2 9 4" xfId="5268" xr:uid="{00000000-0005-0000-0000-000012470000}"/>
    <cellStyle name="Normal 2 9 4 2" xfId="5269" xr:uid="{00000000-0005-0000-0000-000013470000}"/>
    <cellStyle name="Normal 2 9 4 2 2" xfId="11121" xr:uid="{00000000-0005-0000-0000-000014470000}"/>
    <cellStyle name="Normal 2 9 4 2 2 2" xfId="34606" xr:uid="{00000000-0005-0000-0000-000015470000}"/>
    <cellStyle name="Normal 2 9 4 2 2 3" xfId="25287" xr:uid="{00000000-0005-0000-0000-000016470000}"/>
    <cellStyle name="Normal 2 9 4 2 2 4" xfId="48549" xr:uid="{00000000-0005-0000-0000-000017470000}"/>
    <cellStyle name="Normal 2 9 4 2 3" xfId="15852" xr:uid="{00000000-0005-0000-0000-000018470000}"/>
    <cellStyle name="Normal 2 9 4 2 3 2" xfId="29984" xr:uid="{00000000-0005-0000-0000-000019470000}"/>
    <cellStyle name="Normal 2 9 4 2 3 3" xfId="43879" xr:uid="{00000000-0005-0000-0000-00001A470000}"/>
    <cellStyle name="Normal 2 9 4 2 4" xfId="20665" xr:uid="{00000000-0005-0000-0000-00001B470000}"/>
    <cellStyle name="Normal 2 9 4 2 5" xfId="39297" xr:uid="{00000000-0005-0000-0000-00001C470000}"/>
    <cellStyle name="Normal 2 9 4 3" xfId="11120" xr:uid="{00000000-0005-0000-0000-00001D470000}"/>
    <cellStyle name="Normal 2 9 4 3 2" xfId="34605" xr:uid="{00000000-0005-0000-0000-00001E470000}"/>
    <cellStyle name="Normal 2 9 4 3 3" xfId="25286" xr:uid="{00000000-0005-0000-0000-00001F470000}"/>
    <cellStyle name="Normal 2 9 4 3 4" xfId="48548" xr:uid="{00000000-0005-0000-0000-000020470000}"/>
    <cellStyle name="Normal 2 9 4 4" xfId="15851" xr:uid="{00000000-0005-0000-0000-000021470000}"/>
    <cellStyle name="Normal 2 9 4 4 2" xfId="29983" xr:uid="{00000000-0005-0000-0000-000022470000}"/>
    <cellStyle name="Normal 2 9 4 4 3" xfId="43878" xr:uid="{00000000-0005-0000-0000-000023470000}"/>
    <cellStyle name="Normal 2 9 4 5" xfId="20664" xr:uid="{00000000-0005-0000-0000-000024470000}"/>
    <cellStyle name="Normal 2 9 4 6" xfId="39296" xr:uid="{00000000-0005-0000-0000-000025470000}"/>
    <cellStyle name="Normal 2 9 5" xfId="5270" xr:uid="{00000000-0005-0000-0000-000026470000}"/>
    <cellStyle name="Normal 2 9 5 2" xfId="5271" xr:uid="{00000000-0005-0000-0000-000027470000}"/>
    <cellStyle name="Normal 2 9 5 2 2" xfId="11123" xr:uid="{00000000-0005-0000-0000-000028470000}"/>
    <cellStyle name="Normal 2 9 5 2 2 2" xfId="34608" xr:uid="{00000000-0005-0000-0000-000029470000}"/>
    <cellStyle name="Normal 2 9 5 2 2 3" xfId="25289" xr:uid="{00000000-0005-0000-0000-00002A470000}"/>
    <cellStyle name="Normal 2 9 5 2 2 4" xfId="48551" xr:uid="{00000000-0005-0000-0000-00002B470000}"/>
    <cellStyle name="Normal 2 9 5 2 3" xfId="15854" xr:uid="{00000000-0005-0000-0000-00002C470000}"/>
    <cellStyle name="Normal 2 9 5 2 3 2" xfId="29986" xr:uid="{00000000-0005-0000-0000-00002D470000}"/>
    <cellStyle name="Normal 2 9 5 2 3 3" xfId="43881" xr:uid="{00000000-0005-0000-0000-00002E470000}"/>
    <cellStyle name="Normal 2 9 5 2 4" xfId="20667" xr:uid="{00000000-0005-0000-0000-00002F470000}"/>
    <cellStyle name="Normal 2 9 5 2 5" xfId="39299" xr:uid="{00000000-0005-0000-0000-000030470000}"/>
    <cellStyle name="Normal 2 9 5 3" xfId="11122" xr:uid="{00000000-0005-0000-0000-000031470000}"/>
    <cellStyle name="Normal 2 9 5 3 2" xfId="34607" xr:uid="{00000000-0005-0000-0000-000032470000}"/>
    <cellStyle name="Normal 2 9 5 3 3" xfId="25288" xr:uid="{00000000-0005-0000-0000-000033470000}"/>
    <cellStyle name="Normal 2 9 5 3 4" xfId="48550" xr:uid="{00000000-0005-0000-0000-000034470000}"/>
    <cellStyle name="Normal 2 9 5 4" xfId="15853" xr:uid="{00000000-0005-0000-0000-000035470000}"/>
    <cellStyle name="Normal 2 9 5 4 2" xfId="29985" xr:uid="{00000000-0005-0000-0000-000036470000}"/>
    <cellStyle name="Normal 2 9 5 4 3" xfId="43880" xr:uid="{00000000-0005-0000-0000-000037470000}"/>
    <cellStyle name="Normal 2 9 5 5" xfId="20666" xr:uid="{00000000-0005-0000-0000-000038470000}"/>
    <cellStyle name="Normal 2 9 5 6" xfId="39298" xr:uid="{00000000-0005-0000-0000-000039470000}"/>
    <cellStyle name="Normal 2 9 6" xfId="5272" xr:uid="{00000000-0005-0000-0000-00003A470000}"/>
    <cellStyle name="Normal 2 9 6 2" xfId="5273" xr:uid="{00000000-0005-0000-0000-00003B470000}"/>
    <cellStyle name="Normal 2 9 6 2 2" xfId="11125" xr:uid="{00000000-0005-0000-0000-00003C470000}"/>
    <cellStyle name="Normal 2 9 6 2 2 2" xfId="34610" xr:uid="{00000000-0005-0000-0000-00003D470000}"/>
    <cellStyle name="Normal 2 9 6 2 2 3" xfId="25291" xr:uid="{00000000-0005-0000-0000-00003E470000}"/>
    <cellStyle name="Normal 2 9 6 2 2 4" xfId="48553" xr:uid="{00000000-0005-0000-0000-00003F470000}"/>
    <cellStyle name="Normal 2 9 6 2 3" xfId="15856" xr:uid="{00000000-0005-0000-0000-000040470000}"/>
    <cellStyle name="Normal 2 9 6 2 3 2" xfId="29988" xr:uid="{00000000-0005-0000-0000-000041470000}"/>
    <cellStyle name="Normal 2 9 6 2 3 3" xfId="43883" xr:uid="{00000000-0005-0000-0000-000042470000}"/>
    <cellStyle name="Normal 2 9 6 2 4" xfId="20669" xr:uid="{00000000-0005-0000-0000-000043470000}"/>
    <cellStyle name="Normal 2 9 6 2 5" xfId="39301" xr:uid="{00000000-0005-0000-0000-000044470000}"/>
    <cellStyle name="Normal 2 9 6 3" xfId="11124" xr:uid="{00000000-0005-0000-0000-000045470000}"/>
    <cellStyle name="Normal 2 9 6 3 2" xfId="34609" xr:uid="{00000000-0005-0000-0000-000046470000}"/>
    <cellStyle name="Normal 2 9 6 3 3" xfId="25290" xr:uid="{00000000-0005-0000-0000-000047470000}"/>
    <cellStyle name="Normal 2 9 6 3 4" xfId="48552" xr:uid="{00000000-0005-0000-0000-000048470000}"/>
    <cellStyle name="Normal 2 9 6 4" xfId="15855" xr:uid="{00000000-0005-0000-0000-000049470000}"/>
    <cellStyle name="Normal 2 9 6 4 2" xfId="29987" xr:uid="{00000000-0005-0000-0000-00004A470000}"/>
    <cellStyle name="Normal 2 9 6 4 3" xfId="43882" xr:uid="{00000000-0005-0000-0000-00004B470000}"/>
    <cellStyle name="Normal 2 9 6 5" xfId="20668" xr:uid="{00000000-0005-0000-0000-00004C470000}"/>
    <cellStyle name="Normal 2 9 6 6" xfId="39300" xr:uid="{00000000-0005-0000-0000-00004D470000}"/>
    <cellStyle name="Normal 2 9 7" xfId="5274" xr:uid="{00000000-0005-0000-0000-00004E470000}"/>
    <cellStyle name="Normal 2 9 7 2" xfId="11126" xr:uid="{00000000-0005-0000-0000-00004F470000}"/>
    <cellStyle name="Normal 2 9 7 2 2" xfId="34611" xr:uid="{00000000-0005-0000-0000-000050470000}"/>
    <cellStyle name="Normal 2 9 7 2 3" xfId="25292" xr:uid="{00000000-0005-0000-0000-000051470000}"/>
    <cellStyle name="Normal 2 9 7 2 4" xfId="48554" xr:uid="{00000000-0005-0000-0000-000052470000}"/>
    <cellStyle name="Normal 2 9 7 3" xfId="15857" xr:uid="{00000000-0005-0000-0000-000053470000}"/>
    <cellStyle name="Normal 2 9 7 3 2" xfId="29989" xr:uid="{00000000-0005-0000-0000-000054470000}"/>
    <cellStyle name="Normal 2 9 7 3 3" xfId="43884" xr:uid="{00000000-0005-0000-0000-000055470000}"/>
    <cellStyle name="Normal 2 9 7 4" xfId="20670" xr:uid="{00000000-0005-0000-0000-000056470000}"/>
    <cellStyle name="Normal 2 9 7 5" xfId="39302" xr:uid="{00000000-0005-0000-0000-000057470000}"/>
    <cellStyle name="Normal 2 9 8" xfId="11115" xr:uid="{00000000-0005-0000-0000-000058470000}"/>
    <cellStyle name="Normal 2 9 8 2" xfId="34600" xr:uid="{00000000-0005-0000-0000-000059470000}"/>
    <cellStyle name="Normal 2 9 8 3" xfId="25281" xr:uid="{00000000-0005-0000-0000-00005A470000}"/>
    <cellStyle name="Normal 2 9 8 4" xfId="48543" xr:uid="{00000000-0005-0000-0000-00005B470000}"/>
    <cellStyle name="Normal 2 9 9" xfId="15846" xr:uid="{00000000-0005-0000-0000-00005C470000}"/>
    <cellStyle name="Normal 2 9 9 2" xfId="29978" xr:uid="{00000000-0005-0000-0000-00005D470000}"/>
    <cellStyle name="Normal 2 9 9 3" xfId="43873" xr:uid="{00000000-0005-0000-0000-00005E470000}"/>
    <cellStyle name="Normal 20" xfId="170" xr:uid="{00000000-0005-0000-0000-00005F470000}"/>
    <cellStyle name="Normal 20 2" xfId="5275" xr:uid="{00000000-0005-0000-0000-000060470000}"/>
    <cellStyle name="Normal 20 3" xfId="5276" xr:uid="{00000000-0005-0000-0000-000061470000}"/>
    <cellStyle name="Normal 20 4" xfId="5277" xr:uid="{00000000-0005-0000-0000-000062470000}"/>
    <cellStyle name="Normal 20 5" xfId="5278" xr:uid="{00000000-0005-0000-0000-000063470000}"/>
    <cellStyle name="Normal 20 6" xfId="5279" xr:uid="{00000000-0005-0000-0000-000064470000}"/>
    <cellStyle name="Normal 20 7" xfId="5280" xr:uid="{00000000-0005-0000-0000-000065470000}"/>
    <cellStyle name="Normal 20 7 2" xfId="11127" xr:uid="{00000000-0005-0000-0000-000066470000}"/>
    <cellStyle name="Normal 20 7 2 2" xfId="34612" xr:uid="{00000000-0005-0000-0000-000067470000}"/>
    <cellStyle name="Normal 20 7 2 3" xfId="25293" xr:uid="{00000000-0005-0000-0000-000068470000}"/>
    <cellStyle name="Normal 20 7 2 4" xfId="48555" xr:uid="{00000000-0005-0000-0000-000069470000}"/>
    <cellStyle name="Normal 20 7 3" xfId="15858" xr:uid="{00000000-0005-0000-0000-00006A470000}"/>
    <cellStyle name="Normal 20 7 3 2" xfId="29990" xr:uid="{00000000-0005-0000-0000-00006B470000}"/>
    <cellStyle name="Normal 20 7 3 3" xfId="43885" xr:uid="{00000000-0005-0000-0000-00006C470000}"/>
    <cellStyle name="Normal 20 7 4" xfId="20671" xr:uid="{00000000-0005-0000-0000-00006D470000}"/>
    <cellStyle name="Normal 20 7 5" xfId="39303" xr:uid="{00000000-0005-0000-0000-00006E470000}"/>
    <cellStyle name="Normal 20 8" xfId="413" xr:uid="{00000000-0005-0000-0000-00006F470000}"/>
    <cellStyle name="Normal 20 8 2" xfId="9673" xr:uid="{00000000-0005-0000-0000-000070470000}"/>
    <cellStyle name="Normal 20 8 2 2" xfId="33164" xr:uid="{00000000-0005-0000-0000-000071470000}"/>
    <cellStyle name="Normal 20 8 2 3" xfId="23849" xr:uid="{00000000-0005-0000-0000-000072470000}"/>
    <cellStyle name="Normal 20 8 2 4" xfId="47107" xr:uid="{00000000-0005-0000-0000-000073470000}"/>
    <cellStyle name="Normal 20 8 3" xfId="14434" xr:uid="{00000000-0005-0000-0000-000074470000}"/>
    <cellStyle name="Normal 20 8 3 2" xfId="28565" xr:uid="{00000000-0005-0000-0000-000075470000}"/>
    <cellStyle name="Normal 20 8 3 3" xfId="42445" xr:uid="{00000000-0005-0000-0000-000076470000}"/>
    <cellStyle name="Normal 20 8 4" xfId="19245" xr:uid="{00000000-0005-0000-0000-000077470000}"/>
    <cellStyle name="Normal 20 8 5" xfId="37880" xr:uid="{00000000-0005-0000-0000-000078470000}"/>
    <cellStyle name="Normal 200" xfId="171" xr:uid="{00000000-0005-0000-0000-000079470000}"/>
    <cellStyle name="Normal 201" xfId="172" xr:uid="{00000000-0005-0000-0000-00007A470000}"/>
    <cellStyle name="Normal 202" xfId="173" xr:uid="{00000000-0005-0000-0000-00007B470000}"/>
    <cellStyle name="Normal 203" xfId="174" xr:uid="{00000000-0005-0000-0000-00007C470000}"/>
    <cellStyle name="Normal 204" xfId="265" xr:uid="{00000000-0005-0000-0000-00007D470000}"/>
    <cellStyle name="Normal 204 2" xfId="332" xr:uid="{00000000-0005-0000-0000-00007E470000}"/>
    <cellStyle name="Normal 204 2 2" xfId="9646" xr:uid="{00000000-0005-0000-0000-00007F470000}"/>
    <cellStyle name="Normal 204 2 2 2" xfId="33137" xr:uid="{00000000-0005-0000-0000-000080470000}"/>
    <cellStyle name="Normal 204 2 2 3" xfId="23824" xr:uid="{00000000-0005-0000-0000-000081470000}"/>
    <cellStyle name="Normal 204 2 2 4" xfId="47080" xr:uid="{00000000-0005-0000-0000-000082470000}"/>
    <cellStyle name="Normal 204 2 3" xfId="14408" xr:uid="{00000000-0005-0000-0000-000083470000}"/>
    <cellStyle name="Normal 204 2 3 2" xfId="28539" xr:uid="{00000000-0005-0000-0000-000084470000}"/>
    <cellStyle name="Normal 204 2 3 3" xfId="42418" xr:uid="{00000000-0005-0000-0000-000085470000}"/>
    <cellStyle name="Normal 204 2 4" xfId="19221" xr:uid="{00000000-0005-0000-0000-000086470000}"/>
    <cellStyle name="Normal 204 2 5" xfId="37856" xr:uid="{00000000-0005-0000-0000-000087470000}"/>
    <cellStyle name="Normal 204 3" xfId="9641" xr:uid="{00000000-0005-0000-0000-000088470000}"/>
    <cellStyle name="Normal 204 3 2" xfId="33133" xr:uid="{00000000-0005-0000-0000-000089470000}"/>
    <cellStyle name="Normal 204 3 3" xfId="23821" xr:uid="{00000000-0005-0000-0000-00008A470000}"/>
    <cellStyle name="Normal 204 3 4" xfId="47075" xr:uid="{00000000-0005-0000-0000-00008B470000}"/>
    <cellStyle name="Normal 204 4" xfId="14404" xr:uid="{00000000-0005-0000-0000-00008C470000}"/>
    <cellStyle name="Normal 204 4 2" xfId="28536" xr:uid="{00000000-0005-0000-0000-00008D470000}"/>
    <cellStyle name="Normal 204 4 3" xfId="42412" xr:uid="{00000000-0005-0000-0000-00008E470000}"/>
    <cellStyle name="Normal 204 5" xfId="19217" xr:uid="{00000000-0005-0000-0000-00008F470000}"/>
    <cellStyle name="Normal 204 6" xfId="37852" xr:uid="{00000000-0005-0000-0000-000090470000}"/>
    <cellStyle name="Normal 205" xfId="295" xr:uid="{00000000-0005-0000-0000-000091470000}"/>
    <cellStyle name="Normal 206" xfId="296" xr:uid="{00000000-0005-0000-0000-000092470000}"/>
    <cellStyle name="Normal 207" xfId="297" xr:uid="{00000000-0005-0000-0000-000093470000}"/>
    <cellStyle name="Normal 208" xfId="298" xr:uid="{00000000-0005-0000-0000-000094470000}"/>
    <cellStyle name="Normal 209" xfId="299" xr:uid="{00000000-0005-0000-0000-000095470000}"/>
    <cellStyle name="Normal 21" xfId="175" xr:uid="{00000000-0005-0000-0000-000096470000}"/>
    <cellStyle name="Normal 21 2" xfId="414" xr:uid="{00000000-0005-0000-0000-000097470000}"/>
    <cellStyle name="Normal 210" xfId="300" xr:uid="{00000000-0005-0000-0000-000098470000}"/>
    <cellStyle name="Normal 211" xfId="301" xr:uid="{00000000-0005-0000-0000-000099470000}"/>
    <cellStyle name="Normal 212" xfId="302" xr:uid="{00000000-0005-0000-0000-00009A470000}"/>
    <cellStyle name="Normal 213" xfId="303" xr:uid="{00000000-0005-0000-0000-00009B470000}"/>
    <cellStyle name="Normal 214" xfId="304" xr:uid="{00000000-0005-0000-0000-00009C470000}"/>
    <cellStyle name="Normal 215" xfId="305" xr:uid="{00000000-0005-0000-0000-00009D470000}"/>
    <cellStyle name="Normal 216" xfId="306" xr:uid="{00000000-0005-0000-0000-00009E470000}"/>
    <cellStyle name="Normal 217" xfId="307" xr:uid="{00000000-0005-0000-0000-00009F470000}"/>
    <cellStyle name="Normal 218" xfId="308" xr:uid="{00000000-0005-0000-0000-0000A0470000}"/>
    <cellStyle name="Normal 219" xfId="309" xr:uid="{00000000-0005-0000-0000-0000A1470000}"/>
    <cellStyle name="Normal 22" xfId="176" xr:uid="{00000000-0005-0000-0000-0000A2470000}"/>
    <cellStyle name="Normal 22 2" xfId="5281" xr:uid="{00000000-0005-0000-0000-0000A3470000}"/>
    <cellStyle name="Normal 22 3" xfId="5282" xr:uid="{00000000-0005-0000-0000-0000A4470000}"/>
    <cellStyle name="Normal 22 4" xfId="5283" xr:uid="{00000000-0005-0000-0000-0000A5470000}"/>
    <cellStyle name="Normal 22 5" xfId="5284" xr:uid="{00000000-0005-0000-0000-0000A6470000}"/>
    <cellStyle name="Normal 22 6" xfId="5285" xr:uid="{00000000-0005-0000-0000-0000A7470000}"/>
    <cellStyle name="Normal 22 7" xfId="5286" xr:uid="{00000000-0005-0000-0000-0000A8470000}"/>
    <cellStyle name="Normal 22 7 2" xfId="11128" xr:uid="{00000000-0005-0000-0000-0000A9470000}"/>
    <cellStyle name="Normal 22 7 2 2" xfId="34613" xr:uid="{00000000-0005-0000-0000-0000AA470000}"/>
    <cellStyle name="Normal 22 7 2 3" xfId="25294" xr:uid="{00000000-0005-0000-0000-0000AB470000}"/>
    <cellStyle name="Normal 22 7 2 4" xfId="48556" xr:uid="{00000000-0005-0000-0000-0000AC470000}"/>
    <cellStyle name="Normal 22 7 3" xfId="15859" xr:uid="{00000000-0005-0000-0000-0000AD470000}"/>
    <cellStyle name="Normal 22 7 3 2" xfId="29991" xr:uid="{00000000-0005-0000-0000-0000AE470000}"/>
    <cellStyle name="Normal 22 7 3 3" xfId="43886" xr:uid="{00000000-0005-0000-0000-0000AF470000}"/>
    <cellStyle name="Normal 22 7 4" xfId="20672" xr:uid="{00000000-0005-0000-0000-0000B0470000}"/>
    <cellStyle name="Normal 22 7 5" xfId="39304" xr:uid="{00000000-0005-0000-0000-0000B1470000}"/>
    <cellStyle name="Normal 22 8" xfId="415" xr:uid="{00000000-0005-0000-0000-0000B2470000}"/>
    <cellStyle name="Normal 22 8 2" xfId="9674" xr:uid="{00000000-0005-0000-0000-0000B3470000}"/>
    <cellStyle name="Normal 22 8 2 2" xfId="33165" xr:uid="{00000000-0005-0000-0000-0000B4470000}"/>
    <cellStyle name="Normal 22 8 2 3" xfId="23850" xr:uid="{00000000-0005-0000-0000-0000B5470000}"/>
    <cellStyle name="Normal 22 8 2 4" xfId="47108" xr:uid="{00000000-0005-0000-0000-0000B6470000}"/>
    <cellStyle name="Normal 22 8 3" xfId="14435" xr:uid="{00000000-0005-0000-0000-0000B7470000}"/>
    <cellStyle name="Normal 22 8 3 2" xfId="28566" xr:uid="{00000000-0005-0000-0000-0000B8470000}"/>
    <cellStyle name="Normal 22 8 3 3" xfId="42446" xr:uid="{00000000-0005-0000-0000-0000B9470000}"/>
    <cellStyle name="Normal 22 8 4" xfId="19246" xr:uid="{00000000-0005-0000-0000-0000BA470000}"/>
    <cellStyle name="Normal 22 8 5" xfId="37881" xr:uid="{00000000-0005-0000-0000-0000BB470000}"/>
    <cellStyle name="Normal 22 9" xfId="51676" xr:uid="{00000000-0005-0000-0000-0000BC470000}"/>
    <cellStyle name="Normal 220" xfId="310" xr:uid="{00000000-0005-0000-0000-0000BD470000}"/>
    <cellStyle name="Normal 221" xfId="311" xr:uid="{00000000-0005-0000-0000-0000BE470000}"/>
    <cellStyle name="Normal 222" xfId="312" xr:uid="{00000000-0005-0000-0000-0000BF470000}"/>
    <cellStyle name="Normal 223" xfId="313" xr:uid="{00000000-0005-0000-0000-0000C0470000}"/>
    <cellStyle name="Normal 224" xfId="314" xr:uid="{00000000-0005-0000-0000-0000C1470000}"/>
    <cellStyle name="Normal 225" xfId="315" xr:uid="{00000000-0005-0000-0000-0000C2470000}"/>
    <cellStyle name="Normal 226" xfId="316" xr:uid="{00000000-0005-0000-0000-0000C3470000}"/>
    <cellStyle name="Normal 227" xfId="317" xr:uid="{00000000-0005-0000-0000-0000C4470000}"/>
    <cellStyle name="Normal 228" xfId="318" xr:uid="{00000000-0005-0000-0000-0000C5470000}"/>
    <cellStyle name="Normal 229" xfId="319" xr:uid="{00000000-0005-0000-0000-0000C6470000}"/>
    <cellStyle name="Normal 23" xfId="177" xr:uid="{00000000-0005-0000-0000-0000C7470000}"/>
    <cellStyle name="Normal 23 2" xfId="5287" xr:uid="{00000000-0005-0000-0000-0000C8470000}"/>
    <cellStyle name="Normal 23 2 2" xfId="11129" xr:uid="{00000000-0005-0000-0000-0000C9470000}"/>
    <cellStyle name="Normal 23 2 2 2" xfId="34614" xr:uid="{00000000-0005-0000-0000-0000CA470000}"/>
    <cellStyle name="Normal 23 2 2 3" xfId="25295" xr:uid="{00000000-0005-0000-0000-0000CB470000}"/>
    <cellStyle name="Normal 23 2 2 4" xfId="48557" xr:uid="{00000000-0005-0000-0000-0000CC470000}"/>
    <cellStyle name="Normal 23 2 3" xfId="15860" xr:uid="{00000000-0005-0000-0000-0000CD470000}"/>
    <cellStyle name="Normal 23 2 3 2" xfId="29992" xr:uid="{00000000-0005-0000-0000-0000CE470000}"/>
    <cellStyle name="Normal 23 2 3 3" xfId="43887" xr:uid="{00000000-0005-0000-0000-0000CF470000}"/>
    <cellStyle name="Normal 23 2 4" xfId="20673" xr:uid="{00000000-0005-0000-0000-0000D0470000}"/>
    <cellStyle name="Normal 23 2 5" xfId="39305" xr:uid="{00000000-0005-0000-0000-0000D1470000}"/>
    <cellStyle name="Normal 23 3" xfId="473" xr:uid="{00000000-0005-0000-0000-0000D2470000}"/>
    <cellStyle name="Normal 23 3 2" xfId="9706" xr:uid="{00000000-0005-0000-0000-0000D3470000}"/>
    <cellStyle name="Normal 23 3 2 2" xfId="33196" xr:uid="{00000000-0005-0000-0000-0000D4470000}"/>
    <cellStyle name="Normal 23 3 2 3" xfId="23882" xr:uid="{00000000-0005-0000-0000-0000D5470000}"/>
    <cellStyle name="Normal 23 3 2 4" xfId="47139" xr:uid="{00000000-0005-0000-0000-0000D6470000}"/>
    <cellStyle name="Normal 23 3 3" xfId="14465" xr:uid="{00000000-0005-0000-0000-0000D7470000}"/>
    <cellStyle name="Normal 23 3 3 2" xfId="28597" xr:uid="{00000000-0005-0000-0000-0000D8470000}"/>
    <cellStyle name="Normal 23 3 3 3" xfId="42477" xr:uid="{00000000-0005-0000-0000-0000D9470000}"/>
    <cellStyle name="Normal 23 3 4" xfId="19278" xr:uid="{00000000-0005-0000-0000-0000DA470000}"/>
    <cellStyle name="Normal 23 3 5" xfId="37911" xr:uid="{00000000-0005-0000-0000-0000DB470000}"/>
    <cellStyle name="Normal 23 4" xfId="9457" xr:uid="{00000000-0005-0000-0000-0000DC470000}"/>
    <cellStyle name="Normal 23 4 2" xfId="14129" xr:uid="{00000000-0005-0000-0000-0000DD470000}"/>
    <cellStyle name="Normal 23 4 2 2" xfId="37608" xr:uid="{00000000-0005-0000-0000-0000DE470000}"/>
    <cellStyle name="Normal 23 4 2 3" xfId="28294" xr:uid="{00000000-0005-0000-0000-0000DF470000}"/>
    <cellStyle name="Normal 23 4 2 4" xfId="51557" xr:uid="{00000000-0005-0000-0000-0000E0470000}"/>
    <cellStyle name="Normal 23 4 3" xfId="18842" xr:uid="{00000000-0005-0000-0000-0000E1470000}"/>
    <cellStyle name="Normal 23 4 3 2" xfId="32974" xr:uid="{00000000-0005-0000-0000-0000E2470000}"/>
    <cellStyle name="Normal 23 4 3 3" xfId="46878" xr:uid="{00000000-0005-0000-0000-0000E3470000}"/>
    <cellStyle name="Normal 23 4 4" xfId="23660" xr:uid="{00000000-0005-0000-0000-0000E4470000}"/>
    <cellStyle name="Normal 23 4 5" xfId="42247" xr:uid="{00000000-0005-0000-0000-0000E5470000}"/>
    <cellStyle name="Normal 23 5" xfId="47031" xr:uid="{00000000-0005-0000-0000-0000E6470000}"/>
    <cellStyle name="Normal 230" xfId="320" xr:uid="{00000000-0005-0000-0000-0000E7470000}"/>
    <cellStyle name="Normal 231" xfId="321" xr:uid="{00000000-0005-0000-0000-0000E8470000}"/>
    <cellStyle name="Normal 232" xfId="322" xr:uid="{00000000-0005-0000-0000-0000E9470000}"/>
    <cellStyle name="Normal 233" xfId="331" xr:uid="{00000000-0005-0000-0000-0000EA470000}"/>
    <cellStyle name="Normal 233 2" xfId="9645" xr:uid="{00000000-0005-0000-0000-0000EB470000}"/>
    <cellStyle name="Normal 233 3" xfId="42417" xr:uid="{00000000-0005-0000-0000-0000EC470000}"/>
    <cellStyle name="Normal 234" xfId="347" xr:uid="{00000000-0005-0000-0000-0000ED470000}"/>
    <cellStyle name="Normal 234 2" xfId="9658" xr:uid="{00000000-0005-0000-0000-0000EE470000}"/>
    <cellStyle name="Normal 234 2 2" xfId="33149" xr:uid="{00000000-0005-0000-0000-0000EF470000}"/>
    <cellStyle name="Normal 234 2 3" xfId="23836" xr:uid="{00000000-0005-0000-0000-0000F0470000}"/>
    <cellStyle name="Normal 234 2 4" xfId="47092" xr:uid="{00000000-0005-0000-0000-0000F1470000}"/>
    <cellStyle name="Normal 234 3" xfId="14419" xr:uid="{00000000-0005-0000-0000-0000F2470000}"/>
    <cellStyle name="Normal 234 3 2" xfId="28550" xr:uid="{00000000-0005-0000-0000-0000F3470000}"/>
    <cellStyle name="Normal 234 3 3" xfId="42430" xr:uid="{00000000-0005-0000-0000-0000F4470000}"/>
    <cellStyle name="Normal 234 4" xfId="19232" xr:uid="{00000000-0005-0000-0000-0000F5470000}"/>
    <cellStyle name="Normal 234 5" xfId="37867" xr:uid="{00000000-0005-0000-0000-0000F6470000}"/>
    <cellStyle name="Normal 235" xfId="348" xr:uid="{00000000-0005-0000-0000-0000F7470000}"/>
    <cellStyle name="Normal 235 2" xfId="9659" xr:uid="{00000000-0005-0000-0000-0000F8470000}"/>
    <cellStyle name="Normal 235 2 2" xfId="33150" xr:uid="{00000000-0005-0000-0000-0000F9470000}"/>
    <cellStyle name="Normal 235 2 3" xfId="23837" xr:uid="{00000000-0005-0000-0000-0000FA470000}"/>
    <cellStyle name="Normal 235 2 4" xfId="47093" xr:uid="{00000000-0005-0000-0000-0000FB470000}"/>
    <cellStyle name="Normal 235 3" xfId="14420" xr:uid="{00000000-0005-0000-0000-0000FC470000}"/>
    <cellStyle name="Normal 235 3 2" xfId="28551" xr:uid="{00000000-0005-0000-0000-0000FD470000}"/>
    <cellStyle name="Normal 235 3 3" xfId="42431" xr:uid="{00000000-0005-0000-0000-0000FE470000}"/>
    <cellStyle name="Normal 235 4" xfId="19233" xr:uid="{00000000-0005-0000-0000-0000FF470000}"/>
    <cellStyle name="Normal 235 5" xfId="37868" xr:uid="{00000000-0005-0000-0000-000000480000}"/>
    <cellStyle name="Normal 236" xfId="9455" xr:uid="{00000000-0005-0000-0000-000001480000}"/>
    <cellStyle name="Normal 236 2" xfId="14127" xr:uid="{00000000-0005-0000-0000-000002480000}"/>
    <cellStyle name="Normal 236 2 2" xfId="37606" xr:uid="{00000000-0005-0000-0000-000003480000}"/>
    <cellStyle name="Normal 236 2 3" xfId="28292" xr:uid="{00000000-0005-0000-0000-000004480000}"/>
    <cellStyle name="Normal 236 2 4" xfId="51555" xr:uid="{00000000-0005-0000-0000-000005480000}"/>
    <cellStyle name="Normal 236 3" xfId="18840" xr:uid="{00000000-0005-0000-0000-000006480000}"/>
    <cellStyle name="Normal 236 3 2" xfId="32972" xr:uid="{00000000-0005-0000-0000-000007480000}"/>
    <cellStyle name="Normal 236 3 3" xfId="46876" xr:uid="{00000000-0005-0000-0000-000008480000}"/>
    <cellStyle name="Normal 236 4" xfId="23658" xr:uid="{00000000-0005-0000-0000-000009480000}"/>
    <cellStyle name="Normal 236 5" xfId="42245" xr:uid="{00000000-0005-0000-0000-00000A480000}"/>
    <cellStyle name="Normal 237" xfId="9461" xr:uid="{00000000-0005-0000-0000-00000B480000}"/>
    <cellStyle name="Normal 237 2" xfId="14133" xr:uid="{00000000-0005-0000-0000-00000C480000}"/>
    <cellStyle name="Normal 237 2 2" xfId="37612" xr:uid="{00000000-0005-0000-0000-00000D480000}"/>
    <cellStyle name="Normal 237 2 3" xfId="28298" xr:uid="{00000000-0005-0000-0000-00000E480000}"/>
    <cellStyle name="Normal 237 2 4" xfId="51561" xr:uid="{00000000-0005-0000-0000-00000F480000}"/>
    <cellStyle name="Normal 237 3" xfId="18846" xr:uid="{00000000-0005-0000-0000-000010480000}"/>
    <cellStyle name="Normal 237 3 2" xfId="32978" xr:uid="{00000000-0005-0000-0000-000011480000}"/>
    <cellStyle name="Normal 237 3 3" xfId="46883" xr:uid="{00000000-0005-0000-0000-000012480000}"/>
    <cellStyle name="Normal 237 4" xfId="23664" xr:uid="{00000000-0005-0000-0000-000013480000}"/>
    <cellStyle name="Normal 237 5" xfId="42251" xr:uid="{00000000-0005-0000-0000-000014480000}"/>
    <cellStyle name="Normal 237 6" xfId="51732" xr:uid="{00000000-0005-0000-0000-000015480000}"/>
    <cellStyle name="Normal 238" xfId="9463" xr:uid="{00000000-0005-0000-0000-000016480000}"/>
    <cellStyle name="Normal 238 2" xfId="14135" xr:uid="{00000000-0005-0000-0000-000017480000}"/>
    <cellStyle name="Normal 238 2 2" xfId="37614" xr:uid="{00000000-0005-0000-0000-000018480000}"/>
    <cellStyle name="Normal 238 2 3" xfId="28300" xr:uid="{00000000-0005-0000-0000-000019480000}"/>
    <cellStyle name="Normal 238 2 4" xfId="51563" xr:uid="{00000000-0005-0000-0000-00001A480000}"/>
    <cellStyle name="Normal 238 3" xfId="18848" xr:uid="{00000000-0005-0000-0000-00001B480000}"/>
    <cellStyle name="Normal 238 3 2" xfId="32980" xr:uid="{00000000-0005-0000-0000-00001C480000}"/>
    <cellStyle name="Normal 238 3 3" xfId="46885" xr:uid="{00000000-0005-0000-0000-00001D480000}"/>
    <cellStyle name="Normal 238 4" xfId="23666" xr:uid="{00000000-0005-0000-0000-00001E480000}"/>
    <cellStyle name="Normal 238 5" xfId="42253" xr:uid="{00000000-0005-0000-0000-00001F480000}"/>
    <cellStyle name="Normal 239" xfId="9503" xr:uid="{00000000-0005-0000-0000-000020480000}"/>
    <cellStyle name="Normal 239 2" xfId="14172" xr:uid="{00000000-0005-0000-0000-000021480000}"/>
    <cellStyle name="Normal 239 2 2" xfId="37650" xr:uid="{00000000-0005-0000-0000-000022480000}"/>
    <cellStyle name="Normal 239 2 3" xfId="28335" xr:uid="{00000000-0005-0000-0000-000023480000}"/>
    <cellStyle name="Normal 239 2 4" xfId="51599" xr:uid="{00000000-0005-0000-0000-000024480000}"/>
    <cellStyle name="Normal 239 3" xfId="18882" xr:uid="{00000000-0005-0000-0000-000025480000}"/>
    <cellStyle name="Normal 239 3 2" xfId="33015" xr:uid="{00000000-0005-0000-0000-000026480000}"/>
    <cellStyle name="Normal 239 3 3" xfId="46918" xr:uid="{00000000-0005-0000-0000-000027480000}"/>
    <cellStyle name="Normal 239 4" xfId="23701" xr:uid="{00000000-0005-0000-0000-000028480000}"/>
    <cellStyle name="Normal 239 5" xfId="42288" xr:uid="{00000000-0005-0000-0000-000029480000}"/>
    <cellStyle name="Normal 24" xfId="178" xr:uid="{00000000-0005-0000-0000-00002A480000}"/>
    <cellStyle name="Normal 24 2" xfId="5289" xr:uid="{00000000-0005-0000-0000-00002B480000}"/>
    <cellStyle name="Normal 24 2 2" xfId="5290" xr:uid="{00000000-0005-0000-0000-00002C480000}"/>
    <cellStyle name="Normal 24 2 2 2" xfId="11132" xr:uid="{00000000-0005-0000-0000-00002D480000}"/>
    <cellStyle name="Normal 24 2 2 2 2" xfId="34617" xr:uid="{00000000-0005-0000-0000-00002E480000}"/>
    <cellStyle name="Normal 24 2 2 2 3" xfId="25298" xr:uid="{00000000-0005-0000-0000-00002F480000}"/>
    <cellStyle name="Normal 24 2 2 2 4" xfId="48560" xr:uid="{00000000-0005-0000-0000-000030480000}"/>
    <cellStyle name="Normal 24 2 2 3" xfId="15863" xr:uid="{00000000-0005-0000-0000-000031480000}"/>
    <cellStyle name="Normal 24 2 2 3 2" xfId="29995" xr:uid="{00000000-0005-0000-0000-000032480000}"/>
    <cellStyle name="Normal 24 2 2 3 3" xfId="43890" xr:uid="{00000000-0005-0000-0000-000033480000}"/>
    <cellStyle name="Normal 24 2 2 4" xfId="20676" xr:uid="{00000000-0005-0000-0000-000034480000}"/>
    <cellStyle name="Normal 24 2 2 5" xfId="39308" xr:uid="{00000000-0005-0000-0000-000035480000}"/>
    <cellStyle name="Normal 24 2 3" xfId="11131" xr:uid="{00000000-0005-0000-0000-000036480000}"/>
    <cellStyle name="Normal 24 2 3 2" xfId="34616" xr:uid="{00000000-0005-0000-0000-000037480000}"/>
    <cellStyle name="Normal 24 2 3 3" xfId="25297" xr:uid="{00000000-0005-0000-0000-000038480000}"/>
    <cellStyle name="Normal 24 2 3 4" xfId="48559" xr:uid="{00000000-0005-0000-0000-000039480000}"/>
    <cellStyle name="Normal 24 2 4" xfId="15862" xr:uid="{00000000-0005-0000-0000-00003A480000}"/>
    <cellStyle name="Normal 24 2 4 2" xfId="29994" xr:uid="{00000000-0005-0000-0000-00003B480000}"/>
    <cellStyle name="Normal 24 2 4 3" xfId="43889" xr:uid="{00000000-0005-0000-0000-00003C480000}"/>
    <cellStyle name="Normal 24 2 5" xfId="20675" xr:uid="{00000000-0005-0000-0000-00003D480000}"/>
    <cellStyle name="Normal 24 2 6" xfId="39307" xr:uid="{00000000-0005-0000-0000-00003E480000}"/>
    <cellStyle name="Normal 24 3" xfId="5291" xr:uid="{00000000-0005-0000-0000-00003F480000}"/>
    <cellStyle name="Normal 24 3 2" xfId="5292" xr:uid="{00000000-0005-0000-0000-000040480000}"/>
    <cellStyle name="Normal 24 3 2 2" xfId="11134" xr:uid="{00000000-0005-0000-0000-000041480000}"/>
    <cellStyle name="Normal 24 3 2 2 2" xfId="34619" xr:uid="{00000000-0005-0000-0000-000042480000}"/>
    <cellStyle name="Normal 24 3 2 2 3" xfId="25300" xr:uid="{00000000-0005-0000-0000-000043480000}"/>
    <cellStyle name="Normal 24 3 2 2 4" xfId="48562" xr:uid="{00000000-0005-0000-0000-000044480000}"/>
    <cellStyle name="Normal 24 3 2 3" xfId="15865" xr:uid="{00000000-0005-0000-0000-000045480000}"/>
    <cellStyle name="Normal 24 3 2 3 2" xfId="29997" xr:uid="{00000000-0005-0000-0000-000046480000}"/>
    <cellStyle name="Normal 24 3 2 3 3" xfId="43892" xr:uid="{00000000-0005-0000-0000-000047480000}"/>
    <cellStyle name="Normal 24 3 2 4" xfId="20678" xr:uid="{00000000-0005-0000-0000-000048480000}"/>
    <cellStyle name="Normal 24 3 2 5" xfId="39310" xr:uid="{00000000-0005-0000-0000-000049480000}"/>
    <cellStyle name="Normal 24 3 3" xfId="11133" xr:uid="{00000000-0005-0000-0000-00004A480000}"/>
    <cellStyle name="Normal 24 3 3 2" xfId="34618" xr:uid="{00000000-0005-0000-0000-00004B480000}"/>
    <cellStyle name="Normal 24 3 3 3" xfId="25299" xr:uid="{00000000-0005-0000-0000-00004C480000}"/>
    <cellStyle name="Normal 24 3 3 4" xfId="48561" xr:uid="{00000000-0005-0000-0000-00004D480000}"/>
    <cellStyle name="Normal 24 3 4" xfId="15864" xr:uid="{00000000-0005-0000-0000-00004E480000}"/>
    <cellStyle name="Normal 24 3 4 2" xfId="29996" xr:uid="{00000000-0005-0000-0000-00004F480000}"/>
    <cellStyle name="Normal 24 3 4 3" xfId="43891" xr:uid="{00000000-0005-0000-0000-000050480000}"/>
    <cellStyle name="Normal 24 3 5" xfId="20677" xr:uid="{00000000-0005-0000-0000-000051480000}"/>
    <cellStyle name="Normal 24 3 6" xfId="39309" xr:uid="{00000000-0005-0000-0000-000052480000}"/>
    <cellStyle name="Normal 24 4" xfId="5293" xr:uid="{00000000-0005-0000-0000-000053480000}"/>
    <cellStyle name="Normal 24 4 2" xfId="5294" xr:uid="{00000000-0005-0000-0000-000054480000}"/>
    <cellStyle name="Normal 24 4 2 2" xfId="11136" xr:uid="{00000000-0005-0000-0000-000055480000}"/>
    <cellStyle name="Normal 24 4 2 2 2" xfId="34621" xr:uid="{00000000-0005-0000-0000-000056480000}"/>
    <cellStyle name="Normal 24 4 2 2 3" xfId="25302" xr:uid="{00000000-0005-0000-0000-000057480000}"/>
    <cellStyle name="Normal 24 4 2 2 4" xfId="48564" xr:uid="{00000000-0005-0000-0000-000058480000}"/>
    <cellStyle name="Normal 24 4 2 3" xfId="15867" xr:uid="{00000000-0005-0000-0000-000059480000}"/>
    <cellStyle name="Normal 24 4 2 3 2" xfId="29999" xr:uid="{00000000-0005-0000-0000-00005A480000}"/>
    <cellStyle name="Normal 24 4 2 3 3" xfId="43894" xr:uid="{00000000-0005-0000-0000-00005B480000}"/>
    <cellStyle name="Normal 24 4 2 4" xfId="20680" xr:uid="{00000000-0005-0000-0000-00005C480000}"/>
    <cellStyle name="Normal 24 4 2 5" xfId="39312" xr:uid="{00000000-0005-0000-0000-00005D480000}"/>
    <cellStyle name="Normal 24 4 3" xfId="11135" xr:uid="{00000000-0005-0000-0000-00005E480000}"/>
    <cellStyle name="Normal 24 4 3 2" xfId="34620" xr:uid="{00000000-0005-0000-0000-00005F480000}"/>
    <cellStyle name="Normal 24 4 3 3" xfId="25301" xr:uid="{00000000-0005-0000-0000-000060480000}"/>
    <cellStyle name="Normal 24 4 3 4" xfId="48563" xr:uid="{00000000-0005-0000-0000-000061480000}"/>
    <cellStyle name="Normal 24 4 4" xfId="15866" xr:uid="{00000000-0005-0000-0000-000062480000}"/>
    <cellStyle name="Normal 24 4 4 2" xfId="29998" xr:uid="{00000000-0005-0000-0000-000063480000}"/>
    <cellStyle name="Normal 24 4 4 3" xfId="43893" xr:uid="{00000000-0005-0000-0000-000064480000}"/>
    <cellStyle name="Normal 24 4 5" xfId="20679" xr:uid="{00000000-0005-0000-0000-000065480000}"/>
    <cellStyle name="Normal 24 4 6" xfId="39311" xr:uid="{00000000-0005-0000-0000-000066480000}"/>
    <cellStyle name="Normal 24 5" xfId="5295" xr:uid="{00000000-0005-0000-0000-000067480000}"/>
    <cellStyle name="Normal 24 5 2" xfId="5296" xr:uid="{00000000-0005-0000-0000-000068480000}"/>
    <cellStyle name="Normal 24 5 2 2" xfId="11138" xr:uid="{00000000-0005-0000-0000-000069480000}"/>
    <cellStyle name="Normal 24 5 2 2 2" xfId="34623" xr:uid="{00000000-0005-0000-0000-00006A480000}"/>
    <cellStyle name="Normal 24 5 2 2 3" xfId="25304" xr:uid="{00000000-0005-0000-0000-00006B480000}"/>
    <cellStyle name="Normal 24 5 2 2 4" xfId="48566" xr:uid="{00000000-0005-0000-0000-00006C480000}"/>
    <cellStyle name="Normal 24 5 2 3" xfId="15869" xr:uid="{00000000-0005-0000-0000-00006D480000}"/>
    <cellStyle name="Normal 24 5 2 3 2" xfId="30001" xr:uid="{00000000-0005-0000-0000-00006E480000}"/>
    <cellStyle name="Normal 24 5 2 3 3" xfId="43896" xr:uid="{00000000-0005-0000-0000-00006F480000}"/>
    <cellStyle name="Normal 24 5 2 4" xfId="20682" xr:uid="{00000000-0005-0000-0000-000070480000}"/>
    <cellStyle name="Normal 24 5 2 5" xfId="39314" xr:uid="{00000000-0005-0000-0000-000071480000}"/>
    <cellStyle name="Normal 24 5 3" xfId="11137" xr:uid="{00000000-0005-0000-0000-000072480000}"/>
    <cellStyle name="Normal 24 5 3 2" xfId="34622" xr:uid="{00000000-0005-0000-0000-000073480000}"/>
    <cellStyle name="Normal 24 5 3 3" xfId="25303" xr:uid="{00000000-0005-0000-0000-000074480000}"/>
    <cellStyle name="Normal 24 5 3 4" xfId="48565" xr:uid="{00000000-0005-0000-0000-000075480000}"/>
    <cellStyle name="Normal 24 5 4" xfId="15868" xr:uid="{00000000-0005-0000-0000-000076480000}"/>
    <cellStyle name="Normal 24 5 4 2" xfId="30000" xr:uid="{00000000-0005-0000-0000-000077480000}"/>
    <cellStyle name="Normal 24 5 4 3" xfId="43895" xr:uid="{00000000-0005-0000-0000-000078480000}"/>
    <cellStyle name="Normal 24 5 5" xfId="20681" xr:uid="{00000000-0005-0000-0000-000079480000}"/>
    <cellStyle name="Normal 24 5 6" xfId="39313" xr:uid="{00000000-0005-0000-0000-00007A480000}"/>
    <cellStyle name="Normal 24 6" xfId="5297" xr:uid="{00000000-0005-0000-0000-00007B480000}"/>
    <cellStyle name="Normal 24 6 2" xfId="5298" xr:uid="{00000000-0005-0000-0000-00007C480000}"/>
    <cellStyle name="Normal 24 6 2 2" xfId="11140" xr:uid="{00000000-0005-0000-0000-00007D480000}"/>
    <cellStyle name="Normal 24 6 2 2 2" xfId="34625" xr:uid="{00000000-0005-0000-0000-00007E480000}"/>
    <cellStyle name="Normal 24 6 2 2 3" xfId="25306" xr:uid="{00000000-0005-0000-0000-00007F480000}"/>
    <cellStyle name="Normal 24 6 2 2 4" xfId="48568" xr:uid="{00000000-0005-0000-0000-000080480000}"/>
    <cellStyle name="Normal 24 6 2 3" xfId="15871" xr:uid="{00000000-0005-0000-0000-000081480000}"/>
    <cellStyle name="Normal 24 6 2 3 2" xfId="30003" xr:uid="{00000000-0005-0000-0000-000082480000}"/>
    <cellStyle name="Normal 24 6 2 3 3" xfId="43898" xr:uid="{00000000-0005-0000-0000-000083480000}"/>
    <cellStyle name="Normal 24 6 2 4" xfId="20684" xr:uid="{00000000-0005-0000-0000-000084480000}"/>
    <cellStyle name="Normal 24 6 2 5" xfId="39316" xr:uid="{00000000-0005-0000-0000-000085480000}"/>
    <cellStyle name="Normal 24 6 3" xfId="11139" xr:uid="{00000000-0005-0000-0000-000086480000}"/>
    <cellStyle name="Normal 24 6 3 2" xfId="34624" xr:uid="{00000000-0005-0000-0000-000087480000}"/>
    <cellStyle name="Normal 24 6 3 3" xfId="25305" xr:uid="{00000000-0005-0000-0000-000088480000}"/>
    <cellStyle name="Normal 24 6 3 4" xfId="48567" xr:uid="{00000000-0005-0000-0000-000089480000}"/>
    <cellStyle name="Normal 24 6 4" xfId="15870" xr:uid="{00000000-0005-0000-0000-00008A480000}"/>
    <cellStyle name="Normal 24 6 4 2" xfId="30002" xr:uid="{00000000-0005-0000-0000-00008B480000}"/>
    <cellStyle name="Normal 24 6 4 3" xfId="43897" xr:uid="{00000000-0005-0000-0000-00008C480000}"/>
    <cellStyle name="Normal 24 6 5" xfId="20683" xr:uid="{00000000-0005-0000-0000-00008D480000}"/>
    <cellStyle name="Normal 24 6 6" xfId="39315" xr:uid="{00000000-0005-0000-0000-00008E480000}"/>
    <cellStyle name="Normal 24 7" xfId="5299" xr:uid="{00000000-0005-0000-0000-00008F480000}"/>
    <cellStyle name="Normal 24 7 2" xfId="11141" xr:uid="{00000000-0005-0000-0000-000090480000}"/>
    <cellStyle name="Normal 24 7 2 2" xfId="34626" xr:uid="{00000000-0005-0000-0000-000091480000}"/>
    <cellStyle name="Normal 24 7 2 3" xfId="25307" xr:uid="{00000000-0005-0000-0000-000092480000}"/>
    <cellStyle name="Normal 24 7 2 4" xfId="48569" xr:uid="{00000000-0005-0000-0000-000093480000}"/>
    <cellStyle name="Normal 24 7 3" xfId="15872" xr:uid="{00000000-0005-0000-0000-000094480000}"/>
    <cellStyle name="Normal 24 7 3 2" xfId="30004" xr:uid="{00000000-0005-0000-0000-000095480000}"/>
    <cellStyle name="Normal 24 7 3 3" xfId="43899" xr:uid="{00000000-0005-0000-0000-000096480000}"/>
    <cellStyle name="Normal 24 7 4" xfId="20685" xr:uid="{00000000-0005-0000-0000-000097480000}"/>
    <cellStyle name="Normal 24 7 5" xfId="39317" xr:uid="{00000000-0005-0000-0000-000098480000}"/>
    <cellStyle name="Normal 24 8" xfId="5288" xr:uid="{00000000-0005-0000-0000-000099480000}"/>
    <cellStyle name="Normal 24 8 2" xfId="11130" xr:uid="{00000000-0005-0000-0000-00009A480000}"/>
    <cellStyle name="Normal 24 8 2 2" xfId="34615" xr:uid="{00000000-0005-0000-0000-00009B480000}"/>
    <cellStyle name="Normal 24 8 2 3" xfId="25296" xr:uid="{00000000-0005-0000-0000-00009C480000}"/>
    <cellStyle name="Normal 24 8 2 4" xfId="48558" xr:uid="{00000000-0005-0000-0000-00009D480000}"/>
    <cellStyle name="Normal 24 8 3" xfId="15861" xr:uid="{00000000-0005-0000-0000-00009E480000}"/>
    <cellStyle name="Normal 24 8 3 2" xfId="29993" xr:uid="{00000000-0005-0000-0000-00009F480000}"/>
    <cellStyle name="Normal 24 8 3 3" xfId="43888" xr:uid="{00000000-0005-0000-0000-0000A0480000}"/>
    <cellStyle name="Normal 24 8 4" xfId="20674" xr:uid="{00000000-0005-0000-0000-0000A1480000}"/>
    <cellStyle name="Normal 24 8 5" xfId="39306" xr:uid="{00000000-0005-0000-0000-0000A2480000}"/>
    <cellStyle name="Normal 240" xfId="9468" xr:uid="{00000000-0005-0000-0000-0000A3480000}"/>
    <cellStyle name="Normal 240 2" xfId="14139" xr:uid="{00000000-0005-0000-0000-0000A4480000}"/>
    <cellStyle name="Normal 240 2 2" xfId="37617" xr:uid="{00000000-0005-0000-0000-0000A5480000}"/>
    <cellStyle name="Normal 240 2 3" xfId="28303" xr:uid="{00000000-0005-0000-0000-0000A6480000}"/>
    <cellStyle name="Normal 240 2 4" xfId="51566" xr:uid="{00000000-0005-0000-0000-0000A7480000}"/>
    <cellStyle name="Normal 240 3" xfId="18851" xr:uid="{00000000-0005-0000-0000-0000A8480000}"/>
    <cellStyle name="Normal 240 3 2" xfId="32983" xr:uid="{00000000-0005-0000-0000-0000A9480000}"/>
    <cellStyle name="Normal 240 3 3" xfId="46887" xr:uid="{00000000-0005-0000-0000-0000AA480000}"/>
    <cellStyle name="Normal 240 4" xfId="23669" xr:uid="{00000000-0005-0000-0000-0000AB480000}"/>
    <cellStyle name="Normal 240 5" xfId="42256" xr:uid="{00000000-0005-0000-0000-0000AC480000}"/>
    <cellStyle name="Normal 241" xfId="9510" xr:uid="{00000000-0005-0000-0000-0000AD480000}"/>
    <cellStyle name="Normal 241 2" xfId="14178" xr:uid="{00000000-0005-0000-0000-0000AE480000}"/>
    <cellStyle name="Normal 241 2 2" xfId="37653" xr:uid="{00000000-0005-0000-0000-0000AF480000}"/>
    <cellStyle name="Normal 241 2 3" xfId="28338" xr:uid="{00000000-0005-0000-0000-0000B0480000}"/>
    <cellStyle name="Normal 241 2 4" xfId="51603" xr:uid="{00000000-0005-0000-0000-0000B1480000}"/>
    <cellStyle name="Normal 241 3" xfId="18884" xr:uid="{00000000-0005-0000-0000-0000B2480000}"/>
    <cellStyle name="Normal 241 3 2" xfId="33019" xr:uid="{00000000-0005-0000-0000-0000B3480000}"/>
    <cellStyle name="Normal 241 3 3" xfId="46925" xr:uid="{00000000-0005-0000-0000-0000B4480000}"/>
    <cellStyle name="Normal 241 4" xfId="23704" xr:uid="{00000000-0005-0000-0000-0000B5480000}"/>
    <cellStyle name="Normal 241 5" xfId="42291" xr:uid="{00000000-0005-0000-0000-0000B6480000}"/>
    <cellStyle name="Normal 242" xfId="9543" xr:uid="{00000000-0005-0000-0000-0000B7480000}"/>
    <cellStyle name="Normal 243" xfId="9578" xr:uid="{00000000-0005-0000-0000-0000B8480000}"/>
    <cellStyle name="Normal 243 2" xfId="9616" xr:uid="{00000000-0005-0000-0000-0000B9480000}"/>
    <cellStyle name="Normal 243 2 2" xfId="14272" xr:uid="{00000000-0005-0000-0000-0000BA480000}"/>
    <cellStyle name="Normal 243 2 2 2" xfId="37747" xr:uid="{00000000-0005-0000-0000-0000BB480000}"/>
    <cellStyle name="Normal 243 2 2 3" xfId="28432" xr:uid="{00000000-0005-0000-0000-0000BC480000}"/>
    <cellStyle name="Normal 243 2 2 4" xfId="47021" xr:uid="{00000000-0005-0000-0000-0000BD480000}"/>
    <cellStyle name="Normal 243 2 3" xfId="33111" xr:uid="{00000000-0005-0000-0000-0000BE480000}"/>
    <cellStyle name="Normal 243 2 4" xfId="23800" xr:uid="{00000000-0005-0000-0000-0000BF480000}"/>
    <cellStyle name="Normal 243 2 5" xfId="42385" xr:uid="{00000000-0005-0000-0000-0000C0480000}"/>
    <cellStyle name="Normal 243 3" xfId="14237" xr:uid="{00000000-0005-0000-0000-0000C1480000}"/>
    <cellStyle name="Normal 243 3 2" xfId="37712" xr:uid="{00000000-0005-0000-0000-0000C2480000}"/>
    <cellStyle name="Normal 243 3 3" xfId="28397" xr:uid="{00000000-0005-0000-0000-0000C3480000}"/>
    <cellStyle name="Normal 243 3 4" xfId="46986" xr:uid="{00000000-0005-0000-0000-0000C4480000}"/>
    <cellStyle name="Normal 243 4" xfId="33076" xr:uid="{00000000-0005-0000-0000-0000C5480000}"/>
    <cellStyle name="Normal 243 5" xfId="23765" xr:uid="{00000000-0005-0000-0000-0000C6480000}"/>
    <cellStyle name="Normal 243 6" xfId="42350" xr:uid="{00000000-0005-0000-0000-0000C7480000}"/>
    <cellStyle name="Normal 244" xfId="9599" xr:uid="{00000000-0005-0000-0000-0000C8480000}"/>
    <cellStyle name="Normal 244 2" xfId="14255" xr:uid="{00000000-0005-0000-0000-0000C9480000}"/>
    <cellStyle name="Normal 244 2 2" xfId="37730" xr:uid="{00000000-0005-0000-0000-0000CA480000}"/>
    <cellStyle name="Normal 244 2 3" xfId="28415" xr:uid="{00000000-0005-0000-0000-0000CB480000}"/>
    <cellStyle name="Normal 244 2 4" xfId="47004" xr:uid="{00000000-0005-0000-0000-0000CC480000}"/>
    <cellStyle name="Normal 244 3" xfId="33094" xr:uid="{00000000-0005-0000-0000-0000CD480000}"/>
    <cellStyle name="Normal 244 4" xfId="23783" xr:uid="{00000000-0005-0000-0000-0000CE480000}"/>
    <cellStyle name="Normal 244 5" xfId="42368" xr:uid="{00000000-0005-0000-0000-0000CF480000}"/>
    <cellStyle name="Normal 245" xfId="9601" xr:uid="{00000000-0005-0000-0000-0000D0480000}"/>
    <cellStyle name="Normal 245 2" xfId="14257" xr:uid="{00000000-0005-0000-0000-0000D1480000}"/>
    <cellStyle name="Normal 245 2 2" xfId="37732" xr:uid="{00000000-0005-0000-0000-0000D2480000}"/>
    <cellStyle name="Normal 245 2 3" xfId="28417" xr:uid="{00000000-0005-0000-0000-0000D3480000}"/>
    <cellStyle name="Normal 245 2 4" xfId="47006" xr:uid="{00000000-0005-0000-0000-0000D4480000}"/>
    <cellStyle name="Normal 245 3" xfId="33096" xr:uid="{00000000-0005-0000-0000-0000D5480000}"/>
    <cellStyle name="Normal 245 4" xfId="23785" xr:uid="{00000000-0005-0000-0000-0000D6480000}"/>
    <cellStyle name="Normal 245 5" xfId="42370" xr:uid="{00000000-0005-0000-0000-0000D7480000}"/>
    <cellStyle name="Normal 246" xfId="9613" xr:uid="{00000000-0005-0000-0000-0000D8480000}"/>
    <cellStyle name="Normal 246 2" xfId="14269" xr:uid="{00000000-0005-0000-0000-0000D9480000}"/>
    <cellStyle name="Normal 246 2 2" xfId="37744" xr:uid="{00000000-0005-0000-0000-0000DA480000}"/>
    <cellStyle name="Normal 246 2 3" xfId="28429" xr:uid="{00000000-0005-0000-0000-0000DB480000}"/>
    <cellStyle name="Normal 246 2 4" xfId="47018" xr:uid="{00000000-0005-0000-0000-0000DC480000}"/>
    <cellStyle name="Normal 246 3" xfId="33108" xr:uid="{00000000-0005-0000-0000-0000DD480000}"/>
    <cellStyle name="Normal 246 4" xfId="23797" xr:uid="{00000000-0005-0000-0000-0000DE480000}"/>
    <cellStyle name="Normal 246 5" xfId="42382" xr:uid="{00000000-0005-0000-0000-0000DF480000}"/>
    <cellStyle name="Normal 247" xfId="14369" xr:uid="{00000000-0005-0000-0000-0000E0480000}"/>
    <cellStyle name="Normal 247 2" xfId="47024" xr:uid="{00000000-0005-0000-0000-0000E1480000}"/>
    <cellStyle name="Normal 248" xfId="14373" xr:uid="{00000000-0005-0000-0000-0000E2480000}"/>
    <cellStyle name="Normal 248 2" xfId="47027" xr:uid="{00000000-0005-0000-0000-0000E3480000}"/>
    <cellStyle name="Normal 249" xfId="14376" xr:uid="{00000000-0005-0000-0000-0000E4480000}"/>
    <cellStyle name="Normal 249 2" xfId="47029" xr:uid="{00000000-0005-0000-0000-0000E5480000}"/>
    <cellStyle name="Normal 25" xfId="179" xr:uid="{00000000-0005-0000-0000-0000E6480000}"/>
    <cellStyle name="Normal 25 2" xfId="5300" xr:uid="{00000000-0005-0000-0000-0000E7480000}"/>
    <cellStyle name="Normal 25 3" xfId="5301" xr:uid="{00000000-0005-0000-0000-0000E8480000}"/>
    <cellStyle name="Normal 25 4" xfId="5302" xr:uid="{00000000-0005-0000-0000-0000E9480000}"/>
    <cellStyle name="Normal 25 5" xfId="5303" xr:uid="{00000000-0005-0000-0000-0000EA480000}"/>
    <cellStyle name="Normal 25 6" xfId="5304" xr:uid="{00000000-0005-0000-0000-0000EB480000}"/>
    <cellStyle name="Normal 25 7" xfId="5305" xr:uid="{00000000-0005-0000-0000-0000EC480000}"/>
    <cellStyle name="Normal 25 7 2" xfId="11142" xr:uid="{00000000-0005-0000-0000-0000ED480000}"/>
    <cellStyle name="Normal 25 7 2 2" xfId="34627" xr:uid="{00000000-0005-0000-0000-0000EE480000}"/>
    <cellStyle name="Normal 25 7 2 3" xfId="25308" xr:uid="{00000000-0005-0000-0000-0000EF480000}"/>
    <cellStyle name="Normal 25 7 2 4" xfId="48570" xr:uid="{00000000-0005-0000-0000-0000F0480000}"/>
    <cellStyle name="Normal 25 7 3" xfId="15873" xr:uid="{00000000-0005-0000-0000-0000F1480000}"/>
    <cellStyle name="Normal 25 7 3 2" xfId="30005" xr:uid="{00000000-0005-0000-0000-0000F2480000}"/>
    <cellStyle name="Normal 25 7 3 3" xfId="43900" xr:uid="{00000000-0005-0000-0000-0000F3480000}"/>
    <cellStyle name="Normal 25 7 4" xfId="20686" xr:uid="{00000000-0005-0000-0000-0000F4480000}"/>
    <cellStyle name="Normal 25 7 5" xfId="39318" xr:uid="{00000000-0005-0000-0000-0000F5480000}"/>
    <cellStyle name="Normal 250" xfId="14386" xr:uid="{00000000-0005-0000-0000-0000F6480000}"/>
    <cellStyle name="Normal 250 2" xfId="47053" xr:uid="{00000000-0005-0000-0000-0000F7480000}"/>
    <cellStyle name="Normal 251" xfId="18919" xr:uid="{00000000-0005-0000-0000-0000F8480000}"/>
    <cellStyle name="Normal 251 2" xfId="47028" xr:uid="{00000000-0005-0000-0000-0000F9480000}"/>
    <cellStyle name="Normal 252" xfId="19199" xr:uid="{00000000-0005-0000-0000-0000FA480000}"/>
    <cellStyle name="Normal 252 2" xfId="47052" xr:uid="{00000000-0005-0000-0000-0000FB480000}"/>
    <cellStyle name="Normal 253" xfId="47047" xr:uid="{00000000-0005-0000-0000-0000FC480000}"/>
    <cellStyle name="Normal 254" xfId="47051" xr:uid="{00000000-0005-0000-0000-0000FD480000}"/>
    <cellStyle name="Normal 255" xfId="47025" xr:uid="{00000000-0005-0000-0000-0000FE480000}"/>
    <cellStyle name="Normal 256" xfId="47050" xr:uid="{00000000-0005-0000-0000-0000FF480000}"/>
    <cellStyle name="Normal 257" xfId="47054" xr:uid="{00000000-0005-0000-0000-000000490000}"/>
    <cellStyle name="Normal 258" xfId="47049" xr:uid="{00000000-0005-0000-0000-000001490000}"/>
    <cellStyle name="Normal 259" xfId="47048" xr:uid="{00000000-0005-0000-0000-000002490000}"/>
    <cellStyle name="Normal 26" xfId="180" xr:uid="{00000000-0005-0000-0000-000003490000}"/>
    <cellStyle name="Normal 26 2" xfId="5307" xr:uid="{00000000-0005-0000-0000-000004490000}"/>
    <cellStyle name="Normal 26 2 2" xfId="5308" xr:uid="{00000000-0005-0000-0000-000005490000}"/>
    <cellStyle name="Normal 26 2 2 2" xfId="11145" xr:uid="{00000000-0005-0000-0000-000006490000}"/>
    <cellStyle name="Normal 26 2 2 2 2" xfId="34630" xr:uid="{00000000-0005-0000-0000-000007490000}"/>
    <cellStyle name="Normal 26 2 2 2 3" xfId="25311" xr:uid="{00000000-0005-0000-0000-000008490000}"/>
    <cellStyle name="Normal 26 2 2 2 4" xfId="48573" xr:uid="{00000000-0005-0000-0000-000009490000}"/>
    <cellStyle name="Normal 26 2 2 3" xfId="15876" xr:uid="{00000000-0005-0000-0000-00000A490000}"/>
    <cellStyle name="Normal 26 2 2 3 2" xfId="30008" xr:uid="{00000000-0005-0000-0000-00000B490000}"/>
    <cellStyle name="Normal 26 2 2 3 3" xfId="43903" xr:uid="{00000000-0005-0000-0000-00000C490000}"/>
    <cellStyle name="Normal 26 2 2 4" xfId="20689" xr:uid="{00000000-0005-0000-0000-00000D490000}"/>
    <cellStyle name="Normal 26 2 2 5" xfId="39321" xr:uid="{00000000-0005-0000-0000-00000E490000}"/>
    <cellStyle name="Normal 26 2 3" xfId="11144" xr:uid="{00000000-0005-0000-0000-00000F490000}"/>
    <cellStyle name="Normal 26 2 3 2" xfId="34629" xr:uid="{00000000-0005-0000-0000-000010490000}"/>
    <cellStyle name="Normal 26 2 3 3" xfId="25310" xr:uid="{00000000-0005-0000-0000-000011490000}"/>
    <cellStyle name="Normal 26 2 3 4" xfId="48572" xr:uid="{00000000-0005-0000-0000-000012490000}"/>
    <cellStyle name="Normal 26 2 4" xfId="15875" xr:uid="{00000000-0005-0000-0000-000013490000}"/>
    <cellStyle name="Normal 26 2 4 2" xfId="30007" xr:uid="{00000000-0005-0000-0000-000014490000}"/>
    <cellStyle name="Normal 26 2 4 3" xfId="43902" xr:uid="{00000000-0005-0000-0000-000015490000}"/>
    <cellStyle name="Normal 26 2 5" xfId="20688" xr:uid="{00000000-0005-0000-0000-000016490000}"/>
    <cellStyle name="Normal 26 2 6" xfId="39320" xr:uid="{00000000-0005-0000-0000-000017490000}"/>
    <cellStyle name="Normal 26 3" xfId="5309" xr:uid="{00000000-0005-0000-0000-000018490000}"/>
    <cellStyle name="Normal 26 3 2" xfId="5310" xr:uid="{00000000-0005-0000-0000-000019490000}"/>
    <cellStyle name="Normal 26 3 2 2" xfId="11147" xr:uid="{00000000-0005-0000-0000-00001A490000}"/>
    <cellStyle name="Normal 26 3 2 2 2" xfId="34632" xr:uid="{00000000-0005-0000-0000-00001B490000}"/>
    <cellStyle name="Normal 26 3 2 2 3" xfId="25313" xr:uid="{00000000-0005-0000-0000-00001C490000}"/>
    <cellStyle name="Normal 26 3 2 2 4" xfId="48575" xr:uid="{00000000-0005-0000-0000-00001D490000}"/>
    <cellStyle name="Normal 26 3 2 3" xfId="15878" xr:uid="{00000000-0005-0000-0000-00001E490000}"/>
    <cellStyle name="Normal 26 3 2 3 2" xfId="30010" xr:uid="{00000000-0005-0000-0000-00001F490000}"/>
    <cellStyle name="Normal 26 3 2 3 3" xfId="43905" xr:uid="{00000000-0005-0000-0000-000020490000}"/>
    <cellStyle name="Normal 26 3 2 4" xfId="20691" xr:uid="{00000000-0005-0000-0000-000021490000}"/>
    <cellStyle name="Normal 26 3 2 5" xfId="39323" xr:uid="{00000000-0005-0000-0000-000022490000}"/>
    <cellStyle name="Normal 26 3 3" xfId="11146" xr:uid="{00000000-0005-0000-0000-000023490000}"/>
    <cellStyle name="Normal 26 3 3 2" xfId="34631" xr:uid="{00000000-0005-0000-0000-000024490000}"/>
    <cellStyle name="Normal 26 3 3 3" xfId="25312" xr:uid="{00000000-0005-0000-0000-000025490000}"/>
    <cellStyle name="Normal 26 3 3 4" xfId="48574" xr:uid="{00000000-0005-0000-0000-000026490000}"/>
    <cellStyle name="Normal 26 3 4" xfId="15877" xr:uid="{00000000-0005-0000-0000-000027490000}"/>
    <cellStyle name="Normal 26 3 4 2" xfId="30009" xr:uid="{00000000-0005-0000-0000-000028490000}"/>
    <cellStyle name="Normal 26 3 4 3" xfId="43904" xr:uid="{00000000-0005-0000-0000-000029490000}"/>
    <cellStyle name="Normal 26 3 5" xfId="20690" xr:uid="{00000000-0005-0000-0000-00002A490000}"/>
    <cellStyle name="Normal 26 3 6" xfId="39322" xr:uid="{00000000-0005-0000-0000-00002B490000}"/>
    <cellStyle name="Normal 26 4" xfId="5311" xr:uid="{00000000-0005-0000-0000-00002C490000}"/>
    <cellStyle name="Normal 26 4 2" xfId="5312" xr:uid="{00000000-0005-0000-0000-00002D490000}"/>
    <cellStyle name="Normal 26 4 2 2" xfId="11149" xr:uid="{00000000-0005-0000-0000-00002E490000}"/>
    <cellStyle name="Normal 26 4 2 2 2" xfId="34634" xr:uid="{00000000-0005-0000-0000-00002F490000}"/>
    <cellStyle name="Normal 26 4 2 2 3" xfId="25315" xr:uid="{00000000-0005-0000-0000-000030490000}"/>
    <cellStyle name="Normal 26 4 2 2 4" xfId="48577" xr:uid="{00000000-0005-0000-0000-000031490000}"/>
    <cellStyle name="Normal 26 4 2 3" xfId="15880" xr:uid="{00000000-0005-0000-0000-000032490000}"/>
    <cellStyle name="Normal 26 4 2 3 2" xfId="30012" xr:uid="{00000000-0005-0000-0000-000033490000}"/>
    <cellStyle name="Normal 26 4 2 3 3" xfId="43907" xr:uid="{00000000-0005-0000-0000-000034490000}"/>
    <cellStyle name="Normal 26 4 2 4" xfId="20693" xr:uid="{00000000-0005-0000-0000-000035490000}"/>
    <cellStyle name="Normal 26 4 2 5" xfId="39325" xr:uid="{00000000-0005-0000-0000-000036490000}"/>
    <cellStyle name="Normal 26 4 3" xfId="11148" xr:uid="{00000000-0005-0000-0000-000037490000}"/>
    <cellStyle name="Normal 26 4 3 2" xfId="34633" xr:uid="{00000000-0005-0000-0000-000038490000}"/>
    <cellStyle name="Normal 26 4 3 3" xfId="25314" xr:uid="{00000000-0005-0000-0000-000039490000}"/>
    <cellStyle name="Normal 26 4 3 4" xfId="48576" xr:uid="{00000000-0005-0000-0000-00003A490000}"/>
    <cellStyle name="Normal 26 4 4" xfId="15879" xr:uid="{00000000-0005-0000-0000-00003B490000}"/>
    <cellStyle name="Normal 26 4 4 2" xfId="30011" xr:uid="{00000000-0005-0000-0000-00003C490000}"/>
    <cellStyle name="Normal 26 4 4 3" xfId="43906" xr:uid="{00000000-0005-0000-0000-00003D490000}"/>
    <cellStyle name="Normal 26 4 5" xfId="20692" xr:uid="{00000000-0005-0000-0000-00003E490000}"/>
    <cellStyle name="Normal 26 4 6" xfId="39324" xr:uid="{00000000-0005-0000-0000-00003F490000}"/>
    <cellStyle name="Normal 26 5" xfId="5313" xr:uid="{00000000-0005-0000-0000-000040490000}"/>
    <cellStyle name="Normal 26 5 2" xfId="5314" xr:uid="{00000000-0005-0000-0000-000041490000}"/>
    <cellStyle name="Normal 26 5 2 2" xfId="11151" xr:uid="{00000000-0005-0000-0000-000042490000}"/>
    <cellStyle name="Normal 26 5 2 2 2" xfId="34636" xr:uid="{00000000-0005-0000-0000-000043490000}"/>
    <cellStyle name="Normal 26 5 2 2 3" xfId="25317" xr:uid="{00000000-0005-0000-0000-000044490000}"/>
    <cellStyle name="Normal 26 5 2 2 4" xfId="48579" xr:uid="{00000000-0005-0000-0000-000045490000}"/>
    <cellStyle name="Normal 26 5 2 3" xfId="15882" xr:uid="{00000000-0005-0000-0000-000046490000}"/>
    <cellStyle name="Normal 26 5 2 3 2" xfId="30014" xr:uid="{00000000-0005-0000-0000-000047490000}"/>
    <cellStyle name="Normal 26 5 2 3 3" xfId="43909" xr:uid="{00000000-0005-0000-0000-000048490000}"/>
    <cellStyle name="Normal 26 5 2 4" xfId="20695" xr:uid="{00000000-0005-0000-0000-000049490000}"/>
    <cellStyle name="Normal 26 5 2 5" xfId="39327" xr:uid="{00000000-0005-0000-0000-00004A490000}"/>
    <cellStyle name="Normal 26 5 3" xfId="11150" xr:uid="{00000000-0005-0000-0000-00004B490000}"/>
    <cellStyle name="Normal 26 5 3 2" xfId="34635" xr:uid="{00000000-0005-0000-0000-00004C490000}"/>
    <cellStyle name="Normal 26 5 3 3" xfId="25316" xr:uid="{00000000-0005-0000-0000-00004D490000}"/>
    <cellStyle name="Normal 26 5 3 4" xfId="48578" xr:uid="{00000000-0005-0000-0000-00004E490000}"/>
    <cellStyle name="Normal 26 5 4" xfId="15881" xr:uid="{00000000-0005-0000-0000-00004F490000}"/>
    <cellStyle name="Normal 26 5 4 2" xfId="30013" xr:uid="{00000000-0005-0000-0000-000050490000}"/>
    <cellStyle name="Normal 26 5 4 3" xfId="43908" xr:uid="{00000000-0005-0000-0000-000051490000}"/>
    <cellStyle name="Normal 26 5 5" xfId="20694" xr:uid="{00000000-0005-0000-0000-000052490000}"/>
    <cellStyle name="Normal 26 5 6" xfId="39326" xr:uid="{00000000-0005-0000-0000-000053490000}"/>
    <cellStyle name="Normal 26 6" xfId="5315" xr:uid="{00000000-0005-0000-0000-000054490000}"/>
    <cellStyle name="Normal 26 6 2" xfId="5316" xr:uid="{00000000-0005-0000-0000-000055490000}"/>
    <cellStyle name="Normal 26 6 2 2" xfId="11153" xr:uid="{00000000-0005-0000-0000-000056490000}"/>
    <cellStyle name="Normal 26 6 2 2 2" xfId="34638" xr:uid="{00000000-0005-0000-0000-000057490000}"/>
    <cellStyle name="Normal 26 6 2 2 3" xfId="25319" xr:uid="{00000000-0005-0000-0000-000058490000}"/>
    <cellStyle name="Normal 26 6 2 2 4" xfId="48581" xr:uid="{00000000-0005-0000-0000-000059490000}"/>
    <cellStyle name="Normal 26 6 2 3" xfId="15884" xr:uid="{00000000-0005-0000-0000-00005A490000}"/>
    <cellStyle name="Normal 26 6 2 3 2" xfId="30016" xr:uid="{00000000-0005-0000-0000-00005B490000}"/>
    <cellStyle name="Normal 26 6 2 3 3" xfId="43911" xr:uid="{00000000-0005-0000-0000-00005C490000}"/>
    <cellStyle name="Normal 26 6 2 4" xfId="20697" xr:uid="{00000000-0005-0000-0000-00005D490000}"/>
    <cellStyle name="Normal 26 6 2 5" xfId="39329" xr:uid="{00000000-0005-0000-0000-00005E490000}"/>
    <cellStyle name="Normal 26 6 3" xfId="11152" xr:uid="{00000000-0005-0000-0000-00005F490000}"/>
    <cellStyle name="Normal 26 6 3 2" xfId="34637" xr:uid="{00000000-0005-0000-0000-000060490000}"/>
    <cellStyle name="Normal 26 6 3 3" xfId="25318" xr:uid="{00000000-0005-0000-0000-000061490000}"/>
    <cellStyle name="Normal 26 6 3 4" xfId="48580" xr:uid="{00000000-0005-0000-0000-000062490000}"/>
    <cellStyle name="Normal 26 6 4" xfId="15883" xr:uid="{00000000-0005-0000-0000-000063490000}"/>
    <cellStyle name="Normal 26 6 4 2" xfId="30015" xr:uid="{00000000-0005-0000-0000-000064490000}"/>
    <cellStyle name="Normal 26 6 4 3" xfId="43910" xr:uid="{00000000-0005-0000-0000-000065490000}"/>
    <cellStyle name="Normal 26 6 5" xfId="20696" xr:uid="{00000000-0005-0000-0000-000066490000}"/>
    <cellStyle name="Normal 26 6 6" xfId="39328" xr:uid="{00000000-0005-0000-0000-000067490000}"/>
    <cellStyle name="Normal 26 7" xfId="5317" xr:uid="{00000000-0005-0000-0000-000068490000}"/>
    <cellStyle name="Normal 26 7 2" xfId="11154" xr:uid="{00000000-0005-0000-0000-000069490000}"/>
    <cellStyle name="Normal 26 7 2 2" xfId="34639" xr:uid="{00000000-0005-0000-0000-00006A490000}"/>
    <cellStyle name="Normal 26 7 2 3" xfId="25320" xr:uid="{00000000-0005-0000-0000-00006B490000}"/>
    <cellStyle name="Normal 26 7 2 4" xfId="48582" xr:uid="{00000000-0005-0000-0000-00006C490000}"/>
    <cellStyle name="Normal 26 7 3" xfId="15885" xr:uid="{00000000-0005-0000-0000-00006D490000}"/>
    <cellStyle name="Normal 26 7 3 2" xfId="30017" xr:uid="{00000000-0005-0000-0000-00006E490000}"/>
    <cellStyle name="Normal 26 7 3 3" xfId="43912" xr:uid="{00000000-0005-0000-0000-00006F490000}"/>
    <cellStyle name="Normal 26 7 4" xfId="20698" xr:uid="{00000000-0005-0000-0000-000070490000}"/>
    <cellStyle name="Normal 26 7 5" xfId="39330" xr:uid="{00000000-0005-0000-0000-000071490000}"/>
    <cellStyle name="Normal 26 8" xfId="5306" xr:uid="{00000000-0005-0000-0000-000072490000}"/>
    <cellStyle name="Normal 26 8 2" xfId="11143" xr:uid="{00000000-0005-0000-0000-000073490000}"/>
    <cellStyle name="Normal 26 8 2 2" xfId="34628" xr:uid="{00000000-0005-0000-0000-000074490000}"/>
    <cellStyle name="Normal 26 8 2 3" xfId="25309" xr:uid="{00000000-0005-0000-0000-000075490000}"/>
    <cellStyle name="Normal 26 8 2 4" xfId="48571" xr:uid="{00000000-0005-0000-0000-000076490000}"/>
    <cellStyle name="Normal 26 8 3" xfId="15874" xr:uid="{00000000-0005-0000-0000-000077490000}"/>
    <cellStyle name="Normal 26 8 3 2" xfId="30006" xr:uid="{00000000-0005-0000-0000-000078490000}"/>
    <cellStyle name="Normal 26 8 3 3" xfId="43901" xr:uid="{00000000-0005-0000-0000-000079490000}"/>
    <cellStyle name="Normal 26 8 4" xfId="20687" xr:uid="{00000000-0005-0000-0000-00007A490000}"/>
    <cellStyle name="Normal 26 8 5" xfId="39319" xr:uid="{00000000-0005-0000-0000-00007B490000}"/>
    <cellStyle name="Normal 260" xfId="42388" xr:uid="{00000000-0005-0000-0000-00007C490000}"/>
    <cellStyle name="Normal 261" xfId="37834" xr:uid="{00000000-0005-0000-0000-00007D490000}"/>
    <cellStyle name="Normal 262" xfId="51666" xr:uid="{00000000-0005-0000-0000-00007E490000}"/>
    <cellStyle name="Normal 263" xfId="51689" xr:uid="{00000000-0005-0000-0000-00007F490000}"/>
    <cellStyle name="Normal 264" xfId="51705" xr:uid="{00000000-0005-0000-0000-000080490000}"/>
    <cellStyle name="Normal 265" xfId="51706" xr:uid="{00000000-0005-0000-0000-000081490000}"/>
    <cellStyle name="Normal 266" xfId="51707" xr:uid="{00000000-0005-0000-0000-000082490000}"/>
    <cellStyle name="Normal 267" xfId="51708" xr:uid="{00000000-0005-0000-0000-000083490000}"/>
    <cellStyle name="Normal 268" xfId="51710" xr:uid="{00000000-0005-0000-0000-000084490000}"/>
    <cellStyle name="Normal 269" xfId="51731" xr:uid="{00000000-0005-0000-0000-000085490000}"/>
    <cellStyle name="Normal 27" xfId="181" xr:uid="{00000000-0005-0000-0000-000086490000}"/>
    <cellStyle name="Normal 27 2" xfId="5318" xr:uid="{00000000-0005-0000-0000-000087490000}"/>
    <cellStyle name="Normal 270" xfId="51730" xr:uid="{00000000-0005-0000-0000-000088490000}"/>
    <cellStyle name="Normal 271" xfId="51734" xr:uid="{00000000-0005-0000-0000-000089490000}"/>
    <cellStyle name="Normal 272" xfId="51720" xr:uid="{00000000-0005-0000-0000-00008A490000}"/>
    <cellStyle name="Normal 273" xfId="51728" xr:uid="{00000000-0005-0000-0000-00008B490000}"/>
    <cellStyle name="Normal 274" xfId="51736" xr:uid="{00000000-0005-0000-0000-00008C490000}"/>
    <cellStyle name="Normal 275" xfId="51709" xr:uid="{00000000-0005-0000-0000-00008D490000}"/>
    <cellStyle name="Normal 276" xfId="51733" xr:uid="{00000000-0005-0000-0000-00008E490000}"/>
    <cellStyle name="Normal 277" xfId="51727" xr:uid="{00000000-0005-0000-0000-00008F490000}"/>
    <cellStyle name="Normal 278" xfId="51729" xr:uid="{00000000-0005-0000-0000-000090490000}"/>
    <cellStyle name="Normal 279" xfId="51737" xr:uid="{00000000-0005-0000-0000-000091490000}"/>
    <cellStyle name="Normal 28" xfId="182" xr:uid="{00000000-0005-0000-0000-000092490000}"/>
    <cellStyle name="Normal 280" xfId="51735" xr:uid="{00000000-0005-0000-0000-000093490000}"/>
    <cellStyle name="Normal 281" xfId="51738" xr:uid="{00000000-0005-0000-0000-000094490000}"/>
    <cellStyle name="Normal 282" xfId="51739" xr:uid="{00000000-0005-0000-0000-000095490000}"/>
    <cellStyle name="Normal 283" xfId="51740" xr:uid="{00000000-0005-0000-0000-000096490000}"/>
    <cellStyle name="Normal 284" xfId="51741" xr:uid="{00000000-0005-0000-0000-000097490000}"/>
    <cellStyle name="Normal 285" xfId="51742" xr:uid="{00000000-0005-0000-0000-000098490000}"/>
    <cellStyle name="Normal 286" xfId="51754" xr:uid="{00000000-0005-0000-0000-000099490000}"/>
    <cellStyle name="Normal 287" xfId="51760" xr:uid="{00000000-0005-0000-0000-00009A490000}"/>
    <cellStyle name="Normal 288" xfId="51765" xr:uid="{00000000-0005-0000-0000-00009B490000}"/>
    <cellStyle name="Normal 289" xfId="51770" xr:uid="{00000000-0005-0000-0000-00009C490000}"/>
    <cellStyle name="Normal 29" xfId="183" xr:uid="{00000000-0005-0000-0000-00009D490000}"/>
    <cellStyle name="Normal 290" xfId="51781" xr:uid="{00000000-0005-0000-0000-00009E490000}"/>
    <cellStyle name="Normal 291" xfId="51796" xr:uid="{00000000-0005-0000-0000-00009F490000}"/>
    <cellStyle name="Normal 292" xfId="51799" xr:uid="{00000000-0005-0000-0000-0000A0490000}"/>
    <cellStyle name="Normal 293" xfId="51805" xr:uid="{3807B5F7-F03E-433C-A21A-A2BE8DFEC3C4}"/>
    <cellStyle name="Normal 3" xfId="11" xr:uid="{00000000-0005-0000-0000-0000A1490000}"/>
    <cellStyle name="Normal 3 10" xfId="5319" xr:uid="{00000000-0005-0000-0000-0000A2490000}"/>
    <cellStyle name="Normal 3 10 10" xfId="20699" xr:uid="{00000000-0005-0000-0000-0000A3490000}"/>
    <cellStyle name="Normal 3 10 11" xfId="39331" xr:uid="{00000000-0005-0000-0000-0000A4490000}"/>
    <cellStyle name="Normal 3 10 2" xfId="5320" xr:uid="{00000000-0005-0000-0000-0000A5490000}"/>
    <cellStyle name="Normal 3 10 2 2" xfId="5321" xr:uid="{00000000-0005-0000-0000-0000A6490000}"/>
    <cellStyle name="Normal 3 10 2 2 2" xfId="11157" xr:uid="{00000000-0005-0000-0000-0000A7490000}"/>
    <cellStyle name="Normal 3 10 2 2 2 2" xfId="34642" xr:uid="{00000000-0005-0000-0000-0000A8490000}"/>
    <cellStyle name="Normal 3 10 2 2 2 3" xfId="25323" xr:uid="{00000000-0005-0000-0000-0000A9490000}"/>
    <cellStyle name="Normal 3 10 2 2 2 4" xfId="48585" xr:uid="{00000000-0005-0000-0000-0000AA490000}"/>
    <cellStyle name="Normal 3 10 2 2 3" xfId="15888" xr:uid="{00000000-0005-0000-0000-0000AB490000}"/>
    <cellStyle name="Normal 3 10 2 2 3 2" xfId="30020" xr:uid="{00000000-0005-0000-0000-0000AC490000}"/>
    <cellStyle name="Normal 3 10 2 2 3 3" xfId="43915" xr:uid="{00000000-0005-0000-0000-0000AD490000}"/>
    <cellStyle name="Normal 3 10 2 2 4" xfId="20701" xr:uid="{00000000-0005-0000-0000-0000AE490000}"/>
    <cellStyle name="Normal 3 10 2 2 5" xfId="39333" xr:uid="{00000000-0005-0000-0000-0000AF490000}"/>
    <cellStyle name="Normal 3 10 2 3" xfId="11156" xr:uid="{00000000-0005-0000-0000-0000B0490000}"/>
    <cellStyle name="Normal 3 10 2 3 2" xfId="34641" xr:uid="{00000000-0005-0000-0000-0000B1490000}"/>
    <cellStyle name="Normal 3 10 2 3 3" xfId="25322" xr:uid="{00000000-0005-0000-0000-0000B2490000}"/>
    <cellStyle name="Normal 3 10 2 3 4" xfId="48584" xr:uid="{00000000-0005-0000-0000-0000B3490000}"/>
    <cellStyle name="Normal 3 10 2 4" xfId="15887" xr:uid="{00000000-0005-0000-0000-0000B4490000}"/>
    <cellStyle name="Normal 3 10 2 4 2" xfId="30019" xr:uid="{00000000-0005-0000-0000-0000B5490000}"/>
    <cellStyle name="Normal 3 10 2 4 3" xfId="43914" xr:uid="{00000000-0005-0000-0000-0000B6490000}"/>
    <cellStyle name="Normal 3 10 2 5" xfId="20700" xr:uid="{00000000-0005-0000-0000-0000B7490000}"/>
    <cellStyle name="Normal 3 10 2 6" xfId="39332" xr:uid="{00000000-0005-0000-0000-0000B8490000}"/>
    <cellStyle name="Normal 3 10 3" xfId="5322" xr:uid="{00000000-0005-0000-0000-0000B9490000}"/>
    <cellStyle name="Normal 3 10 3 2" xfId="5323" xr:uid="{00000000-0005-0000-0000-0000BA490000}"/>
    <cellStyle name="Normal 3 10 3 2 2" xfId="11159" xr:uid="{00000000-0005-0000-0000-0000BB490000}"/>
    <cellStyle name="Normal 3 10 3 2 2 2" xfId="34644" xr:uid="{00000000-0005-0000-0000-0000BC490000}"/>
    <cellStyle name="Normal 3 10 3 2 2 3" xfId="25325" xr:uid="{00000000-0005-0000-0000-0000BD490000}"/>
    <cellStyle name="Normal 3 10 3 2 2 4" xfId="48587" xr:uid="{00000000-0005-0000-0000-0000BE490000}"/>
    <cellStyle name="Normal 3 10 3 2 3" xfId="15890" xr:uid="{00000000-0005-0000-0000-0000BF490000}"/>
    <cellStyle name="Normal 3 10 3 2 3 2" xfId="30022" xr:uid="{00000000-0005-0000-0000-0000C0490000}"/>
    <cellStyle name="Normal 3 10 3 2 3 3" xfId="43917" xr:uid="{00000000-0005-0000-0000-0000C1490000}"/>
    <cellStyle name="Normal 3 10 3 2 4" xfId="20703" xr:uid="{00000000-0005-0000-0000-0000C2490000}"/>
    <cellStyle name="Normal 3 10 3 2 5" xfId="39335" xr:uid="{00000000-0005-0000-0000-0000C3490000}"/>
    <cellStyle name="Normal 3 10 3 3" xfId="11158" xr:uid="{00000000-0005-0000-0000-0000C4490000}"/>
    <cellStyle name="Normal 3 10 3 3 2" xfId="34643" xr:uid="{00000000-0005-0000-0000-0000C5490000}"/>
    <cellStyle name="Normal 3 10 3 3 3" xfId="25324" xr:uid="{00000000-0005-0000-0000-0000C6490000}"/>
    <cellStyle name="Normal 3 10 3 3 4" xfId="48586" xr:uid="{00000000-0005-0000-0000-0000C7490000}"/>
    <cellStyle name="Normal 3 10 3 4" xfId="15889" xr:uid="{00000000-0005-0000-0000-0000C8490000}"/>
    <cellStyle name="Normal 3 10 3 4 2" xfId="30021" xr:uid="{00000000-0005-0000-0000-0000C9490000}"/>
    <cellStyle name="Normal 3 10 3 4 3" xfId="43916" xr:uid="{00000000-0005-0000-0000-0000CA490000}"/>
    <cellStyle name="Normal 3 10 3 5" xfId="20702" xr:uid="{00000000-0005-0000-0000-0000CB490000}"/>
    <cellStyle name="Normal 3 10 3 6" xfId="39334" xr:uid="{00000000-0005-0000-0000-0000CC490000}"/>
    <cellStyle name="Normal 3 10 4" xfId="5324" xr:uid="{00000000-0005-0000-0000-0000CD490000}"/>
    <cellStyle name="Normal 3 10 4 2" xfId="5325" xr:uid="{00000000-0005-0000-0000-0000CE490000}"/>
    <cellStyle name="Normal 3 10 4 2 2" xfId="11161" xr:uid="{00000000-0005-0000-0000-0000CF490000}"/>
    <cellStyle name="Normal 3 10 4 2 2 2" xfId="34646" xr:uid="{00000000-0005-0000-0000-0000D0490000}"/>
    <cellStyle name="Normal 3 10 4 2 2 3" xfId="25327" xr:uid="{00000000-0005-0000-0000-0000D1490000}"/>
    <cellStyle name="Normal 3 10 4 2 2 4" xfId="48589" xr:uid="{00000000-0005-0000-0000-0000D2490000}"/>
    <cellStyle name="Normal 3 10 4 2 3" xfId="15892" xr:uid="{00000000-0005-0000-0000-0000D3490000}"/>
    <cellStyle name="Normal 3 10 4 2 3 2" xfId="30024" xr:uid="{00000000-0005-0000-0000-0000D4490000}"/>
    <cellStyle name="Normal 3 10 4 2 3 3" xfId="43919" xr:uid="{00000000-0005-0000-0000-0000D5490000}"/>
    <cellStyle name="Normal 3 10 4 2 4" xfId="20705" xr:uid="{00000000-0005-0000-0000-0000D6490000}"/>
    <cellStyle name="Normal 3 10 4 2 5" xfId="39337" xr:uid="{00000000-0005-0000-0000-0000D7490000}"/>
    <cellStyle name="Normal 3 10 4 3" xfId="11160" xr:uid="{00000000-0005-0000-0000-0000D8490000}"/>
    <cellStyle name="Normal 3 10 4 3 2" xfId="34645" xr:uid="{00000000-0005-0000-0000-0000D9490000}"/>
    <cellStyle name="Normal 3 10 4 3 3" xfId="25326" xr:uid="{00000000-0005-0000-0000-0000DA490000}"/>
    <cellStyle name="Normal 3 10 4 3 4" xfId="48588" xr:uid="{00000000-0005-0000-0000-0000DB490000}"/>
    <cellStyle name="Normal 3 10 4 4" xfId="15891" xr:uid="{00000000-0005-0000-0000-0000DC490000}"/>
    <cellStyle name="Normal 3 10 4 4 2" xfId="30023" xr:uid="{00000000-0005-0000-0000-0000DD490000}"/>
    <cellStyle name="Normal 3 10 4 4 3" xfId="43918" xr:uid="{00000000-0005-0000-0000-0000DE490000}"/>
    <cellStyle name="Normal 3 10 4 5" xfId="20704" xr:uid="{00000000-0005-0000-0000-0000DF490000}"/>
    <cellStyle name="Normal 3 10 4 6" xfId="39336" xr:uid="{00000000-0005-0000-0000-0000E0490000}"/>
    <cellStyle name="Normal 3 10 5" xfId="5326" xr:uid="{00000000-0005-0000-0000-0000E1490000}"/>
    <cellStyle name="Normal 3 10 5 2" xfId="5327" xr:uid="{00000000-0005-0000-0000-0000E2490000}"/>
    <cellStyle name="Normal 3 10 5 2 2" xfId="11163" xr:uid="{00000000-0005-0000-0000-0000E3490000}"/>
    <cellStyle name="Normal 3 10 5 2 2 2" xfId="34648" xr:uid="{00000000-0005-0000-0000-0000E4490000}"/>
    <cellStyle name="Normal 3 10 5 2 2 3" xfId="25329" xr:uid="{00000000-0005-0000-0000-0000E5490000}"/>
    <cellStyle name="Normal 3 10 5 2 2 4" xfId="48591" xr:uid="{00000000-0005-0000-0000-0000E6490000}"/>
    <cellStyle name="Normal 3 10 5 2 3" xfId="15894" xr:uid="{00000000-0005-0000-0000-0000E7490000}"/>
    <cellStyle name="Normal 3 10 5 2 3 2" xfId="30026" xr:uid="{00000000-0005-0000-0000-0000E8490000}"/>
    <cellStyle name="Normal 3 10 5 2 3 3" xfId="43921" xr:uid="{00000000-0005-0000-0000-0000E9490000}"/>
    <cellStyle name="Normal 3 10 5 2 4" xfId="20707" xr:uid="{00000000-0005-0000-0000-0000EA490000}"/>
    <cellStyle name="Normal 3 10 5 2 5" xfId="39339" xr:uid="{00000000-0005-0000-0000-0000EB490000}"/>
    <cellStyle name="Normal 3 10 5 3" xfId="11162" xr:uid="{00000000-0005-0000-0000-0000EC490000}"/>
    <cellStyle name="Normal 3 10 5 3 2" xfId="34647" xr:uid="{00000000-0005-0000-0000-0000ED490000}"/>
    <cellStyle name="Normal 3 10 5 3 3" xfId="25328" xr:uid="{00000000-0005-0000-0000-0000EE490000}"/>
    <cellStyle name="Normal 3 10 5 3 4" xfId="48590" xr:uid="{00000000-0005-0000-0000-0000EF490000}"/>
    <cellStyle name="Normal 3 10 5 4" xfId="15893" xr:uid="{00000000-0005-0000-0000-0000F0490000}"/>
    <cellStyle name="Normal 3 10 5 4 2" xfId="30025" xr:uid="{00000000-0005-0000-0000-0000F1490000}"/>
    <cellStyle name="Normal 3 10 5 4 3" xfId="43920" xr:uid="{00000000-0005-0000-0000-0000F2490000}"/>
    <cellStyle name="Normal 3 10 5 5" xfId="20706" xr:uid="{00000000-0005-0000-0000-0000F3490000}"/>
    <cellStyle name="Normal 3 10 5 6" xfId="39338" xr:uid="{00000000-0005-0000-0000-0000F4490000}"/>
    <cellStyle name="Normal 3 10 6" xfId="5328" xr:uid="{00000000-0005-0000-0000-0000F5490000}"/>
    <cellStyle name="Normal 3 10 6 2" xfId="5329" xr:uid="{00000000-0005-0000-0000-0000F6490000}"/>
    <cellStyle name="Normal 3 10 6 2 2" xfId="11165" xr:uid="{00000000-0005-0000-0000-0000F7490000}"/>
    <cellStyle name="Normal 3 10 6 2 2 2" xfId="34650" xr:uid="{00000000-0005-0000-0000-0000F8490000}"/>
    <cellStyle name="Normal 3 10 6 2 2 3" xfId="25331" xr:uid="{00000000-0005-0000-0000-0000F9490000}"/>
    <cellStyle name="Normal 3 10 6 2 2 4" xfId="48593" xr:uid="{00000000-0005-0000-0000-0000FA490000}"/>
    <cellStyle name="Normal 3 10 6 2 3" xfId="15896" xr:uid="{00000000-0005-0000-0000-0000FB490000}"/>
    <cellStyle name="Normal 3 10 6 2 3 2" xfId="30028" xr:uid="{00000000-0005-0000-0000-0000FC490000}"/>
    <cellStyle name="Normal 3 10 6 2 3 3" xfId="43923" xr:uid="{00000000-0005-0000-0000-0000FD490000}"/>
    <cellStyle name="Normal 3 10 6 2 4" xfId="20709" xr:uid="{00000000-0005-0000-0000-0000FE490000}"/>
    <cellStyle name="Normal 3 10 6 2 5" xfId="39341" xr:uid="{00000000-0005-0000-0000-0000FF490000}"/>
    <cellStyle name="Normal 3 10 6 3" xfId="11164" xr:uid="{00000000-0005-0000-0000-0000004A0000}"/>
    <cellStyle name="Normal 3 10 6 3 2" xfId="34649" xr:uid="{00000000-0005-0000-0000-0000014A0000}"/>
    <cellStyle name="Normal 3 10 6 3 3" xfId="25330" xr:uid="{00000000-0005-0000-0000-0000024A0000}"/>
    <cellStyle name="Normal 3 10 6 3 4" xfId="48592" xr:uid="{00000000-0005-0000-0000-0000034A0000}"/>
    <cellStyle name="Normal 3 10 6 4" xfId="15895" xr:uid="{00000000-0005-0000-0000-0000044A0000}"/>
    <cellStyle name="Normal 3 10 6 4 2" xfId="30027" xr:uid="{00000000-0005-0000-0000-0000054A0000}"/>
    <cellStyle name="Normal 3 10 6 4 3" xfId="43922" xr:uid="{00000000-0005-0000-0000-0000064A0000}"/>
    <cellStyle name="Normal 3 10 6 5" xfId="20708" xr:uid="{00000000-0005-0000-0000-0000074A0000}"/>
    <cellStyle name="Normal 3 10 6 6" xfId="39340" xr:uid="{00000000-0005-0000-0000-0000084A0000}"/>
    <cellStyle name="Normal 3 10 7" xfId="5330" xr:uid="{00000000-0005-0000-0000-0000094A0000}"/>
    <cellStyle name="Normal 3 10 7 2" xfId="11166" xr:uid="{00000000-0005-0000-0000-00000A4A0000}"/>
    <cellStyle name="Normal 3 10 7 2 2" xfId="34651" xr:uid="{00000000-0005-0000-0000-00000B4A0000}"/>
    <cellStyle name="Normal 3 10 7 2 3" xfId="25332" xr:uid="{00000000-0005-0000-0000-00000C4A0000}"/>
    <cellStyle name="Normal 3 10 7 2 4" xfId="48594" xr:uid="{00000000-0005-0000-0000-00000D4A0000}"/>
    <cellStyle name="Normal 3 10 7 3" xfId="15897" xr:uid="{00000000-0005-0000-0000-00000E4A0000}"/>
    <cellStyle name="Normal 3 10 7 3 2" xfId="30029" xr:uid="{00000000-0005-0000-0000-00000F4A0000}"/>
    <cellStyle name="Normal 3 10 7 3 3" xfId="43924" xr:uid="{00000000-0005-0000-0000-0000104A0000}"/>
    <cellStyle name="Normal 3 10 7 4" xfId="20710" xr:uid="{00000000-0005-0000-0000-0000114A0000}"/>
    <cellStyle name="Normal 3 10 7 5" xfId="39342" xr:uid="{00000000-0005-0000-0000-0000124A0000}"/>
    <cellStyle name="Normal 3 10 8" xfId="11155" xr:uid="{00000000-0005-0000-0000-0000134A0000}"/>
    <cellStyle name="Normal 3 10 8 2" xfId="34640" xr:uid="{00000000-0005-0000-0000-0000144A0000}"/>
    <cellStyle name="Normal 3 10 8 3" xfId="25321" xr:uid="{00000000-0005-0000-0000-0000154A0000}"/>
    <cellStyle name="Normal 3 10 8 4" xfId="48583" xr:uid="{00000000-0005-0000-0000-0000164A0000}"/>
    <cellStyle name="Normal 3 10 9" xfId="15886" xr:uid="{00000000-0005-0000-0000-0000174A0000}"/>
    <cellStyle name="Normal 3 10 9 2" xfId="30018" xr:uid="{00000000-0005-0000-0000-0000184A0000}"/>
    <cellStyle name="Normal 3 10 9 3" xfId="43913" xr:uid="{00000000-0005-0000-0000-0000194A0000}"/>
    <cellStyle name="Normal 3 11" xfId="5331" xr:uid="{00000000-0005-0000-0000-00001A4A0000}"/>
    <cellStyle name="Normal 3 11 10" xfId="20711" xr:uid="{00000000-0005-0000-0000-00001B4A0000}"/>
    <cellStyle name="Normal 3 11 11" xfId="39343" xr:uid="{00000000-0005-0000-0000-00001C4A0000}"/>
    <cellStyle name="Normal 3 11 2" xfId="5332" xr:uid="{00000000-0005-0000-0000-00001D4A0000}"/>
    <cellStyle name="Normal 3 11 2 2" xfId="5333" xr:uid="{00000000-0005-0000-0000-00001E4A0000}"/>
    <cellStyle name="Normal 3 11 2 2 2" xfId="11169" xr:uid="{00000000-0005-0000-0000-00001F4A0000}"/>
    <cellStyle name="Normal 3 11 2 2 2 2" xfId="34654" xr:uid="{00000000-0005-0000-0000-0000204A0000}"/>
    <cellStyle name="Normal 3 11 2 2 2 3" xfId="25335" xr:uid="{00000000-0005-0000-0000-0000214A0000}"/>
    <cellStyle name="Normal 3 11 2 2 2 4" xfId="48597" xr:uid="{00000000-0005-0000-0000-0000224A0000}"/>
    <cellStyle name="Normal 3 11 2 2 3" xfId="15900" xr:uid="{00000000-0005-0000-0000-0000234A0000}"/>
    <cellStyle name="Normal 3 11 2 2 3 2" xfId="30032" xr:uid="{00000000-0005-0000-0000-0000244A0000}"/>
    <cellStyle name="Normal 3 11 2 2 3 3" xfId="43927" xr:uid="{00000000-0005-0000-0000-0000254A0000}"/>
    <cellStyle name="Normal 3 11 2 2 4" xfId="20713" xr:uid="{00000000-0005-0000-0000-0000264A0000}"/>
    <cellStyle name="Normal 3 11 2 2 5" xfId="39345" xr:uid="{00000000-0005-0000-0000-0000274A0000}"/>
    <cellStyle name="Normal 3 11 2 3" xfId="11168" xr:uid="{00000000-0005-0000-0000-0000284A0000}"/>
    <cellStyle name="Normal 3 11 2 3 2" xfId="34653" xr:uid="{00000000-0005-0000-0000-0000294A0000}"/>
    <cellStyle name="Normal 3 11 2 3 3" xfId="25334" xr:uid="{00000000-0005-0000-0000-00002A4A0000}"/>
    <cellStyle name="Normal 3 11 2 3 4" xfId="48596" xr:uid="{00000000-0005-0000-0000-00002B4A0000}"/>
    <cellStyle name="Normal 3 11 2 4" xfId="15899" xr:uid="{00000000-0005-0000-0000-00002C4A0000}"/>
    <cellStyle name="Normal 3 11 2 4 2" xfId="30031" xr:uid="{00000000-0005-0000-0000-00002D4A0000}"/>
    <cellStyle name="Normal 3 11 2 4 3" xfId="43926" xr:uid="{00000000-0005-0000-0000-00002E4A0000}"/>
    <cellStyle name="Normal 3 11 2 5" xfId="20712" xr:uid="{00000000-0005-0000-0000-00002F4A0000}"/>
    <cellStyle name="Normal 3 11 2 6" xfId="39344" xr:uid="{00000000-0005-0000-0000-0000304A0000}"/>
    <cellStyle name="Normal 3 11 3" xfId="5334" xr:uid="{00000000-0005-0000-0000-0000314A0000}"/>
    <cellStyle name="Normal 3 11 3 2" xfId="5335" xr:uid="{00000000-0005-0000-0000-0000324A0000}"/>
    <cellStyle name="Normal 3 11 3 2 2" xfId="11171" xr:uid="{00000000-0005-0000-0000-0000334A0000}"/>
    <cellStyle name="Normal 3 11 3 2 2 2" xfId="34656" xr:uid="{00000000-0005-0000-0000-0000344A0000}"/>
    <cellStyle name="Normal 3 11 3 2 2 3" xfId="25337" xr:uid="{00000000-0005-0000-0000-0000354A0000}"/>
    <cellStyle name="Normal 3 11 3 2 2 4" xfId="48599" xr:uid="{00000000-0005-0000-0000-0000364A0000}"/>
    <cellStyle name="Normal 3 11 3 2 3" xfId="15902" xr:uid="{00000000-0005-0000-0000-0000374A0000}"/>
    <cellStyle name="Normal 3 11 3 2 3 2" xfId="30034" xr:uid="{00000000-0005-0000-0000-0000384A0000}"/>
    <cellStyle name="Normal 3 11 3 2 3 3" xfId="43929" xr:uid="{00000000-0005-0000-0000-0000394A0000}"/>
    <cellStyle name="Normal 3 11 3 2 4" xfId="20715" xr:uid="{00000000-0005-0000-0000-00003A4A0000}"/>
    <cellStyle name="Normal 3 11 3 2 5" xfId="39347" xr:uid="{00000000-0005-0000-0000-00003B4A0000}"/>
    <cellStyle name="Normal 3 11 3 3" xfId="11170" xr:uid="{00000000-0005-0000-0000-00003C4A0000}"/>
    <cellStyle name="Normal 3 11 3 3 2" xfId="34655" xr:uid="{00000000-0005-0000-0000-00003D4A0000}"/>
    <cellStyle name="Normal 3 11 3 3 3" xfId="25336" xr:uid="{00000000-0005-0000-0000-00003E4A0000}"/>
    <cellStyle name="Normal 3 11 3 3 4" xfId="48598" xr:uid="{00000000-0005-0000-0000-00003F4A0000}"/>
    <cellStyle name="Normal 3 11 3 4" xfId="15901" xr:uid="{00000000-0005-0000-0000-0000404A0000}"/>
    <cellStyle name="Normal 3 11 3 4 2" xfId="30033" xr:uid="{00000000-0005-0000-0000-0000414A0000}"/>
    <cellStyle name="Normal 3 11 3 4 3" xfId="43928" xr:uid="{00000000-0005-0000-0000-0000424A0000}"/>
    <cellStyle name="Normal 3 11 3 5" xfId="20714" xr:uid="{00000000-0005-0000-0000-0000434A0000}"/>
    <cellStyle name="Normal 3 11 3 6" xfId="39346" xr:uid="{00000000-0005-0000-0000-0000444A0000}"/>
    <cellStyle name="Normal 3 11 4" xfId="5336" xr:uid="{00000000-0005-0000-0000-0000454A0000}"/>
    <cellStyle name="Normal 3 11 4 2" xfId="5337" xr:uid="{00000000-0005-0000-0000-0000464A0000}"/>
    <cellStyle name="Normal 3 11 4 2 2" xfId="11173" xr:uid="{00000000-0005-0000-0000-0000474A0000}"/>
    <cellStyle name="Normal 3 11 4 2 2 2" xfId="34658" xr:uid="{00000000-0005-0000-0000-0000484A0000}"/>
    <cellStyle name="Normal 3 11 4 2 2 3" xfId="25339" xr:uid="{00000000-0005-0000-0000-0000494A0000}"/>
    <cellStyle name="Normal 3 11 4 2 2 4" xfId="48601" xr:uid="{00000000-0005-0000-0000-00004A4A0000}"/>
    <cellStyle name="Normal 3 11 4 2 3" xfId="15904" xr:uid="{00000000-0005-0000-0000-00004B4A0000}"/>
    <cellStyle name="Normal 3 11 4 2 3 2" xfId="30036" xr:uid="{00000000-0005-0000-0000-00004C4A0000}"/>
    <cellStyle name="Normal 3 11 4 2 3 3" xfId="43931" xr:uid="{00000000-0005-0000-0000-00004D4A0000}"/>
    <cellStyle name="Normal 3 11 4 2 4" xfId="20717" xr:uid="{00000000-0005-0000-0000-00004E4A0000}"/>
    <cellStyle name="Normal 3 11 4 2 5" xfId="39349" xr:uid="{00000000-0005-0000-0000-00004F4A0000}"/>
    <cellStyle name="Normal 3 11 4 3" xfId="11172" xr:uid="{00000000-0005-0000-0000-0000504A0000}"/>
    <cellStyle name="Normal 3 11 4 3 2" xfId="34657" xr:uid="{00000000-0005-0000-0000-0000514A0000}"/>
    <cellStyle name="Normal 3 11 4 3 3" xfId="25338" xr:uid="{00000000-0005-0000-0000-0000524A0000}"/>
    <cellStyle name="Normal 3 11 4 3 4" xfId="48600" xr:uid="{00000000-0005-0000-0000-0000534A0000}"/>
    <cellStyle name="Normal 3 11 4 4" xfId="15903" xr:uid="{00000000-0005-0000-0000-0000544A0000}"/>
    <cellStyle name="Normal 3 11 4 4 2" xfId="30035" xr:uid="{00000000-0005-0000-0000-0000554A0000}"/>
    <cellStyle name="Normal 3 11 4 4 3" xfId="43930" xr:uid="{00000000-0005-0000-0000-0000564A0000}"/>
    <cellStyle name="Normal 3 11 4 5" xfId="20716" xr:uid="{00000000-0005-0000-0000-0000574A0000}"/>
    <cellStyle name="Normal 3 11 4 6" xfId="39348" xr:uid="{00000000-0005-0000-0000-0000584A0000}"/>
    <cellStyle name="Normal 3 11 5" xfId="5338" xr:uid="{00000000-0005-0000-0000-0000594A0000}"/>
    <cellStyle name="Normal 3 11 5 2" xfId="5339" xr:uid="{00000000-0005-0000-0000-00005A4A0000}"/>
    <cellStyle name="Normal 3 11 5 2 2" xfId="11175" xr:uid="{00000000-0005-0000-0000-00005B4A0000}"/>
    <cellStyle name="Normal 3 11 5 2 2 2" xfId="34660" xr:uid="{00000000-0005-0000-0000-00005C4A0000}"/>
    <cellStyle name="Normal 3 11 5 2 2 3" xfId="25341" xr:uid="{00000000-0005-0000-0000-00005D4A0000}"/>
    <cellStyle name="Normal 3 11 5 2 2 4" xfId="48603" xr:uid="{00000000-0005-0000-0000-00005E4A0000}"/>
    <cellStyle name="Normal 3 11 5 2 3" xfId="15906" xr:uid="{00000000-0005-0000-0000-00005F4A0000}"/>
    <cellStyle name="Normal 3 11 5 2 3 2" xfId="30038" xr:uid="{00000000-0005-0000-0000-0000604A0000}"/>
    <cellStyle name="Normal 3 11 5 2 3 3" xfId="43933" xr:uid="{00000000-0005-0000-0000-0000614A0000}"/>
    <cellStyle name="Normal 3 11 5 2 4" xfId="20719" xr:uid="{00000000-0005-0000-0000-0000624A0000}"/>
    <cellStyle name="Normal 3 11 5 2 5" xfId="39351" xr:uid="{00000000-0005-0000-0000-0000634A0000}"/>
    <cellStyle name="Normal 3 11 5 3" xfId="11174" xr:uid="{00000000-0005-0000-0000-0000644A0000}"/>
    <cellStyle name="Normal 3 11 5 3 2" xfId="34659" xr:uid="{00000000-0005-0000-0000-0000654A0000}"/>
    <cellStyle name="Normal 3 11 5 3 3" xfId="25340" xr:uid="{00000000-0005-0000-0000-0000664A0000}"/>
    <cellStyle name="Normal 3 11 5 3 4" xfId="48602" xr:uid="{00000000-0005-0000-0000-0000674A0000}"/>
    <cellStyle name="Normal 3 11 5 4" xfId="15905" xr:uid="{00000000-0005-0000-0000-0000684A0000}"/>
    <cellStyle name="Normal 3 11 5 4 2" xfId="30037" xr:uid="{00000000-0005-0000-0000-0000694A0000}"/>
    <cellStyle name="Normal 3 11 5 4 3" xfId="43932" xr:uid="{00000000-0005-0000-0000-00006A4A0000}"/>
    <cellStyle name="Normal 3 11 5 5" xfId="20718" xr:uid="{00000000-0005-0000-0000-00006B4A0000}"/>
    <cellStyle name="Normal 3 11 5 6" xfId="39350" xr:uid="{00000000-0005-0000-0000-00006C4A0000}"/>
    <cellStyle name="Normal 3 11 6" xfId="5340" xr:uid="{00000000-0005-0000-0000-00006D4A0000}"/>
    <cellStyle name="Normal 3 11 6 2" xfId="5341" xr:uid="{00000000-0005-0000-0000-00006E4A0000}"/>
    <cellStyle name="Normal 3 11 6 2 2" xfId="11177" xr:uid="{00000000-0005-0000-0000-00006F4A0000}"/>
    <cellStyle name="Normal 3 11 6 2 2 2" xfId="34662" xr:uid="{00000000-0005-0000-0000-0000704A0000}"/>
    <cellStyle name="Normal 3 11 6 2 2 3" xfId="25343" xr:uid="{00000000-0005-0000-0000-0000714A0000}"/>
    <cellStyle name="Normal 3 11 6 2 2 4" xfId="48605" xr:uid="{00000000-0005-0000-0000-0000724A0000}"/>
    <cellStyle name="Normal 3 11 6 2 3" xfId="15908" xr:uid="{00000000-0005-0000-0000-0000734A0000}"/>
    <cellStyle name="Normal 3 11 6 2 3 2" xfId="30040" xr:uid="{00000000-0005-0000-0000-0000744A0000}"/>
    <cellStyle name="Normal 3 11 6 2 3 3" xfId="43935" xr:uid="{00000000-0005-0000-0000-0000754A0000}"/>
    <cellStyle name="Normal 3 11 6 2 4" xfId="20721" xr:uid="{00000000-0005-0000-0000-0000764A0000}"/>
    <cellStyle name="Normal 3 11 6 2 5" xfId="39353" xr:uid="{00000000-0005-0000-0000-0000774A0000}"/>
    <cellStyle name="Normal 3 11 6 3" xfId="11176" xr:uid="{00000000-0005-0000-0000-0000784A0000}"/>
    <cellStyle name="Normal 3 11 6 3 2" xfId="34661" xr:uid="{00000000-0005-0000-0000-0000794A0000}"/>
    <cellStyle name="Normal 3 11 6 3 3" xfId="25342" xr:uid="{00000000-0005-0000-0000-00007A4A0000}"/>
    <cellStyle name="Normal 3 11 6 3 4" xfId="48604" xr:uid="{00000000-0005-0000-0000-00007B4A0000}"/>
    <cellStyle name="Normal 3 11 6 4" xfId="15907" xr:uid="{00000000-0005-0000-0000-00007C4A0000}"/>
    <cellStyle name="Normal 3 11 6 4 2" xfId="30039" xr:uid="{00000000-0005-0000-0000-00007D4A0000}"/>
    <cellStyle name="Normal 3 11 6 4 3" xfId="43934" xr:uid="{00000000-0005-0000-0000-00007E4A0000}"/>
    <cellStyle name="Normal 3 11 6 5" xfId="20720" xr:uid="{00000000-0005-0000-0000-00007F4A0000}"/>
    <cellStyle name="Normal 3 11 6 6" xfId="39352" xr:uid="{00000000-0005-0000-0000-0000804A0000}"/>
    <cellStyle name="Normal 3 11 7" xfId="5342" xr:uid="{00000000-0005-0000-0000-0000814A0000}"/>
    <cellStyle name="Normal 3 11 7 2" xfId="11178" xr:uid="{00000000-0005-0000-0000-0000824A0000}"/>
    <cellStyle name="Normal 3 11 7 2 2" xfId="34663" xr:uid="{00000000-0005-0000-0000-0000834A0000}"/>
    <cellStyle name="Normal 3 11 7 2 3" xfId="25344" xr:uid="{00000000-0005-0000-0000-0000844A0000}"/>
    <cellStyle name="Normal 3 11 7 2 4" xfId="48606" xr:uid="{00000000-0005-0000-0000-0000854A0000}"/>
    <cellStyle name="Normal 3 11 7 3" xfId="15909" xr:uid="{00000000-0005-0000-0000-0000864A0000}"/>
    <cellStyle name="Normal 3 11 7 3 2" xfId="30041" xr:uid="{00000000-0005-0000-0000-0000874A0000}"/>
    <cellStyle name="Normal 3 11 7 3 3" xfId="43936" xr:uid="{00000000-0005-0000-0000-0000884A0000}"/>
    <cellStyle name="Normal 3 11 7 4" xfId="20722" xr:uid="{00000000-0005-0000-0000-0000894A0000}"/>
    <cellStyle name="Normal 3 11 7 5" xfId="39354" xr:uid="{00000000-0005-0000-0000-00008A4A0000}"/>
    <cellStyle name="Normal 3 11 8" xfId="11167" xr:uid="{00000000-0005-0000-0000-00008B4A0000}"/>
    <cellStyle name="Normal 3 11 8 2" xfId="34652" xr:uid="{00000000-0005-0000-0000-00008C4A0000}"/>
    <cellStyle name="Normal 3 11 8 3" xfId="25333" xr:uid="{00000000-0005-0000-0000-00008D4A0000}"/>
    <cellStyle name="Normal 3 11 8 4" xfId="48595" xr:uid="{00000000-0005-0000-0000-00008E4A0000}"/>
    <cellStyle name="Normal 3 11 9" xfId="15898" xr:uid="{00000000-0005-0000-0000-00008F4A0000}"/>
    <cellStyle name="Normal 3 11 9 2" xfId="30030" xr:uid="{00000000-0005-0000-0000-0000904A0000}"/>
    <cellStyle name="Normal 3 11 9 3" xfId="43925" xr:uid="{00000000-0005-0000-0000-0000914A0000}"/>
    <cellStyle name="Normal 3 12" xfId="5343" xr:uid="{00000000-0005-0000-0000-0000924A0000}"/>
    <cellStyle name="Normal 3 12 10" xfId="20723" xr:uid="{00000000-0005-0000-0000-0000934A0000}"/>
    <cellStyle name="Normal 3 12 11" xfId="39355" xr:uid="{00000000-0005-0000-0000-0000944A0000}"/>
    <cellStyle name="Normal 3 12 2" xfId="5344" xr:uid="{00000000-0005-0000-0000-0000954A0000}"/>
    <cellStyle name="Normal 3 12 2 2" xfId="5345" xr:uid="{00000000-0005-0000-0000-0000964A0000}"/>
    <cellStyle name="Normal 3 12 2 2 2" xfId="11181" xr:uid="{00000000-0005-0000-0000-0000974A0000}"/>
    <cellStyle name="Normal 3 12 2 2 2 2" xfId="34666" xr:uid="{00000000-0005-0000-0000-0000984A0000}"/>
    <cellStyle name="Normal 3 12 2 2 2 3" xfId="25347" xr:uid="{00000000-0005-0000-0000-0000994A0000}"/>
    <cellStyle name="Normal 3 12 2 2 2 4" xfId="48609" xr:uid="{00000000-0005-0000-0000-00009A4A0000}"/>
    <cellStyle name="Normal 3 12 2 2 3" xfId="15912" xr:uid="{00000000-0005-0000-0000-00009B4A0000}"/>
    <cellStyle name="Normal 3 12 2 2 3 2" xfId="30044" xr:uid="{00000000-0005-0000-0000-00009C4A0000}"/>
    <cellStyle name="Normal 3 12 2 2 3 3" xfId="43939" xr:uid="{00000000-0005-0000-0000-00009D4A0000}"/>
    <cellStyle name="Normal 3 12 2 2 4" xfId="20725" xr:uid="{00000000-0005-0000-0000-00009E4A0000}"/>
    <cellStyle name="Normal 3 12 2 2 5" xfId="39357" xr:uid="{00000000-0005-0000-0000-00009F4A0000}"/>
    <cellStyle name="Normal 3 12 2 3" xfId="11180" xr:uid="{00000000-0005-0000-0000-0000A04A0000}"/>
    <cellStyle name="Normal 3 12 2 3 2" xfId="34665" xr:uid="{00000000-0005-0000-0000-0000A14A0000}"/>
    <cellStyle name="Normal 3 12 2 3 3" xfId="25346" xr:uid="{00000000-0005-0000-0000-0000A24A0000}"/>
    <cellStyle name="Normal 3 12 2 3 4" xfId="48608" xr:uid="{00000000-0005-0000-0000-0000A34A0000}"/>
    <cellStyle name="Normal 3 12 2 4" xfId="15911" xr:uid="{00000000-0005-0000-0000-0000A44A0000}"/>
    <cellStyle name="Normal 3 12 2 4 2" xfId="30043" xr:uid="{00000000-0005-0000-0000-0000A54A0000}"/>
    <cellStyle name="Normal 3 12 2 4 3" xfId="43938" xr:uid="{00000000-0005-0000-0000-0000A64A0000}"/>
    <cellStyle name="Normal 3 12 2 5" xfId="20724" xr:uid="{00000000-0005-0000-0000-0000A74A0000}"/>
    <cellStyle name="Normal 3 12 2 6" xfId="39356" xr:uid="{00000000-0005-0000-0000-0000A84A0000}"/>
    <cellStyle name="Normal 3 12 3" xfId="5346" xr:uid="{00000000-0005-0000-0000-0000A94A0000}"/>
    <cellStyle name="Normal 3 12 3 2" xfId="5347" xr:uid="{00000000-0005-0000-0000-0000AA4A0000}"/>
    <cellStyle name="Normal 3 12 3 2 2" xfId="11183" xr:uid="{00000000-0005-0000-0000-0000AB4A0000}"/>
    <cellStyle name="Normal 3 12 3 2 2 2" xfId="34668" xr:uid="{00000000-0005-0000-0000-0000AC4A0000}"/>
    <cellStyle name="Normal 3 12 3 2 2 3" xfId="25349" xr:uid="{00000000-0005-0000-0000-0000AD4A0000}"/>
    <cellStyle name="Normal 3 12 3 2 2 4" xfId="48611" xr:uid="{00000000-0005-0000-0000-0000AE4A0000}"/>
    <cellStyle name="Normal 3 12 3 2 3" xfId="15914" xr:uid="{00000000-0005-0000-0000-0000AF4A0000}"/>
    <cellStyle name="Normal 3 12 3 2 3 2" xfId="30046" xr:uid="{00000000-0005-0000-0000-0000B04A0000}"/>
    <cellStyle name="Normal 3 12 3 2 3 3" xfId="43941" xr:uid="{00000000-0005-0000-0000-0000B14A0000}"/>
    <cellStyle name="Normal 3 12 3 2 4" xfId="20727" xr:uid="{00000000-0005-0000-0000-0000B24A0000}"/>
    <cellStyle name="Normal 3 12 3 2 5" xfId="39359" xr:uid="{00000000-0005-0000-0000-0000B34A0000}"/>
    <cellStyle name="Normal 3 12 3 3" xfId="11182" xr:uid="{00000000-0005-0000-0000-0000B44A0000}"/>
    <cellStyle name="Normal 3 12 3 3 2" xfId="34667" xr:uid="{00000000-0005-0000-0000-0000B54A0000}"/>
    <cellStyle name="Normal 3 12 3 3 3" xfId="25348" xr:uid="{00000000-0005-0000-0000-0000B64A0000}"/>
    <cellStyle name="Normal 3 12 3 3 4" xfId="48610" xr:uid="{00000000-0005-0000-0000-0000B74A0000}"/>
    <cellStyle name="Normal 3 12 3 4" xfId="15913" xr:uid="{00000000-0005-0000-0000-0000B84A0000}"/>
    <cellStyle name="Normal 3 12 3 4 2" xfId="30045" xr:uid="{00000000-0005-0000-0000-0000B94A0000}"/>
    <cellStyle name="Normal 3 12 3 4 3" xfId="43940" xr:uid="{00000000-0005-0000-0000-0000BA4A0000}"/>
    <cellStyle name="Normal 3 12 3 5" xfId="20726" xr:uid="{00000000-0005-0000-0000-0000BB4A0000}"/>
    <cellStyle name="Normal 3 12 3 6" xfId="39358" xr:uid="{00000000-0005-0000-0000-0000BC4A0000}"/>
    <cellStyle name="Normal 3 12 4" xfId="5348" xr:uid="{00000000-0005-0000-0000-0000BD4A0000}"/>
    <cellStyle name="Normal 3 12 4 2" xfId="5349" xr:uid="{00000000-0005-0000-0000-0000BE4A0000}"/>
    <cellStyle name="Normal 3 12 4 2 2" xfId="11185" xr:uid="{00000000-0005-0000-0000-0000BF4A0000}"/>
    <cellStyle name="Normal 3 12 4 2 2 2" xfId="34670" xr:uid="{00000000-0005-0000-0000-0000C04A0000}"/>
    <cellStyle name="Normal 3 12 4 2 2 3" xfId="25351" xr:uid="{00000000-0005-0000-0000-0000C14A0000}"/>
    <cellStyle name="Normal 3 12 4 2 2 4" xfId="48613" xr:uid="{00000000-0005-0000-0000-0000C24A0000}"/>
    <cellStyle name="Normal 3 12 4 2 3" xfId="15916" xr:uid="{00000000-0005-0000-0000-0000C34A0000}"/>
    <cellStyle name="Normal 3 12 4 2 3 2" xfId="30048" xr:uid="{00000000-0005-0000-0000-0000C44A0000}"/>
    <cellStyle name="Normal 3 12 4 2 3 3" xfId="43943" xr:uid="{00000000-0005-0000-0000-0000C54A0000}"/>
    <cellStyle name="Normal 3 12 4 2 4" xfId="20729" xr:uid="{00000000-0005-0000-0000-0000C64A0000}"/>
    <cellStyle name="Normal 3 12 4 2 5" xfId="39361" xr:uid="{00000000-0005-0000-0000-0000C74A0000}"/>
    <cellStyle name="Normal 3 12 4 3" xfId="11184" xr:uid="{00000000-0005-0000-0000-0000C84A0000}"/>
    <cellStyle name="Normal 3 12 4 3 2" xfId="34669" xr:uid="{00000000-0005-0000-0000-0000C94A0000}"/>
    <cellStyle name="Normal 3 12 4 3 3" xfId="25350" xr:uid="{00000000-0005-0000-0000-0000CA4A0000}"/>
    <cellStyle name="Normal 3 12 4 3 4" xfId="48612" xr:uid="{00000000-0005-0000-0000-0000CB4A0000}"/>
    <cellStyle name="Normal 3 12 4 4" xfId="15915" xr:uid="{00000000-0005-0000-0000-0000CC4A0000}"/>
    <cellStyle name="Normal 3 12 4 4 2" xfId="30047" xr:uid="{00000000-0005-0000-0000-0000CD4A0000}"/>
    <cellStyle name="Normal 3 12 4 4 3" xfId="43942" xr:uid="{00000000-0005-0000-0000-0000CE4A0000}"/>
    <cellStyle name="Normal 3 12 4 5" xfId="20728" xr:uid="{00000000-0005-0000-0000-0000CF4A0000}"/>
    <cellStyle name="Normal 3 12 4 6" xfId="39360" xr:uid="{00000000-0005-0000-0000-0000D04A0000}"/>
    <cellStyle name="Normal 3 12 5" xfId="5350" xr:uid="{00000000-0005-0000-0000-0000D14A0000}"/>
    <cellStyle name="Normal 3 12 5 2" xfId="5351" xr:uid="{00000000-0005-0000-0000-0000D24A0000}"/>
    <cellStyle name="Normal 3 12 5 2 2" xfId="11187" xr:uid="{00000000-0005-0000-0000-0000D34A0000}"/>
    <cellStyle name="Normal 3 12 5 2 2 2" xfId="34672" xr:uid="{00000000-0005-0000-0000-0000D44A0000}"/>
    <cellStyle name="Normal 3 12 5 2 2 3" xfId="25353" xr:uid="{00000000-0005-0000-0000-0000D54A0000}"/>
    <cellStyle name="Normal 3 12 5 2 2 4" xfId="48615" xr:uid="{00000000-0005-0000-0000-0000D64A0000}"/>
    <cellStyle name="Normal 3 12 5 2 3" xfId="15918" xr:uid="{00000000-0005-0000-0000-0000D74A0000}"/>
    <cellStyle name="Normal 3 12 5 2 3 2" xfId="30050" xr:uid="{00000000-0005-0000-0000-0000D84A0000}"/>
    <cellStyle name="Normal 3 12 5 2 3 3" xfId="43945" xr:uid="{00000000-0005-0000-0000-0000D94A0000}"/>
    <cellStyle name="Normal 3 12 5 2 4" xfId="20731" xr:uid="{00000000-0005-0000-0000-0000DA4A0000}"/>
    <cellStyle name="Normal 3 12 5 2 5" xfId="39363" xr:uid="{00000000-0005-0000-0000-0000DB4A0000}"/>
    <cellStyle name="Normal 3 12 5 3" xfId="11186" xr:uid="{00000000-0005-0000-0000-0000DC4A0000}"/>
    <cellStyle name="Normal 3 12 5 3 2" xfId="34671" xr:uid="{00000000-0005-0000-0000-0000DD4A0000}"/>
    <cellStyle name="Normal 3 12 5 3 3" xfId="25352" xr:uid="{00000000-0005-0000-0000-0000DE4A0000}"/>
    <cellStyle name="Normal 3 12 5 3 4" xfId="48614" xr:uid="{00000000-0005-0000-0000-0000DF4A0000}"/>
    <cellStyle name="Normal 3 12 5 4" xfId="15917" xr:uid="{00000000-0005-0000-0000-0000E04A0000}"/>
    <cellStyle name="Normal 3 12 5 4 2" xfId="30049" xr:uid="{00000000-0005-0000-0000-0000E14A0000}"/>
    <cellStyle name="Normal 3 12 5 4 3" xfId="43944" xr:uid="{00000000-0005-0000-0000-0000E24A0000}"/>
    <cellStyle name="Normal 3 12 5 5" xfId="20730" xr:uid="{00000000-0005-0000-0000-0000E34A0000}"/>
    <cellStyle name="Normal 3 12 5 6" xfId="39362" xr:uid="{00000000-0005-0000-0000-0000E44A0000}"/>
    <cellStyle name="Normal 3 12 6" xfId="5352" xr:uid="{00000000-0005-0000-0000-0000E54A0000}"/>
    <cellStyle name="Normal 3 12 6 2" xfId="5353" xr:uid="{00000000-0005-0000-0000-0000E64A0000}"/>
    <cellStyle name="Normal 3 12 6 2 2" xfId="11189" xr:uid="{00000000-0005-0000-0000-0000E74A0000}"/>
    <cellStyle name="Normal 3 12 6 2 2 2" xfId="34674" xr:uid="{00000000-0005-0000-0000-0000E84A0000}"/>
    <cellStyle name="Normal 3 12 6 2 2 3" xfId="25355" xr:uid="{00000000-0005-0000-0000-0000E94A0000}"/>
    <cellStyle name="Normal 3 12 6 2 2 4" xfId="48617" xr:uid="{00000000-0005-0000-0000-0000EA4A0000}"/>
    <cellStyle name="Normal 3 12 6 2 3" xfId="15920" xr:uid="{00000000-0005-0000-0000-0000EB4A0000}"/>
    <cellStyle name="Normal 3 12 6 2 3 2" xfId="30052" xr:uid="{00000000-0005-0000-0000-0000EC4A0000}"/>
    <cellStyle name="Normal 3 12 6 2 3 3" xfId="43947" xr:uid="{00000000-0005-0000-0000-0000ED4A0000}"/>
    <cellStyle name="Normal 3 12 6 2 4" xfId="20733" xr:uid="{00000000-0005-0000-0000-0000EE4A0000}"/>
    <cellStyle name="Normal 3 12 6 2 5" xfId="39365" xr:uid="{00000000-0005-0000-0000-0000EF4A0000}"/>
    <cellStyle name="Normal 3 12 6 3" xfId="11188" xr:uid="{00000000-0005-0000-0000-0000F04A0000}"/>
    <cellStyle name="Normal 3 12 6 3 2" xfId="34673" xr:uid="{00000000-0005-0000-0000-0000F14A0000}"/>
    <cellStyle name="Normal 3 12 6 3 3" xfId="25354" xr:uid="{00000000-0005-0000-0000-0000F24A0000}"/>
    <cellStyle name="Normal 3 12 6 3 4" xfId="48616" xr:uid="{00000000-0005-0000-0000-0000F34A0000}"/>
    <cellStyle name="Normal 3 12 6 4" xfId="15919" xr:uid="{00000000-0005-0000-0000-0000F44A0000}"/>
    <cellStyle name="Normal 3 12 6 4 2" xfId="30051" xr:uid="{00000000-0005-0000-0000-0000F54A0000}"/>
    <cellStyle name="Normal 3 12 6 4 3" xfId="43946" xr:uid="{00000000-0005-0000-0000-0000F64A0000}"/>
    <cellStyle name="Normal 3 12 6 5" xfId="20732" xr:uid="{00000000-0005-0000-0000-0000F74A0000}"/>
    <cellStyle name="Normal 3 12 6 6" xfId="39364" xr:uid="{00000000-0005-0000-0000-0000F84A0000}"/>
    <cellStyle name="Normal 3 12 7" xfId="5354" xr:uid="{00000000-0005-0000-0000-0000F94A0000}"/>
    <cellStyle name="Normal 3 12 7 2" xfId="11190" xr:uid="{00000000-0005-0000-0000-0000FA4A0000}"/>
    <cellStyle name="Normal 3 12 7 2 2" xfId="34675" xr:uid="{00000000-0005-0000-0000-0000FB4A0000}"/>
    <cellStyle name="Normal 3 12 7 2 3" xfId="25356" xr:uid="{00000000-0005-0000-0000-0000FC4A0000}"/>
    <cellStyle name="Normal 3 12 7 2 4" xfId="48618" xr:uid="{00000000-0005-0000-0000-0000FD4A0000}"/>
    <cellStyle name="Normal 3 12 7 3" xfId="15921" xr:uid="{00000000-0005-0000-0000-0000FE4A0000}"/>
    <cellStyle name="Normal 3 12 7 3 2" xfId="30053" xr:uid="{00000000-0005-0000-0000-0000FF4A0000}"/>
    <cellStyle name="Normal 3 12 7 3 3" xfId="43948" xr:uid="{00000000-0005-0000-0000-0000004B0000}"/>
    <cellStyle name="Normal 3 12 7 4" xfId="20734" xr:uid="{00000000-0005-0000-0000-0000014B0000}"/>
    <cellStyle name="Normal 3 12 7 5" xfId="39366" xr:uid="{00000000-0005-0000-0000-0000024B0000}"/>
    <cellStyle name="Normal 3 12 8" xfId="11179" xr:uid="{00000000-0005-0000-0000-0000034B0000}"/>
    <cellStyle name="Normal 3 12 8 2" xfId="34664" xr:uid="{00000000-0005-0000-0000-0000044B0000}"/>
    <cellStyle name="Normal 3 12 8 3" xfId="25345" xr:uid="{00000000-0005-0000-0000-0000054B0000}"/>
    <cellStyle name="Normal 3 12 8 4" xfId="48607" xr:uid="{00000000-0005-0000-0000-0000064B0000}"/>
    <cellStyle name="Normal 3 12 9" xfId="15910" xr:uid="{00000000-0005-0000-0000-0000074B0000}"/>
    <cellStyle name="Normal 3 12 9 2" xfId="30042" xr:uid="{00000000-0005-0000-0000-0000084B0000}"/>
    <cellStyle name="Normal 3 12 9 3" xfId="43937" xr:uid="{00000000-0005-0000-0000-0000094B0000}"/>
    <cellStyle name="Normal 3 13" xfId="5355" xr:uid="{00000000-0005-0000-0000-00000A4B0000}"/>
    <cellStyle name="Normal 3 13 10" xfId="20735" xr:uid="{00000000-0005-0000-0000-00000B4B0000}"/>
    <cellStyle name="Normal 3 13 11" xfId="39367" xr:uid="{00000000-0005-0000-0000-00000C4B0000}"/>
    <cellStyle name="Normal 3 13 2" xfId="5356" xr:uid="{00000000-0005-0000-0000-00000D4B0000}"/>
    <cellStyle name="Normal 3 13 2 2" xfId="5357" xr:uid="{00000000-0005-0000-0000-00000E4B0000}"/>
    <cellStyle name="Normal 3 13 2 2 2" xfId="11193" xr:uid="{00000000-0005-0000-0000-00000F4B0000}"/>
    <cellStyle name="Normal 3 13 2 2 2 2" xfId="34678" xr:uid="{00000000-0005-0000-0000-0000104B0000}"/>
    <cellStyle name="Normal 3 13 2 2 2 3" xfId="25359" xr:uid="{00000000-0005-0000-0000-0000114B0000}"/>
    <cellStyle name="Normal 3 13 2 2 2 4" xfId="48621" xr:uid="{00000000-0005-0000-0000-0000124B0000}"/>
    <cellStyle name="Normal 3 13 2 2 3" xfId="15924" xr:uid="{00000000-0005-0000-0000-0000134B0000}"/>
    <cellStyle name="Normal 3 13 2 2 3 2" xfId="30056" xr:uid="{00000000-0005-0000-0000-0000144B0000}"/>
    <cellStyle name="Normal 3 13 2 2 3 3" xfId="43951" xr:uid="{00000000-0005-0000-0000-0000154B0000}"/>
    <cellStyle name="Normal 3 13 2 2 4" xfId="20737" xr:uid="{00000000-0005-0000-0000-0000164B0000}"/>
    <cellStyle name="Normal 3 13 2 2 5" xfId="39369" xr:uid="{00000000-0005-0000-0000-0000174B0000}"/>
    <cellStyle name="Normal 3 13 2 3" xfId="11192" xr:uid="{00000000-0005-0000-0000-0000184B0000}"/>
    <cellStyle name="Normal 3 13 2 3 2" xfId="34677" xr:uid="{00000000-0005-0000-0000-0000194B0000}"/>
    <cellStyle name="Normal 3 13 2 3 3" xfId="25358" xr:uid="{00000000-0005-0000-0000-00001A4B0000}"/>
    <cellStyle name="Normal 3 13 2 3 4" xfId="48620" xr:uid="{00000000-0005-0000-0000-00001B4B0000}"/>
    <cellStyle name="Normal 3 13 2 4" xfId="15923" xr:uid="{00000000-0005-0000-0000-00001C4B0000}"/>
    <cellStyle name="Normal 3 13 2 4 2" xfId="30055" xr:uid="{00000000-0005-0000-0000-00001D4B0000}"/>
    <cellStyle name="Normal 3 13 2 4 3" xfId="43950" xr:uid="{00000000-0005-0000-0000-00001E4B0000}"/>
    <cellStyle name="Normal 3 13 2 5" xfId="20736" xr:uid="{00000000-0005-0000-0000-00001F4B0000}"/>
    <cellStyle name="Normal 3 13 2 6" xfId="39368" xr:uid="{00000000-0005-0000-0000-0000204B0000}"/>
    <cellStyle name="Normal 3 13 3" xfId="5358" xr:uid="{00000000-0005-0000-0000-0000214B0000}"/>
    <cellStyle name="Normal 3 13 3 2" xfId="5359" xr:uid="{00000000-0005-0000-0000-0000224B0000}"/>
    <cellStyle name="Normal 3 13 3 2 2" xfId="11195" xr:uid="{00000000-0005-0000-0000-0000234B0000}"/>
    <cellStyle name="Normal 3 13 3 2 2 2" xfId="34680" xr:uid="{00000000-0005-0000-0000-0000244B0000}"/>
    <cellStyle name="Normal 3 13 3 2 2 3" xfId="25361" xr:uid="{00000000-0005-0000-0000-0000254B0000}"/>
    <cellStyle name="Normal 3 13 3 2 2 4" xfId="48623" xr:uid="{00000000-0005-0000-0000-0000264B0000}"/>
    <cellStyle name="Normal 3 13 3 2 3" xfId="15926" xr:uid="{00000000-0005-0000-0000-0000274B0000}"/>
    <cellStyle name="Normal 3 13 3 2 3 2" xfId="30058" xr:uid="{00000000-0005-0000-0000-0000284B0000}"/>
    <cellStyle name="Normal 3 13 3 2 3 3" xfId="43953" xr:uid="{00000000-0005-0000-0000-0000294B0000}"/>
    <cellStyle name="Normal 3 13 3 2 4" xfId="20739" xr:uid="{00000000-0005-0000-0000-00002A4B0000}"/>
    <cellStyle name="Normal 3 13 3 2 5" xfId="39371" xr:uid="{00000000-0005-0000-0000-00002B4B0000}"/>
    <cellStyle name="Normal 3 13 3 3" xfId="11194" xr:uid="{00000000-0005-0000-0000-00002C4B0000}"/>
    <cellStyle name="Normal 3 13 3 3 2" xfId="34679" xr:uid="{00000000-0005-0000-0000-00002D4B0000}"/>
    <cellStyle name="Normal 3 13 3 3 3" xfId="25360" xr:uid="{00000000-0005-0000-0000-00002E4B0000}"/>
    <cellStyle name="Normal 3 13 3 3 4" xfId="48622" xr:uid="{00000000-0005-0000-0000-00002F4B0000}"/>
    <cellStyle name="Normal 3 13 3 4" xfId="15925" xr:uid="{00000000-0005-0000-0000-0000304B0000}"/>
    <cellStyle name="Normal 3 13 3 4 2" xfId="30057" xr:uid="{00000000-0005-0000-0000-0000314B0000}"/>
    <cellStyle name="Normal 3 13 3 4 3" xfId="43952" xr:uid="{00000000-0005-0000-0000-0000324B0000}"/>
    <cellStyle name="Normal 3 13 3 5" xfId="20738" xr:uid="{00000000-0005-0000-0000-0000334B0000}"/>
    <cellStyle name="Normal 3 13 3 6" xfId="39370" xr:uid="{00000000-0005-0000-0000-0000344B0000}"/>
    <cellStyle name="Normal 3 13 4" xfId="5360" xr:uid="{00000000-0005-0000-0000-0000354B0000}"/>
    <cellStyle name="Normal 3 13 4 2" xfId="5361" xr:uid="{00000000-0005-0000-0000-0000364B0000}"/>
    <cellStyle name="Normal 3 13 4 2 2" xfId="11197" xr:uid="{00000000-0005-0000-0000-0000374B0000}"/>
    <cellStyle name="Normal 3 13 4 2 2 2" xfId="34682" xr:uid="{00000000-0005-0000-0000-0000384B0000}"/>
    <cellStyle name="Normal 3 13 4 2 2 3" xfId="25363" xr:uid="{00000000-0005-0000-0000-0000394B0000}"/>
    <cellStyle name="Normal 3 13 4 2 2 4" xfId="48625" xr:uid="{00000000-0005-0000-0000-00003A4B0000}"/>
    <cellStyle name="Normal 3 13 4 2 3" xfId="15928" xr:uid="{00000000-0005-0000-0000-00003B4B0000}"/>
    <cellStyle name="Normal 3 13 4 2 3 2" xfId="30060" xr:uid="{00000000-0005-0000-0000-00003C4B0000}"/>
    <cellStyle name="Normal 3 13 4 2 3 3" xfId="43955" xr:uid="{00000000-0005-0000-0000-00003D4B0000}"/>
    <cellStyle name="Normal 3 13 4 2 4" xfId="20741" xr:uid="{00000000-0005-0000-0000-00003E4B0000}"/>
    <cellStyle name="Normal 3 13 4 2 5" xfId="39373" xr:uid="{00000000-0005-0000-0000-00003F4B0000}"/>
    <cellStyle name="Normal 3 13 4 3" xfId="11196" xr:uid="{00000000-0005-0000-0000-0000404B0000}"/>
    <cellStyle name="Normal 3 13 4 3 2" xfId="34681" xr:uid="{00000000-0005-0000-0000-0000414B0000}"/>
    <cellStyle name="Normal 3 13 4 3 3" xfId="25362" xr:uid="{00000000-0005-0000-0000-0000424B0000}"/>
    <cellStyle name="Normal 3 13 4 3 4" xfId="48624" xr:uid="{00000000-0005-0000-0000-0000434B0000}"/>
    <cellStyle name="Normal 3 13 4 4" xfId="15927" xr:uid="{00000000-0005-0000-0000-0000444B0000}"/>
    <cellStyle name="Normal 3 13 4 4 2" xfId="30059" xr:uid="{00000000-0005-0000-0000-0000454B0000}"/>
    <cellStyle name="Normal 3 13 4 4 3" xfId="43954" xr:uid="{00000000-0005-0000-0000-0000464B0000}"/>
    <cellStyle name="Normal 3 13 4 5" xfId="20740" xr:uid="{00000000-0005-0000-0000-0000474B0000}"/>
    <cellStyle name="Normal 3 13 4 6" xfId="39372" xr:uid="{00000000-0005-0000-0000-0000484B0000}"/>
    <cellStyle name="Normal 3 13 5" xfId="5362" xr:uid="{00000000-0005-0000-0000-0000494B0000}"/>
    <cellStyle name="Normal 3 13 5 2" xfId="5363" xr:uid="{00000000-0005-0000-0000-00004A4B0000}"/>
    <cellStyle name="Normal 3 13 5 2 2" xfId="11199" xr:uid="{00000000-0005-0000-0000-00004B4B0000}"/>
    <cellStyle name="Normal 3 13 5 2 2 2" xfId="34684" xr:uid="{00000000-0005-0000-0000-00004C4B0000}"/>
    <cellStyle name="Normal 3 13 5 2 2 3" xfId="25365" xr:uid="{00000000-0005-0000-0000-00004D4B0000}"/>
    <cellStyle name="Normal 3 13 5 2 2 4" xfId="48627" xr:uid="{00000000-0005-0000-0000-00004E4B0000}"/>
    <cellStyle name="Normal 3 13 5 2 3" xfId="15930" xr:uid="{00000000-0005-0000-0000-00004F4B0000}"/>
    <cellStyle name="Normal 3 13 5 2 3 2" xfId="30062" xr:uid="{00000000-0005-0000-0000-0000504B0000}"/>
    <cellStyle name="Normal 3 13 5 2 3 3" xfId="43957" xr:uid="{00000000-0005-0000-0000-0000514B0000}"/>
    <cellStyle name="Normal 3 13 5 2 4" xfId="20743" xr:uid="{00000000-0005-0000-0000-0000524B0000}"/>
    <cellStyle name="Normal 3 13 5 2 5" xfId="39375" xr:uid="{00000000-0005-0000-0000-0000534B0000}"/>
    <cellStyle name="Normal 3 13 5 3" xfId="11198" xr:uid="{00000000-0005-0000-0000-0000544B0000}"/>
    <cellStyle name="Normal 3 13 5 3 2" xfId="34683" xr:uid="{00000000-0005-0000-0000-0000554B0000}"/>
    <cellStyle name="Normal 3 13 5 3 3" xfId="25364" xr:uid="{00000000-0005-0000-0000-0000564B0000}"/>
    <cellStyle name="Normal 3 13 5 3 4" xfId="48626" xr:uid="{00000000-0005-0000-0000-0000574B0000}"/>
    <cellStyle name="Normal 3 13 5 4" xfId="15929" xr:uid="{00000000-0005-0000-0000-0000584B0000}"/>
    <cellStyle name="Normal 3 13 5 4 2" xfId="30061" xr:uid="{00000000-0005-0000-0000-0000594B0000}"/>
    <cellStyle name="Normal 3 13 5 4 3" xfId="43956" xr:uid="{00000000-0005-0000-0000-00005A4B0000}"/>
    <cellStyle name="Normal 3 13 5 5" xfId="20742" xr:uid="{00000000-0005-0000-0000-00005B4B0000}"/>
    <cellStyle name="Normal 3 13 5 6" xfId="39374" xr:uid="{00000000-0005-0000-0000-00005C4B0000}"/>
    <cellStyle name="Normal 3 13 6" xfId="5364" xr:uid="{00000000-0005-0000-0000-00005D4B0000}"/>
    <cellStyle name="Normal 3 13 6 2" xfId="5365" xr:uid="{00000000-0005-0000-0000-00005E4B0000}"/>
    <cellStyle name="Normal 3 13 6 2 2" xfId="11201" xr:uid="{00000000-0005-0000-0000-00005F4B0000}"/>
    <cellStyle name="Normal 3 13 6 2 2 2" xfId="34686" xr:uid="{00000000-0005-0000-0000-0000604B0000}"/>
    <cellStyle name="Normal 3 13 6 2 2 3" xfId="25367" xr:uid="{00000000-0005-0000-0000-0000614B0000}"/>
    <cellStyle name="Normal 3 13 6 2 2 4" xfId="48629" xr:uid="{00000000-0005-0000-0000-0000624B0000}"/>
    <cellStyle name="Normal 3 13 6 2 3" xfId="15932" xr:uid="{00000000-0005-0000-0000-0000634B0000}"/>
    <cellStyle name="Normal 3 13 6 2 3 2" xfId="30064" xr:uid="{00000000-0005-0000-0000-0000644B0000}"/>
    <cellStyle name="Normal 3 13 6 2 3 3" xfId="43959" xr:uid="{00000000-0005-0000-0000-0000654B0000}"/>
    <cellStyle name="Normal 3 13 6 2 4" xfId="20745" xr:uid="{00000000-0005-0000-0000-0000664B0000}"/>
    <cellStyle name="Normal 3 13 6 2 5" xfId="39377" xr:uid="{00000000-0005-0000-0000-0000674B0000}"/>
    <cellStyle name="Normal 3 13 6 3" xfId="11200" xr:uid="{00000000-0005-0000-0000-0000684B0000}"/>
    <cellStyle name="Normal 3 13 6 3 2" xfId="34685" xr:uid="{00000000-0005-0000-0000-0000694B0000}"/>
    <cellStyle name="Normal 3 13 6 3 3" xfId="25366" xr:uid="{00000000-0005-0000-0000-00006A4B0000}"/>
    <cellStyle name="Normal 3 13 6 3 4" xfId="48628" xr:uid="{00000000-0005-0000-0000-00006B4B0000}"/>
    <cellStyle name="Normal 3 13 6 4" xfId="15931" xr:uid="{00000000-0005-0000-0000-00006C4B0000}"/>
    <cellStyle name="Normal 3 13 6 4 2" xfId="30063" xr:uid="{00000000-0005-0000-0000-00006D4B0000}"/>
    <cellStyle name="Normal 3 13 6 4 3" xfId="43958" xr:uid="{00000000-0005-0000-0000-00006E4B0000}"/>
    <cellStyle name="Normal 3 13 6 5" xfId="20744" xr:uid="{00000000-0005-0000-0000-00006F4B0000}"/>
    <cellStyle name="Normal 3 13 6 6" xfId="39376" xr:uid="{00000000-0005-0000-0000-0000704B0000}"/>
    <cellStyle name="Normal 3 13 7" xfId="5366" xr:uid="{00000000-0005-0000-0000-0000714B0000}"/>
    <cellStyle name="Normal 3 13 7 2" xfId="11202" xr:uid="{00000000-0005-0000-0000-0000724B0000}"/>
    <cellStyle name="Normal 3 13 7 2 2" xfId="34687" xr:uid="{00000000-0005-0000-0000-0000734B0000}"/>
    <cellStyle name="Normal 3 13 7 2 3" xfId="25368" xr:uid="{00000000-0005-0000-0000-0000744B0000}"/>
    <cellStyle name="Normal 3 13 7 2 4" xfId="48630" xr:uid="{00000000-0005-0000-0000-0000754B0000}"/>
    <cellStyle name="Normal 3 13 7 3" xfId="15933" xr:uid="{00000000-0005-0000-0000-0000764B0000}"/>
    <cellStyle name="Normal 3 13 7 3 2" xfId="30065" xr:uid="{00000000-0005-0000-0000-0000774B0000}"/>
    <cellStyle name="Normal 3 13 7 3 3" xfId="43960" xr:uid="{00000000-0005-0000-0000-0000784B0000}"/>
    <cellStyle name="Normal 3 13 7 4" xfId="20746" xr:uid="{00000000-0005-0000-0000-0000794B0000}"/>
    <cellStyle name="Normal 3 13 7 5" xfId="39378" xr:uid="{00000000-0005-0000-0000-00007A4B0000}"/>
    <cellStyle name="Normal 3 13 8" xfId="11191" xr:uid="{00000000-0005-0000-0000-00007B4B0000}"/>
    <cellStyle name="Normal 3 13 8 2" xfId="34676" xr:uid="{00000000-0005-0000-0000-00007C4B0000}"/>
    <cellStyle name="Normal 3 13 8 3" xfId="25357" xr:uid="{00000000-0005-0000-0000-00007D4B0000}"/>
    <cellStyle name="Normal 3 13 8 4" xfId="48619" xr:uid="{00000000-0005-0000-0000-00007E4B0000}"/>
    <cellStyle name="Normal 3 13 9" xfId="15922" xr:uid="{00000000-0005-0000-0000-00007F4B0000}"/>
    <cellStyle name="Normal 3 13 9 2" xfId="30054" xr:uid="{00000000-0005-0000-0000-0000804B0000}"/>
    <cellStyle name="Normal 3 13 9 3" xfId="43949" xr:uid="{00000000-0005-0000-0000-0000814B0000}"/>
    <cellStyle name="Normal 3 14" xfId="5367" xr:uid="{00000000-0005-0000-0000-0000824B0000}"/>
    <cellStyle name="Normal 3 14 10" xfId="20747" xr:uid="{00000000-0005-0000-0000-0000834B0000}"/>
    <cellStyle name="Normal 3 14 11" xfId="39379" xr:uid="{00000000-0005-0000-0000-0000844B0000}"/>
    <cellStyle name="Normal 3 14 2" xfId="5368" xr:uid="{00000000-0005-0000-0000-0000854B0000}"/>
    <cellStyle name="Normal 3 14 2 2" xfId="5369" xr:uid="{00000000-0005-0000-0000-0000864B0000}"/>
    <cellStyle name="Normal 3 14 2 2 2" xfId="11205" xr:uid="{00000000-0005-0000-0000-0000874B0000}"/>
    <cellStyle name="Normal 3 14 2 2 2 2" xfId="34690" xr:uid="{00000000-0005-0000-0000-0000884B0000}"/>
    <cellStyle name="Normal 3 14 2 2 2 3" xfId="25371" xr:uid="{00000000-0005-0000-0000-0000894B0000}"/>
    <cellStyle name="Normal 3 14 2 2 2 4" xfId="48633" xr:uid="{00000000-0005-0000-0000-00008A4B0000}"/>
    <cellStyle name="Normal 3 14 2 2 3" xfId="15936" xr:uid="{00000000-0005-0000-0000-00008B4B0000}"/>
    <cellStyle name="Normal 3 14 2 2 3 2" xfId="30068" xr:uid="{00000000-0005-0000-0000-00008C4B0000}"/>
    <cellStyle name="Normal 3 14 2 2 3 3" xfId="43963" xr:uid="{00000000-0005-0000-0000-00008D4B0000}"/>
    <cellStyle name="Normal 3 14 2 2 4" xfId="20749" xr:uid="{00000000-0005-0000-0000-00008E4B0000}"/>
    <cellStyle name="Normal 3 14 2 2 5" xfId="39381" xr:uid="{00000000-0005-0000-0000-00008F4B0000}"/>
    <cellStyle name="Normal 3 14 2 3" xfId="11204" xr:uid="{00000000-0005-0000-0000-0000904B0000}"/>
    <cellStyle name="Normal 3 14 2 3 2" xfId="34689" xr:uid="{00000000-0005-0000-0000-0000914B0000}"/>
    <cellStyle name="Normal 3 14 2 3 3" xfId="25370" xr:uid="{00000000-0005-0000-0000-0000924B0000}"/>
    <cellStyle name="Normal 3 14 2 3 4" xfId="48632" xr:uid="{00000000-0005-0000-0000-0000934B0000}"/>
    <cellStyle name="Normal 3 14 2 4" xfId="15935" xr:uid="{00000000-0005-0000-0000-0000944B0000}"/>
    <cellStyle name="Normal 3 14 2 4 2" xfId="30067" xr:uid="{00000000-0005-0000-0000-0000954B0000}"/>
    <cellStyle name="Normal 3 14 2 4 3" xfId="43962" xr:uid="{00000000-0005-0000-0000-0000964B0000}"/>
    <cellStyle name="Normal 3 14 2 5" xfId="20748" xr:uid="{00000000-0005-0000-0000-0000974B0000}"/>
    <cellStyle name="Normal 3 14 2 6" xfId="39380" xr:uid="{00000000-0005-0000-0000-0000984B0000}"/>
    <cellStyle name="Normal 3 14 3" xfId="5370" xr:uid="{00000000-0005-0000-0000-0000994B0000}"/>
    <cellStyle name="Normal 3 14 3 2" xfId="5371" xr:uid="{00000000-0005-0000-0000-00009A4B0000}"/>
    <cellStyle name="Normal 3 14 3 2 2" xfId="11207" xr:uid="{00000000-0005-0000-0000-00009B4B0000}"/>
    <cellStyle name="Normal 3 14 3 2 2 2" xfId="34692" xr:uid="{00000000-0005-0000-0000-00009C4B0000}"/>
    <cellStyle name="Normal 3 14 3 2 2 3" xfId="25373" xr:uid="{00000000-0005-0000-0000-00009D4B0000}"/>
    <cellStyle name="Normal 3 14 3 2 2 4" xfId="48635" xr:uid="{00000000-0005-0000-0000-00009E4B0000}"/>
    <cellStyle name="Normal 3 14 3 2 3" xfId="15938" xr:uid="{00000000-0005-0000-0000-00009F4B0000}"/>
    <cellStyle name="Normal 3 14 3 2 3 2" xfId="30070" xr:uid="{00000000-0005-0000-0000-0000A04B0000}"/>
    <cellStyle name="Normal 3 14 3 2 3 3" xfId="43965" xr:uid="{00000000-0005-0000-0000-0000A14B0000}"/>
    <cellStyle name="Normal 3 14 3 2 4" xfId="20751" xr:uid="{00000000-0005-0000-0000-0000A24B0000}"/>
    <cellStyle name="Normal 3 14 3 2 5" xfId="39383" xr:uid="{00000000-0005-0000-0000-0000A34B0000}"/>
    <cellStyle name="Normal 3 14 3 3" xfId="11206" xr:uid="{00000000-0005-0000-0000-0000A44B0000}"/>
    <cellStyle name="Normal 3 14 3 3 2" xfId="34691" xr:uid="{00000000-0005-0000-0000-0000A54B0000}"/>
    <cellStyle name="Normal 3 14 3 3 3" xfId="25372" xr:uid="{00000000-0005-0000-0000-0000A64B0000}"/>
    <cellStyle name="Normal 3 14 3 3 4" xfId="48634" xr:uid="{00000000-0005-0000-0000-0000A74B0000}"/>
    <cellStyle name="Normal 3 14 3 4" xfId="15937" xr:uid="{00000000-0005-0000-0000-0000A84B0000}"/>
    <cellStyle name="Normal 3 14 3 4 2" xfId="30069" xr:uid="{00000000-0005-0000-0000-0000A94B0000}"/>
    <cellStyle name="Normal 3 14 3 4 3" xfId="43964" xr:uid="{00000000-0005-0000-0000-0000AA4B0000}"/>
    <cellStyle name="Normal 3 14 3 5" xfId="20750" xr:uid="{00000000-0005-0000-0000-0000AB4B0000}"/>
    <cellStyle name="Normal 3 14 3 6" xfId="39382" xr:uid="{00000000-0005-0000-0000-0000AC4B0000}"/>
    <cellStyle name="Normal 3 14 4" xfId="5372" xr:uid="{00000000-0005-0000-0000-0000AD4B0000}"/>
    <cellStyle name="Normal 3 14 4 2" xfId="5373" xr:uid="{00000000-0005-0000-0000-0000AE4B0000}"/>
    <cellStyle name="Normal 3 14 4 2 2" xfId="11209" xr:uid="{00000000-0005-0000-0000-0000AF4B0000}"/>
    <cellStyle name="Normal 3 14 4 2 2 2" xfId="34694" xr:uid="{00000000-0005-0000-0000-0000B04B0000}"/>
    <cellStyle name="Normal 3 14 4 2 2 3" xfId="25375" xr:uid="{00000000-0005-0000-0000-0000B14B0000}"/>
    <cellStyle name="Normal 3 14 4 2 2 4" xfId="48637" xr:uid="{00000000-0005-0000-0000-0000B24B0000}"/>
    <cellStyle name="Normal 3 14 4 2 3" xfId="15940" xr:uid="{00000000-0005-0000-0000-0000B34B0000}"/>
    <cellStyle name="Normal 3 14 4 2 3 2" xfId="30072" xr:uid="{00000000-0005-0000-0000-0000B44B0000}"/>
    <cellStyle name="Normal 3 14 4 2 3 3" xfId="43967" xr:uid="{00000000-0005-0000-0000-0000B54B0000}"/>
    <cellStyle name="Normal 3 14 4 2 4" xfId="20753" xr:uid="{00000000-0005-0000-0000-0000B64B0000}"/>
    <cellStyle name="Normal 3 14 4 2 5" xfId="39385" xr:uid="{00000000-0005-0000-0000-0000B74B0000}"/>
    <cellStyle name="Normal 3 14 4 3" xfId="11208" xr:uid="{00000000-0005-0000-0000-0000B84B0000}"/>
    <cellStyle name="Normal 3 14 4 3 2" xfId="34693" xr:uid="{00000000-0005-0000-0000-0000B94B0000}"/>
    <cellStyle name="Normal 3 14 4 3 3" xfId="25374" xr:uid="{00000000-0005-0000-0000-0000BA4B0000}"/>
    <cellStyle name="Normal 3 14 4 3 4" xfId="48636" xr:uid="{00000000-0005-0000-0000-0000BB4B0000}"/>
    <cellStyle name="Normal 3 14 4 4" xfId="15939" xr:uid="{00000000-0005-0000-0000-0000BC4B0000}"/>
    <cellStyle name="Normal 3 14 4 4 2" xfId="30071" xr:uid="{00000000-0005-0000-0000-0000BD4B0000}"/>
    <cellStyle name="Normal 3 14 4 4 3" xfId="43966" xr:uid="{00000000-0005-0000-0000-0000BE4B0000}"/>
    <cellStyle name="Normal 3 14 4 5" xfId="20752" xr:uid="{00000000-0005-0000-0000-0000BF4B0000}"/>
    <cellStyle name="Normal 3 14 4 6" xfId="39384" xr:uid="{00000000-0005-0000-0000-0000C04B0000}"/>
    <cellStyle name="Normal 3 14 5" xfId="5374" xr:uid="{00000000-0005-0000-0000-0000C14B0000}"/>
    <cellStyle name="Normal 3 14 5 2" xfId="5375" xr:uid="{00000000-0005-0000-0000-0000C24B0000}"/>
    <cellStyle name="Normal 3 14 5 2 2" xfId="11211" xr:uid="{00000000-0005-0000-0000-0000C34B0000}"/>
    <cellStyle name="Normal 3 14 5 2 2 2" xfId="34696" xr:uid="{00000000-0005-0000-0000-0000C44B0000}"/>
    <cellStyle name="Normal 3 14 5 2 2 3" xfId="25377" xr:uid="{00000000-0005-0000-0000-0000C54B0000}"/>
    <cellStyle name="Normal 3 14 5 2 2 4" xfId="48639" xr:uid="{00000000-0005-0000-0000-0000C64B0000}"/>
    <cellStyle name="Normal 3 14 5 2 3" xfId="15942" xr:uid="{00000000-0005-0000-0000-0000C74B0000}"/>
    <cellStyle name="Normal 3 14 5 2 3 2" xfId="30074" xr:uid="{00000000-0005-0000-0000-0000C84B0000}"/>
    <cellStyle name="Normal 3 14 5 2 3 3" xfId="43969" xr:uid="{00000000-0005-0000-0000-0000C94B0000}"/>
    <cellStyle name="Normal 3 14 5 2 4" xfId="20755" xr:uid="{00000000-0005-0000-0000-0000CA4B0000}"/>
    <cellStyle name="Normal 3 14 5 2 5" xfId="39387" xr:uid="{00000000-0005-0000-0000-0000CB4B0000}"/>
    <cellStyle name="Normal 3 14 5 3" xfId="11210" xr:uid="{00000000-0005-0000-0000-0000CC4B0000}"/>
    <cellStyle name="Normal 3 14 5 3 2" xfId="34695" xr:uid="{00000000-0005-0000-0000-0000CD4B0000}"/>
    <cellStyle name="Normal 3 14 5 3 3" xfId="25376" xr:uid="{00000000-0005-0000-0000-0000CE4B0000}"/>
    <cellStyle name="Normal 3 14 5 3 4" xfId="48638" xr:uid="{00000000-0005-0000-0000-0000CF4B0000}"/>
    <cellStyle name="Normal 3 14 5 4" xfId="15941" xr:uid="{00000000-0005-0000-0000-0000D04B0000}"/>
    <cellStyle name="Normal 3 14 5 4 2" xfId="30073" xr:uid="{00000000-0005-0000-0000-0000D14B0000}"/>
    <cellStyle name="Normal 3 14 5 4 3" xfId="43968" xr:uid="{00000000-0005-0000-0000-0000D24B0000}"/>
    <cellStyle name="Normal 3 14 5 5" xfId="20754" xr:uid="{00000000-0005-0000-0000-0000D34B0000}"/>
    <cellStyle name="Normal 3 14 5 6" xfId="39386" xr:uid="{00000000-0005-0000-0000-0000D44B0000}"/>
    <cellStyle name="Normal 3 14 6" xfId="5376" xr:uid="{00000000-0005-0000-0000-0000D54B0000}"/>
    <cellStyle name="Normal 3 14 6 2" xfId="5377" xr:uid="{00000000-0005-0000-0000-0000D64B0000}"/>
    <cellStyle name="Normal 3 14 6 2 2" xfId="11213" xr:uid="{00000000-0005-0000-0000-0000D74B0000}"/>
    <cellStyle name="Normal 3 14 6 2 2 2" xfId="34698" xr:uid="{00000000-0005-0000-0000-0000D84B0000}"/>
    <cellStyle name="Normal 3 14 6 2 2 3" xfId="25379" xr:uid="{00000000-0005-0000-0000-0000D94B0000}"/>
    <cellStyle name="Normal 3 14 6 2 2 4" xfId="48641" xr:uid="{00000000-0005-0000-0000-0000DA4B0000}"/>
    <cellStyle name="Normal 3 14 6 2 3" xfId="15944" xr:uid="{00000000-0005-0000-0000-0000DB4B0000}"/>
    <cellStyle name="Normal 3 14 6 2 3 2" xfId="30076" xr:uid="{00000000-0005-0000-0000-0000DC4B0000}"/>
    <cellStyle name="Normal 3 14 6 2 3 3" xfId="43971" xr:uid="{00000000-0005-0000-0000-0000DD4B0000}"/>
    <cellStyle name="Normal 3 14 6 2 4" xfId="20757" xr:uid="{00000000-0005-0000-0000-0000DE4B0000}"/>
    <cellStyle name="Normal 3 14 6 2 5" xfId="39389" xr:uid="{00000000-0005-0000-0000-0000DF4B0000}"/>
    <cellStyle name="Normal 3 14 6 3" xfId="11212" xr:uid="{00000000-0005-0000-0000-0000E04B0000}"/>
    <cellStyle name="Normal 3 14 6 3 2" xfId="34697" xr:uid="{00000000-0005-0000-0000-0000E14B0000}"/>
    <cellStyle name="Normal 3 14 6 3 3" xfId="25378" xr:uid="{00000000-0005-0000-0000-0000E24B0000}"/>
    <cellStyle name="Normal 3 14 6 3 4" xfId="48640" xr:uid="{00000000-0005-0000-0000-0000E34B0000}"/>
    <cellStyle name="Normal 3 14 6 4" xfId="15943" xr:uid="{00000000-0005-0000-0000-0000E44B0000}"/>
    <cellStyle name="Normal 3 14 6 4 2" xfId="30075" xr:uid="{00000000-0005-0000-0000-0000E54B0000}"/>
    <cellStyle name="Normal 3 14 6 4 3" xfId="43970" xr:uid="{00000000-0005-0000-0000-0000E64B0000}"/>
    <cellStyle name="Normal 3 14 6 5" xfId="20756" xr:uid="{00000000-0005-0000-0000-0000E74B0000}"/>
    <cellStyle name="Normal 3 14 6 6" xfId="39388" xr:uid="{00000000-0005-0000-0000-0000E84B0000}"/>
    <cellStyle name="Normal 3 14 7" xfId="5378" xr:uid="{00000000-0005-0000-0000-0000E94B0000}"/>
    <cellStyle name="Normal 3 14 7 2" xfId="11214" xr:uid="{00000000-0005-0000-0000-0000EA4B0000}"/>
    <cellStyle name="Normal 3 14 7 2 2" xfId="34699" xr:uid="{00000000-0005-0000-0000-0000EB4B0000}"/>
    <cellStyle name="Normal 3 14 7 2 3" xfId="25380" xr:uid="{00000000-0005-0000-0000-0000EC4B0000}"/>
    <cellStyle name="Normal 3 14 7 2 4" xfId="48642" xr:uid="{00000000-0005-0000-0000-0000ED4B0000}"/>
    <cellStyle name="Normal 3 14 7 3" xfId="15945" xr:uid="{00000000-0005-0000-0000-0000EE4B0000}"/>
    <cellStyle name="Normal 3 14 7 3 2" xfId="30077" xr:uid="{00000000-0005-0000-0000-0000EF4B0000}"/>
    <cellStyle name="Normal 3 14 7 3 3" xfId="43972" xr:uid="{00000000-0005-0000-0000-0000F04B0000}"/>
    <cellStyle name="Normal 3 14 7 4" xfId="20758" xr:uid="{00000000-0005-0000-0000-0000F14B0000}"/>
    <cellStyle name="Normal 3 14 7 5" xfId="39390" xr:uid="{00000000-0005-0000-0000-0000F24B0000}"/>
    <cellStyle name="Normal 3 14 8" xfId="11203" xr:uid="{00000000-0005-0000-0000-0000F34B0000}"/>
    <cellStyle name="Normal 3 14 8 2" xfId="34688" xr:uid="{00000000-0005-0000-0000-0000F44B0000}"/>
    <cellStyle name="Normal 3 14 8 3" xfId="25369" xr:uid="{00000000-0005-0000-0000-0000F54B0000}"/>
    <cellStyle name="Normal 3 14 8 4" xfId="48631" xr:uid="{00000000-0005-0000-0000-0000F64B0000}"/>
    <cellStyle name="Normal 3 14 9" xfId="15934" xr:uid="{00000000-0005-0000-0000-0000F74B0000}"/>
    <cellStyle name="Normal 3 14 9 2" xfId="30066" xr:uid="{00000000-0005-0000-0000-0000F84B0000}"/>
    <cellStyle name="Normal 3 14 9 3" xfId="43961" xr:uid="{00000000-0005-0000-0000-0000F94B0000}"/>
    <cellStyle name="Normal 3 15" xfId="5379" xr:uid="{00000000-0005-0000-0000-0000FA4B0000}"/>
    <cellStyle name="Normal 3 15 10" xfId="20759" xr:uid="{00000000-0005-0000-0000-0000FB4B0000}"/>
    <cellStyle name="Normal 3 15 11" xfId="39391" xr:uid="{00000000-0005-0000-0000-0000FC4B0000}"/>
    <cellStyle name="Normal 3 15 2" xfId="5380" xr:uid="{00000000-0005-0000-0000-0000FD4B0000}"/>
    <cellStyle name="Normal 3 15 2 2" xfId="5381" xr:uid="{00000000-0005-0000-0000-0000FE4B0000}"/>
    <cellStyle name="Normal 3 15 2 2 2" xfId="11217" xr:uid="{00000000-0005-0000-0000-0000FF4B0000}"/>
    <cellStyle name="Normal 3 15 2 2 2 2" xfId="34702" xr:uid="{00000000-0005-0000-0000-0000004C0000}"/>
    <cellStyle name="Normal 3 15 2 2 2 3" xfId="25383" xr:uid="{00000000-0005-0000-0000-0000014C0000}"/>
    <cellStyle name="Normal 3 15 2 2 2 4" xfId="48645" xr:uid="{00000000-0005-0000-0000-0000024C0000}"/>
    <cellStyle name="Normal 3 15 2 2 3" xfId="15948" xr:uid="{00000000-0005-0000-0000-0000034C0000}"/>
    <cellStyle name="Normal 3 15 2 2 3 2" xfId="30080" xr:uid="{00000000-0005-0000-0000-0000044C0000}"/>
    <cellStyle name="Normal 3 15 2 2 3 3" xfId="43975" xr:uid="{00000000-0005-0000-0000-0000054C0000}"/>
    <cellStyle name="Normal 3 15 2 2 4" xfId="20761" xr:uid="{00000000-0005-0000-0000-0000064C0000}"/>
    <cellStyle name="Normal 3 15 2 2 5" xfId="39393" xr:uid="{00000000-0005-0000-0000-0000074C0000}"/>
    <cellStyle name="Normal 3 15 2 3" xfId="11216" xr:uid="{00000000-0005-0000-0000-0000084C0000}"/>
    <cellStyle name="Normal 3 15 2 3 2" xfId="34701" xr:uid="{00000000-0005-0000-0000-0000094C0000}"/>
    <cellStyle name="Normal 3 15 2 3 3" xfId="25382" xr:uid="{00000000-0005-0000-0000-00000A4C0000}"/>
    <cellStyle name="Normal 3 15 2 3 4" xfId="48644" xr:uid="{00000000-0005-0000-0000-00000B4C0000}"/>
    <cellStyle name="Normal 3 15 2 4" xfId="15947" xr:uid="{00000000-0005-0000-0000-00000C4C0000}"/>
    <cellStyle name="Normal 3 15 2 4 2" xfId="30079" xr:uid="{00000000-0005-0000-0000-00000D4C0000}"/>
    <cellStyle name="Normal 3 15 2 4 3" xfId="43974" xr:uid="{00000000-0005-0000-0000-00000E4C0000}"/>
    <cellStyle name="Normal 3 15 2 5" xfId="20760" xr:uid="{00000000-0005-0000-0000-00000F4C0000}"/>
    <cellStyle name="Normal 3 15 2 6" xfId="39392" xr:uid="{00000000-0005-0000-0000-0000104C0000}"/>
    <cellStyle name="Normal 3 15 3" xfId="5382" xr:uid="{00000000-0005-0000-0000-0000114C0000}"/>
    <cellStyle name="Normal 3 15 3 2" xfId="5383" xr:uid="{00000000-0005-0000-0000-0000124C0000}"/>
    <cellStyle name="Normal 3 15 3 2 2" xfId="11219" xr:uid="{00000000-0005-0000-0000-0000134C0000}"/>
    <cellStyle name="Normal 3 15 3 2 2 2" xfId="34704" xr:uid="{00000000-0005-0000-0000-0000144C0000}"/>
    <cellStyle name="Normal 3 15 3 2 2 3" xfId="25385" xr:uid="{00000000-0005-0000-0000-0000154C0000}"/>
    <cellStyle name="Normal 3 15 3 2 2 4" xfId="48647" xr:uid="{00000000-0005-0000-0000-0000164C0000}"/>
    <cellStyle name="Normal 3 15 3 2 3" xfId="15950" xr:uid="{00000000-0005-0000-0000-0000174C0000}"/>
    <cellStyle name="Normal 3 15 3 2 3 2" xfId="30082" xr:uid="{00000000-0005-0000-0000-0000184C0000}"/>
    <cellStyle name="Normal 3 15 3 2 3 3" xfId="43977" xr:uid="{00000000-0005-0000-0000-0000194C0000}"/>
    <cellStyle name="Normal 3 15 3 2 4" xfId="20763" xr:uid="{00000000-0005-0000-0000-00001A4C0000}"/>
    <cellStyle name="Normal 3 15 3 2 5" xfId="39395" xr:uid="{00000000-0005-0000-0000-00001B4C0000}"/>
    <cellStyle name="Normal 3 15 3 3" xfId="11218" xr:uid="{00000000-0005-0000-0000-00001C4C0000}"/>
    <cellStyle name="Normal 3 15 3 3 2" xfId="34703" xr:uid="{00000000-0005-0000-0000-00001D4C0000}"/>
    <cellStyle name="Normal 3 15 3 3 3" xfId="25384" xr:uid="{00000000-0005-0000-0000-00001E4C0000}"/>
    <cellStyle name="Normal 3 15 3 3 4" xfId="48646" xr:uid="{00000000-0005-0000-0000-00001F4C0000}"/>
    <cellStyle name="Normal 3 15 3 4" xfId="15949" xr:uid="{00000000-0005-0000-0000-0000204C0000}"/>
    <cellStyle name="Normal 3 15 3 4 2" xfId="30081" xr:uid="{00000000-0005-0000-0000-0000214C0000}"/>
    <cellStyle name="Normal 3 15 3 4 3" xfId="43976" xr:uid="{00000000-0005-0000-0000-0000224C0000}"/>
    <cellStyle name="Normal 3 15 3 5" xfId="20762" xr:uid="{00000000-0005-0000-0000-0000234C0000}"/>
    <cellStyle name="Normal 3 15 3 6" xfId="39394" xr:uid="{00000000-0005-0000-0000-0000244C0000}"/>
    <cellStyle name="Normal 3 15 4" xfId="5384" xr:uid="{00000000-0005-0000-0000-0000254C0000}"/>
    <cellStyle name="Normal 3 15 4 2" xfId="5385" xr:uid="{00000000-0005-0000-0000-0000264C0000}"/>
    <cellStyle name="Normal 3 15 4 2 2" xfId="11221" xr:uid="{00000000-0005-0000-0000-0000274C0000}"/>
    <cellStyle name="Normal 3 15 4 2 2 2" xfId="34706" xr:uid="{00000000-0005-0000-0000-0000284C0000}"/>
    <cellStyle name="Normal 3 15 4 2 2 3" xfId="25387" xr:uid="{00000000-0005-0000-0000-0000294C0000}"/>
    <cellStyle name="Normal 3 15 4 2 2 4" xfId="48649" xr:uid="{00000000-0005-0000-0000-00002A4C0000}"/>
    <cellStyle name="Normal 3 15 4 2 3" xfId="15952" xr:uid="{00000000-0005-0000-0000-00002B4C0000}"/>
    <cellStyle name="Normal 3 15 4 2 3 2" xfId="30084" xr:uid="{00000000-0005-0000-0000-00002C4C0000}"/>
    <cellStyle name="Normal 3 15 4 2 3 3" xfId="43979" xr:uid="{00000000-0005-0000-0000-00002D4C0000}"/>
    <cellStyle name="Normal 3 15 4 2 4" xfId="20765" xr:uid="{00000000-0005-0000-0000-00002E4C0000}"/>
    <cellStyle name="Normal 3 15 4 2 5" xfId="39397" xr:uid="{00000000-0005-0000-0000-00002F4C0000}"/>
    <cellStyle name="Normal 3 15 4 3" xfId="11220" xr:uid="{00000000-0005-0000-0000-0000304C0000}"/>
    <cellStyle name="Normal 3 15 4 3 2" xfId="34705" xr:uid="{00000000-0005-0000-0000-0000314C0000}"/>
    <cellStyle name="Normal 3 15 4 3 3" xfId="25386" xr:uid="{00000000-0005-0000-0000-0000324C0000}"/>
    <cellStyle name="Normal 3 15 4 3 4" xfId="48648" xr:uid="{00000000-0005-0000-0000-0000334C0000}"/>
    <cellStyle name="Normal 3 15 4 4" xfId="15951" xr:uid="{00000000-0005-0000-0000-0000344C0000}"/>
    <cellStyle name="Normal 3 15 4 4 2" xfId="30083" xr:uid="{00000000-0005-0000-0000-0000354C0000}"/>
    <cellStyle name="Normal 3 15 4 4 3" xfId="43978" xr:uid="{00000000-0005-0000-0000-0000364C0000}"/>
    <cellStyle name="Normal 3 15 4 5" xfId="20764" xr:uid="{00000000-0005-0000-0000-0000374C0000}"/>
    <cellStyle name="Normal 3 15 4 6" xfId="39396" xr:uid="{00000000-0005-0000-0000-0000384C0000}"/>
    <cellStyle name="Normal 3 15 5" xfId="5386" xr:uid="{00000000-0005-0000-0000-0000394C0000}"/>
    <cellStyle name="Normal 3 15 5 2" xfId="5387" xr:uid="{00000000-0005-0000-0000-00003A4C0000}"/>
    <cellStyle name="Normal 3 15 5 2 2" xfId="11223" xr:uid="{00000000-0005-0000-0000-00003B4C0000}"/>
    <cellStyle name="Normal 3 15 5 2 2 2" xfId="34708" xr:uid="{00000000-0005-0000-0000-00003C4C0000}"/>
    <cellStyle name="Normal 3 15 5 2 2 3" xfId="25389" xr:uid="{00000000-0005-0000-0000-00003D4C0000}"/>
    <cellStyle name="Normal 3 15 5 2 2 4" xfId="48651" xr:uid="{00000000-0005-0000-0000-00003E4C0000}"/>
    <cellStyle name="Normal 3 15 5 2 3" xfId="15954" xr:uid="{00000000-0005-0000-0000-00003F4C0000}"/>
    <cellStyle name="Normal 3 15 5 2 3 2" xfId="30086" xr:uid="{00000000-0005-0000-0000-0000404C0000}"/>
    <cellStyle name="Normal 3 15 5 2 3 3" xfId="43981" xr:uid="{00000000-0005-0000-0000-0000414C0000}"/>
    <cellStyle name="Normal 3 15 5 2 4" xfId="20767" xr:uid="{00000000-0005-0000-0000-0000424C0000}"/>
    <cellStyle name="Normal 3 15 5 2 5" xfId="39399" xr:uid="{00000000-0005-0000-0000-0000434C0000}"/>
    <cellStyle name="Normal 3 15 5 3" xfId="11222" xr:uid="{00000000-0005-0000-0000-0000444C0000}"/>
    <cellStyle name="Normal 3 15 5 3 2" xfId="34707" xr:uid="{00000000-0005-0000-0000-0000454C0000}"/>
    <cellStyle name="Normal 3 15 5 3 3" xfId="25388" xr:uid="{00000000-0005-0000-0000-0000464C0000}"/>
    <cellStyle name="Normal 3 15 5 3 4" xfId="48650" xr:uid="{00000000-0005-0000-0000-0000474C0000}"/>
    <cellStyle name="Normal 3 15 5 4" xfId="15953" xr:uid="{00000000-0005-0000-0000-0000484C0000}"/>
    <cellStyle name="Normal 3 15 5 4 2" xfId="30085" xr:uid="{00000000-0005-0000-0000-0000494C0000}"/>
    <cellStyle name="Normal 3 15 5 4 3" xfId="43980" xr:uid="{00000000-0005-0000-0000-00004A4C0000}"/>
    <cellStyle name="Normal 3 15 5 5" xfId="20766" xr:uid="{00000000-0005-0000-0000-00004B4C0000}"/>
    <cellStyle name="Normal 3 15 5 6" xfId="39398" xr:uid="{00000000-0005-0000-0000-00004C4C0000}"/>
    <cellStyle name="Normal 3 15 6" xfId="5388" xr:uid="{00000000-0005-0000-0000-00004D4C0000}"/>
    <cellStyle name="Normal 3 15 6 2" xfId="5389" xr:uid="{00000000-0005-0000-0000-00004E4C0000}"/>
    <cellStyle name="Normal 3 15 6 2 2" xfId="11225" xr:uid="{00000000-0005-0000-0000-00004F4C0000}"/>
    <cellStyle name="Normal 3 15 6 2 2 2" xfId="34710" xr:uid="{00000000-0005-0000-0000-0000504C0000}"/>
    <cellStyle name="Normal 3 15 6 2 2 3" xfId="25391" xr:uid="{00000000-0005-0000-0000-0000514C0000}"/>
    <cellStyle name="Normal 3 15 6 2 2 4" xfId="48653" xr:uid="{00000000-0005-0000-0000-0000524C0000}"/>
    <cellStyle name="Normal 3 15 6 2 3" xfId="15956" xr:uid="{00000000-0005-0000-0000-0000534C0000}"/>
    <cellStyle name="Normal 3 15 6 2 3 2" xfId="30088" xr:uid="{00000000-0005-0000-0000-0000544C0000}"/>
    <cellStyle name="Normal 3 15 6 2 3 3" xfId="43983" xr:uid="{00000000-0005-0000-0000-0000554C0000}"/>
    <cellStyle name="Normal 3 15 6 2 4" xfId="20769" xr:uid="{00000000-0005-0000-0000-0000564C0000}"/>
    <cellStyle name="Normal 3 15 6 2 5" xfId="39401" xr:uid="{00000000-0005-0000-0000-0000574C0000}"/>
    <cellStyle name="Normal 3 15 6 3" xfId="11224" xr:uid="{00000000-0005-0000-0000-0000584C0000}"/>
    <cellStyle name="Normal 3 15 6 3 2" xfId="34709" xr:uid="{00000000-0005-0000-0000-0000594C0000}"/>
    <cellStyle name="Normal 3 15 6 3 3" xfId="25390" xr:uid="{00000000-0005-0000-0000-00005A4C0000}"/>
    <cellStyle name="Normal 3 15 6 3 4" xfId="48652" xr:uid="{00000000-0005-0000-0000-00005B4C0000}"/>
    <cellStyle name="Normal 3 15 6 4" xfId="15955" xr:uid="{00000000-0005-0000-0000-00005C4C0000}"/>
    <cellStyle name="Normal 3 15 6 4 2" xfId="30087" xr:uid="{00000000-0005-0000-0000-00005D4C0000}"/>
    <cellStyle name="Normal 3 15 6 4 3" xfId="43982" xr:uid="{00000000-0005-0000-0000-00005E4C0000}"/>
    <cellStyle name="Normal 3 15 6 5" xfId="20768" xr:uid="{00000000-0005-0000-0000-00005F4C0000}"/>
    <cellStyle name="Normal 3 15 6 6" xfId="39400" xr:uid="{00000000-0005-0000-0000-0000604C0000}"/>
    <cellStyle name="Normal 3 15 7" xfId="5390" xr:uid="{00000000-0005-0000-0000-0000614C0000}"/>
    <cellStyle name="Normal 3 15 7 2" xfId="11226" xr:uid="{00000000-0005-0000-0000-0000624C0000}"/>
    <cellStyle name="Normal 3 15 7 2 2" xfId="34711" xr:uid="{00000000-0005-0000-0000-0000634C0000}"/>
    <cellStyle name="Normal 3 15 7 2 3" xfId="25392" xr:uid="{00000000-0005-0000-0000-0000644C0000}"/>
    <cellStyle name="Normal 3 15 7 2 4" xfId="48654" xr:uid="{00000000-0005-0000-0000-0000654C0000}"/>
    <cellStyle name="Normal 3 15 7 3" xfId="15957" xr:uid="{00000000-0005-0000-0000-0000664C0000}"/>
    <cellStyle name="Normal 3 15 7 3 2" xfId="30089" xr:uid="{00000000-0005-0000-0000-0000674C0000}"/>
    <cellStyle name="Normal 3 15 7 3 3" xfId="43984" xr:uid="{00000000-0005-0000-0000-0000684C0000}"/>
    <cellStyle name="Normal 3 15 7 4" xfId="20770" xr:uid="{00000000-0005-0000-0000-0000694C0000}"/>
    <cellStyle name="Normal 3 15 7 5" xfId="39402" xr:uid="{00000000-0005-0000-0000-00006A4C0000}"/>
    <cellStyle name="Normal 3 15 8" xfId="11215" xr:uid="{00000000-0005-0000-0000-00006B4C0000}"/>
    <cellStyle name="Normal 3 15 8 2" xfId="34700" xr:uid="{00000000-0005-0000-0000-00006C4C0000}"/>
    <cellStyle name="Normal 3 15 8 3" xfId="25381" xr:uid="{00000000-0005-0000-0000-00006D4C0000}"/>
    <cellStyle name="Normal 3 15 8 4" xfId="48643" xr:uid="{00000000-0005-0000-0000-00006E4C0000}"/>
    <cellStyle name="Normal 3 15 9" xfId="15946" xr:uid="{00000000-0005-0000-0000-00006F4C0000}"/>
    <cellStyle name="Normal 3 15 9 2" xfId="30078" xr:uid="{00000000-0005-0000-0000-0000704C0000}"/>
    <cellStyle name="Normal 3 15 9 3" xfId="43973" xr:uid="{00000000-0005-0000-0000-0000714C0000}"/>
    <cellStyle name="Normal 3 16" xfId="5391" xr:uid="{00000000-0005-0000-0000-0000724C0000}"/>
    <cellStyle name="Normal 3 16 10" xfId="20771" xr:uid="{00000000-0005-0000-0000-0000734C0000}"/>
    <cellStyle name="Normal 3 16 11" xfId="39403" xr:uid="{00000000-0005-0000-0000-0000744C0000}"/>
    <cellStyle name="Normal 3 16 2" xfId="5392" xr:uid="{00000000-0005-0000-0000-0000754C0000}"/>
    <cellStyle name="Normal 3 16 2 2" xfId="5393" xr:uid="{00000000-0005-0000-0000-0000764C0000}"/>
    <cellStyle name="Normal 3 16 2 2 2" xfId="11229" xr:uid="{00000000-0005-0000-0000-0000774C0000}"/>
    <cellStyle name="Normal 3 16 2 2 2 2" xfId="34714" xr:uid="{00000000-0005-0000-0000-0000784C0000}"/>
    <cellStyle name="Normal 3 16 2 2 2 3" xfId="25395" xr:uid="{00000000-0005-0000-0000-0000794C0000}"/>
    <cellStyle name="Normal 3 16 2 2 2 4" xfId="48657" xr:uid="{00000000-0005-0000-0000-00007A4C0000}"/>
    <cellStyle name="Normal 3 16 2 2 3" xfId="15960" xr:uid="{00000000-0005-0000-0000-00007B4C0000}"/>
    <cellStyle name="Normal 3 16 2 2 3 2" xfId="30092" xr:uid="{00000000-0005-0000-0000-00007C4C0000}"/>
    <cellStyle name="Normal 3 16 2 2 3 3" xfId="43987" xr:uid="{00000000-0005-0000-0000-00007D4C0000}"/>
    <cellStyle name="Normal 3 16 2 2 4" xfId="20773" xr:uid="{00000000-0005-0000-0000-00007E4C0000}"/>
    <cellStyle name="Normal 3 16 2 2 5" xfId="39405" xr:uid="{00000000-0005-0000-0000-00007F4C0000}"/>
    <cellStyle name="Normal 3 16 2 3" xfId="11228" xr:uid="{00000000-0005-0000-0000-0000804C0000}"/>
    <cellStyle name="Normal 3 16 2 3 2" xfId="34713" xr:uid="{00000000-0005-0000-0000-0000814C0000}"/>
    <cellStyle name="Normal 3 16 2 3 3" xfId="25394" xr:uid="{00000000-0005-0000-0000-0000824C0000}"/>
    <cellStyle name="Normal 3 16 2 3 4" xfId="48656" xr:uid="{00000000-0005-0000-0000-0000834C0000}"/>
    <cellStyle name="Normal 3 16 2 4" xfId="15959" xr:uid="{00000000-0005-0000-0000-0000844C0000}"/>
    <cellStyle name="Normal 3 16 2 4 2" xfId="30091" xr:uid="{00000000-0005-0000-0000-0000854C0000}"/>
    <cellStyle name="Normal 3 16 2 4 3" xfId="43986" xr:uid="{00000000-0005-0000-0000-0000864C0000}"/>
    <cellStyle name="Normal 3 16 2 5" xfId="20772" xr:uid="{00000000-0005-0000-0000-0000874C0000}"/>
    <cellStyle name="Normal 3 16 2 6" xfId="39404" xr:uid="{00000000-0005-0000-0000-0000884C0000}"/>
    <cellStyle name="Normal 3 16 3" xfId="5394" xr:uid="{00000000-0005-0000-0000-0000894C0000}"/>
    <cellStyle name="Normal 3 16 3 2" xfId="5395" xr:uid="{00000000-0005-0000-0000-00008A4C0000}"/>
    <cellStyle name="Normal 3 16 3 2 2" xfId="11231" xr:uid="{00000000-0005-0000-0000-00008B4C0000}"/>
    <cellStyle name="Normal 3 16 3 2 2 2" xfId="34716" xr:uid="{00000000-0005-0000-0000-00008C4C0000}"/>
    <cellStyle name="Normal 3 16 3 2 2 3" xfId="25397" xr:uid="{00000000-0005-0000-0000-00008D4C0000}"/>
    <cellStyle name="Normal 3 16 3 2 2 4" xfId="48659" xr:uid="{00000000-0005-0000-0000-00008E4C0000}"/>
    <cellStyle name="Normal 3 16 3 2 3" xfId="15962" xr:uid="{00000000-0005-0000-0000-00008F4C0000}"/>
    <cellStyle name="Normal 3 16 3 2 3 2" xfId="30094" xr:uid="{00000000-0005-0000-0000-0000904C0000}"/>
    <cellStyle name="Normal 3 16 3 2 3 3" xfId="43989" xr:uid="{00000000-0005-0000-0000-0000914C0000}"/>
    <cellStyle name="Normal 3 16 3 2 4" xfId="20775" xr:uid="{00000000-0005-0000-0000-0000924C0000}"/>
    <cellStyle name="Normal 3 16 3 2 5" xfId="39407" xr:uid="{00000000-0005-0000-0000-0000934C0000}"/>
    <cellStyle name="Normal 3 16 3 3" xfId="11230" xr:uid="{00000000-0005-0000-0000-0000944C0000}"/>
    <cellStyle name="Normal 3 16 3 3 2" xfId="34715" xr:uid="{00000000-0005-0000-0000-0000954C0000}"/>
    <cellStyle name="Normal 3 16 3 3 3" xfId="25396" xr:uid="{00000000-0005-0000-0000-0000964C0000}"/>
    <cellStyle name="Normal 3 16 3 3 4" xfId="48658" xr:uid="{00000000-0005-0000-0000-0000974C0000}"/>
    <cellStyle name="Normal 3 16 3 4" xfId="15961" xr:uid="{00000000-0005-0000-0000-0000984C0000}"/>
    <cellStyle name="Normal 3 16 3 4 2" xfId="30093" xr:uid="{00000000-0005-0000-0000-0000994C0000}"/>
    <cellStyle name="Normal 3 16 3 4 3" xfId="43988" xr:uid="{00000000-0005-0000-0000-00009A4C0000}"/>
    <cellStyle name="Normal 3 16 3 5" xfId="20774" xr:uid="{00000000-0005-0000-0000-00009B4C0000}"/>
    <cellStyle name="Normal 3 16 3 6" xfId="39406" xr:uid="{00000000-0005-0000-0000-00009C4C0000}"/>
    <cellStyle name="Normal 3 16 4" xfId="5396" xr:uid="{00000000-0005-0000-0000-00009D4C0000}"/>
    <cellStyle name="Normal 3 16 4 2" xfId="5397" xr:uid="{00000000-0005-0000-0000-00009E4C0000}"/>
    <cellStyle name="Normal 3 16 4 2 2" xfId="11233" xr:uid="{00000000-0005-0000-0000-00009F4C0000}"/>
    <cellStyle name="Normal 3 16 4 2 2 2" xfId="34718" xr:uid="{00000000-0005-0000-0000-0000A04C0000}"/>
    <cellStyle name="Normal 3 16 4 2 2 3" xfId="25399" xr:uid="{00000000-0005-0000-0000-0000A14C0000}"/>
    <cellStyle name="Normal 3 16 4 2 2 4" xfId="48661" xr:uid="{00000000-0005-0000-0000-0000A24C0000}"/>
    <cellStyle name="Normal 3 16 4 2 3" xfId="15964" xr:uid="{00000000-0005-0000-0000-0000A34C0000}"/>
    <cellStyle name="Normal 3 16 4 2 3 2" xfId="30096" xr:uid="{00000000-0005-0000-0000-0000A44C0000}"/>
    <cellStyle name="Normal 3 16 4 2 3 3" xfId="43991" xr:uid="{00000000-0005-0000-0000-0000A54C0000}"/>
    <cellStyle name="Normal 3 16 4 2 4" xfId="20777" xr:uid="{00000000-0005-0000-0000-0000A64C0000}"/>
    <cellStyle name="Normal 3 16 4 2 5" xfId="39409" xr:uid="{00000000-0005-0000-0000-0000A74C0000}"/>
    <cellStyle name="Normal 3 16 4 3" xfId="11232" xr:uid="{00000000-0005-0000-0000-0000A84C0000}"/>
    <cellStyle name="Normal 3 16 4 3 2" xfId="34717" xr:uid="{00000000-0005-0000-0000-0000A94C0000}"/>
    <cellStyle name="Normal 3 16 4 3 3" xfId="25398" xr:uid="{00000000-0005-0000-0000-0000AA4C0000}"/>
    <cellStyle name="Normal 3 16 4 3 4" xfId="48660" xr:uid="{00000000-0005-0000-0000-0000AB4C0000}"/>
    <cellStyle name="Normal 3 16 4 4" xfId="15963" xr:uid="{00000000-0005-0000-0000-0000AC4C0000}"/>
    <cellStyle name="Normal 3 16 4 4 2" xfId="30095" xr:uid="{00000000-0005-0000-0000-0000AD4C0000}"/>
    <cellStyle name="Normal 3 16 4 4 3" xfId="43990" xr:uid="{00000000-0005-0000-0000-0000AE4C0000}"/>
    <cellStyle name="Normal 3 16 4 5" xfId="20776" xr:uid="{00000000-0005-0000-0000-0000AF4C0000}"/>
    <cellStyle name="Normal 3 16 4 6" xfId="39408" xr:uid="{00000000-0005-0000-0000-0000B04C0000}"/>
    <cellStyle name="Normal 3 16 5" xfId="5398" xr:uid="{00000000-0005-0000-0000-0000B14C0000}"/>
    <cellStyle name="Normal 3 16 5 2" xfId="5399" xr:uid="{00000000-0005-0000-0000-0000B24C0000}"/>
    <cellStyle name="Normal 3 16 5 2 2" xfId="11235" xr:uid="{00000000-0005-0000-0000-0000B34C0000}"/>
    <cellStyle name="Normal 3 16 5 2 2 2" xfId="34720" xr:uid="{00000000-0005-0000-0000-0000B44C0000}"/>
    <cellStyle name="Normal 3 16 5 2 2 3" xfId="25401" xr:uid="{00000000-0005-0000-0000-0000B54C0000}"/>
    <cellStyle name="Normal 3 16 5 2 2 4" xfId="48663" xr:uid="{00000000-0005-0000-0000-0000B64C0000}"/>
    <cellStyle name="Normal 3 16 5 2 3" xfId="15966" xr:uid="{00000000-0005-0000-0000-0000B74C0000}"/>
    <cellStyle name="Normal 3 16 5 2 3 2" xfId="30098" xr:uid="{00000000-0005-0000-0000-0000B84C0000}"/>
    <cellStyle name="Normal 3 16 5 2 3 3" xfId="43993" xr:uid="{00000000-0005-0000-0000-0000B94C0000}"/>
    <cellStyle name="Normal 3 16 5 2 4" xfId="20779" xr:uid="{00000000-0005-0000-0000-0000BA4C0000}"/>
    <cellStyle name="Normal 3 16 5 2 5" xfId="39411" xr:uid="{00000000-0005-0000-0000-0000BB4C0000}"/>
    <cellStyle name="Normal 3 16 5 3" xfId="11234" xr:uid="{00000000-0005-0000-0000-0000BC4C0000}"/>
    <cellStyle name="Normal 3 16 5 3 2" xfId="34719" xr:uid="{00000000-0005-0000-0000-0000BD4C0000}"/>
    <cellStyle name="Normal 3 16 5 3 3" xfId="25400" xr:uid="{00000000-0005-0000-0000-0000BE4C0000}"/>
    <cellStyle name="Normal 3 16 5 3 4" xfId="48662" xr:uid="{00000000-0005-0000-0000-0000BF4C0000}"/>
    <cellStyle name="Normal 3 16 5 4" xfId="15965" xr:uid="{00000000-0005-0000-0000-0000C04C0000}"/>
    <cellStyle name="Normal 3 16 5 4 2" xfId="30097" xr:uid="{00000000-0005-0000-0000-0000C14C0000}"/>
    <cellStyle name="Normal 3 16 5 4 3" xfId="43992" xr:uid="{00000000-0005-0000-0000-0000C24C0000}"/>
    <cellStyle name="Normal 3 16 5 5" xfId="20778" xr:uid="{00000000-0005-0000-0000-0000C34C0000}"/>
    <cellStyle name="Normal 3 16 5 6" xfId="39410" xr:uid="{00000000-0005-0000-0000-0000C44C0000}"/>
    <cellStyle name="Normal 3 16 6" xfId="5400" xr:uid="{00000000-0005-0000-0000-0000C54C0000}"/>
    <cellStyle name="Normal 3 16 6 2" xfId="5401" xr:uid="{00000000-0005-0000-0000-0000C64C0000}"/>
    <cellStyle name="Normal 3 16 6 2 2" xfId="11237" xr:uid="{00000000-0005-0000-0000-0000C74C0000}"/>
    <cellStyle name="Normal 3 16 6 2 2 2" xfId="34722" xr:uid="{00000000-0005-0000-0000-0000C84C0000}"/>
    <cellStyle name="Normal 3 16 6 2 2 3" xfId="25403" xr:uid="{00000000-0005-0000-0000-0000C94C0000}"/>
    <cellStyle name="Normal 3 16 6 2 2 4" xfId="48665" xr:uid="{00000000-0005-0000-0000-0000CA4C0000}"/>
    <cellStyle name="Normal 3 16 6 2 3" xfId="15968" xr:uid="{00000000-0005-0000-0000-0000CB4C0000}"/>
    <cellStyle name="Normal 3 16 6 2 3 2" xfId="30100" xr:uid="{00000000-0005-0000-0000-0000CC4C0000}"/>
    <cellStyle name="Normal 3 16 6 2 3 3" xfId="43995" xr:uid="{00000000-0005-0000-0000-0000CD4C0000}"/>
    <cellStyle name="Normal 3 16 6 2 4" xfId="20781" xr:uid="{00000000-0005-0000-0000-0000CE4C0000}"/>
    <cellStyle name="Normal 3 16 6 2 5" xfId="39413" xr:uid="{00000000-0005-0000-0000-0000CF4C0000}"/>
    <cellStyle name="Normal 3 16 6 3" xfId="11236" xr:uid="{00000000-0005-0000-0000-0000D04C0000}"/>
    <cellStyle name="Normal 3 16 6 3 2" xfId="34721" xr:uid="{00000000-0005-0000-0000-0000D14C0000}"/>
    <cellStyle name="Normal 3 16 6 3 3" xfId="25402" xr:uid="{00000000-0005-0000-0000-0000D24C0000}"/>
    <cellStyle name="Normal 3 16 6 3 4" xfId="48664" xr:uid="{00000000-0005-0000-0000-0000D34C0000}"/>
    <cellStyle name="Normal 3 16 6 4" xfId="15967" xr:uid="{00000000-0005-0000-0000-0000D44C0000}"/>
    <cellStyle name="Normal 3 16 6 4 2" xfId="30099" xr:uid="{00000000-0005-0000-0000-0000D54C0000}"/>
    <cellStyle name="Normal 3 16 6 4 3" xfId="43994" xr:uid="{00000000-0005-0000-0000-0000D64C0000}"/>
    <cellStyle name="Normal 3 16 6 5" xfId="20780" xr:uid="{00000000-0005-0000-0000-0000D74C0000}"/>
    <cellStyle name="Normal 3 16 6 6" xfId="39412" xr:uid="{00000000-0005-0000-0000-0000D84C0000}"/>
    <cellStyle name="Normal 3 16 7" xfId="5402" xr:uid="{00000000-0005-0000-0000-0000D94C0000}"/>
    <cellStyle name="Normal 3 16 7 2" xfId="11238" xr:uid="{00000000-0005-0000-0000-0000DA4C0000}"/>
    <cellStyle name="Normal 3 16 7 2 2" xfId="34723" xr:uid="{00000000-0005-0000-0000-0000DB4C0000}"/>
    <cellStyle name="Normal 3 16 7 2 3" xfId="25404" xr:uid="{00000000-0005-0000-0000-0000DC4C0000}"/>
    <cellStyle name="Normal 3 16 7 2 4" xfId="48666" xr:uid="{00000000-0005-0000-0000-0000DD4C0000}"/>
    <cellStyle name="Normal 3 16 7 3" xfId="15969" xr:uid="{00000000-0005-0000-0000-0000DE4C0000}"/>
    <cellStyle name="Normal 3 16 7 3 2" xfId="30101" xr:uid="{00000000-0005-0000-0000-0000DF4C0000}"/>
    <cellStyle name="Normal 3 16 7 3 3" xfId="43996" xr:uid="{00000000-0005-0000-0000-0000E04C0000}"/>
    <cellStyle name="Normal 3 16 7 4" xfId="20782" xr:uid="{00000000-0005-0000-0000-0000E14C0000}"/>
    <cellStyle name="Normal 3 16 7 5" xfId="39414" xr:uid="{00000000-0005-0000-0000-0000E24C0000}"/>
    <cellStyle name="Normal 3 16 8" xfId="11227" xr:uid="{00000000-0005-0000-0000-0000E34C0000}"/>
    <cellStyle name="Normal 3 16 8 2" xfId="34712" xr:uid="{00000000-0005-0000-0000-0000E44C0000}"/>
    <cellStyle name="Normal 3 16 8 3" xfId="25393" xr:uid="{00000000-0005-0000-0000-0000E54C0000}"/>
    <cellStyle name="Normal 3 16 8 4" xfId="48655" xr:uid="{00000000-0005-0000-0000-0000E64C0000}"/>
    <cellStyle name="Normal 3 16 9" xfId="15958" xr:uid="{00000000-0005-0000-0000-0000E74C0000}"/>
    <cellStyle name="Normal 3 16 9 2" xfId="30090" xr:uid="{00000000-0005-0000-0000-0000E84C0000}"/>
    <cellStyle name="Normal 3 16 9 3" xfId="43985" xr:uid="{00000000-0005-0000-0000-0000E94C0000}"/>
    <cellStyle name="Normal 3 17" xfId="5403" xr:uid="{00000000-0005-0000-0000-0000EA4C0000}"/>
    <cellStyle name="Normal 3 17 10" xfId="20783" xr:uid="{00000000-0005-0000-0000-0000EB4C0000}"/>
    <cellStyle name="Normal 3 17 11" xfId="39415" xr:uid="{00000000-0005-0000-0000-0000EC4C0000}"/>
    <cellStyle name="Normal 3 17 2" xfId="5404" xr:uid="{00000000-0005-0000-0000-0000ED4C0000}"/>
    <cellStyle name="Normal 3 17 2 2" xfId="5405" xr:uid="{00000000-0005-0000-0000-0000EE4C0000}"/>
    <cellStyle name="Normal 3 17 2 2 2" xfId="11241" xr:uid="{00000000-0005-0000-0000-0000EF4C0000}"/>
    <cellStyle name="Normal 3 17 2 2 2 2" xfId="34726" xr:uid="{00000000-0005-0000-0000-0000F04C0000}"/>
    <cellStyle name="Normal 3 17 2 2 2 3" xfId="25407" xr:uid="{00000000-0005-0000-0000-0000F14C0000}"/>
    <cellStyle name="Normal 3 17 2 2 2 4" xfId="48669" xr:uid="{00000000-0005-0000-0000-0000F24C0000}"/>
    <cellStyle name="Normal 3 17 2 2 3" xfId="15972" xr:uid="{00000000-0005-0000-0000-0000F34C0000}"/>
    <cellStyle name="Normal 3 17 2 2 3 2" xfId="30104" xr:uid="{00000000-0005-0000-0000-0000F44C0000}"/>
    <cellStyle name="Normal 3 17 2 2 3 3" xfId="43999" xr:uid="{00000000-0005-0000-0000-0000F54C0000}"/>
    <cellStyle name="Normal 3 17 2 2 4" xfId="20785" xr:uid="{00000000-0005-0000-0000-0000F64C0000}"/>
    <cellStyle name="Normal 3 17 2 2 5" xfId="39417" xr:uid="{00000000-0005-0000-0000-0000F74C0000}"/>
    <cellStyle name="Normal 3 17 2 3" xfId="11240" xr:uid="{00000000-0005-0000-0000-0000F84C0000}"/>
    <cellStyle name="Normal 3 17 2 3 2" xfId="34725" xr:uid="{00000000-0005-0000-0000-0000F94C0000}"/>
    <cellStyle name="Normal 3 17 2 3 3" xfId="25406" xr:uid="{00000000-0005-0000-0000-0000FA4C0000}"/>
    <cellStyle name="Normal 3 17 2 3 4" xfId="48668" xr:uid="{00000000-0005-0000-0000-0000FB4C0000}"/>
    <cellStyle name="Normal 3 17 2 4" xfId="15971" xr:uid="{00000000-0005-0000-0000-0000FC4C0000}"/>
    <cellStyle name="Normal 3 17 2 4 2" xfId="30103" xr:uid="{00000000-0005-0000-0000-0000FD4C0000}"/>
    <cellStyle name="Normal 3 17 2 4 3" xfId="43998" xr:uid="{00000000-0005-0000-0000-0000FE4C0000}"/>
    <cellStyle name="Normal 3 17 2 5" xfId="20784" xr:uid="{00000000-0005-0000-0000-0000FF4C0000}"/>
    <cellStyle name="Normal 3 17 2 6" xfId="39416" xr:uid="{00000000-0005-0000-0000-0000004D0000}"/>
    <cellStyle name="Normal 3 17 3" xfId="5406" xr:uid="{00000000-0005-0000-0000-0000014D0000}"/>
    <cellStyle name="Normal 3 17 3 2" xfId="5407" xr:uid="{00000000-0005-0000-0000-0000024D0000}"/>
    <cellStyle name="Normal 3 17 3 2 2" xfId="11243" xr:uid="{00000000-0005-0000-0000-0000034D0000}"/>
    <cellStyle name="Normal 3 17 3 2 2 2" xfId="34728" xr:uid="{00000000-0005-0000-0000-0000044D0000}"/>
    <cellStyle name="Normal 3 17 3 2 2 3" xfId="25409" xr:uid="{00000000-0005-0000-0000-0000054D0000}"/>
    <cellStyle name="Normal 3 17 3 2 2 4" xfId="48671" xr:uid="{00000000-0005-0000-0000-0000064D0000}"/>
    <cellStyle name="Normal 3 17 3 2 3" xfId="15974" xr:uid="{00000000-0005-0000-0000-0000074D0000}"/>
    <cellStyle name="Normal 3 17 3 2 3 2" xfId="30106" xr:uid="{00000000-0005-0000-0000-0000084D0000}"/>
    <cellStyle name="Normal 3 17 3 2 3 3" xfId="44001" xr:uid="{00000000-0005-0000-0000-0000094D0000}"/>
    <cellStyle name="Normal 3 17 3 2 4" xfId="20787" xr:uid="{00000000-0005-0000-0000-00000A4D0000}"/>
    <cellStyle name="Normal 3 17 3 2 5" xfId="39419" xr:uid="{00000000-0005-0000-0000-00000B4D0000}"/>
    <cellStyle name="Normal 3 17 3 3" xfId="11242" xr:uid="{00000000-0005-0000-0000-00000C4D0000}"/>
    <cellStyle name="Normal 3 17 3 3 2" xfId="34727" xr:uid="{00000000-0005-0000-0000-00000D4D0000}"/>
    <cellStyle name="Normal 3 17 3 3 3" xfId="25408" xr:uid="{00000000-0005-0000-0000-00000E4D0000}"/>
    <cellStyle name="Normal 3 17 3 3 4" xfId="48670" xr:uid="{00000000-0005-0000-0000-00000F4D0000}"/>
    <cellStyle name="Normal 3 17 3 4" xfId="15973" xr:uid="{00000000-0005-0000-0000-0000104D0000}"/>
    <cellStyle name="Normal 3 17 3 4 2" xfId="30105" xr:uid="{00000000-0005-0000-0000-0000114D0000}"/>
    <cellStyle name="Normal 3 17 3 4 3" xfId="44000" xr:uid="{00000000-0005-0000-0000-0000124D0000}"/>
    <cellStyle name="Normal 3 17 3 5" xfId="20786" xr:uid="{00000000-0005-0000-0000-0000134D0000}"/>
    <cellStyle name="Normal 3 17 3 6" xfId="39418" xr:uid="{00000000-0005-0000-0000-0000144D0000}"/>
    <cellStyle name="Normal 3 17 4" xfId="5408" xr:uid="{00000000-0005-0000-0000-0000154D0000}"/>
    <cellStyle name="Normal 3 17 4 2" xfId="5409" xr:uid="{00000000-0005-0000-0000-0000164D0000}"/>
    <cellStyle name="Normal 3 17 4 2 2" xfId="11245" xr:uid="{00000000-0005-0000-0000-0000174D0000}"/>
    <cellStyle name="Normal 3 17 4 2 2 2" xfId="34730" xr:uid="{00000000-0005-0000-0000-0000184D0000}"/>
    <cellStyle name="Normal 3 17 4 2 2 3" xfId="25411" xr:uid="{00000000-0005-0000-0000-0000194D0000}"/>
    <cellStyle name="Normal 3 17 4 2 2 4" xfId="48673" xr:uid="{00000000-0005-0000-0000-00001A4D0000}"/>
    <cellStyle name="Normal 3 17 4 2 3" xfId="15976" xr:uid="{00000000-0005-0000-0000-00001B4D0000}"/>
    <cellStyle name="Normal 3 17 4 2 3 2" xfId="30108" xr:uid="{00000000-0005-0000-0000-00001C4D0000}"/>
    <cellStyle name="Normal 3 17 4 2 3 3" xfId="44003" xr:uid="{00000000-0005-0000-0000-00001D4D0000}"/>
    <cellStyle name="Normal 3 17 4 2 4" xfId="20789" xr:uid="{00000000-0005-0000-0000-00001E4D0000}"/>
    <cellStyle name="Normal 3 17 4 2 5" xfId="39421" xr:uid="{00000000-0005-0000-0000-00001F4D0000}"/>
    <cellStyle name="Normal 3 17 4 3" xfId="11244" xr:uid="{00000000-0005-0000-0000-0000204D0000}"/>
    <cellStyle name="Normal 3 17 4 3 2" xfId="34729" xr:uid="{00000000-0005-0000-0000-0000214D0000}"/>
    <cellStyle name="Normal 3 17 4 3 3" xfId="25410" xr:uid="{00000000-0005-0000-0000-0000224D0000}"/>
    <cellStyle name="Normal 3 17 4 3 4" xfId="48672" xr:uid="{00000000-0005-0000-0000-0000234D0000}"/>
    <cellStyle name="Normal 3 17 4 4" xfId="15975" xr:uid="{00000000-0005-0000-0000-0000244D0000}"/>
    <cellStyle name="Normal 3 17 4 4 2" xfId="30107" xr:uid="{00000000-0005-0000-0000-0000254D0000}"/>
    <cellStyle name="Normal 3 17 4 4 3" xfId="44002" xr:uid="{00000000-0005-0000-0000-0000264D0000}"/>
    <cellStyle name="Normal 3 17 4 5" xfId="20788" xr:uid="{00000000-0005-0000-0000-0000274D0000}"/>
    <cellStyle name="Normal 3 17 4 6" xfId="39420" xr:uid="{00000000-0005-0000-0000-0000284D0000}"/>
    <cellStyle name="Normal 3 17 5" xfId="5410" xr:uid="{00000000-0005-0000-0000-0000294D0000}"/>
    <cellStyle name="Normal 3 17 5 2" xfId="5411" xr:uid="{00000000-0005-0000-0000-00002A4D0000}"/>
    <cellStyle name="Normal 3 17 5 2 2" xfId="11247" xr:uid="{00000000-0005-0000-0000-00002B4D0000}"/>
    <cellStyle name="Normal 3 17 5 2 2 2" xfId="34732" xr:uid="{00000000-0005-0000-0000-00002C4D0000}"/>
    <cellStyle name="Normal 3 17 5 2 2 3" xfId="25413" xr:uid="{00000000-0005-0000-0000-00002D4D0000}"/>
    <cellStyle name="Normal 3 17 5 2 2 4" xfId="48675" xr:uid="{00000000-0005-0000-0000-00002E4D0000}"/>
    <cellStyle name="Normal 3 17 5 2 3" xfId="15978" xr:uid="{00000000-0005-0000-0000-00002F4D0000}"/>
    <cellStyle name="Normal 3 17 5 2 3 2" xfId="30110" xr:uid="{00000000-0005-0000-0000-0000304D0000}"/>
    <cellStyle name="Normal 3 17 5 2 3 3" xfId="44005" xr:uid="{00000000-0005-0000-0000-0000314D0000}"/>
    <cellStyle name="Normal 3 17 5 2 4" xfId="20791" xr:uid="{00000000-0005-0000-0000-0000324D0000}"/>
    <cellStyle name="Normal 3 17 5 2 5" xfId="39423" xr:uid="{00000000-0005-0000-0000-0000334D0000}"/>
    <cellStyle name="Normal 3 17 5 3" xfId="11246" xr:uid="{00000000-0005-0000-0000-0000344D0000}"/>
    <cellStyle name="Normal 3 17 5 3 2" xfId="34731" xr:uid="{00000000-0005-0000-0000-0000354D0000}"/>
    <cellStyle name="Normal 3 17 5 3 3" xfId="25412" xr:uid="{00000000-0005-0000-0000-0000364D0000}"/>
    <cellStyle name="Normal 3 17 5 3 4" xfId="48674" xr:uid="{00000000-0005-0000-0000-0000374D0000}"/>
    <cellStyle name="Normal 3 17 5 4" xfId="15977" xr:uid="{00000000-0005-0000-0000-0000384D0000}"/>
    <cellStyle name="Normal 3 17 5 4 2" xfId="30109" xr:uid="{00000000-0005-0000-0000-0000394D0000}"/>
    <cellStyle name="Normal 3 17 5 4 3" xfId="44004" xr:uid="{00000000-0005-0000-0000-00003A4D0000}"/>
    <cellStyle name="Normal 3 17 5 5" xfId="20790" xr:uid="{00000000-0005-0000-0000-00003B4D0000}"/>
    <cellStyle name="Normal 3 17 5 6" xfId="39422" xr:uid="{00000000-0005-0000-0000-00003C4D0000}"/>
    <cellStyle name="Normal 3 17 6" xfId="5412" xr:uid="{00000000-0005-0000-0000-00003D4D0000}"/>
    <cellStyle name="Normal 3 17 6 2" xfId="5413" xr:uid="{00000000-0005-0000-0000-00003E4D0000}"/>
    <cellStyle name="Normal 3 17 6 2 2" xfId="11249" xr:uid="{00000000-0005-0000-0000-00003F4D0000}"/>
    <cellStyle name="Normal 3 17 6 2 2 2" xfId="34734" xr:uid="{00000000-0005-0000-0000-0000404D0000}"/>
    <cellStyle name="Normal 3 17 6 2 2 3" xfId="25415" xr:uid="{00000000-0005-0000-0000-0000414D0000}"/>
    <cellStyle name="Normal 3 17 6 2 2 4" xfId="48677" xr:uid="{00000000-0005-0000-0000-0000424D0000}"/>
    <cellStyle name="Normal 3 17 6 2 3" xfId="15980" xr:uid="{00000000-0005-0000-0000-0000434D0000}"/>
    <cellStyle name="Normal 3 17 6 2 3 2" xfId="30112" xr:uid="{00000000-0005-0000-0000-0000444D0000}"/>
    <cellStyle name="Normal 3 17 6 2 3 3" xfId="44007" xr:uid="{00000000-0005-0000-0000-0000454D0000}"/>
    <cellStyle name="Normal 3 17 6 2 4" xfId="20793" xr:uid="{00000000-0005-0000-0000-0000464D0000}"/>
    <cellStyle name="Normal 3 17 6 2 5" xfId="39425" xr:uid="{00000000-0005-0000-0000-0000474D0000}"/>
    <cellStyle name="Normal 3 17 6 3" xfId="11248" xr:uid="{00000000-0005-0000-0000-0000484D0000}"/>
    <cellStyle name="Normal 3 17 6 3 2" xfId="34733" xr:uid="{00000000-0005-0000-0000-0000494D0000}"/>
    <cellStyle name="Normal 3 17 6 3 3" xfId="25414" xr:uid="{00000000-0005-0000-0000-00004A4D0000}"/>
    <cellStyle name="Normal 3 17 6 3 4" xfId="48676" xr:uid="{00000000-0005-0000-0000-00004B4D0000}"/>
    <cellStyle name="Normal 3 17 6 4" xfId="15979" xr:uid="{00000000-0005-0000-0000-00004C4D0000}"/>
    <cellStyle name="Normal 3 17 6 4 2" xfId="30111" xr:uid="{00000000-0005-0000-0000-00004D4D0000}"/>
    <cellStyle name="Normal 3 17 6 4 3" xfId="44006" xr:uid="{00000000-0005-0000-0000-00004E4D0000}"/>
    <cellStyle name="Normal 3 17 6 5" xfId="20792" xr:uid="{00000000-0005-0000-0000-00004F4D0000}"/>
    <cellStyle name="Normal 3 17 6 6" xfId="39424" xr:uid="{00000000-0005-0000-0000-0000504D0000}"/>
    <cellStyle name="Normal 3 17 7" xfId="5414" xr:uid="{00000000-0005-0000-0000-0000514D0000}"/>
    <cellStyle name="Normal 3 17 7 2" xfId="11250" xr:uid="{00000000-0005-0000-0000-0000524D0000}"/>
    <cellStyle name="Normal 3 17 7 2 2" xfId="34735" xr:uid="{00000000-0005-0000-0000-0000534D0000}"/>
    <cellStyle name="Normal 3 17 7 2 3" xfId="25416" xr:uid="{00000000-0005-0000-0000-0000544D0000}"/>
    <cellStyle name="Normal 3 17 7 2 4" xfId="48678" xr:uid="{00000000-0005-0000-0000-0000554D0000}"/>
    <cellStyle name="Normal 3 17 7 3" xfId="15981" xr:uid="{00000000-0005-0000-0000-0000564D0000}"/>
    <cellStyle name="Normal 3 17 7 3 2" xfId="30113" xr:uid="{00000000-0005-0000-0000-0000574D0000}"/>
    <cellStyle name="Normal 3 17 7 3 3" xfId="44008" xr:uid="{00000000-0005-0000-0000-0000584D0000}"/>
    <cellStyle name="Normal 3 17 7 4" xfId="20794" xr:uid="{00000000-0005-0000-0000-0000594D0000}"/>
    <cellStyle name="Normal 3 17 7 5" xfId="39426" xr:uid="{00000000-0005-0000-0000-00005A4D0000}"/>
    <cellStyle name="Normal 3 17 8" xfId="11239" xr:uid="{00000000-0005-0000-0000-00005B4D0000}"/>
    <cellStyle name="Normal 3 17 8 2" xfId="34724" xr:uid="{00000000-0005-0000-0000-00005C4D0000}"/>
    <cellStyle name="Normal 3 17 8 3" xfId="25405" xr:uid="{00000000-0005-0000-0000-00005D4D0000}"/>
    <cellStyle name="Normal 3 17 8 4" xfId="48667" xr:uid="{00000000-0005-0000-0000-00005E4D0000}"/>
    <cellStyle name="Normal 3 17 9" xfId="15970" xr:uid="{00000000-0005-0000-0000-00005F4D0000}"/>
    <cellStyle name="Normal 3 17 9 2" xfId="30102" xr:uid="{00000000-0005-0000-0000-0000604D0000}"/>
    <cellStyle name="Normal 3 17 9 3" xfId="43997" xr:uid="{00000000-0005-0000-0000-0000614D0000}"/>
    <cellStyle name="Normal 3 18" xfId="5415" xr:uid="{00000000-0005-0000-0000-0000624D0000}"/>
    <cellStyle name="Normal 3 18 10" xfId="20795" xr:uid="{00000000-0005-0000-0000-0000634D0000}"/>
    <cellStyle name="Normal 3 18 11" xfId="39427" xr:uid="{00000000-0005-0000-0000-0000644D0000}"/>
    <cellStyle name="Normal 3 18 2" xfId="5416" xr:uid="{00000000-0005-0000-0000-0000654D0000}"/>
    <cellStyle name="Normal 3 18 2 2" xfId="5417" xr:uid="{00000000-0005-0000-0000-0000664D0000}"/>
    <cellStyle name="Normal 3 18 2 2 2" xfId="11253" xr:uid="{00000000-0005-0000-0000-0000674D0000}"/>
    <cellStyle name="Normal 3 18 2 2 2 2" xfId="34738" xr:uid="{00000000-0005-0000-0000-0000684D0000}"/>
    <cellStyle name="Normal 3 18 2 2 2 3" xfId="25419" xr:uid="{00000000-0005-0000-0000-0000694D0000}"/>
    <cellStyle name="Normal 3 18 2 2 2 4" xfId="48681" xr:uid="{00000000-0005-0000-0000-00006A4D0000}"/>
    <cellStyle name="Normal 3 18 2 2 3" xfId="15984" xr:uid="{00000000-0005-0000-0000-00006B4D0000}"/>
    <cellStyle name="Normal 3 18 2 2 3 2" xfId="30116" xr:uid="{00000000-0005-0000-0000-00006C4D0000}"/>
    <cellStyle name="Normal 3 18 2 2 3 3" xfId="44011" xr:uid="{00000000-0005-0000-0000-00006D4D0000}"/>
    <cellStyle name="Normal 3 18 2 2 4" xfId="20797" xr:uid="{00000000-0005-0000-0000-00006E4D0000}"/>
    <cellStyle name="Normal 3 18 2 2 5" xfId="39429" xr:uid="{00000000-0005-0000-0000-00006F4D0000}"/>
    <cellStyle name="Normal 3 18 2 3" xfId="11252" xr:uid="{00000000-0005-0000-0000-0000704D0000}"/>
    <cellStyle name="Normal 3 18 2 3 2" xfId="34737" xr:uid="{00000000-0005-0000-0000-0000714D0000}"/>
    <cellStyle name="Normal 3 18 2 3 3" xfId="25418" xr:uid="{00000000-0005-0000-0000-0000724D0000}"/>
    <cellStyle name="Normal 3 18 2 3 4" xfId="48680" xr:uid="{00000000-0005-0000-0000-0000734D0000}"/>
    <cellStyle name="Normal 3 18 2 4" xfId="15983" xr:uid="{00000000-0005-0000-0000-0000744D0000}"/>
    <cellStyle name="Normal 3 18 2 4 2" xfId="30115" xr:uid="{00000000-0005-0000-0000-0000754D0000}"/>
    <cellStyle name="Normal 3 18 2 4 3" xfId="44010" xr:uid="{00000000-0005-0000-0000-0000764D0000}"/>
    <cellStyle name="Normal 3 18 2 5" xfId="20796" xr:uid="{00000000-0005-0000-0000-0000774D0000}"/>
    <cellStyle name="Normal 3 18 2 6" xfId="39428" xr:uid="{00000000-0005-0000-0000-0000784D0000}"/>
    <cellStyle name="Normal 3 18 3" xfId="5418" xr:uid="{00000000-0005-0000-0000-0000794D0000}"/>
    <cellStyle name="Normal 3 18 3 2" xfId="5419" xr:uid="{00000000-0005-0000-0000-00007A4D0000}"/>
    <cellStyle name="Normal 3 18 3 2 2" xfId="11255" xr:uid="{00000000-0005-0000-0000-00007B4D0000}"/>
    <cellStyle name="Normal 3 18 3 2 2 2" xfId="34740" xr:uid="{00000000-0005-0000-0000-00007C4D0000}"/>
    <cellStyle name="Normal 3 18 3 2 2 3" xfId="25421" xr:uid="{00000000-0005-0000-0000-00007D4D0000}"/>
    <cellStyle name="Normal 3 18 3 2 2 4" xfId="48683" xr:uid="{00000000-0005-0000-0000-00007E4D0000}"/>
    <cellStyle name="Normal 3 18 3 2 3" xfId="15986" xr:uid="{00000000-0005-0000-0000-00007F4D0000}"/>
    <cellStyle name="Normal 3 18 3 2 3 2" xfId="30118" xr:uid="{00000000-0005-0000-0000-0000804D0000}"/>
    <cellStyle name="Normal 3 18 3 2 3 3" xfId="44013" xr:uid="{00000000-0005-0000-0000-0000814D0000}"/>
    <cellStyle name="Normal 3 18 3 2 4" xfId="20799" xr:uid="{00000000-0005-0000-0000-0000824D0000}"/>
    <cellStyle name="Normal 3 18 3 2 5" xfId="39431" xr:uid="{00000000-0005-0000-0000-0000834D0000}"/>
    <cellStyle name="Normal 3 18 3 3" xfId="11254" xr:uid="{00000000-0005-0000-0000-0000844D0000}"/>
    <cellStyle name="Normal 3 18 3 3 2" xfId="34739" xr:uid="{00000000-0005-0000-0000-0000854D0000}"/>
    <cellStyle name="Normal 3 18 3 3 3" xfId="25420" xr:uid="{00000000-0005-0000-0000-0000864D0000}"/>
    <cellStyle name="Normal 3 18 3 3 4" xfId="48682" xr:uid="{00000000-0005-0000-0000-0000874D0000}"/>
    <cellStyle name="Normal 3 18 3 4" xfId="15985" xr:uid="{00000000-0005-0000-0000-0000884D0000}"/>
    <cellStyle name="Normal 3 18 3 4 2" xfId="30117" xr:uid="{00000000-0005-0000-0000-0000894D0000}"/>
    <cellStyle name="Normal 3 18 3 4 3" xfId="44012" xr:uid="{00000000-0005-0000-0000-00008A4D0000}"/>
    <cellStyle name="Normal 3 18 3 5" xfId="20798" xr:uid="{00000000-0005-0000-0000-00008B4D0000}"/>
    <cellStyle name="Normal 3 18 3 6" xfId="39430" xr:uid="{00000000-0005-0000-0000-00008C4D0000}"/>
    <cellStyle name="Normal 3 18 4" xfId="5420" xr:uid="{00000000-0005-0000-0000-00008D4D0000}"/>
    <cellStyle name="Normal 3 18 4 2" xfId="5421" xr:uid="{00000000-0005-0000-0000-00008E4D0000}"/>
    <cellStyle name="Normal 3 18 4 2 2" xfId="11257" xr:uid="{00000000-0005-0000-0000-00008F4D0000}"/>
    <cellStyle name="Normal 3 18 4 2 2 2" xfId="34742" xr:uid="{00000000-0005-0000-0000-0000904D0000}"/>
    <cellStyle name="Normal 3 18 4 2 2 3" xfId="25423" xr:uid="{00000000-0005-0000-0000-0000914D0000}"/>
    <cellStyle name="Normal 3 18 4 2 2 4" xfId="48685" xr:uid="{00000000-0005-0000-0000-0000924D0000}"/>
    <cellStyle name="Normal 3 18 4 2 3" xfId="15988" xr:uid="{00000000-0005-0000-0000-0000934D0000}"/>
    <cellStyle name="Normal 3 18 4 2 3 2" xfId="30120" xr:uid="{00000000-0005-0000-0000-0000944D0000}"/>
    <cellStyle name="Normal 3 18 4 2 3 3" xfId="44015" xr:uid="{00000000-0005-0000-0000-0000954D0000}"/>
    <cellStyle name="Normal 3 18 4 2 4" xfId="20801" xr:uid="{00000000-0005-0000-0000-0000964D0000}"/>
    <cellStyle name="Normal 3 18 4 2 5" xfId="39433" xr:uid="{00000000-0005-0000-0000-0000974D0000}"/>
    <cellStyle name="Normal 3 18 4 3" xfId="11256" xr:uid="{00000000-0005-0000-0000-0000984D0000}"/>
    <cellStyle name="Normal 3 18 4 3 2" xfId="34741" xr:uid="{00000000-0005-0000-0000-0000994D0000}"/>
    <cellStyle name="Normal 3 18 4 3 3" xfId="25422" xr:uid="{00000000-0005-0000-0000-00009A4D0000}"/>
    <cellStyle name="Normal 3 18 4 3 4" xfId="48684" xr:uid="{00000000-0005-0000-0000-00009B4D0000}"/>
    <cellStyle name="Normal 3 18 4 4" xfId="15987" xr:uid="{00000000-0005-0000-0000-00009C4D0000}"/>
    <cellStyle name="Normal 3 18 4 4 2" xfId="30119" xr:uid="{00000000-0005-0000-0000-00009D4D0000}"/>
    <cellStyle name="Normal 3 18 4 4 3" xfId="44014" xr:uid="{00000000-0005-0000-0000-00009E4D0000}"/>
    <cellStyle name="Normal 3 18 4 5" xfId="20800" xr:uid="{00000000-0005-0000-0000-00009F4D0000}"/>
    <cellStyle name="Normal 3 18 4 6" xfId="39432" xr:uid="{00000000-0005-0000-0000-0000A04D0000}"/>
    <cellStyle name="Normal 3 18 5" xfId="5422" xr:uid="{00000000-0005-0000-0000-0000A14D0000}"/>
    <cellStyle name="Normal 3 18 5 2" xfId="5423" xr:uid="{00000000-0005-0000-0000-0000A24D0000}"/>
    <cellStyle name="Normal 3 18 5 2 2" xfId="11259" xr:uid="{00000000-0005-0000-0000-0000A34D0000}"/>
    <cellStyle name="Normal 3 18 5 2 2 2" xfId="34744" xr:uid="{00000000-0005-0000-0000-0000A44D0000}"/>
    <cellStyle name="Normal 3 18 5 2 2 3" xfId="25425" xr:uid="{00000000-0005-0000-0000-0000A54D0000}"/>
    <cellStyle name="Normal 3 18 5 2 2 4" xfId="48687" xr:uid="{00000000-0005-0000-0000-0000A64D0000}"/>
    <cellStyle name="Normal 3 18 5 2 3" xfId="15990" xr:uid="{00000000-0005-0000-0000-0000A74D0000}"/>
    <cellStyle name="Normal 3 18 5 2 3 2" xfId="30122" xr:uid="{00000000-0005-0000-0000-0000A84D0000}"/>
    <cellStyle name="Normal 3 18 5 2 3 3" xfId="44017" xr:uid="{00000000-0005-0000-0000-0000A94D0000}"/>
    <cellStyle name="Normal 3 18 5 2 4" xfId="20803" xr:uid="{00000000-0005-0000-0000-0000AA4D0000}"/>
    <cellStyle name="Normal 3 18 5 2 5" xfId="39435" xr:uid="{00000000-0005-0000-0000-0000AB4D0000}"/>
    <cellStyle name="Normal 3 18 5 3" xfId="11258" xr:uid="{00000000-0005-0000-0000-0000AC4D0000}"/>
    <cellStyle name="Normal 3 18 5 3 2" xfId="34743" xr:uid="{00000000-0005-0000-0000-0000AD4D0000}"/>
    <cellStyle name="Normal 3 18 5 3 3" xfId="25424" xr:uid="{00000000-0005-0000-0000-0000AE4D0000}"/>
    <cellStyle name="Normal 3 18 5 3 4" xfId="48686" xr:uid="{00000000-0005-0000-0000-0000AF4D0000}"/>
    <cellStyle name="Normal 3 18 5 4" xfId="15989" xr:uid="{00000000-0005-0000-0000-0000B04D0000}"/>
    <cellStyle name="Normal 3 18 5 4 2" xfId="30121" xr:uid="{00000000-0005-0000-0000-0000B14D0000}"/>
    <cellStyle name="Normal 3 18 5 4 3" xfId="44016" xr:uid="{00000000-0005-0000-0000-0000B24D0000}"/>
    <cellStyle name="Normal 3 18 5 5" xfId="20802" xr:uid="{00000000-0005-0000-0000-0000B34D0000}"/>
    <cellStyle name="Normal 3 18 5 6" xfId="39434" xr:uid="{00000000-0005-0000-0000-0000B44D0000}"/>
    <cellStyle name="Normal 3 18 6" xfId="5424" xr:uid="{00000000-0005-0000-0000-0000B54D0000}"/>
    <cellStyle name="Normal 3 18 6 2" xfId="5425" xr:uid="{00000000-0005-0000-0000-0000B64D0000}"/>
    <cellStyle name="Normal 3 18 6 2 2" xfId="11261" xr:uid="{00000000-0005-0000-0000-0000B74D0000}"/>
    <cellStyle name="Normal 3 18 6 2 2 2" xfId="34746" xr:uid="{00000000-0005-0000-0000-0000B84D0000}"/>
    <cellStyle name="Normal 3 18 6 2 2 3" xfId="25427" xr:uid="{00000000-0005-0000-0000-0000B94D0000}"/>
    <cellStyle name="Normal 3 18 6 2 2 4" xfId="48689" xr:uid="{00000000-0005-0000-0000-0000BA4D0000}"/>
    <cellStyle name="Normal 3 18 6 2 3" xfId="15992" xr:uid="{00000000-0005-0000-0000-0000BB4D0000}"/>
    <cellStyle name="Normal 3 18 6 2 3 2" xfId="30124" xr:uid="{00000000-0005-0000-0000-0000BC4D0000}"/>
    <cellStyle name="Normal 3 18 6 2 3 3" xfId="44019" xr:uid="{00000000-0005-0000-0000-0000BD4D0000}"/>
    <cellStyle name="Normal 3 18 6 2 4" xfId="20805" xr:uid="{00000000-0005-0000-0000-0000BE4D0000}"/>
    <cellStyle name="Normal 3 18 6 2 5" xfId="39437" xr:uid="{00000000-0005-0000-0000-0000BF4D0000}"/>
    <cellStyle name="Normal 3 18 6 3" xfId="11260" xr:uid="{00000000-0005-0000-0000-0000C04D0000}"/>
    <cellStyle name="Normal 3 18 6 3 2" xfId="34745" xr:uid="{00000000-0005-0000-0000-0000C14D0000}"/>
    <cellStyle name="Normal 3 18 6 3 3" xfId="25426" xr:uid="{00000000-0005-0000-0000-0000C24D0000}"/>
    <cellStyle name="Normal 3 18 6 3 4" xfId="48688" xr:uid="{00000000-0005-0000-0000-0000C34D0000}"/>
    <cellStyle name="Normal 3 18 6 4" xfId="15991" xr:uid="{00000000-0005-0000-0000-0000C44D0000}"/>
    <cellStyle name="Normal 3 18 6 4 2" xfId="30123" xr:uid="{00000000-0005-0000-0000-0000C54D0000}"/>
    <cellStyle name="Normal 3 18 6 4 3" xfId="44018" xr:uid="{00000000-0005-0000-0000-0000C64D0000}"/>
    <cellStyle name="Normal 3 18 6 5" xfId="20804" xr:uid="{00000000-0005-0000-0000-0000C74D0000}"/>
    <cellStyle name="Normal 3 18 6 6" xfId="39436" xr:uid="{00000000-0005-0000-0000-0000C84D0000}"/>
    <cellStyle name="Normal 3 18 7" xfId="5426" xr:uid="{00000000-0005-0000-0000-0000C94D0000}"/>
    <cellStyle name="Normal 3 18 7 2" xfId="11262" xr:uid="{00000000-0005-0000-0000-0000CA4D0000}"/>
    <cellStyle name="Normal 3 18 7 2 2" xfId="34747" xr:uid="{00000000-0005-0000-0000-0000CB4D0000}"/>
    <cellStyle name="Normal 3 18 7 2 3" xfId="25428" xr:uid="{00000000-0005-0000-0000-0000CC4D0000}"/>
    <cellStyle name="Normal 3 18 7 2 4" xfId="48690" xr:uid="{00000000-0005-0000-0000-0000CD4D0000}"/>
    <cellStyle name="Normal 3 18 7 3" xfId="15993" xr:uid="{00000000-0005-0000-0000-0000CE4D0000}"/>
    <cellStyle name="Normal 3 18 7 3 2" xfId="30125" xr:uid="{00000000-0005-0000-0000-0000CF4D0000}"/>
    <cellStyle name="Normal 3 18 7 3 3" xfId="44020" xr:uid="{00000000-0005-0000-0000-0000D04D0000}"/>
    <cellStyle name="Normal 3 18 7 4" xfId="20806" xr:uid="{00000000-0005-0000-0000-0000D14D0000}"/>
    <cellStyle name="Normal 3 18 7 5" xfId="39438" xr:uid="{00000000-0005-0000-0000-0000D24D0000}"/>
    <cellStyle name="Normal 3 18 8" xfId="11251" xr:uid="{00000000-0005-0000-0000-0000D34D0000}"/>
    <cellStyle name="Normal 3 18 8 2" xfId="34736" xr:uid="{00000000-0005-0000-0000-0000D44D0000}"/>
    <cellStyle name="Normal 3 18 8 3" xfId="25417" xr:uid="{00000000-0005-0000-0000-0000D54D0000}"/>
    <cellStyle name="Normal 3 18 8 4" xfId="48679" xr:uid="{00000000-0005-0000-0000-0000D64D0000}"/>
    <cellStyle name="Normal 3 18 9" xfId="15982" xr:uid="{00000000-0005-0000-0000-0000D74D0000}"/>
    <cellStyle name="Normal 3 18 9 2" xfId="30114" xr:uid="{00000000-0005-0000-0000-0000D84D0000}"/>
    <cellStyle name="Normal 3 18 9 3" xfId="44009" xr:uid="{00000000-0005-0000-0000-0000D94D0000}"/>
    <cellStyle name="Normal 3 19" xfId="5427" xr:uid="{00000000-0005-0000-0000-0000DA4D0000}"/>
    <cellStyle name="Normal 3 19 2" xfId="5428" xr:uid="{00000000-0005-0000-0000-0000DB4D0000}"/>
    <cellStyle name="Normal 3 19 2 2" xfId="11264" xr:uid="{00000000-0005-0000-0000-0000DC4D0000}"/>
    <cellStyle name="Normal 3 19 2 2 2" xfId="34749" xr:uid="{00000000-0005-0000-0000-0000DD4D0000}"/>
    <cellStyle name="Normal 3 19 2 2 3" xfId="25430" xr:uid="{00000000-0005-0000-0000-0000DE4D0000}"/>
    <cellStyle name="Normal 3 19 2 2 4" xfId="48692" xr:uid="{00000000-0005-0000-0000-0000DF4D0000}"/>
    <cellStyle name="Normal 3 19 2 3" xfId="15995" xr:uid="{00000000-0005-0000-0000-0000E04D0000}"/>
    <cellStyle name="Normal 3 19 2 3 2" xfId="30127" xr:uid="{00000000-0005-0000-0000-0000E14D0000}"/>
    <cellStyle name="Normal 3 19 2 3 3" xfId="44022" xr:uid="{00000000-0005-0000-0000-0000E24D0000}"/>
    <cellStyle name="Normal 3 19 2 4" xfId="20808" xr:uid="{00000000-0005-0000-0000-0000E34D0000}"/>
    <cellStyle name="Normal 3 19 2 5" xfId="39440" xr:uid="{00000000-0005-0000-0000-0000E44D0000}"/>
    <cellStyle name="Normal 3 19 3" xfId="11263" xr:uid="{00000000-0005-0000-0000-0000E54D0000}"/>
    <cellStyle name="Normal 3 19 3 2" xfId="34748" xr:uid="{00000000-0005-0000-0000-0000E64D0000}"/>
    <cellStyle name="Normal 3 19 3 3" xfId="25429" xr:uid="{00000000-0005-0000-0000-0000E74D0000}"/>
    <cellStyle name="Normal 3 19 3 4" xfId="48691" xr:uid="{00000000-0005-0000-0000-0000E84D0000}"/>
    <cellStyle name="Normal 3 19 4" xfId="15994" xr:uid="{00000000-0005-0000-0000-0000E94D0000}"/>
    <cellStyle name="Normal 3 19 4 2" xfId="30126" xr:uid="{00000000-0005-0000-0000-0000EA4D0000}"/>
    <cellStyle name="Normal 3 19 4 3" xfId="44021" xr:uid="{00000000-0005-0000-0000-0000EB4D0000}"/>
    <cellStyle name="Normal 3 19 5" xfId="20807" xr:uid="{00000000-0005-0000-0000-0000EC4D0000}"/>
    <cellStyle name="Normal 3 19 6" xfId="39439" xr:uid="{00000000-0005-0000-0000-0000ED4D0000}"/>
    <cellStyle name="Normal 3 2" xfId="184" xr:uid="{00000000-0005-0000-0000-0000EE4D0000}"/>
    <cellStyle name="Normal 3 2 10" xfId="5429" xr:uid="{00000000-0005-0000-0000-0000EF4D0000}"/>
    <cellStyle name="Normal 3 2 10 2" xfId="5430" xr:uid="{00000000-0005-0000-0000-0000F04D0000}"/>
    <cellStyle name="Normal 3 2 10 2 2" xfId="11266" xr:uid="{00000000-0005-0000-0000-0000F14D0000}"/>
    <cellStyle name="Normal 3 2 10 2 2 2" xfId="34751" xr:uid="{00000000-0005-0000-0000-0000F24D0000}"/>
    <cellStyle name="Normal 3 2 10 2 2 3" xfId="25432" xr:uid="{00000000-0005-0000-0000-0000F34D0000}"/>
    <cellStyle name="Normal 3 2 10 2 2 4" xfId="48694" xr:uid="{00000000-0005-0000-0000-0000F44D0000}"/>
    <cellStyle name="Normal 3 2 10 2 3" xfId="15997" xr:uid="{00000000-0005-0000-0000-0000F54D0000}"/>
    <cellStyle name="Normal 3 2 10 2 3 2" xfId="30129" xr:uid="{00000000-0005-0000-0000-0000F64D0000}"/>
    <cellStyle name="Normal 3 2 10 2 3 3" xfId="44024" xr:uid="{00000000-0005-0000-0000-0000F74D0000}"/>
    <cellStyle name="Normal 3 2 10 2 4" xfId="20810" xr:uid="{00000000-0005-0000-0000-0000F84D0000}"/>
    <cellStyle name="Normal 3 2 10 2 5" xfId="39442" xr:uid="{00000000-0005-0000-0000-0000F94D0000}"/>
    <cellStyle name="Normal 3 2 10 3" xfId="11265" xr:uid="{00000000-0005-0000-0000-0000FA4D0000}"/>
    <cellStyle name="Normal 3 2 10 3 2" xfId="34750" xr:uid="{00000000-0005-0000-0000-0000FB4D0000}"/>
    <cellStyle name="Normal 3 2 10 3 3" xfId="25431" xr:uid="{00000000-0005-0000-0000-0000FC4D0000}"/>
    <cellStyle name="Normal 3 2 10 3 4" xfId="48693" xr:uid="{00000000-0005-0000-0000-0000FD4D0000}"/>
    <cellStyle name="Normal 3 2 10 4" xfId="15996" xr:uid="{00000000-0005-0000-0000-0000FE4D0000}"/>
    <cellStyle name="Normal 3 2 10 4 2" xfId="30128" xr:uid="{00000000-0005-0000-0000-0000FF4D0000}"/>
    <cellStyle name="Normal 3 2 10 4 3" xfId="44023" xr:uid="{00000000-0005-0000-0000-0000004E0000}"/>
    <cellStyle name="Normal 3 2 10 5" xfId="20809" xr:uid="{00000000-0005-0000-0000-0000014E0000}"/>
    <cellStyle name="Normal 3 2 10 6" xfId="39441" xr:uid="{00000000-0005-0000-0000-0000024E0000}"/>
    <cellStyle name="Normal 3 2 11" xfId="5431" xr:uid="{00000000-0005-0000-0000-0000034E0000}"/>
    <cellStyle name="Normal 3 2 11 2" xfId="5432" xr:uid="{00000000-0005-0000-0000-0000044E0000}"/>
    <cellStyle name="Normal 3 2 11 2 2" xfId="11268" xr:uid="{00000000-0005-0000-0000-0000054E0000}"/>
    <cellStyle name="Normal 3 2 11 2 2 2" xfId="34753" xr:uid="{00000000-0005-0000-0000-0000064E0000}"/>
    <cellStyle name="Normal 3 2 11 2 2 3" xfId="25434" xr:uid="{00000000-0005-0000-0000-0000074E0000}"/>
    <cellStyle name="Normal 3 2 11 2 2 4" xfId="48696" xr:uid="{00000000-0005-0000-0000-0000084E0000}"/>
    <cellStyle name="Normal 3 2 11 2 3" xfId="15999" xr:uid="{00000000-0005-0000-0000-0000094E0000}"/>
    <cellStyle name="Normal 3 2 11 2 3 2" xfId="30131" xr:uid="{00000000-0005-0000-0000-00000A4E0000}"/>
    <cellStyle name="Normal 3 2 11 2 3 3" xfId="44026" xr:uid="{00000000-0005-0000-0000-00000B4E0000}"/>
    <cellStyle name="Normal 3 2 11 2 4" xfId="20812" xr:uid="{00000000-0005-0000-0000-00000C4E0000}"/>
    <cellStyle name="Normal 3 2 11 2 5" xfId="39444" xr:uid="{00000000-0005-0000-0000-00000D4E0000}"/>
    <cellStyle name="Normal 3 2 11 3" xfId="11267" xr:uid="{00000000-0005-0000-0000-00000E4E0000}"/>
    <cellStyle name="Normal 3 2 11 3 2" xfId="34752" xr:uid="{00000000-0005-0000-0000-00000F4E0000}"/>
    <cellStyle name="Normal 3 2 11 3 3" xfId="25433" xr:uid="{00000000-0005-0000-0000-0000104E0000}"/>
    <cellStyle name="Normal 3 2 11 3 4" xfId="48695" xr:uid="{00000000-0005-0000-0000-0000114E0000}"/>
    <cellStyle name="Normal 3 2 11 4" xfId="15998" xr:uid="{00000000-0005-0000-0000-0000124E0000}"/>
    <cellStyle name="Normal 3 2 11 4 2" xfId="30130" xr:uid="{00000000-0005-0000-0000-0000134E0000}"/>
    <cellStyle name="Normal 3 2 11 4 3" xfId="44025" xr:uid="{00000000-0005-0000-0000-0000144E0000}"/>
    <cellStyle name="Normal 3 2 11 5" xfId="20811" xr:uid="{00000000-0005-0000-0000-0000154E0000}"/>
    <cellStyle name="Normal 3 2 11 6" xfId="39443" xr:uid="{00000000-0005-0000-0000-0000164E0000}"/>
    <cellStyle name="Normal 3 2 12" xfId="5433" xr:uid="{00000000-0005-0000-0000-0000174E0000}"/>
    <cellStyle name="Normal 3 2 12 2" xfId="5434" xr:uid="{00000000-0005-0000-0000-0000184E0000}"/>
    <cellStyle name="Normal 3 2 12 2 2" xfId="11270" xr:uid="{00000000-0005-0000-0000-0000194E0000}"/>
    <cellStyle name="Normal 3 2 12 2 2 2" xfId="34755" xr:uid="{00000000-0005-0000-0000-00001A4E0000}"/>
    <cellStyle name="Normal 3 2 12 2 2 3" xfId="25436" xr:uid="{00000000-0005-0000-0000-00001B4E0000}"/>
    <cellStyle name="Normal 3 2 12 2 2 4" xfId="48698" xr:uid="{00000000-0005-0000-0000-00001C4E0000}"/>
    <cellStyle name="Normal 3 2 12 2 3" xfId="16001" xr:uid="{00000000-0005-0000-0000-00001D4E0000}"/>
    <cellStyle name="Normal 3 2 12 2 3 2" xfId="30133" xr:uid="{00000000-0005-0000-0000-00001E4E0000}"/>
    <cellStyle name="Normal 3 2 12 2 3 3" xfId="44028" xr:uid="{00000000-0005-0000-0000-00001F4E0000}"/>
    <cellStyle name="Normal 3 2 12 2 4" xfId="20814" xr:uid="{00000000-0005-0000-0000-0000204E0000}"/>
    <cellStyle name="Normal 3 2 12 2 5" xfId="39446" xr:uid="{00000000-0005-0000-0000-0000214E0000}"/>
    <cellStyle name="Normal 3 2 12 3" xfId="11269" xr:uid="{00000000-0005-0000-0000-0000224E0000}"/>
    <cellStyle name="Normal 3 2 12 3 2" xfId="34754" xr:uid="{00000000-0005-0000-0000-0000234E0000}"/>
    <cellStyle name="Normal 3 2 12 3 3" xfId="25435" xr:uid="{00000000-0005-0000-0000-0000244E0000}"/>
    <cellStyle name="Normal 3 2 12 3 4" xfId="48697" xr:uid="{00000000-0005-0000-0000-0000254E0000}"/>
    <cellStyle name="Normal 3 2 12 4" xfId="16000" xr:uid="{00000000-0005-0000-0000-0000264E0000}"/>
    <cellStyle name="Normal 3 2 12 4 2" xfId="30132" xr:uid="{00000000-0005-0000-0000-0000274E0000}"/>
    <cellStyle name="Normal 3 2 12 4 3" xfId="44027" xr:uid="{00000000-0005-0000-0000-0000284E0000}"/>
    <cellStyle name="Normal 3 2 12 5" xfId="20813" xr:uid="{00000000-0005-0000-0000-0000294E0000}"/>
    <cellStyle name="Normal 3 2 12 6" xfId="39445" xr:uid="{00000000-0005-0000-0000-00002A4E0000}"/>
    <cellStyle name="Normal 3 2 13" xfId="5435" xr:uid="{00000000-0005-0000-0000-00002B4E0000}"/>
    <cellStyle name="Normal 3 2 13 2" xfId="5436" xr:uid="{00000000-0005-0000-0000-00002C4E0000}"/>
    <cellStyle name="Normal 3 2 13 2 2" xfId="11272" xr:uid="{00000000-0005-0000-0000-00002D4E0000}"/>
    <cellStyle name="Normal 3 2 13 2 2 2" xfId="34757" xr:uid="{00000000-0005-0000-0000-00002E4E0000}"/>
    <cellStyle name="Normal 3 2 13 2 2 3" xfId="25438" xr:uid="{00000000-0005-0000-0000-00002F4E0000}"/>
    <cellStyle name="Normal 3 2 13 2 2 4" xfId="48700" xr:uid="{00000000-0005-0000-0000-0000304E0000}"/>
    <cellStyle name="Normal 3 2 13 2 3" xfId="16003" xr:uid="{00000000-0005-0000-0000-0000314E0000}"/>
    <cellStyle name="Normal 3 2 13 2 3 2" xfId="30135" xr:uid="{00000000-0005-0000-0000-0000324E0000}"/>
    <cellStyle name="Normal 3 2 13 2 3 3" xfId="44030" xr:uid="{00000000-0005-0000-0000-0000334E0000}"/>
    <cellStyle name="Normal 3 2 13 2 4" xfId="20816" xr:uid="{00000000-0005-0000-0000-0000344E0000}"/>
    <cellStyle name="Normal 3 2 13 2 5" xfId="39448" xr:uid="{00000000-0005-0000-0000-0000354E0000}"/>
    <cellStyle name="Normal 3 2 13 3" xfId="11271" xr:uid="{00000000-0005-0000-0000-0000364E0000}"/>
    <cellStyle name="Normal 3 2 13 3 2" xfId="34756" xr:uid="{00000000-0005-0000-0000-0000374E0000}"/>
    <cellStyle name="Normal 3 2 13 3 3" xfId="25437" xr:uid="{00000000-0005-0000-0000-0000384E0000}"/>
    <cellStyle name="Normal 3 2 13 3 4" xfId="48699" xr:uid="{00000000-0005-0000-0000-0000394E0000}"/>
    <cellStyle name="Normal 3 2 13 4" xfId="16002" xr:uid="{00000000-0005-0000-0000-00003A4E0000}"/>
    <cellStyle name="Normal 3 2 13 4 2" xfId="30134" xr:uid="{00000000-0005-0000-0000-00003B4E0000}"/>
    <cellStyle name="Normal 3 2 13 4 3" xfId="44029" xr:uid="{00000000-0005-0000-0000-00003C4E0000}"/>
    <cellStyle name="Normal 3 2 13 5" xfId="20815" xr:uid="{00000000-0005-0000-0000-00003D4E0000}"/>
    <cellStyle name="Normal 3 2 13 6" xfId="39447" xr:uid="{00000000-0005-0000-0000-00003E4E0000}"/>
    <cellStyle name="Normal 3 2 14" xfId="5437" xr:uid="{00000000-0005-0000-0000-00003F4E0000}"/>
    <cellStyle name="Normal 3 2 14 2" xfId="5438" xr:uid="{00000000-0005-0000-0000-0000404E0000}"/>
    <cellStyle name="Normal 3 2 14 2 2" xfId="11274" xr:uid="{00000000-0005-0000-0000-0000414E0000}"/>
    <cellStyle name="Normal 3 2 14 2 2 2" xfId="34759" xr:uid="{00000000-0005-0000-0000-0000424E0000}"/>
    <cellStyle name="Normal 3 2 14 2 2 3" xfId="25440" xr:uid="{00000000-0005-0000-0000-0000434E0000}"/>
    <cellStyle name="Normal 3 2 14 2 2 4" xfId="48702" xr:uid="{00000000-0005-0000-0000-0000444E0000}"/>
    <cellStyle name="Normal 3 2 14 2 3" xfId="16005" xr:uid="{00000000-0005-0000-0000-0000454E0000}"/>
    <cellStyle name="Normal 3 2 14 2 3 2" xfId="30137" xr:uid="{00000000-0005-0000-0000-0000464E0000}"/>
    <cellStyle name="Normal 3 2 14 2 3 3" xfId="44032" xr:uid="{00000000-0005-0000-0000-0000474E0000}"/>
    <cellStyle name="Normal 3 2 14 2 4" xfId="20818" xr:uid="{00000000-0005-0000-0000-0000484E0000}"/>
    <cellStyle name="Normal 3 2 14 2 5" xfId="39450" xr:uid="{00000000-0005-0000-0000-0000494E0000}"/>
    <cellStyle name="Normal 3 2 14 3" xfId="11273" xr:uid="{00000000-0005-0000-0000-00004A4E0000}"/>
    <cellStyle name="Normal 3 2 14 3 2" xfId="34758" xr:uid="{00000000-0005-0000-0000-00004B4E0000}"/>
    <cellStyle name="Normal 3 2 14 3 3" xfId="25439" xr:uid="{00000000-0005-0000-0000-00004C4E0000}"/>
    <cellStyle name="Normal 3 2 14 3 4" xfId="48701" xr:uid="{00000000-0005-0000-0000-00004D4E0000}"/>
    <cellStyle name="Normal 3 2 14 4" xfId="16004" xr:uid="{00000000-0005-0000-0000-00004E4E0000}"/>
    <cellStyle name="Normal 3 2 14 4 2" xfId="30136" xr:uid="{00000000-0005-0000-0000-00004F4E0000}"/>
    <cellStyle name="Normal 3 2 14 4 3" xfId="44031" xr:uid="{00000000-0005-0000-0000-0000504E0000}"/>
    <cellStyle name="Normal 3 2 14 5" xfId="20817" xr:uid="{00000000-0005-0000-0000-0000514E0000}"/>
    <cellStyle name="Normal 3 2 14 6" xfId="39449" xr:uid="{00000000-0005-0000-0000-0000524E0000}"/>
    <cellStyle name="Normal 3 2 15" xfId="5439" xr:uid="{00000000-0005-0000-0000-0000534E0000}"/>
    <cellStyle name="Normal 3 2 15 2" xfId="5440" xr:uid="{00000000-0005-0000-0000-0000544E0000}"/>
    <cellStyle name="Normal 3 2 15 2 2" xfId="11276" xr:uid="{00000000-0005-0000-0000-0000554E0000}"/>
    <cellStyle name="Normal 3 2 15 2 2 2" xfId="34761" xr:uid="{00000000-0005-0000-0000-0000564E0000}"/>
    <cellStyle name="Normal 3 2 15 2 2 3" xfId="25442" xr:uid="{00000000-0005-0000-0000-0000574E0000}"/>
    <cellStyle name="Normal 3 2 15 2 2 4" xfId="48704" xr:uid="{00000000-0005-0000-0000-0000584E0000}"/>
    <cellStyle name="Normal 3 2 15 2 3" xfId="16007" xr:uid="{00000000-0005-0000-0000-0000594E0000}"/>
    <cellStyle name="Normal 3 2 15 2 3 2" xfId="30139" xr:uid="{00000000-0005-0000-0000-00005A4E0000}"/>
    <cellStyle name="Normal 3 2 15 2 3 3" xfId="44034" xr:uid="{00000000-0005-0000-0000-00005B4E0000}"/>
    <cellStyle name="Normal 3 2 15 2 4" xfId="20820" xr:uid="{00000000-0005-0000-0000-00005C4E0000}"/>
    <cellStyle name="Normal 3 2 15 2 5" xfId="39452" xr:uid="{00000000-0005-0000-0000-00005D4E0000}"/>
    <cellStyle name="Normal 3 2 15 3" xfId="11275" xr:uid="{00000000-0005-0000-0000-00005E4E0000}"/>
    <cellStyle name="Normal 3 2 15 3 2" xfId="34760" xr:uid="{00000000-0005-0000-0000-00005F4E0000}"/>
    <cellStyle name="Normal 3 2 15 3 3" xfId="25441" xr:uid="{00000000-0005-0000-0000-0000604E0000}"/>
    <cellStyle name="Normal 3 2 15 3 4" xfId="48703" xr:uid="{00000000-0005-0000-0000-0000614E0000}"/>
    <cellStyle name="Normal 3 2 15 4" xfId="16006" xr:uid="{00000000-0005-0000-0000-0000624E0000}"/>
    <cellStyle name="Normal 3 2 15 4 2" xfId="30138" xr:uid="{00000000-0005-0000-0000-0000634E0000}"/>
    <cellStyle name="Normal 3 2 15 4 3" xfId="44033" xr:uid="{00000000-0005-0000-0000-0000644E0000}"/>
    <cellStyle name="Normal 3 2 15 5" xfId="20819" xr:uid="{00000000-0005-0000-0000-0000654E0000}"/>
    <cellStyle name="Normal 3 2 15 6" xfId="39451" xr:uid="{00000000-0005-0000-0000-0000664E0000}"/>
    <cellStyle name="Normal 3 2 16" xfId="5441" xr:uid="{00000000-0005-0000-0000-0000674E0000}"/>
    <cellStyle name="Normal 3 2 16 2" xfId="5442" xr:uid="{00000000-0005-0000-0000-0000684E0000}"/>
    <cellStyle name="Normal 3 2 16 2 2" xfId="11278" xr:uid="{00000000-0005-0000-0000-0000694E0000}"/>
    <cellStyle name="Normal 3 2 16 2 2 2" xfId="34763" xr:uid="{00000000-0005-0000-0000-00006A4E0000}"/>
    <cellStyle name="Normal 3 2 16 2 2 3" xfId="25444" xr:uid="{00000000-0005-0000-0000-00006B4E0000}"/>
    <cellStyle name="Normal 3 2 16 2 2 4" xfId="48706" xr:uid="{00000000-0005-0000-0000-00006C4E0000}"/>
    <cellStyle name="Normal 3 2 16 2 3" xfId="16009" xr:uid="{00000000-0005-0000-0000-00006D4E0000}"/>
    <cellStyle name="Normal 3 2 16 2 3 2" xfId="30141" xr:uid="{00000000-0005-0000-0000-00006E4E0000}"/>
    <cellStyle name="Normal 3 2 16 2 3 3" xfId="44036" xr:uid="{00000000-0005-0000-0000-00006F4E0000}"/>
    <cellStyle name="Normal 3 2 16 2 4" xfId="20822" xr:uid="{00000000-0005-0000-0000-0000704E0000}"/>
    <cellStyle name="Normal 3 2 16 2 5" xfId="39454" xr:uid="{00000000-0005-0000-0000-0000714E0000}"/>
    <cellStyle name="Normal 3 2 16 3" xfId="11277" xr:uid="{00000000-0005-0000-0000-0000724E0000}"/>
    <cellStyle name="Normal 3 2 16 3 2" xfId="34762" xr:uid="{00000000-0005-0000-0000-0000734E0000}"/>
    <cellStyle name="Normal 3 2 16 3 3" xfId="25443" xr:uid="{00000000-0005-0000-0000-0000744E0000}"/>
    <cellStyle name="Normal 3 2 16 3 4" xfId="48705" xr:uid="{00000000-0005-0000-0000-0000754E0000}"/>
    <cellStyle name="Normal 3 2 16 4" xfId="16008" xr:uid="{00000000-0005-0000-0000-0000764E0000}"/>
    <cellStyle name="Normal 3 2 16 4 2" xfId="30140" xr:uid="{00000000-0005-0000-0000-0000774E0000}"/>
    <cellStyle name="Normal 3 2 16 4 3" xfId="44035" xr:uid="{00000000-0005-0000-0000-0000784E0000}"/>
    <cellStyle name="Normal 3 2 16 5" xfId="20821" xr:uid="{00000000-0005-0000-0000-0000794E0000}"/>
    <cellStyle name="Normal 3 2 16 6" xfId="39453" xr:uid="{00000000-0005-0000-0000-00007A4E0000}"/>
    <cellStyle name="Normal 3 2 17" xfId="5443" xr:uid="{00000000-0005-0000-0000-00007B4E0000}"/>
    <cellStyle name="Normal 3 2 17 2" xfId="5444" xr:uid="{00000000-0005-0000-0000-00007C4E0000}"/>
    <cellStyle name="Normal 3 2 17 2 2" xfId="11280" xr:uid="{00000000-0005-0000-0000-00007D4E0000}"/>
    <cellStyle name="Normal 3 2 17 2 2 2" xfId="34765" xr:uid="{00000000-0005-0000-0000-00007E4E0000}"/>
    <cellStyle name="Normal 3 2 17 2 2 3" xfId="25446" xr:uid="{00000000-0005-0000-0000-00007F4E0000}"/>
    <cellStyle name="Normal 3 2 17 2 2 4" xfId="48708" xr:uid="{00000000-0005-0000-0000-0000804E0000}"/>
    <cellStyle name="Normal 3 2 17 2 3" xfId="16011" xr:uid="{00000000-0005-0000-0000-0000814E0000}"/>
    <cellStyle name="Normal 3 2 17 2 3 2" xfId="30143" xr:uid="{00000000-0005-0000-0000-0000824E0000}"/>
    <cellStyle name="Normal 3 2 17 2 3 3" xfId="44038" xr:uid="{00000000-0005-0000-0000-0000834E0000}"/>
    <cellStyle name="Normal 3 2 17 2 4" xfId="20824" xr:uid="{00000000-0005-0000-0000-0000844E0000}"/>
    <cellStyle name="Normal 3 2 17 2 5" xfId="39456" xr:uid="{00000000-0005-0000-0000-0000854E0000}"/>
    <cellStyle name="Normal 3 2 17 3" xfId="11279" xr:uid="{00000000-0005-0000-0000-0000864E0000}"/>
    <cellStyle name="Normal 3 2 17 3 2" xfId="34764" xr:uid="{00000000-0005-0000-0000-0000874E0000}"/>
    <cellStyle name="Normal 3 2 17 3 3" xfId="25445" xr:uid="{00000000-0005-0000-0000-0000884E0000}"/>
    <cellStyle name="Normal 3 2 17 3 4" xfId="48707" xr:uid="{00000000-0005-0000-0000-0000894E0000}"/>
    <cellStyle name="Normal 3 2 17 4" xfId="16010" xr:uid="{00000000-0005-0000-0000-00008A4E0000}"/>
    <cellStyle name="Normal 3 2 17 4 2" xfId="30142" xr:uid="{00000000-0005-0000-0000-00008B4E0000}"/>
    <cellStyle name="Normal 3 2 17 4 3" xfId="44037" xr:uid="{00000000-0005-0000-0000-00008C4E0000}"/>
    <cellStyle name="Normal 3 2 17 5" xfId="20823" xr:uid="{00000000-0005-0000-0000-00008D4E0000}"/>
    <cellStyle name="Normal 3 2 17 6" xfId="39455" xr:uid="{00000000-0005-0000-0000-00008E4E0000}"/>
    <cellStyle name="Normal 3 2 18" xfId="5445" xr:uid="{00000000-0005-0000-0000-00008F4E0000}"/>
    <cellStyle name="Normal 3 2 18 2" xfId="5446" xr:uid="{00000000-0005-0000-0000-0000904E0000}"/>
    <cellStyle name="Normal 3 2 18 2 2" xfId="11282" xr:uid="{00000000-0005-0000-0000-0000914E0000}"/>
    <cellStyle name="Normal 3 2 18 2 2 2" xfId="34767" xr:uid="{00000000-0005-0000-0000-0000924E0000}"/>
    <cellStyle name="Normal 3 2 18 2 2 3" xfId="25448" xr:uid="{00000000-0005-0000-0000-0000934E0000}"/>
    <cellStyle name="Normal 3 2 18 2 2 4" xfId="48710" xr:uid="{00000000-0005-0000-0000-0000944E0000}"/>
    <cellStyle name="Normal 3 2 18 2 3" xfId="16013" xr:uid="{00000000-0005-0000-0000-0000954E0000}"/>
    <cellStyle name="Normal 3 2 18 2 3 2" xfId="30145" xr:uid="{00000000-0005-0000-0000-0000964E0000}"/>
    <cellStyle name="Normal 3 2 18 2 3 3" xfId="44040" xr:uid="{00000000-0005-0000-0000-0000974E0000}"/>
    <cellStyle name="Normal 3 2 18 2 4" xfId="20826" xr:uid="{00000000-0005-0000-0000-0000984E0000}"/>
    <cellStyle name="Normal 3 2 18 2 5" xfId="39458" xr:uid="{00000000-0005-0000-0000-0000994E0000}"/>
    <cellStyle name="Normal 3 2 18 3" xfId="11281" xr:uid="{00000000-0005-0000-0000-00009A4E0000}"/>
    <cellStyle name="Normal 3 2 18 3 2" xfId="34766" xr:uid="{00000000-0005-0000-0000-00009B4E0000}"/>
    <cellStyle name="Normal 3 2 18 3 3" xfId="25447" xr:uid="{00000000-0005-0000-0000-00009C4E0000}"/>
    <cellStyle name="Normal 3 2 18 3 4" xfId="48709" xr:uid="{00000000-0005-0000-0000-00009D4E0000}"/>
    <cellStyle name="Normal 3 2 18 4" xfId="16012" xr:uid="{00000000-0005-0000-0000-00009E4E0000}"/>
    <cellStyle name="Normal 3 2 18 4 2" xfId="30144" xr:uid="{00000000-0005-0000-0000-00009F4E0000}"/>
    <cellStyle name="Normal 3 2 18 4 3" xfId="44039" xr:uid="{00000000-0005-0000-0000-0000A04E0000}"/>
    <cellStyle name="Normal 3 2 18 5" xfId="20825" xr:uid="{00000000-0005-0000-0000-0000A14E0000}"/>
    <cellStyle name="Normal 3 2 18 6" xfId="39457" xr:uid="{00000000-0005-0000-0000-0000A24E0000}"/>
    <cellStyle name="Normal 3 2 19" xfId="5447" xr:uid="{00000000-0005-0000-0000-0000A34E0000}"/>
    <cellStyle name="Normal 3 2 19 2" xfId="5448" xr:uid="{00000000-0005-0000-0000-0000A44E0000}"/>
    <cellStyle name="Normal 3 2 19 2 2" xfId="11284" xr:uid="{00000000-0005-0000-0000-0000A54E0000}"/>
    <cellStyle name="Normal 3 2 19 2 2 2" xfId="34769" xr:uid="{00000000-0005-0000-0000-0000A64E0000}"/>
    <cellStyle name="Normal 3 2 19 2 2 3" xfId="25450" xr:uid="{00000000-0005-0000-0000-0000A74E0000}"/>
    <cellStyle name="Normal 3 2 19 2 2 4" xfId="48712" xr:uid="{00000000-0005-0000-0000-0000A84E0000}"/>
    <cellStyle name="Normal 3 2 19 2 3" xfId="16015" xr:uid="{00000000-0005-0000-0000-0000A94E0000}"/>
    <cellStyle name="Normal 3 2 19 2 3 2" xfId="30147" xr:uid="{00000000-0005-0000-0000-0000AA4E0000}"/>
    <cellStyle name="Normal 3 2 19 2 3 3" xfId="44042" xr:uid="{00000000-0005-0000-0000-0000AB4E0000}"/>
    <cellStyle name="Normal 3 2 19 2 4" xfId="20828" xr:uid="{00000000-0005-0000-0000-0000AC4E0000}"/>
    <cellStyle name="Normal 3 2 19 2 5" xfId="39460" xr:uid="{00000000-0005-0000-0000-0000AD4E0000}"/>
    <cellStyle name="Normal 3 2 19 3" xfId="11283" xr:uid="{00000000-0005-0000-0000-0000AE4E0000}"/>
    <cellStyle name="Normal 3 2 19 3 2" xfId="34768" xr:uid="{00000000-0005-0000-0000-0000AF4E0000}"/>
    <cellStyle name="Normal 3 2 19 3 3" xfId="25449" xr:uid="{00000000-0005-0000-0000-0000B04E0000}"/>
    <cellStyle name="Normal 3 2 19 3 4" xfId="48711" xr:uid="{00000000-0005-0000-0000-0000B14E0000}"/>
    <cellStyle name="Normal 3 2 19 4" xfId="16014" xr:uid="{00000000-0005-0000-0000-0000B24E0000}"/>
    <cellStyle name="Normal 3 2 19 4 2" xfId="30146" xr:uid="{00000000-0005-0000-0000-0000B34E0000}"/>
    <cellStyle name="Normal 3 2 19 4 3" xfId="44041" xr:uid="{00000000-0005-0000-0000-0000B44E0000}"/>
    <cellStyle name="Normal 3 2 19 5" xfId="20827" xr:uid="{00000000-0005-0000-0000-0000B54E0000}"/>
    <cellStyle name="Normal 3 2 19 6" xfId="39459" xr:uid="{00000000-0005-0000-0000-0000B64E0000}"/>
    <cellStyle name="Normal 3 2 2" xfId="5449" xr:uid="{00000000-0005-0000-0000-0000B74E0000}"/>
    <cellStyle name="Normal 3 2 2 2" xfId="5450" xr:uid="{00000000-0005-0000-0000-0000B84E0000}"/>
    <cellStyle name="Normal 3 2 2 2 2" xfId="11286" xr:uid="{00000000-0005-0000-0000-0000B94E0000}"/>
    <cellStyle name="Normal 3 2 2 2 2 2" xfId="34771" xr:uid="{00000000-0005-0000-0000-0000BA4E0000}"/>
    <cellStyle name="Normal 3 2 2 2 2 3" xfId="25452" xr:uid="{00000000-0005-0000-0000-0000BB4E0000}"/>
    <cellStyle name="Normal 3 2 2 2 2 4" xfId="48714" xr:uid="{00000000-0005-0000-0000-0000BC4E0000}"/>
    <cellStyle name="Normal 3 2 2 2 3" xfId="16017" xr:uid="{00000000-0005-0000-0000-0000BD4E0000}"/>
    <cellStyle name="Normal 3 2 2 2 3 2" xfId="30149" xr:uid="{00000000-0005-0000-0000-0000BE4E0000}"/>
    <cellStyle name="Normal 3 2 2 2 3 3" xfId="44044" xr:uid="{00000000-0005-0000-0000-0000BF4E0000}"/>
    <cellStyle name="Normal 3 2 2 2 4" xfId="20830" xr:uid="{00000000-0005-0000-0000-0000C04E0000}"/>
    <cellStyle name="Normal 3 2 2 2 5" xfId="39462" xr:uid="{00000000-0005-0000-0000-0000C14E0000}"/>
    <cellStyle name="Normal 3 2 2 3" xfId="11285" xr:uid="{00000000-0005-0000-0000-0000C24E0000}"/>
    <cellStyle name="Normal 3 2 2 3 2" xfId="34770" xr:uid="{00000000-0005-0000-0000-0000C34E0000}"/>
    <cellStyle name="Normal 3 2 2 3 3" xfId="25451" xr:uid="{00000000-0005-0000-0000-0000C44E0000}"/>
    <cellStyle name="Normal 3 2 2 3 4" xfId="48713" xr:uid="{00000000-0005-0000-0000-0000C54E0000}"/>
    <cellStyle name="Normal 3 2 2 4" xfId="16016" xr:uid="{00000000-0005-0000-0000-0000C64E0000}"/>
    <cellStyle name="Normal 3 2 2 4 2" xfId="30148" xr:uid="{00000000-0005-0000-0000-0000C74E0000}"/>
    <cellStyle name="Normal 3 2 2 4 3" xfId="44043" xr:uid="{00000000-0005-0000-0000-0000C84E0000}"/>
    <cellStyle name="Normal 3 2 2 5" xfId="20829" xr:uid="{00000000-0005-0000-0000-0000C94E0000}"/>
    <cellStyle name="Normal 3 2 2 6" xfId="39461" xr:uid="{00000000-0005-0000-0000-0000CA4E0000}"/>
    <cellStyle name="Normal 3 2 20" xfId="5451" xr:uid="{00000000-0005-0000-0000-0000CB4E0000}"/>
    <cellStyle name="Normal 3 2 20 2" xfId="5452" xr:uid="{00000000-0005-0000-0000-0000CC4E0000}"/>
    <cellStyle name="Normal 3 2 20 2 2" xfId="11288" xr:uid="{00000000-0005-0000-0000-0000CD4E0000}"/>
    <cellStyle name="Normal 3 2 20 2 2 2" xfId="34773" xr:uid="{00000000-0005-0000-0000-0000CE4E0000}"/>
    <cellStyle name="Normal 3 2 20 2 2 3" xfId="25454" xr:uid="{00000000-0005-0000-0000-0000CF4E0000}"/>
    <cellStyle name="Normal 3 2 20 2 2 4" xfId="48716" xr:uid="{00000000-0005-0000-0000-0000D04E0000}"/>
    <cellStyle name="Normal 3 2 20 2 3" xfId="16019" xr:uid="{00000000-0005-0000-0000-0000D14E0000}"/>
    <cellStyle name="Normal 3 2 20 2 3 2" xfId="30151" xr:uid="{00000000-0005-0000-0000-0000D24E0000}"/>
    <cellStyle name="Normal 3 2 20 2 3 3" xfId="44046" xr:uid="{00000000-0005-0000-0000-0000D34E0000}"/>
    <cellStyle name="Normal 3 2 20 2 4" xfId="20832" xr:uid="{00000000-0005-0000-0000-0000D44E0000}"/>
    <cellStyle name="Normal 3 2 20 2 5" xfId="39464" xr:uid="{00000000-0005-0000-0000-0000D54E0000}"/>
    <cellStyle name="Normal 3 2 20 3" xfId="11287" xr:uid="{00000000-0005-0000-0000-0000D64E0000}"/>
    <cellStyle name="Normal 3 2 20 3 2" xfId="34772" xr:uid="{00000000-0005-0000-0000-0000D74E0000}"/>
    <cellStyle name="Normal 3 2 20 3 3" xfId="25453" xr:uid="{00000000-0005-0000-0000-0000D84E0000}"/>
    <cellStyle name="Normal 3 2 20 3 4" xfId="48715" xr:uid="{00000000-0005-0000-0000-0000D94E0000}"/>
    <cellStyle name="Normal 3 2 20 4" xfId="16018" xr:uid="{00000000-0005-0000-0000-0000DA4E0000}"/>
    <cellStyle name="Normal 3 2 20 4 2" xfId="30150" xr:uid="{00000000-0005-0000-0000-0000DB4E0000}"/>
    <cellStyle name="Normal 3 2 20 4 3" xfId="44045" xr:uid="{00000000-0005-0000-0000-0000DC4E0000}"/>
    <cellStyle name="Normal 3 2 20 5" xfId="20831" xr:uid="{00000000-0005-0000-0000-0000DD4E0000}"/>
    <cellStyle name="Normal 3 2 20 6" xfId="39463" xr:uid="{00000000-0005-0000-0000-0000DE4E0000}"/>
    <cellStyle name="Normal 3 2 21" xfId="5453" xr:uid="{00000000-0005-0000-0000-0000DF4E0000}"/>
    <cellStyle name="Normal 3 2 21 2" xfId="5454" xr:uid="{00000000-0005-0000-0000-0000E04E0000}"/>
    <cellStyle name="Normal 3 2 21 2 2" xfId="11290" xr:uid="{00000000-0005-0000-0000-0000E14E0000}"/>
    <cellStyle name="Normal 3 2 21 2 2 2" xfId="34775" xr:uid="{00000000-0005-0000-0000-0000E24E0000}"/>
    <cellStyle name="Normal 3 2 21 2 2 3" xfId="25456" xr:uid="{00000000-0005-0000-0000-0000E34E0000}"/>
    <cellStyle name="Normal 3 2 21 2 2 4" xfId="48718" xr:uid="{00000000-0005-0000-0000-0000E44E0000}"/>
    <cellStyle name="Normal 3 2 21 2 3" xfId="16021" xr:uid="{00000000-0005-0000-0000-0000E54E0000}"/>
    <cellStyle name="Normal 3 2 21 2 3 2" xfId="30153" xr:uid="{00000000-0005-0000-0000-0000E64E0000}"/>
    <cellStyle name="Normal 3 2 21 2 3 3" xfId="44048" xr:uid="{00000000-0005-0000-0000-0000E74E0000}"/>
    <cellStyle name="Normal 3 2 21 2 4" xfId="20834" xr:uid="{00000000-0005-0000-0000-0000E84E0000}"/>
    <cellStyle name="Normal 3 2 21 2 5" xfId="39466" xr:uid="{00000000-0005-0000-0000-0000E94E0000}"/>
    <cellStyle name="Normal 3 2 21 3" xfId="11289" xr:uid="{00000000-0005-0000-0000-0000EA4E0000}"/>
    <cellStyle name="Normal 3 2 21 3 2" xfId="34774" xr:uid="{00000000-0005-0000-0000-0000EB4E0000}"/>
    <cellStyle name="Normal 3 2 21 3 3" xfId="25455" xr:uid="{00000000-0005-0000-0000-0000EC4E0000}"/>
    <cellStyle name="Normal 3 2 21 3 4" xfId="48717" xr:uid="{00000000-0005-0000-0000-0000ED4E0000}"/>
    <cellStyle name="Normal 3 2 21 4" xfId="16020" xr:uid="{00000000-0005-0000-0000-0000EE4E0000}"/>
    <cellStyle name="Normal 3 2 21 4 2" xfId="30152" xr:uid="{00000000-0005-0000-0000-0000EF4E0000}"/>
    <cellStyle name="Normal 3 2 21 4 3" xfId="44047" xr:uid="{00000000-0005-0000-0000-0000F04E0000}"/>
    <cellStyle name="Normal 3 2 21 5" xfId="20833" xr:uid="{00000000-0005-0000-0000-0000F14E0000}"/>
    <cellStyle name="Normal 3 2 21 6" xfId="39465" xr:uid="{00000000-0005-0000-0000-0000F24E0000}"/>
    <cellStyle name="Normal 3 2 22" xfId="5455" xr:uid="{00000000-0005-0000-0000-0000F34E0000}"/>
    <cellStyle name="Normal 3 2 22 2" xfId="5456" xr:uid="{00000000-0005-0000-0000-0000F44E0000}"/>
    <cellStyle name="Normal 3 2 22 2 2" xfId="11292" xr:uid="{00000000-0005-0000-0000-0000F54E0000}"/>
    <cellStyle name="Normal 3 2 22 2 2 2" xfId="34777" xr:uid="{00000000-0005-0000-0000-0000F64E0000}"/>
    <cellStyle name="Normal 3 2 22 2 2 3" xfId="25458" xr:uid="{00000000-0005-0000-0000-0000F74E0000}"/>
    <cellStyle name="Normal 3 2 22 2 2 4" xfId="48720" xr:uid="{00000000-0005-0000-0000-0000F84E0000}"/>
    <cellStyle name="Normal 3 2 22 2 3" xfId="16023" xr:uid="{00000000-0005-0000-0000-0000F94E0000}"/>
    <cellStyle name="Normal 3 2 22 2 3 2" xfId="30155" xr:uid="{00000000-0005-0000-0000-0000FA4E0000}"/>
    <cellStyle name="Normal 3 2 22 2 3 3" xfId="44050" xr:uid="{00000000-0005-0000-0000-0000FB4E0000}"/>
    <cellStyle name="Normal 3 2 22 2 4" xfId="20836" xr:uid="{00000000-0005-0000-0000-0000FC4E0000}"/>
    <cellStyle name="Normal 3 2 22 2 5" xfId="39468" xr:uid="{00000000-0005-0000-0000-0000FD4E0000}"/>
    <cellStyle name="Normal 3 2 22 3" xfId="11291" xr:uid="{00000000-0005-0000-0000-0000FE4E0000}"/>
    <cellStyle name="Normal 3 2 22 3 2" xfId="34776" xr:uid="{00000000-0005-0000-0000-0000FF4E0000}"/>
    <cellStyle name="Normal 3 2 22 3 3" xfId="25457" xr:uid="{00000000-0005-0000-0000-0000004F0000}"/>
    <cellStyle name="Normal 3 2 22 3 4" xfId="48719" xr:uid="{00000000-0005-0000-0000-0000014F0000}"/>
    <cellStyle name="Normal 3 2 22 4" xfId="16022" xr:uid="{00000000-0005-0000-0000-0000024F0000}"/>
    <cellStyle name="Normal 3 2 22 4 2" xfId="30154" xr:uid="{00000000-0005-0000-0000-0000034F0000}"/>
    <cellStyle name="Normal 3 2 22 4 3" xfId="44049" xr:uid="{00000000-0005-0000-0000-0000044F0000}"/>
    <cellStyle name="Normal 3 2 22 5" xfId="20835" xr:uid="{00000000-0005-0000-0000-0000054F0000}"/>
    <cellStyle name="Normal 3 2 22 6" xfId="39467" xr:uid="{00000000-0005-0000-0000-0000064F0000}"/>
    <cellStyle name="Normal 3 2 23" xfId="5457" xr:uid="{00000000-0005-0000-0000-0000074F0000}"/>
    <cellStyle name="Normal 3 2 23 2" xfId="5458" xr:uid="{00000000-0005-0000-0000-0000084F0000}"/>
    <cellStyle name="Normal 3 2 23 2 2" xfId="11294" xr:uid="{00000000-0005-0000-0000-0000094F0000}"/>
    <cellStyle name="Normal 3 2 23 2 2 2" xfId="34779" xr:uid="{00000000-0005-0000-0000-00000A4F0000}"/>
    <cellStyle name="Normal 3 2 23 2 2 3" xfId="25460" xr:uid="{00000000-0005-0000-0000-00000B4F0000}"/>
    <cellStyle name="Normal 3 2 23 2 2 4" xfId="48722" xr:uid="{00000000-0005-0000-0000-00000C4F0000}"/>
    <cellStyle name="Normal 3 2 23 2 3" xfId="16025" xr:uid="{00000000-0005-0000-0000-00000D4F0000}"/>
    <cellStyle name="Normal 3 2 23 2 3 2" xfId="30157" xr:uid="{00000000-0005-0000-0000-00000E4F0000}"/>
    <cellStyle name="Normal 3 2 23 2 3 3" xfId="44052" xr:uid="{00000000-0005-0000-0000-00000F4F0000}"/>
    <cellStyle name="Normal 3 2 23 2 4" xfId="20838" xr:uid="{00000000-0005-0000-0000-0000104F0000}"/>
    <cellStyle name="Normal 3 2 23 2 5" xfId="39470" xr:uid="{00000000-0005-0000-0000-0000114F0000}"/>
    <cellStyle name="Normal 3 2 23 3" xfId="11293" xr:uid="{00000000-0005-0000-0000-0000124F0000}"/>
    <cellStyle name="Normal 3 2 23 3 2" xfId="34778" xr:uid="{00000000-0005-0000-0000-0000134F0000}"/>
    <cellStyle name="Normal 3 2 23 3 3" xfId="25459" xr:uid="{00000000-0005-0000-0000-0000144F0000}"/>
    <cellStyle name="Normal 3 2 23 3 4" xfId="48721" xr:uid="{00000000-0005-0000-0000-0000154F0000}"/>
    <cellStyle name="Normal 3 2 23 4" xfId="16024" xr:uid="{00000000-0005-0000-0000-0000164F0000}"/>
    <cellStyle name="Normal 3 2 23 4 2" xfId="30156" xr:uid="{00000000-0005-0000-0000-0000174F0000}"/>
    <cellStyle name="Normal 3 2 23 4 3" xfId="44051" xr:uid="{00000000-0005-0000-0000-0000184F0000}"/>
    <cellStyle name="Normal 3 2 23 5" xfId="20837" xr:uid="{00000000-0005-0000-0000-0000194F0000}"/>
    <cellStyle name="Normal 3 2 23 6" xfId="39469" xr:uid="{00000000-0005-0000-0000-00001A4F0000}"/>
    <cellStyle name="Normal 3 2 24" xfId="5459" xr:uid="{00000000-0005-0000-0000-00001B4F0000}"/>
    <cellStyle name="Normal 3 2 24 2" xfId="11295" xr:uid="{00000000-0005-0000-0000-00001C4F0000}"/>
    <cellStyle name="Normal 3 2 24 2 2" xfId="34780" xr:uid="{00000000-0005-0000-0000-00001D4F0000}"/>
    <cellStyle name="Normal 3 2 24 2 3" xfId="25461" xr:uid="{00000000-0005-0000-0000-00001E4F0000}"/>
    <cellStyle name="Normal 3 2 24 2 4" xfId="48723" xr:uid="{00000000-0005-0000-0000-00001F4F0000}"/>
    <cellStyle name="Normal 3 2 24 3" xfId="16026" xr:uid="{00000000-0005-0000-0000-0000204F0000}"/>
    <cellStyle name="Normal 3 2 24 3 2" xfId="30158" xr:uid="{00000000-0005-0000-0000-0000214F0000}"/>
    <cellStyle name="Normal 3 2 24 3 3" xfId="44053" xr:uid="{00000000-0005-0000-0000-0000224F0000}"/>
    <cellStyle name="Normal 3 2 24 4" xfId="20839" xr:uid="{00000000-0005-0000-0000-0000234F0000}"/>
    <cellStyle name="Normal 3 2 24 5" xfId="39471" xr:uid="{00000000-0005-0000-0000-0000244F0000}"/>
    <cellStyle name="Normal 3 2 25" xfId="5460" xr:uid="{00000000-0005-0000-0000-0000254F0000}"/>
    <cellStyle name="Normal 3 2 25 2" xfId="11296" xr:uid="{00000000-0005-0000-0000-0000264F0000}"/>
    <cellStyle name="Normal 3 2 25 2 2" xfId="34781" xr:uid="{00000000-0005-0000-0000-0000274F0000}"/>
    <cellStyle name="Normal 3 2 25 2 3" xfId="25462" xr:uid="{00000000-0005-0000-0000-0000284F0000}"/>
    <cellStyle name="Normal 3 2 25 2 4" xfId="48724" xr:uid="{00000000-0005-0000-0000-0000294F0000}"/>
    <cellStyle name="Normal 3 2 25 3" xfId="16027" xr:uid="{00000000-0005-0000-0000-00002A4F0000}"/>
    <cellStyle name="Normal 3 2 25 3 2" xfId="30159" xr:uid="{00000000-0005-0000-0000-00002B4F0000}"/>
    <cellStyle name="Normal 3 2 25 3 3" xfId="44054" xr:uid="{00000000-0005-0000-0000-00002C4F0000}"/>
    <cellStyle name="Normal 3 2 25 4" xfId="20840" xr:uid="{00000000-0005-0000-0000-00002D4F0000}"/>
    <cellStyle name="Normal 3 2 25 5" xfId="39472" xr:uid="{00000000-0005-0000-0000-00002E4F0000}"/>
    <cellStyle name="Normal 3 2 26" xfId="5461" xr:uid="{00000000-0005-0000-0000-00002F4F0000}"/>
    <cellStyle name="Normal 3 2 26 2" xfId="11297" xr:uid="{00000000-0005-0000-0000-0000304F0000}"/>
    <cellStyle name="Normal 3 2 26 2 2" xfId="34782" xr:uid="{00000000-0005-0000-0000-0000314F0000}"/>
    <cellStyle name="Normal 3 2 26 2 3" xfId="25463" xr:uid="{00000000-0005-0000-0000-0000324F0000}"/>
    <cellStyle name="Normal 3 2 26 2 4" xfId="48725" xr:uid="{00000000-0005-0000-0000-0000334F0000}"/>
    <cellStyle name="Normal 3 2 26 3" xfId="16028" xr:uid="{00000000-0005-0000-0000-0000344F0000}"/>
    <cellStyle name="Normal 3 2 26 3 2" xfId="30160" xr:uid="{00000000-0005-0000-0000-0000354F0000}"/>
    <cellStyle name="Normal 3 2 26 3 3" xfId="44055" xr:uid="{00000000-0005-0000-0000-0000364F0000}"/>
    <cellStyle name="Normal 3 2 26 4" xfId="20841" xr:uid="{00000000-0005-0000-0000-0000374F0000}"/>
    <cellStyle name="Normal 3 2 26 5" xfId="39473" xr:uid="{00000000-0005-0000-0000-0000384F0000}"/>
    <cellStyle name="Normal 3 2 27" xfId="5462" xr:uid="{00000000-0005-0000-0000-0000394F0000}"/>
    <cellStyle name="Normal 3 2 27 2" xfId="11298" xr:uid="{00000000-0005-0000-0000-00003A4F0000}"/>
    <cellStyle name="Normal 3 2 27 2 2" xfId="34783" xr:uid="{00000000-0005-0000-0000-00003B4F0000}"/>
    <cellStyle name="Normal 3 2 27 2 3" xfId="25464" xr:uid="{00000000-0005-0000-0000-00003C4F0000}"/>
    <cellStyle name="Normal 3 2 27 2 4" xfId="48726" xr:uid="{00000000-0005-0000-0000-00003D4F0000}"/>
    <cellStyle name="Normal 3 2 27 3" xfId="16029" xr:uid="{00000000-0005-0000-0000-00003E4F0000}"/>
    <cellStyle name="Normal 3 2 27 3 2" xfId="30161" xr:uid="{00000000-0005-0000-0000-00003F4F0000}"/>
    <cellStyle name="Normal 3 2 27 3 3" xfId="44056" xr:uid="{00000000-0005-0000-0000-0000404F0000}"/>
    <cellStyle name="Normal 3 2 27 4" xfId="20842" xr:uid="{00000000-0005-0000-0000-0000414F0000}"/>
    <cellStyle name="Normal 3 2 27 5" xfId="39474" xr:uid="{00000000-0005-0000-0000-0000424F0000}"/>
    <cellStyle name="Normal 3 2 28" xfId="417" xr:uid="{00000000-0005-0000-0000-0000434F0000}"/>
    <cellStyle name="Normal 3 2 28 2" xfId="9675" xr:uid="{00000000-0005-0000-0000-0000444F0000}"/>
    <cellStyle name="Normal 3 2 28 2 2" xfId="33166" xr:uid="{00000000-0005-0000-0000-0000454F0000}"/>
    <cellStyle name="Normal 3 2 28 2 3" xfId="23851" xr:uid="{00000000-0005-0000-0000-0000464F0000}"/>
    <cellStyle name="Normal 3 2 28 2 4" xfId="47109" xr:uid="{00000000-0005-0000-0000-0000474F0000}"/>
    <cellStyle name="Normal 3 2 28 3" xfId="14436" xr:uid="{00000000-0005-0000-0000-0000484F0000}"/>
    <cellStyle name="Normal 3 2 28 3 2" xfId="28567" xr:uid="{00000000-0005-0000-0000-0000494F0000}"/>
    <cellStyle name="Normal 3 2 28 3 3" xfId="42447" xr:uid="{00000000-0005-0000-0000-00004A4F0000}"/>
    <cellStyle name="Normal 3 2 28 4" xfId="19247" xr:uid="{00000000-0005-0000-0000-00004B4F0000}"/>
    <cellStyle name="Normal 3 2 28 5" xfId="37882" xr:uid="{00000000-0005-0000-0000-00004C4F0000}"/>
    <cellStyle name="Normal 3 2 29" xfId="9484" xr:uid="{00000000-0005-0000-0000-00004D4F0000}"/>
    <cellStyle name="Normal 3 2 29 2" xfId="14153" xr:uid="{00000000-0005-0000-0000-00004E4F0000}"/>
    <cellStyle name="Normal 3 2 29 2 2" xfId="37631" xr:uid="{00000000-0005-0000-0000-00004F4F0000}"/>
    <cellStyle name="Normal 3 2 29 2 3" xfId="28317" xr:uid="{00000000-0005-0000-0000-0000504F0000}"/>
    <cellStyle name="Normal 3 2 29 2 4" xfId="51580" xr:uid="{00000000-0005-0000-0000-0000514F0000}"/>
    <cellStyle name="Normal 3 2 29 3" xfId="18865" xr:uid="{00000000-0005-0000-0000-0000524F0000}"/>
    <cellStyle name="Normal 3 2 29 3 2" xfId="32997" xr:uid="{00000000-0005-0000-0000-0000534F0000}"/>
    <cellStyle name="Normal 3 2 29 3 3" xfId="46899" xr:uid="{00000000-0005-0000-0000-0000544F0000}"/>
    <cellStyle name="Normal 3 2 29 4" xfId="23683" xr:uid="{00000000-0005-0000-0000-0000554F0000}"/>
    <cellStyle name="Normal 3 2 29 5" xfId="42270" xr:uid="{00000000-0005-0000-0000-0000564F0000}"/>
    <cellStyle name="Normal 3 2 3" xfId="5463" xr:uid="{00000000-0005-0000-0000-0000574F0000}"/>
    <cellStyle name="Normal 3 2 3 2" xfId="5464" xr:uid="{00000000-0005-0000-0000-0000584F0000}"/>
    <cellStyle name="Normal 3 2 3 2 2" xfId="11300" xr:uid="{00000000-0005-0000-0000-0000594F0000}"/>
    <cellStyle name="Normal 3 2 3 2 2 2" xfId="34785" xr:uid="{00000000-0005-0000-0000-00005A4F0000}"/>
    <cellStyle name="Normal 3 2 3 2 2 3" xfId="25466" xr:uid="{00000000-0005-0000-0000-00005B4F0000}"/>
    <cellStyle name="Normal 3 2 3 2 2 4" xfId="48728" xr:uid="{00000000-0005-0000-0000-00005C4F0000}"/>
    <cellStyle name="Normal 3 2 3 2 3" xfId="16031" xr:uid="{00000000-0005-0000-0000-00005D4F0000}"/>
    <cellStyle name="Normal 3 2 3 2 3 2" xfId="30163" xr:uid="{00000000-0005-0000-0000-00005E4F0000}"/>
    <cellStyle name="Normal 3 2 3 2 3 3" xfId="44058" xr:uid="{00000000-0005-0000-0000-00005F4F0000}"/>
    <cellStyle name="Normal 3 2 3 2 4" xfId="20844" xr:uid="{00000000-0005-0000-0000-0000604F0000}"/>
    <cellStyle name="Normal 3 2 3 2 5" xfId="39476" xr:uid="{00000000-0005-0000-0000-0000614F0000}"/>
    <cellStyle name="Normal 3 2 3 3" xfId="11299" xr:uid="{00000000-0005-0000-0000-0000624F0000}"/>
    <cellStyle name="Normal 3 2 3 3 2" xfId="34784" xr:uid="{00000000-0005-0000-0000-0000634F0000}"/>
    <cellStyle name="Normal 3 2 3 3 3" xfId="25465" xr:uid="{00000000-0005-0000-0000-0000644F0000}"/>
    <cellStyle name="Normal 3 2 3 3 4" xfId="48727" xr:uid="{00000000-0005-0000-0000-0000654F0000}"/>
    <cellStyle name="Normal 3 2 3 4" xfId="16030" xr:uid="{00000000-0005-0000-0000-0000664F0000}"/>
    <cellStyle name="Normal 3 2 3 4 2" xfId="30162" xr:uid="{00000000-0005-0000-0000-0000674F0000}"/>
    <cellStyle name="Normal 3 2 3 4 3" xfId="44057" xr:uid="{00000000-0005-0000-0000-0000684F0000}"/>
    <cellStyle name="Normal 3 2 3 5" xfId="20843" xr:uid="{00000000-0005-0000-0000-0000694F0000}"/>
    <cellStyle name="Normal 3 2 3 6" xfId="39475" xr:uid="{00000000-0005-0000-0000-00006A4F0000}"/>
    <cellStyle name="Normal 3 2 30" xfId="9524" xr:uid="{00000000-0005-0000-0000-00006B4F0000}"/>
    <cellStyle name="Normal 3 2 30 2" xfId="14190" xr:uid="{00000000-0005-0000-0000-00006C4F0000}"/>
    <cellStyle name="Normal 3 2 30 2 2" xfId="37665" xr:uid="{00000000-0005-0000-0000-00006D4F0000}"/>
    <cellStyle name="Normal 3 2 30 2 3" xfId="28350" xr:uid="{00000000-0005-0000-0000-00006E4F0000}"/>
    <cellStyle name="Normal 3 2 30 2 4" xfId="51617" xr:uid="{00000000-0005-0000-0000-00006F4F0000}"/>
    <cellStyle name="Normal 3 2 30 3" xfId="18898" xr:uid="{00000000-0005-0000-0000-0000704F0000}"/>
    <cellStyle name="Normal 3 2 30 3 2" xfId="33031" xr:uid="{00000000-0005-0000-0000-0000714F0000}"/>
    <cellStyle name="Normal 3 2 30 3 3" xfId="46937" xr:uid="{00000000-0005-0000-0000-0000724F0000}"/>
    <cellStyle name="Normal 3 2 30 4" xfId="23718" xr:uid="{00000000-0005-0000-0000-0000734F0000}"/>
    <cellStyle name="Normal 3 2 30 5" xfId="42303" xr:uid="{00000000-0005-0000-0000-0000744F0000}"/>
    <cellStyle name="Normal 3 2 4" xfId="5465" xr:uid="{00000000-0005-0000-0000-0000754F0000}"/>
    <cellStyle name="Normal 3 2 4 2" xfId="5466" xr:uid="{00000000-0005-0000-0000-0000764F0000}"/>
    <cellStyle name="Normal 3 2 4 2 2" xfId="11302" xr:uid="{00000000-0005-0000-0000-0000774F0000}"/>
    <cellStyle name="Normal 3 2 4 2 2 2" xfId="34787" xr:uid="{00000000-0005-0000-0000-0000784F0000}"/>
    <cellStyle name="Normal 3 2 4 2 2 3" xfId="25468" xr:uid="{00000000-0005-0000-0000-0000794F0000}"/>
    <cellStyle name="Normal 3 2 4 2 2 4" xfId="48730" xr:uid="{00000000-0005-0000-0000-00007A4F0000}"/>
    <cellStyle name="Normal 3 2 4 2 3" xfId="16033" xr:uid="{00000000-0005-0000-0000-00007B4F0000}"/>
    <cellStyle name="Normal 3 2 4 2 3 2" xfId="30165" xr:uid="{00000000-0005-0000-0000-00007C4F0000}"/>
    <cellStyle name="Normal 3 2 4 2 3 3" xfId="44060" xr:uid="{00000000-0005-0000-0000-00007D4F0000}"/>
    <cellStyle name="Normal 3 2 4 2 4" xfId="20846" xr:uid="{00000000-0005-0000-0000-00007E4F0000}"/>
    <cellStyle name="Normal 3 2 4 2 5" xfId="39478" xr:uid="{00000000-0005-0000-0000-00007F4F0000}"/>
    <cellStyle name="Normal 3 2 4 3" xfId="11301" xr:uid="{00000000-0005-0000-0000-0000804F0000}"/>
    <cellStyle name="Normal 3 2 4 3 2" xfId="34786" xr:uid="{00000000-0005-0000-0000-0000814F0000}"/>
    <cellStyle name="Normal 3 2 4 3 3" xfId="25467" xr:uid="{00000000-0005-0000-0000-0000824F0000}"/>
    <cellStyle name="Normal 3 2 4 3 4" xfId="48729" xr:uid="{00000000-0005-0000-0000-0000834F0000}"/>
    <cellStyle name="Normal 3 2 4 4" xfId="16032" xr:uid="{00000000-0005-0000-0000-0000844F0000}"/>
    <cellStyle name="Normal 3 2 4 4 2" xfId="30164" xr:uid="{00000000-0005-0000-0000-0000854F0000}"/>
    <cellStyle name="Normal 3 2 4 4 3" xfId="44059" xr:uid="{00000000-0005-0000-0000-0000864F0000}"/>
    <cellStyle name="Normal 3 2 4 5" xfId="20845" xr:uid="{00000000-0005-0000-0000-0000874F0000}"/>
    <cellStyle name="Normal 3 2 4 6" xfId="39477" xr:uid="{00000000-0005-0000-0000-0000884F0000}"/>
    <cellStyle name="Normal 3 2 5" xfId="5467" xr:uid="{00000000-0005-0000-0000-0000894F0000}"/>
    <cellStyle name="Normal 3 2 5 2" xfId="5468" xr:uid="{00000000-0005-0000-0000-00008A4F0000}"/>
    <cellStyle name="Normal 3 2 5 2 2" xfId="11304" xr:uid="{00000000-0005-0000-0000-00008B4F0000}"/>
    <cellStyle name="Normal 3 2 5 2 2 2" xfId="34789" xr:uid="{00000000-0005-0000-0000-00008C4F0000}"/>
    <cellStyle name="Normal 3 2 5 2 2 3" xfId="25470" xr:uid="{00000000-0005-0000-0000-00008D4F0000}"/>
    <cellStyle name="Normal 3 2 5 2 2 4" xfId="48732" xr:uid="{00000000-0005-0000-0000-00008E4F0000}"/>
    <cellStyle name="Normal 3 2 5 2 3" xfId="16035" xr:uid="{00000000-0005-0000-0000-00008F4F0000}"/>
    <cellStyle name="Normal 3 2 5 2 3 2" xfId="30167" xr:uid="{00000000-0005-0000-0000-0000904F0000}"/>
    <cellStyle name="Normal 3 2 5 2 3 3" xfId="44062" xr:uid="{00000000-0005-0000-0000-0000914F0000}"/>
    <cellStyle name="Normal 3 2 5 2 4" xfId="20848" xr:uid="{00000000-0005-0000-0000-0000924F0000}"/>
    <cellStyle name="Normal 3 2 5 2 5" xfId="39480" xr:uid="{00000000-0005-0000-0000-0000934F0000}"/>
    <cellStyle name="Normal 3 2 5 3" xfId="11303" xr:uid="{00000000-0005-0000-0000-0000944F0000}"/>
    <cellStyle name="Normal 3 2 5 3 2" xfId="34788" xr:uid="{00000000-0005-0000-0000-0000954F0000}"/>
    <cellStyle name="Normal 3 2 5 3 3" xfId="25469" xr:uid="{00000000-0005-0000-0000-0000964F0000}"/>
    <cellStyle name="Normal 3 2 5 3 4" xfId="48731" xr:uid="{00000000-0005-0000-0000-0000974F0000}"/>
    <cellStyle name="Normal 3 2 5 4" xfId="16034" xr:uid="{00000000-0005-0000-0000-0000984F0000}"/>
    <cellStyle name="Normal 3 2 5 4 2" xfId="30166" xr:uid="{00000000-0005-0000-0000-0000994F0000}"/>
    <cellStyle name="Normal 3 2 5 4 3" xfId="44061" xr:uid="{00000000-0005-0000-0000-00009A4F0000}"/>
    <cellStyle name="Normal 3 2 5 5" xfId="20847" xr:uid="{00000000-0005-0000-0000-00009B4F0000}"/>
    <cellStyle name="Normal 3 2 5 6" xfId="39479" xr:uid="{00000000-0005-0000-0000-00009C4F0000}"/>
    <cellStyle name="Normal 3 2 6" xfId="5469" xr:uid="{00000000-0005-0000-0000-00009D4F0000}"/>
    <cellStyle name="Normal 3 2 6 2" xfId="5470" xr:uid="{00000000-0005-0000-0000-00009E4F0000}"/>
    <cellStyle name="Normal 3 2 6 2 2" xfId="11306" xr:uid="{00000000-0005-0000-0000-00009F4F0000}"/>
    <cellStyle name="Normal 3 2 6 2 2 2" xfId="34791" xr:uid="{00000000-0005-0000-0000-0000A04F0000}"/>
    <cellStyle name="Normal 3 2 6 2 2 3" xfId="25472" xr:uid="{00000000-0005-0000-0000-0000A14F0000}"/>
    <cellStyle name="Normal 3 2 6 2 2 4" xfId="48734" xr:uid="{00000000-0005-0000-0000-0000A24F0000}"/>
    <cellStyle name="Normal 3 2 6 2 3" xfId="16037" xr:uid="{00000000-0005-0000-0000-0000A34F0000}"/>
    <cellStyle name="Normal 3 2 6 2 3 2" xfId="30169" xr:uid="{00000000-0005-0000-0000-0000A44F0000}"/>
    <cellStyle name="Normal 3 2 6 2 3 3" xfId="44064" xr:uid="{00000000-0005-0000-0000-0000A54F0000}"/>
    <cellStyle name="Normal 3 2 6 2 4" xfId="20850" xr:uid="{00000000-0005-0000-0000-0000A64F0000}"/>
    <cellStyle name="Normal 3 2 6 2 5" xfId="39482" xr:uid="{00000000-0005-0000-0000-0000A74F0000}"/>
    <cellStyle name="Normal 3 2 6 3" xfId="11305" xr:uid="{00000000-0005-0000-0000-0000A84F0000}"/>
    <cellStyle name="Normal 3 2 6 3 2" xfId="34790" xr:uid="{00000000-0005-0000-0000-0000A94F0000}"/>
    <cellStyle name="Normal 3 2 6 3 3" xfId="25471" xr:uid="{00000000-0005-0000-0000-0000AA4F0000}"/>
    <cellStyle name="Normal 3 2 6 3 4" xfId="48733" xr:uid="{00000000-0005-0000-0000-0000AB4F0000}"/>
    <cellStyle name="Normal 3 2 6 4" xfId="16036" xr:uid="{00000000-0005-0000-0000-0000AC4F0000}"/>
    <cellStyle name="Normal 3 2 6 4 2" xfId="30168" xr:uid="{00000000-0005-0000-0000-0000AD4F0000}"/>
    <cellStyle name="Normal 3 2 6 4 3" xfId="44063" xr:uid="{00000000-0005-0000-0000-0000AE4F0000}"/>
    <cellStyle name="Normal 3 2 6 5" xfId="20849" xr:uid="{00000000-0005-0000-0000-0000AF4F0000}"/>
    <cellStyle name="Normal 3 2 6 6" xfId="39481" xr:uid="{00000000-0005-0000-0000-0000B04F0000}"/>
    <cellStyle name="Normal 3 2 7" xfId="5471" xr:uid="{00000000-0005-0000-0000-0000B14F0000}"/>
    <cellStyle name="Normal 3 2 7 2" xfId="5472" xr:uid="{00000000-0005-0000-0000-0000B24F0000}"/>
    <cellStyle name="Normal 3 2 7 2 2" xfId="11308" xr:uid="{00000000-0005-0000-0000-0000B34F0000}"/>
    <cellStyle name="Normal 3 2 7 2 2 2" xfId="34793" xr:uid="{00000000-0005-0000-0000-0000B44F0000}"/>
    <cellStyle name="Normal 3 2 7 2 2 3" xfId="25474" xr:uid="{00000000-0005-0000-0000-0000B54F0000}"/>
    <cellStyle name="Normal 3 2 7 2 2 4" xfId="48736" xr:uid="{00000000-0005-0000-0000-0000B64F0000}"/>
    <cellStyle name="Normal 3 2 7 2 3" xfId="16039" xr:uid="{00000000-0005-0000-0000-0000B74F0000}"/>
    <cellStyle name="Normal 3 2 7 2 3 2" xfId="30171" xr:uid="{00000000-0005-0000-0000-0000B84F0000}"/>
    <cellStyle name="Normal 3 2 7 2 3 3" xfId="44066" xr:uid="{00000000-0005-0000-0000-0000B94F0000}"/>
    <cellStyle name="Normal 3 2 7 2 4" xfId="20852" xr:uid="{00000000-0005-0000-0000-0000BA4F0000}"/>
    <cellStyle name="Normal 3 2 7 2 5" xfId="39484" xr:uid="{00000000-0005-0000-0000-0000BB4F0000}"/>
    <cellStyle name="Normal 3 2 7 3" xfId="11307" xr:uid="{00000000-0005-0000-0000-0000BC4F0000}"/>
    <cellStyle name="Normal 3 2 7 3 2" xfId="34792" xr:uid="{00000000-0005-0000-0000-0000BD4F0000}"/>
    <cellStyle name="Normal 3 2 7 3 3" xfId="25473" xr:uid="{00000000-0005-0000-0000-0000BE4F0000}"/>
    <cellStyle name="Normal 3 2 7 3 4" xfId="48735" xr:uid="{00000000-0005-0000-0000-0000BF4F0000}"/>
    <cellStyle name="Normal 3 2 7 4" xfId="16038" xr:uid="{00000000-0005-0000-0000-0000C04F0000}"/>
    <cellStyle name="Normal 3 2 7 4 2" xfId="30170" xr:uid="{00000000-0005-0000-0000-0000C14F0000}"/>
    <cellStyle name="Normal 3 2 7 4 3" xfId="44065" xr:uid="{00000000-0005-0000-0000-0000C24F0000}"/>
    <cellStyle name="Normal 3 2 7 5" xfId="20851" xr:uid="{00000000-0005-0000-0000-0000C34F0000}"/>
    <cellStyle name="Normal 3 2 7 6" xfId="39483" xr:uid="{00000000-0005-0000-0000-0000C44F0000}"/>
    <cellStyle name="Normal 3 2 8" xfId="5473" xr:uid="{00000000-0005-0000-0000-0000C54F0000}"/>
    <cellStyle name="Normal 3 2 8 2" xfId="5474" xr:uid="{00000000-0005-0000-0000-0000C64F0000}"/>
    <cellStyle name="Normal 3 2 8 2 2" xfId="11310" xr:uid="{00000000-0005-0000-0000-0000C74F0000}"/>
    <cellStyle name="Normal 3 2 8 2 2 2" xfId="34795" xr:uid="{00000000-0005-0000-0000-0000C84F0000}"/>
    <cellStyle name="Normal 3 2 8 2 2 3" xfId="25476" xr:uid="{00000000-0005-0000-0000-0000C94F0000}"/>
    <cellStyle name="Normal 3 2 8 2 2 4" xfId="48738" xr:uid="{00000000-0005-0000-0000-0000CA4F0000}"/>
    <cellStyle name="Normal 3 2 8 2 3" xfId="16041" xr:uid="{00000000-0005-0000-0000-0000CB4F0000}"/>
    <cellStyle name="Normal 3 2 8 2 3 2" xfId="30173" xr:uid="{00000000-0005-0000-0000-0000CC4F0000}"/>
    <cellStyle name="Normal 3 2 8 2 3 3" xfId="44068" xr:uid="{00000000-0005-0000-0000-0000CD4F0000}"/>
    <cellStyle name="Normal 3 2 8 2 4" xfId="20854" xr:uid="{00000000-0005-0000-0000-0000CE4F0000}"/>
    <cellStyle name="Normal 3 2 8 2 5" xfId="39486" xr:uid="{00000000-0005-0000-0000-0000CF4F0000}"/>
    <cellStyle name="Normal 3 2 8 3" xfId="11309" xr:uid="{00000000-0005-0000-0000-0000D04F0000}"/>
    <cellStyle name="Normal 3 2 8 3 2" xfId="34794" xr:uid="{00000000-0005-0000-0000-0000D14F0000}"/>
    <cellStyle name="Normal 3 2 8 3 3" xfId="25475" xr:uid="{00000000-0005-0000-0000-0000D24F0000}"/>
    <cellStyle name="Normal 3 2 8 3 4" xfId="48737" xr:uid="{00000000-0005-0000-0000-0000D34F0000}"/>
    <cellStyle name="Normal 3 2 8 4" xfId="16040" xr:uid="{00000000-0005-0000-0000-0000D44F0000}"/>
    <cellStyle name="Normal 3 2 8 4 2" xfId="30172" xr:uid="{00000000-0005-0000-0000-0000D54F0000}"/>
    <cellStyle name="Normal 3 2 8 4 3" xfId="44067" xr:uid="{00000000-0005-0000-0000-0000D64F0000}"/>
    <cellStyle name="Normal 3 2 8 5" xfId="20853" xr:uid="{00000000-0005-0000-0000-0000D74F0000}"/>
    <cellStyle name="Normal 3 2 8 6" xfId="39485" xr:uid="{00000000-0005-0000-0000-0000D84F0000}"/>
    <cellStyle name="Normal 3 2 9" xfId="5475" xr:uid="{00000000-0005-0000-0000-0000D94F0000}"/>
    <cellStyle name="Normal 3 2 9 2" xfId="5476" xr:uid="{00000000-0005-0000-0000-0000DA4F0000}"/>
    <cellStyle name="Normal 3 2 9 2 2" xfId="11312" xr:uid="{00000000-0005-0000-0000-0000DB4F0000}"/>
    <cellStyle name="Normal 3 2 9 2 2 2" xfId="34797" xr:uid="{00000000-0005-0000-0000-0000DC4F0000}"/>
    <cellStyle name="Normal 3 2 9 2 2 3" xfId="25478" xr:uid="{00000000-0005-0000-0000-0000DD4F0000}"/>
    <cellStyle name="Normal 3 2 9 2 2 4" xfId="48740" xr:uid="{00000000-0005-0000-0000-0000DE4F0000}"/>
    <cellStyle name="Normal 3 2 9 2 3" xfId="16043" xr:uid="{00000000-0005-0000-0000-0000DF4F0000}"/>
    <cellStyle name="Normal 3 2 9 2 3 2" xfId="30175" xr:uid="{00000000-0005-0000-0000-0000E04F0000}"/>
    <cellStyle name="Normal 3 2 9 2 3 3" xfId="44070" xr:uid="{00000000-0005-0000-0000-0000E14F0000}"/>
    <cellStyle name="Normal 3 2 9 2 4" xfId="20856" xr:uid="{00000000-0005-0000-0000-0000E24F0000}"/>
    <cellStyle name="Normal 3 2 9 2 5" xfId="39488" xr:uid="{00000000-0005-0000-0000-0000E34F0000}"/>
    <cellStyle name="Normal 3 2 9 3" xfId="11311" xr:uid="{00000000-0005-0000-0000-0000E44F0000}"/>
    <cellStyle name="Normal 3 2 9 3 2" xfId="34796" xr:uid="{00000000-0005-0000-0000-0000E54F0000}"/>
    <cellStyle name="Normal 3 2 9 3 3" xfId="25477" xr:uid="{00000000-0005-0000-0000-0000E64F0000}"/>
    <cellStyle name="Normal 3 2 9 3 4" xfId="48739" xr:uid="{00000000-0005-0000-0000-0000E74F0000}"/>
    <cellStyle name="Normal 3 2 9 4" xfId="16042" xr:uid="{00000000-0005-0000-0000-0000E84F0000}"/>
    <cellStyle name="Normal 3 2 9 4 2" xfId="30174" xr:uid="{00000000-0005-0000-0000-0000E94F0000}"/>
    <cellStyle name="Normal 3 2 9 4 3" xfId="44069" xr:uid="{00000000-0005-0000-0000-0000EA4F0000}"/>
    <cellStyle name="Normal 3 2 9 5" xfId="20855" xr:uid="{00000000-0005-0000-0000-0000EB4F0000}"/>
    <cellStyle name="Normal 3 2 9 6" xfId="39487" xr:uid="{00000000-0005-0000-0000-0000EC4F0000}"/>
    <cellStyle name="Normal 3 20" xfId="5477" xr:uid="{00000000-0005-0000-0000-0000ED4F0000}"/>
    <cellStyle name="Normal 3 20 2" xfId="5478" xr:uid="{00000000-0005-0000-0000-0000EE4F0000}"/>
    <cellStyle name="Normal 3 20 2 2" xfId="11314" xr:uid="{00000000-0005-0000-0000-0000EF4F0000}"/>
    <cellStyle name="Normal 3 20 2 2 2" xfId="34799" xr:uid="{00000000-0005-0000-0000-0000F04F0000}"/>
    <cellStyle name="Normal 3 20 2 2 3" xfId="25480" xr:uid="{00000000-0005-0000-0000-0000F14F0000}"/>
    <cellStyle name="Normal 3 20 2 2 4" xfId="48742" xr:uid="{00000000-0005-0000-0000-0000F24F0000}"/>
    <cellStyle name="Normal 3 20 2 3" xfId="16045" xr:uid="{00000000-0005-0000-0000-0000F34F0000}"/>
    <cellStyle name="Normal 3 20 2 3 2" xfId="30177" xr:uid="{00000000-0005-0000-0000-0000F44F0000}"/>
    <cellStyle name="Normal 3 20 2 3 3" xfId="44072" xr:uid="{00000000-0005-0000-0000-0000F54F0000}"/>
    <cellStyle name="Normal 3 20 2 4" xfId="20858" xr:uid="{00000000-0005-0000-0000-0000F64F0000}"/>
    <cellStyle name="Normal 3 20 2 5" xfId="39490" xr:uid="{00000000-0005-0000-0000-0000F74F0000}"/>
    <cellStyle name="Normal 3 20 3" xfId="11313" xr:uid="{00000000-0005-0000-0000-0000F84F0000}"/>
    <cellStyle name="Normal 3 20 3 2" xfId="34798" xr:uid="{00000000-0005-0000-0000-0000F94F0000}"/>
    <cellStyle name="Normal 3 20 3 3" xfId="25479" xr:uid="{00000000-0005-0000-0000-0000FA4F0000}"/>
    <cellStyle name="Normal 3 20 3 4" xfId="48741" xr:uid="{00000000-0005-0000-0000-0000FB4F0000}"/>
    <cellStyle name="Normal 3 20 4" xfId="16044" xr:uid="{00000000-0005-0000-0000-0000FC4F0000}"/>
    <cellStyle name="Normal 3 20 4 2" xfId="30176" xr:uid="{00000000-0005-0000-0000-0000FD4F0000}"/>
    <cellStyle name="Normal 3 20 4 3" xfId="44071" xr:uid="{00000000-0005-0000-0000-0000FE4F0000}"/>
    <cellStyle name="Normal 3 20 5" xfId="20857" xr:uid="{00000000-0005-0000-0000-0000FF4F0000}"/>
    <cellStyle name="Normal 3 20 6" xfId="39489" xr:uid="{00000000-0005-0000-0000-000000500000}"/>
    <cellStyle name="Normal 3 21" xfId="5479" xr:uid="{00000000-0005-0000-0000-000001500000}"/>
    <cellStyle name="Normal 3 21 2" xfId="5480" xr:uid="{00000000-0005-0000-0000-000002500000}"/>
    <cellStyle name="Normal 3 21 2 2" xfId="11316" xr:uid="{00000000-0005-0000-0000-000003500000}"/>
    <cellStyle name="Normal 3 21 2 2 2" xfId="34801" xr:uid="{00000000-0005-0000-0000-000004500000}"/>
    <cellStyle name="Normal 3 21 2 2 3" xfId="25482" xr:uid="{00000000-0005-0000-0000-000005500000}"/>
    <cellStyle name="Normal 3 21 2 2 4" xfId="48744" xr:uid="{00000000-0005-0000-0000-000006500000}"/>
    <cellStyle name="Normal 3 21 2 3" xfId="16047" xr:uid="{00000000-0005-0000-0000-000007500000}"/>
    <cellStyle name="Normal 3 21 2 3 2" xfId="30179" xr:uid="{00000000-0005-0000-0000-000008500000}"/>
    <cellStyle name="Normal 3 21 2 3 3" xfId="44074" xr:uid="{00000000-0005-0000-0000-000009500000}"/>
    <cellStyle name="Normal 3 21 2 4" xfId="20860" xr:uid="{00000000-0005-0000-0000-00000A500000}"/>
    <cellStyle name="Normal 3 21 2 5" xfId="39492" xr:uid="{00000000-0005-0000-0000-00000B500000}"/>
    <cellStyle name="Normal 3 21 3" xfId="11315" xr:uid="{00000000-0005-0000-0000-00000C500000}"/>
    <cellStyle name="Normal 3 21 3 2" xfId="34800" xr:uid="{00000000-0005-0000-0000-00000D500000}"/>
    <cellStyle name="Normal 3 21 3 3" xfId="25481" xr:uid="{00000000-0005-0000-0000-00000E500000}"/>
    <cellStyle name="Normal 3 21 3 4" xfId="48743" xr:uid="{00000000-0005-0000-0000-00000F500000}"/>
    <cellStyle name="Normal 3 21 4" xfId="16046" xr:uid="{00000000-0005-0000-0000-000010500000}"/>
    <cellStyle name="Normal 3 21 4 2" xfId="30178" xr:uid="{00000000-0005-0000-0000-000011500000}"/>
    <cellStyle name="Normal 3 21 4 3" xfId="44073" xr:uid="{00000000-0005-0000-0000-000012500000}"/>
    <cellStyle name="Normal 3 21 5" xfId="20859" xr:uid="{00000000-0005-0000-0000-000013500000}"/>
    <cellStyle name="Normal 3 21 6" xfId="39491" xr:uid="{00000000-0005-0000-0000-000014500000}"/>
    <cellStyle name="Normal 3 22" xfId="5481" xr:uid="{00000000-0005-0000-0000-000015500000}"/>
    <cellStyle name="Normal 3 22 2" xfId="5482" xr:uid="{00000000-0005-0000-0000-000016500000}"/>
    <cellStyle name="Normal 3 22 2 2" xfId="11318" xr:uid="{00000000-0005-0000-0000-000017500000}"/>
    <cellStyle name="Normal 3 22 2 2 2" xfId="34803" xr:uid="{00000000-0005-0000-0000-000018500000}"/>
    <cellStyle name="Normal 3 22 2 2 3" xfId="25484" xr:uid="{00000000-0005-0000-0000-000019500000}"/>
    <cellStyle name="Normal 3 22 2 2 4" xfId="48746" xr:uid="{00000000-0005-0000-0000-00001A500000}"/>
    <cellStyle name="Normal 3 22 2 3" xfId="16049" xr:uid="{00000000-0005-0000-0000-00001B500000}"/>
    <cellStyle name="Normal 3 22 2 3 2" xfId="30181" xr:uid="{00000000-0005-0000-0000-00001C500000}"/>
    <cellStyle name="Normal 3 22 2 3 3" xfId="44076" xr:uid="{00000000-0005-0000-0000-00001D500000}"/>
    <cellStyle name="Normal 3 22 2 4" xfId="20862" xr:uid="{00000000-0005-0000-0000-00001E500000}"/>
    <cellStyle name="Normal 3 22 2 5" xfId="39494" xr:uid="{00000000-0005-0000-0000-00001F500000}"/>
    <cellStyle name="Normal 3 22 3" xfId="11317" xr:uid="{00000000-0005-0000-0000-000020500000}"/>
    <cellStyle name="Normal 3 22 3 2" xfId="34802" xr:uid="{00000000-0005-0000-0000-000021500000}"/>
    <cellStyle name="Normal 3 22 3 3" xfId="25483" xr:uid="{00000000-0005-0000-0000-000022500000}"/>
    <cellStyle name="Normal 3 22 3 4" xfId="48745" xr:uid="{00000000-0005-0000-0000-000023500000}"/>
    <cellStyle name="Normal 3 22 4" xfId="16048" xr:uid="{00000000-0005-0000-0000-000024500000}"/>
    <cellStyle name="Normal 3 22 4 2" xfId="30180" xr:uid="{00000000-0005-0000-0000-000025500000}"/>
    <cellStyle name="Normal 3 22 4 3" xfId="44075" xr:uid="{00000000-0005-0000-0000-000026500000}"/>
    <cellStyle name="Normal 3 22 5" xfId="20861" xr:uid="{00000000-0005-0000-0000-000027500000}"/>
    <cellStyle name="Normal 3 22 6" xfId="39493" xr:uid="{00000000-0005-0000-0000-000028500000}"/>
    <cellStyle name="Normal 3 23" xfId="5483" xr:uid="{00000000-0005-0000-0000-000029500000}"/>
    <cellStyle name="Normal 3 23 2" xfId="5484" xr:uid="{00000000-0005-0000-0000-00002A500000}"/>
    <cellStyle name="Normal 3 23 2 2" xfId="11320" xr:uid="{00000000-0005-0000-0000-00002B500000}"/>
    <cellStyle name="Normal 3 23 2 2 2" xfId="34805" xr:uid="{00000000-0005-0000-0000-00002C500000}"/>
    <cellStyle name="Normal 3 23 2 2 3" xfId="25486" xr:uid="{00000000-0005-0000-0000-00002D500000}"/>
    <cellStyle name="Normal 3 23 2 2 4" xfId="48748" xr:uid="{00000000-0005-0000-0000-00002E500000}"/>
    <cellStyle name="Normal 3 23 2 3" xfId="16051" xr:uid="{00000000-0005-0000-0000-00002F500000}"/>
    <cellStyle name="Normal 3 23 2 3 2" xfId="30183" xr:uid="{00000000-0005-0000-0000-000030500000}"/>
    <cellStyle name="Normal 3 23 2 3 3" xfId="44078" xr:uid="{00000000-0005-0000-0000-000031500000}"/>
    <cellStyle name="Normal 3 23 2 4" xfId="20864" xr:uid="{00000000-0005-0000-0000-000032500000}"/>
    <cellStyle name="Normal 3 23 2 5" xfId="39496" xr:uid="{00000000-0005-0000-0000-000033500000}"/>
    <cellStyle name="Normal 3 23 3" xfId="11319" xr:uid="{00000000-0005-0000-0000-000034500000}"/>
    <cellStyle name="Normal 3 23 3 2" xfId="34804" xr:uid="{00000000-0005-0000-0000-000035500000}"/>
    <cellStyle name="Normal 3 23 3 3" xfId="25485" xr:uid="{00000000-0005-0000-0000-000036500000}"/>
    <cellStyle name="Normal 3 23 3 4" xfId="48747" xr:uid="{00000000-0005-0000-0000-000037500000}"/>
    <cellStyle name="Normal 3 23 4" xfId="16050" xr:uid="{00000000-0005-0000-0000-000038500000}"/>
    <cellStyle name="Normal 3 23 4 2" xfId="30182" xr:uid="{00000000-0005-0000-0000-000039500000}"/>
    <cellStyle name="Normal 3 23 4 3" xfId="44077" xr:uid="{00000000-0005-0000-0000-00003A500000}"/>
    <cellStyle name="Normal 3 23 5" xfId="20863" xr:uid="{00000000-0005-0000-0000-00003B500000}"/>
    <cellStyle name="Normal 3 23 6" xfId="39495" xr:uid="{00000000-0005-0000-0000-00003C500000}"/>
    <cellStyle name="Normal 3 24" xfId="5485" xr:uid="{00000000-0005-0000-0000-00003D500000}"/>
    <cellStyle name="Normal 3 24 2" xfId="5486" xr:uid="{00000000-0005-0000-0000-00003E500000}"/>
    <cellStyle name="Normal 3 24 2 2" xfId="11322" xr:uid="{00000000-0005-0000-0000-00003F500000}"/>
    <cellStyle name="Normal 3 24 2 2 2" xfId="34807" xr:uid="{00000000-0005-0000-0000-000040500000}"/>
    <cellStyle name="Normal 3 24 2 2 3" xfId="25488" xr:uid="{00000000-0005-0000-0000-000041500000}"/>
    <cellStyle name="Normal 3 24 2 2 4" xfId="48750" xr:uid="{00000000-0005-0000-0000-000042500000}"/>
    <cellStyle name="Normal 3 24 2 3" xfId="16053" xr:uid="{00000000-0005-0000-0000-000043500000}"/>
    <cellStyle name="Normal 3 24 2 3 2" xfId="30185" xr:uid="{00000000-0005-0000-0000-000044500000}"/>
    <cellStyle name="Normal 3 24 2 3 3" xfId="44080" xr:uid="{00000000-0005-0000-0000-000045500000}"/>
    <cellStyle name="Normal 3 24 2 4" xfId="20866" xr:uid="{00000000-0005-0000-0000-000046500000}"/>
    <cellStyle name="Normal 3 24 2 5" xfId="39498" xr:uid="{00000000-0005-0000-0000-000047500000}"/>
    <cellStyle name="Normal 3 24 3" xfId="11321" xr:uid="{00000000-0005-0000-0000-000048500000}"/>
    <cellStyle name="Normal 3 24 3 2" xfId="34806" xr:uid="{00000000-0005-0000-0000-000049500000}"/>
    <cellStyle name="Normal 3 24 3 3" xfId="25487" xr:uid="{00000000-0005-0000-0000-00004A500000}"/>
    <cellStyle name="Normal 3 24 3 4" xfId="48749" xr:uid="{00000000-0005-0000-0000-00004B500000}"/>
    <cellStyle name="Normal 3 24 4" xfId="16052" xr:uid="{00000000-0005-0000-0000-00004C500000}"/>
    <cellStyle name="Normal 3 24 4 2" xfId="30184" xr:uid="{00000000-0005-0000-0000-00004D500000}"/>
    <cellStyle name="Normal 3 24 4 3" xfId="44079" xr:uid="{00000000-0005-0000-0000-00004E500000}"/>
    <cellStyle name="Normal 3 24 5" xfId="20865" xr:uid="{00000000-0005-0000-0000-00004F500000}"/>
    <cellStyle name="Normal 3 24 6" xfId="39497" xr:uid="{00000000-0005-0000-0000-000050500000}"/>
    <cellStyle name="Normal 3 25" xfId="5487" xr:uid="{00000000-0005-0000-0000-000051500000}"/>
    <cellStyle name="Normal 3 25 2" xfId="5488" xr:uid="{00000000-0005-0000-0000-000052500000}"/>
    <cellStyle name="Normal 3 25 2 2" xfId="11324" xr:uid="{00000000-0005-0000-0000-000053500000}"/>
    <cellStyle name="Normal 3 25 2 2 2" xfId="34809" xr:uid="{00000000-0005-0000-0000-000054500000}"/>
    <cellStyle name="Normal 3 25 2 2 3" xfId="25490" xr:uid="{00000000-0005-0000-0000-000055500000}"/>
    <cellStyle name="Normal 3 25 2 2 4" xfId="48752" xr:uid="{00000000-0005-0000-0000-000056500000}"/>
    <cellStyle name="Normal 3 25 2 3" xfId="16055" xr:uid="{00000000-0005-0000-0000-000057500000}"/>
    <cellStyle name="Normal 3 25 2 3 2" xfId="30187" xr:uid="{00000000-0005-0000-0000-000058500000}"/>
    <cellStyle name="Normal 3 25 2 3 3" xfId="44082" xr:uid="{00000000-0005-0000-0000-000059500000}"/>
    <cellStyle name="Normal 3 25 2 4" xfId="20868" xr:uid="{00000000-0005-0000-0000-00005A500000}"/>
    <cellStyle name="Normal 3 25 2 5" xfId="39500" xr:uid="{00000000-0005-0000-0000-00005B500000}"/>
    <cellStyle name="Normal 3 25 3" xfId="11323" xr:uid="{00000000-0005-0000-0000-00005C500000}"/>
    <cellStyle name="Normal 3 25 3 2" xfId="34808" xr:uid="{00000000-0005-0000-0000-00005D500000}"/>
    <cellStyle name="Normal 3 25 3 3" xfId="25489" xr:uid="{00000000-0005-0000-0000-00005E500000}"/>
    <cellStyle name="Normal 3 25 3 4" xfId="48751" xr:uid="{00000000-0005-0000-0000-00005F500000}"/>
    <cellStyle name="Normal 3 25 4" xfId="16054" xr:uid="{00000000-0005-0000-0000-000060500000}"/>
    <cellStyle name="Normal 3 25 4 2" xfId="30186" xr:uid="{00000000-0005-0000-0000-000061500000}"/>
    <cellStyle name="Normal 3 25 4 3" xfId="44081" xr:uid="{00000000-0005-0000-0000-000062500000}"/>
    <cellStyle name="Normal 3 25 5" xfId="20867" xr:uid="{00000000-0005-0000-0000-000063500000}"/>
    <cellStyle name="Normal 3 25 6" xfId="39499" xr:uid="{00000000-0005-0000-0000-000064500000}"/>
    <cellStyle name="Normal 3 26" xfId="5489" xr:uid="{00000000-0005-0000-0000-000065500000}"/>
    <cellStyle name="Normal 3 26 2" xfId="5490" xr:uid="{00000000-0005-0000-0000-000066500000}"/>
    <cellStyle name="Normal 3 26 2 2" xfId="11326" xr:uid="{00000000-0005-0000-0000-000067500000}"/>
    <cellStyle name="Normal 3 26 2 2 2" xfId="34811" xr:uid="{00000000-0005-0000-0000-000068500000}"/>
    <cellStyle name="Normal 3 26 2 2 3" xfId="25492" xr:uid="{00000000-0005-0000-0000-000069500000}"/>
    <cellStyle name="Normal 3 26 2 2 4" xfId="48754" xr:uid="{00000000-0005-0000-0000-00006A500000}"/>
    <cellStyle name="Normal 3 26 2 3" xfId="16057" xr:uid="{00000000-0005-0000-0000-00006B500000}"/>
    <cellStyle name="Normal 3 26 2 3 2" xfId="30189" xr:uid="{00000000-0005-0000-0000-00006C500000}"/>
    <cellStyle name="Normal 3 26 2 3 3" xfId="44084" xr:uid="{00000000-0005-0000-0000-00006D500000}"/>
    <cellStyle name="Normal 3 26 2 4" xfId="20870" xr:uid="{00000000-0005-0000-0000-00006E500000}"/>
    <cellStyle name="Normal 3 26 2 5" xfId="39502" xr:uid="{00000000-0005-0000-0000-00006F500000}"/>
    <cellStyle name="Normal 3 26 3" xfId="11325" xr:uid="{00000000-0005-0000-0000-000070500000}"/>
    <cellStyle name="Normal 3 26 3 2" xfId="34810" xr:uid="{00000000-0005-0000-0000-000071500000}"/>
    <cellStyle name="Normal 3 26 3 3" xfId="25491" xr:uid="{00000000-0005-0000-0000-000072500000}"/>
    <cellStyle name="Normal 3 26 3 4" xfId="48753" xr:uid="{00000000-0005-0000-0000-000073500000}"/>
    <cellStyle name="Normal 3 26 4" xfId="16056" xr:uid="{00000000-0005-0000-0000-000074500000}"/>
    <cellStyle name="Normal 3 26 4 2" xfId="30188" xr:uid="{00000000-0005-0000-0000-000075500000}"/>
    <cellStyle name="Normal 3 26 4 3" xfId="44083" xr:uid="{00000000-0005-0000-0000-000076500000}"/>
    <cellStyle name="Normal 3 26 5" xfId="20869" xr:uid="{00000000-0005-0000-0000-000077500000}"/>
    <cellStyle name="Normal 3 26 6" xfId="39501" xr:uid="{00000000-0005-0000-0000-000078500000}"/>
    <cellStyle name="Normal 3 27" xfId="5491" xr:uid="{00000000-0005-0000-0000-000079500000}"/>
    <cellStyle name="Normal 3 27 2" xfId="5492" xr:uid="{00000000-0005-0000-0000-00007A500000}"/>
    <cellStyle name="Normal 3 27 2 2" xfId="11328" xr:uid="{00000000-0005-0000-0000-00007B500000}"/>
    <cellStyle name="Normal 3 27 2 2 2" xfId="34813" xr:uid="{00000000-0005-0000-0000-00007C500000}"/>
    <cellStyle name="Normal 3 27 2 2 3" xfId="25494" xr:uid="{00000000-0005-0000-0000-00007D500000}"/>
    <cellStyle name="Normal 3 27 2 2 4" xfId="48756" xr:uid="{00000000-0005-0000-0000-00007E500000}"/>
    <cellStyle name="Normal 3 27 2 3" xfId="16059" xr:uid="{00000000-0005-0000-0000-00007F500000}"/>
    <cellStyle name="Normal 3 27 2 3 2" xfId="30191" xr:uid="{00000000-0005-0000-0000-000080500000}"/>
    <cellStyle name="Normal 3 27 2 3 3" xfId="44086" xr:uid="{00000000-0005-0000-0000-000081500000}"/>
    <cellStyle name="Normal 3 27 2 4" xfId="20872" xr:uid="{00000000-0005-0000-0000-000082500000}"/>
    <cellStyle name="Normal 3 27 2 5" xfId="39504" xr:uid="{00000000-0005-0000-0000-000083500000}"/>
    <cellStyle name="Normal 3 27 3" xfId="11327" xr:uid="{00000000-0005-0000-0000-000084500000}"/>
    <cellStyle name="Normal 3 27 3 2" xfId="34812" xr:uid="{00000000-0005-0000-0000-000085500000}"/>
    <cellStyle name="Normal 3 27 3 3" xfId="25493" xr:uid="{00000000-0005-0000-0000-000086500000}"/>
    <cellStyle name="Normal 3 27 3 4" xfId="48755" xr:uid="{00000000-0005-0000-0000-000087500000}"/>
    <cellStyle name="Normal 3 27 4" xfId="16058" xr:uid="{00000000-0005-0000-0000-000088500000}"/>
    <cellStyle name="Normal 3 27 4 2" xfId="30190" xr:uid="{00000000-0005-0000-0000-000089500000}"/>
    <cellStyle name="Normal 3 27 4 3" xfId="44085" xr:uid="{00000000-0005-0000-0000-00008A500000}"/>
    <cellStyle name="Normal 3 27 5" xfId="20871" xr:uid="{00000000-0005-0000-0000-00008B500000}"/>
    <cellStyle name="Normal 3 27 6" xfId="39503" xr:uid="{00000000-0005-0000-0000-00008C500000}"/>
    <cellStyle name="Normal 3 28" xfId="5493" xr:uid="{00000000-0005-0000-0000-00008D500000}"/>
    <cellStyle name="Normal 3 28 2" xfId="5494" xr:uid="{00000000-0005-0000-0000-00008E500000}"/>
    <cellStyle name="Normal 3 28 2 2" xfId="11330" xr:uid="{00000000-0005-0000-0000-00008F500000}"/>
    <cellStyle name="Normal 3 28 2 2 2" xfId="34815" xr:uid="{00000000-0005-0000-0000-000090500000}"/>
    <cellStyle name="Normal 3 28 2 2 3" xfId="25496" xr:uid="{00000000-0005-0000-0000-000091500000}"/>
    <cellStyle name="Normal 3 28 2 2 4" xfId="48758" xr:uid="{00000000-0005-0000-0000-000092500000}"/>
    <cellStyle name="Normal 3 28 2 3" xfId="16061" xr:uid="{00000000-0005-0000-0000-000093500000}"/>
    <cellStyle name="Normal 3 28 2 3 2" xfId="30193" xr:uid="{00000000-0005-0000-0000-000094500000}"/>
    <cellStyle name="Normal 3 28 2 3 3" xfId="44088" xr:uid="{00000000-0005-0000-0000-000095500000}"/>
    <cellStyle name="Normal 3 28 2 4" xfId="20874" xr:uid="{00000000-0005-0000-0000-000096500000}"/>
    <cellStyle name="Normal 3 28 2 5" xfId="39506" xr:uid="{00000000-0005-0000-0000-000097500000}"/>
    <cellStyle name="Normal 3 28 3" xfId="11329" xr:uid="{00000000-0005-0000-0000-000098500000}"/>
    <cellStyle name="Normal 3 28 3 2" xfId="34814" xr:uid="{00000000-0005-0000-0000-000099500000}"/>
    <cellStyle name="Normal 3 28 3 3" xfId="25495" xr:uid="{00000000-0005-0000-0000-00009A500000}"/>
    <cellStyle name="Normal 3 28 3 4" xfId="48757" xr:uid="{00000000-0005-0000-0000-00009B500000}"/>
    <cellStyle name="Normal 3 28 4" xfId="16060" xr:uid="{00000000-0005-0000-0000-00009C500000}"/>
    <cellStyle name="Normal 3 28 4 2" xfId="30192" xr:uid="{00000000-0005-0000-0000-00009D500000}"/>
    <cellStyle name="Normal 3 28 4 3" xfId="44087" xr:uid="{00000000-0005-0000-0000-00009E500000}"/>
    <cellStyle name="Normal 3 28 5" xfId="20873" xr:uid="{00000000-0005-0000-0000-00009F500000}"/>
    <cellStyle name="Normal 3 28 6" xfId="39505" xr:uid="{00000000-0005-0000-0000-0000A0500000}"/>
    <cellStyle name="Normal 3 29" xfId="5495" xr:uid="{00000000-0005-0000-0000-0000A1500000}"/>
    <cellStyle name="Normal 3 29 2" xfId="5496" xr:uid="{00000000-0005-0000-0000-0000A2500000}"/>
    <cellStyle name="Normal 3 29 2 2" xfId="11332" xr:uid="{00000000-0005-0000-0000-0000A3500000}"/>
    <cellStyle name="Normal 3 29 2 2 2" xfId="34817" xr:uid="{00000000-0005-0000-0000-0000A4500000}"/>
    <cellStyle name="Normal 3 29 2 2 3" xfId="25498" xr:uid="{00000000-0005-0000-0000-0000A5500000}"/>
    <cellStyle name="Normal 3 29 2 2 4" xfId="48760" xr:uid="{00000000-0005-0000-0000-0000A6500000}"/>
    <cellStyle name="Normal 3 29 2 3" xfId="16063" xr:uid="{00000000-0005-0000-0000-0000A7500000}"/>
    <cellStyle name="Normal 3 29 2 3 2" xfId="30195" xr:uid="{00000000-0005-0000-0000-0000A8500000}"/>
    <cellStyle name="Normal 3 29 2 3 3" xfId="44090" xr:uid="{00000000-0005-0000-0000-0000A9500000}"/>
    <cellStyle name="Normal 3 29 2 4" xfId="20876" xr:uid="{00000000-0005-0000-0000-0000AA500000}"/>
    <cellStyle name="Normal 3 29 2 5" xfId="39508" xr:uid="{00000000-0005-0000-0000-0000AB500000}"/>
    <cellStyle name="Normal 3 29 3" xfId="11331" xr:uid="{00000000-0005-0000-0000-0000AC500000}"/>
    <cellStyle name="Normal 3 29 3 2" xfId="34816" xr:uid="{00000000-0005-0000-0000-0000AD500000}"/>
    <cellStyle name="Normal 3 29 3 3" xfId="25497" xr:uid="{00000000-0005-0000-0000-0000AE500000}"/>
    <cellStyle name="Normal 3 29 3 4" xfId="48759" xr:uid="{00000000-0005-0000-0000-0000AF500000}"/>
    <cellStyle name="Normal 3 29 4" xfId="16062" xr:uid="{00000000-0005-0000-0000-0000B0500000}"/>
    <cellStyle name="Normal 3 29 4 2" xfId="30194" xr:uid="{00000000-0005-0000-0000-0000B1500000}"/>
    <cellStyle name="Normal 3 29 4 3" xfId="44089" xr:uid="{00000000-0005-0000-0000-0000B2500000}"/>
    <cellStyle name="Normal 3 29 5" xfId="20875" xr:uid="{00000000-0005-0000-0000-0000B3500000}"/>
    <cellStyle name="Normal 3 29 6" xfId="39507" xr:uid="{00000000-0005-0000-0000-0000B4500000}"/>
    <cellStyle name="Normal 3 3" xfId="185" xr:uid="{00000000-0005-0000-0000-0000B5500000}"/>
    <cellStyle name="Normal 3 3 10" xfId="5497" xr:uid="{00000000-0005-0000-0000-0000B6500000}"/>
    <cellStyle name="Normal 3 3 10 2" xfId="5498" xr:uid="{00000000-0005-0000-0000-0000B7500000}"/>
    <cellStyle name="Normal 3 3 10 2 2" xfId="11334" xr:uid="{00000000-0005-0000-0000-0000B8500000}"/>
    <cellStyle name="Normal 3 3 10 2 2 2" xfId="34819" xr:uid="{00000000-0005-0000-0000-0000B9500000}"/>
    <cellStyle name="Normal 3 3 10 2 2 3" xfId="25500" xr:uid="{00000000-0005-0000-0000-0000BA500000}"/>
    <cellStyle name="Normal 3 3 10 2 2 4" xfId="48762" xr:uid="{00000000-0005-0000-0000-0000BB500000}"/>
    <cellStyle name="Normal 3 3 10 2 3" xfId="16065" xr:uid="{00000000-0005-0000-0000-0000BC500000}"/>
    <cellStyle name="Normal 3 3 10 2 3 2" xfId="30197" xr:uid="{00000000-0005-0000-0000-0000BD500000}"/>
    <cellStyle name="Normal 3 3 10 2 3 3" xfId="44092" xr:uid="{00000000-0005-0000-0000-0000BE500000}"/>
    <cellStyle name="Normal 3 3 10 2 4" xfId="20878" xr:uid="{00000000-0005-0000-0000-0000BF500000}"/>
    <cellStyle name="Normal 3 3 10 2 5" xfId="39510" xr:uid="{00000000-0005-0000-0000-0000C0500000}"/>
    <cellStyle name="Normal 3 3 10 3" xfId="11333" xr:uid="{00000000-0005-0000-0000-0000C1500000}"/>
    <cellStyle name="Normal 3 3 10 3 2" xfId="34818" xr:uid="{00000000-0005-0000-0000-0000C2500000}"/>
    <cellStyle name="Normal 3 3 10 3 3" xfId="25499" xr:uid="{00000000-0005-0000-0000-0000C3500000}"/>
    <cellStyle name="Normal 3 3 10 3 4" xfId="48761" xr:uid="{00000000-0005-0000-0000-0000C4500000}"/>
    <cellStyle name="Normal 3 3 10 4" xfId="16064" xr:uid="{00000000-0005-0000-0000-0000C5500000}"/>
    <cellStyle name="Normal 3 3 10 4 2" xfId="30196" xr:uid="{00000000-0005-0000-0000-0000C6500000}"/>
    <cellStyle name="Normal 3 3 10 4 3" xfId="44091" xr:uid="{00000000-0005-0000-0000-0000C7500000}"/>
    <cellStyle name="Normal 3 3 10 5" xfId="20877" xr:uid="{00000000-0005-0000-0000-0000C8500000}"/>
    <cellStyle name="Normal 3 3 10 6" xfId="39509" xr:uid="{00000000-0005-0000-0000-0000C9500000}"/>
    <cellStyle name="Normal 3 3 11" xfId="5499" xr:uid="{00000000-0005-0000-0000-0000CA500000}"/>
    <cellStyle name="Normal 3 3 11 2" xfId="5500" xr:uid="{00000000-0005-0000-0000-0000CB500000}"/>
    <cellStyle name="Normal 3 3 11 2 2" xfId="11336" xr:uid="{00000000-0005-0000-0000-0000CC500000}"/>
    <cellStyle name="Normal 3 3 11 2 2 2" xfId="34821" xr:uid="{00000000-0005-0000-0000-0000CD500000}"/>
    <cellStyle name="Normal 3 3 11 2 2 3" xfId="25502" xr:uid="{00000000-0005-0000-0000-0000CE500000}"/>
    <cellStyle name="Normal 3 3 11 2 2 4" xfId="48764" xr:uid="{00000000-0005-0000-0000-0000CF500000}"/>
    <cellStyle name="Normal 3 3 11 2 3" xfId="16067" xr:uid="{00000000-0005-0000-0000-0000D0500000}"/>
    <cellStyle name="Normal 3 3 11 2 3 2" xfId="30199" xr:uid="{00000000-0005-0000-0000-0000D1500000}"/>
    <cellStyle name="Normal 3 3 11 2 3 3" xfId="44094" xr:uid="{00000000-0005-0000-0000-0000D2500000}"/>
    <cellStyle name="Normal 3 3 11 2 4" xfId="20880" xr:uid="{00000000-0005-0000-0000-0000D3500000}"/>
    <cellStyle name="Normal 3 3 11 2 5" xfId="39512" xr:uid="{00000000-0005-0000-0000-0000D4500000}"/>
    <cellStyle name="Normal 3 3 11 3" xfId="11335" xr:uid="{00000000-0005-0000-0000-0000D5500000}"/>
    <cellStyle name="Normal 3 3 11 3 2" xfId="34820" xr:uid="{00000000-0005-0000-0000-0000D6500000}"/>
    <cellStyle name="Normal 3 3 11 3 3" xfId="25501" xr:uid="{00000000-0005-0000-0000-0000D7500000}"/>
    <cellStyle name="Normal 3 3 11 3 4" xfId="48763" xr:uid="{00000000-0005-0000-0000-0000D8500000}"/>
    <cellStyle name="Normal 3 3 11 4" xfId="16066" xr:uid="{00000000-0005-0000-0000-0000D9500000}"/>
    <cellStyle name="Normal 3 3 11 4 2" xfId="30198" xr:uid="{00000000-0005-0000-0000-0000DA500000}"/>
    <cellStyle name="Normal 3 3 11 4 3" xfId="44093" xr:uid="{00000000-0005-0000-0000-0000DB500000}"/>
    <cellStyle name="Normal 3 3 11 5" xfId="20879" xr:uid="{00000000-0005-0000-0000-0000DC500000}"/>
    <cellStyle name="Normal 3 3 11 6" xfId="39511" xr:uid="{00000000-0005-0000-0000-0000DD500000}"/>
    <cellStyle name="Normal 3 3 12" xfId="5501" xr:uid="{00000000-0005-0000-0000-0000DE500000}"/>
    <cellStyle name="Normal 3 3 12 2" xfId="5502" xr:uid="{00000000-0005-0000-0000-0000DF500000}"/>
    <cellStyle name="Normal 3 3 12 2 2" xfId="11338" xr:uid="{00000000-0005-0000-0000-0000E0500000}"/>
    <cellStyle name="Normal 3 3 12 2 2 2" xfId="34823" xr:uid="{00000000-0005-0000-0000-0000E1500000}"/>
    <cellStyle name="Normal 3 3 12 2 2 3" xfId="25504" xr:uid="{00000000-0005-0000-0000-0000E2500000}"/>
    <cellStyle name="Normal 3 3 12 2 2 4" xfId="48766" xr:uid="{00000000-0005-0000-0000-0000E3500000}"/>
    <cellStyle name="Normal 3 3 12 2 3" xfId="16069" xr:uid="{00000000-0005-0000-0000-0000E4500000}"/>
    <cellStyle name="Normal 3 3 12 2 3 2" xfId="30201" xr:uid="{00000000-0005-0000-0000-0000E5500000}"/>
    <cellStyle name="Normal 3 3 12 2 3 3" xfId="44096" xr:uid="{00000000-0005-0000-0000-0000E6500000}"/>
    <cellStyle name="Normal 3 3 12 2 4" xfId="20882" xr:uid="{00000000-0005-0000-0000-0000E7500000}"/>
    <cellStyle name="Normal 3 3 12 2 5" xfId="39514" xr:uid="{00000000-0005-0000-0000-0000E8500000}"/>
    <cellStyle name="Normal 3 3 12 3" xfId="11337" xr:uid="{00000000-0005-0000-0000-0000E9500000}"/>
    <cellStyle name="Normal 3 3 12 3 2" xfId="34822" xr:uid="{00000000-0005-0000-0000-0000EA500000}"/>
    <cellStyle name="Normal 3 3 12 3 3" xfId="25503" xr:uid="{00000000-0005-0000-0000-0000EB500000}"/>
    <cellStyle name="Normal 3 3 12 3 4" xfId="48765" xr:uid="{00000000-0005-0000-0000-0000EC500000}"/>
    <cellStyle name="Normal 3 3 12 4" xfId="16068" xr:uid="{00000000-0005-0000-0000-0000ED500000}"/>
    <cellStyle name="Normal 3 3 12 4 2" xfId="30200" xr:uid="{00000000-0005-0000-0000-0000EE500000}"/>
    <cellStyle name="Normal 3 3 12 4 3" xfId="44095" xr:uid="{00000000-0005-0000-0000-0000EF500000}"/>
    <cellStyle name="Normal 3 3 12 5" xfId="20881" xr:uid="{00000000-0005-0000-0000-0000F0500000}"/>
    <cellStyle name="Normal 3 3 12 6" xfId="39513" xr:uid="{00000000-0005-0000-0000-0000F1500000}"/>
    <cellStyle name="Normal 3 3 13" xfId="5503" xr:uid="{00000000-0005-0000-0000-0000F2500000}"/>
    <cellStyle name="Normal 3 3 13 2" xfId="5504" xr:uid="{00000000-0005-0000-0000-0000F3500000}"/>
    <cellStyle name="Normal 3 3 13 2 2" xfId="11340" xr:uid="{00000000-0005-0000-0000-0000F4500000}"/>
    <cellStyle name="Normal 3 3 13 2 2 2" xfId="34825" xr:uid="{00000000-0005-0000-0000-0000F5500000}"/>
    <cellStyle name="Normal 3 3 13 2 2 3" xfId="25506" xr:uid="{00000000-0005-0000-0000-0000F6500000}"/>
    <cellStyle name="Normal 3 3 13 2 2 4" xfId="48768" xr:uid="{00000000-0005-0000-0000-0000F7500000}"/>
    <cellStyle name="Normal 3 3 13 2 3" xfId="16071" xr:uid="{00000000-0005-0000-0000-0000F8500000}"/>
    <cellStyle name="Normal 3 3 13 2 3 2" xfId="30203" xr:uid="{00000000-0005-0000-0000-0000F9500000}"/>
    <cellStyle name="Normal 3 3 13 2 3 3" xfId="44098" xr:uid="{00000000-0005-0000-0000-0000FA500000}"/>
    <cellStyle name="Normal 3 3 13 2 4" xfId="20884" xr:uid="{00000000-0005-0000-0000-0000FB500000}"/>
    <cellStyle name="Normal 3 3 13 2 5" xfId="39516" xr:uid="{00000000-0005-0000-0000-0000FC500000}"/>
    <cellStyle name="Normal 3 3 13 3" xfId="11339" xr:uid="{00000000-0005-0000-0000-0000FD500000}"/>
    <cellStyle name="Normal 3 3 13 3 2" xfId="34824" xr:uid="{00000000-0005-0000-0000-0000FE500000}"/>
    <cellStyle name="Normal 3 3 13 3 3" xfId="25505" xr:uid="{00000000-0005-0000-0000-0000FF500000}"/>
    <cellStyle name="Normal 3 3 13 3 4" xfId="48767" xr:uid="{00000000-0005-0000-0000-000000510000}"/>
    <cellStyle name="Normal 3 3 13 4" xfId="16070" xr:uid="{00000000-0005-0000-0000-000001510000}"/>
    <cellStyle name="Normal 3 3 13 4 2" xfId="30202" xr:uid="{00000000-0005-0000-0000-000002510000}"/>
    <cellStyle name="Normal 3 3 13 4 3" xfId="44097" xr:uid="{00000000-0005-0000-0000-000003510000}"/>
    <cellStyle name="Normal 3 3 13 5" xfId="20883" xr:uid="{00000000-0005-0000-0000-000004510000}"/>
    <cellStyle name="Normal 3 3 13 6" xfId="39515" xr:uid="{00000000-0005-0000-0000-000005510000}"/>
    <cellStyle name="Normal 3 3 14" xfId="5505" xr:uid="{00000000-0005-0000-0000-000006510000}"/>
    <cellStyle name="Normal 3 3 14 2" xfId="5506" xr:uid="{00000000-0005-0000-0000-000007510000}"/>
    <cellStyle name="Normal 3 3 14 2 2" xfId="11342" xr:uid="{00000000-0005-0000-0000-000008510000}"/>
    <cellStyle name="Normal 3 3 14 2 2 2" xfId="34827" xr:uid="{00000000-0005-0000-0000-000009510000}"/>
    <cellStyle name="Normal 3 3 14 2 2 3" xfId="25508" xr:uid="{00000000-0005-0000-0000-00000A510000}"/>
    <cellStyle name="Normal 3 3 14 2 2 4" xfId="48770" xr:uid="{00000000-0005-0000-0000-00000B510000}"/>
    <cellStyle name="Normal 3 3 14 2 3" xfId="16073" xr:uid="{00000000-0005-0000-0000-00000C510000}"/>
    <cellStyle name="Normal 3 3 14 2 3 2" xfId="30205" xr:uid="{00000000-0005-0000-0000-00000D510000}"/>
    <cellStyle name="Normal 3 3 14 2 3 3" xfId="44100" xr:uid="{00000000-0005-0000-0000-00000E510000}"/>
    <cellStyle name="Normal 3 3 14 2 4" xfId="20886" xr:uid="{00000000-0005-0000-0000-00000F510000}"/>
    <cellStyle name="Normal 3 3 14 2 5" xfId="39518" xr:uid="{00000000-0005-0000-0000-000010510000}"/>
    <cellStyle name="Normal 3 3 14 3" xfId="11341" xr:uid="{00000000-0005-0000-0000-000011510000}"/>
    <cellStyle name="Normal 3 3 14 3 2" xfId="34826" xr:uid="{00000000-0005-0000-0000-000012510000}"/>
    <cellStyle name="Normal 3 3 14 3 3" xfId="25507" xr:uid="{00000000-0005-0000-0000-000013510000}"/>
    <cellStyle name="Normal 3 3 14 3 4" xfId="48769" xr:uid="{00000000-0005-0000-0000-000014510000}"/>
    <cellStyle name="Normal 3 3 14 4" xfId="16072" xr:uid="{00000000-0005-0000-0000-000015510000}"/>
    <cellStyle name="Normal 3 3 14 4 2" xfId="30204" xr:uid="{00000000-0005-0000-0000-000016510000}"/>
    <cellStyle name="Normal 3 3 14 4 3" xfId="44099" xr:uid="{00000000-0005-0000-0000-000017510000}"/>
    <cellStyle name="Normal 3 3 14 5" xfId="20885" xr:uid="{00000000-0005-0000-0000-000018510000}"/>
    <cellStyle name="Normal 3 3 14 6" xfId="39517" xr:uid="{00000000-0005-0000-0000-000019510000}"/>
    <cellStyle name="Normal 3 3 15" xfId="5507" xr:uid="{00000000-0005-0000-0000-00001A510000}"/>
    <cellStyle name="Normal 3 3 15 2" xfId="5508" xr:uid="{00000000-0005-0000-0000-00001B510000}"/>
    <cellStyle name="Normal 3 3 15 2 2" xfId="11344" xr:uid="{00000000-0005-0000-0000-00001C510000}"/>
    <cellStyle name="Normal 3 3 15 2 2 2" xfId="34829" xr:uid="{00000000-0005-0000-0000-00001D510000}"/>
    <cellStyle name="Normal 3 3 15 2 2 3" xfId="25510" xr:uid="{00000000-0005-0000-0000-00001E510000}"/>
    <cellStyle name="Normal 3 3 15 2 2 4" xfId="48772" xr:uid="{00000000-0005-0000-0000-00001F510000}"/>
    <cellStyle name="Normal 3 3 15 2 3" xfId="16075" xr:uid="{00000000-0005-0000-0000-000020510000}"/>
    <cellStyle name="Normal 3 3 15 2 3 2" xfId="30207" xr:uid="{00000000-0005-0000-0000-000021510000}"/>
    <cellStyle name="Normal 3 3 15 2 3 3" xfId="44102" xr:uid="{00000000-0005-0000-0000-000022510000}"/>
    <cellStyle name="Normal 3 3 15 2 4" xfId="20888" xr:uid="{00000000-0005-0000-0000-000023510000}"/>
    <cellStyle name="Normal 3 3 15 2 5" xfId="39520" xr:uid="{00000000-0005-0000-0000-000024510000}"/>
    <cellStyle name="Normal 3 3 15 3" xfId="11343" xr:uid="{00000000-0005-0000-0000-000025510000}"/>
    <cellStyle name="Normal 3 3 15 3 2" xfId="34828" xr:uid="{00000000-0005-0000-0000-000026510000}"/>
    <cellStyle name="Normal 3 3 15 3 3" xfId="25509" xr:uid="{00000000-0005-0000-0000-000027510000}"/>
    <cellStyle name="Normal 3 3 15 3 4" xfId="48771" xr:uid="{00000000-0005-0000-0000-000028510000}"/>
    <cellStyle name="Normal 3 3 15 4" xfId="16074" xr:uid="{00000000-0005-0000-0000-000029510000}"/>
    <cellStyle name="Normal 3 3 15 4 2" xfId="30206" xr:uid="{00000000-0005-0000-0000-00002A510000}"/>
    <cellStyle name="Normal 3 3 15 4 3" xfId="44101" xr:uid="{00000000-0005-0000-0000-00002B510000}"/>
    <cellStyle name="Normal 3 3 15 5" xfId="20887" xr:uid="{00000000-0005-0000-0000-00002C510000}"/>
    <cellStyle name="Normal 3 3 15 6" xfId="39519" xr:uid="{00000000-0005-0000-0000-00002D510000}"/>
    <cellStyle name="Normal 3 3 16" xfId="5509" xr:uid="{00000000-0005-0000-0000-00002E510000}"/>
    <cellStyle name="Normal 3 3 16 2" xfId="5510" xr:uid="{00000000-0005-0000-0000-00002F510000}"/>
    <cellStyle name="Normal 3 3 16 2 2" xfId="11346" xr:uid="{00000000-0005-0000-0000-000030510000}"/>
    <cellStyle name="Normal 3 3 16 2 2 2" xfId="34831" xr:uid="{00000000-0005-0000-0000-000031510000}"/>
    <cellStyle name="Normal 3 3 16 2 2 3" xfId="25512" xr:uid="{00000000-0005-0000-0000-000032510000}"/>
    <cellStyle name="Normal 3 3 16 2 2 4" xfId="48774" xr:uid="{00000000-0005-0000-0000-000033510000}"/>
    <cellStyle name="Normal 3 3 16 2 3" xfId="16077" xr:uid="{00000000-0005-0000-0000-000034510000}"/>
    <cellStyle name="Normal 3 3 16 2 3 2" xfId="30209" xr:uid="{00000000-0005-0000-0000-000035510000}"/>
    <cellStyle name="Normal 3 3 16 2 3 3" xfId="44104" xr:uid="{00000000-0005-0000-0000-000036510000}"/>
    <cellStyle name="Normal 3 3 16 2 4" xfId="20890" xr:uid="{00000000-0005-0000-0000-000037510000}"/>
    <cellStyle name="Normal 3 3 16 2 5" xfId="39522" xr:uid="{00000000-0005-0000-0000-000038510000}"/>
    <cellStyle name="Normal 3 3 16 3" xfId="11345" xr:uid="{00000000-0005-0000-0000-000039510000}"/>
    <cellStyle name="Normal 3 3 16 3 2" xfId="34830" xr:uid="{00000000-0005-0000-0000-00003A510000}"/>
    <cellStyle name="Normal 3 3 16 3 3" xfId="25511" xr:uid="{00000000-0005-0000-0000-00003B510000}"/>
    <cellStyle name="Normal 3 3 16 3 4" xfId="48773" xr:uid="{00000000-0005-0000-0000-00003C510000}"/>
    <cellStyle name="Normal 3 3 16 4" xfId="16076" xr:uid="{00000000-0005-0000-0000-00003D510000}"/>
    <cellStyle name="Normal 3 3 16 4 2" xfId="30208" xr:uid="{00000000-0005-0000-0000-00003E510000}"/>
    <cellStyle name="Normal 3 3 16 4 3" xfId="44103" xr:uid="{00000000-0005-0000-0000-00003F510000}"/>
    <cellStyle name="Normal 3 3 16 5" xfId="20889" xr:uid="{00000000-0005-0000-0000-000040510000}"/>
    <cellStyle name="Normal 3 3 16 6" xfId="39521" xr:uid="{00000000-0005-0000-0000-000041510000}"/>
    <cellStyle name="Normal 3 3 17" xfId="5511" xr:uid="{00000000-0005-0000-0000-000042510000}"/>
    <cellStyle name="Normal 3 3 17 2" xfId="5512" xr:uid="{00000000-0005-0000-0000-000043510000}"/>
    <cellStyle name="Normal 3 3 17 2 2" xfId="11348" xr:uid="{00000000-0005-0000-0000-000044510000}"/>
    <cellStyle name="Normal 3 3 17 2 2 2" xfId="34833" xr:uid="{00000000-0005-0000-0000-000045510000}"/>
    <cellStyle name="Normal 3 3 17 2 2 3" xfId="25514" xr:uid="{00000000-0005-0000-0000-000046510000}"/>
    <cellStyle name="Normal 3 3 17 2 2 4" xfId="48776" xr:uid="{00000000-0005-0000-0000-000047510000}"/>
    <cellStyle name="Normal 3 3 17 2 3" xfId="16079" xr:uid="{00000000-0005-0000-0000-000048510000}"/>
    <cellStyle name="Normal 3 3 17 2 3 2" xfId="30211" xr:uid="{00000000-0005-0000-0000-000049510000}"/>
    <cellStyle name="Normal 3 3 17 2 3 3" xfId="44106" xr:uid="{00000000-0005-0000-0000-00004A510000}"/>
    <cellStyle name="Normal 3 3 17 2 4" xfId="20892" xr:uid="{00000000-0005-0000-0000-00004B510000}"/>
    <cellStyle name="Normal 3 3 17 2 5" xfId="39524" xr:uid="{00000000-0005-0000-0000-00004C510000}"/>
    <cellStyle name="Normal 3 3 17 3" xfId="11347" xr:uid="{00000000-0005-0000-0000-00004D510000}"/>
    <cellStyle name="Normal 3 3 17 3 2" xfId="34832" xr:uid="{00000000-0005-0000-0000-00004E510000}"/>
    <cellStyle name="Normal 3 3 17 3 3" xfId="25513" xr:uid="{00000000-0005-0000-0000-00004F510000}"/>
    <cellStyle name="Normal 3 3 17 3 4" xfId="48775" xr:uid="{00000000-0005-0000-0000-000050510000}"/>
    <cellStyle name="Normal 3 3 17 4" xfId="16078" xr:uid="{00000000-0005-0000-0000-000051510000}"/>
    <cellStyle name="Normal 3 3 17 4 2" xfId="30210" xr:uid="{00000000-0005-0000-0000-000052510000}"/>
    <cellStyle name="Normal 3 3 17 4 3" xfId="44105" xr:uid="{00000000-0005-0000-0000-000053510000}"/>
    <cellStyle name="Normal 3 3 17 5" xfId="20891" xr:uid="{00000000-0005-0000-0000-000054510000}"/>
    <cellStyle name="Normal 3 3 17 6" xfId="39523" xr:uid="{00000000-0005-0000-0000-000055510000}"/>
    <cellStyle name="Normal 3 3 18" xfId="5513" xr:uid="{00000000-0005-0000-0000-000056510000}"/>
    <cellStyle name="Normal 3 3 18 2" xfId="5514" xr:uid="{00000000-0005-0000-0000-000057510000}"/>
    <cellStyle name="Normal 3 3 18 2 2" xfId="11350" xr:uid="{00000000-0005-0000-0000-000058510000}"/>
    <cellStyle name="Normal 3 3 18 2 2 2" xfId="34835" xr:uid="{00000000-0005-0000-0000-000059510000}"/>
    <cellStyle name="Normal 3 3 18 2 2 3" xfId="25516" xr:uid="{00000000-0005-0000-0000-00005A510000}"/>
    <cellStyle name="Normal 3 3 18 2 2 4" xfId="48778" xr:uid="{00000000-0005-0000-0000-00005B510000}"/>
    <cellStyle name="Normal 3 3 18 2 3" xfId="16081" xr:uid="{00000000-0005-0000-0000-00005C510000}"/>
    <cellStyle name="Normal 3 3 18 2 3 2" xfId="30213" xr:uid="{00000000-0005-0000-0000-00005D510000}"/>
    <cellStyle name="Normal 3 3 18 2 3 3" xfId="44108" xr:uid="{00000000-0005-0000-0000-00005E510000}"/>
    <cellStyle name="Normal 3 3 18 2 4" xfId="20894" xr:uid="{00000000-0005-0000-0000-00005F510000}"/>
    <cellStyle name="Normal 3 3 18 2 5" xfId="39526" xr:uid="{00000000-0005-0000-0000-000060510000}"/>
    <cellStyle name="Normal 3 3 18 3" xfId="11349" xr:uid="{00000000-0005-0000-0000-000061510000}"/>
    <cellStyle name="Normal 3 3 18 3 2" xfId="34834" xr:uid="{00000000-0005-0000-0000-000062510000}"/>
    <cellStyle name="Normal 3 3 18 3 3" xfId="25515" xr:uid="{00000000-0005-0000-0000-000063510000}"/>
    <cellStyle name="Normal 3 3 18 3 4" xfId="48777" xr:uid="{00000000-0005-0000-0000-000064510000}"/>
    <cellStyle name="Normal 3 3 18 4" xfId="16080" xr:uid="{00000000-0005-0000-0000-000065510000}"/>
    <cellStyle name="Normal 3 3 18 4 2" xfId="30212" xr:uid="{00000000-0005-0000-0000-000066510000}"/>
    <cellStyle name="Normal 3 3 18 4 3" xfId="44107" xr:uid="{00000000-0005-0000-0000-000067510000}"/>
    <cellStyle name="Normal 3 3 18 5" xfId="20893" xr:uid="{00000000-0005-0000-0000-000068510000}"/>
    <cellStyle name="Normal 3 3 18 6" xfId="39525" xr:uid="{00000000-0005-0000-0000-000069510000}"/>
    <cellStyle name="Normal 3 3 19" xfId="5515" xr:uid="{00000000-0005-0000-0000-00006A510000}"/>
    <cellStyle name="Normal 3 3 19 2" xfId="5516" xr:uid="{00000000-0005-0000-0000-00006B510000}"/>
    <cellStyle name="Normal 3 3 19 2 2" xfId="11352" xr:uid="{00000000-0005-0000-0000-00006C510000}"/>
    <cellStyle name="Normal 3 3 19 2 2 2" xfId="34837" xr:uid="{00000000-0005-0000-0000-00006D510000}"/>
    <cellStyle name="Normal 3 3 19 2 2 3" xfId="25518" xr:uid="{00000000-0005-0000-0000-00006E510000}"/>
    <cellStyle name="Normal 3 3 19 2 2 4" xfId="48780" xr:uid="{00000000-0005-0000-0000-00006F510000}"/>
    <cellStyle name="Normal 3 3 19 2 3" xfId="16083" xr:uid="{00000000-0005-0000-0000-000070510000}"/>
    <cellStyle name="Normal 3 3 19 2 3 2" xfId="30215" xr:uid="{00000000-0005-0000-0000-000071510000}"/>
    <cellStyle name="Normal 3 3 19 2 3 3" xfId="44110" xr:uid="{00000000-0005-0000-0000-000072510000}"/>
    <cellStyle name="Normal 3 3 19 2 4" xfId="20896" xr:uid="{00000000-0005-0000-0000-000073510000}"/>
    <cellStyle name="Normal 3 3 19 2 5" xfId="39528" xr:uid="{00000000-0005-0000-0000-000074510000}"/>
    <cellStyle name="Normal 3 3 19 3" xfId="11351" xr:uid="{00000000-0005-0000-0000-000075510000}"/>
    <cellStyle name="Normal 3 3 19 3 2" xfId="34836" xr:uid="{00000000-0005-0000-0000-000076510000}"/>
    <cellStyle name="Normal 3 3 19 3 3" xfId="25517" xr:uid="{00000000-0005-0000-0000-000077510000}"/>
    <cellStyle name="Normal 3 3 19 3 4" xfId="48779" xr:uid="{00000000-0005-0000-0000-000078510000}"/>
    <cellStyle name="Normal 3 3 19 4" xfId="16082" xr:uid="{00000000-0005-0000-0000-000079510000}"/>
    <cellStyle name="Normal 3 3 19 4 2" xfId="30214" xr:uid="{00000000-0005-0000-0000-00007A510000}"/>
    <cellStyle name="Normal 3 3 19 4 3" xfId="44109" xr:uid="{00000000-0005-0000-0000-00007B510000}"/>
    <cellStyle name="Normal 3 3 19 5" xfId="20895" xr:uid="{00000000-0005-0000-0000-00007C510000}"/>
    <cellStyle name="Normal 3 3 19 6" xfId="39527" xr:uid="{00000000-0005-0000-0000-00007D510000}"/>
    <cellStyle name="Normal 3 3 2" xfId="5517" xr:uid="{00000000-0005-0000-0000-00007E510000}"/>
    <cellStyle name="Normal 3 3 2 2" xfId="5518" xr:uid="{00000000-0005-0000-0000-00007F510000}"/>
    <cellStyle name="Normal 3 3 2 2 2" xfId="11354" xr:uid="{00000000-0005-0000-0000-000080510000}"/>
    <cellStyle name="Normal 3 3 2 2 2 2" xfId="34839" xr:uid="{00000000-0005-0000-0000-000081510000}"/>
    <cellStyle name="Normal 3 3 2 2 2 3" xfId="25520" xr:uid="{00000000-0005-0000-0000-000082510000}"/>
    <cellStyle name="Normal 3 3 2 2 2 4" xfId="48782" xr:uid="{00000000-0005-0000-0000-000083510000}"/>
    <cellStyle name="Normal 3 3 2 2 3" xfId="16085" xr:uid="{00000000-0005-0000-0000-000084510000}"/>
    <cellStyle name="Normal 3 3 2 2 3 2" xfId="30217" xr:uid="{00000000-0005-0000-0000-000085510000}"/>
    <cellStyle name="Normal 3 3 2 2 3 3" xfId="44112" xr:uid="{00000000-0005-0000-0000-000086510000}"/>
    <cellStyle name="Normal 3 3 2 2 4" xfId="20898" xr:uid="{00000000-0005-0000-0000-000087510000}"/>
    <cellStyle name="Normal 3 3 2 2 5" xfId="39530" xr:uid="{00000000-0005-0000-0000-000088510000}"/>
    <cellStyle name="Normal 3 3 2 3" xfId="11353" xr:uid="{00000000-0005-0000-0000-000089510000}"/>
    <cellStyle name="Normal 3 3 2 3 2" xfId="34838" xr:uid="{00000000-0005-0000-0000-00008A510000}"/>
    <cellStyle name="Normal 3 3 2 3 3" xfId="25519" xr:uid="{00000000-0005-0000-0000-00008B510000}"/>
    <cellStyle name="Normal 3 3 2 3 4" xfId="48781" xr:uid="{00000000-0005-0000-0000-00008C510000}"/>
    <cellStyle name="Normal 3 3 2 4" xfId="16084" xr:uid="{00000000-0005-0000-0000-00008D510000}"/>
    <cellStyle name="Normal 3 3 2 4 2" xfId="30216" xr:uid="{00000000-0005-0000-0000-00008E510000}"/>
    <cellStyle name="Normal 3 3 2 4 3" xfId="44111" xr:uid="{00000000-0005-0000-0000-00008F510000}"/>
    <cellStyle name="Normal 3 3 2 5" xfId="20897" xr:uid="{00000000-0005-0000-0000-000090510000}"/>
    <cellStyle name="Normal 3 3 2 6" xfId="39529" xr:uid="{00000000-0005-0000-0000-000091510000}"/>
    <cellStyle name="Normal 3 3 20" xfId="5519" xr:uid="{00000000-0005-0000-0000-000092510000}"/>
    <cellStyle name="Normal 3 3 20 2" xfId="5520" xr:uid="{00000000-0005-0000-0000-000093510000}"/>
    <cellStyle name="Normal 3 3 20 2 2" xfId="11356" xr:uid="{00000000-0005-0000-0000-000094510000}"/>
    <cellStyle name="Normal 3 3 20 2 2 2" xfId="34841" xr:uid="{00000000-0005-0000-0000-000095510000}"/>
    <cellStyle name="Normal 3 3 20 2 2 3" xfId="25522" xr:uid="{00000000-0005-0000-0000-000096510000}"/>
    <cellStyle name="Normal 3 3 20 2 2 4" xfId="48784" xr:uid="{00000000-0005-0000-0000-000097510000}"/>
    <cellStyle name="Normal 3 3 20 2 3" xfId="16087" xr:uid="{00000000-0005-0000-0000-000098510000}"/>
    <cellStyle name="Normal 3 3 20 2 3 2" xfId="30219" xr:uid="{00000000-0005-0000-0000-000099510000}"/>
    <cellStyle name="Normal 3 3 20 2 3 3" xfId="44114" xr:uid="{00000000-0005-0000-0000-00009A510000}"/>
    <cellStyle name="Normal 3 3 20 2 4" xfId="20900" xr:uid="{00000000-0005-0000-0000-00009B510000}"/>
    <cellStyle name="Normal 3 3 20 2 5" xfId="39532" xr:uid="{00000000-0005-0000-0000-00009C510000}"/>
    <cellStyle name="Normal 3 3 20 3" xfId="11355" xr:uid="{00000000-0005-0000-0000-00009D510000}"/>
    <cellStyle name="Normal 3 3 20 3 2" xfId="34840" xr:uid="{00000000-0005-0000-0000-00009E510000}"/>
    <cellStyle name="Normal 3 3 20 3 3" xfId="25521" xr:uid="{00000000-0005-0000-0000-00009F510000}"/>
    <cellStyle name="Normal 3 3 20 3 4" xfId="48783" xr:uid="{00000000-0005-0000-0000-0000A0510000}"/>
    <cellStyle name="Normal 3 3 20 4" xfId="16086" xr:uid="{00000000-0005-0000-0000-0000A1510000}"/>
    <cellStyle name="Normal 3 3 20 4 2" xfId="30218" xr:uid="{00000000-0005-0000-0000-0000A2510000}"/>
    <cellStyle name="Normal 3 3 20 4 3" xfId="44113" xr:uid="{00000000-0005-0000-0000-0000A3510000}"/>
    <cellStyle name="Normal 3 3 20 5" xfId="20899" xr:uid="{00000000-0005-0000-0000-0000A4510000}"/>
    <cellStyle name="Normal 3 3 20 6" xfId="39531" xr:uid="{00000000-0005-0000-0000-0000A5510000}"/>
    <cellStyle name="Normal 3 3 21" xfId="5521" xr:uid="{00000000-0005-0000-0000-0000A6510000}"/>
    <cellStyle name="Normal 3 3 21 2" xfId="5522" xr:uid="{00000000-0005-0000-0000-0000A7510000}"/>
    <cellStyle name="Normal 3 3 21 2 2" xfId="11358" xr:uid="{00000000-0005-0000-0000-0000A8510000}"/>
    <cellStyle name="Normal 3 3 21 2 2 2" xfId="34843" xr:uid="{00000000-0005-0000-0000-0000A9510000}"/>
    <cellStyle name="Normal 3 3 21 2 2 3" xfId="25524" xr:uid="{00000000-0005-0000-0000-0000AA510000}"/>
    <cellStyle name="Normal 3 3 21 2 2 4" xfId="48786" xr:uid="{00000000-0005-0000-0000-0000AB510000}"/>
    <cellStyle name="Normal 3 3 21 2 3" xfId="16089" xr:uid="{00000000-0005-0000-0000-0000AC510000}"/>
    <cellStyle name="Normal 3 3 21 2 3 2" xfId="30221" xr:uid="{00000000-0005-0000-0000-0000AD510000}"/>
    <cellStyle name="Normal 3 3 21 2 3 3" xfId="44116" xr:uid="{00000000-0005-0000-0000-0000AE510000}"/>
    <cellStyle name="Normal 3 3 21 2 4" xfId="20902" xr:uid="{00000000-0005-0000-0000-0000AF510000}"/>
    <cellStyle name="Normal 3 3 21 2 5" xfId="39534" xr:uid="{00000000-0005-0000-0000-0000B0510000}"/>
    <cellStyle name="Normal 3 3 21 3" xfId="11357" xr:uid="{00000000-0005-0000-0000-0000B1510000}"/>
    <cellStyle name="Normal 3 3 21 3 2" xfId="34842" xr:uid="{00000000-0005-0000-0000-0000B2510000}"/>
    <cellStyle name="Normal 3 3 21 3 3" xfId="25523" xr:uid="{00000000-0005-0000-0000-0000B3510000}"/>
    <cellStyle name="Normal 3 3 21 3 4" xfId="48785" xr:uid="{00000000-0005-0000-0000-0000B4510000}"/>
    <cellStyle name="Normal 3 3 21 4" xfId="16088" xr:uid="{00000000-0005-0000-0000-0000B5510000}"/>
    <cellStyle name="Normal 3 3 21 4 2" xfId="30220" xr:uid="{00000000-0005-0000-0000-0000B6510000}"/>
    <cellStyle name="Normal 3 3 21 4 3" xfId="44115" xr:uid="{00000000-0005-0000-0000-0000B7510000}"/>
    <cellStyle name="Normal 3 3 21 5" xfId="20901" xr:uid="{00000000-0005-0000-0000-0000B8510000}"/>
    <cellStyle name="Normal 3 3 21 6" xfId="39533" xr:uid="{00000000-0005-0000-0000-0000B9510000}"/>
    <cellStyle name="Normal 3 3 22" xfId="5523" xr:uid="{00000000-0005-0000-0000-0000BA510000}"/>
    <cellStyle name="Normal 3 3 22 2" xfId="5524" xr:uid="{00000000-0005-0000-0000-0000BB510000}"/>
    <cellStyle name="Normal 3 3 22 2 2" xfId="11360" xr:uid="{00000000-0005-0000-0000-0000BC510000}"/>
    <cellStyle name="Normal 3 3 22 2 2 2" xfId="34845" xr:uid="{00000000-0005-0000-0000-0000BD510000}"/>
    <cellStyle name="Normal 3 3 22 2 2 3" xfId="25526" xr:uid="{00000000-0005-0000-0000-0000BE510000}"/>
    <cellStyle name="Normal 3 3 22 2 2 4" xfId="48788" xr:uid="{00000000-0005-0000-0000-0000BF510000}"/>
    <cellStyle name="Normal 3 3 22 2 3" xfId="16091" xr:uid="{00000000-0005-0000-0000-0000C0510000}"/>
    <cellStyle name="Normal 3 3 22 2 3 2" xfId="30223" xr:uid="{00000000-0005-0000-0000-0000C1510000}"/>
    <cellStyle name="Normal 3 3 22 2 3 3" xfId="44118" xr:uid="{00000000-0005-0000-0000-0000C2510000}"/>
    <cellStyle name="Normal 3 3 22 2 4" xfId="20904" xr:uid="{00000000-0005-0000-0000-0000C3510000}"/>
    <cellStyle name="Normal 3 3 22 2 5" xfId="39536" xr:uid="{00000000-0005-0000-0000-0000C4510000}"/>
    <cellStyle name="Normal 3 3 22 3" xfId="11359" xr:uid="{00000000-0005-0000-0000-0000C5510000}"/>
    <cellStyle name="Normal 3 3 22 3 2" xfId="34844" xr:uid="{00000000-0005-0000-0000-0000C6510000}"/>
    <cellStyle name="Normal 3 3 22 3 3" xfId="25525" xr:uid="{00000000-0005-0000-0000-0000C7510000}"/>
    <cellStyle name="Normal 3 3 22 3 4" xfId="48787" xr:uid="{00000000-0005-0000-0000-0000C8510000}"/>
    <cellStyle name="Normal 3 3 22 4" xfId="16090" xr:uid="{00000000-0005-0000-0000-0000C9510000}"/>
    <cellStyle name="Normal 3 3 22 4 2" xfId="30222" xr:uid="{00000000-0005-0000-0000-0000CA510000}"/>
    <cellStyle name="Normal 3 3 22 4 3" xfId="44117" xr:uid="{00000000-0005-0000-0000-0000CB510000}"/>
    <cellStyle name="Normal 3 3 22 5" xfId="20903" xr:uid="{00000000-0005-0000-0000-0000CC510000}"/>
    <cellStyle name="Normal 3 3 22 6" xfId="39535" xr:uid="{00000000-0005-0000-0000-0000CD510000}"/>
    <cellStyle name="Normal 3 3 23" xfId="5525" xr:uid="{00000000-0005-0000-0000-0000CE510000}"/>
    <cellStyle name="Normal 3 3 23 2" xfId="5526" xr:uid="{00000000-0005-0000-0000-0000CF510000}"/>
    <cellStyle name="Normal 3 3 23 2 2" xfId="11362" xr:uid="{00000000-0005-0000-0000-0000D0510000}"/>
    <cellStyle name="Normal 3 3 23 2 2 2" xfId="34847" xr:uid="{00000000-0005-0000-0000-0000D1510000}"/>
    <cellStyle name="Normal 3 3 23 2 2 3" xfId="25528" xr:uid="{00000000-0005-0000-0000-0000D2510000}"/>
    <cellStyle name="Normal 3 3 23 2 2 4" xfId="48790" xr:uid="{00000000-0005-0000-0000-0000D3510000}"/>
    <cellStyle name="Normal 3 3 23 2 3" xfId="16093" xr:uid="{00000000-0005-0000-0000-0000D4510000}"/>
    <cellStyle name="Normal 3 3 23 2 3 2" xfId="30225" xr:uid="{00000000-0005-0000-0000-0000D5510000}"/>
    <cellStyle name="Normal 3 3 23 2 3 3" xfId="44120" xr:uid="{00000000-0005-0000-0000-0000D6510000}"/>
    <cellStyle name="Normal 3 3 23 2 4" xfId="20906" xr:uid="{00000000-0005-0000-0000-0000D7510000}"/>
    <cellStyle name="Normal 3 3 23 2 5" xfId="39538" xr:uid="{00000000-0005-0000-0000-0000D8510000}"/>
    <cellStyle name="Normal 3 3 23 3" xfId="11361" xr:uid="{00000000-0005-0000-0000-0000D9510000}"/>
    <cellStyle name="Normal 3 3 23 3 2" xfId="34846" xr:uid="{00000000-0005-0000-0000-0000DA510000}"/>
    <cellStyle name="Normal 3 3 23 3 3" xfId="25527" xr:uid="{00000000-0005-0000-0000-0000DB510000}"/>
    <cellStyle name="Normal 3 3 23 3 4" xfId="48789" xr:uid="{00000000-0005-0000-0000-0000DC510000}"/>
    <cellStyle name="Normal 3 3 23 4" xfId="16092" xr:uid="{00000000-0005-0000-0000-0000DD510000}"/>
    <cellStyle name="Normal 3 3 23 4 2" xfId="30224" xr:uid="{00000000-0005-0000-0000-0000DE510000}"/>
    <cellStyle name="Normal 3 3 23 4 3" xfId="44119" xr:uid="{00000000-0005-0000-0000-0000DF510000}"/>
    <cellStyle name="Normal 3 3 23 5" xfId="20905" xr:uid="{00000000-0005-0000-0000-0000E0510000}"/>
    <cellStyle name="Normal 3 3 23 6" xfId="39537" xr:uid="{00000000-0005-0000-0000-0000E1510000}"/>
    <cellStyle name="Normal 3 3 24" xfId="5527" xr:uid="{00000000-0005-0000-0000-0000E2510000}"/>
    <cellStyle name="Normal 3 3 24 2" xfId="11363" xr:uid="{00000000-0005-0000-0000-0000E3510000}"/>
    <cellStyle name="Normal 3 3 24 2 2" xfId="34848" xr:uid="{00000000-0005-0000-0000-0000E4510000}"/>
    <cellStyle name="Normal 3 3 24 2 3" xfId="25529" xr:uid="{00000000-0005-0000-0000-0000E5510000}"/>
    <cellStyle name="Normal 3 3 24 2 4" xfId="48791" xr:uid="{00000000-0005-0000-0000-0000E6510000}"/>
    <cellStyle name="Normal 3 3 24 3" xfId="16094" xr:uid="{00000000-0005-0000-0000-0000E7510000}"/>
    <cellStyle name="Normal 3 3 24 3 2" xfId="30226" xr:uid="{00000000-0005-0000-0000-0000E8510000}"/>
    <cellStyle name="Normal 3 3 24 3 3" xfId="44121" xr:uid="{00000000-0005-0000-0000-0000E9510000}"/>
    <cellStyle name="Normal 3 3 24 4" xfId="20907" xr:uid="{00000000-0005-0000-0000-0000EA510000}"/>
    <cellStyle name="Normal 3 3 24 5" xfId="39539" xr:uid="{00000000-0005-0000-0000-0000EB510000}"/>
    <cellStyle name="Normal 3 3 25" xfId="418" xr:uid="{00000000-0005-0000-0000-0000EC510000}"/>
    <cellStyle name="Normal 3 3 25 2" xfId="9676" xr:uid="{00000000-0005-0000-0000-0000ED510000}"/>
    <cellStyle name="Normal 3 3 25 2 2" xfId="33167" xr:uid="{00000000-0005-0000-0000-0000EE510000}"/>
    <cellStyle name="Normal 3 3 25 2 3" xfId="23852" xr:uid="{00000000-0005-0000-0000-0000EF510000}"/>
    <cellStyle name="Normal 3 3 25 2 4" xfId="47110" xr:uid="{00000000-0005-0000-0000-0000F0510000}"/>
    <cellStyle name="Normal 3 3 25 3" xfId="14437" xr:uid="{00000000-0005-0000-0000-0000F1510000}"/>
    <cellStyle name="Normal 3 3 25 3 2" xfId="28568" xr:uid="{00000000-0005-0000-0000-0000F2510000}"/>
    <cellStyle name="Normal 3 3 25 3 3" xfId="42448" xr:uid="{00000000-0005-0000-0000-0000F3510000}"/>
    <cellStyle name="Normal 3 3 25 4" xfId="19248" xr:uid="{00000000-0005-0000-0000-0000F4510000}"/>
    <cellStyle name="Normal 3 3 25 5" xfId="37883" xr:uid="{00000000-0005-0000-0000-0000F5510000}"/>
    <cellStyle name="Normal 3 3 26" xfId="9638" xr:uid="{00000000-0005-0000-0000-0000F6510000}"/>
    <cellStyle name="Normal 3 3 26 2" xfId="33130" xr:uid="{00000000-0005-0000-0000-0000F7510000}"/>
    <cellStyle name="Normal 3 3 26 3" xfId="23818" xr:uid="{00000000-0005-0000-0000-0000F8510000}"/>
    <cellStyle name="Normal 3 3 26 4" xfId="47072" xr:uid="{00000000-0005-0000-0000-0000F9510000}"/>
    <cellStyle name="Normal 3 3 27" xfId="14401" xr:uid="{00000000-0005-0000-0000-0000FA510000}"/>
    <cellStyle name="Normal 3 3 27 2" xfId="28533" xr:uid="{00000000-0005-0000-0000-0000FB510000}"/>
    <cellStyle name="Normal 3 3 27 3" xfId="42409" xr:uid="{00000000-0005-0000-0000-0000FC510000}"/>
    <cellStyle name="Normal 3 3 28" xfId="19214" xr:uid="{00000000-0005-0000-0000-0000FD510000}"/>
    <cellStyle name="Normal 3 3 29" xfId="37849" xr:uid="{00000000-0005-0000-0000-0000FE510000}"/>
    <cellStyle name="Normal 3 3 3" xfId="5528" xr:uid="{00000000-0005-0000-0000-0000FF510000}"/>
    <cellStyle name="Normal 3 3 3 2" xfId="5529" xr:uid="{00000000-0005-0000-0000-000000520000}"/>
    <cellStyle name="Normal 3 3 3 2 2" xfId="11365" xr:uid="{00000000-0005-0000-0000-000001520000}"/>
    <cellStyle name="Normal 3 3 3 2 2 2" xfId="34850" xr:uid="{00000000-0005-0000-0000-000002520000}"/>
    <cellStyle name="Normal 3 3 3 2 2 3" xfId="25531" xr:uid="{00000000-0005-0000-0000-000003520000}"/>
    <cellStyle name="Normal 3 3 3 2 2 4" xfId="48793" xr:uid="{00000000-0005-0000-0000-000004520000}"/>
    <cellStyle name="Normal 3 3 3 2 3" xfId="16096" xr:uid="{00000000-0005-0000-0000-000005520000}"/>
    <cellStyle name="Normal 3 3 3 2 3 2" xfId="30228" xr:uid="{00000000-0005-0000-0000-000006520000}"/>
    <cellStyle name="Normal 3 3 3 2 3 3" xfId="44123" xr:uid="{00000000-0005-0000-0000-000007520000}"/>
    <cellStyle name="Normal 3 3 3 2 4" xfId="20909" xr:uid="{00000000-0005-0000-0000-000008520000}"/>
    <cellStyle name="Normal 3 3 3 2 5" xfId="39541" xr:uid="{00000000-0005-0000-0000-000009520000}"/>
    <cellStyle name="Normal 3 3 3 3" xfId="11364" xr:uid="{00000000-0005-0000-0000-00000A520000}"/>
    <cellStyle name="Normal 3 3 3 3 2" xfId="34849" xr:uid="{00000000-0005-0000-0000-00000B520000}"/>
    <cellStyle name="Normal 3 3 3 3 3" xfId="25530" xr:uid="{00000000-0005-0000-0000-00000C520000}"/>
    <cellStyle name="Normal 3 3 3 3 4" xfId="48792" xr:uid="{00000000-0005-0000-0000-00000D520000}"/>
    <cellStyle name="Normal 3 3 3 4" xfId="16095" xr:uid="{00000000-0005-0000-0000-00000E520000}"/>
    <cellStyle name="Normal 3 3 3 4 2" xfId="30227" xr:uid="{00000000-0005-0000-0000-00000F520000}"/>
    <cellStyle name="Normal 3 3 3 4 3" xfId="44122" xr:uid="{00000000-0005-0000-0000-000010520000}"/>
    <cellStyle name="Normal 3 3 3 5" xfId="20908" xr:uid="{00000000-0005-0000-0000-000011520000}"/>
    <cellStyle name="Normal 3 3 3 6" xfId="39540" xr:uid="{00000000-0005-0000-0000-000012520000}"/>
    <cellStyle name="Normal 3 3 4" xfId="5530" xr:uid="{00000000-0005-0000-0000-000013520000}"/>
    <cellStyle name="Normal 3 3 4 2" xfId="5531" xr:uid="{00000000-0005-0000-0000-000014520000}"/>
    <cellStyle name="Normal 3 3 4 2 2" xfId="11367" xr:uid="{00000000-0005-0000-0000-000015520000}"/>
    <cellStyle name="Normal 3 3 4 2 2 2" xfId="34852" xr:uid="{00000000-0005-0000-0000-000016520000}"/>
    <cellStyle name="Normal 3 3 4 2 2 3" xfId="25533" xr:uid="{00000000-0005-0000-0000-000017520000}"/>
    <cellStyle name="Normal 3 3 4 2 2 4" xfId="48795" xr:uid="{00000000-0005-0000-0000-000018520000}"/>
    <cellStyle name="Normal 3 3 4 2 3" xfId="16098" xr:uid="{00000000-0005-0000-0000-000019520000}"/>
    <cellStyle name="Normal 3 3 4 2 3 2" xfId="30230" xr:uid="{00000000-0005-0000-0000-00001A520000}"/>
    <cellStyle name="Normal 3 3 4 2 3 3" xfId="44125" xr:uid="{00000000-0005-0000-0000-00001B520000}"/>
    <cellStyle name="Normal 3 3 4 2 4" xfId="20911" xr:uid="{00000000-0005-0000-0000-00001C520000}"/>
    <cellStyle name="Normal 3 3 4 2 5" xfId="39543" xr:uid="{00000000-0005-0000-0000-00001D520000}"/>
    <cellStyle name="Normal 3 3 4 3" xfId="11366" xr:uid="{00000000-0005-0000-0000-00001E520000}"/>
    <cellStyle name="Normal 3 3 4 3 2" xfId="34851" xr:uid="{00000000-0005-0000-0000-00001F520000}"/>
    <cellStyle name="Normal 3 3 4 3 3" xfId="25532" xr:uid="{00000000-0005-0000-0000-000020520000}"/>
    <cellStyle name="Normal 3 3 4 3 4" xfId="48794" xr:uid="{00000000-0005-0000-0000-000021520000}"/>
    <cellStyle name="Normal 3 3 4 4" xfId="16097" xr:uid="{00000000-0005-0000-0000-000022520000}"/>
    <cellStyle name="Normal 3 3 4 4 2" xfId="30229" xr:uid="{00000000-0005-0000-0000-000023520000}"/>
    <cellStyle name="Normal 3 3 4 4 3" xfId="44124" xr:uid="{00000000-0005-0000-0000-000024520000}"/>
    <cellStyle name="Normal 3 3 4 5" xfId="20910" xr:uid="{00000000-0005-0000-0000-000025520000}"/>
    <cellStyle name="Normal 3 3 4 6" xfId="39542" xr:uid="{00000000-0005-0000-0000-000026520000}"/>
    <cellStyle name="Normal 3 3 5" xfId="5532" xr:uid="{00000000-0005-0000-0000-000027520000}"/>
    <cellStyle name="Normal 3 3 5 2" xfId="5533" xr:uid="{00000000-0005-0000-0000-000028520000}"/>
    <cellStyle name="Normal 3 3 5 2 2" xfId="11369" xr:uid="{00000000-0005-0000-0000-000029520000}"/>
    <cellStyle name="Normal 3 3 5 2 2 2" xfId="34854" xr:uid="{00000000-0005-0000-0000-00002A520000}"/>
    <cellStyle name="Normal 3 3 5 2 2 3" xfId="25535" xr:uid="{00000000-0005-0000-0000-00002B520000}"/>
    <cellStyle name="Normal 3 3 5 2 2 4" xfId="48797" xr:uid="{00000000-0005-0000-0000-00002C520000}"/>
    <cellStyle name="Normal 3 3 5 2 3" xfId="16100" xr:uid="{00000000-0005-0000-0000-00002D520000}"/>
    <cellStyle name="Normal 3 3 5 2 3 2" xfId="30232" xr:uid="{00000000-0005-0000-0000-00002E520000}"/>
    <cellStyle name="Normal 3 3 5 2 3 3" xfId="44127" xr:uid="{00000000-0005-0000-0000-00002F520000}"/>
    <cellStyle name="Normal 3 3 5 2 4" xfId="20913" xr:uid="{00000000-0005-0000-0000-000030520000}"/>
    <cellStyle name="Normal 3 3 5 2 5" xfId="39545" xr:uid="{00000000-0005-0000-0000-000031520000}"/>
    <cellStyle name="Normal 3 3 5 3" xfId="11368" xr:uid="{00000000-0005-0000-0000-000032520000}"/>
    <cellStyle name="Normal 3 3 5 3 2" xfId="34853" xr:uid="{00000000-0005-0000-0000-000033520000}"/>
    <cellStyle name="Normal 3 3 5 3 3" xfId="25534" xr:uid="{00000000-0005-0000-0000-000034520000}"/>
    <cellStyle name="Normal 3 3 5 3 4" xfId="48796" xr:uid="{00000000-0005-0000-0000-000035520000}"/>
    <cellStyle name="Normal 3 3 5 4" xfId="16099" xr:uid="{00000000-0005-0000-0000-000036520000}"/>
    <cellStyle name="Normal 3 3 5 4 2" xfId="30231" xr:uid="{00000000-0005-0000-0000-000037520000}"/>
    <cellStyle name="Normal 3 3 5 4 3" xfId="44126" xr:uid="{00000000-0005-0000-0000-000038520000}"/>
    <cellStyle name="Normal 3 3 5 5" xfId="20912" xr:uid="{00000000-0005-0000-0000-000039520000}"/>
    <cellStyle name="Normal 3 3 5 6" xfId="39544" xr:uid="{00000000-0005-0000-0000-00003A520000}"/>
    <cellStyle name="Normal 3 3 6" xfId="5534" xr:uid="{00000000-0005-0000-0000-00003B520000}"/>
    <cellStyle name="Normal 3 3 6 2" xfId="5535" xr:uid="{00000000-0005-0000-0000-00003C520000}"/>
    <cellStyle name="Normal 3 3 6 2 2" xfId="11371" xr:uid="{00000000-0005-0000-0000-00003D520000}"/>
    <cellStyle name="Normal 3 3 6 2 2 2" xfId="34856" xr:uid="{00000000-0005-0000-0000-00003E520000}"/>
    <cellStyle name="Normal 3 3 6 2 2 3" xfId="25537" xr:uid="{00000000-0005-0000-0000-00003F520000}"/>
    <cellStyle name="Normal 3 3 6 2 2 4" xfId="48799" xr:uid="{00000000-0005-0000-0000-000040520000}"/>
    <cellStyle name="Normal 3 3 6 2 3" xfId="16102" xr:uid="{00000000-0005-0000-0000-000041520000}"/>
    <cellStyle name="Normal 3 3 6 2 3 2" xfId="30234" xr:uid="{00000000-0005-0000-0000-000042520000}"/>
    <cellStyle name="Normal 3 3 6 2 3 3" xfId="44129" xr:uid="{00000000-0005-0000-0000-000043520000}"/>
    <cellStyle name="Normal 3 3 6 2 4" xfId="20915" xr:uid="{00000000-0005-0000-0000-000044520000}"/>
    <cellStyle name="Normal 3 3 6 2 5" xfId="39547" xr:uid="{00000000-0005-0000-0000-000045520000}"/>
    <cellStyle name="Normal 3 3 6 3" xfId="11370" xr:uid="{00000000-0005-0000-0000-000046520000}"/>
    <cellStyle name="Normal 3 3 6 3 2" xfId="34855" xr:uid="{00000000-0005-0000-0000-000047520000}"/>
    <cellStyle name="Normal 3 3 6 3 3" xfId="25536" xr:uid="{00000000-0005-0000-0000-000048520000}"/>
    <cellStyle name="Normal 3 3 6 3 4" xfId="48798" xr:uid="{00000000-0005-0000-0000-000049520000}"/>
    <cellStyle name="Normal 3 3 6 4" xfId="16101" xr:uid="{00000000-0005-0000-0000-00004A520000}"/>
    <cellStyle name="Normal 3 3 6 4 2" xfId="30233" xr:uid="{00000000-0005-0000-0000-00004B520000}"/>
    <cellStyle name="Normal 3 3 6 4 3" xfId="44128" xr:uid="{00000000-0005-0000-0000-00004C520000}"/>
    <cellStyle name="Normal 3 3 6 5" xfId="20914" xr:uid="{00000000-0005-0000-0000-00004D520000}"/>
    <cellStyle name="Normal 3 3 6 6" xfId="39546" xr:uid="{00000000-0005-0000-0000-00004E520000}"/>
    <cellStyle name="Normal 3 3 7" xfId="5536" xr:uid="{00000000-0005-0000-0000-00004F520000}"/>
    <cellStyle name="Normal 3 3 7 2" xfId="5537" xr:uid="{00000000-0005-0000-0000-000050520000}"/>
    <cellStyle name="Normal 3 3 7 2 2" xfId="11373" xr:uid="{00000000-0005-0000-0000-000051520000}"/>
    <cellStyle name="Normal 3 3 7 2 2 2" xfId="34858" xr:uid="{00000000-0005-0000-0000-000052520000}"/>
    <cellStyle name="Normal 3 3 7 2 2 3" xfId="25539" xr:uid="{00000000-0005-0000-0000-000053520000}"/>
    <cellStyle name="Normal 3 3 7 2 2 4" xfId="48801" xr:uid="{00000000-0005-0000-0000-000054520000}"/>
    <cellStyle name="Normal 3 3 7 2 3" xfId="16104" xr:uid="{00000000-0005-0000-0000-000055520000}"/>
    <cellStyle name="Normal 3 3 7 2 3 2" xfId="30236" xr:uid="{00000000-0005-0000-0000-000056520000}"/>
    <cellStyle name="Normal 3 3 7 2 3 3" xfId="44131" xr:uid="{00000000-0005-0000-0000-000057520000}"/>
    <cellStyle name="Normal 3 3 7 2 4" xfId="20917" xr:uid="{00000000-0005-0000-0000-000058520000}"/>
    <cellStyle name="Normal 3 3 7 2 5" xfId="39549" xr:uid="{00000000-0005-0000-0000-000059520000}"/>
    <cellStyle name="Normal 3 3 7 3" xfId="11372" xr:uid="{00000000-0005-0000-0000-00005A520000}"/>
    <cellStyle name="Normal 3 3 7 3 2" xfId="34857" xr:uid="{00000000-0005-0000-0000-00005B520000}"/>
    <cellStyle name="Normal 3 3 7 3 3" xfId="25538" xr:uid="{00000000-0005-0000-0000-00005C520000}"/>
    <cellStyle name="Normal 3 3 7 3 4" xfId="48800" xr:uid="{00000000-0005-0000-0000-00005D520000}"/>
    <cellStyle name="Normal 3 3 7 4" xfId="16103" xr:uid="{00000000-0005-0000-0000-00005E520000}"/>
    <cellStyle name="Normal 3 3 7 4 2" xfId="30235" xr:uid="{00000000-0005-0000-0000-00005F520000}"/>
    <cellStyle name="Normal 3 3 7 4 3" xfId="44130" xr:uid="{00000000-0005-0000-0000-000060520000}"/>
    <cellStyle name="Normal 3 3 7 5" xfId="20916" xr:uid="{00000000-0005-0000-0000-000061520000}"/>
    <cellStyle name="Normal 3 3 7 6" xfId="39548" xr:uid="{00000000-0005-0000-0000-000062520000}"/>
    <cellStyle name="Normal 3 3 8" xfId="5538" xr:uid="{00000000-0005-0000-0000-000063520000}"/>
    <cellStyle name="Normal 3 3 8 2" xfId="5539" xr:uid="{00000000-0005-0000-0000-000064520000}"/>
    <cellStyle name="Normal 3 3 8 2 2" xfId="11375" xr:uid="{00000000-0005-0000-0000-000065520000}"/>
    <cellStyle name="Normal 3 3 8 2 2 2" xfId="34860" xr:uid="{00000000-0005-0000-0000-000066520000}"/>
    <cellStyle name="Normal 3 3 8 2 2 3" xfId="25541" xr:uid="{00000000-0005-0000-0000-000067520000}"/>
    <cellStyle name="Normal 3 3 8 2 2 4" xfId="48803" xr:uid="{00000000-0005-0000-0000-000068520000}"/>
    <cellStyle name="Normal 3 3 8 2 3" xfId="16106" xr:uid="{00000000-0005-0000-0000-000069520000}"/>
    <cellStyle name="Normal 3 3 8 2 3 2" xfId="30238" xr:uid="{00000000-0005-0000-0000-00006A520000}"/>
    <cellStyle name="Normal 3 3 8 2 3 3" xfId="44133" xr:uid="{00000000-0005-0000-0000-00006B520000}"/>
    <cellStyle name="Normal 3 3 8 2 4" xfId="20919" xr:uid="{00000000-0005-0000-0000-00006C520000}"/>
    <cellStyle name="Normal 3 3 8 2 5" xfId="39551" xr:uid="{00000000-0005-0000-0000-00006D520000}"/>
    <cellStyle name="Normal 3 3 8 3" xfId="11374" xr:uid="{00000000-0005-0000-0000-00006E520000}"/>
    <cellStyle name="Normal 3 3 8 3 2" xfId="34859" xr:uid="{00000000-0005-0000-0000-00006F520000}"/>
    <cellStyle name="Normal 3 3 8 3 3" xfId="25540" xr:uid="{00000000-0005-0000-0000-000070520000}"/>
    <cellStyle name="Normal 3 3 8 3 4" xfId="48802" xr:uid="{00000000-0005-0000-0000-000071520000}"/>
    <cellStyle name="Normal 3 3 8 4" xfId="16105" xr:uid="{00000000-0005-0000-0000-000072520000}"/>
    <cellStyle name="Normal 3 3 8 4 2" xfId="30237" xr:uid="{00000000-0005-0000-0000-000073520000}"/>
    <cellStyle name="Normal 3 3 8 4 3" xfId="44132" xr:uid="{00000000-0005-0000-0000-000074520000}"/>
    <cellStyle name="Normal 3 3 8 5" xfId="20918" xr:uid="{00000000-0005-0000-0000-000075520000}"/>
    <cellStyle name="Normal 3 3 8 6" xfId="39550" xr:uid="{00000000-0005-0000-0000-000076520000}"/>
    <cellStyle name="Normal 3 3 9" xfId="5540" xr:uid="{00000000-0005-0000-0000-000077520000}"/>
    <cellStyle name="Normal 3 3 9 2" xfId="5541" xr:uid="{00000000-0005-0000-0000-000078520000}"/>
    <cellStyle name="Normal 3 3 9 2 2" xfId="11377" xr:uid="{00000000-0005-0000-0000-000079520000}"/>
    <cellStyle name="Normal 3 3 9 2 2 2" xfId="34862" xr:uid="{00000000-0005-0000-0000-00007A520000}"/>
    <cellStyle name="Normal 3 3 9 2 2 3" xfId="25543" xr:uid="{00000000-0005-0000-0000-00007B520000}"/>
    <cellStyle name="Normal 3 3 9 2 2 4" xfId="48805" xr:uid="{00000000-0005-0000-0000-00007C520000}"/>
    <cellStyle name="Normal 3 3 9 2 3" xfId="16108" xr:uid="{00000000-0005-0000-0000-00007D520000}"/>
    <cellStyle name="Normal 3 3 9 2 3 2" xfId="30240" xr:uid="{00000000-0005-0000-0000-00007E520000}"/>
    <cellStyle name="Normal 3 3 9 2 3 3" xfId="44135" xr:uid="{00000000-0005-0000-0000-00007F520000}"/>
    <cellStyle name="Normal 3 3 9 2 4" xfId="20921" xr:uid="{00000000-0005-0000-0000-000080520000}"/>
    <cellStyle name="Normal 3 3 9 2 5" xfId="39553" xr:uid="{00000000-0005-0000-0000-000081520000}"/>
    <cellStyle name="Normal 3 3 9 3" xfId="11376" xr:uid="{00000000-0005-0000-0000-000082520000}"/>
    <cellStyle name="Normal 3 3 9 3 2" xfId="34861" xr:uid="{00000000-0005-0000-0000-000083520000}"/>
    <cellStyle name="Normal 3 3 9 3 3" xfId="25542" xr:uid="{00000000-0005-0000-0000-000084520000}"/>
    <cellStyle name="Normal 3 3 9 3 4" xfId="48804" xr:uid="{00000000-0005-0000-0000-000085520000}"/>
    <cellStyle name="Normal 3 3 9 4" xfId="16107" xr:uid="{00000000-0005-0000-0000-000086520000}"/>
    <cellStyle name="Normal 3 3 9 4 2" xfId="30239" xr:uid="{00000000-0005-0000-0000-000087520000}"/>
    <cellStyle name="Normal 3 3 9 4 3" xfId="44134" xr:uid="{00000000-0005-0000-0000-000088520000}"/>
    <cellStyle name="Normal 3 3 9 5" xfId="20920" xr:uid="{00000000-0005-0000-0000-000089520000}"/>
    <cellStyle name="Normal 3 3 9 6" xfId="39552" xr:uid="{00000000-0005-0000-0000-00008A520000}"/>
    <cellStyle name="Normal 3 30" xfId="5542" xr:uid="{00000000-0005-0000-0000-00008B520000}"/>
    <cellStyle name="Normal 3 30 2" xfId="5543" xr:uid="{00000000-0005-0000-0000-00008C520000}"/>
    <cellStyle name="Normal 3 30 2 2" xfId="11379" xr:uid="{00000000-0005-0000-0000-00008D520000}"/>
    <cellStyle name="Normal 3 30 2 2 2" xfId="34864" xr:uid="{00000000-0005-0000-0000-00008E520000}"/>
    <cellStyle name="Normal 3 30 2 2 3" xfId="25545" xr:uid="{00000000-0005-0000-0000-00008F520000}"/>
    <cellStyle name="Normal 3 30 2 2 4" xfId="48807" xr:uid="{00000000-0005-0000-0000-000090520000}"/>
    <cellStyle name="Normal 3 30 2 3" xfId="16110" xr:uid="{00000000-0005-0000-0000-000091520000}"/>
    <cellStyle name="Normal 3 30 2 3 2" xfId="30242" xr:uid="{00000000-0005-0000-0000-000092520000}"/>
    <cellStyle name="Normal 3 30 2 3 3" xfId="44137" xr:uid="{00000000-0005-0000-0000-000093520000}"/>
    <cellStyle name="Normal 3 30 2 4" xfId="20923" xr:uid="{00000000-0005-0000-0000-000094520000}"/>
    <cellStyle name="Normal 3 30 2 5" xfId="39555" xr:uid="{00000000-0005-0000-0000-000095520000}"/>
    <cellStyle name="Normal 3 30 3" xfId="11378" xr:uid="{00000000-0005-0000-0000-000096520000}"/>
    <cellStyle name="Normal 3 30 3 2" xfId="34863" xr:uid="{00000000-0005-0000-0000-000097520000}"/>
    <cellStyle name="Normal 3 30 3 3" xfId="25544" xr:uid="{00000000-0005-0000-0000-000098520000}"/>
    <cellStyle name="Normal 3 30 3 4" xfId="48806" xr:uid="{00000000-0005-0000-0000-000099520000}"/>
    <cellStyle name="Normal 3 30 4" xfId="16109" xr:uid="{00000000-0005-0000-0000-00009A520000}"/>
    <cellStyle name="Normal 3 30 4 2" xfId="30241" xr:uid="{00000000-0005-0000-0000-00009B520000}"/>
    <cellStyle name="Normal 3 30 4 3" xfId="44136" xr:uid="{00000000-0005-0000-0000-00009C520000}"/>
    <cellStyle name="Normal 3 30 5" xfId="20922" xr:uid="{00000000-0005-0000-0000-00009D520000}"/>
    <cellStyle name="Normal 3 30 6" xfId="39554" xr:uid="{00000000-0005-0000-0000-00009E520000}"/>
    <cellStyle name="Normal 3 31" xfId="5544" xr:uid="{00000000-0005-0000-0000-00009F520000}"/>
    <cellStyle name="Normal 3 31 2" xfId="5545" xr:uid="{00000000-0005-0000-0000-0000A0520000}"/>
    <cellStyle name="Normal 3 31 2 2" xfId="11381" xr:uid="{00000000-0005-0000-0000-0000A1520000}"/>
    <cellStyle name="Normal 3 31 2 2 2" xfId="34866" xr:uid="{00000000-0005-0000-0000-0000A2520000}"/>
    <cellStyle name="Normal 3 31 2 2 3" xfId="25547" xr:uid="{00000000-0005-0000-0000-0000A3520000}"/>
    <cellStyle name="Normal 3 31 2 2 4" xfId="48809" xr:uid="{00000000-0005-0000-0000-0000A4520000}"/>
    <cellStyle name="Normal 3 31 2 3" xfId="16112" xr:uid="{00000000-0005-0000-0000-0000A5520000}"/>
    <cellStyle name="Normal 3 31 2 3 2" xfId="30244" xr:uid="{00000000-0005-0000-0000-0000A6520000}"/>
    <cellStyle name="Normal 3 31 2 3 3" xfId="44139" xr:uid="{00000000-0005-0000-0000-0000A7520000}"/>
    <cellStyle name="Normal 3 31 2 4" xfId="20925" xr:uid="{00000000-0005-0000-0000-0000A8520000}"/>
    <cellStyle name="Normal 3 31 2 5" xfId="39557" xr:uid="{00000000-0005-0000-0000-0000A9520000}"/>
    <cellStyle name="Normal 3 31 3" xfId="11380" xr:uid="{00000000-0005-0000-0000-0000AA520000}"/>
    <cellStyle name="Normal 3 31 3 2" xfId="34865" xr:uid="{00000000-0005-0000-0000-0000AB520000}"/>
    <cellStyle name="Normal 3 31 3 3" xfId="25546" xr:uid="{00000000-0005-0000-0000-0000AC520000}"/>
    <cellStyle name="Normal 3 31 3 4" xfId="48808" xr:uid="{00000000-0005-0000-0000-0000AD520000}"/>
    <cellStyle name="Normal 3 31 4" xfId="16111" xr:uid="{00000000-0005-0000-0000-0000AE520000}"/>
    <cellStyle name="Normal 3 31 4 2" xfId="30243" xr:uid="{00000000-0005-0000-0000-0000AF520000}"/>
    <cellStyle name="Normal 3 31 4 3" xfId="44138" xr:uid="{00000000-0005-0000-0000-0000B0520000}"/>
    <cellStyle name="Normal 3 31 5" xfId="20924" xr:uid="{00000000-0005-0000-0000-0000B1520000}"/>
    <cellStyle name="Normal 3 31 6" xfId="39556" xr:uid="{00000000-0005-0000-0000-0000B2520000}"/>
    <cellStyle name="Normal 3 32" xfId="5546" xr:uid="{00000000-0005-0000-0000-0000B3520000}"/>
    <cellStyle name="Normal 3 32 2" xfId="5547" xr:uid="{00000000-0005-0000-0000-0000B4520000}"/>
    <cellStyle name="Normal 3 32 2 2" xfId="11383" xr:uid="{00000000-0005-0000-0000-0000B5520000}"/>
    <cellStyle name="Normal 3 32 2 2 2" xfId="34868" xr:uid="{00000000-0005-0000-0000-0000B6520000}"/>
    <cellStyle name="Normal 3 32 2 2 3" xfId="25549" xr:uid="{00000000-0005-0000-0000-0000B7520000}"/>
    <cellStyle name="Normal 3 32 2 2 4" xfId="48811" xr:uid="{00000000-0005-0000-0000-0000B8520000}"/>
    <cellStyle name="Normal 3 32 2 3" xfId="16114" xr:uid="{00000000-0005-0000-0000-0000B9520000}"/>
    <cellStyle name="Normal 3 32 2 3 2" xfId="30246" xr:uid="{00000000-0005-0000-0000-0000BA520000}"/>
    <cellStyle name="Normal 3 32 2 3 3" xfId="44141" xr:uid="{00000000-0005-0000-0000-0000BB520000}"/>
    <cellStyle name="Normal 3 32 2 4" xfId="20927" xr:uid="{00000000-0005-0000-0000-0000BC520000}"/>
    <cellStyle name="Normal 3 32 2 5" xfId="39559" xr:uid="{00000000-0005-0000-0000-0000BD520000}"/>
    <cellStyle name="Normal 3 32 3" xfId="11382" xr:uid="{00000000-0005-0000-0000-0000BE520000}"/>
    <cellStyle name="Normal 3 32 3 2" xfId="34867" xr:uid="{00000000-0005-0000-0000-0000BF520000}"/>
    <cellStyle name="Normal 3 32 3 3" xfId="25548" xr:uid="{00000000-0005-0000-0000-0000C0520000}"/>
    <cellStyle name="Normal 3 32 3 4" xfId="48810" xr:uid="{00000000-0005-0000-0000-0000C1520000}"/>
    <cellStyle name="Normal 3 32 4" xfId="16113" xr:uid="{00000000-0005-0000-0000-0000C2520000}"/>
    <cellStyle name="Normal 3 32 4 2" xfId="30245" xr:uid="{00000000-0005-0000-0000-0000C3520000}"/>
    <cellStyle name="Normal 3 32 4 3" xfId="44140" xr:uid="{00000000-0005-0000-0000-0000C4520000}"/>
    <cellStyle name="Normal 3 32 5" xfId="20926" xr:uid="{00000000-0005-0000-0000-0000C5520000}"/>
    <cellStyle name="Normal 3 32 6" xfId="39558" xr:uid="{00000000-0005-0000-0000-0000C6520000}"/>
    <cellStyle name="Normal 3 33" xfId="5548" xr:uid="{00000000-0005-0000-0000-0000C7520000}"/>
    <cellStyle name="Normal 3 33 2" xfId="5549" xr:uid="{00000000-0005-0000-0000-0000C8520000}"/>
    <cellStyle name="Normal 3 33 2 2" xfId="11385" xr:uid="{00000000-0005-0000-0000-0000C9520000}"/>
    <cellStyle name="Normal 3 33 2 2 2" xfId="34870" xr:uid="{00000000-0005-0000-0000-0000CA520000}"/>
    <cellStyle name="Normal 3 33 2 2 3" xfId="25551" xr:uid="{00000000-0005-0000-0000-0000CB520000}"/>
    <cellStyle name="Normal 3 33 2 2 4" xfId="48813" xr:uid="{00000000-0005-0000-0000-0000CC520000}"/>
    <cellStyle name="Normal 3 33 2 3" xfId="16116" xr:uid="{00000000-0005-0000-0000-0000CD520000}"/>
    <cellStyle name="Normal 3 33 2 3 2" xfId="30248" xr:uid="{00000000-0005-0000-0000-0000CE520000}"/>
    <cellStyle name="Normal 3 33 2 3 3" xfId="44143" xr:uid="{00000000-0005-0000-0000-0000CF520000}"/>
    <cellStyle name="Normal 3 33 2 4" xfId="20929" xr:uid="{00000000-0005-0000-0000-0000D0520000}"/>
    <cellStyle name="Normal 3 33 2 5" xfId="39561" xr:uid="{00000000-0005-0000-0000-0000D1520000}"/>
    <cellStyle name="Normal 3 33 3" xfId="11384" xr:uid="{00000000-0005-0000-0000-0000D2520000}"/>
    <cellStyle name="Normal 3 33 3 2" xfId="34869" xr:uid="{00000000-0005-0000-0000-0000D3520000}"/>
    <cellStyle name="Normal 3 33 3 3" xfId="25550" xr:uid="{00000000-0005-0000-0000-0000D4520000}"/>
    <cellStyle name="Normal 3 33 3 4" xfId="48812" xr:uid="{00000000-0005-0000-0000-0000D5520000}"/>
    <cellStyle name="Normal 3 33 4" xfId="16115" xr:uid="{00000000-0005-0000-0000-0000D6520000}"/>
    <cellStyle name="Normal 3 33 4 2" xfId="30247" xr:uid="{00000000-0005-0000-0000-0000D7520000}"/>
    <cellStyle name="Normal 3 33 4 3" xfId="44142" xr:uid="{00000000-0005-0000-0000-0000D8520000}"/>
    <cellStyle name="Normal 3 33 5" xfId="20928" xr:uid="{00000000-0005-0000-0000-0000D9520000}"/>
    <cellStyle name="Normal 3 33 6" xfId="39560" xr:uid="{00000000-0005-0000-0000-0000DA520000}"/>
    <cellStyle name="Normal 3 34" xfId="5550" xr:uid="{00000000-0005-0000-0000-0000DB520000}"/>
    <cellStyle name="Normal 3 34 2" xfId="5551" xr:uid="{00000000-0005-0000-0000-0000DC520000}"/>
    <cellStyle name="Normal 3 34 2 2" xfId="11387" xr:uid="{00000000-0005-0000-0000-0000DD520000}"/>
    <cellStyle name="Normal 3 34 2 2 2" xfId="34872" xr:uid="{00000000-0005-0000-0000-0000DE520000}"/>
    <cellStyle name="Normal 3 34 2 2 3" xfId="25553" xr:uid="{00000000-0005-0000-0000-0000DF520000}"/>
    <cellStyle name="Normal 3 34 2 2 4" xfId="48815" xr:uid="{00000000-0005-0000-0000-0000E0520000}"/>
    <cellStyle name="Normal 3 34 2 3" xfId="16118" xr:uid="{00000000-0005-0000-0000-0000E1520000}"/>
    <cellStyle name="Normal 3 34 2 3 2" xfId="30250" xr:uid="{00000000-0005-0000-0000-0000E2520000}"/>
    <cellStyle name="Normal 3 34 2 3 3" xfId="44145" xr:uid="{00000000-0005-0000-0000-0000E3520000}"/>
    <cellStyle name="Normal 3 34 2 4" xfId="20931" xr:uid="{00000000-0005-0000-0000-0000E4520000}"/>
    <cellStyle name="Normal 3 34 2 5" xfId="39563" xr:uid="{00000000-0005-0000-0000-0000E5520000}"/>
    <cellStyle name="Normal 3 34 3" xfId="11386" xr:uid="{00000000-0005-0000-0000-0000E6520000}"/>
    <cellStyle name="Normal 3 34 3 2" xfId="34871" xr:uid="{00000000-0005-0000-0000-0000E7520000}"/>
    <cellStyle name="Normal 3 34 3 3" xfId="25552" xr:uid="{00000000-0005-0000-0000-0000E8520000}"/>
    <cellStyle name="Normal 3 34 3 4" xfId="48814" xr:uid="{00000000-0005-0000-0000-0000E9520000}"/>
    <cellStyle name="Normal 3 34 4" xfId="16117" xr:uid="{00000000-0005-0000-0000-0000EA520000}"/>
    <cellStyle name="Normal 3 34 4 2" xfId="30249" xr:uid="{00000000-0005-0000-0000-0000EB520000}"/>
    <cellStyle name="Normal 3 34 4 3" xfId="44144" xr:uid="{00000000-0005-0000-0000-0000EC520000}"/>
    <cellStyle name="Normal 3 34 5" xfId="20930" xr:uid="{00000000-0005-0000-0000-0000ED520000}"/>
    <cellStyle name="Normal 3 34 6" xfId="39562" xr:uid="{00000000-0005-0000-0000-0000EE520000}"/>
    <cellStyle name="Normal 3 35" xfId="5552" xr:uid="{00000000-0005-0000-0000-0000EF520000}"/>
    <cellStyle name="Normal 3 35 2" xfId="5553" xr:uid="{00000000-0005-0000-0000-0000F0520000}"/>
    <cellStyle name="Normal 3 35 2 2" xfId="11389" xr:uid="{00000000-0005-0000-0000-0000F1520000}"/>
    <cellStyle name="Normal 3 35 2 2 2" xfId="34874" xr:uid="{00000000-0005-0000-0000-0000F2520000}"/>
    <cellStyle name="Normal 3 35 2 2 3" xfId="25555" xr:uid="{00000000-0005-0000-0000-0000F3520000}"/>
    <cellStyle name="Normal 3 35 2 2 4" xfId="48817" xr:uid="{00000000-0005-0000-0000-0000F4520000}"/>
    <cellStyle name="Normal 3 35 2 3" xfId="16120" xr:uid="{00000000-0005-0000-0000-0000F5520000}"/>
    <cellStyle name="Normal 3 35 2 3 2" xfId="30252" xr:uid="{00000000-0005-0000-0000-0000F6520000}"/>
    <cellStyle name="Normal 3 35 2 3 3" xfId="44147" xr:uid="{00000000-0005-0000-0000-0000F7520000}"/>
    <cellStyle name="Normal 3 35 2 4" xfId="20933" xr:uid="{00000000-0005-0000-0000-0000F8520000}"/>
    <cellStyle name="Normal 3 35 2 5" xfId="39565" xr:uid="{00000000-0005-0000-0000-0000F9520000}"/>
    <cellStyle name="Normal 3 35 3" xfId="11388" xr:uid="{00000000-0005-0000-0000-0000FA520000}"/>
    <cellStyle name="Normal 3 35 3 2" xfId="34873" xr:uid="{00000000-0005-0000-0000-0000FB520000}"/>
    <cellStyle name="Normal 3 35 3 3" xfId="25554" xr:uid="{00000000-0005-0000-0000-0000FC520000}"/>
    <cellStyle name="Normal 3 35 3 4" xfId="48816" xr:uid="{00000000-0005-0000-0000-0000FD520000}"/>
    <cellStyle name="Normal 3 35 4" xfId="16119" xr:uid="{00000000-0005-0000-0000-0000FE520000}"/>
    <cellStyle name="Normal 3 35 4 2" xfId="30251" xr:uid="{00000000-0005-0000-0000-0000FF520000}"/>
    <cellStyle name="Normal 3 35 4 3" xfId="44146" xr:uid="{00000000-0005-0000-0000-000000530000}"/>
    <cellStyle name="Normal 3 35 5" xfId="20932" xr:uid="{00000000-0005-0000-0000-000001530000}"/>
    <cellStyle name="Normal 3 35 6" xfId="39564" xr:uid="{00000000-0005-0000-0000-000002530000}"/>
    <cellStyle name="Normal 3 36" xfId="5554" xr:uid="{00000000-0005-0000-0000-000003530000}"/>
    <cellStyle name="Normal 3 36 2" xfId="5555" xr:uid="{00000000-0005-0000-0000-000004530000}"/>
    <cellStyle name="Normal 3 36 2 2" xfId="11391" xr:uid="{00000000-0005-0000-0000-000005530000}"/>
    <cellStyle name="Normal 3 36 2 2 2" xfId="34876" xr:uid="{00000000-0005-0000-0000-000006530000}"/>
    <cellStyle name="Normal 3 36 2 2 3" xfId="25557" xr:uid="{00000000-0005-0000-0000-000007530000}"/>
    <cellStyle name="Normal 3 36 2 2 4" xfId="48819" xr:uid="{00000000-0005-0000-0000-000008530000}"/>
    <cellStyle name="Normal 3 36 2 3" xfId="16122" xr:uid="{00000000-0005-0000-0000-000009530000}"/>
    <cellStyle name="Normal 3 36 2 3 2" xfId="30254" xr:uid="{00000000-0005-0000-0000-00000A530000}"/>
    <cellStyle name="Normal 3 36 2 3 3" xfId="44149" xr:uid="{00000000-0005-0000-0000-00000B530000}"/>
    <cellStyle name="Normal 3 36 2 4" xfId="20935" xr:uid="{00000000-0005-0000-0000-00000C530000}"/>
    <cellStyle name="Normal 3 36 2 5" xfId="39567" xr:uid="{00000000-0005-0000-0000-00000D530000}"/>
    <cellStyle name="Normal 3 36 3" xfId="11390" xr:uid="{00000000-0005-0000-0000-00000E530000}"/>
    <cellStyle name="Normal 3 36 3 2" xfId="34875" xr:uid="{00000000-0005-0000-0000-00000F530000}"/>
    <cellStyle name="Normal 3 36 3 3" xfId="25556" xr:uid="{00000000-0005-0000-0000-000010530000}"/>
    <cellStyle name="Normal 3 36 3 4" xfId="48818" xr:uid="{00000000-0005-0000-0000-000011530000}"/>
    <cellStyle name="Normal 3 36 4" xfId="16121" xr:uid="{00000000-0005-0000-0000-000012530000}"/>
    <cellStyle name="Normal 3 36 4 2" xfId="30253" xr:uid="{00000000-0005-0000-0000-000013530000}"/>
    <cellStyle name="Normal 3 36 4 3" xfId="44148" xr:uid="{00000000-0005-0000-0000-000014530000}"/>
    <cellStyle name="Normal 3 36 5" xfId="20934" xr:uid="{00000000-0005-0000-0000-000015530000}"/>
    <cellStyle name="Normal 3 36 6" xfId="39566" xr:uid="{00000000-0005-0000-0000-000016530000}"/>
    <cellStyle name="Normal 3 37" xfId="5556" xr:uid="{00000000-0005-0000-0000-000017530000}"/>
    <cellStyle name="Normal 3 37 2" xfId="5557" xr:uid="{00000000-0005-0000-0000-000018530000}"/>
    <cellStyle name="Normal 3 37 2 2" xfId="11393" xr:uid="{00000000-0005-0000-0000-000019530000}"/>
    <cellStyle name="Normal 3 37 2 2 2" xfId="34878" xr:uid="{00000000-0005-0000-0000-00001A530000}"/>
    <cellStyle name="Normal 3 37 2 2 3" xfId="25559" xr:uid="{00000000-0005-0000-0000-00001B530000}"/>
    <cellStyle name="Normal 3 37 2 2 4" xfId="48821" xr:uid="{00000000-0005-0000-0000-00001C530000}"/>
    <cellStyle name="Normal 3 37 2 3" xfId="16124" xr:uid="{00000000-0005-0000-0000-00001D530000}"/>
    <cellStyle name="Normal 3 37 2 3 2" xfId="30256" xr:uid="{00000000-0005-0000-0000-00001E530000}"/>
    <cellStyle name="Normal 3 37 2 3 3" xfId="44151" xr:uid="{00000000-0005-0000-0000-00001F530000}"/>
    <cellStyle name="Normal 3 37 2 4" xfId="20937" xr:uid="{00000000-0005-0000-0000-000020530000}"/>
    <cellStyle name="Normal 3 37 2 5" xfId="39569" xr:uid="{00000000-0005-0000-0000-000021530000}"/>
    <cellStyle name="Normal 3 37 3" xfId="11392" xr:uid="{00000000-0005-0000-0000-000022530000}"/>
    <cellStyle name="Normal 3 37 3 2" xfId="34877" xr:uid="{00000000-0005-0000-0000-000023530000}"/>
    <cellStyle name="Normal 3 37 3 3" xfId="25558" xr:uid="{00000000-0005-0000-0000-000024530000}"/>
    <cellStyle name="Normal 3 37 3 4" xfId="48820" xr:uid="{00000000-0005-0000-0000-000025530000}"/>
    <cellStyle name="Normal 3 37 4" xfId="16123" xr:uid="{00000000-0005-0000-0000-000026530000}"/>
    <cellStyle name="Normal 3 37 4 2" xfId="30255" xr:uid="{00000000-0005-0000-0000-000027530000}"/>
    <cellStyle name="Normal 3 37 4 3" xfId="44150" xr:uid="{00000000-0005-0000-0000-000028530000}"/>
    <cellStyle name="Normal 3 37 5" xfId="20936" xr:uid="{00000000-0005-0000-0000-000029530000}"/>
    <cellStyle name="Normal 3 37 6" xfId="39568" xr:uid="{00000000-0005-0000-0000-00002A530000}"/>
    <cellStyle name="Normal 3 38" xfId="5558" xr:uid="{00000000-0005-0000-0000-00002B530000}"/>
    <cellStyle name="Normal 3 38 2" xfId="5559" xr:uid="{00000000-0005-0000-0000-00002C530000}"/>
    <cellStyle name="Normal 3 38 2 2" xfId="11395" xr:uid="{00000000-0005-0000-0000-00002D530000}"/>
    <cellStyle name="Normal 3 38 2 2 2" xfId="34880" xr:uid="{00000000-0005-0000-0000-00002E530000}"/>
    <cellStyle name="Normal 3 38 2 2 3" xfId="25561" xr:uid="{00000000-0005-0000-0000-00002F530000}"/>
    <cellStyle name="Normal 3 38 2 2 4" xfId="48823" xr:uid="{00000000-0005-0000-0000-000030530000}"/>
    <cellStyle name="Normal 3 38 2 3" xfId="16126" xr:uid="{00000000-0005-0000-0000-000031530000}"/>
    <cellStyle name="Normal 3 38 2 3 2" xfId="30258" xr:uid="{00000000-0005-0000-0000-000032530000}"/>
    <cellStyle name="Normal 3 38 2 3 3" xfId="44153" xr:uid="{00000000-0005-0000-0000-000033530000}"/>
    <cellStyle name="Normal 3 38 2 4" xfId="20939" xr:uid="{00000000-0005-0000-0000-000034530000}"/>
    <cellStyle name="Normal 3 38 2 5" xfId="39571" xr:uid="{00000000-0005-0000-0000-000035530000}"/>
    <cellStyle name="Normal 3 38 3" xfId="11394" xr:uid="{00000000-0005-0000-0000-000036530000}"/>
    <cellStyle name="Normal 3 38 3 2" xfId="34879" xr:uid="{00000000-0005-0000-0000-000037530000}"/>
    <cellStyle name="Normal 3 38 3 3" xfId="25560" xr:uid="{00000000-0005-0000-0000-000038530000}"/>
    <cellStyle name="Normal 3 38 3 4" xfId="48822" xr:uid="{00000000-0005-0000-0000-000039530000}"/>
    <cellStyle name="Normal 3 38 4" xfId="16125" xr:uid="{00000000-0005-0000-0000-00003A530000}"/>
    <cellStyle name="Normal 3 38 4 2" xfId="30257" xr:uid="{00000000-0005-0000-0000-00003B530000}"/>
    <cellStyle name="Normal 3 38 4 3" xfId="44152" xr:uid="{00000000-0005-0000-0000-00003C530000}"/>
    <cellStyle name="Normal 3 38 5" xfId="20938" xr:uid="{00000000-0005-0000-0000-00003D530000}"/>
    <cellStyle name="Normal 3 38 6" xfId="39570" xr:uid="{00000000-0005-0000-0000-00003E530000}"/>
    <cellStyle name="Normal 3 39" xfId="5560" xr:uid="{00000000-0005-0000-0000-00003F530000}"/>
    <cellStyle name="Normal 3 39 2" xfId="5561" xr:uid="{00000000-0005-0000-0000-000040530000}"/>
    <cellStyle name="Normal 3 39 2 2" xfId="11397" xr:uid="{00000000-0005-0000-0000-000041530000}"/>
    <cellStyle name="Normal 3 39 2 2 2" xfId="34882" xr:uid="{00000000-0005-0000-0000-000042530000}"/>
    <cellStyle name="Normal 3 39 2 2 3" xfId="25563" xr:uid="{00000000-0005-0000-0000-000043530000}"/>
    <cellStyle name="Normal 3 39 2 2 4" xfId="48825" xr:uid="{00000000-0005-0000-0000-000044530000}"/>
    <cellStyle name="Normal 3 39 2 3" xfId="16128" xr:uid="{00000000-0005-0000-0000-000045530000}"/>
    <cellStyle name="Normal 3 39 2 3 2" xfId="30260" xr:uid="{00000000-0005-0000-0000-000046530000}"/>
    <cellStyle name="Normal 3 39 2 3 3" xfId="44155" xr:uid="{00000000-0005-0000-0000-000047530000}"/>
    <cellStyle name="Normal 3 39 2 4" xfId="20941" xr:uid="{00000000-0005-0000-0000-000048530000}"/>
    <cellStyle name="Normal 3 39 2 5" xfId="39573" xr:uid="{00000000-0005-0000-0000-000049530000}"/>
    <cellStyle name="Normal 3 39 3" xfId="11396" xr:uid="{00000000-0005-0000-0000-00004A530000}"/>
    <cellStyle name="Normal 3 39 3 2" xfId="34881" xr:uid="{00000000-0005-0000-0000-00004B530000}"/>
    <cellStyle name="Normal 3 39 3 3" xfId="25562" xr:uid="{00000000-0005-0000-0000-00004C530000}"/>
    <cellStyle name="Normal 3 39 3 4" xfId="48824" xr:uid="{00000000-0005-0000-0000-00004D530000}"/>
    <cellStyle name="Normal 3 39 4" xfId="16127" xr:uid="{00000000-0005-0000-0000-00004E530000}"/>
    <cellStyle name="Normal 3 39 4 2" xfId="30259" xr:uid="{00000000-0005-0000-0000-00004F530000}"/>
    <cellStyle name="Normal 3 39 4 3" xfId="44154" xr:uid="{00000000-0005-0000-0000-000050530000}"/>
    <cellStyle name="Normal 3 39 5" xfId="20940" xr:uid="{00000000-0005-0000-0000-000051530000}"/>
    <cellStyle name="Normal 3 39 6" xfId="39572" xr:uid="{00000000-0005-0000-0000-000052530000}"/>
    <cellStyle name="Normal 3 4" xfId="334" xr:uid="{00000000-0005-0000-0000-000053530000}"/>
    <cellStyle name="Normal 3 4 10" xfId="5563" xr:uid="{00000000-0005-0000-0000-000054530000}"/>
    <cellStyle name="Normal 3 4 10 2" xfId="5564" xr:uid="{00000000-0005-0000-0000-000055530000}"/>
    <cellStyle name="Normal 3 4 10 2 2" xfId="11400" xr:uid="{00000000-0005-0000-0000-000056530000}"/>
    <cellStyle name="Normal 3 4 10 2 2 2" xfId="34885" xr:uid="{00000000-0005-0000-0000-000057530000}"/>
    <cellStyle name="Normal 3 4 10 2 2 3" xfId="25566" xr:uid="{00000000-0005-0000-0000-000058530000}"/>
    <cellStyle name="Normal 3 4 10 2 2 4" xfId="48828" xr:uid="{00000000-0005-0000-0000-000059530000}"/>
    <cellStyle name="Normal 3 4 10 2 3" xfId="16131" xr:uid="{00000000-0005-0000-0000-00005A530000}"/>
    <cellStyle name="Normal 3 4 10 2 3 2" xfId="30263" xr:uid="{00000000-0005-0000-0000-00005B530000}"/>
    <cellStyle name="Normal 3 4 10 2 3 3" xfId="44158" xr:uid="{00000000-0005-0000-0000-00005C530000}"/>
    <cellStyle name="Normal 3 4 10 2 4" xfId="20944" xr:uid="{00000000-0005-0000-0000-00005D530000}"/>
    <cellStyle name="Normal 3 4 10 2 5" xfId="39576" xr:uid="{00000000-0005-0000-0000-00005E530000}"/>
    <cellStyle name="Normal 3 4 10 3" xfId="11399" xr:uid="{00000000-0005-0000-0000-00005F530000}"/>
    <cellStyle name="Normal 3 4 10 3 2" xfId="34884" xr:uid="{00000000-0005-0000-0000-000060530000}"/>
    <cellStyle name="Normal 3 4 10 3 3" xfId="25565" xr:uid="{00000000-0005-0000-0000-000061530000}"/>
    <cellStyle name="Normal 3 4 10 3 4" xfId="48827" xr:uid="{00000000-0005-0000-0000-000062530000}"/>
    <cellStyle name="Normal 3 4 10 4" xfId="16130" xr:uid="{00000000-0005-0000-0000-000063530000}"/>
    <cellStyle name="Normal 3 4 10 4 2" xfId="30262" xr:uid="{00000000-0005-0000-0000-000064530000}"/>
    <cellStyle name="Normal 3 4 10 4 3" xfId="44157" xr:uid="{00000000-0005-0000-0000-000065530000}"/>
    <cellStyle name="Normal 3 4 10 5" xfId="20943" xr:uid="{00000000-0005-0000-0000-000066530000}"/>
    <cellStyle name="Normal 3 4 10 6" xfId="39575" xr:uid="{00000000-0005-0000-0000-000067530000}"/>
    <cellStyle name="Normal 3 4 11" xfId="5565" xr:uid="{00000000-0005-0000-0000-000068530000}"/>
    <cellStyle name="Normal 3 4 11 2" xfId="5566" xr:uid="{00000000-0005-0000-0000-000069530000}"/>
    <cellStyle name="Normal 3 4 11 2 2" xfId="11402" xr:uid="{00000000-0005-0000-0000-00006A530000}"/>
    <cellStyle name="Normal 3 4 11 2 2 2" xfId="34887" xr:uid="{00000000-0005-0000-0000-00006B530000}"/>
    <cellStyle name="Normal 3 4 11 2 2 3" xfId="25568" xr:uid="{00000000-0005-0000-0000-00006C530000}"/>
    <cellStyle name="Normal 3 4 11 2 2 4" xfId="48830" xr:uid="{00000000-0005-0000-0000-00006D530000}"/>
    <cellStyle name="Normal 3 4 11 2 3" xfId="16133" xr:uid="{00000000-0005-0000-0000-00006E530000}"/>
    <cellStyle name="Normal 3 4 11 2 3 2" xfId="30265" xr:uid="{00000000-0005-0000-0000-00006F530000}"/>
    <cellStyle name="Normal 3 4 11 2 3 3" xfId="44160" xr:uid="{00000000-0005-0000-0000-000070530000}"/>
    <cellStyle name="Normal 3 4 11 2 4" xfId="20946" xr:uid="{00000000-0005-0000-0000-000071530000}"/>
    <cellStyle name="Normal 3 4 11 2 5" xfId="39578" xr:uid="{00000000-0005-0000-0000-000072530000}"/>
    <cellStyle name="Normal 3 4 11 3" xfId="11401" xr:uid="{00000000-0005-0000-0000-000073530000}"/>
    <cellStyle name="Normal 3 4 11 3 2" xfId="34886" xr:uid="{00000000-0005-0000-0000-000074530000}"/>
    <cellStyle name="Normal 3 4 11 3 3" xfId="25567" xr:uid="{00000000-0005-0000-0000-000075530000}"/>
    <cellStyle name="Normal 3 4 11 3 4" xfId="48829" xr:uid="{00000000-0005-0000-0000-000076530000}"/>
    <cellStyle name="Normal 3 4 11 4" xfId="16132" xr:uid="{00000000-0005-0000-0000-000077530000}"/>
    <cellStyle name="Normal 3 4 11 4 2" xfId="30264" xr:uid="{00000000-0005-0000-0000-000078530000}"/>
    <cellStyle name="Normal 3 4 11 4 3" xfId="44159" xr:uid="{00000000-0005-0000-0000-000079530000}"/>
    <cellStyle name="Normal 3 4 11 5" xfId="20945" xr:uid="{00000000-0005-0000-0000-00007A530000}"/>
    <cellStyle name="Normal 3 4 11 6" xfId="39577" xr:uid="{00000000-0005-0000-0000-00007B530000}"/>
    <cellStyle name="Normal 3 4 12" xfId="5567" xr:uid="{00000000-0005-0000-0000-00007C530000}"/>
    <cellStyle name="Normal 3 4 12 2" xfId="5568" xr:uid="{00000000-0005-0000-0000-00007D530000}"/>
    <cellStyle name="Normal 3 4 12 2 2" xfId="11404" xr:uid="{00000000-0005-0000-0000-00007E530000}"/>
    <cellStyle name="Normal 3 4 12 2 2 2" xfId="34889" xr:uid="{00000000-0005-0000-0000-00007F530000}"/>
    <cellStyle name="Normal 3 4 12 2 2 3" xfId="25570" xr:uid="{00000000-0005-0000-0000-000080530000}"/>
    <cellStyle name="Normal 3 4 12 2 2 4" xfId="48832" xr:uid="{00000000-0005-0000-0000-000081530000}"/>
    <cellStyle name="Normal 3 4 12 2 3" xfId="16135" xr:uid="{00000000-0005-0000-0000-000082530000}"/>
    <cellStyle name="Normal 3 4 12 2 3 2" xfId="30267" xr:uid="{00000000-0005-0000-0000-000083530000}"/>
    <cellStyle name="Normal 3 4 12 2 3 3" xfId="44162" xr:uid="{00000000-0005-0000-0000-000084530000}"/>
    <cellStyle name="Normal 3 4 12 2 4" xfId="20948" xr:uid="{00000000-0005-0000-0000-000085530000}"/>
    <cellStyle name="Normal 3 4 12 2 5" xfId="39580" xr:uid="{00000000-0005-0000-0000-000086530000}"/>
    <cellStyle name="Normal 3 4 12 3" xfId="11403" xr:uid="{00000000-0005-0000-0000-000087530000}"/>
    <cellStyle name="Normal 3 4 12 3 2" xfId="34888" xr:uid="{00000000-0005-0000-0000-000088530000}"/>
    <cellStyle name="Normal 3 4 12 3 3" xfId="25569" xr:uid="{00000000-0005-0000-0000-000089530000}"/>
    <cellStyle name="Normal 3 4 12 3 4" xfId="48831" xr:uid="{00000000-0005-0000-0000-00008A530000}"/>
    <cellStyle name="Normal 3 4 12 4" xfId="16134" xr:uid="{00000000-0005-0000-0000-00008B530000}"/>
    <cellStyle name="Normal 3 4 12 4 2" xfId="30266" xr:uid="{00000000-0005-0000-0000-00008C530000}"/>
    <cellStyle name="Normal 3 4 12 4 3" xfId="44161" xr:uid="{00000000-0005-0000-0000-00008D530000}"/>
    <cellStyle name="Normal 3 4 12 5" xfId="20947" xr:uid="{00000000-0005-0000-0000-00008E530000}"/>
    <cellStyle name="Normal 3 4 12 6" xfId="39579" xr:uid="{00000000-0005-0000-0000-00008F530000}"/>
    <cellStyle name="Normal 3 4 13" xfId="5569" xr:uid="{00000000-0005-0000-0000-000090530000}"/>
    <cellStyle name="Normal 3 4 13 2" xfId="5570" xr:uid="{00000000-0005-0000-0000-000091530000}"/>
    <cellStyle name="Normal 3 4 13 2 2" xfId="11406" xr:uid="{00000000-0005-0000-0000-000092530000}"/>
    <cellStyle name="Normal 3 4 13 2 2 2" xfId="34891" xr:uid="{00000000-0005-0000-0000-000093530000}"/>
    <cellStyle name="Normal 3 4 13 2 2 3" xfId="25572" xr:uid="{00000000-0005-0000-0000-000094530000}"/>
    <cellStyle name="Normal 3 4 13 2 2 4" xfId="48834" xr:uid="{00000000-0005-0000-0000-000095530000}"/>
    <cellStyle name="Normal 3 4 13 2 3" xfId="16137" xr:uid="{00000000-0005-0000-0000-000096530000}"/>
    <cellStyle name="Normal 3 4 13 2 3 2" xfId="30269" xr:uid="{00000000-0005-0000-0000-000097530000}"/>
    <cellStyle name="Normal 3 4 13 2 3 3" xfId="44164" xr:uid="{00000000-0005-0000-0000-000098530000}"/>
    <cellStyle name="Normal 3 4 13 2 4" xfId="20950" xr:uid="{00000000-0005-0000-0000-000099530000}"/>
    <cellStyle name="Normal 3 4 13 2 5" xfId="39582" xr:uid="{00000000-0005-0000-0000-00009A530000}"/>
    <cellStyle name="Normal 3 4 13 3" xfId="11405" xr:uid="{00000000-0005-0000-0000-00009B530000}"/>
    <cellStyle name="Normal 3 4 13 3 2" xfId="34890" xr:uid="{00000000-0005-0000-0000-00009C530000}"/>
    <cellStyle name="Normal 3 4 13 3 3" xfId="25571" xr:uid="{00000000-0005-0000-0000-00009D530000}"/>
    <cellStyle name="Normal 3 4 13 3 4" xfId="48833" xr:uid="{00000000-0005-0000-0000-00009E530000}"/>
    <cellStyle name="Normal 3 4 13 4" xfId="16136" xr:uid="{00000000-0005-0000-0000-00009F530000}"/>
    <cellStyle name="Normal 3 4 13 4 2" xfId="30268" xr:uid="{00000000-0005-0000-0000-0000A0530000}"/>
    <cellStyle name="Normal 3 4 13 4 3" xfId="44163" xr:uid="{00000000-0005-0000-0000-0000A1530000}"/>
    <cellStyle name="Normal 3 4 13 5" xfId="20949" xr:uid="{00000000-0005-0000-0000-0000A2530000}"/>
    <cellStyle name="Normal 3 4 13 6" xfId="39581" xr:uid="{00000000-0005-0000-0000-0000A3530000}"/>
    <cellStyle name="Normal 3 4 14" xfId="5571" xr:uid="{00000000-0005-0000-0000-0000A4530000}"/>
    <cellStyle name="Normal 3 4 14 2" xfId="5572" xr:uid="{00000000-0005-0000-0000-0000A5530000}"/>
    <cellStyle name="Normal 3 4 14 2 2" xfId="11408" xr:uid="{00000000-0005-0000-0000-0000A6530000}"/>
    <cellStyle name="Normal 3 4 14 2 2 2" xfId="34893" xr:uid="{00000000-0005-0000-0000-0000A7530000}"/>
    <cellStyle name="Normal 3 4 14 2 2 3" xfId="25574" xr:uid="{00000000-0005-0000-0000-0000A8530000}"/>
    <cellStyle name="Normal 3 4 14 2 2 4" xfId="48836" xr:uid="{00000000-0005-0000-0000-0000A9530000}"/>
    <cellStyle name="Normal 3 4 14 2 3" xfId="16139" xr:uid="{00000000-0005-0000-0000-0000AA530000}"/>
    <cellStyle name="Normal 3 4 14 2 3 2" xfId="30271" xr:uid="{00000000-0005-0000-0000-0000AB530000}"/>
    <cellStyle name="Normal 3 4 14 2 3 3" xfId="44166" xr:uid="{00000000-0005-0000-0000-0000AC530000}"/>
    <cellStyle name="Normal 3 4 14 2 4" xfId="20952" xr:uid="{00000000-0005-0000-0000-0000AD530000}"/>
    <cellStyle name="Normal 3 4 14 2 5" xfId="39584" xr:uid="{00000000-0005-0000-0000-0000AE530000}"/>
    <cellStyle name="Normal 3 4 14 3" xfId="11407" xr:uid="{00000000-0005-0000-0000-0000AF530000}"/>
    <cellStyle name="Normal 3 4 14 3 2" xfId="34892" xr:uid="{00000000-0005-0000-0000-0000B0530000}"/>
    <cellStyle name="Normal 3 4 14 3 3" xfId="25573" xr:uid="{00000000-0005-0000-0000-0000B1530000}"/>
    <cellStyle name="Normal 3 4 14 3 4" xfId="48835" xr:uid="{00000000-0005-0000-0000-0000B2530000}"/>
    <cellStyle name="Normal 3 4 14 4" xfId="16138" xr:uid="{00000000-0005-0000-0000-0000B3530000}"/>
    <cellStyle name="Normal 3 4 14 4 2" xfId="30270" xr:uid="{00000000-0005-0000-0000-0000B4530000}"/>
    <cellStyle name="Normal 3 4 14 4 3" xfId="44165" xr:uid="{00000000-0005-0000-0000-0000B5530000}"/>
    <cellStyle name="Normal 3 4 14 5" xfId="20951" xr:uid="{00000000-0005-0000-0000-0000B6530000}"/>
    <cellStyle name="Normal 3 4 14 6" xfId="39583" xr:uid="{00000000-0005-0000-0000-0000B7530000}"/>
    <cellStyle name="Normal 3 4 15" xfId="5573" xr:uid="{00000000-0005-0000-0000-0000B8530000}"/>
    <cellStyle name="Normal 3 4 15 2" xfId="5574" xr:uid="{00000000-0005-0000-0000-0000B9530000}"/>
    <cellStyle name="Normal 3 4 15 2 2" xfId="11410" xr:uid="{00000000-0005-0000-0000-0000BA530000}"/>
    <cellStyle name="Normal 3 4 15 2 2 2" xfId="34895" xr:uid="{00000000-0005-0000-0000-0000BB530000}"/>
    <cellStyle name="Normal 3 4 15 2 2 3" xfId="25576" xr:uid="{00000000-0005-0000-0000-0000BC530000}"/>
    <cellStyle name="Normal 3 4 15 2 2 4" xfId="48838" xr:uid="{00000000-0005-0000-0000-0000BD530000}"/>
    <cellStyle name="Normal 3 4 15 2 3" xfId="16141" xr:uid="{00000000-0005-0000-0000-0000BE530000}"/>
    <cellStyle name="Normal 3 4 15 2 3 2" xfId="30273" xr:uid="{00000000-0005-0000-0000-0000BF530000}"/>
    <cellStyle name="Normal 3 4 15 2 3 3" xfId="44168" xr:uid="{00000000-0005-0000-0000-0000C0530000}"/>
    <cellStyle name="Normal 3 4 15 2 4" xfId="20954" xr:uid="{00000000-0005-0000-0000-0000C1530000}"/>
    <cellStyle name="Normal 3 4 15 2 5" xfId="39586" xr:uid="{00000000-0005-0000-0000-0000C2530000}"/>
    <cellStyle name="Normal 3 4 15 3" xfId="11409" xr:uid="{00000000-0005-0000-0000-0000C3530000}"/>
    <cellStyle name="Normal 3 4 15 3 2" xfId="34894" xr:uid="{00000000-0005-0000-0000-0000C4530000}"/>
    <cellStyle name="Normal 3 4 15 3 3" xfId="25575" xr:uid="{00000000-0005-0000-0000-0000C5530000}"/>
    <cellStyle name="Normal 3 4 15 3 4" xfId="48837" xr:uid="{00000000-0005-0000-0000-0000C6530000}"/>
    <cellStyle name="Normal 3 4 15 4" xfId="16140" xr:uid="{00000000-0005-0000-0000-0000C7530000}"/>
    <cellStyle name="Normal 3 4 15 4 2" xfId="30272" xr:uid="{00000000-0005-0000-0000-0000C8530000}"/>
    <cellStyle name="Normal 3 4 15 4 3" xfId="44167" xr:uid="{00000000-0005-0000-0000-0000C9530000}"/>
    <cellStyle name="Normal 3 4 15 5" xfId="20953" xr:uid="{00000000-0005-0000-0000-0000CA530000}"/>
    <cellStyle name="Normal 3 4 15 6" xfId="39585" xr:uid="{00000000-0005-0000-0000-0000CB530000}"/>
    <cellStyle name="Normal 3 4 16" xfId="5575" xr:uid="{00000000-0005-0000-0000-0000CC530000}"/>
    <cellStyle name="Normal 3 4 16 2" xfId="5576" xr:uid="{00000000-0005-0000-0000-0000CD530000}"/>
    <cellStyle name="Normal 3 4 16 2 2" xfId="11412" xr:uid="{00000000-0005-0000-0000-0000CE530000}"/>
    <cellStyle name="Normal 3 4 16 2 2 2" xfId="34897" xr:uid="{00000000-0005-0000-0000-0000CF530000}"/>
    <cellStyle name="Normal 3 4 16 2 2 3" xfId="25578" xr:uid="{00000000-0005-0000-0000-0000D0530000}"/>
    <cellStyle name="Normal 3 4 16 2 2 4" xfId="48840" xr:uid="{00000000-0005-0000-0000-0000D1530000}"/>
    <cellStyle name="Normal 3 4 16 2 3" xfId="16143" xr:uid="{00000000-0005-0000-0000-0000D2530000}"/>
    <cellStyle name="Normal 3 4 16 2 3 2" xfId="30275" xr:uid="{00000000-0005-0000-0000-0000D3530000}"/>
    <cellStyle name="Normal 3 4 16 2 3 3" xfId="44170" xr:uid="{00000000-0005-0000-0000-0000D4530000}"/>
    <cellStyle name="Normal 3 4 16 2 4" xfId="20956" xr:uid="{00000000-0005-0000-0000-0000D5530000}"/>
    <cellStyle name="Normal 3 4 16 2 5" xfId="39588" xr:uid="{00000000-0005-0000-0000-0000D6530000}"/>
    <cellStyle name="Normal 3 4 16 3" xfId="11411" xr:uid="{00000000-0005-0000-0000-0000D7530000}"/>
    <cellStyle name="Normal 3 4 16 3 2" xfId="34896" xr:uid="{00000000-0005-0000-0000-0000D8530000}"/>
    <cellStyle name="Normal 3 4 16 3 3" xfId="25577" xr:uid="{00000000-0005-0000-0000-0000D9530000}"/>
    <cellStyle name="Normal 3 4 16 3 4" xfId="48839" xr:uid="{00000000-0005-0000-0000-0000DA530000}"/>
    <cellStyle name="Normal 3 4 16 4" xfId="16142" xr:uid="{00000000-0005-0000-0000-0000DB530000}"/>
    <cellStyle name="Normal 3 4 16 4 2" xfId="30274" xr:uid="{00000000-0005-0000-0000-0000DC530000}"/>
    <cellStyle name="Normal 3 4 16 4 3" xfId="44169" xr:uid="{00000000-0005-0000-0000-0000DD530000}"/>
    <cellStyle name="Normal 3 4 16 5" xfId="20955" xr:uid="{00000000-0005-0000-0000-0000DE530000}"/>
    <cellStyle name="Normal 3 4 16 6" xfId="39587" xr:uid="{00000000-0005-0000-0000-0000DF530000}"/>
    <cellStyle name="Normal 3 4 17" xfId="5577" xr:uid="{00000000-0005-0000-0000-0000E0530000}"/>
    <cellStyle name="Normal 3 4 17 2" xfId="5578" xr:uid="{00000000-0005-0000-0000-0000E1530000}"/>
    <cellStyle name="Normal 3 4 17 2 2" xfId="11414" xr:uid="{00000000-0005-0000-0000-0000E2530000}"/>
    <cellStyle name="Normal 3 4 17 2 2 2" xfId="34899" xr:uid="{00000000-0005-0000-0000-0000E3530000}"/>
    <cellStyle name="Normal 3 4 17 2 2 3" xfId="25580" xr:uid="{00000000-0005-0000-0000-0000E4530000}"/>
    <cellStyle name="Normal 3 4 17 2 2 4" xfId="48842" xr:uid="{00000000-0005-0000-0000-0000E5530000}"/>
    <cellStyle name="Normal 3 4 17 2 3" xfId="16145" xr:uid="{00000000-0005-0000-0000-0000E6530000}"/>
    <cellStyle name="Normal 3 4 17 2 3 2" xfId="30277" xr:uid="{00000000-0005-0000-0000-0000E7530000}"/>
    <cellStyle name="Normal 3 4 17 2 3 3" xfId="44172" xr:uid="{00000000-0005-0000-0000-0000E8530000}"/>
    <cellStyle name="Normal 3 4 17 2 4" xfId="20958" xr:uid="{00000000-0005-0000-0000-0000E9530000}"/>
    <cellStyle name="Normal 3 4 17 2 5" xfId="39590" xr:uid="{00000000-0005-0000-0000-0000EA530000}"/>
    <cellStyle name="Normal 3 4 17 3" xfId="11413" xr:uid="{00000000-0005-0000-0000-0000EB530000}"/>
    <cellStyle name="Normal 3 4 17 3 2" xfId="34898" xr:uid="{00000000-0005-0000-0000-0000EC530000}"/>
    <cellStyle name="Normal 3 4 17 3 3" xfId="25579" xr:uid="{00000000-0005-0000-0000-0000ED530000}"/>
    <cellStyle name="Normal 3 4 17 3 4" xfId="48841" xr:uid="{00000000-0005-0000-0000-0000EE530000}"/>
    <cellStyle name="Normal 3 4 17 4" xfId="16144" xr:uid="{00000000-0005-0000-0000-0000EF530000}"/>
    <cellStyle name="Normal 3 4 17 4 2" xfId="30276" xr:uid="{00000000-0005-0000-0000-0000F0530000}"/>
    <cellStyle name="Normal 3 4 17 4 3" xfId="44171" xr:uid="{00000000-0005-0000-0000-0000F1530000}"/>
    <cellStyle name="Normal 3 4 17 5" xfId="20957" xr:uid="{00000000-0005-0000-0000-0000F2530000}"/>
    <cellStyle name="Normal 3 4 17 6" xfId="39589" xr:uid="{00000000-0005-0000-0000-0000F3530000}"/>
    <cellStyle name="Normal 3 4 18" xfId="5579" xr:uid="{00000000-0005-0000-0000-0000F4530000}"/>
    <cellStyle name="Normal 3 4 18 2" xfId="5580" xr:uid="{00000000-0005-0000-0000-0000F5530000}"/>
    <cellStyle name="Normal 3 4 18 2 2" xfId="11416" xr:uid="{00000000-0005-0000-0000-0000F6530000}"/>
    <cellStyle name="Normal 3 4 18 2 2 2" xfId="34901" xr:uid="{00000000-0005-0000-0000-0000F7530000}"/>
    <cellStyle name="Normal 3 4 18 2 2 3" xfId="25582" xr:uid="{00000000-0005-0000-0000-0000F8530000}"/>
    <cellStyle name="Normal 3 4 18 2 2 4" xfId="48844" xr:uid="{00000000-0005-0000-0000-0000F9530000}"/>
    <cellStyle name="Normal 3 4 18 2 3" xfId="16147" xr:uid="{00000000-0005-0000-0000-0000FA530000}"/>
    <cellStyle name="Normal 3 4 18 2 3 2" xfId="30279" xr:uid="{00000000-0005-0000-0000-0000FB530000}"/>
    <cellStyle name="Normal 3 4 18 2 3 3" xfId="44174" xr:uid="{00000000-0005-0000-0000-0000FC530000}"/>
    <cellStyle name="Normal 3 4 18 2 4" xfId="20960" xr:uid="{00000000-0005-0000-0000-0000FD530000}"/>
    <cellStyle name="Normal 3 4 18 2 5" xfId="39592" xr:uid="{00000000-0005-0000-0000-0000FE530000}"/>
    <cellStyle name="Normal 3 4 18 3" xfId="11415" xr:uid="{00000000-0005-0000-0000-0000FF530000}"/>
    <cellStyle name="Normal 3 4 18 3 2" xfId="34900" xr:uid="{00000000-0005-0000-0000-000000540000}"/>
    <cellStyle name="Normal 3 4 18 3 3" xfId="25581" xr:uid="{00000000-0005-0000-0000-000001540000}"/>
    <cellStyle name="Normal 3 4 18 3 4" xfId="48843" xr:uid="{00000000-0005-0000-0000-000002540000}"/>
    <cellStyle name="Normal 3 4 18 4" xfId="16146" xr:uid="{00000000-0005-0000-0000-000003540000}"/>
    <cellStyle name="Normal 3 4 18 4 2" xfId="30278" xr:uid="{00000000-0005-0000-0000-000004540000}"/>
    <cellStyle name="Normal 3 4 18 4 3" xfId="44173" xr:uid="{00000000-0005-0000-0000-000005540000}"/>
    <cellStyle name="Normal 3 4 18 5" xfId="20959" xr:uid="{00000000-0005-0000-0000-000006540000}"/>
    <cellStyle name="Normal 3 4 18 6" xfId="39591" xr:uid="{00000000-0005-0000-0000-000007540000}"/>
    <cellStyle name="Normal 3 4 19" xfId="5581" xr:uid="{00000000-0005-0000-0000-000008540000}"/>
    <cellStyle name="Normal 3 4 19 2" xfId="5582" xr:uid="{00000000-0005-0000-0000-000009540000}"/>
    <cellStyle name="Normal 3 4 19 2 2" xfId="11418" xr:uid="{00000000-0005-0000-0000-00000A540000}"/>
    <cellStyle name="Normal 3 4 19 2 2 2" xfId="34903" xr:uid="{00000000-0005-0000-0000-00000B540000}"/>
    <cellStyle name="Normal 3 4 19 2 2 3" xfId="25584" xr:uid="{00000000-0005-0000-0000-00000C540000}"/>
    <cellStyle name="Normal 3 4 19 2 2 4" xfId="48846" xr:uid="{00000000-0005-0000-0000-00000D540000}"/>
    <cellStyle name="Normal 3 4 19 2 3" xfId="16149" xr:uid="{00000000-0005-0000-0000-00000E540000}"/>
    <cellStyle name="Normal 3 4 19 2 3 2" xfId="30281" xr:uid="{00000000-0005-0000-0000-00000F540000}"/>
    <cellStyle name="Normal 3 4 19 2 3 3" xfId="44176" xr:uid="{00000000-0005-0000-0000-000010540000}"/>
    <cellStyle name="Normal 3 4 19 2 4" xfId="20962" xr:uid="{00000000-0005-0000-0000-000011540000}"/>
    <cellStyle name="Normal 3 4 19 2 5" xfId="39594" xr:uid="{00000000-0005-0000-0000-000012540000}"/>
    <cellStyle name="Normal 3 4 19 3" xfId="11417" xr:uid="{00000000-0005-0000-0000-000013540000}"/>
    <cellStyle name="Normal 3 4 19 3 2" xfId="34902" xr:uid="{00000000-0005-0000-0000-000014540000}"/>
    <cellStyle name="Normal 3 4 19 3 3" xfId="25583" xr:uid="{00000000-0005-0000-0000-000015540000}"/>
    <cellStyle name="Normal 3 4 19 3 4" xfId="48845" xr:uid="{00000000-0005-0000-0000-000016540000}"/>
    <cellStyle name="Normal 3 4 19 4" xfId="16148" xr:uid="{00000000-0005-0000-0000-000017540000}"/>
    <cellStyle name="Normal 3 4 19 4 2" xfId="30280" xr:uid="{00000000-0005-0000-0000-000018540000}"/>
    <cellStyle name="Normal 3 4 19 4 3" xfId="44175" xr:uid="{00000000-0005-0000-0000-000019540000}"/>
    <cellStyle name="Normal 3 4 19 5" xfId="20961" xr:uid="{00000000-0005-0000-0000-00001A540000}"/>
    <cellStyle name="Normal 3 4 19 6" xfId="39593" xr:uid="{00000000-0005-0000-0000-00001B540000}"/>
    <cellStyle name="Normal 3 4 2" xfId="5583" xr:uid="{00000000-0005-0000-0000-00001C540000}"/>
    <cellStyle name="Normal 3 4 2 2" xfId="5584" xr:uid="{00000000-0005-0000-0000-00001D540000}"/>
    <cellStyle name="Normal 3 4 2 2 2" xfId="11420" xr:uid="{00000000-0005-0000-0000-00001E540000}"/>
    <cellStyle name="Normal 3 4 2 2 2 2" xfId="34905" xr:uid="{00000000-0005-0000-0000-00001F540000}"/>
    <cellStyle name="Normal 3 4 2 2 2 3" xfId="25586" xr:uid="{00000000-0005-0000-0000-000020540000}"/>
    <cellStyle name="Normal 3 4 2 2 2 4" xfId="48848" xr:uid="{00000000-0005-0000-0000-000021540000}"/>
    <cellStyle name="Normal 3 4 2 2 3" xfId="16151" xr:uid="{00000000-0005-0000-0000-000022540000}"/>
    <cellStyle name="Normal 3 4 2 2 3 2" xfId="30283" xr:uid="{00000000-0005-0000-0000-000023540000}"/>
    <cellStyle name="Normal 3 4 2 2 3 3" xfId="44178" xr:uid="{00000000-0005-0000-0000-000024540000}"/>
    <cellStyle name="Normal 3 4 2 2 4" xfId="20964" xr:uid="{00000000-0005-0000-0000-000025540000}"/>
    <cellStyle name="Normal 3 4 2 2 5" xfId="39596" xr:uid="{00000000-0005-0000-0000-000026540000}"/>
    <cellStyle name="Normal 3 4 2 3" xfId="11419" xr:uid="{00000000-0005-0000-0000-000027540000}"/>
    <cellStyle name="Normal 3 4 2 3 2" xfId="34904" xr:uid="{00000000-0005-0000-0000-000028540000}"/>
    <cellStyle name="Normal 3 4 2 3 3" xfId="25585" xr:uid="{00000000-0005-0000-0000-000029540000}"/>
    <cellStyle name="Normal 3 4 2 3 4" xfId="48847" xr:uid="{00000000-0005-0000-0000-00002A540000}"/>
    <cellStyle name="Normal 3 4 2 4" xfId="16150" xr:uid="{00000000-0005-0000-0000-00002B540000}"/>
    <cellStyle name="Normal 3 4 2 4 2" xfId="30282" xr:uid="{00000000-0005-0000-0000-00002C540000}"/>
    <cellStyle name="Normal 3 4 2 4 3" xfId="44177" xr:uid="{00000000-0005-0000-0000-00002D540000}"/>
    <cellStyle name="Normal 3 4 2 5" xfId="20963" xr:uid="{00000000-0005-0000-0000-00002E540000}"/>
    <cellStyle name="Normal 3 4 2 6" xfId="39595" xr:uid="{00000000-0005-0000-0000-00002F540000}"/>
    <cellStyle name="Normal 3 4 20" xfId="5585" xr:uid="{00000000-0005-0000-0000-000030540000}"/>
    <cellStyle name="Normal 3 4 20 2" xfId="5586" xr:uid="{00000000-0005-0000-0000-000031540000}"/>
    <cellStyle name="Normal 3 4 20 2 2" xfId="11422" xr:uid="{00000000-0005-0000-0000-000032540000}"/>
    <cellStyle name="Normal 3 4 20 2 2 2" xfId="34907" xr:uid="{00000000-0005-0000-0000-000033540000}"/>
    <cellStyle name="Normal 3 4 20 2 2 3" xfId="25588" xr:uid="{00000000-0005-0000-0000-000034540000}"/>
    <cellStyle name="Normal 3 4 20 2 2 4" xfId="48850" xr:uid="{00000000-0005-0000-0000-000035540000}"/>
    <cellStyle name="Normal 3 4 20 2 3" xfId="16153" xr:uid="{00000000-0005-0000-0000-000036540000}"/>
    <cellStyle name="Normal 3 4 20 2 3 2" xfId="30285" xr:uid="{00000000-0005-0000-0000-000037540000}"/>
    <cellStyle name="Normal 3 4 20 2 3 3" xfId="44180" xr:uid="{00000000-0005-0000-0000-000038540000}"/>
    <cellStyle name="Normal 3 4 20 2 4" xfId="20966" xr:uid="{00000000-0005-0000-0000-000039540000}"/>
    <cellStyle name="Normal 3 4 20 2 5" xfId="39598" xr:uid="{00000000-0005-0000-0000-00003A540000}"/>
    <cellStyle name="Normal 3 4 20 3" xfId="11421" xr:uid="{00000000-0005-0000-0000-00003B540000}"/>
    <cellStyle name="Normal 3 4 20 3 2" xfId="34906" xr:uid="{00000000-0005-0000-0000-00003C540000}"/>
    <cellStyle name="Normal 3 4 20 3 3" xfId="25587" xr:uid="{00000000-0005-0000-0000-00003D540000}"/>
    <cellStyle name="Normal 3 4 20 3 4" xfId="48849" xr:uid="{00000000-0005-0000-0000-00003E540000}"/>
    <cellStyle name="Normal 3 4 20 4" xfId="16152" xr:uid="{00000000-0005-0000-0000-00003F540000}"/>
    <cellStyle name="Normal 3 4 20 4 2" xfId="30284" xr:uid="{00000000-0005-0000-0000-000040540000}"/>
    <cellStyle name="Normal 3 4 20 4 3" xfId="44179" xr:uid="{00000000-0005-0000-0000-000041540000}"/>
    <cellStyle name="Normal 3 4 20 5" xfId="20965" xr:uid="{00000000-0005-0000-0000-000042540000}"/>
    <cellStyle name="Normal 3 4 20 6" xfId="39597" xr:uid="{00000000-0005-0000-0000-000043540000}"/>
    <cellStyle name="Normal 3 4 21" xfId="5587" xr:uid="{00000000-0005-0000-0000-000044540000}"/>
    <cellStyle name="Normal 3 4 21 2" xfId="5588" xr:uid="{00000000-0005-0000-0000-000045540000}"/>
    <cellStyle name="Normal 3 4 21 2 2" xfId="11424" xr:uid="{00000000-0005-0000-0000-000046540000}"/>
    <cellStyle name="Normal 3 4 21 2 2 2" xfId="34909" xr:uid="{00000000-0005-0000-0000-000047540000}"/>
    <cellStyle name="Normal 3 4 21 2 2 3" xfId="25590" xr:uid="{00000000-0005-0000-0000-000048540000}"/>
    <cellStyle name="Normal 3 4 21 2 2 4" xfId="48852" xr:uid="{00000000-0005-0000-0000-000049540000}"/>
    <cellStyle name="Normal 3 4 21 2 3" xfId="16155" xr:uid="{00000000-0005-0000-0000-00004A540000}"/>
    <cellStyle name="Normal 3 4 21 2 3 2" xfId="30287" xr:uid="{00000000-0005-0000-0000-00004B540000}"/>
    <cellStyle name="Normal 3 4 21 2 3 3" xfId="44182" xr:uid="{00000000-0005-0000-0000-00004C540000}"/>
    <cellStyle name="Normal 3 4 21 2 4" xfId="20968" xr:uid="{00000000-0005-0000-0000-00004D540000}"/>
    <cellStyle name="Normal 3 4 21 2 5" xfId="39600" xr:uid="{00000000-0005-0000-0000-00004E540000}"/>
    <cellStyle name="Normal 3 4 21 3" xfId="11423" xr:uid="{00000000-0005-0000-0000-00004F540000}"/>
    <cellStyle name="Normal 3 4 21 3 2" xfId="34908" xr:uid="{00000000-0005-0000-0000-000050540000}"/>
    <cellStyle name="Normal 3 4 21 3 3" xfId="25589" xr:uid="{00000000-0005-0000-0000-000051540000}"/>
    <cellStyle name="Normal 3 4 21 3 4" xfId="48851" xr:uid="{00000000-0005-0000-0000-000052540000}"/>
    <cellStyle name="Normal 3 4 21 4" xfId="16154" xr:uid="{00000000-0005-0000-0000-000053540000}"/>
    <cellStyle name="Normal 3 4 21 4 2" xfId="30286" xr:uid="{00000000-0005-0000-0000-000054540000}"/>
    <cellStyle name="Normal 3 4 21 4 3" xfId="44181" xr:uid="{00000000-0005-0000-0000-000055540000}"/>
    <cellStyle name="Normal 3 4 21 5" xfId="20967" xr:uid="{00000000-0005-0000-0000-000056540000}"/>
    <cellStyle name="Normal 3 4 21 6" xfId="39599" xr:uid="{00000000-0005-0000-0000-000057540000}"/>
    <cellStyle name="Normal 3 4 22" xfId="5589" xr:uid="{00000000-0005-0000-0000-000058540000}"/>
    <cellStyle name="Normal 3 4 22 2" xfId="5590" xr:uid="{00000000-0005-0000-0000-000059540000}"/>
    <cellStyle name="Normal 3 4 22 2 2" xfId="11426" xr:uid="{00000000-0005-0000-0000-00005A540000}"/>
    <cellStyle name="Normal 3 4 22 2 2 2" xfId="34911" xr:uid="{00000000-0005-0000-0000-00005B540000}"/>
    <cellStyle name="Normal 3 4 22 2 2 3" xfId="25592" xr:uid="{00000000-0005-0000-0000-00005C540000}"/>
    <cellStyle name="Normal 3 4 22 2 2 4" xfId="48854" xr:uid="{00000000-0005-0000-0000-00005D540000}"/>
    <cellStyle name="Normal 3 4 22 2 3" xfId="16157" xr:uid="{00000000-0005-0000-0000-00005E540000}"/>
    <cellStyle name="Normal 3 4 22 2 3 2" xfId="30289" xr:uid="{00000000-0005-0000-0000-00005F540000}"/>
    <cellStyle name="Normal 3 4 22 2 3 3" xfId="44184" xr:uid="{00000000-0005-0000-0000-000060540000}"/>
    <cellStyle name="Normal 3 4 22 2 4" xfId="20970" xr:uid="{00000000-0005-0000-0000-000061540000}"/>
    <cellStyle name="Normal 3 4 22 2 5" xfId="39602" xr:uid="{00000000-0005-0000-0000-000062540000}"/>
    <cellStyle name="Normal 3 4 22 3" xfId="11425" xr:uid="{00000000-0005-0000-0000-000063540000}"/>
    <cellStyle name="Normal 3 4 22 3 2" xfId="34910" xr:uid="{00000000-0005-0000-0000-000064540000}"/>
    <cellStyle name="Normal 3 4 22 3 3" xfId="25591" xr:uid="{00000000-0005-0000-0000-000065540000}"/>
    <cellStyle name="Normal 3 4 22 3 4" xfId="48853" xr:uid="{00000000-0005-0000-0000-000066540000}"/>
    <cellStyle name="Normal 3 4 22 4" xfId="16156" xr:uid="{00000000-0005-0000-0000-000067540000}"/>
    <cellStyle name="Normal 3 4 22 4 2" xfId="30288" xr:uid="{00000000-0005-0000-0000-000068540000}"/>
    <cellStyle name="Normal 3 4 22 4 3" xfId="44183" xr:uid="{00000000-0005-0000-0000-000069540000}"/>
    <cellStyle name="Normal 3 4 22 5" xfId="20969" xr:uid="{00000000-0005-0000-0000-00006A540000}"/>
    <cellStyle name="Normal 3 4 22 6" xfId="39601" xr:uid="{00000000-0005-0000-0000-00006B540000}"/>
    <cellStyle name="Normal 3 4 23" xfId="5591" xr:uid="{00000000-0005-0000-0000-00006C540000}"/>
    <cellStyle name="Normal 3 4 23 2" xfId="5592" xr:uid="{00000000-0005-0000-0000-00006D540000}"/>
    <cellStyle name="Normal 3 4 23 2 2" xfId="11428" xr:uid="{00000000-0005-0000-0000-00006E540000}"/>
    <cellStyle name="Normal 3 4 23 2 2 2" xfId="34913" xr:uid="{00000000-0005-0000-0000-00006F540000}"/>
    <cellStyle name="Normal 3 4 23 2 2 3" xfId="25594" xr:uid="{00000000-0005-0000-0000-000070540000}"/>
    <cellStyle name="Normal 3 4 23 2 2 4" xfId="48856" xr:uid="{00000000-0005-0000-0000-000071540000}"/>
    <cellStyle name="Normal 3 4 23 2 3" xfId="16159" xr:uid="{00000000-0005-0000-0000-000072540000}"/>
    <cellStyle name="Normal 3 4 23 2 3 2" xfId="30291" xr:uid="{00000000-0005-0000-0000-000073540000}"/>
    <cellStyle name="Normal 3 4 23 2 3 3" xfId="44186" xr:uid="{00000000-0005-0000-0000-000074540000}"/>
    <cellStyle name="Normal 3 4 23 2 4" xfId="20972" xr:uid="{00000000-0005-0000-0000-000075540000}"/>
    <cellStyle name="Normal 3 4 23 2 5" xfId="39604" xr:uid="{00000000-0005-0000-0000-000076540000}"/>
    <cellStyle name="Normal 3 4 23 3" xfId="11427" xr:uid="{00000000-0005-0000-0000-000077540000}"/>
    <cellStyle name="Normal 3 4 23 3 2" xfId="34912" xr:uid="{00000000-0005-0000-0000-000078540000}"/>
    <cellStyle name="Normal 3 4 23 3 3" xfId="25593" xr:uid="{00000000-0005-0000-0000-000079540000}"/>
    <cellStyle name="Normal 3 4 23 3 4" xfId="48855" xr:uid="{00000000-0005-0000-0000-00007A540000}"/>
    <cellStyle name="Normal 3 4 23 4" xfId="16158" xr:uid="{00000000-0005-0000-0000-00007B540000}"/>
    <cellStyle name="Normal 3 4 23 4 2" xfId="30290" xr:uid="{00000000-0005-0000-0000-00007C540000}"/>
    <cellStyle name="Normal 3 4 23 4 3" xfId="44185" xr:uid="{00000000-0005-0000-0000-00007D540000}"/>
    <cellStyle name="Normal 3 4 23 5" xfId="20971" xr:uid="{00000000-0005-0000-0000-00007E540000}"/>
    <cellStyle name="Normal 3 4 23 6" xfId="39603" xr:uid="{00000000-0005-0000-0000-00007F540000}"/>
    <cellStyle name="Normal 3 4 24" xfId="5593" xr:uid="{00000000-0005-0000-0000-000080540000}"/>
    <cellStyle name="Normal 3 4 24 2" xfId="11429" xr:uid="{00000000-0005-0000-0000-000081540000}"/>
    <cellStyle name="Normal 3 4 24 2 2" xfId="34914" xr:uid="{00000000-0005-0000-0000-000082540000}"/>
    <cellStyle name="Normal 3 4 24 2 3" xfId="25595" xr:uid="{00000000-0005-0000-0000-000083540000}"/>
    <cellStyle name="Normal 3 4 24 2 4" xfId="48857" xr:uid="{00000000-0005-0000-0000-000084540000}"/>
    <cellStyle name="Normal 3 4 24 3" xfId="16160" xr:uid="{00000000-0005-0000-0000-000085540000}"/>
    <cellStyle name="Normal 3 4 24 3 2" xfId="30292" xr:uid="{00000000-0005-0000-0000-000086540000}"/>
    <cellStyle name="Normal 3 4 24 3 3" xfId="44187" xr:uid="{00000000-0005-0000-0000-000087540000}"/>
    <cellStyle name="Normal 3 4 24 4" xfId="20973" xr:uid="{00000000-0005-0000-0000-000088540000}"/>
    <cellStyle name="Normal 3 4 24 5" xfId="39605" xr:uid="{00000000-0005-0000-0000-000089540000}"/>
    <cellStyle name="Normal 3 4 25" xfId="5562" xr:uid="{00000000-0005-0000-0000-00008A540000}"/>
    <cellStyle name="Normal 3 4 25 2" xfId="11398" xr:uid="{00000000-0005-0000-0000-00008B540000}"/>
    <cellStyle name="Normal 3 4 25 2 2" xfId="34883" xr:uid="{00000000-0005-0000-0000-00008C540000}"/>
    <cellStyle name="Normal 3 4 25 2 3" xfId="25564" xr:uid="{00000000-0005-0000-0000-00008D540000}"/>
    <cellStyle name="Normal 3 4 25 2 4" xfId="48826" xr:uid="{00000000-0005-0000-0000-00008E540000}"/>
    <cellStyle name="Normal 3 4 25 3" xfId="16129" xr:uid="{00000000-0005-0000-0000-00008F540000}"/>
    <cellStyle name="Normal 3 4 25 3 2" xfId="30261" xr:uid="{00000000-0005-0000-0000-000090540000}"/>
    <cellStyle name="Normal 3 4 25 3 3" xfId="44156" xr:uid="{00000000-0005-0000-0000-000091540000}"/>
    <cellStyle name="Normal 3 4 25 4" xfId="20942" xr:uid="{00000000-0005-0000-0000-000092540000}"/>
    <cellStyle name="Normal 3 4 25 5" xfId="39574" xr:uid="{00000000-0005-0000-0000-000093540000}"/>
    <cellStyle name="Normal 3 4 26" xfId="9648" xr:uid="{00000000-0005-0000-0000-000094540000}"/>
    <cellStyle name="Normal 3 4 26 2" xfId="33139" xr:uid="{00000000-0005-0000-0000-000095540000}"/>
    <cellStyle name="Normal 3 4 26 3" xfId="23826" xr:uid="{00000000-0005-0000-0000-000096540000}"/>
    <cellStyle name="Normal 3 4 26 4" xfId="47082" xr:uid="{00000000-0005-0000-0000-000097540000}"/>
    <cellStyle name="Normal 3 4 27" xfId="14410" xr:uid="{00000000-0005-0000-0000-000098540000}"/>
    <cellStyle name="Normal 3 4 27 2" xfId="28541" xr:uid="{00000000-0005-0000-0000-000099540000}"/>
    <cellStyle name="Normal 3 4 27 3" xfId="42420" xr:uid="{00000000-0005-0000-0000-00009A540000}"/>
    <cellStyle name="Normal 3 4 28" xfId="19223" xr:uid="{00000000-0005-0000-0000-00009B540000}"/>
    <cellStyle name="Normal 3 4 29" xfId="37858" xr:uid="{00000000-0005-0000-0000-00009C540000}"/>
    <cellStyle name="Normal 3 4 3" xfId="5594" xr:uid="{00000000-0005-0000-0000-00009D540000}"/>
    <cellStyle name="Normal 3 4 3 2" xfId="5595" xr:uid="{00000000-0005-0000-0000-00009E540000}"/>
    <cellStyle name="Normal 3 4 3 2 2" xfId="11431" xr:uid="{00000000-0005-0000-0000-00009F540000}"/>
    <cellStyle name="Normal 3 4 3 2 2 2" xfId="34916" xr:uid="{00000000-0005-0000-0000-0000A0540000}"/>
    <cellStyle name="Normal 3 4 3 2 2 3" xfId="25597" xr:uid="{00000000-0005-0000-0000-0000A1540000}"/>
    <cellStyle name="Normal 3 4 3 2 2 4" xfId="48859" xr:uid="{00000000-0005-0000-0000-0000A2540000}"/>
    <cellStyle name="Normal 3 4 3 2 3" xfId="16162" xr:uid="{00000000-0005-0000-0000-0000A3540000}"/>
    <cellStyle name="Normal 3 4 3 2 3 2" xfId="30294" xr:uid="{00000000-0005-0000-0000-0000A4540000}"/>
    <cellStyle name="Normal 3 4 3 2 3 3" xfId="44189" xr:uid="{00000000-0005-0000-0000-0000A5540000}"/>
    <cellStyle name="Normal 3 4 3 2 4" xfId="20975" xr:uid="{00000000-0005-0000-0000-0000A6540000}"/>
    <cellStyle name="Normal 3 4 3 2 5" xfId="39607" xr:uid="{00000000-0005-0000-0000-0000A7540000}"/>
    <cellStyle name="Normal 3 4 3 3" xfId="11430" xr:uid="{00000000-0005-0000-0000-0000A8540000}"/>
    <cellStyle name="Normal 3 4 3 3 2" xfId="34915" xr:uid="{00000000-0005-0000-0000-0000A9540000}"/>
    <cellStyle name="Normal 3 4 3 3 3" xfId="25596" xr:uid="{00000000-0005-0000-0000-0000AA540000}"/>
    <cellStyle name="Normal 3 4 3 3 4" xfId="48858" xr:uid="{00000000-0005-0000-0000-0000AB540000}"/>
    <cellStyle name="Normal 3 4 3 4" xfId="16161" xr:uid="{00000000-0005-0000-0000-0000AC540000}"/>
    <cellStyle name="Normal 3 4 3 4 2" xfId="30293" xr:uid="{00000000-0005-0000-0000-0000AD540000}"/>
    <cellStyle name="Normal 3 4 3 4 3" xfId="44188" xr:uid="{00000000-0005-0000-0000-0000AE540000}"/>
    <cellStyle name="Normal 3 4 3 5" xfId="20974" xr:uid="{00000000-0005-0000-0000-0000AF540000}"/>
    <cellStyle name="Normal 3 4 3 6" xfId="39606" xr:uid="{00000000-0005-0000-0000-0000B0540000}"/>
    <cellStyle name="Normal 3 4 30" xfId="51794" xr:uid="{00000000-0005-0000-0000-0000B1540000}"/>
    <cellStyle name="Normal 3 4 4" xfId="5596" xr:uid="{00000000-0005-0000-0000-0000B2540000}"/>
    <cellStyle name="Normal 3 4 4 2" xfId="5597" xr:uid="{00000000-0005-0000-0000-0000B3540000}"/>
    <cellStyle name="Normal 3 4 4 2 2" xfId="11433" xr:uid="{00000000-0005-0000-0000-0000B4540000}"/>
    <cellStyle name="Normal 3 4 4 2 2 2" xfId="34918" xr:uid="{00000000-0005-0000-0000-0000B5540000}"/>
    <cellStyle name="Normal 3 4 4 2 2 3" xfId="25599" xr:uid="{00000000-0005-0000-0000-0000B6540000}"/>
    <cellStyle name="Normal 3 4 4 2 2 4" xfId="48861" xr:uid="{00000000-0005-0000-0000-0000B7540000}"/>
    <cellStyle name="Normal 3 4 4 2 3" xfId="16164" xr:uid="{00000000-0005-0000-0000-0000B8540000}"/>
    <cellStyle name="Normal 3 4 4 2 3 2" xfId="30296" xr:uid="{00000000-0005-0000-0000-0000B9540000}"/>
    <cellStyle name="Normal 3 4 4 2 3 3" xfId="44191" xr:uid="{00000000-0005-0000-0000-0000BA540000}"/>
    <cellStyle name="Normal 3 4 4 2 4" xfId="20977" xr:uid="{00000000-0005-0000-0000-0000BB540000}"/>
    <cellStyle name="Normal 3 4 4 2 5" xfId="39609" xr:uid="{00000000-0005-0000-0000-0000BC540000}"/>
    <cellStyle name="Normal 3 4 4 3" xfId="11432" xr:uid="{00000000-0005-0000-0000-0000BD540000}"/>
    <cellStyle name="Normal 3 4 4 3 2" xfId="34917" xr:uid="{00000000-0005-0000-0000-0000BE540000}"/>
    <cellStyle name="Normal 3 4 4 3 3" xfId="25598" xr:uid="{00000000-0005-0000-0000-0000BF540000}"/>
    <cellStyle name="Normal 3 4 4 3 4" xfId="48860" xr:uid="{00000000-0005-0000-0000-0000C0540000}"/>
    <cellStyle name="Normal 3 4 4 4" xfId="16163" xr:uid="{00000000-0005-0000-0000-0000C1540000}"/>
    <cellStyle name="Normal 3 4 4 4 2" xfId="30295" xr:uid="{00000000-0005-0000-0000-0000C2540000}"/>
    <cellStyle name="Normal 3 4 4 4 3" xfId="44190" xr:uid="{00000000-0005-0000-0000-0000C3540000}"/>
    <cellStyle name="Normal 3 4 4 5" xfId="20976" xr:uid="{00000000-0005-0000-0000-0000C4540000}"/>
    <cellStyle name="Normal 3 4 4 6" xfId="39608" xr:uid="{00000000-0005-0000-0000-0000C5540000}"/>
    <cellStyle name="Normal 3 4 5" xfId="5598" xr:uid="{00000000-0005-0000-0000-0000C6540000}"/>
    <cellStyle name="Normal 3 4 5 2" xfId="5599" xr:uid="{00000000-0005-0000-0000-0000C7540000}"/>
    <cellStyle name="Normal 3 4 5 2 2" xfId="11435" xr:uid="{00000000-0005-0000-0000-0000C8540000}"/>
    <cellStyle name="Normal 3 4 5 2 2 2" xfId="34920" xr:uid="{00000000-0005-0000-0000-0000C9540000}"/>
    <cellStyle name="Normal 3 4 5 2 2 3" xfId="25601" xr:uid="{00000000-0005-0000-0000-0000CA540000}"/>
    <cellStyle name="Normal 3 4 5 2 2 4" xfId="48863" xr:uid="{00000000-0005-0000-0000-0000CB540000}"/>
    <cellStyle name="Normal 3 4 5 2 3" xfId="16166" xr:uid="{00000000-0005-0000-0000-0000CC540000}"/>
    <cellStyle name="Normal 3 4 5 2 3 2" xfId="30298" xr:uid="{00000000-0005-0000-0000-0000CD540000}"/>
    <cellStyle name="Normal 3 4 5 2 3 3" xfId="44193" xr:uid="{00000000-0005-0000-0000-0000CE540000}"/>
    <cellStyle name="Normal 3 4 5 2 4" xfId="20979" xr:uid="{00000000-0005-0000-0000-0000CF540000}"/>
    <cellStyle name="Normal 3 4 5 2 5" xfId="39611" xr:uid="{00000000-0005-0000-0000-0000D0540000}"/>
    <cellStyle name="Normal 3 4 5 3" xfId="11434" xr:uid="{00000000-0005-0000-0000-0000D1540000}"/>
    <cellStyle name="Normal 3 4 5 3 2" xfId="34919" xr:uid="{00000000-0005-0000-0000-0000D2540000}"/>
    <cellStyle name="Normal 3 4 5 3 3" xfId="25600" xr:uid="{00000000-0005-0000-0000-0000D3540000}"/>
    <cellStyle name="Normal 3 4 5 3 4" xfId="48862" xr:uid="{00000000-0005-0000-0000-0000D4540000}"/>
    <cellStyle name="Normal 3 4 5 4" xfId="16165" xr:uid="{00000000-0005-0000-0000-0000D5540000}"/>
    <cellStyle name="Normal 3 4 5 4 2" xfId="30297" xr:uid="{00000000-0005-0000-0000-0000D6540000}"/>
    <cellStyle name="Normal 3 4 5 4 3" xfId="44192" xr:uid="{00000000-0005-0000-0000-0000D7540000}"/>
    <cellStyle name="Normal 3 4 5 5" xfId="20978" xr:uid="{00000000-0005-0000-0000-0000D8540000}"/>
    <cellStyle name="Normal 3 4 5 6" xfId="39610" xr:uid="{00000000-0005-0000-0000-0000D9540000}"/>
    <cellStyle name="Normal 3 4 6" xfId="5600" xr:uid="{00000000-0005-0000-0000-0000DA540000}"/>
    <cellStyle name="Normal 3 4 6 2" xfId="5601" xr:uid="{00000000-0005-0000-0000-0000DB540000}"/>
    <cellStyle name="Normal 3 4 6 2 2" xfId="11437" xr:uid="{00000000-0005-0000-0000-0000DC540000}"/>
    <cellStyle name="Normal 3 4 6 2 2 2" xfId="34922" xr:uid="{00000000-0005-0000-0000-0000DD540000}"/>
    <cellStyle name="Normal 3 4 6 2 2 3" xfId="25603" xr:uid="{00000000-0005-0000-0000-0000DE540000}"/>
    <cellStyle name="Normal 3 4 6 2 2 4" xfId="48865" xr:uid="{00000000-0005-0000-0000-0000DF540000}"/>
    <cellStyle name="Normal 3 4 6 2 3" xfId="16168" xr:uid="{00000000-0005-0000-0000-0000E0540000}"/>
    <cellStyle name="Normal 3 4 6 2 3 2" xfId="30300" xr:uid="{00000000-0005-0000-0000-0000E1540000}"/>
    <cellStyle name="Normal 3 4 6 2 3 3" xfId="44195" xr:uid="{00000000-0005-0000-0000-0000E2540000}"/>
    <cellStyle name="Normal 3 4 6 2 4" xfId="20981" xr:uid="{00000000-0005-0000-0000-0000E3540000}"/>
    <cellStyle name="Normal 3 4 6 2 5" xfId="39613" xr:uid="{00000000-0005-0000-0000-0000E4540000}"/>
    <cellStyle name="Normal 3 4 6 3" xfId="11436" xr:uid="{00000000-0005-0000-0000-0000E5540000}"/>
    <cellStyle name="Normal 3 4 6 3 2" xfId="34921" xr:uid="{00000000-0005-0000-0000-0000E6540000}"/>
    <cellStyle name="Normal 3 4 6 3 3" xfId="25602" xr:uid="{00000000-0005-0000-0000-0000E7540000}"/>
    <cellStyle name="Normal 3 4 6 3 4" xfId="48864" xr:uid="{00000000-0005-0000-0000-0000E8540000}"/>
    <cellStyle name="Normal 3 4 6 4" xfId="16167" xr:uid="{00000000-0005-0000-0000-0000E9540000}"/>
    <cellStyle name="Normal 3 4 6 4 2" xfId="30299" xr:uid="{00000000-0005-0000-0000-0000EA540000}"/>
    <cellStyle name="Normal 3 4 6 4 3" xfId="44194" xr:uid="{00000000-0005-0000-0000-0000EB540000}"/>
    <cellStyle name="Normal 3 4 6 5" xfId="20980" xr:uid="{00000000-0005-0000-0000-0000EC540000}"/>
    <cellStyle name="Normal 3 4 6 6" xfId="39612" xr:uid="{00000000-0005-0000-0000-0000ED540000}"/>
    <cellStyle name="Normal 3 4 7" xfId="5602" xr:uid="{00000000-0005-0000-0000-0000EE540000}"/>
    <cellStyle name="Normal 3 4 7 2" xfId="5603" xr:uid="{00000000-0005-0000-0000-0000EF540000}"/>
    <cellStyle name="Normal 3 4 7 2 2" xfId="11439" xr:uid="{00000000-0005-0000-0000-0000F0540000}"/>
    <cellStyle name="Normal 3 4 7 2 2 2" xfId="34924" xr:uid="{00000000-0005-0000-0000-0000F1540000}"/>
    <cellStyle name="Normal 3 4 7 2 2 3" xfId="25605" xr:uid="{00000000-0005-0000-0000-0000F2540000}"/>
    <cellStyle name="Normal 3 4 7 2 2 4" xfId="48867" xr:uid="{00000000-0005-0000-0000-0000F3540000}"/>
    <cellStyle name="Normal 3 4 7 2 3" xfId="16170" xr:uid="{00000000-0005-0000-0000-0000F4540000}"/>
    <cellStyle name="Normal 3 4 7 2 3 2" xfId="30302" xr:uid="{00000000-0005-0000-0000-0000F5540000}"/>
    <cellStyle name="Normal 3 4 7 2 3 3" xfId="44197" xr:uid="{00000000-0005-0000-0000-0000F6540000}"/>
    <cellStyle name="Normal 3 4 7 2 4" xfId="20983" xr:uid="{00000000-0005-0000-0000-0000F7540000}"/>
    <cellStyle name="Normal 3 4 7 2 5" xfId="39615" xr:uid="{00000000-0005-0000-0000-0000F8540000}"/>
    <cellStyle name="Normal 3 4 7 3" xfId="11438" xr:uid="{00000000-0005-0000-0000-0000F9540000}"/>
    <cellStyle name="Normal 3 4 7 3 2" xfId="34923" xr:uid="{00000000-0005-0000-0000-0000FA540000}"/>
    <cellStyle name="Normal 3 4 7 3 3" xfId="25604" xr:uid="{00000000-0005-0000-0000-0000FB540000}"/>
    <cellStyle name="Normal 3 4 7 3 4" xfId="48866" xr:uid="{00000000-0005-0000-0000-0000FC540000}"/>
    <cellStyle name="Normal 3 4 7 4" xfId="16169" xr:uid="{00000000-0005-0000-0000-0000FD540000}"/>
    <cellStyle name="Normal 3 4 7 4 2" xfId="30301" xr:uid="{00000000-0005-0000-0000-0000FE540000}"/>
    <cellStyle name="Normal 3 4 7 4 3" xfId="44196" xr:uid="{00000000-0005-0000-0000-0000FF540000}"/>
    <cellStyle name="Normal 3 4 7 5" xfId="20982" xr:uid="{00000000-0005-0000-0000-000000550000}"/>
    <cellStyle name="Normal 3 4 7 6" xfId="39614" xr:uid="{00000000-0005-0000-0000-000001550000}"/>
    <cellStyle name="Normal 3 4 8" xfId="5604" xr:uid="{00000000-0005-0000-0000-000002550000}"/>
    <cellStyle name="Normal 3 4 8 2" xfId="5605" xr:uid="{00000000-0005-0000-0000-000003550000}"/>
    <cellStyle name="Normal 3 4 8 2 2" xfId="11441" xr:uid="{00000000-0005-0000-0000-000004550000}"/>
    <cellStyle name="Normal 3 4 8 2 2 2" xfId="34926" xr:uid="{00000000-0005-0000-0000-000005550000}"/>
    <cellStyle name="Normal 3 4 8 2 2 3" xfId="25607" xr:uid="{00000000-0005-0000-0000-000006550000}"/>
    <cellStyle name="Normal 3 4 8 2 2 4" xfId="48869" xr:uid="{00000000-0005-0000-0000-000007550000}"/>
    <cellStyle name="Normal 3 4 8 2 3" xfId="16172" xr:uid="{00000000-0005-0000-0000-000008550000}"/>
    <cellStyle name="Normal 3 4 8 2 3 2" xfId="30304" xr:uid="{00000000-0005-0000-0000-000009550000}"/>
    <cellStyle name="Normal 3 4 8 2 3 3" xfId="44199" xr:uid="{00000000-0005-0000-0000-00000A550000}"/>
    <cellStyle name="Normal 3 4 8 2 4" xfId="20985" xr:uid="{00000000-0005-0000-0000-00000B550000}"/>
    <cellStyle name="Normal 3 4 8 2 5" xfId="39617" xr:uid="{00000000-0005-0000-0000-00000C550000}"/>
    <cellStyle name="Normal 3 4 8 3" xfId="11440" xr:uid="{00000000-0005-0000-0000-00000D550000}"/>
    <cellStyle name="Normal 3 4 8 3 2" xfId="34925" xr:uid="{00000000-0005-0000-0000-00000E550000}"/>
    <cellStyle name="Normal 3 4 8 3 3" xfId="25606" xr:uid="{00000000-0005-0000-0000-00000F550000}"/>
    <cellStyle name="Normal 3 4 8 3 4" xfId="48868" xr:uid="{00000000-0005-0000-0000-000010550000}"/>
    <cellStyle name="Normal 3 4 8 4" xfId="16171" xr:uid="{00000000-0005-0000-0000-000011550000}"/>
    <cellStyle name="Normal 3 4 8 4 2" xfId="30303" xr:uid="{00000000-0005-0000-0000-000012550000}"/>
    <cellStyle name="Normal 3 4 8 4 3" xfId="44198" xr:uid="{00000000-0005-0000-0000-000013550000}"/>
    <cellStyle name="Normal 3 4 8 5" xfId="20984" xr:uid="{00000000-0005-0000-0000-000014550000}"/>
    <cellStyle name="Normal 3 4 8 6" xfId="39616" xr:uid="{00000000-0005-0000-0000-000015550000}"/>
    <cellStyle name="Normal 3 4 9" xfId="5606" xr:uid="{00000000-0005-0000-0000-000016550000}"/>
    <cellStyle name="Normal 3 4 9 2" xfId="5607" xr:uid="{00000000-0005-0000-0000-000017550000}"/>
    <cellStyle name="Normal 3 4 9 2 2" xfId="11443" xr:uid="{00000000-0005-0000-0000-000018550000}"/>
    <cellStyle name="Normal 3 4 9 2 2 2" xfId="34928" xr:uid="{00000000-0005-0000-0000-000019550000}"/>
    <cellStyle name="Normal 3 4 9 2 2 3" xfId="25609" xr:uid="{00000000-0005-0000-0000-00001A550000}"/>
    <cellStyle name="Normal 3 4 9 2 2 4" xfId="48871" xr:uid="{00000000-0005-0000-0000-00001B550000}"/>
    <cellStyle name="Normal 3 4 9 2 3" xfId="16174" xr:uid="{00000000-0005-0000-0000-00001C550000}"/>
    <cellStyle name="Normal 3 4 9 2 3 2" xfId="30306" xr:uid="{00000000-0005-0000-0000-00001D550000}"/>
    <cellStyle name="Normal 3 4 9 2 3 3" xfId="44201" xr:uid="{00000000-0005-0000-0000-00001E550000}"/>
    <cellStyle name="Normal 3 4 9 2 4" xfId="20987" xr:uid="{00000000-0005-0000-0000-00001F550000}"/>
    <cellStyle name="Normal 3 4 9 2 5" xfId="39619" xr:uid="{00000000-0005-0000-0000-000020550000}"/>
    <cellStyle name="Normal 3 4 9 3" xfId="11442" xr:uid="{00000000-0005-0000-0000-000021550000}"/>
    <cellStyle name="Normal 3 4 9 3 2" xfId="34927" xr:uid="{00000000-0005-0000-0000-000022550000}"/>
    <cellStyle name="Normal 3 4 9 3 3" xfId="25608" xr:uid="{00000000-0005-0000-0000-000023550000}"/>
    <cellStyle name="Normal 3 4 9 3 4" xfId="48870" xr:uid="{00000000-0005-0000-0000-000024550000}"/>
    <cellStyle name="Normal 3 4 9 4" xfId="16173" xr:uid="{00000000-0005-0000-0000-000025550000}"/>
    <cellStyle name="Normal 3 4 9 4 2" xfId="30305" xr:uid="{00000000-0005-0000-0000-000026550000}"/>
    <cellStyle name="Normal 3 4 9 4 3" xfId="44200" xr:uid="{00000000-0005-0000-0000-000027550000}"/>
    <cellStyle name="Normal 3 4 9 5" xfId="20986" xr:uid="{00000000-0005-0000-0000-000028550000}"/>
    <cellStyle name="Normal 3 4 9 6" xfId="39618" xr:uid="{00000000-0005-0000-0000-000029550000}"/>
    <cellStyle name="Normal 3 40" xfId="5608" xr:uid="{00000000-0005-0000-0000-00002A550000}"/>
    <cellStyle name="Normal 3 40 2" xfId="5609" xr:uid="{00000000-0005-0000-0000-00002B550000}"/>
    <cellStyle name="Normal 3 40 2 2" xfId="11445" xr:uid="{00000000-0005-0000-0000-00002C550000}"/>
    <cellStyle name="Normal 3 40 2 2 2" xfId="34930" xr:uid="{00000000-0005-0000-0000-00002D550000}"/>
    <cellStyle name="Normal 3 40 2 2 3" xfId="25611" xr:uid="{00000000-0005-0000-0000-00002E550000}"/>
    <cellStyle name="Normal 3 40 2 2 4" xfId="48873" xr:uid="{00000000-0005-0000-0000-00002F550000}"/>
    <cellStyle name="Normal 3 40 2 3" xfId="16176" xr:uid="{00000000-0005-0000-0000-000030550000}"/>
    <cellStyle name="Normal 3 40 2 3 2" xfId="30308" xr:uid="{00000000-0005-0000-0000-000031550000}"/>
    <cellStyle name="Normal 3 40 2 3 3" xfId="44203" xr:uid="{00000000-0005-0000-0000-000032550000}"/>
    <cellStyle name="Normal 3 40 2 4" xfId="20989" xr:uid="{00000000-0005-0000-0000-000033550000}"/>
    <cellStyle name="Normal 3 40 2 5" xfId="39621" xr:uid="{00000000-0005-0000-0000-000034550000}"/>
    <cellStyle name="Normal 3 40 3" xfId="11444" xr:uid="{00000000-0005-0000-0000-000035550000}"/>
    <cellStyle name="Normal 3 40 3 2" xfId="34929" xr:uid="{00000000-0005-0000-0000-000036550000}"/>
    <cellStyle name="Normal 3 40 3 3" xfId="25610" xr:uid="{00000000-0005-0000-0000-000037550000}"/>
    <cellStyle name="Normal 3 40 3 4" xfId="48872" xr:uid="{00000000-0005-0000-0000-000038550000}"/>
    <cellStyle name="Normal 3 40 4" xfId="16175" xr:uid="{00000000-0005-0000-0000-000039550000}"/>
    <cellStyle name="Normal 3 40 4 2" xfId="30307" xr:uid="{00000000-0005-0000-0000-00003A550000}"/>
    <cellStyle name="Normal 3 40 4 3" xfId="44202" xr:uid="{00000000-0005-0000-0000-00003B550000}"/>
    <cellStyle name="Normal 3 40 5" xfId="20988" xr:uid="{00000000-0005-0000-0000-00003C550000}"/>
    <cellStyle name="Normal 3 40 6" xfId="39620" xr:uid="{00000000-0005-0000-0000-00003D550000}"/>
    <cellStyle name="Normal 3 41" xfId="5610" xr:uid="{00000000-0005-0000-0000-00003E550000}"/>
    <cellStyle name="Normal 3 41 2" xfId="5611" xr:uid="{00000000-0005-0000-0000-00003F550000}"/>
    <cellStyle name="Normal 3 41 2 2" xfId="11447" xr:uid="{00000000-0005-0000-0000-000040550000}"/>
    <cellStyle name="Normal 3 41 2 2 2" xfId="34932" xr:uid="{00000000-0005-0000-0000-000041550000}"/>
    <cellStyle name="Normal 3 41 2 2 3" xfId="25613" xr:uid="{00000000-0005-0000-0000-000042550000}"/>
    <cellStyle name="Normal 3 41 2 2 4" xfId="48875" xr:uid="{00000000-0005-0000-0000-000043550000}"/>
    <cellStyle name="Normal 3 41 2 3" xfId="16178" xr:uid="{00000000-0005-0000-0000-000044550000}"/>
    <cellStyle name="Normal 3 41 2 3 2" xfId="30310" xr:uid="{00000000-0005-0000-0000-000045550000}"/>
    <cellStyle name="Normal 3 41 2 3 3" xfId="44205" xr:uid="{00000000-0005-0000-0000-000046550000}"/>
    <cellStyle name="Normal 3 41 2 4" xfId="20991" xr:uid="{00000000-0005-0000-0000-000047550000}"/>
    <cellStyle name="Normal 3 41 2 5" xfId="39623" xr:uid="{00000000-0005-0000-0000-000048550000}"/>
    <cellStyle name="Normal 3 41 3" xfId="11446" xr:uid="{00000000-0005-0000-0000-000049550000}"/>
    <cellStyle name="Normal 3 41 3 2" xfId="34931" xr:uid="{00000000-0005-0000-0000-00004A550000}"/>
    <cellStyle name="Normal 3 41 3 3" xfId="25612" xr:uid="{00000000-0005-0000-0000-00004B550000}"/>
    <cellStyle name="Normal 3 41 3 4" xfId="48874" xr:uid="{00000000-0005-0000-0000-00004C550000}"/>
    <cellStyle name="Normal 3 41 4" xfId="16177" xr:uid="{00000000-0005-0000-0000-00004D550000}"/>
    <cellStyle name="Normal 3 41 4 2" xfId="30309" xr:uid="{00000000-0005-0000-0000-00004E550000}"/>
    <cellStyle name="Normal 3 41 4 3" xfId="44204" xr:uid="{00000000-0005-0000-0000-00004F550000}"/>
    <cellStyle name="Normal 3 41 5" xfId="20990" xr:uid="{00000000-0005-0000-0000-000050550000}"/>
    <cellStyle name="Normal 3 41 6" xfId="39622" xr:uid="{00000000-0005-0000-0000-000051550000}"/>
    <cellStyle name="Normal 3 42" xfId="5612" xr:uid="{00000000-0005-0000-0000-000052550000}"/>
    <cellStyle name="Normal 3 42 2" xfId="5613" xr:uid="{00000000-0005-0000-0000-000053550000}"/>
    <cellStyle name="Normal 3 42 2 2" xfId="11449" xr:uid="{00000000-0005-0000-0000-000054550000}"/>
    <cellStyle name="Normal 3 42 2 2 2" xfId="34934" xr:uid="{00000000-0005-0000-0000-000055550000}"/>
    <cellStyle name="Normal 3 42 2 2 3" xfId="25615" xr:uid="{00000000-0005-0000-0000-000056550000}"/>
    <cellStyle name="Normal 3 42 2 2 4" xfId="48877" xr:uid="{00000000-0005-0000-0000-000057550000}"/>
    <cellStyle name="Normal 3 42 2 3" xfId="16180" xr:uid="{00000000-0005-0000-0000-000058550000}"/>
    <cellStyle name="Normal 3 42 2 3 2" xfId="30312" xr:uid="{00000000-0005-0000-0000-000059550000}"/>
    <cellStyle name="Normal 3 42 2 3 3" xfId="44207" xr:uid="{00000000-0005-0000-0000-00005A550000}"/>
    <cellStyle name="Normal 3 42 2 4" xfId="20993" xr:uid="{00000000-0005-0000-0000-00005B550000}"/>
    <cellStyle name="Normal 3 42 2 5" xfId="39625" xr:uid="{00000000-0005-0000-0000-00005C550000}"/>
    <cellStyle name="Normal 3 42 3" xfId="11448" xr:uid="{00000000-0005-0000-0000-00005D550000}"/>
    <cellStyle name="Normal 3 42 3 2" xfId="34933" xr:uid="{00000000-0005-0000-0000-00005E550000}"/>
    <cellStyle name="Normal 3 42 3 3" xfId="25614" xr:uid="{00000000-0005-0000-0000-00005F550000}"/>
    <cellStyle name="Normal 3 42 3 4" xfId="48876" xr:uid="{00000000-0005-0000-0000-000060550000}"/>
    <cellStyle name="Normal 3 42 4" xfId="16179" xr:uid="{00000000-0005-0000-0000-000061550000}"/>
    <cellStyle name="Normal 3 42 4 2" xfId="30311" xr:uid="{00000000-0005-0000-0000-000062550000}"/>
    <cellStyle name="Normal 3 42 4 3" xfId="44206" xr:uid="{00000000-0005-0000-0000-000063550000}"/>
    <cellStyle name="Normal 3 42 5" xfId="20992" xr:uid="{00000000-0005-0000-0000-000064550000}"/>
    <cellStyle name="Normal 3 42 6" xfId="39624" xr:uid="{00000000-0005-0000-0000-000065550000}"/>
    <cellStyle name="Normal 3 43" xfId="5614" xr:uid="{00000000-0005-0000-0000-000066550000}"/>
    <cellStyle name="Normal 3 43 2" xfId="5615" xr:uid="{00000000-0005-0000-0000-000067550000}"/>
    <cellStyle name="Normal 3 43 2 2" xfId="11451" xr:uid="{00000000-0005-0000-0000-000068550000}"/>
    <cellStyle name="Normal 3 43 2 2 2" xfId="34936" xr:uid="{00000000-0005-0000-0000-000069550000}"/>
    <cellStyle name="Normal 3 43 2 2 3" xfId="25617" xr:uid="{00000000-0005-0000-0000-00006A550000}"/>
    <cellStyle name="Normal 3 43 2 2 4" xfId="48879" xr:uid="{00000000-0005-0000-0000-00006B550000}"/>
    <cellStyle name="Normal 3 43 2 3" xfId="16182" xr:uid="{00000000-0005-0000-0000-00006C550000}"/>
    <cellStyle name="Normal 3 43 2 3 2" xfId="30314" xr:uid="{00000000-0005-0000-0000-00006D550000}"/>
    <cellStyle name="Normal 3 43 2 3 3" xfId="44209" xr:uid="{00000000-0005-0000-0000-00006E550000}"/>
    <cellStyle name="Normal 3 43 2 4" xfId="20995" xr:uid="{00000000-0005-0000-0000-00006F550000}"/>
    <cellStyle name="Normal 3 43 2 5" xfId="39627" xr:uid="{00000000-0005-0000-0000-000070550000}"/>
    <cellStyle name="Normal 3 43 3" xfId="11450" xr:uid="{00000000-0005-0000-0000-000071550000}"/>
    <cellStyle name="Normal 3 43 3 2" xfId="34935" xr:uid="{00000000-0005-0000-0000-000072550000}"/>
    <cellStyle name="Normal 3 43 3 3" xfId="25616" xr:uid="{00000000-0005-0000-0000-000073550000}"/>
    <cellStyle name="Normal 3 43 3 4" xfId="48878" xr:uid="{00000000-0005-0000-0000-000074550000}"/>
    <cellStyle name="Normal 3 43 4" xfId="16181" xr:uid="{00000000-0005-0000-0000-000075550000}"/>
    <cellStyle name="Normal 3 43 4 2" xfId="30313" xr:uid="{00000000-0005-0000-0000-000076550000}"/>
    <cellStyle name="Normal 3 43 4 3" xfId="44208" xr:uid="{00000000-0005-0000-0000-000077550000}"/>
    <cellStyle name="Normal 3 43 5" xfId="20994" xr:uid="{00000000-0005-0000-0000-000078550000}"/>
    <cellStyle name="Normal 3 43 6" xfId="39626" xr:uid="{00000000-0005-0000-0000-000079550000}"/>
    <cellStyle name="Normal 3 44" xfId="5616" xr:uid="{00000000-0005-0000-0000-00007A550000}"/>
    <cellStyle name="Normal 3 44 2" xfId="5617" xr:uid="{00000000-0005-0000-0000-00007B550000}"/>
    <cellStyle name="Normal 3 44 2 2" xfId="11453" xr:uid="{00000000-0005-0000-0000-00007C550000}"/>
    <cellStyle name="Normal 3 44 2 2 2" xfId="34938" xr:uid="{00000000-0005-0000-0000-00007D550000}"/>
    <cellStyle name="Normal 3 44 2 2 3" xfId="25619" xr:uid="{00000000-0005-0000-0000-00007E550000}"/>
    <cellStyle name="Normal 3 44 2 2 4" xfId="48881" xr:uid="{00000000-0005-0000-0000-00007F550000}"/>
    <cellStyle name="Normal 3 44 2 3" xfId="16184" xr:uid="{00000000-0005-0000-0000-000080550000}"/>
    <cellStyle name="Normal 3 44 2 3 2" xfId="30316" xr:uid="{00000000-0005-0000-0000-000081550000}"/>
    <cellStyle name="Normal 3 44 2 3 3" xfId="44211" xr:uid="{00000000-0005-0000-0000-000082550000}"/>
    <cellStyle name="Normal 3 44 2 4" xfId="20997" xr:uid="{00000000-0005-0000-0000-000083550000}"/>
    <cellStyle name="Normal 3 44 2 5" xfId="39629" xr:uid="{00000000-0005-0000-0000-000084550000}"/>
    <cellStyle name="Normal 3 44 3" xfId="11452" xr:uid="{00000000-0005-0000-0000-000085550000}"/>
    <cellStyle name="Normal 3 44 3 2" xfId="34937" xr:uid="{00000000-0005-0000-0000-000086550000}"/>
    <cellStyle name="Normal 3 44 3 3" xfId="25618" xr:uid="{00000000-0005-0000-0000-000087550000}"/>
    <cellStyle name="Normal 3 44 3 4" xfId="48880" xr:uid="{00000000-0005-0000-0000-000088550000}"/>
    <cellStyle name="Normal 3 44 4" xfId="16183" xr:uid="{00000000-0005-0000-0000-000089550000}"/>
    <cellStyle name="Normal 3 44 4 2" xfId="30315" xr:uid="{00000000-0005-0000-0000-00008A550000}"/>
    <cellStyle name="Normal 3 44 4 3" xfId="44210" xr:uid="{00000000-0005-0000-0000-00008B550000}"/>
    <cellStyle name="Normal 3 44 5" xfId="20996" xr:uid="{00000000-0005-0000-0000-00008C550000}"/>
    <cellStyle name="Normal 3 44 6" xfId="39628" xr:uid="{00000000-0005-0000-0000-00008D550000}"/>
    <cellStyle name="Normal 3 45" xfId="5618" xr:uid="{00000000-0005-0000-0000-00008E550000}"/>
    <cellStyle name="Normal 3 45 2" xfId="5619" xr:uid="{00000000-0005-0000-0000-00008F550000}"/>
    <cellStyle name="Normal 3 45 2 2" xfId="11455" xr:uid="{00000000-0005-0000-0000-000090550000}"/>
    <cellStyle name="Normal 3 45 2 2 2" xfId="34940" xr:uid="{00000000-0005-0000-0000-000091550000}"/>
    <cellStyle name="Normal 3 45 2 2 3" xfId="25621" xr:uid="{00000000-0005-0000-0000-000092550000}"/>
    <cellStyle name="Normal 3 45 2 2 4" xfId="48883" xr:uid="{00000000-0005-0000-0000-000093550000}"/>
    <cellStyle name="Normal 3 45 2 3" xfId="16186" xr:uid="{00000000-0005-0000-0000-000094550000}"/>
    <cellStyle name="Normal 3 45 2 3 2" xfId="30318" xr:uid="{00000000-0005-0000-0000-000095550000}"/>
    <cellStyle name="Normal 3 45 2 3 3" xfId="44213" xr:uid="{00000000-0005-0000-0000-000096550000}"/>
    <cellStyle name="Normal 3 45 2 4" xfId="20999" xr:uid="{00000000-0005-0000-0000-000097550000}"/>
    <cellStyle name="Normal 3 45 2 5" xfId="39631" xr:uid="{00000000-0005-0000-0000-000098550000}"/>
    <cellStyle name="Normal 3 45 3" xfId="11454" xr:uid="{00000000-0005-0000-0000-000099550000}"/>
    <cellStyle name="Normal 3 45 3 2" xfId="34939" xr:uid="{00000000-0005-0000-0000-00009A550000}"/>
    <cellStyle name="Normal 3 45 3 3" xfId="25620" xr:uid="{00000000-0005-0000-0000-00009B550000}"/>
    <cellStyle name="Normal 3 45 3 4" xfId="48882" xr:uid="{00000000-0005-0000-0000-00009C550000}"/>
    <cellStyle name="Normal 3 45 4" xfId="16185" xr:uid="{00000000-0005-0000-0000-00009D550000}"/>
    <cellStyle name="Normal 3 45 4 2" xfId="30317" xr:uid="{00000000-0005-0000-0000-00009E550000}"/>
    <cellStyle name="Normal 3 45 4 3" xfId="44212" xr:uid="{00000000-0005-0000-0000-00009F550000}"/>
    <cellStyle name="Normal 3 45 5" xfId="20998" xr:uid="{00000000-0005-0000-0000-0000A0550000}"/>
    <cellStyle name="Normal 3 45 6" xfId="39630" xr:uid="{00000000-0005-0000-0000-0000A1550000}"/>
    <cellStyle name="Normal 3 46" xfId="5620" xr:uid="{00000000-0005-0000-0000-0000A2550000}"/>
    <cellStyle name="Normal 3 46 2" xfId="5621" xr:uid="{00000000-0005-0000-0000-0000A3550000}"/>
    <cellStyle name="Normal 3 46 2 2" xfId="11457" xr:uid="{00000000-0005-0000-0000-0000A4550000}"/>
    <cellStyle name="Normal 3 46 2 2 2" xfId="34942" xr:uid="{00000000-0005-0000-0000-0000A5550000}"/>
    <cellStyle name="Normal 3 46 2 2 3" xfId="25623" xr:uid="{00000000-0005-0000-0000-0000A6550000}"/>
    <cellStyle name="Normal 3 46 2 2 4" xfId="48885" xr:uid="{00000000-0005-0000-0000-0000A7550000}"/>
    <cellStyle name="Normal 3 46 2 3" xfId="16188" xr:uid="{00000000-0005-0000-0000-0000A8550000}"/>
    <cellStyle name="Normal 3 46 2 3 2" xfId="30320" xr:uid="{00000000-0005-0000-0000-0000A9550000}"/>
    <cellStyle name="Normal 3 46 2 3 3" xfId="44215" xr:uid="{00000000-0005-0000-0000-0000AA550000}"/>
    <cellStyle name="Normal 3 46 2 4" xfId="21001" xr:uid="{00000000-0005-0000-0000-0000AB550000}"/>
    <cellStyle name="Normal 3 46 2 5" xfId="39633" xr:uid="{00000000-0005-0000-0000-0000AC550000}"/>
    <cellStyle name="Normal 3 46 3" xfId="11456" xr:uid="{00000000-0005-0000-0000-0000AD550000}"/>
    <cellStyle name="Normal 3 46 3 2" xfId="34941" xr:uid="{00000000-0005-0000-0000-0000AE550000}"/>
    <cellStyle name="Normal 3 46 3 3" xfId="25622" xr:uid="{00000000-0005-0000-0000-0000AF550000}"/>
    <cellStyle name="Normal 3 46 3 4" xfId="48884" xr:uid="{00000000-0005-0000-0000-0000B0550000}"/>
    <cellStyle name="Normal 3 46 4" xfId="16187" xr:uid="{00000000-0005-0000-0000-0000B1550000}"/>
    <cellStyle name="Normal 3 46 4 2" xfId="30319" xr:uid="{00000000-0005-0000-0000-0000B2550000}"/>
    <cellStyle name="Normal 3 46 4 3" xfId="44214" xr:uid="{00000000-0005-0000-0000-0000B3550000}"/>
    <cellStyle name="Normal 3 46 5" xfId="21000" xr:uid="{00000000-0005-0000-0000-0000B4550000}"/>
    <cellStyle name="Normal 3 46 6" xfId="39632" xr:uid="{00000000-0005-0000-0000-0000B5550000}"/>
    <cellStyle name="Normal 3 47" xfId="5622" xr:uid="{00000000-0005-0000-0000-0000B6550000}"/>
    <cellStyle name="Normal 3 47 2" xfId="5623" xr:uid="{00000000-0005-0000-0000-0000B7550000}"/>
    <cellStyle name="Normal 3 47 2 2" xfId="11459" xr:uid="{00000000-0005-0000-0000-0000B8550000}"/>
    <cellStyle name="Normal 3 47 2 2 2" xfId="34944" xr:uid="{00000000-0005-0000-0000-0000B9550000}"/>
    <cellStyle name="Normal 3 47 2 2 3" xfId="25625" xr:uid="{00000000-0005-0000-0000-0000BA550000}"/>
    <cellStyle name="Normal 3 47 2 2 4" xfId="48887" xr:uid="{00000000-0005-0000-0000-0000BB550000}"/>
    <cellStyle name="Normal 3 47 2 3" xfId="16190" xr:uid="{00000000-0005-0000-0000-0000BC550000}"/>
    <cellStyle name="Normal 3 47 2 3 2" xfId="30322" xr:uid="{00000000-0005-0000-0000-0000BD550000}"/>
    <cellStyle name="Normal 3 47 2 3 3" xfId="44217" xr:uid="{00000000-0005-0000-0000-0000BE550000}"/>
    <cellStyle name="Normal 3 47 2 4" xfId="21003" xr:uid="{00000000-0005-0000-0000-0000BF550000}"/>
    <cellStyle name="Normal 3 47 2 5" xfId="39635" xr:uid="{00000000-0005-0000-0000-0000C0550000}"/>
    <cellStyle name="Normal 3 47 3" xfId="11458" xr:uid="{00000000-0005-0000-0000-0000C1550000}"/>
    <cellStyle name="Normal 3 47 3 2" xfId="34943" xr:uid="{00000000-0005-0000-0000-0000C2550000}"/>
    <cellStyle name="Normal 3 47 3 3" xfId="25624" xr:uid="{00000000-0005-0000-0000-0000C3550000}"/>
    <cellStyle name="Normal 3 47 3 4" xfId="48886" xr:uid="{00000000-0005-0000-0000-0000C4550000}"/>
    <cellStyle name="Normal 3 47 4" xfId="16189" xr:uid="{00000000-0005-0000-0000-0000C5550000}"/>
    <cellStyle name="Normal 3 47 4 2" xfId="30321" xr:uid="{00000000-0005-0000-0000-0000C6550000}"/>
    <cellStyle name="Normal 3 47 4 3" xfId="44216" xr:uid="{00000000-0005-0000-0000-0000C7550000}"/>
    <cellStyle name="Normal 3 47 5" xfId="21002" xr:uid="{00000000-0005-0000-0000-0000C8550000}"/>
    <cellStyle name="Normal 3 47 6" xfId="39634" xr:uid="{00000000-0005-0000-0000-0000C9550000}"/>
    <cellStyle name="Normal 3 48" xfId="5624" xr:uid="{00000000-0005-0000-0000-0000CA550000}"/>
    <cellStyle name="Normal 3 48 2" xfId="5625" xr:uid="{00000000-0005-0000-0000-0000CB550000}"/>
    <cellStyle name="Normal 3 48 2 2" xfId="11461" xr:uid="{00000000-0005-0000-0000-0000CC550000}"/>
    <cellStyle name="Normal 3 48 2 2 2" xfId="34946" xr:uid="{00000000-0005-0000-0000-0000CD550000}"/>
    <cellStyle name="Normal 3 48 2 2 3" xfId="25627" xr:uid="{00000000-0005-0000-0000-0000CE550000}"/>
    <cellStyle name="Normal 3 48 2 2 4" xfId="48889" xr:uid="{00000000-0005-0000-0000-0000CF550000}"/>
    <cellStyle name="Normal 3 48 2 3" xfId="16192" xr:uid="{00000000-0005-0000-0000-0000D0550000}"/>
    <cellStyle name="Normal 3 48 2 3 2" xfId="30324" xr:uid="{00000000-0005-0000-0000-0000D1550000}"/>
    <cellStyle name="Normal 3 48 2 3 3" xfId="44219" xr:uid="{00000000-0005-0000-0000-0000D2550000}"/>
    <cellStyle name="Normal 3 48 2 4" xfId="21005" xr:uid="{00000000-0005-0000-0000-0000D3550000}"/>
    <cellStyle name="Normal 3 48 2 5" xfId="39637" xr:uid="{00000000-0005-0000-0000-0000D4550000}"/>
    <cellStyle name="Normal 3 48 3" xfId="11460" xr:uid="{00000000-0005-0000-0000-0000D5550000}"/>
    <cellStyle name="Normal 3 48 3 2" xfId="34945" xr:uid="{00000000-0005-0000-0000-0000D6550000}"/>
    <cellStyle name="Normal 3 48 3 3" xfId="25626" xr:uid="{00000000-0005-0000-0000-0000D7550000}"/>
    <cellStyle name="Normal 3 48 3 4" xfId="48888" xr:uid="{00000000-0005-0000-0000-0000D8550000}"/>
    <cellStyle name="Normal 3 48 4" xfId="16191" xr:uid="{00000000-0005-0000-0000-0000D9550000}"/>
    <cellStyle name="Normal 3 48 4 2" xfId="30323" xr:uid="{00000000-0005-0000-0000-0000DA550000}"/>
    <cellStyle name="Normal 3 48 4 3" xfId="44218" xr:uid="{00000000-0005-0000-0000-0000DB550000}"/>
    <cellStyle name="Normal 3 48 5" xfId="21004" xr:uid="{00000000-0005-0000-0000-0000DC550000}"/>
    <cellStyle name="Normal 3 48 6" xfId="39636" xr:uid="{00000000-0005-0000-0000-0000DD550000}"/>
    <cellStyle name="Normal 3 49" xfId="5626" xr:uid="{00000000-0005-0000-0000-0000DE550000}"/>
    <cellStyle name="Normal 3 49 2" xfId="5627" xr:uid="{00000000-0005-0000-0000-0000DF550000}"/>
    <cellStyle name="Normal 3 49 2 2" xfId="11463" xr:uid="{00000000-0005-0000-0000-0000E0550000}"/>
    <cellStyle name="Normal 3 49 2 2 2" xfId="34948" xr:uid="{00000000-0005-0000-0000-0000E1550000}"/>
    <cellStyle name="Normal 3 49 2 2 3" xfId="25629" xr:uid="{00000000-0005-0000-0000-0000E2550000}"/>
    <cellStyle name="Normal 3 49 2 2 4" xfId="48891" xr:uid="{00000000-0005-0000-0000-0000E3550000}"/>
    <cellStyle name="Normal 3 49 2 3" xfId="16194" xr:uid="{00000000-0005-0000-0000-0000E4550000}"/>
    <cellStyle name="Normal 3 49 2 3 2" xfId="30326" xr:uid="{00000000-0005-0000-0000-0000E5550000}"/>
    <cellStyle name="Normal 3 49 2 3 3" xfId="44221" xr:uid="{00000000-0005-0000-0000-0000E6550000}"/>
    <cellStyle name="Normal 3 49 2 4" xfId="21007" xr:uid="{00000000-0005-0000-0000-0000E7550000}"/>
    <cellStyle name="Normal 3 49 2 5" xfId="39639" xr:uid="{00000000-0005-0000-0000-0000E8550000}"/>
    <cellStyle name="Normal 3 49 3" xfId="11462" xr:uid="{00000000-0005-0000-0000-0000E9550000}"/>
    <cellStyle name="Normal 3 49 3 2" xfId="34947" xr:uid="{00000000-0005-0000-0000-0000EA550000}"/>
    <cellStyle name="Normal 3 49 3 3" xfId="25628" xr:uid="{00000000-0005-0000-0000-0000EB550000}"/>
    <cellStyle name="Normal 3 49 3 4" xfId="48890" xr:uid="{00000000-0005-0000-0000-0000EC550000}"/>
    <cellStyle name="Normal 3 49 4" xfId="16193" xr:uid="{00000000-0005-0000-0000-0000ED550000}"/>
    <cellStyle name="Normal 3 49 4 2" xfId="30325" xr:uid="{00000000-0005-0000-0000-0000EE550000}"/>
    <cellStyle name="Normal 3 49 4 3" xfId="44220" xr:uid="{00000000-0005-0000-0000-0000EF550000}"/>
    <cellStyle name="Normal 3 49 5" xfId="21006" xr:uid="{00000000-0005-0000-0000-0000F0550000}"/>
    <cellStyle name="Normal 3 49 6" xfId="39638" xr:uid="{00000000-0005-0000-0000-0000F1550000}"/>
    <cellStyle name="Normal 3 5" xfId="5628" xr:uid="{00000000-0005-0000-0000-0000F2550000}"/>
    <cellStyle name="Normal 3 5 10" xfId="5629" xr:uid="{00000000-0005-0000-0000-0000F3550000}"/>
    <cellStyle name="Normal 3 5 10 2" xfId="5630" xr:uid="{00000000-0005-0000-0000-0000F4550000}"/>
    <cellStyle name="Normal 3 5 10 2 2" xfId="11466" xr:uid="{00000000-0005-0000-0000-0000F5550000}"/>
    <cellStyle name="Normal 3 5 10 2 2 2" xfId="34951" xr:uid="{00000000-0005-0000-0000-0000F6550000}"/>
    <cellStyle name="Normal 3 5 10 2 2 3" xfId="25632" xr:uid="{00000000-0005-0000-0000-0000F7550000}"/>
    <cellStyle name="Normal 3 5 10 2 2 4" xfId="48894" xr:uid="{00000000-0005-0000-0000-0000F8550000}"/>
    <cellStyle name="Normal 3 5 10 2 3" xfId="16197" xr:uid="{00000000-0005-0000-0000-0000F9550000}"/>
    <cellStyle name="Normal 3 5 10 2 3 2" xfId="30329" xr:uid="{00000000-0005-0000-0000-0000FA550000}"/>
    <cellStyle name="Normal 3 5 10 2 3 3" xfId="44224" xr:uid="{00000000-0005-0000-0000-0000FB550000}"/>
    <cellStyle name="Normal 3 5 10 2 4" xfId="21010" xr:uid="{00000000-0005-0000-0000-0000FC550000}"/>
    <cellStyle name="Normal 3 5 10 2 5" xfId="39642" xr:uid="{00000000-0005-0000-0000-0000FD550000}"/>
    <cellStyle name="Normal 3 5 10 3" xfId="11465" xr:uid="{00000000-0005-0000-0000-0000FE550000}"/>
    <cellStyle name="Normal 3 5 10 3 2" xfId="34950" xr:uid="{00000000-0005-0000-0000-0000FF550000}"/>
    <cellStyle name="Normal 3 5 10 3 3" xfId="25631" xr:uid="{00000000-0005-0000-0000-000000560000}"/>
    <cellStyle name="Normal 3 5 10 3 4" xfId="48893" xr:uid="{00000000-0005-0000-0000-000001560000}"/>
    <cellStyle name="Normal 3 5 10 4" xfId="16196" xr:uid="{00000000-0005-0000-0000-000002560000}"/>
    <cellStyle name="Normal 3 5 10 4 2" xfId="30328" xr:uid="{00000000-0005-0000-0000-000003560000}"/>
    <cellStyle name="Normal 3 5 10 4 3" xfId="44223" xr:uid="{00000000-0005-0000-0000-000004560000}"/>
    <cellStyle name="Normal 3 5 10 5" xfId="21009" xr:uid="{00000000-0005-0000-0000-000005560000}"/>
    <cellStyle name="Normal 3 5 10 6" xfId="39641" xr:uid="{00000000-0005-0000-0000-000006560000}"/>
    <cellStyle name="Normal 3 5 11" xfId="5631" xr:uid="{00000000-0005-0000-0000-000007560000}"/>
    <cellStyle name="Normal 3 5 11 2" xfId="5632" xr:uid="{00000000-0005-0000-0000-000008560000}"/>
    <cellStyle name="Normal 3 5 11 2 2" xfId="11468" xr:uid="{00000000-0005-0000-0000-000009560000}"/>
    <cellStyle name="Normal 3 5 11 2 2 2" xfId="34953" xr:uid="{00000000-0005-0000-0000-00000A560000}"/>
    <cellStyle name="Normal 3 5 11 2 2 3" xfId="25634" xr:uid="{00000000-0005-0000-0000-00000B560000}"/>
    <cellStyle name="Normal 3 5 11 2 2 4" xfId="48896" xr:uid="{00000000-0005-0000-0000-00000C560000}"/>
    <cellStyle name="Normal 3 5 11 2 3" xfId="16199" xr:uid="{00000000-0005-0000-0000-00000D560000}"/>
    <cellStyle name="Normal 3 5 11 2 3 2" xfId="30331" xr:uid="{00000000-0005-0000-0000-00000E560000}"/>
    <cellStyle name="Normal 3 5 11 2 3 3" xfId="44226" xr:uid="{00000000-0005-0000-0000-00000F560000}"/>
    <cellStyle name="Normal 3 5 11 2 4" xfId="21012" xr:uid="{00000000-0005-0000-0000-000010560000}"/>
    <cellStyle name="Normal 3 5 11 2 5" xfId="39644" xr:uid="{00000000-0005-0000-0000-000011560000}"/>
    <cellStyle name="Normal 3 5 11 3" xfId="11467" xr:uid="{00000000-0005-0000-0000-000012560000}"/>
    <cellStyle name="Normal 3 5 11 3 2" xfId="34952" xr:uid="{00000000-0005-0000-0000-000013560000}"/>
    <cellStyle name="Normal 3 5 11 3 3" xfId="25633" xr:uid="{00000000-0005-0000-0000-000014560000}"/>
    <cellStyle name="Normal 3 5 11 3 4" xfId="48895" xr:uid="{00000000-0005-0000-0000-000015560000}"/>
    <cellStyle name="Normal 3 5 11 4" xfId="16198" xr:uid="{00000000-0005-0000-0000-000016560000}"/>
    <cellStyle name="Normal 3 5 11 4 2" xfId="30330" xr:uid="{00000000-0005-0000-0000-000017560000}"/>
    <cellStyle name="Normal 3 5 11 4 3" xfId="44225" xr:uid="{00000000-0005-0000-0000-000018560000}"/>
    <cellStyle name="Normal 3 5 11 5" xfId="21011" xr:uid="{00000000-0005-0000-0000-000019560000}"/>
    <cellStyle name="Normal 3 5 11 6" xfId="39643" xr:uid="{00000000-0005-0000-0000-00001A560000}"/>
    <cellStyle name="Normal 3 5 12" xfId="5633" xr:uid="{00000000-0005-0000-0000-00001B560000}"/>
    <cellStyle name="Normal 3 5 12 2" xfId="5634" xr:uid="{00000000-0005-0000-0000-00001C560000}"/>
    <cellStyle name="Normal 3 5 12 2 2" xfId="11470" xr:uid="{00000000-0005-0000-0000-00001D560000}"/>
    <cellStyle name="Normal 3 5 12 2 2 2" xfId="34955" xr:uid="{00000000-0005-0000-0000-00001E560000}"/>
    <cellStyle name="Normal 3 5 12 2 2 3" xfId="25636" xr:uid="{00000000-0005-0000-0000-00001F560000}"/>
    <cellStyle name="Normal 3 5 12 2 2 4" xfId="48898" xr:uid="{00000000-0005-0000-0000-000020560000}"/>
    <cellStyle name="Normal 3 5 12 2 3" xfId="16201" xr:uid="{00000000-0005-0000-0000-000021560000}"/>
    <cellStyle name="Normal 3 5 12 2 3 2" xfId="30333" xr:uid="{00000000-0005-0000-0000-000022560000}"/>
    <cellStyle name="Normal 3 5 12 2 3 3" xfId="44228" xr:uid="{00000000-0005-0000-0000-000023560000}"/>
    <cellStyle name="Normal 3 5 12 2 4" xfId="21014" xr:uid="{00000000-0005-0000-0000-000024560000}"/>
    <cellStyle name="Normal 3 5 12 2 5" xfId="39646" xr:uid="{00000000-0005-0000-0000-000025560000}"/>
    <cellStyle name="Normal 3 5 12 3" xfId="11469" xr:uid="{00000000-0005-0000-0000-000026560000}"/>
    <cellStyle name="Normal 3 5 12 3 2" xfId="34954" xr:uid="{00000000-0005-0000-0000-000027560000}"/>
    <cellStyle name="Normal 3 5 12 3 3" xfId="25635" xr:uid="{00000000-0005-0000-0000-000028560000}"/>
    <cellStyle name="Normal 3 5 12 3 4" xfId="48897" xr:uid="{00000000-0005-0000-0000-000029560000}"/>
    <cellStyle name="Normal 3 5 12 4" xfId="16200" xr:uid="{00000000-0005-0000-0000-00002A560000}"/>
    <cellStyle name="Normal 3 5 12 4 2" xfId="30332" xr:uid="{00000000-0005-0000-0000-00002B560000}"/>
    <cellStyle name="Normal 3 5 12 4 3" xfId="44227" xr:uid="{00000000-0005-0000-0000-00002C560000}"/>
    <cellStyle name="Normal 3 5 12 5" xfId="21013" xr:uid="{00000000-0005-0000-0000-00002D560000}"/>
    <cellStyle name="Normal 3 5 12 6" xfId="39645" xr:uid="{00000000-0005-0000-0000-00002E560000}"/>
    <cellStyle name="Normal 3 5 13" xfId="5635" xr:uid="{00000000-0005-0000-0000-00002F560000}"/>
    <cellStyle name="Normal 3 5 13 2" xfId="5636" xr:uid="{00000000-0005-0000-0000-000030560000}"/>
    <cellStyle name="Normal 3 5 13 2 2" xfId="11472" xr:uid="{00000000-0005-0000-0000-000031560000}"/>
    <cellStyle name="Normal 3 5 13 2 2 2" xfId="34957" xr:uid="{00000000-0005-0000-0000-000032560000}"/>
    <cellStyle name="Normal 3 5 13 2 2 3" xfId="25638" xr:uid="{00000000-0005-0000-0000-000033560000}"/>
    <cellStyle name="Normal 3 5 13 2 2 4" xfId="48900" xr:uid="{00000000-0005-0000-0000-000034560000}"/>
    <cellStyle name="Normal 3 5 13 2 3" xfId="16203" xr:uid="{00000000-0005-0000-0000-000035560000}"/>
    <cellStyle name="Normal 3 5 13 2 3 2" xfId="30335" xr:uid="{00000000-0005-0000-0000-000036560000}"/>
    <cellStyle name="Normal 3 5 13 2 3 3" xfId="44230" xr:uid="{00000000-0005-0000-0000-000037560000}"/>
    <cellStyle name="Normal 3 5 13 2 4" xfId="21016" xr:uid="{00000000-0005-0000-0000-000038560000}"/>
    <cellStyle name="Normal 3 5 13 2 5" xfId="39648" xr:uid="{00000000-0005-0000-0000-000039560000}"/>
    <cellStyle name="Normal 3 5 13 3" xfId="11471" xr:uid="{00000000-0005-0000-0000-00003A560000}"/>
    <cellStyle name="Normal 3 5 13 3 2" xfId="34956" xr:uid="{00000000-0005-0000-0000-00003B560000}"/>
    <cellStyle name="Normal 3 5 13 3 3" xfId="25637" xr:uid="{00000000-0005-0000-0000-00003C560000}"/>
    <cellStyle name="Normal 3 5 13 3 4" xfId="48899" xr:uid="{00000000-0005-0000-0000-00003D560000}"/>
    <cellStyle name="Normal 3 5 13 4" xfId="16202" xr:uid="{00000000-0005-0000-0000-00003E560000}"/>
    <cellStyle name="Normal 3 5 13 4 2" xfId="30334" xr:uid="{00000000-0005-0000-0000-00003F560000}"/>
    <cellStyle name="Normal 3 5 13 4 3" xfId="44229" xr:uid="{00000000-0005-0000-0000-000040560000}"/>
    <cellStyle name="Normal 3 5 13 5" xfId="21015" xr:uid="{00000000-0005-0000-0000-000041560000}"/>
    <cellStyle name="Normal 3 5 13 6" xfId="39647" xr:uid="{00000000-0005-0000-0000-000042560000}"/>
    <cellStyle name="Normal 3 5 14" xfId="5637" xr:uid="{00000000-0005-0000-0000-000043560000}"/>
    <cellStyle name="Normal 3 5 14 2" xfId="5638" xr:uid="{00000000-0005-0000-0000-000044560000}"/>
    <cellStyle name="Normal 3 5 14 2 2" xfId="11474" xr:uid="{00000000-0005-0000-0000-000045560000}"/>
    <cellStyle name="Normal 3 5 14 2 2 2" xfId="34959" xr:uid="{00000000-0005-0000-0000-000046560000}"/>
    <cellStyle name="Normal 3 5 14 2 2 3" xfId="25640" xr:uid="{00000000-0005-0000-0000-000047560000}"/>
    <cellStyle name="Normal 3 5 14 2 2 4" xfId="48902" xr:uid="{00000000-0005-0000-0000-000048560000}"/>
    <cellStyle name="Normal 3 5 14 2 3" xfId="16205" xr:uid="{00000000-0005-0000-0000-000049560000}"/>
    <cellStyle name="Normal 3 5 14 2 3 2" xfId="30337" xr:uid="{00000000-0005-0000-0000-00004A560000}"/>
    <cellStyle name="Normal 3 5 14 2 3 3" xfId="44232" xr:uid="{00000000-0005-0000-0000-00004B560000}"/>
    <cellStyle name="Normal 3 5 14 2 4" xfId="21018" xr:uid="{00000000-0005-0000-0000-00004C560000}"/>
    <cellStyle name="Normal 3 5 14 2 5" xfId="39650" xr:uid="{00000000-0005-0000-0000-00004D560000}"/>
    <cellStyle name="Normal 3 5 14 3" xfId="11473" xr:uid="{00000000-0005-0000-0000-00004E560000}"/>
    <cellStyle name="Normal 3 5 14 3 2" xfId="34958" xr:uid="{00000000-0005-0000-0000-00004F560000}"/>
    <cellStyle name="Normal 3 5 14 3 3" xfId="25639" xr:uid="{00000000-0005-0000-0000-000050560000}"/>
    <cellStyle name="Normal 3 5 14 3 4" xfId="48901" xr:uid="{00000000-0005-0000-0000-000051560000}"/>
    <cellStyle name="Normal 3 5 14 4" xfId="16204" xr:uid="{00000000-0005-0000-0000-000052560000}"/>
    <cellStyle name="Normal 3 5 14 4 2" xfId="30336" xr:uid="{00000000-0005-0000-0000-000053560000}"/>
    <cellStyle name="Normal 3 5 14 4 3" xfId="44231" xr:uid="{00000000-0005-0000-0000-000054560000}"/>
    <cellStyle name="Normal 3 5 14 5" xfId="21017" xr:uid="{00000000-0005-0000-0000-000055560000}"/>
    <cellStyle name="Normal 3 5 14 6" xfId="39649" xr:uid="{00000000-0005-0000-0000-000056560000}"/>
    <cellStyle name="Normal 3 5 15" xfId="5639" xr:uid="{00000000-0005-0000-0000-000057560000}"/>
    <cellStyle name="Normal 3 5 15 2" xfId="5640" xr:uid="{00000000-0005-0000-0000-000058560000}"/>
    <cellStyle name="Normal 3 5 15 2 2" xfId="11476" xr:uid="{00000000-0005-0000-0000-000059560000}"/>
    <cellStyle name="Normal 3 5 15 2 2 2" xfId="34961" xr:uid="{00000000-0005-0000-0000-00005A560000}"/>
    <cellStyle name="Normal 3 5 15 2 2 3" xfId="25642" xr:uid="{00000000-0005-0000-0000-00005B560000}"/>
    <cellStyle name="Normal 3 5 15 2 2 4" xfId="48904" xr:uid="{00000000-0005-0000-0000-00005C560000}"/>
    <cellStyle name="Normal 3 5 15 2 3" xfId="16207" xr:uid="{00000000-0005-0000-0000-00005D560000}"/>
    <cellStyle name="Normal 3 5 15 2 3 2" xfId="30339" xr:uid="{00000000-0005-0000-0000-00005E560000}"/>
    <cellStyle name="Normal 3 5 15 2 3 3" xfId="44234" xr:uid="{00000000-0005-0000-0000-00005F560000}"/>
    <cellStyle name="Normal 3 5 15 2 4" xfId="21020" xr:uid="{00000000-0005-0000-0000-000060560000}"/>
    <cellStyle name="Normal 3 5 15 2 5" xfId="39652" xr:uid="{00000000-0005-0000-0000-000061560000}"/>
    <cellStyle name="Normal 3 5 15 3" xfId="11475" xr:uid="{00000000-0005-0000-0000-000062560000}"/>
    <cellStyle name="Normal 3 5 15 3 2" xfId="34960" xr:uid="{00000000-0005-0000-0000-000063560000}"/>
    <cellStyle name="Normal 3 5 15 3 3" xfId="25641" xr:uid="{00000000-0005-0000-0000-000064560000}"/>
    <cellStyle name="Normal 3 5 15 3 4" xfId="48903" xr:uid="{00000000-0005-0000-0000-000065560000}"/>
    <cellStyle name="Normal 3 5 15 4" xfId="16206" xr:uid="{00000000-0005-0000-0000-000066560000}"/>
    <cellStyle name="Normal 3 5 15 4 2" xfId="30338" xr:uid="{00000000-0005-0000-0000-000067560000}"/>
    <cellStyle name="Normal 3 5 15 4 3" xfId="44233" xr:uid="{00000000-0005-0000-0000-000068560000}"/>
    <cellStyle name="Normal 3 5 15 5" xfId="21019" xr:uid="{00000000-0005-0000-0000-000069560000}"/>
    <cellStyle name="Normal 3 5 15 6" xfId="39651" xr:uid="{00000000-0005-0000-0000-00006A560000}"/>
    <cellStyle name="Normal 3 5 16" xfId="5641" xr:uid="{00000000-0005-0000-0000-00006B560000}"/>
    <cellStyle name="Normal 3 5 16 2" xfId="5642" xr:uid="{00000000-0005-0000-0000-00006C560000}"/>
    <cellStyle name="Normal 3 5 16 2 2" xfId="11478" xr:uid="{00000000-0005-0000-0000-00006D560000}"/>
    <cellStyle name="Normal 3 5 16 2 2 2" xfId="34963" xr:uid="{00000000-0005-0000-0000-00006E560000}"/>
    <cellStyle name="Normal 3 5 16 2 2 3" xfId="25644" xr:uid="{00000000-0005-0000-0000-00006F560000}"/>
    <cellStyle name="Normal 3 5 16 2 2 4" xfId="48906" xr:uid="{00000000-0005-0000-0000-000070560000}"/>
    <cellStyle name="Normal 3 5 16 2 3" xfId="16209" xr:uid="{00000000-0005-0000-0000-000071560000}"/>
    <cellStyle name="Normal 3 5 16 2 3 2" xfId="30341" xr:uid="{00000000-0005-0000-0000-000072560000}"/>
    <cellStyle name="Normal 3 5 16 2 3 3" xfId="44236" xr:uid="{00000000-0005-0000-0000-000073560000}"/>
    <cellStyle name="Normal 3 5 16 2 4" xfId="21022" xr:uid="{00000000-0005-0000-0000-000074560000}"/>
    <cellStyle name="Normal 3 5 16 2 5" xfId="39654" xr:uid="{00000000-0005-0000-0000-000075560000}"/>
    <cellStyle name="Normal 3 5 16 3" xfId="11477" xr:uid="{00000000-0005-0000-0000-000076560000}"/>
    <cellStyle name="Normal 3 5 16 3 2" xfId="34962" xr:uid="{00000000-0005-0000-0000-000077560000}"/>
    <cellStyle name="Normal 3 5 16 3 3" xfId="25643" xr:uid="{00000000-0005-0000-0000-000078560000}"/>
    <cellStyle name="Normal 3 5 16 3 4" xfId="48905" xr:uid="{00000000-0005-0000-0000-000079560000}"/>
    <cellStyle name="Normal 3 5 16 4" xfId="16208" xr:uid="{00000000-0005-0000-0000-00007A560000}"/>
    <cellStyle name="Normal 3 5 16 4 2" xfId="30340" xr:uid="{00000000-0005-0000-0000-00007B560000}"/>
    <cellStyle name="Normal 3 5 16 4 3" xfId="44235" xr:uid="{00000000-0005-0000-0000-00007C560000}"/>
    <cellStyle name="Normal 3 5 16 5" xfId="21021" xr:uid="{00000000-0005-0000-0000-00007D560000}"/>
    <cellStyle name="Normal 3 5 16 6" xfId="39653" xr:uid="{00000000-0005-0000-0000-00007E560000}"/>
    <cellStyle name="Normal 3 5 17" xfId="5643" xr:uid="{00000000-0005-0000-0000-00007F560000}"/>
    <cellStyle name="Normal 3 5 17 2" xfId="5644" xr:uid="{00000000-0005-0000-0000-000080560000}"/>
    <cellStyle name="Normal 3 5 17 2 2" xfId="11480" xr:uid="{00000000-0005-0000-0000-000081560000}"/>
    <cellStyle name="Normal 3 5 17 2 2 2" xfId="34965" xr:uid="{00000000-0005-0000-0000-000082560000}"/>
    <cellStyle name="Normal 3 5 17 2 2 3" xfId="25646" xr:uid="{00000000-0005-0000-0000-000083560000}"/>
    <cellStyle name="Normal 3 5 17 2 2 4" xfId="48908" xr:uid="{00000000-0005-0000-0000-000084560000}"/>
    <cellStyle name="Normal 3 5 17 2 3" xfId="16211" xr:uid="{00000000-0005-0000-0000-000085560000}"/>
    <cellStyle name="Normal 3 5 17 2 3 2" xfId="30343" xr:uid="{00000000-0005-0000-0000-000086560000}"/>
    <cellStyle name="Normal 3 5 17 2 3 3" xfId="44238" xr:uid="{00000000-0005-0000-0000-000087560000}"/>
    <cellStyle name="Normal 3 5 17 2 4" xfId="21024" xr:uid="{00000000-0005-0000-0000-000088560000}"/>
    <cellStyle name="Normal 3 5 17 2 5" xfId="39656" xr:uid="{00000000-0005-0000-0000-000089560000}"/>
    <cellStyle name="Normal 3 5 17 3" xfId="11479" xr:uid="{00000000-0005-0000-0000-00008A560000}"/>
    <cellStyle name="Normal 3 5 17 3 2" xfId="34964" xr:uid="{00000000-0005-0000-0000-00008B560000}"/>
    <cellStyle name="Normal 3 5 17 3 3" xfId="25645" xr:uid="{00000000-0005-0000-0000-00008C560000}"/>
    <cellStyle name="Normal 3 5 17 3 4" xfId="48907" xr:uid="{00000000-0005-0000-0000-00008D560000}"/>
    <cellStyle name="Normal 3 5 17 4" xfId="16210" xr:uid="{00000000-0005-0000-0000-00008E560000}"/>
    <cellStyle name="Normal 3 5 17 4 2" xfId="30342" xr:uid="{00000000-0005-0000-0000-00008F560000}"/>
    <cellStyle name="Normal 3 5 17 4 3" xfId="44237" xr:uid="{00000000-0005-0000-0000-000090560000}"/>
    <cellStyle name="Normal 3 5 17 5" xfId="21023" xr:uid="{00000000-0005-0000-0000-000091560000}"/>
    <cellStyle name="Normal 3 5 17 6" xfId="39655" xr:uid="{00000000-0005-0000-0000-000092560000}"/>
    <cellStyle name="Normal 3 5 18" xfId="5645" xr:uid="{00000000-0005-0000-0000-000093560000}"/>
    <cellStyle name="Normal 3 5 18 2" xfId="5646" xr:uid="{00000000-0005-0000-0000-000094560000}"/>
    <cellStyle name="Normal 3 5 18 2 2" xfId="11482" xr:uid="{00000000-0005-0000-0000-000095560000}"/>
    <cellStyle name="Normal 3 5 18 2 2 2" xfId="34967" xr:uid="{00000000-0005-0000-0000-000096560000}"/>
    <cellStyle name="Normal 3 5 18 2 2 3" xfId="25648" xr:uid="{00000000-0005-0000-0000-000097560000}"/>
    <cellStyle name="Normal 3 5 18 2 2 4" xfId="48910" xr:uid="{00000000-0005-0000-0000-000098560000}"/>
    <cellStyle name="Normal 3 5 18 2 3" xfId="16213" xr:uid="{00000000-0005-0000-0000-000099560000}"/>
    <cellStyle name="Normal 3 5 18 2 3 2" xfId="30345" xr:uid="{00000000-0005-0000-0000-00009A560000}"/>
    <cellStyle name="Normal 3 5 18 2 3 3" xfId="44240" xr:uid="{00000000-0005-0000-0000-00009B560000}"/>
    <cellStyle name="Normal 3 5 18 2 4" xfId="21026" xr:uid="{00000000-0005-0000-0000-00009C560000}"/>
    <cellStyle name="Normal 3 5 18 2 5" xfId="39658" xr:uid="{00000000-0005-0000-0000-00009D560000}"/>
    <cellStyle name="Normal 3 5 18 3" xfId="11481" xr:uid="{00000000-0005-0000-0000-00009E560000}"/>
    <cellStyle name="Normal 3 5 18 3 2" xfId="34966" xr:uid="{00000000-0005-0000-0000-00009F560000}"/>
    <cellStyle name="Normal 3 5 18 3 3" xfId="25647" xr:uid="{00000000-0005-0000-0000-0000A0560000}"/>
    <cellStyle name="Normal 3 5 18 3 4" xfId="48909" xr:uid="{00000000-0005-0000-0000-0000A1560000}"/>
    <cellStyle name="Normal 3 5 18 4" xfId="16212" xr:uid="{00000000-0005-0000-0000-0000A2560000}"/>
    <cellStyle name="Normal 3 5 18 4 2" xfId="30344" xr:uid="{00000000-0005-0000-0000-0000A3560000}"/>
    <cellStyle name="Normal 3 5 18 4 3" xfId="44239" xr:uid="{00000000-0005-0000-0000-0000A4560000}"/>
    <cellStyle name="Normal 3 5 18 5" xfId="21025" xr:uid="{00000000-0005-0000-0000-0000A5560000}"/>
    <cellStyle name="Normal 3 5 18 6" xfId="39657" xr:uid="{00000000-0005-0000-0000-0000A6560000}"/>
    <cellStyle name="Normal 3 5 19" xfId="5647" xr:uid="{00000000-0005-0000-0000-0000A7560000}"/>
    <cellStyle name="Normal 3 5 19 2" xfId="5648" xr:uid="{00000000-0005-0000-0000-0000A8560000}"/>
    <cellStyle name="Normal 3 5 19 2 2" xfId="11484" xr:uid="{00000000-0005-0000-0000-0000A9560000}"/>
    <cellStyle name="Normal 3 5 19 2 2 2" xfId="34969" xr:uid="{00000000-0005-0000-0000-0000AA560000}"/>
    <cellStyle name="Normal 3 5 19 2 2 3" xfId="25650" xr:uid="{00000000-0005-0000-0000-0000AB560000}"/>
    <cellStyle name="Normal 3 5 19 2 2 4" xfId="48912" xr:uid="{00000000-0005-0000-0000-0000AC560000}"/>
    <cellStyle name="Normal 3 5 19 2 3" xfId="16215" xr:uid="{00000000-0005-0000-0000-0000AD560000}"/>
    <cellStyle name="Normal 3 5 19 2 3 2" xfId="30347" xr:uid="{00000000-0005-0000-0000-0000AE560000}"/>
    <cellStyle name="Normal 3 5 19 2 3 3" xfId="44242" xr:uid="{00000000-0005-0000-0000-0000AF560000}"/>
    <cellStyle name="Normal 3 5 19 2 4" xfId="21028" xr:uid="{00000000-0005-0000-0000-0000B0560000}"/>
    <cellStyle name="Normal 3 5 19 2 5" xfId="39660" xr:uid="{00000000-0005-0000-0000-0000B1560000}"/>
    <cellStyle name="Normal 3 5 19 3" xfId="11483" xr:uid="{00000000-0005-0000-0000-0000B2560000}"/>
    <cellStyle name="Normal 3 5 19 3 2" xfId="34968" xr:uid="{00000000-0005-0000-0000-0000B3560000}"/>
    <cellStyle name="Normal 3 5 19 3 3" xfId="25649" xr:uid="{00000000-0005-0000-0000-0000B4560000}"/>
    <cellStyle name="Normal 3 5 19 3 4" xfId="48911" xr:uid="{00000000-0005-0000-0000-0000B5560000}"/>
    <cellStyle name="Normal 3 5 19 4" xfId="16214" xr:uid="{00000000-0005-0000-0000-0000B6560000}"/>
    <cellStyle name="Normal 3 5 19 4 2" xfId="30346" xr:uid="{00000000-0005-0000-0000-0000B7560000}"/>
    <cellStyle name="Normal 3 5 19 4 3" xfId="44241" xr:uid="{00000000-0005-0000-0000-0000B8560000}"/>
    <cellStyle name="Normal 3 5 19 5" xfId="21027" xr:uid="{00000000-0005-0000-0000-0000B9560000}"/>
    <cellStyle name="Normal 3 5 19 6" xfId="39659" xr:uid="{00000000-0005-0000-0000-0000BA560000}"/>
    <cellStyle name="Normal 3 5 2" xfId="5649" xr:uid="{00000000-0005-0000-0000-0000BB560000}"/>
    <cellStyle name="Normal 3 5 2 2" xfId="5650" xr:uid="{00000000-0005-0000-0000-0000BC560000}"/>
    <cellStyle name="Normal 3 5 2 2 2" xfId="11486" xr:uid="{00000000-0005-0000-0000-0000BD560000}"/>
    <cellStyle name="Normal 3 5 2 2 2 2" xfId="34971" xr:uid="{00000000-0005-0000-0000-0000BE560000}"/>
    <cellStyle name="Normal 3 5 2 2 2 3" xfId="25652" xr:uid="{00000000-0005-0000-0000-0000BF560000}"/>
    <cellStyle name="Normal 3 5 2 2 2 4" xfId="48914" xr:uid="{00000000-0005-0000-0000-0000C0560000}"/>
    <cellStyle name="Normal 3 5 2 2 3" xfId="16217" xr:uid="{00000000-0005-0000-0000-0000C1560000}"/>
    <cellStyle name="Normal 3 5 2 2 3 2" xfId="30349" xr:uid="{00000000-0005-0000-0000-0000C2560000}"/>
    <cellStyle name="Normal 3 5 2 2 3 3" xfId="44244" xr:uid="{00000000-0005-0000-0000-0000C3560000}"/>
    <cellStyle name="Normal 3 5 2 2 4" xfId="21030" xr:uid="{00000000-0005-0000-0000-0000C4560000}"/>
    <cellStyle name="Normal 3 5 2 2 5" xfId="39662" xr:uid="{00000000-0005-0000-0000-0000C5560000}"/>
    <cellStyle name="Normal 3 5 2 3" xfId="11485" xr:uid="{00000000-0005-0000-0000-0000C6560000}"/>
    <cellStyle name="Normal 3 5 2 3 2" xfId="34970" xr:uid="{00000000-0005-0000-0000-0000C7560000}"/>
    <cellStyle name="Normal 3 5 2 3 3" xfId="25651" xr:uid="{00000000-0005-0000-0000-0000C8560000}"/>
    <cellStyle name="Normal 3 5 2 3 4" xfId="48913" xr:uid="{00000000-0005-0000-0000-0000C9560000}"/>
    <cellStyle name="Normal 3 5 2 4" xfId="16216" xr:uid="{00000000-0005-0000-0000-0000CA560000}"/>
    <cellStyle name="Normal 3 5 2 4 2" xfId="30348" xr:uid="{00000000-0005-0000-0000-0000CB560000}"/>
    <cellStyle name="Normal 3 5 2 4 3" xfId="44243" xr:uid="{00000000-0005-0000-0000-0000CC560000}"/>
    <cellStyle name="Normal 3 5 2 5" xfId="21029" xr:uid="{00000000-0005-0000-0000-0000CD560000}"/>
    <cellStyle name="Normal 3 5 2 6" xfId="39661" xr:uid="{00000000-0005-0000-0000-0000CE560000}"/>
    <cellStyle name="Normal 3 5 20" xfId="5651" xr:uid="{00000000-0005-0000-0000-0000CF560000}"/>
    <cellStyle name="Normal 3 5 20 2" xfId="5652" xr:uid="{00000000-0005-0000-0000-0000D0560000}"/>
    <cellStyle name="Normal 3 5 20 2 2" xfId="11488" xr:uid="{00000000-0005-0000-0000-0000D1560000}"/>
    <cellStyle name="Normal 3 5 20 2 2 2" xfId="34973" xr:uid="{00000000-0005-0000-0000-0000D2560000}"/>
    <cellStyle name="Normal 3 5 20 2 2 3" xfId="25654" xr:uid="{00000000-0005-0000-0000-0000D3560000}"/>
    <cellStyle name="Normal 3 5 20 2 2 4" xfId="48916" xr:uid="{00000000-0005-0000-0000-0000D4560000}"/>
    <cellStyle name="Normal 3 5 20 2 3" xfId="16219" xr:uid="{00000000-0005-0000-0000-0000D5560000}"/>
    <cellStyle name="Normal 3 5 20 2 3 2" xfId="30351" xr:uid="{00000000-0005-0000-0000-0000D6560000}"/>
    <cellStyle name="Normal 3 5 20 2 3 3" xfId="44246" xr:uid="{00000000-0005-0000-0000-0000D7560000}"/>
    <cellStyle name="Normal 3 5 20 2 4" xfId="21032" xr:uid="{00000000-0005-0000-0000-0000D8560000}"/>
    <cellStyle name="Normal 3 5 20 2 5" xfId="39664" xr:uid="{00000000-0005-0000-0000-0000D9560000}"/>
    <cellStyle name="Normal 3 5 20 3" xfId="11487" xr:uid="{00000000-0005-0000-0000-0000DA560000}"/>
    <cellStyle name="Normal 3 5 20 3 2" xfId="34972" xr:uid="{00000000-0005-0000-0000-0000DB560000}"/>
    <cellStyle name="Normal 3 5 20 3 3" xfId="25653" xr:uid="{00000000-0005-0000-0000-0000DC560000}"/>
    <cellStyle name="Normal 3 5 20 3 4" xfId="48915" xr:uid="{00000000-0005-0000-0000-0000DD560000}"/>
    <cellStyle name="Normal 3 5 20 4" xfId="16218" xr:uid="{00000000-0005-0000-0000-0000DE560000}"/>
    <cellStyle name="Normal 3 5 20 4 2" xfId="30350" xr:uid="{00000000-0005-0000-0000-0000DF560000}"/>
    <cellStyle name="Normal 3 5 20 4 3" xfId="44245" xr:uid="{00000000-0005-0000-0000-0000E0560000}"/>
    <cellStyle name="Normal 3 5 20 5" xfId="21031" xr:uid="{00000000-0005-0000-0000-0000E1560000}"/>
    <cellStyle name="Normal 3 5 20 6" xfId="39663" xr:uid="{00000000-0005-0000-0000-0000E2560000}"/>
    <cellStyle name="Normal 3 5 21" xfId="5653" xr:uid="{00000000-0005-0000-0000-0000E3560000}"/>
    <cellStyle name="Normal 3 5 21 2" xfId="5654" xr:uid="{00000000-0005-0000-0000-0000E4560000}"/>
    <cellStyle name="Normal 3 5 21 2 2" xfId="11490" xr:uid="{00000000-0005-0000-0000-0000E5560000}"/>
    <cellStyle name="Normal 3 5 21 2 2 2" xfId="34975" xr:uid="{00000000-0005-0000-0000-0000E6560000}"/>
    <cellStyle name="Normal 3 5 21 2 2 3" xfId="25656" xr:uid="{00000000-0005-0000-0000-0000E7560000}"/>
    <cellStyle name="Normal 3 5 21 2 2 4" xfId="48918" xr:uid="{00000000-0005-0000-0000-0000E8560000}"/>
    <cellStyle name="Normal 3 5 21 2 3" xfId="16221" xr:uid="{00000000-0005-0000-0000-0000E9560000}"/>
    <cellStyle name="Normal 3 5 21 2 3 2" xfId="30353" xr:uid="{00000000-0005-0000-0000-0000EA560000}"/>
    <cellStyle name="Normal 3 5 21 2 3 3" xfId="44248" xr:uid="{00000000-0005-0000-0000-0000EB560000}"/>
    <cellStyle name="Normal 3 5 21 2 4" xfId="21034" xr:uid="{00000000-0005-0000-0000-0000EC560000}"/>
    <cellStyle name="Normal 3 5 21 2 5" xfId="39666" xr:uid="{00000000-0005-0000-0000-0000ED560000}"/>
    <cellStyle name="Normal 3 5 21 3" xfId="11489" xr:uid="{00000000-0005-0000-0000-0000EE560000}"/>
    <cellStyle name="Normal 3 5 21 3 2" xfId="34974" xr:uid="{00000000-0005-0000-0000-0000EF560000}"/>
    <cellStyle name="Normal 3 5 21 3 3" xfId="25655" xr:uid="{00000000-0005-0000-0000-0000F0560000}"/>
    <cellStyle name="Normal 3 5 21 3 4" xfId="48917" xr:uid="{00000000-0005-0000-0000-0000F1560000}"/>
    <cellStyle name="Normal 3 5 21 4" xfId="16220" xr:uid="{00000000-0005-0000-0000-0000F2560000}"/>
    <cellStyle name="Normal 3 5 21 4 2" xfId="30352" xr:uid="{00000000-0005-0000-0000-0000F3560000}"/>
    <cellStyle name="Normal 3 5 21 4 3" xfId="44247" xr:uid="{00000000-0005-0000-0000-0000F4560000}"/>
    <cellStyle name="Normal 3 5 21 5" xfId="21033" xr:uid="{00000000-0005-0000-0000-0000F5560000}"/>
    <cellStyle name="Normal 3 5 21 6" xfId="39665" xr:uid="{00000000-0005-0000-0000-0000F6560000}"/>
    <cellStyle name="Normal 3 5 22" xfId="5655" xr:uid="{00000000-0005-0000-0000-0000F7560000}"/>
    <cellStyle name="Normal 3 5 22 2" xfId="5656" xr:uid="{00000000-0005-0000-0000-0000F8560000}"/>
    <cellStyle name="Normal 3 5 22 2 2" xfId="11492" xr:uid="{00000000-0005-0000-0000-0000F9560000}"/>
    <cellStyle name="Normal 3 5 22 2 2 2" xfId="34977" xr:uid="{00000000-0005-0000-0000-0000FA560000}"/>
    <cellStyle name="Normal 3 5 22 2 2 3" xfId="25658" xr:uid="{00000000-0005-0000-0000-0000FB560000}"/>
    <cellStyle name="Normal 3 5 22 2 2 4" xfId="48920" xr:uid="{00000000-0005-0000-0000-0000FC560000}"/>
    <cellStyle name="Normal 3 5 22 2 3" xfId="16223" xr:uid="{00000000-0005-0000-0000-0000FD560000}"/>
    <cellStyle name="Normal 3 5 22 2 3 2" xfId="30355" xr:uid="{00000000-0005-0000-0000-0000FE560000}"/>
    <cellStyle name="Normal 3 5 22 2 3 3" xfId="44250" xr:uid="{00000000-0005-0000-0000-0000FF560000}"/>
    <cellStyle name="Normal 3 5 22 2 4" xfId="21036" xr:uid="{00000000-0005-0000-0000-000000570000}"/>
    <cellStyle name="Normal 3 5 22 2 5" xfId="39668" xr:uid="{00000000-0005-0000-0000-000001570000}"/>
    <cellStyle name="Normal 3 5 22 3" xfId="11491" xr:uid="{00000000-0005-0000-0000-000002570000}"/>
    <cellStyle name="Normal 3 5 22 3 2" xfId="34976" xr:uid="{00000000-0005-0000-0000-000003570000}"/>
    <cellStyle name="Normal 3 5 22 3 3" xfId="25657" xr:uid="{00000000-0005-0000-0000-000004570000}"/>
    <cellStyle name="Normal 3 5 22 3 4" xfId="48919" xr:uid="{00000000-0005-0000-0000-000005570000}"/>
    <cellStyle name="Normal 3 5 22 4" xfId="16222" xr:uid="{00000000-0005-0000-0000-000006570000}"/>
    <cellStyle name="Normal 3 5 22 4 2" xfId="30354" xr:uid="{00000000-0005-0000-0000-000007570000}"/>
    <cellStyle name="Normal 3 5 22 4 3" xfId="44249" xr:uid="{00000000-0005-0000-0000-000008570000}"/>
    <cellStyle name="Normal 3 5 22 5" xfId="21035" xr:uid="{00000000-0005-0000-0000-000009570000}"/>
    <cellStyle name="Normal 3 5 22 6" xfId="39667" xr:uid="{00000000-0005-0000-0000-00000A570000}"/>
    <cellStyle name="Normal 3 5 23" xfId="5657" xr:uid="{00000000-0005-0000-0000-00000B570000}"/>
    <cellStyle name="Normal 3 5 23 2" xfId="5658" xr:uid="{00000000-0005-0000-0000-00000C570000}"/>
    <cellStyle name="Normal 3 5 23 2 2" xfId="11494" xr:uid="{00000000-0005-0000-0000-00000D570000}"/>
    <cellStyle name="Normal 3 5 23 2 2 2" xfId="34979" xr:uid="{00000000-0005-0000-0000-00000E570000}"/>
    <cellStyle name="Normal 3 5 23 2 2 3" xfId="25660" xr:uid="{00000000-0005-0000-0000-00000F570000}"/>
    <cellStyle name="Normal 3 5 23 2 2 4" xfId="48922" xr:uid="{00000000-0005-0000-0000-000010570000}"/>
    <cellStyle name="Normal 3 5 23 2 3" xfId="16225" xr:uid="{00000000-0005-0000-0000-000011570000}"/>
    <cellStyle name="Normal 3 5 23 2 3 2" xfId="30357" xr:uid="{00000000-0005-0000-0000-000012570000}"/>
    <cellStyle name="Normal 3 5 23 2 3 3" xfId="44252" xr:uid="{00000000-0005-0000-0000-000013570000}"/>
    <cellStyle name="Normal 3 5 23 2 4" xfId="21038" xr:uid="{00000000-0005-0000-0000-000014570000}"/>
    <cellStyle name="Normal 3 5 23 2 5" xfId="39670" xr:uid="{00000000-0005-0000-0000-000015570000}"/>
    <cellStyle name="Normal 3 5 23 3" xfId="11493" xr:uid="{00000000-0005-0000-0000-000016570000}"/>
    <cellStyle name="Normal 3 5 23 3 2" xfId="34978" xr:uid="{00000000-0005-0000-0000-000017570000}"/>
    <cellStyle name="Normal 3 5 23 3 3" xfId="25659" xr:uid="{00000000-0005-0000-0000-000018570000}"/>
    <cellStyle name="Normal 3 5 23 3 4" xfId="48921" xr:uid="{00000000-0005-0000-0000-000019570000}"/>
    <cellStyle name="Normal 3 5 23 4" xfId="16224" xr:uid="{00000000-0005-0000-0000-00001A570000}"/>
    <cellStyle name="Normal 3 5 23 4 2" xfId="30356" xr:uid="{00000000-0005-0000-0000-00001B570000}"/>
    <cellStyle name="Normal 3 5 23 4 3" xfId="44251" xr:uid="{00000000-0005-0000-0000-00001C570000}"/>
    <cellStyle name="Normal 3 5 23 5" xfId="21037" xr:uid="{00000000-0005-0000-0000-00001D570000}"/>
    <cellStyle name="Normal 3 5 23 6" xfId="39669" xr:uid="{00000000-0005-0000-0000-00001E570000}"/>
    <cellStyle name="Normal 3 5 24" xfId="5659" xr:uid="{00000000-0005-0000-0000-00001F570000}"/>
    <cellStyle name="Normal 3 5 24 2" xfId="11495" xr:uid="{00000000-0005-0000-0000-000020570000}"/>
    <cellStyle name="Normal 3 5 24 2 2" xfId="34980" xr:uid="{00000000-0005-0000-0000-000021570000}"/>
    <cellStyle name="Normal 3 5 24 2 3" xfId="25661" xr:uid="{00000000-0005-0000-0000-000022570000}"/>
    <cellStyle name="Normal 3 5 24 2 4" xfId="48923" xr:uid="{00000000-0005-0000-0000-000023570000}"/>
    <cellStyle name="Normal 3 5 24 3" xfId="16226" xr:uid="{00000000-0005-0000-0000-000024570000}"/>
    <cellStyle name="Normal 3 5 24 3 2" xfId="30358" xr:uid="{00000000-0005-0000-0000-000025570000}"/>
    <cellStyle name="Normal 3 5 24 3 3" xfId="44253" xr:uid="{00000000-0005-0000-0000-000026570000}"/>
    <cellStyle name="Normal 3 5 24 4" xfId="21039" xr:uid="{00000000-0005-0000-0000-000027570000}"/>
    <cellStyle name="Normal 3 5 24 5" xfId="39671" xr:uid="{00000000-0005-0000-0000-000028570000}"/>
    <cellStyle name="Normal 3 5 25" xfId="11464" xr:uid="{00000000-0005-0000-0000-000029570000}"/>
    <cellStyle name="Normal 3 5 25 2" xfId="34949" xr:uid="{00000000-0005-0000-0000-00002A570000}"/>
    <cellStyle name="Normal 3 5 25 3" xfId="25630" xr:uid="{00000000-0005-0000-0000-00002B570000}"/>
    <cellStyle name="Normal 3 5 25 4" xfId="48892" xr:uid="{00000000-0005-0000-0000-00002C570000}"/>
    <cellStyle name="Normal 3 5 26" xfId="16195" xr:uid="{00000000-0005-0000-0000-00002D570000}"/>
    <cellStyle name="Normal 3 5 26 2" xfId="30327" xr:uid="{00000000-0005-0000-0000-00002E570000}"/>
    <cellStyle name="Normal 3 5 26 3" xfId="44222" xr:uid="{00000000-0005-0000-0000-00002F570000}"/>
    <cellStyle name="Normal 3 5 27" xfId="21008" xr:uid="{00000000-0005-0000-0000-000030570000}"/>
    <cellStyle name="Normal 3 5 28" xfId="39640" xr:uid="{00000000-0005-0000-0000-000031570000}"/>
    <cellStyle name="Normal 3 5 3" xfId="5660" xr:uid="{00000000-0005-0000-0000-000032570000}"/>
    <cellStyle name="Normal 3 5 3 2" xfId="5661" xr:uid="{00000000-0005-0000-0000-000033570000}"/>
    <cellStyle name="Normal 3 5 3 2 2" xfId="11497" xr:uid="{00000000-0005-0000-0000-000034570000}"/>
    <cellStyle name="Normal 3 5 3 2 2 2" xfId="34982" xr:uid="{00000000-0005-0000-0000-000035570000}"/>
    <cellStyle name="Normal 3 5 3 2 2 3" xfId="25663" xr:uid="{00000000-0005-0000-0000-000036570000}"/>
    <cellStyle name="Normal 3 5 3 2 2 4" xfId="48925" xr:uid="{00000000-0005-0000-0000-000037570000}"/>
    <cellStyle name="Normal 3 5 3 2 3" xfId="16228" xr:uid="{00000000-0005-0000-0000-000038570000}"/>
    <cellStyle name="Normal 3 5 3 2 3 2" xfId="30360" xr:uid="{00000000-0005-0000-0000-000039570000}"/>
    <cellStyle name="Normal 3 5 3 2 3 3" xfId="44255" xr:uid="{00000000-0005-0000-0000-00003A570000}"/>
    <cellStyle name="Normal 3 5 3 2 4" xfId="21041" xr:uid="{00000000-0005-0000-0000-00003B570000}"/>
    <cellStyle name="Normal 3 5 3 2 5" xfId="39673" xr:uid="{00000000-0005-0000-0000-00003C570000}"/>
    <cellStyle name="Normal 3 5 3 3" xfId="11496" xr:uid="{00000000-0005-0000-0000-00003D570000}"/>
    <cellStyle name="Normal 3 5 3 3 2" xfId="34981" xr:uid="{00000000-0005-0000-0000-00003E570000}"/>
    <cellStyle name="Normal 3 5 3 3 3" xfId="25662" xr:uid="{00000000-0005-0000-0000-00003F570000}"/>
    <cellStyle name="Normal 3 5 3 3 4" xfId="48924" xr:uid="{00000000-0005-0000-0000-000040570000}"/>
    <cellStyle name="Normal 3 5 3 4" xfId="16227" xr:uid="{00000000-0005-0000-0000-000041570000}"/>
    <cellStyle name="Normal 3 5 3 4 2" xfId="30359" xr:uid="{00000000-0005-0000-0000-000042570000}"/>
    <cellStyle name="Normal 3 5 3 4 3" xfId="44254" xr:uid="{00000000-0005-0000-0000-000043570000}"/>
    <cellStyle name="Normal 3 5 3 5" xfId="21040" xr:uid="{00000000-0005-0000-0000-000044570000}"/>
    <cellStyle name="Normal 3 5 3 6" xfId="39672" xr:uid="{00000000-0005-0000-0000-000045570000}"/>
    <cellStyle name="Normal 3 5 4" xfId="5662" xr:uid="{00000000-0005-0000-0000-000046570000}"/>
    <cellStyle name="Normal 3 5 4 2" xfId="5663" xr:uid="{00000000-0005-0000-0000-000047570000}"/>
    <cellStyle name="Normal 3 5 4 2 2" xfId="11499" xr:uid="{00000000-0005-0000-0000-000048570000}"/>
    <cellStyle name="Normal 3 5 4 2 2 2" xfId="34984" xr:uid="{00000000-0005-0000-0000-000049570000}"/>
    <cellStyle name="Normal 3 5 4 2 2 3" xfId="25665" xr:uid="{00000000-0005-0000-0000-00004A570000}"/>
    <cellStyle name="Normal 3 5 4 2 2 4" xfId="48927" xr:uid="{00000000-0005-0000-0000-00004B570000}"/>
    <cellStyle name="Normal 3 5 4 2 3" xfId="16230" xr:uid="{00000000-0005-0000-0000-00004C570000}"/>
    <cellStyle name="Normal 3 5 4 2 3 2" xfId="30362" xr:uid="{00000000-0005-0000-0000-00004D570000}"/>
    <cellStyle name="Normal 3 5 4 2 3 3" xfId="44257" xr:uid="{00000000-0005-0000-0000-00004E570000}"/>
    <cellStyle name="Normal 3 5 4 2 4" xfId="21043" xr:uid="{00000000-0005-0000-0000-00004F570000}"/>
    <cellStyle name="Normal 3 5 4 2 5" xfId="39675" xr:uid="{00000000-0005-0000-0000-000050570000}"/>
    <cellStyle name="Normal 3 5 4 3" xfId="11498" xr:uid="{00000000-0005-0000-0000-000051570000}"/>
    <cellStyle name="Normal 3 5 4 3 2" xfId="34983" xr:uid="{00000000-0005-0000-0000-000052570000}"/>
    <cellStyle name="Normal 3 5 4 3 3" xfId="25664" xr:uid="{00000000-0005-0000-0000-000053570000}"/>
    <cellStyle name="Normal 3 5 4 3 4" xfId="48926" xr:uid="{00000000-0005-0000-0000-000054570000}"/>
    <cellStyle name="Normal 3 5 4 4" xfId="16229" xr:uid="{00000000-0005-0000-0000-000055570000}"/>
    <cellStyle name="Normal 3 5 4 4 2" xfId="30361" xr:uid="{00000000-0005-0000-0000-000056570000}"/>
    <cellStyle name="Normal 3 5 4 4 3" xfId="44256" xr:uid="{00000000-0005-0000-0000-000057570000}"/>
    <cellStyle name="Normal 3 5 4 5" xfId="21042" xr:uid="{00000000-0005-0000-0000-000058570000}"/>
    <cellStyle name="Normal 3 5 4 6" xfId="39674" xr:uid="{00000000-0005-0000-0000-000059570000}"/>
    <cellStyle name="Normal 3 5 5" xfId="5664" xr:uid="{00000000-0005-0000-0000-00005A570000}"/>
    <cellStyle name="Normal 3 5 5 2" xfId="5665" xr:uid="{00000000-0005-0000-0000-00005B570000}"/>
    <cellStyle name="Normal 3 5 5 2 2" xfId="11501" xr:uid="{00000000-0005-0000-0000-00005C570000}"/>
    <cellStyle name="Normal 3 5 5 2 2 2" xfId="34986" xr:uid="{00000000-0005-0000-0000-00005D570000}"/>
    <cellStyle name="Normal 3 5 5 2 2 3" xfId="25667" xr:uid="{00000000-0005-0000-0000-00005E570000}"/>
    <cellStyle name="Normal 3 5 5 2 2 4" xfId="48929" xr:uid="{00000000-0005-0000-0000-00005F570000}"/>
    <cellStyle name="Normal 3 5 5 2 3" xfId="16232" xr:uid="{00000000-0005-0000-0000-000060570000}"/>
    <cellStyle name="Normal 3 5 5 2 3 2" xfId="30364" xr:uid="{00000000-0005-0000-0000-000061570000}"/>
    <cellStyle name="Normal 3 5 5 2 3 3" xfId="44259" xr:uid="{00000000-0005-0000-0000-000062570000}"/>
    <cellStyle name="Normal 3 5 5 2 4" xfId="21045" xr:uid="{00000000-0005-0000-0000-000063570000}"/>
    <cellStyle name="Normal 3 5 5 2 5" xfId="39677" xr:uid="{00000000-0005-0000-0000-000064570000}"/>
    <cellStyle name="Normal 3 5 5 3" xfId="11500" xr:uid="{00000000-0005-0000-0000-000065570000}"/>
    <cellStyle name="Normal 3 5 5 3 2" xfId="34985" xr:uid="{00000000-0005-0000-0000-000066570000}"/>
    <cellStyle name="Normal 3 5 5 3 3" xfId="25666" xr:uid="{00000000-0005-0000-0000-000067570000}"/>
    <cellStyle name="Normal 3 5 5 3 4" xfId="48928" xr:uid="{00000000-0005-0000-0000-000068570000}"/>
    <cellStyle name="Normal 3 5 5 4" xfId="16231" xr:uid="{00000000-0005-0000-0000-000069570000}"/>
    <cellStyle name="Normal 3 5 5 4 2" xfId="30363" xr:uid="{00000000-0005-0000-0000-00006A570000}"/>
    <cellStyle name="Normal 3 5 5 4 3" xfId="44258" xr:uid="{00000000-0005-0000-0000-00006B570000}"/>
    <cellStyle name="Normal 3 5 5 5" xfId="21044" xr:uid="{00000000-0005-0000-0000-00006C570000}"/>
    <cellStyle name="Normal 3 5 5 6" xfId="39676" xr:uid="{00000000-0005-0000-0000-00006D570000}"/>
    <cellStyle name="Normal 3 5 6" xfId="5666" xr:uid="{00000000-0005-0000-0000-00006E570000}"/>
    <cellStyle name="Normal 3 5 6 2" xfId="5667" xr:uid="{00000000-0005-0000-0000-00006F570000}"/>
    <cellStyle name="Normal 3 5 6 2 2" xfId="11503" xr:uid="{00000000-0005-0000-0000-000070570000}"/>
    <cellStyle name="Normal 3 5 6 2 2 2" xfId="34988" xr:uid="{00000000-0005-0000-0000-000071570000}"/>
    <cellStyle name="Normal 3 5 6 2 2 3" xfId="25669" xr:uid="{00000000-0005-0000-0000-000072570000}"/>
    <cellStyle name="Normal 3 5 6 2 2 4" xfId="48931" xr:uid="{00000000-0005-0000-0000-000073570000}"/>
    <cellStyle name="Normal 3 5 6 2 3" xfId="16234" xr:uid="{00000000-0005-0000-0000-000074570000}"/>
    <cellStyle name="Normal 3 5 6 2 3 2" xfId="30366" xr:uid="{00000000-0005-0000-0000-000075570000}"/>
    <cellStyle name="Normal 3 5 6 2 3 3" xfId="44261" xr:uid="{00000000-0005-0000-0000-000076570000}"/>
    <cellStyle name="Normal 3 5 6 2 4" xfId="21047" xr:uid="{00000000-0005-0000-0000-000077570000}"/>
    <cellStyle name="Normal 3 5 6 2 5" xfId="39679" xr:uid="{00000000-0005-0000-0000-000078570000}"/>
    <cellStyle name="Normal 3 5 6 3" xfId="11502" xr:uid="{00000000-0005-0000-0000-000079570000}"/>
    <cellStyle name="Normal 3 5 6 3 2" xfId="34987" xr:uid="{00000000-0005-0000-0000-00007A570000}"/>
    <cellStyle name="Normal 3 5 6 3 3" xfId="25668" xr:uid="{00000000-0005-0000-0000-00007B570000}"/>
    <cellStyle name="Normal 3 5 6 3 4" xfId="48930" xr:uid="{00000000-0005-0000-0000-00007C570000}"/>
    <cellStyle name="Normal 3 5 6 4" xfId="16233" xr:uid="{00000000-0005-0000-0000-00007D570000}"/>
    <cellStyle name="Normal 3 5 6 4 2" xfId="30365" xr:uid="{00000000-0005-0000-0000-00007E570000}"/>
    <cellStyle name="Normal 3 5 6 4 3" xfId="44260" xr:uid="{00000000-0005-0000-0000-00007F570000}"/>
    <cellStyle name="Normal 3 5 6 5" xfId="21046" xr:uid="{00000000-0005-0000-0000-000080570000}"/>
    <cellStyle name="Normal 3 5 6 6" xfId="39678" xr:uid="{00000000-0005-0000-0000-000081570000}"/>
    <cellStyle name="Normal 3 5 7" xfId="5668" xr:uid="{00000000-0005-0000-0000-000082570000}"/>
    <cellStyle name="Normal 3 5 7 2" xfId="5669" xr:uid="{00000000-0005-0000-0000-000083570000}"/>
    <cellStyle name="Normal 3 5 7 2 2" xfId="11505" xr:uid="{00000000-0005-0000-0000-000084570000}"/>
    <cellStyle name="Normal 3 5 7 2 2 2" xfId="34990" xr:uid="{00000000-0005-0000-0000-000085570000}"/>
    <cellStyle name="Normal 3 5 7 2 2 3" xfId="25671" xr:uid="{00000000-0005-0000-0000-000086570000}"/>
    <cellStyle name="Normal 3 5 7 2 2 4" xfId="48933" xr:uid="{00000000-0005-0000-0000-000087570000}"/>
    <cellStyle name="Normal 3 5 7 2 3" xfId="16236" xr:uid="{00000000-0005-0000-0000-000088570000}"/>
    <cellStyle name="Normal 3 5 7 2 3 2" xfId="30368" xr:uid="{00000000-0005-0000-0000-000089570000}"/>
    <cellStyle name="Normal 3 5 7 2 3 3" xfId="44263" xr:uid="{00000000-0005-0000-0000-00008A570000}"/>
    <cellStyle name="Normal 3 5 7 2 4" xfId="21049" xr:uid="{00000000-0005-0000-0000-00008B570000}"/>
    <cellStyle name="Normal 3 5 7 2 5" xfId="39681" xr:uid="{00000000-0005-0000-0000-00008C570000}"/>
    <cellStyle name="Normal 3 5 7 3" xfId="11504" xr:uid="{00000000-0005-0000-0000-00008D570000}"/>
    <cellStyle name="Normal 3 5 7 3 2" xfId="34989" xr:uid="{00000000-0005-0000-0000-00008E570000}"/>
    <cellStyle name="Normal 3 5 7 3 3" xfId="25670" xr:uid="{00000000-0005-0000-0000-00008F570000}"/>
    <cellStyle name="Normal 3 5 7 3 4" xfId="48932" xr:uid="{00000000-0005-0000-0000-000090570000}"/>
    <cellStyle name="Normal 3 5 7 4" xfId="16235" xr:uid="{00000000-0005-0000-0000-000091570000}"/>
    <cellStyle name="Normal 3 5 7 4 2" xfId="30367" xr:uid="{00000000-0005-0000-0000-000092570000}"/>
    <cellStyle name="Normal 3 5 7 4 3" xfId="44262" xr:uid="{00000000-0005-0000-0000-000093570000}"/>
    <cellStyle name="Normal 3 5 7 5" xfId="21048" xr:uid="{00000000-0005-0000-0000-000094570000}"/>
    <cellStyle name="Normal 3 5 7 6" xfId="39680" xr:uid="{00000000-0005-0000-0000-000095570000}"/>
    <cellStyle name="Normal 3 5 8" xfId="5670" xr:uid="{00000000-0005-0000-0000-000096570000}"/>
    <cellStyle name="Normal 3 5 8 2" xfId="5671" xr:uid="{00000000-0005-0000-0000-000097570000}"/>
    <cellStyle name="Normal 3 5 8 2 2" xfId="11507" xr:uid="{00000000-0005-0000-0000-000098570000}"/>
    <cellStyle name="Normal 3 5 8 2 2 2" xfId="34992" xr:uid="{00000000-0005-0000-0000-000099570000}"/>
    <cellStyle name="Normal 3 5 8 2 2 3" xfId="25673" xr:uid="{00000000-0005-0000-0000-00009A570000}"/>
    <cellStyle name="Normal 3 5 8 2 2 4" xfId="48935" xr:uid="{00000000-0005-0000-0000-00009B570000}"/>
    <cellStyle name="Normal 3 5 8 2 3" xfId="16238" xr:uid="{00000000-0005-0000-0000-00009C570000}"/>
    <cellStyle name="Normal 3 5 8 2 3 2" xfId="30370" xr:uid="{00000000-0005-0000-0000-00009D570000}"/>
    <cellStyle name="Normal 3 5 8 2 3 3" xfId="44265" xr:uid="{00000000-0005-0000-0000-00009E570000}"/>
    <cellStyle name="Normal 3 5 8 2 4" xfId="21051" xr:uid="{00000000-0005-0000-0000-00009F570000}"/>
    <cellStyle name="Normal 3 5 8 2 5" xfId="39683" xr:uid="{00000000-0005-0000-0000-0000A0570000}"/>
    <cellStyle name="Normal 3 5 8 3" xfId="11506" xr:uid="{00000000-0005-0000-0000-0000A1570000}"/>
    <cellStyle name="Normal 3 5 8 3 2" xfId="34991" xr:uid="{00000000-0005-0000-0000-0000A2570000}"/>
    <cellStyle name="Normal 3 5 8 3 3" xfId="25672" xr:uid="{00000000-0005-0000-0000-0000A3570000}"/>
    <cellStyle name="Normal 3 5 8 3 4" xfId="48934" xr:uid="{00000000-0005-0000-0000-0000A4570000}"/>
    <cellStyle name="Normal 3 5 8 4" xfId="16237" xr:uid="{00000000-0005-0000-0000-0000A5570000}"/>
    <cellStyle name="Normal 3 5 8 4 2" xfId="30369" xr:uid="{00000000-0005-0000-0000-0000A6570000}"/>
    <cellStyle name="Normal 3 5 8 4 3" xfId="44264" xr:uid="{00000000-0005-0000-0000-0000A7570000}"/>
    <cellStyle name="Normal 3 5 8 5" xfId="21050" xr:uid="{00000000-0005-0000-0000-0000A8570000}"/>
    <cellStyle name="Normal 3 5 8 6" xfId="39682" xr:uid="{00000000-0005-0000-0000-0000A9570000}"/>
    <cellStyle name="Normal 3 5 9" xfId="5672" xr:uid="{00000000-0005-0000-0000-0000AA570000}"/>
    <cellStyle name="Normal 3 5 9 2" xfId="5673" xr:uid="{00000000-0005-0000-0000-0000AB570000}"/>
    <cellStyle name="Normal 3 5 9 2 2" xfId="11509" xr:uid="{00000000-0005-0000-0000-0000AC570000}"/>
    <cellStyle name="Normal 3 5 9 2 2 2" xfId="34994" xr:uid="{00000000-0005-0000-0000-0000AD570000}"/>
    <cellStyle name="Normal 3 5 9 2 2 3" xfId="25675" xr:uid="{00000000-0005-0000-0000-0000AE570000}"/>
    <cellStyle name="Normal 3 5 9 2 2 4" xfId="48937" xr:uid="{00000000-0005-0000-0000-0000AF570000}"/>
    <cellStyle name="Normal 3 5 9 2 3" xfId="16240" xr:uid="{00000000-0005-0000-0000-0000B0570000}"/>
    <cellStyle name="Normal 3 5 9 2 3 2" xfId="30372" xr:uid="{00000000-0005-0000-0000-0000B1570000}"/>
    <cellStyle name="Normal 3 5 9 2 3 3" xfId="44267" xr:uid="{00000000-0005-0000-0000-0000B2570000}"/>
    <cellStyle name="Normal 3 5 9 2 4" xfId="21053" xr:uid="{00000000-0005-0000-0000-0000B3570000}"/>
    <cellStyle name="Normal 3 5 9 2 5" xfId="39685" xr:uid="{00000000-0005-0000-0000-0000B4570000}"/>
    <cellStyle name="Normal 3 5 9 3" xfId="11508" xr:uid="{00000000-0005-0000-0000-0000B5570000}"/>
    <cellStyle name="Normal 3 5 9 3 2" xfId="34993" xr:uid="{00000000-0005-0000-0000-0000B6570000}"/>
    <cellStyle name="Normal 3 5 9 3 3" xfId="25674" xr:uid="{00000000-0005-0000-0000-0000B7570000}"/>
    <cellStyle name="Normal 3 5 9 3 4" xfId="48936" xr:uid="{00000000-0005-0000-0000-0000B8570000}"/>
    <cellStyle name="Normal 3 5 9 4" xfId="16239" xr:uid="{00000000-0005-0000-0000-0000B9570000}"/>
    <cellStyle name="Normal 3 5 9 4 2" xfId="30371" xr:uid="{00000000-0005-0000-0000-0000BA570000}"/>
    <cellStyle name="Normal 3 5 9 4 3" xfId="44266" xr:uid="{00000000-0005-0000-0000-0000BB570000}"/>
    <cellStyle name="Normal 3 5 9 5" xfId="21052" xr:uid="{00000000-0005-0000-0000-0000BC570000}"/>
    <cellStyle name="Normal 3 5 9 6" xfId="39684" xr:uid="{00000000-0005-0000-0000-0000BD570000}"/>
    <cellStyle name="Normal 3 50" xfId="5674" xr:uid="{00000000-0005-0000-0000-0000BE570000}"/>
    <cellStyle name="Normal 3 50 2" xfId="5675" xr:uid="{00000000-0005-0000-0000-0000BF570000}"/>
    <cellStyle name="Normal 3 50 2 2" xfId="11511" xr:uid="{00000000-0005-0000-0000-0000C0570000}"/>
    <cellStyle name="Normal 3 50 2 2 2" xfId="34996" xr:uid="{00000000-0005-0000-0000-0000C1570000}"/>
    <cellStyle name="Normal 3 50 2 2 3" xfId="25677" xr:uid="{00000000-0005-0000-0000-0000C2570000}"/>
    <cellStyle name="Normal 3 50 2 2 4" xfId="48939" xr:uid="{00000000-0005-0000-0000-0000C3570000}"/>
    <cellStyle name="Normal 3 50 2 3" xfId="16242" xr:uid="{00000000-0005-0000-0000-0000C4570000}"/>
    <cellStyle name="Normal 3 50 2 3 2" xfId="30374" xr:uid="{00000000-0005-0000-0000-0000C5570000}"/>
    <cellStyle name="Normal 3 50 2 3 3" xfId="44269" xr:uid="{00000000-0005-0000-0000-0000C6570000}"/>
    <cellStyle name="Normal 3 50 2 4" xfId="21055" xr:uid="{00000000-0005-0000-0000-0000C7570000}"/>
    <cellStyle name="Normal 3 50 2 5" xfId="39687" xr:uid="{00000000-0005-0000-0000-0000C8570000}"/>
    <cellStyle name="Normal 3 50 3" xfId="11510" xr:uid="{00000000-0005-0000-0000-0000C9570000}"/>
    <cellStyle name="Normal 3 50 3 2" xfId="34995" xr:uid="{00000000-0005-0000-0000-0000CA570000}"/>
    <cellStyle name="Normal 3 50 3 3" xfId="25676" xr:uid="{00000000-0005-0000-0000-0000CB570000}"/>
    <cellStyle name="Normal 3 50 3 4" xfId="48938" xr:uid="{00000000-0005-0000-0000-0000CC570000}"/>
    <cellStyle name="Normal 3 50 4" xfId="16241" xr:uid="{00000000-0005-0000-0000-0000CD570000}"/>
    <cellStyle name="Normal 3 50 4 2" xfId="30373" xr:uid="{00000000-0005-0000-0000-0000CE570000}"/>
    <cellStyle name="Normal 3 50 4 3" xfId="44268" xr:uid="{00000000-0005-0000-0000-0000CF570000}"/>
    <cellStyle name="Normal 3 50 5" xfId="21054" xr:uid="{00000000-0005-0000-0000-0000D0570000}"/>
    <cellStyle name="Normal 3 50 6" xfId="39686" xr:uid="{00000000-0005-0000-0000-0000D1570000}"/>
    <cellStyle name="Normal 3 51" xfId="5676" xr:uid="{00000000-0005-0000-0000-0000D2570000}"/>
    <cellStyle name="Normal 3 51 2" xfId="5677" xr:uid="{00000000-0005-0000-0000-0000D3570000}"/>
    <cellStyle name="Normal 3 51 2 2" xfId="11513" xr:uid="{00000000-0005-0000-0000-0000D4570000}"/>
    <cellStyle name="Normal 3 51 2 2 2" xfId="34998" xr:uid="{00000000-0005-0000-0000-0000D5570000}"/>
    <cellStyle name="Normal 3 51 2 2 3" xfId="25679" xr:uid="{00000000-0005-0000-0000-0000D6570000}"/>
    <cellStyle name="Normal 3 51 2 2 4" xfId="48941" xr:uid="{00000000-0005-0000-0000-0000D7570000}"/>
    <cellStyle name="Normal 3 51 2 3" xfId="16244" xr:uid="{00000000-0005-0000-0000-0000D8570000}"/>
    <cellStyle name="Normal 3 51 2 3 2" xfId="30376" xr:uid="{00000000-0005-0000-0000-0000D9570000}"/>
    <cellStyle name="Normal 3 51 2 3 3" xfId="44271" xr:uid="{00000000-0005-0000-0000-0000DA570000}"/>
    <cellStyle name="Normal 3 51 2 4" xfId="21057" xr:uid="{00000000-0005-0000-0000-0000DB570000}"/>
    <cellStyle name="Normal 3 51 2 5" xfId="39689" xr:uid="{00000000-0005-0000-0000-0000DC570000}"/>
    <cellStyle name="Normal 3 51 3" xfId="11512" xr:uid="{00000000-0005-0000-0000-0000DD570000}"/>
    <cellStyle name="Normal 3 51 3 2" xfId="34997" xr:uid="{00000000-0005-0000-0000-0000DE570000}"/>
    <cellStyle name="Normal 3 51 3 3" xfId="25678" xr:uid="{00000000-0005-0000-0000-0000DF570000}"/>
    <cellStyle name="Normal 3 51 3 4" xfId="48940" xr:uid="{00000000-0005-0000-0000-0000E0570000}"/>
    <cellStyle name="Normal 3 51 4" xfId="16243" xr:uid="{00000000-0005-0000-0000-0000E1570000}"/>
    <cellStyle name="Normal 3 51 4 2" xfId="30375" xr:uid="{00000000-0005-0000-0000-0000E2570000}"/>
    <cellStyle name="Normal 3 51 4 3" xfId="44270" xr:uid="{00000000-0005-0000-0000-0000E3570000}"/>
    <cellStyle name="Normal 3 51 5" xfId="21056" xr:uid="{00000000-0005-0000-0000-0000E4570000}"/>
    <cellStyle name="Normal 3 51 6" xfId="39688" xr:uid="{00000000-0005-0000-0000-0000E5570000}"/>
    <cellStyle name="Normal 3 52" xfId="5678" xr:uid="{00000000-0005-0000-0000-0000E6570000}"/>
    <cellStyle name="Normal 3 52 2" xfId="5679" xr:uid="{00000000-0005-0000-0000-0000E7570000}"/>
    <cellStyle name="Normal 3 52 2 2" xfId="11515" xr:uid="{00000000-0005-0000-0000-0000E8570000}"/>
    <cellStyle name="Normal 3 52 2 2 2" xfId="35000" xr:uid="{00000000-0005-0000-0000-0000E9570000}"/>
    <cellStyle name="Normal 3 52 2 2 3" xfId="25681" xr:uid="{00000000-0005-0000-0000-0000EA570000}"/>
    <cellStyle name="Normal 3 52 2 2 4" xfId="48943" xr:uid="{00000000-0005-0000-0000-0000EB570000}"/>
    <cellStyle name="Normal 3 52 2 3" xfId="16246" xr:uid="{00000000-0005-0000-0000-0000EC570000}"/>
    <cellStyle name="Normal 3 52 2 3 2" xfId="30378" xr:uid="{00000000-0005-0000-0000-0000ED570000}"/>
    <cellStyle name="Normal 3 52 2 3 3" xfId="44273" xr:uid="{00000000-0005-0000-0000-0000EE570000}"/>
    <cellStyle name="Normal 3 52 2 4" xfId="21059" xr:uid="{00000000-0005-0000-0000-0000EF570000}"/>
    <cellStyle name="Normal 3 52 2 5" xfId="39691" xr:uid="{00000000-0005-0000-0000-0000F0570000}"/>
    <cellStyle name="Normal 3 52 3" xfId="11514" xr:uid="{00000000-0005-0000-0000-0000F1570000}"/>
    <cellStyle name="Normal 3 52 3 2" xfId="34999" xr:uid="{00000000-0005-0000-0000-0000F2570000}"/>
    <cellStyle name="Normal 3 52 3 3" xfId="25680" xr:uid="{00000000-0005-0000-0000-0000F3570000}"/>
    <cellStyle name="Normal 3 52 3 4" xfId="48942" xr:uid="{00000000-0005-0000-0000-0000F4570000}"/>
    <cellStyle name="Normal 3 52 4" xfId="16245" xr:uid="{00000000-0005-0000-0000-0000F5570000}"/>
    <cellStyle name="Normal 3 52 4 2" xfId="30377" xr:uid="{00000000-0005-0000-0000-0000F6570000}"/>
    <cellStyle name="Normal 3 52 4 3" xfId="44272" xr:uid="{00000000-0005-0000-0000-0000F7570000}"/>
    <cellStyle name="Normal 3 52 5" xfId="21058" xr:uid="{00000000-0005-0000-0000-0000F8570000}"/>
    <cellStyle name="Normal 3 52 6" xfId="39690" xr:uid="{00000000-0005-0000-0000-0000F9570000}"/>
    <cellStyle name="Normal 3 53" xfId="5680" xr:uid="{00000000-0005-0000-0000-0000FA570000}"/>
    <cellStyle name="Normal 3 53 2" xfId="5681" xr:uid="{00000000-0005-0000-0000-0000FB570000}"/>
    <cellStyle name="Normal 3 53 2 2" xfId="11517" xr:uid="{00000000-0005-0000-0000-0000FC570000}"/>
    <cellStyle name="Normal 3 53 2 2 2" xfId="35002" xr:uid="{00000000-0005-0000-0000-0000FD570000}"/>
    <cellStyle name="Normal 3 53 2 2 3" xfId="25683" xr:uid="{00000000-0005-0000-0000-0000FE570000}"/>
    <cellStyle name="Normal 3 53 2 2 4" xfId="48945" xr:uid="{00000000-0005-0000-0000-0000FF570000}"/>
    <cellStyle name="Normal 3 53 2 3" xfId="16248" xr:uid="{00000000-0005-0000-0000-000000580000}"/>
    <cellStyle name="Normal 3 53 2 3 2" xfId="30380" xr:uid="{00000000-0005-0000-0000-000001580000}"/>
    <cellStyle name="Normal 3 53 2 3 3" xfId="44275" xr:uid="{00000000-0005-0000-0000-000002580000}"/>
    <cellStyle name="Normal 3 53 2 4" xfId="21061" xr:uid="{00000000-0005-0000-0000-000003580000}"/>
    <cellStyle name="Normal 3 53 2 5" xfId="39693" xr:uid="{00000000-0005-0000-0000-000004580000}"/>
    <cellStyle name="Normal 3 53 3" xfId="11516" xr:uid="{00000000-0005-0000-0000-000005580000}"/>
    <cellStyle name="Normal 3 53 3 2" xfId="35001" xr:uid="{00000000-0005-0000-0000-000006580000}"/>
    <cellStyle name="Normal 3 53 3 3" xfId="25682" xr:uid="{00000000-0005-0000-0000-000007580000}"/>
    <cellStyle name="Normal 3 53 3 4" xfId="48944" xr:uid="{00000000-0005-0000-0000-000008580000}"/>
    <cellStyle name="Normal 3 53 4" xfId="16247" xr:uid="{00000000-0005-0000-0000-000009580000}"/>
    <cellStyle name="Normal 3 53 4 2" xfId="30379" xr:uid="{00000000-0005-0000-0000-00000A580000}"/>
    <cellStyle name="Normal 3 53 4 3" xfId="44274" xr:uid="{00000000-0005-0000-0000-00000B580000}"/>
    <cellStyle name="Normal 3 53 5" xfId="21060" xr:uid="{00000000-0005-0000-0000-00000C580000}"/>
    <cellStyle name="Normal 3 53 6" xfId="39692" xr:uid="{00000000-0005-0000-0000-00000D580000}"/>
    <cellStyle name="Normal 3 54" xfId="5682" xr:uid="{00000000-0005-0000-0000-00000E580000}"/>
    <cellStyle name="Normal 3 54 2" xfId="5683" xr:uid="{00000000-0005-0000-0000-00000F580000}"/>
    <cellStyle name="Normal 3 54 2 2" xfId="11519" xr:uid="{00000000-0005-0000-0000-000010580000}"/>
    <cellStyle name="Normal 3 54 2 2 2" xfId="35004" xr:uid="{00000000-0005-0000-0000-000011580000}"/>
    <cellStyle name="Normal 3 54 2 2 3" xfId="25685" xr:uid="{00000000-0005-0000-0000-000012580000}"/>
    <cellStyle name="Normal 3 54 2 2 4" xfId="48947" xr:uid="{00000000-0005-0000-0000-000013580000}"/>
    <cellStyle name="Normal 3 54 2 3" xfId="16250" xr:uid="{00000000-0005-0000-0000-000014580000}"/>
    <cellStyle name="Normal 3 54 2 3 2" xfId="30382" xr:uid="{00000000-0005-0000-0000-000015580000}"/>
    <cellStyle name="Normal 3 54 2 3 3" xfId="44277" xr:uid="{00000000-0005-0000-0000-000016580000}"/>
    <cellStyle name="Normal 3 54 2 4" xfId="21063" xr:uid="{00000000-0005-0000-0000-000017580000}"/>
    <cellStyle name="Normal 3 54 2 5" xfId="39695" xr:uid="{00000000-0005-0000-0000-000018580000}"/>
    <cellStyle name="Normal 3 54 3" xfId="11518" xr:uid="{00000000-0005-0000-0000-000019580000}"/>
    <cellStyle name="Normal 3 54 3 2" xfId="35003" xr:uid="{00000000-0005-0000-0000-00001A580000}"/>
    <cellStyle name="Normal 3 54 3 3" xfId="25684" xr:uid="{00000000-0005-0000-0000-00001B580000}"/>
    <cellStyle name="Normal 3 54 3 4" xfId="48946" xr:uid="{00000000-0005-0000-0000-00001C580000}"/>
    <cellStyle name="Normal 3 54 4" xfId="16249" xr:uid="{00000000-0005-0000-0000-00001D580000}"/>
    <cellStyle name="Normal 3 54 4 2" xfId="30381" xr:uid="{00000000-0005-0000-0000-00001E580000}"/>
    <cellStyle name="Normal 3 54 4 3" xfId="44276" xr:uid="{00000000-0005-0000-0000-00001F580000}"/>
    <cellStyle name="Normal 3 54 5" xfId="21062" xr:uid="{00000000-0005-0000-0000-000020580000}"/>
    <cellStyle name="Normal 3 54 6" xfId="39694" xr:uid="{00000000-0005-0000-0000-000021580000}"/>
    <cellStyle name="Normal 3 55" xfId="5684" xr:uid="{00000000-0005-0000-0000-000022580000}"/>
    <cellStyle name="Normal 3 55 2" xfId="5685" xr:uid="{00000000-0005-0000-0000-000023580000}"/>
    <cellStyle name="Normal 3 55 2 2" xfId="11521" xr:uid="{00000000-0005-0000-0000-000024580000}"/>
    <cellStyle name="Normal 3 55 2 2 2" xfId="35006" xr:uid="{00000000-0005-0000-0000-000025580000}"/>
    <cellStyle name="Normal 3 55 2 2 3" xfId="25687" xr:uid="{00000000-0005-0000-0000-000026580000}"/>
    <cellStyle name="Normal 3 55 2 2 4" xfId="48949" xr:uid="{00000000-0005-0000-0000-000027580000}"/>
    <cellStyle name="Normal 3 55 2 3" xfId="16252" xr:uid="{00000000-0005-0000-0000-000028580000}"/>
    <cellStyle name="Normal 3 55 2 3 2" xfId="30384" xr:uid="{00000000-0005-0000-0000-000029580000}"/>
    <cellStyle name="Normal 3 55 2 3 3" xfId="44279" xr:uid="{00000000-0005-0000-0000-00002A580000}"/>
    <cellStyle name="Normal 3 55 2 4" xfId="21065" xr:uid="{00000000-0005-0000-0000-00002B580000}"/>
    <cellStyle name="Normal 3 55 2 5" xfId="39697" xr:uid="{00000000-0005-0000-0000-00002C580000}"/>
    <cellStyle name="Normal 3 55 3" xfId="11520" xr:uid="{00000000-0005-0000-0000-00002D580000}"/>
    <cellStyle name="Normal 3 55 3 2" xfId="35005" xr:uid="{00000000-0005-0000-0000-00002E580000}"/>
    <cellStyle name="Normal 3 55 3 3" xfId="25686" xr:uid="{00000000-0005-0000-0000-00002F580000}"/>
    <cellStyle name="Normal 3 55 3 4" xfId="48948" xr:uid="{00000000-0005-0000-0000-000030580000}"/>
    <cellStyle name="Normal 3 55 4" xfId="16251" xr:uid="{00000000-0005-0000-0000-000031580000}"/>
    <cellStyle name="Normal 3 55 4 2" xfId="30383" xr:uid="{00000000-0005-0000-0000-000032580000}"/>
    <cellStyle name="Normal 3 55 4 3" xfId="44278" xr:uid="{00000000-0005-0000-0000-000033580000}"/>
    <cellStyle name="Normal 3 55 5" xfId="21064" xr:uid="{00000000-0005-0000-0000-000034580000}"/>
    <cellStyle name="Normal 3 55 6" xfId="39696" xr:uid="{00000000-0005-0000-0000-000035580000}"/>
    <cellStyle name="Normal 3 56" xfId="5686" xr:uid="{00000000-0005-0000-0000-000036580000}"/>
    <cellStyle name="Normal 3 56 2" xfId="5687" xr:uid="{00000000-0005-0000-0000-000037580000}"/>
    <cellStyle name="Normal 3 56 2 2" xfId="11523" xr:uid="{00000000-0005-0000-0000-000038580000}"/>
    <cellStyle name="Normal 3 56 2 2 2" xfId="35008" xr:uid="{00000000-0005-0000-0000-000039580000}"/>
    <cellStyle name="Normal 3 56 2 2 3" xfId="25689" xr:uid="{00000000-0005-0000-0000-00003A580000}"/>
    <cellStyle name="Normal 3 56 2 2 4" xfId="48951" xr:uid="{00000000-0005-0000-0000-00003B580000}"/>
    <cellStyle name="Normal 3 56 2 3" xfId="16254" xr:uid="{00000000-0005-0000-0000-00003C580000}"/>
    <cellStyle name="Normal 3 56 2 3 2" xfId="30386" xr:uid="{00000000-0005-0000-0000-00003D580000}"/>
    <cellStyle name="Normal 3 56 2 3 3" xfId="44281" xr:uid="{00000000-0005-0000-0000-00003E580000}"/>
    <cellStyle name="Normal 3 56 2 4" xfId="21067" xr:uid="{00000000-0005-0000-0000-00003F580000}"/>
    <cellStyle name="Normal 3 56 2 5" xfId="39699" xr:uid="{00000000-0005-0000-0000-000040580000}"/>
    <cellStyle name="Normal 3 56 3" xfId="11522" xr:uid="{00000000-0005-0000-0000-000041580000}"/>
    <cellStyle name="Normal 3 56 3 2" xfId="35007" xr:uid="{00000000-0005-0000-0000-000042580000}"/>
    <cellStyle name="Normal 3 56 3 3" xfId="25688" xr:uid="{00000000-0005-0000-0000-000043580000}"/>
    <cellStyle name="Normal 3 56 3 4" xfId="48950" xr:uid="{00000000-0005-0000-0000-000044580000}"/>
    <cellStyle name="Normal 3 56 4" xfId="16253" xr:uid="{00000000-0005-0000-0000-000045580000}"/>
    <cellStyle name="Normal 3 56 4 2" xfId="30385" xr:uid="{00000000-0005-0000-0000-000046580000}"/>
    <cellStyle name="Normal 3 56 4 3" xfId="44280" xr:uid="{00000000-0005-0000-0000-000047580000}"/>
    <cellStyle name="Normal 3 56 5" xfId="21066" xr:uid="{00000000-0005-0000-0000-000048580000}"/>
    <cellStyle name="Normal 3 56 6" xfId="39698" xr:uid="{00000000-0005-0000-0000-000049580000}"/>
    <cellStyle name="Normal 3 57" xfId="5688" xr:uid="{00000000-0005-0000-0000-00004A580000}"/>
    <cellStyle name="Normal 3 57 2" xfId="5689" xr:uid="{00000000-0005-0000-0000-00004B580000}"/>
    <cellStyle name="Normal 3 57 2 2" xfId="11525" xr:uid="{00000000-0005-0000-0000-00004C580000}"/>
    <cellStyle name="Normal 3 57 2 2 2" xfId="35010" xr:uid="{00000000-0005-0000-0000-00004D580000}"/>
    <cellStyle name="Normal 3 57 2 2 3" xfId="25691" xr:uid="{00000000-0005-0000-0000-00004E580000}"/>
    <cellStyle name="Normal 3 57 2 2 4" xfId="48953" xr:uid="{00000000-0005-0000-0000-00004F580000}"/>
    <cellStyle name="Normal 3 57 2 3" xfId="16256" xr:uid="{00000000-0005-0000-0000-000050580000}"/>
    <cellStyle name="Normal 3 57 2 3 2" xfId="30388" xr:uid="{00000000-0005-0000-0000-000051580000}"/>
    <cellStyle name="Normal 3 57 2 3 3" xfId="44283" xr:uid="{00000000-0005-0000-0000-000052580000}"/>
    <cellStyle name="Normal 3 57 2 4" xfId="21069" xr:uid="{00000000-0005-0000-0000-000053580000}"/>
    <cellStyle name="Normal 3 57 2 5" xfId="39701" xr:uid="{00000000-0005-0000-0000-000054580000}"/>
    <cellStyle name="Normal 3 57 3" xfId="11524" xr:uid="{00000000-0005-0000-0000-000055580000}"/>
    <cellStyle name="Normal 3 57 3 2" xfId="35009" xr:uid="{00000000-0005-0000-0000-000056580000}"/>
    <cellStyle name="Normal 3 57 3 3" xfId="25690" xr:uid="{00000000-0005-0000-0000-000057580000}"/>
    <cellStyle name="Normal 3 57 3 4" xfId="48952" xr:uid="{00000000-0005-0000-0000-000058580000}"/>
    <cellStyle name="Normal 3 57 4" xfId="16255" xr:uid="{00000000-0005-0000-0000-000059580000}"/>
    <cellStyle name="Normal 3 57 4 2" xfId="30387" xr:uid="{00000000-0005-0000-0000-00005A580000}"/>
    <cellStyle name="Normal 3 57 4 3" xfId="44282" xr:uid="{00000000-0005-0000-0000-00005B580000}"/>
    <cellStyle name="Normal 3 57 5" xfId="21068" xr:uid="{00000000-0005-0000-0000-00005C580000}"/>
    <cellStyle name="Normal 3 57 6" xfId="39700" xr:uid="{00000000-0005-0000-0000-00005D580000}"/>
    <cellStyle name="Normal 3 58" xfId="5690" xr:uid="{00000000-0005-0000-0000-00005E580000}"/>
    <cellStyle name="Normal 3 58 2" xfId="5691" xr:uid="{00000000-0005-0000-0000-00005F580000}"/>
    <cellStyle name="Normal 3 58 2 2" xfId="11527" xr:uid="{00000000-0005-0000-0000-000060580000}"/>
    <cellStyle name="Normal 3 58 2 2 2" xfId="35012" xr:uid="{00000000-0005-0000-0000-000061580000}"/>
    <cellStyle name="Normal 3 58 2 2 3" xfId="25693" xr:uid="{00000000-0005-0000-0000-000062580000}"/>
    <cellStyle name="Normal 3 58 2 2 4" xfId="48955" xr:uid="{00000000-0005-0000-0000-000063580000}"/>
    <cellStyle name="Normal 3 58 2 3" xfId="16258" xr:uid="{00000000-0005-0000-0000-000064580000}"/>
    <cellStyle name="Normal 3 58 2 3 2" xfId="30390" xr:uid="{00000000-0005-0000-0000-000065580000}"/>
    <cellStyle name="Normal 3 58 2 3 3" xfId="44285" xr:uid="{00000000-0005-0000-0000-000066580000}"/>
    <cellStyle name="Normal 3 58 2 4" xfId="21071" xr:uid="{00000000-0005-0000-0000-000067580000}"/>
    <cellStyle name="Normal 3 58 2 5" xfId="39703" xr:uid="{00000000-0005-0000-0000-000068580000}"/>
    <cellStyle name="Normal 3 58 3" xfId="11526" xr:uid="{00000000-0005-0000-0000-000069580000}"/>
    <cellStyle name="Normal 3 58 3 2" xfId="35011" xr:uid="{00000000-0005-0000-0000-00006A580000}"/>
    <cellStyle name="Normal 3 58 3 3" xfId="25692" xr:uid="{00000000-0005-0000-0000-00006B580000}"/>
    <cellStyle name="Normal 3 58 3 4" xfId="48954" xr:uid="{00000000-0005-0000-0000-00006C580000}"/>
    <cellStyle name="Normal 3 58 4" xfId="16257" xr:uid="{00000000-0005-0000-0000-00006D580000}"/>
    <cellStyle name="Normal 3 58 4 2" xfId="30389" xr:uid="{00000000-0005-0000-0000-00006E580000}"/>
    <cellStyle name="Normal 3 58 4 3" xfId="44284" xr:uid="{00000000-0005-0000-0000-00006F580000}"/>
    <cellStyle name="Normal 3 58 5" xfId="21070" xr:uid="{00000000-0005-0000-0000-000070580000}"/>
    <cellStyle name="Normal 3 58 6" xfId="39702" xr:uid="{00000000-0005-0000-0000-000071580000}"/>
    <cellStyle name="Normal 3 59" xfId="5692" xr:uid="{00000000-0005-0000-0000-000072580000}"/>
    <cellStyle name="Normal 3 59 2" xfId="5693" xr:uid="{00000000-0005-0000-0000-000073580000}"/>
    <cellStyle name="Normal 3 59 2 2" xfId="11529" xr:uid="{00000000-0005-0000-0000-000074580000}"/>
    <cellStyle name="Normal 3 59 2 2 2" xfId="35014" xr:uid="{00000000-0005-0000-0000-000075580000}"/>
    <cellStyle name="Normal 3 59 2 2 3" xfId="25695" xr:uid="{00000000-0005-0000-0000-000076580000}"/>
    <cellStyle name="Normal 3 59 2 2 4" xfId="48957" xr:uid="{00000000-0005-0000-0000-000077580000}"/>
    <cellStyle name="Normal 3 59 2 3" xfId="16260" xr:uid="{00000000-0005-0000-0000-000078580000}"/>
    <cellStyle name="Normal 3 59 2 3 2" xfId="30392" xr:uid="{00000000-0005-0000-0000-000079580000}"/>
    <cellStyle name="Normal 3 59 2 3 3" xfId="44287" xr:uid="{00000000-0005-0000-0000-00007A580000}"/>
    <cellStyle name="Normal 3 59 2 4" xfId="21073" xr:uid="{00000000-0005-0000-0000-00007B580000}"/>
    <cellStyle name="Normal 3 59 2 5" xfId="39705" xr:uid="{00000000-0005-0000-0000-00007C580000}"/>
    <cellStyle name="Normal 3 59 3" xfId="11528" xr:uid="{00000000-0005-0000-0000-00007D580000}"/>
    <cellStyle name="Normal 3 59 3 2" xfId="35013" xr:uid="{00000000-0005-0000-0000-00007E580000}"/>
    <cellStyle name="Normal 3 59 3 3" xfId="25694" xr:uid="{00000000-0005-0000-0000-00007F580000}"/>
    <cellStyle name="Normal 3 59 3 4" xfId="48956" xr:uid="{00000000-0005-0000-0000-000080580000}"/>
    <cellStyle name="Normal 3 59 4" xfId="16259" xr:uid="{00000000-0005-0000-0000-000081580000}"/>
    <cellStyle name="Normal 3 59 4 2" xfId="30391" xr:uid="{00000000-0005-0000-0000-000082580000}"/>
    <cellStyle name="Normal 3 59 4 3" xfId="44286" xr:uid="{00000000-0005-0000-0000-000083580000}"/>
    <cellStyle name="Normal 3 59 5" xfId="21072" xr:uid="{00000000-0005-0000-0000-000084580000}"/>
    <cellStyle name="Normal 3 59 6" xfId="39704" xr:uid="{00000000-0005-0000-0000-000085580000}"/>
    <cellStyle name="Normal 3 6" xfId="5694" xr:uid="{00000000-0005-0000-0000-000086580000}"/>
    <cellStyle name="Normal 3 6 10" xfId="5695" xr:uid="{00000000-0005-0000-0000-000087580000}"/>
    <cellStyle name="Normal 3 6 10 2" xfId="5696" xr:uid="{00000000-0005-0000-0000-000088580000}"/>
    <cellStyle name="Normal 3 6 10 2 2" xfId="11532" xr:uid="{00000000-0005-0000-0000-000089580000}"/>
    <cellStyle name="Normal 3 6 10 2 2 2" xfId="35017" xr:uid="{00000000-0005-0000-0000-00008A580000}"/>
    <cellStyle name="Normal 3 6 10 2 2 3" xfId="25698" xr:uid="{00000000-0005-0000-0000-00008B580000}"/>
    <cellStyle name="Normal 3 6 10 2 2 4" xfId="48960" xr:uid="{00000000-0005-0000-0000-00008C580000}"/>
    <cellStyle name="Normal 3 6 10 2 3" xfId="16263" xr:uid="{00000000-0005-0000-0000-00008D580000}"/>
    <cellStyle name="Normal 3 6 10 2 3 2" xfId="30395" xr:uid="{00000000-0005-0000-0000-00008E580000}"/>
    <cellStyle name="Normal 3 6 10 2 3 3" xfId="44290" xr:uid="{00000000-0005-0000-0000-00008F580000}"/>
    <cellStyle name="Normal 3 6 10 2 4" xfId="21076" xr:uid="{00000000-0005-0000-0000-000090580000}"/>
    <cellStyle name="Normal 3 6 10 2 5" xfId="39708" xr:uid="{00000000-0005-0000-0000-000091580000}"/>
    <cellStyle name="Normal 3 6 10 3" xfId="11531" xr:uid="{00000000-0005-0000-0000-000092580000}"/>
    <cellStyle name="Normal 3 6 10 3 2" xfId="35016" xr:uid="{00000000-0005-0000-0000-000093580000}"/>
    <cellStyle name="Normal 3 6 10 3 3" xfId="25697" xr:uid="{00000000-0005-0000-0000-000094580000}"/>
    <cellStyle name="Normal 3 6 10 3 4" xfId="48959" xr:uid="{00000000-0005-0000-0000-000095580000}"/>
    <cellStyle name="Normal 3 6 10 4" xfId="16262" xr:uid="{00000000-0005-0000-0000-000096580000}"/>
    <cellStyle name="Normal 3 6 10 4 2" xfId="30394" xr:uid="{00000000-0005-0000-0000-000097580000}"/>
    <cellStyle name="Normal 3 6 10 4 3" xfId="44289" xr:uid="{00000000-0005-0000-0000-000098580000}"/>
    <cellStyle name="Normal 3 6 10 5" xfId="21075" xr:uid="{00000000-0005-0000-0000-000099580000}"/>
    <cellStyle name="Normal 3 6 10 6" xfId="39707" xr:uid="{00000000-0005-0000-0000-00009A580000}"/>
    <cellStyle name="Normal 3 6 11" xfId="5697" xr:uid="{00000000-0005-0000-0000-00009B580000}"/>
    <cellStyle name="Normal 3 6 11 2" xfId="11533" xr:uid="{00000000-0005-0000-0000-00009C580000}"/>
    <cellStyle name="Normal 3 6 11 2 2" xfId="35018" xr:uid="{00000000-0005-0000-0000-00009D580000}"/>
    <cellStyle name="Normal 3 6 11 2 3" xfId="25699" xr:uid="{00000000-0005-0000-0000-00009E580000}"/>
    <cellStyle name="Normal 3 6 11 2 4" xfId="48961" xr:uid="{00000000-0005-0000-0000-00009F580000}"/>
    <cellStyle name="Normal 3 6 11 3" xfId="16264" xr:uid="{00000000-0005-0000-0000-0000A0580000}"/>
    <cellStyle name="Normal 3 6 11 3 2" xfId="30396" xr:uid="{00000000-0005-0000-0000-0000A1580000}"/>
    <cellStyle name="Normal 3 6 11 3 3" xfId="44291" xr:uid="{00000000-0005-0000-0000-0000A2580000}"/>
    <cellStyle name="Normal 3 6 11 4" xfId="21077" xr:uid="{00000000-0005-0000-0000-0000A3580000}"/>
    <cellStyle name="Normal 3 6 11 5" xfId="39709" xr:uid="{00000000-0005-0000-0000-0000A4580000}"/>
    <cellStyle name="Normal 3 6 12" xfId="11530" xr:uid="{00000000-0005-0000-0000-0000A5580000}"/>
    <cellStyle name="Normal 3 6 12 2" xfId="35015" xr:uid="{00000000-0005-0000-0000-0000A6580000}"/>
    <cellStyle name="Normal 3 6 12 3" xfId="25696" xr:uid="{00000000-0005-0000-0000-0000A7580000}"/>
    <cellStyle name="Normal 3 6 12 4" xfId="48958" xr:uid="{00000000-0005-0000-0000-0000A8580000}"/>
    <cellStyle name="Normal 3 6 13" xfId="16261" xr:uid="{00000000-0005-0000-0000-0000A9580000}"/>
    <cellStyle name="Normal 3 6 13 2" xfId="30393" xr:uid="{00000000-0005-0000-0000-0000AA580000}"/>
    <cellStyle name="Normal 3 6 13 3" xfId="44288" xr:uid="{00000000-0005-0000-0000-0000AB580000}"/>
    <cellStyle name="Normal 3 6 14" xfId="21074" xr:uid="{00000000-0005-0000-0000-0000AC580000}"/>
    <cellStyle name="Normal 3 6 15" xfId="39706" xr:uid="{00000000-0005-0000-0000-0000AD580000}"/>
    <cellStyle name="Normal 3 6 2" xfId="5698" xr:uid="{00000000-0005-0000-0000-0000AE580000}"/>
    <cellStyle name="Normal 3 6 2 2" xfId="5699" xr:uid="{00000000-0005-0000-0000-0000AF580000}"/>
    <cellStyle name="Normal 3 6 2 2 2" xfId="11535" xr:uid="{00000000-0005-0000-0000-0000B0580000}"/>
    <cellStyle name="Normal 3 6 2 2 2 2" xfId="35020" xr:uid="{00000000-0005-0000-0000-0000B1580000}"/>
    <cellStyle name="Normal 3 6 2 2 2 3" xfId="25701" xr:uid="{00000000-0005-0000-0000-0000B2580000}"/>
    <cellStyle name="Normal 3 6 2 2 2 4" xfId="48963" xr:uid="{00000000-0005-0000-0000-0000B3580000}"/>
    <cellStyle name="Normal 3 6 2 2 3" xfId="16266" xr:uid="{00000000-0005-0000-0000-0000B4580000}"/>
    <cellStyle name="Normal 3 6 2 2 3 2" xfId="30398" xr:uid="{00000000-0005-0000-0000-0000B5580000}"/>
    <cellStyle name="Normal 3 6 2 2 3 3" xfId="44293" xr:uid="{00000000-0005-0000-0000-0000B6580000}"/>
    <cellStyle name="Normal 3 6 2 2 4" xfId="21079" xr:uid="{00000000-0005-0000-0000-0000B7580000}"/>
    <cellStyle name="Normal 3 6 2 2 5" xfId="39711" xr:uid="{00000000-0005-0000-0000-0000B8580000}"/>
    <cellStyle name="Normal 3 6 2 3" xfId="11534" xr:uid="{00000000-0005-0000-0000-0000B9580000}"/>
    <cellStyle name="Normal 3 6 2 3 2" xfId="35019" xr:uid="{00000000-0005-0000-0000-0000BA580000}"/>
    <cellStyle name="Normal 3 6 2 3 3" xfId="25700" xr:uid="{00000000-0005-0000-0000-0000BB580000}"/>
    <cellStyle name="Normal 3 6 2 3 4" xfId="48962" xr:uid="{00000000-0005-0000-0000-0000BC580000}"/>
    <cellStyle name="Normal 3 6 2 4" xfId="16265" xr:uid="{00000000-0005-0000-0000-0000BD580000}"/>
    <cellStyle name="Normal 3 6 2 4 2" xfId="30397" xr:uid="{00000000-0005-0000-0000-0000BE580000}"/>
    <cellStyle name="Normal 3 6 2 4 3" xfId="44292" xr:uid="{00000000-0005-0000-0000-0000BF580000}"/>
    <cellStyle name="Normal 3 6 2 5" xfId="21078" xr:uid="{00000000-0005-0000-0000-0000C0580000}"/>
    <cellStyle name="Normal 3 6 2 6" xfId="39710" xr:uid="{00000000-0005-0000-0000-0000C1580000}"/>
    <cellStyle name="Normal 3 6 3" xfId="5700" xr:uid="{00000000-0005-0000-0000-0000C2580000}"/>
    <cellStyle name="Normal 3 6 3 2" xfId="5701" xr:uid="{00000000-0005-0000-0000-0000C3580000}"/>
    <cellStyle name="Normal 3 6 3 2 2" xfId="11537" xr:uid="{00000000-0005-0000-0000-0000C4580000}"/>
    <cellStyle name="Normal 3 6 3 2 2 2" xfId="35022" xr:uid="{00000000-0005-0000-0000-0000C5580000}"/>
    <cellStyle name="Normal 3 6 3 2 2 3" xfId="25703" xr:uid="{00000000-0005-0000-0000-0000C6580000}"/>
    <cellStyle name="Normal 3 6 3 2 2 4" xfId="48965" xr:uid="{00000000-0005-0000-0000-0000C7580000}"/>
    <cellStyle name="Normal 3 6 3 2 3" xfId="16268" xr:uid="{00000000-0005-0000-0000-0000C8580000}"/>
    <cellStyle name="Normal 3 6 3 2 3 2" xfId="30400" xr:uid="{00000000-0005-0000-0000-0000C9580000}"/>
    <cellStyle name="Normal 3 6 3 2 3 3" xfId="44295" xr:uid="{00000000-0005-0000-0000-0000CA580000}"/>
    <cellStyle name="Normal 3 6 3 2 4" xfId="21081" xr:uid="{00000000-0005-0000-0000-0000CB580000}"/>
    <cellStyle name="Normal 3 6 3 2 5" xfId="39713" xr:uid="{00000000-0005-0000-0000-0000CC580000}"/>
    <cellStyle name="Normal 3 6 3 3" xfId="11536" xr:uid="{00000000-0005-0000-0000-0000CD580000}"/>
    <cellStyle name="Normal 3 6 3 3 2" xfId="35021" xr:uid="{00000000-0005-0000-0000-0000CE580000}"/>
    <cellStyle name="Normal 3 6 3 3 3" xfId="25702" xr:uid="{00000000-0005-0000-0000-0000CF580000}"/>
    <cellStyle name="Normal 3 6 3 3 4" xfId="48964" xr:uid="{00000000-0005-0000-0000-0000D0580000}"/>
    <cellStyle name="Normal 3 6 3 4" xfId="16267" xr:uid="{00000000-0005-0000-0000-0000D1580000}"/>
    <cellStyle name="Normal 3 6 3 4 2" xfId="30399" xr:uid="{00000000-0005-0000-0000-0000D2580000}"/>
    <cellStyle name="Normal 3 6 3 4 3" xfId="44294" xr:uid="{00000000-0005-0000-0000-0000D3580000}"/>
    <cellStyle name="Normal 3 6 3 5" xfId="21080" xr:uid="{00000000-0005-0000-0000-0000D4580000}"/>
    <cellStyle name="Normal 3 6 3 6" xfId="39712" xr:uid="{00000000-0005-0000-0000-0000D5580000}"/>
    <cellStyle name="Normal 3 6 4" xfId="5702" xr:uid="{00000000-0005-0000-0000-0000D6580000}"/>
    <cellStyle name="Normal 3 6 4 2" xfId="5703" xr:uid="{00000000-0005-0000-0000-0000D7580000}"/>
    <cellStyle name="Normal 3 6 4 2 2" xfId="11539" xr:uid="{00000000-0005-0000-0000-0000D8580000}"/>
    <cellStyle name="Normal 3 6 4 2 2 2" xfId="35024" xr:uid="{00000000-0005-0000-0000-0000D9580000}"/>
    <cellStyle name="Normal 3 6 4 2 2 3" xfId="25705" xr:uid="{00000000-0005-0000-0000-0000DA580000}"/>
    <cellStyle name="Normal 3 6 4 2 2 4" xfId="48967" xr:uid="{00000000-0005-0000-0000-0000DB580000}"/>
    <cellStyle name="Normal 3 6 4 2 3" xfId="16270" xr:uid="{00000000-0005-0000-0000-0000DC580000}"/>
    <cellStyle name="Normal 3 6 4 2 3 2" xfId="30402" xr:uid="{00000000-0005-0000-0000-0000DD580000}"/>
    <cellStyle name="Normal 3 6 4 2 3 3" xfId="44297" xr:uid="{00000000-0005-0000-0000-0000DE580000}"/>
    <cellStyle name="Normal 3 6 4 2 4" xfId="21083" xr:uid="{00000000-0005-0000-0000-0000DF580000}"/>
    <cellStyle name="Normal 3 6 4 2 5" xfId="39715" xr:uid="{00000000-0005-0000-0000-0000E0580000}"/>
    <cellStyle name="Normal 3 6 4 3" xfId="11538" xr:uid="{00000000-0005-0000-0000-0000E1580000}"/>
    <cellStyle name="Normal 3 6 4 3 2" xfId="35023" xr:uid="{00000000-0005-0000-0000-0000E2580000}"/>
    <cellStyle name="Normal 3 6 4 3 3" xfId="25704" xr:uid="{00000000-0005-0000-0000-0000E3580000}"/>
    <cellStyle name="Normal 3 6 4 3 4" xfId="48966" xr:uid="{00000000-0005-0000-0000-0000E4580000}"/>
    <cellStyle name="Normal 3 6 4 4" xfId="16269" xr:uid="{00000000-0005-0000-0000-0000E5580000}"/>
    <cellStyle name="Normal 3 6 4 4 2" xfId="30401" xr:uid="{00000000-0005-0000-0000-0000E6580000}"/>
    <cellStyle name="Normal 3 6 4 4 3" xfId="44296" xr:uid="{00000000-0005-0000-0000-0000E7580000}"/>
    <cellStyle name="Normal 3 6 4 5" xfId="21082" xr:uid="{00000000-0005-0000-0000-0000E8580000}"/>
    <cellStyle name="Normal 3 6 4 6" xfId="39714" xr:uid="{00000000-0005-0000-0000-0000E9580000}"/>
    <cellStyle name="Normal 3 6 5" xfId="5704" xr:uid="{00000000-0005-0000-0000-0000EA580000}"/>
    <cellStyle name="Normal 3 6 5 2" xfId="5705" xr:uid="{00000000-0005-0000-0000-0000EB580000}"/>
    <cellStyle name="Normal 3 6 5 2 2" xfId="11541" xr:uid="{00000000-0005-0000-0000-0000EC580000}"/>
    <cellStyle name="Normal 3 6 5 2 2 2" xfId="35026" xr:uid="{00000000-0005-0000-0000-0000ED580000}"/>
    <cellStyle name="Normal 3 6 5 2 2 3" xfId="25707" xr:uid="{00000000-0005-0000-0000-0000EE580000}"/>
    <cellStyle name="Normal 3 6 5 2 2 4" xfId="48969" xr:uid="{00000000-0005-0000-0000-0000EF580000}"/>
    <cellStyle name="Normal 3 6 5 2 3" xfId="16272" xr:uid="{00000000-0005-0000-0000-0000F0580000}"/>
    <cellStyle name="Normal 3 6 5 2 3 2" xfId="30404" xr:uid="{00000000-0005-0000-0000-0000F1580000}"/>
    <cellStyle name="Normal 3 6 5 2 3 3" xfId="44299" xr:uid="{00000000-0005-0000-0000-0000F2580000}"/>
    <cellStyle name="Normal 3 6 5 2 4" xfId="21085" xr:uid="{00000000-0005-0000-0000-0000F3580000}"/>
    <cellStyle name="Normal 3 6 5 2 5" xfId="39717" xr:uid="{00000000-0005-0000-0000-0000F4580000}"/>
    <cellStyle name="Normal 3 6 5 3" xfId="11540" xr:uid="{00000000-0005-0000-0000-0000F5580000}"/>
    <cellStyle name="Normal 3 6 5 3 2" xfId="35025" xr:uid="{00000000-0005-0000-0000-0000F6580000}"/>
    <cellStyle name="Normal 3 6 5 3 3" xfId="25706" xr:uid="{00000000-0005-0000-0000-0000F7580000}"/>
    <cellStyle name="Normal 3 6 5 3 4" xfId="48968" xr:uid="{00000000-0005-0000-0000-0000F8580000}"/>
    <cellStyle name="Normal 3 6 5 4" xfId="16271" xr:uid="{00000000-0005-0000-0000-0000F9580000}"/>
    <cellStyle name="Normal 3 6 5 4 2" xfId="30403" xr:uid="{00000000-0005-0000-0000-0000FA580000}"/>
    <cellStyle name="Normal 3 6 5 4 3" xfId="44298" xr:uid="{00000000-0005-0000-0000-0000FB580000}"/>
    <cellStyle name="Normal 3 6 5 5" xfId="21084" xr:uid="{00000000-0005-0000-0000-0000FC580000}"/>
    <cellStyle name="Normal 3 6 5 6" xfId="39716" xr:uid="{00000000-0005-0000-0000-0000FD580000}"/>
    <cellStyle name="Normal 3 6 6" xfId="5706" xr:uid="{00000000-0005-0000-0000-0000FE580000}"/>
    <cellStyle name="Normal 3 6 6 2" xfId="5707" xr:uid="{00000000-0005-0000-0000-0000FF580000}"/>
    <cellStyle name="Normal 3 6 6 2 2" xfId="11543" xr:uid="{00000000-0005-0000-0000-000000590000}"/>
    <cellStyle name="Normal 3 6 6 2 2 2" xfId="35028" xr:uid="{00000000-0005-0000-0000-000001590000}"/>
    <cellStyle name="Normal 3 6 6 2 2 3" xfId="25709" xr:uid="{00000000-0005-0000-0000-000002590000}"/>
    <cellStyle name="Normal 3 6 6 2 2 4" xfId="48971" xr:uid="{00000000-0005-0000-0000-000003590000}"/>
    <cellStyle name="Normal 3 6 6 2 3" xfId="16274" xr:uid="{00000000-0005-0000-0000-000004590000}"/>
    <cellStyle name="Normal 3 6 6 2 3 2" xfId="30406" xr:uid="{00000000-0005-0000-0000-000005590000}"/>
    <cellStyle name="Normal 3 6 6 2 3 3" xfId="44301" xr:uid="{00000000-0005-0000-0000-000006590000}"/>
    <cellStyle name="Normal 3 6 6 2 4" xfId="21087" xr:uid="{00000000-0005-0000-0000-000007590000}"/>
    <cellStyle name="Normal 3 6 6 2 5" xfId="39719" xr:uid="{00000000-0005-0000-0000-000008590000}"/>
    <cellStyle name="Normal 3 6 6 3" xfId="11542" xr:uid="{00000000-0005-0000-0000-000009590000}"/>
    <cellStyle name="Normal 3 6 6 3 2" xfId="35027" xr:uid="{00000000-0005-0000-0000-00000A590000}"/>
    <cellStyle name="Normal 3 6 6 3 3" xfId="25708" xr:uid="{00000000-0005-0000-0000-00000B590000}"/>
    <cellStyle name="Normal 3 6 6 3 4" xfId="48970" xr:uid="{00000000-0005-0000-0000-00000C590000}"/>
    <cellStyle name="Normal 3 6 6 4" xfId="16273" xr:uid="{00000000-0005-0000-0000-00000D590000}"/>
    <cellStyle name="Normal 3 6 6 4 2" xfId="30405" xr:uid="{00000000-0005-0000-0000-00000E590000}"/>
    <cellStyle name="Normal 3 6 6 4 3" xfId="44300" xr:uid="{00000000-0005-0000-0000-00000F590000}"/>
    <cellStyle name="Normal 3 6 6 5" xfId="21086" xr:uid="{00000000-0005-0000-0000-000010590000}"/>
    <cellStyle name="Normal 3 6 6 6" xfId="39718" xr:uid="{00000000-0005-0000-0000-000011590000}"/>
    <cellStyle name="Normal 3 6 7" xfId="5708" xr:uid="{00000000-0005-0000-0000-000012590000}"/>
    <cellStyle name="Normal 3 6 7 2" xfId="5709" xr:uid="{00000000-0005-0000-0000-000013590000}"/>
    <cellStyle name="Normal 3 6 7 2 2" xfId="11545" xr:uid="{00000000-0005-0000-0000-000014590000}"/>
    <cellStyle name="Normal 3 6 7 2 2 2" xfId="35030" xr:uid="{00000000-0005-0000-0000-000015590000}"/>
    <cellStyle name="Normal 3 6 7 2 2 3" xfId="25711" xr:uid="{00000000-0005-0000-0000-000016590000}"/>
    <cellStyle name="Normal 3 6 7 2 2 4" xfId="48973" xr:uid="{00000000-0005-0000-0000-000017590000}"/>
    <cellStyle name="Normal 3 6 7 2 3" xfId="16276" xr:uid="{00000000-0005-0000-0000-000018590000}"/>
    <cellStyle name="Normal 3 6 7 2 3 2" xfId="30408" xr:uid="{00000000-0005-0000-0000-000019590000}"/>
    <cellStyle name="Normal 3 6 7 2 3 3" xfId="44303" xr:uid="{00000000-0005-0000-0000-00001A590000}"/>
    <cellStyle name="Normal 3 6 7 2 4" xfId="21089" xr:uid="{00000000-0005-0000-0000-00001B590000}"/>
    <cellStyle name="Normal 3 6 7 2 5" xfId="39721" xr:uid="{00000000-0005-0000-0000-00001C590000}"/>
    <cellStyle name="Normal 3 6 7 3" xfId="11544" xr:uid="{00000000-0005-0000-0000-00001D590000}"/>
    <cellStyle name="Normal 3 6 7 3 2" xfId="35029" xr:uid="{00000000-0005-0000-0000-00001E590000}"/>
    <cellStyle name="Normal 3 6 7 3 3" xfId="25710" xr:uid="{00000000-0005-0000-0000-00001F590000}"/>
    <cellStyle name="Normal 3 6 7 3 4" xfId="48972" xr:uid="{00000000-0005-0000-0000-000020590000}"/>
    <cellStyle name="Normal 3 6 7 4" xfId="16275" xr:uid="{00000000-0005-0000-0000-000021590000}"/>
    <cellStyle name="Normal 3 6 7 4 2" xfId="30407" xr:uid="{00000000-0005-0000-0000-000022590000}"/>
    <cellStyle name="Normal 3 6 7 4 3" xfId="44302" xr:uid="{00000000-0005-0000-0000-000023590000}"/>
    <cellStyle name="Normal 3 6 7 5" xfId="21088" xr:uid="{00000000-0005-0000-0000-000024590000}"/>
    <cellStyle name="Normal 3 6 7 6" xfId="39720" xr:uid="{00000000-0005-0000-0000-000025590000}"/>
    <cellStyle name="Normal 3 6 8" xfId="5710" xr:uid="{00000000-0005-0000-0000-000026590000}"/>
    <cellStyle name="Normal 3 6 8 2" xfId="5711" xr:uid="{00000000-0005-0000-0000-000027590000}"/>
    <cellStyle name="Normal 3 6 8 2 2" xfId="11547" xr:uid="{00000000-0005-0000-0000-000028590000}"/>
    <cellStyle name="Normal 3 6 8 2 2 2" xfId="35032" xr:uid="{00000000-0005-0000-0000-000029590000}"/>
    <cellStyle name="Normal 3 6 8 2 2 3" xfId="25713" xr:uid="{00000000-0005-0000-0000-00002A590000}"/>
    <cellStyle name="Normal 3 6 8 2 2 4" xfId="48975" xr:uid="{00000000-0005-0000-0000-00002B590000}"/>
    <cellStyle name="Normal 3 6 8 2 3" xfId="16278" xr:uid="{00000000-0005-0000-0000-00002C590000}"/>
    <cellStyle name="Normal 3 6 8 2 3 2" xfId="30410" xr:uid="{00000000-0005-0000-0000-00002D590000}"/>
    <cellStyle name="Normal 3 6 8 2 3 3" xfId="44305" xr:uid="{00000000-0005-0000-0000-00002E590000}"/>
    <cellStyle name="Normal 3 6 8 2 4" xfId="21091" xr:uid="{00000000-0005-0000-0000-00002F590000}"/>
    <cellStyle name="Normal 3 6 8 2 5" xfId="39723" xr:uid="{00000000-0005-0000-0000-000030590000}"/>
    <cellStyle name="Normal 3 6 8 3" xfId="11546" xr:uid="{00000000-0005-0000-0000-000031590000}"/>
    <cellStyle name="Normal 3 6 8 3 2" xfId="35031" xr:uid="{00000000-0005-0000-0000-000032590000}"/>
    <cellStyle name="Normal 3 6 8 3 3" xfId="25712" xr:uid="{00000000-0005-0000-0000-000033590000}"/>
    <cellStyle name="Normal 3 6 8 3 4" xfId="48974" xr:uid="{00000000-0005-0000-0000-000034590000}"/>
    <cellStyle name="Normal 3 6 8 4" xfId="16277" xr:uid="{00000000-0005-0000-0000-000035590000}"/>
    <cellStyle name="Normal 3 6 8 4 2" xfId="30409" xr:uid="{00000000-0005-0000-0000-000036590000}"/>
    <cellStyle name="Normal 3 6 8 4 3" xfId="44304" xr:uid="{00000000-0005-0000-0000-000037590000}"/>
    <cellStyle name="Normal 3 6 8 5" xfId="21090" xr:uid="{00000000-0005-0000-0000-000038590000}"/>
    <cellStyle name="Normal 3 6 8 6" xfId="39722" xr:uid="{00000000-0005-0000-0000-000039590000}"/>
    <cellStyle name="Normal 3 6 9" xfId="5712" xr:uid="{00000000-0005-0000-0000-00003A590000}"/>
    <cellStyle name="Normal 3 6 9 2" xfId="5713" xr:uid="{00000000-0005-0000-0000-00003B590000}"/>
    <cellStyle name="Normal 3 6 9 2 2" xfId="11549" xr:uid="{00000000-0005-0000-0000-00003C590000}"/>
    <cellStyle name="Normal 3 6 9 2 2 2" xfId="35034" xr:uid="{00000000-0005-0000-0000-00003D590000}"/>
    <cellStyle name="Normal 3 6 9 2 2 3" xfId="25715" xr:uid="{00000000-0005-0000-0000-00003E590000}"/>
    <cellStyle name="Normal 3 6 9 2 2 4" xfId="48977" xr:uid="{00000000-0005-0000-0000-00003F590000}"/>
    <cellStyle name="Normal 3 6 9 2 3" xfId="16280" xr:uid="{00000000-0005-0000-0000-000040590000}"/>
    <cellStyle name="Normal 3 6 9 2 3 2" xfId="30412" xr:uid="{00000000-0005-0000-0000-000041590000}"/>
    <cellStyle name="Normal 3 6 9 2 3 3" xfId="44307" xr:uid="{00000000-0005-0000-0000-000042590000}"/>
    <cellStyle name="Normal 3 6 9 2 4" xfId="21093" xr:uid="{00000000-0005-0000-0000-000043590000}"/>
    <cellStyle name="Normal 3 6 9 2 5" xfId="39725" xr:uid="{00000000-0005-0000-0000-000044590000}"/>
    <cellStyle name="Normal 3 6 9 3" xfId="11548" xr:uid="{00000000-0005-0000-0000-000045590000}"/>
    <cellStyle name="Normal 3 6 9 3 2" xfId="35033" xr:uid="{00000000-0005-0000-0000-000046590000}"/>
    <cellStyle name="Normal 3 6 9 3 3" xfId="25714" xr:uid="{00000000-0005-0000-0000-000047590000}"/>
    <cellStyle name="Normal 3 6 9 3 4" xfId="48976" xr:uid="{00000000-0005-0000-0000-000048590000}"/>
    <cellStyle name="Normal 3 6 9 4" xfId="16279" xr:uid="{00000000-0005-0000-0000-000049590000}"/>
    <cellStyle name="Normal 3 6 9 4 2" xfId="30411" xr:uid="{00000000-0005-0000-0000-00004A590000}"/>
    <cellStyle name="Normal 3 6 9 4 3" xfId="44306" xr:uid="{00000000-0005-0000-0000-00004B590000}"/>
    <cellStyle name="Normal 3 6 9 5" xfId="21092" xr:uid="{00000000-0005-0000-0000-00004C590000}"/>
    <cellStyle name="Normal 3 6 9 6" xfId="39724" xr:uid="{00000000-0005-0000-0000-00004D590000}"/>
    <cellStyle name="Normal 3 60" xfId="5714" xr:uid="{00000000-0005-0000-0000-00004E590000}"/>
    <cellStyle name="Normal 3 60 2" xfId="5715" xr:uid="{00000000-0005-0000-0000-00004F590000}"/>
    <cellStyle name="Normal 3 60 2 2" xfId="11551" xr:uid="{00000000-0005-0000-0000-000050590000}"/>
    <cellStyle name="Normal 3 60 2 2 2" xfId="35036" xr:uid="{00000000-0005-0000-0000-000051590000}"/>
    <cellStyle name="Normal 3 60 2 2 3" xfId="25717" xr:uid="{00000000-0005-0000-0000-000052590000}"/>
    <cellStyle name="Normal 3 60 2 2 4" xfId="48979" xr:uid="{00000000-0005-0000-0000-000053590000}"/>
    <cellStyle name="Normal 3 60 2 3" xfId="16282" xr:uid="{00000000-0005-0000-0000-000054590000}"/>
    <cellStyle name="Normal 3 60 2 3 2" xfId="30414" xr:uid="{00000000-0005-0000-0000-000055590000}"/>
    <cellStyle name="Normal 3 60 2 3 3" xfId="44309" xr:uid="{00000000-0005-0000-0000-000056590000}"/>
    <cellStyle name="Normal 3 60 2 4" xfId="21095" xr:uid="{00000000-0005-0000-0000-000057590000}"/>
    <cellStyle name="Normal 3 60 2 5" xfId="39727" xr:uid="{00000000-0005-0000-0000-000058590000}"/>
    <cellStyle name="Normal 3 60 3" xfId="11550" xr:uid="{00000000-0005-0000-0000-000059590000}"/>
    <cellStyle name="Normal 3 60 3 2" xfId="35035" xr:uid="{00000000-0005-0000-0000-00005A590000}"/>
    <cellStyle name="Normal 3 60 3 3" xfId="25716" xr:uid="{00000000-0005-0000-0000-00005B590000}"/>
    <cellStyle name="Normal 3 60 3 4" xfId="48978" xr:uid="{00000000-0005-0000-0000-00005C590000}"/>
    <cellStyle name="Normal 3 60 4" xfId="16281" xr:uid="{00000000-0005-0000-0000-00005D590000}"/>
    <cellStyle name="Normal 3 60 4 2" xfId="30413" xr:uid="{00000000-0005-0000-0000-00005E590000}"/>
    <cellStyle name="Normal 3 60 4 3" xfId="44308" xr:uid="{00000000-0005-0000-0000-00005F590000}"/>
    <cellStyle name="Normal 3 60 5" xfId="21094" xr:uid="{00000000-0005-0000-0000-000060590000}"/>
    <cellStyle name="Normal 3 60 6" xfId="39726" xr:uid="{00000000-0005-0000-0000-000061590000}"/>
    <cellStyle name="Normal 3 61" xfId="5716" xr:uid="{00000000-0005-0000-0000-000062590000}"/>
    <cellStyle name="Normal 3 61 2" xfId="5717" xr:uid="{00000000-0005-0000-0000-000063590000}"/>
    <cellStyle name="Normal 3 61 2 2" xfId="11553" xr:uid="{00000000-0005-0000-0000-000064590000}"/>
    <cellStyle name="Normal 3 61 2 2 2" xfId="35038" xr:uid="{00000000-0005-0000-0000-000065590000}"/>
    <cellStyle name="Normal 3 61 2 2 3" xfId="25719" xr:uid="{00000000-0005-0000-0000-000066590000}"/>
    <cellStyle name="Normal 3 61 2 2 4" xfId="48981" xr:uid="{00000000-0005-0000-0000-000067590000}"/>
    <cellStyle name="Normal 3 61 2 3" xfId="16284" xr:uid="{00000000-0005-0000-0000-000068590000}"/>
    <cellStyle name="Normal 3 61 2 3 2" xfId="30416" xr:uid="{00000000-0005-0000-0000-000069590000}"/>
    <cellStyle name="Normal 3 61 2 3 3" xfId="44311" xr:uid="{00000000-0005-0000-0000-00006A590000}"/>
    <cellStyle name="Normal 3 61 2 4" xfId="21097" xr:uid="{00000000-0005-0000-0000-00006B590000}"/>
    <cellStyle name="Normal 3 61 2 5" xfId="39729" xr:uid="{00000000-0005-0000-0000-00006C590000}"/>
    <cellStyle name="Normal 3 61 3" xfId="11552" xr:uid="{00000000-0005-0000-0000-00006D590000}"/>
    <cellStyle name="Normal 3 61 3 2" xfId="35037" xr:uid="{00000000-0005-0000-0000-00006E590000}"/>
    <cellStyle name="Normal 3 61 3 3" xfId="25718" xr:uid="{00000000-0005-0000-0000-00006F590000}"/>
    <cellStyle name="Normal 3 61 3 4" xfId="48980" xr:uid="{00000000-0005-0000-0000-000070590000}"/>
    <cellStyle name="Normal 3 61 4" xfId="16283" xr:uid="{00000000-0005-0000-0000-000071590000}"/>
    <cellStyle name="Normal 3 61 4 2" xfId="30415" xr:uid="{00000000-0005-0000-0000-000072590000}"/>
    <cellStyle name="Normal 3 61 4 3" xfId="44310" xr:uid="{00000000-0005-0000-0000-000073590000}"/>
    <cellStyle name="Normal 3 61 5" xfId="21096" xr:uid="{00000000-0005-0000-0000-000074590000}"/>
    <cellStyle name="Normal 3 61 6" xfId="39728" xr:uid="{00000000-0005-0000-0000-000075590000}"/>
    <cellStyle name="Normal 3 62" xfId="5718" xr:uid="{00000000-0005-0000-0000-000076590000}"/>
    <cellStyle name="Normal 3 62 2" xfId="5719" xr:uid="{00000000-0005-0000-0000-000077590000}"/>
    <cellStyle name="Normal 3 62 2 2" xfId="11555" xr:uid="{00000000-0005-0000-0000-000078590000}"/>
    <cellStyle name="Normal 3 62 2 2 2" xfId="35040" xr:uid="{00000000-0005-0000-0000-000079590000}"/>
    <cellStyle name="Normal 3 62 2 2 3" xfId="25721" xr:uid="{00000000-0005-0000-0000-00007A590000}"/>
    <cellStyle name="Normal 3 62 2 2 4" xfId="48983" xr:uid="{00000000-0005-0000-0000-00007B590000}"/>
    <cellStyle name="Normal 3 62 2 3" xfId="16286" xr:uid="{00000000-0005-0000-0000-00007C590000}"/>
    <cellStyle name="Normal 3 62 2 3 2" xfId="30418" xr:uid="{00000000-0005-0000-0000-00007D590000}"/>
    <cellStyle name="Normal 3 62 2 3 3" xfId="44313" xr:uid="{00000000-0005-0000-0000-00007E590000}"/>
    <cellStyle name="Normal 3 62 2 4" xfId="21099" xr:uid="{00000000-0005-0000-0000-00007F590000}"/>
    <cellStyle name="Normal 3 62 2 5" xfId="39731" xr:uid="{00000000-0005-0000-0000-000080590000}"/>
    <cellStyle name="Normal 3 62 3" xfId="11554" xr:uid="{00000000-0005-0000-0000-000081590000}"/>
    <cellStyle name="Normal 3 62 3 2" xfId="35039" xr:uid="{00000000-0005-0000-0000-000082590000}"/>
    <cellStyle name="Normal 3 62 3 3" xfId="25720" xr:uid="{00000000-0005-0000-0000-000083590000}"/>
    <cellStyle name="Normal 3 62 3 4" xfId="48982" xr:uid="{00000000-0005-0000-0000-000084590000}"/>
    <cellStyle name="Normal 3 62 4" xfId="16285" xr:uid="{00000000-0005-0000-0000-000085590000}"/>
    <cellStyle name="Normal 3 62 4 2" xfId="30417" xr:uid="{00000000-0005-0000-0000-000086590000}"/>
    <cellStyle name="Normal 3 62 4 3" xfId="44312" xr:uid="{00000000-0005-0000-0000-000087590000}"/>
    <cellStyle name="Normal 3 62 5" xfId="21098" xr:uid="{00000000-0005-0000-0000-000088590000}"/>
    <cellStyle name="Normal 3 62 6" xfId="39730" xr:uid="{00000000-0005-0000-0000-000089590000}"/>
    <cellStyle name="Normal 3 63" xfId="5720" xr:uid="{00000000-0005-0000-0000-00008A590000}"/>
    <cellStyle name="Normal 3 63 2" xfId="5721" xr:uid="{00000000-0005-0000-0000-00008B590000}"/>
    <cellStyle name="Normal 3 63 2 2" xfId="11557" xr:uid="{00000000-0005-0000-0000-00008C590000}"/>
    <cellStyle name="Normal 3 63 2 2 2" xfId="35042" xr:uid="{00000000-0005-0000-0000-00008D590000}"/>
    <cellStyle name="Normal 3 63 2 2 3" xfId="25723" xr:uid="{00000000-0005-0000-0000-00008E590000}"/>
    <cellStyle name="Normal 3 63 2 2 4" xfId="48985" xr:uid="{00000000-0005-0000-0000-00008F590000}"/>
    <cellStyle name="Normal 3 63 2 3" xfId="16288" xr:uid="{00000000-0005-0000-0000-000090590000}"/>
    <cellStyle name="Normal 3 63 2 3 2" xfId="30420" xr:uid="{00000000-0005-0000-0000-000091590000}"/>
    <cellStyle name="Normal 3 63 2 3 3" xfId="44315" xr:uid="{00000000-0005-0000-0000-000092590000}"/>
    <cellStyle name="Normal 3 63 2 4" xfId="21101" xr:uid="{00000000-0005-0000-0000-000093590000}"/>
    <cellStyle name="Normal 3 63 2 5" xfId="39733" xr:uid="{00000000-0005-0000-0000-000094590000}"/>
    <cellStyle name="Normal 3 63 3" xfId="11556" xr:uid="{00000000-0005-0000-0000-000095590000}"/>
    <cellStyle name="Normal 3 63 3 2" xfId="35041" xr:uid="{00000000-0005-0000-0000-000096590000}"/>
    <cellStyle name="Normal 3 63 3 3" xfId="25722" xr:uid="{00000000-0005-0000-0000-000097590000}"/>
    <cellStyle name="Normal 3 63 3 4" xfId="48984" xr:uid="{00000000-0005-0000-0000-000098590000}"/>
    <cellStyle name="Normal 3 63 4" xfId="16287" xr:uid="{00000000-0005-0000-0000-000099590000}"/>
    <cellStyle name="Normal 3 63 4 2" xfId="30419" xr:uid="{00000000-0005-0000-0000-00009A590000}"/>
    <cellStyle name="Normal 3 63 4 3" xfId="44314" xr:uid="{00000000-0005-0000-0000-00009B590000}"/>
    <cellStyle name="Normal 3 63 5" xfId="21100" xr:uid="{00000000-0005-0000-0000-00009C590000}"/>
    <cellStyle name="Normal 3 63 6" xfId="39732" xr:uid="{00000000-0005-0000-0000-00009D590000}"/>
    <cellStyle name="Normal 3 64" xfId="5722" xr:uid="{00000000-0005-0000-0000-00009E590000}"/>
    <cellStyle name="Normal 3 64 2" xfId="5723" xr:uid="{00000000-0005-0000-0000-00009F590000}"/>
    <cellStyle name="Normal 3 64 2 2" xfId="11559" xr:uid="{00000000-0005-0000-0000-0000A0590000}"/>
    <cellStyle name="Normal 3 64 2 2 2" xfId="35044" xr:uid="{00000000-0005-0000-0000-0000A1590000}"/>
    <cellStyle name="Normal 3 64 2 2 3" xfId="25725" xr:uid="{00000000-0005-0000-0000-0000A2590000}"/>
    <cellStyle name="Normal 3 64 2 2 4" xfId="48987" xr:uid="{00000000-0005-0000-0000-0000A3590000}"/>
    <cellStyle name="Normal 3 64 2 3" xfId="16290" xr:uid="{00000000-0005-0000-0000-0000A4590000}"/>
    <cellStyle name="Normal 3 64 2 3 2" xfId="30422" xr:uid="{00000000-0005-0000-0000-0000A5590000}"/>
    <cellStyle name="Normal 3 64 2 3 3" xfId="44317" xr:uid="{00000000-0005-0000-0000-0000A6590000}"/>
    <cellStyle name="Normal 3 64 2 4" xfId="21103" xr:uid="{00000000-0005-0000-0000-0000A7590000}"/>
    <cellStyle name="Normal 3 64 2 5" xfId="39735" xr:uid="{00000000-0005-0000-0000-0000A8590000}"/>
    <cellStyle name="Normal 3 64 3" xfId="11558" xr:uid="{00000000-0005-0000-0000-0000A9590000}"/>
    <cellStyle name="Normal 3 64 3 2" xfId="35043" xr:uid="{00000000-0005-0000-0000-0000AA590000}"/>
    <cellStyle name="Normal 3 64 3 3" xfId="25724" xr:uid="{00000000-0005-0000-0000-0000AB590000}"/>
    <cellStyle name="Normal 3 64 3 4" xfId="48986" xr:uid="{00000000-0005-0000-0000-0000AC590000}"/>
    <cellStyle name="Normal 3 64 4" xfId="16289" xr:uid="{00000000-0005-0000-0000-0000AD590000}"/>
    <cellStyle name="Normal 3 64 4 2" xfId="30421" xr:uid="{00000000-0005-0000-0000-0000AE590000}"/>
    <cellStyle name="Normal 3 64 4 3" xfId="44316" xr:uid="{00000000-0005-0000-0000-0000AF590000}"/>
    <cellStyle name="Normal 3 64 5" xfId="21102" xr:uid="{00000000-0005-0000-0000-0000B0590000}"/>
    <cellStyle name="Normal 3 64 6" xfId="39734" xr:uid="{00000000-0005-0000-0000-0000B1590000}"/>
    <cellStyle name="Normal 3 65" xfId="5724" xr:uid="{00000000-0005-0000-0000-0000B2590000}"/>
    <cellStyle name="Normal 3 65 2" xfId="5725" xr:uid="{00000000-0005-0000-0000-0000B3590000}"/>
    <cellStyle name="Normal 3 65 2 2" xfId="11561" xr:uid="{00000000-0005-0000-0000-0000B4590000}"/>
    <cellStyle name="Normal 3 65 2 2 2" xfId="35046" xr:uid="{00000000-0005-0000-0000-0000B5590000}"/>
    <cellStyle name="Normal 3 65 2 2 3" xfId="25727" xr:uid="{00000000-0005-0000-0000-0000B6590000}"/>
    <cellStyle name="Normal 3 65 2 2 4" xfId="48989" xr:uid="{00000000-0005-0000-0000-0000B7590000}"/>
    <cellStyle name="Normal 3 65 2 3" xfId="16292" xr:uid="{00000000-0005-0000-0000-0000B8590000}"/>
    <cellStyle name="Normal 3 65 2 3 2" xfId="30424" xr:uid="{00000000-0005-0000-0000-0000B9590000}"/>
    <cellStyle name="Normal 3 65 2 3 3" xfId="44319" xr:uid="{00000000-0005-0000-0000-0000BA590000}"/>
    <cellStyle name="Normal 3 65 2 4" xfId="21105" xr:uid="{00000000-0005-0000-0000-0000BB590000}"/>
    <cellStyle name="Normal 3 65 2 5" xfId="39737" xr:uid="{00000000-0005-0000-0000-0000BC590000}"/>
    <cellStyle name="Normal 3 65 3" xfId="11560" xr:uid="{00000000-0005-0000-0000-0000BD590000}"/>
    <cellStyle name="Normal 3 65 3 2" xfId="35045" xr:uid="{00000000-0005-0000-0000-0000BE590000}"/>
    <cellStyle name="Normal 3 65 3 3" xfId="25726" xr:uid="{00000000-0005-0000-0000-0000BF590000}"/>
    <cellStyle name="Normal 3 65 3 4" xfId="48988" xr:uid="{00000000-0005-0000-0000-0000C0590000}"/>
    <cellStyle name="Normal 3 65 4" xfId="16291" xr:uid="{00000000-0005-0000-0000-0000C1590000}"/>
    <cellStyle name="Normal 3 65 4 2" xfId="30423" xr:uid="{00000000-0005-0000-0000-0000C2590000}"/>
    <cellStyle name="Normal 3 65 4 3" xfId="44318" xr:uid="{00000000-0005-0000-0000-0000C3590000}"/>
    <cellStyle name="Normal 3 65 5" xfId="21104" xr:uid="{00000000-0005-0000-0000-0000C4590000}"/>
    <cellStyle name="Normal 3 65 6" xfId="39736" xr:uid="{00000000-0005-0000-0000-0000C5590000}"/>
    <cellStyle name="Normal 3 66" xfId="5726" xr:uid="{00000000-0005-0000-0000-0000C6590000}"/>
    <cellStyle name="Normal 3 66 2" xfId="5727" xr:uid="{00000000-0005-0000-0000-0000C7590000}"/>
    <cellStyle name="Normal 3 66 2 2" xfId="11563" xr:uid="{00000000-0005-0000-0000-0000C8590000}"/>
    <cellStyle name="Normal 3 66 2 2 2" xfId="35048" xr:uid="{00000000-0005-0000-0000-0000C9590000}"/>
    <cellStyle name="Normal 3 66 2 2 3" xfId="25729" xr:uid="{00000000-0005-0000-0000-0000CA590000}"/>
    <cellStyle name="Normal 3 66 2 2 4" xfId="48991" xr:uid="{00000000-0005-0000-0000-0000CB590000}"/>
    <cellStyle name="Normal 3 66 2 3" xfId="16294" xr:uid="{00000000-0005-0000-0000-0000CC590000}"/>
    <cellStyle name="Normal 3 66 2 3 2" xfId="30426" xr:uid="{00000000-0005-0000-0000-0000CD590000}"/>
    <cellStyle name="Normal 3 66 2 3 3" xfId="44321" xr:uid="{00000000-0005-0000-0000-0000CE590000}"/>
    <cellStyle name="Normal 3 66 2 4" xfId="21107" xr:uid="{00000000-0005-0000-0000-0000CF590000}"/>
    <cellStyle name="Normal 3 66 2 5" xfId="39739" xr:uid="{00000000-0005-0000-0000-0000D0590000}"/>
    <cellStyle name="Normal 3 66 3" xfId="11562" xr:uid="{00000000-0005-0000-0000-0000D1590000}"/>
    <cellStyle name="Normal 3 66 3 2" xfId="35047" xr:uid="{00000000-0005-0000-0000-0000D2590000}"/>
    <cellStyle name="Normal 3 66 3 3" xfId="25728" xr:uid="{00000000-0005-0000-0000-0000D3590000}"/>
    <cellStyle name="Normal 3 66 3 4" xfId="48990" xr:uid="{00000000-0005-0000-0000-0000D4590000}"/>
    <cellStyle name="Normal 3 66 4" xfId="16293" xr:uid="{00000000-0005-0000-0000-0000D5590000}"/>
    <cellStyle name="Normal 3 66 4 2" xfId="30425" xr:uid="{00000000-0005-0000-0000-0000D6590000}"/>
    <cellStyle name="Normal 3 66 4 3" xfId="44320" xr:uid="{00000000-0005-0000-0000-0000D7590000}"/>
    <cellStyle name="Normal 3 66 5" xfId="21106" xr:uid="{00000000-0005-0000-0000-0000D8590000}"/>
    <cellStyle name="Normal 3 66 6" xfId="39738" xr:uid="{00000000-0005-0000-0000-0000D9590000}"/>
    <cellStyle name="Normal 3 67" xfId="5728" xr:uid="{00000000-0005-0000-0000-0000DA590000}"/>
    <cellStyle name="Normal 3 67 2" xfId="5729" xr:uid="{00000000-0005-0000-0000-0000DB590000}"/>
    <cellStyle name="Normal 3 67 2 2" xfId="11565" xr:uid="{00000000-0005-0000-0000-0000DC590000}"/>
    <cellStyle name="Normal 3 67 2 2 2" xfId="35050" xr:uid="{00000000-0005-0000-0000-0000DD590000}"/>
    <cellStyle name="Normal 3 67 2 2 3" xfId="25731" xr:uid="{00000000-0005-0000-0000-0000DE590000}"/>
    <cellStyle name="Normal 3 67 2 2 4" xfId="48993" xr:uid="{00000000-0005-0000-0000-0000DF590000}"/>
    <cellStyle name="Normal 3 67 2 3" xfId="16296" xr:uid="{00000000-0005-0000-0000-0000E0590000}"/>
    <cellStyle name="Normal 3 67 2 3 2" xfId="30428" xr:uid="{00000000-0005-0000-0000-0000E1590000}"/>
    <cellStyle name="Normal 3 67 2 3 3" xfId="44323" xr:uid="{00000000-0005-0000-0000-0000E2590000}"/>
    <cellStyle name="Normal 3 67 2 4" xfId="21109" xr:uid="{00000000-0005-0000-0000-0000E3590000}"/>
    <cellStyle name="Normal 3 67 2 5" xfId="39741" xr:uid="{00000000-0005-0000-0000-0000E4590000}"/>
    <cellStyle name="Normal 3 67 3" xfId="11564" xr:uid="{00000000-0005-0000-0000-0000E5590000}"/>
    <cellStyle name="Normal 3 67 3 2" xfId="35049" xr:uid="{00000000-0005-0000-0000-0000E6590000}"/>
    <cellStyle name="Normal 3 67 3 3" xfId="25730" xr:uid="{00000000-0005-0000-0000-0000E7590000}"/>
    <cellStyle name="Normal 3 67 3 4" xfId="48992" xr:uid="{00000000-0005-0000-0000-0000E8590000}"/>
    <cellStyle name="Normal 3 67 4" xfId="16295" xr:uid="{00000000-0005-0000-0000-0000E9590000}"/>
    <cellStyle name="Normal 3 67 4 2" xfId="30427" xr:uid="{00000000-0005-0000-0000-0000EA590000}"/>
    <cellStyle name="Normal 3 67 4 3" xfId="44322" xr:uid="{00000000-0005-0000-0000-0000EB590000}"/>
    <cellStyle name="Normal 3 67 5" xfId="21108" xr:uid="{00000000-0005-0000-0000-0000EC590000}"/>
    <cellStyle name="Normal 3 67 6" xfId="39740" xr:uid="{00000000-0005-0000-0000-0000ED590000}"/>
    <cellStyle name="Normal 3 68" xfId="5730" xr:uid="{00000000-0005-0000-0000-0000EE590000}"/>
    <cellStyle name="Normal 3 68 2" xfId="5731" xr:uid="{00000000-0005-0000-0000-0000EF590000}"/>
    <cellStyle name="Normal 3 68 2 2" xfId="11567" xr:uid="{00000000-0005-0000-0000-0000F0590000}"/>
    <cellStyle name="Normal 3 68 2 2 2" xfId="35052" xr:uid="{00000000-0005-0000-0000-0000F1590000}"/>
    <cellStyle name="Normal 3 68 2 2 3" xfId="25733" xr:uid="{00000000-0005-0000-0000-0000F2590000}"/>
    <cellStyle name="Normal 3 68 2 2 4" xfId="48995" xr:uid="{00000000-0005-0000-0000-0000F3590000}"/>
    <cellStyle name="Normal 3 68 2 3" xfId="16298" xr:uid="{00000000-0005-0000-0000-0000F4590000}"/>
    <cellStyle name="Normal 3 68 2 3 2" xfId="30430" xr:uid="{00000000-0005-0000-0000-0000F5590000}"/>
    <cellStyle name="Normal 3 68 2 3 3" xfId="44325" xr:uid="{00000000-0005-0000-0000-0000F6590000}"/>
    <cellStyle name="Normal 3 68 2 4" xfId="21111" xr:uid="{00000000-0005-0000-0000-0000F7590000}"/>
    <cellStyle name="Normal 3 68 2 5" xfId="39743" xr:uid="{00000000-0005-0000-0000-0000F8590000}"/>
    <cellStyle name="Normal 3 68 3" xfId="11566" xr:uid="{00000000-0005-0000-0000-0000F9590000}"/>
    <cellStyle name="Normal 3 68 3 2" xfId="35051" xr:uid="{00000000-0005-0000-0000-0000FA590000}"/>
    <cellStyle name="Normal 3 68 3 3" xfId="25732" xr:uid="{00000000-0005-0000-0000-0000FB590000}"/>
    <cellStyle name="Normal 3 68 3 4" xfId="48994" xr:uid="{00000000-0005-0000-0000-0000FC590000}"/>
    <cellStyle name="Normal 3 68 4" xfId="16297" xr:uid="{00000000-0005-0000-0000-0000FD590000}"/>
    <cellStyle name="Normal 3 68 4 2" xfId="30429" xr:uid="{00000000-0005-0000-0000-0000FE590000}"/>
    <cellStyle name="Normal 3 68 4 3" xfId="44324" xr:uid="{00000000-0005-0000-0000-0000FF590000}"/>
    <cellStyle name="Normal 3 68 5" xfId="21110" xr:uid="{00000000-0005-0000-0000-0000005A0000}"/>
    <cellStyle name="Normal 3 68 6" xfId="39742" xr:uid="{00000000-0005-0000-0000-0000015A0000}"/>
    <cellStyle name="Normal 3 69" xfId="5732" xr:uid="{00000000-0005-0000-0000-0000025A0000}"/>
    <cellStyle name="Normal 3 69 2" xfId="5733" xr:uid="{00000000-0005-0000-0000-0000035A0000}"/>
    <cellStyle name="Normal 3 69 2 2" xfId="11569" xr:uid="{00000000-0005-0000-0000-0000045A0000}"/>
    <cellStyle name="Normal 3 69 2 2 2" xfId="35054" xr:uid="{00000000-0005-0000-0000-0000055A0000}"/>
    <cellStyle name="Normal 3 69 2 2 3" xfId="25735" xr:uid="{00000000-0005-0000-0000-0000065A0000}"/>
    <cellStyle name="Normal 3 69 2 2 4" xfId="48997" xr:uid="{00000000-0005-0000-0000-0000075A0000}"/>
    <cellStyle name="Normal 3 69 2 3" xfId="16300" xr:uid="{00000000-0005-0000-0000-0000085A0000}"/>
    <cellStyle name="Normal 3 69 2 3 2" xfId="30432" xr:uid="{00000000-0005-0000-0000-0000095A0000}"/>
    <cellStyle name="Normal 3 69 2 3 3" xfId="44327" xr:uid="{00000000-0005-0000-0000-00000A5A0000}"/>
    <cellStyle name="Normal 3 69 2 4" xfId="21113" xr:uid="{00000000-0005-0000-0000-00000B5A0000}"/>
    <cellStyle name="Normal 3 69 2 5" xfId="39745" xr:uid="{00000000-0005-0000-0000-00000C5A0000}"/>
    <cellStyle name="Normal 3 69 3" xfId="11568" xr:uid="{00000000-0005-0000-0000-00000D5A0000}"/>
    <cellStyle name="Normal 3 69 3 2" xfId="35053" xr:uid="{00000000-0005-0000-0000-00000E5A0000}"/>
    <cellStyle name="Normal 3 69 3 3" xfId="25734" xr:uid="{00000000-0005-0000-0000-00000F5A0000}"/>
    <cellStyle name="Normal 3 69 3 4" xfId="48996" xr:uid="{00000000-0005-0000-0000-0000105A0000}"/>
    <cellStyle name="Normal 3 69 4" xfId="16299" xr:uid="{00000000-0005-0000-0000-0000115A0000}"/>
    <cellStyle name="Normal 3 69 4 2" xfId="30431" xr:uid="{00000000-0005-0000-0000-0000125A0000}"/>
    <cellStyle name="Normal 3 69 4 3" xfId="44326" xr:uid="{00000000-0005-0000-0000-0000135A0000}"/>
    <cellStyle name="Normal 3 69 5" xfId="21112" xr:uid="{00000000-0005-0000-0000-0000145A0000}"/>
    <cellStyle name="Normal 3 69 6" xfId="39744" xr:uid="{00000000-0005-0000-0000-0000155A0000}"/>
    <cellStyle name="Normal 3 7" xfId="5734" xr:uid="{00000000-0005-0000-0000-0000165A0000}"/>
    <cellStyle name="Normal 3 7 10" xfId="21114" xr:uid="{00000000-0005-0000-0000-0000175A0000}"/>
    <cellStyle name="Normal 3 7 11" xfId="39746" xr:uid="{00000000-0005-0000-0000-0000185A0000}"/>
    <cellStyle name="Normal 3 7 2" xfId="5735" xr:uid="{00000000-0005-0000-0000-0000195A0000}"/>
    <cellStyle name="Normal 3 7 2 2" xfId="5736" xr:uid="{00000000-0005-0000-0000-00001A5A0000}"/>
    <cellStyle name="Normal 3 7 2 2 2" xfId="11572" xr:uid="{00000000-0005-0000-0000-00001B5A0000}"/>
    <cellStyle name="Normal 3 7 2 2 2 2" xfId="35057" xr:uid="{00000000-0005-0000-0000-00001C5A0000}"/>
    <cellStyle name="Normal 3 7 2 2 2 3" xfId="25738" xr:uid="{00000000-0005-0000-0000-00001D5A0000}"/>
    <cellStyle name="Normal 3 7 2 2 2 4" xfId="49000" xr:uid="{00000000-0005-0000-0000-00001E5A0000}"/>
    <cellStyle name="Normal 3 7 2 2 3" xfId="16303" xr:uid="{00000000-0005-0000-0000-00001F5A0000}"/>
    <cellStyle name="Normal 3 7 2 2 3 2" xfId="30435" xr:uid="{00000000-0005-0000-0000-0000205A0000}"/>
    <cellStyle name="Normal 3 7 2 2 3 3" xfId="44330" xr:uid="{00000000-0005-0000-0000-0000215A0000}"/>
    <cellStyle name="Normal 3 7 2 2 4" xfId="21116" xr:uid="{00000000-0005-0000-0000-0000225A0000}"/>
    <cellStyle name="Normal 3 7 2 2 5" xfId="39748" xr:uid="{00000000-0005-0000-0000-0000235A0000}"/>
    <cellStyle name="Normal 3 7 2 3" xfId="11571" xr:uid="{00000000-0005-0000-0000-0000245A0000}"/>
    <cellStyle name="Normal 3 7 2 3 2" xfId="35056" xr:uid="{00000000-0005-0000-0000-0000255A0000}"/>
    <cellStyle name="Normal 3 7 2 3 3" xfId="25737" xr:uid="{00000000-0005-0000-0000-0000265A0000}"/>
    <cellStyle name="Normal 3 7 2 3 4" xfId="48999" xr:uid="{00000000-0005-0000-0000-0000275A0000}"/>
    <cellStyle name="Normal 3 7 2 4" xfId="16302" xr:uid="{00000000-0005-0000-0000-0000285A0000}"/>
    <cellStyle name="Normal 3 7 2 4 2" xfId="30434" xr:uid="{00000000-0005-0000-0000-0000295A0000}"/>
    <cellStyle name="Normal 3 7 2 4 3" xfId="44329" xr:uid="{00000000-0005-0000-0000-00002A5A0000}"/>
    <cellStyle name="Normal 3 7 2 5" xfId="21115" xr:uid="{00000000-0005-0000-0000-00002B5A0000}"/>
    <cellStyle name="Normal 3 7 2 6" xfId="39747" xr:uid="{00000000-0005-0000-0000-00002C5A0000}"/>
    <cellStyle name="Normal 3 7 3" xfId="5737" xr:uid="{00000000-0005-0000-0000-00002D5A0000}"/>
    <cellStyle name="Normal 3 7 3 2" xfId="5738" xr:uid="{00000000-0005-0000-0000-00002E5A0000}"/>
    <cellStyle name="Normal 3 7 3 2 2" xfId="11574" xr:uid="{00000000-0005-0000-0000-00002F5A0000}"/>
    <cellStyle name="Normal 3 7 3 2 2 2" xfId="35059" xr:uid="{00000000-0005-0000-0000-0000305A0000}"/>
    <cellStyle name="Normal 3 7 3 2 2 3" xfId="25740" xr:uid="{00000000-0005-0000-0000-0000315A0000}"/>
    <cellStyle name="Normal 3 7 3 2 2 4" xfId="49002" xr:uid="{00000000-0005-0000-0000-0000325A0000}"/>
    <cellStyle name="Normal 3 7 3 2 3" xfId="16305" xr:uid="{00000000-0005-0000-0000-0000335A0000}"/>
    <cellStyle name="Normal 3 7 3 2 3 2" xfId="30437" xr:uid="{00000000-0005-0000-0000-0000345A0000}"/>
    <cellStyle name="Normal 3 7 3 2 3 3" xfId="44332" xr:uid="{00000000-0005-0000-0000-0000355A0000}"/>
    <cellStyle name="Normal 3 7 3 2 4" xfId="21118" xr:uid="{00000000-0005-0000-0000-0000365A0000}"/>
    <cellStyle name="Normal 3 7 3 2 5" xfId="39750" xr:uid="{00000000-0005-0000-0000-0000375A0000}"/>
    <cellStyle name="Normal 3 7 3 3" xfId="11573" xr:uid="{00000000-0005-0000-0000-0000385A0000}"/>
    <cellStyle name="Normal 3 7 3 3 2" xfId="35058" xr:uid="{00000000-0005-0000-0000-0000395A0000}"/>
    <cellStyle name="Normal 3 7 3 3 3" xfId="25739" xr:uid="{00000000-0005-0000-0000-00003A5A0000}"/>
    <cellStyle name="Normal 3 7 3 3 4" xfId="49001" xr:uid="{00000000-0005-0000-0000-00003B5A0000}"/>
    <cellStyle name="Normal 3 7 3 4" xfId="16304" xr:uid="{00000000-0005-0000-0000-00003C5A0000}"/>
    <cellStyle name="Normal 3 7 3 4 2" xfId="30436" xr:uid="{00000000-0005-0000-0000-00003D5A0000}"/>
    <cellStyle name="Normal 3 7 3 4 3" xfId="44331" xr:uid="{00000000-0005-0000-0000-00003E5A0000}"/>
    <cellStyle name="Normal 3 7 3 5" xfId="21117" xr:uid="{00000000-0005-0000-0000-00003F5A0000}"/>
    <cellStyle name="Normal 3 7 3 6" xfId="39749" xr:uid="{00000000-0005-0000-0000-0000405A0000}"/>
    <cellStyle name="Normal 3 7 4" xfId="5739" xr:uid="{00000000-0005-0000-0000-0000415A0000}"/>
    <cellStyle name="Normal 3 7 4 2" xfId="5740" xr:uid="{00000000-0005-0000-0000-0000425A0000}"/>
    <cellStyle name="Normal 3 7 4 2 2" xfId="11576" xr:uid="{00000000-0005-0000-0000-0000435A0000}"/>
    <cellStyle name="Normal 3 7 4 2 2 2" xfId="35061" xr:uid="{00000000-0005-0000-0000-0000445A0000}"/>
    <cellStyle name="Normal 3 7 4 2 2 3" xfId="25742" xr:uid="{00000000-0005-0000-0000-0000455A0000}"/>
    <cellStyle name="Normal 3 7 4 2 2 4" xfId="49004" xr:uid="{00000000-0005-0000-0000-0000465A0000}"/>
    <cellStyle name="Normal 3 7 4 2 3" xfId="16307" xr:uid="{00000000-0005-0000-0000-0000475A0000}"/>
    <cellStyle name="Normal 3 7 4 2 3 2" xfId="30439" xr:uid="{00000000-0005-0000-0000-0000485A0000}"/>
    <cellStyle name="Normal 3 7 4 2 3 3" xfId="44334" xr:uid="{00000000-0005-0000-0000-0000495A0000}"/>
    <cellStyle name="Normal 3 7 4 2 4" xfId="21120" xr:uid="{00000000-0005-0000-0000-00004A5A0000}"/>
    <cellStyle name="Normal 3 7 4 2 5" xfId="39752" xr:uid="{00000000-0005-0000-0000-00004B5A0000}"/>
    <cellStyle name="Normal 3 7 4 3" xfId="11575" xr:uid="{00000000-0005-0000-0000-00004C5A0000}"/>
    <cellStyle name="Normal 3 7 4 3 2" xfId="35060" xr:uid="{00000000-0005-0000-0000-00004D5A0000}"/>
    <cellStyle name="Normal 3 7 4 3 3" xfId="25741" xr:uid="{00000000-0005-0000-0000-00004E5A0000}"/>
    <cellStyle name="Normal 3 7 4 3 4" xfId="49003" xr:uid="{00000000-0005-0000-0000-00004F5A0000}"/>
    <cellStyle name="Normal 3 7 4 4" xfId="16306" xr:uid="{00000000-0005-0000-0000-0000505A0000}"/>
    <cellStyle name="Normal 3 7 4 4 2" xfId="30438" xr:uid="{00000000-0005-0000-0000-0000515A0000}"/>
    <cellStyle name="Normal 3 7 4 4 3" xfId="44333" xr:uid="{00000000-0005-0000-0000-0000525A0000}"/>
    <cellStyle name="Normal 3 7 4 5" xfId="21119" xr:uid="{00000000-0005-0000-0000-0000535A0000}"/>
    <cellStyle name="Normal 3 7 4 6" xfId="39751" xr:uid="{00000000-0005-0000-0000-0000545A0000}"/>
    <cellStyle name="Normal 3 7 5" xfId="5741" xr:uid="{00000000-0005-0000-0000-0000555A0000}"/>
    <cellStyle name="Normal 3 7 5 2" xfId="5742" xr:uid="{00000000-0005-0000-0000-0000565A0000}"/>
    <cellStyle name="Normal 3 7 5 2 2" xfId="11578" xr:uid="{00000000-0005-0000-0000-0000575A0000}"/>
    <cellStyle name="Normal 3 7 5 2 2 2" xfId="35063" xr:uid="{00000000-0005-0000-0000-0000585A0000}"/>
    <cellStyle name="Normal 3 7 5 2 2 3" xfId="25744" xr:uid="{00000000-0005-0000-0000-0000595A0000}"/>
    <cellStyle name="Normal 3 7 5 2 2 4" xfId="49006" xr:uid="{00000000-0005-0000-0000-00005A5A0000}"/>
    <cellStyle name="Normal 3 7 5 2 3" xfId="16309" xr:uid="{00000000-0005-0000-0000-00005B5A0000}"/>
    <cellStyle name="Normal 3 7 5 2 3 2" xfId="30441" xr:uid="{00000000-0005-0000-0000-00005C5A0000}"/>
    <cellStyle name="Normal 3 7 5 2 3 3" xfId="44336" xr:uid="{00000000-0005-0000-0000-00005D5A0000}"/>
    <cellStyle name="Normal 3 7 5 2 4" xfId="21122" xr:uid="{00000000-0005-0000-0000-00005E5A0000}"/>
    <cellStyle name="Normal 3 7 5 2 5" xfId="39754" xr:uid="{00000000-0005-0000-0000-00005F5A0000}"/>
    <cellStyle name="Normal 3 7 5 3" xfId="11577" xr:uid="{00000000-0005-0000-0000-0000605A0000}"/>
    <cellStyle name="Normal 3 7 5 3 2" xfId="35062" xr:uid="{00000000-0005-0000-0000-0000615A0000}"/>
    <cellStyle name="Normal 3 7 5 3 3" xfId="25743" xr:uid="{00000000-0005-0000-0000-0000625A0000}"/>
    <cellStyle name="Normal 3 7 5 3 4" xfId="49005" xr:uid="{00000000-0005-0000-0000-0000635A0000}"/>
    <cellStyle name="Normal 3 7 5 4" xfId="16308" xr:uid="{00000000-0005-0000-0000-0000645A0000}"/>
    <cellStyle name="Normal 3 7 5 4 2" xfId="30440" xr:uid="{00000000-0005-0000-0000-0000655A0000}"/>
    <cellStyle name="Normal 3 7 5 4 3" xfId="44335" xr:uid="{00000000-0005-0000-0000-0000665A0000}"/>
    <cellStyle name="Normal 3 7 5 5" xfId="21121" xr:uid="{00000000-0005-0000-0000-0000675A0000}"/>
    <cellStyle name="Normal 3 7 5 6" xfId="39753" xr:uid="{00000000-0005-0000-0000-0000685A0000}"/>
    <cellStyle name="Normal 3 7 6" xfId="5743" xr:uid="{00000000-0005-0000-0000-0000695A0000}"/>
    <cellStyle name="Normal 3 7 6 2" xfId="5744" xr:uid="{00000000-0005-0000-0000-00006A5A0000}"/>
    <cellStyle name="Normal 3 7 6 2 2" xfId="11580" xr:uid="{00000000-0005-0000-0000-00006B5A0000}"/>
    <cellStyle name="Normal 3 7 6 2 2 2" xfId="35065" xr:uid="{00000000-0005-0000-0000-00006C5A0000}"/>
    <cellStyle name="Normal 3 7 6 2 2 3" xfId="25746" xr:uid="{00000000-0005-0000-0000-00006D5A0000}"/>
    <cellStyle name="Normal 3 7 6 2 2 4" xfId="49008" xr:uid="{00000000-0005-0000-0000-00006E5A0000}"/>
    <cellStyle name="Normal 3 7 6 2 3" xfId="16311" xr:uid="{00000000-0005-0000-0000-00006F5A0000}"/>
    <cellStyle name="Normal 3 7 6 2 3 2" xfId="30443" xr:uid="{00000000-0005-0000-0000-0000705A0000}"/>
    <cellStyle name="Normal 3 7 6 2 3 3" xfId="44338" xr:uid="{00000000-0005-0000-0000-0000715A0000}"/>
    <cellStyle name="Normal 3 7 6 2 4" xfId="21124" xr:uid="{00000000-0005-0000-0000-0000725A0000}"/>
    <cellStyle name="Normal 3 7 6 2 5" xfId="39756" xr:uid="{00000000-0005-0000-0000-0000735A0000}"/>
    <cellStyle name="Normal 3 7 6 3" xfId="11579" xr:uid="{00000000-0005-0000-0000-0000745A0000}"/>
    <cellStyle name="Normal 3 7 6 3 2" xfId="35064" xr:uid="{00000000-0005-0000-0000-0000755A0000}"/>
    <cellStyle name="Normal 3 7 6 3 3" xfId="25745" xr:uid="{00000000-0005-0000-0000-0000765A0000}"/>
    <cellStyle name="Normal 3 7 6 3 4" xfId="49007" xr:uid="{00000000-0005-0000-0000-0000775A0000}"/>
    <cellStyle name="Normal 3 7 6 4" xfId="16310" xr:uid="{00000000-0005-0000-0000-0000785A0000}"/>
    <cellStyle name="Normal 3 7 6 4 2" xfId="30442" xr:uid="{00000000-0005-0000-0000-0000795A0000}"/>
    <cellStyle name="Normal 3 7 6 4 3" xfId="44337" xr:uid="{00000000-0005-0000-0000-00007A5A0000}"/>
    <cellStyle name="Normal 3 7 6 5" xfId="21123" xr:uid="{00000000-0005-0000-0000-00007B5A0000}"/>
    <cellStyle name="Normal 3 7 6 6" xfId="39755" xr:uid="{00000000-0005-0000-0000-00007C5A0000}"/>
    <cellStyle name="Normal 3 7 7" xfId="5745" xr:uid="{00000000-0005-0000-0000-00007D5A0000}"/>
    <cellStyle name="Normal 3 7 7 2" xfId="11581" xr:uid="{00000000-0005-0000-0000-00007E5A0000}"/>
    <cellStyle name="Normal 3 7 7 2 2" xfId="35066" xr:uid="{00000000-0005-0000-0000-00007F5A0000}"/>
    <cellStyle name="Normal 3 7 7 2 3" xfId="25747" xr:uid="{00000000-0005-0000-0000-0000805A0000}"/>
    <cellStyle name="Normal 3 7 7 2 4" xfId="49009" xr:uid="{00000000-0005-0000-0000-0000815A0000}"/>
    <cellStyle name="Normal 3 7 7 3" xfId="16312" xr:uid="{00000000-0005-0000-0000-0000825A0000}"/>
    <cellStyle name="Normal 3 7 7 3 2" xfId="30444" xr:uid="{00000000-0005-0000-0000-0000835A0000}"/>
    <cellStyle name="Normal 3 7 7 3 3" xfId="44339" xr:uid="{00000000-0005-0000-0000-0000845A0000}"/>
    <cellStyle name="Normal 3 7 7 4" xfId="21125" xr:uid="{00000000-0005-0000-0000-0000855A0000}"/>
    <cellStyle name="Normal 3 7 7 5" xfId="39757" xr:uid="{00000000-0005-0000-0000-0000865A0000}"/>
    <cellStyle name="Normal 3 7 8" xfId="11570" xr:uid="{00000000-0005-0000-0000-0000875A0000}"/>
    <cellStyle name="Normal 3 7 8 2" xfId="35055" xr:uid="{00000000-0005-0000-0000-0000885A0000}"/>
    <cellStyle name="Normal 3 7 8 3" xfId="25736" xr:uid="{00000000-0005-0000-0000-0000895A0000}"/>
    <cellStyle name="Normal 3 7 8 4" xfId="48998" xr:uid="{00000000-0005-0000-0000-00008A5A0000}"/>
    <cellStyle name="Normal 3 7 9" xfId="16301" xr:uid="{00000000-0005-0000-0000-00008B5A0000}"/>
    <cellStyle name="Normal 3 7 9 2" xfId="30433" xr:uid="{00000000-0005-0000-0000-00008C5A0000}"/>
    <cellStyle name="Normal 3 7 9 3" xfId="44328" xr:uid="{00000000-0005-0000-0000-00008D5A0000}"/>
    <cellStyle name="Normal 3 70" xfId="5746" xr:uid="{00000000-0005-0000-0000-00008E5A0000}"/>
    <cellStyle name="Normal 3 70 2" xfId="5747" xr:uid="{00000000-0005-0000-0000-00008F5A0000}"/>
    <cellStyle name="Normal 3 70 2 2" xfId="11583" xr:uid="{00000000-0005-0000-0000-0000905A0000}"/>
    <cellStyle name="Normal 3 70 2 2 2" xfId="35068" xr:uid="{00000000-0005-0000-0000-0000915A0000}"/>
    <cellStyle name="Normal 3 70 2 2 3" xfId="25749" xr:uid="{00000000-0005-0000-0000-0000925A0000}"/>
    <cellStyle name="Normal 3 70 2 2 4" xfId="49011" xr:uid="{00000000-0005-0000-0000-0000935A0000}"/>
    <cellStyle name="Normal 3 70 2 3" xfId="16314" xr:uid="{00000000-0005-0000-0000-0000945A0000}"/>
    <cellStyle name="Normal 3 70 2 3 2" xfId="30446" xr:uid="{00000000-0005-0000-0000-0000955A0000}"/>
    <cellStyle name="Normal 3 70 2 3 3" xfId="44341" xr:uid="{00000000-0005-0000-0000-0000965A0000}"/>
    <cellStyle name="Normal 3 70 2 4" xfId="21127" xr:uid="{00000000-0005-0000-0000-0000975A0000}"/>
    <cellStyle name="Normal 3 70 2 5" xfId="39759" xr:uid="{00000000-0005-0000-0000-0000985A0000}"/>
    <cellStyle name="Normal 3 70 3" xfId="11582" xr:uid="{00000000-0005-0000-0000-0000995A0000}"/>
    <cellStyle name="Normal 3 70 3 2" xfId="35067" xr:uid="{00000000-0005-0000-0000-00009A5A0000}"/>
    <cellStyle name="Normal 3 70 3 3" xfId="25748" xr:uid="{00000000-0005-0000-0000-00009B5A0000}"/>
    <cellStyle name="Normal 3 70 3 4" xfId="49010" xr:uid="{00000000-0005-0000-0000-00009C5A0000}"/>
    <cellStyle name="Normal 3 70 4" xfId="16313" xr:uid="{00000000-0005-0000-0000-00009D5A0000}"/>
    <cellStyle name="Normal 3 70 4 2" xfId="30445" xr:uid="{00000000-0005-0000-0000-00009E5A0000}"/>
    <cellStyle name="Normal 3 70 4 3" xfId="44340" xr:uid="{00000000-0005-0000-0000-00009F5A0000}"/>
    <cellStyle name="Normal 3 70 5" xfId="21126" xr:uid="{00000000-0005-0000-0000-0000A05A0000}"/>
    <cellStyle name="Normal 3 70 6" xfId="39758" xr:uid="{00000000-0005-0000-0000-0000A15A0000}"/>
    <cellStyle name="Normal 3 71" xfId="5748" xr:uid="{00000000-0005-0000-0000-0000A25A0000}"/>
    <cellStyle name="Normal 3 71 2" xfId="5749" xr:uid="{00000000-0005-0000-0000-0000A35A0000}"/>
    <cellStyle name="Normal 3 71 2 2" xfId="11585" xr:uid="{00000000-0005-0000-0000-0000A45A0000}"/>
    <cellStyle name="Normal 3 71 2 2 2" xfId="35070" xr:uid="{00000000-0005-0000-0000-0000A55A0000}"/>
    <cellStyle name="Normal 3 71 2 2 3" xfId="25751" xr:uid="{00000000-0005-0000-0000-0000A65A0000}"/>
    <cellStyle name="Normal 3 71 2 2 4" xfId="49013" xr:uid="{00000000-0005-0000-0000-0000A75A0000}"/>
    <cellStyle name="Normal 3 71 2 3" xfId="16316" xr:uid="{00000000-0005-0000-0000-0000A85A0000}"/>
    <cellStyle name="Normal 3 71 2 3 2" xfId="30448" xr:uid="{00000000-0005-0000-0000-0000A95A0000}"/>
    <cellStyle name="Normal 3 71 2 3 3" xfId="44343" xr:uid="{00000000-0005-0000-0000-0000AA5A0000}"/>
    <cellStyle name="Normal 3 71 2 4" xfId="21129" xr:uid="{00000000-0005-0000-0000-0000AB5A0000}"/>
    <cellStyle name="Normal 3 71 2 5" xfId="39761" xr:uid="{00000000-0005-0000-0000-0000AC5A0000}"/>
    <cellStyle name="Normal 3 71 3" xfId="11584" xr:uid="{00000000-0005-0000-0000-0000AD5A0000}"/>
    <cellStyle name="Normal 3 71 3 2" xfId="35069" xr:uid="{00000000-0005-0000-0000-0000AE5A0000}"/>
    <cellStyle name="Normal 3 71 3 3" xfId="25750" xr:uid="{00000000-0005-0000-0000-0000AF5A0000}"/>
    <cellStyle name="Normal 3 71 3 4" xfId="49012" xr:uid="{00000000-0005-0000-0000-0000B05A0000}"/>
    <cellStyle name="Normal 3 71 4" xfId="16315" xr:uid="{00000000-0005-0000-0000-0000B15A0000}"/>
    <cellStyle name="Normal 3 71 4 2" xfId="30447" xr:uid="{00000000-0005-0000-0000-0000B25A0000}"/>
    <cellStyle name="Normal 3 71 4 3" xfId="44342" xr:uid="{00000000-0005-0000-0000-0000B35A0000}"/>
    <cellStyle name="Normal 3 71 5" xfId="21128" xr:uid="{00000000-0005-0000-0000-0000B45A0000}"/>
    <cellStyle name="Normal 3 71 6" xfId="39760" xr:uid="{00000000-0005-0000-0000-0000B55A0000}"/>
    <cellStyle name="Normal 3 72" xfId="5750" xr:uid="{00000000-0005-0000-0000-0000B65A0000}"/>
    <cellStyle name="Normal 3 72 2" xfId="5751" xr:uid="{00000000-0005-0000-0000-0000B75A0000}"/>
    <cellStyle name="Normal 3 72 2 2" xfId="11587" xr:uid="{00000000-0005-0000-0000-0000B85A0000}"/>
    <cellStyle name="Normal 3 72 2 2 2" xfId="35072" xr:uid="{00000000-0005-0000-0000-0000B95A0000}"/>
    <cellStyle name="Normal 3 72 2 2 3" xfId="25753" xr:uid="{00000000-0005-0000-0000-0000BA5A0000}"/>
    <cellStyle name="Normal 3 72 2 2 4" xfId="49015" xr:uid="{00000000-0005-0000-0000-0000BB5A0000}"/>
    <cellStyle name="Normal 3 72 2 3" xfId="16318" xr:uid="{00000000-0005-0000-0000-0000BC5A0000}"/>
    <cellStyle name="Normal 3 72 2 3 2" xfId="30450" xr:uid="{00000000-0005-0000-0000-0000BD5A0000}"/>
    <cellStyle name="Normal 3 72 2 3 3" xfId="44345" xr:uid="{00000000-0005-0000-0000-0000BE5A0000}"/>
    <cellStyle name="Normal 3 72 2 4" xfId="21131" xr:uid="{00000000-0005-0000-0000-0000BF5A0000}"/>
    <cellStyle name="Normal 3 72 2 5" xfId="39763" xr:uid="{00000000-0005-0000-0000-0000C05A0000}"/>
    <cellStyle name="Normal 3 72 3" xfId="11586" xr:uid="{00000000-0005-0000-0000-0000C15A0000}"/>
    <cellStyle name="Normal 3 72 3 2" xfId="35071" xr:uid="{00000000-0005-0000-0000-0000C25A0000}"/>
    <cellStyle name="Normal 3 72 3 3" xfId="25752" xr:uid="{00000000-0005-0000-0000-0000C35A0000}"/>
    <cellStyle name="Normal 3 72 3 4" xfId="49014" xr:uid="{00000000-0005-0000-0000-0000C45A0000}"/>
    <cellStyle name="Normal 3 72 4" xfId="16317" xr:uid="{00000000-0005-0000-0000-0000C55A0000}"/>
    <cellStyle name="Normal 3 72 4 2" xfId="30449" xr:uid="{00000000-0005-0000-0000-0000C65A0000}"/>
    <cellStyle name="Normal 3 72 4 3" xfId="44344" xr:uid="{00000000-0005-0000-0000-0000C75A0000}"/>
    <cellStyle name="Normal 3 72 5" xfId="21130" xr:uid="{00000000-0005-0000-0000-0000C85A0000}"/>
    <cellStyle name="Normal 3 72 6" xfId="39762" xr:uid="{00000000-0005-0000-0000-0000C95A0000}"/>
    <cellStyle name="Normal 3 73" xfId="5752" xr:uid="{00000000-0005-0000-0000-0000CA5A0000}"/>
    <cellStyle name="Normal 3 73 2" xfId="5753" xr:uid="{00000000-0005-0000-0000-0000CB5A0000}"/>
    <cellStyle name="Normal 3 73 2 2" xfId="11589" xr:uid="{00000000-0005-0000-0000-0000CC5A0000}"/>
    <cellStyle name="Normal 3 73 2 2 2" xfId="35074" xr:uid="{00000000-0005-0000-0000-0000CD5A0000}"/>
    <cellStyle name="Normal 3 73 2 2 3" xfId="25755" xr:uid="{00000000-0005-0000-0000-0000CE5A0000}"/>
    <cellStyle name="Normal 3 73 2 2 4" xfId="49017" xr:uid="{00000000-0005-0000-0000-0000CF5A0000}"/>
    <cellStyle name="Normal 3 73 2 3" xfId="16320" xr:uid="{00000000-0005-0000-0000-0000D05A0000}"/>
    <cellStyle name="Normal 3 73 2 3 2" xfId="30452" xr:uid="{00000000-0005-0000-0000-0000D15A0000}"/>
    <cellStyle name="Normal 3 73 2 3 3" xfId="44347" xr:uid="{00000000-0005-0000-0000-0000D25A0000}"/>
    <cellStyle name="Normal 3 73 2 4" xfId="21133" xr:uid="{00000000-0005-0000-0000-0000D35A0000}"/>
    <cellStyle name="Normal 3 73 2 5" xfId="39765" xr:uid="{00000000-0005-0000-0000-0000D45A0000}"/>
    <cellStyle name="Normal 3 73 3" xfId="11588" xr:uid="{00000000-0005-0000-0000-0000D55A0000}"/>
    <cellStyle name="Normal 3 73 3 2" xfId="35073" xr:uid="{00000000-0005-0000-0000-0000D65A0000}"/>
    <cellStyle name="Normal 3 73 3 3" xfId="25754" xr:uid="{00000000-0005-0000-0000-0000D75A0000}"/>
    <cellStyle name="Normal 3 73 3 4" xfId="49016" xr:uid="{00000000-0005-0000-0000-0000D85A0000}"/>
    <cellStyle name="Normal 3 73 4" xfId="16319" xr:uid="{00000000-0005-0000-0000-0000D95A0000}"/>
    <cellStyle name="Normal 3 73 4 2" xfId="30451" xr:uid="{00000000-0005-0000-0000-0000DA5A0000}"/>
    <cellStyle name="Normal 3 73 4 3" xfId="44346" xr:uid="{00000000-0005-0000-0000-0000DB5A0000}"/>
    <cellStyle name="Normal 3 73 5" xfId="21132" xr:uid="{00000000-0005-0000-0000-0000DC5A0000}"/>
    <cellStyle name="Normal 3 73 6" xfId="39764" xr:uid="{00000000-0005-0000-0000-0000DD5A0000}"/>
    <cellStyle name="Normal 3 74" xfId="5754" xr:uid="{00000000-0005-0000-0000-0000DE5A0000}"/>
    <cellStyle name="Normal 3 74 2" xfId="5755" xr:uid="{00000000-0005-0000-0000-0000DF5A0000}"/>
    <cellStyle name="Normal 3 74 2 2" xfId="11591" xr:uid="{00000000-0005-0000-0000-0000E05A0000}"/>
    <cellStyle name="Normal 3 74 2 2 2" xfId="35076" xr:uid="{00000000-0005-0000-0000-0000E15A0000}"/>
    <cellStyle name="Normal 3 74 2 2 3" xfId="25757" xr:uid="{00000000-0005-0000-0000-0000E25A0000}"/>
    <cellStyle name="Normal 3 74 2 2 4" xfId="49019" xr:uid="{00000000-0005-0000-0000-0000E35A0000}"/>
    <cellStyle name="Normal 3 74 2 3" xfId="16322" xr:uid="{00000000-0005-0000-0000-0000E45A0000}"/>
    <cellStyle name="Normal 3 74 2 3 2" xfId="30454" xr:uid="{00000000-0005-0000-0000-0000E55A0000}"/>
    <cellStyle name="Normal 3 74 2 3 3" xfId="44349" xr:uid="{00000000-0005-0000-0000-0000E65A0000}"/>
    <cellStyle name="Normal 3 74 2 4" xfId="21135" xr:uid="{00000000-0005-0000-0000-0000E75A0000}"/>
    <cellStyle name="Normal 3 74 2 5" xfId="39767" xr:uid="{00000000-0005-0000-0000-0000E85A0000}"/>
    <cellStyle name="Normal 3 74 3" xfId="11590" xr:uid="{00000000-0005-0000-0000-0000E95A0000}"/>
    <cellStyle name="Normal 3 74 3 2" xfId="35075" xr:uid="{00000000-0005-0000-0000-0000EA5A0000}"/>
    <cellStyle name="Normal 3 74 3 3" xfId="25756" xr:uid="{00000000-0005-0000-0000-0000EB5A0000}"/>
    <cellStyle name="Normal 3 74 3 4" xfId="49018" xr:uid="{00000000-0005-0000-0000-0000EC5A0000}"/>
    <cellStyle name="Normal 3 74 4" xfId="16321" xr:uid="{00000000-0005-0000-0000-0000ED5A0000}"/>
    <cellStyle name="Normal 3 74 4 2" xfId="30453" xr:uid="{00000000-0005-0000-0000-0000EE5A0000}"/>
    <cellStyle name="Normal 3 74 4 3" xfId="44348" xr:uid="{00000000-0005-0000-0000-0000EF5A0000}"/>
    <cellStyle name="Normal 3 74 5" xfId="21134" xr:uid="{00000000-0005-0000-0000-0000F05A0000}"/>
    <cellStyle name="Normal 3 74 6" xfId="39766" xr:uid="{00000000-0005-0000-0000-0000F15A0000}"/>
    <cellStyle name="Normal 3 75" xfId="5756" xr:uid="{00000000-0005-0000-0000-0000F25A0000}"/>
    <cellStyle name="Normal 3 75 2" xfId="5757" xr:uid="{00000000-0005-0000-0000-0000F35A0000}"/>
    <cellStyle name="Normal 3 75 2 2" xfId="11593" xr:uid="{00000000-0005-0000-0000-0000F45A0000}"/>
    <cellStyle name="Normal 3 75 2 2 2" xfId="35078" xr:uid="{00000000-0005-0000-0000-0000F55A0000}"/>
    <cellStyle name="Normal 3 75 2 2 3" xfId="25759" xr:uid="{00000000-0005-0000-0000-0000F65A0000}"/>
    <cellStyle name="Normal 3 75 2 2 4" xfId="49021" xr:uid="{00000000-0005-0000-0000-0000F75A0000}"/>
    <cellStyle name="Normal 3 75 2 3" xfId="16324" xr:uid="{00000000-0005-0000-0000-0000F85A0000}"/>
    <cellStyle name="Normal 3 75 2 3 2" xfId="30456" xr:uid="{00000000-0005-0000-0000-0000F95A0000}"/>
    <cellStyle name="Normal 3 75 2 3 3" xfId="44351" xr:uid="{00000000-0005-0000-0000-0000FA5A0000}"/>
    <cellStyle name="Normal 3 75 2 4" xfId="21137" xr:uid="{00000000-0005-0000-0000-0000FB5A0000}"/>
    <cellStyle name="Normal 3 75 2 5" xfId="39769" xr:uid="{00000000-0005-0000-0000-0000FC5A0000}"/>
    <cellStyle name="Normal 3 75 3" xfId="11592" xr:uid="{00000000-0005-0000-0000-0000FD5A0000}"/>
    <cellStyle name="Normal 3 75 3 2" xfId="35077" xr:uid="{00000000-0005-0000-0000-0000FE5A0000}"/>
    <cellStyle name="Normal 3 75 3 3" xfId="25758" xr:uid="{00000000-0005-0000-0000-0000FF5A0000}"/>
    <cellStyle name="Normal 3 75 3 4" xfId="49020" xr:uid="{00000000-0005-0000-0000-0000005B0000}"/>
    <cellStyle name="Normal 3 75 4" xfId="16323" xr:uid="{00000000-0005-0000-0000-0000015B0000}"/>
    <cellStyle name="Normal 3 75 4 2" xfId="30455" xr:uid="{00000000-0005-0000-0000-0000025B0000}"/>
    <cellStyle name="Normal 3 75 4 3" xfId="44350" xr:uid="{00000000-0005-0000-0000-0000035B0000}"/>
    <cellStyle name="Normal 3 75 5" xfId="21136" xr:uid="{00000000-0005-0000-0000-0000045B0000}"/>
    <cellStyle name="Normal 3 75 6" xfId="39768" xr:uid="{00000000-0005-0000-0000-0000055B0000}"/>
    <cellStyle name="Normal 3 76" xfId="5758" xr:uid="{00000000-0005-0000-0000-0000065B0000}"/>
    <cellStyle name="Normal 3 76 2" xfId="11594" xr:uid="{00000000-0005-0000-0000-0000075B0000}"/>
    <cellStyle name="Normal 3 76 2 2" xfId="35079" xr:uid="{00000000-0005-0000-0000-0000085B0000}"/>
    <cellStyle name="Normal 3 76 2 3" xfId="25760" xr:uid="{00000000-0005-0000-0000-0000095B0000}"/>
    <cellStyle name="Normal 3 76 2 4" xfId="49022" xr:uid="{00000000-0005-0000-0000-00000A5B0000}"/>
    <cellStyle name="Normal 3 76 3" xfId="16325" xr:uid="{00000000-0005-0000-0000-00000B5B0000}"/>
    <cellStyle name="Normal 3 76 3 2" xfId="30457" xr:uid="{00000000-0005-0000-0000-00000C5B0000}"/>
    <cellStyle name="Normal 3 76 3 3" xfId="44352" xr:uid="{00000000-0005-0000-0000-00000D5B0000}"/>
    <cellStyle name="Normal 3 76 4" xfId="21138" xr:uid="{00000000-0005-0000-0000-00000E5B0000}"/>
    <cellStyle name="Normal 3 76 5" xfId="39770" xr:uid="{00000000-0005-0000-0000-00000F5B0000}"/>
    <cellStyle name="Normal 3 77" xfId="5759" xr:uid="{00000000-0005-0000-0000-0000105B0000}"/>
    <cellStyle name="Normal 3 77 2" xfId="11595" xr:uid="{00000000-0005-0000-0000-0000115B0000}"/>
    <cellStyle name="Normal 3 77 2 2" xfId="35080" xr:uid="{00000000-0005-0000-0000-0000125B0000}"/>
    <cellStyle name="Normal 3 77 2 3" xfId="25761" xr:uid="{00000000-0005-0000-0000-0000135B0000}"/>
    <cellStyle name="Normal 3 77 2 4" xfId="49023" xr:uid="{00000000-0005-0000-0000-0000145B0000}"/>
    <cellStyle name="Normal 3 77 3" xfId="16326" xr:uid="{00000000-0005-0000-0000-0000155B0000}"/>
    <cellStyle name="Normal 3 77 3 2" xfId="30458" xr:uid="{00000000-0005-0000-0000-0000165B0000}"/>
    <cellStyle name="Normal 3 77 3 3" xfId="44353" xr:uid="{00000000-0005-0000-0000-0000175B0000}"/>
    <cellStyle name="Normal 3 77 4" xfId="21139" xr:uid="{00000000-0005-0000-0000-0000185B0000}"/>
    <cellStyle name="Normal 3 77 5" xfId="39771" xr:uid="{00000000-0005-0000-0000-0000195B0000}"/>
    <cellStyle name="Normal 3 78" xfId="5760" xr:uid="{00000000-0005-0000-0000-00001A5B0000}"/>
    <cellStyle name="Normal 3 78 2" xfId="11596" xr:uid="{00000000-0005-0000-0000-00001B5B0000}"/>
    <cellStyle name="Normal 3 78 2 2" xfId="35081" xr:uid="{00000000-0005-0000-0000-00001C5B0000}"/>
    <cellStyle name="Normal 3 78 2 3" xfId="25762" xr:uid="{00000000-0005-0000-0000-00001D5B0000}"/>
    <cellStyle name="Normal 3 78 2 4" xfId="49024" xr:uid="{00000000-0005-0000-0000-00001E5B0000}"/>
    <cellStyle name="Normal 3 78 3" xfId="16327" xr:uid="{00000000-0005-0000-0000-00001F5B0000}"/>
    <cellStyle name="Normal 3 78 3 2" xfId="30459" xr:uid="{00000000-0005-0000-0000-0000205B0000}"/>
    <cellStyle name="Normal 3 78 3 3" xfId="44354" xr:uid="{00000000-0005-0000-0000-0000215B0000}"/>
    <cellStyle name="Normal 3 78 4" xfId="21140" xr:uid="{00000000-0005-0000-0000-0000225B0000}"/>
    <cellStyle name="Normal 3 78 5" xfId="39772" xr:uid="{00000000-0005-0000-0000-0000235B0000}"/>
    <cellStyle name="Normal 3 79" xfId="5761" xr:uid="{00000000-0005-0000-0000-0000245B0000}"/>
    <cellStyle name="Normal 3 79 2" xfId="11597" xr:uid="{00000000-0005-0000-0000-0000255B0000}"/>
    <cellStyle name="Normal 3 79 2 2" xfId="35082" xr:uid="{00000000-0005-0000-0000-0000265B0000}"/>
    <cellStyle name="Normal 3 79 2 3" xfId="25763" xr:uid="{00000000-0005-0000-0000-0000275B0000}"/>
    <cellStyle name="Normal 3 79 2 4" xfId="49025" xr:uid="{00000000-0005-0000-0000-0000285B0000}"/>
    <cellStyle name="Normal 3 79 3" xfId="16328" xr:uid="{00000000-0005-0000-0000-0000295B0000}"/>
    <cellStyle name="Normal 3 79 3 2" xfId="30460" xr:uid="{00000000-0005-0000-0000-00002A5B0000}"/>
    <cellStyle name="Normal 3 79 3 3" xfId="44355" xr:uid="{00000000-0005-0000-0000-00002B5B0000}"/>
    <cellStyle name="Normal 3 79 4" xfId="21141" xr:uid="{00000000-0005-0000-0000-00002C5B0000}"/>
    <cellStyle name="Normal 3 79 5" xfId="39773" xr:uid="{00000000-0005-0000-0000-00002D5B0000}"/>
    <cellStyle name="Normal 3 8" xfId="5762" xr:uid="{00000000-0005-0000-0000-00002E5B0000}"/>
    <cellStyle name="Normal 3 8 10" xfId="21142" xr:uid="{00000000-0005-0000-0000-00002F5B0000}"/>
    <cellStyle name="Normal 3 8 11" xfId="39774" xr:uid="{00000000-0005-0000-0000-0000305B0000}"/>
    <cellStyle name="Normal 3 8 2" xfId="5763" xr:uid="{00000000-0005-0000-0000-0000315B0000}"/>
    <cellStyle name="Normal 3 8 2 2" xfId="5764" xr:uid="{00000000-0005-0000-0000-0000325B0000}"/>
    <cellStyle name="Normal 3 8 2 2 2" xfId="11600" xr:uid="{00000000-0005-0000-0000-0000335B0000}"/>
    <cellStyle name="Normal 3 8 2 2 2 2" xfId="35085" xr:uid="{00000000-0005-0000-0000-0000345B0000}"/>
    <cellStyle name="Normal 3 8 2 2 2 3" xfId="25766" xr:uid="{00000000-0005-0000-0000-0000355B0000}"/>
    <cellStyle name="Normal 3 8 2 2 2 4" xfId="49028" xr:uid="{00000000-0005-0000-0000-0000365B0000}"/>
    <cellStyle name="Normal 3 8 2 2 3" xfId="16331" xr:uid="{00000000-0005-0000-0000-0000375B0000}"/>
    <cellStyle name="Normal 3 8 2 2 3 2" xfId="30463" xr:uid="{00000000-0005-0000-0000-0000385B0000}"/>
    <cellStyle name="Normal 3 8 2 2 3 3" xfId="44358" xr:uid="{00000000-0005-0000-0000-0000395B0000}"/>
    <cellStyle name="Normal 3 8 2 2 4" xfId="21144" xr:uid="{00000000-0005-0000-0000-00003A5B0000}"/>
    <cellStyle name="Normal 3 8 2 2 5" xfId="39776" xr:uid="{00000000-0005-0000-0000-00003B5B0000}"/>
    <cellStyle name="Normal 3 8 2 3" xfId="11599" xr:uid="{00000000-0005-0000-0000-00003C5B0000}"/>
    <cellStyle name="Normal 3 8 2 3 2" xfId="35084" xr:uid="{00000000-0005-0000-0000-00003D5B0000}"/>
    <cellStyle name="Normal 3 8 2 3 3" xfId="25765" xr:uid="{00000000-0005-0000-0000-00003E5B0000}"/>
    <cellStyle name="Normal 3 8 2 3 4" xfId="49027" xr:uid="{00000000-0005-0000-0000-00003F5B0000}"/>
    <cellStyle name="Normal 3 8 2 4" xfId="16330" xr:uid="{00000000-0005-0000-0000-0000405B0000}"/>
    <cellStyle name="Normal 3 8 2 4 2" xfId="30462" xr:uid="{00000000-0005-0000-0000-0000415B0000}"/>
    <cellStyle name="Normal 3 8 2 4 3" xfId="44357" xr:uid="{00000000-0005-0000-0000-0000425B0000}"/>
    <cellStyle name="Normal 3 8 2 5" xfId="21143" xr:uid="{00000000-0005-0000-0000-0000435B0000}"/>
    <cellStyle name="Normal 3 8 2 6" xfId="39775" xr:uid="{00000000-0005-0000-0000-0000445B0000}"/>
    <cellStyle name="Normal 3 8 3" xfId="5765" xr:uid="{00000000-0005-0000-0000-0000455B0000}"/>
    <cellStyle name="Normal 3 8 3 2" xfId="5766" xr:uid="{00000000-0005-0000-0000-0000465B0000}"/>
    <cellStyle name="Normal 3 8 3 2 2" xfId="11602" xr:uid="{00000000-0005-0000-0000-0000475B0000}"/>
    <cellStyle name="Normal 3 8 3 2 2 2" xfId="35087" xr:uid="{00000000-0005-0000-0000-0000485B0000}"/>
    <cellStyle name="Normal 3 8 3 2 2 3" xfId="25768" xr:uid="{00000000-0005-0000-0000-0000495B0000}"/>
    <cellStyle name="Normal 3 8 3 2 2 4" xfId="49030" xr:uid="{00000000-0005-0000-0000-00004A5B0000}"/>
    <cellStyle name="Normal 3 8 3 2 3" xfId="16333" xr:uid="{00000000-0005-0000-0000-00004B5B0000}"/>
    <cellStyle name="Normal 3 8 3 2 3 2" xfId="30465" xr:uid="{00000000-0005-0000-0000-00004C5B0000}"/>
    <cellStyle name="Normal 3 8 3 2 3 3" xfId="44360" xr:uid="{00000000-0005-0000-0000-00004D5B0000}"/>
    <cellStyle name="Normal 3 8 3 2 4" xfId="21146" xr:uid="{00000000-0005-0000-0000-00004E5B0000}"/>
    <cellStyle name="Normal 3 8 3 2 5" xfId="39778" xr:uid="{00000000-0005-0000-0000-00004F5B0000}"/>
    <cellStyle name="Normal 3 8 3 3" xfId="11601" xr:uid="{00000000-0005-0000-0000-0000505B0000}"/>
    <cellStyle name="Normal 3 8 3 3 2" xfId="35086" xr:uid="{00000000-0005-0000-0000-0000515B0000}"/>
    <cellStyle name="Normal 3 8 3 3 3" xfId="25767" xr:uid="{00000000-0005-0000-0000-0000525B0000}"/>
    <cellStyle name="Normal 3 8 3 3 4" xfId="49029" xr:uid="{00000000-0005-0000-0000-0000535B0000}"/>
    <cellStyle name="Normal 3 8 3 4" xfId="16332" xr:uid="{00000000-0005-0000-0000-0000545B0000}"/>
    <cellStyle name="Normal 3 8 3 4 2" xfId="30464" xr:uid="{00000000-0005-0000-0000-0000555B0000}"/>
    <cellStyle name="Normal 3 8 3 4 3" xfId="44359" xr:uid="{00000000-0005-0000-0000-0000565B0000}"/>
    <cellStyle name="Normal 3 8 3 5" xfId="21145" xr:uid="{00000000-0005-0000-0000-0000575B0000}"/>
    <cellStyle name="Normal 3 8 3 6" xfId="39777" xr:uid="{00000000-0005-0000-0000-0000585B0000}"/>
    <cellStyle name="Normal 3 8 4" xfId="5767" xr:uid="{00000000-0005-0000-0000-0000595B0000}"/>
    <cellStyle name="Normal 3 8 4 2" xfId="5768" xr:uid="{00000000-0005-0000-0000-00005A5B0000}"/>
    <cellStyle name="Normal 3 8 4 2 2" xfId="11604" xr:uid="{00000000-0005-0000-0000-00005B5B0000}"/>
    <cellStyle name="Normal 3 8 4 2 2 2" xfId="35089" xr:uid="{00000000-0005-0000-0000-00005C5B0000}"/>
    <cellStyle name="Normal 3 8 4 2 2 3" xfId="25770" xr:uid="{00000000-0005-0000-0000-00005D5B0000}"/>
    <cellStyle name="Normal 3 8 4 2 2 4" xfId="49032" xr:uid="{00000000-0005-0000-0000-00005E5B0000}"/>
    <cellStyle name="Normal 3 8 4 2 3" xfId="16335" xr:uid="{00000000-0005-0000-0000-00005F5B0000}"/>
    <cellStyle name="Normal 3 8 4 2 3 2" xfId="30467" xr:uid="{00000000-0005-0000-0000-0000605B0000}"/>
    <cellStyle name="Normal 3 8 4 2 3 3" xfId="44362" xr:uid="{00000000-0005-0000-0000-0000615B0000}"/>
    <cellStyle name="Normal 3 8 4 2 4" xfId="21148" xr:uid="{00000000-0005-0000-0000-0000625B0000}"/>
    <cellStyle name="Normal 3 8 4 2 5" xfId="39780" xr:uid="{00000000-0005-0000-0000-0000635B0000}"/>
    <cellStyle name="Normal 3 8 4 3" xfId="11603" xr:uid="{00000000-0005-0000-0000-0000645B0000}"/>
    <cellStyle name="Normal 3 8 4 3 2" xfId="35088" xr:uid="{00000000-0005-0000-0000-0000655B0000}"/>
    <cellStyle name="Normal 3 8 4 3 3" xfId="25769" xr:uid="{00000000-0005-0000-0000-0000665B0000}"/>
    <cellStyle name="Normal 3 8 4 3 4" xfId="49031" xr:uid="{00000000-0005-0000-0000-0000675B0000}"/>
    <cellStyle name="Normal 3 8 4 4" xfId="16334" xr:uid="{00000000-0005-0000-0000-0000685B0000}"/>
    <cellStyle name="Normal 3 8 4 4 2" xfId="30466" xr:uid="{00000000-0005-0000-0000-0000695B0000}"/>
    <cellStyle name="Normal 3 8 4 4 3" xfId="44361" xr:uid="{00000000-0005-0000-0000-00006A5B0000}"/>
    <cellStyle name="Normal 3 8 4 5" xfId="21147" xr:uid="{00000000-0005-0000-0000-00006B5B0000}"/>
    <cellStyle name="Normal 3 8 4 6" xfId="39779" xr:uid="{00000000-0005-0000-0000-00006C5B0000}"/>
    <cellStyle name="Normal 3 8 5" xfId="5769" xr:uid="{00000000-0005-0000-0000-00006D5B0000}"/>
    <cellStyle name="Normal 3 8 5 2" xfId="5770" xr:uid="{00000000-0005-0000-0000-00006E5B0000}"/>
    <cellStyle name="Normal 3 8 5 2 2" xfId="11606" xr:uid="{00000000-0005-0000-0000-00006F5B0000}"/>
    <cellStyle name="Normal 3 8 5 2 2 2" xfId="35091" xr:uid="{00000000-0005-0000-0000-0000705B0000}"/>
    <cellStyle name="Normal 3 8 5 2 2 3" xfId="25772" xr:uid="{00000000-0005-0000-0000-0000715B0000}"/>
    <cellStyle name="Normal 3 8 5 2 2 4" xfId="49034" xr:uid="{00000000-0005-0000-0000-0000725B0000}"/>
    <cellStyle name="Normal 3 8 5 2 3" xfId="16337" xr:uid="{00000000-0005-0000-0000-0000735B0000}"/>
    <cellStyle name="Normal 3 8 5 2 3 2" xfId="30469" xr:uid="{00000000-0005-0000-0000-0000745B0000}"/>
    <cellStyle name="Normal 3 8 5 2 3 3" xfId="44364" xr:uid="{00000000-0005-0000-0000-0000755B0000}"/>
    <cellStyle name="Normal 3 8 5 2 4" xfId="21150" xr:uid="{00000000-0005-0000-0000-0000765B0000}"/>
    <cellStyle name="Normal 3 8 5 2 5" xfId="39782" xr:uid="{00000000-0005-0000-0000-0000775B0000}"/>
    <cellStyle name="Normal 3 8 5 3" xfId="11605" xr:uid="{00000000-0005-0000-0000-0000785B0000}"/>
    <cellStyle name="Normal 3 8 5 3 2" xfId="35090" xr:uid="{00000000-0005-0000-0000-0000795B0000}"/>
    <cellStyle name="Normal 3 8 5 3 3" xfId="25771" xr:uid="{00000000-0005-0000-0000-00007A5B0000}"/>
    <cellStyle name="Normal 3 8 5 3 4" xfId="49033" xr:uid="{00000000-0005-0000-0000-00007B5B0000}"/>
    <cellStyle name="Normal 3 8 5 4" xfId="16336" xr:uid="{00000000-0005-0000-0000-00007C5B0000}"/>
    <cellStyle name="Normal 3 8 5 4 2" xfId="30468" xr:uid="{00000000-0005-0000-0000-00007D5B0000}"/>
    <cellStyle name="Normal 3 8 5 4 3" xfId="44363" xr:uid="{00000000-0005-0000-0000-00007E5B0000}"/>
    <cellStyle name="Normal 3 8 5 5" xfId="21149" xr:uid="{00000000-0005-0000-0000-00007F5B0000}"/>
    <cellStyle name="Normal 3 8 5 6" xfId="39781" xr:uid="{00000000-0005-0000-0000-0000805B0000}"/>
    <cellStyle name="Normal 3 8 6" xfId="5771" xr:uid="{00000000-0005-0000-0000-0000815B0000}"/>
    <cellStyle name="Normal 3 8 6 2" xfId="5772" xr:uid="{00000000-0005-0000-0000-0000825B0000}"/>
    <cellStyle name="Normal 3 8 6 2 2" xfId="11608" xr:uid="{00000000-0005-0000-0000-0000835B0000}"/>
    <cellStyle name="Normal 3 8 6 2 2 2" xfId="35093" xr:uid="{00000000-0005-0000-0000-0000845B0000}"/>
    <cellStyle name="Normal 3 8 6 2 2 3" xfId="25774" xr:uid="{00000000-0005-0000-0000-0000855B0000}"/>
    <cellStyle name="Normal 3 8 6 2 2 4" xfId="49036" xr:uid="{00000000-0005-0000-0000-0000865B0000}"/>
    <cellStyle name="Normal 3 8 6 2 3" xfId="16339" xr:uid="{00000000-0005-0000-0000-0000875B0000}"/>
    <cellStyle name="Normal 3 8 6 2 3 2" xfId="30471" xr:uid="{00000000-0005-0000-0000-0000885B0000}"/>
    <cellStyle name="Normal 3 8 6 2 3 3" xfId="44366" xr:uid="{00000000-0005-0000-0000-0000895B0000}"/>
    <cellStyle name="Normal 3 8 6 2 4" xfId="21152" xr:uid="{00000000-0005-0000-0000-00008A5B0000}"/>
    <cellStyle name="Normal 3 8 6 2 5" xfId="39784" xr:uid="{00000000-0005-0000-0000-00008B5B0000}"/>
    <cellStyle name="Normal 3 8 6 3" xfId="11607" xr:uid="{00000000-0005-0000-0000-00008C5B0000}"/>
    <cellStyle name="Normal 3 8 6 3 2" xfId="35092" xr:uid="{00000000-0005-0000-0000-00008D5B0000}"/>
    <cellStyle name="Normal 3 8 6 3 3" xfId="25773" xr:uid="{00000000-0005-0000-0000-00008E5B0000}"/>
    <cellStyle name="Normal 3 8 6 3 4" xfId="49035" xr:uid="{00000000-0005-0000-0000-00008F5B0000}"/>
    <cellStyle name="Normal 3 8 6 4" xfId="16338" xr:uid="{00000000-0005-0000-0000-0000905B0000}"/>
    <cellStyle name="Normal 3 8 6 4 2" xfId="30470" xr:uid="{00000000-0005-0000-0000-0000915B0000}"/>
    <cellStyle name="Normal 3 8 6 4 3" xfId="44365" xr:uid="{00000000-0005-0000-0000-0000925B0000}"/>
    <cellStyle name="Normal 3 8 6 5" xfId="21151" xr:uid="{00000000-0005-0000-0000-0000935B0000}"/>
    <cellStyle name="Normal 3 8 6 6" xfId="39783" xr:uid="{00000000-0005-0000-0000-0000945B0000}"/>
    <cellStyle name="Normal 3 8 7" xfId="5773" xr:uid="{00000000-0005-0000-0000-0000955B0000}"/>
    <cellStyle name="Normal 3 8 7 2" xfId="11609" xr:uid="{00000000-0005-0000-0000-0000965B0000}"/>
    <cellStyle name="Normal 3 8 7 2 2" xfId="35094" xr:uid="{00000000-0005-0000-0000-0000975B0000}"/>
    <cellStyle name="Normal 3 8 7 2 3" xfId="25775" xr:uid="{00000000-0005-0000-0000-0000985B0000}"/>
    <cellStyle name="Normal 3 8 7 2 4" xfId="49037" xr:uid="{00000000-0005-0000-0000-0000995B0000}"/>
    <cellStyle name="Normal 3 8 7 3" xfId="16340" xr:uid="{00000000-0005-0000-0000-00009A5B0000}"/>
    <cellStyle name="Normal 3 8 7 3 2" xfId="30472" xr:uid="{00000000-0005-0000-0000-00009B5B0000}"/>
    <cellStyle name="Normal 3 8 7 3 3" xfId="44367" xr:uid="{00000000-0005-0000-0000-00009C5B0000}"/>
    <cellStyle name="Normal 3 8 7 4" xfId="21153" xr:uid="{00000000-0005-0000-0000-00009D5B0000}"/>
    <cellStyle name="Normal 3 8 7 5" xfId="39785" xr:uid="{00000000-0005-0000-0000-00009E5B0000}"/>
    <cellStyle name="Normal 3 8 8" xfId="11598" xr:uid="{00000000-0005-0000-0000-00009F5B0000}"/>
    <cellStyle name="Normal 3 8 8 2" xfId="35083" xr:uid="{00000000-0005-0000-0000-0000A05B0000}"/>
    <cellStyle name="Normal 3 8 8 3" xfId="25764" xr:uid="{00000000-0005-0000-0000-0000A15B0000}"/>
    <cellStyle name="Normal 3 8 8 4" xfId="49026" xr:uid="{00000000-0005-0000-0000-0000A25B0000}"/>
    <cellStyle name="Normal 3 8 9" xfId="16329" xr:uid="{00000000-0005-0000-0000-0000A35B0000}"/>
    <cellStyle name="Normal 3 8 9 2" xfId="30461" xr:uid="{00000000-0005-0000-0000-0000A45B0000}"/>
    <cellStyle name="Normal 3 8 9 3" xfId="44356" xr:uid="{00000000-0005-0000-0000-0000A55B0000}"/>
    <cellStyle name="Normal 3 80" xfId="416" xr:uid="{00000000-0005-0000-0000-0000A65B0000}"/>
    <cellStyle name="Normal 3 81" xfId="9483" xr:uid="{00000000-0005-0000-0000-0000A75B0000}"/>
    <cellStyle name="Normal 3 81 2" xfId="14152" xr:uid="{00000000-0005-0000-0000-0000A85B0000}"/>
    <cellStyle name="Normal 3 81 2 2" xfId="37630" xr:uid="{00000000-0005-0000-0000-0000A95B0000}"/>
    <cellStyle name="Normal 3 81 2 3" xfId="28316" xr:uid="{00000000-0005-0000-0000-0000AA5B0000}"/>
    <cellStyle name="Normal 3 81 2 4" xfId="51579" xr:uid="{00000000-0005-0000-0000-0000AB5B0000}"/>
    <cellStyle name="Normal 3 81 3" xfId="18864" xr:uid="{00000000-0005-0000-0000-0000AC5B0000}"/>
    <cellStyle name="Normal 3 81 3 2" xfId="32996" xr:uid="{00000000-0005-0000-0000-0000AD5B0000}"/>
    <cellStyle name="Normal 3 81 3 3" xfId="46898" xr:uid="{00000000-0005-0000-0000-0000AE5B0000}"/>
    <cellStyle name="Normal 3 81 4" xfId="23682" xr:uid="{00000000-0005-0000-0000-0000AF5B0000}"/>
    <cellStyle name="Normal 3 81 5" xfId="42269" xr:uid="{00000000-0005-0000-0000-0000B05B0000}"/>
    <cellStyle name="Normal 3 82" xfId="9523" xr:uid="{00000000-0005-0000-0000-0000B15B0000}"/>
    <cellStyle name="Normal 3 82 2" xfId="14189" xr:uid="{00000000-0005-0000-0000-0000B25B0000}"/>
    <cellStyle name="Normal 3 82 2 2" xfId="37664" xr:uid="{00000000-0005-0000-0000-0000B35B0000}"/>
    <cellStyle name="Normal 3 82 2 3" xfId="28349" xr:uid="{00000000-0005-0000-0000-0000B45B0000}"/>
    <cellStyle name="Normal 3 82 2 4" xfId="51616" xr:uid="{00000000-0005-0000-0000-0000B55B0000}"/>
    <cellStyle name="Normal 3 82 3" xfId="18897" xr:uid="{00000000-0005-0000-0000-0000B65B0000}"/>
    <cellStyle name="Normal 3 82 3 2" xfId="33030" xr:uid="{00000000-0005-0000-0000-0000B75B0000}"/>
    <cellStyle name="Normal 3 82 3 3" xfId="46936" xr:uid="{00000000-0005-0000-0000-0000B85B0000}"/>
    <cellStyle name="Normal 3 82 4" xfId="23717" xr:uid="{00000000-0005-0000-0000-0000B95B0000}"/>
    <cellStyle name="Normal 3 82 5" xfId="42302" xr:uid="{00000000-0005-0000-0000-0000BA5B0000}"/>
    <cellStyle name="Normal 3 83" xfId="9620" xr:uid="{00000000-0005-0000-0000-0000BB5B0000}"/>
    <cellStyle name="Normal 3 83 2" xfId="33115" xr:uid="{00000000-0005-0000-0000-0000BC5B0000}"/>
    <cellStyle name="Normal 3 83 3" xfId="23803" xr:uid="{00000000-0005-0000-0000-0000BD5B0000}"/>
    <cellStyle name="Normal 3 83 4" xfId="47032" xr:uid="{00000000-0005-0000-0000-0000BE5B0000}"/>
    <cellStyle name="Normal 3 84" xfId="14387" xr:uid="{00000000-0005-0000-0000-0000BF5B0000}"/>
    <cellStyle name="Normal 3 84 2" xfId="28519" xr:uid="{00000000-0005-0000-0000-0000C05B0000}"/>
    <cellStyle name="Normal 3 84 3" xfId="47056" xr:uid="{00000000-0005-0000-0000-0000C15B0000}"/>
    <cellStyle name="Normal 3 85" xfId="19200" xr:uid="{00000000-0005-0000-0000-0000C25B0000}"/>
    <cellStyle name="Normal 3 85 2" xfId="42390" xr:uid="{00000000-0005-0000-0000-0000C35B0000}"/>
    <cellStyle name="Normal 3 86" xfId="37835" xr:uid="{00000000-0005-0000-0000-0000C45B0000}"/>
    <cellStyle name="Normal 3 87" xfId="51673" xr:uid="{00000000-0005-0000-0000-0000C55B0000}"/>
    <cellStyle name="Normal 3 88" xfId="51696" xr:uid="{00000000-0005-0000-0000-0000C65B0000}"/>
    <cellStyle name="Normal 3 89" xfId="51717" xr:uid="{00000000-0005-0000-0000-0000C75B0000}"/>
    <cellStyle name="Normal 3 9" xfId="5774" xr:uid="{00000000-0005-0000-0000-0000C85B0000}"/>
    <cellStyle name="Normal 3 9 10" xfId="21154" xr:uid="{00000000-0005-0000-0000-0000C95B0000}"/>
    <cellStyle name="Normal 3 9 11" xfId="39786" xr:uid="{00000000-0005-0000-0000-0000CA5B0000}"/>
    <cellStyle name="Normal 3 9 2" xfId="5775" xr:uid="{00000000-0005-0000-0000-0000CB5B0000}"/>
    <cellStyle name="Normal 3 9 2 2" xfId="5776" xr:uid="{00000000-0005-0000-0000-0000CC5B0000}"/>
    <cellStyle name="Normal 3 9 2 2 2" xfId="11612" xr:uid="{00000000-0005-0000-0000-0000CD5B0000}"/>
    <cellStyle name="Normal 3 9 2 2 2 2" xfId="35097" xr:uid="{00000000-0005-0000-0000-0000CE5B0000}"/>
    <cellStyle name="Normal 3 9 2 2 2 3" xfId="25778" xr:uid="{00000000-0005-0000-0000-0000CF5B0000}"/>
    <cellStyle name="Normal 3 9 2 2 2 4" xfId="49040" xr:uid="{00000000-0005-0000-0000-0000D05B0000}"/>
    <cellStyle name="Normal 3 9 2 2 3" xfId="16343" xr:uid="{00000000-0005-0000-0000-0000D15B0000}"/>
    <cellStyle name="Normal 3 9 2 2 3 2" xfId="30475" xr:uid="{00000000-0005-0000-0000-0000D25B0000}"/>
    <cellStyle name="Normal 3 9 2 2 3 3" xfId="44370" xr:uid="{00000000-0005-0000-0000-0000D35B0000}"/>
    <cellStyle name="Normal 3 9 2 2 4" xfId="21156" xr:uid="{00000000-0005-0000-0000-0000D45B0000}"/>
    <cellStyle name="Normal 3 9 2 2 5" xfId="39788" xr:uid="{00000000-0005-0000-0000-0000D55B0000}"/>
    <cellStyle name="Normal 3 9 2 3" xfId="11611" xr:uid="{00000000-0005-0000-0000-0000D65B0000}"/>
    <cellStyle name="Normal 3 9 2 3 2" xfId="35096" xr:uid="{00000000-0005-0000-0000-0000D75B0000}"/>
    <cellStyle name="Normal 3 9 2 3 3" xfId="25777" xr:uid="{00000000-0005-0000-0000-0000D85B0000}"/>
    <cellStyle name="Normal 3 9 2 3 4" xfId="49039" xr:uid="{00000000-0005-0000-0000-0000D95B0000}"/>
    <cellStyle name="Normal 3 9 2 4" xfId="16342" xr:uid="{00000000-0005-0000-0000-0000DA5B0000}"/>
    <cellStyle name="Normal 3 9 2 4 2" xfId="30474" xr:uid="{00000000-0005-0000-0000-0000DB5B0000}"/>
    <cellStyle name="Normal 3 9 2 4 3" xfId="44369" xr:uid="{00000000-0005-0000-0000-0000DC5B0000}"/>
    <cellStyle name="Normal 3 9 2 5" xfId="21155" xr:uid="{00000000-0005-0000-0000-0000DD5B0000}"/>
    <cellStyle name="Normal 3 9 2 6" xfId="39787" xr:uid="{00000000-0005-0000-0000-0000DE5B0000}"/>
    <cellStyle name="Normal 3 9 3" xfId="5777" xr:uid="{00000000-0005-0000-0000-0000DF5B0000}"/>
    <cellStyle name="Normal 3 9 3 2" xfId="5778" xr:uid="{00000000-0005-0000-0000-0000E05B0000}"/>
    <cellStyle name="Normal 3 9 3 2 2" xfId="11614" xr:uid="{00000000-0005-0000-0000-0000E15B0000}"/>
    <cellStyle name="Normal 3 9 3 2 2 2" xfId="35099" xr:uid="{00000000-0005-0000-0000-0000E25B0000}"/>
    <cellStyle name="Normal 3 9 3 2 2 3" xfId="25780" xr:uid="{00000000-0005-0000-0000-0000E35B0000}"/>
    <cellStyle name="Normal 3 9 3 2 2 4" xfId="49042" xr:uid="{00000000-0005-0000-0000-0000E45B0000}"/>
    <cellStyle name="Normal 3 9 3 2 3" xfId="16345" xr:uid="{00000000-0005-0000-0000-0000E55B0000}"/>
    <cellStyle name="Normal 3 9 3 2 3 2" xfId="30477" xr:uid="{00000000-0005-0000-0000-0000E65B0000}"/>
    <cellStyle name="Normal 3 9 3 2 3 3" xfId="44372" xr:uid="{00000000-0005-0000-0000-0000E75B0000}"/>
    <cellStyle name="Normal 3 9 3 2 4" xfId="21158" xr:uid="{00000000-0005-0000-0000-0000E85B0000}"/>
    <cellStyle name="Normal 3 9 3 2 5" xfId="39790" xr:uid="{00000000-0005-0000-0000-0000E95B0000}"/>
    <cellStyle name="Normal 3 9 3 3" xfId="11613" xr:uid="{00000000-0005-0000-0000-0000EA5B0000}"/>
    <cellStyle name="Normal 3 9 3 3 2" xfId="35098" xr:uid="{00000000-0005-0000-0000-0000EB5B0000}"/>
    <cellStyle name="Normal 3 9 3 3 3" xfId="25779" xr:uid="{00000000-0005-0000-0000-0000EC5B0000}"/>
    <cellStyle name="Normal 3 9 3 3 4" xfId="49041" xr:uid="{00000000-0005-0000-0000-0000ED5B0000}"/>
    <cellStyle name="Normal 3 9 3 4" xfId="16344" xr:uid="{00000000-0005-0000-0000-0000EE5B0000}"/>
    <cellStyle name="Normal 3 9 3 4 2" xfId="30476" xr:uid="{00000000-0005-0000-0000-0000EF5B0000}"/>
    <cellStyle name="Normal 3 9 3 4 3" xfId="44371" xr:uid="{00000000-0005-0000-0000-0000F05B0000}"/>
    <cellStyle name="Normal 3 9 3 5" xfId="21157" xr:uid="{00000000-0005-0000-0000-0000F15B0000}"/>
    <cellStyle name="Normal 3 9 3 6" xfId="39789" xr:uid="{00000000-0005-0000-0000-0000F25B0000}"/>
    <cellStyle name="Normal 3 9 4" xfId="5779" xr:uid="{00000000-0005-0000-0000-0000F35B0000}"/>
    <cellStyle name="Normal 3 9 4 2" xfId="5780" xr:uid="{00000000-0005-0000-0000-0000F45B0000}"/>
    <cellStyle name="Normal 3 9 4 2 2" xfId="11616" xr:uid="{00000000-0005-0000-0000-0000F55B0000}"/>
    <cellStyle name="Normal 3 9 4 2 2 2" xfId="35101" xr:uid="{00000000-0005-0000-0000-0000F65B0000}"/>
    <cellStyle name="Normal 3 9 4 2 2 3" xfId="25782" xr:uid="{00000000-0005-0000-0000-0000F75B0000}"/>
    <cellStyle name="Normal 3 9 4 2 2 4" xfId="49044" xr:uid="{00000000-0005-0000-0000-0000F85B0000}"/>
    <cellStyle name="Normal 3 9 4 2 3" xfId="16347" xr:uid="{00000000-0005-0000-0000-0000F95B0000}"/>
    <cellStyle name="Normal 3 9 4 2 3 2" xfId="30479" xr:uid="{00000000-0005-0000-0000-0000FA5B0000}"/>
    <cellStyle name="Normal 3 9 4 2 3 3" xfId="44374" xr:uid="{00000000-0005-0000-0000-0000FB5B0000}"/>
    <cellStyle name="Normal 3 9 4 2 4" xfId="21160" xr:uid="{00000000-0005-0000-0000-0000FC5B0000}"/>
    <cellStyle name="Normal 3 9 4 2 5" xfId="39792" xr:uid="{00000000-0005-0000-0000-0000FD5B0000}"/>
    <cellStyle name="Normal 3 9 4 3" xfId="11615" xr:uid="{00000000-0005-0000-0000-0000FE5B0000}"/>
    <cellStyle name="Normal 3 9 4 3 2" xfId="35100" xr:uid="{00000000-0005-0000-0000-0000FF5B0000}"/>
    <cellStyle name="Normal 3 9 4 3 3" xfId="25781" xr:uid="{00000000-0005-0000-0000-0000005C0000}"/>
    <cellStyle name="Normal 3 9 4 3 4" xfId="49043" xr:uid="{00000000-0005-0000-0000-0000015C0000}"/>
    <cellStyle name="Normal 3 9 4 4" xfId="16346" xr:uid="{00000000-0005-0000-0000-0000025C0000}"/>
    <cellStyle name="Normal 3 9 4 4 2" xfId="30478" xr:uid="{00000000-0005-0000-0000-0000035C0000}"/>
    <cellStyle name="Normal 3 9 4 4 3" xfId="44373" xr:uid="{00000000-0005-0000-0000-0000045C0000}"/>
    <cellStyle name="Normal 3 9 4 5" xfId="21159" xr:uid="{00000000-0005-0000-0000-0000055C0000}"/>
    <cellStyle name="Normal 3 9 4 6" xfId="39791" xr:uid="{00000000-0005-0000-0000-0000065C0000}"/>
    <cellStyle name="Normal 3 9 5" xfId="5781" xr:uid="{00000000-0005-0000-0000-0000075C0000}"/>
    <cellStyle name="Normal 3 9 5 2" xfId="5782" xr:uid="{00000000-0005-0000-0000-0000085C0000}"/>
    <cellStyle name="Normal 3 9 5 2 2" xfId="11618" xr:uid="{00000000-0005-0000-0000-0000095C0000}"/>
    <cellStyle name="Normal 3 9 5 2 2 2" xfId="35103" xr:uid="{00000000-0005-0000-0000-00000A5C0000}"/>
    <cellStyle name="Normal 3 9 5 2 2 3" xfId="25784" xr:uid="{00000000-0005-0000-0000-00000B5C0000}"/>
    <cellStyle name="Normal 3 9 5 2 2 4" xfId="49046" xr:uid="{00000000-0005-0000-0000-00000C5C0000}"/>
    <cellStyle name="Normal 3 9 5 2 3" xfId="16349" xr:uid="{00000000-0005-0000-0000-00000D5C0000}"/>
    <cellStyle name="Normal 3 9 5 2 3 2" xfId="30481" xr:uid="{00000000-0005-0000-0000-00000E5C0000}"/>
    <cellStyle name="Normal 3 9 5 2 3 3" xfId="44376" xr:uid="{00000000-0005-0000-0000-00000F5C0000}"/>
    <cellStyle name="Normal 3 9 5 2 4" xfId="21162" xr:uid="{00000000-0005-0000-0000-0000105C0000}"/>
    <cellStyle name="Normal 3 9 5 2 5" xfId="39794" xr:uid="{00000000-0005-0000-0000-0000115C0000}"/>
    <cellStyle name="Normal 3 9 5 3" xfId="11617" xr:uid="{00000000-0005-0000-0000-0000125C0000}"/>
    <cellStyle name="Normal 3 9 5 3 2" xfId="35102" xr:uid="{00000000-0005-0000-0000-0000135C0000}"/>
    <cellStyle name="Normal 3 9 5 3 3" xfId="25783" xr:uid="{00000000-0005-0000-0000-0000145C0000}"/>
    <cellStyle name="Normal 3 9 5 3 4" xfId="49045" xr:uid="{00000000-0005-0000-0000-0000155C0000}"/>
    <cellStyle name="Normal 3 9 5 4" xfId="16348" xr:uid="{00000000-0005-0000-0000-0000165C0000}"/>
    <cellStyle name="Normal 3 9 5 4 2" xfId="30480" xr:uid="{00000000-0005-0000-0000-0000175C0000}"/>
    <cellStyle name="Normal 3 9 5 4 3" xfId="44375" xr:uid="{00000000-0005-0000-0000-0000185C0000}"/>
    <cellStyle name="Normal 3 9 5 5" xfId="21161" xr:uid="{00000000-0005-0000-0000-0000195C0000}"/>
    <cellStyle name="Normal 3 9 5 6" xfId="39793" xr:uid="{00000000-0005-0000-0000-00001A5C0000}"/>
    <cellStyle name="Normal 3 9 6" xfId="5783" xr:uid="{00000000-0005-0000-0000-00001B5C0000}"/>
    <cellStyle name="Normal 3 9 6 2" xfId="5784" xr:uid="{00000000-0005-0000-0000-00001C5C0000}"/>
    <cellStyle name="Normal 3 9 6 2 2" xfId="11620" xr:uid="{00000000-0005-0000-0000-00001D5C0000}"/>
    <cellStyle name="Normal 3 9 6 2 2 2" xfId="35105" xr:uid="{00000000-0005-0000-0000-00001E5C0000}"/>
    <cellStyle name="Normal 3 9 6 2 2 3" xfId="25786" xr:uid="{00000000-0005-0000-0000-00001F5C0000}"/>
    <cellStyle name="Normal 3 9 6 2 2 4" xfId="49048" xr:uid="{00000000-0005-0000-0000-0000205C0000}"/>
    <cellStyle name="Normal 3 9 6 2 3" xfId="16351" xr:uid="{00000000-0005-0000-0000-0000215C0000}"/>
    <cellStyle name="Normal 3 9 6 2 3 2" xfId="30483" xr:uid="{00000000-0005-0000-0000-0000225C0000}"/>
    <cellStyle name="Normal 3 9 6 2 3 3" xfId="44378" xr:uid="{00000000-0005-0000-0000-0000235C0000}"/>
    <cellStyle name="Normal 3 9 6 2 4" xfId="21164" xr:uid="{00000000-0005-0000-0000-0000245C0000}"/>
    <cellStyle name="Normal 3 9 6 2 5" xfId="39796" xr:uid="{00000000-0005-0000-0000-0000255C0000}"/>
    <cellStyle name="Normal 3 9 6 3" xfId="11619" xr:uid="{00000000-0005-0000-0000-0000265C0000}"/>
    <cellStyle name="Normal 3 9 6 3 2" xfId="35104" xr:uid="{00000000-0005-0000-0000-0000275C0000}"/>
    <cellStyle name="Normal 3 9 6 3 3" xfId="25785" xr:uid="{00000000-0005-0000-0000-0000285C0000}"/>
    <cellStyle name="Normal 3 9 6 3 4" xfId="49047" xr:uid="{00000000-0005-0000-0000-0000295C0000}"/>
    <cellStyle name="Normal 3 9 6 4" xfId="16350" xr:uid="{00000000-0005-0000-0000-00002A5C0000}"/>
    <cellStyle name="Normal 3 9 6 4 2" xfId="30482" xr:uid="{00000000-0005-0000-0000-00002B5C0000}"/>
    <cellStyle name="Normal 3 9 6 4 3" xfId="44377" xr:uid="{00000000-0005-0000-0000-00002C5C0000}"/>
    <cellStyle name="Normal 3 9 6 5" xfId="21163" xr:uid="{00000000-0005-0000-0000-00002D5C0000}"/>
    <cellStyle name="Normal 3 9 6 6" xfId="39795" xr:uid="{00000000-0005-0000-0000-00002E5C0000}"/>
    <cellStyle name="Normal 3 9 7" xfId="5785" xr:uid="{00000000-0005-0000-0000-00002F5C0000}"/>
    <cellStyle name="Normal 3 9 7 2" xfId="11621" xr:uid="{00000000-0005-0000-0000-0000305C0000}"/>
    <cellStyle name="Normal 3 9 7 2 2" xfId="35106" xr:uid="{00000000-0005-0000-0000-0000315C0000}"/>
    <cellStyle name="Normal 3 9 7 2 3" xfId="25787" xr:uid="{00000000-0005-0000-0000-0000325C0000}"/>
    <cellStyle name="Normal 3 9 7 2 4" xfId="49049" xr:uid="{00000000-0005-0000-0000-0000335C0000}"/>
    <cellStyle name="Normal 3 9 7 3" xfId="16352" xr:uid="{00000000-0005-0000-0000-0000345C0000}"/>
    <cellStyle name="Normal 3 9 7 3 2" xfId="30484" xr:uid="{00000000-0005-0000-0000-0000355C0000}"/>
    <cellStyle name="Normal 3 9 7 3 3" xfId="44379" xr:uid="{00000000-0005-0000-0000-0000365C0000}"/>
    <cellStyle name="Normal 3 9 7 4" xfId="21165" xr:uid="{00000000-0005-0000-0000-0000375C0000}"/>
    <cellStyle name="Normal 3 9 7 5" xfId="39797" xr:uid="{00000000-0005-0000-0000-0000385C0000}"/>
    <cellStyle name="Normal 3 9 8" xfId="11610" xr:uid="{00000000-0005-0000-0000-0000395C0000}"/>
    <cellStyle name="Normal 3 9 8 2" xfId="35095" xr:uid="{00000000-0005-0000-0000-00003A5C0000}"/>
    <cellStyle name="Normal 3 9 8 3" xfId="25776" xr:uid="{00000000-0005-0000-0000-00003B5C0000}"/>
    <cellStyle name="Normal 3 9 8 4" xfId="49038" xr:uid="{00000000-0005-0000-0000-00003C5C0000}"/>
    <cellStyle name="Normal 3 9 9" xfId="16341" xr:uid="{00000000-0005-0000-0000-00003D5C0000}"/>
    <cellStyle name="Normal 3 9 9 2" xfId="30473" xr:uid="{00000000-0005-0000-0000-00003E5C0000}"/>
    <cellStyle name="Normal 3 9 9 3" xfId="44368" xr:uid="{00000000-0005-0000-0000-00003F5C0000}"/>
    <cellStyle name="Normal 30" xfId="186" xr:uid="{00000000-0005-0000-0000-0000405C0000}"/>
    <cellStyle name="Normal 31" xfId="187" xr:uid="{00000000-0005-0000-0000-0000415C0000}"/>
    <cellStyle name="Normal 31 2" xfId="51677" xr:uid="{00000000-0005-0000-0000-0000425C0000}"/>
    <cellStyle name="Normal 32" xfId="188" xr:uid="{00000000-0005-0000-0000-0000435C0000}"/>
    <cellStyle name="Normal 33" xfId="189" xr:uid="{00000000-0005-0000-0000-0000445C0000}"/>
    <cellStyle name="Normal 33 2" xfId="51678" xr:uid="{00000000-0005-0000-0000-0000455C0000}"/>
    <cellStyle name="Normal 34" xfId="190" xr:uid="{00000000-0005-0000-0000-0000465C0000}"/>
    <cellStyle name="Normal 34 2" xfId="5786" xr:uid="{00000000-0005-0000-0000-0000475C0000}"/>
    <cellStyle name="Normal 34 3" xfId="5787" xr:uid="{00000000-0005-0000-0000-0000485C0000}"/>
    <cellStyle name="Normal 34 4" xfId="5788" xr:uid="{00000000-0005-0000-0000-0000495C0000}"/>
    <cellStyle name="Normal 34 5" xfId="5789" xr:uid="{00000000-0005-0000-0000-00004A5C0000}"/>
    <cellStyle name="Normal 34 6" xfId="5790" xr:uid="{00000000-0005-0000-0000-00004B5C0000}"/>
    <cellStyle name="Normal 35" xfId="191" xr:uid="{00000000-0005-0000-0000-00004C5C0000}"/>
    <cellStyle name="Normal 35 2" xfId="5792" xr:uid="{00000000-0005-0000-0000-00004D5C0000}"/>
    <cellStyle name="Normal 35 2 2" xfId="5793" xr:uid="{00000000-0005-0000-0000-00004E5C0000}"/>
    <cellStyle name="Normal 35 2 2 2" xfId="11624" xr:uid="{00000000-0005-0000-0000-00004F5C0000}"/>
    <cellStyle name="Normal 35 2 2 2 2" xfId="35109" xr:uid="{00000000-0005-0000-0000-0000505C0000}"/>
    <cellStyle name="Normal 35 2 2 2 3" xfId="25790" xr:uid="{00000000-0005-0000-0000-0000515C0000}"/>
    <cellStyle name="Normal 35 2 2 2 4" xfId="49052" xr:uid="{00000000-0005-0000-0000-0000525C0000}"/>
    <cellStyle name="Normal 35 2 2 3" xfId="16355" xr:uid="{00000000-0005-0000-0000-0000535C0000}"/>
    <cellStyle name="Normal 35 2 2 3 2" xfId="30487" xr:uid="{00000000-0005-0000-0000-0000545C0000}"/>
    <cellStyle name="Normal 35 2 2 3 3" xfId="44382" xr:uid="{00000000-0005-0000-0000-0000555C0000}"/>
    <cellStyle name="Normal 35 2 2 4" xfId="21168" xr:uid="{00000000-0005-0000-0000-0000565C0000}"/>
    <cellStyle name="Normal 35 2 2 5" xfId="39800" xr:uid="{00000000-0005-0000-0000-0000575C0000}"/>
    <cellStyle name="Normal 35 2 3" xfId="11623" xr:uid="{00000000-0005-0000-0000-0000585C0000}"/>
    <cellStyle name="Normal 35 2 3 2" xfId="35108" xr:uid="{00000000-0005-0000-0000-0000595C0000}"/>
    <cellStyle name="Normal 35 2 3 3" xfId="25789" xr:uid="{00000000-0005-0000-0000-00005A5C0000}"/>
    <cellStyle name="Normal 35 2 3 4" xfId="49051" xr:uid="{00000000-0005-0000-0000-00005B5C0000}"/>
    <cellStyle name="Normal 35 2 4" xfId="16354" xr:uid="{00000000-0005-0000-0000-00005C5C0000}"/>
    <cellStyle name="Normal 35 2 4 2" xfId="30486" xr:uid="{00000000-0005-0000-0000-00005D5C0000}"/>
    <cellStyle name="Normal 35 2 4 3" xfId="44381" xr:uid="{00000000-0005-0000-0000-00005E5C0000}"/>
    <cellStyle name="Normal 35 2 5" xfId="21167" xr:uid="{00000000-0005-0000-0000-00005F5C0000}"/>
    <cellStyle name="Normal 35 2 6" xfId="39799" xr:uid="{00000000-0005-0000-0000-0000605C0000}"/>
    <cellStyle name="Normal 35 3" xfId="5794" xr:uid="{00000000-0005-0000-0000-0000615C0000}"/>
    <cellStyle name="Normal 35 3 2" xfId="5795" xr:uid="{00000000-0005-0000-0000-0000625C0000}"/>
    <cellStyle name="Normal 35 3 2 2" xfId="11626" xr:uid="{00000000-0005-0000-0000-0000635C0000}"/>
    <cellStyle name="Normal 35 3 2 2 2" xfId="35111" xr:uid="{00000000-0005-0000-0000-0000645C0000}"/>
    <cellStyle name="Normal 35 3 2 2 3" xfId="25792" xr:uid="{00000000-0005-0000-0000-0000655C0000}"/>
    <cellStyle name="Normal 35 3 2 2 4" xfId="49054" xr:uid="{00000000-0005-0000-0000-0000665C0000}"/>
    <cellStyle name="Normal 35 3 2 3" xfId="16357" xr:uid="{00000000-0005-0000-0000-0000675C0000}"/>
    <cellStyle name="Normal 35 3 2 3 2" xfId="30489" xr:uid="{00000000-0005-0000-0000-0000685C0000}"/>
    <cellStyle name="Normal 35 3 2 3 3" xfId="44384" xr:uid="{00000000-0005-0000-0000-0000695C0000}"/>
    <cellStyle name="Normal 35 3 2 4" xfId="21170" xr:uid="{00000000-0005-0000-0000-00006A5C0000}"/>
    <cellStyle name="Normal 35 3 2 5" xfId="39802" xr:uid="{00000000-0005-0000-0000-00006B5C0000}"/>
    <cellStyle name="Normal 35 3 3" xfId="11625" xr:uid="{00000000-0005-0000-0000-00006C5C0000}"/>
    <cellStyle name="Normal 35 3 3 2" xfId="35110" xr:uid="{00000000-0005-0000-0000-00006D5C0000}"/>
    <cellStyle name="Normal 35 3 3 3" xfId="25791" xr:uid="{00000000-0005-0000-0000-00006E5C0000}"/>
    <cellStyle name="Normal 35 3 3 4" xfId="49053" xr:uid="{00000000-0005-0000-0000-00006F5C0000}"/>
    <cellStyle name="Normal 35 3 4" xfId="16356" xr:uid="{00000000-0005-0000-0000-0000705C0000}"/>
    <cellStyle name="Normal 35 3 4 2" xfId="30488" xr:uid="{00000000-0005-0000-0000-0000715C0000}"/>
    <cellStyle name="Normal 35 3 4 3" xfId="44383" xr:uid="{00000000-0005-0000-0000-0000725C0000}"/>
    <cellStyle name="Normal 35 3 5" xfId="21169" xr:uid="{00000000-0005-0000-0000-0000735C0000}"/>
    <cellStyle name="Normal 35 3 6" xfId="39801" xr:uid="{00000000-0005-0000-0000-0000745C0000}"/>
    <cellStyle name="Normal 35 4" xfId="5796" xr:uid="{00000000-0005-0000-0000-0000755C0000}"/>
    <cellStyle name="Normal 35 4 2" xfId="5797" xr:uid="{00000000-0005-0000-0000-0000765C0000}"/>
    <cellStyle name="Normal 35 4 2 2" xfId="11628" xr:uid="{00000000-0005-0000-0000-0000775C0000}"/>
    <cellStyle name="Normal 35 4 2 2 2" xfId="35113" xr:uid="{00000000-0005-0000-0000-0000785C0000}"/>
    <cellStyle name="Normal 35 4 2 2 3" xfId="25794" xr:uid="{00000000-0005-0000-0000-0000795C0000}"/>
    <cellStyle name="Normal 35 4 2 2 4" xfId="49056" xr:uid="{00000000-0005-0000-0000-00007A5C0000}"/>
    <cellStyle name="Normal 35 4 2 3" xfId="16359" xr:uid="{00000000-0005-0000-0000-00007B5C0000}"/>
    <cellStyle name="Normal 35 4 2 3 2" xfId="30491" xr:uid="{00000000-0005-0000-0000-00007C5C0000}"/>
    <cellStyle name="Normal 35 4 2 3 3" xfId="44386" xr:uid="{00000000-0005-0000-0000-00007D5C0000}"/>
    <cellStyle name="Normal 35 4 2 4" xfId="21172" xr:uid="{00000000-0005-0000-0000-00007E5C0000}"/>
    <cellStyle name="Normal 35 4 2 5" xfId="39804" xr:uid="{00000000-0005-0000-0000-00007F5C0000}"/>
    <cellStyle name="Normal 35 4 3" xfId="11627" xr:uid="{00000000-0005-0000-0000-0000805C0000}"/>
    <cellStyle name="Normal 35 4 3 2" xfId="35112" xr:uid="{00000000-0005-0000-0000-0000815C0000}"/>
    <cellStyle name="Normal 35 4 3 3" xfId="25793" xr:uid="{00000000-0005-0000-0000-0000825C0000}"/>
    <cellStyle name="Normal 35 4 3 4" xfId="49055" xr:uid="{00000000-0005-0000-0000-0000835C0000}"/>
    <cellStyle name="Normal 35 4 4" xfId="16358" xr:uid="{00000000-0005-0000-0000-0000845C0000}"/>
    <cellStyle name="Normal 35 4 4 2" xfId="30490" xr:uid="{00000000-0005-0000-0000-0000855C0000}"/>
    <cellStyle name="Normal 35 4 4 3" xfId="44385" xr:uid="{00000000-0005-0000-0000-0000865C0000}"/>
    <cellStyle name="Normal 35 4 5" xfId="21171" xr:uid="{00000000-0005-0000-0000-0000875C0000}"/>
    <cellStyle name="Normal 35 4 6" xfId="39803" xr:uid="{00000000-0005-0000-0000-0000885C0000}"/>
    <cellStyle name="Normal 35 5" xfId="5798" xr:uid="{00000000-0005-0000-0000-0000895C0000}"/>
    <cellStyle name="Normal 35 5 2" xfId="5799" xr:uid="{00000000-0005-0000-0000-00008A5C0000}"/>
    <cellStyle name="Normal 35 5 2 2" xfId="11630" xr:uid="{00000000-0005-0000-0000-00008B5C0000}"/>
    <cellStyle name="Normal 35 5 2 2 2" xfId="35115" xr:uid="{00000000-0005-0000-0000-00008C5C0000}"/>
    <cellStyle name="Normal 35 5 2 2 3" xfId="25796" xr:uid="{00000000-0005-0000-0000-00008D5C0000}"/>
    <cellStyle name="Normal 35 5 2 2 4" xfId="49058" xr:uid="{00000000-0005-0000-0000-00008E5C0000}"/>
    <cellStyle name="Normal 35 5 2 3" xfId="16361" xr:uid="{00000000-0005-0000-0000-00008F5C0000}"/>
    <cellStyle name="Normal 35 5 2 3 2" xfId="30493" xr:uid="{00000000-0005-0000-0000-0000905C0000}"/>
    <cellStyle name="Normal 35 5 2 3 3" xfId="44388" xr:uid="{00000000-0005-0000-0000-0000915C0000}"/>
    <cellStyle name="Normal 35 5 2 4" xfId="21174" xr:uid="{00000000-0005-0000-0000-0000925C0000}"/>
    <cellStyle name="Normal 35 5 2 5" xfId="39806" xr:uid="{00000000-0005-0000-0000-0000935C0000}"/>
    <cellStyle name="Normal 35 5 3" xfId="11629" xr:uid="{00000000-0005-0000-0000-0000945C0000}"/>
    <cellStyle name="Normal 35 5 3 2" xfId="35114" xr:uid="{00000000-0005-0000-0000-0000955C0000}"/>
    <cellStyle name="Normal 35 5 3 3" xfId="25795" xr:uid="{00000000-0005-0000-0000-0000965C0000}"/>
    <cellStyle name="Normal 35 5 3 4" xfId="49057" xr:uid="{00000000-0005-0000-0000-0000975C0000}"/>
    <cellStyle name="Normal 35 5 4" xfId="16360" xr:uid="{00000000-0005-0000-0000-0000985C0000}"/>
    <cellStyle name="Normal 35 5 4 2" xfId="30492" xr:uid="{00000000-0005-0000-0000-0000995C0000}"/>
    <cellStyle name="Normal 35 5 4 3" xfId="44387" xr:uid="{00000000-0005-0000-0000-00009A5C0000}"/>
    <cellStyle name="Normal 35 5 5" xfId="21173" xr:uid="{00000000-0005-0000-0000-00009B5C0000}"/>
    <cellStyle name="Normal 35 5 6" xfId="39805" xr:uid="{00000000-0005-0000-0000-00009C5C0000}"/>
    <cellStyle name="Normal 35 6" xfId="5800" xr:uid="{00000000-0005-0000-0000-00009D5C0000}"/>
    <cellStyle name="Normal 35 6 2" xfId="5801" xr:uid="{00000000-0005-0000-0000-00009E5C0000}"/>
    <cellStyle name="Normal 35 6 2 2" xfId="11632" xr:uid="{00000000-0005-0000-0000-00009F5C0000}"/>
    <cellStyle name="Normal 35 6 2 2 2" xfId="35117" xr:uid="{00000000-0005-0000-0000-0000A05C0000}"/>
    <cellStyle name="Normal 35 6 2 2 3" xfId="25798" xr:uid="{00000000-0005-0000-0000-0000A15C0000}"/>
    <cellStyle name="Normal 35 6 2 2 4" xfId="49060" xr:uid="{00000000-0005-0000-0000-0000A25C0000}"/>
    <cellStyle name="Normal 35 6 2 3" xfId="16363" xr:uid="{00000000-0005-0000-0000-0000A35C0000}"/>
    <cellStyle name="Normal 35 6 2 3 2" xfId="30495" xr:uid="{00000000-0005-0000-0000-0000A45C0000}"/>
    <cellStyle name="Normal 35 6 2 3 3" xfId="44390" xr:uid="{00000000-0005-0000-0000-0000A55C0000}"/>
    <cellStyle name="Normal 35 6 2 4" xfId="21176" xr:uid="{00000000-0005-0000-0000-0000A65C0000}"/>
    <cellStyle name="Normal 35 6 2 5" xfId="39808" xr:uid="{00000000-0005-0000-0000-0000A75C0000}"/>
    <cellStyle name="Normal 35 6 3" xfId="11631" xr:uid="{00000000-0005-0000-0000-0000A85C0000}"/>
    <cellStyle name="Normal 35 6 3 2" xfId="35116" xr:uid="{00000000-0005-0000-0000-0000A95C0000}"/>
    <cellStyle name="Normal 35 6 3 3" xfId="25797" xr:uid="{00000000-0005-0000-0000-0000AA5C0000}"/>
    <cellStyle name="Normal 35 6 3 4" xfId="49059" xr:uid="{00000000-0005-0000-0000-0000AB5C0000}"/>
    <cellStyle name="Normal 35 6 4" xfId="16362" xr:uid="{00000000-0005-0000-0000-0000AC5C0000}"/>
    <cellStyle name="Normal 35 6 4 2" xfId="30494" xr:uid="{00000000-0005-0000-0000-0000AD5C0000}"/>
    <cellStyle name="Normal 35 6 4 3" xfId="44389" xr:uid="{00000000-0005-0000-0000-0000AE5C0000}"/>
    <cellStyle name="Normal 35 6 5" xfId="21175" xr:uid="{00000000-0005-0000-0000-0000AF5C0000}"/>
    <cellStyle name="Normal 35 6 6" xfId="39807" xr:uid="{00000000-0005-0000-0000-0000B05C0000}"/>
    <cellStyle name="Normal 35 7" xfId="5802" xr:uid="{00000000-0005-0000-0000-0000B15C0000}"/>
    <cellStyle name="Normal 35 7 2" xfId="11633" xr:uid="{00000000-0005-0000-0000-0000B25C0000}"/>
    <cellStyle name="Normal 35 7 2 2" xfId="35118" xr:uid="{00000000-0005-0000-0000-0000B35C0000}"/>
    <cellStyle name="Normal 35 7 2 3" xfId="25799" xr:uid="{00000000-0005-0000-0000-0000B45C0000}"/>
    <cellStyle name="Normal 35 7 2 4" xfId="49061" xr:uid="{00000000-0005-0000-0000-0000B55C0000}"/>
    <cellStyle name="Normal 35 7 3" xfId="16364" xr:uid="{00000000-0005-0000-0000-0000B65C0000}"/>
    <cellStyle name="Normal 35 7 3 2" xfId="30496" xr:uid="{00000000-0005-0000-0000-0000B75C0000}"/>
    <cellStyle name="Normal 35 7 3 3" xfId="44391" xr:uid="{00000000-0005-0000-0000-0000B85C0000}"/>
    <cellStyle name="Normal 35 7 4" xfId="21177" xr:uid="{00000000-0005-0000-0000-0000B95C0000}"/>
    <cellStyle name="Normal 35 7 5" xfId="39809" xr:uid="{00000000-0005-0000-0000-0000BA5C0000}"/>
    <cellStyle name="Normal 35 8" xfId="5791" xr:uid="{00000000-0005-0000-0000-0000BB5C0000}"/>
    <cellStyle name="Normal 35 8 2" xfId="11622" xr:uid="{00000000-0005-0000-0000-0000BC5C0000}"/>
    <cellStyle name="Normal 35 8 2 2" xfId="35107" xr:uid="{00000000-0005-0000-0000-0000BD5C0000}"/>
    <cellStyle name="Normal 35 8 2 3" xfId="25788" xr:uid="{00000000-0005-0000-0000-0000BE5C0000}"/>
    <cellStyle name="Normal 35 8 2 4" xfId="49050" xr:uid="{00000000-0005-0000-0000-0000BF5C0000}"/>
    <cellStyle name="Normal 35 8 3" xfId="16353" xr:uid="{00000000-0005-0000-0000-0000C05C0000}"/>
    <cellStyle name="Normal 35 8 3 2" xfId="30485" xr:uid="{00000000-0005-0000-0000-0000C15C0000}"/>
    <cellStyle name="Normal 35 8 3 3" xfId="44380" xr:uid="{00000000-0005-0000-0000-0000C25C0000}"/>
    <cellStyle name="Normal 35 8 4" xfId="21166" xr:uid="{00000000-0005-0000-0000-0000C35C0000}"/>
    <cellStyle name="Normal 35 8 5" xfId="39798" xr:uid="{00000000-0005-0000-0000-0000C45C0000}"/>
    <cellStyle name="Normal 36" xfId="192" xr:uid="{00000000-0005-0000-0000-0000C55C0000}"/>
    <cellStyle name="Normal 37" xfId="193" xr:uid="{00000000-0005-0000-0000-0000C65C0000}"/>
    <cellStyle name="Normal 38" xfId="194" xr:uid="{00000000-0005-0000-0000-0000C75C0000}"/>
    <cellStyle name="Normal 386" xfId="51786" xr:uid="{00000000-0005-0000-0000-0000C85C0000}"/>
    <cellStyle name="Normal 388" xfId="51791" xr:uid="{00000000-0005-0000-0000-0000C95C0000}"/>
    <cellStyle name="Normal 39" xfId="195" xr:uid="{00000000-0005-0000-0000-0000CA5C0000}"/>
    <cellStyle name="Normal 39 2" xfId="51679" xr:uid="{00000000-0005-0000-0000-0000CB5C0000}"/>
    <cellStyle name="Normal 4" xfId="12" xr:uid="{00000000-0005-0000-0000-0000CC5C0000}"/>
    <cellStyle name="Normal 4 10" xfId="5803" xr:uid="{00000000-0005-0000-0000-0000CD5C0000}"/>
    <cellStyle name="Normal 4 10 10" xfId="21178" xr:uid="{00000000-0005-0000-0000-0000CE5C0000}"/>
    <cellStyle name="Normal 4 10 11" xfId="39810" xr:uid="{00000000-0005-0000-0000-0000CF5C0000}"/>
    <cellStyle name="Normal 4 10 2" xfId="5804" xr:uid="{00000000-0005-0000-0000-0000D05C0000}"/>
    <cellStyle name="Normal 4 10 2 2" xfId="5805" xr:uid="{00000000-0005-0000-0000-0000D15C0000}"/>
    <cellStyle name="Normal 4 10 2 2 2" xfId="11636" xr:uid="{00000000-0005-0000-0000-0000D25C0000}"/>
    <cellStyle name="Normal 4 10 2 2 2 2" xfId="35121" xr:uid="{00000000-0005-0000-0000-0000D35C0000}"/>
    <cellStyle name="Normal 4 10 2 2 2 3" xfId="25802" xr:uid="{00000000-0005-0000-0000-0000D45C0000}"/>
    <cellStyle name="Normal 4 10 2 2 2 4" xfId="49064" xr:uid="{00000000-0005-0000-0000-0000D55C0000}"/>
    <cellStyle name="Normal 4 10 2 2 3" xfId="16367" xr:uid="{00000000-0005-0000-0000-0000D65C0000}"/>
    <cellStyle name="Normal 4 10 2 2 3 2" xfId="30499" xr:uid="{00000000-0005-0000-0000-0000D75C0000}"/>
    <cellStyle name="Normal 4 10 2 2 3 3" xfId="44394" xr:uid="{00000000-0005-0000-0000-0000D85C0000}"/>
    <cellStyle name="Normal 4 10 2 2 4" xfId="21180" xr:uid="{00000000-0005-0000-0000-0000D95C0000}"/>
    <cellStyle name="Normal 4 10 2 2 5" xfId="39812" xr:uid="{00000000-0005-0000-0000-0000DA5C0000}"/>
    <cellStyle name="Normal 4 10 2 3" xfId="11635" xr:uid="{00000000-0005-0000-0000-0000DB5C0000}"/>
    <cellStyle name="Normal 4 10 2 3 2" xfId="35120" xr:uid="{00000000-0005-0000-0000-0000DC5C0000}"/>
    <cellStyle name="Normal 4 10 2 3 3" xfId="25801" xr:uid="{00000000-0005-0000-0000-0000DD5C0000}"/>
    <cellStyle name="Normal 4 10 2 3 4" xfId="49063" xr:uid="{00000000-0005-0000-0000-0000DE5C0000}"/>
    <cellStyle name="Normal 4 10 2 4" xfId="16366" xr:uid="{00000000-0005-0000-0000-0000DF5C0000}"/>
    <cellStyle name="Normal 4 10 2 4 2" xfId="30498" xr:uid="{00000000-0005-0000-0000-0000E05C0000}"/>
    <cellStyle name="Normal 4 10 2 4 3" xfId="44393" xr:uid="{00000000-0005-0000-0000-0000E15C0000}"/>
    <cellStyle name="Normal 4 10 2 5" xfId="21179" xr:uid="{00000000-0005-0000-0000-0000E25C0000}"/>
    <cellStyle name="Normal 4 10 2 6" xfId="39811" xr:uid="{00000000-0005-0000-0000-0000E35C0000}"/>
    <cellStyle name="Normal 4 10 3" xfId="5806" xr:uid="{00000000-0005-0000-0000-0000E45C0000}"/>
    <cellStyle name="Normal 4 10 3 2" xfId="5807" xr:uid="{00000000-0005-0000-0000-0000E55C0000}"/>
    <cellStyle name="Normal 4 10 3 2 2" xfId="11638" xr:uid="{00000000-0005-0000-0000-0000E65C0000}"/>
    <cellStyle name="Normal 4 10 3 2 2 2" xfId="35123" xr:uid="{00000000-0005-0000-0000-0000E75C0000}"/>
    <cellStyle name="Normal 4 10 3 2 2 3" xfId="25804" xr:uid="{00000000-0005-0000-0000-0000E85C0000}"/>
    <cellStyle name="Normal 4 10 3 2 2 4" xfId="49066" xr:uid="{00000000-0005-0000-0000-0000E95C0000}"/>
    <cellStyle name="Normal 4 10 3 2 3" xfId="16369" xr:uid="{00000000-0005-0000-0000-0000EA5C0000}"/>
    <cellStyle name="Normal 4 10 3 2 3 2" xfId="30501" xr:uid="{00000000-0005-0000-0000-0000EB5C0000}"/>
    <cellStyle name="Normal 4 10 3 2 3 3" xfId="44396" xr:uid="{00000000-0005-0000-0000-0000EC5C0000}"/>
    <cellStyle name="Normal 4 10 3 2 4" xfId="21182" xr:uid="{00000000-0005-0000-0000-0000ED5C0000}"/>
    <cellStyle name="Normal 4 10 3 2 5" xfId="39814" xr:uid="{00000000-0005-0000-0000-0000EE5C0000}"/>
    <cellStyle name="Normal 4 10 3 3" xfId="11637" xr:uid="{00000000-0005-0000-0000-0000EF5C0000}"/>
    <cellStyle name="Normal 4 10 3 3 2" xfId="35122" xr:uid="{00000000-0005-0000-0000-0000F05C0000}"/>
    <cellStyle name="Normal 4 10 3 3 3" xfId="25803" xr:uid="{00000000-0005-0000-0000-0000F15C0000}"/>
    <cellStyle name="Normal 4 10 3 3 4" xfId="49065" xr:uid="{00000000-0005-0000-0000-0000F25C0000}"/>
    <cellStyle name="Normal 4 10 3 4" xfId="16368" xr:uid="{00000000-0005-0000-0000-0000F35C0000}"/>
    <cellStyle name="Normal 4 10 3 4 2" xfId="30500" xr:uid="{00000000-0005-0000-0000-0000F45C0000}"/>
    <cellStyle name="Normal 4 10 3 4 3" xfId="44395" xr:uid="{00000000-0005-0000-0000-0000F55C0000}"/>
    <cellStyle name="Normal 4 10 3 5" xfId="21181" xr:uid="{00000000-0005-0000-0000-0000F65C0000}"/>
    <cellStyle name="Normal 4 10 3 6" xfId="39813" xr:uid="{00000000-0005-0000-0000-0000F75C0000}"/>
    <cellStyle name="Normal 4 10 4" xfId="5808" xr:uid="{00000000-0005-0000-0000-0000F85C0000}"/>
    <cellStyle name="Normal 4 10 4 2" xfId="5809" xr:uid="{00000000-0005-0000-0000-0000F95C0000}"/>
    <cellStyle name="Normal 4 10 4 2 2" xfId="11640" xr:uid="{00000000-0005-0000-0000-0000FA5C0000}"/>
    <cellStyle name="Normal 4 10 4 2 2 2" xfId="35125" xr:uid="{00000000-0005-0000-0000-0000FB5C0000}"/>
    <cellStyle name="Normal 4 10 4 2 2 3" xfId="25806" xr:uid="{00000000-0005-0000-0000-0000FC5C0000}"/>
    <cellStyle name="Normal 4 10 4 2 2 4" xfId="49068" xr:uid="{00000000-0005-0000-0000-0000FD5C0000}"/>
    <cellStyle name="Normal 4 10 4 2 3" xfId="16371" xr:uid="{00000000-0005-0000-0000-0000FE5C0000}"/>
    <cellStyle name="Normal 4 10 4 2 3 2" xfId="30503" xr:uid="{00000000-0005-0000-0000-0000FF5C0000}"/>
    <cellStyle name="Normal 4 10 4 2 3 3" xfId="44398" xr:uid="{00000000-0005-0000-0000-0000005D0000}"/>
    <cellStyle name="Normal 4 10 4 2 4" xfId="21184" xr:uid="{00000000-0005-0000-0000-0000015D0000}"/>
    <cellStyle name="Normal 4 10 4 2 5" xfId="39816" xr:uid="{00000000-0005-0000-0000-0000025D0000}"/>
    <cellStyle name="Normal 4 10 4 3" xfId="11639" xr:uid="{00000000-0005-0000-0000-0000035D0000}"/>
    <cellStyle name="Normal 4 10 4 3 2" xfId="35124" xr:uid="{00000000-0005-0000-0000-0000045D0000}"/>
    <cellStyle name="Normal 4 10 4 3 3" xfId="25805" xr:uid="{00000000-0005-0000-0000-0000055D0000}"/>
    <cellStyle name="Normal 4 10 4 3 4" xfId="49067" xr:uid="{00000000-0005-0000-0000-0000065D0000}"/>
    <cellStyle name="Normal 4 10 4 4" xfId="16370" xr:uid="{00000000-0005-0000-0000-0000075D0000}"/>
    <cellStyle name="Normal 4 10 4 4 2" xfId="30502" xr:uid="{00000000-0005-0000-0000-0000085D0000}"/>
    <cellStyle name="Normal 4 10 4 4 3" xfId="44397" xr:uid="{00000000-0005-0000-0000-0000095D0000}"/>
    <cellStyle name="Normal 4 10 4 5" xfId="21183" xr:uid="{00000000-0005-0000-0000-00000A5D0000}"/>
    <cellStyle name="Normal 4 10 4 6" xfId="39815" xr:uid="{00000000-0005-0000-0000-00000B5D0000}"/>
    <cellStyle name="Normal 4 10 5" xfId="5810" xr:uid="{00000000-0005-0000-0000-00000C5D0000}"/>
    <cellStyle name="Normal 4 10 5 2" xfId="5811" xr:uid="{00000000-0005-0000-0000-00000D5D0000}"/>
    <cellStyle name="Normal 4 10 5 2 2" xfId="11642" xr:uid="{00000000-0005-0000-0000-00000E5D0000}"/>
    <cellStyle name="Normal 4 10 5 2 2 2" xfId="35127" xr:uid="{00000000-0005-0000-0000-00000F5D0000}"/>
    <cellStyle name="Normal 4 10 5 2 2 3" xfId="25808" xr:uid="{00000000-0005-0000-0000-0000105D0000}"/>
    <cellStyle name="Normal 4 10 5 2 2 4" xfId="49070" xr:uid="{00000000-0005-0000-0000-0000115D0000}"/>
    <cellStyle name="Normal 4 10 5 2 3" xfId="16373" xr:uid="{00000000-0005-0000-0000-0000125D0000}"/>
    <cellStyle name="Normal 4 10 5 2 3 2" xfId="30505" xr:uid="{00000000-0005-0000-0000-0000135D0000}"/>
    <cellStyle name="Normal 4 10 5 2 3 3" xfId="44400" xr:uid="{00000000-0005-0000-0000-0000145D0000}"/>
    <cellStyle name="Normal 4 10 5 2 4" xfId="21186" xr:uid="{00000000-0005-0000-0000-0000155D0000}"/>
    <cellStyle name="Normal 4 10 5 2 5" xfId="39818" xr:uid="{00000000-0005-0000-0000-0000165D0000}"/>
    <cellStyle name="Normal 4 10 5 3" xfId="11641" xr:uid="{00000000-0005-0000-0000-0000175D0000}"/>
    <cellStyle name="Normal 4 10 5 3 2" xfId="35126" xr:uid="{00000000-0005-0000-0000-0000185D0000}"/>
    <cellStyle name="Normal 4 10 5 3 3" xfId="25807" xr:uid="{00000000-0005-0000-0000-0000195D0000}"/>
    <cellStyle name="Normal 4 10 5 3 4" xfId="49069" xr:uid="{00000000-0005-0000-0000-00001A5D0000}"/>
    <cellStyle name="Normal 4 10 5 4" xfId="16372" xr:uid="{00000000-0005-0000-0000-00001B5D0000}"/>
    <cellStyle name="Normal 4 10 5 4 2" xfId="30504" xr:uid="{00000000-0005-0000-0000-00001C5D0000}"/>
    <cellStyle name="Normal 4 10 5 4 3" xfId="44399" xr:uid="{00000000-0005-0000-0000-00001D5D0000}"/>
    <cellStyle name="Normal 4 10 5 5" xfId="21185" xr:uid="{00000000-0005-0000-0000-00001E5D0000}"/>
    <cellStyle name="Normal 4 10 5 6" xfId="39817" xr:uid="{00000000-0005-0000-0000-00001F5D0000}"/>
    <cellStyle name="Normal 4 10 6" xfId="5812" xr:uid="{00000000-0005-0000-0000-0000205D0000}"/>
    <cellStyle name="Normal 4 10 6 2" xfId="5813" xr:uid="{00000000-0005-0000-0000-0000215D0000}"/>
    <cellStyle name="Normal 4 10 6 2 2" xfId="11644" xr:uid="{00000000-0005-0000-0000-0000225D0000}"/>
    <cellStyle name="Normal 4 10 6 2 2 2" xfId="35129" xr:uid="{00000000-0005-0000-0000-0000235D0000}"/>
    <cellStyle name="Normal 4 10 6 2 2 3" xfId="25810" xr:uid="{00000000-0005-0000-0000-0000245D0000}"/>
    <cellStyle name="Normal 4 10 6 2 2 4" xfId="49072" xr:uid="{00000000-0005-0000-0000-0000255D0000}"/>
    <cellStyle name="Normal 4 10 6 2 3" xfId="16375" xr:uid="{00000000-0005-0000-0000-0000265D0000}"/>
    <cellStyle name="Normal 4 10 6 2 3 2" xfId="30507" xr:uid="{00000000-0005-0000-0000-0000275D0000}"/>
    <cellStyle name="Normal 4 10 6 2 3 3" xfId="44402" xr:uid="{00000000-0005-0000-0000-0000285D0000}"/>
    <cellStyle name="Normal 4 10 6 2 4" xfId="21188" xr:uid="{00000000-0005-0000-0000-0000295D0000}"/>
    <cellStyle name="Normal 4 10 6 2 5" xfId="39820" xr:uid="{00000000-0005-0000-0000-00002A5D0000}"/>
    <cellStyle name="Normal 4 10 6 3" xfId="11643" xr:uid="{00000000-0005-0000-0000-00002B5D0000}"/>
    <cellStyle name="Normal 4 10 6 3 2" xfId="35128" xr:uid="{00000000-0005-0000-0000-00002C5D0000}"/>
    <cellStyle name="Normal 4 10 6 3 3" xfId="25809" xr:uid="{00000000-0005-0000-0000-00002D5D0000}"/>
    <cellStyle name="Normal 4 10 6 3 4" xfId="49071" xr:uid="{00000000-0005-0000-0000-00002E5D0000}"/>
    <cellStyle name="Normal 4 10 6 4" xfId="16374" xr:uid="{00000000-0005-0000-0000-00002F5D0000}"/>
    <cellStyle name="Normal 4 10 6 4 2" xfId="30506" xr:uid="{00000000-0005-0000-0000-0000305D0000}"/>
    <cellStyle name="Normal 4 10 6 4 3" xfId="44401" xr:uid="{00000000-0005-0000-0000-0000315D0000}"/>
    <cellStyle name="Normal 4 10 6 5" xfId="21187" xr:uid="{00000000-0005-0000-0000-0000325D0000}"/>
    <cellStyle name="Normal 4 10 6 6" xfId="39819" xr:uid="{00000000-0005-0000-0000-0000335D0000}"/>
    <cellStyle name="Normal 4 10 7" xfId="5814" xr:uid="{00000000-0005-0000-0000-0000345D0000}"/>
    <cellStyle name="Normal 4 10 7 2" xfId="11645" xr:uid="{00000000-0005-0000-0000-0000355D0000}"/>
    <cellStyle name="Normal 4 10 7 2 2" xfId="35130" xr:uid="{00000000-0005-0000-0000-0000365D0000}"/>
    <cellStyle name="Normal 4 10 7 2 3" xfId="25811" xr:uid="{00000000-0005-0000-0000-0000375D0000}"/>
    <cellStyle name="Normal 4 10 7 2 4" xfId="49073" xr:uid="{00000000-0005-0000-0000-0000385D0000}"/>
    <cellStyle name="Normal 4 10 7 3" xfId="16376" xr:uid="{00000000-0005-0000-0000-0000395D0000}"/>
    <cellStyle name="Normal 4 10 7 3 2" xfId="30508" xr:uid="{00000000-0005-0000-0000-00003A5D0000}"/>
    <cellStyle name="Normal 4 10 7 3 3" xfId="44403" xr:uid="{00000000-0005-0000-0000-00003B5D0000}"/>
    <cellStyle name="Normal 4 10 7 4" xfId="21189" xr:uid="{00000000-0005-0000-0000-00003C5D0000}"/>
    <cellStyle name="Normal 4 10 7 5" xfId="39821" xr:uid="{00000000-0005-0000-0000-00003D5D0000}"/>
    <cellStyle name="Normal 4 10 8" xfId="11634" xr:uid="{00000000-0005-0000-0000-00003E5D0000}"/>
    <cellStyle name="Normal 4 10 8 2" xfId="35119" xr:uid="{00000000-0005-0000-0000-00003F5D0000}"/>
    <cellStyle name="Normal 4 10 8 3" xfId="25800" xr:uid="{00000000-0005-0000-0000-0000405D0000}"/>
    <cellStyle name="Normal 4 10 8 4" xfId="49062" xr:uid="{00000000-0005-0000-0000-0000415D0000}"/>
    <cellStyle name="Normal 4 10 9" xfId="16365" xr:uid="{00000000-0005-0000-0000-0000425D0000}"/>
    <cellStyle name="Normal 4 10 9 2" xfId="30497" xr:uid="{00000000-0005-0000-0000-0000435D0000}"/>
    <cellStyle name="Normal 4 10 9 3" xfId="44392" xr:uid="{00000000-0005-0000-0000-0000445D0000}"/>
    <cellStyle name="Normal 4 11" xfId="5815" xr:uid="{00000000-0005-0000-0000-0000455D0000}"/>
    <cellStyle name="Normal 4 11 10" xfId="21190" xr:uid="{00000000-0005-0000-0000-0000465D0000}"/>
    <cellStyle name="Normal 4 11 11" xfId="39822" xr:uid="{00000000-0005-0000-0000-0000475D0000}"/>
    <cellStyle name="Normal 4 11 2" xfId="5816" xr:uid="{00000000-0005-0000-0000-0000485D0000}"/>
    <cellStyle name="Normal 4 11 2 2" xfId="5817" xr:uid="{00000000-0005-0000-0000-0000495D0000}"/>
    <cellStyle name="Normal 4 11 2 2 2" xfId="11648" xr:uid="{00000000-0005-0000-0000-00004A5D0000}"/>
    <cellStyle name="Normal 4 11 2 2 2 2" xfId="35133" xr:uid="{00000000-0005-0000-0000-00004B5D0000}"/>
    <cellStyle name="Normal 4 11 2 2 2 3" xfId="25814" xr:uid="{00000000-0005-0000-0000-00004C5D0000}"/>
    <cellStyle name="Normal 4 11 2 2 2 4" xfId="49076" xr:uid="{00000000-0005-0000-0000-00004D5D0000}"/>
    <cellStyle name="Normal 4 11 2 2 3" xfId="16379" xr:uid="{00000000-0005-0000-0000-00004E5D0000}"/>
    <cellStyle name="Normal 4 11 2 2 3 2" xfId="30511" xr:uid="{00000000-0005-0000-0000-00004F5D0000}"/>
    <cellStyle name="Normal 4 11 2 2 3 3" xfId="44406" xr:uid="{00000000-0005-0000-0000-0000505D0000}"/>
    <cellStyle name="Normal 4 11 2 2 4" xfId="21192" xr:uid="{00000000-0005-0000-0000-0000515D0000}"/>
    <cellStyle name="Normal 4 11 2 2 5" xfId="39824" xr:uid="{00000000-0005-0000-0000-0000525D0000}"/>
    <cellStyle name="Normal 4 11 2 3" xfId="11647" xr:uid="{00000000-0005-0000-0000-0000535D0000}"/>
    <cellStyle name="Normal 4 11 2 3 2" xfId="35132" xr:uid="{00000000-0005-0000-0000-0000545D0000}"/>
    <cellStyle name="Normal 4 11 2 3 3" xfId="25813" xr:uid="{00000000-0005-0000-0000-0000555D0000}"/>
    <cellStyle name="Normal 4 11 2 3 4" xfId="49075" xr:uid="{00000000-0005-0000-0000-0000565D0000}"/>
    <cellStyle name="Normal 4 11 2 4" xfId="16378" xr:uid="{00000000-0005-0000-0000-0000575D0000}"/>
    <cellStyle name="Normal 4 11 2 4 2" xfId="30510" xr:uid="{00000000-0005-0000-0000-0000585D0000}"/>
    <cellStyle name="Normal 4 11 2 4 3" xfId="44405" xr:uid="{00000000-0005-0000-0000-0000595D0000}"/>
    <cellStyle name="Normal 4 11 2 5" xfId="21191" xr:uid="{00000000-0005-0000-0000-00005A5D0000}"/>
    <cellStyle name="Normal 4 11 2 6" xfId="39823" xr:uid="{00000000-0005-0000-0000-00005B5D0000}"/>
    <cellStyle name="Normal 4 11 3" xfId="5818" xr:uid="{00000000-0005-0000-0000-00005C5D0000}"/>
    <cellStyle name="Normal 4 11 3 2" xfId="5819" xr:uid="{00000000-0005-0000-0000-00005D5D0000}"/>
    <cellStyle name="Normal 4 11 3 2 2" xfId="11650" xr:uid="{00000000-0005-0000-0000-00005E5D0000}"/>
    <cellStyle name="Normal 4 11 3 2 2 2" xfId="35135" xr:uid="{00000000-0005-0000-0000-00005F5D0000}"/>
    <cellStyle name="Normal 4 11 3 2 2 3" xfId="25816" xr:uid="{00000000-0005-0000-0000-0000605D0000}"/>
    <cellStyle name="Normal 4 11 3 2 2 4" xfId="49078" xr:uid="{00000000-0005-0000-0000-0000615D0000}"/>
    <cellStyle name="Normal 4 11 3 2 3" xfId="16381" xr:uid="{00000000-0005-0000-0000-0000625D0000}"/>
    <cellStyle name="Normal 4 11 3 2 3 2" xfId="30513" xr:uid="{00000000-0005-0000-0000-0000635D0000}"/>
    <cellStyle name="Normal 4 11 3 2 3 3" xfId="44408" xr:uid="{00000000-0005-0000-0000-0000645D0000}"/>
    <cellStyle name="Normal 4 11 3 2 4" xfId="21194" xr:uid="{00000000-0005-0000-0000-0000655D0000}"/>
    <cellStyle name="Normal 4 11 3 2 5" xfId="39826" xr:uid="{00000000-0005-0000-0000-0000665D0000}"/>
    <cellStyle name="Normal 4 11 3 3" xfId="11649" xr:uid="{00000000-0005-0000-0000-0000675D0000}"/>
    <cellStyle name="Normal 4 11 3 3 2" xfId="35134" xr:uid="{00000000-0005-0000-0000-0000685D0000}"/>
    <cellStyle name="Normal 4 11 3 3 3" xfId="25815" xr:uid="{00000000-0005-0000-0000-0000695D0000}"/>
    <cellStyle name="Normal 4 11 3 3 4" xfId="49077" xr:uid="{00000000-0005-0000-0000-00006A5D0000}"/>
    <cellStyle name="Normal 4 11 3 4" xfId="16380" xr:uid="{00000000-0005-0000-0000-00006B5D0000}"/>
    <cellStyle name="Normal 4 11 3 4 2" xfId="30512" xr:uid="{00000000-0005-0000-0000-00006C5D0000}"/>
    <cellStyle name="Normal 4 11 3 4 3" xfId="44407" xr:uid="{00000000-0005-0000-0000-00006D5D0000}"/>
    <cellStyle name="Normal 4 11 3 5" xfId="21193" xr:uid="{00000000-0005-0000-0000-00006E5D0000}"/>
    <cellStyle name="Normal 4 11 3 6" xfId="39825" xr:uid="{00000000-0005-0000-0000-00006F5D0000}"/>
    <cellStyle name="Normal 4 11 4" xfId="5820" xr:uid="{00000000-0005-0000-0000-0000705D0000}"/>
    <cellStyle name="Normal 4 11 4 2" xfId="5821" xr:uid="{00000000-0005-0000-0000-0000715D0000}"/>
    <cellStyle name="Normal 4 11 4 2 2" xfId="11652" xr:uid="{00000000-0005-0000-0000-0000725D0000}"/>
    <cellStyle name="Normal 4 11 4 2 2 2" xfId="35137" xr:uid="{00000000-0005-0000-0000-0000735D0000}"/>
    <cellStyle name="Normal 4 11 4 2 2 3" xfId="25818" xr:uid="{00000000-0005-0000-0000-0000745D0000}"/>
    <cellStyle name="Normal 4 11 4 2 2 4" xfId="49080" xr:uid="{00000000-0005-0000-0000-0000755D0000}"/>
    <cellStyle name="Normal 4 11 4 2 3" xfId="16383" xr:uid="{00000000-0005-0000-0000-0000765D0000}"/>
    <cellStyle name="Normal 4 11 4 2 3 2" xfId="30515" xr:uid="{00000000-0005-0000-0000-0000775D0000}"/>
    <cellStyle name="Normal 4 11 4 2 3 3" xfId="44410" xr:uid="{00000000-0005-0000-0000-0000785D0000}"/>
    <cellStyle name="Normal 4 11 4 2 4" xfId="21196" xr:uid="{00000000-0005-0000-0000-0000795D0000}"/>
    <cellStyle name="Normal 4 11 4 2 5" xfId="39828" xr:uid="{00000000-0005-0000-0000-00007A5D0000}"/>
    <cellStyle name="Normal 4 11 4 3" xfId="11651" xr:uid="{00000000-0005-0000-0000-00007B5D0000}"/>
    <cellStyle name="Normal 4 11 4 3 2" xfId="35136" xr:uid="{00000000-0005-0000-0000-00007C5D0000}"/>
    <cellStyle name="Normal 4 11 4 3 3" xfId="25817" xr:uid="{00000000-0005-0000-0000-00007D5D0000}"/>
    <cellStyle name="Normal 4 11 4 3 4" xfId="49079" xr:uid="{00000000-0005-0000-0000-00007E5D0000}"/>
    <cellStyle name="Normal 4 11 4 4" xfId="16382" xr:uid="{00000000-0005-0000-0000-00007F5D0000}"/>
    <cellStyle name="Normal 4 11 4 4 2" xfId="30514" xr:uid="{00000000-0005-0000-0000-0000805D0000}"/>
    <cellStyle name="Normal 4 11 4 4 3" xfId="44409" xr:uid="{00000000-0005-0000-0000-0000815D0000}"/>
    <cellStyle name="Normal 4 11 4 5" xfId="21195" xr:uid="{00000000-0005-0000-0000-0000825D0000}"/>
    <cellStyle name="Normal 4 11 4 6" xfId="39827" xr:uid="{00000000-0005-0000-0000-0000835D0000}"/>
    <cellStyle name="Normal 4 11 5" xfId="5822" xr:uid="{00000000-0005-0000-0000-0000845D0000}"/>
    <cellStyle name="Normal 4 11 5 2" xfId="5823" xr:uid="{00000000-0005-0000-0000-0000855D0000}"/>
    <cellStyle name="Normal 4 11 5 2 2" xfId="11654" xr:uid="{00000000-0005-0000-0000-0000865D0000}"/>
    <cellStyle name="Normal 4 11 5 2 2 2" xfId="35139" xr:uid="{00000000-0005-0000-0000-0000875D0000}"/>
    <cellStyle name="Normal 4 11 5 2 2 3" xfId="25820" xr:uid="{00000000-0005-0000-0000-0000885D0000}"/>
    <cellStyle name="Normal 4 11 5 2 2 4" xfId="49082" xr:uid="{00000000-0005-0000-0000-0000895D0000}"/>
    <cellStyle name="Normal 4 11 5 2 3" xfId="16385" xr:uid="{00000000-0005-0000-0000-00008A5D0000}"/>
    <cellStyle name="Normal 4 11 5 2 3 2" xfId="30517" xr:uid="{00000000-0005-0000-0000-00008B5D0000}"/>
    <cellStyle name="Normal 4 11 5 2 3 3" xfId="44412" xr:uid="{00000000-0005-0000-0000-00008C5D0000}"/>
    <cellStyle name="Normal 4 11 5 2 4" xfId="21198" xr:uid="{00000000-0005-0000-0000-00008D5D0000}"/>
    <cellStyle name="Normal 4 11 5 2 5" xfId="39830" xr:uid="{00000000-0005-0000-0000-00008E5D0000}"/>
    <cellStyle name="Normal 4 11 5 3" xfId="11653" xr:uid="{00000000-0005-0000-0000-00008F5D0000}"/>
    <cellStyle name="Normal 4 11 5 3 2" xfId="35138" xr:uid="{00000000-0005-0000-0000-0000905D0000}"/>
    <cellStyle name="Normal 4 11 5 3 3" xfId="25819" xr:uid="{00000000-0005-0000-0000-0000915D0000}"/>
    <cellStyle name="Normal 4 11 5 3 4" xfId="49081" xr:uid="{00000000-0005-0000-0000-0000925D0000}"/>
    <cellStyle name="Normal 4 11 5 4" xfId="16384" xr:uid="{00000000-0005-0000-0000-0000935D0000}"/>
    <cellStyle name="Normal 4 11 5 4 2" xfId="30516" xr:uid="{00000000-0005-0000-0000-0000945D0000}"/>
    <cellStyle name="Normal 4 11 5 4 3" xfId="44411" xr:uid="{00000000-0005-0000-0000-0000955D0000}"/>
    <cellStyle name="Normal 4 11 5 5" xfId="21197" xr:uid="{00000000-0005-0000-0000-0000965D0000}"/>
    <cellStyle name="Normal 4 11 5 6" xfId="39829" xr:uid="{00000000-0005-0000-0000-0000975D0000}"/>
    <cellStyle name="Normal 4 11 6" xfId="5824" xr:uid="{00000000-0005-0000-0000-0000985D0000}"/>
    <cellStyle name="Normal 4 11 6 2" xfId="5825" xr:uid="{00000000-0005-0000-0000-0000995D0000}"/>
    <cellStyle name="Normal 4 11 6 2 2" xfId="11656" xr:uid="{00000000-0005-0000-0000-00009A5D0000}"/>
    <cellStyle name="Normal 4 11 6 2 2 2" xfId="35141" xr:uid="{00000000-0005-0000-0000-00009B5D0000}"/>
    <cellStyle name="Normal 4 11 6 2 2 3" xfId="25822" xr:uid="{00000000-0005-0000-0000-00009C5D0000}"/>
    <cellStyle name="Normal 4 11 6 2 2 4" xfId="49084" xr:uid="{00000000-0005-0000-0000-00009D5D0000}"/>
    <cellStyle name="Normal 4 11 6 2 3" xfId="16387" xr:uid="{00000000-0005-0000-0000-00009E5D0000}"/>
    <cellStyle name="Normal 4 11 6 2 3 2" xfId="30519" xr:uid="{00000000-0005-0000-0000-00009F5D0000}"/>
    <cellStyle name="Normal 4 11 6 2 3 3" xfId="44414" xr:uid="{00000000-0005-0000-0000-0000A05D0000}"/>
    <cellStyle name="Normal 4 11 6 2 4" xfId="21200" xr:uid="{00000000-0005-0000-0000-0000A15D0000}"/>
    <cellStyle name="Normal 4 11 6 2 5" xfId="39832" xr:uid="{00000000-0005-0000-0000-0000A25D0000}"/>
    <cellStyle name="Normal 4 11 6 3" xfId="11655" xr:uid="{00000000-0005-0000-0000-0000A35D0000}"/>
    <cellStyle name="Normal 4 11 6 3 2" xfId="35140" xr:uid="{00000000-0005-0000-0000-0000A45D0000}"/>
    <cellStyle name="Normal 4 11 6 3 3" xfId="25821" xr:uid="{00000000-0005-0000-0000-0000A55D0000}"/>
    <cellStyle name="Normal 4 11 6 3 4" xfId="49083" xr:uid="{00000000-0005-0000-0000-0000A65D0000}"/>
    <cellStyle name="Normal 4 11 6 4" xfId="16386" xr:uid="{00000000-0005-0000-0000-0000A75D0000}"/>
    <cellStyle name="Normal 4 11 6 4 2" xfId="30518" xr:uid="{00000000-0005-0000-0000-0000A85D0000}"/>
    <cellStyle name="Normal 4 11 6 4 3" xfId="44413" xr:uid="{00000000-0005-0000-0000-0000A95D0000}"/>
    <cellStyle name="Normal 4 11 6 5" xfId="21199" xr:uid="{00000000-0005-0000-0000-0000AA5D0000}"/>
    <cellStyle name="Normal 4 11 6 6" xfId="39831" xr:uid="{00000000-0005-0000-0000-0000AB5D0000}"/>
    <cellStyle name="Normal 4 11 7" xfId="5826" xr:uid="{00000000-0005-0000-0000-0000AC5D0000}"/>
    <cellStyle name="Normal 4 11 7 2" xfId="11657" xr:uid="{00000000-0005-0000-0000-0000AD5D0000}"/>
    <cellStyle name="Normal 4 11 7 2 2" xfId="35142" xr:uid="{00000000-0005-0000-0000-0000AE5D0000}"/>
    <cellStyle name="Normal 4 11 7 2 3" xfId="25823" xr:uid="{00000000-0005-0000-0000-0000AF5D0000}"/>
    <cellStyle name="Normal 4 11 7 2 4" xfId="49085" xr:uid="{00000000-0005-0000-0000-0000B05D0000}"/>
    <cellStyle name="Normal 4 11 7 3" xfId="16388" xr:uid="{00000000-0005-0000-0000-0000B15D0000}"/>
    <cellStyle name="Normal 4 11 7 3 2" xfId="30520" xr:uid="{00000000-0005-0000-0000-0000B25D0000}"/>
    <cellStyle name="Normal 4 11 7 3 3" xfId="44415" xr:uid="{00000000-0005-0000-0000-0000B35D0000}"/>
    <cellStyle name="Normal 4 11 7 4" xfId="21201" xr:uid="{00000000-0005-0000-0000-0000B45D0000}"/>
    <cellStyle name="Normal 4 11 7 5" xfId="39833" xr:uid="{00000000-0005-0000-0000-0000B55D0000}"/>
    <cellStyle name="Normal 4 11 8" xfId="11646" xr:uid="{00000000-0005-0000-0000-0000B65D0000}"/>
    <cellStyle name="Normal 4 11 8 2" xfId="35131" xr:uid="{00000000-0005-0000-0000-0000B75D0000}"/>
    <cellStyle name="Normal 4 11 8 3" xfId="25812" xr:uid="{00000000-0005-0000-0000-0000B85D0000}"/>
    <cellStyle name="Normal 4 11 8 4" xfId="49074" xr:uid="{00000000-0005-0000-0000-0000B95D0000}"/>
    <cellStyle name="Normal 4 11 9" xfId="16377" xr:uid="{00000000-0005-0000-0000-0000BA5D0000}"/>
    <cellStyle name="Normal 4 11 9 2" xfId="30509" xr:uid="{00000000-0005-0000-0000-0000BB5D0000}"/>
    <cellStyle name="Normal 4 11 9 3" xfId="44404" xr:uid="{00000000-0005-0000-0000-0000BC5D0000}"/>
    <cellStyle name="Normal 4 12" xfId="5827" xr:uid="{00000000-0005-0000-0000-0000BD5D0000}"/>
    <cellStyle name="Normal 4 12 10" xfId="21202" xr:uid="{00000000-0005-0000-0000-0000BE5D0000}"/>
    <cellStyle name="Normal 4 12 11" xfId="39834" xr:uid="{00000000-0005-0000-0000-0000BF5D0000}"/>
    <cellStyle name="Normal 4 12 2" xfId="5828" xr:uid="{00000000-0005-0000-0000-0000C05D0000}"/>
    <cellStyle name="Normal 4 12 2 2" xfId="5829" xr:uid="{00000000-0005-0000-0000-0000C15D0000}"/>
    <cellStyle name="Normal 4 12 2 2 2" xfId="11660" xr:uid="{00000000-0005-0000-0000-0000C25D0000}"/>
    <cellStyle name="Normal 4 12 2 2 2 2" xfId="35145" xr:uid="{00000000-0005-0000-0000-0000C35D0000}"/>
    <cellStyle name="Normal 4 12 2 2 2 3" xfId="25826" xr:uid="{00000000-0005-0000-0000-0000C45D0000}"/>
    <cellStyle name="Normal 4 12 2 2 2 4" xfId="49088" xr:uid="{00000000-0005-0000-0000-0000C55D0000}"/>
    <cellStyle name="Normal 4 12 2 2 3" xfId="16391" xr:uid="{00000000-0005-0000-0000-0000C65D0000}"/>
    <cellStyle name="Normal 4 12 2 2 3 2" xfId="30523" xr:uid="{00000000-0005-0000-0000-0000C75D0000}"/>
    <cellStyle name="Normal 4 12 2 2 3 3" xfId="44418" xr:uid="{00000000-0005-0000-0000-0000C85D0000}"/>
    <cellStyle name="Normal 4 12 2 2 4" xfId="21204" xr:uid="{00000000-0005-0000-0000-0000C95D0000}"/>
    <cellStyle name="Normal 4 12 2 2 5" xfId="39836" xr:uid="{00000000-0005-0000-0000-0000CA5D0000}"/>
    <cellStyle name="Normal 4 12 2 3" xfId="11659" xr:uid="{00000000-0005-0000-0000-0000CB5D0000}"/>
    <cellStyle name="Normal 4 12 2 3 2" xfId="35144" xr:uid="{00000000-0005-0000-0000-0000CC5D0000}"/>
    <cellStyle name="Normal 4 12 2 3 3" xfId="25825" xr:uid="{00000000-0005-0000-0000-0000CD5D0000}"/>
    <cellStyle name="Normal 4 12 2 3 4" xfId="49087" xr:uid="{00000000-0005-0000-0000-0000CE5D0000}"/>
    <cellStyle name="Normal 4 12 2 4" xfId="16390" xr:uid="{00000000-0005-0000-0000-0000CF5D0000}"/>
    <cellStyle name="Normal 4 12 2 4 2" xfId="30522" xr:uid="{00000000-0005-0000-0000-0000D05D0000}"/>
    <cellStyle name="Normal 4 12 2 4 3" xfId="44417" xr:uid="{00000000-0005-0000-0000-0000D15D0000}"/>
    <cellStyle name="Normal 4 12 2 5" xfId="21203" xr:uid="{00000000-0005-0000-0000-0000D25D0000}"/>
    <cellStyle name="Normal 4 12 2 6" xfId="39835" xr:uid="{00000000-0005-0000-0000-0000D35D0000}"/>
    <cellStyle name="Normal 4 12 3" xfId="5830" xr:uid="{00000000-0005-0000-0000-0000D45D0000}"/>
    <cellStyle name="Normal 4 12 3 2" xfId="5831" xr:uid="{00000000-0005-0000-0000-0000D55D0000}"/>
    <cellStyle name="Normal 4 12 3 2 2" xfId="11662" xr:uid="{00000000-0005-0000-0000-0000D65D0000}"/>
    <cellStyle name="Normal 4 12 3 2 2 2" xfId="35147" xr:uid="{00000000-0005-0000-0000-0000D75D0000}"/>
    <cellStyle name="Normal 4 12 3 2 2 3" xfId="25828" xr:uid="{00000000-0005-0000-0000-0000D85D0000}"/>
    <cellStyle name="Normal 4 12 3 2 2 4" xfId="49090" xr:uid="{00000000-0005-0000-0000-0000D95D0000}"/>
    <cellStyle name="Normal 4 12 3 2 3" xfId="16393" xr:uid="{00000000-0005-0000-0000-0000DA5D0000}"/>
    <cellStyle name="Normal 4 12 3 2 3 2" xfId="30525" xr:uid="{00000000-0005-0000-0000-0000DB5D0000}"/>
    <cellStyle name="Normal 4 12 3 2 3 3" xfId="44420" xr:uid="{00000000-0005-0000-0000-0000DC5D0000}"/>
    <cellStyle name="Normal 4 12 3 2 4" xfId="21206" xr:uid="{00000000-0005-0000-0000-0000DD5D0000}"/>
    <cellStyle name="Normal 4 12 3 2 5" xfId="39838" xr:uid="{00000000-0005-0000-0000-0000DE5D0000}"/>
    <cellStyle name="Normal 4 12 3 3" xfId="11661" xr:uid="{00000000-0005-0000-0000-0000DF5D0000}"/>
    <cellStyle name="Normal 4 12 3 3 2" xfId="35146" xr:uid="{00000000-0005-0000-0000-0000E05D0000}"/>
    <cellStyle name="Normal 4 12 3 3 3" xfId="25827" xr:uid="{00000000-0005-0000-0000-0000E15D0000}"/>
    <cellStyle name="Normal 4 12 3 3 4" xfId="49089" xr:uid="{00000000-0005-0000-0000-0000E25D0000}"/>
    <cellStyle name="Normal 4 12 3 4" xfId="16392" xr:uid="{00000000-0005-0000-0000-0000E35D0000}"/>
    <cellStyle name="Normal 4 12 3 4 2" xfId="30524" xr:uid="{00000000-0005-0000-0000-0000E45D0000}"/>
    <cellStyle name="Normal 4 12 3 4 3" xfId="44419" xr:uid="{00000000-0005-0000-0000-0000E55D0000}"/>
    <cellStyle name="Normal 4 12 3 5" xfId="21205" xr:uid="{00000000-0005-0000-0000-0000E65D0000}"/>
    <cellStyle name="Normal 4 12 3 6" xfId="39837" xr:uid="{00000000-0005-0000-0000-0000E75D0000}"/>
    <cellStyle name="Normal 4 12 4" xfId="5832" xr:uid="{00000000-0005-0000-0000-0000E85D0000}"/>
    <cellStyle name="Normal 4 12 4 2" xfId="5833" xr:uid="{00000000-0005-0000-0000-0000E95D0000}"/>
    <cellStyle name="Normal 4 12 4 2 2" xfId="11664" xr:uid="{00000000-0005-0000-0000-0000EA5D0000}"/>
    <cellStyle name="Normal 4 12 4 2 2 2" xfId="35149" xr:uid="{00000000-0005-0000-0000-0000EB5D0000}"/>
    <cellStyle name="Normal 4 12 4 2 2 3" xfId="25830" xr:uid="{00000000-0005-0000-0000-0000EC5D0000}"/>
    <cellStyle name="Normal 4 12 4 2 2 4" xfId="49092" xr:uid="{00000000-0005-0000-0000-0000ED5D0000}"/>
    <cellStyle name="Normal 4 12 4 2 3" xfId="16395" xr:uid="{00000000-0005-0000-0000-0000EE5D0000}"/>
    <cellStyle name="Normal 4 12 4 2 3 2" xfId="30527" xr:uid="{00000000-0005-0000-0000-0000EF5D0000}"/>
    <cellStyle name="Normal 4 12 4 2 3 3" xfId="44422" xr:uid="{00000000-0005-0000-0000-0000F05D0000}"/>
    <cellStyle name="Normal 4 12 4 2 4" xfId="21208" xr:uid="{00000000-0005-0000-0000-0000F15D0000}"/>
    <cellStyle name="Normal 4 12 4 2 5" xfId="39840" xr:uid="{00000000-0005-0000-0000-0000F25D0000}"/>
    <cellStyle name="Normal 4 12 4 3" xfId="11663" xr:uid="{00000000-0005-0000-0000-0000F35D0000}"/>
    <cellStyle name="Normal 4 12 4 3 2" xfId="35148" xr:uid="{00000000-0005-0000-0000-0000F45D0000}"/>
    <cellStyle name="Normal 4 12 4 3 3" xfId="25829" xr:uid="{00000000-0005-0000-0000-0000F55D0000}"/>
    <cellStyle name="Normal 4 12 4 3 4" xfId="49091" xr:uid="{00000000-0005-0000-0000-0000F65D0000}"/>
    <cellStyle name="Normal 4 12 4 4" xfId="16394" xr:uid="{00000000-0005-0000-0000-0000F75D0000}"/>
    <cellStyle name="Normal 4 12 4 4 2" xfId="30526" xr:uid="{00000000-0005-0000-0000-0000F85D0000}"/>
    <cellStyle name="Normal 4 12 4 4 3" xfId="44421" xr:uid="{00000000-0005-0000-0000-0000F95D0000}"/>
    <cellStyle name="Normal 4 12 4 5" xfId="21207" xr:uid="{00000000-0005-0000-0000-0000FA5D0000}"/>
    <cellStyle name="Normal 4 12 4 6" xfId="39839" xr:uid="{00000000-0005-0000-0000-0000FB5D0000}"/>
    <cellStyle name="Normal 4 12 5" xfId="5834" xr:uid="{00000000-0005-0000-0000-0000FC5D0000}"/>
    <cellStyle name="Normal 4 12 5 2" xfId="5835" xr:uid="{00000000-0005-0000-0000-0000FD5D0000}"/>
    <cellStyle name="Normal 4 12 5 2 2" xfId="11666" xr:uid="{00000000-0005-0000-0000-0000FE5D0000}"/>
    <cellStyle name="Normal 4 12 5 2 2 2" xfId="35151" xr:uid="{00000000-0005-0000-0000-0000FF5D0000}"/>
    <cellStyle name="Normal 4 12 5 2 2 3" xfId="25832" xr:uid="{00000000-0005-0000-0000-0000005E0000}"/>
    <cellStyle name="Normal 4 12 5 2 2 4" xfId="49094" xr:uid="{00000000-0005-0000-0000-0000015E0000}"/>
    <cellStyle name="Normal 4 12 5 2 3" xfId="16397" xr:uid="{00000000-0005-0000-0000-0000025E0000}"/>
    <cellStyle name="Normal 4 12 5 2 3 2" xfId="30529" xr:uid="{00000000-0005-0000-0000-0000035E0000}"/>
    <cellStyle name="Normal 4 12 5 2 3 3" xfId="44424" xr:uid="{00000000-0005-0000-0000-0000045E0000}"/>
    <cellStyle name="Normal 4 12 5 2 4" xfId="21210" xr:uid="{00000000-0005-0000-0000-0000055E0000}"/>
    <cellStyle name="Normal 4 12 5 2 5" xfId="39842" xr:uid="{00000000-0005-0000-0000-0000065E0000}"/>
    <cellStyle name="Normal 4 12 5 3" xfId="11665" xr:uid="{00000000-0005-0000-0000-0000075E0000}"/>
    <cellStyle name="Normal 4 12 5 3 2" xfId="35150" xr:uid="{00000000-0005-0000-0000-0000085E0000}"/>
    <cellStyle name="Normal 4 12 5 3 3" xfId="25831" xr:uid="{00000000-0005-0000-0000-0000095E0000}"/>
    <cellStyle name="Normal 4 12 5 3 4" xfId="49093" xr:uid="{00000000-0005-0000-0000-00000A5E0000}"/>
    <cellStyle name="Normal 4 12 5 4" xfId="16396" xr:uid="{00000000-0005-0000-0000-00000B5E0000}"/>
    <cellStyle name="Normal 4 12 5 4 2" xfId="30528" xr:uid="{00000000-0005-0000-0000-00000C5E0000}"/>
    <cellStyle name="Normal 4 12 5 4 3" xfId="44423" xr:uid="{00000000-0005-0000-0000-00000D5E0000}"/>
    <cellStyle name="Normal 4 12 5 5" xfId="21209" xr:uid="{00000000-0005-0000-0000-00000E5E0000}"/>
    <cellStyle name="Normal 4 12 5 6" xfId="39841" xr:uid="{00000000-0005-0000-0000-00000F5E0000}"/>
    <cellStyle name="Normal 4 12 6" xfId="5836" xr:uid="{00000000-0005-0000-0000-0000105E0000}"/>
    <cellStyle name="Normal 4 12 6 2" xfId="5837" xr:uid="{00000000-0005-0000-0000-0000115E0000}"/>
    <cellStyle name="Normal 4 12 6 2 2" xfId="11668" xr:uid="{00000000-0005-0000-0000-0000125E0000}"/>
    <cellStyle name="Normal 4 12 6 2 2 2" xfId="35153" xr:uid="{00000000-0005-0000-0000-0000135E0000}"/>
    <cellStyle name="Normal 4 12 6 2 2 3" xfId="25834" xr:uid="{00000000-0005-0000-0000-0000145E0000}"/>
    <cellStyle name="Normal 4 12 6 2 2 4" xfId="49096" xr:uid="{00000000-0005-0000-0000-0000155E0000}"/>
    <cellStyle name="Normal 4 12 6 2 3" xfId="16399" xr:uid="{00000000-0005-0000-0000-0000165E0000}"/>
    <cellStyle name="Normal 4 12 6 2 3 2" xfId="30531" xr:uid="{00000000-0005-0000-0000-0000175E0000}"/>
    <cellStyle name="Normal 4 12 6 2 3 3" xfId="44426" xr:uid="{00000000-0005-0000-0000-0000185E0000}"/>
    <cellStyle name="Normal 4 12 6 2 4" xfId="21212" xr:uid="{00000000-0005-0000-0000-0000195E0000}"/>
    <cellStyle name="Normal 4 12 6 2 5" xfId="39844" xr:uid="{00000000-0005-0000-0000-00001A5E0000}"/>
    <cellStyle name="Normal 4 12 6 3" xfId="11667" xr:uid="{00000000-0005-0000-0000-00001B5E0000}"/>
    <cellStyle name="Normal 4 12 6 3 2" xfId="35152" xr:uid="{00000000-0005-0000-0000-00001C5E0000}"/>
    <cellStyle name="Normal 4 12 6 3 3" xfId="25833" xr:uid="{00000000-0005-0000-0000-00001D5E0000}"/>
    <cellStyle name="Normal 4 12 6 3 4" xfId="49095" xr:uid="{00000000-0005-0000-0000-00001E5E0000}"/>
    <cellStyle name="Normal 4 12 6 4" xfId="16398" xr:uid="{00000000-0005-0000-0000-00001F5E0000}"/>
    <cellStyle name="Normal 4 12 6 4 2" xfId="30530" xr:uid="{00000000-0005-0000-0000-0000205E0000}"/>
    <cellStyle name="Normal 4 12 6 4 3" xfId="44425" xr:uid="{00000000-0005-0000-0000-0000215E0000}"/>
    <cellStyle name="Normal 4 12 6 5" xfId="21211" xr:uid="{00000000-0005-0000-0000-0000225E0000}"/>
    <cellStyle name="Normal 4 12 6 6" xfId="39843" xr:uid="{00000000-0005-0000-0000-0000235E0000}"/>
    <cellStyle name="Normal 4 12 7" xfId="5838" xr:uid="{00000000-0005-0000-0000-0000245E0000}"/>
    <cellStyle name="Normal 4 12 7 2" xfId="11669" xr:uid="{00000000-0005-0000-0000-0000255E0000}"/>
    <cellStyle name="Normal 4 12 7 2 2" xfId="35154" xr:uid="{00000000-0005-0000-0000-0000265E0000}"/>
    <cellStyle name="Normal 4 12 7 2 3" xfId="25835" xr:uid="{00000000-0005-0000-0000-0000275E0000}"/>
    <cellStyle name="Normal 4 12 7 2 4" xfId="49097" xr:uid="{00000000-0005-0000-0000-0000285E0000}"/>
    <cellStyle name="Normal 4 12 7 3" xfId="16400" xr:uid="{00000000-0005-0000-0000-0000295E0000}"/>
    <cellStyle name="Normal 4 12 7 3 2" xfId="30532" xr:uid="{00000000-0005-0000-0000-00002A5E0000}"/>
    <cellStyle name="Normal 4 12 7 3 3" xfId="44427" xr:uid="{00000000-0005-0000-0000-00002B5E0000}"/>
    <cellStyle name="Normal 4 12 7 4" xfId="21213" xr:uid="{00000000-0005-0000-0000-00002C5E0000}"/>
    <cellStyle name="Normal 4 12 7 5" xfId="39845" xr:uid="{00000000-0005-0000-0000-00002D5E0000}"/>
    <cellStyle name="Normal 4 12 8" xfId="11658" xr:uid="{00000000-0005-0000-0000-00002E5E0000}"/>
    <cellStyle name="Normal 4 12 8 2" xfId="35143" xr:uid="{00000000-0005-0000-0000-00002F5E0000}"/>
    <cellStyle name="Normal 4 12 8 3" xfId="25824" xr:uid="{00000000-0005-0000-0000-0000305E0000}"/>
    <cellStyle name="Normal 4 12 8 4" xfId="49086" xr:uid="{00000000-0005-0000-0000-0000315E0000}"/>
    <cellStyle name="Normal 4 12 9" xfId="16389" xr:uid="{00000000-0005-0000-0000-0000325E0000}"/>
    <cellStyle name="Normal 4 12 9 2" xfId="30521" xr:uid="{00000000-0005-0000-0000-0000335E0000}"/>
    <cellStyle name="Normal 4 12 9 3" xfId="44416" xr:uid="{00000000-0005-0000-0000-0000345E0000}"/>
    <cellStyle name="Normal 4 13" xfId="5839" xr:uid="{00000000-0005-0000-0000-0000355E0000}"/>
    <cellStyle name="Normal 4 13 10" xfId="21214" xr:uid="{00000000-0005-0000-0000-0000365E0000}"/>
    <cellStyle name="Normal 4 13 11" xfId="39846" xr:uid="{00000000-0005-0000-0000-0000375E0000}"/>
    <cellStyle name="Normal 4 13 2" xfId="5840" xr:uid="{00000000-0005-0000-0000-0000385E0000}"/>
    <cellStyle name="Normal 4 13 2 2" xfId="5841" xr:uid="{00000000-0005-0000-0000-0000395E0000}"/>
    <cellStyle name="Normal 4 13 2 2 2" xfId="11672" xr:uid="{00000000-0005-0000-0000-00003A5E0000}"/>
    <cellStyle name="Normal 4 13 2 2 2 2" xfId="35157" xr:uid="{00000000-0005-0000-0000-00003B5E0000}"/>
    <cellStyle name="Normal 4 13 2 2 2 3" xfId="25838" xr:uid="{00000000-0005-0000-0000-00003C5E0000}"/>
    <cellStyle name="Normal 4 13 2 2 2 4" xfId="49100" xr:uid="{00000000-0005-0000-0000-00003D5E0000}"/>
    <cellStyle name="Normal 4 13 2 2 3" xfId="16403" xr:uid="{00000000-0005-0000-0000-00003E5E0000}"/>
    <cellStyle name="Normal 4 13 2 2 3 2" xfId="30535" xr:uid="{00000000-0005-0000-0000-00003F5E0000}"/>
    <cellStyle name="Normal 4 13 2 2 3 3" xfId="44430" xr:uid="{00000000-0005-0000-0000-0000405E0000}"/>
    <cellStyle name="Normal 4 13 2 2 4" xfId="21216" xr:uid="{00000000-0005-0000-0000-0000415E0000}"/>
    <cellStyle name="Normal 4 13 2 2 5" xfId="39848" xr:uid="{00000000-0005-0000-0000-0000425E0000}"/>
    <cellStyle name="Normal 4 13 2 3" xfId="11671" xr:uid="{00000000-0005-0000-0000-0000435E0000}"/>
    <cellStyle name="Normal 4 13 2 3 2" xfId="35156" xr:uid="{00000000-0005-0000-0000-0000445E0000}"/>
    <cellStyle name="Normal 4 13 2 3 3" xfId="25837" xr:uid="{00000000-0005-0000-0000-0000455E0000}"/>
    <cellStyle name="Normal 4 13 2 3 4" xfId="49099" xr:uid="{00000000-0005-0000-0000-0000465E0000}"/>
    <cellStyle name="Normal 4 13 2 4" xfId="16402" xr:uid="{00000000-0005-0000-0000-0000475E0000}"/>
    <cellStyle name="Normal 4 13 2 4 2" xfId="30534" xr:uid="{00000000-0005-0000-0000-0000485E0000}"/>
    <cellStyle name="Normal 4 13 2 4 3" xfId="44429" xr:uid="{00000000-0005-0000-0000-0000495E0000}"/>
    <cellStyle name="Normal 4 13 2 5" xfId="21215" xr:uid="{00000000-0005-0000-0000-00004A5E0000}"/>
    <cellStyle name="Normal 4 13 2 6" xfId="39847" xr:uid="{00000000-0005-0000-0000-00004B5E0000}"/>
    <cellStyle name="Normal 4 13 3" xfId="5842" xr:uid="{00000000-0005-0000-0000-00004C5E0000}"/>
    <cellStyle name="Normal 4 13 3 2" xfId="5843" xr:uid="{00000000-0005-0000-0000-00004D5E0000}"/>
    <cellStyle name="Normal 4 13 3 2 2" xfId="11674" xr:uid="{00000000-0005-0000-0000-00004E5E0000}"/>
    <cellStyle name="Normal 4 13 3 2 2 2" xfId="35159" xr:uid="{00000000-0005-0000-0000-00004F5E0000}"/>
    <cellStyle name="Normal 4 13 3 2 2 3" xfId="25840" xr:uid="{00000000-0005-0000-0000-0000505E0000}"/>
    <cellStyle name="Normal 4 13 3 2 2 4" xfId="49102" xr:uid="{00000000-0005-0000-0000-0000515E0000}"/>
    <cellStyle name="Normal 4 13 3 2 3" xfId="16405" xr:uid="{00000000-0005-0000-0000-0000525E0000}"/>
    <cellStyle name="Normal 4 13 3 2 3 2" xfId="30537" xr:uid="{00000000-0005-0000-0000-0000535E0000}"/>
    <cellStyle name="Normal 4 13 3 2 3 3" xfId="44432" xr:uid="{00000000-0005-0000-0000-0000545E0000}"/>
    <cellStyle name="Normal 4 13 3 2 4" xfId="21218" xr:uid="{00000000-0005-0000-0000-0000555E0000}"/>
    <cellStyle name="Normal 4 13 3 2 5" xfId="39850" xr:uid="{00000000-0005-0000-0000-0000565E0000}"/>
    <cellStyle name="Normal 4 13 3 3" xfId="11673" xr:uid="{00000000-0005-0000-0000-0000575E0000}"/>
    <cellStyle name="Normal 4 13 3 3 2" xfId="35158" xr:uid="{00000000-0005-0000-0000-0000585E0000}"/>
    <cellStyle name="Normal 4 13 3 3 3" xfId="25839" xr:uid="{00000000-0005-0000-0000-0000595E0000}"/>
    <cellStyle name="Normal 4 13 3 3 4" xfId="49101" xr:uid="{00000000-0005-0000-0000-00005A5E0000}"/>
    <cellStyle name="Normal 4 13 3 4" xfId="16404" xr:uid="{00000000-0005-0000-0000-00005B5E0000}"/>
    <cellStyle name="Normal 4 13 3 4 2" xfId="30536" xr:uid="{00000000-0005-0000-0000-00005C5E0000}"/>
    <cellStyle name="Normal 4 13 3 4 3" xfId="44431" xr:uid="{00000000-0005-0000-0000-00005D5E0000}"/>
    <cellStyle name="Normal 4 13 3 5" xfId="21217" xr:uid="{00000000-0005-0000-0000-00005E5E0000}"/>
    <cellStyle name="Normal 4 13 3 6" xfId="39849" xr:uid="{00000000-0005-0000-0000-00005F5E0000}"/>
    <cellStyle name="Normal 4 13 4" xfId="5844" xr:uid="{00000000-0005-0000-0000-0000605E0000}"/>
    <cellStyle name="Normal 4 13 4 2" xfId="5845" xr:uid="{00000000-0005-0000-0000-0000615E0000}"/>
    <cellStyle name="Normal 4 13 4 2 2" xfId="11676" xr:uid="{00000000-0005-0000-0000-0000625E0000}"/>
    <cellStyle name="Normal 4 13 4 2 2 2" xfId="35161" xr:uid="{00000000-0005-0000-0000-0000635E0000}"/>
    <cellStyle name="Normal 4 13 4 2 2 3" xfId="25842" xr:uid="{00000000-0005-0000-0000-0000645E0000}"/>
    <cellStyle name="Normal 4 13 4 2 2 4" xfId="49104" xr:uid="{00000000-0005-0000-0000-0000655E0000}"/>
    <cellStyle name="Normal 4 13 4 2 3" xfId="16407" xr:uid="{00000000-0005-0000-0000-0000665E0000}"/>
    <cellStyle name="Normal 4 13 4 2 3 2" xfId="30539" xr:uid="{00000000-0005-0000-0000-0000675E0000}"/>
    <cellStyle name="Normal 4 13 4 2 3 3" xfId="44434" xr:uid="{00000000-0005-0000-0000-0000685E0000}"/>
    <cellStyle name="Normal 4 13 4 2 4" xfId="21220" xr:uid="{00000000-0005-0000-0000-0000695E0000}"/>
    <cellStyle name="Normal 4 13 4 2 5" xfId="39852" xr:uid="{00000000-0005-0000-0000-00006A5E0000}"/>
    <cellStyle name="Normal 4 13 4 3" xfId="11675" xr:uid="{00000000-0005-0000-0000-00006B5E0000}"/>
    <cellStyle name="Normal 4 13 4 3 2" xfId="35160" xr:uid="{00000000-0005-0000-0000-00006C5E0000}"/>
    <cellStyle name="Normal 4 13 4 3 3" xfId="25841" xr:uid="{00000000-0005-0000-0000-00006D5E0000}"/>
    <cellStyle name="Normal 4 13 4 3 4" xfId="49103" xr:uid="{00000000-0005-0000-0000-00006E5E0000}"/>
    <cellStyle name="Normal 4 13 4 4" xfId="16406" xr:uid="{00000000-0005-0000-0000-00006F5E0000}"/>
    <cellStyle name="Normal 4 13 4 4 2" xfId="30538" xr:uid="{00000000-0005-0000-0000-0000705E0000}"/>
    <cellStyle name="Normal 4 13 4 4 3" xfId="44433" xr:uid="{00000000-0005-0000-0000-0000715E0000}"/>
    <cellStyle name="Normal 4 13 4 5" xfId="21219" xr:uid="{00000000-0005-0000-0000-0000725E0000}"/>
    <cellStyle name="Normal 4 13 4 6" xfId="39851" xr:uid="{00000000-0005-0000-0000-0000735E0000}"/>
    <cellStyle name="Normal 4 13 5" xfId="5846" xr:uid="{00000000-0005-0000-0000-0000745E0000}"/>
    <cellStyle name="Normal 4 13 5 2" xfId="5847" xr:uid="{00000000-0005-0000-0000-0000755E0000}"/>
    <cellStyle name="Normal 4 13 5 2 2" xfId="11678" xr:uid="{00000000-0005-0000-0000-0000765E0000}"/>
    <cellStyle name="Normal 4 13 5 2 2 2" xfId="35163" xr:uid="{00000000-0005-0000-0000-0000775E0000}"/>
    <cellStyle name="Normal 4 13 5 2 2 3" xfId="25844" xr:uid="{00000000-0005-0000-0000-0000785E0000}"/>
    <cellStyle name="Normal 4 13 5 2 2 4" xfId="49106" xr:uid="{00000000-0005-0000-0000-0000795E0000}"/>
    <cellStyle name="Normal 4 13 5 2 3" xfId="16409" xr:uid="{00000000-0005-0000-0000-00007A5E0000}"/>
    <cellStyle name="Normal 4 13 5 2 3 2" xfId="30541" xr:uid="{00000000-0005-0000-0000-00007B5E0000}"/>
    <cellStyle name="Normal 4 13 5 2 3 3" xfId="44436" xr:uid="{00000000-0005-0000-0000-00007C5E0000}"/>
    <cellStyle name="Normal 4 13 5 2 4" xfId="21222" xr:uid="{00000000-0005-0000-0000-00007D5E0000}"/>
    <cellStyle name="Normal 4 13 5 2 5" xfId="39854" xr:uid="{00000000-0005-0000-0000-00007E5E0000}"/>
    <cellStyle name="Normal 4 13 5 3" xfId="11677" xr:uid="{00000000-0005-0000-0000-00007F5E0000}"/>
    <cellStyle name="Normal 4 13 5 3 2" xfId="35162" xr:uid="{00000000-0005-0000-0000-0000805E0000}"/>
    <cellStyle name="Normal 4 13 5 3 3" xfId="25843" xr:uid="{00000000-0005-0000-0000-0000815E0000}"/>
    <cellStyle name="Normal 4 13 5 3 4" xfId="49105" xr:uid="{00000000-0005-0000-0000-0000825E0000}"/>
    <cellStyle name="Normal 4 13 5 4" xfId="16408" xr:uid="{00000000-0005-0000-0000-0000835E0000}"/>
    <cellStyle name="Normal 4 13 5 4 2" xfId="30540" xr:uid="{00000000-0005-0000-0000-0000845E0000}"/>
    <cellStyle name="Normal 4 13 5 4 3" xfId="44435" xr:uid="{00000000-0005-0000-0000-0000855E0000}"/>
    <cellStyle name="Normal 4 13 5 5" xfId="21221" xr:uid="{00000000-0005-0000-0000-0000865E0000}"/>
    <cellStyle name="Normal 4 13 5 6" xfId="39853" xr:uid="{00000000-0005-0000-0000-0000875E0000}"/>
    <cellStyle name="Normal 4 13 6" xfId="5848" xr:uid="{00000000-0005-0000-0000-0000885E0000}"/>
    <cellStyle name="Normal 4 13 6 2" xfId="5849" xr:uid="{00000000-0005-0000-0000-0000895E0000}"/>
    <cellStyle name="Normal 4 13 6 2 2" xfId="11680" xr:uid="{00000000-0005-0000-0000-00008A5E0000}"/>
    <cellStyle name="Normal 4 13 6 2 2 2" xfId="35165" xr:uid="{00000000-0005-0000-0000-00008B5E0000}"/>
    <cellStyle name="Normal 4 13 6 2 2 3" xfId="25846" xr:uid="{00000000-0005-0000-0000-00008C5E0000}"/>
    <cellStyle name="Normal 4 13 6 2 2 4" xfId="49108" xr:uid="{00000000-0005-0000-0000-00008D5E0000}"/>
    <cellStyle name="Normal 4 13 6 2 3" xfId="16411" xr:uid="{00000000-0005-0000-0000-00008E5E0000}"/>
    <cellStyle name="Normal 4 13 6 2 3 2" xfId="30543" xr:uid="{00000000-0005-0000-0000-00008F5E0000}"/>
    <cellStyle name="Normal 4 13 6 2 3 3" xfId="44438" xr:uid="{00000000-0005-0000-0000-0000905E0000}"/>
    <cellStyle name="Normal 4 13 6 2 4" xfId="21224" xr:uid="{00000000-0005-0000-0000-0000915E0000}"/>
    <cellStyle name="Normal 4 13 6 2 5" xfId="39856" xr:uid="{00000000-0005-0000-0000-0000925E0000}"/>
    <cellStyle name="Normal 4 13 6 3" xfId="11679" xr:uid="{00000000-0005-0000-0000-0000935E0000}"/>
    <cellStyle name="Normal 4 13 6 3 2" xfId="35164" xr:uid="{00000000-0005-0000-0000-0000945E0000}"/>
    <cellStyle name="Normal 4 13 6 3 3" xfId="25845" xr:uid="{00000000-0005-0000-0000-0000955E0000}"/>
    <cellStyle name="Normal 4 13 6 3 4" xfId="49107" xr:uid="{00000000-0005-0000-0000-0000965E0000}"/>
    <cellStyle name="Normal 4 13 6 4" xfId="16410" xr:uid="{00000000-0005-0000-0000-0000975E0000}"/>
    <cellStyle name="Normal 4 13 6 4 2" xfId="30542" xr:uid="{00000000-0005-0000-0000-0000985E0000}"/>
    <cellStyle name="Normal 4 13 6 4 3" xfId="44437" xr:uid="{00000000-0005-0000-0000-0000995E0000}"/>
    <cellStyle name="Normal 4 13 6 5" xfId="21223" xr:uid="{00000000-0005-0000-0000-00009A5E0000}"/>
    <cellStyle name="Normal 4 13 6 6" xfId="39855" xr:uid="{00000000-0005-0000-0000-00009B5E0000}"/>
    <cellStyle name="Normal 4 13 7" xfId="5850" xr:uid="{00000000-0005-0000-0000-00009C5E0000}"/>
    <cellStyle name="Normal 4 13 7 2" xfId="11681" xr:uid="{00000000-0005-0000-0000-00009D5E0000}"/>
    <cellStyle name="Normal 4 13 7 2 2" xfId="35166" xr:uid="{00000000-0005-0000-0000-00009E5E0000}"/>
    <cellStyle name="Normal 4 13 7 2 3" xfId="25847" xr:uid="{00000000-0005-0000-0000-00009F5E0000}"/>
    <cellStyle name="Normal 4 13 7 2 4" xfId="49109" xr:uid="{00000000-0005-0000-0000-0000A05E0000}"/>
    <cellStyle name="Normal 4 13 7 3" xfId="16412" xr:uid="{00000000-0005-0000-0000-0000A15E0000}"/>
    <cellStyle name="Normal 4 13 7 3 2" xfId="30544" xr:uid="{00000000-0005-0000-0000-0000A25E0000}"/>
    <cellStyle name="Normal 4 13 7 3 3" xfId="44439" xr:uid="{00000000-0005-0000-0000-0000A35E0000}"/>
    <cellStyle name="Normal 4 13 7 4" xfId="21225" xr:uid="{00000000-0005-0000-0000-0000A45E0000}"/>
    <cellStyle name="Normal 4 13 7 5" xfId="39857" xr:uid="{00000000-0005-0000-0000-0000A55E0000}"/>
    <cellStyle name="Normal 4 13 8" xfId="11670" xr:uid="{00000000-0005-0000-0000-0000A65E0000}"/>
    <cellStyle name="Normal 4 13 8 2" xfId="35155" xr:uid="{00000000-0005-0000-0000-0000A75E0000}"/>
    <cellStyle name="Normal 4 13 8 3" xfId="25836" xr:uid="{00000000-0005-0000-0000-0000A85E0000}"/>
    <cellStyle name="Normal 4 13 8 4" xfId="49098" xr:uid="{00000000-0005-0000-0000-0000A95E0000}"/>
    <cellStyle name="Normal 4 13 9" xfId="16401" xr:uid="{00000000-0005-0000-0000-0000AA5E0000}"/>
    <cellStyle name="Normal 4 13 9 2" xfId="30533" xr:uid="{00000000-0005-0000-0000-0000AB5E0000}"/>
    <cellStyle name="Normal 4 13 9 3" xfId="44428" xr:uid="{00000000-0005-0000-0000-0000AC5E0000}"/>
    <cellStyle name="Normal 4 14" xfId="5851" xr:uid="{00000000-0005-0000-0000-0000AD5E0000}"/>
    <cellStyle name="Normal 4 14 10" xfId="21226" xr:uid="{00000000-0005-0000-0000-0000AE5E0000}"/>
    <cellStyle name="Normal 4 14 11" xfId="39858" xr:uid="{00000000-0005-0000-0000-0000AF5E0000}"/>
    <cellStyle name="Normal 4 14 2" xfId="5852" xr:uid="{00000000-0005-0000-0000-0000B05E0000}"/>
    <cellStyle name="Normal 4 14 2 2" xfId="5853" xr:uid="{00000000-0005-0000-0000-0000B15E0000}"/>
    <cellStyle name="Normal 4 14 2 2 2" xfId="11684" xr:uid="{00000000-0005-0000-0000-0000B25E0000}"/>
    <cellStyle name="Normal 4 14 2 2 2 2" xfId="35169" xr:uid="{00000000-0005-0000-0000-0000B35E0000}"/>
    <cellStyle name="Normal 4 14 2 2 2 3" xfId="25850" xr:uid="{00000000-0005-0000-0000-0000B45E0000}"/>
    <cellStyle name="Normal 4 14 2 2 2 4" xfId="49112" xr:uid="{00000000-0005-0000-0000-0000B55E0000}"/>
    <cellStyle name="Normal 4 14 2 2 3" xfId="16415" xr:uid="{00000000-0005-0000-0000-0000B65E0000}"/>
    <cellStyle name="Normal 4 14 2 2 3 2" xfId="30547" xr:uid="{00000000-0005-0000-0000-0000B75E0000}"/>
    <cellStyle name="Normal 4 14 2 2 3 3" xfId="44442" xr:uid="{00000000-0005-0000-0000-0000B85E0000}"/>
    <cellStyle name="Normal 4 14 2 2 4" xfId="21228" xr:uid="{00000000-0005-0000-0000-0000B95E0000}"/>
    <cellStyle name="Normal 4 14 2 2 5" xfId="39860" xr:uid="{00000000-0005-0000-0000-0000BA5E0000}"/>
    <cellStyle name="Normal 4 14 2 3" xfId="11683" xr:uid="{00000000-0005-0000-0000-0000BB5E0000}"/>
    <cellStyle name="Normal 4 14 2 3 2" xfId="35168" xr:uid="{00000000-0005-0000-0000-0000BC5E0000}"/>
    <cellStyle name="Normal 4 14 2 3 3" xfId="25849" xr:uid="{00000000-0005-0000-0000-0000BD5E0000}"/>
    <cellStyle name="Normal 4 14 2 3 4" xfId="49111" xr:uid="{00000000-0005-0000-0000-0000BE5E0000}"/>
    <cellStyle name="Normal 4 14 2 4" xfId="16414" xr:uid="{00000000-0005-0000-0000-0000BF5E0000}"/>
    <cellStyle name="Normal 4 14 2 4 2" xfId="30546" xr:uid="{00000000-0005-0000-0000-0000C05E0000}"/>
    <cellStyle name="Normal 4 14 2 4 3" xfId="44441" xr:uid="{00000000-0005-0000-0000-0000C15E0000}"/>
    <cellStyle name="Normal 4 14 2 5" xfId="21227" xr:uid="{00000000-0005-0000-0000-0000C25E0000}"/>
    <cellStyle name="Normal 4 14 2 6" xfId="39859" xr:uid="{00000000-0005-0000-0000-0000C35E0000}"/>
    <cellStyle name="Normal 4 14 3" xfId="5854" xr:uid="{00000000-0005-0000-0000-0000C45E0000}"/>
    <cellStyle name="Normal 4 14 3 2" xfId="5855" xr:uid="{00000000-0005-0000-0000-0000C55E0000}"/>
    <cellStyle name="Normal 4 14 3 2 2" xfId="11686" xr:uid="{00000000-0005-0000-0000-0000C65E0000}"/>
    <cellStyle name="Normal 4 14 3 2 2 2" xfId="35171" xr:uid="{00000000-0005-0000-0000-0000C75E0000}"/>
    <cellStyle name="Normal 4 14 3 2 2 3" xfId="25852" xr:uid="{00000000-0005-0000-0000-0000C85E0000}"/>
    <cellStyle name="Normal 4 14 3 2 2 4" xfId="49114" xr:uid="{00000000-0005-0000-0000-0000C95E0000}"/>
    <cellStyle name="Normal 4 14 3 2 3" xfId="16417" xr:uid="{00000000-0005-0000-0000-0000CA5E0000}"/>
    <cellStyle name="Normal 4 14 3 2 3 2" xfId="30549" xr:uid="{00000000-0005-0000-0000-0000CB5E0000}"/>
    <cellStyle name="Normal 4 14 3 2 3 3" xfId="44444" xr:uid="{00000000-0005-0000-0000-0000CC5E0000}"/>
    <cellStyle name="Normal 4 14 3 2 4" xfId="21230" xr:uid="{00000000-0005-0000-0000-0000CD5E0000}"/>
    <cellStyle name="Normal 4 14 3 2 5" xfId="39862" xr:uid="{00000000-0005-0000-0000-0000CE5E0000}"/>
    <cellStyle name="Normal 4 14 3 3" xfId="11685" xr:uid="{00000000-0005-0000-0000-0000CF5E0000}"/>
    <cellStyle name="Normal 4 14 3 3 2" xfId="35170" xr:uid="{00000000-0005-0000-0000-0000D05E0000}"/>
    <cellStyle name="Normal 4 14 3 3 3" xfId="25851" xr:uid="{00000000-0005-0000-0000-0000D15E0000}"/>
    <cellStyle name="Normal 4 14 3 3 4" xfId="49113" xr:uid="{00000000-0005-0000-0000-0000D25E0000}"/>
    <cellStyle name="Normal 4 14 3 4" xfId="16416" xr:uid="{00000000-0005-0000-0000-0000D35E0000}"/>
    <cellStyle name="Normal 4 14 3 4 2" xfId="30548" xr:uid="{00000000-0005-0000-0000-0000D45E0000}"/>
    <cellStyle name="Normal 4 14 3 4 3" xfId="44443" xr:uid="{00000000-0005-0000-0000-0000D55E0000}"/>
    <cellStyle name="Normal 4 14 3 5" xfId="21229" xr:uid="{00000000-0005-0000-0000-0000D65E0000}"/>
    <cellStyle name="Normal 4 14 3 6" xfId="39861" xr:uid="{00000000-0005-0000-0000-0000D75E0000}"/>
    <cellStyle name="Normal 4 14 4" xfId="5856" xr:uid="{00000000-0005-0000-0000-0000D85E0000}"/>
    <cellStyle name="Normal 4 14 4 2" xfId="5857" xr:uid="{00000000-0005-0000-0000-0000D95E0000}"/>
    <cellStyle name="Normal 4 14 4 2 2" xfId="11688" xr:uid="{00000000-0005-0000-0000-0000DA5E0000}"/>
    <cellStyle name="Normal 4 14 4 2 2 2" xfId="35173" xr:uid="{00000000-0005-0000-0000-0000DB5E0000}"/>
    <cellStyle name="Normal 4 14 4 2 2 3" xfId="25854" xr:uid="{00000000-0005-0000-0000-0000DC5E0000}"/>
    <cellStyle name="Normal 4 14 4 2 2 4" xfId="49116" xr:uid="{00000000-0005-0000-0000-0000DD5E0000}"/>
    <cellStyle name="Normal 4 14 4 2 3" xfId="16419" xr:uid="{00000000-0005-0000-0000-0000DE5E0000}"/>
    <cellStyle name="Normal 4 14 4 2 3 2" xfId="30551" xr:uid="{00000000-0005-0000-0000-0000DF5E0000}"/>
    <cellStyle name="Normal 4 14 4 2 3 3" xfId="44446" xr:uid="{00000000-0005-0000-0000-0000E05E0000}"/>
    <cellStyle name="Normal 4 14 4 2 4" xfId="21232" xr:uid="{00000000-0005-0000-0000-0000E15E0000}"/>
    <cellStyle name="Normal 4 14 4 2 5" xfId="39864" xr:uid="{00000000-0005-0000-0000-0000E25E0000}"/>
    <cellStyle name="Normal 4 14 4 3" xfId="11687" xr:uid="{00000000-0005-0000-0000-0000E35E0000}"/>
    <cellStyle name="Normal 4 14 4 3 2" xfId="35172" xr:uid="{00000000-0005-0000-0000-0000E45E0000}"/>
    <cellStyle name="Normal 4 14 4 3 3" xfId="25853" xr:uid="{00000000-0005-0000-0000-0000E55E0000}"/>
    <cellStyle name="Normal 4 14 4 3 4" xfId="49115" xr:uid="{00000000-0005-0000-0000-0000E65E0000}"/>
    <cellStyle name="Normal 4 14 4 4" xfId="16418" xr:uid="{00000000-0005-0000-0000-0000E75E0000}"/>
    <cellStyle name="Normal 4 14 4 4 2" xfId="30550" xr:uid="{00000000-0005-0000-0000-0000E85E0000}"/>
    <cellStyle name="Normal 4 14 4 4 3" xfId="44445" xr:uid="{00000000-0005-0000-0000-0000E95E0000}"/>
    <cellStyle name="Normal 4 14 4 5" xfId="21231" xr:uid="{00000000-0005-0000-0000-0000EA5E0000}"/>
    <cellStyle name="Normal 4 14 4 6" xfId="39863" xr:uid="{00000000-0005-0000-0000-0000EB5E0000}"/>
    <cellStyle name="Normal 4 14 5" xfId="5858" xr:uid="{00000000-0005-0000-0000-0000EC5E0000}"/>
    <cellStyle name="Normal 4 14 5 2" xfId="5859" xr:uid="{00000000-0005-0000-0000-0000ED5E0000}"/>
    <cellStyle name="Normal 4 14 5 2 2" xfId="11690" xr:uid="{00000000-0005-0000-0000-0000EE5E0000}"/>
    <cellStyle name="Normal 4 14 5 2 2 2" xfId="35175" xr:uid="{00000000-0005-0000-0000-0000EF5E0000}"/>
    <cellStyle name="Normal 4 14 5 2 2 3" xfId="25856" xr:uid="{00000000-0005-0000-0000-0000F05E0000}"/>
    <cellStyle name="Normal 4 14 5 2 2 4" xfId="49118" xr:uid="{00000000-0005-0000-0000-0000F15E0000}"/>
    <cellStyle name="Normal 4 14 5 2 3" xfId="16421" xr:uid="{00000000-0005-0000-0000-0000F25E0000}"/>
    <cellStyle name="Normal 4 14 5 2 3 2" xfId="30553" xr:uid="{00000000-0005-0000-0000-0000F35E0000}"/>
    <cellStyle name="Normal 4 14 5 2 3 3" xfId="44448" xr:uid="{00000000-0005-0000-0000-0000F45E0000}"/>
    <cellStyle name="Normal 4 14 5 2 4" xfId="21234" xr:uid="{00000000-0005-0000-0000-0000F55E0000}"/>
    <cellStyle name="Normal 4 14 5 2 5" xfId="39866" xr:uid="{00000000-0005-0000-0000-0000F65E0000}"/>
    <cellStyle name="Normal 4 14 5 3" xfId="11689" xr:uid="{00000000-0005-0000-0000-0000F75E0000}"/>
    <cellStyle name="Normal 4 14 5 3 2" xfId="35174" xr:uid="{00000000-0005-0000-0000-0000F85E0000}"/>
    <cellStyle name="Normal 4 14 5 3 3" xfId="25855" xr:uid="{00000000-0005-0000-0000-0000F95E0000}"/>
    <cellStyle name="Normal 4 14 5 3 4" xfId="49117" xr:uid="{00000000-0005-0000-0000-0000FA5E0000}"/>
    <cellStyle name="Normal 4 14 5 4" xfId="16420" xr:uid="{00000000-0005-0000-0000-0000FB5E0000}"/>
    <cellStyle name="Normal 4 14 5 4 2" xfId="30552" xr:uid="{00000000-0005-0000-0000-0000FC5E0000}"/>
    <cellStyle name="Normal 4 14 5 4 3" xfId="44447" xr:uid="{00000000-0005-0000-0000-0000FD5E0000}"/>
    <cellStyle name="Normal 4 14 5 5" xfId="21233" xr:uid="{00000000-0005-0000-0000-0000FE5E0000}"/>
    <cellStyle name="Normal 4 14 5 6" xfId="39865" xr:uid="{00000000-0005-0000-0000-0000FF5E0000}"/>
    <cellStyle name="Normal 4 14 6" xfId="5860" xr:uid="{00000000-0005-0000-0000-0000005F0000}"/>
    <cellStyle name="Normal 4 14 6 2" xfId="5861" xr:uid="{00000000-0005-0000-0000-0000015F0000}"/>
    <cellStyle name="Normal 4 14 6 2 2" xfId="11692" xr:uid="{00000000-0005-0000-0000-0000025F0000}"/>
    <cellStyle name="Normal 4 14 6 2 2 2" xfId="35177" xr:uid="{00000000-0005-0000-0000-0000035F0000}"/>
    <cellStyle name="Normal 4 14 6 2 2 3" xfId="25858" xr:uid="{00000000-0005-0000-0000-0000045F0000}"/>
    <cellStyle name="Normal 4 14 6 2 2 4" xfId="49120" xr:uid="{00000000-0005-0000-0000-0000055F0000}"/>
    <cellStyle name="Normal 4 14 6 2 3" xfId="16423" xr:uid="{00000000-0005-0000-0000-0000065F0000}"/>
    <cellStyle name="Normal 4 14 6 2 3 2" xfId="30555" xr:uid="{00000000-0005-0000-0000-0000075F0000}"/>
    <cellStyle name="Normal 4 14 6 2 3 3" xfId="44450" xr:uid="{00000000-0005-0000-0000-0000085F0000}"/>
    <cellStyle name="Normal 4 14 6 2 4" xfId="21236" xr:uid="{00000000-0005-0000-0000-0000095F0000}"/>
    <cellStyle name="Normal 4 14 6 2 5" xfId="39868" xr:uid="{00000000-0005-0000-0000-00000A5F0000}"/>
    <cellStyle name="Normal 4 14 6 3" xfId="11691" xr:uid="{00000000-0005-0000-0000-00000B5F0000}"/>
    <cellStyle name="Normal 4 14 6 3 2" xfId="35176" xr:uid="{00000000-0005-0000-0000-00000C5F0000}"/>
    <cellStyle name="Normal 4 14 6 3 3" xfId="25857" xr:uid="{00000000-0005-0000-0000-00000D5F0000}"/>
    <cellStyle name="Normal 4 14 6 3 4" xfId="49119" xr:uid="{00000000-0005-0000-0000-00000E5F0000}"/>
    <cellStyle name="Normal 4 14 6 4" xfId="16422" xr:uid="{00000000-0005-0000-0000-00000F5F0000}"/>
    <cellStyle name="Normal 4 14 6 4 2" xfId="30554" xr:uid="{00000000-0005-0000-0000-0000105F0000}"/>
    <cellStyle name="Normal 4 14 6 4 3" xfId="44449" xr:uid="{00000000-0005-0000-0000-0000115F0000}"/>
    <cellStyle name="Normal 4 14 6 5" xfId="21235" xr:uid="{00000000-0005-0000-0000-0000125F0000}"/>
    <cellStyle name="Normal 4 14 6 6" xfId="39867" xr:uid="{00000000-0005-0000-0000-0000135F0000}"/>
    <cellStyle name="Normal 4 14 7" xfId="5862" xr:uid="{00000000-0005-0000-0000-0000145F0000}"/>
    <cellStyle name="Normal 4 14 7 2" xfId="11693" xr:uid="{00000000-0005-0000-0000-0000155F0000}"/>
    <cellStyle name="Normal 4 14 7 2 2" xfId="35178" xr:uid="{00000000-0005-0000-0000-0000165F0000}"/>
    <cellStyle name="Normal 4 14 7 2 3" xfId="25859" xr:uid="{00000000-0005-0000-0000-0000175F0000}"/>
    <cellStyle name="Normal 4 14 7 2 4" xfId="49121" xr:uid="{00000000-0005-0000-0000-0000185F0000}"/>
    <cellStyle name="Normal 4 14 7 3" xfId="16424" xr:uid="{00000000-0005-0000-0000-0000195F0000}"/>
    <cellStyle name="Normal 4 14 7 3 2" xfId="30556" xr:uid="{00000000-0005-0000-0000-00001A5F0000}"/>
    <cellStyle name="Normal 4 14 7 3 3" xfId="44451" xr:uid="{00000000-0005-0000-0000-00001B5F0000}"/>
    <cellStyle name="Normal 4 14 7 4" xfId="21237" xr:uid="{00000000-0005-0000-0000-00001C5F0000}"/>
    <cellStyle name="Normal 4 14 7 5" xfId="39869" xr:uid="{00000000-0005-0000-0000-00001D5F0000}"/>
    <cellStyle name="Normal 4 14 8" xfId="11682" xr:uid="{00000000-0005-0000-0000-00001E5F0000}"/>
    <cellStyle name="Normal 4 14 8 2" xfId="35167" xr:uid="{00000000-0005-0000-0000-00001F5F0000}"/>
    <cellStyle name="Normal 4 14 8 3" xfId="25848" xr:uid="{00000000-0005-0000-0000-0000205F0000}"/>
    <cellStyle name="Normal 4 14 8 4" xfId="49110" xr:uid="{00000000-0005-0000-0000-0000215F0000}"/>
    <cellStyle name="Normal 4 14 9" xfId="16413" xr:uid="{00000000-0005-0000-0000-0000225F0000}"/>
    <cellStyle name="Normal 4 14 9 2" xfId="30545" xr:uid="{00000000-0005-0000-0000-0000235F0000}"/>
    <cellStyle name="Normal 4 14 9 3" xfId="44440" xr:uid="{00000000-0005-0000-0000-0000245F0000}"/>
    <cellStyle name="Normal 4 15" xfId="5863" xr:uid="{00000000-0005-0000-0000-0000255F0000}"/>
    <cellStyle name="Normal 4 15 10" xfId="21238" xr:uid="{00000000-0005-0000-0000-0000265F0000}"/>
    <cellStyle name="Normal 4 15 11" xfId="39870" xr:uid="{00000000-0005-0000-0000-0000275F0000}"/>
    <cellStyle name="Normal 4 15 2" xfId="5864" xr:uid="{00000000-0005-0000-0000-0000285F0000}"/>
    <cellStyle name="Normal 4 15 2 2" xfId="5865" xr:uid="{00000000-0005-0000-0000-0000295F0000}"/>
    <cellStyle name="Normal 4 15 2 2 2" xfId="11696" xr:uid="{00000000-0005-0000-0000-00002A5F0000}"/>
    <cellStyle name="Normal 4 15 2 2 2 2" xfId="35181" xr:uid="{00000000-0005-0000-0000-00002B5F0000}"/>
    <cellStyle name="Normal 4 15 2 2 2 3" xfId="25862" xr:uid="{00000000-0005-0000-0000-00002C5F0000}"/>
    <cellStyle name="Normal 4 15 2 2 2 4" xfId="49124" xr:uid="{00000000-0005-0000-0000-00002D5F0000}"/>
    <cellStyle name="Normal 4 15 2 2 3" xfId="16427" xr:uid="{00000000-0005-0000-0000-00002E5F0000}"/>
    <cellStyle name="Normal 4 15 2 2 3 2" xfId="30559" xr:uid="{00000000-0005-0000-0000-00002F5F0000}"/>
    <cellStyle name="Normal 4 15 2 2 3 3" xfId="44454" xr:uid="{00000000-0005-0000-0000-0000305F0000}"/>
    <cellStyle name="Normal 4 15 2 2 4" xfId="21240" xr:uid="{00000000-0005-0000-0000-0000315F0000}"/>
    <cellStyle name="Normal 4 15 2 2 5" xfId="39872" xr:uid="{00000000-0005-0000-0000-0000325F0000}"/>
    <cellStyle name="Normal 4 15 2 3" xfId="11695" xr:uid="{00000000-0005-0000-0000-0000335F0000}"/>
    <cellStyle name="Normal 4 15 2 3 2" xfId="35180" xr:uid="{00000000-0005-0000-0000-0000345F0000}"/>
    <cellStyle name="Normal 4 15 2 3 3" xfId="25861" xr:uid="{00000000-0005-0000-0000-0000355F0000}"/>
    <cellStyle name="Normal 4 15 2 3 4" xfId="49123" xr:uid="{00000000-0005-0000-0000-0000365F0000}"/>
    <cellStyle name="Normal 4 15 2 4" xfId="16426" xr:uid="{00000000-0005-0000-0000-0000375F0000}"/>
    <cellStyle name="Normal 4 15 2 4 2" xfId="30558" xr:uid="{00000000-0005-0000-0000-0000385F0000}"/>
    <cellStyle name="Normal 4 15 2 4 3" xfId="44453" xr:uid="{00000000-0005-0000-0000-0000395F0000}"/>
    <cellStyle name="Normal 4 15 2 5" xfId="21239" xr:uid="{00000000-0005-0000-0000-00003A5F0000}"/>
    <cellStyle name="Normal 4 15 2 6" xfId="39871" xr:uid="{00000000-0005-0000-0000-00003B5F0000}"/>
    <cellStyle name="Normal 4 15 3" xfId="5866" xr:uid="{00000000-0005-0000-0000-00003C5F0000}"/>
    <cellStyle name="Normal 4 15 3 2" xfId="5867" xr:uid="{00000000-0005-0000-0000-00003D5F0000}"/>
    <cellStyle name="Normal 4 15 3 2 2" xfId="11698" xr:uid="{00000000-0005-0000-0000-00003E5F0000}"/>
    <cellStyle name="Normal 4 15 3 2 2 2" xfId="35183" xr:uid="{00000000-0005-0000-0000-00003F5F0000}"/>
    <cellStyle name="Normal 4 15 3 2 2 3" xfId="25864" xr:uid="{00000000-0005-0000-0000-0000405F0000}"/>
    <cellStyle name="Normal 4 15 3 2 2 4" xfId="49126" xr:uid="{00000000-0005-0000-0000-0000415F0000}"/>
    <cellStyle name="Normal 4 15 3 2 3" xfId="16429" xr:uid="{00000000-0005-0000-0000-0000425F0000}"/>
    <cellStyle name="Normal 4 15 3 2 3 2" xfId="30561" xr:uid="{00000000-0005-0000-0000-0000435F0000}"/>
    <cellStyle name="Normal 4 15 3 2 3 3" xfId="44456" xr:uid="{00000000-0005-0000-0000-0000445F0000}"/>
    <cellStyle name="Normal 4 15 3 2 4" xfId="21242" xr:uid="{00000000-0005-0000-0000-0000455F0000}"/>
    <cellStyle name="Normal 4 15 3 2 5" xfId="39874" xr:uid="{00000000-0005-0000-0000-0000465F0000}"/>
    <cellStyle name="Normal 4 15 3 3" xfId="11697" xr:uid="{00000000-0005-0000-0000-0000475F0000}"/>
    <cellStyle name="Normal 4 15 3 3 2" xfId="35182" xr:uid="{00000000-0005-0000-0000-0000485F0000}"/>
    <cellStyle name="Normal 4 15 3 3 3" xfId="25863" xr:uid="{00000000-0005-0000-0000-0000495F0000}"/>
    <cellStyle name="Normal 4 15 3 3 4" xfId="49125" xr:uid="{00000000-0005-0000-0000-00004A5F0000}"/>
    <cellStyle name="Normal 4 15 3 4" xfId="16428" xr:uid="{00000000-0005-0000-0000-00004B5F0000}"/>
    <cellStyle name="Normal 4 15 3 4 2" xfId="30560" xr:uid="{00000000-0005-0000-0000-00004C5F0000}"/>
    <cellStyle name="Normal 4 15 3 4 3" xfId="44455" xr:uid="{00000000-0005-0000-0000-00004D5F0000}"/>
    <cellStyle name="Normal 4 15 3 5" xfId="21241" xr:uid="{00000000-0005-0000-0000-00004E5F0000}"/>
    <cellStyle name="Normal 4 15 3 6" xfId="39873" xr:uid="{00000000-0005-0000-0000-00004F5F0000}"/>
    <cellStyle name="Normal 4 15 4" xfId="5868" xr:uid="{00000000-0005-0000-0000-0000505F0000}"/>
    <cellStyle name="Normal 4 15 4 2" xfId="5869" xr:uid="{00000000-0005-0000-0000-0000515F0000}"/>
    <cellStyle name="Normal 4 15 4 2 2" xfId="11700" xr:uid="{00000000-0005-0000-0000-0000525F0000}"/>
    <cellStyle name="Normal 4 15 4 2 2 2" xfId="35185" xr:uid="{00000000-0005-0000-0000-0000535F0000}"/>
    <cellStyle name="Normal 4 15 4 2 2 3" xfId="25866" xr:uid="{00000000-0005-0000-0000-0000545F0000}"/>
    <cellStyle name="Normal 4 15 4 2 2 4" xfId="49128" xr:uid="{00000000-0005-0000-0000-0000555F0000}"/>
    <cellStyle name="Normal 4 15 4 2 3" xfId="16431" xr:uid="{00000000-0005-0000-0000-0000565F0000}"/>
    <cellStyle name="Normal 4 15 4 2 3 2" xfId="30563" xr:uid="{00000000-0005-0000-0000-0000575F0000}"/>
    <cellStyle name="Normal 4 15 4 2 3 3" xfId="44458" xr:uid="{00000000-0005-0000-0000-0000585F0000}"/>
    <cellStyle name="Normal 4 15 4 2 4" xfId="21244" xr:uid="{00000000-0005-0000-0000-0000595F0000}"/>
    <cellStyle name="Normal 4 15 4 2 5" xfId="39876" xr:uid="{00000000-0005-0000-0000-00005A5F0000}"/>
    <cellStyle name="Normal 4 15 4 3" xfId="11699" xr:uid="{00000000-0005-0000-0000-00005B5F0000}"/>
    <cellStyle name="Normal 4 15 4 3 2" xfId="35184" xr:uid="{00000000-0005-0000-0000-00005C5F0000}"/>
    <cellStyle name="Normal 4 15 4 3 3" xfId="25865" xr:uid="{00000000-0005-0000-0000-00005D5F0000}"/>
    <cellStyle name="Normal 4 15 4 3 4" xfId="49127" xr:uid="{00000000-0005-0000-0000-00005E5F0000}"/>
    <cellStyle name="Normal 4 15 4 4" xfId="16430" xr:uid="{00000000-0005-0000-0000-00005F5F0000}"/>
    <cellStyle name="Normal 4 15 4 4 2" xfId="30562" xr:uid="{00000000-0005-0000-0000-0000605F0000}"/>
    <cellStyle name="Normal 4 15 4 4 3" xfId="44457" xr:uid="{00000000-0005-0000-0000-0000615F0000}"/>
    <cellStyle name="Normal 4 15 4 5" xfId="21243" xr:uid="{00000000-0005-0000-0000-0000625F0000}"/>
    <cellStyle name="Normal 4 15 4 6" xfId="39875" xr:uid="{00000000-0005-0000-0000-0000635F0000}"/>
    <cellStyle name="Normal 4 15 5" xfId="5870" xr:uid="{00000000-0005-0000-0000-0000645F0000}"/>
    <cellStyle name="Normal 4 15 5 2" xfId="5871" xr:uid="{00000000-0005-0000-0000-0000655F0000}"/>
    <cellStyle name="Normal 4 15 5 2 2" xfId="11702" xr:uid="{00000000-0005-0000-0000-0000665F0000}"/>
    <cellStyle name="Normal 4 15 5 2 2 2" xfId="35187" xr:uid="{00000000-0005-0000-0000-0000675F0000}"/>
    <cellStyle name="Normal 4 15 5 2 2 3" xfId="25868" xr:uid="{00000000-0005-0000-0000-0000685F0000}"/>
    <cellStyle name="Normal 4 15 5 2 2 4" xfId="49130" xr:uid="{00000000-0005-0000-0000-0000695F0000}"/>
    <cellStyle name="Normal 4 15 5 2 3" xfId="16433" xr:uid="{00000000-0005-0000-0000-00006A5F0000}"/>
    <cellStyle name="Normal 4 15 5 2 3 2" xfId="30565" xr:uid="{00000000-0005-0000-0000-00006B5F0000}"/>
    <cellStyle name="Normal 4 15 5 2 3 3" xfId="44460" xr:uid="{00000000-0005-0000-0000-00006C5F0000}"/>
    <cellStyle name="Normal 4 15 5 2 4" xfId="21246" xr:uid="{00000000-0005-0000-0000-00006D5F0000}"/>
    <cellStyle name="Normal 4 15 5 2 5" xfId="39878" xr:uid="{00000000-0005-0000-0000-00006E5F0000}"/>
    <cellStyle name="Normal 4 15 5 3" xfId="11701" xr:uid="{00000000-0005-0000-0000-00006F5F0000}"/>
    <cellStyle name="Normal 4 15 5 3 2" xfId="35186" xr:uid="{00000000-0005-0000-0000-0000705F0000}"/>
    <cellStyle name="Normal 4 15 5 3 3" xfId="25867" xr:uid="{00000000-0005-0000-0000-0000715F0000}"/>
    <cellStyle name="Normal 4 15 5 3 4" xfId="49129" xr:uid="{00000000-0005-0000-0000-0000725F0000}"/>
    <cellStyle name="Normal 4 15 5 4" xfId="16432" xr:uid="{00000000-0005-0000-0000-0000735F0000}"/>
    <cellStyle name="Normal 4 15 5 4 2" xfId="30564" xr:uid="{00000000-0005-0000-0000-0000745F0000}"/>
    <cellStyle name="Normal 4 15 5 4 3" xfId="44459" xr:uid="{00000000-0005-0000-0000-0000755F0000}"/>
    <cellStyle name="Normal 4 15 5 5" xfId="21245" xr:uid="{00000000-0005-0000-0000-0000765F0000}"/>
    <cellStyle name="Normal 4 15 5 6" xfId="39877" xr:uid="{00000000-0005-0000-0000-0000775F0000}"/>
    <cellStyle name="Normal 4 15 6" xfId="5872" xr:uid="{00000000-0005-0000-0000-0000785F0000}"/>
    <cellStyle name="Normal 4 15 6 2" xfId="5873" xr:uid="{00000000-0005-0000-0000-0000795F0000}"/>
    <cellStyle name="Normal 4 15 6 2 2" xfId="11704" xr:uid="{00000000-0005-0000-0000-00007A5F0000}"/>
    <cellStyle name="Normal 4 15 6 2 2 2" xfId="35189" xr:uid="{00000000-0005-0000-0000-00007B5F0000}"/>
    <cellStyle name="Normal 4 15 6 2 2 3" xfId="25870" xr:uid="{00000000-0005-0000-0000-00007C5F0000}"/>
    <cellStyle name="Normal 4 15 6 2 2 4" xfId="49132" xr:uid="{00000000-0005-0000-0000-00007D5F0000}"/>
    <cellStyle name="Normal 4 15 6 2 3" xfId="16435" xr:uid="{00000000-0005-0000-0000-00007E5F0000}"/>
    <cellStyle name="Normal 4 15 6 2 3 2" xfId="30567" xr:uid="{00000000-0005-0000-0000-00007F5F0000}"/>
    <cellStyle name="Normal 4 15 6 2 3 3" xfId="44462" xr:uid="{00000000-0005-0000-0000-0000805F0000}"/>
    <cellStyle name="Normal 4 15 6 2 4" xfId="21248" xr:uid="{00000000-0005-0000-0000-0000815F0000}"/>
    <cellStyle name="Normal 4 15 6 2 5" xfId="39880" xr:uid="{00000000-0005-0000-0000-0000825F0000}"/>
    <cellStyle name="Normal 4 15 6 3" xfId="11703" xr:uid="{00000000-0005-0000-0000-0000835F0000}"/>
    <cellStyle name="Normal 4 15 6 3 2" xfId="35188" xr:uid="{00000000-0005-0000-0000-0000845F0000}"/>
    <cellStyle name="Normal 4 15 6 3 3" xfId="25869" xr:uid="{00000000-0005-0000-0000-0000855F0000}"/>
    <cellStyle name="Normal 4 15 6 3 4" xfId="49131" xr:uid="{00000000-0005-0000-0000-0000865F0000}"/>
    <cellStyle name="Normal 4 15 6 4" xfId="16434" xr:uid="{00000000-0005-0000-0000-0000875F0000}"/>
    <cellStyle name="Normal 4 15 6 4 2" xfId="30566" xr:uid="{00000000-0005-0000-0000-0000885F0000}"/>
    <cellStyle name="Normal 4 15 6 4 3" xfId="44461" xr:uid="{00000000-0005-0000-0000-0000895F0000}"/>
    <cellStyle name="Normal 4 15 6 5" xfId="21247" xr:uid="{00000000-0005-0000-0000-00008A5F0000}"/>
    <cellStyle name="Normal 4 15 6 6" xfId="39879" xr:uid="{00000000-0005-0000-0000-00008B5F0000}"/>
    <cellStyle name="Normal 4 15 7" xfId="5874" xr:uid="{00000000-0005-0000-0000-00008C5F0000}"/>
    <cellStyle name="Normal 4 15 7 2" xfId="11705" xr:uid="{00000000-0005-0000-0000-00008D5F0000}"/>
    <cellStyle name="Normal 4 15 7 2 2" xfId="35190" xr:uid="{00000000-0005-0000-0000-00008E5F0000}"/>
    <cellStyle name="Normal 4 15 7 2 3" xfId="25871" xr:uid="{00000000-0005-0000-0000-00008F5F0000}"/>
    <cellStyle name="Normal 4 15 7 2 4" xfId="49133" xr:uid="{00000000-0005-0000-0000-0000905F0000}"/>
    <cellStyle name="Normal 4 15 7 3" xfId="16436" xr:uid="{00000000-0005-0000-0000-0000915F0000}"/>
    <cellStyle name="Normal 4 15 7 3 2" xfId="30568" xr:uid="{00000000-0005-0000-0000-0000925F0000}"/>
    <cellStyle name="Normal 4 15 7 3 3" xfId="44463" xr:uid="{00000000-0005-0000-0000-0000935F0000}"/>
    <cellStyle name="Normal 4 15 7 4" xfId="21249" xr:uid="{00000000-0005-0000-0000-0000945F0000}"/>
    <cellStyle name="Normal 4 15 7 5" xfId="39881" xr:uid="{00000000-0005-0000-0000-0000955F0000}"/>
    <cellStyle name="Normal 4 15 8" xfId="11694" xr:uid="{00000000-0005-0000-0000-0000965F0000}"/>
    <cellStyle name="Normal 4 15 8 2" xfId="35179" xr:uid="{00000000-0005-0000-0000-0000975F0000}"/>
    <cellStyle name="Normal 4 15 8 3" xfId="25860" xr:uid="{00000000-0005-0000-0000-0000985F0000}"/>
    <cellStyle name="Normal 4 15 8 4" xfId="49122" xr:uid="{00000000-0005-0000-0000-0000995F0000}"/>
    <cellStyle name="Normal 4 15 9" xfId="16425" xr:uid="{00000000-0005-0000-0000-00009A5F0000}"/>
    <cellStyle name="Normal 4 15 9 2" xfId="30557" xr:uid="{00000000-0005-0000-0000-00009B5F0000}"/>
    <cellStyle name="Normal 4 15 9 3" xfId="44452" xr:uid="{00000000-0005-0000-0000-00009C5F0000}"/>
    <cellStyle name="Normal 4 16" xfId="5875" xr:uid="{00000000-0005-0000-0000-00009D5F0000}"/>
    <cellStyle name="Normal 4 16 10" xfId="21250" xr:uid="{00000000-0005-0000-0000-00009E5F0000}"/>
    <cellStyle name="Normal 4 16 11" xfId="39882" xr:uid="{00000000-0005-0000-0000-00009F5F0000}"/>
    <cellStyle name="Normal 4 16 2" xfId="5876" xr:uid="{00000000-0005-0000-0000-0000A05F0000}"/>
    <cellStyle name="Normal 4 16 2 2" xfId="5877" xr:uid="{00000000-0005-0000-0000-0000A15F0000}"/>
    <cellStyle name="Normal 4 16 2 2 2" xfId="11708" xr:uid="{00000000-0005-0000-0000-0000A25F0000}"/>
    <cellStyle name="Normal 4 16 2 2 2 2" xfId="35193" xr:uid="{00000000-0005-0000-0000-0000A35F0000}"/>
    <cellStyle name="Normal 4 16 2 2 2 3" xfId="25874" xr:uid="{00000000-0005-0000-0000-0000A45F0000}"/>
    <cellStyle name="Normal 4 16 2 2 2 4" xfId="49136" xr:uid="{00000000-0005-0000-0000-0000A55F0000}"/>
    <cellStyle name="Normal 4 16 2 2 3" xfId="16439" xr:uid="{00000000-0005-0000-0000-0000A65F0000}"/>
    <cellStyle name="Normal 4 16 2 2 3 2" xfId="30571" xr:uid="{00000000-0005-0000-0000-0000A75F0000}"/>
    <cellStyle name="Normal 4 16 2 2 3 3" xfId="44466" xr:uid="{00000000-0005-0000-0000-0000A85F0000}"/>
    <cellStyle name="Normal 4 16 2 2 4" xfId="21252" xr:uid="{00000000-0005-0000-0000-0000A95F0000}"/>
    <cellStyle name="Normal 4 16 2 2 5" xfId="39884" xr:uid="{00000000-0005-0000-0000-0000AA5F0000}"/>
    <cellStyle name="Normal 4 16 2 3" xfId="11707" xr:uid="{00000000-0005-0000-0000-0000AB5F0000}"/>
    <cellStyle name="Normal 4 16 2 3 2" xfId="35192" xr:uid="{00000000-0005-0000-0000-0000AC5F0000}"/>
    <cellStyle name="Normal 4 16 2 3 3" xfId="25873" xr:uid="{00000000-0005-0000-0000-0000AD5F0000}"/>
    <cellStyle name="Normal 4 16 2 3 4" xfId="49135" xr:uid="{00000000-0005-0000-0000-0000AE5F0000}"/>
    <cellStyle name="Normal 4 16 2 4" xfId="16438" xr:uid="{00000000-0005-0000-0000-0000AF5F0000}"/>
    <cellStyle name="Normal 4 16 2 4 2" xfId="30570" xr:uid="{00000000-0005-0000-0000-0000B05F0000}"/>
    <cellStyle name="Normal 4 16 2 4 3" xfId="44465" xr:uid="{00000000-0005-0000-0000-0000B15F0000}"/>
    <cellStyle name="Normal 4 16 2 5" xfId="21251" xr:uid="{00000000-0005-0000-0000-0000B25F0000}"/>
    <cellStyle name="Normal 4 16 2 6" xfId="39883" xr:uid="{00000000-0005-0000-0000-0000B35F0000}"/>
    <cellStyle name="Normal 4 16 3" xfId="5878" xr:uid="{00000000-0005-0000-0000-0000B45F0000}"/>
    <cellStyle name="Normal 4 16 3 2" xfId="5879" xr:uid="{00000000-0005-0000-0000-0000B55F0000}"/>
    <cellStyle name="Normal 4 16 3 2 2" xfId="11710" xr:uid="{00000000-0005-0000-0000-0000B65F0000}"/>
    <cellStyle name="Normal 4 16 3 2 2 2" xfId="35195" xr:uid="{00000000-0005-0000-0000-0000B75F0000}"/>
    <cellStyle name="Normal 4 16 3 2 2 3" xfId="25876" xr:uid="{00000000-0005-0000-0000-0000B85F0000}"/>
    <cellStyle name="Normal 4 16 3 2 2 4" xfId="49138" xr:uid="{00000000-0005-0000-0000-0000B95F0000}"/>
    <cellStyle name="Normal 4 16 3 2 3" xfId="16441" xr:uid="{00000000-0005-0000-0000-0000BA5F0000}"/>
    <cellStyle name="Normal 4 16 3 2 3 2" xfId="30573" xr:uid="{00000000-0005-0000-0000-0000BB5F0000}"/>
    <cellStyle name="Normal 4 16 3 2 3 3" xfId="44468" xr:uid="{00000000-0005-0000-0000-0000BC5F0000}"/>
    <cellStyle name="Normal 4 16 3 2 4" xfId="21254" xr:uid="{00000000-0005-0000-0000-0000BD5F0000}"/>
    <cellStyle name="Normal 4 16 3 2 5" xfId="39886" xr:uid="{00000000-0005-0000-0000-0000BE5F0000}"/>
    <cellStyle name="Normal 4 16 3 3" xfId="11709" xr:uid="{00000000-0005-0000-0000-0000BF5F0000}"/>
    <cellStyle name="Normal 4 16 3 3 2" xfId="35194" xr:uid="{00000000-0005-0000-0000-0000C05F0000}"/>
    <cellStyle name="Normal 4 16 3 3 3" xfId="25875" xr:uid="{00000000-0005-0000-0000-0000C15F0000}"/>
    <cellStyle name="Normal 4 16 3 3 4" xfId="49137" xr:uid="{00000000-0005-0000-0000-0000C25F0000}"/>
    <cellStyle name="Normal 4 16 3 4" xfId="16440" xr:uid="{00000000-0005-0000-0000-0000C35F0000}"/>
    <cellStyle name="Normal 4 16 3 4 2" xfId="30572" xr:uid="{00000000-0005-0000-0000-0000C45F0000}"/>
    <cellStyle name="Normal 4 16 3 4 3" xfId="44467" xr:uid="{00000000-0005-0000-0000-0000C55F0000}"/>
    <cellStyle name="Normal 4 16 3 5" xfId="21253" xr:uid="{00000000-0005-0000-0000-0000C65F0000}"/>
    <cellStyle name="Normal 4 16 3 6" xfId="39885" xr:uid="{00000000-0005-0000-0000-0000C75F0000}"/>
    <cellStyle name="Normal 4 16 4" xfId="5880" xr:uid="{00000000-0005-0000-0000-0000C85F0000}"/>
    <cellStyle name="Normal 4 16 4 2" xfId="5881" xr:uid="{00000000-0005-0000-0000-0000C95F0000}"/>
    <cellStyle name="Normal 4 16 4 2 2" xfId="11712" xr:uid="{00000000-0005-0000-0000-0000CA5F0000}"/>
    <cellStyle name="Normal 4 16 4 2 2 2" xfId="35197" xr:uid="{00000000-0005-0000-0000-0000CB5F0000}"/>
    <cellStyle name="Normal 4 16 4 2 2 3" xfId="25878" xr:uid="{00000000-0005-0000-0000-0000CC5F0000}"/>
    <cellStyle name="Normal 4 16 4 2 2 4" xfId="49140" xr:uid="{00000000-0005-0000-0000-0000CD5F0000}"/>
    <cellStyle name="Normal 4 16 4 2 3" xfId="16443" xr:uid="{00000000-0005-0000-0000-0000CE5F0000}"/>
    <cellStyle name="Normal 4 16 4 2 3 2" xfId="30575" xr:uid="{00000000-0005-0000-0000-0000CF5F0000}"/>
    <cellStyle name="Normal 4 16 4 2 3 3" xfId="44470" xr:uid="{00000000-0005-0000-0000-0000D05F0000}"/>
    <cellStyle name="Normal 4 16 4 2 4" xfId="21256" xr:uid="{00000000-0005-0000-0000-0000D15F0000}"/>
    <cellStyle name="Normal 4 16 4 2 5" xfId="39888" xr:uid="{00000000-0005-0000-0000-0000D25F0000}"/>
    <cellStyle name="Normal 4 16 4 3" xfId="11711" xr:uid="{00000000-0005-0000-0000-0000D35F0000}"/>
    <cellStyle name="Normal 4 16 4 3 2" xfId="35196" xr:uid="{00000000-0005-0000-0000-0000D45F0000}"/>
    <cellStyle name="Normal 4 16 4 3 3" xfId="25877" xr:uid="{00000000-0005-0000-0000-0000D55F0000}"/>
    <cellStyle name="Normal 4 16 4 3 4" xfId="49139" xr:uid="{00000000-0005-0000-0000-0000D65F0000}"/>
    <cellStyle name="Normal 4 16 4 4" xfId="16442" xr:uid="{00000000-0005-0000-0000-0000D75F0000}"/>
    <cellStyle name="Normal 4 16 4 4 2" xfId="30574" xr:uid="{00000000-0005-0000-0000-0000D85F0000}"/>
    <cellStyle name="Normal 4 16 4 4 3" xfId="44469" xr:uid="{00000000-0005-0000-0000-0000D95F0000}"/>
    <cellStyle name="Normal 4 16 4 5" xfId="21255" xr:uid="{00000000-0005-0000-0000-0000DA5F0000}"/>
    <cellStyle name="Normal 4 16 4 6" xfId="39887" xr:uid="{00000000-0005-0000-0000-0000DB5F0000}"/>
    <cellStyle name="Normal 4 16 5" xfId="5882" xr:uid="{00000000-0005-0000-0000-0000DC5F0000}"/>
    <cellStyle name="Normal 4 16 5 2" xfId="5883" xr:uid="{00000000-0005-0000-0000-0000DD5F0000}"/>
    <cellStyle name="Normal 4 16 5 2 2" xfId="11714" xr:uid="{00000000-0005-0000-0000-0000DE5F0000}"/>
    <cellStyle name="Normal 4 16 5 2 2 2" xfId="35199" xr:uid="{00000000-0005-0000-0000-0000DF5F0000}"/>
    <cellStyle name="Normal 4 16 5 2 2 3" xfId="25880" xr:uid="{00000000-0005-0000-0000-0000E05F0000}"/>
    <cellStyle name="Normal 4 16 5 2 2 4" xfId="49142" xr:uid="{00000000-0005-0000-0000-0000E15F0000}"/>
    <cellStyle name="Normal 4 16 5 2 3" xfId="16445" xr:uid="{00000000-0005-0000-0000-0000E25F0000}"/>
    <cellStyle name="Normal 4 16 5 2 3 2" xfId="30577" xr:uid="{00000000-0005-0000-0000-0000E35F0000}"/>
    <cellStyle name="Normal 4 16 5 2 3 3" xfId="44472" xr:uid="{00000000-0005-0000-0000-0000E45F0000}"/>
    <cellStyle name="Normal 4 16 5 2 4" xfId="21258" xr:uid="{00000000-0005-0000-0000-0000E55F0000}"/>
    <cellStyle name="Normal 4 16 5 2 5" xfId="39890" xr:uid="{00000000-0005-0000-0000-0000E65F0000}"/>
    <cellStyle name="Normal 4 16 5 3" xfId="11713" xr:uid="{00000000-0005-0000-0000-0000E75F0000}"/>
    <cellStyle name="Normal 4 16 5 3 2" xfId="35198" xr:uid="{00000000-0005-0000-0000-0000E85F0000}"/>
    <cellStyle name="Normal 4 16 5 3 3" xfId="25879" xr:uid="{00000000-0005-0000-0000-0000E95F0000}"/>
    <cellStyle name="Normal 4 16 5 3 4" xfId="49141" xr:uid="{00000000-0005-0000-0000-0000EA5F0000}"/>
    <cellStyle name="Normal 4 16 5 4" xfId="16444" xr:uid="{00000000-0005-0000-0000-0000EB5F0000}"/>
    <cellStyle name="Normal 4 16 5 4 2" xfId="30576" xr:uid="{00000000-0005-0000-0000-0000EC5F0000}"/>
    <cellStyle name="Normal 4 16 5 4 3" xfId="44471" xr:uid="{00000000-0005-0000-0000-0000ED5F0000}"/>
    <cellStyle name="Normal 4 16 5 5" xfId="21257" xr:uid="{00000000-0005-0000-0000-0000EE5F0000}"/>
    <cellStyle name="Normal 4 16 5 6" xfId="39889" xr:uid="{00000000-0005-0000-0000-0000EF5F0000}"/>
    <cellStyle name="Normal 4 16 6" xfId="5884" xr:uid="{00000000-0005-0000-0000-0000F05F0000}"/>
    <cellStyle name="Normal 4 16 6 2" xfId="5885" xr:uid="{00000000-0005-0000-0000-0000F15F0000}"/>
    <cellStyle name="Normal 4 16 6 2 2" xfId="11716" xr:uid="{00000000-0005-0000-0000-0000F25F0000}"/>
    <cellStyle name="Normal 4 16 6 2 2 2" xfId="35201" xr:uid="{00000000-0005-0000-0000-0000F35F0000}"/>
    <cellStyle name="Normal 4 16 6 2 2 3" xfId="25882" xr:uid="{00000000-0005-0000-0000-0000F45F0000}"/>
    <cellStyle name="Normal 4 16 6 2 2 4" xfId="49144" xr:uid="{00000000-0005-0000-0000-0000F55F0000}"/>
    <cellStyle name="Normal 4 16 6 2 3" xfId="16447" xr:uid="{00000000-0005-0000-0000-0000F65F0000}"/>
    <cellStyle name="Normal 4 16 6 2 3 2" xfId="30579" xr:uid="{00000000-0005-0000-0000-0000F75F0000}"/>
    <cellStyle name="Normal 4 16 6 2 3 3" xfId="44474" xr:uid="{00000000-0005-0000-0000-0000F85F0000}"/>
    <cellStyle name="Normal 4 16 6 2 4" xfId="21260" xr:uid="{00000000-0005-0000-0000-0000F95F0000}"/>
    <cellStyle name="Normal 4 16 6 2 5" xfId="39892" xr:uid="{00000000-0005-0000-0000-0000FA5F0000}"/>
    <cellStyle name="Normal 4 16 6 3" xfId="11715" xr:uid="{00000000-0005-0000-0000-0000FB5F0000}"/>
    <cellStyle name="Normal 4 16 6 3 2" xfId="35200" xr:uid="{00000000-0005-0000-0000-0000FC5F0000}"/>
    <cellStyle name="Normal 4 16 6 3 3" xfId="25881" xr:uid="{00000000-0005-0000-0000-0000FD5F0000}"/>
    <cellStyle name="Normal 4 16 6 3 4" xfId="49143" xr:uid="{00000000-0005-0000-0000-0000FE5F0000}"/>
    <cellStyle name="Normal 4 16 6 4" xfId="16446" xr:uid="{00000000-0005-0000-0000-0000FF5F0000}"/>
    <cellStyle name="Normal 4 16 6 4 2" xfId="30578" xr:uid="{00000000-0005-0000-0000-000000600000}"/>
    <cellStyle name="Normal 4 16 6 4 3" xfId="44473" xr:uid="{00000000-0005-0000-0000-000001600000}"/>
    <cellStyle name="Normal 4 16 6 5" xfId="21259" xr:uid="{00000000-0005-0000-0000-000002600000}"/>
    <cellStyle name="Normal 4 16 6 6" xfId="39891" xr:uid="{00000000-0005-0000-0000-000003600000}"/>
    <cellStyle name="Normal 4 16 7" xfId="5886" xr:uid="{00000000-0005-0000-0000-000004600000}"/>
    <cellStyle name="Normal 4 16 7 2" xfId="11717" xr:uid="{00000000-0005-0000-0000-000005600000}"/>
    <cellStyle name="Normal 4 16 7 2 2" xfId="35202" xr:uid="{00000000-0005-0000-0000-000006600000}"/>
    <cellStyle name="Normal 4 16 7 2 3" xfId="25883" xr:uid="{00000000-0005-0000-0000-000007600000}"/>
    <cellStyle name="Normal 4 16 7 2 4" xfId="49145" xr:uid="{00000000-0005-0000-0000-000008600000}"/>
    <cellStyle name="Normal 4 16 7 3" xfId="16448" xr:uid="{00000000-0005-0000-0000-000009600000}"/>
    <cellStyle name="Normal 4 16 7 3 2" xfId="30580" xr:uid="{00000000-0005-0000-0000-00000A600000}"/>
    <cellStyle name="Normal 4 16 7 3 3" xfId="44475" xr:uid="{00000000-0005-0000-0000-00000B600000}"/>
    <cellStyle name="Normal 4 16 7 4" xfId="21261" xr:uid="{00000000-0005-0000-0000-00000C600000}"/>
    <cellStyle name="Normal 4 16 7 5" xfId="39893" xr:uid="{00000000-0005-0000-0000-00000D600000}"/>
    <cellStyle name="Normal 4 16 8" xfId="11706" xr:uid="{00000000-0005-0000-0000-00000E600000}"/>
    <cellStyle name="Normal 4 16 8 2" xfId="35191" xr:uid="{00000000-0005-0000-0000-00000F600000}"/>
    <cellStyle name="Normal 4 16 8 3" xfId="25872" xr:uid="{00000000-0005-0000-0000-000010600000}"/>
    <cellStyle name="Normal 4 16 8 4" xfId="49134" xr:uid="{00000000-0005-0000-0000-000011600000}"/>
    <cellStyle name="Normal 4 16 9" xfId="16437" xr:uid="{00000000-0005-0000-0000-000012600000}"/>
    <cellStyle name="Normal 4 16 9 2" xfId="30569" xr:uid="{00000000-0005-0000-0000-000013600000}"/>
    <cellStyle name="Normal 4 16 9 3" xfId="44464" xr:uid="{00000000-0005-0000-0000-000014600000}"/>
    <cellStyle name="Normal 4 17" xfId="5887" xr:uid="{00000000-0005-0000-0000-000015600000}"/>
    <cellStyle name="Normal 4 17 10" xfId="21262" xr:uid="{00000000-0005-0000-0000-000016600000}"/>
    <cellStyle name="Normal 4 17 11" xfId="39894" xr:uid="{00000000-0005-0000-0000-000017600000}"/>
    <cellStyle name="Normal 4 17 2" xfId="5888" xr:uid="{00000000-0005-0000-0000-000018600000}"/>
    <cellStyle name="Normal 4 17 2 2" xfId="5889" xr:uid="{00000000-0005-0000-0000-000019600000}"/>
    <cellStyle name="Normal 4 17 2 2 2" xfId="11720" xr:uid="{00000000-0005-0000-0000-00001A600000}"/>
    <cellStyle name="Normal 4 17 2 2 2 2" xfId="35205" xr:uid="{00000000-0005-0000-0000-00001B600000}"/>
    <cellStyle name="Normal 4 17 2 2 2 3" xfId="25886" xr:uid="{00000000-0005-0000-0000-00001C600000}"/>
    <cellStyle name="Normal 4 17 2 2 2 4" xfId="49148" xr:uid="{00000000-0005-0000-0000-00001D600000}"/>
    <cellStyle name="Normal 4 17 2 2 3" xfId="16451" xr:uid="{00000000-0005-0000-0000-00001E600000}"/>
    <cellStyle name="Normal 4 17 2 2 3 2" xfId="30583" xr:uid="{00000000-0005-0000-0000-00001F600000}"/>
    <cellStyle name="Normal 4 17 2 2 3 3" xfId="44478" xr:uid="{00000000-0005-0000-0000-000020600000}"/>
    <cellStyle name="Normal 4 17 2 2 4" xfId="21264" xr:uid="{00000000-0005-0000-0000-000021600000}"/>
    <cellStyle name="Normal 4 17 2 2 5" xfId="39896" xr:uid="{00000000-0005-0000-0000-000022600000}"/>
    <cellStyle name="Normal 4 17 2 3" xfId="11719" xr:uid="{00000000-0005-0000-0000-000023600000}"/>
    <cellStyle name="Normal 4 17 2 3 2" xfId="35204" xr:uid="{00000000-0005-0000-0000-000024600000}"/>
    <cellStyle name="Normal 4 17 2 3 3" xfId="25885" xr:uid="{00000000-0005-0000-0000-000025600000}"/>
    <cellStyle name="Normal 4 17 2 3 4" xfId="49147" xr:uid="{00000000-0005-0000-0000-000026600000}"/>
    <cellStyle name="Normal 4 17 2 4" xfId="16450" xr:uid="{00000000-0005-0000-0000-000027600000}"/>
    <cellStyle name="Normal 4 17 2 4 2" xfId="30582" xr:uid="{00000000-0005-0000-0000-000028600000}"/>
    <cellStyle name="Normal 4 17 2 4 3" xfId="44477" xr:uid="{00000000-0005-0000-0000-000029600000}"/>
    <cellStyle name="Normal 4 17 2 5" xfId="21263" xr:uid="{00000000-0005-0000-0000-00002A600000}"/>
    <cellStyle name="Normal 4 17 2 6" xfId="39895" xr:uid="{00000000-0005-0000-0000-00002B600000}"/>
    <cellStyle name="Normal 4 17 3" xfId="5890" xr:uid="{00000000-0005-0000-0000-00002C600000}"/>
    <cellStyle name="Normal 4 17 3 2" xfId="5891" xr:uid="{00000000-0005-0000-0000-00002D600000}"/>
    <cellStyle name="Normal 4 17 3 2 2" xfId="11722" xr:uid="{00000000-0005-0000-0000-00002E600000}"/>
    <cellStyle name="Normal 4 17 3 2 2 2" xfId="35207" xr:uid="{00000000-0005-0000-0000-00002F600000}"/>
    <cellStyle name="Normal 4 17 3 2 2 3" xfId="25888" xr:uid="{00000000-0005-0000-0000-000030600000}"/>
    <cellStyle name="Normal 4 17 3 2 2 4" xfId="49150" xr:uid="{00000000-0005-0000-0000-000031600000}"/>
    <cellStyle name="Normal 4 17 3 2 3" xfId="16453" xr:uid="{00000000-0005-0000-0000-000032600000}"/>
    <cellStyle name="Normal 4 17 3 2 3 2" xfId="30585" xr:uid="{00000000-0005-0000-0000-000033600000}"/>
    <cellStyle name="Normal 4 17 3 2 3 3" xfId="44480" xr:uid="{00000000-0005-0000-0000-000034600000}"/>
    <cellStyle name="Normal 4 17 3 2 4" xfId="21266" xr:uid="{00000000-0005-0000-0000-000035600000}"/>
    <cellStyle name="Normal 4 17 3 2 5" xfId="39898" xr:uid="{00000000-0005-0000-0000-000036600000}"/>
    <cellStyle name="Normal 4 17 3 3" xfId="11721" xr:uid="{00000000-0005-0000-0000-000037600000}"/>
    <cellStyle name="Normal 4 17 3 3 2" xfId="35206" xr:uid="{00000000-0005-0000-0000-000038600000}"/>
    <cellStyle name="Normal 4 17 3 3 3" xfId="25887" xr:uid="{00000000-0005-0000-0000-000039600000}"/>
    <cellStyle name="Normal 4 17 3 3 4" xfId="49149" xr:uid="{00000000-0005-0000-0000-00003A600000}"/>
    <cellStyle name="Normal 4 17 3 4" xfId="16452" xr:uid="{00000000-0005-0000-0000-00003B600000}"/>
    <cellStyle name="Normal 4 17 3 4 2" xfId="30584" xr:uid="{00000000-0005-0000-0000-00003C600000}"/>
    <cellStyle name="Normal 4 17 3 4 3" xfId="44479" xr:uid="{00000000-0005-0000-0000-00003D600000}"/>
    <cellStyle name="Normal 4 17 3 5" xfId="21265" xr:uid="{00000000-0005-0000-0000-00003E600000}"/>
    <cellStyle name="Normal 4 17 3 6" xfId="39897" xr:uid="{00000000-0005-0000-0000-00003F600000}"/>
    <cellStyle name="Normal 4 17 4" xfId="5892" xr:uid="{00000000-0005-0000-0000-000040600000}"/>
    <cellStyle name="Normal 4 17 4 2" xfId="5893" xr:uid="{00000000-0005-0000-0000-000041600000}"/>
    <cellStyle name="Normal 4 17 4 2 2" xfId="11724" xr:uid="{00000000-0005-0000-0000-000042600000}"/>
    <cellStyle name="Normal 4 17 4 2 2 2" xfId="35209" xr:uid="{00000000-0005-0000-0000-000043600000}"/>
    <cellStyle name="Normal 4 17 4 2 2 3" xfId="25890" xr:uid="{00000000-0005-0000-0000-000044600000}"/>
    <cellStyle name="Normal 4 17 4 2 2 4" xfId="49152" xr:uid="{00000000-0005-0000-0000-000045600000}"/>
    <cellStyle name="Normal 4 17 4 2 3" xfId="16455" xr:uid="{00000000-0005-0000-0000-000046600000}"/>
    <cellStyle name="Normal 4 17 4 2 3 2" xfId="30587" xr:uid="{00000000-0005-0000-0000-000047600000}"/>
    <cellStyle name="Normal 4 17 4 2 3 3" xfId="44482" xr:uid="{00000000-0005-0000-0000-000048600000}"/>
    <cellStyle name="Normal 4 17 4 2 4" xfId="21268" xr:uid="{00000000-0005-0000-0000-000049600000}"/>
    <cellStyle name="Normal 4 17 4 2 5" xfId="39900" xr:uid="{00000000-0005-0000-0000-00004A600000}"/>
    <cellStyle name="Normal 4 17 4 3" xfId="11723" xr:uid="{00000000-0005-0000-0000-00004B600000}"/>
    <cellStyle name="Normal 4 17 4 3 2" xfId="35208" xr:uid="{00000000-0005-0000-0000-00004C600000}"/>
    <cellStyle name="Normal 4 17 4 3 3" xfId="25889" xr:uid="{00000000-0005-0000-0000-00004D600000}"/>
    <cellStyle name="Normal 4 17 4 3 4" xfId="49151" xr:uid="{00000000-0005-0000-0000-00004E600000}"/>
    <cellStyle name="Normal 4 17 4 4" xfId="16454" xr:uid="{00000000-0005-0000-0000-00004F600000}"/>
    <cellStyle name="Normal 4 17 4 4 2" xfId="30586" xr:uid="{00000000-0005-0000-0000-000050600000}"/>
    <cellStyle name="Normal 4 17 4 4 3" xfId="44481" xr:uid="{00000000-0005-0000-0000-000051600000}"/>
    <cellStyle name="Normal 4 17 4 5" xfId="21267" xr:uid="{00000000-0005-0000-0000-000052600000}"/>
    <cellStyle name="Normal 4 17 4 6" xfId="39899" xr:uid="{00000000-0005-0000-0000-000053600000}"/>
    <cellStyle name="Normal 4 17 5" xfId="5894" xr:uid="{00000000-0005-0000-0000-000054600000}"/>
    <cellStyle name="Normal 4 17 5 2" xfId="5895" xr:uid="{00000000-0005-0000-0000-000055600000}"/>
    <cellStyle name="Normal 4 17 5 2 2" xfId="11726" xr:uid="{00000000-0005-0000-0000-000056600000}"/>
    <cellStyle name="Normal 4 17 5 2 2 2" xfId="35211" xr:uid="{00000000-0005-0000-0000-000057600000}"/>
    <cellStyle name="Normal 4 17 5 2 2 3" xfId="25892" xr:uid="{00000000-0005-0000-0000-000058600000}"/>
    <cellStyle name="Normal 4 17 5 2 2 4" xfId="49154" xr:uid="{00000000-0005-0000-0000-000059600000}"/>
    <cellStyle name="Normal 4 17 5 2 3" xfId="16457" xr:uid="{00000000-0005-0000-0000-00005A600000}"/>
    <cellStyle name="Normal 4 17 5 2 3 2" xfId="30589" xr:uid="{00000000-0005-0000-0000-00005B600000}"/>
    <cellStyle name="Normal 4 17 5 2 3 3" xfId="44484" xr:uid="{00000000-0005-0000-0000-00005C600000}"/>
    <cellStyle name="Normal 4 17 5 2 4" xfId="21270" xr:uid="{00000000-0005-0000-0000-00005D600000}"/>
    <cellStyle name="Normal 4 17 5 2 5" xfId="39902" xr:uid="{00000000-0005-0000-0000-00005E600000}"/>
    <cellStyle name="Normal 4 17 5 3" xfId="11725" xr:uid="{00000000-0005-0000-0000-00005F600000}"/>
    <cellStyle name="Normal 4 17 5 3 2" xfId="35210" xr:uid="{00000000-0005-0000-0000-000060600000}"/>
    <cellStyle name="Normal 4 17 5 3 3" xfId="25891" xr:uid="{00000000-0005-0000-0000-000061600000}"/>
    <cellStyle name="Normal 4 17 5 3 4" xfId="49153" xr:uid="{00000000-0005-0000-0000-000062600000}"/>
    <cellStyle name="Normal 4 17 5 4" xfId="16456" xr:uid="{00000000-0005-0000-0000-000063600000}"/>
    <cellStyle name="Normal 4 17 5 4 2" xfId="30588" xr:uid="{00000000-0005-0000-0000-000064600000}"/>
    <cellStyle name="Normal 4 17 5 4 3" xfId="44483" xr:uid="{00000000-0005-0000-0000-000065600000}"/>
    <cellStyle name="Normal 4 17 5 5" xfId="21269" xr:uid="{00000000-0005-0000-0000-000066600000}"/>
    <cellStyle name="Normal 4 17 5 6" xfId="39901" xr:uid="{00000000-0005-0000-0000-000067600000}"/>
    <cellStyle name="Normal 4 17 6" xfId="5896" xr:uid="{00000000-0005-0000-0000-000068600000}"/>
    <cellStyle name="Normal 4 17 6 2" xfId="5897" xr:uid="{00000000-0005-0000-0000-000069600000}"/>
    <cellStyle name="Normal 4 17 6 2 2" xfId="11728" xr:uid="{00000000-0005-0000-0000-00006A600000}"/>
    <cellStyle name="Normal 4 17 6 2 2 2" xfId="35213" xr:uid="{00000000-0005-0000-0000-00006B600000}"/>
    <cellStyle name="Normal 4 17 6 2 2 3" xfId="25894" xr:uid="{00000000-0005-0000-0000-00006C600000}"/>
    <cellStyle name="Normal 4 17 6 2 2 4" xfId="49156" xr:uid="{00000000-0005-0000-0000-00006D600000}"/>
    <cellStyle name="Normal 4 17 6 2 3" xfId="16459" xr:uid="{00000000-0005-0000-0000-00006E600000}"/>
    <cellStyle name="Normal 4 17 6 2 3 2" xfId="30591" xr:uid="{00000000-0005-0000-0000-00006F600000}"/>
    <cellStyle name="Normal 4 17 6 2 3 3" xfId="44486" xr:uid="{00000000-0005-0000-0000-000070600000}"/>
    <cellStyle name="Normal 4 17 6 2 4" xfId="21272" xr:uid="{00000000-0005-0000-0000-000071600000}"/>
    <cellStyle name="Normal 4 17 6 2 5" xfId="39904" xr:uid="{00000000-0005-0000-0000-000072600000}"/>
    <cellStyle name="Normal 4 17 6 3" xfId="11727" xr:uid="{00000000-0005-0000-0000-000073600000}"/>
    <cellStyle name="Normal 4 17 6 3 2" xfId="35212" xr:uid="{00000000-0005-0000-0000-000074600000}"/>
    <cellStyle name="Normal 4 17 6 3 3" xfId="25893" xr:uid="{00000000-0005-0000-0000-000075600000}"/>
    <cellStyle name="Normal 4 17 6 3 4" xfId="49155" xr:uid="{00000000-0005-0000-0000-000076600000}"/>
    <cellStyle name="Normal 4 17 6 4" xfId="16458" xr:uid="{00000000-0005-0000-0000-000077600000}"/>
    <cellStyle name="Normal 4 17 6 4 2" xfId="30590" xr:uid="{00000000-0005-0000-0000-000078600000}"/>
    <cellStyle name="Normal 4 17 6 4 3" xfId="44485" xr:uid="{00000000-0005-0000-0000-000079600000}"/>
    <cellStyle name="Normal 4 17 6 5" xfId="21271" xr:uid="{00000000-0005-0000-0000-00007A600000}"/>
    <cellStyle name="Normal 4 17 6 6" xfId="39903" xr:uid="{00000000-0005-0000-0000-00007B600000}"/>
    <cellStyle name="Normal 4 17 7" xfId="5898" xr:uid="{00000000-0005-0000-0000-00007C600000}"/>
    <cellStyle name="Normal 4 17 7 2" xfId="11729" xr:uid="{00000000-0005-0000-0000-00007D600000}"/>
    <cellStyle name="Normal 4 17 7 2 2" xfId="35214" xr:uid="{00000000-0005-0000-0000-00007E600000}"/>
    <cellStyle name="Normal 4 17 7 2 3" xfId="25895" xr:uid="{00000000-0005-0000-0000-00007F600000}"/>
    <cellStyle name="Normal 4 17 7 2 4" xfId="49157" xr:uid="{00000000-0005-0000-0000-000080600000}"/>
    <cellStyle name="Normal 4 17 7 3" xfId="16460" xr:uid="{00000000-0005-0000-0000-000081600000}"/>
    <cellStyle name="Normal 4 17 7 3 2" xfId="30592" xr:uid="{00000000-0005-0000-0000-000082600000}"/>
    <cellStyle name="Normal 4 17 7 3 3" xfId="44487" xr:uid="{00000000-0005-0000-0000-000083600000}"/>
    <cellStyle name="Normal 4 17 7 4" xfId="21273" xr:uid="{00000000-0005-0000-0000-000084600000}"/>
    <cellStyle name="Normal 4 17 7 5" xfId="39905" xr:uid="{00000000-0005-0000-0000-000085600000}"/>
    <cellStyle name="Normal 4 17 8" xfId="11718" xr:uid="{00000000-0005-0000-0000-000086600000}"/>
    <cellStyle name="Normal 4 17 8 2" xfId="35203" xr:uid="{00000000-0005-0000-0000-000087600000}"/>
    <cellStyle name="Normal 4 17 8 3" xfId="25884" xr:uid="{00000000-0005-0000-0000-000088600000}"/>
    <cellStyle name="Normal 4 17 8 4" xfId="49146" xr:uid="{00000000-0005-0000-0000-000089600000}"/>
    <cellStyle name="Normal 4 17 9" xfId="16449" xr:uid="{00000000-0005-0000-0000-00008A600000}"/>
    <cellStyle name="Normal 4 17 9 2" xfId="30581" xr:uid="{00000000-0005-0000-0000-00008B600000}"/>
    <cellStyle name="Normal 4 17 9 3" xfId="44476" xr:uid="{00000000-0005-0000-0000-00008C600000}"/>
    <cellStyle name="Normal 4 18" xfId="5899" xr:uid="{00000000-0005-0000-0000-00008D600000}"/>
    <cellStyle name="Normal 4 18 10" xfId="21274" xr:uid="{00000000-0005-0000-0000-00008E600000}"/>
    <cellStyle name="Normal 4 18 11" xfId="39906" xr:uid="{00000000-0005-0000-0000-00008F600000}"/>
    <cellStyle name="Normal 4 18 2" xfId="5900" xr:uid="{00000000-0005-0000-0000-000090600000}"/>
    <cellStyle name="Normal 4 18 2 2" xfId="5901" xr:uid="{00000000-0005-0000-0000-000091600000}"/>
    <cellStyle name="Normal 4 18 2 2 2" xfId="11732" xr:uid="{00000000-0005-0000-0000-000092600000}"/>
    <cellStyle name="Normal 4 18 2 2 2 2" xfId="35217" xr:uid="{00000000-0005-0000-0000-000093600000}"/>
    <cellStyle name="Normal 4 18 2 2 2 3" xfId="25898" xr:uid="{00000000-0005-0000-0000-000094600000}"/>
    <cellStyle name="Normal 4 18 2 2 2 4" xfId="49160" xr:uid="{00000000-0005-0000-0000-000095600000}"/>
    <cellStyle name="Normal 4 18 2 2 3" xfId="16463" xr:uid="{00000000-0005-0000-0000-000096600000}"/>
    <cellStyle name="Normal 4 18 2 2 3 2" xfId="30595" xr:uid="{00000000-0005-0000-0000-000097600000}"/>
    <cellStyle name="Normal 4 18 2 2 3 3" xfId="44490" xr:uid="{00000000-0005-0000-0000-000098600000}"/>
    <cellStyle name="Normal 4 18 2 2 4" xfId="21276" xr:uid="{00000000-0005-0000-0000-000099600000}"/>
    <cellStyle name="Normal 4 18 2 2 5" xfId="39908" xr:uid="{00000000-0005-0000-0000-00009A600000}"/>
    <cellStyle name="Normal 4 18 2 3" xfId="11731" xr:uid="{00000000-0005-0000-0000-00009B600000}"/>
    <cellStyle name="Normal 4 18 2 3 2" xfId="35216" xr:uid="{00000000-0005-0000-0000-00009C600000}"/>
    <cellStyle name="Normal 4 18 2 3 3" xfId="25897" xr:uid="{00000000-0005-0000-0000-00009D600000}"/>
    <cellStyle name="Normal 4 18 2 3 4" xfId="49159" xr:uid="{00000000-0005-0000-0000-00009E600000}"/>
    <cellStyle name="Normal 4 18 2 4" xfId="16462" xr:uid="{00000000-0005-0000-0000-00009F600000}"/>
    <cellStyle name="Normal 4 18 2 4 2" xfId="30594" xr:uid="{00000000-0005-0000-0000-0000A0600000}"/>
    <cellStyle name="Normal 4 18 2 4 3" xfId="44489" xr:uid="{00000000-0005-0000-0000-0000A1600000}"/>
    <cellStyle name="Normal 4 18 2 5" xfId="21275" xr:uid="{00000000-0005-0000-0000-0000A2600000}"/>
    <cellStyle name="Normal 4 18 2 6" xfId="39907" xr:uid="{00000000-0005-0000-0000-0000A3600000}"/>
    <cellStyle name="Normal 4 18 3" xfId="5902" xr:uid="{00000000-0005-0000-0000-0000A4600000}"/>
    <cellStyle name="Normal 4 18 3 2" xfId="5903" xr:uid="{00000000-0005-0000-0000-0000A5600000}"/>
    <cellStyle name="Normal 4 18 3 2 2" xfId="11734" xr:uid="{00000000-0005-0000-0000-0000A6600000}"/>
    <cellStyle name="Normal 4 18 3 2 2 2" xfId="35219" xr:uid="{00000000-0005-0000-0000-0000A7600000}"/>
    <cellStyle name="Normal 4 18 3 2 2 3" xfId="25900" xr:uid="{00000000-0005-0000-0000-0000A8600000}"/>
    <cellStyle name="Normal 4 18 3 2 2 4" xfId="49162" xr:uid="{00000000-0005-0000-0000-0000A9600000}"/>
    <cellStyle name="Normal 4 18 3 2 3" xfId="16465" xr:uid="{00000000-0005-0000-0000-0000AA600000}"/>
    <cellStyle name="Normal 4 18 3 2 3 2" xfId="30597" xr:uid="{00000000-0005-0000-0000-0000AB600000}"/>
    <cellStyle name="Normal 4 18 3 2 3 3" xfId="44492" xr:uid="{00000000-0005-0000-0000-0000AC600000}"/>
    <cellStyle name="Normal 4 18 3 2 4" xfId="21278" xr:uid="{00000000-0005-0000-0000-0000AD600000}"/>
    <cellStyle name="Normal 4 18 3 2 5" xfId="39910" xr:uid="{00000000-0005-0000-0000-0000AE600000}"/>
    <cellStyle name="Normal 4 18 3 3" xfId="11733" xr:uid="{00000000-0005-0000-0000-0000AF600000}"/>
    <cellStyle name="Normal 4 18 3 3 2" xfId="35218" xr:uid="{00000000-0005-0000-0000-0000B0600000}"/>
    <cellStyle name="Normal 4 18 3 3 3" xfId="25899" xr:uid="{00000000-0005-0000-0000-0000B1600000}"/>
    <cellStyle name="Normal 4 18 3 3 4" xfId="49161" xr:uid="{00000000-0005-0000-0000-0000B2600000}"/>
    <cellStyle name="Normal 4 18 3 4" xfId="16464" xr:uid="{00000000-0005-0000-0000-0000B3600000}"/>
    <cellStyle name="Normal 4 18 3 4 2" xfId="30596" xr:uid="{00000000-0005-0000-0000-0000B4600000}"/>
    <cellStyle name="Normal 4 18 3 4 3" xfId="44491" xr:uid="{00000000-0005-0000-0000-0000B5600000}"/>
    <cellStyle name="Normal 4 18 3 5" xfId="21277" xr:uid="{00000000-0005-0000-0000-0000B6600000}"/>
    <cellStyle name="Normal 4 18 3 6" xfId="39909" xr:uid="{00000000-0005-0000-0000-0000B7600000}"/>
    <cellStyle name="Normal 4 18 4" xfId="5904" xr:uid="{00000000-0005-0000-0000-0000B8600000}"/>
    <cellStyle name="Normal 4 18 4 2" xfId="5905" xr:uid="{00000000-0005-0000-0000-0000B9600000}"/>
    <cellStyle name="Normal 4 18 4 2 2" xfId="11736" xr:uid="{00000000-0005-0000-0000-0000BA600000}"/>
    <cellStyle name="Normal 4 18 4 2 2 2" xfId="35221" xr:uid="{00000000-0005-0000-0000-0000BB600000}"/>
    <cellStyle name="Normal 4 18 4 2 2 3" xfId="25902" xr:uid="{00000000-0005-0000-0000-0000BC600000}"/>
    <cellStyle name="Normal 4 18 4 2 2 4" xfId="49164" xr:uid="{00000000-0005-0000-0000-0000BD600000}"/>
    <cellStyle name="Normal 4 18 4 2 3" xfId="16467" xr:uid="{00000000-0005-0000-0000-0000BE600000}"/>
    <cellStyle name="Normal 4 18 4 2 3 2" xfId="30599" xr:uid="{00000000-0005-0000-0000-0000BF600000}"/>
    <cellStyle name="Normal 4 18 4 2 3 3" xfId="44494" xr:uid="{00000000-0005-0000-0000-0000C0600000}"/>
    <cellStyle name="Normal 4 18 4 2 4" xfId="21280" xr:uid="{00000000-0005-0000-0000-0000C1600000}"/>
    <cellStyle name="Normal 4 18 4 2 5" xfId="39912" xr:uid="{00000000-0005-0000-0000-0000C2600000}"/>
    <cellStyle name="Normal 4 18 4 3" xfId="11735" xr:uid="{00000000-0005-0000-0000-0000C3600000}"/>
    <cellStyle name="Normal 4 18 4 3 2" xfId="35220" xr:uid="{00000000-0005-0000-0000-0000C4600000}"/>
    <cellStyle name="Normal 4 18 4 3 3" xfId="25901" xr:uid="{00000000-0005-0000-0000-0000C5600000}"/>
    <cellStyle name="Normal 4 18 4 3 4" xfId="49163" xr:uid="{00000000-0005-0000-0000-0000C6600000}"/>
    <cellStyle name="Normal 4 18 4 4" xfId="16466" xr:uid="{00000000-0005-0000-0000-0000C7600000}"/>
    <cellStyle name="Normal 4 18 4 4 2" xfId="30598" xr:uid="{00000000-0005-0000-0000-0000C8600000}"/>
    <cellStyle name="Normal 4 18 4 4 3" xfId="44493" xr:uid="{00000000-0005-0000-0000-0000C9600000}"/>
    <cellStyle name="Normal 4 18 4 5" xfId="21279" xr:uid="{00000000-0005-0000-0000-0000CA600000}"/>
    <cellStyle name="Normal 4 18 4 6" xfId="39911" xr:uid="{00000000-0005-0000-0000-0000CB600000}"/>
    <cellStyle name="Normal 4 18 5" xfId="5906" xr:uid="{00000000-0005-0000-0000-0000CC600000}"/>
    <cellStyle name="Normal 4 18 5 2" xfId="5907" xr:uid="{00000000-0005-0000-0000-0000CD600000}"/>
    <cellStyle name="Normal 4 18 5 2 2" xfId="11738" xr:uid="{00000000-0005-0000-0000-0000CE600000}"/>
    <cellStyle name="Normal 4 18 5 2 2 2" xfId="35223" xr:uid="{00000000-0005-0000-0000-0000CF600000}"/>
    <cellStyle name="Normal 4 18 5 2 2 3" xfId="25904" xr:uid="{00000000-0005-0000-0000-0000D0600000}"/>
    <cellStyle name="Normal 4 18 5 2 2 4" xfId="49166" xr:uid="{00000000-0005-0000-0000-0000D1600000}"/>
    <cellStyle name="Normal 4 18 5 2 3" xfId="16469" xr:uid="{00000000-0005-0000-0000-0000D2600000}"/>
    <cellStyle name="Normal 4 18 5 2 3 2" xfId="30601" xr:uid="{00000000-0005-0000-0000-0000D3600000}"/>
    <cellStyle name="Normal 4 18 5 2 3 3" xfId="44496" xr:uid="{00000000-0005-0000-0000-0000D4600000}"/>
    <cellStyle name="Normal 4 18 5 2 4" xfId="21282" xr:uid="{00000000-0005-0000-0000-0000D5600000}"/>
    <cellStyle name="Normal 4 18 5 2 5" xfId="39914" xr:uid="{00000000-0005-0000-0000-0000D6600000}"/>
    <cellStyle name="Normal 4 18 5 3" xfId="11737" xr:uid="{00000000-0005-0000-0000-0000D7600000}"/>
    <cellStyle name="Normal 4 18 5 3 2" xfId="35222" xr:uid="{00000000-0005-0000-0000-0000D8600000}"/>
    <cellStyle name="Normal 4 18 5 3 3" xfId="25903" xr:uid="{00000000-0005-0000-0000-0000D9600000}"/>
    <cellStyle name="Normal 4 18 5 3 4" xfId="49165" xr:uid="{00000000-0005-0000-0000-0000DA600000}"/>
    <cellStyle name="Normal 4 18 5 4" xfId="16468" xr:uid="{00000000-0005-0000-0000-0000DB600000}"/>
    <cellStyle name="Normal 4 18 5 4 2" xfId="30600" xr:uid="{00000000-0005-0000-0000-0000DC600000}"/>
    <cellStyle name="Normal 4 18 5 4 3" xfId="44495" xr:uid="{00000000-0005-0000-0000-0000DD600000}"/>
    <cellStyle name="Normal 4 18 5 5" xfId="21281" xr:uid="{00000000-0005-0000-0000-0000DE600000}"/>
    <cellStyle name="Normal 4 18 5 6" xfId="39913" xr:uid="{00000000-0005-0000-0000-0000DF600000}"/>
    <cellStyle name="Normal 4 18 6" xfId="5908" xr:uid="{00000000-0005-0000-0000-0000E0600000}"/>
    <cellStyle name="Normal 4 18 6 2" xfId="5909" xr:uid="{00000000-0005-0000-0000-0000E1600000}"/>
    <cellStyle name="Normal 4 18 6 2 2" xfId="11740" xr:uid="{00000000-0005-0000-0000-0000E2600000}"/>
    <cellStyle name="Normal 4 18 6 2 2 2" xfId="35225" xr:uid="{00000000-0005-0000-0000-0000E3600000}"/>
    <cellStyle name="Normal 4 18 6 2 2 3" xfId="25906" xr:uid="{00000000-0005-0000-0000-0000E4600000}"/>
    <cellStyle name="Normal 4 18 6 2 2 4" xfId="49168" xr:uid="{00000000-0005-0000-0000-0000E5600000}"/>
    <cellStyle name="Normal 4 18 6 2 3" xfId="16471" xr:uid="{00000000-0005-0000-0000-0000E6600000}"/>
    <cellStyle name="Normal 4 18 6 2 3 2" xfId="30603" xr:uid="{00000000-0005-0000-0000-0000E7600000}"/>
    <cellStyle name="Normal 4 18 6 2 3 3" xfId="44498" xr:uid="{00000000-0005-0000-0000-0000E8600000}"/>
    <cellStyle name="Normal 4 18 6 2 4" xfId="21284" xr:uid="{00000000-0005-0000-0000-0000E9600000}"/>
    <cellStyle name="Normal 4 18 6 2 5" xfId="39916" xr:uid="{00000000-0005-0000-0000-0000EA600000}"/>
    <cellStyle name="Normal 4 18 6 3" xfId="11739" xr:uid="{00000000-0005-0000-0000-0000EB600000}"/>
    <cellStyle name="Normal 4 18 6 3 2" xfId="35224" xr:uid="{00000000-0005-0000-0000-0000EC600000}"/>
    <cellStyle name="Normal 4 18 6 3 3" xfId="25905" xr:uid="{00000000-0005-0000-0000-0000ED600000}"/>
    <cellStyle name="Normal 4 18 6 3 4" xfId="49167" xr:uid="{00000000-0005-0000-0000-0000EE600000}"/>
    <cellStyle name="Normal 4 18 6 4" xfId="16470" xr:uid="{00000000-0005-0000-0000-0000EF600000}"/>
    <cellStyle name="Normal 4 18 6 4 2" xfId="30602" xr:uid="{00000000-0005-0000-0000-0000F0600000}"/>
    <cellStyle name="Normal 4 18 6 4 3" xfId="44497" xr:uid="{00000000-0005-0000-0000-0000F1600000}"/>
    <cellStyle name="Normal 4 18 6 5" xfId="21283" xr:uid="{00000000-0005-0000-0000-0000F2600000}"/>
    <cellStyle name="Normal 4 18 6 6" xfId="39915" xr:uid="{00000000-0005-0000-0000-0000F3600000}"/>
    <cellStyle name="Normal 4 18 7" xfId="5910" xr:uid="{00000000-0005-0000-0000-0000F4600000}"/>
    <cellStyle name="Normal 4 18 7 2" xfId="11741" xr:uid="{00000000-0005-0000-0000-0000F5600000}"/>
    <cellStyle name="Normal 4 18 7 2 2" xfId="35226" xr:uid="{00000000-0005-0000-0000-0000F6600000}"/>
    <cellStyle name="Normal 4 18 7 2 3" xfId="25907" xr:uid="{00000000-0005-0000-0000-0000F7600000}"/>
    <cellStyle name="Normal 4 18 7 2 4" xfId="49169" xr:uid="{00000000-0005-0000-0000-0000F8600000}"/>
    <cellStyle name="Normal 4 18 7 3" xfId="16472" xr:uid="{00000000-0005-0000-0000-0000F9600000}"/>
    <cellStyle name="Normal 4 18 7 3 2" xfId="30604" xr:uid="{00000000-0005-0000-0000-0000FA600000}"/>
    <cellStyle name="Normal 4 18 7 3 3" xfId="44499" xr:uid="{00000000-0005-0000-0000-0000FB600000}"/>
    <cellStyle name="Normal 4 18 7 4" xfId="21285" xr:uid="{00000000-0005-0000-0000-0000FC600000}"/>
    <cellStyle name="Normal 4 18 7 5" xfId="39917" xr:uid="{00000000-0005-0000-0000-0000FD600000}"/>
    <cellStyle name="Normal 4 18 8" xfId="11730" xr:uid="{00000000-0005-0000-0000-0000FE600000}"/>
    <cellStyle name="Normal 4 18 8 2" xfId="35215" xr:uid="{00000000-0005-0000-0000-0000FF600000}"/>
    <cellStyle name="Normal 4 18 8 3" xfId="25896" xr:uid="{00000000-0005-0000-0000-000000610000}"/>
    <cellStyle name="Normal 4 18 8 4" xfId="49158" xr:uid="{00000000-0005-0000-0000-000001610000}"/>
    <cellStyle name="Normal 4 18 9" xfId="16461" xr:uid="{00000000-0005-0000-0000-000002610000}"/>
    <cellStyle name="Normal 4 18 9 2" xfId="30593" xr:uid="{00000000-0005-0000-0000-000003610000}"/>
    <cellStyle name="Normal 4 18 9 3" xfId="44488" xr:uid="{00000000-0005-0000-0000-000004610000}"/>
    <cellStyle name="Normal 4 19" xfId="5911" xr:uid="{00000000-0005-0000-0000-000005610000}"/>
    <cellStyle name="Normal 4 19 2" xfId="5912" xr:uid="{00000000-0005-0000-0000-000006610000}"/>
    <cellStyle name="Normal 4 19 2 2" xfId="11743" xr:uid="{00000000-0005-0000-0000-000007610000}"/>
    <cellStyle name="Normal 4 19 2 2 2" xfId="35228" xr:uid="{00000000-0005-0000-0000-000008610000}"/>
    <cellStyle name="Normal 4 19 2 2 3" xfId="25909" xr:uid="{00000000-0005-0000-0000-000009610000}"/>
    <cellStyle name="Normal 4 19 2 2 4" xfId="49171" xr:uid="{00000000-0005-0000-0000-00000A610000}"/>
    <cellStyle name="Normal 4 19 2 3" xfId="16474" xr:uid="{00000000-0005-0000-0000-00000B610000}"/>
    <cellStyle name="Normal 4 19 2 3 2" xfId="30606" xr:uid="{00000000-0005-0000-0000-00000C610000}"/>
    <cellStyle name="Normal 4 19 2 3 3" xfId="44501" xr:uid="{00000000-0005-0000-0000-00000D610000}"/>
    <cellStyle name="Normal 4 19 2 4" xfId="21287" xr:uid="{00000000-0005-0000-0000-00000E610000}"/>
    <cellStyle name="Normal 4 19 2 5" xfId="39919" xr:uid="{00000000-0005-0000-0000-00000F610000}"/>
    <cellStyle name="Normal 4 19 3" xfId="11742" xr:uid="{00000000-0005-0000-0000-000010610000}"/>
    <cellStyle name="Normal 4 19 3 2" xfId="35227" xr:uid="{00000000-0005-0000-0000-000011610000}"/>
    <cellStyle name="Normal 4 19 3 3" xfId="25908" xr:uid="{00000000-0005-0000-0000-000012610000}"/>
    <cellStyle name="Normal 4 19 3 4" xfId="49170" xr:uid="{00000000-0005-0000-0000-000013610000}"/>
    <cellStyle name="Normal 4 19 4" xfId="16473" xr:uid="{00000000-0005-0000-0000-000014610000}"/>
    <cellStyle name="Normal 4 19 4 2" xfId="30605" xr:uid="{00000000-0005-0000-0000-000015610000}"/>
    <cellStyle name="Normal 4 19 4 3" xfId="44500" xr:uid="{00000000-0005-0000-0000-000016610000}"/>
    <cellStyle name="Normal 4 19 5" xfId="21286" xr:uid="{00000000-0005-0000-0000-000017610000}"/>
    <cellStyle name="Normal 4 19 6" xfId="39918" xr:uid="{00000000-0005-0000-0000-000018610000}"/>
    <cellStyle name="Normal 4 2" xfId="196" xr:uid="{00000000-0005-0000-0000-000019610000}"/>
    <cellStyle name="Normal 4 2 10" xfId="5913" xr:uid="{00000000-0005-0000-0000-00001A610000}"/>
    <cellStyle name="Normal 4 2 10 2" xfId="5914" xr:uid="{00000000-0005-0000-0000-00001B610000}"/>
    <cellStyle name="Normal 4 2 10 2 2" xfId="11745" xr:uid="{00000000-0005-0000-0000-00001C610000}"/>
    <cellStyle name="Normal 4 2 10 2 2 2" xfId="35230" xr:uid="{00000000-0005-0000-0000-00001D610000}"/>
    <cellStyle name="Normal 4 2 10 2 2 3" xfId="25911" xr:uid="{00000000-0005-0000-0000-00001E610000}"/>
    <cellStyle name="Normal 4 2 10 2 2 4" xfId="49173" xr:uid="{00000000-0005-0000-0000-00001F610000}"/>
    <cellStyle name="Normal 4 2 10 2 3" xfId="16476" xr:uid="{00000000-0005-0000-0000-000020610000}"/>
    <cellStyle name="Normal 4 2 10 2 3 2" xfId="30608" xr:uid="{00000000-0005-0000-0000-000021610000}"/>
    <cellStyle name="Normal 4 2 10 2 3 3" xfId="44503" xr:uid="{00000000-0005-0000-0000-000022610000}"/>
    <cellStyle name="Normal 4 2 10 2 4" xfId="21289" xr:uid="{00000000-0005-0000-0000-000023610000}"/>
    <cellStyle name="Normal 4 2 10 2 5" xfId="39921" xr:uid="{00000000-0005-0000-0000-000024610000}"/>
    <cellStyle name="Normal 4 2 10 3" xfId="11744" xr:uid="{00000000-0005-0000-0000-000025610000}"/>
    <cellStyle name="Normal 4 2 10 3 2" xfId="35229" xr:uid="{00000000-0005-0000-0000-000026610000}"/>
    <cellStyle name="Normal 4 2 10 3 3" xfId="25910" xr:uid="{00000000-0005-0000-0000-000027610000}"/>
    <cellStyle name="Normal 4 2 10 3 4" xfId="49172" xr:uid="{00000000-0005-0000-0000-000028610000}"/>
    <cellStyle name="Normal 4 2 10 4" xfId="16475" xr:uid="{00000000-0005-0000-0000-000029610000}"/>
    <cellStyle name="Normal 4 2 10 4 2" xfId="30607" xr:uid="{00000000-0005-0000-0000-00002A610000}"/>
    <cellStyle name="Normal 4 2 10 4 3" xfId="44502" xr:uid="{00000000-0005-0000-0000-00002B610000}"/>
    <cellStyle name="Normal 4 2 10 5" xfId="21288" xr:uid="{00000000-0005-0000-0000-00002C610000}"/>
    <cellStyle name="Normal 4 2 10 6" xfId="39920" xr:uid="{00000000-0005-0000-0000-00002D610000}"/>
    <cellStyle name="Normal 4 2 11" xfId="5915" xr:uid="{00000000-0005-0000-0000-00002E610000}"/>
    <cellStyle name="Normal 4 2 11 2" xfId="5916" xr:uid="{00000000-0005-0000-0000-00002F610000}"/>
    <cellStyle name="Normal 4 2 11 2 2" xfId="11747" xr:uid="{00000000-0005-0000-0000-000030610000}"/>
    <cellStyle name="Normal 4 2 11 2 2 2" xfId="35232" xr:uid="{00000000-0005-0000-0000-000031610000}"/>
    <cellStyle name="Normal 4 2 11 2 2 3" xfId="25913" xr:uid="{00000000-0005-0000-0000-000032610000}"/>
    <cellStyle name="Normal 4 2 11 2 2 4" xfId="49175" xr:uid="{00000000-0005-0000-0000-000033610000}"/>
    <cellStyle name="Normal 4 2 11 2 3" xfId="16478" xr:uid="{00000000-0005-0000-0000-000034610000}"/>
    <cellStyle name="Normal 4 2 11 2 3 2" xfId="30610" xr:uid="{00000000-0005-0000-0000-000035610000}"/>
    <cellStyle name="Normal 4 2 11 2 3 3" xfId="44505" xr:uid="{00000000-0005-0000-0000-000036610000}"/>
    <cellStyle name="Normal 4 2 11 2 4" xfId="21291" xr:uid="{00000000-0005-0000-0000-000037610000}"/>
    <cellStyle name="Normal 4 2 11 2 5" xfId="39923" xr:uid="{00000000-0005-0000-0000-000038610000}"/>
    <cellStyle name="Normal 4 2 11 3" xfId="11746" xr:uid="{00000000-0005-0000-0000-000039610000}"/>
    <cellStyle name="Normal 4 2 11 3 2" xfId="35231" xr:uid="{00000000-0005-0000-0000-00003A610000}"/>
    <cellStyle name="Normal 4 2 11 3 3" xfId="25912" xr:uid="{00000000-0005-0000-0000-00003B610000}"/>
    <cellStyle name="Normal 4 2 11 3 4" xfId="49174" xr:uid="{00000000-0005-0000-0000-00003C610000}"/>
    <cellStyle name="Normal 4 2 11 4" xfId="16477" xr:uid="{00000000-0005-0000-0000-00003D610000}"/>
    <cellStyle name="Normal 4 2 11 4 2" xfId="30609" xr:uid="{00000000-0005-0000-0000-00003E610000}"/>
    <cellStyle name="Normal 4 2 11 4 3" xfId="44504" xr:uid="{00000000-0005-0000-0000-00003F610000}"/>
    <cellStyle name="Normal 4 2 11 5" xfId="21290" xr:uid="{00000000-0005-0000-0000-000040610000}"/>
    <cellStyle name="Normal 4 2 11 6" xfId="39922" xr:uid="{00000000-0005-0000-0000-000041610000}"/>
    <cellStyle name="Normal 4 2 12" xfId="5917" xr:uid="{00000000-0005-0000-0000-000042610000}"/>
    <cellStyle name="Normal 4 2 12 2" xfId="5918" xr:uid="{00000000-0005-0000-0000-000043610000}"/>
    <cellStyle name="Normal 4 2 12 2 2" xfId="11749" xr:uid="{00000000-0005-0000-0000-000044610000}"/>
    <cellStyle name="Normal 4 2 12 2 2 2" xfId="35234" xr:uid="{00000000-0005-0000-0000-000045610000}"/>
    <cellStyle name="Normal 4 2 12 2 2 3" xfId="25915" xr:uid="{00000000-0005-0000-0000-000046610000}"/>
    <cellStyle name="Normal 4 2 12 2 2 4" xfId="49177" xr:uid="{00000000-0005-0000-0000-000047610000}"/>
    <cellStyle name="Normal 4 2 12 2 3" xfId="16480" xr:uid="{00000000-0005-0000-0000-000048610000}"/>
    <cellStyle name="Normal 4 2 12 2 3 2" xfId="30612" xr:uid="{00000000-0005-0000-0000-000049610000}"/>
    <cellStyle name="Normal 4 2 12 2 3 3" xfId="44507" xr:uid="{00000000-0005-0000-0000-00004A610000}"/>
    <cellStyle name="Normal 4 2 12 2 4" xfId="21293" xr:uid="{00000000-0005-0000-0000-00004B610000}"/>
    <cellStyle name="Normal 4 2 12 2 5" xfId="39925" xr:uid="{00000000-0005-0000-0000-00004C610000}"/>
    <cellStyle name="Normal 4 2 12 3" xfId="11748" xr:uid="{00000000-0005-0000-0000-00004D610000}"/>
    <cellStyle name="Normal 4 2 12 3 2" xfId="35233" xr:uid="{00000000-0005-0000-0000-00004E610000}"/>
    <cellStyle name="Normal 4 2 12 3 3" xfId="25914" xr:uid="{00000000-0005-0000-0000-00004F610000}"/>
    <cellStyle name="Normal 4 2 12 3 4" xfId="49176" xr:uid="{00000000-0005-0000-0000-000050610000}"/>
    <cellStyle name="Normal 4 2 12 4" xfId="16479" xr:uid="{00000000-0005-0000-0000-000051610000}"/>
    <cellStyle name="Normal 4 2 12 4 2" xfId="30611" xr:uid="{00000000-0005-0000-0000-000052610000}"/>
    <cellStyle name="Normal 4 2 12 4 3" xfId="44506" xr:uid="{00000000-0005-0000-0000-000053610000}"/>
    <cellStyle name="Normal 4 2 12 5" xfId="21292" xr:uid="{00000000-0005-0000-0000-000054610000}"/>
    <cellStyle name="Normal 4 2 12 6" xfId="39924" xr:uid="{00000000-0005-0000-0000-000055610000}"/>
    <cellStyle name="Normal 4 2 13" xfId="5919" xr:uid="{00000000-0005-0000-0000-000056610000}"/>
    <cellStyle name="Normal 4 2 13 2" xfId="5920" xr:uid="{00000000-0005-0000-0000-000057610000}"/>
    <cellStyle name="Normal 4 2 13 2 2" xfId="11751" xr:uid="{00000000-0005-0000-0000-000058610000}"/>
    <cellStyle name="Normal 4 2 13 2 2 2" xfId="35236" xr:uid="{00000000-0005-0000-0000-000059610000}"/>
    <cellStyle name="Normal 4 2 13 2 2 3" xfId="25917" xr:uid="{00000000-0005-0000-0000-00005A610000}"/>
    <cellStyle name="Normal 4 2 13 2 2 4" xfId="49179" xr:uid="{00000000-0005-0000-0000-00005B610000}"/>
    <cellStyle name="Normal 4 2 13 2 3" xfId="16482" xr:uid="{00000000-0005-0000-0000-00005C610000}"/>
    <cellStyle name="Normal 4 2 13 2 3 2" xfId="30614" xr:uid="{00000000-0005-0000-0000-00005D610000}"/>
    <cellStyle name="Normal 4 2 13 2 3 3" xfId="44509" xr:uid="{00000000-0005-0000-0000-00005E610000}"/>
    <cellStyle name="Normal 4 2 13 2 4" xfId="21295" xr:uid="{00000000-0005-0000-0000-00005F610000}"/>
    <cellStyle name="Normal 4 2 13 2 5" xfId="39927" xr:uid="{00000000-0005-0000-0000-000060610000}"/>
    <cellStyle name="Normal 4 2 13 3" xfId="11750" xr:uid="{00000000-0005-0000-0000-000061610000}"/>
    <cellStyle name="Normal 4 2 13 3 2" xfId="35235" xr:uid="{00000000-0005-0000-0000-000062610000}"/>
    <cellStyle name="Normal 4 2 13 3 3" xfId="25916" xr:uid="{00000000-0005-0000-0000-000063610000}"/>
    <cellStyle name="Normal 4 2 13 3 4" xfId="49178" xr:uid="{00000000-0005-0000-0000-000064610000}"/>
    <cellStyle name="Normal 4 2 13 4" xfId="16481" xr:uid="{00000000-0005-0000-0000-000065610000}"/>
    <cellStyle name="Normal 4 2 13 4 2" xfId="30613" xr:uid="{00000000-0005-0000-0000-000066610000}"/>
    <cellStyle name="Normal 4 2 13 4 3" xfId="44508" xr:uid="{00000000-0005-0000-0000-000067610000}"/>
    <cellStyle name="Normal 4 2 13 5" xfId="21294" xr:uid="{00000000-0005-0000-0000-000068610000}"/>
    <cellStyle name="Normal 4 2 13 6" xfId="39926" xr:uid="{00000000-0005-0000-0000-000069610000}"/>
    <cellStyle name="Normal 4 2 14" xfId="5921" xr:uid="{00000000-0005-0000-0000-00006A610000}"/>
    <cellStyle name="Normal 4 2 14 2" xfId="5922" xr:uid="{00000000-0005-0000-0000-00006B610000}"/>
    <cellStyle name="Normal 4 2 14 2 2" xfId="11753" xr:uid="{00000000-0005-0000-0000-00006C610000}"/>
    <cellStyle name="Normal 4 2 14 2 2 2" xfId="35238" xr:uid="{00000000-0005-0000-0000-00006D610000}"/>
    <cellStyle name="Normal 4 2 14 2 2 3" xfId="25919" xr:uid="{00000000-0005-0000-0000-00006E610000}"/>
    <cellStyle name="Normal 4 2 14 2 2 4" xfId="49181" xr:uid="{00000000-0005-0000-0000-00006F610000}"/>
    <cellStyle name="Normal 4 2 14 2 3" xfId="16484" xr:uid="{00000000-0005-0000-0000-000070610000}"/>
    <cellStyle name="Normal 4 2 14 2 3 2" xfId="30616" xr:uid="{00000000-0005-0000-0000-000071610000}"/>
    <cellStyle name="Normal 4 2 14 2 3 3" xfId="44511" xr:uid="{00000000-0005-0000-0000-000072610000}"/>
    <cellStyle name="Normal 4 2 14 2 4" xfId="21297" xr:uid="{00000000-0005-0000-0000-000073610000}"/>
    <cellStyle name="Normal 4 2 14 2 5" xfId="39929" xr:uid="{00000000-0005-0000-0000-000074610000}"/>
    <cellStyle name="Normal 4 2 14 3" xfId="11752" xr:uid="{00000000-0005-0000-0000-000075610000}"/>
    <cellStyle name="Normal 4 2 14 3 2" xfId="35237" xr:uid="{00000000-0005-0000-0000-000076610000}"/>
    <cellStyle name="Normal 4 2 14 3 3" xfId="25918" xr:uid="{00000000-0005-0000-0000-000077610000}"/>
    <cellStyle name="Normal 4 2 14 3 4" xfId="49180" xr:uid="{00000000-0005-0000-0000-000078610000}"/>
    <cellStyle name="Normal 4 2 14 4" xfId="16483" xr:uid="{00000000-0005-0000-0000-000079610000}"/>
    <cellStyle name="Normal 4 2 14 4 2" xfId="30615" xr:uid="{00000000-0005-0000-0000-00007A610000}"/>
    <cellStyle name="Normal 4 2 14 4 3" xfId="44510" xr:uid="{00000000-0005-0000-0000-00007B610000}"/>
    <cellStyle name="Normal 4 2 14 5" xfId="21296" xr:uid="{00000000-0005-0000-0000-00007C610000}"/>
    <cellStyle name="Normal 4 2 14 6" xfId="39928" xr:uid="{00000000-0005-0000-0000-00007D610000}"/>
    <cellStyle name="Normal 4 2 15" xfId="5923" xr:uid="{00000000-0005-0000-0000-00007E610000}"/>
    <cellStyle name="Normal 4 2 15 2" xfId="5924" xr:uid="{00000000-0005-0000-0000-00007F610000}"/>
    <cellStyle name="Normal 4 2 15 2 2" xfId="11755" xr:uid="{00000000-0005-0000-0000-000080610000}"/>
    <cellStyle name="Normal 4 2 15 2 2 2" xfId="35240" xr:uid="{00000000-0005-0000-0000-000081610000}"/>
    <cellStyle name="Normal 4 2 15 2 2 3" xfId="25921" xr:uid="{00000000-0005-0000-0000-000082610000}"/>
    <cellStyle name="Normal 4 2 15 2 2 4" xfId="49183" xr:uid="{00000000-0005-0000-0000-000083610000}"/>
    <cellStyle name="Normal 4 2 15 2 3" xfId="16486" xr:uid="{00000000-0005-0000-0000-000084610000}"/>
    <cellStyle name="Normal 4 2 15 2 3 2" xfId="30618" xr:uid="{00000000-0005-0000-0000-000085610000}"/>
    <cellStyle name="Normal 4 2 15 2 3 3" xfId="44513" xr:uid="{00000000-0005-0000-0000-000086610000}"/>
    <cellStyle name="Normal 4 2 15 2 4" xfId="21299" xr:uid="{00000000-0005-0000-0000-000087610000}"/>
    <cellStyle name="Normal 4 2 15 2 5" xfId="39931" xr:uid="{00000000-0005-0000-0000-000088610000}"/>
    <cellStyle name="Normal 4 2 15 3" xfId="11754" xr:uid="{00000000-0005-0000-0000-000089610000}"/>
    <cellStyle name="Normal 4 2 15 3 2" xfId="35239" xr:uid="{00000000-0005-0000-0000-00008A610000}"/>
    <cellStyle name="Normal 4 2 15 3 3" xfId="25920" xr:uid="{00000000-0005-0000-0000-00008B610000}"/>
    <cellStyle name="Normal 4 2 15 3 4" xfId="49182" xr:uid="{00000000-0005-0000-0000-00008C610000}"/>
    <cellStyle name="Normal 4 2 15 4" xfId="16485" xr:uid="{00000000-0005-0000-0000-00008D610000}"/>
    <cellStyle name="Normal 4 2 15 4 2" xfId="30617" xr:uid="{00000000-0005-0000-0000-00008E610000}"/>
    <cellStyle name="Normal 4 2 15 4 3" xfId="44512" xr:uid="{00000000-0005-0000-0000-00008F610000}"/>
    <cellStyle name="Normal 4 2 15 5" xfId="21298" xr:uid="{00000000-0005-0000-0000-000090610000}"/>
    <cellStyle name="Normal 4 2 15 6" xfId="39930" xr:uid="{00000000-0005-0000-0000-000091610000}"/>
    <cellStyle name="Normal 4 2 16" xfId="5925" xr:uid="{00000000-0005-0000-0000-000092610000}"/>
    <cellStyle name="Normal 4 2 16 2" xfId="5926" xr:uid="{00000000-0005-0000-0000-000093610000}"/>
    <cellStyle name="Normal 4 2 16 2 2" xfId="11757" xr:uid="{00000000-0005-0000-0000-000094610000}"/>
    <cellStyle name="Normal 4 2 16 2 2 2" xfId="35242" xr:uid="{00000000-0005-0000-0000-000095610000}"/>
    <cellStyle name="Normal 4 2 16 2 2 3" xfId="25923" xr:uid="{00000000-0005-0000-0000-000096610000}"/>
    <cellStyle name="Normal 4 2 16 2 2 4" xfId="49185" xr:uid="{00000000-0005-0000-0000-000097610000}"/>
    <cellStyle name="Normal 4 2 16 2 3" xfId="16488" xr:uid="{00000000-0005-0000-0000-000098610000}"/>
    <cellStyle name="Normal 4 2 16 2 3 2" xfId="30620" xr:uid="{00000000-0005-0000-0000-000099610000}"/>
    <cellStyle name="Normal 4 2 16 2 3 3" xfId="44515" xr:uid="{00000000-0005-0000-0000-00009A610000}"/>
    <cellStyle name="Normal 4 2 16 2 4" xfId="21301" xr:uid="{00000000-0005-0000-0000-00009B610000}"/>
    <cellStyle name="Normal 4 2 16 2 5" xfId="39933" xr:uid="{00000000-0005-0000-0000-00009C610000}"/>
    <cellStyle name="Normal 4 2 16 3" xfId="11756" xr:uid="{00000000-0005-0000-0000-00009D610000}"/>
    <cellStyle name="Normal 4 2 16 3 2" xfId="35241" xr:uid="{00000000-0005-0000-0000-00009E610000}"/>
    <cellStyle name="Normal 4 2 16 3 3" xfId="25922" xr:uid="{00000000-0005-0000-0000-00009F610000}"/>
    <cellStyle name="Normal 4 2 16 3 4" xfId="49184" xr:uid="{00000000-0005-0000-0000-0000A0610000}"/>
    <cellStyle name="Normal 4 2 16 4" xfId="16487" xr:uid="{00000000-0005-0000-0000-0000A1610000}"/>
    <cellStyle name="Normal 4 2 16 4 2" xfId="30619" xr:uid="{00000000-0005-0000-0000-0000A2610000}"/>
    <cellStyle name="Normal 4 2 16 4 3" xfId="44514" xr:uid="{00000000-0005-0000-0000-0000A3610000}"/>
    <cellStyle name="Normal 4 2 16 5" xfId="21300" xr:uid="{00000000-0005-0000-0000-0000A4610000}"/>
    <cellStyle name="Normal 4 2 16 6" xfId="39932" xr:uid="{00000000-0005-0000-0000-0000A5610000}"/>
    <cellStyle name="Normal 4 2 17" xfId="5927" xr:uid="{00000000-0005-0000-0000-0000A6610000}"/>
    <cellStyle name="Normal 4 2 17 2" xfId="5928" xr:uid="{00000000-0005-0000-0000-0000A7610000}"/>
    <cellStyle name="Normal 4 2 17 2 2" xfId="11759" xr:uid="{00000000-0005-0000-0000-0000A8610000}"/>
    <cellStyle name="Normal 4 2 17 2 2 2" xfId="35244" xr:uid="{00000000-0005-0000-0000-0000A9610000}"/>
    <cellStyle name="Normal 4 2 17 2 2 3" xfId="25925" xr:uid="{00000000-0005-0000-0000-0000AA610000}"/>
    <cellStyle name="Normal 4 2 17 2 2 4" xfId="49187" xr:uid="{00000000-0005-0000-0000-0000AB610000}"/>
    <cellStyle name="Normal 4 2 17 2 3" xfId="16490" xr:uid="{00000000-0005-0000-0000-0000AC610000}"/>
    <cellStyle name="Normal 4 2 17 2 3 2" xfId="30622" xr:uid="{00000000-0005-0000-0000-0000AD610000}"/>
    <cellStyle name="Normal 4 2 17 2 3 3" xfId="44517" xr:uid="{00000000-0005-0000-0000-0000AE610000}"/>
    <cellStyle name="Normal 4 2 17 2 4" xfId="21303" xr:uid="{00000000-0005-0000-0000-0000AF610000}"/>
    <cellStyle name="Normal 4 2 17 2 5" xfId="39935" xr:uid="{00000000-0005-0000-0000-0000B0610000}"/>
    <cellStyle name="Normal 4 2 17 3" xfId="11758" xr:uid="{00000000-0005-0000-0000-0000B1610000}"/>
    <cellStyle name="Normal 4 2 17 3 2" xfId="35243" xr:uid="{00000000-0005-0000-0000-0000B2610000}"/>
    <cellStyle name="Normal 4 2 17 3 3" xfId="25924" xr:uid="{00000000-0005-0000-0000-0000B3610000}"/>
    <cellStyle name="Normal 4 2 17 3 4" xfId="49186" xr:uid="{00000000-0005-0000-0000-0000B4610000}"/>
    <cellStyle name="Normal 4 2 17 4" xfId="16489" xr:uid="{00000000-0005-0000-0000-0000B5610000}"/>
    <cellStyle name="Normal 4 2 17 4 2" xfId="30621" xr:uid="{00000000-0005-0000-0000-0000B6610000}"/>
    <cellStyle name="Normal 4 2 17 4 3" xfId="44516" xr:uid="{00000000-0005-0000-0000-0000B7610000}"/>
    <cellStyle name="Normal 4 2 17 5" xfId="21302" xr:uid="{00000000-0005-0000-0000-0000B8610000}"/>
    <cellStyle name="Normal 4 2 17 6" xfId="39934" xr:uid="{00000000-0005-0000-0000-0000B9610000}"/>
    <cellStyle name="Normal 4 2 18" xfId="5929" xr:uid="{00000000-0005-0000-0000-0000BA610000}"/>
    <cellStyle name="Normal 4 2 18 2" xfId="5930" xr:uid="{00000000-0005-0000-0000-0000BB610000}"/>
    <cellStyle name="Normal 4 2 18 2 2" xfId="11761" xr:uid="{00000000-0005-0000-0000-0000BC610000}"/>
    <cellStyle name="Normal 4 2 18 2 2 2" xfId="35246" xr:uid="{00000000-0005-0000-0000-0000BD610000}"/>
    <cellStyle name="Normal 4 2 18 2 2 3" xfId="25927" xr:uid="{00000000-0005-0000-0000-0000BE610000}"/>
    <cellStyle name="Normal 4 2 18 2 2 4" xfId="49189" xr:uid="{00000000-0005-0000-0000-0000BF610000}"/>
    <cellStyle name="Normal 4 2 18 2 3" xfId="16492" xr:uid="{00000000-0005-0000-0000-0000C0610000}"/>
    <cellStyle name="Normal 4 2 18 2 3 2" xfId="30624" xr:uid="{00000000-0005-0000-0000-0000C1610000}"/>
    <cellStyle name="Normal 4 2 18 2 3 3" xfId="44519" xr:uid="{00000000-0005-0000-0000-0000C2610000}"/>
    <cellStyle name="Normal 4 2 18 2 4" xfId="21305" xr:uid="{00000000-0005-0000-0000-0000C3610000}"/>
    <cellStyle name="Normal 4 2 18 2 5" xfId="39937" xr:uid="{00000000-0005-0000-0000-0000C4610000}"/>
    <cellStyle name="Normal 4 2 18 3" xfId="11760" xr:uid="{00000000-0005-0000-0000-0000C5610000}"/>
    <cellStyle name="Normal 4 2 18 3 2" xfId="35245" xr:uid="{00000000-0005-0000-0000-0000C6610000}"/>
    <cellStyle name="Normal 4 2 18 3 3" xfId="25926" xr:uid="{00000000-0005-0000-0000-0000C7610000}"/>
    <cellStyle name="Normal 4 2 18 3 4" xfId="49188" xr:uid="{00000000-0005-0000-0000-0000C8610000}"/>
    <cellStyle name="Normal 4 2 18 4" xfId="16491" xr:uid="{00000000-0005-0000-0000-0000C9610000}"/>
    <cellStyle name="Normal 4 2 18 4 2" xfId="30623" xr:uid="{00000000-0005-0000-0000-0000CA610000}"/>
    <cellStyle name="Normal 4 2 18 4 3" xfId="44518" xr:uid="{00000000-0005-0000-0000-0000CB610000}"/>
    <cellStyle name="Normal 4 2 18 5" xfId="21304" xr:uid="{00000000-0005-0000-0000-0000CC610000}"/>
    <cellStyle name="Normal 4 2 18 6" xfId="39936" xr:uid="{00000000-0005-0000-0000-0000CD610000}"/>
    <cellStyle name="Normal 4 2 19" xfId="5931" xr:uid="{00000000-0005-0000-0000-0000CE610000}"/>
    <cellStyle name="Normal 4 2 19 2" xfId="5932" xr:uid="{00000000-0005-0000-0000-0000CF610000}"/>
    <cellStyle name="Normal 4 2 19 2 2" xfId="11763" xr:uid="{00000000-0005-0000-0000-0000D0610000}"/>
    <cellStyle name="Normal 4 2 19 2 2 2" xfId="35248" xr:uid="{00000000-0005-0000-0000-0000D1610000}"/>
    <cellStyle name="Normal 4 2 19 2 2 3" xfId="25929" xr:uid="{00000000-0005-0000-0000-0000D2610000}"/>
    <cellStyle name="Normal 4 2 19 2 2 4" xfId="49191" xr:uid="{00000000-0005-0000-0000-0000D3610000}"/>
    <cellStyle name="Normal 4 2 19 2 3" xfId="16494" xr:uid="{00000000-0005-0000-0000-0000D4610000}"/>
    <cellStyle name="Normal 4 2 19 2 3 2" xfId="30626" xr:uid="{00000000-0005-0000-0000-0000D5610000}"/>
    <cellStyle name="Normal 4 2 19 2 3 3" xfId="44521" xr:uid="{00000000-0005-0000-0000-0000D6610000}"/>
    <cellStyle name="Normal 4 2 19 2 4" xfId="21307" xr:uid="{00000000-0005-0000-0000-0000D7610000}"/>
    <cellStyle name="Normal 4 2 19 2 5" xfId="39939" xr:uid="{00000000-0005-0000-0000-0000D8610000}"/>
    <cellStyle name="Normal 4 2 19 3" xfId="11762" xr:uid="{00000000-0005-0000-0000-0000D9610000}"/>
    <cellStyle name="Normal 4 2 19 3 2" xfId="35247" xr:uid="{00000000-0005-0000-0000-0000DA610000}"/>
    <cellStyle name="Normal 4 2 19 3 3" xfId="25928" xr:uid="{00000000-0005-0000-0000-0000DB610000}"/>
    <cellStyle name="Normal 4 2 19 3 4" xfId="49190" xr:uid="{00000000-0005-0000-0000-0000DC610000}"/>
    <cellStyle name="Normal 4 2 19 4" xfId="16493" xr:uid="{00000000-0005-0000-0000-0000DD610000}"/>
    <cellStyle name="Normal 4 2 19 4 2" xfId="30625" xr:uid="{00000000-0005-0000-0000-0000DE610000}"/>
    <cellStyle name="Normal 4 2 19 4 3" xfId="44520" xr:uid="{00000000-0005-0000-0000-0000DF610000}"/>
    <cellStyle name="Normal 4 2 19 5" xfId="21306" xr:uid="{00000000-0005-0000-0000-0000E0610000}"/>
    <cellStyle name="Normal 4 2 19 6" xfId="39938" xr:uid="{00000000-0005-0000-0000-0000E1610000}"/>
    <cellStyle name="Normal 4 2 2" xfId="5933" xr:uid="{00000000-0005-0000-0000-0000E2610000}"/>
    <cellStyle name="Normal 4 2 2 2" xfId="5934" xr:uid="{00000000-0005-0000-0000-0000E3610000}"/>
    <cellStyle name="Normal 4 2 2 2 2" xfId="11765" xr:uid="{00000000-0005-0000-0000-0000E4610000}"/>
    <cellStyle name="Normal 4 2 2 2 2 2" xfId="35250" xr:uid="{00000000-0005-0000-0000-0000E5610000}"/>
    <cellStyle name="Normal 4 2 2 2 2 3" xfId="25931" xr:uid="{00000000-0005-0000-0000-0000E6610000}"/>
    <cellStyle name="Normal 4 2 2 2 2 4" xfId="49193" xr:uid="{00000000-0005-0000-0000-0000E7610000}"/>
    <cellStyle name="Normal 4 2 2 2 3" xfId="16496" xr:uid="{00000000-0005-0000-0000-0000E8610000}"/>
    <cellStyle name="Normal 4 2 2 2 3 2" xfId="30628" xr:uid="{00000000-0005-0000-0000-0000E9610000}"/>
    <cellStyle name="Normal 4 2 2 2 3 3" xfId="44523" xr:uid="{00000000-0005-0000-0000-0000EA610000}"/>
    <cellStyle name="Normal 4 2 2 2 4" xfId="21309" xr:uid="{00000000-0005-0000-0000-0000EB610000}"/>
    <cellStyle name="Normal 4 2 2 2 5" xfId="39941" xr:uid="{00000000-0005-0000-0000-0000EC610000}"/>
    <cellStyle name="Normal 4 2 2 3" xfId="11764" xr:uid="{00000000-0005-0000-0000-0000ED610000}"/>
    <cellStyle name="Normal 4 2 2 3 2" xfId="35249" xr:uid="{00000000-0005-0000-0000-0000EE610000}"/>
    <cellStyle name="Normal 4 2 2 3 3" xfId="25930" xr:uid="{00000000-0005-0000-0000-0000EF610000}"/>
    <cellStyle name="Normal 4 2 2 3 4" xfId="49192" xr:uid="{00000000-0005-0000-0000-0000F0610000}"/>
    <cellStyle name="Normal 4 2 2 4" xfId="16495" xr:uid="{00000000-0005-0000-0000-0000F1610000}"/>
    <cellStyle name="Normal 4 2 2 4 2" xfId="30627" xr:uid="{00000000-0005-0000-0000-0000F2610000}"/>
    <cellStyle name="Normal 4 2 2 4 3" xfId="44522" xr:uid="{00000000-0005-0000-0000-0000F3610000}"/>
    <cellStyle name="Normal 4 2 2 5" xfId="21308" xr:uid="{00000000-0005-0000-0000-0000F4610000}"/>
    <cellStyle name="Normal 4 2 2 6" xfId="39940" xr:uid="{00000000-0005-0000-0000-0000F5610000}"/>
    <cellStyle name="Normal 4 2 20" xfId="5935" xr:uid="{00000000-0005-0000-0000-0000F6610000}"/>
    <cellStyle name="Normal 4 2 20 2" xfId="5936" xr:uid="{00000000-0005-0000-0000-0000F7610000}"/>
    <cellStyle name="Normal 4 2 20 2 2" xfId="11767" xr:uid="{00000000-0005-0000-0000-0000F8610000}"/>
    <cellStyle name="Normal 4 2 20 2 2 2" xfId="35252" xr:uid="{00000000-0005-0000-0000-0000F9610000}"/>
    <cellStyle name="Normal 4 2 20 2 2 3" xfId="25933" xr:uid="{00000000-0005-0000-0000-0000FA610000}"/>
    <cellStyle name="Normal 4 2 20 2 2 4" xfId="49195" xr:uid="{00000000-0005-0000-0000-0000FB610000}"/>
    <cellStyle name="Normal 4 2 20 2 3" xfId="16498" xr:uid="{00000000-0005-0000-0000-0000FC610000}"/>
    <cellStyle name="Normal 4 2 20 2 3 2" xfId="30630" xr:uid="{00000000-0005-0000-0000-0000FD610000}"/>
    <cellStyle name="Normal 4 2 20 2 3 3" xfId="44525" xr:uid="{00000000-0005-0000-0000-0000FE610000}"/>
    <cellStyle name="Normal 4 2 20 2 4" xfId="21311" xr:uid="{00000000-0005-0000-0000-0000FF610000}"/>
    <cellStyle name="Normal 4 2 20 2 5" xfId="39943" xr:uid="{00000000-0005-0000-0000-000000620000}"/>
    <cellStyle name="Normal 4 2 20 3" xfId="11766" xr:uid="{00000000-0005-0000-0000-000001620000}"/>
    <cellStyle name="Normal 4 2 20 3 2" xfId="35251" xr:uid="{00000000-0005-0000-0000-000002620000}"/>
    <cellStyle name="Normal 4 2 20 3 3" xfId="25932" xr:uid="{00000000-0005-0000-0000-000003620000}"/>
    <cellStyle name="Normal 4 2 20 3 4" xfId="49194" xr:uid="{00000000-0005-0000-0000-000004620000}"/>
    <cellStyle name="Normal 4 2 20 4" xfId="16497" xr:uid="{00000000-0005-0000-0000-000005620000}"/>
    <cellStyle name="Normal 4 2 20 4 2" xfId="30629" xr:uid="{00000000-0005-0000-0000-000006620000}"/>
    <cellStyle name="Normal 4 2 20 4 3" xfId="44524" xr:uid="{00000000-0005-0000-0000-000007620000}"/>
    <cellStyle name="Normal 4 2 20 5" xfId="21310" xr:uid="{00000000-0005-0000-0000-000008620000}"/>
    <cellStyle name="Normal 4 2 20 6" xfId="39942" xr:uid="{00000000-0005-0000-0000-000009620000}"/>
    <cellStyle name="Normal 4 2 21" xfId="5937" xr:uid="{00000000-0005-0000-0000-00000A620000}"/>
    <cellStyle name="Normal 4 2 21 2" xfId="5938" xr:uid="{00000000-0005-0000-0000-00000B620000}"/>
    <cellStyle name="Normal 4 2 21 2 2" xfId="11769" xr:uid="{00000000-0005-0000-0000-00000C620000}"/>
    <cellStyle name="Normal 4 2 21 2 2 2" xfId="35254" xr:uid="{00000000-0005-0000-0000-00000D620000}"/>
    <cellStyle name="Normal 4 2 21 2 2 3" xfId="25935" xr:uid="{00000000-0005-0000-0000-00000E620000}"/>
    <cellStyle name="Normal 4 2 21 2 2 4" xfId="49197" xr:uid="{00000000-0005-0000-0000-00000F620000}"/>
    <cellStyle name="Normal 4 2 21 2 3" xfId="16500" xr:uid="{00000000-0005-0000-0000-000010620000}"/>
    <cellStyle name="Normal 4 2 21 2 3 2" xfId="30632" xr:uid="{00000000-0005-0000-0000-000011620000}"/>
    <cellStyle name="Normal 4 2 21 2 3 3" xfId="44527" xr:uid="{00000000-0005-0000-0000-000012620000}"/>
    <cellStyle name="Normal 4 2 21 2 4" xfId="21313" xr:uid="{00000000-0005-0000-0000-000013620000}"/>
    <cellStyle name="Normal 4 2 21 2 5" xfId="39945" xr:uid="{00000000-0005-0000-0000-000014620000}"/>
    <cellStyle name="Normal 4 2 21 3" xfId="11768" xr:uid="{00000000-0005-0000-0000-000015620000}"/>
    <cellStyle name="Normal 4 2 21 3 2" xfId="35253" xr:uid="{00000000-0005-0000-0000-000016620000}"/>
    <cellStyle name="Normal 4 2 21 3 3" xfId="25934" xr:uid="{00000000-0005-0000-0000-000017620000}"/>
    <cellStyle name="Normal 4 2 21 3 4" xfId="49196" xr:uid="{00000000-0005-0000-0000-000018620000}"/>
    <cellStyle name="Normal 4 2 21 4" xfId="16499" xr:uid="{00000000-0005-0000-0000-000019620000}"/>
    <cellStyle name="Normal 4 2 21 4 2" xfId="30631" xr:uid="{00000000-0005-0000-0000-00001A620000}"/>
    <cellStyle name="Normal 4 2 21 4 3" xfId="44526" xr:uid="{00000000-0005-0000-0000-00001B620000}"/>
    <cellStyle name="Normal 4 2 21 5" xfId="21312" xr:uid="{00000000-0005-0000-0000-00001C620000}"/>
    <cellStyle name="Normal 4 2 21 6" xfId="39944" xr:uid="{00000000-0005-0000-0000-00001D620000}"/>
    <cellStyle name="Normal 4 2 22" xfId="5939" xr:uid="{00000000-0005-0000-0000-00001E620000}"/>
    <cellStyle name="Normal 4 2 22 2" xfId="5940" xr:uid="{00000000-0005-0000-0000-00001F620000}"/>
    <cellStyle name="Normal 4 2 22 2 2" xfId="11771" xr:uid="{00000000-0005-0000-0000-000020620000}"/>
    <cellStyle name="Normal 4 2 22 2 2 2" xfId="35256" xr:uid="{00000000-0005-0000-0000-000021620000}"/>
    <cellStyle name="Normal 4 2 22 2 2 3" xfId="25937" xr:uid="{00000000-0005-0000-0000-000022620000}"/>
    <cellStyle name="Normal 4 2 22 2 2 4" xfId="49199" xr:uid="{00000000-0005-0000-0000-000023620000}"/>
    <cellStyle name="Normal 4 2 22 2 3" xfId="16502" xr:uid="{00000000-0005-0000-0000-000024620000}"/>
    <cellStyle name="Normal 4 2 22 2 3 2" xfId="30634" xr:uid="{00000000-0005-0000-0000-000025620000}"/>
    <cellStyle name="Normal 4 2 22 2 3 3" xfId="44529" xr:uid="{00000000-0005-0000-0000-000026620000}"/>
    <cellStyle name="Normal 4 2 22 2 4" xfId="21315" xr:uid="{00000000-0005-0000-0000-000027620000}"/>
    <cellStyle name="Normal 4 2 22 2 5" xfId="39947" xr:uid="{00000000-0005-0000-0000-000028620000}"/>
    <cellStyle name="Normal 4 2 22 3" xfId="11770" xr:uid="{00000000-0005-0000-0000-000029620000}"/>
    <cellStyle name="Normal 4 2 22 3 2" xfId="35255" xr:uid="{00000000-0005-0000-0000-00002A620000}"/>
    <cellStyle name="Normal 4 2 22 3 3" xfId="25936" xr:uid="{00000000-0005-0000-0000-00002B620000}"/>
    <cellStyle name="Normal 4 2 22 3 4" xfId="49198" xr:uid="{00000000-0005-0000-0000-00002C620000}"/>
    <cellStyle name="Normal 4 2 22 4" xfId="16501" xr:uid="{00000000-0005-0000-0000-00002D620000}"/>
    <cellStyle name="Normal 4 2 22 4 2" xfId="30633" xr:uid="{00000000-0005-0000-0000-00002E620000}"/>
    <cellStyle name="Normal 4 2 22 4 3" xfId="44528" xr:uid="{00000000-0005-0000-0000-00002F620000}"/>
    <cellStyle name="Normal 4 2 22 5" xfId="21314" xr:uid="{00000000-0005-0000-0000-000030620000}"/>
    <cellStyle name="Normal 4 2 22 6" xfId="39946" xr:uid="{00000000-0005-0000-0000-000031620000}"/>
    <cellStyle name="Normal 4 2 23" xfId="5941" xr:uid="{00000000-0005-0000-0000-000032620000}"/>
    <cellStyle name="Normal 4 2 23 2" xfId="5942" xr:uid="{00000000-0005-0000-0000-000033620000}"/>
    <cellStyle name="Normal 4 2 23 2 2" xfId="11773" xr:uid="{00000000-0005-0000-0000-000034620000}"/>
    <cellStyle name="Normal 4 2 23 2 2 2" xfId="35258" xr:uid="{00000000-0005-0000-0000-000035620000}"/>
    <cellStyle name="Normal 4 2 23 2 2 3" xfId="25939" xr:uid="{00000000-0005-0000-0000-000036620000}"/>
    <cellStyle name="Normal 4 2 23 2 2 4" xfId="49201" xr:uid="{00000000-0005-0000-0000-000037620000}"/>
    <cellStyle name="Normal 4 2 23 2 3" xfId="16504" xr:uid="{00000000-0005-0000-0000-000038620000}"/>
    <cellStyle name="Normal 4 2 23 2 3 2" xfId="30636" xr:uid="{00000000-0005-0000-0000-000039620000}"/>
    <cellStyle name="Normal 4 2 23 2 3 3" xfId="44531" xr:uid="{00000000-0005-0000-0000-00003A620000}"/>
    <cellStyle name="Normal 4 2 23 2 4" xfId="21317" xr:uid="{00000000-0005-0000-0000-00003B620000}"/>
    <cellStyle name="Normal 4 2 23 2 5" xfId="39949" xr:uid="{00000000-0005-0000-0000-00003C620000}"/>
    <cellStyle name="Normal 4 2 23 3" xfId="11772" xr:uid="{00000000-0005-0000-0000-00003D620000}"/>
    <cellStyle name="Normal 4 2 23 3 2" xfId="35257" xr:uid="{00000000-0005-0000-0000-00003E620000}"/>
    <cellStyle name="Normal 4 2 23 3 3" xfId="25938" xr:uid="{00000000-0005-0000-0000-00003F620000}"/>
    <cellStyle name="Normal 4 2 23 3 4" xfId="49200" xr:uid="{00000000-0005-0000-0000-000040620000}"/>
    <cellStyle name="Normal 4 2 23 4" xfId="16503" xr:uid="{00000000-0005-0000-0000-000041620000}"/>
    <cellStyle name="Normal 4 2 23 4 2" xfId="30635" xr:uid="{00000000-0005-0000-0000-000042620000}"/>
    <cellStyle name="Normal 4 2 23 4 3" xfId="44530" xr:uid="{00000000-0005-0000-0000-000043620000}"/>
    <cellStyle name="Normal 4 2 23 5" xfId="21316" xr:uid="{00000000-0005-0000-0000-000044620000}"/>
    <cellStyle name="Normal 4 2 23 6" xfId="39948" xr:uid="{00000000-0005-0000-0000-000045620000}"/>
    <cellStyle name="Normal 4 2 24" xfId="5943" xr:uid="{00000000-0005-0000-0000-000046620000}"/>
    <cellStyle name="Normal 4 2 24 2" xfId="11774" xr:uid="{00000000-0005-0000-0000-000047620000}"/>
    <cellStyle name="Normal 4 2 24 2 2" xfId="35259" xr:uid="{00000000-0005-0000-0000-000048620000}"/>
    <cellStyle name="Normal 4 2 24 2 3" xfId="25940" xr:uid="{00000000-0005-0000-0000-000049620000}"/>
    <cellStyle name="Normal 4 2 24 2 4" xfId="49202" xr:uid="{00000000-0005-0000-0000-00004A620000}"/>
    <cellStyle name="Normal 4 2 24 3" xfId="16505" xr:uid="{00000000-0005-0000-0000-00004B620000}"/>
    <cellStyle name="Normal 4 2 24 3 2" xfId="30637" xr:uid="{00000000-0005-0000-0000-00004C620000}"/>
    <cellStyle name="Normal 4 2 24 3 3" xfId="44532" xr:uid="{00000000-0005-0000-0000-00004D620000}"/>
    <cellStyle name="Normal 4 2 24 4" xfId="21318" xr:uid="{00000000-0005-0000-0000-00004E620000}"/>
    <cellStyle name="Normal 4 2 24 5" xfId="39950" xr:uid="{00000000-0005-0000-0000-00004F620000}"/>
    <cellStyle name="Normal 4 2 25" xfId="5944" xr:uid="{00000000-0005-0000-0000-000050620000}"/>
    <cellStyle name="Normal 4 2 25 2" xfId="11775" xr:uid="{00000000-0005-0000-0000-000051620000}"/>
    <cellStyle name="Normal 4 2 25 2 2" xfId="35260" xr:uid="{00000000-0005-0000-0000-000052620000}"/>
    <cellStyle name="Normal 4 2 25 2 3" xfId="25941" xr:uid="{00000000-0005-0000-0000-000053620000}"/>
    <cellStyle name="Normal 4 2 25 2 4" xfId="49203" xr:uid="{00000000-0005-0000-0000-000054620000}"/>
    <cellStyle name="Normal 4 2 25 3" xfId="16506" xr:uid="{00000000-0005-0000-0000-000055620000}"/>
    <cellStyle name="Normal 4 2 25 3 2" xfId="30638" xr:uid="{00000000-0005-0000-0000-000056620000}"/>
    <cellStyle name="Normal 4 2 25 3 3" xfId="44533" xr:uid="{00000000-0005-0000-0000-000057620000}"/>
    <cellStyle name="Normal 4 2 25 4" xfId="21319" xr:uid="{00000000-0005-0000-0000-000058620000}"/>
    <cellStyle name="Normal 4 2 25 5" xfId="39951" xr:uid="{00000000-0005-0000-0000-000059620000}"/>
    <cellStyle name="Normal 4 2 26" xfId="5945" xr:uid="{00000000-0005-0000-0000-00005A620000}"/>
    <cellStyle name="Normal 4 2 26 2" xfId="11776" xr:uid="{00000000-0005-0000-0000-00005B620000}"/>
    <cellStyle name="Normal 4 2 26 2 2" xfId="35261" xr:uid="{00000000-0005-0000-0000-00005C620000}"/>
    <cellStyle name="Normal 4 2 26 2 3" xfId="25942" xr:uid="{00000000-0005-0000-0000-00005D620000}"/>
    <cellStyle name="Normal 4 2 26 2 4" xfId="49204" xr:uid="{00000000-0005-0000-0000-00005E620000}"/>
    <cellStyle name="Normal 4 2 26 3" xfId="16507" xr:uid="{00000000-0005-0000-0000-00005F620000}"/>
    <cellStyle name="Normal 4 2 26 3 2" xfId="30639" xr:uid="{00000000-0005-0000-0000-000060620000}"/>
    <cellStyle name="Normal 4 2 26 3 3" xfId="44534" xr:uid="{00000000-0005-0000-0000-000061620000}"/>
    <cellStyle name="Normal 4 2 26 4" xfId="21320" xr:uid="{00000000-0005-0000-0000-000062620000}"/>
    <cellStyle name="Normal 4 2 26 5" xfId="39952" xr:uid="{00000000-0005-0000-0000-000063620000}"/>
    <cellStyle name="Normal 4 2 27" xfId="5946" xr:uid="{00000000-0005-0000-0000-000064620000}"/>
    <cellStyle name="Normal 4 2 27 2" xfId="11777" xr:uid="{00000000-0005-0000-0000-000065620000}"/>
    <cellStyle name="Normal 4 2 27 2 2" xfId="35262" xr:uid="{00000000-0005-0000-0000-000066620000}"/>
    <cellStyle name="Normal 4 2 27 2 3" xfId="25943" xr:uid="{00000000-0005-0000-0000-000067620000}"/>
    <cellStyle name="Normal 4 2 27 2 4" xfId="49205" xr:uid="{00000000-0005-0000-0000-000068620000}"/>
    <cellStyle name="Normal 4 2 27 3" xfId="16508" xr:uid="{00000000-0005-0000-0000-000069620000}"/>
    <cellStyle name="Normal 4 2 27 3 2" xfId="30640" xr:uid="{00000000-0005-0000-0000-00006A620000}"/>
    <cellStyle name="Normal 4 2 27 3 3" xfId="44535" xr:uid="{00000000-0005-0000-0000-00006B620000}"/>
    <cellStyle name="Normal 4 2 27 4" xfId="21321" xr:uid="{00000000-0005-0000-0000-00006C620000}"/>
    <cellStyle name="Normal 4 2 27 5" xfId="39953" xr:uid="{00000000-0005-0000-0000-00006D620000}"/>
    <cellStyle name="Normal 4 2 28" xfId="420" xr:uid="{00000000-0005-0000-0000-00006E620000}"/>
    <cellStyle name="Normal 4 2 28 2" xfId="9678" xr:uid="{00000000-0005-0000-0000-00006F620000}"/>
    <cellStyle name="Normal 4 2 28 2 2" xfId="33169" xr:uid="{00000000-0005-0000-0000-000070620000}"/>
    <cellStyle name="Normal 4 2 28 2 3" xfId="23854" xr:uid="{00000000-0005-0000-0000-000071620000}"/>
    <cellStyle name="Normal 4 2 28 2 4" xfId="47112" xr:uid="{00000000-0005-0000-0000-000072620000}"/>
    <cellStyle name="Normal 4 2 28 3" xfId="14439" xr:uid="{00000000-0005-0000-0000-000073620000}"/>
    <cellStyle name="Normal 4 2 28 3 2" xfId="28570" xr:uid="{00000000-0005-0000-0000-000074620000}"/>
    <cellStyle name="Normal 4 2 28 3 3" xfId="42450" xr:uid="{00000000-0005-0000-0000-000075620000}"/>
    <cellStyle name="Normal 4 2 28 4" xfId="19250" xr:uid="{00000000-0005-0000-0000-000076620000}"/>
    <cellStyle name="Normal 4 2 28 5" xfId="37885" xr:uid="{00000000-0005-0000-0000-000077620000}"/>
    <cellStyle name="Normal 4 2 29" xfId="9485" xr:uid="{00000000-0005-0000-0000-000078620000}"/>
    <cellStyle name="Normal 4 2 29 2" xfId="14154" xr:uid="{00000000-0005-0000-0000-000079620000}"/>
    <cellStyle name="Normal 4 2 29 2 2" xfId="37632" xr:uid="{00000000-0005-0000-0000-00007A620000}"/>
    <cellStyle name="Normal 4 2 29 2 3" xfId="28318" xr:uid="{00000000-0005-0000-0000-00007B620000}"/>
    <cellStyle name="Normal 4 2 29 2 4" xfId="51581" xr:uid="{00000000-0005-0000-0000-00007C620000}"/>
    <cellStyle name="Normal 4 2 29 3" xfId="18866" xr:uid="{00000000-0005-0000-0000-00007D620000}"/>
    <cellStyle name="Normal 4 2 29 3 2" xfId="32998" xr:uid="{00000000-0005-0000-0000-00007E620000}"/>
    <cellStyle name="Normal 4 2 29 3 3" xfId="46900" xr:uid="{00000000-0005-0000-0000-00007F620000}"/>
    <cellStyle name="Normal 4 2 29 4" xfId="23684" xr:uid="{00000000-0005-0000-0000-000080620000}"/>
    <cellStyle name="Normal 4 2 29 5" xfId="42271" xr:uid="{00000000-0005-0000-0000-000081620000}"/>
    <cellStyle name="Normal 4 2 3" xfId="5947" xr:uid="{00000000-0005-0000-0000-000082620000}"/>
    <cellStyle name="Normal 4 2 3 2" xfId="5948" xr:uid="{00000000-0005-0000-0000-000083620000}"/>
    <cellStyle name="Normal 4 2 3 2 2" xfId="11779" xr:uid="{00000000-0005-0000-0000-000084620000}"/>
    <cellStyle name="Normal 4 2 3 2 2 2" xfId="35264" xr:uid="{00000000-0005-0000-0000-000085620000}"/>
    <cellStyle name="Normal 4 2 3 2 2 3" xfId="25945" xr:uid="{00000000-0005-0000-0000-000086620000}"/>
    <cellStyle name="Normal 4 2 3 2 2 4" xfId="49207" xr:uid="{00000000-0005-0000-0000-000087620000}"/>
    <cellStyle name="Normal 4 2 3 2 3" xfId="16510" xr:uid="{00000000-0005-0000-0000-000088620000}"/>
    <cellStyle name="Normal 4 2 3 2 3 2" xfId="30642" xr:uid="{00000000-0005-0000-0000-000089620000}"/>
    <cellStyle name="Normal 4 2 3 2 3 3" xfId="44537" xr:uid="{00000000-0005-0000-0000-00008A620000}"/>
    <cellStyle name="Normal 4 2 3 2 4" xfId="21323" xr:uid="{00000000-0005-0000-0000-00008B620000}"/>
    <cellStyle name="Normal 4 2 3 2 5" xfId="39955" xr:uid="{00000000-0005-0000-0000-00008C620000}"/>
    <cellStyle name="Normal 4 2 3 3" xfId="11778" xr:uid="{00000000-0005-0000-0000-00008D620000}"/>
    <cellStyle name="Normal 4 2 3 3 2" xfId="35263" xr:uid="{00000000-0005-0000-0000-00008E620000}"/>
    <cellStyle name="Normal 4 2 3 3 3" xfId="25944" xr:uid="{00000000-0005-0000-0000-00008F620000}"/>
    <cellStyle name="Normal 4 2 3 3 4" xfId="49206" xr:uid="{00000000-0005-0000-0000-000090620000}"/>
    <cellStyle name="Normal 4 2 3 4" xfId="16509" xr:uid="{00000000-0005-0000-0000-000091620000}"/>
    <cellStyle name="Normal 4 2 3 4 2" xfId="30641" xr:uid="{00000000-0005-0000-0000-000092620000}"/>
    <cellStyle name="Normal 4 2 3 4 3" xfId="44536" xr:uid="{00000000-0005-0000-0000-000093620000}"/>
    <cellStyle name="Normal 4 2 3 5" xfId="21322" xr:uid="{00000000-0005-0000-0000-000094620000}"/>
    <cellStyle name="Normal 4 2 3 6" xfId="39954" xr:uid="{00000000-0005-0000-0000-000095620000}"/>
    <cellStyle name="Normal 4 2 30" xfId="9525" xr:uid="{00000000-0005-0000-0000-000096620000}"/>
    <cellStyle name="Normal 4 2 30 2" xfId="14191" xr:uid="{00000000-0005-0000-0000-000097620000}"/>
    <cellStyle name="Normal 4 2 30 2 2" xfId="37666" xr:uid="{00000000-0005-0000-0000-000098620000}"/>
    <cellStyle name="Normal 4 2 30 2 3" xfId="28351" xr:uid="{00000000-0005-0000-0000-000099620000}"/>
    <cellStyle name="Normal 4 2 30 2 4" xfId="51618" xr:uid="{00000000-0005-0000-0000-00009A620000}"/>
    <cellStyle name="Normal 4 2 30 3" xfId="18899" xr:uid="{00000000-0005-0000-0000-00009B620000}"/>
    <cellStyle name="Normal 4 2 30 3 2" xfId="33032" xr:uid="{00000000-0005-0000-0000-00009C620000}"/>
    <cellStyle name="Normal 4 2 30 3 3" xfId="46938" xr:uid="{00000000-0005-0000-0000-00009D620000}"/>
    <cellStyle name="Normal 4 2 30 4" xfId="23719" xr:uid="{00000000-0005-0000-0000-00009E620000}"/>
    <cellStyle name="Normal 4 2 30 5" xfId="42304" xr:uid="{00000000-0005-0000-0000-00009F620000}"/>
    <cellStyle name="Normal 4 2 31" xfId="9639" xr:uid="{00000000-0005-0000-0000-0000A0620000}"/>
    <cellStyle name="Normal 4 2 31 2" xfId="33131" xr:uid="{00000000-0005-0000-0000-0000A1620000}"/>
    <cellStyle name="Normal 4 2 31 3" xfId="23819" xr:uid="{00000000-0005-0000-0000-0000A2620000}"/>
    <cellStyle name="Normal 4 2 31 4" xfId="47073" xr:uid="{00000000-0005-0000-0000-0000A3620000}"/>
    <cellStyle name="Normal 4 2 32" xfId="14402" xr:uid="{00000000-0005-0000-0000-0000A4620000}"/>
    <cellStyle name="Normal 4 2 32 2" xfId="28534" xr:uid="{00000000-0005-0000-0000-0000A5620000}"/>
    <cellStyle name="Normal 4 2 32 3" xfId="42410" xr:uid="{00000000-0005-0000-0000-0000A6620000}"/>
    <cellStyle name="Normal 4 2 33" xfId="19215" xr:uid="{00000000-0005-0000-0000-0000A7620000}"/>
    <cellStyle name="Normal 4 2 34" xfId="37850" xr:uid="{00000000-0005-0000-0000-0000A8620000}"/>
    <cellStyle name="Normal 4 2 4" xfId="5949" xr:uid="{00000000-0005-0000-0000-0000A9620000}"/>
    <cellStyle name="Normal 4 2 4 2" xfId="5950" xr:uid="{00000000-0005-0000-0000-0000AA620000}"/>
    <cellStyle name="Normal 4 2 4 2 2" xfId="11781" xr:uid="{00000000-0005-0000-0000-0000AB620000}"/>
    <cellStyle name="Normal 4 2 4 2 2 2" xfId="35266" xr:uid="{00000000-0005-0000-0000-0000AC620000}"/>
    <cellStyle name="Normal 4 2 4 2 2 3" xfId="25947" xr:uid="{00000000-0005-0000-0000-0000AD620000}"/>
    <cellStyle name="Normal 4 2 4 2 2 4" xfId="49209" xr:uid="{00000000-0005-0000-0000-0000AE620000}"/>
    <cellStyle name="Normal 4 2 4 2 3" xfId="16512" xr:uid="{00000000-0005-0000-0000-0000AF620000}"/>
    <cellStyle name="Normal 4 2 4 2 3 2" xfId="30644" xr:uid="{00000000-0005-0000-0000-0000B0620000}"/>
    <cellStyle name="Normal 4 2 4 2 3 3" xfId="44539" xr:uid="{00000000-0005-0000-0000-0000B1620000}"/>
    <cellStyle name="Normal 4 2 4 2 4" xfId="21325" xr:uid="{00000000-0005-0000-0000-0000B2620000}"/>
    <cellStyle name="Normal 4 2 4 2 5" xfId="39957" xr:uid="{00000000-0005-0000-0000-0000B3620000}"/>
    <cellStyle name="Normal 4 2 4 3" xfId="11780" xr:uid="{00000000-0005-0000-0000-0000B4620000}"/>
    <cellStyle name="Normal 4 2 4 3 2" xfId="35265" xr:uid="{00000000-0005-0000-0000-0000B5620000}"/>
    <cellStyle name="Normal 4 2 4 3 3" xfId="25946" xr:uid="{00000000-0005-0000-0000-0000B6620000}"/>
    <cellStyle name="Normal 4 2 4 3 4" xfId="49208" xr:uid="{00000000-0005-0000-0000-0000B7620000}"/>
    <cellStyle name="Normal 4 2 4 4" xfId="16511" xr:uid="{00000000-0005-0000-0000-0000B8620000}"/>
    <cellStyle name="Normal 4 2 4 4 2" xfId="30643" xr:uid="{00000000-0005-0000-0000-0000B9620000}"/>
    <cellStyle name="Normal 4 2 4 4 3" xfId="44538" xr:uid="{00000000-0005-0000-0000-0000BA620000}"/>
    <cellStyle name="Normal 4 2 4 5" xfId="21324" xr:uid="{00000000-0005-0000-0000-0000BB620000}"/>
    <cellStyle name="Normal 4 2 4 6" xfId="39956" xr:uid="{00000000-0005-0000-0000-0000BC620000}"/>
    <cellStyle name="Normal 4 2 5" xfId="5951" xr:uid="{00000000-0005-0000-0000-0000BD620000}"/>
    <cellStyle name="Normal 4 2 5 2" xfId="5952" xr:uid="{00000000-0005-0000-0000-0000BE620000}"/>
    <cellStyle name="Normal 4 2 5 2 2" xfId="11783" xr:uid="{00000000-0005-0000-0000-0000BF620000}"/>
    <cellStyle name="Normal 4 2 5 2 2 2" xfId="35268" xr:uid="{00000000-0005-0000-0000-0000C0620000}"/>
    <cellStyle name="Normal 4 2 5 2 2 3" xfId="25949" xr:uid="{00000000-0005-0000-0000-0000C1620000}"/>
    <cellStyle name="Normal 4 2 5 2 2 4" xfId="49211" xr:uid="{00000000-0005-0000-0000-0000C2620000}"/>
    <cellStyle name="Normal 4 2 5 2 3" xfId="16514" xr:uid="{00000000-0005-0000-0000-0000C3620000}"/>
    <cellStyle name="Normal 4 2 5 2 3 2" xfId="30646" xr:uid="{00000000-0005-0000-0000-0000C4620000}"/>
    <cellStyle name="Normal 4 2 5 2 3 3" xfId="44541" xr:uid="{00000000-0005-0000-0000-0000C5620000}"/>
    <cellStyle name="Normal 4 2 5 2 4" xfId="21327" xr:uid="{00000000-0005-0000-0000-0000C6620000}"/>
    <cellStyle name="Normal 4 2 5 2 5" xfId="39959" xr:uid="{00000000-0005-0000-0000-0000C7620000}"/>
    <cellStyle name="Normal 4 2 5 3" xfId="11782" xr:uid="{00000000-0005-0000-0000-0000C8620000}"/>
    <cellStyle name="Normal 4 2 5 3 2" xfId="35267" xr:uid="{00000000-0005-0000-0000-0000C9620000}"/>
    <cellStyle name="Normal 4 2 5 3 3" xfId="25948" xr:uid="{00000000-0005-0000-0000-0000CA620000}"/>
    <cellStyle name="Normal 4 2 5 3 4" xfId="49210" xr:uid="{00000000-0005-0000-0000-0000CB620000}"/>
    <cellStyle name="Normal 4 2 5 4" xfId="16513" xr:uid="{00000000-0005-0000-0000-0000CC620000}"/>
    <cellStyle name="Normal 4 2 5 4 2" xfId="30645" xr:uid="{00000000-0005-0000-0000-0000CD620000}"/>
    <cellStyle name="Normal 4 2 5 4 3" xfId="44540" xr:uid="{00000000-0005-0000-0000-0000CE620000}"/>
    <cellStyle name="Normal 4 2 5 5" xfId="21326" xr:uid="{00000000-0005-0000-0000-0000CF620000}"/>
    <cellStyle name="Normal 4 2 5 6" xfId="39958" xr:uid="{00000000-0005-0000-0000-0000D0620000}"/>
    <cellStyle name="Normal 4 2 6" xfId="5953" xr:uid="{00000000-0005-0000-0000-0000D1620000}"/>
    <cellStyle name="Normal 4 2 6 2" xfId="5954" xr:uid="{00000000-0005-0000-0000-0000D2620000}"/>
    <cellStyle name="Normal 4 2 6 2 2" xfId="11785" xr:uid="{00000000-0005-0000-0000-0000D3620000}"/>
    <cellStyle name="Normal 4 2 6 2 2 2" xfId="35270" xr:uid="{00000000-0005-0000-0000-0000D4620000}"/>
    <cellStyle name="Normal 4 2 6 2 2 3" xfId="25951" xr:uid="{00000000-0005-0000-0000-0000D5620000}"/>
    <cellStyle name="Normal 4 2 6 2 2 4" xfId="49213" xr:uid="{00000000-0005-0000-0000-0000D6620000}"/>
    <cellStyle name="Normal 4 2 6 2 3" xfId="16516" xr:uid="{00000000-0005-0000-0000-0000D7620000}"/>
    <cellStyle name="Normal 4 2 6 2 3 2" xfId="30648" xr:uid="{00000000-0005-0000-0000-0000D8620000}"/>
    <cellStyle name="Normal 4 2 6 2 3 3" xfId="44543" xr:uid="{00000000-0005-0000-0000-0000D9620000}"/>
    <cellStyle name="Normal 4 2 6 2 4" xfId="21329" xr:uid="{00000000-0005-0000-0000-0000DA620000}"/>
    <cellStyle name="Normal 4 2 6 2 5" xfId="39961" xr:uid="{00000000-0005-0000-0000-0000DB620000}"/>
    <cellStyle name="Normal 4 2 6 3" xfId="11784" xr:uid="{00000000-0005-0000-0000-0000DC620000}"/>
    <cellStyle name="Normal 4 2 6 3 2" xfId="35269" xr:uid="{00000000-0005-0000-0000-0000DD620000}"/>
    <cellStyle name="Normal 4 2 6 3 3" xfId="25950" xr:uid="{00000000-0005-0000-0000-0000DE620000}"/>
    <cellStyle name="Normal 4 2 6 3 4" xfId="49212" xr:uid="{00000000-0005-0000-0000-0000DF620000}"/>
    <cellStyle name="Normal 4 2 6 4" xfId="16515" xr:uid="{00000000-0005-0000-0000-0000E0620000}"/>
    <cellStyle name="Normal 4 2 6 4 2" xfId="30647" xr:uid="{00000000-0005-0000-0000-0000E1620000}"/>
    <cellStyle name="Normal 4 2 6 4 3" xfId="44542" xr:uid="{00000000-0005-0000-0000-0000E2620000}"/>
    <cellStyle name="Normal 4 2 6 5" xfId="21328" xr:uid="{00000000-0005-0000-0000-0000E3620000}"/>
    <cellStyle name="Normal 4 2 6 6" xfId="39960" xr:uid="{00000000-0005-0000-0000-0000E4620000}"/>
    <cellStyle name="Normal 4 2 7" xfId="5955" xr:uid="{00000000-0005-0000-0000-0000E5620000}"/>
    <cellStyle name="Normal 4 2 7 2" xfId="5956" xr:uid="{00000000-0005-0000-0000-0000E6620000}"/>
    <cellStyle name="Normal 4 2 7 2 2" xfId="11787" xr:uid="{00000000-0005-0000-0000-0000E7620000}"/>
    <cellStyle name="Normal 4 2 7 2 2 2" xfId="35272" xr:uid="{00000000-0005-0000-0000-0000E8620000}"/>
    <cellStyle name="Normal 4 2 7 2 2 3" xfId="25953" xr:uid="{00000000-0005-0000-0000-0000E9620000}"/>
    <cellStyle name="Normal 4 2 7 2 2 4" xfId="49215" xr:uid="{00000000-0005-0000-0000-0000EA620000}"/>
    <cellStyle name="Normal 4 2 7 2 3" xfId="16518" xr:uid="{00000000-0005-0000-0000-0000EB620000}"/>
    <cellStyle name="Normal 4 2 7 2 3 2" xfId="30650" xr:uid="{00000000-0005-0000-0000-0000EC620000}"/>
    <cellStyle name="Normal 4 2 7 2 3 3" xfId="44545" xr:uid="{00000000-0005-0000-0000-0000ED620000}"/>
    <cellStyle name="Normal 4 2 7 2 4" xfId="21331" xr:uid="{00000000-0005-0000-0000-0000EE620000}"/>
    <cellStyle name="Normal 4 2 7 2 5" xfId="39963" xr:uid="{00000000-0005-0000-0000-0000EF620000}"/>
    <cellStyle name="Normal 4 2 7 3" xfId="11786" xr:uid="{00000000-0005-0000-0000-0000F0620000}"/>
    <cellStyle name="Normal 4 2 7 3 2" xfId="35271" xr:uid="{00000000-0005-0000-0000-0000F1620000}"/>
    <cellStyle name="Normal 4 2 7 3 3" xfId="25952" xr:uid="{00000000-0005-0000-0000-0000F2620000}"/>
    <cellStyle name="Normal 4 2 7 3 4" xfId="49214" xr:uid="{00000000-0005-0000-0000-0000F3620000}"/>
    <cellStyle name="Normal 4 2 7 4" xfId="16517" xr:uid="{00000000-0005-0000-0000-0000F4620000}"/>
    <cellStyle name="Normal 4 2 7 4 2" xfId="30649" xr:uid="{00000000-0005-0000-0000-0000F5620000}"/>
    <cellStyle name="Normal 4 2 7 4 3" xfId="44544" xr:uid="{00000000-0005-0000-0000-0000F6620000}"/>
    <cellStyle name="Normal 4 2 7 5" xfId="21330" xr:uid="{00000000-0005-0000-0000-0000F7620000}"/>
    <cellStyle name="Normal 4 2 7 6" xfId="39962" xr:uid="{00000000-0005-0000-0000-0000F8620000}"/>
    <cellStyle name="Normal 4 2 8" xfId="5957" xr:uid="{00000000-0005-0000-0000-0000F9620000}"/>
    <cellStyle name="Normal 4 2 8 2" xfId="5958" xr:uid="{00000000-0005-0000-0000-0000FA620000}"/>
    <cellStyle name="Normal 4 2 8 2 2" xfId="11789" xr:uid="{00000000-0005-0000-0000-0000FB620000}"/>
    <cellStyle name="Normal 4 2 8 2 2 2" xfId="35274" xr:uid="{00000000-0005-0000-0000-0000FC620000}"/>
    <cellStyle name="Normal 4 2 8 2 2 3" xfId="25955" xr:uid="{00000000-0005-0000-0000-0000FD620000}"/>
    <cellStyle name="Normal 4 2 8 2 2 4" xfId="49217" xr:uid="{00000000-0005-0000-0000-0000FE620000}"/>
    <cellStyle name="Normal 4 2 8 2 3" xfId="16520" xr:uid="{00000000-0005-0000-0000-0000FF620000}"/>
    <cellStyle name="Normal 4 2 8 2 3 2" xfId="30652" xr:uid="{00000000-0005-0000-0000-000000630000}"/>
    <cellStyle name="Normal 4 2 8 2 3 3" xfId="44547" xr:uid="{00000000-0005-0000-0000-000001630000}"/>
    <cellStyle name="Normal 4 2 8 2 4" xfId="21333" xr:uid="{00000000-0005-0000-0000-000002630000}"/>
    <cellStyle name="Normal 4 2 8 2 5" xfId="39965" xr:uid="{00000000-0005-0000-0000-000003630000}"/>
    <cellStyle name="Normal 4 2 8 3" xfId="11788" xr:uid="{00000000-0005-0000-0000-000004630000}"/>
    <cellStyle name="Normal 4 2 8 3 2" xfId="35273" xr:uid="{00000000-0005-0000-0000-000005630000}"/>
    <cellStyle name="Normal 4 2 8 3 3" xfId="25954" xr:uid="{00000000-0005-0000-0000-000006630000}"/>
    <cellStyle name="Normal 4 2 8 3 4" xfId="49216" xr:uid="{00000000-0005-0000-0000-000007630000}"/>
    <cellStyle name="Normal 4 2 8 4" xfId="16519" xr:uid="{00000000-0005-0000-0000-000008630000}"/>
    <cellStyle name="Normal 4 2 8 4 2" xfId="30651" xr:uid="{00000000-0005-0000-0000-000009630000}"/>
    <cellStyle name="Normal 4 2 8 4 3" xfId="44546" xr:uid="{00000000-0005-0000-0000-00000A630000}"/>
    <cellStyle name="Normal 4 2 8 5" xfId="21332" xr:uid="{00000000-0005-0000-0000-00000B630000}"/>
    <cellStyle name="Normal 4 2 8 6" xfId="39964" xr:uid="{00000000-0005-0000-0000-00000C630000}"/>
    <cellStyle name="Normal 4 2 9" xfId="5959" xr:uid="{00000000-0005-0000-0000-00000D630000}"/>
    <cellStyle name="Normal 4 2 9 2" xfId="5960" xr:uid="{00000000-0005-0000-0000-00000E630000}"/>
    <cellStyle name="Normal 4 2 9 2 2" xfId="11791" xr:uid="{00000000-0005-0000-0000-00000F630000}"/>
    <cellStyle name="Normal 4 2 9 2 2 2" xfId="35276" xr:uid="{00000000-0005-0000-0000-000010630000}"/>
    <cellStyle name="Normal 4 2 9 2 2 3" xfId="25957" xr:uid="{00000000-0005-0000-0000-000011630000}"/>
    <cellStyle name="Normal 4 2 9 2 2 4" xfId="49219" xr:uid="{00000000-0005-0000-0000-000012630000}"/>
    <cellStyle name="Normal 4 2 9 2 3" xfId="16522" xr:uid="{00000000-0005-0000-0000-000013630000}"/>
    <cellStyle name="Normal 4 2 9 2 3 2" xfId="30654" xr:uid="{00000000-0005-0000-0000-000014630000}"/>
    <cellStyle name="Normal 4 2 9 2 3 3" xfId="44549" xr:uid="{00000000-0005-0000-0000-000015630000}"/>
    <cellStyle name="Normal 4 2 9 2 4" xfId="21335" xr:uid="{00000000-0005-0000-0000-000016630000}"/>
    <cellStyle name="Normal 4 2 9 2 5" xfId="39967" xr:uid="{00000000-0005-0000-0000-000017630000}"/>
    <cellStyle name="Normal 4 2 9 3" xfId="11790" xr:uid="{00000000-0005-0000-0000-000018630000}"/>
    <cellStyle name="Normal 4 2 9 3 2" xfId="35275" xr:uid="{00000000-0005-0000-0000-000019630000}"/>
    <cellStyle name="Normal 4 2 9 3 3" xfId="25956" xr:uid="{00000000-0005-0000-0000-00001A630000}"/>
    <cellStyle name="Normal 4 2 9 3 4" xfId="49218" xr:uid="{00000000-0005-0000-0000-00001B630000}"/>
    <cellStyle name="Normal 4 2 9 4" xfId="16521" xr:uid="{00000000-0005-0000-0000-00001C630000}"/>
    <cellStyle name="Normal 4 2 9 4 2" xfId="30653" xr:uid="{00000000-0005-0000-0000-00001D630000}"/>
    <cellStyle name="Normal 4 2 9 4 3" xfId="44548" xr:uid="{00000000-0005-0000-0000-00001E630000}"/>
    <cellStyle name="Normal 4 2 9 5" xfId="21334" xr:uid="{00000000-0005-0000-0000-00001F630000}"/>
    <cellStyle name="Normal 4 2 9 6" xfId="39966" xr:uid="{00000000-0005-0000-0000-000020630000}"/>
    <cellStyle name="Normal 4 20" xfId="5961" xr:uid="{00000000-0005-0000-0000-000021630000}"/>
    <cellStyle name="Normal 4 20 2" xfId="5962" xr:uid="{00000000-0005-0000-0000-000022630000}"/>
    <cellStyle name="Normal 4 20 2 2" xfId="11793" xr:uid="{00000000-0005-0000-0000-000023630000}"/>
    <cellStyle name="Normal 4 20 2 2 2" xfId="35278" xr:uid="{00000000-0005-0000-0000-000024630000}"/>
    <cellStyle name="Normal 4 20 2 2 3" xfId="25959" xr:uid="{00000000-0005-0000-0000-000025630000}"/>
    <cellStyle name="Normal 4 20 2 2 4" xfId="49221" xr:uid="{00000000-0005-0000-0000-000026630000}"/>
    <cellStyle name="Normal 4 20 2 3" xfId="16524" xr:uid="{00000000-0005-0000-0000-000027630000}"/>
    <cellStyle name="Normal 4 20 2 3 2" xfId="30656" xr:uid="{00000000-0005-0000-0000-000028630000}"/>
    <cellStyle name="Normal 4 20 2 3 3" xfId="44551" xr:uid="{00000000-0005-0000-0000-000029630000}"/>
    <cellStyle name="Normal 4 20 2 4" xfId="21337" xr:uid="{00000000-0005-0000-0000-00002A630000}"/>
    <cellStyle name="Normal 4 20 2 5" xfId="39969" xr:uid="{00000000-0005-0000-0000-00002B630000}"/>
    <cellStyle name="Normal 4 20 3" xfId="11792" xr:uid="{00000000-0005-0000-0000-00002C630000}"/>
    <cellStyle name="Normal 4 20 3 2" xfId="35277" xr:uid="{00000000-0005-0000-0000-00002D630000}"/>
    <cellStyle name="Normal 4 20 3 3" xfId="25958" xr:uid="{00000000-0005-0000-0000-00002E630000}"/>
    <cellStyle name="Normal 4 20 3 4" xfId="49220" xr:uid="{00000000-0005-0000-0000-00002F630000}"/>
    <cellStyle name="Normal 4 20 4" xfId="16523" xr:uid="{00000000-0005-0000-0000-000030630000}"/>
    <cellStyle name="Normal 4 20 4 2" xfId="30655" xr:uid="{00000000-0005-0000-0000-000031630000}"/>
    <cellStyle name="Normal 4 20 4 3" xfId="44550" xr:uid="{00000000-0005-0000-0000-000032630000}"/>
    <cellStyle name="Normal 4 20 5" xfId="21336" xr:uid="{00000000-0005-0000-0000-000033630000}"/>
    <cellStyle name="Normal 4 20 6" xfId="39968" xr:uid="{00000000-0005-0000-0000-000034630000}"/>
    <cellStyle name="Normal 4 21" xfId="5963" xr:uid="{00000000-0005-0000-0000-000035630000}"/>
    <cellStyle name="Normal 4 21 2" xfId="5964" xr:uid="{00000000-0005-0000-0000-000036630000}"/>
    <cellStyle name="Normal 4 21 2 2" xfId="11795" xr:uid="{00000000-0005-0000-0000-000037630000}"/>
    <cellStyle name="Normal 4 21 2 2 2" xfId="35280" xr:uid="{00000000-0005-0000-0000-000038630000}"/>
    <cellStyle name="Normal 4 21 2 2 3" xfId="25961" xr:uid="{00000000-0005-0000-0000-000039630000}"/>
    <cellStyle name="Normal 4 21 2 2 4" xfId="49223" xr:uid="{00000000-0005-0000-0000-00003A630000}"/>
    <cellStyle name="Normal 4 21 2 3" xfId="16526" xr:uid="{00000000-0005-0000-0000-00003B630000}"/>
    <cellStyle name="Normal 4 21 2 3 2" xfId="30658" xr:uid="{00000000-0005-0000-0000-00003C630000}"/>
    <cellStyle name="Normal 4 21 2 3 3" xfId="44553" xr:uid="{00000000-0005-0000-0000-00003D630000}"/>
    <cellStyle name="Normal 4 21 2 4" xfId="21339" xr:uid="{00000000-0005-0000-0000-00003E630000}"/>
    <cellStyle name="Normal 4 21 2 5" xfId="39971" xr:uid="{00000000-0005-0000-0000-00003F630000}"/>
    <cellStyle name="Normal 4 21 3" xfId="11794" xr:uid="{00000000-0005-0000-0000-000040630000}"/>
    <cellStyle name="Normal 4 21 3 2" xfId="35279" xr:uid="{00000000-0005-0000-0000-000041630000}"/>
    <cellStyle name="Normal 4 21 3 3" xfId="25960" xr:uid="{00000000-0005-0000-0000-000042630000}"/>
    <cellStyle name="Normal 4 21 3 4" xfId="49222" xr:uid="{00000000-0005-0000-0000-000043630000}"/>
    <cellStyle name="Normal 4 21 4" xfId="16525" xr:uid="{00000000-0005-0000-0000-000044630000}"/>
    <cellStyle name="Normal 4 21 4 2" xfId="30657" xr:uid="{00000000-0005-0000-0000-000045630000}"/>
    <cellStyle name="Normal 4 21 4 3" xfId="44552" xr:uid="{00000000-0005-0000-0000-000046630000}"/>
    <cellStyle name="Normal 4 21 5" xfId="21338" xr:uid="{00000000-0005-0000-0000-000047630000}"/>
    <cellStyle name="Normal 4 21 6" xfId="39970" xr:uid="{00000000-0005-0000-0000-000048630000}"/>
    <cellStyle name="Normal 4 22" xfId="5965" xr:uid="{00000000-0005-0000-0000-000049630000}"/>
    <cellStyle name="Normal 4 22 2" xfId="5966" xr:uid="{00000000-0005-0000-0000-00004A630000}"/>
    <cellStyle name="Normal 4 22 2 2" xfId="11797" xr:uid="{00000000-0005-0000-0000-00004B630000}"/>
    <cellStyle name="Normal 4 22 2 2 2" xfId="35282" xr:uid="{00000000-0005-0000-0000-00004C630000}"/>
    <cellStyle name="Normal 4 22 2 2 3" xfId="25963" xr:uid="{00000000-0005-0000-0000-00004D630000}"/>
    <cellStyle name="Normal 4 22 2 2 4" xfId="49225" xr:uid="{00000000-0005-0000-0000-00004E630000}"/>
    <cellStyle name="Normal 4 22 2 3" xfId="16528" xr:uid="{00000000-0005-0000-0000-00004F630000}"/>
    <cellStyle name="Normal 4 22 2 3 2" xfId="30660" xr:uid="{00000000-0005-0000-0000-000050630000}"/>
    <cellStyle name="Normal 4 22 2 3 3" xfId="44555" xr:uid="{00000000-0005-0000-0000-000051630000}"/>
    <cellStyle name="Normal 4 22 2 4" xfId="21341" xr:uid="{00000000-0005-0000-0000-000052630000}"/>
    <cellStyle name="Normal 4 22 2 5" xfId="39973" xr:uid="{00000000-0005-0000-0000-000053630000}"/>
    <cellStyle name="Normal 4 22 3" xfId="11796" xr:uid="{00000000-0005-0000-0000-000054630000}"/>
    <cellStyle name="Normal 4 22 3 2" xfId="35281" xr:uid="{00000000-0005-0000-0000-000055630000}"/>
    <cellStyle name="Normal 4 22 3 3" xfId="25962" xr:uid="{00000000-0005-0000-0000-000056630000}"/>
    <cellStyle name="Normal 4 22 3 4" xfId="49224" xr:uid="{00000000-0005-0000-0000-000057630000}"/>
    <cellStyle name="Normal 4 22 4" xfId="16527" xr:uid="{00000000-0005-0000-0000-000058630000}"/>
    <cellStyle name="Normal 4 22 4 2" xfId="30659" xr:uid="{00000000-0005-0000-0000-000059630000}"/>
    <cellStyle name="Normal 4 22 4 3" xfId="44554" xr:uid="{00000000-0005-0000-0000-00005A630000}"/>
    <cellStyle name="Normal 4 22 5" xfId="21340" xr:uid="{00000000-0005-0000-0000-00005B630000}"/>
    <cellStyle name="Normal 4 22 6" xfId="39972" xr:uid="{00000000-0005-0000-0000-00005C630000}"/>
    <cellStyle name="Normal 4 23" xfId="5967" xr:uid="{00000000-0005-0000-0000-00005D630000}"/>
    <cellStyle name="Normal 4 23 2" xfId="5968" xr:uid="{00000000-0005-0000-0000-00005E630000}"/>
    <cellStyle name="Normal 4 23 2 2" xfId="11799" xr:uid="{00000000-0005-0000-0000-00005F630000}"/>
    <cellStyle name="Normal 4 23 2 2 2" xfId="35284" xr:uid="{00000000-0005-0000-0000-000060630000}"/>
    <cellStyle name="Normal 4 23 2 2 3" xfId="25965" xr:uid="{00000000-0005-0000-0000-000061630000}"/>
    <cellStyle name="Normal 4 23 2 2 4" xfId="49227" xr:uid="{00000000-0005-0000-0000-000062630000}"/>
    <cellStyle name="Normal 4 23 2 3" xfId="16530" xr:uid="{00000000-0005-0000-0000-000063630000}"/>
    <cellStyle name="Normal 4 23 2 3 2" xfId="30662" xr:uid="{00000000-0005-0000-0000-000064630000}"/>
    <cellStyle name="Normal 4 23 2 3 3" xfId="44557" xr:uid="{00000000-0005-0000-0000-000065630000}"/>
    <cellStyle name="Normal 4 23 2 4" xfId="21343" xr:uid="{00000000-0005-0000-0000-000066630000}"/>
    <cellStyle name="Normal 4 23 2 5" xfId="39975" xr:uid="{00000000-0005-0000-0000-000067630000}"/>
    <cellStyle name="Normal 4 23 3" xfId="11798" xr:uid="{00000000-0005-0000-0000-000068630000}"/>
    <cellStyle name="Normal 4 23 3 2" xfId="35283" xr:uid="{00000000-0005-0000-0000-000069630000}"/>
    <cellStyle name="Normal 4 23 3 3" xfId="25964" xr:uid="{00000000-0005-0000-0000-00006A630000}"/>
    <cellStyle name="Normal 4 23 3 4" xfId="49226" xr:uid="{00000000-0005-0000-0000-00006B630000}"/>
    <cellStyle name="Normal 4 23 4" xfId="16529" xr:uid="{00000000-0005-0000-0000-00006C630000}"/>
    <cellStyle name="Normal 4 23 4 2" xfId="30661" xr:uid="{00000000-0005-0000-0000-00006D630000}"/>
    <cellStyle name="Normal 4 23 4 3" xfId="44556" xr:uid="{00000000-0005-0000-0000-00006E630000}"/>
    <cellStyle name="Normal 4 23 5" xfId="21342" xr:uid="{00000000-0005-0000-0000-00006F630000}"/>
    <cellStyle name="Normal 4 23 6" xfId="39974" xr:uid="{00000000-0005-0000-0000-000070630000}"/>
    <cellStyle name="Normal 4 24" xfId="5969" xr:uid="{00000000-0005-0000-0000-000071630000}"/>
    <cellStyle name="Normal 4 24 2" xfId="5970" xr:uid="{00000000-0005-0000-0000-000072630000}"/>
    <cellStyle name="Normal 4 24 2 2" xfId="11801" xr:uid="{00000000-0005-0000-0000-000073630000}"/>
    <cellStyle name="Normal 4 24 2 2 2" xfId="35286" xr:uid="{00000000-0005-0000-0000-000074630000}"/>
    <cellStyle name="Normal 4 24 2 2 3" xfId="25967" xr:uid="{00000000-0005-0000-0000-000075630000}"/>
    <cellStyle name="Normal 4 24 2 2 4" xfId="49229" xr:uid="{00000000-0005-0000-0000-000076630000}"/>
    <cellStyle name="Normal 4 24 2 3" xfId="16532" xr:uid="{00000000-0005-0000-0000-000077630000}"/>
    <cellStyle name="Normal 4 24 2 3 2" xfId="30664" xr:uid="{00000000-0005-0000-0000-000078630000}"/>
    <cellStyle name="Normal 4 24 2 3 3" xfId="44559" xr:uid="{00000000-0005-0000-0000-000079630000}"/>
    <cellStyle name="Normal 4 24 2 4" xfId="21345" xr:uid="{00000000-0005-0000-0000-00007A630000}"/>
    <cellStyle name="Normal 4 24 2 5" xfId="39977" xr:uid="{00000000-0005-0000-0000-00007B630000}"/>
    <cellStyle name="Normal 4 24 3" xfId="11800" xr:uid="{00000000-0005-0000-0000-00007C630000}"/>
    <cellStyle name="Normal 4 24 3 2" xfId="35285" xr:uid="{00000000-0005-0000-0000-00007D630000}"/>
    <cellStyle name="Normal 4 24 3 3" xfId="25966" xr:uid="{00000000-0005-0000-0000-00007E630000}"/>
    <cellStyle name="Normal 4 24 3 4" xfId="49228" xr:uid="{00000000-0005-0000-0000-00007F630000}"/>
    <cellStyle name="Normal 4 24 4" xfId="16531" xr:uid="{00000000-0005-0000-0000-000080630000}"/>
    <cellStyle name="Normal 4 24 4 2" xfId="30663" xr:uid="{00000000-0005-0000-0000-000081630000}"/>
    <cellStyle name="Normal 4 24 4 3" xfId="44558" xr:uid="{00000000-0005-0000-0000-000082630000}"/>
    <cellStyle name="Normal 4 24 5" xfId="21344" xr:uid="{00000000-0005-0000-0000-000083630000}"/>
    <cellStyle name="Normal 4 24 6" xfId="39976" xr:uid="{00000000-0005-0000-0000-000084630000}"/>
    <cellStyle name="Normal 4 25" xfId="5971" xr:uid="{00000000-0005-0000-0000-000085630000}"/>
    <cellStyle name="Normal 4 25 2" xfId="5972" xr:uid="{00000000-0005-0000-0000-000086630000}"/>
    <cellStyle name="Normal 4 25 2 2" xfId="11803" xr:uid="{00000000-0005-0000-0000-000087630000}"/>
    <cellStyle name="Normal 4 25 2 2 2" xfId="35288" xr:uid="{00000000-0005-0000-0000-000088630000}"/>
    <cellStyle name="Normal 4 25 2 2 3" xfId="25969" xr:uid="{00000000-0005-0000-0000-000089630000}"/>
    <cellStyle name="Normal 4 25 2 2 4" xfId="49231" xr:uid="{00000000-0005-0000-0000-00008A630000}"/>
    <cellStyle name="Normal 4 25 2 3" xfId="16534" xr:uid="{00000000-0005-0000-0000-00008B630000}"/>
    <cellStyle name="Normal 4 25 2 3 2" xfId="30666" xr:uid="{00000000-0005-0000-0000-00008C630000}"/>
    <cellStyle name="Normal 4 25 2 3 3" xfId="44561" xr:uid="{00000000-0005-0000-0000-00008D630000}"/>
    <cellStyle name="Normal 4 25 2 4" xfId="21347" xr:uid="{00000000-0005-0000-0000-00008E630000}"/>
    <cellStyle name="Normal 4 25 2 5" xfId="39979" xr:uid="{00000000-0005-0000-0000-00008F630000}"/>
    <cellStyle name="Normal 4 25 3" xfId="11802" xr:uid="{00000000-0005-0000-0000-000090630000}"/>
    <cellStyle name="Normal 4 25 3 2" xfId="35287" xr:uid="{00000000-0005-0000-0000-000091630000}"/>
    <cellStyle name="Normal 4 25 3 3" xfId="25968" xr:uid="{00000000-0005-0000-0000-000092630000}"/>
    <cellStyle name="Normal 4 25 3 4" xfId="49230" xr:uid="{00000000-0005-0000-0000-000093630000}"/>
    <cellStyle name="Normal 4 25 4" xfId="16533" xr:uid="{00000000-0005-0000-0000-000094630000}"/>
    <cellStyle name="Normal 4 25 4 2" xfId="30665" xr:uid="{00000000-0005-0000-0000-000095630000}"/>
    <cellStyle name="Normal 4 25 4 3" xfId="44560" xr:uid="{00000000-0005-0000-0000-000096630000}"/>
    <cellStyle name="Normal 4 25 5" xfId="21346" xr:uid="{00000000-0005-0000-0000-000097630000}"/>
    <cellStyle name="Normal 4 25 6" xfId="39978" xr:uid="{00000000-0005-0000-0000-000098630000}"/>
    <cellStyle name="Normal 4 26" xfId="5973" xr:uid="{00000000-0005-0000-0000-000099630000}"/>
    <cellStyle name="Normal 4 26 2" xfId="5974" xr:uid="{00000000-0005-0000-0000-00009A630000}"/>
    <cellStyle name="Normal 4 26 2 2" xfId="11805" xr:uid="{00000000-0005-0000-0000-00009B630000}"/>
    <cellStyle name="Normal 4 26 2 2 2" xfId="35290" xr:uid="{00000000-0005-0000-0000-00009C630000}"/>
    <cellStyle name="Normal 4 26 2 2 3" xfId="25971" xr:uid="{00000000-0005-0000-0000-00009D630000}"/>
    <cellStyle name="Normal 4 26 2 2 4" xfId="49233" xr:uid="{00000000-0005-0000-0000-00009E630000}"/>
    <cellStyle name="Normal 4 26 2 3" xfId="16536" xr:uid="{00000000-0005-0000-0000-00009F630000}"/>
    <cellStyle name="Normal 4 26 2 3 2" xfId="30668" xr:uid="{00000000-0005-0000-0000-0000A0630000}"/>
    <cellStyle name="Normal 4 26 2 3 3" xfId="44563" xr:uid="{00000000-0005-0000-0000-0000A1630000}"/>
    <cellStyle name="Normal 4 26 2 4" xfId="21349" xr:uid="{00000000-0005-0000-0000-0000A2630000}"/>
    <cellStyle name="Normal 4 26 2 5" xfId="39981" xr:uid="{00000000-0005-0000-0000-0000A3630000}"/>
    <cellStyle name="Normal 4 26 3" xfId="11804" xr:uid="{00000000-0005-0000-0000-0000A4630000}"/>
    <cellStyle name="Normal 4 26 3 2" xfId="35289" xr:uid="{00000000-0005-0000-0000-0000A5630000}"/>
    <cellStyle name="Normal 4 26 3 3" xfId="25970" xr:uid="{00000000-0005-0000-0000-0000A6630000}"/>
    <cellStyle name="Normal 4 26 3 4" xfId="49232" xr:uid="{00000000-0005-0000-0000-0000A7630000}"/>
    <cellStyle name="Normal 4 26 4" xfId="16535" xr:uid="{00000000-0005-0000-0000-0000A8630000}"/>
    <cellStyle name="Normal 4 26 4 2" xfId="30667" xr:uid="{00000000-0005-0000-0000-0000A9630000}"/>
    <cellStyle name="Normal 4 26 4 3" xfId="44562" xr:uid="{00000000-0005-0000-0000-0000AA630000}"/>
    <cellStyle name="Normal 4 26 5" xfId="21348" xr:uid="{00000000-0005-0000-0000-0000AB630000}"/>
    <cellStyle name="Normal 4 26 6" xfId="39980" xr:uid="{00000000-0005-0000-0000-0000AC630000}"/>
    <cellStyle name="Normal 4 27" xfId="5975" xr:uid="{00000000-0005-0000-0000-0000AD630000}"/>
    <cellStyle name="Normal 4 27 2" xfId="5976" xr:uid="{00000000-0005-0000-0000-0000AE630000}"/>
    <cellStyle name="Normal 4 27 2 2" xfId="11807" xr:uid="{00000000-0005-0000-0000-0000AF630000}"/>
    <cellStyle name="Normal 4 27 2 2 2" xfId="35292" xr:uid="{00000000-0005-0000-0000-0000B0630000}"/>
    <cellStyle name="Normal 4 27 2 2 3" xfId="25973" xr:uid="{00000000-0005-0000-0000-0000B1630000}"/>
    <cellStyle name="Normal 4 27 2 2 4" xfId="49235" xr:uid="{00000000-0005-0000-0000-0000B2630000}"/>
    <cellStyle name="Normal 4 27 2 3" xfId="16538" xr:uid="{00000000-0005-0000-0000-0000B3630000}"/>
    <cellStyle name="Normal 4 27 2 3 2" xfId="30670" xr:uid="{00000000-0005-0000-0000-0000B4630000}"/>
    <cellStyle name="Normal 4 27 2 3 3" xfId="44565" xr:uid="{00000000-0005-0000-0000-0000B5630000}"/>
    <cellStyle name="Normal 4 27 2 4" xfId="21351" xr:uid="{00000000-0005-0000-0000-0000B6630000}"/>
    <cellStyle name="Normal 4 27 2 5" xfId="39983" xr:uid="{00000000-0005-0000-0000-0000B7630000}"/>
    <cellStyle name="Normal 4 27 3" xfId="11806" xr:uid="{00000000-0005-0000-0000-0000B8630000}"/>
    <cellStyle name="Normal 4 27 3 2" xfId="35291" xr:uid="{00000000-0005-0000-0000-0000B9630000}"/>
    <cellStyle name="Normal 4 27 3 3" xfId="25972" xr:uid="{00000000-0005-0000-0000-0000BA630000}"/>
    <cellStyle name="Normal 4 27 3 4" xfId="49234" xr:uid="{00000000-0005-0000-0000-0000BB630000}"/>
    <cellStyle name="Normal 4 27 4" xfId="16537" xr:uid="{00000000-0005-0000-0000-0000BC630000}"/>
    <cellStyle name="Normal 4 27 4 2" xfId="30669" xr:uid="{00000000-0005-0000-0000-0000BD630000}"/>
    <cellStyle name="Normal 4 27 4 3" xfId="44564" xr:uid="{00000000-0005-0000-0000-0000BE630000}"/>
    <cellStyle name="Normal 4 27 5" xfId="21350" xr:uid="{00000000-0005-0000-0000-0000BF630000}"/>
    <cellStyle name="Normal 4 27 6" xfId="39982" xr:uid="{00000000-0005-0000-0000-0000C0630000}"/>
    <cellStyle name="Normal 4 28" xfId="5977" xr:uid="{00000000-0005-0000-0000-0000C1630000}"/>
    <cellStyle name="Normal 4 28 2" xfId="5978" xr:uid="{00000000-0005-0000-0000-0000C2630000}"/>
    <cellStyle name="Normal 4 28 2 2" xfId="11809" xr:uid="{00000000-0005-0000-0000-0000C3630000}"/>
    <cellStyle name="Normal 4 28 2 2 2" xfId="35294" xr:uid="{00000000-0005-0000-0000-0000C4630000}"/>
    <cellStyle name="Normal 4 28 2 2 3" xfId="25975" xr:uid="{00000000-0005-0000-0000-0000C5630000}"/>
    <cellStyle name="Normal 4 28 2 2 4" xfId="49237" xr:uid="{00000000-0005-0000-0000-0000C6630000}"/>
    <cellStyle name="Normal 4 28 2 3" xfId="16540" xr:uid="{00000000-0005-0000-0000-0000C7630000}"/>
    <cellStyle name="Normal 4 28 2 3 2" xfId="30672" xr:uid="{00000000-0005-0000-0000-0000C8630000}"/>
    <cellStyle name="Normal 4 28 2 3 3" xfId="44567" xr:uid="{00000000-0005-0000-0000-0000C9630000}"/>
    <cellStyle name="Normal 4 28 2 4" xfId="21353" xr:uid="{00000000-0005-0000-0000-0000CA630000}"/>
    <cellStyle name="Normal 4 28 2 5" xfId="39985" xr:uid="{00000000-0005-0000-0000-0000CB630000}"/>
    <cellStyle name="Normal 4 28 3" xfId="11808" xr:uid="{00000000-0005-0000-0000-0000CC630000}"/>
    <cellStyle name="Normal 4 28 3 2" xfId="35293" xr:uid="{00000000-0005-0000-0000-0000CD630000}"/>
    <cellStyle name="Normal 4 28 3 3" xfId="25974" xr:uid="{00000000-0005-0000-0000-0000CE630000}"/>
    <cellStyle name="Normal 4 28 3 4" xfId="49236" xr:uid="{00000000-0005-0000-0000-0000CF630000}"/>
    <cellStyle name="Normal 4 28 4" xfId="16539" xr:uid="{00000000-0005-0000-0000-0000D0630000}"/>
    <cellStyle name="Normal 4 28 4 2" xfId="30671" xr:uid="{00000000-0005-0000-0000-0000D1630000}"/>
    <cellStyle name="Normal 4 28 4 3" xfId="44566" xr:uid="{00000000-0005-0000-0000-0000D2630000}"/>
    <cellStyle name="Normal 4 28 5" xfId="21352" xr:uid="{00000000-0005-0000-0000-0000D3630000}"/>
    <cellStyle name="Normal 4 28 6" xfId="39984" xr:uid="{00000000-0005-0000-0000-0000D4630000}"/>
    <cellStyle name="Normal 4 29" xfId="5979" xr:uid="{00000000-0005-0000-0000-0000D5630000}"/>
    <cellStyle name="Normal 4 29 2" xfId="5980" xr:uid="{00000000-0005-0000-0000-0000D6630000}"/>
    <cellStyle name="Normal 4 29 2 2" xfId="11811" xr:uid="{00000000-0005-0000-0000-0000D7630000}"/>
    <cellStyle name="Normal 4 29 2 2 2" xfId="35296" xr:uid="{00000000-0005-0000-0000-0000D8630000}"/>
    <cellStyle name="Normal 4 29 2 2 3" xfId="25977" xr:uid="{00000000-0005-0000-0000-0000D9630000}"/>
    <cellStyle name="Normal 4 29 2 2 4" xfId="49239" xr:uid="{00000000-0005-0000-0000-0000DA630000}"/>
    <cellStyle name="Normal 4 29 2 3" xfId="16542" xr:uid="{00000000-0005-0000-0000-0000DB630000}"/>
    <cellStyle name="Normal 4 29 2 3 2" xfId="30674" xr:uid="{00000000-0005-0000-0000-0000DC630000}"/>
    <cellStyle name="Normal 4 29 2 3 3" xfId="44569" xr:uid="{00000000-0005-0000-0000-0000DD630000}"/>
    <cellStyle name="Normal 4 29 2 4" xfId="21355" xr:uid="{00000000-0005-0000-0000-0000DE630000}"/>
    <cellStyle name="Normal 4 29 2 5" xfId="39987" xr:uid="{00000000-0005-0000-0000-0000DF630000}"/>
    <cellStyle name="Normal 4 29 3" xfId="11810" xr:uid="{00000000-0005-0000-0000-0000E0630000}"/>
    <cellStyle name="Normal 4 29 3 2" xfId="35295" xr:uid="{00000000-0005-0000-0000-0000E1630000}"/>
    <cellStyle name="Normal 4 29 3 3" xfId="25976" xr:uid="{00000000-0005-0000-0000-0000E2630000}"/>
    <cellStyle name="Normal 4 29 3 4" xfId="49238" xr:uid="{00000000-0005-0000-0000-0000E3630000}"/>
    <cellStyle name="Normal 4 29 4" xfId="16541" xr:uid="{00000000-0005-0000-0000-0000E4630000}"/>
    <cellStyle name="Normal 4 29 4 2" xfId="30673" xr:uid="{00000000-0005-0000-0000-0000E5630000}"/>
    <cellStyle name="Normal 4 29 4 3" xfId="44568" xr:uid="{00000000-0005-0000-0000-0000E6630000}"/>
    <cellStyle name="Normal 4 29 5" xfId="21354" xr:uid="{00000000-0005-0000-0000-0000E7630000}"/>
    <cellStyle name="Normal 4 29 6" xfId="39986" xr:uid="{00000000-0005-0000-0000-0000E8630000}"/>
    <cellStyle name="Normal 4 3" xfId="344" xr:uid="{00000000-0005-0000-0000-0000E9630000}"/>
    <cellStyle name="Normal 4 3 10" xfId="5981" xr:uid="{00000000-0005-0000-0000-0000EA630000}"/>
    <cellStyle name="Normal 4 3 10 2" xfId="5982" xr:uid="{00000000-0005-0000-0000-0000EB630000}"/>
    <cellStyle name="Normal 4 3 10 2 2" xfId="11813" xr:uid="{00000000-0005-0000-0000-0000EC630000}"/>
    <cellStyle name="Normal 4 3 10 2 2 2" xfId="35298" xr:uid="{00000000-0005-0000-0000-0000ED630000}"/>
    <cellStyle name="Normal 4 3 10 2 2 3" xfId="25979" xr:uid="{00000000-0005-0000-0000-0000EE630000}"/>
    <cellStyle name="Normal 4 3 10 2 2 4" xfId="49241" xr:uid="{00000000-0005-0000-0000-0000EF630000}"/>
    <cellStyle name="Normal 4 3 10 2 3" xfId="16544" xr:uid="{00000000-0005-0000-0000-0000F0630000}"/>
    <cellStyle name="Normal 4 3 10 2 3 2" xfId="30676" xr:uid="{00000000-0005-0000-0000-0000F1630000}"/>
    <cellStyle name="Normal 4 3 10 2 3 3" xfId="44571" xr:uid="{00000000-0005-0000-0000-0000F2630000}"/>
    <cellStyle name="Normal 4 3 10 2 4" xfId="21357" xr:uid="{00000000-0005-0000-0000-0000F3630000}"/>
    <cellStyle name="Normal 4 3 10 2 5" xfId="39989" xr:uid="{00000000-0005-0000-0000-0000F4630000}"/>
    <cellStyle name="Normal 4 3 10 3" xfId="11812" xr:uid="{00000000-0005-0000-0000-0000F5630000}"/>
    <cellStyle name="Normal 4 3 10 3 2" xfId="35297" xr:uid="{00000000-0005-0000-0000-0000F6630000}"/>
    <cellStyle name="Normal 4 3 10 3 3" xfId="25978" xr:uid="{00000000-0005-0000-0000-0000F7630000}"/>
    <cellStyle name="Normal 4 3 10 3 4" xfId="49240" xr:uid="{00000000-0005-0000-0000-0000F8630000}"/>
    <cellStyle name="Normal 4 3 10 4" xfId="16543" xr:uid="{00000000-0005-0000-0000-0000F9630000}"/>
    <cellStyle name="Normal 4 3 10 4 2" xfId="30675" xr:uid="{00000000-0005-0000-0000-0000FA630000}"/>
    <cellStyle name="Normal 4 3 10 4 3" xfId="44570" xr:uid="{00000000-0005-0000-0000-0000FB630000}"/>
    <cellStyle name="Normal 4 3 10 5" xfId="21356" xr:uid="{00000000-0005-0000-0000-0000FC630000}"/>
    <cellStyle name="Normal 4 3 10 6" xfId="39988" xr:uid="{00000000-0005-0000-0000-0000FD630000}"/>
    <cellStyle name="Normal 4 3 11" xfId="5983" xr:uid="{00000000-0005-0000-0000-0000FE630000}"/>
    <cellStyle name="Normal 4 3 11 2" xfId="5984" xr:uid="{00000000-0005-0000-0000-0000FF630000}"/>
    <cellStyle name="Normal 4 3 11 2 2" xfId="11815" xr:uid="{00000000-0005-0000-0000-000000640000}"/>
    <cellStyle name="Normal 4 3 11 2 2 2" xfId="35300" xr:uid="{00000000-0005-0000-0000-000001640000}"/>
    <cellStyle name="Normal 4 3 11 2 2 3" xfId="25981" xr:uid="{00000000-0005-0000-0000-000002640000}"/>
    <cellStyle name="Normal 4 3 11 2 2 4" xfId="49243" xr:uid="{00000000-0005-0000-0000-000003640000}"/>
    <cellStyle name="Normal 4 3 11 2 3" xfId="16546" xr:uid="{00000000-0005-0000-0000-000004640000}"/>
    <cellStyle name="Normal 4 3 11 2 3 2" xfId="30678" xr:uid="{00000000-0005-0000-0000-000005640000}"/>
    <cellStyle name="Normal 4 3 11 2 3 3" xfId="44573" xr:uid="{00000000-0005-0000-0000-000006640000}"/>
    <cellStyle name="Normal 4 3 11 2 4" xfId="21359" xr:uid="{00000000-0005-0000-0000-000007640000}"/>
    <cellStyle name="Normal 4 3 11 2 5" xfId="39991" xr:uid="{00000000-0005-0000-0000-000008640000}"/>
    <cellStyle name="Normal 4 3 11 3" xfId="11814" xr:uid="{00000000-0005-0000-0000-000009640000}"/>
    <cellStyle name="Normal 4 3 11 3 2" xfId="35299" xr:uid="{00000000-0005-0000-0000-00000A640000}"/>
    <cellStyle name="Normal 4 3 11 3 3" xfId="25980" xr:uid="{00000000-0005-0000-0000-00000B640000}"/>
    <cellStyle name="Normal 4 3 11 3 4" xfId="49242" xr:uid="{00000000-0005-0000-0000-00000C640000}"/>
    <cellStyle name="Normal 4 3 11 4" xfId="16545" xr:uid="{00000000-0005-0000-0000-00000D640000}"/>
    <cellStyle name="Normal 4 3 11 4 2" xfId="30677" xr:uid="{00000000-0005-0000-0000-00000E640000}"/>
    <cellStyle name="Normal 4 3 11 4 3" xfId="44572" xr:uid="{00000000-0005-0000-0000-00000F640000}"/>
    <cellStyle name="Normal 4 3 11 5" xfId="21358" xr:uid="{00000000-0005-0000-0000-000010640000}"/>
    <cellStyle name="Normal 4 3 11 6" xfId="39990" xr:uid="{00000000-0005-0000-0000-000011640000}"/>
    <cellStyle name="Normal 4 3 12" xfId="5985" xr:uid="{00000000-0005-0000-0000-000012640000}"/>
    <cellStyle name="Normal 4 3 12 2" xfId="5986" xr:uid="{00000000-0005-0000-0000-000013640000}"/>
    <cellStyle name="Normal 4 3 12 2 2" xfId="11817" xr:uid="{00000000-0005-0000-0000-000014640000}"/>
    <cellStyle name="Normal 4 3 12 2 2 2" xfId="35302" xr:uid="{00000000-0005-0000-0000-000015640000}"/>
    <cellStyle name="Normal 4 3 12 2 2 3" xfId="25983" xr:uid="{00000000-0005-0000-0000-000016640000}"/>
    <cellStyle name="Normal 4 3 12 2 2 4" xfId="49245" xr:uid="{00000000-0005-0000-0000-000017640000}"/>
    <cellStyle name="Normal 4 3 12 2 3" xfId="16548" xr:uid="{00000000-0005-0000-0000-000018640000}"/>
    <cellStyle name="Normal 4 3 12 2 3 2" xfId="30680" xr:uid="{00000000-0005-0000-0000-000019640000}"/>
    <cellStyle name="Normal 4 3 12 2 3 3" xfId="44575" xr:uid="{00000000-0005-0000-0000-00001A640000}"/>
    <cellStyle name="Normal 4 3 12 2 4" xfId="21361" xr:uid="{00000000-0005-0000-0000-00001B640000}"/>
    <cellStyle name="Normal 4 3 12 2 5" xfId="39993" xr:uid="{00000000-0005-0000-0000-00001C640000}"/>
    <cellStyle name="Normal 4 3 12 3" xfId="11816" xr:uid="{00000000-0005-0000-0000-00001D640000}"/>
    <cellStyle name="Normal 4 3 12 3 2" xfId="35301" xr:uid="{00000000-0005-0000-0000-00001E640000}"/>
    <cellStyle name="Normal 4 3 12 3 3" xfId="25982" xr:uid="{00000000-0005-0000-0000-00001F640000}"/>
    <cellStyle name="Normal 4 3 12 3 4" xfId="49244" xr:uid="{00000000-0005-0000-0000-000020640000}"/>
    <cellStyle name="Normal 4 3 12 4" xfId="16547" xr:uid="{00000000-0005-0000-0000-000021640000}"/>
    <cellStyle name="Normal 4 3 12 4 2" xfId="30679" xr:uid="{00000000-0005-0000-0000-000022640000}"/>
    <cellStyle name="Normal 4 3 12 4 3" xfId="44574" xr:uid="{00000000-0005-0000-0000-000023640000}"/>
    <cellStyle name="Normal 4 3 12 5" xfId="21360" xr:uid="{00000000-0005-0000-0000-000024640000}"/>
    <cellStyle name="Normal 4 3 12 6" xfId="39992" xr:uid="{00000000-0005-0000-0000-000025640000}"/>
    <cellStyle name="Normal 4 3 13" xfId="5987" xr:uid="{00000000-0005-0000-0000-000026640000}"/>
    <cellStyle name="Normal 4 3 13 2" xfId="5988" xr:uid="{00000000-0005-0000-0000-000027640000}"/>
    <cellStyle name="Normal 4 3 13 2 2" xfId="11819" xr:uid="{00000000-0005-0000-0000-000028640000}"/>
    <cellStyle name="Normal 4 3 13 2 2 2" xfId="35304" xr:uid="{00000000-0005-0000-0000-000029640000}"/>
    <cellStyle name="Normal 4 3 13 2 2 3" xfId="25985" xr:uid="{00000000-0005-0000-0000-00002A640000}"/>
    <cellStyle name="Normal 4 3 13 2 2 4" xfId="49247" xr:uid="{00000000-0005-0000-0000-00002B640000}"/>
    <cellStyle name="Normal 4 3 13 2 3" xfId="16550" xr:uid="{00000000-0005-0000-0000-00002C640000}"/>
    <cellStyle name="Normal 4 3 13 2 3 2" xfId="30682" xr:uid="{00000000-0005-0000-0000-00002D640000}"/>
    <cellStyle name="Normal 4 3 13 2 3 3" xfId="44577" xr:uid="{00000000-0005-0000-0000-00002E640000}"/>
    <cellStyle name="Normal 4 3 13 2 4" xfId="21363" xr:uid="{00000000-0005-0000-0000-00002F640000}"/>
    <cellStyle name="Normal 4 3 13 2 5" xfId="39995" xr:uid="{00000000-0005-0000-0000-000030640000}"/>
    <cellStyle name="Normal 4 3 13 3" xfId="11818" xr:uid="{00000000-0005-0000-0000-000031640000}"/>
    <cellStyle name="Normal 4 3 13 3 2" xfId="35303" xr:uid="{00000000-0005-0000-0000-000032640000}"/>
    <cellStyle name="Normal 4 3 13 3 3" xfId="25984" xr:uid="{00000000-0005-0000-0000-000033640000}"/>
    <cellStyle name="Normal 4 3 13 3 4" xfId="49246" xr:uid="{00000000-0005-0000-0000-000034640000}"/>
    <cellStyle name="Normal 4 3 13 4" xfId="16549" xr:uid="{00000000-0005-0000-0000-000035640000}"/>
    <cellStyle name="Normal 4 3 13 4 2" xfId="30681" xr:uid="{00000000-0005-0000-0000-000036640000}"/>
    <cellStyle name="Normal 4 3 13 4 3" xfId="44576" xr:uid="{00000000-0005-0000-0000-000037640000}"/>
    <cellStyle name="Normal 4 3 13 5" xfId="21362" xr:uid="{00000000-0005-0000-0000-000038640000}"/>
    <cellStyle name="Normal 4 3 13 6" xfId="39994" xr:uid="{00000000-0005-0000-0000-000039640000}"/>
    <cellStyle name="Normal 4 3 14" xfId="5989" xr:uid="{00000000-0005-0000-0000-00003A640000}"/>
    <cellStyle name="Normal 4 3 14 2" xfId="5990" xr:uid="{00000000-0005-0000-0000-00003B640000}"/>
    <cellStyle name="Normal 4 3 14 2 2" xfId="11821" xr:uid="{00000000-0005-0000-0000-00003C640000}"/>
    <cellStyle name="Normal 4 3 14 2 2 2" xfId="35306" xr:uid="{00000000-0005-0000-0000-00003D640000}"/>
    <cellStyle name="Normal 4 3 14 2 2 3" xfId="25987" xr:uid="{00000000-0005-0000-0000-00003E640000}"/>
    <cellStyle name="Normal 4 3 14 2 2 4" xfId="49249" xr:uid="{00000000-0005-0000-0000-00003F640000}"/>
    <cellStyle name="Normal 4 3 14 2 3" xfId="16552" xr:uid="{00000000-0005-0000-0000-000040640000}"/>
    <cellStyle name="Normal 4 3 14 2 3 2" xfId="30684" xr:uid="{00000000-0005-0000-0000-000041640000}"/>
    <cellStyle name="Normal 4 3 14 2 3 3" xfId="44579" xr:uid="{00000000-0005-0000-0000-000042640000}"/>
    <cellStyle name="Normal 4 3 14 2 4" xfId="21365" xr:uid="{00000000-0005-0000-0000-000043640000}"/>
    <cellStyle name="Normal 4 3 14 2 5" xfId="39997" xr:uid="{00000000-0005-0000-0000-000044640000}"/>
    <cellStyle name="Normal 4 3 14 3" xfId="11820" xr:uid="{00000000-0005-0000-0000-000045640000}"/>
    <cellStyle name="Normal 4 3 14 3 2" xfId="35305" xr:uid="{00000000-0005-0000-0000-000046640000}"/>
    <cellStyle name="Normal 4 3 14 3 3" xfId="25986" xr:uid="{00000000-0005-0000-0000-000047640000}"/>
    <cellStyle name="Normal 4 3 14 3 4" xfId="49248" xr:uid="{00000000-0005-0000-0000-000048640000}"/>
    <cellStyle name="Normal 4 3 14 4" xfId="16551" xr:uid="{00000000-0005-0000-0000-000049640000}"/>
    <cellStyle name="Normal 4 3 14 4 2" xfId="30683" xr:uid="{00000000-0005-0000-0000-00004A640000}"/>
    <cellStyle name="Normal 4 3 14 4 3" xfId="44578" xr:uid="{00000000-0005-0000-0000-00004B640000}"/>
    <cellStyle name="Normal 4 3 14 5" xfId="21364" xr:uid="{00000000-0005-0000-0000-00004C640000}"/>
    <cellStyle name="Normal 4 3 14 6" xfId="39996" xr:uid="{00000000-0005-0000-0000-00004D640000}"/>
    <cellStyle name="Normal 4 3 15" xfId="5991" xr:uid="{00000000-0005-0000-0000-00004E640000}"/>
    <cellStyle name="Normal 4 3 15 2" xfId="5992" xr:uid="{00000000-0005-0000-0000-00004F640000}"/>
    <cellStyle name="Normal 4 3 15 2 2" xfId="11823" xr:uid="{00000000-0005-0000-0000-000050640000}"/>
    <cellStyle name="Normal 4 3 15 2 2 2" xfId="35308" xr:uid="{00000000-0005-0000-0000-000051640000}"/>
    <cellStyle name="Normal 4 3 15 2 2 3" xfId="25989" xr:uid="{00000000-0005-0000-0000-000052640000}"/>
    <cellStyle name="Normal 4 3 15 2 2 4" xfId="49251" xr:uid="{00000000-0005-0000-0000-000053640000}"/>
    <cellStyle name="Normal 4 3 15 2 3" xfId="16554" xr:uid="{00000000-0005-0000-0000-000054640000}"/>
    <cellStyle name="Normal 4 3 15 2 3 2" xfId="30686" xr:uid="{00000000-0005-0000-0000-000055640000}"/>
    <cellStyle name="Normal 4 3 15 2 3 3" xfId="44581" xr:uid="{00000000-0005-0000-0000-000056640000}"/>
    <cellStyle name="Normal 4 3 15 2 4" xfId="21367" xr:uid="{00000000-0005-0000-0000-000057640000}"/>
    <cellStyle name="Normal 4 3 15 2 5" xfId="39999" xr:uid="{00000000-0005-0000-0000-000058640000}"/>
    <cellStyle name="Normal 4 3 15 3" xfId="11822" xr:uid="{00000000-0005-0000-0000-000059640000}"/>
    <cellStyle name="Normal 4 3 15 3 2" xfId="35307" xr:uid="{00000000-0005-0000-0000-00005A640000}"/>
    <cellStyle name="Normal 4 3 15 3 3" xfId="25988" xr:uid="{00000000-0005-0000-0000-00005B640000}"/>
    <cellStyle name="Normal 4 3 15 3 4" xfId="49250" xr:uid="{00000000-0005-0000-0000-00005C640000}"/>
    <cellStyle name="Normal 4 3 15 4" xfId="16553" xr:uid="{00000000-0005-0000-0000-00005D640000}"/>
    <cellStyle name="Normal 4 3 15 4 2" xfId="30685" xr:uid="{00000000-0005-0000-0000-00005E640000}"/>
    <cellStyle name="Normal 4 3 15 4 3" xfId="44580" xr:uid="{00000000-0005-0000-0000-00005F640000}"/>
    <cellStyle name="Normal 4 3 15 5" xfId="21366" xr:uid="{00000000-0005-0000-0000-000060640000}"/>
    <cellStyle name="Normal 4 3 15 6" xfId="39998" xr:uid="{00000000-0005-0000-0000-000061640000}"/>
    <cellStyle name="Normal 4 3 16" xfId="5993" xr:uid="{00000000-0005-0000-0000-000062640000}"/>
    <cellStyle name="Normal 4 3 16 2" xfId="5994" xr:uid="{00000000-0005-0000-0000-000063640000}"/>
    <cellStyle name="Normal 4 3 16 2 2" xfId="11825" xr:uid="{00000000-0005-0000-0000-000064640000}"/>
    <cellStyle name="Normal 4 3 16 2 2 2" xfId="35310" xr:uid="{00000000-0005-0000-0000-000065640000}"/>
    <cellStyle name="Normal 4 3 16 2 2 3" xfId="25991" xr:uid="{00000000-0005-0000-0000-000066640000}"/>
    <cellStyle name="Normal 4 3 16 2 2 4" xfId="49253" xr:uid="{00000000-0005-0000-0000-000067640000}"/>
    <cellStyle name="Normal 4 3 16 2 3" xfId="16556" xr:uid="{00000000-0005-0000-0000-000068640000}"/>
    <cellStyle name="Normal 4 3 16 2 3 2" xfId="30688" xr:uid="{00000000-0005-0000-0000-000069640000}"/>
    <cellStyle name="Normal 4 3 16 2 3 3" xfId="44583" xr:uid="{00000000-0005-0000-0000-00006A640000}"/>
    <cellStyle name="Normal 4 3 16 2 4" xfId="21369" xr:uid="{00000000-0005-0000-0000-00006B640000}"/>
    <cellStyle name="Normal 4 3 16 2 5" xfId="40001" xr:uid="{00000000-0005-0000-0000-00006C640000}"/>
    <cellStyle name="Normal 4 3 16 3" xfId="11824" xr:uid="{00000000-0005-0000-0000-00006D640000}"/>
    <cellStyle name="Normal 4 3 16 3 2" xfId="35309" xr:uid="{00000000-0005-0000-0000-00006E640000}"/>
    <cellStyle name="Normal 4 3 16 3 3" xfId="25990" xr:uid="{00000000-0005-0000-0000-00006F640000}"/>
    <cellStyle name="Normal 4 3 16 3 4" xfId="49252" xr:uid="{00000000-0005-0000-0000-000070640000}"/>
    <cellStyle name="Normal 4 3 16 4" xfId="16555" xr:uid="{00000000-0005-0000-0000-000071640000}"/>
    <cellStyle name="Normal 4 3 16 4 2" xfId="30687" xr:uid="{00000000-0005-0000-0000-000072640000}"/>
    <cellStyle name="Normal 4 3 16 4 3" xfId="44582" xr:uid="{00000000-0005-0000-0000-000073640000}"/>
    <cellStyle name="Normal 4 3 16 5" xfId="21368" xr:uid="{00000000-0005-0000-0000-000074640000}"/>
    <cellStyle name="Normal 4 3 16 6" xfId="40000" xr:uid="{00000000-0005-0000-0000-000075640000}"/>
    <cellStyle name="Normal 4 3 17" xfId="5995" xr:uid="{00000000-0005-0000-0000-000076640000}"/>
    <cellStyle name="Normal 4 3 17 2" xfId="5996" xr:uid="{00000000-0005-0000-0000-000077640000}"/>
    <cellStyle name="Normal 4 3 17 2 2" xfId="11827" xr:uid="{00000000-0005-0000-0000-000078640000}"/>
    <cellStyle name="Normal 4 3 17 2 2 2" xfId="35312" xr:uid="{00000000-0005-0000-0000-000079640000}"/>
    <cellStyle name="Normal 4 3 17 2 2 3" xfId="25993" xr:uid="{00000000-0005-0000-0000-00007A640000}"/>
    <cellStyle name="Normal 4 3 17 2 2 4" xfId="49255" xr:uid="{00000000-0005-0000-0000-00007B640000}"/>
    <cellStyle name="Normal 4 3 17 2 3" xfId="16558" xr:uid="{00000000-0005-0000-0000-00007C640000}"/>
    <cellStyle name="Normal 4 3 17 2 3 2" xfId="30690" xr:uid="{00000000-0005-0000-0000-00007D640000}"/>
    <cellStyle name="Normal 4 3 17 2 3 3" xfId="44585" xr:uid="{00000000-0005-0000-0000-00007E640000}"/>
    <cellStyle name="Normal 4 3 17 2 4" xfId="21371" xr:uid="{00000000-0005-0000-0000-00007F640000}"/>
    <cellStyle name="Normal 4 3 17 2 5" xfId="40003" xr:uid="{00000000-0005-0000-0000-000080640000}"/>
    <cellStyle name="Normal 4 3 17 3" xfId="11826" xr:uid="{00000000-0005-0000-0000-000081640000}"/>
    <cellStyle name="Normal 4 3 17 3 2" xfId="35311" xr:uid="{00000000-0005-0000-0000-000082640000}"/>
    <cellStyle name="Normal 4 3 17 3 3" xfId="25992" xr:uid="{00000000-0005-0000-0000-000083640000}"/>
    <cellStyle name="Normal 4 3 17 3 4" xfId="49254" xr:uid="{00000000-0005-0000-0000-000084640000}"/>
    <cellStyle name="Normal 4 3 17 4" xfId="16557" xr:uid="{00000000-0005-0000-0000-000085640000}"/>
    <cellStyle name="Normal 4 3 17 4 2" xfId="30689" xr:uid="{00000000-0005-0000-0000-000086640000}"/>
    <cellStyle name="Normal 4 3 17 4 3" xfId="44584" xr:uid="{00000000-0005-0000-0000-000087640000}"/>
    <cellStyle name="Normal 4 3 17 5" xfId="21370" xr:uid="{00000000-0005-0000-0000-000088640000}"/>
    <cellStyle name="Normal 4 3 17 6" xfId="40002" xr:uid="{00000000-0005-0000-0000-000089640000}"/>
    <cellStyle name="Normal 4 3 18" xfId="5997" xr:uid="{00000000-0005-0000-0000-00008A640000}"/>
    <cellStyle name="Normal 4 3 18 2" xfId="5998" xr:uid="{00000000-0005-0000-0000-00008B640000}"/>
    <cellStyle name="Normal 4 3 18 2 2" xfId="11829" xr:uid="{00000000-0005-0000-0000-00008C640000}"/>
    <cellStyle name="Normal 4 3 18 2 2 2" xfId="35314" xr:uid="{00000000-0005-0000-0000-00008D640000}"/>
    <cellStyle name="Normal 4 3 18 2 2 3" xfId="25995" xr:uid="{00000000-0005-0000-0000-00008E640000}"/>
    <cellStyle name="Normal 4 3 18 2 2 4" xfId="49257" xr:uid="{00000000-0005-0000-0000-00008F640000}"/>
    <cellStyle name="Normal 4 3 18 2 3" xfId="16560" xr:uid="{00000000-0005-0000-0000-000090640000}"/>
    <cellStyle name="Normal 4 3 18 2 3 2" xfId="30692" xr:uid="{00000000-0005-0000-0000-000091640000}"/>
    <cellStyle name="Normal 4 3 18 2 3 3" xfId="44587" xr:uid="{00000000-0005-0000-0000-000092640000}"/>
    <cellStyle name="Normal 4 3 18 2 4" xfId="21373" xr:uid="{00000000-0005-0000-0000-000093640000}"/>
    <cellStyle name="Normal 4 3 18 2 5" xfId="40005" xr:uid="{00000000-0005-0000-0000-000094640000}"/>
    <cellStyle name="Normal 4 3 18 3" xfId="11828" xr:uid="{00000000-0005-0000-0000-000095640000}"/>
    <cellStyle name="Normal 4 3 18 3 2" xfId="35313" xr:uid="{00000000-0005-0000-0000-000096640000}"/>
    <cellStyle name="Normal 4 3 18 3 3" xfId="25994" xr:uid="{00000000-0005-0000-0000-000097640000}"/>
    <cellStyle name="Normal 4 3 18 3 4" xfId="49256" xr:uid="{00000000-0005-0000-0000-000098640000}"/>
    <cellStyle name="Normal 4 3 18 4" xfId="16559" xr:uid="{00000000-0005-0000-0000-000099640000}"/>
    <cellStyle name="Normal 4 3 18 4 2" xfId="30691" xr:uid="{00000000-0005-0000-0000-00009A640000}"/>
    <cellStyle name="Normal 4 3 18 4 3" xfId="44586" xr:uid="{00000000-0005-0000-0000-00009B640000}"/>
    <cellStyle name="Normal 4 3 18 5" xfId="21372" xr:uid="{00000000-0005-0000-0000-00009C640000}"/>
    <cellStyle name="Normal 4 3 18 6" xfId="40004" xr:uid="{00000000-0005-0000-0000-00009D640000}"/>
    <cellStyle name="Normal 4 3 19" xfId="5999" xr:uid="{00000000-0005-0000-0000-00009E640000}"/>
    <cellStyle name="Normal 4 3 19 2" xfId="6000" xr:uid="{00000000-0005-0000-0000-00009F640000}"/>
    <cellStyle name="Normal 4 3 19 2 2" xfId="11831" xr:uid="{00000000-0005-0000-0000-0000A0640000}"/>
    <cellStyle name="Normal 4 3 19 2 2 2" xfId="35316" xr:uid="{00000000-0005-0000-0000-0000A1640000}"/>
    <cellStyle name="Normal 4 3 19 2 2 3" xfId="25997" xr:uid="{00000000-0005-0000-0000-0000A2640000}"/>
    <cellStyle name="Normal 4 3 19 2 2 4" xfId="49259" xr:uid="{00000000-0005-0000-0000-0000A3640000}"/>
    <cellStyle name="Normal 4 3 19 2 3" xfId="16562" xr:uid="{00000000-0005-0000-0000-0000A4640000}"/>
    <cellStyle name="Normal 4 3 19 2 3 2" xfId="30694" xr:uid="{00000000-0005-0000-0000-0000A5640000}"/>
    <cellStyle name="Normal 4 3 19 2 3 3" xfId="44589" xr:uid="{00000000-0005-0000-0000-0000A6640000}"/>
    <cellStyle name="Normal 4 3 19 2 4" xfId="21375" xr:uid="{00000000-0005-0000-0000-0000A7640000}"/>
    <cellStyle name="Normal 4 3 19 2 5" xfId="40007" xr:uid="{00000000-0005-0000-0000-0000A8640000}"/>
    <cellStyle name="Normal 4 3 19 3" xfId="11830" xr:uid="{00000000-0005-0000-0000-0000A9640000}"/>
    <cellStyle name="Normal 4 3 19 3 2" xfId="35315" xr:uid="{00000000-0005-0000-0000-0000AA640000}"/>
    <cellStyle name="Normal 4 3 19 3 3" xfId="25996" xr:uid="{00000000-0005-0000-0000-0000AB640000}"/>
    <cellStyle name="Normal 4 3 19 3 4" xfId="49258" xr:uid="{00000000-0005-0000-0000-0000AC640000}"/>
    <cellStyle name="Normal 4 3 19 4" xfId="16561" xr:uid="{00000000-0005-0000-0000-0000AD640000}"/>
    <cellStyle name="Normal 4 3 19 4 2" xfId="30693" xr:uid="{00000000-0005-0000-0000-0000AE640000}"/>
    <cellStyle name="Normal 4 3 19 4 3" xfId="44588" xr:uid="{00000000-0005-0000-0000-0000AF640000}"/>
    <cellStyle name="Normal 4 3 19 5" xfId="21374" xr:uid="{00000000-0005-0000-0000-0000B0640000}"/>
    <cellStyle name="Normal 4 3 19 6" xfId="40006" xr:uid="{00000000-0005-0000-0000-0000B1640000}"/>
    <cellStyle name="Normal 4 3 2" xfId="6001" xr:uid="{00000000-0005-0000-0000-0000B2640000}"/>
    <cellStyle name="Normal 4 3 2 2" xfId="6002" xr:uid="{00000000-0005-0000-0000-0000B3640000}"/>
    <cellStyle name="Normal 4 3 2 2 2" xfId="11833" xr:uid="{00000000-0005-0000-0000-0000B4640000}"/>
    <cellStyle name="Normal 4 3 2 2 2 2" xfId="35318" xr:uid="{00000000-0005-0000-0000-0000B5640000}"/>
    <cellStyle name="Normal 4 3 2 2 2 3" xfId="25999" xr:uid="{00000000-0005-0000-0000-0000B6640000}"/>
    <cellStyle name="Normal 4 3 2 2 2 4" xfId="49261" xr:uid="{00000000-0005-0000-0000-0000B7640000}"/>
    <cellStyle name="Normal 4 3 2 2 3" xfId="16564" xr:uid="{00000000-0005-0000-0000-0000B8640000}"/>
    <cellStyle name="Normal 4 3 2 2 3 2" xfId="30696" xr:uid="{00000000-0005-0000-0000-0000B9640000}"/>
    <cellStyle name="Normal 4 3 2 2 3 3" xfId="44591" xr:uid="{00000000-0005-0000-0000-0000BA640000}"/>
    <cellStyle name="Normal 4 3 2 2 4" xfId="21377" xr:uid="{00000000-0005-0000-0000-0000BB640000}"/>
    <cellStyle name="Normal 4 3 2 2 5" xfId="40009" xr:uid="{00000000-0005-0000-0000-0000BC640000}"/>
    <cellStyle name="Normal 4 3 2 3" xfId="11832" xr:uid="{00000000-0005-0000-0000-0000BD640000}"/>
    <cellStyle name="Normal 4 3 2 3 2" xfId="35317" xr:uid="{00000000-0005-0000-0000-0000BE640000}"/>
    <cellStyle name="Normal 4 3 2 3 3" xfId="25998" xr:uid="{00000000-0005-0000-0000-0000BF640000}"/>
    <cellStyle name="Normal 4 3 2 3 4" xfId="49260" xr:uid="{00000000-0005-0000-0000-0000C0640000}"/>
    <cellStyle name="Normal 4 3 2 4" xfId="16563" xr:uid="{00000000-0005-0000-0000-0000C1640000}"/>
    <cellStyle name="Normal 4 3 2 4 2" xfId="30695" xr:uid="{00000000-0005-0000-0000-0000C2640000}"/>
    <cellStyle name="Normal 4 3 2 4 3" xfId="44590" xr:uid="{00000000-0005-0000-0000-0000C3640000}"/>
    <cellStyle name="Normal 4 3 2 5" xfId="21376" xr:uid="{00000000-0005-0000-0000-0000C4640000}"/>
    <cellStyle name="Normal 4 3 2 6" xfId="40008" xr:uid="{00000000-0005-0000-0000-0000C5640000}"/>
    <cellStyle name="Normal 4 3 20" xfId="6003" xr:uid="{00000000-0005-0000-0000-0000C6640000}"/>
    <cellStyle name="Normal 4 3 20 2" xfId="6004" xr:uid="{00000000-0005-0000-0000-0000C7640000}"/>
    <cellStyle name="Normal 4 3 20 2 2" xfId="11835" xr:uid="{00000000-0005-0000-0000-0000C8640000}"/>
    <cellStyle name="Normal 4 3 20 2 2 2" xfId="35320" xr:uid="{00000000-0005-0000-0000-0000C9640000}"/>
    <cellStyle name="Normal 4 3 20 2 2 3" xfId="26001" xr:uid="{00000000-0005-0000-0000-0000CA640000}"/>
    <cellStyle name="Normal 4 3 20 2 2 4" xfId="49263" xr:uid="{00000000-0005-0000-0000-0000CB640000}"/>
    <cellStyle name="Normal 4 3 20 2 3" xfId="16566" xr:uid="{00000000-0005-0000-0000-0000CC640000}"/>
    <cellStyle name="Normal 4 3 20 2 3 2" xfId="30698" xr:uid="{00000000-0005-0000-0000-0000CD640000}"/>
    <cellStyle name="Normal 4 3 20 2 3 3" xfId="44593" xr:uid="{00000000-0005-0000-0000-0000CE640000}"/>
    <cellStyle name="Normal 4 3 20 2 4" xfId="21379" xr:uid="{00000000-0005-0000-0000-0000CF640000}"/>
    <cellStyle name="Normal 4 3 20 2 5" xfId="40011" xr:uid="{00000000-0005-0000-0000-0000D0640000}"/>
    <cellStyle name="Normal 4 3 20 3" xfId="11834" xr:uid="{00000000-0005-0000-0000-0000D1640000}"/>
    <cellStyle name="Normal 4 3 20 3 2" xfId="35319" xr:uid="{00000000-0005-0000-0000-0000D2640000}"/>
    <cellStyle name="Normal 4 3 20 3 3" xfId="26000" xr:uid="{00000000-0005-0000-0000-0000D3640000}"/>
    <cellStyle name="Normal 4 3 20 3 4" xfId="49262" xr:uid="{00000000-0005-0000-0000-0000D4640000}"/>
    <cellStyle name="Normal 4 3 20 4" xfId="16565" xr:uid="{00000000-0005-0000-0000-0000D5640000}"/>
    <cellStyle name="Normal 4 3 20 4 2" xfId="30697" xr:uid="{00000000-0005-0000-0000-0000D6640000}"/>
    <cellStyle name="Normal 4 3 20 4 3" xfId="44592" xr:uid="{00000000-0005-0000-0000-0000D7640000}"/>
    <cellStyle name="Normal 4 3 20 5" xfId="21378" xr:uid="{00000000-0005-0000-0000-0000D8640000}"/>
    <cellStyle name="Normal 4 3 20 6" xfId="40010" xr:uid="{00000000-0005-0000-0000-0000D9640000}"/>
    <cellStyle name="Normal 4 3 21" xfId="6005" xr:uid="{00000000-0005-0000-0000-0000DA640000}"/>
    <cellStyle name="Normal 4 3 21 2" xfId="6006" xr:uid="{00000000-0005-0000-0000-0000DB640000}"/>
    <cellStyle name="Normal 4 3 21 2 2" xfId="11837" xr:uid="{00000000-0005-0000-0000-0000DC640000}"/>
    <cellStyle name="Normal 4 3 21 2 2 2" xfId="35322" xr:uid="{00000000-0005-0000-0000-0000DD640000}"/>
    <cellStyle name="Normal 4 3 21 2 2 3" xfId="26003" xr:uid="{00000000-0005-0000-0000-0000DE640000}"/>
    <cellStyle name="Normal 4 3 21 2 2 4" xfId="49265" xr:uid="{00000000-0005-0000-0000-0000DF640000}"/>
    <cellStyle name="Normal 4 3 21 2 3" xfId="16568" xr:uid="{00000000-0005-0000-0000-0000E0640000}"/>
    <cellStyle name="Normal 4 3 21 2 3 2" xfId="30700" xr:uid="{00000000-0005-0000-0000-0000E1640000}"/>
    <cellStyle name="Normal 4 3 21 2 3 3" xfId="44595" xr:uid="{00000000-0005-0000-0000-0000E2640000}"/>
    <cellStyle name="Normal 4 3 21 2 4" xfId="21381" xr:uid="{00000000-0005-0000-0000-0000E3640000}"/>
    <cellStyle name="Normal 4 3 21 2 5" xfId="40013" xr:uid="{00000000-0005-0000-0000-0000E4640000}"/>
    <cellStyle name="Normal 4 3 21 3" xfId="11836" xr:uid="{00000000-0005-0000-0000-0000E5640000}"/>
    <cellStyle name="Normal 4 3 21 3 2" xfId="35321" xr:uid="{00000000-0005-0000-0000-0000E6640000}"/>
    <cellStyle name="Normal 4 3 21 3 3" xfId="26002" xr:uid="{00000000-0005-0000-0000-0000E7640000}"/>
    <cellStyle name="Normal 4 3 21 3 4" xfId="49264" xr:uid="{00000000-0005-0000-0000-0000E8640000}"/>
    <cellStyle name="Normal 4 3 21 4" xfId="16567" xr:uid="{00000000-0005-0000-0000-0000E9640000}"/>
    <cellStyle name="Normal 4 3 21 4 2" xfId="30699" xr:uid="{00000000-0005-0000-0000-0000EA640000}"/>
    <cellStyle name="Normal 4 3 21 4 3" xfId="44594" xr:uid="{00000000-0005-0000-0000-0000EB640000}"/>
    <cellStyle name="Normal 4 3 21 5" xfId="21380" xr:uid="{00000000-0005-0000-0000-0000EC640000}"/>
    <cellStyle name="Normal 4 3 21 6" xfId="40012" xr:uid="{00000000-0005-0000-0000-0000ED640000}"/>
    <cellStyle name="Normal 4 3 22" xfId="6007" xr:uid="{00000000-0005-0000-0000-0000EE640000}"/>
    <cellStyle name="Normal 4 3 22 2" xfId="6008" xr:uid="{00000000-0005-0000-0000-0000EF640000}"/>
    <cellStyle name="Normal 4 3 22 2 2" xfId="11839" xr:uid="{00000000-0005-0000-0000-0000F0640000}"/>
    <cellStyle name="Normal 4 3 22 2 2 2" xfId="35324" xr:uid="{00000000-0005-0000-0000-0000F1640000}"/>
    <cellStyle name="Normal 4 3 22 2 2 3" xfId="26005" xr:uid="{00000000-0005-0000-0000-0000F2640000}"/>
    <cellStyle name="Normal 4 3 22 2 2 4" xfId="49267" xr:uid="{00000000-0005-0000-0000-0000F3640000}"/>
    <cellStyle name="Normal 4 3 22 2 3" xfId="16570" xr:uid="{00000000-0005-0000-0000-0000F4640000}"/>
    <cellStyle name="Normal 4 3 22 2 3 2" xfId="30702" xr:uid="{00000000-0005-0000-0000-0000F5640000}"/>
    <cellStyle name="Normal 4 3 22 2 3 3" xfId="44597" xr:uid="{00000000-0005-0000-0000-0000F6640000}"/>
    <cellStyle name="Normal 4 3 22 2 4" xfId="21383" xr:uid="{00000000-0005-0000-0000-0000F7640000}"/>
    <cellStyle name="Normal 4 3 22 2 5" xfId="40015" xr:uid="{00000000-0005-0000-0000-0000F8640000}"/>
    <cellStyle name="Normal 4 3 22 3" xfId="11838" xr:uid="{00000000-0005-0000-0000-0000F9640000}"/>
    <cellStyle name="Normal 4 3 22 3 2" xfId="35323" xr:uid="{00000000-0005-0000-0000-0000FA640000}"/>
    <cellStyle name="Normal 4 3 22 3 3" xfId="26004" xr:uid="{00000000-0005-0000-0000-0000FB640000}"/>
    <cellStyle name="Normal 4 3 22 3 4" xfId="49266" xr:uid="{00000000-0005-0000-0000-0000FC640000}"/>
    <cellStyle name="Normal 4 3 22 4" xfId="16569" xr:uid="{00000000-0005-0000-0000-0000FD640000}"/>
    <cellStyle name="Normal 4 3 22 4 2" xfId="30701" xr:uid="{00000000-0005-0000-0000-0000FE640000}"/>
    <cellStyle name="Normal 4 3 22 4 3" xfId="44596" xr:uid="{00000000-0005-0000-0000-0000FF640000}"/>
    <cellStyle name="Normal 4 3 22 5" xfId="21382" xr:uid="{00000000-0005-0000-0000-000000650000}"/>
    <cellStyle name="Normal 4 3 22 6" xfId="40014" xr:uid="{00000000-0005-0000-0000-000001650000}"/>
    <cellStyle name="Normal 4 3 23" xfId="6009" xr:uid="{00000000-0005-0000-0000-000002650000}"/>
    <cellStyle name="Normal 4 3 23 2" xfId="6010" xr:uid="{00000000-0005-0000-0000-000003650000}"/>
    <cellStyle name="Normal 4 3 23 2 2" xfId="11841" xr:uid="{00000000-0005-0000-0000-000004650000}"/>
    <cellStyle name="Normal 4 3 23 2 2 2" xfId="35326" xr:uid="{00000000-0005-0000-0000-000005650000}"/>
    <cellStyle name="Normal 4 3 23 2 2 3" xfId="26007" xr:uid="{00000000-0005-0000-0000-000006650000}"/>
    <cellStyle name="Normal 4 3 23 2 2 4" xfId="49269" xr:uid="{00000000-0005-0000-0000-000007650000}"/>
    <cellStyle name="Normal 4 3 23 2 3" xfId="16572" xr:uid="{00000000-0005-0000-0000-000008650000}"/>
    <cellStyle name="Normal 4 3 23 2 3 2" xfId="30704" xr:uid="{00000000-0005-0000-0000-000009650000}"/>
    <cellStyle name="Normal 4 3 23 2 3 3" xfId="44599" xr:uid="{00000000-0005-0000-0000-00000A650000}"/>
    <cellStyle name="Normal 4 3 23 2 4" xfId="21385" xr:uid="{00000000-0005-0000-0000-00000B650000}"/>
    <cellStyle name="Normal 4 3 23 2 5" xfId="40017" xr:uid="{00000000-0005-0000-0000-00000C650000}"/>
    <cellStyle name="Normal 4 3 23 3" xfId="11840" xr:uid="{00000000-0005-0000-0000-00000D650000}"/>
    <cellStyle name="Normal 4 3 23 3 2" xfId="35325" xr:uid="{00000000-0005-0000-0000-00000E650000}"/>
    <cellStyle name="Normal 4 3 23 3 3" xfId="26006" xr:uid="{00000000-0005-0000-0000-00000F650000}"/>
    <cellStyle name="Normal 4 3 23 3 4" xfId="49268" xr:uid="{00000000-0005-0000-0000-000010650000}"/>
    <cellStyle name="Normal 4 3 23 4" xfId="16571" xr:uid="{00000000-0005-0000-0000-000011650000}"/>
    <cellStyle name="Normal 4 3 23 4 2" xfId="30703" xr:uid="{00000000-0005-0000-0000-000012650000}"/>
    <cellStyle name="Normal 4 3 23 4 3" xfId="44598" xr:uid="{00000000-0005-0000-0000-000013650000}"/>
    <cellStyle name="Normal 4 3 23 5" xfId="21384" xr:uid="{00000000-0005-0000-0000-000014650000}"/>
    <cellStyle name="Normal 4 3 23 6" xfId="40016" xr:uid="{00000000-0005-0000-0000-000015650000}"/>
    <cellStyle name="Normal 4 3 24" xfId="6011" xr:uid="{00000000-0005-0000-0000-000016650000}"/>
    <cellStyle name="Normal 4 3 24 2" xfId="11842" xr:uid="{00000000-0005-0000-0000-000017650000}"/>
    <cellStyle name="Normal 4 3 24 2 2" xfId="35327" xr:uid="{00000000-0005-0000-0000-000018650000}"/>
    <cellStyle name="Normal 4 3 24 2 3" xfId="26008" xr:uid="{00000000-0005-0000-0000-000019650000}"/>
    <cellStyle name="Normal 4 3 24 2 4" xfId="49270" xr:uid="{00000000-0005-0000-0000-00001A650000}"/>
    <cellStyle name="Normal 4 3 24 3" xfId="16573" xr:uid="{00000000-0005-0000-0000-00001B650000}"/>
    <cellStyle name="Normal 4 3 24 3 2" xfId="30705" xr:uid="{00000000-0005-0000-0000-00001C650000}"/>
    <cellStyle name="Normal 4 3 24 3 3" xfId="44600" xr:uid="{00000000-0005-0000-0000-00001D650000}"/>
    <cellStyle name="Normal 4 3 24 4" xfId="21386" xr:uid="{00000000-0005-0000-0000-00001E650000}"/>
    <cellStyle name="Normal 4 3 24 5" xfId="40018" xr:uid="{00000000-0005-0000-0000-00001F650000}"/>
    <cellStyle name="Normal 4 3 25" xfId="421" xr:uid="{00000000-0005-0000-0000-000020650000}"/>
    <cellStyle name="Normal 4 3 25 2" xfId="9679" xr:uid="{00000000-0005-0000-0000-000021650000}"/>
    <cellStyle name="Normal 4 3 25 2 2" xfId="33170" xr:uid="{00000000-0005-0000-0000-000022650000}"/>
    <cellStyle name="Normal 4 3 25 2 3" xfId="23855" xr:uid="{00000000-0005-0000-0000-000023650000}"/>
    <cellStyle name="Normal 4 3 25 2 4" xfId="47113" xr:uid="{00000000-0005-0000-0000-000024650000}"/>
    <cellStyle name="Normal 4 3 25 3" xfId="14440" xr:uid="{00000000-0005-0000-0000-000025650000}"/>
    <cellStyle name="Normal 4 3 25 3 2" xfId="28571" xr:uid="{00000000-0005-0000-0000-000026650000}"/>
    <cellStyle name="Normal 4 3 25 3 3" xfId="42451" xr:uid="{00000000-0005-0000-0000-000027650000}"/>
    <cellStyle name="Normal 4 3 25 4" xfId="19251" xr:uid="{00000000-0005-0000-0000-000028650000}"/>
    <cellStyle name="Normal 4 3 25 5" xfId="37886" xr:uid="{00000000-0005-0000-0000-000029650000}"/>
    <cellStyle name="Normal 4 3 26" xfId="9486" xr:uid="{00000000-0005-0000-0000-00002A650000}"/>
    <cellStyle name="Normal 4 3 26 2" xfId="14155" xr:uid="{00000000-0005-0000-0000-00002B650000}"/>
    <cellStyle name="Normal 4 3 26 2 2" xfId="37633" xr:uid="{00000000-0005-0000-0000-00002C650000}"/>
    <cellStyle name="Normal 4 3 26 2 3" xfId="28319" xr:uid="{00000000-0005-0000-0000-00002D650000}"/>
    <cellStyle name="Normal 4 3 26 2 4" xfId="51582" xr:uid="{00000000-0005-0000-0000-00002E650000}"/>
    <cellStyle name="Normal 4 3 26 3" xfId="18867" xr:uid="{00000000-0005-0000-0000-00002F650000}"/>
    <cellStyle name="Normal 4 3 26 3 2" xfId="32999" xr:uid="{00000000-0005-0000-0000-000030650000}"/>
    <cellStyle name="Normal 4 3 26 3 3" xfId="46901" xr:uid="{00000000-0005-0000-0000-000031650000}"/>
    <cellStyle name="Normal 4 3 26 4" xfId="23685" xr:uid="{00000000-0005-0000-0000-000032650000}"/>
    <cellStyle name="Normal 4 3 26 5" xfId="42272" xr:uid="{00000000-0005-0000-0000-000033650000}"/>
    <cellStyle name="Normal 4 3 27" xfId="9526" xr:uid="{00000000-0005-0000-0000-000034650000}"/>
    <cellStyle name="Normal 4 3 27 2" xfId="14192" xr:uid="{00000000-0005-0000-0000-000035650000}"/>
    <cellStyle name="Normal 4 3 27 2 2" xfId="37667" xr:uid="{00000000-0005-0000-0000-000036650000}"/>
    <cellStyle name="Normal 4 3 27 2 3" xfId="28352" xr:uid="{00000000-0005-0000-0000-000037650000}"/>
    <cellStyle name="Normal 4 3 27 2 4" xfId="51619" xr:uid="{00000000-0005-0000-0000-000038650000}"/>
    <cellStyle name="Normal 4 3 27 3" xfId="18900" xr:uid="{00000000-0005-0000-0000-000039650000}"/>
    <cellStyle name="Normal 4 3 27 3 2" xfId="33033" xr:uid="{00000000-0005-0000-0000-00003A650000}"/>
    <cellStyle name="Normal 4 3 27 3 3" xfId="46939" xr:uid="{00000000-0005-0000-0000-00003B650000}"/>
    <cellStyle name="Normal 4 3 27 4" xfId="23720" xr:uid="{00000000-0005-0000-0000-00003C650000}"/>
    <cellStyle name="Normal 4 3 27 5" xfId="42305" xr:uid="{00000000-0005-0000-0000-00003D650000}"/>
    <cellStyle name="Normal 4 3 28" xfId="9656" xr:uid="{00000000-0005-0000-0000-00003E650000}"/>
    <cellStyle name="Normal 4 3 28 2" xfId="33147" xr:uid="{00000000-0005-0000-0000-00003F650000}"/>
    <cellStyle name="Normal 4 3 28 3" xfId="23834" xr:uid="{00000000-0005-0000-0000-000040650000}"/>
    <cellStyle name="Normal 4 3 28 4" xfId="47090" xr:uid="{00000000-0005-0000-0000-000041650000}"/>
    <cellStyle name="Normal 4 3 29" xfId="14418" xr:uid="{00000000-0005-0000-0000-000042650000}"/>
    <cellStyle name="Normal 4 3 29 2" xfId="28549" xr:uid="{00000000-0005-0000-0000-000043650000}"/>
    <cellStyle name="Normal 4 3 29 3" xfId="42428" xr:uid="{00000000-0005-0000-0000-000044650000}"/>
    <cellStyle name="Normal 4 3 3" xfId="6012" xr:uid="{00000000-0005-0000-0000-000045650000}"/>
    <cellStyle name="Normal 4 3 3 2" xfId="6013" xr:uid="{00000000-0005-0000-0000-000046650000}"/>
    <cellStyle name="Normal 4 3 3 2 2" xfId="11844" xr:uid="{00000000-0005-0000-0000-000047650000}"/>
    <cellStyle name="Normal 4 3 3 2 2 2" xfId="35329" xr:uid="{00000000-0005-0000-0000-000048650000}"/>
    <cellStyle name="Normal 4 3 3 2 2 3" xfId="26010" xr:uid="{00000000-0005-0000-0000-000049650000}"/>
    <cellStyle name="Normal 4 3 3 2 2 4" xfId="49272" xr:uid="{00000000-0005-0000-0000-00004A650000}"/>
    <cellStyle name="Normal 4 3 3 2 3" xfId="16575" xr:uid="{00000000-0005-0000-0000-00004B650000}"/>
    <cellStyle name="Normal 4 3 3 2 3 2" xfId="30707" xr:uid="{00000000-0005-0000-0000-00004C650000}"/>
    <cellStyle name="Normal 4 3 3 2 3 3" xfId="44602" xr:uid="{00000000-0005-0000-0000-00004D650000}"/>
    <cellStyle name="Normal 4 3 3 2 4" xfId="21388" xr:uid="{00000000-0005-0000-0000-00004E650000}"/>
    <cellStyle name="Normal 4 3 3 2 5" xfId="40020" xr:uid="{00000000-0005-0000-0000-00004F650000}"/>
    <cellStyle name="Normal 4 3 3 3" xfId="11843" xr:uid="{00000000-0005-0000-0000-000050650000}"/>
    <cellStyle name="Normal 4 3 3 3 2" xfId="35328" xr:uid="{00000000-0005-0000-0000-000051650000}"/>
    <cellStyle name="Normal 4 3 3 3 3" xfId="26009" xr:uid="{00000000-0005-0000-0000-000052650000}"/>
    <cellStyle name="Normal 4 3 3 3 4" xfId="49271" xr:uid="{00000000-0005-0000-0000-000053650000}"/>
    <cellStyle name="Normal 4 3 3 4" xfId="16574" xr:uid="{00000000-0005-0000-0000-000054650000}"/>
    <cellStyle name="Normal 4 3 3 4 2" xfId="30706" xr:uid="{00000000-0005-0000-0000-000055650000}"/>
    <cellStyle name="Normal 4 3 3 4 3" xfId="44601" xr:uid="{00000000-0005-0000-0000-000056650000}"/>
    <cellStyle name="Normal 4 3 3 5" xfId="21387" xr:uid="{00000000-0005-0000-0000-000057650000}"/>
    <cellStyle name="Normal 4 3 3 6" xfId="40019" xr:uid="{00000000-0005-0000-0000-000058650000}"/>
    <cellStyle name="Normal 4 3 30" xfId="19231" xr:uid="{00000000-0005-0000-0000-000059650000}"/>
    <cellStyle name="Normal 4 3 31" xfId="37866" xr:uid="{00000000-0005-0000-0000-00005A650000}"/>
    <cellStyle name="Normal 4 3 4" xfId="6014" xr:uid="{00000000-0005-0000-0000-00005B650000}"/>
    <cellStyle name="Normal 4 3 4 2" xfId="6015" xr:uid="{00000000-0005-0000-0000-00005C650000}"/>
    <cellStyle name="Normal 4 3 4 2 2" xfId="11846" xr:uid="{00000000-0005-0000-0000-00005D650000}"/>
    <cellStyle name="Normal 4 3 4 2 2 2" xfId="35331" xr:uid="{00000000-0005-0000-0000-00005E650000}"/>
    <cellStyle name="Normal 4 3 4 2 2 3" xfId="26012" xr:uid="{00000000-0005-0000-0000-00005F650000}"/>
    <cellStyle name="Normal 4 3 4 2 2 4" xfId="49274" xr:uid="{00000000-0005-0000-0000-000060650000}"/>
    <cellStyle name="Normal 4 3 4 2 3" xfId="16577" xr:uid="{00000000-0005-0000-0000-000061650000}"/>
    <cellStyle name="Normal 4 3 4 2 3 2" xfId="30709" xr:uid="{00000000-0005-0000-0000-000062650000}"/>
    <cellStyle name="Normal 4 3 4 2 3 3" xfId="44604" xr:uid="{00000000-0005-0000-0000-000063650000}"/>
    <cellStyle name="Normal 4 3 4 2 4" xfId="21390" xr:uid="{00000000-0005-0000-0000-000064650000}"/>
    <cellStyle name="Normal 4 3 4 2 5" xfId="40022" xr:uid="{00000000-0005-0000-0000-000065650000}"/>
    <cellStyle name="Normal 4 3 4 3" xfId="11845" xr:uid="{00000000-0005-0000-0000-000066650000}"/>
    <cellStyle name="Normal 4 3 4 3 2" xfId="35330" xr:uid="{00000000-0005-0000-0000-000067650000}"/>
    <cellStyle name="Normal 4 3 4 3 3" xfId="26011" xr:uid="{00000000-0005-0000-0000-000068650000}"/>
    <cellStyle name="Normal 4 3 4 3 4" xfId="49273" xr:uid="{00000000-0005-0000-0000-000069650000}"/>
    <cellStyle name="Normal 4 3 4 4" xfId="16576" xr:uid="{00000000-0005-0000-0000-00006A650000}"/>
    <cellStyle name="Normal 4 3 4 4 2" xfId="30708" xr:uid="{00000000-0005-0000-0000-00006B650000}"/>
    <cellStyle name="Normal 4 3 4 4 3" xfId="44603" xr:uid="{00000000-0005-0000-0000-00006C650000}"/>
    <cellStyle name="Normal 4 3 4 5" xfId="21389" xr:uid="{00000000-0005-0000-0000-00006D650000}"/>
    <cellStyle name="Normal 4 3 4 6" xfId="40021" xr:uid="{00000000-0005-0000-0000-00006E650000}"/>
    <cellStyle name="Normal 4 3 5" xfId="6016" xr:uid="{00000000-0005-0000-0000-00006F650000}"/>
    <cellStyle name="Normal 4 3 5 2" xfId="6017" xr:uid="{00000000-0005-0000-0000-000070650000}"/>
    <cellStyle name="Normal 4 3 5 2 2" xfId="11848" xr:uid="{00000000-0005-0000-0000-000071650000}"/>
    <cellStyle name="Normal 4 3 5 2 2 2" xfId="35333" xr:uid="{00000000-0005-0000-0000-000072650000}"/>
    <cellStyle name="Normal 4 3 5 2 2 3" xfId="26014" xr:uid="{00000000-0005-0000-0000-000073650000}"/>
    <cellStyle name="Normal 4 3 5 2 2 4" xfId="49276" xr:uid="{00000000-0005-0000-0000-000074650000}"/>
    <cellStyle name="Normal 4 3 5 2 3" xfId="16579" xr:uid="{00000000-0005-0000-0000-000075650000}"/>
    <cellStyle name="Normal 4 3 5 2 3 2" xfId="30711" xr:uid="{00000000-0005-0000-0000-000076650000}"/>
    <cellStyle name="Normal 4 3 5 2 3 3" xfId="44606" xr:uid="{00000000-0005-0000-0000-000077650000}"/>
    <cellStyle name="Normal 4 3 5 2 4" xfId="21392" xr:uid="{00000000-0005-0000-0000-000078650000}"/>
    <cellStyle name="Normal 4 3 5 2 5" xfId="40024" xr:uid="{00000000-0005-0000-0000-000079650000}"/>
    <cellStyle name="Normal 4 3 5 3" xfId="11847" xr:uid="{00000000-0005-0000-0000-00007A650000}"/>
    <cellStyle name="Normal 4 3 5 3 2" xfId="35332" xr:uid="{00000000-0005-0000-0000-00007B650000}"/>
    <cellStyle name="Normal 4 3 5 3 3" xfId="26013" xr:uid="{00000000-0005-0000-0000-00007C650000}"/>
    <cellStyle name="Normal 4 3 5 3 4" xfId="49275" xr:uid="{00000000-0005-0000-0000-00007D650000}"/>
    <cellStyle name="Normal 4 3 5 4" xfId="16578" xr:uid="{00000000-0005-0000-0000-00007E650000}"/>
    <cellStyle name="Normal 4 3 5 4 2" xfId="30710" xr:uid="{00000000-0005-0000-0000-00007F650000}"/>
    <cellStyle name="Normal 4 3 5 4 3" xfId="44605" xr:uid="{00000000-0005-0000-0000-000080650000}"/>
    <cellStyle name="Normal 4 3 5 5" xfId="21391" xr:uid="{00000000-0005-0000-0000-000081650000}"/>
    <cellStyle name="Normal 4 3 5 6" xfId="40023" xr:uid="{00000000-0005-0000-0000-000082650000}"/>
    <cellStyle name="Normal 4 3 6" xfId="6018" xr:uid="{00000000-0005-0000-0000-000083650000}"/>
    <cellStyle name="Normal 4 3 6 2" xfId="6019" xr:uid="{00000000-0005-0000-0000-000084650000}"/>
    <cellStyle name="Normal 4 3 6 2 2" xfId="11850" xr:uid="{00000000-0005-0000-0000-000085650000}"/>
    <cellStyle name="Normal 4 3 6 2 2 2" xfId="35335" xr:uid="{00000000-0005-0000-0000-000086650000}"/>
    <cellStyle name="Normal 4 3 6 2 2 3" xfId="26016" xr:uid="{00000000-0005-0000-0000-000087650000}"/>
    <cellStyle name="Normal 4 3 6 2 2 4" xfId="49278" xr:uid="{00000000-0005-0000-0000-000088650000}"/>
    <cellStyle name="Normal 4 3 6 2 3" xfId="16581" xr:uid="{00000000-0005-0000-0000-000089650000}"/>
    <cellStyle name="Normal 4 3 6 2 3 2" xfId="30713" xr:uid="{00000000-0005-0000-0000-00008A650000}"/>
    <cellStyle name="Normal 4 3 6 2 3 3" xfId="44608" xr:uid="{00000000-0005-0000-0000-00008B650000}"/>
    <cellStyle name="Normal 4 3 6 2 4" xfId="21394" xr:uid="{00000000-0005-0000-0000-00008C650000}"/>
    <cellStyle name="Normal 4 3 6 2 5" xfId="40026" xr:uid="{00000000-0005-0000-0000-00008D650000}"/>
    <cellStyle name="Normal 4 3 6 3" xfId="11849" xr:uid="{00000000-0005-0000-0000-00008E650000}"/>
    <cellStyle name="Normal 4 3 6 3 2" xfId="35334" xr:uid="{00000000-0005-0000-0000-00008F650000}"/>
    <cellStyle name="Normal 4 3 6 3 3" xfId="26015" xr:uid="{00000000-0005-0000-0000-000090650000}"/>
    <cellStyle name="Normal 4 3 6 3 4" xfId="49277" xr:uid="{00000000-0005-0000-0000-000091650000}"/>
    <cellStyle name="Normal 4 3 6 4" xfId="16580" xr:uid="{00000000-0005-0000-0000-000092650000}"/>
    <cellStyle name="Normal 4 3 6 4 2" xfId="30712" xr:uid="{00000000-0005-0000-0000-000093650000}"/>
    <cellStyle name="Normal 4 3 6 4 3" xfId="44607" xr:uid="{00000000-0005-0000-0000-000094650000}"/>
    <cellStyle name="Normal 4 3 6 5" xfId="21393" xr:uid="{00000000-0005-0000-0000-000095650000}"/>
    <cellStyle name="Normal 4 3 6 6" xfId="40025" xr:uid="{00000000-0005-0000-0000-000096650000}"/>
    <cellStyle name="Normal 4 3 7" xfId="6020" xr:uid="{00000000-0005-0000-0000-000097650000}"/>
    <cellStyle name="Normal 4 3 7 2" xfId="6021" xr:uid="{00000000-0005-0000-0000-000098650000}"/>
    <cellStyle name="Normal 4 3 7 2 2" xfId="11852" xr:uid="{00000000-0005-0000-0000-000099650000}"/>
    <cellStyle name="Normal 4 3 7 2 2 2" xfId="35337" xr:uid="{00000000-0005-0000-0000-00009A650000}"/>
    <cellStyle name="Normal 4 3 7 2 2 3" xfId="26018" xr:uid="{00000000-0005-0000-0000-00009B650000}"/>
    <cellStyle name="Normal 4 3 7 2 2 4" xfId="49280" xr:uid="{00000000-0005-0000-0000-00009C650000}"/>
    <cellStyle name="Normal 4 3 7 2 3" xfId="16583" xr:uid="{00000000-0005-0000-0000-00009D650000}"/>
    <cellStyle name="Normal 4 3 7 2 3 2" xfId="30715" xr:uid="{00000000-0005-0000-0000-00009E650000}"/>
    <cellStyle name="Normal 4 3 7 2 3 3" xfId="44610" xr:uid="{00000000-0005-0000-0000-00009F650000}"/>
    <cellStyle name="Normal 4 3 7 2 4" xfId="21396" xr:uid="{00000000-0005-0000-0000-0000A0650000}"/>
    <cellStyle name="Normal 4 3 7 2 5" xfId="40028" xr:uid="{00000000-0005-0000-0000-0000A1650000}"/>
    <cellStyle name="Normal 4 3 7 3" xfId="11851" xr:uid="{00000000-0005-0000-0000-0000A2650000}"/>
    <cellStyle name="Normal 4 3 7 3 2" xfId="35336" xr:uid="{00000000-0005-0000-0000-0000A3650000}"/>
    <cellStyle name="Normal 4 3 7 3 3" xfId="26017" xr:uid="{00000000-0005-0000-0000-0000A4650000}"/>
    <cellStyle name="Normal 4 3 7 3 4" xfId="49279" xr:uid="{00000000-0005-0000-0000-0000A5650000}"/>
    <cellStyle name="Normal 4 3 7 4" xfId="16582" xr:uid="{00000000-0005-0000-0000-0000A6650000}"/>
    <cellStyle name="Normal 4 3 7 4 2" xfId="30714" xr:uid="{00000000-0005-0000-0000-0000A7650000}"/>
    <cellStyle name="Normal 4 3 7 4 3" xfId="44609" xr:uid="{00000000-0005-0000-0000-0000A8650000}"/>
    <cellStyle name="Normal 4 3 7 5" xfId="21395" xr:uid="{00000000-0005-0000-0000-0000A9650000}"/>
    <cellStyle name="Normal 4 3 7 6" xfId="40027" xr:uid="{00000000-0005-0000-0000-0000AA650000}"/>
    <cellStyle name="Normal 4 3 8" xfId="6022" xr:uid="{00000000-0005-0000-0000-0000AB650000}"/>
    <cellStyle name="Normal 4 3 8 2" xfId="6023" xr:uid="{00000000-0005-0000-0000-0000AC650000}"/>
    <cellStyle name="Normal 4 3 8 2 2" xfId="11854" xr:uid="{00000000-0005-0000-0000-0000AD650000}"/>
    <cellStyle name="Normal 4 3 8 2 2 2" xfId="35339" xr:uid="{00000000-0005-0000-0000-0000AE650000}"/>
    <cellStyle name="Normal 4 3 8 2 2 3" xfId="26020" xr:uid="{00000000-0005-0000-0000-0000AF650000}"/>
    <cellStyle name="Normal 4 3 8 2 2 4" xfId="49282" xr:uid="{00000000-0005-0000-0000-0000B0650000}"/>
    <cellStyle name="Normal 4 3 8 2 3" xfId="16585" xr:uid="{00000000-0005-0000-0000-0000B1650000}"/>
    <cellStyle name="Normal 4 3 8 2 3 2" xfId="30717" xr:uid="{00000000-0005-0000-0000-0000B2650000}"/>
    <cellStyle name="Normal 4 3 8 2 3 3" xfId="44612" xr:uid="{00000000-0005-0000-0000-0000B3650000}"/>
    <cellStyle name="Normal 4 3 8 2 4" xfId="21398" xr:uid="{00000000-0005-0000-0000-0000B4650000}"/>
    <cellStyle name="Normal 4 3 8 2 5" xfId="40030" xr:uid="{00000000-0005-0000-0000-0000B5650000}"/>
    <cellStyle name="Normal 4 3 8 3" xfId="11853" xr:uid="{00000000-0005-0000-0000-0000B6650000}"/>
    <cellStyle name="Normal 4 3 8 3 2" xfId="35338" xr:uid="{00000000-0005-0000-0000-0000B7650000}"/>
    <cellStyle name="Normal 4 3 8 3 3" xfId="26019" xr:uid="{00000000-0005-0000-0000-0000B8650000}"/>
    <cellStyle name="Normal 4 3 8 3 4" xfId="49281" xr:uid="{00000000-0005-0000-0000-0000B9650000}"/>
    <cellStyle name="Normal 4 3 8 4" xfId="16584" xr:uid="{00000000-0005-0000-0000-0000BA650000}"/>
    <cellStyle name="Normal 4 3 8 4 2" xfId="30716" xr:uid="{00000000-0005-0000-0000-0000BB650000}"/>
    <cellStyle name="Normal 4 3 8 4 3" xfId="44611" xr:uid="{00000000-0005-0000-0000-0000BC650000}"/>
    <cellStyle name="Normal 4 3 8 5" xfId="21397" xr:uid="{00000000-0005-0000-0000-0000BD650000}"/>
    <cellStyle name="Normal 4 3 8 6" xfId="40029" xr:uid="{00000000-0005-0000-0000-0000BE650000}"/>
    <cellStyle name="Normal 4 3 9" xfId="6024" xr:uid="{00000000-0005-0000-0000-0000BF650000}"/>
    <cellStyle name="Normal 4 3 9 2" xfId="6025" xr:uid="{00000000-0005-0000-0000-0000C0650000}"/>
    <cellStyle name="Normal 4 3 9 2 2" xfId="11856" xr:uid="{00000000-0005-0000-0000-0000C1650000}"/>
    <cellStyle name="Normal 4 3 9 2 2 2" xfId="35341" xr:uid="{00000000-0005-0000-0000-0000C2650000}"/>
    <cellStyle name="Normal 4 3 9 2 2 3" xfId="26022" xr:uid="{00000000-0005-0000-0000-0000C3650000}"/>
    <cellStyle name="Normal 4 3 9 2 2 4" xfId="49284" xr:uid="{00000000-0005-0000-0000-0000C4650000}"/>
    <cellStyle name="Normal 4 3 9 2 3" xfId="16587" xr:uid="{00000000-0005-0000-0000-0000C5650000}"/>
    <cellStyle name="Normal 4 3 9 2 3 2" xfId="30719" xr:uid="{00000000-0005-0000-0000-0000C6650000}"/>
    <cellStyle name="Normal 4 3 9 2 3 3" xfId="44614" xr:uid="{00000000-0005-0000-0000-0000C7650000}"/>
    <cellStyle name="Normal 4 3 9 2 4" xfId="21400" xr:uid="{00000000-0005-0000-0000-0000C8650000}"/>
    <cellStyle name="Normal 4 3 9 2 5" xfId="40032" xr:uid="{00000000-0005-0000-0000-0000C9650000}"/>
    <cellStyle name="Normal 4 3 9 3" xfId="11855" xr:uid="{00000000-0005-0000-0000-0000CA650000}"/>
    <cellStyle name="Normal 4 3 9 3 2" xfId="35340" xr:uid="{00000000-0005-0000-0000-0000CB650000}"/>
    <cellStyle name="Normal 4 3 9 3 3" xfId="26021" xr:uid="{00000000-0005-0000-0000-0000CC650000}"/>
    <cellStyle name="Normal 4 3 9 3 4" xfId="49283" xr:uid="{00000000-0005-0000-0000-0000CD650000}"/>
    <cellStyle name="Normal 4 3 9 4" xfId="16586" xr:uid="{00000000-0005-0000-0000-0000CE650000}"/>
    <cellStyle name="Normal 4 3 9 4 2" xfId="30718" xr:uid="{00000000-0005-0000-0000-0000CF650000}"/>
    <cellStyle name="Normal 4 3 9 4 3" xfId="44613" xr:uid="{00000000-0005-0000-0000-0000D0650000}"/>
    <cellStyle name="Normal 4 3 9 5" xfId="21399" xr:uid="{00000000-0005-0000-0000-0000D1650000}"/>
    <cellStyle name="Normal 4 3 9 6" xfId="40031" xr:uid="{00000000-0005-0000-0000-0000D2650000}"/>
    <cellStyle name="Normal 4 30" xfId="6026" xr:uid="{00000000-0005-0000-0000-0000D3650000}"/>
    <cellStyle name="Normal 4 30 2" xfId="6027" xr:uid="{00000000-0005-0000-0000-0000D4650000}"/>
    <cellStyle name="Normal 4 30 2 2" xfId="11858" xr:uid="{00000000-0005-0000-0000-0000D5650000}"/>
    <cellStyle name="Normal 4 30 2 2 2" xfId="35343" xr:uid="{00000000-0005-0000-0000-0000D6650000}"/>
    <cellStyle name="Normal 4 30 2 2 3" xfId="26024" xr:uid="{00000000-0005-0000-0000-0000D7650000}"/>
    <cellStyle name="Normal 4 30 2 2 4" xfId="49286" xr:uid="{00000000-0005-0000-0000-0000D8650000}"/>
    <cellStyle name="Normal 4 30 2 3" xfId="16589" xr:uid="{00000000-0005-0000-0000-0000D9650000}"/>
    <cellStyle name="Normal 4 30 2 3 2" xfId="30721" xr:uid="{00000000-0005-0000-0000-0000DA650000}"/>
    <cellStyle name="Normal 4 30 2 3 3" xfId="44616" xr:uid="{00000000-0005-0000-0000-0000DB650000}"/>
    <cellStyle name="Normal 4 30 2 4" xfId="21402" xr:uid="{00000000-0005-0000-0000-0000DC650000}"/>
    <cellStyle name="Normal 4 30 2 5" xfId="40034" xr:uid="{00000000-0005-0000-0000-0000DD650000}"/>
    <cellStyle name="Normal 4 30 3" xfId="11857" xr:uid="{00000000-0005-0000-0000-0000DE650000}"/>
    <cellStyle name="Normal 4 30 3 2" xfId="35342" xr:uid="{00000000-0005-0000-0000-0000DF650000}"/>
    <cellStyle name="Normal 4 30 3 3" xfId="26023" xr:uid="{00000000-0005-0000-0000-0000E0650000}"/>
    <cellStyle name="Normal 4 30 3 4" xfId="49285" xr:uid="{00000000-0005-0000-0000-0000E1650000}"/>
    <cellStyle name="Normal 4 30 4" xfId="16588" xr:uid="{00000000-0005-0000-0000-0000E2650000}"/>
    <cellStyle name="Normal 4 30 4 2" xfId="30720" xr:uid="{00000000-0005-0000-0000-0000E3650000}"/>
    <cellStyle name="Normal 4 30 4 3" xfId="44615" xr:uid="{00000000-0005-0000-0000-0000E4650000}"/>
    <cellStyle name="Normal 4 30 5" xfId="21401" xr:uid="{00000000-0005-0000-0000-0000E5650000}"/>
    <cellStyle name="Normal 4 30 6" xfId="40033" xr:uid="{00000000-0005-0000-0000-0000E6650000}"/>
    <cellStyle name="Normal 4 31" xfId="6028" xr:uid="{00000000-0005-0000-0000-0000E7650000}"/>
    <cellStyle name="Normal 4 31 2" xfId="6029" xr:uid="{00000000-0005-0000-0000-0000E8650000}"/>
    <cellStyle name="Normal 4 31 2 2" xfId="11860" xr:uid="{00000000-0005-0000-0000-0000E9650000}"/>
    <cellStyle name="Normal 4 31 2 2 2" xfId="35345" xr:uid="{00000000-0005-0000-0000-0000EA650000}"/>
    <cellStyle name="Normal 4 31 2 2 3" xfId="26026" xr:uid="{00000000-0005-0000-0000-0000EB650000}"/>
    <cellStyle name="Normal 4 31 2 2 4" xfId="49288" xr:uid="{00000000-0005-0000-0000-0000EC650000}"/>
    <cellStyle name="Normal 4 31 2 3" xfId="16591" xr:uid="{00000000-0005-0000-0000-0000ED650000}"/>
    <cellStyle name="Normal 4 31 2 3 2" xfId="30723" xr:uid="{00000000-0005-0000-0000-0000EE650000}"/>
    <cellStyle name="Normal 4 31 2 3 3" xfId="44618" xr:uid="{00000000-0005-0000-0000-0000EF650000}"/>
    <cellStyle name="Normal 4 31 2 4" xfId="21404" xr:uid="{00000000-0005-0000-0000-0000F0650000}"/>
    <cellStyle name="Normal 4 31 2 5" xfId="40036" xr:uid="{00000000-0005-0000-0000-0000F1650000}"/>
    <cellStyle name="Normal 4 31 3" xfId="11859" xr:uid="{00000000-0005-0000-0000-0000F2650000}"/>
    <cellStyle name="Normal 4 31 3 2" xfId="35344" xr:uid="{00000000-0005-0000-0000-0000F3650000}"/>
    <cellStyle name="Normal 4 31 3 3" xfId="26025" xr:uid="{00000000-0005-0000-0000-0000F4650000}"/>
    <cellStyle name="Normal 4 31 3 4" xfId="49287" xr:uid="{00000000-0005-0000-0000-0000F5650000}"/>
    <cellStyle name="Normal 4 31 4" xfId="16590" xr:uid="{00000000-0005-0000-0000-0000F6650000}"/>
    <cellStyle name="Normal 4 31 4 2" xfId="30722" xr:uid="{00000000-0005-0000-0000-0000F7650000}"/>
    <cellStyle name="Normal 4 31 4 3" xfId="44617" xr:uid="{00000000-0005-0000-0000-0000F8650000}"/>
    <cellStyle name="Normal 4 31 5" xfId="21403" xr:uid="{00000000-0005-0000-0000-0000F9650000}"/>
    <cellStyle name="Normal 4 31 6" xfId="40035" xr:uid="{00000000-0005-0000-0000-0000FA650000}"/>
    <cellStyle name="Normal 4 32" xfId="6030" xr:uid="{00000000-0005-0000-0000-0000FB650000}"/>
    <cellStyle name="Normal 4 32 2" xfId="6031" xr:uid="{00000000-0005-0000-0000-0000FC650000}"/>
    <cellStyle name="Normal 4 32 2 2" xfId="11862" xr:uid="{00000000-0005-0000-0000-0000FD650000}"/>
    <cellStyle name="Normal 4 32 2 2 2" xfId="35347" xr:uid="{00000000-0005-0000-0000-0000FE650000}"/>
    <cellStyle name="Normal 4 32 2 2 3" xfId="26028" xr:uid="{00000000-0005-0000-0000-0000FF650000}"/>
    <cellStyle name="Normal 4 32 2 2 4" xfId="49290" xr:uid="{00000000-0005-0000-0000-000000660000}"/>
    <cellStyle name="Normal 4 32 2 3" xfId="16593" xr:uid="{00000000-0005-0000-0000-000001660000}"/>
    <cellStyle name="Normal 4 32 2 3 2" xfId="30725" xr:uid="{00000000-0005-0000-0000-000002660000}"/>
    <cellStyle name="Normal 4 32 2 3 3" xfId="44620" xr:uid="{00000000-0005-0000-0000-000003660000}"/>
    <cellStyle name="Normal 4 32 2 4" xfId="21406" xr:uid="{00000000-0005-0000-0000-000004660000}"/>
    <cellStyle name="Normal 4 32 2 5" xfId="40038" xr:uid="{00000000-0005-0000-0000-000005660000}"/>
    <cellStyle name="Normal 4 32 3" xfId="11861" xr:uid="{00000000-0005-0000-0000-000006660000}"/>
    <cellStyle name="Normal 4 32 3 2" xfId="35346" xr:uid="{00000000-0005-0000-0000-000007660000}"/>
    <cellStyle name="Normal 4 32 3 3" xfId="26027" xr:uid="{00000000-0005-0000-0000-000008660000}"/>
    <cellStyle name="Normal 4 32 3 4" xfId="49289" xr:uid="{00000000-0005-0000-0000-000009660000}"/>
    <cellStyle name="Normal 4 32 4" xfId="16592" xr:uid="{00000000-0005-0000-0000-00000A660000}"/>
    <cellStyle name="Normal 4 32 4 2" xfId="30724" xr:uid="{00000000-0005-0000-0000-00000B660000}"/>
    <cellStyle name="Normal 4 32 4 3" xfId="44619" xr:uid="{00000000-0005-0000-0000-00000C660000}"/>
    <cellStyle name="Normal 4 32 5" xfId="21405" xr:uid="{00000000-0005-0000-0000-00000D660000}"/>
    <cellStyle name="Normal 4 32 6" xfId="40037" xr:uid="{00000000-0005-0000-0000-00000E660000}"/>
    <cellStyle name="Normal 4 33" xfId="6032" xr:uid="{00000000-0005-0000-0000-00000F660000}"/>
    <cellStyle name="Normal 4 33 2" xfId="6033" xr:uid="{00000000-0005-0000-0000-000010660000}"/>
    <cellStyle name="Normal 4 33 2 2" xfId="11864" xr:uid="{00000000-0005-0000-0000-000011660000}"/>
    <cellStyle name="Normal 4 33 2 2 2" xfId="35349" xr:uid="{00000000-0005-0000-0000-000012660000}"/>
    <cellStyle name="Normal 4 33 2 2 3" xfId="26030" xr:uid="{00000000-0005-0000-0000-000013660000}"/>
    <cellStyle name="Normal 4 33 2 2 4" xfId="49292" xr:uid="{00000000-0005-0000-0000-000014660000}"/>
    <cellStyle name="Normal 4 33 2 3" xfId="16595" xr:uid="{00000000-0005-0000-0000-000015660000}"/>
    <cellStyle name="Normal 4 33 2 3 2" xfId="30727" xr:uid="{00000000-0005-0000-0000-000016660000}"/>
    <cellStyle name="Normal 4 33 2 3 3" xfId="44622" xr:uid="{00000000-0005-0000-0000-000017660000}"/>
    <cellStyle name="Normal 4 33 2 4" xfId="21408" xr:uid="{00000000-0005-0000-0000-000018660000}"/>
    <cellStyle name="Normal 4 33 2 5" xfId="40040" xr:uid="{00000000-0005-0000-0000-000019660000}"/>
    <cellStyle name="Normal 4 33 3" xfId="11863" xr:uid="{00000000-0005-0000-0000-00001A660000}"/>
    <cellStyle name="Normal 4 33 3 2" xfId="35348" xr:uid="{00000000-0005-0000-0000-00001B660000}"/>
    <cellStyle name="Normal 4 33 3 3" xfId="26029" xr:uid="{00000000-0005-0000-0000-00001C660000}"/>
    <cellStyle name="Normal 4 33 3 4" xfId="49291" xr:uid="{00000000-0005-0000-0000-00001D660000}"/>
    <cellStyle name="Normal 4 33 4" xfId="16594" xr:uid="{00000000-0005-0000-0000-00001E660000}"/>
    <cellStyle name="Normal 4 33 4 2" xfId="30726" xr:uid="{00000000-0005-0000-0000-00001F660000}"/>
    <cellStyle name="Normal 4 33 4 3" xfId="44621" xr:uid="{00000000-0005-0000-0000-000020660000}"/>
    <cellStyle name="Normal 4 33 5" xfId="21407" xr:uid="{00000000-0005-0000-0000-000021660000}"/>
    <cellStyle name="Normal 4 33 6" xfId="40039" xr:uid="{00000000-0005-0000-0000-000022660000}"/>
    <cellStyle name="Normal 4 34" xfId="6034" xr:uid="{00000000-0005-0000-0000-000023660000}"/>
    <cellStyle name="Normal 4 34 2" xfId="6035" xr:uid="{00000000-0005-0000-0000-000024660000}"/>
    <cellStyle name="Normal 4 34 2 2" xfId="11866" xr:uid="{00000000-0005-0000-0000-000025660000}"/>
    <cellStyle name="Normal 4 34 2 2 2" xfId="35351" xr:uid="{00000000-0005-0000-0000-000026660000}"/>
    <cellStyle name="Normal 4 34 2 2 3" xfId="26032" xr:uid="{00000000-0005-0000-0000-000027660000}"/>
    <cellStyle name="Normal 4 34 2 2 4" xfId="49294" xr:uid="{00000000-0005-0000-0000-000028660000}"/>
    <cellStyle name="Normal 4 34 2 3" xfId="16597" xr:uid="{00000000-0005-0000-0000-000029660000}"/>
    <cellStyle name="Normal 4 34 2 3 2" xfId="30729" xr:uid="{00000000-0005-0000-0000-00002A660000}"/>
    <cellStyle name="Normal 4 34 2 3 3" xfId="44624" xr:uid="{00000000-0005-0000-0000-00002B660000}"/>
    <cellStyle name="Normal 4 34 2 4" xfId="21410" xr:uid="{00000000-0005-0000-0000-00002C660000}"/>
    <cellStyle name="Normal 4 34 2 5" xfId="40042" xr:uid="{00000000-0005-0000-0000-00002D660000}"/>
    <cellStyle name="Normal 4 34 3" xfId="11865" xr:uid="{00000000-0005-0000-0000-00002E660000}"/>
    <cellStyle name="Normal 4 34 3 2" xfId="35350" xr:uid="{00000000-0005-0000-0000-00002F660000}"/>
    <cellStyle name="Normal 4 34 3 3" xfId="26031" xr:uid="{00000000-0005-0000-0000-000030660000}"/>
    <cellStyle name="Normal 4 34 3 4" xfId="49293" xr:uid="{00000000-0005-0000-0000-000031660000}"/>
    <cellStyle name="Normal 4 34 4" xfId="16596" xr:uid="{00000000-0005-0000-0000-000032660000}"/>
    <cellStyle name="Normal 4 34 4 2" xfId="30728" xr:uid="{00000000-0005-0000-0000-000033660000}"/>
    <cellStyle name="Normal 4 34 4 3" xfId="44623" xr:uid="{00000000-0005-0000-0000-000034660000}"/>
    <cellStyle name="Normal 4 34 5" xfId="21409" xr:uid="{00000000-0005-0000-0000-000035660000}"/>
    <cellStyle name="Normal 4 34 6" xfId="40041" xr:uid="{00000000-0005-0000-0000-000036660000}"/>
    <cellStyle name="Normal 4 35" xfId="6036" xr:uid="{00000000-0005-0000-0000-000037660000}"/>
    <cellStyle name="Normal 4 35 2" xfId="6037" xr:uid="{00000000-0005-0000-0000-000038660000}"/>
    <cellStyle name="Normal 4 35 2 2" xfId="11868" xr:uid="{00000000-0005-0000-0000-000039660000}"/>
    <cellStyle name="Normal 4 35 2 2 2" xfId="35353" xr:uid="{00000000-0005-0000-0000-00003A660000}"/>
    <cellStyle name="Normal 4 35 2 2 3" xfId="26034" xr:uid="{00000000-0005-0000-0000-00003B660000}"/>
    <cellStyle name="Normal 4 35 2 2 4" xfId="49296" xr:uid="{00000000-0005-0000-0000-00003C660000}"/>
    <cellStyle name="Normal 4 35 2 3" xfId="16599" xr:uid="{00000000-0005-0000-0000-00003D660000}"/>
    <cellStyle name="Normal 4 35 2 3 2" xfId="30731" xr:uid="{00000000-0005-0000-0000-00003E660000}"/>
    <cellStyle name="Normal 4 35 2 3 3" xfId="44626" xr:uid="{00000000-0005-0000-0000-00003F660000}"/>
    <cellStyle name="Normal 4 35 2 4" xfId="21412" xr:uid="{00000000-0005-0000-0000-000040660000}"/>
    <cellStyle name="Normal 4 35 2 5" xfId="40044" xr:uid="{00000000-0005-0000-0000-000041660000}"/>
    <cellStyle name="Normal 4 35 3" xfId="11867" xr:uid="{00000000-0005-0000-0000-000042660000}"/>
    <cellStyle name="Normal 4 35 3 2" xfId="35352" xr:uid="{00000000-0005-0000-0000-000043660000}"/>
    <cellStyle name="Normal 4 35 3 3" xfId="26033" xr:uid="{00000000-0005-0000-0000-000044660000}"/>
    <cellStyle name="Normal 4 35 3 4" xfId="49295" xr:uid="{00000000-0005-0000-0000-000045660000}"/>
    <cellStyle name="Normal 4 35 4" xfId="16598" xr:uid="{00000000-0005-0000-0000-000046660000}"/>
    <cellStyle name="Normal 4 35 4 2" xfId="30730" xr:uid="{00000000-0005-0000-0000-000047660000}"/>
    <cellStyle name="Normal 4 35 4 3" xfId="44625" xr:uid="{00000000-0005-0000-0000-000048660000}"/>
    <cellStyle name="Normal 4 35 5" xfId="21411" xr:uid="{00000000-0005-0000-0000-000049660000}"/>
    <cellStyle name="Normal 4 35 6" xfId="40043" xr:uid="{00000000-0005-0000-0000-00004A660000}"/>
    <cellStyle name="Normal 4 36" xfId="6038" xr:uid="{00000000-0005-0000-0000-00004B660000}"/>
    <cellStyle name="Normal 4 36 2" xfId="6039" xr:uid="{00000000-0005-0000-0000-00004C660000}"/>
    <cellStyle name="Normal 4 36 2 2" xfId="11870" xr:uid="{00000000-0005-0000-0000-00004D660000}"/>
    <cellStyle name="Normal 4 36 2 2 2" xfId="35355" xr:uid="{00000000-0005-0000-0000-00004E660000}"/>
    <cellStyle name="Normal 4 36 2 2 3" xfId="26036" xr:uid="{00000000-0005-0000-0000-00004F660000}"/>
    <cellStyle name="Normal 4 36 2 2 4" xfId="49298" xr:uid="{00000000-0005-0000-0000-000050660000}"/>
    <cellStyle name="Normal 4 36 2 3" xfId="16601" xr:uid="{00000000-0005-0000-0000-000051660000}"/>
    <cellStyle name="Normal 4 36 2 3 2" xfId="30733" xr:uid="{00000000-0005-0000-0000-000052660000}"/>
    <cellStyle name="Normal 4 36 2 3 3" xfId="44628" xr:uid="{00000000-0005-0000-0000-000053660000}"/>
    <cellStyle name="Normal 4 36 2 4" xfId="21414" xr:uid="{00000000-0005-0000-0000-000054660000}"/>
    <cellStyle name="Normal 4 36 2 5" xfId="40046" xr:uid="{00000000-0005-0000-0000-000055660000}"/>
    <cellStyle name="Normal 4 36 3" xfId="11869" xr:uid="{00000000-0005-0000-0000-000056660000}"/>
    <cellStyle name="Normal 4 36 3 2" xfId="35354" xr:uid="{00000000-0005-0000-0000-000057660000}"/>
    <cellStyle name="Normal 4 36 3 3" xfId="26035" xr:uid="{00000000-0005-0000-0000-000058660000}"/>
    <cellStyle name="Normal 4 36 3 4" xfId="49297" xr:uid="{00000000-0005-0000-0000-000059660000}"/>
    <cellStyle name="Normal 4 36 4" xfId="16600" xr:uid="{00000000-0005-0000-0000-00005A660000}"/>
    <cellStyle name="Normal 4 36 4 2" xfId="30732" xr:uid="{00000000-0005-0000-0000-00005B660000}"/>
    <cellStyle name="Normal 4 36 4 3" xfId="44627" xr:uid="{00000000-0005-0000-0000-00005C660000}"/>
    <cellStyle name="Normal 4 36 5" xfId="21413" xr:uid="{00000000-0005-0000-0000-00005D660000}"/>
    <cellStyle name="Normal 4 36 6" xfId="40045" xr:uid="{00000000-0005-0000-0000-00005E660000}"/>
    <cellStyle name="Normal 4 37" xfId="6040" xr:uid="{00000000-0005-0000-0000-00005F660000}"/>
    <cellStyle name="Normal 4 37 2" xfId="6041" xr:uid="{00000000-0005-0000-0000-000060660000}"/>
    <cellStyle name="Normal 4 37 2 2" xfId="11872" xr:uid="{00000000-0005-0000-0000-000061660000}"/>
    <cellStyle name="Normal 4 37 2 2 2" xfId="35357" xr:uid="{00000000-0005-0000-0000-000062660000}"/>
    <cellStyle name="Normal 4 37 2 2 3" xfId="26038" xr:uid="{00000000-0005-0000-0000-000063660000}"/>
    <cellStyle name="Normal 4 37 2 2 4" xfId="49300" xr:uid="{00000000-0005-0000-0000-000064660000}"/>
    <cellStyle name="Normal 4 37 2 3" xfId="16603" xr:uid="{00000000-0005-0000-0000-000065660000}"/>
    <cellStyle name="Normal 4 37 2 3 2" xfId="30735" xr:uid="{00000000-0005-0000-0000-000066660000}"/>
    <cellStyle name="Normal 4 37 2 3 3" xfId="44630" xr:uid="{00000000-0005-0000-0000-000067660000}"/>
    <cellStyle name="Normal 4 37 2 4" xfId="21416" xr:uid="{00000000-0005-0000-0000-000068660000}"/>
    <cellStyle name="Normal 4 37 2 5" xfId="40048" xr:uid="{00000000-0005-0000-0000-000069660000}"/>
    <cellStyle name="Normal 4 37 3" xfId="11871" xr:uid="{00000000-0005-0000-0000-00006A660000}"/>
    <cellStyle name="Normal 4 37 3 2" xfId="35356" xr:uid="{00000000-0005-0000-0000-00006B660000}"/>
    <cellStyle name="Normal 4 37 3 3" xfId="26037" xr:uid="{00000000-0005-0000-0000-00006C660000}"/>
    <cellStyle name="Normal 4 37 3 4" xfId="49299" xr:uid="{00000000-0005-0000-0000-00006D660000}"/>
    <cellStyle name="Normal 4 37 4" xfId="16602" xr:uid="{00000000-0005-0000-0000-00006E660000}"/>
    <cellStyle name="Normal 4 37 4 2" xfId="30734" xr:uid="{00000000-0005-0000-0000-00006F660000}"/>
    <cellStyle name="Normal 4 37 4 3" xfId="44629" xr:uid="{00000000-0005-0000-0000-000070660000}"/>
    <cellStyle name="Normal 4 37 5" xfId="21415" xr:uid="{00000000-0005-0000-0000-000071660000}"/>
    <cellStyle name="Normal 4 37 6" xfId="40047" xr:uid="{00000000-0005-0000-0000-000072660000}"/>
    <cellStyle name="Normal 4 38" xfId="6042" xr:uid="{00000000-0005-0000-0000-000073660000}"/>
    <cellStyle name="Normal 4 38 2" xfId="6043" xr:uid="{00000000-0005-0000-0000-000074660000}"/>
    <cellStyle name="Normal 4 38 2 2" xfId="11874" xr:uid="{00000000-0005-0000-0000-000075660000}"/>
    <cellStyle name="Normal 4 38 2 2 2" xfId="35359" xr:uid="{00000000-0005-0000-0000-000076660000}"/>
    <cellStyle name="Normal 4 38 2 2 3" xfId="26040" xr:uid="{00000000-0005-0000-0000-000077660000}"/>
    <cellStyle name="Normal 4 38 2 2 4" xfId="49302" xr:uid="{00000000-0005-0000-0000-000078660000}"/>
    <cellStyle name="Normal 4 38 2 3" xfId="16605" xr:uid="{00000000-0005-0000-0000-000079660000}"/>
    <cellStyle name="Normal 4 38 2 3 2" xfId="30737" xr:uid="{00000000-0005-0000-0000-00007A660000}"/>
    <cellStyle name="Normal 4 38 2 3 3" xfId="44632" xr:uid="{00000000-0005-0000-0000-00007B660000}"/>
    <cellStyle name="Normal 4 38 2 4" xfId="21418" xr:uid="{00000000-0005-0000-0000-00007C660000}"/>
    <cellStyle name="Normal 4 38 2 5" xfId="40050" xr:uid="{00000000-0005-0000-0000-00007D660000}"/>
    <cellStyle name="Normal 4 38 3" xfId="11873" xr:uid="{00000000-0005-0000-0000-00007E660000}"/>
    <cellStyle name="Normal 4 38 3 2" xfId="35358" xr:uid="{00000000-0005-0000-0000-00007F660000}"/>
    <cellStyle name="Normal 4 38 3 3" xfId="26039" xr:uid="{00000000-0005-0000-0000-000080660000}"/>
    <cellStyle name="Normal 4 38 3 4" xfId="49301" xr:uid="{00000000-0005-0000-0000-000081660000}"/>
    <cellStyle name="Normal 4 38 4" xfId="16604" xr:uid="{00000000-0005-0000-0000-000082660000}"/>
    <cellStyle name="Normal 4 38 4 2" xfId="30736" xr:uid="{00000000-0005-0000-0000-000083660000}"/>
    <cellStyle name="Normal 4 38 4 3" xfId="44631" xr:uid="{00000000-0005-0000-0000-000084660000}"/>
    <cellStyle name="Normal 4 38 5" xfId="21417" xr:uid="{00000000-0005-0000-0000-000085660000}"/>
    <cellStyle name="Normal 4 38 6" xfId="40049" xr:uid="{00000000-0005-0000-0000-000086660000}"/>
    <cellStyle name="Normal 4 39" xfId="6044" xr:uid="{00000000-0005-0000-0000-000087660000}"/>
    <cellStyle name="Normal 4 39 2" xfId="6045" xr:uid="{00000000-0005-0000-0000-000088660000}"/>
    <cellStyle name="Normal 4 39 2 2" xfId="11876" xr:uid="{00000000-0005-0000-0000-000089660000}"/>
    <cellStyle name="Normal 4 39 2 2 2" xfId="35361" xr:uid="{00000000-0005-0000-0000-00008A660000}"/>
    <cellStyle name="Normal 4 39 2 2 3" xfId="26042" xr:uid="{00000000-0005-0000-0000-00008B660000}"/>
    <cellStyle name="Normal 4 39 2 2 4" xfId="49304" xr:uid="{00000000-0005-0000-0000-00008C660000}"/>
    <cellStyle name="Normal 4 39 2 3" xfId="16607" xr:uid="{00000000-0005-0000-0000-00008D660000}"/>
    <cellStyle name="Normal 4 39 2 3 2" xfId="30739" xr:uid="{00000000-0005-0000-0000-00008E660000}"/>
    <cellStyle name="Normal 4 39 2 3 3" xfId="44634" xr:uid="{00000000-0005-0000-0000-00008F660000}"/>
    <cellStyle name="Normal 4 39 2 4" xfId="21420" xr:uid="{00000000-0005-0000-0000-000090660000}"/>
    <cellStyle name="Normal 4 39 2 5" xfId="40052" xr:uid="{00000000-0005-0000-0000-000091660000}"/>
    <cellStyle name="Normal 4 39 3" xfId="11875" xr:uid="{00000000-0005-0000-0000-000092660000}"/>
    <cellStyle name="Normal 4 39 3 2" xfId="35360" xr:uid="{00000000-0005-0000-0000-000093660000}"/>
    <cellStyle name="Normal 4 39 3 3" xfId="26041" xr:uid="{00000000-0005-0000-0000-000094660000}"/>
    <cellStyle name="Normal 4 39 3 4" xfId="49303" xr:uid="{00000000-0005-0000-0000-000095660000}"/>
    <cellStyle name="Normal 4 39 4" xfId="16606" xr:uid="{00000000-0005-0000-0000-000096660000}"/>
    <cellStyle name="Normal 4 39 4 2" xfId="30738" xr:uid="{00000000-0005-0000-0000-000097660000}"/>
    <cellStyle name="Normal 4 39 4 3" xfId="44633" xr:uid="{00000000-0005-0000-0000-000098660000}"/>
    <cellStyle name="Normal 4 39 5" xfId="21419" xr:uid="{00000000-0005-0000-0000-000099660000}"/>
    <cellStyle name="Normal 4 39 6" xfId="40051" xr:uid="{00000000-0005-0000-0000-00009A660000}"/>
    <cellStyle name="Normal 4 4" xfId="6046" xr:uid="{00000000-0005-0000-0000-00009B660000}"/>
    <cellStyle name="Normal 4 4 10" xfId="6047" xr:uid="{00000000-0005-0000-0000-00009C660000}"/>
    <cellStyle name="Normal 4 4 10 2" xfId="6048" xr:uid="{00000000-0005-0000-0000-00009D660000}"/>
    <cellStyle name="Normal 4 4 10 2 2" xfId="11879" xr:uid="{00000000-0005-0000-0000-00009E660000}"/>
    <cellStyle name="Normal 4 4 10 2 2 2" xfId="35364" xr:uid="{00000000-0005-0000-0000-00009F660000}"/>
    <cellStyle name="Normal 4 4 10 2 2 3" xfId="26045" xr:uid="{00000000-0005-0000-0000-0000A0660000}"/>
    <cellStyle name="Normal 4 4 10 2 2 4" xfId="49307" xr:uid="{00000000-0005-0000-0000-0000A1660000}"/>
    <cellStyle name="Normal 4 4 10 2 3" xfId="16610" xr:uid="{00000000-0005-0000-0000-0000A2660000}"/>
    <cellStyle name="Normal 4 4 10 2 3 2" xfId="30742" xr:uid="{00000000-0005-0000-0000-0000A3660000}"/>
    <cellStyle name="Normal 4 4 10 2 3 3" xfId="44637" xr:uid="{00000000-0005-0000-0000-0000A4660000}"/>
    <cellStyle name="Normal 4 4 10 2 4" xfId="21423" xr:uid="{00000000-0005-0000-0000-0000A5660000}"/>
    <cellStyle name="Normal 4 4 10 2 5" xfId="40055" xr:uid="{00000000-0005-0000-0000-0000A6660000}"/>
    <cellStyle name="Normal 4 4 10 3" xfId="11878" xr:uid="{00000000-0005-0000-0000-0000A7660000}"/>
    <cellStyle name="Normal 4 4 10 3 2" xfId="35363" xr:uid="{00000000-0005-0000-0000-0000A8660000}"/>
    <cellStyle name="Normal 4 4 10 3 3" xfId="26044" xr:uid="{00000000-0005-0000-0000-0000A9660000}"/>
    <cellStyle name="Normal 4 4 10 3 4" xfId="49306" xr:uid="{00000000-0005-0000-0000-0000AA660000}"/>
    <cellStyle name="Normal 4 4 10 4" xfId="16609" xr:uid="{00000000-0005-0000-0000-0000AB660000}"/>
    <cellStyle name="Normal 4 4 10 4 2" xfId="30741" xr:uid="{00000000-0005-0000-0000-0000AC660000}"/>
    <cellStyle name="Normal 4 4 10 4 3" xfId="44636" xr:uid="{00000000-0005-0000-0000-0000AD660000}"/>
    <cellStyle name="Normal 4 4 10 5" xfId="21422" xr:uid="{00000000-0005-0000-0000-0000AE660000}"/>
    <cellStyle name="Normal 4 4 10 6" xfId="40054" xr:uid="{00000000-0005-0000-0000-0000AF660000}"/>
    <cellStyle name="Normal 4 4 11" xfId="6049" xr:uid="{00000000-0005-0000-0000-0000B0660000}"/>
    <cellStyle name="Normal 4 4 11 2" xfId="6050" xr:uid="{00000000-0005-0000-0000-0000B1660000}"/>
    <cellStyle name="Normal 4 4 11 2 2" xfId="11881" xr:uid="{00000000-0005-0000-0000-0000B2660000}"/>
    <cellStyle name="Normal 4 4 11 2 2 2" xfId="35366" xr:uid="{00000000-0005-0000-0000-0000B3660000}"/>
    <cellStyle name="Normal 4 4 11 2 2 3" xfId="26047" xr:uid="{00000000-0005-0000-0000-0000B4660000}"/>
    <cellStyle name="Normal 4 4 11 2 2 4" xfId="49309" xr:uid="{00000000-0005-0000-0000-0000B5660000}"/>
    <cellStyle name="Normal 4 4 11 2 3" xfId="16612" xr:uid="{00000000-0005-0000-0000-0000B6660000}"/>
    <cellStyle name="Normal 4 4 11 2 3 2" xfId="30744" xr:uid="{00000000-0005-0000-0000-0000B7660000}"/>
    <cellStyle name="Normal 4 4 11 2 3 3" xfId="44639" xr:uid="{00000000-0005-0000-0000-0000B8660000}"/>
    <cellStyle name="Normal 4 4 11 2 4" xfId="21425" xr:uid="{00000000-0005-0000-0000-0000B9660000}"/>
    <cellStyle name="Normal 4 4 11 2 5" xfId="40057" xr:uid="{00000000-0005-0000-0000-0000BA660000}"/>
    <cellStyle name="Normal 4 4 11 3" xfId="11880" xr:uid="{00000000-0005-0000-0000-0000BB660000}"/>
    <cellStyle name="Normal 4 4 11 3 2" xfId="35365" xr:uid="{00000000-0005-0000-0000-0000BC660000}"/>
    <cellStyle name="Normal 4 4 11 3 3" xfId="26046" xr:uid="{00000000-0005-0000-0000-0000BD660000}"/>
    <cellStyle name="Normal 4 4 11 3 4" xfId="49308" xr:uid="{00000000-0005-0000-0000-0000BE660000}"/>
    <cellStyle name="Normal 4 4 11 4" xfId="16611" xr:uid="{00000000-0005-0000-0000-0000BF660000}"/>
    <cellStyle name="Normal 4 4 11 4 2" xfId="30743" xr:uid="{00000000-0005-0000-0000-0000C0660000}"/>
    <cellStyle name="Normal 4 4 11 4 3" xfId="44638" xr:uid="{00000000-0005-0000-0000-0000C1660000}"/>
    <cellStyle name="Normal 4 4 11 5" xfId="21424" xr:uid="{00000000-0005-0000-0000-0000C2660000}"/>
    <cellStyle name="Normal 4 4 11 6" xfId="40056" xr:uid="{00000000-0005-0000-0000-0000C3660000}"/>
    <cellStyle name="Normal 4 4 12" xfId="6051" xr:uid="{00000000-0005-0000-0000-0000C4660000}"/>
    <cellStyle name="Normal 4 4 12 2" xfId="6052" xr:uid="{00000000-0005-0000-0000-0000C5660000}"/>
    <cellStyle name="Normal 4 4 12 2 2" xfId="11883" xr:uid="{00000000-0005-0000-0000-0000C6660000}"/>
    <cellStyle name="Normal 4 4 12 2 2 2" xfId="35368" xr:uid="{00000000-0005-0000-0000-0000C7660000}"/>
    <cellStyle name="Normal 4 4 12 2 2 3" xfId="26049" xr:uid="{00000000-0005-0000-0000-0000C8660000}"/>
    <cellStyle name="Normal 4 4 12 2 2 4" xfId="49311" xr:uid="{00000000-0005-0000-0000-0000C9660000}"/>
    <cellStyle name="Normal 4 4 12 2 3" xfId="16614" xr:uid="{00000000-0005-0000-0000-0000CA660000}"/>
    <cellStyle name="Normal 4 4 12 2 3 2" xfId="30746" xr:uid="{00000000-0005-0000-0000-0000CB660000}"/>
    <cellStyle name="Normal 4 4 12 2 3 3" xfId="44641" xr:uid="{00000000-0005-0000-0000-0000CC660000}"/>
    <cellStyle name="Normal 4 4 12 2 4" xfId="21427" xr:uid="{00000000-0005-0000-0000-0000CD660000}"/>
    <cellStyle name="Normal 4 4 12 2 5" xfId="40059" xr:uid="{00000000-0005-0000-0000-0000CE660000}"/>
    <cellStyle name="Normal 4 4 12 3" xfId="11882" xr:uid="{00000000-0005-0000-0000-0000CF660000}"/>
    <cellStyle name="Normal 4 4 12 3 2" xfId="35367" xr:uid="{00000000-0005-0000-0000-0000D0660000}"/>
    <cellStyle name="Normal 4 4 12 3 3" xfId="26048" xr:uid="{00000000-0005-0000-0000-0000D1660000}"/>
    <cellStyle name="Normal 4 4 12 3 4" xfId="49310" xr:uid="{00000000-0005-0000-0000-0000D2660000}"/>
    <cellStyle name="Normal 4 4 12 4" xfId="16613" xr:uid="{00000000-0005-0000-0000-0000D3660000}"/>
    <cellStyle name="Normal 4 4 12 4 2" xfId="30745" xr:uid="{00000000-0005-0000-0000-0000D4660000}"/>
    <cellStyle name="Normal 4 4 12 4 3" xfId="44640" xr:uid="{00000000-0005-0000-0000-0000D5660000}"/>
    <cellStyle name="Normal 4 4 12 5" xfId="21426" xr:uid="{00000000-0005-0000-0000-0000D6660000}"/>
    <cellStyle name="Normal 4 4 12 6" xfId="40058" xr:uid="{00000000-0005-0000-0000-0000D7660000}"/>
    <cellStyle name="Normal 4 4 13" xfId="6053" xr:uid="{00000000-0005-0000-0000-0000D8660000}"/>
    <cellStyle name="Normal 4 4 13 2" xfId="6054" xr:uid="{00000000-0005-0000-0000-0000D9660000}"/>
    <cellStyle name="Normal 4 4 13 2 2" xfId="11885" xr:uid="{00000000-0005-0000-0000-0000DA660000}"/>
    <cellStyle name="Normal 4 4 13 2 2 2" xfId="35370" xr:uid="{00000000-0005-0000-0000-0000DB660000}"/>
    <cellStyle name="Normal 4 4 13 2 2 3" xfId="26051" xr:uid="{00000000-0005-0000-0000-0000DC660000}"/>
    <cellStyle name="Normal 4 4 13 2 2 4" xfId="49313" xr:uid="{00000000-0005-0000-0000-0000DD660000}"/>
    <cellStyle name="Normal 4 4 13 2 3" xfId="16616" xr:uid="{00000000-0005-0000-0000-0000DE660000}"/>
    <cellStyle name="Normal 4 4 13 2 3 2" xfId="30748" xr:uid="{00000000-0005-0000-0000-0000DF660000}"/>
    <cellStyle name="Normal 4 4 13 2 3 3" xfId="44643" xr:uid="{00000000-0005-0000-0000-0000E0660000}"/>
    <cellStyle name="Normal 4 4 13 2 4" xfId="21429" xr:uid="{00000000-0005-0000-0000-0000E1660000}"/>
    <cellStyle name="Normal 4 4 13 2 5" xfId="40061" xr:uid="{00000000-0005-0000-0000-0000E2660000}"/>
    <cellStyle name="Normal 4 4 13 3" xfId="11884" xr:uid="{00000000-0005-0000-0000-0000E3660000}"/>
    <cellStyle name="Normal 4 4 13 3 2" xfId="35369" xr:uid="{00000000-0005-0000-0000-0000E4660000}"/>
    <cellStyle name="Normal 4 4 13 3 3" xfId="26050" xr:uid="{00000000-0005-0000-0000-0000E5660000}"/>
    <cellStyle name="Normal 4 4 13 3 4" xfId="49312" xr:uid="{00000000-0005-0000-0000-0000E6660000}"/>
    <cellStyle name="Normal 4 4 13 4" xfId="16615" xr:uid="{00000000-0005-0000-0000-0000E7660000}"/>
    <cellStyle name="Normal 4 4 13 4 2" xfId="30747" xr:uid="{00000000-0005-0000-0000-0000E8660000}"/>
    <cellStyle name="Normal 4 4 13 4 3" xfId="44642" xr:uid="{00000000-0005-0000-0000-0000E9660000}"/>
    <cellStyle name="Normal 4 4 13 5" xfId="21428" xr:uid="{00000000-0005-0000-0000-0000EA660000}"/>
    <cellStyle name="Normal 4 4 13 6" xfId="40060" xr:uid="{00000000-0005-0000-0000-0000EB660000}"/>
    <cellStyle name="Normal 4 4 14" xfId="6055" xr:uid="{00000000-0005-0000-0000-0000EC660000}"/>
    <cellStyle name="Normal 4 4 14 2" xfId="6056" xr:uid="{00000000-0005-0000-0000-0000ED660000}"/>
    <cellStyle name="Normal 4 4 14 2 2" xfId="11887" xr:uid="{00000000-0005-0000-0000-0000EE660000}"/>
    <cellStyle name="Normal 4 4 14 2 2 2" xfId="35372" xr:uid="{00000000-0005-0000-0000-0000EF660000}"/>
    <cellStyle name="Normal 4 4 14 2 2 3" xfId="26053" xr:uid="{00000000-0005-0000-0000-0000F0660000}"/>
    <cellStyle name="Normal 4 4 14 2 2 4" xfId="49315" xr:uid="{00000000-0005-0000-0000-0000F1660000}"/>
    <cellStyle name="Normal 4 4 14 2 3" xfId="16618" xr:uid="{00000000-0005-0000-0000-0000F2660000}"/>
    <cellStyle name="Normal 4 4 14 2 3 2" xfId="30750" xr:uid="{00000000-0005-0000-0000-0000F3660000}"/>
    <cellStyle name="Normal 4 4 14 2 3 3" xfId="44645" xr:uid="{00000000-0005-0000-0000-0000F4660000}"/>
    <cellStyle name="Normal 4 4 14 2 4" xfId="21431" xr:uid="{00000000-0005-0000-0000-0000F5660000}"/>
    <cellStyle name="Normal 4 4 14 2 5" xfId="40063" xr:uid="{00000000-0005-0000-0000-0000F6660000}"/>
    <cellStyle name="Normal 4 4 14 3" xfId="11886" xr:uid="{00000000-0005-0000-0000-0000F7660000}"/>
    <cellStyle name="Normal 4 4 14 3 2" xfId="35371" xr:uid="{00000000-0005-0000-0000-0000F8660000}"/>
    <cellStyle name="Normal 4 4 14 3 3" xfId="26052" xr:uid="{00000000-0005-0000-0000-0000F9660000}"/>
    <cellStyle name="Normal 4 4 14 3 4" xfId="49314" xr:uid="{00000000-0005-0000-0000-0000FA660000}"/>
    <cellStyle name="Normal 4 4 14 4" xfId="16617" xr:uid="{00000000-0005-0000-0000-0000FB660000}"/>
    <cellStyle name="Normal 4 4 14 4 2" xfId="30749" xr:uid="{00000000-0005-0000-0000-0000FC660000}"/>
    <cellStyle name="Normal 4 4 14 4 3" xfId="44644" xr:uid="{00000000-0005-0000-0000-0000FD660000}"/>
    <cellStyle name="Normal 4 4 14 5" xfId="21430" xr:uid="{00000000-0005-0000-0000-0000FE660000}"/>
    <cellStyle name="Normal 4 4 14 6" xfId="40062" xr:uid="{00000000-0005-0000-0000-0000FF660000}"/>
    <cellStyle name="Normal 4 4 15" xfId="6057" xr:uid="{00000000-0005-0000-0000-000000670000}"/>
    <cellStyle name="Normal 4 4 15 2" xfId="6058" xr:uid="{00000000-0005-0000-0000-000001670000}"/>
    <cellStyle name="Normal 4 4 15 2 2" xfId="11889" xr:uid="{00000000-0005-0000-0000-000002670000}"/>
    <cellStyle name="Normal 4 4 15 2 2 2" xfId="35374" xr:uid="{00000000-0005-0000-0000-000003670000}"/>
    <cellStyle name="Normal 4 4 15 2 2 3" xfId="26055" xr:uid="{00000000-0005-0000-0000-000004670000}"/>
    <cellStyle name="Normal 4 4 15 2 2 4" xfId="49317" xr:uid="{00000000-0005-0000-0000-000005670000}"/>
    <cellStyle name="Normal 4 4 15 2 3" xfId="16620" xr:uid="{00000000-0005-0000-0000-000006670000}"/>
    <cellStyle name="Normal 4 4 15 2 3 2" xfId="30752" xr:uid="{00000000-0005-0000-0000-000007670000}"/>
    <cellStyle name="Normal 4 4 15 2 3 3" xfId="44647" xr:uid="{00000000-0005-0000-0000-000008670000}"/>
    <cellStyle name="Normal 4 4 15 2 4" xfId="21433" xr:uid="{00000000-0005-0000-0000-000009670000}"/>
    <cellStyle name="Normal 4 4 15 2 5" xfId="40065" xr:uid="{00000000-0005-0000-0000-00000A670000}"/>
    <cellStyle name="Normal 4 4 15 3" xfId="11888" xr:uid="{00000000-0005-0000-0000-00000B670000}"/>
    <cellStyle name="Normal 4 4 15 3 2" xfId="35373" xr:uid="{00000000-0005-0000-0000-00000C670000}"/>
    <cellStyle name="Normal 4 4 15 3 3" xfId="26054" xr:uid="{00000000-0005-0000-0000-00000D670000}"/>
    <cellStyle name="Normal 4 4 15 3 4" xfId="49316" xr:uid="{00000000-0005-0000-0000-00000E670000}"/>
    <cellStyle name="Normal 4 4 15 4" xfId="16619" xr:uid="{00000000-0005-0000-0000-00000F670000}"/>
    <cellStyle name="Normal 4 4 15 4 2" xfId="30751" xr:uid="{00000000-0005-0000-0000-000010670000}"/>
    <cellStyle name="Normal 4 4 15 4 3" xfId="44646" xr:uid="{00000000-0005-0000-0000-000011670000}"/>
    <cellStyle name="Normal 4 4 15 5" xfId="21432" xr:uid="{00000000-0005-0000-0000-000012670000}"/>
    <cellStyle name="Normal 4 4 15 6" xfId="40064" xr:uid="{00000000-0005-0000-0000-000013670000}"/>
    <cellStyle name="Normal 4 4 16" xfId="6059" xr:uid="{00000000-0005-0000-0000-000014670000}"/>
    <cellStyle name="Normal 4 4 16 2" xfId="6060" xr:uid="{00000000-0005-0000-0000-000015670000}"/>
    <cellStyle name="Normal 4 4 16 2 2" xfId="11891" xr:uid="{00000000-0005-0000-0000-000016670000}"/>
    <cellStyle name="Normal 4 4 16 2 2 2" xfId="35376" xr:uid="{00000000-0005-0000-0000-000017670000}"/>
    <cellStyle name="Normal 4 4 16 2 2 3" xfId="26057" xr:uid="{00000000-0005-0000-0000-000018670000}"/>
    <cellStyle name="Normal 4 4 16 2 2 4" xfId="49319" xr:uid="{00000000-0005-0000-0000-000019670000}"/>
    <cellStyle name="Normal 4 4 16 2 3" xfId="16622" xr:uid="{00000000-0005-0000-0000-00001A670000}"/>
    <cellStyle name="Normal 4 4 16 2 3 2" xfId="30754" xr:uid="{00000000-0005-0000-0000-00001B670000}"/>
    <cellStyle name="Normal 4 4 16 2 3 3" xfId="44649" xr:uid="{00000000-0005-0000-0000-00001C670000}"/>
    <cellStyle name="Normal 4 4 16 2 4" xfId="21435" xr:uid="{00000000-0005-0000-0000-00001D670000}"/>
    <cellStyle name="Normal 4 4 16 2 5" xfId="40067" xr:uid="{00000000-0005-0000-0000-00001E670000}"/>
    <cellStyle name="Normal 4 4 16 3" xfId="11890" xr:uid="{00000000-0005-0000-0000-00001F670000}"/>
    <cellStyle name="Normal 4 4 16 3 2" xfId="35375" xr:uid="{00000000-0005-0000-0000-000020670000}"/>
    <cellStyle name="Normal 4 4 16 3 3" xfId="26056" xr:uid="{00000000-0005-0000-0000-000021670000}"/>
    <cellStyle name="Normal 4 4 16 3 4" xfId="49318" xr:uid="{00000000-0005-0000-0000-000022670000}"/>
    <cellStyle name="Normal 4 4 16 4" xfId="16621" xr:uid="{00000000-0005-0000-0000-000023670000}"/>
    <cellStyle name="Normal 4 4 16 4 2" xfId="30753" xr:uid="{00000000-0005-0000-0000-000024670000}"/>
    <cellStyle name="Normal 4 4 16 4 3" xfId="44648" xr:uid="{00000000-0005-0000-0000-000025670000}"/>
    <cellStyle name="Normal 4 4 16 5" xfId="21434" xr:uid="{00000000-0005-0000-0000-000026670000}"/>
    <cellStyle name="Normal 4 4 16 6" xfId="40066" xr:uid="{00000000-0005-0000-0000-000027670000}"/>
    <cellStyle name="Normal 4 4 17" xfId="6061" xr:uid="{00000000-0005-0000-0000-000028670000}"/>
    <cellStyle name="Normal 4 4 17 2" xfId="6062" xr:uid="{00000000-0005-0000-0000-000029670000}"/>
    <cellStyle name="Normal 4 4 17 2 2" xfId="11893" xr:uid="{00000000-0005-0000-0000-00002A670000}"/>
    <cellStyle name="Normal 4 4 17 2 2 2" xfId="35378" xr:uid="{00000000-0005-0000-0000-00002B670000}"/>
    <cellStyle name="Normal 4 4 17 2 2 3" xfId="26059" xr:uid="{00000000-0005-0000-0000-00002C670000}"/>
    <cellStyle name="Normal 4 4 17 2 2 4" xfId="49321" xr:uid="{00000000-0005-0000-0000-00002D670000}"/>
    <cellStyle name="Normal 4 4 17 2 3" xfId="16624" xr:uid="{00000000-0005-0000-0000-00002E670000}"/>
    <cellStyle name="Normal 4 4 17 2 3 2" xfId="30756" xr:uid="{00000000-0005-0000-0000-00002F670000}"/>
    <cellStyle name="Normal 4 4 17 2 3 3" xfId="44651" xr:uid="{00000000-0005-0000-0000-000030670000}"/>
    <cellStyle name="Normal 4 4 17 2 4" xfId="21437" xr:uid="{00000000-0005-0000-0000-000031670000}"/>
    <cellStyle name="Normal 4 4 17 2 5" xfId="40069" xr:uid="{00000000-0005-0000-0000-000032670000}"/>
    <cellStyle name="Normal 4 4 17 3" xfId="11892" xr:uid="{00000000-0005-0000-0000-000033670000}"/>
    <cellStyle name="Normal 4 4 17 3 2" xfId="35377" xr:uid="{00000000-0005-0000-0000-000034670000}"/>
    <cellStyle name="Normal 4 4 17 3 3" xfId="26058" xr:uid="{00000000-0005-0000-0000-000035670000}"/>
    <cellStyle name="Normal 4 4 17 3 4" xfId="49320" xr:uid="{00000000-0005-0000-0000-000036670000}"/>
    <cellStyle name="Normal 4 4 17 4" xfId="16623" xr:uid="{00000000-0005-0000-0000-000037670000}"/>
    <cellStyle name="Normal 4 4 17 4 2" xfId="30755" xr:uid="{00000000-0005-0000-0000-000038670000}"/>
    <cellStyle name="Normal 4 4 17 4 3" xfId="44650" xr:uid="{00000000-0005-0000-0000-000039670000}"/>
    <cellStyle name="Normal 4 4 17 5" xfId="21436" xr:uid="{00000000-0005-0000-0000-00003A670000}"/>
    <cellStyle name="Normal 4 4 17 6" xfId="40068" xr:uid="{00000000-0005-0000-0000-00003B670000}"/>
    <cellStyle name="Normal 4 4 18" xfId="6063" xr:uid="{00000000-0005-0000-0000-00003C670000}"/>
    <cellStyle name="Normal 4 4 18 2" xfId="6064" xr:uid="{00000000-0005-0000-0000-00003D670000}"/>
    <cellStyle name="Normal 4 4 18 2 2" xfId="11895" xr:uid="{00000000-0005-0000-0000-00003E670000}"/>
    <cellStyle name="Normal 4 4 18 2 2 2" xfId="35380" xr:uid="{00000000-0005-0000-0000-00003F670000}"/>
    <cellStyle name="Normal 4 4 18 2 2 3" xfId="26061" xr:uid="{00000000-0005-0000-0000-000040670000}"/>
    <cellStyle name="Normal 4 4 18 2 2 4" xfId="49323" xr:uid="{00000000-0005-0000-0000-000041670000}"/>
    <cellStyle name="Normal 4 4 18 2 3" xfId="16626" xr:uid="{00000000-0005-0000-0000-000042670000}"/>
    <cellStyle name="Normal 4 4 18 2 3 2" xfId="30758" xr:uid="{00000000-0005-0000-0000-000043670000}"/>
    <cellStyle name="Normal 4 4 18 2 3 3" xfId="44653" xr:uid="{00000000-0005-0000-0000-000044670000}"/>
    <cellStyle name="Normal 4 4 18 2 4" xfId="21439" xr:uid="{00000000-0005-0000-0000-000045670000}"/>
    <cellStyle name="Normal 4 4 18 2 5" xfId="40071" xr:uid="{00000000-0005-0000-0000-000046670000}"/>
    <cellStyle name="Normal 4 4 18 3" xfId="11894" xr:uid="{00000000-0005-0000-0000-000047670000}"/>
    <cellStyle name="Normal 4 4 18 3 2" xfId="35379" xr:uid="{00000000-0005-0000-0000-000048670000}"/>
    <cellStyle name="Normal 4 4 18 3 3" xfId="26060" xr:uid="{00000000-0005-0000-0000-000049670000}"/>
    <cellStyle name="Normal 4 4 18 3 4" xfId="49322" xr:uid="{00000000-0005-0000-0000-00004A670000}"/>
    <cellStyle name="Normal 4 4 18 4" xfId="16625" xr:uid="{00000000-0005-0000-0000-00004B670000}"/>
    <cellStyle name="Normal 4 4 18 4 2" xfId="30757" xr:uid="{00000000-0005-0000-0000-00004C670000}"/>
    <cellStyle name="Normal 4 4 18 4 3" xfId="44652" xr:uid="{00000000-0005-0000-0000-00004D670000}"/>
    <cellStyle name="Normal 4 4 18 5" xfId="21438" xr:uid="{00000000-0005-0000-0000-00004E670000}"/>
    <cellStyle name="Normal 4 4 18 6" xfId="40070" xr:uid="{00000000-0005-0000-0000-00004F670000}"/>
    <cellStyle name="Normal 4 4 19" xfId="6065" xr:uid="{00000000-0005-0000-0000-000050670000}"/>
    <cellStyle name="Normal 4 4 19 2" xfId="6066" xr:uid="{00000000-0005-0000-0000-000051670000}"/>
    <cellStyle name="Normal 4 4 19 2 2" xfId="11897" xr:uid="{00000000-0005-0000-0000-000052670000}"/>
    <cellStyle name="Normal 4 4 19 2 2 2" xfId="35382" xr:uid="{00000000-0005-0000-0000-000053670000}"/>
    <cellStyle name="Normal 4 4 19 2 2 3" xfId="26063" xr:uid="{00000000-0005-0000-0000-000054670000}"/>
    <cellStyle name="Normal 4 4 19 2 2 4" xfId="49325" xr:uid="{00000000-0005-0000-0000-000055670000}"/>
    <cellStyle name="Normal 4 4 19 2 3" xfId="16628" xr:uid="{00000000-0005-0000-0000-000056670000}"/>
    <cellStyle name="Normal 4 4 19 2 3 2" xfId="30760" xr:uid="{00000000-0005-0000-0000-000057670000}"/>
    <cellStyle name="Normal 4 4 19 2 3 3" xfId="44655" xr:uid="{00000000-0005-0000-0000-000058670000}"/>
    <cellStyle name="Normal 4 4 19 2 4" xfId="21441" xr:uid="{00000000-0005-0000-0000-000059670000}"/>
    <cellStyle name="Normal 4 4 19 2 5" xfId="40073" xr:uid="{00000000-0005-0000-0000-00005A670000}"/>
    <cellStyle name="Normal 4 4 19 3" xfId="11896" xr:uid="{00000000-0005-0000-0000-00005B670000}"/>
    <cellStyle name="Normal 4 4 19 3 2" xfId="35381" xr:uid="{00000000-0005-0000-0000-00005C670000}"/>
    <cellStyle name="Normal 4 4 19 3 3" xfId="26062" xr:uid="{00000000-0005-0000-0000-00005D670000}"/>
    <cellStyle name="Normal 4 4 19 3 4" xfId="49324" xr:uid="{00000000-0005-0000-0000-00005E670000}"/>
    <cellStyle name="Normal 4 4 19 4" xfId="16627" xr:uid="{00000000-0005-0000-0000-00005F670000}"/>
    <cellStyle name="Normal 4 4 19 4 2" xfId="30759" xr:uid="{00000000-0005-0000-0000-000060670000}"/>
    <cellStyle name="Normal 4 4 19 4 3" xfId="44654" xr:uid="{00000000-0005-0000-0000-000061670000}"/>
    <cellStyle name="Normal 4 4 19 5" xfId="21440" xr:uid="{00000000-0005-0000-0000-000062670000}"/>
    <cellStyle name="Normal 4 4 19 6" xfId="40072" xr:uid="{00000000-0005-0000-0000-000063670000}"/>
    <cellStyle name="Normal 4 4 2" xfId="6067" xr:uid="{00000000-0005-0000-0000-000064670000}"/>
    <cellStyle name="Normal 4 4 2 2" xfId="6068" xr:uid="{00000000-0005-0000-0000-000065670000}"/>
    <cellStyle name="Normal 4 4 2 2 2" xfId="11899" xr:uid="{00000000-0005-0000-0000-000066670000}"/>
    <cellStyle name="Normal 4 4 2 2 2 2" xfId="35384" xr:uid="{00000000-0005-0000-0000-000067670000}"/>
    <cellStyle name="Normal 4 4 2 2 2 3" xfId="26065" xr:uid="{00000000-0005-0000-0000-000068670000}"/>
    <cellStyle name="Normal 4 4 2 2 2 4" xfId="49327" xr:uid="{00000000-0005-0000-0000-000069670000}"/>
    <cellStyle name="Normal 4 4 2 2 3" xfId="16630" xr:uid="{00000000-0005-0000-0000-00006A670000}"/>
    <cellStyle name="Normal 4 4 2 2 3 2" xfId="30762" xr:uid="{00000000-0005-0000-0000-00006B670000}"/>
    <cellStyle name="Normal 4 4 2 2 3 3" xfId="44657" xr:uid="{00000000-0005-0000-0000-00006C670000}"/>
    <cellStyle name="Normal 4 4 2 2 4" xfId="21443" xr:uid="{00000000-0005-0000-0000-00006D670000}"/>
    <cellStyle name="Normal 4 4 2 2 5" xfId="40075" xr:uid="{00000000-0005-0000-0000-00006E670000}"/>
    <cellStyle name="Normal 4 4 2 3" xfId="11898" xr:uid="{00000000-0005-0000-0000-00006F670000}"/>
    <cellStyle name="Normal 4 4 2 3 2" xfId="35383" xr:uid="{00000000-0005-0000-0000-000070670000}"/>
    <cellStyle name="Normal 4 4 2 3 3" xfId="26064" xr:uid="{00000000-0005-0000-0000-000071670000}"/>
    <cellStyle name="Normal 4 4 2 3 4" xfId="49326" xr:uid="{00000000-0005-0000-0000-000072670000}"/>
    <cellStyle name="Normal 4 4 2 4" xfId="16629" xr:uid="{00000000-0005-0000-0000-000073670000}"/>
    <cellStyle name="Normal 4 4 2 4 2" xfId="30761" xr:uid="{00000000-0005-0000-0000-000074670000}"/>
    <cellStyle name="Normal 4 4 2 4 3" xfId="44656" xr:uid="{00000000-0005-0000-0000-000075670000}"/>
    <cellStyle name="Normal 4 4 2 5" xfId="21442" xr:uid="{00000000-0005-0000-0000-000076670000}"/>
    <cellStyle name="Normal 4 4 2 6" xfId="40074" xr:uid="{00000000-0005-0000-0000-000077670000}"/>
    <cellStyle name="Normal 4 4 20" xfId="6069" xr:uid="{00000000-0005-0000-0000-000078670000}"/>
    <cellStyle name="Normal 4 4 20 2" xfId="6070" xr:uid="{00000000-0005-0000-0000-000079670000}"/>
    <cellStyle name="Normal 4 4 20 2 2" xfId="11901" xr:uid="{00000000-0005-0000-0000-00007A670000}"/>
    <cellStyle name="Normal 4 4 20 2 2 2" xfId="35386" xr:uid="{00000000-0005-0000-0000-00007B670000}"/>
    <cellStyle name="Normal 4 4 20 2 2 3" xfId="26067" xr:uid="{00000000-0005-0000-0000-00007C670000}"/>
    <cellStyle name="Normal 4 4 20 2 2 4" xfId="49329" xr:uid="{00000000-0005-0000-0000-00007D670000}"/>
    <cellStyle name="Normal 4 4 20 2 3" xfId="16632" xr:uid="{00000000-0005-0000-0000-00007E670000}"/>
    <cellStyle name="Normal 4 4 20 2 3 2" xfId="30764" xr:uid="{00000000-0005-0000-0000-00007F670000}"/>
    <cellStyle name="Normal 4 4 20 2 3 3" xfId="44659" xr:uid="{00000000-0005-0000-0000-000080670000}"/>
    <cellStyle name="Normal 4 4 20 2 4" xfId="21445" xr:uid="{00000000-0005-0000-0000-000081670000}"/>
    <cellStyle name="Normal 4 4 20 2 5" xfId="40077" xr:uid="{00000000-0005-0000-0000-000082670000}"/>
    <cellStyle name="Normal 4 4 20 3" xfId="11900" xr:uid="{00000000-0005-0000-0000-000083670000}"/>
    <cellStyle name="Normal 4 4 20 3 2" xfId="35385" xr:uid="{00000000-0005-0000-0000-000084670000}"/>
    <cellStyle name="Normal 4 4 20 3 3" xfId="26066" xr:uid="{00000000-0005-0000-0000-000085670000}"/>
    <cellStyle name="Normal 4 4 20 3 4" xfId="49328" xr:uid="{00000000-0005-0000-0000-000086670000}"/>
    <cellStyle name="Normal 4 4 20 4" xfId="16631" xr:uid="{00000000-0005-0000-0000-000087670000}"/>
    <cellStyle name="Normal 4 4 20 4 2" xfId="30763" xr:uid="{00000000-0005-0000-0000-000088670000}"/>
    <cellStyle name="Normal 4 4 20 4 3" xfId="44658" xr:uid="{00000000-0005-0000-0000-000089670000}"/>
    <cellStyle name="Normal 4 4 20 5" xfId="21444" xr:uid="{00000000-0005-0000-0000-00008A670000}"/>
    <cellStyle name="Normal 4 4 20 6" xfId="40076" xr:uid="{00000000-0005-0000-0000-00008B670000}"/>
    <cellStyle name="Normal 4 4 21" xfId="6071" xr:uid="{00000000-0005-0000-0000-00008C670000}"/>
    <cellStyle name="Normal 4 4 21 2" xfId="6072" xr:uid="{00000000-0005-0000-0000-00008D670000}"/>
    <cellStyle name="Normal 4 4 21 2 2" xfId="11903" xr:uid="{00000000-0005-0000-0000-00008E670000}"/>
    <cellStyle name="Normal 4 4 21 2 2 2" xfId="35388" xr:uid="{00000000-0005-0000-0000-00008F670000}"/>
    <cellStyle name="Normal 4 4 21 2 2 3" xfId="26069" xr:uid="{00000000-0005-0000-0000-000090670000}"/>
    <cellStyle name="Normal 4 4 21 2 2 4" xfId="49331" xr:uid="{00000000-0005-0000-0000-000091670000}"/>
    <cellStyle name="Normal 4 4 21 2 3" xfId="16634" xr:uid="{00000000-0005-0000-0000-000092670000}"/>
    <cellStyle name="Normal 4 4 21 2 3 2" xfId="30766" xr:uid="{00000000-0005-0000-0000-000093670000}"/>
    <cellStyle name="Normal 4 4 21 2 3 3" xfId="44661" xr:uid="{00000000-0005-0000-0000-000094670000}"/>
    <cellStyle name="Normal 4 4 21 2 4" xfId="21447" xr:uid="{00000000-0005-0000-0000-000095670000}"/>
    <cellStyle name="Normal 4 4 21 2 5" xfId="40079" xr:uid="{00000000-0005-0000-0000-000096670000}"/>
    <cellStyle name="Normal 4 4 21 3" xfId="11902" xr:uid="{00000000-0005-0000-0000-000097670000}"/>
    <cellStyle name="Normal 4 4 21 3 2" xfId="35387" xr:uid="{00000000-0005-0000-0000-000098670000}"/>
    <cellStyle name="Normal 4 4 21 3 3" xfId="26068" xr:uid="{00000000-0005-0000-0000-000099670000}"/>
    <cellStyle name="Normal 4 4 21 3 4" xfId="49330" xr:uid="{00000000-0005-0000-0000-00009A670000}"/>
    <cellStyle name="Normal 4 4 21 4" xfId="16633" xr:uid="{00000000-0005-0000-0000-00009B670000}"/>
    <cellStyle name="Normal 4 4 21 4 2" xfId="30765" xr:uid="{00000000-0005-0000-0000-00009C670000}"/>
    <cellStyle name="Normal 4 4 21 4 3" xfId="44660" xr:uid="{00000000-0005-0000-0000-00009D670000}"/>
    <cellStyle name="Normal 4 4 21 5" xfId="21446" xr:uid="{00000000-0005-0000-0000-00009E670000}"/>
    <cellStyle name="Normal 4 4 21 6" xfId="40078" xr:uid="{00000000-0005-0000-0000-00009F670000}"/>
    <cellStyle name="Normal 4 4 22" xfId="6073" xr:uid="{00000000-0005-0000-0000-0000A0670000}"/>
    <cellStyle name="Normal 4 4 22 2" xfId="6074" xr:uid="{00000000-0005-0000-0000-0000A1670000}"/>
    <cellStyle name="Normal 4 4 22 2 2" xfId="11905" xr:uid="{00000000-0005-0000-0000-0000A2670000}"/>
    <cellStyle name="Normal 4 4 22 2 2 2" xfId="35390" xr:uid="{00000000-0005-0000-0000-0000A3670000}"/>
    <cellStyle name="Normal 4 4 22 2 2 3" xfId="26071" xr:uid="{00000000-0005-0000-0000-0000A4670000}"/>
    <cellStyle name="Normal 4 4 22 2 2 4" xfId="49333" xr:uid="{00000000-0005-0000-0000-0000A5670000}"/>
    <cellStyle name="Normal 4 4 22 2 3" xfId="16636" xr:uid="{00000000-0005-0000-0000-0000A6670000}"/>
    <cellStyle name="Normal 4 4 22 2 3 2" xfId="30768" xr:uid="{00000000-0005-0000-0000-0000A7670000}"/>
    <cellStyle name="Normal 4 4 22 2 3 3" xfId="44663" xr:uid="{00000000-0005-0000-0000-0000A8670000}"/>
    <cellStyle name="Normal 4 4 22 2 4" xfId="21449" xr:uid="{00000000-0005-0000-0000-0000A9670000}"/>
    <cellStyle name="Normal 4 4 22 2 5" xfId="40081" xr:uid="{00000000-0005-0000-0000-0000AA670000}"/>
    <cellStyle name="Normal 4 4 22 3" xfId="11904" xr:uid="{00000000-0005-0000-0000-0000AB670000}"/>
    <cellStyle name="Normal 4 4 22 3 2" xfId="35389" xr:uid="{00000000-0005-0000-0000-0000AC670000}"/>
    <cellStyle name="Normal 4 4 22 3 3" xfId="26070" xr:uid="{00000000-0005-0000-0000-0000AD670000}"/>
    <cellStyle name="Normal 4 4 22 3 4" xfId="49332" xr:uid="{00000000-0005-0000-0000-0000AE670000}"/>
    <cellStyle name="Normal 4 4 22 4" xfId="16635" xr:uid="{00000000-0005-0000-0000-0000AF670000}"/>
    <cellStyle name="Normal 4 4 22 4 2" xfId="30767" xr:uid="{00000000-0005-0000-0000-0000B0670000}"/>
    <cellStyle name="Normal 4 4 22 4 3" xfId="44662" xr:uid="{00000000-0005-0000-0000-0000B1670000}"/>
    <cellStyle name="Normal 4 4 22 5" xfId="21448" xr:uid="{00000000-0005-0000-0000-0000B2670000}"/>
    <cellStyle name="Normal 4 4 22 6" xfId="40080" xr:uid="{00000000-0005-0000-0000-0000B3670000}"/>
    <cellStyle name="Normal 4 4 23" xfId="6075" xr:uid="{00000000-0005-0000-0000-0000B4670000}"/>
    <cellStyle name="Normal 4 4 23 2" xfId="6076" xr:uid="{00000000-0005-0000-0000-0000B5670000}"/>
    <cellStyle name="Normal 4 4 23 2 2" xfId="11907" xr:uid="{00000000-0005-0000-0000-0000B6670000}"/>
    <cellStyle name="Normal 4 4 23 2 2 2" xfId="35392" xr:uid="{00000000-0005-0000-0000-0000B7670000}"/>
    <cellStyle name="Normal 4 4 23 2 2 3" xfId="26073" xr:uid="{00000000-0005-0000-0000-0000B8670000}"/>
    <cellStyle name="Normal 4 4 23 2 2 4" xfId="49335" xr:uid="{00000000-0005-0000-0000-0000B9670000}"/>
    <cellStyle name="Normal 4 4 23 2 3" xfId="16638" xr:uid="{00000000-0005-0000-0000-0000BA670000}"/>
    <cellStyle name="Normal 4 4 23 2 3 2" xfId="30770" xr:uid="{00000000-0005-0000-0000-0000BB670000}"/>
    <cellStyle name="Normal 4 4 23 2 3 3" xfId="44665" xr:uid="{00000000-0005-0000-0000-0000BC670000}"/>
    <cellStyle name="Normal 4 4 23 2 4" xfId="21451" xr:uid="{00000000-0005-0000-0000-0000BD670000}"/>
    <cellStyle name="Normal 4 4 23 2 5" xfId="40083" xr:uid="{00000000-0005-0000-0000-0000BE670000}"/>
    <cellStyle name="Normal 4 4 23 3" xfId="11906" xr:uid="{00000000-0005-0000-0000-0000BF670000}"/>
    <cellStyle name="Normal 4 4 23 3 2" xfId="35391" xr:uid="{00000000-0005-0000-0000-0000C0670000}"/>
    <cellStyle name="Normal 4 4 23 3 3" xfId="26072" xr:uid="{00000000-0005-0000-0000-0000C1670000}"/>
    <cellStyle name="Normal 4 4 23 3 4" xfId="49334" xr:uid="{00000000-0005-0000-0000-0000C2670000}"/>
    <cellStyle name="Normal 4 4 23 4" xfId="16637" xr:uid="{00000000-0005-0000-0000-0000C3670000}"/>
    <cellStyle name="Normal 4 4 23 4 2" xfId="30769" xr:uid="{00000000-0005-0000-0000-0000C4670000}"/>
    <cellStyle name="Normal 4 4 23 4 3" xfId="44664" xr:uid="{00000000-0005-0000-0000-0000C5670000}"/>
    <cellStyle name="Normal 4 4 23 5" xfId="21450" xr:uid="{00000000-0005-0000-0000-0000C6670000}"/>
    <cellStyle name="Normal 4 4 23 6" xfId="40082" xr:uid="{00000000-0005-0000-0000-0000C7670000}"/>
    <cellStyle name="Normal 4 4 24" xfId="6077" xr:uid="{00000000-0005-0000-0000-0000C8670000}"/>
    <cellStyle name="Normal 4 4 24 2" xfId="11908" xr:uid="{00000000-0005-0000-0000-0000C9670000}"/>
    <cellStyle name="Normal 4 4 24 2 2" xfId="35393" xr:uid="{00000000-0005-0000-0000-0000CA670000}"/>
    <cellStyle name="Normal 4 4 24 2 3" xfId="26074" xr:uid="{00000000-0005-0000-0000-0000CB670000}"/>
    <cellStyle name="Normal 4 4 24 2 4" xfId="49336" xr:uid="{00000000-0005-0000-0000-0000CC670000}"/>
    <cellStyle name="Normal 4 4 24 3" xfId="16639" xr:uid="{00000000-0005-0000-0000-0000CD670000}"/>
    <cellStyle name="Normal 4 4 24 3 2" xfId="30771" xr:uid="{00000000-0005-0000-0000-0000CE670000}"/>
    <cellStyle name="Normal 4 4 24 3 3" xfId="44666" xr:uid="{00000000-0005-0000-0000-0000CF670000}"/>
    <cellStyle name="Normal 4 4 24 4" xfId="21452" xr:uid="{00000000-0005-0000-0000-0000D0670000}"/>
    <cellStyle name="Normal 4 4 24 5" xfId="40084" xr:uid="{00000000-0005-0000-0000-0000D1670000}"/>
    <cellStyle name="Normal 4 4 25" xfId="11877" xr:uid="{00000000-0005-0000-0000-0000D2670000}"/>
    <cellStyle name="Normal 4 4 25 2" xfId="35362" xr:uid="{00000000-0005-0000-0000-0000D3670000}"/>
    <cellStyle name="Normal 4 4 25 3" xfId="26043" xr:uid="{00000000-0005-0000-0000-0000D4670000}"/>
    <cellStyle name="Normal 4 4 25 4" xfId="49305" xr:uid="{00000000-0005-0000-0000-0000D5670000}"/>
    <cellStyle name="Normal 4 4 26" xfId="16608" xr:uid="{00000000-0005-0000-0000-0000D6670000}"/>
    <cellStyle name="Normal 4 4 26 2" xfId="30740" xr:uid="{00000000-0005-0000-0000-0000D7670000}"/>
    <cellStyle name="Normal 4 4 26 3" xfId="44635" xr:uid="{00000000-0005-0000-0000-0000D8670000}"/>
    <cellStyle name="Normal 4 4 27" xfId="21421" xr:uid="{00000000-0005-0000-0000-0000D9670000}"/>
    <cellStyle name="Normal 4 4 28" xfId="40053" xr:uid="{00000000-0005-0000-0000-0000DA670000}"/>
    <cellStyle name="Normal 4 4 29" xfId="51795" xr:uid="{00000000-0005-0000-0000-0000DB670000}"/>
    <cellStyle name="Normal 4 4 3" xfId="6078" xr:uid="{00000000-0005-0000-0000-0000DC670000}"/>
    <cellStyle name="Normal 4 4 3 2" xfId="6079" xr:uid="{00000000-0005-0000-0000-0000DD670000}"/>
    <cellStyle name="Normal 4 4 3 2 2" xfId="11910" xr:uid="{00000000-0005-0000-0000-0000DE670000}"/>
    <cellStyle name="Normal 4 4 3 2 2 2" xfId="35395" xr:uid="{00000000-0005-0000-0000-0000DF670000}"/>
    <cellStyle name="Normal 4 4 3 2 2 3" xfId="26076" xr:uid="{00000000-0005-0000-0000-0000E0670000}"/>
    <cellStyle name="Normal 4 4 3 2 2 4" xfId="49338" xr:uid="{00000000-0005-0000-0000-0000E1670000}"/>
    <cellStyle name="Normal 4 4 3 2 3" xfId="16641" xr:uid="{00000000-0005-0000-0000-0000E2670000}"/>
    <cellStyle name="Normal 4 4 3 2 3 2" xfId="30773" xr:uid="{00000000-0005-0000-0000-0000E3670000}"/>
    <cellStyle name="Normal 4 4 3 2 3 3" xfId="44668" xr:uid="{00000000-0005-0000-0000-0000E4670000}"/>
    <cellStyle name="Normal 4 4 3 2 4" xfId="21454" xr:uid="{00000000-0005-0000-0000-0000E5670000}"/>
    <cellStyle name="Normal 4 4 3 2 5" xfId="40086" xr:uid="{00000000-0005-0000-0000-0000E6670000}"/>
    <cellStyle name="Normal 4 4 3 3" xfId="11909" xr:uid="{00000000-0005-0000-0000-0000E7670000}"/>
    <cellStyle name="Normal 4 4 3 3 2" xfId="35394" xr:uid="{00000000-0005-0000-0000-0000E8670000}"/>
    <cellStyle name="Normal 4 4 3 3 3" xfId="26075" xr:uid="{00000000-0005-0000-0000-0000E9670000}"/>
    <cellStyle name="Normal 4 4 3 3 4" xfId="49337" xr:uid="{00000000-0005-0000-0000-0000EA670000}"/>
    <cellStyle name="Normal 4 4 3 4" xfId="16640" xr:uid="{00000000-0005-0000-0000-0000EB670000}"/>
    <cellStyle name="Normal 4 4 3 4 2" xfId="30772" xr:uid="{00000000-0005-0000-0000-0000EC670000}"/>
    <cellStyle name="Normal 4 4 3 4 3" xfId="44667" xr:uid="{00000000-0005-0000-0000-0000ED670000}"/>
    <cellStyle name="Normal 4 4 3 5" xfId="21453" xr:uid="{00000000-0005-0000-0000-0000EE670000}"/>
    <cellStyle name="Normal 4 4 3 6" xfId="40085" xr:uid="{00000000-0005-0000-0000-0000EF670000}"/>
    <cellStyle name="Normal 4 4 4" xfId="6080" xr:uid="{00000000-0005-0000-0000-0000F0670000}"/>
    <cellStyle name="Normal 4 4 4 2" xfId="6081" xr:uid="{00000000-0005-0000-0000-0000F1670000}"/>
    <cellStyle name="Normal 4 4 4 2 2" xfId="11912" xr:uid="{00000000-0005-0000-0000-0000F2670000}"/>
    <cellStyle name="Normal 4 4 4 2 2 2" xfId="35397" xr:uid="{00000000-0005-0000-0000-0000F3670000}"/>
    <cellStyle name="Normal 4 4 4 2 2 3" xfId="26078" xr:uid="{00000000-0005-0000-0000-0000F4670000}"/>
    <cellStyle name="Normal 4 4 4 2 2 4" xfId="49340" xr:uid="{00000000-0005-0000-0000-0000F5670000}"/>
    <cellStyle name="Normal 4 4 4 2 3" xfId="16643" xr:uid="{00000000-0005-0000-0000-0000F6670000}"/>
    <cellStyle name="Normal 4 4 4 2 3 2" xfId="30775" xr:uid="{00000000-0005-0000-0000-0000F7670000}"/>
    <cellStyle name="Normal 4 4 4 2 3 3" xfId="44670" xr:uid="{00000000-0005-0000-0000-0000F8670000}"/>
    <cellStyle name="Normal 4 4 4 2 4" xfId="21456" xr:uid="{00000000-0005-0000-0000-0000F9670000}"/>
    <cellStyle name="Normal 4 4 4 2 5" xfId="40088" xr:uid="{00000000-0005-0000-0000-0000FA670000}"/>
    <cellStyle name="Normal 4 4 4 3" xfId="11911" xr:uid="{00000000-0005-0000-0000-0000FB670000}"/>
    <cellStyle name="Normal 4 4 4 3 2" xfId="35396" xr:uid="{00000000-0005-0000-0000-0000FC670000}"/>
    <cellStyle name="Normal 4 4 4 3 3" xfId="26077" xr:uid="{00000000-0005-0000-0000-0000FD670000}"/>
    <cellStyle name="Normal 4 4 4 3 4" xfId="49339" xr:uid="{00000000-0005-0000-0000-0000FE670000}"/>
    <cellStyle name="Normal 4 4 4 4" xfId="16642" xr:uid="{00000000-0005-0000-0000-0000FF670000}"/>
    <cellStyle name="Normal 4 4 4 4 2" xfId="30774" xr:uid="{00000000-0005-0000-0000-000000680000}"/>
    <cellStyle name="Normal 4 4 4 4 3" xfId="44669" xr:uid="{00000000-0005-0000-0000-000001680000}"/>
    <cellStyle name="Normal 4 4 4 5" xfId="21455" xr:uid="{00000000-0005-0000-0000-000002680000}"/>
    <cellStyle name="Normal 4 4 4 6" xfId="40087" xr:uid="{00000000-0005-0000-0000-000003680000}"/>
    <cellStyle name="Normal 4 4 5" xfId="6082" xr:uid="{00000000-0005-0000-0000-000004680000}"/>
    <cellStyle name="Normal 4 4 5 2" xfId="6083" xr:uid="{00000000-0005-0000-0000-000005680000}"/>
    <cellStyle name="Normal 4 4 5 2 2" xfId="11914" xr:uid="{00000000-0005-0000-0000-000006680000}"/>
    <cellStyle name="Normal 4 4 5 2 2 2" xfId="35399" xr:uid="{00000000-0005-0000-0000-000007680000}"/>
    <cellStyle name="Normal 4 4 5 2 2 3" xfId="26080" xr:uid="{00000000-0005-0000-0000-000008680000}"/>
    <cellStyle name="Normal 4 4 5 2 2 4" xfId="49342" xr:uid="{00000000-0005-0000-0000-000009680000}"/>
    <cellStyle name="Normal 4 4 5 2 3" xfId="16645" xr:uid="{00000000-0005-0000-0000-00000A680000}"/>
    <cellStyle name="Normal 4 4 5 2 3 2" xfId="30777" xr:uid="{00000000-0005-0000-0000-00000B680000}"/>
    <cellStyle name="Normal 4 4 5 2 3 3" xfId="44672" xr:uid="{00000000-0005-0000-0000-00000C680000}"/>
    <cellStyle name="Normal 4 4 5 2 4" xfId="21458" xr:uid="{00000000-0005-0000-0000-00000D680000}"/>
    <cellStyle name="Normal 4 4 5 2 5" xfId="40090" xr:uid="{00000000-0005-0000-0000-00000E680000}"/>
    <cellStyle name="Normal 4 4 5 3" xfId="11913" xr:uid="{00000000-0005-0000-0000-00000F680000}"/>
    <cellStyle name="Normal 4 4 5 3 2" xfId="35398" xr:uid="{00000000-0005-0000-0000-000010680000}"/>
    <cellStyle name="Normal 4 4 5 3 3" xfId="26079" xr:uid="{00000000-0005-0000-0000-000011680000}"/>
    <cellStyle name="Normal 4 4 5 3 4" xfId="49341" xr:uid="{00000000-0005-0000-0000-000012680000}"/>
    <cellStyle name="Normal 4 4 5 4" xfId="16644" xr:uid="{00000000-0005-0000-0000-000013680000}"/>
    <cellStyle name="Normal 4 4 5 4 2" xfId="30776" xr:uid="{00000000-0005-0000-0000-000014680000}"/>
    <cellStyle name="Normal 4 4 5 4 3" xfId="44671" xr:uid="{00000000-0005-0000-0000-000015680000}"/>
    <cellStyle name="Normal 4 4 5 5" xfId="21457" xr:uid="{00000000-0005-0000-0000-000016680000}"/>
    <cellStyle name="Normal 4 4 5 6" xfId="40089" xr:uid="{00000000-0005-0000-0000-000017680000}"/>
    <cellStyle name="Normal 4 4 6" xfId="6084" xr:uid="{00000000-0005-0000-0000-000018680000}"/>
    <cellStyle name="Normal 4 4 6 2" xfId="6085" xr:uid="{00000000-0005-0000-0000-000019680000}"/>
    <cellStyle name="Normal 4 4 6 2 2" xfId="11916" xr:uid="{00000000-0005-0000-0000-00001A680000}"/>
    <cellStyle name="Normal 4 4 6 2 2 2" xfId="35401" xr:uid="{00000000-0005-0000-0000-00001B680000}"/>
    <cellStyle name="Normal 4 4 6 2 2 3" xfId="26082" xr:uid="{00000000-0005-0000-0000-00001C680000}"/>
    <cellStyle name="Normal 4 4 6 2 2 4" xfId="49344" xr:uid="{00000000-0005-0000-0000-00001D680000}"/>
    <cellStyle name="Normal 4 4 6 2 3" xfId="16647" xr:uid="{00000000-0005-0000-0000-00001E680000}"/>
    <cellStyle name="Normal 4 4 6 2 3 2" xfId="30779" xr:uid="{00000000-0005-0000-0000-00001F680000}"/>
    <cellStyle name="Normal 4 4 6 2 3 3" xfId="44674" xr:uid="{00000000-0005-0000-0000-000020680000}"/>
    <cellStyle name="Normal 4 4 6 2 4" xfId="21460" xr:uid="{00000000-0005-0000-0000-000021680000}"/>
    <cellStyle name="Normal 4 4 6 2 5" xfId="40092" xr:uid="{00000000-0005-0000-0000-000022680000}"/>
    <cellStyle name="Normal 4 4 6 3" xfId="11915" xr:uid="{00000000-0005-0000-0000-000023680000}"/>
    <cellStyle name="Normal 4 4 6 3 2" xfId="35400" xr:uid="{00000000-0005-0000-0000-000024680000}"/>
    <cellStyle name="Normal 4 4 6 3 3" xfId="26081" xr:uid="{00000000-0005-0000-0000-000025680000}"/>
    <cellStyle name="Normal 4 4 6 3 4" xfId="49343" xr:uid="{00000000-0005-0000-0000-000026680000}"/>
    <cellStyle name="Normal 4 4 6 4" xfId="16646" xr:uid="{00000000-0005-0000-0000-000027680000}"/>
    <cellStyle name="Normal 4 4 6 4 2" xfId="30778" xr:uid="{00000000-0005-0000-0000-000028680000}"/>
    <cellStyle name="Normal 4 4 6 4 3" xfId="44673" xr:uid="{00000000-0005-0000-0000-000029680000}"/>
    <cellStyle name="Normal 4 4 6 5" xfId="21459" xr:uid="{00000000-0005-0000-0000-00002A680000}"/>
    <cellStyle name="Normal 4 4 6 6" xfId="40091" xr:uid="{00000000-0005-0000-0000-00002B680000}"/>
    <cellStyle name="Normal 4 4 7" xfId="6086" xr:uid="{00000000-0005-0000-0000-00002C680000}"/>
    <cellStyle name="Normal 4 4 7 2" xfId="6087" xr:uid="{00000000-0005-0000-0000-00002D680000}"/>
    <cellStyle name="Normal 4 4 7 2 2" xfId="11918" xr:uid="{00000000-0005-0000-0000-00002E680000}"/>
    <cellStyle name="Normal 4 4 7 2 2 2" xfId="35403" xr:uid="{00000000-0005-0000-0000-00002F680000}"/>
    <cellStyle name="Normal 4 4 7 2 2 3" xfId="26084" xr:uid="{00000000-0005-0000-0000-000030680000}"/>
    <cellStyle name="Normal 4 4 7 2 2 4" xfId="49346" xr:uid="{00000000-0005-0000-0000-000031680000}"/>
    <cellStyle name="Normal 4 4 7 2 3" xfId="16649" xr:uid="{00000000-0005-0000-0000-000032680000}"/>
    <cellStyle name="Normal 4 4 7 2 3 2" xfId="30781" xr:uid="{00000000-0005-0000-0000-000033680000}"/>
    <cellStyle name="Normal 4 4 7 2 3 3" xfId="44676" xr:uid="{00000000-0005-0000-0000-000034680000}"/>
    <cellStyle name="Normal 4 4 7 2 4" xfId="21462" xr:uid="{00000000-0005-0000-0000-000035680000}"/>
    <cellStyle name="Normal 4 4 7 2 5" xfId="40094" xr:uid="{00000000-0005-0000-0000-000036680000}"/>
    <cellStyle name="Normal 4 4 7 3" xfId="11917" xr:uid="{00000000-0005-0000-0000-000037680000}"/>
    <cellStyle name="Normal 4 4 7 3 2" xfId="35402" xr:uid="{00000000-0005-0000-0000-000038680000}"/>
    <cellStyle name="Normal 4 4 7 3 3" xfId="26083" xr:uid="{00000000-0005-0000-0000-000039680000}"/>
    <cellStyle name="Normal 4 4 7 3 4" xfId="49345" xr:uid="{00000000-0005-0000-0000-00003A680000}"/>
    <cellStyle name="Normal 4 4 7 4" xfId="16648" xr:uid="{00000000-0005-0000-0000-00003B680000}"/>
    <cellStyle name="Normal 4 4 7 4 2" xfId="30780" xr:uid="{00000000-0005-0000-0000-00003C680000}"/>
    <cellStyle name="Normal 4 4 7 4 3" xfId="44675" xr:uid="{00000000-0005-0000-0000-00003D680000}"/>
    <cellStyle name="Normal 4 4 7 5" xfId="21461" xr:uid="{00000000-0005-0000-0000-00003E680000}"/>
    <cellStyle name="Normal 4 4 7 6" xfId="40093" xr:uid="{00000000-0005-0000-0000-00003F680000}"/>
    <cellStyle name="Normal 4 4 8" xfId="6088" xr:uid="{00000000-0005-0000-0000-000040680000}"/>
    <cellStyle name="Normal 4 4 8 2" xfId="6089" xr:uid="{00000000-0005-0000-0000-000041680000}"/>
    <cellStyle name="Normal 4 4 8 2 2" xfId="11920" xr:uid="{00000000-0005-0000-0000-000042680000}"/>
    <cellStyle name="Normal 4 4 8 2 2 2" xfId="35405" xr:uid="{00000000-0005-0000-0000-000043680000}"/>
    <cellStyle name="Normal 4 4 8 2 2 3" xfId="26086" xr:uid="{00000000-0005-0000-0000-000044680000}"/>
    <cellStyle name="Normal 4 4 8 2 2 4" xfId="49348" xr:uid="{00000000-0005-0000-0000-000045680000}"/>
    <cellStyle name="Normal 4 4 8 2 3" xfId="16651" xr:uid="{00000000-0005-0000-0000-000046680000}"/>
    <cellStyle name="Normal 4 4 8 2 3 2" xfId="30783" xr:uid="{00000000-0005-0000-0000-000047680000}"/>
    <cellStyle name="Normal 4 4 8 2 3 3" xfId="44678" xr:uid="{00000000-0005-0000-0000-000048680000}"/>
    <cellStyle name="Normal 4 4 8 2 4" xfId="21464" xr:uid="{00000000-0005-0000-0000-000049680000}"/>
    <cellStyle name="Normal 4 4 8 2 5" xfId="40096" xr:uid="{00000000-0005-0000-0000-00004A680000}"/>
    <cellStyle name="Normal 4 4 8 3" xfId="11919" xr:uid="{00000000-0005-0000-0000-00004B680000}"/>
    <cellStyle name="Normal 4 4 8 3 2" xfId="35404" xr:uid="{00000000-0005-0000-0000-00004C680000}"/>
    <cellStyle name="Normal 4 4 8 3 3" xfId="26085" xr:uid="{00000000-0005-0000-0000-00004D680000}"/>
    <cellStyle name="Normal 4 4 8 3 4" xfId="49347" xr:uid="{00000000-0005-0000-0000-00004E680000}"/>
    <cellStyle name="Normal 4 4 8 4" xfId="16650" xr:uid="{00000000-0005-0000-0000-00004F680000}"/>
    <cellStyle name="Normal 4 4 8 4 2" xfId="30782" xr:uid="{00000000-0005-0000-0000-000050680000}"/>
    <cellStyle name="Normal 4 4 8 4 3" xfId="44677" xr:uid="{00000000-0005-0000-0000-000051680000}"/>
    <cellStyle name="Normal 4 4 8 5" xfId="21463" xr:uid="{00000000-0005-0000-0000-000052680000}"/>
    <cellStyle name="Normal 4 4 8 6" xfId="40095" xr:uid="{00000000-0005-0000-0000-000053680000}"/>
    <cellStyle name="Normal 4 4 9" xfId="6090" xr:uid="{00000000-0005-0000-0000-000054680000}"/>
    <cellStyle name="Normal 4 4 9 2" xfId="6091" xr:uid="{00000000-0005-0000-0000-000055680000}"/>
    <cellStyle name="Normal 4 4 9 2 2" xfId="11922" xr:uid="{00000000-0005-0000-0000-000056680000}"/>
    <cellStyle name="Normal 4 4 9 2 2 2" xfId="35407" xr:uid="{00000000-0005-0000-0000-000057680000}"/>
    <cellStyle name="Normal 4 4 9 2 2 3" xfId="26088" xr:uid="{00000000-0005-0000-0000-000058680000}"/>
    <cellStyle name="Normal 4 4 9 2 2 4" xfId="49350" xr:uid="{00000000-0005-0000-0000-000059680000}"/>
    <cellStyle name="Normal 4 4 9 2 3" xfId="16653" xr:uid="{00000000-0005-0000-0000-00005A680000}"/>
    <cellStyle name="Normal 4 4 9 2 3 2" xfId="30785" xr:uid="{00000000-0005-0000-0000-00005B680000}"/>
    <cellStyle name="Normal 4 4 9 2 3 3" xfId="44680" xr:uid="{00000000-0005-0000-0000-00005C680000}"/>
    <cellStyle name="Normal 4 4 9 2 4" xfId="21466" xr:uid="{00000000-0005-0000-0000-00005D680000}"/>
    <cellStyle name="Normal 4 4 9 2 5" xfId="40098" xr:uid="{00000000-0005-0000-0000-00005E680000}"/>
    <cellStyle name="Normal 4 4 9 3" xfId="11921" xr:uid="{00000000-0005-0000-0000-00005F680000}"/>
    <cellStyle name="Normal 4 4 9 3 2" xfId="35406" xr:uid="{00000000-0005-0000-0000-000060680000}"/>
    <cellStyle name="Normal 4 4 9 3 3" xfId="26087" xr:uid="{00000000-0005-0000-0000-000061680000}"/>
    <cellStyle name="Normal 4 4 9 3 4" xfId="49349" xr:uid="{00000000-0005-0000-0000-000062680000}"/>
    <cellStyle name="Normal 4 4 9 4" xfId="16652" xr:uid="{00000000-0005-0000-0000-000063680000}"/>
    <cellStyle name="Normal 4 4 9 4 2" xfId="30784" xr:uid="{00000000-0005-0000-0000-000064680000}"/>
    <cellStyle name="Normal 4 4 9 4 3" xfId="44679" xr:uid="{00000000-0005-0000-0000-000065680000}"/>
    <cellStyle name="Normal 4 4 9 5" xfId="21465" xr:uid="{00000000-0005-0000-0000-000066680000}"/>
    <cellStyle name="Normal 4 4 9 6" xfId="40097" xr:uid="{00000000-0005-0000-0000-000067680000}"/>
    <cellStyle name="Normal 4 40" xfId="6092" xr:uid="{00000000-0005-0000-0000-000068680000}"/>
    <cellStyle name="Normal 4 40 2" xfId="6093" xr:uid="{00000000-0005-0000-0000-000069680000}"/>
    <cellStyle name="Normal 4 40 2 2" xfId="11924" xr:uid="{00000000-0005-0000-0000-00006A680000}"/>
    <cellStyle name="Normal 4 40 2 2 2" xfId="35409" xr:uid="{00000000-0005-0000-0000-00006B680000}"/>
    <cellStyle name="Normal 4 40 2 2 3" xfId="26090" xr:uid="{00000000-0005-0000-0000-00006C680000}"/>
    <cellStyle name="Normal 4 40 2 2 4" xfId="49352" xr:uid="{00000000-0005-0000-0000-00006D680000}"/>
    <cellStyle name="Normal 4 40 2 3" xfId="16655" xr:uid="{00000000-0005-0000-0000-00006E680000}"/>
    <cellStyle name="Normal 4 40 2 3 2" xfId="30787" xr:uid="{00000000-0005-0000-0000-00006F680000}"/>
    <cellStyle name="Normal 4 40 2 3 3" xfId="44682" xr:uid="{00000000-0005-0000-0000-000070680000}"/>
    <cellStyle name="Normal 4 40 2 4" xfId="21468" xr:uid="{00000000-0005-0000-0000-000071680000}"/>
    <cellStyle name="Normal 4 40 2 5" xfId="40100" xr:uid="{00000000-0005-0000-0000-000072680000}"/>
    <cellStyle name="Normal 4 40 3" xfId="11923" xr:uid="{00000000-0005-0000-0000-000073680000}"/>
    <cellStyle name="Normal 4 40 3 2" xfId="35408" xr:uid="{00000000-0005-0000-0000-000074680000}"/>
    <cellStyle name="Normal 4 40 3 3" xfId="26089" xr:uid="{00000000-0005-0000-0000-000075680000}"/>
    <cellStyle name="Normal 4 40 3 4" xfId="49351" xr:uid="{00000000-0005-0000-0000-000076680000}"/>
    <cellStyle name="Normal 4 40 4" xfId="16654" xr:uid="{00000000-0005-0000-0000-000077680000}"/>
    <cellStyle name="Normal 4 40 4 2" xfId="30786" xr:uid="{00000000-0005-0000-0000-000078680000}"/>
    <cellStyle name="Normal 4 40 4 3" xfId="44681" xr:uid="{00000000-0005-0000-0000-000079680000}"/>
    <cellStyle name="Normal 4 40 5" xfId="21467" xr:uid="{00000000-0005-0000-0000-00007A680000}"/>
    <cellStyle name="Normal 4 40 6" xfId="40099" xr:uid="{00000000-0005-0000-0000-00007B680000}"/>
    <cellStyle name="Normal 4 41" xfId="6094" xr:uid="{00000000-0005-0000-0000-00007C680000}"/>
    <cellStyle name="Normal 4 41 2" xfId="6095" xr:uid="{00000000-0005-0000-0000-00007D680000}"/>
    <cellStyle name="Normal 4 41 2 2" xfId="11926" xr:uid="{00000000-0005-0000-0000-00007E680000}"/>
    <cellStyle name="Normal 4 41 2 2 2" xfId="35411" xr:uid="{00000000-0005-0000-0000-00007F680000}"/>
    <cellStyle name="Normal 4 41 2 2 3" xfId="26092" xr:uid="{00000000-0005-0000-0000-000080680000}"/>
    <cellStyle name="Normal 4 41 2 2 4" xfId="49354" xr:uid="{00000000-0005-0000-0000-000081680000}"/>
    <cellStyle name="Normal 4 41 2 3" xfId="16657" xr:uid="{00000000-0005-0000-0000-000082680000}"/>
    <cellStyle name="Normal 4 41 2 3 2" xfId="30789" xr:uid="{00000000-0005-0000-0000-000083680000}"/>
    <cellStyle name="Normal 4 41 2 3 3" xfId="44684" xr:uid="{00000000-0005-0000-0000-000084680000}"/>
    <cellStyle name="Normal 4 41 2 4" xfId="21470" xr:uid="{00000000-0005-0000-0000-000085680000}"/>
    <cellStyle name="Normal 4 41 2 5" xfId="40102" xr:uid="{00000000-0005-0000-0000-000086680000}"/>
    <cellStyle name="Normal 4 41 3" xfId="11925" xr:uid="{00000000-0005-0000-0000-000087680000}"/>
    <cellStyle name="Normal 4 41 3 2" xfId="35410" xr:uid="{00000000-0005-0000-0000-000088680000}"/>
    <cellStyle name="Normal 4 41 3 3" xfId="26091" xr:uid="{00000000-0005-0000-0000-000089680000}"/>
    <cellStyle name="Normal 4 41 3 4" xfId="49353" xr:uid="{00000000-0005-0000-0000-00008A680000}"/>
    <cellStyle name="Normal 4 41 4" xfId="16656" xr:uid="{00000000-0005-0000-0000-00008B680000}"/>
    <cellStyle name="Normal 4 41 4 2" xfId="30788" xr:uid="{00000000-0005-0000-0000-00008C680000}"/>
    <cellStyle name="Normal 4 41 4 3" xfId="44683" xr:uid="{00000000-0005-0000-0000-00008D680000}"/>
    <cellStyle name="Normal 4 41 5" xfId="21469" xr:uid="{00000000-0005-0000-0000-00008E680000}"/>
    <cellStyle name="Normal 4 41 6" xfId="40101" xr:uid="{00000000-0005-0000-0000-00008F680000}"/>
    <cellStyle name="Normal 4 42" xfId="6096" xr:uid="{00000000-0005-0000-0000-000090680000}"/>
    <cellStyle name="Normal 4 42 2" xfId="6097" xr:uid="{00000000-0005-0000-0000-000091680000}"/>
    <cellStyle name="Normal 4 42 2 2" xfId="11928" xr:uid="{00000000-0005-0000-0000-000092680000}"/>
    <cellStyle name="Normal 4 42 2 2 2" xfId="35413" xr:uid="{00000000-0005-0000-0000-000093680000}"/>
    <cellStyle name="Normal 4 42 2 2 3" xfId="26094" xr:uid="{00000000-0005-0000-0000-000094680000}"/>
    <cellStyle name="Normal 4 42 2 2 4" xfId="49356" xr:uid="{00000000-0005-0000-0000-000095680000}"/>
    <cellStyle name="Normal 4 42 2 3" xfId="16659" xr:uid="{00000000-0005-0000-0000-000096680000}"/>
    <cellStyle name="Normal 4 42 2 3 2" xfId="30791" xr:uid="{00000000-0005-0000-0000-000097680000}"/>
    <cellStyle name="Normal 4 42 2 3 3" xfId="44686" xr:uid="{00000000-0005-0000-0000-000098680000}"/>
    <cellStyle name="Normal 4 42 2 4" xfId="21472" xr:uid="{00000000-0005-0000-0000-000099680000}"/>
    <cellStyle name="Normal 4 42 2 5" xfId="40104" xr:uid="{00000000-0005-0000-0000-00009A680000}"/>
    <cellStyle name="Normal 4 42 3" xfId="11927" xr:uid="{00000000-0005-0000-0000-00009B680000}"/>
    <cellStyle name="Normal 4 42 3 2" xfId="35412" xr:uid="{00000000-0005-0000-0000-00009C680000}"/>
    <cellStyle name="Normal 4 42 3 3" xfId="26093" xr:uid="{00000000-0005-0000-0000-00009D680000}"/>
    <cellStyle name="Normal 4 42 3 4" xfId="49355" xr:uid="{00000000-0005-0000-0000-00009E680000}"/>
    <cellStyle name="Normal 4 42 4" xfId="16658" xr:uid="{00000000-0005-0000-0000-00009F680000}"/>
    <cellStyle name="Normal 4 42 4 2" xfId="30790" xr:uid="{00000000-0005-0000-0000-0000A0680000}"/>
    <cellStyle name="Normal 4 42 4 3" xfId="44685" xr:uid="{00000000-0005-0000-0000-0000A1680000}"/>
    <cellStyle name="Normal 4 42 5" xfId="21471" xr:uid="{00000000-0005-0000-0000-0000A2680000}"/>
    <cellStyle name="Normal 4 42 6" xfId="40103" xr:uid="{00000000-0005-0000-0000-0000A3680000}"/>
    <cellStyle name="Normal 4 43" xfId="6098" xr:uid="{00000000-0005-0000-0000-0000A4680000}"/>
    <cellStyle name="Normal 4 43 2" xfId="6099" xr:uid="{00000000-0005-0000-0000-0000A5680000}"/>
    <cellStyle name="Normal 4 43 2 2" xfId="11930" xr:uid="{00000000-0005-0000-0000-0000A6680000}"/>
    <cellStyle name="Normal 4 43 2 2 2" xfId="35415" xr:uid="{00000000-0005-0000-0000-0000A7680000}"/>
    <cellStyle name="Normal 4 43 2 2 3" xfId="26096" xr:uid="{00000000-0005-0000-0000-0000A8680000}"/>
    <cellStyle name="Normal 4 43 2 2 4" xfId="49358" xr:uid="{00000000-0005-0000-0000-0000A9680000}"/>
    <cellStyle name="Normal 4 43 2 3" xfId="16661" xr:uid="{00000000-0005-0000-0000-0000AA680000}"/>
    <cellStyle name="Normal 4 43 2 3 2" xfId="30793" xr:uid="{00000000-0005-0000-0000-0000AB680000}"/>
    <cellStyle name="Normal 4 43 2 3 3" xfId="44688" xr:uid="{00000000-0005-0000-0000-0000AC680000}"/>
    <cellStyle name="Normal 4 43 2 4" xfId="21474" xr:uid="{00000000-0005-0000-0000-0000AD680000}"/>
    <cellStyle name="Normal 4 43 2 5" xfId="40106" xr:uid="{00000000-0005-0000-0000-0000AE680000}"/>
    <cellStyle name="Normal 4 43 3" xfId="11929" xr:uid="{00000000-0005-0000-0000-0000AF680000}"/>
    <cellStyle name="Normal 4 43 3 2" xfId="35414" xr:uid="{00000000-0005-0000-0000-0000B0680000}"/>
    <cellStyle name="Normal 4 43 3 3" xfId="26095" xr:uid="{00000000-0005-0000-0000-0000B1680000}"/>
    <cellStyle name="Normal 4 43 3 4" xfId="49357" xr:uid="{00000000-0005-0000-0000-0000B2680000}"/>
    <cellStyle name="Normal 4 43 4" xfId="16660" xr:uid="{00000000-0005-0000-0000-0000B3680000}"/>
    <cellStyle name="Normal 4 43 4 2" xfId="30792" xr:uid="{00000000-0005-0000-0000-0000B4680000}"/>
    <cellStyle name="Normal 4 43 4 3" xfId="44687" xr:uid="{00000000-0005-0000-0000-0000B5680000}"/>
    <cellStyle name="Normal 4 43 5" xfId="21473" xr:uid="{00000000-0005-0000-0000-0000B6680000}"/>
    <cellStyle name="Normal 4 43 6" xfId="40105" xr:uid="{00000000-0005-0000-0000-0000B7680000}"/>
    <cellStyle name="Normal 4 44" xfId="6100" xr:uid="{00000000-0005-0000-0000-0000B8680000}"/>
    <cellStyle name="Normal 4 44 2" xfId="6101" xr:uid="{00000000-0005-0000-0000-0000B9680000}"/>
    <cellStyle name="Normal 4 44 2 2" xfId="11932" xr:uid="{00000000-0005-0000-0000-0000BA680000}"/>
    <cellStyle name="Normal 4 44 2 2 2" xfId="35417" xr:uid="{00000000-0005-0000-0000-0000BB680000}"/>
    <cellStyle name="Normal 4 44 2 2 3" xfId="26098" xr:uid="{00000000-0005-0000-0000-0000BC680000}"/>
    <cellStyle name="Normal 4 44 2 2 4" xfId="49360" xr:uid="{00000000-0005-0000-0000-0000BD680000}"/>
    <cellStyle name="Normal 4 44 2 3" xfId="16663" xr:uid="{00000000-0005-0000-0000-0000BE680000}"/>
    <cellStyle name="Normal 4 44 2 3 2" xfId="30795" xr:uid="{00000000-0005-0000-0000-0000BF680000}"/>
    <cellStyle name="Normal 4 44 2 3 3" xfId="44690" xr:uid="{00000000-0005-0000-0000-0000C0680000}"/>
    <cellStyle name="Normal 4 44 2 4" xfId="21476" xr:uid="{00000000-0005-0000-0000-0000C1680000}"/>
    <cellStyle name="Normal 4 44 2 5" xfId="40108" xr:uid="{00000000-0005-0000-0000-0000C2680000}"/>
    <cellStyle name="Normal 4 44 3" xfId="11931" xr:uid="{00000000-0005-0000-0000-0000C3680000}"/>
    <cellStyle name="Normal 4 44 3 2" xfId="35416" xr:uid="{00000000-0005-0000-0000-0000C4680000}"/>
    <cellStyle name="Normal 4 44 3 3" xfId="26097" xr:uid="{00000000-0005-0000-0000-0000C5680000}"/>
    <cellStyle name="Normal 4 44 3 4" xfId="49359" xr:uid="{00000000-0005-0000-0000-0000C6680000}"/>
    <cellStyle name="Normal 4 44 4" xfId="16662" xr:uid="{00000000-0005-0000-0000-0000C7680000}"/>
    <cellStyle name="Normal 4 44 4 2" xfId="30794" xr:uid="{00000000-0005-0000-0000-0000C8680000}"/>
    <cellStyle name="Normal 4 44 4 3" xfId="44689" xr:uid="{00000000-0005-0000-0000-0000C9680000}"/>
    <cellStyle name="Normal 4 44 5" xfId="21475" xr:uid="{00000000-0005-0000-0000-0000CA680000}"/>
    <cellStyle name="Normal 4 44 6" xfId="40107" xr:uid="{00000000-0005-0000-0000-0000CB680000}"/>
    <cellStyle name="Normal 4 45" xfId="6102" xr:uid="{00000000-0005-0000-0000-0000CC680000}"/>
    <cellStyle name="Normal 4 45 2" xfId="6103" xr:uid="{00000000-0005-0000-0000-0000CD680000}"/>
    <cellStyle name="Normal 4 45 2 2" xfId="11934" xr:uid="{00000000-0005-0000-0000-0000CE680000}"/>
    <cellStyle name="Normal 4 45 2 2 2" xfId="35419" xr:uid="{00000000-0005-0000-0000-0000CF680000}"/>
    <cellStyle name="Normal 4 45 2 2 3" xfId="26100" xr:uid="{00000000-0005-0000-0000-0000D0680000}"/>
    <cellStyle name="Normal 4 45 2 2 4" xfId="49362" xr:uid="{00000000-0005-0000-0000-0000D1680000}"/>
    <cellStyle name="Normal 4 45 2 3" xfId="16665" xr:uid="{00000000-0005-0000-0000-0000D2680000}"/>
    <cellStyle name="Normal 4 45 2 3 2" xfId="30797" xr:uid="{00000000-0005-0000-0000-0000D3680000}"/>
    <cellStyle name="Normal 4 45 2 3 3" xfId="44692" xr:uid="{00000000-0005-0000-0000-0000D4680000}"/>
    <cellStyle name="Normal 4 45 2 4" xfId="21478" xr:uid="{00000000-0005-0000-0000-0000D5680000}"/>
    <cellStyle name="Normal 4 45 2 5" xfId="40110" xr:uid="{00000000-0005-0000-0000-0000D6680000}"/>
    <cellStyle name="Normal 4 45 3" xfId="11933" xr:uid="{00000000-0005-0000-0000-0000D7680000}"/>
    <cellStyle name="Normal 4 45 3 2" xfId="35418" xr:uid="{00000000-0005-0000-0000-0000D8680000}"/>
    <cellStyle name="Normal 4 45 3 3" xfId="26099" xr:uid="{00000000-0005-0000-0000-0000D9680000}"/>
    <cellStyle name="Normal 4 45 3 4" xfId="49361" xr:uid="{00000000-0005-0000-0000-0000DA680000}"/>
    <cellStyle name="Normal 4 45 4" xfId="16664" xr:uid="{00000000-0005-0000-0000-0000DB680000}"/>
    <cellStyle name="Normal 4 45 4 2" xfId="30796" xr:uid="{00000000-0005-0000-0000-0000DC680000}"/>
    <cellStyle name="Normal 4 45 4 3" xfId="44691" xr:uid="{00000000-0005-0000-0000-0000DD680000}"/>
    <cellStyle name="Normal 4 45 5" xfId="21477" xr:uid="{00000000-0005-0000-0000-0000DE680000}"/>
    <cellStyle name="Normal 4 45 6" xfId="40109" xr:uid="{00000000-0005-0000-0000-0000DF680000}"/>
    <cellStyle name="Normal 4 46" xfId="6104" xr:uid="{00000000-0005-0000-0000-0000E0680000}"/>
    <cellStyle name="Normal 4 46 2" xfId="6105" xr:uid="{00000000-0005-0000-0000-0000E1680000}"/>
    <cellStyle name="Normal 4 46 2 2" xfId="11936" xr:uid="{00000000-0005-0000-0000-0000E2680000}"/>
    <cellStyle name="Normal 4 46 2 2 2" xfId="35421" xr:uid="{00000000-0005-0000-0000-0000E3680000}"/>
    <cellStyle name="Normal 4 46 2 2 3" xfId="26102" xr:uid="{00000000-0005-0000-0000-0000E4680000}"/>
    <cellStyle name="Normal 4 46 2 2 4" xfId="49364" xr:uid="{00000000-0005-0000-0000-0000E5680000}"/>
    <cellStyle name="Normal 4 46 2 3" xfId="16667" xr:uid="{00000000-0005-0000-0000-0000E6680000}"/>
    <cellStyle name="Normal 4 46 2 3 2" xfId="30799" xr:uid="{00000000-0005-0000-0000-0000E7680000}"/>
    <cellStyle name="Normal 4 46 2 3 3" xfId="44694" xr:uid="{00000000-0005-0000-0000-0000E8680000}"/>
    <cellStyle name="Normal 4 46 2 4" xfId="21480" xr:uid="{00000000-0005-0000-0000-0000E9680000}"/>
    <cellStyle name="Normal 4 46 2 5" xfId="40112" xr:uid="{00000000-0005-0000-0000-0000EA680000}"/>
    <cellStyle name="Normal 4 46 3" xfId="11935" xr:uid="{00000000-0005-0000-0000-0000EB680000}"/>
    <cellStyle name="Normal 4 46 3 2" xfId="35420" xr:uid="{00000000-0005-0000-0000-0000EC680000}"/>
    <cellStyle name="Normal 4 46 3 3" xfId="26101" xr:uid="{00000000-0005-0000-0000-0000ED680000}"/>
    <cellStyle name="Normal 4 46 3 4" xfId="49363" xr:uid="{00000000-0005-0000-0000-0000EE680000}"/>
    <cellStyle name="Normal 4 46 4" xfId="16666" xr:uid="{00000000-0005-0000-0000-0000EF680000}"/>
    <cellStyle name="Normal 4 46 4 2" xfId="30798" xr:uid="{00000000-0005-0000-0000-0000F0680000}"/>
    <cellStyle name="Normal 4 46 4 3" xfId="44693" xr:uid="{00000000-0005-0000-0000-0000F1680000}"/>
    <cellStyle name="Normal 4 46 5" xfId="21479" xr:uid="{00000000-0005-0000-0000-0000F2680000}"/>
    <cellStyle name="Normal 4 46 6" xfId="40111" xr:uid="{00000000-0005-0000-0000-0000F3680000}"/>
    <cellStyle name="Normal 4 47" xfId="6106" xr:uid="{00000000-0005-0000-0000-0000F4680000}"/>
    <cellStyle name="Normal 4 47 2" xfId="6107" xr:uid="{00000000-0005-0000-0000-0000F5680000}"/>
    <cellStyle name="Normal 4 47 2 2" xfId="11938" xr:uid="{00000000-0005-0000-0000-0000F6680000}"/>
    <cellStyle name="Normal 4 47 2 2 2" xfId="35423" xr:uid="{00000000-0005-0000-0000-0000F7680000}"/>
    <cellStyle name="Normal 4 47 2 2 3" xfId="26104" xr:uid="{00000000-0005-0000-0000-0000F8680000}"/>
    <cellStyle name="Normal 4 47 2 2 4" xfId="49366" xr:uid="{00000000-0005-0000-0000-0000F9680000}"/>
    <cellStyle name="Normal 4 47 2 3" xfId="16669" xr:uid="{00000000-0005-0000-0000-0000FA680000}"/>
    <cellStyle name="Normal 4 47 2 3 2" xfId="30801" xr:uid="{00000000-0005-0000-0000-0000FB680000}"/>
    <cellStyle name="Normal 4 47 2 3 3" xfId="44696" xr:uid="{00000000-0005-0000-0000-0000FC680000}"/>
    <cellStyle name="Normal 4 47 2 4" xfId="21482" xr:uid="{00000000-0005-0000-0000-0000FD680000}"/>
    <cellStyle name="Normal 4 47 2 5" xfId="40114" xr:uid="{00000000-0005-0000-0000-0000FE680000}"/>
    <cellStyle name="Normal 4 47 3" xfId="11937" xr:uid="{00000000-0005-0000-0000-0000FF680000}"/>
    <cellStyle name="Normal 4 47 3 2" xfId="35422" xr:uid="{00000000-0005-0000-0000-000000690000}"/>
    <cellStyle name="Normal 4 47 3 3" xfId="26103" xr:uid="{00000000-0005-0000-0000-000001690000}"/>
    <cellStyle name="Normal 4 47 3 4" xfId="49365" xr:uid="{00000000-0005-0000-0000-000002690000}"/>
    <cellStyle name="Normal 4 47 4" xfId="16668" xr:uid="{00000000-0005-0000-0000-000003690000}"/>
    <cellStyle name="Normal 4 47 4 2" xfId="30800" xr:uid="{00000000-0005-0000-0000-000004690000}"/>
    <cellStyle name="Normal 4 47 4 3" xfId="44695" xr:uid="{00000000-0005-0000-0000-000005690000}"/>
    <cellStyle name="Normal 4 47 5" xfId="21481" xr:uid="{00000000-0005-0000-0000-000006690000}"/>
    <cellStyle name="Normal 4 47 6" xfId="40113" xr:uid="{00000000-0005-0000-0000-000007690000}"/>
    <cellStyle name="Normal 4 48" xfId="6108" xr:uid="{00000000-0005-0000-0000-000008690000}"/>
    <cellStyle name="Normal 4 48 2" xfId="6109" xr:uid="{00000000-0005-0000-0000-000009690000}"/>
    <cellStyle name="Normal 4 48 2 2" xfId="11940" xr:uid="{00000000-0005-0000-0000-00000A690000}"/>
    <cellStyle name="Normal 4 48 2 2 2" xfId="35425" xr:uid="{00000000-0005-0000-0000-00000B690000}"/>
    <cellStyle name="Normal 4 48 2 2 3" xfId="26106" xr:uid="{00000000-0005-0000-0000-00000C690000}"/>
    <cellStyle name="Normal 4 48 2 2 4" xfId="49368" xr:uid="{00000000-0005-0000-0000-00000D690000}"/>
    <cellStyle name="Normal 4 48 2 3" xfId="16671" xr:uid="{00000000-0005-0000-0000-00000E690000}"/>
    <cellStyle name="Normal 4 48 2 3 2" xfId="30803" xr:uid="{00000000-0005-0000-0000-00000F690000}"/>
    <cellStyle name="Normal 4 48 2 3 3" xfId="44698" xr:uid="{00000000-0005-0000-0000-000010690000}"/>
    <cellStyle name="Normal 4 48 2 4" xfId="21484" xr:uid="{00000000-0005-0000-0000-000011690000}"/>
    <cellStyle name="Normal 4 48 2 5" xfId="40116" xr:uid="{00000000-0005-0000-0000-000012690000}"/>
    <cellStyle name="Normal 4 48 3" xfId="11939" xr:uid="{00000000-0005-0000-0000-000013690000}"/>
    <cellStyle name="Normal 4 48 3 2" xfId="35424" xr:uid="{00000000-0005-0000-0000-000014690000}"/>
    <cellStyle name="Normal 4 48 3 3" xfId="26105" xr:uid="{00000000-0005-0000-0000-000015690000}"/>
    <cellStyle name="Normal 4 48 3 4" xfId="49367" xr:uid="{00000000-0005-0000-0000-000016690000}"/>
    <cellStyle name="Normal 4 48 4" xfId="16670" xr:uid="{00000000-0005-0000-0000-000017690000}"/>
    <cellStyle name="Normal 4 48 4 2" xfId="30802" xr:uid="{00000000-0005-0000-0000-000018690000}"/>
    <cellStyle name="Normal 4 48 4 3" xfId="44697" xr:uid="{00000000-0005-0000-0000-000019690000}"/>
    <cellStyle name="Normal 4 48 5" xfId="21483" xr:uid="{00000000-0005-0000-0000-00001A690000}"/>
    <cellStyle name="Normal 4 48 6" xfId="40115" xr:uid="{00000000-0005-0000-0000-00001B690000}"/>
    <cellStyle name="Normal 4 49" xfId="6110" xr:uid="{00000000-0005-0000-0000-00001C690000}"/>
    <cellStyle name="Normal 4 49 2" xfId="6111" xr:uid="{00000000-0005-0000-0000-00001D690000}"/>
    <cellStyle name="Normal 4 49 2 2" xfId="11942" xr:uid="{00000000-0005-0000-0000-00001E690000}"/>
    <cellStyle name="Normal 4 49 2 2 2" xfId="35427" xr:uid="{00000000-0005-0000-0000-00001F690000}"/>
    <cellStyle name="Normal 4 49 2 2 3" xfId="26108" xr:uid="{00000000-0005-0000-0000-000020690000}"/>
    <cellStyle name="Normal 4 49 2 2 4" xfId="49370" xr:uid="{00000000-0005-0000-0000-000021690000}"/>
    <cellStyle name="Normal 4 49 2 3" xfId="16673" xr:uid="{00000000-0005-0000-0000-000022690000}"/>
    <cellStyle name="Normal 4 49 2 3 2" xfId="30805" xr:uid="{00000000-0005-0000-0000-000023690000}"/>
    <cellStyle name="Normal 4 49 2 3 3" xfId="44700" xr:uid="{00000000-0005-0000-0000-000024690000}"/>
    <cellStyle name="Normal 4 49 2 4" xfId="21486" xr:uid="{00000000-0005-0000-0000-000025690000}"/>
    <cellStyle name="Normal 4 49 2 5" xfId="40118" xr:uid="{00000000-0005-0000-0000-000026690000}"/>
    <cellStyle name="Normal 4 49 3" xfId="11941" xr:uid="{00000000-0005-0000-0000-000027690000}"/>
    <cellStyle name="Normal 4 49 3 2" xfId="35426" xr:uid="{00000000-0005-0000-0000-000028690000}"/>
    <cellStyle name="Normal 4 49 3 3" xfId="26107" xr:uid="{00000000-0005-0000-0000-000029690000}"/>
    <cellStyle name="Normal 4 49 3 4" xfId="49369" xr:uid="{00000000-0005-0000-0000-00002A690000}"/>
    <cellStyle name="Normal 4 49 4" xfId="16672" xr:uid="{00000000-0005-0000-0000-00002B690000}"/>
    <cellStyle name="Normal 4 49 4 2" xfId="30804" xr:uid="{00000000-0005-0000-0000-00002C690000}"/>
    <cellStyle name="Normal 4 49 4 3" xfId="44699" xr:uid="{00000000-0005-0000-0000-00002D690000}"/>
    <cellStyle name="Normal 4 49 5" xfId="21485" xr:uid="{00000000-0005-0000-0000-00002E690000}"/>
    <cellStyle name="Normal 4 49 6" xfId="40117" xr:uid="{00000000-0005-0000-0000-00002F690000}"/>
    <cellStyle name="Normal 4 5" xfId="6112" xr:uid="{00000000-0005-0000-0000-000030690000}"/>
    <cellStyle name="Normal 4 5 10" xfId="6113" xr:uid="{00000000-0005-0000-0000-000031690000}"/>
    <cellStyle name="Normal 4 5 10 2" xfId="6114" xr:uid="{00000000-0005-0000-0000-000032690000}"/>
    <cellStyle name="Normal 4 5 10 2 2" xfId="11945" xr:uid="{00000000-0005-0000-0000-000033690000}"/>
    <cellStyle name="Normal 4 5 10 2 2 2" xfId="35430" xr:uid="{00000000-0005-0000-0000-000034690000}"/>
    <cellStyle name="Normal 4 5 10 2 2 3" xfId="26111" xr:uid="{00000000-0005-0000-0000-000035690000}"/>
    <cellStyle name="Normal 4 5 10 2 2 4" xfId="49373" xr:uid="{00000000-0005-0000-0000-000036690000}"/>
    <cellStyle name="Normal 4 5 10 2 3" xfId="16676" xr:uid="{00000000-0005-0000-0000-000037690000}"/>
    <cellStyle name="Normal 4 5 10 2 3 2" xfId="30808" xr:uid="{00000000-0005-0000-0000-000038690000}"/>
    <cellStyle name="Normal 4 5 10 2 3 3" xfId="44703" xr:uid="{00000000-0005-0000-0000-000039690000}"/>
    <cellStyle name="Normal 4 5 10 2 4" xfId="21489" xr:uid="{00000000-0005-0000-0000-00003A690000}"/>
    <cellStyle name="Normal 4 5 10 2 5" xfId="40121" xr:uid="{00000000-0005-0000-0000-00003B690000}"/>
    <cellStyle name="Normal 4 5 10 3" xfId="11944" xr:uid="{00000000-0005-0000-0000-00003C690000}"/>
    <cellStyle name="Normal 4 5 10 3 2" xfId="35429" xr:uid="{00000000-0005-0000-0000-00003D690000}"/>
    <cellStyle name="Normal 4 5 10 3 3" xfId="26110" xr:uid="{00000000-0005-0000-0000-00003E690000}"/>
    <cellStyle name="Normal 4 5 10 3 4" xfId="49372" xr:uid="{00000000-0005-0000-0000-00003F690000}"/>
    <cellStyle name="Normal 4 5 10 4" xfId="16675" xr:uid="{00000000-0005-0000-0000-000040690000}"/>
    <cellStyle name="Normal 4 5 10 4 2" xfId="30807" xr:uid="{00000000-0005-0000-0000-000041690000}"/>
    <cellStyle name="Normal 4 5 10 4 3" xfId="44702" xr:uid="{00000000-0005-0000-0000-000042690000}"/>
    <cellStyle name="Normal 4 5 10 5" xfId="21488" xr:uid="{00000000-0005-0000-0000-000043690000}"/>
    <cellStyle name="Normal 4 5 10 6" xfId="40120" xr:uid="{00000000-0005-0000-0000-000044690000}"/>
    <cellStyle name="Normal 4 5 11" xfId="6115" xr:uid="{00000000-0005-0000-0000-000045690000}"/>
    <cellStyle name="Normal 4 5 11 2" xfId="6116" xr:uid="{00000000-0005-0000-0000-000046690000}"/>
    <cellStyle name="Normal 4 5 11 2 2" xfId="11947" xr:uid="{00000000-0005-0000-0000-000047690000}"/>
    <cellStyle name="Normal 4 5 11 2 2 2" xfId="35432" xr:uid="{00000000-0005-0000-0000-000048690000}"/>
    <cellStyle name="Normal 4 5 11 2 2 3" xfId="26113" xr:uid="{00000000-0005-0000-0000-000049690000}"/>
    <cellStyle name="Normal 4 5 11 2 2 4" xfId="49375" xr:uid="{00000000-0005-0000-0000-00004A690000}"/>
    <cellStyle name="Normal 4 5 11 2 3" xfId="16678" xr:uid="{00000000-0005-0000-0000-00004B690000}"/>
    <cellStyle name="Normal 4 5 11 2 3 2" xfId="30810" xr:uid="{00000000-0005-0000-0000-00004C690000}"/>
    <cellStyle name="Normal 4 5 11 2 3 3" xfId="44705" xr:uid="{00000000-0005-0000-0000-00004D690000}"/>
    <cellStyle name="Normal 4 5 11 2 4" xfId="21491" xr:uid="{00000000-0005-0000-0000-00004E690000}"/>
    <cellStyle name="Normal 4 5 11 2 5" xfId="40123" xr:uid="{00000000-0005-0000-0000-00004F690000}"/>
    <cellStyle name="Normal 4 5 11 3" xfId="11946" xr:uid="{00000000-0005-0000-0000-000050690000}"/>
    <cellStyle name="Normal 4 5 11 3 2" xfId="35431" xr:uid="{00000000-0005-0000-0000-000051690000}"/>
    <cellStyle name="Normal 4 5 11 3 3" xfId="26112" xr:uid="{00000000-0005-0000-0000-000052690000}"/>
    <cellStyle name="Normal 4 5 11 3 4" xfId="49374" xr:uid="{00000000-0005-0000-0000-000053690000}"/>
    <cellStyle name="Normal 4 5 11 4" xfId="16677" xr:uid="{00000000-0005-0000-0000-000054690000}"/>
    <cellStyle name="Normal 4 5 11 4 2" xfId="30809" xr:uid="{00000000-0005-0000-0000-000055690000}"/>
    <cellStyle name="Normal 4 5 11 4 3" xfId="44704" xr:uid="{00000000-0005-0000-0000-000056690000}"/>
    <cellStyle name="Normal 4 5 11 5" xfId="21490" xr:uid="{00000000-0005-0000-0000-000057690000}"/>
    <cellStyle name="Normal 4 5 11 6" xfId="40122" xr:uid="{00000000-0005-0000-0000-000058690000}"/>
    <cellStyle name="Normal 4 5 12" xfId="6117" xr:uid="{00000000-0005-0000-0000-000059690000}"/>
    <cellStyle name="Normal 4 5 12 2" xfId="6118" xr:uid="{00000000-0005-0000-0000-00005A690000}"/>
    <cellStyle name="Normal 4 5 12 2 2" xfId="11949" xr:uid="{00000000-0005-0000-0000-00005B690000}"/>
    <cellStyle name="Normal 4 5 12 2 2 2" xfId="35434" xr:uid="{00000000-0005-0000-0000-00005C690000}"/>
    <cellStyle name="Normal 4 5 12 2 2 3" xfId="26115" xr:uid="{00000000-0005-0000-0000-00005D690000}"/>
    <cellStyle name="Normal 4 5 12 2 2 4" xfId="49377" xr:uid="{00000000-0005-0000-0000-00005E690000}"/>
    <cellStyle name="Normal 4 5 12 2 3" xfId="16680" xr:uid="{00000000-0005-0000-0000-00005F690000}"/>
    <cellStyle name="Normal 4 5 12 2 3 2" xfId="30812" xr:uid="{00000000-0005-0000-0000-000060690000}"/>
    <cellStyle name="Normal 4 5 12 2 3 3" xfId="44707" xr:uid="{00000000-0005-0000-0000-000061690000}"/>
    <cellStyle name="Normal 4 5 12 2 4" xfId="21493" xr:uid="{00000000-0005-0000-0000-000062690000}"/>
    <cellStyle name="Normal 4 5 12 2 5" xfId="40125" xr:uid="{00000000-0005-0000-0000-000063690000}"/>
    <cellStyle name="Normal 4 5 12 3" xfId="11948" xr:uid="{00000000-0005-0000-0000-000064690000}"/>
    <cellStyle name="Normal 4 5 12 3 2" xfId="35433" xr:uid="{00000000-0005-0000-0000-000065690000}"/>
    <cellStyle name="Normal 4 5 12 3 3" xfId="26114" xr:uid="{00000000-0005-0000-0000-000066690000}"/>
    <cellStyle name="Normal 4 5 12 3 4" xfId="49376" xr:uid="{00000000-0005-0000-0000-000067690000}"/>
    <cellStyle name="Normal 4 5 12 4" xfId="16679" xr:uid="{00000000-0005-0000-0000-000068690000}"/>
    <cellStyle name="Normal 4 5 12 4 2" xfId="30811" xr:uid="{00000000-0005-0000-0000-000069690000}"/>
    <cellStyle name="Normal 4 5 12 4 3" xfId="44706" xr:uid="{00000000-0005-0000-0000-00006A690000}"/>
    <cellStyle name="Normal 4 5 12 5" xfId="21492" xr:uid="{00000000-0005-0000-0000-00006B690000}"/>
    <cellStyle name="Normal 4 5 12 6" xfId="40124" xr:uid="{00000000-0005-0000-0000-00006C690000}"/>
    <cellStyle name="Normal 4 5 13" xfId="6119" xr:uid="{00000000-0005-0000-0000-00006D690000}"/>
    <cellStyle name="Normal 4 5 13 2" xfId="6120" xr:uid="{00000000-0005-0000-0000-00006E690000}"/>
    <cellStyle name="Normal 4 5 13 2 2" xfId="11951" xr:uid="{00000000-0005-0000-0000-00006F690000}"/>
    <cellStyle name="Normal 4 5 13 2 2 2" xfId="35436" xr:uid="{00000000-0005-0000-0000-000070690000}"/>
    <cellStyle name="Normal 4 5 13 2 2 3" xfId="26117" xr:uid="{00000000-0005-0000-0000-000071690000}"/>
    <cellStyle name="Normal 4 5 13 2 2 4" xfId="49379" xr:uid="{00000000-0005-0000-0000-000072690000}"/>
    <cellStyle name="Normal 4 5 13 2 3" xfId="16682" xr:uid="{00000000-0005-0000-0000-000073690000}"/>
    <cellStyle name="Normal 4 5 13 2 3 2" xfId="30814" xr:uid="{00000000-0005-0000-0000-000074690000}"/>
    <cellStyle name="Normal 4 5 13 2 3 3" xfId="44709" xr:uid="{00000000-0005-0000-0000-000075690000}"/>
    <cellStyle name="Normal 4 5 13 2 4" xfId="21495" xr:uid="{00000000-0005-0000-0000-000076690000}"/>
    <cellStyle name="Normal 4 5 13 2 5" xfId="40127" xr:uid="{00000000-0005-0000-0000-000077690000}"/>
    <cellStyle name="Normal 4 5 13 3" xfId="11950" xr:uid="{00000000-0005-0000-0000-000078690000}"/>
    <cellStyle name="Normal 4 5 13 3 2" xfId="35435" xr:uid="{00000000-0005-0000-0000-000079690000}"/>
    <cellStyle name="Normal 4 5 13 3 3" xfId="26116" xr:uid="{00000000-0005-0000-0000-00007A690000}"/>
    <cellStyle name="Normal 4 5 13 3 4" xfId="49378" xr:uid="{00000000-0005-0000-0000-00007B690000}"/>
    <cellStyle name="Normal 4 5 13 4" xfId="16681" xr:uid="{00000000-0005-0000-0000-00007C690000}"/>
    <cellStyle name="Normal 4 5 13 4 2" xfId="30813" xr:uid="{00000000-0005-0000-0000-00007D690000}"/>
    <cellStyle name="Normal 4 5 13 4 3" xfId="44708" xr:uid="{00000000-0005-0000-0000-00007E690000}"/>
    <cellStyle name="Normal 4 5 13 5" xfId="21494" xr:uid="{00000000-0005-0000-0000-00007F690000}"/>
    <cellStyle name="Normal 4 5 13 6" xfId="40126" xr:uid="{00000000-0005-0000-0000-000080690000}"/>
    <cellStyle name="Normal 4 5 14" xfId="6121" xr:uid="{00000000-0005-0000-0000-000081690000}"/>
    <cellStyle name="Normal 4 5 14 2" xfId="6122" xr:uid="{00000000-0005-0000-0000-000082690000}"/>
    <cellStyle name="Normal 4 5 14 2 2" xfId="11953" xr:uid="{00000000-0005-0000-0000-000083690000}"/>
    <cellStyle name="Normal 4 5 14 2 2 2" xfId="35438" xr:uid="{00000000-0005-0000-0000-000084690000}"/>
    <cellStyle name="Normal 4 5 14 2 2 3" xfId="26119" xr:uid="{00000000-0005-0000-0000-000085690000}"/>
    <cellStyle name="Normal 4 5 14 2 2 4" xfId="49381" xr:uid="{00000000-0005-0000-0000-000086690000}"/>
    <cellStyle name="Normal 4 5 14 2 3" xfId="16684" xr:uid="{00000000-0005-0000-0000-000087690000}"/>
    <cellStyle name="Normal 4 5 14 2 3 2" xfId="30816" xr:uid="{00000000-0005-0000-0000-000088690000}"/>
    <cellStyle name="Normal 4 5 14 2 3 3" xfId="44711" xr:uid="{00000000-0005-0000-0000-000089690000}"/>
    <cellStyle name="Normal 4 5 14 2 4" xfId="21497" xr:uid="{00000000-0005-0000-0000-00008A690000}"/>
    <cellStyle name="Normal 4 5 14 2 5" xfId="40129" xr:uid="{00000000-0005-0000-0000-00008B690000}"/>
    <cellStyle name="Normal 4 5 14 3" xfId="11952" xr:uid="{00000000-0005-0000-0000-00008C690000}"/>
    <cellStyle name="Normal 4 5 14 3 2" xfId="35437" xr:uid="{00000000-0005-0000-0000-00008D690000}"/>
    <cellStyle name="Normal 4 5 14 3 3" xfId="26118" xr:uid="{00000000-0005-0000-0000-00008E690000}"/>
    <cellStyle name="Normal 4 5 14 3 4" xfId="49380" xr:uid="{00000000-0005-0000-0000-00008F690000}"/>
    <cellStyle name="Normal 4 5 14 4" xfId="16683" xr:uid="{00000000-0005-0000-0000-000090690000}"/>
    <cellStyle name="Normal 4 5 14 4 2" xfId="30815" xr:uid="{00000000-0005-0000-0000-000091690000}"/>
    <cellStyle name="Normal 4 5 14 4 3" xfId="44710" xr:uid="{00000000-0005-0000-0000-000092690000}"/>
    <cellStyle name="Normal 4 5 14 5" xfId="21496" xr:uid="{00000000-0005-0000-0000-000093690000}"/>
    <cellStyle name="Normal 4 5 14 6" xfId="40128" xr:uid="{00000000-0005-0000-0000-000094690000}"/>
    <cellStyle name="Normal 4 5 15" xfId="6123" xr:uid="{00000000-0005-0000-0000-000095690000}"/>
    <cellStyle name="Normal 4 5 15 2" xfId="6124" xr:uid="{00000000-0005-0000-0000-000096690000}"/>
    <cellStyle name="Normal 4 5 15 2 2" xfId="11955" xr:uid="{00000000-0005-0000-0000-000097690000}"/>
    <cellStyle name="Normal 4 5 15 2 2 2" xfId="35440" xr:uid="{00000000-0005-0000-0000-000098690000}"/>
    <cellStyle name="Normal 4 5 15 2 2 3" xfId="26121" xr:uid="{00000000-0005-0000-0000-000099690000}"/>
    <cellStyle name="Normal 4 5 15 2 2 4" xfId="49383" xr:uid="{00000000-0005-0000-0000-00009A690000}"/>
    <cellStyle name="Normal 4 5 15 2 3" xfId="16686" xr:uid="{00000000-0005-0000-0000-00009B690000}"/>
    <cellStyle name="Normal 4 5 15 2 3 2" xfId="30818" xr:uid="{00000000-0005-0000-0000-00009C690000}"/>
    <cellStyle name="Normal 4 5 15 2 3 3" xfId="44713" xr:uid="{00000000-0005-0000-0000-00009D690000}"/>
    <cellStyle name="Normal 4 5 15 2 4" xfId="21499" xr:uid="{00000000-0005-0000-0000-00009E690000}"/>
    <cellStyle name="Normal 4 5 15 2 5" xfId="40131" xr:uid="{00000000-0005-0000-0000-00009F690000}"/>
    <cellStyle name="Normal 4 5 15 3" xfId="11954" xr:uid="{00000000-0005-0000-0000-0000A0690000}"/>
    <cellStyle name="Normal 4 5 15 3 2" xfId="35439" xr:uid="{00000000-0005-0000-0000-0000A1690000}"/>
    <cellStyle name="Normal 4 5 15 3 3" xfId="26120" xr:uid="{00000000-0005-0000-0000-0000A2690000}"/>
    <cellStyle name="Normal 4 5 15 3 4" xfId="49382" xr:uid="{00000000-0005-0000-0000-0000A3690000}"/>
    <cellStyle name="Normal 4 5 15 4" xfId="16685" xr:uid="{00000000-0005-0000-0000-0000A4690000}"/>
    <cellStyle name="Normal 4 5 15 4 2" xfId="30817" xr:uid="{00000000-0005-0000-0000-0000A5690000}"/>
    <cellStyle name="Normal 4 5 15 4 3" xfId="44712" xr:uid="{00000000-0005-0000-0000-0000A6690000}"/>
    <cellStyle name="Normal 4 5 15 5" xfId="21498" xr:uid="{00000000-0005-0000-0000-0000A7690000}"/>
    <cellStyle name="Normal 4 5 15 6" xfId="40130" xr:uid="{00000000-0005-0000-0000-0000A8690000}"/>
    <cellStyle name="Normal 4 5 16" xfId="6125" xr:uid="{00000000-0005-0000-0000-0000A9690000}"/>
    <cellStyle name="Normal 4 5 16 2" xfId="6126" xr:uid="{00000000-0005-0000-0000-0000AA690000}"/>
    <cellStyle name="Normal 4 5 16 2 2" xfId="11957" xr:uid="{00000000-0005-0000-0000-0000AB690000}"/>
    <cellStyle name="Normal 4 5 16 2 2 2" xfId="35442" xr:uid="{00000000-0005-0000-0000-0000AC690000}"/>
    <cellStyle name="Normal 4 5 16 2 2 3" xfId="26123" xr:uid="{00000000-0005-0000-0000-0000AD690000}"/>
    <cellStyle name="Normal 4 5 16 2 2 4" xfId="49385" xr:uid="{00000000-0005-0000-0000-0000AE690000}"/>
    <cellStyle name="Normal 4 5 16 2 3" xfId="16688" xr:uid="{00000000-0005-0000-0000-0000AF690000}"/>
    <cellStyle name="Normal 4 5 16 2 3 2" xfId="30820" xr:uid="{00000000-0005-0000-0000-0000B0690000}"/>
    <cellStyle name="Normal 4 5 16 2 3 3" xfId="44715" xr:uid="{00000000-0005-0000-0000-0000B1690000}"/>
    <cellStyle name="Normal 4 5 16 2 4" xfId="21501" xr:uid="{00000000-0005-0000-0000-0000B2690000}"/>
    <cellStyle name="Normal 4 5 16 2 5" xfId="40133" xr:uid="{00000000-0005-0000-0000-0000B3690000}"/>
    <cellStyle name="Normal 4 5 16 3" xfId="11956" xr:uid="{00000000-0005-0000-0000-0000B4690000}"/>
    <cellStyle name="Normal 4 5 16 3 2" xfId="35441" xr:uid="{00000000-0005-0000-0000-0000B5690000}"/>
    <cellStyle name="Normal 4 5 16 3 3" xfId="26122" xr:uid="{00000000-0005-0000-0000-0000B6690000}"/>
    <cellStyle name="Normal 4 5 16 3 4" xfId="49384" xr:uid="{00000000-0005-0000-0000-0000B7690000}"/>
    <cellStyle name="Normal 4 5 16 4" xfId="16687" xr:uid="{00000000-0005-0000-0000-0000B8690000}"/>
    <cellStyle name="Normal 4 5 16 4 2" xfId="30819" xr:uid="{00000000-0005-0000-0000-0000B9690000}"/>
    <cellStyle name="Normal 4 5 16 4 3" xfId="44714" xr:uid="{00000000-0005-0000-0000-0000BA690000}"/>
    <cellStyle name="Normal 4 5 16 5" xfId="21500" xr:uid="{00000000-0005-0000-0000-0000BB690000}"/>
    <cellStyle name="Normal 4 5 16 6" xfId="40132" xr:uid="{00000000-0005-0000-0000-0000BC690000}"/>
    <cellStyle name="Normal 4 5 17" xfId="6127" xr:uid="{00000000-0005-0000-0000-0000BD690000}"/>
    <cellStyle name="Normal 4 5 17 2" xfId="6128" xr:uid="{00000000-0005-0000-0000-0000BE690000}"/>
    <cellStyle name="Normal 4 5 17 2 2" xfId="11959" xr:uid="{00000000-0005-0000-0000-0000BF690000}"/>
    <cellStyle name="Normal 4 5 17 2 2 2" xfId="35444" xr:uid="{00000000-0005-0000-0000-0000C0690000}"/>
    <cellStyle name="Normal 4 5 17 2 2 3" xfId="26125" xr:uid="{00000000-0005-0000-0000-0000C1690000}"/>
    <cellStyle name="Normal 4 5 17 2 2 4" xfId="49387" xr:uid="{00000000-0005-0000-0000-0000C2690000}"/>
    <cellStyle name="Normal 4 5 17 2 3" xfId="16690" xr:uid="{00000000-0005-0000-0000-0000C3690000}"/>
    <cellStyle name="Normal 4 5 17 2 3 2" xfId="30822" xr:uid="{00000000-0005-0000-0000-0000C4690000}"/>
    <cellStyle name="Normal 4 5 17 2 3 3" xfId="44717" xr:uid="{00000000-0005-0000-0000-0000C5690000}"/>
    <cellStyle name="Normal 4 5 17 2 4" xfId="21503" xr:uid="{00000000-0005-0000-0000-0000C6690000}"/>
    <cellStyle name="Normal 4 5 17 2 5" xfId="40135" xr:uid="{00000000-0005-0000-0000-0000C7690000}"/>
    <cellStyle name="Normal 4 5 17 3" xfId="11958" xr:uid="{00000000-0005-0000-0000-0000C8690000}"/>
    <cellStyle name="Normal 4 5 17 3 2" xfId="35443" xr:uid="{00000000-0005-0000-0000-0000C9690000}"/>
    <cellStyle name="Normal 4 5 17 3 3" xfId="26124" xr:uid="{00000000-0005-0000-0000-0000CA690000}"/>
    <cellStyle name="Normal 4 5 17 3 4" xfId="49386" xr:uid="{00000000-0005-0000-0000-0000CB690000}"/>
    <cellStyle name="Normal 4 5 17 4" xfId="16689" xr:uid="{00000000-0005-0000-0000-0000CC690000}"/>
    <cellStyle name="Normal 4 5 17 4 2" xfId="30821" xr:uid="{00000000-0005-0000-0000-0000CD690000}"/>
    <cellStyle name="Normal 4 5 17 4 3" xfId="44716" xr:uid="{00000000-0005-0000-0000-0000CE690000}"/>
    <cellStyle name="Normal 4 5 17 5" xfId="21502" xr:uid="{00000000-0005-0000-0000-0000CF690000}"/>
    <cellStyle name="Normal 4 5 17 6" xfId="40134" xr:uid="{00000000-0005-0000-0000-0000D0690000}"/>
    <cellStyle name="Normal 4 5 18" xfId="6129" xr:uid="{00000000-0005-0000-0000-0000D1690000}"/>
    <cellStyle name="Normal 4 5 18 2" xfId="6130" xr:uid="{00000000-0005-0000-0000-0000D2690000}"/>
    <cellStyle name="Normal 4 5 18 2 2" xfId="11961" xr:uid="{00000000-0005-0000-0000-0000D3690000}"/>
    <cellStyle name="Normal 4 5 18 2 2 2" xfId="35446" xr:uid="{00000000-0005-0000-0000-0000D4690000}"/>
    <cellStyle name="Normal 4 5 18 2 2 3" xfId="26127" xr:uid="{00000000-0005-0000-0000-0000D5690000}"/>
    <cellStyle name="Normal 4 5 18 2 2 4" xfId="49389" xr:uid="{00000000-0005-0000-0000-0000D6690000}"/>
    <cellStyle name="Normal 4 5 18 2 3" xfId="16692" xr:uid="{00000000-0005-0000-0000-0000D7690000}"/>
    <cellStyle name="Normal 4 5 18 2 3 2" xfId="30824" xr:uid="{00000000-0005-0000-0000-0000D8690000}"/>
    <cellStyle name="Normal 4 5 18 2 3 3" xfId="44719" xr:uid="{00000000-0005-0000-0000-0000D9690000}"/>
    <cellStyle name="Normal 4 5 18 2 4" xfId="21505" xr:uid="{00000000-0005-0000-0000-0000DA690000}"/>
    <cellStyle name="Normal 4 5 18 2 5" xfId="40137" xr:uid="{00000000-0005-0000-0000-0000DB690000}"/>
    <cellStyle name="Normal 4 5 18 3" xfId="11960" xr:uid="{00000000-0005-0000-0000-0000DC690000}"/>
    <cellStyle name="Normal 4 5 18 3 2" xfId="35445" xr:uid="{00000000-0005-0000-0000-0000DD690000}"/>
    <cellStyle name="Normal 4 5 18 3 3" xfId="26126" xr:uid="{00000000-0005-0000-0000-0000DE690000}"/>
    <cellStyle name="Normal 4 5 18 3 4" xfId="49388" xr:uid="{00000000-0005-0000-0000-0000DF690000}"/>
    <cellStyle name="Normal 4 5 18 4" xfId="16691" xr:uid="{00000000-0005-0000-0000-0000E0690000}"/>
    <cellStyle name="Normal 4 5 18 4 2" xfId="30823" xr:uid="{00000000-0005-0000-0000-0000E1690000}"/>
    <cellStyle name="Normal 4 5 18 4 3" xfId="44718" xr:uid="{00000000-0005-0000-0000-0000E2690000}"/>
    <cellStyle name="Normal 4 5 18 5" xfId="21504" xr:uid="{00000000-0005-0000-0000-0000E3690000}"/>
    <cellStyle name="Normal 4 5 18 6" xfId="40136" xr:uid="{00000000-0005-0000-0000-0000E4690000}"/>
    <cellStyle name="Normal 4 5 19" xfId="6131" xr:uid="{00000000-0005-0000-0000-0000E5690000}"/>
    <cellStyle name="Normal 4 5 19 2" xfId="6132" xr:uid="{00000000-0005-0000-0000-0000E6690000}"/>
    <cellStyle name="Normal 4 5 19 2 2" xfId="11963" xr:uid="{00000000-0005-0000-0000-0000E7690000}"/>
    <cellStyle name="Normal 4 5 19 2 2 2" xfId="35448" xr:uid="{00000000-0005-0000-0000-0000E8690000}"/>
    <cellStyle name="Normal 4 5 19 2 2 3" xfId="26129" xr:uid="{00000000-0005-0000-0000-0000E9690000}"/>
    <cellStyle name="Normal 4 5 19 2 2 4" xfId="49391" xr:uid="{00000000-0005-0000-0000-0000EA690000}"/>
    <cellStyle name="Normal 4 5 19 2 3" xfId="16694" xr:uid="{00000000-0005-0000-0000-0000EB690000}"/>
    <cellStyle name="Normal 4 5 19 2 3 2" xfId="30826" xr:uid="{00000000-0005-0000-0000-0000EC690000}"/>
    <cellStyle name="Normal 4 5 19 2 3 3" xfId="44721" xr:uid="{00000000-0005-0000-0000-0000ED690000}"/>
    <cellStyle name="Normal 4 5 19 2 4" xfId="21507" xr:uid="{00000000-0005-0000-0000-0000EE690000}"/>
    <cellStyle name="Normal 4 5 19 2 5" xfId="40139" xr:uid="{00000000-0005-0000-0000-0000EF690000}"/>
    <cellStyle name="Normal 4 5 19 3" xfId="11962" xr:uid="{00000000-0005-0000-0000-0000F0690000}"/>
    <cellStyle name="Normal 4 5 19 3 2" xfId="35447" xr:uid="{00000000-0005-0000-0000-0000F1690000}"/>
    <cellStyle name="Normal 4 5 19 3 3" xfId="26128" xr:uid="{00000000-0005-0000-0000-0000F2690000}"/>
    <cellStyle name="Normal 4 5 19 3 4" xfId="49390" xr:uid="{00000000-0005-0000-0000-0000F3690000}"/>
    <cellStyle name="Normal 4 5 19 4" xfId="16693" xr:uid="{00000000-0005-0000-0000-0000F4690000}"/>
    <cellStyle name="Normal 4 5 19 4 2" xfId="30825" xr:uid="{00000000-0005-0000-0000-0000F5690000}"/>
    <cellStyle name="Normal 4 5 19 4 3" xfId="44720" xr:uid="{00000000-0005-0000-0000-0000F6690000}"/>
    <cellStyle name="Normal 4 5 19 5" xfId="21506" xr:uid="{00000000-0005-0000-0000-0000F7690000}"/>
    <cellStyle name="Normal 4 5 19 6" xfId="40138" xr:uid="{00000000-0005-0000-0000-0000F8690000}"/>
    <cellStyle name="Normal 4 5 2" xfId="6133" xr:uid="{00000000-0005-0000-0000-0000F9690000}"/>
    <cellStyle name="Normal 4 5 2 2" xfId="6134" xr:uid="{00000000-0005-0000-0000-0000FA690000}"/>
    <cellStyle name="Normal 4 5 2 2 2" xfId="11965" xr:uid="{00000000-0005-0000-0000-0000FB690000}"/>
    <cellStyle name="Normal 4 5 2 2 2 2" xfId="35450" xr:uid="{00000000-0005-0000-0000-0000FC690000}"/>
    <cellStyle name="Normal 4 5 2 2 2 3" xfId="26131" xr:uid="{00000000-0005-0000-0000-0000FD690000}"/>
    <cellStyle name="Normal 4 5 2 2 2 4" xfId="49393" xr:uid="{00000000-0005-0000-0000-0000FE690000}"/>
    <cellStyle name="Normal 4 5 2 2 3" xfId="16696" xr:uid="{00000000-0005-0000-0000-0000FF690000}"/>
    <cellStyle name="Normal 4 5 2 2 3 2" xfId="30828" xr:uid="{00000000-0005-0000-0000-0000006A0000}"/>
    <cellStyle name="Normal 4 5 2 2 3 3" xfId="44723" xr:uid="{00000000-0005-0000-0000-0000016A0000}"/>
    <cellStyle name="Normal 4 5 2 2 4" xfId="21509" xr:uid="{00000000-0005-0000-0000-0000026A0000}"/>
    <cellStyle name="Normal 4 5 2 2 5" xfId="40141" xr:uid="{00000000-0005-0000-0000-0000036A0000}"/>
    <cellStyle name="Normal 4 5 2 3" xfId="11964" xr:uid="{00000000-0005-0000-0000-0000046A0000}"/>
    <cellStyle name="Normal 4 5 2 3 2" xfId="35449" xr:uid="{00000000-0005-0000-0000-0000056A0000}"/>
    <cellStyle name="Normal 4 5 2 3 3" xfId="26130" xr:uid="{00000000-0005-0000-0000-0000066A0000}"/>
    <cellStyle name="Normal 4 5 2 3 4" xfId="49392" xr:uid="{00000000-0005-0000-0000-0000076A0000}"/>
    <cellStyle name="Normal 4 5 2 4" xfId="16695" xr:uid="{00000000-0005-0000-0000-0000086A0000}"/>
    <cellStyle name="Normal 4 5 2 4 2" xfId="30827" xr:uid="{00000000-0005-0000-0000-0000096A0000}"/>
    <cellStyle name="Normal 4 5 2 4 3" xfId="44722" xr:uid="{00000000-0005-0000-0000-00000A6A0000}"/>
    <cellStyle name="Normal 4 5 2 5" xfId="21508" xr:uid="{00000000-0005-0000-0000-00000B6A0000}"/>
    <cellStyle name="Normal 4 5 2 6" xfId="40140" xr:uid="{00000000-0005-0000-0000-00000C6A0000}"/>
    <cellStyle name="Normal 4 5 20" xfId="6135" xr:uid="{00000000-0005-0000-0000-00000D6A0000}"/>
    <cellStyle name="Normal 4 5 20 2" xfId="6136" xr:uid="{00000000-0005-0000-0000-00000E6A0000}"/>
    <cellStyle name="Normal 4 5 20 2 2" xfId="11967" xr:uid="{00000000-0005-0000-0000-00000F6A0000}"/>
    <cellStyle name="Normal 4 5 20 2 2 2" xfId="35452" xr:uid="{00000000-0005-0000-0000-0000106A0000}"/>
    <cellStyle name="Normal 4 5 20 2 2 3" xfId="26133" xr:uid="{00000000-0005-0000-0000-0000116A0000}"/>
    <cellStyle name="Normal 4 5 20 2 2 4" xfId="49395" xr:uid="{00000000-0005-0000-0000-0000126A0000}"/>
    <cellStyle name="Normal 4 5 20 2 3" xfId="16698" xr:uid="{00000000-0005-0000-0000-0000136A0000}"/>
    <cellStyle name="Normal 4 5 20 2 3 2" xfId="30830" xr:uid="{00000000-0005-0000-0000-0000146A0000}"/>
    <cellStyle name="Normal 4 5 20 2 3 3" xfId="44725" xr:uid="{00000000-0005-0000-0000-0000156A0000}"/>
    <cellStyle name="Normal 4 5 20 2 4" xfId="21511" xr:uid="{00000000-0005-0000-0000-0000166A0000}"/>
    <cellStyle name="Normal 4 5 20 2 5" xfId="40143" xr:uid="{00000000-0005-0000-0000-0000176A0000}"/>
    <cellStyle name="Normal 4 5 20 3" xfId="11966" xr:uid="{00000000-0005-0000-0000-0000186A0000}"/>
    <cellStyle name="Normal 4 5 20 3 2" xfId="35451" xr:uid="{00000000-0005-0000-0000-0000196A0000}"/>
    <cellStyle name="Normal 4 5 20 3 3" xfId="26132" xr:uid="{00000000-0005-0000-0000-00001A6A0000}"/>
    <cellStyle name="Normal 4 5 20 3 4" xfId="49394" xr:uid="{00000000-0005-0000-0000-00001B6A0000}"/>
    <cellStyle name="Normal 4 5 20 4" xfId="16697" xr:uid="{00000000-0005-0000-0000-00001C6A0000}"/>
    <cellStyle name="Normal 4 5 20 4 2" xfId="30829" xr:uid="{00000000-0005-0000-0000-00001D6A0000}"/>
    <cellStyle name="Normal 4 5 20 4 3" xfId="44724" xr:uid="{00000000-0005-0000-0000-00001E6A0000}"/>
    <cellStyle name="Normal 4 5 20 5" xfId="21510" xr:uid="{00000000-0005-0000-0000-00001F6A0000}"/>
    <cellStyle name="Normal 4 5 20 6" xfId="40142" xr:uid="{00000000-0005-0000-0000-0000206A0000}"/>
    <cellStyle name="Normal 4 5 21" xfId="6137" xr:uid="{00000000-0005-0000-0000-0000216A0000}"/>
    <cellStyle name="Normal 4 5 21 2" xfId="6138" xr:uid="{00000000-0005-0000-0000-0000226A0000}"/>
    <cellStyle name="Normal 4 5 21 2 2" xfId="11969" xr:uid="{00000000-0005-0000-0000-0000236A0000}"/>
    <cellStyle name="Normal 4 5 21 2 2 2" xfId="35454" xr:uid="{00000000-0005-0000-0000-0000246A0000}"/>
    <cellStyle name="Normal 4 5 21 2 2 3" xfId="26135" xr:uid="{00000000-0005-0000-0000-0000256A0000}"/>
    <cellStyle name="Normal 4 5 21 2 2 4" xfId="49397" xr:uid="{00000000-0005-0000-0000-0000266A0000}"/>
    <cellStyle name="Normal 4 5 21 2 3" xfId="16700" xr:uid="{00000000-0005-0000-0000-0000276A0000}"/>
    <cellStyle name="Normal 4 5 21 2 3 2" xfId="30832" xr:uid="{00000000-0005-0000-0000-0000286A0000}"/>
    <cellStyle name="Normal 4 5 21 2 3 3" xfId="44727" xr:uid="{00000000-0005-0000-0000-0000296A0000}"/>
    <cellStyle name="Normal 4 5 21 2 4" xfId="21513" xr:uid="{00000000-0005-0000-0000-00002A6A0000}"/>
    <cellStyle name="Normal 4 5 21 2 5" xfId="40145" xr:uid="{00000000-0005-0000-0000-00002B6A0000}"/>
    <cellStyle name="Normal 4 5 21 3" xfId="11968" xr:uid="{00000000-0005-0000-0000-00002C6A0000}"/>
    <cellStyle name="Normal 4 5 21 3 2" xfId="35453" xr:uid="{00000000-0005-0000-0000-00002D6A0000}"/>
    <cellStyle name="Normal 4 5 21 3 3" xfId="26134" xr:uid="{00000000-0005-0000-0000-00002E6A0000}"/>
    <cellStyle name="Normal 4 5 21 3 4" xfId="49396" xr:uid="{00000000-0005-0000-0000-00002F6A0000}"/>
    <cellStyle name="Normal 4 5 21 4" xfId="16699" xr:uid="{00000000-0005-0000-0000-0000306A0000}"/>
    <cellStyle name="Normal 4 5 21 4 2" xfId="30831" xr:uid="{00000000-0005-0000-0000-0000316A0000}"/>
    <cellStyle name="Normal 4 5 21 4 3" xfId="44726" xr:uid="{00000000-0005-0000-0000-0000326A0000}"/>
    <cellStyle name="Normal 4 5 21 5" xfId="21512" xr:uid="{00000000-0005-0000-0000-0000336A0000}"/>
    <cellStyle name="Normal 4 5 21 6" xfId="40144" xr:uid="{00000000-0005-0000-0000-0000346A0000}"/>
    <cellStyle name="Normal 4 5 22" xfId="6139" xr:uid="{00000000-0005-0000-0000-0000356A0000}"/>
    <cellStyle name="Normal 4 5 22 2" xfId="6140" xr:uid="{00000000-0005-0000-0000-0000366A0000}"/>
    <cellStyle name="Normal 4 5 22 2 2" xfId="11971" xr:uid="{00000000-0005-0000-0000-0000376A0000}"/>
    <cellStyle name="Normal 4 5 22 2 2 2" xfId="35456" xr:uid="{00000000-0005-0000-0000-0000386A0000}"/>
    <cellStyle name="Normal 4 5 22 2 2 3" xfId="26137" xr:uid="{00000000-0005-0000-0000-0000396A0000}"/>
    <cellStyle name="Normal 4 5 22 2 2 4" xfId="49399" xr:uid="{00000000-0005-0000-0000-00003A6A0000}"/>
    <cellStyle name="Normal 4 5 22 2 3" xfId="16702" xr:uid="{00000000-0005-0000-0000-00003B6A0000}"/>
    <cellStyle name="Normal 4 5 22 2 3 2" xfId="30834" xr:uid="{00000000-0005-0000-0000-00003C6A0000}"/>
    <cellStyle name="Normal 4 5 22 2 3 3" xfId="44729" xr:uid="{00000000-0005-0000-0000-00003D6A0000}"/>
    <cellStyle name="Normal 4 5 22 2 4" xfId="21515" xr:uid="{00000000-0005-0000-0000-00003E6A0000}"/>
    <cellStyle name="Normal 4 5 22 2 5" xfId="40147" xr:uid="{00000000-0005-0000-0000-00003F6A0000}"/>
    <cellStyle name="Normal 4 5 22 3" xfId="11970" xr:uid="{00000000-0005-0000-0000-0000406A0000}"/>
    <cellStyle name="Normal 4 5 22 3 2" xfId="35455" xr:uid="{00000000-0005-0000-0000-0000416A0000}"/>
    <cellStyle name="Normal 4 5 22 3 3" xfId="26136" xr:uid="{00000000-0005-0000-0000-0000426A0000}"/>
    <cellStyle name="Normal 4 5 22 3 4" xfId="49398" xr:uid="{00000000-0005-0000-0000-0000436A0000}"/>
    <cellStyle name="Normal 4 5 22 4" xfId="16701" xr:uid="{00000000-0005-0000-0000-0000446A0000}"/>
    <cellStyle name="Normal 4 5 22 4 2" xfId="30833" xr:uid="{00000000-0005-0000-0000-0000456A0000}"/>
    <cellStyle name="Normal 4 5 22 4 3" xfId="44728" xr:uid="{00000000-0005-0000-0000-0000466A0000}"/>
    <cellStyle name="Normal 4 5 22 5" xfId="21514" xr:uid="{00000000-0005-0000-0000-0000476A0000}"/>
    <cellStyle name="Normal 4 5 22 6" xfId="40146" xr:uid="{00000000-0005-0000-0000-0000486A0000}"/>
    <cellStyle name="Normal 4 5 23" xfId="6141" xr:uid="{00000000-0005-0000-0000-0000496A0000}"/>
    <cellStyle name="Normal 4 5 23 2" xfId="6142" xr:uid="{00000000-0005-0000-0000-00004A6A0000}"/>
    <cellStyle name="Normal 4 5 23 2 2" xfId="11973" xr:uid="{00000000-0005-0000-0000-00004B6A0000}"/>
    <cellStyle name="Normal 4 5 23 2 2 2" xfId="35458" xr:uid="{00000000-0005-0000-0000-00004C6A0000}"/>
    <cellStyle name="Normal 4 5 23 2 2 3" xfId="26139" xr:uid="{00000000-0005-0000-0000-00004D6A0000}"/>
    <cellStyle name="Normal 4 5 23 2 2 4" xfId="49401" xr:uid="{00000000-0005-0000-0000-00004E6A0000}"/>
    <cellStyle name="Normal 4 5 23 2 3" xfId="16704" xr:uid="{00000000-0005-0000-0000-00004F6A0000}"/>
    <cellStyle name="Normal 4 5 23 2 3 2" xfId="30836" xr:uid="{00000000-0005-0000-0000-0000506A0000}"/>
    <cellStyle name="Normal 4 5 23 2 3 3" xfId="44731" xr:uid="{00000000-0005-0000-0000-0000516A0000}"/>
    <cellStyle name="Normal 4 5 23 2 4" xfId="21517" xr:uid="{00000000-0005-0000-0000-0000526A0000}"/>
    <cellStyle name="Normal 4 5 23 2 5" xfId="40149" xr:uid="{00000000-0005-0000-0000-0000536A0000}"/>
    <cellStyle name="Normal 4 5 23 3" xfId="11972" xr:uid="{00000000-0005-0000-0000-0000546A0000}"/>
    <cellStyle name="Normal 4 5 23 3 2" xfId="35457" xr:uid="{00000000-0005-0000-0000-0000556A0000}"/>
    <cellStyle name="Normal 4 5 23 3 3" xfId="26138" xr:uid="{00000000-0005-0000-0000-0000566A0000}"/>
    <cellStyle name="Normal 4 5 23 3 4" xfId="49400" xr:uid="{00000000-0005-0000-0000-0000576A0000}"/>
    <cellStyle name="Normal 4 5 23 4" xfId="16703" xr:uid="{00000000-0005-0000-0000-0000586A0000}"/>
    <cellStyle name="Normal 4 5 23 4 2" xfId="30835" xr:uid="{00000000-0005-0000-0000-0000596A0000}"/>
    <cellStyle name="Normal 4 5 23 4 3" xfId="44730" xr:uid="{00000000-0005-0000-0000-00005A6A0000}"/>
    <cellStyle name="Normal 4 5 23 5" xfId="21516" xr:uid="{00000000-0005-0000-0000-00005B6A0000}"/>
    <cellStyle name="Normal 4 5 23 6" xfId="40148" xr:uid="{00000000-0005-0000-0000-00005C6A0000}"/>
    <cellStyle name="Normal 4 5 24" xfId="6143" xr:uid="{00000000-0005-0000-0000-00005D6A0000}"/>
    <cellStyle name="Normal 4 5 24 2" xfId="11974" xr:uid="{00000000-0005-0000-0000-00005E6A0000}"/>
    <cellStyle name="Normal 4 5 24 2 2" xfId="35459" xr:uid="{00000000-0005-0000-0000-00005F6A0000}"/>
    <cellStyle name="Normal 4 5 24 2 3" xfId="26140" xr:uid="{00000000-0005-0000-0000-0000606A0000}"/>
    <cellStyle name="Normal 4 5 24 2 4" xfId="49402" xr:uid="{00000000-0005-0000-0000-0000616A0000}"/>
    <cellStyle name="Normal 4 5 24 3" xfId="16705" xr:uid="{00000000-0005-0000-0000-0000626A0000}"/>
    <cellStyle name="Normal 4 5 24 3 2" xfId="30837" xr:uid="{00000000-0005-0000-0000-0000636A0000}"/>
    <cellStyle name="Normal 4 5 24 3 3" xfId="44732" xr:uid="{00000000-0005-0000-0000-0000646A0000}"/>
    <cellStyle name="Normal 4 5 24 4" xfId="21518" xr:uid="{00000000-0005-0000-0000-0000656A0000}"/>
    <cellStyle name="Normal 4 5 24 5" xfId="40150" xr:uid="{00000000-0005-0000-0000-0000666A0000}"/>
    <cellStyle name="Normal 4 5 25" xfId="11943" xr:uid="{00000000-0005-0000-0000-0000676A0000}"/>
    <cellStyle name="Normal 4 5 25 2" xfId="35428" xr:uid="{00000000-0005-0000-0000-0000686A0000}"/>
    <cellStyle name="Normal 4 5 25 3" xfId="26109" xr:uid="{00000000-0005-0000-0000-0000696A0000}"/>
    <cellStyle name="Normal 4 5 25 4" xfId="49371" xr:uid="{00000000-0005-0000-0000-00006A6A0000}"/>
    <cellStyle name="Normal 4 5 26" xfId="16674" xr:uid="{00000000-0005-0000-0000-00006B6A0000}"/>
    <cellStyle name="Normal 4 5 26 2" xfId="30806" xr:uid="{00000000-0005-0000-0000-00006C6A0000}"/>
    <cellStyle name="Normal 4 5 26 3" xfId="44701" xr:uid="{00000000-0005-0000-0000-00006D6A0000}"/>
    <cellStyle name="Normal 4 5 27" xfId="21487" xr:uid="{00000000-0005-0000-0000-00006E6A0000}"/>
    <cellStyle name="Normal 4 5 28" xfId="40119" xr:uid="{00000000-0005-0000-0000-00006F6A0000}"/>
    <cellStyle name="Normal 4 5 3" xfId="6144" xr:uid="{00000000-0005-0000-0000-0000706A0000}"/>
    <cellStyle name="Normal 4 5 3 2" xfId="6145" xr:uid="{00000000-0005-0000-0000-0000716A0000}"/>
    <cellStyle name="Normal 4 5 3 2 2" xfId="11976" xr:uid="{00000000-0005-0000-0000-0000726A0000}"/>
    <cellStyle name="Normal 4 5 3 2 2 2" xfId="35461" xr:uid="{00000000-0005-0000-0000-0000736A0000}"/>
    <cellStyle name="Normal 4 5 3 2 2 3" xfId="26142" xr:uid="{00000000-0005-0000-0000-0000746A0000}"/>
    <cellStyle name="Normal 4 5 3 2 2 4" xfId="49404" xr:uid="{00000000-0005-0000-0000-0000756A0000}"/>
    <cellStyle name="Normal 4 5 3 2 3" xfId="16707" xr:uid="{00000000-0005-0000-0000-0000766A0000}"/>
    <cellStyle name="Normal 4 5 3 2 3 2" xfId="30839" xr:uid="{00000000-0005-0000-0000-0000776A0000}"/>
    <cellStyle name="Normal 4 5 3 2 3 3" xfId="44734" xr:uid="{00000000-0005-0000-0000-0000786A0000}"/>
    <cellStyle name="Normal 4 5 3 2 4" xfId="21520" xr:uid="{00000000-0005-0000-0000-0000796A0000}"/>
    <cellStyle name="Normal 4 5 3 2 5" xfId="40152" xr:uid="{00000000-0005-0000-0000-00007A6A0000}"/>
    <cellStyle name="Normal 4 5 3 3" xfId="11975" xr:uid="{00000000-0005-0000-0000-00007B6A0000}"/>
    <cellStyle name="Normal 4 5 3 3 2" xfId="35460" xr:uid="{00000000-0005-0000-0000-00007C6A0000}"/>
    <cellStyle name="Normal 4 5 3 3 3" xfId="26141" xr:uid="{00000000-0005-0000-0000-00007D6A0000}"/>
    <cellStyle name="Normal 4 5 3 3 4" xfId="49403" xr:uid="{00000000-0005-0000-0000-00007E6A0000}"/>
    <cellStyle name="Normal 4 5 3 4" xfId="16706" xr:uid="{00000000-0005-0000-0000-00007F6A0000}"/>
    <cellStyle name="Normal 4 5 3 4 2" xfId="30838" xr:uid="{00000000-0005-0000-0000-0000806A0000}"/>
    <cellStyle name="Normal 4 5 3 4 3" xfId="44733" xr:uid="{00000000-0005-0000-0000-0000816A0000}"/>
    <cellStyle name="Normal 4 5 3 5" xfId="21519" xr:uid="{00000000-0005-0000-0000-0000826A0000}"/>
    <cellStyle name="Normal 4 5 3 6" xfId="40151" xr:uid="{00000000-0005-0000-0000-0000836A0000}"/>
    <cellStyle name="Normal 4 5 4" xfId="6146" xr:uid="{00000000-0005-0000-0000-0000846A0000}"/>
    <cellStyle name="Normal 4 5 4 2" xfId="6147" xr:uid="{00000000-0005-0000-0000-0000856A0000}"/>
    <cellStyle name="Normal 4 5 4 2 2" xfId="11978" xr:uid="{00000000-0005-0000-0000-0000866A0000}"/>
    <cellStyle name="Normal 4 5 4 2 2 2" xfId="35463" xr:uid="{00000000-0005-0000-0000-0000876A0000}"/>
    <cellStyle name="Normal 4 5 4 2 2 3" xfId="26144" xr:uid="{00000000-0005-0000-0000-0000886A0000}"/>
    <cellStyle name="Normal 4 5 4 2 2 4" xfId="49406" xr:uid="{00000000-0005-0000-0000-0000896A0000}"/>
    <cellStyle name="Normal 4 5 4 2 3" xfId="16709" xr:uid="{00000000-0005-0000-0000-00008A6A0000}"/>
    <cellStyle name="Normal 4 5 4 2 3 2" xfId="30841" xr:uid="{00000000-0005-0000-0000-00008B6A0000}"/>
    <cellStyle name="Normal 4 5 4 2 3 3" xfId="44736" xr:uid="{00000000-0005-0000-0000-00008C6A0000}"/>
    <cellStyle name="Normal 4 5 4 2 4" xfId="21522" xr:uid="{00000000-0005-0000-0000-00008D6A0000}"/>
    <cellStyle name="Normal 4 5 4 2 5" xfId="40154" xr:uid="{00000000-0005-0000-0000-00008E6A0000}"/>
    <cellStyle name="Normal 4 5 4 3" xfId="11977" xr:uid="{00000000-0005-0000-0000-00008F6A0000}"/>
    <cellStyle name="Normal 4 5 4 3 2" xfId="35462" xr:uid="{00000000-0005-0000-0000-0000906A0000}"/>
    <cellStyle name="Normal 4 5 4 3 3" xfId="26143" xr:uid="{00000000-0005-0000-0000-0000916A0000}"/>
    <cellStyle name="Normal 4 5 4 3 4" xfId="49405" xr:uid="{00000000-0005-0000-0000-0000926A0000}"/>
    <cellStyle name="Normal 4 5 4 4" xfId="16708" xr:uid="{00000000-0005-0000-0000-0000936A0000}"/>
    <cellStyle name="Normal 4 5 4 4 2" xfId="30840" xr:uid="{00000000-0005-0000-0000-0000946A0000}"/>
    <cellStyle name="Normal 4 5 4 4 3" xfId="44735" xr:uid="{00000000-0005-0000-0000-0000956A0000}"/>
    <cellStyle name="Normal 4 5 4 5" xfId="21521" xr:uid="{00000000-0005-0000-0000-0000966A0000}"/>
    <cellStyle name="Normal 4 5 4 6" xfId="40153" xr:uid="{00000000-0005-0000-0000-0000976A0000}"/>
    <cellStyle name="Normal 4 5 5" xfId="6148" xr:uid="{00000000-0005-0000-0000-0000986A0000}"/>
    <cellStyle name="Normal 4 5 5 2" xfId="6149" xr:uid="{00000000-0005-0000-0000-0000996A0000}"/>
    <cellStyle name="Normal 4 5 5 2 2" xfId="11980" xr:uid="{00000000-0005-0000-0000-00009A6A0000}"/>
    <cellStyle name="Normal 4 5 5 2 2 2" xfId="35465" xr:uid="{00000000-0005-0000-0000-00009B6A0000}"/>
    <cellStyle name="Normal 4 5 5 2 2 3" xfId="26146" xr:uid="{00000000-0005-0000-0000-00009C6A0000}"/>
    <cellStyle name="Normal 4 5 5 2 2 4" xfId="49408" xr:uid="{00000000-0005-0000-0000-00009D6A0000}"/>
    <cellStyle name="Normal 4 5 5 2 3" xfId="16711" xr:uid="{00000000-0005-0000-0000-00009E6A0000}"/>
    <cellStyle name="Normal 4 5 5 2 3 2" xfId="30843" xr:uid="{00000000-0005-0000-0000-00009F6A0000}"/>
    <cellStyle name="Normal 4 5 5 2 3 3" xfId="44738" xr:uid="{00000000-0005-0000-0000-0000A06A0000}"/>
    <cellStyle name="Normal 4 5 5 2 4" xfId="21524" xr:uid="{00000000-0005-0000-0000-0000A16A0000}"/>
    <cellStyle name="Normal 4 5 5 2 5" xfId="40156" xr:uid="{00000000-0005-0000-0000-0000A26A0000}"/>
    <cellStyle name="Normal 4 5 5 3" xfId="11979" xr:uid="{00000000-0005-0000-0000-0000A36A0000}"/>
    <cellStyle name="Normal 4 5 5 3 2" xfId="35464" xr:uid="{00000000-0005-0000-0000-0000A46A0000}"/>
    <cellStyle name="Normal 4 5 5 3 3" xfId="26145" xr:uid="{00000000-0005-0000-0000-0000A56A0000}"/>
    <cellStyle name="Normal 4 5 5 3 4" xfId="49407" xr:uid="{00000000-0005-0000-0000-0000A66A0000}"/>
    <cellStyle name="Normal 4 5 5 4" xfId="16710" xr:uid="{00000000-0005-0000-0000-0000A76A0000}"/>
    <cellStyle name="Normal 4 5 5 4 2" xfId="30842" xr:uid="{00000000-0005-0000-0000-0000A86A0000}"/>
    <cellStyle name="Normal 4 5 5 4 3" xfId="44737" xr:uid="{00000000-0005-0000-0000-0000A96A0000}"/>
    <cellStyle name="Normal 4 5 5 5" xfId="21523" xr:uid="{00000000-0005-0000-0000-0000AA6A0000}"/>
    <cellStyle name="Normal 4 5 5 6" xfId="40155" xr:uid="{00000000-0005-0000-0000-0000AB6A0000}"/>
    <cellStyle name="Normal 4 5 6" xfId="6150" xr:uid="{00000000-0005-0000-0000-0000AC6A0000}"/>
    <cellStyle name="Normal 4 5 6 2" xfId="6151" xr:uid="{00000000-0005-0000-0000-0000AD6A0000}"/>
    <cellStyle name="Normal 4 5 6 2 2" xfId="11982" xr:uid="{00000000-0005-0000-0000-0000AE6A0000}"/>
    <cellStyle name="Normal 4 5 6 2 2 2" xfId="35467" xr:uid="{00000000-0005-0000-0000-0000AF6A0000}"/>
    <cellStyle name="Normal 4 5 6 2 2 3" xfId="26148" xr:uid="{00000000-0005-0000-0000-0000B06A0000}"/>
    <cellStyle name="Normal 4 5 6 2 2 4" xfId="49410" xr:uid="{00000000-0005-0000-0000-0000B16A0000}"/>
    <cellStyle name="Normal 4 5 6 2 3" xfId="16713" xr:uid="{00000000-0005-0000-0000-0000B26A0000}"/>
    <cellStyle name="Normal 4 5 6 2 3 2" xfId="30845" xr:uid="{00000000-0005-0000-0000-0000B36A0000}"/>
    <cellStyle name="Normal 4 5 6 2 3 3" xfId="44740" xr:uid="{00000000-0005-0000-0000-0000B46A0000}"/>
    <cellStyle name="Normal 4 5 6 2 4" xfId="21526" xr:uid="{00000000-0005-0000-0000-0000B56A0000}"/>
    <cellStyle name="Normal 4 5 6 2 5" xfId="40158" xr:uid="{00000000-0005-0000-0000-0000B66A0000}"/>
    <cellStyle name="Normal 4 5 6 3" xfId="11981" xr:uid="{00000000-0005-0000-0000-0000B76A0000}"/>
    <cellStyle name="Normal 4 5 6 3 2" xfId="35466" xr:uid="{00000000-0005-0000-0000-0000B86A0000}"/>
    <cellStyle name="Normal 4 5 6 3 3" xfId="26147" xr:uid="{00000000-0005-0000-0000-0000B96A0000}"/>
    <cellStyle name="Normal 4 5 6 3 4" xfId="49409" xr:uid="{00000000-0005-0000-0000-0000BA6A0000}"/>
    <cellStyle name="Normal 4 5 6 4" xfId="16712" xr:uid="{00000000-0005-0000-0000-0000BB6A0000}"/>
    <cellStyle name="Normal 4 5 6 4 2" xfId="30844" xr:uid="{00000000-0005-0000-0000-0000BC6A0000}"/>
    <cellStyle name="Normal 4 5 6 4 3" xfId="44739" xr:uid="{00000000-0005-0000-0000-0000BD6A0000}"/>
    <cellStyle name="Normal 4 5 6 5" xfId="21525" xr:uid="{00000000-0005-0000-0000-0000BE6A0000}"/>
    <cellStyle name="Normal 4 5 6 6" xfId="40157" xr:uid="{00000000-0005-0000-0000-0000BF6A0000}"/>
    <cellStyle name="Normal 4 5 7" xfId="6152" xr:uid="{00000000-0005-0000-0000-0000C06A0000}"/>
    <cellStyle name="Normal 4 5 7 2" xfId="6153" xr:uid="{00000000-0005-0000-0000-0000C16A0000}"/>
    <cellStyle name="Normal 4 5 7 2 2" xfId="11984" xr:uid="{00000000-0005-0000-0000-0000C26A0000}"/>
    <cellStyle name="Normal 4 5 7 2 2 2" xfId="35469" xr:uid="{00000000-0005-0000-0000-0000C36A0000}"/>
    <cellStyle name="Normal 4 5 7 2 2 3" xfId="26150" xr:uid="{00000000-0005-0000-0000-0000C46A0000}"/>
    <cellStyle name="Normal 4 5 7 2 2 4" xfId="49412" xr:uid="{00000000-0005-0000-0000-0000C56A0000}"/>
    <cellStyle name="Normal 4 5 7 2 3" xfId="16715" xr:uid="{00000000-0005-0000-0000-0000C66A0000}"/>
    <cellStyle name="Normal 4 5 7 2 3 2" xfId="30847" xr:uid="{00000000-0005-0000-0000-0000C76A0000}"/>
    <cellStyle name="Normal 4 5 7 2 3 3" xfId="44742" xr:uid="{00000000-0005-0000-0000-0000C86A0000}"/>
    <cellStyle name="Normal 4 5 7 2 4" xfId="21528" xr:uid="{00000000-0005-0000-0000-0000C96A0000}"/>
    <cellStyle name="Normal 4 5 7 2 5" xfId="40160" xr:uid="{00000000-0005-0000-0000-0000CA6A0000}"/>
    <cellStyle name="Normal 4 5 7 3" xfId="11983" xr:uid="{00000000-0005-0000-0000-0000CB6A0000}"/>
    <cellStyle name="Normal 4 5 7 3 2" xfId="35468" xr:uid="{00000000-0005-0000-0000-0000CC6A0000}"/>
    <cellStyle name="Normal 4 5 7 3 3" xfId="26149" xr:uid="{00000000-0005-0000-0000-0000CD6A0000}"/>
    <cellStyle name="Normal 4 5 7 3 4" xfId="49411" xr:uid="{00000000-0005-0000-0000-0000CE6A0000}"/>
    <cellStyle name="Normal 4 5 7 4" xfId="16714" xr:uid="{00000000-0005-0000-0000-0000CF6A0000}"/>
    <cellStyle name="Normal 4 5 7 4 2" xfId="30846" xr:uid="{00000000-0005-0000-0000-0000D06A0000}"/>
    <cellStyle name="Normal 4 5 7 4 3" xfId="44741" xr:uid="{00000000-0005-0000-0000-0000D16A0000}"/>
    <cellStyle name="Normal 4 5 7 5" xfId="21527" xr:uid="{00000000-0005-0000-0000-0000D26A0000}"/>
    <cellStyle name="Normal 4 5 7 6" xfId="40159" xr:uid="{00000000-0005-0000-0000-0000D36A0000}"/>
    <cellStyle name="Normal 4 5 8" xfId="6154" xr:uid="{00000000-0005-0000-0000-0000D46A0000}"/>
    <cellStyle name="Normal 4 5 8 2" xfId="6155" xr:uid="{00000000-0005-0000-0000-0000D56A0000}"/>
    <cellStyle name="Normal 4 5 8 2 2" xfId="11986" xr:uid="{00000000-0005-0000-0000-0000D66A0000}"/>
    <cellStyle name="Normal 4 5 8 2 2 2" xfId="35471" xr:uid="{00000000-0005-0000-0000-0000D76A0000}"/>
    <cellStyle name="Normal 4 5 8 2 2 3" xfId="26152" xr:uid="{00000000-0005-0000-0000-0000D86A0000}"/>
    <cellStyle name="Normal 4 5 8 2 2 4" xfId="49414" xr:uid="{00000000-0005-0000-0000-0000D96A0000}"/>
    <cellStyle name="Normal 4 5 8 2 3" xfId="16717" xr:uid="{00000000-0005-0000-0000-0000DA6A0000}"/>
    <cellStyle name="Normal 4 5 8 2 3 2" xfId="30849" xr:uid="{00000000-0005-0000-0000-0000DB6A0000}"/>
    <cellStyle name="Normal 4 5 8 2 3 3" xfId="44744" xr:uid="{00000000-0005-0000-0000-0000DC6A0000}"/>
    <cellStyle name="Normal 4 5 8 2 4" xfId="21530" xr:uid="{00000000-0005-0000-0000-0000DD6A0000}"/>
    <cellStyle name="Normal 4 5 8 2 5" xfId="40162" xr:uid="{00000000-0005-0000-0000-0000DE6A0000}"/>
    <cellStyle name="Normal 4 5 8 3" xfId="11985" xr:uid="{00000000-0005-0000-0000-0000DF6A0000}"/>
    <cellStyle name="Normal 4 5 8 3 2" xfId="35470" xr:uid="{00000000-0005-0000-0000-0000E06A0000}"/>
    <cellStyle name="Normal 4 5 8 3 3" xfId="26151" xr:uid="{00000000-0005-0000-0000-0000E16A0000}"/>
    <cellStyle name="Normal 4 5 8 3 4" xfId="49413" xr:uid="{00000000-0005-0000-0000-0000E26A0000}"/>
    <cellStyle name="Normal 4 5 8 4" xfId="16716" xr:uid="{00000000-0005-0000-0000-0000E36A0000}"/>
    <cellStyle name="Normal 4 5 8 4 2" xfId="30848" xr:uid="{00000000-0005-0000-0000-0000E46A0000}"/>
    <cellStyle name="Normal 4 5 8 4 3" xfId="44743" xr:uid="{00000000-0005-0000-0000-0000E56A0000}"/>
    <cellStyle name="Normal 4 5 8 5" xfId="21529" xr:uid="{00000000-0005-0000-0000-0000E66A0000}"/>
    <cellStyle name="Normal 4 5 8 6" xfId="40161" xr:uid="{00000000-0005-0000-0000-0000E76A0000}"/>
    <cellStyle name="Normal 4 5 9" xfId="6156" xr:uid="{00000000-0005-0000-0000-0000E86A0000}"/>
    <cellStyle name="Normal 4 5 9 2" xfId="6157" xr:uid="{00000000-0005-0000-0000-0000E96A0000}"/>
    <cellStyle name="Normal 4 5 9 2 2" xfId="11988" xr:uid="{00000000-0005-0000-0000-0000EA6A0000}"/>
    <cellStyle name="Normal 4 5 9 2 2 2" xfId="35473" xr:uid="{00000000-0005-0000-0000-0000EB6A0000}"/>
    <cellStyle name="Normal 4 5 9 2 2 3" xfId="26154" xr:uid="{00000000-0005-0000-0000-0000EC6A0000}"/>
    <cellStyle name="Normal 4 5 9 2 2 4" xfId="49416" xr:uid="{00000000-0005-0000-0000-0000ED6A0000}"/>
    <cellStyle name="Normal 4 5 9 2 3" xfId="16719" xr:uid="{00000000-0005-0000-0000-0000EE6A0000}"/>
    <cellStyle name="Normal 4 5 9 2 3 2" xfId="30851" xr:uid="{00000000-0005-0000-0000-0000EF6A0000}"/>
    <cellStyle name="Normal 4 5 9 2 3 3" xfId="44746" xr:uid="{00000000-0005-0000-0000-0000F06A0000}"/>
    <cellStyle name="Normal 4 5 9 2 4" xfId="21532" xr:uid="{00000000-0005-0000-0000-0000F16A0000}"/>
    <cellStyle name="Normal 4 5 9 2 5" xfId="40164" xr:uid="{00000000-0005-0000-0000-0000F26A0000}"/>
    <cellStyle name="Normal 4 5 9 3" xfId="11987" xr:uid="{00000000-0005-0000-0000-0000F36A0000}"/>
    <cellStyle name="Normal 4 5 9 3 2" xfId="35472" xr:uid="{00000000-0005-0000-0000-0000F46A0000}"/>
    <cellStyle name="Normal 4 5 9 3 3" xfId="26153" xr:uid="{00000000-0005-0000-0000-0000F56A0000}"/>
    <cellStyle name="Normal 4 5 9 3 4" xfId="49415" xr:uid="{00000000-0005-0000-0000-0000F66A0000}"/>
    <cellStyle name="Normal 4 5 9 4" xfId="16718" xr:uid="{00000000-0005-0000-0000-0000F76A0000}"/>
    <cellStyle name="Normal 4 5 9 4 2" xfId="30850" xr:uid="{00000000-0005-0000-0000-0000F86A0000}"/>
    <cellStyle name="Normal 4 5 9 4 3" xfId="44745" xr:uid="{00000000-0005-0000-0000-0000F96A0000}"/>
    <cellStyle name="Normal 4 5 9 5" xfId="21531" xr:uid="{00000000-0005-0000-0000-0000FA6A0000}"/>
    <cellStyle name="Normal 4 5 9 6" xfId="40163" xr:uid="{00000000-0005-0000-0000-0000FB6A0000}"/>
    <cellStyle name="Normal 4 50" xfId="6158" xr:uid="{00000000-0005-0000-0000-0000FC6A0000}"/>
    <cellStyle name="Normal 4 50 2" xfId="6159" xr:uid="{00000000-0005-0000-0000-0000FD6A0000}"/>
    <cellStyle name="Normal 4 50 2 2" xfId="11990" xr:uid="{00000000-0005-0000-0000-0000FE6A0000}"/>
    <cellStyle name="Normal 4 50 2 2 2" xfId="35475" xr:uid="{00000000-0005-0000-0000-0000FF6A0000}"/>
    <cellStyle name="Normal 4 50 2 2 3" xfId="26156" xr:uid="{00000000-0005-0000-0000-0000006B0000}"/>
    <cellStyle name="Normal 4 50 2 2 4" xfId="49418" xr:uid="{00000000-0005-0000-0000-0000016B0000}"/>
    <cellStyle name="Normal 4 50 2 3" xfId="16721" xr:uid="{00000000-0005-0000-0000-0000026B0000}"/>
    <cellStyle name="Normal 4 50 2 3 2" xfId="30853" xr:uid="{00000000-0005-0000-0000-0000036B0000}"/>
    <cellStyle name="Normal 4 50 2 3 3" xfId="44748" xr:uid="{00000000-0005-0000-0000-0000046B0000}"/>
    <cellStyle name="Normal 4 50 2 4" xfId="21534" xr:uid="{00000000-0005-0000-0000-0000056B0000}"/>
    <cellStyle name="Normal 4 50 2 5" xfId="40166" xr:uid="{00000000-0005-0000-0000-0000066B0000}"/>
    <cellStyle name="Normal 4 50 3" xfId="11989" xr:uid="{00000000-0005-0000-0000-0000076B0000}"/>
    <cellStyle name="Normal 4 50 3 2" xfId="35474" xr:uid="{00000000-0005-0000-0000-0000086B0000}"/>
    <cellStyle name="Normal 4 50 3 3" xfId="26155" xr:uid="{00000000-0005-0000-0000-0000096B0000}"/>
    <cellStyle name="Normal 4 50 3 4" xfId="49417" xr:uid="{00000000-0005-0000-0000-00000A6B0000}"/>
    <cellStyle name="Normal 4 50 4" xfId="16720" xr:uid="{00000000-0005-0000-0000-00000B6B0000}"/>
    <cellStyle name="Normal 4 50 4 2" xfId="30852" xr:uid="{00000000-0005-0000-0000-00000C6B0000}"/>
    <cellStyle name="Normal 4 50 4 3" xfId="44747" xr:uid="{00000000-0005-0000-0000-00000D6B0000}"/>
    <cellStyle name="Normal 4 50 5" xfId="21533" xr:uid="{00000000-0005-0000-0000-00000E6B0000}"/>
    <cellStyle name="Normal 4 50 6" xfId="40165" xr:uid="{00000000-0005-0000-0000-00000F6B0000}"/>
    <cellStyle name="Normal 4 51" xfId="6160" xr:uid="{00000000-0005-0000-0000-0000106B0000}"/>
    <cellStyle name="Normal 4 51 2" xfId="6161" xr:uid="{00000000-0005-0000-0000-0000116B0000}"/>
    <cellStyle name="Normal 4 51 2 2" xfId="11992" xr:uid="{00000000-0005-0000-0000-0000126B0000}"/>
    <cellStyle name="Normal 4 51 2 2 2" xfId="35477" xr:uid="{00000000-0005-0000-0000-0000136B0000}"/>
    <cellStyle name="Normal 4 51 2 2 3" xfId="26158" xr:uid="{00000000-0005-0000-0000-0000146B0000}"/>
    <cellStyle name="Normal 4 51 2 2 4" xfId="49420" xr:uid="{00000000-0005-0000-0000-0000156B0000}"/>
    <cellStyle name="Normal 4 51 2 3" xfId="16723" xr:uid="{00000000-0005-0000-0000-0000166B0000}"/>
    <cellStyle name="Normal 4 51 2 3 2" xfId="30855" xr:uid="{00000000-0005-0000-0000-0000176B0000}"/>
    <cellStyle name="Normal 4 51 2 3 3" xfId="44750" xr:uid="{00000000-0005-0000-0000-0000186B0000}"/>
    <cellStyle name="Normal 4 51 2 4" xfId="21536" xr:uid="{00000000-0005-0000-0000-0000196B0000}"/>
    <cellStyle name="Normal 4 51 2 5" xfId="40168" xr:uid="{00000000-0005-0000-0000-00001A6B0000}"/>
    <cellStyle name="Normal 4 51 3" xfId="11991" xr:uid="{00000000-0005-0000-0000-00001B6B0000}"/>
    <cellStyle name="Normal 4 51 3 2" xfId="35476" xr:uid="{00000000-0005-0000-0000-00001C6B0000}"/>
    <cellStyle name="Normal 4 51 3 3" xfId="26157" xr:uid="{00000000-0005-0000-0000-00001D6B0000}"/>
    <cellStyle name="Normal 4 51 3 4" xfId="49419" xr:uid="{00000000-0005-0000-0000-00001E6B0000}"/>
    <cellStyle name="Normal 4 51 4" xfId="16722" xr:uid="{00000000-0005-0000-0000-00001F6B0000}"/>
    <cellStyle name="Normal 4 51 4 2" xfId="30854" xr:uid="{00000000-0005-0000-0000-0000206B0000}"/>
    <cellStyle name="Normal 4 51 4 3" xfId="44749" xr:uid="{00000000-0005-0000-0000-0000216B0000}"/>
    <cellStyle name="Normal 4 51 5" xfId="21535" xr:uid="{00000000-0005-0000-0000-0000226B0000}"/>
    <cellStyle name="Normal 4 51 6" xfId="40167" xr:uid="{00000000-0005-0000-0000-0000236B0000}"/>
    <cellStyle name="Normal 4 52" xfId="6162" xr:uid="{00000000-0005-0000-0000-0000246B0000}"/>
    <cellStyle name="Normal 4 52 2" xfId="6163" xr:uid="{00000000-0005-0000-0000-0000256B0000}"/>
    <cellStyle name="Normal 4 52 2 2" xfId="11994" xr:uid="{00000000-0005-0000-0000-0000266B0000}"/>
    <cellStyle name="Normal 4 52 2 2 2" xfId="35479" xr:uid="{00000000-0005-0000-0000-0000276B0000}"/>
    <cellStyle name="Normal 4 52 2 2 3" xfId="26160" xr:uid="{00000000-0005-0000-0000-0000286B0000}"/>
    <cellStyle name="Normal 4 52 2 2 4" xfId="49422" xr:uid="{00000000-0005-0000-0000-0000296B0000}"/>
    <cellStyle name="Normal 4 52 2 3" xfId="16725" xr:uid="{00000000-0005-0000-0000-00002A6B0000}"/>
    <cellStyle name="Normal 4 52 2 3 2" xfId="30857" xr:uid="{00000000-0005-0000-0000-00002B6B0000}"/>
    <cellStyle name="Normal 4 52 2 3 3" xfId="44752" xr:uid="{00000000-0005-0000-0000-00002C6B0000}"/>
    <cellStyle name="Normal 4 52 2 4" xfId="21538" xr:uid="{00000000-0005-0000-0000-00002D6B0000}"/>
    <cellStyle name="Normal 4 52 2 5" xfId="40170" xr:uid="{00000000-0005-0000-0000-00002E6B0000}"/>
    <cellStyle name="Normal 4 52 3" xfId="11993" xr:uid="{00000000-0005-0000-0000-00002F6B0000}"/>
    <cellStyle name="Normal 4 52 3 2" xfId="35478" xr:uid="{00000000-0005-0000-0000-0000306B0000}"/>
    <cellStyle name="Normal 4 52 3 3" xfId="26159" xr:uid="{00000000-0005-0000-0000-0000316B0000}"/>
    <cellStyle name="Normal 4 52 3 4" xfId="49421" xr:uid="{00000000-0005-0000-0000-0000326B0000}"/>
    <cellStyle name="Normal 4 52 4" xfId="16724" xr:uid="{00000000-0005-0000-0000-0000336B0000}"/>
    <cellStyle name="Normal 4 52 4 2" xfId="30856" xr:uid="{00000000-0005-0000-0000-0000346B0000}"/>
    <cellStyle name="Normal 4 52 4 3" xfId="44751" xr:uid="{00000000-0005-0000-0000-0000356B0000}"/>
    <cellStyle name="Normal 4 52 5" xfId="21537" xr:uid="{00000000-0005-0000-0000-0000366B0000}"/>
    <cellStyle name="Normal 4 52 6" xfId="40169" xr:uid="{00000000-0005-0000-0000-0000376B0000}"/>
    <cellStyle name="Normal 4 53" xfId="6164" xr:uid="{00000000-0005-0000-0000-0000386B0000}"/>
    <cellStyle name="Normal 4 53 2" xfId="6165" xr:uid="{00000000-0005-0000-0000-0000396B0000}"/>
    <cellStyle name="Normal 4 53 2 2" xfId="11996" xr:uid="{00000000-0005-0000-0000-00003A6B0000}"/>
    <cellStyle name="Normal 4 53 2 2 2" xfId="35481" xr:uid="{00000000-0005-0000-0000-00003B6B0000}"/>
    <cellStyle name="Normal 4 53 2 2 3" xfId="26162" xr:uid="{00000000-0005-0000-0000-00003C6B0000}"/>
    <cellStyle name="Normal 4 53 2 2 4" xfId="49424" xr:uid="{00000000-0005-0000-0000-00003D6B0000}"/>
    <cellStyle name="Normal 4 53 2 3" xfId="16727" xr:uid="{00000000-0005-0000-0000-00003E6B0000}"/>
    <cellStyle name="Normal 4 53 2 3 2" xfId="30859" xr:uid="{00000000-0005-0000-0000-00003F6B0000}"/>
    <cellStyle name="Normal 4 53 2 3 3" xfId="44754" xr:uid="{00000000-0005-0000-0000-0000406B0000}"/>
    <cellStyle name="Normal 4 53 2 4" xfId="21540" xr:uid="{00000000-0005-0000-0000-0000416B0000}"/>
    <cellStyle name="Normal 4 53 2 5" xfId="40172" xr:uid="{00000000-0005-0000-0000-0000426B0000}"/>
    <cellStyle name="Normal 4 53 3" xfId="11995" xr:uid="{00000000-0005-0000-0000-0000436B0000}"/>
    <cellStyle name="Normal 4 53 3 2" xfId="35480" xr:uid="{00000000-0005-0000-0000-0000446B0000}"/>
    <cellStyle name="Normal 4 53 3 3" xfId="26161" xr:uid="{00000000-0005-0000-0000-0000456B0000}"/>
    <cellStyle name="Normal 4 53 3 4" xfId="49423" xr:uid="{00000000-0005-0000-0000-0000466B0000}"/>
    <cellStyle name="Normal 4 53 4" xfId="16726" xr:uid="{00000000-0005-0000-0000-0000476B0000}"/>
    <cellStyle name="Normal 4 53 4 2" xfId="30858" xr:uid="{00000000-0005-0000-0000-0000486B0000}"/>
    <cellStyle name="Normal 4 53 4 3" xfId="44753" xr:uid="{00000000-0005-0000-0000-0000496B0000}"/>
    <cellStyle name="Normal 4 53 5" xfId="21539" xr:uid="{00000000-0005-0000-0000-00004A6B0000}"/>
    <cellStyle name="Normal 4 53 6" xfId="40171" xr:uid="{00000000-0005-0000-0000-00004B6B0000}"/>
    <cellStyle name="Normal 4 54" xfId="6166" xr:uid="{00000000-0005-0000-0000-00004C6B0000}"/>
    <cellStyle name="Normal 4 54 2" xfId="6167" xr:uid="{00000000-0005-0000-0000-00004D6B0000}"/>
    <cellStyle name="Normal 4 54 2 2" xfId="11998" xr:uid="{00000000-0005-0000-0000-00004E6B0000}"/>
    <cellStyle name="Normal 4 54 2 2 2" xfId="35483" xr:uid="{00000000-0005-0000-0000-00004F6B0000}"/>
    <cellStyle name="Normal 4 54 2 2 3" xfId="26164" xr:uid="{00000000-0005-0000-0000-0000506B0000}"/>
    <cellStyle name="Normal 4 54 2 2 4" xfId="49426" xr:uid="{00000000-0005-0000-0000-0000516B0000}"/>
    <cellStyle name="Normal 4 54 2 3" xfId="16729" xr:uid="{00000000-0005-0000-0000-0000526B0000}"/>
    <cellStyle name="Normal 4 54 2 3 2" xfId="30861" xr:uid="{00000000-0005-0000-0000-0000536B0000}"/>
    <cellStyle name="Normal 4 54 2 3 3" xfId="44756" xr:uid="{00000000-0005-0000-0000-0000546B0000}"/>
    <cellStyle name="Normal 4 54 2 4" xfId="21542" xr:uid="{00000000-0005-0000-0000-0000556B0000}"/>
    <cellStyle name="Normal 4 54 2 5" xfId="40174" xr:uid="{00000000-0005-0000-0000-0000566B0000}"/>
    <cellStyle name="Normal 4 54 3" xfId="11997" xr:uid="{00000000-0005-0000-0000-0000576B0000}"/>
    <cellStyle name="Normal 4 54 3 2" xfId="35482" xr:uid="{00000000-0005-0000-0000-0000586B0000}"/>
    <cellStyle name="Normal 4 54 3 3" xfId="26163" xr:uid="{00000000-0005-0000-0000-0000596B0000}"/>
    <cellStyle name="Normal 4 54 3 4" xfId="49425" xr:uid="{00000000-0005-0000-0000-00005A6B0000}"/>
    <cellStyle name="Normal 4 54 4" xfId="16728" xr:uid="{00000000-0005-0000-0000-00005B6B0000}"/>
    <cellStyle name="Normal 4 54 4 2" xfId="30860" xr:uid="{00000000-0005-0000-0000-00005C6B0000}"/>
    <cellStyle name="Normal 4 54 4 3" xfId="44755" xr:uid="{00000000-0005-0000-0000-00005D6B0000}"/>
    <cellStyle name="Normal 4 54 5" xfId="21541" xr:uid="{00000000-0005-0000-0000-00005E6B0000}"/>
    <cellStyle name="Normal 4 54 6" xfId="40173" xr:uid="{00000000-0005-0000-0000-00005F6B0000}"/>
    <cellStyle name="Normal 4 55" xfId="6168" xr:uid="{00000000-0005-0000-0000-0000606B0000}"/>
    <cellStyle name="Normal 4 55 2" xfId="6169" xr:uid="{00000000-0005-0000-0000-0000616B0000}"/>
    <cellStyle name="Normal 4 55 2 2" xfId="12000" xr:uid="{00000000-0005-0000-0000-0000626B0000}"/>
    <cellStyle name="Normal 4 55 2 2 2" xfId="35485" xr:uid="{00000000-0005-0000-0000-0000636B0000}"/>
    <cellStyle name="Normal 4 55 2 2 3" xfId="26166" xr:uid="{00000000-0005-0000-0000-0000646B0000}"/>
    <cellStyle name="Normal 4 55 2 2 4" xfId="49428" xr:uid="{00000000-0005-0000-0000-0000656B0000}"/>
    <cellStyle name="Normal 4 55 2 3" xfId="16731" xr:uid="{00000000-0005-0000-0000-0000666B0000}"/>
    <cellStyle name="Normal 4 55 2 3 2" xfId="30863" xr:uid="{00000000-0005-0000-0000-0000676B0000}"/>
    <cellStyle name="Normal 4 55 2 3 3" xfId="44758" xr:uid="{00000000-0005-0000-0000-0000686B0000}"/>
    <cellStyle name="Normal 4 55 2 4" xfId="21544" xr:uid="{00000000-0005-0000-0000-0000696B0000}"/>
    <cellStyle name="Normal 4 55 2 5" xfId="40176" xr:uid="{00000000-0005-0000-0000-00006A6B0000}"/>
    <cellStyle name="Normal 4 55 3" xfId="11999" xr:uid="{00000000-0005-0000-0000-00006B6B0000}"/>
    <cellStyle name="Normal 4 55 3 2" xfId="35484" xr:uid="{00000000-0005-0000-0000-00006C6B0000}"/>
    <cellStyle name="Normal 4 55 3 3" xfId="26165" xr:uid="{00000000-0005-0000-0000-00006D6B0000}"/>
    <cellStyle name="Normal 4 55 3 4" xfId="49427" xr:uid="{00000000-0005-0000-0000-00006E6B0000}"/>
    <cellStyle name="Normal 4 55 4" xfId="16730" xr:uid="{00000000-0005-0000-0000-00006F6B0000}"/>
    <cellStyle name="Normal 4 55 4 2" xfId="30862" xr:uid="{00000000-0005-0000-0000-0000706B0000}"/>
    <cellStyle name="Normal 4 55 4 3" xfId="44757" xr:uid="{00000000-0005-0000-0000-0000716B0000}"/>
    <cellStyle name="Normal 4 55 5" xfId="21543" xr:uid="{00000000-0005-0000-0000-0000726B0000}"/>
    <cellStyle name="Normal 4 55 6" xfId="40175" xr:uid="{00000000-0005-0000-0000-0000736B0000}"/>
    <cellStyle name="Normal 4 56" xfId="6170" xr:uid="{00000000-0005-0000-0000-0000746B0000}"/>
    <cellStyle name="Normal 4 56 2" xfId="6171" xr:uid="{00000000-0005-0000-0000-0000756B0000}"/>
    <cellStyle name="Normal 4 56 2 2" xfId="12002" xr:uid="{00000000-0005-0000-0000-0000766B0000}"/>
    <cellStyle name="Normal 4 56 2 2 2" xfId="35487" xr:uid="{00000000-0005-0000-0000-0000776B0000}"/>
    <cellStyle name="Normal 4 56 2 2 3" xfId="26168" xr:uid="{00000000-0005-0000-0000-0000786B0000}"/>
    <cellStyle name="Normal 4 56 2 2 4" xfId="49430" xr:uid="{00000000-0005-0000-0000-0000796B0000}"/>
    <cellStyle name="Normal 4 56 2 3" xfId="16733" xr:uid="{00000000-0005-0000-0000-00007A6B0000}"/>
    <cellStyle name="Normal 4 56 2 3 2" xfId="30865" xr:uid="{00000000-0005-0000-0000-00007B6B0000}"/>
    <cellStyle name="Normal 4 56 2 3 3" xfId="44760" xr:uid="{00000000-0005-0000-0000-00007C6B0000}"/>
    <cellStyle name="Normal 4 56 2 4" xfId="21546" xr:uid="{00000000-0005-0000-0000-00007D6B0000}"/>
    <cellStyle name="Normal 4 56 2 5" xfId="40178" xr:uid="{00000000-0005-0000-0000-00007E6B0000}"/>
    <cellStyle name="Normal 4 56 3" xfId="12001" xr:uid="{00000000-0005-0000-0000-00007F6B0000}"/>
    <cellStyle name="Normal 4 56 3 2" xfId="35486" xr:uid="{00000000-0005-0000-0000-0000806B0000}"/>
    <cellStyle name="Normal 4 56 3 3" xfId="26167" xr:uid="{00000000-0005-0000-0000-0000816B0000}"/>
    <cellStyle name="Normal 4 56 3 4" xfId="49429" xr:uid="{00000000-0005-0000-0000-0000826B0000}"/>
    <cellStyle name="Normal 4 56 4" xfId="16732" xr:uid="{00000000-0005-0000-0000-0000836B0000}"/>
    <cellStyle name="Normal 4 56 4 2" xfId="30864" xr:uid="{00000000-0005-0000-0000-0000846B0000}"/>
    <cellStyle name="Normal 4 56 4 3" xfId="44759" xr:uid="{00000000-0005-0000-0000-0000856B0000}"/>
    <cellStyle name="Normal 4 56 5" xfId="21545" xr:uid="{00000000-0005-0000-0000-0000866B0000}"/>
    <cellStyle name="Normal 4 56 6" xfId="40177" xr:uid="{00000000-0005-0000-0000-0000876B0000}"/>
    <cellStyle name="Normal 4 57" xfId="6172" xr:uid="{00000000-0005-0000-0000-0000886B0000}"/>
    <cellStyle name="Normal 4 57 2" xfId="6173" xr:uid="{00000000-0005-0000-0000-0000896B0000}"/>
    <cellStyle name="Normal 4 57 2 2" xfId="12004" xr:uid="{00000000-0005-0000-0000-00008A6B0000}"/>
    <cellStyle name="Normal 4 57 2 2 2" xfId="35489" xr:uid="{00000000-0005-0000-0000-00008B6B0000}"/>
    <cellStyle name="Normal 4 57 2 2 3" xfId="26170" xr:uid="{00000000-0005-0000-0000-00008C6B0000}"/>
    <cellStyle name="Normal 4 57 2 2 4" xfId="49432" xr:uid="{00000000-0005-0000-0000-00008D6B0000}"/>
    <cellStyle name="Normal 4 57 2 3" xfId="16735" xr:uid="{00000000-0005-0000-0000-00008E6B0000}"/>
    <cellStyle name="Normal 4 57 2 3 2" xfId="30867" xr:uid="{00000000-0005-0000-0000-00008F6B0000}"/>
    <cellStyle name="Normal 4 57 2 3 3" xfId="44762" xr:uid="{00000000-0005-0000-0000-0000906B0000}"/>
    <cellStyle name="Normal 4 57 2 4" xfId="21548" xr:uid="{00000000-0005-0000-0000-0000916B0000}"/>
    <cellStyle name="Normal 4 57 2 5" xfId="40180" xr:uid="{00000000-0005-0000-0000-0000926B0000}"/>
    <cellStyle name="Normal 4 57 3" xfId="12003" xr:uid="{00000000-0005-0000-0000-0000936B0000}"/>
    <cellStyle name="Normal 4 57 3 2" xfId="35488" xr:uid="{00000000-0005-0000-0000-0000946B0000}"/>
    <cellStyle name="Normal 4 57 3 3" xfId="26169" xr:uid="{00000000-0005-0000-0000-0000956B0000}"/>
    <cellStyle name="Normal 4 57 3 4" xfId="49431" xr:uid="{00000000-0005-0000-0000-0000966B0000}"/>
    <cellStyle name="Normal 4 57 4" xfId="16734" xr:uid="{00000000-0005-0000-0000-0000976B0000}"/>
    <cellStyle name="Normal 4 57 4 2" xfId="30866" xr:uid="{00000000-0005-0000-0000-0000986B0000}"/>
    <cellStyle name="Normal 4 57 4 3" xfId="44761" xr:uid="{00000000-0005-0000-0000-0000996B0000}"/>
    <cellStyle name="Normal 4 57 5" xfId="21547" xr:uid="{00000000-0005-0000-0000-00009A6B0000}"/>
    <cellStyle name="Normal 4 57 6" xfId="40179" xr:uid="{00000000-0005-0000-0000-00009B6B0000}"/>
    <cellStyle name="Normal 4 58" xfId="6174" xr:uid="{00000000-0005-0000-0000-00009C6B0000}"/>
    <cellStyle name="Normal 4 58 2" xfId="6175" xr:uid="{00000000-0005-0000-0000-00009D6B0000}"/>
    <cellStyle name="Normal 4 58 2 2" xfId="12006" xr:uid="{00000000-0005-0000-0000-00009E6B0000}"/>
    <cellStyle name="Normal 4 58 2 2 2" xfId="35491" xr:uid="{00000000-0005-0000-0000-00009F6B0000}"/>
    <cellStyle name="Normal 4 58 2 2 3" xfId="26172" xr:uid="{00000000-0005-0000-0000-0000A06B0000}"/>
    <cellStyle name="Normal 4 58 2 2 4" xfId="49434" xr:uid="{00000000-0005-0000-0000-0000A16B0000}"/>
    <cellStyle name="Normal 4 58 2 3" xfId="16737" xr:uid="{00000000-0005-0000-0000-0000A26B0000}"/>
    <cellStyle name="Normal 4 58 2 3 2" xfId="30869" xr:uid="{00000000-0005-0000-0000-0000A36B0000}"/>
    <cellStyle name="Normal 4 58 2 3 3" xfId="44764" xr:uid="{00000000-0005-0000-0000-0000A46B0000}"/>
    <cellStyle name="Normal 4 58 2 4" xfId="21550" xr:uid="{00000000-0005-0000-0000-0000A56B0000}"/>
    <cellStyle name="Normal 4 58 2 5" xfId="40182" xr:uid="{00000000-0005-0000-0000-0000A66B0000}"/>
    <cellStyle name="Normal 4 58 3" xfId="12005" xr:uid="{00000000-0005-0000-0000-0000A76B0000}"/>
    <cellStyle name="Normal 4 58 3 2" xfId="35490" xr:uid="{00000000-0005-0000-0000-0000A86B0000}"/>
    <cellStyle name="Normal 4 58 3 3" xfId="26171" xr:uid="{00000000-0005-0000-0000-0000A96B0000}"/>
    <cellStyle name="Normal 4 58 3 4" xfId="49433" xr:uid="{00000000-0005-0000-0000-0000AA6B0000}"/>
    <cellStyle name="Normal 4 58 4" xfId="16736" xr:uid="{00000000-0005-0000-0000-0000AB6B0000}"/>
    <cellStyle name="Normal 4 58 4 2" xfId="30868" xr:uid="{00000000-0005-0000-0000-0000AC6B0000}"/>
    <cellStyle name="Normal 4 58 4 3" xfId="44763" xr:uid="{00000000-0005-0000-0000-0000AD6B0000}"/>
    <cellStyle name="Normal 4 58 5" xfId="21549" xr:uid="{00000000-0005-0000-0000-0000AE6B0000}"/>
    <cellStyle name="Normal 4 58 6" xfId="40181" xr:uid="{00000000-0005-0000-0000-0000AF6B0000}"/>
    <cellStyle name="Normal 4 59" xfId="6176" xr:uid="{00000000-0005-0000-0000-0000B06B0000}"/>
    <cellStyle name="Normal 4 59 2" xfId="6177" xr:uid="{00000000-0005-0000-0000-0000B16B0000}"/>
    <cellStyle name="Normal 4 59 2 2" xfId="12008" xr:uid="{00000000-0005-0000-0000-0000B26B0000}"/>
    <cellStyle name="Normal 4 59 2 2 2" xfId="35493" xr:uid="{00000000-0005-0000-0000-0000B36B0000}"/>
    <cellStyle name="Normal 4 59 2 2 3" xfId="26174" xr:uid="{00000000-0005-0000-0000-0000B46B0000}"/>
    <cellStyle name="Normal 4 59 2 2 4" xfId="49436" xr:uid="{00000000-0005-0000-0000-0000B56B0000}"/>
    <cellStyle name="Normal 4 59 2 3" xfId="16739" xr:uid="{00000000-0005-0000-0000-0000B66B0000}"/>
    <cellStyle name="Normal 4 59 2 3 2" xfId="30871" xr:uid="{00000000-0005-0000-0000-0000B76B0000}"/>
    <cellStyle name="Normal 4 59 2 3 3" xfId="44766" xr:uid="{00000000-0005-0000-0000-0000B86B0000}"/>
    <cellStyle name="Normal 4 59 2 4" xfId="21552" xr:uid="{00000000-0005-0000-0000-0000B96B0000}"/>
    <cellStyle name="Normal 4 59 2 5" xfId="40184" xr:uid="{00000000-0005-0000-0000-0000BA6B0000}"/>
    <cellStyle name="Normal 4 59 3" xfId="12007" xr:uid="{00000000-0005-0000-0000-0000BB6B0000}"/>
    <cellStyle name="Normal 4 59 3 2" xfId="35492" xr:uid="{00000000-0005-0000-0000-0000BC6B0000}"/>
    <cellStyle name="Normal 4 59 3 3" xfId="26173" xr:uid="{00000000-0005-0000-0000-0000BD6B0000}"/>
    <cellStyle name="Normal 4 59 3 4" xfId="49435" xr:uid="{00000000-0005-0000-0000-0000BE6B0000}"/>
    <cellStyle name="Normal 4 59 4" xfId="16738" xr:uid="{00000000-0005-0000-0000-0000BF6B0000}"/>
    <cellStyle name="Normal 4 59 4 2" xfId="30870" xr:uid="{00000000-0005-0000-0000-0000C06B0000}"/>
    <cellStyle name="Normal 4 59 4 3" xfId="44765" xr:uid="{00000000-0005-0000-0000-0000C16B0000}"/>
    <cellStyle name="Normal 4 59 5" xfId="21551" xr:uid="{00000000-0005-0000-0000-0000C26B0000}"/>
    <cellStyle name="Normal 4 59 6" xfId="40183" xr:uid="{00000000-0005-0000-0000-0000C36B0000}"/>
    <cellStyle name="Normal 4 6" xfId="6178" xr:uid="{00000000-0005-0000-0000-0000C46B0000}"/>
    <cellStyle name="Normal 4 6 10" xfId="6179" xr:uid="{00000000-0005-0000-0000-0000C56B0000}"/>
    <cellStyle name="Normal 4 6 10 2" xfId="6180" xr:uid="{00000000-0005-0000-0000-0000C66B0000}"/>
    <cellStyle name="Normal 4 6 10 2 2" xfId="12011" xr:uid="{00000000-0005-0000-0000-0000C76B0000}"/>
    <cellStyle name="Normal 4 6 10 2 2 2" xfId="35496" xr:uid="{00000000-0005-0000-0000-0000C86B0000}"/>
    <cellStyle name="Normal 4 6 10 2 2 3" xfId="26177" xr:uid="{00000000-0005-0000-0000-0000C96B0000}"/>
    <cellStyle name="Normal 4 6 10 2 2 4" xfId="49439" xr:uid="{00000000-0005-0000-0000-0000CA6B0000}"/>
    <cellStyle name="Normal 4 6 10 2 3" xfId="16742" xr:uid="{00000000-0005-0000-0000-0000CB6B0000}"/>
    <cellStyle name="Normal 4 6 10 2 3 2" xfId="30874" xr:uid="{00000000-0005-0000-0000-0000CC6B0000}"/>
    <cellStyle name="Normal 4 6 10 2 3 3" xfId="44769" xr:uid="{00000000-0005-0000-0000-0000CD6B0000}"/>
    <cellStyle name="Normal 4 6 10 2 4" xfId="21555" xr:uid="{00000000-0005-0000-0000-0000CE6B0000}"/>
    <cellStyle name="Normal 4 6 10 2 5" xfId="40187" xr:uid="{00000000-0005-0000-0000-0000CF6B0000}"/>
    <cellStyle name="Normal 4 6 10 3" xfId="12010" xr:uid="{00000000-0005-0000-0000-0000D06B0000}"/>
    <cellStyle name="Normal 4 6 10 3 2" xfId="35495" xr:uid="{00000000-0005-0000-0000-0000D16B0000}"/>
    <cellStyle name="Normal 4 6 10 3 3" xfId="26176" xr:uid="{00000000-0005-0000-0000-0000D26B0000}"/>
    <cellStyle name="Normal 4 6 10 3 4" xfId="49438" xr:uid="{00000000-0005-0000-0000-0000D36B0000}"/>
    <cellStyle name="Normal 4 6 10 4" xfId="16741" xr:uid="{00000000-0005-0000-0000-0000D46B0000}"/>
    <cellStyle name="Normal 4 6 10 4 2" xfId="30873" xr:uid="{00000000-0005-0000-0000-0000D56B0000}"/>
    <cellStyle name="Normal 4 6 10 4 3" xfId="44768" xr:uid="{00000000-0005-0000-0000-0000D66B0000}"/>
    <cellStyle name="Normal 4 6 10 5" xfId="21554" xr:uid="{00000000-0005-0000-0000-0000D76B0000}"/>
    <cellStyle name="Normal 4 6 10 6" xfId="40186" xr:uid="{00000000-0005-0000-0000-0000D86B0000}"/>
    <cellStyle name="Normal 4 6 11" xfId="6181" xr:uid="{00000000-0005-0000-0000-0000D96B0000}"/>
    <cellStyle name="Normal 4 6 11 2" xfId="12012" xr:uid="{00000000-0005-0000-0000-0000DA6B0000}"/>
    <cellStyle name="Normal 4 6 11 2 2" xfId="35497" xr:uid="{00000000-0005-0000-0000-0000DB6B0000}"/>
    <cellStyle name="Normal 4 6 11 2 3" xfId="26178" xr:uid="{00000000-0005-0000-0000-0000DC6B0000}"/>
    <cellStyle name="Normal 4 6 11 2 4" xfId="49440" xr:uid="{00000000-0005-0000-0000-0000DD6B0000}"/>
    <cellStyle name="Normal 4 6 11 3" xfId="16743" xr:uid="{00000000-0005-0000-0000-0000DE6B0000}"/>
    <cellStyle name="Normal 4 6 11 3 2" xfId="30875" xr:uid="{00000000-0005-0000-0000-0000DF6B0000}"/>
    <cellStyle name="Normal 4 6 11 3 3" xfId="44770" xr:uid="{00000000-0005-0000-0000-0000E06B0000}"/>
    <cellStyle name="Normal 4 6 11 4" xfId="21556" xr:uid="{00000000-0005-0000-0000-0000E16B0000}"/>
    <cellStyle name="Normal 4 6 11 5" xfId="40188" xr:uid="{00000000-0005-0000-0000-0000E26B0000}"/>
    <cellStyle name="Normal 4 6 12" xfId="12009" xr:uid="{00000000-0005-0000-0000-0000E36B0000}"/>
    <cellStyle name="Normal 4 6 12 2" xfId="35494" xr:uid="{00000000-0005-0000-0000-0000E46B0000}"/>
    <cellStyle name="Normal 4 6 12 3" xfId="26175" xr:uid="{00000000-0005-0000-0000-0000E56B0000}"/>
    <cellStyle name="Normal 4 6 12 4" xfId="49437" xr:uid="{00000000-0005-0000-0000-0000E66B0000}"/>
    <cellStyle name="Normal 4 6 13" xfId="16740" xr:uid="{00000000-0005-0000-0000-0000E76B0000}"/>
    <cellStyle name="Normal 4 6 13 2" xfId="30872" xr:uid="{00000000-0005-0000-0000-0000E86B0000}"/>
    <cellStyle name="Normal 4 6 13 3" xfId="44767" xr:uid="{00000000-0005-0000-0000-0000E96B0000}"/>
    <cellStyle name="Normal 4 6 14" xfId="21553" xr:uid="{00000000-0005-0000-0000-0000EA6B0000}"/>
    <cellStyle name="Normal 4 6 15" xfId="40185" xr:uid="{00000000-0005-0000-0000-0000EB6B0000}"/>
    <cellStyle name="Normal 4 6 2" xfId="6182" xr:uid="{00000000-0005-0000-0000-0000EC6B0000}"/>
    <cellStyle name="Normal 4 6 2 2" xfId="6183" xr:uid="{00000000-0005-0000-0000-0000ED6B0000}"/>
    <cellStyle name="Normal 4 6 2 2 2" xfId="12014" xr:uid="{00000000-0005-0000-0000-0000EE6B0000}"/>
    <cellStyle name="Normal 4 6 2 2 2 2" xfId="35499" xr:uid="{00000000-0005-0000-0000-0000EF6B0000}"/>
    <cellStyle name="Normal 4 6 2 2 2 3" xfId="26180" xr:uid="{00000000-0005-0000-0000-0000F06B0000}"/>
    <cellStyle name="Normal 4 6 2 2 2 4" xfId="49442" xr:uid="{00000000-0005-0000-0000-0000F16B0000}"/>
    <cellStyle name="Normal 4 6 2 2 3" xfId="16745" xr:uid="{00000000-0005-0000-0000-0000F26B0000}"/>
    <cellStyle name="Normal 4 6 2 2 3 2" xfId="30877" xr:uid="{00000000-0005-0000-0000-0000F36B0000}"/>
    <cellStyle name="Normal 4 6 2 2 3 3" xfId="44772" xr:uid="{00000000-0005-0000-0000-0000F46B0000}"/>
    <cellStyle name="Normal 4 6 2 2 4" xfId="21558" xr:uid="{00000000-0005-0000-0000-0000F56B0000}"/>
    <cellStyle name="Normal 4 6 2 2 5" xfId="40190" xr:uid="{00000000-0005-0000-0000-0000F66B0000}"/>
    <cellStyle name="Normal 4 6 2 3" xfId="12013" xr:uid="{00000000-0005-0000-0000-0000F76B0000}"/>
    <cellStyle name="Normal 4 6 2 3 2" xfId="35498" xr:uid="{00000000-0005-0000-0000-0000F86B0000}"/>
    <cellStyle name="Normal 4 6 2 3 3" xfId="26179" xr:uid="{00000000-0005-0000-0000-0000F96B0000}"/>
    <cellStyle name="Normal 4 6 2 3 4" xfId="49441" xr:uid="{00000000-0005-0000-0000-0000FA6B0000}"/>
    <cellStyle name="Normal 4 6 2 4" xfId="16744" xr:uid="{00000000-0005-0000-0000-0000FB6B0000}"/>
    <cellStyle name="Normal 4 6 2 4 2" xfId="30876" xr:uid="{00000000-0005-0000-0000-0000FC6B0000}"/>
    <cellStyle name="Normal 4 6 2 4 3" xfId="44771" xr:uid="{00000000-0005-0000-0000-0000FD6B0000}"/>
    <cellStyle name="Normal 4 6 2 5" xfId="21557" xr:uid="{00000000-0005-0000-0000-0000FE6B0000}"/>
    <cellStyle name="Normal 4 6 2 6" xfId="40189" xr:uid="{00000000-0005-0000-0000-0000FF6B0000}"/>
    <cellStyle name="Normal 4 6 3" xfId="6184" xr:uid="{00000000-0005-0000-0000-0000006C0000}"/>
    <cellStyle name="Normal 4 6 3 2" xfId="6185" xr:uid="{00000000-0005-0000-0000-0000016C0000}"/>
    <cellStyle name="Normal 4 6 3 2 2" xfId="12016" xr:uid="{00000000-0005-0000-0000-0000026C0000}"/>
    <cellStyle name="Normal 4 6 3 2 2 2" xfId="35501" xr:uid="{00000000-0005-0000-0000-0000036C0000}"/>
    <cellStyle name="Normal 4 6 3 2 2 3" xfId="26182" xr:uid="{00000000-0005-0000-0000-0000046C0000}"/>
    <cellStyle name="Normal 4 6 3 2 2 4" xfId="49444" xr:uid="{00000000-0005-0000-0000-0000056C0000}"/>
    <cellStyle name="Normal 4 6 3 2 3" xfId="16747" xr:uid="{00000000-0005-0000-0000-0000066C0000}"/>
    <cellStyle name="Normal 4 6 3 2 3 2" xfId="30879" xr:uid="{00000000-0005-0000-0000-0000076C0000}"/>
    <cellStyle name="Normal 4 6 3 2 3 3" xfId="44774" xr:uid="{00000000-0005-0000-0000-0000086C0000}"/>
    <cellStyle name="Normal 4 6 3 2 4" xfId="21560" xr:uid="{00000000-0005-0000-0000-0000096C0000}"/>
    <cellStyle name="Normal 4 6 3 2 5" xfId="40192" xr:uid="{00000000-0005-0000-0000-00000A6C0000}"/>
    <cellStyle name="Normal 4 6 3 3" xfId="12015" xr:uid="{00000000-0005-0000-0000-00000B6C0000}"/>
    <cellStyle name="Normal 4 6 3 3 2" xfId="35500" xr:uid="{00000000-0005-0000-0000-00000C6C0000}"/>
    <cellStyle name="Normal 4 6 3 3 3" xfId="26181" xr:uid="{00000000-0005-0000-0000-00000D6C0000}"/>
    <cellStyle name="Normal 4 6 3 3 4" xfId="49443" xr:uid="{00000000-0005-0000-0000-00000E6C0000}"/>
    <cellStyle name="Normal 4 6 3 4" xfId="16746" xr:uid="{00000000-0005-0000-0000-00000F6C0000}"/>
    <cellStyle name="Normal 4 6 3 4 2" xfId="30878" xr:uid="{00000000-0005-0000-0000-0000106C0000}"/>
    <cellStyle name="Normal 4 6 3 4 3" xfId="44773" xr:uid="{00000000-0005-0000-0000-0000116C0000}"/>
    <cellStyle name="Normal 4 6 3 5" xfId="21559" xr:uid="{00000000-0005-0000-0000-0000126C0000}"/>
    <cellStyle name="Normal 4 6 3 6" xfId="40191" xr:uid="{00000000-0005-0000-0000-0000136C0000}"/>
    <cellStyle name="Normal 4 6 4" xfId="6186" xr:uid="{00000000-0005-0000-0000-0000146C0000}"/>
    <cellStyle name="Normal 4 6 4 2" xfId="6187" xr:uid="{00000000-0005-0000-0000-0000156C0000}"/>
    <cellStyle name="Normal 4 6 4 2 2" xfId="12018" xr:uid="{00000000-0005-0000-0000-0000166C0000}"/>
    <cellStyle name="Normal 4 6 4 2 2 2" xfId="35503" xr:uid="{00000000-0005-0000-0000-0000176C0000}"/>
    <cellStyle name="Normal 4 6 4 2 2 3" xfId="26184" xr:uid="{00000000-0005-0000-0000-0000186C0000}"/>
    <cellStyle name="Normal 4 6 4 2 2 4" xfId="49446" xr:uid="{00000000-0005-0000-0000-0000196C0000}"/>
    <cellStyle name="Normal 4 6 4 2 3" xfId="16749" xr:uid="{00000000-0005-0000-0000-00001A6C0000}"/>
    <cellStyle name="Normal 4 6 4 2 3 2" xfId="30881" xr:uid="{00000000-0005-0000-0000-00001B6C0000}"/>
    <cellStyle name="Normal 4 6 4 2 3 3" xfId="44776" xr:uid="{00000000-0005-0000-0000-00001C6C0000}"/>
    <cellStyle name="Normal 4 6 4 2 4" xfId="21562" xr:uid="{00000000-0005-0000-0000-00001D6C0000}"/>
    <cellStyle name="Normal 4 6 4 2 5" xfId="40194" xr:uid="{00000000-0005-0000-0000-00001E6C0000}"/>
    <cellStyle name="Normal 4 6 4 3" xfId="12017" xr:uid="{00000000-0005-0000-0000-00001F6C0000}"/>
    <cellStyle name="Normal 4 6 4 3 2" xfId="35502" xr:uid="{00000000-0005-0000-0000-0000206C0000}"/>
    <cellStyle name="Normal 4 6 4 3 3" xfId="26183" xr:uid="{00000000-0005-0000-0000-0000216C0000}"/>
    <cellStyle name="Normal 4 6 4 3 4" xfId="49445" xr:uid="{00000000-0005-0000-0000-0000226C0000}"/>
    <cellStyle name="Normal 4 6 4 4" xfId="16748" xr:uid="{00000000-0005-0000-0000-0000236C0000}"/>
    <cellStyle name="Normal 4 6 4 4 2" xfId="30880" xr:uid="{00000000-0005-0000-0000-0000246C0000}"/>
    <cellStyle name="Normal 4 6 4 4 3" xfId="44775" xr:uid="{00000000-0005-0000-0000-0000256C0000}"/>
    <cellStyle name="Normal 4 6 4 5" xfId="21561" xr:uid="{00000000-0005-0000-0000-0000266C0000}"/>
    <cellStyle name="Normal 4 6 4 6" xfId="40193" xr:uid="{00000000-0005-0000-0000-0000276C0000}"/>
    <cellStyle name="Normal 4 6 5" xfId="6188" xr:uid="{00000000-0005-0000-0000-0000286C0000}"/>
    <cellStyle name="Normal 4 6 5 2" xfId="6189" xr:uid="{00000000-0005-0000-0000-0000296C0000}"/>
    <cellStyle name="Normal 4 6 5 2 2" xfId="12020" xr:uid="{00000000-0005-0000-0000-00002A6C0000}"/>
    <cellStyle name="Normal 4 6 5 2 2 2" xfId="35505" xr:uid="{00000000-0005-0000-0000-00002B6C0000}"/>
    <cellStyle name="Normal 4 6 5 2 2 3" xfId="26186" xr:uid="{00000000-0005-0000-0000-00002C6C0000}"/>
    <cellStyle name="Normal 4 6 5 2 2 4" xfId="49448" xr:uid="{00000000-0005-0000-0000-00002D6C0000}"/>
    <cellStyle name="Normal 4 6 5 2 3" xfId="16751" xr:uid="{00000000-0005-0000-0000-00002E6C0000}"/>
    <cellStyle name="Normal 4 6 5 2 3 2" xfId="30883" xr:uid="{00000000-0005-0000-0000-00002F6C0000}"/>
    <cellStyle name="Normal 4 6 5 2 3 3" xfId="44778" xr:uid="{00000000-0005-0000-0000-0000306C0000}"/>
    <cellStyle name="Normal 4 6 5 2 4" xfId="21564" xr:uid="{00000000-0005-0000-0000-0000316C0000}"/>
    <cellStyle name="Normal 4 6 5 2 5" xfId="40196" xr:uid="{00000000-0005-0000-0000-0000326C0000}"/>
    <cellStyle name="Normal 4 6 5 3" xfId="12019" xr:uid="{00000000-0005-0000-0000-0000336C0000}"/>
    <cellStyle name="Normal 4 6 5 3 2" xfId="35504" xr:uid="{00000000-0005-0000-0000-0000346C0000}"/>
    <cellStyle name="Normal 4 6 5 3 3" xfId="26185" xr:uid="{00000000-0005-0000-0000-0000356C0000}"/>
    <cellStyle name="Normal 4 6 5 3 4" xfId="49447" xr:uid="{00000000-0005-0000-0000-0000366C0000}"/>
    <cellStyle name="Normal 4 6 5 4" xfId="16750" xr:uid="{00000000-0005-0000-0000-0000376C0000}"/>
    <cellStyle name="Normal 4 6 5 4 2" xfId="30882" xr:uid="{00000000-0005-0000-0000-0000386C0000}"/>
    <cellStyle name="Normal 4 6 5 4 3" xfId="44777" xr:uid="{00000000-0005-0000-0000-0000396C0000}"/>
    <cellStyle name="Normal 4 6 5 5" xfId="21563" xr:uid="{00000000-0005-0000-0000-00003A6C0000}"/>
    <cellStyle name="Normal 4 6 5 6" xfId="40195" xr:uid="{00000000-0005-0000-0000-00003B6C0000}"/>
    <cellStyle name="Normal 4 6 6" xfId="6190" xr:uid="{00000000-0005-0000-0000-00003C6C0000}"/>
    <cellStyle name="Normal 4 6 6 2" xfId="6191" xr:uid="{00000000-0005-0000-0000-00003D6C0000}"/>
    <cellStyle name="Normal 4 6 6 2 2" xfId="12022" xr:uid="{00000000-0005-0000-0000-00003E6C0000}"/>
    <cellStyle name="Normal 4 6 6 2 2 2" xfId="35507" xr:uid="{00000000-0005-0000-0000-00003F6C0000}"/>
    <cellStyle name="Normal 4 6 6 2 2 3" xfId="26188" xr:uid="{00000000-0005-0000-0000-0000406C0000}"/>
    <cellStyle name="Normal 4 6 6 2 2 4" xfId="49450" xr:uid="{00000000-0005-0000-0000-0000416C0000}"/>
    <cellStyle name="Normal 4 6 6 2 3" xfId="16753" xr:uid="{00000000-0005-0000-0000-0000426C0000}"/>
    <cellStyle name="Normal 4 6 6 2 3 2" xfId="30885" xr:uid="{00000000-0005-0000-0000-0000436C0000}"/>
    <cellStyle name="Normal 4 6 6 2 3 3" xfId="44780" xr:uid="{00000000-0005-0000-0000-0000446C0000}"/>
    <cellStyle name="Normal 4 6 6 2 4" xfId="21566" xr:uid="{00000000-0005-0000-0000-0000456C0000}"/>
    <cellStyle name="Normal 4 6 6 2 5" xfId="40198" xr:uid="{00000000-0005-0000-0000-0000466C0000}"/>
    <cellStyle name="Normal 4 6 6 3" xfId="12021" xr:uid="{00000000-0005-0000-0000-0000476C0000}"/>
    <cellStyle name="Normal 4 6 6 3 2" xfId="35506" xr:uid="{00000000-0005-0000-0000-0000486C0000}"/>
    <cellStyle name="Normal 4 6 6 3 3" xfId="26187" xr:uid="{00000000-0005-0000-0000-0000496C0000}"/>
    <cellStyle name="Normal 4 6 6 3 4" xfId="49449" xr:uid="{00000000-0005-0000-0000-00004A6C0000}"/>
    <cellStyle name="Normal 4 6 6 4" xfId="16752" xr:uid="{00000000-0005-0000-0000-00004B6C0000}"/>
    <cellStyle name="Normal 4 6 6 4 2" xfId="30884" xr:uid="{00000000-0005-0000-0000-00004C6C0000}"/>
    <cellStyle name="Normal 4 6 6 4 3" xfId="44779" xr:uid="{00000000-0005-0000-0000-00004D6C0000}"/>
    <cellStyle name="Normal 4 6 6 5" xfId="21565" xr:uid="{00000000-0005-0000-0000-00004E6C0000}"/>
    <cellStyle name="Normal 4 6 6 6" xfId="40197" xr:uid="{00000000-0005-0000-0000-00004F6C0000}"/>
    <cellStyle name="Normal 4 6 7" xfId="6192" xr:uid="{00000000-0005-0000-0000-0000506C0000}"/>
    <cellStyle name="Normal 4 6 7 2" xfId="6193" xr:uid="{00000000-0005-0000-0000-0000516C0000}"/>
    <cellStyle name="Normal 4 6 7 2 2" xfId="12024" xr:uid="{00000000-0005-0000-0000-0000526C0000}"/>
    <cellStyle name="Normal 4 6 7 2 2 2" xfId="35509" xr:uid="{00000000-0005-0000-0000-0000536C0000}"/>
    <cellStyle name="Normal 4 6 7 2 2 3" xfId="26190" xr:uid="{00000000-0005-0000-0000-0000546C0000}"/>
    <cellStyle name="Normal 4 6 7 2 2 4" xfId="49452" xr:uid="{00000000-0005-0000-0000-0000556C0000}"/>
    <cellStyle name="Normal 4 6 7 2 3" xfId="16755" xr:uid="{00000000-0005-0000-0000-0000566C0000}"/>
    <cellStyle name="Normal 4 6 7 2 3 2" xfId="30887" xr:uid="{00000000-0005-0000-0000-0000576C0000}"/>
    <cellStyle name="Normal 4 6 7 2 3 3" xfId="44782" xr:uid="{00000000-0005-0000-0000-0000586C0000}"/>
    <cellStyle name="Normal 4 6 7 2 4" xfId="21568" xr:uid="{00000000-0005-0000-0000-0000596C0000}"/>
    <cellStyle name="Normal 4 6 7 2 5" xfId="40200" xr:uid="{00000000-0005-0000-0000-00005A6C0000}"/>
    <cellStyle name="Normal 4 6 7 3" xfId="12023" xr:uid="{00000000-0005-0000-0000-00005B6C0000}"/>
    <cellStyle name="Normal 4 6 7 3 2" xfId="35508" xr:uid="{00000000-0005-0000-0000-00005C6C0000}"/>
    <cellStyle name="Normal 4 6 7 3 3" xfId="26189" xr:uid="{00000000-0005-0000-0000-00005D6C0000}"/>
    <cellStyle name="Normal 4 6 7 3 4" xfId="49451" xr:uid="{00000000-0005-0000-0000-00005E6C0000}"/>
    <cellStyle name="Normal 4 6 7 4" xfId="16754" xr:uid="{00000000-0005-0000-0000-00005F6C0000}"/>
    <cellStyle name="Normal 4 6 7 4 2" xfId="30886" xr:uid="{00000000-0005-0000-0000-0000606C0000}"/>
    <cellStyle name="Normal 4 6 7 4 3" xfId="44781" xr:uid="{00000000-0005-0000-0000-0000616C0000}"/>
    <cellStyle name="Normal 4 6 7 5" xfId="21567" xr:uid="{00000000-0005-0000-0000-0000626C0000}"/>
    <cellStyle name="Normal 4 6 7 6" xfId="40199" xr:uid="{00000000-0005-0000-0000-0000636C0000}"/>
    <cellStyle name="Normal 4 6 8" xfId="6194" xr:uid="{00000000-0005-0000-0000-0000646C0000}"/>
    <cellStyle name="Normal 4 6 8 2" xfId="6195" xr:uid="{00000000-0005-0000-0000-0000656C0000}"/>
    <cellStyle name="Normal 4 6 8 2 2" xfId="12026" xr:uid="{00000000-0005-0000-0000-0000666C0000}"/>
    <cellStyle name="Normal 4 6 8 2 2 2" xfId="35511" xr:uid="{00000000-0005-0000-0000-0000676C0000}"/>
    <cellStyle name="Normal 4 6 8 2 2 3" xfId="26192" xr:uid="{00000000-0005-0000-0000-0000686C0000}"/>
    <cellStyle name="Normal 4 6 8 2 2 4" xfId="49454" xr:uid="{00000000-0005-0000-0000-0000696C0000}"/>
    <cellStyle name="Normal 4 6 8 2 3" xfId="16757" xr:uid="{00000000-0005-0000-0000-00006A6C0000}"/>
    <cellStyle name="Normal 4 6 8 2 3 2" xfId="30889" xr:uid="{00000000-0005-0000-0000-00006B6C0000}"/>
    <cellStyle name="Normal 4 6 8 2 3 3" xfId="44784" xr:uid="{00000000-0005-0000-0000-00006C6C0000}"/>
    <cellStyle name="Normal 4 6 8 2 4" xfId="21570" xr:uid="{00000000-0005-0000-0000-00006D6C0000}"/>
    <cellStyle name="Normal 4 6 8 2 5" xfId="40202" xr:uid="{00000000-0005-0000-0000-00006E6C0000}"/>
    <cellStyle name="Normal 4 6 8 3" xfId="12025" xr:uid="{00000000-0005-0000-0000-00006F6C0000}"/>
    <cellStyle name="Normal 4 6 8 3 2" xfId="35510" xr:uid="{00000000-0005-0000-0000-0000706C0000}"/>
    <cellStyle name="Normal 4 6 8 3 3" xfId="26191" xr:uid="{00000000-0005-0000-0000-0000716C0000}"/>
    <cellStyle name="Normal 4 6 8 3 4" xfId="49453" xr:uid="{00000000-0005-0000-0000-0000726C0000}"/>
    <cellStyle name="Normal 4 6 8 4" xfId="16756" xr:uid="{00000000-0005-0000-0000-0000736C0000}"/>
    <cellStyle name="Normal 4 6 8 4 2" xfId="30888" xr:uid="{00000000-0005-0000-0000-0000746C0000}"/>
    <cellStyle name="Normal 4 6 8 4 3" xfId="44783" xr:uid="{00000000-0005-0000-0000-0000756C0000}"/>
    <cellStyle name="Normal 4 6 8 5" xfId="21569" xr:uid="{00000000-0005-0000-0000-0000766C0000}"/>
    <cellStyle name="Normal 4 6 8 6" xfId="40201" xr:uid="{00000000-0005-0000-0000-0000776C0000}"/>
    <cellStyle name="Normal 4 6 9" xfId="6196" xr:uid="{00000000-0005-0000-0000-0000786C0000}"/>
    <cellStyle name="Normal 4 6 9 2" xfId="6197" xr:uid="{00000000-0005-0000-0000-0000796C0000}"/>
    <cellStyle name="Normal 4 6 9 2 2" xfId="12028" xr:uid="{00000000-0005-0000-0000-00007A6C0000}"/>
    <cellStyle name="Normal 4 6 9 2 2 2" xfId="35513" xr:uid="{00000000-0005-0000-0000-00007B6C0000}"/>
    <cellStyle name="Normal 4 6 9 2 2 3" xfId="26194" xr:uid="{00000000-0005-0000-0000-00007C6C0000}"/>
    <cellStyle name="Normal 4 6 9 2 2 4" xfId="49456" xr:uid="{00000000-0005-0000-0000-00007D6C0000}"/>
    <cellStyle name="Normal 4 6 9 2 3" xfId="16759" xr:uid="{00000000-0005-0000-0000-00007E6C0000}"/>
    <cellStyle name="Normal 4 6 9 2 3 2" xfId="30891" xr:uid="{00000000-0005-0000-0000-00007F6C0000}"/>
    <cellStyle name="Normal 4 6 9 2 3 3" xfId="44786" xr:uid="{00000000-0005-0000-0000-0000806C0000}"/>
    <cellStyle name="Normal 4 6 9 2 4" xfId="21572" xr:uid="{00000000-0005-0000-0000-0000816C0000}"/>
    <cellStyle name="Normal 4 6 9 2 5" xfId="40204" xr:uid="{00000000-0005-0000-0000-0000826C0000}"/>
    <cellStyle name="Normal 4 6 9 3" xfId="12027" xr:uid="{00000000-0005-0000-0000-0000836C0000}"/>
    <cellStyle name="Normal 4 6 9 3 2" xfId="35512" xr:uid="{00000000-0005-0000-0000-0000846C0000}"/>
    <cellStyle name="Normal 4 6 9 3 3" xfId="26193" xr:uid="{00000000-0005-0000-0000-0000856C0000}"/>
    <cellStyle name="Normal 4 6 9 3 4" xfId="49455" xr:uid="{00000000-0005-0000-0000-0000866C0000}"/>
    <cellStyle name="Normal 4 6 9 4" xfId="16758" xr:uid="{00000000-0005-0000-0000-0000876C0000}"/>
    <cellStyle name="Normal 4 6 9 4 2" xfId="30890" xr:uid="{00000000-0005-0000-0000-0000886C0000}"/>
    <cellStyle name="Normal 4 6 9 4 3" xfId="44785" xr:uid="{00000000-0005-0000-0000-0000896C0000}"/>
    <cellStyle name="Normal 4 6 9 5" xfId="21571" xr:uid="{00000000-0005-0000-0000-00008A6C0000}"/>
    <cellStyle name="Normal 4 6 9 6" xfId="40203" xr:uid="{00000000-0005-0000-0000-00008B6C0000}"/>
    <cellStyle name="Normal 4 60" xfId="6198" xr:uid="{00000000-0005-0000-0000-00008C6C0000}"/>
    <cellStyle name="Normal 4 60 2" xfId="6199" xr:uid="{00000000-0005-0000-0000-00008D6C0000}"/>
    <cellStyle name="Normal 4 60 2 2" xfId="12030" xr:uid="{00000000-0005-0000-0000-00008E6C0000}"/>
    <cellStyle name="Normal 4 60 2 2 2" xfId="35515" xr:uid="{00000000-0005-0000-0000-00008F6C0000}"/>
    <cellStyle name="Normal 4 60 2 2 3" xfId="26196" xr:uid="{00000000-0005-0000-0000-0000906C0000}"/>
    <cellStyle name="Normal 4 60 2 2 4" xfId="49458" xr:uid="{00000000-0005-0000-0000-0000916C0000}"/>
    <cellStyle name="Normal 4 60 2 3" xfId="16761" xr:uid="{00000000-0005-0000-0000-0000926C0000}"/>
    <cellStyle name="Normal 4 60 2 3 2" xfId="30893" xr:uid="{00000000-0005-0000-0000-0000936C0000}"/>
    <cellStyle name="Normal 4 60 2 3 3" xfId="44788" xr:uid="{00000000-0005-0000-0000-0000946C0000}"/>
    <cellStyle name="Normal 4 60 2 4" xfId="21574" xr:uid="{00000000-0005-0000-0000-0000956C0000}"/>
    <cellStyle name="Normal 4 60 2 5" xfId="40206" xr:uid="{00000000-0005-0000-0000-0000966C0000}"/>
    <cellStyle name="Normal 4 60 3" xfId="12029" xr:uid="{00000000-0005-0000-0000-0000976C0000}"/>
    <cellStyle name="Normal 4 60 3 2" xfId="35514" xr:uid="{00000000-0005-0000-0000-0000986C0000}"/>
    <cellStyle name="Normal 4 60 3 3" xfId="26195" xr:uid="{00000000-0005-0000-0000-0000996C0000}"/>
    <cellStyle name="Normal 4 60 3 4" xfId="49457" xr:uid="{00000000-0005-0000-0000-00009A6C0000}"/>
    <cellStyle name="Normal 4 60 4" xfId="16760" xr:uid="{00000000-0005-0000-0000-00009B6C0000}"/>
    <cellStyle name="Normal 4 60 4 2" xfId="30892" xr:uid="{00000000-0005-0000-0000-00009C6C0000}"/>
    <cellStyle name="Normal 4 60 4 3" xfId="44787" xr:uid="{00000000-0005-0000-0000-00009D6C0000}"/>
    <cellStyle name="Normal 4 60 5" xfId="21573" xr:uid="{00000000-0005-0000-0000-00009E6C0000}"/>
    <cellStyle name="Normal 4 60 6" xfId="40205" xr:uid="{00000000-0005-0000-0000-00009F6C0000}"/>
    <cellStyle name="Normal 4 61" xfId="6200" xr:uid="{00000000-0005-0000-0000-0000A06C0000}"/>
    <cellStyle name="Normal 4 61 2" xfId="6201" xr:uid="{00000000-0005-0000-0000-0000A16C0000}"/>
    <cellStyle name="Normal 4 61 2 2" xfId="12032" xr:uid="{00000000-0005-0000-0000-0000A26C0000}"/>
    <cellStyle name="Normal 4 61 2 2 2" xfId="35517" xr:uid="{00000000-0005-0000-0000-0000A36C0000}"/>
    <cellStyle name="Normal 4 61 2 2 3" xfId="26198" xr:uid="{00000000-0005-0000-0000-0000A46C0000}"/>
    <cellStyle name="Normal 4 61 2 2 4" xfId="49460" xr:uid="{00000000-0005-0000-0000-0000A56C0000}"/>
    <cellStyle name="Normal 4 61 2 3" xfId="16763" xr:uid="{00000000-0005-0000-0000-0000A66C0000}"/>
    <cellStyle name="Normal 4 61 2 3 2" xfId="30895" xr:uid="{00000000-0005-0000-0000-0000A76C0000}"/>
    <cellStyle name="Normal 4 61 2 3 3" xfId="44790" xr:uid="{00000000-0005-0000-0000-0000A86C0000}"/>
    <cellStyle name="Normal 4 61 2 4" xfId="21576" xr:uid="{00000000-0005-0000-0000-0000A96C0000}"/>
    <cellStyle name="Normal 4 61 2 5" xfId="40208" xr:uid="{00000000-0005-0000-0000-0000AA6C0000}"/>
    <cellStyle name="Normal 4 61 3" xfId="12031" xr:uid="{00000000-0005-0000-0000-0000AB6C0000}"/>
    <cellStyle name="Normal 4 61 3 2" xfId="35516" xr:uid="{00000000-0005-0000-0000-0000AC6C0000}"/>
    <cellStyle name="Normal 4 61 3 3" xfId="26197" xr:uid="{00000000-0005-0000-0000-0000AD6C0000}"/>
    <cellStyle name="Normal 4 61 3 4" xfId="49459" xr:uid="{00000000-0005-0000-0000-0000AE6C0000}"/>
    <cellStyle name="Normal 4 61 4" xfId="16762" xr:uid="{00000000-0005-0000-0000-0000AF6C0000}"/>
    <cellStyle name="Normal 4 61 4 2" xfId="30894" xr:uid="{00000000-0005-0000-0000-0000B06C0000}"/>
    <cellStyle name="Normal 4 61 4 3" xfId="44789" xr:uid="{00000000-0005-0000-0000-0000B16C0000}"/>
    <cellStyle name="Normal 4 61 5" xfId="21575" xr:uid="{00000000-0005-0000-0000-0000B26C0000}"/>
    <cellStyle name="Normal 4 61 6" xfId="40207" xr:uid="{00000000-0005-0000-0000-0000B36C0000}"/>
    <cellStyle name="Normal 4 62" xfId="6202" xr:uid="{00000000-0005-0000-0000-0000B46C0000}"/>
    <cellStyle name="Normal 4 62 2" xfId="6203" xr:uid="{00000000-0005-0000-0000-0000B56C0000}"/>
    <cellStyle name="Normal 4 62 2 2" xfId="12034" xr:uid="{00000000-0005-0000-0000-0000B66C0000}"/>
    <cellStyle name="Normal 4 62 2 2 2" xfId="35519" xr:uid="{00000000-0005-0000-0000-0000B76C0000}"/>
    <cellStyle name="Normal 4 62 2 2 3" xfId="26200" xr:uid="{00000000-0005-0000-0000-0000B86C0000}"/>
    <cellStyle name="Normal 4 62 2 2 4" xfId="49462" xr:uid="{00000000-0005-0000-0000-0000B96C0000}"/>
    <cellStyle name="Normal 4 62 2 3" xfId="16765" xr:uid="{00000000-0005-0000-0000-0000BA6C0000}"/>
    <cellStyle name="Normal 4 62 2 3 2" xfId="30897" xr:uid="{00000000-0005-0000-0000-0000BB6C0000}"/>
    <cellStyle name="Normal 4 62 2 3 3" xfId="44792" xr:uid="{00000000-0005-0000-0000-0000BC6C0000}"/>
    <cellStyle name="Normal 4 62 2 4" xfId="21578" xr:uid="{00000000-0005-0000-0000-0000BD6C0000}"/>
    <cellStyle name="Normal 4 62 2 5" xfId="40210" xr:uid="{00000000-0005-0000-0000-0000BE6C0000}"/>
    <cellStyle name="Normal 4 62 3" xfId="12033" xr:uid="{00000000-0005-0000-0000-0000BF6C0000}"/>
    <cellStyle name="Normal 4 62 3 2" xfId="35518" xr:uid="{00000000-0005-0000-0000-0000C06C0000}"/>
    <cellStyle name="Normal 4 62 3 3" xfId="26199" xr:uid="{00000000-0005-0000-0000-0000C16C0000}"/>
    <cellStyle name="Normal 4 62 3 4" xfId="49461" xr:uid="{00000000-0005-0000-0000-0000C26C0000}"/>
    <cellStyle name="Normal 4 62 4" xfId="16764" xr:uid="{00000000-0005-0000-0000-0000C36C0000}"/>
    <cellStyle name="Normal 4 62 4 2" xfId="30896" xr:uid="{00000000-0005-0000-0000-0000C46C0000}"/>
    <cellStyle name="Normal 4 62 4 3" xfId="44791" xr:uid="{00000000-0005-0000-0000-0000C56C0000}"/>
    <cellStyle name="Normal 4 62 5" xfId="21577" xr:uid="{00000000-0005-0000-0000-0000C66C0000}"/>
    <cellStyle name="Normal 4 62 6" xfId="40209" xr:uid="{00000000-0005-0000-0000-0000C76C0000}"/>
    <cellStyle name="Normal 4 63" xfId="6204" xr:uid="{00000000-0005-0000-0000-0000C86C0000}"/>
    <cellStyle name="Normal 4 63 2" xfId="6205" xr:uid="{00000000-0005-0000-0000-0000C96C0000}"/>
    <cellStyle name="Normal 4 63 2 2" xfId="12036" xr:uid="{00000000-0005-0000-0000-0000CA6C0000}"/>
    <cellStyle name="Normal 4 63 2 2 2" xfId="35521" xr:uid="{00000000-0005-0000-0000-0000CB6C0000}"/>
    <cellStyle name="Normal 4 63 2 2 3" xfId="26202" xr:uid="{00000000-0005-0000-0000-0000CC6C0000}"/>
    <cellStyle name="Normal 4 63 2 2 4" xfId="49464" xr:uid="{00000000-0005-0000-0000-0000CD6C0000}"/>
    <cellStyle name="Normal 4 63 2 3" xfId="16767" xr:uid="{00000000-0005-0000-0000-0000CE6C0000}"/>
    <cellStyle name="Normal 4 63 2 3 2" xfId="30899" xr:uid="{00000000-0005-0000-0000-0000CF6C0000}"/>
    <cellStyle name="Normal 4 63 2 3 3" xfId="44794" xr:uid="{00000000-0005-0000-0000-0000D06C0000}"/>
    <cellStyle name="Normal 4 63 2 4" xfId="21580" xr:uid="{00000000-0005-0000-0000-0000D16C0000}"/>
    <cellStyle name="Normal 4 63 2 5" xfId="40212" xr:uid="{00000000-0005-0000-0000-0000D26C0000}"/>
    <cellStyle name="Normal 4 63 3" xfId="12035" xr:uid="{00000000-0005-0000-0000-0000D36C0000}"/>
    <cellStyle name="Normal 4 63 3 2" xfId="35520" xr:uid="{00000000-0005-0000-0000-0000D46C0000}"/>
    <cellStyle name="Normal 4 63 3 3" xfId="26201" xr:uid="{00000000-0005-0000-0000-0000D56C0000}"/>
    <cellStyle name="Normal 4 63 3 4" xfId="49463" xr:uid="{00000000-0005-0000-0000-0000D66C0000}"/>
    <cellStyle name="Normal 4 63 4" xfId="16766" xr:uid="{00000000-0005-0000-0000-0000D76C0000}"/>
    <cellStyle name="Normal 4 63 4 2" xfId="30898" xr:uid="{00000000-0005-0000-0000-0000D86C0000}"/>
    <cellStyle name="Normal 4 63 4 3" xfId="44793" xr:uid="{00000000-0005-0000-0000-0000D96C0000}"/>
    <cellStyle name="Normal 4 63 5" xfId="21579" xr:uid="{00000000-0005-0000-0000-0000DA6C0000}"/>
    <cellStyle name="Normal 4 63 6" xfId="40211" xr:uid="{00000000-0005-0000-0000-0000DB6C0000}"/>
    <cellStyle name="Normal 4 64" xfId="6206" xr:uid="{00000000-0005-0000-0000-0000DC6C0000}"/>
    <cellStyle name="Normal 4 64 2" xfId="6207" xr:uid="{00000000-0005-0000-0000-0000DD6C0000}"/>
    <cellStyle name="Normal 4 64 2 2" xfId="12038" xr:uid="{00000000-0005-0000-0000-0000DE6C0000}"/>
    <cellStyle name="Normal 4 64 2 2 2" xfId="35523" xr:uid="{00000000-0005-0000-0000-0000DF6C0000}"/>
    <cellStyle name="Normal 4 64 2 2 3" xfId="26204" xr:uid="{00000000-0005-0000-0000-0000E06C0000}"/>
    <cellStyle name="Normal 4 64 2 2 4" xfId="49466" xr:uid="{00000000-0005-0000-0000-0000E16C0000}"/>
    <cellStyle name="Normal 4 64 2 3" xfId="16769" xr:uid="{00000000-0005-0000-0000-0000E26C0000}"/>
    <cellStyle name="Normal 4 64 2 3 2" xfId="30901" xr:uid="{00000000-0005-0000-0000-0000E36C0000}"/>
    <cellStyle name="Normal 4 64 2 3 3" xfId="44796" xr:uid="{00000000-0005-0000-0000-0000E46C0000}"/>
    <cellStyle name="Normal 4 64 2 4" xfId="21582" xr:uid="{00000000-0005-0000-0000-0000E56C0000}"/>
    <cellStyle name="Normal 4 64 2 5" xfId="40214" xr:uid="{00000000-0005-0000-0000-0000E66C0000}"/>
    <cellStyle name="Normal 4 64 3" xfId="12037" xr:uid="{00000000-0005-0000-0000-0000E76C0000}"/>
    <cellStyle name="Normal 4 64 3 2" xfId="35522" xr:uid="{00000000-0005-0000-0000-0000E86C0000}"/>
    <cellStyle name="Normal 4 64 3 3" xfId="26203" xr:uid="{00000000-0005-0000-0000-0000E96C0000}"/>
    <cellStyle name="Normal 4 64 3 4" xfId="49465" xr:uid="{00000000-0005-0000-0000-0000EA6C0000}"/>
    <cellStyle name="Normal 4 64 4" xfId="16768" xr:uid="{00000000-0005-0000-0000-0000EB6C0000}"/>
    <cellStyle name="Normal 4 64 4 2" xfId="30900" xr:uid="{00000000-0005-0000-0000-0000EC6C0000}"/>
    <cellStyle name="Normal 4 64 4 3" xfId="44795" xr:uid="{00000000-0005-0000-0000-0000ED6C0000}"/>
    <cellStyle name="Normal 4 64 5" xfId="21581" xr:uid="{00000000-0005-0000-0000-0000EE6C0000}"/>
    <cellStyle name="Normal 4 64 6" xfId="40213" xr:uid="{00000000-0005-0000-0000-0000EF6C0000}"/>
    <cellStyle name="Normal 4 65" xfId="6208" xr:uid="{00000000-0005-0000-0000-0000F06C0000}"/>
    <cellStyle name="Normal 4 65 2" xfId="6209" xr:uid="{00000000-0005-0000-0000-0000F16C0000}"/>
    <cellStyle name="Normal 4 65 2 2" xfId="12040" xr:uid="{00000000-0005-0000-0000-0000F26C0000}"/>
    <cellStyle name="Normal 4 65 2 2 2" xfId="35525" xr:uid="{00000000-0005-0000-0000-0000F36C0000}"/>
    <cellStyle name="Normal 4 65 2 2 3" xfId="26206" xr:uid="{00000000-0005-0000-0000-0000F46C0000}"/>
    <cellStyle name="Normal 4 65 2 2 4" xfId="49468" xr:uid="{00000000-0005-0000-0000-0000F56C0000}"/>
    <cellStyle name="Normal 4 65 2 3" xfId="16771" xr:uid="{00000000-0005-0000-0000-0000F66C0000}"/>
    <cellStyle name="Normal 4 65 2 3 2" xfId="30903" xr:uid="{00000000-0005-0000-0000-0000F76C0000}"/>
    <cellStyle name="Normal 4 65 2 3 3" xfId="44798" xr:uid="{00000000-0005-0000-0000-0000F86C0000}"/>
    <cellStyle name="Normal 4 65 2 4" xfId="21584" xr:uid="{00000000-0005-0000-0000-0000F96C0000}"/>
    <cellStyle name="Normal 4 65 2 5" xfId="40216" xr:uid="{00000000-0005-0000-0000-0000FA6C0000}"/>
    <cellStyle name="Normal 4 65 3" xfId="12039" xr:uid="{00000000-0005-0000-0000-0000FB6C0000}"/>
    <cellStyle name="Normal 4 65 3 2" xfId="35524" xr:uid="{00000000-0005-0000-0000-0000FC6C0000}"/>
    <cellStyle name="Normal 4 65 3 3" xfId="26205" xr:uid="{00000000-0005-0000-0000-0000FD6C0000}"/>
    <cellStyle name="Normal 4 65 3 4" xfId="49467" xr:uid="{00000000-0005-0000-0000-0000FE6C0000}"/>
    <cellStyle name="Normal 4 65 4" xfId="16770" xr:uid="{00000000-0005-0000-0000-0000FF6C0000}"/>
    <cellStyle name="Normal 4 65 4 2" xfId="30902" xr:uid="{00000000-0005-0000-0000-0000006D0000}"/>
    <cellStyle name="Normal 4 65 4 3" xfId="44797" xr:uid="{00000000-0005-0000-0000-0000016D0000}"/>
    <cellStyle name="Normal 4 65 5" xfId="21583" xr:uid="{00000000-0005-0000-0000-0000026D0000}"/>
    <cellStyle name="Normal 4 65 6" xfId="40215" xr:uid="{00000000-0005-0000-0000-0000036D0000}"/>
    <cellStyle name="Normal 4 66" xfId="6210" xr:uid="{00000000-0005-0000-0000-0000046D0000}"/>
    <cellStyle name="Normal 4 66 2" xfId="6211" xr:uid="{00000000-0005-0000-0000-0000056D0000}"/>
    <cellStyle name="Normal 4 66 2 2" xfId="12042" xr:uid="{00000000-0005-0000-0000-0000066D0000}"/>
    <cellStyle name="Normal 4 66 2 2 2" xfId="35527" xr:uid="{00000000-0005-0000-0000-0000076D0000}"/>
    <cellStyle name="Normal 4 66 2 2 3" xfId="26208" xr:uid="{00000000-0005-0000-0000-0000086D0000}"/>
    <cellStyle name="Normal 4 66 2 2 4" xfId="49470" xr:uid="{00000000-0005-0000-0000-0000096D0000}"/>
    <cellStyle name="Normal 4 66 2 3" xfId="16773" xr:uid="{00000000-0005-0000-0000-00000A6D0000}"/>
    <cellStyle name="Normal 4 66 2 3 2" xfId="30905" xr:uid="{00000000-0005-0000-0000-00000B6D0000}"/>
    <cellStyle name="Normal 4 66 2 3 3" xfId="44800" xr:uid="{00000000-0005-0000-0000-00000C6D0000}"/>
    <cellStyle name="Normal 4 66 2 4" xfId="21586" xr:uid="{00000000-0005-0000-0000-00000D6D0000}"/>
    <cellStyle name="Normal 4 66 2 5" xfId="40218" xr:uid="{00000000-0005-0000-0000-00000E6D0000}"/>
    <cellStyle name="Normal 4 66 3" xfId="12041" xr:uid="{00000000-0005-0000-0000-00000F6D0000}"/>
    <cellStyle name="Normal 4 66 3 2" xfId="35526" xr:uid="{00000000-0005-0000-0000-0000106D0000}"/>
    <cellStyle name="Normal 4 66 3 3" xfId="26207" xr:uid="{00000000-0005-0000-0000-0000116D0000}"/>
    <cellStyle name="Normal 4 66 3 4" xfId="49469" xr:uid="{00000000-0005-0000-0000-0000126D0000}"/>
    <cellStyle name="Normal 4 66 4" xfId="16772" xr:uid="{00000000-0005-0000-0000-0000136D0000}"/>
    <cellStyle name="Normal 4 66 4 2" xfId="30904" xr:uid="{00000000-0005-0000-0000-0000146D0000}"/>
    <cellStyle name="Normal 4 66 4 3" xfId="44799" xr:uid="{00000000-0005-0000-0000-0000156D0000}"/>
    <cellStyle name="Normal 4 66 5" xfId="21585" xr:uid="{00000000-0005-0000-0000-0000166D0000}"/>
    <cellStyle name="Normal 4 66 6" xfId="40217" xr:uid="{00000000-0005-0000-0000-0000176D0000}"/>
    <cellStyle name="Normal 4 67" xfId="6212" xr:uid="{00000000-0005-0000-0000-0000186D0000}"/>
    <cellStyle name="Normal 4 67 2" xfId="6213" xr:uid="{00000000-0005-0000-0000-0000196D0000}"/>
    <cellStyle name="Normal 4 67 2 2" xfId="12044" xr:uid="{00000000-0005-0000-0000-00001A6D0000}"/>
    <cellStyle name="Normal 4 67 2 2 2" xfId="35529" xr:uid="{00000000-0005-0000-0000-00001B6D0000}"/>
    <cellStyle name="Normal 4 67 2 2 3" xfId="26210" xr:uid="{00000000-0005-0000-0000-00001C6D0000}"/>
    <cellStyle name="Normal 4 67 2 2 4" xfId="49472" xr:uid="{00000000-0005-0000-0000-00001D6D0000}"/>
    <cellStyle name="Normal 4 67 2 3" xfId="16775" xr:uid="{00000000-0005-0000-0000-00001E6D0000}"/>
    <cellStyle name="Normal 4 67 2 3 2" xfId="30907" xr:uid="{00000000-0005-0000-0000-00001F6D0000}"/>
    <cellStyle name="Normal 4 67 2 3 3" xfId="44802" xr:uid="{00000000-0005-0000-0000-0000206D0000}"/>
    <cellStyle name="Normal 4 67 2 4" xfId="21588" xr:uid="{00000000-0005-0000-0000-0000216D0000}"/>
    <cellStyle name="Normal 4 67 2 5" xfId="40220" xr:uid="{00000000-0005-0000-0000-0000226D0000}"/>
    <cellStyle name="Normal 4 67 3" xfId="12043" xr:uid="{00000000-0005-0000-0000-0000236D0000}"/>
    <cellStyle name="Normal 4 67 3 2" xfId="35528" xr:uid="{00000000-0005-0000-0000-0000246D0000}"/>
    <cellStyle name="Normal 4 67 3 3" xfId="26209" xr:uid="{00000000-0005-0000-0000-0000256D0000}"/>
    <cellStyle name="Normal 4 67 3 4" xfId="49471" xr:uid="{00000000-0005-0000-0000-0000266D0000}"/>
    <cellStyle name="Normal 4 67 4" xfId="16774" xr:uid="{00000000-0005-0000-0000-0000276D0000}"/>
    <cellStyle name="Normal 4 67 4 2" xfId="30906" xr:uid="{00000000-0005-0000-0000-0000286D0000}"/>
    <cellStyle name="Normal 4 67 4 3" xfId="44801" xr:uid="{00000000-0005-0000-0000-0000296D0000}"/>
    <cellStyle name="Normal 4 67 5" xfId="21587" xr:uid="{00000000-0005-0000-0000-00002A6D0000}"/>
    <cellStyle name="Normal 4 67 6" xfId="40219" xr:uid="{00000000-0005-0000-0000-00002B6D0000}"/>
    <cellStyle name="Normal 4 68" xfId="6214" xr:uid="{00000000-0005-0000-0000-00002C6D0000}"/>
    <cellStyle name="Normal 4 68 2" xfId="6215" xr:uid="{00000000-0005-0000-0000-00002D6D0000}"/>
    <cellStyle name="Normal 4 68 2 2" xfId="12046" xr:uid="{00000000-0005-0000-0000-00002E6D0000}"/>
    <cellStyle name="Normal 4 68 2 2 2" xfId="35531" xr:uid="{00000000-0005-0000-0000-00002F6D0000}"/>
    <cellStyle name="Normal 4 68 2 2 3" xfId="26212" xr:uid="{00000000-0005-0000-0000-0000306D0000}"/>
    <cellStyle name="Normal 4 68 2 2 4" xfId="49474" xr:uid="{00000000-0005-0000-0000-0000316D0000}"/>
    <cellStyle name="Normal 4 68 2 3" xfId="16777" xr:uid="{00000000-0005-0000-0000-0000326D0000}"/>
    <cellStyle name="Normal 4 68 2 3 2" xfId="30909" xr:uid="{00000000-0005-0000-0000-0000336D0000}"/>
    <cellStyle name="Normal 4 68 2 3 3" xfId="44804" xr:uid="{00000000-0005-0000-0000-0000346D0000}"/>
    <cellStyle name="Normal 4 68 2 4" xfId="21590" xr:uid="{00000000-0005-0000-0000-0000356D0000}"/>
    <cellStyle name="Normal 4 68 2 5" xfId="40222" xr:uid="{00000000-0005-0000-0000-0000366D0000}"/>
    <cellStyle name="Normal 4 68 3" xfId="12045" xr:uid="{00000000-0005-0000-0000-0000376D0000}"/>
    <cellStyle name="Normal 4 68 3 2" xfId="35530" xr:uid="{00000000-0005-0000-0000-0000386D0000}"/>
    <cellStyle name="Normal 4 68 3 3" xfId="26211" xr:uid="{00000000-0005-0000-0000-0000396D0000}"/>
    <cellStyle name="Normal 4 68 3 4" xfId="49473" xr:uid="{00000000-0005-0000-0000-00003A6D0000}"/>
    <cellStyle name="Normal 4 68 4" xfId="16776" xr:uid="{00000000-0005-0000-0000-00003B6D0000}"/>
    <cellStyle name="Normal 4 68 4 2" xfId="30908" xr:uid="{00000000-0005-0000-0000-00003C6D0000}"/>
    <cellStyle name="Normal 4 68 4 3" xfId="44803" xr:uid="{00000000-0005-0000-0000-00003D6D0000}"/>
    <cellStyle name="Normal 4 68 5" xfId="21589" xr:uid="{00000000-0005-0000-0000-00003E6D0000}"/>
    <cellStyle name="Normal 4 68 6" xfId="40221" xr:uid="{00000000-0005-0000-0000-00003F6D0000}"/>
    <cellStyle name="Normal 4 69" xfId="6216" xr:uid="{00000000-0005-0000-0000-0000406D0000}"/>
    <cellStyle name="Normal 4 69 2" xfId="6217" xr:uid="{00000000-0005-0000-0000-0000416D0000}"/>
    <cellStyle name="Normal 4 69 2 2" xfId="12048" xr:uid="{00000000-0005-0000-0000-0000426D0000}"/>
    <cellStyle name="Normal 4 69 2 2 2" xfId="35533" xr:uid="{00000000-0005-0000-0000-0000436D0000}"/>
    <cellStyle name="Normal 4 69 2 2 3" xfId="26214" xr:uid="{00000000-0005-0000-0000-0000446D0000}"/>
    <cellStyle name="Normal 4 69 2 2 4" xfId="49476" xr:uid="{00000000-0005-0000-0000-0000456D0000}"/>
    <cellStyle name="Normal 4 69 2 3" xfId="16779" xr:uid="{00000000-0005-0000-0000-0000466D0000}"/>
    <cellStyle name="Normal 4 69 2 3 2" xfId="30911" xr:uid="{00000000-0005-0000-0000-0000476D0000}"/>
    <cellStyle name="Normal 4 69 2 3 3" xfId="44806" xr:uid="{00000000-0005-0000-0000-0000486D0000}"/>
    <cellStyle name="Normal 4 69 2 4" xfId="21592" xr:uid="{00000000-0005-0000-0000-0000496D0000}"/>
    <cellStyle name="Normal 4 69 2 5" xfId="40224" xr:uid="{00000000-0005-0000-0000-00004A6D0000}"/>
    <cellStyle name="Normal 4 69 3" xfId="12047" xr:uid="{00000000-0005-0000-0000-00004B6D0000}"/>
    <cellStyle name="Normal 4 69 3 2" xfId="35532" xr:uid="{00000000-0005-0000-0000-00004C6D0000}"/>
    <cellStyle name="Normal 4 69 3 3" xfId="26213" xr:uid="{00000000-0005-0000-0000-00004D6D0000}"/>
    <cellStyle name="Normal 4 69 3 4" xfId="49475" xr:uid="{00000000-0005-0000-0000-00004E6D0000}"/>
    <cellStyle name="Normal 4 69 4" xfId="16778" xr:uid="{00000000-0005-0000-0000-00004F6D0000}"/>
    <cellStyle name="Normal 4 69 4 2" xfId="30910" xr:uid="{00000000-0005-0000-0000-0000506D0000}"/>
    <cellStyle name="Normal 4 69 4 3" xfId="44805" xr:uid="{00000000-0005-0000-0000-0000516D0000}"/>
    <cellStyle name="Normal 4 69 5" xfId="21591" xr:uid="{00000000-0005-0000-0000-0000526D0000}"/>
    <cellStyle name="Normal 4 69 6" xfId="40223" xr:uid="{00000000-0005-0000-0000-0000536D0000}"/>
    <cellStyle name="Normal 4 7" xfId="6218" xr:uid="{00000000-0005-0000-0000-0000546D0000}"/>
    <cellStyle name="Normal 4 7 10" xfId="21593" xr:uid="{00000000-0005-0000-0000-0000556D0000}"/>
    <cellStyle name="Normal 4 7 11" xfId="40225" xr:uid="{00000000-0005-0000-0000-0000566D0000}"/>
    <cellStyle name="Normal 4 7 2" xfId="6219" xr:uid="{00000000-0005-0000-0000-0000576D0000}"/>
    <cellStyle name="Normal 4 7 2 2" xfId="6220" xr:uid="{00000000-0005-0000-0000-0000586D0000}"/>
    <cellStyle name="Normal 4 7 2 2 2" xfId="12051" xr:uid="{00000000-0005-0000-0000-0000596D0000}"/>
    <cellStyle name="Normal 4 7 2 2 2 2" xfId="35536" xr:uid="{00000000-0005-0000-0000-00005A6D0000}"/>
    <cellStyle name="Normal 4 7 2 2 2 3" xfId="26217" xr:uid="{00000000-0005-0000-0000-00005B6D0000}"/>
    <cellStyle name="Normal 4 7 2 2 2 4" xfId="49479" xr:uid="{00000000-0005-0000-0000-00005C6D0000}"/>
    <cellStyle name="Normal 4 7 2 2 3" xfId="16782" xr:uid="{00000000-0005-0000-0000-00005D6D0000}"/>
    <cellStyle name="Normal 4 7 2 2 3 2" xfId="30914" xr:uid="{00000000-0005-0000-0000-00005E6D0000}"/>
    <cellStyle name="Normal 4 7 2 2 3 3" xfId="44809" xr:uid="{00000000-0005-0000-0000-00005F6D0000}"/>
    <cellStyle name="Normal 4 7 2 2 4" xfId="21595" xr:uid="{00000000-0005-0000-0000-0000606D0000}"/>
    <cellStyle name="Normal 4 7 2 2 5" xfId="40227" xr:uid="{00000000-0005-0000-0000-0000616D0000}"/>
    <cellStyle name="Normal 4 7 2 3" xfId="12050" xr:uid="{00000000-0005-0000-0000-0000626D0000}"/>
    <cellStyle name="Normal 4 7 2 3 2" xfId="35535" xr:uid="{00000000-0005-0000-0000-0000636D0000}"/>
    <cellStyle name="Normal 4 7 2 3 3" xfId="26216" xr:uid="{00000000-0005-0000-0000-0000646D0000}"/>
    <cellStyle name="Normal 4 7 2 3 4" xfId="49478" xr:uid="{00000000-0005-0000-0000-0000656D0000}"/>
    <cellStyle name="Normal 4 7 2 4" xfId="16781" xr:uid="{00000000-0005-0000-0000-0000666D0000}"/>
    <cellStyle name="Normal 4 7 2 4 2" xfId="30913" xr:uid="{00000000-0005-0000-0000-0000676D0000}"/>
    <cellStyle name="Normal 4 7 2 4 3" xfId="44808" xr:uid="{00000000-0005-0000-0000-0000686D0000}"/>
    <cellStyle name="Normal 4 7 2 5" xfId="21594" xr:uid="{00000000-0005-0000-0000-0000696D0000}"/>
    <cellStyle name="Normal 4 7 2 6" xfId="40226" xr:uid="{00000000-0005-0000-0000-00006A6D0000}"/>
    <cellStyle name="Normal 4 7 3" xfId="6221" xr:uid="{00000000-0005-0000-0000-00006B6D0000}"/>
    <cellStyle name="Normal 4 7 3 2" xfId="6222" xr:uid="{00000000-0005-0000-0000-00006C6D0000}"/>
    <cellStyle name="Normal 4 7 3 2 2" xfId="12053" xr:uid="{00000000-0005-0000-0000-00006D6D0000}"/>
    <cellStyle name="Normal 4 7 3 2 2 2" xfId="35538" xr:uid="{00000000-0005-0000-0000-00006E6D0000}"/>
    <cellStyle name="Normal 4 7 3 2 2 3" xfId="26219" xr:uid="{00000000-0005-0000-0000-00006F6D0000}"/>
    <cellStyle name="Normal 4 7 3 2 2 4" xfId="49481" xr:uid="{00000000-0005-0000-0000-0000706D0000}"/>
    <cellStyle name="Normal 4 7 3 2 3" xfId="16784" xr:uid="{00000000-0005-0000-0000-0000716D0000}"/>
    <cellStyle name="Normal 4 7 3 2 3 2" xfId="30916" xr:uid="{00000000-0005-0000-0000-0000726D0000}"/>
    <cellStyle name="Normal 4 7 3 2 3 3" xfId="44811" xr:uid="{00000000-0005-0000-0000-0000736D0000}"/>
    <cellStyle name="Normal 4 7 3 2 4" xfId="21597" xr:uid="{00000000-0005-0000-0000-0000746D0000}"/>
    <cellStyle name="Normal 4 7 3 2 5" xfId="40229" xr:uid="{00000000-0005-0000-0000-0000756D0000}"/>
    <cellStyle name="Normal 4 7 3 3" xfId="12052" xr:uid="{00000000-0005-0000-0000-0000766D0000}"/>
    <cellStyle name="Normal 4 7 3 3 2" xfId="35537" xr:uid="{00000000-0005-0000-0000-0000776D0000}"/>
    <cellStyle name="Normal 4 7 3 3 3" xfId="26218" xr:uid="{00000000-0005-0000-0000-0000786D0000}"/>
    <cellStyle name="Normal 4 7 3 3 4" xfId="49480" xr:uid="{00000000-0005-0000-0000-0000796D0000}"/>
    <cellStyle name="Normal 4 7 3 4" xfId="16783" xr:uid="{00000000-0005-0000-0000-00007A6D0000}"/>
    <cellStyle name="Normal 4 7 3 4 2" xfId="30915" xr:uid="{00000000-0005-0000-0000-00007B6D0000}"/>
    <cellStyle name="Normal 4 7 3 4 3" xfId="44810" xr:uid="{00000000-0005-0000-0000-00007C6D0000}"/>
    <cellStyle name="Normal 4 7 3 5" xfId="21596" xr:uid="{00000000-0005-0000-0000-00007D6D0000}"/>
    <cellStyle name="Normal 4 7 3 6" xfId="40228" xr:uid="{00000000-0005-0000-0000-00007E6D0000}"/>
    <cellStyle name="Normal 4 7 4" xfId="6223" xr:uid="{00000000-0005-0000-0000-00007F6D0000}"/>
    <cellStyle name="Normal 4 7 4 2" xfId="6224" xr:uid="{00000000-0005-0000-0000-0000806D0000}"/>
    <cellStyle name="Normal 4 7 4 2 2" xfId="12055" xr:uid="{00000000-0005-0000-0000-0000816D0000}"/>
    <cellStyle name="Normal 4 7 4 2 2 2" xfId="35540" xr:uid="{00000000-0005-0000-0000-0000826D0000}"/>
    <cellStyle name="Normal 4 7 4 2 2 3" xfId="26221" xr:uid="{00000000-0005-0000-0000-0000836D0000}"/>
    <cellStyle name="Normal 4 7 4 2 2 4" xfId="49483" xr:uid="{00000000-0005-0000-0000-0000846D0000}"/>
    <cellStyle name="Normal 4 7 4 2 3" xfId="16786" xr:uid="{00000000-0005-0000-0000-0000856D0000}"/>
    <cellStyle name="Normal 4 7 4 2 3 2" xfId="30918" xr:uid="{00000000-0005-0000-0000-0000866D0000}"/>
    <cellStyle name="Normal 4 7 4 2 3 3" xfId="44813" xr:uid="{00000000-0005-0000-0000-0000876D0000}"/>
    <cellStyle name="Normal 4 7 4 2 4" xfId="21599" xr:uid="{00000000-0005-0000-0000-0000886D0000}"/>
    <cellStyle name="Normal 4 7 4 2 5" xfId="40231" xr:uid="{00000000-0005-0000-0000-0000896D0000}"/>
    <cellStyle name="Normal 4 7 4 3" xfId="12054" xr:uid="{00000000-0005-0000-0000-00008A6D0000}"/>
    <cellStyle name="Normal 4 7 4 3 2" xfId="35539" xr:uid="{00000000-0005-0000-0000-00008B6D0000}"/>
    <cellStyle name="Normal 4 7 4 3 3" xfId="26220" xr:uid="{00000000-0005-0000-0000-00008C6D0000}"/>
    <cellStyle name="Normal 4 7 4 3 4" xfId="49482" xr:uid="{00000000-0005-0000-0000-00008D6D0000}"/>
    <cellStyle name="Normal 4 7 4 4" xfId="16785" xr:uid="{00000000-0005-0000-0000-00008E6D0000}"/>
    <cellStyle name="Normal 4 7 4 4 2" xfId="30917" xr:uid="{00000000-0005-0000-0000-00008F6D0000}"/>
    <cellStyle name="Normal 4 7 4 4 3" xfId="44812" xr:uid="{00000000-0005-0000-0000-0000906D0000}"/>
    <cellStyle name="Normal 4 7 4 5" xfId="21598" xr:uid="{00000000-0005-0000-0000-0000916D0000}"/>
    <cellStyle name="Normal 4 7 4 6" xfId="40230" xr:uid="{00000000-0005-0000-0000-0000926D0000}"/>
    <cellStyle name="Normal 4 7 5" xfId="6225" xr:uid="{00000000-0005-0000-0000-0000936D0000}"/>
    <cellStyle name="Normal 4 7 5 2" xfId="6226" xr:uid="{00000000-0005-0000-0000-0000946D0000}"/>
    <cellStyle name="Normal 4 7 5 2 2" xfId="12057" xr:uid="{00000000-0005-0000-0000-0000956D0000}"/>
    <cellStyle name="Normal 4 7 5 2 2 2" xfId="35542" xr:uid="{00000000-0005-0000-0000-0000966D0000}"/>
    <cellStyle name="Normal 4 7 5 2 2 3" xfId="26223" xr:uid="{00000000-0005-0000-0000-0000976D0000}"/>
    <cellStyle name="Normal 4 7 5 2 2 4" xfId="49485" xr:uid="{00000000-0005-0000-0000-0000986D0000}"/>
    <cellStyle name="Normal 4 7 5 2 3" xfId="16788" xr:uid="{00000000-0005-0000-0000-0000996D0000}"/>
    <cellStyle name="Normal 4 7 5 2 3 2" xfId="30920" xr:uid="{00000000-0005-0000-0000-00009A6D0000}"/>
    <cellStyle name="Normal 4 7 5 2 3 3" xfId="44815" xr:uid="{00000000-0005-0000-0000-00009B6D0000}"/>
    <cellStyle name="Normal 4 7 5 2 4" xfId="21601" xr:uid="{00000000-0005-0000-0000-00009C6D0000}"/>
    <cellStyle name="Normal 4 7 5 2 5" xfId="40233" xr:uid="{00000000-0005-0000-0000-00009D6D0000}"/>
    <cellStyle name="Normal 4 7 5 3" xfId="12056" xr:uid="{00000000-0005-0000-0000-00009E6D0000}"/>
    <cellStyle name="Normal 4 7 5 3 2" xfId="35541" xr:uid="{00000000-0005-0000-0000-00009F6D0000}"/>
    <cellStyle name="Normal 4 7 5 3 3" xfId="26222" xr:uid="{00000000-0005-0000-0000-0000A06D0000}"/>
    <cellStyle name="Normal 4 7 5 3 4" xfId="49484" xr:uid="{00000000-0005-0000-0000-0000A16D0000}"/>
    <cellStyle name="Normal 4 7 5 4" xfId="16787" xr:uid="{00000000-0005-0000-0000-0000A26D0000}"/>
    <cellStyle name="Normal 4 7 5 4 2" xfId="30919" xr:uid="{00000000-0005-0000-0000-0000A36D0000}"/>
    <cellStyle name="Normal 4 7 5 4 3" xfId="44814" xr:uid="{00000000-0005-0000-0000-0000A46D0000}"/>
    <cellStyle name="Normal 4 7 5 5" xfId="21600" xr:uid="{00000000-0005-0000-0000-0000A56D0000}"/>
    <cellStyle name="Normal 4 7 5 6" xfId="40232" xr:uid="{00000000-0005-0000-0000-0000A66D0000}"/>
    <cellStyle name="Normal 4 7 6" xfId="6227" xr:uid="{00000000-0005-0000-0000-0000A76D0000}"/>
    <cellStyle name="Normal 4 7 6 2" xfId="6228" xr:uid="{00000000-0005-0000-0000-0000A86D0000}"/>
    <cellStyle name="Normal 4 7 6 2 2" xfId="12059" xr:uid="{00000000-0005-0000-0000-0000A96D0000}"/>
    <cellStyle name="Normal 4 7 6 2 2 2" xfId="35544" xr:uid="{00000000-0005-0000-0000-0000AA6D0000}"/>
    <cellStyle name="Normal 4 7 6 2 2 3" xfId="26225" xr:uid="{00000000-0005-0000-0000-0000AB6D0000}"/>
    <cellStyle name="Normal 4 7 6 2 2 4" xfId="49487" xr:uid="{00000000-0005-0000-0000-0000AC6D0000}"/>
    <cellStyle name="Normal 4 7 6 2 3" xfId="16790" xr:uid="{00000000-0005-0000-0000-0000AD6D0000}"/>
    <cellStyle name="Normal 4 7 6 2 3 2" xfId="30922" xr:uid="{00000000-0005-0000-0000-0000AE6D0000}"/>
    <cellStyle name="Normal 4 7 6 2 3 3" xfId="44817" xr:uid="{00000000-0005-0000-0000-0000AF6D0000}"/>
    <cellStyle name="Normal 4 7 6 2 4" xfId="21603" xr:uid="{00000000-0005-0000-0000-0000B06D0000}"/>
    <cellStyle name="Normal 4 7 6 2 5" xfId="40235" xr:uid="{00000000-0005-0000-0000-0000B16D0000}"/>
    <cellStyle name="Normal 4 7 6 3" xfId="12058" xr:uid="{00000000-0005-0000-0000-0000B26D0000}"/>
    <cellStyle name="Normal 4 7 6 3 2" xfId="35543" xr:uid="{00000000-0005-0000-0000-0000B36D0000}"/>
    <cellStyle name="Normal 4 7 6 3 3" xfId="26224" xr:uid="{00000000-0005-0000-0000-0000B46D0000}"/>
    <cellStyle name="Normal 4 7 6 3 4" xfId="49486" xr:uid="{00000000-0005-0000-0000-0000B56D0000}"/>
    <cellStyle name="Normal 4 7 6 4" xfId="16789" xr:uid="{00000000-0005-0000-0000-0000B66D0000}"/>
    <cellStyle name="Normal 4 7 6 4 2" xfId="30921" xr:uid="{00000000-0005-0000-0000-0000B76D0000}"/>
    <cellStyle name="Normal 4 7 6 4 3" xfId="44816" xr:uid="{00000000-0005-0000-0000-0000B86D0000}"/>
    <cellStyle name="Normal 4 7 6 5" xfId="21602" xr:uid="{00000000-0005-0000-0000-0000B96D0000}"/>
    <cellStyle name="Normal 4 7 6 6" xfId="40234" xr:uid="{00000000-0005-0000-0000-0000BA6D0000}"/>
    <cellStyle name="Normal 4 7 7" xfId="6229" xr:uid="{00000000-0005-0000-0000-0000BB6D0000}"/>
    <cellStyle name="Normal 4 7 7 2" xfId="12060" xr:uid="{00000000-0005-0000-0000-0000BC6D0000}"/>
    <cellStyle name="Normal 4 7 7 2 2" xfId="35545" xr:uid="{00000000-0005-0000-0000-0000BD6D0000}"/>
    <cellStyle name="Normal 4 7 7 2 3" xfId="26226" xr:uid="{00000000-0005-0000-0000-0000BE6D0000}"/>
    <cellStyle name="Normal 4 7 7 2 4" xfId="49488" xr:uid="{00000000-0005-0000-0000-0000BF6D0000}"/>
    <cellStyle name="Normal 4 7 7 3" xfId="16791" xr:uid="{00000000-0005-0000-0000-0000C06D0000}"/>
    <cellStyle name="Normal 4 7 7 3 2" xfId="30923" xr:uid="{00000000-0005-0000-0000-0000C16D0000}"/>
    <cellStyle name="Normal 4 7 7 3 3" xfId="44818" xr:uid="{00000000-0005-0000-0000-0000C26D0000}"/>
    <cellStyle name="Normal 4 7 7 4" xfId="21604" xr:uid="{00000000-0005-0000-0000-0000C36D0000}"/>
    <cellStyle name="Normal 4 7 7 5" xfId="40236" xr:uid="{00000000-0005-0000-0000-0000C46D0000}"/>
    <cellStyle name="Normal 4 7 8" xfId="12049" xr:uid="{00000000-0005-0000-0000-0000C56D0000}"/>
    <cellStyle name="Normal 4 7 8 2" xfId="35534" xr:uid="{00000000-0005-0000-0000-0000C66D0000}"/>
    <cellStyle name="Normal 4 7 8 3" xfId="26215" xr:uid="{00000000-0005-0000-0000-0000C76D0000}"/>
    <cellStyle name="Normal 4 7 8 4" xfId="49477" xr:uid="{00000000-0005-0000-0000-0000C86D0000}"/>
    <cellStyle name="Normal 4 7 9" xfId="16780" xr:uid="{00000000-0005-0000-0000-0000C96D0000}"/>
    <cellStyle name="Normal 4 7 9 2" xfId="30912" xr:uid="{00000000-0005-0000-0000-0000CA6D0000}"/>
    <cellStyle name="Normal 4 7 9 3" xfId="44807" xr:uid="{00000000-0005-0000-0000-0000CB6D0000}"/>
    <cellStyle name="Normal 4 70" xfId="6230" xr:uid="{00000000-0005-0000-0000-0000CC6D0000}"/>
    <cellStyle name="Normal 4 70 2" xfId="6231" xr:uid="{00000000-0005-0000-0000-0000CD6D0000}"/>
    <cellStyle name="Normal 4 70 2 2" xfId="12062" xr:uid="{00000000-0005-0000-0000-0000CE6D0000}"/>
    <cellStyle name="Normal 4 70 2 2 2" xfId="35547" xr:uid="{00000000-0005-0000-0000-0000CF6D0000}"/>
    <cellStyle name="Normal 4 70 2 2 3" xfId="26228" xr:uid="{00000000-0005-0000-0000-0000D06D0000}"/>
    <cellStyle name="Normal 4 70 2 2 4" xfId="49490" xr:uid="{00000000-0005-0000-0000-0000D16D0000}"/>
    <cellStyle name="Normal 4 70 2 3" xfId="16793" xr:uid="{00000000-0005-0000-0000-0000D26D0000}"/>
    <cellStyle name="Normal 4 70 2 3 2" xfId="30925" xr:uid="{00000000-0005-0000-0000-0000D36D0000}"/>
    <cellStyle name="Normal 4 70 2 3 3" xfId="44820" xr:uid="{00000000-0005-0000-0000-0000D46D0000}"/>
    <cellStyle name="Normal 4 70 2 4" xfId="21606" xr:uid="{00000000-0005-0000-0000-0000D56D0000}"/>
    <cellStyle name="Normal 4 70 2 5" xfId="40238" xr:uid="{00000000-0005-0000-0000-0000D66D0000}"/>
    <cellStyle name="Normal 4 70 3" xfId="12061" xr:uid="{00000000-0005-0000-0000-0000D76D0000}"/>
    <cellStyle name="Normal 4 70 3 2" xfId="35546" xr:uid="{00000000-0005-0000-0000-0000D86D0000}"/>
    <cellStyle name="Normal 4 70 3 3" xfId="26227" xr:uid="{00000000-0005-0000-0000-0000D96D0000}"/>
    <cellStyle name="Normal 4 70 3 4" xfId="49489" xr:uid="{00000000-0005-0000-0000-0000DA6D0000}"/>
    <cellStyle name="Normal 4 70 4" xfId="16792" xr:uid="{00000000-0005-0000-0000-0000DB6D0000}"/>
    <cellStyle name="Normal 4 70 4 2" xfId="30924" xr:uid="{00000000-0005-0000-0000-0000DC6D0000}"/>
    <cellStyle name="Normal 4 70 4 3" xfId="44819" xr:uid="{00000000-0005-0000-0000-0000DD6D0000}"/>
    <cellStyle name="Normal 4 70 5" xfId="21605" xr:uid="{00000000-0005-0000-0000-0000DE6D0000}"/>
    <cellStyle name="Normal 4 70 6" xfId="40237" xr:uid="{00000000-0005-0000-0000-0000DF6D0000}"/>
    <cellStyle name="Normal 4 71" xfId="6232" xr:uid="{00000000-0005-0000-0000-0000E06D0000}"/>
    <cellStyle name="Normal 4 71 2" xfId="6233" xr:uid="{00000000-0005-0000-0000-0000E16D0000}"/>
    <cellStyle name="Normal 4 71 2 2" xfId="12064" xr:uid="{00000000-0005-0000-0000-0000E26D0000}"/>
    <cellStyle name="Normal 4 71 2 2 2" xfId="35549" xr:uid="{00000000-0005-0000-0000-0000E36D0000}"/>
    <cellStyle name="Normal 4 71 2 2 3" xfId="26230" xr:uid="{00000000-0005-0000-0000-0000E46D0000}"/>
    <cellStyle name="Normal 4 71 2 2 4" xfId="49492" xr:uid="{00000000-0005-0000-0000-0000E56D0000}"/>
    <cellStyle name="Normal 4 71 2 3" xfId="16795" xr:uid="{00000000-0005-0000-0000-0000E66D0000}"/>
    <cellStyle name="Normal 4 71 2 3 2" xfId="30927" xr:uid="{00000000-0005-0000-0000-0000E76D0000}"/>
    <cellStyle name="Normal 4 71 2 3 3" xfId="44822" xr:uid="{00000000-0005-0000-0000-0000E86D0000}"/>
    <cellStyle name="Normal 4 71 2 4" xfId="21608" xr:uid="{00000000-0005-0000-0000-0000E96D0000}"/>
    <cellStyle name="Normal 4 71 2 5" xfId="40240" xr:uid="{00000000-0005-0000-0000-0000EA6D0000}"/>
    <cellStyle name="Normal 4 71 3" xfId="12063" xr:uid="{00000000-0005-0000-0000-0000EB6D0000}"/>
    <cellStyle name="Normal 4 71 3 2" xfId="35548" xr:uid="{00000000-0005-0000-0000-0000EC6D0000}"/>
    <cellStyle name="Normal 4 71 3 3" xfId="26229" xr:uid="{00000000-0005-0000-0000-0000ED6D0000}"/>
    <cellStyle name="Normal 4 71 3 4" xfId="49491" xr:uid="{00000000-0005-0000-0000-0000EE6D0000}"/>
    <cellStyle name="Normal 4 71 4" xfId="16794" xr:uid="{00000000-0005-0000-0000-0000EF6D0000}"/>
    <cellStyle name="Normal 4 71 4 2" xfId="30926" xr:uid="{00000000-0005-0000-0000-0000F06D0000}"/>
    <cellStyle name="Normal 4 71 4 3" xfId="44821" xr:uid="{00000000-0005-0000-0000-0000F16D0000}"/>
    <cellStyle name="Normal 4 71 5" xfId="21607" xr:uid="{00000000-0005-0000-0000-0000F26D0000}"/>
    <cellStyle name="Normal 4 71 6" xfId="40239" xr:uid="{00000000-0005-0000-0000-0000F36D0000}"/>
    <cellStyle name="Normal 4 72" xfId="6234" xr:uid="{00000000-0005-0000-0000-0000F46D0000}"/>
    <cellStyle name="Normal 4 72 2" xfId="6235" xr:uid="{00000000-0005-0000-0000-0000F56D0000}"/>
    <cellStyle name="Normal 4 72 2 2" xfId="12066" xr:uid="{00000000-0005-0000-0000-0000F66D0000}"/>
    <cellStyle name="Normal 4 72 2 2 2" xfId="35551" xr:uid="{00000000-0005-0000-0000-0000F76D0000}"/>
    <cellStyle name="Normal 4 72 2 2 3" xfId="26232" xr:uid="{00000000-0005-0000-0000-0000F86D0000}"/>
    <cellStyle name="Normal 4 72 2 2 4" xfId="49494" xr:uid="{00000000-0005-0000-0000-0000F96D0000}"/>
    <cellStyle name="Normal 4 72 2 3" xfId="16797" xr:uid="{00000000-0005-0000-0000-0000FA6D0000}"/>
    <cellStyle name="Normal 4 72 2 3 2" xfId="30929" xr:uid="{00000000-0005-0000-0000-0000FB6D0000}"/>
    <cellStyle name="Normal 4 72 2 3 3" xfId="44824" xr:uid="{00000000-0005-0000-0000-0000FC6D0000}"/>
    <cellStyle name="Normal 4 72 2 4" xfId="21610" xr:uid="{00000000-0005-0000-0000-0000FD6D0000}"/>
    <cellStyle name="Normal 4 72 2 5" xfId="40242" xr:uid="{00000000-0005-0000-0000-0000FE6D0000}"/>
    <cellStyle name="Normal 4 72 3" xfId="12065" xr:uid="{00000000-0005-0000-0000-0000FF6D0000}"/>
    <cellStyle name="Normal 4 72 3 2" xfId="35550" xr:uid="{00000000-0005-0000-0000-0000006E0000}"/>
    <cellStyle name="Normal 4 72 3 3" xfId="26231" xr:uid="{00000000-0005-0000-0000-0000016E0000}"/>
    <cellStyle name="Normal 4 72 3 4" xfId="49493" xr:uid="{00000000-0005-0000-0000-0000026E0000}"/>
    <cellStyle name="Normal 4 72 4" xfId="16796" xr:uid="{00000000-0005-0000-0000-0000036E0000}"/>
    <cellStyle name="Normal 4 72 4 2" xfId="30928" xr:uid="{00000000-0005-0000-0000-0000046E0000}"/>
    <cellStyle name="Normal 4 72 4 3" xfId="44823" xr:uid="{00000000-0005-0000-0000-0000056E0000}"/>
    <cellStyle name="Normal 4 72 5" xfId="21609" xr:uid="{00000000-0005-0000-0000-0000066E0000}"/>
    <cellStyle name="Normal 4 72 6" xfId="40241" xr:uid="{00000000-0005-0000-0000-0000076E0000}"/>
    <cellStyle name="Normal 4 73" xfId="6236" xr:uid="{00000000-0005-0000-0000-0000086E0000}"/>
    <cellStyle name="Normal 4 73 2" xfId="6237" xr:uid="{00000000-0005-0000-0000-0000096E0000}"/>
    <cellStyle name="Normal 4 73 2 2" xfId="12068" xr:uid="{00000000-0005-0000-0000-00000A6E0000}"/>
    <cellStyle name="Normal 4 73 2 2 2" xfId="35553" xr:uid="{00000000-0005-0000-0000-00000B6E0000}"/>
    <cellStyle name="Normal 4 73 2 2 3" xfId="26234" xr:uid="{00000000-0005-0000-0000-00000C6E0000}"/>
    <cellStyle name="Normal 4 73 2 2 4" xfId="49496" xr:uid="{00000000-0005-0000-0000-00000D6E0000}"/>
    <cellStyle name="Normal 4 73 2 3" xfId="16799" xr:uid="{00000000-0005-0000-0000-00000E6E0000}"/>
    <cellStyle name="Normal 4 73 2 3 2" xfId="30931" xr:uid="{00000000-0005-0000-0000-00000F6E0000}"/>
    <cellStyle name="Normal 4 73 2 3 3" xfId="44826" xr:uid="{00000000-0005-0000-0000-0000106E0000}"/>
    <cellStyle name="Normal 4 73 2 4" xfId="21612" xr:uid="{00000000-0005-0000-0000-0000116E0000}"/>
    <cellStyle name="Normal 4 73 2 5" xfId="40244" xr:uid="{00000000-0005-0000-0000-0000126E0000}"/>
    <cellStyle name="Normal 4 73 3" xfId="12067" xr:uid="{00000000-0005-0000-0000-0000136E0000}"/>
    <cellStyle name="Normal 4 73 3 2" xfId="35552" xr:uid="{00000000-0005-0000-0000-0000146E0000}"/>
    <cellStyle name="Normal 4 73 3 3" xfId="26233" xr:uid="{00000000-0005-0000-0000-0000156E0000}"/>
    <cellStyle name="Normal 4 73 3 4" xfId="49495" xr:uid="{00000000-0005-0000-0000-0000166E0000}"/>
    <cellStyle name="Normal 4 73 4" xfId="16798" xr:uid="{00000000-0005-0000-0000-0000176E0000}"/>
    <cellStyle name="Normal 4 73 4 2" xfId="30930" xr:uid="{00000000-0005-0000-0000-0000186E0000}"/>
    <cellStyle name="Normal 4 73 4 3" xfId="44825" xr:uid="{00000000-0005-0000-0000-0000196E0000}"/>
    <cellStyle name="Normal 4 73 5" xfId="21611" xr:uid="{00000000-0005-0000-0000-00001A6E0000}"/>
    <cellStyle name="Normal 4 73 6" xfId="40243" xr:uid="{00000000-0005-0000-0000-00001B6E0000}"/>
    <cellStyle name="Normal 4 74" xfId="6238" xr:uid="{00000000-0005-0000-0000-00001C6E0000}"/>
    <cellStyle name="Normal 4 74 2" xfId="6239" xr:uid="{00000000-0005-0000-0000-00001D6E0000}"/>
    <cellStyle name="Normal 4 74 2 2" xfId="12070" xr:uid="{00000000-0005-0000-0000-00001E6E0000}"/>
    <cellStyle name="Normal 4 74 2 2 2" xfId="35555" xr:uid="{00000000-0005-0000-0000-00001F6E0000}"/>
    <cellStyle name="Normal 4 74 2 2 3" xfId="26236" xr:uid="{00000000-0005-0000-0000-0000206E0000}"/>
    <cellStyle name="Normal 4 74 2 2 4" xfId="49498" xr:uid="{00000000-0005-0000-0000-0000216E0000}"/>
    <cellStyle name="Normal 4 74 2 3" xfId="16801" xr:uid="{00000000-0005-0000-0000-0000226E0000}"/>
    <cellStyle name="Normal 4 74 2 3 2" xfId="30933" xr:uid="{00000000-0005-0000-0000-0000236E0000}"/>
    <cellStyle name="Normal 4 74 2 3 3" xfId="44828" xr:uid="{00000000-0005-0000-0000-0000246E0000}"/>
    <cellStyle name="Normal 4 74 2 4" xfId="21614" xr:uid="{00000000-0005-0000-0000-0000256E0000}"/>
    <cellStyle name="Normal 4 74 2 5" xfId="40246" xr:uid="{00000000-0005-0000-0000-0000266E0000}"/>
    <cellStyle name="Normal 4 74 3" xfId="12069" xr:uid="{00000000-0005-0000-0000-0000276E0000}"/>
    <cellStyle name="Normal 4 74 3 2" xfId="35554" xr:uid="{00000000-0005-0000-0000-0000286E0000}"/>
    <cellStyle name="Normal 4 74 3 3" xfId="26235" xr:uid="{00000000-0005-0000-0000-0000296E0000}"/>
    <cellStyle name="Normal 4 74 3 4" xfId="49497" xr:uid="{00000000-0005-0000-0000-00002A6E0000}"/>
    <cellStyle name="Normal 4 74 4" xfId="16800" xr:uid="{00000000-0005-0000-0000-00002B6E0000}"/>
    <cellStyle name="Normal 4 74 4 2" xfId="30932" xr:uid="{00000000-0005-0000-0000-00002C6E0000}"/>
    <cellStyle name="Normal 4 74 4 3" xfId="44827" xr:uid="{00000000-0005-0000-0000-00002D6E0000}"/>
    <cellStyle name="Normal 4 74 5" xfId="21613" xr:uid="{00000000-0005-0000-0000-00002E6E0000}"/>
    <cellStyle name="Normal 4 74 6" xfId="40245" xr:uid="{00000000-0005-0000-0000-00002F6E0000}"/>
    <cellStyle name="Normal 4 75" xfId="6240" xr:uid="{00000000-0005-0000-0000-0000306E0000}"/>
    <cellStyle name="Normal 4 75 2" xfId="6241" xr:uid="{00000000-0005-0000-0000-0000316E0000}"/>
    <cellStyle name="Normal 4 75 2 2" xfId="12072" xr:uid="{00000000-0005-0000-0000-0000326E0000}"/>
    <cellStyle name="Normal 4 75 2 2 2" xfId="35557" xr:uid="{00000000-0005-0000-0000-0000336E0000}"/>
    <cellStyle name="Normal 4 75 2 2 3" xfId="26238" xr:uid="{00000000-0005-0000-0000-0000346E0000}"/>
    <cellStyle name="Normal 4 75 2 2 4" xfId="49500" xr:uid="{00000000-0005-0000-0000-0000356E0000}"/>
    <cellStyle name="Normal 4 75 2 3" xfId="16803" xr:uid="{00000000-0005-0000-0000-0000366E0000}"/>
    <cellStyle name="Normal 4 75 2 3 2" xfId="30935" xr:uid="{00000000-0005-0000-0000-0000376E0000}"/>
    <cellStyle name="Normal 4 75 2 3 3" xfId="44830" xr:uid="{00000000-0005-0000-0000-0000386E0000}"/>
    <cellStyle name="Normal 4 75 2 4" xfId="21616" xr:uid="{00000000-0005-0000-0000-0000396E0000}"/>
    <cellStyle name="Normal 4 75 2 5" xfId="40248" xr:uid="{00000000-0005-0000-0000-00003A6E0000}"/>
    <cellStyle name="Normal 4 75 3" xfId="12071" xr:uid="{00000000-0005-0000-0000-00003B6E0000}"/>
    <cellStyle name="Normal 4 75 3 2" xfId="35556" xr:uid="{00000000-0005-0000-0000-00003C6E0000}"/>
    <cellStyle name="Normal 4 75 3 3" xfId="26237" xr:uid="{00000000-0005-0000-0000-00003D6E0000}"/>
    <cellStyle name="Normal 4 75 3 4" xfId="49499" xr:uid="{00000000-0005-0000-0000-00003E6E0000}"/>
    <cellStyle name="Normal 4 75 4" xfId="16802" xr:uid="{00000000-0005-0000-0000-00003F6E0000}"/>
    <cellStyle name="Normal 4 75 4 2" xfId="30934" xr:uid="{00000000-0005-0000-0000-0000406E0000}"/>
    <cellStyle name="Normal 4 75 4 3" xfId="44829" xr:uid="{00000000-0005-0000-0000-0000416E0000}"/>
    <cellStyle name="Normal 4 75 5" xfId="21615" xr:uid="{00000000-0005-0000-0000-0000426E0000}"/>
    <cellStyle name="Normal 4 75 6" xfId="40247" xr:uid="{00000000-0005-0000-0000-0000436E0000}"/>
    <cellStyle name="Normal 4 76" xfId="6242" xr:uid="{00000000-0005-0000-0000-0000446E0000}"/>
    <cellStyle name="Normal 4 76 2" xfId="12073" xr:uid="{00000000-0005-0000-0000-0000456E0000}"/>
    <cellStyle name="Normal 4 76 2 2" xfId="35558" xr:uid="{00000000-0005-0000-0000-0000466E0000}"/>
    <cellStyle name="Normal 4 76 2 3" xfId="26239" xr:uid="{00000000-0005-0000-0000-0000476E0000}"/>
    <cellStyle name="Normal 4 76 2 4" xfId="49501" xr:uid="{00000000-0005-0000-0000-0000486E0000}"/>
    <cellStyle name="Normal 4 76 3" xfId="16804" xr:uid="{00000000-0005-0000-0000-0000496E0000}"/>
    <cellStyle name="Normal 4 76 3 2" xfId="30936" xr:uid="{00000000-0005-0000-0000-00004A6E0000}"/>
    <cellStyle name="Normal 4 76 3 3" xfId="44831" xr:uid="{00000000-0005-0000-0000-00004B6E0000}"/>
    <cellStyle name="Normal 4 76 4" xfId="21617" xr:uid="{00000000-0005-0000-0000-00004C6E0000}"/>
    <cellStyle name="Normal 4 76 5" xfId="40249" xr:uid="{00000000-0005-0000-0000-00004D6E0000}"/>
    <cellStyle name="Normal 4 77" xfId="6243" xr:uid="{00000000-0005-0000-0000-00004E6E0000}"/>
    <cellStyle name="Normal 4 77 2" xfId="12074" xr:uid="{00000000-0005-0000-0000-00004F6E0000}"/>
    <cellStyle name="Normal 4 77 2 2" xfId="35559" xr:uid="{00000000-0005-0000-0000-0000506E0000}"/>
    <cellStyle name="Normal 4 77 2 3" xfId="26240" xr:uid="{00000000-0005-0000-0000-0000516E0000}"/>
    <cellStyle name="Normal 4 77 2 4" xfId="49502" xr:uid="{00000000-0005-0000-0000-0000526E0000}"/>
    <cellStyle name="Normal 4 77 3" xfId="16805" xr:uid="{00000000-0005-0000-0000-0000536E0000}"/>
    <cellStyle name="Normal 4 77 3 2" xfId="30937" xr:uid="{00000000-0005-0000-0000-0000546E0000}"/>
    <cellStyle name="Normal 4 77 3 3" xfId="44832" xr:uid="{00000000-0005-0000-0000-0000556E0000}"/>
    <cellStyle name="Normal 4 77 4" xfId="21618" xr:uid="{00000000-0005-0000-0000-0000566E0000}"/>
    <cellStyle name="Normal 4 77 5" xfId="40250" xr:uid="{00000000-0005-0000-0000-0000576E0000}"/>
    <cellStyle name="Normal 4 78" xfId="6244" xr:uid="{00000000-0005-0000-0000-0000586E0000}"/>
    <cellStyle name="Normal 4 78 2" xfId="12075" xr:uid="{00000000-0005-0000-0000-0000596E0000}"/>
    <cellStyle name="Normal 4 78 2 2" xfId="35560" xr:uid="{00000000-0005-0000-0000-00005A6E0000}"/>
    <cellStyle name="Normal 4 78 2 3" xfId="26241" xr:uid="{00000000-0005-0000-0000-00005B6E0000}"/>
    <cellStyle name="Normal 4 78 2 4" xfId="49503" xr:uid="{00000000-0005-0000-0000-00005C6E0000}"/>
    <cellStyle name="Normal 4 78 3" xfId="16806" xr:uid="{00000000-0005-0000-0000-00005D6E0000}"/>
    <cellStyle name="Normal 4 78 3 2" xfId="30938" xr:uid="{00000000-0005-0000-0000-00005E6E0000}"/>
    <cellStyle name="Normal 4 78 3 3" xfId="44833" xr:uid="{00000000-0005-0000-0000-00005F6E0000}"/>
    <cellStyle name="Normal 4 78 4" xfId="21619" xr:uid="{00000000-0005-0000-0000-0000606E0000}"/>
    <cellStyle name="Normal 4 78 5" xfId="40251" xr:uid="{00000000-0005-0000-0000-0000616E0000}"/>
    <cellStyle name="Normal 4 79" xfId="6245" xr:uid="{00000000-0005-0000-0000-0000626E0000}"/>
    <cellStyle name="Normal 4 79 2" xfId="12076" xr:uid="{00000000-0005-0000-0000-0000636E0000}"/>
    <cellStyle name="Normal 4 79 2 2" xfId="35561" xr:uid="{00000000-0005-0000-0000-0000646E0000}"/>
    <cellStyle name="Normal 4 79 2 3" xfId="26242" xr:uid="{00000000-0005-0000-0000-0000656E0000}"/>
    <cellStyle name="Normal 4 79 2 4" xfId="49504" xr:uid="{00000000-0005-0000-0000-0000666E0000}"/>
    <cellStyle name="Normal 4 79 3" xfId="16807" xr:uid="{00000000-0005-0000-0000-0000676E0000}"/>
    <cellStyle name="Normal 4 79 3 2" xfId="30939" xr:uid="{00000000-0005-0000-0000-0000686E0000}"/>
    <cellStyle name="Normal 4 79 3 3" xfId="44834" xr:uid="{00000000-0005-0000-0000-0000696E0000}"/>
    <cellStyle name="Normal 4 79 4" xfId="21620" xr:uid="{00000000-0005-0000-0000-00006A6E0000}"/>
    <cellStyle name="Normal 4 79 5" xfId="40252" xr:uid="{00000000-0005-0000-0000-00006B6E0000}"/>
    <cellStyle name="Normal 4 8" xfId="6246" xr:uid="{00000000-0005-0000-0000-00006C6E0000}"/>
    <cellStyle name="Normal 4 8 10" xfId="21621" xr:uid="{00000000-0005-0000-0000-00006D6E0000}"/>
    <cellStyle name="Normal 4 8 11" xfId="40253" xr:uid="{00000000-0005-0000-0000-00006E6E0000}"/>
    <cellStyle name="Normal 4 8 2" xfId="6247" xr:uid="{00000000-0005-0000-0000-00006F6E0000}"/>
    <cellStyle name="Normal 4 8 2 2" xfId="6248" xr:uid="{00000000-0005-0000-0000-0000706E0000}"/>
    <cellStyle name="Normal 4 8 2 2 2" xfId="12079" xr:uid="{00000000-0005-0000-0000-0000716E0000}"/>
    <cellStyle name="Normal 4 8 2 2 2 2" xfId="35564" xr:uid="{00000000-0005-0000-0000-0000726E0000}"/>
    <cellStyle name="Normal 4 8 2 2 2 3" xfId="26245" xr:uid="{00000000-0005-0000-0000-0000736E0000}"/>
    <cellStyle name="Normal 4 8 2 2 2 4" xfId="49507" xr:uid="{00000000-0005-0000-0000-0000746E0000}"/>
    <cellStyle name="Normal 4 8 2 2 3" xfId="16810" xr:uid="{00000000-0005-0000-0000-0000756E0000}"/>
    <cellStyle name="Normal 4 8 2 2 3 2" xfId="30942" xr:uid="{00000000-0005-0000-0000-0000766E0000}"/>
    <cellStyle name="Normal 4 8 2 2 3 3" xfId="44837" xr:uid="{00000000-0005-0000-0000-0000776E0000}"/>
    <cellStyle name="Normal 4 8 2 2 4" xfId="21623" xr:uid="{00000000-0005-0000-0000-0000786E0000}"/>
    <cellStyle name="Normal 4 8 2 2 5" xfId="40255" xr:uid="{00000000-0005-0000-0000-0000796E0000}"/>
    <cellStyle name="Normal 4 8 2 3" xfId="12078" xr:uid="{00000000-0005-0000-0000-00007A6E0000}"/>
    <cellStyle name="Normal 4 8 2 3 2" xfId="35563" xr:uid="{00000000-0005-0000-0000-00007B6E0000}"/>
    <cellStyle name="Normal 4 8 2 3 3" xfId="26244" xr:uid="{00000000-0005-0000-0000-00007C6E0000}"/>
    <cellStyle name="Normal 4 8 2 3 4" xfId="49506" xr:uid="{00000000-0005-0000-0000-00007D6E0000}"/>
    <cellStyle name="Normal 4 8 2 4" xfId="16809" xr:uid="{00000000-0005-0000-0000-00007E6E0000}"/>
    <cellStyle name="Normal 4 8 2 4 2" xfId="30941" xr:uid="{00000000-0005-0000-0000-00007F6E0000}"/>
    <cellStyle name="Normal 4 8 2 4 3" xfId="44836" xr:uid="{00000000-0005-0000-0000-0000806E0000}"/>
    <cellStyle name="Normal 4 8 2 5" xfId="21622" xr:uid="{00000000-0005-0000-0000-0000816E0000}"/>
    <cellStyle name="Normal 4 8 2 6" xfId="40254" xr:uid="{00000000-0005-0000-0000-0000826E0000}"/>
    <cellStyle name="Normal 4 8 3" xfId="6249" xr:uid="{00000000-0005-0000-0000-0000836E0000}"/>
    <cellStyle name="Normal 4 8 3 2" xfId="6250" xr:uid="{00000000-0005-0000-0000-0000846E0000}"/>
    <cellStyle name="Normal 4 8 3 2 2" xfId="12081" xr:uid="{00000000-0005-0000-0000-0000856E0000}"/>
    <cellStyle name="Normal 4 8 3 2 2 2" xfId="35566" xr:uid="{00000000-0005-0000-0000-0000866E0000}"/>
    <cellStyle name="Normal 4 8 3 2 2 3" xfId="26247" xr:uid="{00000000-0005-0000-0000-0000876E0000}"/>
    <cellStyle name="Normal 4 8 3 2 2 4" xfId="49509" xr:uid="{00000000-0005-0000-0000-0000886E0000}"/>
    <cellStyle name="Normal 4 8 3 2 3" xfId="16812" xr:uid="{00000000-0005-0000-0000-0000896E0000}"/>
    <cellStyle name="Normal 4 8 3 2 3 2" xfId="30944" xr:uid="{00000000-0005-0000-0000-00008A6E0000}"/>
    <cellStyle name="Normal 4 8 3 2 3 3" xfId="44839" xr:uid="{00000000-0005-0000-0000-00008B6E0000}"/>
    <cellStyle name="Normal 4 8 3 2 4" xfId="21625" xr:uid="{00000000-0005-0000-0000-00008C6E0000}"/>
    <cellStyle name="Normal 4 8 3 2 5" xfId="40257" xr:uid="{00000000-0005-0000-0000-00008D6E0000}"/>
    <cellStyle name="Normal 4 8 3 3" xfId="12080" xr:uid="{00000000-0005-0000-0000-00008E6E0000}"/>
    <cellStyle name="Normal 4 8 3 3 2" xfId="35565" xr:uid="{00000000-0005-0000-0000-00008F6E0000}"/>
    <cellStyle name="Normal 4 8 3 3 3" xfId="26246" xr:uid="{00000000-0005-0000-0000-0000906E0000}"/>
    <cellStyle name="Normal 4 8 3 3 4" xfId="49508" xr:uid="{00000000-0005-0000-0000-0000916E0000}"/>
    <cellStyle name="Normal 4 8 3 4" xfId="16811" xr:uid="{00000000-0005-0000-0000-0000926E0000}"/>
    <cellStyle name="Normal 4 8 3 4 2" xfId="30943" xr:uid="{00000000-0005-0000-0000-0000936E0000}"/>
    <cellStyle name="Normal 4 8 3 4 3" xfId="44838" xr:uid="{00000000-0005-0000-0000-0000946E0000}"/>
    <cellStyle name="Normal 4 8 3 5" xfId="21624" xr:uid="{00000000-0005-0000-0000-0000956E0000}"/>
    <cellStyle name="Normal 4 8 3 6" xfId="40256" xr:uid="{00000000-0005-0000-0000-0000966E0000}"/>
    <cellStyle name="Normal 4 8 4" xfId="6251" xr:uid="{00000000-0005-0000-0000-0000976E0000}"/>
    <cellStyle name="Normal 4 8 4 2" xfId="6252" xr:uid="{00000000-0005-0000-0000-0000986E0000}"/>
    <cellStyle name="Normal 4 8 4 2 2" xfId="12083" xr:uid="{00000000-0005-0000-0000-0000996E0000}"/>
    <cellStyle name="Normal 4 8 4 2 2 2" xfId="35568" xr:uid="{00000000-0005-0000-0000-00009A6E0000}"/>
    <cellStyle name="Normal 4 8 4 2 2 3" xfId="26249" xr:uid="{00000000-0005-0000-0000-00009B6E0000}"/>
    <cellStyle name="Normal 4 8 4 2 2 4" xfId="49511" xr:uid="{00000000-0005-0000-0000-00009C6E0000}"/>
    <cellStyle name="Normal 4 8 4 2 3" xfId="16814" xr:uid="{00000000-0005-0000-0000-00009D6E0000}"/>
    <cellStyle name="Normal 4 8 4 2 3 2" xfId="30946" xr:uid="{00000000-0005-0000-0000-00009E6E0000}"/>
    <cellStyle name="Normal 4 8 4 2 3 3" xfId="44841" xr:uid="{00000000-0005-0000-0000-00009F6E0000}"/>
    <cellStyle name="Normal 4 8 4 2 4" xfId="21627" xr:uid="{00000000-0005-0000-0000-0000A06E0000}"/>
    <cellStyle name="Normal 4 8 4 2 5" xfId="40259" xr:uid="{00000000-0005-0000-0000-0000A16E0000}"/>
    <cellStyle name="Normal 4 8 4 3" xfId="12082" xr:uid="{00000000-0005-0000-0000-0000A26E0000}"/>
    <cellStyle name="Normal 4 8 4 3 2" xfId="35567" xr:uid="{00000000-0005-0000-0000-0000A36E0000}"/>
    <cellStyle name="Normal 4 8 4 3 3" xfId="26248" xr:uid="{00000000-0005-0000-0000-0000A46E0000}"/>
    <cellStyle name="Normal 4 8 4 3 4" xfId="49510" xr:uid="{00000000-0005-0000-0000-0000A56E0000}"/>
    <cellStyle name="Normal 4 8 4 4" xfId="16813" xr:uid="{00000000-0005-0000-0000-0000A66E0000}"/>
    <cellStyle name="Normal 4 8 4 4 2" xfId="30945" xr:uid="{00000000-0005-0000-0000-0000A76E0000}"/>
    <cellStyle name="Normal 4 8 4 4 3" xfId="44840" xr:uid="{00000000-0005-0000-0000-0000A86E0000}"/>
    <cellStyle name="Normal 4 8 4 5" xfId="21626" xr:uid="{00000000-0005-0000-0000-0000A96E0000}"/>
    <cellStyle name="Normal 4 8 4 6" xfId="40258" xr:uid="{00000000-0005-0000-0000-0000AA6E0000}"/>
    <cellStyle name="Normal 4 8 5" xfId="6253" xr:uid="{00000000-0005-0000-0000-0000AB6E0000}"/>
    <cellStyle name="Normal 4 8 5 2" xfId="6254" xr:uid="{00000000-0005-0000-0000-0000AC6E0000}"/>
    <cellStyle name="Normal 4 8 5 2 2" xfId="12085" xr:uid="{00000000-0005-0000-0000-0000AD6E0000}"/>
    <cellStyle name="Normal 4 8 5 2 2 2" xfId="35570" xr:uid="{00000000-0005-0000-0000-0000AE6E0000}"/>
    <cellStyle name="Normal 4 8 5 2 2 3" xfId="26251" xr:uid="{00000000-0005-0000-0000-0000AF6E0000}"/>
    <cellStyle name="Normal 4 8 5 2 2 4" xfId="49513" xr:uid="{00000000-0005-0000-0000-0000B06E0000}"/>
    <cellStyle name="Normal 4 8 5 2 3" xfId="16816" xr:uid="{00000000-0005-0000-0000-0000B16E0000}"/>
    <cellStyle name="Normal 4 8 5 2 3 2" xfId="30948" xr:uid="{00000000-0005-0000-0000-0000B26E0000}"/>
    <cellStyle name="Normal 4 8 5 2 3 3" xfId="44843" xr:uid="{00000000-0005-0000-0000-0000B36E0000}"/>
    <cellStyle name="Normal 4 8 5 2 4" xfId="21629" xr:uid="{00000000-0005-0000-0000-0000B46E0000}"/>
    <cellStyle name="Normal 4 8 5 2 5" xfId="40261" xr:uid="{00000000-0005-0000-0000-0000B56E0000}"/>
    <cellStyle name="Normal 4 8 5 3" xfId="12084" xr:uid="{00000000-0005-0000-0000-0000B66E0000}"/>
    <cellStyle name="Normal 4 8 5 3 2" xfId="35569" xr:uid="{00000000-0005-0000-0000-0000B76E0000}"/>
    <cellStyle name="Normal 4 8 5 3 3" xfId="26250" xr:uid="{00000000-0005-0000-0000-0000B86E0000}"/>
    <cellStyle name="Normal 4 8 5 3 4" xfId="49512" xr:uid="{00000000-0005-0000-0000-0000B96E0000}"/>
    <cellStyle name="Normal 4 8 5 4" xfId="16815" xr:uid="{00000000-0005-0000-0000-0000BA6E0000}"/>
    <cellStyle name="Normal 4 8 5 4 2" xfId="30947" xr:uid="{00000000-0005-0000-0000-0000BB6E0000}"/>
    <cellStyle name="Normal 4 8 5 4 3" xfId="44842" xr:uid="{00000000-0005-0000-0000-0000BC6E0000}"/>
    <cellStyle name="Normal 4 8 5 5" xfId="21628" xr:uid="{00000000-0005-0000-0000-0000BD6E0000}"/>
    <cellStyle name="Normal 4 8 5 6" xfId="40260" xr:uid="{00000000-0005-0000-0000-0000BE6E0000}"/>
    <cellStyle name="Normal 4 8 6" xfId="6255" xr:uid="{00000000-0005-0000-0000-0000BF6E0000}"/>
    <cellStyle name="Normal 4 8 6 2" xfId="6256" xr:uid="{00000000-0005-0000-0000-0000C06E0000}"/>
    <cellStyle name="Normal 4 8 6 2 2" xfId="12087" xr:uid="{00000000-0005-0000-0000-0000C16E0000}"/>
    <cellStyle name="Normal 4 8 6 2 2 2" xfId="35572" xr:uid="{00000000-0005-0000-0000-0000C26E0000}"/>
    <cellStyle name="Normal 4 8 6 2 2 3" xfId="26253" xr:uid="{00000000-0005-0000-0000-0000C36E0000}"/>
    <cellStyle name="Normal 4 8 6 2 2 4" xfId="49515" xr:uid="{00000000-0005-0000-0000-0000C46E0000}"/>
    <cellStyle name="Normal 4 8 6 2 3" xfId="16818" xr:uid="{00000000-0005-0000-0000-0000C56E0000}"/>
    <cellStyle name="Normal 4 8 6 2 3 2" xfId="30950" xr:uid="{00000000-0005-0000-0000-0000C66E0000}"/>
    <cellStyle name="Normal 4 8 6 2 3 3" xfId="44845" xr:uid="{00000000-0005-0000-0000-0000C76E0000}"/>
    <cellStyle name="Normal 4 8 6 2 4" xfId="21631" xr:uid="{00000000-0005-0000-0000-0000C86E0000}"/>
    <cellStyle name="Normal 4 8 6 2 5" xfId="40263" xr:uid="{00000000-0005-0000-0000-0000C96E0000}"/>
    <cellStyle name="Normal 4 8 6 3" xfId="12086" xr:uid="{00000000-0005-0000-0000-0000CA6E0000}"/>
    <cellStyle name="Normal 4 8 6 3 2" xfId="35571" xr:uid="{00000000-0005-0000-0000-0000CB6E0000}"/>
    <cellStyle name="Normal 4 8 6 3 3" xfId="26252" xr:uid="{00000000-0005-0000-0000-0000CC6E0000}"/>
    <cellStyle name="Normal 4 8 6 3 4" xfId="49514" xr:uid="{00000000-0005-0000-0000-0000CD6E0000}"/>
    <cellStyle name="Normal 4 8 6 4" xfId="16817" xr:uid="{00000000-0005-0000-0000-0000CE6E0000}"/>
    <cellStyle name="Normal 4 8 6 4 2" xfId="30949" xr:uid="{00000000-0005-0000-0000-0000CF6E0000}"/>
    <cellStyle name="Normal 4 8 6 4 3" xfId="44844" xr:uid="{00000000-0005-0000-0000-0000D06E0000}"/>
    <cellStyle name="Normal 4 8 6 5" xfId="21630" xr:uid="{00000000-0005-0000-0000-0000D16E0000}"/>
    <cellStyle name="Normal 4 8 6 6" xfId="40262" xr:uid="{00000000-0005-0000-0000-0000D26E0000}"/>
    <cellStyle name="Normal 4 8 7" xfId="6257" xr:uid="{00000000-0005-0000-0000-0000D36E0000}"/>
    <cellStyle name="Normal 4 8 7 2" xfId="12088" xr:uid="{00000000-0005-0000-0000-0000D46E0000}"/>
    <cellStyle name="Normal 4 8 7 2 2" xfId="35573" xr:uid="{00000000-0005-0000-0000-0000D56E0000}"/>
    <cellStyle name="Normal 4 8 7 2 3" xfId="26254" xr:uid="{00000000-0005-0000-0000-0000D66E0000}"/>
    <cellStyle name="Normal 4 8 7 2 4" xfId="49516" xr:uid="{00000000-0005-0000-0000-0000D76E0000}"/>
    <cellStyle name="Normal 4 8 7 3" xfId="16819" xr:uid="{00000000-0005-0000-0000-0000D86E0000}"/>
    <cellStyle name="Normal 4 8 7 3 2" xfId="30951" xr:uid="{00000000-0005-0000-0000-0000D96E0000}"/>
    <cellStyle name="Normal 4 8 7 3 3" xfId="44846" xr:uid="{00000000-0005-0000-0000-0000DA6E0000}"/>
    <cellStyle name="Normal 4 8 7 4" xfId="21632" xr:uid="{00000000-0005-0000-0000-0000DB6E0000}"/>
    <cellStyle name="Normal 4 8 7 5" xfId="40264" xr:uid="{00000000-0005-0000-0000-0000DC6E0000}"/>
    <cellStyle name="Normal 4 8 8" xfId="12077" xr:uid="{00000000-0005-0000-0000-0000DD6E0000}"/>
    <cellStyle name="Normal 4 8 8 2" xfId="35562" xr:uid="{00000000-0005-0000-0000-0000DE6E0000}"/>
    <cellStyle name="Normal 4 8 8 3" xfId="26243" xr:uid="{00000000-0005-0000-0000-0000DF6E0000}"/>
    <cellStyle name="Normal 4 8 8 4" xfId="49505" xr:uid="{00000000-0005-0000-0000-0000E06E0000}"/>
    <cellStyle name="Normal 4 8 9" xfId="16808" xr:uid="{00000000-0005-0000-0000-0000E16E0000}"/>
    <cellStyle name="Normal 4 8 9 2" xfId="30940" xr:uid="{00000000-0005-0000-0000-0000E26E0000}"/>
    <cellStyle name="Normal 4 8 9 3" xfId="44835" xr:uid="{00000000-0005-0000-0000-0000E36E0000}"/>
    <cellStyle name="Normal 4 80" xfId="419" xr:uid="{00000000-0005-0000-0000-0000E46E0000}"/>
    <cellStyle name="Normal 4 80 2" xfId="9677" xr:uid="{00000000-0005-0000-0000-0000E56E0000}"/>
    <cellStyle name="Normal 4 80 2 2" xfId="33168" xr:uid="{00000000-0005-0000-0000-0000E66E0000}"/>
    <cellStyle name="Normal 4 80 2 3" xfId="23853" xr:uid="{00000000-0005-0000-0000-0000E76E0000}"/>
    <cellStyle name="Normal 4 80 2 4" xfId="47111" xr:uid="{00000000-0005-0000-0000-0000E86E0000}"/>
    <cellStyle name="Normal 4 80 3" xfId="14438" xr:uid="{00000000-0005-0000-0000-0000E96E0000}"/>
    <cellStyle name="Normal 4 80 3 2" xfId="28569" xr:uid="{00000000-0005-0000-0000-0000EA6E0000}"/>
    <cellStyle name="Normal 4 80 3 3" xfId="42449" xr:uid="{00000000-0005-0000-0000-0000EB6E0000}"/>
    <cellStyle name="Normal 4 80 4" xfId="19249" xr:uid="{00000000-0005-0000-0000-0000EC6E0000}"/>
    <cellStyle name="Normal 4 80 5" xfId="37884" xr:uid="{00000000-0005-0000-0000-0000ED6E0000}"/>
    <cellStyle name="Normal 4 9" xfId="6258" xr:uid="{00000000-0005-0000-0000-0000EE6E0000}"/>
    <cellStyle name="Normal 4 9 10" xfId="21633" xr:uid="{00000000-0005-0000-0000-0000EF6E0000}"/>
    <cellStyle name="Normal 4 9 11" xfId="40265" xr:uid="{00000000-0005-0000-0000-0000F06E0000}"/>
    <cellStyle name="Normal 4 9 2" xfId="6259" xr:uid="{00000000-0005-0000-0000-0000F16E0000}"/>
    <cellStyle name="Normal 4 9 2 2" xfId="6260" xr:uid="{00000000-0005-0000-0000-0000F26E0000}"/>
    <cellStyle name="Normal 4 9 2 2 2" xfId="12091" xr:uid="{00000000-0005-0000-0000-0000F36E0000}"/>
    <cellStyle name="Normal 4 9 2 2 2 2" xfId="35576" xr:uid="{00000000-0005-0000-0000-0000F46E0000}"/>
    <cellStyle name="Normal 4 9 2 2 2 3" xfId="26257" xr:uid="{00000000-0005-0000-0000-0000F56E0000}"/>
    <cellStyle name="Normal 4 9 2 2 2 4" xfId="49519" xr:uid="{00000000-0005-0000-0000-0000F66E0000}"/>
    <cellStyle name="Normal 4 9 2 2 3" xfId="16822" xr:uid="{00000000-0005-0000-0000-0000F76E0000}"/>
    <cellStyle name="Normal 4 9 2 2 3 2" xfId="30954" xr:uid="{00000000-0005-0000-0000-0000F86E0000}"/>
    <cellStyle name="Normal 4 9 2 2 3 3" xfId="44849" xr:uid="{00000000-0005-0000-0000-0000F96E0000}"/>
    <cellStyle name="Normal 4 9 2 2 4" xfId="21635" xr:uid="{00000000-0005-0000-0000-0000FA6E0000}"/>
    <cellStyle name="Normal 4 9 2 2 5" xfId="40267" xr:uid="{00000000-0005-0000-0000-0000FB6E0000}"/>
    <cellStyle name="Normal 4 9 2 3" xfId="12090" xr:uid="{00000000-0005-0000-0000-0000FC6E0000}"/>
    <cellStyle name="Normal 4 9 2 3 2" xfId="35575" xr:uid="{00000000-0005-0000-0000-0000FD6E0000}"/>
    <cellStyle name="Normal 4 9 2 3 3" xfId="26256" xr:uid="{00000000-0005-0000-0000-0000FE6E0000}"/>
    <cellStyle name="Normal 4 9 2 3 4" xfId="49518" xr:uid="{00000000-0005-0000-0000-0000FF6E0000}"/>
    <cellStyle name="Normal 4 9 2 4" xfId="16821" xr:uid="{00000000-0005-0000-0000-0000006F0000}"/>
    <cellStyle name="Normal 4 9 2 4 2" xfId="30953" xr:uid="{00000000-0005-0000-0000-0000016F0000}"/>
    <cellStyle name="Normal 4 9 2 4 3" xfId="44848" xr:uid="{00000000-0005-0000-0000-0000026F0000}"/>
    <cellStyle name="Normal 4 9 2 5" xfId="21634" xr:uid="{00000000-0005-0000-0000-0000036F0000}"/>
    <cellStyle name="Normal 4 9 2 6" xfId="40266" xr:uid="{00000000-0005-0000-0000-0000046F0000}"/>
    <cellStyle name="Normal 4 9 3" xfId="6261" xr:uid="{00000000-0005-0000-0000-0000056F0000}"/>
    <cellStyle name="Normal 4 9 3 2" xfId="6262" xr:uid="{00000000-0005-0000-0000-0000066F0000}"/>
    <cellStyle name="Normal 4 9 3 2 2" xfId="12093" xr:uid="{00000000-0005-0000-0000-0000076F0000}"/>
    <cellStyle name="Normal 4 9 3 2 2 2" xfId="35578" xr:uid="{00000000-0005-0000-0000-0000086F0000}"/>
    <cellStyle name="Normal 4 9 3 2 2 3" xfId="26259" xr:uid="{00000000-0005-0000-0000-0000096F0000}"/>
    <cellStyle name="Normal 4 9 3 2 2 4" xfId="49521" xr:uid="{00000000-0005-0000-0000-00000A6F0000}"/>
    <cellStyle name="Normal 4 9 3 2 3" xfId="16824" xr:uid="{00000000-0005-0000-0000-00000B6F0000}"/>
    <cellStyle name="Normal 4 9 3 2 3 2" xfId="30956" xr:uid="{00000000-0005-0000-0000-00000C6F0000}"/>
    <cellStyle name="Normal 4 9 3 2 3 3" xfId="44851" xr:uid="{00000000-0005-0000-0000-00000D6F0000}"/>
    <cellStyle name="Normal 4 9 3 2 4" xfId="21637" xr:uid="{00000000-0005-0000-0000-00000E6F0000}"/>
    <cellStyle name="Normal 4 9 3 2 5" xfId="40269" xr:uid="{00000000-0005-0000-0000-00000F6F0000}"/>
    <cellStyle name="Normal 4 9 3 3" xfId="12092" xr:uid="{00000000-0005-0000-0000-0000106F0000}"/>
    <cellStyle name="Normal 4 9 3 3 2" xfId="35577" xr:uid="{00000000-0005-0000-0000-0000116F0000}"/>
    <cellStyle name="Normal 4 9 3 3 3" xfId="26258" xr:uid="{00000000-0005-0000-0000-0000126F0000}"/>
    <cellStyle name="Normal 4 9 3 3 4" xfId="49520" xr:uid="{00000000-0005-0000-0000-0000136F0000}"/>
    <cellStyle name="Normal 4 9 3 4" xfId="16823" xr:uid="{00000000-0005-0000-0000-0000146F0000}"/>
    <cellStyle name="Normal 4 9 3 4 2" xfId="30955" xr:uid="{00000000-0005-0000-0000-0000156F0000}"/>
    <cellStyle name="Normal 4 9 3 4 3" xfId="44850" xr:uid="{00000000-0005-0000-0000-0000166F0000}"/>
    <cellStyle name="Normal 4 9 3 5" xfId="21636" xr:uid="{00000000-0005-0000-0000-0000176F0000}"/>
    <cellStyle name="Normal 4 9 3 6" xfId="40268" xr:uid="{00000000-0005-0000-0000-0000186F0000}"/>
    <cellStyle name="Normal 4 9 4" xfId="6263" xr:uid="{00000000-0005-0000-0000-0000196F0000}"/>
    <cellStyle name="Normal 4 9 4 2" xfId="6264" xr:uid="{00000000-0005-0000-0000-00001A6F0000}"/>
    <cellStyle name="Normal 4 9 4 2 2" xfId="12095" xr:uid="{00000000-0005-0000-0000-00001B6F0000}"/>
    <cellStyle name="Normal 4 9 4 2 2 2" xfId="35580" xr:uid="{00000000-0005-0000-0000-00001C6F0000}"/>
    <cellStyle name="Normal 4 9 4 2 2 3" xfId="26261" xr:uid="{00000000-0005-0000-0000-00001D6F0000}"/>
    <cellStyle name="Normal 4 9 4 2 2 4" xfId="49523" xr:uid="{00000000-0005-0000-0000-00001E6F0000}"/>
    <cellStyle name="Normal 4 9 4 2 3" xfId="16826" xr:uid="{00000000-0005-0000-0000-00001F6F0000}"/>
    <cellStyle name="Normal 4 9 4 2 3 2" xfId="30958" xr:uid="{00000000-0005-0000-0000-0000206F0000}"/>
    <cellStyle name="Normal 4 9 4 2 3 3" xfId="44853" xr:uid="{00000000-0005-0000-0000-0000216F0000}"/>
    <cellStyle name="Normal 4 9 4 2 4" xfId="21639" xr:uid="{00000000-0005-0000-0000-0000226F0000}"/>
    <cellStyle name="Normal 4 9 4 2 5" xfId="40271" xr:uid="{00000000-0005-0000-0000-0000236F0000}"/>
    <cellStyle name="Normal 4 9 4 3" xfId="12094" xr:uid="{00000000-0005-0000-0000-0000246F0000}"/>
    <cellStyle name="Normal 4 9 4 3 2" xfId="35579" xr:uid="{00000000-0005-0000-0000-0000256F0000}"/>
    <cellStyle name="Normal 4 9 4 3 3" xfId="26260" xr:uid="{00000000-0005-0000-0000-0000266F0000}"/>
    <cellStyle name="Normal 4 9 4 3 4" xfId="49522" xr:uid="{00000000-0005-0000-0000-0000276F0000}"/>
    <cellStyle name="Normal 4 9 4 4" xfId="16825" xr:uid="{00000000-0005-0000-0000-0000286F0000}"/>
    <cellStyle name="Normal 4 9 4 4 2" xfId="30957" xr:uid="{00000000-0005-0000-0000-0000296F0000}"/>
    <cellStyle name="Normal 4 9 4 4 3" xfId="44852" xr:uid="{00000000-0005-0000-0000-00002A6F0000}"/>
    <cellStyle name="Normal 4 9 4 5" xfId="21638" xr:uid="{00000000-0005-0000-0000-00002B6F0000}"/>
    <cellStyle name="Normal 4 9 4 6" xfId="40270" xr:uid="{00000000-0005-0000-0000-00002C6F0000}"/>
    <cellStyle name="Normal 4 9 5" xfId="6265" xr:uid="{00000000-0005-0000-0000-00002D6F0000}"/>
    <cellStyle name="Normal 4 9 5 2" xfId="6266" xr:uid="{00000000-0005-0000-0000-00002E6F0000}"/>
    <cellStyle name="Normal 4 9 5 2 2" xfId="12097" xr:uid="{00000000-0005-0000-0000-00002F6F0000}"/>
    <cellStyle name="Normal 4 9 5 2 2 2" xfId="35582" xr:uid="{00000000-0005-0000-0000-0000306F0000}"/>
    <cellStyle name="Normal 4 9 5 2 2 3" xfId="26263" xr:uid="{00000000-0005-0000-0000-0000316F0000}"/>
    <cellStyle name="Normal 4 9 5 2 2 4" xfId="49525" xr:uid="{00000000-0005-0000-0000-0000326F0000}"/>
    <cellStyle name="Normal 4 9 5 2 3" xfId="16828" xr:uid="{00000000-0005-0000-0000-0000336F0000}"/>
    <cellStyle name="Normal 4 9 5 2 3 2" xfId="30960" xr:uid="{00000000-0005-0000-0000-0000346F0000}"/>
    <cellStyle name="Normal 4 9 5 2 3 3" xfId="44855" xr:uid="{00000000-0005-0000-0000-0000356F0000}"/>
    <cellStyle name="Normal 4 9 5 2 4" xfId="21641" xr:uid="{00000000-0005-0000-0000-0000366F0000}"/>
    <cellStyle name="Normal 4 9 5 2 5" xfId="40273" xr:uid="{00000000-0005-0000-0000-0000376F0000}"/>
    <cellStyle name="Normal 4 9 5 3" xfId="12096" xr:uid="{00000000-0005-0000-0000-0000386F0000}"/>
    <cellStyle name="Normal 4 9 5 3 2" xfId="35581" xr:uid="{00000000-0005-0000-0000-0000396F0000}"/>
    <cellStyle name="Normal 4 9 5 3 3" xfId="26262" xr:uid="{00000000-0005-0000-0000-00003A6F0000}"/>
    <cellStyle name="Normal 4 9 5 3 4" xfId="49524" xr:uid="{00000000-0005-0000-0000-00003B6F0000}"/>
    <cellStyle name="Normal 4 9 5 4" xfId="16827" xr:uid="{00000000-0005-0000-0000-00003C6F0000}"/>
    <cellStyle name="Normal 4 9 5 4 2" xfId="30959" xr:uid="{00000000-0005-0000-0000-00003D6F0000}"/>
    <cellStyle name="Normal 4 9 5 4 3" xfId="44854" xr:uid="{00000000-0005-0000-0000-00003E6F0000}"/>
    <cellStyle name="Normal 4 9 5 5" xfId="21640" xr:uid="{00000000-0005-0000-0000-00003F6F0000}"/>
    <cellStyle name="Normal 4 9 5 6" xfId="40272" xr:uid="{00000000-0005-0000-0000-0000406F0000}"/>
    <cellStyle name="Normal 4 9 6" xfId="6267" xr:uid="{00000000-0005-0000-0000-0000416F0000}"/>
    <cellStyle name="Normal 4 9 6 2" xfId="6268" xr:uid="{00000000-0005-0000-0000-0000426F0000}"/>
    <cellStyle name="Normal 4 9 6 2 2" xfId="12099" xr:uid="{00000000-0005-0000-0000-0000436F0000}"/>
    <cellStyle name="Normal 4 9 6 2 2 2" xfId="35584" xr:uid="{00000000-0005-0000-0000-0000446F0000}"/>
    <cellStyle name="Normal 4 9 6 2 2 3" xfId="26265" xr:uid="{00000000-0005-0000-0000-0000456F0000}"/>
    <cellStyle name="Normal 4 9 6 2 2 4" xfId="49527" xr:uid="{00000000-0005-0000-0000-0000466F0000}"/>
    <cellStyle name="Normal 4 9 6 2 3" xfId="16830" xr:uid="{00000000-0005-0000-0000-0000476F0000}"/>
    <cellStyle name="Normal 4 9 6 2 3 2" xfId="30962" xr:uid="{00000000-0005-0000-0000-0000486F0000}"/>
    <cellStyle name="Normal 4 9 6 2 3 3" xfId="44857" xr:uid="{00000000-0005-0000-0000-0000496F0000}"/>
    <cellStyle name="Normal 4 9 6 2 4" xfId="21643" xr:uid="{00000000-0005-0000-0000-00004A6F0000}"/>
    <cellStyle name="Normal 4 9 6 2 5" xfId="40275" xr:uid="{00000000-0005-0000-0000-00004B6F0000}"/>
    <cellStyle name="Normal 4 9 6 3" xfId="12098" xr:uid="{00000000-0005-0000-0000-00004C6F0000}"/>
    <cellStyle name="Normal 4 9 6 3 2" xfId="35583" xr:uid="{00000000-0005-0000-0000-00004D6F0000}"/>
    <cellStyle name="Normal 4 9 6 3 3" xfId="26264" xr:uid="{00000000-0005-0000-0000-00004E6F0000}"/>
    <cellStyle name="Normal 4 9 6 3 4" xfId="49526" xr:uid="{00000000-0005-0000-0000-00004F6F0000}"/>
    <cellStyle name="Normal 4 9 6 4" xfId="16829" xr:uid="{00000000-0005-0000-0000-0000506F0000}"/>
    <cellStyle name="Normal 4 9 6 4 2" xfId="30961" xr:uid="{00000000-0005-0000-0000-0000516F0000}"/>
    <cellStyle name="Normal 4 9 6 4 3" xfId="44856" xr:uid="{00000000-0005-0000-0000-0000526F0000}"/>
    <cellStyle name="Normal 4 9 6 5" xfId="21642" xr:uid="{00000000-0005-0000-0000-0000536F0000}"/>
    <cellStyle name="Normal 4 9 6 6" xfId="40274" xr:uid="{00000000-0005-0000-0000-0000546F0000}"/>
    <cellStyle name="Normal 4 9 7" xfId="6269" xr:uid="{00000000-0005-0000-0000-0000556F0000}"/>
    <cellStyle name="Normal 4 9 7 2" xfId="12100" xr:uid="{00000000-0005-0000-0000-0000566F0000}"/>
    <cellStyle name="Normal 4 9 7 2 2" xfId="35585" xr:uid="{00000000-0005-0000-0000-0000576F0000}"/>
    <cellStyle name="Normal 4 9 7 2 3" xfId="26266" xr:uid="{00000000-0005-0000-0000-0000586F0000}"/>
    <cellStyle name="Normal 4 9 7 2 4" xfId="49528" xr:uid="{00000000-0005-0000-0000-0000596F0000}"/>
    <cellStyle name="Normal 4 9 7 3" xfId="16831" xr:uid="{00000000-0005-0000-0000-00005A6F0000}"/>
    <cellStyle name="Normal 4 9 7 3 2" xfId="30963" xr:uid="{00000000-0005-0000-0000-00005B6F0000}"/>
    <cellStyle name="Normal 4 9 7 3 3" xfId="44858" xr:uid="{00000000-0005-0000-0000-00005C6F0000}"/>
    <cellStyle name="Normal 4 9 7 4" xfId="21644" xr:uid="{00000000-0005-0000-0000-00005D6F0000}"/>
    <cellStyle name="Normal 4 9 7 5" xfId="40276" xr:uid="{00000000-0005-0000-0000-00005E6F0000}"/>
    <cellStyle name="Normal 4 9 8" xfId="12089" xr:uid="{00000000-0005-0000-0000-00005F6F0000}"/>
    <cellStyle name="Normal 4 9 8 2" xfId="35574" xr:uid="{00000000-0005-0000-0000-0000606F0000}"/>
    <cellStyle name="Normal 4 9 8 3" xfId="26255" xr:uid="{00000000-0005-0000-0000-0000616F0000}"/>
    <cellStyle name="Normal 4 9 8 4" xfId="49517" xr:uid="{00000000-0005-0000-0000-0000626F0000}"/>
    <cellStyle name="Normal 4 9 9" xfId="16820" xr:uid="{00000000-0005-0000-0000-0000636F0000}"/>
    <cellStyle name="Normal 4 9 9 2" xfId="30952" xr:uid="{00000000-0005-0000-0000-0000646F0000}"/>
    <cellStyle name="Normal 4 9 9 3" xfId="44847" xr:uid="{00000000-0005-0000-0000-0000656F0000}"/>
    <cellStyle name="Normal 40" xfId="197" xr:uid="{00000000-0005-0000-0000-0000666F0000}"/>
    <cellStyle name="Normal 406" xfId="14371" xr:uid="{00000000-0005-0000-0000-0000676F0000}"/>
    <cellStyle name="Normal 41" xfId="198" xr:uid="{00000000-0005-0000-0000-0000686F0000}"/>
    <cellStyle name="Normal 42" xfId="199" xr:uid="{00000000-0005-0000-0000-0000696F0000}"/>
    <cellStyle name="Normal 43" xfId="200" xr:uid="{00000000-0005-0000-0000-00006A6F0000}"/>
    <cellStyle name="Normal 43 2" xfId="6270" xr:uid="{00000000-0005-0000-0000-00006B6F0000}"/>
    <cellStyle name="Normal 43 3" xfId="6271" xr:uid="{00000000-0005-0000-0000-00006C6F0000}"/>
    <cellStyle name="Normal 43 4" xfId="6272" xr:uid="{00000000-0005-0000-0000-00006D6F0000}"/>
    <cellStyle name="Normal 43 5" xfId="6273" xr:uid="{00000000-0005-0000-0000-00006E6F0000}"/>
    <cellStyle name="Normal 43 6" xfId="6274" xr:uid="{00000000-0005-0000-0000-00006F6F0000}"/>
    <cellStyle name="Normal 44" xfId="201" xr:uid="{00000000-0005-0000-0000-0000706F0000}"/>
    <cellStyle name="Normal 45" xfId="202" xr:uid="{00000000-0005-0000-0000-0000716F0000}"/>
    <cellStyle name="Normal 46" xfId="203" xr:uid="{00000000-0005-0000-0000-0000726F0000}"/>
    <cellStyle name="Normal 46 2" xfId="6275" xr:uid="{00000000-0005-0000-0000-0000736F0000}"/>
    <cellStyle name="Normal 46 3" xfId="6276" xr:uid="{00000000-0005-0000-0000-0000746F0000}"/>
    <cellStyle name="Normal 46 4" xfId="6277" xr:uid="{00000000-0005-0000-0000-0000756F0000}"/>
    <cellStyle name="Normal 46 5" xfId="6278" xr:uid="{00000000-0005-0000-0000-0000766F0000}"/>
    <cellStyle name="Normal 46 6" xfId="6279" xr:uid="{00000000-0005-0000-0000-0000776F0000}"/>
    <cellStyle name="Normal 47" xfId="204" xr:uid="{00000000-0005-0000-0000-0000786F0000}"/>
    <cellStyle name="Normal 47 2" xfId="6280" xr:uid="{00000000-0005-0000-0000-0000796F0000}"/>
    <cellStyle name="Normal 47 3" xfId="6281" xr:uid="{00000000-0005-0000-0000-00007A6F0000}"/>
    <cellStyle name="Normal 47 4" xfId="6282" xr:uid="{00000000-0005-0000-0000-00007B6F0000}"/>
    <cellStyle name="Normal 47 5" xfId="6283" xr:uid="{00000000-0005-0000-0000-00007C6F0000}"/>
    <cellStyle name="Normal 47 6" xfId="6284" xr:uid="{00000000-0005-0000-0000-00007D6F0000}"/>
    <cellStyle name="Normal 48" xfId="50" xr:uid="{00000000-0005-0000-0000-00007E6F0000}"/>
    <cellStyle name="Normal 49" xfId="205" xr:uid="{00000000-0005-0000-0000-00007F6F0000}"/>
    <cellStyle name="Normal 49 2" xfId="6285" xr:uid="{00000000-0005-0000-0000-0000806F0000}"/>
    <cellStyle name="Normal 49 3" xfId="6286" xr:uid="{00000000-0005-0000-0000-0000816F0000}"/>
    <cellStyle name="Normal 49 4" xfId="6287" xr:uid="{00000000-0005-0000-0000-0000826F0000}"/>
    <cellStyle name="Normal 49 5" xfId="6288" xr:uid="{00000000-0005-0000-0000-0000836F0000}"/>
    <cellStyle name="Normal 49 6" xfId="6289" xr:uid="{00000000-0005-0000-0000-0000846F0000}"/>
    <cellStyle name="Normal 5" xfId="13" xr:uid="{00000000-0005-0000-0000-0000856F0000}"/>
    <cellStyle name="Normal 5 10" xfId="6290" xr:uid="{00000000-0005-0000-0000-0000866F0000}"/>
    <cellStyle name="Normal 5 10 10" xfId="21645" xr:uid="{00000000-0005-0000-0000-0000876F0000}"/>
    <cellStyle name="Normal 5 10 11" xfId="40277" xr:uid="{00000000-0005-0000-0000-0000886F0000}"/>
    <cellStyle name="Normal 5 10 2" xfId="6291" xr:uid="{00000000-0005-0000-0000-0000896F0000}"/>
    <cellStyle name="Normal 5 10 2 2" xfId="6292" xr:uid="{00000000-0005-0000-0000-00008A6F0000}"/>
    <cellStyle name="Normal 5 10 2 2 2" xfId="12103" xr:uid="{00000000-0005-0000-0000-00008B6F0000}"/>
    <cellStyle name="Normal 5 10 2 2 2 2" xfId="35588" xr:uid="{00000000-0005-0000-0000-00008C6F0000}"/>
    <cellStyle name="Normal 5 10 2 2 2 3" xfId="26269" xr:uid="{00000000-0005-0000-0000-00008D6F0000}"/>
    <cellStyle name="Normal 5 10 2 2 2 4" xfId="49531" xr:uid="{00000000-0005-0000-0000-00008E6F0000}"/>
    <cellStyle name="Normal 5 10 2 2 3" xfId="16834" xr:uid="{00000000-0005-0000-0000-00008F6F0000}"/>
    <cellStyle name="Normal 5 10 2 2 3 2" xfId="30966" xr:uid="{00000000-0005-0000-0000-0000906F0000}"/>
    <cellStyle name="Normal 5 10 2 2 3 3" xfId="44861" xr:uid="{00000000-0005-0000-0000-0000916F0000}"/>
    <cellStyle name="Normal 5 10 2 2 4" xfId="21647" xr:uid="{00000000-0005-0000-0000-0000926F0000}"/>
    <cellStyle name="Normal 5 10 2 2 5" xfId="40279" xr:uid="{00000000-0005-0000-0000-0000936F0000}"/>
    <cellStyle name="Normal 5 10 2 3" xfId="12102" xr:uid="{00000000-0005-0000-0000-0000946F0000}"/>
    <cellStyle name="Normal 5 10 2 3 2" xfId="35587" xr:uid="{00000000-0005-0000-0000-0000956F0000}"/>
    <cellStyle name="Normal 5 10 2 3 3" xfId="26268" xr:uid="{00000000-0005-0000-0000-0000966F0000}"/>
    <cellStyle name="Normal 5 10 2 3 4" xfId="49530" xr:uid="{00000000-0005-0000-0000-0000976F0000}"/>
    <cellStyle name="Normal 5 10 2 4" xfId="16833" xr:uid="{00000000-0005-0000-0000-0000986F0000}"/>
    <cellStyle name="Normal 5 10 2 4 2" xfId="30965" xr:uid="{00000000-0005-0000-0000-0000996F0000}"/>
    <cellStyle name="Normal 5 10 2 4 3" xfId="44860" xr:uid="{00000000-0005-0000-0000-00009A6F0000}"/>
    <cellStyle name="Normal 5 10 2 5" xfId="21646" xr:uid="{00000000-0005-0000-0000-00009B6F0000}"/>
    <cellStyle name="Normal 5 10 2 6" xfId="40278" xr:uid="{00000000-0005-0000-0000-00009C6F0000}"/>
    <cellStyle name="Normal 5 10 3" xfId="6293" xr:uid="{00000000-0005-0000-0000-00009D6F0000}"/>
    <cellStyle name="Normal 5 10 3 2" xfId="6294" xr:uid="{00000000-0005-0000-0000-00009E6F0000}"/>
    <cellStyle name="Normal 5 10 3 2 2" xfId="12105" xr:uid="{00000000-0005-0000-0000-00009F6F0000}"/>
    <cellStyle name="Normal 5 10 3 2 2 2" xfId="35590" xr:uid="{00000000-0005-0000-0000-0000A06F0000}"/>
    <cellStyle name="Normal 5 10 3 2 2 3" xfId="26271" xr:uid="{00000000-0005-0000-0000-0000A16F0000}"/>
    <cellStyle name="Normal 5 10 3 2 2 4" xfId="49533" xr:uid="{00000000-0005-0000-0000-0000A26F0000}"/>
    <cellStyle name="Normal 5 10 3 2 3" xfId="16836" xr:uid="{00000000-0005-0000-0000-0000A36F0000}"/>
    <cellStyle name="Normal 5 10 3 2 3 2" xfId="30968" xr:uid="{00000000-0005-0000-0000-0000A46F0000}"/>
    <cellStyle name="Normal 5 10 3 2 3 3" xfId="44863" xr:uid="{00000000-0005-0000-0000-0000A56F0000}"/>
    <cellStyle name="Normal 5 10 3 2 4" xfId="21649" xr:uid="{00000000-0005-0000-0000-0000A66F0000}"/>
    <cellStyle name="Normal 5 10 3 2 5" xfId="40281" xr:uid="{00000000-0005-0000-0000-0000A76F0000}"/>
    <cellStyle name="Normal 5 10 3 3" xfId="12104" xr:uid="{00000000-0005-0000-0000-0000A86F0000}"/>
    <cellStyle name="Normal 5 10 3 3 2" xfId="35589" xr:uid="{00000000-0005-0000-0000-0000A96F0000}"/>
    <cellStyle name="Normal 5 10 3 3 3" xfId="26270" xr:uid="{00000000-0005-0000-0000-0000AA6F0000}"/>
    <cellStyle name="Normal 5 10 3 3 4" xfId="49532" xr:uid="{00000000-0005-0000-0000-0000AB6F0000}"/>
    <cellStyle name="Normal 5 10 3 4" xfId="16835" xr:uid="{00000000-0005-0000-0000-0000AC6F0000}"/>
    <cellStyle name="Normal 5 10 3 4 2" xfId="30967" xr:uid="{00000000-0005-0000-0000-0000AD6F0000}"/>
    <cellStyle name="Normal 5 10 3 4 3" xfId="44862" xr:uid="{00000000-0005-0000-0000-0000AE6F0000}"/>
    <cellStyle name="Normal 5 10 3 5" xfId="21648" xr:uid="{00000000-0005-0000-0000-0000AF6F0000}"/>
    <cellStyle name="Normal 5 10 3 6" xfId="40280" xr:uid="{00000000-0005-0000-0000-0000B06F0000}"/>
    <cellStyle name="Normal 5 10 4" xfId="6295" xr:uid="{00000000-0005-0000-0000-0000B16F0000}"/>
    <cellStyle name="Normal 5 10 4 2" xfId="6296" xr:uid="{00000000-0005-0000-0000-0000B26F0000}"/>
    <cellStyle name="Normal 5 10 4 2 2" xfId="12107" xr:uid="{00000000-0005-0000-0000-0000B36F0000}"/>
    <cellStyle name="Normal 5 10 4 2 2 2" xfId="35592" xr:uid="{00000000-0005-0000-0000-0000B46F0000}"/>
    <cellStyle name="Normal 5 10 4 2 2 3" xfId="26273" xr:uid="{00000000-0005-0000-0000-0000B56F0000}"/>
    <cellStyle name="Normal 5 10 4 2 2 4" xfId="49535" xr:uid="{00000000-0005-0000-0000-0000B66F0000}"/>
    <cellStyle name="Normal 5 10 4 2 3" xfId="16838" xr:uid="{00000000-0005-0000-0000-0000B76F0000}"/>
    <cellStyle name="Normal 5 10 4 2 3 2" xfId="30970" xr:uid="{00000000-0005-0000-0000-0000B86F0000}"/>
    <cellStyle name="Normal 5 10 4 2 3 3" xfId="44865" xr:uid="{00000000-0005-0000-0000-0000B96F0000}"/>
    <cellStyle name="Normal 5 10 4 2 4" xfId="21651" xr:uid="{00000000-0005-0000-0000-0000BA6F0000}"/>
    <cellStyle name="Normal 5 10 4 2 5" xfId="40283" xr:uid="{00000000-0005-0000-0000-0000BB6F0000}"/>
    <cellStyle name="Normal 5 10 4 3" xfId="12106" xr:uid="{00000000-0005-0000-0000-0000BC6F0000}"/>
    <cellStyle name="Normal 5 10 4 3 2" xfId="35591" xr:uid="{00000000-0005-0000-0000-0000BD6F0000}"/>
    <cellStyle name="Normal 5 10 4 3 3" xfId="26272" xr:uid="{00000000-0005-0000-0000-0000BE6F0000}"/>
    <cellStyle name="Normal 5 10 4 3 4" xfId="49534" xr:uid="{00000000-0005-0000-0000-0000BF6F0000}"/>
    <cellStyle name="Normal 5 10 4 4" xfId="16837" xr:uid="{00000000-0005-0000-0000-0000C06F0000}"/>
    <cellStyle name="Normal 5 10 4 4 2" xfId="30969" xr:uid="{00000000-0005-0000-0000-0000C16F0000}"/>
    <cellStyle name="Normal 5 10 4 4 3" xfId="44864" xr:uid="{00000000-0005-0000-0000-0000C26F0000}"/>
    <cellStyle name="Normal 5 10 4 5" xfId="21650" xr:uid="{00000000-0005-0000-0000-0000C36F0000}"/>
    <cellStyle name="Normal 5 10 4 6" xfId="40282" xr:uid="{00000000-0005-0000-0000-0000C46F0000}"/>
    <cellStyle name="Normal 5 10 5" xfId="6297" xr:uid="{00000000-0005-0000-0000-0000C56F0000}"/>
    <cellStyle name="Normal 5 10 5 2" xfId="6298" xr:uid="{00000000-0005-0000-0000-0000C66F0000}"/>
    <cellStyle name="Normal 5 10 5 2 2" xfId="12109" xr:uid="{00000000-0005-0000-0000-0000C76F0000}"/>
    <cellStyle name="Normal 5 10 5 2 2 2" xfId="35594" xr:uid="{00000000-0005-0000-0000-0000C86F0000}"/>
    <cellStyle name="Normal 5 10 5 2 2 3" xfId="26275" xr:uid="{00000000-0005-0000-0000-0000C96F0000}"/>
    <cellStyle name="Normal 5 10 5 2 2 4" xfId="49537" xr:uid="{00000000-0005-0000-0000-0000CA6F0000}"/>
    <cellStyle name="Normal 5 10 5 2 3" xfId="16840" xr:uid="{00000000-0005-0000-0000-0000CB6F0000}"/>
    <cellStyle name="Normal 5 10 5 2 3 2" xfId="30972" xr:uid="{00000000-0005-0000-0000-0000CC6F0000}"/>
    <cellStyle name="Normal 5 10 5 2 3 3" xfId="44867" xr:uid="{00000000-0005-0000-0000-0000CD6F0000}"/>
    <cellStyle name="Normal 5 10 5 2 4" xfId="21653" xr:uid="{00000000-0005-0000-0000-0000CE6F0000}"/>
    <cellStyle name="Normal 5 10 5 2 5" xfId="40285" xr:uid="{00000000-0005-0000-0000-0000CF6F0000}"/>
    <cellStyle name="Normal 5 10 5 3" xfId="12108" xr:uid="{00000000-0005-0000-0000-0000D06F0000}"/>
    <cellStyle name="Normal 5 10 5 3 2" xfId="35593" xr:uid="{00000000-0005-0000-0000-0000D16F0000}"/>
    <cellStyle name="Normal 5 10 5 3 3" xfId="26274" xr:uid="{00000000-0005-0000-0000-0000D26F0000}"/>
    <cellStyle name="Normal 5 10 5 3 4" xfId="49536" xr:uid="{00000000-0005-0000-0000-0000D36F0000}"/>
    <cellStyle name="Normal 5 10 5 4" xfId="16839" xr:uid="{00000000-0005-0000-0000-0000D46F0000}"/>
    <cellStyle name="Normal 5 10 5 4 2" xfId="30971" xr:uid="{00000000-0005-0000-0000-0000D56F0000}"/>
    <cellStyle name="Normal 5 10 5 4 3" xfId="44866" xr:uid="{00000000-0005-0000-0000-0000D66F0000}"/>
    <cellStyle name="Normal 5 10 5 5" xfId="21652" xr:uid="{00000000-0005-0000-0000-0000D76F0000}"/>
    <cellStyle name="Normal 5 10 5 6" xfId="40284" xr:uid="{00000000-0005-0000-0000-0000D86F0000}"/>
    <cellStyle name="Normal 5 10 6" xfId="6299" xr:uid="{00000000-0005-0000-0000-0000D96F0000}"/>
    <cellStyle name="Normal 5 10 6 2" xfId="6300" xr:uid="{00000000-0005-0000-0000-0000DA6F0000}"/>
    <cellStyle name="Normal 5 10 6 2 2" xfId="12111" xr:uid="{00000000-0005-0000-0000-0000DB6F0000}"/>
    <cellStyle name="Normal 5 10 6 2 2 2" xfId="35596" xr:uid="{00000000-0005-0000-0000-0000DC6F0000}"/>
    <cellStyle name="Normal 5 10 6 2 2 3" xfId="26277" xr:uid="{00000000-0005-0000-0000-0000DD6F0000}"/>
    <cellStyle name="Normal 5 10 6 2 2 4" xfId="49539" xr:uid="{00000000-0005-0000-0000-0000DE6F0000}"/>
    <cellStyle name="Normal 5 10 6 2 3" xfId="16842" xr:uid="{00000000-0005-0000-0000-0000DF6F0000}"/>
    <cellStyle name="Normal 5 10 6 2 3 2" xfId="30974" xr:uid="{00000000-0005-0000-0000-0000E06F0000}"/>
    <cellStyle name="Normal 5 10 6 2 3 3" xfId="44869" xr:uid="{00000000-0005-0000-0000-0000E16F0000}"/>
    <cellStyle name="Normal 5 10 6 2 4" xfId="21655" xr:uid="{00000000-0005-0000-0000-0000E26F0000}"/>
    <cellStyle name="Normal 5 10 6 2 5" xfId="40287" xr:uid="{00000000-0005-0000-0000-0000E36F0000}"/>
    <cellStyle name="Normal 5 10 6 3" xfId="12110" xr:uid="{00000000-0005-0000-0000-0000E46F0000}"/>
    <cellStyle name="Normal 5 10 6 3 2" xfId="35595" xr:uid="{00000000-0005-0000-0000-0000E56F0000}"/>
    <cellStyle name="Normal 5 10 6 3 3" xfId="26276" xr:uid="{00000000-0005-0000-0000-0000E66F0000}"/>
    <cellStyle name="Normal 5 10 6 3 4" xfId="49538" xr:uid="{00000000-0005-0000-0000-0000E76F0000}"/>
    <cellStyle name="Normal 5 10 6 4" xfId="16841" xr:uid="{00000000-0005-0000-0000-0000E86F0000}"/>
    <cellStyle name="Normal 5 10 6 4 2" xfId="30973" xr:uid="{00000000-0005-0000-0000-0000E96F0000}"/>
    <cellStyle name="Normal 5 10 6 4 3" xfId="44868" xr:uid="{00000000-0005-0000-0000-0000EA6F0000}"/>
    <cellStyle name="Normal 5 10 6 5" xfId="21654" xr:uid="{00000000-0005-0000-0000-0000EB6F0000}"/>
    <cellStyle name="Normal 5 10 6 6" xfId="40286" xr:uid="{00000000-0005-0000-0000-0000EC6F0000}"/>
    <cellStyle name="Normal 5 10 7" xfId="6301" xr:uid="{00000000-0005-0000-0000-0000ED6F0000}"/>
    <cellStyle name="Normal 5 10 7 2" xfId="12112" xr:uid="{00000000-0005-0000-0000-0000EE6F0000}"/>
    <cellStyle name="Normal 5 10 7 2 2" xfId="35597" xr:uid="{00000000-0005-0000-0000-0000EF6F0000}"/>
    <cellStyle name="Normal 5 10 7 2 3" xfId="26278" xr:uid="{00000000-0005-0000-0000-0000F06F0000}"/>
    <cellStyle name="Normal 5 10 7 2 4" xfId="49540" xr:uid="{00000000-0005-0000-0000-0000F16F0000}"/>
    <cellStyle name="Normal 5 10 7 3" xfId="16843" xr:uid="{00000000-0005-0000-0000-0000F26F0000}"/>
    <cellStyle name="Normal 5 10 7 3 2" xfId="30975" xr:uid="{00000000-0005-0000-0000-0000F36F0000}"/>
    <cellStyle name="Normal 5 10 7 3 3" xfId="44870" xr:uid="{00000000-0005-0000-0000-0000F46F0000}"/>
    <cellStyle name="Normal 5 10 7 4" xfId="21656" xr:uid="{00000000-0005-0000-0000-0000F56F0000}"/>
    <cellStyle name="Normal 5 10 7 5" xfId="40288" xr:uid="{00000000-0005-0000-0000-0000F66F0000}"/>
    <cellStyle name="Normal 5 10 8" xfId="12101" xr:uid="{00000000-0005-0000-0000-0000F76F0000}"/>
    <cellStyle name="Normal 5 10 8 2" xfId="35586" xr:uid="{00000000-0005-0000-0000-0000F86F0000}"/>
    <cellStyle name="Normal 5 10 8 3" xfId="26267" xr:uid="{00000000-0005-0000-0000-0000F96F0000}"/>
    <cellStyle name="Normal 5 10 8 4" xfId="49529" xr:uid="{00000000-0005-0000-0000-0000FA6F0000}"/>
    <cellStyle name="Normal 5 10 9" xfId="16832" xr:uid="{00000000-0005-0000-0000-0000FB6F0000}"/>
    <cellStyle name="Normal 5 10 9 2" xfId="30964" xr:uid="{00000000-0005-0000-0000-0000FC6F0000}"/>
    <cellStyle name="Normal 5 10 9 3" xfId="44859" xr:uid="{00000000-0005-0000-0000-0000FD6F0000}"/>
    <cellStyle name="Normal 5 11" xfId="6302" xr:uid="{00000000-0005-0000-0000-0000FE6F0000}"/>
    <cellStyle name="Normal 5 11 10" xfId="21657" xr:uid="{00000000-0005-0000-0000-0000FF6F0000}"/>
    <cellStyle name="Normal 5 11 11" xfId="40289" xr:uid="{00000000-0005-0000-0000-000000700000}"/>
    <cellStyle name="Normal 5 11 2" xfId="6303" xr:uid="{00000000-0005-0000-0000-000001700000}"/>
    <cellStyle name="Normal 5 11 2 2" xfId="6304" xr:uid="{00000000-0005-0000-0000-000002700000}"/>
    <cellStyle name="Normal 5 11 2 2 2" xfId="12115" xr:uid="{00000000-0005-0000-0000-000003700000}"/>
    <cellStyle name="Normal 5 11 2 2 2 2" xfId="35600" xr:uid="{00000000-0005-0000-0000-000004700000}"/>
    <cellStyle name="Normal 5 11 2 2 2 3" xfId="26281" xr:uid="{00000000-0005-0000-0000-000005700000}"/>
    <cellStyle name="Normal 5 11 2 2 2 4" xfId="49543" xr:uid="{00000000-0005-0000-0000-000006700000}"/>
    <cellStyle name="Normal 5 11 2 2 3" xfId="16846" xr:uid="{00000000-0005-0000-0000-000007700000}"/>
    <cellStyle name="Normal 5 11 2 2 3 2" xfId="30978" xr:uid="{00000000-0005-0000-0000-000008700000}"/>
    <cellStyle name="Normal 5 11 2 2 3 3" xfId="44873" xr:uid="{00000000-0005-0000-0000-000009700000}"/>
    <cellStyle name="Normal 5 11 2 2 4" xfId="21659" xr:uid="{00000000-0005-0000-0000-00000A700000}"/>
    <cellStyle name="Normal 5 11 2 2 5" xfId="40291" xr:uid="{00000000-0005-0000-0000-00000B700000}"/>
    <cellStyle name="Normal 5 11 2 3" xfId="12114" xr:uid="{00000000-0005-0000-0000-00000C700000}"/>
    <cellStyle name="Normal 5 11 2 3 2" xfId="35599" xr:uid="{00000000-0005-0000-0000-00000D700000}"/>
    <cellStyle name="Normal 5 11 2 3 3" xfId="26280" xr:uid="{00000000-0005-0000-0000-00000E700000}"/>
    <cellStyle name="Normal 5 11 2 3 4" xfId="49542" xr:uid="{00000000-0005-0000-0000-00000F700000}"/>
    <cellStyle name="Normal 5 11 2 4" xfId="16845" xr:uid="{00000000-0005-0000-0000-000010700000}"/>
    <cellStyle name="Normal 5 11 2 4 2" xfId="30977" xr:uid="{00000000-0005-0000-0000-000011700000}"/>
    <cellStyle name="Normal 5 11 2 4 3" xfId="44872" xr:uid="{00000000-0005-0000-0000-000012700000}"/>
    <cellStyle name="Normal 5 11 2 5" xfId="21658" xr:uid="{00000000-0005-0000-0000-000013700000}"/>
    <cellStyle name="Normal 5 11 2 6" xfId="40290" xr:uid="{00000000-0005-0000-0000-000014700000}"/>
    <cellStyle name="Normal 5 11 3" xfId="6305" xr:uid="{00000000-0005-0000-0000-000015700000}"/>
    <cellStyle name="Normal 5 11 3 2" xfId="6306" xr:uid="{00000000-0005-0000-0000-000016700000}"/>
    <cellStyle name="Normal 5 11 3 2 2" xfId="12117" xr:uid="{00000000-0005-0000-0000-000017700000}"/>
    <cellStyle name="Normal 5 11 3 2 2 2" xfId="35602" xr:uid="{00000000-0005-0000-0000-000018700000}"/>
    <cellStyle name="Normal 5 11 3 2 2 3" xfId="26283" xr:uid="{00000000-0005-0000-0000-000019700000}"/>
    <cellStyle name="Normal 5 11 3 2 2 4" xfId="49545" xr:uid="{00000000-0005-0000-0000-00001A700000}"/>
    <cellStyle name="Normal 5 11 3 2 3" xfId="16848" xr:uid="{00000000-0005-0000-0000-00001B700000}"/>
    <cellStyle name="Normal 5 11 3 2 3 2" xfId="30980" xr:uid="{00000000-0005-0000-0000-00001C700000}"/>
    <cellStyle name="Normal 5 11 3 2 3 3" xfId="44875" xr:uid="{00000000-0005-0000-0000-00001D700000}"/>
    <cellStyle name="Normal 5 11 3 2 4" xfId="21661" xr:uid="{00000000-0005-0000-0000-00001E700000}"/>
    <cellStyle name="Normal 5 11 3 2 5" xfId="40293" xr:uid="{00000000-0005-0000-0000-00001F700000}"/>
    <cellStyle name="Normal 5 11 3 3" xfId="12116" xr:uid="{00000000-0005-0000-0000-000020700000}"/>
    <cellStyle name="Normal 5 11 3 3 2" xfId="35601" xr:uid="{00000000-0005-0000-0000-000021700000}"/>
    <cellStyle name="Normal 5 11 3 3 3" xfId="26282" xr:uid="{00000000-0005-0000-0000-000022700000}"/>
    <cellStyle name="Normal 5 11 3 3 4" xfId="49544" xr:uid="{00000000-0005-0000-0000-000023700000}"/>
    <cellStyle name="Normal 5 11 3 4" xfId="16847" xr:uid="{00000000-0005-0000-0000-000024700000}"/>
    <cellStyle name="Normal 5 11 3 4 2" xfId="30979" xr:uid="{00000000-0005-0000-0000-000025700000}"/>
    <cellStyle name="Normal 5 11 3 4 3" xfId="44874" xr:uid="{00000000-0005-0000-0000-000026700000}"/>
    <cellStyle name="Normal 5 11 3 5" xfId="21660" xr:uid="{00000000-0005-0000-0000-000027700000}"/>
    <cellStyle name="Normal 5 11 3 6" xfId="40292" xr:uid="{00000000-0005-0000-0000-000028700000}"/>
    <cellStyle name="Normal 5 11 4" xfId="6307" xr:uid="{00000000-0005-0000-0000-000029700000}"/>
    <cellStyle name="Normal 5 11 4 2" xfId="6308" xr:uid="{00000000-0005-0000-0000-00002A700000}"/>
    <cellStyle name="Normal 5 11 4 2 2" xfId="12119" xr:uid="{00000000-0005-0000-0000-00002B700000}"/>
    <cellStyle name="Normal 5 11 4 2 2 2" xfId="35604" xr:uid="{00000000-0005-0000-0000-00002C700000}"/>
    <cellStyle name="Normal 5 11 4 2 2 3" xfId="26285" xr:uid="{00000000-0005-0000-0000-00002D700000}"/>
    <cellStyle name="Normal 5 11 4 2 2 4" xfId="49547" xr:uid="{00000000-0005-0000-0000-00002E700000}"/>
    <cellStyle name="Normal 5 11 4 2 3" xfId="16850" xr:uid="{00000000-0005-0000-0000-00002F700000}"/>
    <cellStyle name="Normal 5 11 4 2 3 2" xfId="30982" xr:uid="{00000000-0005-0000-0000-000030700000}"/>
    <cellStyle name="Normal 5 11 4 2 3 3" xfId="44877" xr:uid="{00000000-0005-0000-0000-000031700000}"/>
    <cellStyle name="Normal 5 11 4 2 4" xfId="21663" xr:uid="{00000000-0005-0000-0000-000032700000}"/>
    <cellStyle name="Normal 5 11 4 2 5" xfId="40295" xr:uid="{00000000-0005-0000-0000-000033700000}"/>
    <cellStyle name="Normal 5 11 4 3" xfId="12118" xr:uid="{00000000-0005-0000-0000-000034700000}"/>
    <cellStyle name="Normal 5 11 4 3 2" xfId="35603" xr:uid="{00000000-0005-0000-0000-000035700000}"/>
    <cellStyle name="Normal 5 11 4 3 3" xfId="26284" xr:uid="{00000000-0005-0000-0000-000036700000}"/>
    <cellStyle name="Normal 5 11 4 3 4" xfId="49546" xr:uid="{00000000-0005-0000-0000-000037700000}"/>
    <cellStyle name="Normal 5 11 4 4" xfId="16849" xr:uid="{00000000-0005-0000-0000-000038700000}"/>
    <cellStyle name="Normal 5 11 4 4 2" xfId="30981" xr:uid="{00000000-0005-0000-0000-000039700000}"/>
    <cellStyle name="Normal 5 11 4 4 3" xfId="44876" xr:uid="{00000000-0005-0000-0000-00003A700000}"/>
    <cellStyle name="Normal 5 11 4 5" xfId="21662" xr:uid="{00000000-0005-0000-0000-00003B700000}"/>
    <cellStyle name="Normal 5 11 4 6" xfId="40294" xr:uid="{00000000-0005-0000-0000-00003C700000}"/>
    <cellStyle name="Normal 5 11 5" xfId="6309" xr:uid="{00000000-0005-0000-0000-00003D700000}"/>
    <cellStyle name="Normal 5 11 5 2" xfId="6310" xr:uid="{00000000-0005-0000-0000-00003E700000}"/>
    <cellStyle name="Normal 5 11 5 2 2" xfId="12121" xr:uid="{00000000-0005-0000-0000-00003F700000}"/>
    <cellStyle name="Normal 5 11 5 2 2 2" xfId="35606" xr:uid="{00000000-0005-0000-0000-000040700000}"/>
    <cellStyle name="Normal 5 11 5 2 2 3" xfId="26287" xr:uid="{00000000-0005-0000-0000-000041700000}"/>
    <cellStyle name="Normal 5 11 5 2 2 4" xfId="49549" xr:uid="{00000000-0005-0000-0000-000042700000}"/>
    <cellStyle name="Normal 5 11 5 2 3" xfId="16852" xr:uid="{00000000-0005-0000-0000-000043700000}"/>
    <cellStyle name="Normal 5 11 5 2 3 2" xfId="30984" xr:uid="{00000000-0005-0000-0000-000044700000}"/>
    <cellStyle name="Normal 5 11 5 2 3 3" xfId="44879" xr:uid="{00000000-0005-0000-0000-000045700000}"/>
    <cellStyle name="Normal 5 11 5 2 4" xfId="21665" xr:uid="{00000000-0005-0000-0000-000046700000}"/>
    <cellStyle name="Normal 5 11 5 2 5" xfId="40297" xr:uid="{00000000-0005-0000-0000-000047700000}"/>
    <cellStyle name="Normal 5 11 5 3" xfId="12120" xr:uid="{00000000-0005-0000-0000-000048700000}"/>
    <cellStyle name="Normal 5 11 5 3 2" xfId="35605" xr:uid="{00000000-0005-0000-0000-000049700000}"/>
    <cellStyle name="Normal 5 11 5 3 3" xfId="26286" xr:uid="{00000000-0005-0000-0000-00004A700000}"/>
    <cellStyle name="Normal 5 11 5 3 4" xfId="49548" xr:uid="{00000000-0005-0000-0000-00004B700000}"/>
    <cellStyle name="Normal 5 11 5 4" xfId="16851" xr:uid="{00000000-0005-0000-0000-00004C700000}"/>
    <cellStyle name="Normal 5 11 5 4 2" xfId="30983" xr:uid="{00000000-0005-0000-0000-00004D700000}"/>
    <cellStyle name="Normal 5 11 5 4 3" xfId="44878" xr:uid="{00000000-0005-0000-0000-00004E700000}"/>
    <cellStyle name="Normal 5 11 5 5" xfId="21664" xr:uid="{00000000-0005-0000-0000-00004F700000}"/>
    <cellStyle name="Normal 5 11 5 6" xfId="40296" xr:uid="{00000000-0005-0000-0000-000050700000}"/>
    <cellStyle name="Normal 5 11 6" xfId="6311" xr:uid="{00000000-0005-0000-0000-000051700000}"/>
    <cellStyle name="Normal 5 11 6 2" xfId="6312" xr:uid="{00000000-0005-0000-0000-000052700000}"/>
    <cellStyle name="Normal 5 11 6 2 2" xfId="12123" xr:uid="{00000000-0005-0000-0000-000053700000}"/>
    <cellStyle name="Normal 5 11 6 2 2 2" xfId="35608" xr:uid="{00000000-0005-0000-0000-000054700000}"/>
    <cellStyle name="Normal 5 11 6 2 2 3" xfId="26289" xr:uid="{00000000-0005-0000-0000-000055700000}"/>
    <cellStyle name="Normal 5 11 6 2 2 4" xfId="49551" xr:uid="{00000000-0005-0000-0000-000056700000}"/>
    <cellStyle name="Normal 5 11 6 2 3" xfId="16854" xr:uid="{00000000-0005-0000-0000-000057700000}"/>
    <cellStyle name="Normal 5 11 6 2 3 2" xfId="30986" xr:uid="{00000000-0005-0000-0000-000058700000}"/>
    <cellStyle name="Normal 5 11 6 2 3 3" xfId="44881" xr:uid="{00000000-0005-0000-0000-000059700000}"/>
    <cellStyle name="Normal 5 11 6 2 4" xfId="21667" xr:uid="{00000000-0005-0000-0000-00005A700000}"/>
    <cellStyle name="Normal 5 11 6 2 5" xfId="40299" xr:uid="{00000000-0005-0000-0000-00005B700000}"/>
    <cellStyle name="Normal 5 11 6 3" xfId="12122" xr:uid="{00000000-0005-0000-0000-00005C700000}"/>
    <cellStyle name="Normal 5 11 6 3 2" xfId="35607" xr:uid="{00000000-0005-0000-0000-00005D700000}"/>
    <cellStyle name="Normal 5 11 6 3 3" xfId="26288" xr:uid="{00000000-0005-0000-0000-00005E700000}"/>
    <cellStyle name="Normal 5 11 6 3 4" xfId="49550" xr:uid="{00000000-0005-0000-0000-00005F700000}"/>
    <cellStyle name="Normal 5 11 6 4" xfId="16853" xr:uid="{00000000-0005-0000-0000-000060700000}"/>
    <cellStyle name="Normal 5 11 6 4 2" xfId="30985" xr:uid="{00000000-0005-0000-0000-000061700000}"/>
    <cellStyle name="Normal 5 11 6 4 3" xfId="44880" xr:uid="{00000000-0005-0000-0000-000062700000}"/>
    <cellStyle name="Normal 5 11 6 5" xfId="21666" xr:uid="{00000000-0005-0000-0000-000063700000}"/>
    <cellStyle name="Normal 5 11 6 6" xfId="40298" xr:uid="{00000000-0005-0000-0000-000064700000}"/>
    <cellStyle name="Normal 5 11 7" xfId="6313" xr:uid="{00000000-0005-0000-0000-000065700000}"/>
    <cellStyle name="Normal 5 11 7 2" xfId="12124" xr:uid="{00000000-0005-0000-0000-000066700000}"/>
    <cellStyle name="Normal 5 11 7 2 2" xfId="35609" xr:uid="{00000000-0005-0000-0000-000067700000}"/>
    <cellStyle name="Normal 5 11 7 2 3" xfId="26290" xr:uid="{00000000-0005-0000-0000-000068700000}"/>
    <cellStyle name="Normal 5 11 7 2 4" xfId="49552" xr:uid="{00000000-0005-0000-0000-000069700000}"/>
    <cellStyle name="Normal 5 11 7 3" xfId="16855" xr:uid="{00000000-0005-0000-0000-00006A700000}"/>
    <cellStyle name="Normal 5 11 7 3 2" xfId="30987" xr:uid="{00000000-0005-0000-0000-00006B700000}"/>
    <cellStyle name="Normal 5 11 7 3 3" xfId="44882" xr:uid="{00000000-0005-0000-0000-00006C700000}"/>
    <cellStyle name="Normal 5 11 7 4" xfId="21668" xr:uid="{00000000-0005-0000-0000-00006D700000}"/>
    <cellStyle name="Normal 5 11 7 5" xfId="40300" xr:uid="{00000000-0005-0000-0000-00006E700000}"/>
    <cellStyle name="Normal 5 11 8" xfId="12113" xr:uid="{00000000-0005-0000-0000-00006F700000}"/>
    <cellStyle name="Normal 5 11 8 2" xfId="35598" xr:uid="{00000000-0005-0000-0000-000070700000}"/>
    <cellStyle name="Normal 5 11 8 3" xfId="26279" xr:uid="{00000000-0005-0000-0000-000071700000}"/>
    <cellStyle name="Normal 5 11 8 4" xfId="49541" xr:uid="{00000000-0005-0000-0000-000072700000}"/>
    <cellStyle name="Normal 5 11 9" xfId="16844" xr:uid="{00000000-0005-0000-0000-000073700000}"/>
    <cellStyle name="Normal 5 11 9 2" xfId="30976" xr:uid="{00000000-0005-0000-0000-000074700000}"/>
    <cellStyle name="Normal 5 11 9 3" xfId="44871" xr:uid="{00000000-0005-0000-0000-000075700000}"/>
    <cellStyle name="Normal 5 12" xfId="6314" xr:uid="{00000000-0005-0000-0000-000076700000}"/>
    <cellStyle name="Normal 5 12 10" xfId="21669" xr:uid="{00000000-0005-0000-0000-000077700000}"/>
    <cellStyle name="Normal 5 12 11" xfId="40301" xr:uid="{00000000-0005-0000-0000-000078700000}"/>
    <cellStyle name="Normal 5 12 2" xfId="6315" xr:uid="{00000000-0005-0000-0000-000079700000}"/>
    <cellStyle name="Normal 5 12 2 2" xfId="6316" xr:uid="{00000000-0005-0000-0000-00007A700000}"/>
    <cellStyle name="Normal 5 12 2 2 2" xfId="12127" xr:uid="{00000000-0005-0000-0000-00007B700000}"/>
    <cellStyle name="Normal 5 12 2 2 2 2" xfId="35612" xr:uid="{00000000-0005-0000-0000-00007C700000}"/>
    <cellStyle name="Normal 5 12 2 2 2 3" xfId="26293" xr:uid="{00000000-0005-0000-0000-00007D700000}"/>
    <cellStyle name="Normal 5 12 2 2 2 4" xfId="49555" xr:uid="{00000000-0005-0000-0000-00007E700000}"/>
    <cellStyle name="Normal 5 12 2 2 3" xfId="16858" xr:uid="{00000000-0005-0000-0000-00007F700000}"/>
    <cellStyle name="Normal 5 12 2 2 3 2" xfId="30990" xr:uid="{00000000-0005-0000-0000-000080700000}"/>
    <cellStyle name="Normal 5 12 2 2 3 3" xfId="44885" xr:uid="{00000000-0005-0000-0000-000081700000}"/>
    <cellStyle name="Normal 5 12 2 2 4" xfId="21671" xr:uid="{00000000-0005-0000-0000-000082700000}"/>
    <cellStyle name="Normal 5 12 2 2 5" xfId="40303" xr:uid="{00000000-0005-0000-0000-000083700000}"/>
    <cellStyle name="Normal 5 12 2 3" xfId="12126" xr:uid="{00000000-0005-0000-0000-000084700000}"/>
    <cellStyle name="Normal 5 12 2 3 2" xfId="35611" xr:uid="{00000000-0005-0000-0000-000085700000}"/>
    <cellStyle name="Normal 5 12 2 3 3" xfId="26292" xr:uid="{00000000-0005-0000-0000-000086700000}"/>
    <cellStyle name="Normal 5 12 2 3 4" xfId="49554" xr:uid="{00000000-0005-0000-0000-000087700000}"/>
    <cellStyle name="Normal 5 12 2 4" xfId="16857" xr:uid="{00000000-0005-0000-0000-000088700000}"/>
    <cellStyle name="Normal 5 12 2 4 2" xfId="30989" xr:uid="{00000000-0005-0000-0000-000089700000}"/>
    <cellStyle name="Normal 5 12 2 4 3" xfId="44884" xr:uid="{00000000-0005-0000-0000-00008A700000}"/>
    <cellStyle name="Normal 5 12 2 5" xfId="21670" xr:uid="{00000000-0005-0000-0000-00008B700000}"/>
    <cellStyle name="Normal 5 12 2 6" xfId="40302" xr:uid="{00000000-0005-0000-0000-00008C700000}"/>
    <cellStyle name="Normal 5 12 3" xfId="6317" xr:uid="{00000000-0005-0000-0000-00008D700000}"/>
    <cellStyle name="Normal 5 12 3 2" xfId="6318" xr:uid="{00000000-0005-0000-0000-00008E700000}"/>
    <cellStyle name="Normal 5 12 3 2 2" xfId="12129" xr:uid="{00000000-0005-0000-0000-00008F700000}"/>
    <cellStyle name="Normal 5 12 3 2 2 2" xfId="35614" xr:uid="{00000000-0005-0000-0000-000090700000}"/>
    <cellStyle name="Normal 5 12 3 2 2 3" xfId="26295" xr:uid="{00000000-0005-0000-0000-000091700000}"/>
    <cellStyle name="Normal 5 12 3 2 2 4" xfId="49557" xr:uid="{00000000-0005-0000-0000-000092700000}"/>
    <cellStyle name="Normal 5 12 3 2 3" xfId="16860" xr:uid="{00000000-0005-0000-0000-000093700000}"/>
    <cellStyle name="Normal 5 12 3 2 3 2" xfId="30992" xr:uid="{00000000-0005-0000-0000-000094700000}"/>
    <cellStyle name="Normal 5 12 3 2 3 3" xfId="44887" xr:uid="{00000000-0005-0000-0000-000095700000}"/>
    <cellStyle name="Normal 5 12 3 2 4" xfId="21673" xr:uid="{00000000-0005-0000-0000-000096700000}"/>
    <cellStyle name="Normal 5 12 3 2 5" xfId="40305" xr:uid="{00000000-0005-0000-0000-000097700000}"/>
    <cellStyle name="Normal 5 12 3 3" xfId="12128" xr:uid="{00000000-0005-0000-0000-000098700000}"/>
    <cellStyle name="Normal 5 12 3 3 2" xfId="35613" xr:uid="{00000000-0005-0000-0000-000099700000}"/>
    <cellStyle name="Normal 5 12 3 3 3" xfId="26294" xr:uid="{00000000-0005-0000-0000-00009A700000}"/>
    <cellStyle name="Normal 5 12 3 3 4" xfId="49556" xr:uid="{00000000-0005-0000-0000-00009B700000}"/>
    <cellStyle name="Normal 5 12 3 4" xfId="16859" xr:uid="{00000000-0005-0000-0000-00009C700000}"/>
    <cellStyle name="Normal 5 12 3 4 2" xfId="30991" xr:uid="{00000000-0005-0000-0000-00009D700000}"/>
    <cellStyle name="Normal 5 12 3 4 3" xfId="44886" xr:uid="{00000000-0005-0000-0000-00009E700000}"/>
    <cellStyle name="Normal 5 12 3 5" xfId="21672" xr:uid="{00000000-0005-0000-0000-00009F700000}"/>
    <cellStyle name="Normal 5 12 3 6" xfId="40304" xr:uid="{00000000-0005-0000-0000-0000A0700000}"/>
    <cellStyle name="Normal 5 12 4" xfId="6319" xr:uid="{00000000-0005-0000-0000-0000A1700000}"/>
    <cellStyle name="Normal 5 12 4 2" xfId="6320" xr:uid="{00000000-0005-0000-0000-0000A2700000}"/>
    <cellStyle name="Normal 5 12 4 2 2" xfId="12131" xr:uid="{00000000-0005-0000-0000-0000A3700000}"/>
    <cellStyle name="Normal 5 12 4 2 2 2" xfId="35616" xr:uid="{00000000-0005-0000-0000-0000A4700000}"/>
    <cellStyle name="Normal 5 12 4 2 2 3" xfId="26297" xr:uid="{00000000-0005-0000-0000-0000A5700000}"/>
    <cellStyle name="Normal 5 12 4 2 2 4" xfId="49559" xr:uid="{00000000-0005-0000-0000-0000A6700000}"/>
    <cellStyle name="Normal 5 12 4 2 3" xfId="16862" xr:uid="{00000000-0005-0000-0000-0000A7700000}"/>
    <cellStyle name="Normal 5 12 4 2 3 2" xfId="30994" xr:uid="{00000000-0005-0000-0000-0000A8700000}"/>
    <cellStyle name="Normal 5 12 4 2 3 3" xfId="44889" xr:uid="{00000000-0005-0000-0000-0000A9700000}"/>
    <cellStyle name="Normal 5 12 4 2 4" xfId="21675" xr:uid="{00000000-0005-0000-0000-0000AA700000}"/>
    <cellStyle name="Normal 5 12 4 2 5" xfId="40307" xr:uid="{00000000-0005-0000-0000-0000AB700000}"/>
    <cellStyle name="Normal 5 12 4 3" xfId="12130" xr:uid="{00000000-0005-0000-0000-0000AC700000}"/>
    <cellStyle name="Normal 5 12 4 3 2" xfId="35615" xr:uid="{00000000-0005-0000-0000-0000AD700000}"/>
    <cellStyle name="Normal 5 12 4 3 3" xfId="26296" xr:uid="{00000000-0005-0000-0000-0000AE700000}"/>
    <cellStyle name="Normal 5 12 4 3 4" xfId="49558" xr:uid="{00000000-0005-0000-0000-0000AF700000}"/>
    <cellStyle name="Normal 5 12 4 4" xfId="16861" xr:uid="{00000000-0005-0000-0000-0000B0700000}"/>
    <cellStyle name="Normal 5 12 4 4 2" xfId="30993" xr:uid="{00000000-0005-0000-0000-0000B1700000}"/>
    <cellStyle name="Normal 5 12 4 4 3" xfId="44888" xr:uid="{00000000-0005-0000-0000-0000B2700000}"/>
    <cellStyle name="Normal 5 12 4 5" xfId="21674" xr:uid="{00000000-0005-0000-0000-0000B3700000}"/>
    <cellStyle name="Normal 5 12 4 6" xfId="40306" xr:uid="{00000000-0005-0000-0000-0000B4700000}"/>
    <cellStyle name="Normal 5 12 5" xfId="6321" xr:uid="{00000000-0005-0000-0000-0000B5700000}"/>
    <cellStyle name="Normal 5 12 5 2" xfId="6322" xr:uid="{00000000-0005-0000-0000-0000B6700000}"/>
    <cellStyle name="Normal 5 12 5 2 2" xfId="12133" xr:uid="{00000000-0005-0000-0000-0000B7700000}"/>
    <cellStyle name="Normal 5 12 5 2 2 2" xfId="35618" xr:uid="{00000000-0005-0000-0000-0000B8700000}"/>
    <cellStyle name="Normal 5 12 5 2 2 3" xfId="26299" xr:uid="{00000000-0005-0000-0000-0000B9700000}"/>
    <cellStyle name="Normal 5 12 5 2 2 4" xfId="49561" xr:uid="{00000000-0005-0000-0000-0000BA700000}"/>
    <cellStyle name="Normal 5 12 5 2 3" xfId="16864" xr:uid="{00000000-0005-0000-0000-0000BB700000}"/>
    <cellStyle name="Normal 5 12 5 2 3 2" xfId="30996" xr:uid="{00000000-0005-0000-0000-0000BC700000}"/>
    <cellStyle name="Normal 5 12 5 2 3 3" xfId="44891" xr:uid="{00000000-0005-0000-0000-0000BD700000}"/>
    <cellStyle name="Normal 5 12 5 2 4" xfId="21677" xr:uid="{00000000-0005-0000-0000-0000BE700000}"/>
    <cellStyle name="Normal 5 12 5 2 5" xfId="40309" xr:uid="{00000000-0005-0000-0000-0000BF700000}"/>
    <cellStyle name="Normal 5 12 5 3" xfId="12132" xr:uid="{00000000-0005-0000-0000-0000C0700000}"/>
    <cellStyle name="Normal 5 12 5 3 2" xfId="35617" xr:uid="{00000000-0005-0000-0000-0000C1700000}"/>
    <cellStyle name="Normal 5 12 5 3 3" xfId="26298" xr:uid="{00000000-0005-0000-0000-0000C2700000}"/>
    <cellStyle name="Normal 5 12 5 3 4" xfId="49560" xr:uid="{00000000-0005-0000-0000-0000C3700000}"/>
    <cellStyle name="Normal 5 12 5 4" xfId="16863" xr:uid="{00000000-0005-0000-0000-0000C4700000}"/>
    <cellStyle name="Normal 5 12 5 4 2" xfId="30995" xr:uid="{00000000-0005-0000-0000-0000C5700000}"/>
    <cellStyle name="Normal 5 12 5 4 3" xfId="44890" xr:uid="{00000000-0005-0000-0000-0000C6700000}"/>
    <cellStyle name="Normal 5 12 5 5" xfId="21676" xr:uid="{00000000-0005-0000-0000-0000C7700000}"/>
    <cellStyle name="Normal 5 12 5 6" xfId="40308" xr:uid="{00000000-0005-0000-0000-0000C8700000}"/>
    <cellStyle name="Normal 5 12 6" xfId="6323" xr:uid="{00000000-0005-0000-0000-0000C9700000}"/>
    <cellStyle name="Normal 5 12 6 2" xfId="6324" xr:uid="{00000000-0005-0000-0000-0000CA700000}"/>
    <cellStyle name="Normal 5 12 6 2 2" xfId="12135" xr:uid="{00000000-0005-0000-0000-0000CB700000}"/>
    <cellStyle name="Normal 5 12 6 2 2 2" xfId="35620" xr:uid="{00000000-0005-0000-0000-0000CC700000}"/>
    <cellStyle name="Normal 5 12 6 2 2 3" xfId="26301" xr:uid="{00000000-0005-0000-0000-0000CD700000}"/>
    <cellStyle name="Normal 5 12 6 2 2 4" xfId="49563" xr:uid="{00000000-0005-0000-0000-0000CE700000}"/>
    <cellStyle name="Normal 5 12 6 2 3" xfId="16866" xr:uid="{00000000-0005-0000-0000-0000CF700000}"/>
    <cellStyle name="Normal 5 12 6 2 3 2" xfId="30998" xr:uid="{00000000-0005-0000-0000-0000D0700000}"/>
    <cellStyle name="Normal 5 12 6 2 3 3" xfId="44893" xr:uid="{00000000-0005-0000-0000-0000D1700000}"/>
    <cellStyle name="Normal 5 12 6 2 4" xfId="21679" xr:uid="{00000000-0005-0000-0000-0000D2700000}"/>
    <cellStyle name="Normal 5 12 6 2 5" xfId="40311" xr:uid="{00000000-0005-0000-0000-0000D3700000}"/>
    <cellStyle name="Normal 5 12 6 3" xfId="12134" xr:uid="{00000000-0005-0000-0000-0000D4700000}"/>
    <cellStyle name="Normal 5 12 6 3 2" xfId="35619" xr:uid="{00000000-0005-0000-0000-0000D5700000}"/>
    <cellStyle name="Normal 5 12 6 3 3" xfId="26300" xr:uid="{00000000-0005-0000-0000-0000D6700000}"/>
    <cellStyle name="Normal 5 12 6 3 4" xfId="49562" xr:uid="{00000000-0005-0000-0000-0000D7700000}"/>
    <cellStyle name="Normal 5 12 6 4" xfId="16865" xr:uid="{00000000-0005-0000-0000-0000D8700000}"/>
    <cellStyle name="Normal 5 12 6 4 2" xfId="30997" xr:uid="{00000000-0005-0000-0000-0000D9700000}"/>
    <cellStyle name="Normal 5 12 6 4 3" xfId="44892" xr:uid="{00000000-0005-0000-0000-0000DA700000}"/>
    <cellStyle name="Normal 5 12 6 5" xfId="21678" xr:uid="{00000000-0005-0000-0000-0000DB700000}"/>
    <cellStyle name="Normal 5 12 6 6" xfId="40310" xr:uid="{00000000-0005-0000-0000-0000DC700000}"/>
    <cellStyle name="Normal 5 12 7" xfId="6325" xr:uid="{00000000-0005-0000-0000-0000DD700000}"/>
    <cellStyle name="Normal 5 12 7 2" xfId="12136" xr:uid="{00000000-0005-0000-0000-0000DE700000}"/>
    <cellStyle name="Normal 5 12 7 2 2" xfId="35621" xr:uid="{00000000-0005-0000-0000-0000DF700000}"/>
    <cellStyle name="Normal 5 12 7 2 3" xfId="26302" xr:uid="{00000000-0005-0000-0000-0000E0700000}"/>
    <cellStyle name="Normal 5 12 7 2 4" xfId="49564" xr:uid="{00000000-0005-0000-0000-0000E1700000}"/>
    <cellStyle name="Normal 5 12 7 3" xfId="16867" xr:uid="{00000000-0005-0000-0000-0000E2700000}"/>
    <cellStyle name="Normal 5 12 7 3 2" xfId="30999" xr:uid="{00000000-0005-0000-0000-0000E3700000}"/>
    <cellStyle name="Normal 5 12 7 3 3" xfId="44894" xr:uid="{00000000-0005-0000-0000-0000E4700000}"/>
    <cellStyle name="Normal 5 12 7 4" xfId="21680" xr:uid="{00000000-0005-0000-0000-0000E5700000}"/>
    <cellStyle name="Normal 5 12 7 5" xfId="40312" xr:uid="{00000000-0005-0000-0000-0000E6700000}"/>
    <cellStyle name="Normal 5 12 8" xfId="12125" xr:uid="{00000000-0005-0000-0000-0000E7700000}"/>
    <cellStyle name="Normal 5 12 8 2" xfId="35610" xr:uid="{00000000-0005-0000-0000-0000E8700000}"/>
    <cellStyle name="Normal 5 12 8 3" xfId="26291" xr:uid="{00000000-0005-0000-0000-0000E9700000}"/>
    <cellStyle name="Normal 5 12 8 4" xfId="49553" xr:uid="{00000000-0005-0000-0000-0000EA700000}"/>
    <cellStyle name="Normal 5 12 9" xfId="16856" xr:uid="{00000000-0005-0000-0000-0000EB700000}"/>
    <cellStyle name="Normal 5 12 9 2" xfId="30988" xr:uid="{00000000-0005-0000-0000-0000EC700000}"/>
    <cellStyle name="Normal 5 12 9 3" xfId="44883" xr:uid="{00000000-0005-0000-0000-0000ED700000}"/>
    <cellStyle name="Normal 5 13" xfId="6326" xr:uid="{00000000-0005-0000-0000-0000EE700000}"/>
    <cellStyle name="Normal 5 13 10" xfId="21681" xr:uid="{00000000-0005-0000-0000-0000EF700000}"/>
    <cellStyle name="Normal 5 13 11" xfId="40313" xr:uid="{00000000-0005-0000-0000-0000F0700000}"/>
    <cellStyle name="Normal 5 13 2" xfId="6327" xr:uid="{00000000-0005-0000-0000-0000F1700000}"/>
    <cellStyle name="Normal 5 13 2 2" xfId="6328" xr:uid="{00000000-0005-0000-0000-0000F2700000}"/>
    <cellStyle name="Normal 5 13 2 2 2" xfId="12139" xr:uid="{00000000-0005-0000-0000-0000F3700000}"/>
    <cellStyle name="Normal 5 13 2 2 2 2" xfId="35624" xr:uid="{00000000-0005-0000-0000-0000F4700000}"/>
    <cellStyle name="Normal 5 13 2 2 2 3" xfId="26305" xr:uid="{00000000-0005-0000-0000-0000F5700000}"/>
    <cellStyle name="Normal 5 13 2 2 2 4" xfId="49567" xr:uid="{00000000-0005-0000-0000-0000F6700000}"/>
    <cellStyle name="Normal 5 13 2 2 3" xfId="16870" xr:uid="{00000000-0005-0000-0000-0000F7700000}"/>
    <cellStyle name="Normal 5 13 2 2 3 2" xfId="31002" xr:uid="{00000000-0005-0000-0000-0000F8700000}"/>
    <cellStyle name="Normal 5 13 2 2 3 3" xfId="44897" xr:uid="{00000000-0005-0000-0000-0000F9700000}"/>
    <cellStyle name="Normal 5 13 2 2 4" xfId="21683" xr:uid="{00000000-0005-0000-0000-0000FA700000}"/>
    <cellStyle name="Normal 5 13 2 2 5" xfId="40315" xr:uid="{00000000-0005-0000-0000-0000FB700000}"/>
    <cellStyle name="Normal 5 13 2 3" xfId="12138" xr:uid="{00000000-0005-0000-0000-0000FC700000}"/>
    <cellStyle name="Normal 5 13 2 3 2" xfId="35623" xr:uid="{00000000-0005-0000-0000-0000FD700000}"/>
    <cellStyle name="Normal 5 13 2 3 3" xfId="26304" xr:uid="{00000000-0005-0000-0000-0000FE700000}"/>
    <cellStyle name="Normal 5 13 2 3 4" xfId="49566" xr:uid="{00000000-0005-0000-0000-0000FF700000}"/>
    <cellStyle name="Normal 5 13 2 4" xfId="16869" xr:uid="{00000000-0005-0000-0000-000000710000}"/>
    <cellStyle name="Normal 5 13 2 4 2" xfId="31001" xr:uid="{00000000-0005-0000-0000-000001710000}"/>
    <cellStyle name="Normal 5 13 2 4 3" xfId="44896" xr:uid="{00000000-0005-0000-0000-000002710000}"/>
    <cellStyle name="Normal 5 13 2 5" xfId="21682" xr:uid="{00000000-0005-0000-0000-000003710000}"/>
    <cellStyle name="Normal 5 13 2 6" xfId="40314" xr:uid="{00000000-0005-0000-0000-000004710000}"/>
    <cellStyle name="Normal 5 13 3" xfId="6329" xr:uid="{00000000-0005-0000-0000-000005710000}"/>
    <cellStyle name="Normal 5 13 3 2" xfId="6330" xr:uid="{00000000-0005-0000-0000-000006710000}"/>
    <cellStyle name="Normal 5 13 3 2 2" xfId="12141" xr:uid="{00000000-0005-0000-0000-000007710000}"/>
    <cellStyle name="Normal 5 13 3 2 2 2" xfId="35626" xr:uid="{00000000-0005-0000-0000-000008710000}"/>
    <cellStyle name="Normal 5 13 3 2 2 3" xfId="26307" xr:uid="{00000000-0005-0000-0000-000009710000}"/>
    <cellStyle name="Normal 5 13 3 2 2 4" xfId="49569" xr:uid="{00000000-0005-0000-0000-00000A710000}"/>
    <cellStyle name="Normal 5 13 3 2 3" xfId="16872" xr:uid="{00000000-0005-0000-0000-00000B710000}"/>
    <cellStyle name="Normal 5 13 3 2 3 2" xfId="31004" xr:uid="{00000000-0005-0000-0000-00000C710000}"/>
    <cellStyle name="Normal 5 13 3 2 3 3" xfId="44899" xr:uid="{00000000-0005-0000-0000-00000D710000}"/>
    <cellStyle name="Normal 5 13 3 2 4" xfId="21685" xr:uid="{00000000-0005-0000-0000-00000E710000}"/>
    <cellStyle name="Normal 5 13 3 2 5" xfId="40317" xr:uid="{00000000-0005-0000-0000-00000F710000}"/>
    <cellStyle name="Normal 5 13 3 3" xfId="12140" xr:uid="{00000000-0005-0000-0000-000010710000}"/>
    <cellStyle name="Normal 5 13 3 3 2" xfId="35625" xr:uid="{00000000-0005-0000-0000-000011710000}"/>
    <cellStyle name="Normal 5 13 3 3 3" xfId="26306" xr:uid="{00000000-0005-0000-0000-000012710000}"/>
    <cellStyle name="Normal 5 13 3 3 4" xfId="49568" xr:uid="{00000000-0005-0000-0000-000013710000}"/>
    <cellStyle name="Normal 5 13 3 4" xfId="16871" xr:uid="{00000000-0005-0000-0000-000014710000}"/>
    <cellStyle name="Normal 5 13 3 4 2" xfId="31003" xr:uid="{00000000-0005-0000-0000-000015710000}"/>
    <cellStyle name="Normal 5 13 3 4 3" xfId="44898" xr:uid="{00000000-0005-0000-0000-000016710000}"/>
    <cellStyle name="Normal 5 13 3 5" xfId="21684" xr:uid="{00000000-0005-0000-0000-000017710000}"/>
    <cellStyle name="Normal 5 13 3 6" xfId="40316" xr:uid="{00000000-0005-0000-0000-000018710000}"/>
    <cellStyle name="Normal 5 13 4" xfId="6331" xr:uid="{00000000-0005-0000-0000-000019710000}"/>
    <cellStyle name="Normal 5 13 4 2" xfId="6332" xr:uid="{00000000-0005-0000-0000-00001A710000}"/>
    <cellStyle name="Normal 5 13 4 2 2" xfId="12143" xr:uid="{00000000-0005-0000-0000-00001B710000}"/>
    <cellStyle name="Normal 5 13 4 2 2 2" xfId="35628" xr:uid="{00000000-0005-0000-0000-00001C710000}"/>
    <cellStyle name="Normal 5 13 4 2 2 3" xfId="26309" xr:uid="{00000000-0005-0000-0000-00001D710000}"/>
    <cellStyle name="Normal 5 13 4 2 2 4" xfId="49571" xr:uid="{00000000-0005-0000-0000-00001E710000}"/>
    <cellStyle name="Normal 5 13 4 2 3" xfId="16874" xr:uid="{00000000-0005-0000-0000-00001F710000}"/>
    <cellStyle name="Normal 5 13 4 2 3 2" xfId="31006" xr:uid="{00000000-0005-0000-0000-000020710000}"/>
    <cellStyle name="Normal 5 13 4 2 3 3" xfId="44901" xr:uid="{00000000-0005-0000-0000-000021710000}"/>
    <cellStyle name="Normal 5 13 4 2 4" xfId="21687" xr:uid="{00000000-0005-0000-0000-000022710000}"/>
    <cellStyle name="Normal 5 13 4 2 5" xfId="40319" xr:uid="{00000000-0005-0000-0000-000023710000}"/>
    <cellStyle name="Normal 5 13 4 3" xfId="12142" xr:uid="{00000000-0005-0000-0000-000024710000}"/>
    <cellStyle name="Normal 5 13 4 3 2" xfId="35627" xr:uid="{00000000-0005-0000-0000-000025710000}"/>
    <cellStyle name="Normal 5 13 4 3 3" xfId="26308" xr:uid="{00000000-0005-0000-0000-000026710000}"/>
    <cellStyle name="Normal 5 13 4 3 4" xfId="49570" xr:uid="{00000000-0005-0000-0000-000027710000}"/>
    <cellStyle name="Normal 5 13 4 4" xfId="16873" xr:uid="{00000000-0005-0000-0000-000028710000}"/>
    <cellStyle name="Normal 5 13 4 4 2" xfId="31005" xr:uid="{00000000-0005-0000-0000-000029710000}"/>
    <cellStyle name="Normal 5 13 4 4 3" xfId="44900" xr:uid="{00000000-0005-0000-0000-00002A710000}"/>
    <cellStyle name="Normal 5 13 4 5" xfId="21686" xr:uid="{00000000-0005-0000-0000-00002B710000}"/>
    <cellStyle name="Normal 5 13 4 6" xfId="40318" xr:uid="{00000000-0005-0000-0000-00002C710000}"/>
    <cellStyle name="Normal 5 13 5" xfId="6333" xr:uid="{00000000-0005-0000-0000-00002D710000}"/>
    <cellStyle name="Normal 5 13 5 2" xfId="6334" xr:uid="{00000000-0005-0000-0000-00002E710000}"/>
    <cellStyle name="Normal 5 13 5 2 2" xfId="12145" xr:uid="{00000000-0005-0000-0000-00002F710000}"/>
    <cellStyle name="Normal 5 13 5 2 2 2" xfId="35630" xr:uid="{00000000-0005-0000-0000-000030710000}"/>
    <cellStyle name="Normal 5 13 5 2 2 3" xfId="26311" xr:uid="{00000000-0005-0000-0000-000031710000}"/>
    <cellStyle name="Normal 5 13 5 2 2 4" xfId="49573" xr:uid="{00000000-0005-0000-0000-000032710000}"/>
    <cellStyle name="Normal 5 13 5 2 3" xfId="16876" xr:uid="{00000000-0005-0000-0000-000033710000}"/>
    <cellStyle name="Normal 5 13 5 2 3 2" xfId="31008" xr:uid="{00000000-0005-0000-0000-000034710000}"/>
    <cellStyle name="Normal 5 13 5 2 3 3" xfId="44903" xr:uid="{00000000-0005-0000-0000-000035710000}"/>
    <cellStyle name="Normal 5 13 5 2 4" xfId="21689" xr:uid="{00000000-0005-0000-0000-000036710000}"/>
    <cellStyle name="Normal 5 13 5 2 5" xfId="40321" xr:uid="{00000000-0005-0000-0000-000037710000}"/>
    <cellStyle name="Normal 5 13 5 3" xfId="12144" xr:uid="{00000000-0005-0000-0000-000038710000}"/>
    <cellStyle name="Normal 5 13 5 3 2" xfId="35629" xr:uid="{00000000-0005-0000-0000-000039710000}"/>
    <cellStyle name="Normal 5 13 5 3 3" xfId="26310" xr:uid="{00000000-0005-0000-0000-00003A710000}"/>
    <cellStyle name="Normal 5 13 5 3 4" xfId="49572" xr:uid="{00000000-0005-0000-0000-00003B710000}"/>
    <cellStyle name="Normal 5 13 5 4" xfId="16875" xr:uid="{00000000-0005-0000-0000-00003C710000}"/>
    <cellStyle name="Normal 5 13 5 4 2" xfId="31007" xr:uid="{00000000-0005-0000-0000-00003D710000}"/>
    <cellStyle name="Normal 5 13 5 4 3" xfId="44902" xr:uid="{00000000-0005-0000-0000-00003E710000}"/>
    <cellStyle name="Normal 5 13 5 5" xfId="21688" xr:uid="{00000000-0005-0000-0000-00003F710000}"/>
    <cellStyle name="Normal 5 13 5 6" xfId="40320" xr:uid="{00000000-0005-0000-0000-000040710000}"/>
    <cellStyle name="Normal 5 13 6" xfId="6335" xr:uid="{00000000-0005-0000-0000-000041710000}"/>
    <cellStyle name="Normal 5 13 6 2" xfId="6336" xr:uid="{00000000-0005-0000-0000-000042710000}"/>
    <cellStyle name="Normal 5 13 6 2 2" xfId="12147" xr:uid="{00000000-0005-0000-0000-000043710000}"/>
    <cellStyle name="Normal 5 13 6 2 2 2" xfId="35632" xr:uid="{00000000-0005-0000-0000-000044710000}"/>
    <cellStyle name="Normal 5 13 6 2 2 3" xfId="26313" xr:uid="{00000000-0005-0000-0000-000045710000}"/>
    <cellStyle name="Normal 5 13 6 2 2 4" xfId="49575" xr:uid="{00000000-0005-0000-0000-000046710000}"/>
    <cellStyle name="Normal 5 13 6 2 3" xfId="16878" xr:uid="{00000000-0005-0000-0000-000047710000}"/>
    <cellStyle name="Normal 5 13 6 2 3 2" xfId="31010" xr:uid="{00000000-0005-0000-0000-000048710000}"/>
    <cellStyle name="Normal 5 13 6 2 3 3" xfId="44905" xr:uid="{00000000-0005-0000-0000-000049710000}"/>
    <cellStyle name="Normal 5 13 6 2 4" xfId="21691" xr:uid="{00000000-0005-0000-0000-00004A710000}"/>
    <cellStyle name="Normal 5 13 6 2 5" xfId="40323" xr:uid="{00000000-0005-0000-0000-00004B710000}"/>
    <cellStyle name="Normal 5 13 6 3" xfId="12146" xr:uid="{00000000-0005-0000-0000-00004C710000}"/>
    <cellStyle name="Normal 5 13 6 3 2" xfId="35631" xr:uid="{00000000-0005-0000-0000-00004D710000}"/>
    <cellStyle name="Normal 5 13 6 3 3" xfId="26312" xr:uid="{00000000-0005-0000-0000-00004E710000}"/>
    <cellStyle name="Normal 5 13 6 3 4" xfId="49574" xr:uid="{00000000-0005-0000-0000-00004F710000}"/>
    <cellStyle name="Normal 5 13 6 4" xfId="16877" xr:uid="{00000000-0005-0000-0000-000050710000}"/>
    <cellStyle name="Normal 5 13 6 4 2" xfId="31009" xr:uid="{00000000-0005-0000-0000-000051710000}"/>
    <cellStyle name="Normal 5 13 6 4 3" xfId="44904" xr:uid="{00000000-0005-0000-0000-000052710000}"/>
    <cellStyle name="Normal 5 13 6 5" xfId="21690" xr:uid="{00000000-0005-0000-0000-000053710000}"/>
    <cellStyle name="Normal 5 13 6 6" xfId="40322" xr:uid="{00000000-0005-0000-0000-000054710000}"/>
    <cellStyle name="Normal 5 13 7" xfId="6337" xr:uid="{00000000-0005-0000-0000-000055710000}"/>
    <cellStyle name="Normal 5 13 7 2" xfId="12148" xr:uid="{00000000-0005-0000-0000-000056710000}"/>
    <cellStyle name="Normal 5 13 7 2 2" xfId="35633" xr:uid="{00000000-0005-0000-0000-000057710000}"/>
    <cellStyle name="Normal 5 13 7 2 3" xfId="26314" xr:uid="{00000000-0005-0000-0000-000058710000}"/>
    <cellStyle name="Normal 5 13 7 2 4" xfId="49576" xr:uid="{00000000-0005-0000-0000-000059710000}"/>
    <cellStyle name="Normal 5 13 7 3" xfId="16879" xr:uid="{00000000-0005-0000-0000-00005A710000}"/>
    <cellStyle name="Normal 5 13 7 3 2" xfId="31011" xr:uid="{00000000-0005-0000-0000-00005B710000}"/>
    <cellStyle name="Normal 5 13 7 3 3" xfId="44906" xr:uid="{00000000-0005-0000-0000-00005C710000}"/>
    <cellStyle name="Normal 5 13 7 4" xfId="21692" xr:uid="{00000000-0005-0000-0000-00005D710000}"/>
    <cellStyle name="Normal 5 13 7 5" xfId="40324" xr:uid="{00000000-0005-0000-0000-00005E710000}"/>
    <cellStyle name="Normal 5 13 8" xfId="12137" xr:uid="{00000000-0005-0000-0000-00005F710000}"/>
    <cellStyle name="Normal 5 13 8 2" xfId="35622" xr:uid="{00000000-0005-0000-0000-000060710000}"/>
    <cellStyle name="Normal 5 13 8 3" xfId="26303" xr:uid="{00000000-0005-0000-0000-000061710000}"/>
    <cellStyle name="Normal 5 13 8 4" xfId="49565" xr:uid="{00000000-0005-0000-0000-000062710000}"/>
    <cellStyle name="Normal 5 13 9" xfId="16868" xr:uid="{00000000-0005-0000-0000-000063710000}"/>
    <cellStyle name="Normal 5 13 9 2" xfId="31000" xr:uid="{00000000-0005-0000-0000-000064710000}"/>
    <cellStyle name="Normal 5 13 9 3" xfId="44895" xr:uid="{00000000-0005-0000-0000-000065710000}"/>
    <cellStyle name="Normal 5 14" xfId="6338" xr:uid="{00000000-0005-0000-0000-000066710000}"/>
    <cellStyle name="Normal 5 14 10" xfId="21693" xr:uid="{00000000-0005-0000-0000-000067710000}"/>
    <cellStyle name="Normal 5 14 11" xfId="40325" xr:uid="{00000000-0005-0000-0000-000068710000}"/>
    <cellStyle name="Normal 5 14 2" xfId="6339" xr:uid="{00000000-0005-0000-0000-000069710000}"/>
    <cellStyle name="Normal 5 14 2 2" xfId="6340" xr:uid="{00000000-0005-0000-0000-00006A710000}"/>
    <cellStyle name="Normal 5 14 2 2 2" xfId="12151" xr:uid="{00000000-0005-0000-0000-00006B710000}"/>
    <cellStyle name="Normal 5 14 2 2 2 2" xfId="35636" xr:uid="{00000000-0005-0000-0000-00006C710000}"/>
    <cellStyle name="Normal 5 14 2 2 2 3" xfId="26317" xr:uid="{00000000-0005-0000-0000-00006D710000}"/>
    <cellStyle name="Normal 5 14 2 2 2 4" xfId="49579" xr:uid="{00000000-0005-0000-0000-00006E710000}"/>
    <cellStyle name="Normal 5 14 2 2 3" xfId="16882" xr:uid="{00000000-0005-0000-0000-00006F710000}"/>
    <cellStyle name="Normal 5 14 2 2 3 2" xfId="31014" xr:uid="{00000000-0005-0000-0000-000070710000}"/>
    <cellStyle name="Normal 5 14 2 2 3 3" xfId="44909" xr:uid="{00000000-0005-0000-0000-000071710000}"/>
    <cellStyle name="Normal 5 14 2 2 4" xfId="21695" xr:uid="{00000000-0005-0000-0000-000072710000}"/>
    <cellStyle name="Normal 5 14 2 2 5" xfId="40327" xr:uid="{00000000-0005-0000-0000-000073710000}"/>
    <cellStyle name="Normal 5 14 2 3" xfId="12150" xr:uid="{00000000-0005-0000-0000-000074710000}"/>
    <cellStyle name="Normal 5 14 2 3 2" xfId="35635" xr:uid="{00000000-0005-0000-0000-000075710000}"/>
    <cellStyle name="Normal 5 14 2 3 3" xfId="26316" xr:uid="{00000000-0005-0000-0000-000076710000}"/>
    <cellStyle name="Normal 5 14 2 3 4" xfId="49578" xr:uid="{00000000-0005-0000-0000-000077710000}"/>
    <cellStyle name="Normal 5 14 2 4" xfId="16881" xr:uid="{00000000-0005-0000-0000-000078710000}"/>
    <cellStyle name="Normal 5 14 2 4 2" xfId="31013" xr:uid="{00000000-0005-0000-0000-000079710000}"/>
    <cellStyle name="Normal 5 14 2 4 3" xfId="44908" xr:uid="{00000000-0005-0000-0000-00007A710000}"/>
    <cellStyle name="Normal 5 14 2 5" xfId="21694" xr:uid="{00000000-0005-0000-0000-00007B710000}"/>
    <cellStyle name="Normal 5 14 2 6" xfId="40326" xr:uid="{00000000-0005-0000-0000-00007C710000}"/>
    <cellStyle name="Normal 5 14 3" xfId="6341" xr:uid="{00000000-0005-0000-0000-00007D710000}"/>
    <cellStyle name="Normal 5 14 3 2" xfId="6342" xr:uid="{00000000-0005-0000-0000-00007E710000}"/>
    <cellStyle name="Normal 5 14 3 2 2" xfId="12153" xr:uid="{00000000-0005-0000-0000-00007F710000}"/>
    <cellStyle name="Normal 5 14 3 2 2 2" xfId="35638" xr:uid="{00000000-0005-0000-0000-000080710000}"/>
    <cellStyle name="Normal 5 14 3 2 2 3" xfId="26319" xr:uid="{00000000-0005-0000-0000-000081710000}"/>
    <cellStyle name="Normal 5 14 3 2 2 4" xfId="49581" xr:uid="{00000000-0005-0000-0000-000082710000}"/>
    <cellStyle name="Normal 5 14 3 2 3" xfId="16884" xr:uid="{00000000-0005-0000-0000-000083710000}"/>
    <cellStyle name="Normal 5 14 3 2 3 2" xfId="31016" xr:uid="{00000000-0005-0000-0000-000084710000}"/>
    <cellStyle name="Normal 5 14 3 2 3 3" xfId="44911" xr:uid="{00000000-0005-0000-0000-000085710000}"/>
    <cellStyle name="Normal 5 14 3 2 4" xfId="21697" xr:uid="{00000000-0005-0000-0000-000086710000}"/>
    <cellStyle name="Normal 5 14 3 2 5" xfId="40329" xr:uid="{00000000-0005-0000-0000-000087710000}"/>
    <cellStyle name="Normal 5 14 3 3" xfId="12152" xr:uid="{00000000-0005-0000-0000-000088710000}"/>
    <cellStyle name="Normal 5 14 3 3 2" xfId="35637" xr:uid="{00000000-0005-0000-0000-000089710000}"/>
    <cellStyle name="Normal 5 14 3 3 3" xfId="26318" xr:uid="{00000000-0005-0000-0000-00008A710000}"/>
    <cellStyle name="Normal 5 14 3 3 4" xfId="49580" xr:uid="{00000000-0005-0000-0000-00008B710000}"/>
    <cellStyle name="Normal 5 14 3 4" xfId="16883" xr:uid="{00000000-0005-0000-0000-00008C710000}"/>
    <cellStyle name="Normal 5 14 3 4 2" xfId="31015" xr:uid="{00000000-0005-0000-0000-00008D710000}"/>
    <cellStyle name="Normal 5 14 3 4 3" xfId="44910" xr:uid="{00000000-0005-0000-0000-00008E710000}"/>
    <cellStyle name="Normal 5 14 3 5" xfId="21696" xr:uid="{00000000-0005-0000-0000-00008F710000}"/>
    <cellStyle name="Normal 5 14 3 6" xfId="40328" xr:uid="{00000000-0005-0000-0000-000090710000}"/>
    <cellStyle name="Normal 5 14 4" xfId="6343" xr:uid="{00000000-0005-0000-0000-000091710000}"/>
    <cellStyle name="Normal 5 14 4 2" xfId="6344" xr:uid="{00000000-0005-0000-0000-000092710000}"/>
    <cellStyle name="Normal 5 14 4 2 2" xfId="12155" xr:uid="{00000000-0005-0000-0000-000093710000}"/>
    <cellStyle name="Normal 5 14 4 2 2 2" xfId="35640" xr:uid="{00000000-0005-0000-0000-000094710000}"/>
    <cellStyle name="Normal 5 14 4 2 2 3" xfId="26321" xr:uid="{00000000-0005-0000-0000-000095710000}"/>
    <cellStyle name="Normal 5 14 4 2 2 4" xfId="49583" xr:uid="{00000000-0005-0000-0000-000096710000}"/>
    <cellStyle name="Normal 5 14 4 2 3" xfId="16886" xr:uid="{00000000-0005-0000-0000-000097710000}"/>
    <cellStyle name="Normal 5 14 4 2 3 2" xfId="31018" xr:uid="{00000000-0005-0000-0000-000098710000}"/>
    <cellStyle name="Normal 5 14 4 2 3 3" xfId="44913" xr:uid="{00000000-0005-0000-0000-000099710000}"/>
    <cellStyle name="Normal 5 14 4 2 4" xfId="21699" xr:uid="{00000000-0005-0000-0000-00009A710000}"/>
    <cellStyle name="Normal 5 14 4 2 5" xfId="40331" xr:uid="{00000000-0005-0000-0000-00009B710000}"/>
    <cellStyle name="Normal 5 14 4 3" xfId="12154" xr:uid="{00000000-0005-0000-0000-00009C710000}"/>
    <cellStyle name="Normal 5 14 4 3 2" xfId="35639" xr:uid="{00000000-0005-0000-0000-00009D710000}"/>
    <cellStyle name="Normal 5 14 4 3 3" xfId="26320" xr:uid="{00000000-0005-0000-0000-00009E710000}"/>
    <cellStyle name="Normal 5 14 4 3 4" xfId="49582" xr:uid="{00000000-0005-0000-0000-00009F710000}"/>
    <cellStyle name="Normal 5 14 4 4" xfId="16885" xr:uid="{00000000-0005-0000-0000-0000A0710000}"/>
    <cellStyle name="Normal 5 14 4 4 2" xfId="31017" xr:uid="{00000000-0005-0000-0000-0000A1710000}"/>
    <cellStyle name="Normal 5 14 4 4 3" xfId="44912" xr:uid="{00000000-0005-0000-0000-0000A2710000}"/>
    <cellStyle name="Normal 5 14 4 5" xfId="21698" xr:uid="{00000000-0005-0000-0000-0000A3710000}"/>
    <cellStyle name="Normal 5 14 4 6" xfId="40330" xr:uid="{00000000-0005-0000-0000-0000A4710000}"/>
    <cellStyle name="Normal 5 14 5" xfId="6345" xr:uid="{00000000-0005-0000-0000-0000A5710000}"/>
    <cellStyle name="Normal 5 14 5 2" xfId="6346" xr:uid="{00000000-0005-0000-0000-0000A6710000}"/>
    <cellStyle name="Normal 5 14 5 2 2" xfId="12157" xr:uid="{00000000-0005-0000-0000-0000A7710000}"/>
    <cellStyle name="Normal 5 14 5 2 2 2" xfId="35642" xr:uid="{00000000-0005-0000-0000-0000A8710000}"/>
    <cellStyle name="Normal 5 14 5 2 2 3" xfId="26323" xr:uid="{00000000-0005-0000-0000-0000A9710000}"/>
    <cellStyle name="Normal 5 14 5 2 2 4" xfId="49585" xr:uid="{00000000-0005-0000-0000-0000AA710000}"/>
    <cellStyle name="Normal 5 14 5 2 3" xfId="16888" xr:uid="{00000000-0005-0000-0000-0000AB710000}"/>
    <cellStyle name="Normal 5 14 5 2 3 2" xfId="31020" xr:uid="{00000000-0005-0000-0000-0000AC710000}"/>
    <cellStyle name="Normal 5 14 5 2 3 3" xfId="44915" xr:uid="{00000000-0005-0000-0000-0000AD710000}"/>
    <cellStyle name="Normal 5 14 5 2 4" xfId="21701" xr:uid="{00000000-0005-0000-0000-0000AE710000}"/>
    <cellStyle name="Normal 5 14 5 2 5" xfId="40333" xr:uid="{00000000-0005-0000-0000-0000AF710000}"/>
    <cellStyle name="Normal 5 14 5 3" xfId="12156" xr:uid="{00000000-0005-0000-0000-0000B0710000}"/>
    <cellStyle name="Normal 5 14 5 3 2" xfId="35641" xr:uid="{00000000-0005-0000-0000-0000B1710000}"/>
    <cellStyle name="Normal 5 14 5 3 3" xfId="26322" xr:uid="{00000000-0005-0000-0000-0000B2710000}"/>
    <cellStyle name="Normal 5 14 5 3 4" xfId="49584" xr:uid="{00000000-0005-0000-0000-0000B3710000}"/>
    <cellStyle name="Normal 5 14 5 4" xfId="16887" xr:uid="{00000000-0005-0000-0000-0000B4710000}"/>
    <cellStyle name="Normal 5 14 5 4 2" xfId="31019" xr:uid="{00000000-0005-0000-0000-0000B5710000}"/>
    <cellStyle name="Normal 5 14 5 4 3" xfId="44914" xr:uid="{00000000-0005-0000-0000-0000B6710000}"/>
    <cellStyle name="Normal 5 14 5 5" xfId="21700" xr:uid="{00000000-0005-0000-0000-0000B7710000}"/>
    <cellStyle name="Normal 5 14 5 6" xfId="40332" xr:uid="{00000000-0005-0000-0000-0000B8710000}"/>
    <cellStyle name="Normal 5 14 6" xfId="6347" xr:uid="{00000000-0005-0000-0000-0000B9710000}"/>
    <cellStyle name="Normal 5 14 6 2" xfId="6348" xr:uid="{00000000-0005-0000-0000-0000BA710000}"/>
    <cellStyle name="Normal 5 14 6 2 2" xfId="12159" xr:uid="{00000000-0005-0000-0000-0000BB710000}"/>
    <cellStyle name="Normal 5 14 6 2 2 2" xfId="35644" xr:uid="{00000000-0005-0000-0000-0000BC710000}"/>
    <cellStyle name="Normal 5 14 6 2 2 3" xfId="26325" xr:uid="{00000000-0005-0000-0000-0000BD710000}"/>
    <cellStyle name="Normal 5 14 6 2 2 4" xfId="49587" xr:uid="{00000000-0005-0000-0000-0000BE710000}"/>
    <cellStyle name="Normal 5 14 6 2 3" xfId="16890" xr:uid="{00000000-0005-0000-0000-0000BF710000}"/>
    <cellStyle name="Normal 5 14 6 2 3 2" xfId="31022" xr:uid="{00000000-0005-0000-0000-0000C0710000}"/>
    <cellStyle name="Normal 5 14 6 2 3 3" xfId="44917" xr:uid="{00000000-0005-0000-0000-0000C1710000}"/>
    <cellStyle name="Normal 5 14 6 2 4" xfId="21703" xr:uid="{00000000-0005-0000-0000-0000C2710000}"/>
    <cellStyle name="Normal 5 14 6 2 5" xfId="40335" xr:uid="{00000000-0005-0000-0000-0000C3710000}"/>
    <cellStyle name="Normal 5 14 6 3" xfId="12158" xr:uid="{00000000-0005-0000-0000-0000C4710000}"/>
    <cellStyle name="Normal 5 14 6 3 2" xfId="35643" xr:uid="{00000000-0005-0000-0000-0000C5710000}"/>
    <cellStyle name="Normal 5 14 6 3 3" xfId="26324" xr:uid="{00000000-0005-0000-0000-0000C6710000}"/>
    <cellStyle name="Normal 5 14 6 3 4" xfId="49586" xr:uid="{00000000-0005-0000-0000-0000C7710000}"/>
    <cellStyle name="Normal 5 14 6 4" xfId="16889" xr:uid="{00000000-0005-0000-0000-0000C8710000}"/>
    <cellStyle name="Normal 5 14 6 4 2" xfId="31021" xr:uid="{00000000-0005-0000-0000-0000C9710000}"/>
    <cellStyle name="Normal 5 14 6 4 3" xfId="44916" xr:uid="{00000000-0005-0000-0000-0000CA710000}"/>
    <cellStyle name="Normal 5 14 6 5" xfId="21702" xr:uid="{00000000-0005-0000-0000-0000CB710000}"/>
    <cellStyle name="Normal 5 14 6 6" xfId="40334" xr:uid="{00000000-0005-0000-0000-0000CC710000}"/>
    <cellStyle name="Normal 5 14 7" xfId="6349" xr:uid="{00000000-0005-0000-0000-0000CD710000}"/>
    <cellStyle name="Normal 5 14 7 2" xfId="12160" xr:uid="{00000000-0005-0000-0000-0000CE710000}"/>
    <cellStyle name="Normal 5 14 7 2 2" xfId="35645" xr:uid="{00000000-0005-0000-0000-0000CF710000}"/>
    <cellStyle name="Normal 5 14 7 2 3" xfId="26326" xr:uid="{00000000-0005-0000-0000-0000D0710000}"/>
    <cellStyle name="Normal 5 14 7 2 4" xfId="49588" xr:uid="{00000000-0005-0000-0000-0000D1710000}"/>
    <cellStyle name="Normal 5 14 7 3" xfId="16891" xr:uid="{00000000-0005-0000-0000-0000D2710000}"/>
    <cellStyle name="Normal 5 14 7 3 2" xfId="31023" xr:uid="{00000000-0005-0000-0000-0000D3710000}"/>
    <cellStyle name="Normal 5 14 7 3 3" xfId="44918" xr:uid="{00000000-0005-0000-0000-0000D4710000}"/>
    <cellStyle name="Normal 5 14 7 4" xfId="21704" xr:uid="{00000000-0005-0000-0000-0000D5710000}"/>
    <cellStyle name="Normal 5 14 7 5" xfId="40336" xr:uid="{00000000-0005-0000-0000-0000D6710000}"/>
    <cellStyle name="Normal 5 14 8" xfId="12149" xr:uid="{00000000-0005-0000-0000-0000D7710000}"/>
    <cellStyle name="Normal 5 14 8 2" xfId="35634" xr:uid="{00000000-0005-0000-0000-0000D8710000}"/>
    <cellStyle name="Normal 5 14 8 3" xfId="26315" xr:uid="{00000000-0005-0000-0000-0000D9710000}"/>
    <cellStyle name="Normal 5 14 8 4" xfId="49577" xr:uid="{00000000-0005-0000-0000-0000DA710000}"/>
    <cellStyle name="Normal 5 14 9" xfId="16880" xr:uid="{00000000-0005-0000-0000-0000DB710000}"/>
    <cellStyle name="Normal 5 14 9 2" xfId="31012" xr:uid="{00000000-0005-0000-0000-0000DC710000}"/>
    <cellStyle name="Normal 5 14 9 3" xfId="44907" xr:uid="{00000000-0005-0000-0000-0000DD710000}"/>
    <cellStyle name="Normal 5 15" xfId="6350" xr:uid="{00000000-0005-0000-0000-0000DE710000}"/>
    <cellStyle name="Normal 5 15 10" xfId="21705" xr:uid="{00000000-0005-0000-0000-0000DF710000}"/>
    <cellStyle name="Normal 5 15 11" xfId="40337" xr:uid="{00000000-0005-0000-0000-0000E0710000}"/>
    <cellStyle name="Normal 5 15 2" xfId="6351" xr:uid="{00000000-0005-0000-0000-0000E1710000}"/>
    <cellStyle name="Normal 5 15 2 2" xfId="6352" xr:uid="{00000000-0005-0000-0000-0000E2710000}"/>
    <cellStyle name="Normal 5 15 2 2 2" xfId="12163" xr:uid="{00000000-0005-0000-0000-0000E3710000}"/>
    <cellStyle name="Normal 5 15 2 2 2 2" xfId="35648" xr:uid="{00000000-0005-0000-0000-0000E4710000}"/>
    <cellStyle name="Normal 5 15 2 2 2 3" xfId="26329" xr:uid="{00000000-0005-0000-0000-0000E5710000}"/>
    <cellStyle name="Normal 5 15 2 2 2 4" xfId="49591" xr:uid="{00000000-0005-0000-0000-0000E6710000}"/>
    <cellStyle name="Normal 5 15 2 2 3" xfId="16894" xr:uid="{00000000-0005-0000-0000-0000E7710000}"/>
    <cellStyle name="Normal 5 15 2 2 3 2" xfId="31026" xr:uid="{00000000-0005-0000-0000-0000E8710000}"/>
    <cellStyle name="Normal 5 15 2 2 3 3" xfId="44921" xr:uid="{00000000-0005-0000-0000-0000E9710000}"/>
    <cellStyle name="Normal 5 15 2 2 4" xfId="21707" xr:uid="{00000000-0005-0000-0000-0000EA710000}"/>
    <cellStyle name="Normal 5 15 2 2 5" xfId="40339" xr:uid="{00000000-0005-0000-0000-0000EB710000}"/>
    <cellStyle name="Normal 5 15 2 3" xfId="12162" xr:uid="{00000000-0005-0000-0000-0000EC710000}"/>
    <cellStyle name="Normal 5 15 2 3 2" xfId="35647" xr:uid="{00000000-0005-0000-0000-0000ED710000}"/>
    <cellStyle name="Normal 5 15 2 3 3" xfId="26328" xr:uid="{00000000-0005-0000-0000-0000EE710000}"/>
    <cellStyle name="Normal 5 15 2 3 4" xfId="49590" xr:uid="{00000000-0005-0000-0000-0000EF710000}"/>
    <cellStyle name="Normal 5 15 2 4" xfId="16893" xr:uid="{00000000-0005-0000-0000-0000F0710000}"/>
    <cellStyle name="Normal 5 15 2 4 2" xfId="31025" xr:uid="{00000000-0005-0000-0000-0000F1710000}"/>
    <cellStyle name="Normal 5 15 2 4 3" xfId="44920" xr:uid="{00000000-0005-0000-0000-0000F2710000}"/>
    <cellStyle name="Normal 5 15 2 5" xfId="21706" xr:uid="{00000000-0005-0000-0000-0000F3710000}"/>
    <cellStyle name="Normal 5 15 2 6" xfId="40338" xr:uid="{00000000-0005-0000-0000-0000F4710000}"/>
    <cellStyle name="Normal 5 15 3" xfId="6353" xr:uid="{00000000-0005-0000-0000-0000F5710000}"/>
    <cellStyle name="Normal 5 15 3 2" xfId="6354" xr:uid="{00000000-0005-0000-0000-0000F6710000}"/>
    <cellStyle name="Normal 5 15 3 2 2" xfId="12165" xr:uid="{00000000-0005-0000-0000-0000F7710000}"/>
    <cellStyle name="Normal 5 15 3 2 2 2" xfId="35650" xr:uid="{00000000-0005-0000-0000-0000F8710000}"/>
    <cellStyle name="Normal 5 15 3 2 2 3" xfId="26331" xr:uid="{00000000-0005-0000-0000-0000F9710000}"/>
    <cellStyle name="Normal 5 15 3 2 2 4" xfId="49593" xr:uid="{00000000-0005-0000-0000-0000FA710000}"/>
    <cellStyle name="Normal 5 15 3 2 3" xfId="16896" xr:uid="{00000000-0005-0000-0000-0000FB710000}"/>
    <cellStyle name="Normal 5 15 3 2 3 2" xfId="31028" xr:uid="{00000000-0005-0000-0000-0000FC710000}"/>
    <cellStyle name="Normal 5 15 3 2 3 3" xfId="44923" xr:uid="{00000000-0005-0000-0000-0000FD710000}"/>
    <cellStyle name="Normal 5 15 3 2 4" xfId="21709" xr:uid="{00000000-0005-0000-0000-0000FE710000}"/>
    <cellStyle name="Normal 5 15 3 2 5" xfId="40341" xr:uid="{00000000-0005-0000-0000-0000FF710000}"/>
    <cellStyle name="Normal 5 15 3 3" xfId="12164" xr:uid="{00000000-0005-0000-0000-000000720000}"/>
    <cellStyle name="Normal 5 15 3 3 2" xfId="35649" xr:uid="{00000000-0005-0000-0000-000001720000}"/>
    <cellStyle name="Normal 5 15 3 3 3" xfId="26330" xr:uid="{00000000-0005-0000-0000-000002720000}"/>
    <cellStyle name="Normal 5 15 3 3 4" xfId="49592" xr:uid="{00000000-0005-0000-0000-000003720000}"/>
    <cellStyle name="Normal 5 15 3 4" xfId="16895" xr:uid="{00000000-0005-0000-0000-000004720000}"/>
    <cellStyle name="Normal 5 15 3 4 2" xfId="31027" xr:uid="{00000000-0005-0000-0000-000005720000}"/>
    <cellStyle name="Normal 5 15 3 4 3" xfId="44922" xr:uid="{00000000-0005-0000-0000-000006720000}"/>
    <cellStyle name="Normal 5 15 3 5" xfId="21708" xr:uid="{00000000-0005-0000-0000-000007720000}"/>
    <cellStyle name="Normal 5 15 3 6" xfId="40340" xr:uid="{00000000-0005-0000-0000-000008720000}"/>
    <cellStyle name="Normal 5 15 4" xfId="6355" xr:uid="{00000000-0005-0000-0000-000009720000}"/>
    <cellStyle name="Normal 5 15 4 2" xfId="6356" xr:uid="{00000000-0005-0000-0000-00000A720000}"/>
    <cellStyle name="Normal 5 15 4 2 2" xfId="12167" xr:uid="{00000000-0005-0000-0000-00000B720000}"/>
    <cellStyle name="Normal 5 15 4 2 2 2" xfId="35652" xr:uid="{00000000-0005-0000-0000-00000C720000}"/>
    <cellStyle name="Normal 5 15 4 2 2 3" xfId="26333" xr:uid="{00000000-0005-0000-0000-00000D720000}"/>
    <cellStyle name="Normal 5 15 4 2 2 4" xfId="49595" xr:uid="{00000000-0005-0000-0000-00000E720000}"/>
    <cellStyle name="Normal 5 15 4 2 3" xfId="16898" xr:uid="{00000000-0005-0000-0000-00000F720000}"/>
    <cellStyle name="Normal 5 15 4 2 3 2" xfId="31030" xr:uid="{00000000-0005-0000-0000-000010720000}"/>
    <cellStyle name="Normal 5 15 4 2 3 3" xfId="44925" xr:uid="{00000000-0005-0000-0000-000011720000}"/>
    <cellStyle name="Normal 5 15 4 2 4" xfId="21711" xr:uid="{00000000-0005-0000-0000-000012720000}"/>
    <cellStyle name="Normal 5 15 4 2 5" xfId="40343" xr:uid="{00000000-0005-0000-0000-000013720000}"/>
    <cellStyle name="Normal 5 15 4 3" xfId="12166" xr:uid="{00000000-0005-0000-0000-000014720000}"/>
    <cellStyle name="Normal 5 15 4 3 2" xfId="35651" xr:uid="{00000000-0005-0000-0000-000015720000}"/>
    <cellStyle name="Normal 5 15 4 3 3" xfId="26332" xr:uid="{00000000-0005-0000-0000-000016720000}"/>
    <cellStyle name="Normal 5 15 4 3 4" xfId="49594" xr:uid="{00000000-0005-0000-0000-000017720000}"/>
    <cellStyle name="Normal 5 15 4 4" xfId="16897" xr:uid="{00000000-0005-0000-0000-000018720000}"/>
    <cellStyle name="Normal 5 15 4 4 2" xfId="31029" xr:uid="{00000000-0005-0000-0000-000019720000}"/>
    <cellStyle name="Normal 5 15 4 4 3" xfId="44924" xr:uid="{00000000-0005-0000-0000-00001A720000}"/>
    <cellStyle name="Normal 5 15 4 5" xfId="21710" xr:uid="{00000000-0005-0000-0000-00001B720000}"/>
    <cellStyle name="Normal 5 15 4 6" xfId="40342" xr:uid="{00000000-0005-0000-0000-00001C720000}"/>
    <cellStyle name="Normal 5 15 5" xfId="6357" xr:uid="{00000000-0005-0000-0000-00001D720000}"/>
    <cellStyle name="Normal 5 15 5 2" xfId="6358" xr:uid="{00000000-0005-0000-0000-00001E720000}"/>
    <cellStyle name="Normal 5 15 5 2 2" xfId="12169" xr:uid="{00000000-0005-0000-0000-00001F720000}"/>
    <cellStyle name="Normal 5 15 5 2 2 2" xfId="35654" xr:uid="{00000000-0005-0000-0000-000020720000}"/>
    <cellStyle name="Normal 5 15 5 2 2 3" xfId="26335" xr:uid="{00000000-0005-0000-0000-000021720000}"/>
    <cellStyle name="Normal 5 15 5 2 2 4" xfId="49597" xr:uid="{00000000-0005-0000-0000-000022720000}"/>
    <cellStyle name="Normal 5 15 5 2 3" xfId="16900" xr:uid="{00000000-0005-0000-0000-000023720000}"/>
    <cellStyle name="Normal 5 15 5 2 3 2" xfId="31032" xr:uid="{00000000-0005-0000-0000-000024720000}"/>
    <cellStyle name="Normal 5 15 5 2 3 3" xfId="44927" xr:uid="{00000000-0005-0000-0000-000025720000}"/>
    <cellStyle name="Normal 5 15 5 2 4" xfId="21713" xr:uid="{00000000-0005-0000-0000-000026720000}"/>
    <cellStyle name="Normal 5 15 5 2 5" xfId="40345" xr:uid="{00000000-0005-0000-0000-000027720000}"/>
    <cellStyle name="Normal 5 15 5 3" xfId="12168" xr:uid="{00000000-0005-0000-0000-000028720000}"/>
    <cellStyle name="Normal 5 15 5 3 2" xfId="35653" xr:uid="{00000000-0005-0000-0000-000029720000}"/>
    <cellStyle name="Normal 5 15 5 3 3" xfId="26334" xr:uid="{00000000-0005-0000-0000-00002A720000}"/>
    <cellStyle name="Normal 5 15 5 3 4" xfId="49596" xr:uid="{00000000-0005-0000-0000-00002B720000}"/>
    <cellStyle name="Normal 5 15 5 4" xfId="16899" xr:uid="{00000000-0005-0000-0000-00002C720000}"/>
    <cellStyle name="Normal 5 15 5 4 2" xfId="31031" xr:uid="{00000000-0005-0000-0000-00002D720000}"/>
    <cellStyle name="Normal 5 15 5 4 3" xfId="44926" xr:uid="{00000000-0005-0000-0000-00002E720000}"/>
    <cellStyle name="Normal 5 15 5 5" xfId="21712" xr:uid="{00000000-0005-0000-0000-00002F720000}"/>
    <cellStyle name="Normal 5 15 5 6" xfId="40344" xr:uid="{00000000-0005-0000-0000-000030720000}"/>
    <cellStyle name="Normal 5 15 6" xfId="6359" xr:uid="{00000000-0005-0000-0000-000031720000}"/>
    <cellStyle name="Normal 5 15 6 2" xfId="6360" xr:uid="{00000000-0005-0000-0000-000032720000}"/>
    <cellStyle name="Normal 5 15 6 2 2" xfId="12171" xr:uid="{00000000-0005-0000-0000-000033720000}"/>
    <cellStyle name="Normal 5 15 6 2 2 2" xfId="35656" xr:uid="{00000000-0005-0000-0000-000034720000}"/>
    <cellStyle name="Normal 5 15 6 2 2 3" xfId="26337" xr:uid="{00000000-0005-0000-0000-000035720000}"/>
    <cellStyle name="Normal 5 15 6 2 2 4" xfId="49599" xr:uid="{00000000-0005-0000-0000-000036720000}"/>
    <cellStyle name="Normal 5 15 6 2 3" xfId="16902" xr:uid="{00000000-0005-0000-0000-000037720000}"/>
    <cellStyle name="Normal 5 15 6 2 3 2" xfId="31034" xr:uid="{00000000-0005-0000-0000-000038720000}"/>
    <cellStyle name="Normal 5 15 6 2 3 3" xfId="44929" xr:uid="{00000000-0005-0000-0000-000039720000}"/>
    <cellStyle name="Normal 5 15 6 2 4" xfId="21715" xr:uid="{00000000-0005-0000-0000-00003A720000}"/>
    <cellStyle name="Normal 5 15 6 2 5" xfId="40347" xr:uid="{00000000-0005-0000-0000-00003B720000}"/>
    <cellStyle name="Normal 5 15 6 3" xfId="12170" xr:uid="{00000000-0005-0000-0000-00003C720000}"/>
    <cellStyle name="Normal 5 15 6 3 2" xfId="35655" xr:uid="{00000000-0005-0000-0000-00003D720000}"/>
    <cellStyle name="Normal 5 15 6 3 3" xfId="26336" xr:uid="{00000000-0005-0000-0000-00003E720000}"/>
    <cellStyle name="Normal 5 15 6 3 4" xfId="49598" xr:uid="{00000000-0005-0000-0000-00003F720000}"/>
    <cellStyle name="Normal 5 15 6 4" xfId="16901" xr:uid="{00000000-0005-0000-0000-000040720000}"/>
    <cellStyle name="Normal 5 15 6 4 2" xfId="31033" xr:uid="{00000000-0005-0000-0000-000041720000}"/>
    <cellStyle name="Normal 5 15 6 4 3" xfId="44928" xr:uid="{00000000-0005-0000-0000-000042720000}"/>
    <cellStyle name="Normal 5 15 6 5" xfId="21714" xr:uid="{00000000-0005-0000-0000-000043720000}"/>
    <cellStyle name="Normal 5 15 6 6" xfId="40346" xr:uid="{00000000-0005-0000-0000-000044720000}"/>
    <cellStyle name="Normal 5 15 7" xfId="6361" xr:uid="{00000000-0005-0000-0000-000045720000}"/>
    <cellStyle name="Normal 5 15 7 2" xfId="12172" xr:uid="{00000000-0005-0000-0000-000046720000}"/>
    <cellStyle name="Normal 5 15 7 2 2" xfId="35657" xr:uid="{00000000-0005-0000-0000-000047720000}"/>
    <cellStyle name="Normal 5 15 7 2 3" xfId="26338" xr:uid="{00000000-0005-0000-0000-000048720000}"/>
    <cellStyle name="Normal 5 15 7 2 4" xfId="49600" xr:uid="{00000000-0005-0000-0000-000049720000}"/>
    <cellStyle name="Normal 5 15 7 3" xfId="16903" xr:uid="{00000000-0005-0000-0000-00004A720000}"/>
    <cellStyle name="Normal 5 15 7 3 2" xfId="31035" xr:uid="{00000000-0005-0000-0000-00004B720000}"/>
    <cellStyle name="Normal 5 15 7 3 3" xfId="44930" xr:uid="{00000000-0005-0000-0000-00004C720000}"/>
    <cellStyle name="Normal 5 15 7 4" xfId="21716" xr:uid="{00000000-0005-0000-0000-00004D720000}"/>
    <cellStyle name="Normal 5 15 7 5" xfId="40348" xr:uid="{00000000-0005-0000-0000-00004E720000}"/>
    <cellStyle name="Normal 5 15 8" xfId="12161" xr:uid="{00000000-0005-0000-0000-00004F720000}"/>
    <cellStyle name="Normal 5 15 8 2" xfId="35646" xr:uid="{00000000-0005-0000-0000-000050720000}"/>
    <cellStyle name="Normal 5 15 8 3" xfId="26327" xr:uid="{00000000-0005-0000-0000-000051720000}"/>
    <cellStyle name="Normal 5 15 8 4" xfId="49589" xr:uid="{00000000-0005-0000-0000-000052720000}"/>
    <cellStyle name="Normal 5 15 9" xfId="16892" xr:uid="{00000000-0005-0000-0000-000053720000}"/>
    <cellStyle name="Normal 5 15 9 2" xfId="31024" xr:uid="{00000000-0005-0000-0000-000054720000}"/>
    <cellStyle name="Normal 5 15 9 3" xfId="44919" xr:uid="{00000000-0005-0000-0000-000055720000}"/>
    <cellStyle name="Normal 5 16" xfId="6362" xr:uid="{00000000-0005-0000-0000-000056720000}"/>
    <cellStyle name="Normal 5 16 10" xfId="21717" xr:uid="{00000000-0005-0000-0000-000057720000}"/>
    <cellStyle name="Normal 5 16 11" xfId="40349" xr:uid="{00000000-0005-0000-0000-000058720000}"/>
    <cellStyle name="Normal 5 16 2" xfId="6363" xr:uid="{00000000-0005-0000-0000-000059720000}"/>
    <cellStyle name="Normal 5 16 2 2" xfId="6364" xr:uid="{00000000-0005-0000-0000-00005A720000}"/>
    <cellStyle name="Normal 5 16 2 2 2" xfId="12175" xr:uid="{00000000-0005-0000-0000-00005B720000}"/>
    <cellStyle name="Normal 5 16 2 2 2 2" xfId="35660" xr:uid="{00000000-0005-0000-0000-00005C720000}"/>
    <cellStyle name="Normal 5 16 2 2 2 3" xfId="26341" xr:uid="{00000000-0005-0000-0000-00005D720000}"/>
    <cellStyle name="Normal 5 16 2 2 2 4" xfId="49603" xr:uid="{00000000-0005-0000-0000-00005E720000}"/>
    <cellStyle name="Normal 5 16 2 2 3" xfId="16906" xr:uid="{00000000-0005-0000-0000-00005F720000}"/>
    <cellStyle name="Normal 5 16 2 2 3 2" xfId="31038" xr:uid="{00000000-0005-0000-0000-000060720000}"/>
    <cellStyle name="Normal 5 16 2 2 3 3" xfId="44933" xr:uid="{00000000-0005-0000-0000-000061720000}"/>
    <cellStyle name="Normal 5 16 2 2 4" xfId="21719" xr:uid="{00000000-0005-0000-0000-000062720000}"/>
    <cellStyle name="Normal 5 16 2 2 5" xfId="40351" xr:uid="{00000000-0005-0000-0000-000063720000}"/>
    <cellStyle name="Normal 5 16 2 3" xfId="12174" xr:uid="{00000000-0005-0000-0000-000064720000}"/>
    <cellStyle name="Normal 5 16 2 3 2" xfId="35659" xr:uid="{00000000-0005-0000-0000-000065720000}"/>
    <cellStyle name="Normal 5 16 2 3 3" xfId="26340" xr:uid="{00000000-0005-0000-0000-000066720000}"/>
    <cellStyle name="Normal 5 16 2 3 4" xfId="49602" xr:uid="{00000000-0005-0000-0000-000067720000}"/>
    <cellStyle name="Normal 5 16 2 4" xfId="16905" xr:uid="{00000000-0005-0000-0000-000068720000}"/>
    <cellStyle name="Normal 5 16 2 4 2" xfId="31037" xr:uid="{00000000-0005-0000-0000-000069720000}"/>
    <cellStyle name="Normal 5 16 2 4 3" xfId="44932" xr:uid="{00000000-0005-0000-0000-00006A720000}"/>
    <cellStyle name="Normal 5 16 2 5" xfId="21718" xr:uid="{00000000-0005-0000-0000-00006B720000}"/>
    <cellStyle name="Normal 5 16 2 6" xfId="40350" xr:uid="{00000000-0005-0000-0000-00006C720000}"/>
    <cellStyle name="Normal 5 16 3" xfId="6365" xr:uid="{00000000-0005-0000-0000-00006D720000}"/>
    <cellStyle name="Normal 5 16 3 2" xfId="6366" xr:uid="{00000000-0005-0000-0000-00006E720000}"/>
    <cellStyle name="Normal 5 16 3 2 2" xfId="12177" xr:uid="{00000000-0005-0000-0000-00006F720000}"/>
    <cellStyle name="Normal 5 16 3 2 2 2" xfId="35662" xr:uid="{00000000-0005-0000-0000-000070720000}"/>
    <cellStyle name="Normal 5 16 3 2 2 3" xfId="26343" xr:uid="{00000000-0005-0000-0000-000071720000}"/>
    <cellStyle name="Normal 5 16 3 2 2 4" xfId="49605" xr:uid="{00000000-0005-0000-0000-000072720000}"/>
    <cellStyle name="Normal 5 16 3 2 3" xfId="16908" xr:uid="{00000000-0005-0000-0000-000073720000}"/>
    <cellStyle name="Normal 5 16 3 2 3 2" xfId="31040" xr:uid="{00000000-0005-0000-0000-000074720000}"/>
    <cellStyle name="Normal 5 16 3 2 3 3" xfId="44935" xr:uid="{00000000-0005-0000-0000-000075720000}"/>
    <cellStyle name="Normal 5 16 3 2 4" xfId="21721" xr:uid="{00000000-0005-0000-0000-000076720000}"/>
    <cellStyle name="Normal 5 16 3 2 5" xfId="40353" xr:uid="{00000000-0005-0000-0000-000077720000}"/>
    <cellStyle name="Normal 5 16 3 3" xfId="12176" xr:uid="{00000000-0005-0000-0000-000078720000}"/>
    <cellStyle name="Normal 5 16 3 3 2" xfId="35661" xr:uid="{00000000-0005-0000-0000-000079720000}"/>
    <cellStyle name="Normal 5 16 3 3 3" xfId="26342" xr:uid="{00000000-0005-0000-0000-00007A720000}"/>
    <cellStyle name="Normal 5 16 3 3 4" xfId="49604" xr:uid="{00000000-0005-0000-0000-00007B720000}"/>
    <cellStyle name="Normal 5 16 3 4" xfId="16907" xr:uid="{00000000-0005-0000-0000-00007C720000}"/>
    <cellStyle name="Normal 5 16 3 4 2" xfId="31039" xr:uid="{00000000-0005-0000-0000-00007D720000}"/>
    <cellStyle name="Normal 5 16 3 4 3" xfId="44934" xr:uid="{00000000-0005-0000-0000-00007E720000}"/>
    <cellStyle name="Normal 5 16 3 5" xfId="21720" xr:uid="{00000000-0005-0000-0000-00007F720000}"/>
    <cellStyle name="Normal 5 16 3 6" xfId="40352" xr:uid="{00000000-0005-0000-0000-000080720000}"/>
    <cellStyle name="Normal 5 16 4" xfId="6367" xr:uid="{00000000-0005-0000-0000-000081720000}"/>
    <cellStyle name="Normal 5 16 4 2" xfId="6368" xr:uid="{00000000-0005-0000-0000-000082720000}"/>
    <cellStyle name="Normal 5 16 4 2 2" xfId="12179" xr:uid="{00000000-0005-0000-0000-000083720000}"/>
    <cellStyle name="Normal 5 16 4 2 2 2" xfId="35664" xr:uid="{00000000-0005-0000-0000-000084720000}"/>
    <cellStyle name="Normal 5 16 4 2 2 3" xfId="26345" xr:uid="{00000000-0005-0000-0000-000085720000}"/>
    <cellStyle name="Normal 5 16 4 2 2 4" xfId="49607" xr:uid="{00000000-0005-0000-0000-000086720000}"/>
    <cellStyle name="Normal 5 16 4 2 3" xfId="16910" xr:uid="{00000000-0005-0000-0000-000087720000}"/>
    <cellStyle name="Normal 5 16 4 2 3 2" xfId="31042" xr:uid="{00000000-0005-0000-0000-000088720000}"/>
    <cellStyle name="Normal 5 16 4 2 3 3" xfId="44937" xr:uid="{00000000-0005-0000-0000-000089720000}"/>
    <cellStyle name="Normal 5 16 4 2 4" xfId="21723" xr:uid="{00000000-0005-0000-0000-00008A720000}"/>
    <cellStyle name="Normal 5 16 4 2 5" xfId="40355" xr:uid="{00000000-0005-0000-0000-00008B720000}"/>
    <cellStyle name="Normal 5 16 4 3" xfId="12178" xr:uid="{00000000-0005-0000-0000-00008C720000}"/>
    <cellStyle name="Normal 5 16 4 3 2" xfId="35663" xr:uid="{00000000-0005-0000-0000-00008D720000}"/>
    <cellStyle name="Normal 5 16 4 3 3" xfId="26344" xr:uid="{00000000-0005-0000-0000-00008E720000}"/>
    <cellStyle name="Normal 5 16 4 3 4" xfId="49606" xr:uid="{00000000-0005-0000-0000-00008F720000}"/>
    <cellStyle name="Normal 5 16 4 4" xfId="16909" xr:uid="{00000000-0005-0000-0000-000090720000}"/>
    <cellStyle name="Normal 5 16 4 4 2" xfId="31041" xr:uid="{00000000-0005-0000-0000-000091720000}"/>
    <cellStyle name="Normal 5 16 4 4 3" xfId="44936" xr:uid="{00000000-0005-0000-0000-000092720000}"/>
    <cellStyle name="Normal 5 16 4 5" xfId="21722" xr:uid="{00000000-0005-0000-0000-000093720000}"/>
    <cellStyle name="Normal 5 16 4 6" xfId="40354" xr:uid="{00000000-0005-0000-0000-000094720000}"/>
    <cellStyle name="Normal 5 16 5" xfId="6369" xr:uid="{00000000-0005-0000-0000-000095720000}"/>
    <cellStyle name="Normal 5 16 5 2" xfId="6370" xr:uid="{00000000-0005-0000-0000-000096720000}"/>
    <cellStyle name="Normal 5 16 5 2 2" xfId="12181" xr:uid="{00000000-0005-0000-0000-000097720000}"/>
    <cellStyle name="Normal 5 16 5 2 2 2" xfId="35666" xr:uid="{00000000-0005-0000-0000-000098720000}"/>
    <cellStyle name="Normal 5 16 5 2 2 3" xfId="26347" xr:uid="{00000000-0005-0000-0000-000099720000}"/>
    <cellStyle name="Normal 5 16 5 2 2 4" xfId="49609" xr:uid="{00000000-0005-0000-0000-00009A720000}"/>
    <cellStyle name="Normal 5 16 5 2 3" xfId="16912" xr:uid="{00000000-0005-0000-0000-00009B720000}"/>
    <cellStyle name="Normal 5 16 5 2 3 2" xfId="31044" xr:uid="{00000000-0005-0000-0000-00009C720000}"/>
    <cellStyle name="Normal 5 16 5 2 3 3" xfId="44939" xr:uid="{00000000-0005-0000-0000-00009D720000}"/>
    <cellStyle name="Normal 5 16 5 2 4" xfId="21725" xr:uid="{00000000-0005-0000-0000-00009E720000}"/>
    <cellStyle name="Normal 5 16 5 2 5" xfId="40357" xr:uid="{00000000-0005-0000-0000-00009F720000}"/>
    <cellStyle name="Normal 5 16 5 3" xfId="12180" xr:uid="{00000000-0005-0000-0000-0000A0720000}"/>
    <cellStyle name="Normal 5 16 5 3 2" xfId="35665" xr:uid="{00000000-0005-0000-0000-0000A1720000}"/>
    <cellStyle name="Normal 5 16 5 3 3" xfId="26346" xr:uid="{00000000-0005-0000-0000-0000A2720000}"/>
    <cellStyle name="Normal 5 16 5 3 4" xfId="49608" xr:uid="{00000000-0005-0000-0000-0000A3720000}"/>
    <cellStyle name="Normal 5 16 5 4" xfId="16911" xr:uid="{00000000-0005-0000-0000-0000A4720000}"/>
    <cellStyle name="Normal 5 16 5 4 2" xfId="31043" xr:uid="{00000000-0005-0000-0000-0000A5720000}"/>
    <cellStyle name="Normal 5 16 5 4 3" xfId="44938" xr:uid="{00000000-0005-0000-0000-0000A6720000}"/>
    <cellStyle name="Normal 5 16 5 5" xfId="21724" xr:uid="{00000000-0005-0000-0000-0000A7720000}"/>
    <cellStyle name="Normal 5 16 5 6" xfId="40356" xr:uid="{00000000-0005-0000-0000-0000A8720000}"/>
    <cellStyle name="Normal 5 16 6" xfId="6371" xr:uid="{00000000-0005-0000-0000-0000A9720000}"/>
    <cellStyle name="Normal 5 16 6 2" xfId="6372" xr:uid="{00000000-0005-0000-0000-0000AA720000}"/>
    <cellStyle name="Normal 5 16 6 2 2" xfId="12183" xr:uid="{00000000-0005-0000-0000-0000AB720000}"/>
    <cellStyle name="Normal 5 16 6 2 2 2" xfId="35668" xr:uid="{00000000-0005-0000-0000-0000AC720000}"/>
    <cellStyle name="Normal 5 16 6 2 2 3" xfId="26349" xr:uid="{00000000-0005-0000-0000-0000AD720000}"/>
    <cellStyle name="Normal 5 16 6 2 2 4" xfId="49611" xr:uid="{00000000-0005-0000-0000-0000AE720000}"/>
    <cellStyle name="Normal 5 16 6 2 3" xfId="16914" xr:uid="{00000000-0005-0000-0000-0000AF720000}"/>
    <cellStyle name="Normal 5 16 6 2 3 2" xfId="31046" xr:uid="{00000000-0005-0000-0000-0000B0720000}"/>
    <cellStyle name="Normal 5 16 6 2 3 3" xfId="44941" xr:uid="{00000000-0005-0000-0000-0000B1720000}"/>
    <cellStyle name="Normal 5 16 6 2 4" xfId="21727" xr:uid="{00000000-0005-0000-0000-0000B2720000}"/>
    <cellStyle name="Normal 5 16 6 2 5" xfId="40359" xr:uid="{00000000-0005-0000-0000-0000B3720000}"/>
    <cellStyle name="Normal 5 16 6 3" xfId="12182" xr:uid="{00000000-0005-0000-0000-0000B4720000}"/>
    <cellStyle name="Normal 5 16 6 3 2" xfId="35667" xr:uid="{00000000-0005-0000-0000-0000B5720000}"/>
    <cellStyle name="Normal 5 16 6 3 3" xfId="26348" xr:uid="{00000000-0005-0000-0000-0000B6720000}"/>
    <cellStyle name="Normal 5 16 6 3 4" xfId="49610" xr:uid="{00000000-0005-0000-0000-0000B7720000}"/>
    <cellStyle name="Normal 5 16 6 4" xfId="16913" xr:uid="{00000000-0005-0000-0000-0000B8720000}"/>
    <cellStyle name="Normal 5 16 6 4 2" xfId="31045" xr:uid="{00000000-0005-0000-0000-0000B9720000}"/>
    <cellStyle name="Normal 5 16 6 4 3" xfId="44940" xr:uid="{00000000-0005-0000-0000-0000BA720000}"/>
    <cellStyle name="Normal 5 16 6 5" xfId="21726" xr:uid="{00000000-0005-0000-0000-0000BB720000}"/>
    <cellStyle name="Normal 5 16 6 6" xfId="40358" xr:uid="{00000000-0005-0000-0000-0000BC720000}"/>
    <cellStyle name="Normal 5 16 7" xfId="6373" xr:uid="{00000000-0005-0000-0000-0000BD720000}"/>
    <cellStyle name="Normal 5 16 7 2" xfId="12184" xr:uid="{00000000-0005-0000-0000-0000BE720000}"/>
    <cellStyle name="Normal 5 16 7 2 2" xfId="35669" xr:uid="{00000000-0005-0000-0000-0000BF720000}"/>
    <cellStyle name="Normal 5 16 7 2 3" xfId="26350" xr:uid="{00000000-0005-0000-0000-0000C0720000}"/>
    <cellStyle name="Normal 5 16 7 2 4" xfId="49612" xr:uid="{00000000-0005-0000-0000-0000C1720000}"/>
    <cellStyle name="Normal 5 16 7 3" xfId="16915" xr:uid="{00000000-0005-0000-0000-0000C2720000}"/>
    <cellStyle name="Normal 5 16 7 3 2" xfId="31047" xr:uid="{00000000-0005-0000-0000-0000C3720000}"/>
    <cellStyle name="Normal 5 16 7 3 3" xfId="44942" xr:uid="{00000000-0005-0000-0000-0000C4720000}"/>
    <cellStyle name="Normal 5 16 7 4" xfId="21728" xr:uid="{00000000-0005-0000-0000-0000C5720000}"/>
    <cellStyle name="Normal 5 16 7 5" xfId="40360" xr:uid="{00000000-0005-0000-0000-0000C6720000}"/>
    <cellStyle name="Normal 5 16 8" xfId="12173" xr:uid="{00000000-0005-0000-0000-0000C7720000}"/>
    <cellStyle name="Normal 5 16 8 2" xfId="35658" xr:uid="{00000000-0005-0000-0000-0000C8720000}"/>
    <cellStyle name="Normal 5 16 8 3" xfId="26339" xr:uid="{00000000-0005-0000-0000-0000C9720000}"/>
    <cellStyle name="Normal 5 16 8 4" xfId="49601" xr:uid="{00000000-0005-0000-0000-0000CA720000}"/>
    <cellStyle name="Normal 5 16 9" xfId="16904" xr:uid="{00000000-0005-0000-0000-0000CB720000}"/>
    <cellStyle name="Normal 5 16 9 2" xfId="31036" xr:uid="{00000000-0005-0000-0000-0000CC720000}"/>
    <cellStyle name="Normal 5 16 9 3" xfId="44931" xr:uid="{00000000-0005-0000-0000-0000CD720000}"/>
    <cellStyle name="Normal 5 17" xfId="6374" xr:uid="{00000000-0005-0000-0000-0000CE720000}"/>
    <cellStyle name="Normal 5 17 10" xfId="21729" xr:uid="{00000000-0005-0000-0000-0000CF720000}"/>
    <cellStyle name="Normal 5 17 11" xfId="40361" xr:uid="{00000000-0005-0000-0000-0000D0720000}"/>
    <cellStyle name="Normal 5 17 2" xfId="6375" xr:uid="{00000000-0005-0000-0000-0000D1720000}"/>
    <cellStyle name="Normal 5 17 2 2" xfId="6376" xr:uid="{00000000-0005-0000-0000-0000D2720000}"/>
    <cellStyle name="Normal 5 17 2 2 2" xfId="12187" xr:uid="{00000000-0005-0000-0000-0000D3720000}"/>
    <cellStyle name="Normal 5 17 2 2 2 2" xfId="35672" xr:uid="{00000000-0005-0000-0000-0000D4720000}"/>
    <cellStyle name="Normal 5 17 2 2 2 3" xfId="26353" xr:uid="{00000000-0005-0000-0000-0000D5720000}"/>
    <cellStyle name="Normal 5 17 2 2 2 4" xfId="49615" xr:uid="{00000000-0005-0000-0000-0000D6720000}"/>
    <cellStyle name="Normal 5 17 2 2 3" xfId="16918" xr:uid="{00000000-0005-0000-0000-0000D7720000}"/>
    <cellStyle name="Normal 5 17 2 2 3 2" xfId="31050" xr:uid="{00000000-0005-0000-0000-0000D8720000}"/>
    <cellStyle name="Normal 5 17 2 2 3 3" xfId="44945" xr:uid="{00000000-0005-0000-0000-0000D9720000}"/>
    <cellStyle name="Normal 5 17 2 2 4" xfId="21731" xr:uid="{00000000-0005-0000-0000-0000DA720000}"/>
    <cellStyle name="Normal 5 17 2 2 5" xfId="40363" xr:uid="{00000000-0005-0000-0000-0000DB720000}"/>
    <cellStyle name="Normal 5 17 2 3" xfId="12186" xr:uid="{00000000-0005-0000-0000-0000DC720000}"/>
    <cellStyle name="Normal 5 17 2 3 2" xfId="35671" xr:uid="{00000000-0005-0000-0000-0000DD720000}"/>
    <cellStyle name="Normal 5 17 2 3 3" xfId="26352" xr:uid="{00000000-0005-0000-0000-0000DE720000}"/>
    <cellStyle name="Normal 5 17 2 3 4" xfId="49614" xr:uid="{00000000-0005-0000-0000-0000DF720000}"/>
    <cellStyle name="Normal 5 17 2 4" xfId="16917" xr:uid="{00000000-0005-0000-0000-0000E0720000}"/>
    <cellStyle name="Normal 5 17 2 4 2" xfId="31049" xr:uid="{00000000-0005-0000-0000-0000E1720000}"/>
    <cellStyle name="Normal 5 17 2 4 3" xfId="44944" xr:uid="{00000000-0005-0000-0000-0000E2720000}"/>
    <cellStyle name="Normal 5 17 2 5" xfId="21730" xr:uid="{00000000-0005-0000-0000-0000E3720000}"/>
    <cellStyle name="Normal 5 17 2 6" xfId="40362" xr:uid="{00000000-0005-0000-0000-0000E4720000}"/>
    <cellStyle name="Normal 5 17 3" xfId="6377" xr:uid="{00000000-0005-0000-0000-0000E5720000}"/>
    <cellStyle name="Normal 5 17 3 2" xfId="6378" xr:uid="{00000000-0005-0000-0000-0000E6720000}"/>
    <cellStyle name="Normal 5 17 3 2 2" xfId="12189" xr:uid="{00000000-0005-0000-0000-0000E7720000}"/>
    <cellStyle name="Normal 5 17 3 2 2 2" xfId="35674" xr:uid="{00000000-0005-0000-0000-0000E8720000}"/>
    <cellStyle name="Normal 5 17 3 2 2 3" xfId="26355" xr:uid="{00000000-0005-0000-0000-0000E9720000}"/>
    <cellStyle name="Normal 5 17 3 2 2 4" xfId="49617" xr:uid="{00000000-0005-0000-0000-0000EA720000}"/>
    <cellStyle name="Normal 5 17 3 2 3" xfId="16920" xr:uid="{00000000-0005-0000-0000-0000EB720000}"/>
    <cellStyle name="Normal 5 17 3 2 3 2" xfId="31052" xr:uid="{00000000-0005-0000-0000-0000EC720000}"/>
    <cellStyle name="Normal 5 17 3 2 3 3" xfId="44947" xr:uid="{00000000-0005-0000-0000-0000ED720000}"/>
    <cellStyle name="Normal 5 17 3 2 4" xfId="21733" xr:uid="{00000000-0005-0000-0000-0000EE720000}"/>
    <cellStyle name="Normal 5 17 3 2 5" xfId="40365" xr:uid="{00000000-0005-0000-0000-0000EF720000}"/>
    <cellStyle name="Normal 5 17 3 3" xfId="12188" xr:uid="{00000000-0005-0000-0000-0000F0720000}"/>
    <cellStyle name="Normal 5 17 3 3 2" xfId="35673" xr:uid="{00000000-0005-0000-0000-0000F1720000}"/>
    <cellStyle name="Normal 5 17 3 3 3" xfId="26354" xr:uid="{00000000-0005-0000-0000-0000F2720000}"/>
    <cellStyle name="Normal 5 17 3 3 4" xfId="49616" xr:uid="{00000000-0005-0000-0000-0000F3720000}"/>
    <cellStyle name="Normal 5 17 3 4" xfId="16919" xr:uid="{00000000-0005-0000-0000-0000F4720000}"/>
    <cellStyle name="Normal 5 17 3 4 2" xfId="31051" xr:uid="{00000000-0005-0000-0000-0000F5720000}"/>
    <cellStyle name="Normal 5 17 3 4 3" xfId="44946" xr:uid="{00000000-0005-0000-0000-0000F6720000}"/>
    <cellStyle name="Normal 5 17 3 5" xfId="21732" xr:uid="{00000000-0005-0000-0000-0000F7720000}"/>
    <cellStyle name="Normal 5 17 3 6" xfId="40364" xr:uid="{00000000-0005-0000-0000-0000F8720000}"/>
    <cellStyle name="Normal 5 17 4" xfId="6379" xr:uid="{00000000-0005-0000-0000-0000F9720000}"/>
    <cellStyle name="Normal 5 17 4 2" xfId="6380" xr:uid="{00000000-0005-0000-0000-0000FA720000}"/>
    <cellStyle name="Normal 5 17 4 2 2" xfId="12191" xr:uid="{00000000-0005-0000-0000-0000FB720000}"/>
    <cellStyle name="Normal 5 17 4 2 2 2" xfId="35676" xr:uid="{00000000-0005-0000-0000-0000FC720000}"/>
    <cellStyle name="Normal 5 17 4 2 2 3" xfId="26357" xr:uid="{00000000-0005-0000-0000-0000FD720000}"/>
    <cellStyle name="Normal 5 17 4 2 2 4" xfId="49619" xr:uid="{00000000-0005-0000-0000-0000FE720000}"/>
    <cellStyle name="Normal 5 17 4 2 3" xfId="16922" xr:uid="{00000000-0005-0000-0000-0000FF720000}"/>
    <cellStyle name="Normal 5 17 4 2 3 2" xfId="31054" xr:uid="{00000000-0005-0000-0000-000000730000}"/>
    <cellStyle name="Normal 5 17 4 2 3 3" xfId="44949" xr:uid="{00000000-0005-0000-0000-000001730000}"/>
    <cellStyle name="Normal 5 17 4 2 4" xfId="21735" xr:uid="{00000000-0005-0000-0000-000002730000}"/>
    <cellStyle name="Normal 5 17 4 2 5" xfId="40367" xr:uid="{00000000-0005-0000-0000-000003730000}"/>
    <cellStyle name="Normal 5 17 4 3" xfId="12190" xr:uid="{00000000-0005-0000-0000-000004730000}"/>
    <cellStyle name="Normal 5 17 4 3 2" xfId="35675" xr:uid="{00000000-0005-0000-0000-000005730000}"/>
    <cellStyle name="Normal 5 17 4 3 3" xfId="26356" xr:uid="{00000000-0005-0000-0000-000006730000}"/>
    <cellStyle name="Normal 5 17 4 3 4" xfId="49618" xr:uid="{00000000-0005-0000-0000-000007730000}"/>
    <cellStyle name="Normal 5 17 4 4" xfId="16921" xr:uid="{00000000-0005-0000-0000-000008730000}"/>
    <cellStyle name="Normal 5 17 4 4 2" xfId="31053" xr:uid="{00000000-0005-0000-0000-000009730000}"/>
    <cellStyle name="Normal 5 17 4 4 3" xfId="44948" xr:uid="{00000000-0005-0000-0000-00000A730000}"/>
    <cellStyle name="Normal 5 17 4 5" xfId="21734" xr:uid="{00000000-0005-0000-0000-00000B730000}"/>
    <cellStyle name="Normal 5 17 4 6" xfId="40366" xr:uid="{00000000-0005-0000-0000-00000C730000}"/>
    <cellStyle name="Normal 5 17 5" xfId="6381" xr:uid="{00000000-0005-0000-0000-00000D730000}"/>
    <cellStyle name="Normal 5 17 5 2" xfId="6382" xr:uid="{00000000-0005-0000-0000-00000E730000}"/>
    <cellStyle name="Normal 5 17 5 2 2" xfId="12193" xr:uid="{00000000-0005-0000-0000-00000F730000}"/>
    <cellStyle name="Normal 5 17 5 2 2 2" xfId="35678" xr:uid="{00000000-0005-0000-0000-000010730000}"/>
    <cellStyle name="Normal 5 17 5 2 2 3" xfId="26359" xr:uid="{00000000-0005-0000-0000-000011730000}"/>
    <cellStyle name="Normal 5 17 5 2 2 4" xfId="49621" xr:uid="{00000000-0005-0000-0000-000012730000}"/>
    <cellStyle name="Normal 5 17 5 2 3" xfId="16924" xr:uid="{00000000-0005-0000-0000-000013730000}"/>
    <cellStyle name="Normal 5 17 5 2 3 2" xfId="31056" xr:uid="{00000000-0005-0000-0000-000014730000}"/>
    <cellStyle name="Normal 5 17 5 2 3 3" xfId="44951" xr:uid="{00000000-0005-0000-0000-000015730000}"/>
    <cellStyle name="Normal 5 17 5 2 4" xfId="21737" xr:uid="{00000000-0005-0000-0000-000016730000}"/>
    <cellStyle name="Normal 5 17 5 2 5" xfId="40369" xr:uid="{00000000-0005-0000-0000-000017730000}"/>
    <cellStyle name="Normal 5 17 5 3" xfId="12192" xr:uid="{00000000-0005-0000-0000-000018730000}"/>
    <cellStyle name="Normal 5 17 5 3 2" xfId="35677" xr:uid="{00000000-0005-0000-0000-000019730000}"/>
    <cellStyle name="Normal 5 17 5 3 3" xfId="26358" xr:uid="{00000000-0005-0000-0000-00001A730000}"/>
    <cellStyle name="Normal 5 17 5 3 4" xfId="49620" xr:uid="{00000000-0005-0000-0000-00001B730000}"/>
    <cellStyle name="Normal 5 17 5 4" xfId="16923" xr:uid="{00000000-0005-0000-0000-00001C730000}"/>
    <cellStyle name="Normal 5 17 5 4 2" xfId="31055" xr:uid="{00000000-0005-0000-0000-00001D730000}"/>
    <cellStyle name="Normal 5 17 5 4 3" xfId="44950" xr:uid="{00000000-0005-0000-0000-00001E730000}"/>
    <cellStyle name="Normal 5 17 5 5" xfId="21736" xr:uid="{00000000-0005-0000-0000-00001F730000}"/>
    <cellStyle name="Normal 5 17 5 6" xfId="40368" xr:uid="{00000000-0005-0000-0000-000020730000}"/>
    <cellStyle name="Normal 5 17 6" xfId="6383" xr:uid="{00000000-0005-0000-0000-000021730000}"/>
    <cellStyle name="Normal 5 17 6 2" xfId="6384" xr:uid="{00000000-0005-0000-0000-000022730000}"/>
    <cellStyle name="Normal 5 17 6 2 2" xfId="12195" xr:uid="{00000000-0005-0000-0000-000023730000}"/>
    <cellStyle name="Normal 5 17 6 2 2 2" xfId="35680" xr:uid="{00000000-0005-0000-0000-000024730000}"/>
    <cellStyle name="Normal 5 17 6 2 2 3" xfId="26361" xr:uid="{00000000-0005-0000-0000-000025730000}"/>
    <cellStyle name="Normal 5 17 6 2 2 4" xfId="49623" xr:uid="{00000000-0005-0000-0000-000026730000}"/>
    <cellStyle name="Normal 5 17 6 2 3" xfId="16926" xr:uid="{00000000-0005-0000-0000-000027730000}"/>
    <cellStyle name="Normal 5 17 6 2 3 2" xfId="31058" xr:uid="{00000000-0005-0000-0000-000028730000}"/>
    <cellStyle name="Normal 5 17 6 2 3 3" xfId="44953" xr:uid="{00000000-0005-0000-0000-000029730000}"/>
    <cellStyle name="Normal 5 17 6 2 4" xfId="21739" xr:uid="{00000000-0005-0000-0000-00002A730000}"/>
    <cellStyle name="Normal 5 17 6 2 5" xfId="40371" xr:uid="{00000000-0005-0000-0000-00002B730000}"/>
    <cellStyle name="Normal 5 17 6 3" xfId="12194" xr:uid="{00000000-0005-0000-0000-00002C730000}"/>
    <cellStyle name="Normal 5 17 6 3 2" xfId="35679" xr:uid="{00000000-0005-0000-0000-00002D730000}"/>
    <cellStyle name="Normal 5 17 6 3 3" xfId="26360" xr:uid="{00000000-0005-0000-0000-00002E730000}"/>
    <cellStyle name="Normal 5 17 6 3 4" xfId="49622" xr:uid="{00000000-0005-0000-0000-00002F730000}"/>
    <cellStyle name="Normal 5 17 6 4" xfId="16925" xr:uid="{00000000-0005-0000-0000-000030730000}"/>
    <cellStyle name="Normal 5 17 6 4 2" xfId="31057" xr:uid="{00000000-0005-0000-0000-000031730000}"/>
    <cellStyle name="Normal 5 17 6 4 3" xfId="44952" xr:uid="{00000000-0005-0000-0000-000032730000}"/>
    <cellStyle name="Normal 5 17 6 5" xfId="21738" xr:uid="{00000000-0005-0000-0000-000033730000}"/>
    <cellStyle name="Normal 5 17 6 6" xfId="40370" xr:uid="{00000000-0005-0000-0000-000034730000}"/>
    <cellStyle name="Normal 5 17 7" xfId="6385" xr:uid="{00000000-0005-0000-0000-000035730000}"/>
    <cellStyle name="Normal 5 17 7 2" xfId="12196" xr:uid="{00000000-0005-0000-0000-000036730000}"/>
    <cellStyle name="Normal 5 17 7 2 2" xfId="35681" xr:uid="{00000000-0005-0000-0000-000037730000}"/>
    <cellStyle name="Normal 5 17 7 2 3" xfId="26362" xr:uid="{00000000-0005-0000-0000-000038730000}"/>
    <cellStyle name="Normal 5 17 7 2 4" xfId="49624" xr:uid="{00000000-0005-0000-0000-000039730000}"/>
    <cellStyle name="Normal 5 17 7 3" xfId="16927" xr:uid="{00000000-0005-0000-0000-00003A730000}"/>
    <cellStyle name="Normal 5 17 7 3 2" xfId="31059" xr:uid="{00000000-0005-0000-0000-00003B730000}"/>
    <cellStyle name="Normal 5 17 7 3 3" xfId="44954" xr:uid="{00000000-0005-0000-0000-00003C730000}"/>
    <cellStyle name="Normal 5 17 7 4" xfId="21740" xr:uid="{00000000-0005-0000-0000-00003D730000}"/>
    <cellStyle name="Normal 5 17 7 5" xfId="40372" xr:uid="{00000000-0005-0000-0000-00003E730000}"/>
    <cellStyle name="Normal 5 17 8" xfId="12185" xr:uid="{00000000-0005-0000-0000-00003F730000}"/>
    <cellStyle name="Normal 5 17 8 2" xfId="35670" xr:uid="{00000000-0005-0000-0000-000040730000}"/>
    <cellStyle name="Normal 5 17 8 3" xfId="26351" xr:uid="{00000000-0005-0000-0000-000041730000}"/>
    <cellStyle name="Normal 5 17 8 4" xfId="49613" xr:uid="{00000000-0005-0000-0000-000042730000}"/>
    <cellStyle name="Normal 5 17 9" xfId="16916" xr:uid="{00000000-0005-0000-0000-000043730000}"/>
    <cellStyle name="Normal 5 17 9 2" xfId="31048" xr:uid="{00000000-0005-0000-0000-000044730000}"/>
    <cellStyle name="Normal 5 17 9 3" xfId="44943" xr:uid="{00000000-0005-0000-0000-000045730000}"/>
    <cellStyle name="Normal 5 18" xfId="6386" xr:uid="{00000000-0005-0000-0000-000046730000}"/>
    <cellStyle name="Normal 5 18 10" xfId="21741" xr:uid="{00000000-0005-0000-0000-000047730000}"/>
    <cellStyle name="Normal 5 18 11" xfId="40373" xr:uid="{00000000-0005-0000-0000-000048730000}"/>
    <cellStyle name="Normal 5 18 2" xfId="6387" xr:uid="{00000000-0005-0000-0000-000049730000}"/>
    <cellStyle name="Normal 5 18 2 2" xfId="6388" xr:uid="{00000000-0005-0000-0000-00004A730000}"/>
    <cellStyle name="Normal 5 18 2 2 2" xfId="12199" xr:uid="{00000000-0005-0000-0000-00004B730000}"/>
    <cellStyle name="Normal 5 18 2 2 2 2" xfId="35684" xr:uid="{00000000-0005-0000-0000-00004C730000}"/>
    <cellStyle name="Normal 5 18 2 2 2 3" xfId="26365" xr:uid="{00000000-0005-0000-0000-00004D730000}"/>
    <cellStyle name="Normal 5 18 2 2 2 4" xfId="49627" xr:uid="{00000000-0005-0000-0000-00004E730000}"/>
    <cellStyle name="Normal 5 18 2 2 3" xfId="16930" xr:uid="{00000000-0005-0000-0000-00004F730000}"/>
    <cellStyle name="Normal 5 18 2 2 3 2" xfId="31062" xr:uid="{00000000-0005-0000-0000-000050730000}"/>
    <cellStyle name="Normal 5 18 2 2 3 3" xfId="44957" xr:uid="{00000000-0005-0000-0000-000051730000}"/>
    <cellStyle name="Normal 5 18 2 2 4" xfId="21743" xr:uid="{00000000-0005-0000-0000-000052730000}"/>
    <cellStyle name="Normal 5 18 2 2 5" xfId="40375" xr:uid="{00000000-0005-0000-0000-000053730000}"/>
    <cellStyle name="Normal 5 18 2 3" xfId="12198" xr:uid="{00000000-0005-0000-0000-000054730000}"/>
    <cellStyle name="Normal 5 18 2 3 2" xfId="35683" xr:uid="{00000000-0005-0000-0000-000055730000}"/>
    <cellStyle name="Normal 5 18 2 3 3" xfId="26364" xr:uid="{00000000-0005-0000-0000-000056730000}"/>
    <cellStyle name="Normal 5 18 2 3 4" xfId="49626" xr:uid="{00000000-0005-0000-0000-000057730000}"/>
    <cellStyle name="Normal 5 18 2 4" xfId="16929" xr:uid="{00000000-0005-0000-0000-000058730000}"/>
    <cellStyle name="Normal 5 18 2 4 2" xfId="31061" xr:uid="{00000000-0005-0000-0000-000059730000}"/>
    <cellStyle name="Normal 5 18 2 4 3" xfId="44956" xr:uid="{00000000-0005-0000-0000-00005A730000}"/>
    <cellStyle name="Normal 5 18 2 5" xfId="21742" xr:uid="{00000000-0005-0000-0000-00005B730000}"/>
    <cellStyle name="Normal 5 18 2 6" xfId="40374" xr:uid="{00000000-0005-0000-0000-00005C730000}"/>
    <cellStyle name="Normal 5 18 3" xfId="6389" xr:uid="{00000000-0005-0000-0000-00005D730000}"/>
    <cellStyle name="Normal 5 18 3 2" xfId="6390" xr:uid="{00000000-0005-0000-0000-00005E730000}"/>
    <cellStyle name="Normal 5 18 3 2 2" xfId="12201" xr:uid="{00000000-0005-0000-0000-00005F730000}"/>
    <cellStyle name="Normal 5 18 3 2 2 2" xfId="35686" xr:uid="{00000000-0005-0000-0000-000060730000}"/>
    <cellStyle name="Normal 5 18 3 2 2 3" xfId="26367" xr:uid="{00000000-0005-0000-0000-000061730000}"/>
    <cellStyle name="Normal 5 18 3 2 2 4" xfId="49629" xr:uid="{00000000-0005-0000-0000-000062730000}"/>
    <cellStyle name="Normal 5 18 3 2 3" xfId="16932" xr:uid="{00000000-0005-0000-0000-000063730000}"/>
    <cellStyle name="Normal 5 18 3 2 3 2" xfId="31064" xr:uid="{00000000-0005-0000-0000-000064730000}"/>
    <cellStyle name="Normal 5 18 3 2 3 3" xfId="44959" xr:uid="{00000000-0005-0000-0000-000065730000}"/>
    <cellStyle name="Normal 5 18 3 2 4" xfId="21745" xr:uid="{00000000-0005-0000-0000-000066730000}"/>
    <cellStyle name="Normal 5 18 3 2 5" xfId="40377" xr:uid="{00000000-0005-0000-0000-000067730000}"/>
    <cellStyle name="Normal 5 18 3 3" xfId="12200" xr:uid="{00000000-0005-0000-0000-000068730000}"/>
    <cellStyle name="Normal 5 18 3 3 2" xfId="35685" xr:uid="{00000000-0005-0000-0000-000069730000}"/>
    <cellStyle name="Normal 5 18 3 3 3" xfId="26366" xr:uid="{00000000-0005-0000-0000-00006A730000}"/>
    <cellStyle name="Normal 5 18 3 3 4" xfId="49628" xr:uid="{00000000-0005-0000-0000-00006B730000}"/>
    <cellStyle name="Normal 5 18 3 4" xfId="16931" xr:uid="{00000000-0005-0000-0000-00006C730000}"/>
    <cellStyle name="Normal 5 18 3 4 2" xfId="31063" xr:uid="{00000000-0005-0000-0000-00006D730000}"/>
    <cellStyle name="Normal 5 18 3 4 3" xfId="44958" xr:uid="{00000000-0005-0000-0000-00006E730000}"/>
    <cellStyle name="Normal 5 18 3 5" xfId="21744" xr:uid="{00000000-0005-0000-0000-00006F730000}"/>
    <cellStyle name="Normal 5 18 3 6" xfId="40376" xr:uid="{00000000-0005-0000-0000-000070730000}"/>
    <cellStyle name="Normal 5 18 4" xfId="6391" xr:uid="{00000000-0005-0000-0000-000071730000}"/>
    <cellStyle name="Normal 5 18 4 2" xfId="6392" xr:uid="{00000000-0005-0000-0000-000072730000}"/>
    <cellStyle name="Normal 5 18 4 2 2" xfId="12203" xr:uid="{00000000-0005-0000-0000-000073730000}"/>
    <cellStyle name="Normal 5 18 4 2 2 2" xfId="35688" xr:uid="{00000000-0005-0000-0000-000074730000}"/>
    <cellStyle name="Normal 5 18 4 2 2 3" xfId="26369" xr:uid="{00000000-0005-0000-0000-000075730000}"/>
    <cellStyle name="Normal 5 18 4 2 2 4" xfId="49631" xr:uid="{00000000-0005-0000-0000-000076730000}"/>
    <cellStyle name="Normal 5 18 4 2 3" xfId="16934" xr:uid="{00000000-0005-0000-0000-000077730000}"/>
    <cellStyle name="Normal 5 18 4 2 3 2" xfId="31066" xr:uid="{00000000-0005-0000-0000-000078730000}"/>
    <cellStyle name="Normal 5 18 4 2 3 3" xfId="44961" xr:uid="{00000000-0005-0000-0000-000079730000}"/>
    <cellStyle name="Normal 5 18 4 2 4" xfId="21747" xr:uid="{00000000-0005-0000-0000-00007A730000}"/>
    <cellStyle name="Normal 5 18 4 2 5" xfId="40379" xr:uid="{00000000-0005-0000-0000-00007B730000}"/>
    <cellStyle name="Normal 5 18 4 3" xfId="12202" xr:uid="{00000000-0005-0000-0000-00007C730000}"/>
    <cellStyle name="Normal 5 18 4 3 2" xfId="35687" xr:uid="{00000000-0005-0000-0000-00007D730000}"/>
    <cellStyle name="Normal 5 18 4 3 3" xfId="26368" xr:uid="{00000000-0005-0000-0000-00007E730000}"/>
    <cellStyle name="Normal 5 18 4 3 4" xfId="49630" xr:uid="{00000000-0005-0000-0000-00007F730000}"/>
    <cellStyle name="Normal 5 18 4 4" xfId="16933" xr:uid="{00000000-0005-0000-0000-000080730000}"/>
    <cellStyle name="Normal 5 18 4 4 2" xfId="31065" xr:uid="{00000000-0005-0000-0000-000081730000}"/>
    <cellStyle name="Normal 5 18 4 4 3" xfId="44960" xr:uid="{00000000-0005-0000-0000-000082730000}"/>
    <cellStyle name="Normal 5 18 4 5" xfId="21746" xr:uid="{00000000-0005-0000-0000-000083730000}"/>
    <cellStyle name="Normal 5 18 4 6" xfId="40378" xr:uid="{00000000-0005-0000-0000-000084730000}"/>
    <cellStyle name="Normal 5 18 5" xfId="6393" xr:uid="{00000000-0005-0000-0000-000085730000}"/>
    <cellStyle name="Normal 5 18 5 2" xfId="6394" xr:uid="{00000000-0005-0000-0000-000086730000}"/>
    <cellStyle name="Normal 5 18 5 2 2" xfId="12205" xr:uid="{00000000-0005-0000-0000-000087730000}"/>
    <cellStyle name="Normal 5 18 5 2 2 2" xfId="35690" xr:uid="{00000000-0005-0000-0000-000088730000}"/>
    <cellStyle name="Normal 5 18 5 2 2 3" xfId="26371" xr:uid="{00000000-0005-0000-0000-000089730000}"/>
    <cellStyle name="Normal 5 18 5 2 2 4" xfId="49633" xr:uid="{00000000-0005-0000-0000-00008A730000}"/>
    <cellStyle name="Normal 5 18 5 2 3" xfId="16936" xr:uid="{00000000-0005-0000-0000-00008B730000}"/>
    <cellStyle name="Normal 5 18 5 2 3 2" xfId="31068" xr:uid="{00000000-0005-0000-0000-00008C730000}"/>
    <cellStyle name="Normal 5 18 5 2 3 3" xfId="44963" xr:uid="{00000000-0005-0000-0000-00008D730000}"/>
    <cellStyle name="Normal 5 18 5 2 4" xfId="21749" xr:uid="{00000000-0005-0000-0000-00008E730000}"/>
    <cellStyle name="Normal 5 18 5 2 5" xfId="40381" xr:uid="{00000000-0005-0000-0000-00008F730000}"/>
    <cellStyle name="Normal 5 18 5 3" xfId="12204" xr:uid="{00000000-0005-0000-0000-000090730000}"/>
    <cellStyle name="Normal 5 18 5 3 2" xfId="35689" xr:uid="{00000000-0005-0000-0000-000091730000}"/>
    <cellStyle name="Normal 5 18 5 3 3" xfId="26370" xr:uid="{00000000-0005-0000-0000-000092730000}"/>
    <cellStyle name="Normal 5 18 5 3 4" xfId="49632" xr:uid="{00000000-0005-0000-0000-000093730000}"/>
    <cellStyle name="Normal 5 18 5 4" xfId="16935" xr:uid="{00000000-0005-0000-0000-000094730000}"/>
    <cellStyle name="Normal 5 18 5 4 2" xfId="31067" xr:uid="{00000000-0005-0000-0000-000095730000}"/>
    <cellStyle name="Normal 5 18 5 4 3" xfId="44962" xr:uid="{00000000-0005-0000-0000-000096730000}"/>
    <cellStyle name="Normal 5 18 5 5" xfId="21748" xr:uid="{00000000-0005-0000-0000-000097730000}"/>
    <cellStyle name="Normal 5 18 5 6" xfId="40380" xr:uid="{00000000-0005-0000-0000-000098730000}"/>
    <cellStyle name="Normal 5 18 6" xfId="6395" xr:uid="{00000000-0005-0000-0000-000099730000}"/>
    <cellStyle name="Normal 5 18 6 2" xfId="6396" xr:uid="{00000000-0005-0000-0000-00009A730000}"/>
    <cellStyle name="Normal 5 18 6 2 2" xfId="12207" xr:uid="{00000000-0005-0000-0000-00009B730000}"/>
    <cellStyle name="Normal 5 18 6 2 2 2" xfId="35692" xr:uid="{00000000-0005-0000-0000-00009C730000}"/>
    <cellStyle name="Normal 5 18 6 2 2 3" xfId="26373" xr:uid="{00000000-0005-0000-0000-00009D730000}"/>
    <cellStyle name="Normal 5 18 6 2 2 4" xfId="49635" xr:uid="{00000000-0005-0000-0000-00009E730000}"/>
    <cellStyle name="Normal 5 18 6 2 3" xfId="16938" xr:uid="{00000000-0005-0000-0000-00009F730000}"/>
    <cellStyle name="Normal 5 18 6 2 3 2" xfId="31070" xr:uid="{00000000-0005-0000-0000-0000A0730000}"/>
    <cellStyle name="Normal 5 18 6 2 3 3" xfId="44965" xr:uid="{00000000-0005-0000-0000-0000A1730000}"/>
    <cellStyle name="Normal 5 18 6 2 4" xfId="21751" xr:uid="{00000000-0005-0000-0000-0000A2730000}"/>
    <cellStyle name="Normal 5 18 6 2 5" xfId="40383" xr:uid="{00000000-0005-0000-0000-0000A3730000}"/>
    <cellStyle name="Normal 5 18 6 3" xfId="12206" xr:uid="{00000000-0005-0000-0000-0000A4730000}"/>
    <cellStyle name="Normal 5 18 6 3 2" xfId="35691" xr:uid="{00000000-0005-0000-0000-0000A5730000}"/>
    <cellStyle name="Normal 5 18 6 3 3" xfId="26372" xr:uid="{00000000-0005-0000-0000-0000A6730000}"/>
    <cellStyle name="Normal 5 18 6 3 4" xfId="49634" xr:uid="{00000000-0005-0000-0000-0000A7730000}"/>
    <cellStyle name="Normal 5 18 6 4" xfId="16937" xr:uid="{00000000-0005-0000-0000-0000A8730000}"/>
    <cellStyle name="Normal 5 18 6 4 2" xfId="31069" xr:uid="{00000000-0005-0000-0000-0000A9730000}"/>
    <cellStyle name="Normal 5 18 6 4 3" xfId="44964" xr:uid="{00000000-0005-0000-0000-0000AA730000}"/>
    <cellStyle name="Normal 5 18 6 5" xfId="21750" xr:uid="{00000000-0005-0000-0000-0000AB730000}"/>
    <cellStyle name="Normal 5 18 6 6" xfId="40382" xr:uid="{00000000-0005-0000-0000-0000AC730000}"/>
    <cellStyle name="Normal 5 18 7" xfId="6397" xr:uid="{00000000-0005-0000-0000-0000AD730000}"/>
    <cellStyle name="Normal 5 18 7 2" xfId="12208" xr:uid="{00000000-0005-0000-0000-0000AE730000}"/>
    <cellStyle name="Normal 5 18 7 2 2" xfId="35693" xr:uid="{00000000-0005-0000-0000-0000AF730000}"/>
    <cellStyle name="Normal 5 18 7 2 3" xfId="26374" xr:uid="{00000000-0005-0000-0000-0000B0730000}"/>
    <cellStyle name="Normal 5 18 7 2 4" xfId="49636" xr:uid="{00000000-0005-0000-0000-0000B1730000}"/>
    <cellStyle name="Normal 5 18 7 3" xfId="16939" xr:uid="{00000000-0005-0000-0000-0000B2730000}"/>
    <cellStyle name="Normal 5 18 7 3 2" xfId="31071" xr:uid="{00000000-0005-0000-0000-0000B3730000}"/>
    <cellStyle name="Normal 5 18 7 3 3" xfId="44966" xr:uid="{00000000-0005-0000-0000-0000B4730000}"/>
    <cellStyle name="Normal 5 18 7 4" xfId="21752" xr:uid="{00000000-0005-0000-0000-0000B5730000}"/>
    <cellStyle name="Normal 5 18 7 5" xfId="40384" xr:uid="{00000000-0005-0000-0000-0000B6730000}"/>
    <cellStyle name="Normal 5 18 8" xfId="12197" xr:uid="{00000000-0005-0000-0000-0000B7730000}"/>
    <cellStyle name="Normal 5 18 8 2" xfId="35682" xr:uid="{00000000-0005-0000-0000-0000B8730000}"/>
    <cellStyle name="Normal 5 18 8 3" xfId="26363" xr:uid="{00000000-0005-0000-0000-0000B9730000}"/>
    <cellStyle name="Normal 5 18 8 4" xfId="49625" xr:uid="{00000000-0005-0000-0000-0000BA730000}"/>
    <cellStyle name="Normal 5 18 9" xfId="16928" xr:uid="{00000000-0005-0000-0000-0000BB730000}"/>
    <cellStyle name="Normal 5 18 9 2" xfId="31060" xr:uid="{00000000-0005-0000-0000-0000BC730000}"/>
    <cellStyle name="Normal 5 18 9 3" xfId="44955" xr:uid="{00000000-0005-0000-0000-0000BD730000}"/>
    <cellStyle name="Normal 5 19" xfId="6398" xr:uid="{00000000-0005-0000-0000-0000BE730000}"/>
    <cellStyle name="Normal 5 19 2" xfId="6399" xr:uid="{00000000-0005-0000-0000-0000BF730000}"/>
    <cellStyle name="Normal 5 19 2 2" xfId="12210" xr:uid="{00000000-0005-0000-0000-0000C0730000}"/>
    <cellStyle name="Normal 5 19 2 2 2" xfId="35695" xr:uid="{00000000-0005-0000-0000-0000C1730000}"/>
    <cellStyle name="Normal 5 19 2 2 3" xfId="26376" xr:uid="{00000000-0005-0000-0000-0000C2730000}"/>
    <cellStyle name="Normal 5 19 2 2 4" xfId="49638" xr:uid="{00000000-0005-0000-0000-0000C3730000}"/>
    <cellStyle name="Normal 5 19 2 3" xfId="16941" xr:uid="{00000000-0005-0000-0000-0000C4730000}"/>
    <cellStyle name="Normal 5 19 2 3 2" xfId="31073" xr:uid="{00000000-0005-0000-0000-0000C5730000}"/>
    <cellStyle name="Normal 5 19 2 3 3" xfId="44968" xr:uid="{00000000-0005-0000-0000-0000C6730000}"/>
    <cellStyle name="Normal 5 19 2 4" xfId="21754" xr:uid="{00000000-0005-0000-0000-0000C7730000}"/>
    <cellStyle name="Normal 5 19 2 5" xfId="40386" xr:uid="{00000000-0005-0000-0000-0000C8730000}"/>
    <cellStyle name="Normal 5 19 3" xfId="12209" xr:uid="{00000000-0005-0000-0000-0000C9730000}"/>
    <cellStyle name="Normal 5 19 3 2" xfId="35694" xr:uid="{00000000-0005-0000-0000-0000CA730000}"/>
    <cellStyle name="Normal 5 19 3 3" xfId="26375" xr:uid="{00000000-0005-0000-0000-0000CB730000}"/>
    <cellStyle name="Normal 5 19 3 4" xfId="49637" xr:uid="{00000000-0005-0000-0000-0000CC730000}"/>
    <cellStyle name="Normal 5 19 4" xfId="16940" xr:uid="{00000000-0005-0000-0000-0000CD730000}"/>
    <cellStyle name="Normal 5 19 4 2" xfId="31072" xr:uid="{00000000-0005-0000-0000-0000CE730000}"/>
    <cellStyle name="Normal 5 19 4 3" xfId="44967" xr:uid="{00000000-0005-0000-0000-0000CF730000}"/>
    <cellStyle name="Normal 5 19 5" xfId="21753" xr:uid="{00000000-0005-0000-0000-0000D0730000}"/>
    <cellStyle name="Normal 5 19 6" xfId="40385" xr:uid="{00000000-0005-0000-0000-0000D1730000}"/>
    <cellStyle name="Normal 5 2" xfId="206" xr:uid="{00000000-0005-0000-0000-0000D2730000}"/>
    <cellStyle name="Normal 5 2 10" xfId="6400" xr:uid="{00000000-0005-0000-0000-0000D3730000}"/>
    <cellStyle name="Normal 5 2 10 2" xfId="6401" xr:uid="{00000000-0005-0000-0000-0000D4730000}"/>
    <cellStyle name="Normal 5 2 10 2 2" xfId="12212" xr:uid="{00000000-0005-0000-0000-0000D5730000}"/>
    <cellStyle name="Normal 5 2 10 2 2 2" xfId="35697" xr:uid="{00000000-0005-0000-0000-0000D6730000}"/>
    <cellStyle name="Normal 5 2 10 2 2 3" xfId="26378" xr:uid="{00000000-0005-0000-0000-0000D7730000}"/>
    <cellStyle name="Normal 5 2 10 2 2 4" xfId="49640" xr:uid="{00000000-0005-0000-0000-0000D8730000}"/>
    <cellStyle name="Normal 5 2 10 2 3" xfId="16943" xr:uid="{00000000-0005-0000-0000-0000D9730000}"/>
    <cellStyle name="Normal 5 2 10 2 3 2" xfId="31075" xr:uid="{00000000-0005-0000-0000-0000DA730000}"/>
    <cellStyle name="Normal 5 2 10 2 3 3" xfId="44970" xr:uid="{00000000-0005-0000-0000-0000DB730000}"/>
    <cellStyle name="Normal 5 2 10 2 4" xfId="21756" xr:uid="{00000000-0005-0000-0000-0000DC730000}"/>
    <cellStyle name="Normal 5 2 10 2 5" xfId="40388" xr:uid="{00000000-0005-0000-0000-0000DD730000}"/>
    <cellStyle name="Normal 5 2 10 3" xfId="12211" xr:uid="{00000000-0005-0000-0000-0000DE730000}"/>
    <cellStyle name="Normal 5 2 10 3 2" xfId="35696" xr:uid="{00000000-0005-0000-0000-0000DF730000}"/>
    <cellStyle name="Normal 5 2 10 3 3" xfId="26377" xr:uid="{00000000-0005-0000-0000-0000E0730000}"/>
    <cellStyle name="Normal 5 2 10 3 4" xfId="49639" xr:uid="{00000000-0005-0000-0000-0000E1730000}"/>
    <cellStyle name="Normal 5 2 10 4" xfId="16942" xr:uid="{00000000-0005-0000-0000-0000E2730000}"/>
    <cellStyle name="Normal 5 2 10 4 2" xfId="31074" xr:uid="{00000000-0005-0000-0000-0000E3730000}"/>
    <cellStyle name="Normal 5 2 10 4 3" xfId="44969" xr:uid="{00000000-0005-0000-0000-0000E4730000}"/>
    <cellStyle name="Normal 5 2 10 5" xfId="21755" xr:uid="{00000000-0005-0000-0000-0000E5730000}"/>
    <cellStyle name="Normal 5 2 10 6" xfId="40387" xr:uid="{00000000-0005-0000-0000-0000E6730000}"/>
    <cellStyle name="Normal 5 2 11" xfId="6402" xr:uid="{00000000-0005-0000-0000-0000E7730000}"/>
    <cellStyle name="Normal 5 2 11 2" xfId="6403" xr:uid="{00000000-0005-0000-0000-0000E8730000}"/>
    <cellStyle name="Normal 5 2 11 2 2" xfId="12214" xr:uid="{00000000-0005-0000-0000-0000E9730000}"/>
    <cellStyle name="Normal 5 2 11 2 2 2" xfId="35699" xr:uid="{00000000-0005-0000-0000-0000EA730000}"/>
    <cellStyle name="Normal 5 2 11 2 2 3" xfId="26380" xr:uid="{00000000-0005-0000-0000-0000EB730000}"/>
    <cellStyle name="Normal 5 2 11 2 2 4" xfId="49642" xr:uid="{00000000-0005-0000-0000-0000EC730000}"/>
    <cellStyle name="Normal 5 2 11 2 3" xfId="16945" xr:uid="{00000000-0005-0000-0000-0000ED730000}"/>
    <cellStyle name="Normal 5 2 11 2 3 2" xfId="31077" xr:uid="{00000000-0005-0000-0000-0000EE730000}"/>
    <cellStyle name="Normal 5 2 11 2 3 3" xfId="44972" xr:uid="{00000000-0005-0000-0000-0000EF730000}"/>
    <cellStyle name="Normal 5 2 11 2 4" xfId="21758" xr:uid="{00000000-0005-0000-0000-0000F0730000}"/>
    <cellStyle name="Normal 5 2 11 2 5" xfId="40390" xr:uid="{00000000-0005-0000-0000-0000F1730000}"/>
    <cellStyle name="Normal 5 2 11 3" xfId="12213" xr:uid="{00000000-0005-0000-0000-0000F2730000}"/>
    <cellStyle name="Normal 5 2 11 3 2" xfId="35698" xr:uid="{00000000-0005-0000-0000-0000F3730000}"/>
    <cellStyle name="Normal 5 2 11 3 3" xfId="26379" xr:uid="{00000000-0005-0000-0000-0000F4730000}"/>
    <cellStyle name="Normal 5 2 11 3 4" xfId="49641" xr:uid="{00000000-0005-0000-0000-0000F5730000}"/>
    <cellStyle name="Normal 5 2 11 4" xfId="16944" xr:uid="{00000000-0005-0000-0000-0000F6730000}"/>
    <cellStyle name="Normal 5 2 11 4 2" xfId="31076" xr:uid="{00000000-0005-0000-0000-0000F7730000}"/>
    <cellStyle name="Normal 5 2 11 4 3" xfId="44971" xr:uid="{00000000-0005-0000-0000-0000F8730000}"/>
    <cellStyle name="Normal 5 2 11 5" xfId="21757" xr:uid="{00000000-0005-0000-0000-0000F9730000}"/>
    <cellStyle name="Normal 5 2 11 6" xfId="40389" xr:uid="{00000000-0005-0000-0000-0000FA730000}"/>
    <cellStyle name="Normal 5 2 12" xfId="6404" xr:uid="{00000000-0005-0000-0000-0000FB730000}"/>
    <cellStyle name="Normal 5 2 12 2" xfId="6405" xr:uid="{00000000-0005-0000-0000-0000FC730000}"/>
    <cellStyle name="Normal 5 2 12 2 2" xfId="12216" xr:uid="{00000000-0005-0000-0000-0000FD730000}"/>
    <cellStyle name="Normal 5 2 12 2 2 2" xfId="35701" xr:uid="{00000000-0005-0000-0000-0000FE730000}"/>
    <cellStyle name="Normal 5 2 12 2 2 3" xfId="26382" xr:uid="{00000000-0005-0000-0000-0000FF730000}"/>
    <cellStyle name="Normal 5 2 12 2 2 4" xfId="49644" xr:uid="{00000000-0005-0000-0000-000000740000}"/>
    <cellStyle name="Normal 5 2 12 2 3" xfId="16947" xr:uid="{00000000-0005-0000-0000-000001740000}"/>
    <cellStyle name="Normal 5 2 12 2 3 2" xfId="31079" xr:uid="{00000000-0005-0000-0000-000002740000}"/>
    <cellStyle name="Normal 5 2 12 2 3 3" xfId="44974" xr:uid="{00000000-0005-0000-0000-000003740000}"/>
    <cellStyle name="Normal 5 2 12 2 4" xfId="21760" xr:uid="{00000000-0005-0000-0000-000004740000}"/>
    <cellStyle name="Normal 5 2 12 2 5" xfId="40392" xr:uid="{00000000-0005-0000-0000-000005740000}"/>
    <cellStyle name="Normal 5 2 12 3" xfId="12215" xr:uid="{00000000-0005-0000-0000-000006740000}"/>
    <cellStyle name="Normal 5 2 12 3 2" xfId="35700" xr:uid="{00000000-0005-0000-0000-000007740000}"/>
    <cellStyle name="Normal 5 2 12 3 3" xfId="26381" xr:uid="{00000000-0005-0000-0000-000008740000}"/>
    <cellStyle name="Normal 5 2 12 3 4" xfId="49643" xr:uid="{00000000-0005-0000-0000-000009740000}"/>
    <cellStyle name="Normal 5 2 12 4" xfId="16946" xr:uid="{00000000-0005-0000-0000-00000A740000}"/>
    <cellStyle name="Normal 5 2 12 4 2" xfId="31078" xr:uid="{00000000-0005-0000-0000-00000B740000}"/>
    <cellStyle name="Normal 5 2 12 4 3" xfId="44973" xr:uid="{00000000-0005-0000-0000-00000C740000}"/>
    <cellStyle name="Normal 5 2 12 5" xfId="21759" xr:uid="{00000000-0005-0000-0000-00000D740000}"/>
    <cellStyle name="Normal 5 2 12 6" xfId="40391" xr:uid="{00000000-0005-0000-0000-00000E740000}"/>
    <cellStyle name="Normal 5 2 13" xfId="6406" xr:uid="{00000000-0005-0000-0000-00000F740000}"/>
    <cellStyle name="Normal 5 2 13 2" xfId="6407" xr:uid="{00000000-0005-0000-0000-000010740000}"/>
    <cellStyle name="Normal 5 2 13 2 2" xfId="12218" xr:uid="{00000000-0005-0000-0000-000011740000}"/>
    <cellStyle name="Normal 5 2 13 2 2 2" xfId="35703" xr:uid="{00000000-0005-0000-0000-000012740000}"/>
    <cellStyle name="Normal 5 2 13 2 2 3" xfId="26384" xr:uid="{00000000-0005-0000-0000-000013740000}"/>
    <cellStyle name="Normal 5 2 13 2 2 4" xfId="49646" xr:uid="{00000000-0005-0000-0000-000014740000}"/>
    <cellStyle name="Normal 5 2 13 2 3" xfId="16949" xr:uid="{00000000-0005-0000-0000-000015740000}"/>
    <cellStyle name="Normal 5 2 13 2 3 2" xfId="31081" xr:uid="{00000000-0005-0000-0000-000016740000}"/>
    <cellStyle name="Normal 5 2 13 2 3 3" xfId="44976" xr:uid="{00000000-0005-0000-0000-000017740000}"/>
    <cellStyle name="Normal 5 2 13 2 4" xfId="21762" xr:uid="{00000000-0005-0000-0000-000018740000}"/>
    <cellStyle name="Normal 5 2 13 2 5" xfId="40394" xr:uid="{00000000-0005-0000-0000-000019740000}"/>
    <cellStyle name="Normal 5 2 13 3" xfId="12217" xr:uid="{00000000-0005-0000-0000-00001A740000}"/>
    <cellStyle name="Normal 5 2 13 3 2" xfId="35702" xr:uid="{00000000-0005-0000-0000-00001B740000}"/>
    <cellStyle name="Normal 5 2 13 3 3" xfId="26383" xr:uid="{00000000-0005-0000-0000-00001C740000}"/>
    <cellStyle name="Normal 5 2 13 3 4" xfId="49645" xr:uid="{00000000-0005-0000-0000-00001D740000}"/>
    <cellStyle name="Normal 5 2 13 4" xfId="16948" xr:uid="{00000000-0005-0000-0000-00001E740000}"/>
    <cellStyle name="Normal 5 2 13 4 2" xfId="31080" xr:uid="{00000000-0005-0000-0000-00001F740000}"/>
    <cellStyle name="Normal 5 2 13 4 3" xfId="44975" xr:uid="{00000000-0005-0000-0000-000020740000}"/>
    <cellStyle name="Normal 5 2 13 5" xfId="21761" xr:uid="{00000000-0005-0000-0000-000021740000}"/>
    <cellStyle name="Normal 5 2 13 6" xfId="40393" xr:uid="{00000000-0005-0000-0000-000022740000}"/>
    <cellStyle name="Normal 5 2 14" xfId="6408" xr:uid="{00000000-0005-0000-0000-000023740000}"/>
    <cellStyle name="Normal 5 2 14 2" xfId="6409" xr:uid="{00000000-0005-0000-0000-000024740000}"/>
    <cellStyle name="Normal 5 2 14 2 2" xfId="12220" xr:uid="{00000000-0005-0000-0000-000025740000}"/>
    <cellStyle name="Normal 5 2 14 2 2 2" xfId="35705" xr:uid="{00000000-0005-0000-0000-000026740000}"/>
    <cellStyle name="Normal 5 2 14 2 2 3" xfId="26386" xr:uid="{00000000-0005-0000-0000-000027740000}"/>
    <cellStyle name="Normal 5 2 14 2 2 4" xfId="49648" xr:uid="{00000000-0005-0000-0000-000028740000}"/>
    <cellStyle name="Normal 5 2 14 2 3" xfId="16951" xr:uid="{00000000-0005-0000-0000-000029740000}"/>
    <cellStyle name="Normal 5 2 14 2 3 2" xfId="31083" xr:uid="{00000000-0005-0000-0000-00002A740000}"/>
    <cellStyle name="Normal 5 2 14 2 3 3" xfId="44978" xr:uid="{00000000-0005-0000-0000-00002B740000}"/>
    <cellStyle name="Normal 5 2 14 2 4" xfId="21764" xr:uid="{00000000-0005-0000-0000-00002C740000}"/>
    <cellStyle name="Normal 5 2 14 2 5" xfId="40396" xr:uid="{00000000-0005-0000-0000-00002D740000}"/>
    <cellStyle name="Normal 5 2 14 3" xfId="12219" xr:uid="{00000000-0005-0000-0000-00002E740000}"/>
    <cellStyle name="Normal 5 2 14 3 2" xfId="35704" xr:uid="{00000000-0005-0000-0000-00002F740000}"/>
    <cellStyle name="Normal 5 2 14 3 3" xfId="26385" xr:uid="{00000000-0005-0000-0000-000030740000}"/>
    <cellStyle name="Normal 5 2 14 3 4" xfId="49647" xr:uid="{00000000-0005-0000-0000-000031740000}"/>
    <cellStyle name="Normal 5 2 14 4" xfId="16950" xr:uid="{00000000-0005-0000-0000-000032740000}"/>
    <cellStyle name="Normal 5 2 14 4 2" xfId="31082" xr:uid="{00000000-0005-0000-0000-000033740000}"/>
    <cellStyle name="Normal 5 2 14 4 3" xfId="44977" xr:uid="{00000000-0005-0000-0000-000034740000}"/>
    <cellStyle name="Normal 5 2 14 5" xfId="21763" xr:uid="{00000000-0005-0000-0000-000035740000}"/>
    <cellStyle name="Normal 5 2 14 6" xfId="40395" xr:uid="{00000000-0005-0000-0000-000036740000}"/>
    <cellStyle name="Normal 5 2 15" xfId="6410" xr:uid="{00000000-0005-0000-0000-000037740000}"/>
    <cellStyle name="Normal 5 2 15 2" xfId="6411" xr:uid="{00000000-0005-0000-0000-000038740000}"/>
    <cellStyle name="Normal 5 2 15 2 2" xfId="12222" xr:uid="{00000000-0005-0000-0000-000039740000}"/>
    <cellStyle name="Normal 5 2 15 2 2 2" xfId="35707" xr:uid="{00000000-0005-0000-0000-00003A740000}"/>
    <cellStyle name="Normal 5 2 15 2 2 3" xfId="26388" xr:uid="{00000000-0005-0000-0000-00003B740000}"/>
    <cellStyle name="Normal 5 2 15 2 2 4" xfId="49650" xr:uid="{00000000-0005-0000-0000-00003C740000}"/>
    <cellStyle name="Normal 5 2 15 2 3" xfId="16953" xr:uid="{00000000-0005-0000-0000-00003D740000}"/>
    <cellStyle name="Normal 5 2 15 2 3 2" xfId="31085" xr:uid="{00000000-0005-0000-0000-00003E740000}"/>
    <cellStyle name="Normal 5 2 15 2 3 3" xfId="44980" xr:uid="{00000000-0005-0000-0000-00003F740000}"/>
    <cellStyle name="Normal 5 2 15 2 4" xfId="21766" xr:uid="{00000000-0005-0000-0000-000040740000}"/>
    <cellStyle name="Normal 5 2 15 2 5" xfId="40398" xr:uid="{00000000-0005-0000-0000-000041740000}"/>
    <cellStyle name="Normal 5 2 15 3" xfId="12221" xr:uid="{00000000-0005-0000-0000-000042740000}"/>
    <cellStyle name="Normal 5 2 15 3 2" xfId="35706" xr:uid="{00000000-0005-0000-0000-000043740000}"/>
    <cellStyle name="Normal 5 2 15 3 3" xfId="26387" xr:uid="{00000000-0005-0000-0000-000044740000}"/>
    <cellStyle name="Normal 5 2 15 3 4" xfId="49649" xr:uid="{00000000-0005-0000-0000-000045740000}"/>
    <cellStyle name="Normal 5 2 15 4" xfId="16952" xr:uid="{00000000-0005-0000-0000-000046740000}"/>
    <cellStyle name="Normal 5 2 15 4 2" xfId="31084" xr:uid="{00000000-0005-0000-0000-000047740000}"/>
    <cellStyle name="Normal 5 2 15 4 3" xfId="44979" xr:uid="{00000000-0005-0000-0000-000048740000}"/>
    <cellStyle name="Normal 5 2 15 5" xfId="21765" xr:uid="{00000000-0005-0000-0000-000049740000}"/>
    <cellStyle name="Normal 5 2 15 6" xfId="40397" xr:uid="{00000000-0005-0000-0000-00004A740000}"/>
    <cellStyle name="Normal 5 2 16" xfId="6412" xr:uid="{00000000-0005-0000-0000-00004B740000}"/>
    <cellStyle name="Normal 5 2 16 2" xfId="6413" xr:uid="{00000000-0005-0000-0000-00004C740000}"/>
    <cellStyle name="Normal 5 2 16 2 2" xfId="12224" xr:uid="{00000000-0005-0000-0000-00004D740000}"/>
    <cellStyle name="Normal 5 2 16 2 2 2" xfId="35709" xr:uid="{00000000-0005-0000-0000-00004E740000}"/>
    <cellStyle name="Normal 5 2 16 2 2 3" xfId="26390" xr:uid="{00000000-0005-0000-0000-00004F740000}"/>
    <cellStyle name="Normal 5 2 16 2 2 4" xfId="49652" xr:uid="{00000000-0005-0000-0000-000050740000}"/>
    <cellStyle name="Normal 5 2 16 2 3" xfId="16955" xr:uid="{00000000-0005-0000-0000-000051740000}"/>
    <cellStyle name="Normal 5 2 16 2 3 2" xfId="31087" xr:uid="{00000000-0005-0000-0000-000052740000}"/>
    <cellStyle name="Normal 5 2 16 2 3 3" xfId="44982" xr:uid="{00000000-0005-0000-0000-000053740000}"/>
    <cellStyle name="Normal 5 2 16 2 4" xfId="21768" xr:uid="{00000000-0005-0000-0000-000054740000}"/>
    <cellStyle name="Normal 5 2 16 2 5" xfId="40400" xr:uid="{00000000-0005-0000-0000-000055740000}"/>
    <cellStyle name="Normal 5 2 16 3" xfId="12223" xr:uid="{00000000-0005-0000-0000-000056740000}"/>
    <cellStyle name="Normal 5 2 16 3 2" xfId="35708" xr:uid="{00000000-0005-0000-0000-000057740000}"/>
    <cellStyle name="Normal 5 2 16 3 3" xfId="26389" xr:uid="{00000000-0005-0000-0000-000058740000}"/>
    <cellStyle name="Normal 5 2 16 3 4" xfId="49651" xr:uid="{00000000-0005-0000-0000-000059740000}"/>
    <cellStyle name="Normal 5 2 16 4" xfId="16954" xr:uid="{00000000-0005-0000-0000-00005A740000}"/>
    <cellStyle name="Normal 5 2 16 4 2" xfId="31086" xr:uid="{00000000-0005-0000-0000-00005B740000}"/>
    <cellStyle name="Normal 5 2 16 4 3" xfId="44981" xr:uid="{00000000-0005-0000-0000-00005C740000}"/>
    <cellStyle name="Normal 5 2 16 5" xfId="21767" xr:uid="{00000000-0005-0000-0000-00005D740000}"/>
    <cellStyle name="Normal 5 2 16 6" xfId="40399" xr:uid="{00000000-0005-0000-0000-00005E740000}"/>
    <cellStyle name="Normal 5 2 17" xfId="6414" xr:uid="{00000000-0005-0000-0000-00005F740000}"/>
    <cellStyle name="Normal 5 2 17 2" xfId="6415" xr:uid="{00000000-0005-0000-0000-000060740000}"/>
    <cellStyle name="Normal 5 2 17 2 2" xfId="12226" xr:uid="{00000000-0005-0000-0000-000061740000}"/>
    <cellStyle name="Normal 5 2 17 2 2 2" xfId="35711" xr:uid="{00000000-0005-0000-0000-000062740000}"/>
    <cellStyle name="Normal 5 2 17 2 2 3" xfId="26392" xr:uid="{00000000-0005-0000-0000-000063740000}"/>
    <cellStyle name="Normal 5 2 17 2 2 4" xfId="49654" xr:uid="{00000000-0005-0000-0000-000064740000}"/>
    <cellStyle name="Normal 5 2 17 2 3" xfId="16957" xr:uid="{00000000-0005-0000-0000-000065740000}"/>
    <cellStyle name="Normal 5 2 17 2 3 2" xfId="31089" xr:uid="{00000000-0005-0000-0000-000066740000}"/>
    <cellStyle name="Normal 5 2 17 2 3 3" xfId="44984" xr:uid="{00000000-0005-0000-0000-000067740000}"/>
    <cellStyle name="Normal 5 2 17 2 4" xfId="21770" xr:uid="{00000000-0005-0000-0000-000068740000}"/>
    <cellStyle name="Normal 5 2 17 2 5" xfId="40402" xr:uid="{00000000-0005-0000-0000-000069740000}"/>
    <cellStyle name="Normal 5 2 17 3" xfId="12225" xr:uid="{00000000-0005-0000-0000-00006A740000}"/>
    <cellStyle name="Normal 5 2 17 3 2" xfId="35710" xr:uid="{00000000-0005-0000-0000-00006B740000}"/>
    <cellStyle name="Normal 5 2 17 3 3" xfId="26391" xr:uid="{00000000-0005-0000-0000-00006C740000}"/>
    <cellStyle name="Normal 5 2 17 3 4" xfId="49653" xr:uid="{00000000-0005-0000-0000-00006D740000}"/>
    <cellStyle name="Normal 5 2 17 4" xfId="16956" xr:uid="{00000000-0005-0000-0000-00006E740000}"/>
    <cellStyle name="Normal 5 2 17 4 2" xfId="31088" xr:uid="{00000000-0005-0000-0000-00006F740000}"/>
    <cellStyle name="Normal 5 2 17 4 3" xfId="44983" xr:uid="{00000000-0005-0000-0000-000070740000}"/>
    <cellStyle name="Normal 5 2 17 5" xfId="21769" xr:uid="{00000000-0005-0000-0000-000071740000}"/>
    <cellStyle name="Normal 5 2 17 6" xfId="40401" xr:uid="{00000000-0005-0000-0000-000072740000}"/>
    <cellStyle name="Normal 5 2 18" xfId="6416" xr:uid="{00000000-0005-0000-0000-000073740000}"/>
    <cellStyle name="Normal 5 2 18 2" xfId="6417" xr:uid="{00000000-0005-0000-0000-000074740000}"/>
    <cellStyle name="Normal 5 2 18 2 2" xfId="12228" xr:uid="{00000000-0005-0000-0000-000075740000}"/>
    <cellStyle name="Normal 5 2 18 2 2 2" xfId="35713" xr:uid="{00000000-0005-0000-0000-000076740000}"/>
    <cellStyle name="Normal 5 2 18 2 2 3" xfId="26394" xr:uid="{00000000-0005-0000-0000-000077740000}"/>
    <cellStyle name="Normal 5 2 18 2 2 4" xfId="49656" xr:uid="{00000000-0005-0000-0000-000078740000}"/>
    <cellStyle name="Normal 5 2 18 2 3" xfId="16959" xr:uid="{00000000-0005-0000-0000-000079740000}"/>
    <cellStyle name="Normal 5 2 18 2 3 2" xfId="31091" xr:uid="{00000000-0005-0000-0000-00007A740000}"/>
    <cellStyle name="Normal 5 2 18 2 3 3" xfId="44986" xr:uid="{00000000-0005-0000-0000-00007B740000}"/>
    <cellStyle name="Normal 5 2 18 2 4" xfId="21772" xr:uid="{00000000-0005-0000-0000-00007C740000}"/>
    <cellStyle name="Normal 5 2 18 2 5" xfId="40404" xr:uid="{00000000-0005-0000-0000-00007D740000}"/>
    <cellStyle name="Normal 5 2 18 3" xfId="12227" xr:uid="{00000000-0005-0000-0000-00007E740000}"/>
    <cellStyle name="Normal 5 2 18 3 2" xfId="35712" xr:uid="{00000000-0005-0000-0000-00007F740000}"/>
    <cellStyle name="Normal 5 2 18 3 3" xfId="26393" xr:uid="{00000000-0005-0000-0000-000080740000}"/>
    <cellStyle name="Normal 5 2 18 3 4" xfId="49655" xr:uid="{00000000-0005-0000-0000-000081740000}"/>
    <cellStyle name="Normal 5 2 18 4" xfId="16958" xr:uid="{00000000-0005-0000-0000-000082740000}"/>
    <cellStyle name="Normal 5 2 18 4 2" xfId="31090" xr:uid="{00000000-0005-0000-0000-000083740000}"/>
    <cellStyle name="Normal 5 2 18 4 3" xfId="44985" xr:uid="{00000000-0005-0000-0000-000084740000}"/>
    <cellStyle name="Normal 5 2 18 5" xfId="21771" xr:uid="{00000000-0005-0000-0000-000085740000}"/>
    <cellStyle name="Normal 5 2 18 6" xfId="40403" xr:uid="{00000000-0005-0000-0000-000086740000}"/>
    <cellStyle name="Normal 5 2 19" xfId="6418" xr:uid="{00000000-0005-0000-0000-000087740000}"/>
    <cellStyle name="Normal 5 2 19 2" xfId="6419" xr:uid="{00000000-0005-0000-0000-000088740000}"/>
    <cellStyle name="Normal 5 2 19 2 2" xfId="12230" xr:uid="{00000000-0005-0000-0000-000089740000}"/>
    <cellStyle name="Normal 5 2 19 2 2 2" xfId="35715" xr:uid="{00000000-0005-0000-0000-00008A740000}"/>
    <cellStyle name="Normal 5 2 19 2 2 3" xfId="26396" xr:uid="{00000000-0005-0000-0000-00008B740000}"/>
    <cellStyle name="Normal 5 2 19 2 2 4" xfId="49658" xr:uid="{00000000-0005-0000-0000-00008C740000}"/>
    <cellStyle name="Normal 5 2 19 2 3" xfId="16961" xr:uid="{00000000-0005-0000-0000-00008D740000}"/>
    <cellStyle name="Normal 5 2 19 2 3 2" xfId="31093" xr:uid="{00000000-0005-0000-0000-00008E740000}"/>
    <cellStyle name="Normal 5 2 19 2 3 3" xfId="44988" xr:uid="{00000000-0005-0000-0000-00008F740000}"/>
    <cellStyle name="Normal 5 2 19 2 4" xfId="21774" xr:uid="{00000000-0005-0000-0000-000090740000}"/>
    <cellStyle name="Normal 5 2 19 2 5" xfId="40406" xr:uid="{00000000-0005-0000-0000-000091740000}"/>
    <cellStyle name="Normal 5 2 19 3" xfId="12229" xr:uid="{00000000-0005-0000-0000-000092740000}"/>
    <cellStyle name="Normal 5 2 19 3 2" xfId="35714" xr:uid="{00000000-0005-0000-0000-000093740000}"/>
    <cellStyle name="Normal 5 2 19 3 3" xfId="26395" xr:uid="{00000000-0005-0000-0000-000094740000}"/>
    <cellStyle name="Normal 5 2 19 3 4" xfId="49657" xr:uid="{00000000-0005-0000-0000-000095740000}"/>
    <cellStyle name="Normal 5 2 19 4" xfId="16960" xr:uid="{00000000-0005-0000-0000-000096740000}"/>
    <cellStyle name="Normal 5 2 19 4 2" xfId="31092" xr:uid="{00000000-0005-0000-0000-000097740000}"/>
    <cellStyle name="Normal 5 2 19 4 3" xfId="44987" xr:uid="{00000000-0005-0000-0000-000098740000}"/>
    <cellStyle name="Normal 5 2 19 5" xfId="21773" xr:uid="{00000000-0005-0000-0000-000099740000}"/>
    <cellStyle name="Normal 5 2 19 6" xfId="40405" xr:uid="{00000000-0005-0000-0000-00009A740000}"/>
    <cellStyle name="Normal 5 2 2" xfId="6420" xr:uid="{00000000-0005-0000-0000-00009B740000}"/>
    <cellStyle name="Normal 5 2 2 2" xfId="6421" xr:uid="{00000000-0005-0000-0000-00009C740000}"/>
    <cellStyle name="Normal 5 2 2 2 2" xfId="12232" xr:uid="{00000000-0005-0000-0000-00009D740000}"/>
    <cellStyle name="Normal 5 2 2 2 2 2" xfId="35717" xr:uid="{00000000-0005-0000-0000-00009E740000}"/>
    <cellStyle name="Normal 5 2 2 2 2 3" xfId="26398" xr:uid="{00000000-0005-0000-0000-00009F740000}"/>
    <cellStyle name="Normal 5 2 2 2 2 4" xfId="49660" xr:uid="{00000000-0005-0000-0000-0000A0740000}"/>
    <cellStyle name="Normal 5 2 2 2 3" xfId="16963" xr:uid="{00000000-0005-0000-0000-0000A1740000}"/>
    <cellStyle name="Normal 5 2 2 2 3 2" xfId="31095" xr:uid="{00000000-0005-0000-0000-0000A2740000}"/>
    <cellStyle name="Normal 5 2 2 2 3 3" xfId="44990" xr:uid="{00000000-0005-0000-0000-0000A3740000}"/>
    <cellStyle name="Normal 5 2 2 2 4" xfId="21776" xr:uid="{00000000-0005-0000-0000-0000A4740000}"/>
    <cellStyle name="Normal 5 2 2 2 5" xfId="40408" xr:uid="{00000000-0005-0000-0000-0000A5740000}"/>
    <cellStyle name="Normal 5 2 2 3" xfId="12231" xr:uid="{00000000-0005-0000-0000-0000A6740000}"/>
    <cellStyle name="Normal 5 2 2 3 2" xfId="35716" xr:uid="{00000000-0005-0000-0000-0000A7740000}"/>
    <cellStyle name="Normal 5 2 2 3 3" xfId="26397" xr:uid="{00000000-0005-0000-0000-0000A8740000}"/>
    <cellStyle name="Normal 5 2 2 3 4" xfId="49659" xr:uid="{00000000-0005-0000-0000-0000A9740000}"/>
    <cellStyle name="Normal 5 2 2 4" xfId="16962" xr:uid="{00000000-0005-0000-0000-0000AA740000}"/>
    <cellStyle name="Normal 5 2 2 4 2" xfId="31094" xr:uid="{00000000-0005-0000-0000-0000AB740000}"/>
    <cellStyle name="Normal 5 2 2 4 3" xfId="44989" xr:uid="{00000000-0005-0000-0000-0000AC740000}"/>
    <cellStyle name="Normal 5 2 2 5" xfId="21775" xr:uid="{00000000-0005-0000-0000-0000AD740000}"/>
    <cellStyle name="Normal 5 2 2 6" xfId="40407" xr:uid="{00000000-0005-0000-0000-0000AE740000}"/>
    <cellStyle name="Normal 5 2 20" xfId="6422" xr:uid="{00000000-0005-0000-0000-0000AF740000}"/>
    <cellStyle name="Normal 5 2 20 2" xfId="6423" xr:uid="{00000000-0005-0000-0000-0000B0740000}"/>
    <cellStyle name="Normal 5 2 20 2 2" xfId="12234" xr:uid="{00000000-0005-0000-0000-0000B1740000}"/>
    <cellStyle name="Normal 5 2 20 2 2 2" xfId="35719" xr:uid="{00000000-0005-0000-0000-0000B2740000}"/>
    <cellStyle name="Normal 5 2 20 2 2 3" xfId="26400" xr:uid="{00000000-0005-0000-0000-0000B3740000}"/>
    <cellStyle name="Normal 5 2 20 2 2 4" xfId="49662" xr:uid="{00000000-0005-0000-0000-0000B4740000}"/>
    <cellStyle name="Normal 5 2 20 2 3" xfId="16965" xr:uid="{00000000-0005-0000-0000-0000B5740000}"/>
    <cellStyle name="Normal 5 2 20 2 3 2" xfId="31097" xr:uid="{00000000-0005-0000-0000-0000B6740000}"/>
    <cellStyle name="Normal 5 2 20 2 3 3" xfId="44992" xr:uid="{00000000-0005-0000-0000-0000B7740000}"/>
    <cellStyle name="Normal 5 2 20 2 4" xfId="21778" xr:uid="{00000000-0005-0000-0000-0000B8740000}"/>
    <cellStyle name="Normal 5 2 20 2 5" xfId="40410" xr:uid="{00000000-0005-0000-0000-0000B9740000}"/>
    <cellStyle name="Normal 5 2 20 3" xfId="12233" xr:uid="{00000000-0005-0000-0000-0000BA740000}"/>
    <cellStyle name="Normal 5 2 20 3 2" xfId="35718" xr:uid="{00000000-0005-0000-0000-0000BB740000}"/>
    <cellStyle name="Normal 5 2 20 3 3" xfId="26399" xr:uid="{00000000-0005-0000-0000-0000BC740000}"/>
    <cellStyle name="Normal 5 2 20 3 4" xfId="49661" xr:uid="{00000000-0005-0000-0000-0000BD740000}"/>
    <cellStyle name="Normal 5 2 20 4" xfId="16964" xr:uid="{00000000-0005-0000-0000-0000BE740000}"/>
    <cellStyle name="Normal 5 2 20 4 2" xfId="31096" xr:uid="{00000000-0005-0000-0000-0000BF740000}"/>
    <cellStyle name="Normal 5 2 20 4 3" xfId="44991" xr:uid="{00000000-0005-0000-0000-0000C0740000}"/>
    <cellStyle name="Normal 5 2 20 5" xfId="21777" xr:uid="{00000000-0005-0000-0000-0000C1740000}"/>
    <cellStyle name="Normal 5 2 20 6" xfId="40409" xr:uid="{00000000-0005-0000-0000-0000C2740000}"/>
    <cellStyle name="Normal 5 2 21" xfId="6424" xr:uid="{00000000-0005-0000-0000-0000C3740000}"/>
    <cellStyle name="Normal 5 2 21 2" xfId="6425" xr:uid="{00000000-0005-0000-0000-0000C4740000}"/>
    <cellStyle name="Normal 5 2 21 2 2" xfId="12236" xr:uid="{00000000-0005-0000-0000-0000C5740000}"/>
    <cellStyle name="Normal 5 2 21 2 2 2" xfId="35721" xr:uid="{00000000-0005-0000-0000-0000C6740000}"/>
    <cellStyle name="Normal 5 2 21 2 2 3" xfId="26402" xr:uid="{00000000-0005-0000-0000-0000C7740000}"/>
    <cellStyle name="Normal 5 2 21 2 2 4" xfId="49664" xr:uid="{00000000-0005-0000-0000-0000C8740000}"/>
    <cellStyle name="Normal 5 2 21 2 3" xfId="16967" xr:uid="{00000000-0005-0000-0000-0000C9740000}"/>
    <cellStyle name="Normal 5 2 21 2 3 2" xfId="31099" xr:uid="{00000000-0005-0000-0000-0000CA740000}"/>
    <cellStyle name="Normal 5 2 21 2 3 3" xfId="44994" xr:uid="{00000000-0005-0000-0000-0000CB740000}"/>
    <cellStyle name="Normal 5 2 21 2 4" xfId="21780" xr:uid="{00000000-0005-0000-0000-0000CC740000}"/>
    <cellStyle name="Normal 5 2 21 2 5" xfId="40412" xr:uid="{00000000-0005-0000-0000-0000CD740000}"/>
    <cellStyle name="Normal 5 2 21 3" xfId="12235" xr:uid="{00000000-0005-0000-0000-0000CE740000}"/>
    <cellStyle name="Normal 5 2 21 3 2" xfId="35720" xr:uid="{00000000-0005-0000-0000-0000CF740000}"/>
    <cellStyle name="Normal 5 2 21 3 3" xfId="26401" xr:uid="{00000000-0005-0000-0000-0000D0740000}"/>
    <cellStyle name="Normal 5 2 21 3 4" xfId="49663" xr:uid="{00000000-0005-0000-0000-0000D1740000}"/>
    <cellStyle name="Normal 5 2 21 4" xfId="16966" xr:uid="{00000000-0005-0000-0000-0000D2740000}"/>
    <cellStyle name="Normal 5 2 21 4 2" xfId="31098" xr:uid="{00000000-0005-0000-0000-0000D3740000}"/>
    <cellStyle name="Normal 5 2 21 4 3" xfId="44993" xr:uid="{00000000-0005-0000-0000-0000D4740000}"/>
    <cellStyle name="Normal 5 2 21 5" xfId="21779" xr:uid="{00000000-0005-0000-0000-0000D5740000}"/>
    <cellStyle name="Normal 5 2 21 6" xfId="40411" xr:uid="{00000000-0005-0000-0000-0000D6740000}"/>
    <cellStyle name="Normal 5 2 22" xfId="6426" xr:uid="{00000000-0005-0000-0000-0000D7740000}"/>
    <cellStyle name="Normal 5 2 22 2" xfId="6427" xr:uid="{00000000-0005-0000-0000-0000D8740000}"/>
    <cellStyle name="Normal 5 2 22 2 2" xfId="12238" xr:uid="{00000000-0005-0000-0000-0000D9740000}"/>
    <cellStyle name="Normal 5 2 22 2 2 2" xfId="35723" xr:uid="{00000000-0005-0000-0000-0000DA740000}"/>
    <cellStyle name="Normal 5 2 22 2 2 3" xfId="26404" xr:uid="{00000000-0005-0000-0000-0000DB740000}"/>
    <cellStyle name="Normal 5 2 22 2 2 4" xfId="49666" xr:uid="{00000000-0005-0000-0000-0000DC740000}"/>
    <cellStyle name="Normal 5 2 22 2 3" xfId="16969" xr:uid="{00000000-0005-0000-0000-0000DD740000}"/>
    <cellStyle name="Normal 5 2 22 2 3 2" xfId="31101" xr:uid="{00000000-0005-0000-0000-0000DE740000}"/>
    <cellStyle name="Normal 5 2 22 2 3 3" xfId="44996" xr:uid="{00000000-0005-0000-0000-0000DF740000}"/>
    <cellStyle name="Normal 5 2 22 2 4" xfId="21782" xr:uid="{00000000-0005-0000-0000-0000E0740000}"/>
    <cellStyle name="Normal 5 2 22 2 5" xfId="40414" xr:uid="{00000000-0005-0000-0000-0000E1740000}"/>
    <cellStyle name="Normal 5 2 22 3" xfId="12237" xr:uid="{00000000-0005-0000-0000-0000E2740000}"/>
    <cellStyle name="Normal 5 2 22 3 2" xfId="35722" xr:uid="{00000000-0005-0000-0000-0000E3740000}"/>
    <cellStyle name="Normal 5 2 22 3 3" xfId="26403" xr:uid="{00000000-0005-0000-0000-0000E4740000}"/>
    <cellStyle name="Normal 5 2 22 3 4" xfId="49665" xr:uid="{00000000-0005-0000-0000-0000E5740000}"/>
    <cellStyle name="Normal 5 2 22 4" xfId="16968" xr:uid="{00000000-0005-0000-0000-0000E6740000}"/>
    <cellStyle name="Normal 5 2 22 4 2" xfId="31100" xr:uid="{00000000-0005-0000-0000-0000E7740000}"/>
    <cellStyle name="Normal 5 2 22 4 3" xfId="44995" xr:uid="{00000000-0005-0000-0000-0000E8740000}"/>
    <cellStyle name="Normal 5 2 22 5" xfId="21781" xr:uid="{00000000-0005-0000-0000-0000E9740000}"/>
    <cellStyle name="Normal 5 2 22 6" xfId="40413" xr:uid="{00000000-0005-0000-0000-0000EA740000}"/>
    <cellStyle name="Normal 5 2 23" xfId="6428" xr:uid="{00000000-0005-0000-0000-0000EB740000}"/>
    <cellStyle name="Normal 5 2 23 2" xfId="6429" xr:uid="{00000000-0005-0000-0000-0000EC740000}"/>
    <cellStyle name="Normal 5 2 23 2 2" xfId="12240" xr:uid="{00000000-0005-0000-0000-0000ED740000}"/>
    <cellStyle name="Normal 5 2 23 2 2 2" xfId="35725" xr:uid="{00000000-0005-0000-0000-0000EE740000}"/>
    <cellStyle name="Normal 5 2 23 2 2 3" xfId="26406" xr:uid="{00000000-0005-0000-0000-0000EF740000}"/>
    <cellStyle name="Normal 5 2 23 2 2 4" xfId="49668" xr:uid="{00000000-0005-0000-0000-0000F0740000}"/>
    <cellStyle name="Normal 5 2 23 2 3" xfId="16971" xr:uid="{00000000-0005-0000-0000-0000F1740000}"/>
    <cellStyle name="Normal 5 2 23 2 3 2" xfId="31103" xr:uid="{00000000-0005-0000-0000-0000F2740000}"/>
    <cellStyle name="Normal 5 2 23 2 3 3" xfId="44998" xr:uid="{00000000-0005-0000-0000-0000F3740000}"/>
    <cellStyle name="Normal 5 2 23 2 4" xfId="21784" xr:uid="{00000000-0005-0000-0000-0000F4740000}"/>
    <cellStyle name="Normal 5 2 23 2 5" xfId="40416" xr:uid="{00000000-0005-0000-0000-0000F5740000}"/>
    <cellStyle name="Normal 5 2 23 3" xfId="12239" xr:uid="{00000000-0005-0000-0000-0000F6740000}"/>
    <cellStyle name="Normal 5 2 23 3 2" xfId="35724" xr:uid="{00000000-0005-0000-0000-0000F7740000}"/>
    <cellStyle name="Normal 5 2 23 3 3" xfId="26405" xr:uid="{00000000-0005-0000-0000-0000F8740000}"/>
    <cellStyle name="Normal 5 2 23 3 4" xfId="49667" xr:uid="{00000000-0005-0000-0000-0000F9740000}"/>
    <cellStyle name="Normal 5 2 23 4" xfId="16970" xr:uid="{00000000-0005-0000-0000-0000FA740000}"/>
    <cellStyle name="Normal 5 2 23 4 2" xfId="31102" xr:uid="{00000000-0005-0000-0000-0000FB740000}"/>
    <cellStyle name="Normal 5 2 23 4 3" xfId="44997" xr:uid="{00000000-0005-0000-0000-0000FC740000}"/>
    <cellStyle name="Normal 5 2 23 5" xfId="21783" xr:uid="{00000000-0005-0000-0000-0000FD740000}"/>
    <cellStyle name="Normal 5 2 23 6" xfId="40415" xr:uid="{00000000-0005-0000-0000-0000FE740000}"/>
    <cellStyle name="Normal 5 2 24" xfId="6430" xr:uid="{00000000-0005-0000-0000-0000FF740000}"/>
    <cellStyle name="Normal 5 2 24 2" xfId="12241" xr:uid="{00000000-0005-0000-0000-000000750000}"/>
    <cellStyle name="Normal 5 2 24 2 2" xfId="35726" xr:uid="{00000000-0005-0000-0000-000001750000}"/>
    <cellStyle name="Normal 5 2 24 2 3" xfId="26407" xr:uid="{00000000-0005-0000-0000-000002750000}"/>
    <cellStyle name="Normal 5 2 24 2 4" xfId="49669" xr:uid="{00000000-0005-0000-0000-000003750000}"/>
    <cellStyle name="Normal 5 2 24 3" xfId="16972" xr:uid="{00000000-0005-0000-0000-000004750000}"/>
    <cellStyle name="Normal 5 2 24 3 2" xfId="31104" xr:uid="{00000000-0005-0000-0000-000005750000}"/>
    <cellStyle name="Normal 5 2 24 3 3" xfId="44999" xr:uid="{00000000-0005-0000-0000-000006750000}"/>
    <cellStyle name="Normal 5 2 24 4" xfId="21785" xr:uid="{00000000-0005-0000-0000-000007750000}"/>
    <cellStyle name="Normal 5 2 24 5" xfId="40417" xr:uid="{00000000-0005-0000-0000-000008750000}"/>
    <cellStyle name="Normal 5 2 25" xfId="6431" xr:uid="{00000000-0005-0000-0000-000009750000}"/>
    <cellStyle name="Normal 5 2 25 2" xfId="12242" xr:uid="{00000000-0005-0000-0000-00000A750000}"/>
    <cellStyle name="Normal 5 2 25 2 2" xfId="35727" xr:uid="{00000000-0005-0000-0000-00000B750000}"/>
    <cellStyle name="Normal 5 2 25 2 3" xfId="26408" xr:uid="{00000000-0005-0000-0000-00000C750000}"/>
    <cellStyle name="Normal 5 2 25 2 4" xfId="49670" xr:uid="{00000000-0005-0000-0000-00000D750000}"/>
    <cellStyle name="Normal 5 2 25 3" xfId="16973" xr:uid="{00000000-0005-0000-0000-00000E750000}"/>
    <cellStyle name="Normal 5 2 25 3 2" xfId="31105" xr:uid="{00000000-0005-0000-0000-00000F750000}"/>
    <cellStyle name="Normal 5 2 25 3 3" xfId="45000" xr:uid="{00000000-0005-0000-0000-000010750000}"/>
    <cellStyle name="Normal 5 2 25 4" xfId="21786" xr:uid="{00000000-0005-0000-0000-000011750000}"/>
    <cellStyle name="Normal 5 2 25 5" xfId="40418" xr:uid="{00000000-0005-0000-0000-000012750000}"/>
    <cellStyle name="Normal 5 2 26" xfId="6432" xr:uid="{00000000-0005-0000-0000-000013750000}"/>
    <cellStyle name="Normal 5 2 26 2" xfId="12243" xr:uid="{00000000-0005-0000-0000-000014750000}"/>
    <cellStyle name="Normal 5 2 26 2 2" xfId="35728" xr:uid="{00000000-0005-0000-0000-000015750000}"/>
    <cellStyle name="Normal 5 2 26 2 3" xfId="26409" xr:uid="{00000000-0005-0000-0000-000016750000}"/>
    <cellStyle name="Normal 5 2 26 2 4" xfId="49671" xr:uid="{00000000-0005-0000-0000-000017750000}"/>
    <cellStyle name="Normal 5 2 26 3" xfId="16974" xr:uid="{00000000-0005-0000-0000-000018750000}"/>
    <cellStyle name="Normal 5 2 26 3 2" xfId="31106" xr:uid="{00000000-0005-0000-0000-000019750000}"/>
    <cellStyle name="Normal 5 2 26 3 3" xfId="45001" xr:uid="{00000000-0005-0000-0000-00001A750000}"/>
    <cellStyle name="Normal 5 2 26 4" xfId="21787" xr:uid="{00000000-0005-0000-0000-00001B750000}"/>
    <cellStyle name="Normal 5 2 26 5" xfId="40419" xr:uid="{00000000-0005-0000-0000-00001C750000}"/>
    <cellStyle name="Normal 5 2 27" xfId="6433" xr:uid="{00000000-0005-0000-0000-00001D750000}"/>
    <cellStyle name="Normal 5 2 27 2" xfId="12244" xr:uid="{00000000-0005-0000-0000-00001E750000}"/>
    <cellStyle name="Normal 5 2 27 2 2" xfId="35729" xr:uid="{00000000-0005-0000-0000-00001F750000}"/>
    <cellStyle name="Normal 5 2 27 2 3" xfId="26410" xr:uid="{00000000-0005-0000-0000-000020750000}"/>
    <cellStyle name="Normal 5 2 27 2 4" xfId="49672" xr:uid="{00000000-0005-0000-0000-000021750000}"/>
    <cellStyle name="Normal 5 2 27 3" xfId="16975" xr:uid="{00000000-0005-0000-0000-000022750000}"/>
    <cellStyle name="Normal 5 2 27 3 2" xfId="31107" xr:uid="{00000000-0005-0000-0000-000023750000}"/>
    <cellStyle name="Normal 5 2 27 3 3" xfId="45002" xr:uid="{00000000-0005-0000-0000-000024750000}"/>
    <cellStyle name="Normal 5 2 27 4" xfId="21788" xr:uid="{00000000-0005-0000-0000-000025750000}"/>
    <cellStyle name="Normal 5 2 27 5" xfId="40420" xr:uid="{00000000-0005-0000-0000-000026750000}"/>
    <cellStyle name="Normal 5 2 28" xfId="423" xr:uid="{00000000-0005-0000-0000-000027750000}"/>
    <cellStyle name="Normal 5 2 28 2" xfId="9681" xr:uid="{00000000-0005-0000-0000-000028750000}"/>
    <cellStyle name="Normal 5 2 28 2 2" xfId="33172" xr:uid="{00000000-0005-0000-0000-000029750000}"/>
    <cellStyle name="Normal 5 2 28 2 3" xfId="23857" xr:uid="{00000000-0005-0000-0000-00002A750000}"/>
    <cellStyle name="Normal 5 2 28 2 4" xfId="47115" xr:uid="{00000000-0005-0000-0000-00002B750000}"/>
    <cellStyle name="Normal 5 2 28 3" xfId="14442" xr:uid="{00000000-0005-0000-0000-00002C750000}"/>
    <cellStyle name="Normal 5 2 28 3 2" xfId="28573" xr:uid="{00000000-0005-0000-0000-00002D750000}"/>
    <cellStyle name="Normal 5 2 28 3 3" xfId="42453" xr:uid="{00000000-0005-0000-0000-00002E750000}"/>
    <cellStyle name="Normal 5 2 28 4" xfId="19253" xr:uid="{00000000-0005-0000-0000-00002F750000}"/>
    <cellStyle name="Normal 5 2 28 5" xfId="37888" xr:uid="{00000000-0005-0000-0000-000030750000}"/>
    <cellStyle name="Normal 5 2 29" xfId="9488" xr:uid="{00000000-0005-0000-0000-000031750000}"/>
    <cellStyle name="Normal 5 2 29 2" xfId="14157" xr:uid="{00000000-0005-0000-0000-000032750000}"/>
    <cellStyle name="Normal 5 2 29 2 2" xfId="37635" xr:uid="{00000000-0005-0000-0000-000033750000}"/>
    <cellStyle name="Normal 5 2 29 2 3" xfId="28321" xr:uid="{00000000-0005-0000-0000-000034750000}"/>
    <cellStyle name="Normal 5 2 29 2 4" xfId="51584" xr:uid="{00000000-0005-0000-0000-000035750000}"/>
    <cellStyle name="Normal 5 2 29 3" xfId="18869" xr:uid="{00000000-0005-0000-0000-000036750000}"/>
    <cellStyle name="Normal 5 2 29 3 2" xfId="33001" xr:uid="{00000000-0005-0000-0000-000037750000}"/>
    <cellStyle name="Normal 5 2 29 3 3" xfId="46903" xr:uid="{00000000-0005-0000-0000-000038750000}"/>
    <cellStyle name="Normal 5 2 29 4" xfId="23687" xr:uid="{00000000-0005-0000-0000-000039750000}"/>
    <cellStyle name="Normal 5 2 29 5" xfId="42274" xr:uid="{00000000-0005-0000-0000-00003A750000}"/>
    <cellStyle name="Normal 5 2 3" xfId="6434" xr:uid="{00000000-0005-0000-0000-00003B750000}"/>
    <cellStyle name="Normal 5 2 3 2" xfId="6435" xr:uid="{00000000-0005-0000-0000-00003C750000}"/>
    <cellStyle name="Normal 5 2 3 2 2" xfId="12246" xr:uid="{00000000-0005-0000-0000-00003D750000}"/>
    <cellStyle name="Normal 5 2 3 2 2 2" xfId="35731" xr:uid="{00000000-0005-0000-0000-00003E750000}"/>
    <cellStyle name="Normal 5 2 3 2 2 3" xfId="26412" xr:uid="{00000000-0005-0000-0000-00003F750000}"/>
    <cellStyle name="Normal 5 2 3 2 2 4" xfId="49674" xr:uid="{00000000-0005-0000-0000-000040750000}"/>
    <cellStyle name="Normal 5 2 3 2 3" xfId="16977" xr:uid="{00000000-0005-0000-0000-000041750000}"/>
    <cellStyle name="Normal 5 2 3 2 3 2" xfId="31109" xr:uid="{00000000-0005-0000-0000-000042750000}"/>
    <cellStyle name="Normal 5 2 3 2 3 3" xfId="45004" xr:uid="{00000000-0005-0000-0000-000043750000}"/>
    <cellStyle name="Normal 5 2 3 2 4" xfId="21790" xr:uid="{00000000-0005-0000-0000-000044750000}"/>
    <cellStyle name="Normal 5 2 3 2 5" xfId="40422" xr:uid="{00000000-0005-0000-0000-000045750000}"/>
    <cellStyle name="Normal 5 2 3 3" xfId="12245" xr:uid="{00000000-0005-0000-0000-000046750000}"/>
    <cellStyle name="Normal 5 2 3 3 2" xfId="35730" xr:uid="{00000000-0005-0000-0000-000047750000}"/>
    <cellStyle name="Normal 5 2 3 3 3" xfId="26411" xr:uid="{00000000-0005-0000-0000-000048750000}"/>
    <cellStyle name="Normal 5 2 3 3 4" xfId="49673" xr:uid="{00000000-0005-0000-0000-000049750000}"/>
    <cellStyle name="Normal 5 2 3 4" xfId="16976" xr:uid="{00000000-0005-0000-0000-00004A750000}"/>
    <cellStyle name="Normal 5 2 3 4 2" xfId="31108" xr:uid="{00000000-0005-0000-0000-00004B750000}"/>
    <cellStyle name="Normal 5 2 3 4 3" xfId="45003" xr:uid="{00000000-0005-0000-0000-00004C750000}"/>
    <cellStyle name="Normal 5 2 3 5" xfId="21789" xr:uid="{00000000-0005-0000-0000-00004D750000}"/>
    <cellStyle name="Normal 5 2 3 6" xfId="40421" xr:uid="{00000000-0005-0000-0000-00004E750000}"/>
    <cellStyle name="Normal 5 2 30" xfId="9528" xr:uid="{00000000-0005-0000-0000-00004F750000}"/>
    <cellStyle name="Normal 5 2 30 2" xfId="14194" xr:uid="{00000000-0005-0000-0000-000050750000}"/>
    <cellStyle name="Normal 5 2 30 2 2" xfId="37669" xr:uid="{00000000-0005-0000-0000-000051750000}"/>
    <cellStyle name="Normal 5 2 30 2 3" xfId="28354" xr:uid="{00000000-0005-0000-0000-000052750000}"/>
    <cellStyle name="Normal 5 2 30 2 4" xfId="51621" xr:uid="{00000000-0005-0000-0000-000053750000}"/>
    <cellStyle name="Normal 5 2 30 3" xfId="18902" xr:uid="{00000000-0005-0000-0000-000054750000}"/>
    <cellStyle name="Normal 5 2 30 3 2" xfId="33035" xr:uid="{00000000-0005-0000-0000-000055750000}"/>
    <cellStyle name="Normal 5 2 30 3 3" xfId="46941" xr:uid="{00000000-0005-0000-0000-000056750000}"/>
    <cellStyle name="Normal 5 2 30 4" xfId="23722" xr:uid="{00000000-0005-0000-0000-000057750000}"/>
    <cellStyle name="Normal 5 2 30 5" xfId="42307" xr:uid="{00000000-0005-0000-0000-000058750000}"/>
    <cellStyle name="Normal 5 2 31" xfId="9640" xr:uid="{00000000-0005-0000-0000-000059750000}"/>
    <cellStyle name="Normal 5 2 31 2" xfId="33132" xr:uid="{00000000-0005-0000-0000-00005A750000}"/>
    <cellStyle name="Normal 5 2 31 3" xfId="23820" xr:uid="{00000000-0005-0000-0000-00005B750000}"/>
    <cellStyle name="Normal 5 2 31 4" xfId="47074" xr:uid="{00000000-0005-0000-0000-00005C750000}"/>
    <cellStyle name="Normal 5 2 32" xfId="14403" xr:uid="{00000000-0005-0000-0000-00005D750000}"/>
    <cellStyle name="Normal 5 2 32 2" xfId="28535" xr:uid="{00000000-0005-0000-0000-00005E750000}"/>
    <cellStyle name="Normal 5 2 32 3" xfId="42411" xr:uid="{00000000-0005-0000-0000-00005F750000}"/>
    <cellStyle name="Normal 5 2 33" xfId="19216" xr:uid="{00000000-0005-0000-0000-000060750000}"/>
    <cellStyle name="Normal 5 2 34" xfId="37851" xr:uid="{00000000-0005-0000-0000-000061750000}"/>
    <cellStyle name="Normal 5 2 4" xfId="6436" xr:uid="{00000000-0005-0000-0000-000062750000}"/>
    <cellStyle name="Normal 5 2 4 2" xfId="6437" xr:uid="{00000000-0005-0000-0000-000063750000}"/>
    <cellStyle name="Normal 5 2 4 2 2" xfId="12248" xr:uid="{00000000-0005-0000-0000-000064750000}"/>
    <cellStyle name="Normal 5 2 4 2 2 2" xfId="35733" xr:uid="{00000000-0005-0000-0000-000065750000}"/>
    <cellStyle name="Normal 5 2 4 2 2 3" xfId="26414" xr:uid="{00000000-0005-0000-0000-000066750000}"/>
    <cellStyle name="Normal 5 2 4 2 2 4" xfId="49676" xr:uid="{00000000-0005-0000-0000-000067750000}"/>
    <cellStyle name="Normal 5 2 4 2 3" xfId="16979" xr:uid="{00000000-0005-0000-0000-000068750000}"/>
    <cellStyle name="Normal 5 2 4 2 3 2" xfId="31111" xr:uid="{00000000-0005-0000-0000-000069750000}"/>
    <cellStyle name="Normal 5 2 4 2 3 3" xfId="45006" xr:uid="{00000000-0005-0000-0000-00006A750000}"/>
    <cellStyle name="Normal 5 2 4 2 4" xfId="21792" xr:uid="{00000000-0005-0000-0000-00006B750000}"/>
    <cellStyle name="Normal 5 2 4 2 5" xfId="40424" xr:uid="{00000000-0005-0000-0000-00006C750000}"/>
    <cellStyle name="Normal 5 2 4 3" xfId="12247" xr:uid="{00000000-0005-0000-0000-00006D750000}"/>
    <cellStyle name="Normal 5 2 4 3 2" xfId="35732" xr:uid="{00000000-0005-0000-0000-00006E750000}"/>
    <cellStyle name="Normal 5 2 4 3 3" xfId="26413" xr:uid="{00000000-0005-0000-0000-00006F750000}"/>
    <cellStyle name="Normal 5 2 4 3 4" xfId="49675" xr:uid="{00000000-0005-0000-0000-000070750000}"/>
    <cellStyle name="Normal 5 2 4 4" xfId="16978" xr:uid="{00000000-0005-0000-0000-000071750000}"/>
    <cellStyle name="Normal 5 2 4 4 2" xfId="31110" xr:uid="{00000000-0005-0000-0000-000072750000}"/>
    <cellStyle name="Normal 5 2 4 4 3" xfId="45005" xr:uid="{00000000-0005-0000-0000-000073750000}"/>
    <cellStyle name="Normal 5 2 4 5" xfId="21791" xr:uid="{00000000-0005-0000-0000-000074750000}"/>
    <cellStyle name="Normal 5 2 4 6" xfId="40423" xr:uid="{00000000-0005-0000-0000-000075750000}"/>
    <cellStyle name="Normal 5 2 5" xfId="6438" xr:uid="{00000000-0005-0000-0000-000076750000}"/>
    <cellStyle name="Normal 5 2 5 2" xfId="6439" xr:uid="{00000000-0005-0000-0000-000077750000}"/>
    <cellStyle name="Normal 5 2 5 2 2" xfId="12250" xr:uid="{00000000-0005-0000-0000-000078750000}"/>
    <cellStyle name="Normal 5 2 5 2 2 2" xfId="35735" xr:uid="{00000000-0005-0000-0000-000079750000}"/>
    <cellStyle name="Normal 5 2 5 2 2 3" xfId="26416" xr:uid="{00000000-0005-0000-0000-00007A750000}"/>
    <cellStyle name="Normal 5 2 5 2 2 4" xfId="49678" xr:uid="{00000000-0005-0000-0000-00007B750000}"/>
    <cellStyle name="Normal 5 2 5 2 3" xfId="16981" xr:uid="{00000000-0005-0000-0000-00007C750000}"/>
    <cellStyle name="Normal 5 2 5 2 3 2" xfId="31113" xr:uid="{00000000-0005-0000-0000-00007D750000}"/>
    <cellStyle name="Normal 5 2 5 2 3 3" xfId="45008" xr:uid="{00000000-0005-0000-0000-00007E750000}"/>
    <cellStyle name="Normal 5 2 5 2 4" xfId="21794" xr:uid="{00000000-0005-0000-0000-00007F750000}"/>
    <cellStyle name="Normal 5 2 5 2 5" xfId="40426" xr:uid="{00000000-0005-0000-0000-000080750000}"/>
    <cellStyle name="Normal 5 2 5 3" xfId="12249" xr:uid="{00000000-0005-0000-0000-000081750000}"/>
    <cellStyle name="Normal 5 2 5 3 2" xfId="35734" xr:uid="{00000000-0005-0000-0000-000082750000}"/>
    <cellStyle name="Normal 5 2 5 3 3" xfId="26415" xr:uid="{00000000-0005-0000-0000-000083750000}"/>
    <cellStyle name="Normal 5 2 5 3 4" xfId="49677" xr:uid="{00000000-0005-0000-0000-000084750000}"/>
    <cellStyle name="Normal 5 2 5 4" xfId="16980" xr:uid="{00000000-0005-0000-0000-000085750000}"/>
    <cellStyle name="Normal 5 2 5 4 2" xfId="31112" xr:uid="{00000000-0005-0000-0000-000086750000}"/>
    <cellStyle name="Normal 5 2 5 4 3" xfId="45007" xr:uid="{00000000-0005-0000-0000-000087750000}"/>
    <cellStyle name="Normal 5 2 5 5" xfId="21793" xr:uid="{00000000-0005-0000-0000-000088750000}"/>
    <cellStyle name="Normal 5 2 5 6" xfId="40425" xr:uid="{00000000-0005-0000-0000-000089750000}"/>
    <cellStyle name="Normal 5 2 6" xfId="6440" xr:uid="{00000000-0005-0000-0000-00008A750000}"/>
    <cellStyle name="Normal 5 2 6 2" xfId="6441" xr:uid="{00000000-0005-0000-0000-00008B750000}"/>
    <cellStyle name="Normal 5 2 6 2 2" xfId="12252" xr:uid="{00000000-0005-0000-0000-00008C750000}"/>
    <cellStyle name="Normal 5 2 6 2 2 2" xfId="35737" xr:uid="{00000000-0005-0000-0000-00008D750000}"/>
    <cellStyle name="Normal 5 2 6 2 2 3" xfId="26418" xr:uid="{00000000-0005-0000-0000-00008E750000}"/>
    <cellStyle name="Normal 5 2 6 2 2 4" xfId="49680" xr:uid="{00000000-0005-0000-0000-00008F750000}"/>
    <cellStyle name="Normal 5 2 6 2 3" xfId="16983" xr:uid="{00000000-0005-0000-0000-000090750000}"/>
    <cellStyle name="Normal 5 2 6 2 3 2" xfId="31115" xr:uid="{00000000-0005-0000-0000-000091750000}"/>
    <cellStyle name="Normal 5 2 6 2 3 3" xfId="45010" xr:uid="{00000000-0005-0000-0000-000092750000}"/>
    <cellStyle name="Normal 5 2 6 2 4" xfId="21796" xr:uid="{00000000-0005-0000-0000-000093750000}"/>
    <cellStyle name="Normal 5 2 6 2 5" xfId="40428" xr:uid="{00000000-0005-0000-0000-000094750000}"/>
    <cellStyle name="Normal 5 2 6 3" xfId="12251" xr:uid="{00000000-0005-0000-0000-000095750000}"/>
    <cellStyle name="Normal 5 2 6 3 2" xfId="35736" xr:uid="{00000000-0005-0000-0000-000096750000}"/>
    <cellStyle name="Normal 5 2 6 3 3" xfId="26417" xr:uid="{00000000-0005-0000-0000-000097750000}"/>
    <cellStyle name="Normal 5 2 6 3 4" xfId="49679" xr:uid="{00000000-0005-0000-0000-000098750000}"/>
    <cellStyle name="Normal 5 2 6 4" xfId="16982" xr:uid="{00000000-0005-0000-0000-000099750000}"/>
    <cellStyle name="Normal 5 2 6 4 2" xfId="31114" xr:uid="{00000000-0005-0000-0000-00009A750000}"/>
    <cellStyle name="Normal 5 2 6 4 3" xfId="45009" xr:uid="{00000000-0005-0000-0000-00009B750000}"/>
    <cellStyle name="Normal 5 2 6 5" xfId="21795" xr:uid="{00000000-0005-0000-0000-00009C750000}"/>
    <cellStyle name="Normal 5 2 6 6" xfId="40427" xr:uid="{00000000-0005-0000-0000-00009D750000}"/>
    <cellStyle name="Normal 5 2 7" xfId="6442" xr:uid="{00000000-0005-0000-0000-00009E750000}"/>
    <cellStyle name="Normal 5 2 7 2" xfId="6443" xr:uid="{00000000-0005-0000-0000-00009F750000}"/>
    <cellStyle name="Normal 5 2 7 2 2" xfId="12254" xr:uid="{00000000-0005-0000-0000-0000A0750000}"/>
    <cellStyle name="Normal 5 2 7 2 2 2" xfId="35739" xr:uid="{00000000-0005-0000-0000-0000A1750000}"/>
    <cellStyle name="Normal 5 2 7 2 2 3" xfId="26420" xr:uid="{00000000-0005-0000-0000-0000A2750000}"/>
    <cellStyle name="Normal 5 2 7 2 2 4" xfId="49682" xr:uid="{00000000-0005-0000-0000-0000A3750000}"/>
    <cellStyle name="Normal 5 2 7 2 3" xfId="16985" xr:uid="{00000000-0005-0000-0000-0000A4750000}"/>
    <cellStyle name="Normal 5 2 7 2 3 2" xfId="31117" xr:uid="{00000000-0005-0000-0000-0000A5750000}"/>
    <cellStyle name="Normal 5 2 7 2 3 3" xfId="45012" xr:uid="{00000000-0005-0000-0000-0000A6750000}"/>
    <cellStyle name="Normal 5 2 7 2 4" xfId="21798" xr:uid="{00000000-0005-0000-0000-0000A7750000}"/>
    <cellStyle name="Normal 5 2 7 2 5" xfId="40430" xr:uid="{00000000-0005-0000-0000-0000A8750000}"/>
    <cellStyle name="Normal 5 2 7 3" xfId="12253" xr:uid="{00000000-0005-0000-0000-0000A9750000}"/>
    <cellStyle name="Normal 5 2 7 3 2" xfId="35738" xr:uid="{00000000-0005-0000-0000-0000AA750000}"/>
    <cellStyle name="Normal 5 2 7 3 3" xfId="26419" xr:uid="{00000000-0005-0000-0000-0000AB750000}"/>
    <cellStyle name="Normal 5 2 7 3 4" xfId="49681" xr:uid="{00000000-0005-0000-0000-0000AC750000}"/>
    <cellStyle name="Normal 5 2 7 4" xfId="16984" xr:uid="{00000000-0005-0000-0000-0000AD750000}"/>
    <cellStyle name="Normal 5 2 7 4 2" xfId="31116" xr:uid="{00000000-0005-0000-0000-0000AE750000}"/>
    <cellStyle name="Normal 5 2 7 4 3" xfId="45011" xr:uid="{00000000-0005-0000-0000-0000AF750000}"/>
    <cellStyle name="Normal 5 2 7 5" xfId="21797" xr:uid="{00000000-0005-0000-0000-0000B0750000}"/>
    <cellStyle name="Normal 5 2 7 6" xfId="40429" xr:uid="{00000000-0005-0000-0000-0000B1750000}"/>
    <cellStyle name="Normal 5 2 8" xfId="6444" xr:uid="{00000000-0005-0000-0000-0000B2750000}"/>
    <cellStyle name="Normal 5 2 8 2" xfId="6445" xr:uid="{00000000-0005-0000-0000-0000B3750000}"/>
    <cellStyle name="Normal 5 2 8 2 2" xfId="12256" xr:uid="{00000000-0005-0000-0000-0000B4750000}"/>
    <cellStyle name="Normal 5 2 8 2 2 2" xfId="35741" xr:uid="{00000000-0005-0000-0000-0000B5750000}"/>
    <cellStyle name="Normal 5 2 8 2 2 3" xfId="26422" xr:uid="{00000000-0005-0000-0000-0000B6750000}"/>
    <cellStyle name="Normal 5 2 8 2 2 4" xfId="49684" xr:uid="{00000000-0005-0000-0000-0000B7750000}"/>
    <cellStyle name="Normal 5 2 8 2 3" xfId="16987" xr:uid="{00000000-0005-0000-0000-0000B8750000}"/>
    <cellStyle name="Normal 5 2 8 2 3 2" xfId="31119" xr:uid="{00000000-0005-0000-0000-0000B9750000}"/>
    <cellStyle name="Normal 5 2 8 2 3 3" xfId="45014" xr:uid="{00000000-0005-0000-0000-0000BA750000}"/>
    <cellStyle name="Normal 5 2 8 2 4" xfId="21800" xr:uid="{00000000-0005-0000-0000-0000BB750000}"/>
    <cellStyle name="Normal 5 2 8 2 5" xfId="40432" xr:uid="{00000000-0005-0000-0000-0000BC750000}"/>
    <cellStyle name="Normal 5 2 8 3" xfId="12255" xr:uid="{00000000-0005-0000-0000-0000BD750000}"/>
    <cellStyle name="Normal 5 2 8 3 2" xfId="35740" xr:uid="{00000000-0005-0000-0000-0000BE750000}"/>
    <cellStyle name="Normal 5 2 8 3 3" xfId="26421" xr:uid="{00000000-0005-0000-0000-0000BF750000}"/>
    <cellStyle name="Normal 5 2 8 3 4" xfId="49683" xr:uid="{00000000-0005-0000-0000-0000C0750000}"/>
    <cellStyle name="Normal 5 2 8 4" xfId="16986" xr:uid="{00000000-0005-0000-0000-0000C1750000}"/>
    <cellStyle name="Normal 5 2 8 4 2" xfId="31118" xr:uid="{00000000-0005-0000-0000-0000C2750000}"/>
    <cellStyle name="Normal 5 2 8 4 3" xfId="45013" xr:uid="{00000000-0005-0000-0000-0000C3750000}"/>
    <cellStyle name="Normal 5 2 8 5" xfId="21799" xr:uid="{00000000-0005-0000-0000-0000C4750000}"/>
    <cellStyle name="Normal 5 2 8 6" xfId="40431" xr:uid="{00000000-0005-0000-0000-0000C5750000}"/>
    <cellStyle name="Normal 5 2 9" xfId="6446" xr:uid="{00000000-0005-0000-0000-0000C6750000}"/>
    <cellStyle name="Normal 5 2 9 2" xfId="6447" xr:uid="{00000000-0005-0000-0000-0000C7750000}"/>
    <cellStyle name="Normal 5 2 9 2 2" xfId="12258" xr:uid="{00000000-0005-0000-0000-0000C8750000}"/>
    <cellStyle name="Normal 5 2 9 2 2 2" xfId="35743" xr:uid="{00000000-0005-0000-0000-0000C9750000}"/>
    <cellStyle name="Normal 5 2 9 2 2 3" xfId="26424" xr:uid="{00000000-0005-0000-0000-0000CA750000}"/>
    <cellStyle name="Normal 5 2 9 2 2 4" xfId="49686" xr:uid="{00000000-0005-0000-0000-0000CB750000}"/>
    <cellStyle name="Normal 5 2 9 2 3" xfId="16989" xr:uid="{00000000-0005-0000-0000-0000CC750000}"/>
    <cellStyle name="Normal 5 2 9 2 3 2" xfId="31121" xr:uid="{00000000-0005-0000-0000-0000CD750000}"/>
    <cellStyle name="Normal 5 2 9 2 3 3" xfId="45016" xr:uid="{00000000-0005-0000-0000-0000CE750000}"/>
    <cellStyle name="Normal 5 2 9 2 4" xfId="21802" xr:uid="{00000000-0005-0000-0000-0000CF750000}"/>
    <cellStyle name="Normal 5 2 9 2 5" xfId="40434" xr:uid="{00000000-0005-0000-0000-0000D0750000}"/>
    <cellStyle name="Normal 5 2 9 3" xfId="12257" xr:uid="{00000000-0005-0000-0000-0000D1750000}"/>
    <cellStyle name="Normal 5 2 9 3 2" xfId="35742" xr:uid="{00000000-0005-0000-0000-0000D2750000}"/>
    <cellStyle name="Normal 5 2 9 3 3" xfId="26423" xr:uid="{00000000-0005-0000-0000-0000D3750000}"/>
    <cellStyle name="Normal 5 2 9 3 4" xfId="49685" xr:uid="{00000000-0005-0000-0000-0000D4750000}"/>
    <cellStyle name="Normal 5 2 9 4" xfId="16988" xr:uid="{00000000-0005-0000-0000-0000D5750000}"/>
    <cellStyle name="Normal 5 2 9 4 2" xfId="31120" xr:uid="{00000000-0005-0000-0000-0000D6750000}"/>
    <cellStyle name="Normal 5 2 9 4 3" xfId="45015" xr:uid="{00000000-0005-0000-0000-0000D7750000}"/>
    <cellStyle name="Normal 5 2 9 5" xfId="21801" xr:uid="{00000000-0005-0000-0000-0000D8750000}"/>
    <cellStyle name="Normal 5 2 9 6" xfId="40433" xr:uid="{00000000-0005-0000-0000-0000D9750000}"/>
    <cellStyle name="Normal 5 20" xfId="6448" xr:uid="{00000000-0005-0000-0000-0000DA750000}"/>
    <cellStyle name="Normal 5 20 2" xfId="6449" xr:uid="{00000000-0005-0000-0000-0000DB750000}"/>
    <cellStyle name="Normal 5 20 2 2" xfId="12260" xr:uid="{00000000-0005-0000-0000-0000DC750000}"/>
    <cellStyle name="Normal 5 20 2 2 2" xfId="35745" xr:uid="{00000000-0005-0000-0000-0000DD750000}"/>
    <cellStyle name="Normal 5 20 2 2 3" xfId="26426" xr:uid="{00000000-0005-0000-0000-0000DE750000}"/>
    <cellStyle name="Normal 5 20 2 2 4" xfId="49688" xr:uid="{00000000-0005-0000-0000-0000DF750000}"/>
    <cellStyle name="Normal 5 20 2 3" xfId="16991" xr:uid="{00000000-0005-0000-0000-0000E0750000}"/>
    <cellStyle name="Normal 5 20 2 3 2" xfId="31123" xr:uid="{00000000-0005-0000-0000-0000E1750000}"/>
    <cellStyle name="Normal 5 20 2 3 3" xfId="45018" xr:uid="{00000000-0005-0000-0000-0000E2750000}"/>
    <cellStyle name="Normal 5 20 2 4" xfId="21804" xr:uid="{00000000-0005-0000-0000-0000E3750000}"/>
    <cellStyle name="Normal 5 20 2 5" xfId="40436" xr:uid="{00000000-0005-0000-0000-0000E4750000}"/>
    <cellStyle name="Normal 5 20 3" xfId="12259" xr:uid="{00000000-0005-0000-0000-0000E5750000}"/>
    <cellStyle name="Normal 5 20 3 2" xfId="35744" xr:uid="{00000000-0005-0000-0000-0000E6750000}"/>
    <cellStyle name="Normal 5 20 3 3" xfId="26425" xr:uid="{00000000-0005-0000-0000-0000E7750000}"/>
    <cellStyle name="Normal 5 20 3 4" xfId="49687" xr:uid="{00000000-0005-0000-0000-0000E8750000}"/>
    <cellStyle name="Normal 5 20 4" xfId="16990" xr:uid="{00000000-0005-0000-0000-0000E9750000}"/>
    <cellStyle name="Normal 5 20 4 2" xfId="31122" xr:uid="{00000000-0005-0000-0000-0000EA750000}"/>
    <cellStyle name="Normal 5 20 4 3" xfId="45017" xr:uid="{00000000-0005-0000-0000-0000EB750000}"/>
    <cellStyle name="Normal 5 20 5" xfId="21803" xr:uid="{00000000-0005-0000-0000-0000EC750000}"/>
    <cellStyle name="Normal 5 20 6" xfId="40435" xr:uid="{00000000-0005-0000-0000-0000ED750000}"/>
    <cellStyle name="Normal 5 21" xfId="6450" xr:uid="{00000000-0005-0000-0000-0000EE750000}"/>
    <cellStyle name="Normal 5 21 2" xfId="6451" xr:uid="{00000000-0005-0000-0000-0000EF750000}"/>
    <cellStyle name="Normal 5 21 2 2" xfId="12262" xr:uid="{00000000-0005-0000-0000-0000F0750000}"/>
    <cellStyle name="Normal 5 21 2 2 2" xfId="35747" xr:uid="{00000000-0005-0000-0000-0000F1750000}"/>
    <cellStyle name="Normal 5 21 2 2 3" xfId="26428" xr:uid="{00000000-0005-0000-0000-0000F2750000}"/>
    <cellStyle name="Normal 5 21 2 2 4" xfId="49690" xr:uid="{00000000-0005-0000-0000-0000F3750000}"/>
    <cellStyle name="Normal 5 21 2 3" xfId="16993" xr:uid="{00000000-0005-0000-0000-0000F4750000}"/>
    <cellStyle name="Normal 5 21 2 3 2" xfId="31125" xr:uid="{00000000-0005-0000-0000-0000F5750000}"/>
    <cellStyle name="Normal 5 21 2 3 3" xfId="45020" xr:uid="{00000000-0005-0000-0000-0000F6750000}"/>
    <cellStyle name="Normal 5 21 2 4" xfId="21806" xr:uid="{00000000-0005-0000-0000-0000F7750000}"/>
    <cellStyle name="Normal 5 21 2 5" xfId="40438" xr:uid="{00000000-0005-0000-0000-0000F8750000}"/>
    <cellStyle name="Normal 5 21 3" xfId="12261" xr:uid="{00000000-0005-0000-0000-0000F9750000}"/>
    <cellStyle name="Normal 5 21 3 2" xfId="35746" xr:uid="{00000000-0005-0000-0000-0000FA750000}"/>
    <cellStyle name="Normal 5 21 3 3" xfId="26427" xr:uid="{00000000-0005-0000-0000-0000FB750000}"/>
    <cellStyle name="Normal 5 21 3 4" xfId="49689" xr:uid="{00000000-0005-0000-0000-0000FC750000}"/>
    <cellStyle name="Normal 5 21 4" xfId="16992" xr:uid="{00000000-0005-0000-0000-0000FD750000}"/>
    <cellStyle name="Normal 5 21 4 2" xfId="31124" xr:uid="{00000000-0005-0000-0000-0000FE750000}"/>
    <cellStyle name="Normal 5 21 4 3" xfId="45019" xr:uid="{00000000-0005-0000-0000-0000FF750000}"/>
    <cellStyle name="Normal 5 21 5" xfId="21805" xr:uid="{00000000-0005-0000-0000-000000760000}"/>
    <cellStyle name="Normal 5 21 6" xfId="40437" xr:uid="{00000000-0005-0000-0000-000001760000}"/>
    <cellStyle name="Normal 5 22" xfId="6452" xr:uid="{00000000-0005-0000-0000-000002760000}"/>
    <cellStyle name="Normal 5 22 2" xfId="6453" xr:uid="{00000000-0005-0000-0000-000003760000}"/>
    <cellStyle name="Normal 5 22 2 2" xfId="12264" xr:uid="{00000000-0005-0000-0000-000004760000}"/>
    <cellStyle name="Normal 5 22 2 2 2" xfId="35749" xr:uid="{00000000-0005-0000-0000-000005760000}"/>
    <cellStyle name="Normal 5 22 2 2 3" xfId="26430" xr:uid="{00000000-0005-0000-0000-000006760000}"/>
    <cellStyle name="Normal 5 22 2 2 4" xfId="49692" xr:uid="{00000000-0005-0000-0000-000007760000}"/>
    <cellStyle name="Normal 5 22 2 3" xfId="16995" xr:uid="{00000000-0005-0000-0000-000008760000}"/>
    <cellStyle name="Normal 5 22 2 3 2" xfId="31127" xr:uid="{00000000-0005-0000-0000-000009760000}"/>
    <cellStyle name="Normal 5 22 2 3 3" xfId="45022" xr:uid="{00000000-0005-0000-0000-00000A760000}"/>
    <cellStyle name="Normal 5 22 2 4" xfId="21808" xr:uid="{00000000-0005-0000-0000-00000B760000}"/>
    <cellStyle name="Normal 5 22 2 5" xfId="40440" xr:uid="{00000000-0005-0000-0000-00000C760000}"/>
    <cellStyle name="Normal 5 22 3" xfId="12263" xr:uid="{00000000-0005-0000-0000-00000D760000}"/>
    <cellStyle name="Normal 5 22 3 2" xfId="35748" xr:uid="{00000000-0005-0000-0000-00000E760000}"/>
    <cellStyle name="Normal 5 22 3 3" xfId="26429" xr:uid="{00000000-0005-0000-0000-00000F760000}"/>
    <cellStyle name="Normal 5 22 3 4" xfId="49691" xr:uid="{00000000-0005-0000-0000-000010760000}"/>
    <cellStyle name="Normal 5 22 4" xfId="16994" xr:uid="{00000000-0005-0000-0000-000011760000}"/>
    <cellStyle name="Normal 5 22 4 2" xfId="31126" xr:uid="{00000000-0005-0000-0000-000012760000}"/>
    <cellStyle name="Normal 5 22 4 3" xfId="45021" xr:uid="{00000000-0005-0000-0000-000013760000}"/>
    <cellStyle name="Normal 5 22 5" xfId="21807" xr:uid="{00000000-0005-0000-0000-000014760000}"/>
    <cellStyle name="Normal 5 22 6" xfId="40439" xr:uid="{00000000-0005-0000-0000-000015760000}"/>
    <cellStyle name="Normal 5 23" xfId="6454" xr:uid="{00000000-0005-0000-0000-000016760000}"/>
    <cellStyle name="Normal 5 23 2" xfId="6455" xr:uid="{00000000-0005-0000-0000-000017760000}"/>
    <cellStyle name="Normal 5 23 2 2" xfId="12266" xr:uid="{00000000-0005-0000-0000-000018760000}"/>
    <cellStyle name="Normal 5 23 2 2 2" xfId="35751" xr:uid="{00000000-0005-0000-0000-000019760000}"/>
    <cellStyle name="Normal 5 23 2 2 3" xfId="26432" xr:uid="{00000000-0005-0000-0000-00001A760000}"/>
    <cellStyle name="Normal 5 23 2 2 4" xfId="49694" xr:uid="{00000000-0005-0000-0000-00001B760000}"/>
    <cellStyle name="Normal 5 23 2 3" xfId="16997" xr:uid="{00000000-0005-0000-0000-00001C760000}"/>
    <cellStyle name="Normal 5 23 2 3 2" xfId="31129" xr:uid="{00000000-0005-0000-0000-00001D760000}"/>
    <cellStyle name="Normal 5 23 2 3 3" xfId="45024" xr:uid="{00000000-0005-0000-0000-00001E760000}"/>
    <cellStyle name="Normal 5 23 2 4" xfId="21810" xr:uid="{00000000-0005-0000-0000-00001F760000}"/>
    <cellStyle name="Normal 5 23 2 5" xfId="40442" xr:uid="{00000000-0005-0000-0000-000020760000}"/>
    <cellStyle name="Normal 5 23 3" xfId="12265" xr:uid="{00000000-0005-0000-0000-000021760000}"/>
    <cellStyle name="Normal 5 23 3 2" xfId="35750" xr:uid="{00000000-0005-0000-0000-000022760000}"/>
    <cellStyle name="Normal 5 23 3 3" xfId="26431" xr:uid="{00000000-0005-0000-0000-000023760000}"/>
    <cellStyle name="Normal 5 23 3 4" xfId="49693" xr:uid="{00000000-0005-0000-0000-000024760000}"/>
    <cellStyle name="Normal 5 23 4" xfId="16996" xr:uid="{00000000-0005-0000-0000-000025760000}"/>
    <cellStyle name="Normal 5 23 4 2" xfId="31128" xr:uid="{00000000-0005-0000-0000-000026760000}"/>
    <cellStyle name="Normal 5 23 4 3" xfId="45023" xr:uid="{00000000-0005-0000-0000-000027760000}"/>
    <cellStyle name="Normal 5 23 5" xfId="21809" xr:uid="{00000000-0005-0000-0000-000028760000}"/>
    <cellStyle name="Normal 5 23 6" xfId="40441" xr:uid="{00000000-0005-0000-0000-000029760000}"/>
    <cellStyle name="Normal 5 24" xfId="6456" xr:uid="{00000000-0005-0000-0000-00002A760000}"/>
    <cellStyle name="Normal 5 24 2" xfId="6457" xr:uid="{00000000-0005-0000-0000-00002B760000}"/>
    <cellStyle name="Normal 5 24 2 2" xfId="12268" xr:uid="{00000000-0005-0000-0000-00002C760000}"/>
    <cellStyle name="Normal 5 24 2 2 2" xfId="35753" xr:uid="{00000000-0005-0000-0000-00002D760000}"/>
    <cellStyle name="Normal 5 24 2 2 3" xfId="26434" xr:uid="{00000000-0005-0000-0000-00002E760000}"/>
    <cellStyle name="Normal 5 24 2 2 4" xfId="49696" xr:uid="{00000000-0005-0000-0000-00002F760000}"/>
    <cellStyle name="Normal 5 24 2 3" xfId="16999" xr:uid="{00000000-0005-0000-0000-000030760000}"/>
    <cellStyle name="Normal 5 24 2 3 2" xfId="31131" xr:uid="{00000000-0005-0000-0000-000031760000}"/>
    <cellStyle name="Normal 5 24 2 3 3" xfId="45026" xr:uid="{00000000-0005-0000-0000-000032760000}"/>
    <cellStyle name="Normal 5 24 2 4" xfId="21812" xr:uid="{00000000-0005-0000-0000-000033760000}"/>
    <cellStyle name="Normal 5 24 2 5" xfId="40444" xr:uid="{00000000-0005-0000-0000-000034760000}"/>
    <cellStyle name="Normal 5 24 3" xfId="12267" xr:uid="{00000000-0005-0000-0000-000035760000}"/>
    <cellStyle name="Normal 5 24 3 2" xfId="35752" xr:uid="{00000000-0005-0000-0000-000036760000}"/>
    <cellStyle name="Normal 5 24 3 3" xfId="26433" xr:uid="{00000000-0005-0000-0000-000037760000}"/>
    <cellStyle name="Normal 5 24 3 4" xfId="49695" xr:uid="{00000000-0005-0000-0000-000038760000}"/>
    <cellStyle name="Normal 5 24 4" xfId="16998" xr:uid="{00000000-0005-0000-0000-000039760000}"/>
    <cellStyle name="Normal 5 24 4 2" xfId="31130" xr:uid="{00000000-0005-0000-0000-00003A760000}"/>
    <cellStyle name="Normal 5 24 4 3" xfId="45025" xr:uid="{00000000-0005-0000-0000-00003B760000}"/>
    <cellStyle name="Normal 5 24 5" xfId="21811" xr:uid="{00000000-0005-0000-0000-00003C760000}"/>
    <cellStyle name="Normal 5 24 6" xfId="40443" xr:uid="{00000000-0005-0000-0000-00003D760000}"/>
    <cellStyle name="Normal 5 25" xfId="6458" xr:uid="{00000000-0005-0000-0000-00003E760000}"/>
    <cellStyle name="Normal 5 25 2" xfId="6459" xr:uid="{00000000-0005-0000-0000-00003F760000}"/>
    <cellStyle name="Normal 5 25 2 2" xfId="12270" xr:uid="{00000000-0005-0000-0000-000040760000}"/>
    <cellStyle name="Normal 5 25 2 2 2" xfId="35755" xr:uid="{00000000-0005-0000-0000-000041760000}"/>
    <cellStyle name="Normal 5 25 2 2 3" xfId="26436" xr:uid="{00000000-0005-0000-0000-000042760000}"/>
    <cellStyle name="Normal 5 25 2 2 4" xfId="49698" xr:uid="{00000000-0005-0000-0000-000043760000}"/>
    <cellStyle name="Normal 5 25 2 3" xfId="17001" xr:uid="{00000000-0005-0000-0000-000044760000}"/>
    <cellStyle name="Normal 5 25 2 3 2" xfId="31133" xr:uid="{00000000-0005-0000-0000-000045760000}"/>
    <cellStyle name="Normal 5 25 2 3 3" xfId="45028" xr:uid="{00000000-0005-0000-0000-000046760000}"/>
    <cellStyle name="Normal 5 25 2 4" xfId="21814" xr:uid="{00000000-0005-0000-0000-000047760000}"/>
    <cellStyle name="Normal 5 25 2 5" xfId="40446" xr:uid="{00000000-0005-0000-0000-000048760000}"/>
    <cellStyle name="Normal 5 25 3" xfId="12269" xr:uid="{00000000-0005-0000-0000-000049760000}"/>
    <cellStyle name="Normal 5 25 3 2" xfId="35754" xr:uid="{00000000-0005-0000-0000-00004A760000}"/>
    <cellStyle name="Normal 5 25 3 3" xfId="26435" xr:uid="{00000000-0005-0000-0000-00004B760000}"/>
    <cellStyle name="Normal 5 25 3 4" xfId="49697" xr:uid="{00000000-0005-0000-0000-00004C760000}"/>
    <cellStyle name="Normal 5 25 4" xfId="17000" xr:uid="{00000000-0005-0000-0000-00004D760000}"/>
    <cellStyle name="Normal 5 25 4 2" xfId="31132" xr:uid="{00000000-0005-0000-0000-00004E760000}"/>
    <cellStyle name="Normal 5 25 4 3" xfId="45027" xr:uid="{00000000-0005-0000-0000-00004F760000}"/>
    <cellStyle name="Normal 5 25 5" xfId="21813" xr:uid="{00000000-0005-0000-0000-000050760000}"/>
    <cellStyle name="Normal 5 25 6" xfId="40445" xr:uid="{00000000-0005-0000-0000-000051760000}"/>
    <cellStyle name="Normal 5 26" xfId="6460" xr:uid="{00000000-0005-0000-0000-000052760000}"/>
    <cellStyle name="Normal 5 26 2" xfId="6461" xr:uid="{00000000-0005-0000-0000-000053760000}"/>
    <cellStyle name="Normal 5 26 2 2" xfId="12272" xr:uid="{00000000-0005-0000-0000-000054760000}"/>
    <cellStyle name="Normal 5 26 2 2 2" xfId="35757" xr:uid="{00000000-0005-0000-0000-000055760000}"/>
    <cellStyle name="Normal 5 26 2 2 3" xfId="26438" xr:uid="{00000000-0005-0000-0000-000056760000}"/>
    <cellStyle name="Normal 5 26 2 2 4" xfId="49700" xr:uid="{00000000-0005-0000-0000-000057760000}"/>
    <cellStyle name="Normal 5 26 2 3" xfId="17003" xr:uid="{00000000-0005-0000-0000-000058760000}"/>
    <cellStyle name="Normal 5 26 2 3 2" xfId="31135" xr:uid="{00000000-0005-0000-0000-000059760000}"/>
    <cellStyle name="Normal 5 26 2 3 3" xfId="45030" xr:uid="{00000000-0005-0000-0000-00005A760000}"/>
    <cellStyle name="Normal 5 26 2 4" xfId="21816" xr:uid="{00000000-0005-0000-0000-00005B760000}"/>
    <cellStyle name="Normal 5 26 2 5" xfId="40448" xr:uid="{00000000-0005-0000-0000-00005C760000}"/>
    <cellStyle name="Normal 5 26 3" xfId="12271" xr:uid="{00000000-0005-0000-0000-00005D760000}"/>
    <cellStyle name="Normal 5 26 3 2" xfId="35756" xr:uid="{00000000-0005-0000-0000-00005E760000}"/>
    <cellStyle name="Normal 5 26 3 3" xfId="26437" xr:uid="{00000000-0005-0000-0000-00005F760000}"/>
    <cellStyle name="Normal 5 26 3 4" xfId="49699" xr:uid="{00000000-0005-0000-0000-000060760000}"/>
    <cellStyle name="Normal 5 26 4" xfId="17002" xr:uid="{00000000-0005-0000-0000-000061760000}"/>
    <cellStyle name="Normal 5 26 4 2" xfId="31134" xr:uid="{00000000-0005-0000-0000-000062760000}"/>
    <cellStyle name="Normal 5 26 4 3" xfId="45029" xr:uid="{00000000-0005-0000-0000-000063760000}"/>
    <cellStyle name="Normal 5 26 5" xfId="21815" xr:uid="{00000000-0005-0000-0000-000064760000}"/>
    <cellStyle name="Normal 5 26 6" xfId="40447" xr:uid="{00000000-0005-0000-0000-000065760000}"/>
    <cellStyle name="Normal 5 27" xfId="6462" xr:uid="{00000000-0005-0000-0000-000066760000}"/>
    <cellStyle name="Normal 5 27 2" xfId="6463" xr:uid="{00000000-0005-0000-0000-000067760000}"/>
    <cellStyle name="Normal 5 27 2 2" xfId="12274" xr:uid="{00000000-0005-0000-0000-000068760000}"/>
    <cellStyle name="Normal 5 27 2 2 2" xfId="35759" xr:uid="{00000000-0005-0000-0000-000069760000}"/>
    <cellStyle name="Normal 5 27 2 2 3" xfId="26440" xr:uid="{00000000-0005-0000-0000-00006A760000}"/>
    <cellStyle name="Normal 5 27 2 2 4" xfId="49702" xr:uid="{00000000-0005-0000-0000-00006B760000}"/>
    <cellStyle name="Normal 5 27 2 3" xfId="17005" xr:uid="{00000000-0005-0000-0000-00006C760000}"/>
    <cellStyle name="Normal 5 27 2 3 2" xfId="31137" xr:uid="{00000000-0005-0000-0000-00006D760000}"/>
    <cellStyle name="Normal 5 27 2 3 3" xfId="45032" xr:uid="{00000000-0005-0000-0000-00006E760000}"/>
    <cellStyle name="Normal 5 27 2 4" xfId="21818" xr:uid="{00000000-0005-0000-0000-00006F760000}"/>
    <cellStyle name="Normal 5 27 2 5" xfId="40450" xr:uid="{00000000-0005-0000-0000-000070760000}"/>
    <cellStyle name="Normal 5 27 3" xfId="12273" xr:uid="{00000000-0005-0000-0000-000071760000}"/>
    <cellStyle name="Normal 5 27 3 2" xfId="35758" xr:uid="{00000000-0005-0000-0000-000072760000}"/>
    <cellStyle name="Normal 5 27 3 3" xfId="26439" xr:uid="{00000000-0005-0000-0000-000073760000}"/>
    <cellStyle name="Normal 5 27 3 4" xfId="49701" xr:uid="{00000000-0005-0000-0000-000074760000}"/>
    <cellStyle name="Normal 5 27 4" xfId="17004" xr:uid="{00000000-0005-0000-0000-000075760000}"/>
    <cellStyle name="Normal 5 27 4 2" xfId="31136" xr:uid="{00000000-0005-0000-0000-000076760000}"/>
    <cellStyle name="Normal 5 27 4 3" xfId="45031" xr:uid="{00000000-0005-0000-0000-000077760000}"/>
    <cellStyle name="Normal 5 27 5" xfId="21817" xr:uid="{00000000-0005-0000-0000-000078760000}"/>
    <cellStyle name="Normal 5 27 6" xfId="40449" xr:uid="{00000000-0005-0000-0000-000079760000}"/>
    <cellStyle name="Normal 5 28" xfId="6464" xr:uid="{00000000-0005-0000-0000-00007A760000}"/>
    <cellStyle name="Normal 5 28 2" xfId="6465" xr:uid="{00000000-0005-0000-0000-00007B760000}"/>
    <cellStyle name="Normal 5 28 2 2" xfId="12276" xr:uid="{00000000-0005-0000-0000-00007C760000}"/>
    <cellStyle name="Normal 5 28 2 2 2" xfId="35761" xr:uid="{00000000-0005-0000-0000-00007D760000}"/>
    <cellStyle name="Normal 5 28 2 2 3" xfId="26442" xr:uid="{00000000-0005-0000-0000-00007E760000}"/>
    <cellStyle name="Normal 5 28 2 2 4" xfId="49704" xr:uid="{00000000-0005-0000-0000-00007F760000}"/>
    <cellStyle name="Normal 5 28 2 3" xfId="17007" xr:uid="{00000000-0005-0000-0000-000080760000}"/>
    <cellStyle name="Normal 5 28 2 3 2" xfId="31139" xr:uid="{00000000-0005-0000-0000-000081760000}"/>
    <cellStyle name="Normal 5 28 2 3 3" xfId="45034" xr:uid="{00000000-0005-0000-0000-000082760000}"/>
    <cellStyle name="Normal 5 28 2 4" xfId="21820" xr:uid="{00000000-0005-0000-0000-000083760000}"/>
    <cellStyle name="Normal 5 28 2 5" xfId="40452" xr:uid="{00000000-0005-0000-0000-000084760000}"/>
    <cellStyle name="Normal 5 28 3" xfId="12275" xr:uid="{00000000-0005-0000-0000-000085760000}"/>
    <cellStyle name="Normal 5 28 3 2" xfId="35760" xr:uid="{00000000-0005-0000-0000-000086760000}"/>
    <cellStyle name="Normal 5 28 3 3" xfId="26441" xr:uid="{00000000-0005-0000-0000-000087760000}"/>
    <cellStyle name="Normal 5 28 3 4" xfId="49703" xr:uid="{00000000-0005-0000-0000-000088760000}"/>
    <cellStyle name="Normal 5 28 4" xfId="17006" xr:uid="{00000000-0005-0000-0000-000089760000}"/>
    <cellStyle name="Normal 5 28 4 2" xfId="31138" xr:uid="{00000000-0005-0000-0000-00008A760000}"/>
    <cellStyle name="Normal 5 28 4 3" xfId="45033" xr:uid="{00000000-0005-0000-0000-00008B760000}"/>
    <cellStyle name="Normal 5 28 5" xfId="21819" xr:uid="{00000000-0005-0000-0000-00008C760000}"/>
    <cellStyle name="Normal 5 28 6" xfId="40451" xr:uid="{00000000-0005-0000-0000-00008D760000}"/>
    <cellStyle name="Normal 5 29" xfId="6466" xr:uid="{00000000-0005-0000-0000-00008E760000}"/>
    <cellStyle name="Normal 5 29 2" xfId="6467" xr:uid="{00000000-0005-0000-0000-00008F760000}"/>
    <cellStyle name="Normal 5 29 2 2" xfId="12278" xr:uid="{00000000-0005-0000-0000-000090760000}"/>
    <cellStyle name="Normal 5 29 2 2 2" xfId="35763" xr:uid="{00000000-0005-0000-0000-000091760000}"/>
    <cellStyle name="Normal 5 29 2 2 3" xfId="26444" xr:uid="{00000000-0005-0000-0000-000092760000}"/>
    <cellStyle name="Normal 5 29 2 2 4" xfId="49706" xr:uid="{00000000-0005-0000-0000-000093760000}"/>
    <cellStyle name="Normal 5 29 2 3" xfId="17009" xr:uid="{00000000-0005-0000-0000-000094760000}"/>
    <cellStyle name="Normal 5 29 2 3 2" xfId="31141" xr:uid="{00000000-0005-0000-0000-000095760000}"/>
    <cellStyle name="Normal 5 29 2 3 3" xfId="45036" xr:uid="{00000000-0005-0000-0000-000096760000}"/>
    <cellStyle name="Normal 5 29 2 4" xfId="21822" xr:uid="{00000000-0005-0000-0000-000097760000}"/>
    <cellStyle name="Normal 5 29 2 5" xfId="40454" xr:uid="{00000000-0005-0000-0000-000098760000}"/>
    <cellStyle name="Normal 5 29 3" xfId="12277" xr:uid="{00000000-0005-0000-0000-000099760000}"/>
    <cellStyle name="Normal 5 29 3 2" xfId="35762" xr:uid="{00000000-0005-0000-0000-00009A760000}"/>
    <cellStyle name="Normal 5 29 3 3" xfId="26443" xr:uid="{00000000-0005-0000-0000-00009B760000}"/>
    <cellStyle name="Normal 5 29 3 4" xfId="49705" xr:uid="{00000000-0005-0000-0000-00009C760000}"/>
    <cellStyle name="Normal 5 29 4" xfId="17008" xr:uid="{00000000-0005-0000-0000-00009D760000}"/>
    <cellStyle name="Normal 5 29 4 2" xfId="31140" xr:uid="{00000000-0005-0000-0000-00009E760000}"/>
    <cellStyle name="Normal 5 29 4 3" xfId="45035" xr:uid="{00000000-0005-0000-0000-00009F760000}"/>
    <cellStyle name="Normal 5 29 5" xfId="21821" xr:uid="{00000000-0005-0000-0000-0000A0760000}"/>
    <cellStyle name="Normal 5 29 6" xfId="40453" xr:uid="{00000000-0005-0000-0000-0000A1760000}"/>
    <cellStyle name="Normal 5 3" xfId="424" xr:uid="{00000000-0005-0000-0000-0000A2760000}"/>
    <cellStyle name="Normal 5 3 10" xfId="6468" xr:uid="{00000000-0005-0000-0000-0000A3760000}"/>
    <cellStyle name="Normal 5 3 10 2" xfId="6469" xr:uid="{00000000-0005-0000-0000-0000A4760000}"/>
    <cellStyle name="Normal 5 3 10 2 2" xfId="12280" xr:uid="{00000000-0005-0000-0000-0000A5760000}"/>
    <cellStyle name="Normal 5 3 10 2 2 2" xfId="35765" xr:uid="{00000000-0005-0000-0000-0000A6760000}"/>
    <cellStyle name="Normal 5 3 10 2 2 3" xfId="26446" xr:uid="{00000000-0005-0000-0000-0000A7760000}"/>
    <cellStyle name="Normal 5 3 10 2 2 4" xfId="49708" xr:uid="{00000000-0005-0000-0000-0000A8760000}"/>
    <cellStyle name="Normal 5 3 10 2 3" xfId="17011" xr:uid="{00000000-0005-0000-0000-0000A9760000}"/>
    <cellStyle name="Normal 5 3 10 2 3 2" xfId="31143" xr:uid="{00000000-0005-0000-0000-0000AA760000}"/>
    <cellStyle name="Normal 5 3 10 2 3 3" xfId="45038" xr:uid="{00000000-0005-0000-0000-0000AB760000}"/>
    <cellStyle name="Normal 5 3 10 2 4" xfId="21824" xr:uid="{00000000-0005-0000-0000-0000AC760000}"/>
    <cellStyle name="Normal 5 3 10 2 5" xfId="40456" xr:uid="{00000000-0005-0000-0000-0000AD760000}"/>
    <cellStyle name="Normal 5 3 10 3" xfId="12279" xr:uid="{00000000-0005-0000-0000-0000AE760000}"/>
    <cellStyle name="Normal 5 3 10 3 2" xfId="35764" xr:uid="{00000000-0005-0000-0000-0000AF760000}"/>
    <cellStyle name="Normal 5 3 10 3 3" xfId="26445" xr:uid="{00000000-0005-0000-0000-0000B0760000}"/>
    <cellStyle name="Normal 5 3 10 3 4" xfId="49707" xr:uid="{00000000-0005-0000-0000-0000B1760000}"/>
    <cellStyle name="Normal 5 3 10 4" xfId="17010" xr:uid="{00000000-0005-0000-0000-0000B2760000}"/>
    <cellStyle name="Normal 5 3 10 4 2" xfId="31142" xr:uid="{00000000-0005-0000-0000-0000B3760000}"/>
    <cellStyle name="Normal 5 3 10 4 3" xfId="45037" xr:uid="{00000000-0005-0000-0000-0000B4760000}"/>
    <cellStyle name="Normal 5 3 10 5" xfId="21823" xr:uid="{00000000-0005-0000-0000-0000B5760000}"/>
    <cellStyle name="Normal 5 3 10 6" xfId="40455" xr:uid="{00000000-0005-0000-0000-0000B6760000}"/>
    <cellStyle name="Normal 5 3 11" xfId="6470" xr:uid="{00000000-0005-0000-0000-0000B7760000}"/>
    <cellStyle name="Normal 5 3 11 2" xfId="6471" xr:uid="{00000000-0005-0000-0000-0000B8760000}"/>
    <cellStyle name="Normal 5 3 11 2 2" xfId="12282" xr:uid="{00000000-0005-0000-0000-0000B9760000}"/>
    <cellStyle name="Normal 5 3 11 2 2 2" xfId="35767" xr:uid="{00000000-0005-0000-0000-0000BA760000}"/>
    <cellStyle name="Normal 5 3 11 2 2 3" xfId="26448" xr:uid="{00000000-0005-0000-0000-0000BB760000}"/>
    <cellStyle name="Normal 5 3 11 2 2 4" xfId="49710" xr:uid="{00000000-0005-0000-0000-0000BC760000}"/>
    <cellStyle name="Normal 5 3 11 2 3" xfId="17013" xr:uid="{00000000-0005-0000-0000-0000BD760000}"/>
    <cellStyle name="Normal 5 3 11 2 3 2" xfId="31145" xr:uid="{00000000-0005-0000-0000-0000BE760000}"/>
    <cellStyle name="Normal 5 3 11 2 3 3" xfId="45040" xr:uid="{00000000-0005-0000-0000-0000BF760000}"/>
    <cellStyle name="Normal 5 3 11 2 4" xfId="21826" xr:uid="{00000000-0005-0000-0000-0000C0760000}"/>
    <cellStyle name="Normal 5 3 11 2 5" xfId="40458" xr:uid="{00000000-0005-0000-0000-0000C1760000}"/>
    <cellStyle name="Normal 5 3 11 3" xfId="12281" xr:uid="{00000000-0005-0000-0000-0000C2760000}"/>
    <cellStyle name="Normal 5 3 11 3 2" xfId="35766" xr:uid="{00000000-0005-0000-0000-0000C3760000}"/>
    <cellStyle name="Normal 5 3 11 3 3" xfId="26447" xr:uid="{00000000-0005-0000-0000-0000C4760000}"/>
    <cellStyle name="Normal 5 3 11 3 4" xfId="49709" xr:uid="{00000000-0005-0000-0000-0000C5760000}"/>
    <cellStyle name="Normal 5 3 11 4" xfId="17012" xr:uid="{00000000-0005-0000-0000-0000C6760000}"/>
    <cellStyle name="Normal 5 3 11 4 2" xfId="31144" xr:uid="{00000000-0005-0000-0000-0000C7760000}"/>
    <cellStyle name="Normal 5 3 11 4 3" xfId="45039" xr:uid="{00000000-0005-0000-0000-0000C8760000}"/>
    <cellStyle name="Normal 5 3 11 5" xfId="21825" xr:uid="{00000000-0005-0000-0000-0000C9760000}"/>
    <cellStyle name="Normal 5 3 11 6" xfId="40457" xr:uid="{00000000-0005-0000-0000-0000CA760000}"/>
    <cellStyle name="Normal 5 3 12" xfId="6472" xr:uid="{00000000-0005-0000-0000-0000CB760000}"/>
    <cellStyle name="Normal 5 3 12 2" xfId="6473" xr:uid="{00000000-0005-0000-0000-0000CC760000}"/>
    <cellStyle name="Normal 5 3 12 2 2" xfId="12284" xr:uid="{00000000-0005-0000-0000-0000CD760000}"/>
    <cellStyle name="Normal 5 3 12 2 2 2" xfId="35769" xr:uid="{00000000-0005-0000-0000-0000CE760000}"/>
    <cellStyle name="Normal 5 3 12 2 2 3" xfId="26450" xr:uid="{00000000-0005-0000-0000-0000CF760000}"/>
    <cellStyle name="Normal 5 3 12 2 2 4" xfId="49712" xr:uid="{00000000-0005-0000-0000-0000D0760000}"/>
    <cellStyle name="Normal 5 3 12 2 3" xfId="17015" xr:uid="{00000000-0005-0000-0000-0000D1760000}"/>
    <cellStyle name="Normal 5 3 12 2 3 2" xfId="31147" xr:uid="{00000000-0005-0000-0000-0000D2760000}"/>
    <cellStyle name="Normal 5 3 12 2 3 3" xfId="45042" xr:uid="{00000000-0005-0000-0000-0000D3760000}"/>
    <cellStyle name="Normal 5 3 12 2 4" xfId="21828" xr:uid="{00000000-0005-0000-0000-0000D4760000}"/>
    <cellStyle name="Normal 5 3 12 2 5" xfId="40460" xr:uid="{00000000-0005-0000-0000-0000D5760000}"/>
    <cellStyle name="Normal 5 3 12 3" xfId="12283" xr:uid="{00000000-0005-0000-0000-0000D6760000}"/>
    <cellStyle name="Normal 5 3 12 3 2" xfId="35768" xr:uid="{00000000-0005-0000-0000-0000D7760000}"/>
    <cellStyle name="Normal 5 3 12 3 3" xfId="26449" xr:uid="{00000000-0005-0000-0000-0000D8760000}"/>
    <cellStyle name="Normal 5 3 12 3 4" xfId="49711" xr:uid="{00000000-0005-0000-0000-0000D9760000}"/>
    <cellStyle name="Normal 5 3 12 4" xfId="17014" xr:uid="{00000000-0005-0000-0000-0000DA760000}"/>
    <cellStyle name="Normal 5 3 12 4 2" xfId="31146" xr:uid="{00000000-0005-0000-0000-0000DB760000}"/>
    <cellStyle name="Normal 5 3 12 4 3" xfId="45041" xr:uid="{00000000-0005-0000-0000-0000DC760000}"/>
    <cellStyle name="Normal 5 3 12 5" xfId="21827" xr:uid="{00000000-0005-0000-0000-0000DD760000}"/>
    <cellStyle name="Normal 5 3 12 6" xfId="40459" xr:uid="{00000000-0005-0000-0000-0000DE760000}"/>
    <cellStyle name="Normal 5 3 13" xfId="6474" xr:uid="{00000000-0005-0000-0000-0000DF760000}"/>
    <cellStyle name="Normal 5 3 13 2" xfId="6475" xr:uid="{00000000-0005-0000-0000-0000E0760000}"/>
    <cellStyle name="Normal 5 3 13 2 2" xfId="12286" xr:uid="{00000000-0005-0000-0000-0000E1760000}"/>
    <cellStyle name="Normal 5 3 13 2 2 2" xfId="35771" xr:uid="{00000000-0005-0000-0000-0000E2760000}"/>
    <cellStyle name="Normal 5 3 13 2 2 3" xfId="26452" xr:uid="{00000000-0005-0000-0000-0000E3760000}"/>
    <cellStyle name="Normal 5 3 13 2 2 4" xfId="49714" xr:uid="{00000000-0005-0000-0000-0000E4760000}"/>
    <cellStyle name="Normal 5 3 13 2 3" xfId="17017" xr:uid="{00000000-0005-0000-0000-0000E5760000}"/>
    <cellStyle name="Normal 5 3 13 2 3 2" xfId="31149" xr:uid="{00000000-0005-0000-0000-0000E6760000}"/>
    <cellStyle name="Normal 5 3 13 2 3 3" xfId="45044" xr:uid="{00000000-0005-0000-0000-0000E7760000}"/>
    <cellStyle name="Normal 5 3 13 2 4" xfId="21830" xr:uid="{00000000-0005-0000-0000-0000E8760000}"/>
    <cellStyle name="Normal 5 3 13 2 5" xfId="40462" xr:uid="{00000000-0005-0000-0000-0000E9760000}"/>
    <cellStyle name="Normal 5 3 13 3" xfId="12285" xr:uid="{00000000-0005-0000-0000-0000EA760000}"/>
    <cellStyle name="Normal 5 3 13 3 2" xfId="35770" xr:uid="{00000000-0005-0000-0000-0000EB760000}"/>
    <cellStyle name="Normal 5 3 13 3 3" xfId="26451" xr:uid="{00000000-0005-0000-0000-0000EC760000}"/>
    <cellStyle name="Normal 5 3 13 3 4" xfId="49713" xr:uid="{00000000-0005-0000-0000-0000ED760000}"/>
    <cellStyle name="Normal 5 3 13 4" xfId="17016" xr:uid="{00000000-0005-0000-0000-0000EE760000}"/>
    <cellStyle name="Normal 5 3 13 4 2" xfId="31148" xr:uid="{00000000-0005-0000-0000-0000EF760000}"/>
    <cellStyle name="Normal 5 3 13 4 3" xfId="45043" xr:uid="{00000000-0005-0000-0000-0000F0760000}"/>
    <cellStyle name="Normal 5 3 13 5" xfId="21829" xr:uid="{00000000-0005-0000-0000-0000F1760000}"/>
    <cellStyle name="Normal 5 3 13 6" xfId="40461" xr:uid="{00000000-0005-0000-0000-0000F2760000}"/>
    <cellStyle name="Normal 5 3 14" xfId="6476" xr:uid="{00000000-0005-0000-0000-0000F3760000}"/>
    <cellStyle name="Normal 5 3 14 2" xfId="6477" xr:uid="{00000000-0005-0000-0000-0000F4760000}"/>
    <cellStyle name="Normal 5 3 14 2 2" xfId="12288" xr:uid="{00000000-0005-0000-0000-0000F5760000}"/>
    <cellStyle name="Normal 5 3 14 2 2 2" xfId="35773" xr:uid="{00000000-0005-0000-0000-0000F6760000}"/>
    <cellStyle name="Normal 5 3 14 2 2 3" xfId="26454" xr:uid="{00000000-0005-0000-0000-0000F7760000}"/>
    <cellStyle name="Normal 5 3 14 2 2 4" xfId="49716" xr:uid="{00000000-0005-0000-0000-0000F8760000}"/>
    <cellStyle name="Normal 5 3 14 2 3" xfId="17019" xr:uid="{00000000-0005-0000-0000-0000F9760000}"/>
    <cellStyle name="Normal 5 3 14 2 3 2" xfId="31151" xr:uid="{00000000-0005-0000-0000-0000FA760000}"/>
    <cellStyle name="Normal 5 3 14 2 3 3" xfId="45046" xr:uid="{00000000-0005-0000-0000-0000FB760000}"/>
    <cellStyle name="Normal 5 3 14 2 4" xfId="21832" xr:uid="{00000000-0005-0000-0000-0000FC760000}"/>
    <cellStyle name="Normal 5 3 14 2 5" xfId="40464" xr:uid="{00000000-0005-0000-0000-0000FD760000}"/>
    <cellStyle name="Normal 5 3 14 3" xfId="12287" xr:uid="{00000000-0005-0000-0000-0000FE760000}"/>
    <cellStyle name="Normal 5 3 14 3 2" xfId="35772" xr:uid="{00000000-0005-0000-0000-0000FF760000}"/>
    <cellStyle name="Normal 5 3 14 3 3" xfId="26453" xr:uid="{00000000-0005-0000-0000-000000770000}"/>
    <cellStyle name="Normal 5 3 14 3 4" xfId="49715" xr:uid="{00000000-0005-0000-0000-000001770000}"/>
    <cellStyle name="Normal 5 3 14 4" xfId="17018" xr:uid="{00000000-0005-0000-0000-000002770000}"/>
    <cellStyle name="Normal 5 3 14 4 2" xfId="31150" xr:uid="{00000000-0005-0000-0000-000003770000}"/>
    <cellStyle name="Normal 5 3 14 4 3" xfId="45045" xr:uid="{00000000-0005-0000-0000-000004770000}"/>
    <cellStyle name="Normal 5 3 14 5" xfId="21831" xr:uid="{00000000-0005-0000-0000-000005770000}"/>
    <cellStyle name="Normal 5 3 14 6" xfId="40463" xr:uid="{00000000-0005-0000-0000-000006770000}"/>
    <cellStyle name="Normal 5 3 15" xfId="6478" xr:uid="{00000000-0005-0000-0000-000007770000}"/>
    <cellStyle name="Normal 5 3 15 2" xfId="6479" xr:uid="{00000000-0005-0000-0000-000008770000}"/>
    <cellStyle name="Normal 5 3 15 2 2" xfId="12290" xr:uid="{00000000-0005-0000-0000-000009770000}"/>
    <cellStyle name="Normal 5 3 15 2 2 2" xfId="35775" xr:uid="{00000000-0005-0000-0000-00000A770000}"/>
    <cellStyle name="Normal 5 3 15 2 2 3" xfId="26456" xr:uid="{00000000-0005-0000-0000-00000B770000}"/>
    <cellStyle name="Normal 5 3 15 2 2 4" xfId="49718" xr:uid="{00000000-0005-0000-0000-00000C770000}"/>
    <cellStyle name="Normal 5 3 15 2 3" xfId="17021" xr:uid="{00000000-0005-0000-0000-00000D770000}"/>
    <cellStyle name="Normal 5 3 15 2 3 2" xfId="31153" xr:uid="{00000000-0005-0000-0000-00000E770000}"/>
    <cellStyle name="Normal 5 3 15 2 3 3" xfId="45048" xr:uid="{00000000-0005-0000-0000-00000F770000}"/>
    <cellStyle name="Normal 5 3 15 2 4" xfId="21834" xr:uid="{00000000-0005-0000-0000-000010770000}"/>
    <cellStyle name="Normal 5 3 15 2 5" xfId="40466" xr:uid="{00000000-0005-0000-0000-000011770000}"/>
    <cellStyle name="Normal 5 3 15 3" xfId="12289" xr:uid="{00000000-0005-0000-0000-000012770000}"/>
    <cellStyle name="Normal 5 3 15 3 2" xfId="35774" xr:uid="{00000000-0005-0000-0000-000013770000}"/>
    <cellStyle name="Normal 5 3 15 3 3" xfId="26455" xr:uid="{00000000-0005-0000-0000-000014770000}"/>
    <cellStyle name="Normal 5 3 15 3 4" xfId="49717" xr:uid="{00000000-0005-0000-0000-000015770000}"/>
    <cellStyle name="Normal 5 3 15 4" xfId="17020" xr:uid="{00000000-0005-0000-0000-000016770000}"/>
    <cellStyle name="Normal 5 3 15 4 2" xfId="31152" xr:uid="{00000000-0005-0000-0000-000017770000}"/>
    <cellStyle name="Normal 5 3 15 4 3" xfId="45047" xr:uid="{00000000-0005-0000-0000-000018770000}"/>
    <cellStyle name="Normal 5 3 15 5" xfId="21833" xr:uid="{00000000-0005-0000-0000-000019770000}"/>
    <cellStyle name="Normal 5 3 15 6" xfId="40465" xr:uid="{00000000-0005-0000-0000-00001A770000}"/>
    <cellStyle name="Normal 5 3 16" xfId="6480" xr:uid="{00000000-0005-0000-0000-00001B770000}"/>
    <cellStyle name="Normal 5 3 16 2" xfId="6481" xr:uid="{00000000-0005-0000-0000-00001C770000}"/>
    <cellStyle name="Normal 5 3 16 2 2" xfId="12292" xr:uid="{00000000-0005-0000-0000-00001D770000}"/>
    <cellStyle name="Normal 5 3 16 2 2 2" xfId="35777" xr:uid="{00000000-0005-0000-0000-00001E770000}"/>
    <cellStyle name="Normal 5 3 16 2 2 3" xfId="26458" xr:uid="{00000000-0005-0000-0000-00001F770000}"/>
    <cellStyle name="Normal 5 3 16 2 2 4" xfId="49720" xr:uid="{00000000-0005-0000-0000-000020770000}"/>
    <cellStyle name="Normal 5 3 16 2 3" xfId="17023" xr:uid="{00000000-0005-0000-0000-000021770000}"/>
    <cellStyle name="Normal 5 3 16 2 3 2" xfId="31155" xr:uid="{00000000-0005-0000-0000-000022770000}"/>
    <cellStyle name="Normal 5 3 16 2 3 3" xfId="45050" xr:uid="{00000000-0005-0000-0000-000023770000}"/>
    <cellStyle name="Normal 5 3 16 2 4" xfId="21836" xr:uid="{00000000-0005-0000-0000-000024770000}"/>
    <cellStyle name="Normal 5 3 16 2 5" xfId="40468" xr:uid="{00000000-0005-0000-0000-000025770000}"/>
    <cellStyle name="Normal 5 3 16 3" xfId="12291" xr:uid="{00000000-0005-0000-0000-000026770000}"/>
    <cellStyle name="Normal 5 3 16 3 2" xfId="35776" xr:uid="{00000000-0005-0000-0000-000027770000}"/>
    <cellStyle name="Normal 5 3 16 3 3" xfId="26457" xr:uid="{00000000-0005-0000-0000-000028770000}"/>
    <cellStyle name="Normal 5 3 16 3 4" xfId="49719" xr:uid="{00000000-0005-0000-0000-000029770000}"/>
    <cellStyle name="Normal 5 3 16 4" xfId="17022" xr:uid="{00000000-0005-0000-0000-00002A770000}"/>
    <cellStyle name="Normal 5 3 16 4 2" xfId="31154" xr:uid="{00000000-0005-0000-0000-00002B770000}"/>
    <cellStyle name="Normal 5 3 16 4 3" xfId="45049" xr:uid="{00000000-0005-0000-0000-00002C770000}"/>
    <cellStyle name="Normal 5 3 16 5" xfId="21835" xr:uid="{00000000-0005-0000-0000-00002D770000}"/>
    <cellStyle name="Normal 5 3 16 6" xfId="40467" xr:uid="{00000000-0005-0000-0000-00002E770000}"/>
    <cellStyle name="Normal 5 3 17" xfId="6482" xr:uid="{00000000-0005-0000-0000-00002F770000}"/>
    <cellStyle name="Normal 5 3 17 2" xfId="6483" xr:uid="{00000000-0005-0000-0000-000030770000}"/>
    <cellStyle name="Normal 5 3 17 2 2" xfId="12294" xr:uid="{00000000-0005-0000-0000-000031770000}"/>
    <cellStyle name="Normal 5 3 17 2 2 2" xfId="35779" xr:uid="{00000000-0005-0000-0000-000032770000}"/>
    <cellStyle name="Normal 5 3 17 2 2 3" xfId="26460" xr:uid="{00000000-0005-0000-0000-000033770000}"/>
    <cellStyle name="Normal 5 3 17 2 2 4" xfId="49722" xr:uid="{00000000-0005-0000-0000-000034770000}"/>
    <cellStyle name="Normal 5 3 17 2 3" xfId="17025" xr:uid="{00000000-0005-0000-0000-000035770000}"/>
    <cellStyle name="Normal 5 3 17 2 3 2" xfId="31157" xr:uid="{00000000-0005-0000-0000-000036770000}"/>
    <cellStyle name="Normal 5 3 17 2 3 3" xfId="45052" xr:uid="{00000000-0005-0000-0000-000037770000}"/>
    <cellStyle name="Normal 5 3 17 2 4" xfId="21838" xr:uid="{00000000-0005-0000-0000-000038770000}"/>
    <cellStyle name="Normal 5 3 17 2 5" xfId="40470" xr:uid="{00000000-0005-0000-0000-000039770000}"/>
    <cellStyle name="Normal 5 3 17 3" xfId="12293" xr:uid="{00000000-0005-0000-0000-00003A770000}"/>
    <cellStyle name="Normal 5 3 17 3 2" xfId="35778" xr:uid="{00000000-0005-0000-0000-00003B770000}"/>
    <cellStyle name="Normal 5 3 17 3 3" xfId="26459" xr:uid="{00000000-0005-0000-0000-00003C770000}"/>
    <cellStyle name="Normal 5 3 17 3 4" xfId="49721" xr:uid="{00000000-0005-0000-0000-00003D770000}"/>
    <cellStyle name="Normal 5 3 17 4" xfId="17024" xr:uid="{00000000-0005-0000-0000-00003E770000}"/>
    <cellStyle name="Normal 5 3 17 4 2" xfId="31156" xr:uid="{00000000-0005-0000-0000-00003F770000}"/>
    <cellStyle name="Normal 5 3 17 4 3" xfId="45051" xr:uid="{00000000-0005-0000-0000-000040770000}"/>
    <cellStyle name="Normal 5 3 17 5" xfId="21837" xr:uid="{00000000-0005-0000-0000-000041770000}"/>
    <cellStyle name="Normal 5 3 17 6" xfId="40469" xr:uid="{00000000-0005-0000-0000-000042770000}"/>
    <cellStyle name="Normal 5 3 18" xfId="6484" xr:uid="{00000000-0005-0000-0000-000043770000}"/>
    <cellStyle name="Normal 5 3 18 2" xfId="6485" xr:uid="{00000000-0005-0000-0000-000044770000}"/>
    <cellStyle name="Normal 5 3 18 2 2" xfId="12296" xr:uid="{00000000-0005-0000-0000-000045770000}"/>
    <cellStyle name="Normal 5 3 18 2 2 2" xfId="35781" xr:uid="{00000000-0005-0000-0000-000046770000}"/>
    <cellStyle name="Normal 5 3 18 2 2 3" xfId="26462" xr:uid="{00000000-0005-0000-0000-000047770000}"/>
    <cellStyle name="Normal 5 3 18 2 2 4" xfId="49724" xr:uid="{00000000-0005-0000-0000-000048770000}"/>
    <cellStyle name="Normal 5 3 18 2 3" xfId="17027" xr:uid="{00000000-0005-0000-0000-000049770000}"/>
    <cellStyle name="Normal 5 3 18 2 3 2" xfId="31159" xr:uid="{00000000-0005-0000-0000-00004A770000}"/>
    <cellStyle name="Normal 5 3 18 2 3 3" xfId="45054" xr:uid="{00000000-0005-0000-0000-00004B770000}"/>
    <cellStyle name="Normal 5 3 18 2 4" xfId="21840" xr:uid="{00000000-0005-0000-0000-00004C770000}"/>
    <cellStyle name="Normal 5 3 18 2 5" xfId="40472" xr:uid="{00000000-0005-0000-0000-00004D770000}"/>
    <cellStyle name="Normal 5 3 18 3" xfId="12295" xr:uid="{00000000-0005-0000-0000-00004E770000}"/>
    <cellStyle name="Normal 5 3 18 3 2" xfId="35780" xr:uid="{00000000-0005-0000-0000-00004F770000}"/>
    <cellStyle name="Normal 5 3 18 3 3" xfId="26461" xr:uid="{00000000-0005-0000-0000-000050770000}"/>
    <cellStyle name="Normal 5 3 18 3 4" xfId="49723" xr:uid="{00000000-0005-0000-0000-000051770000}"/>
    <cellStyle name="Normal 5 3 18 4" xfId="17026" xr:uid="{00000000-0005-0000-0000-000052770000}"/>
    <cellStyle name="Normal 5 3 18 4 2" xfId="31158" xr:uid="{00000000-0005-0000-0000-000053770000}"/>
    <cellStyle name="Normal 5 3 18 4 3" xfId="45053" xr:uid="{00000000-0005-0000-0000-000054770000}"/>
    <cellStyle name="Normal 5 3 18 5" xfId="21839" xr:uid="{00000000-0005-0000-0000-000055770000}"/>
    <cellStyle name="Normal 5 3 18 6" xfId="40471" xr:uid="{00000000-0005-0000-0000-000056770000}"/>
    <cellStyle name="Normal 5 3 19" xfId="6486" xr:uid="{00000000-0005-0000-0000-000057770000}"/>
    <cellStyle name="Normal 5 3 19 2" xfId="6487" xr:uid="{00000000-0005-0000-0000-000058770000}"/>
    <cellStyle name="Normal 5 3 19 2 2" xfId="12298" xr:uid="{00000000-0005-0000-0000-000059770000}"/>
    <cellStyle name="Normal 5 3 19 2 2 2" xfId="35783" xr:uid="{00000000-0005-0000-0000-00005A770000}"/>
    <cellStyle name="Normal 5 3 19 2 2 3" xfId="26464" xr:uid="{00000000-0005-0000-0000-00005B770000}"/>
    <cellStyle name="Normal 5 3 19 2 2 4" xfId="49726" xr:uid="{00000000-0005-0000-0000-00005C770000}"/>
    <cellStyle name="Normal 5 3 19 2 3" xfId="17029" xr:uid="{00000000-0005-0000-0000-00005D770000}"/>
    <cellStyle name="Normal 5 3 19 2 3 2" xfId="31161" xr:uid="{00000000-0005-0000-0000-00005E770000}"/>
    <cellStyle name="Normal 5 3 19 2 3 3" xfId="45056" xr:uid="{00000000-0005-0000-0000-00005F770000}"/>
    <cellStyle name="Normal 5 3 19 2 4" xfId="21842" xr:uid="{00000000-0005-0000-0000-000060770000}"/>
    <cellStyle name="Normal 5 3 19 2 5" xfId="40474" xr:uid="{00000000-0005-0000-0000-000061770000}"/>
    <cellStyle name="Normal 5 3 19 3" xfId="12297" xr:uid="{00000000-0005-0000-0000-000062770000}"/>
    <cellStyle name="Normal 5 3 19 3 2" xfId="35782" xr:uid="{00000000-0005-0000-0000-000063770000}"/>
    <cellStyle name="Normal 5 3 19 3 3" xfId="26463" xr:uid="{00000000-0005-0000-0000-000064770000}"/>
    <cellStyle name="Normal 5 3 19 3 4" xfId="49725" xr:uid="{00000000-0005-0000-0000-000065770000}"/>
    <cellStyle name="Normal 5 3 19 4" xfId="17028" xr:uid="{00000000-0005-0000-0000-000066770000}"/>
    <cellStyle name="Normal 5 3 19 4 2" xfId="31160" xr:uid="{00000000-0005-0000-0000-000067770000}"/>
    <cellStyle name="Normal 5 3 19 4 3" xfId="45055" xr:uid="{00000000-0005-0000-0000-000068770000}"/>
    <cellStyle name="Normal 5 3 19 5" xfId="21841" xr:uid="{00000000-0005-0000-0000-000069770000}"/>
    <cellStyle name="Normal 5 3 19 6" xfId="40473" xr:uid="{00000000-0005-0000-0000-00006A770000}"/>
    <cellStyle name="Normal 5 3 2" xfId="6488" xr:uid="{00000000-0005-0000-0000-00006B770000}"/>
    <cellStyle name="Normal 5 3 2 2" xfId="6489" xr:uid="{00000000-0005-0000-0000-00006C770000}"/>
    <cellStyle name="Normal 5 3 2 2 2" xfId="12300" xr:uid="{00000000-0005-0000-0000-00006D770000}"/>
    <cellStyle name="Normal 5 3 2 2 2 2" xfId="35785" xr:uid="{00000000-0005-0000-0000-00006E770000}"/>
    <cellStyle name="Normal 5 3 2 2 2 3" xfId="26466" xr:uid="{00000000-0005-0000-0000-00006F770000}"/>
    <cellStyle name="Normal 5 3 2 2 2 4" xfId="49728" xr:uid="{00000000-0005-0000-0000-000070770000}"/>
    <cellStyle name="Normal 5 3 2 2 3" xfId="17031" xr:uid="{00000000-0005-0000-0000-000071770000}"/>
    <cellStyle name="Normal 5 3 2 2 3 2" xfId="31163" xr:uid="{00000000-0005-0000-0000-000072770000}"/>
    <cellStyle name="Normal 5 3 2 2 3 3" xfId="45058" xr:uid="{00000000-0005-0000-0000-000073770000}"/>
    <cellStyle name="Normal 5 3 2 2 4" xfId="21844" xr:uid="{00000000-0005-0000-0000-000074770000}"/>
    <cellStyle name="Normal 5 3 2 2 5" xfId="40476" xr:uid="{00000000-0005-0000-0000-000075770000}"/>
    <cellStyle name="Normal 5 3 2 3" xfId="12299" xr:uid="{00000000-0005-0000-0000-000076770000}"/>
    <cellStyle name="Normal 5 3 2 3 2" xfId="35784" xr:uid="{00000000-0005-0000-0000-000077770000}"/>
    <cellStyle name="Normal 5 3 2 3 3" xfId="26465" xr:uid="{00000000-0005-0000-0000-000078770000}"/>
    <cellStyle name="Normal 5 3 2 3 4" xfId="49727" xr:uid="{00000000-0005-0000-0000-000079770000}"/>
    <cellStyle name="Normal 5 3 2 4" xfId="17030" xr:uid="{00000000-0005-0000-0000-00007A770000}"/>
    <cellStyle name="Normal 5 3 2 4 2" xfId="31162" xr:uid="{00000000-0005-0000-0000-00007B770000}"/>
    <cellStyle name="Normal 5 3 2 4 3" xfId="45057" xr:uid="{00000000-0005-0000-0000-00007C770000}"/>
    <cellStyle name="Normal 5 3 2 5" xfId="21843" xr:uid="{00000000-0005-0000-0000-00007D770000}"/>
    <cellStyle name="Normal 5 3 2 6" xfId="40475" xr:uid="{00000000-0005-0000-0000-00007E770000}"/>
    <cellStyle name="Normal 5 3 20" xfId="6490" xr:uid="{00000000-0005-0000-0000-00007F770000}"/>
    <cellStyle name="Normal 5 3 20 2" xfId="6491" xr:uid="{00000000-0005-0000-0000-000080770000}"/>
    <cellStyle name="Normal 5 3 20 2 2" xfId="12302" xr:uid="{00000000-0005-0000-0000-000081770000}"/>
    <cellStyle name="Normal 5 3 20 2 2 2" xfId="35787" xr:uid="{00000000-0005-0000-0000-000082770000}"/>
    <cellStyle name="Normal 5 3 20 2 2 3" xfId="26468" xr:uid="{00000000-0005-0000-0000-000083770000}"/>
    <cellStyle name="Normal 5 3 20 2 2 4" xfId="49730" xr:uid="{00000000-0005-0000-0000-000084770000}"/>
    <cellStyle name="Normal 5 3 20 2 3" xfId="17033" xr:uid="{00000000-0005-0000-0000-000085770000}"/>
    <cellStyle name="Normal 5 3 20 2 3 2" xfId="31165" xr:uid="{00000000-0005-0000-0000-000086770000}"/>
    <cellStyle name="Normal 5 3 20 2 3 3" xfId="45060" xr:uid="{00000000-0005-0000-0000-000087770000}"/>
    <cellStyle name="Normal 5 3 20 2 4" xfId="21846" xr:uid="{00000000-0005-0000-0000-000088770000}"/>
    <cellStyle name="Normal 5 3 20 2 5" xfId="40478" xr:uid="{00000000-0005-0000-0000-000089770000}"/>
    <cellStyle name="Normal 5 3 20 3" xfId="12301" xr:uid="{00000000-0005-0000-0000-00008A770000}"/>
    <cellStyle name="Normal 5 3 20 3 2" xfId="35786" xr:uid="{00000000-0005-0000-0000-00008B770000}"/>
    <cellStyle name="Normal 5 3 20 3 3" xfId="26467" xr:uid="{00000000-0005-0000-0000-00008C770000}"/>
    <cellStyle name="Normal 5 3 20 3 4" xfId="49729" xr:uid="{00000000-0005-0000-0000-00008D770000}"/>
    <cellStyle name="Normal 5 3 20 4" xfId="17032" xr:uid="{00000000-0005-0000-0000-00008E770000}"/>
    <cellStyle name="Normal 5 3 20 4 2" xfId="31164" xr:uid="{00000000-0005-0000-0000-00008F770000}"/>
    <cellStyle name="Normal 5 3 20 4 3" xfId="45059" xr:uid="{00000000-0005-0000-0000-000090770000}"/>
    <cellStyle name="Normal 5 3 20 5" xfId="21845" xr:uid="{00000000-0005-0000-0000-000091770000}"/>
    <cellStyle name="Normal 5 3 20 6" xfId="40477" xr:uid="{00000000-0005-0000-0000-000092770000}"/>
    <cellStyle name="Normal 5 3 21" xfId="6492" xr:uid="{00000000-0005-0000-0000-000093770000}"/>
    <cellStyle name="Normal 5 3 21 2" xfId="6493" xr:uid="{00000000-0005-0000-0000-000094770000}"/>
    <cellStyle name="Normal 5 3 21 2 2" xfId="12304" xr:uid="{00000000-0005-0000-0000-000095770000}"/>
    <cellStyle name="Normal 5 3 21 2 2 2" xfId="35789" xr:uid="{00000000-0005-0000-0000-000096770000}"/>
    <cellStyle name="Normal 5 3 21 2 2 3" xfId="26470" xr:uid="{00000000-0005-0000-0000-000097770000}"/>
    <cellStyle name="Normal 5 3 21 2 2 4" xfId="49732" xr:uid="{00000000-0005-0000-0000-000098770000}"/>
    <cellStyle name="Normal 5 3 21 2 3" xfId="17035" xr:uid="{00000000-0005-0000-0000-000099770000}"/>
    <cellStyle name="Normal 5 3 21 2 3 2" xfId="31167" xr:uid="{00000000-0005-0000-0000-00009A770000}"/>
    <cellStyle name="Normal 5 3 21 2 3 3" xfId="45062" xr:uid="{00000000-0005-0000-0000-00009B770000}"/>
    <cellStyle name="Normal 5 3 21 2 4" xfId="21848" xr:uid="{00000000-0005-0000-0000-00009C770000}"/>
    <cellStyle name="Normal 5 3 21 2 5" xfId="40480" xr:uid="{00000000-0005-0000-0000-00009D770000}"/>
    <cellStyle name="Normal 5 3 21 3" xfId="12303" xr:uid="{00000000-0005-0000-0000-00009E770000}"/>
    <cellStyle name="Normal 5 3 21 3 2" xfId="35788" xr:uid="{00000000-0005-0000-0000-00009F770000}"/>
    <cellStyle name="Normal 5 3 21 3 3" xfId="26469" xr:uid="{00000000-0005-0000-0000-0000A0770000}"/>
    <cellStyle name="Normal 5 3 21 3 4" xfId="49731" xr:uid="{00000000-0005-0000-0000-0000A1770000}"/>
    <cellStyle name="Normal 5 3 21 4" xfId="17034" xr:uid="{00000000-0005-0000-0000-0000A2770000}"/>
    <cellStyle name="Normal 5 3 21 4 2" xfId="31166" xr:uid="{00000000-0005-0000-0000-0000A3770000}"/>
    <cellStyle name="Normal 5 3 21 4 3" xfId="45061" xr:uid="{00000000-0005-0000-0000-0000A4770000}"/>
    <cellStyle name="Normal 5 3 21 5" xfId="21847" xr:uid="{00000000-0005-0000-0000-0000A5770000}"/>
    <cellStyle name="Normal 5 3 21 6" xfId="40479" xr:uid="{00000000-0005-0000-0000-0000A6770000}"/>
    <cellStyle name="Normal 5 3 22" xfId="6494" xr:uid="{00000000-0005-0000-0000-0000A7770000}"/>
    <cellStyle name="Normal 5 3 22 2" xfId="6495" xr:uid="{00000000-0005-0000-0000-0000A8770000}"/>
    <cellStyle name="Normal 5 3 22 2 2" xfId="12306" xr:uid="{00000000-0005-0000-0000-0000A9770000}"/>
    <cellStyle name="Normal 5 3 22 2 2 2" xfId="35791" xr:uid="{00000000-0005-0000-0000-0000AA770000}"/>
    <cellStyle name="Normal 5 3 22 2 2 3" xfId="26472" xr:uid="{00000000-0005-0000-0000-0000AB770000}"/>
    <cellStyle name="Normal 5 3 22 2 2 4" xfId="49734" xr:uid="{00000000-0005-0000-0000-0000AC770000}"/>
    <cellStyle name="Normal 5 3 22 2 3" xfId="17037" xr:uid="{00000000-0005-0000-0000-0000AD770000}"/>
    <cellStyle name="Normal 5 3 22 2 3 2" xfId="31169" xr:uid="{00000000-0005-0000-0000-0000AE770000}"/>
    <cellStyle name="Normal 5 3 22 2 3 3" xfId="45064" xr:uid="{00000000-0005-0000-0000-0000AF770000}"/>
    <cellStyle name="Normal 5 3 22 2 4" xfId="21850" xr:uid="{00000000-0005-0000-0000-0000B0770000}"/>
    <cellStyle name="Normal 5 3 22 2 5" xfId="40482" xr:uid="{00000000-0005-0000-0000-0000B1770000}"/>
    <cellStyle name="Normal 5 3 22 3" xfId="12305" xr:uid="{00000000-0005-0000-0000-0000B2770000}"/>
    <cellStyle name="Normal 5 3 22 3 2" xfId="35790" xr:uid="{00000000-0005-0000-0000-0000B3770000}"/>
    <cellStyle name="Normal 5 3 22 3 3" xfId="26471" xr:uid="{00000000-0005-0000-0000-0000B4770000}"/>
    <cellStyle name="Normal 5 3 22 3 4" xfId="49733" xr:uid="{00000000-0005-0000-0000-0000B5770000}"/>
    <cellStyle name="Normal 5 3 22 4" xfId="17036" xr:uid="{00000000-0005-0000-0000-0000B6770000}"/>
    <cellStyle name="Normal 5 3 22 4 2" xfId="31168" xr:uid="{00000000-0005-0000-0000-0000B7770000}"/>
    <cellStyle name="Normal 5 3 22 4 3" xfId="45063" xr:uid="{00000000-0005-0000-0000-0000B8770000}"/>
    <cellStyle name="Normal 5 3 22 5" xfId="21849" xr:uid="{00000000-0005-0000-0000-0000B9770000}"/>
    <cellStyle name="Normal 5 3 22 6" xfId="40481" xr:uid="{00000000-0005-0000-0000-0000BA770000}"/>
    <cellStyle name="Normal 5 3 23" xfId="6496" xr:uid="{00000000-0005-0000-0000-0000BB770000}"/>
    <cellStyle name="Normal 5 3 23 2" xfId="6497" xr:uid="{00000000-0005-0000-0000-0000BC770000}"/>
    <cellStyle name="Normal 5 3 23 2 2" xfId="12308" xr:uid="{00000000-0005-0000-0000-0000BD770000}"/>
    <cellStyle name="Normal 5 3 23 2 2 2" xfId="35793" xr:uid="{00000000-0005-0000-0000-0000BE770000}"/>
    <cellStyle name="Normal 5 3 23 2 2 3" xfId="26474" xr:uid="{00000000-0005-0000-0000-0000BF770000}"/>
    <cellStyle name="Normal 5 3 23 2 2 4" xfId="49736" xr:uid="{00000000-0005-0000-0000-0000C0770000}"/>
    <cellStyle name="Normal 5 3 23 2 3" xfId="17039" xr:uid="{00000000-0005-0000-0000-0000C1770000}"/>
    <cellStyle name="Normal 5 3 23 2 3 2" xfId="31171" xr:uid="{00000000-0005-0000-0000-0000C2770000}"/>
    <cellStyle name="Normal 5 3 23 2 3 3" xfId="45066" xr:uid="{00000000-0005-0000-0000-0000C3770000}"/>
    <cellStyle name="Normal 5 3 23 2 4" xfId="21852" xr:uid="{00000000-0005-0000-0000-0000C4770000}"/>
    <cellStyle name="Normal 5 3 23 2 5" xfId="40484" xr:uid="{00000000-0005-0000-0000-0000C5770000}"/>
    <cellStyle name="Normal 5 3 23 3" xfId="12307" xr:uid="{00000000-0005-0000-0000-0000C6770000}"/>
    <cellStyle name="Normal 5 3 23 3 2" xfId="35792" xr:uid="{00000000-0005-0000-0000-0000C7770000}"/>
    <cellStyle name="Normal 5 3 23 3 3" xfId="26473" xr:uid="{00000000-0005-0000-0000-0000C8770000}"/>
    <cellStyle name="Normal 5 3 23 3 4" xfId="49735" xr:uid="{00000000-0005-0000-0000-0000C9770000}"/>
    <cellStyle name="Normal 5 3 23 4" xfId="17038" xr:uid="{00000000-0005-0000-0000-0000CA770000}"/>
    <cellStyle name="Normal 5 3 23 4 2" xfId="31170" xr:uid="{00000000-0005-0000-0000-0000CB770000}"/>
    <cellStyle name="Normal 5 3 23 4 3" xfId="45065" xr:uid="{00000000-0005-0000-0000-0000CC770000}"/>
    <cellStyle name="Normal 5 3 23 5" xfId="21851" xr:uid="{00000000-0005-0000-0000-0000CD770000}"/>
    <cellStyle name="Normal 5 3 23 6" xfId="40483" xr:uid="{00000000-0005-0000-0000-0000CE770000}"/>
    <cellStyle name="Normal 5 3 24" xfId="6498" xr:uid="{00000000-0005-0000-0000-0000CF770000}"/>
    <cellStyle name="Normal 5 3 24 2" xfId="12309" xr:uid="{00000000-0005-0000-0000-0000D0770000}"/>
    <cellStyle name="Normal 5 3 24 2 2" xfId="35794" xr:uid="{00000000-0005-0000-0000-0000D1770000}"/>
    <cellStyle name="Normal 5 3 24 2 3" xfId="26475" xr:uid="{00000000-0005-0000-0000-0000D2770000}"/>
    <cellStyle name="Normal 5 3 24 2 4" xfId="49737" xr:uid="{00000000-0005-0000-0000-0000D3770000}"/>
    <cellStyle name="Normal 5 3 24 3" xfId="17040" xr:uid="{00000000-0005-0000-0000-0000D4770000}"/>
    <cellStyle name="Normal 5 3 24 3 2" xfId="31172" xr:uid="{00000000-0005-0000-0000-0000D5770000}"/>
    <cellStyle name="Normal 5 3 24 3 3" xfId="45067" xr:uid="{00000000-0005-0000-0000-0000D6770000}"/>
    <cellStyle name="Normal 5 3 24 4" xfId="21853" xr:uid="{00000000-0005-0000-0000-0000D7770000}"/>
    <cellStyle name="Normal 5 3 24 5" xfId="40485" xr:uid="{00000000-0005-0000-0000-0000D8770000}"/>
    <cellStyle name="Normal 5 3 25" xfId="9682" xr:uid="{00000000-0005-0000-0000-0000D9770000}"/>
    <cellStyle name="Normal 5 3 25 2" xfId="33173" xr:uid="{00000000-0005-0000-0000-0000DA770000}"/>
    <cellStyle name="Normal 5 3 25 3" xfId="23858" xr:uid="{00000000-0005-0000-0000-0000DB770000}"/>
    <cellStyle name="Normal 5 3 25 4" xfId="47116" xr:uid="{00000000-0005-0000-0000-0000DC770000}"/>
    <cellStyle name="Normal 5 3 26" xfId="14443" xr:uid="{00000000-0005-0000-0000-0000DD770000}"/>
    <cellStyle name="Normal 5 3 26 2" xfId="28574" xr:uid="{00000000-0005-0000-0000-0000DE770000}"/>
    <cellStyle name="Normal 5 3 26 3" xfId="42454" xr:uid="{00000000-0005-0000-0000-0000DF770000}"/>
    <cellStyle name="Normal 5 3 27" xfId="19254" xr:uid="{00000000-0005-0000-0000-0000E0770000}"/>
    <cellStyle name="Normal 5 3 28" xfId="37889" xr:uid="{00000000-0005-0000-0000-0000E1770000}"/>
    <cellStyle name="Normal 5 3 3" xfId="6499" xr:uid="{00000000-0005-0000-0000-0000E2770000}"/>
    <cellStyle name="Normal 5 3 3 2" xfId="6500" xr:uid="{00000000-0005-0000-0000-0000E3770000}"/>
    <cellStyle name="Normal 5 3 3 2 2" xfId="12311" xr:uid="{00000000-0005-0000-0000-0000E4770000}"/>
    <cellStyle name="Normal 5 3 3 2 2 2" xfId="35796" xr:uid="{00000000-0005-0000-0000-0000E5770000}"/>
    <cellStyle name="Normal 5 3 3 2 2 3" xfId="26477" xr:uid="{00000000-0005-0000-0000-0000E6770000}"/>
    <cellStyle name="Normal 5 3 3 2 2 4" xfId="49739" xr:uid="{00000000-0005-0000-0000-0000E7770000}"/>
    <cellStyle name="Normal 5 3 3 2 3" xfId="17042" xr:uid="{00000000-0005-0000-0000-0000E8770000}"/>
    <cellStyle name="Normal 5 3 3 2 3 2" xfId="31174" xr:uid="{00000000-0005-0000-0000-0000E9770000}"/>
    <cellStyle name="Normal 5 3 3 2 3 3" xfId="45069" xr:uid="{00000000-0005-0000-0000-0000EA770000}"/>
    <cellStyle name="Normal 5 3 3 2 4" xfId="21855" xr:uid="{00000000-0005-0000-0000-0000EB770000}"/>
    <cellStyle name="Normal 5 3 3 2 5" xfId="40487" xr:uid="{00000000-0005-0000-0000-0000EC770000}"/>
    <cellStyle name="Normal 5 3 3 3" xfId="12310" xr:uid="{00000000-0005-0000-0000-0000ED770000}"/>
    <cellStyle name="Normal 5 3 3 3 2" xfId="35795" xr:uid="{00000000-0005-0000-0000-0000EE770000}"/>
    <cellStyle name="Normal 5 3 3 3 3" xfId="26476" xr:uid="{00000000-0005-0000-0000-0000EF770000}"/>
    <cellStyle name="Normal 5 3 3 3 4" xfId="49738" xr:uid="{00000000-0005-0000-0000-0000F0770000}"/>
    <cellStyle name="Normal 5 3 3 4" xfId="17041" xr:uid="{00000000-0005-0000-0000-0000F1770000}"/>
    <cellStyle name="Normal 5 3 3 4 2" xfId="31173" xr:uid="{00000000-0005-0000-0000-0000F2770000}"/>
    <cellStyle name="Normal 5 3 3 4 3" xfId="45068" xr:uid="{00000000-0005-0000-0000-0000F3770000}"/>
    <cellStyle name="Normal 5 3 3 5" xfId="21854" xr:uid="{00000000-0005-0000-0000-0000F4770000}"/>
    <cellStyle name="Normal 5 3 3 6" xfId="40486" xr:uid="{00000000-0005-0000-0000-0000F5770000}"/>
    <cellStyle name="Normal 5 3 4" xfId="6501" xr:uid="{00000000-0005-0000-0000-0000F6770000}"/>
    <cellStyle name="Normal 5 3 4 2" xfId="6502" xr:uid="{00000000-0005-0000-0000-0000F7770000}"/>
    <cellStyle name="Normal 5 3 4 2 2" xfId="12313" xr:uid="{00000000-0005-0000-0000-0000F8770000}"/>
    <cellStyle name="Normal 5 3 4 2 2 2" xfId="35798" xr:uid="{00000000-0005-0000-0000-0000F9770000}"/>
    <cellStyle name="Normal 5 3 4 2 2 3" xfId="26479" xr:uid="{00000000-0005-0000-0000-0000FA770000}"/>
    <cellStyle name="Normal 5 3 4 2 2 4" xfId="49741" xr:uid="{00000000-0005-0000-0000-0000FB770000}"/>
    <cellStyle name="Normal 5 3 4 2 3" xfId="17044" xr:uid="{00000000-0005-0000-0000-0000FC770000}"/>
    <cellStyle name="Normal 5 3 4 2 3 2" xfId="31176" xr:uid="{00000000-0005-0000-0000-0000FD770000}"/>
    <cellStyle name="Normal 5 3 4 2 3 3" xfId="45071" xr:uid="{00000000-0005-0000-0000-0000FE770000}"/>
    <cellStyle name="Normal 5 3 4 2 4" xfId="21857" xr:uid="{00000000-0005-0000-0000-0000FF770000}"/>
    <cellStyle name="Normal 5 3 4 2 5" xfId="40489" xr:uid="{00000000-0005-0000-0000-000000780000}"/>
    <cellStyle name="Normal 5 3 4 3" xfId="12312" xr:uid="{00000000-0005-0000-0000-000001780000}"/>
    <cellStyle name="Normal 5 3 4 3 2" xfId="35797" xr:uid="{00000000-0005-0000-0000-000002780000}"/>
    <cellStyle name="Normal 5 3 4 3 3" xfId="26478" xr:uid="{00000000-0005-0000-0000-000003780000}"/>
    <cellStyle name="Normal 5 3 4 3 4" xfId="49740" xr:uid="{00000000-0005-0000-0000-000004780000}"/>
    <cellStyle name="Normal 5 3 4 4" xfId="17043" xr:uid="{00000000-0005-0000-0000-000005780000}"/>
    <cellStyle name="Normal 5 3 4 4 2" xfId="31175" xr:uid="{00000000-0005-0000-0000-000006780000}"/>
    <cellStyle name="Normal 5 3 4 4 3" xfId="45070" xr:uid="{00000000-0005-0000-0000-000007780000}"/>
    <cellStyle name="Normal 5 3 4 5" xfId="21856" xr:uid="{00000000-0005-0000-0000-000008780000}"/>
    <cellStyle name="Normal 5 3 4 6" xfId="40488" xr:uid="{00000000-0005-0000-0000-000009780000}"/>
    <cellStyle name="Normal 5 3 5" xfId="6503" xr:uid="{00000000-0005-0000-0000-00000A780000}"/>
    <cellStyle name="Normal 5 3 5 2" xfId="6504" xr:uid="{00000000-0005-0000-0000-00000B780000}"/>
    <cellStyle name="Normal 5 3 5 2 2" xfId="12315" xr:uid="{00000000-0005-0000-0000-00000C780000}"/>
    <cellStyle name="Normal 5 3 5 2 2 2" xfId="35800" xr:uid="{00000000-0005-0000-0000-00000D780000}"/>
    <cellStyle name="Normal 5 3 5 2 2 3" xfId="26481" xr:uid="{00000000-0005-0000-0000-00000E780000}"/>
    <cellStyle name="Normal 5 3 5 2 2 4" xfId="49743" xr:uid="{00000000-0005-0000-0000-00000F780000}"/>
    <cellStyle name="Normal 5 3 5 2 3" xfId="17046" xr:uid="{00000000-0005-0000-0000-000010780000}"/>
    <cellStyle name="Normal 5 3 5 2 3 2" xfId="31178" xr:uid="{00000000-0005-0000-0000-000011780000}"/>
    <cellStyle name="Normal 5 3 5 2 3 3" xfId="45073" xr:uid="{00000000-0005-0000-0000-000012780000}"/>
    <cellStyle name="Normal 5 3 5 2 4" xfId="21859" xr:uid="{00000000-0005-0000-0000-000013780000}"/>
    <cellStyle name="Normal 5 3 5 2 5" xfId="40491" xr:uid="{00000000-0005-0000-0000-000014780000}"/>
    <cellStyle name="Normal 5 3 5 3" xfId="12314" xr:uid="{00000000-0005-0000-0000-000015780000}"/>
    <cellStyle name="Normal 5 3 5 3 2" xfId="35799" xr:uid="{00000000-0005-0000-0000-000016780000}"/>
    <cellStyle name="Normal 5 3 5 3 3" xfId="26480" xr:uid="{00000000-0005-0000-0000-000017780000}"/>
    <cellStyle name="Normal 5 3 5 3 4" xfId="49742" xr:uid="{00000000-0005-0000-0000-000018780000}"/>
    <cellStyle name="Normal 5 3 5 4" xfId="17045" xr:uid="{00000000-0005-0000-0000-000019780000}"/>
    <cellStyle name="Normal 5 3 5 4 2" xfId="31177" xr:uid="{00000000-0005-0000-0000-00001A780000}"/>
    <cellStyle name="Normal 5 3 5 4 3" xfId="45072" xr:uid="{00000000-0005-0000-0000-00001B780000}"/>
    <cellStyle name="Normal 5 3 5 5" xfId="21858" xr:uid="{00000000-0005-0000-0000-00001C780000}"/>
    <cellStyle name="Normal 5 3 5 6" xfId="40490" xr:uid="{00000000-0005-0000-0000-00001D780000}"/>
    <cellStyle name="Normal 5 3 6" xfId="6505" xr:uid="{00000000-0005-0000-0000-00001E780000}"/>
    <cellStyle name="Normal 5 3 6 2" xfId="6506" xr:uid="{00000000-0005-0000-0000-00001F780000}"/>
    <cellStyle name="Normal 5 3 6 2 2" xfId="12317" xr:uid="{00000000-0005-0000-0000-000020780000}"/>
    <cellStyle name="Normal 5 3 6 2 2 2" xfId="35802" xr:uid="{00000000-0005-0000-0000-000021780000}"/>
    <cellStyle name="Normal 5 3 6 2 2 3" xfId="26483" xr:uid="{00000000-0005-0000-0000-000022780000}"/>
    <cellStyle name="Normal 5 3 6 2 2 4" xfId="49745" xr:uid="{00000000-0005-0000-0000-000023780000}"/>
    <cellStyle name="Normal 5 3 6 2 3" xfId="17048" xr:uid="{00000000-0005-0000-0000-000024780000}"/>
    <cellStyle name="Normal 5 3 6 2 3 2" xfId="31180" xr:uid="{00000000-0005-0000-0000-000025780000}"/>
    <cellStyle name="Normal 5 3 6 2 3 3" xfId="45075" xr:uid="{00000000-0005-0000-0000-000026780000}"/>
    <cellStyle name="Normal 5 3 6 2 4" xfId="21861" xr:uid="{00000000-0005-0000-0000-000027780000}"/>
    <cellStyle name="Normal 5 3 6 2 5" xfId="40493" xr:uid="{00000000-0005-0000-0000-000028780000}"/>
    <cellStyle name="Normal 5 3 6 3" xfId="12316" xr:uid="{00000000-0005-0000-0000-000029780000}"/>
    <cellStyle name="Normal 5 3 6 3 2" xfId="35801" xr:uid="{00000000-0005-0000-0000-00002A780000}"/>
    <cellStyle name="Normal 5 3 6 3 3" xfId="26482" xr:uid="{00000000-0005-0000-0000-00002B780000}"/>
    <cellStyle name="Normal 5 3 6 3 4" xfId="49744" xr:uid="{00000000-0005-0000-0000-00002C780000}"/>
    <cellStyle name="Normal 5 3 6 4" xfId="17047" xr:uid="{00000000-0005-0000-0000-00002D780000}"/>
    <cellStyle name="Normal 5 3 6 4 2" xfId="31179" xr:uid="{00000000-0005-0000-0000-00002E780000}"/>
    <cellStyle name="Normal 5 3 6 4 3" xfId="45074" xr:uid="{00000000-0005-0000-0000-00002F780000}"/>
    <cellStyle name="Normal 5 3 6 5" xfId="21860" xr:uid="{00000000-0005-0000-0000-000030780000}"/>
    <cellStyle name="Normal 5 3 6 6" xfId="40492" xr:uid="{00000000-0005-0000-0000-000031780000}"/>
    <cellStyle name="Normal 5 3 7" xfId="6507" xr:uid="{00000000-0005-0000-0000-000032780000}"/>
    <cellStyle name="Normal 5 3 7 2" xfId="6508" xr:uid="{00000000-0005-0000-0000-000033780000}"/>
    <cellStyle name="Normal 5 3 7 2 2" xfId="12319" xr:uid="{00000000-0005-0000-0000-000034780000}"/>
    <cellStyle name="Normal 5 3 7 2 2 2" xfId="35804" xr:uid="{00000000-0005-0000-0000-000035780000}"/>
    <cellStyle name="Normal 5 3 7 2 2 3" xfId="26485" xr:uid="{00000000-0005-0000-0000-000036780000}"/>
    <cellStyle name="Normal 5 3 7 2 2 4" xfId="49747" xr:uid="{00000000-0005-0000-0000-000037780000}"/>
    <cellStyle name="Normal 5 3 7 2 3" xfId="17050" xr:uid="{00000000-0005-0000-0000-000038780000}"/>
    <cellStyle name="Normal 5 3 7 2 3 2" xfId="31182" xr:uid="{00000000-0005-0000-0000-000039780000}"/>
    <cellStyle name="Normal 5 3 7 2 3 3" xfId="45077" xr:uid="{00000000-0005-0000-0000-00003A780000}"/>
    <cellStyle name="Normal 5 3 7 2 4" xfId="21863" xr:uid="{00000000-0005-0000-0000-00003B780000}"/>
    <cellStyle name="Normal 5 3 7 2 5" xfId="40495" xr:uid="{00000000-0005-0000-0000-00003C780000}"/>
    <cellStyle name="Normal 5 3 7 3" xfId="12318" xr:uid="{00000000-0005-0000-0000-00003D780000}"/>
    <cellStyle name="Normal 5 3 7 3 2" xfId="35803" xr:uid="{00000000-0005-0000-0000-00003E780000}"/>
    <cellStyle name="Normal 5 3 7 3 3" xfId="26484" xr:uid="{00000000-0005-0000-0000-00003F780000}"/>
    <cellStyle name="Normal 5 3 7 3 4" xfId="49746" xr:uid="{00000000-0005-0000-0000-000040780000}"/>
    <cellStyle name="Normal 5 3 7 4" xfId="17049" xr:uid="{00000000-0005-0000-0000-000041780000}"/>
    <cellStyle name="Normal 5 3 7 4 2" xfId="31181" xr:uid="{00000000-0005-0000-0000-000042780000}"/>
    <cellStyle name="Normal 5 3 7 4 3" xfId="45076" xr:uid="{00000000-0005-0000-0000-000043780000}"/>
    <cellStyle name="Normal 5 3 7 5" xfId="21862" xr:uid="{00000000-0005-0000-0000-000044780000}"/>
    <cellStyle name="Normal 5 3 7 6" xfId="40494" xr:uid="{00000000-0005-0000-0000-000045780000}"/>
    <cellStyle name="Normal 5 3 8" xfId="6509" xr:uid="{00000000-0005-0000-0000-000046780000}"/>
    <cellStyle name="Normal 5 3 8 2" xfId="6510" xr:uid="{00000000-0005-0000-0000-000047780000}"/>
    <cellStyle name="Normal 5 3 8 2 2" xfId="12321" xr:uid="{00000000-0005-0000-0000-000048780000}"/>
    <cellStyle name="Normal 5 3 8 2 2 2" xfId="35806" xr:uid="{00000000-0005-0000-0000-000049780000}"/>
    <cellStyle name="Normal 5 3 8 2 2 3" xfId="26487" xr:uid="{00000000-0005-0000-0000-00004A780000}"/>
    <cellStyle name="Normal 5 3 8 2 2 4" xfId="49749" xr:uid="{00000000-0005-0000-0000-00004B780000}"/>
    <cellStyle name="Normal 5 3 8 2 3" xfId="17052" xr:uid="{00000000-0005-0000-0000-00004C780000}"/>
    <cellStyle name="Normal 5 3 8 2 3 2" xfId="31184" xr:uid="{00000000-0005-0000-0000-00004D780000}"/>
    <cellStyle name="Normal 5 3 8 2 3 3" xfId="45079" xr:uid="{00000000-0005-0000-0000-00004E780000}"/>
    <cellStyle name="Normal 5 3 8 2 4" xfId="21865" xr:uid="{00000000-0005-0000-0000-00004F780000}"/>
    <cellStyle name="Normal 5 3 8 2 5" xfId="40497" xr:uid="{00000000-0005-0000-0000-000050780000}"/>
    <cellStyle name="Normal 5 3 8 3" xfId="12320" xr:uid="{00000000-0005-0000-0000-000051780000}"/>
    <cellStyle name="Normal 5 3 8 3 2" xfId="35805" xr:uid="{00000000-0005-0000-0000-000052780000}"/>
    <cellStyle name="Normal 5 3 8 3 3" xfId="26486" xr:uid="{00000000-0005-0000-0000-000053780000}"/>
    <cellStyle name="Normal 5 3 8 3 4" xfId="49748" xr:uid="{00000000-0005-0000-0000-000054780000}"/>
    <cellStyle name="Normal 5 3 8 4" xfId="17051" xr:uid="{00000000-0005-0000-0000-000055780000}"/>
    <cellStyle name="Normal 5 3 8 4 2" xfId="31183" xr:uid="{00000000-0005-0000-0000-000056780000}"/>
    <cellStyle name="Normal 5 3 8 4 3" xfId="45078" xr:uid="{00000000-0005-0000-0000-000057780000}"/>
    <cellStyle name="Normal 5 3 8 5" xfId="21864" xr:uid="{00000000-0005-0000-0000-000058780000}"/>
    <cellStyle name="Normal 5 3 8 6" xfId="40496" xr:uid="{00000000-0005-0000-0000-000059780000}"/>
    <cellStyle name="Normal 5 3 9" xfId="6511" xr:uid="{00000000-0005-0000-0000-00005A780000}"/>
    <cellStyle name="Normal 5 3 9 2" xfId="6512" xr:uid="{00000000-0005-0000-0000-00005B780000}"/>
    <cellStyle name="Normal 5 3 9 2 2" xfId="12323" xr:uid="{00000000-0005-0000-0000-00005C780000}"/>
    <cellStyle name="Normal 5 3 9 2 2 2" xfId="35808" xr:uid="{00000000-0005-0000-0000-00005D780000}"/>
    <cellStyle name="Normal 5 3 9 2 2 3" xfId="26489" xr:uid="{00000000-0005-0000-0000-00005E780000}"/>
    <cellStyle name="Normal 5 3 9 2 2 4" xfId="49751" xr:uid="{00000000-0005-0000-0000-00005F780000}"/>
    <cellStyle name="Normal 5 3 9 2 3" xfId="17054" xr:uid="{00000000-0005-0000-0000-000060780000}"/>
    <cellStyle name="Normal 5 3 9 2 3 2" xfId="31186" xr:uid="{00000000-0005-0000-0000-000061780000}"/>
    <cellStyle name="Normal 5 3 9 2 3 3" xfId="45081" xr:uid="{00000000-0005-0000-0000-000062780000}"/>
    <cellStyle name="Normal 5 3 9 2 4" xfId="21867" xr:uid="{00000000-0005-0000-0000-000063780000}"/>
    <cellStyle name="Normal 5 3 9 2 5" xfId="40499" xr:uid="{00000000-0005-0000-0000-000064780000}"/>
    <cellStyle name="Normal 5 3 9 3" xfId="12322" xr:uid="{00000000-0005-0000-0000-000065780000}"/>
    <cellStyle name="Normal 5 3 9 3 2" xfId="35807" xr:uid="{00000000-0005-0000-0000-000066780000}"/>
    <cellStyle name="Normal 5 3 9 3 3" xfId="26488" xr:uid="{00000000-0005-0000-0000-000067780000}"/>
    <cellStyle name="Normal 5 3 9 3 4" xfId="49750" xr:uid="{00000000-0005-0000-0000-000068780000}"/>
    <cellStyle name="Normal 5 3 9 4" xfId="17053" xr:uid="{00000000-0005-0000-0000-000069780000}"/>
    <cellStyle name="Normal 5 3 9 4 2" xfId="31185" xr:uid="{00000000-0005-0000-0000-00006A780000}"/>
    <cellStyle name="Normal 5 3 9 4 3" xfId="45080" xr:uid="{00000000-0005-0000-0000-00006B780000}"/>
    <cellStyle name="Normal 5 3 9 5" xfId="21866" xr:uid="{00000000-0005-0000-0000-00006C780000}"/>
    <cellStyle name="Normal 5 3 9 6" xfId="40498" xr:uid="{00000000-0005-0000-0000-00006D780000}"/>
    <cellStyle name="Normal 5 30" xfId="6513" xr:uid="{00000000-0005-0000-0000-00006E780000}"/>
    <cellStyle name="Normal 5 30 2" xfId="6514" xr:uid="{00000000-0005-0000-0000-00006F780000}"/>
    <cellStyle name="Normal 5 30 2 2" xfId="12325" xr:uid="{00000000-0005-0000-0000-000070780000}"/>
    <cellStyle name="Normal 5 30 2 2 2" xfId="35810" xr:uid="{00000000-0005-0000-0000-000071780000}"/>
    <cellStyle name="Normal 5 30 2 2 3" xfId="26491" xr:uid="{00000000-0005-0000-0000-000072780000}"/>
    <cellStyle name="Normal 5 30 2 2 4" xfId="49753" xr:uid="{00000000-0005-0000-0000-000073780000}"/>
    <cellStyle name="Normal 5 30 2 3" xfId="17056" xr:uid="{00000000-0005-0000-0000-000074780000}"/>
    <cellStyle name="Normal 5 30 2 3 2" xfId="31188" xr:uid="{00000000-0005-0000-0000-000075780000}"/>
    <cellStyle name="Normal 5 30 2 3 3" xfId="45083" xr:uid="{00000000-0005-0000-0000-000076780000}"/>
    <cellStyle name="Normal 5 30 2 4" xfId="21869" xr:uid="{00000000-0005-0000-0000-000077780000}"/>
    <cellStyle name="Normal 5 30 2 5" xfId="40501" xr:uid="{00000000-0005-0000-0000-000078780000}"/>
    <cellStyle name="Normal 5 30 3" xfId="12324" xr:uid="{00000000-0005-0000-0000-000079780000}"/>
    <cellStyle name="Normal 5 30 3 2" xfId="35809" xr:uid="{00000000-0005-0000-0000-00007A780000}"/>
    <cellStyle name="Normal 5 30 3 3" xfId="26490" xr:uid="{00000000-0005-0000-0000-00007B780000}"/>
    <cellStyle name="Normal 5 30 3 4" xfId="49752" xr:uid="{00000000-0005-0000-0000-00007C780000}"/>
    <cellStyle name="Normal 5 30 4" xfId="17055" xr:uid="{00000000-0005-0000-0000-00007D780000}"/>
    <cellStyle name="Normal 5 30 4 2" xfId="31187" xr:uid="{00000000-0005-0000-0000-00007E780000}"/>
    <cellStyle name="Normal 5 30 4 3" xfId="45082" xr:uid="{00000000-0005-0000-0000-00007F780000}"/>
    <cellStyle name="Normal 5 30 5" xfId="21868" xr:uid="{00000000-0005-0000-0000-000080780000}"/>
    <cellStyle name="Normal 5 30 6" xfId="40500" xr:uid="{00000000-0005-0000-0000-000081780000}"/>
    <cellStyle name="Normal 5 31" xfId="6515" xr:uid="{00000000-0005-0000-0000-000082780000}"/>
    <cellStyle name="Normal 5 31 2" xfId="6516" xr:uid="{00000000-0005-0000-0000-000083780000}"/>
    <cellStyle name="Normal 5 31 2 2" xfId="12327" xr:uid="{00000000-0005-0000-0000-000084780000}"/>
    <cellStyle name="Normal 5 31 2 2 2" xfId="35812" xr:uid="{00000000-0005-0000-0000-000085780000}"/>
    <cellStyle name="Normal 5 31 2 2 3" xfId="26493" xr:uid="{00000000-0005-0000-0000-000086780000}"/>
    <cellStyle name="Normal 5 31 2 2 4" xfId="49755" xr:uid="{00000000-0005-0000-0000-000087780000}"/>
    <cellStyle name="Normal 5 31 2 3" xfId="17058" xr:uid="{00000000-0005-0000-0000-000088780000}"/>
    <cellStyle name="Normal 5 31 2 3 2" xfId="31190" xr:uid="{00000000-0005-0000-0000-000089780000}"/>
    <cellStyle name="Normal 5 31 2 3 3" xfId="45085" xr:uid="{00000000-0005-0000-0000-00008A780000}"/>
    <cellStyle name="Normal 5 31 2 4" xfId="21871" xr:uid="{00000000-0005-0000-0000-00008B780000}"/>
    <cellStyle name="Normal 5 31 2 5" xfId="40503" xr:uid="{00000000-0005-0000-0000-00008C780000}"/>
    <cellStyle name="Normal 5 31 3" xfId="12326" xr:uid="{00000000-0005-0000-0000-00008D780000}"/>
    <cellStyle name="Normal 5 31 3 2" xfId="35811" xr:uid="{00000000-0005-0000-0000-00008E780000}"/>
    <cellStyle name="Normal 5 31 3 3" xfId="26492" xr:uid="{00000000-0005-0000-0000-00008F780000}"/>
    <cellStyle name="Normal 5 31 3 4" xfId="49754" xr:uid="{00000000-0005-0000-0000-000090780000}"/>
    <cellStyle name="Normal 5 31 4" xfId="17057" xr:uid="{00000000-0005-0000-0000-000091780000}"/>
    <cellStyle name="Normal 5 31 4 2" xfId="31189" xr:uid="{00000000-0005-0000-0000-000092780000}"/>
    <cellStyle name="Normal 5 31 4 3" xfId="45084" xr:uid="{00000000-0005-0000-0000-000093780000}"/>
    <cellStyle name="Normal 5 31 5" xfId="21870" xr:uid="{00000000-0005-0000-0000-000094780000}"/>
    <cellStyle name="Normal 5 31 6" xfId="40502" xr:uid="{00000000-0005-0000-0000-000095780000}"/>
    <cellStyle name="Normal 5 32" xfId="6517" xr:uid="{00000000-0005-0000-0000-000096780000}"/>
    <cellStyle name="Normal 5 32 2" xfId="6518" xr:uid="{00000000-0005-0000-0000-000097780000}"/>
    <cellStyle name="Normal 5 32 2 2" xfId="12329" xr:uid="{00000000-0005-0000-0000-000098780000}"/>
    <cellStyle name="Normal 5 32 2 2 2" xfId="35814" xr:uid="{00000000-0005-0000-0000-000099780000}"/>
    <cellStyle name="Normal 5 32 2 2 3" xfId="26495" xr:uid="{00000000-0005-0000-0000-00009A780000}"/>
    <cellStyle name="Normal 5 32 2 2 4" xfId="49757" xr:uid="{00000000-0005-0000-0000-00009B780000}"/>
    <cellStyle name="Normal 5 32 2 3" xfId="17060" xr:uid="{00000000-0005-0000-0000-00009C780000}"/>
    <cellStyle name="Normal 5 32 2 3 2" xfId="31192" xr:uid="{00000000-0005-0000-0000-00009D780000}"/>
    <cellStyle name="Normal 5 32 2 3 3" xfId="45087" xr:uid="{00000000-0005-0000-0000-00009E780000}"/>
    <cellStyle name="Normal 5 32 2 4" xfId="21873" xr:uid="{00000000-0005-0000-0000-00009F780000}"/>
    <cellStyle name="Normal 5 32 2 5" xfId="40505" xr:uid="{00000000-0005-0000-0000-0000A0780000}"/>
    <cellStyle name="Normal 5 32 3" xfId="12328" xr:uid="{00000000-0005-0000-0000-0000A1780000}"/>
    <cellStyle name="Normal 5 32 3 2" xfId="35813" xr:uid="{00000000-0005-0000-0000-0000A2780000}"/>
    <cellStyle name="Normal 5 32 3 3" xfId="26494" xr:uid="{00000000-0005-0000-0000-0000A3780000}"/>
    <cellStyle name="Normal 5 32 3 4" xfId="49756" xr:uid="{00000000-0005-0000-0000-0000A4780000}"/>
    <cellStyle name="Normal 5 32 4" xfId="17059" xr:uid="{00000000-0005-0000-0000-0000A5780000}"/>
    <cellStyle name="Normal 5 32 4 2" xfId="31191" xr:uid="{00000000-0005-0000-0000-0000A6780000}"/>
    <cellStyle name="Normal 5 32 4 3" xfId="45086" xr:uid="{00000000-0005-0000-0000-0000A7780000}"/>
    <cellStyle name="Normal 5 32 5" xfId="21872" xr:uid="{00000000-0005-0000-0000-0000A8780000}"/>
    <cellStyle name="Normal 5 32 6" xfId="40504" xr:uid="{00000000-0005-0000-0000-0000A9780000}"/>
    <cellStyle name="Normal 5 33" xfId="6519" xr:uid="{00000000-0005-0000-0000-0000AA780000}"/>
    <cellStyle name="Normal 5 33 2" xfId="6520" xr:uid="{00000000-0005-0000-0000-0000AB780000}"/>
    <cellStyle name="Normal 5 33 2 2" xfId="12331" xr:uid="{00000000-0005-0000-0000-0000AC780000}"/>
    <cellStyle name="Normal 5 33 2 2 2" xfId="35816" xr:uid="{00000000-0005-0000-0000-0000AD780000}"/>
    <cellStyle name="Normal 5 33 2 2 3" xfId="26497" xr:uid="{00000000-0005-0000-0000-0000AE780000}"/>
    <cellStyle name="Normal 5 33 2 2 4" xfId="49759" xr:uid="{00000000-0005-0000-0000-0000AF780000}"/>
    <cellStyle name="Normal 5 33 2 3" xfId="17062" xr:uid="{00000000-0005-0000-0000-0000B0780000}"/>
    <cellStyle name="Normal 5 33 2 3 2" xfId="31194" xr:uid="{00000000-0005-0000-0000-0000B1780000}"/>
    <cellStyle name="Normal 5 33 2 3 3" xfId="45089" xr:uid="{00000000-0005-0000-0000-0000B2780000}"/>
    <cellStyle name="Normal 5 33 2 4" xfId="21875" xr:uid="{00000000-0005-0000-0000-0000B3780000}"/>
    <cellStyle name="Normal 5 33 2 5" xfId="40507" xr:uid="{00000000-0005-0000-0000-0000B4780000}"/>
    <cellStyle name="Normal 5 33 3" xfId="12330" xr:uid="{00000000-0005-0000-0000-0000B5780000}"/>
    <cellStyle name="Normal 5 33 3 2" xfId="35815" xr:uid="{00000000-0005-0000-0000-0000B6780000}"/>
    <cellStyle name="Normal 5 33 3 3" xfId="26496" xr:uid="{00000000-0005-0000-0000-0000B7780000}"/>
    <cellStyle name="Normal 5 33 3 4" xfId="49758" xr:uid="{00000000-0005-0000-0000-0000B8780000}"/>
    <cellStyle name="Normal 5 33 4" xfId="17061" xr:uid="{00000000-0005-0000-0000-0000B9780000}"/>
    <cellStyle name="Normal 5 33 4 2" xfId="31193" xr:uid="{00000000-0005-0000-0000-0000BA780000}"/>
    <cellStyle name="Normal 5 33 4 3" xfId="45088" xr:uid="{00000000-0005-0000-0000-0000BB780000}"/>
    <cellStyle name="Normal 5 33 5" xfId="21874" xr:uid="{00000000-0005-0000-0000-0000BC780000}"/>
    <cellStyle name="Normal 5 33 6" xfId="40506" xr:uid="{00000000-0005-0000-0000-0000BD780000}"/>
    <cellStyle name="Normal 5 34" xfId="6521" xr:uid="{00000000-0005-0000-0000-0000BE780000}"/>
    <cellStyle name="Normal 5 34 2" xfId="6522" xr:uid="{00000000-0005-0000-0000-0000BF780000}"/>
    <cellStyle name="Normal 5 34 2 2" xfId="12333" xr:uid="{00000000-0005-0000-0000-0000C0780000}"/>
    <cellStyle name="Normal 5 34 2 2 2" xfId="35818" xr:uid="{00000000-0005-0000-0000-0000C1780000}"/>
    <cellStyle name="Normal 5 34 2 2 3" xfId="26499" xr:uid="{00000000-0005-0000-0000-0000C2780000}"/>
    <cellStyle name="Normal 5 34 2 2 4" xfId="49761" xr:uid="{00000000-0005-0000-0000-0000C3780000}"/>
    <cellStyle name="Normal 5 34 2 3" xfId="17064" xr:uid="{00000000-0005-0000-0000-0000C4780000}"/>
    <cellStyle name="Normal 5 34 2 3 2" xfId="31196" xr:uid="{00000000-0005-0000-0000-0000C5780000}"/>
    <cellStyle name="Normal 5 34 2 3 3" xfId="45091" xr:uid="{00000000-0005-0000-0000-0000C6780000}"/>
    <cellStyle name="Normal 5 34 2 4" xfId="21877" xr:uid="{00000000-0005-0000-0000-0000C7780000}"/>
    <cellStyle name="Normal 5 34 2 5" xfId="40509" xr:uid="{00000000-0005-0000-0000-0000C8780000}"/>
    <cellStyle name="Normal 5 34 3" xfId="12332" xr:uid="{00000000-0005-0000-0000-0000C9780000}"/>
    <cellStyle name="Normal 5 34 3 2" xfId="35817" xr:uid="{00000000-0005-0000-0000-0000CA780000}"/>
    <cellStyle name="Normal 5 34 3 3" xfId="26498" xr:uid="{00000000-0005-0000-0000-0000CB780000}"/>
    <cellStyle name="Normal 5 34 3 4" xfId="49760" xr:uid="{00000000-0005-0000-0000-0000CC780000}"/>
    <cellStyle name="Normal 5 34 4" xfId="17063" xr:uid="{00000000-0005-0000-0000-0000CD780000}"/>
    <cellStyle name="Normal 5 34 4 2" xfId="31195" xr:uid="{00000000-0005-0000-0000-0000CE780000}"/>
    <cellStyle name="Normal 5 34 4 3" xfId="45090" xr:uid="{00000000-0005-0000-0000-0000CF780000}"/>
    <cellStyle name="Normal 5 34 5" xfId="21876" xr:uid="{00000000-0005-0000-0000-0000D0780000}"/>
    <cellStyle name="Normal 5 34 6" xfId="40508" xr:uid="{00000000-0005-0000-0000-0000D1780000}"/>
    <cellStyle name="Normal 5 35" xfId="6523" xr:uid="{00000000-0005-0000-0000-0000D2780000}"/>
    <cellStyle name="Normal 5 35 2" xfId="6524" xr:uid="{00000000-0005-0000-0000-0000D3780000}"/>
    <cellStyle name="Normal 5 35 2 2" xfId="12335" xr:uid="{00000000-0005-0000-0000-0000D4780000}"/>
    <cellStyle name="Normal 5 35 2 2 2" xfId="35820" xr:uid="{00000000-0005-0000-0000-0000D5780000}"/>
    <cellStyle name="Normal 5 35 2 2 3" xfId="26501" xr:uid="{00000000-0005-0000-0000-0000D6780000}"/>
    <cellStyle name="Normal 5 35 2 2 4" xfId="49763" xr:uid="{00000000-0005-0000-0000-0000D7780000}"/>
    <cellStyle name="Normal 5 35 2 3" xfId="17066" xr:uid="{00000000-0005-0000-0000-0000D8780000}"/>
    <cellStyle name="Normal 5 35 2 3 2" xfId="31198" xr:uid="{00000000-0005-0000-0000-0000D9780000}"/>
    <cellStyle name="Normal 5 35 2 3 3" xfId="45093" xr:uid="{00000000-0005-0000-0000-0000DA780000}"/>
    <cellStyle name="Normal 5 35 2 4" xfId="21879" xr:uid="{00000000-0005-0000-0000-0000DB780000}"/>
    <cellStyle name="Normal 5 35 2 5" xfId="40511" xr:uid="{00000000-0005-0000-0000-0000DC780000}"/>
    <cellStyle name="Normal 5 35 3" xfId="12334" xr:uid="{00000000-0005-0000-0000-0000DD780000}"/>
    <cellStyle name="Normal 5 35 3 2" xfId="35819" xr:uid="{00000000-0005-0000-0000-0000DE780000}"/>
    <cellStyle name="Normal 5 35 3 3" xfId="26500" xr:uid="{00000000-0005-0000-0000-0000DF780000}"/>
    <cellStyle name="Normal 5 35 3 4" xfId="49762" xr:uid="{00000000-0005-0000-0000-0000E0780000}"/>
    <cellStyle name="Normal 5 35 4" xfId="17065" xr:uid="{00000000-0005-0000-0000-0000E1780000}"/>
    <cellStyle name="Normal 5 35 4 2" xfId="31197" xr:uid="{00000000-0005-0000-0000-0000E2780000}"/>
    <cellStyle name="Normal 5 35 4 3" xfId="45092" xr:uid="{00000000-0005-0000-0000-0000E3780000}"/>
    <cellStyle name="Normal 5 35 5" xfId="21878" xr:uid="{00000000-0005-0000-0000-0000E4780000}"/>
    <cellStyle name="Normal 5 35 6" xfId="40510" xr:uid="{00000000-0005-0000-0000-0000E5780000}"/>
    <cellStyle name="Normal 5 36" xfId="6525" xr:uid="{00000000-0005-0000-0000-0000E6780000}"/>
    <cellStyle name="Normal 5 36 2" xfId="6526" xr:uid="{00000000-0005-0000-0000-0000E7780000}"/>
    <cellStyle name="Normal 5 36 2 2" xfId="12337" xr:uid="{00000000-0005-0000-0000-0000E8780000}"/>
    <cellStyle name="Normal 5 36 2 2 2" xfId="35822" xr:uid="{00000000-0005-0000-0000-0000E9780000}"/>
    <cellStyle name="Normal 5 36 2 2 3" xfId="26503" xr:uid="{00000000-0005-0000-0000-0000EA780000}"/>
    <cellStyle name="Normal 5 36 2 2 4" xfId="49765" xr:uid="{00000000-0005-0000-0000-0000EB780000}"/>
    <cellStyle name="Normal 5 36 2 3" xfId="17068" xr:uid="{00000000-0005-0000-0000-0000EC780000}"/>
    <cellStyle name="Normal 5 36 2 3 2" xfId="31200" xr:uid="{00000000-0005-0000-0000-0000ED780000}"/>
    <cellStyle name="Normal 5 36 2 3 3" xfId="45095" xr:uid="{00000000-0005-0000-0000-0000EE780000}"/>
    <cellStyle name="Normal 5 36 2 4" xfId="21881" xr:uid="{00000000-0005-0000-0000-0000EF780000}"/>
    <cellStyle name="Normal 5 36 2 5" xfId="40513" xr:uid="{00000000-0005-0000-0000-0000F0780000}"/>
    <cellStyle name="Normal 5 36 3" xfId="12336" xr:uid="{00000000-0005-0000-0000-0000F1780000}"/>
    <cellStyle name="Normal 5 36 3 2" xfId="35821" xr:uid="{00000000-0005-0000-0000-0000F2780000}"/>
    <cellStyle name="Normal 5 36 3 3" xfId="26502" xr:uid="{00000000-0005-0000-0000-0000F3780000}"/>
    <cellStyle name="Normal 5 36 3 4" xfId="49764" xr:uid="{00000000-0005-0000-0000-0000F4780000}"/>
    <cellStyle name="Normal 5 36 4" xfId="17067" xr:uid="{00000000-0005-0000-0000-0000F5780000}"/>
    <cellStyle name="Normal 5 36 4 2" xfId="31199" xr:uid="{00000000-0005-0000-0000-0000F6780000}"/>
    <cellStyle name="Normal 5 36 4 3" xfId="45094" xr:uid="{00000000-0005-0000-0000-0000F7780000}"/>
    <cellStyle name="Normal 5 36 5" xfId="21880" xr:uid="{00000000-0005-0000-0000-0000F8780000}"/>
    <cellStyle name="Normal 5 36 6" xfId="40512" xr:uid="{00000000-0005-0000-0000-0000F9780000}"/>
    <cellStyle name="Normal 5 37" xfId="6527" xr:uid="{00000000-0005-0000-0000-0000FA780000}"/>
    <cellStyle name="Normal 5 37 2" xfId="6528" xr:uid="{00000000-0005-0000-0000-0000FB780000}"/>
    <cellStyle name="Normal 5 37 2 2" xfId="12339" xr:uid="{00000000-0005-0000-0000-0000FC780000}"/>
    <cellStyle name="Normal 5 37 2 2 2" xfId="35824" xr:uid="{00000000-0005-0000-0000-0000FD780000}"/>
    <cellStyle name="Normal 5 37 2 2 3" xfId="26505" xr:uid="{00000000-0005-0000-0000-0000FE780000}"/>
    <cellStyle name="Normal 5 37 2 2 4" xfId="49767" xr:uid="{00000000-0005-0000-0000-0000FF780000}"/>
    <cellStyle name="Normal 5 37 2 3" xfId="17070" xr:uid="{00000000-0005-0000-0000-000000790000}"/>
    <cellStyle name="Normal 5 37 2 3 2" xfId="31202" xr:uid="{00000000-0005-0000-0000-000001790000}"/>
    <cellStyle name="Normal 5 37 2 3 3" xfId="45097" xr:uid="{00000000-0005-0000-0000-000002790000}"/>
    <cellStyle name="Normal 5 37 2 4" xfId="21883" xr:uid="{00000000-0005-0000-0000-000003790000}"/>
    <cellStyle name="Normal 5 37 2 5" xfId="40515" xr:uid="{00000000-0005-0000-0000-000004790000}"/>
    <cellStyle name="Normal 5 37 3" xfId="12338" xr:uid="{00000000-0005-0000-0000-000005790000}"/>
    <cellStyle name="Normal 5 37 3 2" xfId="35823" xr:uid="{00000000-0005-0000-0000-000006790000}"/>
    <cellStyle name="Normal 5 37 3 3" xfId="26504" xr:uid="{00000000-0005-0000-0000-000007790000}"/>
    <cellStyle name="Normal 5 37 3 4" xfId="49766" xr:uid="{00000000-0005-0000-0000-000008790000}"/>
    <cellStyle name="Normal 5 37 4" xfId="17069" xr:uid="{00000000-0005-0000-0000-000009790000}"/>
    <cellStyle name="Normal 5 37 4 2" xfId="31201" xr:uid="{00000000-0005-0000-0000-00000A790000}"/>
    <cellStyle name="Normal 5 37 4 3" xfId="45096" xr:uid="{00000000-0005-0000-0000-00000B790000}"/>
    <cellStyle name="Normal 5 37 5" xfId="21882" xr:uid="{00000000-0005-0000-0000-00000C790000}"/>
    <cellStyle name="Normal 5 37 6" xfId="40514" xr:uid="{00000000-0005-0000-0000-00000D790000}"/>
    <cellStyle name="Normal 5 38" xfId="6529" xr:uid="{00000000-0005-0000-0000-00000E790000}"/>
    <cellStyle name="Normal 5 38 2" xfId="6530" xr:uid="{00000000-0005-0000-0000-00000F790000}"/>
    <cellStyle name="Normal 5 38 2 2" xfId="12341" xr:uid="{00000000-0005-0000-0000-000010790000}"/>
    <cellStyle name="Normal 5 38 2 2 2" xfId="35826" xr:uid="{00000000-0005-0000-0000-000011790000}"/>
    <cellStyle name="Normal 5 38 2 2 3" xfId="26507" xr:uid="{00000000-0005-0000-0000-000012790000}"/>
    <cellStyle name="Normal 5 38 2 2 4" xfId="49769" xr:uid="{00000000-0005-0000-0000-000013790000}"/>
    <cellStyle name="Normal 5 38 2 3" xfId="17072" xr:uid="{00000000-0005-0000-0000-000014790000}"/>
    <cellStyle name="Normal 5 38 2 3 2" xfId="31204" xr:uid="{00000000-0005-0000-0000-000015790000}"/>
    <cellStyle name="Normal 5 38 2 3 3" xfId="45099" xr:uid="{00000000-0005-0000-0000-000016790000}"/>
    <cellStyle name="Normal 5 38 2 4" xfId="21885" xr:uid="{00000000-0005-0000-0000-000017790000}"/>
    <cellStyle name="Normal 5 38 2 5" xfId="40517" xr:uid="{00000000-0005-0000-0000-000018790000}"/>
    <cellStyle name="Normal 5 38 3" xfId="12340" xr:uid="{00000000-0005-0000-0000-000019790000}"/>
    <cellStyle name="Normal 5 38 3 2" xfId="35825" xr:uid="{00000000-0005-0000-0000-00001A790000}"/>
    <cellStyle name="Normal 5 38 3 3" xfId="26506" xr:uid="{00000000-0005-0000-0000-00001B790000}"/>
    <cellStyle name="Normal 5 38 3 4" xfId="49768" xr:uid="{00000000-0005-0000-0000-00001C790000}"/>
    <cellStyle name="Normal 5 38 4" xfId="17071" xr:uid="{00000000-0005-0000-0000-00001D790000}"/>
    <cellStyle name="Normal 5 38 4 2" xfId="31203" xr:uid="{00000000-0005-0000-0000-00001E790000}"/>
    <cellStyle name="Normal 5 38 4 3" xfId="45098" xr:uid="{00000000-0005-0000-0000-00001F790000}"/>
    <cellStyle name="Normal 5 38 5" xfId="21884" xr:uid="{00000000-0005-0000-0000-000020790000}"/>
    <cellStyle name="Normal 5 38 6" xfId="40516" xr:uid="{00000000-0005-0000-0000-000021790000}"/>
    <cellStyle name="Normal 5 39" xfId="6531" xr:uid="{00000000-0005-0000-0000-000022790000}"/>
    <cellStyle name="Normal 5 39 2" xfId="6532" xr:uid="{00000000-0005-0000-0000-000023790000}"/>
    <cellStyle name="Normal 5 39 2 2" xfId="12343" xr:uid="{00000000-0005-0000-0000-000024790000}"/>
    <cellStyle name="Normal 5 39 2 2 2" xfId="35828" xr:uid="{00000000-0005-0000-0000-000025790000}"/>
    <cellStyle name="Normal 5 39 2 2 3" xfId="26509" xr:uid="{00000000-0005-0000-0000-000026790000}"/>
    <cellStyle name="Normal 5 39 2 2 4" xfId="49771" xr:uid="{00000000-0005-0000-0000-000027790000}"/>
    <cellStyle name="Normal 5 39 2 3" xfId="17074" xr:uid="{00000000-0005-0000-0000-000028790000}"/>
    <cellStyle name="Normal 5 39 2 3 2" xfId="31206" xr:uid="{00000000-0005-0000-0000-000029790000}"/>
    <cellStyle name="Normal 5 39 2 3 3" xfId="45101" xr:uid="{00000000-0005-0000-0000-00002A790000}"/>
    <cellStyle name="Normal 5 39 2 4" xfId="21887" xr:uid="{00000000-0005-0000-0000-00002B790000}"/>
    <cellStyle name="Normal 5 39 2 5" xfId="40519" xr:uid="{00000000-0005-0000-0000-00002C790000}"/>
    <cellStyle name="Normal 5 39 3" xfId="12342" xr:uid="{00000000-0005-0000-0000-00002D790000}"/>
    <cellStyle name="Normal 5 39 3 2" xfId="35827" xr:uid="{00000000-0005-0000-0000-00002E790000}"/>
    <cellStyle name="Normal 5 39 3 3" xfId="26508" xr:uid="{00000000-0005-0000-0000-00002F790000}"/>
    <cellStyle name="Normal 5 39 3 4" xfId="49770" xr:uid="{00000000-0005-0000-0000-000030790000}"/>
    <cellStyle name="Normal 5 39 4" xfId="17073" xr:uid="{00000000-0005-0000-0000-000031790000}"/>
    <cellStyle name="Normal 5 39 4 2" xfId="31205" xr:uid="{00000000-0005-0000-0000-000032790000}"/>
    <cellStyle name="Normal 5 39 4 3" xfId="45100" xr:uid="{00000000-0005-0000-0000-000033790000}"/>
    <cellStyle name="Normal 5 39 5" xfId="21886" xr:uid="{00000000-0005-0000-0000-000034790000}"/>
    <cellStyle name="Normal 5 39 6" xfId="40518" xr:uid="{00000000-0005-0000-0000-000035790000}"/>
    <cellStyle name="Normal 5 4" xfId="6533" xr:uid="{00000000-0005-0000-0000-000036790000}"/>
    <cellStyle name="Normal 5 4 10" xfId="6534" xr:uid="{00000000-0005-0000-0000-000037790000}"/>
    <cellStyle name="Normal 5 4 10 2" xfId="6535" xr:uid="{00000000-0005-0000-0000-000038790000}"/>
    <cellStyle name="Normal 5 4 10 2 2" xfId="12346" xr:uid="{00000000-0005-0000-0000-000039790000}"/>
    <cellStyle name="Normal 5 4 10 2 2 2" xfId="35831" xr:uid="{00000000-0005-0000-0000-00003A790000}"/>
    <cellStyle name="Normal 5 4 10 2 2 3" xfId="26512" xr:uid="{00000000-0005-0000-0000-00003B790000}"/>
    <cellStyle name="Normal 5 4 10 2 2 4" xfId="49774" xr:uid="{00000000-0005-0000-0000-00003C790000}"/>
    <cellStyle name="Normal 5 4 10 2 3" xfId="17077" xr:uid="{00000000-0005-0000-0000-00003D790000}"/>
    <cellStyle name="Normal 5 4 10 2 3 2" xfId="31209" xr:uid="{00000000-0005-0000-0000-00003E790000}"/>
    <cellStyle name="Normal 5 4 10 2 3 3" xfId="45104" xr:uid="{00000000-0005-0000-0000-00003F790000}"/>
    <cellStyle name="Normal 5 4 10 2 4" xfId="21890" xr:uid="{00000000-0005-0000-0000-000040790000}"/>
    <cellStyle name="Normal 5 4 10 2 5" xfId="40522" xr:uid="{00000000-0005-0000-0000-000041790000}"/>
    <cellStyle name="Normal 5 4 10 3" xfId="12345" xr:uid="{00000000-0005-0000-0000-000042790000}"/>
    <cellStyle name="Normal 5 4 10 3 2" xfId="35830" xr:uid="{00000000-0005-0000-0000-000043790000}"/>
    <cellStyle name="Normal 5 4 10 3 3" xfId="26511" xr:uid="{00000000-0005-0000-0000-000044790000}"/>
    <cellStyle name="Normal 5 4 10 3 4" xfId="49773" xr:uid="{00000000-0005-0000-0000-000045790000}"/>
    <cellStyle name="Normal 5 4 10 4" xfId="17076" xr:uid="{00000000-0005-0000-0000-000046790000}"/>
    <cellStyle name="Normal 5 4 10 4 2" xfId="31208" xr:uid="{00000000-0005-0000-0000-000047790000}"/>
    <cellStyle name="Normal 5 4 10 4 3" xfId="45103" xr:uid="{00000000-0005-0000-0000-000048790000}"/>
    <cellStyle name="Normal 5 4 10 5" xfId="21889" xr:uid="{00000000-0005-0000-0000-000049790000}"/>
    <cellStyle name="Normal 5 4 10 6" xfId="40521" xr:uid="{00000000-0005-0000-0000-00004A790000}"/>
    <cellStyle name="Normal 5 4 11" xfId="6536" xr:uid="{00000000-0005-0000-0000-00004B790000}"/>
    <cellStyle name="Normal 5 4 11 2" xfId="6537" xr:uid="{00000000-0005-0000-0000-00004C790000}"/>
    <cellStyle name="Normal 5 4 11 2 2" xfId="12348" xr:uid="{00000000-0005-0000-0000-00004D790000}"/>
    <cellStyle name="Normal 5 4 11 2 2 2" xfId="35833" xr:uid="{00000000-0005-0000-0000-00004E790000}"/>
    <cellStyle name="Normal 5 4 11 2 2 3" xfId="26514" xr:uid="{00000000-0005-0000-0000-00004F790000}"/>
    <cellStyle name="Normal 5 4 11 2 2 4" xfId="49776" xr:uid="{00000000-0005-0000-0000-000050790000}"/>
    <cellStyle name="Normal 5 4 11 2 3" xfId="17079" xr:uid="{00000000-0005-0000-0000-000051790000}"/>
    <cellStyle name="Normal 5 4 11 2 3 2" xfId="31211" xr:uid="{00000000-0005-0000-0000-000052790000}"/>
    <cellStyle name="Normal 5 4 11 2 3 3" xfId="45106" xr:uid="{00000000-0005-0000-0000-000053790000}"/>
    <cellStyle name="Normal 5 4 11 2 4" xfId="21892" xr:uid="{00000000-0005-0000-0000-000054790000}"/>
    <cellStyle name="Normal 5 4 11 2 5" xfId="40524" xr:uid="{00000000-0005-0000-0000-000055790000}"/>
    <cellStyle name="Normal 5 4 11 3" xfId="12347" xr:uid="{00000000-0005-0000-0000-000056790000}"/>
    <cellStyle name="Normal 5 4 11 3 2" xfId="35832" xr:uid="{00000000-0005-0000-0000-000057790000}"/>
    <cellStyle name="Normal 5 4 11 3 3" xfId="26513" xr:uid="{00000000-0005-0000-0000-000058790000}"/>
    <cellStyle name="Normal 5 4 11 3 4" xfId="49775" xr:uid="{00000000-0005-0000-0000-000059790000}"/>
    <cellStyle name="Normal 5 4 11 4" xfId="17078" xr:uid="{00000000-0005-0000-0000-00005A790000}"/>
    <cellStyle name="Normal 5 4 11 4 2" xfId="31210" xr:uid="{00000000-0005-0000-0000-00005B790000}"/>
    <cellStyle name="Normal 5 4 11 4 3" xfId="45105" xr:uid="{00000000-0005-0000-0000-00005C790000}"/>
    <cellStyle name="Normal 5 4 11 5" xfId="21891" xr:uid="{00000000-0005-0000-0000-00005D790000}"/>
    <cellStyle name="Normal 5 4 11 6" xfId="40523" xr:uid="{00000000-0005-0000-0000-00005E790000}"/>
    <cellStyle name="Normal 5 4 12" xfId="6538" xr:uid="{00000000-0005-0000-0000-00005F790000}"/>
    <cellStyle name="Normal 5 4 12 2" xfId="6539" xr:uid="{00000000-0005-0000-0000-000060790000}"/>
    <cellStyle name="Normal 5 4 12 2 2" xfId="12350" xr:uid="{00000000-0005-0000-0000-000061790000}"/>
    <cellStyle name="Normal 5 4 12 2 2 2" xfId="35835" xr:uid="{00000000-0005-0000-0000-000062790000}"/>
    <cellStyle name="Normal 5 4 12 2 2 3" xfId="26516" xr:uid="{00000000-0005-0000-0000-000063790000}"/>
    <cellStyle name="Normal 5 4 12 2 2 4" xfId="49778" xr:uid="{00000000-0005-0000-0000-000064790000}"/>
    <cellStyle name="Normal 5 4 12 2 3" xfId="17081" xr:uid="{00000000-0005-0000-0000-000065790000}"/>
    <cellStyle name="Normal 5 4 12 2 3 2" xfId="31213" xr:uid="{00000000-0005-0000-0000-000066790000}"/>
    <cellStyle name="Normal 5 4 12 2 3 3" xfId="45108" xr:uid="{00000000-0005-0000-0000-000067790000}"/>
    <cellStyle name="Normal 5 4 12 2 4" xfId="21894" xr:uid="{00000000-0005-0000-0000-000068790000}"/>
    <cellStyle name="Normal 5 4 12 2 5" xfId="40526" xr:uid="{00000000-0005-0000-0000-000069790000}"/>
    <cellStyle name="Normal 5 4 12 3" xfId="12349" xr:uid="{00000000-0005-0000-0000-00006A790000}"/>
    <cellStyle name="Normal 5 4 12 3 2" xfId="35834" xr:uid="{00000000-0005-0000-0000-00006B790000}"/>
    <cellStyle name="Normal 5 4 12 3 3" xfId="26515" xr:uid="{00000000-0005-0000-0000-00006C790000}"/>
    <cellStyle name="Normal 5 4 12 3 4" xfId="49777" xr:uid="{00000000-0005-0000-0000-00006D790000}"/>
    <cellStyle name="Normal 5 4 12 4" xfId="17080" xr:uid="{00000000-0005-0000-0000-00006E790000}"/>
    <cellStyle name="Normal 5 4 12 4 2" xfId="31212" xr:uid="{00000000-0005-0000-0000-00006F790000}"/>
    <cellStyle name="Normal 5 4 12 4 3" xfId="45107" xr:uid="{00000000-0005-0000-0000-000070790000}"/>
    <cellStyle name="Normal 5 4 12 5" xfId="21893" xr:uid="{00000000-0005-0000-0000-000071790000}"/>
    <cellStyle name="Normal 5 4 12 6" xfId="40525" xr:uid="{00000000-0005-0000-0000-000072790000}"/>
    <cellStyle name="Normal 5 4 13" xfId="6540" xr:uid="{00000000-0005-0000-0000-000073790000}"/>
    <cellStyle name="Normal 5 4 13 2" xfId="6541" xr:uid="{00000000-0005-0000-0000-000074790000}"/>
    <cellStyle name="Normal 5 4 13 2 2" xfId="12352" xr:uid="{00000000-0005-0000-0000-000075790000}"/>
    <cellStyle name="Normal 5 4 13 2 2 2" xfId="35837" xr:uid="{00000000-0005-0000-0000-000076790000}"/>
    <cellStyle name="Normal 5 4 13 2 2 3" xfId="26518" xr:uid="{00000000-0005-0000-0000-000077790000}"/>
    <cellStyle name="Normal 5 4 13 2 2 4" xfId="49780" xr:uid="{00000000-0005-0000-0000-000078790000}"/>
    <cellStyle name="Normal 5 4 13 2 3" xfId="17083" xr:uid="{00000000-0005-0000-0000-000079790000}"/>
    <cellStyle name="Normal 5 4 13 2 3 2" xfId="31215" xr:uid="{00000000-0005-0000-0000-00007A790000}"/>
    <cellStyle name="Normal 5 4 13 2 3 3" xfId="45110" xr:uid="{00000000-0005-0000-0000-00007B790000}"/>
    <cellStyle name="Normal 5 4 13 2 4" xfId="21896" xr:uid="{00000000-0005-0000-0000-00007C790000}"/>
    <cellStyle name="Normal 5 4 13 2 5" xfId="40528" xr:uid="{00000000-0005-0000-0000-00007D790000}"/>
    <cellStyle name="Normal 5 4 13 3" xfId="12351" xr:uid="{00000000-0005-0000-0000-00007E790000}"/>
    <cellStyle name="Normal 5 4 13 3 2" xfId="35836" xr:uid="{00000000-0005-0000-0000-00007F790000}"/>
    <cellStyle name="Normal 5 4 13 3 3" xfId="26517" xr:uid="{00000000-0005-0000-0000-000080790000}"/>
    <cellStyle name="Normal 5 4 13 3 4" xfId="49779" xr:uid="{00000000-0005-0000-0000-000081790000}"/>
    <cellStyle name="Normal 5 4 13 4" xfId="17082" xr:uid="{00000000-0005-0000-0000-000082790000}"/>
    <cellStyle name="Normal 5 4 13 4 2" xfId="31214" xr:uid="{00000000-0005-0000-0000-000083790000}"/>
    <cellStyle name="Normal 5 4 13 4 3" xfId="45109" xr:uid="{00000000-0005-0000-0000-000084790000}"/>
    <cellStyle name="Normal 5 4 13 5" xfId="21895" xr:uid="{00000000-0005-0000-0000-000085790000}"/>
    <cellStyle name="Normal 5 4 13 6" xfId="40527" xr:uid="{00000000-0005-0000-0000-000086790000}"/>
    <cellStyle name="Normal 5 4 14" xfId="6542" xr:uid="{00000000-0005-0000-0000-000087790000}"/>
    <cellStyle name="Normal 5 4 14 2" xfId="6543" xr:uid="{00000000-0005-0000-0000-000088790000}"/>
    <cellStyle name="Normal 5 4 14 2 2" xfId="12354" xr:uid="{00000000-0005-0000-0000-000089790000}"/>
    <cellStyle name="Normal 5 4 14 2 2 2" xfId="35839" xr:uid="{00000000-0005-0000-0000-00008A790000}"/>
    <cellStyle name="Normal 5 4 14 2 2 3" xfId="26520" xr:uid="{00000000-0005-0000-0000-00008B790000}"/>
    <cellStyle name="Normal 5 4 14 2 2 4" xfId="49782" xr:uid="{00000000-0005-0000-0000-00008C790000}"/>
    <cellStyle name="Normal 5 4 14 2 3" xfId="17085" xr:uid="{00000000-0005-0000-0000-00008D790000}"/>
    <cellStyle name="Normal 5 4 14 2 3 2" xfId="31217" xr:uid="{00000000-0005-0000-0000-00008E790000}"/>
    <cellStyle name="Normal 5 4 14 2 3 3" xfId="45112" xr:uid="{00000000-0005-0000-0000-00008F790000}"/>
    <cellStyle name="Normal 5 4 14 2 4" xfId="21898" xr:uid="{00000000-0005-0000-0000-000090790000}"/>
    <cellStyle name="Normal 5 4 14 2 5" xfId="40530" xr:uid="{00000000-0005-0000-0000-000091790000}"/>
    <cellStyle name="Normal 5 4 14 3" xfId="12353" xr:uid="{00000000-0005-0000-0000-000092790000}"/>
    <cellStyle name="Normal 5 4 14 3 2" xfId="35838" xr:uid="{00000000-0005-0000-0000-000093790000}"/>
    <cellStyle name="Normal 5 4 14 3 3" xfId="26519" xr:uid="{00000000-0005-0000-0000-000094790000}"/>
    <cellStyle name="Normal 5 4 14 3 4" xfId="49781" xr:uid="{00000000-0005-0000-0000-000095790000}"/>
    <cellStyle name="Normal 5 4 14 4" xfId="17084" xr:uid="{00000000-0005-0000-0000-000096790000}"/>
    <cellStyle name="Normal 5 4 14 4 2" xfId="31216" xr:uid="{00000000-0005-0000-0000-000097790000}"/>
    <cellStyle name="Normal 5 4 14 4 3" xfId="45111" xr:uid="{00000000-0005-0000-0000-000098790000}"/>
    <cellStyle name="Normal 5 4 14 5" xfId="21897" xr:uid="{00000000-0005-0000-0000-000099790000}"/>
    <cellStyle name="Normal 5 4 14 6" xfId="40529" xr:uid="{00000000-0005-0000-0000-00009A790000}"/>
    <cellStyle name="Normal 5 4 15" xfId="6544" xr:uid="{00000000-0005-0000-0000-00009B790000}"/>
    <cellStyle name="Normal 5 4 15 2" xfId="6545" xr:uid="{00000000-0005-0000-0000-00009C790000}"/>
    <cellStyle name="Normal 5 4 15 2 2" xfId="12356" xr:uid="{00000000-0005-0000-0000-00009D790000}"/>
    <cellStyle name="Normal 5 4 15 2 2 2" xfId="35841" xr:uid="{00000000-0005-0000-0000-00009E790000}"/>
    <cellStyle name="Normal 5 4 15 2 2 3" xfId="26522" xr:uid="{00000000-0005-0000-0000-00009F790000}"/>
    <cellStyle name="Normal 5 4 15 2 2 4" xfId="49784" xr:uid="{00000000-0005-0000-0000-0000A0790000}"/>
    <cellStyle name="Normal 5 4 15 2 3" xfId="17087" xr:uid="{00000000-0005-0000-0000-0000A1790000}"/>
    <cellStyle name="Normal 5 4 15 2 3 2" xfId="31219" xr:uid="{00000000-0005-0000-0000-0000A2790000}"/>
    <cellStyle name="Normal 5 4 15 2 3 3" xfId="45114" xr:uid="{00000000-0005-0000-0000-0000A3790000}"/>
    <cellStyle name="Normal 5 4 15 2 4" xfId="21900" xr:uid="{00000000-0005-0000-0000-0000A4790000}"/>
    <cellStyle name="Normal 5 4 15 2 5" xfId="40532" xr:uid="{00000000-0005-0000-0000-0000A5790000}"/>
    <cellStyle name="Normal 5 4 15 3" xfId="12355" xr:uid="{00000000-0005-0000-0000-0000A6790000}"/>
    <cellStyle name="Normal 5 4 15 3 2" xfId="35840" xr:uid="{00000000-0005-0000-0000-0000A7790000}"/>
    <cellStyle name="Normal 5 4 15 3 3" xfId="26521" xr:uid="{00000000-0005-0000-0000-0000A8790000}"/>
    <cellStyle name="Normal 5 4 15 3 4" xfId="49783" xr:uid="{00000000-0005-0000-0000-0000A9790000}"/>
    <cellStyle name="Normal 5 4 15 4" xfId="17086" xr:uid="{00000000-0005-0000-0000-0000AA790000}"/>
    <cellStyle name="Normal 5 4 15 4 2" xfId="31218" xr:uid="{00000000-0005-0000-0000-0000AB790000}"/>
    <cellStyle name="Normal 5 4 15 4 3" xfId="45113" xr:uid="{00000000-0005-0000-0000-0000AC790000}"/>
    <cellStyle name="Normal 5 4 15 5" xfId="21899" xr:uid="{00000000-0005-0000-0000-0000AD790000}"/>
    <cellStyle name="Normal 5 4 15 6" xfId="40531" xr:uid="{00000000-0005-0000-0000-0000AE790000}"/>
    <cellStyle name="Normal 5 4 16" xfId="6546" xr:uid="{00000000-0005-0000-0000-0000AF790000}"/>
    <cellStyle name="Normal 5 4 16 2" xfId="6547" xr:uid="{00000000-0005-0000-0000-0000B0790000}"/>
    <cellStyle name="Normal 5 4 16 2 2" xfId="12358" xr:uid="{00000000-0005-0000-0000-0000B1790000}"/>
    <cellStyle name="Normal 5 4 16 2 2 2" xfId="35843" xr:uid="{00000000-0005-0000-0000-0000B2790000}"/>
    <cellStyle name="Normal 5 4 16 2 2 3" xfId="26524" xr:uid="{00000000-0005-0000-0000-0000B3790000}"/>
    <cellStyle name="Normal 5 4 16 2 2 4" xfId="49786" xr:uid="{00000000-0005-0000-0000-0000B4790000}"/>
    <cellStyle name="Normal 5 4 16 2 3" xfId="17089" xr:uid="{00000000-0005-0000-0000-0000B5790000}"/>
    <cellStyle name="Normal 5 4 16 2 3 2" xfId="31221" xr:uid="{00000000-0005-0000-0000-0000B6790000}"/>
    <cellStyle name="Normal 5 4 16 2 3 3" xfId="45116" xr:uid="{00000000-0005-0000-0000-0000B7790000}"/>
    <cellStyle name="Normal 5 4 16 2 4" xfId="21902" xr:uid="{00000000-0005-0000-0000-0000B8790000}"/>
    <cellStyle name="Normal 5 4 16 2 5" xfId="40534" xr:uid="{00000000-0005-0000-0000-0000B9790000}"/>
    <cellStyle name="Normal 5 4 16 3" xfId="12357" xr:uid="{00000000-0005-0000-0000-0000BA790000}"/>
    <cellStyle name="Normal 5 4 16 3 2" xfId="35842" xr:uid="{00000000-0005-0000-0000-0000BB790000}"/>
    <cellStyle name="Normal 5 4 16 3 3" xfId="26523" xr:uid="{00000000-0005-0000-0000-0000BC790000}"/>
    <cellStyle name="Normal 5 4 16 3 4" xfId="49785" xr:uid="{00000000-0005-0000-0000-0000BD790000}"/>
    <cellStyle name="Normal 5 4 16 4" xfId="17088" xr:uid="{00000000-0005-0000-0000-0000BE790000}"/>
    <cellStyle name="Normal 5 4 16 4 2" xfId="31220" xr:uid="{00000000-0005-0000-0000-0000BF790000}"/>
    <cellStyle name="Normal 5 4 16 4 3" xfId="45115" xr:uid="{00000000-0005-0000-0000-0000C0790000}"/>
    <cellStyle name="Normal 5 4 16 5" xfId="21901" xr:uid="{00000000-0005-0000-0000-0000C1790000}"/>
    <cellStyle name="Normal 5 4 16 6" xfId="40533" xr:uid="{00000000-0005-0000-0000-0000C2790000}"/>
    <cellStyle name="Normal 5 4 17" xfId="6548" xr:uid="{00000000-0005-0000-0000-0000C3790000}"/>
    <cellStyle name="Normal 5 4 17 2" xfId="6549" xr:uid="{00000000-0005-0000-0000-0000C4790000}"/>
    <cellStyle name="Normal 5 4 17 2 2" xfId="12360" xr:uid="{00000000-0005-0000-0000-0000C5790000}"/>
    <cellStyle name="Normal 5 4 17 2 2 2" xfId="35845" xr:uid="{00000000-0005-0000-0000-0000C6790000}"/>
    <cellStyle name="Normal 5 4 17 2 2 3" xfId="26526" xr:uid="{00000000-0005-0000-0000-0000C7790000}"/>
    <cellStyle name="Normal 5 4 17 2 2 4" xfId="49788" xr:uid="{00000000-0005-0000-0000-0000C8790000}"/>
    <cellStyle name="Normal 5 4 17 2 3" xfId="17091" xr:uid="{00000000-0005-0000-0000-0000C9790000}"/>
    <cellStyle name="Normal 5 4 17 2 3 2" xfId="31223" xr:uid="{00000000-0005-0000-0000-0000CA790000}"/>
    <cellStyle name="Normal 5 4 17 2 3 3" xfId="45118" xr:uid="{00000000-0005-0000-0000-0000CB790000}"/>
    <cellStyle name="Normal 5 4 17 2 4" xfId="21904" xr:uid="{00000000-0005-0000-0000-0000CC790000}"/>
    <cellStyle name="Normal 5 4 17 2 5" xfId="40536" xr:uid="{00000000-0005-0000-0000-0000CD790000}"/>
    <cellStyle name="Normal 5 4 17 3" xfId="12359" xr:uid="{00000000-0005-0000-0000-0000CE790000}"/>
    <cellStyle name="Normal 5 4 17 3 2" xfId="35844" xr:uid="{00000000-0005-0000-0000-0000CF790000}"/>
    <cellStyle name="Normal 5 4 17 3 3" xfId="26525" xr:uid="{00000000-0005-0000-0000-0000D0790000}"/>
    <cellStyle name="Normal 5 4 17 3 4" xfId="49787" xr:uid="{00000000-0005-0000-0000-0000D1790000}"/>
    <cellStyle name="Normal 5 4 17 4" xfId="17090" xr:uid="{00000000-0005-0000-0000-0000D2790000}"/>
    <cellStyle name="Normal 5 4 17 4 2" xfId="31222" xr:uid="{00000000-0005-0000-0000-0000D3790000}"/>
    <cellStyle name="Normal 5 4 17 4 3" xfId="45117" xr:uid="{00000000-0005-0000-0000-0000D4790000}"/>
    <cellStyle name="Normal 5 4 17 5" xfId="21903" xr:uid="{00000000-0005-0000-0000-0000D5790000}"/>
    <cellStyle name="Normal 5 4 17 6" xfId="40535" xr:uid="{00000000-0005-0000-0000-0000D6790000}"/>
    <cellStyle name="Normal 5 4 18" xfId="6550" xr:uid="{00000000-0005-0000-0000-0000D7790000}"/>
    <cellStyle name="Normal 5 4 18 2" xfId="6551" xr:uid="{00000000-0005-0000-0000-0000D8790000}"/>
    <cellStyle name="Normal 5 4 18 2 2" xfId="12362" xr:uid="{00000000-0005-0000-0000-0000D9790000}"/>
    <cellStyle name="Normal 5 4 18 2 2 2" xfId="35847" xr:uid="{00000000-0005-0000-0000-0000DA790000}"/>
    <cellStyle name="Normal 5 4 18 2 2 3" xfId="26528" xr:uid="{00000000-0005-0000-0000-0000DB790000}"/>
    <cellStyle name="Normal 5 4 18 2 2 4" xfId="49790" xr:uid="{00000000-0005-0000-0000-0000DC790000}"/>
    <cellStyle name="Normal 5 4 18 2 3" xfId="17093" xr:uid="{00000000-0005-0000-0000-0000DD790000}"/>
    <cellStyle name="Normal 5 4 18 2 3 2" xfId="31225" xr:uid="{00000000-0005-0000-0000-0000DE790000}"/>
    <cellStyle name="Normal 5 4 18 2 3 3" xfId="45120" xr:uid="{00000000-0005-0000-0000-0000DF790000}"/>
    <cellStyle name="Normal 5 4 18 2 4" xfId="21906" xr:uid="{00000000-0005-0000-0000-0000E0790000}"/>
    <cellStyle name="Normal 5 4 18 2 5" xfId="40538" xr:uid="{00000000-0005-0000-0000-0000E1790000}"/>
    <cellStyle name="Normal 5 4 18 3" xfId="12361" xr:uid="{00000000-0005-0000-0000-0000E2790000}"/>
    <cellStyle name="Normal 5 4 18 3 2" xfId="35846" xr:uid="{00000000-0005-0000-0000-0000E3790000}"/>
    <cellStyle name="Normal 5 4 18 3 3" xfId="26527" xr:uid="{00000000-0005-0000-0000-0000E4790000}"/>
    <cellStyle name="Normal 5 4 18 3 4" xfId="49789" xr:uid="{00000000-0005-0000-0000-0000E5790000}"/>
    <cellStyle name="Normal 5 4 18 4" xfId="17092" xr:uid="{00000000-0005-0000-0000-0000E6790000}"/>
    <cellStyle name="Normal 5 4 18 4 2" xfId="31224" xr:uid="{00000000-0005-0000-0000-0000E7790000}"/>
    <cellStyle name="Normal 5 4 18 4 3" xfId="45119" xr:uid="{00000000-0005-0000-0000-0000E8790000}"/>
    <cellStyle name="Normal 5 4 18 5" xfId="21905" xr:uid="{00000000-0005-0000-0000-0000E9790000}"/>
    <cellStyle name="Normal 5 4 18 6" xfId="40537" xr:uid="{00000000-0005-0000-0000-0000EA790000}"/>
    <cellStyle name="Normal 5 4 19" xfId="6552" xr:uid="{00000000-0005-0000-0000-0000EB790000}"/>
    <cellStyle name="Normal 5 4 19 2" xfId="6553" xr:uid="{00000000-0005-0000-0000-0000EC790000}"/>
    <cellStyle name="Normal 5 4 19 2 2" xfId="12364" xr:uid="{00000000-0005-0000-0000-0000ED790000}"/>
    <cellStyle name="Normal 5 4 19 2 2 2" xfId="35849" xr:uid="{00000000-0005-0000-0000-0000EE790000}"/>
    <cellStyle name="Normal 5 4 19 2 2 3" xfId="26530" xr:uid="{00000000-0005-0000-0000-0000EF790000}"/>
    <cellStyle name="Normal 5 4 19 2 2 4" xfId="49792" xr:uid="{00000000-0005-0000-0000-0000F0790000}"/>
    <cellStyle name="Normal 5 4 19 2 3" xfId="17095" xr:uid="{00000000-0005-0000-0000-0000F1790000}"/>
    <cellStyle name="Normal 5 4 19 2 3 2" xfId="31227" xr:uid="{00000000-0005-0000-0000-0000F2790000}"/>
    <cellStyle name="Normal 5 4 19 2 3 3" xfId="45122" xr:uid="{00000000-0005-0000-0000-0000F3790000}"/>
    <cellStyle name="Normal 5 4 19 2 4" xfId="21908" xr:uid="{00000000-0005-0000-0000-0000F4790000}"/>
    <cellStyle name="Normal 5 4 19 2 5" xfId="40540" xr:uid="{00000000-0005-0000-0000-0000F5790000}"/>
    <cellStyle name="Normal 5 4 19 3" xfId="12363" xr:uid="{00000000-0005-0000-0000-0000F6790000}"/>
    <cellStyle name="Normal 5 4 19 3 2" xfId="35848" xr:uid="{00000000-0005-0000-0000-0000F7790000}"/>
    <cellStyle name="Normal 5 4 19 3 3" xfId="26529" xr:uid="{00000000-0005-0000-0000-0000F8790000}"/>
    <cellStyle name="Normal 5 4 19 3 4" xfId="49791" xr:uid="{00000000-0005-0000-0000-0000F9790000}"/>
    <cellStyle name="Normal 5 4 19 4" xfId="17094" xr:uid="{00000000-0005-0000-0000-0000FA790000}"/>
    <cellStyle name="Normal 5 4 19 4 2" xfId="31226" xr:uid="{00000000-0005-0000-0000-0000FB790000}"/>
    <cellStyle name="Normal 5 4 19 4 3" xfId="45121" xr:uid="{00000000-0005-0000-0000-0000FC790000}"/>
    <cellStyle name="Normal 5 4 19 5" xfId="21907" xr:uid="{00000000-0005-0000-0000-0000FD790000}"/>
    <cellStyle name="Normal 5 4 19 6" xfId="40539" xr:uid="{00000000-0005-0000-0000-0000FE790000}"/>
    <cellStyle name="Normal 5 4 2" xfId="6554" xr:uid="{00000000-0005-0000-0000-0000FF790000}"/>
    <cellStyle name="Normal 5 4 2 2" xfId="6555" xr:uid="{00000000-0005-0000-0000-0000007A0000}"/>
    <cellStyle name="Normal 5 4 2 2 2" xfId="12366" xr:uid="{00000000-0005-0000-0000-0000017A0000}"/>
    <cellStyle name="Normal 5 4 2 2 2 2" xfId="35851" xr:uid="{00000000-0005-0000-0000-0000027A0000}"/>
    <cellStyle name="Normal 5 4 2 2 2 3" xfId="26532" xr:uid="{00000000-0005-0000-0000-0000037A0000}"/>
    <cellStyle name="Normal 5 4 2 2 2 4" xfId="49794" xr:uid="{00000000-0005-0000-0000-0000047A0000}"/>
    <cellStyle name="Normal 5 4 2 2 3" xfId="17097" xr:uid="{00000000-0005-0000-0000-0000057A0000}"/>
    <cellStyle name="Normal 5 4 2 2 3 2" xfId="31229" xr:uid="{00000000-0005-0000-0000-0000067A0000}"/>
    <cellStyle name="Normal 5 4 2 2 3 3" xfId="45124" xr:uid="{00000000-0005-0000-0000-0000077A0000}"/>
    <cellStyle name="Normal 5 4 2 2 4" xfId="21910" xr:uid="{00000000-0005-0000-0000-0000087A0000}"/>
    <cellStyle name="Normal 5 4 2 2 5" xfId="40542" xr:uid="{00000000-0005-0000-0000-0000097A0000}"/>
    <cellStyle name="Normal 5 4 2 3" xfId="12365" xr:uid="{00000000-0005-0000-0000-00000A7A0000}"/>
    <cellStyle name="Normal 5 4 2 3 2" xfId="35850" xr:uid="{00000000-0005-0000-0000-00000B7A0000}"/>
    <cellStyle name="Normal 5 4 2 3 3" xfId="26531" xr:uid="{00000000-0005-0000-0000-00000C7A0000}"/>
    <cellStyle name="Normal 5 4 2 3 4" xfId="49793" xr:uid="{00000000-0005-0000-0000-00000D7A0000}"/>
    <cellStyle name="Normal 5 4 2 4" xfId="17096" xr:uid="{00000000-0005-0000-0000-00000E7A0000}"/>
    <cellStyle name="Normal 5 4 2 4 2" xfId="31228" xr:uid="{00000000-0005-0000-0000-00000F7A0000}"/>
    <cellStyle name="Normal 5 4 2 4 3" xfId="45123" xr:uid="{00000000-0005-0000-0000-0000107A0000}"/>
    <cellStyle name="Normal 5 4 2 5" xfId="21909" xr:uid="{00000000-0005-0000-0000-0000117A0000}"/>
    <cellStyle name="Normal 5 4 2 6" xfId="40541" xr:uid="{00000000-0005-0000-0000-0000127A0000}"/>
    <cellStyle name="Normal 5 4 20" xfId="6556" xr:uid="{00000000-0005-0000-0000-0000137A0000}"/>
    <cellStyle name="Normal 5 4 20 2" xfId="6557" xr:uid="{00000000-0005-0000-0000-0000147A0000}"/>
    <cellStyle name="Normal 5 4 20 2 2" xfId="12368" xr:uid="{00000000-0005-0000-0000-0000157A0000}"/>
    <cellStyle name="Normal 5 4 20 2 2 2" xfId="35853" xr:uid="{00000000-0005-0000-0000-0000167A0000}"/>
    <cellStyle name="Normal 5 4 20 2 2 3" xfId="26534" xr:uid="{00000000-0005-0000-0000-0000177A0000}"/>
    <cellStyle name="Normal 5 4 20 2 2 4" xfId="49796" xr:uid="{00000000-0005-0000-0000-0000187A0000}"/>
    <cellStyle name="Normal 5 4 20 2 3" xfId="17099" xr:uid="{00000000-0005-0000-0000-0000197A0000}"/>
    <cellStyle name="Normal 5 4 20 2 3 2" xfId="31231" xr:uid="{00000000-0005-0000-0000-00001A7A0000}"/>
    <cellStyle name="Normal 5 4 20 2 3 3" xfId="45126" xr:uid="{00000000-0005-0000-0000-00001B7A0000}"/>
    <cellStyle name="Normal 5 4 20 2 4" xfId="21912" xr:uid="{00000000-0005-0000-0000-00001C7A0000}"/>
    <cellStyle name="Normal 5 4 20 2 5" xfId="40544" xr:uid="{00000000-0005-0000-0000-00001D7A0000}"/>
    <cellStyle name="Normal 5 4 20 3" xfId="12367" xr:uid="{00000000-0005-0000-0000-00001E7A0000}"/>
    <cellStyle name="Normal 5 4 20 3 2" xfId="35852" xr:uid="{00000000-0005-0000-0000-00001F7A0000}"/>
    <cellStyle name="Normal 5 4 20 3 3" xfId="26533" xr:uid="{00000000-0005-0000-0000-0000207A0000}"/>
    <cellStyle name="Normal 5 4 20 3 4" xfId="49795" xr:uid="{00000000-0005-0000-0000-0000217A0000}"/>
    <cellStyle name="Normal 5 4 20 4" xfId="17098" xr:uid="{00000000-0005-0000-0000-0000227A0000}"/>
    <cellStyle name="Normal 5 4 20 4 2" xfId="31230" xr:uid="{00000000-0005-0000-0000-0000237A0000}"/>
    <cellStyle name="Normal 5 4 20 4 3" xfId="45125" xr:uid="{00000000-0005-0000-0000-0000247A0000}"/>
    <cellStyle name="Normal 5 4 20 5" xfId="21911" xr:uid="{00000000-0005-0000-0000-0000257A0000}"/>
    <cellStyle name="Normal 5 4 20 6" xfId="40543" xr:uid="{00000000-0005-0000-0000-0000267A0000}"/>
    <cellStyle name="Normal 5 4 21" xfId="6558" xr:uid="{00000000-0005-0000-0000-0000277A0000}"/>
    <cellStyle name="Normal 5 4 21 2" xfId="6559" xr:uid="{00000000-0005-0000-0000-0000287A0000}"/>
    <cellStyle name="Normal 5 4 21 2 2" xfId="12370" xr:uid="{00000000-0005-0000-0000-0000297A0000}"/>
    <cellStyle name="Normal 5 4 21 2 2 2" xfId="35855" xr:uid="{00000000-0005-0000-0000-00002A7A0000}"/>
    <cellStyle name="Normal 5 4 21 2 2 3" xfId="26536" xr:uid="{00000000-0005-0000-0000-00002B7A0000}"/>
    <cellStyle name="Normal 5 4 21 2 2 4" xfId="49798" xr:uid="{00000000-0005-0000-0000-00002C7A0000}"/>
    <cellStyle name="Normal 5 4 21 2 3" xfId="17101" xr:uid="{00000000-0005-0000-0000-00002D7A0000}"/>
    <cellStyle name="Normal 5 4 21 2 3 2" xfId="31233" xr:uid="{00000000-0005-0000-0000-00002E7A0000}"/>
    <cellStyle name="Normal 5 4 21 2 3 3" xfId="45128" xr:uid="{00000000-0005-0000-0000-00002F7A0000}"/>
    <cellStyle name="Normal 5 4 21 2 4" xfId="21914" xr:uid="{00000000-0005-0000-0000-0000307A0000}"/>
    <cellStyle name="Normal 5 4 21 2 5" xfId="40546" xr:uid="{00000000-0005-0000-0000-0000317A0000}"/>
    <cellStyle name="Normal 5 4 21 3" xfId="12369" xr:uid="{00000000-0005-0000-0000-0000327A0000}"/>
    <cellStyle name="Normal 5 4 21 3 2" xfId="35854" xr:uid="{00000000-0005-0000-0000-0000337A0000}"/>
    <cellStyle name="Normal 5 4 21 3 3" xfId="26535" xr:uid="{00000000-0005-0000-0000-0000347A0000}"/>
    <cellStyle name="Normal 5 4 21 3 4" xfId="49797" xr:uid="{00000000-0005-0000-0000-0000357A0000}"/>
    <cellStyle name="Normal 5 4 21 4" xfId="17100" xr:uid="{00000000-0005-0000-0000-0000367A0000}"/>
    <cellStyle name="Normal 5 4 21 4 2" xfId="31232" xr:uid="{00000000-0005-0000-0000-0000377A0000}"/>
    <cellStyle name="Normal 5 4 21 4 3" xfId="45127" xr:uid="{00000000-0005-0000-0000-0000387A0000}"/>
    <cellStyle name="Normal 5 4 21 5" xfId="21913" xr:uid="{00000000-0005-0000-0000-0000397A0000}"/>
    <cellStyle name="Normal 5 4 21 6" xfId="40545" xr:uid="{00000000-0005-0000-0000-00003A7A0000}"/>
    <cellStyle name="Normal 5 4 22" xfId="6560" xr:uid="{00000000-0005-0000-0000-00003B7A0000}"/>
    <cellStyle name="Normal 5 4 22 2" xfId="6561" xr:uid="{00000000-0005-0000-0000-00003C7A0000}"/>
    <cellStyle name="Normal 5 4 22 2 2" xfId="12372" xr:uid="{00000000-0005-0000-0000-00003D7A0000}"/>
    <cellStyle name="Normal 5 4 22 2 2 2" xfId="35857" xr:uid="{00000000-0005-0000-0000-00003E7A0000}"/>
    <cellStyle name="Normal 5 4 22 2 2 3" xfId="26538" xr:uid="{00000000-0005-0000-0000-00003F7A0000}"/>
    <cellStyle name="Normal 5 4 22 2 2 4" xfId="49800" xr:uid="{00000000-0005-0000-0000-0000407A0000}"/>
    <cellStyle name="Normal 5 4 22 2 3" xfId="17103" xr:uid="{00000000-0005-0000-0000-0000417A0000}"/>
    <cellStyle name="Normal 5 4 22 2 3 2" xfId="31235" xr:uid="{00000000-0005-0000-0000-0000427A0000}"/>
    <cellStyle name="Normal 5 4 22 2 3 3" xfId="45130" xr:uid="{00000000-0005-0000-0000-0000437A0000}"/>
    <cellStyle name="Normal 5 4 22 2 4" xfId="21916" xr:uid="{00000000-0005-0000-0000-0000447A0000}"/>
    <cellStyle name="Normal 5 4 22 2 5" xfId="40548" xr:uid="{00000000-0005-0000-0000-0000457A0000}"/>
    <cellStyle name="Normal 5 4 22 3" xfId="12371" xr:uid="{00000000-0005-0000-0000-0000467A0000}"/>
    <cellStyle name="Normal 5 4 22 3 2" xfId="35856" xr:uid="{00000000-0005-0000-0000-0000477A0000}"/>
    <cellStyle name="Normal 5 4 22 3 3" xfId="26537" xr:uid="{00000000-0005-0000-0000-0000487A0000}"/>
    <cellStyle name="Normal 5 4 22 3 4" xfId="49799" xr:uid="{00000000-0005-0000-0000-0000497A0000}"/>
    <cellStyle name="Normal 5 4 22 4" xfId="17102" xr:uid="{00000000-0005-0000-0000-00004A7A0000}"/>
    <cellStyle name="Normal 5 4 22 4 2" xfId="31234" xr:uid="{00000000-0005-0000-0000-00004B7A0000}"/>
    <cellStyle name="Normal 5 4 22 4 3" xfId="45129" xr:uid="{00000000-0005-0000-0000-00004C7A0000}"/>
    <cellStyle name="Normal 5 4 22 5" xfId="21915" xr:uid="{00000000-0005-0000-0000-00004D7A0000}"/>
    <cellStyle name="Normal 5 4 22 6" xfId="40547" xr:uid="{00000000-0005-0000-0000-00004E7A0000}"/>
    <cellStyle name="Normal 5 4 23" xfId="6562" xr:uid="{00000000-0005-0000-0000-00004F7A0000}"/>
    <cellStyle name="Normal 5 4 23 2" xfId="6563" xr:uid="{00000000-0005-0000-0000-0000507A0000}"/>
    <cellStyle name="Normal 5 4 23 2 2" xfId="12374" xr:uid="{00000000-0005-0000-0000-0000517A0000}"/>
    <cellStyle name="Normal 5 4 23 2 2 2" xfId="35859" xr:uid="{00000000-0005-0000-0000-0000527A0000}"/>
    <cellStyle name="Normal 5 4 23 2 2 3" xfId="26540" xr:uid="{00000000-0005-0000-0000-0000537A0000}"/>
    <cellStyle name="Normal 5 4 23 2 2 4" xfId="49802" xr:uid="{00000000-0005-0000-0000-0000547A0000}"/>
    <cellStyle name="Normal 5 4 23 2 3" xfId="17105" xr:uid="{00000000-0005-0000-0000-0000557A0000}"/>
    <cellStyle name="Normal 5 4 23 2 3 2" xfId="31237" xr:uid="{00000000-0005-0000-0000-0000567A0000}"/>
    <cellStyle name="Normal 5 4 23 2 3 3" xfId="45132" xr:uid="{00000000-0005-0000-0000-0000577A0000}"/>
    <cellStyle name="Normal 5 4 23 2 4" xfId="21918" xr:uid="{00000000-0005-0000-0000-0000587A0000}"/>
    <cellStyle name="Normal 5 4 23 2 5" xfId="40550" xr:uid="{00000000-0005-0000-0000-0000597A0000}"/>
    <cellStyle name="Normal 5 4 23 3" xfId="12373" xr:uid="{00000000-0005-0000-0000-00005A7A0000}"/>
    <cellStyle name="Normal 5 4 23 3 2" xfId="35858" xr:uid="{00000000-0005-0000-0000-00005B7A0000}"/>
    <cellStyle name="Normal 5 4 23 3 3" xfId="26539" xr:uid="{00000000-0005-0000-0000-00005C7A0000}"/>
    <cellStyle name="Normal 5 4 23 3 4" xfId="49801" xr:uid="{00000000-0005-0000-0000-00005D7A0000}"/>
    <cellStyle name="Normal 5 4 23 4" xfId="17104" xr:uid="{00000000-0005-0000-0000-00005E7A0000}"/>
    <cellStyle name="Normal 5 4 23 4 2" xfId="31236" xr:uid="{00000000-0005-0000-0000-00005F7A0000}"/>
    <cellStyle name="Normal 5 4 23 4 3" xfId="45131" xr:uid="{00000000-0005-0000-0000-0000607A0000}"/>
    <cellStyle name="Normal 5 4 23 5" xfId="21917" xr:uid="{00000000-0005-0000-0000-0000617A0000}"/>
    <cellStyle name="Normal 5 4 23 6" xfId="40549" xr:uid="{00000000-0005-0000-0000-0000627A0000}"/>
    <cellStyle name="Normal 5 4 24" xfId="6564" xr:uid="{00000000-0005-0000-0000-0000637A0000}"/>
    <cellStyle name="Normal 5 4 24 2" xfId="12375" xr:uid="{00000000-0005-0000-0000-0000647A0000}"/>
    <cellStyle name="Normal 5 4 24 2 2" xfId="35860" xr:uid="{00000000-0005-0000-0000-0000657A0000}"/>
    <cellStyle name="Normal 5 4 24 2 3" xfId="26541" xr:uid="{00000000-0005-0000-0000-0000667A0000}"/>
    <cellStyle name="Normal 5 4 24 2 4" xfId="49803" xr:uid="{00000000-0005-0000-0000-0000677A0000}"/>
    <cellStyle name="Normal 5 4 24 3" xfId="17106" xr:uid="{00000000-0005-0000-0000-0000687A0000}"/>
    <cellStyle name="Normal 5 4 24 3 2" xfId="31238" xr:uid="{00000000-0005-0000-0000-0000697A0000}"/>
    <cellStyle name="Normal 5 4 24 3 3" xfId="45133" xr:uid="{00000000-0005-0000-0000-00006A7A0000}"/>
    <cellStyle name="Normal 5 4 24 4" xfId="21919" xr:uid="{00000000-0005-0000-0000-00006B7A0000}"/>
    <cellStyle name="Normal 5 4 24 5" xfId="40551" xr:uid="{00000000-0005-0000-0000-00006C7A0000}"/>
    <cellStyle name="Normal 5 4 25" xfId="12344" xr:uid="{00000000-0005-0000-0000-00006D7A0000}"/>
    <cellStyle name="Normal 5 4 25 2" xfId="35829" xr:uid="{00000000-0005-0000-0000-00006E7A0000}"/>
    <cellStyle name="Normal 5 4 25 3" xfId="26510" xr:uid="{00000000-0005-0000-0000-00006F7A0000}"/>
    <cellStyle name="Normal 5 4 25 4" xfId="49772" xr:uid="{00000000-0005-0000-0000-0000707A0000}"/>
    <cellStyle name="Normal 5 4 26" xfId="17075" xr:uid="{00000000-0005-0000-0000-0000717A0000}"/>
    <cellStyle name="Normal 5 4 26 2" xfId="31207" xr:uid="{00000000-0005-0000-0000-0000727A0000}"/>
    <cellStyle name="Normal 5 4 26 3" xfId="45102" xr:uid="{00000000-0005-0000-0000-0000737A0000}"/>
    <cellStyle name="Normal 5 4 27" xfId="21888" xr:uid="{00000000-0005-0000-0000-0000747A0000}"/>
    <cellStyle name="Normal 5 4 28" xfId="40520" xr:uid="{00000000-0005-0000-0000-0000757A0000}"/>
    <cellStyle name="Normal 5 4 3" xfId="6565" xr:uid="{00000000-0005-0000-0000-0000767A0000}"/>
    <cellStyle name="Normal 5 4 3 2" xfId="6566" xr:uid="{00000000-0005-0000-0000-0000777A0000}"/>
    <cellStyle name="Normal 5 4 3 2 2" xfId="12377" xr:uid="{00000000-0005-0000-0000-0000787A0000}"/>
    <cellStyle name="Normal 5 4 3 2 2 2" xfId="35862" xr:uid="{00000000-0005-0000-0000-0000797A0000}"/>
    <cellStyle name="Normal 5 4 3 2 2 3" xfId="26543" xr:uid="{00000000-0005-0000-0000-00007A7A0000}"/>
    <cellStyle name="Normal 5 4 3 2 2 4" xfId="49805" xr:uid="{00000000-0005-0000-0000-00007B7A0000}"/>
    <cellStyle name="Normal 5 4 3 2 3" xfId="17108" xr:uid="{00000000-0005-0000-0000-00007C7A0000}"/>
    <cellStyle name="Normal 5 4 3 2 3 2" xfId="31240" xr:uid="{00000000-0005-0000-0000-00007D7A0000}"/>
    <cellStyle name="Normal 5 4 3 2 3 3" xfId="45135" xr:uid="{00000000-0005-0000-0000-00007E7A0000}"/>
    <cellStyle name="Normal 5 4 3 2 4" xfId="21921" xr:uid="{00000000-0005-0000-0000-00007F7A0000}"/>
    <cellStyle name="Normal 5 4 3 2 5" xfId="40553" xr:uid="{00000000-0005-0000-0000-0000807A0000}"/>
    <cellStyle name="Normal 5 4 3 3" xfId="12376" xr:uid="{00000000-0005-0000-0000-0000817A0000}"/>
    <cellStyle name="Normal 5 4 3 3 2" xfId="35861" xr:uid="{00000000-0005-0000-0000-0000827A0000}"/>
    <cellStyle name="Normal 5 4 3 3 3" xfId="26542" xr:uid="{00000000-0005-0000-0000-0000837A0000}"/>
    <cellStyle name="Normal 5 4 3 3 4" xfId="49804" xr:uid="{00000000-0005-0000-0000-0000847A0000}"/>
    <cellStyle name="Normal 5 4 3 4" xfId="17107" xr:uid="{00000000-0005-0000-0000-0000857A0000}"/>
    <cellStyle name="Normal 5 4 3 4 2" xfId="31239" xr:uid="{00000000-0005-0000-0000-0000867A0000}"/>
    <cellStyle name="Normal 5 4 3 4 3" xfId="45134" xr:uid="{00000000-0005-0000-0000-0000877A0000}"/>
    <cellStyle name="Normal 5 4 3 5" xfId="21920" xr:uid="{00000000-0005-0000-0000-0000887A0000}"/>
    <cellStyle name="Normal 5 4 3 6" xfId="40552" xr:uid="{00000000-0005-0000-0000-0000897A0000}"/>
    <cellStyle name="Normal 5 4 4" xfId="6567" xr:uid="{00000000-0005-0000-0000-00008A7A0000}"/>
    <cellStyle name="Normal 5 4 4 2" xfId="6568" xr:uid="{00000000-0005-0000-0000-00008B7A0000}"/>
    <cellStyle name="Normal 5 4 4 2 2" xfId="12379" xr:uid="{00000000-0005-0000-0000-00008C7A0000}"/>
    <cellStyle name="Normal 5 4 4 2 2 2" xfId="35864" xr:uid="{00000000-0005-0000-0000-00008D7A0000}"/>
    <cellStyle name="Normal 5 4 4 2 2 3" xfId="26545" xr:uid="{00000000-0005-0000-0000-00008E7A0000}"/>
    <cellStyle name="Normal 5 4 4 2 2 4" xfId="49807" xr:uid="{00000000-0005-0000-0000-00008F7A0000}"/>
    <cellStyle name="Normal 5 4 4 2 3" xfId="17110" xr:uid="{00000000-0005-0000-0000-0000907A0000}"/>
    <cellStyle name="Normal 5 4 4 2 3 2" xfId="31242" xr:uid="{00000000-0005-0000-0000-0000917A0000}"/>
    <cellStyle name="Normal 5 4 4 2 3 3" xfId="45137" xr:uid="{00000000-0005-0000-0000-0000927A0000}"/>
    <cellStyle name="Normal 5 4 4 2 4" xfId="21923" xr:uid="{00000000-0005-0000-0000-0000937A0000}"/>
    <cellStyle name="Normal 5 4 4 2 5" xfId="40555" xr:uid="{00000000-0005-0000-0000-0000947A0000}"/>
    <cellStyle name="Normal 5 4 4 3" xfId="12378" xr:uid="{00000000-0005-0000-0000-0000957A0000}"/>
    <cellStyle name="Normal 5 4 4 3 2" xfId="35863" xr:uid="{00000000-0005-0000-0000-0000967A0000}"/>
    <cellStyle name="Normal 5 4 4 3 3" xfId="26544" xr:uid="{00000000-0005-0000-0000-0000977A0000}"/>
    <cellStyle name="Normal 5 4 4 3 4" xfId="49806" xr:uid="{00000000-0005-0000-0000-0000987A0000}"/>
    <cellStyle name="Normal 5 4 4 4" xfId="17109" xr:uid="{00000000-0005-0000-0000-0000997A0000}"/>
    <cellStyle name="Normal 5 4 4 4 2" xfId="31241" xr:uid="{00000000-0005-0000-0000-00009A7A0000}"/>
    <cellStyle name="Normal 5 4 4 4 3" xfId="45136" xr:uid="{00000000-0005-0000-0000-00009B7A0000}"/>
    <cellStyle name="Normal 5 4 4 5" xfId="21922" xr:uid="{00000000-0005-0000-0000-00009C7A0000}"/>
    <cellStyle name="Normal 5 4 4 6" xfId="40554" xr:uid="{00000000-0005-0000-0000-00009D7A0000}"/>
    <cellStyle name="Normal 5 4 5" xfId="6569" xr:uid="{00000000-0005-0000-0000-00009E7A0000}"/>
    <cellStyle name="Normal 5 4 5 2" xfId="6570" xr:uid="{00000000-0005-0000-0000-00009F7A0000}"/>
    <cellStyle name="Normal 5 4 5 2 2" xfId="12381" xr:uid="{00000000-0005-0000-0000-0000A07A0000}"/>
    <cellStyle name="Normal 5 4 5 2 2 2" xfId="35866" xr:uid="{00000000-0005-0000-0000-0000A17A0000}"/>
    <cellStyle name="Normal 5 4 5 2 2 3" xfId="26547" xr:uid="{00000000-0005-0000-0000-0000A27A0000}"/>
    <cellStyle name="Normal 5 4 5 2 2 4" xfId="49809" xr:uid="{00000000-0005-0000-0000-0000A37A0000}"/>
    <cellStyle name="Normal 5 4 5 2 3" xfId="17112" xr:uid="{00000000-0005-0000-0000-0000A47A0000}"/>
    <cellStyle name="Normal 5 4 5 2 3 2" xfId="31244" xr:uid="{00000000-0005-0000-0000-0000A57A0000}"/>
    <cellStyle name="Normal 5 4 5 2 3 3" xfId="45139" xr:uid="{00000000-0005-0000-0000-0000A67A0000}"/>
    <cellStyle name="Normal 5 4 5 2 4" xfId="21925" xr:uid="{00000000-0005-0000-0000-0000A77A0000}"/>
    <cellStyle name="Normal 5 4 5 2 5" xfId="40557" xr:uid="{00000000-0005-0000-0000-0000A87A0000}"/>
    <cellStyle name="Normal 5 4 5 3" xfId="12380" xr:uid="{00000000-0005-0000-0000-0000A97A0000}"/>
    <cellStyle name="Normal 5 4 5 3 2" xfId="35865" xr:uid="{00000000-0005-0000-0000-0000AA7A0000}"/>
    <cellStyle name="Normal 5 4 5 3 3" xfId="26546" xr:uid="{00000000-0005-0000-0000-0000AB7A0000}"/>
    <cellStyle name="Normal 5 4 5 3 4" xfId="49808" xr:uid="{00000000-0005-0000-0000-0000AC7A0000}"/>
    <cellStyle name="Normal 5 4 5 4" xfId="17111" xr:uid="{00000000-0005-0000-0000-0000AD7A0000}"/>
    <cellStyle name="Normal 5 4 5 4 2" xfId="31243" xr:uid="{00000000-0005-0000-0000-0000AE7A0000}"/>
    <cellStyle name="Normal 5 4 5 4 3" xfId="45138" xr:uid="{00000000-0005-0000-0000-0000AF7A0000}"/>
    <cellStyle name="Normal 5 4 5 5" xfId="21924" xr:uid="{00000000-0005-0000-0000-0000B07A0000}"/>
    <cellStyle name="Normal 5 4 5 6" xfId="40556" xr:uid="{00000000-0005-0000-0000-0000B17A0000}"/>
    <cellStyle name="Normal 5 4 6" xfId="6571" xr:uid="{00000000-0005-0000-0000-0000B27A0000}"/>
    <cellStyle name="Normal 5 4 6 2" xfId="6572" xr:uid="{00000000-0005-0000-0000-0000B37A0000}"/>
    <cellStyle name="Normal 5 4 6 2 2" xfId="12383" xr:uid="{00000000-0005-0000-0000-0000B47A0000}"/>
    <cellStyle name="Normal 5 4 6 2 2 2" xfId="35868" xr:uid="{00000000-0005-0000-0000-0000B57A0000}"/>
    <cellStyle name="Normal 5 4 6 2 2 3" xfId="26549" xr:uid="{00000000-0005-0000-0000-0000B67A0000}"/>
    <cellStyle name="Normal 5 4 6 2 2 4" xfId="49811" xr:uid="{00000000-0005-0000-0000-0000B77A0000}"/>
    <cellStyle name="Normal 5 4 6 2 3" xfId="17114" xr:uid="{00000000-0005-0000-0000-0000B87A0000}"/>
    <cellStyle name="Normal 5 4 6 2 3 2" xfId="31246" xr:uid="{00000000-0005-0000-0000-0000B97A0000}"/>
    <cellStyle name="Normal 5 4 6 2 3 3" xfId="45141" xr:uid="{00000000-0005-0000-0000-0000BA7A0000}"/>
    <cellStyle name="Normal 5 4 6 2 4" xfId="21927" xr:uid="{00000000-0005-0000-0000-0000BB7A0000}"/>
    <cellStyle name="Normal 5 4 6 2 5" xfId="40559" xr:uid="{00000000-0005-0000-0000-0000BC7A0000}"/>
    <cellStyle name="Normal 5 4 6 3" xfId="12382" xr:uid="{00000000-0005-0000-0000-0000BD7A0000}"/>
    <cellStyle name="Normal 5 4 6 3 2" xfId="35867" xr:uid="{00000000-0005-0000-0000-0000BE7A0000}"/>
    <cellStyle name="Normal 5 4 6 3 3" xfId="26548" xr:uid="{00000000-0005-0000-0000-0000BF7A0000}"/>
    <cellStyle name="Normal 5 4 6 3 4" xfId="49810" xr:uid="{00000000-0005-0000-0000-0000C07A0000}"/>
    <cellStyle name="Normal 5 4 6 4" xfId="17113" xr:uid="{00000000-0005-0000-0000-0000C17A0000}"/>
    <cellStyle name="Normal 5 4 6 4 2" xfId="31245" xr:uid="{00000000-0005-0000-0000-0000C27A0000}"/>
    <cellStyle name="Normal 5 4 6 4 3" xfId="45140" xr:uid="{00000000-0005-0000-0000-0000C37A0000}"/>
    <cellStyle name="Normal 5 4 6 5" xfId="21926" xr:uid="{00000000-0005-0000-0000-0000C47A0000}"/>
    <cellStyle name="Normal 5 4 6 6" xfId="40558" xr:uid="{00000000-0005-0000-0000-0000C57A0000}"/>
    <cellStyle name="Normal 5 4 7" xfId="6573" xr:uid="{00000000-0005-0000-0000-0000C67A0000}"/>
    <cellStyle name="Normal 5 4 7 2" xfId="6574" xr:uid="{00000000-0005-0000-0000-0000C77A0000}"/>
    <cellStyle name="Normal 5 4 7 2 2" xfId="12385" xr:uid="{00000000-0005-0000-0000-0000C87A0000}"/>
    <cellStyle name="Normal 5 4 7 2 2 2" xfId="35870" xr:uid="{00000000-0005-0000-0000-0000C97A0000}"/>
    <cellStyle name="Normal 5 4 7 2 2 3" xfId="26551" xr:uid="{00000000-0005-0000-0000-0000CA7A0000}"/>
    <cellStyle name="Normal 5 4 7 2 2 4" xfId="49813" xr:uid="{00000000-0005-0000-0000-0000CB7A0000}"/>
    <cellStyle name="Normal 5 4 7 2 3" xfId="17116" xr:uid="{00000000-0005-0000-0000-0000CC7A0000}"/>
    <cellStyle name="Normal 5 4 7 2 3 2" xfId="31248" xr:uid="{00000000-0005-0000-0000-0000CD7A0000}"/>
    <cellStyle name="Normal 5 4 7 2 3 3" xfId="45143" xr:uid="{00000000-0005-0000-0000-0000CE7A0000}"/>
    <cellStyle name="Normal 5 4 7 2 4" xfId="21929" xr:uid="{00000000-0005-0000-0000-0000CF7A0000}"/>
    <cellStyle name="Normal 5 4 7 2 5" xfId="40561" xr:uid="{00000000-0005-0000-0000-0000D07A0000}"/>
    <cellStyle name="Normal 5 4 7 3" xfId="12384" xr:uid="{00000000-0005-0000-0000-0000D17A0000}"/>
    <cellStyle name="Normal 5 4 7 3 2" xfId="35869" xr:uid="{00000000-0005-0000-0000-0000D27A0000}"/>
    <cellStyle name="Normal 5 4 7 3 3" xfId="26550" xr:uid="{00000000-0005-0000-0000-0000D37A0000}"/>
    <cellStyle name="Normal 5 4 7 3 4" xfId="49812" xr:uid="{00000000-0005-0000-0000-0000D47A0000}"/>
    <cellStyle name="Normal 5 4 7 4" xfId="17115" xr:uid="{00000000-0005-0000-0000-0000D57A0000}"/>
    <cellStyle name="Normal 5 4 7 4 2" xfId="31247" xr:uid="{00000000-0005-0000-0000-0000D67A0000}"/>
    <cellStyle name="Normal 5 4 7 4 3" xfId="45142" xr:uid="{00000000-0005-0000-0000-0000D77A0000}"/>
    <cellStyle name="Normal 5 4 7 5" xfId="21928" xr:uid="{00000000-0005-0000-0000-0000D87A0000}"/>
    <cellStyle name="Normal 5 4 7 6" xfId="40560" xr:uid="{00000000-0005-0000-0000-0000D97A0000}"/>
    <cellStyle name="Normal 5 4 8" xfId="6575" xr:uid="{00000000-0005-0000-0000-0000DA7A0000}"/>
    <cellStyle name="Normal 5 4 8 2" xfId="6576" xr:uid="{00000000-0005-0000-0000-0000DB7A0000}"/>
    <cellStyle name="Normal 5 4 8 2 2" xfId="12387" xr:uid="{00000000-0005-0000-0000-0000DC7A0000}"/>
    <cellStyle name="Normal 5 4 8 2 2 2" xfId="35872" xr:uid="{00000000-0005-0000-0000-0000DD7A0000}"/>
    <cellStyle name="Normal 5 4 8 2 2 3" xfId="26553" xr:uid="{00000000-0005-0000-0000-0000DE7A0000}"/>
    <cellStyle name="Normal 5 4 8 2 2 4" xfId="49815" xr:uid="{00000000-0005-0000-0000-0000DF7A0000}"/>
    <cellStyle name="Normal 5 4 8 2 3" xfId="17118" xr:uid="{00000000-0005-0000-0000-0000E07A0000}"/>
    <cellStyle name="Normal 5 4 8 2 3 2" xfId="31250" xr:uid="{00000000-0005-0000-0000-0000E17A0000}"/>
    <cellStyle name="Normal 5 4 8 2 3 3" xfId="45145" xr:uid="{00000000-0005-0000-0000-0000E27A0000}"/>
    <cellStyle name="Normal 5 4 8 2 4" xfId="21931" xr:uid="{00000000-0005-0000-0000-0000E37A0000}"/>
    <cellStyle name="Normal 5 4 8 2 5" xfId="40563" xr:uid="{00000000-0005-0000-0000-0000E47A0000}"/>
    <cellStyle name="Normal 5 4 8 3" xfId="12386" xr:uid="{00000000-0005-0000-0000-0000E57A0000}"/>
    <cellStyle name="Normal 5 4 8 3 2" xfId="35871" xr:uid="{00000000-0005-0000-0000-0000E67A0000}"/>
    <cellStyle name="Normal 5 4 8 3 3" xfId="26552" xr:uid="{00000000-0005-0000-0000-0000E77A0000}"/>
    <cellStyle name="Normal 5 4 8 3 4" xfId="49814" xr:uid="{00000000-0005-0000-0000-0000E87A0000}"/>
    <cellStyle name="Normal 5 4 8 4" xfId="17117" xr:uid="{00000000-0005-0000-0000-0000E97A0000}"/>
    <cellStyle name="Normal 5 4 8 4 2" xfId="31249" xr:uid="{00000000-0005-0000-0000-0000EA7A0000}"/>
    <cellStyle name="Normal 5 4 8 4 3" xfId="45144" xr:uid="{00000000-0005-0000-0000-0000EB7A0000}"/>
    <cellStyle name="Normal 5 4 8 5" xfId="21930" xr:uid="{00000000-0005-0000-0000-0000EC7A0000}"/>
    <cellStyle name="Normal 5 4 8 6" xfId="40562" xr:uid="{00000000-0005-0000-0000-0000ED7A0000}"/>
    <cellStyle name="Normal 5 4 9" xfId="6577" xr:uid="{00000000-0005-0000-0000-0000EE7A0000}"/>
    <cellStyle name="Normal 5 4 9 2" xfId="6578" xr:uid="{00000000-0005-0000-0000-0000EF7A0000}"/>
    <cellStyle name="Normal 5 4 9 2 2" xfId="12389" xr:uid="{00000000-0005-0000-0000-0000F07A0000}"/>
    <cellStyle name="Normal 5 4 9 2 2 2" xfId="35874" xr:uid="{00000000-0005-0000-0000-0000F17A0000}"/>
    <cellStyle name="Normal 5 4 9 2 2 3" xfId="26555" xr:uid="{00000000-0005-0000-0000-0000F27A0000}"/>
    <cellStyle name="Normal 5 4 9 2 2 4" xfId="49817" xr:uid="{00000000-0005-0000-0000-0000F37A0000}"/>
    <cellStyle name="Normal 5 4 9 2 3" xfId="17120" xr:uid="{00000000-0005-0000-0000-0000F47A0000}"/>
    <cellStyle name="Normal 5 4 9 2 3 2" xfId="31252" xr:uid="{00000000-0005-0000-0000-0000F57A0000}"/>
    <cellStyle name="Normal 5 4 9 2 3 3" xfId="45147" xr:uid="{00000000-0005-0000-0000-0000F67A0000}"/>
    <cellStyle name="Normal 5 4 9 2 4" xfId="21933" xr:uid="{00000000-0005-0000-0000-0000F77A0000}"/>
    <cellStyle name="Normal 5 4 9 2 5" xfId="40565" xr:uid="{00000000-0005-0000-0000-0000F87A0000}"/>
    <cellStyle name="Normal 5 4 9 3" xfId="12388" xr:uid="{00000000-0005-0000-0000-0000F97A0000}"/>
    <cellStyle name="Normal 5 4 9 3 2" xfId="35873" xr:uid="{00000000-0005-0000-0000-0000FA7A0000}"/>
    <cellStyle name="Normal 5 4 9 3 3" xfId="26554" xr:uid="{00000000-0005-0000-0000-0000FB7A0000}"/>
    <cellStyle name="Normal 5 4 9 3 4" xfId="49816" xr:uid="{00000000-0005-0000-0000-0000FC7A0000}"/>
    <cellStyle name="Normal 5 4 9 4" xfId="17119" xr:uid="{00000000-0005-0000-0000-0000FD7A0000}"/>
    <cellStyle name="Normal 5 4 9 4 2" xfId="31251" xr:uid="{00000000-0005-0000-0000-0000FE7A0000}"/>
    <cellStyle name="Normal 5 4 9 4 3" xfId="45146" xr:uid="{00000000-0005-0000-0000-0000FF7A0000}"/>
    <cellStyle name="Normal 5 4 9 5" xfId="21932" xr:uid="{00000000-0005-0000-0000-0000007B0000}"/>
    <cellStyle name="Normal 5 4 9 6" xfId="40564" xr:uid="{00000000-0005-0000-0000-0000017B0000}"/>
    <cellStyle name="Normal 5 40" xfId="6579" xr:uid="{00000000-0005-0000-0000-0000027B0000}"/>
    <cellStyle name="Normal 5 40 2" xfId="6580" xr:uid="{00000000-0005-0000-0000-0000037B0000}"/>
    <cellStyle name="Normal 5 40 2 2" xfId="12391" xr:uid="{00000000-0005-0000-0000-0000047B0000}"/>
    <cellStyle name="Normal 5 40 2 2 2" xfId="35876" xr:uid="{00000000-0005-0000-0000-0000057B0000}"/>
    <cellStyle name="Normal 5 40 2 2 3" xfId="26557" xr:uid="{00000000-0005-0000-0000-0000067B0000}"/>
    <cellStyle name="Normal 5 40 2 2 4" xfId="49819" xr:uid="{00000000-0005-0000-0000-0000077B0000}"/>
    <cellStyle name="Normal 5 40 2 3" xfId="17122" xr:uid="{00000000-0005-0000-0000-0000087B0000}"/>
    <cellStyle name="Normal 5 40 2 3 2" xfId="31254" xr:uid="{00000000-0005-0000-0000-0000097B0000}"/>
    <cellStyle name="Normal 5 40 2 3 3" xfId="45149" xr:uid="{00000000-0005-0000-0000-00000A7B0000}"/>
    <cellStyle name="Normal 5 40 2 4" xfId="21935" xr:uid="{00000000-0005-0000-0000-00000B7B0000}"/>
    <cellStyle name="Normal 5 40 2 5" xfId="40567" xr:uid="{00000000-0005-0000-0000-00000C7B0000}"/>
    <cellStyle name="Normal 5 40 3" xfId="12390" xr:uid="{00000000-0005-0000-0000-00000D7B0000}"/>
    <cellStyle name="Normal 5 40 3 2" xfId="35875" xr:uid="{00000000-0005-0000-0000-00000E7B0000}"/>
    <cellStyle name="Normal 5 40 3 3" xfId="26556" xr:uid="{00000000-0005-0000-0000-00000F7B0000}"/>
    <cellStyle name="Normal 5 40 3 4" xfId="49818" xr:uid="{00000000-0005-0000-0000-0000107B0000}"/>
    <cellStyle name="Normal 5 40 4" xfId="17121" xr:uid="{00000000-0005-0000-0000-0000117B0000}"/>
    <cellStyle name="Normal 5 40 4 2" xfId="31253" xr:uid="{00000000-0005-0000-0000-0000127B0000}"/>
    <cellStyle name="Normal 5 40 4 3" xfId="45148" xr:uid="{00000000-0005-0000-0000-0000137B0000}"/>
    <cellStyle name="Normal 5 40 5" xfId="21934" xr:uid="{00000000-0005-0000-0000-0000147B0000}"/>
    <cellStyle name="Normal 5 40 6" xfId="40566" xr:uid="{00000000-0005-0000-0000-0000157B0000}"/>
    <cellStyle name="Normal 5 41" xfId="6581" xr:uid="{00000000-0005-0000-0000-0000167B0000}"/>
    <cellStyle name="Normal 5 41 2" xfId="6582" xr:uid="{00000000-0005-0000-0000-0000177B0000}"/>
    <cellStyle name="Normal 5 41 2 2" xfId="12393" xr:uid="{00000000-0005-0000-0000-0000187B0000}"/>
    <cellStyle name="Normal 5 41 2 2 2" xfId="35878" xr:uid="{00000000-0005-0000-0000-0000197B0000}"/>
    <cellStyle name="Normal 5 41 2 2 3" xfId="26559" xr:uid="{00000000-0005-0000-0000-00001A7B0000}"/>
    <cellStyle name="Normal 5 41 2 2 4" xfId="49821" xr:uid="{00000000-0005-0000-0000-00001B7B0000}"/>
    <cellStyle name="Normal 5 41 2 3" xfId="17124" xr:uid="{00000000-0005-0000-0000-00001C7B0000}"/>
    <cellStyle name="Normal 5 41 2 3 2" xfId="31256" xr:uid="{00000000-0005-0000-0000-00001D7B0000}"/>
    <cellStyle name="Normal 5 41 2 3 3" xfId="45151" xr:uid="{00000000-0005-0000-0000-00001E7B0000}"/>
    <cellStyle name="Normal 5 41 2 4" xfId="21937" xr:uid="{00000000-0005-0000-0000-00001F7B0000}"/>
    <cellStyle name="Normal 5 41 2 5" xfId="40569" xr:uid="{00000000-0005-0000-0000-0000207B0000}"/>
    <cellStyle name="Normal 5 41 3" xfId="12392" xr:uid="{00000000-0005-0000-0000-0000217B0000}"/>
    <cellStyle name="Normal 5 41 3 2" xfId="35877" xr:uid="{00000000-0005-0000-0000-0000227B0000}"/>
    <cellStyle name="Normal 5 41 3 3" xfId="26558" xr:uid="{00000000-0005-0000-0000-0000237B0000}"/>
    <cellStyle name="Normal 5 41 3 4" xfId="49820" xr:uid="{00000000-0005-0000-0000-0000247B0000}"/>
    <cellStyle name="Normal 5 41 4" xfId="17123" xr:uid="{00000000-0005-0000-0000-0000257B0000}"/>
    <cellStyle name="Normal 5 41 4 2" xfId="31255" xr:uid="{00000000-0005-0000-0000-0000267B0000}"/>
    <cellStyle name="Normal 5 41 4 3" xfId="45150" xr:uid="{00000000-0005-0000-0000-0000277B0000}"/>
    <cellStyle name="Normal 5 41 5" xfId="21936" xr:uid="{00000000-0005-0000-0000-0000287B0000}"/>
    <cellStyle name="Normal 5 41 6" xfId="40568" xr:uid="{00000000-0005-0000-0000-0000297B0000}"/>
    <cellStyle name="Normal 5 42" xfId="6583" xr:uid="{00000000-0005-0000-0000-00002A7B0000}"/>
    <cellStyle name="Normal 5 42 2" xfId="6584" xr:uid="{00000000-0005-0000-0000-00002B7B0000}"/>
    <cellStyle name="Normal 5 42 2 2" xfId="12395" xr:uid="{00000000-0005-0000-0000-00002C7B0000}"/>
    <cellStyle name="Normal 5 42 2 2 2" xfId="35880" xr:uid="{00000000-0005-0000-0000-00002D7B0000}"/>
    <cellStyle name="Normal 5 42 2 2 3" xfId="26561" xr:uid="{00000000-0005-0000-0000-00002E7B0000}"/>
    <cellStyle name="Normal 5 42 2 2 4" xfId="49823" xr:uid="{00000000-0005-0000-0000-00002F7B0000}"/>
    <cellStyle name="Normal 5 42 2 3" xfId="17126" xr:uid="{00000000-0005-0000-0000-0000307B0000}"/>
    <cellStyle name="Normal 5 42 2 3 2" xfId="31258" xr:uid="{00000000-0005-0000-0000-0000317B0000}"/>
    <cellStyle name="Normal 5 42 2 3 3" xfId="45153" xr:uid="{00000000-0005-0000-0000-0000327B0000}"/>
    <cellStyle name="Normal 5 42 2 4" xfId="21939" xr:uid="{00000000-0005-0000-0000-0000337B0000}"/>
    <cellStyle name="Normal 5 42 2 5" xfId="40571" xr:uid="{00000000-0005-0000-0000-0000347B0000}"/>
    <cellStyle name="Normal 5 42 3" xfId="12394" xr:uid="{00000000-0005-0000-0000-0000357B0000}"/>
    <cellStyle name="Normal 5 42 3 2" xfId="35879" xr:uid="{00000000-0005-0000-0000-0000367B0000}"/>
    <cellStyle name="Normal 5 42 3 3" xfId="26560" xr:uid="{00000000-0005-0000-0000-0000377B0000}"/>
    <cellStyle name="Normal 5 42 3 4" xfId="49822" xr:uid="{00000000-0005-0000-0000-0000387B0000}"/>
    <cellStyle name="Normal 5 42 4" xfId="17125" xr:uid="{00000000-0005-0000-0000-0000397B0000}"/>
    <cellStyle name="Normal 5 42 4 2" xfId="31257" xr:uid="{00000000-0005-0000-0000-00003A7B0000}"/>
    <cellStyle name="Normal 5 42 4 3" xfId="45152" xr:uid="{00000000-0005-0000-0000-00003B7B0000}"/>
    <cellStyle name="Normal 5 42 5" xfId="21938" xr:uid="{00000000-0005-0000-0000-00003C7B0000}"/>
    <cellStyle name="Normal 5 42 6" xfId="40570" xr:uid="{00000000-0005-0000-0000-00003D7B0000}"/>
    <cellStyle name="Normal 5 43" xfId="6585" xr:uid="{00000000-0005-0000-0000-00003E7B0000}"/>
    <cellStyle name="Normal 5 43 2" xfId="6586" xr:uid="{00000000-0005-0000-0000-00003F7B0000}"/>
    <cellStyle name="Normal 5 43 2 2" xfId="12397" xr:uid="{00000000-0005-0000-0000-0000407B0000}"/>
    <cellStyle name="Normal 5 43 2 2 2" xfId="35882" xr:uid="{00000000-0005-0000-0000-0000417B0000}"/>
    <cellStyle name="Normal 5 43 2 2 3" xfId="26563" xr:uid="{00000000-0005-0000-0000-0000427B0000}"/>
    <cellStyle name="Normal 5 43 2 2 4" xfId="49825" xr:uid="{00000000-0005-0000-0000-0000437B0000}"/>
    <cellStyle name="Normal 5 43 2 3" xfId="17128" xr:uid="{00000000-0005-0000-0000-0000447B0000}"/>
    <cellStyle name="Normal 5 43 2 3 2" xfId="31260" xr:uid="{00000000-0005-0000-0000-0000457B0000}"/>
    <cellStyle name="Normal 5 43 2 3 3" xfId="45155" xr:uid="{00000000-0005-0000-0000-0000467B0000}"/>
    <cellStyle name="Normal 5 43 2 4" xfId="21941" xr:uid="{00000000-0005-0000-0000-0000477B0000}"/>
    <cellStyle name="Normal 5 43 2 5" xfId="40573" xr:uid="{00000000-0005-0000-0000-0000487B0000}"/>
    <cellStyle name="Normal 5 43 3" xfId="12396" xr:uid="{00000000-0005-0000-0000-0000497B0000}"/>
    <cellStyle name="Normal 5 43 3 2" xfId="35881" xr:uid="{00000000-0005-0000-0000-00004A7B0000}"/>
    <cellStyle name="Normal 5 43 3 3" xfId="26562" xr:uid="{00000000-0005-0000-0000-00004B7B0000}"/>
    <cellStyle name="Normal 5 43 3 4" xfId="49824" xr:uid="{00000000-0005-0000-0000-00004C7B0000}"/>
    <cellStyle name="Normal 5 43 4" xfId="17127" xr:uid="{00000000-0005-0000-0000-00004D7B0000}"/>
    <cellStyle name="Normal 5 43 4 2" xfId="31259" xr:uid="{00000000-0005-0000-0000-00004E7B0000}"/>
    <cellStyle name="Normal 5 43 4 3" xfId="45154" xr:uid="{00000000-0005-0000-0000-00004F7B0000}"/>
    <cellStyle name="Normal 5 43 5" xfId="21940" xr:uid="{00000000-0005-0000-0000-0000507B0000}"/>
    <cellStyle name="Normal 5 43 6" xfId="40572" xr:uid="{00000000-0005-0000-0000-0000517B0000}"/>
    <cellStyle name="Normal 5 44" xfId="6587" xr:uid="{00000000-0005-0000-0000-0000527B0000}"/>
    <cellStyle name="Normal 5 44 2" xfId="6588" xr:uid="{00000000-0005-0000-0000-0000537B0000}"/>
    <cellStyle name="Normal 5 44 2 2" xfId="12399" xr:uid="{00000000-0005-0000-0000-0000547B0000}"/>
    <cellStyle name="Normal 5 44 2 2 2" xfId="35884" xr:uid="{00000000-0005-0000-0000-0000557B0000}"/>
    <cellStyle name="Normal 5 44 2 2 3" xfId="26565" xr:uid="{00000000-0005-0000-0000-0000567B0000}"/>
    <cellStyle name="Normal 5 44 2 2 4" xfId="49827" xr:uid="{00000000-0005-0000-0000-0000577B0000}"/>
    <cellStyle name="Normal 5 44 2 3" xfId="17130" xr:uid="{00000000-0005-0000-0000-0000587B0000}"/>
    <cellStyle name="Normal 5 44 2 3 2" xfId="31262" xr:uid="{00000000-0005-0000-0000-0000597B0000}"/>
    <cellStyle name="Normal 5 44 2 3 3" xfId="45157" xr:uid="{00000000-0005-0000-0000-00005A7B0000}"/>
    <cellStyle name="Normal 5 44 2 4" xfId="21943" xr:uid="{00000000-0005-0000-0000-00005B7B0000}"/>
    <cellStyle name="Normal 5 44 2 5" xfId="40575" xr:uid="{00000000-0005-0000-0000-00005C7B0000}"/>
    <cellStyle name="Normal 5 44 3" xfId="12398" xr:uid="{00000000-0005-0000-0000-00005D7B0000}"/>
    <cellStyle name="Normal 5 44 3 2" xfId="35883" xr:uid="{00000000-0005-0000-0000-00005E7B0000}"/>
    <cellStyle name="Normal 5 44 3 3" xfId="26564" xr:uid="{00000000-0005-0000-0000-00005F7B0000}"/>
    <cellStyle name="Normal 5 44 3 4" xfId="49826" xr:uid="{00000000-0005-0000-0000-0000607B0000}"/>
    <cellStyle name="Normal 5 44 4" xfId="17129" xr:uid="{00000000-0005-0000-0000-0000617B0000}"/>
    <cellStyle name="Normal 5 44 4 2" xfId="31261" xr:uid="{00000000-0005-0000-0000-0000627B0000}"/>
    <cellStyle name="Normal 5 44 4 3" xfId="45156" xr:uid="{00000000-0005-0000-0000-0000637B0000}"/>
    <cellStyle name="Normal 5 44 5" xfId="21942" xr:uid="{00000000-0005-0000-0000-0000647B0000}"/>
    <cellStyle name="Normal 5 44 6" xfId="40574" xr:uid="{00000000-0005-0000-0000-0000657B0000}"/>
    <cellStyle name="Normal 5 45" xfId="6589" xr:uid="{00000000-0005-0000-0000-0000667B0000}"/>
    <cellStyle name="Normal 5 45 2" xfId="6590" xr:uid="{00000000-0005-0000-0000-0000677B0000}"/>
    <cellStyle name="Normal 5 45 2 2" xfId="12401" xr:uid="{00000000-0005-0000-0000-0000687B0000}"/>
    <cellStyle name="Normal 5 45 2 2 2" xfId="35886" xr:uid="{00000000-0005-0000-0000-0000697B0000}"/>
    <cellStyle name="Normal 5 45 2 2 3" xfId="26567" xr:uid="{00000000-0005-0000-0000-00006A7B0000}"/>
    <cellStyle name="Normal 5 45 2 2 4" xfId="49829" xr:uid="{00000000-0005-0000-0000-00006B7B0000}"/>
    <cellStyle name="Normal 5 45 2 3" xfId="17132" xr:uid="{00000000-0005-0000-0000-00006C7B0000}"/>
    <cellStyle name="Normal 5 45 2 3 2" xfId="31264" xr:uid="{00000000-0005-0000-0000-00006D7B0000}"/>
    <cellStyle name="Normal 5 45 2 3 3" xfId="45159" xr:uid="{00000000-0005-0000-0000-00006E7B0000}"/>
    <cellStyle name="Normal 5 45 2 4" xfId="21945" xr:uid="{00000000-0005-0000-0000-00006F7B0000}"/>
    <cellStyle name="Normal 5 45 2 5" xfId="40577" xr:uid="{00000000-0005-0000-0000-0000707B0000}"/>
    <cellStyle name="Normal 5 45 3" xfId="12400" xr:uid="{00000000-0005-0000-0000-0000717B0000}"/>
    <cellStyle name="Normal 5 45 3 2" xfId="35885" xr:uid="{00000000-0005-0000-0000-0000727B0000}"/>
    <cellStyle name="Normal 5 45 3 3" xfId="26566" xr:uid="{00000000-0005-0000-0000-0000737B0000}"/>
    <cellStyle name="Normal 5 45 3 4" xfId="49828" xr:uid="{00000000-0005-0000-0000-0000747B0000}"/>
    <cellStyle name="Normal 5 45 4" xfId="17131" xr:uid="{00000000-0005-0000-0000-0000757B0000}"/>
    <cellStyle name="Normal 5 45 4 2" xfId="31263" xr:uid="{00000000-0005-0000-0000-0000767B0000}"/>
    <cellStyle name="Normal 5 45 4 3" xfId="45158" xr:uid="{00000000-0005-0000-0000-0000777B0000}"/>
    <cellStyle name="Normal 5 45 5" xfId="21944" xr:uid="{00000000-0005-0000-0000-0000787B0000}"/>
    <cellStyle name="Normal 5 45 6" xfId="40576" xr:uid="{00000000-0005-0000-0000-0000797B0000}"/>
    <cellStyle name="Normal 5 46" xfId="6591" xr:uid="{00000000-0005-0000-0000-00007A7B0000}"/>
    <cellStyle name="Normal 5 46 2" xfId="6592" xr:uid="{00000000-0005-0000-0000-00007B7B0000}"/>
    <cellStyle name="Normal 5 46 2 2" xfId="12403" xr:uid="{00000000-0005-0000-0000-00007C7B0000}"/>
    <cellStyle name="Normal 5 46 2 2 2" xfId="35888" xr:uid="{00000000-0005-0000-0000-00007D7B0000}"/>
    <cellStyle name="Normal 5 46 2 2 3" xfId="26569" xr:uid="{00000000-0005-0000-0000-00007E7B0000}"/>
    <cellStyle name="Normal 5 46 2 2 4" xfId="49831" xr:uid="{00000000-0005-0000-0000-00007F7B0000}"/>
    <cellStyle name="Normal 5 46 2 3" xfId="17134" xr:uid="{00000000-0005-0000-0000-0000807B0000}"/>
    <cellStyle name="Normal 5 46 2 3 2" xfId="31266" xr:uid="{00000000-0005-0000-0000-0000817B0000}"/>
    <cellStyle name="Normal 5 46 2 3 3" xfId="45161" xr:uid="{00000000-0005-0000-0000-0000827B0000}"/>
    <cellStyle name="Normal 5 46 2 4" xfId="21947" xr:uid="{00000000-0005-0000-0000-0000837B0000}"/>
    <cellStyle name="Normal 5 46 2 5" xfId="40579" xr:uid="{00000000-0005-0000-0000-0000847B0000}"/>
    <cellStyle name="Normal 5 46 3" xfId="12402" xr:uid="{00000000-0005-0000-0000-0000857B0000}"/>
    <cellStyle name="Normal 5 46 3 2" xfId="35887" xr:uid="{00000000-0005-0000-0000-0000867B0000}"/>
    <cellStyle name="Normal 5 46 3 3" xfId="26568" xr:uid="{00000000-0005-0000-0000-0000877B0000}"/>
    <cellStyle name="Normal 5 46 3 4" xfId="49830" xr:uid="{00000000-0005-0000-0000-0000887B0000}"/>
    <cellStyle name="Normal 5 46 4" xfId="17133" xr:uid="{00000000-0005-0000-0000-0000897B0000}"/>
    <cellStyle name="Normal 5 46 4 2" xfId="31265" xr:uid="{00000000-0005-0000-0000-00008A7B0000}"/>
    <cellStyle name="Normal 5 46 4 3" xfId="45160" xr:uid="{00000000-0005-0000-0000-00008B7B0000}"/>
    <cellStyle name="Normal 5 46 5" xfId="21946" xr:uid="{00000000-0005-0000-0000-00008C7B0000}"/>
    <cellStyle name="Normal 5 46 6" xfId="40578" xr:uid="{00000000-0005-0000-0000-00008D7B0000}"/>
    <cellStyle name="Normal 5 47" xfId="6593" xr:uid="{00000000-0005-0000-0000-00008E7B0000}"/>
    <cellStyle name="Normal 5 47 2" xfId="6594" xr:uid="{00000000-0005-0000-0000-00008F7B0000}"/>
    <cellStyle name="Normal 5 47 2 2" xfId="12405" xr:uid="{00000000-0005-0000-0000-0000907B0000}"/>
    <cellStyle name="Normal 5 47 2 2 2" xfId="35890" xr:uid="{00000000-0005-0000-0000-0000917B0000}"/>
    <cellStyle name="Normal 5 47 2 2 3" xfId="26571" xr:uid="{00000000-0005-0000-0000-0000927B0000}"/>
    <cellStyle name="Normal 5 47 2 2 4" xfId="49833" xr:uid="{00000000-0005-0000-0000-0000937B0000}"/>
    <cellStyle name="Normal 5 47 2 3" xfId="17136" xr:uid="{00000000-0005-0000-0000-0000947B0000}"/>
    <cellStyle name="Normal 5 47 2 3 2" xfId="31268" xr:uid="{00000000-0005-0000-0000-0000957B0000}"/>
    <cellStyle name="Normal 5 47 2 3 3" xfId="45163" xr:uid="{00000000-0005-0000-0000-0000967B0000}"/>
    <cellStyle name="Normal 5 47 2 4" xfId="21949" xr:uid="{00000000-0005-0000-0000-0000977B0000}"/>
    <cellStyle name="Normal 5 47 2 5" xfId="40581" xr:uid="{00000000-0005-0000-0000-0000987B0000}"/>
    <cellStyle name="Normal 5 47 3" xfId="12404" xr:uid="{00000000-0005-0000-0000-0000997B0000}"/>
    <cellStyle name="Normal 5 47 3 2" xfId="35889" xr:uid="{00000000-0005-0000-0000-00009A7B0000}"/>
    <cellStyle name="Normal 5 47 3 3" xfId="26570" xr:uid="{00000000-0005-0000-0000-00009B7B0000}"/>
    <cellStyle name="Normal 5 47 3 4" xfId="49832" xr:uid="{00000000-0005-0000-0000-00009C7B0000}"/>
    <cellStyle name="Normal 5 47 4" xfId="17135" xr:uid="{00000000-0005-0000-0000-00009D7B0000}"/>
    <cellStyle name="Normal 5 47 4 2" xfId="31267" xr:uid="{00000000-0005-0000-0000-00009E7B0000}"/>
    <cellStyle name="Normal 5 47 4 3" xfId="45162" xr:uid="{00000000-0005-0000-0000-00009F7B0000}"/>
    <cellStyle name="Normal 5 47 5" xfId="21948" xr:uid="{00000000-0005-0000-0000-0000A07B0000}"/>
    <cellStyle name="Normal 5 47 6" xfId="40580" xr:uid="{00000000-0005-0000-0000-0000A17B0000}"/>
    <cellStyle name="Normal 5 48" xfId="6595" xr:uid="{00000000-0005-0000-0000-0000A27B0000}"/>
    <cellStyle name="Normal 5 48 2" xfId="6596" xr:uid="{00000000-0005-0000-0000-0000A37B0000}"/>
    <cellStyle name="Normal 5 48 2 2" xfId="12407" xr:uid="{00000000-0005-0000-0000-0000A47B0000}"/>
    <cellStyle name="Normal 5 48 2 2 2" xfId="35892" xr:uid="{00000000-0005-0000-0000-0000A57B0000}"/>
    <cellStyle name="Normal 5 48 2 2 3" xfId="26573" xr:uid="{00000000-0005-0000-0000-0000A67B0000}"/>
    <cellStyle name="Normal 5 48 2 2 4" xfId="49835" xr:uid="{00000000-0005-0000-0000-0000A77B0000}"/>
    <cellStyle name="Normal 5 48 2 3" xfId="17138" xr:uid="{00000000-0005-0000-0000-0000A87B0000}"/>
    <cellStyle name="Normal 5 48 2 3 2" xfId="31270" xr:uid="{00000000-0005-0000-0000-0000A97B0000}"/>
    <cellStyle name="Normal 5 48 2 3 3" xfId="45165" xr:uid="{00000000-0005-0000-0000-0000AA7B0000}"/>
    <cellStyle name="Normal 5 48 2 4" xfId="21951" xr:uid="{00000000-0005-0000-0000-0000AB7B0000}"/>
    <cellStyle name="Normal 5 48 2 5" xfId="40583" xr:uid="{00000000-0005-0000-0000-0000AC7B0000}"/>
    <cellStyle name="Normal 5 48 3" xfId="12406" xr:uid="{00000000-0005-0000-0000-0000AD7B0000}"/>
    <cellStyle name="Normal 5 48 3 2" xfId="35891" xr:uid="{00000000-0005-0000-0000-0000AE7B0000}"/>
    <cellStyle name="Normal 5 48 3 3" xfId="26572" xr:uid="{00000000-0005-0000-0000-0000AF7B0000}"/>
    <cellStyle name="Normal 5 48 3 4" xfId="49834" xr:uid="{00000000-0005-0000-0000-0000B07B0000}"/>
    <cellStyle name="Normal 5 48 4" xfId="17137" xr:uid="{00000000-0005-0000-0000-0000B17B0000}"/>
    <cellStyle name="Normal 5 48 4 2" xfId="31269" xr:uid="{00000000-0005-0000-0000-0000B27B0000}"/>
    <cellStyle name="Normal 5 48 4 3" xfId="45164" xr:uid="{00000000-0005-0000-0000-0000B37B0000}"/>
    <cellStyle name="Normal 5 48 5" xfId="21950" xr:uid="{00000000-0005-0000-0000-0000B47B0000}"/>
    <cellStyle name="Normal 5 48 6" xfId="40582" xr:uid="{00000000-0005-0000-0000-0000B57B0000}"/>
    <cellStyle name="Normal 5 49" xfId="6597" xr:uid="{00000000-0005-0000-0000-0000B67B0000}"/>
    <cellStyle name="Normal 5 49 2" xfId="6598" xr:uid="{00000000-0005-0000-0000-0000B77B0000}"/>
    <cellStyle name="Normal 5 49 2 2" xfId="12409" xr:uid="{00000000-0005-0000-0000-0000B87B0000}"/>
    <cellStyle name="Normal 5 49 2 2 2" xfId="35894" xr:uid="{00000000-0005-0000-0000-0000B97B0000}"/>
    <cellStyle name="Normal 5 49 2 2 3" xfId="26575" xr:uid="{00000000-0005-0000-0000-0000BA7B0000}"/>
    <cellStyle name="Normal 5 49 2 2 4" xfId="49837" xr:uid="{00000000-0005-0000-0000-0000BB7B0000}"/>
    <cellStyle name="Normal 5 49 2 3" xfId="17140" xr:uid="{00000000-0005-0000-0000-0000BC7B0000}"/>
    <cellStyle name="Normal 5 49 2 3 2" xfId="31272" xr:uid="{00000000-0005-0000-0000-0000BD7B0000}"/>
    <cellStyle name="Normal 5 49 2 3 3" xfId="45167" xr:uid="{00000000-0005-0000-0000-0000BE7B0000}"/>
    <cellStyle name="Normal 5 49 2 4" xfId="21953" xr:uid="{00000000-0005-0000-0000-0000BF7B0000}"/>
    <cellStyle name="Normal 5 49 2 5" xfId="40585" xr:uid="{00000000-0005-0000-0000-0000C07B0000}"/>
    <cellStyle name="Normal 5 49 3" xfId="12408" xr:uid="{00000000-0005-0000-0000-0000C17B0000}"/>
    <cellStyle name="Normal 5 49 3 2" xfId="35893" xr:uid="{00000000-0005-0000-0000-0000C27B0000}"/>
    <cellStyle name="Normal 5 49 3 3" xfId="26574" xr:uid="{00000000-0005-0000-0000-0000C37B0000}"/>
    <cellStyle name="Normal 5 49 3 4" xfId="49836" xr:uid="{00000000-0005-0000-0000-0000C47B0000}"/>
    <cellStyle name="Normal 5 49 4" xfId="17139" xr:uid="{00000000-0005-0000-0000-0000C57B0000}"/>
    <cellStyle name="Normal 5 49 4 2" xfId="31271" xr:uid="{00000000-0005-0000-0000-0000C67B0000}"/>
    <cellStyle name="Normal 5 49 4 3" xfId="45166" xr:uid="{00000000-0005-0000-0000-0000C77B0000}"/>
    <cellStyle name="Normal 5 49 5" xfId="21952" xr:uid="{00000000-0005-0000-0000-0000C87B0000}"/>
    <cellStyle name="Normal 5 49 6" xfId="40584" xr:uid="{00000000-0005-0000-0000-0000C97B0000}"/>
    <cellStyle name="Normal 5 5" xfId="6599" xr:uid="{00000000-0005-0000-0000-0000CA7B0000}"/>
    <cellStyle name="Normal 5 5 10" xfId="6600" xr:uid="{00000000-0005-0000-0000-0000CB7B0000}"/>
    <cellStyle name="Normal 5 5 10 2" xfId="6601" xr:uid="{00000000-0005-0000-0000-0000CC7B0000}"/>
    <cellStyle name="Normal 5 5 10 2 2" xfId="12412" xr:uid="{00000000-0005-0000-0000-0000CD7B0000}"/>
    <cellStyle name="Normal 5 5 10 2 2 2" xfId="35897" xr:uid="{00000000-0005-0000-0000-0000CE7B0000}"/>
    <cellStyle name="Normal 5 5 10 2 2 3" xfId="26578" xr:uid="{00000000-0005-0000-0000-0000CF7B0000}"/>
    <cellStyle name="Normal 5 5 10 2 2 4" xfId="49840" xr:uid="{00000000-0005-0000-0000-0000D07B0000}"/>
    <cellStyle name="Normal 5 5 10 2 3" xfId="17143" xr:uid="{00000000-0005-0000-0000-0000D17B0000}"/>
    <cellStyle name="Normal 5 5 10 2 3 2" xfId="31275" xr:uid="{00000000-0005-0000-0000-0000D27B0000}"/>
    <cellStyle name="Normal 5 5 10 2 3 3" xfId="45170" xr:uid="{00000000-0005-0000-0000-0000D37B0000}"/>
    <cellStyle name="Normal 5 5 10 2 4" xfId="21956" xr:uid="{00000000-0005-0000-0000-0000D47B0000}"/>
    <cellStyle name="Normal 5 5 10 2 5" xfId="40588" xr:uid="{00000000-0005-0000-0000-0000D57B0000}"/>
    <cellStyle name="Normal 5 5 10 3" xfId="12411" xr:uid="{00000000-0005-0000-0000-0000D67B0000}"/>
    <cellStyle name="Normal 5 5 10 3 2" xfId="35896" xr:uid="{00000000-0005-0000-0000-0000D77B0000}"/>
    <cellStyle name="Normal 5 5 10 3 3" xfId="26577" xr:uid="{00000000-0005-0000-0000-0000D87B0000}"/>
    <cellStyle name="Normal 5 5 10 3 4" xfId="49839" xr:uid="{00000000-0005-0000-0000-0000D97B0000}"/>
    <cellStyle name="Normal 5 5 10 4" xfId="17142" xr:uid="{00000000-0005-0000-0000-0000DA7B0000}"/>
    <cellStyle name="Normal 5 5 10 4 2" xfId="31274" xr:uid="{00000000-0005-0000-0000-0000DB7B0000}"/>
    <cellStyle name="Normal 5 5 10 4 3" xfId="45169" xr:uid="{00000000-0005-0000-0000-0000DC7B0000}"/>
    <cellStyle name="Normal 5 5 10 5" xfId="21955" xr:uid="{00000000-0005-0000-0000-0000DD7B0000}"/>
    <cellStyle name="Normal 5 5 10 6" xfId="40587" xr:uid="{00000000-0005-0000-0000-0000DE7B0000}"/>
    <cellStyle name="Normal 5 5 11" xfId="6602" xr:uid="{00000000-0005-0000-0000-0000DF7B0000}"/>
    <cellStyle name="Normal 5 5 11 2" xfId="6603" xr:uid="{00000000-0005-0000-0000-0000E07B0000}"/>
    <cellStyle name="Normal 5 5 11 2 2" xfId="12414" xr:uid="{00000000-0005-0000-0000-0000E17B0000}"/>
    <cellStyle name="Normal 5 5 11 2 2 2" xfId="35899" xr:uid="{00000000-0005-0000-0000-0000E27B0000}"/>
    <cellStyle name="Normal 5 5 11 2 2 3" xfId="26580" xr:uid="{00000000-0005-0000-0000-0000E37B0000}"/>
    <cellStyle name="Normal 5 5 11 2 2 4" xfId="49842" xr:uid="{00000000-0005-0000-0000-0000E47B0000}"/>
    <cellStyle name="Normal 5 5 11 2 3" xfId="17145" xr:uid="{00000000-0005-0000-0000-0000E57B0000}"/>
    <cellStyle name="Normal 5 5 11 2 3 2" xfId="31277" xr:uid="{00000000-0005-0000-0000-0000E67B0000}"/>
    <cellStyle name="Normal 5 5 11 2 3 3" xfId="45172" xr:uid="{00000000-0005-0000-0000-0000E77B0000}"/>
    <cellStyle name="Normal 5 5 11 2 4" xfId="21958" xr:uid="{00000000-0005-0000-0000-0000E87B0000}"/>
    <cellStyle name="Normal 5 5 11 2 5" xfId="40590" xr:uid="{00000000-0005-0000-0000-0000E97B0000}"/>
    <cellStyle name="Normal 5 5 11 3" xfId="12413" xr:uid="{00000000-0005-0000-0000-0000EA7B0000}"/>
    <cellStyle name="Normal 5 5 11 3 2" xfId="35898" xr:uid="{00000000-0005-0000-0000-0000EB7B0000}"/>
    <cellStyle name="Normal 5 5 11 3 3" xfId="26579" xr:uid="{00000000-0005-0000-0000-0000EC7B0000}"/>
    <cellStyle name="Normal 5 5 11 3 4" xfId="49841" xr:uid="{00000000-0005-0000-0000-0000ED7B0000}"/>
    <cellStyle name="Normal 5 5 11 4" xfId="17144" xr:uid="{00000000-0005-0000-0000-0000EE7B0000}"/>
    <cellStyle name="Normal 5 5 11 4 2" xfId="31276" xr:uid="{00000000-0005-0000-0000-0000EF7B0000}"/>
    <cellStyle name="Normal 5 5 11 4 3" xfId="45171" xr:uid="{00000000-0005-0000-0000-0000F07B0000}"/>
    <cellStyle name="Normal 5 5 11 5" xfId="21957" xr:uid="{00000000-0005-0000-0000-0000F17B0000}"/>
    <cellStyle name="Normal 5 5 11 6" xfId="40589" xr:uid="{00000000-0005-0000-0000-0000F27B0000}"/>
    <cellStyle name="Normal 5 5 12" xfId="6604" xr:uid="{00000000-0005-0000-0000-0000F37B0000}"/>
    <cellStyle name="Normal 5 5 12 2" xfId="6605" xr:uid="{00000000-0005-0000-0000-0000F47B0000}"/>
    <cellStyle name="Normal 5 5 12 2 2" xfId="12416" xr:uid="{00000000-0005-0000-0000-0000F57B0000}"/>
    <cellStyle name="Normal 5 5 12 2 2 2" xfId="35901" xr:uid="{00000000-0005-0000-0000-0000F67B0000}"/>
    <cellStyle name="Normal 5 5 12 2 2 3" xfId="26582" xr:uid="{00000000-0005-0000-0000-0000F77B0000}"/>
    <cellStyle name="Normal 5 5 12 2 2 4" xfId="49844" xr:uid="{00000000-0005-0000-0000-0000F87B0000}"/>
    <cellStyle name="Normal 5 5 12 2 3" xfId="17147" xr:uid="{00000000-0005-0000-0000-0000F97B0000}"/>
    <cellStyle name="Normal 5 5 12 2 3 2" xfId="31279" xr:uid="{00000000-0005-0000-0000-0000FA7B0000}"/>
    <cellStyle name="Normal 5 5 12 2 3 3" xfId="45174" xr:uid="{00000000-0005-0000-0000-0000FB7B0000}"/>
    <cellStyle name="Normal 5 5 12 2 4" xfId="21960" xr:uid="{00000000-0005-0000-0000-0000FC7B0000}"/>
    <cellStyle name="Normal 5 5 12 2 5" xfId="40592" xr:uid="{00000000-0005-0000-0000-0000FD7B0000}"/>
    <cellStyle name="Normal 5 5 12 3" xfId="12415" xr:uid="{00000000-0005-0000-0000-0000FE7B0000}"/>
    <cellStyle name="Normal 5 5 12 3 2" xfId="35900" xr:uid="{00000000-0005-0000-0000-0000FF7B0000}"/>
    <cellStyle name="Normal 5 5 12 3 3" xfId="26581" xr:uid="{00000000-0005-0000-0000-0000007C0000}"/>
    <cellStyle name="Normal 5 5 12 3 4" xfId="49843" xr:uid="{00000000-0005-0000-0000-0000017C0000}"/>
    <cellStyle name="Normal 5 5 12 4" xfId="17146" xr:uid="{00000000-0005-0000-0000-0000027C0000}"/>
    <cellStyle name="Normal 5 5 12 4 2" xfId="31278" xr:uid="{00000000-0005-0000-0000-0000037C0000}"/>
    <cellStyle name="Normal 5 5 12 4 3" xfId="45173" xr:uid="{00000000-0005-0000-0000-0000047C0000}"/>
    <cellStyle name="Normal 5 5 12 5" xfId="21959" xr:uid="{00000000-0005-0000-0000-0000057C0000}"/>
    <cellStyle name="Normal 5 5 12 6" xfId="40591" xr:uid="{00000000-0005-0000-0000-0000067C0000}"/>
    <cellStyle name="Normal 5 5 13" xfId="6606" xr:uid="{00000000-0005-0000-0000-0000077C0000}"/>
    <cellStyle name="Normal 5 5 13 2" xfId="6607" xr:uid="{00000000-0005-0000-0000-0000087C0000}"/>
    <cellStyle name="Normal 5 5 13 2 2" xfId="12418" xr:uid="{00000000-0005-0000-0000-0000097C0000}"/>
    <cellStyle name="Normal 5 5 13 2 2 2" xfId="35903" xr:uid="{00000000-0005-0000-0000-00000A7C0000}"/>
    <cellStyle name="Normal 5 5 13 2 2 3" xfId="26584" xr:uid="{00000000-0005-0000-0000-00000B7C0000}"/>
    <cellStyle name="Normal 5 5 13 2 2 4" xfId="49846" xr:uid="{00000000-0005-0000-0000-00000C7C0000}"/>
    <cellStyle name="Normal 5 5 13 2 3" xfId="17149" xr:uid="{00000000-0005-0000-0000-00000D7C0000}"/>
    <cellStyle name="Normal 5 5 13 2 3 2" xfId="31281" xr:uid="{00000000-0005-0000-0000-00000E7C0000}"/>
    <cellStyle name="Normal 5 5 13 2 3 3" xfId="45176" xr:uid="{00000000-0005-0000-0000-00000F7C0000}"/>
    <cellStyle name="Normal 5 5 13 2 4" xfId="21962" xr:uid="{00000000-0005-0000-0000-0000107C0000}"/>
    <cellStyle name="Normal 5 5 13 2 5" xfId="40594" xr:uid="{00000000-0005-0000-0000-0000117C0000}"/>
    <cellStyle name="Normal 5 5 13 3" xfId="12417" xr:uid="{00000000-0005-0000-0000-0000127C0000}"/>
    <cellStyle name="Normal 5 5 13 3 2" xfId="35902" xr:uid="{00000000-0005-0000-0000-0000137C0000}"/>
    <cellStyle name="Normal 5 5 13 3 3" xfId="26583" xr:uid="{00000000-0005-0000-0000-0000147C0000}"/>
    <cellStyle name="Normal 5 5 13 3 4" xfId="49845" xr:uid="{00000000-0005-0000-0000-0000157C0000}"/>
    <cellStyle name="Normal 5 5 13 4" xfId="17148" xr:uid="{00000000-0005-0000-0000-0000167C0000}"/>
    <cellStyle name="Normal 5 5 13 4 2" xfId="31280" xr:uid="{00000000-0005-0000-0000-0000177C0000}"/>
    <cellStyle name="Normal 5 5 13 4 3" xfId="45175" xr:uid="{00000000-0005-0000-0000-0000187C0000}"/>
    <cellStyle name="Normal 5 5 13 5" xfId="21961" xr:uid="{00000000-0005-0000-0000-0000197C0000}"/>
    <cellStyle name="Normal 5 5 13 6" xfId="40593" xr:uid="{00000000-0005-0000-0000-00001A7C0000}"/>
    <cellStyle name="Normal 5 5 14" xfId="6608" xr:uid="{00000000-0005-0000-0000-00001B7C0000}"/>
    <cellStyle name="Normal 5 5 14 2" xfId="6609" xr:uid="{00000000-0005-0000-0000-00001C7C0000}"/>
    <cellStyle name="Normal 5 5 14 2 2" xfId="12420" xr:uid="{00000000-0005-0000-0000-00001D7C0000}"/>
    <cellStyle name="Normal 5 5 14 2 2 2" xfId="35905" xr:uid="{00000000-0005-0000-0000-00001E7C0000}"/>
    <cellStyle name="Normal 5 5 14 2 2 3" xfId="26586" xr:uid="{00000000-0005-0000-0000-00001F7C0000}"/>
    <cellStyle name="Normal 5 5 14 2 2 4" xfId="49848" xr:uid="{00000000-0005-0000-0000-0000207C0000}"/>
    <cellStyle name="Normal 5 5 14 2 3" xfId="17151" xr:uid="{00000000-0005-0000-0000-0000217C0000}"/>
    <cellStyle name="Normal 5 5 14 2 3 2" xfId="31283" xr:uid="{00000000-0005-0000-0000-0000227C0000}"/>
    <cellStyle name="Normal 5 5 14 2 3 3" xfId="45178" xr:uid="{00000000-0005-0000-0000-0000237C0000}"/>
    <cellStyle name="Normal 5 5 14 2 4" xfId="21964" xr:uid="{00000000-0005-0000-0000-0000247C0000}"/>
    <cellStyle name="Normal 5 5 14 2 5" xfId="40596" xr:uid="{00000000-0005-0000-0000-0000257C0000}"/>
    <cellStyle name="Normal 5 5 14 3" xfId="12419" xr:uid="{00000000-0005-0000-0000-0000267C0000}"/>
    <cellStyle name="Normal 5 5 14 3 2" xfId="35904" xr:uid="{00000000-0005-0000-0000-0000277C0000}"/>
    <cellStyle name="Normal 5 5 14 3 3" xfId="26585" xr:uid="{00000000-0005-0000-0000-0000287C0000}"/>
    <cellStyle name="Normal 5 5 14 3 4" xfId="49847" xr:uid="{00000000-0005-0000-0000-0000297C0000}"/>
    <cellStyle name="Normal 5 5 14 4" xfId="17150" xr:uid="{00000000-0005-0000-0000-00002A7C0000}"/>
    <cellStyle name="Normal 5 5 14 4 2" xfId="31282" xr:uid="{00000000-0005-0000-0000-00002B7C0000}"/>
    <cellStyle name="Normal 5 5 14 4 3" xfId="45177" xr:uid="{00000000-0005-0000-0000-00002C7C0000}"/>
    <cellStyle name="Normal 5 5 14 5" xfId="21963" xr:uid="{00000000-0005-0000-0000-00002D7C0000}"/>
    <cellStyle name="Normal 5 5 14 6" xfId="40595" xr:uid="{00000000-0005-0000-0000-00002E7C0000}"/>
    <cellStyle name="Normal 5 5 15" xfId="6610" xr:uid="{00000000-0005-0000-0000-00002F7C0000}"/>
    <cellStyle name="Normal 5 5 15 2" xfId="6611" xr:uid="{00000000-0005-0000-0000-0000307C0000}"/>
    <cellStyle name="Normal 5 5 15 2 2" xfId="12422" xr:uid="{00000000-0005-0000-0000-0000317C0000}"/>
    <cellStyle name="Normal 5 5 15 2 2 2" xfId="35907" xr:uid="{00000000-0005-0000-0000-0000327C0000}"/>
    <cellStyle name="Normal 5 5 15 2 2 3" xfId="26588" xr:uid="{00000000-0005-0000-0000-0000337C0000}"/>
    <cellStyle name="Normal 5 5 15 2 2 4" xfId="49850" xr:uid="{00000000-0005-0000-0000-0000347C0000}"/>
    <cellStyle name="Normal 5 5 15 2 3" xfId="17153" xr:uid="{00000000-0005-0000-0000-0000357C0000}"/>
    <cellStyle name="Normal 5 5 15 2 3 2" xfId="31285" xr:uid="{00000000-0005-0000-0000-0000367C0000}"/>
    <cellStyle name="Normal 5 5 15 2 3 3" xfId="45180" xr:uid="{00000000-0005-0000-0000-0000377C0000}"/>
    <cellStyle name="Normal 5 5 15 2 4" xfId="21966" xr:uid="{00000000-0005-0000-0000-0000387C0000}"/>
    <cellStyle name="Normal 5 5 15 2 5" xfId="40598" xr:uid="{00000000-0005-0000-0000-0000397C0000}"/>
    <cellStyle name="Normal 5 5 15 3" xfId="12421" xr:uid="{00000000-0005-0000-0000-00003A7C0000}"/>
    <cellStyle name="Normal 5 5 15 3 2" xfId="35906" xr:uid="{00000000-0005-0000-0000-00003B7C0000}"/>
    <cellStyle name="Normal 5 5 15 3 3" xfId="26587" xr:uid="{00000000-0005-0000-0000-00003C7C0000}"/>
    <cellStyle name="Normal 5 5 15 3 4" xfId="49849" xr:uid="{00000000-0005-0000-0000-00003D7C0000}"/>
    <cellStyle name="Normal 5 5 15 4" xfId="17152" xr:uid="{00000000-0005-0000-0000-00003E7C0000}"/>
    <cellStyle name="Normal 5 5 15 4 2" xfId="31284" xr:uid="{00000000-0005-0000-0000-00003F7C0000}"/>
    <cellStyle name="Normal 5 5 15 4 3" xfId="45179" xr:uid="{00000000-0005-0000-0000-0000407C0000}"/>
    <cellStyle name="Normal 5 5 15 5" xfId="21965" xr:uid="{00000000-0005-0000-0000-0000417C0000}"/>
    <cellStyle name="Normal 5 5 15 6" xfId="40597" xr:uid="{00000000-0005-0000-0000-0000427C0000}"/>
    <cellStyle name="Normal 5 5 16" xfId="6612" xr:uid="{00000000-0005-0000-0000-0000437C0000}"/>
    <cellStyle name="Normal 5 5 16 2" xfId="6613" xr:uid="{00000000-0005-0000-0000-0000447C0000}"/>
    <cellStyle name="Normal 5 5 16 2 2" xfId="12424" xr:uid="{00000000-0005-0000-0000-0000457C0000}"/>
    <cellStyle name="Normal 5 5 16 2 2 2" xfId="35909" xr:uid="{00000000-0005-0000-0000-0000467C0000}"/>
    <cellStyle name="Normal 5 5 16 2 2 3" xfId="26590" xr:uid="{00000000-0005-0000-0000-0000477C0000}"/>
    <cellStyle name="Normal 5 5 16 2 2 4" xfId="49852" xr:uid="{00000000-0005-0000-0000-0000487C0000}"/>
    <cellStyle name="Normal 5 5 16 2 3" xfId="17155" xr:uid="{00000000-0005-0000-0000-0000497C0000}"/>
    <cellStyle name="Normal 5 5 16 2 3 2" xfId="31287" xr:uid="{00000000-0005-0000-0000-00004A7C0000}"/>
    <cellStyle name="Normal 5 5 16 2 3 3" xfId="45182" xr:uid="{00000000-0005-0000-0000-00004B7C0000}"/>
    <cellStyle name="Normal 5 5 16 2 4" xfId="21968" xr:uid="{00000000-0005-0000-0000-00004C7C0000}"/>
    <cellStyle name="Normal 5 5 16 2 5" xfId="40600" xr:uid="{00000000-0005-0000-0000-00004D7C0000}"/>
    <cellStyle name="Normal 5 5 16 3" xfId="12423" xr:uid="{00000000-0005-0000-0000-00004E7C0000}"/>
    <cellStyle name="Normal 5 5 16 3 2" xfId="35908" xr:uid="{00000000-0005-0000-0000-00004F7C0000}"/>
    <cellStyle name="Normal 5 5 16 3 3" xfId="26589" xr:uid="{00000000-0005-0000-0000-0000507C0000}"/>
    <cellStyle name="Normal 5 5 16 3 4" xfId="49851" xr:uid="{00000000-0005-0000-0000-0000517C0000}"/>
    <cellStyle name="Normal 5 5 16 4" xfId="17154" xr:uid="{00000000-0005-0000-0000-0000527C0000}"/>
    <cellStyle name="Normal 5 5 16 4 2" xfId="31286" xr:uid="{00000000-0005-0000-0000-0000537C0000}"/>
    <cellStyle name="Normal 5 5 16 4 3" xfId="45181" xr:uid="{00000000-0005-0000-0000-0000547C0000}"/>
    <cellStyle name="Normal 5 5 16 5" xfId="21967" xr:uid="{00000000-0005-0000-0000-0000557C0000}"/>
    <cellStyle name="Normal 5 5 16 6" xfId="40599" xr:uid="{00000000-0005-0000-0000-0000567C0000}"/>
    <cellStyle name="Normal 5 5 17" xfId="6614" xr:uid="{00000000-0005-0000-0000-0000577C0000}"/>
    <cellStyle name="Normal 5 5 17 2" xfId="6615" xr:uid="{00000000-0005-0000-0000-0000587C0000}"/>
    <cellStyle name="Normal 5 5 17 2 2" xfId="12426" xr:uid="{00000000-0005-0000-0000-0000597C0000}"/>
    <cellStyle name="Normal 5 5 17 2 2 2" xfId="35911" xr:uid="{00000000-0005-0000-0000-00005A7C0000}"/>
    <cellStyle name="Normal 5 5 17 2 2 3" xfId="26592" xr:uid="{00000000-0005-0000-0000-00005B7C0000}"/>
    <cellStyle name="Normal 5 5 17 2 2 4" xfId="49854" xr:uid="{00000000-0005-0000-0000-00005C7C0000}"/>
    <cellStyle name="Normal 5 5 17 2 3" xfId="17157" xr:uid="{00000000-0005-0000-0000-00005D7C0000}"/>
    <cellStyle name="Normal 5 5 17 2 3 2" xfId="31289" xr:uid="{00000000-0005-0000-0000-00005E7C0000}"/>
    <cellStyle name="Normal 5 5 17 2 3 3" xfId="45184" xr:uid="{00000000-0005-0000-0000-00005F7C0000}"/>
    <cellStyle name="Normal 5 5 17 2 4" xfId="21970" xr:uid="{00000000-0005-0000-0000-0000607C0000}"/>
    <cellStyle name="Normal 5 5 17 2 5" xfId="40602" xr:uid="{00000000-0005-0000-0000-0000617C0000}"/>
    <cellStyle name="Normal 5 5 17 3" xfId="12425" xr:uid="{00000000-0005-0000-0000-0000627C0000}"/>
    <cellStyle name="Normal 5 5 17 3 2" xfId="35910" xr:uid="{00000000-0005-0000-0000-0000637C0000}"/>
    <cellStyle name="Normal 5 5 17 3 3" xfId="26591" xr:uid="{00000000-0005-0000-0000-0000647C0000}"/>
    <cellStyle name="Normal 5 5 17 3 4" xfId="49853" xr:uid="{00000000-0005-0000-0000-0000657C0000}"/>
    <cellStyle name="Normal 5 5 17 4" xfId="17156" xr:uid="{00000000-0005-0000-0000-0000667C0000}"/>
    <cellStyle name="Normal 5 5 17 4 2" xfId="31288" xr:uid="{00000000-0005-0000-0000-0000677C0000}"/>
    <cellStyle name="Normal 5 5 17 4 3" xfId="45183" xr:uid="{00000000-0005-0000-0000-0000687C0000}"/>
    <cellStyle name="Normal 5 5 17 5" xfId="21969" xr:uid="{00000000-0005-0000-0000-0000697C0000}"/>
    <cellStyle name="Normal 5 5 17 6" xfId="40601" xr:uid="{00000000-0005-0000-0000-00006A7C0000}"/>
    <cellStyle name="Normal 5 5 18" xfId="6616" xr:uid="{00000000-0005-0000-0000-00006B7C0000}"/>
    <cellStyle name="Normal 5 5 18 2" xfId="6617" xr:uid="{00000000-0005-0000-0000-00006C7C0000}"/>
    <cellStyle name="Normal 5 5 18 2 2" xfId="12428" xr:uid="{00000000-0005-0000-0000-00006D7C0000}"/>
    <cellStyle name="Normal 5 5 18 2 2 2" xfId="35913" xr:uid="{00000000-0005-0000-0000-00006E7C0000}"/>
    <cellStyle name="Normal 5 5 18 2 2 3" xfId="26594" xr:uid="{00000000-0005-0000-0000-00006F7C0000}"/>
    <cellStyle name="Normal 5 5 18 2 2 4" xfId="49856" xr:uid="{00000000-0005-0000-0000-0000707C0000}"/>
    <cellStyle name="Normal 5 5 18 2 3" xfId="17159" xr:uid="{00000000-0005-0000-0000-0000717C0000}"/>
    <cellStyle name="Normal 5 5 18 2 3 2" xfId="31291" xr:uid="{00000000-0005-0000-0000-0000727C0000}"/>
    <cellStyle name="Normal 5 5 18 2 3 3" xfId="45186" xr:uid="{00000000-0005-0000-0000-0000737C0000}"/>
    <cellStyle name="Normal 5 5 18 2 4" xfId="21972" xr:uid="{00000000-0005-0000-0000-0000747C0000}"/>
    <cellStyle name="Normal 5 5 18 2 5" xfId="40604" xr:uid="{00000000-0005-0000-0000-0000757C0000}"/>
    <cellStyle name="Normal 5 5 18 3" xfId="12427" xr:uid="{00000000-0005-0000-0000-0000767C0000}"/>
    <cellStyle name="Normal 5 5 18 3 2" xfId="35912" xr:uid="{00000000-0005-0000-0000-0000777C0000}"/>
    <cellStyle name="Normal 5 5 18 3 3" xfId="26593" xr:uid="{00000000-0005-0000-0000-0000787C0000}"/>
    <cellStyle name="Normal 5 5 18 3 4" xfId="49855" xr:uid="{00000000-0005-0000-0000-0000797C0000}"/>
    <cellStyle name="Normal 5 5 18 4" xfId="17158" xr:uid="{00000000-0005-0000-0000-00007A7C0000}"/>
    <cellStyle name="Normal 5 5 18 4 2" xfId="31290" xr:uid="{00000000-0005-0000-0000-00007B7C0000}"/>
    <cellStyle name="Normal 5 5 18 4 3" xfId="45185" xr:uid="{00000000-0005-0000-0000-00007C7C0000}"/>
    <cellStyle name="Normal 5 5 18 5" xfId="21971" xr:uid="{00000000-0005-0000-0000-00007D7C0000}"/>
    <cellStyle name="Normal 5 5 18 6" xfId="40603" xr:uid="{00000000-0005-0000-0000-00007E7C0000}"/>
    <cellStyle name="Normal 5 5 19" xfId="6618" xr:uid="{00000000-0005-0000-0000-00007F7C0000}"/>
    <cellStyle name="Normal 5 5 19 2" xfId="6619" xr:uid="{00000000-0005-0000-0000-0000807C0000}"/>
    <cellStyle name="Normal 5 5 19 2 2" xfId="12430" xr:uid="{00000000-0005-0000-0000-0000817C0000}"/>
    <cellStyle name="Normal 5 5 19 2 2 2" xfId="35915" xr:uid="{00000000-0005-0000-0000-0000827C0000}"/>
    <cellStyle name="Normal 5 5 19 2 2 3" xfId="26596" xr:uid="{00000000-0005-0000-0000-0000837C0000}"/>
    <cellStyle name="Normal 5 5 19 2 2 4" xfId="49858" xr:uid="{00000000-0005-0000-0000-0000847C0000}"/>
    <cellStyle name="Normal 5 5 19 2 3" xfId="17161" xr:uid="{00000000-0005-0000-0000-0000857C0000}"/>
    <cellStyle name="Normal 5 5 19 2 3 2" xfId="31293" xr:uid="{00000000-0005-0000-0000-0000867C0000}"/>
    <cellStyle name="Normal 5 5 19 2 3 3" xfId="45188" xr:uid="{00000000-0005-0000-0000-0000877C0000}"/>
    <cellStyle name="Normal 5 5 19 2 4" xfId="21974" xr:uid="{00000000-0005-0000-0000-0000887C0000}"/>
    <cellStyle name="Normal 5 5 19 2 5" xfId="40606" xr:uid="{00000000-0005-0000-0000-0000897C0000}"/>
    <cellStyle name="Normal 5 5 19 3" xfId="12429" xr:uid="{00000000-0005-0000-0000-00008A7C0000}"/>
    <cellStyle name="Normal 5 5 19 3 2" xfId="35914" xr:uid="{00000000-0005-0000-0000-00008B7C0000}"/>
    <cellStyle name="Normal 5 5 19 3 3" xfId="26595" xr:uid="{00000000-0005-0000-0000-00008C7C0000}"/>
    <cellStyle name="Normal 5 5 19 3 4" xfId="49857" xr:uid="{00000000-0005-0000-0000-00008D7C0000}"/>
    <cellStyle name="Normal 5 5 19 4" xfId="17160" xr:uid="{00000000-0005-0000-0000-00008E7C0000}"/>
    <cellStyle name="Normal 5 5 19 4 2" xfId="31292" xr:uid="{00000000-0005-0000-0000-00008F7C0000}"/>
    <cellStyle name="Normal 5 5 19 4 3" xfId="45187" xr:uid="{00000000-0005-0000-0000-0000907C0000}"/>
    <cellStyle name="Normal 5 5 19 5" xfId="21973" xr:uid="{00000000-0005-0000-0000-0000917C0000}"/>
    <cellStyle name="Normal 5 5 19 6" xfId="40605" xr:uid="{00000000-0005-0000-0000-0000927C0000}"/>
    <cellStyle name="Normal 5 5 2" xfId="6620" xr:uid="{00000000-0005-0000-0000-0000937C0000}"/>
    <cellStyle name="Normal 5 5 2 2" xfId="6621" xr:uid="{00000000-0005-0000-0000-0000947C0000}"/>
    <cellStyle name="Normal 5 5 2 2 2" xfId="12432" xr:uid="{00000000-0005-0000-0000-0000957C0000}"/>
    <cellStyle name="Normal 5 5 2 2 2 2" xfId="35917" xr:uid="{00000000-0005-0000-0000-0000967C0000}"/>
    <cellStyle name="Normal 5 5 2 2 2 3" xfId="26598" xr:uid="{00000000-0005-0000-0000-0000977C0000}"/>
    <cellStyle name="Normal 5 5 2 2 2 4" xfId="49860" xr:uid="{00000000-0005-0000-0000-0000987C0000}"/>
    <cellStyle name="Normal 5 5 2 2 3" xfId="17163" xr:uid="{00000000-0005-0000-0000-0000997C0000}"/>
    <cellStyle name="Normal 5 5 2 2 3 2" xfId="31295" xr:uid="{00000000-0005-0000-0000-00009A7C0000}"/>
    <cellStyle name="Normal 5 5 2 2 3 3" xfId="45190" xr:uid="{00000000-0005-0000-0000-00009B7C0000}"/>
    <cellStyle name="Normal 5 5 2 2 4" xfId="21976" xr:uid="{00000000-0005-0000-0000-00009C7C0000}"/>
    <cellStyle name="Normal 5 5 2 2 5" xfId="40608" xr:uid="{00000000-0005-0000-0000-00009D7C0000}"/>
    <cellStyle name="Normal 5 5 2 3" xfId="12431" xr:uid="{00000000-0005-0000-0000-00009E7C0000}"/>
    <cellStyle name="Normal 5 5 2 3 2" xfId="35916" xr:uid="{00000000-0005-0000-0000-00009F7C0000}"/>
    <cellStyle name="Normal 5 5 2 3 3" xfId="26597" xr:uid="{00000000-0005-0000-0000-0000A07C0000}"/>
    <cellStyle name="Normal 5 5 2 3 4" xfId="49859" xr:uid="{00000000-0005-0000-0000-0000A17C0000}"/>
    <cellStyle name="Normal 5 5 2 4" xfId="17162" xr:uid="{00000000-0005-0000-0000-0000A27C0000}"/>
    <cellStyle name="Normal 5 5 2 4 2" xfId="31294" xr:uid="{00000000-0005-0000-0000-0000A37C0000}"/>
    <cellStyle name="Normal 5 5 2 4 3" xfId="45189" xr:uid="{00000000-0005-0000-0000-0000A47C0000}"/>
    <cellStyle name="Normal 5 5 2 5" xfId="21975" xr:uid="{00000000-0005-0000-0000-0000A57C0000}"/>
    <cellStyle name="Normal 5 5 2 6" xfId="40607" xr:uid="{00000000-0005-0000-0000-0000A67C0000}"/>
    <cellStyle name="Normal 5 5 20" xfId="6622" xr:uid="{00000000-0005-0000-0000-0000A77C0000}"/>
    <cellStyle name="Normal 5 5 20 2" xfId="6623" xr:uid="{00000000-0005-0000-0000-0000A87C0000}"/>
    <cellStyle name="Normal 5 5 20 2 2" xfId="12434" xr:uid="{00000000-0005-0000-0000-0000A97C0000}"/>
    <cellStyle name="Normal 5 5 20 2 2 2" xfId="35919" xr:uid="{00000000-0005-0000-0000-0000AA7C0000}"/>
    <cellStyle name="Normal 5 5 20 2 2 3" xfId="26600" xr:uid="{00000000-0005-0000-0000-0000AB7C0000}"/>
    <cellStyle name="Normal 5 5 20 2 2 4" xfId="49862" xr:uid="{00000000-0005-0000-0000-0000AC7C0000}"/>
    <cellStyle name="Normal 5 5 20 2 3" xfId="17165" xr:uid="{00000000-0005-0000-0000-0000AD7C0000}"/>
    <cellStyle name="Normal 5 5 20 2 3 2" xfId="31297" xr:uid="{00000000-0005-0000-0000-0000AE7C0000}"/>
    <cellStyle name="Normal 5 5 20 2 3 3" xfId="45192" xr:uid="{00000000-0005-0000-0000-0000AF7C0000}"/>
    <cellStyle name="Normal 5 5 20 2 4" xfId="21978" xr:uid="{00000000-0005-0000-0000-0000B07C0000}"/>
    <cellStyle name="Normal 5 5 20 2 5" xfId="40610" xr:uid="{00000000-0005-0000-0000-0000B17C0000}"/>
    <cellStyle name="Normal 5 5 20 3" xfId="12433" xr:uid="{00000000-0005-0000-0000-0000B27C0000}"/>
    <cellStyle name="Normal 5 5 20 3 2" xfId="35918" xr:uid="{00000000-0005-0000-0000-0000B37C0000}"/>
    <cellStyle name="Normal 5 5 20 3 3" xfId="26599" xr:uid="{00000000-0005-0000-0000-0000B47C0000}"/>
    <cellStyle name="Normal 5 5 20 3 4" xfId="49861" xr:uid="{00000000-0005-0000-0000-0000B57C0000}"/>
    <cellStyle name="Normal 5 5 20 4" xfId="17164" xr:uid="{00000000-0005-0000-0000-0000B67C0000}"/>
    <cellStyle name="Normal 5 5 20 4 2" xfId="31296" xr:uid="{00000000-0005-0000-0000-0000B77C0000}"/>
    <cellStyle name="Normal 5 5 20 4 3" xfId="45191" xr:uid="{00000000-0005-0000-0000-0000B87C0000}"/>
    <cellStyle name="Normal 5 5 20 5" xfId="21977" xr:uid="{00000000-0005-0000-0000-0000B97C0000}"/>
    <cellStyle name="Normal 5 5 20 6" xfId="40609" xr:uid="{00000000-0005-0000-0000-0000BA7C0000}"/>
    <cellStyle name="Normal 5 5 21" xfId="6624" xr:uid="{00000000-0005-0000-0000-0000BB7C0000}"/>
    <cellStyle name="Normal 5 5 21 2" xfId="6625" xr:uid="{00000000-0005-0000-0000-0000BC7C0000}"/>
    <cellStyle name="Normal 5 5 21 2 2" xfId="12436" xr:uid="{00000000-0005-0000-0000-0000BD7C0000}"/>
    <cellStyle name="Normal 5 5 21 2 2 2" xfId="35921" xr:uid="{00000000-0005-0000-0000-0000BE7C0000}"/>
    <cellStyle name="Normal 5 5 21 2 2 3" xfId="26602" xr:uid="{00000000-0005-0000-0000-0000BF7C0000}"/>
    <cellStyle name="Normal 5 5 21 2 2 4" xfId="49864" xr:uid="{00000000-0005-0000-0000-0000C07C0000}"/>
    <cellStyle name="Normal 5 5 21 2 3" xfId="17167" xr:uid="{00000000-0005-0000-0000-0000C17C0000}"/>
    <cellStyle name="Normal 5 5 21 2 3 2" xfId="31299" xr:uid="{00000000-0005-0000-0000-0000C27C0000}"/>
    <cellStyle name="Normal 5 5 21 2 3 3" xfId="45194" xr:uid="{00000000-0005-0000-0000-0000C37C0000}"/>
    <cellStyle name="Normal 5 5 21 2 4" xfId="21980" xr:uid="{00000000-0005-0000-0000-0000C47C0000}"/>
    <cellStyle name="Normal 5 5 21 2 5" xfId="40612" xr:uid="{00000000-0005-0000-0000-0000C57C0000}"/>
    <cellStyle name="Normal 5 5 21 3" xfId="12435" xr:uid="{00000000-0005-0000-0000-0000C67C0000}"/>
    <cellStyle name="Normal 5 5 21 3 2" xfId="35920" xr:uid="{00000000-0005-0000-0000-0000C77C0000}"/>
    <cellStyle name="Normal 5 5 21 3 3" xfId="26601" xr:uid="{00000000-0005-0000-0000-0000C87C0000}"/>
    <cellStyle name="Normal 5 5 21 3 4" xfId="49863" xr:uid="{00000000-0005-0000-0000-0000C97C0000}"/>
    <cellStyle name="Normal 5 5 21 4" xfId="17166" xr:uid="{00000000-0005-0000-0000-0000CA7C0000}"/>
    <cellStyle name="Normal 5 5 21 4 2" xfId="31298" xr:uid="{00000000-0005-0000-0000-0000CB7C0000}"/>
    <cellStyle name="Normal 5 5 21 4 3" xfId="45193" xr:uid="{00000000-0005-0000-0000-0000CC7C0000}"/>
    <cellStyle name="Normal 5 5 21 5" xfId="21979" xr:uid="{00000000-0005-0000-0000-0000CD7C0000}"/>
    <cellStyle name="Normal 5 5 21 6" xfId="40611" xr:uid="{00000000-0005-0000-0000-0000CE7C0000}"/>
    <cellStyle name="Normal 5 5 22" xfId="6626" xr:uid="{00000000-0005-0000-0000-0000CF7C0000}"/>
    <cellStyle name="Normal 5 5 22 2" xfId="6627" xr:uid="{00000000-0005-0000-0000-0000D07C0000}"/>
    <cellStyle name="Normal 5 5 22 2 2" xfId="12438" xr:uid="{00000000-0005-0000-0000-0000D17C0000}"/>
    <cellStyle name="Normal 5 5 22 2 2 2" xfId="35923" xr:uid="{00000000-0005-0000-0000-0000D27C0000}"/>
    <cellStyle name="Normal 5 5 22 2 2 3" xfId="26604" xr:uid="{00000000-0005-0000-0000-0000D37C0000}"/>
    <cellStyle name="Normal 5 5 22 2 2 4" xfId="49866" xr:uid="{00000000-0005-0000-0000-0000D47C0000}"/>
    <cellStyle name="Normal 5 5 22 2 3" xfId="17169" xr:uid="{00000000-0005-0000-0000-0000D57C0000}"/>
    <cellStyle name="Normal 5 5 22 2 3 2" xfId="31301" xr:uid="{00000000-0005-0000-0000-0000D67C0000}"/>
    <cellStyle name="Normal 5 5 22 2 3 3" xfId="45196" xr:uid="{00000000-0005-0000-0000-0000D77C0000}"/>
    <cellStyle name="Normal 5 5 22 2 4" xfId="21982" xr:uid="{00000000-0005-0000-0000-0000D87C0000}"/>
    <cellStyle name="Normal 5 5 22 2 5" xfId="40614" xr:uid="{00000000-0005-0000-0000-0000D97C0000}"/>
    <cellStyle name="Normal 5 5 22 3" xfId="12437" xr:uid="{00000000-0005-0000-0000-0000DA7C0000}"/>
    <cellStyle name="Normal 5 5 22 3 2" xfId="35922" xr:uid="{00000000-0005-0000-0000-0000DB7C0000}"/>
    <cellStyle name="Normal 5 5 22 3 3" xfId="26603" xr:uid="{00000000-0005-0000-0000-0000DC7C0000}"/>
    <cellStyle name="Normal 5 5 22 3 4" xfId="49865" xr:uid="{00000000-0005-0000-0000-0000DD7C0000}"/>
    <cellStyle name="Normal 5 5 22 4" xfId="17168" xr:uid="{00000000-0005-0000-0000-0000DE7C0000}"/>
    <cellStyle name="Normal 5 5 22 4 2" xfId="31300" xr:uid="{00000000-0005-0000-0000-0000DF7C0000}"/>
    <cellStyle name="Normal 5 5 22 4 3" xfId="45195" xr:uid="{00000000-0005-0000-0000-0000E07C0000}"/>
    <cellStyle name="Normal 5 5 22 5" xfId="21981" xr:uid="{00000000-0005-0000-0000-0000E17C0000}"/>
    <cellStyle name="Normal 5 5 22 6" xfId="40613" xr:uid="{00000000-0005-0000-0000-0000E27C0000}"/>
    <cellStyle name="Normal 5 5 23" xfId="6628" xr:uid="{00000000-0005-0000-0000-0000E37C0000}"/>
    <cellStyle name="Normal 5 5 23 2" xfId="6629" xr:uid="{00000000-0005-0000-0000-0000E47C0000}"/>
    <cellStyle name="Normal 5 5 23 2 2" xfId="12440" xr:uid="{00000000-0005-0000-0000-0000E57C0000}"/>
    <cellStyle name="Normal 5 5 23 2 2 2" xfId="35925" xr:uid="{00000000-0005-0000-0000-0000E67C0000}"/>
    <cellStyle name="Normal 5 5 23 2 2 3" xfId="26606" xr:uid="{00000000-0005-0000-0000-0000E77C0000}"/>
    <cellStyle name="Normal 5 5 23 2 2 4" xfId="49868" xr:uid="{00000000-0005-0000-0000-0000E87C0000}"/>
    <cellStyle name="Normal 5 5 23 2 3" xfId="17171" xr:uid="{00000000-0005-0000-0000-0000E97C0000}"/>
    <cellStyle name="Normal 5 5 23 2 3 2" xfId="31303" xr:uid="{00000000-0005-0000-0000-0000EA7C0000}"/>
    <cellStyle name="Normal 5 5 23 2 3 3" xfId="45198" xr:uid="{00000000-0005-0000-0000-0000EB7C0000}"/>
    <cellStyle name="Normal 5 5 23 2 4" xfId="21984" xr:uid="{00000000-0005-0000-0000-0000EC7C0000}"/>
    <cellStyle name="Normal 5 5 23 2 5" xfId="40616" xr:uid="{00000000-0005-0000-0000-0000ED7C0000}"/>
    <cellStyle name="Normal 5 5 23 3" xfId="12439" xr:uid="{00000000-0005-0000-0000-0000EE7C0000}"/>
    <cellStyle name="Normal 5 5 23 3 2" xfId="35924" xr:uid="{00000000-0005-0000-0000-0000EF7C0000}"/>
    <cellStyle name="Normal 5 5 23 3 3" xfId="26605" xr:uid="{00000000-0005-0000-0000-0000F07C0000}"/>
    <cellStyle name="Normal 5 5 23 3 4" xfId="49867" xr:uid="{00000000-0005-0000-0000-0000F17C0000}"/>
    <cellStyle name="Normal 5 5 23 4" xfId="17170" xr:uid="{00000000-0005-0000-0000-0000F27C0000}"/>
    <cellStyle name="Normal 5 5 23 4 2" xfId="31302" xr:uid="{00000000-0005-0000-0000-0000F37C0000}"/>
    <cellStyle name="Normal 5 5 23 4 3" xfId="45197" xr:uid="{00000000-0005-0000-0000-0000F47C0000}"/>
    <cellStyle name="Normal 5 5 23 5" xfId="21983" xr:uid="{00000000-0005-0000-0000-0000F57C0000}"/>
    <cellStyle name="Normal 5 5 23 6" xfId="40615" xr:uid="{00000000-0005-0000-0000-0000F67C0000}"/>
    <cellStyle name="Normal 5 5 24" xfId="6630" xr:uid="{00000000-0005-0000-0000-0000F77C0000}"/>
    <cellStyle name="Normal 5 5 24 2" xfId="12441" xr:uid="{00000000-0005-0000-0000-0000F87C0000}"/>
    <cellStyle name="Normal 5 5 24 2 2" xfId="35926" xr:uid="{00000000-0005-0000-0000-0000F97C0000}"/>
    <cellStyle name="Normal 5 5 24 2 3" xfId="26607" xr:uid="{00000000-0005-0000-0000-0000FA7C0000}"/>
    <cellStyle name="Normal 5 5 24 2 4" xfId="49869" xr:uid="{00000000-0005-0000-0000-0000FB7C0000}"/>
    <cellStyle name="Normal 5 5 24 3" xfId="17172" xr:uid="{00000000-0005-0000-0000-0000FC7C0000}"/>
    <cellStyle name="Normal 5 5 24 3 2" xfId="31304" xr:uid="{00000000-0005-0000-0000-0000FD7C0000}"/>
    <cellStyle name="Normal 5 5 24 3 3" xfId="45199" xr:uid="{00000000-0005-0000-0000-0000FE7C0000}"/>
    <cellStyle name="Normal 5 5 24 4" xfId="21985" xr:uid="{00000000-0005-0000-0000-0000FF7C0000}"/>
    <cellStyle name="Normal 5 5 24 5" xfId="40617" xr:uid="{00000000-0005-0000-0000-0000007D0000}"/>
    <cellStyle name="Normal 5 5 25" xfId="12410" xr:uid="{00000000-0005-0000-0000-0000017D0000}"/>
    <cellStyle name="Normal 5 5 25 2" xfId="35895" xr:uid="{00000000-0005-0000-0000-0000027D0000}"/>
    <cellStyle name="Normal 5 5 25 3" xfId="26576" xr:uid="{00000000-0005-0000-0000-0000037D0000}"/>
    <cellStyle name="Normal 5 5 25 4" xfId="49838" xr:uid="{00000000-0005-0000-0000-0000047D0000}"/>
    <cellStyle name="Normal 5 5 26" xfId="17141" xr:uid="{00000000-0005-0000-0000-0000057D0000}"/>
    <cellStyle name="Normal 5 5 26 2" xfId="31273" xr:uid="{00000000-0005-0000-0000-0000067D0000}"/>
    <cellStyle name="Normal 5 5 26 3" xfId="45168" xr:uid="{00000000-0005-0000-0000-0000077D0000}"/>
    <cellStyle name="Normal 5 5 27" xfId="21954" xr:uid="{00000000-0005-0000-0000-0000087D0000}"/>
    <cellStyle name="Normal 5 5 28" xfId="40586" xr:uid="{00000000-0005-0000-0000-0000097D0000}"/>
    <cellStyle name="Normal 5 5 3" xfId="6631" xr:uid="{00000000-0005-0000-0000-00000A7D0000}"/>
    <cellStyle name="Normal 5 5 3 2" xfId="6632" xr:uid="{00000000-0005-0000-0000-00000B7D0000}"/>
    <cellStyle name="Normal 5 5 3 2 2" xfId="12443" xr:uid="{00000000-0005-0000-0000-00000C7D0000}"/>
    <cellStyle name="Normal 5 5 3 2 2 2" xfId="35928" xr:uid="{00000000-0005-0000-0000-00000D7D0000}"/>
    <cellStyle name="Normal 5 5 3 2 2 3" xfId="26609" xr:uid="{00000000-0005-0000-0000-00000E7D0000}"/>
    <cellStyle name="Normal 5 5 3 2 2 4" xfId="49871" xr:uid="{00000000-0005-0000-0000-00000F7D0000}"/>
    <cellStyle name="Normal 5 5 3 2 3" xfId="17174" xr:uid="{00000000-0005-0000-0000-0000107D0000}"/>
    <cellStyle name="Normal 5 5 3 2 3 2" xfId="31306" xr:uid="{00000000-0005-0000-0000-0000117D0000}"/>
    <cellStyle name="Normal 5 5 3 2 3 3" xfId="45201" xr:uid="{00000000-0005-0000-0000-0000127D0000}"/>
    <cellStyle name="Normal 5 5 3 2 4" xfId="21987" xr:uid="{00000000-0005-0000-0000-0000137D0000}"/>
    <cellStyle name="Normal 5 5 3 2 5" xfId="40619" xr:uid="{00000000-0005-0000-0000-0000147D0000}"/>
    <cellStyle name="Normal 5 5 3 3" xfId="12442" xr:uid="{00000000-0005-0000-0000-0000157D0000}"/>
    <cellStyle name="Normal 5 5 3 3 2" xfId="35927" xr:uid="{00000000-0005-0000-0000-0000167D0000}"/>
    <cellStyle name="Normal 5 5 3 3 3" xfId="26608" xr:uid="{00000000-0005-0000-0000-0000177D0000}"/>
    <cellStyle name="Normal 5 5 3 3 4" xfId="49870" xr:uid="{00000000-0005-0000-0000-0000187D0000}"/>
    <cellStyle name="Normal 5 5 3 4" xfId="17173" xr:uid="{00000000-0005-0000-0000-0000197D0000}"/>
    <cellStyle name="Normal 5 5 3 4 2" xfId="31305" xr:uid="{00000000-0005-0000-0000-00001A7D0000}"/>
    <cellStyle name="Normal 5 5 3 4 3" xfId="45200" xr:uid="{00000000-0005-0000-0000-00001B7D0000}"/>
    <cellStyle name="Normal 5 5 3 5" xfId="21986" xr:uid="{00000000-0005-0000-0000-00001C7D0000}"/>
    <cellStyle name="Normal 5 5 3 6" xfId="40618" xr:uid="{00000000-0005-0000-0000-00001D7D0000}"/>
    <cellStyle name="Normal 5 5 4" xfId="6633" xr:uid="{00000000-0005-0000-0000-00001E7D0000}"/>
    <cellStyle name="Normal 5 5 4 2" xfId="6634" xr:uid="{00000000-0005-0000-0000-00001F7D0000}"/>
    <cellStyle name="Normal 5 5 4 2 2" xfId="12445" xr:uid="{00000000-0005-0000-0000-0000207D0000}"/>
    <cellStyle name="Normal 5 5 4 2 2 2" xfId="35930" xr:uid="{00000000-0005-0000-0000-0000217D0000}"/>
    <cellStyle name="Normal 5 5 4 2 2 3" xfId="26611" xr:uid="{00000000-0005-0000-0000-0000227D0000}"/>
    <cellStyle name="Normal 5 5 4 2 2 4" xfId="49873" xr:uid="{00000000-0005-0000-0000-0000237D0000}"/>
    <cellStyle name="Normal 5 5 4 2 3" xfId="17176" xr:uid="{00000000-0005-0000-0000-0000247D0000}"/>
    <cellStyle name="Normal 5 5 4 2 3 2" xfId="31308" xr:uid="{00000000-0005-0000-0000-0000257D0000}"/>
    <cellStyle name="Normal 5 5 4 2 3 3" xfId="45203" xr:uid="{00000000-0005-0000-0000-0000267D0000}"/>
    <cellStyle name="Normal 5 5 4 2 4" xfId="21989" xr:uid="{00000000-0005-0000-0000-0000277D0000}"/>
    <cellStyle name="Normal 5 5 4 2 5" xfId="40621" xr:uid="{00000000-0005-0000-0000-0000287D0000}"/>
    <cellStyle name="Normal 5 5 4 3" xfId="12444" xr:uid="{00000000-0005-0000-0000-0000297D0000}"/>
    <cellStyle name="Normal 5 5 4 3 2" xfId="35929" xr:uid="{00000000-0005-0000-0000-00002A7D0000}"/>
    <cellStyle name="Normal 5 5 4 3 3" xfId="26610" xr:uid="{00000000-0005-0000-0000-00002B7D0000}"/>
    <cellStyle name="Normal 5 5 4 3 4" xfId="49872" xr:uid="{00000000-0005-0000-0000-00002C7D0000}"/>
    <cellStyle name="Normal 5 5 4 4" xfId="17175" xr:uid="{00000000-0005-0000-0000-00002D7D0000}"/>
    <cellStyle name="Normal 5 5 4 4 2" xfId="31307" xr:uid="{00000000-0005-0000-0000-00002E7D0000}"/>
    <cellStyle name="Normal 5 5 4 4 3" xfId="45202" xr:uid="{00000000-0005-0000-0000-00002F7D0000}"/>
    <cellStyle name="Normal 5 5 4 5" xfId="21988" xr:uid="{00000000-0005-0000-0000-0000307D0000}"/>
    <cellStyle name="Normal 5 5 4 6" xfId="40620" xr:uid="{00000000-0005-0000-0000-0000317D0000}"/>
    <cellStyle name="Normal 5 5 5" xfId="6635" xr:uid="{00000000-0005-0000-0000-0000327D0000}"/>
    <cellStyle name="Normal 5 5 5 2" xfId="6636" xr:uid="{00000000-0005-0000-0000-0000337D0000}"/>
    <cellStyle name="Normal 5 5 5 2 2" xfId="12447" xr:uid="{00000000-0005-0000-0000-0000347D0000}"/>
    <cellStyle name="Normal 5 5 5 2 2 2" xfId="35932" xr:uid="{00000000-0005-0000-0000-0000357D0000}"/>
    <cellStyle name="Normal 5 5 5 2 2 3" xfId="26613" xr:uid="{00000000-0005-0000-0000-0000367D0000}"/>
    <cellStyle name="Normal 5 5 5 2 2 4" xfId="49875" xr:uid="{00000000-0005-0000-0000-0000377D0000}"/>
    <cellStyle name="Normal 5 5 5 2 3" xfId="17178" xr:uid="{00000000-0005-0000-0000-0000387D0000}"/>
    <cellStyle name="Normal 5 5 5 2 3 2" xfId="31310" xr:uid="{00000000-0005-0000-0000-0000397D0000}"/>
    <cellStyle name="Normal 5 5 5 2 3 3" xfId="45205" xr:uid="{00000000-0005-0000-0000-00003A7D0000}"/>
    <cellStyle name="Normal 5 5 5 2 4" xfId="21991" xr:uid="{00000000-0005-0000-0000-00003B7D0000}"/>
    <cellStyle name="Normal 5 5 5 2 5" xfId="40623" xr:uid="{00000000-0005-0000-0000-00003C7D0000}"/>
    <cellStyle name="Normal 5 5 5 3" xfId="12446" xr:uid="{00000000-0005-0000-0000-00003D7D0000}"/>
    <cellStyle name="Normal 5 5 5 3 2" xfId="35931" xr:uid="{00000000-0005-0000-0000-00003E7D0000}"/>
    <cellStyle name="Normal 5 5 5 3 3" xfId="26612" xr:uid="{00000000-0005-0000-0000-00003F7D0000}"/>
    <cellStyle name="Normal 5 5 5 3 4" xfId="49874" xr:uid="{00000000-0005-0000-0000-0000407D0000}"/>
    <cellStyle name="Normal 5 5 5 4" xfId="17177" xr:uid="{00000000-0005-0000-0000-0000417D0000}"/>
    <cellStyle name="Normal 5 5 5 4 2" xfId="31309" xr:uid="{00000000-0005-0000-0000-0000427D0000}"/>
    <cellStyle name="Normal 5 5 5 4 3" xfId="45204" xr:uid="{00000000-0005-0000-0000-0000437D0000}"/>
    <cellStyle name="Normal 5 5 5 5" xfId="21990" xr:uid="{00000000-0005-0000-0000-0000447D0000}"/>
    <cellStyle name="Normal 5 5 5 6" xfId="40622" xr:uid="{00000000-0005-0000-0000-0000457D0000}"/>
    <cellStyle name="Normal 5 5 6" xfId="6637" xr:uid="{00000000-0005-0000-0000-0000467D0000}"/>
    <cellStyle name="Normal 5 5 6 2" xfId="6638" xr:uid="{00000000-0005-0000-0000-0000477D0000}"/>
    <cellStyle name="Normal 5 5 6 2 2" xfId="12449" xr:uid="{00000000-0005-0000-0000-0000487D0000}"/>
    <cellStyle name="Normal 5 5 6 2 2 2" xfId="35934" xr:uid="{00000000-0005-0000-0000-0000497D0000}"/>
    <cellStyle name="Normal 5 5 6 2 2 3" xfId="26615" xr:uid="{00000000-0005-0000-0000-00004A7D0000}"/>
    <cellStyle name="Normal 5 5 6 2 2 4" xfId="49877" xr:uid="{00000000-0005-0000-0000-00004B7D0000}"/>
    <cellStyle name="Normal 5 5 6 2 3" xfId="17180" xr:uid="{00000000-0005-0000-0000-00004C7D0000}"/>
    <cellStyle name="Normal 5 5 6 2 3 2" xfId="31312" xr:uid="{00000000-0005-0000-0000-00004D7D0000}"/>
    <cellStyle name="Normal 5 5 6 2 3 3" xfId="45207" xr:uid="{00000000-0005-0000-0000-00004E7D0000}"/>
    <cellStyle name="Normal 5 5 6 2 4" xfId="21993" xr:uid="{00000000-0005-0000-0000-00004F7D0000}"/>
    <cellStyle name="Normal 5 5 6 2 5" xfId="40625" xr:uid="{00000000-0005-0000-0000-0000507D0000}"/>
    <cellStyle name="Normal 5 5 6 3" xfId="12448" xr:uid="{00000000-0005-0000-0000-0000517D0000}"/>
    <cellStyle name="Normal 5 5 6 3 2" xfId="35933" xr:uid="{00000000-0005-0000-0000-0000527D0000}"/>
    <cellStyle name="Normal 5 5 6 3 3" xfId="26614" xr:uid="{00000000-0005-0000-0000-0000537D0000}"/>
    <cellStyle name="Normal 5 5 6 3 4" xfId="49876" xr:uid="{00000000-0005-0000-0000-0000547D0000}"/>
    <cellStyle name="Normal 5 5 6 4" xfId="17179" xr:uid="{00000000-0005-0000-0000-0000557D0000}"/>
    <cellStyle name="Normal 5 5 6 4 2" xfId="31311" xr:uid="{00000000-0005-0000-0000-0000567D0000}"/>
    <cellStyle name="Normal 5 5 6 4 3" xfId="45206" xr:uid="{00000000-0005-0000-0000-0000577D0000}"/>
    <cellStyle name="Normal 5 5 6 5" xfId="21992" xr:uid="{00000000-0005-0000-0000-0000587D0000}"/>
    <cellStyle name="Normal 5 5 6 6" xfId="40624" xr:uid="{00000000-0005-0000-0000-0000597D0000}"/>
    <cellStyle name="Normal 5 5 7" xfId="6639" xr:uid="{00000000-0005-0000-0000-00005A7D0000}"/>
    <cellStyle name="Normal 5 5 7 2" xfId="6640" xr:uid="{00000000-0005-0000-0000-00005B7D0000}"/>
    <cellStyle name="Normal 5 5 7 2 2" xfId="12451" xr:uid="{00000000-0005-0000-0000-00005C7D0000}"/>
    <cellStyle name="Normal 5 5 7 2 2 2" xfId="35936" xr:uid="{00000000-0005-0000-0000-00005D7D0000}"/>
    <cellStyle name="Normal 5 5 7 2 2 3" xfId="26617" xr:uid="{00000000-0005-0000-0000-00005E7D0000}"/>
    <cellStyle name="Normal 5 5 7 2 2 4" xfId="49879" xr:uid="{00000000-0005-0000-0000-00005F7D0000}"/>
    <cellStyle name="Normal 5 5 7 2 3" xfId="17182" xr:uid="{00000000-0005-0000-0000-0000607D0000}"/>
    <cellStyle name="Normal 5 5 7 2 3 2" xfId="31314" xr:uid="{00000000-0005-0000-0000-0000617D0000}"/>
    <cellStyle name="Normal 5 5 7 2 3 3" xfId="45209" xr:uid="{00000000-0005-0000-0000-0000627D0000}"/>
    <cellStyle name="Normal 5 5 7 2 4" xfId="21995" xr:uid="{00000000-0005-0000-0000-0000637D0000}"/>
    <cellStyle name="Normal 5 5 7 2 5" xfId="40627" xr:uid="{00000000-0005-0000-0000-0000647D0000}"/>
    <cellStyle name="Normal 5 5 7 3" xfId="12450" xr:uid="{00000000-0005-0000-0000-0000657D0000}"/>
    <cellStyle name="Normal 5 5 7 3 2" xfId="35935" xr:uid="{00000000-0005-0000-0000-0000667D0000}"/>
    <cellStyle name="Normal 5 5 7 3 3" xfId="26616" xr:uid="{00000000-0005-0000-0000-0000677D0000}"/>
    <cellStyle name="Normal 5 5 7 3 4" xfId="49878" xr:uid="{00000000-0005-0000-0000-0000687D0000}"/>
    <cellStyle name="Normal 5 5 7 4" xfId="17181" xr:uid="{00000000-0005-0000-0000-0000697D0000}"/>
    <cellStyle name="Normal 5 5 7 4 2" xfId="31313" xr:uid="{00000000-0005-0000-0000-00006A7D0000}"/>
    <cellStyle name="Normal 5 5 7 4 3" xfId="45208" xr:uid="{00000000-0005-0000-0000-00006B7D0000}"/>
    <cellStyle name="Normal 5 5 7 5" xfId="21994" xr:uid="{00000000-0005-0000-0000-00006C7D0000}"/>
    <cellStyle name="Normal 5 5 7 6" xfId="40626" xr:uid="{00000000-0005-0000-0000-00006D7D0000}"/>
    <cellStyle name="Normal 5 5 8" xfId="6641" xr:uid="{00000000-0005-0000-0000-00006E7D0000}"/>
    <cellStyle name="Normal 5 5 8 2" xfId="6642" xr:uid="{00000000-0005-0000-0000-00006F7D0000}"/>
    <cellStyle name="Normal 5 5 8 2 2" xfId="12453" xr:uid="{00000000-0005-0000-0000-0000707D0000}"/>
    <cellStyle name="Normal 5 5 8 2 2 2" xfId="35938" xr:uid="{00000000-0005-0000-0000-0000717D0000}"/>
    <cellStyle name="Normal 5 5 8 2 2 3" xfId="26619" xr:uid="{00000000-0005-0000-0000-0000727D0000}"/>
    <cellStyle name="Normal 5 5 8 2 2 4" xfId="49881" xr:uid="{00000000-0005-0000-0000-0000737D0000}"/>
    <cellStyle name="Normal 5 5 8 2 3" xfId="17184" xr:uid="{00000000-0005-0000-0000-0000747D0000}"/>
    <cellStyle name="Normal 5 5 8 2 3 2" xfId="31316" xr:uid="{00000000-0005-0000-0000-0000757D0000}"/>
    <cellStyle name="Normal 5 5 8 2 3 3" xfId="45211" xr:uid="{00000000-0005-0000-0000-0000767D0000}"/>
    <cellStyle name="Normal 5 5 8 2 4" xfId="21997" xr:uid="{00000000-0005-0000-0000-0000777D0000}"/>
    <cellStyle name="Normal 5 5 8 2 5" xfId="40629" xr:uid="{00000000-0005-0000-0000-0000787D0000}"/>
    <cellStyle name="Normal 5 5 8 3" xfId="12452" xr:uid="{00000000-0005-0000-0000-0000797D0000}"/>
    <cellStyle name="Normal 5 5 8 3 2" xfId="35937" xr:uid="{00000000-0005-0000-0000-00007A7D0000}"/>
    <cellStyle name="Normal 5 5 8 3 3" xfId="26618" xr:uid="{00000000-0005-0000-0000-00007B7D0000}"/>
    <cellStyle name="Normal 5 5 8 3 4" xfId="49880" xr:uid="{00000000-0005-0000-0000-00007C7D0000}"/>
    <cellStyle name="Normal 5 5 8 4" xfId="17183" xr:uid="{00000000-0005-0000-0000-00007D7D0000}"/>
    <cellStyle name="Normal 5 5 8 4 2" xfId="31315" xr:uid="{00000000-0005-0000-0000-00007E7D0000}"/>
    <cellStyle name="Normal 5 5 8 4 3" xfId="45210" xr:uid="{00000000-0005-0000-0000-00007F7D0000}"/>
    <cellStyle name="Normal 5 5 8 5" xfId="21996" xr:uid="{00000000-0005-0000-0000-0000807D0000}"/>
    <cellStyle name="Normal 5 5 8 6" xfId="40628" xr:uid="{00000000-0005-0000-0000-0000817D0000}"/>
    <cellStyle name="Normal 5 5 9" xfId="6643" xr:uid="{00000000-0005-0000-0000-0000827D0000}"/>
    <cellStyle name="Normal 5 5 9 2" xfId="6644" xr:uid="{00000000-0005-0000-0000-0000837D0000}"/>
    <cellStyle name="Normal 5 5 9 2 2" xfId="12455" xr:uid="{00000000-0005-0000-0000-0000847D0000}"/>
    <cellStyle name="Normal 5 5 9 2 2 2" xfId="35940" xr:uid="{00000000-0005-0000-0000-0000857D0000}"/>
    <cellStyle name="Normal 5 5 9 2 2 3" xfId="26621" xr:uid="{00000000-0005-0000-0000-0000867D0000}"/>
    <cellStyle name="Normal 5 5 9 2 2 4" xfId="49883" xr:uid="{00000000-0005-0000-0000-0000877D0000}"/>
    <cellStyle name="Normal 5 5 9 2 3" xfId="17186" xr:uid="{00000000-0005-0000-0000-0000887D0000}"/>
    <cellStyle name="Normal 5 5 9 2 3 2" xfId="31318" xr:uid="{00000000-0005-0000-0000-0000897D0000}"/>
    <cellStyle name="Normal 5 5 9 2 3 3" xfId="45213" xr:uid="{00000000-0005-0000-0000-00008A7D0000}"/>
    <cellStyle name="Normal 5 5 9 2 4" xfId="21999" xr:uid="{00000000-0005-0000-0000-00008B7D0000}"/>
    <cellStyle name="Normal 5 5 9 2 5" xfId="40631" xr:uid="{00000000-0005-0000-0000-00008C7D0000}"/>
    <cellStyle name="Normal 5 5 9 3" xfId="12454" xr:uid="{00000000-0005-0000-0000-00008D7D0000}"/>
    <cellStyle name="Normal 5 5 9 3 2" xfId="35939" xr:uid="{00000000-0005-0000-0000-00008E7D0000}"/>
    <cellStyle name="Normal 5 5 9 3 3" xfId="26620" xr:uid="{00000000-0005-0000-0000-00008F7D0000}"/>
    <cellStyle name="Normal 5 5 9 3 4" xfId="49882" xr:uid="{00000000-0005-0000-0000-0000907D0000}"/>
    <cellStyle name="Normal 5 5 9 4" xfId="17185" xr:uid="{00000000-0005-0000-0000-0000917D0000}"/>
    <cellStyle name="Normal 5 5 9 4 2" xfId="31317" xr:uid="{00000000-0005-0000-0000-0000927D0000}"/>
    <cellStyle name="Normal 5 5 9 4 3" xfId="45212" xr:uid="{00000000-0005-0000-0000-0000937D0000}"/>
    <cellStyle name="Normal 5 5 9 5" xfId="21998" xr:uid="{00000000-0005-0000-0000-0000947D0000}"/>
    <cellStyle name="Normal 5 5 9 6" xfId="40630" xr:uid="{00000000-0005-0000-0000-0000957D0000}"/>
    <cellStyle name="Normal 5 50" xfId="6645" xr:uid="{00000000-0005-0000-0000-0000967D0000}"/>
    <cellStyle name="Normal 5 50 2" xfId="6646" xr:uid="{00000000-0005-0000-0000-0000977D0000}"/>
    <cellStyle name="Normal 5 50 2 2" xfId="12457" xr:uid="{00000000-0005-0000-0000-0000987D0000}"/>
    <cellStyle name="Normal 5 50 2 2 2" xfId="35942" xr:uid="{00000000-0005-0000-0000-0000997D0000}"/>
    <cellStyle name="Normal 5 50 2 2 3" xfId="26623" xr:uid="{00000000-0005-0000-0000-00009A7D0000}"/>
    <cellStyle name="Normal 5 50 2 2 4" xfId="49885" xr:uid="{00000000-0005-0000-0000-00009B7D0000}"/>
    <cellStyle name="Normal 5 50 2 3" xfId="17188" xr:uid="{00000000-0005-0000-0000-00009C7D0000}"/>
    <cellStyle name="Normal 5 50 2 3 2" xfId="31320" xr:uid="{00000000-0005-0000-0000-00009D7D0000}"/>
    <cellStyle name="Normal 5 50 2 3 3" xfId="45215" xr:uid="{00000000-0005-0000-0000-00009E7D0000}"/>
    <cellStyle name="Normal 5 50 2 4" xfId="22001" xr:uid="{00000000-0005-0000-0000-00009F7D0000}"/>
    <cellStyle name="Normal 5 50 2 5" xfId="40633" xr:uid="{00000000-0005-0000-0000-0000A07D0000}"/>
    <cellStyle name="Normal 5 50 3" xfId="12456" xr:uid="{00000000-0005-0000-0000-0000A17D0000}"/>
    <cellStyle name="Normal 5 50 3 2" xfId="35941" xr:uid="{00000000-0005-0000-0000-0000A27D0000}"/>
    <cellStyle name="Normal 5 50 3 3" xfId="26622" xr:uid="{00000000-0005-0000-0000-0000A37D0000}"/>
    <cellStyle name="Normal 5 50 3 4" xfId="49884" xr:uid="{00000000-0005-0000-0000-0000A47D0000}"/>
    <cellStyle name="Normal 5 50 4" xfId="17187" xr:uid="{00000000-0005-0000-0000-0000A57D0000}"/>
    <cellStyle name="Normal 5 50 4 2" xfId="31319" xr:uid="{00000000-0005-0000-0000-0000A67D0000}"/>
    <cellStyle name="Normal 5 50 4 3" xfId="45214" xr:uid="{00000000-0005-0000-0000-0000A77D0000}"/>
    <cellStyle name="Normal 5 50 5" xfId="22000" xr:uid="{00000000-0005-0000-0000-0000A87D0000}"/>
    <cellStyle name="Normal 5 50 6" xfId="40632" xr:uid="{00000000-0005-0000-0000-0000A97D0000}"/>
    <cellStyle name="Normal 5 51" xfId="6647" xr:uid="{00000000-0005-0000-0000-0000AA7D0000}"/>
    <cellStyle name="Normal 5 51 2" xfId="6648" xr:uid="{00000000-0005-0000-0000-0000AB7D0000}"/>
    <cellStyle name="Normal 5 51 2 2" xfId="12459" xr:uid="{00000000-0005-0000-0000-0000AC7D0000}"/>
    <cellStyle name="Normal 5 51 2 2 2" xfId="35944" xr:uid="{00000000-0005-0000-0000-0000AD7D0000}"/>
    <cellStyle name="Normal 5 51 2 2 3" xfId="26625" xr:uid="{00000000-0005-0000-0000-0000AE7D0000}"/>
    <cellStyle name="Normal 5 51 2 2 4" xfId="49887" xr:uid="{00000000-0005-0000-0000-0000AF7D0000}"/>
    <cellStyle name="Normal 5 51 2 3" xfId="17190" xr:uid="{00000000-0005-0000-0000-0000B07D0000}"/>
    <cellStyle name="Normal 5 51 2 3 2" xfId="31322" xr:uid="{00000000-0005-0000-0000-0000B17D0000}"/>
    <cellStyle name="Normal 5 51 2 3 3" xfId="45217" xr:uid="{00000000-0005-0000-0000-0000B27D0000}"/>
    <cellStyle name="Normal 5 51 2 4" xfId="22003" xr:uid="{00000000-0005-0000-0000-0000B37D0000}"/>
    <cellStyle name="Normal 5 51 2 5" xfId="40635" xr:uid="{00000000-0005-0000-0000-0000B47D0000}"/>
    <cellStyle name="Normal 5 51 3" xfId="12458" xr:uid="{00000000-0005-0000-0000-0000B57D0000}"/>
    <cellStyle name="Normal 5 51 3 2" xfId="35943" xr:uid="{00000000-0005-0000-0000-0000B67D0000}"/>
    <cellStyle name="Normal 5 51 3 3" xfId="26624" xr:uid="{00000000-0005-0000-0000-0000B77D0000}"/>
    <cellStyle name="Normal 5 51 3 4" xfId="49886" xr:uid="{00000000-0005-0000-0000-0000B87D0000}"/>
    <cellStyle name="Normal 5 51 4" xfId="17189" xr:uid="{00000000-0005-0000-0000-0000B97D0000}"/>
    <cellStyle name="Normal 5 51 4 2" xfId="31321" xr:uid="{00000000-0005-0000-0000-0000BA7D0000}"/>
    <cellStyle name="Normal 5 51 4 3" xfId="45216" xr:uid="{00000000-0005-0000-0000-0000BB7D0000}"/>
    <cellStyle name="Normal 5 51 5" xfId="22002" xr:uid="{00000000-0005-0000-0000-0000BC7D0000}"/>
    <cellStyle name="Normal 5 51 6" xfId="40634" xr:uid="{00000000-0005-0000-0000-0000BD7D0000}"/>
    <cellStyle name="Normal 5 52" xfId="6649" xr:uid="{00000000-0005-0000-0000-0000BE7D0000}"/>
    <cellStyle name="Normal 5 52 2" xfId="6650" xr:uid="{00000000-0005-0000-0000-0000BF7D0000}"/>
    <cellStyle name="Normal 5 52 2 2" xfId="12461" xr:uid="{00000000-0005-0000-0000-0000C07D0000}"/>
    <cellStyle name="Normal 5 52 2 2 2" xfId="35946" xr:uid="{00000000-0005-0000-0000-0000C17D0000}"/>
    <cellStyle name="Normal 5 52 2 2 3" xfId="26627" xr:uid="{00000000-0005-0000-0000-0000C27D0000}"/>
    <cellStyle name="Normal 5 52 2 2 4" xfId="49889" xr:uid="{00000000-0005-0000-0000-0000C37D0000}"/>
    <cellStyle name="Normal 5 52 2 3" xfId="17192" xr:uid="{00000000-0005-0000-0000-0000C47D0000}"/>
    <cellStyle name="Normal 5 52 2 3 2" xfId="31324" xr:uid="{00000000-0005-0000-0000-0000C57D0000}"/>
    <cellStyle name="Normal 5 52 2 3 3" xfId="45219" xr:uid="{00000000-0005-0000-0000-0000C67D0000}"/>
    <cellStyle name="Normal 5 52 2 4" xfId="22005" xr:uid="{00000000-0005-0000-0000-0000C77D0000}"/>
    <cellStyle name="Normal 5 52 2 5" xfId="40637" xr:uid="{00000000-0005-0000-0000-0000C87D0000}"/>
    <cellStyle name="Normal 5 52 3" xfId="12460" xr:uid="{00000000-0005-0000-0000-0000C97D0000}"/>
    <cellStyle name="Normal 5 52 3 2" xfId="35945" xr:uid="{00000000-0005-0000-0000-0000CA7D0000}"/>
    <cellStyle name="Normal 5 52 3 3" xfId="26626" xr:uid="{00000000-0005-0000-0000-0000CB7D0000}"/>
    <cellStyle name="Normal 5 52 3 4" xfId="49888" xr:uid="{00000000-0005-0000-0000-0000CC7D0000}"/>
    <cellStyle name="Normal 5 52 4" xfId="17191" xr:uid="{00000000-0005-0000-0000-0000CD7D0000}"/>
    <cellStyle name="Normal 5 52 4 2" xfId="31323" xr:uid="{00000000-0005-0000-0000-0000CE7D0000}"/>
    <cellStyle name="Normal 5 52 4 3" xfId="45218" xr:uid="{00000000-0005-0000-0000-0000CF7D0000}"/>
    <cellStyle name="Normal 5 52 5" xfId="22004" xr:uid="{00000000-0005-0000-0000-0000D07D0000}"/>
    <cellStyle name="Normal 5 52 6" xfId="40636" xr:uid="{00000000-0005-0000-0000-0000D17D0000}"/>
    <cellStyle name="Normal 5 53" xfId="6651" xr:uid="{00000000-0005-0000-0000-0000D27D0000}"/>
    <cellStyle name="Normal 5 53 2" xfId="6652" xr:uid="{00000000-0005-0000-0000-0000D37D0000}"/>
    <cellStyle name="Normal 5 53 2 2" xfId="12463" xr:uid="{00000000-0005-0000-0000-0000D47D0000}"/>
    <cellStyle name="Normal 5 53 2 2 2" xfId="35948" xr:uid="{00000000-0005-0000-0000-0000D57D0000}"/>
    <cellStyle name="Normal 5 53 2 2 3" xfId="26629" xr:uid="{00000000-0005-0000-0000-0000D67D0000}"/>
    <cellStyle name="Normal 5 53 2 2 4" xfId="49891" xr:uid="{00000000-0005-0000-0000-0000D77D0000}"/>
    <cellStyle name="Normal 5 53 2 3" xfId="17194" xr:uid="{00000000-0005-0000-0000-0000D87D0000}"/>
    <cellStyle name="Normal 5 53 2 3 2" xfId="31326" xr:uid="{00000000-0005-0000-0000-0000D97D0000}"/>
    <cellStyle name="Normal 5 53 2 3 3" xfId="45221" xr:uid="{00000000-0005-0000-0000-0000DA7D0000}"/>
    <cellStyle name="Normal 5 53 2 4" xfId="22007" xr:uid="{00000000-0005-0000-0000-0000DB7D0000}"/>
    <cellStyle name="Normal 5 53 2 5" xfId="40639" xr:uid="{00000000-0005-0000-0000-0000DC7D0000}"/>
    <cellStyle name="Normal 5 53 3" xfId="12462" xr:uid="{00000000-0005-0000-0000-0000DD7D0000}"/>
    <cellStyle name="Normal 5 53 3 2" xfId="35947" xr:uid="{00000000-0005-0000-0000-0000DE7D0000}"/>
    <cellStyle name="Normal 5 53 3 3" xfId="26628" xr:uid="{00000000-0005-0000-0000-0000DF7D0000}"/>
    <cellStyle name="Normal 5 53 3 4" xfId="49890" xr:uid="{00000000-0005-0000-0000-0000E07D0000}"/>
    <cellStyle name="Normal 5 53 4" xfId="17193" xr:uid="{00000000-0005-0000-0000-0000E17D0000}"/>
    <cellStyle name="Normal 5 53 4 2" xfId="31325" xr:uid="{00000000-0005-0000-0000-0000E27D0000}"/>
    <cellStyle name="Normal 5 53 4 3" xfId="45220" xr:uid="{00000000-0005-0000-0000-0000E37D0000}"/>
    <cellStyle name="Normal 5 53 5" xfId="22006" xr:uid="{00000000-0005-0000-0000-0000E47D0000}"/>
    <cellStyle name="Normal 5 53 6" xfId="40638" xr:uid="{00000000-0005-0000-0000-0000E57D0000}"/>
    <cellStyle name="Normal 5 54" xfId="6653" xr:uid="{00000000-0005-0000-0000-0000E67D0000}"/>
    <cellStyle name="Normal 5 54 2" xfId="6654" xr:uid="{00000000-0005-0000-0000-0000E77D0000}"/>
    <cellStyle name="Normal 5 54 2 2" xfId="12465" xr:uid="{00000000-0005-0000-0000-0000E87D0000}"/>
    <cellStyle name="Normal 5 54 2 2 2" xfId="35950" xr:uid="{00000000-0005-0000-0000-0000E97D0000}"/>
    <cellStyle name="Normal 5 54 2 2 3" xfId="26631" xr:uid="{00000000-0005-0000-0000-0000EA7D0000}"/>
    <cellStyle name="Normal 5 54 2 2 4" xfId="49893" xr:uid="{00000000-0005-0000-0000-0000EB7D0000}"/>
    <cellStyle name="Normal 5 54 2 3" xfId="17196" xr:uid="{00000000-0005-0000-0000-0000EC7D0000}"/>
    <cellStyle name="Normal 5 54 2 3 2" xfId="31328" xr:uid="{00000000-0005-0000-0000-0000ED7D0000}"/>
    <cellStyle name="Normal 5 54 2 3 3" xfId="45223" xr:uid="{00000000-0005-0000-0000-0000EE7D0000}"/>
    <cellStyle name="Normal 5 54 2 4" xfId="22009" xr:uid="{00000000-0005-0000-0000-0000EF7D0000}"/>
    <cellStyle name="Normal 5 54 2 5" xfId="40641" xr:uid="{00000000-0005-0000-0000-0000F07D0000}"/>
    <cellStyle name="Normal 5 54 3" xfId="12464" xr:uid="{00000000-0005-0000-0000-0000F17D0000}"/>
    <cellStyle name="Normal 5 54 3 2" xfId="35949" xr:uid="{00000000-0005-0000-0000-0000F27D0000}"/>
    <cellStyle name="Normal 5 54 3 3" xfId="26630" xr:uid="{00000000-0005-0000-0000-0000F37D0000}"/>
    <cellStyle name="Normal 5 54 3 4" xfId="49892" xr:uid="{00000000-0005-0000-0000-0000F47D0000}"/>
    <cellStyle name="Normal 5 54 4" xfId="17195" xr:uid="{00000000-0005-0000-0000-0000F57D0000}"/>
    <cellStyle name="Normal 5 54 4 2" xfId="31327" xr:uid="{00000000-0005-0000-0000-0000F67D0000}"/>
    <cellStyle name="Normal 5 54 4 3" xfId="45222" xr:uid="{00000000-0005-0000-0000-0000F77D0000}"/>
    <cellStyle name="Normal 5 54 5" xfId="22008" xr:uid="{00000000-0005-0000-0000-0000F87D0000}"/>
    <cellStyle name="Normal 5 54 6" xfId="40640" xr:uid="{00000000-0005-0000-0000-0000F97D0000}"/>
    <cellStyle name="Normal 5 55" xfId="6655" xr:uid="{00000000-0005-0000-0000-0000FA7D0000}"/>
    <cellStyle name="Normal 5 55 2" xfId="6656" xr:uid="{00000000-0005-0000-0000-0000FB7D0000}"/>
    <cellStyle name="Normal 5 55 2 2" xfId="12467" xr:uid="{00000000-0005-0000-0000-0000FC7D0000}"/>
    <cellStyle name="Normal 5 55 2 2 2" xfId="35952" xr:uid="{00000000-0005-0000-0000-0000FD7D0000}"/>
    <cellStyle name="Normal 5 55 2 2 3" xfId="26633" xr:uid="{00000000-0005-0000-0000-0000FE7D0000}"/>
    <cellStyle name="Normal 5 55 2 2 4" xfId="49895" xr:uid="{00000000-0005-0000-0000-0000FF7D0000}"/>
    <cellStyle name="Normal 5 55 2 3" xfId="17198" xr:uid="{00000000-0005-0000-0000-0000007E0000}"/>
    <cellStyle name="Normal 5 55 2 3 2" xfId="31330" xr:uid="{00000000-0005-0000-0000-0000017E0000}"/>
    <cellStyle name="Normal 5 55 2 3 3" xfId="45225" xr:uid="{00000000-0005-0000-0000-0000027E0000}"/>
    <cellStyle name="Normal 5 55 2 4" xfId="22011" xr:uid="{00000000-0005-0000-0000-0000037E0000}"/>
    <cellStyle name="Normal 5 55 2 5" xfId="40643" xr:uid="{00000000-0005-0000-0000-0000047E0000}"/>
    <cellStyle name="Normal 5 55 3" xfId="12466" xr:uid="{00000000-0005-0000-0000-0000057E0000}"/>
    <cellStyle name="Normal 5 55 3 2" xfId="35951" xr:uid="{00000000-0005-0000-0000-0000067E0000}"/>
    <cellStyle name="Normal 5 55 3 3" xfId="26632" xr:uid="{00000000-0005-0000-0000-0000077E0000}"/>
    <cellStyle name="Normal 5 55 3 4" xfId="49894" xr:uid="{00000000-0005-0000-0000-0000087E0000}"/>
    <cellStyle name="Normal 5 55 4" xfId="17197" xr:uid="{00000000-0005-0000-0000-0000097E0000}"/>
    <cellStyle name="Normal 5 55 4 2" xfId="31329" xr:uid="{00000000-0005-0000-0000-00000A7E0000}"/>
    <cellStyle name="Normal 5 55 4 3" xfId="45224" xr:uid="{00000000-0005-0000-0000-00000B7E0000}"/>
    <cellStyle name="Normal 5 55 5" xfId="22010" xr:uid="{00000000-0005-0000-0000-00000C7E0000}"/>
    <cellStyle name="Normal 5 55 6" xfId="40642" xr:uid="{00000000-0005-0000-0000-00000D7E0000}"/>
    <cellStyle name="Normal 5 56" xfId="6657" xr:uid="{00000000-0005-0000-0000-00000E7E0000}"/>
    <cellStyle name="Normal 5 56 2" xfId="6658" xr:uid="{00000000-0005-0000-0000-00000F7E0000}"/>
    <cellStyle name="Normal 5 56 2 2" xfId="12469" xr:uid="{00000000-0005-0000-0000-0000107E0000}"/>
    <cellStyle name="Normal 5 56 2 2 2" xfId="35954" xr:uid="{00000000-0005-0000-0000-0000117E0000}"/>
    <cellStyle name="Normal 5 56 2 2 3" xfId="26635" xr:uid="{00000000-0005-0000-0000-0000127E0000}"/>
    <cellStyle name="Normal 5 56 2 2 4" xfId="49897" xr:uid="{00000000-0005-0000-0000-0000137E0000}"/>
    <cellStyle name="Normal 5 56 2 3" xfId="17200" xr:uid="{00000000-0005-0000-0000-0000147E0000}"/>
    <cellStyle name="Normal 5 56 2 3 2" xfId="31332" xr:uid="{00000000-0005-0000-0000-0000157E0000}"/>
    <cellStyle name="Normal 5 56 2 3 3" xfId="45227" xr:uid="{00000000-0005-0000-0000-0000167E0000}"/>
    <cellStyle name="Normal 5 56 2 4" xfId="22013" xr:uid="{00000000-0005-0000-0000-0000177E0000}"/>
    <cellStyle name="Normal 5 56 2 5" xfId="40645" xr:uid="{00000000-0005-0000-0000-0000187E0000}"/>
    <cellStyle name="Normal 5 56 3" xfId="12468" xr:uid="{00000000-0005-0000-0000-0000197E0000}"/>
    <cellStyle name="Normal 5 56 3 2" xfId="35953" xr:uid="{00000000-0005-0000-0000-00001A7E0000}"/>
    <cellStyle name="Normal 5 56 3 3" xfId="26634" xr:uid="{00000000-0005-0000-0000-00001B7E0000}"/>
    <cellStyle name="Normal 5 56 3 4" xfId="49896" xr:uid="{00000000-0005-0000-0000-00001C7E0000}"/>
    <cellStyle name="Normal 5 56 4" xfId="17199" xr:uid="{00000000-0005-0000-0000-00001D7E0000}"/>
    <cellStyle name="Normal 5 56 4 2" xfId="31331" xr:uid="{00000000-0005-0000-0000-00001E7E0000}"/>
    <cellStyle name="Normal 5 56 4 3" xfId="45226" xr:uid="{00000000-0005-0000-0000-00001F7E0000}"/>
    <cellStyle name="Normal 5 56 5" xfId="22012" xr:uid="{00000000-0005-0000-0000-0000207E0000}"/>
    <cellStyle name="Normal 5 56 6" xfId="40644" xr:uid="{00000000-0005-0000-0000-0000217E0000}"/>
    <cellStyle name="Normal 5 57" xfId="6659" xr:uid="{00000000-0005-0000-0000-0000227E0000}"/>
    <cellStyle name="Normal 5 57 2" xfId="6660" xr:uid="{00000000-0005-0000-0000-0000237E0000}"/>
    <cellStyle name="Normal 5 57 2 2" xfId="12471" xr:uid="{00000000-0005-0000-0000-0000247E0000}"/>
    <cellStyle name="Normal 5 57 2 2 2" xfId="35956" xr:uid="{00000000-0005-0000-0000-0000257E0000}"/>
    <cellStyle name="Normal 5 57 2 2 3" xfId="26637" xr:uid="{00000000-0005-0000-0000-0000267E0000}"/>
    <cellStyle name="Normal 5 57 2 2 4" xfId="49899" xr:uid="{00000000-0005-0000-0000-0000277E0000}"/>
    <cellStyle name="Normal 5 57 2 3" xfId="17202" xr:uid="{00000000-0005-0000-0000-0000287E0000}"/>
    <cellStyle name="Normal 5 57 2 3 2" xfId="31334" xr:uid="{00000000-0005-0000-0000-0000297E0000}"/>
    <cellStyle name="Normal 5 57 2 3 3" xfId="45229" xr:uid="{00000000-0005-0000-0000-00002A7E0000}"/>
    <cellStyle name="Normal 5 57 2 4" xfId="22015" xr:uid="{00000000-0005-0000-0000-00002B7E0000}"/>
    <cellStyle name="Normal 5 57 2 5" xfId="40647" xr:uid="{00000000-0005-0000-0000-00002C7E0000}"/>
    <cellStyle name="Normal 5 57 3" xfId="12470" xr:uid="{00000000-0005-0000-0000-00002D7E0000}"/>
    <cellStyle name="Normal 5 57 3 2" xfId="35955" xr:uid="{00000000-0005-0000-0000-00002E7E0000}"/>
    <cellStyle name="Normal 5 57 3 3" xfId="26636" xr:uid="{00000000-0005-0000-0000-00002F7E0000}"/>
    <cellStyle name="Normal 5 57 3 4" xfId="49898" xr:uid="{00000000-0005-0000-0000-0000307E0000}"/>
    <cellStyle name="Normal 5 57 4" xfId="17201" xr:uid="{00000000-0005-0000-0000-0000317E0000}"/>
    <cellStyle name="Normal 5 57 4 2" xfId="31333" xr:uid="{00000000-0005-0000-0000-0000327E0000}"/>
    <cellStyle name="Normal 5 57 4 3" xfId="45228" xr:uid="{00000000-0005-0000-0000-0000337E0000}"/>
    <cellStyle name="Normal 5 57 5" xfId="22014" xr:uid="{00000000-0005-0000-0000-0000347E0000}"/>
    <cellStyle name="Normal 5 57 6" xfId="40646" xr:uid="{00000000-0005-0000-0000-0000357E0000}"/>
    <cellStyle name="Normal 5 58" xfId="6661" xr:uid="{00000000-0005-0000-0000-0000367E0000}"/>
    <cellStyle name="Normal 5 58 2" xfId="6662" xr:uid="{00000000-0005-0000-0000-0000377E0000}"/>
    <cellStyle name="Normal 5 58 2 2" xfId="12473" xr:uid="{00000000-0005-0000-0000-0000387E0000}"/>
    <cellStyle name="Normal 5 58 2 2 2" xfId="35958" xr:uid="{00000000-0005-0000-0000-0000397E0000}"/>
    <cellStyle name="Normal 5 58 2 2 3" xfId="26639" xr:uid="{00000000-0005-0000-0000-00003A7E0000}"/>
    <cellStyle name="Normal 5 58 2 2 4" xfId="49901" xr:uid="{00000000-0005-0000-0000-00003B7E0000}"/>
    <cellStyle name="Normal 5 58 2 3" xfId="17204" xr:uid="{00000000-0005-0000-0000-00003C7E0000}"/>
    <cellStyle name="Normal 5 58 2 3 2" xfId="31336" xr:uid="{00000000-0005-0000-0000-00003D7E0000}"/>
    <cellStyle name="Normal 5 58 2 3 3" xfId="45231" xr:uid="{00000000-0005-0000-0000-00003E7E0000}"/>
    <cellStyle name="Normal 5 58 2 4" xfId="22017" xr:uid="{00000000-0005-0000-0000-00003F7E0000}"/>
    <cellStyle name="Normal 5 58 2 5" xfId="40649" xr:uid="{00000000-0005-0000-0000-0000407E0000}"/>
    <cellStyle name="Normal 5 58 3" xfId="12472" xr:uid="{00000000-0005-0000-0000-0000417E0000}"/>
    <cellStyle name="Normal 5 58 3 2" xfId="35957" xr:uid="{00000000-0005-0000-0000-0000427E0000}"/>
    <cellStyle name="Normal 5 58 3 3" xfId="26638" xr:uid="{00000000-0005-0000-0000-0000437E0000}"/>
    <cellStyle name="Normal 5 58 3 4" xfId="49900" xr:uid="{00000000-0005-0000-0000-0000447E0000}"/>
    <cellStyle name="Normal 5 58 4" xfId="17203" xr:uid="{00000000-0005-0000-0000-0000457E0000}"/>
    <cellStyle name="Normal 5 58 4 2" xfId="31335" xr:uid="{00000000-0005-0000-0000-0000467E0000}"/>
    <cellStyle name="Normal 5 58 4 3" xfId="45230" xr:uid="{00000000-0005-0000-0000-0000477E0000}"/>
    <cellStyle name="Normal 5 58 5" xfId="22016" xr:uid="{00000000-0005-0000-0000-0000487E0000}"/>
    <cellStyle name="Normal 5 58 6" xfId="40648" xr:uid="{00000000-0005-0000-0000-0000497E0000}"/>
    <cellStyle name="Normal 5 59" xfId="6663" xr:uid="{00000000-0005-0000-0000-00004A7E0000}"/>
    <cellStyle name="Normal 5 59 2" xfId="6664" xr:uid="{00000000-0005-0000-0000-00004B7E0000}"/>
    <cellStyle name="Normal 5 59 2 2" xfId="12475" xr:uid="{00000000-0005-0000-0000-00004C7E0000}"/>
    <cellStyle name="Normal 5 59 2 2 2" xfId="35960" xr:uid="{00000000-0005-0000-0000-00004D7E0000}"/>
    <cellStyle name="Normal 5 59 2 2 3" xfId="26641" xr:uid="{00000000-0005-0000-0000-00004E7E0000}"/>
    <cellStyle name="Normal 5 59 2 2 4" xfId="49903" xr:uid="{00000000-0005-0000-0000-00004F7E0000}"/>
    <cellStyle name="Normal 5 59 2 3" xfId="17206" xr:uid="{00000000-0005-0000-0000-0000507E0000}"/>
    <cellStyle name="Normal 5 59 2 3 2" xfId="31338" xr:uid="{00000000-0005-0000-0000-0000517E0000}"/>
    <cellStyle name="Normal 5 59 2 3 3" xfId="45233" xr:uid="{00000000-0005-0000-0000-0000527E0000}"/>
    <cellStyle name="Normal 5 59 2 4" xfId="22019" xr:uid="{00000000-0005-0000-0000-0000537E0000}"/>
    <cellStyle name="Normal 5 59 2 5" xfId="40651" xr:uid="{00000000-0005-0000-0000-0000547E0000}"/>
    <cellStyle name="Normal 5 59 3" xfId="12474" xr:uid="{00000000-0005-0000-0000-0000557E0000}"/>
    <cellStyle name="Normal 5 59 3 2" xfId="35959" xr:uid="{00000000-0005-0000-0000-0000567E0000}"/>
    <cellStyle name="Normal 5 59 3 3" xfId="26640" xr:uid="{00000000-0005-0000-0000-0000577E0000}"/>
    <cellStyle name="Normal 5 59 3 4" xfId="49902" xr:uid="{00000000-0005-0000-0000-0000587E0000}"/>
    <cellStyle name="Normal 5 59 4" xfId="17205" xr:uid="{00000000-0005-0000-0000-0000597E0000}"/>
    <cellStyle name="Normal 5 59 4 2" xfId="31337" xr:uid="{00000000-0005-0000-0000-00005A7E0000}"/>
    <cellStyle name="Normal 5 59 4 3" xfId="45232" xr:uid="{00000000-0005-0000-0000-00005B7E0000}"/>
    <cellStyle name="Normal 5 59 5" xfId="22018" xr:uid="{00000000-0005-0000-0000-00005C7E0000}"/>
    <cellStyle name="Normal 5 59 6" xfId="40650" xr:uid="{00000000-0005-0000-0000-00005D7E0000}"/>
    <cellStyle name="Normal 5 6" xfId="6665" xr:uid="{00000000-0005-0000-0000-00005E7E0000}"/>
    <cellStyle name="Normal 5 6 10" xfId="6666" xr:uid="{00000000-0005-0000-0000-00005F7E0000}"/>
    <cellStyle name="Normal 5 6 10 2" xfId="6667" xr:uid="{00000000-0005-0000-0000-0000607E0000}"/>
    <cellStyle name="Normal 5 6 10 2 2" xfId="12478" xr:uid="{00000000-0005-0000-0000-0000617E0000}"/>
    <cellStyle name="Normal 5 6 10 2 2 2" xfId="35963" xr:uid="{00000000-0005-0000-0000-0000627E0000}"/>
    <cellStyle name="Normal 5 6 10 2 2 3" xfId="26644" xr:uid="{00000000-0005-0000-0000-0000637E0000}"/>
    <cellStyle name="Normal 5 6 10 2 2 4" xfId="49906" xr:uid="{00000000-0005-0000-0000-0000647E0000}"/>
    <cellStyle name="Normal 5 6 10 2 3" xfId="17209" xr:uid="{00000000-0005-0000-0000-0000657E0000}"/>
    <cellStyle name="Normal 5 6 10 2 3 2" xfId="31341" xr:uid="{00000000-0005-0000-0000-0000667E0000}"/>
    <cellStyle name="Normal 5 6 10 2 3 3" xfId="45236" xr:uid="{00000000-0005-0000-0000-0000677E0000}"/>
    <cellStyle name="Normal 5 6 10 2 4" xfId="22022" xr:uid="{00000000-0005-0000-0000-0000687E0000}"/>
    <cellStyle name="Normal 5 6 10 2 5" xfId="40654" xr:uid="{00000000-0005-0000-0000-0000697E0000}"/>
    <cellStyle name="Normal 5 6 10 3" xfId="12477" xr:uid="{00000000-0005-0000-0000-00006A7E0000}"/>
    <cellStyle name="Normal 5 6 10 3 2" xfId="35962" xr:uid="{00000000-0005-0000-0000-00006B7E0000}"/>
    <cellStyle name="Normal 5 6 10 3 3" xfId="26643" xr:uid="{00000000-0005-0000-0000-00006C7E0000}"/>
    <cellStyle name="Normal 5 6 10 3 4" xfId="49905" xr:uid="{00000000-0005-0000-0000-00006D7E0000}"/>
    <cellStyle name="Normal 5 6 10 4" xfId="17208" xr:uid="{00000000-0005-0000-0000-00006E7E0000}"/>
    <cellStyle name="Normal 5 6 10 4 2" xfId="31340" xr:uid="{00000000-0005-0000-0000-00006F7E0000}"/>
    <cellStyle name="Normal 5 6 10 4 3" xfId="45235" xr:uid="{00000000-0005-0000-0000-0000707E0000}"/>
    <cellStyle name="Normal 5 6 10 5" xfId="22021" xr:uid="{00000000-0005-0000-0000-0000717E0000}"/>
    <cellStyle name="Normal 5 6 10 6" xfId="40653" xr:uid="{00000000-0005-0000-0000-0000727E0000}"/>
    <cellStyle name="Normal 5 6 11" xfId="6668" xr:uid="{00000000-0005-0000-0000-0000737E0000}"/>
    <cellStyle name="Normal 5 6 11 2" xfId="12479" xr:uid="{00000000-0005-0000-0000-0000747E0000}"/>
    <cellStyle name="Normal 5 6 11 2 2" xfId="35964" xr:uid="{00000000-0005-0000-0000-0000757E0000}"/>
    <cellStyle name="Normal 5 6 11 2 3" xfId="26645" xr:uid="{00000000-0005-0000-0000-0000767E0000}"/>
    <cellStyle name="Normal 5 6 11 2 4" xfId="49907" xr:uid="{00000000-0005-0000-0000-0000777E0000}"/>
    <cellStyle name="Normal 5 6 11 3" xfId="17210" xr:uid="{00000000-0005-0000-0000-0000787E0000}"/>
    <cellStyle name="Normal 5 6 11 3 2" xfId="31342" xr:uid="{00000000-0005-0000-0000-0000797E0000}"/>
    <cellStyle name="Normal 5 6 11 3 3" xfId="45237" xr:uid="{00000000-0005-0000-0000-00007A7E0000}"/>
    <cellStyle name="Normal 5 6 11 4" xfId="22023" xr:uid="{00000000-0005-0000-0000-00007B7E0000}"/>
    <cellStyle name="Normal 5 6 11 5" xfId="40655" xr:uid="{00000000-0005-0000-0000-00007C7E0000}"/>
    <cellStyle name="Normal 5 6 12" xfId="12476" xr:uid="{00000000-0005-0000-0000-00007D7E0000}"/>
    <cellStyle name="Normal 5 6 12 2" xfId="35961" xr:uid="{00000000-0005-0000-0000-00007E7E0000}"/>
    <cellStyle name="Normal 5 6 12 3" xfId="26642" xr:uid="{00000000-0005-0000-0000-00007F7E0000}"/>
    <cellStyle name="Normal 5 6 12 4" xfId="49904" xr:uid="{00000000-0005-0000-0000-0000807E0000}"/>
    <cellStyle name="Normal 5 6 13" xfId="17207" xr:uid="{00000000-0005-0000-0000-0000817E0000}"/>
    <cellStyle name="Normal 5 6 13 2" xfId="31339" xr:uid="{00000000-0005-0000-0000-0000827E0000}"/>
    <cellStyle name="Normal 5 6 13 3" xfId="45234" xr:uid="{00000000-0005-0000-0000-0000837E0000}"/>
    <cellStyle name="Normal 5 6 14" xfId="22020" xr:uid="{00000000-0005-0000-0000-0000847E0000}"/>
    <cellStyle name="Normal 5 6 15" xfId="40652" xr:uid="{00000000-0005-0000-0000-0000857E0000}"/>
    <cellStyle name="Normal 5 6 2" xfId="6669" xr:uid="{00000000-0005-0000-0000-0000867E0000}"/>
    <cellStyle name="Normal 5 6 2 2" xfId="6670" xr:uid="{00000000-0005-0000-0000-0000877E0000}"/>
    <cellStyle name="Normal 5 6 2 2 2" xfId="12481" xr:uid="{00000000-0005-0000-0000-0000887E0000}"/>
    <cellStyle name="Normal 5 6 2 2 2 2" xfId="35966" xr:uid="{00000000-0005-0000-0000-0000897E0000}"/>
    <cellStyle name="Normal 5 6 2 2 2 3" xfId="26647" xr:uid="{00000000-0005-0000-0000-00008A7E0000}"/>
    <cellStyle name="Normal 5 6 2 2 2 4" xfId="49909" xr:uid="{00000000-0005-0000-0000-00008B7E0000}"/>
    <cellStyle name="Normal 5 6 2 2 3" xfId="17212" xr:uid="{00000000-0005-0000-0000-00008C7E0000}"/>
    <cellStyle name="Normal 5 6 2 2 3 2" xfId="31344" xr:uid="{00000000-0005-0000-0000-00008D7E0000}"/>
    <cellStyle name="Normal 5 6 2 2 3 3" xfId="45239" xr:uid="{00000000-0005-0000-0000-00008E7E0000}"/>
    <cellStyle name="Normal 5 6 2 2 4" xfId="22025" xr:uid="{00000000-0005-0000-0000-00008F7E0000}"/>
    <cellStyle name="Normal 5 6 2 2 5" xfId="40657" xr:uid="{00000000-0005-0000-0000-0000907E0000}"/>
    <cellStyle name="Normal 5 6 2 3" xfId="12480" xr:uid="{00000000-0005-0000-0000-0000917E0000}"/>
    <cellStyle name="Normal 5 6 2 3 2" xfId="35965" xr:uid="{00000000-0005-0000-0000-0000927E0000}"/>
    <cellStyle name="Normal 5 6 2 3 3" xfId="26646" xr:uid="{00000000-0005-0000-0000-0000937E0000}"/>
    <cellStyle name="Normal 5 6 2 3 4" xfId="49908" xr:uid="{00000000-0005-0000-0000-0000947E0000}"/>
    <cellStyle name="Normal 5 6 2 4" xfId="17211" xr:uid="{00000000-0005-0000-0000-0000957E0000}"/>
    <cellStyle name="Normal 5 6 2 4 2" xfId="31343" xr:uid="{00000000-0005-0000-0000-0000967E0000}"/>
    <cellStyle name="Normal 5 6 2 4 3" xfId="45238" xr:uid="{00000000-0005-0000-0000-0000977E0000}"/>
    <cellStyle name="Normal 5 6 2 5" xfId="22024" xr:uid="{00000000-0005-0000-0000-0000987E0000}"/>
    <cellStyle name="Normal 5 6 2 6" xfId="40656" xr:uid="{00000000-0005-0000-0000-0000997E0000}"/>
    <cellStyle name="Normal 5 6 3" xfId="6671" xr:uid="{00000000-0005-0000-0000-00009A7E0000}"/>
    <cellStyle name="Normal 5 6 3 2" xfId="6672" xr:uid="{00000000-0005-0000-0000-00009B7E0000}"/>
    <cellStyle name="Normal 5 6 3 2 2" xfId="12483" xr:uid="{00000000-0005-0000-0000-00009C7E0000}"/>
    <cellStyle name="Normal 5 6 3 2 2 2" xfId="35968" xr:uid="{00000000-0005-0000-0000-00009D7E0000}"/>
    <cellStyle name="Normal 5 6 3 2 2 3" xfId="26649" xr:uid="{00000000-0005-0000-0000-00009E7E0000}"/>
    <cellStyle name="Normal 5 6 3 2 2 4" xfId="49911" xr:uid="{00000000-0005-0000-0000-00009F7E0000}"/>
    <cellStyle name="Normal 5 6 3 2 3" xfId="17214" xr:uid="{00000000-0005-0000-0000-0000A07E0000}"/>
    <cellStyle name="Normal 5 6 3 2 3 2" xfId="31346" xr:uid="{00000000-0005-0000-0000-0000A17E0000}"/>
    <cellStyle name="Normal 5 6 3 2 3 3" xfId="45241" xr:uid="{00000000-0005-0000-0000-0000A27E0000}"/>
    <cellStyle name="Normal 5 6 3 2 4" xfId="22027" xr:uid="{00000000-0005-0000-0000-0000A37E0000}"/>
    <cellStyle name="Normal 5 6 3 2 5" xfId="40659" xr:uid="{00000000-0005-0000-0000-0000A47E0000}"/>
    <cellStyle name="Normal 5 6 3 3" xfId="12482" xr:uid="{00000000-0005-0000-0000-0000A57E0000}"/>
    <cellStyle name="Normal 5 6 3 3 2" xfId="35967" xr:uid="{00000000-0005-0000-0000-0000A67E0000}"/>
    <cellStyle name="Normal 5 6 3 3 3" xfId="26648" xr:uid="{00000000-0005-0000-0000-0000A77E0000}"/>
    <cellStyle name="Normal 5 6 3 3 4" xfId="49910" xr:uid="{00000000-0005-0000-0000-0000A87E0000}"/>
    <cellStyle name="Normal 5 6 3 4" xfId="17213" xr:uid="{00000000-0005-0000-0000-0000A97E0000}"/>
    <cellStyle name="Normal 5 6 3 4 2" xfId="31345" xr:uid="{00000000-0005-0000-0000-0000AA7E0000}"/>
    <cellStyle name="Normal 5 6 3 4 3" xfId="45240" xr:uid="{00000000-0005-0000-0000-0000AB7E0000}"/>
    <cellStyle name="Normal 5 6 3 5" xfId="22026" xr:uid="{00000000-0005-0000-0000-0000AC7E0000}"/>
    <cellStyle name="Normal 5 6 3 6" xfId="40658" xr:uid="{00000000-0005-0000-0000-0000AD7E0000}"/>
    <cellStyle name="Normal 5 6 4" xfId="6673" xr:uid="{00000000-0005-0000-0000-0000AE7E0000}"/>
    <cellStyle name="Normal 5 6 4 2" xfId="6674" xr:uid="{00000000-0005-0000-0000-0000AF7E0000}"/>
    <cellStyle name="Normal 5 6 4 2 2" xfId="12485" xr:uid="{00000000-0005-0000-0000-0000B07E0000}"/>
    <cellStyle name="Normal 5 6 4 2 2 2" xfId="35970" xr:uid="{00000000-0005-0000-0000-0000B17E0000}"/>
    <cellStyle name="Normal 5 6 4 2 2 3" xfId="26651" xr:uid="{00000000-0005-0000-0000-0000B27E0000}"/>
    <cellStyle name="Normal 5 6 4 2 2 4" xfId="49913" xr:uid="{00000000-0005-0000-0000-0000B37E0000}"/>
    <cellStyle name="Normal 5 6 4 2 3" xfId="17216" xr:uid="{00000000-0005-0000-0000-0000B47E0000}"/>
    <cellStyle name="Normal 5 6 4 2 3 2" xfId="31348" xr:uid="{00000000-0005-0000-0000-0000B57E0000}"/>
    <cellStyle name="Normal 5 6 4 2 3 3" xfId="45243" xr:uid="{00000000-0005-0000-0000-0000B67E0000}"/>
    <cellStyle name="Normal 5 6 4 2 4" xfId="22029" xr:uid="{00000000-0005-0000-0000-0000B77E0000}"/>
    <cellStyle name="Normal 5 6 4 2 5" xfId="40661" xr:uid="{00000000-0005-0000-0000-0000B87E0000}"/>
    <cellStyle name="Normal 5 6 4 3" xfId="12484" xr:uid="{00000000-0005-0000-0000-0000B97E0000}"/>
    <cellStyle name="Normal 5 6 4 3 2" xfId="35969" xr:uid="{00000000-0005-0000-0000-0000BA7E0000}"/>
    <cellStyle name="Normal 5 6 4 3 3" xfId="26650" xr:uid="{00000000-0005-0000-0000-0000BB7E0000}"/>
    <cellStyle name="Normal 5 6 4 3 4" xfId="49912" xr:uid="{00000000-0005-0000-0000-0000BC7E0000}"/>
    <cellStyle name="Normal 5 6 4 4" xfId="17215" xr:uid="{00000000-0005-0000-0000-0000BD7E0000}"/>
    <cellStyle name="Normal 5 6 4 4 2" xfId="31347" xr:uid="{00000000-0005-0000-0000-0000BE7E0000}"/>
    <cellStyle name="Normal 5 6 4 4 3" xfId="45242" xr:uid="{00000000-0005-0000-0000-0000BF7E0000}"/>
    <cellStyle name="Normal 5 6 4 5" xfId="22028" xr:uid="{00000000-0005-0000-0000-0000C07E0000}"/>
    <cellStyle name="Normal 5 6 4 6" xfId="40660" xr:uid="{00000000-0005-0000-0000-0000C17E0000}"/>
    <cellStyle name="Normal 5 6 5" xfId="6675" xr:uid="{00000000-0005-0000-0000-0000C27E0000}"/>
    <cellStyle name="Normal 5 6 5 2" xfId="6676" xr:uid="{00000000-0005-0000-0000-0000C37E0000}"/>
    <cellStyle name="Normal 5 6 5 2 2" xfId="12487" xr:uid="{00000000-0005-0000-0000-0000C47E0000}"/>
    <cellStyle name="Normal 5 6 5 2 2 2" xfId="35972" xr:uid="{00000000-0005-0000-0000-0000C57E0000}"/>
    <cellStyle name="Normal 5 6 5 2 2 3" xfId="26653" xr:uid="{00000000-0005-0000-0000-0000C67E0000}"/>
    <cellStyle name="Normal 5 6 5 2 2 4" xfId="49915" xr:uid="{00000000-0005-0000-0000-0000C77E0000}"/>
    <cellStyle name="Normal 5 6 5 2 3" xfId="17218" xr:uid="{00000000-0005-0000-0000-0000C87E0000}"/>
    <cellStyle name="Normal 5 6 5 2 3 2" xfId="31350" xr:uid="{00000000-0005-0000-0000-0000C97E0000}"/>
    <cellStyle name="Normal 5 6 5 2 3 3" xfId="45245" xr:uid="{00000000-0005-0000-0000-0000CA7E0000}"/>
    <cellStyle name="Normal 5 6 5 2 4" xfId="22031" xr:uid="{00000000-0005-0000-0000-0000CB7E0000}"/>
    <cellStyle name="Normal 5 6 5 2 5" xfId="40663" xr:uid="{00000000-0005-0000-0000-0000CC7E0000}"/>
    <cellStyle name="Normal 5 6 5 3" xfId="12486" xr:uid="{00000000-0005-0000-0000-0000CD7E0000}"/>
    <cellStyle name="Normal 5 6 5 3 2" xfId="35971" xr:uid="{00000000-0005-0000-0000-0000CE7E0000}"/>
    <cellStyle name="Normal 5 6 5 3 3" xfId="26652" xr:uid="{00000000-0005-0000-0000-0000CF7E0000}"/>
    <cellStyle name="Normal 5 6 5 3 4" xfId="49914" xr:uid="{00000000-0005-0000-0000-0000D07E0000}"/>
    <cellStyle name="Normal 5 6 5 4" xfId="17217" xr:uid="{00000000-0005-0000-0000-0000D17E0000}"/>
    <cellStyle name="Normal 5 6 5 4 2" xfId="31349" xr:uid="{00000000-0005-0000-0000-0000D27E0000}"/>
    <cellStyle name="Normal 5 6 5 4 3" xfId="45244" xr:uid="{00000000-0005-0000-0000-0000D37E0000}"/>
    <cellStyle name="Normal 5 6 5 5" xfId="22030" xr:uid="{00000000-0005-0000-0000-0000D47E0000}"/>
    <cellStyle name="Normal 5 6 5 6" xfId="40662" xr:uid="{00000000-0005-0000-0000-0000D57E0000}"/>
    <cellStyle name="Normal 5 6 6" xfId="6677" xr:uid="{00000000-0005-0000-0000-0000D67E0000}"/>
    <cellStyle name="Normal 5 6 6 2" xfId="6678" xr:uid="{00000000-0005-0000-0000-0000D77E0000}"/>
    <cellStyle name="Normal 5 6 6 2 2" xfId="12489" xr:uid="{00000000-0005-0000-0000-0000D87E0000}"/>
    <cellStyle name="Normal 5 6 6 2 2 2" xfId="35974" xr:uid="{00000000-0005-0000-0000-0000D97E0000}"/>
    <cellStyle name="Normal 5 6 6 2 2 3" xfId="26655" xr:uid="{00000000-0005-0000-0000-0000DA7E0000}"/>
    <cellStyle name="Normal 5 6 6 2 2 4" xfId="49917" xr:uid="{00000000-0005-0000-0000-0000DB7E0000}"/>
    <cellStyle name="Normal 5 6 6 2 3" xfId="17220" xr:uid="{00000000-0005-0000-0000-0000DC7E0000}"/>
    <cellStyle name="Normal 5 6 6 2 3 2" xfId="31352" xr:uid="{00000000-0005-0000-0000-0000DD7E0000}"/>
    <cellStyle name="Normal 5 6 6 2 3 3" xfId="45247" xr:uid="{00000000-0005-0000-0000-0000DE7E0000}"/>
    <cellStyle name="Normal 5 6 6 2 4" xfId="22033" xr:uid="{00000000-0005-0000-0000-0000DF7E0000}"/>
    <cellStyle name="Normal 5 6 6 2 5" xfId="40665" xr:uid="{00000000-0005-0000-0000-0000E07E0000}"/>
    <cellStyle name="Normal 5 6 6 3" xfId="12488" xr:uid="{00000000-0005-0000-0000-0000E17E0000}"/>
    <cellStyle name="Normal 5 6 6 3 2" xfId="35973" xr:uid="{00000000-0005-0000-0000-0000E27E0000}"/>
    <cellStyle name="Normal 5 6 6 3 3" xfId="26654" xr:uid="{00000000-0005-0000-0000-0000E37E0000}"/>
    <cellStyle name="Normal 5 6 6 3 4" xfId="49916" xr:uid="{00000000-0005-0000-0000-0000E47E0000}"/>
    <cellStyle name="Normal 5 6 6 4" xfId="17219" xr:uid="{00000000-0005-0000-0000-0000E57E0000}"/>
    <cellStyle name="Normal 5 6 6 4 2" xfId="31351" xr:uid="{00000000-0005-0000-0000-0000E67E0000}"/>
    <cellStyle name="Normal 5 6 6 4 3" xfId="45246" xr:uid="{00000000-0005-0000-0000-0000E77E0000}"/>
    <cellStyle name="Normal 5 6 6 5" xfId="22032" xr:uid="{00000000-0005-0000-0000-0000E87E0000}"/>
    <cellStyle name="Normal 5 6 6 6" xfId="40664" xr:uid="{00000000-0005-0000-0000-0000E97E0000}"/>
    <cellStyle name="Normal 5 6 7" xfId="6679" xr:uid="{00000000-0005-0000-0000-0000EA7E0000}"/>
    <cellStyle name="Normal 5 6 7 2" xfId="6680" xr:uid="{00000000-0005-0000-0000-0000EB7E0000}"/>
    <cellStyle name="Normal 5 6 7 2 2" xfId="12491" xr:uid="{00000000-0005-0000-0000-0000EC7E0000}"/>
    <cellStyle name="Normal 5 6 7 2 2 2" xfId="35976" xr:uid="{00000000-0005-0000-0000-0000ED7E0000}"/>
    <cellStyle name="Normal 5 6 7 2 2 3" xfId="26657" xr:uid="{00000000-0005-0000-0000-0000EE7E0000}"/>
    <cellStyle name="Normal 5 6 7 2 2 4" xfId="49919" xr:uid="{00000000-0005-0000-0000-0000EF7E0000}"/>
    <cellStyle name="Normal 5 6 7 2 3" xfId="17222" xr:uid="{00000000-0005-0000-0000-0000F07E0000}"/>
    <cellStyle name="Normal 5 6 7 2 3 2" xfId="31354" xr:uid="{00000000-0005-0000-0000-0000F17E0000}"/>
    <cellStyle name="Normal 5 6 7 2 3 3" xfId="45249" xr:uid="{00000000-0005-0000-0000-0000F27E0000}"/>
    <cellStyle name="Normal 5 6 7 2 4" xfId="22035" xr:uid="{00000000-0005-0000-0000-0000F37E0000}"/>
    <cellStyle name="Normal 5 6 7 2 5" xfId="40667" xr:uid="{00000000-0005-0000-0000-0000F47E0000}"/>
    <cellStyle name="Normal 5 6 7 3" xfId="12490" xr:uid="{00000000-0005-0000-0000-0000F57E0000}"/>
    <cellStyle name="Normal 5 6 7 3 2" xfId="35975" xr:uid="{00000000-0005-0000-0000-0000F67E0000}"/>
    <cellStyle name="Normal 5 6 7 3 3" xfId="26656" xr:uid="{00000000-0005-0000-0000-0000F77E0000}"/>
    <cellStyle name="Normal 5 6 7 3 4" xfId="49918" xr:uid="{00000000-0005-0000-0000-0000F87E0000}"/>
    <cellStyle name="Normal 5 6 7 4" xfId="17221" xr:uid="{00000000-0005-0000-0000-0000F97E0000}"/>
    <cellStyle name="Normal 5 6 7 4 2" xfId="31353" xr:uid="{00000000-0005-0000-0000-0000FA7E0000}"/>
    <cellStyle name="Normal 5 6 7 4 3" xfId="45248" xr:uid="{00000000-0005-0000-0000-0000FB7E0000}"/>
    <cellStyle name="Normal 5 6 7 5" xfId="22034" xr:uid="{00000000-0005-0000-0000-0000FC7E0000}"/>
    <cellStyle name="Normal 5 6 7 6" xfId="40666" xr:uid="{00000000-0005-0000-0000-0000FD7E0000}"/>
    <cellStyle name="Normal 5 6 8" xfId="6681" xr:uid="{00000000-0005-0000-0000-0000FE7E0000}"/>
    <cellStyle name="Normal 5 6 8 2" xfId="6682" xr:uid="{00000000-0005-0000-0000-0000FF7E0000}"/>
    <cellStyle name="Normal 5 6 8 2 2" xfId="12493" xr:uid="{00000000-0005-0000-0000-0000007F0000}"/>
    <cellStyle name="Normal 5 6 8 2 2 2" xfId="35978" xr:uid="{00000000-0005-0000-0000-0000017F0000}"/>
    <cellStyle name="Normal 5 6 8 2 2 3" xfId="26659" xr:uid="{00000000-0005-0000-0000-0000027F0000}"/>
    <cellStyle name="Normal 5 6 8 2 2 4" xfId="49921" xr:uid="{00000000-0005-0000-0000-0000037F0000}"/>
    <cellStyle name="Normal 5 6 8 2 3" xfId="17224" xr:uid="{00000000-0005-0000-0000-0000047F0000}"/>
    <cellStyle name="Normal 5 6 8 2 3 2" xfId="31356" xr:uid="{00000000-0005-0000-0000-0000057F0000}"/>
    <cellStyle name="Normal 5 6 8 2 3 3" xfId="45251" xr:uid="{00000000-0005-0000-0000-0000067F0000}"/>
    <cellStyle name="Normal 5 6 8 2 4" xfId="22037" xr:uid="{00000000-0005-0000-0000-0000077F0000}"/>
    <cellStyle name="Normal 5 6 8 2 5" xfId="40669" xr:uid="{00000000-0005-0000-0000-0000087F0000}"/>
    <cellStyle name="Normal 5 6 8 3" xfId="12492" xr:uid="{00000000-0005-0000-0000-0000097F0000}"/>
    <cellStyle name="Normal 5 6 8 3 2" xfId="35977" xr:uid="{00000000-0005-0000-0000-00000A7F0000}"/>
    <cellStyle name="Normal 5 6 8 3 3" xfId="26658" xr:uid="{00000000-0005-0000-0000-00000B7F0000}"/>
    <cellStyle name="Normal 5 6 8 3 4" xfId="49920" xr:uid="{00000000-0005-0000-0000-00000C7F0000}"/>
    <cellStyle name="Normal 5 6 8 4" xfId="17223" xr:uid="{00000000-0005-0000-0000-00000D7F0000}"/>
    <cellStyle name="Normal 5 6 8 4 2" xfId="31355" xr:uid="{00000000-0005-0000-0000-00000E7F0000}"/>
    <cellStyle name="Normal 5 6 8 4 3" xfId="45250" xr:uid="{00000000-0005-0000-0000-00000F7F0000}"/>
    <cellStyle name="Normal 5 6 8 5" xfId="22036" xr:uid="{00000000-0005-0000-0000-0000107F0000}"/>
    <cellStyle name="Normal 5 6 8 6" xfId="40668" xr:uid="{00000000-0005-0000-0000-0000117F0000}"/>
    <cellStyle name="Normal 5 6 9" xfId="6683" xr:uid="{00000000-0005-0000-0000-0000127F0000}"/>
    <cellStyle name="Normal 5 6 9 2" xfId="6684" xr:uid="{00000000-0005-0000-0000-0000137F0000}"/>
    <cellStyle name="Normal 5 6 9 2 2" xfId="12495" xr:uid="{00000000-0005-0000-0000-0000147F0000}"/>
    <cellStyle name="Normal 5 6 9 2 2 2" xfId="35980" xr:uid="{00000000-0005-0000-0000-0000157F0000}"/>
    <cellStyle name="Normal 5 6 9 2 2 3" xfId="26661" xr:uid="{00000000-0005-0000-0000-0000167F0000}"/>
    <cellStyle name="Normal 5 6 9 2 2 4" xfId="49923" xr:uid="{00000000-0005-0000-0000-0000177F0000}"/>
    <cellStyle name="Normal 5 6 9 2 3" xfId="17226" xr:uid="{00000000-0005-0000-0000-0000187F0000}"/>
    <cellStyle name="Normal 5 6 9 2 3 2" xfId="31358" xr:uid="{00000000-0005-0000-0000-0000197F0000}"/>
    <cellStyle name="Normal 5 6 9 2 3 3" xfId="45253" xr:uid="{00000000-0005-0000-0000-00001A7F0000}"/>
    <cellStyle name="Normal 5 6 9 2 4" xfId="22039" xr:uid="{00000000-0005-0000-0000-00001B7F0000}"/>
    <cellStyle name="Normal 5 6 9 2 5" xfId="40671" xr:uid="{00000000-0005-0000-0000-00001C7F0000}"/>
    <cellStyle name="Normal 5 6 9 3" xfId="12494" xr:uid="{00000000-0005-0000-0000-00001D7F0000}"/>
    <cellStyle name="Normal 5 6 9 3 2" xfId="35979" xr:uid="{00000000-0005-0000-0000-00001E7F0000}"/>
    <cellStyle name="Normal 5 6 9 3 3" xfId="26660" xr:uid="{00000000-0005-0000-0000-00001F7F0000}"/>
    <cellStyle name="Normal 5 6 9 3 4" xfId="49922" xr:uid="{00000000-0005-0000-0000-0000207F0000}"/>
    <cellStyle name="Normal 5 6 9 4" xfId="17225" xr:uid="{00000000-0005-0000-0000-0000217F0000}"/>
    <cellStyle name="Normal 5 6 9 4 2" xfId="31357" xr:uid="{00000000-0005-0000-0000-0000227F0000}"/>
    <cellStyle name="Normal 5 6 9 4 3" xfId="45252" xr:uid="{00000000-0005-0000-0000-0000237F0000}"/>
    <cellStyle name="Normal 5 6 9 5" xfId="22038" xr:uid="{00000000-0005-0000-0000-0000247F0000}"/>
    <cellStyle name="Normal 5 6 9 6" xfId="40670" xr:uid="{00000000-0005-0000-0000-0000257F0000}"/>
    <cellStyle name="Normal 5 60" xfId="6685" xr:uid="{00000000-0005-0000-0000-0000267F0000}"/>
    <cellStyle name="Normal 5 60 2" xfId="6686" xr:uid="{00000000-0005-0000-0000-0000277F0000}"/>
    <cellStyle name="Normal 5 60 2 2" xfId="12497" xr:uid="{00000000-0005-0000-0000-0000287F0000}"/>
    <cellStyle name="Normal 5 60 2 2 2" xfId="35982" xr:uid="{00000000-0005-0000-0000-0000297F0000}"/>
    <cellStyle name="Normal 5 60 2 2 3" xfId="26663" xr:uid="{00000000-0005-0000-0000-00002A7F0000}"/>
    <cellStyle name="Normal 5 60 2 2 4" xfId="49925" xr:uid="{00000000-0005-0000-0000-00002B7F0000}"/>
    <cellStyle name="Normal 5 60 2 3" xfId="17228" xr:uid="{00000000-0005-0000-0000-00002C7F0000}"/>
    <cellStyle name="Normal 5 60 2 3 2" xfId="31360" xr:uid="{00000000-0005-0000-0000-00002D7F0000}"/>
    <cellStyle name="Normal 5 60 2 3 3" xfId="45255" xr:uid="{00000000-0005-0000-0000-00002E7F0000}"/>
    <cellStyle name="Normal 5 60 2 4" xfId="22041" xr:uid="{00000000-0005-0000-0000-00002F7F0000}"/>
    <cellStyle name="Normal 5 60 2 5" xfId="40673" xr:uid="{00000000-0005-0000-0000-0000307F0000}"/>
    <cellStyle name="Normal 5 60 3" xfId="12496" xr:uid="{00000000-0005-0000-0000-0000317F0000}"/>
    <cellStyle name="Normal 5 60 3 2" xfId="35981" xr:uid="{00000000-0005-0000-0000-0000327F0000}"/>
    <cellStyle name="Normal 5 60 3 3" xfId="26662" xr:uid="{00000000-0005-0000-0000-0000337F0000}"/>
    <cellStyle name="Normal 5 60 3 4" xfId="49924" xr:uid="{00000000-0005-0000-0000-0000347F0000}"/>
    <cellStyle name="Normal 5 60 4" xfId="17227" xr:uid="{00000000-0005-0000-0000-0000357F0000}"/>
    <cellStyle name="Normal 5 60 4 2" xfId="31359" xr:uid="{00000000-0005-0000-0000-0000367F0000}"/>
    <cellStyle name="Normal 5 60 4 3" xfId="45254" xr:uid="{00000000-0005-0000-0000-0000377F0000}"/>
    <cellStyle name="Normal 5 60 5" xfId="22040" xr:uid="{00000000-0005-0000-0000-0000387F0000}"/>
    <cellStyle name="Normal 5 60 6" xfId="40672" xr:uid="{00000000-0005-0000-0000-0000397F0000}"/>
    <cellStyle name="Normal 5 61" xfId="6687" xr:uid="{00000000-0005-0000-0000-00003A7F0000}"/>
    <cellStyle name="Normal 5 61 2" xfId="6688" xr:uid="{00000000-0005-0000-0000-00003B7F0000}"/>
    <cellStyle name="Normal 5 61 2 2" xfId="12499" xr:uid="{00000000-0005-0000-0000-00003C7F0000}"/>
    <cellStyle name="Normal 5 61 2 2 2" xfId="35984" xr:uid="{00000000-0005-0000-0000-00003D7F0000}"/>
    <cellStyle name="Normal 5 61 2 2 3" xfId="26665" xr:uid="{00000000-0005-0000-0000-00003E7F0000}"/>
    <cellStyle name="Normal 5 61 2 2 4" xfId="49927" xr:uid="{00000000-0005-0000-0000-00003F7F0000}"/>
    <cellStyle name="Normal 5 61 2 3" xfId="17230" xr:uid="{00000000-0005-0000-0000-0000407F0000}"/>
    <cellStyle name="Normal 5 61 2 3 2" xfId="31362" xr:uid="{00000000-0005-0000-0000-0000417F0000}"/>
    <cellStyle name="Normal 5 61 2 3 3" xfId="45257" xr:uid="{00000000-0005-0000-0000-0000427F0000}"/>
    <cellStyle name="Normal 5 61 2 4" xfId="22043" xr:uid="{00000000-0005-0000-0000-0000437F0000}"/>
    <cellStyle name="Normal 5 61 2 5" xfId="40675" xr:uid="{00000000-0005-0000-0000-0000447F0000}"/>
    <cellStyle name="Normal 5 61 3" xfId="12498" xr:uid="{00000000-0005-0000-0000-0000457F0000}"/>
    <cellStyle name="Normal 5 61 3 2" xfId="35983" xr:uid="{00000000-0005-0000-0000-0000467F0000}"/>
    <cellStyle name="Normal 5 61 3 3" xfId="26664" xr:uid="{00000000-0005-0000-0000-0000477F0000}"/>
    <cellStyle name="Normal 5 61 3 4" xfId="49926" xr:uid="{00000000-0005-0000-0000-0000487F0000}"/>
    <cellStyle name="Normal 5 61 4" xfId="17229" xr:uid="{00000000-0005-0000-0000-0000497F0000}"/>
    <cellStyle name="Normal 5 61 4 2" xfId="31361" xr:uid="{00000000-0005-0000-0000-00004A7F0000}"/>
    <cellStyle name="Normal 5 61 4 3" xfId="45256" xr:uid="{00000000-0005-0000-0000-00004B7F0000}"/>
    <cellStyle name="Normal 5 61 5" xfId="22042" xr:uid="{00000000-0005-0000-0000-00004C7F0000}"/>
    <cellStyle name="Normal 5 61 6" xfId="40674" xr:uid="{00000000-0005-0000-0000-00004D7F0000}"/>
    <cellStyle name="Normal 5 62" xfId="6689" xr:uid="{00000000-0005-0000-0000-00004E7F0000}"/>
    <cellStyle name="Normal 5 62 2" xfId="6690" xr:uid="{00000000-0005-0000-0000-00004F7F0000}"/>
    <cellStyle name="Normal 5 62 2 2" xfId="12501" xr:uid="{00000000-0005-0000-0000-0000507F0000}"/>
    <cellStyle name="Normal 5 62 2 2 2" xfId="35986" xr:uid="{00000000-0005-0000-0000-0000517F0000}"/>
    <cellStyle name="Normal 5 62 2 2 3" xfId="26667" xr:uid="{00000000-0005-0000-0000-0000527F0000}"/>
    <cellStyle name="Normal 5 62 2 2 4" xfId="49929" xr:uid="{00000000-0005-0000-0000-0000537F0000}"/>
    <cellStyle name="Normal 5 62 2 3" xfId="17232" xr:uid="{00000000-0005-0000-0000-0000547F0000}"/>
    <cellStyle name="Normal 5 62 2 3 2" xfId="31364" xr:uid="{00000000-0005-0000-0000-0000557F0000}"/>
    <cellStyle name="Normal 5 62 2 3 3" xfId="45259" xr:uid="{00000000-0005-0000-0000-0000567F0000}"/>
    <cellStyle name="Normal 5 62 2 4" xfId="22045" xr:uid="{00000000-0005-0000-0000-0000577F0000}"/>
    <cellStyle name="Normal 5 62 2 5" xfId="40677" xr:uid="{00000000-0005-0000-0000-0000587F0000}"/>
    <cellStyle name="Normal 5 62 3" xfId="12500" xr:uid="{00000000-0005-0000-0000-0000597F0000}"/>
    <cellStyle name="Normal 5 62 3 2" xfId="35985" xr:uid="{00000000-0005-0000-0000-00005A7F0000}"/>
    <cellStyle name="Normal 5 62 3 3" xfId="26666" xr:uid="{00000000-0005-0000-0000-00005B7F0000}"/>
    <cellStyle name="Normal 5 62 3 4" xfId="49928" xr:uid="{00000000-0005-0000-0000-00005C7F0000}"/>
    <cellStyle name="Normal 5 62 4" xfId="17231" xr:uid="{00000000-0005-0000-0000-00005D7F0000}"/>
    <cellStyle name="Normal 5 62 4 2" xfId="31363" xr:uid="{00000000-0005-0000-0000-00005E7F0000}"/>
    <cellStyle name="Normal 5 62 4 3" xfId="45258" xr:uid="{00000000-0005-0000-0000-00005F7F0000}"/>
    <cellStyle name="Normal 5 62 5" xfId="22044" xr:uid="{00000000-0005-0000-0000-0000607F0000}"/>
    <cellStyle name="Normal 5 62 6" xfId="40676" xr:uid="{00000000-0005-0000-0000-0000617F0000}"/>
    <cellStyle name="Normal 5 63" xfId="6691" xr:uid="{00000000-0005-0000-0000-0000627F0000}"/>
    <cellStyle name="Normal 5 63 2" xfId="6692" xr:uid="{00000000-0005-0000-0000-0000637F0000}"/>
    <cellStyle name="Normal 5 63 2 2" xfId="12503" xr:uid="{00000000-0005-0000-0000-0000647F0000}"/>
    <cellStyle name="Normal 5 63 2 2 2" xfId="35988" xr:uid="{00000000-0005-0000-0000-0000657F0000}"/>
    <cellStyle name="Normal 5 63 2 2 3" xfId="26669" xr:uid="{00000000-0005-0000-0000-0000667F0000}"/>
    <cellStyle name="Normal 5 63 2 2 4" xfId="49931" xr:uid="{00000000-0005-0000-0000-0000677F0000}"/>
    <cellStyle name="Normal 5 63 2 3" xfId="17234" xr:uid="{00000000-0005-0000-0000-0000687F0000}"/>
    <cellStyle name="Normal 5 63 2 3 2" xfId="31366" xr:uid="{00000000-0005-0000-0000-0000697F0000}"/>
    <cellStyle name="Normal 5 63 2 3 3" xfId="45261" xr:uid="{00000000-0005-0000-0000-00006A7F0000}"/>
    <cellStyle name="Normal 5 63 2 4" xfId="22047" xr:uid="{00000000-0005-0000-0000-00006B7F0000}"/>
    <cellStyle name="Normal 5 63 2 5" xfId="40679" xr:uid="{00000000-0005-0000-0000-00006C7F0000}"/>
    <cellStyle name="Normal 5 63 3" xfId="12502" xr:uid="{00000000-0005-0000-0000-00006D7F0000}"/>
    <cellStyle name="Normal 5 63 3 2" xfId="35987" xr:uid="{00000000-0005-0000-0000-00006E7F0000}"/>
    <cellStyle name="Normal 5 63 3 3" xfId="26668" xr:uid="{00000000-0005-0000-0000-00006F7F0000}"/>
    <cellStyle name="Normal 5 63 3 4" xfId="49930" xr:uid="{00000000-0005-0000-0000-0000707F0000}"/>
    <cellStyle name="Normal 5 63 4" xfId="17233" xr:uid="{00000000-0005-0000-0000-0000717F0000}"/>
    <cellStyle name="Normal 5 63 4 2" xfId="31365" xr:uid="{00000000-0005-0000-0000-0000727F0000}"/>
    <cellStyle name="Normal 5 63 4 3" xfId="45260" xr:uid="{00000000-0005-0000-0000-0000737F0000}"/>
    <cellStyle name="Normal 5 63 5" xfId="22046" xr:uid="{00000000-0005-0000-0000-0000747F0000}"/>
    <cellStyle name="Normal 5 63 6" xfId="40678" xr:uid="{00000000-0005-0000-0000-0000757F0000}"/>
    <cellStyle name="Normal 5 64" xfId="6693" xr:uid="{00000000-0005-0000-0000-0000767F0000}"/>
    <cellStyle name="Normal 5 64 2" xfId="6694" xr:uid="{00000000-0005-0000-0000-0000777F0000}"/>
    <cellStyle name="Normal 5 64 2 2" xfId="12505" xr:uid="{00000000-0005-0000-0000-0000787F0000}"/>
    <cellStyle name="Normal 5 64 2 2 2" xfId="35990" xr:uid="{00000000-0005-0000-0000-0000797F0000}"/>
    <cellStyle name="Normal 5 64 2 2 3" xfId="26671" xr:uid="{00000000-0005-0000-0000-00007A7F0000}"/>
    <cellStyle name="Normal 5 64 2 2 4" xfId="49933" xr:uid="{00000000-0005-0000-0000-00007B7F0000}"/>
    <cellStyle name="Normal 5 64 2 3" xfId="17236" xr:uid="{00000000-0005-0000-0000-00007C7F0000}"/>
    <cellStyle name="Normal 5 64 2 3 2" xfId="31368" xr:uid="{00000000-0005-0000-0000-00007D7F0000}"/>
    <cellStyle name="Normal 5 64 2 3 3" xfId="45263" xr:uid="{00000000-0005-0000-0000-00007E7F0000}"/>
    <cellStyle name="Normal 5 64 2 4" xfId="22049" xr:uid="{00000000-0005-0000-0000-00007F7F0000}"/>
    <cellStyle name="Normal 5 64 2 5" xfId="40681" xr:uid="{00000000-0005-0000-0000-0000807F0000}"/>
    <cellStyle name="Normal 5 64 3" xfId="12504" xr:uid="{00000000-0005-0000-0000-0000817F0000}"/>
    <cellStyle name="Normal 5 64 3 2" xfId="35989" xr:uid="{00000000-0005-0000-0000-0000827F0000}"/>
    <cellStyle name="Normal 5 64 3 3" xfId="26670" xr:uid="{00000000-0005-0000-0000-0000837F0000}"/>
    <cellStyle name="Normal 5 64 3 4" xfId="49932" xr:uid="{00000000-0005-0000-0000-0000847F0000}"/>
    <cellStyle name="Normal 5 64 4" xfId="17235" xr:uid="{00000000-0005-0000-0000-0000857F0000}"/>
    <cellStyle name="Normal 5 64 4 2" xfId="31367" xr:uid="{00000000-0005-0000-0000-0000867F0000}"/>
    <cellStyle name="Normal 5 64 4 3" xfId="45262" xr:uid="{00000000-0005-0000-0000-0000877F0000}"/>
    <cellStyle name="Normal 5 64 5" xfId="22048" xr:uid="{00000000-0005-0000-0000-0000887F0000}"/>
    <cellStyle name="Normal 5 64 6" xfId="40680" xr:uid="{00000000-0005-0000-0000-0000897F0000}"/>
    <cellStyle name="Normal 5 65" xfId="6695" xr:uid="{00000000-0005-0000-0000-00008A7F0000}"/>
    <cellStyle name="Normal 5 65 2" xfId="6696" xr:uid="{00000000-0005-0000-0000-00008B7F0000}"/>
    <cellStyle name="Normal 5 65 2 2" xfId="12507" xr:uid="{00000000-0005-0000-0000-00008C7F0000}"/>
    <cellStyle name="Normal 5 65 2 2 2" xfId="35992" xr:uid="{00000000-0005-0000-0000-00008D7F0000}"/>
    <cellStyle name="Normal 5 65 2 2 3" xfId="26673" xr:uid="{00000000-0005-0000-0000-00008E7F0000}"/>
    <cellStyle name="Normal 5 65 2 2 4" xfId="49935" xr:uid="{00000000-0005-0000-0000-00008F7F0000}"/>
    <cellStyle name="Normal 5 65 2 3" xfId="17238" xr:uid="{00000000-0005-0000-0000-0000907F0000}"/>
    <cellStyle name="Normal 5 65 2 3 2" xfId="31370" xr:uid="{00000000-0005-0000-0000-0000917F0000}"/>
    <cellStyle name="Normal 5 65 2 3 3" xfId="45265" xr:uid="{00000000-0005-0000-0000-0000927F0000}"/>
    <cellStyle name="Normal 5 65 2 4" xfId="22051" xr:uid="{00000000-0005-0000-0000-0000937F0000}"/>
    <cellStyle name="Normal 5 65 2 5" xfId="40683" xr:uid="{00000000-0005-0000-0000-0000947F0000}"/>
    <cellStyle name="Normal 5 65 3" xfId="12506" xr:uid="{00000000-0005-0000-0000-0000957F0000}"/>
    <cellStyle name="Normal 5 65 3 2" xfId="35991" xr:uid="{00000000-0005-0000-0000-0000967F0000}"/>
    <cellStyle name="Normal 5 65 3 3" xfId="26672" xr:uid="{00000000-0005-0000-0000-0000977F0000}"/>
    <cellStyle name="Normal 5 65 3 4" xfId="49934" xr:uid="{00000000-0005-0000-0000-0000987F0000}"/>
    <cellStyle name="Normal 5 65 4" xfId="17237" xr:uid="{00000000-0005-0000-0000-0000997F0000}"/>
    <cellStyle name="Normal 5 65 4 2" xfId="31369" xr:uid="{00000000-0005-0000-0000-00009A7F0000}"/>
    <cellStyle name="Normal 5 65 4 3" xfId="45264" xr:uid="{00000000-0005-0000-0000-00009B7F0000}"/>
    <cellStyle name="Normal 5 65 5" xfId="22050" xr:uid="{00000000-0005-0000-0000-00009C7F0000}"/>
    <cellStyle name="Normal 5 65 6" xfId="40682" xr:uid="{00000000-0005-0000-0000-00009D7F0000}"/>
    <cellStyle name="Normal 5 66" xfId="6697" xr:uid="{00000000-0005-0000-0000-00009E7F0000}"/>
    <cellStyle name="Normal 5 66 2" xfId="6698" xr:uid="{00000000-0005-0000-0000-00009F7F0000}"/>
    <cellStyle name="Normal 5 66 2 2" xfId="12509" xr:uid="{00000000-0005-0000-0000-0000A07F0000}"/>
    <cellStyle name="Normal 5 66 2 2 2" xfId="35994" xr:uid="{00000000-0005-0000-0000-0000A17F0000}"/>
    <cellStyle name="Normal 5 66 2 2 3" xfId="26675" xr:uid="{00000000-0005-0000-0000-0000A27F0000}"/>
    <cellStyle name="Normal 5 66 2 2 4" xfId="49937" xr:uid="{00000000-0005-0000-0000-0000A37F0000}"/>
    <cellStyle name="Normal 5 66 2 3" xfId="17240" xr:uid="{00000000-0005-0000-0000-0000A47F0000}"/>
    <cellStyle name="Normal 5 66 2 3 2" xfId="31372" xr:uid="{00000000-0005-0000-0000-0000A57F0000}"/>
    <cellStyle name="Normal 5 66 2 3 3" xfId="45267" xr:uid="{00000000-0005-0000-0000-0000A67F0000}"/>
    <cellStyle name="Normal 5 66 2 4" xfId="22053" xr:uid="{00000000-0005-0000-0000-0000A77F0000}"/>
    <cellStyle name="Normal 5 66 2 5" xfId="40685" xr:uid="{00000000-0005-0000-0000-0000A87F0000}"/>
    <cellStyle name="Normal 5 66 3" xfId="12508" xr:uid="{00000000-0005-0000-0000-0000A97F0000}"/>
    <cellStyle name="Normal 5 66 3 2" xfId="35993" xr:uid="{00000000-0005-0000-0000-0000AA7F0000}"/>
    <cellStyle name="Normal 5 66 3 3" xfId="26674" xr:uid="{00000000-0005-0000-0000-0000AB7F0000}"/>
    <cellStyle name="Normal 5 66 3 4" xfId="49936" xr:uid="{00000000-0005-0000-0000-0000AC7F0000}"/>
    <cellStyle name="Normal 5 66 4" xfId="17239" xr:uid="{00000000-0005-0000-0000-0000AD7F0000}"/>
    <cellStyle name="Normal 5 66 4 2" xfId="31371" xr:uid="{00000000-0005-0000-0000-0000AE7F0000}"/>
    <cellStyle name="Normal 5 66 4 3" xfId="45266" xr:uid="{00000000-0005-0000-0000-0000AF7F0000}"/>
    <cellStyle name="Normal 5 66 5" xfId="22052" xr:uid="{00000000-0005-0000-0000-0000B07F0000}"/>
    <cellStyle name="Normal 5 66 6" xfId="40684" xr:uid="{00000000-0005-0000-0000-0000B17F0000}"/>
    <cellStyle name="Normal 5 67" xfId="6699" xr:uid="{00000000-0005-0000-0000-0000B27F0000}"/>
    <cellStyle name="Normal 5 67 2" xfId="6700" xr:uid="{00000000-0005-0000-0000-0000B37F0000}"/>
    <cellStyle name="Normal 5 67 2 2" xfId="12511" xr:uid="{00000000-0005-0000-0000-0000B47F0000}"/>
    <cellStyle name="Normal 5 67 2 2 2" xfId="35996" xr:uid="{00000000-0005-0000-0000-0000B57F0000}"/>
    <cellStyle name="Normal 5 67 2 2 3" xfId="26677" xr:uid="{00000000-0005-0000-0000-0000B67F0000}"/>
    <cellStyle name="Normal 5 67 2 2 4" xfId="49939" xr:uid="{00000000-0005-0000-0000-0000B77F0000}"/>
    <cellStyle name="Normal 5 67 2 3" xfId="17242" xr:uid="{00000000-0005-0000-0000-0000B87F0000}"/>
    <cellStyle name="Normal 5 67 2 3 2" xfId="31374" xr:uid="{00000000-0005-0000-0000-0000B97F0000}"/>
    <cellStyle name="Normal 5 67 2 3 3" xfId="45269" xr:uid="{00000000-0005-0000-0000-0000BA7F0000}"/>
    <cellStyle name="Normal 5 67 2 4" xfId="22055" xr:uid="{00000000-0005-0000-0000-0000BB7F0000}"/>
    <cellStyle name="Normal 5 67 2 5" xfId="40687" xr:uid="{00000000-0005-0000-0000-0000BC7F0000}"/>
    <cellStyle name="Normal 5 67 3" xfId="12510" xr:uid="{00000000-0005-0000-0000-0000BD7F0000}"/>
    <cellStyle name="Normal 5 67 3 2" xfId="35995" xr:uid="{00000000-0005-0000-0000-0000BE7F0000}"/>
    <cellStyle name="Normal 5 67 3 3" xfId="26676" xr:uid="{00000000-0005-0000-0000-0000BF7F0000}"/>
    <cellStyle name="Normal 5 67 3 4" xfId="49938" xr:uid="{00000000-0005-0000-0000-0000C07F0000}"/>
    <cellStyle name="Normal 5 67 4" xfId="17241" xr:uid="{00000000-0005-0000-0000-0000C17F0000}"/>
    <cellStyle name="Normal 5 67 4 2" xfId="31373" xr:uid="{00000000-0005-0000-0000-0000C27F0000}"/>
    <cellStyle name="Normal 5 67 4 3" xfId="45268" xr:uid="{00000000-0005-0000-0000-0000C37F0000}"/>
    <cellStyle name="Normal 5 67 5" xfId="22054" xr:uid="{00000000-0005-0000-0000-0000C47F0000}"/>
    <cellStyle name="Normal 5 67 6" xfId="40686" xr:uid="{00000000-0005-0000-0000-0000C57F0000}"/>
    <cellStyle name="Normal 5 68" xfId="6701" xr:uid="{00000000-0005-0000-0000-0000C67F0000}"/>
    <cellStyle name="Normal 5 68 2" xfId="6702" xr:uid="{00000000-0005-0000-0000-0000C77F0000}"/>
    <cellStyle name="Normal 5 68 2 2" xfId="12513" xr:uid="{00000000-0005-0000-0000-0000C87F0000}"/>
    <cellStyle name="Normal 5 68 2 2 2" xfId="35998" xr:uid="{00000000-0005-0000-0000-0000C97F0000}"/>
    <cellStyle name="Normal 5 68 2 2 3" xfId="26679" xr:uid="{00000000-0005-0000-0000-0000CA7F0000}"/>
    <cellStyle name="Normal 5 68 2 2 4" xfId="49941" xr:uid="{00000000-0005-0000-0000-0000CB7F0000}"/>
    <cellStyle name="Normal 5 68 2 3" xfId="17244" xr:uid="{00000000-0005-0000-0000-0000CC7F0000}"/>
    <cellStyle name="Normal 5 68 2 3 2" xfId="31376" xr:uid="{00000000-0005-0000-0000-0000CD7F0000}"/>
    <cellStyle name="Normal 5 68 2 3 3" xfId="45271" xr:uid="{00000000-0005-0000-0000-0000CE7F0000}"/>
    <cellStyle name="Normal 5 68 2 4" xfId="22057" xr:uid="{00000000-0005-0000-0000-0000CF7F0000}"/>
    <cellStyle name="Normal 5 68 2 5" xfId="40689" xr:uid="{00000000-0005-0000-0000-0000D07F0000}"/>
    <cellStyle name="Normal 5 68 3" xfId="12512" xr:uid="{00000000-0005-0000-0000-0000D17F0000}"/>
    <cellStyle name="Normal 5 68 3 2" xfId="35997" xr:uid="{00000000-0005-0000-0000-0000D27F0000}"/>
    <cellStyle name="Normal 5 68 3 3" xfId="26678" xr:uid="{00000000-0005-0000-0000-0000D37F0000}"/>
    <cellStyle name="Normal 5 68 3 4" xfId="49940" xr:uid="{00000000-0005-0000-0000-0000D47F0000}"/>
    <cellStyle name="Normal 5 68 4" xfId="17243" xr:uid="{00000000-0005-0000-0000-0000D57F0000}"/>
    <cellStyle name="Normal 5 68 4 2" xfId="31375" xr:uid="{00000000-0005-0000-0000-0000D67F0000}"/>
    <cellStyle name="Normal 5 68 4 3" xfId="45270" xr:uid="{00000000-0005-0000-0000-0000D77F0000}"/>
    <cellStyle name="Normal 5 68 5" xfId="22056" xr:uid="{00000000-0005-0000-0000-0000D87F0000}"/>
    <cellStyle name="Normal 5 68 6" xfId="40688" xr:uid="{00000000-0005-0000-0000-0000D97F0000}"/>
    <cellStyle name="Normal 5 69" xfId="6703" xr:uid="{00000000-0005-0000-0000-0000DA7F0000}"/>
    <cellStyle name="Normal 5 69 2" xfId="6704" xr:uid="{00000000-0005-0000-0000-0000DB7F0000}"/>
    <cellStyle name="Normal 5 69 2 2" xfId="12515" xr:uid="{00000000-0005-0000-0000-0000DC7F0000}"/>
    <cellStyle name="Normal 5 69 2 2 2" xfId="36000" xr:uid="{00000000-0005-0000-0000-0000DD7F0000}"/>
    <cellStyle name="Normal 5 69 2 2 3" xfId="26681" xr:uid="{00000000-0005-0000-0000-0000DE7F0000}"/>
    <cellStyle name="Normal 5 69 2 2 4" xfId="49943" xr:uid="{00000000-0005-0000-0000-0000DF7F0000}"/>
    <cellStyle name="Normal 5 69 2 3" xfId="17246" xr:uid="{00000000-0005-0000-0000-0000E07F0000}"/>
    <cellStyle name="Normal 5 69 2 3 2" xfId="31378" xr:uid="{00000000-0005-0000-0000-0000E17F0000}"/>
    <cellStyle name="Normal 5 69 2 3 3" xfId="45273" xr:uid="{00000000-0005-0000-0000-0000E27F0000}"/>
    <cellStyle name="Normal 5 69 2 4" xfId="22059" xr:uid="{00000000-0005-0000-0000-0000E37F0000}"/>
    <cellStyle name="Normal 5 69 2 5" xfId="40691" xr:uid="{00000000-0005-0000-0000-0000E47F0000}"/>
    <cellStyle name="Normal 5 69 3" xfId="12514" xr:uid="{00000000-0005-0000-0000-0000E57F0000}"/>
    <cellStyle name="Normal 5 69 3 2" xfId="35999" xr:uid="{00000000-0005-0000-0000-0000E67F0000}"/>
    <cellStyle name="Normal 5 69 3 3" xfId="26680" xr:uid="{00000000-0005-0000-0000-0000E77F0000}"/>
    <cellStyle name="Normal 5 69 3 4" xfId="49942" xr:uid="{00000000-0005-0000-0000-0000E87F0000}"/>
    <cellStyle name="Normal 5 69 4" xfId="17245" xr:uid="{00000000-0005-0000-0000-0000E97F0000}"/>
    <cellStyle name="Normal 5 69 4 2" xfId="31377" xr:uid="{00000000-0005-0000-0000-0000EA7F0000}"/>
    <cellStyle name="Normal 5 69 4 3" xfId="45272" xr:uid="{00000000-0005-0000-0000-0000EB7F0000}"/>
    <cellStyle name="Normal 5 69 5" xfId="22058" xr:uid="{00000000-0005-0000-0000-0000EC7F0000}"/>
    <cellStyle name="Normal 5 69 6" xfId="40690" xr:uid="{00000000-0005-0000-0000-0000ED7F0000}"/>
    <cellStyle name="Normal 5 7" xfId="6705" xr:uid="{00000000-0005-0000-0000-0000EE7F0000}"/>
    <cellStyle name="Normal 5 7 10" xfId="22060" xr:uid="{00000000-0005-0000-0000-0000EF7F0000}"/>
    <cellStyle name="Normal 5 7 11" xfId="40692" xr:uid="{00000000-0005-0000-0000-0000F07F0000}"/>
    <cellStyle name="Normal 5 7 2" xfId="6706" xr:uid="{00000000-0005-0000-0000-0000F17F0000}"/>
    <cellStyle name="Normal 5 7 2 2" xfId="6707" xr:uid="{00000000-0005-0000-0000-0000F27F0000}"/>
    <cellStyle name="Normal 5 7 2 2 2" xfId="12518" xr:uid="{00000000-0005-0000-0000-0000F37F0000}"/>
    <cellStyle name="Normal 5 7 2 2 2 2" xfId="36003" xr:uid="{00000000-0005-0000-0000-0000F47F0000}"/>
    <cellStyle name="Normal 5 7 2 2 2 3" xfId="26684" xr:uid="{00000000-0005-0000-0000-0000F57F0000}"/>
    <cellStyle name="Normal 5 7 2 2 2 4" xfId="49946" xr:uid="{00000000-0005-0000-0000-0000F67F0000}"/>
    <cellStyle name="Normal 5 7 2 2 3" xfId="17249" xr:uid="{00000000-0005-0000-0000-0000F77F0000}"/>
    <cellStyle name="Normal 5 7 2 2 3 2" xfId="31381" xr:uid="{00000000-0005-0000-0000-0000F87F0000}"/>
    <cellStyle name="Normal 5 7 2 2 3 3" xfId="45276" xr:uid="{00000000-0005-0000-0000-0000F97F0000}"/>
    <cellStyle name="Normal 5 7 2 2 4" xfId="22062" xr:uid="{00000000-0005-0000-0000-0000FA7F0000}"/>
    <cellStyle name="Normal 5 7 2 2 5" xfId="40694" xr:uid="{00000000-0005-0000-0000-0000FB7F0000}"/>
    <cellStyle name="Normal 5 7 2 3" xfId="12517" xr:uid="{00000000-0005-0000-0000-0000FC7F0000}"/>
    <cellStyle name="Normal 5 7 2 3 2" xfId="36002" xr:uid="{00000000-0005-0000-0000-0000FD7F0000}"/>
    <cellStyle name="Normal 5 7 2 3 3" xfId="26683" xr:uid="{00000000-0005-0000-0000-0000FE7F0000}"/>
    <cellStyle name="Normal 5 7 2 3 4" xfId="49945" xr:uid="{00000000-0005-0000-0000-0000FF7F0000}"/>
    <cellStyle name="Normal 5 7 2 4" xfId="17248" xr:uid="{00000000-0005-0000-0000-000000800000}"/>
    <cellStyle name="Normal 5 7 2 4 2" xfId="31380" xr:uid="{00000000-0005-0000-0000-000001800000}"/>
    <cellStyle name="Normal 5 7 2 4 3" xfId="45275" xr:uid="{00000000-0005-0000-0000-000002800000}"/>
    <cellStyle name="Normal 5 7 2 5" xfId="22061" xr:uid="{00000000-0005-0000-0000-000003800000}"/>
    <cellStyle name="Normal 5 7 2 6" xfId="40693" xr:uid="{00000000-0005-0000-0000-000004800000}"/>
    <cellStyle name="Normal 5 7 3" xfId="6708" xr:uid="{00000000-0005-0000-0000-000005800000}"/>
    <cellStyle name="Normal 5 7 3 2" xfId="6709" xr:uid="{00000000-0005-0000-0000-000006800000}"/>
    <cellStyle name="Normal 5 7 3 2 2" xfId="12520" xr:uid="{00000000-0005-0000-0000-000007800000}"/>
    <cellStyle name="Normal 5 7 3 2 2 2" xfId="36005" xr:uid="{00000000-0005-0000-0000-000008800000}"/>
    <cellStyle name="Normal 5 7 3 2 2 3" xfId="26686" xr:uid="{00000000-0005-0000-0000-000009800000}"/>
    <cellStyle name="Normal 5 7 3 2 2 4" xfId="49948" xr:uid="{00000000-0005-0000-0000-00000A800000}"/>
    <cellStyle name="Normal 5 7 3 2 3" xfId="17251" xr:uid="{00000000-0005-0000-0000-00000B800000}"/>
    <cellStyle name="Normal 5 7 3 2 3 2" xfId="31383" xr:uid="{00000000-0005-0000-0000-00000C800000}"/>
    <cellStyle name="Normal 5 7 3 2 3 3" xfId="45278" xr:uid="{00000000-0005-0000-0000-00000D800000}"/>
    <cellStyle name="Normal 5 7 3 2 4" xfId="22064" xr:uid="{00000000-0005-0000-0000-00000E800000}"/>
    <cellStyle name="Normal 5 7 3 2 5" xfId="40696" xr:uid="{00000000-0005-0000-0000-00000F800000}"/>
    <cellStyle name="Normal 5 7 3 3" xfId="12519" xr:uid="{00000000-0005-0000-0000-000010800000}"/>
    <cellStyle name="Normal 5 7 3 3 2" xfId="36004" xr:uid="{00000000-0005-0000-0000-000011800000}"/>
    <cellStyle name="Normal 5 7 3 3 3" xfId="26685" xr:uid="{00000000-0005-0000-0000-000012800000}"/>
    <cellStyle name="Normal 5 7 3 3 4" xfId="49947" xr:uid="{00000000-0005-0000-0000-000013800000}"/>
    <cellStyle name="Normal 5 7 3 4" xfId="17250" xr:uid="{00000000-0005-0000-0000-000014800000}"/>
    <cellStyle name="Normal 5 7 3 4 2" xfId="31382" xr:uid="{00000000-0005-0000-0000-000015800000}"/>
    <cellStyle name="Normal 5 7 3 4 3" xfId="45277" xr:uid="{00000000-0005-0000-0000-000016800000}"/>
    <cellStyle name="Normal 5 7 3 5" xfId="22063" xr:uid="{00000000-0005-0000-0000-000017800000}"/>
    <cellStyle name="Normal 5 7 3 6" xfId="40695" xr:uid="{00000000-0005-0000-0000-000018800000}"/>
    <cellStyle name="Normal 5 7 4" xfId="6710" xr:uid="{00000000-0005-0000-0000-000019800000}"/>
    <cellStyle name="Normal 5 7 4 2" xfId="6711" xr:uid="{00000000-0005-0000-0000-00001A800000}"/>
    <cellStyle name="Normal 5 7 4 2 2" xfId="12522" xr:uid="{00000000-0005-0000-0000-00001B800000}"/>
    <cellStyle name="Normal 5 7 4 2 2 2" xfId="36007" xr:uid="{00000000-0005-0000-0000-00001C800000}"/>
    <cellStyle name="Normal 5 7 4 2 2 3" xfId="26688" xr:uid="{00000000-0005-0000-0000-00001D800000}"/>
    <cellStyle name="Normal 5 7 4 2 2 4" xfId="49950" xr:uid="{00000000-0005-0000-0000-00001E800000}"/>
    <cellStyle name="Normal 5 7 4 2 3" xfId="17253" xr:uid="{00000000-0005-0000-0000-00001F800000}"/>
    <cellStyle name="Normal 5 7 4 2 3 2" xfId="31385" xr:uid="{00000000-0005-0000-0000-000020800000}"/>
    <cellStyle name="Normal 5 7 4 2 3 3" xfId="45280" xr:uid="{00000000-0005-0000-0000-000021800000}"/>
    <cellStyle name="Normal 5 7 4 2 4" xfId="22066" xr:uid="{00000000-0005-0000-0000-000022800000}"/>
    <cellStyle name="Normal 5 7 4 2 5" xfId="40698" xr:uid="{00000000-0005-0000-0000-000023800000}"/>
    <cellStyle name="Normal 5 7 4 3" xfId="12521" xr:uid="{00000000-0005-0000-0000-000024800000}"/>
    <cellStyle name="Normal 5 7 4 3 2" xfId="36006" xr:uid="{00000000-0005-0000-0000-000025800000}"/>
    <cellStyle name="Normal 5 7 4 3 3" xfId="26687" xr:uid="{00000000-0005-0000-0000-000026800000}"/>
    <cellStyle name="Normal 5 7 4 3 4" xfId="49949" xr:uid="{00000000-0005-0000-0000-000027800000}"/>
    <cellStyle name="Normal 5 7 4 4" xfId="17252" xr:uid="{00000000-0005-0000-0000-000028800000}"/>
    <cellStyle name="Normal 5 7 4 4 2" xfId="31384" xr:uid="{00000000-0005-0000-0000-000029800000}"/>
    <cellStyle name="Normal 5 7 4 4 3" xfId="45279" xr:uid="{00000000-0005-0000-0000-00002A800000}"/>
    <cellStyle name="Normal 5 7 4 5" xfId="22065" xr:uid="{00000000-0005-0000-0000-00002B800000}"/>
    <cellStyle name="Normal 5 7 4 6" xfId="40697" xr:uid="{00000000-0005-0000-0000-00002C800000}"/>
    <cellStyle name="Normal 5 7 5" xfId="6712" xr:uid="{00000000-0005-0000-0000-00002D800000}"/>
    <cellStyle name="Normal 5 7 5 2" xfId="6713" xr:uid="{00000000-0005-0000-0000-00002E800000}"/>
    <cellStyle name="Normal 5 7 5 2 2" xfId="12524" xr:uid="{00000000-0005-0000-0000-00002F800000}"/>
    <cellStyle name="Normal 5 7 5 2 2 2" xfId="36009" xr:uid="{00000000-0005-0000-0000-000030800000}"/>
    <cellStyle name="Normal 5 7 5 2 2 3" xfId="26690" xr:uid="{00000000-0005-0000-0000-000031800000}"/>
    <cellStyle name="Normal 5 7 5 2 2 4" xfId="49952" xr:uid="{00000000-0005-0000-0000-000032800000}"/>
    <cellStyle name="Normal 5 7 5 2 3" xfId="17255" xr:uid="{00000000-0005-0000-0000-000033800000}"/>
    <cellStyle name="Normal 5 7 5 2 3 2" xfId="31387" xr:uid="{00000000-0005-0000-0000-000034800000}"/>
    <cellStyle name="Normal 5 7 5 2 3 3" xfId="45282" xr:uid="{00000000-0005-0000-0000-000035800000}"/>
    <cellStyle name="Normal 5 7 5 2 4" xfId="22068" xr:uid="{00000000-0005-0000-0000-000036800000}"/>
    <cellStyle name="Normal 5 7 5 2 5" xfId="40700" xr:uid="{00000000-0005-0000-0000-000037800000}"/>
    <cellStyle name="Normal 5 7 5 3" xfId="12523" xr:uid="{00000000-0005-0000-0000-000038800000}"/>
    <cellStyle name="Normal 5 7 5 3 2" xfId="36008" xr:uid="{00000000-0005-0000-0000-000039800000}"/>
    <cellStyle name="Normal 5 7 5 3 3" xfId="26689" xr:uid="{00000000-0005-0000-0000-00003A800000}"/>
    <cellStyle name="Normal 5 7 5 3 4" xfId="49951" xr:uid="{00000000-0005-0000-0000-00003B800000}"/>
    <cellStyle name="Normal 5 7 5 4" xfId="17254" xr:uid="{00000000-0005-0000-0000-00003C800000}"/>
    <cellStyle name="Normal 5 7 5 4 2" xfId="31386" xr:uid="{00000000-0005-0000-0000-00003D800000}"/>
    <cellStyle name="Normal 5 7 5 4 3" xfId="45281" xr:uid="{00000000-0005-0000-0000-00003E800000}"/>
    <cellStyle name="Normal 5 7 5 5" xfId="22067" xr:uid="{00000000-0005-0000-0000-00003F800000}"/>
    <cellStyle name="Normal 5 7 5 6" xfId="40699" xr:uid="{00000000-0005-0000-0000-000040800000}"/>
    <cellStyle name="Normal 5 7 6" xfId="6714" xr:uid="{00000000-0005-0000-0000-000041800000}"/>
    <cellStyle name="Normal 5 7 6 2" xfId="6715" xr:uid="{00000000-0005-0000-0000-000042800000}"/>
    <cellStyle name="Normal 5 7 6 2 2" xfId="12526" xr:uid="{00000000-0005-0000-0000-000043800000}"/>
    <cellStyle name="Normal 5 7 6 2 2 2" xfId="36011" xr:uid="{00000000-0005-0000-0000-000044800000}"/>
    <cellStyle name="Normal 5 7 6 2 2 3" xfId="26692" xr:uid="{00000000-0005-0000-0000-000045800000}"/>
    <cellStyle name="Normal 5 7 6 2 2 4" xfId="49954" xr:uid="{00000000-0005-0000-0000-000046800000}"/>
    <cellStyle name="Normal 5 7 6 2 3" xfId="17257" xr:uid="{00000000-0005-0000-0000-000047800000}"/>
    <cellStyle name="Normal 5 7 6 2 3 2" xfId="31389" xr:uid="{00000000-0005-0000-0000-000048800000}"/>
    <cellStyle name="Normal 5 7 6 2 3 3" xfId="45284" xr:uid="{00000000-0005-0000-0000-000049800000}"/>
    <cellStyle name="Normal 5 7 6 2 4" xfId="22070" xr:uid="{00000000-0005-0000-0000-00004A800000}"/>
    <cellStyle name="Normal 5 7 6 2 5" xfId="40702" xr:uid="{00000000-0005-0000-0000-00004B800000}"/>
    <cellStyle name="Normal 5 7 6 3" xfId="12525" xr:uid="{00000000-0005-0000-0000-00004C800000}"/>
    <cellStyle name="Normal 5 7 6 3 2" xfId="36010" xr:uid="{00000000-0005-0000-0000-00004D800000}"/>
    <cellStyle name="Normal 5 7 6 3 3" xfId="26691" xr:uid="{00000000-0005-0000-0000-00004E800000}"/>
    <cellStyle name="Normal 5 7 6 3 4" xfId="49953" xr:uid="{00000000-0005-0000-0000-00004F800000}"/>
    <cellStyle name="Normal 5 7 6 4" xfId="17256" xr:uid="{00000000-0005-0000-0000-000050800000}"/>
    <cellStyle name="Normal 5 7 6 4 2" xfId="31388" xr:uid="{00000000-0005-0000-0000-000051800000}"/>
    <cellStyle name="Normal 5 7 6 4 3" xfId="45283" xr:uid="{00000000-0005-0000-0000-000052800000}"/>
    <cellStyle name="Normal 5 7 6 5" xfId="22069" xr:uid="{00000000-0005-0000-0000-000053800000}"/>
    <cellStyle name="Normal 5 7 6 6" xfId="40701" xr:uid="{00000000-0005-0000-0000-000054800000}"/>
    <cellStyle name="Normal 5 7 7" xfId="6716" xr:uid="{00000000-0005-0000-0000-000055800000}"/>
    <cellStyle name="Normal 5 7 7 2" xfId="12527" xr:uid="{00000000-0005-0000-0000-000056800000}"/>
    <cellStyle name="Normal 5 7 7 2 2" xfId="36012" xr:uid="{00000000-0005-0000-0000-000057800000}"/>
    <cellStyle name="Normal 5 7 7 2 3" xfId="26693" xr:uid="{00000000-0005-0000-0000-000058800000}"/>
    <cellStyle name="Normal 5 7 7 2 4" xfId="49955" xr:uid="{00000000-0005-0000-0000-000059800000}"/>
    <cellStyle name="Normal 5 7 7 3" xfId="17258" xr:uid="{00000000-0005-0000-0000-00005A800000}"/>
    <cellStyle name="Normal 5 7 7 3 2" xfId="31390" xr:uid="{00000000-0005-0000-0000-00005B800000}"/>
    <cellStyle name="Normal 5 7 7 3 3" xfId="45285" xr:uid="{00000000-0005-0000-0000-00005C800000}"/>
    <cellStyle name="Normal 5 7 7 4" xfId="22071" xr:uid="{00000000-0005-0000-0000-00005D800000}"/>
    <cellStyle name="Normal 5 7 7 5" xfId="40703" xr:uid="{00000000-0005-0000-0000-00005E800000}"/>
    <cellStyle name="Normal 5 7 8" xfId="12516" xr:uid="{00000000-0005-0000-0000-00005F800000}"/>
    <cellStyle name="Normal 5 7 8 2" xfId="36001" xr:uid="{00000000-0005-0000-0000-000060800000}"/>
    <cellStyle name="Normal 5 7 8 3" xfId="26682" xr:uid="{00000000-0005-0000-0000-000061800000}"/>
    <cellStyle name="Normal 5 7 8 4" xfId="49944" xr:uid="{00000000-0005-0000-0000-000062800000}"/>
    <cellStyle name="Normal 5 7 9" xfId="17247" xr:uid="{00000000-0005-0000-0000-000063800000}"/>
    <cellStyle name="Normal 5 7 9 2" xfId="31379" xr:uid="{00000000-0005-0000-0000-000064800000}"/>
    <cellStyle name="Normal 5 7 9 3" xfId="45274" xr:uid="{00000000-0005-0000-0000-000065800000}"/>
    <cellStyle name="Normal 5 70" xfId="6717" xr:uid="{00000000-0005-0000-0000-000066800000}"/>
    <cellStyle name="Normal 5 70 2" xfId="6718" xr:uid="{00000000-0005-0000-0000-000067800000}"/>
    <cellStyle name="Normal 5 70 2 2" xfId="12529" xr:uid="{00000000-0005-0000-0000-000068800000}"/>
    <cellStyle name="Normal 5 70 2 2 2" xfId="36014" xr:uid="{00000000-0005-0000-0000-000069800000}"/>
    <cellStyle name="Normal 5 70 2 2 3" xfId="26695" xr:uid="{00000000-0005-0000-0000-00006A800000}"/>
    <cellStyle name="Normal 5 70 2 2 4" xfId="49957" xr:uid="{00000000-0005-0000-0000-00006B800000}"/>
    <cellStyle name="Normal 5 70 2 3" xfId="17260" xr:uid="{00000000-0005-0000-0000-00006C800000}"/>
    <cellStyle name="Normal 5 70 2 3 2" xfId="31392" xr:uid="{00000000-0005-0000-0000-00006D800000}"/>
    <cellStyle name="Normal 5 70 2 3 3" xfId="45287" xr:uid="{00000000-0005-0000-0000-00006E800000}"/>
    <cellStyle name="Normal 5 70 2 4" xfId="22073" xr:uid="{00000000-0005-0000-0000-00006F800000}"/>
    <cellStyle name="Normal 5 70 2 5" xfId="40705" xr:uid="{00000000-0005-0000-0000-000070800000}"/>
    <cellStyle name="Normal 5 70 3" xfId="12528" xr:uid="{00000000-0005-0000-0000-000071800000}"/>
    <cellStyle name="Normal 5 70 3 2" xfId="36013" xr:uid="{00000000-0005-0000-0000-000072800000}"/>
    <cellStyle name="Normal 5 70 3 3" xfId="26694" xr:uid="{00000000-0005-0000-0000-000073800000}"/>
    <cellStyle name="Normal 5 70 3 4" xfId="49956" xr:uid="{00000000-0005-0000-0000-000074800000}"/>
    <cellStyle name="Normal 5 70 4" xfId="17259" xr:uid="{00000000-0005-0000-0000-000075800000}"/>
    <cellStyle name="Normal 5 70 4 2" xfId="31391" xr:uid="{00000000-0005-0000-0000-000076800000}"/>
    <cellStyle name="Normal 5 70 4 3" xfId="45286" xr:uid="{00000000-0005-0000-0000-000077800000}"/>
    <cellStyle name="Normal 5 70 5" xfId="22072" xr:uid="{00000000-0005-0000-0000-000078800000}"/>
    <cellStyle name="Normal 5 70 6" xfId="40704" xr:uid="{00000000-0005-0000-0000-000079800000}"/>
    <cellStyle name="Normal 5 71" xfId="6719" xr:uid="{00000000-0005-0000-0000-00007A800000}"/>
    <cellStyle name="Normal 5 71 2" xfId="6720" xr:uid="{00000000-0005-0000-0000-00007B800000}"/>
    <cellStyle name="Normal 5 71 2 2" xfId="12531" xr:uid="{00000000-0005-0000-0000-00007C800000}"/>
    <cellStyle name="Normal 5 71 2 2 2" xfId="36016" xr:uid="{00000000-0005-0000-0000-00007D800000}"/>
    <cellStyle name="Normal 5 71 2 2 3" xfId="26697" xr:uid="{00000000-0005-0000-0000-00007E800000}"/>
    <cellStyle name="Normal 5 71 2 2 4" xfId="49959" xr:uid="{00000000-0005-0000-0000-00007F800000}"/>
    <cellStyle name="Normal 5 71 2 3" xfId="17262" xr:uid="{00000000-0005-0000-0000-000080800000}"/>
    <cellStyle name="Normal 5 71 2 3 2" xfId="31394" xr:uid="{00000000-0005-0000-0000-000081800000}"/>
    <cellStyle name="Normal 5 71 2 3 3" xfId="45289" xr:uid="{00000000-0005-0000-0000-000082800000}"/>
    <cellStyle name="Normal 5 71 2 4" xfId="22075" xr:uid="{00000000-0005-0000-0000-000083800000}"/>
    <cellStyle name="Normal 5 71 2 5" xfId="40707" xr:uid="{00000000-0005-0000-0000-000084800000}"/>
    <cellStyle name="Normal 5 71 3" xfId="12530" xr:uid="{00000000-0005-0000-0000-000085800000}"/>
    <cellStyle name="Normal 5 71 3 2" xfId="36015" xr:uid="{00000000-0005-0000-0000-000086800000}"/>
    <cellStyle name="Normal 5 71 3 3" xfId="26696" xr:uid="{00000000-0005-0000-0000-000087800000}"/>
    <cellStyle name="Normal 5 71 3 4" xfId="49958" xr:uid="{00000000-0005-0000-0000-000088800000}"/>
    <cellStyle name="Normal 5 71 4" xfId="17261" xr:uid="{00000000-0005-0000-0000-000089800000}"/>
    <cellStyle name="Normal 5 71 4 2" xfId="31393" xr:uid="{00000000-0005-0000-0000-00008A800000}"/>
    <cellStyle name="Normal 5 71 4 3" xfId="45288" xr:uid="{00000000-0005-0000-0000-00008B800000}"/>
    <cellStyle name="Normal 5 71 5" xfId="22074" xr:uid="{00000000-0005-0000-0000-00008C800000}"/>
    <cellStyle name="Normal 5 71 6" xfId="40706" xr:uid="{00000000-0005-0000-0000-00008D800000}"/>
    <cellStyle name="Normal 5 72" xfId="6721" xr:uid="{00000000-0005-0000-0000-00008E800000}"/>
    <cellStyle name="Normal 5 72 2" xfId="6722" xr:uid="{00000000-0005-0000-0000-00008F800000}"/>
    <cellStyle name="Normal 5 72 2 2" xfId="12533" xr:uid="{00000000-0005-0000-0000-000090800000}"/>
    <cellStyle name="Normal 5 72 2 2 2" xfId="36018" xr:uid="{00000000-0005-0000-0000-000091800000}"/>
    <cellStyle name="Normal 5 72 2 2 3" xfId="26699" xr:uid="{00000000-0005-0000-0000-000092800000}"/>
    <cellStyle name="Normal 5 72 2 2 4" xfId="49961" xr:uid="{00000000-0005-0000-0000-000093800000}"/>
    <cellStyle name="Normal 5 72 2 3" xfId="17264" xr:uid="{00000000-0005-0000-0000-000094800000}"/>
    <cellStyle name="Normal 5 72 2 3 2" xfId="31396" xr:uid="{00000000-0005-0000-0000-000095800000}"/>
    <cellStyle name="Normal 5 72 2 3 3" xfId="45291" xr:uid="{00000000-0005-0000-0000-000096800000}"/>
    <cellStyle name="Normal 5 72 2 4" xfId="22077" xr:uid="{00000000-0005-0000-0000-000097800000}"/>
    <cellStyle name="Normal 5 72 2 5" xfId="40709" xr:uid="{00000000-0005-0000-0000-000098800000}"/>
    <cellStyle name="Normal 5 72 3" xfId="12532" xr:uid="{00000000-0005-0000-0000-000099800000}"/>
    <cellStyle name="Normal 5 72 3 2" xfId="36017" xr:uid="{00000000-0005-0000-0000-00009A800000}"/>
    <cellStyle name="Normal 5 72 3 3" xfId="26698" xr:uid="{00000000-0005-0000-0000-00009B800000}"/>
    <cellStyle name="Normal 5 72 3 4" xfId="49960" xr:uid="{00000000-0005-0000-0000-00009C800000}"/>
    <cellStyle name="Normal 5 72 4" xfId="17263" xr:uid="{00000000-0005-0000-0000-00009D800000}"/>
    <cellStyle name="Normal 5 72 4 2" xfId="31395" xr:uid="{00000000-0005-0000-0000-00009E800000}"/>
    <cellStyle name="Normal 5 72 4 3" xfId="45290" xr:uid="{00000000-0005-0000-0000-00009F800000}"/>
    <cellStyle name="Normal 5 72 5" xfId="22076" xr:uid="{00000000-0005-0000-0000-0000A0800000}"/>
    <cellStyle name="Normal 5 72 6" xfId="40708" xr:uid="{00000000-0005-0000-0000-0000A1800000}"/>
    <cellStyle name="Normal 5 73" xfId="6723" xr:uid="{00000000-0005-0000-0000-0000A2800000}"/>
    <cellStyle name="Normal 5 73 2" xfId="6724" xr:uid="{00000000-0005-0000-0000-0000A3800000}"/>
    <cellStyle name="Normal 5 73 2 2" xfId="12535" xr:uid="{00000000-0005-0000-0000-0000A4800000}"/>
    <cellStyle name="Normal 5 73 2 2 2" xfId="36020" xr:uid="{00000000-0005-0000-0000-0000A5800000}"/>
    <cellStyle name="Normal 5 73 2 2 3" xfId="26701" xr:uid="{00000000-0005-0000-0000-0000A6800000}"/>
    <cellStyle name="Normal 5 73 2 2 4" xfId="49963" xr:uid="{00000000-0005-0000-0000-0000A7800000}"/>
    <cellStyle name="Normal 5 73 2 3" xfId="17266" xr:uid="{00000000-0005-0000-0000-0000A8800000}"/>
    <cellStyle name="Normal 5 73 2 3 2" xfId="31398" xr:uid="{00000000-0005-0000-0000-0000A9800000}"/>
    <cellStyle name="Normal 5 73 2 3 3" xfId="45293" xr:uid="{00000000-0005-0000-0000-0000AA800000}"/>
    <cellStyle name="Normal 5 73 2 4" xfId="22079" xr:uid="{00000000-0005-0000-0000-0000AB800000}"/>
    <cellStyle name="Normal 5 73 2 5" xfId="40711" xr:uid="{00000000-0005-0000-0000-0000AC800000}"/>
    <cellStyle name="Normal 5 73 3" xfId="12534" xr:uid="{00000000-0005-0000-0000-0000AD800000}"/>
    <cellStyle name="Normal 5 73 3 2" xfId="36019" xr:uid="{00000000-0005-0000-0000-0000AE800000}"/>
    <cellStyle name="Normal 5 73 3 3" xfId="26700" xr:uid="{00000000-0005-0000-0000-0000AF800000}"/>
    <cellStyle name="Normal 5 73 3 4" xfId="49962" xr:uid="{00000000-0005-0000-0000-0000B0800000}"/>
    <cellStyle name="Normal 5 73 4" xfId="17265" xr:uid="{00000000-0005-0000-0000-0000B1800000}"/>
    <cellStyle name="Normal 5 73 4 2" xfId="31397" xr:uid="{00000000-0005-0000-0000-0000B2800000}"/>
    <cellStyle name="Normal 5 73 4 3" xfId="45292" xr:uid="{00000000-0005-0000-0000-0000B3800000}"/>
    <cellStyle name="Normal 5 73 5" xfId="22078" xr:uid="{00000000-0005-0000-0000-0000B4800000}"/>
    <cellStyle name="Normal 5 73 6" xfId="40710" xr:uid="{00000000-0005-0000-0000-0000B5800000}"/>
    <cellStyle name="Normal 5 74" xfId="6725" xr:uid="{00000000-0005-0000-0000-0000B6800000}"/>
    <cellStyle name="Normal 5 74 2" xfId="6726" xr:uid="{00000000-0005-0000-0000-0000B7800000}"/>
    <cellStyle name="Normal 5 74 2 2" xfId="12537" xr:uid="{00000000-0005-0000-0000-0000B8800000}"/>
    <cellStyle name="Normal 5 74 2 2 2" xfId="36022" xr:uid="{00000000-0005-0000-0000-0000B9800000}"/>
    <cellStyle name="Normal 5 74 2 2 3" xfId="26703" xr:uid="{00000000-0005-0000-0000-0000BA800000}"/>
    <cellStyle name="Normal 5 74 2 2 4" xfId="49965" xr:uid="{00000000-0005-0000-0000-0000BB800000}"/>
    <cellStyle name="Normal 5 74 2 3" xfId="17268" xr:uid="{00000000-0005-0000-0000-0000BC800000}"/>
    <cellStyle name="Normal 5 74 2 3 2" xfId="31400" xr:uid="{00000000-0005-0000-0000-0000BD800000}"/>
    <cellStyle name="Normal 5 74 2 3 3" xfId="45295" xr:uid="{00000000-0005-0000-0000-0000BE800000}"/>
    <cellStyle name="Normal 5 74 2 4" xfId="22081" xr:uid="{00000000-0005-0000-0000-0000BF800000}"/>
    <cellStyle name="Normal 5 74 2 5" xfId="40713" xr:uid="{00000000-0005-0000-0000-0000C0800000}"/>
    <cellStyle name="Normal 5 74 3" xfId="12536" xr:uid="{00000000-0005-0000-0000-0000C1800000}"/>
    <cellStyle name="Normal 5 74 3 2" xfId="36021" xr:uid="{00000000-0005-0000-0000-0000C2800000}"/>
    <cellStyle name="Normal 5 74 3 3" xfId="26702" xr:uid="{00000000-0005-0000-0000-0000C3800000}"/>
    <cellStyle name="Normal 5 74 3 4" xfId="49964" xr:uid="{00000000-0005-0000-0000-0000C4800000}"/>
    <cellStyle name="Normal 5 74 4" xfId="17267" xr:uid="{00000000-0005-0000-0000-0000C5800000}"/>
    <cellStyle name="Normal 5 74 4 2" xfId="31399" xr:uid="{00000000-0005-0000-0000-0000C6800000}"/>
    <cellStyle name="Normal 5 74 4 3" xfId="45294" xr:uid="{00000000-0005-0000-0000-0000C7800000}"/>
    <cellStyle name="Normal 5 74 5" xfId="22080" xr:uid="{00000000-0005-0000-0000-0000C8800000}"/>
    <cellStyle name="Normal 5 74 6" xfId="40712" xr:uid="{00000000-0005-0000-0000-0000C9800000}"/>
    <cellStyle name="Normal 5 75" xfId="6727" xr:uid="{00000000-0005-0000-0000-0000CA800000}"/>
    <cellStyle name="Normal 5 75 2" xfId="6728" xr:uid="{00000000-0005-0000-0000-0000CB800000}"/>
    <cellStyle name="Normal 5 75 2 2" xfId="12539" xr:uid="{00000000-0005-0000-0000-0000CC800000}"/>
    <cellStyle name="Normal 5 75 2 2 2" xfId="36024" xr:uid="{00000000-0005-0000-0000-0000CD800000}"/>
    <cellStyle name="Normal 5 75 2 2 3" xfId="26705" xr:uid="{00000000-0005-0000-0000-0000CE800000}"/>
    <cellStyle name="Normal 5 75 2 2 4" xfId="49967" xr:uid="{00000000-0005-0000-0000-0000CF800000}"/>
    <cellStyle name="Normal 5 75 2 3" xfId="17270" xr:uid="{00000000-0005-0000-0000-0000D0800000}"/>
    <cellStyle name="Normal 5 75 2 3 2" xfId="31402" xr:uid="{00000000-0005-0000-0000-0000D1800000}"/>
    <cellStyle name="Normal 5 75 2 3 3" xfId="45297" xr:uid="{00000000-0005-0000-0000-0000D2800000}"/>
    <cellStyle name="Normal 5 75 2 4" xfId="22083" xr:uid="{00000000-0005-0000-0000-0000D3800000}"/>
    <cellStyle name="Normal 5 75 2 5" xfId="40715" xr:uid="{00000000-0005-0000-0000-0000D4800000}"/>
    <cellStyle name="Normal 5 75 3" xfId="12538" xr:uid="{00000000-0005-0000-0000-0000D5800000}"/>
    <cellStyle name="Normal 5 75 3 2" xfId="36023" xr:uid="{00000000-0005-0000-0000-0000D6800000}"/>
    <cellStyle name="Normal 5 75 3 3" xfId="26704" xr:uid="{00000000-0005-0000-0000-0000D7800000}"/>
    <cellStyle name="Normal 5 75 3 4" xfId="49966" xr:uid="{00000000-0005-0000-0000-0000D8800000}"/>
    <cellStyle name="Normal 5 75 4" xfId="17269" xr:uid="{00000000-0005-0000-0000-0000D9800000}"/>
    <cellStyle name="Normal 5 75 4 2" xfId="31401" xr:uid="{00000000-0005-0000-0000-0000DA800000}"/>
    <cellStyle name="Normal 5 75 4 3" xfId="45296" xr:uid="{00000000-0005-0000-0000-0000DB800000}"/>
    <cellStyle name="Normal 5 75 5" xfId="22082" xr:uid="{00000000-0005-0000-0000-0000DC800000}"/>
    <cellStyle name="Normal 5 75 6" xfId="40714" xr:uid="{00000000-0005-0000-0000-0000DD800000}"/>
    <cellStyle name="Normal 5 76" xfId="6729" xr:uid="{00000000-0005-0000-0000-0000DE800000}"/>
    <cellStyle name="Normal 5 76 2" xfId="12540" xr:uid="{00000000-0005-0000-0000-0000DF800000}"/>
    <cellStyle name="Normal 5 76 2 2" xfId="36025" xr:uid="{00000000-0005-0000-0000-0000E0800000}"/>
    <cellStyle name="Normal 5 76 2 3" xfId="26706" xr:uid="{00000000-0005-0000-0000-0000E1800000}"/>
    <cellStyle name="Normal 5 76 2 4" xfId="49968" xr:uid="{00000000-0005-0000-0000-0000E2800000}"/>
    <cellStyle name="Normal 5 76 3" xfId="17271" xr:uid="{00000000-0005-0000-0000-0000E3800000}"/>
    <cellStyle name="Normal 5 76 3 2" xfId="31403" xr:uid="{00000000-0005-0000-0000-0000E4800000}"/>
    <cellStyle name="Normal 5 76 3 3" xfId="45298" xr:uid="{00000000-0005-0000-0000-0000E5800000}"/>
    <cellStyle name="Normal 5 76 4" xfId="22084" xr:uid="{00000000-0005-0000-0000-0000E6800000}"/>
    <cellStyle name="Normal 5 76 5" xfId="40716" xr:uid="{00000000-0005-0000-0000-0000E7800000}"/>
    <cellStyle name="Normal 5 77" xfId="6730" xr:uid="{00000000-0005-0000-0000-0000E8800000}"/>
    <cellStyle name="Normal 5 77 2" xfId="12541" xr:uid="{00000000-0005-0000-0000-0000E9800000}"/>
    <cellStyle name="Normal 5 77 2 2" xfId="36026" xr:uid="{00000000-0005-0000-0000-0000EA800000}"/>
    <cellStyle name="Normal 5 77 2 3" xfId="26707" xr:uid="{00000000-0005-0000-0000-0000EB800000}"/>
    <cellStyle name="Normal 5 77 2 4" xfId="49969" xr:uid="{00000000-0005-0000-0000-0000EC800000}"/>
    <cellStyle name="Normal 5 77 3" xfId="17272" xr:uid="{00000000-0005-0000-0000-0000ED800000}"/>
    <cellStyle name="Normal 5 77 3 2" xfId="31404" xr:uid="{00000000-0005-0000-0000-0000EE800000}"/>
    <cellStyle name="Normal 5 77 3 3" xfId="45299" xr:uid="{00000000-0005-0000-0000-0000EF800000}"/>
    <cellStyle name="Normal 5 77 4" xfId="22085" xr:uid="{00000000-0005-0000-0000-0000F0800000}"/>
    <cellStyle name="Normal 5 77 5" xfId="40717" xr:uid="{00000000-0005-0000-0000-0000F1800000}"/>
    <cellStyle name="Normal 5 78" xfId="6731" xr:uid="{00000000-0005-0000-0000-0000F2800000}"/>
    <cellStyle name="Normal 5 78 2" xfId="12542" xr:uid="{00000000-0005-0000-0000-0000F3800000}"/>
    <cellStyle name="Normal 5 78 2 2" xfId="36027" xr:uid="{00000000-0005-0000-0000-0000F4800000}"/>
    <cellStyle name="Normal 5 78 2 3" xfId="26708" xr:uid="{00000000-0005-0000-0000-0000F5800000}"/>
    <cellStyle name="Normal 5 78 2 4" xfId="49970" xr:uid="{00000000-0005-0000-0000-0000F6800000}"/>
    <cellStyle name="Normal 5 78 3" xfId="17273" xr:uid="{00000000-0005-0000-0000-0000F7800000}"/>
    <cellStyle name="Normal 5 78 3 2" xfId="31405" xr:uid="{00000000-0005-0000-0000-0000F8800000}"/>
    <cellStyle name="Normal 5 78 3 3" xfId="45300" xr:uid="{00000000-0005-0000-0000-0000F9800000}"/>
    <cellStyle name="Normal 5 78 4" xfId="22086" xr:uid="{00000000-0005-0000-0000-0000FA800000}"/>
    <cellStyle name="Normal 5 78 5" xfId="40718" xr:uid="{00000000-0005-0000-0000-0000FB800000}"/>
    <cellStyle name="Normal 5 79" xfId="6732" xr:uid="{00000000-0005-0000-0000-0000FC800000}"/>
    <cellStyle name="Normal 5 79 2" xfId="12543" xr:uid="{00000000-0005-0000-0000-0000FD800000}"/>
    <cellStyle name="Normal 5 79 2 2" xfId="36028" xr:uid="{00000000-0005-0000-0000-0000FE800000}"/>
    <cellStyle name="Normal 5 79 2 3" xfId="26709" xr:uid="{00000000-0005-0000-0000-0000FF800000}"/>
    <cellStyle name="Normal 5 79 2 4" xfId="49971" xr:uid="{00000000-0005-0000-0000-000000810000}"/>
    <cellStyle name="Normal 5 79 3" xfId="17274" xr:uid="{00000000-0005-0000-0000-000001810000}"/>
    <cellStyle name="Normal 5 79 3 2" xfId="31406" xr:uid="{00000000-0005-0000-0000-000002810000}"/>
    <cellStyle name="Normal 5 79 3 3" xfId="45301" xr:uid="{00000000-0005-0000-0000-000003810000}"/>
    <cellStyle name="Normal 5 79 4" xfId="22087" xr:uid="{00000000-0005-0000-0000-000004810000}"/>
    <cellStyle name="Normal 5 79 5" xfId="40719" xr:uid="{00000000-0005-0000-0000-000005810000}"/>
    <cellStyle name="Normal 5 8" xfId="6733" xr:uid="{00000000-0005-0000-0000-000006810000}"/>
    <cellStyle name="Normal 5 8 10" xfId="22088" xr:uid="{00000000-0005-0000-0000-000007810000}"/>
    <cellStyle name="Normal 5 8 11" xfId="40720" xr:uid="{00000000-0005-0000-0000-000008810000}"/>
    <cellStyle name="Normal 5 8 2" xfId="6734" xr:uid="{00000000-0005-0000-0000-000009810000}"/>
    <cellStyle name="Normal 5 8 2 2" xfId="6735" xr:uid="{00000000-0005-0000-0000-00000A810000}"/>
    <cellStyle name="Normal 5 8 2 2 2" xfId="12546" xr:uid="{00000000-0005-0000-0000-00000B810000}"/>
    <cellStyle name="Normal 5 8 2 2 2 2" xfId="36031" xr:uid="{00000000-0005-0000-0000-00000C810000}"/>
    <cellStyle name="Normal 5 8 2 2 2 3" xfId="26712" xr:uid="{00000000-0005-0000-0000-00000D810000}"/>
    <cellStyle name="Normal 5 8 2 2 2 4" xfId="49974" xr:uid="{00000000-0005-0000-0000-00000E810000}"/>
    <cellStyle name="Normal 5 8 2 2 3" xfId="17277" xr:uid="{00000000-0005-0000-0000-00000F810000}"/>
    <cellStyle name="Normal 5 8 2 2 3 2" xfId="31409" xr:uid="{00000000-0005-0000-0000-000010810000}"/>
    <cellStyle name="Normal 5 8 2 2 3 3" xfId="45304" xr:uid="{00000000-0005-0000-0000-000011810000}"/>
    <cellStyle name="Normal 5 8 2 2 4" xfId="22090" xr:uid="{00000000-0005-0000-0000-000012810000}"/>
    <cellStyle name="Normal 5 8 2 2 5" xfId="40722" xr:uid="{00000000-0005-0000-0000-000013810000}"/>
    <cellStyle name="Normal 5 8 2 3" xfId="12545" xr:uid="{00000000-0005-0000-0000-000014810000}"/>
    <cellStyle name="Normal 5 8 2 3 2" xfId="36030" xr:uid="{00000000-0005-0000-0000-000015810000}"/>
    <cellStyle name="Normal 5 8 2 3 3" xfId="26711" xr:uid="{00000000-0005-0000-0000-000016810000}"/>
    <cellStyle name="Normal 5 8 2 3 4" xfId="49973" xr:uid="{00000000-0005-0000-0000-000017810000}"/>
    <cellStyle name="Normal 5 8 2 4" xfId="17276" xr:uid="{00000000-0005-0000-0000-000018810000}"/>
    <cellStyle name="Normal 5 8 2 4 2" xfId="31408" xr:uid="{00000000-0005-0000-0000-000019810000}"/>
    <cellStyle name="Normal 5 8 2 4 3" xfId="45303" xr:uid="{00000000-0005-0000-0000-00001A810000}"/>
    <cellStyle name="Normal 5 8 2 5" xfId="22089" xr:uid="{00000000-0005-0000-0000-00001B810000}"/>
    <cellStyle name="Normal 5 8 2 6" xfId="40721" xr:uid="{00000000-0005-0000-0000-00001C810000}"/>
    <cellStyle name="Normal 5 8 3" xfId="6736" xr:uid="{00000000-0005-0000-0000-00001D810000}"/>
    <cellStyle name="Normal 5 8 3 2" xfId="6737" xr:uid="{00000000-0005-0000-0000-00001E810000}"/>
    <cellStyle name="Normal 5 8 3 2 2" xfId="12548" xr:uid="{00000000-0005-0000-0000-00001F810000}"/>
    <cellStyle name="Normal 5 8 3 2 2 2" xfId="36033" xr:uid="{00000000-0005-0000-0000-000020810000}"/>
    <cellStyle name="Normal 5 8 3 2 2 3" xfId="26714" xr:uid="{00000000-0005-0000-0000-000021810000}"/>
    <cellStyle name="Normal 5 8 3 2 2 4" xfId="49976" xr:uid="{00000000-0005-0000-0000-000022810000}"/>
    <cellStyle name="Normal 5 8 3 2 3" xfId="17279" xr:uid="{00000000-0005-0000-0000-000023810000}"/>
    <cellStyle name="Normal 5 8 3 2 3 2" xfId="31411" xr:uid="{00000000-0005-0000-0000-000024810000}"/>
    <cellStyle name="Normal 5 8 3 2 3 3" xfId="45306" xr:uid="{00000000-0005-0000-0000-000025810000}"/>
    <cellStyle name="Normal 5 8 3 2 4" xfId="22092" xr:uid="{00000000-0005-0000-0000-000026810000}"/>
    <cellStyle name="Normal 5 8 3 2 5" xfId="40724" xr:uid="{00000000-0005-0000-0000-000027810000}"/>
    <cellStyle name="Normal 5 8 3 3" xfId="12547" xr:uid="{00000000-0005-0000-0000-000028810000}"/>
    <cellStyle name="Normal 5 8 3 3 2" xfId="36032" xr:uid="{00000000-0005-0000-0000-000029810000}"/>
    <cellStyle name="Normal 5 8 3 3 3" xfId="26713" xr:uid="{00000000-0005-0000-0000-00002A810000}"/>
    <cellStyle name="Normal 5 8 3 3 4" xfId="49975" xr:uid="{00000000-0005-0000-0000-00002B810000}"/>
    <cellStyle name="Normal 5 8 3 4" xfId="17278" xr:uid="{00000000-0005-0000-0000-00002C810000}"/>
    <cellStyle name="Normal 5 8 3 4 2" xfId="31410" xr:uid="{00000000-0005-0000-0000-00002D810000}"/>
    <cellStyle name="Normal 5 8 3 4 3" xfId="45305" xr:uid="{00000000-0005-0000-0000-00002E810000}"/>
    <cellStyle name="Normal 5 8 3 5" xfId="22091" xr:uid="{00000000-0005-0000-0000-00002F810000}"/>
    <cellStyle name="Normal 5 8 3 6" xfId="40723" xr:uid="{00000000-0005-0000-0000-000030810000}"/>
    <cellStyle name="Normal 5 8 4" xfId="6738" xr:uid="{00000000-0005-0000-0000-000031810000}"/>
    <cellStyle name="Normal 5 8 4 2" xfId="6739" xr:uid="{00000000-0005-0000-0000-000032810000}"/>
    <cellStyle name="Normal 5 8 4 2 2" xfId="12550" xr:uid="{00000000-0005-0000-0000-000033810000}"/>
    <cellStyle name="Normal 5 8 4 2 2 2" xfId="36035" xr:uid="{00000000-0005-0000-0000-000034810000}"/>
    <cellStyle name="Normal 5 8 4 2 2 3" xfId="26716" xr:uid="{00000000-0005-0000-0000-000035810000}"/>
    <cellStyle name="Normal 5 8 4 2 2 4" xfId="49978" xr:uid="{00000000-0005-0000-0000-000036810000}"/>
    <cellStyle name="Normal 5 8 4 2 3" xfId="17281" xr:uid="{00000000-0005-0000-0000-000037810000}"/>
    <cellStyle name="Normal 5 8 4 2 3 2" xfId="31413" xr:uid="{00000000-0005-0000-0000-000038810000}"/>
    <cellStyle name="Normal 5 8 4 2 3 3" xfId="45308" xr:uid="{00000000-0005-0000-0000-000039810000}"/>
    <cellStyle name="Normal 5 8 4 2 4" xfId="22094" xr:uid="{00000000-0005-0000-0000-00003A810000}"/>
    <cellStyle name="Normal 5 8 4 2 5" xfId="40726" xr:uid="{00000000-0005-0000-0000-00003B810000}"/>
    <cellStyle name="Normal 5 8 4 3" xfId="12549" xr:uid="{00000000-0005-0000-0000-00003C810000}"/>
    <cellStyle name="Normal 5 8 4 3 2" xfId="36034" xr:uid="{00000000-0005-0000-0000-00003D810000}"/>
    <cellStyle name="Normal 5 8 4 3 3" xfId="26715" xr:uid="{00000000-0005-0000-0000-00003E810000}"/>
    <cellStyle name="Normal 5 8 4 3 4" xfId="49977" xr:uid="{00000000-0005-0000-0000-00003F810000}"/>
    <cellStyle name="Normal 5 8 4 4" xfId="17280" xr:uid="{00000000-0005-0000-0000-000040810000}"/>
    <cellStyle name="Normal 5 8 4 4 2" xfId="31412" xr:uid="{00000000-0005-0000-0000-000041810000}"/>
    <cellStyle name="Normal 5 8 4 4 3" xfId="45307" xr:uid="{00000000-0005-0000-0000-000042810000}"/>
    <cellStyle name="Normal 5 8 4 5" xfId="22093" xr:uid="{00000000-0005-0000-0000-000043810000}"/>
    <cellStyle name="Normal 5 8 4 6" xfId="40725" xr:uid="{00000000-0005-0000-0000-000044810000}"/>
    <cellStyle name="Normal 5 8 5" xfId="6740" xr:uid="{00000000-0005-0000-0000-000045810000}"/>
    <cellStyle name="Normal 5 8 5 2" xfId="6741" xr:uid="{00000000-0005-0000-0000-000046810000}"/>
    <cellStyle name="Normal 5 8 5 2 2" xfId="12552" xr:uid="{00000000-0005-0000-0000-000047810000}"/>
    <cellStyle name="Normal 5 8 5 2 2 2" xfId="36037" xr:uid="{00000000-0005-0000-0000-000048810000}"/>
    <cellStyle name="Normal 5 8 5 2 2 3" xfId="26718" xr:uid="{00000000-0005-0000-0000-000049810000}"/>
    <cellStyle name="Normal 5 8 5 2 2 4" xfId="49980" xr:uid="{00000000-0005-0000-0000-00004A810000}"/>
    <cellStyle name="Normal 5 8 5 2 3" xfId="17283" xr:uid="{00000000-0005-0000-0000-00004B810000}"/>
    <cellStyle name="Normal 5 8 5 2 3 2" xfId="31415" xr:uid="{00000000-0005-0000-0000-00004C810000}"/>
    <cellStyle name="Normal 5 8 5 2 3 3" xfId="45310" xr:uid="{00000000-0005-0000-0000-00004D810000}"/>
    <cellStyle name="Normal 5 8 5 2 4" xfId="22096" xr:uid="{00000000-0005-0000-0000-00004E810000}"/>
    <cellStyle name="Normal 5 8 5 2 5" xfId="40728" xr:uid="{00000000-0005-0000-0000-00004F810000}"/>
    <cellStyle name="Normal 5 8 5 3" xfId="12551" xr:uid="{00000000-0005-0000-0000-000050810000}"/>
    <cellStyle name="Normal 5 8 5 3 2" xfId="36036" xr:uid="{00000000-0005-0000-0000-000051810000}"/>
    <cellStyle name="Normal 5 8 5 3 3" xfId="26717" xr:uid="{00000000-0005-0000-0000-000052810000}"/>
    <cellStyle name="Normal 5 8 5 3 4" xfId="49979" xr:uid="{00000000-0005-0000-0000-000053810000}"/>
    <cellStyle name="Normal 5 8 5 4" xfId="17282" xr:uid="{00000000-0005-0000-0000-000054810000}"/>
    <cellStyle name="Normal 5 8 5 4 2" xfId="31414" xr:uid="{00000000-0005-0000-0000-000055810000}"/>
    <cellStyle name="Normal 5 8 5 4 3" xfId="45309" xr:uid="{00000000-0005-0000-0000-000056810000}"/>
    <cellStyle name="Normal 5 8 5 5" xfId="22095" xr:uid="{00000000-0005-0000-0000-000057810000}"/>
    <cellStyle name="Normal 5 8 5 6" xfId="40727" xr:uid="{00000000-0005-0000-0000-000058810000}"/>
    <cellStyle name="Normal 5 8 6" xfId="6742" xr:uid="{00000000-0005-0000-0000-000059810000}"/>
    <cellStyle name="Normal 5 8 6 2" xfId="6743" xr:uid="{00000000-0005-0000-0000-00005A810000}"/>
    <cellStyle name="Normal 5 8 6 2 2" xfId="12554" xr:uid="{00000000-0005-0000-0000-00005B810000}"/>
    <cellStyle name="Normal 5 8 6 2 2 2" xfId="36039" xr:uid="{00000000-0005-0000-0000-00005C810000}"/>
    <cellStyle name="Normal 5 8 6 2 2 3" xfId="26720" xr:uid="{00000000-0005-0000-0000-00005D810000}"/>
    <cellStyle name="Normal 5 8 6 2 2 4" xfId="49982" xr:uid="{00000000-0005-0000-0000-00005E810000}"/>
    <cellStyle name="Normal 5 8 6 2 3" xfId="17285" xr:uid="{00000000-0005-0000-0000-00005F810000}"/>
    <cellStyle name="Normal 5 8 6 2 3 2" xfId="31417" xr:uid="{00000000-0005-0000-0000-000060810000}"/>
    <cellStyle name="Normal 5 8 6 2 3 3" xfId="45312" xr:uid="{00000000-0005-0000-0000-000061810000}"/>
    <cellStyle name="Normal 5 8 6 2 4" xfId="22098" xr:uid="{00000000-0005-0000-0000-000062810000}"/>
    <cellStyle name="Normal 5 8 6 2 5" xfId="40730" xr:uid="{00000000-0005-0000-0000-000063810000}"/>
    <cellStyle name="Normal 5 8 6 3" xfId="12553" xr:uid="{00000000-0005-0000-0000-000064810000}"/>
    <cellStyle name="Normal 5 8 6 3 2" xfId="36038" xr:uid="{00000000-0005-0000-0000-000065810000}"/>
    <cellStyle name="Normal 5 8 6 3 3" xfId="26719" xr:uid="{00000000-0005-0000-0000-000066810000}"/>
    <cellStyle name="Normal 5 8 6 3 4" xfId="49981" xr:uid="{00000000-0005-0000-0000-000067810000}"/>
    <cellStyle name="Normal 5 8 6 4" xfId="17284" xr:uid="{00000000-0005-0000-0000-000068810000}"/>
    <cellStyle name="Normal 5 8 6 4 2" xfId="31416" xr:uid="{00000000-0005-0000-0000-000069810000}"/>
    <cellStyle name="Normal 5 8 6 4 3" xfId="45311" xr:uid="{00000000-0005-0000-0000-00006A810000}"/>
    <cellStyle name="Normal 5 8 6 5" xfId="22097" xr:uid="{00000000-0005-0000-0000-00006B810000}"/>
    <cellStyle name="Normal 5 8 6 6" xfId="40729" xr:uid="{00000000-0005-0000-0000-00006C810000}"/>
    <cellStyle name="Normal 5 8 7" xfId="6744" xr:uid="{00000000-0005-0000-0000-00006D810000}"/>
    <cellStyle name="Normal 5 8 7 2" xfId="12555" xr:uid="{00000000-0005-0000-0000-00006E810000}"/>
    <cellStyle name="Normal 5 8 7 2 2" xfId="36040" xr:uid="{00000000-0005-0000-0000-00006F810000}"/>
    <cellStyle name="Normal 5 8 7 2 3" xfId="26721" xr:uid="{00000000-0005-0000-0000-000070810000}"/>
    <cellStyle name="Normal 5 8 7 2 4" xfId="49983" xr:uid="{00000000-0005-0000-0000-000071810000}"/>
    <cellStyle name="Normal 5 8 7 3" xfId="17286" xr:uid="{00000000-0005-0000-0000-000072810000}"/>
    <cellStyle name="Normal 5 8 7 3 2" xfId="31418" xr:uid="{00000000-0005-0000-0000-000073810000}"/>
    <cellStyle name="Normal 5 8 7 3 3" xfId="45313" xr:uid="{00000000-0005-0000-0000-000074810000}"/>
    <cellStyle name="Normal 5 8 7 4" xfId="22099" xr:uid="{00000000-0005-0000-0000-000075810000}"/>
    <cellStyle name="Normal 5 8 7 5" xfId="40731" xr:uid="{00000000-0005-0000-0000-000076810000}"/>
    <cellStyle name="Normal 5 8 8" xfId="12544" xr:uid="{00000000-0005-0000-0000-000077810000}"/>
    <cellStyle name="Normal 5 8 8 2" xfId="36029" xr:uid="{00000000-0005-0000-0000-000078810000}"/>
    <cellStyle name="Normal 5 8 8 3" xfId="26710" xr:uid="{00000000-0005-0000-0000-000079810000}"/>
    <cellStyle name="Normal 5 8 8 4" xfId="49972" xr:uid="{00000000-0005-0000-0000-00007A810000}"/>
    <cellStyle name="Normal 5 8 9" xfId="17275" xr:uid="{00000000-0005-0000-0000-00007B810000}"/>
    <cellStyle name="Normal 5 8 9 2" xfId="31407" xr:uid="{00000000-0005-0000-0000-00007C810000}"/>
    <cellStyle name="Normal 5 8 9 3" xfId="45302" xr:uid="{00000000-0005-0000-0000-00007D810000}"/>
    <cellStyle name="Normal 5 80" xfId="422" xr:uid="{00000000-0005-0000-0000-00007E810000}"/>
    <cellStyle name="Normal 5 80 2" xfId="9680" xr:uid="{00000000-0005-0000-0000-00007F810000}"/>
    <cellStyle name="Normal 5 80 2 2" xfId="33171" xr:uid="{00000000-0005-0000-0000-000080810000}"/>
    <cellStyle name="Normal 5 80 2 3" xfId="23856" xr:uid="{00000000-0005-0000-0000-000081810000}"/>
    <cellStyle name="Normal 5 80 2 4" xfId="47114" xr:uid="{00000000-0005-0000-0000-000082810000}"/>
    <cellStyle name="Normal 5 80 3" xfId="14441" xr:uid="{00000000-0005-0000-0000-000083810000}"/>
    <cellStyle name="Normal 5 80 3 2" xfId="28572" xr:uid="{00000000-0005-0000-0000-000084810000}"/>
    <cellStyle name="Normal 5 80 3 3" xfId="42452" xr:uid="{00000000-0005-0000-0000-000085810000}"/>
    <cellStyle name="Normal 5 80 4" xfId="19252" xr:uid="{00000000-0005-0000-0000-000086810000}"/>
    <cellStyle name="Normal 5 80 5" xfId="37887" xr:uid="{00000000-0005-0000-0000-000087810000}"/>
    <cellStyle name="Normal 5 81" xfId="9487" xr:uid="{00000000-0005-0000-0000-000088810000}"/>
    <cellStyle name="Normal 5 81 2" xfId="14156" xr:uid="{00000000-0005-0000-0000-000089810000}"/>
    <cellStyle name="Normal 5 81 2 2" xfId="37634" xr:uid="{00000000-0005-0000-0000-00008A810000}"/>
    <cellStyle name="Normal 5 81 2 3" xfId="28320" xr:uid="{00000000-0005-0000-0000-00008B810000}"/>
    <cellStyle name="Normal 5 81 2 4" xfId="51583" xr:uid="{00000000-0005-0000-0000-00008C810000}"/>
    <cellStyle name="Normal 5 81 3" xfId="18868" xr:uid="{00000000-0005-0000-0000-00008D810000}"/>
    <cellStyle name="Normal 5 81 3 2" xfId="33000" xr:uid="{00000000-0005-0000-0000-00008E810000}"/>
    <cellStyle name="Normal 5 81 3 3" xfId="46902" xr:uid="{00000000-0005-0000-0000-00008F810000}"/>
    <cellStyle name="Normal 5 81 4" xfId="23686" xr:uid="{00000000-0005-0000-0000-000090810000}"/>
    <cellStyle name="Normal 5 81 5" xfId="42273" xr:uid="{00000000-0005-0000-0000-000091810000}"/>
    <cellStyle name="Normal 5 82" xfId="9527" xr:uid="{00000000-0005-0000-0000-000092810000}"/>
    <cellStyle name="Normal 5 82 2" xfId="14193" xr:uid="{00000000-0005-0000-0000-000093810000}"/>
    <cellStyle name="Normal 5 82 2 2" xfId="37668" xr:uid="{00000000-0005-0000-0000-000094810000}"/>
    <cellStyle name="Normal 5 82 2 3" xfId="28353" xr:uid="{00000000-0005-0000-0000-000095810000}"/>
    <cellStyle name="Normal 5 82 2 4" xfId="51620" xr:uid="{00000000-0005-0000-0000-000096810000}"/>
    <cellStyle name="Normal 5 82 3" xfId="18901" xr:uid="{00000000-0005-0000-0000-000097810000}"/>
    <cellStyle name="Normal 5 82 3 2" xfId="33034" xr:uid="{00000000-0005-0000-0000-000098810000}"/>
    <cellStyle name="Normal 5 82 3 3" xfId="46940" xr:uid="{00000000-0005-0000-0000-000099810000}"/>
    <cellStyle name="Normal 5 82 4" xfId="23721" xr:uid="{00000000-0005-0000-0000-00009A810000}"/>
    <cellStyle name="Normal 5 82 5" xfId="42306" xr:uid="{00000000-0005-0000-0000-00009B810000}"/>
    <cellStyle name="Normal 5 83" xfId="9621" xr:uid="{00000000-0005-0000-0000-00009C810000}"/>
    <cellStyle name="Normal 5 83 2" xfId="33116" xr:uid="{00000000-0005-0000-0000-00009D810000}"/>
    <cellStyle name="Normal 5 83 3" xfId="23804" xr:uid="{00000000-0005-0000-0000-00009E810000}"/>
    <cellStyle name="Normal 5 83 4" xfId="47057" xr:uid="{00000000-0005-0000-0000-00009F810000}"/>
    <cellStyle name="Normal 5 84" xfId="14388" xr:uid="{00000000-0005-0000-0000-0000A0810000}"/>
    <cellStyle name="Normal 5 84 2" xfId="28520" xr:uid="{00000000-0005-0000-0000-0000A1810000}"/>
    <cellStyle name="Normal 5 84 3" xfId="42391" xr:uid="{00000000-0005-0000-0000-0000A2810000}"/>
    <cellStyle name="Normal 5 85" xfId="19201" xr:uid="{00000000-0005-0000-0000-0000A3810000}"/>
    <cellStyle name="Normal 5 86" xfId="37836" xr:uid="{00000000-0005-0000-0000-0000A4810000}"/>
    <cellStyle name="Normal 5 87" xfId="51775" xr:uid="{00000000-0005-0000-0000-0000A5810000}"/>
    <cellStyle name="Normal 5 9" xfId="6745" xr:uid="{00000000-0005-0000-0000-0000A6810000}"/>
    <cellStyle name="Normal 5 9 10" xfId="22100" xr:uid="{00000000-0005-0000-0000-0000A7810000}"/>
    <cellStyle name="Normal 5 9 11" xfId="40732" xr:uid="{00000000-0005-0000-0000-0000A8810000}"/>
    <cellStyle name="Normal 5 9 2" xfId="6746" xr:uid="{00000000-0005-0000-0000-0000A9810000}"/>
    <cellStyle name="Normal 5 9 2 2" xfId="6747" xr:uid="{00000000-0005-0000-0000-0000AA810000}"/>
    <cellStyle name="Normal 5 9 2 2 2" xfId="12558" xr:uid="{00000000-0005-0000-0000-0000AB810000}"/>
    <cellStyle name="Normal 5 9 2 2 2 2" xfId="36043" xr:uid="{00000000-0005-0000-0000-0000AC810000}"/>
    <cellStyle name="Normal 5 9 2 2 2 3" xfId="26724" xr:uid="{00000000-0005-0000-0000-0000AD810000}"/>
    <cellStyle name="Normal 5 9 2 2 2 4" xfId="49986" xr:uid="{00000000-0005-0000-0000-0000AE810000}"/>
    <cellStyle name="Normal 5 9 2 2 3" xfId="17289" xr:uid="{00000000-0005-0000-0000-0000AF810000}"/>
    <cellStyle name="Normal 5 9 2 2 3 2" xfId="31421" xr:uid="{00000000-0005-0000-0000-0000B0810000}"/>
    <cellStyle name="Normal 5 9 2 2 3 3" xfId="45316" xr:uid="{00000000-0005-0000-0000-0000B1810000}"/>
    <cellStyle name="Normal 5 9 2 2 4" xfId="22102" xr:uid="{00000000-0005-0000-0000-0000B2810000}"/>
    <cellStyle name="Normal 5 9 2 2 5" xfId="40734" xr:uid="{00000000-0005-0000-0000-0000B3810000}"/>
    <cellStyle name="Normal 5 9 2 3" xfId="12557" xr:uid="{00000000-0005-0000-0000-0000B4810000}"/>
    <cellStyle name="Normal 5 9 2 3 2" xfId="36042" xr:uid="{00000000-0005-0000-0000-0000B5810000}"/>
    <cellStyle name="Normal 5 9 2 3 3" xfId="26723" xr:uid="{00000000-0005-0000-0000-0000B6810000}"/>
    <cellStyle name="Normal 5 9 2 3 4" xfId="49985" xr:uid="{00000000-0005-0000-0000-0000B7810000}"/>
    <cellStyle name="Normal 5 9 2 4" xfId="17288" xr:uid="{00000000-0005-0000-0000-0000B8810000}"/>
    <cellStyle name="Normal 5 9 2 4 2" xfId="31420" xr:uid="{00000000-0005-0000-0000-0000B9810000}"/>
    <cellStyle name="Normal 5 9 2 4 3" xfId="45315" xr:uid="{00000000-0005-0000-0000-0000BA810000}"/>
    <cellStyle name="Normal 5 9 2 5" xfId="22101" xr:uid="{00000000-0005-0000-0000-0000BB810000}"/>
    <cellStyle name="Normal 5 9 2 6" xfId="40733" xr:uid="{00000000-0005-0000-0000-0000BC810000}"/>
    <cellStyle name="Normal 5 9 3" xfId="6748" xr:uid="{00000000-0005-0000-0000-0000BD810000}"/>
    <cellStyle name="Normal 5 9 3 2" xfId="6749" xr:uid="{00000000-0005-0000-0000-0000BE810000}"/>
    <cellStyle name="Normal 5 9 3 2 2" xfId="12560" xr:uid="{00000000-0005-0000-0000-0000BF810000}"/>
    <cellStyle name="Normal 5 9 3 2 2 2" xfId="36045" xr:uid="{00000000-0005-0000-0000-0000C0810000}"/>
    <cellStyle name="Normal 5 9 3 2 2 3" xfId="26726" xr:uid="{00000000-0005-0000-0000-0000C1810000}"/>
    <cellStyle name="Normal 5 9 3 2 2 4" xfId="49988" xr:uid="{00000000-0005-0000-0000-0000C2810000}"/>
    <cellStyle name="Normal 5 9 3 2 3" xfId="17291" xr:uid="{00000000-0005-0000-0000-0000C3810000}"/>
    <cellStyle name="Normal 5 9 3 2 3 2" xfId="31423" xr:uid="{00000000-0005-0000-0000-0000C4810000}"/>
    <cellStyle name="Normal 5 9 3 2 3 3" xfId="45318" xr:uid="{00000000-0005-0000-0000-0000C5810000}"/>
    <cellStyle name="Normal 5 9 3 2 4" xfId="22104" xr:uid="{00000000-0005-0000-0000-0000C6810000}"/>
    <cellStyle name="Normal 5 9 3 2 5" xfId="40736" xr:uid="{00000000-0005-0000-0000-0000C7810000}"/>
    <cellStyle name="Normal 5 9 3 3" xfId="12559" xr:uid="{00000000-0005-0000-0000-0000C8810000}"/>
    <cellStyle name="Normal 5 9 3 3 2" xfId="36044" xr:uid="{00000000-0005-0000-0000-0000C9810000}"/>
    <cellStyle name="Normal 5 9 3 3 3" xfId="26725" xr:uid="{00000000-0005-0000-0000-0000CA810000}"/>
    <cellStyle name="Normal 5 9 3 3 4" xfId="49987" xr:uid="{00000000-0005-0000-0000-0000CB810000}"/>
    <cellStyle name="Normal 5 9 3 4" xfId="17290" xr:uid="{00000000-0005-0000-0000-0000CC810000}"/>
    <cellStyle name="Normal 5 9 3 4 2" xfId="31422" xr:uid="{00000000-0005-0000-0000-0000CD810000}"/>
    <cellStyle name="Normal 5 9 3 4 3" xfId="45317" xr:uid="{00000000-0005-0000-0000-0000CE810000}"/>
    <cellStyle name="Normal 5 9 3 5" xfId="22103" xr:uid="{00000000-0005-0000-0000-0000CF810000}"/>
    <cellStyle name="Normal 5 9 3 6" xfId="40735" xr:uid="{00000000-0005-0000-0000-0000D0810000}"/>
    <cellStyle name="Normal 5 9 4" xfId="6750" xr:uid="{00000000-0005-0000-0000-0000D1810000}"/>
    <cellStyle name="Normal 5 9 4 2" xfId="6751" xr:uid="{00000000-0005-0000-0000-0000D2810000}"/>
    <cellStyle name="Normal 5 9 4 2 2" xfId="12562" xr:uid="{00000000-0005-0000-0000-0000D3810000}"/>
    <cellStyle name="Normal 5 9 4 2 2 2" xfId="36047" xr:uid="{00000000-0005-0000-0000-0000D4810000}"/>
    <cellStyle name="Normal 5 9 4 2 2 3" xfId="26728" xr:uid="{00000000-0005-0000-0000-0000D5810000}"/>
    <cellStyle name="Normal 5 9 4 2 2 4" xfId="49990" xr:uid="{00000000-0005-0000-0000-0000D6810000}"/>
    <cellStyle name="Normal 5 9 4 2 3" xfId="17293" xr:uid="{00000000-0005-0000-0000-0000D7810000}"/>
    <cellStyle name="Normal 5 9 4 2 3 2" xfId="31425" xr:uid="{00000000-0005-0000-0000-0000D8810000}"/>
    <cellStyle name="Normal 5 9 4 2 3 3" xfId="45320" xr:uid="{00000000-0005-0000-0000-0000D9810000}"/>
    <cellStyle name="Normal 5 9 4 2 4" xfId="22106" xr:uid="{00000000-0005-0000-0000-0000DA810000}"/>
    <cellStyle name="Normal 5 9 4 2 5" xfId="40738" xr:uid="{00000000-0005-0000-0000-0000DB810000}"/>
    <cellStyle name="Normal 5 9 4 3" xfId="12561" xr:uid="{00000000-0005-0000-0000-0000DC810000}"/>
    <cellStyle name="Normal 5 9 4 3 2" xfId="36046" xr:uid="{00000000-0005-0000-0000-0000DD810000}"/>
    <cellStyle name="Normal 5 9 4 3 3" xfId="26727" xr:uid="{00000000-0005-0000-0000-0000DE810000}"/>
    <cellStyle name="Normal 5 9 4 3 4" xfId="49989" xr:uid="{00000000-0005-0000-0000-0000DF810000}"/>
    <cellStyle name="Normal 5 9 4 4" xfId="17292" xr:uid="{00000000-0005-0000-0000-0000E0810000}"/>
    <cellStyle name="Normal 5 9 4 4 2" xfId="31424" xr:uid="{00000000-0005-0000-0000-0000E1810000}"/>
    <cellStyle name="Normal 5 9 4 4 3" xfId="45319" xr:uid="{00000000-0005-0000-0000-0000E2810000}"/>
    <cellStyle name="Normal 5 9 4 5" xfId="22105" xr:uid="{00000000-0005-0000-0000-0000E3810000}"/>
    <cellStyle name="Normal 5 9 4 6" xfId="40737" xr:uid="{00000000-0005-0000-0000-0000E4810000}"/>
    <cellStyle name="Normal 5 9 5" xfId="6752" xr:uid="{00000000-0005-0000-0000-0000E5810000}"/>
    <cellStyle name="Normal 5 9 5 2" xfId="6753" xr:uid="{00000000-0005-0000-0000-0000E6810000}"/>
    <cellStyle name="Normal 5 9 5 2 2" xfId="12564" xr:uid="{00000000-0005-0000-0000-0000E7810000}"/>
    <cellStyle name="Normal 5 9 5 2 2 2" xfId="36049" xr:uid="{00000000-0005-0000-0000-0000E8810000}"/>
    <cellStyle name="Normal 5 9 5 2 2 3" xfId="26730" xr:uid="{00000000-0005-0000-0000-0000E9810000}"/>
    <cellStyle name="Normal 5 9 5 2 2 4" xfId="49992" xr:uid="{00000000-0005-0000-0000-0000EA810000}"/>
    <cellStyle name="Normal 5 9 5 2 3" xfId="17295" xr:uid="{00000000-0005-0000-0000-0000EB810000}"/>
    <cellStyle name="Normal 5 9 5 2 3 2" xfId="31427" xr:uid="{00000000-0005-0000-0000-0000EC810000}"/>
    <cellStyle name="Normal 5 9 5 2 3 3" xfId="45322" xr:uid="{00000000-0005-0000-0000-0000ED810000}"/>
    <cellStyle name="Normal 5 9 5 2 4" xfId="22108" xr:uid="{00000000-0005-0000-0000-0000EE810000}"/>
    <cellStyle name="Normal 5 9 5 2 5" xfId="40740" xr:uid="{00000000-0005-0000-0000-0000EF810000}"/>
    <cellStyle name="Normal 5 9 5 3" xfId="12563" xr:uid="{00000000-0005-0000-0000-0000F0810000}"/>
    <cellStyle name="Normal 5 9 5 3 2" xfId="36048" xr:uid="{00000000-0005-0000-0000-0000F1810000}"/>
    <cellStyle name="Normal 5 9 5 3 3" xfId="26729" xr:uid="{00000000-0005-0000-0000-0000F2810000}"/>
    <cellStyle name="Normal 5 9 5 3 4" xfId="49991" xr:uid="{00000000-0005-0000-0000-0000F3810000}"/>
    <cellStyle name="Normal 5 9 5 4" xfId="17294" xr:uid="{00000000-0005-0000-0000-0000F4810000}"/>
    <cellStyle name="Normal 5 9 5 4 2" xfId="31426" xr:uid="{00000000-0005-0000-0000-0000F5810000}"/>
    <cellStyle name="Normal 5 9 5 4 3" xfId="45321" xr:uid="{00000000-0005-0000-0000-0000F6810000}"/>
    <cellStyle name="Normal 5 9 5 5" xfId="22107" xr:uid="{00000000-0005-0000-0000-0000F7810000}"/>
    <cellStyle name="Normal 5 9 5 6" xfId="40739" xr:uid="{00000000-0005-0000-0000-0000F8810000}"/>
    <cellStyle name="Normal 5 9 6" xfId="6754" xr:uid="{00000000-0005-0000-0000-0000F9810000}"/>
    <cellStyle name="Normal 5 9 6 2" xfId="6755" xr:uid="{00000000-0005-0000-0000-0000FA810000}"/>
    <cellStyle name="Normal 5 9 6 2 2" xfId="12566" xr:uid="{00000000-0005-0000-0000-0000FB810000}"/>
    <cellStyle name="Normal 5 9 6 2 2 2" xfId="36051" xr:uid="{00000000-0005-0000-0000-0000FC810000}"/>
    <cellStyle name="Normal 5 9 6 2 2 3" xfId="26732" xr:uid="{00000000-0005-0000-0000-0000FD810000}"/>
    <cellStyle name="Normal 5 9 6 2 2 4" xfId="49994" xr:uid="{00000000-0005-0000-0000-0000FE810000}"/>
    <cellStyle name="Normal 5 9 6 2 3" xfId="17297" xr:uid="{00000000-0005-0000-0000-0000FF810000}"/>
    <cellStyle name="Normal 5 9 6 2 3 2" xfId="31429" xr:uid="{00000000-0005-0000-0000-000000820000}"/>
    <cellStyle name="Normal 5 9 6 2 3 3" xfId="45324" xr:uid="{00000000-0005-0000-0000-000001820000}"/>
    <cellStyle name="Normal 5 9 6 2 4" xfId="22110" xr:uid="{00000000-0005-0000-0000-000002820000}"/>
    <cellStyle name="Normal 5 9 6 2 5" xfId="40742" xr:uid="{00000000-0005-0000-0000-000003820000}"/>
    <cellStyle name="Normal 5 9 6 3" xfId="12565" xr:uid="{00000000-0005-0000-0000-000004820000}"/>
    <cellStyle name="Normal 5 9 6 3 2" xfId="36050" xr:uid="{00000000-0005-0000-0000-000005820000}"/>
    <cellStyle name="Normal 5 9 6 3 3" xfId="26731" xr:uid="{00000000-0005-0000-0000-000006820000}"/>
    <cellStyle name="Normal 5 9 6 3 4" xfId="49993" xr:uid="{00000000-0005-0000-0000-000007820000}"/>
    <cellStyle name="Normal 5 9 6 4" xfId="17296" xr:uid="{00000000-0005-0000-0000-000008820000}"/>
    <cellStyle name="Normal 5 9 6 4 2" xfId="31428" xr:uid="{00000000-0005-0000-0000-000009820000}"/>
    <cellStyle name="Normal 5 9 6 4 3" xfId="45323" xr:uid="{00000000-0005-0000-0000-00000A820000}"/>
    <cellStyle name="Normal 5 9 6 5" xfId="22109" xr:uid="{00000000-0005-0000-0000-00000B820000}"/>
    <cellStyle name="Normal 5 9 6 6" xfId="40741" xr:uid="{00000000-0005-0000-0000-00000C820000}"/>
    <cellStyle name="Normal 5 9 7" xfId="6756" xr:uid="{00000000-0005-0000-0000-00000D820000}"/>
    <cellStyle name="Normal 5 9 7 2" xfId="12567" xr:uid="{00000000-0005-0000-0000-00000E820000}"/>
    <cellStyle name="Normal 5 9 7 2 2" xfId="36052" xr:uid="{00000000-0005-0000-0000-00000F820000}"/>
    <cellStyle name="Normal 5 9 7 2 3" xfId="26733" xr:uid="{00000000-0005-0000-0000-000010820000}"/>
    <cellStyle name="Normal 5 9 7 2 4" xfId="49995" xr:uid="{00000000-0005-0000-0000-000011820000}"/>
    <cellStyle name="Normal 5 9 7 3" xfId="17298" xr:uid="{00000000-0005-0000-0000-000012820000}"/>
    <cellStyle name="Normal 5 9 7 3 2" xfId="31430" xr:uid="{00000000-0005-0000-0000-000013820000}"/>
    <cellStyle name="Normal 5 9 7 3 3" xfId="45325" xr:uid="{00000000-0005-0000-0000-000014820000}"/>
    <cellStyle name="Normal 5 9 7 4" xfId="22111" xr:uid="{00000000-0005-0000-0000-000015820000}"/>
    <cellStyle name="Normal 5 9 7 5" xfId="40743" xr:uid="{00000000-0005-0000-0000-000016820000}"/>
    <cellStyle name="Normal 5 9 8" xfId="12556" xr:uid="{00000000-0005-0000-0000-000017820000}"/>
    <cellStyle name="Normal 5 9 8 2" xfId="36041" xr:uid="{00000000-0005-0000-0000-000018820000}"/>
    <cellStyle name="Normal 5 9 8 3" xfId="26722" xr:uid="{00000000-0005-0000-0000-000019820000}"/>
    <cellStyle name="Normal 5 9 8 4" xfId="49984" xr:uid="{00000000-0005-0000-0000-00001A820000}"/>
    <cellStyle name="Normal 5 9 9" xfId="17287" xr:uid="{00000000-0005-0000-0000-00001B820000}"/>
    <cellStyle name="Normal 5 9 9 2" xfId="31419" xr:uid="{00000000-0005-0000-0000-00001C820000}"/>
    <cellStyle name="Normal 5 9 9 3" xfId="45314" xr:uid="{00000000-0005-0000-0000-00001D820000}"/>
    <cellStyle name="Normal 50" xfId="207" xr:uid="{00000000-0005-0000-0000-00001E820000}"/>
    <cellStyle name="Normal 51" xfId="51" xr:uid="{00000000-0005-0000-0000-00001F820000}"/>
    <cellStyle name="Normal 51 2" xfId="6757" xr:uid="{00000000-0005-0000-0000-000020820000}"/>
    <cellStyle name="Normal 51 3" xfId="6758" xr:uid="{00000000-0005-0000-0000-000021820000}"/>
    <cellStyle name="Normal 51 4" xfId="6759" xr:uid="{00000000-0005-0000-0000-000022820000}"/>
    <cellStyle name="Normal 51 5" xfId="6760" xr:uid="{00000000-0005-0000-0000-000023820000}"/>
    <cellStyle name="Normal 51 6" xfId="6761" xr:uid="{00000000-0005-0000-0000-000024820000}"/>
    <cellStyle name="Normal 52" xfId="208" xr:uid="{00000000-0005-0000-0000-000025820000}"/>
    <cellStyle name="Normal 53" xfId="209" xr:uid="{00000000-0005-0000-0000-000026820000}"/>
    <cellStyle name="Normal 53 2" xfId="6762" xr:uid="{00000000-0005-0000-0000-000027820000}"/>
    <cellStyle name="Normal 53 3" xfId="6763" xr:uid="{00000000-0005-0000-0000-000028820000}"/>
    <cellStyle name="Normal 53 4" xfId="6764" xr:uid="{00000000-0005-0000-0000-000029820000}"/>
    <cellStyle name="Normal 53 5" xfId="6765" xr:uid="{00000000-0005-0000-0000-00002A820000}"/>
    <cellStyle name="Normal 53 6" xfId="6766" xr:uid="{00000000-0005-0000-0000-00002B820000}"/>
    <cellStyle name="Normal 54" xfId="210" xr:uid="{00000000-0005-0000-0000-00002C820000}"/>
    <cellStyle name="Normal 54 2" xfId="6767" xr:uid="{00000000-0005-0000-0000-00002D820000}"/>
    <cellStyle name="Normal 54 3" xfId="6768" xr:uid="{00000000-0005-0000-0000-00002E820000}"/>
    <cellStyle name="Normal 54 4" xfId="6769" xr:uid="{00000000-0005-0000-0000-00002F820000}"/>
    <cellStyle name="Normal 54 5" xfId="6770" xr:uid="{00000000-0005-0000-0000-000030820000}"/>
    <cellStyle name="Normal 54 6" xfId="6771" xr:uid="{00000000-0005-0000-0000-000031820000}"/>
    <cellStyle name="Normal 55" xfId="211" xr:uid="{00000000-0005-0000-0000-000032820000}"/>
    <cellStyle name="Normal 55 2" xfId="6772" xr:uid="{00000000-0005-0000-0000-000033820000}"/>
    <cellStyle name="Normal 55 3" xfId="6773" xr:uid="{00000000-0005-0000-0000-000034820000}"/>
    <cellStyle name="Normal 55 4" xfId="6774" xr:uid="{00000000-0005-0000-0000-000035820000}"/>
    <cellStyle name="Normal 55 5" xfId="6775" xr:uid="{00000000-0005-0000-0000-000036820000}"/>
    <cellStyle name="Normal 55 6" xfId="6776" xr:uid="{00000000-0005-0000-0000-000037820000}"/>
    <cellStyle name="Normal 56" xfId="212" xr:uid="{00000000-0005-0000-0000-000038820000}"/>
    <cellStyle name="Normal 57" xfId="213" xr:uid="{00000000-0005-0000-0000-000039820000}"/>
    <cellStyle name="Normal 58" xfId="214" xr:uid="{00000000-0005-0000-0000-00003A820000}"/>
    <cellStyle name="Normal 58 2" xfId="6777" xr:uid="{00000000-0005-0000-0000-00003B820000}"/>
    <cellStyle name="Normal 58 3" xfId="6778" xr:uid="{00000000-0005-0000-0000-00003C820000}"/>
    <cellStyle name="Normal 58 4" xfId="6779" xr:uid="{00000000-0005-0000-0000-00003D820000}"/>
    <cellStyle name="Normal 58 5" xfId="6780" xr:uid="{00000000-0005-0000-0000-00003E820000}"/>
    <cellStyle name="Normal 58 6" xfId="6781" xr:uid="{00000000-0005-0000-0000-00003F820000}"/>
    <cellStyle name="Normal 59" xfId="215" xr:uid="{00000000-0005-0000-0000-000040820000}"/>
    <cellStyle name="Normal 59 2" xfId="6782" xr:uid="{00000000-0005-0000-0000-000041820000}"/>
    <cellStyle name="Normal 59 3" xfId="6783" xr:uid="{00000000-0005-0000-0000-000042820000}"/>
    <cellStyle name="Normal 59 4" xfId="6784" xr:uid="{00000000-0005-0000-0000-000043820000}"/>
    <cellStyle name="Normal 59 5" xfId="6785" xr:uid="{00000000-0005-0000-0000-000044820000}"/>
    <cellStyle name="Normal 59 6" xfId="6786" xr:uid="{00000000-0005-0000-0000-000045820000}"/>
    <cellStyle name="Normal 6" xfId="14" xr:uid="{00000000-0005-0000-0000-000046820000}"/>
    <cellStyle name="Normal 6 10" xfId="6787" xr:uid="{00000000-0005-0000-0000-000047820000}"/>
    <cellStyle name="Normal 6 10 10" xfId="17299" xr:uid="{00000000-0005-0000-0000-000048820000}"/>
    <cellStyle name="Normal 6 10 10 2" xfId="31431" xr:uid="{00000000-0005-0000-0000-000049820000}"/>
    <cellStyle name="Normal 6 10 10 3" xfId="45326" xr:uid="{00000000-0005-0000-0000-00004A820000}"/>
    <cellStyle name="Normal 6 10 11" xfId="22112" xr:uid="{00000000-0005-0000-0000-00004B820000}"/>
    <cellStyle name="Normal 6 10 12" xfId="40744" xr:uid="{00000000-0005-0000-0000-00004C820000}"/>
    <cellStyle name="Normal 6 10 2" xfId="6788" xr:uid="{00000000-0005-0000-0000-00004D820000}"/>
    <cellStyle name="Normal 6 10 2 2" xfId="6789" xr:uid="{00000000-0005-0000-0000-00004E820000}"/>
    <cellStyle name="Normal 6 10 2 2 2" xfId="12570" xr:uid="{00000000-0005-0000-0000-00004F820000}"/>
    <cellStyle name="Normal 6 10 2 2 2 2" xfId="36055" xr:uid="{00000000-0005-0000-0000-000050820000}"/>
    <cellStyle name="Normal 6 10 2 2 2 3" xfId="26736" xr:uid="{00000000-0005-0000-0000-000051820000}"/>
    <cellStyle name="Normal 6 10 2 2 2 4" xfId="49998" xr:uid="{00000000-0005-0000-0000-000052820000}"/>
    <cellStyle name="Normal 6 10 2 2 3" xfId="17301" xr:uid="{00000000-0005-0000-0000-000053820000}"/>
    <cellStyle name="Normal 6 10 2 2 3 2" xfId="31433" xr:uid="{00000000-0005-0000-0000-000054820000}"/>
    <cellStyle name="Normal 6 10 2 2 3 3" xfId="45328" xr:uid="{00000000-0005-0000-0000-000055820000}"/>
    <cellStyle name="Normal 6 10 2 2 4" xfId="22114" xr:uid="{00000000-0005-0000-0000-000056820000}"/>
    <cellStyle name="Normal 6 10 2 2 5" xfId="40746" xr:uid="{00000000-0005-0000-0000-000057820000}"/>
    <cellStyle name="Normal 6 10 2 3" xfId="12569" xr:uid="{00000000-0005-0000-0000-000058820000}"/>
    <cellStyle name="Normal 6 10 2 3 2" xfId="36054" xr:uid="{00000000-0005-0000-0000-000059820000}"/>
    <cellStyle name="Normal 6 10 2 3 3" xfId="26735" xr:uid="{00000000-0005-0000-0000-00005A820000}"/>
    <cellStyle name="Normal 6 10 2 3 4" xfId="49997" xr:uid="{00000000-0005-0000-0000-00005B820000}"/>
    <cellStyle name="Normal 6 10 2 4" xfId="17300" xr:uid="{00000000-0005-0000-0000-00005C820000}"/>
    <cellStyle name="Normal 6 10 2 4 2" xfId="31432" xr:uid="{00000000-0005-0000-0000-00005D820000}"/>
    <cellStyle name="Normal 6 10 2 4 3" xfId="45327" xr:uid="{00000000-0005-0000-0000-00005E820000}"/>
    <cellStyle name="Normal 6 10 2 5" xfId="22113" xr:uid="{00000000-0005-0000-0000-00005F820000}"/>
    <cellStyle name="Normal 6 10 2 6" xfId="40745" xr:uid="{00000000-0005-0000-0000-000060820000}"/>
    <cellStyle name="Normal 6 10 3" xfId="6790" xr:uid="{00000000-0005-0000-0000-000061820000}"/>
    <cellStyle name="Normal 6 10 3 2" xfId="6791" xr:uid="{00000000-0005-0000-0000-000062820000}"/>
    <cellStyle name="Normal 6 10 3 2 2" xfId="12572" xr:uid="{00000000-0005-0000-0000-000063820000}"/>
    <cellStyle name="Normal 6 10 3 2 2 2" xfId="36057" xr:uid="{00000000-0005-0000-0000-000064820000}"/>
    <cellStyle name="Normal 6 10 3 2 2 3" xfId="26738" xr:uid="{00000000-0005-0000-0000-000065820000}"/>
    <cellStyle name="Normal 6 10 3 2 2 4" xfId="50000" xr:uid="{00000000-0005-0000-0000-000066820000}"/>
    <cellStyle name="Normal 6 10 3 2 3" xfId="17303" xr:uid="{00000000-0005-0000-0000-000067820000}"/>
    <cellStyle name="Normal 6 10 3 2 3 2" xfId="31435" xr:uid="{00000000-0005-0000-0000-000068820000}"/>
    <cellStyle name="Normal 6 10 3 2 3 3" xfId="45330" xr:uid="{00000000-0005-0000-0000-000069820000}"/>
    <cellStyle name="Normal 6 10 3 2 4" xfId="22116" xr:uid="{00000000-0005-0000-0000-00006A820000}"/>
    <cellStyle name="Normal 6 10 3 2 5" xfId="40748" xr:uid="{00000000-0005-0000-0000-00006B820000}"/>
    <cellStyle name="Normal 6 10 3 3" xfId="12571" xr:uid="{00000000-0005-0000-0000-00006C820000}"/>
    <cellStyle name="Normal 6 10 3 3 2" xfId="36056" xr:uid="{00000000-0005-0000-0000-00006D820000}"/>
    <cellStyle name="Normal 6 10 3 3 3" xfId="26737" xr:uid="{00000000-0005-0000-0000-00006E820000}"/>
    <cellStyle name="Normal 6 10 3 3 4" xfId="49999" xr:uid="{00000000-0005-0000-0000-00006F820000}"/>
    <cellStyle name="Normal 6 10 3 4" xfId="17302" xr:uid="{00000000-0005-0000-0000-000070820000}"/>
    <cellStyle name="Normal 6 10 3 4 2" xfId="31434" xr:uid="{00000000-0005-0000-0000-000071820000}"/>
    <cellStyle name="Normal 6 10 3 4 3" xfId="45329" xr:uid="{00000000-0005-0000-0000-000072820000}"/>
    <cellStyle name="Normal 6 10 3 5" xfId="22115" xr:uid="{00000000-0005-0000-0000-000073820000}"/>
    <cellStyle name="Normal 6 10 3 6" xfId="40747" xr:uid="{00000000-0005-0000-0000-000074820000}"/>
    <cellStyle name="Normal 6 10 4" xfId="6792" xr:uid="{00000000-0005-0000-0000-000075820000}"/>
    <cellStyle name="Normal 6 10 4 2" xfId="6793" xr:uid="{00000000-0005-0000-0000-000076820000}"/>
    <cellStyle name="Normal 6 10 4 2 2" xfId="12574" xr:uid="{00000000-0005-0000-0000-000077820000}"/>
    <cellStyle name="Normal 6 10 4 2 2 2" xfId="36059" xr:uid="{00000000-0005-0000-0000-000078820000}"/>
    <cellStyle name="Normal 6 10 4 2 2 3" xfId="26740" xr:uid="{00000000-0005-0000-0000-000079820000}"/>
    <cellStyle name="Normal 6 10 4 2 2 4" xfId="50002" xr:uid="{00000000-0005-0000-0000-00007A820000}"/>
    <cellStyle name="Normal 6 10 4 2 3" xfId="17305" xr:uid="{00000000-0005-0000-0000-00007B820000}"/>
    <cellStyle name="Normal 6 10 4 2 3 2" xfId="31437" xr:uid="{00000000-0005-0000-0000-00007C820000}"/>
    <cellStyle name="Normal 6 10 4 2 3 3" xfId="45332" xr:uid="{00000000-0005-0000-0000-00007D820000}"/>
    <cellStyle name="Normal 6 10 4 2 4" xfId="22118" xr:uid="{00000000-0005-0000-0000-00007E820000}"/>
    <cellStyle name="Normal 6 10 4 2 5" xfId="40750" xr:uid="{00000000-0005-0000-0000-00007F820000}"/>
    <cellStyle name="Normal 6 10 4 3" xfId="12573" xr:uid="{00000000-0005-0000-0000-000080820000}"/>
    <cellStyle name="Normal 6 10 4 3 2" xfId="36058" xr:uid="{00000000-0005-0000-0000-000081820000}"/>
    <cellStyle name="Normal 6 10 4 3 3" xfId="26739" xr:uid="{00000000-0005-0000-0000-000082820000}"/>
    <cellStyle name="Normal 6 10 4 3 4" xfId="50001" xr:uid="{00000000-0005-0000-0000-000083820000}"/>
    <cellStyle name="Normal 6 10 4 4" xfId="17304" xr:uid="{00000000-0005-0000-0000-000084820000}"/>
    <cellStyle name="Normal 6 10 4 4 2" xfId="31436" xr:uid="{00000000-0005-0000-0000-000085820000}"/>
    <cellStyle name="Normal 6 10 4 4 3" xfId="45331" xr:uid="{00000000-0005-0000-0000-000086820000}"/>
    <cellStyle name="Normal 6 10 4 5" xfId="22117" xr:uid="{00000000-0005-0000-0000-000087820000}"/>
    <cellStyle name="Normal 6 10 4 6" xfId="40749" xr:uid="{00000000-0005-0000-0000-000088820000}"/>
    <cellStyle name="Normal 6 10 5" xfId="6794" xr:uid="{00000000-0005-0000-0000-000089820000}"/>
    <cellStyle name="Normal 6 10 5 2" xfId="6795" xr:uid="{00000000-0005-0000-0000-00008A820000}"/>
    <cellStyle name="Normal 6 10 5 2 2" xfId="12576" xr:uid="{00000000-0005-0000-0000-00008B820000}"/>
    <cellStyle name="Normal 6 10 5 2 2 2" xfId="36061" xr:uid="{00000000-0005-0000-0000-00008C820000}"/>
    <cellStyle name="Normal 6 10 5 2 2 3" xfId="26742" xr:uid="{00000000-0005-0000-0000-00008D820000}"/>
    <cellStyle name="Normal 6 10 5 2 2 4" xfId="50004" xr:uid="{00000000-0005-0000-0000-00008E820000}"/>
    <cellStyle name="Normal 6 10 5 2 3" xfId="17307" xr:uid="{00000000-0005-0000-0000-00008F820000}"/>
    <cellStyle name="Normal 6 10 5 2 3 2" xfId="31439" xr:uid="{00000000-0005-0000-0000-000090820000}"/>
    <cellStyle name="Normal 6 10 5 2 3 3" xfId="45334" xr:uid="{00000000-0005-0000-0000-000091820000}"/>
    <cellStyle name="Normal 6 10 5 2 4" xfId="22120" xr:uid="{00000000-0005-0000-0000-000092820000}"/>
    <cellStyle name="Normal 6 10 5 2 5" xfId="40752" xr:uid="{00000000-0005-0000-0000-000093820000}"/>
    <cellStyle name="Normal 6 10 5 3" xfId="12575" xr:uid="{00000000-0005-0000-0000-000094820000}"/>
    <cellStyle name="Normal 6 10 5 3 2" xfId="36060" xr:uid="{00000000-0005-0000-0000-000095820000}"/>
    <cellStyle name="Normal 6 10 5 3 3" xfId="26741" xr:uid="{00000000-0005-0000-0000-000096820000}"/>
    <cellStyle name="Normal 6 10 5 3 4" xfId="50003" xr:uid="{00000000-0005-0000-0000-000097820000}"/>
    <cellStyle name="Normal 6 10 5 4" xfId="17306" xr:uid="{00000000-0005-0000-0000-000098820000}"/>
    <cellStyle name="Normal 6 10 5 4 2" xfId="31438" xr:uid="{00000000-0005-0000-0000-000099820000}"/>
    <cellStyle name="Normal 6 10 5 4 3" xfId="45333" xr:uid="{00000000-0005-0000-0000-00009A820000}"/>
    <cellStyle name="Normal 6 10 5 5" xfId="22119" xr:uid="{00000000-0005-0000-0000-00009B820000}"/>
    <cellStyle name="Normal 6 10 5 6" xfId="40751" xr:uid="{00000000-0005-0000-0000-00009C820000}"/>
    <cellStyle name="Normal 6 10 6" xfId="6796" xr:uid="{00000000-0005-0000-0000-00009D820000}"/>
    <cellStyle name="Normal 6 10 6 2" xfId="6797" xr:uid="{00000000-0005-0000-0000-00009E820000}"/>
    <cellStyle name="Normal 6 10 6 2 2" xfId="12578" xr:uid="{00000000-0005-0000-0000-00009F820000}"/>
    <cellStyle name="Normal 6 10 6 2 2 2" xfId="36063" xr:uid="{00000000-0005-0000-0000-0000A0820000}"/>
    <cellStyle name="Normal 6 10 6 2 2 3" xfId="26744" xr:uid="{00000000-0005-0000-0000-0000A1820000}"/>
    <cellStyle name="Normal 6 10 6 2 2 4" xfId="50006" xr:uid="{00000000-0005-0000-0000-0000A2820000}"/>
    <cellStyle name="Normal 6 10 6 2 3" xfId="17309" xr:uid="{00000000-0005-0000-0000-0000A3820000}"/>
    <cellStyle name="Normal 6 10 6 2 3 2" xfId="31441" xr:uid="{00000000-0005-0000-0000-0000A4820000}"/>
    <cellStyle name="Normal 6 10 6 2 3 3" xfId="45336" xr:uid="{00000000-0005-0000-0000-0000A5820000}"/>
    <cellStyle name="Normal 6 10 6 2 4" xfId="22122" xr:uid="{00000000-0005-0000-0000-0000A6820000}"/>
    <cellStyle name="Normal 6 10 6 2 5" xfId="40754" xr:uid="{00000000-0005-0000-0000-0000A7820000}"/>
    <cellStyle name="Normal 6 10 6 3" xfId="12577" xr:uid="{00000000-0005-0000-0000-0000A8820000}"/>
    <cellStyle name="Normal 6 10 6 3 2" xfId="36062" xr:uid="{00000000-0005-0000-0000-0000A9820000}"/>
    <cellStyle name="Normal 6 10 6 3 3" xfId="26743" xr:uid="{00000000-0005-0000-0000-0000AA820000}"/>
    <cellStyle name="Normal 6 10 6 3 4" xfId="50005" xr:uid="{00000000-0005-0000-0000-0000AB820000}"/>
    <cellStyle name="Normal 6 10 6 4" xfId="17308" xr:uid="{00000000-0005-0000-0000-0000AC820000}"/>
    <cellStyle name="Normal 6 10 6 4 2" xfId="31440" xr:uid="{00000000-0005-0000-0000-0000AD820000}"/>
    <cellStyle name="Normal 6 10 6 4 3" xfId="45335" xr:uid="{00000000-0005-0000-0000-0000AE820000}"/>
    <cellStyle name="Normal 6 10 6 5" xfId="22121" xr:uid="{00000000-0005-0000-0000-0000AF820000}"/>
    <cellStyle name="Normal 6 10 6 6" xfId="40753" xr:uid="{00000000-0005-0000-0000-0000B0820000}"/>
    <cellStyle name="Normal 6 10 7" xfId="6798" xr:uid="{00000000-0005-0000-0000-0000B1820000}"/>
    <cellStyle name="Normal 6 10 7 2" xfId="12579" xr:uid="{00000000-0005-0000-0000-0000B2820000}"/>
    <cellStyle name="Normal 6 10 7 2 2" xfId="36064" xr:uid="{00000000-0005-0000-0000-0000B3820000}"/>
    <cellStyle name="Normal 6 10 7 2 3" xfId="26745" xr:uid="{00000000-0005-0000-0000-0000B4820000}"/>
    <cellStyle name="Normal 6 10 7 2 4" xfId="50007" xr:uid="{00000000-0005-0000-0000-0000B5820000}"/>
    <cellStyle name="Normal 6 10 7 3" xfId="17310" xr:uid="{00000000-0005-0000-0000-0000B6820000}"/>
    <cellStyle name="Normal 6 10 7 3 2" xfId="31442" xr:uid="{00000000-0005-0000-0000-0000B7820000}"/>
    <cellStyle name="Normal 6 10 7 3 3" xfId="45337" xr:uid="{00000000-0005-0000-0000-0000B8820000}"/>
    <cellStyle name="Normal 6 10 7 4" xfId="22123" xr:uid="{00000000-0005-0000-0000-0000B9820000}"/>
    <cellStyle name="Normal 6 10 7 5" xfId="40755" xr:uid="{00000000-0005-0000-0000-0000BA820000}"/>
    <cellStyle name="Normal 6 10 8" xfId="9456" xr:uid="{00000000-0005-0000-0000-0000BB820000}"/>
    <cellStyle name="Normal 6 10 8 2" xfId="14128" xr:uid="{00000000-0005-0000-0000-0000BC820000}"/>
    <cellStyle name="Normal 6 10 8 2 2" xfId="37607" xr:uid="{00000000-0005-0000-0000-0000BD820000}"/>
    <cellStyle name="Normal 6 10 8 2 3" xfId="28293" xr:uid="{00000000-0005-0000-0000-0000BE820000}"/>
    <cellStyle name="Normal 6 10 8 2 4" xfId="51556" xr:uid="{00000000-0005-0000-0000-0000BF820000}"/>
    <cellStyle name="Normal 6 10 8 3" xfId="18841" xr:uid="{00000000-0005-0000-0000-0000C0820000}"/>
    <cellStyle name="Normal 6 10 8 3 2" xfId="32973" xr:uid="{00000000-0005-0000-0000-0000C1820000}"/>
    <cellStyle name="Normal 6 10 8 3 3" xfId="46877" xr:uid="{00000000-0005-0000-0000-0000C2820000}"/>
    <cellStyle name="Normal 6 10 8 4" xfId="23659" xr:uid="{00000000-0005-0000-0000-0000C3820000}"/>
    <cellStyle name="Normal 6 10 8 5" xfId="42246" xr:uid="{00000000-0005-0000-0000-0000C4820000}"/>
    <cellStyle name="Normal 6 10 9" xfId="12568" xr:uid="{00000000-0005-0000-0000-0000C5820000}"/>
    <cellStyle name="Normal 6 10 9 2" xfId="36053" xr:uid="{00000000-0005-0000-0000-0000C6820000}"/>
    <cellStyle name="Normal 6 10 9 3" xfId="26734" xr:uid="{00000000-0005-0000-0000-0000C7820000}"/>
    <cellStyle name="Normal 6 10 9 4" xfId="49996" xr:uid="{00000000-0005-0000-0000-0000C8820000}"/>
    <cellStyle name="Normal 6 11" xfId="6799" xr:uid="{00000000-0005-0000-0000-0000C9820000}"/>
    <cellStyle name="Normal 6 11 10" xfId="22124" xr:uid="{00000000-0005-0000-0000-0000CA820000}"/>
    <cellStyle name="Normal 6 11 11" xfId="40756" xr:uid="{00000000-0005-0000-0000-0000CB820000}"/>
    <cellStyle name="Normal 6 11 2" xfId="6800" xr:uid="{00000000-0005-0000-0000-0000CC820000}"/>
    <cellStyle name="Normal 6 11 2 2" xfId="6801" xr:uid="{00000000-0005-0000-0000-0000CD820000}"/>
    <cellStyle name="Normal 6 11 2 2 2" xfId="12582" xr:uid="{00000000-0005-0000-0000-0000CE820000}"/>
    <cellStyle name="Normal 6 11 2 2 2 2" xfId="36067" xr:uid="{00000000-0005-0000-0000-0000CF820000}"/>
    <cellStyle name="Normal 6 11 2 2 2 3" xfId="26748" xr:uid="{00000000-0005-0000-0000-0000D0820000}"/>
    <cellStyle name="Normal 6 11 2 2 2 4" xfId="50010" xr:uid="{00000000-0005-0000-0000-0000D1820000}"/>
    <cellStyle name="Normal 6 11 2 2 3" xfId="17313" xr:uid="{00000000-0005-0000-0000-0000D2820000}"/>
    <cellStyle name="Normal 6 11 2 2 3 2" xfId="31445" xr:uid="{00000000-0005-0000-0000-0000D3820000}"/>
    <cellStyle name="Normal 6 11 2 2 3 3" xfId="45340" xr:uid="{00000000-0005-0000-0000-0000D4820000}"/>
    <cellStyle name="Normal 6 11 2 2 4" xfId="22126" xr:uid="{00000000-0005-0000-0000-0000D5820000}"/>
    <cellStyle name="Normal 6 11 2 2 5" xfId="40758" xr:uid="{00000000-0005-0000-0000-0000D6820000}"/>
    <cellStyle name="Normal 6 11 2 3" xfId="12581" xr:uid="{00000000-0005-0000-0000-0000D7820000}"/>
    <cellStyle name="Normal 6 11 2 3 2" xfId="36066" xr:uid="{00000000-0005-0000-0000-0000D8820000}"/>
    <cellStyle name="Normal 6 11 2 3 3" xfId="26747" xr:uid="{00000000-0005-0000-0000-0000D9820000}"/>
    <cellStyle name="Normal 6 11 2 3 4" xfId="50009" xr:uid="{00000000-0005-0000-0000-0000DA820000}"/>
    <cellStyle name="Normal 6 11 2 4" xfId="17312" xr:uid="{00000000-0005-0000-0000-0000DB820000}"/>
    <cellStyle name="Normal 6 11 2 4 2" xfId="31444" xr:uid="{00000000-0005-0000-0000-0000DC820000}"/>
    <cellStyle name="Normal 6 11 2 4 3" xfId="45339" xr:uid="{00000000-0005-0000-0000-0000DD820000}"/>
    <cellStyle name="Normal 6 11 2 5" xfId="22125" xr:uid="{00000000-0005-0000-0000-0000DE820000}"/>
    <cellStyle name="Normal 6 11 2 6" xfId="40757" xr:uid="{00000000-0005-0000-0000-0000DF820000}"/>
    <cellStyle name="Normal 6 11 3" xfId="6802" xr:uid="{00000000-0005-0000-0000-0000E0820000}"/>
    <cellStyle name="Normal 6 11 3 2" xfId="6803" xr:uid="{00000000-0005-0000-0000-0000E1820000}"/>
    <cellStyle name="Normal 6 11 3 2 2" xfId="12584" xr:uid="{00000000-0005-0000-0000-0000E2820000}"/>
    <cellStyle name="Normal 6 11 3 2 2 2" xfId="36069" xr:uid="{00000000-0005-0000-0000-0000E3820000}"/>
    <cellStyle name="Normal 6 11 3 2 2 3" xfId="26750" xr:uid="{00000000-0005-0000-0000-0000E4820000}"/>
    <cellStyle name="Normal 6 11 3 2 2 4" xfId="50012" xr:uid="{00000000-0005-0000-0000-0000E5820000}"/>
    <cellStyle name="Normal 6 11 3 2 3" xfId="17315" xr:uid="{00000000-0005-0000-0000-0000E6820000}"/>
    <cellStyle name="Normal 6 11 3 2 3 2" xfId="31447" xr:uid="{00000000-0005-0000-0000-0000E7820000}"/>
    <cellStyle name="Normal 6 11 3 2 3 3" xfId="45342" xr:uid="{00000000-0005-0000-0000-0000E8820000}"/>
    <cellStyle name="Normal 6 11 3 2 4" xfId="22128" xr:uid="{00000000-0005-0000-0000-0000E9820000}"/>
    <cellStyle name="Normal 6 11 3 2 5" xfId="40760" xr:uid="{00000000-0005-0000-0000-0000EA820000}"/>
    <cellStyle name="Normal 6 11 3 3" xfId="12583" xr:uid="{00000000-0005-0000-0000-0000EB820000}"/>
    <cellStyle name="Normal 6 11 3 3 2" xfId="36068" xr:uid="{00000000-0005-0000-0000-0000EC820000}"/>
    <cellStyle name="Normal 6 11 3 3 3" xfId="26749" xr:uid="{00000000-0005-0000-0000-0000ED820000}"/>
    <cellStyle name="Normal 6 11 3 3 4" xfId="50011" xr:uid="{00000000-0005-0000-0000-0000EE820000}"/>
    <cellStyle name="Normal 6 11 3 4" xfId="17314" xr:uid="{00000000-0005-0000-0000-0000EF820000}"/>
    <cellStyle name="Normal 6 11 3 4 2" xfId="31446" xr:uid="{00000000-0005-0000-0000-0000F0820000}"/>
    <cellStyle name="Normal 6 11 3 4 3" xfId="45341" xr:uid="{00000000-0005-0000-0000-0000F1820000}"/>
    <cellStyle name="Normal 6 11 3 5" xfId="22127" xr:uid="{00000000-0005-0000-0000-0000F2820000}"/>
    <cellStyle name="Normal 6 11 3 6" xfId="40759" xr:uid="{00000000-0005-0000-0000-0000F3820000}"/>
    <cellStyle name="Normal 6 11 4" xfId="6804" xr:uid="{00000000-0005-0000-0000-0000F4820000}"/>
    <cellStyle name="Normal 6 11 4 2" xfId="6805" xr:uid="{00000000-0005-0000-0000-0000F5820000}"/>
    <cellStyle name="Normal 6 11 4 2 2" xfId="12586" xr:uid="{00000000-0005-0000-0000-0000F6820000}"/>
    <cellStyle name="Normal 6 11 4 2 2 2" xfId="36071" xr:uid="{00000000-0005-0000-0000-0000F7820000}"/>
    <cellStyle name="Normal 6 11 4 2 2 3" xfId="26752" xr:uid="{00000000-0005-0000-0000-0000F8820000}"/>
    <cellStyle name="Normal 6 11 4 2 2 4" xfId="50014" xr:uid="{00000000-0005-0000-0000-0000F9820000}"/>
    <cellStyle name="Normal 6 11 4 2 3" xfId="17317" xr:uid="{00000000-0005-0000-0000-0000FA820000}"/>
    <cellStyle name="Normal 6 11 4 2 3 2" xfId="31449" xr:uid="{00000000-0005-0000-0000-0000FB820000}"/>
    <cellStyle name="Normal 6 11 4 2 3 3" xfId="45344" xr:uid="{00000000-0005-0000-0000-0000FC820000}"/>
    <cellStyle name="Normal 6 11 4 2 4" xfId="22130" xr:uid="{00000000-0005-0000-0000-0000FD820000}"/>
    <cellStyle name="Normal 6 11 4 2 5" xfId="40762" xr:uid="{00000000-0005-0000-0000-0000FE820000}"/>
    <cellStyle name="Normal 6 11 4 3" xfId="12585" xr:uid="{00000000-0005-0000-0000-0000FF820000}"/>
    <cellStyle name="Normal 6 11 4 3 2" xfId="36070" xr:uid="{00000000-0005-0000-0000-000000830000}"/>
    <cellStyle name="Normal 6 11 4 3 3" xfId="26751" xr:uid="{00000000-0005-0000-0000-000001830000}"/>
    <cellStyle name="Normal 6 11 4 3 4" xfId="50013" xr:uid="{00000000-0005-0000-0000-000002830000}"/>
    <cellStyle name="Normal 6 11 4 4" xfId="17316" xr:uid="{00000000-0005-0000-0000-000003830000}"/>
    <cellStyle name="Normal 6 11 4 4 2" xfId="31448" xr:uid="{00000000-0005-0000-0000-000004830000}"/>
    <cellStyle name="Normal 6 11 4 4 3" xfId="45343" xr:uid="{00000000-0005-0000-0000-000005830000}"/>
    <cellStyle name="Normal 6 11 4 5" xfId="22129" xr:uid="{00000000-0005-0000-0000-000006830000}"/>
    <cellStyle name="Normal 6 11 4 6" xfId="40761" xr:uid="{00000000-0005-0000-0000-000007830000}"/>
    <cellStyle name="Normal 6 11 5" xfId="6806" xr:uid="{00000000-0005-0000-0000-000008830000}"/>
    <cellStyle name="Normal 6 11 5 2" xfId="6807" xr:uid="{00000000-0005-0000-0000-000009830000}"/>
    <cellStyle name="Normal 6 11 5 2 2" xfId="12588" xr:uid="{00000000-0005-0000-0000-00000A830000}"/>
    <cellStyle name="Normal 6 11 5 2 2 2" xfId="36073" xr:uid="{00000000-0005-0000-0000-00000B830000}"/>
    <cellStyle name="Normal 6 11 5 2 2 3" xfId="26754" xr:uid="{00000000-0005-0000-0000-00000C830000}"/>
    <cellStyle name="Normal 6 11 5 2 2 4" xfId="50016" xr:uid="{00000000-0005-0000-0000-00000D830000}"/>
    <cellStyle name="Normal 6 11 5 2 3" xfId="17319" xr:uid="{00000000-0005-0000-0000-00000E830000}"/>
    <cellStyle name="Normal 6 11 5 2 3 2" xfId="31451" xr:uid="{00000000-0005-0000-0000-00000F830000}"/>
    <cellStyle name="Normal 6 11 5 2 3 3" xfId="45346" xr:uid="{00000000-0005-0000-0000-000010830000}"/>
    <cellStyle name="Normal 6 11 5 2 4" xfId="22132" xr:uid="{00000000-0005-0000-0000-000011830000}"/>
    <cellStyle name="Normal 6 11 5 2 5" xfId="40764" xr:uid="{00000000-0005-0000-0000-000012830000}"/>
    <cellStyle name="Normal 6 11 5 3" xfId="12587" xr:uid="{00000000-0005-0000-0000-000013830000}"/>
    <cellStyle name="Normal 6 11 5 3 2" xfId="36072" xr:uid="{00000000-0005-0000-0000-000014830000}"/>
    <cellStyle name="Normal 6 11 5 3 3" xfId="26753" xr:uid="{00000000-0005-0000-0000-000015830000}"/>
    <cellStyle name="Normal 6 11 5 3 4" xfId="50015" xr:uid="{00000000-0005-0000-0000-000016830000}"/>
    <cellStyle name="Normal 6 11 5 4" xfId="17318" xr:uid="{00000000-0005-0000-0000-000017830000}"/>
    <cellStyle name="Normal 6 11 5 4 2" xfId="31450" xr:uid="{00000000-0005-0000-0000-000018830000}"/>
    <cellStyle name="Normal 6 11 5 4 3" xfId="45345" xr:uid="{00000000-0005-0000-0000-000019830000}"/>
    <cellStyle name="Normal 6 11 5 5" xfId="22131" xr:uid="{00000000-0005-0000-0000-00001A830000}"/>
    <cellStyle name="Normal 6 11 5 6" xfId="40763" xr:uid="{00000000-0005-0000-0000-00001B830000}"/>
    <cellStyle name="Normal 6 11 6" xfId="6808" xr:uid="{00000000-0005-0000-0000-00001C830000}"/>
    <cellStyle name="Normal 6 11 6 2" xfId="6809" xr:uid="{00000000-0005-0000-0000-00001D830000}"/>
    <cellStyle name="Normal 6 11 6 2 2" xfId="12590" xr:uid="{00000000-0005-0000-0000-00001E830000}"/>
    <cellStyle name="Normal 6 11 6 2 2 2" xfId="36075" xr:uid="{00000000-0005-0000-0000-00001F830000}"/>
    <cellStyle name="Normal 6 11 6 2 2 3" xfId="26756" xr:uid="{00000000-0005-0000-0000-000020830000}"/>
    <cellStyle name="Normal 6 11 6 2 2 4" xfId="50018" xr:uid="{00000000-0005-0000-0000-000021830000}"/>
    <cellStyle name="Normal 6 11 6 2 3" xfId="17321" xr:uid="{00000000-0005-0000-0000-000022830000}"/>
    <cellStyle name="Normal 6 11 6 2 3 2" xfId="31453" xr:uid="{00000000-0005-0000-0000-000023830000}"/>
    <cellStyle name="Normal 6 11 6 2 3 3" xfId="45348" xr:uid="{00000000-0005-0000-0000-000024830000}"/>
    <cellStyle name="Normal 6 11 6 2 4" xfId="22134" xr:uid="{00000000-0005-0000-0000-000025830000}"/>
    <cellStyle name="Normal 6 11 6 2 5" xfId="40766" xr:uid="{00000000-0005-0000-0000-000026830000}"/>
    <cellStyle name="Normal 6 11 6 3" xfId="12589" xr:uid="{00000000-0005-0000-0000-000027830000}"/>
    <cellStyle name="Normal 6 11 6 3 2" xfId="36074" xr:uid="{00000000-0005-0000-0000-000028830000}"/>
    <cellStyle name="Normal 6 11 6 3 3" xfId="26755" xr:uid="{00000000-0005-0000-0000-000029830000}"/>
    <cellStyle name="Normal 6 11 6 3 4" xfId="50017" xr:uid="{00000000-0005-0000-0000-00002A830000}"/>
    <cellStyle name="Normal 6 11 6 4" xfId="17320" xr:uid="{00000000-0005-0000-0000-00002B830000}"/>
    <cellStyle name="Normal 6 11 6 4 2" xfId="31452" xr:uid="{00000000-0005-0000-0000-00002C830000}"/>
    <cellStyle name="Normal 6 11 6 4 3" xfId="45347" xr:uid="{00000000-0005-0000-0000-00002D830000}"/>
    <cellStyle name="Normal 6 11 6 5" xfId="22133" xr:uid="{00000000-0005-0000-0000-00002E830000}"/>
    <cellStyle name="Normal 6 11 6 6" xfId="40765" xr:uid="{00000000-0005-0000-0000-00002F830000}"/>
    <cellStyle name="Normal 6 11 7" xfId="6810" xr:uid="{00000000-0005-0000-0000-000030830000}"/>
    <cellStyle name="Normal 6 11 7 2" xfId="12591" xr:uid="{00000000-0005-0000-0000-000031830000}"/>
    <cellStyle name="Normal 6 11 7 2 2" xfId="36076" xr:uid="{00000000-0005-0000-0000-000032830000}"/>
    <cellStyle name="Normal 6 11 7 2 3" xfId="26757" xr:uid="{00000000-0005-0000-0000-000033830000}"/>
    <cellStyle name="Normal 6 11 7 2 4" xfId="50019" xr:uid="{00000000-0005-0000-0000-000034830000}"/>
    <cellStyle name="Normal 6 11 7 3" xfId="17322" xr:uid="{00000000-0005-0000-0000-000035830000}"/>
    <cellStyle name="Normal 6 11 7 3 2" xfId="31454" xr:uid="{00000000-0005-0000-0000-000036830000}"/>
    <cellStyle name="Normal 6 11 7 3 3" xfId="45349" xr:uid="{00000000-0005-0000-0000-000037830000}"/>
    <cellStyle name="Normal 6 11 7 4" xfId="22135" xr:uid="{00000000-0005-0000-0000-000038830000}"/>
    <cellStyle name="Normal 6 11 7 5" xfId="40767" xr:uid="{00000000-0005-0000-0000-000039830000}"/>
    <cellStyle name="Normal 6 11 8" xfId="12580" xr:uid="{00000000-0005-0000-0000-00003A830000}"/>
    <cellStyle name="Normal 6 11 8 2" xfId="36065" xr:uid="{00000000-0005-0000-0000-00003B830000}"/>
    <cellStyle name="Normal 6 11 8 3" xfId="26746" xr:uid="{00000000-0005-0000-0000-00003C830000}"/>
    <cellStyle name="Normal 6 11 8 4" xfId="50008" xr:uid="{00000000-0005-0000-0000-00003D830000}"/>
    <cellStyle name="Normal 6 11 9" xfId="17311" xr:uid="{00000000-0005-0000-0000-00003E830000}"/>
    <cellStyle name="Normal 6 11 9 2" xfId="31443" xr:uid="{00000000-0005-0000-0000-00003F830000}"/>
    <cellStyle name="Normal 6 11 9 3" xfId="45338" xr:uid="{00000000-0005-0000-0000-000040830000}"/>
    <cellStyle name="Normal 6 12" xfId="6811" xr:uid="{00000000-0005-0000-0000-000041830000}"/>
    <cellStyle name="Normal 6 12 10" xfId="22136" xr:uid="{00000000-0005-0000-0000-000042830000}"/>
    <cellStyle name="Normal 6 12 11" xfId="40768" xr:uid="{00000000-0005-0000-0000-000043830000}"/>
    <cellStyle name="Normal 6 12 2" xfId="6812" xr:uid="{00000000-0005-0000-0000-000044830000}"/>
    <cellStyle name="Normal 6 12 2 2" xfId="6813" xr:uid="{00000000-0005-0000-0000-000045830000}"/>
    <cellStyle name="Normal 6 12 2 2 2" xfId="12594" xr:uid="{00000000-0005-0000-0000-000046830000}"/>
    <cellStyle name="Normal 6 12 2 2 2 2" xfId="36079" xr:uid="{00000000-0005-0000-0000-000047830000}"/>
    <cellStyle name="Normal 6 12 2 2 2 3" xfId="26760" xr:uid="{00000000-0005-0000-0000-000048830000}"/>
    <cellStyle name="Normal 6 12 2 2 2 4" xfId="50022" xr:uid="{00000000-0005-0000-0000-000049830000}"/>
    <cellStyle name="Normal 6 12 2 2 3" xfId="17325" xr:uid="{00000000-0005-0000-0000-00004A830000}"/>
    <cellStyle name="Normal 6 12 2 2 3 2" xfId="31457" xr:uid="{00000000-0005-0000-0000-00004B830000}"/>
    <cellStyle name="Normal 6 12 2 2 3 3" xfId="45352" xr:uid="{00000000-0005-0000-0000-00004C830000}"/>
    <cellStyle name="Normal 6 12 2 2 4" xfId="22138" xr:uid="{00000000-0005-0000-0000-00004D830000}"/>
    <cellStyle name="Normal 6 12 2 2 5" xfId="40770" xr:uid="{00000000-0005-0000-0000-00004E830000}"/>
    <cellStyle name="Normal 6 12 2 3" xfId="12593" xr:uid="{00000000-0005-0000-0000-00004F830000}"/>
    <cellStyle name="Normal 6 12 2 3 2" xfId="36078" xr:uid="{00000000-0005-0000-0000-000050830000}"/>
    <cellStyle name="Normal 6 12 2 3 3" xfId="26759" xr:uid="{00000000-0005-0000-0000-000051830000}"/>
    <cellStyle name="Normal 6 12 2 3 4" xfId="50021" xr:uid="{00000000-0005-0000-0000-000052830000}"/>
    <cellStyle name="Normal 6 12 2 4" xfId="17324" xr:uid="{00000000-0005-0000-0000-000053830000}"/>
    <cellStyle name="Normal 6 12 2 4 2" xfId="31456" xr:uid="{00000000-0005-0000-0000-000054830000}"/>
    <cellStyle name="Normal 6 12 2 4 3" xfId="45351" xr:uid="{00000000-0005-0000-0000-000055830000}"/>
    <cellStyle name="Normal 6 12 2 5" xfId="22137" xr:uid="{00000000-0005-0000-0000-000056830000}"/>
    <cellStyle name="Normal 6 12 2 6" xfId="40769" xr:uid="{00000000-0005-0000-0000-000057830000}"/>
    <cellStyle name="Normal 6 12 3" xfId="6814" xr:uid="{00000000-0005-0000-0000-000058830000}"/>
    <cellStyle name="Normal 6 12 3 2" xfId="6815" xr:uid="{00000000-0005-0000-0000-000059830000}"/>
    <cellStyle name="Normal 6 12 3 2 2" xfId="12596" xr:uid="{00000000-0005-0000-0000-00005A830000}"/>
    <cellStyle name="Normal 6 12 3 2 2 2" xfId="36081" xr:uid="{00000000-0005-0000-0000-00005B830000}"/>
    <cellStyle name="Normal 6 12 3 2 2 3" xfId="26762" xr:uid="{00000000-0005-0000-0000-00005C830000}"/>
    <cellStyle name="Normal 6 12 3 2 2 4" xfId="50024" xr:uid="{00000000-0005-0000-0000-00005D830000}"/>
    <cellStyle name="Normal 6 12 3 2 3" xfId="17327" xr:uid="{00000000-0005-0000-0000-00005E830000}"/>
    <cellStyle name="Normal 6 12 3 2 3 2" xfId="31459" xr:uid="{00000000-0005-0000-0000-00005F830000}"/>
    <cellStyle name="Normal 6 12 3 2 3 3" xfId="45354" xr:uid="{00000000-0005-0000-0000-000060830000}"/>
    <cellStyle name="Normal 6 12 3 2 4" xfId="22140" xr:uid="{00000000-0005-0000-0000-000061830000}"/>
    <cellStyle name="Normal 6 12 3 2 5" xfId="40772" xr:uid="{00000000-0005-0000-0000-000062830000}"/>
    <cellStyle name="Normal 6 12 3 3" xfId="12595" xr:uid="{00000000-0005-0000-0000-000063830000}"/>
    <cellStyle name="Normal 6 12 3 3 2" xfId="36080" xr:uid="{00000000-0005-0000-0000-000064830000}"/>
    <cellStyle name="Normal 6 12 3 3 3" xfId="26761" xr:uid="{00000000-0005-0000-0000-000065830000}"/>
    <cellStyle name="Normal 6 12 3 3 4" xfId="50023" xr:uid="{00000000-0005-0000-0000-000066830000}"/>
    <cellStyle name="Normal 6 12 3 4" xfId="17326" xr:uid="{00000000-0005-0000-0000-000067830000}"/>
    <cellStyle name="Normal 6 12 3 4 2" xfId="31458" xr:uid="{00000000-0005-0000-0000-000068830000}"/>
    <cellStyle name="Normal 6 12 3 4 3" xfId="45353" xr:uid="{00000000-0005-0000-0000-000069830000}"/>
    <cellStyle name="Normal 6 12 3 5" xfId="22139" xr:uid="{00000000-0005-0000-0000-00006A830000}"/>
    <cellStyle name="Normal 6 12 3 6" xfId="40771" xr:uid="{00000000-0005-0000-0000-00006B830000}"/>
    <cellStyle name="Normal 6 12 4" xfId="6816" xr:uid="{00000000-0005-0000-0000-00006C830000}"/>
    <cellStyle name="Normal 6 12 4 2" xfId="6817" xr:uid="{00000000-0005-0000-0000-00006D830000}"/>
    <cellStyle name="Normal 6 12 4 2 2" xfId="12598" xr:uid="{00000000-0005-0000-0000-00006E830000}"/>
    <cellStyle name="Normal 6 12 4 2 2 2" xfId="36083" xr:uid="{00000000-0005-0000-0000-00006F830000}"/>
    <cellStyle name="Normal 6 12 4 2 2 3" xfId="26764" xr:uid="{00000000-0005-0000-0000-000070830000}"/>
    <cellStyle name="Normal 6 12 4 2 2 4" xfId="50026" xr:uid="{00000000-0005-0000-0000-000071830000}"/>
    <cellStyle name="Normal 6 12 4 2 3" xfId="17329" xr:uid="{00000000-0005-0000-0000-000072830000}"/>
    <cellStyle name="Normal 6 12 4 2 3 2" xfId="31461" xr:uid="{00000000-0005-0000-0000-000073830000}"/>
    <cellStyle name="Normal 6 12 4 2 3 3" xfId="45356" xr:uid="{00000000-0005-0000-0000-000074830000}"/>
    <cellStyle name="Normal 6 12 4 2 4" xfId="22142" xr:uid="{00000000-0005-0000-0000-000075830000}"/>
    <cellStyle name="Normal 6 12 4 2 5" xfId="40774" xr:uid="{00000000-0005-0000-0000-000076830000}"/>
    <cellStyle name="Normal 6 12 4 3" xfId="12597" xr:uid="{00000000-0005-0000-0000-000077830000}"/>
    <cellStyle name="Normal 6 12 4 3 2" xfId="36082" xr:uid="{00000000-0005-0000-0000-000078830000}"/>
    <cellStyle name="Normal 6 12 4 3 3" xfId="26763" xr:uid="{00000000-0005-0000-0000-000079830000}"/>
    <cellStyle name="Normal 6 12 4 3 4" xfId="50025" xr:uid="{00000000-0005-0000-0000-00007A830000}"/>
    <cellStyle name="Normal 6 12 4 4" xfId="17328" xr:uid="{00000000-0005-0000-0000-00007B830000}"/>
    <cellStyle name="Normal 6 12 4 4 2" xfId="31460" xr:uid="{00000000-0005-0000-0000-00007C830000}"/>
    <cellStyle name="Normal 6 12 4 4 3" xfId="45355" xr:uid="{00000000-0005-0000-0000-00007D830000}"/>
    <cellStyle name="Normal 6 12 4 5" xfId="22141" xr:uid="{00000000-0005-0000-0000-00007E830000}"/>
    <cellStyle name="Normal 6 12 4 6" xfId="40773" xr:uid="{00000000-0005-0000-0000-00007F830000}"/>
    <cellStyle name="Normal 6 12 5" xfId="6818" xr:uid="{00000000-0005-0000-0000-000080830000}"/>
    <cellStyle name="Normal 6 12 5 2" xfId="6819" xr:uid="{00000000-0005-0000-0000-000081830000}"/>
    <cellStyle name="Normal 6 12 5 2 2" xfId="12600" xr:uid="{00000000-0005-0000-0000-000082830000}"/>
    <cellStyle name="Normal 6 12 5 2 2 2" xfId="36085" xr:uid="{00000000-0005-0000-0000-000083830000}"/>
    <cellStyle name="Normal 6 12 5 2 2 3" xfId="26766" xr:uid="{00000000-0005-0000-0000-000084830000}"/>
    <cellStyle name="Normal 6 12 5 2 2 4" xfId="50028" xr:uid="{00000000-0005-0000-0000-000085830000}"/>
    <cellStyle name="Normal 6 12 5 2 3" xfId="17331" xr:uid="{00000000-0005-0000-0000-000086830000}"/>
    <cellStyle name="Normal 6 12 5 2 3 2" xfId="31463" xr:uid="{00000000-0005-0000-0000-000087830000}"/>
    <cellStyle name="Normal 6 12 5 2 3 3" xfId="45358" xr:uid="{00000000-0005-0000-0000-000088830000}"/>
    <cellStyle name="Normal 6 12 5 2 4" xfId="22144" xr:uid="{00000000-0005-0000-0000-000089830000}"/>
    <cellStyle name="Normal 6 12 5 2 5" xfId="40776" xr:uid="{00000000-0005-0000-0000-00008A830000}"/>
    <cellStyle name="Normal 6 12 5 3" xfId="12599" xr:uid="{00000000-0005-0000-0000-00008B830000}"/>
    <cellStyle name="Normal 6 12 5 3 2" xfId="36084" xr:uid="{00000000-0005-0000-0000-00008C830000}"/>
    <cellStyle name="Normal 6 12 5 3 3" xfId="26765" xr:uid="{00000000-0005-0000-0000-00008D830000}"/>
    <cellStyle name="Normal 6 12 5 3 4" xfId="50027" xr:uid="{00000000-0005-0000-0000-00008E830000}"/>
    <cellStyle name="Normal 6 12 5 4" xfId="17330" xr:uid="{00000000-0005-0000-0000-00008F830000}"/>
    <cellStyle name="Normal 6 12 5 4 2" xfId="31462" xr:uid="{00000000-0005-0000-0000-000090830000}"/>
    <cellStyle name="Normal 6 12 5 4 3" xfId="45357" xr:uid="{00000000-0005-0000-0000-000091830000}"/>
    <cellStyle name="Normal 6 12 5 5" xfId="22143" xr:uid="{00000000-0005-0000-0000-000092830000}"/>
    <cellStyle name="Normal 6 12 5 6" xfId="40775" xr:uid="{00000000-0005-0000-0000-000093830000}"/>
    <cellStyle name="Normal 6 12 6" xfId="6820" xr:uid="{00000000-0005-0000-0000-000094830000}"/>
    <cellStyle name="Normal 6 12 6 2" xfId="6821" xr:uid="{00000000-0005-0000-0000-000095830000}"/>
    <cellStyle name="Normal 6 12 6 2 2" xfId="12602" xr:uid="{00000000-0005-0000-0000-000096830000}"/>
    <cellStyle name="Normal 6 12 6 2 2 2" xfId="36087" xr:uid="{00000000-0005-0000-0000-000097830000}"/>
    <cellStyle name="Normal 6 12 6 2 2 3" xfId="26768" xr:uid="{00000000-0005-0000-0000-000098830000}"/>
    <cellStyle name="Normal 6 12 6 2 2 4" xfId="50030" xr:uid="{00000000-0005-0000-0000-000099830000}"/>
    <cellStyle name="Normal 6 12 6 2 3" xfId="17333" xr:uid="{00000000-0005-0000-0000-00009A830000}"/>
    <cellStyle name="Normal 6 12 6 2 3 2" xfId="31465" xr:uid="{00000000-0005-0000-0000-00009B830000}"/>
    <cellStyle name="Normal 6 12 6 2 3 3" xfId="45360" xr:uid="{00000000-0005-0000-0000-00009C830000}"/>
    <cellStyle name="Normal 6 12 6 2 4" xfId="22146" xr:uid="{00000000-0005-0000-0000-00009D830000}"/>
    <cellStyle name="Normal 6 12 6 2 5" xfId="40778" xr:uid="{00000000-0005-0000-0000-00009E830000}"/>
    <cellStyle name="Normal 6 12 6 3" xfId="12601" xr:uid="{00000000-0005-0000-0000-00009F830000}"/>
    <cellStyle name="Normal 6 12 6 3 2" xfId="36086" xr:uid="{00000000-0005-0000-0000-0000A0830000}"/>
    <cellStyle name="Normal 6 12 6 3 3" xfId="26767" xr:uid="{00000000-0005-0000-0000-0000A1830000}"/>
    <cellStyle name="Normal 6 12 6 3 4" xfId="50029" xr:uid="{00000000-0005-0000-0000-0000A2830000}"/>
    <cellStyle name="Normal 6 12 6 4" xfId="17332" xr:uid="{00000000-0005-0000-0000-0000A3830000}"/>
    <cellStyle name="Normal 6 12 6 4 2" xfId="31464" xr:uid="{00000000-0005-0000-0000-0000A4830000}"/>
    <cellStyle name="Normal 6 12 6 4 3" xfId="45359" xr:uid="{00000000-0005-0000-0000-0000A5830000}"/>
    <cellStyle name="Normal 6 12 6 5" xfId="22145" xr:uid="{00000000-0005-0000-0000-0000A6830000}"/>
    <cellStyle name="Normal 6 12 6 6" xfId="40777" xr:uid="{00000000-0005-0000-0000-0000A7830000}"/>
    <cellStyle name="Normal 6 12 7" xfId="6822" xr:uid="{00000000-0005-0000-0000-0000A8830000}"/>
    <cellStyle name="Normal 6 12 7 2" xfId="12603" xr:uid="{00000000-0005-0000-0000-0000A9830000}"/>
    <cellStyle name="Normal 6 12 7 2 2" xfId="36088" xr:uid="{00000000-0005-0000-0000-0000AA830000}"/>
    <cellStyle name="Normal 6 12 7 2 3" xfId="26769" xr:uid="{00000000-0005-0000-0000-0000AB830000}"/>
    <cellStyle name="Normal 6 12 7 2 4" xfId="50031" xr:uid="{00000000-0005-0000-0000-0000AC830000}"/>
    <cellStyle name="Normal 6 12 7 3" xfId="17334" xr:uid="{00000000-0005-0000-0000-0000AD830000}"/>
    <cellStyle name="Normal 6 12 7 3 2" xfId="31466" xr:uid="{00000000-0005-0000-0000-0000AE830000}"/>
    <cellStyle name="Normal 6 12 7 3 3" xfId="45361" xr:uid="{00000000-0005-0000-0000-0000AF830000}"/>
    <cellStyle name="Normal 6 12 7 4" xfId="22147" xr:uid="{00000000-0005-0000-0000-0000B0830000}"/>
    <cellStyle name="Normal 6 12 7 5" xfId="40779" xr:uid="{00000000-0005-0000-0000-0000B1830000}"/>
    <cellStyle name="Normal 6 12 8" xfId="12592" xr:uid="{00000000-0005-0000-0000-0000B2830000}"/>
    <cellStyle name="Normal 6 12 8 2" xfId="36077" xr:uid="{00000000-0005-0000-0000-0000B3830000}"/>
    <cellStyle name="Normal 6 12 8 3" xfId="26758" xr:uid="{00000000-0005-0000-0000-0000B4830000}"/>
    <cellStyle name="Normal 6 12 8 4" xfId="50020" xr:uid="{00000000-0005-0000-0000-0000B5830000}"/>
    <cellStyle name="Normal 6 12 9" xfId="17323" xr:uid="{00000000-0005-0000-0000-0000B6830000}"/>
    <cellStyle name="Normal 6 12 9 2" xfId="31455" xr:uid="{00000000-0005-0000-0000-0000B7830000}"/>
    <cellStyle name="Normal 6 12 9 3" xfId="45350" xr:uid="{00000000-0005-0000-0000-0000B8830000}"/>
    <cellStyle name="Normal 6 13" xfId="6823" xr:uid="{00000000-0005-0000-0000-0000B9830000}"/>
    <cellStyle name="Normal 6 13 10" xfId="22148" xr:uid="{00000000-0005-0000-0000-0000BA830000}"/>
    <cellStyle name="Normal 6 13 11" xfId="40780" xr:uid="{00000000-0005-0000-0000-0000BB830000}"/>
    <cellStyle name="Normal 6 13 2" xfId="6824" xr:uid="{00000000-0005-0000-0000-0000BC830000}"/>
    <cellStyle name="Normal 6 13 2 2" xfId="6825" xr:uid="{00000000-0005-0000-0000-0000BD830000}"/>
    <cellStyle name="Normal 6 13 2 2 2" xfId="12606" xr:uid="{00000000-0005-0000-0000-0000BE830000}"/>
    <cellStyle name="Normal 6 13 2 2 2 2" xfId="36091" xr:uid="{00000000-0005-0000-0000-0000BF830000}"/>
    <cellStyle name="Normal 6 13 2 2 2 3" xfId="26772" xr:uid="{00000000-0005-0000-0000-0000C0830000}"/>
    <cellStyle name="Normal 6 13 2 2 2 4" xfId="50034" xr:uid="{00000000-0005-0000-0000-0000C1830000}"/>
    <cellStyle name="Normal 6 13 2 2 3" xfId="17337" xr:uid="{00000000-0005-0000-0000-0000C2830000}"/>
    <cellStyle name="Normal 6 13 2 2 3 2" xfId="31469" xr:uid="{00000000-0005-0000-0000-0000C3830000}"/>
    <cellStyle name="Normal 6 13 2 2 3 3" xfId="45364" xr:uid="{00000000-0005-0000-0000-0000C4830000}"/>
    <cellStyle name="Normal 6 13 2 2 4" xfId="22150" xr:uid="{00000000-0005-0000-0000-0000C5830000}"/>
    <cellStyle name="Normal 6 13 2 2 5" xfId="40782" xr:uid="{00000000-0005-0000-0000-0000C6830000}"/>
    <cellStyle name="Normal 6 13 2 3" xfId="12605" xr:uid="{00000000-0005-0000-0000-0000C7830000}"/>
    <cellStyle name="Normal 6 13 2 3 2" xfId="36090" xr:uid="{00000000-0005-0000-0000-0000C8830000}"/>
    <cellStyle name="Normal 6 13 2 3 3" xfId="26771" xr:uid="{00000000-0005-0000-0000-0000C9830000}"/>
    <cellStyle name="Normal 6 13 2 3 4" xfId="50033" xr:uid="{00000000-0005-0000-0000-0000CA830000}"/>
    <cellStyle name="Normal 6 13 2 4" xfId="17336" xr:uid="{00000000-0005-0000-0000-0000CB830000}"/>
    <cellStyle name="Normal 6 13 2 4 2" xfId="31468" xr:uid="{00000000-0005-0000-0000-0000CC830000}"/>
    <cellStyle name="Normal 6 13 2 4 3" xfId="45363" xr:uid="{00000000-0005-0000-0000-0000CD830000}"/>
    <cellStyle name="Normal 6 13 2 5" xfId="22149" xr:uid="{00000000-0005-0000-0000-0000CE830000}"/>
    <cellStyle name="Normal 6 13 2 6" xfId="40781" xr:uid="{00000000-0005-0000-0000-0000CF830000}"/>
    <cellStyle name="Normal 6 13 3" xfId="6826" xr:uid="{00000000-0005-0000-0000-0000D0830000}"/>
    <cellStyle name="Normal 6 13 3 2" xfId="6827" xr:uid="{00000000-0005-0000-0000-0000D1830000}"/>
    <cellStyle name="Normal 6 13 3 2 2" xfId="12608" xr:uid="{00000000-0005-0000-0000-0000D2830000}"/>
    <cellStyle name="Normal 6 13 3 2 2 2" xfId="36093" xr:uid="{00000000-0005-0000-0000-0000D3830000}"/>
    <cellStyle name="Normal 6 13 3 2 2 3" xfId="26774" xr:uid="{00000000-0005-0000-0000-0000D4830000}"/>
    <cellStyle name="Normal 6 13 3 2 2 4" xfId="50036" xr:uid="{00000000-0005-0000-0000-0000D5830000}"/>
    <cellStyle name="Normal 6 13 3 2 3" xfId="17339" xr:uid="{00000000-0005-0000-0000-0000D6830000}"/>
    <cellStyle name="Normal 6 13 3 2 3 2" xfId="31471" xr:uid="{00000000-0005-0000-0000-0000D7830000}"/>
    <cellStyle name="Normal 6 13 3 2 3 3" xfId="45366" xr:uid="{00000000-0005-0000-0000-0000D8830000}"/>
    <cellStyle name="Normal 6 13 3 2 4" xfId="22152" xr:uid="{00000000-0005-0000-0000-0000D9830000}"/>
    <cellStyle name="Normal 6 13 3 2 5" xfId="40784" xr:uid="{00000000-0005-0000-0000-0000DA830000}"/>
    <cellStyle name="Normal 6 13 3 3" xfId="12607" xr:uid="{00000000-0005-0000-0000-0000DB830000}"/>
    <cellStyle name="Normal 6 13 3 3 2" xfId="36092" xr:uid="{00000000-0005-0000-0000-0000DC830000}"/>
    <cellStyle name="Normal 6 13 3 3 3" xfId="26773" xr:uid="{00000000-0005-0000-0000-0000DD830000}"/>
    <cellStyle name="Normal 6 13 3 3 4" xfId="50035" xr:uid="{00000000-0005-0000-0000-0000DE830000}"/>
    <cellStyle name="Normal 6 13 3 4" xfId="17338" xr:uid="{00000000-0005-0000-0000-0000DF830000}"/>
    <cellStyle name="Normal 6 13 3 4 2" xfId="31470" xr:uid="{00000000-0005-0000-0000-0000E0830000}"/>
    <cellStyle name="Normal 6 13 3 4 3" xfId="45365" xr:uid="{00000000-0005-0000-0000-0000E1830000}"/>
    <cellStyle name="Normal 6 13 3 5" xfId="22151" xr:uid="{00000000-0005-0000-0000-0000E2830000}"/>
    <cellStyle name="Normal 6 13 3 6" xfId="40783" xr:uid="{00000000-0005-0000-0000-0000E3830000}"/>
    <cellStyle name="Normal 6 13 4" xfId="6828" xr:uid="{00000000-0005-0000-0000-0000E4830000}"/>
    <cellStyle name="Normal 6 13 4 2" xfId="6829" xr:uid="{00000000-0005-0000-0000-0000E5830000}"/>
    <cellStyle name="Normal 6 13 4 2 2" xfId="12610" xr:uid="{00000000-0005-0000-0000-0000E6830000}"/>
    <cellStyle name="Normal 6 13 4 2 2 2" xfId="36095" xr:uid="{00000000-0005-0000-0000-0000E7830000}"/>
    <cellStyle name="Normal 6 13 4 2 2 3" xfId="26776" xr:uid="{00000000-0005-0000-0000-0000E8830000}"/>
    <cellStyle name="Normal 6 13 4 2 2 4" xfId="50038" xr:uid="{00000000-0005-0000-0000-0000E9830000}"/>
    <cellStyle name="Normal 6 13 4 2 3" xfId="17341" xr:uid="{00000000-0005-0000-0000-0000EA830000}"/>
    <cellStyle name="Normal 6 13 4 2 3 2" xfId="31473" xr:uid="{00000000-0005-0000-0000-0000EB830000}"/>
    <cellStyle name="Normal 6 13 4 2 3 3" xfId="45368" xr:uid="{00000000-0005-0000-0000-0000EC830000}"/>
    <cellStyle name="Normal 6 13 4 2 4" xfId="22154" xr:uid="{00000000-0005-0000-0000-0000ED830000}"/>
    <cellStyle name="Normal 6 13 4 2 5" xfId="40786" xr:uid="{00000000-0005-0000-0000-0000EE830000}"/>
    <cellStyle name="Normal 6 13 4 3" xfId="12609" xr:uid="{00000000-0005-0000-0000-0000EF830000}"/>
    <cellStyle name="Normal 6 13 4 3 2" xfId="36094" xr:uid="{00000000-0005-0000-0000-0000F0830000}"/>
    <cellStyle name="Normal 6 13 4 3 3" xfId="26775" xr:uid="{00000000-0005-0000-0000-0000F1830000}"/>
    <cellStyle name="Normal 6 13 4 3 4" xfId="50037" xr:uid="{00000000-0005-0000-0000-0000F2830000}"/>
    <cellStyle name="Normal 6 13 4 4" xfId="17340" xr:uid="{00000000-0005-0000-0000-0000F3830000}"/>
    <cellStyle name="Normal 6 13 4 4 2" xfId="31472" xr:uid="{00000000-0005-0000-0000-0000F4830000}"/>
    <cellStyle name="Normal 6 13 4 4 3" xfId="45367" xr:uid="{00000000-0005-0000-0000-0000F5830000}"/>
    <cellStyle name="Normal 6 13 4 5" xfId="22153" xr:uid="{00000000-0005-0000-0000-0000F6830000}"/>
    <cellStyle name="Normal 6 13 4 6" xfId="40785" xr:uid="{00000000-0005-0000-0000-0000F7830000}"/>
    <cellStyle name="Normal 6 13 5" xfId="6830" xr:uid="{00000000-0005-0000-0000-0000F8830000}"/>
    <cellStyle name="Normal 6 13 5 2" xfId="6831" xr:uid="{00000000-0005-0000-0000-0000F9830000}"/>
    <cellStyle name="Normal 6 13 5 2 2" xfId="12612" xr:uid="{00000000-0005-0000-0000-0000FA830000}"/>
    <cellStyle name="Normal 6 13 5 2 2 2" xfId="36097" xr:uid="{00000000-0005-0000-0000-0000FB830000}"/>
    <cellStyle name="Normal 6 13 5 2 2 3" xfId="26778" xr:uid="{00000000-0005-0000-0000-0000FC830000}"/>
    <cellStyle name="Normal 6 13 5 2 2 4" xfId="50040" xr:uid="{00000000-0005-0000-0000-0000FD830000}"/>
    <cellStyle name="Normal 6 13 5 2 3" xfId="17343" xr:uid="{00000000-0005-0000-0000-0000FE830000}"/>
    <cellStyle name="Normal 6 13 5 2 3 2" xfId="31475" xr:uid="{00000000-0005-0000-0000-0000FF830000}"/>
    <cellStyle name="Normal 6 13 5 2 3 3" xfId="45370" xr:uid="{00000000-0005-0000-0000-000000840000}"/>
    <cellStyle name="Normal 6 13 5 2 4" xfId="22156" xr:uid="{00000000-0005-0000-0000-000001840000}"/>
    <cellStyle name="Normal 6 13 5 2 5" xfId="40788" xr:uid="{00000000-0005-0000-0000-000002840000}"/>
    <cellStyle name="Normal 6 13 5 3" xfId="12611" xr:uid="{00000000-0005-0000-0000-000003840000}"/>
    <cellStyle name="Normal 6 13 5 3 2" xfId="36096" xr:uid="{00000000-0005-0000-0000-000004840000}"/>
    <cellStyle name="Normal 6 13 5 3 3" xfId="26777" xr:uid="{00000000-0005-0000-0000-000005840000}"/>
    <cellStyle name="Normal 6 13 5 3 4" xfId="50039" xr:uid="{00000000-0005-0000-0000-000006840000}"/>
    <cellStyle name="Normal 6 13 5 4" xfId="17342" xr:uid="{00000000-0005-0000-0000-000007840000}"/>
    <cellStyle name="Normal 6 13 5 4 2" xfId="31474" xr:uid="{00000000-0005-0000-0000-000008840000}"/>
    <cellStyle name="Normal 6 13 5 4 3" xfId="45369" xr:uid="{00000000-0005-0000-0000-000009840000}"/>
    <cellStyle name="Normal 6 13 5 5" xfId="22155" xr:uid="{00000000-0005-0000-0000-00000A840000}"/>
    <cellStyle name="Normal 6 13 5 6" xfId="40787" xr:uid="{00000000-0005-0000-0000-00000B840000}"/>
    <cellStyle name="Normal 6 13 6" xfId="6832" xr:uid="{00000000-0005-0000-0000-00000C840000}"/>
    <cellStyle name="Normal 6 13 6 2" xfId="6833" xr:uid="{00000000-0005-0000-0000-00000D840000}"/>
    <cellStyle name="Normal 6 13 6 2 2" xfId="12614" xr:uid="{00000000-0005-0000-0000-00000E840000}"/>
    <cellStyle name="Normal 6 13 6 2 2 2" xfId="36099" xr:uid="{00000000-0005-0000-0000-00000F840000}"/>
    <cellStyle name="Normal 6 13 6 2 2 3" xfId="26780" xr:uid="{00000000-0005-0000-0000-000010840000}"/>
    <cellStyle name="Normal 6 13 6 2 2 4" xfId="50042" xr:uid="{00000000-0005-0000-0000-000011840000}"/>
    <cellStyle name="Normal 6 13 6 2 3" xfId="17345" xr:uid="{00000000-0005-0000-0000-000012840000}"/>
    <cellStyle name="Normal 6 13 6 2 3 2" xfId="31477" xr:uid="{00000000-0005-0000-0000-000013840000}"/>
    <cellStyle name="Normal 6 13 6 2 3 3" xfId="45372" xr:uid="{00000000-0005-0000-0000-000014840000}"/>
    <cellStyle name="Normal 6 13 6 2 4" xfId="22158" xr:uid="{00000000-0005-0000-0000-000015840000}"/>
    <cellStyle name="Normal 6 13 6 2 5" xfId="40790" xr:uid="{00000000-0005-0000-0000-000016840000}"/>
    <cellStyle name="Normal 6 13 6 3" xfId="12613" xr:uid="{00000000-0005-0000-0000-000017840000}"/>
    <cellStyle name="Normal 6 13 6 3 2" xfId="36098" xr:uid="{00000000-0005-0000-0000-000018840000}"/>
    <cellStyle name="Normal 6 13 6 3 3" xfId="26779" xr:uid="{00000000-0005-0000-0000-000019840000}"/>
    <cellStyle name="Normal 6 13 6 3 4" xfId="50041" xr:uid="{00000000-0005-0000-0000-00001A840000}"/>
    <cellStyle name="Normal 6 13 6 4" xfId="17344" xr:uid="{00000000-0005-0000-0000-00001B840000}"/>
    <cellStyle name="Normal 6 13 6 4 2" xfId="31476" xr:uid="{00000000-0005-0000-0000-00001C840000}"/>
    <cellStyle name="Normal 6 13 6 4 3" xfId="45371" xr:uid="{00000000-0005-0000-0000-00001D840000}"/>
    <cellStyle name="Normal 6 13 6 5" xfId="22157" xr:uid="{00000000-0005-0000-0000-00001E840000}"/>
    <cellStyle name="Normal 6 13 6 6" xfId="40789" xr:uid="{00000000-0005-0000-0000-00001F840000}"/>
    <cellStyle name="Normal 6 13 7" xfId="6834" xr:uid="{00000000-0005-0000-0000-000020840000}"/>
    <cellStyle name="Normal 6 13 7 2" xfId="12615" xr:uid="{00000000-0005-0000-0000-000021840000}"/>
    <cellStyle name="Normal 6 13 7 2 2" xfId="36100" xr:uid="{00000000-0005-0000-0000-000022840000}"/>
    <cellStyle name="Normal 6 13 7 2 3" xfId="26781" xr:uid="{00000000-0005-0000-0000-000023840000}"/>
    <cellStyle name="Normal 6 13 7 2 4" xfId="50043" xr:uid="{00000000-0005-0000-0000-000024840000}"/>
    <cellStyle name="Normal 6 13 7 3" xfId="17346" xr:uid="{00000000-0005-0000-0000-000025840000}"/>
    <cellStyle name="Normal 6 13 7 3 2" xfId="31478" xr:uid="{00000000-0005-0000-0000-000026840000}"/>
    <cellStyle name="Normal 6 13 7 3 3" xfId="45373" xr:uid="{00000000-0005-0000-0000-000027840000}"/>
    <cellStyle name="Normal 6 13 7 4" xfId="22159" xr:uid="{00000000-0005-0000-0000-000028840000}"/>
    <cellStyle name="Normal 6 13 7 5" xfId="40791" xr:uid="{00000000-0005-0000-0000-000029840000}"/>
    <cellStyle name="Normal 6 13 8" xfId="12604" xr:uid="{00000000-0005-0000-0000-00002A840000}"/>
    <cellStyle name="Normal 6 13 8 2" xfId="36089" xr:uid="{00000000-0005-0000-0000-00002B840000}"/>
    <cellStyle name="Normal 6 13 8 3" xfId="26770" xr:uid="{00000000-0005-0000-0000-00002C840000}"/>
    <cellStyle name="Normal 6 13 8 4" xfId="50032" xr:uid="{00000000-0005-0000-0000-00002D840000}"/>
    <cellStyle name="Normal 6 13 9" xfId="17335" xr:uid="{00000000-0005-0000-0000-00002E840000}"/>
    <cellStyle name="Normal 6 13 9 2" xfId="31467" xr:uid="{00000000-0005-0000-0000-00002F840000}"/>
    <cellStyle name="Normal 6 13 9 3" xfId="45362" xr:uid="{00000000-0005-0000-0000-000030840000}"/>
    <cellStyle name="Normal 6 14" xfId="6835" xr:uid="{00000000-0005-0000-0000-000031840000}"/>
    <cellStyle name="Normal 6 14 10" xfId="22160" xr:uid="{00000000-0005-0000-0000-000032840000}"/>
    <cellStyle name="Normal 6 14 11" xfId="40792" xr:uid="{00000000-0005-0000-0000-000033840000}"/>
    <cellStyle name="Normal 6 14 2" xfId="6836" xr:uid="{00000000-0005-0000-0000-000034840000}"/>
    <cellStyle name="Normal 6 14 2 2" xfId="6837" xr:uid="{00000000-0005-0000-0000-000035840000}"/>
    <cellStyle name="Normal 6 14 2 2 2" xfId="12618" xr:uid="{00000000-0005-0000-0000-000036840000}"/>
    <cellStyle name="Normal 6 14 2 2 2 2" xfId="36103" xr:uid="{00000000-0005-0000-0000-000037840000}"/>
    <cellStyle name="Normal 6 14 2 2 2 3" xfId="26784" xr:uid="{00000000-0005-0000-0000-000038840000}"/>
    <cellStyle name="Normal 6 14 2 2 2 4" xfId="50046" xr:uid="{00000000-0005-0000-0000-000039840000}"/>
    <cellStyle name="Normal 6 14 2 2 3" xfId="17349" xr:uid="{00000000-0005-0000-0000-00003A840000}"/>
    <cellStyle name="Normal 6 14 2 2 3 2" xfId="31481" xr:uid="{00000000-0005-0000-0000-00003B840000}"/>
    <cellStyle name="Normal 6 14 2 2 3 3" xfId="45376" xr:uid="{00000000-0005-0000-0000-00003C840000}"/>
    <cellStyle name="Normal 6 14 2 2 4" xfId="22162" xr:uid="{00000000-0005-0000-0000-00003D840000}"/>
    <cellStyle name="Normal 6 14 2 2 5" xfId="40794" xr:uid="{00000000-0005-0000-0000-00003E840000}"/>
    <cellStyle name="Normal 6 14 2 3" xfId="12617" xr:uid="{00000000-0005-0000-0000-00003F840000}"/>
    <cellStyle name="Normal 6 14 2 3 2" xfId="36102" xr:uid="{00000000-0005-0000-0000-000040840000}"/>
    <cellStyle name="Normal 6 14 2 3 3" xfId="26783" xr:uid="{00000000-0005-0000-0000-000041840000}"/>
    <cellStyle name="Normal 6 14 2 3 4" xfId="50045" xr:uid="{00000000-0005-0000-0000-000042840000}"/>
    <cellStyle name="Normal 6 14 2 4" xfId="17348" xr:uid="{00000000-0005-0000-0000-000043840000}"/>
    <cellStyle name="Normal 6 14 2 4 2" xfId="31480" xr:uid="{00000000-0005-0000-0000-000044840000}"/>
    <cellStyle name="Normal 6 14 2 4 3" xfId="45375" xr:uid="{00000000-0005-0000-0000-000045840000}"/>
    <cellStyle name="Normal 6 14 2 5" xfId="22161" xr:uid="{00000000-0005-0000-0000-000046840000}"/>
    <cellStyle name="Normal 6 14 2 6" xfId="40793" xr:uid="{00000000-0005-0000-0000-000047840000}"/>
    <cellStyle name="Normal 6 14 3" xfId="6838" xr:uid="{00000000-0005-0000-0000-000048840000}"/>
    <cellStyle name="Normal 6 14 3 2" xfId="6839" xr:uid="{00000000-0005-0000-0000-000049840000}"/>
    <cellStyle name="Normal 6 14 3 2 2" xfId="12620" xr:uid="{00000000-0005-0000-0000-00004A840000}"/>
    <cellStyle name="Normal 6 14 3 2 2 2" xfId="36105" xr:uid="{00000000-0005-0000-0000-00004B840000}"/>
    <cellStyle name="Normal 6 14 3 2 2 3" xfId="26786" xr:uid="{00000000-0005-0000-0000-00004C840000}"/>
    <cellStyle name="Normal 6 14 3 2 2 4" xfId="50048" xr:uid="{00000000-0005-0000-0000-00004D840000}"/>
    <cellStyle name="Normal 6 14 3 2 3" xfId="17351" xr:uid="{00000000-0005-0000-0000-00004E840000}"/>
    <cellStyle name="Normal 6 14 3 2 3 2" xfId="31483" xr:uid="{00000000-0005-0000-0000-00004F840000}"/>
    <cellStyle name="Normal 6 14 3 2 3 3" xfId="45378" xr:uid="{00000000-0005-0000-0000-000050840000}"/>
    <cellStyle name="Normal 6 14 3 2 4" xfId="22164" xr:uid="{00000000-0005-0000-0000-000051840000}"/>
    <cellStyle name="Normal 6 14 3 2 5" xfId="40796" xr:uid="{00000000-0005-0000-0000-000052840000}"/>
    <cellStyle name="Normal 6 14 3 3" xfId="12619" xr:uid="{00000000-0005-0000-0000-000053840000}"/>
    <cellStyle name="Normal 6 14 3 3 2" xfId="36104" xr:uid="{00000000-0005-0000-0000-000054840000}"/>
    <cellStyle name="Normal 6 14 3 3 3" xfId="26785" xr:uid="{00000000-0005-0000-0000-000055840000}"/>
    <cellStyle name="Normal 6 14 3 3 4" xfId="50047" xr:uid="{00000000-0005-0000-0000-000056840000}"/>
    <cellStyle name="Normal 6 14 3 4" xfId="17350" xr:uid="{00000000-0005-0000-0000-000057840000}"/>
    <cellStyle name="Normal 6 14 3 4 2" xfId="31482" xr:uid="{00000000-0005-0000-0000-000058840000}"/>
    <cellStyle name="Normal 6 14 3 4 3" xfId="45377" xr:uid="{00000000-0005-0000-0000-000059840000}"/>
    <cellStyle name="Normal 6 14 3 5" xfId="22163" xr:uid="{00000000-0005-0000-0000-00005A840000}"/>
    <cellStyle name="Normal 6 14 3 6" xfId="40795" xr:uid="{00000000-0005-0000-0000-00005B840000}"/>
    <cellStyle name="Normal 6 14 4" xfId="6840" xr:uid="{00000000-0005-0000-0000-00005C840000}"/>
    <cellStyle name="Normal 6 14 4 2" xfId="6841" xr:uid="{00000000-0005-0000-0000-00005D840000}"/>
    <cellStyle name="Normal 6 14 4 2 2" xfId="12622" xr:uid="{00000000-0005-0000-0000-00005E840000}"/>
    <cellStyle name="Normal 6 14 4 2 2 2" xfId="36107" xr:uid="{00000000-0005-0000-0000-00005F840000}"/>
    <cellStyle name="Normal 6 14 4 2 2 3" xfId="26788" xr:uid="{00000000-0005-0000-0000-000060840000}"/>
    <cellStyle name="Normal 6 14 4 2 2 4" xfId="50050" xr:uid="{00000000-0005-0000-0000-000061840000}"/>
    <cellStyle name="Normal 6 14 4 2 3" xfId="17353" xr:uid="{00000000-0005-0000-0000-000062840000}"/>
    <cellStyle name="Normal 6 14 4 2 3 2" xfId="31485" xr:uid="{00000000-0005-0000-0000-000063840000}"/>
    <cellStyle name="Normal 6 14 4 2 3 3" xfId="45380" xr:uid="{00000000-0005-0000-0000-000064840000}"/>
    <cellStyle name="Normal 6 14 4 2 4" xfId="22166" xr:uid="{00000000-0005-0000-0000-000065840000}"/>
    <cellStyle name="Normal 6 14 4 2 5" xfId="40798" xr:uid="{00000000-0005-0000-0000-000066840000}"/>
    <cellStyle name="Normal 6 14 4 3" xfId="12621" xr:uid="{00000000-0005-0000-0000-000067840000}"/>
    <cellStyle name="Normal 6 14 4 3 2" xfId="36106" xr:uid="{00000000-0005-0000-0000-000068840000}"/>
    <cellStyle name="Normal 6 14 4 3 3" xfId="26787" xr:uid="{00000000-0005-0000-0000-000069840000}"/>
    <cellStyle name="Normal 6 14 4 3 4" xfId="50049" xr:uid="{00000000-0005-0000-0000-00006A840000}"/>
    <cellStyle name="Normal 6 14 4 4" xfId="17352" xr:uid="{00000000-0005-0000-0000-00006B840000}"/>
    <cellStyle name="Normal 6 14 4 4 2" xfId="31484" xr:uid="{00000000-0005-0000-0000-00006C840000}"/>
    <cellStyle name="Normal 6 14 4 4 3" xfId="45379" xr:uid="{00000000-0005-0000-0000-00006D840000}"/>
    <cellStyle name="Normal 6 14 4 5" xfId="22165" xr:uid="{00000000-0005-0000-0000-00006E840000}"/>
    <cellStyle name="Normal 6 14 4 6" xfId="40797" xr:uid="{00000000-0005-0000-0000-00006F840000}"/>
    <cellStyle name="Normal 6 14 5" xfId="6842" xr:uid="{00000000-0005-0000-0000-000070840000}"/>
    <cellStyle name="Normal 6 14 5 2" xfId="6843" xr:uid="{00000000-0005-0000-0000-000071840000}"/>
    <cellStyle name="Normal 6 14 5 2 2" xfId="12624" xr:uid="{00000000-0005-0000-0000-000072840000}"/>
    <cellStyle name="Normal 6 14 5 2 2 2" xfId="36109" xr:uid="{00000000-0005-0000-0000-000073840000}"/>
    <cellStyle name="Normal 6 14 5 2 2 3" xfId="26790" xr:uid="{00000000-0005-0000-0000-000074840000}"/>
    <cellStyle name="Normal 6 14 5 2 2 4" xfId="50052" xr:uid="{00000000-0005-0000-0000-000075840000}"/>
    <cellStyle name="Normal 6 14 5 2 3" xfId="17355" xr:uid="{00000000-0005-0000-0000-000076840000}"/>
    <cellStyle name="Normal 6 14 5 2 3 2" xfId="31487" xr:uid="{00000000-0005-0000-0000-000077840000}"/>
    <cellStyle name="Normal 6 14 5 2 3 3" xfId="45382" xr:uid="{00000000-0005-0000-0000-000078840000}"/>
    <cellStyle name="Normal 6 14 5 2 4" xfId="22168" xr:uid="{00000000-0005-0000-0000-000079840000}"/>
    <cellStyle name="Normal 6 14 5 2 5" xfId="40800" xr:uid="{00000000-0005-0000-0000-00007A840000}"/>
    <cellStyle name="Normal 6 14 5 3" xfId="12623" xr:uid="{00000000-0005-0000-0000-00007B840000}"/>
    <cellStyle name="Normal 6 14 5 3 2" xfId="36108" xr:uid="{00000000-0005-0000-0000-00007C840000}"/>
    <cellStyle name="Normal 6 14 5 3 3" xfId="26789" xr:uid="{00000000-0005-0000-0000-00007D840000}"/>
    <cellStyle name="Normal 6 14 5 3 4" xfId="50051" xr:uid="{00000000-0005-0000-0000-00007E840000}"/>
    <cellStyle name="Normal 6 14 5 4" xfId="17354" xr:uid="{00000000-0005-0000-0000-00007F840000}"/>
    <cellStyle name="Normal 6 14 5 4 2" xfId="31486" xr:uid="{00000000-0005-0000-0000-000080840000}"/>
    <cellStyle name="Normal 6 14 5 4 3" xfId="45381" xr:uid="{00000000-0005-0000-0000-000081840000}"/>
    <cellStyle name="Normal 6 14 5 5" xfId="22167" xr:uid="{00000000-0005-0000-0000-000082840000}"/>
    <cellStyle name="Normal 6 14 5 6" xfId="40799" xr:uid="{00000000-0005-0000-0000-000083840000}"/>
    <cellStyle name="Normal 6 14 6" xfId="6844" xr:uid="{00000000-0005-0000-0000-000084840000}"/>
    <cellStyle name="Normal 6 14 6 2" xfId="6845" xr:uid="{00000000-0005-0000-0000-000085840000}"/>
    <cellStyle name="Normal 6 14 6 2 2" xfId="12626" xr:uid="{00000000-0005-0000-0000-000086840000}"/>
    <cellStyle name="Normal 6 14 6 2 2 2" xfId="36111" xr:uid="{00000000-0005-0000-0000-000087840000}"/>
    <cellStyle name="Normal 6 14 6 2 2 3" xfId="26792" xr:uid="{00000000-0005-0000-0000-000088840000}"/>
    <cellStyle name="Normal 6 14 6 2 2 4" xfId="50054" xr:uid="{00000000-0005-0000-0000-000089840000}"/>
    <cellStyle name="Normal 6 14 6 2 3" xfId="17357" xr:uid="{00000000-0005-0000-0000-00008A840000}"/>
    <cellStyle name="Normal 6 14 6 2 3 2" xfId="31489" xr:uid="{00000000-0005-0000-0000-00008B840000}"/>
    <cellStyle name="Normal 6 14 6 2 3 3" xfId="45384" xr:uid="{00000000-0005-0000-0000-00008C840000}"/>
    <cellStyle name="Normal 6 14 6 2 4" xfId="22170" xr:uid="{00000000-0005-0000-0000-00008D840000}"/>
    <cellStyle name="Normal 6 14 6 2 5" xfId="40802" xr:uid="{00000000-0005-0000-0000-00008E840000}"/>
    <cellStyle name="Normal 6 14 6 3" xfId="12625" xr:uid="{00000000-0005-0000-0000-00008F840000}"/>
    <cellStyle name="Normal 6 14 6 3 2" xfId="36110" xr:uid="{00000000-0005-0000-0000-000090840000}"/>
    <cellStyle name="Normal 6 14 6 3 3" xfId="26791" xr:uid="{00000000-0005-0000-0000-000091840000}"/>
    <cellStyle name="Normal 6 14 6 3 4" xfId="50053" xr:uid="{00000000-0005-0000-0000-000092840000}"/>
    <cellStyle name="Normal 6 14 6 4" xfId="17356" xr:uid="{00000000-0005-0000-0000-000093840000}"/>
    <cellStyle name="Normal 6 14 6 4 2" xfId="31488" xr:uid="{00000000-0005-0000-0000-000094840000}"/>
    <cellStyle name="Normal 6 14 6 4 3" xfId="45383" xr:uid="{00000000-0005-0000-0000-000095840000}"/>
    <cellStyle name="Normal 6 14 6 5" xfId="22169" xr:uid="{00000000-0005-0000-0000-000096840000}"/>
    <cellStyle name="Normal 6 14 6 6" xfId="40801" xr:uid="{00000000-0005-0000-0000-000097840000}"/>
    <cellStyle name="Normal 6 14 7" xfId="6846" xr:uid="{00000000-0005-0000-0000-000098840000}"/>
    <cellStyle name="Normal 6 14 7 2" xfId="12627" xr:uid="{00000000-0005-0000-0000-000099840000}"/>
    <cellStyle name="Normal 6 14 7 2 2" xfId="36112" xr:uid="{00000000-0005-0000-0000-00009A840000}"/>
    <cellStyle name="Normal 6 14 7 2 3" xfId="26793" xr:uid="{00000000-0005-0000-0000-00009B840000}"/>
    <cellStyle name="Normal 6 14 7 2 4" xfId="50055" xr:uid="{00000000-0005-0000-0000-00009C840000}"/>
    <cellStyle name="Normal 6 14 7 3" xfId="17358" xr:uid="{00000000-0005-0000-0000-00009D840000}"/>
    <cellStyle name="Normal 6 14 7 3 2" xfId="31490" xr:uid="{00000000-0005-0000-0000-00009E840000}"/>
    <cellStyle name="Normal 6 14 7 3 3" xfId="45385" xr:uid="{00000000-0005-0000-0000-00009F840000}"/>
    <cellStyle name="Normal 6 14 7 4" xfId="22171" xr:uid="{00000000-0005-0000-0000-0000A0840000}"/>
    <cellStyle name="Normal 6 14 7 5" xfId="40803" xr:uid="{00000000-0005-0000-0000-0000A1840000}"/>
    <cellStyle name="Normal 6 14 8" xfId="12616" xr:uid="{00000000-0005-0000-0000-0000A2840000}"/>
    <cellStyle name="Normal 6 14 8 2" xfId="36101" xr:uid="{00000000-0005-0000-0000-0000A3840000}"/>
    <cellStyle name="Normal 6 14 8 3" xfId="26782" xr:uid="{00000000-0005-0000-0000-0000A4840000}"/>
    <cellStyle name="Normal 6 14 8 4" xfId="50044" xr:uid="{00000000-0005-0000-0000-0000A5840000}"/>
    <cellStyle name="Normal 6 14 9" xfId="17347" xr:uid="{00000000-0005-0000-0000-0000A6840000}"/>
    <cellStyle name="Normal 6 14 9 2" xfId="31479" xr:uid="{00000000-0005-0000-0000-0000A7840000}"/>
    <cellStyle name="Normal 6 14 9 3" xfId="45374" xr:uid="{00000000-0005-0000-0000-0000A8840000}"/>
    <cellStyle name="Normal 6 15" xfId="6847" xr:uid="{00000000-0005-0000-0000-0000A9840000}"/>
    <cellStyle name="Normal 6 15 10" xfId="22172" xr:uid="{00000000-0005-0000-0000-0000AA840000}"/>
    <cellStyle name="Normal 6 15 11" xfId="40804" xr:uid="{00000000-0005-0000-0000-0000AB840000}"/>
    <cellStyle name="Normal 6 15 2" xfId="6848" xr:uid="{00000000-0005-0000-0000-0000AC840000}"/>
    <cellStyle name="Normal 6 15 2 2" xfId="6849" xr:uid="{00000000-0005-0000-0000-0000AD840000}"/>
    <cellStyle name="Normal 6 15 2 2 2" xfId="12630" xr:uid="{00000000-0005-0000-0000-0000AE840000}"/>
    <cellStyle name="Normal 6 15 2 2 2 2" xfId="36115" xr:uid="{00000000-0005-0000-0000-0000AF840000}"/>
    <cellStyle name="Normal 6 15 2 2 2 3" xfId="26796" xr:uid="{00000000-0005-0000-0000-0000B0840000}"/>
    <cellStyle name="Normal 6 15 2 2 2 4" xfId="50058" xr:uid="{00000000-0005-0000-0000-0000B1840000}"/>
    <cellStyle name="Normal 6 15 2 2 3" xfId="17361" xr:uid="{00000000-0005-0000-0000-0000B2840000}"/>
    <cellStyle name="Normal 6 15 2 2 3 2" xfId="31493" xr:uid="{00000000-0005-0000-0000-0000B3840000}"/>
    <cellStyle name="Normal 6 15 2 2 3 3" xfId="45388" xr:uid="{00000000-0005-0000-0000-0000B4840000}"/>
    <cellStyle name="Normal 6 15 2 2 4" xfId="22174" xr:uid="{00000000-0005-0000-0000-0000B5840000}"/>
    <cellStyle name="Normal 6 15 2 2 5" xfId="40806" xr:uid="{00000000-0005-0000-0000-0000B6840000}"/>
    <cellStyle name="Normal 6 15 2 3" xfId="12629" xr:uid="{00000000-0005-0000-0000-0000B7840000}"/>
    <cellStyle name="Normal 6 15 2 3 2" xfId="36114" xr:uid="{00000000-0005-0000-0000-0000B8840000}"/>
    <cellStyle name="Normal 6 15 2 3 3" xfId="26795" xr:uid="{00000000-0005-0000-0000-0000B9840000}"/>
    <cellStyle name="Normal 6 15 2 3 4" xfId="50057" xr:uid="{00000000-0005-0000-0000-0000BA840000}"/>
    <cellStyle name="Normal 6 15 2 4" xfId="17360" xr:uid="{00000000-0005-0000-0000-0000BB840000}"/>
    <cellStyle name="Normal 6 15 2 4 2" xfId="31492" xr:uid="{00000000-0005-0000-0000-0000BC840000}"/>
    <cellStyle name="Normal 6 15 2 4 3" xfId="45387" xr:uid="{00000000-0005-0000-0000-0000BD840000}"/>
    <cellStyle name="Normal 6 15 2 5" xfId="22173" xr:uid="{00000000-0005-0000-0000-0000BE840000}"/>
    <cellStyle name="Normal 6 15 2 6" xfId="40805" xr:uid="{00000000-0005-0000-0000-0000BF840000}"/>
    <cellStyle name="Normal 6 15 3" xfId="6850" xr:uid="{00000000-0005-0000-0000-0000C0840000}"/>
    <cellStyle name="Normal 6 15 3 2" xfId="6851" xr:uid="{00000000-0005-0000-0000-0000C1840000}"/>
    <cellStyle name="Normal 6 15 3 2 2" xfId="12632" xr:uid="{00000000-0005-0000-0000-0000C2840000}"/>
    <cellStyle name="Normal 6 15 3 2 2 2" xfId="36117" xr:uid="{00000000-0005-0000-0000-0000C3840000}"/>
    <cellStyle name="Normal 6 15 3 2 2 3" xfId="26798" xr:uid="{00000000-0005-0000-0000-0000C4840000}"/>
    <cellStyle name="Normal 6 15 3 2 2 4" xfId="50060" xr:uid="{00000000-0005-0000-0000-0000C5840000}"/>
    <cellStyle name="Normal 6 15 3 2 3" xfId="17363" xr:uid="{00000000-0005-0000-0000-0000C6840000}"/>
    <cellStyle name="Normal 6 15 3 2 3 2" xfId="31495" xr:uid="{00000000-0005-0000-0000-0000C7840000}"/>
    <cellStyle name="Normal 6 15 3 2 3 3" xfId="45390" xr:uid="{00000000-0005-0000-0000-0000C8840000}"/>
    <cellStyle name="Normal 6 15 3 2 4" xfId="22176" xr:uid="{00000000-0005-0000-0000-0000C9840000}"/>
    <cellStyle name="Normal 6 15 3 2 5" xfId="40808" xr:uid="{00000000-0005-0000-0000-0000CA840000}"/>
    <cellStyle name="Normal 6 15 3 3" xfId="12631" xr:uid="{00000000-0005-0000-0000-0000CB840000}"/>
    <cellStyle name="Normal 6 15 3 3 2" xfId="36116" xr:uid="{00000000-0005-0000-0000-0000CC840000}"/>
    <cellStyle name="Normal 6 15 3 3 3" xfId="26797" xr:uid="{00000000-0005-0000-0000-0000CD840000}"/>
    <cellStyle name="Normal 6 15 3 3 4" xfId="50059" xr:uid="{00000000-0005-0000-0000-0000CE840000}"/>
    <cellStyle name="Normal 6 15 3 4" xfId="17362" xr:uid="{00000000-0005-0000-0000-0000CF840000}"/>
    <cellStyle name="Normal 6 15 3 4 2" xfId="31494" xr:uid="{00000000-0005-0000-0000-0000D0840000}"/>
    <cellStyle name="Normal 6 15 3 4 3" xfId="45389" xr:uid="{00000000-0005-0000-0000-0000D1840000}"/>
    <cellStyle name="Normal 6 15 3 5" xfId="22175" xr:uid="{00000000-0005-0000-0000-0000D2840000}"/>
    <cellStyle name="Normal 6 15 3 6" xfId="40807" xr:uid="{00000000-0005-0000-0000-0000D3840000}"/>
    <cellStyle name="Normal 6 15 4" xfId="6852" xr:uid="{00000000-0005-0000-0000-0000D4840000}"/>
    <cellStyle name="Normal 6 15 4 2" xfId="6853" xr:uid="{00000000-0005-0000-0000-0000D5840000}"/>
    <cellStyle name="Normal 6 15 4 2 2" xfId="12634" xr:uid="{00000000-0005-0000-0000-0000D6840000}"/>
    <cellStyle name="Normal 6 15 4 2 2 2" xfId="36119" xr:uid="{00000000-0005-0000-0000-0000D7840000}"/>
    <cellStyle name="Normal 6 15 4 2 2 3" xfId="26800" xr:uid="{00000000-0005-0000-0000-0000D8840000}"/>
    <cellStyle name="Normal 6 15 4 2 2 4" xfId="50062" xr:uid="{00000000-0005-0000-0000-0000D9840000}"/>
    <cellStyle name="Normal 6 15 4 2 3" xfId="17365" xr:uid="{00000000-0005-0000-0000-0000DA840000}"/>
    <cellStyle name="Normal 6 15 4 2 3 2" xfId="31497" xr:uid="{00000000-0005-0000-0000-0000DB840000}"/>
    <cellStyle name="Normal 6 15 4 2 3 3" xfId="45392" xr:uid="{00000000-0005-0000-0000-0000DC840000}"/>
    <cellStyle name="Normal 6 15 4 2 4" xfId="22178" xr:uid="{00000000-0005-0000-0000-0000DD840000}"/>
    <cellStyle name="Normal 6 15 4 2 5" xfId="40810" xr:uid="{00000000-0005-0000-0000-0000DE840000}"/>
    <cellStyle name="Normal 6 15 4 3" xfId="12633" xr:uid="{00000000-0005-0000-0000-0000DF840000}"/>
    <cellStyle name="Normal 6 15 4 3 2" xfId="36118" xr:uid="{00000000-0005-0000-0000-0000E0840000}"/>
    <cellStyle name="Normal 6 15 4 3 3" xfId="26799" xr:uid="{00000000-0005-0000-0000-0000E1840000}"/>
    <cellStyle name="Normal 6 15 4 3 4" xfId="50061" xr:uid="{00000000-0005-0000-0000-0000E2840000}"/>
    <cellStyle name="Normal 6 15 4 4" xfId="17364" xr:uid="{00000000-0005-0000-0000-0000E3840000}"/>
    <cellStyle name="Normal 6 15 4 4 2" xfId="31496" xr:uid="{00000000-0005-0000-0000-0000E4840000}"/>
    <cellStyle name="Normal 6 15 4 4 3" xfId="45391" xr:uid="{00000000-0005-0000-0000-0000E5840000}"/>
    <cellStyle name="Normal 6 15 4 5" xfId="22177" xr:uid="{00000000-0005-0000-0000-0000E6840000}"/>
    <cellStyle name="Normal 6 15 4 6" xfId="40809" xr:uid="{00000000-0005-0000-0000-0000E7840000}"/>
    <cellStyle name="Normal 6 15 5" xfId="6854" xr:uid="{00000000-0005-0000-0000-0000E8840000}"/>
    <cellStyle name="Normal 6 15 5 2" xfId="6855" xr:uid="{00000000-0005-0000-0000-0000E9840000}"/>
    <cellStyle name="Normal 6 15 5 2 2" xfId="12636" xr:uid="{00000000-0005-0000-0000-0000EA840000}"/>
    <cellStyle name="Normal 6 15 5 2 2 2" xfId="36121" xr:uid="{00000000-0005-0000-0000-0000EB840000}"/>
    <cellStyle name="Normal 6 15 5 2 2 3" xfId="26802" xr:uid="{00000000-0005-0000-0000-0000EC840000}"/>
    <cellStyle name="Normal 6 15 5 2 2 4" xfId="50064" xr:uid="{00000000-0005-0000-0000-0000ED840000}"/>
    <cellStyle name="Normal 6 15 5 2 3" xfId="17367" xr:uid="{00000000-0005-0000-0000-0000EE840000}"/>
    <cellStyle name="Normal 6 15 5 2 3 2" xfId="31499" xr:uid="{00000000-0005-0000-0000-0000EF840000}"/>
    <cellStyle name="Normal 6 15 5 2 3 3" xfId="45394" xr:uid="{00000000-0005-0000-0000-0000F0840000}"/>
    <cellStyle name="Normal 6 15 5 2 4" xfId="22180" xr:uid="{00000000-0005-0000-0000-0000F1840000}"/>
    <cellStyle name="Normal 6 15 5 2 5" xfId="40812" xr:uid="{00000000-0005-0000-0000-0000F2840000}"/>
    <cellStyle name="Normal 6 15 5 3" xfId="12635" xr:uid="{00000000-0005-0000-0000-0000F3840000}"/>
    <cellStyle name="Normal 6 15 5 3 2" xfId="36120" xr:uid="{00000000-0005-0000-0000-0000F4840000}"/>
    <cellStyle name="Normal 6 15 5 3 3" xfId="26801" xr:uid="{00000000-0005-0000-0000-0000F5840000}"/>
    <cellStyle name="Normal 6 15 5 3 4" xfId="50063" xr:uid="{00000000-0005-0000-0000-0000F6840000}"/>
    <cellStyle name="Normal 6 15 5 4" xfId="17366" xr:uid="{00000000-0005-0000-0000-0000F7840000}"/>
    <cellStyle name="Normal 6 15 5 4 2" xfId="31498" xr:uid="{00000000-0005-0000-0000-0000F8840000}"/>
    <cellStyle name="Normal 6 15 5 4 3" xfId="45393" xr:uid="{00000000-0005-0000-0000-0000F9840000}"/>
    <cellStyle name="Normal 6 15 5 5" xfId="22179" xr:uid="{00000000-0005-0000-0000-0000FA840000}"/>
    <cellStyle name="Normal 6 15 5 6" xfId="40811" xr:uid="{00000000-0005-0000-0000-0000FB840000}"/>
    <cellStyle name="Normal 6 15 6" xfId="6856" xr:uid="{00000000-0005-0000-0000-0000FC840000}"/>
    <cellStyle name="Normal 6 15 6 2" xfId="6857" xr:uid="{00000000-0005-0000-0000-0000FD840000}"/>
    <cellStyle name="Normal 6 15 6 2 2" xfId="12638" xr:uid="{00000000-0005-0000-0000-0000FE840000}"/>
    <cellStyle name="Normal 6 15 6 2 2 2" xfId="36123" xr:uid="{00000000-0005-0000-0000-0000FF840000}"/>
    <cellStyle name="Normal 6 15 6 2 2 3" xfId="26804" xr:uid="{00000000-0005-0000-0000-000000850000}"/>
    <cellStyle name="Normal 6 15 6 2 2 4" xfId="50066" xr:uid="{00000000-0005-0000-0000-000001850000}"/>
    <cellStyle name="Normal 6 15 6 2 3" xfId="17369" xr:uid="{00000000-0005-0000-0000-000002850000}"/>
    <cellStyle name="Normal 6 15 6 2 3 2" xfId="31501" xr:uid="{00000000-0005-0000-0000-000003850000}"/>
    <cellStyle name="Normal 6 15 6 2 3 3" xfId="45396" xr:uid="{00000000-0005-0000-0000-000004850000}"/>
    <cellStyle name="Normal 6 15 6 2 4" xfId="22182" xr:uid="{00000000-0005-0000-0000-000005850000}"/>
    <cellStyle name="Normal 6 15 6 2 5" xfId="40814" xr:uid="{00000000-0005-0000-0000-000006850000}"/>
    <cellStyle name="Normal 6 15 6 3" xfId="12637" xr:uid="{00000000-0005-0000-0000-000007850000}"/>
    <cellStyle name="Normal 6 15 6 3 2" xfId="36122" xr:uid="{00000000-0005-0000-0000-000008850000}"/>
    <cellStyle name="Normal 6 15 6 3 3" xfId="26803" xr:uid="{00000000-0005-0000-0000-000009850000}"/>
    <cellStyle name="Normal 6 15 6 3 4" xfId="50065" xr:uid="{00000000-0005-0000-0000-00000A850000}"/>
    <cellStyle name="Normal 6 15 6 4" xfId="17368" xr:uid="{00000000-0005-0000-0000-00000B850000}"/>
    <cellStyle name="Normal 6 15 6 4 2" xfId="31500" xr:uid="{00000000-0005-0000-0000-00000C850000}"/>
    <cellStyle name="Normal 6 15 6 4 3" xfId="45395" xr:uid="{00000000-0005-0000-0000-00000D850000}"/>
    <cellStyle name="Normal 6 15 6 5" xfId="22181" xr:uid="{00000000-0005-0000-0000-00000E850000}"/>
    <cellStyle name="Normal 6 15 6 6" xfId="40813" xr:uid="{00000000-0005-0000-0000-00000F850000}"/>
    <cellStyle name="Normal 6 15 7" xfId="6858" xr:uid="{00000000-0005-0000-0000-000010850000}"/>
    <cellStyle name="Normal 6 15 7 2" xfId="12639" xr:uid="{00000000-0005-0000-0000-000011850000}"/>
    <cellStyle name="Normal 6 15 7 2 2" xfId="36124" xr:uid="{00000000-0005-0000-0000-000012850000}"/>
    <cellStyle name="Normal 6 15 7 2 3" xfId="26805" xr:uid="{00000000-0005-0000-0000-000013850000}"/>
    <cellStyle name="Normal 6 15 7 2 4" xfId="50067" xr:uid="{00000000-0005-0000-0000-000014850000}"/>
    <cellStyle name="Normal 6 15 7 3" xfId="17370" xr:uid="{00000000-0005-0000-0000-000015850000}"/>
    <cellStyle name="Normal 6 15 7 3 2" xfId="31502" xr:uid="{00000000-0005-0000-0000-000016850000}"/>
    <cellStyle name="Normal 6 15 7 3 3" xfId="45397" xr:uid="{00000000-0005-0000-0000-000017850000}"/>
    <cellStyle name="Normal 6 15 7 4" xfId="22183" xr:uid="{00000000-0005-0000-0000-000018850000}"/>
    <cellStyle name="Normal 6 15 7 5" xfId="40815" xr:uid="{00000000-0005-0000-0000-000019850000}"/>
    <cellStyle name="Normal 6 15 8" xfId="12628" xr:uid="{00000000-0005-0000-0000-00001A850000}"/>
    <cellStyle name="Normal 6 15 8 2" xfId="36113" xr:uid="{00000000-0005-0000-0000-00001B850000}"/>
    <cellStyle name="Normal 6 15 8 3" xfId="26794" xr:uid="{00000000-0005-0000-0000-00001C850000}"/>
    <cellStyle name="Normal 6 15 8 4" xfId="50056" xr:uid="{00000000-0005-0000-0000-00001D850000}"/>
    <cellStyle name="Normal 6 15 9" xfId="17359" xr:uid="{00000000-0005-0000-0000-00001E850000}"/>
    <cellStyle name="Normal 6 15 9 2" xfId="31491" xr:uid="{00000000-0005-0000-0000-00001F850000}"/>
    <cellStyle name="Normal 6 15 9 3" xfId="45386" xr:uid="{00000000-0005-0000-0000-000020850000}"/>
    <cellStyle name="Normal 6 16" xfId="6859" xr:uid="{00000000-0005-0000-0000-000021850000}"/>
    <cellStyle name="Normal 6 16 10" xfId="22184" xr:uid="{00000000-0005-0000-0000-000022850000}"/>
    <cellStyle name="Normal 6 16 11" xfId="40816" xr:uid="{00000000-0005-0000-0000-000023850000}"/>
    <cellStyle name="Normal 6 16 2" xfId="6860" xr:uid="{00000000-0005-0000-0000-000024850000}"/>
    <cellStyle name="Normal 6 16 2 2" xfId="6861" xr:uid="{00000000-0005-0000-0000-000025850000}"/>
    <cellStyle name="Normal 6 16 2 2 2" xfId="12642" xr:uid="{00000000-0005-0000-0000-000026850000}"/>
    <cellStyle name="Normal 6 16 2 2 2 2" xfId="36127" xr:uid="{00000000-0005-0000-0000-000027850000}"/>
    <cellStyle name="Normal 6 16 2 2 2 3" xfId="26808" xr:uid="{00000000-0005-0000-0000-000028850000}"/>
    <cellStyle name="Normal 6 16 2 2 2 4" xfId="50070" xr:uid="{00000000-0005-0000-0000-000029850000}"/>
    <cellStyle name="Normal 6 16 2 2 3" xfId="17373" xr:uid="{00000000-0005-0000-0000-00002A850000}"/>
    <cellStyle name="Normal 6 16 2 2 3 2" xfId="31505" xr:uid="{00000000-0005-0000-0000-00002B850000}"/>
    <cellStyle name="Normal 6 16 2 2 3 3" xfId="45400" xr:uid="{00000000-0005-0000-0000-00002C850000}"/>
    <cellStyle name="Normal 6 16 2 2 4" xfId="22186" xr:uid="{00000000-0005-0000-0000-00002D850000}"/>
    <cellStyle name="Normal 6 16 2 2 5" xfId="40818" xr:uid="{00000000-0005-0000-0000-00002E850000}"/>
    <cellStyle name="Normal 6 16 2 3" xfId="12641" xr:uid="{00000000-0005-0000-0000-00002F850000}"/>
    <cellStyle name="Normal 6 16 2 3 2" xfId="36126" xr:uid="{00000000-0005-0000-0000-000030850000}"/>
    <cellStyle name="Normal 6 16 2 3 3" xfId="26807" xr:uid="{00000000-0005-0000-0000-000031850000}"/>
    <cellStyle name="Normal 6 16 2 3 4" xfId="50069" xr:uid="{00000000-0005-0000-0000-000032850000}"/>
    <cellStyle name="Normal 6 16 2 4" xfId="17372" xr:uid="{00000000-0005-0000-0000-000033850000}"/>
    <cellStyle name="Normal 6 16 2 4 2" xfId="31504" xr:uid="{00000000-0005-0000-0000-000034850000}"/>
    <cellStyle name="Normal 6 16 2 4 3" xfId="45399" xr:uid="{00000000-0005-0000-0000-000035850000}"/>
    <cellStyle name="Normal 6 16 2 5" xfId="22185" xr:uid="{00000000-0005-0000-0000-000036850000}"/>
    <cellStyle name="Normal 6 16 2 6" xfId="40817" xr:uid="{00000000-0005-0000-0000-000037850000}"/>
    <cellStyle name="Normal 6 16 3" xfId="6862" xr:uid="{00000000-0005-0000-0000-000038850000}"/>
    <cellStyle name="Normal 6 16 3 2" xfId="6863" xr:uid="{00000000-0005-0000-0000-000039850000}"/>
    <cellStyle name="Normal 6 16 3 2 2" xfId="12644" xr:uid="{00000000-0005-0000-0000-00003A850000}"/>
    <cellStyle name="Normal 6 16 3 2 2 2" xfId="36129" xr:uid="{00000000-0005-0000-0000-00003B850000}"/>
    <cellStyle name="Normal 6 16 3 2 2 3" xfId="26810" xr:uid="{00000000-0005-0000-0000-00003C850000}"/>
    <cellStyle name="Normal 6 16 3 2 2 4" xfId="50072" xr:uid="{00000000-0005-0000-0000-00003D850000}"/>
    <cellStyle name="Normal 6 16 3 2 3" xfId="17375" xr:uid="{00000000-0005-0000-0000-00003E850000}"/>
    <cellStyle name="Normal 6 16 3 2 3 2" xfId="31507" xr:uid="{00000000-0005-0000-0000-00003F850000}"/>
    <cellStyle name="Normal 6 16 3 2 3 3" xfId="45402" xr:uid="{00000000-0005-0000-0000-000040850000}"/>
    <cellStyle name="Normal 6 16 3 2 4" xfId="22188" xr:uid="{00000000-0005-0000-0000-000041850000}"/>
    <cellStyle name="Normal 6 16 3 2 5" xfId="40820" xr:uid="{00000000-0005-0000-0000-000042850000}"/>
    <cellStyle name="Normal 6 16 3 3" xfId="12643" xr:uid="{00000000-0005-0000-0000-000043850000}"/>
    <cellStyle name="Normal 6 16 3 3 2" xfId="36128" xr:uid="{00000000-0005-0000-0000-000044850000}"/>
    <cellStyle name="Normal 6 16 3 3 3" xfId="26809" xr:uid="{00000000-0005-0000-0000-000045850000}"/>
    <cellStyle name="Normal 6 16 3 3 4" xfId="50071" xr:uid="{00000000-0005-0000-0000-000046850000}"/>
    <cellStyle name="Normal 6 16 3 4" xfId="17374" xr:uid="{00000000-0005-0000-0000-000047850000}"/>
    <cellStyle name="Normal 6 16 3 4 2" xfId="31506" xr:uid="{00000000-0005-0000-0000-000048850000}"/>
    <cellStyle name="Normal 6 16 3 4 3" xfId="45401" xr:uid="{00000000-0005-0000-0000-000049850000}"/>
    <cellStyle name="Normal 6 16 3 5" xfId="22187" xr:uid="{00000000-0005-0000-0000-00004A850000}"/>
    <cellStyle name="Normal 6 16 3 6" xfId="40819" xr:uid="{00000000-0005-0000-0000-00004B850000}"/>
    <cellStyle name="Normal 6 16 4" xfId="6864" xr:uid="{00000000-0005-0000-0000-00004C850000}"/>
    <cellStyle name="Normal 6 16 4 2" xfId="6865" xr:uid="{00000000-0005-0000-0000-00004D850000}"/>
    <cellStyle name="Normal 6 16 4 2 2" xfId="12646" xr:uid="{00000000-0005-0000-0000-00004E850000}"/>
    <cellStyle name="Normal 6 16 4 2 2 2" xfId="36131" xr:uid="{00000000-0005-0000-0000-00004F850000}"/>
    <cellStyle name="Normal 6 16 4 2 2 3" xfId="26812" xr:uid="{00000000-0005-0000-0000-000050850000}"/>
    <cellStyle name="Normal 6 16 4 2 2 4" xfId="50074" xr:uid="{00000000-0005-0000-0000-000051850000}"/>
    <cellStyle name="Normal 6 16 4 2 3" xfId="17377" xr:uid="{00000000-0005-0000-0000-000052850000}"/>
    <cellStyle name="Normal 6 16 4 2 3 2" xfId="31509" xr:uid="{00000000-0005-0000-0000-000053850000}"/>
    <cellStyle name="Normal 6 16 4 2 3 3" xfId="45404" xr:uid="{00000000-0005-0000-0000-000054850000}"/>
    <cellStyle name="Normal 6 16 4 2 4" xfId="22190" xr:uid="{00000000-0005-0000-0000-000055850000}"/>
    <cellStyle name="Normal 6 16 4 2 5" xfId="40822" xr:uid="{00000000-0005-0000-0000-000056850000}"/>
    <cellStyle name="Normal 6 16 4 3" xfId="12645" xr:uid="{00000000-0005-0000-0000-000057850000}"/>
    <cellStyle name="Normal 6 16 4 3 2" xfId="36130" xr:uid="{00000000-0005-0000-0000-000058850000}"/>
    <cellStyle name="Normal 6 16 4 3 3" xfId="26811" xr:uid="{00000000-0005-0000-0000-000059850000}"/>
    <cellStyle name="Normal 6 16 4 3 4" xfId="50073" xr:uid="{00000000-0005-0000-0000-00005A850000}"/>
    <cellStyle name="Normal 6 16 4 4" xfId="17376" xr:uid="{00000000-0005-0000-0000-00005B850000}"/>
    <cellStyle name="Normal 6 16 4 4 2" xfId="31508" xr:uid="{00000000-0005-0000-0000-00005C850000}"/>
    <cellStyle name="Normal 6 16 4 4 3" xfId="45403" xr:uid="{00000000-0005-0000-0000-00005D850000}"/>
    <cellStyle name="Normal 6 16 4 5" xfId="22189" xr:uid="{00000000-0005-0000-0000-00005E850000}"/>
    <cellStyle name="Normal 6 16 4 6" xfId="40821" xr:uid="{00000000-0005-0000-0000-00005F850000}"/>
    <cellStyle name="Normal 6 16 5" xfId="6866" xr:uid="{00000000-0005-0000-0000-000060850000}"/>
    <cellStyle name="Normal 6 16 5 2" xfId="6867" xr:uid="{00000000-0005-0000-0000-000061850000}"/>
    <cellStyle name="Normal 6 16 5 2 2" xfId="12648" xr:uid="{00000000-0005-0000-0000-000062850000}"/>
    <cellStyle name="Normal 6 16 5 2 2 2" xfId="36133" xr:uid="{00000000-0005-0000-0000-000063850000}"/>
    <cellStyle name="Normal 6 16 5 2 2 3" xfId="26814" xr:uid="{00000000-0005-0000-0000-000064850000}"/>
    <cellStyle name="Normal 6 16 5 2 2 4" xfId="50076" xr:uid="{00000000-0005-0000-0000-000065850000}"/>
    <cellStyle name="Normal 6 16 5 2 3" xfId="17379" xr:uid="{00000000-0005-0000-0000-000066850000}"/>
    <cellStyle name="Normal 6 16 5 2 3 2" xfId="31511" xr:uid="{00000000-0005-0000-0000-000067850000}"/>
    <cellStyle name="Normal 6 16 5 2 3 3" xfId="45406" xr:uid="{00000000-0005-0000-0000-000068850000}"/>
    <cellStyle name="Normal 6 16 5 2 4" xfId="22192" xr:uid="{00000000-0005-0000-0000-000069850000}"/>
    <cellStyle name="Normal 6 16 5 2 5" xfId="40824" xr:uid="{00000000-0005-0000-0000-00006A850000}"/>
    <cellStyle name="Normal 6 16 5 3" xfId="12647" xr:uid="{00000000-0005-0000-0000-00006B850000}"/>
    <cellStyle name="Normal 6 16 5 3 2" xfId="36132" xr:uid="{00000000-0005-0000-0000-00006C850000}"/>
    <cellStyle name="Normal 6 16 5 3 3" xfId="26813" xr:uid="{00000000-0005-0000-0000-00006D850000}"/>
    <cellStyle name="Normal 6 16 5 3 4" xfId="50075" xr:uid="{00000000-0005-0000-0000-00006E850000}"/>
    <cellStyle name="Normal 6 16 5 4" xfId="17378" xr:uid="{00000000-0005-0000-0000-00006F850000}"/>
    <cellStyle name="Normal 6 16 5 4 2" xfId="31510" xr:uid="{00000000-0005-0000-0000-000070850000}"/>
    <cellStyle name="Normal 6 16 5 4 3" xfId="45405" xr:uid="{00000000-0005-0000-0000-000071850000}"/>
    <cellStyle name="Normal 6 16 5 5" xfId="22191" xr:uid="{00000000-0005-0000-0000-000072850000}"/>
    <cellStyle name="Normal 6 16 5 6" xfId="40823" xr:uid="{00000000-0005-0000-0000-000073850000}"/>
    <cellStyle name="Normal 6 16 6" xfId="6868" xr:uid="{00000000-0005-0000-0000-000074850000}"/>
    <cellStyle name="Normal 6 16 6 2" xfId="6869" xr:uid="{00000000-0005-0000-0000-000075850000}"/>
    <cellStyle name="Normal 6 16 6 2 2" xfId="12650" xr:uid="{00000000-0005-0000-0000-000076850000}"/>
    <cellStyle name="Normal 6 16 6 2 2 2" xfId="36135" xr:uid="{00000000-0005-0000-0000-000077850000}"/>
    <cellStyle name="Normal 6 16 6 2 2 3" xfId="26816" xr:uid="{00000000-0005-0000-0000-000078850000}"/>
    <cellStyle name="Normal 6 16 6 2 2 4" xfId="50078" xr:uid="{00000000-0005-0000-0000-000079850000}"/>
    <cellStyle name="Normal 6 16 6 2 3" xfId="17381" xr:uid="{00000000-0005-0000-0000-00007A850000}"/>
    <cellStyle name="Normal 6 16 6 2 3 2" xfId="31513" xr:uid="{00000000-0005-0000-0000-00007B850000}"/>
    <cellStyle name="Normal 6 16 6 2 3 3" xfId="45408" xr:uid="{00000000-0005-0000-0000-00007C850000}"/>
    <cellStyle name="Normal 6 16 6 2 4" xfId="22194" xr:uid="{00000000-0005-0000-0000-00007D850000}"/>
    <cellStyle name="Normal 6 16 6 2 5" xfId="40826" xr:uid="{00000000-0005-0000-0000-00007E850000}"/>
    <cellStyle name="Normal 6 16 6 3" xfId="12649" xr:uid="{00000000-0005-0000-0000-00007F850000}"/>
    <cellStyle name="Normal 6 16 6 3 2" xfId="36134" xr:uid="{00000000-0005-0000-0000-000080850000}"/>
    <cellStyle name="Normal 6 16 6 3 3" xfId="26815" xr:uid="{00000000-0005-0000-0000-000081850000}"/>
    <cellStyle name="Normal 6 16 6 3 4" xfId="50077" xr:uid="{00000000-0005-0000-0000-000082850000}"/>
    <cellStyle name="Normal 6 16 6 4" xfId="17380" xr:uid="{00000000-0005-0000-0000-000083850000}"/>
    <cellStyle name="Normal 6 16 6 4 2" xfId="31512" xr:uid="{00000000-0005-0000-0000-000084850000}"/>
    <cellStyle name="Normal 6 16 6 4 3" xfId="45407" xr:uid="{00000000-0005-0000-0000-000085850000}"/>
    <cellStyle name="Normal 6 16 6 5" xfId="22193" xr:uid="{00000000-0005-0000-0000-000086850000}"/>
    <cellStyle name="Normal 6 16 6 6" xfId="40825" xr:uid="{00000000-0005-0000-0000-000087850000}"/>
    <cellStyle name="Normal 6 16 7" xfId="6870" xr:uid="{00000000-0005-0000-0000-000088850000}"/>
    <cellStyle name="Normal 6 16 7 2" xfId="12651" xr:uid="{00000000-0005-0000-0000-000089850000}"/>
    <cellStyle name="Normal 6 16 7 2 2" xfId="36136" xr:uid="{00000000-0005-0000-0000-00008A850000}"/>
    <cellStyle name="Normal 6 16 7 2 3" xfId="26817" xr:uid="{00000000-0005-0000-0000-00008B850000}"/>
    <cellStyle name="Normal 6 16 7 2 4" xfId="50079" xr:uid="{00000000-0005-0000-0000-00008C850000}"/>
    <cellStyle name="Normal 6 16 7 3" xfId="17382" xr:uid="{00000000-0005-0000-0000-00008D850000}"/>
    <cellStyle name="Normal 6 16 7 3 2" xfId="31514" xr:uid="{00000000-0005-0000-0000-00008E850000}"/>
    <cellStyle name="Normal 6 16 7 3 3" xfId="45409" xr:uid="{00000000-0005-0000-0000-00008F850000}"/>
    <cellStyle name="Normal 6 16 7 4" xfId="22195" xr:uid="{00000000-0005-0000-0000-000090850000}"/>
    <cellStyle name="Normal 6 16 7 5" xfId="40827" xr:uid="{00000000-0005-0000-0000-000091850000}"/>
    <cellStyle name="Normal 6 16 8" xfId="12640" xr:uid="{00000000-0005-0000-0000-000092850000}"/>
    <cellStyle name="Normal 6 16 8 2" xfId="36125" xr:uid="{00000000-0005-0000-0000-000093850000}"/>
    <cellStyle name="Normal 6 16 8 3" xfId="26806" xr:uid="{00000000-0005-0000-0000-000094850000}"/>
    <cellStyle name="Normal 6 16 8 4" xfId="50068" xr:uid="{00000000-0005-0000-0000-000095850000}"/>
    <cellStyle name="Normal 6 16 9" xfId="17371" xr:uid="{00000000-0005-0000-0000-000096850000}"/>
    <cellStyle name="Normal 6 16 9 2" xfId="31503" xr:uid="{00000000-0005-0000-0000-000097850000}"/>
    <cellStyle name="Normal 6 16 9 3" xfId="45398" xr:uid="{00000000-0005-0000-0000-000098850000}"/>
    <cellStyle name="Normal 6 17" xfId="6871" xr:uid="{00000000-0005-0000-0000-000099850000}"/>
    <cellStyle name="Normal 6 17 10" xfId="22196" xr:uid="{00000000-0005-0000-0000-00009A850000}"/>
    <cellStyle name="Normal 6 17 11" xfId="40828" xr:uid="{00000000-0005-0000-0000-00009B850000}"/>
    <cellStyle name="Normal 6 17 2" xfId="6872" xr:uid="{00000000-0005-0000-0000-00009C850000}"/>
    <cellStyle name="Normal 6 17 2 2" xfId="6873" xr:uid="{00000000-0005-0000-0000-00009D850000}"/>
    <cellStyle name="Normal 6 17 2 2 2" xfId="12654" xr:uid="{00000000-0005-0000-0000-00009E850000}"/>
    <cellStyle name="Normal 6 17 2 2 2 2" xfId="36139" xr:uid="{00000000-0005-0000-0000-00009F850000}"/>
    <cellStyle name="Normal 6 17 2 2 2 3" xfId="26820" xr:uid="{00000000-0005-0000-0000-0000A0850000}"/>
    <cellStyle name="Normal 6 17 2 2 2 4" xfId="50082" xr:uid="{00000000-0005-0000-0000-0000A1850000}"/>
    <cellStyle name="Normal 6 17 2 2 3" xfId="17385" xr:uid="{00000000-0005-0000-0000-0000A2850000}"/>
    <cellStyle name="Normal 6 17 2 2 3 2" xfId="31517" xr:uid="{00000000-0005-0000-0000-0000A3850000}"/>
    <cellStyle name="Normal 6 17 2 2 3 3" xfId="45412" xr:uid="{00000000-0005-0000-0000-0000A4850000}"/>
    <cellStyle name="Normal 6 17 2 2 4" xfId="22198" xr:uid="{00000000-0005-0000-0000-0000A5850000}"/>
    <cellStyle name="Normal 6 17 2 2 5" xfId="40830" xr:uid="{00000000-0005-0000-0000-0000A6850000}"/>
    <cellStyle name="Normal 6 17 2 3" xfId="12653" xr:uid="{00000000-0005-0000-0000-0000A7850000}"/>
    <cellStyle name="Normal 6 17 2 3 2" xfId="36138" xr:uid="{00000000-0005-0000-0000-0000A8850000}"/>
    <cellStyle name="Normal 6 17 2 3 3" xfId="26819" xr:uid="{00000000-0005-0000-0000-0000A9850000}"/>
    <cellStyle name="Normal 6 17 2 3 4" xfId="50081" xr:uid="{00000000-0005-0000-0000-0000AA850000}"/>
    <cellStyle name="Normal 6 17 2 4" xfId="17384" xr:uid="{00000000-0005-0000-0000-0000AB850000}"/>
    <cellStyle name="Normal 6 17 2 4 2" xfId="31516" xr:uid="{00000000-0005-0000-0000-0000AC850000}"/>
    <cellStyle name="Normal 6 17 2 4 3" xfId="45411" xr:uid="{00000000-0005-0000-0000-0000AD850000}"/>
    <cellStyle name="Normal 6 17 2 5" xfId="22197" xr:uid="{00000000-0005-0000-0000-0000AE850000}"/>
    <cellStyle name="Normal 6 17 2 6" xfId="40829" xr:uid="{00000000-0005-0000-0000-0000AF850000}"/>
    <cellStyle name="Normal 6 17 3" xfId="6874" xr:uid="{00000000-0005-0000-0000-0000B0850000}"/>
    <cellStyle name="Normal 6 17 3 2" xfId="6875" xr:uid="{00000000-0005-0000-0000-0000B1850000}"/>
    <cellStyle name="Normal 6 17 3 2 2" xfId="12656" xr:uid="{00000000-0005-0000-0000-0000B2850000}"/>
    <cellStyle name="Normal 6 17 3 2 2 2" xfId="36141" xr:uid="{00000000-0005-0000-0000-0000B3850000}"/>
    <cellStyle name="Normal 6 17 3 2 2 3" xfId="26822" xr:uid="{00000000-0005-0000-0000-0000B4850000}"/>
    <cellStyle name="Normal 6 17 3 2 2 4" xfId="50084" xr:uid="{00000000-0005-0000-0000-0000B5850000}"/>
    <cellStyle name="Normal 6 17 3 2 3" xfId="17387" xr:uid="{00000000-0005-0000-0000-0000B6850000}"/>
    <cellStyle name="Normal 6 17 3 2 3 2" xfId="31519" xr:uid="{00000000-0005-0000-0000-0000B7850000}"/>
    <cellStyle name="Normal 6 17 3 2 3 3" xfId="45414" xr:uid="{00000000-0005-0000-0000-0000B8850000}"/>
    <cellStyle name="Normal 6 17 3 2 4" xfId="22200" xr:uid="{00000000-0005-0000-0000-0000B9850000}"/>
    <cellStyle name="Normal 6 17 3 2 5" xfId="40832" xr:uid="{00000000-0005-0000-0000-0000BA850000}"/>
    <cellStyle name="Normal 6 17 3 3" xfId="12655" xr:uid="{00000000-0005-0000-0000-0000BB850000}"/>
    <cellStyle name="Normal 6 17 3 3 2" xfId="36140" xr:uid="{00000000-0005-0000-0000-0000BC850000}"/>
    <cellStyle name="Normal 6 17 3 3 3" xfId="26821" xr:uid="{00000000-0005-0000-0000-0000BD850000}"/>
    <cellStyle name="Normal 6 17 3 3 4" xfId="50083" xr:uid="{00000000-0005-0000-0000-0000BE850000}"/>
    <cellStyle name="Normal 6 17 3 4" xfId="17386" xr:uid="{00000000-0005-0000-0000-0000BF850000}"/>
    <cellStyle name="Normal 6 17 3 4 2" xfId="31518" xr:uid="{00000000-0005-0000-0000-0000C0850000}"/>
    <cellStyle name="Normal 6 17 3 4 3" xfId="45413" xr:uid="{00000000-0005-0000-0000-0000C1850000}"/>
    <cellStyle name="Normal 6 17 3 5" xfId="22199" xr:uid="{00000000-0005-0000-0000-0000C2850000}"/>
    <cellStyle name="Normal 6 17 3 6" xfId="40831" xr:uid="{00000000-0005-0000-0000-0000C3850000}"/>
    <cellStyle name="Normal 6 17 4" xfId="6876" xr:uid="{00000000-0005-0000-0000-0000C4850000}"/>
    <cellStyle name="Normal 6 17 4 2" xfId="6877" xr:uid="{00000000-0005-0000-0000-0000C5850000}"/>
    <cellStyle name="Normal 6 17 4 2 2" xfId="12658" xr:uid="{00000000-0005-0000-0000-0000C6850000}"/>
    <cellStyle name="Normal 6 17 4 2 2 2" xfId="36143" xr:uid="{00000000-0005-0000-0000-0000C7850000}"/>
    <cellStyle name="Normal 6 17 4 2 2 3" xfId="26824" xr:uid="{00000000-0005-0000-0000-0000C8850000}"/>
    <cellStyle name="Normal 6 17 4 2 2 4" xfId="50086" xr:uid="{00000000-0005-0000-0000-0000C9850000}"/>
    <cellStyle name="Normal 6 17 4 2 3" xfId="17389" xr:uid="{00000000-0005-0000-0000-0000CA850000}"/>
    <cellStyle name="Normal 6 17 4 2 3 2" xfId="31521" xr:uid="{00000000-0005-0000-0000-0000CB850000}"/>
    <cellStyle name="Normal 6 17 4 2 3 3" xfId="45416" xr:uid="{00000000-0005-0000-0000-0000CC850000}"/>
    <cellStyle name="Normal 6 17 4 2 4" xfId="22202" xr:uid="{00000000-0005-0000-0000-0000CD850000}"/>
    <cellStyle name="Normal 6 17 4 2 5" xfId="40834" xr:uid="{00000000-0005-0000-0000-0000CE850000}"/>
    <cellStyle name="Normal 6 17 4 3" xfId="12657" xr:uid="{00000000-0005-0000-0000-0000CF850000}"/>
    <cellStyle name="Normal 6 17 4 3 2" xfId="36142" xr:uid="{00000000-0005-0000-0000-0000D0850000}"/>
    <cellStyle name="Normal 6 17 4 3 3" xfId="26823" xr:uid="{00000000-0005-0000-0000-0000D1850000}"/>
    <cellStyle name="Normal 6 17 4 3 4" xfId="50085" xr:uid="{00000000-0005-0000-0000-0000D2850000}"/>
    <cellStyle name="Normal 6 17 4 4" xfId="17388" xr:uid="{00000000-0005-0000-0000-0000D3850000}"/>
    <cellStyle name="Normal 6 17 4 4 2" xfId="31520" xr:uid="{00000000-0005-0000-0000-0000D4850000}"/>
    <cellStyle name="Normal 6 17 4 4 3" xfId="45415" xr:uid="{00000000-0005-0000-0000-0000D5850000}"/>
    <cellStyle name="Normal 6 17 4 5" xfId="22201" xr:uid="{00000000-0005-0000-0000-0000D6850000}"/>
    <cellStyle name="Normal 6 17 4 6" xfId="40833" xr:uid="{00000000-0005-0000-0000-0000D7850000}"/>
    <cellStyle name="Normal 6 17 5" xfId="6878" xr:uid="{00000000-0005-0000-0000-0000D8850000}"/>
    <cellStyle name="Normal 6 17 5 2" xfId="6879" xr:uid="{00000000-0005-0000-0000-0000D9850000}"/>
    <cellStyle name="Normal 6 17 5 2 2" xfId="12660" xr:uid="{00000000-0005-0000-0000-0000DA850000}"/>
    <cellStyle name="Normal 6 17 5 2 2 2" xfId="36145" xr:uid="{00000000-0005-0000-0000-0000DB850000}"/>
    <cellStyle name="Normal 6 17 5 2 2 3" xfId="26826" xr:uid="{00000000-0005-0000-0000-0000DC850000}"/>
    <cellStyle name="Normal 6 17 5 2 2 4" xfId="50088" xr:uid="{00000000-0005-0000-0000-0000DD850000}"/>
    <cellStyle name="Normal 6 17 5 2 3" xfId="17391" xr:uid="{00000000-0005-0000-0000-0000DE850000}"/>
    <cellStyle name="Normal 6 17 5 2 3 2" xfId="31523" xr:uid="{00000000-0005-0000-0000-0000DF850000}"/>
    <cellStyle name="Normal 6 17 5 2 3 3" xfId="45418" xr:uid="{00000000-0005-0000-0000-0000E0850000}"/>
    <cellStyle name="Normal 6 17 5 2 4" xfId="22204" xr:uid="{00000000-0005-0000-0000-0000E1850000}"/>
    <cellStyle name="Normal 6 17 5 2 5" xfId="40836" xr:uid="{00000000-0005-0000-0000-0000E2850000}"/>
    <cellStyle name="Normal 6 17 5 3" xfId="12659" xr:uid="{00000000-0005-0000-0000-0000E3850000}"/>
    <cellStyle name="Normal 6 17 5 3 2" xfId="36144" xr:uid="{00000000-0005-0000-0000-0000E4850000}"/>
    <cellStyle name="Normal 6 17 5 3 3" xfId="26825" xr:uid="{00000000-0005-0000-0000-0000E5850000}"/>
    <cellStyle name="Normal 6 17 5 3 4" xfId="50087" xr:uid="{00000000-0005-0000-0000-0000E6850000}"/>
    <cellStyle name="Normal 6 17 5 4" xfId="17390" xr:uid="{00000000-0005-0000-0000-0000E7850000}"/>
    <cellStyle name="Normal 6 17 5 4 2" xfId="31522" xr:uid="{00000000-0005-0000-0000-0000E8850000}"/>
    <cellStyle name="Normal 6 17 5 4 3" xfId="45417" xr:uid="{00000000-0005-0000-0000-0000E9850000}"/>
    <cellStyle name="Normal 6 17 5 5" xfId="22203" xr:uid="{00000000-0005-0000-0000-0000EA850000}"/>
    <cellStyle name="Normal 6 17 5 6" xfId="40835" xr:uid="{00000000-0005-0000-0000-0000EB850000}"/>
    <cellStyle name="Normal 6 17 6" xfId="6880" xr:uid="{00000000-0005-0000-0000-0000EC850000}"/>
    <cellStyle name="Normal 6 17 6 2" xfId="6881" xr:uid="{00000000-0005-0000-0000-0000ED850000}"/>
    <cellStyle name="Normal 6 17 6 2 2" xfId="12662" xr:uid="{00000000-0005-0000-0000-0000EE850000}"/>
    <cellStyle name="Normal 6 17 6 2 2 2" xfId="36147" xr:uid="{00000000-0005-0000-0000-0000EF850000}"/>
    <cellStyle name="Normal 6 17 6 2 2 3" xfId="26828" xr:uid="{00000000-0005-0000-0000-0000F0850000}"/>
    <cellStyle name="Normal 6 17 6 2 2 4" xfId="50090" xr:uid="{00000000-0005-0000-0000-0000F1850000}"/>
    <cellStyle name="Normal 6 17 6 2 3" xfId="17393" xr:uid="{00000000-0005-0000-0000-0000F2850000}"/>
    <cellStyle name="Normal 6 17 6 2 3 2" xfId="31525" xr:uid="{00000000-0005-0000-0000-0000F3850000}"/>
    <cellStyle name="Normal 6 17 6 2 3 3" xfId="45420" xr:uid="{00000000-0005-0000-0000-0000F4850000}"/>
    <cellStyle name="Normal 6 17 6 2 4" xfId="22206" xr:uid="{00000000-0005-0000-0000-0000F5850000}"/>
    <cellStyle name="Normal 6 17 6 2 5" xfId="40838" xr:uid="{00000000-0005-0000-0000-0000F6850000}"/>
    <cellStyle name="Normal 6 17 6 3" xfId="12661" xr:uid="{00000000-0005-0000-0000-0000F7850000}"/>
    <cellStyle name="Normal 6 17 6 3 2" xfId="36146" xr:uid="{00000000-0005-0000-0000-0000F8850000}"/>
    <cellStyle name="Normal 6 17 6 3 3" xfId="26827" xr:uid="{00000000-0005-0000-0000-0000F9850000}"/>
    <cellStyle name="Normal 6 17 6 3 4" xfId="50089" xr:uid="{00000000-0005-0000-0000-0000FA850000}"/>
    <cellStyle name="Normal 6 17 6 4" xfId="17392" xr:uid="{00000000-0005-0000-0000-0000FB850000}"/>
    <cellStyle name="Normal 6 17 6 4 2" xfId="31524" xr:uid="{00000000-0005-0000-0000-0000FC850000}"/>
    <cellStyle name="Normal 6 17 6 4 3" xfId="45419" xr:uid="{00000000-0005-0000-0000-0000FD850000}"/>
    <cellStyle name="Normal 6 17 6 5" xfId="22205" xr:uid="{00000000-0005-0000-0000-0000FE850000}"/>
    <cellStyle name="Normal 6 17 6 6" xfId="40837" xr:uid="{00000000-0005-0000-0000-0000FF850000}"/>
    <cellStyle name="Normal 6 17 7" xfId="6882" xr:uid="{00000000-0005-0000-0000-000000860000}"/>
    <cellStyle name="Normal 6 17 7 2" xfId="12663" xr:uid="{00000000-0005-0000-0000-000001860000}"/>
    <cellStyle name="Normal 6 17 7 2 2" xfId="36148" xr:uid="{00000000-0005-0000-0000-000002860000}"/>
    <cellStyle name="Normal 6 17 7 2 3" xfId="26829" xr:uid="{00000000-0005-0000-0000-000003860000}"/>
    <cellStyle name="Normal 6 17 7 2 4" xfId="50091" xr:uid="{00000000-0005-0000-0000-000004860000}"/>
    <cellStyle name="Normal 6 17 7 3" xfId="17394" xr:uid="{00000000-0005-0000-0000-000005860000}"/>
    <cellStyle name="Normal 6 17 7 3 2" xfId="31526" xr:uid="{00000000-0005-0000-0000-000006860000}"/>
    <cellStyle name="Normal 6 17 7 3 3" xfId="45421" xr:uid="{00000000-0005-0000-0000-000007860000}"/>
    <cellStyle name="Normal 6 17 7 4" xfId="22207" xr:uid="{00000000-0005-0000-0000-000008860000}"/>
    <cellStyle name="Normal 6 17 7 5" xfId="40839" xr:uid="{00000000-0005-0000-0000-000009860000}"/>
    <cellStyle name="Normal 6 17 8" xfId="12652" xr:uid="{00000000-0005-0000-0000-00000A860000}"/>
    <cellStyle name="Normal 6 17 8 2" xfId="36137" xr:uid="{00000000-0005-0000-0000-00000B860000}"/>
    <cellStyle name="Normal 6 17 8 3" xfId="26818" xr:uid="{00000000-0005-0000-0000-00000C860000}"/>
    <cellStyle name="Normal 6 17 8 4" xfId="50080" xr:uid="{00000000-0005-0000-0000-00000D860000}"/>
    <cellStyle name="Normal 6 17 9" xfId="17383" xr:uid="{00000000-0005-0000-0000-00000E860000}"/>
    <cellStyle name="Normal 6 17 9 2" xfId="31515" xr:uid="{00000000-0005-0000-0000-00000F860000}"/>
    <cellStyle name="Normal 6 17 9 3" xfId="45410" xr:uid="{00000000-0005-0000-0000-000010860000}"/>
    <cellStyle name="Normal 6 18" xfId="6883" xr:uid="{00000000-0005-0000-0000-000011860000}"/>
    <cellStyle name="Normal 6 18 10" xfId="22208" xr:uid="{00000000-0005-0000-0000-000012860000}"/>
    <cellStyle name="Normal 6 18 11" xfId="40840" xr:uid="{00000000-0005-0000-0000-000013860000}"/>
    <cellStyle name="Normal 6 18 2" xfId="6884" xr:uid="{00000000-0005-0000-0000-000014860000}"/>
    <cellStyle name="Normal 6 18 2 2" xfId="6885" xr:uid="{00000000-0005-0000-0000-000015860000}"/>
    <cellStyle name="Normal 6 18 2 2 2" xfId="12666" xr:uid="{00000000-0005-0000-0000-000016860000}"/>
    <cellStyle name="Normal 6 18 2 2 2 2" xfId="36151" xr:uid="{00000000-0005-0000-0000-000017860000}"/>
    <cellStyle name="Normal 6 18 2 2 2 3" xfId="26832" xr:uid="{00000000-0005-0000-0000-000018860000}"/>
    <cellStyle name="Normal 6 18 2 2 2 4" xfId="50094" xr:uid="{00000000-0005-0000-0000-000019860000}"/>
    <cellStyle name="Normal 6 18 2 2 3" xfId="17397" xr:uid="{00000000-0005-0000-0000-00001A860000}"/>
    <cellStyle name="Normal 6 18 2 2 3 2" xfId="31529" xr:uid="{00000000-0005-0000-0000-00001B860000}"/>
    <cellStyle name="Normal 6 18 2 2 3 3" xfId="45424" xr:uid="{00000000-0005-0000-0000-00001C860000}"/>
    <cellStyle name="Normal 6 18 2 2 4" xfId="22210" xr:uid="{00000000-0005-0000-0000-00001D860000}"/>
    <cellStyle name="Normal 6 18 2 2 5" xfId="40842" xr:uid="{00000000-0005-0000-0000-00001E860000}"/>
    <cellStyle name="Normal 6 18 2 3" xfId="12665" xr:uid="{00000000-0005-0000-0000-00001F860000}"/>
    <cellStyle name="Normal 6 18 2 3 2" xfId="36150" xr:uid="{00000000-0005-0000-0000-000020860000}"/>
    <cellStyle name="Normal 6 18 2 3 3" xfId="26831" xr:uid="{00000000-0005-0000-0000-000021860000}"/>
    <cellStyle name="Normal 6 18 2 3 4" xfId="50093" xr:uid="{00000000-0005-0000-0000-000022860000}"/>
    <cellStyle name="Normal 6 18 2 4" xfId="17396" xr:uid="{00000000-0005-0000-0000-000023860000}"/>
    <cellStyle name="Normal 6 18 2 4 2" xfId="31528" xr:uid="{00000000-0005-0000-0000-000024860000}"/>
    <cellStyle name="Normal 6 18 2 4 3" xfId="45423" xr:uid="{00000000-0005-0000-0000-000025860000}"/>
    <cellStyle name="Normal 6 18 2 5" xfId="22209" xr:uid="{00000000-0005-0000-0000-000026860000}"/>
    <cellStyle name="Normal 6 18 2 6" xfId="40841" xr:uid="{00000000-0005-0000-0000-000027860000}"/>
    <cellStyle name="Normal 6 18 3" xfId="6886" xr:uid="{00000000-0005-0000-0000-000028860000}"/>
    <cellStyle name="Normal 6 18 3 2" xfId="6887" xr:uid="{00000000-0005-0000-0000-000029860000}"/>
    <cellStyle name="Normal 6 18 3 2 2" xfId="12668" xr:uid="{00000000-0005-0000-0000-00002A860000}"/>
    <cellStyle name="Normal 6 18 3 2 2 2" xfId="36153" xr:uid="{00000000-0005-0000-0000-00002B860000}"/>
    <cellStyle name="Normal 6 18 3 2 2 3" xfId="26834" xr:uid="{00000000-0005-0000-0000-00002C860000}"/>
    <cellStyle name="Normal 6 18 3 2 2 4" xfId="50096" xr:uid="{00000000-0005-0000-0000-00002D860000}"/>
    <cellStyle name="Normal 6 18 3 2 3" xfId="17399" xr:uid="{00000000-0005-0000-0000-00002E860000}"/>
    <cellStyle name="Normal 6 18 3 2 3 2" xfId="31531" xr:uid="{00000000-0005-0000-0000-00002F860000}"/>
    <cellStyle name="Normal 6 18 3 2 3 3" xfId="45426" xr:uid="{00000000-0005-0000-0000-000030860000}"/>
    <cellStyle name="Normal 6 18 3 2 4" xfId="22212" xr:uid="{00000000-0005-0000-0000-000031860000}"/>
    <cellStyle name="Normal 6 18 3 2 5" xfId="40844" xr:uid="{00000000-0005-0000-0000-000032860000}"/>
    <cellStyle name="Normal 6 18 3 3" xfId="12667" xr:uid="{00000000-0005-0000-0000-000033860000}"/>
    <cellStyle name="Normal 6 18 3 3 2" xfId="36152" xr:uid="{00000000-0005-0000-0000-000034860000}"/>
    <cellStyle name="Normal 6 18 3 3 3" xfId="26833" xr:uid="{00000000-0005-0000-0000-000035860000}"/>
    <cellStyle name="Normal 6 18 3 3 4" xfId="50095" xr:uid="{00000000-0005-0000-0000-000036860000}"/>
    <cellStyle name="Normal 6 18 3 4" xfId="17398" xr:uid="{00000000-0005-0000-0000-000037860000}"/>
    <cellStyle name="Normal 6 18 3 4 2" xfId="31530" xr:uid="{00000000-0005-0000-0000-000038860000}"/>
    <cellStyle name="Normal 6 18 3 4 3" xfId="45425" xr:uid="{00000000-0005-0000-0000-000039860000}"/>
    <cellStyle name="Normal 6 18 3 5" xfId="22211" xr:uid="{00000000-0005-0000-0000-00003A860000}"/>
    <cellStyle name="Normal 6 18 3 6" xfId="40843" xr:uid="{00000000-0005-0000-0000-00003B860000}"/>
    <cellStyle name="Normal 6 18 4" xfId="6888" xr:uid="{00000000-0005-0000-0000-00003C860000}"/>
    <cellStyle name="Normal 6 18 4 2" xfId="6889" xr:uid="{00000000-0005-0000-0000-00003D860000}"/>
    <cellStyle name="Normal 6 18 4 2 2" xfId="12670" xr:uid="{00000000-0005-0000-0000-00003E860000}"/>
    <cellStyle name="Normal 6 18 4 2 2 2" xfId="36155" xr:uid="{00000000-0005-0000-0000-00003F860000}"/>
    <cellStyle name="Normal 6 18 4 2 2 3" xfId="26836" xr:uid="{00000000-0005-0000-0000-000040860000}"/>
    <cellStyle name="Normal 6 18 4 2 2 4" xfId="50098" xr:uid="{00000000-0005-0000-0000-000041860000}"/>
    <cellStyle name="Normal 6 18 4 2 3" xfId="17401" xr:uid="{00000000-0005-0000-0000-000042860000}"/>
    <cellStyle name="Normal 6 18 4 2 3 2" xfId="31533" xr:uid="{00000000-0005-0000-0000-000043860000}"/>
    <cellStyle name="Normal 6 18 4 2 3 3" xfId="45428" xr:uid="{00000000-0005-0000-0000-000044860000}"/>
    <cellStyle name="Normal 6 18 4 2 4" xfId="22214" xr:uid="{00000000-0005-0000-0000-000045860000}"/>
    <cellStyle name="Normal 6 18 4 2 5" xfId="40846" xr:uid="{00000000-0005-0000-0000-000046860000}"/>
    <cellStyle name="Normal 6 18 4 3" xfId="12669" xr:uid="{00000000-0005-0000-0000-000047860000}"/>
    <cellStyle name="Normal 6 18 4 3 2" xfId="36154" xr:uid="{00000000-0005-0000-0000-000048860000}"/>
    <cellStyle name="Normal 6 18 4 3 3" xfId="26835" xr:uid="{00000000-0005-0000-0000-000049860000}"/>
    <cellStyle name="Normal 6 18 4 3 4" xfId="50097" xr:uid="{00000000-0005-0000-0000-00004A860000}"/>
    <cellStyle name="Normal 6 18 4 4" xfId="17400" xr:uid="{00000000-0005-0000-0000-00004B860000}"/>
    <cellStyle name="Normal 6 18 4 4 2" xfId="31532" xr:uid="{00000000-0005-0000-0000-00004C860000}"/>
    <cellStyle name="Normal 6 18 4 4 3" xfId="45427" xr:uid="{00000000-0005-0000-0000-00004D860000}"/>
    <cellStyle name="Normal 6 18 4 5" xfId="22213" xr:uid="{00000000-0005-0000-0000-00004E860000}"/>
    <cellStyle name="Normal 6 18 4 6" xfId="40845" xr:uid="{00000000-0005-0000-0000-00004F860000}"/>
    <cellStyle name="Normal 6 18 5" xfId="6890" xr:uid="{00000000-0005-0000-0000-000050860000}"/>
    <cellStyle name="Normal 6 18 5 2" xfId="6891" xr:uid="{00000000-0005-0000-0000-000051860000}"/>
    <cellStyle name="Normal 6 18 5 2 2" xfId="12672" xr:uid="{00000000-0005-0000-0000-000052860000}"/>
    <cellStyle name="Normal 6 18 5 2 2 2" xfId="36157" xr:uid="{00000000-0005-0000-0000-000053860000}"/>
    <cellStyle name="Normal 6 18 5 2 2 3" xfId="26838" xr:uid="{00000000-0005-0000-0000-000054860000}"/>
    <cellStyle name="Normal 6 18 5 2 2 4" xfId="50100" xr:uid="{00000000-0005-0000-0000-000055860000}"/>
    <cellStyle name="Normal 6 18 5 2 3" xfId="17403" xr:uid="{00000000-0005-0000-0000-000056860000}"/>
    <cellStyle name="Normal 6 18 5 2 3 2" xfId="31535" xr:uid="{00000000-0005-0000-0000-000057860000}"/>
    <cellStyle name="Normal 6 18 5 2 3 3" xfId="45430" xr:uid="{00000000-0005-0000-0000-000058860000}"/>
    <cellStyle name="Normal 6 18 5 2 4" xfId="22216" xr:uid="{00000000-0005-0000-0000-000059860000}"/>
    <cellStyle name="Normal 6 18 5 2 5" xfId="40848" xr:uid="{00000000-0005-0000-0000-00005A860000}"/>
    <cellStyle name="Normal 6 18 5 3" xfId="12671" xr:uid="{00000000-0005-0000-0000-00005B860000}"/>
    <cellStyle name="Normal 6 18 5 3 2" xfId="36156" xr:uid="{00000000-0005-0000-0000-00005C860000}"/>
    <cellStyle name="Normal 6 18 5 3 3" xfId="26837" xr:uid="{00000000-0005-0000-0000-00005D860000}"/>
    <cellStyle name="Normal 6 18 5 3 4" xfId="50099" xr:uid="{00000000-0005-0000-0000-00005E860000}"/>
    <cellStyle name="Normal 6 18 5 4" xfId="17402" xr:uid="{00000000-0005-0000-0000-00005F860000}"/>
    <cellStyle name="Normal 6 18 5 4 2" xfId="31534" xr:uid="{00000000-0005-0000-0000-000060860000}"/>
    <cellStyle name="Normal 6 18 5 4 3" xfId="45429" xr:uid="{00000000-0005-0000-0000-000061860000}"/>
    <cellStyle name="Normal 6 18 5 5" xfId="22215" xr:uid="{00000000-0005-0000-0000-000062860000}"/>
    <cellStyle name="Normal 6 18 5 6" xfId="40847" xr:uid="{00000000-0005-0000-0000-000063860000}"/>
    <cellStyle name="Normal 6 18 6" xfId="6892" xr:uid="{00000000-0005-0000-0000-000064860000}"/>
    <cellStyle name="Normal 6 18 6 2" xfId="6893" xr:uid="{00000000-0005-0000-0000-000065860000}"/>
    <cellStyle name="Normal 6 18 6 2 2" xfId="12674" xr:uid="{00000000-0005-0000-0000-000066860000}"/>
    <cellStyle name="Normal 6 18 6 2 2 2" xfId="36159" xr:uid="{00000000-0005-0000-0000-000067860000}"/>
    <cellStyle name="Normal 6 18 6 2 2 3" xfId="26840" xr:uid="{00000000-0005-0000-0000-000068860000}"/>
    <cellStyle name="Normal 6 18 6 2 2 4" xfId="50102" xr:uid="{00000000-0005-0000-0000-000069860000}"/>
    <cellStyle name="Normal 6 18 6 2 3" xfId="17405" xr:uid="{00000000-0005-0000-0000-00006A860000}"/>
    <cellStyle name="Normal 6 18 6 2 3 2" xfId="31537" xr:uid="{00000000-0005-0000-0000-00006B860000}"/>
    <cellStyle name="Normal 6 18 6 2 3 3" xfId="45432" xr:uid="{00000000-0005-0000-0000-00006C860000}"/>
    <cellStyle name="Normal 6 18 6 2 4" xfId="22218" xr:uid="{00000000-0005-0000-0000-00006D860000}"/>
    <cellStyle name="Normal 6 18 6 2 5" xfId="40850" xr:uid="{00000000-0005-0000-0000-00006E860000}"/>
    <cellStyle name="Normal 6 18 6 3" xfId="12673" xr:uid="{00000000-0005-0000-0000-00006F860000}"/>
    <cellStyle name="Normal 6 18 6 3 2" xfId="36158" xr:uid="{00000000-0005-0000-0000-000070860000}"/>
    <cellStyle name="Normal 6 18 6 3 3" xfId="26839" xr:uid="{00000000-0005-0000-0000-000071860000}"/>
    <cellStyle name="Normal 6 18 6 3 4" xfId="50101" xr:uid="{00000000-0005-0000-0000-000072860000}"/>
    <cellStyle name="Normal 6 18 6 4" xfId="17404" xr:uid="{00000000-0005-0000-0000-000073860000}"/>
    <cellStyle name="Normal 6 18 6 4 2" xfId="31536" xr:uid="{00000000-0005-0000-0000-000074860000}"/>
    <cellStyle name="Normal 6 18 6 4 3" xfId="45431" xr:uid="{00000000-0005-0000-0000-000075860000}"/>
    <cellStyle name="Normal 6 18 6 5" xfId="22217" xr:uid="{00000000-0005-0000-0000-000076860000}"/>
    <cellStyle name="Normal 6 18 6 6" xfId="40849" xr:uid="{00000000-0005-0000-0000-000077860000}"/>
    <cellStyle name="Normal 6 18 7" xfId="6894" xr:uid="{00000000-0005-0000-0000-000078860000}"/>
    <cellStyle name="Normal 6 18 7 2" xfId="12675" xr:uid="{00000000-0005-0000-0000-000079860000}"/>
    <cellStyle name="Normal 6 18 7 2 2" xfId="36160" xr:uid="{00000000-0005-0000-0000-00007A860000}"/>
    <cellStyle name="Normal 6 18 7 2 3" xfId="26841" xr:uid="{00000000-0005-0000-0000-00007B860000}"/>
    <cellStyle name="Normal 6 18 7 2 4" xfId="50103" xr:uid="{00000000-0005-0000-0000-00007C860000}"/>
    <cellStyle name="Normal 6 18 7 3" xfId="17406" xr:uid="{00000000-0005-0000-0000-00007D860000}"/>
    <cellStyle name="Normal 6 18 7 3 2" xfId="31538" xr:uid="{00000000-0005-0000-0000-00007E860000}"/>
    <cellStyle name="Normal 6 18 7 3 3" xfId="45433" xr:uid="{00000000-0005-0000-0000-00007F860000}"/>
    <cellStyle name="Normal 6 18 7 4" xfId="22219" xr:uid="{00000000-0005-0000-0000-000080860000}"/>
    <cellStyle name="Normal 6 18 7 5" xfId="40851" xr:uid="{00000000-0005-0000-0000-000081860000}"/>
    <cellStyle name="Normal 6 18 8" xfId="12664" xr:uid="{00000000-0005-0000-0000-000082860000}"/>
    <cellStyle name="Normal 6 18 8 2" xfId="36149" xr:uid="{00000000-0005-0000-0000-000083860000}"/>
    <cellStyle name="Normal 6 18 8 3" xfId="26830" xr:uid="{00000000-0005-0000-0000-000084860000}"/>
    <cellStyle name="Normal 6 18 8 4" xfId="50092" xr:uid="{00000000-0005-0000-0000-000085860000}"/>
    <cellStyle name="Normal 6 18 9" xfId="17395" xr:uid="{00000000-0005-0000-0000-000086860000}"/>
    <cellStyle name="Normal 6 18 9 2" xfId="31527" xr:uid="{00000000-0005-0000-0000-000087860000}"/>
    <cellStyle name="Normal 6 18 9 3" xfId="45422" xr:uid="{00000000-0005-0000-0000-000088860000}"/>
    <cellStyle name="Normal 6 19" xfId="6895" xr:uid="{00000000-0005-0000-0000-000089860000}"/>
    <cellStyle name="Normal 6 19 10" xfId="22220" xr:uid="{00000000-0005-0000-0000-00008A860000}"/>
    <cellStyle name="Normal 6 19 11" xfId="40852" xr:uid="{00000000-0005-0000-0000-00008B860000}"/>
    <cellStyle name="Normal 6 19 2" xfId="6896" xr:uid="{00000000-0005-0000-0000-00008C860000}"/>
    <cellStyle name="Normal 6 19 2 2" xfId="6897" xr:uid="{00000000-0005-0000-0000-00008D860000}"/>
    <cellStyle name="Normal 6 19 2 2 2" xfId="12678" xr:uid="{00000000-0005-0000-0000-00008E860000}"/>
    <cellStyle name="Normal 6 19 2 2 2 2" xfId="36163" xr:uid="{00000000-0005-0000-0000-00008F860000}"/>
    <cellStyle name="Normal 6 19 2 2 2 3" xfId="26844" xr:uid="{00000000-0005-0000-0000-000090860000}"/>
    <cellStyle name="Normal 6 19 2 2 2 4" xfId="50106" xr:uid="{00000000-0005-0000-0000-000091860000}"/>
    <cellStyle name="Normal 6 19 2 2 3" xfId="17409" xr:uid="{00000000-0005-0000-0000-000092860000}"/>
    <cellStyle name="Normal 6 19 2 2 3 2" xfId="31541" xr:uid="{00000000-0005-0000-0000-000093860000}"/>
    <cellStyle name="Normal 6 19 2 2 3 3" xfId="45436" xr:uid="{00000000-0005-0000-0000-000094860000}"/>
    <cellStyle name="Normal 6 19 2 2 4" xfId="22222" xr:uid="{00000000-0005-0000-0000-000095860000}"/>
    <cellStyle name="Normal 6 19 2 2 5" xfId="40854" xr:uid="{00000000-0005-0000-0000-000096860000}"/>
    <cellStyle name="Normal 6 19 2 3" xfId="12677" xr:uid="{00000000-0005-0000-0000-000097860000}"/>
    <cellStyle name="Normal 6 19 2 3 2" xfId="36162" xr:uid="{00000000-0005-0000-0000-000098860000}"/>
    <cellStyle name="Normal 6 19 2 3 3" xfId="26843" xr:uid="{00000000-0005-0000-0000-000099860000}"/>
    <cellStyle name="Normal 6 19 2 3 4" xfId="50105" xr:uid="{00000000-0005-0000-0000-00009A860000}"/>
    <cellStyle name="Normal 6 19 2 4" xfId="17408" xr:uid="{00000000-0005-0000-0000-00009B860000}"/>
    <cellStyle name="Normal 6 19 2 4 2" xfId="31540" xr:uid="{00000000-0005-0000-0000-00009C860000}"/>
    <cellStyle name="Normal 6 19 2 4 3" xfId="45435" xr:uid="{00000000-0005-0000-0000-00009D860000}"/>
    <cellStyle name="Normal 6 19 2 5" xfId="22221" xr:uid="{00000000-0005-0000-0000-00009E860000}"/>
    <cellStyle name="Normal 6 19 2 6" xfId="40853" xr:uid="{00000000-0005-0000-0000-00009F860000}"/>
    <cellStyle name="Normal 6 19 3" xfId="6898" xr:uid="{00000000-0005-0000-0000-0000A0860000}"/>
    <cellStyle name="Normal 6 19 3 2" xfId="6899" xr:uid="{00000000-0005-0000-0000-0000A1860000}"/>
    <cellStyle name="Normal 6 19 3 2 2" xfId="12680" xr:uid="{00000000-0005-0000-0000-0000A2860000}"/>
    <cellStyle name="Normal 6 19 3 2 2 2" xfId="36165" xr:uid="{00000000-0005-0000-0000-0000A3860000}"/>
    <cellStyle name="Normal 6 19 3 2 2 3" xfId="26846" xr:uid="{00000000-0005-0000-0000-0000A4860000}"/>
    <cellStyle name="Normal 6 19 3 2 2 4" xfId="50108" xr:uid="{00000000-0005-0000-0000-0000A5860000}"/>
    <cellStyle name="Normal 6 19 3 2 3" xfId="17411" xr:uid="{00000000-0005-0000-0000-0000A6860000}"/>
    <cellStyle name="Normal 6 19 3 2 3 2" xfId="31543" xr:uid="{00000000-0005-0000-0000-0000A7860000}"/>
    <cellStyle name="Normal 6 19 3 2 3 3" xfId="45438" xr:uid="{00000000-0005-0000-0000-0000A8860000}"/>
    <cellStyle name="Normal 6 19 3 2 4" xfId="22224" xr:uid="{00000000-0005-0000-0000-0000A9860000}"/>
    <cellStyle name="Normal 6 19 3 2 5" xfId="40856" xr:uid="{00000000-0005-0000-0000-0000AA860000}"/>
    <cellStyle name="Normal 6 19 3 3" xfId="12679" xr:uid="{00000000-0005-0000-0000-0000AB860000}"/>
    <cellStyle name="Normal 6 19 3 3 2" xfId="36164" xr:uid="{00000000-0005-0000-0000-0000AC860000}"/>
    <cellStyle name="Normal 6 19 3 3 3" xfId="26845" xr:uid="{00000000-0005-0000-0000-0000AD860000}"/>
    <cellStyle name="Normal 6 19 3 3 4" xfId="50107" xr:uid="{00000000-0005-0000-0000-0000AE860000}"/>
    <cellStyle name="Normal 6 19 3 4" xfId="17410" xr:uid="{00000000-0005-0000-0000-0000AF860000}"/>
    <cellStyle name="Normal 6 19 3 4 2" xfId="31542" xr:uid="{00000000-0005-0000-0000-0000B0860000}"/>
    <cellStyle name="Normal 6 19 3 4 3" xfId="45437" xr:uid="{00000000-0005-0000-0000-0000B1860000}"/>
    <cellStyle name="Normal 6 19 3 5" xfId="22223" xr:uid="{00000000-0005-0000-0000-0000B2860000}"/>
    <cellStyle name="Normal 6 19 3 6" xfId="40855" xr:uid="{00000000-0005-0000-0000-0000B3860000}"/>
    <cellStyle name="Normal 6 19 4" xfId="6900" xr:uid="{00000000-0005-0000-0000-0000B4860000}"/>
    <cellStyle name="Normal 6 19 4 2" xfId="6901" xr:uid="{00000000-0005-0000-0000-0000B5860000}"/>
    <cellStyle name="Normal 6 19 4 2 2" xfId="12682" xr:uid="{00000000-0005-0000-0000-0000B6860000}"/>
    <cellStyle name="Normal 6 19 4 2 2 2" xfId="36167" xr:uid="{00000000-0005-0000-0000-0000B7860000}"/>
    <cellStyle name="Normal 6 19 4 2 2 3" xfId="26848" xr:uid="{00000000-0005-0000-0000-0000B8860000}"/>
    <cellStyle name="Normal 6 19 4 2 2 4" xfId="50110" xr:uid="{00000000-0005-0000-0000-0000B9860000}"/>
    <cellStyle name="Normal 6 19 4 2 3" xfId="17413" xr:uid="{00000000-0005-0000-0000-0000BA860000}"/>
    <cellStyle name="Normal 6 19 4 2 3 2" xfId="31545" xr:uid="{00000000-0005-0000-0000-0000BB860000}"/>
    <cellStyle name="Normal 6 19 4 2 3 3" xfId="45440" xr:uid="{00000000-0005-0000-0000-0000BC860000}"/>
    <cellStyle name="Normal 6 19 4 2 4" xfId="22226" xr:uid="{00000000-0005-0000-0000-0000BD860000}"/>
    <cellStyle name="Normal 6 19 4 2 5" xfId="40858" xr:uid="{00000000-0005-0000-0000-0000BE860000}"/>
    <cellStyle name="Normal 6 19 4 3" xfId="12681" xr:uid="{00000000-0005-0000-0000-0000BF860000}"/>
    <cellStyle name="Normal 6 19 4 3 2" xfId="36166" xr:uid="{00000000-0005-0000-0000-0000C0860000}"/>
    <cellStyle name="Normal 6 19 4 3 3" xfId="26847" xr:uid="{00000000-0005-0000-0000-0000C1860000}"/>
    <cellStyle name="Normal 6 19 4 3 4" xfId="50109" xr:uid="{00000000-0005-0000-0000-0000C2860000}"/>
    <cellStyle name="Normal 6 19 4 4" xfId="17412" xr:uid="{00000000-0005-0000-0000-0000C3860000}"/>
    <cellStyle name="Normal 6 19 4 4 2" xfId="31544" xr:uid="{00000000-0005-0000-0000-0000C4860000}"/>
    <cellStyle name="Normal 6 19 4 4 3" xfId="45439" xr:uid="{00000000-0005-0000-0000-0000C5860000}"/>
    <cellStyle name="Normal 6 19 4 5" xfId="22225" xr:uid="{00000000-0005-0000-0000-0000C6860000}"/>
    <cellStyle name="Normal 6 19 4 6" xfId="40857" xr:uid="{00000000-0005-0000-0000-0000C7860000}"/>
    <cellStyle name="Normal 6 19 5" xfId="6902" xr:uid="{00000000-0005-0000-0000-0000C8860000}"/>
    <cellStyle name="Normal 6 19 5 2" xfId="6903" xr:uid="{00000000-0005-0000-0000-0000C9860000}"/>
    <cellStyle name="Normal 6 19 5 2 2" xfId="12684" xr:uid="{00000000-0005-0000-0000-0000CA860000}"/>
    <cellStyle name="Normal 6 19 5 2 2 2" xfId="36169" xr:uid="{00000000-0005-0000-0000-0000CB860000}"/>
    <cellStyle name="Normal 6 19 5 2 2 3" xfId="26850" xr:uid="{00000000-0005-0000-0000-0000CC860000}"/>
    <cellStyle name="Normal 6 19 5 2 2 4" xfId="50112" xr:uid="{00000000-0005-0000-0000-0000CD860000}"/>
    <cellStyle name="Normal 6 19 5 2 3" xfId="17415" xr:uid="{00000000-0005-0000-0000-0000CE860000}"/>
    <cellStyle name="Normal 6 19 5 2 3 2" xfId="31547" xr:uid="{00000000-0005-0000-0000-0000CF860000}"/>
    <cellStyle name="Normal 6 19 5 2 3 3" xfId="45442" xr:uid="{00000000-0005-0000-0000-0000D0860000}"/>
    <cellStyle name="Normal 6 19 5 2 4" xfId="22228" xr:uid="{00000000-0005-0000-0000-0000D1860000}"/>
    <cellStyle name="Normal 6 19 5 2 5" xfId="40860" xr:uid="{00000000-0005-0000-0000-0000D2860000}"/>
    <cellStyle name="Normal 6 19 5 3" xfId="12683" xr:uid="{00000000-0005-0000-0000-0000D3860000}"/>
    <cellStyle name="Normal 6 19 5 3 2" xfId="36168" xr:uid="{00000000-0005-0000-0000-0000D4860000}"/>
    <cellStyle name="Normal 6 19 5 3 3" xfId="26849" xr:uid="{00000000-0005-0000-0000-0000D5860000}"/>
    <cellStyle name="Normal 6 19 5 3 4" xfId="50111" xr:uid="{00000000-0005-0000-0000-0000D6860000}"/>
    <cellStyle name="Normal 6 19 5 4" xfId="17414" xr:uid="{00000000-0005-0000-0000-0000D7860000}"/>
    <cellStyle name="Normal 6 19 5 4 2" xfId="31546" xr:uid="{00000000-0005-0000-0000-0000D8860000}"/>
    <cellStyle name="Normal 6 19 5 4 3" xfId="45441" xr:uid="{00000000-0005-0000-0000-0000D9860000}"/>
    <cellStyle name="Normal 6 19 5 5" xfId="22227" xr:uid="{00000000-0005-0000-0000-0000DA860000}"/>
    <cellStyle name="Normal 6 19 5 6" xfId="40859" xr:uid="{00000000-0005-0000-0000-0000DB860000}"/>
    <cellStyle name="Normal 6 19 6" xfId="6904" xr:uid="{00000000-0005-0000-0000-0000DC860000}"/>
    <cellStyle name="Normal 6 19 6 2" xfId="6905" xr:uid="{00000000-0005-0000-0000-0000DD860000}"/>
    <cellStyle name="Normal 6 19 6 2 2" xfId="12686" xr:uid="{00000000-0005-0000-0000-0000DE860000}"/>
    <cellStyle name="Normal 6 19 6 2 2 2" xfId="36171" xr:uid="{00000000-0005-0000-0000-0000DF860000}"/>
    <cellStyle name="Normal 6 19 6 2 2 3" xfId="26852" xr:uid="{00000000-0005-0000-0000-0000E0860000}"/>
    <cellStyle name="Normal 6 19 6 2 2 4" xfId="50114" xr:uid="{00000000-0005-0000-0000-0000E1860000}"/>
    <cellStyle name="Normal 6 19 6 2 3" xfId="17417" xr:uid="{00000000-0005-0000-0000-0000E2860000}"/>
    <cellStyle name="Normal 6 19 6 2 3 2" xfId="31549" xr:uid="{00000000-0005-0000-0000-0000E3860000}"/>
    <cellStyle name="Normal 6 19 6 2 3 3" xfId="45444" xr:uid="{00000000-0005-0000-0000-0000E4860000}"/>
    <cellStyle name="Normal 6 19 6 2 4" xfId="22230" xr:uid="{00000000-0005-0000-0000-0000E5860000}"/>
    <cellStyle name="Normal 6 19 6 2 5" xfId="40862" xr:uid="{00000000-0005-0000-0000-0000E6860000}"/>
    <cellStyle name="Normal 6 19 6 3" xfId="12685" xr:uid="{00000000-0005-0000-0000-0000E7860000}"/>
    <cellStyle name="Normal 6 19 6 3 2" xfId="36170" xr:uid="{00000000-0005-0000-0000-0000E8860000}"/>
    <cellStyle name="Normal 6 19 6 3 3" xfId="26851" xr:uid="{00000000-0005-0000-0000-0000E9860000}"/>
    <cellStyle name="Normal 6 19 6 3 4" xfId="50113" xr:uid="{00000000-0005-0000-0000-0000EA860000}"/>
    <cellStyle name="Normal 6 19 6 4" xfId="17416" xr:uid="{00000000-0005-0000-0000-0000EB860000}"/>
    <cellStyle name="Normal 6 19 6 4 2" xfId="31548" xr:uid="{00000000-0005-0000-0000-0000EC860000}"/>
    <cellStyle name="Normal 6 19 6 4 3" xfId="45443" xr:uid="{00000000-0005-0000-0000-0000ED860000}"/>
    <cellStyle name="Normal 6 19 6 5" xfId="22229" xr:uid="{00000000-0005-0000-0000-0000EE860000}"/>
    <cellStyle name="Normal 6 19 6 6" xfId="40861" xr:uid="{00000000-0005-0000-0000-0000EF860000}"/>
    <cellStyle name="Normal 6 19 7" xfId="6906" xr:uid="{00000000-0005-0000-0000-0000F0860000}"/>
    <cellStyle name="Normal 6 19 7 2" xfId="12687" xr:uid="{00000000-0005-0000-0000-0000F1860000}"/>
    <cellStyle name="Normal 6 19 7 2 2" xfId="36172" xr:uid="{00000000-0005-0000-0000-0000F2860000}"/>
    <cellStyle name="Normal 6 19 7 2 3" xfId="26853" xr:uid="{00000000-0005-0000-0000-0000F3860000}"/>
    <cellStyle name="Normal 6 19 7 2 4" xfId="50115" xr:uid="{00000000-0005-0000-0000-0000F4860000}"/>
    <cellStyle name="Normal 6 19 7 3" xfId="17418" xr:uid="{00000000-0005-0000-0000-0000F5860000}"/>
    <cellStyle name="Normal 6 19 7 3 2" xfId="31550" xr:uid="{00000000-0005-0000-0000-0000F6860000}"/>
    <cellStyle name="Normal 6 19 7 3 3" xfId="45445" xr:uid="{00000000-0005-0000-0000-0000F7860000}"/>
    <cellStyle name="Normal 6 19 7 4" xfId="22231" xr:uid="{00000000-0005-0000-0000-0000F8860000}"/>
    <cellStyle name="Normal 6 19 7 5" xfId="40863" xr:uid="{00000000-0005-0000-0000-0000F9860000}"/>
    <cellStyle name="Normal 6 19 8" xfId="12676" xr:uid="{00000000-0005-0000-0000-0000FA860000}"/>
    <cellStyle name="Normal 6 19 8 2" xfId="36161" xr:uid="{00000000-0005-0000-0000-0000FB860000}"/>
    <cellStyle name="Normal 6 19 8 3" xfId="26842" xr:uid="{00000000-0005-0000-0000-0000FC860000}"/>
    <cellStyle name="Normal 6 19 8 4" xfId="50104" xr:uid="{00000000-0005-0000-0000-0000FD860000}"/>
    <cellStyle name="Normal 6 19 9" xfId="17407" xr:uid="{00000000-0005-0000-0000-0000FE860000}"/>
    <cellStyle name="Normal 6 19 9 2" xfId="31539" xr:uid="{00000000-0005-0000-0000-0000FF860000}"/>
    <cellStyle name="Normal 6 19 9 3" xfId="45434" xr:uid="{00000000-0005-0000-0000-000000870000}"/>
    <cellStyle name="Normal 6 2" xfId="42" xr:uid="{00000000-0005-0000-0000-000001870000}"/>
    <cellStyle name="Normal 6 2 10" xfId="6907" xr:uid="{00000000-0005-0000-0000-000002870000}"/>
    <cellStyle name="Normal 6 2 10 10" xfId="22232" xr:uid="{00000000-0005-0000-0000-000003870000}"/>
    <cellStyle name="Normal 6 2 10 11" xfId="40864" xr:uid="{00000000-0005-0000-0000-000004870000}"/>
    <cellStyle name="Normal 6 2 10 2" xfId="6908" xr:uid="{00000000-0005-0000-0000-000005870000}"/>
    <cellStyle name="Normal 6 2 10 2 2" xfId="6909" xr:uid="{00000000-0005-0000-0000-000006870000}"/>
    <cellStyle name="Normal 6 2 10 2 2 2" xfId="12690" xr:uid="{00000000-0005-0000-0000-000007870000}"/>
    <cellStyle name="Normal 6 2 10 2 2 2 2" xfId="36175" xr:uid="{00000000-0005-0000-0000-000008870000}"/>
    <cellStyle name="Normal 6 2 10 2 2 2 3" xfId="26856" xr:uid="{00000000-0005-0000-0000-000009870000}"/>
    <cellStyle name="Normal 6 2 10 2 2 2 4" xfId="50118" xr:uid="{00000000-0005-0000-0000-00000A870000}"/>
    <cellStyle name="Normal 6 2 10 2 2 3" xfId="17421" xr:uid="{00000000-0005-0000-0000-00000B870000}"/>
    <cellStyle name="Normal 6 2 10 2 2 3 2" xfId="31553" xr:uid="{00000000-0005-0000-0000-00000C870000}"/>
    <cellStyle name="Normal 6 2 10 2 2 3 3" xfId="45448" xr:uid="{00000000-0005-0000-0000-00000D870000}"/>
    <cellStyle name="Normal 6 2 10 2 2 4" xfId="22234" xr:uid="{00000000-0005-0000-0000-00000E870000}"/>
    <cellStyle name="Normal 6 2 10 2 2 5" xfId="40866" xr:uid="{00000000-0005-0000-0000-00000F870000}"/>
    <cellStyle name="Normal 6 2 10 2 3" xfId="12689" xr:uid="{00000000-0005-0000-0000-000010870000}"/>
    <cellStyle name="Normal 6 2 10 2 3 2" xfId="36174" xr:uid="{00000000-0005-0000-0000-000011870000}"/>
    <cellStyle name="Normal 6 2 10 2 3 3" xfId="26855" xr:uid="{00000000-0005-0000-0000-000012870000}"/>
    <cellStyle name="Normal 6 2 10 2 3 4" xfId="50117" xr:uid="{00000000-0005-0000-0000-000013870000}"/>
    <cellStyle name="Normal 6 2 10 2 4" xfId="17420" xr:uid="{00000000-0005-0000-0000-000014870000}"/>
    <cellStyle name="Normal 6 2 10 2 4 2" xfId="31552" xr:uid="{00000000-0005-0000-0000-000015870000}"/>
    <cellStyle name="Normal 6 2 10 2 4 3" xfId="45447" xr:uid="{00000000-0005-0000-0000-000016870000}"/>
    <cellStyle name="Normal 6 2 10 2 5" xfId="22233" xr:uid="{00000000-0005-0000-0000-000017870000}"/>
    <cellStyle name="Normal 6 2 10 2 6" xfId="40865" xr:uid="{00000000-0005-0000-0000-000018870000}"/>
    <cellStyle name="Normal 6 2 10 3" xfId="6910" xr:uid="{00000000-0005-0000-0000-000019870000}"/>
    <cellStyle name="Normal 6 2 10 3 2" xfId="6911" xr:uid="{00000000-0005-0000-0000-00001A870000}"/>
    <cellStyle name="Normal 6 2 10 3 2 2" xfId="12692" xr:uid="{00000000-0005-0000-0000-00001B870000}"/>
    <cellStyle name="Normal 6 2 10 3 2 2 2" xfId="36177" xr:uid="{00000000-0005-0000-0000-00001C870000}"/>
    <cellStyle name="Normal 6 2 10 3 2 2 3" xfId="26858" xr:uid="{00000000-0005-0000-0000-00001D870000}"/>
    <cellStyle name="Normal 6 2 10 3 2 2 4" xfId="50120" xr:uid="{00000000-0005-0000-0000-00001E870000}"/>
    <cellStyle name="Normal 6 2 10 3 2 3" xfId="17423" xr:uid="{00000000-0005-0000-0000-00001F870000}"/>
    <cellStyle name="Normal 6 2 10 3 2 3 2" xfId="31555" xr:uid="{00000000-0005-0000-0000-000020870000}"/>
    <cellStyle name="Normal 6 2 10 3 2 3 3" xfId="45450" xr:uid="{00000000-0005-0000-0000-000021870000}"/>
    <cellStyle name="Normal 6 2 10 3 2 4" xfId="22236" xr:uid="{00000000-0005-0000-0000-000022870000}"/>
    <cellStyle name="Normal 6 2 10 3 2 5" xfId="40868" xr:uid="{00000000-0005-0000-0000-000023870000}"/>
    <cellStyle name="Normal 6 2 10 3 3" xfId="12691" xr:uid="{00000000-0005-0000-0000-000024870000}"/>
    <cellStyle name="Normal 6 2 10 3 3 2" xfId="36176" xr:uid="{00000000-0005-0000-0000-000025870000}"/>
    <cellStyle name="Normal 6 2 10 3 3 3" xfId="26857" xr:uid="{00000000-0005-0000-0000-000026870000}"/>
    <cellStyle name="Normal 6 2 10 3 3 4" xfId="50119" xr:uid="{00000000-0005-0000-0000-000027870000}"/>
    <cellStyle name="Normal 6 2 10 3 4" xfId="17422" xr:uid="{00000000-0005-0000-0000-000028870000}"/>
    <cellStyle name="Normal 6 2 10 3 4 2" xfId="31554" xr:uid="{00000000-0005-0000-0000-000029870000}"/>
    <cellStyle name="Normal 6 2 10 3 4 3" xfId="45449" xr:uid="{00000000-0005-0000-0000-00002A870000}"/>
    <cellStyle name="Normal 6 2 10 3 5" xfId="22235" xr:uid="{00000000-0005-0000-0000-00002B870000}"/>
    <cellStyle name="Normal 6 2 10 3 6" xfId="40867" xr:uid="{00000000-0005-0000-0000-00002C870000}"/>
    <cellStyle name="Normal 6 2 10 4" xfId="6912" xr:uid="{00000000-0005-0000-0000-00002D870000}"/>
    <cellStyle name="Normal 6 2 10 4 2" xfId="6913" xr:uid="{00000000-0005-0000-0000-00002E870000}"/>
    <cellStyle name="Normal 6 2 10 4 2 2" xfId="12694" xr:uid="{00000000-0005-0000-0000-00002F870000}"/>
    <cellStyle name="Normal 6 2 10 4 2 2 2" xfId="36179" xr:uid="{00000000-0005-0000-0000-000030870000}"/>
    <cellStyle name="Normal 6 2 10 4 2 2 3" xfId="26860" xr:uid="{00000000-0005-0000-0000-000031870000}"/>
    <cellStyle name="Normal 6 2 10 4 2 2 4" xfId="50122" xr:uid="{00000000-0005-0000-0000-000032870000}"/>
    <cellStyle name="Normal 6 2 10 4 2 3" xfId="17425" xr:uid="{00000000-0005-0000-0000-000033870000}"/>
    <cellStyle name="Normal 6 2 10 4 2 3 2" xfId="31557" xr:uid="{00000000-0005-0000-0000-000034870000}"/>
    <cellStyle name="Normal 6 2 10 4 2 3 3" xfId="45452" xr:uid="{00000000-0005-0000-0000-000035870000}"/>
    <cellStyle name="Normal 6 2 10 4 2 4" xfId="22238" xr:uid="{00000000-0005-0000-0000-000036870000}"/>
    <cellStyle name="Normal 6 2 10 4 2 5" xfId="40870" xr:uid="{00000000-0005-0000-0000-000037870000}"/>
    <cellStyle name="Normal 6 2 10 4 3" xfId="12693" xr:uid="{00000000-0005-0000-0000-000038870000}"/>
    <cellStyle name="Normal 6 2 10 4 3 2" xfId="36178" xr:uid="{00000000-0005-0000-0000-000039870000}"/>
    <cellStyle name="Normal 6 2 10 4 3 3" xfId="26859" xr:uid="{00000000-0005-0000-0000-00003A870000}"/>
    <cellStyle name="Normal 6 2 10 4 3 4" xfId="50121" xr:uid="{00000000-0005-0000-0000-00003B870000}"/>
    <cellStyle name="Normal 6 2 10 4 4" xfId="17424" xr:uid="{00000000-0005-0000-0000-00003C870000}"/>
    <cellStyle name="Normal 6 2 10 4 4 2" xfId="31556" xr:uid="{00000000-0005-0000-0000-00003D870000}"/>
    <cellStyle name="Normal 6 2 10 4 4 3" xfId="45451" xr:uid="{00000000-0005-0000-0000-00003E870000}"/>
    <cellStyle name="Normal 6 2 10 4 5" xfId="22237" xr:uid="{00000000-0005-0000-0000-00003F870000}"/>
    <cellStyle name="Normal 6 2 10 4 6" xfId="40869" xr:uid="{00000000-0005-0000-0000-000040870000}"/>
    <cellStyle name="Normal 6 2 10 5" xfId="6914" xr:uid="{00000000-0005-0000-0000-000041870000}"/>
    <cellStyle name="Normal 6 2 10 5 2" xfId="6915" xr:uid="{00000000-0005-0000-0000-000042870000}"/>
    <cellStyle name="Normal 6 2 10 5 2 2" xfId="12696" xr:uid="{00000000-0005-0000-0000-000043870000}"/>
    <cellStyle name="Normal 6 2 10 5 2 2 2" xfId="36181" xr:uid="{00000000-0005-0000-0000-000044870000}"/>
    <cellStyle name="Normal 6 2 10 5 2 2 3" xfId="26862" xr:uid="{00000000-0005-0000-0000-000045870000}"/>
    <cellStyle name="Normal 6 2 10 5 2 2 4" xfId="50124" xr:uid="{00000000-0005-0000-0000-000046870000}"/>
    <cellStyle name="Normal 6 2 10 5 2 3" xfId="17427" xr:uid="{00000000-0005-0000-0000-000047870000}"/>
    <cellStyle name="Normal 6 2 10 5 2 3 2" xfId="31559" xr:uid="{00000000-0005-0000-0000-000048870000}"/>
    <cellStyle name="Normal 6 2 10 5 2 3 3" xfId="45454" xr:uid="{00000000-0005-0000-0000-000049870000}"/>
    <cellStyle name="Normal 6 2 10 5 2 4" xfId="22240" xr:uid="{00000000-0005-0000-0000-00004A870000}"/>
    <cellStyle name="Normal 6 2 10 5 2 5" xfId="40872" xr:uid="{00000000-0005-0000-0000-00004B870000}"/>
    <cellStyle name="Normal 6 2 10 5 3" xfId="12695" xr:uid="{00000000-0005-0000-0000-00004C870000}"/>
    <cellStyle name="Normal 6 2 10 5 3 2" xfId="36180" xr:uid="{00000000-0005-0000-0000-00004D870000}"/>
    <cellStyle name="Normal 6 2 10 5 3 3" xfId="26861" xr:uid="{00000000-0005-0000-0000-00004E870000}"/>
    <cellStyle name="Normal 6 2 10 5 3 4" xfId="50123" xr:uid="{00000000-0005-0000-0000-00004F870000}"/>
    <cellStyle name="Normal 6 2 10 5 4" xfId="17426" xr:uid="{00000000-0005-0000-0000-000050870000}"/>
    <cellStyle name="Normal 6 2 10 5 4 2" xfId="31558" xr:uid="{00000000-0005-0000-0000-000051870000}"/>
    <cellStyle name="Normal 6 2 10 5 4 3" xfId="45453" xr:uid="{00000000-0005-0000-0000-000052870000}"/>
    <cellStyle name="Normal 6 2 10 5 5" xfId="22239" xr:uid="{00000000-0005-0000-0000-000053870000}"/>
    <cellStyle name="Normal 6 2 10 5 6" xfId="40871" xr:uid="{00000000-0005-0000-0000-000054870000}"/>
    <cellStyle name="Normal 6 2 10 6" xfId="6916" xr:uid="{00000000-0005-0000-0000-000055870000}"/>
    <cellStyle name="Normal 6 2 10 6 2" xfId="6917" xr:uid="{00000000-0005-0000-0000-000056870000}"/>
    <cellStyle name="Normal 6 2 10 6 2 2" xfId="12698" xr:uid="{00000000-0005-0000-0000-000057870000}"/>
    <cellStyle name="Normal 6 2 10 6 2 2 2" xfId="36183" xr:uid="{00000000-0005-0000-0000-000058870000}"/>
    <cellStyle name="Normal 6 2 10 6 2 2 3" xfId="26864" xr:uid="{00000000-0005-0000-0000-000059870000}"/>
    <cellStyle name="Normal 6 2 10 6 2 2 4" xfId="50126" xr:uid="{00000000-0005-0000-0000-00005A870000}"/>
    <cellStyle name="Normal 6 2 10 6 2 3" xfId="17429" xr:uid="{00000000-0005-0000-0000-00005B870000}"/>
    <cellStyle name="Normal 6 2 10 6 2 3 2" xfId="31561" xr:uid="{00000000-0005-0000-0000-00005C870000}"/>
    <cellStyle name="Normal 6 2 10 6 2 3 3" xfId="45456" xr:uid="{00000000-0005-0000-0000-00005D870000}"/>
    <cellStyle name="Normal 6 2 10 6 2 4" xfId="22242" xr:uid="{00000000-0005-0000-0000-00005E870000}"/>
    <cellStyle name="Normal 6 2 10 6 2 5" xfId="40874" xr:uid="{00000000-0005-0000-0000-00005F870000}"/>
    <cellStyle name="Normal 6 2 10 6 3" xfId="12697" xr:uid="{00000000-0005-0000-0000-000060870000}"/>
    <cellStyle name="Normal 6 2 10 6 3 2" xfId="36182" xr:uid="{00000000-0005-0000-0000-000061870000}"/>
    <cellStyle name="Normal 6 2 10 6 3 3" xfId="26863" xr:uid="{00000000-0005-0000-0000-000062870000}"/>
    <cellStyle name="Normal 6 2 10 6 3 4" xfId="50125" xr:uid="{00000000-0005-0000-0000-000063870000}"/>
    <cellStyle name="Normal 6 2 10 6 4" xfId="17428" xr:uid="{00000000-0005-0000-0000-000064870000}"/>
    <cellStyle name="Normal 6 2 10 6 4 2" xfId="31560" xr:uid="{00000000-0005-0000-0000-000065870000}"/>
    <cellStyle name="Normal 6 2 10 6 4 3" xfId="45455" xr:uid="{00000000-0005-0000-0000-000066870000}"/>
    <cellStyle name="Normal 6 2 10 6 5" xfId="22241" xr:uid="{00000000-0005-0000-0000-000067870000}"/>
    <cellStyle name="Normal 6 2 10 6 6" xfId="40873" xr:uid="{00000000-0005-0000-0000-000068870000}"/>
    <cellStyle name="Normal 6 2 10 7" xfId="6918" xr:uid="{00000000-0005-0000-0000-000069870000}"/>
    <cellStyle name="Normal 6 2 10 7 2" xfId="12699" xr:uid="{00000000-0005-0000-0000-00006A870000}"/>
    <cellStyle name="Normal 6 2 10 7 2 2" xfId="36184" xr:uid="{00000000-0005-0000-0000-00006B870000}"/>
    <cellStyle name="Normal 6 2 10 7 2 3" xfId="26865" xr:uid="{00000000-0005-0000-0000-00006C870000}"/>
    <cellStyle name="Normal 6 2 10 7 2 4" xfId="50127" xr:uid="{00000000-0005-0000-0000-00006D870000}"/>
    <cellStyle name="Normal 6 2 10 7 3" xfId="17430" xr:uid="{00000000-0005-0000-0000-00006E870000}"/>
    <cellStyle name="Normal 6 2 10 7 3 2" xfId="31562" xr:uid="{00000000-0005-0000-0000-00006F870000}"/>
    <cellStyle name="Normal 6 2 10 7 3 3" xfId="45457" xr:uid="{00000000-0005-0000-0000-000070870000}"/>
    <cellStyle name="Normal 6 2 10 7 4" xfId="22243" xr:uid="{00000000-0005-0000-0000-000071870000}"/>
    <cellStyle name="Normal 6 2 10 7 5" xfId="40875" xr:uid="{00000000-0005-0000-0000-000072870000}"/>
    <cellStyle name="Normal 6 2 10 8" xfId="12688" xr:uid="{00000000-0005-0000-0000-000073870000}"/>
    <cellStyle name="Normal 6 2 10 8 2" xfId="36173" xr:uid="{00000000-0005-0000-0000-000074870000}"/>
    <cellStyle name="Normal 6 2 10 8 3" xfId="26854" xr:uid="{00000000-0005-0000-0000-000075870000}"/>
    <cellStyle name="Normal 6 2 10 8 4" xfId="50116" xr:uid="{00000000-0005-0000-0000-000076870000}"/>
    <cellStyle name="Normal 6 2 10 9" xfId="17419" xr:uid="{00000000-0005-0000-0000-000077870000}"/>
    <cellStyle name="Normal 6 2 10 9 2" xfId="31551" xr:uid="{00000000-0005-0000-0000-000078870000}"/>
    <cellStyle name="Normal 6 2 10 9 3" xfId="45446" xr:uid="{00000000-0005-0000-0000-000079870000}"/>
    <cellStyle name="Normal 6 2 11" xfId="6919" xr:uid="{00000000-0005-0000-0000-00007A870000}"/>
    <cellStyle name="Normal 6 2 11 10" xfId="22244" xr:uid="{00000000-0005-0000-0000-00007B870000}"/>
    <cellStyle name="Normal 6 2 11 11" xfId="40876" xr:uid="{00000000-0005-0000-0000-00007C870000}"/>
    <cellStyle name="Normal 6 2 11 2" xfId="6920" xr:uid="{00000000-0005-0000-0000-00007D870000}"/>
    <cellStyle name="Normal 6 2 11 2 2" xfId="6921" xr:uid="{00000000-0005-0000-0000-00007E870000}"/>
    <cellStyle name="Normal 6 2 11 2 2 2" xfId="12702" xr:uid="{00000000-0005-0000-0000-00007F870000}"/>
    <cellStyle name="Normal 6 2 11 2 2 2 2" xfId="36187" xr:uid="{00000000-0005-0000-0000-000080870000}"/>
    <cellStyle name="Normal 6 2 11 2 2 2 3" xfId="26868" xr:uid="{00000000-0005-0000-0000-000081870000}"/>
    <cellStyle name="Normal 6 2 11 2 2 2 4" xfId="50130" xr:uid="{00000000-0005-0000-0000-000082870000}"/>
    <cellStyle name="Normal 6 2 11 2 2 3" xfId="17433" xr:uid="{00000000-0005-0000-0000-000083870000}"/>
    <cellStyle name="Normal 6 2 11 2 2 3 2" xfId="31565" xr:uid="{00000000-0005-0000-0000-000084870000}"/>
    <cellStyle name="Normal 6 2 11 2 2 3 3" xfId="45460" xr:uid="{00000000-0005-0000-0000-000085870000}"/>
    <cellStyle name="Normal 6 2 11 2 2 4" xfId="22246" xr:uid="{00000000-0005-0000-0000-000086870000}"/>
    <cellStyle name="Normal 6 2 11 2 2 5" xfId="40878" xr:uid="{00000000-0005-0000-0000-000087870000}"/>
    <cellStyle name="Normal 6 2 11 2 3" xfId="12701" xr:uid="{00000000-0005-0000-0000-000088870000}"/>
    <cellStyle name="Normal 6 2 11 2 3 2" xfId="36186" xr:uid="{00000000-0005-0000-0000-000089870000}"/>
    <cellStyle name="Normal 6 2 11 2 3 3" xfId="26867" xr:uid="{00000000-0005-0000-0000-00008A870000}"/>
    <cellStyle name="Normal 6 2 11 2 3 4" xfId="50129" xr:uid="{00000000-0005-0000-0000-00008B870000}"/>
    <cellStyle name="Normal 6 2 11 2 4" xfId="17432" xr:uid="{00000000-0005-0000-0000-00008C870000}"/>
    <cellStyle name="Normal 6 2 11 2 4 2" xfId="31564" xr:uid="{00000000-0005-0000-0000-00008D870000}"/>
    <cellStyle name="Normal 6 2 11 2 4 3" xfId="45459" xr:uid="{00000000-0005-0000-0000-00008E870000}"/>
    <cellStyle name="Normal 6 2 11 2 5" xfId="22245" xr:uid="{00000000-0005-0000-0000-00008F870000}"/>
    <cellStyle name="Normal 6 2 11 2 6" xfId="40877" xr:uid="{00000000-0005-0000-0000-000090870000}"/>
    <cellStyle name="Normal 6 2 11 3" xfId="6922" xr:uid="{00000000-0005-0000-0000-000091870000}"/>
    <cellStyle name="Normal 6 2 11 3 2" xfId="6923" xr:uid="{00000000-0005-0000-0000-000092870000}"/>
    <cellStyle name="Normal 6 2 11 3 2 2" xfId="12704" xr:uid="{00000000-0005-0000-0000-000093870000}"/>
    <cellStyle name="Normal 6 2 11 3 2 2 2" xfId="36189" xr:uid="{00000000-0005-0000-0000-000094870000}"/>
    <cellStyle name="Normal 6 2 11 3 2 2 3" xfId="26870" xr:uid="{00000000-0005-0000-0000-000095870000}"/>
    <cellStyle name="Normal 6 2 11 3 2 2 4" xfId="50132" xr:uid="{00000000-0005-0000-0000-000096870000}"/>
    <cellStyle name="Normal 6 2 11 3 2 3" xfId="17435" xr:uid="{00000000-0005-0000-0000-000097870000}"/>
    <cellStyle name="Normal 6 2 11 3 2 3 2" xfId="31567" xr:uid="{00000000-0005-0000-0000-000098870000}"/>
    <cellStyle name="Normal 6 2 11 3 2 3 3" xfId="45462" xr:uid="{00000000-0005-0000-0000-000099870000}"/>
    <cellStyle name="Normal 6 2 11 3 2 4" xfId="22248" xr:uid="{00000000-0005-0000-0000-00009A870000}"/>
    <cellStyle name="Normal 6 2 11 3 2 5" xfId="40880" xr:uid="{00000000-0005-0000-0000-00009B870000}"/>
    <cellStyle name="Normal 6 2 11 3 3" xfId="12703" xr:uid="{00000000-0005-0000-0000-00009C870000}"/>
    <cellStyle name="Normal 6 2 11 3 3 2" xfId="36188" xr:uid="{00000000-0005-0000-0000-00009D870000}"/>
    <cellStyle name="Normal 6 2 11 3 3 3" xfId="26869" xr:uid="{00000000-0005-0000-0000-00009E870000}"/>
    <cellStyle name="Normal 6 2 11 3 3 4" xfId="50131" xr:uid="{00000000-0005-0000-0000-00009F870000}"/>
    <cellStyle name="Normal 6 2 11 3 4" xfId="17434" xr:uid="{00000000-0005-0000-0000-0000A0870000}"/>
    <cellStyle name="Normal 6 2 11 3 4 2" xfId="31566" xr:uid="{00000000-0005-0000-0000-0000A1870000}"/>
    <cellStyle name="Normal 6 2 11 3 4 3" xfId="45461" xr:uid="{00000000-0005-0000-0000-0000A2870000}"/>
    <cellStyle name="Normal 6 2 11 3 5" xfId="22247" xr:uid="{00000000-0005-0000-0000-0000A3870000}"/>
    <cellStyle name="Normal 6 2 11 3 6" xfId="40879" xr:uid="{00000000-0005-0000-0000-0000A4870000}"/>
    <cellStyle name="Normal 6 2 11 4" xfId="6924" xr:uid="{00000000-0005-0000-0000-0000A5870000}"/>
    <cellStyle name="Normal 6 2 11 4 2" xfId="6925" xr:uid="{00000000-0005-0000-0000-0000A6870000}"/>
    <cellStyle name="Normal 6 2 11 4 2 2" xfId="12706" xr:uid="{00000000-0005-0000-0000-0000A7870000}"/>
    <cellStyle name="Normal 6 2 11 4 2 2 2" xfId="36191" xr:uid="{00000000-0005-0000-0000-0000A8870000}"/>
    <cellStyle name="Normal 6 2 11 4 2 2 3" xfId="26872" xr:uid="{00000000-0005-0000-0000-0000A9870000}"/>
    <cellStyle name="Normal 6 2 11 4 2 2 4" xfId="50134" xr:uid="{00000000-0005-0000-0000-0000AA870000}"/>
    <cellStyle name="Normal 6 2 11 4 2 3" xfId="17437" xr:uid="{00000000-0005-0000-0000-0000AB870000}"/>
    <cellStyle name="Normal 6 2 11 4 2 3 2" xfId="31569" xr:uid="{00000000-0005-0000-0000-0000AC870000}"/>
    <cellStyle name="Normal 6 2 11 4 2 3 3" xfId="45464" xr:uid="{00000000-0005-0000-0000-0000AD870000}"/>
    <cellStyle name="Normal 6 2 11 4 2 4" xfId="22250" xr:uid="{00000000-0005-0000-0000-0000AE870000}"/>
    <cellStyle name="Normal 6 2 11 4 2 5" xfId="40882" xr:uid="{00000000-0005-0000-0000-0000AF870000}"/>
    <cellStyle name="Normal 6 2 11 4 3" xfId="12705" xr:uid="{00000000-0005-0000-0000-0000B0870000}"/>
    <cellStyle name="Normal 6 2 11 4 3 2" xfId="36190" xr:uid="{00000000-0005-0000-0000-0000B1870000}"/>
    <cellStyle name="Normal 6 2 11 4 3 3" xfId="26871" xr:uid="{00000000-0005-0000-0000-0000B2870000}"/>
    <cellStyle name="Normal 6 2 11 4 3 4" xfId="50133" xr:uid="{00000000-0005-0000-0000-0000B3870000}"/>
    <cellStyle name="Normal 6 2 11 4 4" xfId="17436" xr:uid="{00000000-0005-0000-0000-0000B4870000}"/>
    <cellStyle name="Normal 6 2 11 4 4 2" xfId="31568" xr:uid="{00000000-0005-0000-0000-0000B5870000}"/>
    <cellStyle name="Normal 6 2 11 4 4 3" xfId="45463" xr:uid="{00000000-0005-0000-0000-0000B6870000}"/>
    <cellStyle name="Normal 6 2 11 4 5" xfId="22249" xr:uid="{00000000-0005-0000-0000-0000B7870000}"/>
    <cellStyle name="Normal 6 2 11 4 6" xfId="40881" xr:uid="{00000000-0005-0000-0000-0000B8870000}"/>
    <cellStyle name="Normal 6 2 11 5" xfId="6926" xr:uid="{00000000-0005-0000-0000-0000B9870000}"/>
    <cellStyle name="Normal 6 2 11 5 2" xfId="6927" xr:uid="{00000000-0005-0000-0000-0000BA870000}"/>
    <cellStyle name="Normal 6 2 11 5 2 2" xfId="12708" xr:uid="{00000000-0005-0000-0000-0000BB870000}"/>
    <cellStyle name="Normal 6 2 11 5 2 2 2" xfId="36193" xr:uid="{00000000-0005-0000-0000-0000BC870000}"/>
    <cellStyle name="Normal 6 2 11 5 2 2 3" xfId="26874" xr:uid="{00000000-0005-0000-0000-0000BD870000}"/>
    <cellStyle name="Normal 6 2 11 5 2 2 4" xfId="50136" xr:uid="{00000000-0005-0000-0000-0000BE870000}"/>
    <cellStyle name="Normal 6 2 11 5 2 3" xfId="17439" xr:uid="{00000000-0005-0000-0000-0000BF870000}"/>
    <cellStyle name="Normal 6 2 11 5 2 3 2" xfId="31571" xr:uid="{00000000-0005-0000-0000-0000C0870000}"/>
    <cellStyle name="Normal 6 2 11 5 2 3 3" xfId="45466" xr:uid="{00000000-0005-0000-0000-0000C1870000}"/>
    <cellStyle name="Normal 6 2 11 5 2 4" xfId="22252" xr:uid="{00000000-0005-0000-0000-0000C2870000}"/>
    <cellStyle name="Normal 6 2 11 5 2 5" xfId="40884" xr:uid="{00000000-0005-0000-0000-0000C3870000}"/>
    <cellStyle name="Normal 6 2 11 5 3" xfId="12707" xr:uid="{00000000-0005-0000-0000-0000C4870000}"/>
    <cellStyle name="Normal 6 2 11 5 3 2" xfId="36192" xr:uid="{00000000-0005-0000-0000-0000C5870000}"/>
    <cellStyle name="Normal 6 2 11 5 3 3" xfId="26873" xr:uid="{00000000-0005-0000-0000-0000C6870000}"/>
    <cellStyle name="Normal 6 2 11 5 3 4" xfId="50135" xr:uid="{00000000-0005-0000-0000-0000C7870000}"/>
    <cellStyle name="Normal 6 2 11 5 4" xfId="17438" xr:uid="{00000000-0005-0000-0000-0000C8870000}"/>
    <cellStyle name="Normal 6 2 11 5 4 2" xfId="31570" xr:uid="{00000000-0005-0000-0000-0000C9870000}"/>
    <cellStyle name="Normal 6 2 11 5 4 3" xfId="45465" xr:uid="{00000000-0005-0000-0000-0000CA870000}"/>
    <cellStyle name="Normal 6 2 11 5 5" xfId="22251" xr:uid="{00000000-0005-0000-0000-0000CB870000}"/>
    <cellStyle name="Normal 6 2 11 5 6" xfId="40883" xr:uid="{00000000-0005-0000-0000-0000CC870000}"/>
    <cellStyle name="Normal 6 2 11 6" xfId="6928" xr:uid="{00000000-0005-0000-0000-0000CD870000}"/>
    <cellStyle name="Normal 6 2 11 6 2" xfId="6929" xr:uid="{00000000-0005-0000-0000-0000CE870000}"/>
    <cellStyle name="Normal 6 2 11 6 2 2" xfId="12710" xr:uid="{00000000-0005-0000-0000-0000CF870000}"/>
    <cellStyle name="Normal 6 2 11 6 2 2 2" xfId="36195" xr:uid="{00000000-0005-0000-0000-0000D0870000}"/>
    <cellStyle name="Normal 6 2 11 6 2 2 3" xfId="26876" xr:uid="{00000000-0005-0000-0000-0000D1870000}"/>
    <cellStyle name="Normal 6 2 11 6 2 2 4" xfId="50138" xr:uid="{00000000-0005-0000-0000-0000D2870000}"/>
    <cellStyle name="Normal 6 2 11 6 2 3" xfId="17441" xr:uid="{00000000-0005-0000-0000-0000D3870000}"/>
    <cellStyle name="Normal 6 2 11 6 2 3 2" xfId="31573" xr:uid="{00000000-0005-0000-0000-0000D4870000}"/>
    <cellStyle name="Normal 6 2 11 6 2 3 3" xfId="45468" xr:uid="{00000000-0005-0000-0000-0000D5870000}"/>
    <cellStyle name="Normal 6 2 11 6 2 4" xfId="22254" xr:uid="{00000000-0005-0000-0000-0000D6870000}"/>
    <cellStyle name="Normal 6 2 11 6 2 5" xfId="40886" xr:uid="{00000000-0005-0000-0000-0000D7870000}"/>
    <cellStyle name="Normal 6 2 11 6 3" xfId="12709" xr:uid="{00000000-0005-0000-0000-0000D8870000}"/>
    <cellStyle name="Normal 6 2 11 6 3 2" xfId="36194" xr:uid="{00000000-0005-0000-0000-0000D9870000}"/>
    <cellStyle name="Normal 6 2 11 6 3 3" xfId="26875" xr:uid="{00000000-0005-0000-0000-0000DA870000}"/>
    <cellStyle name="Normal 6 2 11 6 3 4" xfId="50137" xr:uid="{00000000-0005-0000-0000-0000DB870000}"/>
    <cellStyle name="Normal 6 2 11 6 4" xfId="17440" xr:uid="{00000000-0005-0000-0000-0000DC870000}"/>
    <cellStyle name="Normal 6 2 11 6 4 2" xfId="31572" xr:uid="{00000000-0005-0000-0000-0000DD870000}"/>
    <cellStyle name="Normal 6 2 11 6 4 3" xfId="45467" xr:uid="{00000000-0005-0000-0000-0000DE870000}"/>
    <cellStyle name="Normal 6 2 11 6 5" xfId="22253" xr:uid="{00000000-0005-0000-0000-0000DF870000}"/>
    <cellStyle name="Normal 6 2 11 6 6" xfId="40885" xr:uid="{00000000-0005-0000-0000-0000E0870000}"/>
    <cellStyle name="Normal 6 2 11 7" xfId="6930" xr:uid="{00000000-0005-0000-0000-0000E1870000}"/>
    <cellStyle name="Normal 6 2 11 7 2" xfId="12711" xr:uid="{00000000-0005-0000-0000-0000E2870000}"/>
    <cellStyle name="Normal 6 2 11 7 2 2" xfId="36196" xr:uid="{00000000-0005-0000-0000-0000E3870000}"/>
    <cellStyle name="Normal 6 2 11 7 2 3" xfId="26877" xr:uid="{00000000-0005-0000-0000-0000E4870000}"/>
    <cellStyle name="Normal 6 2 11 7 2 4" xfId="50139" xr:uid="{00000000-0005-0000-0000-0000E5870000}"/>
    <cellStyle name="Normal 6 2 11 7 3" xfId="17442" xr:uid="{00000000-0005-0000-0000-0000E6870000}"/>
    <cellStyle name="Normal 6 2 11 7 3 2" xfId="31574" xr:uid="{00000000-0005-0000-0000-0000E7870000}"/>
    <cellStyle name="Normal 6 2 11 7 3 3" xfId="45469" xr:uid="{00000000-0005-0000-0000-0000E8870000}"/>
    <cellStyle name="Normal 6 2 11 7 4" xfId="22255" xr:uid="{00000000-0005-0000-0000-0000E9870000}"/>
    <cellStyle name="Normal 6 2 11 7 5" xfId="40887" xr:uid="{00000000-0005-0000-0000-0000EA870000}"/>
    <cellStyle name="Normal 6 2 11 8" xfId="12700" xr:uid="{00000000-0005-0000-0000-0000EB870000}"/>
    <cellStyle name="Normal 6 2 11 8 2" xfId="36185" xr:uid="{00000000-0005-0000-0000-0000EC870000}"/>
    <cellStyle name="Normal 6 2 11 8 3" xfId="26866" xr:uid="{00000000-0005-0000-0000-0000ED870000}"/>
    <cellStyle name="Normal 6 2 11 8 4" xfId="50128" xr:uid="{00000000-0005-0000-0000-0000EE870000}"/>
    <cellStyle name="Normal 6 2 11 9" xfId="17431" xr:uid="{00000000-0005-0000-0000-0000EF870000}"/>
    <cellStyle name="Normal 6 2 11 9 2" xfId="31563" xr:uid="{00000000-0005-0000-0000-0000F0870000}"/>
    <cellStyle name="Normal 6 2 11 9 3" xfId="45458" xr:uid="{00000000-0005-0000-0000-0000F1870000}"/>
    <cellStyle name="Normal 6 2 12" xfId="6931" xr:uid="{00000000-0005-0000-0000-0000F2870000}"/>
    <cellStyle name="Normal 6 2 12 10" xfId="22256" xr:uid="{00000000-0005-0000-0000-0000F3870000}"/>
    <cellStyle name="Normal 6 2 12 11" xfId="40888" xr:uid="{00000000-0005-0000-0000-0000F4870000}"/>
    <cellStyle name="Normal 6 2 12 2" xfId="6932" xr:uid="{00000000-0005-0000-0000-0000F5870000}"/>
    <cellStyle name="Normal 6 2 12 2 2" xfId="6933" xr:uid="{00000000-0005-0000-0000-0000F6870000}"/>
    <cellStyle name="Normal 6 2 12 2 2 2" xfId="12714" xr:uid="{00000000-0005-0000-0000-0000F7870000}"/>
    <cellStyle name="Normal 6 2 12 2 2 2 2" xfId="36199" xr:uid="{00000000-0005-0000-0000-0000F8870000}"/>
    <cellStyle name="Normal 6 2 12 2 2 2 3" xfId="26880" xr:uid="{00000000-0005-0000-0000-0000F9870000}"/>
    <cellStyle name="Normal 6 2 12 2 2 2 4" xfId="50142" xr:uid="{00000000-0005-0000-0000-0000FA870000}"/>
    <cellStyle name="Normal 6 2 12 2 2 3" xfId="17445" xr:uid="{00000000-0005-0000-0000-0000FB870000}"/>
    <cellStyle name="Normal 6 2 12 2 2 3 2" xfId="31577" xr:uid="{00000000-0005-0000-0000-0000FC870000}"/>
    <cellStyle name="Normal 6 2 12 2 2 3 3" xfId="45472" xr:uid="{00000000-0005-0000-0000-0000FD870000}"/>
    <cellStyle name="Normal 6 2 12 2 2 4" xfId="22258" xr:uid="{00000000-0005-0000-0000-0000FE870000}"/>
    <cellStyle name="Normal 6 2 12 2 2 5" xfId="40890" xr:uid="{00000000-0005-0000-0000-0000FF870000}"/>
    <cellStyle name="Normal 6 2 12 2 3" xfId="12713" xr:uid="{00000000-0005-0000-0000-000000880000}"/>
    <cellStyle name="Normal 6 2 12 2 3 2" xfId="36198" xr:uid="{00000000-0005-0000-0000-000001880000}"/>
    <cellStyle name="Normal 6 2 12 2 3 3" xfId="26879" xr:uid="{00000000-0005-0000-0000-000002880000}"/>
    <cellStyle name="Normal 6 2 12 2 3 4" xfId="50141" xr:uid="{00000000-0005-0000-0000-000003880000}"/>
    <cellStyle name="Normal 6 2 12 2 4" xfId="17444" xr:uid="{00000000-0005-0000-0000-000004880000}"/>
    <cellStyle name="Normal 6 2 12 2 4 2" xfId="31576" xr:uid="{00000000-0005-0000-0000-000005880000}"/>
    <cellStyle name="Normal 6 2 12 2 4 3" xfId="45471" xr:uid="{00000000-0005-0000-0000-000006880000}"/>
    <cellStyle name="Normal 6 2 12 2 5" xfId="22257" xr:uid="{00000000-0005-0000-0000-000007880000}"/>
    <cellStyle name="Normal 6 2 12 2 6" xfId="40889" xr:uid="{00000000-0005-0000-0000-000008880000}"/>
    <cellStyle name="Normal 6 2 12 3" xfId="6934" xr:uid="{00000000-0005-0000-0000-000009880000}"/>
    <cellStyle name="Normal 6 2 12 3 2" xfId="6935" xr:uid="{00000000-0005-0000-0000-00000A880000}"/>
    <cellStyle name="Normal 6 2 12 3 2 2" xfId="12716" xr:uid="{00000000-0005-0000-0000-00000B880000}"/>
    <cellStyle name="Normal 6 2 12 3 2 2 2" xfId="36201" xr:uid="{00000000-0005-0000-0000-00000C880000}"/>
    <cellStyle name="Normal 6 2 12 3 2 2 3" xfId="26882" xr:uid="{00000000-0005-0000-0000-00000D880000}"/>
    <cellStyle name="Normal 6 2 12 3 2 2 4" xfId="50144" xr:uid="{00000000-0005-0000-0000-00000E880000}"/>
    <cellStyle name="Normal 6 2 12 3 2 3" xfId="17447" xr:uid="{00000000-0005-0000-0000-00000F880000}"/>
    <cellStyle name="Normal 6 2 12 3 2 3 2" xfId="31579" xr:uid="{00000000-0005-0000-0000-000010880000}"/>
    <cellStyle name="Normal 6 2 12 3 2 3 3" xfId="45474" xr:uid="{00000000-0005-0000-0000-000011880000}"/>
    <cellStyle name="Normal 6 2 12 3 2 4" xfId="22260" xr:uid="{00000000-0005-0000-0000-000012880000}"/>
    <cellStyle name="Normal 6 2 12 3 2 5" xfId="40892" xr:uid="{00000000-0005-0000-0000-000013880000}"/>
    <cellStyle name="Normal 6 2 12 3 3" xfId="12715" xr:uid="{00000000-0005-0000-0000-000014880000}"/>
    <cellStyle name="Normal 6 2 12 3 3 2" xfId="36200" xr:uid="{00000000-0005-0000-0000-000015880000}"/>
    <cellStyle name="Normal 6 2 12 3 3 3" xfId="26881" xr:uid="{00000000-0005-0000-0000-000016880000}"/>
    <cellStyle name="Normal 6 2 12 3 3 4" xfId="50143" xr:uid="{00000000-0005-0000-0000-000017880000}"/>
    <cellStyle name="Normal 6 2 12 3 4" xfId="17446" xr:uid="{00000000-0005-0000-0000-000018880000}"/>
    <cellStyle name="Normal 6 2 12 3 4 2" xfId="31578" xr:uid="{00000000-0005-0000-0000-000019880000}"/>
    <cellStyle name="Normal 6 2 12 3 4 3" xfId="45473" xr:uid="{00000000-0005-0000-0000-00001A880000}"/>
    <cellStyle name="Normal 6 2 12 3 5" xfId="22259" xr:uid="{00000000-0005-0000-0000-00001B880000}"/>
    <cellStyle name="Normal 6 2 12 3 6" xfId="40891" xr:uid="{00000000-0005-0000-0000-00001C880000}"/>
    <cellStyle name="Normal 6 2 12 4" xfId="6936" xr:uid="{00000000-0005-0000-0000-00001D880000}"/>
    <cellStyle name="Normal 6 2 12 4 2" xfId="6937" xr:uid="{00000000-0005-0000-0000-00001E880000}"/>
    <cellStyle name="Normal 6 2 12 4 2 2" xfId="12718" xr:uid="{00000000-0005-0000-0000-00001F880000}"/>
    <cellStyle name="Normal 6 2 12 4 2 2 2" xfId="36203" xr:uid="{00000000-0005-0000-0000-000020880000}"/>
    <cellStyle name="Normal 6 2 12 4 2 2 3" xfId="26884" xr:uid="{00000000-0005-0000-0000-000021880000}"/>
    <cellStyle name="Normal 6 2 12 4 2 2 4" xfId="50146" xr:uid="{00000000-0005-0000-0000-000022880000}"/>
    <cellStyle name="Normal 6 2 12 4 2 3" xfId="17449" xr:uid="{00000000-0005-0000-0000-000023880000}"/>
    <cellStyle name="Normal 6 2 12 4 2 3 2" xfId="31581" xr:uid="{00000000-0005-0000-0000-000024880000}"/>
    <cellStyle name="Normal 6 2 12 4 2 3 3" xfId="45476" xr:uid="{00000000-0005-0000-0000-000025880000}"/>
    <cellStyle name="Normal 6 2 12 4 2 4" xfId="22262" xr:uid="{00000000-0005-0000-0000-000026880000}"/>
    <cellStyle name="Normal 6 2 12 4 2 5" xfId="40894" xr:uid="{00000000-0005-0000-0000-000027880000}"/>
    <cellStyle name="Normal 6 2 12 4 3" xfId="12717" xr:uid="{00000000-0005-0000-0000-000028880000}"/>
    <cellStyle name="Normal 6 2 12 4 3 2" xfId="36202" xr:uid="{00000000-0005-0000-0000-000029880000}"/>
    <cellStyle name="Normal 6 2 12 4 3 3" xfId="26883" xr:uid="{00000000-0005-0000-0000-00002A880000}"/>
    <cellStyle name="Normal 6 2 12 4 3 4" xfId="50145" xr:uid="{00000000-0005-0000-0000-00002B880000}"/>
    <cellStyle name="Normal 6 2 12 4 4" xfId="17448" xr:uid="{00000000-0005-0000-0000-00002C880000}"/>
    <cellStyle name="Normal 6 2 12 4 4 2" xfId="31580" xr:uid="{00000000-0005-0000-0000-00002D880000}"/>
    <cellStyle name="Normal 6 2 12 4 4 3" xfId="45475" xr:uid="{00000000-0005-0000-0000-00002E880000}"/>
    <cellStyle name="Normal 6 2 12 4 5" xfId="22261" xr:uid="{00000000-0005-0000-0000-00002F880000}"/>
    <cellStyle name="Normal 6 2 12 4 6" xfId="40893" xr:uid="{00000000-0005-0000-0000-000030880000}"/>
    <cellStyle name="Normal 6 2 12 5" xfId="6938" xr:uid="{00000000-0005-0000-0000-000031880000}"/>
    <cellStyle name="Normal 6 2 12 5 2" xfId="6939" xr:uid="{00000000-0005-0000-0000-000032880000}"/>
    <cellStyle name="Normal 6 2 12 5 2 2" xfId="12720" xr:uid="{00000000-0005-0000-0000-000033880000}"/>
    <cellStyle name="Normal 6 2 12 5 2 2 2" xfId="36205" xr:uid="{00000000-0005-0000-0000-000034880000}"/>
    <cellStyle name="Normal 6 2 12 5 2 2 3" xfId="26886" xr:uid="{00000000-0005-0000-0000-000035880000}"/>
    <cellStyle name="Normal 6 2 12 5 2 2 4" xfId="50148" xr:uid="{00000000-0005-0000-0000-000036880000}"/>
    <cellStyle name="Normal 6 2 12 5 2 3" xfId="17451" xr:uid="{00000000-0005-0000-0000-000037880000}"/>
    <cellStyle name="Normal 6 2 12 5 2 3 2" xfId="31583" xr:uid="{00000000-0005-0000-0000-000038880000}"/>
    <cellStyle name="Normal 6 2 12 5 2 3 3" xfId="45478" xr:uid="{00000000-0005-0000-0000-000039880000}"/>
    <cellStyle name="Normal 6 2 12 5 2 4" xfId="22264" xr:uid="{00000000-0005-0000-0000-00003A880000}"/>
    <cellStyle name="Normal 6 2 12 5 2 5" xfId="40896" xr:uid="{00000000-0005-0000-0000-00003B880000}"/>
    <cellStyle name="Normal 6 2 12 5 3" xfId="12719" xr:uid="{00000000-0005-0000-0000-00003C880000}"/>
    <cellStyle name="Normal 6 2 12 5 3 2" xfId="36204" xr:uid="{00000000-0005-0000-0000-00003D880000}"/>
    <cellStyle name="Normal 6 2 12 5 3 3" xfId="26885" xr:uid="{00000000-0005-0000-0000-00003E880000}"/>
    <cellStyle name="Normal 6 2 12 5 3 4" xfId="50147" xr:uid="{00000000-0005-0000-0000-00003F880000}"/>
    <cellStyle name="Normal 6 2 12 5 4" xfId="17450" xr:uid="{00000000-0005-0000-0000-000040880000}"/>
    <cellStyle name="Normal 6 2 12 5 4 2" xfId="31582" xr:uid="{00000000-0005-0000-0000-000041880000}"/>
    <cellStyle name="Normal 6 2 12 5 4 3" xfId="45477" xr:uid="{00000000-0005-0000-0000-000042880000}"/>
    <cellStyle name="Normal 6 2 12 5 5" xfId="22263" xr:uid="{00000000-0005-0000-0000-000043880000}"/>
    <cellStyle name="Normal 6 2 12 5 6" xfId="40895" xr:uid="{00000000-0005-0000-0000-000044880000}"/>
    <cellStyle name="Normal 6 2 12 6" xfId="6940" xr:uid="{00000000-0005-0000-0000-000045880000}"/>
    <cellStyle name="Normal 6 2 12 6 2" xfId="6941" xr:uid="{00000000-0005-0000-0000-000046880000}"/>
    <cellStyle name="Normal 6 2 12 6 2 2" xfId="12722" xr:uid="{00000000-0005-0000-0000-000047880000}"/>
    <cellStyle name="Normal 6 2 12 6 2 2 2" xfId="36207" xr:uid="{00000000-0005-0000-0000-000048880000}"/>
    <cellStyle name="Normal 6 2 12 6 2 2 3" xfId="26888" xr:uid="{00000000-0005-0000-0000-000049880000}"/>
    <cellStyle name="Normal 6 2 12 6 2 2 4" xfId="50150" xr:uid="{00000000-0005-0000-0000-00004A880000}"/>
    <cellStyle name="Normal 6 2 12 6 2 3" xfId="17453" xr:uid="{00000000-0005-0000-0000-00004B880000}"/>
    <cellStyle name="Normal 6 2 12 6 2 3 2" xfId="31585" xr:uid="{00000000-0005-0000-0000-00004C880000}"/>
    <cellStyle name="Normal 6 2 12 6 2 3 3" xfId="45480" xr:uid="{00000000-0005-0000-0000-00004D880000}"/>
    <cellStyle name="Normal 6 2 12 6 2 4" xfId="22266" xr:uid="{00000000-0005-0000-0000-00004E880000}"/>
    <cellStyle name="Normal 6 2 12 6 2 5" xfId="40898" xr:uid="{00000000-0005-0000-0000-00004F880000}"/>
    <cellStyle name="Normal 6 2 12 6 3" xfId="12721" xr:uid="{00000000-0005-0000-0000-000050880000}"/>
    <cellStyle name="Normal 6 2 12 6 3 2" xfId="36206" xr:uid="{00000000-0005-0000-0000-000051880000}"/>
    <cellStyle name="Normal 6 2 12 6 3 3" xfId="26887" xr:uid="{00000000-0005-0000-0000-000052880000}"/>
    <cellStyle name="Normal 6 2 12 6 3 4" xfId="50149" xr:uid="{00000000-0005-0000-0000-000053880000}"/>
    <cellStyle name="Normal 6 2 12 6 4" xfId="17452" xr:uid="{00000000-0005-0000-0000-000054880000}"/>
    <cellStyle name="Normal 6 2 12 6 4 2" xfId="31584" xr:uid="{00000000-0005-0000-0000-000055880000}"/>
    <cellStyle name="Normal 6 2 12 6 4 3" xfId="45479" xr:uid="{00000000-0005-0000-0000-000056880000}"/>
    <cellStyle name="Normal 6 2 12 6 5" xfId="22265" xr:uid="{00000000-0005-0000-0000-000057880000}"/>
    <cellStyle name="Normal 6 2 12 6 6" xfId="40897" xr:uid="{00000000-0005-0000-0000-000058880000}"/>
    <cellStyle name="Normal 6 2 12 7" xfId="6942" xr:uid="{00000000-0005-0000-0000-000059880000}"/>
    <cellStyle name="Normal 6 2 12 7 2" xfId="12723" xr:uid="{00000000-0005-0000-0000-00005A880000}"/>
    <cellStyle name="Normal 6 2 12 7 2 2" xfId="36208" xr:uid="{00000000-0005-0000-0000-00005B880000}"/>
    <cellStyle name="Normal 6 2 12 7 2 3" xfId="26889" xr:uid="{00000000-0005-0000-0000-00005C880000}"/>
    <cellStyle name="Normal 6 2 12 7 2 4" xfId="50151" xr:uid="{00000000-0005-0000-0000-00005D880000}"/>
    <cellStyle name="Normal 6 2 12 7 3" xfId="17454" xr:uid="{00000000-0005-0000-0000-00005E880000}"/>
    <cellStyle name="Normal 6 2 12 7 3 2" xfId="31586" xr:uid="{00000000-0005-0000-0000-00005F880000}"/>
    <cellStyle name="Normal 6 2 12 7 3 3" xfId="45481" xr:uid="{00000000-0005-0000-0000-000060880000}"/>
    <cellStyle name="Normal 6 2 12 7 4" xfId="22267" xr:uid="{00000000-0005-0000-0000-000061880000}"/>
    <cellStyle name="Normal 6 2 12 7 5" xfId="40899" xr:uid="{00000000-0005-0000-0000-000062880000}"/>
    <cellStyle name="Normal 6 2 12 8" xfId="12712" xr:uid="{00000000-0005-0000-0000-000063880000}"/>
    <cellStyle name="Normal 6 2 12 8 2" xfId="36197" xr:uid="{00000000-0005-0000-0000-000064880000}"/>
    <cellStyle name="Normal 6 2 12 8 3" xfId="26878" xr:uid="{00000000-0005-0000-0000-000065880000}"/>
    <cellStyle name="Normal 6 2 12 8 4" xfId="50140" xr:uid="{00000000-0005-0000-0000-000066880000}"/>
    <cellStyle name="Normal 6 2 12 9" xfId="17443" xr:uid="{00000000-0005-0000-0000-000067880000}"/>
    <cellStyle name="Normal 6 2 12 9 2" xfId="31575" xr:uid="{00000000-0005-0000-0000-000068880000}"/>
    <cellStyle name="Normal 6 2 12 9 3" xfId="45470" xr:uid="{00000000-0005-0000-0000-000069880000}"/>
    <cellStyle name="Normal 6 2 13" xfId="6943" xr:uid="{00000000-0005-0000-0000-00006A880000}"/>
    <cellStyle name="Normal 6 2 13 10" xfId="22268" xr:uid="{00000000-0005-0000-0000-00006B880000}"/>
    <cellStyle name="Normal 6 2 13 11" xfId="40900" xr:uid="{00000000-0005-0000-0000-00006C880000}"/>
    <cellStyle name="Normal 6 2 13 2" xfId="6944" xr:uid="{00000000-0005-0000-0000-00006D880000}"/>
    <cellStyle name="Normal 6 2 13 2 2" xfId="6945" xr:uid="{00000000-0005-0000-0000-00006E880000}"/>
    <cellStyle name="Normal 6 2 13 2 2 2" xfId="12726" xr:uid="{00000000-0005-0000-0000-00006F880000}"/>
    <cellStyle name="Normal 6 2 13 2 2 2 2" xfId="36211" xr:uid="{00000000-0005-0000-0000-000070880000}"/>
    <cellStyle name="Normal 6 2 13 2 2 2 3" xfId="26892" xr:uid="{00000000-0005-0000-0000-000071880000}"/>
    <cellStyle name="Normal 6 2 13 2 2 2 4" xfId="50154" xr:uid="{00000000-0005-0000-0000-000072880000}"/>
    <cellStyle name="Normal 6 2 13 2 2 3" xfId="17457" xr:uid="{00000000-0005-0000-0000-000073880000}"/>
    <cellStyle name="Normal 6 2 13 2 2 3 2" xfId="31589" xr:uid="{00000000-0005-0000-0000-000074880000}"/>
    <cellStyle name="Normal 6 2 13 2 2 3 3" xfId="45484" xr:uid="{00000000-0005-0000-0000-000075880000}"/>
    <cellStyle name="Normal 6 2 13 2 2 4" xfId="22270" xr:uid="{00000000-0005-0000-0000-000076880000}"/>
    <cellStyle name="Normal 6 2 13 2 2 5" xfId="40902" xr:uid="{00000000-0005-0000-0000-000077880000}"/>
    <cellStyle name="Normal 6 2 13 2 3" xfId="12725" xr:uid="{00000000-0005-0000-0000-000078880000}"/>
    <cellStyle name="Normal 6 2 13 2 3 2" xfId="36210" xr:uid="{00000000-0005-0000-0000-000079880000}"/>
    <cellStyle name="Normal 6 2 13 2 3 3" xfId="26891" xr:uid="{00000000-0005-0000-0000-00007A880000}"/>
    <cellStyle name="Normal 6 2 13 2 3 4" xfId="50153" xr:uid="{00000000-0005-0000-0000-00007B880000}"/>
    <cellStyle name="Normal 6 2 13 2 4" xfId="17456" xr:uid="{00000000-0005-0000-0000-00007C880000}"/>
    <cellStyle name="Normal 6 2 13 2 4 2" xfId="31588" xr:uid="{00000000-0005-0000-0000-00007D880000}"/>
    <cellStyle name="Normal 6 2 13 2 4 3" xfId="45483" xr:uid="{00000000-0005-0000-0000-00007E880000}"/>
    <cellStyle name="Normal 6 2 13 2 5" xfId="22269" xr:uid="{00000000-0005-0000-0000-00007F880000}"/>
    <cellStyle name="Normal 6 2 13 2 6" xfId="40901" xr:uid="{00000000-0005-0000-0000-000080880000}"/>
    <cellStyle name="Normal 6 2 13 3" xfId="6946" xr:uid="{00000000-0005-0000-0000-000081880000}"/>
    <cellStyle name="Normal 6 2 13 3 2" xfId="6947" xr:uid="{00000000-0005-0000-0000-000082880000}"/>
    <cellStyle name="Normal 6 2 13 3 2 2" xfId="12728" xr:uid="{00000000-0005-0000-0000-000083880000}"/>
    <cellStyle name="Normal 6 2 13 3 2 2 2" xfId="36213" xr:uid="{00000000-0005-0000-0000-000084880000}"/>
    <cellStyle name="Normal 6 2 13 3 2 2 3" xfId="26894" xr:uid="{00000000-0005-0000-0000-000085880000}"/>
    <cellStyle name="Normal 6 2 13 3 2 2 4" xfId="50156" xr:uid="{00000000-0005-0000-0000-000086880000}"/>
    <cellStyle name="Normal 6 2 13 3 2 3" xfId="17459" xr:uid="{00000000-0005-0000-0000-000087880000}"/>
    <cellStyle name="Normal 6 2 13 3 2 3 2" xfId="31591" xr:uid="{00000000-0005-0000-0000-000088880000}"/>
    <cellStyle name="Normal 6 2 13 3 2 3 3" xfId="45486" xr:uid="{00000000-0005-0000-0000-000089880000}"/>
    <cellStyle name="Normal 6 2 13 3 2 4" xfId="22272" xr:uid="{00000000-0005-0000-0000-00008A880000}"/>
    <cellStyle name="Normal 6 2 13 3 2 5" xfId="40904" xr:uid="{00000000-0005-0000-0000-00008B880000}"/>
    <cellStyle name="Normal 6 2 13 3 3" xfId="12727" xr:uid="{00000000-0005-0000-0000-00008C880000}"/>
    <cellStyle name="Normal 6 2 13 3 3 2" xfId="36212" xr:uid="{00000000-0005-0000-0000-00008D880000}"/>
    <cellStyle name="Normal 6 2 13 3 3 3" xfId="26893" xr:uid="{00000000-0005-0000-0000-00008E880000}"/>
    <cellStyle name="Normal 6 2 13 3 3 4" xfId="50155" xr:uid="{00000000-0005-0000-0000-00008F880000}"/>
    <cellStyle name="Normal 6 2 13 3 4" xfId="17458" xr:uid="{00000000-0005-0000-0000-000090880000}"/>
    <cellStyle name="Normal 6 2 13 3 4 2" xfId="31590" xr:uid="{00000000-0005-0000-0000-000091880000}"/>
    <cellStyle name="Normal 6 2 13 3 4 3" xfId="45485" xr:uid="{00000000-0005-0000-0000-000092880000}"/>
    <cellStyle name="Normal 6 2 13 3 5" xfId="22271" xr:uid="{00000000-0005-0000-0000-000093880000}"/>
    <cellStyle name="Normal 6 2 13 3 6" xfId="40903" xr:uid="{00000000-0005-0000-0000-000094880000}"/>
    <cellStyle name="Normal 6 2 13 4" xfId="6948" xr:uid="{00000000-0005-0000-0000-000095880000}"/>
    <cellStyle name="Normal 6 2 13 4 2" xfId="6949" xr:uid="{00000000-0005-0000-0000-000096880000}"/>
    <cellStyle name="Normal 6 2 13 4 2 2" xfId="12730" xr:uid="{00000000-0005-0000-0000-000097880000}"/>
    <cellStyle name="Normal 6 2 13 4 2 2 2" xfId="36215" xr:uid="{00000000-0005-0000-0000-000098880000}"/>
    <cellStyle name="Normal 6 2 13 4 2 2 3" xfId="26896" xr:uid="{00000000-0005-0000-0000-000099880000}"/>
    <cellStyle name="Normal 6 2 13 4 2 2 4" xfId="50158" xr:uid="{00000000-0005-0000-0000-00009A880000}"/>
    <cellStyle name="Normal 6 2 13 4 2 3" xfId="17461" xr:uid="{00000000-0005-0000-0000-00009B880000}"/>
    <cellStyle name="Normal 6 2 13 4 2 3 2" xfId="31593" xr:uid="{00000000-0005-0000-0000-00009C880000}"/>
    <cellStyle name="Normal 6 2 13 4 2 3 3" xfId="45488" xr:uid="{00000000-0005-0000-0000-00009D880000}"/>
    <cellStyle name="Normal 6 2 13 4 2 4" xfId="22274" xr:uid="{00000000-0005-0000-0000-00009E880000}"/>
    <cellStyle name="Normal 6 2 13 4 2 5" xfId="40906" xr:uid="{00000000-0005-0000-0000-00009F880000}"/>
    <cellStyle name="Normal 6 2 13 4 3" xfId="12729" xr:uid="{00000000-0005-0000-0000-0000A0880000}"/>
    <cellStyle name="Normal 6 2 13 4 3 2" xfId="36214" xr:uid="{00000000-0005-0000-0000-0000A1880000}"/>
    <cellStyle name="Normal 6 2 13 4 3 3" xfId="26895" xr:uid="{00000000-0005-0000-0000-0000A2880000}"/>
    <cellStyle name="Normal 6 2 13 4 3 4" xfId="50157" xr:uid="{00000000-0005-0000-0000-0000A3880000}"/>
    <cellStyle name="Normal 6 2 13 4 4" xfId="17460" xr:uid="{00000000-0005-0000-0000-0000A4880000}"/>
    <cellStyle name="Normal 6 2 13 4 4 2" xfId="31592" xr:uid="{00000000-0005-0000-0000-0000A5880000}"/>
    <cellStyle name="Normal 6 2 13 4 4 3" xfId="45487" xr:uid="{00000000-0005-0000-0000-0000A6880000}"/>
    <cellStyle name="Normal 6 2 13 4 5" xfId="22273" xr:uid="{00000000-0005-0000-0000-0000A7880000}"/>
    <cellStyle name="Normal 6 2 13 4 6" xfId="40905" xr:uid="{00000000-0005-0000-0000-0000A8880000}"/>
    <cellStyle name="Normal 6 2 13 5" xfId="6950" xr:uid="{00000000-0005-0000-0000-0000A9880000}"/>
    <cellStyle name="Normal 6 2 13 5 2" xfId="6951" xr:uid="{00000000-0005-0000-0000-0000AA880000}"/>
    <cellStyle name="Normal 6 2 13 5 2 2" xfId="12732" xr:uid="{00000000-0005-0000-0000-0000AB880000}"/>
    <cellStyle name="Normal 6 2 13 5 2 2 2" xfId="36217" xr:uid="{00000000-0005-0000-0000-0000AC880000}"/>
    <cellStyle name="Normal 6 2 13 5 2 2 3" xfId="26898" xr:uid="{00000000-0005-0000-0000-0000AD880000}"/>
    <cellStyle name="Normal 6 2 13 5 2 2 4" xfId="50160" xr:uid="{00000000-0005-0000-0000-0000AE880000}"/>
    <cellStyle name="Normal 6 2 13 5 2 3" xfId="17463" xr:uid="{00000000-0005-0000-0000-0000AF880000}"/>
    <cellStyle name="Normal 6 2 13 5 2 3 2" xfId="31595" xr:uid="{00000000-0005-0000-0000-0000B0880000}"/>
    <cellStyle name="Normal 6 2 13 5 2 3 3" xfId="45490" xr:uid="{00000000-0005-0000-0000-0000B1880000}"/>
    <cellStyle name="Normal 6 2 13 5 2 4" xfId="22276" xr:uid="{00000000-0005-0000-0000-0000B2880000}"/>
    <cellStyle name="Normal 6 2 13 5 2 5" xfId="40908" xr:uid="{00000000-0005-0000-0000-0000B3880000}"/>
    <cellStyle name="Normal 6 2 13 5 3" xfId="12731" xr:uid="{00000000-0005-0000-0000-0000B4880000}"/>
    <cellStyle name="Normal 6 2 13 5 3 2" xfId="36216" xr:uid="{00000000-0005-0000-0000-0000B5880000}"/>
    <cellStyle name="Normal 6 2 13 5 3 3" xfId="26897" xr:uid="{00000000-0005-0000-0000-0000B6880000}"/>
    <cellStyle name="Normal 6 2 13 5 3 4" xfId="50159" xr:uid="{00000000-0005-0000-0000-0000B7880000}"/>
    <cellStyle name="Normal 6 2 13 5 4" xfId="17462" xr:uid="{00000000-0005-0000-0000-0000B8880000}"/>
    <cellStyle name="Normal 6 2 13 5 4 2" xfId="31594" xr:uid="{00000000-0005-0000-0000-0000B9880000}"/>
    <cellStyle name="Normal 6 2 13 5 4 3" xfId="45489" xr:uid="{00000000-0005-0000-0000-0000BA880000}"/>
    <cellStyle name="Normal 6 2 13 5 5" xfId="22275" xr:uid="{00000000-0005-0000-0000-0000BB880000}"/>
    <cellStyle name="Normal 6 2 13 5 6" xfId="40907" xr:uid="{00000000-0005-0000-0000-0000BC880000}"/>
    <cellStyle name="Normal 6 2 13 6" xfId="6952" xr:uid="{00000000-0005-0000-0000-0000BD880000}"/>
    <cellStyle name="Normal 6 2 13 6 2" xfId="6953" xr:uid="{00000000-0005-0000-0000-0000BE880000}"/>
    <cellStyle name="Normal 6 2 13 6 2 2" xfId="12734" xr:uid="{00000000-0005-0000-0000-0000BF880000}"/>
    <cellStyle name="Normal 6 2 13 6 2 2 2" xfId="36219" xr:uid="{00000000-0005-0000-0000-0000C0880000}"/>
    <cellStyle name="Normal 6 2 13 6 2 2 3" xfId="26900" xr:uid="{00000000-0005-0000-0000-0000C1880000}"/>
    <cellStyle name="Normal 6 2 13 6 2 2 4" xfId="50162" xr:uid="{00000000-0005-0000-0000-0000C2880000}"/>
    <cellStyle name="Normal 6 2 13 6 2 3" xfId="17465" xr:uid="{00000000-0005-0000-0000-0000C3880000}"/>
    <cellStyle name="Normal 6 2 13 6 2 3 2" xfId="31597" xr:uid="{00000000-0005-0000-0000-0000C4880000}"/>
    <cellStyle name="Normal 6 2 13 6 2 3 3" xfId="45492" xr:uid="{00000000-0005-0000-0000-0000C5880000}"/>
    <cellStyle name="Normal 6 2 13 6 2 4" xfId="22278" xr:uid="{00000000-0005-0000-0000-0000C6880000}"/>
    <cellStyle name="Normal 6 2 13 6 2 5" xfId="40910" xr:uid="{00000000-0005-0000-0000-0000C7880000}"/>
    <cellStyle name="Normal 6 2 13 6 3" xfId="12733" xr:uid="{00000000-0005-0000-0000-0000C8880000}"/>
    <cellStyle name="Normal 6 2 13 6 3 2" xfId="36218" xr:uid="{00000000-0005-0000-0000-0000C9880000}"/>
    <cellStyle name="Normal 6 2 13 6 3 3" xfId="26899" xr:uid="{00000000-0005-0000-0000-0000CA880000}"/>
    <cellStyle name="Normal 6 2 13 6 3 4" xfId="50161" xr:uid="{00000000-0005-0000-0000-0000CB880000}"/>
    <cellStyle name="Normal 6 2 13 6 4" xfId="17464" xr:uid="{00000000-0005-0000-0000-0000CC880000}"/>
    <cellStyle name="Normal 6 2 13 6 4 2" xfId="31596" xr:uid="{00000000-0005-0000-0000-0000CD880000}"/>
    <cellStyle name="Normal 6 2 13 6 4 3" xfId="45491" xr:uid="{00000000-0005-0000-0000-0000CE880000}"/>
    <cellStyle name="Normal 6 2 13 6 5" xfId="22277" xr:uid="{00000000-0005-0000-0000-0000CF880000}"/>
    <cellStyle name="Normal 6 2 13 6 6" xfId="40909" xr:uid="{00000000-0005-0000-0000-0000D0880000}"/>
    <cellStyle name="Normal 6 2 13 7" xfId="6954" xr:uid="{00000000-0005-0000-0000-0000D1880000}"/>
    <cellStyle name="Normal 6 2 13 7 2" xfId="12735" xr:uid="{00000000-0005-0000-0000-0000D2880000}"/>
    <cellStyle name="Normal 6 2 13 7 2 2" xfId="36220" xr:uid="{00000000-0005-0000-0000-0000D3880000}"/>
    <cellStyle name="Normal 6 2 13 7 2 3" xfId="26901" xr:uid="{00000000-0005-0000-0000-0000D4880000}"/>
    <cellStyle name="Normal 6 2 13 7 2 4" xfId="50163" xr:uid="{00000000-0005-0000-0000-0000D5880000}"/>
    <cellStyle name="Normal 6 2 13 7 3" xfId="17466" xr:uid="{00000000-0005-0000-0000-0000D6880000}"/>
    <cellStyle name="Normal 6 2 13 7 3 2" xfId="31598" xr:uid="{00000000-0005-0000-0000-0000D7880000}"/>
    <cellStyle name="Normal 6 2 13 7 3 3" xfId="45493" xr:uid="{00000000-0005-0000-0000-0000D8880000}"/>
    <cellStyle name="Normal 6 2 13 7 4" xfId="22279" xr:uid="{00000000-0005-0000-0000-0000D9880000}"/>
    <cellStyle name="Normal 6 2 13 7 5" xfId="40911" xr:uid="{00000000-0005-0000-0000-0000DA880000}"/>
    <cellStyle name="Normal 6 2 13 8" xfId="12724" xr:uid="{00000000-0005-0000-0000-0000DB880000}"/>
    <cellStyle name="Normal 6 2 13 8 2" xfId="36209" xr:uid="{00000000-0005-0000-0000-0000DC880000}"/>
    <cellStyle name="Normal 6 2 13 8 3" xfId="26890" xr:uid="{00000000-0005-0000-0000-0000DD880000}"/>
    <cellStyle name="Normal 6 2 13 8 4" xfId="50152" xr:uid="{00000000-0005-0000-0000-0000DE880000}"/>
    <cellStyle name="Normal 6 2 13 9" xfId="17455" xr:uid="{00000000-0005-0000-0000-0000DF880000}"/>
    <cellStyle name="Normal 6 2 13 9 2" xfId="31587" xr:uid="{00000000-0005-0000-0000-0000E0880000}"/>
    <cellStyle name="Normal 6 2 13 9 3" xfId="45482" xr:uid="{00000000-0005-0000-0000-0000E1880000}"/>
    <cellStyle name="Normal 6 2 14" xfId="6955" xr:uid="{00000000-0005-0000-0000-0000E2880000}"/>
    <cellStyle name="Normal 6 2 14 10" xfId="22280" xr:uid="{00000000-0005-0000-0000-0000E3880000}"/>
    <cellStyle name="Normal 6 2 14 11" xfId="40912" xr:uid="{00000000-0005-0000-0000-0000E4880000}"/>
    <cellStyle name="Normal 6 2 14 2" xfId="6956" xr:uid="{00000000-0005-0000-0000-0000E5880000}"/>
    <cellStyle name="Normal 6 2 14 2 2" xfId="6957" xr:uid="{00000000-0005-0000-0000-0000E6880000}"/>
    <cellStyle name="Normal 6 2 14 2 2 2" xfId="12738" xr:uid="{00000000-0005-0000-0000-0000E7880000}"/>
    <cellStyle name="Normal 6 2 14 2 2 2 2" xfId="36223" xr:uid="{00000000-0005-0000-0000-0000E8880000}"/>
    <cellStyle name="Normal 6 2 14 2 2 2 3" xfId="26904" xr:uid="{00000000-0005-0000-0000-0000E9880000}"/>
    <cellStyle name="Normal 6 2 14 2 2 2 4" xfId="50166" xr:uid="{00000000-0005-0000-0000-0000EA880000}"/>
    <cellStyle name="Normal 6 2 14 2 2 3" xfId="17469" xr:uid="{00000000-0005-0000-0000-0000EB880000}"/>
    <cellStyle name="Normal 6 2 14 2 2 3 2" xfId="31601" xr:uid="{00000000-0005-0000-0000-0000EC880000}"/>
    <cellStyle name="Normal 6 2 14 2 2 3 3" xfId="45496" xr:uid="{00000000-0005-0000-0000-0000ED880000}"/>
    <cellStyle name="Normal 6 2 14 2 2 4" xfId="22282" xr:uid="{00000000-0005-0000-0000-0000EE880000}"/>
    <cellStyle name="Normal 6 2 14 2 2 5" xfId="40914" xr:uid="{00000000-0005-0000-0000-0000EF880000}"/>
    <cellStyle name="Normal 6 2 14 2 3" xfId="12737" xr:uid="{00000000-0005-0000-0000-0000F0880000}"/>
    <cellStyle name="Normal 6 2 14 2 3 2" xfId="36222" xr:uid="{00000000-0005-0000-0000-0000F1880000}"/>
    <cellStyle name="Normal 6 2 14 2 3 3" xfId="26903" xr:uid="{00000000-0005-0000-0000-0000F2880000}"/>
    <cellStyle name="Normal 6 2 14 2 3 4" xfId="50165" xr:uid="{00000000-0005-0000-0000-0000F3880000}"/>
    <cellStyle name="Normal 6 2 14 2 4" xfId="17468" xr:uid="{00000000-0005-0000-0000-0000F4880000}"/>
    <cellStyle name="Normal 6 2 14 2 4 2" xfId="31600" xr:uid="{00000000-0005-0000-0000-0000F5880000}"/>
    <cellStyle name="Normal 6 2 14 2 4 3" xfId="45495" xr:uid="{00000000-0005-0000-0000-0000F6880000}"/>
    <cellStyle name="Normal 6 2 14 2 5" xfId="22281" xr:uid="{00000000-0005-0000-0000-0000F7880000}"/>
    <cellStyle name="Normal 6 2 14 2 6" xfId="40913" xr:uid="{00000000-0005-0000-0000-0000F8880000}"/>
    <cellStyle name="Normal 6 2 14 3" xfId="6958" xr:uid="{00000000-0005-0000-0000-0000F9880000}"/>
    <cellStyle name="Normal 6 2 14 3 2" xfId="6959" xr:uid="{00000000-0005-0000-0000-0000FA880000}"/>
    <cellStyle name="Normal 6 2 14 3 2 2" xfId="12740" xr:uid="{00000000-0005-0000-0000-0000FB880000}"/>
    <cellStyle name="Normal 6 2 14 3 2 2 2" xfId="36225" xr:uid="{00000000-0005-0000-0000-0000FC880000}"/>
    <cellStyle name="Normal 6 2 14 3 2 2 3" xfId="26906" xr:uid="{00000000-0005-0000-0000-0000FD880000}"/>
    <cellStyle name="Normal 6 2 14 3 2 2 4" xfId="50168" xr:uid="{00000000-0005-0000-0000-0000FE880000}"/>
    <cellStyle name="Normal 6 2 14 3 2 3" xfId="17471" xr:uid="{00000000-0005-0000-0000-0000FF880000}"/>
    <cellStyle name="Normal 6 2 14 3 2 3 2" xfId="31603" xr:uid="{00000000-0005-0000-0000-000000890000}"/>
    <cellStyle name="Normal 6 2 14 3 2 3 3" xfId="45498" xr:uid="{00000000-0005-0000-0000-000001890000}"/>
    <cellStyle name="Normal 6 2 14 3 2 4" xfId="22284" xr:uid="{00000000-0005-0000-0000-000002890000}"/>
    <cellStyle name="Normal 6 2 14 3 2 5" xfId="40916" xr:uid="{00000000-0005-0000-0000-000003890000}"/>
    <cellStyle name="Normal 6 2 14 3 3" xfId="12739" xr:uid="{00000000-0005-0000-0000-000004890000}"/>
    <cellStyle name="Normal 6 2 14 3 3 2" xfId="36224" xr:uid="{00000000-0005-0000-0000-000005890000}"/>
    <cellStyle name="Normal 6 2 14 3 3 3" xfId="26905" xr:uid="{00000000-0005-0000-0000-000006890000}"/>
    <cellStyle name="Normal 6 2 14 3 3 4" xfId="50167" xr:uid="{00000000-0005-0000-0000-000007890000}"/>
    <cellStyle name="Normal 6 2 14 3 4" xfId="17470" xr:uid="{00000000-0005-0000-0000-000008890000}"/>
    <cellStyle name="Normal 6 2 14 3 4 2" xfId="31602" xr:uid="{00000000-0005-0000-0000-000009890000}"/>
    <cellStyle name="Normal 6 2 14 3 4 3" xfId="45497" xr:uid="{00000000-0005-0000-0000-00000A890000}"/>
    <cellStyle name="Normal 6 2 14 3 5" xfId="22283" xr:uid="{00000000-0005-0000-0000-00000B890000}"/>
    <cellStyle name="Normal 6 2 14 3 6" xfId="40915" xr:uid="{00000000-0005-0000-0000-00000C890000}"/>
    <cellStyle name="Normal 6 2 14 4" xfId="6960" xr:uid="{00000000-0005-0000-0000-00000D890000}"/>
    <cellStyle name="Normal 6 2 14 4 2" xfId="6961" xr:uid="{00000000-0005-0000-0000-00000E890000}"/>
    <cellStyle name="Normal 6 2 14 4 2 2" xfId="12742" xr:uid="{00000000-0005-0000-0000-00000F890000}"/>
    <cellStyle name="Normal 6 2 14 4 2 2 2" xfId="36227" xr:uid="{00000000-0005-0000-0000-000010890000}"/>
    <cellStyle name="Normal 6 2 14 4 2 2 3" xfId="26908" xr:uid="{00000000-0005-0000-0000-000011890000}"/>
    <cellStyle name="Normal 6 2 14 4 2 2 4" xfId="50170" xr:uid="{00000000-0005-0000-0000-000012890000}"/>
    <cellStyle name="Normal 6 2 14 4 2 3" xfId="17473" xr:uid="{00000000-0005-0000-0000-000013890000}"/>
    <cellStyle name="Normal 6 2 14 4 2 3 2" xfId="31605" xr:uid="{00000000-0005-0000-0000-000014890000}"/>
    <cellStyle name="Normal 6 2 14 4 2 3 3" xfId="45500" xr:uid="{00000000-0005-0000-0000-000015890000}"/>
    <cellStyle name="Normal 6 2 14 4 2 4" xfId="22286" xr:uid="{00000000-0005-0000-0000-000016890000}"/>
    <cellStyle name="Normal 6 2 14 4 2 5" xfId="40918" xr:uid="{00000000-0005-0000-0000-000017890000}"/>
    <cellStyle name="Normal 6 2 14 4 3" xfId="12741" xr:uid="{00000000-0005-0000-0000-000018890000}"/>
    <cellStyle name="Normal 6 2 14 4 3 2" xfId="36226" xr:uid="{00000000-0005-0000-0000-000019890000}"/>
    <cellStyle name="Normal 6 2 14 4 3 3" xfId="26907" xr:uid="{00000000-0005-0000-0000-00001A890000}"/>
    <cellStyle name="Normal 6 2 14 4 3 4" xfId="50169" xr:uid="{00000000-0005-0000-0000-00001B890000}"/>
    <cellStyle name="Normal 6 2 14 4 4" xfId="17472" xr:uid="{00000000-0005-0000-0000-00001C890000}"/>
    <cellStyle name="Normal 6 2 14 4 4 2" xfId="31604" xr:uid="{00000000-0005-0000-0000-00001D890000}"/>
    <cellStyle name="Normal 6 2 14 4 4 3" xfId="45499" xr:uid="{00000000-0005-0000-0000-00001E890000}"/>
    <cellStyle name="Normal 6 2 14 4 5" xfId="22285" xr:uid="{00000000-0005-0000-0000-00001F890000}"/>
    <cellStyle name="Normal 6 2 14 4 6" xfId="40917" xr:uid="{00000000-0005-0000-0000-000020890000}"/>
    <cellStyle name="Normal 6 2 14 5" xfId="6962" xr:uid="{00000000-0005-0000-0000-000021890000}"/>
    <cellStyle name="Normal 6 2 14 5 2" xfId="6963" xr:uid="{00000000-0005-0000-0000-000022890000}"/>
    <cellStyle name="Normal 6 2 14 5 2 2" xfId="12744" xr:uid="{00000000-0005-0000-0000-000023890000}"/>
    <cellStyle name="Normal 6 2 14 5 2 2 2" xfId="36229" xr:uid="{00000000-0005-0000-0000-000024890000}"/>
    <cellStyle name="Normal 6 2 14 5 2 2 3" xfId="26910" xr:uid="{00000000-0005-0000-0000-000025890000}"/>
    <cellStyle name="Normal 6 2 14 5 2 2 4" xfId="50172" xr:uid="{00000000-0005-0000-0000-000026890000}"/>
    <cellStyle name="Normal 6 2 14 5 2 3" xfId="17475" xr:uid="{00000000-0005-0000-0000-000027890000}"/>
    <cellStyle name="Normal 6 2 14 5 2 3 2" xfId="31607" xr:uid="{00000000-0005-0000-0000-000028890000}"/>
    <cellStyle name="Normal 6 2 14 5 2 3 3" xfId="45502" xr:uid="{00000000-0005-0000-0000-000029890000}"/>
    <cellStyle name="Normal 6 2 14 5 2 4" xfId="22288" xr:uid="{00000000-0005-0000-0000-00002A890000}"/>
    <cellStyle name="Normal 6 2 14 5 2 5" xfId="40920" xr:uid="{00000000-0005-0000-0000-00002B890000}"/>
    <cellStyle name="Normal 6 2 14 5 3" xfId="12743" xr:uid="{00000000-0005-0000-0000-00002C890000}"/>
    <cellStyle name="Normal 6 2 14 5 3 2" xfId="36228" xr:uid="{00000000-0005-0000-0000-00002D890000}"/>
    <cellStyle name="Normal 6 2 14 5 3 3" xfId="26909" xr:uid="{00000000-0005-0000-0000-00002E890000}"/>
    <cellStyle name="Normal 6 2 14 5 3 4" xfId="50171" xr:uid="{00000000-0005-0000-0000-00002F890000}"/>
    <cellStyle name="Normal 6 2 14 5 4" xfId="17474" xr:uid="{00000000-0005-0000-0000-000030890000}"/>
    <cellStyle name="Normal 6 2 14 5 4 2" xfId="31606" xr:uid="{00000000-0005-0000-0000-000031890000}"/>
    <cellStyle name="Normal 6 2 14 5 4 3" xfId="45501" xr:uid="{00000000-0005-0000-0000-000032890000}"/>
    <cellStyle name="Normal 6 2 14 5 5" xfId="22287" xr:uid="{00000000-0005-0000-0000-000033890000}"/>
    <cellStyle name="Normal 6 2 14 5 6" xfId="40919" xr:uid="{00000000-0005-0000-0000-000034890000}"/>
    <cellStyle name="Normal 6 2 14 6" xfId="6964" xr:uid="{00000000-0005-0000-0000-000035890000}"/>
    <cellStyle name="Normal 6 2 14 6 2" xfId="6965" xr:uid="{00000000-0005-0000-0000-000036890000}"/>
    <cellStyle name="Normal 6 2 14 6 2 2" xfId="12746" xr:uid="{00000000-0005-0000-0000-000037890000}"/>
    <cellStyle name="Normal 6 2 14 6 2 2 2" xfId="36231" xr:uid="{00000000-0005-0000-0000-000038890000}"/>
    <cellStyle name="Normal 6 2 14 6 2 2 3" xfId="26912" xr:uid="{00000000-0005-0000-0000-000039890000}"/>
    <cellStyle name="Normal 6 2 14 6 2 2 4" xfId="50174" xr:uid="{00000000-0005-0000-0000-00003A890000}"/>
    <cellStyle name="Normal 6 2 14 6 2 3" xfId="17477" xr:uid="{00000000-0005-0000-0000-00003B890000}"/>
    <cellStyle name="Normal 6 2 14 6 2 3 2" xfId="31609" xr:uid="{00000000-0005-0000-0000-00003C890000}"/>
    <cellStyle name="Normal 6 2 14 6 2 3 3" xfId="45504" xr:uid="{00000000-0005-0000-0000-00003D890000}"/>
    <cellStyle name="Normal 6 2 14 6 2 4" xfId="22290" xr:uid="{00000000-0005-0000-0000-00003E890000}"/>
    <cellStyle name="Normal 6 2 14 6 2 5" xfId="40922" xr:uid="{00000000-0005-0000-0000-00003F890000}"/>
    <cellStyle name="Normal 6 2 14 6 3" xfId="12745" xr:uid="{00000000-0005-0000-0000-000040890000}"/>
    <cellStyle name="Normal 6 2 14 6 3 2" xfId="36230" xr:uid="{00000000-0005-0000-0000-000041890000}"/>
    <cellStyle name="Normal 6 2 14 6 3 3" xfId="26911" xr:uid="{00000000-0005-0000-0000-000042890000}"/>
    <cellStyle name="Normal 6 2 14 6 3 4" xfId="50173" xr:uid="{00000000-0005-0000-0000-000043890000}"/>
    <cellStyle name="Normal 6 2 14 6 4" xfId="17476" xr:uid="{00000000-0005-0000-0000-000044890000}"/>
    <cellStyle name="Normal 6 2 14 6 4 2" xfId="31608" xr:uid="{00000000-0005-0000-0000-000045890000}"/>
    <cellStyle name="Normal 6 2 14 6 4 3" xfId="45503" xr:uid="{00000000-0005-0000-0000-000046890000}"/>
    <cellStyle name="Normal 6 2 14 6 5" xfId="22289" xr:uid="{00000000-0005-0000-0000-000047890000}"/>
    <cellStyle name="Normal 6 2 14 6 6" xfId="40921" xr:uid="{00000000-0005-0000-0000-000048890000}"/>
    <cellStyle name="Normal 6 2 14 7" xfId="6966" xr:uid="{00000000-0005-0000-0000-000049890000}"/>
    <cellStyle name="Normal 6 2 14 7 2" xfId="12747" xr:uid="{00000000-0005-0000-0000-00004A890000}"/>
    <cellStyle name="Normal 6 2 14 7 2 2" xfId="36232" xr:uid="{00000000-0005-0000-0000-00004B890000}"/>
    <cellStyle name="Normal 6 2 14 7 2 3" xfId="26913" xr:uid="{00000000-0005-0000-0000-00004C890000}"/>
    <cellStyle name="Normal 6 2 14 7 2 4" xfId="50175" xr:uid="{00000000-0005-0000-0000-00004D890000}"/>
    <cellStyle name="Normal 6 2 14 7 3" xfId="17478" xr:uid="{00000000-0005-0000-0000-00004E890000}"/>
    <cellStyle name="Normal 6 2 14 7 3 2" xfId="31610" xr:uid="{00000000-0005-0000-0000-00004F890000}"/>
    <cellStyle name="Normal 6 2 14 7 3 3" xfId="45505" xr:uid="{00000000-0005-0000-0000-000050890000}"/>
    <cellStyle name="Normal 6 2 14 7 4" xfId="22291" xr:uid="{00000000-0005-0000-0000-000051890000}"/>
    <cellStyle name="Normal 6 2 14 7 5" xfId="40923" xr:uid="{00000000-0005-0000-0000-000052890000}"/>
    <cellStyle name="Normal 6 2 14 8" xfId="12736" xr:uid="{00000000-0005-0000-0000-000053890000}"/>
    <cellStyle name="Normal 6 2 14 8 2" xfId="36221" xr:uid="{00000000-0005-0000-0000-000054890000}"/>
    <cellStyle name="Normal 6 2 14 8 3" xfId="26902" xr:uid="{00000000-0005-0000-0000-000055890000}"/>
    <cellStyle name="Normal 6 2 14 8 4" xfId="50164" xr:uid="{00000000-0005-0000-0000-000056890000}"/>
    <cellStyle name="Normal 6 2 14 9" xfId="17467" xr:uid="{00000000-0005-0000-0000-000057890000}"/>
    <cellStyle name="Normal 6 2 14 9 2" xfId="31599" xr:uid="{00000000-0005-0000-0000-000058890000}"/>
    <cellStyle name="Normal 6 2 14 9 3" xfId="45494" xr:uid="{00000000-0005-0000-0000-000059890000}"/>
    <cellStyle name="Normal 6 2 15" xfId="6967" xr:uid="{00000000-0005-0000-0000-00005A890000}"/>
    <cellStyle name="Normal 6 2 15 10" xfId="22292" xr:uid="{00000000-0005-0000-0000-00005B890000}"/>
    <cellStyle name="Normal 6 2 15 11" xfId="40924" xr:uid="{00000000-0005-0000-0000-00005C890000}"/>
    <cellStyle name="Normal 6 2 15 2" xfId="6968" xr:uid="{00000000-0005-0000-0000-00005D890000}"/>
    <cellStyle name="Normal 6 2 15 2 2" xfId="6969" xr:uid="{00000000-0005-0000-0000-00005E890000}"/>
    <cellStyle name="Normal 6 2 15 2 2 2" xfId="12750" xr:uid="{00000000-0005-0000-0000-00005F890000}"/>
    <cellStyle name="Normal 6 2 15 2 2 2 2" xfId="36235" xr:uid="{00000000-0005-0000-0000-000060890000}"/>
    <cellStyle name="Normal 6 2 15 2 2 2 3" xfId="26916" xr:uid="{00000000-0005-0000-0000-000061890000}"/>
    <cellStyle name="Normal 6 2 15 2 2 2 4" xfId="50178" xr:uid="{00000000-0005-0000-0000-000062890000}"/>
    <cellStyle name="Normal 6 2 15 2 2 3" xfId="17481" xr:uid="{00000000-0005-0000-0000-000063890000}"/>
    <cellStyle name="Normal 6 2 15 2 2 3 2" xfId="31613" xr:uid="{00000000-0005-0000-0000-000064890000}"/>
    <cellStyle name="Normal 6 2 15 2 2 3 3" xfId="45508" xr:uid="{00000000-0005-0000-0000-000065890000}"/>
    <cellStyle name="Normal 6 2 15 2 2 4" xfId="22294" xr:uid="{00000000-0005-0000-0000-000066890000}"/>
    <cellStyle name="Normal 6 2 15 2 2 5" xfId="40926" xr:uid="{00000000-0005-0000-0000-000067890000}"/>
    <cellStyle name="Normal 6 2 15 2 3" xfId="12749" xr:uid="{00000000-0005-0000-0000-000068890000}"/>
    <cellStyle name="Normal 6 2 15 2 3 2" xfId="36234" xr:uid="{00000000-0005-0000-0000-000069890000}"/>
    <cellStyle name="Normal 6 2 15 2 3 3" xfId="26915" xr:uid="{00000000-0005-0000-0000-00006A890000}"/>
    <cellStyle name="Normal 6 2 15 2 3 4" xfId="50177" xr:uid="{00000000-0005-0000-0000-00006B890000}"/>
    <cellStyle name="Normal 6 2 15 2 4" xfId="17480" xr:uid="{00000000-0005-0000-0000-00006C890000}"/>
    <cellStyle name="Normal 6 2 15 2 4 2" xfId="31612" xr:uid="{00000000-0005-0000-0000-00006D890000}"/>
    <cellStyle name="Normal 6 2 15 2 4 3" xfId="45507" xr:uid="{00000000-0005-0000-0000-00006E890000}"/>
    <cellStyle name="Normal 6 2 15 2 5" xfId="22293" xr:uid="{00000000-0005-0000-0000-00006F890000}"/>
    <cellStyle name="Normal 6 2 15 2 6" xfId="40925" xr:uid="{00000000-0005-0000-0000-000070890000}"/>
    <cellStyle name="Normal 6 2 15 3" xfId="6970" xr:uid="{00000000-0005-0000-0000-000071890000}"/>
    <cellStyle name="Normal 6 2 15 3 2" xfId="6971" xr:uid="{00000000-0005-0000-0000-000072890000}"/>
    <cellStyle name="Normal 6 2 15 3 2 2" xfId="12752" xr:uid="{00000000-0005-0000-0000-000073890000}"/>
    <cellStyle name="Normal 6 2 15 3 2 2 2" xfId="36237" xr:uid="{00000000-0005-0000-0000-000074890000}"/>
    <cellStyle name="Normal 6 2 15 3 2 2 3" xfId="26918" xr:uid="{00000000-0005-0000-0000-000075890000}"/>
    <cellStyle name="Normal 6 2 15 3 2 2 4" xfId="50180" xr:uid="{00000000-0005-0000-0000-000076890000}"/>
    <cellStyle name="Normal 6 2 15 3 2 3" xfId="17483" xr:uid="{00000000-0005-0000-0000-000077890000}"/>
    <cellStyle name="Normal 6 2 15 3 2 3 2" xfId="31615" xr:uid="{00000000-0005-0000-0000-000078890000}"/>
    <cellStyle name="Normal 6 2 15 3 2 3 3" xfId="45510" xr:uid="{00000000-0005-0000-0000-000079890000}"/>
    <cellStyle name="Normal 6 2 15 3 2 4" xfId="22296" xr:uid="{00000000-0005-0000-0000-00007A890000}"/>
    <cellStyle name="Normal 6 2 15 3 2 5" xfId="40928" xr:uid="{00000000-0005-0000-0000-00007B890000}"/>
    <cellStyle name="Normal 6 2 15 3 3" xfId="12751" xr:uid="{00000000-0005-0000-0000-00007C890000}"/>
    <cellStyle name="Normal 6 2 15 3 3 2" xfId="36236" xr:uid="{00000000-0005-0000-0000-00007D890000}"/>
    <cellStyle name="Normal 6 2 15 3 3 3" xfId="26917" xr:uid="{00000000-0005-0000-0000-00007E890000}"/>
    <cellStyle name="Normal 6 2 15 3 3 4" xfId="50179" xr:uid="{00000000-0005-0000-0000-00007F890000}"/>
    <cellStyle name="Normal 6 2 15 3 4" xfId="17482" xr:uid="{00000000-0005-0000-0000-000080890000}"/>
    <cellStyle name="Normal 6 2 15 3 4 2" xfId="31614" xr:uid="{00000000-0005-0000-0000-000081890000}"/>
    <cellStyle name="Normal 6 2 15 3 4 3" xfId="45509" xr:uid="{00000000-0005-0000-0000-000082890000}"/>
    <cellStyle name="Normal 6 2 15 3 5" xfId="22295" xr:uid="{00000000-0005-0000-0000-000083890000}"/>
    <cellStyle name="Normal 6 2 15 3 6" xfId="40927" xr:uid="{00000000-0005-0000-0000-000084890000}"/>
    <cellStyle name="Normal 6 2 15 4" xfId="6972" xr:uid="{00000000-0005-0000-0000-000085890000}"/>
    <cellStyle name="Normal 6 2 15 4 2" xfId="6973" xr:uid="{00000000-0005-0000-0000-000086890000}"/>
    <cellStyle name="Normal 6 2 15 4 2 2" xfId="12754" xr:uid="{00000000-0005-0000-0000-000087890000}"/>
    <cellStyle name="Normal 6 2 15 4 2 2 2" xfId="36239" xr:uid="{00000000-0005-0000-0000-000088890000}"/>
    <cellStyle name="Normal 6 2 15 4 2 2 3" xfId="26920" xr:uid="{00000000-0005-0000-0000-000089890000}"/>
    <cellStyle name="Normal 6 2 15 4 2 2 4" xfId="50182" xr:uid="{00000000-0005-0000-0000-00008A890000}"/>
    <cellStyle name="Normal 6 2 15 4 2 3" xfId="17485" xr:uid="{00000000-0005-0000-0000-00008B890000}"/>
    <cellStyle name="Normal 6 2 15 4 2 3 2" xfId="31617" xr:uid="{00000000-0005-0000-0000-00008C890000}"/>
    <cellStyle name="Normal 6 2 15 4 2 3 3" xfId="45512" xr:uid="{00000000-0005-0000-0000-00008D890000}"/>
    <cellStyle name="Normal 6 2 15 4 2 4" xfId="22298" xr:uid="{00000000-0005-0000-0000-00008E890000}"/>
    <cellStyle name="Normal 6 2 15 4 2 5" xfId="40930" xr:uid="{00000000-0005-0000-0000-00008F890000}"/>
    <cellStyle name="Normal 6 2 15 4 3" xfId="12753" xr:uid="{00000000-0005-0000-0000-000090890000}"/>
    <cellStyle name="Normal 6 2 15 4 3 2" xfId="36238" xr:uid="{00000000-0005-0000-0000-000091890000}"/>
    <cellStyle name="Normal 6 2 15 4 3 3" xfId="26919" xr:uid="{00000000-0005-0000-0000-000092890000}"/>
    <cellStyle name="Normal 6 2 15 4 3 4" xfId="50181" xr:uid="{00000000-0005-0000-0000-000093890000}"/>
    <cellStyle name="Normal 6 2 15 4 4" xfId="17484" xr:uid="{00000000-0005-0000-0000-000094890000}"/>
    <cellStyle name="Normal 6 2 15 4 4 2" xfId="31616" xr:uid="{00000000-0005-0000-0000-000095890000}"/>
    <cellStyle name="Normal 6 2 15 4 4 3" xfId="45511" xr:uid="{00000000-0005-0000-0000-000096890000}"/>
    <cellStyle name="Normal 6 2 15 4 5" xfId="22297" xr:uid="{00000000-0005-0000-0000-000097890000}"/>
    <cellStyle name="Normal 6 2 15 4 6" xfId="40929" xr:uid="{00000000-0005-0000-0000-000098890000}"/>
    <cellStyle name="Normal 6 2 15 5" xfId="6974" xr:uid="{00000000-0005-0000-0000-000099890000}"/>
    <cellStyle name="Normal 6 2 15 5 2" xfId="6975" xr:uid="{00000000-0005-0000-0000-00009A890000}"/>
    <cellStyle name="Normal 6 2 15 5 2 2" xfId="12756" xr:uid="{00000000-0005-0000-0000-00009B890000}"/>
    <cellStyle name="Normal 6 2 15 5 2 2 2" xfId="36241" xr:uid="{00000000-0005-0000-0000-00009C890000}"/>
    <cellStyle name="Normal 6 2 15 5 2 2 3" xfId="26922" xr:uid="{00000000-0005-0000-0000-00009D890000}"/>
    <cellStyle name="Normal 6 2 15 5 2 2 4" xfId="50184" xr:uid="{00000000-0005-0000-0000-00009E890000}"/>
    <cellStyle name="Normal 6 2 15 5 2 3" xfId="17487" xr:uid="{00000000-0005-0000-0000-00009F890000}"/>
    <cellStyle name="Normal 6 2 15 5 2 3 2" xfId="31619" xr:uid="{00000000-0005-0000-0000-0000A0890000}"/>
    <cellStyle name="Normal 6 2 15 5 2 3 3" xfId="45514" xr:uid="{00000000-0005-0000-0000-0000A1890000}"/>
    <cellStyle name="Normal 6 2 15 5 2 4" xfId="22300" xr:uid="{00000000-0005-0000-0000-0000A2890000}"/>
    <cellStyle name="Normal 6 2 15 5 2 5" xfId="40932" xr:uid="{00000000-0005-0000-0000-0000A3890000}"/>
    <cellStyle name="Normal 6 2 15 5 3" xfId="12755" xr:uid="{00000000-0005-0000-0000-0000A4890000}"/>
    <cellStyle name="Normal 6 2 15 5 3 2" xfId="36240" xr:uid="{00000000-0005-0000-0000-0000A5890000}"/>
    <cellStyle name="Normal 6 2 15 5 3 3" xfId="26921" xr:uid="{00000000-0005-0000-0000-0000A6890000}"/>
    <cellStyle name="Normal 6 2 15 5 3 4" xfId="50183" xr:uid="{00000000-0005-0000-0000-0000A7890000}"/>
    <cellStyle name="Normal 6 2 15 5 4" xfId="17486" xr:uid="{00000000-0005-0000-0000-0000A8890000}"/>
    <cellStyle name="Normal 6 2 15 5 4 2" xfId="31618" xr:uid="{00000000-0005-0000-0000-0000A9890000}"/>
    <cellStyle name="Normal 6 2 15 5 4 3" xfId="45513" xr:uid="{00000000-0005-0000-0000-0000AA890000}"/>
    <cellStyle name="Normal 6 2 15 5 5" xfId="22299" xr:uid="{00000000-0005-0000-0000-0000AB890000}"/>
    <cellStyle name="Normal 6 2 15 5 6" xfId="40931" xr:uid="{00000000-0005-0000-0000-0000AC890000}"/>
    <cellStyle name="Normal 6 2 15 6" xfId="6976" xr:uid="{00000000-0005-0000-0000-0000AD890000}"/>
    <cellStyle name="Normal 6 2 15 6 2" xfId="6977" xr:uid="{00000000-0005-0000-0000-0000AE890000}"/>
    <cellStyle name="Normal 6 2 15 6 2 2" xfId="12758" xr:uid="{00000000-0005-0000-0000-0000AF890000}"/>
    <cellStyle name="Normal 6 2 15 6 2 2 2" xfId="36243" xr:uid="{00000000-0005-0000-0000-0000B0890000}"/>
    <cellStyle name="Normal 6 2 15 6 2 2 3" xfId="26924" xr:uid="{00000000-0005-0000-0000-0000B1890000}"/>
    <cellStyle name="Normal 6 2 15 6 2 2 4" xfId="50186" xr:uid="{00000000-0005-0000-0000-0000B2890000}"/>
    <cellStyle name="Normal 6 2 15 6 2 3" xfId="17489" xr:uid="{00000000-0005-0000-0000-0000B3890000}"/>
    <cellStyle name="Normal 6 2 15 6 2 3 2" xfId="31621" xr:uid="{00000000-0005-0000-0000-0000B4890000}"/>
    <cellStyle name="Normal 6 2 15 6 2 3 3" xfId="45516" xr:uid="{00000000-0005-0000-0000-0000B5890000}"/>
    <cellStyle name="Normal 6 2 15 6 2 4" xfId="22302" xr:uid="{00000000-0005-0000-0000-0000B6890000}"/>
    <cellStyle name="Normal 6 2 15 6 2 5" xfId="40934" xr:uid="{00000000-0005-0000-0000-0000B7890000}"/>
    <cellStyle name="Normal 6 2 15 6 3" xfId="12757" xr:uid="{00000000-0005-0000-0000-0000B8890000}"/>
    <cellStyle name="Normal 6 2 15 6 3 2" xfId="36242" xr:uid="{00000000-0005-0000-0000-0000B9890000}"/>
    <cellStyle name="Normal 6 2 15 6 3 3" xfId="26923" xr:uid="{00000000-0005-0000-0000-0000BA890000}"/>
    <cellStyle name="Normal 6 2 15 6 3 4" xfId="50185" xr:uid="{00000000-0005-0000-0000-0000BB890000}"/>
    <cellStyle name="Normal 6 2 15 6 4" xfId="17488" xr:uid="{00000000-0005-0000-0000-0000BC890000}"/>
    <cellStyle name="Normal 6 2 15 6 4 2" xfId="31620" xr:uid="{00000000-0005-0000-0000-0000BD890000}"/>
    <cellStyle name="Normal 6 2 15 6 4 3" xfId="45515" xr:uid="{00000000-0005-0000-0000-0000BE890000}"/>
    <cellStyle name="Normal 6 2 15 6 5" xfId="22301" xr:uid="{00000000-0005-0000-0000-0000BF890000}"/>
    <cellStyle name="Normal 6 2 15 6 6" xfId="40933" xr:uid="{00000000-0005-0000-0000-0000C0890000}"/>
    <cellStyle name="Normal 6 2 15 7" xfId="6978" xr:uid="{00000000-0005-0000-0000-0000C1890000}"/>
    <cellStyle name="Normal 6 2 15 7 2" xfId="12759" xr:uid="{00000000-0005-0000-0000-0000C2890000}"/>
    <cellStyle name="Normal 6 2 15 7 2 2" xfId="36244" xr:uid="{00000000-0005-0000-0000-0000C3890000}"/>
    <cellStyle name="Normal 6 2 15 7 2 3" xfId="26925" xr:uid="{00000000-0005-0000-0000-0000C4890000}"/>
    <cellStyle name="Normal 6 2 15 7 2 4" xfId="50187" xr:uid="{00000000-0005-0000-0000-0000C5890000}"/>
    <cellStyle name="Normal 6 2 15 7 3" xfId="17490" xr:uid="{00000000-0005-0000-0000-0000C6890000}"/>
    <cellStyle name="Normal 6 2 15 7 3 2" xfId="31622" xr:uid="{00000000-0005-0000-0000-0000C7890000}"/>
    <cellStyle name="Normal 6 2 15 7 3 3" xfId="45517" xr:uid="{00000000-0005-0000-0000-0000C8890000}"/>
    <cellStyle name="Normal 6 2 15 7 4" xfId="22303" xr:uid="{00000000-0005-0000-0000-0000C9890000}"/>
    <cellStyle name="Normal 6 2 15 7 5" xfId="40935" xr:uid="{00000000-0005-0000-0000-0000CA890000}"/>
    <cellStyle name="Normal 6 2 15 8" xfId="12748" xr:uid="{00000000-0005-0000-0000-0000CB890000}"/>
    <cellStyle name="Normal 6 2 15 8 2" xfId="36233" xr:uid="{00000000-0005-0000-0000-0000CC890000}"/>
    <cellStyle name="Normal 6 2 15 8 3" xfId="26914" xr:uid="{00000000-0005-0000-0000-0000CD890000}"/>
    <cellStyle name="Normal 6 2 15 8 4" xfId="50176" xr:uid="{00000000-0005-0000-0000-0000CE890000}"/>
    <cellStyle name="Normal 6 2 15 9" xfId="17479" xr:uid="{00000000-0005-0000-0000-0000CF890000}"/>
    <cellStyle name="Normal 6 2 15 9 2" xfId="31611" xr:uid="{00000000-0005-0000-0000-0000D0890000}"/>
    <cellStyle name="Normal 6 2 15 9 3" xfId="45506" xr:uid="{00000000-0005-0000-0000-0000D1890000}"/>
    <cellStyle name="Normal 6 2 16" xfId="6979" xr:uid="{00000000-0005-0000-0000-0000D2890000}"/>
    <cellStyle name="Normal 6 2 16 10" xfId="22304" xr:uid="{00000000-0005-0000-0000-0000D3890000}"/>
    <cellStyle name="Normal 6 2 16 11" xfId="40936" xr:uid="{00000000-0005-0000-0000-0000D4890000}"/>
    <cellStyle name="Normal 6 2 16 2" xfId="6980" xr:uid="{00000000-0005-0000-0000-0000D5890000}"/>
    <cellStyle name="Normal 6 2 16 2 2" xfId="6981" xr:uid="{00000000-0005-0000-0000-0000D6890000}"/>
    <cellStyle name="Normal 6 2 16 2 2 2" xfId="12762" xr:uid="{00000000-0005-0000-0000-0000D7890000}"/>
    <cellStyle name="Normal 6 2 16 2 2 2 2" xfId="36247" xr:uid="{00000000-0005-0000-0000-0000D8890000}"/>
    <cellStyle name="Normal 6 2 16 2 2 2 3" xfId="26928" xr:uid="{00000000-0005-0000-0000-0000D9890000}"/>
    <cellStyle name="Normal 6 2 16 2 2 2 4" xfId="50190" xr:uid="{00000000-0005-0000-0000-0000DA890000}"/>
    <cellStyle name="Normal 6 2 16 2 2 3" xfId="17493" xr:uid="{00000000-0005-0000-0000-0000DB890000}"/>
    <cellStyle name="Normal 6 2 16 2 2 3 2" xfId="31625" xr:uid="{00000000-0005-0000-0000-0000DC890000}"/>
    <cellStyle name="Normal 6 2 16 2 2 3 3" xfId="45520" xr:uid="{00000000-0005-0000-0000-0000DD890000}"/>
    <cellStyle name="Normal 6 2 16 2 2 4" xfId="22306" xr:uid="{00000000-0005-0000-0000-0000DE890000}"/>
    <cellStyle name="Normal 6 2 16 2 2 5" xfId="40938" xr:uid="{00000000-0005-0000-0000-0000DF890000}"/>
    <cellStyle name="Normal 6 2 16 2 3" xfId="12761" xr:uid="{00000000-0005-0000-0000-0000E0890000}"/>
    <cellStyle name="Normal 6 2 16 2 3 2" xfId="36246" xr:uid="{00000000-0005-0000-0000-0000E1890000}"/>
    <cellStyle name="Normal 6 2 16 2 3 3" xfId="26927" xr:uid="{00000000-0005-0000-0000-0000E2890000}"/>
    <cellStyle name="Normal 6 2 16 2 3 4" xfId="50189" xr:uid="{00000000-0005-0000-0000-0000E3890000}"/>
    <cellStyle name="Normal 6 2 16 2 4" xfId="17492" xr:uid="{00000000-0005-0000-0000-0000E4890000}"/>
    <cellStyle name="Normal 6 2 16 2 4 2" xfId="31624" xr:uid="{00000000-0005-0000-0000-0000E5890000}"/>
    <cellStyle name="Normal 6 2 16 2 4 3" xfId="45519" xr:uid="{00000000-0005-0000-0000-0000E6890000}"/>
    <cellStyle name="Normal 6 2 16 2 5" xfId="22305" xr:uid="{00000000-0005-0000-0000-0000E7890000}"/>
    <cellStyle name="Normal 6 2 16 2 6" xfId="40937" xr:uid="{00000000-0005-0000-0000-0000E8890000}"/>
    <cellStyle name="Normal 6 2 16 3" xfId="6982" xr:uid="{00000000-0005-0000-0000-0000E9890000}"/>
    <cellStyle name="Normal 6 2 16 3 2" xfId="6983" xr:uid="{00000000-0005-0000-0000-0000EA890000}"/>
    <cellStyle name="Normal 6 2 16 3 2 2" xfId="12764" xr:uid="{00000000-0005-0000-0000-0000EB890000}"/>
    <cellStyle name="Normal 6 2 16 3 2 2 2" xfId="36249" xr:uid="{00000000-0005-0000-0000-0000EC890000}"/>
    <cellStyle name="Normal 6 2 16 3 2 2 3" xfId="26930" xr:uid="{00000000-0005-0000-0000-0000ED890000}"/>
    <cellStyle name="Normal 6 2 16 3 2 2 4" xfId="50192" xr:uid="{00000000-0005-0000-0000-0000EE890000}"/>
    <cellStyle name="Normal 6 2 16 3 2 3" xfId="17495" xr:uid="{00000000-0005-0000-0000-0000EF890000}"/>
    <cellStyle name="Normal 6 2 16 3 2 3 2" xfId="31627" xr:uid="{00000000-0005-0000-0000-0000F0890000}"/>
    <cellStyle name="Normal 6 2 16 3 2 3 3" xfId="45522" xr:uid="{00000000-0005-0000-0000-0000F1890000}"/>
    <cellStyle name="Normal 6 2 16 3 2 4" xfId="22308" xr:uid="{00000000-0005-0000-0000-0000F2890000}"/>
    <cellStyle name="Normal 6 2 16 3 2 5" xfId="40940" xr:uid="{00000000-0005-0000-0000-0000F3890000}"/>
    <cellStyle name="Normal 6 2 16 3 3" xfId="12763" xr:uid="{00000000-0005-0000-0000-0000F4890000}"/>
    <cellStyle name="Normal 6 2 16 3 3 2" xfId="36248" xr:uid="{00000000-0005-0000-0000-0000F5890000}"/>
    <cellStyle name="Normal 6 2 16 3 3 3" xfId="26929" xr:uid="{00000000-0005-0000-0000-0000F6890000}"/>
    <cellStyle name="Normal 6 2 16 3 3 4" xfId="50191" xr:uid="{00000000-0005-0000-0000-0000F7890000}"/>
    <cellStyle name="Normal 6 2 16 3 4" xfId="17494" xr:uid="{00000000-0005-0000-0000-0000F8890000}"/>
    <cellStyle name="Normal 6 2 16 3 4 2" xfId="31626" xr:uid="{00000000-0005-0000-0000-0000F9890000}"/>
    <cellStyle name="Normal 6 2 16 3 4 3" xfId="45521" xr:uid="{00000000-0005-0000-0000-0000FA890000}"/>
    <cellStyle name="Normal 6 2 16 3 5" xfId="22307" xr:uid="{00000000-0005-0000-0000-0000FB890000}"/>
    <cellStyle name="Normal 6 2 16 3 6" xfId="40939" xr:uid="{00000000-0005-0000-0000-0000FC890000}"/>
    <cellStyle name="Normal 6 2 16 4" xfId="6984" xr:uid="{00000000-0005-0000-0000-0000FD890000}"/>
    <cellStyle name="Normal 6 2 16 4 2" xfId="6985" xr:uid="{00000000-0005-0000-0000-0000FE890000}"/>
    <cellStyle name="Normal 6 2 16 4 2 2" xfId="12766" xr:uid="{00000000-0005-0000-0000-0000FF890000}"/>
    <cellStyle name="Normal 6 2 16 4 2 2 2" xfId="36251" xr:uid="{00000000-0005-0000-0000-0000008A0000}"/>
    <cellStyle name="Normal 6 2 16 4 2 2 3" xfId="26932" xr:uid="{00000000-0005-0000-0000-0000018A0000}"/>
    <cellStyle name="Normal 6 2 16 4 2 2 4" xfId="50194" xr:uid="{00000000-0005-0000-0000-0000028A0000}"/>
    <cellStyle name="Normal 6 2 16 4 2 3" xfId="17497" xr:uid="{00000000-0005-0000-0000-0000038A0000}"/>
    <cellStyle name="Normal 6 2 16 4 2 3 2" xfId="31629" xr:uid="{00000000-0005-0000-0000-0000048A0000}"/>
    <cellStyle name="Normal 6 2 16 4 2 3 3" xfId="45524" xr:uid="{00000000-0005-0000-0000-0000058A0000}"/>
    <cellStyle name="Normal 6 2 16 4 2 4" xfId="22310" xr:uid="{00000000-0005-0000-0000-0000068A0000}"/>
    <cellStyle name="Normal 6 2 16 4 2 5" xfId="40942" xr:uid="{00000000-0005-0000-0000-0000078A0000}"/>
    <cellStyle name="Normal 6 2 16 4 3" xfId="12765" xr:uid="{00000000-0005-0000-0000-0000088A0000}"/>
    <cellStyle name="Normal 6 2 16 4 3 2" xfId="36250" xr:uid="{00000000-0005-0000-0000-0000098A0000}"/>
    <cellStyle name="Normal 6 2 16 4 3 3" xfId="26931" xr:uid="{00000000-0005-0000-0000-00000A8A0000}"/>
    <cellStyle name="Normal 6 2 16 4 3 4" xfId="50193" xr:uid="{00000000-0005-0000-0000-00000B8A0000}"/>
    <cellStyle name="Normal 6 2 16 4 4" xfId="17496" xr:uid="{00000000-0005-0000-0000-00000C8A0000}"/>
    <cellStyle name="Normal 6 2 16 4 4 2" xfId="31628" xr:uid="{00000000-0005-0000-0000-00000D8A0000}"/>
    <cellStyle name="Normal 6 2 16 4 4 3" xfId="45523" xr:uid="{00000000-0005-0000-0000-00000E8A0000}"/>
    <cellStyle name="Normal 6 2 16 4 5" xfId="22309" xr:uid="{00000000-0005-0000-0000-00000F8A0000}"/>
    <cellStyle name="Normal 6 2 16 4 6" xfId="40941" xr:uid="{00000000-0005-0000-0000-0000108A0000}"/>
    <cellStyle name="Normal 6 2 16 5" xfId="6986" xr:uid="{00000000-0005-0000-0000-0000118A0000}"/>
    <cellStyle name="Normal 6 2 16 5 2" xfId="6987" xr:uid="{00000000-0005-0000-0000-0000128A0000}"/>
    <cellStyle name="Normal 6 2 16 5 2 2" xfId="12768" xr:uid="{00000000-0005-0000-0000-0000138A0000}"/>
    <cellStyle name="Normal 6 2 16 5 2 2 2" xfId="36253" xr:uid="{00000000-0005-0000-0000-0000148A0000}"/>
    <cellStyle name="Normal 6 2 16 5 2 2 3" xfId="26934" xr:uid="{00000000-0005-0000-0000-0000158A0000}"/>
    <cellStyle name="Normal 6 2 16 5 2 2 4" xfId="50196" xr:uid="{00000000-0005-0000-0000-0000168A0000}"/>
    <cellStyle name="Normal 6 2 16 5 2 3" xfId="17499" xr:uid="{00000000-0005-0000-0000-0000178A0000}"/>
    <cellStyle name="Normal 6 2 16 5 2 3 2" xfId="31631" xr:uid="{00000000-0005-0000-0000-0000188A0000}"/>
    <cellStyle name="Normal 6 2 16 5 2 3 3" xfId="45526" xr:uid="{00000000-0005-0000-0000-0000198A0000}"/>
    <cellStyle name="Normal 6 2 16 5 2 4" xfId="22312" xr:uid="{00000000-0005-0000-0000-00001A8A0000}"/>
    <cellStyle name="Normal 6 2 16 5 2 5" xfId="40944" xr:uid="{00000000-0005-0000-0000-00001B8A0000}"/>
    <cellStyle name="Normal 6 2 16 5 3" xfId="12767" xr:uid="{00000000-0005-0000-0000-00001C8A0000}"/>
    <cellStyle name="Normal 6 2 16 5 3 2" xfId="36252" xr:uid="{00000000-0005-0000-0000-00001D8A0000}"/>
    <cellStyle name="Normal 6 2 16 5 3 3" xfId="26933" xr:uid="{00000000-0005-0000-0000-00001E8A0000}"/>
    <cellStyle name="Normal 6 2 16 5 3 4" xfId="50195" xr:uid="{00000000-0005-0000-0000-00001F8A0000}"/>
    <cellStyle name="Normal 6 2 16 5 4" xfId="17498" xr:uid="{00000000-0005-0000-0000-0000208A0000}"/>
    <cellStyle name="Normal 6 2 16 5 4 2" xfId="31630" xr:uid="{00000000-0005-0000-0000-0000218A0000}"/>
    <cellStyle name="Normal 6 2 16 5 4 3" xfId="45525" xr:uid="{00000000-0005-0000-0000-0000228A0000}"/>
    <cellStyle name="Normal 6 2 16 5 5" xfId="22311" xr:uid="{00000000-0005-0000-0000-0000238A0000}"/>
    <cellStyle name="Normal 6 2 16 5 6" xfId="40943" xr:uid="{00000000-0005-0000-0000-0000248A0000}"/>
    <cellStyle name="Normal 6 2 16 6" xfId="6988" xr:uid="{00000000-0005-0000-0000-0000258A0000}"/>
    <cellStyle name="Normal 6 2 16 6 2" xfId="6989" xr:uid="{00000000-0005-0000-0000-0000268A0000}"/>
    <cellStyle name="Normal 6 2 16 6 2 2" xfId="12770" xr:uid="{00000000-0005-0000-0000-0000278A0000}"/>
    <cellStyle name="Normal 6 2 16 6 2 2 2" xfId="36255" xr:uid="{00000000-0005-0000-0000-0000288A0000}"/>
    <cellStyle name="Normal 6 2 16 6 2 2 3" xfId="26936" xr:uid="{00000000-0005-0000-0000-0000298A0000}"/>
    <cellStyle name="Normal 6 2 16 6 2 2 4" xfId="50198" xr:uid="{00000000-0005-0000-0000-00002A8A0000}"/>
    <cellStyle name="Normal 6 2 16 6 2 3" xfId="17501" xr:uid="{00000000-0005-0000-0000-00002B8A0000}"/>
    <cellStyle name="Normal 6 2 16 6 2 3 2" xfId="31633" xr:uid="{00000000-0005-0000-0000-00002C8A0000}"/>
    <cellStyle name="Normal 6 2 16 6 2 3 3" xfId="45528" xr:uid="{00000000-0005-0000-0000-00002D8A0000}"/>
    <cellStyle name="Normal 6 2 16 6 2 4" xfId="22314" xr:uid="{00000000-0005-0000-0000-00002E8A0000}"/>
    <cellStyle name="Normal 6 2 16 6 2 5" xfId="40946" xr:uid="{00000000-0005-0000-0000-00002F8A0000}"/>
    <cellStyle name="Normal 6 2 16 6 3" xfId="12769" xr:uid="{00000000-0005-0000-0000-0000308A0000}"/>
    <cellStyle name="Normal 6 2 16 6 3 2" xfId="36254" xr:uid="{00000000-0005-0000-0000-0000318A0000}"/>
    <cellStyle name="Normal 6 2 16 6 3 3" xfId="26935" xr:uid="{00000000-0005-0000-0000-0000328A0000}"/>
    <cellStyle name="Normal 6 2 16 6 3 4" xfId="50197" xr:uid="{00000000-0005-0000-0000-0000338A0000}"/>
    <cellStyle name="Normal 6 2 16 6 4" xfId="17500" xr:uid="{00000000-0005-0000-0000-0000348A0000}"/>
    <cellStyle name="Normal 6 2 16 6 4 2" xfId="31632" xr:uid="{00000000-0005-0000-0000-0000358A0000}"/>
    <cellStyle name="Normal 6 2 16 6 4 3" xfId="45527" xr:uid="{00000000-0005-0000-0000-0000368A0000}"/>
    <cellStyle name="Normal 6 2 16 6 5" xfId="22313" xr:uid="{00000000-0005-0000-0000-0000378A0000}"/>
    <cellStyle name="Normal 6 2 16 6 6" xfId="40945" xr:uid="{00000000-0005-0000-0000-0000388A0000}"/>
    <cellStyle name="Normal 6 2 16 7" xfId="6990" xr:uid="{00000000-0005-0000-0000-0000398A0000}"/>
    <cellStyle name="Normal 6 2 16 7 2" xfId="12771" xr:uid="{00000000-0005-0000-0000-00003A8A0000}"/>
    <cellStyle name="Normal 6 2 16 7 2 2" xfId="36256" xr:uid="{00000000-0005-0000-0000-00003B8A0000}"/>
    <cellStyle name="Normal 6 2 16 7 2 3" xfId="26937" xr:uid="{00000000-0005-0000-0000-00003C8A0000}"/>
    <cellStyle name="Normal 6 2 16 7 2 4" xfId="50199" xr:uid="{00000000-0005-0000-0000-00003D8A0000}"/>
    <cellStyle name="Normal 6 2 16 7 3" xfId="17502" xr:uid="{00000000-0005-0000-0000-00003E8A0000}"/>
    <cellStyle name="Normal 6 2 16 7 3 2" xfId="31634" xr:uid="{00000000-0005-0000-0000-00003F8A0000}"/>
    <cellStyle name="Normal 6 2 16 7 3 3" xfId="45529" xr:uid="{00000000-0005-0000-0000-0000408A0000}"/>
    <cellStyle name="Normal 6 2 16 7 4" xfId="22315" xr:uid="{00000000-0005-0000-0000-0000418A0000}"/>
    <cellStyle name="Normal 6 2 16 7 5" xfId="40947" xr:uid="{00000000-0005-0000-0000-0000428A0000}"/>
    <cellStyle name="Normal 6 2 16 8" xfId="12760" xr:uid="{00000000-0005-0000-0000-0000438A0000}"/>
    <cellStyle name="Normal 6 2 16 8 2" xfId="36245" xr:uid="{00000000-0005-0000-0000-0000448A0000}"/>
    <cellStyle name="Normal 6 2 16 8 3" xfId="26926" xr:uid="{00000000-0005-0000-0000-0000458A0000}"/>
    <cellStyle name="Normal 6 2 16 8 4" xfId="50188" xr:uid="{00000000-0005-0000-0000-0000468A0000}"/>
    <cellStyle name="Normal 6 2 16 9" xfId="17491" xr:uid="{00000000-0005-0000-0000-0000478A0000}"/>
    <cellStyle name="Normal 6 2 16 9 2" xfId="31623" xr:uid="{00000000-0005-0000-0000-0000488A0000}"/>
    <cellStyle name="Normal 6 2 16 9 3" xfId="45518" xr:uid="{00000000-0005-0000-0000-0000498A0000}"/>
    <cellStyle name="Normal 6 2 17" xfId="6991" xr:uid="{00000000-0005-0000-0000-00004A8A0000}"/>
    <cellStyle name="Normal 6 2 17 10" xfId="22316" xr:uid="{00000000-0005-0000-0000-00004B8A0000}"/>
    <cellStyle name="Normal 6 2 17 11" xfId="40948" xr:uid="{00000000-0005-0000-0000-00004C8A0000}"/>
    <cellStyle name="Normal 6 2 17 2" xfId="6992" xr:uid="{00000000-0005-0000-0000-00004D8A0000}"/>
    <cellStyle name="Normal 6 2 17 2 2" xfId="6993" xr:uid="{00000000-0005-0000-0000-00004E8A0000}"/>
    <cellStyle name="Normal 6 2 17 2 2 2" xfId="12774" xr:uid="{00000000-0005-0000-0000-00004F8A0000}"/>
    <cellStyle name="Normal 6 2 17 2 2 2 2" xfId="36259" xr:uid="{00000000-0005-0000-0000-0000508A0000}"/>
    <cellStyle name="Normal 6 2 17 2 2 2 3" xfId="26940" xr:uid="{00000000-0005-0000-0000-0000518A0000}"/>
    <cellStyle name="Normal 6 2 17 2 2 2 4" xfId="50202" xr:uid="{00000000-0005-0000-0000-0000528A0000}"/>
    <cellStyle name="Normal 6 2 17 2 2 3" xfId="17505" xr:uid="{00000000-0005-0000-0000-0000538A0000}"/>
    <cellStyle name="Normal 6 2 17 2 2 3 2" xfId="31637" xr:uid="{00000000-0005-0000-0000-0000548A0000}"/>
    <cellStyle name="Normal 6 2 17 2 2 3 3" xfId="45532" xr:uid="{00000000-0005-0000-0000-0000558A0000}"/>
    <cellStyle name="Normal 6 2 17 2 2 4" xfId="22318" xr:uid="{00000000-0005-0000-0000-0000568A0000}"/>
    <cellStyle name="Normal 6 2 17 2 2 5" xfId="40950" xr:uid="{00000000-0005-0000-0000-0000578A0000}"/>
    <cellStyle name="Normal 6 2 17 2 3" xfId="12773" xr:uid="{00000000-0005-0000-0000-0000588A0000}"/>
    <cellStyle name="Normal 6 2 17 2 3 2" xfId="36258" xr:uid="{00000000-0005-0000-0000-0000598A0000}"/>
    <cellStyle name="Normal 6 2 17 2 3 3" xfId="26939" xr:uid="{00000000-0005-0000-0000-00005A8A0000}"/>
    <cellStyle name="Normal 6 2 17 2 3 4" xfId="50201" xr:uid="{00000000-0005-0000-0000-00005B8A0000}"/>
    <cellStyle name="Normal 6 2 17 2 4" xfId="17504" xr:uid="{00000000-0005-0000-0000-00005C8A0000}"/>
    <cellStyle name="Normal 6 2 17 2 4 2" xfId="31636" xr:uid="{00000000-0005-0000-0000-00005D8A0000}"/>
    <cellStyle name="Normal 6 2 17 2 4 3" xfId="45531" xr:uid="{00000000-0005-0000-0000-00005E8A0000}"/>
    <cellStyle name="Normal 6 2 17 2 5" xfId="22317" xr:uid="{00000000-0005-0000-0000-00005F8A0000}"/>
    <cellStyle name="Normal 6 2 17 2 6" xfId="40949" xr:uid="{00000000-0005-0000-0000-0000608A0000}"/>
    <cellStyle name="Normal 6 2 17 3" xfId="6994" xr:uid="{00000000-0005-0000-0000-0000618A0000}"/>
    <cellStyle name="Normal 6 2 17 3 2" xfId="6995" xr:uid="{00000000-0005-0000-0000-0000628A0000}"/>
    <cellStyle name="Normal 6 2 17 3 2 2" xfId="12776" xr:uid="{00000000-0005-0000-0000-0000638A0000}"/>
    <cellStyle name="Normal 6 2 17 3 2 2 2" xfId="36261" xr:uid="{00000000-0005-0000-0000-0000648A0000}"/>
    <cellStyle name="Normal 6 2 17 3 2 2 3" xfId="26942" xr:uid="{00000000-0005-0000-0000-0000658A0000}"/>
    <cellStyle name="Normal 6 2 17 3 2 2 4" xfId="50204" xr:uid="{00000000-0005-0000-0000-0000668A0000}"/>
    <cellStyle name="Normal 6 2 17 3 2 3" xfId="17507" xr:uid="{00000000-0005-0000-0000-0000678A0000}"/>
    <cellStyle name="Normal 6 2 17 3 2 3 2" xfId="31639" xr:uid="{00000000-0005-0000-0000-0000688A0000}"/>
    <cellStyle name="Normal 6 2 17 3 2 3 3" xfId="45534" xr:uid="{00000000-0005-0000-0000-0000698A0000}"/>
    <cellStyle name="Normal 6 2 17 3 2 4" xfId="22320" xr:uid="{00000000-0005-0000-0000-00006A8A0000}"/>
    <cellStyle name="Normal 6 2 17 3 2 5" xfId="40952" xr:uid="{00000000-0005-0000-0000-00006B8A0000}"/>
    <cellStyle name="Normal 6 2 17 3 3" xfId="12775" xr:uid="{00000000-0005-0000-0000-00006C8A0000}"/>
    <cellStyle name="Normal 6 2 17 3 3 2" xfId="36260" xr:uid="{00000000-0005-0000-0000-00006D8A0000}"/>
    <cellStyle name="Normal 6 2 17 3 3 3" xfId="26941" xr:uid="{00000000-0005-0000-0000-00006E8A0000}"/>
    <cellStyle name="Normal 6 2 17 3 3 4" xfId="50203" xr:uid="{00000000-0005-0000-0000-00006F8A0000}"/>
    <cellStyle name="Normal 6 2 17 3 4" xfId="17506" xr:uid="{00000000-0005-0000-0000-0000708A0000}"/>
    <cellStyle name="Normal 6 2 17 3 4 2" xfId="31638" xr:uid="{00000000-0005-0000-0000-0000718A0000}"/>
    <cellStyle name="Normal 6 2 17 3 4 3" xfId="45533" xr:uid="{00000000-0005-0000-0000-0000728A0000}"/>
    <cellStyle name="Normal 6 2 17 3 5" xfId="22319" xr:uid="{00000000-0005-0000-0000-0000738A0000}"/>
    <cellStyle name="Normal 6 2 17 3 6" xfId="40951" xr:uid="{00000000-0005-0000-0000-0000748A0000}"/>
    <cellStyle name="Normal 6 2 17 4" xfId="6996" xr:uid="{00000000-0005-0000-0000-0000758A0000}"/>
    <cellStyle name="Normal 6 2 17 4 2" xfId="6997" xr:uid="{00000000-0005-0000-0000-0000768A0000}"/>
    <cellStyle name="Normal 6 2 17 4 2 2" xfId="12778" xr:uid="{00000000-0005-0000-0000-0000778A0000}"/>
    <cellStyle name="Normal 6 2 17 4 2 2 2" xfId="36263" xr:uid="{00000000-0005-0000-0000-0000788A0000}"/>
    <cellStyle name="Normal 6 2 17 4 2 2 3" xfId="26944" xr:uid="{00000000-0005-0000-0000-0000798A0000}"/>
    <cellStyle name="Normal 6 2 17 4 2 2 4" xfId="50206" xr:uid="{00000000-0005-0000-0000-00007A8A0000}"/>
    <cellStyle name="Normal 6 2 17 4 2 3" xfId="17509" xr:uid="{00000000-0005-0000-0000-00007B8A0000}"/>
    <cellStyle name="Normal 6 2 17 4 2 3 2" xfId="31641" xr:uid="{00000000-0005-0000-0000-00007C8A0000}"/>
    <cellStyle name="Normal 6 2 17 4 2 3 3" xfId="45536" xr:uid="{00000000-0005-0000-0000-00007D8A0000}"/>
    <cellStyle name="Normal 6 2 17 4 2 4" xfId="22322" xr:uid="{00000000-0005-0000-0000-00007E8A0000}"/>
    <cellStyle name="Normal 6 2 17 4 2 5" xfId="40954" xr:uid="{00000000-0005-0000-0000-00007F8A0000}"/>
    <cellStyle name="Normal 6 2 17 4 3" xfId="12777" xr:uid="{00000000-0005-0000-0000-0000808A0000}"/>
    <cellStyle name="Normal 6 2 17 4 3 2" xfId="36262" xr:uid="{00000000-0005-0000-0000-0000818A0000}"/>
    <cellStyle name="Normal 6 2 17 4 3 3" xfId="26943" xr:uid="{00000000-0005-0000-0000-0000828A0000}"/>
    <cellStyle name="Normal 6 2 17 4 3 4" xfId="50205" xr:uid="{00000000-0005-0000-0000-0000838A0000}"/>
    <cellStyle name="Normal 6 2 17 4 4" xfId="17508" xr:uid="{00000000-0005-0000-0000-0000848A0000}"/>
    <cellStyle name="Normal 6 2 17 4 4 2" xfId="31640" xr:uid="{00000000-0005-0000-0000-0000858A0000}"/>
    <cellStyle name="Normal 6 2 17 4 4 3" xfId="45535" xr:uid="{00000000-0005-0000-0000-0000868A0000}"/>
    <cellStyle name="Normal 6 2 17 4 5" xfId="22321" xr:uid="{00000000-0005-0000-0000-0000878A0000}"/>
    <cellStyle name="Normal 6 2 17 4 6" xfId="40953" xr:uid="{00000000-0005-0000-0000-0000888A0000}"/>
    <cellStyle name="Normal 6 2 17 5" xfId="6998" xr:uid="{00000000-0005-0000-0000-0000898A0000}"/>
    <cellStyle name="Normal 6 2 17 5 2" xfId="6999" xr:uid="{00000000-0005-0000-0000-00008A8A0000}"/>
    <cellStyle name="Normal 6 2 17 5 2 2" xfId="12780" xr:uid="{00000000-0005-0000-0000-00008B8A0000}"/>
    <cellStyle name="Normal 6 2 17 5 2 2 2" xfId="36265" xr:uid="{00000000-0005-0000-0000-00008C8A0000}"/>
    <cellStyle name="Normal 6 2 17 5 2 2 3" xfId="26946" xr:uid="{00000000-0005-0000-0000-00008D8A0000}"/>
    <cellStyle name="Normal 6 2 17 5 2 2 4" xfId="50208" xr:uid="{00000000-0005-0000-0000-00008E8A0000}"/>
    <cellStyle name="Normal 6 2 17 5 2 3" xfId="17511" xr:uid="{00000000-0005-0000-0000-00008F8A0000}"/>
    <cellStyle name="Normal 6 2 17 5 2 3 2" xfId="31643" xr:uid="{00000000-0005-0000-0000-0000908A0000}"/>
    <cellStyle name="Normal 6 2 17 5 2 3 3" xfId="45538" xr:uid="{00000000-0005-0000-0000-0000918A0000}"/>
    <cellStyle name="Normal 6 2 17 5 2 4" xfId="22324" xr:uid="{00000000-0005-0000-0000-0000928A0000}"/>
    <cellStyle name="Normal 6 2 17 5 2 5" xfId="40956" xr:uid="{00000000-0005-0000-0000-0000938A0000}"/>
    <cellStyle name="Normal 6 2 17 5 3" xfId="12779" xr:uid="{00000000-0005-0000-0000-0000948A0000}"/>
    <cellStyle name="Normal 6 2 17 5 3 2" xfId="36264" xr:uid="{00000000-0005-0000-0000-0000958A0000}"/>
    <cellStyle name="Normal 6 2 17 5 3 3" xfId="26945" xr:uid="{00000000-0005-0000-0000-0000968A0000}"/>
    <cellStyle name="Normal 6 2 17 5 3 4" xfId="50207" xr:uid="{00000000-0005-0000-0000-0000978A0000}"/>
    <cellStyle name="Normal 6 2 17 5 4" xfId="17510" xr:uid="{00000000-0005-0000-0000-0000988A0000}"/>
    <cellStyle name="Normal 6 2 17 5 4 2" xfId="31642" xr:uid="{00000000-0005-0000-0000-0000998A0000}"/>
    <cellStyle name="Normal 6 2 17 5 4 3" xfId="45537" xr:uid="{00000000-0005-0000-0000-00009A8A0000}"/>
    <cellStyle name="Normal 6 2 17 5 5" xfId="22323" xr:uid="{00000000-0005-0000-0000-00009B8A0000}"/>
    <cellStyle name="Normal 6 2 17 5 6" xfId="40955" xr:uid="{00000000-0005-0000-0000-00009C8A0000}"/>
    <cellStyle name="Normal 6 2 17 6" xfId="7000" xr:uid="{00000000-0005-0000-0000-00009D8A0000}"/>
    <cellStyle name="Normal 6 2 17 6 2" xfId="7001" xr:uid="{00000000-0005-0000-0000-00009E8A0000}"/>
    <cellStyle name="Normal 6 2 17 6 2 2" xfId="12782" xr:uid="{00000000-0005-0000-0000-00009F8A0000}"/>
    <cellStyle name="Normal 6 2 17 6 2 2 2" xfId="36267" xr:uid="{00000000-0005-0000-0000-0000A08A0000}"/>
    <cellStyle name="Normal 6 2 17 6 2 2 3" xfId="26948" xr:uid="{00000000-0005-0000-0000-0000A18A0000}"/>
    <cellStyle name="Normal 6 2 17 6 2 2 4" xfId="50210" xr:uid="{00000000-0005-0000-0000-0000A28A0000}"/>
    <cellStyle name="Normal 6 2 17 6 2 3" xfId="17513" xr:uid="{00000000-0005-0000-0000-0000A38A0000}"/>
    <cellStyle name="Normal 6 2 17 6 2 3 2" xfId="31645" xr:uid="{00000000-0005-0000-0000-0000A48A0000}"/>
    <cellStyle name="Normal 6 2 17 6 2 3 3" xfId="45540" xr:uid="{00000000-0005-0000-0000-0000A58A0000}"/>
    <cellStyle name="Normal 6 2 17 6 2 4" xfId="22326" xr:uid="{00000000-0005-0000-0000-0000A68A0000}"/>
    <cellStyle name="Normal 6 2 17 6 2 5" xfId="40958" xr:uid="{00000000-0005-0000-0000-0000A78A0000}"/>
    <cellStyle name="Normal 6 2 17 6 3" xfId="12781" xr:uid="{00000000-0005-0000-0000-0000A88A0000}"/>
    <cellStyle name="Normal 6 2 17 6 3 2" xfId="36266" xr:uid="{00000000-0005-0000-0000-0000A98A0000}"/>
    <cellStyle name="Normal 6 2 17 6 3 3" xfId="26947" xr:uid="{00000000-0005-0000-0000-0000AA8A0000}"/>
    <cellStyle name="Normal 6 2 17 6 3 4" xfId="50209" xr:uid="{00000000-0005-0000-0000-0000AB8A0000}"/>
    <cellStyle name="Normal 6 2 17 6 4" xfId="17512" xr:uid="{00000000-0005-0000-0000-0000AC8A0000}"/>
    <cellStyle name="Normal 6 2 17 6 4 2" xfId="31644" xr:uid="{00000000-0005-0000-0000-0000AD8A0000}"/>
    <cellStyle name="Normal 6 2 17 6 4 3" xfId="45539" xr:uid="{00000000-0005-0000-0000-0000AE8A0000}"/>
    <cellStyle name="Normal 6 2 17 6 5" xfId="22325" xr:uid="{00000000-0005-0000-0000-0000AF8A0000}"/>
    <cellStyle name="Normal 6 2 17 6 6" xfId="40957" xr:uid="{00000000-0005-0000-0000-0000B08A0000}"/>
    <cellStyle name="Normal 6 2 17 7" xfId="7002" xr:uid="{00000000-0005-0000-0000-0000B18A0000}"/>
    <cellStyle name="Normal 6 2 17 7 2" xfId="12783" xr:uid="{00000000-0005-0000-0000-0000B28A0000}"/>
    <cellStyle name="Normal 6 2 17 7 2 2" xfId="36268" xr:uid="{00000000-0005-0000-0000-0000B38A0000}"/>
    <cellStyle name="Normal 6 2 17 7 2 3" xfId="26949" xr:uid="{00000000-0005-0000-0000-0000B48A0000}"/>
    <cellStyle name="Normal 6 2 17 7 2 4" xfId="50211" xr:uid="{00000000-0005-0000-0000-0000B58A0000}"/>
    <cellStyle name="Normal 6 2 17 7 3" xfId="17514" xr:uid="{00000000-0005-0000-0000-0000B68A0000}"/>
    <cellStyle name="Normal 6 2 17 7 3 2" xfId="31646" xr:uid="{00000000-0005-0000-0000-0000B78A0000}"/>
    <cellStyle name="Normal 6 2 17 7 3 3" xfId="45541" xr:uid="{00000000-0005-0000-0000-0000B88A0000}"/>
    <cellStyle name="Normal 6 2 17 7 4" xfId="22327" xr:uid="{00000000-0005-0000-0000-0000B98A0000}"/>
    <cellStyle name="Normal 6 2 17 7 5" xfId="40959" xr:uid="{00000000-0005-0000-0000-0000BA8A0000}"/>
    <cellStyle name="Normal 6 2 17 8" xfId="12772" xr:uid="{00000000-0005-0000-0000-0000BB8A0000}"/>
    <cellStyle name="Normal 6 2 17 8 2" xfId="36257" xr:uid="{00000000-0005-0000-0000-0000BC8A0000}"/>
    <cellStyle name="Normal 6 2 17 8 3" xfId="26938" xr:uid="{00000000-0005-0000-0000-0000BD8A0000}"/>
    <cellStyle name="Normal 6 2 17 8 4" xfId="50200" xr:uid="{00000000-0005-0000-0000-0000BE8A0000}"/>
    <cellStyle name="Normal 6 2 17 9" xfId="17503" xr:uid="{00000000-0005-0000-0000-0000BF8A0000}"/>
    <cellStyle name="Normal 6 2 17 9 2" xfId="31635" xr:uid="{00000000-0005-0000-0000-0000C08A0000}"/>
    <cellStyle name="Normal 6 2 17 9 3" xfId="45530" xr:uid="{00000000-0005-0000-0000-0000C18A0000}"/>
    <cellStyle name="Normal 6 2 18" xfId="7003" xr:uid="{00000000-0005-0000-0000-0000C28A0000}"/>
    <cellStyle name="Normal 6 2 18 10" xfId="22328" xr:uid="{00000000-0005-0000-0000-0000C38A0000}"/>
    <cellStyle name="Normal 6 2 18 11" xfId="40960" xr:uid="{00000000-0005-0000-0000-0000C48A0000}"/>
    <cellStyle name="Normal 6 2 18 2" xfId="7004" xr:uid="{00000000-0005-0000-0000-0000C58A0000}"/>
    <cellStyle name="Normal 6 2 18 2 2" xfId="7005" xr:uid="{00000000-0005-0000-0000-0000C68A0000}"/>
    <cellStyle name="Normal 6 2 18 2 2 2" xfId="12786" xr:uid="{00000000-0005-0000-0000-0000C78A0000}"/>
    <cellStyle name="Normal 6 2 18 2 2 2 2" xfId="36271" xr:uid="{00000000-0005-0000-0000-0000C88A0000}"/>
    <cellStyle name="Normal 6 2 18 2 2 2 3" xfId="26952" xr:uid="{00000000-0005-0000-0000-0000C98A0000}"/>
    <cellStyle name="Normal 6 2 18 2 2 2 4" xfId="50214" xr:uid="{00000000-0005-0000-0000-0000CA8A0000}"/>
    <cellStyle name="Normal 6 2 18 2 2 3" xfId="17517" xr:uid="{00000000-0005-0000-0000-0000CB8A0000}"/>
    <cellStyle name="Normal 6 2 18 2 2 3 2" xfId="31649" xr:uid="{00000000-0005-0000-0000-0000CC8A0000}"/>
    <cellStyle name="Normal 6 2 18 2 2 3 3" xfId="45544" xr:uid="{00000000-0005-0000-0000-0000CD8A0000}"/>
    <cellStyle name="Normal 6 2 18 2 2 4" xfId="22330" xr:uid="{00000000-0005-0000-0000-0000CE8A0000}"/>
    <cellStyle name="Normal 6 2 18 2 2 5" xfId="40962" xr:uid="{00000000-0005-0000-0000-0000CF8A0000}"/>
    <cellStyle name="Normal 6 2 18 2 3" xfId="12785" xr:uid="{00000000-0005-0000-0000-0000D08A0000}"/>
    <cellStyle name="Normal 6 2 18 2 3 2" xfId="36270" xr:uid="{00000000-0005-0000-0000-0000D18A0000}"/>
    <cellStyle name="Normal 6 2 18 2 3 3" xfId="26951" xr:uid="{00000000-0005-0000-0000-0000D28A0000}"/>
    <cellStyle name="Normal 6 2 18 2 3 4" xfId="50213" xr:uid="{00000000-0005-0000-0000-0000D38A0000}"/>
    <cellStyle name="Normal 6 2 18 2 4" xfId="17516" xr:uid="{00000000-0005-0000-0000-0000D48A0000}"/>
    <cellStyle name="Normal 6 2 18 2 4 2" xfId="31648" xr:uid="{00000000-0005-0000-0000-0000D58A0000}"/>
    <cellStyle name="Normal 6 2 18 2 4 3" xfId="45543" xr:uid="{00000000-0005-0000-0000-0000D68A0000}"/>
    <cellStyle name="Normal 6 2 18 2 5" xfId="22329" xr:uid="{00000000-0005-0000-0000-0000D78A0000}"/>
    <cellStyle name="Normal 6 2 18 2 6" xfId="40961" xr:uid="{00000000-0005-0000-0000-0000D88A0000}"/>
    <cellStyle name="Normal 6 2 18 3" xfId="7006" xr:uid="{00000000-0005-0000-0000-0000D98A0000}"/>
    <cellStyle name="Normal 6 2 18 3 2" xfId="7007" xr:uid="{00000000-0005-0000-0000-0000DA8A0000}"/>
    <cellStyle name="Normal 6 2 18 3 2 2" xfId="12788" xr:uid="{00000000-0005-0000-0000-0000DB8A0000}"/>
    <cellStyle name="Normal 6 2 18 3 2 2 2" xfId="36273" xr:uid="{00000000-0005-0000-0000-0000DC8A0000}"/>
    <cellStyle name="Normal 6 2 18 3 2 2 3" xfId="26954" xr:uid="{00000000-0005-0000-0000-0000DD8A0000}"/>
    <cellStyle name="Normal 6 2 18 3 2 2 4" xfId="50216" xr:uid="{00000000-0005-0000-0000-0000DE8A0000}"/>
    <cellStyle name="Normal 6 2 18 3 2 3" xfId="17519" xr:uid="{00000000-0005-0000-0000-0000DF8A0000}"/>
    <cellStyle name="Normal 6 2 18 3 2 3 2" xfId="31651" xr:uid="{00000000-0005-0000-0000-0000E08A0000}"/>
    <cellStyle name="Normal 6 2 18 3 2 3 3" xfId="45546" xr:uid="{00000000-0005-0000-0000-0000E18A0000}"/>
    <cellStyle name="Normal 6 2 18 3 2 4" xfId="22332" xr:uid="{00000000-0005-0000-0000-0000E28A0000}"/>
    <cellStyle name="Normal 6 2 18 3 2 5" xfId="40964" xr:uid="{00000000-0005-0000-0000-0000E38A0000}"/>
    <cellStyle name="Normal 6 2 18 3 3" xfId="12787" xr:uid="{00000000-0005-0000-0000-0000E48A0000}"/>
    <cellStyle name="Normal 6 2 18 3 3 2" xfId="36272" xr:uid="{00000000-0005-0000-0000-0000E58A0000}"/>
    <cellStyle name="Normal 6 2 18 3 3 3" xfId="26953" xr:uid="{00000000-0005-0000-0000-0000E68A0000}"/>
    <cellStyle name="Normal 6 2 18 3 3 4" xfId="50215" xr:uid="{00000000-0005-0000-0000-0000E78A0000}"/>
    <cellStyle name="Normal 6 2 18 3 4" xfId="17518" xr:uid="{00000000-0005-0000-0000-0000E88A0000}"/>
    <cellStyle name="Normal 6 2 18 3 4 2" xfId="31650" xr:uid="{00000000-0005-0000-0000-0000E98A0000}"/>
    <cellStyle name="Normal 6 2 18 3 4 3" xfId="45545" xr:uid="{00000000-0005-0000-0000-0000EA8A0000}"/>
    <cellStyle name="Normal 6 2 18 3 5" xfId="22331" xr:uid="{00000000-0005-0000-0000-0000EB8A0000}"/>
    <cellStyle name="Normal 6 2 18 3 6" xfId="40963" xr:uid="{00000000-0005-0000-0000-0000EC8A0000}"/>
    <cellStyle name="Normal 6 2 18 4" xfId="7008" xr:uid="{00000000-0005-0000-0000-0000ED8A0000}"/>
    <cellStyle name="Normal 6 2 18 4 2" xfId="7009" xr:uid="{00000000-0005-0000-0000-0000EE8A0000}"/>
    <cellStyle name="Normal 6 2 18 4 2 2" xfId="12790" xr:uid="{00000000-0005-0000-0000-0000EF8A0000}"/>
    <cellStyle name="Normal 6 2 18 4 2 2 2" xfId="36275" xr:uid="{00000000-0005-0000-0000-0000F08A0000}"/>
    <cellStyle name="Normal 6 2 18 4 2 2 3" xfId="26956" xr:uid="{00000000-0005-0000-0000-0000F18A0000}"/>
    <cellStyle name="Normal 6 2 18 4 2 2 4" xfId="50218" xr:uid="{00000000-0005-0000-0000-0000F28A0000}"/>
    <cellStyle name="Normal 6 2 18 4 2 3" xfId="17521" xr:uid="{00000000-0005-0000-0000-0000F38A0000}"/>
    <cellStyle name="Normal 6 2 18 4 2 3 2" xfId="31653" xr:uid="{00000000-0005-0000-0000-0000F48A0000}"/>
    <cellStyle name="Normal 6 2 18 4 2 3 3" xfId="45548" xr:uid="{00000000-0005-0000-0000-0000F58A0000}"/>
    <cellStyle name="Normal 6 2 18 4 2 4" xfId="22334" xr:uid="{00000000-0005-0000-0000-0000F68A0000}"/>
    <cellStyle name="Normal 6 2 18 4 2 5" xfId="40966" xr:uid="{00000000-0005-0000-0000-0000F78A0000}"/>
    <cellStyle name="Normal 6 2 18 4 3" xfId="12789" xr:uid="{00000000-0005-0000-0000-0000F88A0000}"/>
    <cellStyle name="Normal 6 2 18 4 3 2" xfId="36274" xr:uid="{00000000-0005-0000-0000-0000F98A0000}"/>
    <cellStyle name="Normal 6 2 18 4 3 3" xfId="26955" xr:uid="{00000000-0005-0000-0000-0000FA8A0000}"/>
    <cellStyle name="Normal 6 2 18 4 3 4" xfId="50217" xr:uid="{00000000-0005-0000-0000-0000FB8A0000}"/>
    <cellStyle name="Normal 6 2 18 4 4" xfId="17520" xr:uid="{00000000-0005-0000-0000-0000FC8A0000}"/>
    <cellStyle name="Normal 6 2 18 4 4 2" xfId="31652" xr:uid="{00000000-0005-0000-0000-0000FD8A0000}"/>
    <cellStyle name="Normal 6 2 18 4 4 3" xfId="45547" xr:uid="{00000000-0005-0000-0000-0000FE8A0000}"/>
    <cellStyle name="Normal 6 2 18 4 5" xfId="22333" xr:uid="{00000000-0005-0000-0000-0000FF8A0000}"/>
    <cellStyle name="Normal 6 2 18 4 6" xfId="40965" xr:uid="{00000000-0005-0000-0000-0000008B0000}"/>
    <cellStyle name="Normal 6 2 18 5" xfId="7010" xr:uid="{00000000-0005-0000-0000-0000018B0000}"/>
    <cellStyle name="Normal 6 2 18 5 2" xfId="7011" xr:uid="{00000000-0005-0000-0000-0000028B0000}"/>
    <cellStyle name="Normal 6 2 18 5 2 2" xfId="12792" xr:uid="{00000000-0005-0000-0000-0000038B0000}"/>
    <cellStyle name="Normal 6 2 18 5 2 2 2" xfId="36277" xr:uid="{00000000-0005-0000-0000-0000048B0000}"/>
    <cellStyle name="Normal 6 2 18 5 2 2 3" xfId="26958" xr:uid="{00000000-0005-0000-0000-0000058B0000}"/>
    <cellStyle name="Normal 6 2 18 5 2 2 4" xfId="50220" xr:uid="{00000000-0005-0000-0000-0000068B0000}"/>
    <cellStyle name="Normal 6 2 18 5 2 3" xfId="17523" xr:uid="{00000000-0005-0000-0000-0000078B0000}"/>
    <cellStyle name="Normal 6 2 18 5 2 3 2" xfId="31655" xr:uid="{00000000-0005-0000-0000-0000088B0000}"/>
    <cellStyle name="Normal 6 2 18 5 2 3 3" xfId="45550" xr:uid="{00000000-0005-0000-0000-0000098B0000}"/>
    <cellStyle name="Normal 6 2 18 5 2 4" xfId="22336" xr:uid="{00000000-0005-0000-0000-00000A8B0000}"/>
    <cellStyle name="Normal 6 2 18 5 2 5" xfId="40968" xr:uid="{00000000-0005-0000-0000-00000B8B0000}"/>
    <cellStyle name="Normal 6 2 18 5 3" xfId="12791" xr:uid="{00000000-0005-0000-0000-00000C8B0000}"/>
    <cellStyle name="Normal 6 2 18 5 3 2" xfId="36276" xr:uid="{00000000-0005-0000-0000-00000D8B0000}"/>
    <cellStyle name="Normal 6 2 18 5 3 3" xfId="26957" xr:uid="{00000000-0005-0000-0000-00000E8B0000}"/>
    <cellStyle name="Normal 6 2 18 5 3 4" xfId="50219" xr:uid="{00000000-0005-0000-0000-00000F8B0000}"/>
    <cellStyle name="Normal 6 2 18 5 4" xfId="17522" xr:uid="{00000000-0005-0000-0000-0000108B0000}"/>
    <cellStyle name="Normal 6 2 18 5 4 2" xfId="31654" xr:uid="{00000000-0005-0000-0000-0000118B0000}"/>
    <cellStyle name="Normal 6 2 18 5 4 3" xfId="45549" xr:uid="{00000000-0005-0000-0000-0000128B0000}"/>
    <cellStyle name="Normal 6 2 18 5 5" xfId="22335" xr:uid="{00000000-0005-0000-0000-0000138B0000}"/>
    <cellStyle name="Normal 6 2 18 5 6" xfId="40967" xr:uid="{00000000-0005-0000-0000-0000148B0000}"/>
    <cellStyle name="Normal 6 2 18 6" xfId="7012" xr:uid="{00000000-0005-0000-0000-0000158B0000}"/>
    <cellStyle name="Normal 6 2 18 6 2" xfId="7013" xr:uid="{00000000-0005-0000-0000-0000168B0000}"/>
    <cellStyle name="Normal 6 2 18 6 2 2" xfId="12794" xr:uid="{00000000-0005-0000-0000-0000178B0000}"/>
    <cellStyle name="Normal 6 2 18 6 2 2 2" xfId="36279" xr:uid="{00000000-0005-0000-0000-0000188B0000}"/>
    <cellStyle name="Normal 6 2 18 6 2 2 3" xfId="26960" xr:uid="{00000000-0005-0000-0000-0000198B0000}"/>
    <cellStyle name="Normal 6 2 18 6 2 2 4" xfId="50222" xr:uid="{00000000-0005-0000-0000-00001A8B0000}"/>
    <cellStyle name="Normal 6 2 18 6 2 3" xfId="17525" xr:uid="{00000000-0005-0000-0000-00001B8B0000}"/>
    <cellStyle name="Normal 6 2 18 6 2 3 2" xfId="31657" xr:uid="{00000000-0005-0000-0000-00001C8B0000}"/>
    <cellStyle name="Normal 6 2 18 6 2 3 3" xfId="45552" xr:uid="{00000000-0005-0000-0000-00001D8B0000}"/>
    <cellStyle name="Normal 6 2 18 6 2 4" xfId="22338" xr:uid="{00000000-0005-0000-0000-00001E8B0000}"/>
    <cellStyle name="Normal 6 2 18 6 2 5" xfId="40970" xr:uid="{00000000-0005-0000-0000-00001F8B0000}"/>
    <cellStyle name="Normal 6 2 18 6 3" xfId="12793" xr:uid="{00000000-0005-0000-0000-0000208B0000}"/>
    <cellStyle name="Normal 6 2 18 6 3 2" xfId="36278" xr:uid="{00000000-0005-0000-0000-0000218B0000}"/>
    <cellStyle name="Normal 6 2 18 6 3 3" xfId="26959" xr:uid="{00000000-0005-0000-0000-0000228B0000}"/>
    <cellStyle name="Normal 6 2 18 6 3 4" xfId="50221" xr:uid="{00000000-0005-0000-0000-0000238B0000}"/>
    <cellStyle name="Normal 6 2 18 6 4" xfId="17524" xr:uid="{00000000-0005-0000-0000-0000248B0000}"/>
    <cellStyle name="Normal 6 2 18 6 4 2" xfId="31656" xr:uid="{00000000-0005-0000-0000-0000258B0000}"/>
    <cellStyle name="Normal 6 2 18 6 4 3" xfId="45551" xr:uid="{00000000-0005-0000-0000-0000268B0000}"/>
    <cellStyle name="Normal 6 2 18 6 5" xfId="22337" xr:uid="{00000000-0005-0000-0000-0000278B0000}"/>
    <cellStyle name="Normal 6 2 18 6 6" xfId="40969" xr:uid="{00000000-0005-0000-0000-0000288B0000}"/>
    <cellStyle name="Normal 6 2 18 7" xfId="7014" xr:uid="{00000000-0005-0000-0000-0000298B0000}"/>
    <cellStyle name="Normal 6 2 18 7 2" xfId="12795" xr:uid="{00000000-0005-0000-0000-00002A8B0000}"/>
    <cellStyle name="Normal 6 2 18 7 2 2" xfId="36280" xr:uid="{00000000-0005-0000-0000-00002B8B0000}"/>
    <cellStyle name="Normal 6 2 18 7 2 3" xfId="26961" xr:uid="{00000000-0005-0000-0000-00002C8B0000}"/>
    <cellStyle name="Normal 6 2 18 7 2 4" xfId="50223" xr:uid="{00000000-0005-0000-0000-00002D8B0000}"/>
    <cellStyle name="Normal 6 2 18 7 3" xfId="17526" xr:uid="{00000000-0005-0000-0000-00002E8B0000}"/>
    <cellStyle name="Normal 6 2 18 7 3 2" xfId="31658" xr:uid="{00000000-0005-0000-0000-00002F8B0000}"/>
    <cellStyle name="Normal 6 2 18 7 3 3" xfId="45553" xr:uid="{00000000-0005-0000-0000-0000308B0000}"/>
    <cellStyle name="Normal 6 2 18 7 4" xfId="22339" xr:uid="{00000000-0005-0000-0000-0000318B0000}"/>
    <cellStyle name="Normal 6 2 18 7 5" xfId="40971" xr:uid="{00000000-0005-0000-0000-0000328B0000}"/>
    <cellStyle name="Normal 6 2 18 8" xfId="12784" xr:uid="{00000000-0005-0000-0000-0000338B0000}"/>
    <cellStyle name="Normal 6 2 18 8 2" xfId="36269" xr:uid="{00000000-0005-0000-0000-0000348B0000}"/>
    <cellStyle name="Normal 6 2 18 8 3" xfId="26950" xr:uid="{00000000-0005-0000-0000-0000358B0000}"/>
    <cellStyle name="Normal 6 2 18 8 4" xfId="50212" xr:uid="{00000000-0005-0000-0000-0000368B0000}"/>
    <cellStyle name="Normal 6 2 18 9" xfId="17515" xr:uid="{00000000-0005-0000-0000-0000378B0000}"/>
    <cellStyle name="Normal 6 2 18 9 2" xfId="31647" xr:uid="{00000000-0005-0000-0000-0000388B0000}"/>
    <cellStyle name="Normal 6 2 18 9 3" xfId="45542" xr:uid="{00000000-0005-0000-0000-0000398B0000}"/>
    <cellStyle name="Normal 6 2 19" xfId="7015" xr:uid="{00000000-0005-0000-0000-00003A8B0000}"/>
    <cellStyle name="Normal 6 2 19 10" xfId="22340" xr:uid="{00000000-0005-0000-0000-00003B8B0000}"/>
    <cellStyle name="Normal 6 2 19 11" xfId="40972" xr:uid="{00000000-0005-0000-0000-00003C8B0000}"/>
    <cellStyle name="Normal 6 2 19 2" xfId="7016" xr:uid="{00000000-0005-0000-0000-00003D8B0000}"/>
    <cellStyle name="Normal 6 2 19 2 2" xfId="7017" xr:uid="{00000000-0005-0000-0000-00003E8B0000}"/>
    <cellStyle name="Normal 6 2 19 2 2 2" xfId="12798" xr:uid="{00000000-0005-0000-0000-00003F8B0000}"/>
    <cellStyle name="Normal 6 2 19 2 2 2 2" xfId="36283" xr:uid="{00000000-0005-0000-0000-0000408B0000}"/>
    <cellStyle name="Normal 6 2 19 2 2 2 3" xfId="26964" xr:uid="{00000000-0005-0000-0000-0000418B0000}"/>
    <cellStyle name="Normal 6 2 19 2 2 2 4" xfId="50226" xr:uid="{00000000-0005-0000-0000-0000428B0000}"/>
    <cellStyle name="Normal 6 2 19 2 2 3" xfId="17529" xr:uid="{00000000-0005-0000-0000-0000438B0000}"/>
    <cellStyle name="Normal 6 2 19 2 2 3 2" xfId="31661" xr:uid="{00000000-0005-0000-0000-0000448B0000}"/>
    <cellStyle name="Normal 6 2 19 2 2 3 3" xfId="45556" xr:uid="{00000000-0005-0000-0000-0000458B0000}"/>
    <cellStyle name="Normal 6 2 19 2 2 4" xfId="22342" xr:uid="{00000000-0005-0000-0000-0000468B0000}"/>
    <cellStyle name="Normal 6 2 19 2 2 5" xfId="40974" xr:uid="{00000000-0005-0000-0000-0000478B0000}"/>
    <cellStyle name="Normal 6 2 19 2 3" xfId="12797" xr:uid="{00000000-0005-0000-0000-0000488B0000}"/>
    <cellStyle name="Normal 6 2 19 2 3 2" xfId="36282" xr:uid="{00000000-0005-0000-0000-0000498B0000}"/>
    <cellStyle name="Normal 6 2 19 2 3 3" xfId="26963" xr:uid="{00000000-0005-0000-0000-00004A8B0000}"/>
    <cellStyle name="Normal 6 2 19 2 3 4" xfId="50225" xr:uid="{00000000-0005-0000-0000-00004B8B0000}"/>
    <cellStyle name="Normal 6 2 19 2 4" xfId="17528" xr:uid="{00000000-0005-0000-0000-00004C8B0000}"/>
    <cellStyle name="Normal 6 2 19 2 4 2" xfId="31660" xr:uid="{00000000-0005-0000-0000-00004D8B0000}"/>
    <cellStyle name="Normal 6 2 19 2 4 3" xfId="45555" xr:uid="{00000000-0005-0000-0000-00004E8B0000}"/>
    <cellStyle name="Normal 6 2 19 2 5" xfId="22341" xr:uid="{00000000-0005-0000-0000-00004F8B0000}"/>
    <cellStyle name="Normal 6 2 19 2 6" xfId="40973" xr:uid="{00000000-0005-0000-0000-0000508B0000}"/>
    <cellStyle name="Normal 6 2 19 3" xfId="7018" xr:uid="{00000000-0005-0000-0000-0000518B0000}"/>
    <cellStyle name="Normal 6 2 19 3 2" xfId="7019" xr:uid="{00000000-0005-0000-0000-0000528B0000}"/>
    <cellStyle name="Normal 6 2 19 3 2 2" xfId="12800" xr:uid="{00000000-0005-0000-0000-0000538B0000}"/>
    <cellStyle name="Normal 6 2 19 3 2 2 2" xfId="36285" xr:uid="{00000000-0005-0000-0000-0000548B0000}"/>
    <cellStyle name="Normal 6 2 19 3 2 2 3" xfId="26966" xr:uid="{00000000-0005-0000-0000-0000558B0000}"/>
    <cellStyle name="Normal 6 2 19 3 2 2 4" xfId="50228" xr:uid="{00000000-0005-0000-0000-0000568B0000}"/>
    <cellStyle name="Normal 6 2 19 3 2 3" xfId="17531" xr:uid="{00000000-0005-0000-0000-0000578B0000}"/>
    <cellStyle name="Normal 6 2 19 3 2 3 2" xfId="31663" xr:uid="{00000000-0005-0000-0000-0000588B0000}"/>
    <cellStyle name="Normal 6 2 19 3 2 3 3" xfId="45558" xr:uid="{00000000-0005-0000-0000-0000598B0000}"/>
    <cellStyle name="Normal 6 2 19 3 2 4" xfId="22344" xr:uid="{00000000-0005-0000-0000-00005A8B0000}"/>
    <cellStyle name="Normal 6 2 19 3 2 5" xfId="40976" xr:uid="{00000000-0005-0000-0000-00005B8B0000}"/>
    <cellStyle name="Normal 6 2 19 3 3" xfId="12799" xr:uid="{00000000-0005-0000-0000-00005C8B0000}"/>
    <cellStyle name="Normal 6 2 19 3 3 2" xfId="36284" xr:uid="{00000000-0005-0000-0000-00005D8B0000}"/>
    <cellStyle name="Normal 6 2 19 3 3 3" xfId="26965" xr:uid="{00000000-0005-0000-0000-00005E8B0000}"/>
    <cellStyle name="Normal 6 2 19 3 3 4" xfId="50227" xr:uid="{00000000-0005-0000-0000-00005F8B0000}"/>
    <cellStyle name="Normal 6 2 19 3 4" xfId="17530" xr:uid="{00000000-0005-0000-0000-0000608B0000}"/>
    <cellStyle name="Normal 6 2 19 3 4 2" xfId="31662" xr:uid="{00000000-0005-0000-0000-0000618B0000}"/>
    <cellStyle name="Normal 6 2 19 3 4 3" xfId="45557" xr:uid="{00000000-0005-0000-0000-0000628B0000}"/>
    <cellStyle name="Normal 6 2 19 3 5" xfId="22343" xr:uid="{00000000-0005-0000-0000-0000638B0000}"/>
    <cellStyle name="Normal 6 2 19 3 6" xfId="40975" xr:uid="{00000000-0005-0000-0000-0000648B0000}"/>
    <cellStyle name="Normal 6 2 19 4" xfId="7020" xr:uid="{00000000-0005-0000-0000-0000658B0000}"/>
    <cellStyle name="Normal 6 2 19 4 2" xfId="7021" xr:uid="{00000000-0005-0000-0000-0000668B0000}"/>
    <cellStyle name="Normal 6 2 19 4 2 2" xfId="12802" xr:uid="{00000000-0005-0000-0000-0000678B0000}"/>
    <cellStyle name="Normal 6 2 19 4 2 2 2" xfId="36287" xr:uid="{00000000-0005-0000-0000-0000688B0000}"/>
    <cellStyle name="Normal 6 2 19 4 2 2 3" xfId="26968" xr:uid="{00000000-0005-0000-0000-0000698B0000}"/>
    <cellStyle name="Normal 6 2 19 4 2 2 4" xfId="50230" xr:uid="{00000000-0005-0000-0000-00006A8B0000}"/>
    <cellStyle name="Normal 6 2 19 4 2 3" xfId="17533" xr:uid="{00000000-0005-0000-0000-00006B8B0000}"/>
    <cellStyle name="Normal 6 2 19 4 2 3 2" xfId="31665" xr:uid="{00000000-0005-0000-0000-00006C8B0000}"/>
    <cellStyle name="Normal 6 2 19 4 2 3 3" xfId="45560" xr:uid="{00000000-0005-0000-0000-00006D8B0000}"/>
    <cellStyle name="Normal 6 2 19 4 2 4" xfId="22346" xr:uid="{00000000-0005-0000-0000-00006E8B0000}"/>
    <cellStyle name="Normal 6 2 19 4 2 5" xfId="40978" xr:uid="{00000000-0005-0000-0000-00006F8B0000}"/>
    <cellStyle name="Normal 6 2 19 4 3" xfId="12801" xr:uid="{00000000-0005-0000-0000-0000708B0000}"/>
    <cellStyle name="Normal 6 2 19 4 3 2" xfId="36286" xr:uid="{00000000-0005-0000-0000-0000718B0000}"/>
    <cellStyle name="Normal 6 2 19 4 3 3" xfId="26967" xr:uid="{00000000-0005-0000-0000-0000728B0000}"/>
    <cellStyle name="Normal 6 2 19 4 3 4" xfId="50229" xr:uid="{00000000-0005-0000-0000-0000738B0000}"/>
    <cellStyle name="Normal 6 2 19 4 4" xfId="17532" xr:uid="{00000000-0005-0000-0000-0000748B0000}"/>
    <cellStyle name="Normal 6 2 19 4 4 2" xfId="31664" xr:uid="{00000000-0005-0000-0000-0000758B0000}"/>
    <cellStyle name="Normal 6 2 19 4 4 3" xfId="45559" xr:uid="{00000000-0005-0000-0000-0000768B0000}"/>
    <cellStyle name="Normal 6 2 19 4 5" xfId="22345" xr:uid="{00000000-0005-0000-0000-0000778B0000}"/>
    <cellStyle name="Normal 6 2 19 4 6" xfId="40977" xr:uid="{00000000-0005-0000-0000-0000788B0000}"/>
    <cellStyle name="Normal 6 2 19 5" xfId="7022" xr:uid="{00000000-0005-0000-0000-0000798B0000}"/>
    <cellStyle name="Normal 6 2 19 5 2" xfId="7023" xr:uid="{00000000-0005-0000-0000-00007A8B0000}"/>
    <cellStyle name="Normal 6 2 19 5 2 2" xfId="12804" xr:uid="{00000000-0005-0000-0000-00007B8B0000}"/>
    <cellStyle name="Normal 6 2 19 5 2 2 2" xfId="36289" xr:uid="{00000000-0005-0000-0000-00007C8B0000}"/>
    <cellStyle name="Normal 6 2 19 5 2 2 3" xfId="26970" xr:uid="{00000000-0005-0000-0000-00007D8B0000}"/>
    <cellStyle name="Normal 6 2 19 5 2 2 4" xfId="50232" xr:uid="{00000000-0005-0000-0000-00007E8B0000}"/>
    <cellStyle name="Normal 6 2 19 5 2 3" xfId="17535" xr:uid="{00000000-0005-0000-0000-00007F8B0000}"/>
    <cellStyle name="Normal 6 2 19 5 2 3 2" xfId="31667" xr:uid="{00000000-0005-0000-0000-0000808B0000}"/>
    <cellStyle name="Normal 6 2 19 5 2 3 3" xfId="45562" xr:uid="{00000000-0005-0000-0000-0000818B0000}"/>
    <cellStyle name="Normal 6 2 19 5 2 4" xfId="22348" xr:uid="{00000000-0005-0000-0000-0000828B0000}"/>
    <cellStyle name="Normal 6 2 19 5 2 5" xfId="40980" xr:uid="{00000000-0005-0000-0000-0000838B0000}"/>
    <cellStyle name="Normal 6 2 19 5 3" xfId="12803" xr:uid="{00000000-0005-0000-0000-0000848B0000}"/>
    <cellStyle name="Normal 6 2 19 5 3 2" xfId="36288" xr:uid="{00000000-0005-0000-0000-0000858B0000}"/>
    <cellStyle name="Normal 6 2 19 5 3 3" xfId="26969" xr:uid="{00000000-0005-0000-0000-0000868B0000}"/>
    <cellStyle name="Normal 6 2 19 5 3 4" xfId="50231" xr:uid="{00000000-0005-0000-0000-0000878B0000}"/>
    <cellStyle name="Normal 6 2 19 5 4" xfId="17534" xr:uid="{00000000-0005-0000-0000-0000888B0000}"/>
    <cellStyle name="Normal 6 2 19 5 4 2" xfId="31666" xr:uid="{00000000-0005-0000-0000-0000898B0000}"/>
    <cellStyle name="Normal 6 2 19 5 4 3" xfId="45561" xr:uid="{00000000-0005-0000-0000-00008A8B0000}"/>
    <cellStyle name="Normal 6 2 19 5 5" xfId="22347" xr:uid="{00000000-0005-0000-0000-00008B8B0000}"/>
    <cellStyle name="Normal 6 2 19 5 6" xfId="40979" xr:uid="{00000000-0005-0000-0000-00008C8B0000}"/>
    <cellStyle name="Normal 6 2 19 6" xfId="7024" xr:uid="{00000000-0005-0000-0000-00008D8B0000}"/>
    <cellStyle name="Normal 6 2 19 6 2" xfId="7025" xr:uid="{00000000-0005-0000-0000-00008E8B0000}"/>
    <cellStyle name="Normal 6 2 19 6 2 2" xfId="12806" xr:uid="{00000000-0005-0000-0000-00008F8B0000}"/>
    <cellStyle name="Normal 6 2 19 6 2 2 2" xfId="36291" xr:uid="{00000000-0005-0000-0000-0000908B0000}"/>
    <cellStyle name="Normal 6 2 19 6 2 2 3" xfId="26972" xr:uid="{00000000-0005-0000-0000-0000918B0000}"/>
    <cellStyle name="Normal 6 2 19 6 2 2 4" xfId="50234" xr:uid="{00000000-0005-0000-0000-0000928B0000}"/>
    <cellStyle name="Normal 6 2 19 6 2 3" xfId="17537" xr:uid="{00000000-0005-0000-0000-0000938B0000}"/>
    <cellStyle name="Normal 6 2 19 6 2 3 2" xfId="31669" xr:uid="{00000000-0005-0000-0000-0000948B0000}"/>
    <cellStyle name="Normal 6 2 19 6 2 3 3" xfId="45564" xr:uid="{00000000-0005-0000-0000-0000958B0000}"/>
    <cellStyle name="Normal 6 2 19 6 2 4" xfId="22350" xr:uid="{00000000-0005-0000-0000-0000968B0000}"/>
    <cellStyle name="Normal 6 2 19 6 2 5" xfId="40982" xr:uid="{00000000-0005-0000-0000-0000978B0000}"/>
    <cellStyle name="Normal 6 2 19 6 3" xfId="12805" xr:uid="{00000000-0005-0000-0000-0000988B0000}"/>
    <cellStyle name="Normal 6 2 19 6 3 2" xfId="36290" xr:uid="{00000000-0005-0000-0000-0000998B0000}"/>
    <cellStyle name="Normal 6 2 19 6 3 3" xfId="26971" xr:uid="{00000000-0005-0000-0000-00009A8B0000}"/>
    <cellStyle name="Normal 6 2 19 6 3 4" xfId="50233" xr:uid="{00000000-0005-0000-0000-00009B8B0000}"/>
    <cellStyle name="Normal 6 2 19 6 4" xfId="17536" xr:uid="{00000000-0005-0000-0000-00009C8B0000}"/>
    <cellStyle name="Normal 6 2 19 6 4 2" xfId="31668" xr:uid="{00000000-0005-0000-0000-00009D8B0000}"/>
    <cellStyle name="Normal 6 2 19 6 4 3" xfId="45563" xr:uid="{00000000-0005-0000-0000-00009E8B0000}"/>
    <cellStyle name="Normal 6 2 19 6 5" xfId="22349" xr:uid="{00000000-0005-0000-0000-00009F8B0000}"/>
    <cellStyle name="Normal 6 2 19 6 6" xfId="40981" xr:uid="{00000000-0005-0000-0000-0000A08B0000}"/>
    <cellStyle name="Normal 6 2 19 7" xfId="7026" xr:uid="{00000000-0005-0000-0000-0000A18B0000}"/>
    <cellStyle name="Normal 6 2 19 7 2" xfId="12807" xr:uid="{00000000-0005-0000-0000-0000A28B0000}"/>
    <cellStyle name="Normal 6 2 19 7 2 2" xfId="36292" xr:uid="{00000000-0005-0000-0000-0000A38B0000}"/>
    <cellStyle name="Normal 6 2 19 7 2 3" xfId="26973" xr:uid="{00000000-0005-0000-0000-0000A48B0000}"/>
    <cellStyle name="Normal 6 2 19 7 2 4" xfId="50235" xr:uid="{00000000-0005-0000-0000-0000A58B0000}"/>
    <cellStyle name="Normal 6 2 19 7 3" xfId="17538" xr:uid="{00000000-0005-0000-0000-0000A68B0000}"/>
    <cellStyle name="Normal 6 2 19 7 3 2" xfId="31670" xr:uid="{00000000-0005-0000-0000-0000A78B0000}"/>
    <cellStyle name="Normal 6 2 19 7 3 3" xfId="45565" xr:uid="{00000000-0005-0000-0000-0000A88B0000}"/>
    <cellStyle name="Normal 6 2 19 7 4" xfId="22351" xr:uid="{00000000-0005-0000-0000-0000A98B0000}"/>
    <cellStyle name="Normal 6 2 19 7 5" xfId="40983" xr:uid="{00000000-0005-0000-0000-0000AA8B0000}"/>
    <cellStyle name="Normal 6 2 19 8" xfId="12796" xr:uid="{00000000-0005-0000-0000-0000AB8B0000}"/>
    <cellStyle name="Normal 6 2 19 8 2" xfId="36281" xr:uid="{00000000-0005-0000-0000-0000AC8B0000}"/>
    <cellStyle name="Normal 6 2 19 8 3" xfId="26962" xr:uid="{00000000-0005-0000-0000-0000AD8B0000}"/>
    <cellStyle name="Normal 6 2 19 8 4" xfId="50224" xr:uid="{00000000-0005-0000-0000-0000AE8B0000}"/>
    <cellStyle name="Normal 6 2 19 9" xfId="17527" xr:uid="{00000000-0005-0000-0000-0000AF8B0000}"/>
    <cellStyle name="Normal 6 2 19 9 2" xfId="31659" xr:uid="{00000000-0005-0000-0000-0000B08B0000}"/>
    <cellStyle name="Normal 6 2 19 9 3" xfId="45554" xr:uid="{00000000-0005-0000-0000-0000B18B0000}"/>
    <cellStyle name="Normal 6 2 2" xfId="333" xr:uid="{00000000-0005-0000-0000-0000B28B0000}"/>
    <cellStyle name="Normal 6 2 2 10" xfId="7027" xr:uid="{00000000-0005-0000-0000-0000B38B0000}"/>
    <cellStyle name="Normal 6 2 2 10 10" xfId="22352" xr:uid="{00000000-0005-0000-0000-0000B48B0000}"/>
    <cellStyle name="Normal 6 2 2 10 11" xfId="40984" xr:uid="{00000000-0005-0000-0000-0000B58B0000}"/>
    <cellStyle name="Normal 6 2 2 10 2" xfId="7028" xr:uid="{00000000-0005-0000-0000-0000B68B0000}"/>
    <cellStyle name="Normal 6 2 2 10 2 2" xfId="7029" xr:uid="{00000000-0005-0000-0000-0000B78B0000}"/>
    <cellStyle name="Normal 6 2 2 10 2 2 2" xfId="12810" xr:uid="{00000000-0005-0000-0000-0000B88B0000}"/>
    <cellStyle name="Normal 6 2 2 10 2 2 2 2" xfId="36295" xr:uid="{00000000-0005-0000-0000-0000B98B0000}"/>
    <cellStyle name="Normal 6 2 2 10 2 2 2 3" xfId="26976" xr:uid="{00000000-0005-0000-0000-0000BA8B0000}"/>
    <cellStyle name="Normal 6 2 2 10 2 2 2 4" xfId="50238" xr:uid="{00000000-0005-0000-0000-0000BB8B0000}"/>
    <cellStyle name="Normal 6 2 2 10 2 2 3" xfId="17541" xr:uid="{00000000-0005-0000-0000-0000BC8B0000}"/>
    <cellStyle name="Normal 6 2 2 10 2 2 3 2" xfId="31673" xr:uid="{00000000-0005-0000-0000-0000BD8B0000}"/>
    <cellStyle name="Normal 6 2 2 10 2 2 3 3" xfId="45568" xr:uid="{00000000-0005-0000-0000-0000BE8B0000}"/>
    <cellStyle name="Normal 6 2 2 10 2 2 4" xfId="22354" xr:uid="{00000000-0005-0000-0000-0000BF8B0000}"/>
    <cellStyle name="Normal 6 2 2 10 2 2 5" xfId="40986" xr:uid="{00000000-0005-0000-0000-0000C08B0000}"/>
    <cellStyle name="Normal 6 2 2 10 2 3" xfId="12809" xr:uid="{00000000-0005-0000-0000-0000C18B0000}"/>
    <cellStyle name="Normal 6 2 2 10 2 3 2" xfId="36294" xr:uid="{00000000-0005-0000-0000-0000C28B0000}"/>
    <cellStyle name="Normal 6 2 2 10 2 3 3" xfId="26975" xr:uid="{00000000-0005-0000-0000-0000C38B0000}"/>
    <cellStyle name="Normal 6 2 2 10 2 3 4" xfId="50237" xr:uid="{00000000-0005-0000-0000-0000C48B0000}"/>
    <cellStyle name="Normal 6 2 2 10 2 4" xfId="17540" xr:uid="{00000000-0005-0000-0000-0000C58B0000}"/>
    <cellStyle name="Normal 6 2 2 10 2 4 2" xfId="31672" xr:uid="{00000000-0005-0000-0000-0000C68B0000}"/>
    <cellStyle name="Normal 6 2 2 10 2 4 3" xfId="45567" xr:uid="{00000000-0005-0000-0000-0000C78B0000}"/>
    <cellStyle name="Normal 6 2 2 10 2 5" xfId="22353" xr:uid="{00000000-0005-0000-0000-0000C88B0000}"/>
    <cellStyle name="Normal 6 2 2 10 2 6" xfId="40985" xr:uid="{00000000-0005-0000-0000-0000C98B0000}"/>
    <cellStyle name="Normal 6 2 2 10 3" xfId="7030" xr:uid="{00000000-0005-0000-0000-0000CA8B0000}"/>
    <cellStyle name="Normal 6 2 2 10 3 2" xfId="7031" xr:uid="{00000000-0005-0000-0000-0000CB8B0000}"/>
    <cellStyle name="Normal 6 2 2 10 3 2 2" xfId="12812" xr:uid="{00000000-0005-0000-0000-0000CC8B0000}"/>
    <cellStyle name="Normal 6 2 2 10 3 2 2 2" xfId="36297" xr:uid="{00000000-0005-0000-0000-0000CD8B0000}"/>
    <cellStyle name="Normal 6 2 2 10 3 2 2 3" xfId="26978" xr:uid="{00000000-0005-0000-0000-0000CE8B0000}"/>
    <cellStyle name="Normal 6 2 2 10 3 2 2 4" xfId="50240" xr:uid="{00000000-0005-0000-0000-0000CF8B0000}"/>
    <cellStyle name="Normal 6 2 2 10 3 2 3" xfId="17543" xr:uid="{00000000-0005-0000-0000-0000D08B0000}"/>
    <cellStyle name="Normal 6 2 2 10 3 2 3 2" xfId="31675" xr:uid="{00000000-0005-0000-0000-0000D18B0000}"/>
    <cellStyle name="Normal 6 2 2 10 3 2 3 3" xfId="45570" xr:uid="{00000000-0005-0000-0000-0000D28B0000}"/>
    <cellStyle name="Normal 6 2 2 10 3 2 4" xfId="22356" xr:uid="{00000000-0005-0000-0000-0000D38B0000}"/>
    <cellStyle name="Normal 6 2 2 10 3 2 5" xfId="40988" xr:uid="{00000000-0005-0000-0000-0000D48B0000}"/>
    <cellStyle name="Normal 6 2 2 10 3 3" xfId="12811" xr:uid="{00000000-0005-0000-0000-0000D58B0000}"/>
    <cellStyle name="Normal 6 2 2 10 3 3 2" xfId="36296" xr:uid="{00000000-0005-0000-0000-0000D68B0000}"/>
    <cellStyle name="Normal 6 2 2 10 3 3 3" xfId="26977" xr:uid="{00000000-0005-0000-0000-0000D78B0000}"/>
    <cellStyle name="Normal 6 2 2 10 3 3 4" xfId="50239" xr:uid="{00000000-0005-0000-0000-0000D88B0000}"/>
    <cellStyle name="Normal 6 2 2 10 3 4" xfId="17542" xr:uid="{00000000-0005-0000-0000-0000D98B0000}"/>
    <cellStyle name="Normal 6 2 2 10 3 4 2" xfId="31674" xr:uid="{00000000-0005-0000-0000-0000DA8B0000}"/>
    <cellStyle name="Normal 6 2 2 10 3 4 3" xfId="45569" xr:uid="{00000000-0005-0000-0000-0000DB8B0000}"/>
    <cellStyle name="Normal 6 2 2 10 3 5" xfId="22355" xr:uid="{00000000-0005-0000-0000-0000DC8B0000}"/>
    <cellStyle name="Normal 6 2 2 10 3 6" xfId="40987" xr:uid="{00000000-0005-0000-0000-0000DD8B0000}"/>
    <cellStyle name="Normal 6 2 2 10 4" xfId="7032" xr:uid="{00000000-0005-0000-0000-0000DE8B0000}"/>
    <cellStyle name="Normal 6 2 2 10 4 2" xfId="7033" xr:uid="{00000000-0005-0000-0000-0000DF8B0000}"/>
    <cellStyle name="Normal 6 2 2 10 4 2 2" xfId="12814" xr:uid="{00000000-0005-0000-0000-0000E08B0000}"/>
    <cellStyle name="Normal 6 2 2 10 4 2 2 2" xfId="36299" xr:uid="{00000000-0005-0000-0000-0000E18B0000}"/>
    <cellStyle name="Normal 6 2 2 10 4 2 2 3" xfId="26980" xr:uid="{00000000-0005-0000-0000-0000E28B0000}"/>
    <cellStyle name="Normal 6 2 2 10 4 2 2 4" xfId="50242" xr:uid="{00000000-0005-0000-0000-0000E38B0000}"/>
    <cellStyle name="Normal 6 2 2 10 4 2 3" xfId="17545" xr:uid="{00000000-0005-0000-0000-0000E48B0000}"/>
    <cellStyle name="Normal 6 2 2 10 4 2 3 2" xfId="31677" xr:uid="{00000000-0005-0000-0000-0000E58B0000}"/>
    <cellStyle name="Normal 6 2 2 10 4 2 3 3" xfId="45572" xr:uid="{00000000-0005-0000-0000-0000E68B0000}"/>
    <cellStyle name="Normal 6 2 2 10 4 2 4" xfId="22358" xr:uid="{00000000-0005-0000-0000-0000E78B0000}"/>
    <cellStyle name="Normal 6 2 2 10 4 2 5" xfId="40990" xr:uid="{00000000-0005-0000-0000-0000E88B0000}"/>
    <cellStyle name="Normal 6 2 2 10 4 3" xfId="12813" xr:uid="{00000000-0005-0000-0000-0000E98B0000}"/>
    <cellStyle name="Normal 6 2 2 10 4 3 2" xfId="36298" xr:uid="{00000000-0005-0000-0000-0000EA8B0000}"/>
    <cellStyle name="Normal 6 2 2 10 4 3 3" xfId="26979" xr:uid="{00000000-0005-0000-0000-0000EB8B0000}"/>
    <cellStyle name="Normal 6 2 2 10 4 3 4" xfId="50241" xr:uid="{00000000-0005-0000-0000-0000EC8B0000}"/>
    <cellStyle name="Normal 6 2 2 10 4 4" xfId="17544" xr:uid="{00000000-0005-0000-0000-0000ED8B0000}"/>
    <cellStyle name="Normal 6 2 2 10 4 4 2" xfId="31676" xr:uid="{00000000-0005-0000-0000-0000EE8B0000}"/>
    <cellStyle name="Normal 6 2 2 10 4 4 3" xfId="45571" xr:uid="{00000000-0005-0000-0000-0000EF8B0000}"/>
    <cellStyle name="Normal 6 2 2 10 4 5" xfId="22357" xr:uid="{00000000-0005-0000-0000-0000F08B0000}"/>
    <cellStyle name="Normal 6 2 2 10 4 6" xfId="40989" xr:uid="{00000000-0005-0000-0000-0000F18B0000}"/>
    <cellStyle name="Normal 6 2 2 10 5" xfId="7034" xr:uid="{00000000-0005-0000-0000-0000F28B0000}"/>
    <cellStyle name="Normal 6 2 2 10 5 2" xfId="7035" xr:uid="{00000000-0005-0000-0000-0000F38B0000}"/>
    <cellStyle name="Normal 6 2 2 10 5 2 2" xfId="12816" xr:uid="{00000000-0005-0000-0000-0000F48B0000}"/>
    <cellStyle name="Normal 6 2 2 10 5 2 2 2" xfId="36301" xr:uid="{00000000-0005-0000-0000-0000F58B0000}"/>
    <cellStyle name="Normal 6 2 2 10 5 2 2 3" xfId="26982" xr:uid="{00000000-0005-0000-0000-0000F68B0000}"/>
    <cellStyle name="Normal 6 2 2 10 5 2 2 4" xfId="50244" xr:uid="{00000000-0005-0000-0000-0000F78B0000}"/>
    <cellStyle name="Normal 6 2 2 10 5 2 3" xfId="17547" xr:uid="{00000000-0005-0000-0000-0000F88B0000}"/>
    <cellStyle name="Normal 6 2 2 10 5 2 3 2" xfId="31679" xr:uid="{00000000-0005-0000-0000-0000F98B0000}"/>
    <cellStyle name="Normal 6 2 2 10 5 2 3 3" xfId="45574" xr:uid="{00000000-0005-0000-0000-0000FA8B0000}"/>
    <cellStyle name="Normal 6 2 2 10 5 2 4" xfId="22360" xr:uid="{00000000-0005-0000-0000-0000FB8B0000}"/>
    <cellStyle name="Normal 6 2 2 10 5 2 5" xfId="40992" xr:uid="{00000000-0005-0000-0000-0000FC8B0000}"/>
    <cellStyle name="Normal 6 2 2 10 5 3" xfId="12815" xr:uid="{00000000-0005-0000-0000-0000FD8B0000}"/>
    <cellStyle name="Normal 6 2 2 10 5 3 2" xfId="36300" xr:uid="{00000000-0005-0000-0000-0000FE8B0000}"/>
    <cellStyle name="Normal 6 2 2 10 5 3 3" xfId="26981" xr:uid="{00000000-0005-0000-0000-0000FF8B0000}"/>
    <cellStyle name="Normal 6 2 2 10 5 3 4" xfId="50243" xr:uid="{00000000-0005-0000-0000-0000008C0000}"/>
    <cellStyle name="Normal 6 2 2 10 5 4" xfId="17546" xr:uid="{00000000-0005-0000-0000-0000018C0000}"/>
    <cellStyle name="Normal 6 2 2 10 5 4 2" xfId="31678" xr:uid="{00000000-0005-0000-0000-0000028C0000}"/>
    <cellStyle name="Normal 6 2 2 10 5 4 3" xfId="45573" xr:uid="{00000000-0005-0000-0000-0000038C0000}"/>
    <cellStyle name="Normal 6 2 2 10 5 5" xfId="22359" xr:uid="{00000000-0005-0000-0000-0000048C0000}"/>
    <cellStyle name="Normal 6 2 2 10 5 6" xfId="40991" xr:uid="{00000000-0005-0000-0000-0000058C0000}"/>
    <cellStyle name="Normal 6 2 2 10 6" xfId="7036" xr:uid="{00000000-0005-0000-0000-0000068C0000}"/>
    <cellStyle name="Normal 6 2 2 10 6 2" xfId="7037" xr:uid="{00000000-0005-0000-0000-0000078C0000}"/>
    <cellStyle name="Normal 6 2 2 10 6 2 2" xfId="12818" xr:uid="{00000000-0005-0000-0000-0000088C0000}"/>
    <cellStyle name="Normal 6 2 2 10 6 2 2 2" xfId="36303" xr:uid="{00000000-0005-0000-0000-0000098C0000}"/>
    <cellStyle name="Normal 6 2 2 10 6 2 2 3" xfId="26984" xr:uid="{00000000-0005-0000-0000-00000A8C0000}"/>
    <cellStyle name="Normal 6 2 2 10 6 2 2 4" xfId="50246" xr:uid="{00000000-0005-0000-0000-00000B8C0000}"/>
    <cellStyle name="Normal 6 2 2 10 6 2 3" xfId="17549" xr:uid="{00000000-0005-0000-0000-00000C8C0000}"/>
    <cellStyle name="Normal 6 2 2 10 6 2 3 2" xfId="31681" xr:uid="{00000000-0005-0000-0000-00000D8C0000}"/>
    <cellStyle name="Normal 6 2 2 10 6 2 3 3" xfId="45576" xr:uid="{00000000-0005-0000-0000-00000E8C0000}"/>
    <cellStyle name="Normal 6 2 2 10 6 2 4" xfId="22362" xr:uid="{00000000-0005-0000-0000-00000F8C0000}"/>
    <cellStyle name="Normal 6 2 2 10 6 2 5" xfId="40994" xr:uid="{00000000-0005-0000-0000-0000108C0000}"/>
    <cellStyle name="Normal 6 2 2 10 6 3" xfId="12817" xr:uid="{00000000-0005-0000-0000-0000118C0000}"/>
    <cellStyle name="Normal 6 2 2 10 6 3 2" xfId="36302" xr:uid="{00000000-0005-0000-0000-0000128C0000}"/>
    <cellStyle name="Normal 6 2 2 10 6 3 3" xfId="26983" xr:uid="{00000000-0005-0000-0000-0000138C0000}"/>
    <cellStyle name="Normal 6 2 2 10 6 3 4" xfId="50245" xr:uid="{00000000-0005-0000-0000-0000148C0000}"/>
    <cellStyle name="Normal 6 2 2 10 6 4" xfId="17548" xr:uid="{00000000-0005-0000-0000-0000158C0000}"/>
    <cellStyle name="Normal 6 2 2 10 6 4 2" xfId="31680" xr:uid="{00000000-0005-0000-0000-0000168C0000}"/>
    <cellStyle name="Normal 6 2 2 10 6 4 3" xfId="45575" xr:uid="{00000000-0005-0000-0000-0000178C0000}"/>
    <cellStyle name="Normal 6 2 2 10 6 5" xfId="22361" xr:uid="{00000000-0005-0000-0000-0000188C0000}"/>
    <cellStyle name="Normal 6 2 2 10 6 6" xfId="40993" xr:uid="{00000000-0005-0000-0000-0000198C0000}"/>
    <cellStyle name="Normal 6 2 2 10 7" xfId="7038" xr:uid="{00000000-0005-0000-0000-00001A8C0000}"/>
    <cellStyle name="Normal 6 2 2 10 7 2" xfId="12819" xr:uid="{00000000-0005-0000-0000-00001B8C0000}"/>
    <cellStyle name="Normal 6 2 2 10 7 2 2" xfId="36304" xr:uid="{00000000-0005-0000-0000-00001C8C0000}"/>
    <cellStyle name="Normal 6 2 2 10 7 2 3" xfId="26985" xr:uid="{00000000-0005-0000-0000-00001D8C0000}"/>
    <cellStyle name="Normal 6 2 2 10 7 2 4" xfId="50247" xr:uid="{00000000-0005-0000-0000-00001E8C0000}"/>
    <cellStyle name="Normal 6 2 2 10 7 3" xfId="17550" xr:uid="{00000000-0005-0000-0000-00001F8C0000}"/>
    <cellStyle name="Normal 6 2 2 10 7 3 2" xfId="31682" xr:uid="{00000000-0005-0000-0000-0000208C0000}"/>
    <cellStyle name="Normal 6 2 2 10 7 3 3" xfId="45577" xr:uid="{00000000-0005-0000-0000-0000218C0000}"/>
    <cellStyle name="Normal 6 2 2 10 7 4" xfId="22363" xr:uid="{00000000-0005-0000-0000-0000228C0000}"/>
    <cellStyle name="Normal 6 2 2 10 7 5" xfId="40995" xr:uid="{00000000-0005-0000-0000-0000238C0000}"/>
    <cellStyle name="Normal 6 2 2 10 8" xfId="12808" xr:uid="{00000000-0005-0000-0000-0000248C0000}"/>
    <cellStyle name="Normal 6 2 2 10 8 2" xfId="36293" xr:uid="{00000000-0005-0000-0000-0000258C0000}"/>
    <cellStyle name="Normal 6 2 2 10 8 3" xfId="26974" xr:uid="{00000000-0005-0000-0000-0000268C0000}"/>
    <cellStyle name="Normal 6 2 2 10 8 4" xfId="50236" xr:uid="{00000000-0005-0000-0000-0000278C0000}"/>
    <cellStyle name="Normal 6 2 2 10 9" xfId="17539" xr:uid="{00000000-0005-0000-0000-0000288C0000}"/>
    <cellStyle name="Normal 6 2 2 10 9 2" xfId="31671" xr:uid="{00000000-0005-0000-0000-0000298C0000}"/>
    <cellStyle name="Normal 6 2 2 10 9 3" xfId="45566" xr:uid="{00000000-0005-0000-0000-00002A8C0000}"/>
    <cellStyle name="Normal 6 2 2 11" xfId="7039" xr:uid="{00000000-0005-0000-0000-00002B8C0000}"/>
    <cellStyle name="Normal 6 2 2 11 10" xfId="22364" xr:uid="{00000000-0005-0000-0000-00002C8C0000}"/>
    <cellStyle name="Normal 6 2 2 11 11" xfId="40996" xr:uid="{00000000-0005-0000-0000-00002D8C0000}"/>
    <cellStyle name="Normal 6 2 2 11 2" xfId="7040" xr:uid="{00000000-0005-0000-0000-00002E8C0000}"/>
    <cellStyle name="Normal 6 2 2 11 2 2" xfId="7041" xr:uid="{00000000-0005-0000-0000-00002F8C0000}"/>
    <cellStyle name="Normal 6 2 2 11 2 2 2" xfId="12822" xr:uid="{00000000-0005-0000-0000-0000308C0000}"/>
    <cellStyle name="Normal 6 2 2 11 2 2 2 2" xfId="36307" xr:uid="{00000000-0005-0000-0000-0000318C0000}"/>
    <cellStyle name="Normal 6 2 2 11 2 2 2 3" xfId="26988" xr:uid="{00000000-0005-0000-0000-0000328C0000}"/>
    <cellStyle name="Normal 6 2 2 11 2 2 2 4" xfId="50250" xr:uid="{00000000-0005-0000-0000-0000338C0000}"/>
    <cellStyle name="Normal 6 2 2 11 2 2 3" xfId="17553" xr:uid="{00000000-0005-0000-0000-0000348C0000}"/>
    <cellStyle name="Normal 6 2 2 11 2 2 3 2" xfId="31685" xr:uid="{00000000-0005-0000-0000-0000358C0000}"/>
    <cellStyle name="Normal 6 2 2 11 2 2 3 3" xfId="45580" xr:uid="{00000000-0005-0000-0000-0000368C0000}"/>
    <cellStyle name="Normal 6 2 2 11 2 2 4" xfId="22366" xr:uid="{00000000-0005-0000-0000-0000378C0000}"/>
    <cellStyle name="Normal 6 2 2 11 2 2 5" xfId="40998" xr:uid="{00000000-0005-0000-0000-0000388C0000}"/>
    <cellStyle name="Normal 6 2 2 11 2 3" xfId="12821" xr:uid="{00000000-0005-0000-0000-0000398C0000}"/>
    <cellStyle name="Normal 6 2 2 11 2 3 2" xfId="36306" xr:uid="{00000000-0005-0000-0000-00003A8C0000}"/>
    <cellStyle name="Normal 6 2 2 11 2 3 3" xfId="26987" xr:uid="{00000000-0005-0000-0000-00003B8C0000}"/>
    <cellStyle name="Normal 6 2 2 11 2 3 4" xfId="50249" xr:uid="{00000000-0005-0000-0000-00003C8C0000}"/>
    <cellStyle name="Normal 6 2 2 11 2 4" xfId="17552" xr:uid="{00000000-0005-0000-0000-00003D8C0000}"/>
    <cellStyle name="Normal 6 2 2 11 2 4 2" xfId="31684" xr:uid="{00000000-0005-0000-0000-00003E8C0000}"/>
    <cellStyle name="Normal 6 2 2 11 2 4 3" xfId="45579" xr:uid="{00000000-0005-0000-0000-00003F8C0000}"/>
    <cellStyle name="Normal 6 2 2 11 2 5" xfId="22365" xr:uid="{00000000-0005-0000-0000-0000408C0000}"/>
    <cellStyle name="Normal 6 2 2 11 2 6" xfId="40997" xr:uid="{00000000-0005-0000-0000-0000418C0000}"/>
    <cellStyle name="Normal 6 2 2 11 3" xfId="7042" xr:uid="{00000000-0005-0000-0000-0000428C0000}"/>
    <cellStyle name="Normal 6 2 2 11 3 2" xfId="7043" xr:uid="{00000000-0005-0000-0000-0000438C0000}"/>
    <cellStyle name="Normal 6 2 2 11 3 2 2" xfId="12824" xr:uid="{00000000-0005-0000-0000-0000448C0000}"/>
    <cellStyle name="Normal 6 2 2 11 3 2 2 2" xfId="36309" xr:uid="{00000000-0005-0000-0000-0000458C0000}"/>
    <cellStyle name="Normal 6 2 2 11 3 2 2 3" xfId="26990" xr:uid="{00000000-0005-0000-0000-0000468C0000}"/>
    <cellStyle name="Normal 6 2 2 11 3 2 2 4" xfId="50252" xr:uid="{00000000-0005-0000-0000-0000478C0000}"/>
    <cellStyle name="Normal 6 2 2 11 3 2 3" xfId="17555" xr:uid="{00000000-0005-0000-0000-0000488C0000}"/>
    <cellStyle name="Normal 6 2 2 11 3 2 3 2" xfId="31687" xr:uid="{00000000-0005-0000-0000-0000498C0000}"/>
    <cellStyle name="Normal 6 2 2 11 3 2 3 3" xfId="45582" xr:uid="{00000000-0005-0000-0000-00004A8C0000}"/>
    <cellStyle name="Normal 6 2 2 11 3 2 4" xfId="22368" xr:uid="{00000000-0005-0000-0000-00004B8C0000}"/>
    <cellStyle name="Normal 6 2 2 11 3 2 5" xfId="41000" xr:uid="{00000000-0005-0000-0000-00004C8C0000}"/>
    <cellStyle name="Normal 6 2 2 11 3 3" xfId="12823" xr:uid="{00000000-0005-0000-0000-00004D8C0000}"/>
    <cellStyle name="Normal 6 2 2 11 3 3 2" xfId="36308" xr:uid="{00000000-0005-0000-0000-00004E8C0000}"/>
    <cellStyle name="Normal 6 2 2 11 3 3 3" xfId="26989" xr:uid="{00000000-0005-0000-0000-00004F8C0000}"/>
    <cellStyle name="Normal 6 2 2 11 3 3 4" xfId="50251" xr:uid="{00000000-0005-0000-0000-0000508C0000}"/>
    <cellStyle name="Normal 6 2 2 11 3 4" xfId="17554" xr:uid="{00000000-0005-0000-0000-0000518C0000}"/>
    <cellStyle name="Normal 6 2 2 11 3 4 2" xfId="31686" xr:uid="{00000000-0005-0000-0000-0000528C0000}"/>
    <cellStyle name="Normal 6 2 2 11 3 4 3" xfId="45581" xr:uid="{00000000-0005-0000-0000-0000538C0000}"/>
    <cellStyle name="Normal 6 2 2 11 3 5" xfId="22367" xr:uid="{00000000-0005-0000-0000-0000548C0000}"/>
    <cellStyle name="Normal 6 2 2 11 3 6" xfId="40999" xr:uid="{00000000-0005-0000-0000-0000558C0000}"/>
    <cellStyle name="Normal 6 2 2 11 4" xfId="7044" xr:uid="{00000000-0005-0000-0000-0000568C0000}"/>
    <cellStyle name="Normal 6 2 2 11 4 2" xfId="7045" xr:uid="{00000000-0005-0000-0000-0000578C0000}"/>
    <cellStyle name="Normal 6 2 2 11 4 2 2" xfId="12826" xr:uid="{00000000-0005-0000-0000-0000588C0000}"/>
    <cellStyle name="Normal 6 2 2 11 4 2 2 2" xfId="36311" xr:uid="{00000000-0005-0000-0000-0000598C0000}"/>
    <cellStyle name="Normal 6 2 2 11 4 2 2 3" xfId="26992" xr:uid="{00000000-0005-0000-0000-00005A8C0000}"/>
    <cellStyle name="Normal 6 2 2 11 4 2 2 4" xfId="50254" xr:uid="{00000000-0005-0000-0000-00005B8C0000}"/>
    <cellStyle name="Normal 6 2 2 11 4 2 3" xfId="17557" xr:uid="{00000000-0005-0000-0000-00005C8C0000}"/>
    <cellStyle name="Normal 6 2 2 11 4 2 3 2" xfId="31689" xr:uid="{00000000-0005-0000-0000-00005D8C0000}"/>
    <cellStyle name="Normal 6 2 2 11 4 2 3 3" xfId="45584" xr:uid="{00000000-0005-0000-0000-00005E8C0000}"/>
    <cellStyle name="Normal 6 2 2 11 4 2 4" xfId="22370" xr:uid="{00000000-0005-0000-0000-00005F8C0000}"/>
    <cellStyle name="Normal 6 2 2 11 4 2 5" xfId="41002" xr:uid="{00000000-0005-0000-0000-0000608C0000}"/>
    <cellStyle name="Normal 6 2 2 11 4 3" xfId="12825" xr:uid="{00000000-0005-0000-0000-0000618C0000}"/>
    <cellStyle name="Normal 6 2 2 11 4 3 2" xfId="36310" xr:uid="{00000000-0005-0000-0000-0000628C0000}"/>
    <cellStyle name="Normal 6 2 2 11 4 3 3" xfId="26991" xr:uid="{00000000-0005-0000-0000-0000638C0000}"/>
    <cellStyle name="Normal 6 2 2 11 4 3 4" xfId="50253" xr:uid="{00000000-0005-0000-0000-0000648C0000}"/>
    <cellStyle name="Normal 6 2 2 11 4 4" xfId="17556" xr:uid="{00000000-0005-0000-0000-0000658C0000}"/>
    <cellStyle name="Normal 6 2 2 11 4 4 2" xfId="31688" xr:uid="{00000000-0005-0000-0000-0000668C0000}"/>
    <cellStyle name="Normal 6 2 2 11 4 4 3" xfId="45583" xr:uid="{00000000-0005-0000-0000-0000678C0000}"/>
    <cellStyle name="Normal 6 2 2 11 4 5" xfId="22369" xr:uid="{00000000-0005-0000-0000-0000688C0000}"/>
    <cellStyle name="Normal 6 2 2 11 4 6" xfId="41001" xr:uid="{00000000-0005-0000-0000-0000698C0000}"/>
    <cellStyle name="Normal 6 2 2 11 5" xfId="7046" xr:uid="{00000000-0005-0000-0000-00006A8C0000}"/>
    <cellStyle name="Normal 6 2 2 11 5 2" xfId="7047" xr:uid="{00000000-0005-0000-0000-00006B8C0000}"/>
    <cellStyle name="Normal 6 2 2 11 5 2 2" xfId="12828" xr:uid="{00000000-0005-0000-0000-00006C8C0000}"/>
    <cellStyle name="Normal 6 2 2 11 5 2 2 2" xfId="36313" xr:uid="{00000000-0005-0000-0000-00006D8C0000}"/>
    <cellStyle name="Normal 6 2 2 11 5 2 2 3" xfId="26994" xr:uid="{00000000-0005-0000-0000-00006E8C0000}"/>
    <cellStyle name="Normal 6 2 2 11 5 2 2 4" xfId="50256" xr:uid="{00000000-0005-0000-0000-00006F8C0000}"/>
    <cellStyle name="Normal 6 2 2 11 5 2 3" xfId="17559" xr:uid="{00000000-0005-0000-0000-0000708C0000}"/>
    <cellStyle name="Normal 6 2 2 11 5 2 3 2" xfId="31691" xr:uid="{00000000-0005-0000-0000-0000718C0000}"/>
    <cellStyle name="Normal 6 2 2 11 5 2 3 3" xfId="45586" xr:uid="{00000000-0005-0000-0000-0000728C0000}"/>
    <cellStyle name="Normal 6 2 2 11 5 2 4" xfId="22372" xr:uid="{00000000-0005-0000-0000-0000738C0000}"/>
    <cellStyle name="Normal 6 2 2 11 5 2 5" xfId="41004" xr:uid="{00000000-0005-0000-0000-0000748C0000}"/>
    <cellStyle name="Normal 6 2 2 11 5 3" xfId="12827" xr:uid="{00000000-0005-0000-0000-0000758C0000}"/>
    <cellStyle name="Normal 6 2 2 11 5 3 2" xfId="36312" xr:uid="{00000000-0005-0000-0000-0000768C0000}"/>
    <cellStyle name="Normal 6 2 2 11 5 3 3" xfId="26993" xr:uid="{00000000-0005-0000-0000-0000778C0000}"/>
    <cellStyle name="Normal 6 2 2 11 5 3 4" xfId="50255" xr:uid="{00000000-0005-0000-0000-0000788C0000}"/>
    <cellStyle name="Normal 6 2 2 11 5 4" xfId="17558" xr:uid="{00000000-0005-0000-0000-0000798C0000}"/>
    <cellStyle name="Normal 6 2 2 11 5 4 2" xfId="31690" xr:uid="{00000000-0005-0000-0000-00007A8C0000}"/>
    <cellStyle name="Normal 6 2 2 11 5 4 3" xfId="45585" xr:uid="{00000000-0005-0000-0000-00007B8C0000}"/>
    <cellStyle name="Normal 6 2 2 11 5 5" xfId="22371" xr:uid="{00000000-0005-0000-0000-00007C8C0000}"/>
    <cellStyle name="Normal 6 2 2 11 5 6" xfId="41003" xr:uid="{00000000-0005-0000-0000-00007D8C0000}"/>
    <cellStyle name="Normal 6 2 2 11 6" xfId="7048" xr:uid="{00000000-0005-0000-0000-00007E8C0000}"/>
    <cellStyle name="Normal 6 2 2 11 6 2" xfId="7049" xr:uid="{00000000-0005-0000-0000-00007F8C0000}"/>
    <cellStyle name="Normal 6 2 2 11 6 2 2" xfId="12830" xr:uid="{00000000-0005-0000-0000-0000808C0000}"/>
    <cellStyle name="Normal 6 2 2 11 6 2 2 2" xfId="36315" xr:uid="{00000000-0005-0000-0000-0000818C0000}"/>
    <cellStyle name="Normal 6 2 2 11 6 2 2 3" xfId="26996" xr:uid="{00000000-0005-0000-0000-0000828C0000}"/>
    <cellStyle name="Normal 6 2 2 11 6 2 2 4" xfId="50258" xr:uid="{00000000-0005-0000-0000-0000838C0000}"/>
    <cellStyle name="Normal 6 2 2 11 6 2 3" xfId="17561" xr:uid="{00000000-0005-0000-0000-0000848C0000}"/>
    <cellStyle name="Normal 6 2 2 11 6 2 3 2" xfId="31693" xr:uid="{00000000-0005-0000-0000-0000858C0000}"/>
    <cellStyle name="Normal 6 2 2 11 6 2 3 3" xfId="45588" xr:uid="{00000000-0005-0000-0000-0000868C0000}"/>
    <cellStyle name="Normal 6 2 2 11 6 2 4" xfId="22374" xr:uid="{00000000-0005-0000-0000-0000878C0000}"/>
    <cellStyle name="Normal 6 2 2 11 6 2 5" xfId="41006" xr:uid="{00000000-0005-0000-0000-0000888C0000}"/>
    <cellStyle name="Normal 6 2 2 11 6 3" xfId="12829" xr:uid="{00000000-0005-0000-0000-0000898C0000}"/>
    <cellStyle name="Normal 6 2 2 11 6 3 2" xfId="36314" xr:uid="{00000000-0005-0000-0000-00008A8C0000}"/>
    <cellStyle name="Normal 6 2 2 11 6 3 3" xfId="26995" xr:uid="{00000000-0005-0000-0000-00008B8C0000}"/>
    <cellStyle name="Normal 6 2 2 11 6 3 4" xfId="50257" xr:uid="{00000000-0005-0000-0000-00008C8C0000}"/>
    <cellStyle name="Normal 6 2 2 11 6 4" xfId="17560" xr:uid="{00000000-0005-0000-0000-00008D8C0000}"/>
    <cellStyle name="Normal 6 2 2 11 6 4 2" xfId="31692" xr:uid="{00000000-0005-0000-0000-00008E8C0000}"/>
    <cellStyle name="Normal 6 2 2 11 6 4 3" xfId="45587" xr:uid="{00000000-0005-0000-0000-00008F8C0000}"/>
    <cellStyle name="Normal 6 2 2 11 6 5" xfId="22373" xr:uid="{00000000-0005-0000-0000-0000908C0000}"/>
    <cellStyle name="Normal 6 2 2 11 6 6" xfId="41005" xr:uid="{00000000-0005-0000-0000-0000918C0000}"/>
    <cellStyle name="Normal 6 2 2 11 7" xfId="7050" xr:uid="{00000000-0005-0000-0000-0000928C0000}"/>
    <cellStyle name="Normal 6 2 2 11 7 2" xfId="12831" xr:uid="{00000000-0005-0000-0000-0000938C0000}"/>
    <cellStyle name="Normal 6 2 2 11 7 2 2" xfId="36316" xr:uid="{00000000-0005-0000-0000-0000948C0000}"/>
    <cellStyle name="Normal 6 2 2 11 7 2 3" xfId="26997" xr:uid="{00000000-0005-0000-0000-0000958C0000}"/>
    <cellStyle name="Normal 6 2 2 11 7 2 4" xfId="50259" xr:uid="{00000000-0005-0000-0000-0000968C0000}"/>
    <cellStyle name="Normal 6 2 2 11 7 3" xfId="17562" xr:uid="{00000000-0005-0000-0000-0000978C0000}"/>
    <cellStyle name="Normal 6 2 2 11 7 3 2" xfId="31694" xr:uid="{00000000-0005-0000-0000-0000988C0000}"/>
    <cellStyle name="Normal 6 2 2 11 7 3 3" xfId="45589" xr:uid="{00000000-0005-0000-0000-0000998C0000}"/>
    <cellStyle name="Normal 6 2 2 11 7 4" xfId="22375" xr:uid="{00000000-0005-0000-0000-00009A8C0000}"/>
    <cellStyle name="Normal 6 2 2 11 7 5" xfId="41007" xr:uid="{00000000-0005-0000-0000-00009B8C0000}"/>
    <cellStyle name="Normal 6 2 2 11 8" xfId="12820" xr:uid="{00000000-0005-0000-0000-00009C8C0000}"/>
    <cellStyle name="Normal 6 2 2 11 8 2" xfId="36305" xr:uid="{00000000-0005-0000-0000-00009D8C0000}"/>
    <cellStyle name="Normal 6 2 2 11 8 3" xfId="26986" xr:uid="{00000000-0005-0000-0000-00009E8C0000}"/>
    <cellStyle name="Normal 6 2 2 11 8 4" xfId="50248" xr:uid="{00000000-0005-0000-0000-00009F8C0000}"/>
    <cellStyle name="Normal 6 2 2 11 9" xfId="17551" xr:uid="{00000000-0005-0000-0000-0000A08C0000}"/>
    <cellStyle name="Normal 6 2 2 11 9 2" xfId="31683" xr:uid="{00000000-0005-0000-0000-0000A18C0000}"/>
    <cellStyle name="Normal 6 2 2 11 9 3" xfId="45578" xr:uid="{00000000-0005-0000-0000-0000A28C0000}"/>
    <cellStyle name="Normal 6 2 2 12" xfId="7051" xr:uid="{00000000-0005-0000-0000-0000A38C0000}"/>
    <cellStyle name="Normal 6 2 2 12 10" xfId="22376" xr:uid="{00000000-0005-0000-0000-0000A48C0000}"/>
    <cellStyle name="Normal 6 2 2 12 11" xfId="41008" xr:uid="{00000000-0005-0000-0000-0000A58C0000}"/>
    <cellStyle name="Normal 6 2 2 12 2" xfId="7052" xr:uid="{00000000-0005-0000-0000-0000A68C0000}"/>
    <cellStyle name="Normal 6 2 2 12 2 2" xfId="7053" xr:uid="{00000000-0005-0000-0000-0000A78C0000}"/>
    <cellStyle name="Normal 6 2 2 12 2 2 2" xfId="12834" xr:uid="{00000000-0005-0000-0000-0000A88C0000}"/>
    <cellStyle name="Normal 6 2 2 12 2 2 2 2" xfId="36319" xr:uid="{00000000-0005-0000-0000-0000A98C0000}"/>
    <cellStyle name="Normal 6 2 2 12 2 2 2 3" xfId="27000" xr:uid="{00000000-0005-0000-0000-0000AA8C0000}"/>
    <cellStyle name="Normal 6 2 2 12 2 2 2 4" xfId="50262" xr:uid="{00000000-0005-0000-0000-0000AB8C0000}"/>
    <cellStyle name="Normal 6 2 2 12 2 2 3" xfId="17565" xr:uid="{00000000-0005-0000-0000-0000AC8C0000}"/>
    <cellStyle name="Normal 6 2 2 12 2 2 3 2" xfId="31697" xr:uid="{00000000-0005-0000-0000-0000AD8C0000}"/>
    <cellStyle name="Normal 6 2 2 12 2 2 3 3" xfId="45592" xr:uid="{00000000-0005-0000-0000-0000AE8C0000}"/>
    <cellStyle name="Normal 6 2 2 12 2 2 4" xfId="22378" xr:uid="{00000000-0005-0000-0000-0000AF8C0000}"/>
    <cellStyle name="Normal 6 2 2 12 2 2 5" xfId="41010" xr:uid="{00000000-0005-0000-0000-0000B08C0000}"/>
    <cellStyle name="Normal 6 2 2 12 2 3" xfId="12833" xr:uid="{00000000-0005-0000-0000-0000B18C0000}"/>
    <cellStyle name="Normal 6 2 2 12 2 3 2" xfId="36318" xr:uid="{00000000-0005-0000-0000-0000B28C0000}"/>
    <cellStyle name="Normal 6 2 2 12 2 3 3" xfId="26999" xr:uid="{00000000-0005-0000-0000-0000B38C0000}"/>
    <cellStyle name="Normal 6 2 2 12 2 3 4" xfId="50261" xr:uid="{00000000-0005-0000-0000-0000B48C0000}"/>
    <cellStyle name="Normal 6 2 2 12 2 4" xfId="17564" xr:uid="{00000000-0005-0000-0000-0000B58C0000}"/>
    <cellStyle name="Normal 6 2 2 12 2 4 2" xfId="31696" xr:uid="{00000000-0005-0000-0000-0000B68C0000}"/>
    <cellStyle name="Normal 6 2 2 12 2 4 3" xfId="45591" xr:uid="{00000000-0005-0000-0000-0000B78C0000}"/>
    <cellStyle name="Normal 6 2 2 12 2 5" xfId="22377" xr:uid="{00000000-0005-0000-0000-0000B88C0000}"/>
    <cellStyle name="Normal 6 2 2 12 2 6" xfId="41009" xr:uid="{00000000-0005-0000-0000-0000B98C0000}"/>
    <cellStyle name="Normal 6 2 2 12 3" xfId="7054" xr:uid="{00000000-0005-0000-0000-0000BA8C0000}"/>
    <cellStyle name="Normal 6 2 2 12 3 2" xfId="7055" xr:uid="{00000000-0005-0000-0000-0000BB8C0000}"/>
    <cellStyle name="Normal 6 2 2 12 3 2 2" xfId="12836" xr:uid="{00000000-0005-0000-0000-0000BC8C0000}"/>
    <cellStyle name="Normal 6 2 2 12 3 2 2 2" xfId="36321" xr:uid="{00000000-0005-0000-0000-0000BD8C0000}"/>
    <cellStyle name="Normal 6 2 2 12 3 2 2 3" xfId="27002" xr:uid="{00000000-0005-0000-0000-0000BE8C0000}"/>
    <cellStyle name="Normal 6 2 2 12 3 2 2 4" xfId="50264" xr:uid="{00000000-0005-0000-0000-0000BF8C0000}"/>
    <cellStyle name="Normal 6 2 2 12 3 2 3" xfId="17567" xr:uid="{00000000-0005-0000-0000-0000C08C0000}"/>
    <cellStyle name="Normal 6 2 2 12 3 2 3 2" xfId="31699" xr:uid="{00000000-0005-0000-0000-0000C18C0000}"/>
    <cellStyle name="Normal 6 2 2 12 3 2 3 3" xfId="45594" xr:uid="{00000000-0005-0000-0000-0000C28C0000}"/>
    <cellStyle name="Normal 6 2 2 12 3 2 4" xfId="22380" xr:uid="{00000000-0005-0000-0000-0000C38C0000}"/>
    <cellStyle name="Normal 6 2 2 12 3 2 5" xfId="41012" xr:uid="{00000000-0005-0000-0000-0000C48C0000}"/>
    <cellStyle name="Normal 6 2 2 12 3 3" xfId="12835" xr:uid="{00000000-0005-0000-0000-0000C58C0000}"/>
    <cellStyle name="Normal 6 2 2 12 3 3 2" xfId="36320" xr:uid="{00000000-0005-0000-0000-0000C68C0000}"/>
    <cellStyle name="Normal 6 2 2 12 3 3 3" xfId="27001" xr:uid="{00000000-0005-0000-0000-0000C78C0000}"/>
    <cellStyle name="Normal 6 2 2 12 3 3 4" xfId="50263" xr:uid="{00000000-0005-0000-0000-0000C88C0000}"/>
    <cellStyle name="Normal 6 2 2 12 3 4" xfId="17566" xr:uid="{00000000-0005-0000-0000-0000C98C0000}"/>
    <cellStyle name="Normal 6 2 2 12 3 4 2" xfId="31698" xr:uid="{00000000-0005-0000-0000-0000CA8C0000}"/>
    <cellStyle name="Normal 6 2 2 12 3 4 3" xfId="45593" xr:uid="{00000000-0005-0000-0000-0000CB8C0000}"/>
    <cellStyle name="Normal 6 2 2 12 3 5" xfId="22379" xr:uid="{00000000-0005-0000-0000-0000CC8C0000}"/>
    <cellStyle name="Normal 6 2 2 12 3 6" xfId="41011" xr:uid="{00000000-0005-0000-0000-0000CD8C0000}"/>
    <cellStyle name="Normal 6 2 2 12 4" xfId="7056" xr:uid="{00000000-0005-0000-0000-0000CE8C0000}"/>
    <cellStyle name="Normal 6 2 2 12 4 2" xfId="7057" xr:uid="{00000000-0005-0000-0000-0000CF8C0000}"/>
    <cellStyle name="Normal 6 2 2 12 4 2 2" xfId="12838" xr:uid="{00000000-0005-0000-0000-0000D08C0000}"/>
    <cellStyle name="Normal 6 2 2 12 4 2 2 2" xfId="36323" xr:uid="{00000000-0005-0000-0000-0000D18C0000}"/>
    <cellStyle name="Normal 6 2 2 12 4 2 2 3" xfId="27004" xr:uid="{00000000-0005-0000-0000-0000D28C0000}"/>
    <cellStyle name="Normal 6 2 2 12 4 2 2 4" xfId="50266" xr:uid="{00000000-0005-0000-0000-0000D38C0000}"/>
    <cellStyle name="Normal 6 2 2 12 4 2 3" xfId="17569" xr:uid="{00000000-0005-0000-0000-0000D48C0000}"/>
    <cellStyle name="Normal 6 2 2 12 4 2 3 2" xfId="31701" xr:uid="{00000000-0005-0000-0000-0000D58C0000}"/>
    <cellStyle name="Normal 6 2 2 12 4 2 3 3" xfId="45596" xr:uid="{00000000-0005-0000-0000-0000D68C0000}"/>
    <cellStyle name="Normal 6 2 2 12 4 2 4" xfId="22382" xr:uid="{00000000-0005-0000-0000-0000D78C0000}"/>
    <cellStyle name="Normal 6 2 2 12 4 2 5" xfId="41014" xr:uid="{00000000-0005-0000-0000-0000D88C0000}"/>
    <cellStyle name="Normal 6 2 2 12 4 3" xfId="12837" xr:uid="{00000000-0005-0000-0000-0000D98C0000}"/>
    <cellStyle name="Normal 6 2 2 12 4 3 2" xfId="36322" xr:uid="{00000000-0005-0000-0000-0000DA8C0000}"/>
    <cellStyle name="Normal 6 2 2 12 4 3 3" xfId="27003" xr:uid="{00000000-0005-0000-0000-0000DB8C0000}"/>
    <cellStyle name="Normal 6 2 2 12 4 3 4" xfId="50265" xr:uid="{00000000-0005-0000-0000-0000DC8C0000}"/>
    <cellStyle name="Normal 6 2 2 12 4 4" xfId="17568" xr:uid="{00000000-0005-0000-0000-0000DD8C0000}"/>
    <cellStyle name="Normal 6 2 2 12 4 4 2" xfId="31700" xr:uid="{00000000-0005-0000-0000-0000DE8C0000}"/>
    <cellStyle name="Normal 6 2 2 12 4 4 3" xfId="45595" xr:uid="{00000000-0005-0000-0000-0000DF8C0000}"/>
    <cellStyle name="Normal 6 2 2 12 4 5" xfId="22381" xr:uid="{00000000-0005-0000-0000-0000E08C0000}"/>
    <cellStyle name="Normal 6 2 2 12 4 6" xfId="41013" xr:uid="{00000000-0005-0000-0000-0000E18C0000}"/>
    <cellStyle name="Normal 6 2 2 12 5" xfId="7058" xr:uid="{00000000-0005-0000-0000-0000E28C0000}"/>
    <cellStyle name="Normal 6 2 2 12 5 2" xfId="7059" xr:uid="{00000000-0005-0000-0000-0000E38C0000}"/>
    <cellStyle name="Normal 6 2 2 12 5 2 2" xfId="12840" xr:uid="{00000000-0005-0000-0000-0000E48C0000}"/>
    <cellStyle name="Normal 6 2 2 12 5 2 2 2" xfId="36325" xr:uid="{00000000-0005-0000-0000-0000E58C0000}"/>
    <cellStyle name="Normal 6 2 2 12 5 2 2 3" xfId="27006" xr:uid="{00000000-0005-0000-0000-0000E68C0000}"/>
    <cellStyle name="Normal 6 2 2 12 5 2 2 4" xfId="50268" xr:uid="{00000000-0005-0000-0000-0000E78C0000}"/>
    <cellStyle name="Normal 6 2 2 12 5 2 3" xfId="17571" xr:uid="{00000000-0005-0000-0000-0000E88C0000}"/>
    <cellStyle name="Normal 6 2 2 12 5 2 3 2" xfId="31703" xr:uid="{00000000-0005-0000-0000-0000E98C0000}"/>
    <cellStyle name="Normal 6 2 2 12 5 2 3 3" xfId="45598" xr:uid="{00000000-0005-0000-0000-0000EA8C0000}"/>
    <cellStyle name="Normal 6 2 2 12 5 2 4" xfId="22384" xr:uid="{00000000-0005-0000-0000-0000EB8C0000}"/>
    <cellStyle name="Normal 6 2 2 12 5 2 5" xfId="41016" xr:uid="{00000000-0005-0000-0000-0000EC8C0000}"/>
    <cellStyle name="Normal 6 2 2 12 5 3" xfId="12839" xr:uid="{00000000-0005-0000-0000-0000ED8C0000}"/>
    <cellStyle name="Normal 6 2 2 12 5 3 2" xfId="36324" xr:uid="{00000000-0005-0000-0000-0000EE8C0000}"/>
    <cellStyle name="Normal 6 2 2 12 5 3 3" xfId="27005" xr:uid="{00000000-0005-0000-0000-0000EF8C0000}"/>
    <cellStyle name="Normal 6 2 2 12 5 3 4" xfId="50267" xr:uid="{00000000-0005-0000-0000-0000F08C0000}"/>
    <cellStyle name="Normal 6 2 2 12 5 4" xfId="17570" xr:uid="{00000000-0005-0000-0000-0000F18C0000}"/>
    <cellStyle name="Normal 6 2 2 12 5 4 2" xfId="31702" xr:uid="{00000000-0005-0000-0000-0000F28C0000}"/>
    <cellStyle name="Normal 6 2 2 12 5 4 3" xfId="45597" xr:uid="{00000000-0005-0000-0000-0000F38C0000}"/>
    <cellStyle name="Normal 6 2 2 12 5 5" xfId="22383" xr:uid="{00000000-0005-0000-0000-0000F48C0000}"/>
    <cellStyle name="Normal 6 2 2 12 5 6" xfId="41015" xr:uid="{00000000-0005-0000-0000-0000F58C0000}"/>
    <cellStyle name="Normal 6 2 2 12 6" xfId="7060" xr:uid="{00000000-0005-0000-0000-0000F68C0000}"/>
    <cellStyle name="Normal 6 2 2 12 6 2" xfId="7061" xr:uid="{00000000-0005-0000-0000-0000F78C0000}"/>
    <cellStyle name="Normal 6 2 2 12 6 2 2" xfId="12842" xr:uid="{00000000-0005-0000-0000-0000F88C0000}"/>
    <cellStyle name="Normal 6 2 2 12 6 2 2 2" xfId="36327" xr:uid="{00000000-0005-0000-0000-0000F98C0000}"/>
    <cellStyle name="Normal 6 2 2 12 6 2 2 3" xfId="27008" xr:uid="{00000000-0005-0000-0000-0000FA8C0000}"/>
    <cellStyle name="Normal 6 2 2 12 6 2 2 4" xfId="50270" xr:uid="{00000000-0005-0000-0000-0000FB8C0000}"/>
    <cellStyle name="Normal 6 2 2 12 6 2 3" xfId="17573" xr:uid="{00000000-0005-0000-0000-0000FC8C0000}"/>
    <cellStyle name="Normal 6 2 2 12 6 2 3 2" xfId="31705" xr:uid="{00000000-0005-0000-0000-0000FD8C0000}"/>
    <cellStyle name="Normal 6 2 2 12 6 2 3 3" xfId="45600" xr:uid="{00000000-0005-0000-0000-0000FE8C0000}"/>
    <cellStyle name="Normal 6 2 2 12 6 2 4" xfId="22386" xr:uid="{00000000-0005-0000-0000-0000FF8C0000}"/>
    <cellStyle name="Normal 6 2 2 12 6 2 5" xfId="41018" xr:uid="{00000000-0005-0000-0000-0000008D0000}"/>
    <cellStyle name="Normal 6 2 2 12 6 3" xfId="12841" xr:uid="{00000000-0005-0000-0000-0000018D0000}"/>
    <cellStyle name="Normal 6 2 2 12 6 3 2" xfId="36326" xr:uid="{00000000-0005-0000-0000-0000028D0000}"/>
    <cellStyle name="Normal 6 2 2 12 6 3 3" xfId="27007" xr:uid="{00000000-0005-0000-0000-0000038D0000}"/>
    <cellStyle name="Normal 6 2 2 12 6 3 4" xfId="50269" xr:uid="{00000000-0005-0000-0000-0000048D0000}"/>
    <cellStyle name="Normal 6 2 2 12 6 4" xfId="17572" xr:uid="{00000000-0005-0000-0000-0000058D0000}"/>
    <cellStyle name="Normal 6 2 2 12 6 4 2" xfId="31704" xr:uid="{00000000-0005-0000-0000-0000068D0000}"/>
    <cellStyle name="Normal 6 2 2 12 6 4 3" xfId="45599" xr:uid="{00000000-0005-0000-0000-0000078D0000}"/>
    <cellStyle name="Normal 6 2 2 12 6 5" xfId="22385" xr:uid="{00000000-0005-0000-0000-0000088D0000}"/>
    <cellStyle name="Normal 6 2 2 12 6 6" xfId="41017" xr:uid="{00000000-0005-0000-0000-0000098D0000}"/>
    <cellStyle name="Normal 6 2 2 12 7" xfId="7062" xr:uid="{00000000-0005-0000-0000-00000A8D0000}"/>
    <cellStyle name="Normal 6 2 2 12 7 2" xfId="12843" xr:uid="{00000000-0005-0000-0000-00000B8D0000}"/>
    <cellStyle name="Normal 6 2 2 12 7 2 2" xfId="36328" xr:uid="{00000000-0005-0000-0000-00000C8D0000}"/>
    <cellStyle name="Normal 6 2 2 12 7 2 3" xfId="27009" xr:uid="{00000000-0005-0000-0000-00000D8D0000}"/>
    <cellStyle name="Normal 6 2 2 12 7 2 4" xfId="50271" xr:uid="{00000000-0005-0000-0000-00000E8D0000}"/>
    <cellStyle name="Normal 6 2 2 12 7 3" xfId="17574" xr:uid="{00000000-0005-0000-0000-00000F8D0000}"/>
    <cellStyle name="Normal 6 2 2 12 7 3 2" xfId="31706" xr:uid="{00000000-0005-0000-0000-0000108D0000}"/>
    <cellStyle name="Normal 6 2 2 12 7 3 3" xfId="45601" xr:uid="{00000000-0005-0000-0000-0000118D0000}"/>
    <cellStyle name="Normal 6 2 2 12 7 4" xfId="22387" xr:uid="{00000000-0005-0000-0000-0000128D0000}"/>
    <cellStyle name="Normal 6 2 2 12 7 5" xfId="41019" xr:uid="{00000000-0005-0000-0000-0000138D0000}"/>
    <cellStyle name="Normal 6 2 2 12 8" xfId="12832" xr:uid="{00000000-0005-0000-0000-0000148D0000}"/>
    <cellStyle name="Normal 6 2 2 12 8 2" xfId="36317" xr:uid="{00000000-0005-0000-0000-0000158D0000}"/>
    <cellStyle name="Normal 6 2 2 12 8 3" xfId="26998" xr:uid="{00000000-0005-0000-0000-0000168D0000}"/>
    <cellStyle name="Normal 6 2 2 12 8 4" xfId="50260" xr:uid="{00000000-0005-0000-0000-0000178D0000}"/>
    <cellStyle name="Normal 6 2 2 12 9" xfId="17563" xr:uid="{00000000-0005-0000-0000-0000188D0000}"/>
    <cellStyle name="Normal 6 2 2 12 9 2" xfId="31695" xr:uid="{00000000-0005-0000-0000-0000198D0000}"/>
    <cellStyle name="Normal 6 2 2 12 9 3" xfId="45590" xr:uid="{00000000-0005-0000-0000-00001A8D0000}"/>
    <cellStyle name="Normal 6 2 2 13" xfId="7063" xr:uid="{00000000-0005-0000-0000-00001B8D0000}"/>
    <cellStyle name="Normal 6 2 2 13 10" xfId="22388" xr:uid="{00000000-0005-0000-0000-00001C8D0000}"/>
    <cellStyle name="Normal 6 2 2 13 11" xfId="41020" xr:uid="{00000000-0005-0000-0000-00001D8D0000}"/>
    <cellStyle name="Normal 6 2 2 13 2" xfId="7064" xr:uid="{00000000-0005-0000-0000-00001E8D0000}"/>
    <cellStyle name="Normal 6 2 2 13 2 2" xfId="7065" xr:uid="{00000000-0005-0000-0000-00001F8D0000}"/>
    <cellStyle name="Normal 6 2 2 13 2 2 2" xfId="12846" xr:uid="{00000000-0005-0000-0000-0000208D0000}"/>
    <cellStyle name="Normal 6 2 2 13 2 2 2 2" xfId="36331" xr:uid="{00000000-0005-0000-0000-0000218D0000}"/>
    <cellStyle name="Normal 6 2 2 13 2 2 2 3" xfId="27012" xr:uid="{00000000-0005-0000-0000-0000228D0000}"/>
    <cellStyle name="Normal 6 2 2 13 2 2 2 4" xfId="50274" xr:uid="{00000000-0005-0000-0000-0000238D0000}"/>
    <cellStyle name="Normal 6 2 2 13 2 2 3" xfId="17577" xr:uid="{00000000-0005-0000-0000-0000248D0000}"/>
    <cellStyle name="Normal 6 2 2 13 2 2 3 2" xfId="31709" xr:uid="{00000000-0005-0000-0000-0000258D0000}"/>
    <cellStyle name="Normal 6 2 2 13 2 2 3 3" xfId="45604" xr:uid="{00000000-0005-0000-0000-0000268D0000}"/>
    <cellStyle name="Normal 6 2 2 13 2 2 4" xfId="22390" xr:uid="{00000000-0005-0000-0000-0000278D0000}"/>
    <cellStyle name="Normal 6 2 2 13 2 2 5" xfId="41022" xr:uid="{00000000-0005-0000-0000-0000288D0000}"/>
    <cellStyle name="Normal 6 2 2 13 2 3" xfId="12845" xr:uid="{00000000-0005-0000-0000-0000298D0000}"/>
    <cellStyle name="Normal 6 2 2 13 2 3 2" xfId="36330" xr:uid="{00000000-0005-0000-0000-00002A8D0000}"/>
    <cellStyle name="Normal 6 2 2 13 2 3 3" xfId="27011" xr:uid="{00000000-0005-0000-0000-00002B8D0000}"/>
    <cellStyle name="Normal 6 2 2 13 2 3 4" xfId="50273" xr:uid="{00000000-0005-0000-0000-00002C8D0000}"/>
    <cellStyle name="Normal 6 2 2 13 2 4" xfId="17576" xr:uid="{00000000-0005-0000-0000-00002D8D0000}"/>
    <cellStyle name="Normal 6 2 2 13 2 4 2" xfId="31708" xr:uid="{00000000-0005-0000-0000-00002E8D0000}"/>
    <cellStyle name="Normal 6 2 2 13 2 4 3" xfId="45603" xr:uid="{00000000-0005-0000-0000-00002F8D0000}"/>
    <cellStyle name="Normal 6 2 2 13 2 5" xfId="22389" xr:uid="{00000000-0005-0000-0000-0000308D0000}"/>
    <cellStyle name="Normal 6 2 2 13 2 6" xfId="41021" xr:uid="{00000000-0005-0000-0000-0000318D0000}"/>
    <cellStyle name="Normal 6 2 2 13 3" xfId="7066" xr:uid="{00000000-0005-0000-0000-0000328D0000}"/>
    <cellStyle name="Normal 6 2 2 13 3 2" xfId="7067" xr:uid="{00000000-0005-0000-0000-0000338D0000}"/>
    <cellStyle name="Normal 6 2 2 13 3 2 2" xfId="12848" xr:uid="{00000000-0005-0000-0000-0000348D0000}"/>
    <cellStyle name="Normal 6 2 2 13 3 2 2 2" xfId="36333" xr:uid="{00000000-0005-0000-0000-0000358D0000}"/>
    <cellStyle name="Normal 6 2 2 13 3 2 2 3" xfId="27014" xr:uid="{00000000-0005-0000-0000-0000368D0000}"/>
    <cellStyle name="Normal 6 2 2 13 3 2 2 4" xfId="50276" xr:uid="{00000000-0005-0000-0000-0000378D0000}"/>
    <cellStyle name="Normal 6 2 2 13 3 2 3" xfId="17579" xr:uid="{00000000-0005-0000-0000-0000388D0000}"/>
    <cellStyle name="Normal 6 2 2 13 3 2 3 2" xfId="31711" xr:uid="{00000000-0005-0000-0000-0000398D0000}"/>
    <cellStyle name="Normal 6 2 2 13 3 2 3 3" xfId="45606" xr:uid="{00000000-0005-0000-0000-00003A8D0000}"/>
    <cellStyle name="Normal 6 2 2 13 3 2 4" xfId="22392" xr:uid="{00000000-0005-0000-0000-00003B8D0000}"/>
    <cellStyle name="Normal 6 2 2 13 3 2 5" xfId="41024" xr:uid="{00000000-0005-0000-0000-00003C8D0000}"/>
    <cellStyle name="Normal 6 2 2 13 3 3" xfId="12847" xr:uid="{00000000-0005-0000-0000-00003D8D0000}"/>
    <cellStyle name="Normal 6 2 2 13 3 3 2" xfId="36332" xr:uid="{00000000-0005-0000-0000-00003E8D0000}"/>
    <cellStyle name="Normal 6 2 2 13 3 3 3" xfId="27013" xr:uid="{00000000-0005-0000-0000-00003F8D0000}"/>
    <cellStyle name="Normal 6 2 2 13 3 3 4" xfId="50275" xr:uid="{00000000-0005-0000-0000-0000408D0000}"/>
    <cellStyle name="Normal 6 2 2 13 3 4" xfId="17578" xr:uid="{00000000-0005-0000-0000-0000418D0000}"/>
    <cellStyle name="Normal 6 2 2 13 3 4 2" xfId="31710" xr:uid="{00000000-0005-0000-0000-0000428D0000}"/>
    <cellStyle name="Normal 6 2 2 13 3 4 3" xfId="45605" xr:uid="{00000000-0005-0000-0000-0000438D0000}"/>
    <cellStyle name="Normal 6 2 2 13 3 5" xfId="22391" xr:uid="{00000000-0005-0000-0000-0000448D0000}"/>
    <cellStyle name="Normal 6 2 2 13 3 6" xfId="41023" xr:uid="{00000000-0005-0000-0000-0000458D0000}"/>
    <cellStyle name="Normal 6 2 2 13 4" xfId="7068" xr:uid="{00000000-0005-0000-0000-0000468D0000}"/>
    <cellStyle name="Normal 6 2 2 13 4 2" xfId="7069" xr:uid="{00000000-0005-0000-0000-0000478D0000}"/>
    <cellStyle name="Normal 6 2 2 13 4 2 2" xfId="12850" xr:uid="{00000000-0005-0000-0000-0000488D0000}"/>
    <cellStyle name="Normal 6 2 2 13 4 2 2 2" xfId="36335" xr:uid="{00000000-0005-0000-0000-0000498D0000}"/>
    <cellStyle name="Normal 6 2 2 13 4 2 2 3" xfId="27016" xr:uid="{00000000-0005-0000-0000-00004A8D0000}"/>
    <cellStyle name="Normal 6 2 2 13 4 2 2 4" xfId="50278" xr:uid="{00000000-0005-0000-0000-00004B8D0000}"/>
    <cellStyle name="Normal 6 2 2 13 4 2 3" xfId="17581" xr:uid="{00000000-0005-0000-0000-00004C8D0000}"/>
    <cellStyle name="Normal 6 2 2 13 4 2 3 2" xfId="31713" xr:uid="{00000000-0005-0000-0000-00004D8D0000}"/>
    <cellStyle name="Normal 6 2 2 13 4 2 3 3" xfId="45608" xr:uid="{00000000-0005-0000-0000-00004E8D0000}"/>
    <cellStyle name="Normal 6 2 2 13 4 2 4" xfId="22394" xr:uid="{00000000-0005-0000-0000-00004F8D0000}"/>
    <cellStyle name="Normal 6 2 2 13 4 2 5" xfId="41026" xr:uid="{00000000-0005-0000-0000-0000508D0000}"/>
    <cellStyle name="Normal 6 2 2 13 4 3" xfId="12849" xr:uid="{00000000-0005-0000-0000-0000518D0000}"/>
    <cellStyle name="Normal 6 2 2 13 4 3 2" xfId="36334" xr:uid="{00000000-0005-0000-0000-0000528D0000}"/>
    <cellStyle name="Normal 6 2 2 13 4 3 3" xfId="27015" xr:uid="{00000000-0005-0000-0000-0000538D0000}"/>
    <cellStyle name="Normal 6 2 2 13 4 3 4" xfId="50277" xr:uid="{00000000-0005-0000-0000-0000548D0000}"/>
    <cellStyle name="Normal 6 2 2 13 4 4" xfId="17580" xr:uid="{00000000-0005-0000-0000-0000558D0000}"/>
    <cellStyle name="Normal 6 2 2 13 4 4 2" xfId="31712" xr:uid="{00000000-0005-0000-0000-0000568D0000}"/>
    <cellStyle name="Normal 6 2 2 13 4 4 3" xfId="45607" xr:uid="{00000000-0005-0000-0000-0000578D0000}"/>
    <cellStyle name="Normal 6 2 2 13 4 5" xfId="22393" xr:uid="{00000000-0005-0000-0000-0000588D0000}"/>
    <cellStyle name="Normal 6 2 2 13 4 6" xfId="41025" xr:uid="{00000000-0005-0000-0000-0000598D0000}"/>
    <cellStyle name="Normal 6 2 2 13 5" xfId="7070" xr:uid="{00000000-0005-0000-0000-00005A8D0000}"/>
    <cellStyle name="Normal 6 2 2 13 5 2" xfId="7071" xr:uid="{00000000-0005-0000-0000-00005B8D0000}"/>
    <cellStyle name="Normal 6 2 2 13 5 2 2" xfId="12852" xr:uid="{00000000-0005-0000-0000-00005C8D0000}"/>
    <cellStyle name="Normal 6 2 2 13 5 2 2 2" xfId="36337" xr:uid="{00000000-0005-0000-0000-00005D8D0000}"/>
    <cellStyle name="Normal 6 2 2 13 5 2 2 3" xfId="27018" xr:uid="{00000000-0005-0000-0000-00005E8D0000}"/>
    <cellStyle name="Normal 6 2 2 13 5 2 2 4" xfId="50280" xr:uid="{00000000-0005-0000-0000-00005F8D0000}"/>
    <cellStyle name="Normal 6 2 2 13 5 2 3" xfId="17583" xr:uid="{00000000-0005-0000-0000-0000608D0000}"/>
    <cellStyle name="Normal 6 2 2 13 5 2 3 2" xfId="31715" xr:uid="{00000000-0005-0000-0000-0000618D0000}"/>
    <cellStyle name="Normal 6 2 2 13 5 2 3 3" xfId="45610" xr:uid="{00000000-0005-0000-0000-0000628D0000}"/>
    <cellStyle name="Normal 6 2 2 13 5 2 4" xfId="22396" xr:uid="{00000000-0005-0000-0000-0000638D0000}"/>
    <cellStyle name="Normal 6 2 2 13 5 2 5" xfId="41028" xr:uid="{00000000-0005-0000-0000-0000648D0000}"/>
    <cellStyle name="Normal 6 2 2 13 5 3" xfId="12851" xr:uid="{00000000-0005-0000-0000-0000658D0000}"/>
    <cellStyle name="Normal 6 2 2 13 5 3 2" xfId="36336" xr:uid="{00000000-0005-0000-0000-0000668D0000}"/>
    <cellStyle name="Normal 6 2 2 13 5 3 3" xfId="27017" xr:uid="{00000000-0005-0000-0000-0000678D0000}"/>
    <cellStyle name="Normal 6 2 2 13 5 3 4" xfId="50279" xr:uid="{00000000-0005-0000-0000-0000688D0000}"/>
    <cellStyle name="Normal 6 2 2 13 5 4" xfId="17582" xr:uid="{00000000-0005-0000-0000-0000698D0000}"/>
    <cellStyle name="Normal 6 2 2 13 5 4 2" xfId="31714" xr:uid="{00000000-0005-0000-0000-00006A8D0000}"/>
    <cellStyle name="Normal 6 2 2 13 5 4 3" xfId="45609" xr:uid="{00000000-0005-0000-0000-00006B8D0000}"/>
    <cellStyle name="Normal 6 2 2 13 5 5" xfId="22395" xr:uid="{00000000-0005-0000-0000-00006C8D0000}"/>
    <cellStyle name="Normal 6 2 2 13 5 6" xfId="41027" xr:uid="{00000000-0005-0000-0000-00006D8D0000}"/>
    <cellStyle name="Normal 6 2 2 13 6" xfId="7072" xr:uid="{00000000-0005-0000-0000-00006E8D0000}"/>
    <cellStyle name="Normal 6 2 2 13 6 2" xfId="7073" xr:uid="{00000000-0005-0000-0000-00006F8D0000}"/>
    <cellStyle name="Normal 6 2 2 13 6 2 2" xfId="12854" xr:uid="{00000000-0005-0000-0000-0000708D0000}"/>
    <cellStyle name="Normal 6 2 2 13 6 2 2 2" xfId="36339" xr:uid="{00000000-0005-0000-0000-0000718D0000}"/>
    <cellStyle name="Normal 6 2 2 13 6 2 2 3" xfId="27020" xr:uid="{00000000-0005-0000-0000-0000728D0000}"/>
    <cellStyle name="Normal 6 2 2 13 6 2 2 4" xfId="50282" xr:uid="{00000000-0005-0000-0000-0000738D0000}"/>
    <cellStyle name="Normal 6 2 2 13 6 2 3" xfId="17585" xr:uid="{00000000-0005-0000-0000-0000748D0000}"/>
    <cellStyle name="Normal 6 2 2 13 6 2 3 2" xfId="31717" xr:uid="{00000000-0005-0000-0000-0000758D0000}"/>
    <cellStyle name="Normal 6 2 2 13 6 2 3 3" xfId="45612" xr:uid="{00000000-0005-0000-0000-0000768D0000}"/>
    <cellStyle name="Normal 6 2 2 13 6 2 4" xfId="22398" xr:uid="{00000000-0005-0000-0000-0000778D0000}"/>
    <cellStyle name="Normal 6 2 2 13 6 2 5" xfId="41030" xr:uid="{00000000-0005-0000-0000-0000788D0000}"/>
    <cellStyle name="Normal 6 2 2 13 6 3" xfId="12853" xr:uid="{00000000-0005-0000-0000-0000798D0000}"/>
    <cellStyle name="Normal 6 2 2 13 6 3 2" xfId="36338" xr:uid="{00000000-0005-0000-0000-00007A8D0000}"/>
    <cellStyle name="Normal 6 2 2 13 6 3 3" xfId="27019" xr:uid="{00000000-0005-0000-0000-00007B8D0000}"/>
    <cellStyle name="Normal 6 2 2 13 6 3 4" xfId="50281" xr:uid="{00000000-0005-0000-0000-00007C8D0000}"/>
    <cellStyle name="Normal 6 2 2 13 6 4" xfId="17584" xr:uid="{00000000-0005-0000-0000-00007D8D0000}"/>
    <cellStyle name="Normal 6 2 2 13 6 4 2" xfId="31716" xr:uid="{00000000-0005-0000-0000-00007E8D0000}"/>
    <cellStyle name="Normal 6 2 2 13 6 4 3" xfId="45611" xr:uid="{00000000-0005-0000-0000-00007F8D0000}"/>
    <cellStyle name="Normal 6 2 2 13 6 5" xfId="22397" xr:uid="{00000000-0005-0000-0000-0000808D0000}"/>
    <cellStyle name="Normal 6 2 2 13 6 6" xfId="41029" xr:uid="{00000000-0005-0000-0000-0000818D0000}"/>
    <cellStyle name="Normal 6 2 2 13 7" xfId="7074" xr:uid="{00000000-0005-0000-0000-0000828D0000}"/>
    <cellStyle name="Normal 6 2 2 13 7 2" xfId="12855" xr:uid="{00000000-0005-0000-0000-0000838D0000}"/>
    <cellStyle name="Normal 6 2 2 13 7 2 2" xfId="36340" xr:uid="{00000000-0005-0000-0000-0000848D0000}"/>
    <cellStyle name="Normal 6 2 2 13 7 2 3" xfId="27021" xr:uid="{00000000-0005-0000-0000-0000858D0000}"/>
    <cellStyle name="Normal 6 2 2 13 7 2 4" xfId="50283" xr:uid="{00000000-0005-0000-0000-0000868D0000}"/>
    <cellStyle name="Normal 6 2 2 13 7 3" xfId="17586" xr:uid="{00000000-0005-0000-0000-0000878D0000}"/>
    <cellStyle name="Normal 6 2 2 13 7 3 2" xfId="31718" xr:uid="{00000000-0005-0000-0000-0000888D0000}"/>
    <cellStyle name="Normal 6 2 2 13 7 3 3" xfId="45613" xr:uid="{00000000-0005-0000-0000-0000898D0000}"/>
    <cellStyle name="Normal 6 2 2 13 7 4" xfId="22399" xr:uid="{00000000-0005-0000-0000-00008A8D0000}"/>
    <cellStyle name="Normal 6 2 2 13 7 5" xfId="41031" xr:uid="{00000000-0005-0000-0000-00008B8D0000}"/>
    <cellStyle name="Normal 6 2 2 13 8" xfId="12844" xr:uid="{00000000-0005-0000-0000-00008C8D0000}"/>
    <cellStyle name="Normal 6 2 2 13 8 2" xfId="36329" xr:uid="{00000000-0005-0000-0000-00008D8D0000}"/>
    <cellStyle name="Normal 6 2 2 13 8 3" xfId="27010" xr:uid="{00000000-0005-0000-0000-00008E8D0000}"/>
    <cellStyle name="Normal 6 2 2 13 8 4" xfId="50272" xr:uid="{00000000-0005-0000-0000-00008F8D0000}"/>
    <cellStyle name="Normal 6 2 2 13 9" xfId="17575" xr:uid="{00000000-0005-0000-0000-0000908D0000}"/>
    <cellStyle name="Normal 6 2 2 13 9 2" xfId="31707" xr:uid="{00000000-0005-0000-0000-0000918D0000}"/>
    <cellStyle name="Normal 6 2 2 13 9 3" xfId="45602" xr:uid="{00000000-0005-0000-0000-0000928D0000}"/>
    <cellStyle name="Normal 6 2 2 14" xfId="7075" xr:uid="{00000000-0005-0000-0000-0000938D0000}"/>
    <cellStyle name="Normal 6 2 2 14 10" xfId="22400" xr:uid="{00000000-0005-0000-0000-0000948D0000}"/>
    <cellStyle name="Normal 6 2 2 14 11" xfId="41032" xr:uid="{00000000-0005-0000-0000-0000958D0000}"/>
    <cellStyle name="Normal 6 2 2 14 2" xfId="7076" xr:uid="{00000000-0005-0000-0000-0000968D0000}"/>
    <cellStyle name="Normal 6 2 2 14 2 2" xfId="7077" xr:uid="{00000000-0005-0000-0000-0000978D0000}"/>
    <cellStyle name="Normal 6 2 2 14 2 2 2" xfId="12858" xr:uid="{00000000-0005-0000-0000-0000988D0000}"/>
    <cellStyle name="Normal 6 2 2 14 2 2 2 2" xfId="36343" xr:uid="{00000000-0005-0000-0000-0000998D0000}"/>
    <cellStyle name="Normal 6 2 2 14 2 2 2 3" xfId="27024" xr:uid="{00000000-0005-0000-0000-00009A8D0000}"/>
    <cellStyle name="Normal 6 2 2 14 2 2 2 4" xfId="50286" xr:uid="{00000000-0005-0000-0000-00009B8D0000}"/>
    <cellStyle name="Normal 6 2 2 14 2 2 3" xfId="17589" xr:uid="{00000000-0005-0000-0000-00009C8D0000}"/>
    <cellStyle name="Normal 6 2 2 14 2 2 3 2" xfId="31721" xr:uid="{00000000-0005-0000-0000-00009D8D0000}"/>
    <cellStyle name="Normal 6 2 2 14 2 2 3 3" xfId="45616" xr:uid="{00000000-0005-0000-0000-00009E8D0000}"/>
    <cellStyle name="Normal 6 2 2 14 2 2 4" xfId="22402" xr:uid="{00000000-0005-0000-0000-00009F8D0000}"/>
    <cellStyle name="Normal 6 2 2 14 2 2 5" xfId="41034" xr:uid="{00000000-0005-0000-0000-0000A08D0000}"/>
    <cellStyle name="Normal 6 2 2 14 2 3" xfId="12857" xr:uid="{00000000-0005-0000-0000-0000A18D0000}"/>
    <cellStyle name="Normal 6 2 2 14 2 3 2" xfId="36342" xr:uid="{00000000-0005-0000-0000-0000A28D0000}"/>
    <cellStyle name="Normal 6 2 2 14 2 3 3" xfId="27023" xr:uid="{00000000-0005-0000-0000-0000A38D0000}"/>
    <cellStyle name="Normal 6 2 2 14 2 3 4" xfId="50285" xr:uid="{00000000-0005-0000-0000-0000A48D0000}"/>
    <cellStyle name="Normal 6 2 2 14 2 4" xfId="17588" xr:uid="{00000000-0005-0000-0000-0000A58D0000}"/>
    <cellStyle name="Normal 6 2 2 14 2 4 2" xfId="31720" xr:uid="{00000000-0005-0000-0000-0000A68D0000}"/>
    <cellStyle name="Normal 6 2 2 14 2 4 3" xfId="45615" xr:uid="{00000000-0005-0000-0000-0000A78D0000}"/>
    <cellStyle name="Normal 6 2 2 14 2 5" xfId="22401" xr:uid="{00000000-0005-0000-0000-0000A88D0000}"/>
    <cellStyle name="Normal 6 2 2 14 2 6" xfId="41033" xr:uid="{00000000-0005-0000-0000-0000A98D0000}"/>
    <cellStyle name="Normal 6 2 2 14 3" xfId="7078" xr:uid="{00000000-0005-0000-0000-0000AA8D0000}"/>
    <cellStyle name="Normal 6 2 2 14 3 2" xfId="7079" xr:uid="{00000000-0005-0000-0000-0000AB8D0000}"/>
    <cellStyle name="Normal 6 2 2 14 3 2 2" xfId="12860" xr:uid="{00000000-0005-0000-0000-0000AC8D0000}"/>
    <cellStyle name="Normal 6 2 2 14 3 2 2 2" xfId="36345" xr:uid="{00000000-0005-0000-0000-0000AD8D0000}"/>
    <cellStyle name="Normal 6 2 2 14 3 2 2 3" xfId="27026" xr:uid="{00000000-0005-0000-0000-0000AE8D0000}"/>
    <cellStyle name="Normal 6 2 2 14 3 2 2 4" xfId="50288" xr:uid="{00000000-0005-0000-0000-0000AF8D0000}"/>
    <cellStyle name="Normal 6 2 2 14 3 2 3" xfId="17591" xr:uid="{00000000-0005-0000-0000-0000B08D0000}"/>
    <cellStyle name="Normal 6 2 2 14 3 2 3 2" xfId="31723" xr:uid="{00000000-0005-0000-0000-0000B18D0000}"/>
    <cellStyle name="Normal 6 2 2 14 3 2 3 3" xfId="45618" xr:uid="{00000000-0005-0000-0000-0000B28D0000}"/>
    <cellStyle name="Normal 6 2 2 14 3 2 4" xfId="22404" xr:uid="{00000000-0005-0000-0000-0000B38D0000}"/>
    <cellStyle name="Normal 6 2 2 14 3 2 5" xfId="41036" xr:uid="{00000000-0005-0000-0000-0000B48D0000}"/>
    <cellStyle name="Normal 6 2 2 14 3 3" xfId="12859" xr:uid="{00000000-0005-0000-0000-0000B58D0000}"/>
    <cellStyle name="Normal 6 2 2 14 3 3 2" xfId="36344" xr:uid="{00000000-0005-0000-0000-0000B68D0000}"/>
    <cellStyle name="Normal 6 2 2 14 3 3 3" xfId="27025" xr:uid="{00000000-0005-0000-0000-0000B78D0000}"/>
    <cellStyle name="Normal 6 2 2 14 3 3 4" xfId="50287" xr:uid="{00000000-0005-0000-0000-0000B88D0000}"/>
    <cellStyle name="Normal 6 2 2 14 3 4" xfId="17590" xr:uid="{00000000-0005-0000-0000-0000B98D0000}"/>
    <cellStyle name="Normal 6 2 2 14 3 4 2" xfId="31722" xr:uid="{00000000-0005-0000-0000-0000BA8D0000}"/>
    <cellStyle name="Normal 6 2 2 14 3 4 3" xfId="45617" xr:uid="{00000000-0005-0000-0000-0000BB8D0000}"/>
    <cellStyle name="Normal 6 2 2 14 3 5" xfId="22403" xr:uid="{00000000-0005-0000-0000-0000BC8D0000}"/>
    <cellStyle name="Normal 6 2 2 14 3 6" xfId="41035" xr:uid="{00000000-0005-0000-0000-0000BD8D0000}"/>
    <cellStyle name="Normal 6 2 2 14 4" xfId="7080" xr:uid="{00000000-0005-0000-0000-0000BE8D0000}"/>
    <cellStyle name="Normal 6 2 2 14 4 2" xfId="7081" xr:uid="{00000000-0005-0000-0000-0000BF8D0000}"/>
    <cellStyle name="Normal 6 2 2 14 4 2 2" xfId="12862" xr:uid="{00000000-0005-0000-0000-0000C08D0000}"/>
    <cellStyle name="Normal 6 2 2 14 4 2 2 2" xfId="36347" xr:uid="{00000000-0005-0000-0000-0000C18D0000}"/>
    <cellStyle name="Normal 6 2 2 14 4 2 2 3" xfId="27028" xr:uid="{00000000-0005-0000-0000-0000C28D0000}"/>
    <cellStyle name="Normal 6 2 2 14 4 2 2 4" xfId="50290" xr:uid="{00000000-0005-0000-0000-0000C38D0000}"/>
    <cellStyle name="Normal 6 2 2 14 4 2 3" xfId="17593" xr:uid="{00000000-0005-0000-0000-0000C48D0000}"/>
    <cellStyle name="Normal 6 2 2 14 4 2 3 2" xfId="31725" xr:uid="{00000000-0005-0000-0000-0000C58D0000}"/>
    <cellStyle name="Normal 6 2 2 14 4 2 3 3" xfId="45620" xr:uid="{00000000-0005-0000-0000-0000C68D0000}"/>
    <cellStyle name="Normal 6 2 2 14 4 2 4" xfId="22406" xr:uid="{00000000-0005-0000-0000-0000C78D0000}"/>
    <cellStyle name="Normal 6 2 2 14 4 2 5" xfId="41038" xr:uid="{00000000-0005-0000-0000-0000C88D0000}"/>
    <cellStyle name="Normal 6 2 2 14 4 3" xfId="12861" xr:uid="{00000000-0005-0000-0000-0000C98D0000}"/>
    <cellStyle name="Normal 6 2 2 14 4 3 2" xfId="36346" xr:uid="{00000000-0005-0000-0000-0000CA8D0000}"/>
    <cellStyle name="Normal 6 2 2 14 4 3 3" xfId="27027" xr:uid="{00000000-0005-0000-0000-0000CB8D0000}"/>
    <cellStyle name="Normal 6 2 2 14 4 3 4" xfId="50289" xr:uid="{00000000-0005-0000-0000-0000CC8D0000}"/>
    <cellStyle name="Normal 6 2 2 14 4 4" xfId="17592" xr:uid="{00000000-0005-0000-0000-0000CD8D0000}"/>
    <cellStyle name="Normal 6 2 2 14 4 4 2" xfId="31724" xr:uid="{00000000-0005-0000-0000-0000CE8D0000}"/>
    <cellStyle name="Normal 6 2 2 14 4 4 3" xfId="45619" xr:uid="{00000000-0005-0000-0000-0000CF8D0000}"/>
    <cellStyle name="Normal 6 2 2 14 4 5" xfId="22405" xr:uid="{00000000-0005-0000-0000-0000D08D0000}"/>
    <cellStyle name="Normal 6 2 2 14 4 6" xfId="41037" xr:uid="{00000000-0005-0000-0000-0000D18D0000}"/>
    <cellStyle name="Normal 6 2 2 14 5" xfId="7082" xr:uid="{00000000-0005-0000-0000-0000D28D0000}"/>
    <cellStyle name="Normal 6 2 2 14 5 2" xfId="7083" xr:uid="{00000000-0005-0000-0000-0000D38D0000}"/>
    <cellStyle name="Normal 6 2 2 14 5 2 2" xfId="12864" xr:uid="{00000000-0005-0000-0000-0000D48D0000}"/>
    <cellStyle name="Normal 6 2 2 14 5 2 2 2" xfId="36349" xr:uid="{00000000-0005-0000-0000-0000D58D0000}"/>
    <cellStyle name="Normal 6 2 2 14 5 2 2 3" xfId="27030" xr:uid="{00000000-0005-0000-0000-0000D68D0000}"/>
    <cellStyle name="Normal 6 2 2 14 5 2 2 4" xfId="50292" xr:uid="{00000000-0005-0000-0000-0000D78D0000}"/>
    <cellStyle name="Normal 6 2 2 14 5 2 3" xfId="17595" xr:uid="{00000000-0005-0000-0000-0000D88D0000}"/>
    <cellStyle name="Normal 6 2 2 14 5 2 3 2" xfId="31727" xr:uid="{00000000-0005-0000-0000-0000D98D0000}"/>
    <cellStyle name="Normal 6 2 2 14 5 2 3 3" xfId="45622" xr:uid="{00000000-0005-0000-0000-0000DA8D0000}"/>
    <cellStyle name="Normal 6 2 2 14 5 2 4" xfId="22408" xr:uid="{00000000-0005-0000-0000-0000DB8D0000}"/>
    <cellStyle name="Normal 6 2 2 14 5 2 5" xfId="41040" xr:uid="{00000000-0005-0000-0000-0000DC8D0000}"/>
    <cellStyle name="Normal 6 2 2 14 5 3" xfId="12863" xr:uid="{00000000-0005-0000-0000-0000DD8D0000}"/>
    <cellStyle name="Normal 6 2 2 14 5 3 2" xfId="36348" xr:uid="{00000000-0005-0000-0000-0000DE8D0000}"/>
    <cellStyle name="Normal 6 2 2 14 5 3 3" xfId="27029" xr:uid="{00000000-0005-0000-0000-0000DF8D0000}"/>
    <cellStyle name="Normal 6 2 2 14 5 3 4" xfId="50291" xr:uid="{00000000-0005-0000-0000-0000E08D0000}"/>
    <cellStyle name="Normal 6 2 2 14 5 4" xfId="17594" xr:uid="{00000000-0005-0000-0000-0000E18D0000}"/>
    <cellStyle name="Normal 6 2 2 14 5 4 2" xfId="31726" xr:uid="{00000000-0005-0000-0000-0000E28D0000}"/>
    <cellStyle name="Normal 6 2 2 14 5 4 3" xfId="45621" xr:uid="{00000000-0005-0000-0000-0000E38D0000}"/>
    <cellStyle name="Normal 6 2 2 14 5 5" xfId="22407" xr:uid="{00000000-0005-0000-0000-0000E48D0000}"/>
    <cellStyle name="Normal 6 2 2 14 5 6" xfId="41039" xr:uid="{00000000-0005-0000-0000-0000E58D0000}"/>
    <cellStyle name="Normal 6 2 2 14 6" xfId="7084" xr:uid="{00000000-0005-0000-0000-0000E68D0000}"/>
    <cellStyle name="Normal 6 2 2 14 6 2" xfId="7085" xr:uid="{00000000-0005-0000-0000-0000E78D0000}"/>
    <cellStyle name="Normal 6 2 2 14 6 2 2" xfId="12866" xr:uid="{00000000-0005-0000-0000-0000E88D0000}"/>
    <cellStyle name="Normal 6 2 2 14 6 2 2 2" xfId="36351" xr:uid="{00000000-0005-0000-0000-0000E98D0000}"/>
    <cellStyle name="Normal 6 2 2 14 6 2 2 3" xfId="27032" xr:uid="{00000000-0005-0000-0000-0000EA8D0000}"/>
    <cellStyle name="Normal 6 2 2 14 6 2 2 4" xfId="50294" xr:uid="{00000000-0005-0000-0000-0000EB8D0000}"/>
    <cellStyle name="Normal 6 2 2 14 6 2 3" xfId="17597" xr:uid="{00000000-0005-0000-0000-0000EC8D0000}"/>
    <cellStyle name="Normal 6 2 2 14 6 2 3 2" xfId="31729" xr:uid="{00000000-0005-0000-0000-0000ED8D0000}"/>
    <cellStyle name="Normal 6 2 2 14 6 2 3 3" xfId="45624" xr:uid="{00000000-0005-0000-0000-0000EE8D0000}"/>
    <cellStyle name="Normal 6 2 2 14 6 2 4" xfId="22410" xr:uid="{00000000-0005-0000-0000-0000EF8D0000}"/>
    <cellStyle name="Normal 6 2 2 14 6 2 5" xfId="41042" xr:uid="{00000000-0005-0000-0000-0000F08D0000}"/>
    <cellStyle name="Normal 6 2 2 14 6 3" xfId="12865" xr:uid="{00000000-0005-0000-0000-0000F18D0000}"/>
    <cellStyle name="Normal 6 2 2 14 6 3 2" xfId="36350" xr:uid="{00000000-0005-0000-0000-0000F28D0000}"/>
    <cellStyle name="Normal 6 2 2 14 6 3 3" xfId="27031" xr:uid="{00000000-0005-0000-0000-0000F38D0000}"/>
    <cellStyle name="Normal 6 2 2 14 6 3 4" xfId="50293" xr:uid="{00000000-0005-0000-0000-0000F48D0000}"/>
    <cellStyle name="Normal 6 2 2 14 6 4" xfId="17596" xr:uid="{00000000-0005-0000-0000-0000F58D0000}"/>
    <cellStyle name="Normal 6 2 2 14 6 4 2" xfId="31728" xr:uid="{00000000-0005-0000-0000-0000F68D0000}"/>
    <cellStyle name="Normal 6 2 2 14 6 4 3" xfId="45623" xr:uid="{00000000-0005-0000-0000-0000F78D0000}"/>
    <cellStyle name="Normal 6 2 2 14 6 5" xfId="22409" xr:uid="{00000000-0005-0000-0000-0000F88D0000}"/>
    <cellStyle name="Normal 6 2 2 14 6 6" xfId="41041" xr:uid="{00000000-0005-0000-0000-0000F98D0000}"/>
    <cellStyle name="Normal 6 2 2 14 7" xfId="7086" xr:uid="{00000000-0005-0000-0000-0000FA8D0000}"/>
    <cellStyle name="Normal 6 2 2 14 7 2" xfId="12867" xr:uid="{00000000-0005-0000-0000-0000FB8D0000}"/>
    <cellStyle name="Normal 6 2 2 14 7 2 2" xfId="36352" xr:uid="{00000000-0005-0000-0000-0000FC8D0000}"/>
    <cellStyle name="Normal 6 2 2 14 7 2 3" xfId="27033" xr:uid="{00000000-0005-0000-0000-0000FD8D0000}"/>
    <cellStyle name="Normal 6 2 2 14 7 2 4" xfId="50295" xr:uid="{00000000-0005-0000-0000-0000FE8D0000}"/>
    <cellStyle name="Normal 6 2 2 14 7 3" xfId="17598" xr:uid="{00000000-0005-0000-0000-0000FF8D0000}"/>
    <cellStyle name="Normal 6 2 2 14 7 3 2" xfId="31730" xr:uid="{00000000-0005-0000-0000-0000008E0000}"/>
    <cellStyle name="Normal 6 2 2 14 7 3 3" xfId="45625" xr:uid="{00000000-0005-0000-0000-0000018E0000}"/>
    <cellStyle name="Normal 6 2 2 14 7 4" xfId="22411" xr:uid="{00000000-0005-0000-0000-0000028E0000}"/>
    <cellStyle name="Normal 6 2 2 14 7 5" xfId="41043" xr:uid="{00000000-0005-0000-0000-0000038E0000}"/>
    <cellStyle name="Normal 6 2 2 14 8" xfId="12856" xr:uid="{00000000-0005-0000-0000-0000048E0000}"/>
    <cellStyle name="Normal 6 2 2 14 8 2" xfId="36341" xr:uid="{00000000-0005-0000-0000-0000058E0000}"/>
    <cellStyle name="Normal 6 2 2 14 8 3" xfId="27022" xr:uid="{00000000-0005-0000-0000-0000068E0000}"/>
    <cellStyle name="Normal 6 2 2 14 8 4" xfId="50284" xr:uid="{00000000-0005-0000-0000-0000078E0000}"/>
    <cellStyle name="Normal 6 2 2 14 9" xfId="17587" xr:uid="{00000000-0005-0000-0000-0000088E0000}"/>
    <cellStyle name="Normal 6 2 2 14 9 2" xfId="31719" xr:uid="{00000000-0005-0000-0000-0000098E0000}"/>
    <cellStyle name="Normal 6 2 2 14 9 3" xfId="45614" xr:uid="{00000000-0005-0000-0000-00000A8E0000}"/>
    <cellStyle name="Normal 6 2 2 15" xfId="7087" xr:uid="{00000000-0005-0000-0000-00000B8E0000}"/>
    <cellStyle name="Normal 6 2 2 15 10" xfId="22412" xr:uid="{00000000-0005-0000-0000-00000C8E0000}"/>
    <cellStyle name="Normal 6 2 2 15 11" xfId="41044" xr:uid="{00000000-0005-0000-0000-00000D8E0000}"/>
    <cellStyle name="Normal 6 2 2 15 2" xfId="7088" xr:uid="{00000000-0005-0000-0000-00000E8E0000}"/>
    <cellStyle name="Normal 6 2 2 15 2 2" xfId="7089" xr:uid="{00000000-0005-0000-0000-00000F8E0000}"/>
    <cellStyle name="Normal 6 2 2 15 2 2 2" xfId="12870" xr:uid="{00000000-0005-0000-0000-0000108E0000}"/>
    <cellStyle name="Normal 6 2 2 15 2 2 2 2" xfId="36355" xr:uid="{00000000-0005-0000-0000-0000118E0000}"/>
    <cellStyle name="Normal 6 2 2 15 2 2 2 3" xfId="27036" xr:uid="{00000000-0005-0000-0000-0000128E0000}"/>
    <cellStyle name="Normal 6 2 2 15 2 2 2 4" xfId="50298" xr:uid="{00000000-0005-0000-0000-0000138E0000}"/>
    <cellStyle name="Normal 6 2 2 15 2 2 3" xfId="17601" xr:uid="{00000000-0005-0000-0000-0000148E0000}"/>
    <cellStyle name="Normal 6 2 2 15 2 2 3 2" xfId="31733" xr:uid="{00000000-0005-0000-0000-0000158E0000}"/>
    <cellStyle name="Normal 6 2 2 15 2 2 3 3" xfId="45628" xr:uid="{00000000-0005-0000-0000-0000168E0000}"/>
    <cellStyle name="Normal 6 2 2 15 2 2 4" xfId="22414" xr:uid="{00000000-0005-0000-0000-0000178E0000}"/>
    <cellStyle name="Normal 6 2 2 15 2 2 5" xfId="41046" xr:uid="{00000000-0005-0000-0000-0000188E0000}"/>
    <cellStyle name="Normal 6 2 2 15 2 3" xfId="12869" xr:uid="{00000000-0005-0000-0000-0000198E0000}"/>
    <cellStyle name="Normal 6 2 2 15 2 3 2" xfId="36354" xr:uid="{00000000-0005-0000-0000-00001A8E0000}"/>
    <cellStyle name="Normal 6 2 2 15 2 3 3" xfId="27035" xr:uid="{00000000-0005-0000-0000-00001B8E0000}"/>
    <cellStyle name="Normal 6 2 2 15 2 3 4" xfId="50297" xr:uid="{00000000-0005-0000-0000-00001C8E0000}"/>
    <cellStyle name="Normal 6 2 2 15 2 4" xfId="17600" xr:uid="{00000000-0005-0000-0000-00001D8E0000}"/>
    <cellStyle name="Normal 6 2 2 15 2 4 2" xfId="31732" xr:uid="{00000000-0005-0000-0000-00001E8E0000}"/>
    <cellStyle name="Normal 6 2 2 15 2 4 3" xfId="45627" xr:uid="{00000000-0005-0000-0000-00001F8E0000}"/>
    <cellStyle name="Normal 6 2 2 15 2 5" xfId="22413" xr:uid="{00000000-0005-0000-0000-0000208E0000}"/>
    <cellStyle name="Normal 6 2 2 15 2 6" xfId="41045" xr:uid="{00000000-0005-0000-0000-0000218E0000}"/>
    <cellStyle name="Normal 6 2 2 15 3" xfId="7090" xr:uid="{00000000-0005-0000-0000-0000228E0000}"/>
    <cellStyle name="Normal 6 2 2 15 3 2" xfId="7091" xr:uid="{00000000-0005-0000-0000-0000238E0000}"/>
    <cellStyle name="Normal 6 2 2 15 3 2 2" xfId="12872" xr:uid="{00000000-0005-0000-0000-0000248E0000}"/>
    <cellStyle name="Normal 6 2 2 15 3 2 2 2" xfId="36357" xr:uid="{00000000-0005-0000-0000-0000258E0000}"/>
    <cellStyle name="Normal 6 2 2 15 3 2 2 3" xfId="27038" xr:uid="{00000000-0005-0000-0000-0000268E0000}"/>
    <cellStyle name="Normal 6 2 2 15 3 2 2 4" xfId="50300" xr:uid="{00000000-0005-0000-0000-0000278E0000}"/>
    <cellStyle name="Normal 6 2 2 15 3 2 3" xfId="17603" xr:uid="{00000000-0005-0000-0000-0000288E0000}"/>
    <cellStyle name="Normal 6 2 2 15 3 2 3 2" xfId="31735" xr:uid="{00000000-0005-0000-0000-0000298E0000}"/>
    <cellStyle name="Normal 6 2 2 15 3 2 3 3" xfId="45630" xr:uid="{00000000-0005-0000-0000-00002A8E0000}"/>
    <cellStyle name="Normal 6 2 2 15 3 2 4" xfId="22416" xr:uid="{00000000-0005-0000-0000-00002B8E0000}"/>
    <cellStyle name="Normal 6 2 2 15 3 2 5" xfId="41048" xr:uid="{00000000-0005-0000-0000-00002C8E0000}"/>
    <cellStyle name="Normal 6 2 2 15 3 3" xfId="12871" xr:uid="{00000000-0005-0000-0000-00002D8E0000}"/>
    <cellStyle name="Normal 6 2 2 15 3 3 2" xfId="36356" xr:uid="{00000000-0005-0000-0000-00002E8E0000}"/>
    <cellStyle name="Normal 6 2 2 15 3 3 3" xfId="27037" xr:uid="{00000000-0005-0000-0000-00002F8E0000}"/>
    <cellStyle name="Normal 6 2 2 15 3 3 4" xfId="50299" xr:uid="{00000000-0005-0000-0000-0000308E0000}"/>
    <cellStyle name="Normal 6 2 2 15 3 4" xfId="17602" xr:uid="{00000000-0005-0000-0000-0000318E0000}"/>
    <cellStyle name="Normal 6 2 2 15 3 4 2" xfId="31734" xr:uid="{00000000-0005-0000-0000-0000328E0000}"/>
    <cellStyle name="Normal 6 2 2 15 3 4 3" xfId="45629" xr:uid="{00000000-0005-0000-0000-0000338E0000}"/>
    <cellStyle name="Normal 6 2 2 15 3 5" xfId="22415" xr:uid="{00000000-0005-0000-0000-0000348E0000}"/>
    <cellStyle name="Normal 6 2 2 15 3 6" xfId="41047" xr:uid="{00000000-0005-0000-0000-0000358E0000}"/>
    <cellStyle name="Normal 6 2 2 15 4" xfId="7092" xr:uid="{00000000-0005-0000-0000-0000368E0000}"/>
    <cellStyle name="Normal 6 2 2 15 4 2" xfId="7093" xr:uid="{00000000-0005-0000-0000-0000378E0000}"/>
    <cellStyle name="Normal 6 2 2 15 4 2 2" xfId="12874" xr:uid="{00000000-0005-0000-0000-0000388E0000}"/>
    <cellStyle name="Normal 6 2 2 15 4 2 2 2" xfId="36359" xr:uid="{00000000-0005-0000-0000-0000398E0000}"/>
    <cellStyle name="Normal 6 2 2 15 4 2 2 3" xfId="27040" xr:uid="{00000000-0005-0000-0000-00003A8E0000}"/>
    <cellStyle name="Normal 6 2 2 15 4 2 2 4" xfId="50302" xr:uid="{00000000-0005-0000-0000-00003B8E0000}"/>
    <cellStyle name="Normal 6 2 2 15 4 2 3" xfId="17605" xr:uid="{00000000-0005-0000-0000-00003C8E0000}"/>
    <cellStyle name="Normal 6 2 2 15 4 2 3 2" xfId="31737" xr:uid="{00000000-0005-0000-0000-00003D8E0000}"/>
    <cellStyle name="Normal 6 2 2 15 4 2 3 3" xfId="45632" xr:uid="{00000000-0005-0000-0000-00003E8E0000}"/>
    <cellStyle name="Normal 6 2 2 15 4 2 4" xfId="22418" xr:uid="{00000000-0005-0000-0000-00003F8E0000}"/>
    <cellStyle name="Normal 6 2 2 15 4 2 5" xfId="41050" xr:uid="{00000000-0005-0000-0000-0000408E0000}"/>
    <cellStyle name="Normal 6 2 2 15 4 3" xfId="12873" xr:uid="{00000000-0005-0000-0000-0000418E0000}"/>
    <cellStyle name="Normal 6 2 2 15 4 3 2" xfId="36358" xr:uid="{00000000-0005-0000-0000-0000428E0000}"/>
    <cellStyle name="Normal 6 2 2 15 4 3 3" xfId="27039" xr:uid="{00000000-0005-0000-0000-0000438E0000}"/>
    <cellStyle name="Normal 6 2 2 15 4 3 4" xfId="50301" xr:uid="{00000000-0005-0000-0000-0000448E0000}"/>
    <cellStyle name="Normal 6 2 2 15 4 4" xfId="17604" xr:uid="{00000000-0005-0000-0000-0000458E0000}"/>
    <cellStyle name="Normal 6 2 2 15 4 4 2" xfId="31736" xr:uid="{00000000-0005-0000-0000-0000468E0000}"/>
    <cellStyle name="Normal 6 2 2 15 4 4 3" xfId="45631" xr:uid="{00000000-0005-0000-0000-0000478E0000}"/>
    <cellStyle name="Normal 6 2 2 15 4 5" xfId="22417" xr:uid="{00000000-0005-0000-0000-0000488E0000}"/>
    <cellStyle name="Normal 6 2 2 15 4 6" xfId="41049" xr:uid="{00000000-0005-0000-0000-0000498E0000}"/>
    <cellStyle name="Normal 6 2 2 15 5" xfId="7094" xr:uid="{00000000-0005-0000-0000-00004A8E0000}"/>
    <cellStyle name="Normal 6 2 2 15 5 2" xfId="7095" xr:uid="{00000000-0005-0000-0000-00004B8E0000}"/>
    <cellStyle name="Normal 6 2 2 15 5 2 2" xfId="12876" xr:uid="{00000000-0005-0000-0000-00004C8E0000}"/>
    <cellStyle name="Normal 6 2 2 15 5 2 2 2" xfId="36361" xr:uid="{00000000-0005-0000-0000-00004D8E0000}"/>
    <cellStyle name="Normal 6 2 2 15 5 2 2 3" xfId="27042" xr:uid="{00000000-0005-0000-0000-00004E8E0000}"/>
    <cellStyle name="Normal 6 2 2 15 5 2 2 4" xfId="50304" xr:uid="{00000000-0005-0000-0000-00004F8E0000}"/>
    <cellStyle name="Normal 6 2 2 15 5 2 3" xfId="17607" xr:uid="{00000000-0005-0000-0000-0000508E0000}"/>
    <cellStyle name="Normal 6 2 2 15 5 2 3 2" xfId="31739" xr:uid="{00000000-0005-0000-0000-0000518E0000}"/>
    <cellStyle name="Normal 6 2 2 15 5 2 3 3" xfId="45634" xr:uid="{00000000-0005-0000-0000-0000528E0000}"/>
    <cellStyle name="Normal 6 2 2 15 5 2 4" xfId="22420" xr:uid="{00000000-0005-0000-0000-0000538E0000}"/>
    <cellStyle name="Normal 6 2 2 15 5 2 5" xfId="41052" xr:uid="{00000000-0005-0000-0000-0000548E0000}"/>
    <cellStyle name="Normal 6 2 2 15 5 3" xfId="12875" xr:uid="{00000000-0005-0000-0000-0000558E0000}"/>
    <cellStyle name="Normal 6 2 2 15 5 3 2" xfId="36360" xr:uid="{00000000-0005-0000-0000-0000568E0000}"/>
    <cellStyle name="Normal 6 2 2 15 5 3 3" xfId="27041" xr:uid="{00000000-0005-0000-0000-0000578E0000}"/>
    <cellStyle name="Normal 6 2 2 15 5 3 4" xfId="50303" xr:uid="{00000000-0005-0000-0000-0000588E0000}"/>
    <cellStyle name="Normal 6 2 2 15 5 4" xfId="17606" xr:uid="{00000000-0005-0000-0000-0000598E0000}"/>
    <cellStyle name="Normal 6 2 2 15 5 4 2" xfId="31738" xr:uid="{00000000-0005-0000-0000-00005A8E0000}"/>
    <cellStyle name="Normal 6 2 2 15 5 4 3" xfId="45633" xr:uid="{00000000-0005-0000-0000-00005B8E0000}"/>
    <cellStyle name="Normal 6 2 2 15 5 5" xfId="22419" xr:uid="{00000000-0005-0000-0000-00005C8E0000}"/>
    <cellStyle name="Normal 6 2 2 15 5 6" xfId="41051" xr:uid="{00000000-0005-0000-0000-00005D8E0000}"/>
    <cellStyle name="Normal 6 2 2 15 6" xfId="7096" xr:uid="{00000000-0005-0000-0000-00005E8E0000}"/>
    <cellStyle name="Normal 6 2 2 15 6 2" xfId="7097" xr:uid="{00000000-0005-0000-0000-00005F8E0000}"/>
    <cellStyle name="Normal 6 2 2 15 6 2 2" xfId="12878" xr:uid="{00000000-0005-0000-0000-0000608E0000}"/>
    <cellStyle name="Normal 6 2 2 15 6 2 2 2" xfId="36363" xr:uid="{00000000-0005-0000-0000-0000618E0000}"/>
    <cellStyle name="Normal 6 2 2 15 6 2 2 3" xfId="27044" xr:uid="{00000000-0005-0000-0000-0000628E0000}"/>
    <cellStyle name="Normal 6 2 2 15 6 2 2 4" xfId="50306" xr:uid="{00000000-0005-0000-0000-0000638E0000}"/>
    <cellStyle name="Normal 6 2 2 15 6 2 3" xfId="17609" xr:uid="{00000000-0005-0000-0000-0000648E0000}"/>
    <cellStyle name="Normal 6 2 2 15 6 2 3 2" xfId="31741" xr:uid="{00000000-0005-0000-0000-0000658E0000}"/>
    <cellStyle name="Normal 6 2 2 15 6 2 3 3" xfId="45636" xr:uid="{00000000-0005-0000-0000-0000668E0000}"/>
    <cellStyle name="Normal 6 2 2 15 6 2 4" xfId="22422" xr:uid="{00000000-0005-0000-0000-0000678E0000}"/>
    <cellStyle name="Normal 6 2 2 15 6 2 5" xfId="41054" xr:uid="{00000000-0005-0000-0000-0000688E0000}"/>
    <cellStyle name="Normal 6 2 2 15 6 3" xfId="12877" xr:uid="{00000000-0005-0000-0000-0000698E0000}"/>
    <cellStyle name="Normal 6 2 2 15 6 3 2" xfId="36362" xr:uid="{00000000-0005-0000-0000-00006A8E0000}"/>
    <cellStyle name="Normal 6 2 2 15 6 3 3" xfId="27043" xr:uid="{00000000-0005-0000-0000-00006B8E0000}"/>
    <cellStyle name="Normal 6 2 2 15 6 3 4" xfId="50305" xr:uid="{00000000-0005-0000-0000-00006C8E0000}"/>
    <cellStyle name="Normal 6 2 2 15 6 4" xfId="17608" xr:uid="{00000000-0005-0000-0000-00006D8E0000}"/>
    <cellStyle name="Normal 6 2 2 15 6 4 2" xfId="31740" xr:uid="{00000000-0005-0000-0000-00006E8E0000}"/>
    <cellStyle name="Normal 6 2 2 15 6 4 3" xfId="45635" xr:uid="{00000000-0005-0000-0000-00006F8E0000}"/>
    <cellStyle name="Normal 6 2 2 15 6 5" xfId="22421" xr:uid="{00000000-0005-0000-0000-0000708E0000}"/>
    <cellStyle name="Normal 6 2 2 15 6 6" xfId="41053" xr:uid="{00000000-0005-0000-0000-0000718E0000}"/>
    <cellStyle name="Normal 6 2 2 15 7" xfId="7098" xr:uid="{00000000-0005-0000-0000-0000728E0000}"/>
    <cellStyle name="Normal 6 2 2 15 7 2" xfId="12879" xr:uid="{00000000-0005-0000-0000-0000738E0000}"/>
    <cellStyle name="Normal 6 2 2 15 7 2 2" xfId="36364" xr:uid="{00000000-0005-0000-0000-0000748E0000}"/>
    <cellStyle name="Normal 6 2 2 15 7 2 3" xfId="27045" xr:uid="{00000000-0005-0000-0000-0000758E0000}"/>
    <cellStyle name="Normal 6 2 2 15 7 2 4" xfId="50307" xr:uid="{00000000-0005-0000-0000-0000768E0000}"/>
    <cellStyle name="Normal 6 2 2 15 7 3" xfId="17610" xr:uid="{00000000-0005-0000-0000-0000778E0000}"/>
    <cellStyle name="Normal 6 2 2 15 7 3 2" xfId="31742" xr:uid="{00000000-0005-0000-0000-0000788E0000}"/>
    <cellStyle name="Normal 6 2 2 15 7 3 3" xfId="45637" xr:uid="{00000000-0005-0000-0000-0000798E0000}"/>
    <cellStyle name="Normal 6 2 2 15 7 4" xfId="22423" xr:uid="{00000000-0005-0000-0000-00007A8E0000}"/>
    <cellStyle name="Normal 6 2 2 15 7 5" xfId="41055" xr:uid="{00000000-0005-0000-0000-00007B8E0000}"/>
    <cellStyle name="Normal 6 2 2 15 8" xfId="12868" xr:uid="{00000000-0005-0000-0000-00007C8E0000}"/>
    <cellStyle name="Normal 6 2 2 15 8 2" xfId="36353" xr:uid="{00000000-0005-0000-0000-00007D8E0000}"/>
    <cellStyle name="Normal 6 2 2 15 8 3" xfId="27034" xr:uid="{00000000-0005-0000-0000-00007E8E0000}"/>
    <cellStyle name="Normal 6 2 2 15 8 4" xfId="50296" xr:uid="{00000000-0005-0000-0000-00007F8E0000}"/>
    <cellStyle name="Normal 6 2 2 15 9" xfId="17599" xr:uid="{00000000-0005-0000-0000-0000808E0000}"/>
    <cellStyle name="Normal 6 2 2 15 9 2" xfId="31731" xr:uid="{00000000-0005-0000-0000-0000818E0000}"/>
    <cellStyle name="Normal 6 2 2 15 9 3" xfId="45626" xr:uid="{00000000-0005-0000-0000-0000828E0000}"/>
    <cellStyle name="Normal 6 2 2 16" xfId="7099" xr:uid="{00000000-0005-0000-0000-0000838E0000}"/>
    <cellStyle name="Normal 6 2 2 16 10" xfId="22424" xr:uid="{00000000-0005-0000-0000-0000848E0000}"/>
    <cellStyle name="Normal 6 2 2 16 11" xfId="41056" xr:uid="{00000000-0005-0000-0000-0000858E0000}"/>
    <cellStyle name="Normal 6 2 2 16 2" xfId="7100" xr:uid="{00000000-0005-0000-0000-0000868E0000}"/>
    <cellStyle name="Normal 6 2 2 16 2 2" xfId="7101" xr:uid="{00000000-0005-0000-0000-0000878E0000}"/>
    <cellStyle name="Normal 6 2 2 16 2 2 2" xfId="12882" xr:uid="{00000000-0005-0000-0000-0000888E0000}"/>
    <cellStyle name="Normal 6 2 2 16 2 2 2 2" xfId="36367" xr:uid="{00000000-0005-0000-0000-0000898E0000}"/>
    <cellStyle name="Normal 6 2 2 16 2 2 2 3" xfId="27048" xr:uid="{00000000-0005-0000-0000-00008A8E0000}"/>
    <cellStyle name="Normal 6 2 2 16 2 2 2 4" xfId="50310" xr:uid="{00000000-0005-0000-0000-00008B8E0000}"/>
    <cellStyle name="Normal 6 2 2 16 2 2 3" xfId="17613" xr:uid="{00000000-0005-0000-0000-00008C8E0000}"/>
    <cellStyle name="Normal 6 2 2 16 2 2 3 2" xfId="31745" xr:uid="{00000000-0005-0000-0000-00008D8E0000}"/>
    <cellStyle name="Normal 6 2 2 16 2 2 3 3" xfId="45640" xr:uid="{00000000-0005-0000-0000-00008E8E0000}"/>
    <cellStyle name="Normal 6 2 2 16 2 2 4" xfId="22426" xr:uid="{00000000-0005-0000-0000-00008F8E0000}"/>
    <cellStyle name="Normal 6 2 2 16 2 2 5" xfId="41058" xr:uid="{00000000-0005-0000-0000-0000908E0000}"/>
    <cellStyle name="Normal 6 2 2 16 2 3" xfId="12881" xr:uid="{00000000-0005-0000-0000-0000918E0000}"/>
    <cellStyle name="Normal 6 2 2 16 2 3 2" xfId="36366" xr:uid="{00000000-0005-0000-0000-0000928E0000}"/>
    <cellStyle name="Normal 6 2 2 16 2 3 3" xfId="27047" xr:uid="{00000000-0005-0000-0000-0000938E0000}"/>
    <cellStyle name="Normal 6 2 2 16 2 3 4" xfId="50309" xr:uid="{00000000-0005-0000-0000-0000948E0000}"/>
    <cellStyle name="Normal 6 2 2 16 2 4" xfId="17612" xr:uid="{00000000-0005-0000-0000-0000958E0000}"/>
    <cellStyle name="Normal 6 2 2 16 2 4 2" xfId="31744" xr:uid="{00000000-0005-0000-0000-0000968E0000}"/>
    <cellStyle name="Normal 6 2 2 16 2 4 3" xfId="45639" xr:uid="{00000000-0005-0000-0000-0000978E0000}"/>
    <cellStyle name="Normal 6 2 2 16 2 5" xfId="22425" xr:uid="{00000000-0005-0000-0000-0000988E0000}"/>
    <cellStyle name="Normal 6 2 2 16 2 6" xfId="41057" xr:uid="{00000000-0005-0000-0000-0000998E0000}"/>
    <cellStyle name="Normal 6 2 2 16 3" xfId="7102" xr:uid="{00000000-0005-0000-0000-00009A8E0000}"/>
    <cellStyle name="Normal 6 2 2 16 3 2" xfId="7103" xr:uid="{00000000-0005-0000-0000-00009B8E0000}"/>
    <cellStyle name="Normal 6 2 2 16 3 2 2" xfId="12884" xr:uid="{00000000-0005-0000-0000-00009C8E0000}"/>
    <cellStyle name="Normal 6 2 2 16 3 2 2 2" xfId="36369" xr:uid="{00000000-0005-0000-0000-00009D8E0000}"/>
    <cellStyle name="Normal 6 2 2 16 3 2 2 3" xfId="27050" xr:uid="{00000000-0005-0000-0000-00009E8E0000}"/>
    <cellStyle name="Normal 6 2 2 16 3 2 2 4" xfId="50312" xr:uid="{00000000-0005-0000-0000-00009F8E0000}"/>
    <cellStyle name="Normal 6 2 2 16 3 2 3" xfId="17615" xr:uid="{00000000-0005-0000-0000-0000A08E0000}"/>
    <cellStyle name="Normal 6 2 2 16 3 2 3 2" xfId="31747" xr:uid="{00000000-0005-0000-0000-0000A18E0000}"/>
    <cellStyle name="Normal 6 2 2 16 3 2 3 3" xfId="45642" xr:uid="{00000000-0005-0000-0000-0000A28E0000}"/>
    <cellStyle name="Normal 6 2 2 16 3 2 4" xfId="22428" xr:uid="{00000000-0005-0000-0000-0000A38E0000}"/>
    <cellStyle name="Normal 6 2 2 16 3 2 5" xfId="41060" xr:uid="{00000000-0005-0000-0000-0000A48E0000}"/>
    <cellStyle name="Normal 6 2 2 16 3 3" xfId="12883" xr:uid="{00000000-0005-0000-0000-0000A58E0000}"/>
    <cellStyle name="Normal 6 2 2 16 3 3 2" xfId="36368" xr:uid="{00000000-0005-0000-0000-0000A68E0000}"/>
    <cellStyle name="Normal 6 2 2 16 3 3 3" xfId="27049" xr:uid="{00000000-0005-0000-0000-0000A78E0000}"/>
    <cellStyle name="Normal 6 2 2 16 3 3 4" xfId="50311" xr:uid="{00000000-0005-0000-0000-0000A88E0000}"/>
    <cellStyle name="Normal 6 2 2 16 3 4" xfId="17614" xr:uid="{00000000-0005-0000-0000-0000A98E0000}"/>
    <cellStyle name="Normal 6 2 2 16 3 4 2" xfId="31746" xr:uid="{00000000-0005-0000-0000-0000AA8E0000}"/>
    <cellStyle name="Normal 6 2 2 16 3 4 3" xfId="45641" xr:uid="{00000000-0005-0000-0000-0000AB8E0000}"/>
    <cellStyle name="Normal 6 2 2 16 3 5" xfId="22427" xr:uid="{00000000-0005-0000-0000-0000AC8E0000}"/>
    <cellStyle name="Normal 6 2 2 16 3 6" xfId="41059" xr:uid="{00000000-0005-0000-0000-0000AD8E0000}"/>
    <cellStyle name="Normal 6 2 2 16 4" xfId="7104" xr:uid="{00000000-0005-0000-0000-0000AE8E0000}"/>
    <cellStyle name="Normal 6 2 2 16 4 2" xfId="7105" xr:uid="{00000000-0005-0000-0000-0000AF8E0000}"/>
    <cellStyle name="Normal 6 2 2 16 4 2 2" xfId="12886" xr:uid="{00000000-0005-0000-0000-0000B08E0000}"/>
    <cellStyle name="Normal 6 2 2 16 4 2 2 2" xfId="36371" xr:uid="{00000000-0005-0000-0000-0000B18E0000}"/>
    <cellStyle name="Normal 6 2 2 16 4 2 2 3" xfId="27052" xr:uid="{00000000-0005-0000-0000-0000B28E0000}"/>
    <cellStyle name="Normal 6 2 2 16 4 2 2 4" xfId="50314" xr:uid="{00000000-0005-0000-0000-0000B38E0000}"/>
    <cellStyle name="Normal 6 2 2 16 4 2 3" xfId="17617" xr:uid="{00000000-0005-0000-0000-0000B48E0000}"/>
    <cellStyle name="Normal 6 2 2 16 4 2 3 2" xfId="31749" xr:uid="{00000000-0005-0000-0000-0000B58E0000}"/>
    <cellStyle name="Normal 6 2 2 16 4 2 3 3" xfId="45644" xr:uid="{00000000-0005-0000-0000-0000B68E0000}"/>
    <cellStyle name="Normal 6 2 2 16 4 2 4" xfId="22430" xr:uid="{00000000-0005-0000-0000-0000B78E0000}"/>
    <cellStyle name="Normal 6 2 2 16 4 2 5" xfId="41062" xr:uid="{00000000-0005-0000-0000-0000B88E0000}"/>
    <cellStyle name="Normal 6 2 2 16 4 3" xfId="12885" xr:uid="{00000000-0005-0000-0000-0000B98E0000}"/>
    <cellStyle name="Normal 6 2 2 16 4 3 2" xfId="36370" xr:uid="{00000000-0005-0000-0000-0000BA8E0000}"/>
    <cellStyle name="Normal 6 2 2 16 4 3 3" xfId="27051" xr:uid="{00000000-0005-0000-0000-0000BB8E0000}"/>
    <cellStyle name="Normal 6 2 2 16 4 3 4" xfId="50313" xr:uid="{00000000-0005-0000-0000-0000BC8E0000}"/>
    <cellStyle name="Normal 6 2 2 16 4 4" xfId="17616" xr:uid="{00000000-0005-0000-0000-0000BD8E0000}"/>
    <cellStyle name="Normal 6 2 2 16 4 4 2" xfId="31748" xr:uid="{00000000-0005-0000-0000-0000BE8E0000}"/>
    <cellStyle name="Normal 6 2 2 16 4 4 3" xfId="45643" xr:uid="{00000000-0005-0000-0000-0000BF8E0000}"/>
    <cellStyle name="Normal 6 2 2 16 4 5" xfId="22429" xr:uid="{00000000-0005-0000-0000-0000C08E0000}"/>
    <cellStyle name="Normal 6 2 2 16 4 6" xfId="41061" xr:uid="{00000000-0005-0000-0000-0000C18E0000}"/>
    <cellStyle name="Normal 6 2 2 16 5" xfId="7106" xr:uid="{00000000-0005-0000-0000-0000C28E0000}"/>
    <cellStyle name="Normal 6 2 2 16 5 2" xfId="7107" xr:uid="{00000000-0005-0000-0000-0000C38E0000}"/>
    <cellStyle name="Normal 6 2 2 16 5 2 2" xfId="12888" xr:uid="{00000000-0005-0000-0000-0000C48E0000}"/>
    <cellStyle name="Normal 6 2 2 16 5 2 2 2" xfId="36373" xr:uid="{00000000-0005-0000-0000-0000C58E0000}"/>
    <cellStyle name="Normal 6 2 2 16 5 2 2 3" xfId="27054" xr:uid="{00000000-0005-0000-0000-0000C68E0000}"/>
    <cellStyle name="Normal 6 2 2 16 5 2 2 4" xfId="50316" xr:uid="{00000000-0005-0000-0000-0000C78E0000}"/>
    <cellStyle name="Normal 6 2 2 16 5 2 3" xfId="17619" xr:uid="{00000000-0005-0000-0000-0000C88E0000}"/>
    <cellStyle name="Normal 6 2 2 16 5 2 3 2" xfId="31751" xr:uid="{00000000-0005-0000-0000-0000C98E0000}"/>
    <cellStyle name="Normal 6 2 2 16 5 2 3 3" xfId="45646" xr:uid="{00000000-0005-0000-0000-0000CA8E0000}"/>
    <cellStyle name="Normal 6 2 2 16 5 2 4" xfId="22432" xr:uid="{00000000-0005-0000-0000-0000CB8E0000}"/>
    <cellStyle name="Normal 6 2 2 16 5 2 5" xfId="41064" xr:uid="{00000000-0005-0000-0000-0000CC8E0000}"/>
    <cellStyle name="Normal 6 2 2 16 5 3" xfId="12887" xr:uid="{00000000-0005-0000-0000-0000CD8E0000}"/>
    <cellStyle name="Normal 6 2 2 16 5 3 2" xfId="36372" xr:uid="{00000000-0005-0000-0000-0000CE8E0000}"/>
    <cellStyle name="Normal 6 2 2 16 5 3 3" xfId="27053" xr:uid="{00000000-0005-0000-0000-0000CF8E0000}"/>
    <cellStyle name="Normal 6 2 2 16 5 3 4" xfId="50315" xr:uid="{00000000-0005-0000-0000-0000D08E0000}"/>
    <cellStyle name="Normal 6 2 2 16 5 4" xfId="17618" xr:uid="{00000000-0005-0000-0000-0000D18E0000}"/>
    <cellStyle name="Normal 6 2 2 16 5 4 2" xfId="31750" xr:uid="{00000000-0005-0000-0000-0000D28E0000}"/>
    <cellStyle name="Normal 6 2 2 16 5 4 3" xfId="45645" xr:uid="{00000000-0005-0000-0000-0000D38E0000}"/>
    <cellStyle name="Normal 6 2 2 16 5 5" xfId="22431" xr:uid="{00000000-0005-0000-0000-0000D48E0000}"/>
    <cellStyle name="Normal 6 2 2 16 5 6" xfId="41063" xr:uid="{00000000-0005-0000-0000-0000D58E0000}"/>
    <cellStyle name="Normal 6 2 2 16 6" xfId="7108" xr:uid="{00000000-0005-0000-0000-0000D68E0000}"/>
    <cellStyle name="Normal 6 2 2 16 6 2" xfId="7109" xr:uid="{00000000-0005-0000-0000-0000D78E0000}"/>
    <cellStyle name="Normal 6 2 2 16 6 2 2" xfId="12890" xr:uid="{00000000-0005-0000-0000-0000D88E0000}"/>
    <cellStyle name="Normal 6 2 2 16 6 2 2 2" xfId="36375" xr:uid="{00000000-0005-0000-0000-0000D98E0000}"/>
    <cellStyle name="Normal 6 2 2 16 6 2 2 3" xfId="27056" xr:uid="{00000000-0005-0000-0000-0000DA8E0000}"/>
    <cellStyle name="Normal 6 2 2 16 6 2 2 4" xfId="50318" xr:uid="{00000000-0005-0000-0000-0000DB8E0000}"/>
    <cellStyle name="Normal 6 2 2 16 6 2 3" xfId="17621" xr:uid="{00000000-0005-0000-0000-0000DC8E0000}"/>
    <cellStyle name="Normal 6 2 2 16 6 2 3 2" xfId="31753" xr:uid="{00000000-0005-0000-0000-0000DD8E0000}"/>
    <cellStyle name="Normal 6 2 2 16 6 2 3 3" xfId="45648" xr:uid="{00000000-0005-0000-0000-0000DE8E0000}"/>
    <cellStyle name="Normal 6 2 2 16 6 2 4" xfId="22434" xr:uid="{00000000-0005-0000-0000-0000DF8E0000}"/>
    <cellStyle name="Normal 6 2 2 16 6 2 5" xfId="41066" xr:uid="{00000000-0005-0000-0000-0000E08E0000}"/>
    <cellStyle name="Normal 6 2 2 16 6 3" xfId="12889" xr:uid="{00000000-0005-0000-0000-0000E18E0000}"/>
    <cellStyle name="Normal 6 2 2 16 6 3 2" xfId="36374" xr:uid="{00000000-0005-0000-0000-0000E28E0000}"/>
    <cellStyle name="Normal 6 2 2 16 6 3 3" xfId="27055" xr:uid="{00000000-0005-0000-0000-0000E38E0000}"/>
    <cellStyle name="Normal 6 2 2 16 6 3 4" xfId="50317" xr:uid="{00000000-0005-0000-0000-0000E48E0000}"/>
    <cellStyle name="Normal 6 2 2 16 6 4" xfId="17620" xr:uid="{00000000-0005-0000-0000-0000E58E0000}"/>
    <cellStyle name="Normal 6 2 2 16 6 4 2" xfId="31752" xr:uid="{00000000-0005-0000-0000-0000E68E0000}"/>
    <cellStyle name="Normal 6 2 2 16 6 4 3" xfId="45647" xr:uid="{00000000-0005-0000-0000-0000E78E0000}"/>
    <cellStyle name="Normal 6 2 2 16 6 5" xfId="22433" xr:uid="{00000000-0005-0000-0000-0000E88E0000}"/>
    <cellStyle name="Normal 6 2 2 16 6 6" xfId="41065" xr:uid="{00000000-0005-0000-0000-0000E98E0000}"/>
    <cellStyle name="Normal 6 2 2 16 7" xfId="7110" xr:uid="{00000000-0005-0000-0000-0000EA8E0000}"/>
    <cellStyle name="Normal 6 2 2 16 7 2" xfId="12891" xr:uid="{00000000-0005-0000-0000-0000EB8E0000}"/>
    <cellStyle name="Normal 6 2 2 16 7 2 2" xfId="36376" xr:uid="{00000000-0005-0000-0000-0000EC8E0000}"/>
    <cellStyle name="Normal 6 2 2 16 7 2 3" xfId="27057" xr:uid="{00000000-0005-0000-0000-0000ED8E0000}"/>
    <cellStyle name="Normal 6 2 2 16 7 2 4" xfId="50319" xr:uid="{00000000-0005-0000-0000-0000EE8E0000}"/>
    <cellStyle name="Normal 6 2 2 16 7 3" xfId="17622" xr:uid="{00000000-0005-0000-0000-0000EF8E0000}"/>
    <cellStyle name="Normal 6 2 2 16 7 3 2" xfId="31754" xr:uid="{00000000-0005-0000-0000-0000F08E0000}"/>
    <cellStyle name="Normal 6 2 2 16 7 3 3" xfId="45649" xr:uid="{00000000-0005-0000-0000-0000F18E0000}"/>
    <cellStyle name="Normal 6 2 2 16 7 4" xfId="22435" xr:uid="{00000000-0005-0000-0000-0000F28E0000}"/>
    <cellStyle name="Normal 6 2 2 16 7 5" xfId="41067" xr:uid="{00000000-0005-0000-0000-0000F38E0000}"/>
    <cellStyle name="Normal 6 2 2 16 8" xfId="12880" xr:uid="{00000000-0005-0000-0000-0000F48E0000}"/>
    <cellStyle name="Normal 6 2 2 16 8 2" xfId="36365" xr:uid="{00000000-0005-0000-0000-0000F58E0000}"/>
    <cellStyle name="Normal 6 2 2 16 8 3" xfId="27046" xr:uid="{00000000-0005-0000-0000-0000F68E0000}"/>
    <cellStyle name="Normal 6 2 2 16 8 4" xfId="50308" xr:uid="{00000000-0005-0000-0000-0000F78E0000}"/>
    <cellStyle name="Normal 6 2 2 16 9" xfId="17611" xr:uid="{00000000-0005-0000-0000-0000F88E0000}"/>
    <cellStyle name="Normal 6 2 2 16 9 2" xfId="31743" xr:uid="{00000000-0005-0000-0000-0000F98E0000}"/>
    <cellStyle name="Normal 6 2 2 16 9 3" xfId="45638" xr:uid="{00000000-0005-0000-0000-0000FA8E0000}"/>
    <cellStyle name="Normal 6 2 2 17" xfId="7111" xr:uid="{00000000-0005-0000-0000-0000FB8E0000}"/>
    <cellStyle name="Normal 6 2 2 17 10" xfId="22436" xr:uid="{00000000-0005-0000-0000-0000FC8E0000}"/>
    <cellStyle name="Normal 6 2 2 17 11" xfId="41068" xr:uid="{00000000-0005-0000-0000-0000FD8E0000}"/>
    <cellStyle name="Normal 6 2 2 17 2" xfId="7112" xr:uid="{00000000-0005-0000-0000-0000FE8E0000}"/>
    <cellStyle name="Normal 6 2 2 17 2 2" xfId="7113" xr:uid="{00000000-0005-0000-0000-0000FF8E0000}"/>
    <cellStyle name="Normal 6 2 2 17 2 2 2" xfId="12894" xr:uid="{00000000-0005-0000-0000-0000008F0000}"/>
    <cellStyle name="Normal 6 2 2 17 2 2 2 2" xfId="36379" xr:uid="{00000000-0005-0000-0000-0000018F0000}"/>
    <cellStyle name="Normal 6 2 2 17 2 2 2 3" xfId="27060" xr:uid="{00000000-0005-0000-0000-0000028F0000}"/>
    <cellStyle name="Normal 6 2 2 17 2 2 2 4" xfId="50322" xr:uid="{00000000-0005-0000-0000-0000038F0000}"/>
    <cellStyle name="Normal 6 2 2 17 2 2 3" xfId="17625" xr:uid="{00000000-0005-0000-0000-0000048F0000}"/>
    <cellStyle name="Normal 6 2 2 17 2 2 3 2" xfId="31757" xr:uid="{00000000-0005-0000-0000-0000058F0000}"/>
    <cellStyle name="Normal 6 2 2 17 2 2 3 3" xfId="45652" xr:uid="{00000000-0005-0000-0000-0000068F0000}"/>
    <cellStyle name="Normal 6 2 2 17 2 2 4" xfId="22438" xr:uid="{00000000-0005-0000-0000-0000078F0000}"/>
    <cellStyle name="Normal 6 2 2 17 2 2 5" xfId="41070" xr:uid="{00000000-0005-0000-0000-0000088F0000}"/>
    <cellStyle name="Normal 6 2 2 17 2 3" xfId="12893" xr:uid="{00000000-0005-0000-0000-0000098F0000}"/>
    <cellStyle name="Normal 6 2 2 17 2 3 2" xfId="36378" xr:uid="{00000000-0005-0000-0000-00000A8F0000}"/>
    <cellStyle name="Normal 6 2 2 17 2 3 3" xfId="27059" xr:uid="{00000000-0005-0000-0000-00000B8F0000}"/>
    <cellStyle name="Normal 6 2 2 17 2 3 4" xfId="50321" xr:uid="{00000000-0005-0000-0000-00000C8F0000}"/>
    <cellStyle name="Normal 6 2 2 17 2 4" xfId="17624" xr:uid="{00000000-0005-0000-0000-00000D8F0000}"/>
    <cellStyle name="Normal 6 2 2 17 2 4 2" xfId="31756" xr:uid="{00000000-0005-0000-0000-00000E8F0000}"/>
    <cellStyle name="Normal 6 2 2 17 2 4 3" xfId="45651" xr:uid="{00000000-0005-0000-0000-00000F8F0000}"/>
    <cellStyle name="Normal 6 2 2 17 2 5" xfId="22437" xr:uid="{00000000-0005-0000-0000-0000108F0000}"/>
    <cellStyle name="Normal 6 2 2 17 2 6" xfId="41069" xr:uid="{00000000-0005-0000-0000-0000118F0000}"/>
    <cellStyle name="Normal 6 2 2 17 3" xfId="7114" xr:uid="{00000000-0005-0000-0000-0000128F0000}"/>
    <cellStyle name="Normal 6 2 2 17 3 2" xfId="7115" xr:uid="{00000000-0005-0000-0000-0000138F0000}"/>
    <cellStyle name="Normal 6 2 2 17 3 2 2" xfId="12896" xr:uid="{00000000-0005-0000-0000-0000148F0000}"/>
    <cellStyle name="Normal 6 2 2 17 3 2 2 2" xfId="36381" xr:uid="{00000000-0005-0000-0000-0000158F0000}"/>
    <cellStyle name="Normal 6 2 2 17 3 2 2 3" xfId="27062" xr:uid="{00000000-0005-0000-0000-0000168F0000}"/>
    <cellStyle name="Normal 6 2 2 17 3 2 2 4" xfId="50324" xr:uid="{00000000-0005-0000-0000-0000178F0000}"/>
    <cellStyle name="Normal 6 2 2 17 3 2 3" xfId="17627" xr:uid="{00000000-0005-0000-0000-0000188F0000}"/>
    <cellStyle name="Normal 6 2 2 17 3 2 3 2" xfId="31759" xr:uid="{00000000-0005-0000-0000-0000198F0000}"/>
    <cellStyle name="Normal 6 2 2 17 3 2 3 3" xfId="45654" xr:uid="{00000000-0005-0000-0000-00001A8F0000}"/>
    <cellStyle name="Normal 6 2 2 17 3 2 4" xfId="22440" xr:uid="{00000000-0005-0000-0000-00001B8F0000}"/>
    <cellStyle name="Normal 6 2 2 17 3 2 5" xfId="41072" xr:uid="{00000000-0005-0000-0000-00001C8F0000}"/>
    <cellStyle name="Normal 6 2 2 17 3 3" xfId="12895" xr:uid="{00000000-0005-0000-0000-00001D8F0000}"/>
    <cellStyle name="Normal 6 2 2 17 3 3 2" xfId="36380" xr:uid="{00000000-0005-0000-0000-00001E8F0000}"/>
    <cellStyle name="Normal 6 2 2 17 3 3 3" xfId="27061" xr:uid="{00000000-0005-0000-0000-00001F8F0000}"/>
    <cellStyle name="Normal 6 2 2 17 3 3 4" xfId="50323" xr:uid="{00000000-0005-0000-0000-0000208F0000}"/>
    <cellStyle name="Normal 6 2 2 17 3 4" xfId="17626" xr:uid="{00000000-0005-0000-0000-0000218F0000}"/>
    <cellStyle name="Normal 6 2 2 17 3 4 2" xfId="31758" xr:uid="{00000000-0005-0000-0000-0000228F0000}"/>
    <cellStyle name="Normal 6 2 2 17 3 4 3" xfId="45653" xr:uid="{00000000-0005-0000-0000-0000238F0000}"/>
    <cellStyle name="Normal 6 2 2 17 3 5" xfId="22439" xr:uid="{00000000-0005-0000-0000-0000248F0000}"/>
    <cellStyle name="Normal 6 2 2 17 3 6" xfId="41071" xr:uid="{00000000-0005-0000-0000-0000258F0000}"/>
    <cellStyle name="Normal 6 2 2 17 4" xfId="7116" xr:uid="{00000000-0005-0000-0000-0000268F0000}"/>
    <cellStyle name="Normal 6 2 2 17 4 2" xfId="7117" xr:uid="{00000000-0005-0000-0000-0000278F0000}"/>
    <cellStyle name="Normal 6 2 2 17 4 2 2" xfId="12898" xr:uid="{00000000-0005-0000-0000-0000288F0000}"/>
    <cellStyle name="Normal 6 2 2 17 4 2 2 2" xfId="36383" xr:uid="{00000000-0005-0000-0000-0000298F0000}"/>
    <cellStyle name="Normal 6 2 2 17 4 2 2 3" xfId="27064" xr:uid="{00000000-0005-0000-0000-00002A8F0000}"/>
    <cellStyle name="Normal 6 2 2 17 4 2 2 4" xfId="50326" xr:uid="{00000000-0005-0000-0000-00002B8F0000}"/>
    <cellStyle name="Normal 6 2 2 17 4 2 3" xfId="17629" xr:uid="{00000000-0005-0000-0000-00002C8F0000}"/>
    <cellStyle name="Normal 6 2 2 17 4 2 3 2" xfId="31761" xr:uid="{00000000-0005-0000-0000-00002D8F0000}"/>
    <cellStyle name="Normal 6 2 2 17 4 2 3 3" xfId="45656" xr:uid="{00000000-0005-0000-0000-00002E8F0000}"/>
    <cellStyle name="Normal 6 2 2 17 4 2 4" xfId="22442" xr:uid="{00000000-0005-0000-0000-00002F8F0000}"/>
    <cellStyle name="Normal 6 2 2 17 4 2 5" xfId="41074" xr:uid="{00000000-0005-0000-0000-0000308F0000}"/>
    <cellStyle name="Normal 6 2 2 17 4 3" xfId="12897" xr:uid="{00000000-0005-0000-0000-0000318F0000}"/>
    <cellStyle name="Normal 6 2 2 17 4 3 2" xfId="36382" xr:uid="{00000000-0005-0000-0000-0000328F0000}"/>
    <cellStyle name="Normal 6 2 2 17 4 3 3" xfId="27063" xr:uid="{00000000-0005-0000-0000-0000338F0000}"/>
    <cellStyle name="Normal 6 2 2 17 4 3 4" xfId="50325" xr:uid="{00000000-0005-0000-0000-0000348F0000}"/>
    <cellStyle name="Normal 6 2 2 17 4 4" xfId="17628" xr:uid="{00000000-0005-0000-0000-0000358F0000}"/>
    <cellStyle name="Normal 6 2 2 17 4 4 2" xfId="31760" xr:uid="{00000000-0005-0000-0000-0000368F0000}"/>
    <cellStyle name="Normal 6 2 2 17 4 4 3" xfId="45655" xr:uid="{00000000-0005-0000-0000-0000378F0000}"/>
    <cellStyle name="Normal 6 2 2 17 4 5" xfId="22441" xr:uid="{00000000-0005-0000-0000-0000388F0000}"/>
    <cellStyle name="Normal 6 2 2 17 4 6" xfId="41073" xr:uid="{00000000-0005-0000-0000-0000398F0000}"/>
    <cellStyle name="Normal 6 2 2 17 5" xfId="7118" xr:uid="{00000000-0005-0000-0000-00003A8F0000}"/>
    <cellStyle name="Normal 6 2 2 17 5 2" xfId="7119" xr:uid="{00000000-0005-0000-0000-00003B8F0000}"/>
    <cellStyle name="Normal 6 2 2 17 5 2 2" xfId="12900" xr:uid="{00000000-0005-0000-0000-00003C8F0000}"/>
    <cellStyle name="Normal 6 2 2 17 5 2 2 2" xfId="36385" xr:uid="{00000000-0005-0000-0000-00003D8F0000}"/>
    <cellStyle name="Normal 6 2 2 17 5 2 2 3" xfId="27066" xr:uid="{00000000-0005-0000-0000-00003E8F0000}"/>
    <cellStyle name="Normal 6 2 2 17 5 2 2 4" xfId="50328" xr:uid="{00000000-0005-0000-0000-00003F8F0000}"/>
    <cellStyle name="Normal 6 2 2 17 5 2 3" xfId="17631" xr:uid="{00000000-0005-0000-0000-0000408F0000}"/>
    <cellStyle name="Normal 6 2 2 17 5 2 3 2" xfId="31763" xr:uid="{00000000-0005-0000-0000-0000418F0000}"/>
    <cellStyle name="Normal 6 2 2 17 5 2 3 3" xfId="45658" xr:uid="{00000000-0005-0000-0000-0000428F0000}"/>
    <cellStyle name="Normal 6 2 2 17 5 2 4" xfId="22444" xr:uid="{00000000-0005-0000-0000-0000438F0000}"/>
    <cellStyle name="Normal 6 2 2 17 5 2 5" xfId="41076" xr:uid="{00000000-0005-0000-0000-0000448F0000}"/>
    <cellStyle name="Normal 6 2 2 17 5 3" xfId="12899" xr:uid="{00000000-0005-0000-0000-0000458F0000}"/>
    <cellStyle name="Normal 6 2 2 17 5 3 2" xfId="36384" xr:uid="{00000000-0005-0000-0000-0000468F0000}"/>
    <cellStyle name="Normal 6 2 2 17 5 3 3" xfId="27065" xr:uid="{00000000-0005-0000-0000-0000478F0000}"/>
    <cellStyle name="Normal 6 2 2 17 5 3 4" xfId="50327" xr:uid="{00000000-0005-0000-0000-0000488F0000}"/>
    <cellStyle name="Normal 6 2 2 17 5 4" xfId="17630" xr:uid="{00000000-0005-0000-0000-0000498F0000}"/>
    <cellStyle name="Normal 6 2 2 17 5 4 2" xfId="31762" xr:uid="{00000000-0005-0000-0000-00004A8F0000}"/>
    <cellStyle name="Normal 6 2 2 17 5 4 3" xfId="45657" xr:uid="{00000000-0005-0000-0000-00004B8F0000}"/>
    <cellStyle name="Normal 6 2 2 17 5 5" xfId="22443" xr:uid="{00000000-0005-0000-0000-00004C8F0000}"/>
    <cellStyle name="Normal 6 2 2 17 5 6" xfId="41075" xr:uid="{00000000-0005-0000-0000-00004D8F0000}"/>
    <cellStyle name="Normal 6 2 2 17 6" xfId="7120" xr:uid="{00000000-0005-0000-0000-00004E8F0000}"/>
    <cellStyle name="Normal 6 2 2 17 6 2" xfId="7121" xr:uid="{00000000-0005-0000-0000-00004F8F0000}"/>
    <cellStyle name="Normal 6 2 2 17 6 2 2" xfId="12902" xr:uid="{00000000-0005-0000-0000-0000508F0000}"/>
    <cellStyle name="Normal 6 2 2 17 6 2 2 2" xfId="36387" xr:uid="{00000000-0005-0000-0000-0000518F0000}"/>
    <cellStyle name="Normal 6 2 2 17 6 2 2 3" xfId="27068" xr:uid="{00000000-0005-0000-0000-0000528F0000}"/>
    <cellStyle name="Normal 6 2 2 17 6 2 2 4" xfId="50330" xr:uid="{00000000-0005-0000-0000-0000538F0000}"/>
    <cellStyle name="Normal 6 2 2 17 6 2 3" xfId="17633" xr:uid="{00000000-0005-0000-0000-0000548F0000}"/>
    <cellStyle name="Normal 6 2 2 17 6 2 3 2" xfId="31765" xr:uid="{00000000-0005-0000-0000-0000558F0000}"/>
    <cellStyle name="Normal 6 2 2 17 6 2 3 3" xfId="45660" xr:uid="{00000000-0005-0000-0000-0000568F0000}"/>
    <cellStyle name="Normal 6 2 2 17 6 2 4" xfId="22446" xr:uid="{00000000-0005-0000-0000-0000578F0000}"/>
    <cellStyle name="Normal 6 2 2 17 6 2 5" xfId="41078" xr:uid="{00000000-0005-0000-0000-0000588F0000}"/>
    <cellStyle name="Normal 6 2 2 17 6 3" xfId="12901" xr:uid="{00000000-0005-0000-0000-0000598F0000}"/>
    <cellStyle name="Normal 6 2 2 17 6 3 2" xfId="36386" xr:uid="{00000000-0005-0000-0000-00005A8F0000}"/>
    <cellStyle name="Normal 6 2 2 17 6 3 3" xfId="27067" xr:uid="{00000000-0005-0000-0000-00005B8F0000}"/>
    <cellStyle name="Normal 6 2 2 17 6 3 4" xfId="50329" xr:uid="{00000000-0005-0000-0000-00005C8F0000}"/>
    <cellStyle name="Normal 6 2 2 17 6 4" xfId="17632" xr:uid="{00000000-0005-0000-0000-00005D8F0000}"/>
    <cellStyle name="Normal 6 2 2 17 6 4 2" xfId="31764" xr:uid="{00000000-0005-0000-0000-00005E8F0000}"/>
    <cellStyle name="Normal 6 2 2 17 6 4 3" xfId="45659" xr:uid="{00000000-0005-0000-0000-00005F8F0000}"/>
    <cellStyle name="Normal 6 2 2 17 6 5" xfId="22445" xr:uid="{00000000-0005-0000-0000-0000608F0000}"/>
    <cellStyle name="Normal 6 2 2 17 6 6" xfId="41077" xr:uid="{00000000-0005-0000-0000-0000618F0000}"/>
    <cellStyle name="Normal 6 2 2 17 7" xfId="7122" xr:uid="{00000000-0005-0000-0000-0000628F0000}"/>
    <cellStyle name="Normal 6 2 2 17 7 2" xfId="12903" xr:uid="{00000000-0005-0000-0000-0000638F0000}"/>
    <cellStyle name="Normal 6 2 2 17 7 2 2" xfId="36388" xr:uid="{00000000-0005-0000-0000-0000648F0000}"/>
    <cellStyle name="Normal 6 2 2 17 7 2 3" xfId="27069" xr:uid="{00000000-0005-0000-0000-0000658F0000}"/>
    <cellStyle name="Normal 6 2 2 17 7 2 4" xfId="50331" xr:uid="{00000000-0005-0000-0000-0000668F0000}"/>
    <cellStyle name="Normal 6 2 2 17 7 3" xfId="17634" xr:uid="{00000000-0005-0000-0000-0000678F0000}"/>
    <cellStyle name="Normal 6 2 2 17 7 3 2" xfId="31766" xr:uid="{00000000-0005-0000-0000-0000688F0000}"/>
    <cellStyle name="Normal 6 2 2 17 7 3 3" xfId="45661" xr:uid="{00000000-0005-0000-0000-0000698F0000}"/>
    <cellStyle name="Normal 6 2 2 17 7 4" xfId="22447" xr:uid="{00000000-0005-0000-0000-00006A8F0000}"/>
    <cellStyle name="Normal 6 2 2 17 7 5" xfId="41079" xr:uid="{00000000-0005-0000-0000-00006B8F0000}"/>
    <cellStyle name="Normal 6 2 2 17 8" xfId="12892" xr:uid="{00000000-0005-0000-0000-00006C8F0000}"/>
    <cellStyle name="Normal 6 2 2 17 8 2" xfId="36377" xr:uid="{00000000-0005-0000-0000-00006D8F0000}"/>
    <cellStyle name="Normal 6 2 2 17 8 3" xfId="27058" xr:uid="{00000000-0005-0000-0000-00006E8F0000}"/>
    <cellStyle name="Normal 6 2 2 17 8 4" xfId="50320" xr:uid="{00000000-0005-0000-0000-00006F8F0000}"/>
    <cellStyle name="Normal 6 2 2 17 9" xfId="17623" xr:uid="{00000000-0005-0000-0000-0000708F0000}"/>
    <cellStyle name="Normal 6 2 2 17 9 2" xfId="31755" xr:uid="{00000000-0005-0000-0000-0000718F0000}"/>
    <cellStyle name="Normal 6 2 2 17 9 3" xfId="45650" xr:uid="{00000000-0005-0000-0000-0000728F0000}"/>
    <cellStyle name="Normal 6 2 2 18" xfId="7123" xr:uid="{00000000-0005-0000-0000-0000738F0000}"/>
    <cellStyle name="Normal 6 2 2 18 10" xfId="22448" xr:uid="{00000000-0005-0000-0000-0000748F0000}"/>
    <cellStyle name="Normal 6 2 2 18 11" xfId="41080" xr:uid="{00000000-0005-0000-0000-0000758F0000}"/>
    <cellStyle name="Normal 6 2 2 18 2" xfId="7124" xr:uid="{00000000-0005-0000-0000-0000768F0000}"/>
    <cellStyle name="Normal 6 2 2 18 2 2" xfId="7125" xr:uid="{00000000-0005-0000-0000-0000778F0000}"/>
    <cellStyle name="Normal 6 2 2 18 2 2 2" xfId="12906" xr:uid="{00000000-0005-0000-0000-0000788F0000}"/>
    <cellStyle name="Normal 6 2 2 18 2 2 2 2" xfId="36391" xr:uid="{00000000-0005-0000-0000-0000798F0000}"/>
    <cellStyle name="Normal 6 2 2 18 2 2 2 3" xfId="27072" xr:uid="{00000000-0005-0000-0000-00007A8F0000}"/>
    <cellStyle name="Normal 6 2 2 18 2 2 2 4" xfId="50334" xr:uid="{00000000-0005-0000-0000-00007B8F0000}"/>
    <cellStyle name="Normal 6 2 2 18 2 2 3" xfId="17637" xr:uid="{00000000-0005-0000-0000-00007C8F0000}"/>
    <cellStyle name="Normal 6 2 2 18 2 2 3 2" xfId="31769" xr:uid="{00000000-0005-0000-0000-00007D8F0000}"/>
    <cellStyle name="Normal 6 2 2 18 2 2 3 3" xfId="45664" xr:uid="{00000000-0005-0000-0000-00007E8F0000}"/>
    <cellStyle name="Normal 6 2 2 18 2 2 4" xfId="22450" xr:uid="{00000000-0005-0000-0000-00007F8F0000}"/>
    <cellStyle name="Normal 6 2 2 18 2 2 5" xfId="41082" xr:uid="{00000000-0005-0000-0000-0000808F0000}"/>
    <cellStyle name="Normal 6 2 2 18 2 3" xfId="12905" xr:uid="{00000000-0005-0000-0000-0000818F0000}"/>
    <cellStyle name="Normal 6 2 2 18 2 3 2" xfId="36390" xr:uid="{00000000-0005-0000-0000-0000828F0000}"/>
    <cellStyle name="Normal 6 2 2 18 2 3 3" xfId="27071" xr:uid="{00000000-0005-0000-0000-0000838F0000}"/>
    <cellStyle name="Normal 6 2 2 18 2 3 4" xfId="50333" xr:uid="{00000000-0005-0000-0000-0000848F0000}"/>
    <cellStyle name="Normal 6 2 2 18 2 4" xfId="17636" xr:uid="{00000000-0005-0000-0000-0000858F0000}"/>
    <cellStyle name="Normal 6 2 2 18 2 4 2" xfId="31768" xr:uid="{00000000-0005-0000-0000-0000868F0000}"/>
    <cellStyle name="Normal 6 2 2 18 2 4 3" xfId="45663" xr:uid="{00000000-0005-0000-0000-0000878F0000}"/>
    <cellStyle name="Normal 6 2 2 18 2 5" xfId="22449" xr:uid="{00000000-0005-0000-0000-0000888F0000}"/>
    <cellStyle name="Normal 6 2 2 18 2 6" xfId="41081" xr:uid="{00000000-0005-0000-0000-0000898F0000}"/>
    <cellStyle name="Normal 6 2 2 18 3" xfId="7126" xr:uid="{00000000-0005-0000-0000-00008A8F0000}"/>
    <cellStyle name="Normal 6 2 2 18 3 2" xfId="7127" xr:uid="{00000000-0005-0000-0000-00008B8F0000}"/>
    <cellStyle name="Normal 6 2 2 18 3 2 2" xfId="12908" xr:uid="{00000000-0005-0000-0000-00008C8F0000}"/>
    <cellStyle name="Normal 6 2 2 18 3 2 2 2" xfId="36393" xr:uid="{00000000-0005-0000-0000-00008D8F0000}"/>
    <cellStyle name="Normal 6 2 2 18 3 2 2 3" xfId="27074" xr:uid="{00000000-0005-0000-0000-00008E8F0000}"/>
    <cellStyle name="Normal 6 2 2 18 3 2 2 4" xfId="50336" xr:uid="{00000000-0005-0000-0000-00008F8F0000}"/>
    <cellStyle name="Normal 6 2 2 18 3 2 3" xfId="17639" xr:uid="{00000000-0005-0000-0000-0000908F0000}"/>
    <cellStyle name="Normal 6 2 2 18 3 2 3 2" xfId="31771" xr:uid="{00000000-0005-0000-0000-0000918F0000}"/>
    <cellStyle name="Normal 6 2 2 18 3 2 3 3" xfId="45666" xr:uid="{00000000-0005-0000-0000-0000928F0000}"/>
    <cellStyle name="Normal 6 2 2 18 3 2 4" xfId="22452" xr:uid="{00000000-0005-0000-0000-0000938F0000}"/>
    <cellStyle name="Normal 6 2 2 18 3 2 5" xfId="41084" xr:uid="{00000000-0005-0000-0000-0000948F0000}"/>
    <cellStyle name="Normal 6 2 2 18 3 3" xfId="12907" xr:uid="{00000000-0005-0000-0000-0000958F0000}"/>
    <cellStyle name="Normal 6 2 2 18 3 3 2" xfId="36392" xr:uid="{00000000-0005-0000-0000-0000968F0000}"/>
    <cellStyle name="Normal 6 2 2 18 3 3 3" xfId="27073" xr:uid="{00000000-0005-0000-0000-0000978F0000}"/>
    <cellStyle name="Normal 6 2 2 18 3 3 4" xfId="50335" xr:uid="{00000000-0005-0000-0000-0000988F0000}"/>
    <cellStyle name="Normal 6 2 2 18 3 4" xfId="17638" xr:uid="{00000000-0005-0000-0000-0000998F0000}"/>
    <cellStyle name="Normal 6 2 2 18 3 4 2" xfId="31770" xr:uid="{00000000-0005-0000-0000-00009A8F0000}"/>
    <cellStyle name="Normal 6 2 2 18 3 4 3" xfId="45665" xr:uid="{00000000-0005-0000-0000-00009B8F0000}"/>
    <cellStyle name="Normal 6 2 2 18 3 5" xfId="22451" xr:uid="{00000000-0005-0000-0000-00009C8F0000}"/>
    <cellStyle name="Normal 6 2 2 18 3 6" xfId="41083" xr:uid="{00000000-0005-0000-0000-00009D8F0000}"/>
    <cellStyle name="Normal 6 2 2 18 4" xfId="7128" xr:uid="{00000000-0005-0000-0000-00009E8F0000}"/>
    <cellStyle name="Normal 6 2 2 18 4 2" xfId="7129" xr:uid="{00000000-0005-0000-0000-00009F8F0000}"/>
    <cellStyle name="Normal 6 2 2 18 4 2 2" xfId="12910" xr:uid="{00000000-0005-0000-0000-0000A08F0000}"/>
    <cellStyle name="Normal 6 2 2 18 4 2 2 2" xfId="36395" xr:uid="{00000000-0005-0000-0000-0000A18F0000}"/>
    <cellStyle name="Normal 6 2 2 18 4 2 2 3" xfId="27076" xr:uid="{00000000-0005-0000-0000-0000A28F0000}"/>
    <cellStyle name="Normal 6 2 2 18 4 2 2 4" xfId="50338" xr:uid="{00000000-0005-0000-0000-0000A38F0000}"/>
    <cellStyle name="Normal 6 2 2 18 4 2 3" xfId="17641" xr:uid="{00000000-0005-0000-0000-0000A48F0000}"/>
    <cellStyle name="Normal 6 2 2 18 4 2 3 2" xfId="31773" xr:uid="{00000000-0005-0000-0000-0000A58F0000}"/>
    <cellStyle name="Normal 6 2 2 18 4 2 3 3" xfId="45668" xr:uid="{00000000-0005-0000-0000-0000A68F0000}"/>
    <cellStyle name="Normal 6 2 2 18 4 2 4" xfId="22454" xr:uid="{00000000-0005-0000-0000-0000A78F0000}"/>
    <cellStyle name="Normal 6 2 2 18 4 2 5" xfId="41086" xr:uid="{00000000-0005-0000-0000-0000A88F0000}"/>
    <cellStyle name="Normal 6 2 2 18 4 3" xfId="12909" xr:uid="{00000000-0005-0000-0000-0000A98F0000}"/>
    <cellStyle name="Normal 6 2 2 18 4 3 2" xfId="36394" xr:uid="{00000000-0005-0000-0000-0000AA8F0000}"/>
    <cellStyle name="Normal 6 2 2 18 4 3 3" xfId="27075" xr:uid="{00000000-0005-0000-0000-0000AB8F0000}"/>
    <cellStyle name="Normal 6 2 2 18 4 3 4" xfId="50337" xr:uid="{00000000-0005-0000-0000-0000AC8F0000}"/>
    <cellStyle name="Normal 6 2 2 18 4 4" xfId="17640" xr:uid="{00000000-0005-0000-0000-0000AD8F0000}"/>
    <cellStyle name="Normal 6 2 2 18 4 4 2" xfId="31772" xr:uid="{00000000-0005-0000-0000-0000AE8F0000}"/>
    <cellStyle name="Normal 6 2 2 18 4 4 3" xfId="45667" xr:uid="{00000000-0005-0000-0000-0000AF8F0000}"/>
    <cellStyle name="Normal 6 2 2 18 4 5" xfId="22453" xr:uid="{00000000-0005-0000-0000-0000B08F0000}"/>
    <cellStyle name="Normal 6 2 2 18 4 6" xfId="41085" xr:uid="{00000000-0005-0000-0000-0000B18F0000}"/>
    <cellStyle name="Normal 6 2 2 18 5" xfId="7130" xr:uid="{00000000-0005-0000-0000-0000B28F0000}"/>
    <cellStyle name="Normal 6 2 2 18 5 2" xfId="7131" xr:uid="{00000000-0005-0000-0000-0000B38F0000}"/>
    <cellStyle name="Normal 6 2 2 18 5 2 2" xfId="12912" xr:uid="{00000000-0005-0000-0000-0000B48F0000}"/>
    <cellStyle name="Normal 6 2 2 18 5 2 2 2" xfId="36397" xr:uid="{00000000-0005-0000-0000-0000B58F0000}"/>
    <cellStyle name="Normal 6 2 2 18 5 2 2 3" xfId="27078" xr:uid="{00000000-0005-0000-0000-0000B68F0000}"/>
    <cellStyle name="Normal 6 2 2 18 5 2 2 4" xfId="50340" xr:uid="{00000000-0005-0000-0000-0000B78F0000}"/>
    <cellStyle name="Normal 6 2 2 18 5 2 3" xfId="17643" xr:uid="{00000000-0005-0000-0000-0000B88F0000}"/>
    <cellStyle name="Normal 6 2 2 18 5 2 3 2" xfId="31775" xr:uid="{00000000-0005-0000-0000-0000B98F0000}"/>
    <cellStyle name="Normal 6 2 2 18 5 2 3 3" xfId="45670" xr:uid="{00000000-0005-0000-0000-0000BA8F0000}"/>
    <cellStyle name="Normal 6 2 2 18 5 2 4" xfId="22456" xr:uid="{00000000-0005-0000-0000-0000BB8F0000}"/>
    <cellStyle name="Normal 6 2 2 18 5 2 5" xfId="41088" xr:uid="{00000000-0005-0000-0000-0000BC8F0000}"/>
    <cellStyle name="Normal 6 2 2 18 5 3" xfId="12911" xr:uid="{00000000-0005-0000-0000-0000BD8F0000}"/>
    <cellStyle name="Normal 6 2 2 18 5 3 2" xfId="36396" xr:uid="{00000000-0005-0000-0000-0000BE8F0000}"/>
    <cellStyle name="Normal 6 2 2 18 5 3 3" xfId="27077" xr:uid="{00000000-0005-0000-0000-0000BF8F0000}"/>
    <cellStyle name="Normal 6 2 2 18 5 3 4" xfId="50339" xr:uid="{00000000-0005-0000-0000-0000C08F0000}"/>
    <cellStyle name="Normal 6 2 2 18 5 4" xfId="17642" xr:uid="{00000000-0005-0000-0000-0000C18F0000}"/>
    <cellStyle name="Normal 6 2 2 18 5 4 2" xfId="31774" xr:uid="{00000000-0005-0000-0000-0000C28F0000}"/>
    <cellStyle name="Normal 6 2 2 18 5 4 3" xfId="45669" xr:uid="{00000000-0005-0000-0000-0000C38F0000}"/>
    <cellStyle name="Normal 6 2 2 18 5 5" xfId="22455" xr:uid="{00000000-0005-0000-0000-0000C48F0000}"/>
    <cellStyle name="Normal 6 2 2 18 5 6" xfId="41087" xr:uid="{00000000-0005-0000-0000-0000C58F0000}"/>
    <cellStyle name="Normal 6 2 2 18 6" xfId="7132" xr:uid="{00000000-0005-0000-0000-0000C68F0000}"/>
    <cellStyle name="Normal 6 2 2 18 6 2" xfId="7133" xr:uid="{00000000-0005-0000-0000-0000C78F0000}"/>
    <cellStyle name="Normal 6 2 2 18 6 2 2" xfId="12914" xr:uid="{00000000-0005-0000-0000-0000C88F0000}"/>
    <cellStyle name="Normal 6 2 2 18 6 2 2 2" xfId="36399" xr:uid="{00000000-0005-0000-0000-0000C98F0000}"/>
    <cellStyle name="Normal 6 2 2 18 6 2 2 3" xfId="27080" xr:uid="{00000000-0005-0000-0000-0000CA8F0000}"/>
    <cellStyle name="Normal 6 2 2 18 6 2 2 4" xfId="50342" xr:uid="{00000000-0005-0000-0000-0000CB8F0000}"/>
    <cellStyle name="Normal 6 2 2 18 6 2 3" xfId="17645" xr:uid="{00000000-0005-0000-0000-0000CC8F0000}"/>
    <cellStyle name="Normal 6 2 2 18 6 2 3 2" xfId="31777" xr:uid="{00000000-0005-0000-0000-0000CD8F0000}"/>
    <cellStyle name="Normal 6 2 2 18 6 2 3 3" xfId="45672" xr:uid="{00000000-0005-0000-0000-0000CE8F0000}"/>
    <cellStyle name="Normal 6 2 2 18 6 2 4" xfId="22458" xr:uid="{00000000-0005-0000-0000-0000CF8F0000}"/>
    <cellStyle name="Normal 6 2 2 18 6 2 5" xfId="41090" xr:uid="{00000000-0005-0000-0000-0000D08F0000}"/>
    <cellStyle name="Normal 6 2 2 18 6 3" xfId="12913" xr:uid="{00000000-0005-0000-0000-0000D18F0000}"/>
    <cellStyle name="Normal 6 2 2 18 6 3 2" xfId="36398" xr:uid="{00000000-0005-0000-0000-0000D28F0000}"/>
    <cellStyle name="Normal 6 2 2 18 6 3 3" xfId="27079" xr:uid="{00000000-0005-0000-0000-0000D38F0000}"/>
    <cellStyle name="Normal 6 2 2 18 6 3 4" xfId="50341" xr:uid="{00000000-0005-0000-0000-0000D48F0000}"/>
    <cellStyle name="Normal 6 2 2 18 6 4" xfId="17644" xr:uid="{00000000-0005-0000-0000-0000D58F0000}"/>
    <cellStyle name="Normal 6 2 2 18 6 4 2" xfId="31776" xr:uid="{00000000-0005-0000-0000-0000D68F0000}"/>
    <cellStyle name="Normal 6 2 2 18 6 4 3" xfId="45671" xr:uid="{00000000-0005-0000-0000-0000D78F0000}"/>
    <cellStyle name="Normal 6 2 2 18 6 5" xfId="22457" xr:uid="{00000000-0005-0000-0000-0000D88F0000}"/>
    <cellStyle name="Normal 6 2 2 18 6 6" xfId="41089" xr:uid="{00000000-0005-0000-0000-0000D98F0000}"/>
    <cellStyle name="Normal 6 2 2 18 7" xfId="7134" xr:uid="{00000000-0005-0000-0000-0000DA8F0000}"/>
    <cellStyle name="Normal 6 2 2 18 7 2" xfId="12915" xr:uid="{00000000-0005-0000-0000-0000DB8F0000}"/>
    <cellStyle name="Normal 6 2 2 18 7 2 2" xfId="36400" xr:uid="{00000000-0005-0000-0000-0000DC8F0000}"/>
    <cellStyle name="Normal 6 2 2 18 7 2 3" xfId="27081" xr:uid="{00000000-0005-0000-0000-0000DD8F0000}"/>
    <cellStyle name="Normal 6 2 2 18 7 2 4" xfId="50343" xr:uid="{00000000-0005-0000-0000-0000DE8F0000}"/>
    <cellStyle name="Normal 6 2 2 18 7 3" xfId="17646" xr:uid="{00000000-0005-0000-0000-0000DF8F0000}"/>
    <cellStyle name="Normal 6 2 2 18 7 3 2" xfId="31778" xr:uid="{00000000-0005-0000-0000-0000E08F0000}"/>
    <cellStyle name="Normal 6 2 2 18 7 3 3" xfId="45673" xr:uid="{00000000-0005-0000-0000-0000E18F0000}"/>
    <cellStyle name="Normal 6 2 2 18 7 4" xfId="22459" xr:uid="{00000000-0005-0000-0000-0000E28F0000}"/>
    <cellStyle name="Normal 6 2 2 18 7 5" xfId="41091" xr:uid="{00000000-0005-0000-0000-0000E38F0000}"/>
    <cellStyle name="Normal 6 2 2 18 8" xfId="12904" xr:uid="{00000000-0005-0000-0000-0000E48F0000}"/>
    <cellStyle name="Normal 6 2 2 18 8 2" xfId="36389" xr:uid="{00000000-0005-0000-0000-0000E58F0000}"/>
    <cellStyle name="Normal 6 2 2 18 8 3" xfId="27070" xr:uid="{00000000-0005-0000-0000-0000E68F0000}"/>
    <cellStyle name="Normal 6 2 2 18 8 4" xfId="50332" xr:uid="{00000000-0005-0000-0000-0000E78F0000}"/>
    <cellStyle name="Normal 6 2 2 18 9" xfId="17635" xr:uid="{00000000-0005-0000-0000-0000E88F0000}"/>
    <cellStyle name="Normal 6 2 2 18 9 2" xfId="31767" xr:uid="{00000000-0005-0000-0000-0000E98F0000}"/>
    <cellStyle name="Normal 6 2 2 18 9 3" xfId="45662" xr:uid="{00000000-0005-0000-0000-0000EA8F0000}"/>
    <cellStyle name="Normal 6 2 2 19" xfId="7135" xr:uid="{00000000-0005-0000-0000-0000EB8F0000}"/>
    <cellStyle name="Normal 6 2 2 19 2" xfId="7136" xr:uid="{00000000-0005-0000-0000-0000EC8F0000}"/>
    <cellStyle name="Normal 6 2 2 19 2 2" xfId="12917" xr:uid="{00000000-0005-0000-0000-0000ED8F0000}"/>
    <cellStyle name="Normal 6 2 2 19 2 2 2" xfId="36402" xr:uid="{00000000-0005-0000-0000-0000EE8F0000}"/>
    <cellStyle name="Normal 6 2 2 19 2 2 3" xfId="27083" xr:uid="{00000000-0005-0000-0000-0000EF8F0000}"/>
    <cellStyle name="Normal 6 2 2 19 2 2 4" xfId="50345" xr:uid="{00000000-0005-0000-0000-0000F08F0000}"/>
    <cellStyle name="Normal 6 2 2 19 2 3" xfId="17648" xr:uid="{00000000-0005-0000-0000-0000F18F0000}"/>
    <cellStyle name="Normal 6 2 2 19 2 3 2" xfId="31780" xr:uid="{00000000-0005-0000-0000-0000F28F0000}"/>
    <cellStyle name="Normal 6 2 2 19 2 3 3" xfId="45675" xr:uid="{00000000-0005-0000-0000-0000F38F0000}"/>
    <cellStyle name="Normal 6 2 2 19 2 4" xfId="22461" xr:uid="{00000000-0005-0000-0000-0000F48F0000}"/>
    <cellStyle name="Normal 6 2 2 19 2 5" xfId="41093" xr:uid="{00000000-0005-0000-0000-0000F58F0000}"/>
    <cellStyle name="Normal 6 2 2 19 3" xfId="12916" xr:uid="{00000000-0005-0000-0000-0000F68F0000}"/>
    <cellStyle name="Normal 6 2 2 19 3 2" xfId="36401" xr:uid="{00000000-0005-0000-0000-0000F78F0000}"/>
    <cellStyle name="Normal 6 2 2 19 3 3" xfId="27082" xr:uid="{00000000-0005-0000-0000-0000F88F0000}"/>
    <cellStyle name="Normal 6 2 2 19 3 4" xfId="50344" xr:uid="{00000000-0005-0000-0000-0000F98F0000}"/>
    <cellStyle name="Normal 6 2 2 19 4" xfId="17647" xr:uid="{00000000-0005-0000-0000-0000FA8F0000}"/>
    <cellStyle name="Normal 6 2 2 19 4 2" xfId="31779" xr:uid="{00000000-0005-0000-0000-0000FB8F0000}"/>
    <cellStyle name="Normal 6 2 2 19 4 3" xfId="45674" xr:uid="{00000000-0005-0000-0000-0000FC8F0000}"/>
    <cellStyle name="Normal 6 2 2 19 5" xfId="22460" xr:uid="{00000000-0005-0000-0000-0000FD8F0000}"/>
    <cellStyle name="Normal 6 2 2 19 6" xfId="41092" xr:uid="{00000000-0005-0000-0000-0000FE8F0000}"/>
    <cellStyle name="Normal 6 2 2 2" xfId="428" xr:uid="{00000000-0005-0000-0000-0000FF8F0000}"/>
    <cellStyle name="Normal 6 2 2 2 10" xfId="7137" xr:uid="{00000000-0005-0000-0000-000000900000}"/>
    <cellStyle name="Normal 6 2 2 2 10 2" xfId="7138" xr:uid="{00000000-0005-0000-0000-000001900000}"/>
    <cellStyle name="Normal 6 2 2 2 10 2 2" xfId="12919" xr:uid="{00000000-0005-0000-0000-000002900000}"/>
    <cellStyle name="Normal 6 2 2 2 10 2 2 2" xfId="36404" xr:uid="{00000000-0005-0000-0000-000003900000}"/>
    <cellStyle name="Normal 6 2 2 2 10 2 2 3" xfId="27085" xr:uid="{00000000-0005-0000-0000-000004900000}"/>
    <cellStyle name="Normal 6 2 2 2 10 2 2 4" xfId="50347" xr:uid="{00000000-0005-0000-0000-000005900000}"/>
    <cellStyle name="Normal 6 2 2 2 10 2 3" xfId="17650" xr:uid="{00000000-0005-0000-0000-000006900000}"/>
    <cellStyle name="Normal 6 2 2 2 10 2 3 2" xfId="31782" xr:uid="{00000000-0005-0000-0000-000007900000}"/>
    <cellStyle name="Normal 6 2 2 2 10 2 3 3" xfId="45677" xr:uid="{00000000-0005-0000-0000-000008900000}"/>
    <cellStyle name="Normal 6 2 2 2 10 2 4" xfId="22463" xr:uid="{00000000-0005-0000-0000-000009900000}"/>
    <cellStyle name="Normal 6 2 2 2 10 2 5" xfId="41095" xr:uid="{00000000-0005-0000-0000-00000A900000}"/>
    <cellStyle name="Normal 6 2 2 2 10 3" xfId="12918" xr:uid="{00000000-0005-0000-0000-00000B900000}"/>
    <cellStyle name="Normal 6 2 2 2 10 3 2" xfId="36403" xr:uid="{00000000-0005-0000-0000-00000C900000}"/>
    <cellStyle name="Normal 6 2 2 2 10 3 3" xfId="27084" xr:uid="{00000000-0005-0000-0000-00000D900000}"/>
    <cellStyle name="Normal 6 2 2 2 10 3 4" xfId="50346" xr:uid="{00000000-0005-0000-0000-00000E900000}"/>
    <cellStyle name="Normal 6 2 2 2 10 4" xfId="17649" xr:uid="{00000000-0005-0000-0000-00000F900000}"/>
    <cellStyle name="Normal 6 2 2 2 10 4 2" xfId="31781" xr:uid="{00000000-0005-0000-0000-000010900000}"/>
    <cellStyle name="Normal 6 2 2 2 10 4 3" xfId="45676" xr:uid="{00000000-0005-0000-0000-000011900000}"/>
    <cellStyle name="Normal 6 2 2 2 10 5" xfId="22462" xr:uid="{00000000-0005-0000-0000-000012900000}"/>
    <cellStyle name="Normal 6 2 2 2 10 6" xfId="41094" xr:uid="{00000000-0005-0000-0000-000013900000}"/>
    <cellStyle name="Normal 6 2 2 2 11" xfId="7139" xr:uid="{00000000-0005-0000-0000-000014900000}"/>
    <cellStyle name="Normal 6 2 2 2 11 2" xfId="7140" xr:uid="{00000000-0005-0000-0000-000015900000}"/>
    <cellStyle name="Normal 6 2 2 2 11 2 2" xfId="12921" xr:uid="{00000000-0005-0000-0000-000016900000}"/>
    <cellStyle name="Normal 6 2 2 2 11 2 2 2" xfId="36406" xr:uid="{00000000-0005-0000-0000-000017900000}"/>
    <cellStyle name="Normal 6 2 2 2 11 2 2 3" xfId="27087" xr:uid="{00000000-0005-0000-0000-000018900000}"/>
    <cellStyle name="Normal 6 2 2 2 11 2 2 4" xfId="50349" xr:uid="{00000000-0005-0000-0000-000019900000}"/>
    <cellStyle name="Normal 6 2 2 2 11 2 3" xfId="17652" xr:uid="{00000000-0005-0000-0000-00001A900000}"/>
    <cellStyle name="Normal 6 2 2 2 11 2 3 2" xfId="31784" xr:uid="{00000000-0005-0000-0000-00001B900000}"/>
    <cellStyle name="Normal 6 2 2 2 11 2 3 3" xfId="45679" xr:uid="{00000000-0005-0000-0000-00001C900000}"/>
    <cellStyle name="Normal 6 2 2 2 11 2 4" xfId="22465" xr:uid="{00000000-0005-0000-0000-00001D900000}"/>
    <cellStyle name="Normal 6 2 2 2 11 2 5" xfId="41097" xr:uid="{00000000-0005-0000-0000-00001E900000}"/>
    <cellStyle name="Normal 6 2 2 2 11 3" xfId="12920" xr:uid="{00000000-0005-0000-0000-00001F900000}"/>
    <cellStyle name="Normal 6 2 2 2 11 3 2" xfId="36405" xr:uid="{00000000-0005-0000-0000-000020900000}"/>
    <cellStyle name="Normal 6 2 2 2 11 3 3" xfId="27086" xr:uid="{00000000-0005-0000-0000-000021900000}"/>
    <cellStyle name="Normal 6 2 2 2 11 3 4" xfId="50348" xr:uid="{00000000-0005-0000-0000-000022900000}"/>
    <cellStyle name="Normal 6 2 2 2 11 4" xfId="17651" xr:uid="{00000000-0005-0000-0000-000023900000}"/>
    <cellStyle name="Normal 6 2 2 2 11 4 2" xfId="31783" xr:uid="{00000000-0005-0000-0000-000024900000}"/>
    <cellStyle name="Normal 6 2 2 2 11 4 3" xfId="45678" xr:uid="{00000000-0005-0000-0000-000025900000}"/>
    <cellStyle name="Normal 6 2 2 2 11 5" xfId="22464" xr:uid="{00000000-0005-0000-0000-000026900000}"/>
    <cellStyle name="Normal 6 2 2 2 11 6" xfId="41096" xr:uid="{00000000-0005-0000-0000-000027900000}"/>
    <cellStyle name="Normal 6 2 2 2 12" xfId="7141" xr:uid="{00000000-0005-0000-0000-000028900000}"/>
    <cellStyle name="Normal 6 2 2 2 12 2" xfId="7142" xr:uid="{00000000-0005-0000-0000-000029900000}"/>
    <cellStyle name="Normal 6 2 2 2 12 2 2" xfId="12923" xr:uid="{00000000-0005-0000-0000-00002A900000}"/>
    <cellStyle name="Normal 6 2 2 2 12 2 2 2" xfId="36408" xr:uid="{00000000-0005-0000-0000-00002B900000}"/>
    <cellStyle name="Normal 6 2 2 2 12 2 2 3" xfId="27089" xr:uid="{00000000-0005-0000-0000-00002C900000}"/>
    <cellStyle name="Normal 6 2 2 2 12 2 2 4" xfId="50351" xr:uid="{00000000-0005-0000-0000-00002D900000}"/>
    <cellStyle name="Normal 6 2 2 2 12 2 3" xfId="17654" xr:uid="{00000000-0005-0000-0000-00002E900000}"/>
    <cellStyle name="Normal 6 2 2 2 12 2 3 2" xfId="31786" xr:uid="{00000000-0005-0000-0000-00002F900000}"/>
    <cellStyle name="Normal 6 2 2 2 12 2 3 3" xfId="45681" xr:uid="{00000000-0005-0000-0000-000030900000}"/>
    <cellStyle name="Normal 6 2 2 2 12 2 4" xfId="22467" xr:uid="{00000000-0005-0000-0000-000031900000}"/>
    <cellStyle name="Normal 6 2 2 2 12 2 5" xfId="41099" xr:uid="{00000000-0005-0000-0000-000032900000}"/>
    <cellStyle name="Normal 6 2 2 2 12 3" xfId="12922" xr:uid="{00000000-0005-0000-0000-000033900000}"/>
    <cellStyle name="Normal 6 2 2 2 12 3 2" xfId="36407" xr:uid="{00000000-0005-0000-0000-000034900000}"/>
    <cellStyle name="Normal 6 2 2 2 12 3 3" xfId="27088" xr:uid="{00000000-0005-0000-0000-000035900000}"/>
    <cellStyle name="Normal 6 2 2 2 12 3 4" xfId="50350" xr:uid="{00000000-0005-0000-0000-000036900000}"/>
    <cellStyle name="Normal 6 2 2 2 12 4" xfId="17653" xr:uid="{00000000-0005-0000-0000-000037900000}"/>
    <cellStyle name="Normal 6 2 2 2 12 4 2" xfId="31785" xr:uid="{00000000-0005-0000-0000-000038900000}"/>
    <cellStyle name="Normal 6 2 2 2 12 4 3" xfId="45680" xr:uid="{00000000-0005-0000-0000-000039900000}"/>
    <cellStyle name="Normal 6 2 2 2 12 5" xfId="22466" xr:uid="{00000000-0005-0000-0000-00003A900000}"/>
    <cellStyle name="Normal 6 2 2 2 12 6" xfId="41098" xr:uid="{00000000-0005-0000-0000-00003B900000}"/>
    <cellStyle name="Normal 6 2 2 2 13" xfId="7143" xr:uid="{00000000-0005-0000-0000-00003C900000}"/>
    <cellStyle name="Normal 6 2 2 2 13 2" xfId="7144" xr:uid="{00000000-0005-0000-0000-00003D900000}"/>
    <cellStyle name="Normal 6 2 2 2 13 2 2" xfId="12925" xr:uid="{00000000-0005-0000-0000-00003E900000}"/>
    <cellStyle name="Normal 6 2 2 2 13 2 2 2" xfId="36410" xr:uid="{00000000-0005-0000-0000-00003F900000}"/>
    <cellStyle name="Normal 6 2 2 2 13 2 2 3" xfId="27091" xr:uid="{00000000-0005-0000-0000-000040900000}"/>
    <cellStyle name="Normal 6 2 2 2 13 2 2 4" xfId="50353" xr:uid="{00000000-0005-0000-0000-000041900000}"/>
    <cellStyle name="Normal 6 2 2 2 13 2 3" xfId="17656" xr:uid="{00000000-0005-0000-0000-000042900000}"/>
    <cellStyle name="Normal 6 2 2 2 13 2 3 2" xfId="31788" xr:uid="{00000000-0005-0000-0000-000043900000}"/>
    <cellStyle name="Normal 6 2 2 2 13 2 3 3" xfId="45683" xr:uid="{00000000-0005-0000-0000-000044900000}"/>
    <cellStyle name="Normal 6 2 2 2 13 2 4" xfId="22469" xr:uid="{00000000-0005-0000-0000-000045900000}"/>
    <cellStyle name="Normal 6 2 2 2 13 2 5" xfId="41101" xr:uid="{00000000-0005-0000-0000-000046900000}"/>
    <cellStyle name="Normal 6 2 2 2 13 3" xfId="12924" xr:uid="{00000000-0005-0000-0000-000047900000}"/>
    <cellStyle name="Normal 6 2 2 2 13 3 2" xfId="36409" xr:uid="{00000000-0005-0000-0000-000048900000}"/>
    <cellStyle name="Normal 6 2 2 2 13 3 3" xfId="27090" xr:uid="{00000000-0005-0000-0000-000049900000}"/>
    <cellStyle name="Normal 6 2 2 2 13 3 4" xfId="50352" xr:uid="{00000000-0005-0000-0000-00004A900000}"/>
    <cellStyle name="Normal 6 2 2 2 13 4" xfId="17655" xr:uid="{00000000-0005-0000-0000-00004B900000}"/>
    <cellStyle name="Normal 6 2 2 2 13 4 2" xfId="31787" xr:uid="{00000000-0005-0000-0000-00004C900000}"/>
    <cellStyle name="Normal 6 2 2 2 13 4 3" xfId="45682" xr:uid="{00000000-0005-0000-0000-00004D900000}"/>
    <cellStyle name="Normal 6 2 2 2 13 5" xfId="22468" xr:uid="{00000000-0005-0000-0000-00004E900000}"/>
    <cellStyle name="Normal 6 2 2 2 13 6" xfId="41100" xr:uid="{00000000-0005-0000-0000-00004F900000}"/>
    <cellStyle name="Normal 6 2 2 2 14" xfId="7145" xr:uid="{00000000-0005-0000-0000-000050900000}"/>
    <cellStyle name="Normal 6 2 2 2 14 2" xfId="7146" xr:uid="{00000000-0005-0000-0000-000051900000}"/>
    <cellStyle name="Normal 6 2 2 2 14 2 2" xfId="12927" xr:uid="{00000000-0005-0000-0000-000052900000}"/>
    <cellStyle name="Normal 6 2 2 2 14 2 2 2" xfId="36412" xr:uid="{00000000-0005-0000-0000-000053900000}"/>
    <cellStyle name="Normal 6 2 2 2 14 2 2 3" xfId="27093" xr:uid="{00000000-0005-0000-0000-000054900000}"/>
    <cellStyle name="Normal 6 2 2 2 14 2 2 4" xfId="50355" xr:uid="{00000000-0005-0000-0000-000055900000}"/>
    <cellStyle name="Normal 6 2 2 2 14 2 3" xfId="17658" xr:uid="{00000000-0005-0000-0000-000056900000}"/>
    <cellStyle name="Normal 6 2 2 2 14 2 3 2" xfId="31790" xr:uid="{00000000-0005-0000-0000-000057900000}"/>
    <cellStyle name="Normal 6 2 2 2 14 2 3 3" xfId="45685" xr:uid="{00000000-0005-0000-0000-000058900000}"/>
    <cellStyle name="Normal 6 2 2 2 14 2 4" xfId="22471" xr:uid="{00000000-0005-0000-0000-000059900000}"/>
    <cellStyle name="Normal 6 2 2 2 14 2 5" xfId="41103" xr:uid="{00000000-0005-0000-0000-00005A900000}"/>
    <cellStyle name="Normal 6 2 2 2 14 3" xfId="12926" xr:uid="{00000000-0005-0000-0000-00005B900000}"/>
    <cellStyle name="Normal 6 2 2 2 14 3 2" xfId="36411" xr:uid="{00000000-0005-0000-0000-00005C900000}"/>
    <cellStyle name="Normal 6 2 2 2 14 3 3" xfId="27092" xr:uid="{00000000-0005-0000-0000-00005D900000}"/>
    <cellStyle name="Normal 6 2 2 2 14 3 4" xfId="50354" xr:uid="{00000000-0005-0000-0000-00005E900000}"/>
    <cellStyle name="Normal 6 2 2 2 14 4" xfId="17657" xr:uid="{00000000-0005-0000-0000-00005F900000}"/>
    <cellStyle name="Normal 6 2 2 2 14 4 2" xfId="31789" xr:uid="{00000000-0005-0000-0000-000060900000}"/>
    <cellStyle name="Normal 6 2 2 2 14 4 3" xfId="45684" xr:uid="{00000000-0005-0000-0000-000061900000}"/>
    <cellStyle name="Normal 6 2 2 2 14 5" xfId="22470" xr:uid="{00000000-0005-0000-0000-000062900000}"/>
    <cellStyle name="Normal 6 2 2 2 14 6" xfId="41102" xr:uid="{00000000-0005-0000-0000-000063900000}"/>
    <cellStyle name="Normal 6 2 2 2 15" xfId="7147" xr:uid="{00000000-0005-0000-0000-000064900000}"/>
    <cellStyle name="Normal 6 2 2 2 15 2" xfId="7148" xr:uid="{00000000-0005-0000-0000-000065900000}"/>
    <cellStyle name="Normal 6 2 2 2 15 2 2" xfId="12929" xr:uid="{00000000-0005-0000-0000-000066900000}"/>
    <cellStyle name="Normal 6 2 2 2 15 2 2 2" xfId="36414" xr:uid="{00000000-0005-0000-0000-000067900000}"/>
    <cellStyle name="Normal 6 2 2 2 15 2 2 3" xfId="27095" xr:uid="{00000000-0005-0000-0000-000068900000}"/>
    <cellStyle name="Normal 6 2 2 2 15 2 2 4" xfId="50357" xr:uid="{00000000-0005-0000-0000-000069900000}"/>
    <cellStyle name="Normal 6 2 2 2 15 2 3" xfId="17660" xr:uid="{00000000-0005-0000-0000-00006A900000}"/>
    <cellStyle name="Normal 6 2 2 2 15 2 3 2" xfId="31792" xr:uid="{00000000-0005-0000-0000-00006B900000}"/>
    <cellStyle name="Normal 6 2 2 2 15 2 3 3" xfId="45687" xr:uid="{00000000-0005-0000-0000-00006C900000}"/>
    <cellStyle name="Normal 6 2 2 2 15 2 4" xfId="22473" xr:uid="{00000000-0005-0000-0000-00006D900000}"/>
    <cellStyle name="Normal 6 2 2 2 15 2 5" xfId="41105" xr:uid="{00000000-0005-0000-0000-00006E900000}"/>
    <cellStyle name="Normal 6 2 2 2 15 3" xfId="12928" xr:uid="{00000000-0005-0000-0000-00006F900000}"/>
    <cellStyle name="Normal 6 2 2 2 15 3 2" xfId="36413" xr:uid="{00000000-0005-0000-0000-000070900000}"/>
    <cellStyle name="Normal 6 2 2 2 15 3 3" xfId="27094" xr:uid="{00000000-0005-0000-0000-000071900000}"/>
    <cellStyle name="Normal 6 2 2 2 15 3 4" xfId="50356" xr:uid="{00000000-0005-0000-0000-000072900000}"/>
    <cellStyle name="Normal 6 2 2 2 15 4" xfId="17659" xr:uid="{00000000-0005-0000-0000-000073900000}"/>
    <cellStyle name="Normal 6 2 2 2 15 4 2" xfId="31791" xr:uid="{00000000-0005-0000-0000-000074900000}"/>
    <cellStyle name="Normal 6 2 2 2 15 4 3" xfId="45686" xr:uid="{00000000-0005-0000-0000-000075900000}"/>
    <cellStyle name="Normal 6 2 2 2 15 5" xfId="22472" xr:uid="{00000000-0005-0000-0000-000076900000}"/>
    <cellStyle name="Normal 6 2 2 2 15 6" xfId="41104" xr:uid="{00000000-0005-0000-0000-000077900000}"/>
    <cellStyle name="Normal 6 2 2 2 16" xfId="7149" xr:uid="{00000000-0005-0000-0000-000078900000}"/>
    <cellStyle name="Normal 6 2 2 2 16 2" xfId="7150" xr:uid="{00000000-0005-0000-0000-000079900000}"/>
    <cellStyle name="Normal 6 2 2 2 16 2 2" xfId="12931" xr:uid="{00000000-0005-0000-0000-00007A900000}"/>
    <cellStyle name="Normal 6 2 2 2 16 2 2 2" xfId="36416" xr:uid="{00000000-0005-0000-0000-00007B900000}"/>
    <cellStyle name="Normal 6 2 2 2 16 2 2 3" xfId="27097" xr:uid="{00000000-0005-0000-0000-00007C900000}"/>
    <cellStyle name="Normal 6 2 2 2 16 2 2 4" xfId="50359" xr:uid="{00000000-0005-0000-0000-00007D900000}"/>
    <cellStyle name="Normal 6 2 2 2 16 2 3" xfId="17662" xr:uid="{00000000-0005-0000-0000-00007E900000}"/>
    <cellStyle name="Normal 6 2 2 2 16 2 3 2" xfId="31794" xr:uid="{00000000-0005-0000-0000-00007F900000}"/>
    <cellStyle name="Normal 6 2 2 2 16 2 3 3" xfId="45689" xr:uid="{00000000-0005-0000-0000-000080900000}"/>
    <cellStyle name="Normal 6 2 2 2 16 2 4" xfId="22475" xr:uid="{00000000-0005-0000-0000-000081900000}"/>
    <cellStyle name="Normal 6 2 2 2 16 2 5" xfId="41107" xr:uid="{00000000-0005-0000-0000-000082900000}"/>
    <cellStyle name="Normal 6 2 2 2 16 3" xfId="12930" xr:uid="{00000000-0005-0000-0000-000083900000}"/>
    <cellStyle name="Normal 6 2 2 2 16 3 2" xfId="36415" xr:uid="{00000000-0005-0000-0000-000084900000}"/>
    <cellStyle name="Normal 6 2 2 2 16 3 3" xfId="27096" xr:uid="{00000000-0005-0000-0000-000085900000}"/>
    <cellStyle name="Normal 6 2 2 2 16 3 4" xfId="50358" xr:uid="{00000000-0005-0000-0000-000086900000}"/>
    <cellStyle name="Normal 6 2 2 2 16 4" xfId="17661" xr:uid="{00000000-0005-0000-0000-000087900000}"/>
    <cellStyle name="Normal 6 2 2 2 16 4 2" xfId="31793" xr:uid="{00000000-0005-0000-0000-000088900000}"/>
    <cellStyle name="Normal 6 2 2 2 16 4 3" xfId="45688" xr:uid="{00000000-0005-0000-0000-000089900000}"/>
    <cellStyle name="Normal 6 2 2 2 16 5" xfId="22474" xr:uid="{00000000-0005-0000-0000-00008A900000}"/>
    <cellStyle name="Normal 6 2 2 2 16 6" xfId="41106" xr:uid="{00000000-0005-0000-0000-00008B900000}"/>
    <cellStyle name="Normal 6 2 2 2 17" xfId="7151" xr:uid="{00000000-0005-0000-0000-00008C900000}"/>
    <cellStyle name="Normal 6 2 2 2 17 2" xfId="7152" xr:uid="{00000000-0005-0000-0000-00008D900000}"/>
    <cellStyle name="Normal 6 2 2 2 17 2 2" xfId="12933" xr:uid="{00000000-0005-0000-0000-00008E900000}"/>
    <cellStyle name="Normal 6 2 2 2 17 2 2 2" xfId="36418" xr:uid="{00000000-0005-0000-0000-00008F900000}"/>
    <cellStyle name="Normal 6 2 2 2 17 2 2 3" xfId="27099" xr:uid="{00000000-0005-0000-0000-000090900000}"/>
    <cellStyle name="Normal 6 2 2 2 17 2 2 4" xfId="50361" xr:uid="{00000000-0005-0000-0000-000091900000}"/>
    <cellStyle name="Normal 6 2 2 2 17 2 3" xfId="17664" xr:uid="{00000000-0005-0000-0000-000092900000}"/>
    <cellStyle name="Normal 6 2 2 2 17 2 3 2" xfId="31796" xr:uid="{00000000-0005-0000-0000-000093900000}"/>
    <cellStyle name="Normal 6 2 2 2 17 2 3 3" xfId="45691" xr:uid="{00000000-0005-0000-0000-000094900000}"/>
    <cellStyle name="Normal 6 2 2 2 17 2 4" xfId="22477" xr:uid="{00000000-0005-0000-0000-000095900000}"/>
    <cellStyle name="Normal 6 2 2 2 17 2 5" xfId="41109" xr:uid="{00000000-0005-0000-0000-000096900000}"/>
    <cellStyle name="Normal 6 2 2 2 17 3" xfId="12932" xr:uid="{00000000-0005-0000-0000-000097900000}"/>
    <cellStyle name="Normal 6 2 2 2 17 3 2" xfId="36417" xr:uid="{00000000-0005-0000-0000-000098900000}"/>
    <cellStyle name="Normal 6 2 2 2 17 3 3" xfId="27098" xr:uid="{00000000-0005-0000-0000-000099900000}"/>
    <cellStyle name="Normal 6 2 2 2 17 3 4" xfId="50360" xr:uid="{00000000-0005-0000-0000-00009A900000}"/>
    <cellStyle name="Normal 6 2 2 2 17 4" xfId="17663" xr:uid="{00000000-0005-0000-0000-00009B900000}"/>
    <cellStyle name="Normal 6 2 2 2 17 4 2" xfId="31795" xr:uid="{00000000-0005-0000-0000-00009C900000}"/>
    <cellStyle name="Normal 6 2 2 2 17 4 3" xfId="45690" xr:uid="{00000000-0005-0000-0000-00009D900000}"/>
    <cellStyle name="Normal 6 2 2 2 17 5" xfId="22476" xr:uid="{00000000-0005-0000-0000-00009E900000}"/>
    <cellStyle name="Normal 6 2 2 2 17 6" xfId="41108" xr:uid="{00000000-0005-0000-0000-00009F900000}"/>
    <cellStyle name="Normal 6 2 2 2 18" xfId="7153" xr:uid="{00000000-0005-0000-0000-0000A0900000}"/>
    <cellStyle name="Normal 6 2 2 2 18 2" xfId="7154" xr:uid="{00000000-0005-0000-0000-0000A1900000}"/>
    <cellStyle name="Normal 6 2 2 2 18 2 2" xfId="12935" xr:uid="{00000000-0005-0000-0000-0000A2900000}"/>
    <cellStyle name="Normal 6 2 2 2 18 2 2 2" xfId="36420" xr:uid="{00000000-0005-0000-0000-0000A3900000}"/>
    <cellStyle name="Normal 6 2 2 2 18 2 2 3" xfId="27101" xr:uid="{00000000-0005-0000-0000-0000A4900000}"/>
    <cellStyle name="Normal 6 2 2 2 18 2 2 4" xfId="50363" xr:uid="{00000000-0005-0000-0000-0000A5900000}"/>
    <cellStyle name="Normal 6 2 2 2 18 2 3" xfId="17666" xr:uid="{00000000-0005-0000-0000-0000A6900000}"/>
    <cellStyle name="Normal 6 2 2 2 18 2 3 2" xfId="31798" xr:uid="{00000000-0005-0000-0000-0000A7900000}"/>
    <cellStyle name="Normal 6 2 2 2 18 2 3 3" xfId="45693" xr:uid="{00000000-0005-0000-0000-0000A8900000}"/>
    <cellStyle name="Normal 6 2 2 2 18 2 4" xfId="22479" xr:uid="{00000000-0005-0000-0000-0000A9900000}"/>
    <cellStyle name="Normal 6 2 2 2 18 2 5" xfId="41111" xr:uid="{00000000-0005-0000-0000-0000AA900000}"/>
    <cellStyle name="Normal 6 2 2 2 18 3" xfId="12934" xr:uid="{00000000-0005-0000-0000-0000AB900000}"/>
    <cellStyle name="Normal 6 2 2 2 18 3 2" xfId="36419" xr:uid="{00000000-0005-0000-0000-0000AC900000}"/>
    <cellStyle name="Normal 6 2 2 2 18 3 3" xfId="27100" xr:uid="{00000000-0005-0000-0000-0000AD900000}"/>
    <cellStyle name="Normal 6 2 2 2 18 3 4" xfId="50362" xr:uid="{00000000-0005-0000-0000-0000AE900000}"/>
    <cellStyle name="Normal 6 2 2 2 18 4" xfId="17665" xr:uid="{00000000-0005-0000-0000-0000AF900000}"/>
    <cellStyle name="Normal 6 2 2 2 18 4 2" xfId="31797" xr:uid="{00000000-0005-0000-0000-0000B0900000}"/>
    <cellStyle name="Normal 6 2 2 2 18 4 3" xfId="45692" xr:uid="{00000000-0005-0000-0000-0000B1900000}"/>
    <cellStyle name="Normal 6 2 2 2 18 5" xfId="22478" xr:uid="{00000000-0005-0000-0000-0000B2900000}"/>
    <cellStyle name="Normal 6 2 2 2 18 6" xfId="41110" xr:uid="{00000000-0005-0000-0000-0000B3900000}"/>
    <cellStyle name="Normal 6 2 2 2 19" xfId="7155" xr:uid="{00000000-0005-0000-0000-0000B4900000}"/>
    <cellStyle name="Normal 6 2 2 2 19 2" xfId="7156" xr:uid="{00000000-0005-0000-0000-0000B5900000}"/>
    <cellStyle name="Normal 6 2 2 2 19 2 2" xfId="12937" xr:uid="{00000000-0005-0000-0000-0000B6900000}"/>
    <cellStyle name="Normal 6 2 2 2 19 2 2 2" xfId="36422" xr:uid="{00000000-0005-0000-0000-0000B7900000}"/>
    <cellStyle name="Normal 6 2 2 2 19 2 2 3" xfId="27103" xr:uid="{00000000-0005-0000-0000-0000B8900000}"/>
    <cellStyle name="Normal 6 2 2 2 19 2 2 4" xfId="50365" xr:uid="{00000000-0005-0000-0000-0000B9900000}"/>
    <cellStyle name="Normal 6 2 2 2 19 2 3" xfId="17668" xr:uid="{00000000-0005-0000-0000-0000BA900000}"/>
    <cellStyle name="Normal 6 2 2 2 19 2 3 2" xfId="31800" xr:uid="{00000000-0005-0000-0000-0000BB900000}"/>
    <cellStyle name="Normal 6 2 2 2 19 2 3 3" xfId="45695" xr:uid="{00000000-0005-0000-0000-0000BC900000}"/>
    <cellStyle name="Normal 6 2 2 2 19 2 4" xfId="22481" xr:uid="{00000000-0005-0000-0000-0000BD900000}"/>
    <cellStyle name="Normal 6 2 2 2 19 2 5" xfId="41113" xr:uid="{00000000-0005-0000-0000-0000BE900000}"/>
    <cellStyle name="Normal 6 2 2 2 19 3" xfId="12936" xr:uid="{00000000-0005-0000-0000-0000BF900000}"/>
    <cellStyle name="Normal 6 2 2 2 19 3 2" xfId="36421" xr:uid="{00000000-0005-0000-0000-0000C0900000}"/>
    <cellStyle name="Normal 6 2 2 2 19 3 3" xfId="27102" xr:uid="{00000000-0005-0000-0000-0000C1900000}"/>
    <cellStyle name="Normal 6 2 2 2 19 3 4" xfId="50364" xr:uid="{00000000-0005-0000-0000-0000C2900000}"/>
    <cellStyle name="Normal 6 2 2 2 19 4" xfId="17667" xr:uid="{00000000-0005-0000-0000-0000C3900000}"/>
    <cellStyle name="Normal 6 2 2 2 19 4 2" xfId="31799" xr:uid="{00000000-0005-0000-0000-0000C4900000}"/>
    <cellStyle name="Normal 6 2 2 2 19 4 3" xfId="45694" xr:uid="{00000000-0005-0000-0000-0000C5900000}"/>
    <cellStyle name="Normal 6 2 2 2 19 5" xfId="22480" xr:uid="{00000000-0005-0000-0000-0000C6900000}"/>
    <cellStyle name="Normal 6 2 2 2 19 6" xfId="41112" xr:uid="{00000000-0005-0000-0000-0000C7900000}"/>
    <cellStyle name="Normal 6 2 2 2 2" xfId="7157" xr:uid="{00000000-0005-0000-0000-0000C8900000}"/>
    <cellStyle name="Normal 6 2 2 2 2 2" xfId="7158" xr:uid="{00000000-0005-0000-0000-0000C9900000}"/>
    <cellStyle name="Normal 6 2 2 2 2 2 2" xfId="12939" xr:uid="{00000000-0005-0000-0000-0000CA900000}"/>
    <cellStyle name="Normal 6 2 2 2 2 2 2 2" xfId="36424" xr:uid="{00000000-0005-0000-0000-0000CB900000}"/>
    <cellStyle name="Normal 6 2 2 2 2 2 2 3" xfId="27105" xr:uid="{00000000-0005-0000-0000-0000CC900000}"/>
    <cellStyle name="Normal 6 2 2 2 2 2 2 4" xfId="50367" xr:uid="{00000000-0005-0000-0000-0000CD900000}"/>
    <cellStyle name="Normal 6 2 2 2 2 2 3" xfId="17670" xr:uid="{00000000-0005-0000-0000-0000CE900000}"/>
    <cellStyle name="Normal 6 2 2 2 2 2 3 2" xfId="31802" xr:uid="{00000000-0005-0000-0000-0000CF900000}"/>
    <cellStyle name="Normal 6 2 2 2 2 2 3 3" xfId="45697" xr:uid="{00000000-0005-0000-0000-0000D0900000}"/>
    <cellStyle name="Normal 6 2 2 2 2 2 4" xfId="22483" xr:uid="{00000000-0005-0000-0000-0000D1900000}"/>
    <cellStyle name="Normal 6 2 2 2 2 2 5" xfId="41115" xr:uid="{00000000-0005-0000-0000-0000D2900000}"/>
    <cellStyle name="Normal 6 2 2 2 2 3" xfId="12938" xr:uid="{00000000-0005-0000-0000-0000D3900000}"/>
    <cellStyle name="Normal 6 2 2 2 2 3 2" xfId="36423" xr:uid="{00000000-0005-0000-0000-0000D4900000}"/>
    <cellStyle name="Normal 6 2 2 2 2 3 3" xfId="27104" xr:uid="{00000000-0005-0000-0000-0000D5900000}"/>
    <cellStyle name="Normal 6 2 2 2 2 3 4" xfId="50366" xr:uid="{00000000-0005-0000-0000-0000D6900000}"/>
    <cellStyle name="Normal 6 2 2 2 2 4" xfId="17669" xr:uid="{00000000-0005-0000-0000-0000D7900000}"/>
    <cellStyle name="Normal 6 2 2 2 2 4 2" xfId="31801" xr:uid="{00000000-0005-0000-0000-0000D8900000}"/>
    <cellStyle name="Normal 6 2 2 2 2 4 3" xfId="45696" xr:uid="{00000000-0005-0000-0000-0000D9900000}"/>
    <cellStyle name="Normal 6 2 2 2 2 5" xfId="22482" xr:uid="{00000000-0005-0000-0000-0000DA900000}"/>
    <cellStyle name="Normal 6 2 2 2 2 6" xfId="41114" xr:uid="{00000000-0005-0000-0000-0000DB900000}"/>
    <cellStyle name="Normal 6 2 2 2 20" xfId="7159" xr:uid="{00000000-0005-0000-0000-0000DC900000}"/>
    <cellStyle name="Normal 6 2 2 2 20 2" xfId="7160" xr:uid="{00000000-0005-0000-0000-0000DD900000}"/>
    <cellStyle name="Normal 6 2 2 2 20 2 2" xfId="12941" xr:uid="{00000000-0005-0000-0000-0000DE900000}"/>
    <cellStyle name="Normal 6 2 2 2 20 2 2 2" xfId="36426" xr:uid="{00000000-0005-0000-0000-0000DF900000}"/>
    <cellStyle name="Normal 6 2 2 2 20 2 2 3" xfId="27107" xr:uid="{00000000-0005-0000-0000-0000E0900000}"/>
    <cellStyle name="Normal 6 2 2 2 20 2 2 4" xfId="50369" xr:uid="{00000000-0005-0000-0000-0000E1900000}"/>
    <cellStyle name="Normal 6 2 2 2 20 2 3" xfId="17672" xr:uid="{00000000-0005-0000-0000-0000E2900000}"/>
    <cellStyle name="Normal 6 2 2 2 20 2 3 2" xfId="31804" xr:uid="{00000000-0005-0000-0000-0000E3900000}"/>
    <cellStyle name="Normal 6 2 2 2 20 2 3 3" xfId="45699" xr:uid="{00000000-0005-0000-0000-0000E4900000}"/>
    <cellStyle name="Normal 6 2 2 2 20 2 4" xfId="22485" xr:uid="{00000000-0005-0000-0000-0000E5900000}"/>
    <cellStyle name="Normal 6 2 2 2 20 2 5" xfId="41117" xr:uid="{00000000-0005-0000-0000-0000E6900000}"/>
    <cellStyle name="Normal 6 2 2 2 20 3" xfId="12940" xr:uid="{00000000-0005-0000-0000-0000E7900000}"/>
    <cellStyle name="Normal 6 2 2 2 20 3 2" xfId="36425" xr:uid="{00000000-0005-0000-0000-0000E8900000}"/>
    <cellStyle name="Normal 6 2 2 2 20 3 3" xfId="27106" xr:uid="{00000000-0005-0000-0000-0000E9900000}"/>
    <cellStyle name="Normal 6 2 2 2 20 3 4" xfId="50368" xr:uid="{00000000-0005-0000-0000-0000EA900000}"/>
    <cellStyle name="Normal 6 2 2 2 20 4" xfId="17671" xr:uid="{00000000-0005-0000-0000-0000EB900000}"/>
    <cellStyle name="Normal 6 2 2 2 20 4 2" xfId="31803" xr:uid="{00000000-0005-0000-0000-0000EC900000}"/>
    <cellStyle name="Normal 6 2 2 2 20 4 3" xfId="45698" xr:uid="{00000000-0005-0000-0000-0000ED900000}"/>
    <cellStyle name="Normal 6 2 2 2 20 5" xfId="22484" xr:uid="{00000000-0005-0000-0000-0000EE900000}"/>
    <cellStyle name="Normal 6 2 2 2 20 6" xfId="41116" xr:uid="{00000000-0005-0000-0000-0000EF900000}"/>
    <cellStyle name="Normal 6 2 2 2 21" xfId="7161" xr:uid="{00000000-0005-0000-0000-0000F0900000}"/>
    <cellStyle name="Normal 6 2 2 2 21 2" xfId="7162" xr:uid="{00000000-0005-0000-0000-0000F1900000}"/>
    <cellStyle name="Normal 6 2 2 2 21 2 2" xfId="12943" xr:uid="{00000000-0005-0000-0000-0000F2900000}"/>
    <cellStyle name="Normal 6 2 2 2 21 2 2 2" xfId="36428" xr:uid="{00000000-0005-0000-0000-0000F3900000}"/>
    <cellStyle name="Normal 6 2 2 2 21 2 2 3" xfId="27109" xr:uid="{00000000-0005-0000-0000-0000F4900000}"/>
    <cellStyle name="Normal 6 2 2 2 21 2 2 4" xfId="50371" xr:uid="{00000000-0005-0000-0000-0000F5900000}"/>
    <cellStyle name="Normal 6 2 2 2 21 2 3" xfId="17674" xr:uid="{00000000-0005-0000-0000-0000F6900000}"/>
    <cellStyle name="Normal 6 2 2 2 21 2 3 2" xfId="31806" xr:uid="{00000000-0005-0000-0000-0000F7900000}"/>
    <cellStyle name="Normal 6 2 2 2 21 2 3 3" xfId="45701" xr:uid="{00000000-0005-0000-0000-0000F8900000}"/>
    <cellStyle name="Normal 6 2 2 2 21 2 4" xfId="22487" xr:uid="{00000000-0005-0000-0000-0000F9900000}"/>
    <cellStyle name="Normal 6 2 2 2 21 2 5" xfId="41119" xr:uid="{00000000-0005-0000-0000-0000FA900000}"/>
    <cellStyle name="Normal 6 2 2 2 21 3" xfId="12942" xr:uid="{00000000-0005-0000-0000-0000FB900000}"/>
    <cellStyle name="Normal 6 2 2 2 21 3 2" xfId="36427" xr:uid="{00000000-0005-0000-0000-0000FC900000}"/>
    <cellStyle name="Normal 6 2 2 2 21 3 3" xfId="27108" xr:uid="{00000000-0005-0000-0000-0000FD900000}"/>
    <cellStyle name="Normal 6 2 2 2 21 3 4" xfId="50370" xr:uid="{00000000-0005-0000-0000-0000FE900000}"/>
    <cellStyle name="Normal 6 2 2 2 21 4" xfId="17673" xr:uid="{00000000-0005-0000-0000-0000FF900000}"/>
    <cellStyle name="Normal 6 2 2 2 21 4 2" xfId="31805" xr:uid="{00000000-0005-0000-0000-000000910000}"/>
    <cellStyle name="Normal 6 2 2 2 21 4 3" xfId="45700" xr:uid="{00000000-0005-0000-0000-000001910000}"/>
    <cellStyle name="Normal 6 2 2 2 21 5" xfId="22486" xr:uid="{00000000-0005-0000-0000-000002910000}"/>
    <cellStyle name="Normal 6 2 2 2 21 6" xfId="41118" xr:uid="{00000000-0005-0000-0000-000003910000}"/>
    <cellStyle name="Normal 6 2 2 2 22" xfId="7163" xr:uid="{00000000-0005-0000-0000-000004910000}"/>
    <cellStyle name="Normal 6 2 2 2 22 2" xfId="7164" xr:uid="{00000000-0005-0000-0000-000005910000}"/>
    <cellStyle name="Normal 6 2 2 2 22 2 2" xfId="12945" xr:uid="{00000000-0005-0000-0000-000006910000}"/>
    <cellStyle name="Normal 6 2 2 2 22 2 2 2" xfId="36430" xr:uid="{00000000-0005-0000-0000-000007910000}"/>
    <cellStyle name="Normal 6 2 2 2 22 2 2 3" xfId="27111" xr:uid="{00000000-0005-0000-0000-000008910000}"/>
    <cellStyle name="Normal 6 2 2 2 22 2 2 4" xfId="50373" xr:uid="{00000000-0005-0000-0000-000009910000}"/>
    <cellStyle name="Normal 6 2 2 2 22 2 3" xfId="17676" xr:uid="{00000000-0005-0000-0000-00000A910000}"/>
    <cellStyle name="Normal 6 2 2 2 22 2 3 2" xfId="31808" xr:uid="{00000000-0005-0000-0000-00000B910000}"/>
    <cellStyle name="Normal 6 2 2 2 22 2 3 3" xfId="45703" xr:uid="{00000000-0005-0000-0000-00000C910000}"/>
    <cellStyle name="Normal 6 2 2 2 22 2 4" xfId="22489" xr:uid="{00000000-0005-0000-0000-00000D910000}"/>
    <cellStyle name="Normal 6 2 2 2 22 2 5" xfId="41121" xr:uid="{00000000-0005-0000-0000-00000E910000}"/>
    <cellStyle name="Normal 6 2 2 2 22 3" xfId="12944" xr:uid="{00000000-0005-0000-0000-00000F910000}"/>
    <cellStyle name="Normal 6 2 2 2 22 3 2" xfId="36429" xr:uid="{00000000-0005-0000-0000-000010910000}"/>
    <cellStyle name="Normal 6 2 2 2 22 3 3" xfId="27110" xr:uid="{00000000-0005-0000-0000-000011910000}"/>
    <cellStyle name="Normal 6 2 2 2 22 3 4" xfId="50372" xr:uid="{00000000-0005-0000-0000-000012910000}"/>
    <cellStyle name="Normal 6 2 2 2 22 4" xfId="17675" xr:uid="{00000000-0005-0000-0000-000013910000}"/>
    <cellStyle name="Normal 6 2 2 2 22 4 2" xfId="31807" xr:uid="{00000000-0005-0000-0000-000014910000}"/>
    <cellStyle name="Normal 6 2 2 2 22 4 3" xfId="45702" xr:uid="{00000000-0005-0000-0000-000015910000}"/>
    <cellStyle name="Normal 6 2 2 2 22 5" xfId="22488" xr:uid="{00000000-0005-0000-0000-000016910000}"/>
    <cellStyle name="Normal 6 2 2 2 22 6" xfId="41120" xr:uid="{00000000-0005-0000-0000-000017910000}"/>
    <cellStyle name="Normal 6 2 2 2 23" xfId="7165" xr:uid="{00000000-0005-0000-0000-000018910000}"/>
    <cellStyle name="Normal 6 2 2 2 23 2" xfId="7166" xr:uid="{00000000-0005-0000-0000-000019910000}"/>
    <cellStyle name="Normal 6 2 2 2 23 2 2" xfId="12947" xr:uid="{00000000-0005-0000-0000-00001A910000}"/>
    <cellStyle name="Normal 6 2 2 2 23 2 2 2" xfId="36432" xr:uid="{00000000-0005-0000-0000-00001B910000}"/>
    <cellStyle name="Normal 6 2 2 2 23 2 2 3" xfId="27113" xr:uid="{00000000-0005-0000-0000-00001C910000}"/>
    <cellStyle name="Normal 6 2 2 2 23 2 2 4" xfId="50375" xr:uid="{00000000-0005-0000-0000-00001D910000}"/>
    <cellStyle name="Normal 6 2 2 2 23 2 3" xfId="17678" xr:uid="{00000000-0005-0000-0000-00001E910000}"/>
    <cellStyle name="Normal 6 2 2 2 23 2 3 2" xfId="31810" xr:uid="{00000000-0005-0000-0000-00001F910000}"/>
    <cellStyle name="Normal 6 2 2 2 23 2 3 3" xfId="45705" xr:uid="{00000000-0005-0000-0000-000020910000}"/>
    <cellStyle name="Normal 6 2 2 2 23 2 4" xfId="22491" xr:uid="{00000000-0005-0000-0000-000021910000}"/>
    <cellStyle name="Normal 6 2 2 2 23 2 5" xfId="41123" xr:uid="{00000000-0005-0000-0000-000022910000}"/>
    <cellStyle name="Normal 6 2 2 2 23 3" xfId="12946" xr:uid="{00000000-0005-0000-0000-000023910000}"/>
    <cellStyle name="Normal 6 2 2 2 23 3 2" xfId="36431" xr:uid="{00000000-0005-0000-0000-000024910000}"/>
    <cellStyle name="Normal 6 2 2 2 23 3 3" xfId="27112" xr:uid="{00000000-0005-0000-0000-000025910000}"/>
    <cellStyle name="Normal 6 2 2 2 23 3 4" xfId="50374" xr:uid="{00000000-0005-0000-0000-000026910000}"/>
    <cellStyle name="Normal 6 2 2 2 23 4" xfId="17677" xr:uid="{00000000-0005-0000-0000-000027910000}"/>
    <cellStyle name="Normal 6 2 2 2 23 4 2" xfId="31809" xr:uid="{00000000-0005-0000-0000-000028910000}"/>
    <cellStyle name="Normal 6 2 2 2 23 4 3" xfId="45704" xr:uid="{00000000-0005-0000-0000-000029910000}"/>
    <cellStyle name="Normal 6 2 2 2 23 5" xfId="22490" xr:uid="{00000000-0005-0000-0000-00002A910000}"/>
    <cellStyle name="Normal 6 2 2 2 23 6" xfId="41122" xr:uid="{00000000-0005-0000-0000-00002B910000}"/>
    <cellStyle name="Normal 6 2 2 2 24" xfId="7167" xr:uid="{00000000-0005-0000-0000-00002C910000}"/>
    <cellStyle name="Normal 6 2 2 2 24 2" xfId="12948" xr:uid="{00000000-0005-0000-0000-00002D910000}"/>
    <cellStyle name="Normal 6 2 2 2 24 2 2" xfId="36433" xr:uid="{00000000-0005-0000-0000-00002E910000}"/>
    <cellStyle name="Normal 6 2 2 2 24 2 3" xfId="27114" xr:uid="{00000000-0005-0000-0000-00002F910000}"/>
    <cellStyle name="Normal 6 2 2 2 24 2 4" xfId="50376" xr:uid="{00000000-0005-0000-0000-000030910000}"/>
    <cellStyle name="Normal 6 2 2 2 24 3" xfId="17679" xr:uid="{00000000-0005-0000-0000-000031910000}"/>
    <cellStyle name="Normal 6 2 2 2 24 3 2" xfId="31811" xr:uid="{00000000-0005-0000-0000-000032910000}"/>
    <cellStyle name="Normal 6 2 2 2 24 3 3" xfId="45706" xr:uid="{00000000-0005-0000-0000-000033910000}"/>
    <cellStyle name="Normal 6 2 2 2 24 4" xfId="22492" xr:uid="{00000000-0005-0000-0000-000034910000}"/>
    <cellStyle name="Normal 6 2 2 2 24 5" xfId="41124" xr:uid="{00000000-0005-0000-0000-000035910000}"/>
    <cellStyle name="Normal 6 2 2 2 25" xfId="7168" xr:uid="{00000000-0005-0000-0000-000036910000}"/>
    <cellStyle name="Normal 6 2 2 2 25 2" xfId="12949" xr:uid="{00000000-0005-0000-0000-000037910000}"/>
    <cellStyle name="Normal 6 2 2 2 25 2 2" xfId="36434" xr:uid="{00000000-0005-0000-0000-000038910000}"/>
    <cellStyle name="Normal 6 2 2 2 25 2 3" xfId="27115" xr:uid="{00000000-0005-0000-0000-000039910000}"/>
    <cellStyle name="Normal 6 2 2 2 25 2 4" xfId="50377" xr:uid="{00000000-0005-0000-0000-00003A910000}"/>
    <cellStyle name="Normal 6 2 2 2 25 3" xfId="17680" xr:uid="{00000000-0005-0000-0000-00003B910000}"/>
    <cellStyle name="Normal 6 2 2 2 25 3 2" xfId="31812" xr:uid="{00000000-0005-0000-0000-00003C910000}"/>
    <cellStyle name="Normal 6 2 2 2 25 3 3" xfId="45707" xr:uid="{00000000-0005-0000-0000-00003D910000}"/>
    <cellStyle name="Normal 6 2 2 2 25 4" xfId="22493" xr:uid="{00000000-0005-0000-0000-00003E910000}"/>
    <cellStyle name="Normal 6 2 2 2 25 5" xfId="41125" xr:uid="{00000000-0005-0000-0000-00003F910000}"/>
    <cellStyle name="Normal 6 2 2 2 26" xfId="9686" xr:uid="{00000000-0005-0000-0000-000040910000}"/>
    <cellStyle name="Normal 6 2 2 2 26 2" xfId="33177" xr:uid="{00000000-0005-0000-0000-000041910000}"/>
    <cellStyle name="Normal 6 2 2 2 26 3" xfId="23862" xr:uid="{00000000-0005-0000-0000-000042910000}"/>
    <cellStyle name="Normal 6 2 2 2 26 4" xfId="47120" xr:uid="{00000000-0005-0000-0000-000043910000}"/>
    <cellStyle name="Normal 6 2 2 2 27" xfId="14447" xr:uid="{00000000-0005-0000-0000-000044910000}"/>
    <cellStyle name="Normal 6 2 2 2 27 2" xfId="28578" xr:uid="{00000000-0005-0000-0000-000045910000}"/>
    <cellStyle name="Normal 6 2 2 2 27 3" xfId="42458" xr:uid="{00000000-0005-0000-0000-000046910000}"/>
    <cellStyle name="Normal 6 2 2 2 28" xfId="19258" xr:uid="{00000000-0005-0000-0000-000047910000}"/>
    <cellStyle name="Normal 6 2 2 2 29" xfId="37893" xr:uid="{00000000-0005-0000-0000-000048910000}"/>
    <cellStyle name="Normal 6 2 2 2 3" xfId="7169" xr:uid="{00000000-0005-0000-0000-000049910000}"/>
    <cellStyle name="Normal 6 2 2 2 3 2" xfId="7170" xr:uid="{00000000-0005-0000-0000-00004A910000}"/>
    <cellStyle name="Normal 6 2 2 2 3 2 2" xfId="12951" xr:uid="{00000000-0005-0000-0000-00004B910000}"/>
    <cellStyle name="Normal 6 2 2 2 3 2 2 2" xfId="36436" xr:uid="{00000000-0005-0000-0000-00004C910000}"/>
    <cellStyle name="Normal 6 2 2 2 3 2 2 3" xfId="27117" xr:uid="{00000000-0005-0000-0000-00004D910000}"/>
    <cellStyle name="Normal 6 2 2 2 3 2 2 4" xfId="50379" xr:uid="{00000000-0005-0000-0000-00004E910000}"/>
    <cellStyle name="Normal 6 2 2 2 3 2 3" xfId="17682" xr:uid="{00000000-0005-0000-0000-00004F910000}"/>
    <cellStyle name="Normal 6 2 2 2 3 2 3 2" xfId="31814" xr:uid="{00000000-0005-0000-0000-000050910000}"/>
    <cellStyle name="Normal 6 2 2 2 3 2 3 3" xfId="45709" xr:uid="{00000000-0005-0000-0000-000051910000}"/>
    <cellStyle name="Normal 6 2 2 2 3 2 4" xfId="22495" xr:uid="{00000000-0005-0000-0000-000052910000}"/>
    <cellStyle name="Normal 6 2 2 2 3 2 5" xfId="41127" xr:uid="{00000000-0005-0000-0000-000053910000}"/>
    <cellStyle name="Normal 6 2 2 2 3 3" xfId="12950" xr:uid="{00000000-0005-0000-0000-000054910000}"/>
    <cellStyle name="Normal 6 2 2 2 3 3 2" xfId="36435" xr:uid="{00000000-0005-0000-0000-000055910000}"/>
    <cellStyle name="Normal 6 2 2 2 3 3 3" xfId="27116" xr:uid="{00000000-0005-0000-0000-000056910000}"/>
    <cellStyle name="Normal 6 2 2 2 3 3 4" xfId="50378" xr:uid="{00000000-0005-0000-0000-000057910000}"/>
    <cellStyle name="Normal 6 2 2 2 3 4" xfId="17681" xr:uid="{00000000-0005-0000-0000-000058910000}"/>
    <cellStyle name="Normal 6 2 2 2 3 4 2" xfId="31813" xr:uid="{00000000-0005-0000-0000-000059910000}"/>
    <cellStyle name="Normal 6 2 2 2 3 4 3" xfId="45708" xr:uid="{00000000-0005-0000-0000-00005A910000}"/>
    <cellStyle name="Normal 6 2 2 2 3 5" xfId="22494" xr:uid="{00000000-0005-0000-0000-00005B910000}"/>
    <cellStyle name="Normal 6 2 2 2 3 6" xfId="41126" xr:uid="{00000000-0005-0000-0000-00005C910000}"/>
    <cellStyle name="Normal 6 2 2 2 4" xfId="7171" xr:uid="{00000000-0005-0000-0000-00005D910000}"/>
    <cellStyle name="Normal 6 2 2 2 4 2" xfId="7172" xr:uid="{00000000-0005-0000-0000-00005E910000}"/>
    <cellStyle name="Normal 6 2 2 2 4 2 2" xfId="12953" xr:uid="{00000000-0005-0000-0000-00005F910000}"/>
    <cellStyle name="Normal 6 2 2 2 4 2 2 2" xfId="36438" xr:uid="{00000000-0005-0000-0000-000060910000}"/>
    <cellStyle name="Normal 6 2 2 2 4 2 2 3" xfId="27119" xr:uid="{00000000-0005-0000-0000-000061910000}"/>
    <cellStyle name="Normal 6 2 2 2 4 2 2 4" xfId="50381" xr:uid="{00000000-0005-0000-0000-000062910000}"/>
    <cellStyle name="Normal 6 2 2 2 4 2 3" xfId="17684" xr:uid="{00000000-0005-0000-0000-000063910000}"/>
    <cellStyle name="Normal 6 2 2 2 4 2 3 2" xfId="31816" xr:uid="{00000000-0005-0000-0000-000064910000}"/>
    <cellStyle name="Normal 6 2 2 2 4 2 3 3" xfId="45711" xr:uid="{00000000-0005-0000-0000-000065910000}"/>
    <cellStyle name="Normal 6 2 2 2 4 2 4" xfId="22497" xr:uid="{00000000-0005-0000-0000-000066910000}"/>
    <cellStyle name="Normal 6 2 2 2 4 2 5" xfId="41129" xr:uid="{00000000-0005-0000-0000-000067910000}"/>
    <cellStyle name="Normal 6 2 2 2 4 3" xfId="12952" xr:uid="{00000000-0005-0000-0000-000068910000}"/>
    <cellStyle name="Normal 6 2 2 2 4 3 2" xfId="36437" xr:uid="{00000000-0005-0000-0000-000069910000}"/>
    <cellStyle name="Normal 6 2 2 2 4 3 3" xfId="27118" xr:uid="{00000000-0005-0000-0000-00006A910000}"/>
    <cellStyle name="Normal 6 2 2 2 4 3 4" xfId="50380" xr:uid="{00000000-0005-0000-0000-00006B910000}"/>
    <cellStyle name="Normal 6 2 2 2 4 4" xfId="17683" xr:uid="{00000000-0005-0000-0000-00006C910000}"/>
    <cellStyle name="Normal 6 2 2 2 4 4 2" xfId="31815" xr:uid="{00000000-0005-0000-0000-00006D910000}"/>
    <cellStyle name="Normal 6 2 2 2 4 4 3" xfId="45710" xr:uid="{00000000-0005-0000-0000-00006E910000}"/>
    <cellStyle name="Normal 6 2 2 2 4 5" xfId="22496" xr:uid="{00000000-0005-0000-0000-00006F910000}"/>
    <cellStyle name="Normal 6 2 2 2 4 6" xfId="41128" xr:uid="{00000000-0005-0000-0000-000070910000}"/>
    <cellStyle name="Normal 6 2 2 2 5" xfId="7173" xr:uid="{00000000-0005-0000-0000-000071910000}"/>
    <cellStyle name="Normal 6 2 2 2 5 2" xfId="7174" xr:uid="{00000000-0005-0000-0000-000072910000}"/>
    <cellStyle name="Normal 6 2 2 2 5 2 2" xfId="12955" xr:uid="{00000000-0005-0000-0000-000073910000}"/>
    <cellStyle name="Normal 6 2 2 2 5 2 2 2" xfId="36440" xr:uid="{00000000-0005-0000-0000-000074910000}"/>
    <cellStyle name="Normal 6 2 2 2 5 2 2 3" xfId="27121" xr:uid="{00000000-0005-0000-0000-000075910000}"/>
    <cellStyle name="Normal 6 2 2 2 5 2 2 4" xfId="50383" xr:uid="{00000000-0005-0000-0000-000076910000}"/>
    <cellStyle name="Normal 6 2 2 2 5 2 3" xfId="17686" xr:uid="{00000000-0005-0000-0000-000077910000}"/>
    <cellStyle name="Normal 6 2 2 2 5 2 3 2" xfId="31818" xr:uid="{00000000-0005-0000-0000-000078910000}"/>
    <cellStyle name="Normal 6 2 2 2 5 2 3 3" xfId="45713" xr:uid="{00000000-0005-0000-0000-000079910000}"/>
    <cellStyle name="Normal 6 2 2 2 5 2 4" xfId="22499" xr:uid="{00000000-0005-0000-0000-00007A910000}"/>
    <cellStyle name="Normal 6 2 2 2 5 2 5" xfId="41131" xr:uid="{00000000-0005-0000-0000-00007B910000}"/>
    <cellStyle name="Normal 6 2 2 2 5 3" xfId="12954" xr:uid="{00000000-0005-0000-0000-00007C910000}"/>
    <cellStyle name="Normal 6 2 2 2 5 3 2" xfId="36439" xr:uid="{00000000-0005-0000-0000-00007D910000}"/>
    <cellStyle name="Normal 6 2 2 2 5 3 3" xfId="27120" xr:uid="{00000000-0005-0000-0000-00007E910000}"/>
    <cellStyle name="Normal 6 2 2 2 5 3 4" xfId="50382" xr:uid="{00000000-0005-0000-0000-00007F910000}"/>
    <cellStyle name="Normal 6 2 2 2 5 4" xfId="17685" xr:uid="{00000000-0005-0000-0000-000080910000}"/>
    <cellStyle name="Normal 6 2 2 2 5 4 2" xfId="31817" xr:uid="{00000000-0005-0000-0000-000081910000}"/>
    <cellStyle name="Normal 6 2 2 2 5 4 3" xfId="45712" xr:uid="{00000000-0005-0000-0000-000082910000}"/>
    <cellStyle name="Normal 6 2 2 2 5 5" xfId="22498" xr:uid="{00000000-0005-0000-0000-000083910000}"/>
    <cellStyle name="Normal 6 2 2 2 5 6" xfId="41130" xr:uid="{00000000-0005-0000-0000-000084910000}"/>
    <cellStyle name="Normal 6 2 2 2 6" xfId="7175" xr:uid="{00000000-0005-0000-0000-000085910000}"/>
    <cellStyle name="Normal 6 2 2 2 6 2" xfId="7176" xr:uid="{00000000-0005-0000-0000-000086910000}"/>
    <cellStyle name="Normal 6 2 2 2 6 2 2" xfId="12957" xr:uid="{00000000-0005-0000-0000-000087910000}"/>
    <cellStyle name="Normal 6 2 2 2 6 2 2 2" xfId="36442" xr:uid="{00000000-0005-0000-0000-000088910000}"/>
    <cellStyle name="Normal 6 2 2 2 6 2 2 3" xfId="27123" xr:uid="{00000000-0005-0000-0000-000089910000}"/>
    <cellStyle name="Normal 6 2 2 2 6 2 2 4" xfId="50385" xr:uid="{00000000-0005-0000-0000-00008A910000}"/>
    <cellStyle name="Normal 6 2 2 2 6 2 3" xfId="17688" xr:uid="{00000000-0005-0000-0000-00008B910000}"/>
    <cellStyle name="Normal 6 2 2 2 6 2 3 2" xfId="31820" xr:uid="{00000000-0005-0000-0000-00008C910000}"/>
    <cellStyle name="Normal 6 2 2 2 6 2 3 3" xfId="45715" xr:uid="{00000000-0005-0000-0000-00008D910000}"/>
    <cellStyle name="Normal 6 2 2 2 6 2 4" xfId="22501" xr:uid="{00000000-0005-0000-0000-00008E910000}"/>
    <cellStyle name="Normal 6 2 2 2 6 2 5" xfId="41133" xr:uid="{00000000-0005-0000-0000-00008F910000}"/>
    <cellStyle name="Normal 6 2 2 2 6 3" xfId="12956" xr:uid="{00000000-0005-0000-0000-000090910000}"/>
    <cellStyle name="Normal 6 2 2 2 6 3 2" xfId="36441" xr:uid="{00000000-0005-0000-0000-000091910000}"/>
    <cellStyle name="Normal 6 2 2 2 6 3 3" xfId="27122" xr:uid="{00000000-0005-0000-0000-000092910000}"/>
    <cellStyle name="Normal 6 2 2 2 6 3 4" xfId="50384" xr:uid="{00000000-0005-0000-0000-000093910000}"/>
    <cellStyle name="Normal 6 2 2 2 6 4" xfId="17687" xr:uid="{00000000-0005-0000-0000-000094910000}"/>
    <cellStyle name="Normal 6 2 2 2 6 4 2" xfId="31819" xr:uid="{00000000-0005-0000-0000-000095910000}"/>
    <cellStyle name="Normal 6 2 2 2 6 4 3" xfId="45714" xr:uid="{00000000-0005-0000-0000-000096910000}"/>
    <cellStyle name="Normal 6 2 2 2 6 5" xfId="22500" xr:uid="{00000000-0005-0000-0000-000097910000}"/>
    <cellStyle name="Normal 6 2 2 2 6 6" xfId="41132" xr:uid="{00000000-0005-0000-0000-000098910000}"/>
    <cellStyle name="Normal 6 2 2 2 7" xfId="7177" xr:uid="{00000000-0005-0000-0000-000099910000}"/>
    <cellStyle name="Normal 6 2 2 2 7 2" xfId="7178" xr:uid="{00000000-0005-0000-0000-00009A910000}"/>
    <cellStyle name="Normal 6 2 2 2 7 2 2" xfId="12959" xr:uid="{00000000-0005-0000-0000-00009B910000}"/>
    <cellStyle name="Normal 6 2 2 2 7 2 2 2" xfId="36444" xr:uid="{00000000-0005-0000-0000-00009C910000}"/>
    <cellStyle name="Normal 6 2 2 2 7 2 2 3" xfId="27125" xr:uid="{00000000-0005-0000-0000-00009D910000}"/>
    <cellStyle name="Normal 6 2 2 2 7 2 2 4" xfId="50387" xr:uid="{00000000-0005-0000-0000-00009E910000}"/>
    <cellStyle name="Normal 6 2 2 2 7 2 3" xfId="17690" xr:uid="{00000000-0005-0000-0000-00009F910000}"/>
    <cellStyle name="Normal 6 2 2 2 7 2 3 2" xfId="31822" xr:uid="{00000000-0005-0000-0000-0000A0910000}"/>
    <cellStyle name="Normal 6 2 2 2 7 2 3 3" xfId="45717" xr:uid="{00000000-0005-0000-0000-0000A1910000}"/>
    <cellStyle name="Normal 6 2 2 2 7 2 4" xfId="22503" xr:uid="{00000000-0005-0000-0000-0000A2910000}"/>
    <cellStyle name="Normal 6 2 2 2 7 2 5" xfId="41135" xr:uid="{00000000-0005-0000-0000-0000A3910000}"/>
    <cellStyle name="Normal 6 2 2 2 7 3" xfId="12958" xr:uid="{00000000-0005-0000-0000-0000A4910000}"/>
    <cellStyle name="Normal 6 2 2 2 7 3 2" xfId="36443" xr:uid="{00000000-0005-0000-0000-0000A5910000}"/>
    <cellStyle name="Normal 6 2 2 2 7 3 3" xfId="27124" xr:uid="{00000000-0005-0000-0000-0000A6910000}"/>
    <cellStyle name="Normal 6 2 2 2 7 3 4" xfId="50386" xr:uid="{00000000-0005-0000-0000-0000A7910000}"/>
    <cellStyle name="Normal 6 2 2 2 7 4" xfId="17689" xr:uid="{00000000-0005-0000-0000-0000A8910000}"/>
    <cellStyle name="Normal 6 2 2 2 7 4 2" xfId="31821" xr:uid="{00000000-0005-0000-0000-0000A9910000}"/>
    <cellStyle name="Normal 6 2 2 2 7 4 3" xfId="45716" xr:uid="{00000000-0005-0000-0000-0000AA910000}"/>
    <cellStyle name="Normal 6 2 2 2 7 5" xfId="22502" xr:uid="{00000000-0005-0000-0000-0000AB910000}"/>
    <cellStyle name="Normal 6 2 2 2 7 6" xfId="41134" xr:uid="{00000000-0005-0000-0000-0000AC910000}"/>
    <cellStyle name="Normal 6 2 2 2 8" xfId="7179" xr:uid="{00000000-0005-0000-0000-0000AD910000}"/>
    <cellStyle name="Normal 6 2 2 2 8 2" xfId="7180" xr:uid="{00000000-0005-0000-0000-0000AE910000}"/>
    <cellStyle name="Normal 6 2 2 2 8 2 2" xfId="12961" xr:uid="{00000000-0005-0000-0000-0000AF910000}"/>
    <cellStyle name="Normal 6 2 2 2 8 2 2 2" xfId="36446" xr:uid="{00000000-0005-0000-0000-0000B0910000}"/>
    <cellStyle name="Normal 6 2 2 2 8 2 2 3" xfId="27127" xr:uid="{00000000-0005-0000-0000-0000B1910000}"/>
    <cellStyle name="Normal 6 2 2 2 8 2 2 4" xfId="50389" xr:uid="{00000000-0005-0000-0000-0000B2910000}"/>
    <cellStyle name="Normal 6 2 2 2 8 2 3" xfId="17692" xr:uid="{00000000-0005-0000-0000-0000B3910000}"/>
    <cellStyle name="Normal 6 2 2 2 8 2 3 2" xfId="31824" xr:uid="{00000000-0005-0000-0000-0000B4910000}"/>
    <cellStyle name="Normal 6 2 2 2 8 2 3 3" xfId="45719" xr:uid="{00000000-0005-0000-0000-0000B5910000}"/>
    <cellStyle name="Normal 6 2 2 2 8 2 4" xfId="22505" xr:uid="{00000000-0005-0000-0000-0000B6910000}"/>
    <cellStyle name="Normal 6 2 2 2 8 2 5" xfId="41137" xr:uid="{00000000-0005-0000-0000-0000B7910000}"/>
    <cellStyle name="Normal 6 2 2 2 8 3" xfId="12960" xr:uid="{00000000-0005-0000-0000-0000B8910000}"/>
    <cellStyle name="Normal 6 2 2 2 8 3 2" xfId="36445" xr:uid="{00000000-0005-0000-0000-0000B9910000}"/>
    <cellStyle name="Normal 6 2 2 2 8 3 3" xfId="27126" xr:uid="{00000000-0005-0000-0000-0000BA910000}"/>
    <cellStyle name="Normal 6 2 2 2 8 3 4" xfId="50388" xr:uid="{00000000-0005-0000-0000-0000BB910000}"/>
    <cellStyle name="Normal 6 2 2 2 8 4" xfId="17691" xr:uid="{00000000-0005-0000-0000-0000BC910000}"/>
    <cellStyle name="Normal 6 2 2 2 8 4 2" xfId="31823" xr:uid="{00000000-0005-0000-0000-0000BD910000}"/>
    <cellStyle name="Normal 6 2 2 2 8 4 3" xfId="45718" xr:uid="{00000000-0005-0000-0000-0000BE910000}"/>
    <cellStyle name="Normal 6 2 2 2 8 5" xfId="22504" xr:uid="{00000000-0005-0000-0000-0000BF910000}"/>
    <cellStyle name="Normal 6 2 2 2 8 6" xfId="41136" xr:uid="{00000000-0005-0000-0000-0000C0910000}"/>
    <cellStyle name="Normal 6 2 2 2 9" xfId="7181" xr:uid="{00000000-0005-0000-0000-0000C1910000}"/>
    <cellStyle name="Normal 6 2 2 2 9 2" xfId="7182" xr:uid="{00000000-0005-0000-0000-0000C2910000}"/>
    <cellStyle name="Normal 6 2 2 2 9 2 2" xfId="12963" xr:uid="{00000000-0005-0000-0000-0000C3910000}"/>
    <cellStyle name="Normal 6 2 2 2 9 2 2 2" xfId="36448" xr:uid="{00000000-0005-0000-0000-0000C4910000}"/>
    <cellStyle name="Normal 6 2 2 2 9 2 2 3" xfId="27129" xr:uid="{00000000-0005-0000-0000-0000C5910000}"/>
    <cellStyle name="Normal 6 2 2 2 9 2 2 4" xfId="50391" xr:uid="{00000000-0005-0000-0000-0000C6910000}"/>
    <cellStyle name="Normal 6 2 2 2 9 2 3" xfId="17694" xr:uid="{00000000-0005-0000-0000-0000C7910000}"/>
    <cellStyle name="Normal 6 2 2 2 9 2 3 2" xfId="31826" xr:uid="{00000000-0005-0000-0000-0000C8910000}"/>
    <cellStyle name="Normal 6 2 2 2 9 2 3 3" xfId="45721" xr:uid="{00000000-0005-0000-0000-0000C9910000}"/>
    <cellStyle name="Normal 6 2 2 2 9 2 4" xfId="22507" xr:uid="{00000000-0005-0000-0000-0000CA910000}"/>
    <cellStyle name="Normal 6 2 2 2 9 2 5" xfId="41139" xr:uid="{00000000-0005-0000-0000-0000CB910000}"/>
    <cellStyle name="Normal 6 2 2 2 9 3" xfId="12962" xr:uid="{00000000-0005-0000-0000-0000CC910000}"/>
    <cellStyle name="Normal 6 2 2 2 9 3 2" xfId="36447" xr:uid="{00000000-0005-0000-0000-0000CD910000}"/>
    <cellStyle name="Normal 6 2 2 2 9 3 3" xfId="27128" xr:uid="{00000000-0005-0000-0000-0000CE910000}"/>
    <cellStyle name="Normal 6 2 2 2 9 3 4" xfId="50390" xr:uid="{00000000-0005-0000-0000-0000CF910000}"/>
    <cellStyle name="Normal 6 2 2 2 9 4" xfId="17693" xr:uid="{00000000-0005-0000-0000-0000D0910000}"/>
    <cellStyle name="Normal 6 2 2 2 9 4 2" xfId="31825" xr:uid="{00000000-0005-0000-0000-0000D1910000}"/>
    <cellStyle name="Normal 6 2 2 2 9 4 3" xfId="45720" xr:uid="{00000000-0005-0000-0000-0000D2910000}"/>
    <cellStyle name="Normal 6 2 2 2 9 5" xfId="22506" xr:uid="{00000000-0005-0000-0000-0000D3910000}"/>
    <cellStyle name="Normal 6 2 2 2 9 6" xfId="41138" xr:uid="{00000000-0005-0000-0000-0000D4910000}"/>
    <cellStyle name="Normal 6 2 2 20" xfId="7183" xr:uid="{00000000-0005-0000-0000-0000D5910000}"/>
    <cellStyle name="Normal 6 2 2 20 2" xfId="7184" xr:uid="{00000000-0005-0000-0000-0000D6910000}"/>
    <cellStyle name="Normal 6 2 2 20 2 2" xfId="12965" xr:uid="{00000000-0005-0000-0000-0000D7910000}"/>
    <cellStyle name="Normal 6 2 2 20 2 2 2" xfId="36450" xr:uid="{00000000-0005-0000-0000-0000D8910000}"/>
    <cellStyle name="Normal 6 2 2 20 2 2 3" xfId="27131" xr:uid="{00000000-0005-0000-0000-0000D9910000}"/>
    <cellStyle name="Normal 6 2 2 20 2 2 4" xfId="50393" xr:uid="{00000000-0005-0000-0000-0000DA910000}"/>
    <cellStyle name="Normal 6 2 2 20 2 3" xfId="17696" xr:uid="{00000000-0005-0000-0000-0000DB910000}"/>
    <cellStyle name="Normal 6 2 2 20 2 3 2" xfId="31828" xr:uid="{00000000-0005-0000-0000-0000DC910000}"/>
    <cellStyle name="Normal 6 2 2 20 2 3 3" xfId="45723" xr:uid="{00000000-0005-0000-0000-0000DD910000}"/>
    <cellStyle name="Normal 6 2 2 20 2 4" xfId="22509" xr:uid="{00000000-0005-0000-0000-0000DE910000}"/>
    <cellStyle name="Normal 6 2 2 20 2 5" xfId="41141" xr:uid="{00000000-0005-0000-0000-0000DF910000}"/>
    <cellStyle name="Normal 6 2 2 20 3" xfId="12964" xr:uid="{00000000-0005-0000-0000-0000E0910000}"/>
    <cellStyle name="Normal 6 2 2 20 3 2" xfId="36449" xr:uid="{00000000-0005-0000-0000-0000E1910000}"/>
    <cellStyle name="Normal 6 2 2 20 3 3" xfId="27130" xr:uid="{00000000-0005-0000-0000-0000E2910000}"/>
    <cellStyle name="Normal 6 2 2 20 3 4" xfId="50392" xr:uid="{00000000-0005-0000-0000-0000E3910000}"/>
    <cellStyle name="Normal 6 2 2 20 4" xfId="17695" xr:uid="{00000000-0005-0000-0000-0000E4910000}"/>
    <cellStyle name="Normal 6 2 2 20 4 2" xfId="31827" xr:uid="{00000000-0005-0000-0000-0000E5910000}"/>
    <cellStyle name="Normal 6 2 2 20 4 3" xfId="45722" xr:uid="{00000000-0005-0000-0000-0000E6910000}"/>
    <cellStyle name="Normal 6 2 2 20 5" xfId="22508" xr:uid="{00000000-0005-0000-0000-0000E7910000}"/>
    <cellStyle name="Normal 6 2 2 20 6" xfId="41140" xr:uid="{00000000-0005-0000-0000-0000E8910000}"/>
    <cellStyle name="Normal 6 2 2 21" xfId="7185" xr:uid="{00000000-0005-0000-0000-0000E9910000}"/>
    <cellStyle name="Normal 6 2 2 21 2" xfId="7186" xr:uid="{00000000-0005-0000-0000-0000EA910000}"/>
    <cellStyle name="Normal 6 2 2 21 2 2" xfId="12967" xr:uid="{00000000-0005-0000-0000-0000EB910000}"/>
    <cellStyle name="Normal 6 2 2 21 2 2 2" xfId="36452" xr:uid="{00000000-0005-0000-0000-0000EC910000}"/>
    <cellStyle name="Normal 6 2 2 21 2 2 3" xfId="27133" xr:uid="{00000000-0005-0000-0000-0000ED910000}"/>
    <cellStyle name="Normal 6 2 2 21 2 2 4" xfId="50395" xr:uid="{00000000-0005-0000-0000-0000EE910000}"/>
    <cellStyle name="Normal 6 2 2 21 2 3" xfId="17698" xr:uid="{00000000-0005-0000-0000-0000EF910000}"/>
    <cellStyle name="Normal 6 2 2 21 2 3 2" xfId="31830" xr:uid="{00000000-0005-0000-0000-0000F0910000}"/>
    <cellStyle name="Normal 6 2 2 21 2 3 3" xfId="45725" xr:uid="{00000000-0005-0000-0000-0000F1910000}"/>
    <cellStyle name="Normal 6 2 2 21 2 4" xfId="22511" xr:uid="{00000000-0005-0000-0000-0000F2910000}"/>
    <cellStyle name="Normal 6 2 2 21 2 5" xfId="41143" xr:uid="{00000000-0005-0000-0000-0000F3910000}"/>
    <cellStyle name="Normal 6 2 2 21 3" xfId="12966" xr:uid="{00000000-0005-0000-0000-0000F4910000}"/>
    <cellStyle name="Normal 6 2 2 21 3 2" xfId="36451" xr:uid="{00000000-0005-0000-0000-0000F5910000}"/>
    <cellStyle name="Normal 6 2 2 21 3 3" xfId="27132" xr:uid="{00000000-0005-0000-0000-0000F6910000}"/>
    <cellStyle name="Normal 6 2 2 21 3 4" xfId="50394" xr:uid="{00000000-0005-0000-0000-0000F7910000}"/>
    <cellStyle name="Normal 6 2 2 21 4" xfId="17697" xr:uid="{00000000-0005-0000-0000-0000F8910000}"/>
    <cellStyle name="Normal 6 2 2 21 4 2" xfId="31829" xr:uid="{00000000-0005-0000-0000-0000F9910000}"/>
    <cellStyle name="Normal 6 2 2 21 4 3" xfId="45724" xr:uid="{00000000-0005-0000-0000-0000FA910000}"/>
    <cellStyle name="Normal 6 2 2 21 5" xfId="22510" xr:uid="{00000000-0005-0000-0000-0000FB910000}"/>
    <cellStyle name="Normal 6 2 2 21 6" xfId="41142" xr:uid="{00000000-0005-0000-0000-0000FC910000}"/>
    <cellStyle name="Normal 6 2 2 22" xfId="7187" xr:uid="{00000000-0005-0000-0000-0000FD910000}"/>
    <cellStyle name="Normal 6 2 2 22 2" xfId="7188" xr:uid="{00000000-0005-0000-0000-0000FE910000}"/>
    <cellStyle name="Normal 6 2 2 22 2 2" xfId="12969" xr:uid="{00000000-0005-0000-0000-0000FF910000}"/>
    <cellStyle name="Normal 6 2 2 22 2 2 2" xfId="36454" xr:uid="{00000000-0005-0000-0000-000000920000}"/>
    <cellStyle name="Normal 6 2 2 22 2 2 3" xfId="27135" xr:uid="{00000000-0005-0000-0000-000001920000}"/>
    <cellStyle name="Normal 6 2 2 22 2 2 4" xfId="50397" xr:uid="{00000000-0005-0000-0000-000002920000}"/>
    <cellStyle name="Normal 6 2 2 22 2 3" xfId="17700" xr:uid="{00000000-0005-0000-0000-000003920000}"/>
    <cellStyle name="Normal 6 2 2 22 2 3 2" xfId="31832" xr:uid="{00000000-0005-0000-0000-000004920000}"/>
    <cellStyle name="Normal 6 2 2 22 2 3 3" xfId="45727" xr:uid="{00000000-0005-0000-0000-000005920000}"/>
    <cellStyle name="Normal 6 2 2 22 2 4" xfId="22513" xr:uid="{00000000-0005-0000-0000-000006920000}"/>
    <cellStyle name="Normal 6 2 2 22 2 5" xfId="41145" xr:uid="{00000000-0005-0000-0000-000007920000}"/>
    <cellStyle name="Normal 6 2 2 22 3" xfId="12968" xr:uid="{00000000-0005-0000-0000-000008920000}"/>
    <cellStyle name="Normal 6 2 2 22 3 2" xfId="36453" xr:uid="{00000000-0005-0000-0000-000009920000}"/>
    <cellStyle name="Normal 6 2 2 22 3 3" xfId="27134" xr:uid="{00000000-0005-0000-0000-00000A920000}"/>
    <cellStyle name="Normal 6 2 2 22 3 4" xfId="50396" xr:uid="{00000000-0005-0000-0000-00000B920000}"/>
    <cellStyle name="Normal 6 2 2 22 4" xfId="17699" xr:uid="{00000000-0005-0000-0000-00000C920000}"/>
    <cellStyle name="Normal 6 2 2 22 4 2" xfId="31831" xr:uid="{00000000-0005-0000-0000-00000D920000}"/>
    <cellStyle name="Normal 6 2 2 22 4 3" xfId="45726" xr:uid="{00000000-0005-0000-0000-00000E920000}"/>
    <cellStyle name="Normal 6 2 2 22 5" xfId="22512" xr:uid="{00000000-0005-0000-0000-00000F920000}"/>
    <cellStyle name="Normal 6 2 2 22 6" xfId="41144" xr:uid="{00000000-0005-0000-0000-000010920000}"/>
    <cellStyle name="Normal 6 2 2 23" xfId="7189" xr:uid="{00000000-0005-0000-0000-000011920000}"/>
    <cellStyle name="Normal 6 2 2 23 2" xfId="7190" xr:uid="{00000000-0005-0000-0000-000012920000}"/>
    <cellStyle name="Normal 6 2 2 23 2 2" xfId="12971" xr:uid="{00000000-0005-0000-0000-000013920000}"/>
    <cellStyle name="Normal 6 2 2 23 2 2 2" xfId="36456" xr:uid="{00000000-0005-0000-0000-000014920000}"/>
    <cellStyle name="Normal 6 2 2 23 2 2 3" xfId="27137" xr:uid="{00000000-0005-0000-0000-000015920000}"/>
    <cellStyle name="Normal 6 2 2 23 2 2 4" xfId="50399" xr:uid="{00000000-0005-0000-0000-000016920000}"/>
    <cellStyle name="Normal 6 2 2 23 2 3" xfId="17702" xr:uid="{00000000-0005-0000-0000-000017920000}"/>
    <cellStyle name="Normal 6 2 2 23 2 3 2" xfId="31834" xr:uid="{00000000-0005-0000-0000-000018920000}"/>
    <cellStyle name="Normal 6 2 2 23 2 3 3" xfId="45729" xr:uid="{00000000-0005-0000-0000-000019920000}"/>
    <cellStyle name="Normal 6 2 2 23 2 4" xfId="22515" xr:uid="{00000000-0005-0000-0000-00001A920000}"/>
    <cellStyle name="Normal 6 2 2 23 2 5" xfId="41147" xr:uid="{00000000-0005-0000-0000-00001B920000}"/>
    <cellStyle name="Normal 6 2 2 23 3" xfId="12970" xr:uid="{00000000-0005-0000-0000-00001C920000}"/>
    <cellStyle name="Normal 6 2 2 23 3 2" xfId="36455" xr:uid="{00000000-0005-0000-0000-00001D920000}"/>
    <cellStyle name="Normal 6 2 2 23 3 3" xfId="27136" xr:uid="{00000000-0005-0000-0000-00001E920000}"/>
    <cellStyle name="Normal 6 2 2 23 3 4" xfId="50398" xr:uid="{00000000-0005-0000-0000-00001F920000}"/>
    <cellStyle name="Normal 6 2 2 23 4" xfId="17701" xr:uid="{00000000-0005-0000-0000-000020920000}"/>
    <cellStyle name="Normal 6 2 2 23 4 2" xfId="31833" xr:uid="{00000000-0005-0000-0000-000021920000}"/>
    <cellStyle name="Normal 6 2 2 23 4 3" xfId="45728" xr:uid="{00000000-0005-0000-0000-000022920000}"/>
    <cellStyle name="Normal 6 2 2 23 5" xfId="22514" xr:uid="{00000000-0005-0000-0000-000023920000}"/>
    <cellStyle name="Normal 6 2 2 23 6" xfId="41146" xr:uid="{00000000-0005-0000-0000-000024920000}"/>
    <cellStyle name="Normal 6 2 2 24" xfId="7191" xr:uid="{00000000-0005-0000-0000-000025920000}"/>
    <cellStyle name="Normal 6 2 2 24 2" xfId="7192" xr:uid="{00000000-0005-0000-0000-000026920000}"/>
    <cellStyle name="Normal 6 2 2 24 2 2" xfId="12973" xr:uid="{00000000-0005-0000-0000-000027920000}"/>
    <cellStyle name="Normal 6 2 2 24 2 2 2" xfId="36458" xr:uid="{00000000-0005-0000-0000-000028920000}"/>
    <cellStyle name="Normal 6 2 2 24 2 2 3" xfId="27139" xr:uid="{00000000-0005-0000-0000-000029920000}"/>
    <cellStyle name="Normal 6 2 2 24 2 2 4" xfId="50401" xr:uid="{00000000-0005-0000-0000-00002A920000}"/>
    <cellStyle name="Normal 6 2 2 24 2 3" xfId="17704" xr:uid="{00000000-0005-0000-0000-00002B920000}"/>
    <cellStyle name="Normal 6 2 2 24 2 3 2" xfId="31836" xr:uid="{00000000-0005-0000-0000-00002C920000}"/>
    <cellStyle name="Normal 6 2 2 24 2 3 3" xfId="45731" xr:uid="{00000000-0005-0000-0000-00002D920000}"/>
    <cellStyle name="Normal 6 2 2 24 2 4" xfId="22517" xr:uid="{00000000-0005-0000-0000-00002E920000}"/>
    <cellStyle name="Normal 6 2 2 24 2 5" xfId="41149" xr:uid="{00000000-0005-0000-0000-00002F920000}"/>
    <cellStyle name="Normal 6 2 2 24 3" xfId="12972" xr:uid="{00000000-0005-0000-0000-000030920000}"/>
    <cellStyle name="Normal 6 2 2 24 3 2" xfId="36457" xr:uid="{00000000-0005-0000-0000-000031920000}"/>
    <cellStyle name="Normal 6 2 2 24 3 3" xfId="27138" xr:uid="{00000000-0005-0000-0000-000032920000}"/>
    <cellStyle name="Normal 6 2 2 24 3 4" xfId="50400" xr:uid="{00000000-0005-0000-0000-000033920000}"/>
    <cellStyle name="Normal 6 2 2 24 4" xfId="17703" xr:uid="{00000000-0005-0000-0000-000034920000}"/>
    <cellStyle name="Normal 6 2 2 24 4 2" xfId="31835" xr:uid="{00000000-0005-0000-0000-000035920000}"/>
    <cellStyle name="Normal 6 2 2 24 4 3" xfId="45730" xr:uid="{00000000-0005-0000-0000-000036920000}"/>
    <cellStyle name="Normal 6 2 2 24 5" xfId="22516" xr:uid="{00000000-0005-0000-0000-000037920000}"/>
    <cellStyle name="Normal 6 2 2 24 6" xfId="41148" xr:uid="{00000000-0005-0000-0000-000038920000}"/>
    <cellStyle name="Normal 6 2 2 25" xfId="7193" xr:uid="{00000000-0005-0000-0000-000039920000}"/>
    <cellStyle name="Normal 6 2 2 25 2" xfId="7194" xr:uid="{00000000-0005-0000-0000-00003A920000}"/>
    <cellStyle name="Normal 6 2 2 25 2 2" xfId="12975" xr:uid="{00000000-0005-0000-0000-00003B920000}"/>
    <cellStyle name="Normal 6 2 2 25 2 2 2" xfId="36460" xr:uid="{00000000-0005-0000-0000-00003C920000}"/>
    <cellStyle name="Normal 6 2 2 25 2 2 3" xfId="27141" xr:uid="{00000000-0005-0000-0000-00003D920000}"/>
    <cellStyle name="Normal 6 2 2 25 2 2 4" xfId="50403" xr:uid="{00000000-0005-0000-0000-00003E920000}"/>
    <cellStyle name="Normal 6 2 2 25 2 3" xfId="17706" xr:uid="{00000000-0005-0000-0000-00003F920000}"/>
    <cellStyle name="Normal 6 2 2 25 2 3 2" xfId="31838" xr:uid="{00000000-0005-0000-0000-000040920000}"/>
    <cellStyle name="Normal 6 2 2 25 2 3 3" xfId="45733" xr:uid="{00000000-0005-0000-0000-000041920000}"/>
    <cellStyle name="Normal 6 2 2 25 2 4" xfId="22519" xr:uid="{00000000-0005-0000-0000-000042920000}"/>
    <cellStyle name="Normal 6 2 2 25 2 5" xfId="41151" xr:uid="{00000000-0005-0000-0000-000043920000}"/>
    <cellStyle name="Normal 6 2 2 25 3" xfId="12974" xr:uid="{00000000-0005-0000-0000-000044920000}"/>
    <cellStyle name="Normal 6 2 2 25 3 2" xfId="36459" xr:uid="{00000000-0005-0000-0000-000045920000}"/>
    <cellStyle name="Normal 6 2 2 25 3 3" xfId="27140" xr:uid="{00000000-0005-0000-0000-000046920000}"/>
    <cellStyle name="Normal 6 2 2 25 3 4" xfId="50402" xr:uid="{00000000-0005-0000-0000-000047920000}"/>
    <cellStyle name="Normal 6 2 2 25 4" xfId="17705" xr:uid="{00000000-0005-0000-0000-000048920000}"/>
    <cellStyle name="Normal 6 2 2 25 4 2" xfId="31837" xr:uid="{00000000-0005-0000-0000-000049920000}"/>
    <cellStyle name="Normal 6 2 2 25 4 3" xfId="45732" xr:uid="{00000000-0005-0000-0000-00004A920000}"/>
    <cellStyle name="Normal 6 2 2 25 5" xfId="22518" xr:uid="{00000000-0005-0000-0000-00004B920000}"/>
    <cellStyle name="Normal 6 2 2 25 6" xfId="41150" xr:uid="{00000000-0005-0000-0000-00004C920000}"/>
    <cellStyle name="Normal 6 2 2 26" xfId="7195" xr:uid="{00000000-0005-0000-0000-00004D920000}"/>
    <cellStyle name="Normal 6 2 2 26 2" xfId="7196" xr:uid="{00000000-0005-0000-0000-00004E920000}"/>
    <cellStyle name="Normal 6 2 2 26 2 2" xfId="12977" xr:uid="{00000000-0005-0000-0000-00004F920000}"/>
    <cellStyle name="Normal 6 2 2 26 2 2 2" xfId="36462" xr:uid="{00000000-0005-0000-0000-000050920000}"/>
    <cellStyle name="Normal 6 2 2 26 2 2 3" xfId="27143" xr:uid="{00000000-0005-0000-0000-000051920000}"/>
    <cellStyle name="Normal 6 2 2 26 2 2 4" xfId="50405" xr:uid="{00000000-0005-0000-0000-000052920000}"/>
    <cellStyle name="Normal 6 2 2 26 2 3" xfId="17708" xr:uid="{00000000-0005-0000-0000-000053920000}"/>
    <cellStyle name="Normal 6 2 2 26 2 3 2" xfId="31840" xr:uid="{00000000-0005-0000-0000-000054920000}"/>
    <cellStyle name="Normal 6 2 2 26 2 3 3" xfId="45735" xr:uid="{00000000-0005-0000-0000-000055920000}"/>
    <cellStyle name="Normal 6 2 2 26 2 4" xfId="22521" xr:uid="{00000000-0005-0000-0000-000056920000}"/>
    <cellStyle name="Normal 6 2 2 26 2 5" xfId="41153" xr:uid="{00000000-0005-0000-0000-000057920000}"/>
    <cellStyle name="Normal 6 2 2 26 3" xfId="12976" xr:uid="{00000000-0005-0000-0000-000058920000}"/>
    <cellStyle name="Normal 6 2 2 26 3 2" xfId="36461" xr:uid="{00000000-0005-0000-0000-000059920000}"/>
    <cellStyle name="Normal 6 2 2 26 3 3" xfId="27142" xr:uid="{00000000-0005-0000-0000-00005A920000}"/>
    <cellStyle name="Normal 6 2 2 26 3 4" xfId="50404" xr:uid="{00000000-0005-0000-0000-00005B920000}"/>
    <cellStyle name="Normal 6 2 2 26 4" xfId="17707" xr:uid="{00000000-0005-0000-0000-00005C920000}"/>
    <cellStyle name="Normal 6 2 2 26 4 2" xfId="31839" xr:uid="{00000000-0005-0000-0000-00005D920000}"/>
    <cellStyle name="Normal 6 2 2 26 4 3" xfId="45734" xr:uid="{00000000-0005-0000-0000-00005E920000}"/>
    <cellStyle name="Normal 6 2 2 26 5" xfId="22520" xr:uid="{00000000-0005-0000-0000-00005F920000}"/>
    <cellStyle name="Normal 6 2 2 26 6" xfId="41152" xr:uid="{00000000-0005-0000-0000-000060920000}"/>
    <cellStyle name="Normal 6 2 2 27" xfId="7197" xr:uid="{00000000-0005-0000-0000-000061920000}"/>
    <cellStyle name="Normal 6 2 2 27 2" xfId="7198" xr:uid="{00000000-0005-0000-0000-000062920000}"/>
    <cellStyle name="Normal 6 2 2 27 2 2" xfId="12979" xr:uid="{00000000-0005-0000-0000-000063920000}"/>
    <cellStyle name="Normal 6 2 2 27 2 2 2" xfId="36464" xr:uid="{00000000-0005-0000-0000-000064920000}"/>
    <cellStyle name="Normal 6 2 2 27 2 2 3" xfId="27145" xr:uid="{00000000-0005-0000-0000-000065920000}"/>
    <cellStyle name="Normal 6 2 2 27 2 2 4" xfId="50407" xr:uid="{00000000-0005-0000-0000-000066920000}"/>
    <cellStyle name="Normal 6 2 2 27 2 3" xfId="17710" xr:uid="{00000000-0005-0000-0000-000067920000}"/>
    <cellStyle name="Normal 6 2 2 27 2 3 2" xfId="31842" xr:uid="{00000000-0005-0000-0000-000068920000}"/>
    <cellStyle name="Normal 6 2 2 27 2 3 3" xfId="45737" xr:uid="{00000000-0005-0000-0000-000069920000}"/>
    <cellStyle name="Normal 6 2 2 27 2 4" xfId="22523" xr:uid="{00000000-0005-0000-0000-00006A920000}"/>
    <cellStyle name="Normal 6 2 2 27 2 5" xfId="41155" xr:uid="{00000000-0005-0000-0000-00006B920000}"/>
    <cellStyle name="Normal 6 2 2 27 3" xfId="12978" xr:uid="{00000000-0005-0000-0000-00006C920000}"/>
    <cellStyle name="Normal 6 2 2 27 3 2" xfId="36463" xr:uid="{00000000-0005-0000-0000-00006D920000}"/>
    <cellStyle name="Normal 6 2 2 27 3 3" xfId="27144" xr:uid="{00000000-0005-0000-0000-00006E920000}"/>
    <cellStyle name="Normal 6 2 2 27 3 4" xfId="50406" xr:uid="{00000000-0005-0000-0000-00006F920000}"/>
    <cellStyle name="Normal 6 2 2 27 4" xfId="17709" xr:uid="{00000000-0005-0000-0000-000070920000}"/>
    <cellStyle name="Normal 6 2 2 27 4 2" xfId="31841" xr:uid="{00000000-0005-0000-0000-000071920000}"/>
    <cellStyle name="Normal 6 2 2 27 4 3" xfId="45736" xr:uid="{00000000-0005-0000-0000-000072920000}"/>
    <cellStyle name="Normal 6 2 2 27 5" xfId="22522" xr:uid="{00000000-0005-0000-0000-000073920000}"/>
    <cellStyle name="Normal 6 2 2 27 6" xfId="41154" xr:uid="{00000000-0005-0000-0000-000074920000}"/>
    <cellStyle name="Normal 6 2 2 28" xfId="7199" xr:uid="{00000000-0005-0000-0000-000075920000}"/>
    <cellStyle name="Normal 6 2 2 28 2" xfId="7200" xr:uid="{00000000-0005-0000-0000-000076920000}"/>
    <cellStyle name="Normal 6 2 2 28 2 2" xfId="12981" xr:uid="{00000000-0005-0000-0000-000077920000}"/>
    <cellStyle name="Normal 6 2 2 28 2 2 2" xfId="36466" xr:uid="{00000000-0005-0000-0000-000078920000}"/>
    <cellStyle name="Normal 6 2 2 28 2 2 3" xfId="27147" xr:uid="{00000000-0005-0000-0000-000079920000}"/>
    <cellStyle name="Normal 6 2 2 28 2 2 4" xfId="50409" xr:uid="{00000000-0005-0000-0000-00007A920000}"/>
    <cellStyle name="Normal 6 2 2 28 2 3" xfId="17712" xr:uid="{00000000-0005-0000-0000-00007B920000}"/>
    <cellStyle name="Normal 6 2 2 28 2 3 2" xfId="31844" xr:uid="{00000000-0005-0000-0000-00007C920000}"/>
    <cellStyle name="Normal 6 2 2 28 2 3 3" xfId="45739" xr:uid="{00000000-0005-0000-0000-00007D920000}"/>
    <cellStyle name="Normal 6 2 2 28 2 4" xfId="22525" xr:uid="{00000000-0005-0000-0000-00007E920000}"/>
    <cellStyle name="Normal 6 2 2 28 2 5" xfId="41157" xr:uid="{00000000-0005-0000-0000-00007F920000}"/>
    <cellStyle name="Normal 6 2 2 28 3" xfId="12980" xr:uid="{00000000-0005-0000-0000-000080920000}"/>
    <cellStyle name="Normal 6 2 2 28 3 2" xfId="36465" xr:uid="{00000000-0005-0000-0000-000081920000}"/>
    <cellStyle name="Normal 6 2 2 28 3 3" xfId="27146" xr:uid="{00000000-0005-0000-0000-000082920000}"/>
    <cellStyle name="Normal 6 2 2 28 3 4" xfId="50408" xr:uid="{00000000-0005-0000-0000-000083920000}"/>
    <cellStyle name="Normal 6 2 2 28 4" xfId="17711" xr:uid="{00000000-0005-0000-0000-000084920000}"/>
    <cellStyle name="Normal 6 2 2 28 4 2" xfId="31843" xr:uid="{00000000-0005-0000-0000-000085920000}"/>
    <cellStyle name="Normal 6 2 2 28 4 3" xfId="45738" xr:uid="{00000000-0005-0000-0000-000086920000}"/>
    <cellStyle name="Normal 6 2 2 28 5" xfId="22524" xr:uid="{00000000-0005-0000-0000-000087920000}"/>
    <cellStyle name="Normal 6 2 2 28 6" xfId="41156" xr:uid="{00000000-0005-0000-0000-000088920000}"/>
    <cellStyle name="Normal 6 2 2 29" xfId="7201" xr:uid="{00000000-0005-0000-0000-000089920000}"/>
    <cellStyle name="Normal 6 2 2 29 2" xfId="7202" xr:uid="{00000000-0005-0000-0000-00008A920000}"/>
    <cellStyle name="Normal 6 2 2 29 2 2" xfId="12983" xr:uid="{00000000-0005-0000-0000-00008B920000}"/>
    <cellStyle name="Normal 6 2 2 29 2 2 2" xfId="36468" xr:uid="{00000000-0005-0000-0000-00008C920000}"/>
    <cellStyle name="Normal 6 2 2 29 2 2 3" xfId="27149" xr:uid="{00000000-0005-0000-0000-00008D920000}"/>
    <cellStyle name="Normal 6 2 2 29 2 2 4" xfId="50411" xr:uid="{00000000-0005-0000-0000-00008E920000}"/>
    <cellStyle name="Normal 6 2 2 29 2 3" xfId="17714" xr:uid="{00000000-0005-0000-0000-00008F920000}"/>
    <cellStyle name="Normal 6 2 2 29 2 3 2" xfId="31846" xr:uid="{00000000-0005-0000-0000-000090920000}"/>
    <cellStyle name="Normal 6 2 2 29 2 3 3" xfId="45741" xr:uid="{00000000-0005-0000-0000-000091920000}"/>
    <cellStyle name="Normal 6 2 2 29 2 4" xfId="22527" xr:uid="{00000000-0005-0000-0000-000092920000}"/>
    <cellStyle name="Normal 6 2 2 29 2 5" xfId="41159" xr:uid="{00000000-0005-0000-0000-000093920000}"/>
    <cellStyle name="Normal 6 2 2 29 3" xfId="12982" xr:uid="{00000000-0005-0000-0000-000094920000}"/>
    <cellStyle name="Normal 6 2 2 29 3 2" xfId="36467" xr:uid="{00000000-0005-0000-0000-000095920000}"/>
    <cellStyle name="Normal 6 2 2 29 3 3" xfId="27148" xr:uid="{00000000-0005-0000-0000-000096920000}"/>
    <cellStyle name="Normal 6 2 2 29 3 4" xfId="50410" xr:uid="{00000000-0005-0000-0000-000097920000}"/>
    <cellStyle name="Normal 6 2 2 29 4" xfId="17713" xr:uid="{00000000-0005-0000-0000-000098920000}"/>
    <cellStyle name="Normal 6 2 2 29 4 2" xfId="31845" xr:uid="{00000000-0005-0000-0000-000099920000}"/>
    <cellStyle name="Normal 6 2 2 29 4 3" xfId="45740" xr:uid="{00000000-0005-0000-0000-00009A920000}"/>
    <cellStyle name="Normal 6 2 2 29 5" xfId="22526" xr:uid="{00000000-0005-0000-0000-00009B920000}"/>
    <cellStyle name="Normal 6 2 2 29 6" xfId="41158" xr:uid="{00000000-0005-0000-0000-00009C920000}"/>
    <cellStyle name="Normal 6 2 2 3" xfId="7203" xr:uid="{00000000-0005-0000-0000-00009D920000}"/>
    <cellStyle name="Normal 6 2 2 3 10" xfId="7204" xr:uid="{00000000-0005-0000-0000-00009E920000}"/>
    <cellStyle name="Normal 6 2 2 3 10 2" xfId="7205" xr:uid="{00000000-0005-0000-0000-00009F920000}"/>
    <cellStyle name="Normal 6 2 2 3 10 2 2" xfId="12986" xr:uid="{00000000-0005-0000-0000-0000A0920000}"/>
    <cellStyle name="Normal 6 2 2 3 10 2 2 2" xfId="36471" xr:uid="{00000000-0005-0000-0000-0000A1920000}"/>
    <cellStyle name="Normal 6 2 2 3 10 2 2 3" xfId="27152" xr:uid="{00000000-0005-0000-0000-0000A2920000}"/>
    <cellStyle name="Normal 6 2 2 3 10 2 2 4" xfId="50414" xr:uid="{00000000-0005-0000-0000-0000A3920000}"/>
    <cellStyle name="Normal 6 2 2 3 10 2 3" xfId="17717" xr:uid="{00000000-0005-0000-0000-0000A4920000}"/>
    <cellStyle name="Normal 6 2 2 3 10 2 3 2" xfId="31849" xr:uid="{00000000-0005-0000-0000-0000A5920000}"/>
    <cellStyle name="Normal 6 2 2 3 10 2 3 3" xfId="45744" xr:uid="{00000000-0005-0000-0000-0000A6920000}"/>
    <cellStyle name="Normal 6 2 2 3 10 2 4" xfId="22530" xr:uid="{00000000-0005-0000-0000-0000A7920000}"/>
    <cellStyle name="Normal 6 2 2 3 10 2 5" xfId="41162" xr:uid="{00000000-0005-0000-0000-0000A8920000}"/>
    <cellStyle name="Normal 6 2 2 3 10 3" xfId="12985" xr:uid="{00000000-0005-0000-0000-0000A9920000}"/>
    <cellStyle name="Normal 6 2 2 3 10 3 2" xfId="36470" xr:uid="{00000000-0005-0000-0000-0000AA920000}"/>
    <cellStyle name="Normal 6 2 2 3 10 3 3" xfId="27151" xr:uid="{00000000-0005-0000-0000-0000AB920000}"/>
    <cellStyle name="Normal 6 2 2 3 10 3 4" xfId="50413" xr:uid="{00000000-0005-0000-0000-0000AC920000}"/>
    <cellStyle name="Normal 6 2 2 3 10 4" xfId="17716" xr:uid="{00000000-0005-0000-0000-0000AD920000}"/>
    <cellStyle name="Normal 6 2 2 3 10 4 2" xfId="31848" xr:uid="{00000000-0005-0000-0000-0000AE920000}"/>
    <cellStyle name="Normal 6 2 2 3 10 4 3" xfId="45743" xr:uid="{00000000-0005-0000-0000-0000AF920000}"/>
    <cellStyle name="Normal 6 2 2 3 10 5" xfId="22529" xr:uid="{00000000-0005-0000-0000-0000B0920000}"/>
    <cellStyle name="Normal 6 2 2 3 10 6" xfId="41161" xr:uid="{00000000-0005-0000-0000-0000B1920000}"/>
    <cellStyle name="Normal 6 2 2 3 11" xfId="7206" xr:uid="{00000000-0005-0000-0000-0000B2920000}"/>
    <cellStyle name="Normal 6 2 2 3 11 2" xfId="12987" xr:uid="{00000000-0005-0000-0000-0000B3920000}"/>
    <cellStyle name="Normal 6 2 2 3 11 2 2" xfId="36472" xr:uid="{00000000-0005-0000-0000-0000B4920000}"/>
    <cellStyle name="Normal 6 2 2 3 11 2 3" xfId="27153" xr:uid="{00000000-0005-0000-0000-0000B5920000}"/>
    <cellStyle name="Normal 6 2 2 3 11 2 4" xfId="50415" xr:uid="{00000000-0005-0000-0000-0000B6920000}"/>
    <cellStyle name="Normal 6 2 2 3 11 3" xfId="17718" xr:uid="{00000000-0005-0000-0000-0000B7920000}"/>
    <cellStyle name="Normal 6 2 2 3 11 3 2" xfId="31850" xr:uid="{00000000-0005-0000-0000-0000B8920000}"/>
    <cellStyle name="Normal 6 2 2 3 11 3 3" xfId="45745" xr:uid="{00000000-0005-0000-0000-0000B9920000}"/>
    <cellStyle name="Normal 6 2 2 3 11 4" xfId="22531" xr:uid="{00000000-0005-0000-0000-0000BA920000}"/>
    <cellStyle name="Normal 6 2 2 3 11 5" xfId="41163" xr:uid="{00000000-0005-0000-0000-0000BB920000}"/>
    <cellStyle name="Normal 6 2 2 3 12" xfId="12984" xr:uid="{00000000-0005-0000-0000-0000BC920000}"/>
    <cellStyle name="Normal 6 2 2 3 12 2" xfId="36469" xr:uid="{00000000-0005-0000-0000-0000BD920000}"/>
    <cellStyle name="Normal 6 2 2 3 12 3" xfId="27150" xr:uid="{00000000-0005-0000-0000-0000BE920000}"/>
    <cellStyle name="Normal 6 2 2 3 12 4" xfId="50412" xr:uid="{00000000-0005-0000-0000-0000BF920000}"/>
    <cellStyle name="Normal 6 2 2 3 13" xfId="17715" xr:uid="{00000000-0005-0000-0000-0000C0920000}"/>
    <cellStyle name="Normal 6 2 2 3 13 2" xfId="31847" xr:uid="{00000000-0005-0000-0000-0000C1920000}"/>
    <cellStyle name="Normal 6 2 2 3 13 3" xfId="45742" xr:uid="{00000000-0005-0000-0000-0000C2920000}"/>
    <cellStyle name="Normal 6 2 2 3 14" xfId="22528" xr:uid="{00000000-0005-0000-0000-0000C3920000}"/>
    <cellStyle name="Normal 6 2 2 3 15" xfId="41160" xr:uid="{00000000-0005-0000-0000-0000C4920000}"/>
    <cellStyle name="Normal 6 2 2 3 2" xfId="7207" xr:uid="{00000000-0005-0000-0000-0000C5920000}"/>
    <cellStyle name="Normal 6 2 2 3 2 2" xfId="7208" xr:uid="{00000000-0005-0000-0000-0000C6920000}"/>
    <cellStyle name="Normal 6 2 2 3 2 2 2" xfId="12989" xr:uid="{00000000-0005-0000-0000-0000C7920000}"/>
    <cellStyle name="Normal 6 2 2 3 2 2 2 2" xfId="36474" xr:uid="{00000000-0005-0000-0000-0000C8920000}"/>
    <cellStyle name="Normal 6 2 2 3 2 2 2 3" xfId="27155" xr:uid="{00000000-0005-0000-0000-0000C9920000}"/>
    <cellStyle name="Normal 6 2 2 3 2 2 2 4" xfId="50417" xr:uid="{00000000-0005-0000-0000-0000CA920000}"/>
    <cellStyle name="Normal 6 2 2 3 2 2 3" xfId="17720" xr:uid="{00000000-0005-0000-0000-0000CB920000}"/>
    <cellStyle name="Normal 6 2 2 3 2 2 3 2" xfId="31852" xr:uid="{00000000-0005-0000-0000-0000CC920000}"/>
    <cellStyle name="Normal 6 2 2 3 2 2 3 3" xfId="45747" xr:uid="{00000000-0005-0000-0000-0000CD920000}"/>
    <cellStyle name="Normal 6 2 2 3 2 2 4" xfId="22533" xr:uid="{00000000-0005-0000-0000-0000CE920000}"/>
    <cellStyle name="Normal 6 2 2 3 2 2 5" xfId="41165" xr:uid="{00000000-0005-0000-0000-0000CF920000}"/>
    <cellStyle name="Normal 6 2 2 3 2 3" xfId="12988" xr:uid="{00000000-0005-0000-0000-0000D0920000}"/>
    <cellStyle name="Normal 6 2 2 3 2 3 2" xfId="36473" xr:uid="{00000000-0005-0000-0000-0000D1920000}"/>
    <cellStyle name="Normal 6 2 2 3 2 3 3" xfId="27154" xr:uid="{00000000-0005-0000-0000-0000D2920000}"/>
    <cellStyle name="Normal 6 2 2 3 2 3 4" xfId="50416" xr:uid="{00000000-0005-0000-0000-0000D3920000}"/>
    <cellStyle name="Normal 6 2 2 3 2 4" xfId="17719" xr:uid="{00000000-0005-0000-0000-0000D4920000}"/>
    <cellStyle name="Normal 6 2 2 3 2 4 2" xfId="31851" xr:uid="{00000000-0005-0000-0000-0000D5920000}"/>
    <cellStyle name="Normal 6 2 2 3 2 4 3" xfId="45746" xr:uid="{00000000-0005-0000-0000-0000D6920000}"/>
    <cellStyle name="Normal 6 2 2 3 2 5" xfId="22532" xr:uid="{00000000-0005-0000-0000-0000D7920000}"/>
    <cellStyle name="Normal 6 2 2 3 2 6" xfId="41164" xr:uid="{00000000-0005-0000-0000-0000D8920000}"/>
    <cellStyle name="Normal 6 2 2 3 3" xfId="7209" xr:uid="{00000000-0005-0000-0000-0000D9920000}"/>
    <cellStyle name="Normal 6 2 2 3 3 2" xfId="7210" xr:uid="{00000000-0005-0000-0000-0000DA920000}"/>
    <cellStyle name="Normal 6 2 2 3 3 2 2" xfId="12991" xr:uid="{00000000-0005-0000-0000-0000DB920000}"/>
    <cellStyle name="Normal 6 2 2 3 3 2 2 2" xfId="36476" xr:uid="{00000000-0005-0000-0000-0000DC920000}"/>
    <cellStyle name="Normal 6 2 2 3 3 2 2 3" xfId="27157" xr:uid="{00000000-0005-0000-0000-0000DD920000}"/>
    <cellStyle name="Normal 6 2 2 3 3 2 2 4" xfId="50419" xr:uid="{00000000-0005-0000-0000-0000DE920000}"/>
    <cellStyle name="Normal 6 2 2 3 3 2 3" xfId="17722" xr:uid="{00000000-0005-0000-0000-0000DF920000}"/>
    <cellStyle name="Normal 6 2 2 3 3 2 3 2" xfId="31854" xr:uid="{00000000-0005-0000-0000-0000E0920000}"/>
    <cellStyle name="Normal 6 2 2 3 3 2 3 3" xfId="45749" xr:uid="{00000000-0005-0000-0000-0000E1920000}"/>
    <cellStyle name="Normal 6 2 2 3 3 2 4" xfId="22535" xr:uid="{00000000-0005-0000-0000-0000E2920000}"/>
    <cellStyle name="Normal 6 2 2 3 3 2 5" xfId="41167" xr:uid="{00000000-0005-0000-0000-0000E3920000}"/>
    <cellStyle name="Normal 6 2 2 3 3 3" xfId="12990" xr:uid="{00000000-0005-0000-0000-0000E4920000}"/>
    <cellStyle name="Normal 6 2 2 3 3 3 2" xfId="36475" xr:uid="{00000000-0005-0000-0000-0000E5920000}"/>
    <cellStyle name="Normal 6 2 2 3 3 3 3" xfId="27156" xr:uid="{00000000-0005-0000-0000-0000E6920000}"/>
    <cellStyle name="Normal 6 2 2 3 3 3 4" xfId="50418" xr:uid="{00000000-0005-0000-0000-0000E7920000}"/>
    <cellStyle name="Normal 6 2 2 3 3 4" xfId="17721" xr:uid="{00000000-0005-0000-0000-0000E8920000}"/>
    <cellStyle name="Normal 6 2 2 3 3 4 2" xfId="31853" xr:uid="{00000000-0005-0000-0000-0000E9920000}"/>
    <cellStyle name="Normal 6 2 2 3 3 4 3" xfId="45748" xr:uid="{00000000-0005-0000-0000-0000EA920000}"/>
    <cellStyle name="Normal 6 2 2 3 3 5" xfId="22534" xr:uid="{00000000-0005-0000-0000-0000EB920000}"/>
    <cellStyle name="Normal 6 2 2 3 3 6" xfId="41166" xr:uid="{00000000-0005-0000-0000-0000EC920000}"/>
    <cellStyle name="Normal 6 2 2 3 4" xfId="7211" xr:uid="{00000000-0005-0000-0000-0000ED920000}"/>
    <cellStyle name="Normal 6 2 2 3 4 2" xfId="7212" xr:uid="{00000000-0005-0000-0000-0000EE920000}"/>
    <cellStyle name="Normal 6 2 2 3 4 2 2" xfId="12993" xr:uid="{00000000-0005-0000-0000-0000EF920000}"/>
    <cellStyle name="Normal 6 2 2 3 4 2 2 2" xfId="36478" xr:uid="{00000000-0005-0000-0000-0000F0920000}"/>
    <cellStyle name="Normal 6 2 2 3 4 2 2 3" xfId="27159" xr:uid="{00000000-0005-0000-0000-0000F1920000}"/>
    <cellStyle name="Normal 6 2 2 3 4 2 2 4" xfId="50421" xr:uid="{00000000-0005-0000-0000-0000F2920000}"/>
    <cellStyle name="Normal 6 2 2 3 4 2 3" xfId="17724" xr:uid="{00000000-0005-0000-0000-0000F3920000}"/>
    <cellStyle name="Normal 6 2 2 3 4 2 3 2" xfId="31856" xr:uid="{00000000-0005-0000-0000-0000F4920000}"/>
    <cellStyle name="Normal 6 2 2 3 4 2 3 3" xfId="45751" xr:uid="{00000000-0005-0000-0000-0000F5920000}"/>
    <cellStyle name="Normal 6 2 2 3 4 2 4" xfId="22537" xr:uid="{00000000-0005-0000-0000-0000F6920000}"/>
    <cellStyle name="Normal 6 2 2 3 4 2 5" xfId="41169" xr:uid="{00000000-0005-0000-0000-0000F7920000}"/>
    <cellStyle name="Normal 6 2 2 3 4 3" xfId="12992" xr:uid="{00000000-0005-0000-0000-0000F8920000}"/>
    <cellStyle name="Normal 6 2 2 3 4 3 2" xfId="36477" xr:uid="{00000000-0005-0000-0000-0000F9920000}"/>
    <cellStyle name="Normal 6 2 2 3 4 3 3" xfId="27158" xr:uid="{00000000-0005-0000-0000-0000FA920000}"/>
    <cellStyle name="Normal 6 2 2 3 4 3 4" xfId="50420" xr:uid="{00000000-0005-0000-0000-0000FB920000}"/>
    <cellStyle name="Normal 6 2 2 3 4 4" xfId="17723" xr:uid="{00000000-0005-0000-0000-0000FC920000}"/>
    <cellStyle name="Normal 6 2 2 3 4 4 2" xfId="31855" xr:uid="{00000000-0005-0000-0000-0000FD920000}"/>
    <cellStyle name="Normal 6 2 2 3 4 4 3" xfId="45750" xr:uid="{00000000-0005-0000-0000-0000FE920000}"/>
    <cellStyle name="Normal 6 2 2 3 4 5" xfId="22536" xr:uid="{00000000-0005-0000-0000-0000FF920000}"/>
    <cellStyle name="Normal 6 2 2 3 4 6" xfId="41168" xr:uid="{00000000-0005-0000-0000-000000930000}"/>
    <cellStyle name="Normal 6 2 2 3 5" xfId="7213" xr:uid="{00000000-0005-0000-0000-000001930000}"/>
    <cellStyle name="Normal 6 2 2 3 5 2" xfId="7214" xr:uid="{00000000-0005-0000-0000-000002930000}"/>
    <cellStyle name="Normal 6 2 2 3 5 2 2" xfId="12995" xr:uid="{00000000-0005-0000-0000-000003930000}"/>
    <cellStyle name="Normal 6 2 2 3 5 2 2 2" xfId="36480" xr:uid="{00000000-0005-0000-0000-000004930000}"/>
    <cellStyle name="Normal 6 2 2 3 5 2 2 3" xfId="27161" xr:uid="{00000000-0005-0000-0000-000005930000}"/>
    <cellStyle name="Normal 6 2 2 3 5 2 2 4" xfId="50423" xr:uid="{00000000-0005-0000-0000-000006930000}"/>
    <cellStyle name="Normal 6 2 2 3 5 2 3" xfId="17726" xr:uid="{00000000-0005-0000-0000-000007930000}"/>
    <cellStyle name="Normal 6 2 2 3 5 2 3 2" xfId="31858" xr:uid="{00000000-0005-0000-0000-000008930000}"/>
    <cellStyle name="Normal 6 2 2 3 5 2 3 3" xfId="45753" xr:uid="{00000000-0005-0000-0000-000009930000}"/>
    <cellStyle name="Normal 6 2 2 3 5 2 4" xfId="22539" xr:uid="{00000000-0005-0000-0000-00000A930000}"/>
    <cellStyle name="Normal 6 2 2 3 5 2 5" xfId="41171" xr:uid="{00000000-0005-0000-0000-00000B930000}"/>
    <cellStyle name="Normal 6 2 2 3 5 3" xfId="12994" xr:uid="{00000000-0005-0000-0000-00000C930000}"/>
    <cellStyle name="Normal 6 2 2 3 5 3 2" xfId="36479" xr:uid="{00000000-0005-0000-0000-00000D930000}"/>
    <cellStyle name="Normal 6 2 2 3 5 3 3" xfId="27160" xr:uid="{00000000-0005-0000-0000-00000E930000}"/>
    <cellStyle name="Normal 6 2 2 3 5 3 4" xfId="50422" xr:uid="{00000000-0005-0000-0000-00000F930000}"/>
    <cellStyle name="Normal 6 2 2 3 5 4" xfId="17725" xr:uid="{00000000-0005-0000-0000-000010930000}"/>
    <cellStyle name="Normal 6 2 2 3 5 4 2" xfId="31857" xr:uid="{00000000-0005-0000-0000-000011930000}"/>
    <cellStyle name="Normal 6 2 2 3 5 4 3" xfId="45752" xr:uid="{00000000-0005-0000-0000-000012930000}"/>
    <cellStyle name="Normal 6 2 2 3 5 5" xfId="22538" xr:uid="{00000000-0005-0000-0000-000013930000}"/>
    <cellStyle name="Normal 6 2 2 3 5 6" xfId="41170" xr:uid="{00000000-0005-0000-0000-000014930000}"/>
    <cellStyle name="Normal 6 2 2 3 6" xfId="7215" xr:uid="{00000000-0005-0000-0000-000015930000}"/>
    <cellStyle name="Normal 6 2 2 3 6 2" xfId="7216" xr:uid="{00000000-0005-0000-0000-000016930000}"/>
    <cellStyle name="Normal 6 2 2 3 6 2 2" xfId="12997" xr:uid="{00000000-0005-0000-0000-000017930000}"/>
    <cellStyle name="Normal 6 2 2 3 6 2 2 2" xfId="36482" xr:uid="{00000000-0005-0000-0000-000018930000}"/>
    <cellStyle name="Normal 6 2 2 3 6 2 2 3" xfId="27163" xr:uid="{00000000-0005-0000-0000-000019930000}"/>
    <cellStyle name="Normal 6 2 2 3 6 2 2 4" xfId="50425" xr:uid="{00000000-0005-0000-0000-00001A930000}"/>
    <cellStyle name="Normal 6 2 2 3 6 2 3" xfId="17728" xr:uid="{00000000-0005-0000-0000-00001B930000}"/>
    <cellStyle name="Normal 6 2 2 3 6 2 3 2" xfId="31860" xr:uid="{00000000-0005-0000-0000-00001C930000}"/>
    <cellStyle name="Normal 6 2 2 3 6 2 3 3" xfId="45755" xr:uid="{00000000-0005-0000-0000-00001D930000}"/>
    <cellStyle name="Normal 6 2 2 3 6 2 4" xfId="22541" xr:uid="{00000000-0005-0000-0000-00001E930000}"/>
    <cellStyle name="Normal 6 2 2 3 6 2 5" xfId="41173" xr:uid="{00000000-0005-0000-0000-00001F930000}"/>
    <cellStyle name="Normal 6 2 2 3 6 3" xfId="12996" xr:uid="{00000000-0005-0000-0000-000020930000}"/>
    <cellStyle name="Normal 6 2 2 3 6 3 2" xfId="36481" xr:uid="{00000000-0005-0000-0000-000021930000}"/>
    <cellStyle name="Normal 6 2 2 3 6 3 3" xfId="27162" xr:uid="{00000000-0005-0000-0000-000022930000}"/>
    <cellStyle name="Normal 6 2 2 3 6 3 4" xfId="50424" xr:uid="{00000000-0005-0000-0000-000023930000}"/>
    <cellStyle name="Normal 6 2 2 3 6 4" xfId="17727" xr:uid="{00000000-0005-0000-0000-000024930000}"/>
    <cellStyle name="Normal 6 2 2 3 6 4 2" xfId="31859" xr:uid="{00000000-0005-0000-0000-000025930000}"/>
    <cellStyle name="Normal 6 2 2 3 6 4 3" xfId="45754" xr:uid="{00000000-0005-0000-0000-000026930000}"/>
    <cellStyle name="Normal 6 2 2 3 6 5" xfId="22540" xr:uid="{00000000-0005-0000-0000-000027930000}"/>
    <cellStyle name="Normal 6 2 2 3 6 6" xfId="41172" xr:uid="{00000000-0005-0000-0000-000028930000}"/>
    <cellStyle name="Normal 6 2 2 3 7" xfId="7217" xr:uid="{00000000-0005-0000-0000-000029930000}"/>
    <cellStyle name="Normal 6 2 2 3 7 2" xfId="7218" xr:uid="{00000000-0005-0000-0000-00002A930000}"/>
    <cellStyle name="Normal 6 2 2 3 7 2 2" xfId="12999" xr:uid="{00000000-0005-0000-0000-00002B930000}"/>
    <cellStyle name="Normal 6 2 2 3 7 2 2 2" xfId="36484" xr:uid="{00000000-0005-0000-0000-00002C930000}"/>
    <cellStyle name="Normal 6 2 2 3 7 2 2 3" xfId="27165" xr:uid="{00000000-0005-0000-0000-00002D930000}"/>
    <cellStyle name="Normal 6 2 2 3 7 2 2 4" xfId="50427" xr:uid="{00000000-0005-0000-0000-00002E930000}"/>
    <cellStyle name="Normal 6 2 2 3 7 2 3" xfId="17730" xr:uid="{00000000-0005-0000-0000-00002F930000}"/>
    <cellStyle name="Normal 6 2 2 3 7 2 3 2" xfId="31862" xr:uid="{00000000-0005-0000-0000-000030930000}"/>
    <cellStyle name="Normal 6 2 2 3 7 2 3 3" xfId="45757" xr:uid="{00000000-0005-0000-0000-000031930000}"/>
    <cellStyle name="Normal 6 2 2 3 7 2 4" xfId="22543" xr:uid="{00000000-0005-0000-0000-000032930000}"/>
    <cellStyle name="Normal 6 2 2 3 7 2 5" xfId="41175" xr:uid="{00000000-0005-0000-0000-000033930000}"/>
    <cellStyle name="Normal 6 2 2 3 7 3" xfId="12998" xr:uid="{00000000-0005-0000-0000-000034930000}"/>
    <cellStyle name="Normal 6 2 2 3 7 3 2" xfId="36483" xr:uid="{00000000-0005-0000-0000-000035930000}"/>
    <cellStyle name="Normal 6 2 2 3 7 3 3" xfId="27164" xr:uid="{00000000-0005-0000-0000-000036930000}"/>
    <cellStyle name="Normal 6 2 2 3 7 3 4" xfId="50426" xr:uid="{00000000-0005-0000-0000-000037930000}"/>
    <cellStyle name="Normal 6 2 2 3 7 4" xfId="17729" xr:uid="{00000000-0005-0000-0000-000038930000}"/>
    <cellStyle name="Normal 6 2 2 3 7 4 2" xfId="31861" xr:uid="{00000000-0005-0000-0000-000039930000}"/>
    <cellStyle name="Normal 6 2 2 3 7 4 3" xfId="45756" xr:uid="{00000000-0005-0000-0000-00003A930000}"/>
    <cellStyle name="Normal 6 2 2 3 7 5" xfId="22542" xr:uid="{00000000-0005-0000-0000-00003B930000}"/>
    <cellStyle name="Normal 6 2 2 3 7 6" xfId="41174" xr:uid="{00000000-0005-0000-0000-00003C930000}"/>
    <cellStyle name="Normal 6 2 2 3 8" xfId="7219" xr:uid="{00000000-0005-0000-0000-00003D930000}"/>
    <cellStyle name="Normal 6 2 2 3 8 2" xfId="7220" xr:uid="{00000000-0005-0000-0000-00003E930000}"/>
    <cellStyle name="Normal 6 2 2 3 8 2 2" xfId="13001" xr:uid="{00000000-0005-0000-0000-00003F930000}"/>
    <cellStyle name="Normal 6 2 2 3 8 2 2 2" xfId="36486" xr:uid="{00000000-0005-0000-0000-000040930000}"/>
    <cellStyle name="Normal 6 2 2 3 8 2 2 3" xfId="27167" xr:uid="{00000000-0005-0000-0000-000041930000}"/>
    <cellStyle name="Normal 6 2 2 3 8 2 2 4" xfId="50429" xr:uid="{00000000-0005-0000-0000-000042930000}"/>
    <cellStyle name="Normal 6 2 2 3 8 2 3" xfId="17732" xr:uid="{00000000-0005-0000-0000-000043930000}"/>
    <cellStyle name="Normal 6 2 2 3 8 2 3 2" xfId="31864" xr:uid="{00000000-0005-0000-0000-000044930000}"/>
    <cellStyle name="Normal 6 2 2 3 8 2 3 3" xfId="45759" xr:uid="{00000000-0005-0000-0000-000045930000}"/>
    <cellStyle name="Normal 6 2 2 3 8 2 4" xfId="22545" xr:uid="{00000000-0005-0000-0000-000046930000}"/>
    <cellStyle name="Normal 6 2 2 3 8 2 5" xfId="41177" xr:uid="{00000000-0005-0000-0000-000047930000}"/>
    <cellStyle name="Normal 6 2 2 3 8 3" xfId="13000" xr:uid="{00000000-0005-0000-0000-000048930000}"/>
    <cellStyle name="Normal 6 2 2 3 8 3 2" xfId="36485" xr:uid="{00000000-0005-0000-0000-000049930000}"/>
    <cellStyle name="Normal 6 2 2 3 8 3 3" xfId="27166" xr:uid="{00000000-0005-0000-0000-00004A930000}"/>
    <cellStyle name="Normal 6 2 2 3 8 3 4" xfId="50428" xr:uid="{00000000-0005-0000-0000-00004B930000}"/>
    <cellStyle name="Normal 6 2 2 3 8 4" xfId="17731" xr:uid="{00000000-0005-0000-0000-00004C930000}"/>
    <cellStyle name="Normal 6 2 2 3 8 4 2" xfId="31863" xr:uid="{00000000-0005-0000-0000-00004D930000}"/>
    <cellStyle name="Normal 6 2 2 3 8 4 3" xfId="45758" xr:uid="{00000000-0005-0000-0000-00004E930000}"/>
    <cellStyle name="Normal 6 2 2 3 8 5" xfId="22544" xr:uid="{00000000-0005-0000-0000-00004F930000}"/>
    <cellStyle name="Normal 6 2 2 3 8 6" xfId="41176" xr:uid="{00000000-0005-0000-0000-000050930000}"/>
    <cellStyle name="Normal 6 2 2 3 9" xfId="7221" xr:uid="{00000000-0005-0000-0000-000051930000}"/>
    <cellStyle name="Normal 6 2 2 3 9 2" xfId="7222" xr:uid="{00000000-0005-0000-0000-000052930000}"/>
    <cellStyle name="Normal 6 2 2 3 9 2 2" xfId="13003" xr:uid="{00000000-0005-0000-0000-000053930000}"/>
    <cellStyle name="Normal 6 2 2 3 9 2 2 2" xfId="36488" xr:uid="{00000000-0005-0000-0000-000054930000}"/>
    <cellStyle name="Normal 6 2 2 3 9 2 2 3" xfId="27169" xr:uid="{00000000-0005-0000-0000-000055930000}"/>
    <cellStyle name="Normal 6 2 2 3 9 2 2 4" xfId="50431" xr:uid="{00000000-0005-0000-0000-000056930000}"/>
    <cellStyle name="Normal 6 2 2 3 9 2 3" xfId="17734" xr:uid="{00000000-0005-0000-0000-000057930000}"/>
    <cellStyle name="Normal 6 2 2 3 9 2 3 2" xfId="31866" xr:uid="{00000000-0005-0000-0000-000058930000}"/>
    <cellStyle name="Normal 6 2 2 3 9 2 3 3" xfId="45761" xr:uid="{00000000-0005-0000-0000-000059930000}"/>
    <cellStyle name="Normal 6 2 2 3 9 2 4" xfId="22547" xr:uid="{00000000-0005-0000-0000-00005A930000}"/>
    <cellStyle name="Normal 6 2 2 3 9 2 5" xfId="41179" xr:uid="{00000000-0005-0000-0000-00005B930000}"/>
    <cellStyle name="Normal 6 2 2 3 9 3" xfId="13002" xr:uid="{00000000-0005-0000-0000-00005C930000}"/>
    <cellStyle name="Normal 6 2 2 3 9 3 2" xfId="36487" xr:uid="{00000000-0005-0000-0000-00005D930000}"/>
    <cellStyle name="Normal 6 2 2 3 9 3 3" xfId="27168" xr:uid="{00000000-0005-0000-0000-00005E930000}"/>
    <cellStyle name="Normal 6 2 2 3 9 3 4" xfId="50430" xr:uid="{00000000-0005-0000-0000-00005F930000}"/>
    <cellStyle name="Normal 6 2 2 3 9 4" xfId="17733" xr:uid="{00000000-0005-0000-0000-000060930000}"/>
    <cellStyle name="Normal 6 2 2 3 9 4 2" xfId="31865" xr:uid="{00000000-0005-0000-0000-000061930000}"/>
    <cellStyle name="Normal 6 2 2 3 9 4 3" xfId="45760" xr:uid="{00000000-0005-0000-0000-000062930000}"/>
    <cellStyle name="Normal 6 2 2 3 9 5" xfId="22546" xr:uid="{00000000-0005-0000-0000-000063930000}"/>
    <cellStyle name="Normal 6 2 2 3 9 6" xfId="41178" xr:uid="{00000000-0005-0000-0000-000064930000}"/>
    <cellStyle name="Normal 6 2 2 30" xfId="7223" xr:uid="{00000000-0005-0000-0000-000065930000}"/>
    <cellStyle name="Normal 6 2 2 30 2" xfId="7224" xr:uid="{00000000-0005-0000-0000-000066930000}"/>
    <cellStyle name="Normal 6 2 2 30 2 2" xfId="13005" xr:uid="{00000000-0005-0000-0000-000067930000}"/>
    <cellStyle name="Normal 6 2 2 30 2 2 2" xfId="36490" xr:uid="{00000000-0005-0000-0000-000068930000}"/>
    <cellStyle name="Normal 6 2 2 30 2 2 3" xfId="27171" xr:uid="{00000000-0005-0000-0000-000069930000}"/>
    <cellStyle name="Normal 6 2 2 30 2 2 4" xfId="50433" xr:uid="{00000000-0005-0000-0000-00006A930000}"/>
    <cellStyle name="Normal 6 2 2 30 2 3" xfId="17736" xr:uid="{00000000-0005-0000-0000-00006B930000}"/>
    <cellStyle name="Normal 6 2 2 30 2 3 2" xfId="31868" xr:uid="{00000000-0005-0000-0000-00006C930000}"/>
    <cellStyle name="Normal 6 2 2 30 2 3 3" xfId="45763" xr:uid="{00000000-0005-0000-0000-00006D930000}"/>
    <cellStyle name="Normal 6 2 2 30 2 4" xfId="22549" xr:uid="{00000000-0005-0000-0000-00006E930000}"/>
    <cellStyle name="Normal 6 2 2 30 2 5" xfId="41181" xr:uid="{00000000-0005-0000-0000-00006F930000}"/>
    <cellStyle name="Normal 6 2 2 30 3" xfId="13004" xr:uid="{00000000-0005-0000-0000-000070930000}"/>
    <cellStyle name="Normal 6 2 2 30 3 2" xfId="36489" xr:uid="{00000000-0005-0000-0000-000071930000}"/>
    <cellStyle name="Normal 6 2 2 30 3 3" xfId="27170" xr:uid="{00000000-0005-0000-0000-000072930000}"/>
    <cellStyle name="Normal 6 2 2 30 3 4" xfId="50432" xr:uid="{00000000-0005-0000-0000-000073930000}"/>
    <cellStyle name="Normal 6 2 2 30 4" xfId="17735" xr:uid="{00000000-0005-0000-0000-000074930000}"/>
    <cellStyle name="Normal 6 2 2 30 4 2" xfId="31867" xr:uid="{00000000-0005-0000-0000-000075930000}"/>
    <cellStyle name="Normal 6 2 2 30 4 3" xfId="45762" xr:uid="{00000000-0005-0000-0000-000076930000}"/>
    <cellStyle name="Normal 6 2 2 30 5" xfId="22548" xr:uid="{00000000-0005-0000-0000-000077930000}"/>
    <cellStyle name="Normal 6 2 2 30 6" xfId="41180" xr:uid="{00000000-0005-0000-0000-000078930000}"/>
    <cellStyle name="Normal 6 2 2 31" xfId="7225" xr:uid="{00000000-0005-0000-0000-000079930000}"/>
    <cellStyle name="Normal 6 2 2 31 2" xfId="7226" xr:uid="{00000000-0005-0000-0000-00007A930000}"/>
    <cellStyle name="Normal 6 2 2 31 2 2" xfId="13007" xr:uid="{00000000-0005-0000-0000-00007B930000}"/>
    <cellStyle name="Normal 6 2 2 31 2 2 2" xfId="36492" xr:uid="{00000000-0005-0000-0000-00007C930000}"/>
    <cellStyle name="Normal 6 2 2 31 2 2 3" xfId="27173" xr:uid="{00000000-0005-0000-0000-00007D930000}"/>
    <cellStyle name="Normal 6 2 2 31 2 2 4" xfId="50435" xr:uid="{00000000-0005-0000-0000-00007E930000}"/>
    <cellStyle name="Normal 6 2 2 31 2 3" xfId="17738" xr:uid="{00000000-0005-0000-0000-00007F930000}"/>
    <cellStyle name="Normal 6 2 2 31 2 3 2" xfId="31870" xr:uid="{00000000-0005-0000-0000-000080930000}"/>
    <cellStyle name="Normal 6 2 2 31 2 3 3" xfId="45765" xr:uid="{00000000-0005-0000-0000-000081930000}"/>
    <cellStyle name="Normal 6 2 2 31 2 4" xfId="22551" xr:uid="{00000000-0005-0000-0000-000082930000}"/>
    <cellStyle name="Normal 6 2 2 31 2 5" xfId="41183" xr:uid="{00000000-0005-0000-0000-000083930000}"/>
    <cellStyle name="Normal 6 2 2 31 3" xfId="13006" xr:uid="{00000000-0005-0000-0000-000084930000}"/>
    <cellStyle name="Normal 6 2 2 31 3 2" xfId="36491" xr:uid="{00000000-0005-0000-0000-000085930000}"/>
    <cellStyle name="Normal 6 2 2 31 3 3" xfId="27172" xr:uid="{00000000-0005-0000-0000-000086930000}"/>
    <cellStyle name="Normal 6 2 2 31 3 4" xfId="50434" xr:uid="{00000000-0005-0000-0000-000087930000}"/>
    <cellStyle name="Normal 6 2 2 31 4" xfId="17737" xr:uid="{00000000-0005-0000-0000-000088930000}"/>
    <cellStyle name="Normal 6 2 2 31 4 2" xfId="31869" xr:uid="{00000000-0005-0000-0000-000089930000}"/>
    <cellStyle name="Normal 6 2 2 31 4 3" xfId="45764" xr:uid="{00000000-0005-0000-0000-00008A930000}"/>
    <cellStyle name="Normal 6 2 2 31 5" xfId="22550" xr:uid="{00000000-0005-0000-0000-00008B930000}"/>
    <cellStyle name="Normal 6 2 2 31 6" xfId="41182" xr:uid="{00000000-0005-0000-0000-00008C930000}"/>
    <cellStyle name="Normal 6 2 2 32" xfId="7227" xr:uid="{00000000-0005-0000-0000-00008D930000}"/>
    <cellStyle name="Normal 6 2 2 32 2" xfId="7228" xr:uid="{00000000-0005-0000-0000-00008E930000}"/>
    <cellStyle name="Normal 6 2 2 32 2 2" xfId="13009" xr:uid="{00000000-0005-0000-0000-00008F930000}"/>
    <cellStyle name="Normal 6 2 2 32 2 2 2" xfId="36494" xr:uid="{00000000-0005-0000-0000-000090930000}"/>
    <cellStyle name="Normal 6 2 2 32 2 2 3" xfId="27175" xr:uid="{00000000-0005-0000-0000-000091930000}"/>
    <cellStyle name="Normal 6 2 2 32 2 2 4" xfId="50437" xr:uid="{00000000-0005-0000-0000-000092930000}"/>
    <cellStyle name="Normal 6 2 2 32 2 3" xfId="17740" xr:uid="{00000000-0005-0000-0000-000093930000}"/>
    <cellStyle name="Normal 6 2 2 32 2 3 2" xfId="31872" xr:uid="{00000000-0005-0000-0000-000094930000}"/>
    <cellStyle name="Normal 6 2 2 32 2 3 3" xfId="45767" xr:uid="{00000000-0005-0000-0000-000095930000}"/>
    <cellStyle name="Normal 6 2 2 32 2 4" xfId="22553" xr:uid="{00000000-0005-0000-0000-000096930000}"/>
    <cellStyle name="Normal 6 2 2 32 2 5" xfId="41185" xr:uid="{00000000-0005-0000-0000-000097930000}"/>
    <cellStyle name="Normal 6 2 2 32 3" xfId="13008" xr:uid="{00000000-0005-0000-0000-000098930000}"/>
    <cellStyle name="Normal 6 2 2 32 3 2" xfId="36493" xr:uid="{00000000-0005-0000-0000-000099930000}"/>
    <cellStyle name="Normal 6 2 2 32 3 3" xfId="27174" xr:uid="{00000000-0005-0000-0000-00009A930000}"/>
    <cellStyle name="Normal 6 2 2 32 3 4" xfId="50436" xr:uid="{00000000-0005-0000-0000-00009B930000}"/>
    <cellStyle name="Normal 6 2 2 32 4" xfId="17739" xr:uid="{00000000-0005-0000-0000-00009C930000}"/>
    <cellStyle name="Normal 6 2 2 32 4 2" xfId="31871" xr:uid="{00000000-0005-0000-0000-00009D930000}"/>
    <cellStyle name="Normal 6 2 2 32 4 3" xfId="45766" xr:uid="{00000000-0005-0000-0000-00009E930000}"/>
    <cellStyle name="Normal 6 2 2 32 5" xfId="22552" xr:uid="{00000000-0005-0000-0000-00009F930000}"/>
    <cellStyle name="Normal 6 2 2 32 6" xfId="41184" xr:uid="{00000000-0005-0000-0000-0000A0930000}"/>
    <cellStyle name="Normal 6 2 2 33" xfId="7229" xr:uid="{00000000-0005-0000-0000-0000A1930000}"/>
    <cellStyle name="Normal 6 2 2 33 2" xfId="7230" xr:uid="{00000000-0005-0000-0000-0000A2930000}"/>
    <cellStyle name="Normal 6 2 2 33 2 2" xfId="13011" xr:uid="{00000000-0005-0000-0000-0000A3930000}"/>
    <cellStyle name="Normal 6 2 2 33 2 2 2" xfId="36496" xr:uid="{00000000-0005-0000-0000-0000A4930000}"/>
    <cellStyle name="Normal 6 2 2 33 2 2 3" xfId="27177" xr:uid="{00000000-0005-0000-0000-0000A5930000}"/>
    <cellStyle name="Normal 6 2 2 33 2 2 4" xfId="50439" xr:uid="{00000000-0005-0000-0000-0000A6930000}"/>
    <cellStyle name="Normal 6 2 2 33 2 3" xfId="17742" xr:uid="{00000000-0005-0000-0000-0000A7930000}"/>
    <cellStyle name="Normal 6 2 2 33 2 3 2" xfId="31874" xr:uid="{00000000-0005-0000-0000-0000A8930000}"/>
    <cellStyle name="Normal 6 2 2 33 2 3 3" xfId="45769" xr:uid="{00000000-0005-0000-0000-0000A9930000}"/>
    <cellStyle name="Normal 6 2 2 33 2 4" xfId="22555" xr:uid="{00000000-0005-0000-0000-0000AA930000}"/>
    <cellStyle name="Normal 6 2 2 33 2 5" xfId="41187" xr:uid="{00000000-0005-0000-0000-0000AB930000}"/>
    <cellStyle name="Normal 6 2 2 33 3" xfId="13010" xr:uid="{00000000-0005-0000-0000-0000AC930000}"/>
    <cellStyle name="Normal 6 2 2 33 3 2" xfId="36495" xr:uid="{00000000-0005-0000-0000-0000AD930000}"/>
    <cellStyle name="Normal 6 2 2 33 3 3" xfId="27176" xr:uid="{00000000-0005-0000-0000-0000AE930000}"/>
    <cellStyle name="Normal 6 2 2 33 3 4" xfId="50438" xr:uid="{00000000-0005-0000-0000-0000AF930000}"/>
    <cellStyle name="Normal 6 2 2 33 4" xfId="17741" xr:uid="{00000000-0005-0000-0000-0000B0930000}"/>
    <cellStyle name="Normal 6 2 2 33 4 2" xfId="31873" xr:uid="{00000000-0005-0000-0000-0000B1930000}"/>
    <cellStyle name="Normal 6 2 2 33 4 3" xfId="45768" xr:uid="{00000000-0005-0000-0000-0000B2930000}"/>
    <cellStyle name="Normal 6 2 2 33 5" xfId="22554" xr:uid="{00000000-0005-0000-0000-0000B3930000}"/>
    <cellStyle name="Normal 6 2 2 33 6" xfId="41186" xr:uid="{00000000-0005-0000-0000-0000B4930000}"/>
    <cellStyle name="Normal 6 2 2 34" xfId="7231" xr:uid="{00000000-0005-0000-0000-0000B5930000}"/>
    <cellStyle name="Normal 6 2 2 34 2" xfId="7232" xr:uid="{00000000-0005-0000-0000-0000B6930000}"/>
    <cellStyle name="Normal 6 2 2 34 2 2" xfId="13013" xr:uid="{00000000-0005-0000-0000-0000B7930000}"/>
    <cellStyle name="Normal 6 2 2 34 2 2 2" xfId="36498" xr:uid="{00000000-0005-0000-0000-0000B8930000}"/>
    <cellStyle name="Normal 6 2 2 34 2 2 3" xfId="27179" xr:uid="{00000000-0005-0000-0000-0000B9930000}"/>
    <cellStyle name="Normal 6 2 2 34 2 2 4" xfId="50441" xr:uid="{00000000-0005-0000-0000-0000BA930000}"/>
    <cellStyle name="Normal 6 2 2 34 2 3" xfId="17744" xr:uid="{00000000-0005-0000-0000-0000BB930000}"/>
    <cellStyle name="Normal 6 2 2 34 2 3 2" xfId="31876" xr:uid="{00000000-0005-0000-0000-0000BC930000}"/>
    <cellStyle name="Normal 6 2 2 34 2 3 3" xfId="45771" xr:uid="{00000000-0005-0000-0000-0000BD930000}"/>
    <cellStyle name="Normal 6 2 2 34 2 4" xfId="22557" xr:uid="{00000000-0005-0000-0000-0000BE930000}"/>
    <cellStyle name="Normal 6 2 2 34 2 5" xfId="41189" xr:uid="{00000000-0005-0000-0000-0000BF930000}"/>
    <cellStyle name="Normal 6 2 2 34 3" xfId="13012" xr:uid="{00000000-0005-0000-0000-0000C0930000}"/>
    <cellStyle name="Normal 6 2 2 34 3 2" xfId="36497" xr:uid="{00000000-0005-0000-0000-0000C1930000}"/>
    <cellStyle name="Normal 6 2 2 34 3 3" xfId="27178" xr:uid="{00000000-0005-0000-0000-0000C2930000}"/>
    <cellStyle name="Normal 6 2 2 34 3 4" xfId="50440" xr:uid="{00000000-0005-0000-0000-0000C3930000}"/>
    <cellStyle name="Normal 6 2 2 34 4" xfId="17743" xr:uid="{00000000-0005-0000-0000-0000C4930000}"/>
    <cellStyle name="Normal 6 2 2 34 4 2" xfId="31875" xr:uid="{00000000-0005-0000-0000-0000C5930000}"/>
    <cellStyle name="Normal 6 2 2 34 4 3" xfId="45770" xr:uid="{00000000-0005-0000-0000-0000C6930000}"/>
    <cellStyle name="Normal 6 2 2 34 5" xfId="22556" xr:uid="{00000000-0005-0000-0000-0000C7930000}"/>
    <cellStyle name="Normal 6 2 2 34 6" xfId="41188" xr:uid="{00000000-0005-0000-0000-0000C8930000}"/>
    <cellStyle name="Normal 6 2 2 35" xfId="7233" xr:uid="{00000000-0005-0000-0000-0000C9930000}"/>
    <cellStyle name="Normal 6 2 2 35 2" xfId="7234" xr:uid="{00000000-0005-0000-0000-0000CA930000}"/>
    <cellStyle name="Normal 6 2 2 35 2 2" xfId="13015" xr:uid="{00000000-0005-0000-0000-0000CB930000}"/>
    <cellStyle name="Normal 6 2 2 35 2 2 2" xfId="36500" xr:uid="{00000000-0005-0000-0000-0000CC930000}"/>
    <cellStyle name="Normal 6 2 2 35 2 2 3" xfId="27181" xr:uid="{00000000-0005-0000-0000-0000CD930000}"/>
    <cellStyle name="Normal 6 2 2 35 2 2 4" xfId="50443" xr:uid="{00000000-0005-0000-0000-0000CE930000}"/>
    <cellStyle name="Normal 6 2 2 35 2 3" xfId="17746" xr:uid="{00000000-0005-0000-0000-0000CF930000}"/>
    <cellStyle name="Normal 6 2 2 35 2 3 2" xfId="31878" xr:uid="{00000000-0005-0000-0000-0000D0930000}"/>
    <cellStyle name="Normal 6 2 2 35 2 3 3" xfId="45773" xr:uid="{00000000-0005-0000-0000-0000D1930000}"/>
    <cellStyle name="Normal 6 2 2 35 2 4" xfId="22559" xr:uid="{00000000-0005-0000-0000-0000D2930000}"/>
    <cellStyle name="Normal 6 2 2 35 2 5" xfId="41191" xr:uid="{00000000-0005-0000-0000-0000D3930000}"/>
    <cellStyle name="Normal 6 2 2 35 3" xfId="13014" xr:uid="{00000000-0005-0000-0000-0000D4930000}"/>
    <cellStyle name="Normal 6 2 2 35 3 2" xfId="36499" xr:uid="{00000000-0005-0000-0000-0000D5930000}"/>
    <cellStyle name="Normal 6 2 2 35 3 3" xfId="27180" xr:uid="{00000000-0005-0000-0000-0000D6930000}"/>
    <cellStyle name="Normal 6 2 2 35 3 4" xfId="50442" xr:uid="{00000000-0005-0000-0000-0000D7930000}"/>
    <cellStyle name="Normal 6 2 2 35 4" xfId="17745" xr:uid="{00000000-0005-0000-0000-0000D8930000}"/>
    <cellStyle name="Normal 6 2 2 35 4 2" xfId="31877" xr:uid="{00000000-0005-0000-0000-0000D9930000}"/>
    <cellStyle name="Normal 6 2 2 35 4 3" xfId="45772" xr:uid="{00000000-0005-0000-0000-0000DA930000}"/>
    <cellStyle name="Normal 6 2 2 35 5" xfId="22558" xr:uid="{00000000-0005-0000-0000-0000DB930000}"/>
    <cellStyle name="Normal 6 2 2 35 6" xfId="41190" xr:uid="{00000000-0005-0000-0000-0000DC930000}"/>
    <cellStyle name="Normal 6 2 2 36" xfId="7235" xr:uid="{00000000-0005-0000-0000-0000DD930000}"/>
    <cellStyle name="Normal 6 2 2 36 2" xfId="7236" xr:uid="{00000000-0005-0000-0000-0000DE930000}"/>
    <cellStyle name="Normal 6 2 2 36 2 2" xfId="13017" xr:uid="{00000000-0005-0000-0000-0000DF930000}"/>
    <cellStyle name="Normal 6 2 2 36 2 2 2" xfId="36502" xr:uid="{00000000-0005-0000-0000-0000E0930000}"/>
    <cellStyle name="Normal 6 2 2 36 2 2 3" xfId="27183" xr:uid="{00000000-0005-0000-0000-0000E1930000}"/>
    <cellStyle name="Normal 6 2 2 36 2 2 4" xfId="50445" xr:uid="{00000000-0005-0000-0000-0000E2930000}"/>
    <cellStyle name="Normal 6 2 2 36 2 3" xfId="17748" xr:uid="{00000000-0005-0000-0000-0000E3930000}"/>
    <cellStyle name="Normal 6 2 2 36 2 3 2" xfId="31880" xr:uid="{00000000-0005-0000-0000-0000E4930000}"/>
    <cellStyle name="Normal 6 2 2 36 2 3 3" xfId="45775" xr:uid="{00000000-0005-0000-0000-0000E5930000}"/>
    <cellStyle name="Normal 6 2 2 36 2 4" xfId="22561" xr:uid="{00000000-0005-0000-0000-0000E6930000}"/>
    <cellStyle name="Normal 6 2 2 36 2 5" xfId="41193" xr:uid="{00000000-0005-0000-0000-0000E7930000}"/>
    <cellStyle name="Normal 6 2 2 36 3" xfId="13016" xr:uid="{00000000-0005-0000-0000-0000E8930000}"/>
    <cellStyle name="Normal 6 2 2 36 3 2" xfId="36501" xr:uid="{00000000-0005-0000-0000-0000E9930000}"/>
    <cellStyle name="Normal 6 2 2 36 3 3" xfId="27182" xr:uid="{00000000-0005-0000-0000-0000EA930000}"/>
    <cellStyle name="Normal 6 2 2 36 3 4" xfId="50444" xr:uid="{00000000-0005-0000-0000-0000EB930000}"/>
    <cellStyle name="Normal 6 2 2 36 4" xfId="17747" xr:uid="{00000000-0005-0000-0000-0000EC930000}"/>
    <cellStyle name="Normal 6 2 2 36 4 2" xfId="31879" xr:uid="{00000000-0005-0000-0000-0000ED930000}"/>
    <cellStyle name="Normal 6 2 2 36 4 3" xfId="45774" xr:uid="{00000000-0005-0000-0000-0000EE930000}"/>
    <cellStyle name="Normal 6 2 2 36 5" xfId="22560" xr:uid="{00000000-0005-0000-0000-0000EF930000}"/>
    <cellStyle name="Normal 6 2 2 36 6" xfId="41192" xr:uid="{00000000-0005-0000-0000-0000F0930000}"/>
    <cellStyle name="Normal 6 2 2 37" xfId="7237" xr:uid="{00000000-0005-0000-0000-0000F1930000}"/>
    <cellStyle name="Normal 6 2 2 37 2" xfId="7238" xr:uid="{00000000-0005-0000-0000-0000F2930000}"/>
    <cellStyle name="Normal 6 2 2 37 2 2" xfId="13019" xr:uid="{00000000-0005-0000-0000-0000F3930000}"/>
    <cellStyle name="Normal 6 2 2 37 2 2 2" xfId="36504" xr:uid="{00000000-0005-0000-0000-0000F4930000}"/>
    <cellStyle name="Normal 6 2 2 37 2 2 3" xfId="27185" xr:uid="{00000000-0005-0000-0000-0000F5930000}"/>
    <cellStyle name="Normal 6 2 2 37 2 2 4" xfId="50447" xr:uid="{00000000-0005-0000-0000-0000F6930000}"/>
    <cellStyle name="Normal 6 2 2 37 2 3" xfId="17750" xr:uid="{00000000-0005-0000-0000-0000F7930000}"/>
    <cellStyle name="Normal 6 2 2 37 2 3 2" xfId="31882" xr:uid="{00000000-0005-0000-0000-0000F8930000}"/>
    <cellStyle name="Normal 6 2 2 37 2 3 3" xfId="45777" xr:uid="{00000000-0005-0000-0000-0000F9930000}"/>
    <cellStyle name="Normal 6 2 2 37 2 4" xfId="22563" xr:uid="{00000000-0005-0000-0000-0000FA930000}"/>
    <cellStyle name="Normal 6 2 2 37 2 5" xfId="41195" xr:uid="{00000000-0005-0000-0000-0000FB930000}"/>
    <cellStyle name="Normal 6 2 2 37 3" xfId="13018" xr:uid="{00000000-0005-0000-0000-0000FC930000}"/>
    <cellStyle name="Normal 6 2 2 37 3 2" xfId="36503" xr:uid="{00000000-0005-0000-0000-0000FD930000}"/>
    <cellStyle name="Normal 6 2 2 37 3 3" xfId="27184" xr:uid="{00000000-0005-0000-0000-0000FE930000}"/>
    <cellStyle name="Normal 6 2 2 37 3 4" xfId="50446" xr:uid="{00000000-0005-0000-0000-0000FF930000}"/>
    <cellStyle name="Normal 6 2 2 37 4" xfId="17749" xr:uid="{00000000-0005-0000-0000-000000940000}"/>
    <cellStyle name="Normal 6 2 2 37 4 2" xfId="31881" xr:uid="{00000000-0005-0000-0000-000001940000}"/>
    <cellStyle name="Normal 6 2 2 37 4 3" xfId="45776" xr:uid="{00000000-0005-0000-0000-000002940000}"/>
    <cellStyle name="Normal 6 2 2 37 5" xfId="22562" xr:uid="{00000000-0005-0000-0000-000003940000}"/>
    <cellStyle name="Normal 6 2 2 37 6" xfId="41194" xr:uid="{00000000-0005-0000-0000-000004940000}"/>
    <cellStyle name="Normal 6 2 2 38" xfId="7239" xr:uid="{00000000-0005-0000-0000-000005940000}"/>
    <cellStyle name="Normal 6 2 2 38 2" xfId="7240" xr:uid="{00000000-0005-0000-0000-000006940000}"/>
    <cellStyle name="Normal 6 2 2 38 2 2" xfId="13021" xr:uid="{00000000-0005-0000-0000-000007940000}"/>
    <cellStyle name="Normal 6 2 2 38 2 2 2" xfId="36506" xr:uid="{00000000-0005-0000-0000-000008940000}"/>
    <cellStyle name="Normal 6 2 2 38 2 2 3" xfId="27187" xr:uid="{00000000-0005-0000-0000-000009940000}"/>
    <cellStyle name="Normal 6 2 2 38 2 2 4" xfId="50449" xr:uid="{00000000-0005-0000-0000-00000A940000}"/>
    <cellStyle name="Normal 6 2 2 38 2 3" xfId="17752" xr:uid="{00000000-0005-0000-0000-00000B940000}"/>
    <cellStyle name="Normal 6 2 2 38 2 3 2" xfId="31884" xr:uid="{00000000-0005-0000-0000-00000C940000}"/>
    <cellStyle name="Normal 6 2 2 38 2 3 3" xfId="45779" xr:uid="{00000000-0005-0000-0000-00000D940000}"/>
    <cellStyle name="Normal 6 2 2 38 2 4" xfId="22565" xr:uid="{00000000-0005-0000-0000-00000E940000}"/>
    <cellStyle name="Normal 6 2 2 38 2 5" xfId="41197" xr:uid="{00000000-0005-0000-0000-00000F940000}"/>
    <cellStyle name="Normal 6 2 2 38 3" xfId="13020" xr:uid="{00000000-0005-0000-0000-000010940000}"/>
    <cellStyle name="Normal 6 2 2 38 3 2" xfId="36505" xr:uid="{00000000-0005-0000-0000-000011940000}"/>
    <cellStyle name="Normal 6 2 2 38 3 3" xfId="27186" xr:uid="{00000000-0005-0000-0000-000012940000}"/>
    <cellStyle name="Normal 6 2 2 38 3 4" xfId="50448" xr:uid="{00000000-0005-0000-0000-000013940000}"/>
    <cellStyle name="Normal 6 2 2 38 4" xfId="17751" xr:uid="{00000000-0005-0000-0000-000014940000}"/>
    <cellStyle name="Normal 6 2 2 38 4 2" xfId="31883" xr:uid="{00000000-0005-0000-0000-000015940000}"/>
    <cellStyle name="Normal 6 2 2 38 4 3" xfId="45778" xr:uid="{00000000-0005-0000-0000-000016940000}"/>
    <cellStyle name="Normal 6 2 2 38 5" xfId="22564" xr:uid="{00000000-0005-0000-0000-000017940000}"/>
    <cellStyle name="Normal 6 2 2 38 6" xfId="41196" xr:uid="{00000000-0005-0000-0000-000018940000}"/>
    <cellStyle name="Normal 6 2 2 39" xfId="7241" xr:uid="{00000000-0005-0000-0000-000019940000}"/>
    <cellStyle name="Normal 6 2 2 39 2" xfId="7242" xr:uid="{00000000-0005-0000-0000-00001A940000}"/>
    <cellStyle name="Normal 6 2 2 39 2 2" xfId="13023" xr:uid="{00000000-0005-0000-0000-00001B940000}"/>
    <cellStyle name="Normal 6 2 2 39 2 2 2" xfId="36508" xr:uid="{00000000-0005-0000-0000-00001C940000}"/>
    <cellStyle name="Normal 6 2 2 39 2 2 3" xfId="27189" xr:uid="{00000000-0005-0000-0000-00001D940000}"/>
    <cellStyle name="Normal 6 2 2 39 2 2 4" xfId="50451" xr:uid="{00000000-0005-0000-0000-00001E940000}"/>
    <cellStyle name="Normal 6 2 2 39 2 3" xfId="17754" xr:uid="{00000000-0005-0000-0000-00001F940000}"/>
    <cellStyle name="Normal 6 2 2 39 2 3 2" xfId="31886" xr:uid="{00000000-0005-0000-0000-000020940000}"/>
    <cellStyle name="Normal 6 2 2 39 2 3 3" xfId="45781" xr:uid="{00000000-0005-0000-0000-000021940000}"/>
    <cellStyle name="Normal 6 2 2 39 2 4" xfId="22567" xr:uid="{00000000-0005-0000-0000-000022940000}"/>
    <cellStyle name="Normal 6 2 2 39 2 5" xfId="41199" xr:uid="{00000000-0005-0000-0000-000023940000}"/>
    <cellStyle name="Normal 6 2 2 39 3" xfId="13022" xr:uid="{00000000-0005-0000-0000-000024940000}"/>
    <cellStyle name="Normal 6 2 2 39 3 2" xfId="36507" xr:uid="{00000000-0005-0000-0000-000025940000}"/>
    <cellStyle name="Normal 6 2 2 39 3 3" xfId="27188" xr:uid="{00000000-0005-0000-0000-000026940000}"/>
    <cellStyle name="Normal 6 2 2 39 3 4" xfId="50450" xr:uid="{00000000-0005-0000-0000-000027940000}"/>
    <cellStyle name="Normal 6 2 2 39 4" xfId="17753" xr:uid="{00000000-0005-0000-0000-000028940000}"/>
    <cellStyle name="Normal 6 2 2 39 4 2" xfId="31885" xr:uid="{00000000-0005-0000-0000-000029940000}"/>
    <cellStyle name="Normal 6 2 2 39 4 3" xfId="45780" xr:uid="{00000000-0005-0000-0000-00002A940000}"/>
    <cellStyle name="Normal 6 2 2 39 5" xfId="22566" xr:uid="{00000000-0005-0000-0000-00002B940000}"/>
    <cellStyle name="Normal 6 2 2 39 6" xfId="41198" xr:uid="{00000000-0005-0000-0000-00002C940000}"/>
    <cellStyle name="Normal 6 2 2 4" xfId="7243" xr:uid="{00000000-0005-0000-0000-00002D940000}"/>
    <cellStyle name="Normal 6 2 2 4 10" xfId="22568" xr:uid="{00000000-0005-0000-0000-00002E940000}"/>
    <cellStyle name="Normal 6 2 2 4 11" xfId="41200" xr:uid="{00000000-0005-0000-0000-00002F940000}"/>
    <cellStyle name="Normal 6 2 2 4 2" xfId="7244" xr:uid="{00000000-0005-0000-0000-000030940000}"/>
    <cellStyle name="Normal 6 2 2 4 2 2" xfId="7245" xr:uid="{00000000-0005-0000-0000-000031940000}"/>
    <cellStyle name="Normal 6 2 2 4 2 2 2" xfId="13026" xr:uid="{00000000-0005-0000-0000-000032940000}"/>
    <cellStyle name="Normal 6 2 2 4 2 2 2 2" xfId="36511" xr:uid="{00000000-0005-0000-0000-000033940000}"/>
    <cellStyle name="Normal 6 2 2 4 2 2 2 3" xfId="27192" xr:uid="{00000000-0005-0000-0000-000034940000}"/>
    <cellStyle name="Normal 6 2 2 4 2 2 2 4" xfId="50454" xr:uid="{00000000-0005-0000-0000-000035940000}"/>
    <cellStyle name="Normal 6 2 2 4 2 2 3" xfId="17757" xr:uid="{00000000-0005-0000-0000-000036940000}"/>
    <cellStyle name="Normal 6 2 2 4 2 2 3 2" xfId="31889" xr:uid="{00000000-0005-0000-0000-000037940000}"/>
    <cellStyle name="Normal 6 2 2 4 2 2 3 3" xfId="45784" xr:uid="{00000000-0005-0000-0000-000038940000}"/>
    <cellStyle name="Normal 6 2 2 4 2 2 4" xfId="22570" xr:uid="{00000000-0005-0000-0000-000039940000}"/>
    <cellStyle name="Normal 6 2 2 4 2 2 5" xfId="41202" xr:uid="{00000000-0005-0000-0000-00003A940000}"/>
    <cellStyle name="Normal 6 2 2 4 2 3" xfId="13025" xr:uid="{00000000-0005-0000-0000-00003B940000}"/>
    <cellStyle name="Normal 6 2 2 4 2 3 2" xfId="36510" xr:uid="{00000000-0005-0000-0000-00003C940000}"/>
    <cellStyle name="Normal 6 2 2 4 2 3 3" xfId="27191" xr:uid="{00000000-0005-0000-0000-00003D940000}"/>
    <cellStyle name="Normal 6 2 2 4 2 3 4" xfId="50453" xr:uid="{00000000-0005-0000-0000-00003E940000}"/>
    <cellStyle name="Normal 6 2 2 4 2 4" xfId="17756" xr:uid="{00000000-0005-0000-0000-00003F940000}"/>
    <cellStyle name="Normal 6 2 2 4 2 4 2" xfId="31888" xr:uid="{00000000-0005-0000-0000-000040940000}"/>
    <cellStyle name="Normal 6 2 2 4 2 4 3" xfId="45783" xr:uid="{00000000-0005-0000-0000-000041940000}"/>
    <cellStyle name="Normal 6 2 2 4 2 5" xfId="22569" xr:uid="{00000000-0005-0000-0000-000042940000}"/>
    <cellStyle name="Normal 6 2 2 4 2 6" xfId="41201" xr:uid="{00000000-0005-0000-0000-000043940000}"/>
    <cellStyle name="Normal 6 2 2 4 3" xfId="7246" xr:uid="{00000000-0005-0000-0000-000044940000}"/>
    <cellStyle name="Normal 6 2 2 4 3 2" xfId="7247" xr:uid="{00000000-0005-0000-0000-000045940000}"/>
    <cellStyle name="Normal 6 2 2 4 3 2 2" xfId="13028" xr:uid="{00000000-0005-0000-0000-000046940000}"/>
    <cellStyle name="Normal 6 2 2 4 3 2 2 2" xfId="36513" xr:uid="{00000000-0005-0000-0000-000047940000}"/>
    <cellStyle name="Normal 6 2 2 4 3 2 2 3" xfId="27194" xr:uid="{00000000-0005-0000-0000-000048940000}"/>
    <cellStyle name="Normal 6 2 2 4 3 2 2 4" xfId="50456" xr:uid="{00000000-0005-0000-0000-000049940000}"/>
    <cellStyle name="Normal 6 2 2 4 3 2 3" xfId="17759" xr:uid="{00000000-0005-0000-0000-00004A940000}"/>
    <cellStyle name="Normal 6 2 2 4 3 2 3 2" xfId="31891" xr:uid="{00000000-0005-0000-0000-00004B940000}"/>
    <cellStyle name="Normal 6 2 2 4 3 2 3 3" xfId="45786" xr:uid="{00000000-0005-0000-0000-00004C940000}"/>
    <cellStyle name="Normal 6 2 2 4 3 2 4" xfId="22572" xr:uid="{00000000-0005-0000-0000-00004D940000}"/>
    <cellStyle name="Normal 6 2 2 4 3 2 5" xfId="41204" xr:uid="{00000000-0005-0000-0000-00004E940000}"/>
    <cellStyle name="Normal 6 2 2 4 3 3" xfId="13027" xr:uid="{00000000-0005-0000-0000-00004F940000}"/>
    <cellStyle name="Normal 6 2 2 4 3 3 2" xfId="36512" xr:uid="{00000000-0005-0000-0000-000050940000}"/>
    <cellStyle name="Normal 6 2 2 4 3 3 3" xfId="27193" xr:uid="{00000000-0005-0000-0000-000051940000}"/>
    <cellStyle name="Normal 6 2 2 4 3 3 4" xfId="50455" xr:uid="{00000000-0005-0000-0000-000052940000}"/>
    <cellStyle name="Normal 6 2 2 4 3 4" xfId="17758" xr:uid="{00000000-0005-0000-0000-000053940000}"/>
    <cellStyle name="Normal 6 2 2 4 3 4 2" xfId="31890" xr:uid="{00000000-0005-0000-0000-000054940000}"/>
    <cellStyle name="Normal 6 2 2 4 3 4 3" xfId="45785" xr:uid="{00000000-0005-0000-0000-000055940000}"/>
    <cellStyle name="Normal 6 2 2 4 3 5" xfId="22571" xr:uid="{00000000-0005-0000-0000-000056940000}"/>
    <cellStyle name="Normal 6 2 2 4 3 6" xfId="41203" xr:uid="{00000000-0005-0000-0000-000057940000}"/>
    <cellStyle name="Normal 6 2 2 4 4" xfId="7248" xr:uid="{00000000-0005-0000-0000-000058940000}"/>
    <cellStyle name="Normal 6 2 2 4 4 2" xfId="7249" xr:uid="{00000000-0005-0000-0000-000059940000}"/>
    <cellStyle name="Normal 6 2 2 4 4 2 2" xfId="13030" xr:uid="{00000000-0005-0000-0000-00005A940000}"/>
    <cellStyle name="Normal 6 2 2 4 4 2 2 2" xfId="36515" xr:uid="{00000000-0005-0000-0000-00005B940000}"/>
    <cellStyle name="Normal 6 2 2 4 4 2 2 3" xfId="27196" xr:uid="{00000000-0005-0000-0000-00005C940000}"/>
    <cellStyle name="Normal 6 2 2 4 4 2 2 4" xfId="50458" xr:uid="{00000000-0005-0000-0000-00005D940000}"/>
    <cellStyle name="Normal 6 2 2 4 4 2 3" xfId="17761" xr:uid="{00000000-0005-0000-0000-00005E940000}"/>
    <cellStyle name="Normal 6 2 2 4 4 2 3 2" xfId="31893" xr:uid="{00000000-0005-0000-0000-00005F940000}"/>
    <cellStyle name="Normal 6 2 2 4 4 2 3 3" xfId="45788" xr:uid="{00000000-0005-0000-0000-000060940000}"/>
    <cellStyle name="Normal 6 2 2 4 4 2 4" xfId="22574" xr:uid="{00000000-0005-0000-0000-000061940000}"/>
    <cellStyle name="Normal 6 2 2 4 4 2 5" xfId="41206" xr:uid="{00000000-0005-0000-0000-000062940000}"/>
    <cellStyle name="Normal 6 2 2 4 4 3" xfId="13029" xr:uid="{00000000-0005-0000-0000-000063940000}"/>
    <cellStyle name="Normal 6 2 2 4 4 3 2" xfId="36514" xr:uid="{00000000-0005-0000-0000-000064940000}"/>
    <cellStyle name="Normal 6 2 2 4 4 3 3" xfId="27195" xr:uid="{00000000-0005-0000-0000-000065940000}"/>
    <cellStyle name="Normal 6 2 2 4 4 3 4" xfId="50457" xr:uid="{00000000-0005-0000-0000-000066940000}"/>
    <cellStyle name="Normal 6 2 2 4 4 4" xfId="17760" xr:uid="{00000000-0005-0000-0000-000067940000}"/>
    <cellStyle name="Normal 6 2 2 4 4 4 2" xfId="31892" xr:uid="{00000000-0005-0000-0000-000068940000}"/>
    <cellStyle name="Normal 6 2 2 4 4 4 3" xfId="45787" xr:uid="{00000000-0005-0000-0000-000069940000}"/>
    <cellStyle name="Normal 6 2 2 4 4 5" xfId="22573" xr:uid="{00000000-0005-0000-0000-00006A940000}"/>
    <cellStyle name="Normal 6 2 2 4 4 6" xfId="41205" xr:uid="{00000000-0005-0000-0000-00006B940000}"/>
    <cellStyle name="Normal 6 2 2 4 5" xfId="7250" xr:uid="{00000000-0005-0000-0000-00006C940000}"/>
    <cellStyle name="Normal 6 2 2 4 5 2" xfId="7251" xr:uid="{00000000-0005-0000-0000-00006D940000}"/>
    <cellStyle name="Normal 6 2 2 4 5 2 2" xfId="13032" xr:uid="{00000000-0005-0000-0000-00006E940000}"/>
    <cellStyle name="Normal 6 2 2 4 5 2 2 2" xfId="36517" xr:uid="{00000000-0005-0000-0000-00006F940000}"/>
    <cellStyle name="Normal 6 2 2 4 5 2 2 3" xfId="27198" xr:uid="{00000000-0005-0000-0000-000070940000}"/>
    <cellStyle name="Normal 6 2 2 4 5 2 2 4" xfId="50460" xr:uid="{00000000-0005-0000-0000-000071940000}"/>
    <cellStyle name="Normal 6 2 2 4 5 2 3" xfId="17763" xr:uid="{00000000-0005-0000-0000-000072940000}"/>
    <cellStyle name="Normal 6 2 2 4 5 2 3 2" xfId="31895" xr:uid="{00000000-0005-0000-0000-000073940000}"/>
    <cellStyle name="Normal 6 2 2 4 5 2 3 3" xfId="45790" xr:uid="{00000000-0005-0000-0000-000074940000}"/>
    <cellStyle name="Normal 6 2 2 4 5 2 4" xfId="22576" xr:uid="{00000000-0005-0000-0000-000075940000}"/>
    <cellStyle name="Normal 6 2 2 4 5 2 5" xfId="41208" xr:uid="{00000000-0005-0000-0000-000076940000}"/>
    <cellStyle name="Normal 6 2 2 4 5 3" xfId="13031" xr:uid="{00000000-0005-0000-0000-000077940000}"/>
    <cellStyle name="Normal 6 2 2 4 5 3 2" xfId="36516" xr:uid="{00000000-0005-0000-0000-000078940000}"/>
    <cellStyle name="Normal 6 2 2 4 5 3 3" xfId="27197" xr:uid="{00000000-0005-0000-0000-000079940000}"/>
    <cellStyle name="Normal 6 2 2 4 5 3 4" xfId="50459" xr:uid="{00000000-0005-0000-0000-00007A940000}"/>
    <cellStyle name="Normal 6 2 2 4 5 4" xfId="17762" xr:uid="{00000000-0005-0000-0000-00007B940000}"/>
    <cellStyle name="Normal 6 2 2 4 5 4 2" xfId="31894" xr:uid="{00000000-0005-0000-0000-00007C940000}"/>
    <cellStyle name="Normal 6 2 2 4 5 4 3" xfId="45789" xr:uid="{00000000-0005-0000-0000-00007D940000}"/>
    <cellStyle name="Normal 6 2 2 4 5 5" xfId="22575" xr:uid="{00000000-0005-0000-0000-00007E940000}"/>
    <cellStyle name="Normal 6 2 2 4 5 6" xfId="41207" xr:uid="{00000000-0005-0000-0000-00007F940000}"/>
    <cellStyle name="Normal 6 2 2 4 6" xfId="7252" xr:uid="{00000000-0005-0000-0000-000080940000}"/>
    <cellStyle name="Normal 6 2 2 4 6 2" xfId="7253" xr:uid="{00000000-0005-0000-0000-000081940000}"/>
    <cellStyle name="Normal 6 2 2 4 6 2 2" xfId="13034" xr:uid="{00000000-0005-0000-0000-000082940000}"/>
    <cellStyle name="Normal 6 2 2 4 6 2 2 2" xfId="36519" xr:uid="{00000000-0005-0000-0000-000083940000}"/>
    <cellStyle name="Normal 6 2 2 4 6 2 2 3" xfId="27200" xr:uid="{00000000-0005-0000-0000-000084940000}"/>
    <cellStyle name="Normal 6 2 2 4 6 2 2 4" xfId="50462" xr:uid="{00000000-0005-0000-0000-000085940000}"/>
    <cellStyle name="Normal 6 2 2 4 6 2 3" xfId="17765" xr:uid="{00000000-0005-0000-0000-000086940000}"/>
    <cellStyle name="Normal 6 2 2 4 6 2 3 2" xfId="31897" xr:uid="{00000000-0005-0000-0000-000087940000}"/>
    <cellStyle name="Normal 6 2 2 4 6 2 3 3" xfId="45792" xr:uid="{00000000-0005-0000-0000-000088940000}"/>
    <cellStyle name="Normal 6 2 2 4 6 2 4" xfId="22578" xr:uid="{00000000-0005-0000-0000-000089940000}"/>
    <cellStyle name="Normal 6 2 2 4 6 2 5" xfId="41210" xr:uid="{00000000-0005-0000-0000-00008A940000}"/>
    <cellStyle name="Normal 6 2 2 4 6 3" xfId="13033" xr:uid="{00000000-0005-0000-0000-00008B940000}"/>
    <cellStyle name="Normal 6 2 2 4 6 3 2" xfId="36518" xr:uid="{00000000-0005-0000-0000-00008C940000}"/>
    <cellStyle name="Normal 6 2 2 4 6 3 3" xfId="27199" xr:uid="{00000000-0005-0000-0000-00008D940000}"/>
    <cellStyle name="Normal 6 2 2 4 6 3 4" xfId="50461" xr:uid="{00000000-0005-0000-0000-00008E940000}"/>
    <cellStyle name="Normal 6 2 2 4 6 4" xfId="17764" xr:uid="{00000000-0005-0000-0000-00008F940000}"/>
    <cellStyle name="Normal 6 2 2 4 6 4 2" xfId="31896" xr:uid="{00000000-0005-0000-0000-000090940000}"/>
    <cellStyle name="Normal 6 2 2 4 6 4 3" xfId="45791" xr:uid="{00000000-0005-0000-0000-000091940000}"/>
    <cellStyle name="Normal 6 2 2 4 6 5" xfId="22577" xr:uid="{00000000-0005-0000-0000-000092940000}"/>
    <cellStyle name="Normal 6 2 2 4 6 6" xfId="41209" xr:uid="{00000000-0005-0000-0000-000093940000}"/>
    <cellStyle name="Normal 6 2 2 4 7" xfId="7254" xr:uid="{00000000-0005-0000-0000-000094940000}"/>
    <cellStyle name="Normal 6 2 2 4 7 2" xfId="13035" xr:uid="{00000000-0005-0000-0000-000095940000}"/>
    <cellStyle name="Normal 6 2 2 4 7 2 2" xfId="36520" xr:uid="{00000000-0005-0000-0000-000096940000}"/>
    <cellStyle name="Normal 6 2 2 4 7 2 3" xfId="27201" xr:uid="{00000000-0005-0000-0000-000097940000}"/>
    <cellStyle name="Normal 6 2 2 4 7 2 4" xfId="50463" xr:uid="{00000000-0005-0000-0000-000098940000}"/>
    <cellStyle name="Normal 6 2 2 4 7 3" xfId="17766" xr:uid="{00000000-0005-0000-0000-000099940000}"/>
    <cellStyle name="Normal 6 2 2 4 7 3 2" xfId="31898" xr:uid="{00000000-0005-0000-0000-00009A940000}"/>
    <cellStyle name="Normal 6 2 2 4 7 3 3" xfId="45793" xr:uid="{00000000-0005-0000-0000-00009B940000}"/>
    <cellStyle name="Normal 6 2 2 4 7 4" xfId="22579" xr:uid="{00000000-0005-0000-0000-00009C940000}"/>
    <cellStyle name="Normal 6 2 2 4 7 5" xfId="41211" xr:uid="{00000000-0005-0000-0000-00009D940000}"/>
    <cellStyle name="Normal 6 2 2 4 8" xfId="13024" xr:uid="{00000000-0005-0000-0000-00009E940000}"/>
    <cellStyle name="Normal 6 2 2 4 8 2" xfId="36509" xr:uid="{00000000-0005-0000-0000-00009F940000}"/>
    <cellStyle name="Normal 6 2 2 4 8 3" xfId="27190" xr:uid="{00000000-0005-0000-0000-0000A0940000}"/>
    <cellStyle name="Normal 6 2 2 4 8 4" xfId="50452" xr:uid="{00000000-0005-0000-0000-0000A1940000}"/>
    <cellStyle name="Normal 6 2 2 4 9" xfId="17755" xr:uid="{00000000-0005-0000-0000-0000A2940000}"/>
    <cellStyle name="Normal 6 2 2 4 9 2" xfId="31887" xr:uid="{00000000-0005-0000-0000-0000A3940000}"/>
    <cellStyle name="Normal 6 2 2 4 9 3" xfId="45782" xr:uid="{00000000-0005-0000-0000-0000A4940000}"/>
    <cellStyle name="Normal 6 2 2 40" xfId="7255" xr:uid="{00000000-0005-0000-0000-0000A5940000}"/>
    <cellStyle name="Normal 6 2 2 40 2" xfId="7256" xr:uid="{00000000-0005-0000-0000-0000A6940000}"/>
    <cellStyle name="Normal 6 2 2 40 2 2" xfId="13037" xr:uid="{00000000-0005-0000-0000-0000A7940000}"/>
    <cellStyle name="Normal 6 2 2 40 2 2 2" xfId="36522" xr:uid="{00000000-0005-0000-0000-0000A8940000}"/>
    <cellStyle name="Normal 6 2 2 40 2 2 3" xfId="27203" xr:uid="{00000000-0005-0000-0000-0000A9940000}"/>
    <cellStyle name="Normal 6 2 2 40 2 2 4" xfId="50465" xr:uid="{00000000-0005-0000-0000-0000AA940000}"/>
    <cellStyle name="Normal 6 2 2 40 2 3" xfId="17768" xr:uid="{00000000-0005-0000-0000-0000AB940000}"/>
    <cellStyle name="Normal 6 2 2 40 2 3 2" xfId="31900" xr:uid="{00000000-0005-0000-0000-0000AC940000}"/>
    <cellStyle name="Normal 6 2 2 40 2 3 3" xfId="45795" xr:uid="{00000000-0005-0000-0000-0000AD940000}"/>
    <cellStyle name="Normal 6 2 2 40 2 4" xfId="22581" xr:uid="{00000000-0005-0000-0000-0000AE940000}"/>
    <cellStyle name="Normal 6 2 2 40 2 5" xfId="41213" xr:uid="{00000000-0005-0000-0000-0000AF940000}"/>
    <cellStyle name="Normal 6 2 2 40 3" xfId="13036" xr:uid="{00000000-0005-0000-0000-0000B0940000}"/>
    <cellStyle name="Normal 6 2 2 40 3 2" xfId="36521" xr:uid="{00000000-0005-0000-0000-0000B1940000}"/>
    <cellStyle name="Normal 6 2 2 40 3 3" xfId="27202" xr:uid="{00000000-0005-0000-0000-0000B2940000}"/>
    <cellStyle name="Normal 6 2 2 40 3 4" xfId="50464" xr:uid="{00000000-0005-0000-0000-0000B3940000}"/>
    <cellStyle name="Normal 6 2 2 40 4" xfId="17767" xr:uid="{00000000-0005-0000-0000-0000B4940000}"/>
    <cellStyle name="Normal 6 2 2 40 4 2" xfId="31899" xr:uid="{00000000-0005-0000-0000-0000B5940000}"/>
    <cellStyle name="Normal 6 2 2 40 4 3" xfId="45794" xr:uid="{00000000-0005-0000-0000-0000B6940000}"/>
    <cellStyle name="Normal 6 2 2 40 5" xfId="22580" xr:uid="{00000000-0005-0000-0000-0000B7940000}"/>
    <cellStyle name="Normal 6 2 2 40 6" xfId="41212" xr:uid="{00000000-0005-0000-0000-0000B8940000}"/>
    <cellStyle name="Normal 6 2 2 41" xfId="7257" xr:uid="{00000000-0005-0000-0000-0000B9940000}"/>
    <cellStyle name="Normal 6 2 2 41 2" xfId="7258" xr:uid="{00000000-0005-0000-0000-0000BA940000}"/>
    <cellStyle name="Normal 6 2 2 41 2 2" xfId="13039" xr:uid="{00000000-0005-0000-0000-0000BB940000}"/>
    <cellStyle name="Normal 6 2 2 41 2 2 2" xfId="36524" xr:uid="{00000000-0005-0000-0000-0000BC940000}"/>
    <cellStyle name="Normal 6 2 2 41 2 2 3" xfId="27205" xr:uid="{00000000-0005-0000-0000-0000BD940000}"/>
    <cellStyle name="Normal 6 2 2 41 2 2 4" xfId="50467" xr:uid="{00000000-0005-0000-0000-0000BE940000}"/>
    <cellStyle name="Normal 6 2 2 41 2 3" xfId="17770" xr:uid="{00000000-0005-0000-0000-0000BF940000}"/>
    <cellStyle name="Normal 6 2 2 41 2 3 2" xfId="31902" xr:uid="{00000000-0005-0000-0000-0000C0940000}"/>
    <cellStyle name="Normal 6 2 2 41 2 3 3" xfId="45797" xr:uid="{00000000-0005-0000-0000-0000C1940000}"/>
    <cellStyle name="Normal 6 2 2 41 2 4" xfId="22583" xr:uid="{00000000-0005-0000-0000-0000C2940000}"/>
    <cellStyle name="Normal 6 2 2 41 2 5" xfId="41215" xr:uid="{00000000-0005-0000-0000-0000C3940000}"/>
    <cellStyle name="Normal 6 2 2 41 3" xfId="13038" xr:uid="{00000000-0005-0000-0000-0000C4940000}"/>
    <cellStyle name="Normal 6 2 2 41 3 2" xfId="36523" xr:uid="{00000000-0005-0000-0000-0000C5940000}"/>
    <cellStyle name="Normal 6 2 2 41 3 3" xfId="27204" xr:uid="{00000000-0005-0000-0000-0000C6940000}"/>
    <cellStyle name="Normal 6 2 2 41 3 4" xfId="50466" xr:uid="{00000000-0005-0000-0000-0000C7940000}"/>
    <cellStyle name="Normal 6 2 2 41 4" xfId="17769" xr:uid="{00000000-0005-0000-0000-0000C8940000}"/>
    <cellStyle name="Normal 6 2 2 41 4 2" xfId="31901" xr:uid="{00000000-0005-0000-0000-0000C9940000}"/>
    <cellStyle name="Normal 6 2 2 41 4 3" xfId="45796" xr:uid="{00000000-0005-0000-0000-0000CA940000}"/>
    <cellStyle name="Normal 6 2 2 41 5" xfId="22582" xr:uid="{00000000-0005-0000-0000-0000CB940000}"/>
    <cellStyle name="Normal 6 2 2 41 6" xfId="41214" xr:uid="{00000000-0005-0000-0000-0000CC940000}"/>
    <cellStyle name="Normal 6 2 2 42" xfId="7259" xr:uid="{00000000-0005-0000-0000-0000CD940000}"/>
    <cellStyle name="Normal 6 2 2 42 2" xfId="7260" xr:uid="{00000000-0005-0000-0000-0000CE940000}"/>
    <cellStyle name="Normal 6 2 2 42 2 2" xfId="13041" xr:uid="{00000000-0005-0000-0000-0000CF940000}"/>
    <cellStyle name="Normal 6 2 2 42 2 2 2" xfId="36526" xr:uid="{00000000-0005-0000-0000-0000D0940000}"/>
    <cellStyle name="Normal 6 2 2 42 2 2 3" xfId="27207" xr:uid="{00000000-0005-0000-0000-0000D1940000}"/>
    <cellStyle name="Normal 6 2 2 42 2 2 4" xfId="50469" xr:uid="{00000000-0005-0000-0000-0000D2940000}"/>
    <cellStyle name="Normal 6 2 2 42 2 3" xfId="17772" xr:uid="{00000000-0005-0000-0000-0000D3940000}"/>
    <cellStyle name="Normal 6 2 2 42 2 3 2" xfId="31904" xr:uid="{00000000-0005-0000-0000-0000D4940000}"/>
    <cellStyle name="Normal 6 2 2 42 2 3 3" xfId="45799" xr:uid="{00000000-0005-0000-0000-0000D5940000}"/>
    <cellStyle name="Normal 6 2 2 42 2 4" xfId="22585" xr:uid="{00000000-0005-0000-0000-0000D6940000}"/>
    <cellStyle name="Normal 6 2 2 42 2 5" xfId="41217" xr:uid="{00000000-0005-0000-0000-0000D7940000}"/>
    <cellStyle name="Normal 6 2 2 42 3" xfId="13040" xr:uid="{00000000-0005-0000-0000-0000D8940000}"/>
    <cellStyle name="Normal 6 2 2 42 3 2" xfId="36525" xr:uid="{00000000-0005-0000-0000-0000D9940000}"/>
    <cellStyle name="Normal 6 2 2 42 3 3" xfId="27206" xr:uid="{00000000-0005-0000-0000-0000DA940000}"/>
    <cellStyle name="Normal 6 2 2 42 3 4" xfId="50468" xr:uid="{00000000-0005-0000-0000-0000DB940000}"/>
    <cellStyle name="Normal 6 2 2 42 4" xfId="17771" xr:uid="{00000000-0005-0000-0000-0000DC940000}"/>
    <cellStyle name="Normal 6 2 2 42 4 2" xfId="31903" xr:uid="{00000000-0005-0000-0000-0000DD940000}"/>
    <cellStyle name="Normal 6 2 2 42 4 3" xfId="45798" xr:uid="{00000000-0005-0000-0000-0000DE940000}"/>
    <cellStyle name="Normal 6 2 2 42 5" xfId="22584" xr:uid="{00000000-0005-0000-0000-0000DF940000}"/>
    <cellStyle name="Normal 6 2 2 42 6" xfId="41216" xr:uid="{00000000-0005-0000-0000-0000E0940000}"/>
    <cellStyle name="Normal 6 2 2 43" xfId="7261" xr:uid="{00000000-0005-0000-0000-0000E1940000}"/>
    <cellStyle name="Normal 6 2 2 43 2" xfId="7262" xr:uid="{00000000-0005-0000-0000-0000E2940000}"/>
    <cellStyle name="Normal 6 2 2 43 2 2" xfId="13043" xr:uid="{00000000-0005-0000-0000-0000E3940000}"/>
    <cellStyle name="Normal 6 2 2 43 2 2 2" xfId="36528" xr:uid="{00000000-0005-0000-0000-0000E4940000}"/>
    <cellStyle name="Normal 6 2 2 43 2 2 3" xfId="27209" xr:uid="{00000000-0005-0000-0000-0000E5940000}"/>
    <cellStyle name="Normal 6 2 2 43 2 2 4" xfId="50471" xr:uid="{00000000-0005-0000-0000-0000E6940000}"/>
    <cellStyle name="Normal 6 2 2 43 2 3" xfId="17774" xr:uid="{00000000-0005-0000-0000-0000E7940000}"/>
    <cellStyle name="Normal 6 2 2 43 2 3 2" xfId="31906" xr:uid="{00000000-0005-0000-0000-0000E8940000}"/>
    <cellStyle name="Normal 6 2 2 43 2 3 3" xfId="45801" xr:uid="{00000000-0005-0000-0000-0000E9940000}"/>
    <cellStyle name="Normal 6 2 2 43 2 4" xfId="22587" xr:uid="{00000000-0005-0000-0000-0000EA940000}"/>
    <cellStyle name="Normal 6 2 2 43 2 5" xfId="41219" xr:uid="{00000000-0005-0000-0000-0000EB940000}"/>
    <cellStyle name="Normal 6 2 2 43 3" xfId="13042" xr:uid="{00000000-0005-0000-0000-0000EC940000}"/>
    <cellStyle name="Normal 6 2 2 43 3 2" xfId="36527" xr:uid="{00000000-0005-0000-0000-0000ED940000}"/>
    <cellStyle name="Normal 6 2 2 43 3 3" xfId="27208" xr:uid="{00000000-0005-0000-0000-0000EE940000}"/>
    <cellStyle name="Normal 6 2 2 43 3 4" xfId="50470" xr:uid="{00000000-0005-0000-0000-0000EF940000}"/>
    <cellStyle name="Normal 6 2 2 43 4" xfId="17773" xr:uid="{00000000-0005-0000-0000-0000F0940000}"/>
    <cellStyle name="Normal 6 2 2 43 4 2" xfId="31905" xr:uid="{00000000-0005-0000-0000-0000F1940000}"/>
    <cellStyle name="Normal 6 2 2 43 4 3" xfId="45800" xr:uid="{00000000-0005-0000-0000-0000F2940000}"/>
    <cellStyle name="Normal 6 2 2 43 5" xfId="22586" xr:uid="{00000000-0005-0000-0000-0000F3940000}"/>
    <cellStyle name="Normal 6 2 2 43 6" xfId="41218" xr:uid="{00000000-0005-0000-0000-0000F4940000}"/>
    <cellStyle name="Normal 6 2 2 44" xfId="7263" xr:uid="{00000000-0005-0000-0000-0000F5940000}"/>
    <cellStyle name="Normal 6 2 2 44 2" xfId="7264" xr:uid="{00000000-0005-0000-0000-0000F6940000}"/>
    <cellStyle name="Normal 6 2 2 44 2 2" xfId="13045" xr:uid="{00000000-0005-0000-0000-0000F7940000}"/>
    <cellStyle name="Normal 6 2 2 44 2 2 2" xfId="36530" xr:uid="{00000000-0005-0000-0000-0000F8940000}"/>
    <cellStyle name="Normal 6 2 2 44 2 2 3" xfId="27211" xr:uid="{00000000-0005-0000-0000-0000F9940000}"/>
    <cellStyle name="Normal 6 2 2 44 2 2 4" xfId="50473" xr:uid="{00000000-0005-0000-0000-0000FA940000}"/>
    <cellStyle name="Normal 6 2 2 44 2 3" xfId="17776" xr:uid="{00000000-0005-0000-0000-0000FB940000}"/>
    <cellStyle name="Normal 6 2 2 44 2 3 2" xfId="31908" xr:uid="{00000000-0005-0000-0000-0000FC940000}"/>
    <cellStyle name="Normal 6 2 2 44 2 3 3" xfId="45803" xr:uid="{00000000-0005-0000-0000-0000FD940000}"/>
    <cellStyle name="Normal 6 2 2 44 2 4" xfId="22589" xr:uid="{00000000-0005-0000-0000-0000FE940000}"/>
    <cellStyle name="Normal 6 2 2 44 2 5" xfId="41221" xr:uid="{00000000-0005-0000-0000-0000FF940000}"/>
    <cellStyle name="Normal 6 2 2 44 3" xfId="13044" xr:uid="{00000000-0005-0000-0000-000000950000}"/>
    <cellStyle name="Normal 6 2 2 44 3 2" xfId="36529" xr:uid="{00000000-0005-0000-0000-000001950000}"/>
    <cellStyle name="Normal 6 2 2 44 3 3" xfId="27210" xr:uid="{00000000-0005-0000-0000-000002950000}"/>
    <cellStyle name="Normal 6 2 2 44 3 4" xfId="50472" xr:uid="{00000000-0005-0000-0000-000003950000}"/>
    <cellStyle name="Normal 6 2 2 44 4" xfId="17775" xr:uid="{00000000-0005-0000-0000-000004950000}"/>
    <cellStyle name="Normal 6 2 2 44 4 2" xfId="31907" xr:uid="{00000000-0005-0000-0000-000005950000}"/>
    <cellStyle name="Normal 6 2 2 44 4 3" xfId="45802" xr:uid="{00000000-0005-0000-0000-000006950000}"/>
    <cellStyle name="Normal 6 2 2 44 5" xfId="22588" xr:uid="{00000000-0005-0000-0000-000007950000}"/>
    <cellStyle name="Normal 6 2 2 44 6" xfId="41220" xr:uid="{00000000-0005-0000-0000-000008950000}"/>
    <cellStyle name="Normal 6 2 2 45" xfId="7265" xr:uid="{00000000-0005-0000-0000-000009950000}"/>
    <cellStyle name="Normal 6 2 2 45 2" xfId="7266" xr:uid="{00000000-0005-0000-0000-00000A950000}"/>
    <cellStyle name="Normal 6 2 2 45 2 2" xfId="13047" xr:uid="{00000000-0005-0000-0000-00000B950000}"/>
    <cellStyle name="Normal 6 2 2 45 2 2 2" xfId="36532" xr:uid="{00000000-0005-0000-0000-00000C950000}"/>
    <cellStyle name="Normal 6 2 2 45 2 2 3" xfId="27213" xr:uid="{00000000-0005-0000-0000-00000D950000}"/>
    <cellStyle name="Normal 6 2 2 45 2 2 4" xfId="50475" xr:uid="{00000000-0005-0000-0000-00000E950000}"/>
    <cellStyle name="Normal 6 2 2 45 2 3" xfId="17778" xr:uid="{00000000-0005-0000-0000-00000F950000}"/>
    <cellStyle name="Normal 6 2 2 45 2 3 2" xfId="31910" xr:uid="{00000000-0005-0000-0000-000010950000}"/>
    <cellStyle name="Normal 6 2 2 45 2 3 3" xfId="45805" xr:uid="{00000000-0005-0000-0000-000011950000}"/>
    <cellStyle name="Normal 6 2 2 45 2 4" xfId="22591" xr:uid="{00000000-0005-0000-0000-000012950000}"/>
    <cellStyle name="Normal 6 2 2 45 2 5" xfId="41223" xr:uid="{00000000-0005-0000-0000-000013950000}"/>
    <cellStyle name="Normal 6 2 2 45 3" xfId="13046" xr:uid="{00000000-0005-0000-0000-000014950000}"/>
    <cellStyle name="Normal 6 2 2 45 3 2" xfId="36531" xr:uid="{00000000-0005-0000-0000-000015950000}"/>
    <cellStyle name="Normal 6 2 2 45 3 3" xfId="27212" xr:uid="{00000000-0005-0000-0000-000016950000}"/>
    <cellStyle name="Normal 6 2 2 45 3 4" xfId="50474" xr:uid="{00000000-0005-0000-0000-000017950000}"/>
    <cellStyle name="Normal 6 2 2 45 4" xfId="17777" xr:uid="{00000000-0005-0000-0000-000018950000}"/>
    <cellStyle name="Normal 6 2 2 45 4 2" xfId="31909" xr:uid="{00000000-0005-0000-0000-000019950000}"/>
    <cellStyle name="Normal 6 2 2 45 4 3" xfId="45804" xr:uid="{00000000-0005-0000-0000-00001A950000}"/>
    <cellStyle name="Normal 6 2 2 45 5" xfId="22590" xr:uid="{00000000-0005-0000-0000-00001B950000}"/>
    <cellStyle name="Normal 6 2 2 45 6" xfId="41222" xr:uid="{00000000-0005-0000-0000-00001C950000}"/>
    <cellStyle name="Normal 6 2 2 46" xfId="7267" xr:uid="{00000000-0005-0000-0000-00001D950000}"/>
    <cellStyle name="Normal 6 2 2 46 2" xfId="7268" xr:uid="{00000000-0005-0000-0000-00001E950000}"/>
    <cellStyle name="Normal 6 2 2 46 2 2" xfId="13049" xr:uid="{00000000-0005-0000-0000-00001F950000}"/>
    <cellStyle name="Normal 6 2 2 46 2 2 2" xfId="36534" xr:uid="{00000000-0005-0000-0000-000020950000}"/>
    <cellStyle name="Normal 6 2 2 46 2 2 3" xfId="27215" xr:uid="{00000000-0005-0000-0000-000021950000}"/>
    <cellStyle name="Normal 6 2 2 46 2 2 4" xfId="50477" xr:uid="{00000000-0005-0000-0000-000022950000}"/>
    <cellStyle name="Normal 6 2 2 46 2 3" xfId="17780" xr:uid="{00000000-0005-0000-0000-000023950000}"/>
    <cellStyle name="Normal 6 2 2 46 2 3 2" xfId="31912" xr:uid="{00000000-0005-0000-0000-000024950000}"/>
    <cellStyle name="Normal 6 2 2 46 2 3 3" xfId="45807" xr:uid="{00000000-0005-0000-0000-000025950000}"/>
    <cellStyle name="Normal 6 2 2 46 2 4" xfId="22593" xr:uid="{00000000-0005-0000-0000-000026950000}"/>
    <cellStyle name="Normal 6 2 2 46 2 5" xfId="41225" xr:uid="{00000000-0005-0000-0000-000027950000}"/>
    <cellStyle name="Normal 6 2 2 46 3" xfId="13048" xr:uid="{00000000-0005-0000-0000-000028950000}"/>
    <cellStyle name="Normal 6 2 2 46 3 2" xfId="36533" xr:uid="{00000000-0005-0000-0000-000029950000}"/>
    <cellStyle name="Normal 6 2 2 46 3 3" xfId="27214" xr:uid="{00000000-0005-0000-0000-00002A950000}"/>
    <cellStyle name="Normal 6 2 2 46 3 4" xfId="50476" xr:uid="{00000000-0005-0000-0000-00002B950000}"/>
    <cellStyle name="Normal 6 2 2 46 4" xfId="17779" xr:uid="{00000000-0005-0000-0000-00002C950000}"/>
    <cellStyle name="Normal 6 2 2 46 4 2" xfId="31911" xr:uid="{00000000-0005-0000-0000-00002D950000}"/>
    <cellStyle name="Normal 6 2 2 46 4 3" xfId="45806" xr:uid="{00000000-0005-0000-0000-00002E950000}"/>
    <cellStyle name="Normal 6 2 2 46 5" xfId="22592" xr:uid="{00000000-0005-0000-0000-00002F950000}"/>
    <cellStyle name="Normal 6 2 2 46 6" xfId="41224" xr:uid="{00000000-0005-0000-0000-000030950000}"/>
    <cellStyle name="Normal 6 2 2 47" xfId="7269" xr:uid="{00000000-0005-0000-0000-000031950000}"/>
    <cellStyle name="Normal 6 2 2 47 2" xfId="7270" xr:uid="{00000000-0005-0000-0000-000032950000}"/>
    <cellStyle name="Normal 6 2 2 47 2 2" xfId="13051" xr:uid="{00000000-0005-0000-0000-000033950000}"/>
    <cellStyle name="Normal 6 2 2 47 2 2 2" xfId="36536" xr:uid="{00000000-0005-0000-0000-000034950000}"/>
    <cellStyle name="Normal 6 2 2 47 2 2 3" xfId="27217" xr:uid="{00000000-0005-0000-0000-000035950000}"/>
    <cellStyle name="Normal 6 2 2 47 2 2 4" xfId="50479" xr:uid="{00000000-0005-0000-0000-000036950000}"/>
    <cellStyle name="Normal 6 2 2 47 2 3" xfId="17782" xr:uid="{00000000-0005-0000-0000-000037950000}"/>
    <cellStyle name="Normal 6 2 2 47 2 3 2" xfId="31914" xr:uid="{00000000-0005-0000-0000-000038950000}"/>
    <cellStyle name="Normal 6 2 2 47 2 3 3" xfId="45809" xr:uid="{00000000-0005-0000-0000-000039950000}"/>
    <cellStyle name="Normal 6 2 2 47 2 4" xfId="22595" xr:uid="{00000000-0005-0000-0000-00003A950000}"/>
    <cellStyle name="Normal 6 2 2 47 2 5" xfId="41227" xr:uid="{00000000-0005-0000-0000-00003B950000}"/>
    <cellStyle name="Normal 6 2 2 47 3" xfId="13050" xr:uid="{00000000-0005-0000-0000-00003C950000}"/>
    <cellStyle name="Normal 6 2 2 47 3 2" xfId="36535" xr:uid="{00000000-0005-0000-0000-00003D950000}"/>
    <cellStyle name="Normal 6 2 2 47 3 3" xfId="27216" xr:uid="{00000000-0005-0000-0000-00003E950000}"/>
    <cellStyle name="Normal 6 2 2 47 3 4" xfId="50478" xr:uid="{00000000-0005-0000-0000-00003F950000}"/>
    <cellStyle name="Normal 6 2 2 47 4" xfId="17781" xr:uid="{00000000-0005-0000-0000-000040950000}"/>
    <cellStyle name="Normal 6 2 2 47 4 2" xfId="31913" xr:uid="{00000000-0005-0000-0000-000041950000}"/>
    <cellStyle name="Normal 6 2 2 47 4 3" xfId="45808" xr:uid="{00000000-0005-0000-0000-000042950000}"/>
    <cellStyle name="Normal 6 2 2 47 5" xfId="22594" xr:uid="{00000000-0005-0000-0000-000043950000}"/>
    <cellStyle name="Normal 6 2 2 47 6" xfId="41226" xr:uid="{00000000-0005-0000-0000-000044950000}"/>
    <cellStyle name="Normal 6 2 2 48" xfId="7271" xr:uid="{00000000-0005-0000-0000-000045950000}"/>
    <cellStyle name="Normal 6 2 2 48 2" xfId="7272" xr:uid="{00000000-0005-0000-0000-000046950000}"/>
    <cellStyle name="Normal 6 2 2 48 2 2" xfId="13053" xr:uid="{00000000-0005-0000-0000-000047950000}"/>
    <cellStyle name="Normal 6 2 2 48 2 2 2" xfId="36538" xr:uid="{00000000-0005-0000-0000-000048950000}"/>
    <cellStyle name="Normal 6 2 2 48 2 2 3" xfId="27219" xr:uid="{00000000-0005-0000-0000-000049950000}"/>
    <cellStyle name="Normal 6 2 2 48 2 2 4" xfId="50481" xr:uid="{00000000-0005-0000-0000-00004A950000}"/>
    <cellStyle name="Normal 6 2 2 48 2 3" xfId="17784" xr:uid="{00000000-0005-0000-0000-00004B950000}"/>
    <cellStyle name="Normal 6 2 2 48 2 3 2" xfId="31916" xr:uid="{00000000-0005-0000-0000-00004C950000}"/>
    <cellStyle name="Normal 6 2 2 48 2 3 3" xfId="45811" xr:uid="{00000000-0005-0000-0000-00004D950000}"/>
    <cellStyle name="Normal 6 2 2 48 2 4" xfId="22597" xr:uid="{00000000-0005-0000-0000-00004E950000}"/>
    <cellStyle name="Normal 6 2 2 48 2 5" xfId="41229" xr:uid="{00000000-0005-0000-0000-00004F950000}"/>
    <cellStyle name="Normal 6 2 2 48 3" xfId="13052" xr:uid="{00000000-0005-0000-0000-000050950000}"/>
    <cellStyle name="Normal 6 2 2 48 3 2" xfId="36537" xr:uid="{00000000-0005-0000-0000-000051950000}"/>
    <cellStyle name="Normal 6 2 2 48 3 3" xfId="27218" xr:uid="{00000000-0005-0000-0000-000052950000}"/>
    <cellStyle name="Normal 6 2 2 48 3 4" xfId="50480" xr:uid="{00000000-0005-0000-0000-000053950000}"/>
    <cellStyle name="Normal 6 2 2 48 4" xfId="17783" xr:uid="{00000000-0005-0000-0000-000054950000}"/>
    <cellStyle name="Normal 6 2 2 48 4 2" xfId="31915" xr:uid="{00000000-0005-0000-0000-000055950000}"/>
    <cellStyle name="Normal 6 2 2 48 4 3" xfId="45810" xr:uid="{00000000-0005-0000-0000-000056950000}"/>
    <cellStyle name="Normal 6 2 2 48 5" xfId="22596" xr:uid="{00000000-0005-0000-0000-000057950000}"/>
    <cellStyle name="Normal 6 2 2 48 6" xfId="41228" xr:uid="{00000000-0005-0000-0000-000058950000}"/>
    <cellStyle name="Normal 6 2 2 49" xfId="7273" xr:uid="{00000000-0005-0000-0000-000059950000}"/>
    <cellStyle name="Normal 6 2 2 49 2" xfId="7274" xr:uid="{00000000-0005-0000-0000-00005A950000}"/>
    <cellStyle name="Normal 6 2 2 49 2 2" xfId="13055" xr:uid="{00000000-0005-0000-0000-00005B950000}"/>
    <cellStyle name="Normal 6 2 2 49 2 2 2" xfId="36540" xr:uid="{00000000-0005-0000-0000-00005C950000}"/>
    <cellStyle name="Normal 6 2 2 49 2 2 3" xfId="27221" xr:uid="{00000000-0005-0000-0000-00005D950000}"/>
    <cellStyle name="Normal 6 2 2 49 2 2 4" xfId="50483" xr:uid="{00000000-0005-0000-0000-00005E950000}"/>
    <cellStyle name="Normal 6 2 2 49 2 3" xfId="17786" xr:uid="{00000000-0005-0000-0000-00005F950000}"/>
    <cellStyle name="Normal 6 2 2 49 2 3 2" xfId="31918" xr:uid="{00000000-0005-0000-0000-000060950000}"/>
    <cellStyle name="Normal 6 2 2 49 2 3 3" xfId="45813" xr:uid="{00000000-0005-0000-0000-000061950000}"/>
    <cellStyle name="Normal 6 2 2 49 2 4" xfId="22599" xr:uid="{00000000-0005-0000-0000-000062950000}"/>
    <cellStyle name="Normal 6 2 2 49 2 5" xfId="41231" xr:uid="{00000000-0005-0000-0000-000063950000}"/>
    <cellStyle name="Normal 6 2 2 49 3" xfId="13054" xr:uid="{00000000-0005-0000-0000-000064950000}"/>
    <cellStyle name="Normal 6 2 2 49 3 2" xfId="36539" xr:uid="{00000000-0005-0000-0000-000065950000}"/>
    <cellStyle name="Normal 6 2 2 49 3 3" xfId="27220" xr:uid="{00000000-0005-0000-0000-000066950000}"/>
    <cellStyle name="Normal 6 2 2 49 3 4" xfId="50482" xr:uid="{00000000-0005-0000-0000-000067950000}"/>
    <cellStyle name="Normal 6 2 2 49 4" xfId="17785" xr:uid="{00000000-0005-0000-0000-000068950000}"/>
    <cellStyle name="Normal 6 2 2 49 4 2" xfId="31917" xr:uid="{00000000-0005-0000-0000-000069950000}"/>
    <cellStyle name="Normal 6 2 2 49 4 3" xfId="45812" xr:uid="{00000000-0005-0000-0000-00006A950000}"/>
    <cellStyle name="Normal 6 2 2 49 5" xfId="22598" xr:uid="{00000000-0005-0000-0000-00006B950000}"/>
    <cellStyle name="Normal 6 2 2 49 6" xfId="41230" xr:uid="{00000000-0005-0000-0000-00006C950000}"/>
    <cellStyle name="Normal 6 2 2 5" xfId="7275" xr:uid="{00000000-0005-0000-0000-00006D950000}"/>
    <cellStyle name="Normal 6 2 2 5 10" xfId="22600" xr:uid="{00000000-0005-0000-0000-00006E950000}"/>
    <cellStyle name="Normal 6 2 2 5 11" xfId="41232" xr:uid="{00000000-0005-0000-0000-00006F950000}"/>
    <cellStyle name="Normal 6 2 2 5 2" xfId="7276" xr:uid="{00000000-0005-0000-0000-000070950000}"/>
    <cellStyle name="Normal 6 2 2 5 2 2" xfId="7277" xr:uid="{00000000-0005-0000-0000-000071950000}"/>
    <cellStyle name="Normal 6 2 2 5 2 2 2" xfId="13058" xr:uid="{00000000-0005-0000-0000-000072950000}"/>
    <cellStyle name="Normal 6 2 2 5 2 2 2 2" xfId="36543" xr:uid="{00000000-0005-0000-0000-000073950000}"/>
    <cellStyle name="Normal 6 2 2 5 2 2 2 3" xfId="27224" xr:uid="{00000000-0005-0000-0000-000074950000}"/>
    <cellStyle name="Normal 6 2 2 5 2 2 2 4" xfId="50486" xr:uid="{00000000-0005-0000-0000-000075950000}"/>
    <cellStyle name="Normal 6 2 2 5 2 2 3" xfId="17789" xr:uid="{00000000-0005-0000-0000-000076950000}"/>
    <cellStyle name="Normal 6 2 2 5 2 2 3 2" xfId="31921" xr:uid="{00000000-0005-0000-0000-000077950000}"/>
    <cellStyle name="Normal 6 2 2 5 2 2 3 3" xfId="45816" xr:uid="{00000000-0005-0000-0000-000078950000}"/>
    <cellStyle name="Normal 6 2 2 5 2 2 4" xfId="22602" xr:uid="{00000000-0005-0000-0000-000079950000}"/>
    <cellStyle name="Normal 6 2 2 5 2 2 5" xfId="41234" xr:uid="{00000000-0005-0000-0000-00007A950000}"/>
    <cellStyle name="Normal 6 2 2 5 2 3" xfId="13057" xr:uid="{00000000-0005-0000-0000-00007B950000}"/>
    <cellStyle name="Normal 6 2 2 5 2 3 2" xfId="36542" xr:uid="{00000000-0005-0000-0000-00007C950000}"/>
    <cellStyle name="Normal 6 2 2 5 2 3 3" xfId="27223" xr:uid="{00000000-0005-0000-0000-00007D950000}"/>
    <cellStyle name="Normal 6 2 2 5 2 3 4" xfId="50485" xr:uid="{00000000-0005-0000-0000-00007E950000}"/>
    <cellStyle name="Normal 6 2 2 5 2 4" xfId="17788" xr:uid="{00000000-0005-0000-0000-00007F950000}"/>
    <cellStyle name="Normal 6 2 2 5 2 4 2" xfId="31920" xr:uid="{00000000-0005-0000-0000-000080950000}"/>
    <cellStyle name="Normal 6 2 2 5 2 4 3" xfId="45815" xr:uid="{00000000-0005-0000-0000-000081950000}"/>
    <cellStyle name="Normal 6 2 2 5 2 5" xfId="22601" xr:uid="{00000000-0005-0000-0000-000082950000}"/>
    <cellStyle name="Normal 6 2 2 5 2 6" xfId="41233" xr:uid="{00000000-0005-0000-0000-000083950000}"/>
    <cellStyle name="Normal 6 2 2 5 3" xfId="7278" xr:uid="{00000000-0005-0000-0000-000084950000}"/>
    <cellStyle name="Normal 6 2 2 5 3 2" xfId="7279" xr:uid="{00000000-0005-0000-0000-000085950000}"/>
    <cellStyle name="Normal 6 2 2 5 3 2 2" xfId="13060" xr:uid="{00000000-0005-0000-0000-000086950000}"/>
    <cellStyle name="Normal 6 2 2 5 3 2 2 2" xfId="36545" xr:uid="{00000000-0005-0000-0000-000087950000}"/>
    <cellStyle name="Normal 6 2 2 5 3 2 2 3" xfId="27226" xr:uid="{00000000-0005-0000-0000-000088950000}"/>
    <cellStyle name="Normal 6 2 2 5 3 2 2 4" xfId="50488" xr:uid="{00000000-0005-0000-0000-000089950000}"/>
    <cellStyle name="Normal 6 2 2 5 3 2 3" xfId="17791" xr:uid="{00000000-0005-0000-0000-00008A950000}"/>
    <cellStyle name="Normal 6 2 2 5 3 2 3 2" xfId="31923" xr:uid="{00000000-0005-0000-0000-00008B950000}"/>
    <cellStyle name="Normal 6 2 2 5 3 2 3 3" xfId="45818" xr:uid="{00000000-0005-0000-0000-00008C950000}"/>
    <cellStyle name="Normal 6 2 2 5 3 2 4" xfId="22604" xr:uid="{00000000-0005-0000-0000-00008D950000}"/>
    <cellStyle name="Normal 6 2 2 5 3 2 5" xfId="41236" xr:uid="{00000000-0005-0000-0000-00008E950000}"/>
    <cellStyle name="Normal 6 2 2 5 3 3" xfId="13059" xr:uid="{00000000-0005-0000-0000-00008F950000}"/>
    <cellStyle name="Normal 6 2 2 5 3 3 2" xfId="36544" xr:uid="{00000000-0005-0000-0000-000090950000}"/>
    <cellStyle name="Normal 6 2 2 5 3 3 3" xfId="27225" xr:uid="{00000000-0005-0000-0000-000091950000}"/>
    <cellStyle name="Normal 6 2 2 5 3 3 4" xfId="50487" xr:uid="{00000000-0005-0000-0000-000092950000}"/>
    <cellStyle name="Normal 6 2 2 5 3 4" xfId="17790" xr:uid="{00000000-0005-0000-0000-000093950000}"/>
    <cellStyle name="Normal 6 2 2 5 3 4 2" xfId="31922" xr:uid="{00000000-0005-0000-0000-000094950000}"/>
    <cellStyle name="Normal 6 2 2 5 3 4 3" xfId="45817" xr:uid="{00000000-0005-0000-0000-000095950000}"/>
    <cellStyle name="Normal 6 2 2 5 3 5" xfId="22603" xr:uid="{00000000-0005-0000-0000-000096950000}"/>
    <cellStyle name="Normal 6 2 2 5 3 6" xfId="41235" xr:uid="{00000000-0005-0000-0000-000097950000}"/>
    <cellStyle name="Normal 6 2 2 5 4" xfId="7280" xr:uid="{00000000-0005-0000-0000-000098950000}"/>
    <cellStyle name="Normal 6 2 2 5 4 2" xfId="7281" xr:uid="{00000000-0005-0000-0000-000099950000}"/>
    <cellStyle name="Normal 6 2 2 5 4 2 2" xfId="13062" xr:uid="{00000000-0005-0000-0000-00009A950000}"/>
    <cellStyle name="Normal 6 2 2 5 4 2 2 2" xfId="36547" xr:uid="{00000000-0005-0000-0000-00009B950000}"/>
    <cellStyle name="Normal 6 2 2 5 4 2 2 3" xfId="27228" xr:uid="{00000000-0005-0000-0000-00009C950000}"/>
    <cellStyle name="Normal 6 2 2 5 4 2 2 4" xfId="50490" xr:uid="{00000000-0005-0000-0000-00009D950000}"/>
    <cellStyle name="Normal 6 2 2 5 4 2 3" xfId="17793" xr:uid="{00000000-0005-0000-0000-00009E950000}"/>
    <cellStyle name="Normal 6 2 2 5 4 2 3 2" xfId="31925" xr:uid="{00000000-0005-0000-0000-00009F950000}"/>
    <cellStyle name="Normal 6 2 2 5 4 2 3 3" xfId="45820" xr:uid="{00000000-0005-0000-0000-0000A0950000}"/>
    <cellStyle name="Normal 6 2 2 5 4 2 4" xfId="22606" xr:uid="{00000000-0005-0000-0000-0000A1950000}"/>
    <cellStyle name="Normal 6 2 2 5 4 2 5" xfId="41238" xr:uid="{00000000-0005-0000-0000-0000A2950000}"/>
    <cellStyle name="Normal 6 2 2 5 4 3" xfId="13061" xr:uid="{00000000-0005-0000-0000-0000A3950000}"/>
    <cellStyle name="Normal 6 2 2 5 4 3 2" xfId="36546" xr:uid="{00000000-0005-0000-0000-0000A4950000}"/>
    <cellStyle name="Normal 6 2 2 5 4 3 3" xfId="27227" xr:uid="{00000000-0005-0000-0000-0000A5950000}"/>
    <cellStyle name="Normal 6 2 2 5 4 3 4" xfId="50489" xr:uid="{00000000-0005-0000-0000-0000A6950000}"/>
    <cellStyle name="Normal 6 2 2 5 4 4" xfId="17792" xr:uid="{00000000-0005-0000-0000-0000A7950000}"/>
    <cellStyle name="Normal 6 2 2 5 4 4 2" xfId="31924" xr:uid="{00000000-0005-0000-0000-0000A8950000}"/>
    <cellStyle name="Normal 6 2 2 5 4 4 3" xfId="45819" xr:uid="{00000000-0005-0000-0000-0000A9950000}"/>
    <cellStyle name="Normal 6 2 2 5 4 5" xfId="22605" xr:uid="{00000000-0005-0000-0000-0000AA950000}"/>
    <cellStyle name="Normal 6 2 2 5 4 6" xfId="41237" xr:uid="{00000000-0005-0000-0000-0000AB950000}"/>
    <cellStyle name="Normal 6 2 2 5 5" xfId="7282" xr:uid="{00000000-0005-0000-0000-0000AC950000}"/>
    <cellStyle name="Normal 6 2 2 5 5 2" xfId="7283" xr:uid="{00000000-0005-0000-0000-0000AD950000}"/>
    <cellStyle name="Normal 6 2 2 5 5 2 2" xfId="13064" xr:uid="{00000000-0005-0000-0000-0000AE950000}"/>
    <cellStyle name="Normal 6 2 2 5 5 2 2 2" xfId="36549" xr:uid="{00000000-0005-0000-0000-0000AF950000}"/>
    <cellStyle name="Normal 6 2 2 5 5 2 2 3" xfId="27230" xr:uid="{00000000-0005-0000-0000-0000B0950000}"/>
    <cellStyle name="Normal 6 2 2 5 5 2 2 4" xfId="50492" xr:uid="{00000000-0005-0000-0000-0000B1950000}"/>
    <cellStyle name="Normal 6 2 2 5 5 2 3" xfId="17795" xr:uid="{00000000-0005-0000-0000-0000B2950000}"/>
    <cellStyle name="Normal 6 2 2 5 5 2 3 2" xfId="31927" xr:uid="{00000000-0005-0000-0000-0000B3950000}"/>
    <cellStyle name="Normal 6 2 2 5 5 2 3 3" xfId="45822" xr:uid="{00000000-0005-0000-0000-0000B4950000}"/>
    <cellStyle name="Normal 6 2 2 5 5 2 4" xfId="22608" xr:uid="{00000000-0005-0000-0000-0000B5950000}"/>
    <cellStyle name="Normal 6 2 2 5 5 2 5" xfId="41240" xr:uid="{00000000-0005-0000-0000-0000B6950000}"/>
    <cellStyle name="Normal 6 2 2 5 5 3" xfId="13063" xr:uid="{00000000-0005-0000-0000-0000B7950000}"/>
    <cellStyle name="Normal 6 2 2 5 5 3 2" xfId="36548" xr:uid="{00000000-0005-0000-0000-0000B8950000}"/>
    <cellStyle name="Normal 6 2 2 5 5 3 3" xfId="27229" xr:uid="{00000000-0005-0000-0000-0000B9950000}"/>
    <cellStyle name="Normal 6 2 2 5 5 3 4" xfId="50491" xr:uid="{00000000-0005-0000-0000-0000BA950000}"/>
    <cellStyle name="Normal 6 2 2 5 5 4" xfId="17794" xr:uid="{00000000-0005-0000-0000-0000BB950000}"/>
    <cellStyle name="Normal 6 2 2 5 5 4 2" xfId="31926" xr:uid="{00000000-0005-0000-0000-0000BC950000}"/>
    <cellStyle name="Normal 6 2 2 5 5 4 3" xfId="45821" xr:uid="{00000000-0005-0000-0000-0000BD950000}"/>
    <cellStyle name="Normal 6 2 2 5 5 5" xfId="22607" xr:uid="{00000000-0005-0000-0000-0000BE950000}"/>
    <cellStyle name="Normal 6 2 2 5 5 6" xfId="41239" xr:uid="{00000000-0005-0000-0000-0000BF950000}"/>
    <cellStyle name="Normal 6 2 2 5 6" xfId="7284" xr:uid="{00000000-0005-0000-0000-0000C0950000}"/>
    <cellStyle name="Normal 6 2 2 5 6 2" xfId="7285" xr:uid="{00000000-0005-0000-0000-0000C1950000}"/>
    <cellStyle name="Normal 6 2 2 5 6 2 2" xfId="13066" xr:uid="{00000000-0005-0000-0000-0000C2950000}"/>
    <cellStyle name="Normal 6 2 2 5 6 2 2 2" xfId="36551" xr:uid="{00000000-0005-0000-0000-0000C3950000}"/>
    <cellStyle name="Normal 6 2 2 5 6 2 2 3" xfId="27232" xr:uid="{00000000-0005-0000-0000-0000C4950000}"/>
    <cellStyle name="Normal 6 2 2 5 6 2 2 4" xfId="50494" xr:uid="{00000000-0005-0000-0000-0000C5950000}"/>
    <cellStyle name="Normal 6 2 2 5 6 2 3" xfId="17797" xr:uid="{00000000-0005-0000-0000-0000C6950000}"/>
    <cellStyle name="Normal 6 2 2 5 6 2 3 2" xfId="31929" xr:uid="{00000000-0005-0000-0000-0000C7950000}"/>
    <cellStyle name="Normal 6 2 2 5 6 2 3 3" xfId="45824" xr:uid="{00000000-0005-0000-0000-0000C8950000}"/>
    <cellStyle name="Normal 6 2 2 5 6 2 4" xfId="22610" xr:uid="{00000000-0005-0000-0000-0000C9950000}"/>
    <cellStyle name="Normal 6 2 2 5 6 2 5" xfId="41242" xr:uid="{00000000-0005-0000-0000-0000CA950000}"/>
    <cellStyle name="Normal 6 2 2 5 6 3" xfId="13065" xr:uid="{00000000-0005-0000-0000-0000CB950000}"/>
    <cellStyle name="Normal 6 2 2 5 6 3 2" xfId="36550" xr:uid="{00000000-0005-0000-0000-0000CC950000}"/>
    <cellStyle name="Normal 6 2 2 5 6 3 3" xfId="27231" xr:uid="{00000000-0005-0000-0000-0000CD950000}"/>
    <cellStyle name="Normal 6 2 2 5 6 3 4" xfId="50493" xr:uid="{00000000-0005-0000-0000-0000CE950000}"/>
    <cellStyle name="Normal 6 2 2 5 6 4" xfId="17796" xr:uid="{00000000-0005-0000-0000-0000CF950000}"/>
    <cellStyle name="Normal 6 2 2 5 6 4 2" xfId="31928" xr:uid="{00000000-0005-0000-0000-0000D0950000}"/>
    <cellStyle name="Normal 6 2 2 5 6 4 3" xfId="45823" xr:uid="{00000000-0005-0000-0000-0000D1950000}"/>
    <cellStyle name="Normal 6 2 2 5 6 5" xfId="22609" xr:uid="{00000000-0005-0000-0000-0000D2950000}"/>
    <cellStyle name="Normal 6 2 2 5 6 6" xfId="41241" xr:uid="{00000000-0005-0000-0000-0000D3950000}"/>
    <cellStyle name="Normal 6 2 2 5 7" xfId="7286" xr:uid="{00000000-0005-0000-0000-0000D4950000}"/>
    <cellStyle name="Normal 6 2 2 5 7 2" xfId="13067" xr:uid="{00000000-0005-0000-0000-0000D5950000}"/>
    <cellStyle name="Normal 6 2 2 5 7 2 2" xfId="36552" xr:uid="{00000000-0005-0000-0000-0000D6950000}"/>
    <cellStyle name="Normal 6 2 2 5 7 2 3" xfId="27233" xr:uid="{00000000-0005-0000-0000-0000D7950000}"/>
    <cellStyle name="Normal 6 2 2 5 7 2 4" xfId="50495" xr:uid="{00000000-0005-0000-0000-0000D8950000}"/>
    <cellStyle name="Normal 6 2 2 5 7 3" xfId="17798" xr:uid="{00000000-0005-0000-0000-0000D9950000}"/>
    <cellStyle name="Normal 6 2 2 5 7 3 2" xfId="31930" xr:uid="{00000000-0005-0000-0000-0000DA950000}"/>
    <cellStyle name="Normal 6 2 2 5 7 3 3" xfId="45825" xr:uid="{00000000-0005-0000-0000-0000DB950000}"/>
    <cellStyle name="Normal 6 2 2 5 7 4" xfId="22611" xr:uid="{00000000-0005-0000-0000-0000DC950000}"/>
    <cellStyle name="Normal 6 2 2 5 7 5" xfId="41243" xr:uid="{00000000-0005-0000-0000-0000DD950000}"/>
    <cellStyle name="Normal 6 2 2 5 8" xfId="13056" xr:uid="{00000000-0005-0000-0000-0000DE950000}"/>
    <cellStyle name="Normal 6 2 2 5 8 2" xfId="36541" xr:uid="{00000000-0005-0000-0000-0000DF950000}"/>
    <cellStyle name="Normal 6 2 2 5 8 3" xfId="27222" xr:uid="{00000000-0005-0000-0000-0000E0950000}"/>
    <cellStyle name="Normal 6 2 2 5 8 4" xfId="50484" xr:uid="{00000000-0005-0000-0000-0000E1950000}"/>
    <cellStyle name="Normal 6 2 2 5 9" xfId="17787" xr:uid="{00000000-0005-0000-0000-0000E2950000}"/>
    <cellStyle name="Normal 6 2 2 5 9 2" xfId="31919" xr:uid="{00000000-0005-0000-0000-0000E3950000}"/>
    <cellStyle name="Normal 6 2 2 5 9 3" xfId="45814" xr:uid="{00000000-0005-0000-0000-0000E4950000}"/>
    <cellStyle name="Normal 6 2 2 50" xfId="7287" xr:uid="{00000000-0005-0000-0000-0000E5950000}"/>
    <cellStyle name="Normal 6 2 2 50 2" xfId="7288" xr:uid="{00000000-0005-0000-0000-0000E6950000}"/>
    <cellStyle name="Normal 6 2 2 50 2 2" xfId="13069" xr:uid="{00000000-0005-0000-0000-0000E7950000}"/>
    <cellStyle name="Normal 6 2 2 50 2 2 2" xfId="36554" xr:uid="{00000000-0005-0000-0000-0000E8950000}"/>
    <cellStyle name="Normal 6 2 2 50 2 2 3" xfId="27235" xr:uid="{00000000-0005-0000-0000-0000E9950000}"/>
    <cellStyle name="Normal 6 2 2 50 2 2 4" xfId="50497" xr:uid="{00000000-0005-0000-0000-0000EA950000}"/>
    <cellStyle name="Normal 6 2 2 50 2 3" xfId="17800" xr:uid="{00000000-0005-0000-0000-0000EB950000}"/>
    <cellStyle name="Normal 6 2 2 50 2 3 2" xfId="31932" xr:uid="{00000000-0005-0000-0000-0000EC950000}"/>
    <cellStyle name="Normal 6 2 2 50 2 3 3" xfId="45827" xr:uid="{00000000-0005-0000-0000-0000ED950000}"/>
    <cellStyle name="Normal 6 2 2 50 2 4" xfId="22613" xr:uid="{00000000-0005-0000-0000-0000EE950000}"/>
    <cellStyle name="Normal 6 2 2 50 2 5" xfId="41245" xr:uid="{00000000-0005-0000-0000-0000EF950000}"/>
    <cellStyle name="Normal 6 2 2 50 3" xfId="13068" xr:uid="{00000000-0005-0000-0000-0000F0950000}"/>
    <cellStyle name="Normal 6 2 2 50 3 2" xfId="36553" xr:uid="{00000000-0005-0000-0000-0000F1950000}"/>
    <cellStyle name="Normal 6 2 2 50 3 3" xfId="27234" xr:uid="{00000000-0005-0000-0000-0000F2950000}"/>
    <cellStyle name="Normal 6 2 2 50 3 4" xfId="50496" xr:uid="{00000000-0005-0000-0000-0000F3950000}"/>
    <cellStyle name="Normal 6 2 2 50 4" xfId="17799" xr:uid="{00000000-0005-0000-0000-0000F4950000}"/>
    <cellStyle name="Normal 6 2 2 50 4 2" xfId="31931" xr:uid="{00000000-0005-0000-0000-0000F5950000}"/>
    <cellStyle name="Normal 6 2 2 50 4 3" xfId="45826" xr:uid="{00000000-0005-0000-0000-0000F6950000}"/>
    <cellStyle name="Normal 6 2 2 50 5" xfId="22612" xr:uid="{00000000-0005-0000-0000-0000F7950000}"/>
    <cellStyle name="Normal 6 2 2 50 6" xfId="41244" xr:uid="{00000000-0005-0000-0000-0000F8950000}"/>
    <cellStyle name="Normal 6 2 2 51" xfId="7289" xr:uid="{00000000-0005-0000-0000-0000F9950000}"/>
    <cellStyle name="Normal 6 2 2 51 2" xfId="7290" xr:uid="{00000000-0005-0000-0000-0000FA950000}"/>
    <cellStyle name="Normal 6 2 2 51 2 2" xfId="13071" xr:uid="{00000000-0005-0000-0000-0000FB950000}"/>
    <cellStyle name="Normal 6 2 2 51 2 2 2" xfId="36556" xr:uid="{00000000-0005-0000-0000-0000FC950000}"/>
    <cellStyle name="Normal 6 2 2 51 2 2 3" xfId="27237" xr:uid="{00000000-0005-0000-0000-0000FD950000}"/>
    <cellStyle name="Normal 6 2 2 51 2 2 4" xfId="50499" xr:uid="{00000000-0005-0000-0000-0000FE950000}"/>
    <cellStyle name="Normal 6 2 2 51 2 3" xfId="17802" xr:uid="{00000000-0005-0000-0000-0000FF950000}"/>
    <cellStyle name="Normal 6 2 2 51 2 3 2" xfId="31934" xr:uid="{00000000-0005-0000-0000-000000960000}"/>
    <cellStyle name="Normal 6 2 2 51 2 3 3" xfId="45829" xr:uid="{00000000-0005-0000-0000-000001960000}"/>
    <cellStyle name="Normal 6 2 2 51 2 4" xfId="22615" xr:uid="{00000000-0005-0000-0000-000002960000}"/>
    <cellStyle name="Normal 6 2 2 51 2 5" xfId="41247" xr:uid="{00000000-0005-0000-0000-000003960000}"/>
    <cellStyle name="Normal 6 2 2 51 3" xfId="13070" xr:uid="{00000000-0005-0000-0000-000004960000}"/>
    <cellStyle name="Normal 6 2 2 51 3 2" xfId="36555" xr:uid="{00000000-0005-0000-0000-000005960000}"/>
    <cellStyle name="Normal 6 2 2 51 3 3" xfId="27236" xr:uid="{00000000-0005-0000-0000-000006960000}"/>
    <cellStyle name="Normal 6 2 2 51 3 4" xfId="50498" xr:uid="{00000000-0005-0000-0000-000007960000}"/>
    <cellStyle name="Normal 6 2 2 51 4" xfId="17801" xr:uid="{00000000-0005-0000-0000-000008960000}"/>
    <cellStyle name="Normal 6 2 2 51 4 2" xfId="31933" xr:uid="{00000000-0005-0000-0000-000009960000}"/>
    <cellStyle name="Normal 6 2 2 51 4 3" xfId="45828" xr:uid="{00000000-0005-0000-0000-00000A960000}"/>
    <cellStyle name="Normal 6 2 2 51 5" xfId="22614" xr:uid="{00000000-0005-0000-0000-00000B960000}"/>
    <cellStyle name="Normal 6 2 2 51 6" xfId="41246" xr:uid="{00000000-0005-0000-0000-00000C960000}"/>
    <cellStyle name="Normal 6 2 2 52" xfId="7291" xr:uid="{00000000-0005-0000-0000-00000D960000}"/>
    <cellStyle name="Normal 6 2 2 52 2" xfId="7292" xr:uid="{00000000-0005-0000-0000-00000E960000}"/>
    <cellStyle name="Normal 6 2 2 52 2 2" xfId="13073" xr:uid="{00000000-0005-0000-0000-00000F960000}"/>
    <cellStyle name="Normal 6 2 2 52 2 2 2" xfId="36558" xr:uid="{00000000-0005-0000-0000-000010960000}"/>
    <cellStyle name="Normal 6 2 2 52 2 2 3" xfId="27239" xr:uid="{00000000-0005-0000-0000-000011960000}"/>
    <cellStyle name="Normal 6 2 2 52 2 2 4" xfId="50501" xr:uid="{00000000-0005-0000-0000-000012960000}"/>
    <cellStyle name="Normal 6 2 2 52 2 3" xfId="17804" xr:uid="{00000000-0005-0000-0000-000013960000}"/>
    <cellStyle name="Normal 6 2 2 52 2 3 2" xfId="31936" xr:uid="{00000000-0005-0000-0000-000014960000}"/>
    <cellStyle name="Normal 6 2 2 52 2 3 3" xfId="45831" xr:uid="{00000000-0005-0000-0000-000015960000}"/>
    <cellStyle name="Normal 6 2 2 52 2 4" xfId="22617" xr:uid="{00000000-0005-0000-0000-000016960000}"/>
    <cellStyle name="Normal 6 2 2 52 2 5" xfId="41249" xr:uid="{00000000-0005-0000-0000-000017960000}"/>
    <cellStyle name="Normal 6 2 2 52 3" xfId="13072" xr:uid="{00000000-0005-0000-0000-000018960000}"/>
    <cellStyle name="Normal 6 2 2 52 3 2" xfId="36557" xr:uid="{00000000-0005-0000-0000-000019960000}"/>
    <cellStyle name="Normal 6 2 2 52 3 3" xfId="27238" xr:uid="{00000000-0005-0000-0000-00001A960000}"/>
    <cellStyle name="Normal 6 2 2 52 3 4" xfId="50500" xr:uid="{00000000-0005-0000-0000-00001B960000}"/>
    <cellStyle name="Normal 6 2 2 52 4" xfId="17803" xr:uid="{00000000-0005-0000-0000-00001C960000}"/>
    <cellStyle name="Normal 6 2 2 52 4 2" xfId="31935" xr:uid="{00000000-0005-0000-0000-00001D960000}"/>
    <cellStyle name="Normal 6 2 2 52 4 3" xfId="45830" xr:uid="{00000000-0005-0000-0000-00001E960000}"/>
    <cellStyle name="Normal 6 2 2 52 5" xfId="22616" xr:uid="{00000000-0005-0000-0000-00001F960000}"/>
    <cellStyle name="Normal 6 2 2 52 6" xfId="41248" xr:uid="{00000000-0005-0000-0000-000020960000}"/>
    <cellStyle name="Normal 6 2 2 53" xfId="7293" xr:uid="{00000000-0005-0000-0000-000021960000}"/>
    <cellStyle name="Normal 6 2 2 53 2" xfId="7294" xr:uid="{00000000-0005-0000-0000-000022960000}"/>
    <cellStyle name="Normal 6 2 2 53 2 2" xfId="13075" xr:uid="{00000000-0005-0000-0000-000023960000}"/>
    <cellStyle name="Normal 6 2 2 53 2 2 2" xfId="36560" xr:uid="{00000000-0005-0000-0000-000024960000}"/>
    <cellStyle name="Normal 6 2 2 53 2 2 3" xfId="27241" xr:uid="{00000000-0005-0000-0000-000025960000}"/>
    <cellStyle name="Normal 6 2 2 53 2 2 4" xfId="50503" xr:uid="{00000000-0005-0000-0000-000026960000}"/>
    <cellStyle name="Normal 6 2 2 53 2 3" xfId="17806" xr:uid="{00000000-0005-0000-0000-000027960000}"/>
    <cellStyle name="Normal 6 2 2 53 2 3 2" xfId="31938" xr:uid="{00000000-0005-0000-0000-000028960000}"/>
    <cellStyle name="Normal 6 2 2 53 2 3 3" xfId="45833" xr:uid="{00000000-0005-0000-0000-000029960000}"/>
    <cellStyle name="Normal 6 2 2 53 2 4" xfId="22619" xr:uid="{00000000-0005-0000-0000-00002A960000}"/>
    <cellStyle name="Normal 6 2 2 53 2 5" xfId="41251" xr:uid="{00000000-0005-0000-0000-00002B960000}"/>
    <cellStyle name="Normal 6 2 2 53 3" xfId="13074" xr:uid="{00000000-0005-0000-0000-00002C960000}"/>
    <cellStyle name="Normal 6 2 2 53 3 2" xfId="36559" xr:uid="{00000000-0005-0000-0000-00002D960000}"/>
    <cellStyle name="Normal 6 2 2 53 3 3" xfId="27240" xr:uid="{00000000-0005-0000-0000-00002E960000}"/>
    <cellStyle name="Normal 6 2 2 53 3 4" xfId="50502" xr:uid="{00000000-0005-0000-0000-00002F960000}"/>
    <cellStyle name="Normal 6 2 2 53 4" xfId="17805" xr:uid="{00000000-0005-0000-0000-000030960000}"/>
    <cellStyle name="Normal 6 2 2 53 4 2" xfId="31937" xr:uid="{00000000-0005-0000-0000-000031960000}"/>
    <cellStyle name="Normal 6 2 2 53 4 3" xfId="45832" xr:uid="{00000000-0005-0000-0000-000032960000}"/>
    <cellStyle name="Normal 6 2 2 53 5" xfId="22618" xr:uid="{00000000-0005-0000-0000-000033960000}"/>
    <cellStyle name="Normal 6 2 2 53 6" xfId="41250" xr:uid="{00000000-0005-0000-0000-000034960000}"/>
    <cellStyle name="Normal 6 2 2 54" xfId="7295" xr:uid="{00000000-0005-0000-0000-000035960000}"/>
    <cellStyle name="Normal 6 2 2 54 2" xfId="7296" xr:uid="{00000000-0005-0000-0000-000036960000}"/>
    <cellStyle name="Normal 6 2 2 54 2 2" xfId="13077" xr:uid="{00000000-0005-0000-0000-000037960000}"/>
    <cellStyle name="Normal 6 2 2 54 2 2 2" xfId="36562" xr:uid="{00000000-0005-0000-0000-000038960000}"/>
    <cellStyle name="Normal 6 2 2 54 2 2 3" xfId="27243" xr:uid="{00000000-0005-0000-0000-000039960000}"/>
    <cellStyle name="Normal 6 2 2 54 2 2 4" xfId="50505" xr:uid="{00000000-0005-0000-0000-00003A960000}"/>
    <cellStyle name="Normal 6 2 2 54 2 3" xfId="17808" xr:uid="{00000000-0005-0000-0000-00003B960000}"/>
    <cellStyle name="Normal 6 2 2 54 2 3 2" xfId="31940" xr:uid="{00000000-0005-0000-0000-00003C960000}"/>
    <cellStyle name="Normal 6 2 2 54 2 3 3" xfId="45835" xr:uid="{00000000-0005-0000-0000-00003D960000}"/>
    <cellStyle name="Normal 6 2 2 54 2 4" xfId="22621" xr:uid="{00000000-0005-0000-0000-00003E960000}"/>
    <cellStyle name="Normal 6 2 2 54 2 5" xfId="41253" xr:uid="{00000000-0005-0000-0000-00003F960000}"/>
    <cellStyle name="Normal 6 2 2 54 3" xfId="13076" xr:uid="{00000000-0005-0000-0000-000040960000}"/>
    <cellStyle name="Normal 6 2 2 54 3 2" xfId="36561" xr:uid="{00000000-0005-0000-0000-000041960000}"/>
    <cellStyle name="Normal 6 2 2 54 3 3" xfId="27242" xr:uid="{00000000-0005-0000-0000-000042960000}"/>
    <cellStyle name="Normal 6 2 2 54 3 4" xfId="50504" xr:uid="{00000000-0005-0000-0000-000043960000}"/>
    <cellStyle name="Normal 6 2 2 54 4" xfId="17807" xr:uid="{00000000-0005-0000-0000-000044960000}"/>
    <cellStyle name="Normal 6 2 2 54 4 2" xfId="31939" xr:uid="{00000000-0005-0000-0000-000045960000}"/>
    <cellStyle name="Normal 6 2 2 54 4 3" xfId="45834" xr:uid="{00000000-0005-0000-0000-000046960000}"/>
    <cellStyle name="Normal 6 2 2 54 5" xfId="22620" xr:uid="{00000000-0005-0000-0000-000047960000}"/>
    <cellStyle name="Normal 6 2 2 54 6" xfId="41252" xr:uid="{00000000-0005-0000-0000-000048960000}"/>
    <cellStyle name="Normal 6 2 2 55" xfId="7297" xr:uid="{00000000-0005-0000-0000-000049960000}"/>
    <cellStyle name="Normal 6 2 2 55 2" xfId="7298" xr:uid="{00000000-0005-0000-0000-00004A960000}"/>
    <cellStyle name="Normal 6 2 2 55 2 2" xfId="13079" xr:uid="{00000000-0005-0000-0000-00004B960000}"/>
    <cellStyle name="Normal 6 2 2 55 2 2 2" xfId="36564" xr:uid="{00000000-0005-0000-0000-00004C960000}"/>
    <cellStyle name="Normal 6 2 2 55 2 2 3" xfId="27245" xr:uid="{00000000-0005-0000-0000-00004D960000}"/>
    <cellStyle name="Normal 6 2 2 55 2 2 4" xfId="50507" xr:uid="{00000000-0005-0000-0000-00004E960000}"/>
    <cellStyle name="Normal 6 2 2 55 2 3" xfId="17810" xr:uid="{00000000-0005-0000-0000-00004F960000}"/>
    <cellStyle name="Normal 6 2 2 55 2 3 2" xfId="31942" xr:uid="{00000000-0005-0000-0000-000050960000}"/>
    <cellStyle name="Normal 6 2 2 55 2 3 3" xfId="45837" xr:uid="{00000000-0005-0000-0000-000051960000}"/>
    <cellStyle name="Normal 6 2 2 55 2 4" xfId="22623" xr:uid="{00000000-0005-0000-0000-000052960000}"/>
    <cellStyle name="Normal 6 2 2 55 2 5" xfId="41255" xr:uid="{00000000-0005-0000-0000-000053960000}"/>
    <cellStyle name="Normal 6 2 2 55 3" xfId="13078" xr:uid="{00000000-0005-0000-0000-000054960000}"/>
    <cellStyle name="Normal 6 2 2 55 3 2" xfId="36563" xr:uid="{00000000-0005-0000-0000-000055960000}"/>
    <cellStyle name="Normal 6 2 2 55 3 3" xfId="27244" xr:uid="{00000000-0005-0000-0000-000056960000}"/>
    <cellStyle name="Normal 6 2 2 55 3 4" xfId="50506" xr:uid="{00000000-0005-0000-0000-000057960000}"/>
    <cellStyle name="Normal 6 2 2 55 4" xfId="17809" xr:uid="{00000000-0005-0000-0000-000058960000}"/>
    <cellStyle name="Normal 6 2 2 55 4 2" xfId="31941" xr:uid="{00000000-0005-0000-0000-000059960000}"/>
    <cellStyle name="Normal 6 2 2 55 4 3" xfId="45836" xr:uid="{00000000-0005-0000-0000-00005A960000}"/>
    <cellStyle name="Normal 6 2 2 55 5" xfId="22622" xr:uid="{00000000-0005-0000-0000-00005B960000}"/>
    <cellStyle name="Normal 6 2 2 55 6" xfId="41254" xr:uid="{00000000-0005-0000-0000-00005C960000}"/>
    <cellStyle name="Normal 6 2 2 56" xfId="7299" xr:uid="{00000000-0005-0000-0000-00005D960000}"/>
    <cellStyle name="Normal 6 2 2 56 2" xfId="7300" xr:uid="{00000000-0005-0000-0000-00005E960000}"/>
    <cellStyle name="Normal 6 2 2 56 2 2" xfId="13081" xr:uid="{00000000-0005-0000-0000-00005F960000}"/>
    <cellStyle name="Normal 6 2 2 56 2 2 2" xfId="36566" xr:uid="{00000000-0005-0000-0000-000060960000}"/>
    <cellStyle name="Normal 6 2 2 56 2 2 3" xfId="27247" xr:uid="{00000000-0005-0000-0000-000061960000}"/>
    <cellStyle name="Normal 6 2 2 56 2 2 4" xfId="50509" xr:uid="{00000000-0005-0000-0000-000062960000}"/>
    <cellStyle name="Normal 6 2 2 56 2 3" xfId="17812" xr:uid="{00000000-0005-0000-0000-000063960000}"/>
    <cellStyle name="Normal 6 2 2 56 2 3 2" xfId="31944" xr:uid="{00000000-0005-0000-0000-000064960000}"/>
    <cellStyle name="Normal 6 2 2 56 2 3 3" xfId="45839" xr:uid="{00000000-0005-0000-0000-000065960000}"/>
    <cellStyle name="Normal 6 2 2 56 2 4" xfId="22625" xr:uid="{00000000-0005-0000-0000-000066960000}"/>
    <cellStyle name="Normal 6 2 2 56 2 5" xfId="41257" xr:uid="{00000000-0005-0000-0000-000067960000}"/>
    <cellStyle name="Normal 6 2 2 56 3" xfId="13080" xr:uid="{00000000-0005-0000-0000-000068960000}"/>
    <cellStyle name="Normal 6 2 2 56 3 2" xfId="36565" xr:uid="{00000000-0005-0000-0000-000069960000}"/>
    <cellStyle name="Normal 6 2 2 56 3 3" xfId="27246" xr:uid="{00000000-0005-0000-0000-00006A960000}"/>
    <cellStyle name="Normal 6 2 2 56 3 4" xfId="50508" xr:uid="{00000000-0005-0000-0000-00006B960000}"/>
    <cellStyle name="Normal 6 2 2 56 4" xfId="17811" xr:uid="{00000000-0005-0000-0000-00006C960000}"/>
    <cellStyle name="Normal 6 2 2 56 4 2" xfId="31943" xr:uid="{00000000-0005-0000-0000-00006D960000}"/>
    <cellStyle name="Normal 6 2 2 56 4 3" xfId="45838" xr:uid="{00000000-0005-0000-0000-00006E960000}"/>
    <cellStyle name="Normal 6 2 2 56 5" xfId="22624" xr:uid="{00000000-0005-0000-0000-00006F960000}"/>
    <cellStyle name="Normal 6 2 2 56 6" xfId="41256" xr:uid="{00000000-0005-0000-0000-000070960000}"/>
    <cellStyle name="Normal 6 2 2 57" xfId="7301" xr:uid="{00000000-0005-0000-0000-000071960000}"/>
    <cellStyle name="Normal 6 2 2 57 2" xfId="7302" xr:uid="{00000000-0005-0000-0000-000072960000}"/>
    <cellStyle name="Normal 6 2 2 57 2 2" xfId="13083" xr:uid="{00000000-0005-0000-0000-000073960000}"/>
    <cellStyle name="Normal 6 2 2 57 2 2 2" xfId="36568" xr:uid="{00000000-0005-0000-0000-000074960000}"/>
    <cellStyle name="Normal 6 2 2 57 2 2 3" xfId="27249" xr:uid="{00000000-0005-0000-0000-000075960000}"/>
    <cellStyle name="Normal 6 2 2 57 2 2 4" xfId="50511" xr:uid="{00000000-0005-0000-0000-000076960000}"/>
    <cellStyle name="Normal 6 2 2 57 2 3" xfId="17814" xr:uid="{00000000-0005-0000-0000-000077960000}"/>
    <cellStyle name="Normal 6 2 2 57 2 3 2" xfId="31946" xr:uid="{00000000-0005-0000-0000-000078960000}"/>
    <cellStyle name="Normal 6 2 2 57 2 3 3" xfId="45841" xr:uid="{00000000-0005-0000-0000-000079960000}"/>
    <cellStyle name="Normal 6 2 2 57 2 4" xfId="22627" xr:uid="{00000000-0005-0000-0000-00007A960000}"/>
    <cellStyle name="Normal 6 2 2 57 2 5" xfId="41259" xr:uid="{00000000-0005-0000-0000-00007B960000}"/>
    <cellStyle name="Normal 6 2 2 57 3" xfId="13082" xr:uid="{00000000-0005-0000-0000-00007C960000}"/>
    <cellStyle name="Normal 6 2 2 57 3 2" xfId="36567" xr:uid="{00000000-0005-0000-0000-00007D960000}"/>
    <cellStyle name="Normal 6 2 2 57 3 3" xfId="27248" xr:uid="{00000000-0005-0000-0000-00007E960000}"/>
    <cellStyle name="Normal 6 2 2 57 3 4" xfId="50510" xr:uid="{00000000-0005-0000-0000-00007F960000}"/>
    <cellStyle name="Normal 6 2 2 57 4" xfId="17813" xr:uid="{00000000-0005-0000-0000-000080960000}"/>
    <cellStyle name="Normal 6 2 2 57 4 2" xfId="31945" xr:uid="{00000000-0005-0000-0000-000081960000}"/>
    <cellStyle name="Normal 6 2 2 57 4 3" xfId="45840" xr:uid="{00000000-0005-0000-0000-000082960000}"/>
    <cellStyle name="Normal 6 2 2 57 5" xfId="22626" xr:uid="{00000000-0005-0000-0000-000083960000}"/>
    <cellStyle name="Normal 6 2 2 57 6" xfId="41258" xr:uid="{00000000-0005-0000-0000-000084960000}"/>
    <cellStyle name="Normal 6 2 2 58" xfId="7303" xr:uid="{00000000-0005-0000-0000-000085960000}"/>
    <cellStyle name="Normal 6 2 2 58 2" xfId="7304" xr:uid="{00000000-0005-0000-0000-000086960000}"/>
    <cellStyle name="Normal 6 2 2 58 2 2" xfId="13085" xr:uid="{00000000-0005-0000-0000-000087960000}"/>
    <cellStyle name="Normal 6 2 2 58 2 2 2" xfId="36570" xr:uid="{00000000-0005-0000-0000-000088960000}"/>
    <cellStyle name="Normal 6 2 2 58 2 2 3" xfId="27251" xr:uid="{00000000-0005-0000-0000-000089960000}"/>
    <cellStyle name="Normal 6 2 2 58 2 2 4" xfId="50513" xr:uid="{00000000-0005-0000-0000-00008A960000}"/>
    <cellStyle name="Normal 6 2 2 58 2 3" xfId="17816" xr:uid="{00000000-0005-0000-0000-00008B960000}"/>
    <cellStyle name="Normal 6 2 2 58 2 3 2" xfId="31948" xr:uid="{00000000-0005-0000-0000-00008C960000}"/>
    <cellStyle name="Normal 6 2 2 58 2 3 3" xfId="45843" xr:uid="{00000000-0005-0000-0000-00008D960000}"/>
    <cellStyle name="Normal 6 2 2 58 2 4" xfId="22629" xr:uid="{00000000-0005-0000-0000-00008E960000}"/>
    <cellStyle name="Normal 6 2 2 58 2 5" xfId="41261" xr:uid="{00000000-0005-0000-0000-00008F960000}"/>
    <cellStyle name="Normal 6 2 2 58 3" xfId="13084" xr:uid="{00000000-0005-0000-0000-000090960000}"/>
    <cellStyle name="Normal 6 2 2 58 3 2" xfId="36569" xr:uid="{00000000-0005-0000-0000-000091960000}"/>
    <cellStyle name="Normal 6 2 2 58 3 3" xfId="27250" xr:uid="{00000000-0005-0000-0000-000092960000}"/>
    <cellStyle name="Normal 6 2 2 58 3 4" xfId="50512" xr:uid="{00000000-0005-0000-0000-000093960000}"/>
    <cellStyle name="Normal 6 2 2 58 4" xfId="17815" xr:uid="{00000000-0005-0000-0000-000094960000}"/>
    <cellStyle name="Normal 6 2 2 58 4 2" xfId="31947" xr:uid="{00000000-0005-0000-0000-000095960000}"/>
    <cellStyle name="Normal 6 2 2 58 4 3" xfId="45842" xr:uid="{00000000-0005-0000-0000-000096960000}"/>
    <cellStyle name="Normal 6 2 2 58 5" xfId="22628" xr:uid="{00000000-0005-0000-0000-000097960000}"/>
    <cellStyle name="Normal 6 2 2 58 6" xfId="41260" xr:uid="{00000000-0005-0000-0000-000098960000}"/>
    <cellStyle name="Normal 6 2 2 59" xfId="7305" xr:uid="{00000000-0005-0000-0000-000099960000}"/>
    <cellStyle name="Normal 6 2 2 59 2" xfId="7306" xr:uid="{00000000-0005-0000-0000-00009A960000}"/>
    <cellStyle name="Normal 6 2 2 59 2 2" xfId="13087" xr:uid="{00000000-0005-0000-0000-00009B960000}"/>
    <cellStyle name="Normal 6 2 2 59 2 2 2" xfId="36572" xr:uid="{00000000-0005-0000-0000-00009C960000}"/>
    <cellStyle name="Normal 6 2 2 59 2 2 3" xfId="27253" xr:uid="{00000000-0005-0000-0000-00009D960000}"/>
    <cellStyle name="Normal 6 2 2 59 2 2 4" xfId="50515" xr:uid="{00000000-0005-0000-0000-00009E960000}"/>
    <cellStyle name="Normal 6 2 2 59 2 3" xfId="17818" xr:uid="{00000000-0005-0000-0000-00009F960000}"/>
    <cellStyle name="Normal 6 2 2 59 2 3 2" xfId="31950" xr:uid="{00000000-0005-0000-0000-0000A0960000}"/>
    <cellStyle name="Normal 6 2 2 59 2 3 3" xfId="45845" xr:uid="{00000000-0005-0000-0000-0000A1960000}"/>
    <cellStyle name="Normal 6 2 2 59 2 4" xfId="22631" xr:uid="{00000000-0005-0000-0000-0000A2960000}"/>
    <cellStyle name="Normal 6 2 2 59 2 5" xfId="41263" xr:uid="{00000000-0005-0000-0000-0000A3960000}"/>
    <cellStyle name="Normal 6 2 2 59 3" xfId="13086" xr:uid="{00000000-0005-0000-0000-0000A4960000}"/>
    <cellStyle name="Normal 6 2 2 59 3 2" xfId="36571" xr:uid="{00000000-0005-0000-0000-0000A5960000}"/>
    <cellStyle name="Normal 6 2 2 59 3 3" xfId="27252" xr:uid="{00000000-0005-0000-0000-0000A6960000}"/>
    <cellStyle name="Normal 6 2 2 59 3 4" xfId="50514" xr:uid="{00000000-0005-0000-0000-0000A7960000}"/>
    <cellStyle name="Normal 6 2 2 59 4" xfId="17817" xr:uid="{00000000-0005-0000-0000-0000A8960000}"/>
    <cellStyle name="Normal 6 2 2 59 4 2" xfId="31949" xr:uid="{00000000-0005-0000-0000-0000A9960000}"/>
    <cellStyle name="Normal 6 2 2 59 4 3" xfId="45844" xr:uid="{00000000-0005-0000-0000-0000AA960000}"/>
    <cellStyle name="Normal 6 2 2 59 5" xfId="22630" xr:uid="{00000000-0005-0000-0000-0000AB960000}"/>
    <cellStyle name="Normal 6 2 2 59 6" xfId="41262" xr:uid="{00000000-0005-0000-0000-0000AC960000}"/>
    <cellStyle name="Normal 6 2 2 6" xfId="7307" xr:uid="{00000000-0005-0000-0000-0000AD960000}"/>
    <cellStyle name="Normal 6 2 2 6 10" xfId="22632" xr:uid="{00000000-0005-0000-0000-0000AE960000}"/>
    <cellStyle name="Normal 6 2 2 6 11" xfId="41264" xr:uid="{00000000-0005-0000-0000-0000AF960000}"/>
    <cellStyle name="Normal 6 2 2 6 2" xfId="7308" xr:uid="{00000000-0005-0000-0000-0000B0960000}"/>
    <cellStyle name="Normal 6 2 2 6 2 2" xfId="7309" xr:uid="{00000000-0005-0000-0000-0000B1960000}"/>
    <cellStyle name="Normal 6 2 2 6 2 2 2" xfId="13090" xr:uid="{00000000-0005-0000-0000-0000B2960000}"/>
    <cellStyle name="Normal 6 2 2 6 2 2 2 2" xfId="36575" xr:uid="{00000000-0005-0000-0000-0000B3960000}"/>
    <cellStyle name="Normal 6 2 2 6 2 2 2 3" xfId="27256" xr:uid="{00000000-0005-0000-0000-0000B4960000}"/>
    <cellStyle name="Normal 6 2 2 6 2 2 2 4" xfId="50518" xr:uid="{00000000-0005-0000-0000-0000B5960000}"/>
    <cellStyle name="Normal 6 2 2 6 2 2 3" xfId="17821" xr:uid="{00000000-0005-0000-0000-0000B6960000}"/>
    <cellStyle name="Normal 6 2 2 6 2 2 3 2" xfId="31953" xr:uid="{00000000-0005-0000-0000-0000B7960000}"/>
    <cellStyle name="Normal 6 2 2 6 2 2 3 3" xfId="45848" xr:uid="{00000000-0005-0000-0000-0000B8960000}"/>
    <cellStyle name="Normal 6 2 2 6 2 2 4" xfId="22634" xr:uid="{00000000-0005-0000-0000-0000B9960000}"/>
    <cellStyle name="Normal 6 2 2 6 2 2 5" xfId="41266" xr:uid="{00000000-0005-0000-0000-0000BA960000}"/>
    <cellStyle name="Normal 6 2 2 6 2 3" xfId="13089" xr:uid="{00000000-0005-0000-0000-0000BB960000}"/>
    <cellStyle name="Normal 6 2 2 6 2 3 2" xfId="36574" xr:uid="{00000000-0005-0000-0000-0000BC960000}"/>
    <cellStyle name="Normal 6 2 2 6 2 3 3" xfId="27255" xr:uid="{00000000-0005-0000-0000-0000BD960000}"/>
    <cellStyle name="Normal 6 2 2 6 2 3 4" xfId="50517" xr:uid="{00000000-0005-0000-0000-0000BE960000}"/>
    <cellStyle name="Normal 6 2 2 6 2 4" xfId="17820" xr:uid="{00000000-0005-0000-0000-0000BF960000}"/>
    <cellStyle name="Normal 6 2 2 6 2 4 2" xfId="31952" xr:uid="{00000000-0005-0000-0000-0000C0960000}"/>
    <cellStyle name="Normal 6 2 2 6 2 4 3" xfId="45847" xr:uid="{00000000-0005-0000-0000-0000C1960000}"/>
    <cellStyle name="Normal 6 2 2 6 2 5" xfId="22633" xr:uid="{00000000-0005-0000-0000-0000C2960000}"/>
    <cellStyle name="Normal 6 2 2 6 2 6" xfId="41265" xr:uid="{00000000-0005-0000-0000-0000C3960000}"/>
    <cellStyle name="Normal 6 2 2 6 3" xfId="7310" xr:uid="{00000000-0005-0000-0000-0000C4960000}"/>
    <cellStyle name="Normal 6 2 2 6 3 2" xfId="7311" xr:uid="{00000000-0005-0000-0000-0000C5960000}"/>
    <cellStyle name="Normal 6 2 2 6 3 2 2" xfId="13092" xr:uid="{00000000-0005-0000-0000-0000C6960000}"/>
    <cellStyle name="Normal 6 2 2 6 3 2 2 2" xfId="36577" xr:uid="{00000000-0005-0000-0000-0000C7960000}"/>
    <cellStyle name="Normal 6 2 2 6 3 2 2 3" xfId="27258" xr:uid="{00000000-0005-0000-0000-0000C8960000}"/>
    <cellStyle name="Normal 6 2 2 6 3 2 2 4" xfId="50520" xr:uid="{00000000-0005-0000-0000-0000C9960000}"/>
    <cellStyle name="Normal 6 2 2 6 3 2 3" xfId="17823" xr:uid="{00000000-0005-0000-0000-0000CA960000}"/>
    <cellStyle name="Normal 6 2 2 6 3 2 3 2" xfId="31955" xr:uid="{00000000-0005-0000-0000-0000CB960000}"/>
    <cellStyle name="Normal 6 2 2 6 3 2 3 3" xfId="45850" xr:uid="{00000000-0005-0000-0000-0000CC960000}"/>
    <cellStyle name="Normal 6 2 2 6 3 2 4" xfId="22636" xr:uid="{00000000-0005-0000-0000-0000CD960000}"/>
    <cellStyle name="Normal 6 2 2 6 3 2 5" xfId="41268" xr:uid="{00000000-0005-0000-0000-0000CE960000}"/>
    <cellStyle name="Normal 6 2 2 6 3 3" xfId="13091" xr:uid="{00000000-0005-0000-0000-0000CF960000}"/>
    <cellStyle name="Normal 6 2 2 6 3 3 2" xfId="36576" xr:uid="{00000000-0005-0000-0000-0000D0960000}"/>
    <cellStyle name="Normal 6 2 2 6 3 3 3" xfId="27257" xr:uid="{00000000-0005-0000-0000-0000D1960000}"/>
    <cellStyle name="Normal 6 2 2 6 3 3 4" xfId="50519" xr:uid="{00000000-0005-0000-0000-0000D2960000}"/>
    <cellStyle name="Normal 6 2 2 6 3 4" xfId="17822" xr:uid="{00000000-0005-0000-0000-0000D3960000}"/>
    <cellStyle name="Normal 6 2 2 6 3 4 2" xfId="31954" xr:uid="{00000000-0005-0000-0000-0000D4960000}"/>
    <cellStyle name="Normal 6 2 2 6 3 4 3" xfId="45849" xr:uid="{00000000-0005-0000-0000-0000D5960000}"/>
    <cellStyle name="Normal 6 2 2 6 3 5" xfId="22635" xr:uid="{00000000-0005-0000-0000-0000D6960000}"/>
    <cellStyle name="Normal 6 2 2 6 3 6" xfId="41267" xr:uid="{00000000-0005-0000-0000-0000D7960000}"/>
    <cellStyle name="Normal 6 2 2 6 4" xfId="7312" xr:uid="{00000000-0005-0000-0000-0000D8960000}"/>
    <cellStyle name="Normal 6 2 2 6 4 2" xfId="7313" xr:uid="{00000000-0005-0000-0000-0000D9960000}"/>
    <cellStyle name="Normal 6 2 2 6 4 2 2" xfId="13094" xr:uid="{00000000-0005-0000-0000-0000DA960000}"/>
    <cellStyle name="Normal 6 2 2 6 4 2 2 2" xfId="36579" xr:uid="{00000000-0005-0000-0000-0000DB960000}"/>
    <cellStyle name="Normal 6 2 2 6 4 2 2 3" xfId="27260" xr:uid="{00000000-0005-0000-0000-0000DC960000}"/>
    <cellStyle name="Normal 6 2 2 6 4 2 2 4" xfId="50522" xr:uid="{00000000-0005-0000-0000-0000DD960000}"/>
    <cellStyle name="Normal 6 2 2 6 4 2 3" xfId="17825" xr:uid="{00000000-0005-0000-0000-0000DE960000}"/>
    <cellStyle name="Normal 6 2 2 6 4 2 3 2" xfId="31957" xr:uid="{00000000-0005-0000-0000-0000DF960000}"/>
    <cellStyle name="Normal 6 2 2 6 4 2 3 3" xfId="45852" xr:uid="{00000000-0005-0000-0000-0000E0960000}"/>
    <cellStyle name="Normal 6 2 2 6 4 2 4" xfId="22638" xr:uid="{00000000-0005-0000-0000-0000E1960000}"/>
    <cellStyle name="Normal 6 2 2 6 4 2 5" xfId="41270" xr:uid="{00000000-0005-0000-0000-0000E2960000}"/>
    <cellStyle name="Normal 6 2 2 6 4 3" xfId="13093" xr:uid="{00000000-0005-0000-0000-0000E3960000}"/>
    <cellStyle name="Normal 6 2 2 6 4 3 2" xfId="36578" xr:uid="{00000000-0005-0000-0000-0000E4960000}"/>
    <cellStyle name="Normal 6 2 2 6 4 3 3" xfId="27259" xr:uid="{00000000-0005-0000-0000-0000E5960000}"/>
    <cellStyle name="Normal 6 2 2 6 4 3 4" xfId="50521" xr:uid="{00000000-0005-0000-0000-0000E6960000}"/>
    <cellStyle name="Normal 6 2 2 6 4 4" xfId="17824" xr:uid="{00000000-0005-0000-0000-0000E7960000}"/>
    <cellStyle name="Normal 6 2 2 6 4 4 2" xfId="31956" xr:uid="{00000000-0005-0000-0000-0000E8960000}"/>
    <cellStyle name="Normal 6 2 2 6 4 4 3" xfId="45851" xr:uid="{00000000-0005-0000-0000-0000E9960000}"/>
    <cellStyle name="Normal 6 2 2 6 4 5" xfId="22637" xr:uid="{00000000-0005-0000-0000-0000EA960000}"/>
    <cellStyle name="Normal 6 2 2 6 4 6" xfId="41269" xr:uid="{00000000-0005-0000-0000-0000EB960000}"/>
    <cellStyle name="Normal 6 2 2 6 5" xfId="7314" xr:uid="{00000000-0005-0000-0000-0000EC960000}"/>
    <cellStyle name="Normal 6 2 2 6 5 2" xfId="7315" xr:uid="{00000000-0005-0000-0000-0000ED960000}"/>
    <cellStyle name="Normal 6 2 2 6 5 2 2" xfId="13096" xr:uid="{00000000-0005-0000-0000-0000EE960000}"/>
    <cellStyle name="Normal 6 2 2 6 5 2 2 2" xfId="36581" xr:uid="{00000000-0005-0000-0000-0000EF960000}"/>
    <cellStyle name="Normal 6 2 2 6 5 2 2 3" xfId="27262" xr:uid="{00000000-0005-0000-0000-0000F0960000}"/>
    <cellStyle name="Normal 6 2 2 6 5 2 2 4" xfId="50524" xr:uid="{00000000-0005-0000-0000-0000F1960000}"/>
    <cellStyle name="Normal 6 2 2 6 5 2 3" xfId="17827" xr:uid="{00000000-0005-0000-0000-0000F2960000}"/>
    <cellStyle name="Normal 6 2 2 6 5 2 3 2" xfId="31959" xr:uid="{00000000-0005-0000-0000-0000F3960000}"/>
    <cellStyle name="Normal 6 2 2 6 5 2 3 3" xfId="45854" xr:uid="{00000000-0005-0000-0000-0000F4960000}"/>
    <cellStyle name="Normal 6 2 2 6 5 2 4" xfId="22640" xr:uid="{00000000-0005-0000-0000-0000F5960000}"/>
    <cellStyle name="Normal 6 2 2 6 5 2 5" xfId="41272" xr:uid="{00000000-0005-0000-0000-0000F6960000}"/>
    <cellStyle name="Normal 6 2 2 6 5 3" xfId="13095" xr:uid="{00000000-0005-0000-0000-0000F7960000}"/>
    <cellStyle name="Normal 6 2 2 6 5 3 2" xfId="36580" xr:uid="{00000000-0005-0000-0000-0000F8960000}"/>
    <cellStyle name="Normal 6 2 2 6 5 3 3" xfId="27261" xr:uid="{00000000-0005-0000-0000-0000F9960000}"/>
    <cellStyle name="Normal 6 2 2 6 5 3 4" xfId="50523" xr:uid="{00000000-0005-0000-0000-0000FA960000}"/>
    <cellStyle name="Normal 6 2 2 6 5 4" xfId="17826" xr:uid="{00000000-0005-0000-0000-0000FB960000}"/>
    <cellStyle name="Normal 6 2 2 6 5 4 2" xfId="31958" xr:uid="{00000000-0005-0000-0000-0000FC960000}"/>
    <cellStyle name="Normal 6 2 2 6 5 4 3" xfId="45853" xr:uid="{00000000-0005-0000-0000-0000FD960000}"/>
    <cellStyle name="Normal 6 2 2 6 5 5" xfId="22639" xr:uid="{00000000-0005-0000-0000-0000FE960000}"/>
    <cellStyle name="Normal 6 2 2 6 5 6" xfId="41271" xr:uid="{00000000-0005-0000-0000-0000FF960000}"/>
    <cellStyle name="Normal 6 2 2 6 6" xfId="7316" xr:uid="{00000000-0005-0000-0000-000000970000}"/>
    <cellStyle name="Normal 6 2 2 6 6 2" xfId="7317" xr:uid="{00000000-0005-0000-0000-000001970000}"/>
    <cellStyle name="Normal 6 2 2 6 6 2 2" xfId="13098" xr:uid="{00000000-0005-0000-0000-000002970000}"/>
    <cellStyle name="Normal 6 2 2 6 6 2 2 2" xfId="36583" xr:uid="{00000000-0005-0000-0000-000003970000}"/>
    <cellStyle name="Normal 6 2 2 6 6 2 2 3" xfId="27264" xr:uid="{00000000-0005-0000-0000-000004970000}"/>
    <cellStyle name="Normal 6 2 2 6 6 2 2 4" xfId="50526" xr:uid="{00000000-0005-0000-0000-000005970000}"/>
    <cellStyle name="Normal 6 2 2 6 6 2 3" xfId="17829" xr:uid="{00000000-0005-0000-0000-000006970000}"/>
    <cellStyle name="Normal 6 2 2 6 6 2 3 2" xfId="31961" xr:uid="{00000000-0005-0000-0000-000007970000}"/>
    <cellStyle name="Normal 6 2 2 6 6 2 3 3" xfId="45856" xr:uid="{00000000-0005-0000-0000-000008970000}"/>
    <cellStyle name="Normal 6 2 2 6 6 2 4" xfId="22642" xr:uid="{00000000-0005-0000-0000-000009970000}"/>
    <cellStyle name="Normal 6 2 2 6 6 2 5" xfId="41274" xr:uid="{00000000-0005-0000-0000-00000A970000}"/>
    <cellStyle name="Normal 6 2 2 6 6 3" xfId="13097" xr:uid="{00000000-0005-0000-0000-00000B970000}"/>
    <cellStyle name="Normal 6 2 2 6 6 3 2" xfId="36582" xr:uid="{00000000-0005-0000-0000-00000C970000}"/>
    <cellStyle name="Normal 6 2 2 6 6 3 3" xfId="27263" xr:uid="{00000000-0005-0000-0000-00000D970000}"/>
    <cellStyle name="Normal 6 2 2 6 6 3 4" xfId="50525" xr:uid="{00000000-0005-0000-0000-00000E970000}"/>
    <cellStyle name="Normal 6 2 2 6 6 4" xfId="17828" xr:uid="{00000000-0005-0000-0000-00000F970000}"/>
    <cellStyle name="Normal 6 2 2 6 6 4 2" xfId="31960" xr:uid="{00000000-0005-0000-0000-000010970000}"/>
    <cellStyle name="Normal 6 2 2 6 6 4 3" xfId="45855" xr:uid="{00000000-0005-0000-0000-000011970000}"/>
    <cellStyle name="Normal 6 2 2 6 6 5" xfId="22641" xr:uid="{00000000-0005-0000-0000-000012970000}"/>
    <cellStyle name="Normal 6 2 2 6 6 6" xfId="41273" xr:uid="{00000000-0005-0000-0000-000013970000}"/>
    <cellStyle name="Normal 6 2 2 6 7" xfId="7318" xr:uid="{00000000-0005-0000-0000-000014970000}"/>
    <cellStyle name="Normal 6 2 2 6 7 2" xfId="13099" xr:uid="{00000000-0005-0000-0000-000015970000}"/>
    <cellStyle name="Normal 6 2 2 6 7 2 2" xfId="36584" xr:uid="{00000000-0005-0000-0000-000016970000}"/>
    <cellStyle name="Normal 6 2 2 6 7 2 3" xfId="27265" xr:uid="{00000000-0005-0000-0000-000017970000}"/>
    <cellStyle name="Normal 6 2 2 6 7 2 4" xfId="50527" xr:uid="{00000000-0005-0000-0000-000018970000}"/>
    <cellStyle name="Normal 6 2 2 6 7 3" xfId="17830" xr:uid="{00000000-0005-0000-0000-000019970000}"/>
    <cellStyle name="Normal 6 2 2 6 7 3 2" xfId="31962" xr:uid="{00000000-0005-0000-0000-00001A970000}"/>
    <cellStyle name="Normal 6 2 2 6 7 3 3" xfId="45857" xr:uid="{00000000-0005-0000-0000-00001B970000}"/>
    <cellStyle name="Normal 6 2 2 6 7 4" xfId="22643" xr:uid="{00000000-0005-0000-0000-00001C970000}"/>
    <cellStyle name="Normal 6 2 2 6 7 5" xfId="41275" xr:uid="{00000000-0005-0000-0000-00001D970000}"/>
    <cellStyle name="Normal 6 2 2 6 8" xfId="13088" xr:uid="{00000000-0005-0000-0000-00001E970000}"/>
    <cellStyle name="Normal 6 2 2 6 8 2" xfId="36573" xr:uid="{00000000-0005-0000-0000-00001F970000}"/>
    <cellStyle name="Normal 6 2 2 6 8 3" xfId="27254" xr:uid="{00000000-0005-0000-0000-000020970000}"/>
    <cellStyle name="Normal 6 2 2 6 8 4" xfId="50516" xr:uid="{00000000-0005-0000-0000-000021970000}"/>
    <cellStyle name="Normal 6 2 2 6 9" xfId="17819" xr:uid="{00000000-0005-0000-0000-000022970000}"/>
    <cellStyle name="Normal 6 2 2 6 9 2" xfId="31951" xr:uid="{00000000-0005-0000-0000-000023970000}"/>
    <cellStyle name="Normal 6 2 2 6 9 3" xfId="45846" xr:uid="{00000000-0005-0000-0000-000024970000}"/>
    <cellStyle name="Normal 6 2 2 60" xfId="7319" xr:uid="{00000000-0005-0000-0000-000025970000}"/>
    <cellStyle name="Normal 6 2 2 60 2" xfId="7320" xr:uid="{00000000-0005-0000-0000-000026970000}"/>
    <cellStyle name="Normal 6 2 2 60 2 2" xfId="13101" xr:uid="{00000000-0005-0000-0000-000027970000}"/>
    <cellStyle name="Normal 6 2 2 60 2 2 2" xfId="36586" xr:uid="{00000000-0005-0000-0000-000028970000}"/>
    <cellStyle name="Normal 6 2 2 60 2 2 3" xfId="27267" xr:uid="{00000000-0005-0000-0000-000029970000}"/>
    <cellStyle name="Normal 6 2 2 60 2 2 4" xfId="50529" xr:uid="{00000000-0005-0000-0000-00002A970000}"/>
    <cellStyle name="Normal 6 2 2 60 2 3" xfId="17832" xr:uid="{00000000-0005-0000-0000-00002B970000}"/>
    <cellStyle name="Normal 6 2 2 60 2 3 2" xfId="31964" xr:uid="{00000000-0005-0000-0000-00002C970000}"/>
    <cellStyle name="Normal 6 2 2 60 2 3 3" xfId="45859" xr:uid="{00000000-0005-0000-0000-00002D970000}"/>
    <cellStyle name="Normal 6 2 2 60 2 4" xfId="22645" xr:uid="{00000000-0005-0000-0000-00002E970000}"/>
    <cellStyle name="Normal 6 2 2 60 2 5" xfId="41277" xr:uid="{00000000-0005-0000-0000-00002F970000}"/>
    <cellStyle name="Normal 6 2 2 60 3" xfId="13100" xr:uid="{00000000-0005-0000-0000-000030970000}"/>
    <cellStyle name="Normal 6 2 2 60 3 2" xfId="36585" xr:uid="{00000000-0005-0000-0000-000031970000}"/>
    <cellStyle name="Normal 6 2 2 60 3 3" xfId="27266" xr:uid="{00000000-0005-0000-0000-000032970000}"/>
    <cellStyle name="Normal 6 2 2 60 3 4" xfId="50528" xr:uid="{00000000-0005-0000-0000-000033970000}"/>
    <cellStyle name="Normal 6 2 2 60 4" xfId="17831" xr:uid="{00000000-0005-0000-0000-000034970000}"/>
    <cellStyle name="Normal 6 2 2 60 4 2" xfId="31963" xr:uid="{00000000-0005-0000-0000-000035970000}"/>
    <cellStyle name="Normal 6 2 2 60 4 3" xfId="45858" xr:uid="{00000000-0005-0000-0000-000036970000}"/>
    <cellStyle name="Normal 6 2 2 60 5" xfId="22644" xr:uid="{00000000-0005-0000-0000-000037970000}"/>
    <cellStyle name="Normal 6 2 2 60 6" xfId="41276" xr:uid="{00000000-0005-0000-0000-000038970000}"/>
    <cellStyle name="Normal 6 2 2 61" xfId="7321" xr:uid="{00000000-0005-0000-0000-000039970000}"/>
    <cellStyle name="Normal 6 2 2 61 2" xfId="7322" xr:uid="{00000000-0005-0000-0000-00003A970000}"/>
    <cellStyle name="Normal 6 2 2 61 2 2" xfId="13103" xr:uid="{00000000-0005-0000-0000-00003B970000}"/>
    <cellStyle name="Normal 6 2 2 61 2 2 2" xfId="36588" xr:uid="{00000000-0005-0000-0000-00003C970000}"/>
    <cellStyle name="Normal 6 2 2 61 2 2 3" xfId="27269" xr:uid="{00000000-0005-0000-0000-00003D970000}"/>
    <cellStyle name="Normal 6 2 2 61 2 2 4" xfId="50531" xr:uid="{00000000-0005-0000-0000-00003E970000}"/>
    <cellStyle name="Normal 6 2 2 61 2 3" xfId="17834" xr:uid="{00000000-0005-0000-0000-00003F970000}"/>
    <cellStyle name="Normal 6 2 2 61 2 3 2" xfId="31966" xr:uid="{00000000-0005-0000-0000-000040970000}"/>
    <cellStyle name="Normal 6 2 2 61 2 3 3" xfId="45861" xr:uid="{00000000-0005-0000-0000-000041970000}"/>
    <cellStyle name="Normal 6 2 2 61 2 4" xfId="22647" xr:uid="{00000000-0005-0000-0000-000042970000}"/>
    <cellStyle name="Normal 6 2 2 61 2 5" xfId="41279" xr:uid="{00000000-0005-0000-0000-000043970000}"/>
    <cellStyle name="Normal 6 2 2 61 3" xfId="13102" xr:uid="{00000000-0005-0000-0000-000044970000}"/>
    <cellStyle name="Normal 6 2 2 61 3 2" xfId="36587" xr:uid="{00000000-0005-0000-0000-000045970000}"/>
    <cellStyle name="Normal 6 2 2 61 3 3" xfId="27268" xr:uid="{00000000-0005-0000-0000-000046970000}"/>
    <cellStyle name="Normal 6 2 2 61 3 4" xfId="50530" xr:uid="{00000000-0005-0000-0000-000047970000}"/>
    <cellStyle name="Normal 6 2 2 61 4" xfId="17833" xr:uid="{00000000-0005-0000-0000-000048970000}"/>
    <cellStyle name="Normal 6 2 2 61 4 2" xfId="31965" xr:uid="{00000000-0005-0000-0000-000049970000}"/>
    <cellStyle name="Normal 6 2 2 61 4 3" xfId="45860" xr:uid="{00000000-0005-0000-0000-00004A970000}"/>
    <cellStyle name="Normal 6 2 2 61 5" xfId="22646" xr:uid="{00000000-0005-0000-0000-00004B970000}"/>
    <cellStyle name="Normal 6 2 2 61 6" xfId="41278" xr:uid="{00000000-0005-0000-0000-00004C970000}"/>
    <cellStyle name="Normal 6 2 2 62" xfId="7323" xr:uid="{00000000-0005-0000-0000-00004D970000}"/>
    <cellStyle name="Normal 6 2 2 62 2" xfId="7324" xr:uid="{00000000-0005-0000-0000-00004E970000}"/>
    <cellStyle name="Normal 6 2 2 62 2 2" xfId="13105" xr:uid="{00000000-0005-0000-0000-00004F970000}"/>
    <cellStyle name="Normal 6 2 2 62 2 2 2" xfId="36590" xr:uid="{00000000-0005-0000-0000-000050970000}"/>
    <cellStyle name="Normal 6 2 2 62 2 2 3" xfId="27271" xr:uid="{00000000-0005-0000-0000-000051970000}"/>
    <cellStyle name="Normal 6 2 2 62 2 2 4" xfId="50533" xr:uid="{00000000-0005-0000-0000-000052970000}"/>
    <cellStyle name="Normal 6 2 2 62 2 3" xfId="17836" xr:uid="{00000000-0005-0000-0000-000053970000}"/>
    <cellStyle name="Normal 6 2 2 62 2 3 2" xfId="31968" xr:uid="{00000000-0005-0000-0000-000054970000}"/>
    <cellStyle name="Normal 6 2 2 62 2 3 3" xfId="45863" xr:uid="{00000000-0005-0000-0000-000055970000}"/>
    <cellStyle name="Normal 6 2 2 62 2 4" xfId="22649" xr:uid="{00000000-0005-0000-0000-000056970000}"/>
    <cellStyle name="Normal 6 2 2 62 2 5" xfId="41281" xr:uid="{00000000-0005-0000-0000-000057970000}"/>
    <cellStyle name="Normal 6 2 2 62 3" xfId="13104" xr:uid="{00000000-0005-0000-0000-000058970000}"/>
    <cellStyle name="Normal 6 2 2 62 3 2" xfId="36589" xr:uid="{00000000-0005-0000-0000-000059970000}"/>
    <cellStyle name="Normal 6 2 2 62 3 3" xfId="27270" xr:uid="{00000000-0005-0000-0000-00005A970000}"/>
    <cellStyle name="Normal 6 2 2 62 3 4" xfId="50532" xr:uid="{00000000-0005-0000-0000-00005B970000}"/>
    <cellStyle name="Normal 6 2 2 62 4" xfId="17835" xr:uid="{00000000-0005-0000-0000-00005C970000}"/>
    <cellStyle name="Normal 6 2 2 62 4 2" xfId="31967" xr:uid="{00000000-0005-0000-0000-00005D970000}"/>
    <cellStyle name="Normal 6 2 2 62 4 3" xfId="45862" xr:uid="{00000000-0005-0000-0000-00005E970000}"/>
    <cellStyle name="Normal 6 2 2 62 5" xfId="22648" xr:uid="{00000000-0005-0000-0000-00005F970000}"/>
    <cellStyle name="Normal 6 2 2 62 6" xfId="41280" xr:uid="{00000000-0005-0000-0000-000060970000}"/>
    <cellStyle name="Normal 6 2 2 63" xfId="7325" xr:uid="{00000000-0005-0000-0000-000061970000}"/>
    <cellStyle name="Normal 6 2 2 63 2" xfId="7326" xr:uid="{00000000-0005-0000-0000-000062970000}"/>
    <cellStyle name="Normal 6 2 2 63 2 2" xfId="13107" xr:uid="{00000000-0005-0000-0000-000063970000}"/>
    <cellStyle name="Normal 6 2 2 63 2 2 2" xfId="36592" xr:uid="{00000000-0005-0000-0000-000064970000}"/>
    <cellStyle name="Normal 6 2 2 63 2 2 3" xfId="27273" xr:uid="{00000000-0005-0000-0000-000065970000}"/>
    <cellStyle name="Normal 6 2 2 63 2 2 4" xfId="50535" xr:uid="{00000000-0005-0000-0000-000066970000}"/>
    <cellStyle name="Normal 6 2 2 63 2 3" xfId="17838" xr:uid="{00000000-0005-0000-0000-000067970000}"/>
    <cellStyle name="Normal 6 2 2 63 2 3 2" xfId="31970" xr:uid="{00000000-0005-0000-0000-000068970000}"/>
    <cellStyle name="Normal 6 2 2 63 2 3 3" xfId="45865" xr:uid="{00000000-0005-0000-0000-000069970000}"/>
    <cellStyle name="Normal 6 2 2 63 2 4" xfId="22651" xr:uid="{00000000-0005-0000-0000-00006A970000}"/>
    <cellStyle name="Normal 6 2 2 63 2 5" xfId="41283" xr:uid="{00000000-0005-0000-0000-00006B970000}"/>
    <cellStyle name="Normal 6 2 2 63 3" xfId="13106" xr:uid="{00000000-0005-0000-0000-00006C970000}"/>
    <cellStyle name="Normal 6 2 2 63 3 2" xfId="36591" xr:uid="{00000000-0005-0000-0000-00006D970000}"/>
    <cellStyle name="Normal 6 2 2 63 3 3" xfId="27272" xr:uid="{00000000-0005-0000-0000-00006E970000}"/>
    <cellStyle name="Normal 6 2 2 63 3 4" xfId="50534" xr:uid="{00000000-0005-0000-0000-00006F970000}"/>
    <cellStyle name="Normal 6 2 2 63 4" xfId="17837" xr:uid="{00000000-0005-0000-0000-000070970000}"/>
    <cellStyle name="Normal 6 2 2 63 4 2" xfId="31969" xr:uid="{00000000-0005-0000-0000-000071970000}"/>
    <cellStyle name="Normal 6 2 2 63 4 3" xfId="45864" xr:uid="{00000000-0005-0000-0000-000072970000}"/>
    <cellStyle name="Normal 6 2 2 63 5" xfId="22650" xr:uid="{00000000-0005-0000-0000-000073970000}"/>
    <cellStyle name="Normal 6 2 2 63 6" xfId="41282" xr:uid="{00000000-0005-0000-0000-000074970000}"/>
    <cellStyle name="Normal 6 2 2 64" xfId="7327" xr:uid="{00000000-0005-0000-0000-000075970000}"/>
    <cellStyle name="Normal 6 2 2 64 2" xfId="7328" xr:uid="{00000000-0005-0000-0000-000076970000}"/>
    <cellStyle name="Normal 6 2 2 64 2 2" xfId="13109" xr:uid="{00000000-0005-0000-0000-000077970000}"/>
    <cellStyle name="Normal 6 2 2 64 2 2 2" xfId="36594" xr:uid="{00000000-0005-0000-0000-000078970000}"/>
    <cellStyle name="Normal 6 2 2 64 2 2 3" xfId="27275" xr:uid="{00000000-0005-0000-0000-000079970000}"/>
    <cellStyle name="Normal 6 2 2 64 2 2 4" xfId="50537" xr:uid="{00000000-0005-0000-0000-00007A970000}"/>
    <cellStyle name="Normal 6 2 2 64 2 3" xfId="17840" xr:uid="{00000000-0005-0000-0000-00007B970000}"/>
    <cellStyle name="Normal 6 2 2 64 2 3 2" xfId="31972" xr:uid="{00000000-0005-0000-0000-00007C970000}"/>
    <cellStyle name="Normal 6 2 2 64 2 3 3" xfId="45867" xr:uid="{00000000-0005-0000-0000-00007D970000}"/>
    <cellStyle name="Normal 6 2 2 64 2 4" xfId="22653" xr:uid="{00000000-0005-0000-0000-00007E970000}"/>
    <cellStyle name="Normal 6 2 2 64 2 5" xfId="41285" xr:uid="{00000000-0005-0000-0000-00007F970000}"/>
    <cellStyle name="Normal 6 2 2 64 3" xfId="13108" xr:uid="{00000000-0005-0000-0000-000080970000}"/>
    <cellStyle name="Normal 6 2 2 64 3 2" xfId="36593" xr:uid="{00000000-0005-0000-0000-000081970000}"/>
    <cellStyle name="Normal 6 2 2 64 3 3" xfId="27274" xr:uid="{00000000-0005-0000-0000-000082970000}"/>
    <cellStyle name="Normal 6 2 2 64 3 4" xfId="50536" xr:uid="{00000000-0005-0000-0000-000083970000}"/>
    <cellStyle name="Normal 6 2 2 64 4" xfId="17839" xr:uid="{00000000-0005-0000-0000-000084970000}"/>
    <cellStyle name="Normal 6 2 2 64 4 2" xfId="31971" xr:uid="{00000000-0005-0000-0000-000085970000}"/>
    <cellStyle name="Normal 6 2 2 64 4 3" xfId="45866" xr:uid="{00000000-0005-0000-0000-000086970000}"/>
    <cellStyle name="Normal 6 2 2 64 5" xfId="22652" xr:uid="{00000000-0005-0000-0000-000087970000}"/>
    <cellStyle name="Normal 6 2 2 64 6" xfId="41284" xr:uid="{00000000-0005-0000-0000-000088970000}"/>
    <cellStyle name="Normal 6 2 2 65" xfId="7329" xr:uid="{00000000-0005-0000-0000-000089970000}"/>
    <cellStyle name="Normal 6 2 2 65 2" xfId="7330" xr:uid="{00000000-0005-0000-0000-00008A970000}"/>
    <cellStyle name="Normal 6 2 2 65 2 2" xfId="13111" xr:uid="{00000000-0005-0000-0000-00008B970000}"/>
    <cellStyle name="Normal 6 2 2 65 2 2 2" xfId="36596" xr:uid="{00000000-0005-0000-0000-00008C970000}"/>
    <cellStyle name="Normal 6 2 2 65 2 2 3" xfId="27277" xr:uid="{00000000-0005-0000-0000-00008D970000}"/>
    <cellStyle name="Normal 6 2 2 65 2 2 4" xfId="50539" xr:uid="{00000000-0005-0000-0000-00008E970000}"/>
    <cellStyle name="Normal 6 2 2 65 2 3" xfId="17842" xr:uid="{00000000-0005-0000-0000-00008F970000}"/>
    <cellStyle name="Normal 6 2 2 65 2 3 2" xfId="31974" xr:uid="{00000000-0005-0000-0000-000090970000}"/>
    <cellStyle name="Normal 6 2 2 65 2 3 3" xfId="45869" xr:uid="{00000000-0005-0000-0000-000091970000}"/>
    <cellStyle name="Normal 6 2 2 65 2 4" xfId="22655" xr:uid="{00000000-0005-0000-0000-000092970000}"/>
    <cellStyle name="Normal 6 2 2 65 2 5" xfId="41287" xr:uid="{00000000-0005-0000-0000-000093970000}"/>
    <cellStyle name="Normal 6 2 2 65 3" xfId="13110" xr:uid="{00000000-0005-0000-0000-000094970000}"/>
    <cellStyle name="Normal 6 2 2 65 3 2" xfId="36595" xr:uid="{00000000-0005-0000-0000-000095970000}"/>
    <cellStyle name="Normal 6 2 2 65 3 3" xfId="27276" xr:uid="{00000000-0005-0000-0000-000096970000}"/>
    <cellStyle name="Normal 6 2 2 65 3 4" xfId="50538" xr:uid="{00000000-0005-0000-0000-000097970000}"/>
    <cellStyle name="Normal 6 2 2 65 4" xfId="17841" xr:uid="{00000000-0005-0000-0000-000098970000}"/>
    <cellStyle name="Normal 6 2 2 65 4 2" xfId="31973" xr:uid="{00000000-0005-0000-0000-000099970000}"/>
    <cellStyle name="Normal 6 2 2 65 4 3" xfId="45868" xr:uid="{00000000-0005-0000-0000-00009A970000}"/>
    <cellStyle name="Normal 6 2 2 65 5" xfId="22654" xr:uid="{00000000-0005-0000-0000-00009B970000}"/>
    <cellStyle name="Normal 6 2 2 65 6" xfId="41286" xr:uid="{00000000-0005-0000-0000-00009C970000}"/>
    <cellStyle name="Normal 6 2 2 66" xfId="7331" xr:uid="{00000000-0005-0000-0000-00009D970000}"/>
    <cellStyle name="Normal 6 2 2 66 2" xfId="7332" xr:uid="{00000000-0005-0000-0000-00009E970000}"/>
    <cellStyle name="Normal 6 2 2 66 2 2" xfId="13113" xr:uid="{00000000-0005-0000-0000-00009F970000}"/>
    <cellStyle name="Normal 6 2 2 66 2 2 2" xfId="36598" xr:uid="{00000000-0005-0000-0000-0000A0970000}"/>
    <cellStyle name="Normal 6 2 2 66 2 2 3" xfId="27279" xr:uid="{00000000-0005-0000-0000-0000A1970000}"/>
    <cellStyle name="Normal 6 2 2 66 2 2 4" xfId="50541" xr:uid="{00000000-0005-0000-0000-0000A2970000}"/>
    <cellStyle name="Normal 6 2 2 66 2 3" xfId="17844" xr:uid="{00000000-0005-0000-0000-0000A3970000}"/>
    <cellStyle name="Normal 6 2 2 66 2 3 2" xfId="31976" xr:uid="{00000000-0005-0000-0000-0000A4970000}"/>
    <cellStyle name="Normal 6 2 2 66 2 3 3" xfId="45871" xr:uid="{00000000-0005-0000-0000-0000A5970000}"/>
    <cellStyle name="Normal 6 2 2 66 2 4" xfId="22657" xr:uid="{00000000-0005-0000-0000-0000A6970000}"/>
    <cellStyle name="Normal 6 2 2 66 2 5" xfId="41289" xr:uid="{00000000-0005-0000-0000-0000A7970000}"/>
    <cellStyle name="Normal 6 2 2 66 3" xfId="13112" xr:uid="{00000000-0005-0000-0000-0000A8970000}"/>
    <cellStyle name="Normal 6 2 2 66 3 2" xfId="36597" xr:uid="{00000000-0005-0000-0000-0000A9970000}"/>
    <cellStyle name="Normal 6 2 2 66 3 3" xfId="27278" xr:uid="{00000000-0005-0000-0000-0000AA970000}"/>
    <cellStyle name="Normal 6 2 2 66 3 4" xfId="50540" xr:uid="{00000000-0005-0000-0000-0000AB970000}"/>
    <cellStyle name="Normal 6 2 2 66 4" xfId="17843" xr:uid="{00000000-0005-0000-0000-0000AC970000}"/>
    <cellStyle name="Normal 6 2 2 66 4 2" xfId="31975" xr:uid="{00000000-0005-0000-0000-0000AD970000}"/>
    <cellStyle name="Normal 6 2 2 66 4 3" xfId="45870" xr:uid="{00000000-0005-0000-0000-0000AE970000}"/>
    <cellStyle name="Normal 6 2 2 66 5" xfId="22656" xr:uid="{00000000-0005-0000-0000-0000AF970000}"/>
    <cellStyle name="Normal 6 2 2 66 6" xfId="41288" xr:uid="{00000000-0005-0000-0000-0000B0970000}"/>
    <cellStyle name="Normal 6 2 2 67" xfId="7333" xr:uid="{00000000-0005-0000-0000-0000B1970000}"/>
    <cellStyle name="Normal 6 2 2 67 2" xfId="7334" xr:uid="{00000000-0005-0000-0000-0000B2970000}"/>
    <cellStyle name="Normal 6 2 2 67 2 2" xfId="13115" xr:uid="{00000000-0005-0000-0000-0000B3970000}"/>
    <cellStyle name="Normal 6 2 2 67 2 2 2" xfId="36600" xr:uid="{00000000-0005-0000-0000-0000B4970000}"/>
    <cellStyle name="Normal 6 2 2 67 2 2 3" xfId="27281" xr:uid="{00000000-0005-0000-0000-0000B5970000}"/>
    <cellStyle name="Normal 6 2 2 67 2 2 4" xfId="50543" xr:uid="{00000000-0005-0000-0000-0000B6970000}"/>
    <cellStyle name="Normal 6 2 2 67 2 3" xfId="17846" xr:uid="{00000000-0005-0000-0000-0000B7970000}"/>
    <cellStyle name="Normal 6 2 2 67 2 3 2" xfId="31978" xr:uid="{00000000-0005-0000-0000-0000B8970000}"/>
    <cellStyle name="Normal 6 2 2 67 2 3 3" xfId="45873" xr:uid="{00000000-0005-0000-0000-0000B9970000}"/>
    <cellStyle name="Normal 6 2 2 67 2 4" xfId="22659" xr:uid="{00000000-0005-0000-0000-0000BA970000}"/>
    <cellStyle name="Normal 6 2 2 67 2 5" xfId="41291" xr:uid="{00000000-0005-0000-0000-0000BB970000}"/>
    <cellStyle name="Normal 6 2 2 67 3" xfId="13114" xr:uid="{00000000-0005-0000-0000-0000BC970000}"/>
    <cellStyle name="Normal 6 2 2 67 3 2" xfId="36599" xr:uid="{00000000-0005-0000-0000-0000BD970000}"/>
    <cellStyle name="Normal 6 2 2 67 3 3" xfId="27280" xr:uid="{00000000-0005-0000-0000-0000BE970000}"/>
    <cellStyle name="Normal 6 2 2 67 3 4" xfId="50542" xr:uid="{00000000-0005-0000-0000-0000BF970000}"/>
    <cellStyle name="Normal 6 2 2 67 4" xfId="17845" xr:uid="{00000000-0005-0000-0000-0000C0970000}"/>
    <cellStyle name="Normal 6 2 2 67 4 2" xfId="31977" xr:uid="{00000000-0005-0000-0000-0000C1970000}"/>
    <cellStyle name="Normal 6 2 2 67 4 3" xfId="45872" xr:uid="{00000000-0005-0000-0000-0000C2970000}"/>
    <cellStyle name="Normal 6 2 2 67 5" xfId="22658" xr:uid="{00000000-0005-0000-0000-0000C3970000}"/>
    <cellStyle name="Normal 6 2 2 67 6" xfId="41290" xr:uid="{00000000-0005-0000-0000-0000C4970000}"/>
    <cellStyle name="Normal 6 2 2 68" xfId="7335" xr:uid="{00000000-0005-0000-0000-0000C5970000}"/>
    <cellStyle name="Normal 6 2 2 68 2" xfId="7336" xr:uid="{00000000-0005-0000-0000-0000C6970000}"/>
    <cellStyle name="Normal 6 2 2 68 2 2" xfId="13117" xr:uid="{00000000-0005-0000-0000-0000C7970000}"/>
    <cellStyle name="Normal 6 2 2 68 2 2 2" xfId="36602" xr:uid="{00000000-0005-0000-0000-0000C8970000}"/>
    <cellStyle name="Normal 6 2 2 68 2 2 3" xfId="27283" xr:uid="{00000000-0005-0000-0000-0000C9970000}"/>
    <cellStyle name="Normal 6 2 2 68 2 2 4" xfId="50545" xr:uid="{00000000-0005-0000-0000-0000CA970000}"/>
    <cellStyle name="Normal 6 2 2 68 2 3" xfId="17848" xr:uid="{00000000-0005-0000-0000-0000CB970000}"/>
    <cellStyle name="Normal 6 2 2 68 2 3 2" xfId="31980" xr:uid="{00000000-0005-0000-0000-0000CC970000}"/>
    <cellStyle name="Normal 6 2 2 68 2 3 3" xfId="45875" xr:uid="{00000000-0005-0000-0000-0000CD970000}"/>
    <cellStyle name="Normal 6 2 2 68 2 4" xfId="22661" xr:uid="{00000000-0005-0000-0000-0000CE970000}"/>
    <cellStyle name="Normal 6 2 2 68 2 5" xfId="41293" xr:uid="{00000000-0005-0000-0000-0000CF970000}"/>
    <cellStyle name="Normal 6 2 2 68 3" xfId="13116" xr:uid="{00000000-0005-0000-0000-0000D0970000}"/>
    <cellStyle name="Normal 6 2 2 68 3 2" xfId="36601" xr:uid="{00000000-0005-0000-0000-0000D1970000}"/>
    <cellStyle name="Normal 6 2 2 68 3 3" xfId="27282" xr:uid="{00000000-0005-0000-0000-0000D2970000}"/>
    <cellStyle name="Normal 6 2 2 68 3 4" xfId="50544" xr:uid="{00000000-0005-0000-0000-0000D3970000}"/>
    <cellStyle name="Normal 6 2 2 68 4" xfId="17847" xr:uid="{00000000-0005-0000-0000-0000D4970000}"/>
    <cellStyle name="Normal 6 2 2 68 4 2" xfId="31979" xr:uid="{00000000-0005-0000-0000-0000D5970000}"/>
    <cellStyle name="Normal 6 2 2 68 4 3" xfId="45874" xr:uid="{00000000-0005-0000-0000-0000D6970000}"/>
    <cellStyle name="Normal 6 2 2 68 5" xfId="22660" xr:uid="{00000000-0005-0000-0000-0000D7970000}"/>
    <cellStyle name="Normal 6 2 2 68 6" xfId="41292" xr:uid="{00000000-0005-0000-0000-0000D8970000}"/>
    <cellStyle name="Normal 6 2 2 69" xfId="7337" xr:uid="{00000000-0005-0000-0000-0000D9970000}"/>
    <cellStyle name="Normal 6 2 2 69 2" xfId="7338" xr:uid="{00000000-0005-0000-0000-0000DA970000}"/>
    <cellStyle name="Normal 6 2 2 69 2 2" xfId="13119" xr:uid="{00000000-0005-0000-0000-0000DB970000}"/>
    <cellStyle name="Normal 6 2 2 69 2 2 2" xfId="36604" xr:uid="{00000000-0005-0000-0000-0000DC970000}"/>
    <cellStyle name="Normal 6 2 2 69 2 2 3" xfId="27285" xr:uid="{00000000-0005-0000-0000-0000DD970000}"/>
    <cellStyle name="Normal 6 2 2 69 2 2 4" xfId="50547" xr:uid="{00000000-0005-0000-0000-0000DE970000}"/>
    <cellStyle name="Normal 6 2 2 69 2 3" xfId="17850" xr:uid="{00000000-0005-0000-0000-0000DF970000}"/>
    <cellStyle name="Normal 6 2 2 69 2 3 2" xfId="31982" xr:uid="{00000000-0005-0000-0000-0000E0970000}"/>
    <cellStyle name="Normal 6 2 2 69 2 3 3" xfId="45877" xr:uid="{00000000-0005-0000-0000-0000E1970000}"/>
    <cellStyle name="Normal 6 2 2 69 2 4" xfId="22663" xr:uid="{00000000-0005-0000-0000-0000E2970000}"/>
    <cellStyle name="Normal 6 2 2 69 2 5" xfId="41295" xr:uid="{00000000-0005-0000-0000-0000E3970000}"/>
    <cellStyle name="Normal 6 2 2 69 3" xfId="13118" xr:uid="{00000000-0005-0000-0000-0000E4970000}"/>
    <cellStyle name="Normal 6 2 2 69 3 2" xfId="36603" xr:uid="{00000000-0005-0000-0000-0000E5970000}"/>
    <cellStyle name="Normal 6 2 2 69 3 3" xfId="27284" xr:uid="{00000000-0005-0000-0000-0000E6970000}"/>
    <cellStyle name="Normal 6 2 2 69 3 4" xfId="50546" xr:uid="{00000000-0005-0000-0000-0000E7970000}"/>
    <cellStyle name="Normal 6 2 2 69 4" xfId="17849" xr:uid="{00000000-0005-0000-0000-0000E8970000}"/>
    <cellStyle name="Normal 6 2 2 69 4 2" xfId="31981" xr:uid="{00000000-0005-0000-0000-0000E9970000}"/>
    <cellStyle name="Normal 6 2 2 69 4 3" xfId="45876" xr:uid="{00000000-0005-0000-0000-0000EA970000}"/>
    <cellStyle name="Normal 6 2 2 69 5" xfId="22662" xr:uid="{00000000-0005-0000-0000-0000EB970000}"/>
    <cellStyle name="Normal 6 2 2 69 6" xfId="41294" xr:uid="{00000000-0005-0000-0000-0000EC970000}"/>
    <cellStyle name="Normal 6 2 2 7" xfId="7339" xr:uid="{00000000-0005-0000-0000-0000ED970000}"/>
    <cellStyle name="Normal 6 2 2 7 10" xfId="22664" xr:uid="{00000000-0005-0000-0000-0000EE970000}"/>
    <cellStyle name="Normal 6 2 2 7 11" xfId="41296" xr:uid="{00000000-0005-0000-0000-0000EF970000}"/>
    <cellStyle name="Normal 6 2 2 7 2" xfId="7340" xr:uid="{00000000-0005-0000-0000-0000F0970000}"/>
    <cellStyle name="Normal 6 2 2 7 2 2" xfId="7341" xr:uid="{00000000-0005-0000-0000-0000F1970000}"/>
    <cellStyle name="Normal 6 2 2 7 2 2 2" xfId="13122" xr:uid="{00000000-0005-0000-0000-0000F2970000}"/>
    <cellStyle name="Normal 6 2 2 7 2 2 2 2" xfId="36607" xr:uid="{00000000-0005-0000-0000-0000F3970000}"/>
    <cellStyle name="Normal 6 2 2 7 2 2 2 3" xfId="27288" xr:uid="{00000000-0005-0000-0000-0000F4970000}"/>
    <cellStyle name="Normal 6 2 2 7 2 2 2 4" xfId="50550" xr:uid="{00000000-0005-0000-0000-0000F5970000}"/>
    <cellStyle name="Normal 6 2 2 7 2 2 3" xfId="17853" xr:uid="{00000000-0005-0000-0000-0000F6970000}"/>
    <cellStyle name="Normal 6 2 2 7 2 2 3 2" xfId="31985" xr:uid="{00000000-0005-0000-0000-0000F7970000}"/>
    <cellStyle name="Normal 6 2 2 7 2 2 3 3" xfId="45880" xr:uid="{00000000-0005-0000-0000-0000F8970000}"/>
    <cellStyle name="Normal 6 2 2 7 2 2 4" xfId="22666" xr:uid="{00000000-0005-0000-0000-0000F9970000}"/>
    <cellStyle name="Normal 6 2 2 7 2 2 5" xfId="41298" xr:uid="{00000000-0005-0000-0000-0000FA970000}"/>
    <cellStyle name="Normal 6 2 2 7 2 3" xfId="13121" xr:uid="{00000000-0005-0000-0000-0000FB970000}"/>
    <cellStyle name="Normal 6 2 2 7 2 3 2" xfId="36606" xr:uid="{00000000-0005-0000-0000-0000FC970000}"/>
    <cellStyle name="Normal 6 2 2 7 2 3 3" xfId="27287" xr:uid="{00000000-0005-0000-0000-0000FD970000}"/>
    <cellStyle name="Normal 6 2 2 7 2 3 4" xfId="50549" xr:uid="{00000000-0005-0000-0000-0000FE970000}"/>
    <cellStyle name="Normal 6 2 2 7 2 4" xfId="17852" xr:uid="{00000000-0005-0000-0000-0000FF970000}"/>
    <cellStyle name="Normal 6 2 2 7 2 4 2" xfId="31984" xr:uid="{00000000-0005-0000-0000-000000980000}"/>
    <cellStyle name="Normal 6 2 2 7 2 4 3" xfId="45879" xr:uid="{00000000-0005-0000-0000-000001980000}"/>
    <cellStyle name="Normal 6 2 2 7 2 5" xfId="22665" xr:uid="{00000000-0005-0000-0000-000002980000}"/>
    <cellStyle name="Normal 6 2 2 7 2 6" xfId="41297" xr:uid="{00000000-0005-0000-0000-000003980000}"/>
    <cellStyle name="Normal 6 2 2 7 3" xfId="7342" xr:uid="{00000000-0005-0000-0000-000004980000}"/>
    <cellStyle name="Normal 6 2 2 7 3 2" xfId="7343" xr:uid="{00000000-0005-0000-0000-000005980000}"/>
    <cellStyle name="Normal 6 2 2 7 3 2 2" xfId="13124" xr:uid="{00000000-0005-0000-0000-000006980000}"/>
    <cellStyle name="Normal 6 2 2 7 3 2 2 2" xfId="36609" xr:uid="{00000000-0005-0000-0000-000007980000}"/>
    <cellStyle name="Normal 6 2 2 7 3 2 2 3" xfId="27290" xr:uid="{00000000-0005-0000-0000-000008980000}"/>
    <cellStyle name="Normal 6 2 2 7 3 2 2 4" xfId="50552" xr:uid="{00000000-0005-0000-0000-000009980000}"/>
    <cellStyle name="Normal 6 2 2 7 3 2 3" xfId="17855" xr:uid="{00000000-0005-0000-0000-00000A980000}"/>
    <cellStyle name="Normal 6 2 2 7 3 2 3 2" xfId="31987" xr:uid="{00000000-0005-0000-0000-00000B980000}"/>
    <cellStyle name="Normal 6 2 2 7 3 2 3 3" xfId="45882" xr:uid="{00000000-0005-0000-0000-00000C980000}"/>
    <cellStyle name="Normal 6 2 2 7 3 2 4" xfId="22668" xr:uid="{00000000-0005-0000-0000-00000D980000}"/>
    <cellStyle name="Normal 6 2 2 7 3 2 5" xfId="41300" xr:uid="{00000000-0005-0000-0000-00000E980000}"/>
    <cellStyle name="Normal 6 2 2 7 3 3" xfId="13123" xr:uid="{00000000-0005-0000-0000-00000F980000}"/>
    <cellStyle name="Normal 6 2 2 7 3 3 2" xfId="36608" xr:uid="{00000000-0005-0000-0000-000010980000}"/>
    <cellStyle name="Normal 6 2 2 7 3 3 3" xfId="27289" xr:uid="{00000000-0005-0000-0000-000011980000}"/>
    <cellStyle name="Normal 6 2 2 7 3 3 4" xfId="50551" xr:uid="{00000000-0005-0000-0000-000012980000}"/>
    <cellStyle name="Normal 6 2 2 7 3 4" xfId="17854" xr:uid="{00000000-0005-0000-0000-000013980000}"/>
    <cellStyle name="Normal 6 2 2 7 3 4 2" xfId="31986" xr:uid="{00000000-0005-0000-0000-000014980000}"/>
    <cellStyle name="Normal 6 2 2 7 3 4 3" xfId="45881" xr:uid="{00000000-0005-0000-0000-000015980000}"/>
    <cellStyle name="Normal 6 2 2 7 3 5" xfId="22667" xr:uid="{00000000-0005-0000-0000-000016980000}"/>
    <cellStyle name="Normal 6 2 2 7 3 6" xfId="41299" xr:uid="{00000000-0005-0000-0000-000017980000}"/>
    <cellStyle name="Normal 6 2 2 7 4" xfId="7344" xr:uid="{00000000-0005-0000-0000-000018980000}"/>
    <cellStyle name="Normal 6 2 2 7 4 2" xfId="7345" xr:uid="{00000000-0005-0000-0000-000019980000}"/>
    <cellStyle name="Normal 6 2 2 7 4 2 2" xfId="13126" xr:uid="{00000000-0005-0000-0000-00001A980000}"/>
    <cellStyle name="Normal 6 2 2 7 4 2 2 2" xfId="36611" xr:uid="{00000000-0005-0000-0000-00001B980000}"/>
    <cellStyle name="Normal 6 2 2 7 4 2 2 3" xfId="27292" xr:uid="{00000000-0005-0000-0000-00001C980000}"/>
    <cellStyle name="Normal 6 2 2 7 4 2 2 4" xfId="50554" xr:uid="{00000000-0005-0000-0000-00001D980000}"/>
    <cellStyle name="Normal 6 2 2 7 4 2 3" xfId="17857" xr:uid="{00000000-0005-0000-0000-00001E980000}"/>
    <cellStyle name="Normal 6 2 2 7 4 2 3 2" xfId="31989" xr:uid="{00000000-0005-0000-0000-00001F980000}"/>
    <cellStyle name="Normal 6 2 2 7 4 2 3 3" xfId="45884" xr:uid="{00000000-0005-0000-0000-000020980000}"/>
    <cellStyle name="Normal 6 2 2 7 4 2 4" xfId="22670" xr:uid="{00000000-0005-0000-0000-000021980000}"/>
    <cellStyle name="Normal 6 2 2 7 4 2 5" xfId="41302" xr:uid="{00000000-0005-0000-0000-000022980000}"/>
    <cellStyle name="Normal 6 2 2 7 4 3" xfId="13125" xr:uid="{00000000-0005-0000-0000-000023980000}"/>
    <cellStyle name="Normal 6 2 2 7 4 3 2" xfId="36610" xr:uid="{00000000-0005-0000-0000-000024980000}"/>
    <cellStyle name="Normal 6 2 2 7 4 3 3" xfId="27291" xr:uid="{00000000-0005-0000-0000-000025980000}"/>
    <cellStyle name="Normal 6 2 2 7 4 3 4" xfId="50553" xr:uid="{00000000-0005-0000-0000-000026980000}"/>
    <cellStyle name="Normal 6 2 2 7 4 4" xfId="17856" xr:uid="{00000000-0005-0000-0000-000027980000}"/>
    <cellStyle name="Normal 6 2 2 7 4 4 2" xfId="31988" xr:uid="{00000000-0005-0000-0000-000028980000}"/>
    <cellStyle name="Normal 6 2 2 7 4 4 3" xfId="45883" xr:uid="{00000000-0005-0000-0000-000029980000}"/>
    <cellStyle name="Normal 6 2 2 7 4 5" xfId="22669" xr:uid="{00000000-0005-0000-0000-00002A980000}"/>
    <cellStyle name="Normal 6 2 2 7 4 6" xfId="41301" xr:uid="{00000000-0005-0000-0000-00002B980000}"/>
    <cellStyle name="Normal 6 2 2 7 5" xfId="7346" xr:uid="{00000000-0005-0000-0000-00002C980000}"/>
    <cellStyle name="Normal 6 2 2 7 5 2" xfId="7347" xr:uid="{00000000-0005-0000-0000-00002D980000}"/>
    <cellStyle name="Normal 6 2 2 7 5 2 2" xfId="13128" xr:uid="{00000000-0005-0000-0000-00002E980000}"/>
    <cellStyle name="Normal 6 2 2 7 5 2 2 2" xfId="36613" xr:uid="{00000000-0005-0000-0000-00002F980000}"/>
    <cellStyle name="Normal 6 2 2 7 5 2 2 3" xfId="27294" xr:uid="{00000000-0005-0000-0000-000030980000}"/>
    <cellStyle name="Normal 6 2 2 7 5 2 2 4" xfId="50556" xr:uid="{00000000-0005-0000-0000-000031980000}"/>
    <cellStyle name="Normal 6 2 2 7 5 2 3" xfId="17859" xr:uid="{00000000-0005-0000-0000-000032980000}"/>
    <cellStyle name="Normal 6 2 2 7 5 2 3 2" xfId="31991" xr:uid="{00000000-0005-0000-0000-000033980000}"/>
    <cellStyle name="Normal 6 2 2 7 5 2 3 3" xfId="45886" xr:uid="{00000000-0005-0000-0000-000034980000}"/>
    <cellStyle name="Normal 6 2 2 7 5 2 4" xfId="22672" xr:uid="{00000000-0005-0000-0000-000035980000}"/>
    <cellStyle name="Normal 6 2 2 7 5 2 5" xfId="41304" xr:uid="{00000000-0005-0000-0000-000036980000}"/>
    <cellStyle name="Normal 6 2 2 7 5 3" xfId="13127" xr:uid="{00000000-0005-0000-0000-000037980000}"/>
    <cellStyle name="Normal 6 2 2 7 5 3 2" xfId="36612" xr:uid="{00000000-0005-0000-0000-000038980000}"/>
    <cellStyle name="Normal 6 2 2 7 5 3 3" xfId="27293" xr:uid="{00000000-0005-0000-0000-000039980000}"/>
    <cellStyle name="Normal 6 2 2 7 5 3 4" xfId="50555" xr:uid="{00000000-0005-0000-0000-00003A980000}"/>
    <cellStyle name="Normal 6 2 2 7 5 4" xfId="17858" xr:uid="{00000000-0005-0000-0000-00003B980000}"/>
    <cellStyle name="Normal 6 2 2 7 5 4 2" xfId="31990" xr:uid="{00000000-0005-0000-0000-00003C980000}"/>
    <cellStyle name="Normal 6 2 2 7 5 4 3" xfId="45885" xr:uid="{00000000-0005-0000-0000-00003D980000}"/>
    <cellStyle name="Normal 6 2 2 7 5 5" xfId="22671" xr:uid="{00000000-0005-0000-0000-00003E980000}"/>
    <cellStyle name="Normal 6 2 2 7 5 6" xfId="41303" xr:uid="{00000000-0005-0000-0000-00003F980000}"/>
    <cellStyle name="Normal 6 2 2 7 6" xfId="7348" xr:uid="{00000000-0005-0000-0000-000040980000}"/>
    <cellStyle name="Normal 6 2 2 7 6 2" xfId="7349" xr:uid="{00000000-0005-0000-0000-000041980000}"/>
    <cellStyle name="Normal 6 2 2 7 6 2 2" xfId="13130" xr:uid="{00000000-0005-0000-0000-000042980000}"/>
    <cellStyle name="Normal 6 2 2 7 6 2 2 2" xfId="36615" xr:uid="{00000000-0005-0000-0000-000043980000}"/>
    <cellStyle name="Normal 6 2 2 7 6 2 2 3" xfId="27296" xr:uid="{00000000-0005-0000-0000-000044980000}"/>
    <cellStyle name="Normal 6 2 2 7 6 2 2 4" xfId="50558" xr:uid="{00000000-0005-0000-0000-000045980000}"/>
    <cellStyle name="Normal 6 2 2 7 6 2 3" xfId="17861" xr:uid="{00000000-0005-0000-0000-000046980000}"/>
    <cellStyle name="Normal 6 2 2 7 6 2 3 2" xfId="31993" xr:uid="{00000000-0005-0000-0000-000047980000}"/>
    <cellStyle name="Normal 6 2 2 7 6 2 3 3" xfId="45888" xr:uid="{00000000-0005-0000-0000-000048980000}"/>
    <cellStyle name="Normal 6 2 2 7 6 2 4" xfId="22674" xr:uid="{00000000-0005-0000-0000-000049980000}"/>
    <cellStyle name="Normal 6 2 2 7 6 2 5" xfId="41306" xr:uid="{00000000-0005-0000-0000-00004A980000}"/>
    <cellStyle name="Normal 6 2 2 7 6 3" xfId="13129" xr:uid="{00000000-0005-0000-0000-00004B980000}"/>
    <cellStyle name="Normal 6 2 2 7 6 3 2" xfId="36614" xr:uid="{00000000-0005-0000-0000-00004C980000}"/>
    <cellStyle name="Normal 6 2 2 7 6 3 3" xfId="27295" xr:uid="{00000000-0005-0000-0000-00004D980000}"/>
    <cellStyle name="Normal 6 2 2 7 6 3 4" xfId="50557" xr:uid="{00000000-0005-0000-0000-00004E980000}"/>
    <cellStyle name="Normal 6 2 2 7 6 4" xfId="17860" xr:uid="{00000000-0005-0000-0000-00004F980000}"/>
    <cellStyle name="Normal 6 2 2 7 6 4 2" xfId="31992" xr:uid="{00000000-0005-0000-0000-000050980000}"/>
    <cellStyle name="Normal 6 2 2 7 6 4 3" xfId="45887" xr:uid="{00000000-0005-0000-0000-000051980000}"/>
    <cellStyle name="Normal 6 2 2 7 6 5" xfId="22673" xr:uid="{00000000-0005-0000-0000-000052980000}"/>
    <cellStyle name="Normal 6 2 2 7 6 6" xfId="41305" xr:uid="{00000000-0005-0000-0000-000053980000}"/>
    <cellStyle name="Normal 6 2 2 7 7" xfId="7350" xr:uid="{00000000-0005-0000-0000-000054980000}"/>
    <cellStyle name="Normal 6 2 2 7 7 2" xfId="13131" xr:uid="{00000000-0005-0000-0000-000055980000}"/>
    <cellStyle name="Normal 6 2 2 7 7 2 2" xfId="36616" xr:uid="{00000000-0005-0000-0000-000056980000}"/>
    <cellStyle name="Normal 6 2 2 7 7 2 3" xfId="27297" xr:uid="{00000000-0005-0000-0000-000057980000}"/>
    <cellStyle name="Normal 6 2 2 7 7 2 4" xfId="50559" xr:uid="{00000000-0005-0000-0000-000058980000}"/>
    <cellStyle name="Normal 6 2 2 7 7 3" xfId="17862" xr:uid="{00000000-0005-0000-0000-000059980000}"/>
    <cellStyle name="Normal 6 2 2 7 7 3 2" xfId="31994" xr:uid="{00000000-0005-0000-0000-00005A980000}"/>
    <cellStyle name="Normal 6 2 2 7 7 3 3" xfId="45889" xr:uid="{00000000-0005-0000-0000-00005B980000}"/>
    <cellStyle name="Normal 6 2 2 7 7 4" xfId="22675" xr:uid="{00000000-0005-0000-0000-00005C980000}"/>
    <cellStyle name="Normal 6 2 2 7 7 5" xfId="41307" xr:uid="{00000000-0005-0000-0000-00005D980000}"/>
    <cellStyle name="Normal 6 2 2 7 8" xfId="13120" xr:uid="{00000000-0005-0000-0000-00005E980000}"/>
    <cellStyle name="Normal 6 2 2 7 8 2" xfId="36605" xr:uid="{00000000-0005-0000-0000-00005F980000}"/>
    <cellStyle name="Normal 6 2 2 7 8 3" xfId="27286" xr:uid="{00000000-0005-0000-0000-000060980000}"/>
    <cellStyle name="Normal 6 2 2 7 8 4" xfId="50548" xr:uid="{00000000-0005-0000-0000-000061980000}"/>
    <cellStyle name="Normal 6 2 2 7 9" xfId="17851" xr:uid="{00000000-0005-0000-0000-000062980000}"/>
    <cellStyle name="Normal 6 2 2 7 9 2" xfId="31983" xr:uid="{00000000-0005-0000-0000-000063980000}"/>
    <cellStyle name="Normal 6 2 2 7 9 3" xfId="45878" xr:uid="{00000000-0005-0000-0000-000064980000}"/>
    <cellStyle name="Normal 6 2 2 70" xfId="7351" xr:uid="{00000000-0005-0000-0000-000065980000}"/>
    <cellStyle name="Normal 6 2 2 70 2" xfId="7352" xr:uid="{00000000-0005-0000-0000-000066980000}"/>
    <cellStyle name="Normal 6 2 2 70 2 2" xfId="13133" xr:uid="{00000000-0005-0000-0000-000067980000}"/>
    <cellStyle name="Normal 6 2 2 70 2 2 2" xfId="36618" xr:uid="{00000000-0005-0000-0000-000068980000}"/>
    <cellStyle name="Normal 6 2 2 70 2 2 3" xfId="27299" xr:uid="{00000000-0005-0000-0000-000069980000}"/>
    <cellStyle name="Normal 6 2 2 70 2 2 4" xfId="50561" xr:uid="{00000000-0005-0000-0000-00006A980000}"/>
    <cellStyle name="Normal 6 2 2 70 2 3" xfId="17864" xr:uid="{00000000-0005-0000-0000-00006B980000}"/>
    <cellStyle name="Normal 6 2 2 70 2 3 2" xfId="31996" xr:uid="{00000000-0005-0000-0000-00006C980000}"/>
    <cellStyle name="Normal 6 2 2 70 2 3 3" xfId="45891" xr:uid="{00000000-0005-0000-0000-00006D980000}"/>
    <cellStyle name="Normal 6 2 2 70 2 4" xfId="22677" xr:uid="{00000000-0005-0000-0000-00006E980000}"/>
    <cellStyle name="Normal 6 2 2 70 2 5" xfId="41309" xr:uid="{00000000-0005-0000-0000-00006F980000}"/>
    <cellStyle name="Normal 6 2 2 70 3" xfId="13132" xr:uid="{00000000-0005-0000-0000-000070980000}"/>
    <cellStyle name="Normal 6 2 2 70 3 2" xfId="36617" xr:uid="{00000000-0005-0000-0000-000071980000}"/>
    <cellStyle name="Normal 6 2 2 70 3 3" xfId="27298" xr:uid="{00000000-0005-0000-0000-000072980000}"/>
    <cellStyle name="Normal 6 2 2 70 3 4" xfId="50560" xr:uid="{00000000-0005-0000-0000-000073980000}"/>
    <cellStyle name="Normal 6 2 2 70 4" xfId="17863" xr:uid="{00000000-0005-0000-0000-000074980000}"/>
    <cellStyle name="Normal 6 2 2 70 4 2" xfId="31995" xr:uid="{00000000-0005-0000-0000-000075980000}"/>
    <cellStyle name="Normal 6 2 2 70 4 3" xfId="45890" xr:uid="{00000000-0005-0000-0000-000076980000}"/>
    <cellStyle name="Normal 6 2 2 70 5" xfId="22676" xr:uid="{00000000-0005-0000-0000-000077980000}"/>
    <cellStyle name="Normal 6 2 2 70 6" xfId="41308" xr:uid="{00000000-0005-0000-0000-000078980000}"/>
    <cellStyle name="Normal 6 2 2 71" xfId="7353" xr:uid="{00000000-0005-0000-0000-000079980000}"/>
    <cellStyle name="Normal 6 2 2 71 2" xfId="7354" xr:uid="{00000000-0005-0000-0000-00007A980000}"/>
    <cellStyle name="Normal 6 2 2 71 2 2" xfId="13135" xr:uid="{00000000-0005-0000-0000-00007B980000}"/>
    <cellStyle name="Normal 6 2 2 71 2 2 2" xfId="36620" xr:uid="{00000000-0005-0000-0000-00007C980000}"/>
    <cellStyle name="Normal 6 2 2 71 2 2 3" xfId="27301" xr:uid="{00000000-0005-0000-0000-00007D980000}"/>
    <cellStyle name="Normal 6 2 2 71 2 2 4" xfId="50563" xr:uid="{00000000-0005-0000-0000-00007E980000}"/>
    <cellStyle name="Normal 6 2 2 71 2 3" xfId="17866" xr:uid="{00000000-0005-0000-0000-00007F980000}"/>
    <cellStyle name="Normal 6 2 2 71 2 3 2" xfId="31998" xr:uid="{00000000-0005-0000-0000-000080980000}"/>
    <cellStyle name="Normal 6 2 2 71 2 3 3" xfId="45893" xr:uid="{00000000-0005-0000-0000-000081980000}"/>
    <cellStyle name="Normal 6 2 2 71 2 4" xfId="22679" xr:uid="{00000000-0005-0000-0000-000082980000}"/>
    <cellStyle name="Normal 6 2 2 71 2 5" xfId="41311" xr:uid="{00000000-0005-0000-0000-000083980000}"/>
    <cellStyle name="Normal 6 2 2 71 3" xfId="13134" xr:uid="{00000000-0005-0000-0000-000084980000}"/>
    <cellStyle name="Normal 6 2 2 71 3 2" xfId="36619" xr:uid="{00000000-0005-0000-0000-000085980000}"/>
    <cellStyle name="Normal 6 2 2 71 3 3" xfId="27300" xr:uid="{00000000-0005-0000-0000-000086980000}"/>
    <cellStyle name="Normal 6 2 2 71 3 4" xfId="50562" xr:uid="{00000000-0005-0000-0000-000087980000}"/>
    <cellStyle name="Normal 6 2 2 71 4" xfId="17865" xr:uid="{00000000-0005-0000-0000-000088980000}"/>
    <cellStyle name="Normal 6 2 2 71 4 2" xfId="31997" xr:uid="{00000000-0005-0000-0000-000089980000}"/>
    <cellStyle name="Normal 6 2 2 71 4 3" xfId="45892" xr:uid="{00000000-0005-0000-0000-00008A980000}"/>
    <cellStyle name="Normal 6 2 2 71 5" xfId="22678" xr:uid="{00000000-0005-0000-0000-00008B980000}"/>
    <cellStyle name="Normal 6 2 2 71 6" xfId="41310" xr:uid="{00000000-0005-0000-0000-00008C980000}"/>
    <cellStyle name="Normal 6 2 2 72" xfId="7355" xr:uid="{00000000-0005-0000-0000-00008D980000}"/>
    <cellStyle name="Normal 6 2 2 72 2" xfId="7356" xr:uid="{00000000-0005-0000-0000-00008E980000}"/>
    <cellStyle name="Normal 6 2 2 72 2 2" xfId="13137" xr:uid="{00000000-0005-0000-0000-00008F980000}"/>
    <cellStyle name="Normal 6 2 2 72 2 2 2" xfId="36622" xr:uid="{00000000-0005-0000-0000-000090980000}"/>
    <cellStyle name="Normal 6 2 2 72 2 2 3" xfId="27303" xr:uid="{00000000-0005-0000-0000-000091980000}"/>
    <cellStyle name="Normal 6 2 2 72 2 2 4" xfId="50565" xr:uid="{00000000-0005-0000-0000-000092980000}"/>
    <cellStyle name="Normal 6 2 2 72 2 3" xfId="17868" xr:uid="{00000000-0005-0000-0000-000093980000}"/>
    <cellStyle name="Normal 6 2 2 72 2 3 2" xfId="32000" xr:uid="{00000000-0005-0000-0000-000094980000}"/>
    <cellStyle name="Normal 6 2 2 72 2 3 3" xfId="45895" xr:uid="{00000000-0005-0000-0000-000095980000}"/>
    <cellStyle name="Normal 6 2 2 72 2 4" xfId="22681" xr:uid="{00000000-0005-0000-0000-000096980000}"/>
    <cellStyle name="Normal 6 2 2 72 2 5" xfId="41313" xr:uid="{00000000-0005-0000-0000-000097980000}"/>
    <cellStyle name="Normal 6 2 2 72 3" xfId="13136" xr:uid="{00000000-0005-0000-0000-000098980000}"/>
    <cellStyle name="Normal 6 2 2 72 3 2" xfId="36621" xr:uid="{00000000-0005-0000-0000-000099980000}"/>
    <cellStyle name="Normal 6 2 2 72 3 3" xfId="27302" xr:uid="{00000000-0005-0000-0000-00009A980000}"/>
    <cellStyle name="Normal 6 2 2 72 3 4" xfId="50564" xr:uid="{00000000-0005-0000-0000-00009B980000}"/>
    <cellStyle name="Normal 6 2 2 72 4" xfId="17867" xr:uid="{00000000-0005-0000-0000-00009C980000}"/>
    <cellStyle name="Normal 6 2 2 72 4 2" xfId="31999" xr:uid="{00000000-0005-0000-0000-00009D980000}"/>
    <cellStyle name="Normal 6 2 2 72 4 3" xfId="45894" xr:uid="{00000000-0005-0000-0000-00009E980000}"/>
    <cellStyle name="Normal 6 2 2 72 5" xfId="22680" xr:uid="{00000000-0005-0000-0000-00009F980000}"/>
    <cellStyle name="Normal 6 2 2 72 6" xfId="41312" xr:uid="{00000000-0005-0000-0000-0000A0980000}"/>
    <cellStyle name="Normal 6 2 2 73" xfId="7357" xr:uid="{00000000-0005-0000-0000-0000A1980000}"/>
    <cellStyle name="Normal 6 2 2 73 2" xfId="7358" xr:uid="{00000000-0005-0000-0000-0000A2980000}"/>
    <cellStyle name="Normal 6 2 2 73 2 2" xfId="13139" xr:uid="{00000000-0005-0000-0000-0000A3980000}"/>
    <cellStyle name="Normal 6 2 2 73 2 2 2" xfId="36624" xr:uid="{00000000-0005-0000-0000-0000A4980000}"/>
    <cellStyle name="Normal 6 2 2 73 2 2 3" xfId="27305" xr:uid="{00000000-0005-0000-0000-0000A5980000}"/>
    <cellStyle name="Normal 6 2 2 73 2 2 4" xfId="50567" xr:uid="{00000000-0005-0000-0000-0000A6980000}"/>
    <cellStyle name="Normal 6 2 2 73 2 3" xfId="17870" xr:uid="{00000000-0005-0000-0000-0000A7980000}"/>
    <cellStyle name="Normal 6 2 2 73 2 3 2" xfId="32002" xr:uid="{00000000-0005-0000-0000-0000A8980000}"/>
    <cellStyle name="Normal 6 2 2 73 2 3 3" xfId="45897" xr:uid="{00000000-0005-0000-0000-0000A9980000}"/>
    <cellStyle name="Normal 6 2 2 73 2 4" xfId="22683" xr:uid="{00000000-0005-0000-0000-0000AA980000}"/>
    <cellStyle name="Normal 6 2 2 73 2 5" xfId="41315" xr:uid="{00000000-0005-0000-0000-0000AB980000}"/>
    <cellStyle name="Normal 6 2 2 73 3" xfId="13138" xr:uid="{00000000-0005-0000-0000-0000AC980000}"/>
    <cellStyle name="Normal 6 2 2 73 3 2" xfId="36623" xr:uid="{00000000-0005-0000-0000-0000AD980000}"/>
    <cellStyle name="Normal 6 2 2 73 3 3" xfId="27304" xr:uid="{00000000-0005-0000-0000-0000AE980000}"/>
    <cellStyle name="Normal 6 2 2 73 3 4" xfId="50566" xr:uid="{00000000-0005-0000-0000-0000AF980000}"/>
    <cellStyle name="Normal 6 2 2 73 4" xfId="17869" xr:uid="{00000000-0005-0000-0000-0000B0980000}"/>
    <cellStyle name="Normal 6 2 2 73 4 2" xfId="32001" xr:uid="{00000000-0005-0000-0000-0000B1980000}"/>
    <cellStyle name="Normal 6 2 2 73 4 3" xfId="45896" xr:uid="{00000000-0005-0000-0000-0000B2980000}"/>
    <cellStyle name="Normal 6 2 2 73 5" xfId="22682" xr:uid="{00000000-0005-0000-0000-0000B3980000}"/>
    <cellStyle name="Normal 6 2 2 73 6" xfId="41314" xr:uid="{00000000-0005-0000-0000-0000B4980000}"/>
    <cellStyle name="Normal 6 2 2 74" xfId="7359" xr:uid="{00000000-0005-0000-0000-0000B5980000}"/>
    <cellStyle name="Normal 6 2 2 74 2" xfId="7360" xr:uid="{00000000-0005-0000-0000-0000B6980000}"/>
    <cellStyle name="Normal 6 2 2 74 2 2" xfId="13141" xr:uid="{00000000-0005-0000-0000-0000B7980000}"/>
    <cellStyle name="Normal 6 2 2 74 2 2 2" xfId="36626" xr:uid="{00000000-0005-0000-0000-0000B8980000}"/>
    <cellStyle name="Normal 6 2 2 74 2 2 3" xfId="27307" xr:uid="{00000000-0005-0000-0000-0000B9980000}"/>
    <cellStyle name="Normal 6 2 2 74 2 2 4" xfId="50569" xr:uid="{00000000-0005-0000-0000-0000BA980000}"/>
    <cellStyle name="Normal 6 2 2 74 2 3" xfId="17872" xr:uid="{00000000-0005-0000-0000-0000BB980000}"/>
    <cellStyle name="Normal 6 2 2 74 2 3 2" xfId="32004" xr:uid="{00000000-0005-0000-0000-0000BC980000}"/>
    <cellStyle name="Normal 6 2 2 74 2 3 3" xfId="45899" xr:uid="{00000000-0005-0000-0000-0000BD980000}"/>
    <cellStyle name="Normal 6 2 2 74 2 4" xfId="22685" xr:uid="{00000000-0005-0000-0000-0000BE980000}"/>
    <cellStyle name="Normal 6 2 2 74 2 5" xfId="41317" xr:uid="{00000000-0005-0000-0000-0000BF980000}"/>
    <cellStyle name="Normal 6 2 2 74 3" xfId="13140" xr:uid="{00000000-0005-0000-0000-0000C0980000}"/>
    <cellStyle name="Normal 6 2 2 74 3 2" xfId="36625" xr:uid="{00000000-0005-0000-0000-0000C1980000}"/>
    <cellStyle name="Normal 6 2 2 74 3 3" xfId="27306" xr:uid="{00000000-0005-0000-0000-0000C2980000}"/>
    <cellStyle name="Normal 6 2 2 74 3 4" xfId="50568" xr:uid="{00000000-0005-0000-0000-0000C3980000}"/>
    <cellStyle name="Normal 6 2 2 74 4" xfId="17871" xr:uid="{00000000-0005-0000-0000-0000C4980000}"/>
    <cellStyle name="Normal 6 2 2 74 4 2" xfId="32003" xr:uid="{00000000-0005-0000-0000-0000C5980000}"/>
    <cellStyle name="Normal 6 2 2 74 4 3" xfId="45898" xr:uid="{00000000-0005-0000-0000-0000C6980000}"/>
    <cellStyle name="Normal 6 2 2 74 5" xfId="22684" xr:uid="{00000000-0005-0000-0000-0000C7980000}"/>
    <cellStyle name="Normal 6 2 2 74 6" xfId="41316" xr:uid="{00000000-0005-0000-0000-0000C8980000}"/>
    <cellStyle name="Normal 6 2 2 75" xfId="7361" xr:uid="{00000000-0005-0000-0000-0000C9980000}"/>
    <cellStyle name="Normal 6 2 2 75 2" xfId="7362" xr:uid="{00000000-0005-0000-0000-0000CA980000}"/>
    <cellStyle name="Normal 6 2 2 75 2 2" xfId="13143" xr:uid="{00000000-0005-0000-0000-0000CB980000}"/>
    <cellStyle name="Normal 6 2 2 75 2 2 2" xfId="36628" xr:uid="{00000000-0005-0000-0000-0000CC980000}"/>
    <cellStyle name="Normal 6 2 2 75 2 2 3" xfId="27309" xr:uid="{00000000-0005-0000-0000-0000CD980000}"/>
    <cellStyle name="Normal 6 2 2 75 2 2 4" xfId="50571" xr:uid="{00000000-0005-0000-0000-0000CE980000}"/>
    <cellStyle name="Normal 6 2 2 75 2 3" xfId="17874" xr:uid="{00000000-0005-0000-0000-0000CF980000}"/>
    <cellStyle name="Normal 6 2 2 75 2 3 2" xfId="32006" xr:uid="{00000000-0005-0000-0000-0000D0980000}"/>
    <cellStyle name="Normal 6 2 2 75 2 3 3" xfId="45901" xr:uid="{00000000-0005-0000-0000-0000D1980000}"/>
    <cellStyle name="Normal 6 2 2 75 2 4" xfId="22687" xr:uid="{00000000-0005-0000-0000-0000D2980000}"/>
    <cellStyle name="Normal 6 2 2 75 2 5" xfId="41319" xr:uid="{00000000-0005-0000-0000-0000D3980000}"/>
    <cellStyle name="Normal 6 2 2 75 3" xfId="13142" xr:uid="{00000000-0005-0000-0000-0000D4980000}"/>
    <cellStyle name="Normal 6 2 2 75 3 2" xfId="36627" xr:uid="{00000000-0005-0000-0000-0000D5980000}"/>
    <cellStyle name="Normal 6 2 2 75 3 3" xfId="27308" xr:uid="{00000000-0005-0000-0000-0000D6980000}"/>
    <cellStyle name="Normal 6 2 2 75 3 4" xfId="50570" xr:uid="{00000000-0005-0000-0000-0000D7980000}"/>
    <cellStyle name="Normal 6 2 2 75 4" xfId="17873" xr:uid="{00000000-0005-0000-0000-0000D8980000}"/>
    <cellStyle name="Normal 6 2 2 75 4 2" xfId="32005" xr:uid="{00000000-0005-0000-0000-0000D9980000}"/>
    <cellStyle name="Normal 6 2 2 75 4 3" xfId="45900" xr:uid="{00000000-0005-0000-0000-0000DA980000}"/>
    <cellStyle name="Normal 6 2 2 75 5" xfId="22686" xr:uid="{00000000-0005-0000-0000-0000DB980000}"/>
    <cellStyle name="Normal 6 2 2 75 6" xfId="41318" xr:uid="{00000000-0005-0000-0000-0000DC980000}"/>
    <cellStyle name="Normal 6 2 2 76" xfId="7363" xr:uid="{00000000-0005-0000-0000-0000DD980000}"/>
    <cellStyle name="Normal 6 2 2 76 2" xfId="13144" xr:uid="{00000000-0005-0000-0000-0000DE980000}"/>
    <cellStyle name="Normal 6 2 2 76 2 2" xfId="36629" xr:uid="{00000000-0005-0000-0000-0000DF980000}"/>
    <cellStyle name="Normal 6 2 2 76 2 3" xfId="27310" xr:uid="{00000000-0005-0000-0000-0000E0980000}"/>
    <cellStyle name="Normal 6 2 2 76 2 4" xfId="50572" xr:uid="{00000000-0005-0000-0000-0000E1980000}"/>
    <cellStyle name="Normal 6 2 2 76 3" xfId="17875" xr:uid="{00000000-0005-0000-0000-0000E2980000}"/>
    <cellStyle name="Normal 6 2 2 76 3 2" xfId="32007" xr:uid="{00000000-0005-0000-0000-0000E3980000}"/>
    <cellStyle name="Normal 6 2 2 76 3 3" xfId="45902" xr:uid="{00000000-0005-0000-0000-0000E4980000}"/>
    <cellStyle name="Normal 6 2 2 76 4" xfId="22688" xr:uid="{00000000-0005-0000-0000-0000E5980000}"/>
    <cellStyle name="Normal 6 2 2 76 5" xfId="41320" xr:uid="{00000000-0005-0000-0000-0000E6980000}"/>
    <cellStyle name="Normal 6 2 2 77" xfId="7364" xr:uid="{00000000-0005-0000-0000-0000E7980000}"/>
    <cellStyle name="Normal 6 2 2 77 2" xfId="13145" xr:uid="{00000000-0005-0000-0000-0000E8980000}"/>
    <cellStyle name="Normal 6 2 2 77 2 2" xfId="36630" xr:uid="{00000000-0005-0000-0000-0000E9980000}"/>
    <cellStyle name="Normal 6 2 2 77 2 3" xfId="27311" xr:uid="{00000000-0005-0000-0000-0000EA980000}"/>
    <cellStyle name="Normal 6 2 2 77 2 4" xfId="50573" xr:uid="{00000000-0005-0000-0000-0000EB980000}"/>
    <cellStyle name="Normal 6 2 2 77 3" xfId="17876" xr:uid="{00000000-0005-0000-0000-0000EC980000}"/>
    <cellStyle name="Normal 6 2 2 77 3 2" xfId="32008" xr:uid="{00000000-0005-0000-0000-0000ED980000}"/>
    <cellStyle name="Normal 6 2 2 77 3 3" xfId="45903" xr:uid="{00000000-0005-0000-0000-0000EE980000}"/>
    <cellStyle name="Normal 6 2 2 77 4" xfId="22689" xr:uid="{00000000-0005-0000-0000-0000EF980000}"/>
    <cellStyle name="Normal 6 2 2 77 5" xfId="41321" xr:uid="{00000000-0005-0000-0000-0000F0980000}"/>
    <cellStyle name="Normal 6 2 2 78" xfId="7365" xr:uid="{00000000-0005-0000-0000-0000F1980000}"/>
    <cellStyle name="Normal 6 2 2 78 2" xfId="13146" xr:uid="{00000000-0005-0000-0000-0000F2980000}"/>
    <cellStyle name="Normal 6 2 2 78 2 2" xfId="36631" xr:uid="{00000000-0005-0000-0000-0000F3980000}"/>
    <cellStyle name="Normal 6 2 2 78 2 3" xfId="27312" xr:uid="{00000000-0005-0000-0000-0000F4980000}"/>
    <cellStyle name="Normal 6 2 2 78 2 4" xfId="50574" xr:uid="{00000000-0005-0000-0000-0000F5980000}"/>
    <cellStyle name="Normal 6 2 2 78 3" xfId="17877" xr:uid="{00000000-0005-0000-0000-0000F6980000}"/>
    <cellStyle name="Normal 6 2 2 78 3 2" xfId="32009" xr:uid="{00000000-0005-0000-0000-0000F7980000}"/>
    <cellStyle name="Normal 6 2 2 78 3 3" xfId="45904" xr:uid="{00000000-0005-0000-0000-0000F8980000}"/>
    <cellStyle name="Normal 6 2 2 78 4" xfId="22690" xr:uid="{00000000-0005-0000-0000-0000F9980000}"/>
    <cellStyle name="Normal 6 2 2 78 5" xfId="41322" xr:uid="{00000000-0005-0000-0000-0000FA980000}"/>
    <cellStyle name="Normal 6 2 2 79" xfId="7366" xr:uid="{00000000-0005-0000-0000-0000FB980000}"/>
    <cellStyle name="Normal 6 2 2 79 2" xfId="13147" xr:uid="{00000000-0005-0000-0000-0000FC980000}"/>
    <cellStyle name="Normal 6 2 2 79 2 2" xfId="36632" xr:uid="{00000000-0005-0000-0000-0000FD980000}"/>
    <cellStyle name="Normal 6 2 2 79 2 3" xfId="27313" xr:uid="{00000000-0005-0000-0000-0000FE980000}"/>
    <cellStyle name="Normal 6 2 2 79 2 4" xfId="50575" xr:uid="{00000000-0005-0000-0000-0000FF980000}"/>
    <cellStyle name="Normal 6 2 2 79 3" xfId="17878" xr:uid="{00000000-0005-0000-0000-000000990000}"/>
    <cellStyle name="Normal 6 2 2 79 3 2" xfId="32010" xr:uid="{00000000-0005-0000-0000-000001990000}"/>
    <cellStyle name="Normal 6 2 2 79 3 3" xfId="45905" xr:uid="{00000000-0005-0000-0000-000002990000}"/>
    <cellStyle name="Normal 6 2 2 79 4" xfId="22691" xr:uid="{00000000-0005-0000-0000-000003990000}"/>
    <cellStyle name="Normal 6 2 2 79 5" xfId="41323" xr:uid="{00000000-0005-0000-0000-000004990000}"/>
    <cellStyle name="Normal 6 2 2 8" xfId="7367" xr:uid="{00000000-0005-0000-0000-000005990000}"/>
    <cellStyle name="Normal 6 2 2 8 10" xfId="22692" xr:uid="{00000000-0005-0000-0000-000006990000}"/>
    <cellStyle name="Normal 6 2 2 8 11" xfId="41324" xr:uid="{00000000-0005-0000-0000-000007990000}"/>
    <cellStyle name="Normal 6 2 2 8 2" xfId="7368" xr:uid="{00000000-0005-0000-0000-000008990000}"/>
    <cellStyle name="Normal 6 2 2 8 2 2" xfId="7369" xr:uid="{00000000-0005-0000-0000-000009990000}"/>
    <cellStyle name="Normal 6 2 2 8 2 2 2" xfId="13150" xr:uid="{00000000-0005-0000-0000-00000A990000}"/>
    <cellStyle name="Normal 6 2 2 8 2 2 2 2" xfId="36635" xr:uid="{00000000-0005-0000-0000-00000B990000}"/>
    <cellStyle name="Normal 6 2 2 8 2 2 2 3" xfId="27316" xr:uid="{00000000-0005-0000-0000-00000C990000}"/>
    <cellStyle name="Normal 6 2 2 8 2 2 2 4" xfId="50578" xr:uid="{00000000-0005-0000-0000-00000D990000}"/>
    <cellStyle name="Normal 6 2 2 8 2 2 3" xfId="17881" xr:uid="{00000000-0005-0000-0000-00000E990000}"/>
    <cellStyle name="Normal 6 2 2 8 2 2 3 2" xfId="32013" xr:uid="{00000000-0005-0000-0000-00000F990000}"/>
    <cellStyle name="Normal 6 2 2 8 2 2 3 3" xfId="45908" xr:uid="{00000000-0005-0000-0000-000010990000}"/>
    <cellStyle name="Normal 6 2 2 8 2 2 4" xfId="22694" xr:uid="{00000000-0005-0000-0000-000011990000}"/>
    <cellStyle name="Normal 6 2 2 8 2 2 5" xfId="41326" xr:uid="{00000000-0005-0000-0000-000012990000}"/>
    <cellStyle name="Normal 6 2 2 8 2 3" xfId="13149" xr:uid="{00000000-0005-0000-0000-000013990000}"/>
    <cellStyle name="Normal 6 2 2 8 2 3 2" xfId="36634" xr:uid="{00000000-0005-0000-0000-000014990000}"/>
    <cellStyle name="Normal 6 2 2 8 2 3 3" xfId="27315" xr:uid="{00000000-0005-0000-0000-000015990000}"/>
    <cellStyle name="Normal 6 2 2 8 2 3 4" xfId="50577" xr:uid="{00000000-0005-0000-0000-000016990000}"/>
    <cellStyle name="Normal 6 2 2 8 2 4" xfId="17880" xr:uid="{00000000-0005-0000-0000-000017990000}"/>
    <cellStyle name="Normal 6 2 2 8 2 4 2" xfId="32012" xr:uid="{00000000-0005-0000-0000-000018990000}"/>
    <cellStyle name="Normal 6 2 2 8 2 4 3" xfId="45907" xr:uid="{00000000-0005-0000-0000-000019990000}"/>
    <cellStyle name="Normal 6 2 2 8 2 5" xfId="22693" xr:uid="{00000000-0005-0000-0000-00001A990000}"/>
    <cellStyle name="Normal 6 2 2 8 2 6" xfId="41325" xr:uid="{00000000-0005-0000-0000-00001B990000}"/>
    <cellStyle name="Normal 6 2 2 8 3" xfId="7370" xr:uid="{00000000-0005-0000-0000-00001C990000}"/>
    <cellStyle name="Normal 6 2 2 8 3 2" xfId="7371" xr:uid="{00000000-0005-0000-0000-00001D990000}"/>
    <cellStyle name="Normal 6 2 2 8 3 2 2" xfId="13152" xr:uid="{00000000-0005-0000-0000-00001E990000}"/>
    <cellStyle name="Normal 6 2 2 8 3 2 2 2" xfId="36637" xr:uid="{00000000-0005-0000-0000-00001F990000}"/>
    <cellStyle name="Normal 6 2 2 8 3 2 2 3" xfId="27318" xr:uid="{00000000-0005-0000-0000-000020990000}"/>
    <cellStyle name="Normal 6 2 2 8 3 2 2 4" xfId="50580" xr:uid="{00000000-0005-0000-0000-000021990000}"/>
    <cellStyle name="Normal 6 2 2 8 3 2 3" xfId="17883" xr:uid="{00000000-0005-0000-0000-000022990000}"/>
    <cellStyle name="Normal 6 2 2 8 3 2 3 2" xfId="32015" xr:uid="{00000000-0005-0000-0000-000023990000}"/>
    <cellStyle name="Normal 6 2 2 8 3 2 3 3" xfId="45910" xr:uid="{00000000-0005-0000-0000-000024990000}"/>
    <cellStyle name="Normal 6 2 2 8 3 2 4" xfId="22696" xr:uid="{00000000-0005-0000-0000-000025990000}"/>
    <cellStyle name="Normal 6 2 2 8 3 2 5" xfId="41328" xr:uid="{00000000-0005-0000-0000-000026990000}"/>
    <cellStyle name="Normal 6 2 2 8 3 3" xfId="13151" xr:uid="{00000000-0005-0000-0000-000027990000}"/>
    <cellStyle name="Normal 6 2 2 8 3 3 2" xfId="36636" xr:uid="{00000000-0005-0000-0000-000028990000}"/>
    <cellStyle name="Normal 6 2 2 8 3 3 3" xfId="27317" xr:uid="{00000000-0005-0000-0000-000029990000}"/>
    <cellStyle name="Normal 6 2 2 8 3 3 4" xfId="50579" xr:uid="{00000000-0005-0000-0000-00002A990000}"/>
    <cellStyle name="Normal 6 2 2 8 3 4" xfId="17882" xr:uid="{00000000-0005-0000-0000-00002B990000}"/>
    <cellStyle name="Normal 6 2 2 8 3 4 2" xfId="32014" xr:uid="{00000000-0005-0000-0000-00002C990000}"/>
    <cellStyle name="Normal 6 2 2 8 3 4 3" xfId="45909" xr:uid="{00000000-0005-0000-0000-00002D990000}"/>
    <cellStyle name="Normal 6 2 2 8 3 5" xfId="22695" xr:uid="{00000000-0005-0000-0000-00002E990000}"/>
    <cellStyle name="Normal 6 2 2 8 3 6" xfId="41327" xr:uid="{00000000-0005-0000-0000-00002F990000}"/>
    <cellStyle name="Normal 6 2 2 8 4" xfId="7372" xr:uid="{00000000-0005-0000-0000-000030990000}"/>
    <cellStyle name="Normal 6 2 2 8 4 2" xfId="7373" xr:uid="{00000000-0005-0000-0000-000031990000}"/>
    <cellStyle name="Normal 6 2 2 8 4 2 2" xfId="13154" xr:uid="{00000000-0005-0000-0000-000032990000}"/>
    <cellStyle name="Normal 6 2 2 8 4 2 2 2" xfId="36639" xr:uid="{00000000-0005-0000-0000-000033990000}"/>
    <cellStyle name="Normal 6 2 2 8 4 2 2 3" xfId="27320" xr:uid="{00000000-0005-0000-0000-000034990000}"/>
    <cellStyle name="Normal 6 2 2 8 4 2 2 4" xfId="50582" xr:uid="{00000000-0005-0000-0000-000035990000}"/>
    <cellStyle name="Normal 6 2 2 8 4 2 3" xfId="17885" xr:uid="{00000000-0005-0000-0000-000036990000}"/>
    <cellStyle name="Normal 6 2 2 8 4 2 3 2" xfId="32017" xr:uid="{00000000-0005-0000-0000-000037990000}"/>
    <cellStyle name="Normal 6 2 2 8 4 2 3 3" xfId="45912" xr:uid="{00000000-0005-0000-0000-000038990000}"/>
    <cellStyle name="Normal 6 2 2 8 4 2 4" xfId="22698" xr:uid="{00000000-0005-0000-0000-000039990000}"/>
    <cellStyle name="Normal 6 2 2 8 4 2 5" xfId="41330" xr:uid="{00000000-0005-0000-0000-00003A990000}"/>
    <cellStyle name="Normal 6 2 2 8 4 3" xfId="13153" xr:uid="{00000000-0005-0000-0000-00003B990000}"/>
    <cellStyle name="Normal 6 2 2 8 4 3 2" xfId="36638" xr:uid="{00000000-0005-0000-0000-00003C990000}"/>
    <cellStyle name="Normal 6 2 2 8 4 3 3" xfId="27319" xr:uid="{00000000-0005-0000-0000-00003D990000}"/>
    <cellStyle name="Normal 6 2 2 8 4 3 4" xfId="50581" xr:uid="{00000000-0005-0000-0000-00003E990000}"/>
    <cellStyle name="Normal 6 2 2 8 4 4" xfId="17884" xr:uid="{00000000-0005-0000-0000-00003F990000}"/>
    <cellStyle name="Normal 6 2 2 8 4 4 2" xfId="32016" xr:uid="{00000000-0005-0000-0000-000040990000}"/>
    <cellStyle name="Normal 6 2 2 8 4 4 3" xfId="45911" xr:uid="{00000000-0005-0000-0000-000041990000}"/>
    <cellStyle name="Normal 6 2 2 8 4 5" xfId="22697" xr:uid="{00000000-0005-0000-0000-000042990000}"/>
    <cellStyle name="Normal 6 2 2 8 4 6" xfId="41329" xr:uid="{00000000-0005-0000-0000-000043990000}"/>
    <cellStyle name="Normal 6 2 2 8 5" xfId="7374" xr:uid="{00000000-0005-0000-0000-000044990000}"/>
    <cellStyle name="Normal 6 2 2 8 5 2" xfId="7375" xr:uid="{00000000-0005-0000-0000-000045990000}"/>
    <cellStyle name="Normal 6 2 2 8 5 2 2" xfId="13156" xr:uid="{00000000-0005-0000-0000-000046990000}"/>
    <cellStyle name="Normal 6 2 2 8 5 2 2 2" xfId="36641" xr:uid="{00000000-0005-0000-0000-000047990000}"/>
    <cellStyle name="Normal 6 2 2 8 5 2 2 3" xfId="27322" xr:uid="{00000000-0005-0000-0000-000048990000}"/>
    <cellStyle name="Normal 6 2 2 8 5 2 2 4" xfId="50584" xr:uid="{00000000-0005-0000-0000-000049990000}"/>
    <cellStyle name="Normal 6 2 2 8 5 2 3" xfId="17887" xr:uid="{00000000-0005-0000-0000-00004A990000}"/>
    <cellStyle name="Normal 6 2 2 8 5 2 3 2" xfId="32019" xr:uid="{00000000-0005-0000-0000-00004B990000}"/>
    <cellStyle name="Normal 6 2 2 8 5 2 3 3" xfId="45914" xr:uid="{00000000-0005-0000-0000-00004C990000}"/>
    <cellStyle name="Normal 6 2 2 8 5 2 4" xfId="22700" xr:uid="{00000000-0005-0000-0000-00004D990000}"/>
    <cellStyle name="Normal 6 2 2 8 5 2 5" xfId="41332" xr:uid="{00000000-0005-0000-0000-00004E990000}"/>
    <cellStyle name="Normal 6 2 2 8 5 3" xfId="13155" xr:uid="{00000000-0005-0000-0000-00004F990000}"/>
    <cellStyle name="Normal 6 2 2 8 5 3 2" xfId="36640" xr:uid="{00000000-0005-0000-0000-000050990000}"/>
    <cellStyle name="Normal 6 2 2 8 5 3 3" xfId="27321" xr:uid="{00000000-0005-0000-0000-000051990000}"/>
    <cellStyle name="Normal 6 2 2 8 5 3 4" xfId="50583" xr:uid="{00000000-0005-0000-0000-000052990000}"/>
    <cellStyle name="Normal 6 2 2 8 5 4" xfId="17886" xr:uid="{00000000-0005-0000-0000-000053990000}"/>
    <cellStyle name="Normal 6 2 2 8 5 4 2" xfId="32018" xr:uid="{00000000-0005-0000-0000-000054990000}"/>
    <cellStyle name="Normal 6 2 2 8 5 4 3" xfId="45913" xr:uid="{00000000-0005-0000-0000-000055990000}"/>
    <cellStyle name="Normal 6 2 2 8 5 5" xfId="22699" xr:uid="{00000000-0005-0000-0000-000056990000}"/>
    <cellStyle name="Normal 6 2 2 8 5 6" xfId="41331" xr:uid="{00000000-0005-0000-0000-000057990000}"/>
    <cellStyle name="Normal 6 2 2 8 6" xfId="7376" xr:uid="{00000000-0005-0000-0000-000058990000}"/>
    <cellStyle name="Normal 6 2 2 8 6 2" xfId="7377" xr:uid="{00000000-0005-0000-0000-000059990000}"/>
    <cellStyle name="Normal 6 2 2 8 6 2 2" xfId="13158" xr:uid="{00000000-0005-0000-0000-00005A990000}"/>
    <cellStyle name="Normal 6 2 2 8 6 2 2 2" xfId="36643" xr:uid="{00000000-0005-0000-0000-00005B990000}"/>
    <cellStyle name="Normal 6 2 2 8 6 2 2 3" xfId="27324" xr:uid="{00000000-0005-0000-0000-00005C990000}"/>
    <cellStyle name="Normal 6 2 2 8 6 2 2 4" xfId="50586" xr:uid="{00000000-0005-0000-0000-00005D990000}"/>
    <cellStyle name="Normal 6 2 2 8 6 2 3" xfId="17889" xr:uid="{00000000-0005-0000-0000-00005E990000}"/>
    <cellStyle name="Normal 6 2 2 8 6 2 3 2" xfId="32021" xr:uid="{00000000-0005-0000-0000-00005F990000}"/>
    <cellStyle name="Normal 6 2 2 8 6 2 3 3" xfId="45916" xr:uid="{00000000-0005-0000-0000-000060990000}"/>
    <cellStyle name="Normal 6 2 2 8 6 2 4" xfId="22702" xr:uid="{00000000-0005-0000-0000-000061990000}"/>
    <cellStyle name="Normal 6 2 2 8 6 2 5" xfId="41334" xr:uid="{00000000-0005-0000-0000-000062990000}"/>
    <cellStyle name="Normal 6 2 2 8 6 3" xfId="13157" xr:uid="{00000000-0005-0000-0000-000063990000}"/>
    <cellStyle name="Normal 6 2 2 8 6 3 2" xfId="36642" xr:uid="{00000000-0005-0000-0000-000064990000}"/>
    <cellStyle name="Normal 6 2 2 8 6 3 3" xfId="27323" xr:uid="{00000000-0005-0000-0000-000065990000}"/>
    <cellStyle name="Normal 6 2 2 8 6 3 4" xfId="50585" xr:uid="{00000000-0005-0000-0000-000066990000}"/>
    <cellStyle name="Normal 6 2 2 8 6 4" xfId="17888" xr:uid="{00000000-0005-0000-0000-000067990000}"/>
    <cellStyle name="Normal 6 2 2 8 6 4 2" xfId="32020" xr:uid="{00000000-0005-0000-0000-000068990000}"/>
    <cellStyle name="Normal 6 2 2 8 6 4 3" xfId="45915" xr:uid="{00000000-0005-0000-0000-000069990000}"/>
    <cellStyle name="Normal 6 2 2 8 6 5" xfId="22701" xr:uid="{00000000-0005-0000-0000-00006A990000}"/>
    <cellStyle name="Normal 6 2 2 8 6 6" xfId="41333" xr:uid="{00000000-0005-0000-0000-00006B990000}"/>
    <cellStyle name="Normal 6 2 2 8 7" xfId="7378" xr:uid="{00000000-0005-0000-0000-00006C990000}"/>
    <cellStyle name="Normal 6 2 2 8 7 2" xfId="13159" xr:uid="{00000000-0005-0000-0000-00006D990000}"/>
    <cellStyle name="Normal 6 2 2 8 7 2 2" xfId="36644" xr:uid="{00000000-0005-0000-0000-00006E990000}"/>
    <cellStyle name="Normal 6 2 2 8 7 2 3" xfId="27325" xr:uid="{00000000-0005-0000-0000-00006F990000}"/>
    <cellStyle name="Normal 6 2 2 8 7 2 4" xfId="50587" xr:uid="{00000000-0005-0000-0000-000070990000}"/>
    <cellStyle name="Normal 6 2 2 8 7 3" xfId="17890" xr:uid="{00000000-0005-0000-0000-000071990000}"/>
    <cellStyle name="Normal 6 2 2 8 7 3 2" xfId="32022" xr:uid="{00000000-0005-0000-0000-000072990000}"/>
    <cellStyle name="Normal 6 2 2 8 7 3 3" xfId="45917" xr:uid="{00000000-0005-0000-0000-000073990000}"/>
    <cellStyle name="Normal 6 2 2 8 7 4" xfId="22703" xr:uid="{00000000-0005-0000-0000-000074990000}"/>
    <cellStyle name="Normal 6 2 2 8 7 5" xfId="41335" xr:uid="{00000000-0005-0000-0000-000075990000}"/>
    <cellStyle name="Normal 6 2 2 8 8" xfId="13148" xr:uid="{00000000-0005-0000-0000-000076990000}"/>
    <cellStyle name="Normal 6 2 2 8 8 2" xfId="36633" xr:uid="{00000000-0005-0000-0000-000077990000}"/>
    <cellStyle name="Normal 6 2 2 8 8 3" xfId="27314" xr:uid="{00000000-0005-0000-0000-000078990000}"/>
    <cellStyle name="Normal 6 2 2 8 8 4" xfId="50576" xr:uid="{00000000-0005-0000-0000-000079990000}"/>
    <cellStyle name="Normal 6 2 2 8 9" xfId="17879" xr:uid="{00000000-0005-0000-0000-00007A990000}"/>
    <cellStyle name="Normal 6 2 2 8 9 2" xfId="32011" xr:uid="{00000000-0005-0000-0000-00007B990000}"/>
    <cellStyle name="Normal 6 2 2 8 9 3" xfId="45906" xr:uid="{00000000-0005-0000-0000-00007C990000}"/>
    <cellStyle name="Normal 6 2 2 80" xfId="427" xr:uid="{00000000-0005-0000-0000-00007D990000}"/>
    <cellStyle name="Normal 6 2 2 80 2" xfId="9685" xr:uid="{00000000-0005-0000-0000-00007E990000}"/>
    <cellStyle name="Normal 6 2 2 80 2 2" xfId="33176" xr:uid="{00000000-0005-0000-0000-00007F990000}"/>
    <cellStyle name="Normal 6 2 2 80 2 3" xfId="23861" xr:uid="{00000000-0005-0000-0000-000080990000}"/>
    <cellStyle name="Normal 6 2 2 80 2 4" xfId="47119" xr:uid="{00000000-0005-0000-0000-000081990000}"/>
    <cellStyle name="Normal 6 2 2 80 3" xfId="14446" xr:uid="{00000000-0005-0000-0000-000082990000}"/>
    <cellStyle name="Normal 6 2 2 80 3 2" xfId="28577" xr:uid="{00000000-0005-0000-0000-000083990000}"/>
    <cellStyle name="Normal 6 2 2 80 3 3" xfId="42457" xr:uid="{00000000-0005-0000-0000-000084990000}"/>
    <cellStyle name="Normal 6 2 2 80 4" xfId="19257" xr:uid="{00000000-0005-0000-0000-000085990000}"/>
    <cellStyle name="Normal 6 2 2 80 5" xfId="37892" xr:uid="{00000000-0005-0000-0000-000086990000}"/>
    <cellStyle name="Normal 6 2 2 81" xfId="9491" xr:uid="{00000000-0005-0000-0000-000087990000}"/>
    <cellStyle name="Normal 6 2 2 81 2" xfId="14160" xr:uid="{00000000-0005-0000-0000-000088990000}"/>
    <cellStyle name="Normal 6 2 2 81 2 2" xfId="37638" xr:uid="{00000000-0005-0000-0000-000089990000}"/>
    <cellStyle name="Normal 6 2 2 81 2 3" xfId="28324" xr:uid="{00000000-0005-0000-0000-00008A990000}"/>
    <cellStyle name="Normal 6 2 2 81 2 4" xfId="51587" xr:uid="{00000000-0005-0000-0000-00008B990000}"/>
    <cellStyle name="Normal 6 2 2 81 3" xfId="18872" xr:uid="{00000000-0005-0000-0000-00008C990000}"/>
    <cellStyle name="Normal 6 2 2 81 3 2" xfId="33004" xr:uid="{00000000-0005-0000-0000-00008D990000}"/>
    <cellStyle name="Normal 6 2 2 81 3 3" xfId="46906" xr:uid="{00000000-0005-0000-0000-00008E990000}"/>
    <cellStyle name="Normal 6 2 2 81 4" xfId="23690" xr:uid="{00000000-0005-0000-0000-00008F990000}"/>
    <cellStyle name="Normal 6 2 2 81 5" xfId="42277" xr:uid="{00000000-0005-0000-0000-000090990000}"/>
    <cellStyle name="Normal 6 2 2 82" xfId="9531" xr:uid="{00000000-0005-0000-0000-000091990000}"/>
    <cellStyle name="Normal 6 2 2 82 2" xfId="14197" xr:uid="{00000000-0005-0000-0000-000092990000}"/>
    <cellStyle name="Normal 6 2 2 82 2 2" xfId="37672" xr:uid="{00000000-0005-0000-0000-000093990000}"/>
    <cellStyle name="Normal 6 2 2 82 2 3" xfId="28357" xr:uid="{00000000-0005-0000-0000-000094990000}"/>
    <cellStyle name="Normal 6 2 2 82 2 4" xfId="51624" xr:uid="{00000000-0005-0000-0000-000095990000}"/>
    <cellStyle name="Normal 6 2 2 82 3" xfId="18905" xr:uid="{00000000-0005-0000-0000-000096990000}"/>
    <cellStyle name="Normal 6 2 2 82 3 2" xfId="33038" xr:uid="{00000000-0005-0000-0000-000097990000}"/>
    <cellStyle name="Normal 6 2 2 82 3 3" xfId="46944" xr:uid="{00000000-0005-0000-0000-000098990000}"/>
    <cellStyle name="Normal 6 2 2 82 4" xfId="23725" xr:uid="{00000000-0005-0000-0000-000099990000}"/>
    <cellStyle name="Normal 6 2 2 82 5" xfId="42310" xr:uid="{00000000-0005-0000-0000-00009A990000}"/>
    <cellStyle name="Normal 6 2 2 83" xfId="9647" xr:uid="{00000000-0005-0000-0000-00009B990000}"/>
    <cellStyle name="Normal 6 2 2 83 2" xfId="33138" xr:uid="{00000000-0005-0000-0000-00009C990000}"/>
    <cellStyle name="Normal 6 2 2 83 3" xfId="23825" xr:uid="{00000000-0005-0000-0000-00009D990000}"/>
    <cellStyle name="Normal 6 2 2 83 4" xfId="47081" xr:uid="{00000000-0005-0000-0000-00009E990000}"/>
    <cellStyle name="Normal 6 2 2 84" xfId="14409" xr:uid="{00000000-0005-0000-0000-00009F990000}"/>
    <cellStyle name="Normal 6 2 2 84 2" xfId="28540" xr:uid="{00000000-0005-0000-0000-0000A0990000}"/>
    <cellStyle name="Normal 6 2 2 84 3" xfId="42419" xr:uid="{00000000-0005-0000-0000-0000A1990000}"/>
    <cellStyle name="Normal 6 2 2 85" xfId="19222" xr:uid="{00000000-0005-0000-0000-0000A2990000}"/>
    <cellStyle name="Normal 6 2 2 86" xfId="37857" xr:uid="{00000000-0005-0000-0000-0000A3990000}"/>
    <cellStyle name="Normal 6 2 2 9" xfId="7379" xr:uid="{00000000-0005-0000-0000-0000A4990000}"/>
    <cellStyle name="Normal 6 2 2 9 10" xfId="22704" xr:uid="{00000000-0005-0000-0000-0000A5990000}"/>
    <cellStyle name="Normal 6 2 2 9 11" xfId="41336" xr:uid="{00000000-0005-0000-0000-0000A6990000}"/>
    <cellStyle name="Normal 6 2 2 9 2" xfId="7380" xr:uid="{00000000-0005-0000-0000-0000A7990000}"/>
    <cellStyle name="Normal 6 2 2 9 2 2" xfId="7381" xr:uid="{00000000-0005-0000-0000-0000A8990000}"/>
    <cellStyle name="Normal 6 2 2 9 2 2 2" xfId="13162" xr:uid="{00000000-0005-0000-0000-0000A9990000}"/>
    <cellStyle name="Normal 6 2 2 9 2 2 2 2" xfId="36647" xr:uid="{00000000-0005-0000-0000-0000AA990000}"/>
    <cellStyle name="Normal 6 2 2 9 2 2 2 3" xfId="27328" xr:uid="{00000000-0005-0000-0000-0000AB990000}"/>
    <cellStyle name="Normal 6 2 2 9 2 2 2 4" xfId="50590" xr:uid="{00000000-0005-0000-0000-0000AC990000}"/>
    <cellStyle name="Normal 6 2 2 9 2 2 3" xfId="17893" xr:uid="{00000000-0005-0000-0000-0000AD990000}"/>
    <cellStyle name="Normal 6 2 2 9 2 2 3 2" xfId="32025" xr:uid="{00000000-0005-0000-0000-0000AE990000}"/>
    <cellStyle name="Normal 6 2 2 9 2 2 3 3" xfId="45920" xr:uid="{00000000-0005-0000-0000-0000AF990000}"/>
    <cellStyle name="Normal 6 2 2 9 2 2 4" xfId="22706" xr:uid="{00000000-0005-0000-0000-0000B0990000}"/>
    <cellStyle name="Normal 6 2 2 9 2 2 5" xfId="41338" xr:uid="{00000000-0005-0000-0000-0000B1990000}"/>
    <cellStyle name="Normal 6 2 2 9 2 3" xfId="13161" xr:uid="{00000000-0005-0000-0000-0000B2990000}"/>
    <cellStyle name="Normal 6 2 2 9 2 3 2" xfId="36646" xr:uid="{00000000-0005-0000-0000-0000B3990000}"/>
    <cellStyle name="Normal 6 2 2 9 2 3 3" xfId="27327" xr:uid="{00000000-0005-0000-0000-0000B4990000}"/>
    <cellStyle name="Normal 6 2 2 9 2 3 4" xfId="50589" xr:uid="{00000000-0005-0000-0000-0000B5990000}"/>
    <cellStyle name="Normal 6 2 2 9 2 4" xfId="17892" xr:uid="{00000000-0005-0000-0000-0000B6990000}"/>
    <cellStyle name="Normal 6 2 2 9 2 4 2" xfId="32024" xr:uid="{00000000-0005-0000-0000-0000B7990000}"/>
    <cellStyle name="Normal 6 2 2 9 2 4 3" xfId="45919" xr:uid="{00000000-0005-0000-0000-0000B8990000}"/>
    <cellStyle name="Normal 6 2 2 9 2 5" xfId="22705" xr:uid="{00000000-0005-0000-0000-0000B9990000}"/>
    <cellStyle name="Normal 6 2 2 9 2 6" xfId="41337" xr:uid="{00000000-0005-0000-0000-0000BA990000}"/>
    <cellStyle name="Normal 6 2 2 9 3" xfId="7382" xr:uid="{00000000-0005-0000-0000-0000BB990000}"/>
    <cellStyle name="Normal 6 2 2 9 3 2" xfId="7383" xr:uid="{00000000-0005-0000-0000-0000BC990000}"/>
    <cellStyle name="Normal 6 2 2 9 3 2 2" xfId="13164" xr:uid="{00000000-0005-0000-0000-0000BD990000}"/>
    <cellStyle name="Normal 6 2 2 9 3 2 2 2" xfId="36649" xr:uid="{00000000-0005-0000-0000-0000BE990000}"/>
    <cellStyle name="Normal 6 2 2 9 3 2 2 3" xfId="27330" xr:uid="{00000000-0005-0000-0000-0000BF990000}"/>
    <cellStyle name="Normal 6 2 2 9 3 2 2 4" xfId="50592" xr:uid="{00000000-0005-0000-0000-0000C0990000}"/>
    <cellStyle name="Normal 6 2 2 9 3 2 3" xfId="17895" xr:uid="{00000000-0005-0000-0000-0000C1990000}"/>
    <cellStyle name="Normal 6 2 2 9 3 2 3 2" xfId="32027" xr:uid="{00000000-0005-0000-0000-0000C2990000}"/>
    <cellStyle name="Normal 6 2 2 9 3 2 3 3" xfId="45922" xr:uid="{00000000-0005-0000-0000-0000C3990000}"/>
    <cellStyle name="Normal 6 2 2 9 3 2 4" xfId="22708" xr:uid="{00000000-0005-0000-0000-0000C4990000}"/>
    <cellStyle name="Normal 6 2 2 9 3 2 5" xfId="41340" xr:uid="{00000000-0005-0000-0000-0000C5990000}"/>
    <cellStyle name="Normal 6 2 2 9 3 3" xfId="13163" xr:uid="{00000000-0005-0000-0000-0000C6990000}"/>
    <cellStyle name="Normal 6 2 2 9 3 3 2" xfId="36648" xr:uid="{00000000-0005-0000-0000-0000C7990000}"/>
    <cellStyle name="Normal 6 2 2 9 3 3 3" xfId="27329" xr:uid="{00000000-0005-0000-0000-0000C8990000}"/>
    <cellStyle name="Normal 6 2 2 9 3 3 4" xfId="50591" xr:uid="{00000000-0005-0000-0000-0000C9990000}"/>
    <cellStyle name="Normal 6 2 2 9 3 4" xfId="17894" xr:uid="{00000000-0005-0000-0000-0000CA990000}"/>
    <cellStyle name="Normal 6 2 2 9 3 4 2" xfId="32026" xr:uid="{00000000-0005-0000-0000-0000CB990000}"/>
    <cellStyle name="Normal 6 2 2 9 3 4 3" xfId="45921" xr:uid="{00000000-0005-0000-0000-0000CC990000}"/>
    <cellStyle name="Normal 6 2 2 9 3 5" xfId="22707" xr:uid="{00000000-0005-0000-0000-0000CD990000}"/>
    <cellStyle name="Normal 6 2 2 9 3 6" xfId="41339" xr:uid="{00000000-0005-0000-0000-0000CE990000}"/>
    <cellStyle name="Normal 6 2 2 9 4" xfId="7384" xr:uid="{00000000-0005-0000-0000-0000CF990000}"/>
    <cellStyle name="Normal 6 2 2 9 4 2" xfId="7385" xr:uid="{00000000-0005-0000-0000-0000D0990000}"/>
    <cellStyle name="Normal 6 2 2 9 4 2 2" xfId="13166" xr:uid="{00000000-0005-0000-0000-0000D1990000}"/>
    <cellStyle name="Normal 6 2 2 9 4 2 2 2" xfId="36651" xr:uid="{00000000-0005-0000-0000-0000D2990000}"/>
    <cellStyle name="Normal 6 2 2 9 4 2 2 3" xfId="27332" xr:uid="{00000000-0005-0000-0000-0000D3990000}"/>
    <cellStyle name="Normal 6 2 2 9 4 2 2 4" xfId="50594" xr:uid="{00000000-0005-0000-0000-0000D4990000}"/>
    <cellStyle name="Normal 6 2 2 9 4 2 3" xfId="17897" xr:uid="{00000000-0005-0000-0000-0000D5990000}"/>
    <cellStyle name="Normal 6 2 2 9 4 2 3 2" xfId="32029" xr:uid="{00000000-0005-0000-0000-0000D6990000}"/>
    <cellStyle name="Normal 6 2 2 9 4 2 3 3" xfId="45924" xr:uid="{00000000-0005-0000-0000-0000D7990000}"/>
    <cellStyle name="Normal 6 2 2 9 4 2 4" xfId="22710" xr:uid="{00000000-0005-0000-0000-0000D8990000}"/>
    <cellStyle name="Normal 6 2 2 9 4 2 5" xfId="41342" xr:uid="{00000000-0005-0000-0000-0000D9990000}"/>
    <cellStyle name="Normal 6 2 2 9 4 3" xfId="13165" xr:uid="{00000000-0005-0000-0000-0000DA990000}"/>
    <cellStyle name="Normal 6 2 2 9 4 3 2" xfId="36650" xr:uid="{00000000-0005-0000-0000-0000DB990000}"/>
    <cellStyle name="Normal 6 2 2 9 4 3 3" xfId="27331" xr:uid="{00000000-0005-0000-0000-0000DC990000}"/>
    <cellStyle name="Normal 6 2 2 9 4 3 4" xfId="50593" xr:uid="{00000000-0005-0000-0000-0000DD990000}"/>
    <cellStyle name="Normal 6 2 2 9 4 4" xfId="17896" xr:uid="{00000000-0005-0000-0000-0000DE990000}"/>
    <cellStyle name="Normal 6 2 2 9 4 4 2" xfId="32028" xr:uid="{00000000-0005-0000-0000-0000DF990000}"/>
    <cellStyle name="Normal 6 2 2 9 4 4 3" xfId="45923" xr:uid="{00000000-0005-0000-0000-0000E0990000}"/>
    <cellStyle name="Normal 6 2 2 9 4 5" xfId="22709" xr:uid="{00000000-0005-0000-0000-0000E1990000}"/>
    <cellStyle name="Normal 6 2 2 9 4 6" xfId="41341" xr:uid="{00000000-0005-0000-0000-0000E2990000}"/>
    <cellStyle name="Normal 6 2 2 9 5" xfId="7386" xr:uid="{00000000-0005-0000-0000-0000E3990000}"/>
    <cellStyle name="Normal 6 2 2 9 5 2" xfId="7387" xr:uid="{00000000-0005-0000-0000-0000E4990000}"/>
    <cellStyle name="Normal 6 2 2 9 5 2 2" xfId="13168" xr:uid="{00000000-0005-0000-0000-0000E5990000}"/>
    <cellStyle name="Normal 6 2 2 9 5 2 2 2" xfId="36653" xr:uid="{00000000-0005-0000-0000-0000E6990000}"/>
    <cellStyle name="Normal 6 2 2 9 5 2 2 3" xfId="27334" xr:uid="{00000000-0005-0000-0000-0000E7990000}"/>
    <cellStyle name="Normal 6 2 2 9 5 2 2 4" xfId="50596" xr:uid="{00000000-0005-0000-0000-0000E8990000}"/>
    <cellStyle name="Normal 6 2 2 9 5 2 3" xfId="17899" xr:uid="{00000000-0005-0000-0000-0000E9990000}"/>
    <cellStyle name="Normal 6 2 2 9 5 2 3 2" xfId="32031" xr:uid="{00000000-0005-0000-0000-0000EA990000}"/>
    <cellStyle name="Normal 6 2 2 9 5 2 3 3" xfId="45926" xr:uid="{00000000-0005-0000-0000-0000EB990000}"/>
    <cellStyle name="Normal 6 2 2 9 5 2 4" xfId="22712" xr:uid="{00000000-0005-0000-0000-0000EC990000}"/>
    <cellStyle name="Normal 6 2 2 9 5 2 5" xfId="41344" xr:uid="{00000000-0005-0000-0000-0000ED990000}"/>
    <cellStyle name="Normal 6 2 2 9 5 3" xfId="13167" xr:uid="{00000000-0005-0000-0000-0000EE990000}"/>
    <cellStyle name="Normal 6 2 2 9 5 3 2" xfId="36652" xr:uid="{00000000-0005-0000-0000-0000EF990000}"/>
    <cellStyle name="Normal 6 2 2 9 5 3 3" xfId="27333" xr:uid="{00000000-0005-0000-0000-0000F0990000}"/>
    <cellStyle name="Normal 6 2 2 9 5 3 4" xfId="50595" xr:uid="{00000000-0005-0000-0000-0000F1990000}"/>
    <cellStyle name="Normal 6 2 2 9 5 4" xfId="17898" xr:uid="{00000000-0005-0000-0000-0000F2990000}"/>
    <cellStyle name="Normal 6 2 2 9 5 4 2" xfId="32030" xr:uid="{00000000-0005-0000-0000-0000F3990000}"/>
    <cellStyle name="Normal 6 2 2 9 5 4 3" xfId="45925" xr:uid="{00000000-0005-0000-0000-0000F4990000}"/>
    <cellStyle name="Normal 6 2 2 9 5 5" xfId="22711" xr:uid="{00000000-0005-0000-0000-0000F5990000}"/>
    <cellStyle name="Normal 6 2 2 9 5 6" xfId="41343" xr:uid="{00000000-0005-0000-0000-0000F6990000}"/>
    <cellStyle name="Normal 6 2 2 9 6" xfId="7388" xr:uid="{00000000-0005-0000-0000-0000F7990000}"/>
    <cellStyle name="Normal 6 2 2 9 6 2" xfId="7389" xr:uid="{00000000-0005-0000-0000-0000F8990000}"/>
    <cellStyle name="Normal 6 2 2 9 6 2 2" xfId="13170" xr:uid="{00000000-0005-0000-0000-0000F9990000}"/>
    <cellStyle name="Normal 6 2 2 9 6 2 2 2" xfId="36655" xr:uid="{00000000-0005-0000-0000-0000FA990000}"/>
    <cellStyle name="Normal 6 2 2 9 6 2 2 3" xfId="27336" xr:uid="{00000000-0005-0000-0000-0000FB990000}"/>
    <cellStyle name="Normal 6 2 2 9 6 2 2 4" xfId="50598" xr:uid="{00000000-0005-0000-0000-0000FC990000}"/>
    <cellStyle name="Normal 6 2 2 9 6 2 3" xfId="17901" xr:uid="{00000000-0005-0000-0000-0000FD990000}"/>
    <cellStyle name="Normal 6 2 2 9 6 2 3 2" xfId="32033" xr:uid="{00000000-0005-0000-0000-0000FE990000}"/>
    <cellStyle name="Normal 6 2 2 9 6 2 3 3" xfId="45928" xr:uid="{00000000-0005-0000-0000-0000FF990000}"/>
    <cellStyle name="Normal 6 2 2 9 6 2 4" xfId="22714" xr:uid="{00000000-0005-0000-0000-0000009A0000}"/>
    <cellStyle name="Normal 6 2 2 9 6 2 5" xfId="41346" xr:uid="{00000000-0005-0000-0000-0000019A0000}"/>
    <cellStyle name="Normal 6 2 2 9 6 3" xfId="13169" xr:uid="{00000000-0005-0000-0000-0000029A0000}"/>
    <cellStyle name="Normal 6 2 2 9 6 3 2" xfId="36654" xr:uid="{00000000-0005-0000-0000-0000039A0000}"/>
    <cellStyle name="Normal 6 2 2 9 6 3 3" xfId="27335" xr:uid="{00000000-0005-0000-0000-0000049A0000}"/>
    <cellStyle name="Normal 6 2 2 9 6 3 4" xfId="50597" xr:uid="{00000000-0005-0000-0000-0000059A0000}"/>
    <cellStyle name="Normal 6 2 2 9 6 4" xfId="17900" xr:uid="{00000000-0005-0000-0000-0000069A0000}"/>
    <cellStyle name="Normal 6 2 2 9 6 4 2" xfId="32032" xr:uid="{00000000-0005-0000-0000-0000079A0000}"/>
    <cellStyle name="Normal 6 2 2 9 6 4 3" xfId="45927" xr:uid="{00000000-0005-0000-0000-0000089A0000}"/>
    <cellStyle name="Normal 6 2 2 9 6 5" xfId="22713" xr:uid="{00000000-0005-0000-0000-0000099A0000}"/>
    <cellStyle name="Normal 6 2 2 9 6 6" xfId="41345" xr:uid="{00000000-0005-0000-0000-00000A9A0000}"/>
    <cellStyle name="Normal 6 2 2 9 7" xfId="7390" xr:uid="{00000000-0005-0000-0000-00000B9A0000}"/>
    <cellStyle name="Normal 6 2 2 9 7 2" xfId="13171" xr:uid="{00000000-0005-0000-0000-00000C9A0000}"/>
    <cellStyle name="Normal 6 2 2 9 7 2 2" xfId="36656" xr:uid="{00000000-0005-0000-0000-00000D9A0000}"/>
    <cellStyle name="Normal 6 2 2 9 7 2 3" xfId="27337" xr:uid="{00000000-0005-0000-0000-00000E9A0000}"/>
    <cellStyle name="Normal 6 2 2 9 7 2 4" xfId="50599" xr:uid="{00000000-0005-0000-0000-00000F9A0000}"/>
    <cellStyle name="Normal 6 2 2 9 7 3" xfId="17902" xr:uid="{00000000-0005-0000-0000-0000109A0000}"/>
    <cellStyle name="Normal 6 2 2 9 7 3 2" xfId="32034" xr:uid="{00000000-0005-0000-0000-0000119A0000}"/>
    <cellStyle name="Normal 6 2 2 9 7 3 3" xfId="45929" xr:uid="{00000000-0005-0000-0000-0000129A0000}"/>
    <cellStyle name="Normal 6 2 2 9 7 4" xfId="22715" xr:uid="{00000000-0005-0000-0000-0000139A0000}"/>
    <cellStyle name="Normal 6 2 2 9 7 5" xfId="41347" xr:uid="{00000000-0005-0000-0000-0000149A0000}"/>
    <cellStyle name="Normal 6 2 2 9 8" xfId="13160" xr:uid="{00000000-0005-0000-0000-0000159A0000}"/>
    <cellStyle name="Normal 6 2 2 9 8 2" xfId="36645" xr:uid="{00000000-0005-0000-0000-0000169A0000}"/>
    <cellStyle name="Normal 6 2 2 9 8 3" xfId="27326" xr:uid="{00000000-0005-0000-0000-0000179A0000}"/>
    <cellStyle name="Normal 6 2 2 9 8 4" xfId="50588" xr:uid="{00000000-0005-0000-0000-0000189A0000}"/>
    <cellStyle name="Normal 6 2 2 9 9" xfId="17891" xr:uid="{00000000-0005-0000-0000-0000199A0000}"/>
    <cellStyle name="Normal 6 2 2 9 9 2" xfId="32023" xr:uid="{00000000-0005-0000-0000-00001A9A0000}"/>
    <cellStyle name="Normal 6 2 2 9 9 3" xfId="45918" xr:uid="{00000000-0005-0000-0000-00001B9A0000}"/>
    <cellStyle name="Normal 6 2 20" xfId="7391" xr:uid="{00000000-0005-0000-0000-00001C9A0000}"/>
    <cellStyle name="Normal 6 2 20 10" xfId="22716" xr:uid="{00000000-0005-0000-0000-00001D9A0000}"/>
    <cellStyle name="Normal 6 2 20 11" xfId="41348" xr:uid="{00000000-0005-0000-0000-00001E9A0000}"/>
    <cellStyle name="Normal 6 2 20 2" xfId="7392" xr:uid="{00000000-0005-0000-0000-00001F9A0000}"/>
    <cellStyle name="Normal 6 2 20 2 2" xfId="7393" xr:uid="{00000000-0005-0000-0000-0000209A0000}"/>
    <cellStyle name="Normal 6 2 20 2 2 2" xfId="13174" xr:uid="{00000000-0005-0000-0000-0000219A0000}"/>
    <cellStyle name="Normal 6 2 20 2 2 2 2" xfId="36659" xr:uid="{00000000-0005-0000-0000-0000229A0000}"/>
    <cellStyle name="Normal 6 2 20 2 2 2 3" xfId="27340" xr:uid="{00000000-0005-0000-0000-0000239A0000}"/>
    <cellStyle name="Normal 6 2 20 2 2 2 4" xfId="50602" xr:uid="{00000000-0005-0000-0000-0000249A0000}"/>
    <cellStyle name="Normal 6 2 20 2 2 3" xfId="17905" xr:uid="{00000000-0005-0000-0000-0000259A0000}"/>
    <cellStyle name="Normal 6 2 20 2 2 3 2" xfId="32037" xr:uid="{00000000-0005-0000-0000-0000269A0000}"/>
    <cellStyle name="Normal 6 2 20 2 2 3 3" xfId="45932" xr:uid="{00000000-0005-0000-0000-0000279A0000}"/>
    <cellStyle name="Normal 6 2 20 2 2 4" xfId="22718" xr:uid="{00000000-0005-0000-0000-0000289A0000}"/>
    <cellStyle name="Normal 6 2 20 2 2 5" xfId="41350" xr:uid="{00000000-0005-0000-0000-0000299A0000}"/>
    <cellStyle name="Normal 6 2 20 2 3" xfId="13173" xr:uid="{00000000-0005-0000-0000-00002A9A0000}"/>
    <cellStyle name="Normal 6 2 20 2 3 2" xfId="36658" xr:uid="{00000000-0005-0000-0000-00002B9A0000}"/>
    <cellStyle name="Normal 6 2 20 2 3 3" xfId="27339" xr:uid="{00000000-0005-0000-0000-00002C9A0000}"/>
    <cellStyle name="Normal 6 2 20 2 3 4" xfId="50601" xr:uid="{00000000-0005-0000-0000-00002D9A0000}"/>
    <cellStyle name="Normal 6 2 20 2 4" xfId="17904" xr:uid="{00000000-0005-0000-0000-00002E9A0000}"/>
    <cellStyle name="Normal 6 2 20 2 4 2" xfId="32036" xr:uid="{00000000-0005-0000-0000-00002F9A0000}"/>
    <cellStyle name="Normal 6 2 20 2 4 3" xfId="45931" xr:uid="{00000000-0005-0000-0000-0000309A0000}"/>
    <cellStyle name="Normal 6 2 20 2 5" xfId="22717" xr:uid="{00000000-0005-0000-0000-0000319A0000}"/>
    <cellStyle name="Normal 6 2 20 2 6" xfId="41349" xr:uid="{00000000-0005-0000-0000-0000329A0000}"/>
    <cellStyle name="Normal 6 2 20 3" xfId="7394" xr:uid="{00000000-0005-0000-0000-0000339A0000}"/>
    <cellStyle name="Normal 6 2 20 3 2" xfId="7395" xr:uid="{00000000-0005-0000-0000-0000349A0000}"/>
    <cellStyle name="Normal 6 2 20 3 2 2" xfId="13176" xr:uid="{00000000-0005-0000-0000-0000359A0000}"/>
    <cellStyle name="Normal 6 2 20 3 2 2 2" xfId="36661" xr:uid="{00000000-0005-0000-0000-0000369A0000}"/>
    <cellStyle name="Normal 6 2 20 3 2 2 3" xfId="27342" xr:uid="{00000000-0005-0000-0000-0000379A0000}"/>
    <cellStyle name="Normal 6 2 20 3 2 2 4" xfId="50604" xr:uid="{00000000-0005-0000-0000-0000389A0000}"/>
    <cellStyle name="Normal 6 2 20 3 2 3" xfId="17907" xr:uid="{00000000-0005-0000-0000-0000399A0000}"/>
    <cellStyle name="Normal 6 2 20 3 2 3 2" xfId="32039" xr:uid="{00000000-0005-0000-0000-00003A9A0000}"/>
    <cellStyle name="Normal 6 2 20 3 2 3 3" xfId="45934" xr:uid="{00000000-0005-0000-0000-00003B9A0000}"/>
    <cellStyle name="Normal 6 2 20 3 2 4" xfId="22720" xr:uid="{00000000-0005-0000-0000-00003C9A0000}"/>
    <cellStyle name="Normal 6 2 20 3 2 5" xfId="41352" xr:uid="{00000000-0005-0000-0000-00003D9A0000}"/>
    <cellStyle name="Normal 6 2 20 3 3" xfId="13175" xr:uid="{00000000-0005-0000-0000-00003E9A0000}"/>
    <cellStyle name="Normal 6 2 20 3 3 2" xfId="36660" xr:uid="{00000000-0005-0000-0000-00003F9A0000}"/>
    <cellStyle name="Normal 6 2 20 3 3 3" xfId="27341" xr:uid="{00000000-0005-0000-0000-0000409A0000}"/>
    <cellStyle name="Normal 6 2 20 3 3 4" xfId="50603" xr:uid="{00000000-0005-0000-0000-0000419A0000}"/>
    <cellStyle name="Normal 6 2 20 3 4" xfId="17906" xr:uid="{00000000-0005-0000-0000-0000429A0000}"/>
    <cellStyle name="Normal 6 2 20 3 4 2" xfId="32038" xr:uid="{00000000-0005-0000-0000-0000439A0000}"/>
    <cellStyle name="Normal 6 2 20 3 4 3" xfId="45933" xr:uid="{00000000-0005-0000-0000-0000449A0000}"/>
    <cellStyle name="Normal 6 2 20 3 5" xfId="22719" xr:uid="{00000000-0005-0000-0000-0000459A0000}"/>
    <cellStyle name="Normal 6 2 20 3 6" xfId="41351" xr:uid="{00000000-0005-0000-0000-0000469A0000}"/>
    <cellStyle name="Normal 6 2 20 4" xfId="7396" xr:uid="{00000000-0005-0000-0000-0000479A0000}"/>
    <cellStyle name="Normal 6 2 20 4 2" xfId="7397" xr:uid="{00000000-0005-0000-0000-0000489A0000}"/>
    <cellStyle name="Normal 6 2 20 4 2 2" xfId="13178" xr:uid="{00000000-0005-0000-0000-0000499A0000}"/>
    <cellStyle name="Normal 6 2 20 4 2 2 2" xfId="36663" xr:uid="{00000000-0005-0000-0000-00004A9A0000}"/>
    <cellStyle name="Normal 6 2 20 4 2 2 3" xfId="27344" xr:uid="{00000000-0005-0000-0000-00004B9A0000}"/>
    <cellStyle name="Normal 6 2 20 4 2 2 4" xfId="50606" xr:uid="{00000000-0005-0000-0000-00004C9A0000}"/>
    <cellStyle name="Normal 6 2 20 4 2 3" xfId="17909" xr:uid="{00000000-0005-0000-0000-00004D9A0000}"/>
    <cellStyle name="Normal 6 2 20 4 2 3 2" xfId="32041" xr:uid="{00000000-0005-0000-0000-00004E9A0000}"/>
    <cellStyle name="Normal 6 2 20 4 2 3 3" xfId="45936" xr:uid="{00000000-0005-0000-0000-00004F9A0000}"/>
    <cellStyle name="Normal 6 2 20 4 2 4" xfId="22722" xr:uid="{00000000-0005-0000-0000-0000509A0000}"/>
    <cellStyle name="Normal 6 2 20 4 2 5" xfId="41354" xr:uid="{00000000-0005-0000-0000-0000519A0000}"/>
    <cellStyle name="Normal 6 2 20 4 3" xfId="13177" xr:uid="{00000000-0005-0000-0000-0000529A0000}"/>
    <cellStyle name="Normal 6 2 20 4 3 2" xfId="36662" xr:uid="{00000000-0005-0000-0000-0000539A0000}"/>
    <cellStyle name="Normal 6 2 20 4 3 3" xfId="27343" xr:uid="{00000000-0005-0000-0000-0000549A0000}"/>
    <cellStyle name="Normal 6 2 20 4 3 4" xfId="50605" xr:uid="{00000000-0005-0000-0000-0000559A0000}"/>
    <cellStyle name="Normal 6 2 20 4 4" xfId="17908" xr:uid="{00000000-0005-0000-0000-0000569A0000}"/>
    <cellStyle name="Normal 6 2 20 4 4 2" xfId="32040" xr:uid="{00000000-0005-0000-0000-0000579A0000}"/>
    <cellStyle name="Normal 6 2 20 4 4 3" xfId="45935" xr:uid="{00000000-0005-0000-0000-0000589A0000}"/>
    <cellStyle name="Normal 6 2 20 4 5" xfId="22721" xr:uid="{00000000-0005-0000-0000-0000599A0000}"/>
    <cellStyle name="Normal 6 2 20 4 6" xfId="41353" xr:uid="{00000000-0005-0000-0000-00005A9A0000}"/>
    <cellStyle name="Normal 6 2 20 5" xfId="7398" xr:uid="{00000000-0005-0000-0000-00005B9A0000}"/>
    <cellStyle name="Normal 6 2 20 5 2" xfId="7399" xr:uid="{00000000-0005-0000-0000-00005C9A0000}"/>
    <cellStyle name="Normal 6 2 20 5 2 2" xfId="13180" xr:uid="{00000000-0005-0000-0000-00005D9A0000}"/>
    <cellStyle name="Normal 6 2 20 5 2 2 2" xfId="36665" xr:uid="{00000000-0005-0000-0000-00005E9A0000}"/>
    <cellStyle name="Normal 6 2 20 5 2 2 3" xfId="27346" xr:uid="{00000000-0005-0000-0000-00005F9A0000}"/>
    <cellStyle name="Normal 6 2 20 5 2 2 4" xfId="50608" xr:uid="{00000000-0005-0000-0000-0000609A0000}"/>
    <cellStyle name="Normal 6 2 20 5 2 3" xfId="17911" xr:uid="{00000000-0005-0000-0000-0000619A0000}"/>
    <cellStyle name="Normal 6 2 20 5 2 3 2" xfId="32043" xr:uid="{00000000-0005-0000-0000-0000629A0000}"/>
    <cellStyle name="Normal 6 2 20 5 2 3 3" xfId="45938" xr:uid="{00000000-0005-0000-0000-0000639A0000}"/>
    <cellStyle name="Normal 6 2 20 5 2 4" xfId="22724" xr:uid="{00000000-0005-0000-0000-0000649A0000}"/>
    <cellStyle name="Normal 6 2 20 5 2 5" xfId="41356" xr:uid="{00000000-0005-0000-0000-0000659A0000}"/>
    <cellStyle name="Normal 6 2 20 5 3" xfId="13179" xr:uid="{00000000-0005-0000-0000-0000669A0000}"/>
    <cellStyle name="Normal 6 2 20 5 3 2" xfId="36664" xr:uid="{00000000-0005-0000-0000-0000679A0000}"/>
    <cellStyle name="Normal 6 2 20 5 3 3" xfId="27345" xr:uid="{00000000-0005-0000-0000-0000689A0000}"/>
    <cellStyle name="Normal 6 2 20 5 3 4" xfId="50607" xr:uid="{00000000-0005-0000-0000-0000699A0000}"/>
    <cellStyle name="Normal 6 2 20 5 4" xfId="17910" xr:uid="{00000000-0005-0000-0000-00006A9A0000}"/>
    <cellStyle name="Normal 6 2 20 5 4 2" xfId="32042" xr:uid="{00000000-0005-0000-0000-00006B9A0000}"/>
    <cellStyle name="Normal 6 2 20 5 4 3" xfId="45937" xr:uid="{00000000-0005-0000-0000-00006C9A0000}"/>
    <cellStyle name="Normal 6 2 20 5 5" xfId="22723" xr:uid="{00000000-0005-0000-0000-00006D9A0000}"/>
    <cellStyle name="Normal 6 2 20 5 6" xfId="41355" xr:uid="{00000000-0005-0000-0000-00006E9A0000}"/>
    <cellStyle name="Normal 6 2 20 6" xfId="7400" xr:uid="{00000000-0005-0000-0000-00006F9A0000}"/>
    <cellStyle name="Normal 6 2 20 6 2" xfId="7401" xr:uid="{00000000-0005-0000-0000-0000709A0000}"/>
    <cellStyle name="Normal 6 2 20 6 2 2" xfId="13182" xr:uid="{00000000-0005-0000-0000-0000719A0000}"/>
    <cellStyle name="Normal 6 2 20 6 2 2 2" xfId="36667" xr:uid="{00000000-0005-0000-0000-0000729A0000}"/>
    <cellStyle name="Normal 6 2 20 6 2 2 3" xfId="27348" xr:uid="{00000000-0005-0000-0000-0000739A0000}"/>
    <cellStyle name="Normal 6 2 20 6 2 2 4" xfId="50610" xr:uid="{00000000-0005-0000-0000-0000749A0000}"/>
    <cellStyle name="Normal 6 2 20 6 2 3" xfId="17913" xr:uid="{00000000-0005-0000-0000-0000759A0000}"/>
    <cellStyle name="Normal 6 2 20 6 2 3 2" xfId="32045" xr:uid="{00000000-0005-0000-0000-0000769A0000}"/>
    <cellStyle name="Normal 6 2 20 6 2 3 3" xfId="45940" xr:uid="{00000000-0005-0000-0000-0000779A0000}"/>
    <cellStyle name="Normal 6 2 20 6 2 4" xfId="22726" xr:uid="{00000000-0005-0000-0000-0000789A0000}"/>
    <cellStyle name="Normal 6 2 20 6 2 5" xfId="41358" xr:uid="{00000000-0005-0000-0000-0000799A0000}"/>
    <cellStyle name="Normal 6 2 20 6 3" xfId="13181" xr:uid="{00000000-0005-0000-0000-00007A9A0000}"/>
    <cellStyle name="Normal 6 2 20 6 3 2" xfId="36666" xr:uid="{00000000-0005-0000-0000-00007B9A0000}"/>
    <cellStyle name="Normal 6 2 20 6 3 3" xfId="27347" xr:uid="{00000000-0005-0000-0000-00007C9A0000}"/>
    <cellStyle name="Normal 6 2 20 6 3 4" xfId="50609" xr:uid="{00000000-0005-0000-0000-00007D9A0000}"/>
    <cellStyle name="Normal 6 2 20 6 4" xfId="17912" xr:uid="{00000000-0005-0000-0000-00007E9A0000}"/>
    <cellStyle name="Normal 6 2 20 6 4 2" xfId="32044" xr:uid="{00000000-0005-0000-0000-00007F9A0000}"/>
    <cellStyle name="Normal 6 2 20 6 4 3" xfId="45939" xr:uid="{00000000-0005-0000-0000-0000809A0000}"/>
    <cellStyle name="Normal 6 2 20 6 5" xfId="22725" xr:uid="{00000000-0005-0000-0000-0000819A0000}"/>
    <cellStyle name="Normal 6 2 20 6 6" xfId="41357" xr:uid="{00000000-0005-0000-0000-0000829A0000}"/>
    <cellStyle name="Normal 6 2 20 7" xfId="7402" xr:uid="{00000000-0005-0000-0000-0000839A0000}"/>
    <cellStyle name="Normal 6 2 20 7 2" xfId="13183" xr:uid="{00000000-0005-0000-0000-0000849A0000}"/>
    <cellStyle name="Normal 6 2 20 7 2 2" xfId="36668" xr:uid="{00000000-0005-0000-0000-0000859A0000}"/>
    <cellStyle name="Normal 6 2 20 7 2 3" xfId="27349" xr:uid="{00000000-0005-0000-0000-0000869A0000}"/>
    <cellStyle name="Normal 6 2 20 7 2 4" xfId="50611" xr:uid="{00000000-0005-0000-0000-0000879A0000}"/>
    <cellStyle name="Normal 6 2 20 7 3" xfId="17914" xr:uid="{00000000-0005-0000-0000-0000889A0000}"/>
    <cellStyle name="Normal 6 2 20 7 3 2" xfId="32046" xr:uid="{00000000-0005-0000-0000-0000899A0000}"/>
    <cellStyle name="Normal 6 2 20 7 3 3" xfId="45941" xr:uid="{00000000-0005-0000-0000-00008A9A0000}"/>
    <cellStyle name="Normal 6 2 20 7 4" xfId="22727" xr:uid="{00000000-0005-0000-0000-00008B9A0000}"/>
    <cellStyle name="Normal 6 2 20 7 5" xfId="41359" xr:uid="{00000000-0005-0000-0000-00008C9A0000}"/>
    <cellStyle name="Normal 6 2 20 8" xfId="13172" xr:uid="{00000000-0005-0000-0000-00008D9A0000}"/>
    <cellStyle name="Normal 6 2 20 8 2" xfId="36657" xr:uid="{00000000-0005-0000-0000-00008E9A0000}"/>
    <cellStyle name="Normal 6 2 20 8 3" xfId="27338" xr:uid="{00000000-0005-0000-0000-00008F9A0000}"/>
    <cellStyle name="Normal 6 2 20 8 4" xfId="50600" xr:uid="{00000000-0005-0000-0000-0000909A0000}"/>
    <cellStyle name="Normal 6 2 20 9" xfId="17903" xr:uid="{00000000-0005-0000-0000-0000919A0000}"/>
    <cellStyle name="Normal 6 2 20 9 2" xfId="32035" xr:uid="{00000000-0005-0000-0000-0000929A0000}"/>
    <cellStyle name="Normal 6 2 20 9 3" xfId="45930" xr:uid="{00000000-0005-0000-0000-0000939A0000}"/>
    <cellStyle name="Normal 6 2 21" xfId="7403" xr:uid="{00000000-0005-0000-0000-0000949A0000}"/>
    <cellStyle name="Normal 6 2 21 10" xfId="22728" xr:uid="{00000000-0005-0000-0000-0000959A0000}"/>
    <cellStyle name="Normal 6 2 21 11" xfId="41360" xr:uid="{00000000-0005-0000-0000-0000969A0000}"/>
    <cellStyle name="Normal 6 2 21 2" xfId="7404" xr:uid="{00000000-0005-0000-0000-0000979A0000}"/>
    <cellStyle name="Normal 6 2 21 2 2" xfId="7405" xr:uid="{00000000-0005-0000-0000-0000989A0000}"/>
    <cellStyle name="Normal 6 2 21 2 2 2" xfId="13186" xr:uid="{00000000-0005-0000-0000-0000999A0000}"/>
    <cellStyle name="Normal 6 2 21 2 2 2 2" xfId="36671" xr:uid="{00000000-0005-0000-0000-00009A9A0000}"/>
    <cellStyle name="Normal 6 2 21 2 2 2 3" xfId="27352" xr:uid="{00000000-0005-0000-0000-00009B9A0000}"/>
    <cellStyle name="Normal 6 2 21 2 2 2 4" xfId="50614" xr:uid="{00000000-0005-0000-0000-00009C9A0000}"/>
    <cellStyle name="Normal 6 2 21 2 2 3" xfId="17917" xr:uid="{00000000-0005-0000-0000-00009D9A0000}"/>
    <cellStyle name="Normal 6 2 21 2 2 3 2" xfId="32049" xr:uid="{00000000-0005-0000-0000-00009E9A0000}"/>
    <cellStyle name="Normal 6 2 21 2 2 3 3" xfId="45944" xr:uid="{00000000-0005-0000-0000-00009F9A0000}"/>
    <cellStyle name="Normal 6 2 21 2 2 4" xfId="22730" xr:uid="{00000000-0005-0000-0000-0000A09A0000}"/>
    <cellStyle name="Normal 6 2 21 2 2 5" xfId="41362" xr:uid="{00000000-0005-0000-0000-0000A19A0000}"/>
    <cellStyle name="Normal 6 2 21 2 3" xfId="13185" xr:uid="{00000000-0005-0000-0000-0000A29A0000}"/>
    <cellStyle name="Normal 6 2 21 2 3 2" xfId="36670" xr:uid="{00000000-0005-0000-0000-0000A39A0000}"/>
    <cellStyle name="Normal 6 2 21 2 3 3" xfId="27351" xr:uid="{00000000-0005-0000-0000-0000A49A0000}"/>
    <cellStyle name="Normal 6 2 21 2 3 4" xfId="50613" xr:uid="{00000000-0005-0000-0000-0000A59A0000}"/>
    <cellStyle name="Normal 6 2 21 2 4" xfId="17916" xr:uid="{00000000-0005-0000-0000-0000A69A0000}"/>
    <cellStyle name="Normal 6 2 21 2 4 2" xfId="32048" xr:uid="{00000000-0005-0000-0000-0000A79A0000}"/>
    <cellStyle name="Normal 6 2 21 2 4 3" xfId="45943" xr:uid="{00000000-0005-0000-0000-0000A89A0000}"/>
    <cellStyle name="Normal 6 2 21 2 5" xfId="22729" xr:uid="{00000000-0005-0000-0000-0000A99A0000}"/>
    <cellStyle name="Normal 6 2 21 2 6" xfId="41361" xr:uid="{00000000-0005-0000-0000-0000AA9A0000}"/>
    <cellStyle name="Normal 6 2 21 3" xfId="7406" xr:uid="{00000000-0005-0000-0000-0000AB9A0000}"/>
    <cellStyle name="Normal 6 2 21 3 2" xfId="7407" xr:uid="{00000000-0005-0000-0000-0000AC9A0000}"/>
    <cellStyle name="Normal 6 2 21 3 2 2" xfId="13188" xr:uid="{00000000-0005-0000-0000-0000AD9A0000}"/>
    <cellStyle name="Normal 6 2 21 3 2 2 2" xfId="36673" xr:uid="{00000000-0005-0000-0000-0000AE9A0000}"/>
    <cellStyle name="Normal 6 2 21 3 2 2 3" xfId="27354" xr:uid="{00000000-0005-0000-0000-0000AF9A0000}"/>
    <cellStyle name="Normal 6 2 21 3 2 2 4" xfId="50616" xr:uid="{00000000-0005-0000-0000-0000B09A0000}"/>
    <cellStyle name="Normal 6 2 21 3 2 3" xfId="17919" xr:uid="{00000000-0005-0000-0000-0000B19A0000}"/>
    <cellStyle name="Normal 6 2 21 3 2 3 2" xfId="32051" xr:uid="{00000000-0005-0000-0000-0000B29A0000}"/>
    <cellStyle name="Normal 6 2 21 3 2 3 3" xfId="45946" xr:uid="{00000000-0005-0000-0000-0000B39A0000}"/>
    <cellStyle name="Normal 6 2 21 3 2 4" xfId="22732" xr:uid="{00000000-0005-0000-0000-0000B49A0000}"/>
    <cellStyle name="Normal 6 2 21 3 2 5" xfId="41364" xr:uid="{00000000-0005-0000-0000-0000B59A0000}"/>
    <cellStyle name="Normal 6 2 21 3 3" xfId="13187" xr:uid="{00000000-0005-0000-0000-0000B69A0000}"/>
    <cellStyle name="Normal 6 2 21 3 3 2" xfId="36672" xr:uid="{00000000-0005-0000-0000-0000B79A0000}"/>
    <cellStyle name="Normal 6 2 21 3 3 3" xfId="27353" xr:uid="{00000000-0005-0000-0000-0000B89A0000}"/>
    <cellStyle name="Normal 6 2 21 3 3 4" xfId="50615" xr:uid="{00000000-0005-0000-0000-0000B99A0000}"/>
    <cellStyle name="Normal 6 2 21 3 4" xfId="17918" xr:uid="{00000000-0005-0000-0000-0000BA9A0000}"/>
    <cellStyle name="Normal 6 2 21 3 4 2" xfId="32050" xr:uid="{00000000-0005-0000-0000-0000BB9A0000}"/>
    <cellStyle name="Normal 6 2 21 3 4 3" xfId="45945" xr:uid="{00000000-0005-0000-0000-0000BC9A0000}"/>
    <cellStyle name="Normal 6 2 21 3 5" xfId="22731" xr:uid="{00000000-0005-0000-0000-0000BD9A0000}"/>
    <cellStyle name="Normal 6 2 21 3 6" xfId="41363" xr:uid="{00000000-0005-0000-0000-0000BE9A0000}"/>
    <cellStyle name="Normal 6 2 21 4" xfId="7408" xr:uid="{00000000-0005-0000-0000-0000BF9A0000}"/>
    <cellStyle name="Normal 6 2 21 4 2" xfId="7409" xr:uid="{00000000-0005-0000-0000-0000C09A0000}"/>
    <cellStyle name="Normal 6 2 21 4 2 2" xfId="13190" xr:uid="{00000000-0005-0000-0000-0000C19A0000}"/>
    <cellStyle name="Normal 6 2 21 4 2 2 2" xfId="36675" xr:uid="{00000000-0005-0000-0000-0000C29A0000}"/>
    <cellStyle name="Normal 6 2 21 4 2 2 3" xfId="27356" xr:uid="{00000000-0005-0000-0000-0000C39A0000}"/>
    <cellStyle name="Normal 6 2 21 4 2 2 4" xfId="50618" xr:uid="{00000000-0005-0000-0000-0000C49A0000}"/>
    <cellStyle name="Normal 6 2 21 4 2 3" xfId="17921" xr:uid="{00000000-0005-0000-0000-0000C59A0000}"/>
    <cellStyle name="Normal 6 2 21 4 2 3 2" xfId="32053" xr:uid="{00000000-0005-0000-0000-0000C69A0000}"/>
    <cellStyle name="Normal 6 2 21 4 2 3 3" xfId="45948" xr:uid="{00000000-0005-0000-0000-0000C79A0000}"/>
    <cellStyle name="Normal 6 2 21 4 2 4" xfId="22734" xr:uid="{00000000-0005-0000-0000-0000C89A0000}"/>
    <cellStyle name="Normal 6 2 21 4 2 5" xfId="41366" xr:uid="{00000000-0005-0000-0000-0000C99A0000}"/>
    <cellStyle name="Normal 6 2 21 4 3" xfId="13189" xr:uid="{00000000-0005-0000-0000-0000CA9A0000}"/>
    <cellStyle name="Normal 6 2 21 4 3 2" xfId="36674" xr:uid="{00000000-0005-0000-0000-0000CB9A0000}"/>
    <cellStyle name="Normal 6 2 21 4 3 3" xfId="27355" xr:uid="{00000000-0005-0000-0000-0000CC9A0000}"/>
    <cellStyle name="Normal 6 2 21 4 3 4" xfId="50617" xr:uid="{00000000-0005-0000-0000-0000CD9A0000}"/>
    <cellStyle name="Normal 6 2 21 4 4" xfId="17920" xr:uid="{00000000-0005-0000-0000-0000CE9A0000}"/>
    <cellStyle name="Normal 6 2 21 4 4 2" xfId="32052" xr:uid="{00000000-0005-0000-0000-0000CF9A0000}"/>
    <cellStyle name="Normal 6 2 21 4 4 3" xfId="45947" xr:uid="{00000000-0005-0000-0000-0000D09A0000}"/>
    <cellStyle name="Normal 6 2 21 4 5" xfId="22733" xr:uid="{00000000-0005-0000-0000-0000D19A0000}"/>
    <cellStyle name="Normal 6 2 21 4 6" xfId="41365" xr:uid="{00000000-0005-0000-0000-0000D29A0000}"/>
    <cellStyle name="Normal 6 2 21 5" xfId="7410" xr:uid="{00000000-0005-0000-0000-0000D39A0000}"/>
    <cellStyle name="Normal 6 2 21 5 2" xfId="7411" xr:uid="{00000000-0005-0000-0000-0000D49A0000}"/>
    <cellStyle name="Normal 6 2 21 5 2 2" xfId="13192" xr:uid="{00000000-0005-0000-0000-0000D59A0000}"/>
    <cellStyle name="Normal 6 2 21 5 2 2 2" xfId="36677" xr:uid="{00000000-0005-0000-0000-0000D69A0000}"/>
    <cellStyle name="Normal 6 2 21 5 2 2 3" xfId="27358" xr:uid="{00000000-0005-0000-0000-0000D79A0000}"/>
    <cellStyle name="Normal 6 2 21 5 2 2 4" xfId="50620" xr:uid="{00000000-0005-0000-0000-0000D89A0000}"/>
    <cellStyle name="Normal 6 2 21 5 2 3" xfId="17923" xr:uid="{00000000-0005-0000-0000-0000D99A0000}"/>
    <cellStyle name="Normal 6 2 21 5 2 3 2" xfId="32055" xr:uid="{00000000-0005-0000-0000-0000DA9A0000}"/>
    <cellStyle name="Normal 6 2 21 5 2 3 3" xfId="45950" xr:uid="{00000000-0005-0000-0000-0000DB9A0000}"/>
    <cellStyle name="Normal 6 2 21 5 2 4" xfId="22736" xr:uid="{00000000-0005-0000-0000-0000DC9A0000}"/>
    <cellStyle name="Normal 6 2 21 5 2 5" xfId="41368" xr:uid="{00000000-0005-0000-0000-0000DD9A0000}"/>
    <cellStyle name="Normal 6 2 21 5 3" xfId="13191" xr:uid="{00000000-0005-0000-0000-0000DE9A0000}"/>
    <cellStyle name="Normal 6 2 21 5 3 2" xfId="36676" xr:uid="{00000000-0005-0000-0000-0000DF9A0000}"/>
    <cellStyle name="Normal 6 2 21 5 3 3" xfId="27357" xr:uid="{00000000-0005-0000-0000-0000E09A0000}"/>
    <cellStyle name="Normal 6 2 21 5 3 4" xfId="50619" xr:uid="{00000000-0005-0000-0000-0000E19A0000}"/>
    <cellStyle name="Normal 6 2 21 5 4" xfId="17922" xr:uid="{00000000-0005-0000-0000-0000E29A0000}"/>
    <cellStyle name="Normal 6 2 21 5 4 2" xfId="32054" xr:uid="{00000000-0005-0000-0000-0000E39A0000}"/>
    <cellStyle name="Normal 6 2 21 5 4 3" xfId="45949" xr:uid="{00000000-0005-0000-0000-0000E49A0000}"/>
    <cellStyle name="Normal 6 2 21 5 5" xfId="22735" xr:uid="{00000000-0005-0000-0000-0000E59A0000}"/>
    <cellStyle name="Normal 6 2 21 5 6" xfId="41367" xr:uid="{00000000-0005-0000-0000-0000E69A0000}"/>
    <cellStyle name="Normal 6 2 21 6" xfId="7412" xr:uid="{00000000-0005-0000-0000-0000E79A0000}"/>
    <cellStyle name="Normal 6 2 21 6 2" xfId="7413" xr:uid="{00000000-0005-0000-0000-0000E89A0000}"/>
    <cellStyle name="Normal 6 2 21 6 2 2" xfId="13194" xr:uid="{00000000-0005-0000-0000-0000E99A0000}"/>
    <cellStyle name="Normal 6 2 21 6 2 2 2" xfId="36679" xr:uid="{00000000-0005-0000-0000-0000EA9A0000}"/>
    <cellStyle name="Normal 6 2 21 6 2 2 3" xfId="27360" xr:uid="{00000000-0005-0000-0000-0000EB9A0000}"/>
    <cellStyle name="Normal 6 2 21 6 2 2 4" xfId="50622" xr:uid="{00000000-0005-0000-0000-0000EC9A0000}"/>
    <cellStyle name="Normal 6 2 21 6 2 3" xfId="17925" xr:uid="{00000000-0005-0000-0000-0000ED9A0000}"/>
    <cellStyle name="Normal 6 2 21 6 2 3 2" xfId="32057" xr:uid="{00000000-0005-0000-0000-0000EE9A0000}"/>
    <cellStyle name="Normal 6 2 21 6 2 3 3" xfId="45952" xr:uid="{00000000-0005-0000-0000-0000EF9A0000}"/>
    <cellStyle name="Normal 6 2 21 6 2 4" xfId="22738" xr:uid="{00000000-0005-0000-0000-0000F09A0000}"/>
    <cellStyle name="Normal 6 2 21 6 2 5" xfId="41370" xr:uid="{00000000-0005-0000-0000-0000F19A0000}"/>
    <cellStyle name="Normal 6 2 21 6 3" xfId="13193" xr:uid="{00000000-0005-0000-0000-0000F29A0000}"/>
    <cellStyle name="Normal 6 2 21 6 3 2" xfId="36678" xr:uid="{00000000-0005-0000-0000-0000F39A0000}"/>
    <cellStyle name="Normal 6 2 21 6 3 3" xfId="27359" xr:uid="{00000000-0005-0000-0000-0000F49A0000}"/>
    <cellStyle name="Normal 6 2 21 6 3 4" xfId="50621" xr:uid="{00000000-0005-0000-0000-0000F59A0000}"/>
    <cellStyle name="Normal 6 2 21 6 4" xfId="17924" xr:uid="{00000000-0005-0000-0000-0000F69A0000}"/>
    <cellStyle name="Normal 6 2 21 6 4 2" xfId="32056" xr:uid="{00000000-0005-0000-0000-0000F79A0000}"/>
    <cellStyle name="Normal 6 2 21 6 4 3" xfId="45951" xr:uid="{00000000-0005-0000-0000-0000F89A0000}"/>
    <cellStyle name="Normal 6 2 21 6 5" xfId="22737" xr:uid="{00000000-0005-0000-0000-0000F99A0000}"/>
    <cellStyle name="Normal 6 2 21 6 6" xfId="41369" xr:uid="{00000000-0005-0000-0000-0000FA9A0000}"/>
    <cellStyle name="Normal 6 2 21 7" xfId="7414" xr:uid="{00000000-0005-0000-0000-0000FB9A0000}"/>
    <cellStyle name="Normal 6 2 21 7 2" xfId="13195" xr:uid="{00000000-0005-0000-0000-0000FC9A0000}"/>
    <cellStyle name="Normal 6 2 21 7 2 2" xfId="36680" xr:uid="{00000000-0005-0000-0000-0000FD9A0000}"/>
    <cellStyle name="Normal 6 2 21 7 2 3" xfId="27361" xr:uid="{00000000-0005-0000-0000-0000FE9A0000}"/>
    <cellStyle name="Normal 6 2 21 7 2 4" xfId="50623" xr:uid="{00000000-0005-0000-0000-0000FF9A0000}"/>
    <cellStyle name="Normal 6 2 21 7 3" xfId="17926" xr:uid="{00000000-0005-0000-0000-0000009B0000}"/>
    <cellStyle name="Normal 6 2 21 7 3 2" xfId="32058" xr:uid="{00000000-0005-0000-0000-0000019B0000}"/>
    <cellStyle name="Normal 6 2 21 7 3 3" xfId="45953" xr:uid="{00000000-0005-0000-0000-0000029B0000}"/>
    <cellStyle name="Normal 6 2 21 7 4" xfId="22739" xr:uid="{00000000-0005-0000-0000-0000039B0000}"/>
    <cellStyle name="Normal 6 2 21 7 5" xfId="41371" xr:uid="{00000000-0005-0000-0000-0000049B0000}"/>
    <cellStyle name="Normal 6 2 21 8" xfId="13184" xr:uid="{00000000-0005-0000-0000-0000059B0000}"/>
    <cellStyle name="Normal 6 2 21 8 2" xfId="36669" xr:uid="{00000000-0005-0000-0000-0000069B0000}"/>
    <cellStyle name="Normal 6 2 21 8 3" xfId="27350" xr:uid="{00000000-0005-0000-0000-0000079B0000}"/>
    <cellStyle name="Normal 6 2 21 8 4" xfId="50612" xr:uid="{00000000-0005-0000-0000-0000089B0000}"/>
    <cellStyle name="Normal 6 2 21 9" xfId="17915" xr:uid="{00000000-0005-0000-0000-0000099B0000}"/>
    <cellStyle name="Normal 6 2 21 9 2" xfId="32047" xr:uid="{00000000-0005-0000-0000-00000A9B0000}"/>
    <cellStyle name="Normal 6 2 21 9 3" xfId="45942" xr:uid="{00000000-0005-0000-0000-00000B9B0000}"/>
    <cellStyle name="Normal 6 2 22" xfId="7415" xr:uid="{00000000-0005-0000-0000-00000C9B0000}"/>
    <cellStyle name="Normal 6 2 22 10" xfId="22740" xr:uid="{00000000-0005-0000-0000-00000D9B0000}"/>
    <cellStyle name="Normal 6 2 22 11" xfId="41372" xr:uid="{00000000-0005-0000-0000-00000E9B0000}"/>
    <cellStyle name="Normal 6 2 22 2" xfId="7416" xr:uid="{00000000-0005-0000-0000-00000F9B0000}"/>
    <cellStyle name="Normal 6 2 22 2 2" xfId="7417" xr:uid="{00000000-0005-0000-0000-0000109B0000}"/>
    <cellStyle name="Normal 6 2 22 2 2 2" xfId="13198" xr:uid="{00000000-0005-0000-0000-0000119B0000}"/>
    <cellStyle name="Normal 6 2 22 2 2 2 2" xfId="36683" xr:uid="{00000000-0005-0000-0000-0000129B0000}"/>
    <cellStyle name="Normal 6 2 22 2 2 2 3" xfId="27364" xr:uid="{00000000-0005-0000-0000-0000139B0000}"/>
    <cellStyle name="Normal 6 2 22 2 2 2 4" xfId="50626" xr:uid="{00000000-0005-0000-0000-0000149B0000}"/>
    <cellStyle name="Normal 6 2 22 2 2 3" xfId="17929" xr:uid="{00000000-0005-0000-0000-0000159B0000}"/>
    <cellStyle name="Normal 6 2 22 2 2 3 2" xfId="32061" xr:uid="{00000000-0005-0000-0000-0000169B0000}"/>
    <cellStyle name="Normal 6 2 22 2 2 3 3" xfId="45956" xr:uid="{00000000-0005-0000-0000-0000179B0000}"/>
    <cellStyle name="Normal 6 2 22 2 2 4" xfId="22742" xr:uid="{00000000-0005-0000-0000-0000189B0000}"/>
    <cellStyle name="Normal 6 2 22 2 2 5" xfId="41374" xr:uid="{00000000-0005-0000-0000-0000199B0000}"/>
    <cellStyle name="Normal 6 2 22 2 3" xfId="13197" xr:uid="{00000000-0005-0000-0000-00001A9B0000}"/>
    <cellStyle name="Normal 6 2 22 2 3 2" xfId="36682" xr:uid="{00000000-0005-0000-0000-00001B9B0000}"/>
    <cellStyle name="Normal 6 2 22 2 3 3" xfId="27363" xr:uid="{00000000-0005-0000-0000-00001C9B0000}"/>
    <cellStyle name="Normal 6 2 22 2 3 4" xfId="50625" xr:uid="{00000000-0005-0000-0000-00001D9B0000}"/>
    <cellStyle name="Normal 6 2 22 2 4" xfId="17928" xr:uid="{00000000-0005-0000-0000-00001E9B0000}"/>
    <cellStyle name="Normal 6 2 22 2 4 2" xfId="32060" xr:uid="{00000000-0005-0000-0000-00001F9B0000}"/>
    <cellStyle name="Normal 6 2 22 2 4 3" xfId="45955" xr:uid="{00000000-0005-0000-0000-0000209B0000}"/>
    <cellStyle name="Normal 6 2 22 2 5" xfId="22741" xr:uid="{00000000-0005-0000-0000-0000219B0000}"/>
    <cellStyle name="Normal 6 2 22 2 6" xfId="41373" xr:uid="{00000000-0005-0000-0000-0000229B0000}"/>
    <cellStyle name="Normal 6 2 22 3" xfId="7418" xr:uid="{00000000-0005-0000-0000-0000239B0000}"/>
    <cellStyle name="Normal 6 2 22 3 2" xfId="7419" xr:uid="{00000000-0005-0000-0000-0000249B0000}"/>
    <cellStyle name="Normal 6 2 22 3 2 2" xfId="13200" xr:uid="{00000000-0005-0000-0000-0000259B0000}"/>
    <cellStyle name="Normal 6 2 22 3 2 2 2" xfId="36685" xr:uid="{00000000-0005-0000-0000-0000269B0000}"/>
    <cellStyle name="Normal 6 2 22 3 2 2 3" xfId="27366" xr:uid="{00000000-0005-0000-0000-0000279B0000}"/>
    <cellStyle name="Normal 6 2 22 3 2 2 4" xfId="50628" xr:uid="{00000000-0005-0000-0000-0000289B0000}"/>
    <cellStyle name="Normal 6 2 22 3 2 3" xfId="17931" xr:uid="{00000000-0005-0000-0000-0000299B0000}"/>
    <cellStyle name="Normal 6 2 22 3 2 3 2" xfId="32063" xr:uid="{00000000-0005-0000-0000-00002A9B0000}"/>
    <cellStyle name="Normal 6 2 22 3 2 3 3" xfId="45958" xr:uid="{00000000-0005-0000-0000-00002B9B0000}"/>
    <cellStyle name="Normal 6 2 22 3 2 4" xfId="22744" xr:uid="{00000000-0005-0000-0000-00002C9B0000}"/>
    <cellStyle name="Normal 6 2 22 3 2 5" xfId="41376" xr:uid="{00000000-0005-0000-0000-00002D9B0000}"/>
    <cellStyle name="Normal 6 2 22 3 3" xfId="13199" xr:uid="{00000000-0005-0000-0000-00002E9B0000}"/>
    <cellStyle name="Normal 6 2 22 3 3 2" xfId="36684" xr:uid="{00000000-0005-0000-0000-00002F9B0000}"/>
    <cellStyle name="Normal 6 2 22 3 3 3" xfId="27365" xr:uid="{00000000-0005-0000-0000-0000309B0000}"/>
    <cellStyle name="Normal 6 2 22 3 3 4" xfId="50627" xr:uid="{00000000-0005-0000-0000-0000319B0000}"/>
    <cellStyle name="Normal 6 2 22 3 4" xfId="17930" xr:uid="{00000000-0005-0000-0000-0000329B0000}"/>
    <cellStyle name="Normal 6 2 22 3 4 2" xfId="32062" xr:uid="{00000000-0005-0000-0000-0000339B0000}"/>
    <cellStyle name="Normal 6 2 22 3 4 3" xfId="45957" xr:uid="{00000000-0005-0000-0000-0000349B0000}"/>
    <cellStyle name="Normal 6 2 22 3 5" xfId="22743" xr:uid="{00000000-0005-0000-0000-0000359B0000}"/>
    <cellStyle name="Normal 6 2 22 3 6" xfId="41375" xr:uid="{00000000-0005-0000-0000-0000369B0000}"/>
    <cellStyle name="Normal 6 2 22 4" xfId="7420" xr:uid="{00000000-0005-0000-0000-0000379B0000}"/>
    <cellStyle name="Normal 6 2 22 4 2" xfId="7421" xr:uid="{00000000-0005-0000-0000-0000389B0000}"/>
    <cellStyle name="Normal 6 2 22 4 2 2" xfId="13202" xr:uid="{00000000-0005-0000-0000-0000399B0000}"/>
    <cellStyle name="Normal 6 2 22 4 2 2 2" xfId="36687" xr:uid="{00000000-0005-0000-0000-00003A9B0000}"/>
    <cellStyle name="Normal 6 2 22 4 2 2 3" xfId="27368" xr:uid="{00000000-0005-0000-0000-00003B9B0000}"/>
    <cellStyle name="Normal 6 2 22 4 2 2 4" xfId="50630" xr:uid="{00000000-0005-0000-0000-00003C9B0000}"/>
    <cellStyle name="Normal 6 2 22 4 2 3" xfId="17933" xr:uid="{00000000-0005-0000-0000-00003D9B0000}"/>
    <cellStyle name="Normal 6 2 22 4 2 3 2" xfId="32065" xr:uid="{00000000-0005-0000-0000-00003E9B0000}"/>
    <cellStyle name="Normal 6 2 22 4 2 3 3" xfId="45960" xr:uid="{00000000-0005-0000-0000-00003F9B0000}"/>
    <cellStyle name="Normal 6 2 22 4 2 4" xfId="22746" xr:uid="{00000000-0005-0000-0000-0000409B0000}"/>
    <cellStyle name="Normal 6 2 22 4 2 5" xfId="41378" xr:uid="{00000000-0005-0000-0000-0000419B0000}"/>
    <cellStyle name="Normal 6 2 22 4 3" xfId="13201" xr:uid="{00000000-0005-0000-0000-0000429B0000}"/>
    <cellStyle name="Normal 6 2 22 4 3 2" xfId="36686" xr:uid="{00000000-0005-0000-0000-0000439B0000}"/>
    <cellStyle name="Normal 6 2 22 4 3 3" xfId="27367" xr:uid="{00000000-0005-0000-0000-0000449B0000}"/>
    <cellStyle name="Normal 6 2 22 4 3 4" xfId="50629" xr:uid="{00000000-0005-0000-0000-0000459B0000}"/>
    <cellStyle name="Normal 6 2 22 4 4" xfId="17932" xr:uid="{00000000-0005-0000-0000-0000469B0000}"/>
    <cellStyle name="Normal 6 2 22 4 4 2" xfId="32064" xr:uid="{00000000-0005-0000-0000-0000479B0000}"/>
    <cellStyle name="Normal 6 2 22 4 4 3" xfId="45959" xr:uid="{00000000-0005-0000-0000-0000489B0000}"/>
    <cellStyle name="Normal 6 2 22 4 5" xfId="22745" xr:uid="{00000000-0005-0000-0000-0000499B0000}"/>
    <cellStyle name="Normal 6 2 22 4 6" xfId="41377" xr:uid="{00000000-0005-0000-0000-00004A9B0000}"/>
    <cellStyle name="Normal 6 2 22 5" xfId="7422" xr:uid="{00000000-0005-0000-0000-00004B9B0000}"/>
    <cellStyle name="Normal 6 2 22 5 2" xfId="7423" xr:uid="{00000000-0005-0000-0000-00004C9B0000}"/>
    <cellStyle name="Normal 6 2 22 5 2 2" xfId="13204" xr:uid="{00000000-0005-0000-0000-00004D9B0000}"/>
    <cellStyle name="Normal 6 2 22 5 2 2 2" xfId="36689" xr:uid="{00000000-0005-0000-0000-00004E9B0000}"/>
    <cellStyle name="Normal 6 2 22 5 2 2 3" xfId="27370" xr:uid="{00000000-0005-0000-0000-00004F9B0000}"/>
    <cellStyle name="Normal 6 2 22 5 2 2 4" xfId="50632" xr:uid="{00000000-0005-0000-0000-0000509B0000}"/>
    <cellStyle name="Normal 6 2 22 5 2 3" xfId="17935" xr:uid="{00000000-0005-0000-0000-0000519B0000}"/>
    <cellStyle name="Normal 6 2 22 5 2 3 2" xfId="32067" xr:uid="{00000000-0005-0000-0000-0000529B0000}"/>
    <cellStyle name="Normal 6 2 22 5 2 3 3" xfId="45962" xr:uid="{00000000-0005-0000-0000-0000539B0000}"/>
    <cellStyle name="Normal 6 2 22 5 2 4" xfId="22748" xr:uid="{00000000-0005-0000-0000-0000549B0000}"/>
    <cellStyle name="Normal 6 2 22 5 2 5" xfId="41380" xr:uid="{00000000-0005-0000-0000-0000559B0000}"/>
    <cellStyle name="Normal 6 2 22 5 3" xfId="13203" xr:uid="{00000000-0005-0000-0000-0000569B0000}"/>
    <cellStyle name="Normal 6 2 22 5 3 2" xfId="36688" xr:uid="{00000000-0005-0000-0000-0000579B0000}"/>
    <cellStyle name="Normal 6 2 22 5 3 3" xfId="27369" xr:uid="{00000000-0005-0000-0000-0000589B0000}"/>
    <cellStyle name="Normal 6 2 22 5 3 4" xfId="50631" xr:uid="{00000000-0005-0000-0000-0000599B0000}"/>
    <cellStyle name="Normal 6 2 22 5 4" xfId="17934" xr:uid="{00000000-0005-0000-0000-00005A9B0000}"/>
    <cellStyle name="Normal 6 2 22 5 4 2" xfId="32066" xr:uid="{00000000-0005-0000-0000-00005B9B0000}"/>
    <cellStyle name="Normal 6 2 22 5 4 3" xfId="45961" xr:uid="{00000000-0005-0000-0000-00005C9B0000}"/>
    <cellStyle name="Normal 6 2 22 5 5" xfId="22747" xr:uid="{00000000-0005-0000-0000-00005D9B0000}"/>
    <cellStyle name="Normal 6 2 22 5 6" xfId="41379" xr:uid="{00000000-0005-0000-0000-00005E9B0000}"/>
    <cellStyle name="Normal 6 2 22 6" xfId="7424" xr:uid="{00000000-0005-0000-0000-00005F9B0000}"/>
    <cellStyle name="Normal 6 2 22 6 2" xfId="7425" xr:uid="{00000000-0005-0000-0000-0000609B0000}"/>
    <cellStyle name="Normal 6 2 22 6 2 2" xfId="13206" xr:uid="{00000000-0005-0000-0000-0000619B0000}"/>
    <cellStyle name="Normal 6 2 22 6 2 2 2" xfId="36691" xr:uid="{00000000-0005-0000-0000-0000629B0000}"/>
    <cellStyle name="Normal 6 2 22 6 2 2 3" xfId="27372" xr:uid="{00000000-0005-0000-0000-0000639B0000}"/>
    <cellStyle name="Normal 6 2 22 6 2 2 4" xfId="50634" xr:uid="{00000000-0005-0000-0000-0000649B0000}"/>
    <cellStyle name="Normal 6 2 22 6 2 3" xfId="17937" xr:uid="{00000000-0005-0000-0000-0000659B0000}"/>
    <cellStyle name="Normal 6 2 22 6 2 3 2" xfId="32069" xr:uid="{00000000-0005-0000-0000-0000669B0000}"/>
    <cellStyle name="Normal 6 2 22 6 2 3 3" xfId="45964" xr:uid="{00000000-0005-0000-0000-0000679B0000}"/>
    <cellStyle name="Normal 6 2 22 6 2 4" xfId="22750" xr:uid="{00000000-0005-0000-0000-0000689B0000}"/>
    <cellStyle name="Normal 6 2 22 6 2 5" xfId="41382" xr:uid="{00000000-0005-0000-0000-0000699B0000}"/>
    <cellStyle name="Normal 6 2 22 6 3" xfId="13205" xr:uid="{00000000-0005-0000-0000-00006A9B0000}"/>
    <cellStyle name="Normal 6 2 22 6 3 2" xfId="36690" xr:uid="{00000000-0005-0000-0000-00006B9B0000}"/>
    <cellStyle name="Normal 6 2 22 6 3 3" xfId="27371" xr:uid="{00000000-0005-0000-0000-00006C9B0000}"/>
    <cellStyle name="Normal 6 2 22 6 3 4" xfId="50633" xr:uid="{00000000-0005-0000-0000-00006D9B0000}"/>
    <cellStyle name="Normal 6 2 22 6 4" xfId="17936" xr:uid="{00000000-0005-0000-0000-00006E9B0000}"/>
    <cellStyle name="Normal 6 2 22 6 4 2" xfId="32068" xr:uid="{00000000-0005-0000-0000-00006F9B0000}"/>
    <cellStyle name="Normal 6 2 22 6 4 3" xfId="45963" xr:uid="{00000000-0005-0000-0000-0000709B0000}"/>
    <cellStyle name="Normal 6 2 22 6 5" xfId="22749" xr:uid="{00000000-0005-0000-0000-0000719B0000}"/>
    <cellStyle name="Normal 6 2 22 6 6" xfId="41381" xr:uid="{00000000-0005-0000-0000-0000729B0000}"/>
    <cellStyle name="Normal 6 2 22 7" xfId="7426" xr:uid="{00000000-0005-0000-0000-0000739B0000}"/>
    <cellStyle name="Normal 6 2 22 7 2" xfId="13207" xr:uid="{00000000-0005-0000-0000-0000749B0000}"/>
    <cellStyle name="Normal 6 2 22 7 2 2" xfId="36692" xr:uid="{00000000-0005-0000-0000-0000759B0000}"/>
    <cellStyle name="Normal 6 2 22 7 2 3" xfId="27373" xr:uid="{00000000-0005-0000-0000-0000769B0000}"/>
    <cellStyle name="Normal 6 2 22 7 2 4" xfId="50635" xr:uid="{00000000-0005-0000-0000-0000779B0000}"/>
    <cellStyle name="Normal 6 2 22 7 3" xfId="17938" xr:uid="{00000000-0005-0000-0000-0000789B0000}"/>
    <cellStyle name="Normal 6 2 22 7 3 2" xfId="32070" xr:uid="{00000000-0005-0000-0000-0000799B0000}"/>
    <cellStyle name="Normal 6 2 22 7 3 3" xfId="45965" xr:uid="{00000000-0005-0000-0000-00007A9B0000}"/>
    <cellStyle name="Normal 6 2 22 7 4" xfId="22751" xr:uid="{00000000-0005-0000-0000-00007B9B0000}"/>
    <cellStyle name="Normal 6 2 22 7 5" xfId="41383" xr:uid="{00000000-0005-0000-0000-00007C9B0000}"/>
    <cellStyle name="Normal 6 2 22 8" xfId="13196" xr:uid="{00000000-0005-0000-0000-00007D9B0000}"/>
    <cellStyle name="Normal 6 2 22 8 2" xfId="36681" xr:uid="{00000000-0005-0000-0000-00007E9B0000}"/>
    <cellStyle name="Normal 6 2 22 8 3" xfId="27362" xr:uid="{00000000-0005-0000-0000-00007F9B0000}"/>
    <cellStyle name="Normal 6 2 22 8 4" xfId="50624" xr:uid="{00000000-0005-0000-0000-0000809B0000}"/>
    <cellStyle name="Normal 6 2 22 9" xfId="17927" xr:uid="{00000000-0005-0000-0000-0000819B0000}"/>
    <cellStyle name="Normal 6 2 22 9 2" xfId="32059" xr:uid="{00000000-0005-0000-0000-0000829B0000}"/>
    <cellStyle name="Normal 6 2 22 9 3" xfId="45954" xr:uid="{00000000-0005-0000-0000-0000839B0000}"/>
    <cellStyle name="Normal 6 2 23" xfId="7427" xr:uid="{00000000-0005-0000-0000-0000849B0000}"/>
    <cellStyle name="Normal 6 2 23 10" xfId="22752" xr:uid="{00000000-0005-0000-0000-0000859B0000}"/>
    <cellStyle name="Normal 6 2 23 11" xfId="41384" xr:uid="{00000000-0005-0000-0000-0000869B0000}"/>
    <cellStyle name="Normal 6 2 23 2" xfId="7428" xr:uid="{00000000-0005-0000-0000-0000879B0000}"/>
    <cellStyle name="Normal 6 2 23 2 2" xfId="7429" xr:uid="{00000000-0005-0000-0000-0000889B0000}"/>
    <cellStyle name="Normal 6 2 23 2 2 2" xfId="13210" xr:uid="{00000000-0005-0000-0000-0000899B0000}"/>
    <cellStyle name="Normal 6 2 23 2 2 2 2" xfId="36695" xr:uid="{00000000-0005-0000-0000-00008A9B0000}"/>
    <cellStyle name="Normal 6 2 23 2 2 2 3" xfId="27376" xr:uid="{00000000-0005-0000-0000-00008B9B0000}"/>
    <cellStyle name="Normal 6 2 23 2 2 2 4" xfId="50638" xr:uid="{00000000-0005-0000-0000-00008C9B0000}"/>
    <cellStyle name="Normal 6 2 23 2 2 3" xfId="17941" xr:uid="{00000000-0005-0000-0000-00008D9B0000}"/>
    <cellStyle name="Normal 6 2 23 2 2 3 2" xfId="32073" xr:uid="{00000000-0005-0000-0000-00008E9B0000}"/>
    <cellStyle name="Normal 6 2 23 2 2 3 3" xfId="45968" xr:uid="{00000000-0005-0000-0000-00008F9B0000}"/>
    <cellStyle name="Normal 6 2 23 2 2 4" xfId="22754" xr:uid="{00000000-0005-0000-0000-0000909B0000}"/>
    <cellStyle name="Normal 6 2 23 2 2 5" xfId="41386" xr:uid="{00000000-0005-0000-0000-0000919B0000}"/>
    <cellStyle name="Normal 6 2 23 2 3" xfId="13209" xr:uid="{00000000-0005-0000-0000-0000929B0000}"/>
    <cellStyle name="Normal 6 2 23 2 3 2" xfId="36694" xr:uid="{00000000-0005-0000-0000-0000939B0000}"/>
    <cellStyle name="Normal 6 2 23 2 3 3" xfId="27375" xr:uid="{00000000-0005-0000-0000-0000949B0000}"/>
    <cellStyle name="Normal 6 2 23 2 3 4" xfId="50637" xr:uid="{00000000-0005-0000-0000-0000959B0000}"/>
    <cellStyle name="Normal 6 2 23 2 4" xfId="17940" xr:uid="{00000000-0005-0000-0000-0000969B0000}"/>
    <cellStyle name="Normal 6 2 23 2 4 2" xfId="32072" xr:uid="{00000000-0005-0000-0000-0000979B0000}"/>
    <cellStyle name="Normal 6 2 23 2 4 3" xfId="45967" xr:uid="{00000000-0005-0000-0000-0000989B0000}"/>
    <cellStyle name="Normal 6 2 23 2 5" xfId="22753" xr:uid="{00000000-0005-0000-0000-0000999B0000}"/>
    <cellStyle name="Normal 6 2 23 2 6" xfId="41385" xr:uid="{00000000-0005-0000-0000-00009A9B0000}"/>
    <cellStyle name="Normal 6 2 23 3" xfId="7430" xr:uid="{00000000-0005-0000-0000-00009B9B0000}"/>
    <cellStyle name="Normal 6 2 23 3 2" xfId="7431" xr:uid="{00000000-0005-0000-0000-00009C9B0000}"/>
    <cellStyle name="Normal 6 2 23 3 2 2" xfId="13212" xr:uid="{00000000-0005-0000-0000-00009D9B0000}"/>
    <cellStyle name="Normal 6 2 23 3 2 2 2" xfId="36697" xr:uid="{00000000-0005-0000-0000-00009E9B0000}"/>
    <cellStyle name="Normal 6 2 23 3 2 2 3" xfId="27378" xr:uid="{00000000-0005-0000-0000-00009F9B0000}"/>
    <cellStyle name="Normal 6 2 23 3 2 2 4" xfId="50640" xr:uid="{00000000-0005-0000-0000-0000A09B0000}"/>
    <cellStyle name="Normal 6 2 23 3 2 3" xfId="17943" xr:uid="{00000000-0005-0000-0000-0000A19B0000}"/>
    <cellStyle name="Normal 6 2 23 3 2 3 2" xfId="32075" xr:uid="{00000000-0005-0000-0000-0000A29B0000}"/>
    <cellStyle name="Normal 6 2 23 3 2 3 3" xfId="45970" xr:uid="{00000000-0005-0000-0000-0000A39B0000}"/>
    <cellStyle name="Normal 6 2 23 3 2 4" xfId="22756" xr:uid="{00000000-0005-0000-0000-0000A49B0000}"/>
    <cellStyle name="Normal 6 2 23 3 2 5" xfId="41388" xr:uid="{00000000-0005-0000-0000-0000A59B0000}"/>
    <cellStyle name="Normal 6 2 23 3 3" xfId="13211" xr:uid="{00000000-0005-0000-0000-0000A69B0000}"/>
    <cellStyle name="Normal 6 2 23 3 3 2" xfId="36696" xr:uid="{00000000-0005-0000-0000-0000A79B0000}"/>
    <cellStyle name="Normal 6 2 23 3 3 3" xfId="27377" xr:uid="{00000000-0005-0000-0000-0000A89B0000}"/>
    <cellStyle name="Normal 6 2 23 3 3 4" xfId="50639" xr:uid="{00000000-0005-0000-0000-0000A99B0000}"/>
    <cellStyle name="Normal 6 2 23 3 4" xfId="17942" xr:uid="{00000000-0005-0000-0000-0000AA9B0000}"/>
    <cellStyle name="Normal 6 2 23 3 4 2" xfId="32074" xr:uid="{00000000-0005-0000-0000-0000AB9B0000}"/>
    <cellStyle name="Normal 6 2 23 3 4 3" xfId="45969" xr:uid="{00000000-0005-0000-0000-0000AC9B0000}"/>
    <cellStyle name="Normal 6 2 23 3 5" xfId="22755" xr:uid="{00000000-0005-0000-0000-0000AD9B0000}"/>
    <cellStyle name="Normal 6 2 23 3 6" xfId="41387" xr:uid="{00000000-0005-0000-0000-0000AE9B0000}"/>
    <cellStyle name="Normal 6 2 23 4" xfId="7432" xr:uid="{00000000-0005-0000-0000-0000AF9B0000}"/>
    <cellStyle name="Normal 6 2 23 4 2" xfId="7433" xr:uid="{00000000-0005-0000-0000-0000B09B0000}"/>
    <cellStyle name="Normal 6 2 23 4 2 2" xfId="13214" xr:uid="{00000000-0005-0000-0000-0000B19B0000}"/>
    <cellStyle name="Normal 6 2 23 4 2 2 2" xfId="36699" xr:uid="{00000000-0005-0000-0000-0000B29B0000}"/>
    <cellStyle name="Normal 6 2 23 4 2 2 3" xfId="27380" xr:uid="{00000000-0005-0000-0000-0000B39B0000}"/>
    <cellStyle name="Normal 6 2 23 4 2 2 4" xfId="50642" xr:uid="{00000000-0005-0000-0000-0000B49B0000}"/>
    <cellStyle name="Normal 6 2 23 4 2 3" xfId="17945" xr:uid="{00000000-0005-0000-0000-0000B59B0000}"/>
    <cellStyle name="Normal 6 2 23 4 2 3 2" xfId="32077" xr:uid="{00000000-0005-0000-0000-0000B69B0000}"/>
    <cellStyle name="Normal 6 2 23 4 2 3 3" xfId="45972" xr:uid="{00000000-0005-0000-0000-0000B79B0000}"/>
    <cellStyle name="Normal 6 2 23 4 2 4" xfId="22758" xr:uid="{00000000-0005-0000-0000-0000B89B0000}"/>
    <cellStyle name="Normal 6 2 23 4 2 5" xfId="41390" xr:uid="{00000000-0005-0000-0000-0000B99B0000}"/>
    <cellStyle name="Normal 6 2 23 4 3" xfId="13213" xr:uid="{00000000-0005-0000-0000-0000BA9B0000}"/>
    <cellStyle name="Normal 6 2 23 4 3 2" xfId="36698" xr:uid="{00000000-0005-0000-0000-0000BB9B0000}"/>
    <cellStyle name="Normal 6 2 23 4 3 3" xfId="27379" xr:uid="{00000000-0005-0000-0000-0000BC9B0000}"/>
    <cellStyle name="Normal 6 2 23 4 3 4" xfId="50641" xr:uid="{00000000-0005-0000-0000-0000BD9B0000}"/>
    <cellStyle name="Normal 6 2 23 4 4" xfId="17944" xr:uid="{00000000-0005-0000-0000-0000BE9B0000}"/>
    <cellStyle name="Normal 6 2 23 4 4 2" xfId="32076" xr:uid="{00000000-0005-0000-0000-0000BF9B0000}"/>
    <cellStyle name="Normal 6 2 23 4 4 3" xfId="45971" xr:uid="{00000000-0005-0000-0000-0000C09B0000}"/>
    <cellStyle name="Normal 6 2 23 4 5" xfId="22757" xr:uid="{00000000-0005-0000-0000-0000C19B0000}"/>
    <cellStyle name="Normal 6 2 23 4 6" xfId="41389" xr:uid="{00000000-0005-0000-0000-0000C29B0000}"/>
    <cellStyle name="Normal 6 2 23 5" xfId="7434" xr:uid="{00000000-0005-0000-0000-0000C39B0000}"/>
    <cellStyle name="Normal 6 2 23 5 2" xfId="7435" xr:uid="{00000000-0005-0000-0000-0000C49B0000}"/>
    <cellStyle name="Normal 6 2 23 5 2 2" xfId="13216" xr:uid="{00000000-0005-0000-0000-0000C59B0000}"/>
    <cellStyle name="Normal 6 2 23 5 2 2 2" xfId="36701" xr:uid="{00000000-0005-0000-0000-0000C69B0000}"/>
    <cellStyle name="Normal 6 2 23 5 2 2 3" xfId="27382" xr:uid="{00000000-0005-0000-0000-0000C79B0000}"/>
    <cellStyle name="Normal 6 2 23 5 2 2 4" xfId="50644" xr:uid="{00000000-0005-0000-0000-0000C89B0000}"/>
    <cellStyle name="Normal 6 2 23 5 2 3" xfId="17947" xr:uid="{00000000-0005-0000-0000-0000C99B0000}"/>
    <cellStyle name="Normal 6 2 23 5 2 3 2" xfId="32079" xr:uid="{00000000-0005-0000-0000-0000CA9B0000}"/>
    <cellStyle name="Normal 6 2 23 5 2 3 3" xfId="45974" xr:uid="{00000000-0005-0000-0000-0000CB9B0000}"/>
    <cellStyle name="Normal 6 2 23 5 2 4" xfId="22760" xr:uid="{00000000-0005-0000-0000-0000CC9B0000}"/>
    <cellStyle name="Normal 6 2 23 5 2 5" xfId="41392" xr:uid="{00000000-0005-0000-0000-0000CD9B0000}"/>
    <cellStyle name="Normal 6 2 23 5 3" xfId="13215" xr:uid="{00000000-0005-0000-0000-0000CE9B0000}"/>
    <cellStyle name="Normal 6 2 23 5 3 2" xfId="36700" xr:uid="{00000000-0005-0000-0000-0000CF9B0000}"/>
    <cellStyle name="Normal 6 2 23 5 3 3" xfId="27381" xr:uid="{00000000-0005-0000-0000-0000D09B0000}"/>
    <cellStyle name="Normal 6 2 23 5 3 4" xfId="50643" xr:uid="{00000000-0005-0000-0000-0000D19B0000}"/>
    <cellStyle name="Normal 6 2 23 5 4" xfId="17946" xr:uid="{00000000-0005-0000-0000-0000D29B0000}"/>
    <cellStyle name="Normal 6 2 23 5 4 2" xfId="32078" xr:uid="{00000000-0005-0000-0000-0000D39B0000}"/>
    <cellStyle name="Normal 6 2 23 5 4 3" xfId="45973" xr:uid="{00000000-0005-0000-0000-0000D49B0000}"/>
    <cellStyle name="Normal 6 2 23 5 5" xfId="22759" xr:uid="{00000000-0005-0000-0000-0000D59B0000}"/>
    <cellStyle name="Normal 6 2 23 5 6" xfId="41391" xr:uid="{00000000-0005-0000-0000-0000D69B0000}"/>
    <cellStyle name="Normal 6 2 23 6" xfId="7436" xr:uid="{00000000-0005-0000-0000-0000D79B0000}"/>
    <cellStyle name="Normal 6 2 23 6 2" xfId="7437" xr:uid="{00000000-0005-0000-0000-0000D89B0000}"/>
    <cellStyle name="Normal 6 2 23 6 2 2" xfId="13218" xr:uid="{00000000-0005-0000-0000-0000D99B0000}"/>
    <cellStyle name="Normal 6 2 23 6 2 2 2" xfId="36703" xr:uid="{00000000-0005-0000-0000-0000DA9B0000}"/>
    <cellStyle name="Normal 6 2 23 6 2 2 3" xfId="27384" xr:uid="{00000000-0005-0000-0000-0000DB9B0000}"/>
    <cellStyle name="Normal 6 2 23 6 2 2 4" xfId="50646" xr:uid="{00000000-0005-0000-0000-0000DC9B0000}"/>
    <cellStyle name="Normal 6 2 23 6 2 3" xfId="17949" xr:uid="{00000000-0005-0000-0000-0000DD9B0000}"/>
    <cellStyle name="Normal 6 2 23 6 2 3 2" xfId="32081" xr:uid="{00000000-0005-0000-0000-0000DE9B0000}"/>
    <cellStyle name="Normal 6 2 23 6 2 3 3" xfId="45976" xr:uid="{00000000-0005-0000-0000-0000DF9B0000}"/>
    <cellStyle name="Normal 6 2 23 6 2 4" xfId="22762" xr:uid="{00000000-0005-0000-0000-0000E09B0000}"/>
    <cellStyle name="Normal 6 2 23 6 2 5" xfId="41394" xr:uid="{00000000-0005-0000-0000-0000E19B0000}"/>
    <cellStyle name="Normal 6 2 23 6 3" xfId="13217" xr:uid="{00000000-0005-0000-0000-0000E29B0000}"/>
    <cellStyle name="Normal 6 2 23 6 3 2" xfId="36702" xr:uid="{00000000-0005-0000-0000-0000E39B0000}"/>
    <cellStyle name="Normal 6 2 23 6 3 3" xfId="27383" xr:uid="{00000000-0005-0000-0000-0000E49B0000}"/>
    <cellStyle name="Normal 6 2 23 6 3 4" xfId="50645" xr:uid="{00000000-0005-0000-0000-0000E59B0000}"/>
    <cellStyle name="Normal 6 2 23 6 4" xfId="17948" xr:uid="{00000000-0005-0000-0000-0000E69B0000}"/>
    <cellStyle name="Normal 6 2 23 6 4 2" xfId="32080" xr:uid="{00000000-0005-0000-0000-0000E79B0000}"/>
    <cellStyle name="Normal 6 2 23 6 4 3" xfId="45975" xr:uid="{00000000-0005-0000-0000-0000E89B0000}"/>
    <cellStyle name="Normal 6 2 23 6 5" xfId="22761" xr:uid="{00000000-0005-0000-0000-0000E99B0000}"/>
    <cellStyle name="Normal 6 2 23 6 6" xfId="41393" xr:uid="{00000000-0005-0000-0000-0000EA9B0000}"/>
    <cellStyle name="Normal 6 2 23 7" xfId="7438" xr:uid="{00000000-0005-0000-0000-0000EB9B0000}"/>
    <cellStyle name="Normal 6 2 23 7 2" xfId="13219" xr:uid="{00000000-0005-0000-0000-0000EC9B0000}"/>
    <cellStyle name="Normal 6 2 23 7 2 2" xfId="36704" xr:uid="{00000000-0005-0000-0000-0000ED9B0000}"/>
    <cellStyle name="Normal 6 2 23 7 2 3" xfId="27385" xr:uid="{00000000-0005-0000-0000-0000EE9B0000}"/>
    <cellStyle name="Normal 6 2 23 7 2 4" xfId="50647" xr:uid="{00000000-0005-0000-0000-0000EF9B0000}"/>
    <cellStyle name="Normal 6 2 23 7 3" xfId="17950" xr:uid="{00000000-0005-0000-0000-0000F09B0000}"/>
    <cellStyle name="Normal 6 2 23 7 3 2" xfId="32082" xr:uid="{00000000-0005-0000-0000-0000F19B0000}"/>
    <cellStyle name="Normal 6 2 23 7 3 3" xfId="45977" xr:uid="{00000000-0005-0000-0000-0000F29B0000}"/>
    <cellStyle name="Normal 6 2 23 7 4" xfId="22763" xr:uid="{00000000-0005-0000-0000-0000F39B0000}"/>
    <cellStyle name="Normal 6 2 23 7 5" xfId="41395" xr:uid="{00000000-0005-0000-0000-0000F49B0000}"/>
    <cellStyle name="Normal 6 2 23 8" xfId="13208" xr:uid="{00000000-0005-0000-0000-0000F59B0000}"/>
    <cellStyle name="Normal 6 2 23 8 2" xfId="36693" xr:uid="{00000000-0005-0000-0000-0000F69B0000}"/>
    <cellStyle name="Normal 6 2 23 8 3" xfId="27374" xr:uid="{00000000-0005-0000-0000-0000F79B0000}"/>
    <cellStyle name="Normal 6 2 23 8 4" xfId="50636" xr:uid="{00000000-0005-0000-0000-0000F89B0000}"/>
    <cellStyle name="Normal 6 2 23 9" xfId="17939" xr:uid="{00000000-0005-0000-0000-0000F99B0000}"/>
    <cellStyle name="Normal 6 2 23 9 2" xfId="32071" xr:uid="{00000000-0005-0000-0000-0000FA9B0000}"/>
    <cellStyle name="Normal 6 2 23 9 3" xfId="45966" xr:uid="{00000000-0005-0000-0000-0000FB9B0000}"/>
    <cellStyle name="Normal 6 2 24" xfId="7439" xr:uid="{00000000-0005-0000-0000-0000FC9B0000}"/>
    <cellStyle name="Normal 6 2 24 10" xfId="22764" xr:uid="{00000000-0005-0000-0000-0000FD9B0000}"/>
    <cellStyle name="Normal 6 2 24 11" xfId="41396" xr:uid="{00000000-0005-0000-0000-0000FE9B0000}"/>
    <cellStyle name="Normal 6 2 24 2" xfId="7440" xr:uid="{00000000-0005-0000-0000-0000FF9B0000}"/>
    <cellStyle name="Normal 6 2 24 2 2" xfId="7441" xr:uid="{00000000-0005-0000-0000-0000009C0000}"/>
    <cellStyle name="Normal 6 2 24 2 2 2" xfId="13222" xr:uid="{00000000-0005-0000-0000-0000019C0000}"/>
    <cellStyle name="Normal 6 2 24 2 2 2 2" xfId="36707" xr:uid="{00000000-0005-0000-0000-0000029C0000}"/>
    <cellStyle name="Normal 6 2 24 2 2 2 3" xfId="27388" xr:uid="{00000000-0005-0000-0000-0000039C0000}"/>
    <cellStyle name="Normal 6 2 24 2 2 2 4" xfId="50650" xr:uid="{00000000-0005-0000-0000-0000049C0000}"/>
    <cellStyle name="Normal 6 2 24 2 2 3" xfId="17953" xr:uid="{00000000-0005-0000-0000-0000059C0000}"/>
    <cellStyle name="Normal 6 2 24 2 2 3 2" xfId="32085" xr:uid="{00000000-0005-0000-0000-0000069C0000}"/>
    <cellStyle name="Normal 6 2 24 2 2 3 3" xfId="45980" xr:uid="{00000000-0005-0000-0000-0000079C0000}"/>
    <cellStyle name="Normal 6 2 24 2 2 4" xfId="22766" xr:uid="{00000000-0005-0000-0000-0000089C0000}"/>
    <cellStyle name="Normal 6 2 24 2 2 5" xfId="41398" xr:uid="{00000000-0005-0000-0000-0000099C0000}"/>
    <cellStyle name="Normal 6 2 24 2 3" xfId="13221" xr:uid="{00000000-0005-0000-0000-00000A9C0000}"/>
    <cellStyle name="Normal 6 2 24 2 3 2" xfId="36706" xr:uid="{00000000-0005-0000-0000-00000B9C0000}"/>
    <cellStyle name="Normal 6 2 24 2 3 3" xfId="27387" xr:uid="{00000000-0005-0000-0000-00000C9C0000}"/>
    <cellStyle name="Normal 6 2 24 2 3 4" xfId="50649" xr:uid="{00000000-0005-0000-0000-00000D9C0000}"/>
    <cellStyle name="Normal 6 2 24 2 4" xfId="17952" xr:uid="{00000000-0005-0000-0000-00000E9C0000}"/>
    <cellStyle name="Normal 6 2 24 2 4 2" xfId="32084" xr:uid="{00000000-0005-0000-0000-00000F9C0000}"/>
    <cellStyle name="Normal 6 2 24 2 4 3" xfId="45979" xr:uid="{00000000-0005-0000-0000-0000109C0000}"/>
    <cellStyle name="Normal 6 2 24 2 5" xfId="22765" xr:uid="{00000000-0005-0000-0000-0000119C0000}"/>
    <cellStyle name="Normal 6 2 24 2 6" xfId="41397" xr:uid="{00000000-0005-0000-0000-0000129C0000}"/>
    <cellStyle name="Normal 6 2 24 3" xfId="7442" xr:uid="{00000000-0005-0000-0000-0000139C0000}"/>
    <cellStyle name="Normal 6 2 24 3 2" xfId="7443" xr:uid="{00000000-0005-0000-0000-0000149C0000}"/>
    <cellStyle name="Normal 6 2 24 3 2 2" xfId="13224" xr:uid="{00000000-0005-0000-0000-0000159C0000}"/>
    <cellStyle name="Normal 6 2 24 3 2 2 2" xfId="36709" xr:uid="{00000000-0005-0000-0000-0000169C0000}"/>
    <cellStyle name="Normal 6 2 24 3 2 2 3" xfId="27390" xr:uid="{00000000-0005-0000-0000-0000179C0000}"/>
    <cellStyle name="Normal 6 2 24 3 2 2 4" xfId="50652" xr:uid="{00000000-0005-0000-0000-0000189C0000}"/>
    <cellStyle name="Normal 6 2 24 3 2 3" xfId="17955" xr:uid="{00000000-0005-0000-0000-0000199C0000}"/>
    <cellStyle name="Normal 6 2 24 3 2 3 2" xfId="32087" xr:uid="{00000000-0005-0000-0000-00001A9C0000}"/>
    <cellStyle name="Normal 6 2 24 3 2 3 3" xfId="45982" xr:uid="{00000000-0005-0000-0000-00001B9C0000}"/>
    <cellStyle name="Normal 6 2 24 3 2 4" xfId="22768" xr:uid="{00000000-0005-0000-0000-00001C9C0000}"/>
    <cellStyle name="Normal 6 2 24 3 2 5" xfId="41400" xr:uid="{00000000-0005-0000-0000-00001D9C0000}"/>
    <cellStyle name="Normal 6 2 24 3 3" xfId="13223" xr:uid="{00000000-0005-0000-0000-00001E9C0000}"/>
    <cellStyle name="Normal 6 2 24 3 3 2" xfId="36708" xr:uid="{00000000-0005-0000-0000-00001F9C0000}"/>
    <cellStyle name="Normal 6 2 24 3 3 3" xfId="27389" xr:uid="{00000000-0005-0000-0000-0000209C0000}"/>
    <cellStyle name="Normal 6 2 24 3 3 4" xfId="50651" xr:uid="{00000000-0005-0000-0000-0000219C0000}"/>
    <cellStyle name="Normal 6 2 24 3 4" xfId="17954" xr:uid="{00000000-0005-0000-0000-0000229C0000}"/>
    <cellStyle name="Normal 6 2 24 3 4 2" xfId="32086" xr:uid="{00000000-0005-0000-0000-0000239C0000}"/>
    <cellStyle name="Normal 6 2 24 3 4 3" xfId="45981" xr:uid="{00000000-0005-0000-0000-0000249C0000}"/>
    <cellStyle name="Normal 6 2 24 3 5" xfId="22767" xr:uid="{00000000-0005-0000-0000-0000259C0000}"/>
    <cellStyle name="Normal 6 2 24 3 6" xfId="41399" xr:uid="{00000000-0005-0000-0000-0000269C0000}"/>
    <cellStyle name="Normal 6 2 24 4" xfId="7444" xr:uid="{00000000-0005-0000-0000-0000279C0000}"/>
    <cellStyle name="Normal 6 2 24 4 2" xfId="7445" xr:uid="{00000000-0005-0000-0000-0000289C0000}"/>
    <cellStyle name="Normal 6 2 24 4 2 2" xfId="13226" xr:uid="{00000000-0005-0000-0000-0000299C0000}"/>
    <cellStyle name="Normal 6 2 24 4 2 2 2" xfId="36711" xr:uid="{00000000-0005-0000-0000-00002A9C0000}"/>
    <cellStyle name="Normal 6 2 24 4 2 2 3" xfId="27392" xr:uid="{00000000-0005-0000-0000-00002B9C0000}"/>
    <cellStyle name="Normal 6 2 24 4 2 2 4" xfId="50654" xr:uid="{00000000-0005-0000-0000-00002C9C0000}"/>
    <cellStyle name="Normal 6 2 24 4 2 3" xfId="17957" xr:uid="{00000000-0005-0000-0000-00002D9C0000}"/>
    <cellStyle name="Normal 6 2 24 4 2 3 2" xfId="32089" xr:uid="{00000000-0005-0000-0000-00002E9C0000}"/>
    <cellStyle name="Normal 6 2 24 4 2 3 3" xfId="45984" xr:uid="{00000000-0005-0000-0000-00002F9C0000}"/>
    <cellStyle name="Normal 6 2 24 4 2 4" xfId="22770" xr:uid="{00000000-0005-0000-0000-0000309C0000}"/>
    <cellStyle name="Normal 6 2 24 4 2 5" xfId="41402" xr:uid="{00000000-0005-0000-0000-0000319C0000}"/>
    <cellStyle name="Normal 6 2 24 4 3" xfId="13225" xr:uid="{00000000-0005-0000-0000-0000329C0000}"/>
    <cellStyle name="Normal 6 2 24 4 3 2" xfId="36710" xr:uid="{00000000-0005-0000-0000-0000339C0000}"/>
    <cellStyle name="Normal 6 2 24 4 3 3" xfId="27391" xr:uid="{00000000-0005-0000-0000-0000349C0000}"/>
    <cellStyle name="Normal 6 2 24 4 3 4" xfId="50653" xr:uid="{00000000-0005-0000-0000-0000359C0000}"/>
    <cellStyle name="Normal 6 2 24 4 4" xfId="17956" xr:uid="{00000000-0005-0000-0000-0000369C0000}"/>
    <cellStyle name="Normal 6 2 24 4 4 2" xfId="32088" xr:uid="{00000000-0005-0000-0000-0000379C0000}"/>
    <cellStyle name="Normal 6 2 24 4 4 3" xfId="45983" xr:uid="{00000000-0005-0000-0000-0000389C0000}"/>
    <cellStyle name="Normal 6 2 24 4 5" xfId="22769" xr:uid="{00000000-0005-0000-0000-0000399C0000}"/>
    <cellStyle name="Normal 6 2 24 4 6" xfId="41401" xr:uid="{00000000-0005-0000-0000-00003A9C0000}"/>
    <cellStyle name="Normal 6 2 24 5" xfId="7446" xr:uid="{00000000-0005-0000-0000-00003B9C0000}"/>
    <cellStyle name="Normal 6 2 24 5 2" xfId="7447" xr:uid="{00000000-0005-0000-0000-00003C9C0000}"/>
    <cellStyle name="Normal 6 2 24 5 2 2" xfId="13228" xr:uid="{00000000-0005-0000-0000-00003D9C0000}"/>
    <cellStyle name="Normal 6 2 24 5 2 2 2" xfId="36713" xr:uid="{00000000-0005-0000-0000-00003E9C0000}"/>
    <cellStyle name="Normal 6 2 24 5 2 2 3" xfId="27394" xr:uid="{00000000-0005-0000-0000-00003F9C0000}"/>
    <cellStyle name="Normal 6 2 24 5 2 2 4" xfId="50656" xr:uid="{00000000-0005-0000-0000-0000409C0000}"/>
    <cellStyle name="Normal 6 2 24 5 2 3" xfId="17959" xr:uid="{00000000-0005-0000-0000-0000419C0000}"/>
    <cellStyle name="Normal 6 2 24 5 2 3 2" xfId="32091" xr:uid="{00000000-0005-0000-0000-0000429C0000}"/>
    <cellStyle name="Normal 6 2 24 5 2 3 3" xfId="45986" xr:uid="{00000000-0005-0000-0000-0000439C0000}"/>
    <cellStyle name="Normal 6 2 24 5 2 4" xfId="22772" xr:uid="{00000000-0005-0000-0000-0000449C0000}"/>
    <cellStyle name="Normal 6 2 24 5 2 5" xfId="41404" xr:uid="{00000000-0005-0000-0000-0000459C0000}"/>
    <cellStyle name="Normal 6 2 24 5 3" xfId="13227" xr:uid="{00000000-0005-0000-0000-0000469C0000}"/>
    <cellStyle name="Normal 6 2 24 5 3 2" xfId="36712" xr:uid="{00000000-0005-0000-0000-0000479C0000}"/>
    <cellStyle name="Normal 6 2 24 5 3 3" xfId="27393" xr:uid="{00000000-0005-0000-0000-0000489C0000}"/>
    <cellStyle name="Normal 6 2 24 5 3 4" xfId="50655" xr:uid="{00000000-0005-0000-0000-0000499C0000}"/>
    <cellStyle name="Normal 6 2 24 5 4" xfId="17958" xr:uid="{00000000-0005-0000-0000-00004A9C0000}"/>
    <cellStyle name="Normal 6 2 24 5 4 2" xfId="32090" xr:uid="{00000000-0005-0000-0000-00004B9C0000}"/>
    <cellStyle name="Normal 6 2 24 5 4 3" xfId="45985" xr:uid="{00000000-0005-0000-0000-00004C9C0000}"/>
    <cellStyle name="Normal 6 2 24 5 5" xfId="22771" xr:uid="{00000000-0005-0000-0000-00004D9C0000}"/>
    <cellStyle name="Normal 6 2 24 5 6" xfId="41403" xr:uid="{00000000-0005-0000-0000-00004E9C0000}"/>
    <cellStyle name="Normal 6 2 24 6" xfId="7448" xr:uid="{00000000-0005-0000-0000-00004F9C0000}"/>
    <cellStyle name="Normal 6 2 24 6 2" xfId="7449" xr:uid="{00000000-0005-0000-0000-0000509C0000}"/>
    <cellStyle name="Normal 6 2 24 6 2 2" xfId="13230" xr:uid="{00000000-0005-0000-0000-0000519C0000}"/>
    <cellStyle name="Normal 6 2 24 6 2 2 2" xfId="36715" xr:uid="{00000000-0005-0000-0000-0000529C0000}"/>
    <cellStyle name="Normal 6 2 24 6 2 2 3" xfId="27396" xr:uid="{00000000-0005-0000-0000-0000539C0000}"/>
    <cellStyle name="Normal 6 2 24 6 2 2 4" xfId="50658" xr:uid="{00000000-0005-0000-0000-0000549C0000}"/>
    <cellStyle name="Normal 6 2 24 6 2 3" xfId="17961" xr:uid="{00000000-0005-0000-0000-0000559C0000}"/>
    <cellStyle name="Normal 6 2 24 6 2 3 2" xfId="32093" xr:uid="{00000000-0005-0000-0000-0000569C0000}"/>
    <cellStyle name="Normal 6 2 24 6 2 3 3" xfId="45988" xr:uid="{00000000-0005-0000-0000-0000579C0000}"/>
    <cellStyle name="Normal 6 2 24 6 2 4" xfId="22774" xr:uid="{00000000-0005-0000-0000-0000589C0000}"/>
    <cellStyle name="Normal 6 2 24 6 2 5" xfId="41406" xr:uid="{00000000-0005-0000-0000-0000599C0000}"/>
    <cellStyle name="Normal 6 2 24 6 3" xfId="13229" xr:uid="{00000000-0005-0000-0000-00005A9C0000}"/>
    <cellStyle name="Normal 6 2 24 6 3 2" xfId="36714" xr:uid="{00000000-0005-0000-0000-00005B9C0000}"/>
    <cellStyle name="Normal 6 2 24 6 3 3" xfId="27395" xr:uid="{00000000-0005-0000-0000-00005C9C0000}"/>
    <cellStyle name="Normal 6 2 24 6 3 4" xfId="50657" xr:uid="{00000000-0005-0000-0000-00005D9C0000}"/>
    <cellStyle name="Normal 6 2 24 6 4" xfId="17960" xr:uid="{00000000-0005-0000-0000-00005E9C0000}"/>
    <cellStyle name="Normal 6 2 24 6 4 2" xfId="32092" xr:uid="{00000000-0005-0000-0000-00005F9C0000}"/>
    <cellStyle name="Normal 6 2 24 6 4 3" xfId="45987" xr:uid="{00000000-0005-0000-0000-0000609C0000}"/>
    <cellStyle name="Normal 6 2 24 6 5" xfId="22773" xr:uid="{00000000-0005-0000-0000-0000619C0000}"/>
    <cellStyle name="Normal 6 2 24 6 6" xfId="41405" xr:uid="{00000000-0005-0000-0000-0000629C0000}"/>
    <cellStyle name="Normal 6 2 24 7" xfId="7450" xr:uid="{00000000-0005-0000-0000-0000639C0000}"/>
    <cellStyle name="Normal 6 2 24 7 2" xfId="13231" xr:uid="{00000000-0005-0000-0000-0000649C0000}"/>
    <cellStyle name="Normal 6 2 24 7 2 2" xfId="36716" xr:uid="{00000000-0005-0000-0000-0000659C0000}"/>
    <cellStyle name="Normal 6 2 24 7 2 3" xfId="27397" xr:uid="{00000000-0005-0000-0000-0000669C0000}"/>
    <cellStyle name="Normal 6 2 24 7 2 4" xfId="50659" xr:uid="{00000000-0005-0000-0000-0000679C0000}"/>
    <cellStyle name="Normal 6 2 24 7 3" xfId="17962" xr:uid="{00000000-0005-0000-0000-0000689C0000}"/>
    <cellStyle name="Normal 6 2 24 7 3 2" xfId="32094" xr:uid="{00000000-0005-0000-0000-0000699C0000}"/>
    <cellStyle name="Normal 6 2 24 7 3 3" xfId="45989" xr:uid="{00000000-0005-0000-0000-00006A9C0000}"/>
    <cellStyle name="Normal 6 2 24 7 4" xfId="22775" xr:uid="{00000000-0005-0000-0000-00006B9C0000}"/>
    <cellStyle name="Normal 6 2 24 7 5" xfId="41407" xr:uid="{00000000-0005-0000-0000-00006C9C0000}"/>
    <cellStyle name="Normal 6 2 24 8" xfId="13220" xr:uid="{00000000-0005-0000-0000-00006D9C0000}"/>
    <cellStyle name="Normal 6 2 24 8 2" xfId="36705" xr:uid="{00000000-0005-0000-0000-00006E9C0000}"/>
    <cellStyle name="Normal 6 2 24 8 3" xfId="27386" xr:uid="{00000000-0005-0000-0000-00006F9C0000}"/>
    <cellStyle name="Normal 6 2 24 8 4" xfId="50648" xr:uid="{00000000-0005-0000-0000-0000709C0000}"/>
    <cellStyle name="Normal 6 2 24 9" xfId="17951" xr:uid="{00000000-0005-0000-0000-0000719C0000}"/>
    <cellStyle name="Normal 6 2 24 9 2" xfId="32083" xr:uid="{00000000-0005-0000-0000-0000729C0000}"/>
    <cellStyle name="Normal 6 2 24 9 3" xfId="45978" xr:uid="{00000000-0005-0000-0000-0000739C0000}"/>
    <cellStyle name="Normal 6 2 25" xfId="7451" xr:uid="{00000000-0005-0000-0000-0000749C0000}"/>
    <cellStyle name="Normal 6 2 25 10" xfId="22776" xr:uid="{00000000-0005-0000-0000-0000759C0000}"/>
    <cellStyle name="Normal 6 2 25 11" xfId="41408" xr:uid="{00000000-0005-0000-0000-0000769C0000}"/>
    <cellStyle name="Normal 6 2 25 2" xfId="7452" xr:uid="{00000000-0005-0000-0000-0000779C0000}"/>
    <cellStyle name="Normal 6 2 25 2 2" xfId="7453" xr:uid="{00000000-0005-0000-0000-0000789C0000}"/>
    <cellStyle name="Normal 6 2 25 2 2 2" xfId="13234" xr:uid="{00000000-0005-0000-0000-0000799C0000}"/>
    <cellStyle name="Normal 6 2 25 2 2 2 2" xfId="36719" xr:uid="{00000000-0005-0000-0000-00007A9C0000}"/>
    <cellStyle name="Normal 6 2 25 2 2 2 3" xfId="27400" xr:uid="{00000000-0005-0000-0000-00007B9C0000}"/>
    <cellStyle name="Normal 6 2 25 2 2 2 4" xfId="50662" xr:uid="{00000000-0005-0000-0000-00007C9C0000}"/>
    <cellStyle name="Normal 6 2 25 2 2 3" xfId="17965" xr:uid="{00000000-0005-0000-0000-00007D9C0000}"/>
    <cellStyle name="Normal 6 2 25 2 2 3 2" xfId="32097" xr:uid="{00000000-0005-0000-0000-00007E9C0000}"/>
    <cellStyle name="Normal 6 2 25 2 2 3 3" xfId="45992" xr:uid="{00000000-0005-0000-0000-00007F9C0000}"/>
    <cellStyle name="Normal 6 2 25 2 2 4" xfId="22778" xr:uid="{00000000-0005-0000-0000-0000809C0000}"/>
    <cellStyle name="Normal 6 2 25 2 2 5" xfId="41410" xr:uid="{00000000-0005-0000-0000-0000819C0000}"/>
    <cellStyle name="Normal 6 2 25 2 3" xfId="13233" xr:uid="{00000000-0005-0000-0000-0000829C0000}"/>
    <cellStyle name="Normal 6 2 25 2 3 2" xfId="36718" xr:uid="{00000000-0005-0000-0000-0000839C0000}"/>
    <cellStyle name="Normal 6 2 25 2 3 3" xfId="27399" xr:uid="{00000000-0005-0000-0000-0000849C0000}"/>
    <cellStyle name="Normal 6 2 25 2 3 4" xfId="50661" xr:uid="{00000000-0005-0000-0000-0000859C0000}"/>
    <cellStyle name="Normal 6 2 25 2 4" xfId="17964" xr:uid="{00000000-0005-0000-0000-0000869C0000}"/>
    <cellStyle name="Normal 6 2 25 2 4 2" xfId="32096" xr:uid="{00000000-0005-0000-0000-0000879C0000}"/>
    <cellStyle name="Normal 6 2 25 2 4 3" xfId="45991" xr:uid="{00000000-0005-0000-0000-0000889C0000}"/>
    <cellStyle name="Normal 6 2 25 2 5" xfId="22777" xr:uid="{00000000-0005-0000-0000-0000899C0000}"/>
    <cellStyle name="Normal 6 2 25 2 6" xfId="41409" xr:uid="{00000000-0005-0000-0000-00008A9C0000}"/>
    <cellStyle name="Normal 6 2 25 3" xfId="7454" xr:uid="{00000000-0005-0000-0000-00008B9C0000}"/>
    <cellStyle name="Normal 6 2 25 3 2" xfId="7455" xr:uid="{00000000-0005-0000-0000-00008C9C0000}"/>
    <cellStyle name="Normal 6 2 25 3 2 2" xfId="13236" xr:uid="{00000000-0005-0000-0000-00008D9C0000}"/>
    <cellStyle name="Normal 6 2 25 3 2 2 2" xfId="36721" xr:uid="{00000000-0005-0000-0000-00008E9C0000}"/>
    <cellStyle name="Normal 6 2 25 3 2 2 3" xfId="27402" xr:uid="{00000000-0005-0000-0000-00008F9C0000}"/>
    <cellStyle name="Normal 6 2 25 3 2 2 4" xfId="50664" xr:uid="{00000000-0005-0000-0000-0000909C0000}"/>
    <cellStyle name="Normal 6 2 25 3 2 3" xfId="17967" xr:uid="{00000000-0005-0000-0000-0000919C0000}"/>
    <cellStyle name="Normal 6 2 25 3 2 3 2" xfId="32099" xr:uid="{00000000-0005-0000-0000-0000929C0000}"/>
    <cellStyle name="Normal 6 2 25 3 2 3 3" xfId="45994" xr:uid="{00000000-0005-0000-0000-0000939C0000}"/>
    <cellStyle name="Normal 6 2 25 3 2 4" xfId="22780" xr:uid="{00000000-0005-0000-0000-0000949C0000}"/>
    <cellStyle name="Normal 6 2 25 3 2 5" xfId="41412" xr:uid="{00000000-0005-0000-0000-0000959C0000}"/>
    <cellStyle name="Normal 6 2 25 3 3" xfId="13235" xr:uid="{00000000-0005-0000-0000-0000969C0000}"/>
    <cellStyle name="Normal 6 2 25 3 3 2" xfId="36720" xr:uid="{00000000-0005-0000-0000-0000979C0000}"/>
    <cellStyle name="Normal 6 2 25 3 3 3" xfId="27401" xr:uid="{00000000-0005-0000-0000-0000989C0000}"/>
    <cellStyle name="Normal 6 2 25 3 3 4" xfId="50663" xr:uid="{00000000-0005-0000-0000-0000999C0000}"/>
    <cellStyle name="Normal 6 2 25 3 4" xfId="17966" xr:uid="{00000000-0005-0000-0000-00009A9C0000}"/>
    <cellStyle name="Normal 6 2 25 3 4 2" xfId="32098" xr:uid="{00000000-0005-0000-0000-00009B9C0000}"/>
    <cellStyle name="Normal 6 2 25 3 4 3" xfId="45993" xr:uid="{00000000-0005-0000-0000-00009C9C0000}"/>
    <cellStyle name="Normal 6 2 25 3 5" xfId="22779" xr:uid="{00000000-0005-0000-0000-00009D9C0000}"/>
    <cellStyle name="Normal 6 2 25 3 6" xfId="41411" xr:uid="{00000000-0005-0000-0000-00009E9C0000}"/>
    <cellStyle name="Normal 6 2 25 4" xfId="7456" xr:uid="{00000000-0005-0000-0000-00009F9C0000}"/>
    <cellStyle name="Normal 6 2 25 4 2" xfId="7457" xr:uid="{00000000-0005-0000-0000-0000A09C0000}"/>
    <cellStyle name="Normal 6 2 25 4 2 2" xfId="13238" xr:uid="{00000000-0005-0000-0000-0000A19C0000}"/>
    <cellStyle name="Normal 6 2 25 4 2 2 2" xfId="36723" xr:uid="{00000000-0005-0000-0000-0000A29C0000}"/>
    <cellStyle name="Normal 6 2 25 4 2 2 3" xfId="27404" xr:uid="{00000000-0005-0000-0000-0000A39C0000}"/>
    <cellStyle name="Normal 6 2 25 4 2 2 4" xfId="50666" xr:uid="{00000000-0005-0000-0000-0000A49C0000}"/>
    <cellStyle name="Normal 6 2 25 4 2 3" xfId="17969" xr:uid="{00000000-0005-0000-0000-0000A59C0000}"/>
    <cellStyle name="Normal 6 2 25 4 2 3 2" xfId="32101" xr:uid="{00000000-0005-0000-0000-0000A69C0000}"/>
    <cellStyle name="Normal 6 2 25 4 2 3 3" xfId="45996" xr:uid="{00000000-0005-0000-0000-0000A79C0000}"/>
    <cellStyle name="Normal 6 2 25 4 2 4" xfId="22782" xr:uid="{00000000-0005-0000-0000-0000A89C0000}"/>
    <cellStyle name="Normal 6 2 25 4 2 5" xfId="41414" xr:uid="{00000000-0005-0000-0000-0000A99C0000}"/>
    <cellStyle name="Normal 6 2 25 4 3" xfId="13237" xr:uid="{00000000-0005-0000-0000-0000AA9C0000}"/>
    <cellStyle name="Normal 6 2 25 4 3 2" xfId="36722" xr:uid="{00000000-0005-0000-0000-0000AB9C0000}"/>
    <cellStyle name="Normal 6 2 25 4 3 3" xfId="27403" xr:uid="{00000000-0005-0000-0000-0000AC9C0000}"/>
    <cellStyle name="Normal 6 2 25 4 3 4" xfId="50665" xr:uid="{00000000-0005-0000-0000-0000AD9C0000}"/>
    <cellStyle name="Normal 6 2 25 4 4" xfId="17968" xr:uid="{00000000-0005-0000-0000-0000AE9C0000}"/>
    <cellStyle name="Normal 6 2 25 4 4 2" xfId="32100" xr:uid="{00000000-0005-0000-0000-0000AF9C0000}"/>
    <cellStyle name="Normal 6 2 25 4 4 3" xfId="45995" xr:uid="{00000000-0005-0000-0000-0000B09C0000}"/>
    <cellStyle name="Normal 6 2 25 4 5" xfId="22781" xr:uid="{00000000-0005-0000-0000-0000B19C0000}"/>
    <cellStyle name="Normal 6 2 25 4 6" xfId="41413" xr:uid="{00000000-0005-0000-0000-0000B29C0000}"/>
    <cellStyle name="Normal 6 2 25 5" xfId="7458" xr:uid="{00000000-0005-0000-0000-0000B39C0000}"/>
    <cellStyle name="Normal 6 2 25 5 2" xfId="7459" xr:uid="{00000000-0005-0000-0000-0000B49C0000}"/>
    <cellStyle name="Normal 6 2 25 5 2 2" xfId="13240" xr:uid="{00000000-0005-0000-0000-0000B59C0000}"/>
    <cellStyle name="Normal 6 2 25 5 2 2 2" xfId="36725" xr:uid="{00000000-0005-0000-0000-0000B69C0000}"/>
    <cellStyle name="Normal 6 2 25 5 2 2 3" xfId="27406" xr:uid="{00000000-0005-0000-0000-0000B79C0000}"/>
    <cellStyle name="Normal 6 2 25 5 2 2 4" xfId="50668" xr:uid="{00000000-0005-0000-0000-0000B89C0000}"/>
    <cellStyle name="Normal 6 2 25 5 2 3" xfId="17971" xr:uid="{00000000-0005-0000-0000-0000B99C0000}"/>
    <cellStyle name="Normal 6 2 25 5 2 3 2" xfId="32103" xr:uid="{00000000-0005-0000-0000-0000BA9C0000}"/>
    <cellStyle name="Normal 6 2 25 5 2 3 3" xfId="45998" xr:uid="{00000000-0005-0000-0000-0000BB9C0000}"/>
    <cellStyle name="Normal 6 2 25 5 2 4" xfId="22784" xr:uid="{00000000-0005-0000-0000-0000BC9C0000}"/>
    <cellStyle name="Normal 6 2 25 5 2 5" xfId="41416" xr:uid="{00000000-0005-0000-0000-0000BD9C0000}"/>
    <cellStyle name="Normal 6 2 25 5 3" xfId="13239" xr:uid="{00000000-0005-0000-0000-0000BE9C0000}"/>
    <cellStyle name="Normal 6 2 25 5 3 2" xfId="36724" xr:uid="{00000000-0005-0000-0000-0000BF9C0000}"/>
    <cellStyle name="Normal 6 2 25 5 3 3" xfId="27405" xr:uid="{00000000-0005-0000-0000-0000C09C0000}"/>
    <cellStyle name="Normal 6 2 25 5 3 4" xfId="50667" xr:uid="{00000000-0005-0000-0000-0000C19C0000}"/>
    <cellStyle name="Normal 6 2 25 5 4" xfId="17970" xr:uid="{00000000-0005-0000-0000-0000C29C0000}"/>
    <cellStyle name="Normal 6 2 25 5 4 2" xfId="32102" xr:uid="{00000000-0005-0000-0000-0000C39C0000}"/>
    <cellStyle name="Normal 6 2 25 5 4 3" xfId="45997" xr:uid="{00000000-0005-0000-0000-0000C49C0000}"/>
    <cellStyle name="Normal 6 2 25 5 5" xfId="22783" xr:uid="{00000000-0005-0000-0000-0000C59C0000}"/>
    <cellStyle name="Normal 6 2 25 5 6" xfId="41415" xr:uid="{00000000-0005-0000-0000-0000C69C0000}"/>
    <cellStyle name="Normal 6 2 25 6" xfId="7460" xr:uid="{00000000-0005-0000-0000-0000C79C0000}"/>
    <cellStyle name="Normal 6 2 25 6 2" xfId="7461" xr:uid="{00000000-0005-0000-0000-0000C89C0000}"/>
    <cellStyle name="Normal 6 2 25 6 2 2" xfId="13242" xr:uid="{00000000-0005-0000-0000-0000C99C0000}"/>
    <cellStyle name="Normal 6 2 25 6 2 2 2" xfId="36727" xr:uid="{00000000-0005-0000-0000-0000CA9C0000}"/>
    <cellStyle name="Normal 6 2 25 6 2 2 3" xfId="27408" xr:uid="{00000000-0005-0000-0000-0000CB9C0000}"/>
    <cellStyle name="Normal 6 2 25 6 2 2 4" xfId="50670" xr:uid="{00000000-0005-0000-0000-0000CC9C0000}"/>
    <cellStyle name="Normal 6 2 25 6 2 3" xfId="17973" xr:uid="{00000000-0005-0000-0000-0000CD9C0000}"/>
    <cellStyle name="Normal 6 2 25 6 2 3 2" xfId="32105" xr:uid="{00000000-0005-0000-0000-0000CE9C0000}"/>
    <cellStyle name="Normal 6 2 25 6 2 3 3" xfId="46000" xr:uid="{00000000-0005-0000-0000-0000CF9C0000}"/>
    <cellStyle name="Normal 6 2 25 6 2 4" xfId="22786" xr:uid="{00000000-0005-0000-0000-0000D09C0000}"/>
    <cellStyle name="Normal 6 2 25 6 2 5" xfId="41418" xr:uid="{00000000-0005-0000-0000-0000D19C0000}"/>
    <cellStyle name="Normal 6 2 25 6 3" xfId="13241" xr:uid="{00000000-0005-0000-0000-0000D29C0000}"/>
    <cellStyle name="Normal 6 2 25 6 3 2" xfId="36726" xr:uid="{00000000-0005-0000-0000-0000D39C0000}"/>
    <cellStyle name="Normal 6 2 25 6 3 3" xfId="27407" xr:uid="{00000000-0005-0000-0000-0000D49C0000}"/>
    <cellStyle name="Normal 6 2 25 6 3 4" xfId="50669" xr:uid="{00000000-0005-0000-0000-0000D59C0000}"/>
    <cellStyle name="Normal 6 2 25 6 4" xfId="17972" xr:uid="{00000000-0005-0000-0000-0000D69C0000}"/>
    <cellStyle name="Normal 6 2 25 6 4 2" xfId="32104" xr:uid="{00000000-0005-0000-0000-0000D79C0000}"/>
    <cellStyle name="Normal 6 2 25 6 4 3" xfId="45999" xr:uid="{00000000-0005-0000-0000-0000D89C0000}"/>
    <cellStyle name="Normal 6 2 25 6 5" xfId="22785" xr:uid="{00000000-0005-0000-0000-0000D99C0000}"/>
    <cellStyle name="Normal 6 2 25 6 6" xfId="41417" xr:uid="{00000000-0005-0000-0000-0000DA9C0000}"/>
    <cellStyle name="Normal 6 2 25 7" xfId="7462" xr:uid="{00000000-0005-0000-0000-0000DB9C0000}"/>
    <cellStyle name="Normal 6 2 25 7 2" xfId="13243" xr:uid="{00000000-0005-0000-0000-0000DC9C0000}"/>
    <cellStyle name="Normal 6 2 25 7 2 2" xfId="36728" xr:uid="{00000000-0005-0000-0000-0000DD9C0000}"/>
    <cellStyle name="Normal 6 2 25 7 2 3" xfId="27409" xr:uid="{00000000-0005-0000-0000-0000DE9C0000}"/>
    <cellStyle name="Normal 6 2 25 7 2 4" xfId="50671" xr:uid="{00000000-0005-0000-0000-0000DF9C0000}"/>
    <cellStyle name="Normal 6 2 25 7 3" xfId="17974" xr:uid="{00000000-0005-0000-0000-0000E09C0000}"/>
    <cellStyle name="Normal 6 2 25 7 3 2" xfId="32106" xr:uid="{00000000-0005-0000-0000-0000E19C0000}"/>
    <cellStyle name="Normal 6 2 25 7 3 3" xfId="46001" xr:uid="{00000000-0005-0000-0000-0000E29C0000}"/>
    <cellStyle name="Normal 6 2 25 7 4" xfId="22787" xr:uid="{00000000-0005-0000-0000-0000E39C0000}"/>
    <cellStyle name="Normal 6 2 25 7 5" xfId="41419" xr:uid="{00000000-0005-0000-0000-0000E49C0000}"/>
    <cellStyle name="Normal 6 2 25 8" xfId="13232" xr:uid="{00000000-0005-0000-0000-0000E59C0000}"/>
    <cellStyle name="Normal 6 2 25 8 2" xfId="36717" xr:uid="{00000000-0005-0000-0000-0000E69C0000}"/>
    <cellStyle name="Normal 6 2 25 8 3" xfId="27398" xr:uid="{00000000-0005-0000-0000-0000E79C0000}"/>
    <cellStyle name="Normal 6 2 25 8 4" xfId="50660" xr:uid="{00000000-0005-0000-0000-0000E89C0000}"/>
    <cellStyle name="Normal 6 2 25 9" xfId="17963" xr:uid="{00000000-0005-0000-0000-0000E99C0000}"/>
    <cellStyle name="Normal 6 2 25 9 2" xfId="32095" xr:uid="{00000000-0005-0000-0000-0000EA9C0000}"/>
    <cellStyle name="Normal 6 2 25 9 3" xfId="45990" xr:uid="{00000000-0005-0000-0000-0000EB9C0000}"/>
    <cellStyle name="Normal 6 2 26" xfId="7463" xr:uid="{00000000-0005-0000-0000-0000EC9C0000}"/>
    <cellStyle name="Normal 6 2 26 10" xfId="22788" xr:uid="{00000000-0005-0000-0000-0000ED9C0000}"/>
    <cellStyle name="Normal 6 2 26 11" xfId="41420" xr:uid="{00000000-0005-0000-0000-0000EE9C0000}"/>
    <cellStyle name="Normal 6 2 26 2" xfId="7464" xr:uid="{00000000-0005-0000-0000-0000EF9C0000}"/>
    <cellStyle name="Normal 6 2 26 2 2" xfId="7465" xr:uid="{00000000-0005-0000-0000-0000F09C0000}"/>
    <cellStyle name="Normal 6 2 26 2 2 2" xfId="13246" xr:uid="{00000000-0005-0000-0000-0000F19C0000}"/>
    <cellStyle name="Normal 6 2 26 2 2 2 2" xfId="36731" xr:uid="{00000000-0005-0000-0000-0000F29C0000}"/>
    <cellStyle name="Normal 6 2 26 2 2 2 3" xfId="27412" xr:uid="{00000000-0005-0000-0000-0000F39C0000}"/>
    <cellStyle name="Normal 6 2 26 2 2 2 4" xfId="50674" xr:uid="{00000000-0005-0000-0000-0000F49C0000}"/>
    <cellStyle name="Normal 6 2 26 2 2 3" xfId="17977" xr:uid="{00000000-0005-0000-0000-0000F59C0000}"/>
    <cellStyle name="Normal 6 2 26 2 2 3 2" xfId="32109" xr:uid="{00000000-0005-0000-0000-0000F69C0000}"/>
    <cellStyle name="Normal 6 2 26 2 2 3 3" xfId="46004" xr:uid="{00000000-0005-0000-0000-0000F79C0000}"/>
    <cellStyle name="Normal 6 2 26 2 2 4" xfId="22790" xr:uid="{00000000-0005-0000-0000-0000F89C0000}"/>
    <cellStyle name="Normal 6 2 26 2 2 5" xfId="41422" xr:uid="{00000000-0005-0000-0000-0000F99C0000}"/>
    <cellStyle name="Normal 6 2 26 2 3" xfId="13245" xr:uid="{00000000-0005-0000-0000-0000FA9C0000}"/>
    <cellStyle name="Normal 6 2 26 2 3 2" xfId="36730" xr:uid="{00000000-0005-0000-0000-0000FB9C0000}"/>
    <cellStyle name="Normal 6 2 26 2 3 3" xfId="27411" xr:uid="{00000000-0005-0000-0000-0000FC9C0000}"/>
    <cellStyle name="Normal 6 2 26 2 3 4" xfId="50673" xr:uid="{00000000-0005-0000-0000-0000FD9C0000}"/>
    <cellStyle name="Normal 6 2 26 2 4" xfId="17976" xr:uid="{00000000-0005-0000-0000-0000FE9C0000}"/>
    <cellStyle name="Normal 6 2 26 2 4 2" xfId="32108" xr:uid="{00000000-0005-0000-0000-0000FF9C0000}"/>
    <cellStyle name="Normal 6 2 26 2 4 3" xfId="46003" xr:uid="{00000000-0005-0000-0000-0000009D0000}"/>
    <cellStyle name="Normal 6 2 26 2 5" xfId="22789" xr:uid="{00000000-0005-0000-0000-0000019D0000}"/>
    <cellStyle name="Normal 6 2 26 2 6" xfId="41421" xr:uid="{00000000-0005-0000-0000-0000029D0000}"/>
    <cellStyle name="Normal 6 2 26 3" xfId="7466" xr:uid="{00000000-0005-0000-0000-0000039D0000}"/>
    <cellStyle name="Normal 6 2 26 3 2" xfId="7467" xr:uid="{00000000-0005-0000-0000-0000049D0000}"/>
    <cellStyle name="Normal 6 2 26 3 2 2" xfId="13248" xr:uid="{00000000-0005-0000-0000-0000059D0000}"/>
    <cellStyle name="Normal 6 2 26 3 2 2 2" xfId="36733" xr:uid="{00000000-0005-0000-0000-0000069D0000}"/>
    <cellStyle name="Normal 6 2 26 3 2 2 3" xfId="27414" xr:uid="{00000000-0005-0000-0000-0000079D0000}"/>
    <cellStyle name="Normal 6 2 26 3 2 2 4" xfId="50676" xr:uid="{00000000-0005-0000-0000-0000089D0000}"/>
    <cellStyle name="Normal 6 2 26 3 2 3" xfId="17979" xr:uid="{00000000-0005-0000-0000-0000099D0000}"/>
    <cellStyle name="Normal 6 2 26 3 2 3 2" xfId="32111" xr:uid="{00000000-0005-0000-0000-00000A9D0000}"/>
    <cellStyle name="Normal 6 2 26 3 2 3 3" xfId="46006" xr:uid="{00000000-0005-0000-0000-00000B9D0000}"/>
    <cellStyle name="Normal 6 2 26 3 2 4" xfId="22792" xr:uid="{00000000-0005-0000-0000-00000C9D0000}"/>
    <cellStyle name="Normal 6 2 26 3 2 5" xfId="41424" xr:uid="{00000000-0005-0000-0000-00000D9D0000}"/>
    <cellStyle name="Normal 6 2 26 3 3" xfId="13247" xr:uid="{00000000-0005-0000-0000-00000E9D0000}"/>
    <cellStyle name="Normal 6 2 26 3 3 2" xfId="36732" xr:uid="{00000000-0005-0000-0000-00000F9D0000}"/>
    <cellStyle name="Normal 6 2 26 3 3 3" xfId="27413" xr:uid="{00000000-0005-0000-0000-0000109D0000}"/>
    <cellStyle name="Normal 6 2 26 3 3 4" xfId="50675" xr:uid="{00000000-0005-0000-0000-0000119D0000}"/>
    <cellStyle name="Normal 6 2 26 3 4" xfId="17978" xr:uid="{00000000-0005-0000-0000-0000129D0000}"/>
    <cellStyle name="Normal 6 2 26 3 4 2" xfId="32110" xr:uid="{00000000-0005-0000-0000-0000139D0000}"/>
    <cellStyle name="Normal 6 2 26 3 4 3" xfId="46005" xr:uid="{00000000-0005-0000-0000-0000149D0000}"/>
    <cellStyle name="Normal 6 2 26 3 5" xfId="22791" xr:uid="{00000000-0005-0000-0000-0000159D0000}"/>
    <cellStyle name="Normal 6 2 26 3 6" xfId="41423" xr:uid="{00000000-0005-0000-0000-0000169D0000}"/>
    <cellStyle name="Normal 6 2 26 4" xfId="7468" xr:uid="{00000000-0005-0000-0000-0000179D0000}"/>
    <cellStyle name="Normal 6 2 26 4 2" xfId="7469" xr:uid="{00000000-0005-0000-0000-0000189D0000}"/>
    <cellStyle name="Normal 6 2 26 4 2 2" xfId="13250" xr:uid="{00000000-0005-0000-0000-0000199D0000}"/>
    <cellStyle name="Normal 6 2 26 4 2 2 2" xfId="36735" xr:uid="{00000000-0005-0000-0000-00001A9D0000}"/>
    <cellStyle name="Normal 6 2 26 4 2 2 3" xfId="27416" xr:uid="{00000000-0005-0000-0000-00001B9D0000}"/>
    <cellStyle name="Normal 6 2 26 4 2 2 4" xfId="50678" xr:uid="{00000000-0005-0000-0000-00001C9D0000}"/>
    <cellStyle name="Normal 6 2 26 4 2 3" xfId="17981" xr:uid="{00000000-0005-0000-0000-00001D9D0000}"/>
    <cellStyle name="Normal 6 2 26 4 2 3 2" xfId="32113" xr:uid="{00000000-0005-0000-0000-00001E9D0000}"/>
    <cellStyle name="Normal 6 2 26 4 2 3 3" xfId="46008" xr:uid="{00000000-0005-0000-0000-00001F9D0000}"/>
    <cellStyle name="Normal 6 2 26 4 2 4" xfId="22794" xr:uid="{00000000-0005-0000-0000-0000209D0000}"/>
    <cellStyle name="Normal 6 2 26 4 2 5" xfId="41426" xr:uid="{00000000-0005-0000-0000-0000219D0000}"/>
    <cellStyle name="Normal 6 2 26 4 3" xfId="13249" xr:uid="{00000000-0005-0000-0000-0000229D0000}"/>
    <cellStyle name="Normal 6 2 26 4 3 2" xfId="36734" xr:uid="{00000000-0005-0000-0000-0000239D0000}"/>
    <cellStyle name="Normal 6 2 26 4 3 3" xfId="27415" xr:uid="{00000000-0005-0000-0000-0000249D0000}"/>
    <cellStyle name="Normal 6 2 26 4 3 4" xfId="50677" xr:uid="{00000000-0005-0000-0000-0000259D0000}"/>
    <cellStyle name="Normal 6 2 26 4 4" xfId="17980" xr:uid="{00000000-0005-0000-0000-0000269D0000}"/>
    <cellStyle name="Normal 6 2 26 4 4 2" xfId="32112" xr:uid="{00000000-0005-0000-0000-0000279D0000}"/>
    <cellStyle name="Normal 6 2 26 4 4 3" xfId="46007" xr:uid="{00000000-0005-0000-0000-0000289D0000}"/>
    <cellStyle name="Normal 6 2 26 4 5" xfId="22793" xr:uid="{00000000-0005-0000-0000-0000299D0000}"/>
    <cellStyle name="Normal 6 2 26 4 6" xfId="41425" xr:uid="{00000000-0005-0000-0000-00002A9D0000}"/>
    <cellStyle name="Normal 6 2 26 5" xfId="7470" xr:uid="{00000000-0005-0000-0000-00002B9D0000}"/>
    <cellStyle name="Normal 6 2 26 5 2" xfId="7471" xr:uid="{00000000-0005-0000-0000-00002C9D0000}"/>
    <cellStyle name="Normal 6 2 26 5 2 2" xfId="13252" xr:uid="{00000000-0005-0000-0000-00002D9D0000}"/>
    <cellStyle name="Normal 6 2 26 5 2 2 2" xfId="36737" xr:uid="{00000000-0005-0000-0000-00002E9D0000}"/>
    <cellStyle name="Normal 6 2 26 5 2 2 3" xfId="27418" xr:uid="{00000000-0005-0000-0000-00002F9D0000}"/>
    <cellStyle name="Normal 6 2 26 5 2 2 4" xfId="50680" xr:uid="{00000000-0005-0000-0000-0000309D0000}"/>
    <cellStyle name="Normal 6 2 26 5 2 3" xfId="17983" xr:uid="{00000000-0005-0000-0000-0000319D0000}"/>
    <cellStyle name="Normal 6 2 26 5 2 3 2" xfId="32115" xr:uid="{00000000-0005-0000-0000-0000329D0000}"/>
    <cellStyle name="Normal 6 2 26 5 2 3 3" xfId="46010" xr:uid="{00000000-0005-0000-0000-0000339D0000}"/>
    <cellStyle name="Normal 6 2 26 5 2 4" xfId="22796" xr:uid="{00000000-0005-0000-0000-0000349D0000}"/>
    <cellStyle name="Normal 6 2 26 5 2 5" xfId="41428" xr:uid="{00000000-0005-0000-0000-0000359D0000}"/>
    <cellStyle name="Normal 6 2 26 5 3" xfId="13251" xr:uid="{00000000-0005-0000-0000-0000369D0000}"/>
    <cellStyle name="Normal 6 2 26 5 3 2" xfId="36736" xr:uid="{00000000-0005-0000-0000-0000379D0000}"/>
    <cellStyle name="Normal 6 2 26 5 3 3" xfId="27417" xr:uid="{00000000-0005-0000-0000-0000389D0000}"/>
    <cellStyle name="Normal 6 2 26 5 3 4" xfId="50679" xr:uid="{00000000-0005-0000-0000-0000399D0000}"/>
    <cellStyle name="Normal 6 2 26 5 4" xfId="17982" xr:uid="{00000000-0005-0000-0000-00003A9D0000}"/>
    <cellStyle name="Normal 6 2 26 5 4 2" xfId="32114" xr:uid="{00000000-0005-0000-0000-00003B9D0000}"/>
    <cellStyle name="Normal 6 2 26 5 4 3" xfId="46009" xr:uid="{00000000-0005-0000-0000-00003C9D0000}"/>
    <cellStyle name="Normal 6 2 26 5 5" xfId="22795" xr:uid="{00000000-0005-0000-0000-00003D9D0000}"/>
    <cellStyle name="Normal 6 2 26 5 6" xfId="41427" xr:uid="{00000000-0005-0000-0000-00003E9D0000}"/>
    <cellStyle name="Normal 6 2 26 6" xfId="7472" xr:uid="{00000000-0005-0000-0000-00003F9D0000}"/>
    <cellStyle name="Normal 6 2 26 6 2" xfId="7473" xr:uid="{00000000-0005-0000-0000-0000409D0000}"/>
    <cellStyle name="Normal 6 2 26 6 2 2" xfId="13254" xr:uid="{00000000-0005-0000-0000-0000419D0000}"/>
    <cellStyle name="Normal 6 2 26 6 2 2 2" xfId="36739" xr:uid="{00000000-0005-0000-0000-0000429D0000}"/>
    <cellStyle name="Normal 6 2 26 6 2 2 3" xfId="27420" xr:uid="{00000000-0005-0000-0000-0000439D0000}"/>
    <cellStyle name="Normal 6 2 26 6 2 2 4" xfId="50682" xr:uid="{00000000-0005-0000-0000-0000449D0000}"/>
    <cellStyle name="Normal 6 2 26 6 2 3" xfId="17985" xr:uid="{00000000-0005-0000-0000-0000459D0000}"/>
    <cellStyle name="Normal 6 2 26 6 2 3 2" xfId="32117" xr:uid="{00000000-0005-0000-0000-0000469D0000}"/>
    <cellStyle name="Normal 6 2 26 6 2 3 3" xfId="46012" xr:uid="{00000000-0005-0000-0000-0000479D0000}"/>
    <cellStyle name="Normal 6 2 26 6 2 4" xfId="22798" xr:uid="{00000000-0005-0000-0000-0000489D0000}"/>
    <cellStyle name="Normal 6 2 26 6 2 5" xfId="41430" xr:uid="{00000000-0005-0000-0000-0000499D0000}"/>
    <cellStyle name="Normal 6 2 26 6 3" xfId="13253" xr:uid="{00000000-0005-0000-0000-00004A9D0000}"/>
    <cellStyle name="Normal 6 2 26 6 3 2" xfId="36738" xr:uid="{00000000-0005-0000-0000-00004B9D0000}"/>
    <cellStyle name="Normal 6 2 26 6 3 3" xfId="27419" xr:uid="{00000000-0005-0000-0000-00004C9D0000}"/>
    <cellStyle name="Normal 6 2 26 6 3 4" xfId="50681" xr:uid="{00000000-0005-0000-0000-00004D9D0000}"/>
    <cellStyle name="Normal 6 2 26 6 4" xfId="17984" xr:uid="{00000000-0005-0000-0000-00004E9D0000}"/>
    <cellStyle name="Normal 6 2 26 6 4 2" xfId="32116" xr:uid="{00000000-0005-0000-0000-00004F9D0000}"/>
    <cellStyle name="Normal 6 2 26 6 4 3" xfId="46011" xr:uid="{00000000-0005-0000-0000-0000509D0000}"/>
    <cellStyle name="Normal 6 2 26 6 5" xfId="22797" xr:uid="{00000000-0005-0000-0000-0000519D0000}"/>
    <cellStyle name="Normal 6 2 26 6 6" xfId="41429" xr:uid="{00000000-0005-0000-0000-0000529D0000}"/>
    <cellStyle name="Normal 6 2 26 7" xfId="7474" xr:uid="{00000000-0005-0000-0000-0000539D0000}"/>
    <cellStyle name="Normal 6 2 26 7 2" xfId="13255" xr:uid="{00000000-0005-0000-0000-0000549D0000}"/>
    <cellStyle name="Normal 6 2 26 7 2 2" xfId="36740" xr:uid="{00000000-0005-0000-0000-0000559D0000}"/>
    <cellStyle name="Normal 6 2 26 7 2 3" xfId="27421" xr:uid="{00000000-0005-0000-0000-0000569D0000}"/>
    <cellStyle name="Normal 6 2 26 7 2 4" xfId="50683" xr:uid="{00000000-0005-0000-0000-0000579D0000}"/>
    <cellStyle name="Normal 6 2 26 7 3" xfId="17986" xr:uid="{00000000-0005-0000-0000-0000589D0000}"/>
    <cellStyle name="Normal 6 2 26 7 3 2" xfId="32118" xr:uid="{00000000-0005-0000-0000-0000599D0000}"/>
    <cellStyle name="Normal 6 2 26 7 3 3" xfId="46013" xr:uid="{00000000-0005-0000-0000-00005A9D0000}"/>
    <cellStyle name="Normal 6 2 26 7 4" xfId="22799" xr:uid="{00000000-0005-0000-0000-00005B9D0000}"/>
    <cellStyle name="Normal 6 2 26 7 5" xfId="41431" xr:uid="{00000000-0005-0000-0000-00005C9D0000}"/>
    <cellStyle name="Normal 6 2 26 8" xfId="13244" xr:uid="{00000000-0005-0000-0000-00005D9D0000}"/>
    <cellStyle name="Normal 6 2 26 8 2" xfId="36729" xr:uid="{00000000-0005-0000-0000-00005E9D0000}"/>
    <cellStyle name="Normal 6 2 26 8 3" xfId="27410" xr:uid="{00000000-0005-0000-0000-00005F9D0000}"/>
    <cellStyle name="Normal 6 2 26 8 4" xfId="50672" xr:uid="{00000000-0005-0000-0000-0000609D0000}"/>
    <cellStyle name="Normal 6 2 26 9" xfId="17975" xr:uid="{00000000-0005-0000-0000-0000619D0000}"/>
    <cellStyle name="Normal 6 2 26 9 2" xfId="32107" xr:uid="{00000000-0005-0000-0000-0000629D0000}"/>
    <cellStyle name="Normal 6 2 26 9 3" xfId="46002" xr:uid="{00000000-0005-0000-0000-0000639D0000}"/>
    <cellStyle name="Normal 6 2 27" xfId="7475" xr:uid="{00000000-0005-0000-0000-0000649D0000}"/>
    <cellStyle name="Normal 6 2 27 10" xfId="22800" xr:uid="{00000000-0005-0000-0000-0000659D0000}"/>
    <cellStyle name="Normal 6 2 27 11" xfId="41432" xr:uid="{00000000-0005-0000-0000-0000669D0000}"/>
    <cellStyle name="Normal 6 2 27 2" xfId="7476" xr:uid="{00000000-0005-0000-0000-0000679D0000}"/>
    <cellStyle name="Normal 6 2 27 2 2" xfId="7477" xr:uid="{00000000-0005-0000-0000-0000689D0000}"/>
    <cellStyle name="Normal 6 2 27 2 2 2" xfId="13258" xr:uid="{00000000-0005-0000-0000-0000699D0000}"/>
    <cellStyle name="Normal 6 2 27 2 2 2 2" xfId="36743" xr:uid="{00000000-0005-0000-0000-00006A9D0000}"/>
    <cellStyle name="Normal 6 2 27 2 2 2 3" xfId="27424" xr:uid="{00000000-0005-0000-0000-00006B9D0000}"/>
    <cellStyle name="Normal 6 2 27 2 2 2 4" xfId="50686" xr:uid="{00000000-0005-0000-0000-00006C9D0000}"/>
    <cellStyle name="Normal 6 2 27 2 2 3" xfId="17989" xr:uid="{00000000-0005-0000-0000-00006D9D0000}"/>
    <cellStyle name="Normal 6 2 27 2 2 3 2" xfId="32121" xr:uid="{00000000-0005-0000-0000-00006E9D0000}"/>
    <cellStyle name="Normal 6 2 27 2 2 3 3" xfId="46016" xr:uid="{00000000-0005-0000-0000-00006F9D0000}"/>
    <cellStyle name="Normal 6 2 27 2 2 4" xfId="22802" xr:uid="{00000000-0005-0000-0000-0000709D0000}"/>
    <cellStyle name="Normal 6 2 27 2 2 5" xfId="41434" xr:uid="{00000000-0005-0000-0000-0000719D0000}"/>
    <cellStyle name="Normal 6 2 27 2 3" xfId="13257" xr:uid="{00000000-0005-0000-0000-0000729D0000}"/>
    <cellStyle name="Normal 6 2 27 2 3 2" xfId="36742" xr:uid="{00000000-0005-0000-0000-0000739D0000}"/>
    <cellStyle name="Normal 6 2 27 2 3 3" xfId="27423" xr:uid="{00000000-0005-0000-0000-0000749D0000}"/>
    <cellStyle name="Normal 6 2 27 2 3 4" xfId="50685" xr:uid="{00000000-0005-0000-0000-0000759D0000}"/>
    <cellStyle name="Normal 6 2 27 2 4" xfId="17988" xr:uid="{00000000-0005-0000-0000-0000769D0000}"/>
    <cellStyle name="Normal 6 2 27 2 4 2" xfId="32120" xr:uid="{00000000-0005-0000-0000-0000779D0000}"/>
    <cellStyle name="Normal 6 2 27 2 4 3" xfId="46015" xr:uid="{00000000-0005-0000-0000-0000789D0000}"/>
    <cellStyle name="Normal 6 2 27 2 5" xfId="22801" xr:uid="{00000000-0005-0000-0000-0000799D0000}"/>
    <cellStyle name="Normal 6 2 27 2 6" xfId="41433" xr:uid="{00000000-0005-0000-0000-00007A9D0000}"/>
    <cellStyle name="Normal 6 2 27 3" xfId="7478" xr:uid="{00000000-0005-0000-0000-00007B9D0000}"/>
    <cellStyle name="Normal 6 2 27 3 2" xfId="7479" xr:uid="{00000000-0005-0000-0000-00007C9D0000}"/>
    <cellStyle name="Normal 6 2 27 3 2 2" xfId="13260" xr:uid="{00000000-0005-0000-0000-00007D9D0000}"/>
    <cellStyle name="Normal 6 2 27 3 2 2 2" xfId="36745" xr:uid="{00000000-0005-0000-0000-00007E9D0000}"/>
    <cellStyle name="Normal 6 2 27 3 2 2 3" xfId="27426" xr:uid="{00000000-0005-0000-0000-00007F9D0000}"/>
    <cellStyle name="Normal 6 2 27 3 2 2 4" xfId="50688" xr:uid="{00000000-0005-0000-0000-0000809D0000}"/>
    <cellStyle name="Normal 6 2 27 3 2 3" xfId="17991" xr:uid="{00000000-0005-0000-0000-0000819D0000}"/>
    <cellStyle name="Normal 6 2 27 3 2 3 2" xfId="32123" xr:uid="{00000000-0005-0000-0000-0000829D0000}"/>
    <cellStyle name="Normal 6 2 27 3 2 3 3" xfId="46018" xr:uid="{00000000-0005-0000-0000-0000839D0000}"/>
    <cellStyle name="Normal 6 2 27 3 2 4" xfId="22804" xr:uid="{00000000-0005-0000-0000-0000849D0000}"/>
    <cellStyle name="Normal 6 2 27 3 2 5" xfId="41436" xr:uid="{00000000-0005-0000-0000-0000859D0000}"/>
    <cellStyle name="Normal 6 2 27 3 3" xfId="13259" xr:uid="{00000000-0005-0000-0000-0000869D0000}"/>
    <cellStyle name="Normal 6 2 27 3 3 2" xfId="36744" xr:uid="{00000000-0005-0000-0000-0000879D0000}"/>
    <cellStyle name="Normal 6 2 27 3 3 3" xfId="27425" xr:uid="{00000000-0005-0000-0000-0000889D0000}"/>
    <cellStyle name="Normal 6 2 27 3 3 4" xfId="50687" xr:uid="{00000000-0005-0000-0000-0000899D0000}"/>
    <cellStyle name="Normal 6 2 27 3 4" xfId="17990" xr:uid="{00000000-0005-0000-0000-00008A9D0000}"/>
    <cellStyle name="Normal 6 2 27 3 4 2" xfId="32122" xr:uid="{00000000-0005-0000-0000-00008B9D0000}"/>
    <cellStyle name="Normal 6 2 27 3 4 3" xfId="46017" xr:uid="{00000000-0005-0000-0000-00008C9D0000}"/>
    <cellStyle name="Normal 6 2 27 3 5" xfId="22803" xr:uid="{00000000-0005-0000-0000-00008D9D0000}"/>
    <cellStyle name="Normal 6 2 27 3 6" xfId="41435" xr:uid="{00000000-0005-0000-0000-00008E9D0000}"/>
    <cellStyle name="Normal 6 2 27 4" xfId="7480" xr:uid="{00000000-0005-0000-0000-00008F9D0000}"/>
    <cellStyle name="Normal 6 2 27 4 2" xfId="7481" xr:uid="{00000000-0005-0000-0000-0000909D0000}"/>
    <cellStyle name="Normal 6 2 27 4 2 2" xfId="13262" xr:uid="{00000000-0005-0000-0000-0000919D0000}"/>
    <cellStyle name="Normal 6 2 27 4 2 2 2" xfId="36747" xr:uid="{00000000-0005-0000-0000-0000929D0000}"/>
    <cellStyle name="Normal 6 2 27 4 2 2 3" xfId="27428" xr:uid="{00000000-0005-0000-0000-0000939D0000}"/>
    <cellStyle name="Normal 6 2 27 4 2 2 4" xfId="50690" xr:uid="{00000000-0005-0000-0000-0000949D0000}"/>
    <cellStyle name="Normal 6 2 27 4 2 3" xfId="17993" xr:uid="{00000000-0005-0000-0000-0000959D0000}"/>
    <cellStyle name="Normal 6 2 27 4 2 3 2" xfId="32125" xr:uid="{00000000-0005-0000-0000-0000969D0000}"/>
    <cellStyle name="Normal 6 2 27 4 2 3 3" xfId="46020" xr:uid="{00000000-0005-0000-0000-0000979D0000}"/>
    <cellStyle name="Normal 6 2 27 4 2 4" xfId="22806" xr:uid="{00000000-0005-0000-0000-0000989D0000}"/>
    <cellStyle name="Normal 6 2 27 4 2 5" xfId="41438" xr:uid="{00000000-0005-0000-0000-0000999D0000}"/>
    <cellStyle name="Normal 6 2 27 4 3" xfId="13261" xr:uid="{00000000-0005-0000-0000-00009A9D0000}"/>
    <cellStyle name="Normal 6 2 27 4 3 2" xfId="36746" xr:uid="{00000000-0005-0000-0000-00009B9D0000}"/>
    <cellStyle name="Normal 6 2 27 4 3 3" xfId="27427" xr:uid="{00000000-0005-0000-0000-00009C9D0000}"/>
    <cellStyle name="Normal 6 2 27 4 3 4" xfId="50689" xr:uid="{00000000-0005-0000-0000-00009D9D0000}"/>
    <cellStyle name="Normal 6 2 27 4 4" xfId="17992" xr:uid="{00000000-0005-0000-0000-00009E9D0000}"/>
    <cellStyle name="Normal 6 2 27 4 4 2" xfId="32124" xr:uid="{00000000-0005-0000-0000-00009F9D0000}"/>
    <cellStyle name="Normal 6 2 27 4 4 3" xfId="46019" xr:uid="{00000000-0005-0000-0000-0000A09D0000}"/>
    <cellStyle name="Normal 6 2 27 4 5" xfId="22805" xr:uid="{00000000-0005-0000-0000-0000A19D0000}"/>
    <cellStyle name="Normal 6 2 27 4 6" xfId="41437" xr:uid="{00000000-0005-0000-0000-0000A29D0000}"/>
    <cellStyle name="Normal 6 2 27 5" xfId="7482" xr:uid="{00000000-0005-0000-0000-0000A39D0000}"/>
    <cellStyle name="Normal 6 2 27 5 2" xfId="7483" xr:uid="{00000000-0005-0000-0000-0000A49D0000}"/>
    <cellStyle name="Normal 6 2 27 5 2 2" xfId="13264" xr:uid="{00000000-0005-0000-0000-0000A59D0000}"/>
    <cellStyle name="Normal 6 2 27 5 2 2 2" xfId="36749" xr:uid="{00000000-0005-0000-0000-0000A69D0000}"/>
    <cellStyle name="Normal 6 2 27 5 2 2 3" xfId="27430" xr:uid="{00000000-0005-0000-0000-0000A79D0000}"/>
    <cellStyle name="Normal 6 2 27 5 2 2 4" xfId="50692" xr:uid="{00000000-0005-0000-0000-0000A89D0000}"/>
    <cellStyle name="Normal 6 2 27 5 2 3" xfId="17995" xr:uid="{00000000-0005-0000-0000-0000A99D0000}"/>
    <cellStyle name="Normal 6 2 27 5 2 3 2" xfId="32127" xr:uid="{00000000-0005-0000-0000-0000AA9D0000}"/>
    <cellStyle name="Normal 6 2 27 5 2 3 3" xfId="46022" xr:uid="{00000000-0005-0000-0000-0000AB9D0000}"/>
    <cellStyle name="Normal 6 2 27 5 2 4" xfId="22808" xr:uid="{00000000-0005-0000-0000-0000AC9D0000}"/>
    <cellStyle name="Normal 6 2 27 5 2 5" xfId="41440" xr:uid="{00000000-0005-0000-0000-0000AD9D0000}"/>
    <cellStyle name="Normal 6 2 27 5 3" xfId="13263" xr:uid="{00000000-0005-0000-0000-0000AE9D0000}"/>
    <cellStyle name="Normal 6 2 27 5 3 2" xfId="36748" xr:uid="{00000000-0005-0000-0000-0000AF9D0000}"/>
    <cellStyle name="Normal 6 2 27 5 3 3" xfId="27429" xr:uid="{00000000-0005-0000-0000-0000B09D0000}"/>
    <cellStyle name="Normal 6 2 27 5 3 4" xfId="50691" xr:uid="{00000000-0005-0000-0000-0000B19D0000}"/>
    <cellStyle name="Normal 6 2 27 5 4" xfId="17994" xr:uid="{00000000-0005-0000-0000-0000B29D0000}"/>
    <cellStyle name="Normal 6 2 27 5 4 2" xfId="32126" xr:uid="{00000000-0005-0000-0000-0000B39D0000}"/>
    <cellStyle name="Normal 6 2 27 5 4 3" xfId="46021" xr:uid="{00000000-0005-0000-0000-0000B49D0000}"/>
    <cellStyle name="Normal 6 2 27 5 5" xfId="22807" xr:uid="{00000000-0005-0000-0000-0000B59D0000}"/>
    <cellStyle name="Normal 6 2 27 5 6" xfId="41439" xr:uid="{00000000-0005-0000-0000-0000B69D0000}"/>
    <cellStyle name="Normal 6 2 27 6" xfId="7484" xr:uid="{00000000-0005-0000-0000-0000B79D0000}"/>
    <cellStyle name="Normal 6 2 27 6 2" xfId="7485" xr:uid="{00000000-0005-0000-0000-0000B89D0000}"/>
    <cellStyle name="Normal 6 2 27 6 2 2" xfId="13266" xr:uid="{00000000-0005-0000-0000-0000B99D0000}"/>
    <cellStyle name="Normal 6 2 27 6 2 2 2" xfId="36751" xr:uid="{00000000-0005-0000-0000-0000BA9D0000}"/>
    <cellStyle name="Normal 6 2 27 6 2 2 3" xfId="27432" xr:uid="{00000000-0005-0000-0000-0000BB9D0000}"/>
    <cellStyle name="Normal 6 2 27 6 2 2 4" xfId="50694" xr:uid="{00000000-0005-0000-0000-0000BC9D0000}"/>
    <cellStyle name="Normal 6 2 27 6 2 3" xfId="17997" xr:uid="{00000000-0005-0000-0000-0000BD9D0000}"/>
    <cellStyle name="Normal 6 2 27 6 2 3 2" xfId="32129" xr:uid="{00000000-0005-0000-0000-0000BE9D0000}"/>
    <cellStyle name="Normal 6 2 27 6 2 3 3" xfId="46024" xr:uid="{00000000-0005-0000-0000-0000BF9D0000}"/>
    <cellStyle name="Normal 6 2 27 6 2 4" xfId="22810" xr:uid="{00000000-0005-0000-0000-0000C09D0000}"/>
    <cellStyle name="Normal 6 2 27 6 2 5" xfId="41442" xr:uid="{00000000-0005-0000-0000-0000C19D0000}"/>
    <cellStyle name="Normal 6 2 27 6 3" xfId="13265" xr:uid="{00000000-0005-0000-0000-0000C29D0000}"/>
    <cellStyle name="Normal 6 2 27 6 3 2" xfId="36750" xr:uid="{00000000-0005-0000-0000-0000C39D0000}"/>
    <cellStyle name="Normal 6 2 27 6 3 3" xfId="27431" xr:uid="{00000000-0005-0000-0000-0000C49D0000}"/>
    <cellStyle name="Normal 6 2 27 6 3 4" xfId="50693" xr:uid="{00000000-0005-0000-0000-0000C59D0000}"/>
    <cellStyle name="Normal 6 2 27 6 4" xfId="17996" xr:uid="{00000000-0005-0000-0000-0000C69D0000}"/>
    <cellStyle name="Normal 6 2 27 6 4 2" xfId="32128" xr:uid="{00000000-0005-0000-0000-0000C79D0000}"/>
    <cellStyle name="Normal 6 2 27 6 4 3" xfId="46023" xr:uid="{00000000-0005-0000-0000-0000C89D0000}"/>
    <cellStyle name="Normal 6 2 27 6 5" xfId="22809" xr:uid="{00000000-0005-0000-0000-0000C99D0000}"/>
    <cellStyle name="Normal 6 2 27 6 6" xfId="41441" xr:uid="{00000000-0005-0000-0000-0000CA9D0000}"/>
    <cellStyle name="Normal 6 2 27 7" xfId="7486" xr:uid="{00000000-0005-0000-0000-0000CB9D0000}"/>
    <cellStyle name="Normal 6 2 27 7 2" xfId="13267" xr:uid="{00000000-0005-0000-0000-0000CC9D0000}"/>
    <cellStyle name="Normal 6 2 27 7 2 2" xfId="36752" xr:uid="{00000000-0005-0000-0000-0000CD9D0000}"/>
    <cellStyle name="Normal 6 2 27 7 2 3" xfId="27433" xr:uid="{00000000-0005-0000-0000-0000CE9D0000}"/>
    <cellStyle name="Normal 6 2 27 7 2 4" xfId="50695" xr:uid="{00000000-0005-0000-0000-0000CF9D0000}"/>
    <cellStyle name="Normal 6 2 27 7 3" xfId="17998" xr:uid="{00000000-0005-0000-0000-0000D09D0000}"/>
    <cellStyle name="Normal 6 2 27 7 3 2" xfId="32130" xr:uid="{00000000-0005-0000-0000-0000D19D0000}"/>
    <cellStyle name="Normal 6 2 27 7 3 3" xfId="46025" xr:uid="{00000000-0005-0000-0000-0000D29D0000}"/>
    <cellStyle name="Normal 6 2 27 7 4" xfId="22811" xr:uid="{00000000-0005-0000-0000-0000D39D0000}"/>
    <cellStyle name="Normal 6 2 27 7 5" xfId="41443" xr:uid="{00000000-0005-0000-0000-0000D49D0000}"/>
    <cellStyle name="Normal 6 2 27 8" xfId="13256" xr:uid="{00000000-0005-0000-0000-0000D59D0000}"/>
    <cellStyle name="Normal 6 2 27 8 2" xfId="36741" xr:uid="{00000000-0005-0000-0000-0000D69D0000}"/>
    <cellStyle name="Normal 6 2 27 8 3" xfId="27422" xr:uid="{00000000-0005-0000-0000-0000D79D0000}"/>
    <cellStyle name="Normal 6 2 27 8 4" xfId="50684" xr:uid="{00000000-0005-0000-0000-0000D89D0000}"/>
    <cellStyle name="Normal 6 2 27 9" xfId="17987" xr:uid="{00000000-0005-0000-0000-0000D99D0000}"/>
    <cellStyle name="Normal 6 2 27 9 2" xfId="32119" xr:uid="{00000000-0005-0000-0000-0000DA9D0000}"/>
    <cellStyle name="Normal 6 2 27 9 3" xfId="46014" xr:uid="{00000000-0005-0000-0000-0000DB9D0000}"/>
    <cellStyle name="Normal 6 2 28" xfId="7487" xr:uid="{00000000-0005-0000-0000-0000DC9D0000}"/>
    <cellStyle name="Normal 6 2 28 2" xfId="7488" xr:uid="{00000000-0005-0000-0000-0000DD9D0000}"/>
    <cellStyle name="Normal 6 2 28 2 2" xfId="13269" xr:uid="{00000000-0005-0000-0000-0000DE9D0000}"/>
    <cellStyle name="Normal 6 2 28 2 2 2" xfId="36754" xr:uid="{00000000-0005-0000-0000-0000DF9D0000}"/>
    <cellStyle name="Normal 6 2 28 2 2 3" xfId="27435" xr:uid="{00000000-0005-0000-0000-0000E09D0000}"/>
    <cellStyle name="Normal 6 2 28 2 2 4" xfId="50697" xr:uid="{00000000-0005-0000-0000-0000E19D0000}"/>
    <cellStyle name="Normal 6 2 28 2 3" xfId="18000" xr:uid="{00000000-0005-0000-0000-0000E29D0000}"/>
    <cellStyle name="Normal 6 2 28 2 3 2" xfId="32132" xr:uid="{00000000-0005-0000-0000-0000E39D0000}"/>
    <cellStyle name="Normal 6 2 28 2 3 3" xfId="46027" xr:uid="{00000000-0005-0000-0000-0000E49D0000}"/>
    <cellStyle name="Normal 6 2 28 2 4" xfId="22813" xr:uid="{00000000-0005-0000-0000-0000E59D0000}"/>
    <cellStyle name="Normal 6 2 28 2 5" xfId="41445" xr:uid="{00000000-0005-0000-0000-0000E69D0000}"/>
    <cellStyle name="Normal 6 2 28 3" xfId="13268" xr:uid="{00000000-0005-0000-0000-0000E79D0000}"/>
    <cellStyle name="Normal 6 2 28 3 2" xfId="36753" xr:uid="{00000000-0005-0000-0000-0000E89D0000}"/>
    <cellStyle name="Normal 6 2 28 3 3" xfId="27434" xr:uid="{00000000-0005-0000-0000-0000E99D0000}"/>
    <cellStyle name="Normal 6 2 28 3 4" xfId="50696" xr:uid="{00000000-0005-0000-0000-0000EA9D0000}"/>
    <cellStyle name="Normal 6 2 28 4" xfId="17999" xr:uid="{00000000-0005-0000-0000-0000EB9D0000}"/>
    <cellStyle name="Normal 6 2 28 4 2" xfId="32131" xr:uid="{00000000-0005-0000-0000-0000EC9D0000}"/>
    <cellStyle name="Normal 6 2 28 4 3" xfId="46026" xr:uid="{00000000-0005-0000-0000-0000ED9D0000}"/>
    <cellStyle name="Normal 6 2 28 5" xfId="22812" xr:uid="{00000000-0005-0000-0000-0000EE9D0000}"/>
    <cellStyle name="Normal 6 2 28 6" xfId="41444" xr:uid="{00000000-0005-0000-0000-0000EF9D0000}"/>
    <cellStyle name="Normal 6 2 29" xfId="7489" xr:uid="{00000000-0005-0000-0000-0000F09D0000}"/>
    <cellStyle name="Normal 6 2 29 2" xfId="7490" xr:uid="{00000000-0005-0000-0000-0000F19D0000}"/>
    <cellStyle name="Normal 6 2 29 2 2" xfId="13271" xr:uid="{00000000-0005-0000-0000-0000F29D0000}"/>
    <cellStyle name="Normal 6 2 29 2 2 2" xfId="36756" xr:uid="{00000000-0005-0000-0000-0000F39D0000}"/>
    <cellStyle name="Normal 6 2 29 2 2 3" xfId="27437" xr:uid="{00000000-0005-0000-0000-0000F49D0000}"/>
    <cellStyle name="Normal 6 2 29 2 2 4" xfId="50699" xr:uid="{00000000-0005-0000-0000-0000F59D0000}"/>
    <cellStyle name="Normal 6 2 29 2 3" xfId="18002" xr:uid="{00000000-0005-0000-0000-0000F69D0000}"/>
    <cellStyle name="Normal 6 2 29 2 3 2" xfId="32134" xr:uid="{00000000-0005-0000-0000-0000F79D0000}"/>
    <cellStyle name="Normal 6 2 29 2 3 3" xfId="46029" xr:uid="{00000000-0005-0000-0000-0000F89D0000}"/>
    <cellStyle name="Normal 6 2 29 2 4" xfId="22815" xr:uid="{00000000-0005-0000-0000-0000F99D0000}"/>
    <cellStyle name="Normal 6 2 29 2 5" xfId="41447" xr:uid="{00000000-0005-0000-0000-0000FA9D0000}"/>
    <cellStyle name="Normal 6 2 29 3" xfId="13270" xr:uid="{00000000-0005-0000-0000-0000FB9D0000}"/>
    <cellStyle name="Normal 6 2 29 3 2" xfId="36755" xr:uid="{00000000-0005-0000-0000-0000FC9D0000}"/>
    <cellStyle name="Normal 6 2 29 3 3" xfId="27436" xr:uid="{00000000-0005-0000-0000-0000FD9D0000}"/>
    <cellStyle name="Normal 6 2 29 3 4" xfId="50698" xr:uid="{00000000-0005-0000-0000-0000FE9D0000}"/>
    <cellStyle name="Normal 6 2 29 4" xfId="18001" xr:uid="{00000000-0005-0000-0000-0000FF9D0000}"/>
    <cellStyle name="Normal 6 2 29 4 2" xfId="32133" xr:uid="{00000000-0005-0000-0000-0000009E0000}"/>
    <cellStyle name="Normal 6 2 29 4 3" xfId="46028" xr:uid="{00000000-0005-0000-0000-0000019E0000}"/>
    <cellStyle name="Normal 6 2 29 5" xfId="22814" xr:uid="{00000000-0005-0000-0000-0000029E0000}"/>
    <cellStyle name="Normal 6 2 29 6" xfId="41446" xr:uid="{00000000-0005-0000-0000-0000039E0000}"/>
    <cellStyle name="Normal 6 2 3" xfId="338" xr:uid="{00000000-0005-0000-0000-0000049E0000}"/>
    <cellStyle name="Normal 6 2 3 10" xfId="7491" xr:uid="{00000000-0005-0000-0000-0000059E0000}"/>
    <cellStyle name="Normal 6 2 3 10 2" xfId="7492" xr:uid="{00000000-0005-0000-0000-0000069E0000}"/>
    <cellStyle name="Normal 6 2 3 10 2 2" xfId="13273" xr:uid="{00000000-0005-0000-0000-0000079E0000}"/>
    <cellStyle name="Normal 6 2 3 10 2 2 2" xfId="36758" xr:uid="{00000000-0005-0000-0000-0000089E0000}"/>
    <cellStyle name="Normal 6 2 3 10 2 2 3" xfId="27439" xr:uid="{00000000-0005-0000-0000-0000099E0000}"/>
    <cellStyle name="Normal 6 2 3 10 2 2 4" xfId="50701" xr:uid="{00000000-0005-0000-0000-00000A9E0000}"/>
    <cellStyle name="Normal 6 2 3 10 2 3" xfId="18004" xr:uid="{00000000-0005-0000-0000-00000B9E0000}"/>
    <cellStyle name="Normal 6 2 3 10 2 3 2" xfId="32136" xr:uid="{00000000-0005-0000-0000-00000C9E0000}"/>
    <cellStyle name="Normal 6 2 3 10 2 3 3" xfId="46031" xr:uid="{00000000-0005-0000-0000-00000D9E0000}"/>
    <cellStyle name="Normal 6 2 3 10 2 4" xfId="22817" xr:uid="{00000000-0005-0000-0000-00000E9E0000}"/>
    <cellStyle name="Normal 6 2 3 10 2 5" xfId="41449" xr:uid="{00000000-0005-0000-0000-00000F9E0000}"/>
    <cellStyle name="Normal 6 2 3 10 3" xfId="13272" xr:uid="{00000000-0005-0000-0000-0000109E0000}"/>
    <cellStyle name="Normal 6 2 3 10 3 2" xfId="36757" xr:uid="{00000000-0005-0000-0000-0000119E0000}"/>
    <cellStyle name="Normal 6 2 3 10 3 3" xfId="27438" xr:uid="{00000000-0005-0000-0000-0000129E0000}"/>
    <cellStyle name="Normal 6 2 3 10 3 4" xfId="50700" xr:uid="{00000000-0005-0000-0000-0000139E0000}"/>
    <cellStyle name="Normal 6 2 3 10 4" xfId="18003" xr:uid="{00000000-0005-0000-0000-0000149E0000}"/>
    <cellStyle name="Normal 6 2 3 10 4 2" xfId="32135" xr:uid="{00000000-0005-0000-0000-0000159E0000}"/>
    <cellStyle name="Normal 6 2 3 10 4 3" xfId="46030" xr:uid="{00000000-0005-0000-0000-0000169E0000}"/>
    <cellStyle name="Normal 6 2 3 10 5" xfId="22816" xr:uid="{00000000-0005-0000-0000-0000179E0000}"/>
    <cellStyle name="Normal 6 2 3 10 6" xfId="41448" xr:uid="{00000000-0005-0000-0000-0000189E0000}"/>
    <cellStyle name="Normal 6 2 3 11" xfId="7493" xr:uid="{00000000-0005-0000-0000-0000199E0000}"/>
    <cellStyle name="Normal 6 2 3 11 2" xfId="7494" xr:uid="{00000000-0005-0000-0000-00001A9E0000}"/>
    <cellStyle name="Normal 6 2 3 11 2 2" xfId="13275" xr:uid="{00000000-0005-0000-0000-00001B9E0000}"/>
    <cellStyle name="Normal 6 2 3 11 2 2 2" xfId="36760" xr:uid="{00000000-0005-0000-0000-00001C9E0000}"/>
    <cellStyle name="Normal 6 2 3 11 2 2 3" xfId="27441" xr:uid="{00000000-0005-0000-0000-00001D9E0000}"/>
    <cellStyle name="Normal 6 2 3 11 2 2 4" xfId="50703" xr:uid="{00000000-0005-0000-0000-00001E9E0000}"/>
    <cellStyle name="Normal 6 2 3 11 2 3" xfId="18006" xr:uid="{00000000-0005-0000-0000-00001F9E0000}"/>
    <cellStyle name="Normal 6 2 3 11 2 3 2" xfId="32138" xr:uid="{00000000-0005-0000-0000-0000209E0000}"/>
    <cellStyle name="Normal 6 2 3 11 2 3 3" xfId="46033" xr:uid="{00000000-0005-0000-0000-0000219E0000}"/>
    <cellStyle name="Normal 6 2 3 11 2 4" xfId="22819" xr:uid="{00000000-0005-0000-0000-0000229E0000}"/>
    <cellStyle name="Normal 6 2 3 11 2 5" xfId="41451" xr:uid="{00000000-0005-0000-0000-0000239E0000}"/>
    <cellStyle name="Normal 6 2 3 11 3" xfId="13274" xr:uid="{00000000-0005-0000-0000-0000249E0000}"/>
    <cellStyle name="Normal 6 2 3 11 3 2" xfId="36759" xr:uid="{00000000-0005-0000-0000-0000259E0000}"/>
    <cellStyle name="Normal 6 2 3 11 3 3" xfId="27440" xr:uid="{00000000-0005-0000-0000-0000269E0000}"/>
    <cellStyle name="Normal 6 2 3 11 3 4" xfId="50702" xr:uid="{00000000-0005-0000-0000-0000279E0000}"/>
    <cellStyle name="Normal 6 2 3 11 4" xfId="18005" xr:uid="{00000000-0005-0000-0000-0000289E0000}"/>
    <cellStyle name="Normal 6 2 3 11 4 2" xfId="32137" xr:uid="{00000000-0005-0000-0000-0000299E0000}"/>
    <cellStyle name="Normal 6 2 3 11 4 3" xfId="46032" xr:uid="{00000000-0005-0000-0000-00002A9E0000}"/>
    <cellStyle name="Normal 6 2 3 11 5" xfId="22818" xr:uid="{00000000-0005-0000-0000-00002B9E0000}"/>
    <cellStyle name="Normal 6 2 3 11 6" xfId="41450" xr:uid="{00000000-0005-0000-0000-00002C9E0000}"/>
    <cellStyle name="Normal 6 2 3 12" xfId="7495" xr:uid="{00000000-0005-0000-0000-00002D9E0000}"/>
    <cellStyle name="Normal 6 2 3 12 2" xfId="7496" xr:uid="{00000000-0005-0000-0000-00002E9E0000}"/>
    <cellStyle name="Normal 6 2 3 12 2 2" xfId="13277" xr:uid="{00000000-0005-0000-0000-00002F9E0000}"/>
    <cellStyle name="Normal 6 2 3 12 2 2 2" xfId="36762" xr:uid="{00000000-0005-0000-0000-0000309E0000}"/>
    <cellStyle name="Normal 6 2 3 12 2 2 3" xfId="27443" xr:uid="{00000000-0005-0000-0000-0000319E0000}"/>
    <cellStyle name="Normal 6 2 3 12 2 2 4" xfId="50705" xr:uid="{00000000-0005-0000-0000-0000329E0000}"/>
    <cellStyle name="Normal 6 2 3 12 2 3" xfId="18008" xr:uid="{00000000-0005-0000-0000-0000339E0000}"/>
    <cellStyle name="Normal 6 2 3 12 2 3 2" xfId="32140" xr:uid="{00000000-0005-0000-0000-0000349E0000}"/>
    <cellStyle name="Normal 6 2 3 12 2 3 3" xfId="46035" xr:uid="{00000000-0005-0000-0000-0000359E0000}"/>
    <cellStyle name="Normal 6 2 3 12 2 4" xfId="22821" xr:uid="{00000000-0005-0000-0000-0000369E0000}"/>
    <cellStyle name="Normal 6 2 3 12 2 5" xfId="41453" xr:uid="{00000000-0005-0000-0000-0000379E0000}"/>
    <cellStyle name="Normal 6 2 3 12 3" xfId="13276" xr:uid="{00000000-0005-0000-0000-0000389E0000}"/>
    <cellStyle name="Normal 6 2 3 12 3 2" xfId="36761" xr:uid="{00000000-0005-0000-0000-0000399E0000}"/>
    <cellStyle name="Normal 6 2 3 12 3 3" xfId="27442" xr:uid="{00000000-0005-0000-0000-00003A9E0000}"/>
    <cellStyle name="Normal 6 2 3 12 3 4" xfId="50704" xr:uid="{00000000-0005-0000-0000-00003B9E0000}"/>
    <cellStyle name="Normal 6 2 3 12 4" xfId="18007" xr:uid="{00000000-0005-0000-0000-00003C9E0000}"/>
    <cellStyle name="Normal 6 2 3 12 4 2" xfId="32139" xr:uid="{00000000-0005-0000-0000-00003D9E0000}"/>
    <cellStyle name="Normal 6 2 3 12 4 3" xfId="46034" xr:uid="{00000000-0005-0000-0000-00003E9E0000}"/>
    <cellStyle name="Normal 6 2 3 12 5" xfId="22820" xr:uid="{00000000-0005-0000-0000-00003F9E0000}"/>
    <cellStyle name="Normal 6 2 3 12 6" xfId="41452" xr:uid="{00000000-0005-0000-0000-0000409E0000}"/>
    <cellStyle name="Normal 6 2 3 13" xfId="7497" xr:uid="{00000000-0005-0000-0000-0000419E0000}"/>
    <cellStyle name="Normal 6 2 3 13 2" xfId="7498" xr:uid="{00000000-0005-0000-0000-0000429E0000}"/>
    <cellStyle name="Normal 6 2 3 13 2 2" xfId="13279" xr:uid="{00000000-0005-0000-0000-0000439E0000}"/>
    <cellStyle name="Normal 6 2 3 13 2 2 2" xfId="36764" xr:uid="{00000000-0005-0000-0000-0000449E0000}"/>
    <cellStyle name="Normal 6 2 3 13 2 2 3" xfId="27445" xr:uid="{00000000-0005-0000-0000-0000459E0000}"/>
    <cellStyle name="Normal 6 2 3 13 2 2 4" xfId="50707" xr:uid="{00000000-0005-0000-0000-0000469E0000}"/>
    <cellStyle name="Normal 6 2 3 13 2 3" xfId="18010" xr:uid="{00000000-0005-0000-0000-0000479E0000}"/>
    <cellStyle name="Normal 6 2 3 13 2 3 2" xfId="32142" xr:uid="{00000000-0005-0000-0000-0000489E0000}"/>
    <cellStyle name="Normal 6 2 3 13 2 3 3" xfId="46037" xr:uid="{00000000-0005-0000-0000-0000499E0000}"/>
    <cellStyle name="Normal 6 2 3 13 2 4" xfId="22823" xr:uid="{00000000-0005-0000-0000-00004A9E0000}"/>
    <cellStyle name="Normal 6 2 3 13 2 5" xfId="41455" xr:uid="{00000000-0005-0000-0000-00004B9E0000}"/>
    <cellStyle name="Normal 6 2 3 13 3" xfId="13278" xr:uid="{00000000-0005-0000-0000-00004C9E0000}"/>
    <cellStyle name="Normal 6 2 3 13 3 2" xfId="36763" xr:uid="{00000000-0005-0000-0000-00004D9E0000}"/>
    <cellStyle name="Normal 6 2 3 13 3 3" xfId="27444" xr:uid="{00000000-0005-0000-0000-00004E9E0000}"/>
    <cellStyle name="Normal 6 2 3 13 3 4" xfId="50706" xr:uid="{00000000-0005-0000-0000-00004F9E0000}"/>
    <cellStyle name="Normal 6 2 3 13 4" xfId="18009" xr:uid="{00000000-0005-0000-0000-0000509E0000}"/>
    <cellStyle name="Normal 6 2 3 13 4 2" xfId="32141" xr:uid="{00000000-0005-0000-0000-0000519E0000}"/>
    <cellStyle name="Normal 6 2 3 13 4 3" xfId="46036" xr:uid="{00000000-0005-0000-0000-0000529E0000}"/>
    <cellStyle name="Normal 6 2 3 13 5" xfId="22822" xr:uid="{00000000-0005-0000-0000-0000539E0000}"/>
    <cellStyle name="Normal 6 2 3 13 6" xfId="41454" xr:uid="{00000000-0005-0000-0000-0000549E0000}"/>
    <cellStyle name="Normal 6 2 3 14" xfId="7499" xr:uid="{00000000-0005-0000-0000-0000559E0000}"/>
    <cellStyle name="Normal 6 2 3 14 2" xfId="7500" xr:uid="{00000000-0005-0000-0000-0000569E0000}"/>
    <cellStyle name="Normal 6 2 3 14 2 2" xfId="13281" xr:uid="{00000000-0005-0000-0000-0000579E0000}"/>
    <cellStyle name="Normal 6 2 3 14 2 2 2" xfId="36766" xr:uid="{00000000-0005-0000-0000-0000589E0000}"/>
    <cellStyle name="Normal 6 2 3 14 2 2 3" xfId="27447" xr:uid="{00000000-0005-0000-0000-0000599E0000}"/>
    <cellStyle name="Normal 6 2 3 14 2 2 4" xfId="50709" xr:uid="{00000000-0005-0000-0000-00005A9E0000}"/>
    <cellStyle name="Normal 6 2 3 14 2 3" xfId="18012" xr:uid="{00000000-0005-0000-0000-00005B9E0000}"/>
    <cellStyle name="Normal 6 2 3 14 2 3 2" xfId="32144" xr:uid="{00000000-0005-0000-0000-00005C9E0000}"/>
    <cellStyle name="Normal 6 2 3 14 2 3 3" xfId="46039" xr:uid="{00000000-0005-0000-0000-00005D9E0000}"/>
    <cellStyle name="Normal 6 2 3 14 2 4" xfId="22825" xr:uid="{00000000-0005-0000-0000-00005E9E0000}"/>
    <cellStyle name="Normal 6 2 3 14 2 5" xfId="41457" xr:uid="{00000000-0005-0000-0000-00005F9E0000}"/>
    <cellStyle name="Normal 6 2 3 14 3" xfId="13280" xr:uid="{00000000-0005-0000-0000-0000609E0000}"/>
    <cellStyle name="Normal 6 2 3 14 3 2" xfId="36765" xr:uid="{00000000-0005-0000-0000-0000619E0000}"/>
    <cellStyle name="Normal 6 2 3 14 3 3" xfId="27446" xr:uid="{00000000-0005-0000-0000-0000629E0000}"/>
    <cellStyle name="Normal 6 2 3 14 3 4" xfId="50708" xr:uid="{00000000-0005-0000-0000-0000639E0000}"/>
    <cellStyle name="Normal 6 2 3 14 4" xfId="18011" xr:uid="{00000000-0005-0000-0000-0000649E0000}"/>
    <cellStyle name="Normal 6 2 3 14 4 2" xfId="32143" xr:uid="{00000000-0005-0000-0000-0000659E0000}"/>
    <cellStyle name="Normal 6 2 3 14 4 3" xfId="46038" xr:uid="{00000000-0005-0000-0000-0000669E0000}"/>
    <cellStyle name="Normal 6 2 3 14 5" xfId="22824" xr:uid="{00000000-0005-0000-0000-0000679E0000}"/>
    <cellStyle name="Normal 6 2 3 14 6" xfId="41456" xr:uid="{00000000-0005-0000-0000-0000689E0000}"/>
    <cellStyle name="Normal 6 2 3 15" xfId="7501" xr:uid="{00000000-0005-0000-0000-0000699E0000}"/>
    <cellStyle name="Normal 6 2 3 15 2" xfId="7502" xr:uid="{00000000-0005-0000-0000-00006A9E0000}"/>
    <cellStyle name="Normal 6 2 3 15 2 2" xfId="13283" xr:uid="{00000000-0005-0000-0000-00006B9E0000}"/>
    <cellStyle name="Normal 6 2 3 15 2 2 2" xfId="36768" xr:uid="{00000000-0005-0000-0000-00006C9E0000}"/>
    <cellStyle name="Normal 6 2 3 15 2 2 3" xfId="27449" xr:uid="{00000000-0005-0000-0000-00006D9E0000}"/>
    <cellStyle name="Normal 6 2 3 15 2 2 4" xfId="50711" xr:uid="{00000000-0005-0000-0000-00006E9E0000}"/>
    <cellStyle name="Normal 6 2 3 15 2 3" xfId="18014" xr:uid="{00000000-0005-0000-0000-00006F9E0000}"/>
    <cellStyle name="Normal 6 2 3 15 2 3 2" xfId="32146" xr:uid="{00000000-0005-0000-0000-0000709E0000}"/>
    <cellStyle name="Normal 6 2 3 15 2 3 3" xfId="46041" xr:uid="{00000000-0005-0000-0000-0000719E0000}"/>
    <cellStyle name="Normal 6 2 3 15 2 4" xfId="22827" xr:uid="{00000000-0005-0000-0000-0000729E0000}"/>
    <cellStyle name="Normal 6 2 3 15 2 5" xfId="41459" xr:uid="{00000000-0005-0000-0000-0000739E0000}"/>
    <cellStyle name="Normal 6 2 3 15 3" xfId="13282" xr:uid="{00000000-0005-0000-0000-0000749E0000}"/>
    <cellStyle name="Normal 6 2 3 15 3 2" xfId="36767" xr:uid="{00000000-0005-0000-0000-0000759E0000}"/>
    <cellStyle name="Normal 6 2 3 15 3 3" xfId="27448" xr:uid="{00000000-0005-0000-0000-0000769E0000}"/>
    <cellStyle name="Normal 6 2 3 15 3 4" xfId="50710" xr:uid="{00000000-0005-0000-0000-0000779E0000}"/>
    <cellStyle name="Normal 6 2 3 15 4" xfId="18013" xr:uid="{00000000-0005-0000-0000-0000789E0000}"/>
    <cellStyle name="Normal 6 2 3 15 4 2" xfId="32145" xr:uid="{00000000-0005-0000-0000-0000799E0000}"/>
    <cellStyle name="Normal 6 2 3 15 4 3" xfId="46040" xr:uid="{00000000-0005-0000-0000-00007A9E0000}"/>
    <cellStyle name="Normal 6 2 3 15 5" xfId="22826" xr:uid="{00000000-0005-0000-0000-00007B9E0000}"/>
    <cellStyle name="Normal 6 2 3 15 6" xfId="41458" xr:uid="{00000000-0005-0000-0000-00007C9E0000}"/>
    <cellStyle name="Normal 6 2 3 16" xfId="7503" xr:uid="{00000000-0005-0000-0000-00007D9E0000}"/>
    <cellStyle name="Normal 6 2 3 16 2" xfId="7504" xr:uid="{00000000-0005-0000-0000-00007E9E0000}"/>
    <cellStyle name="Normal 6 2 3 16 2 2" xfId="13285" xr:uid="{00000000-0005-0000-0000-00007F9E0000}"/>
    <cellStyle name="Normal 6 2 3 16 2 2 2" xfId="36770" xr:uid="{00000000-0005-0000-0000-0000809E0000}"/>
    <cellStyle name="Normal 6 2 3 16 2 2 3" xfId="27451" xr:uid="{00000000-0005-0000-0000-0000819E0000}"/>
    <cellStyle name="Normal 6 2 3 16 2 2 4" xfId="50713" xr:uid="{00000000-0005-0000-0000-0000829E0000}"/>
    <cellStyle name="Normal 6 2 3 16 2 3" xfId="18016" xr:uid="{00000000-0005-0000-0000-0000839E0000}"/>
    <cellStyle name="Normal 6 2 3 16 2 3 2" xfId="32148" xr:uid="{00000000-0005-0000-0000-0000849E0000}"/>
    <cellStyle name="Normal 6 2 3 16 2 3 3" xfId="46043" xr:uid="{00000000-0005-0000-0000-0000859E0000}"/>
    <cellStyle name="Normal 6 2 3 16 2 4" xfId="22829" xr:uid="{00000000-0005-0000-0000-0000869E0000}"/>
    <cellStyle name="Normal 6 2 3 16 2 5" xfId="41461" xr:uid="{00000000-0005-0000-0000-0000879E0000}"/>
    <cellStyle name="Normal 6 2 3 16 3" xfId="13284" xr:uid="{00000000-0005-0000-0000-0000889E0000}"/>
    <cellStyle name="Normal 6 2 3 16 3 2" xfId="36769" xr:uid="{00000000-0005-0000-0000-0000899E0000}"/>
    <cellStyle name="Normal 6 2 3 16 3 3" xfId="27450" xr:uid="{00000000-0005-0000-0000-00008A9E0000}"/>
    <cellStyle name="Normal 6 2 3 16 3 4" xfId="50712" xr:uid="{00000000-0005-0000-0000-00008B9E0000}"/>
    <cellStyle name="Normal 6 2 3 16 4" xfId="18015" xr:uid="{00000000-0005-0000-0000-00008C9E0000}"/>
    <cellStyle name="Normal 6 2 3 16 4 2" xfId="32147" xr:uid="{00000000-0005-0000-0000-00008D9E0000}"/>
    <cellStyle name="Normal 6 2 3 16 4 3" xfId="46042" xr:uid="{00000000-0005-0000-0000-00008E9E0000}"/>
    <cellStyle name="Normal 6 2 3 16 5" xfId="22828" xr:uid="{00000000-0005-0000-0000-00008F9E0000}"/>
    <cellStyle name="Normal 6 2 3 16 6" xfId="41460" xr:uid="{00000000-0005-0000-0000-0000909E0000}"/>
    <cellStyle name="Normal 6 2 3 17" xfId="7505" xr:uid="{00000000-0005-0000-0000-0000919E0000}"/>
    <cellStyle name="Normal 6 2 3 17 2" xfId="7506" xr:uid="{00000000-0005-0000-0000-0000929E0000}"/>
    <cellStyle name="Normal 6 2 3 17 2 2" xfId="13287" xr:uid="{00000000-0005-0000-0000-0000939E0000}"/>
    <cellStyle name="Normal 6 2 3 17 2 2 2" xfId="36772" xr:uid="{00000000-0005-0000-0000-0000949E0000}"/>
    <cellStyle name="Normal 6 2 3 17 2 2 3" xfId="27453" xr:uid="{00000000-0005-0000-0000-0000959E0000}"/>
    <cellStyle name="Normal 6 2 3 17 2 2 4" xfId="50715" xr:uid="{00000000-0005-0000-0000-0000969E0000}"/>
    <cellStyle name="Normal 6 2 3 17 2 3" xfId="18018" xr:uid="{00000000-0005-0000-0000-0000979E0000}"/>
    <cellStyle name="Normal 6 2 3 17 2 3 2" xfId="32150" xr:uid="{00000000-0005-0000-0000-0000989E0000}"/>
    <cellStyle name="Normal 6 2 3 17 2 3 3" xfId="46045" xr:uid="{00000000-0005-0000-0000-0000999E0000}"/>
    <cellStyle name="Normal 6 2 3 17 2 4" xfId="22831" xr:uid="{00000000-0005-0000-0000-00009A9E0000}"/>
    <cellStyle name="Normal 6 2 3 17 2 5" xfId="41463" xr:uid="{00000000-0005-0000-0000-00009B9E0000}"/>
    <cellStyle name="Normal 6 2 3 17 3" xfId="13286" xr:uid="{00000000-0005-0000-0000-00009C9E0000}"/>
    <cellStyle name="Normal 6 2 3 17 3 2" xfId="36771" xr:uid="{00000000-0005-0000-0000-00009D9E0000}"/>
    <cellStyle name="Normal 6 2 3 17 3 3" xfId="27452" xr:uid="{00000000-0005-0000-0000-00009E9E0000}"/>
    <cellStyle name="Normal 6 2 3 17 3 4" xfId="50714" xr:uid="{00000000-0005-0000-0000-00009F9E0000}"/>
    <cellStyle name="Normal 6 2 3 17 4" xfId="18017" xr:uid="{00000000-0005-0000-0000-0000A09E0000}"/>
    <cellStyle name="Normal 6 2 3 17 4 2" xfId="32149" xr:uid="{00000000-0005-0000-0000-0000A19E0000}"/>
    <cellStyle name="Normal 6 2 3 17 4 3" xfId="46044" xr:uid="{00000000-0005-0000-0000-0000A29E0000}"/>
    <cellStyle name="Normal 6 2 3 17 5" xfId="22830" xr:uid="{00000000-0005-0000-0000-0000A39E0000}"/>
    <cellStyle name="Normal 6 2 3 17 6" xfId="41462" xr:uid="{00000000-0005-0000-0000-0000A49E0000}"/>
    <cellStyle name="Normal 6 2 3 18" xfId="7507" xr:uid="{00000000-0005-0000-0000-0000A59E0000}"/>
    <cellStyle name="Normal 6 2 3 18 2" xfId="7508" xr:uid="{00000000-0005-0000-0000-0000A69E0000}"/>
    <cellStyle name="Normal 6 2 3 18 2 2" xfId="13289" xr:uid="{00000000-0005-0000-0000-0000A79E0000}"/>
    <cellStyle name="Normal 6 2 3 18 2 2 2" xfId="36774" xr:uid="{00000000-0005-0000-0000-0000A89E0000}"/>
    <cellStyle name="Normal 6 2 3 18 2 2 3" xfId="27455" xr:uid="{00000000-0005-0000-0000-0000A99E0000}"/>
    <cellStyle name="Normal 6 2 3 18 2 2 4" xfId="50717" xr:uid="{00000000-0005-0000-0000-0000AA9E0000}"/>
    <cellStyle name="Normal 6 2 3 18 2 3" xfId="18020" xr:uid="{00000000-0005-0000-0000-0000AB9E0000}"/>
    <cellStyle name="Normal 6 2 3 18 2 3 2" xfId="32152" xr:uid="{00000000-0005-0000-0000-0000AC9E0000}"/>
    <cellStyle name="Normal 6 2 3 18 2 3 3" xfId="46047" xr:uid="{00000000-0005-0000-0000-0000AD9E0000}"/>
    <cellStyle name="Normal 6 2 3 18 2 4" xfId="22833" xr:uid="{00000000-0005-0000-0000-0000AE9E0000}"/>
    <cellStyle name="Normal 6 2 3 18 2 5" xfId="41465" xr:uid="{00000000-0005-0000-0000-0000AF9E0000}"/>
    <cellStyle name="Normal 6 2 3 18 3" xfId="13288" xr:uid="{00000000-0005-0000-0000-0000B09E0000}"/>
    <cellStyle name="Normal 6 2 3 18 3 2" xfId="36773" xr:uid="{00000000-0005-0000-0000-0000B19E0000}"/>
    <cellStyle name="Normal 6 2 3 18 3 3" xfId="27454" xr:uid="{00000000-0005-0000-0000-0000B29E0000}"/>
    <cellStyle name="Normal 6 2 3 18 3 4" xfId="50716" xr:uid="{00000000-0005-0000-0000-0000B39E0000}"/>
    <cellStyle name="Normal 6 2 3 18 4" xfId="18019" xr:uid="{00000000-0005-0000-0000-0000B49E0000}"/>
    <cellStyle name="Normal 6 2 3 18 4 2" xfId="32151" xr:uid="{00000000-0005-0000-0000-0000B59E0000}"/>
    <cellStyle name="Normal 6 2 3 18 4 3" xfId="46046" xr:uid="{00000000-0005-0000-0000-0000B69E0000}"/>
    <cellStyle name="Normal 6 2 3 18 5" xfId="22832" xr:uid="{00000000-0005-0000-0000-0000B79E0000}"/>
    <cellStyle name="Normal 6 2 3 18 6" xfId="41464" xr:uid="{00000000-0005-0000-0000-0000B89E0000}"/>
    <cellStyle name="Normal 6 2 3 19" xfId="7509" xr:uid="{00000000-0005-0000-0000-0000B99E0000}"/>
    <cellStyle name="Normal 6 2 3 19 2" xfId="7510" xr:uid="{00000000-0005-0000-0000-0000BA9E0000}"/>
    <cellStyle name="Normal 6 2 3 19 2 2" xfId="13291" xr:uid="{00000000-0005-0000-0000-0000BB9E0000}"/>
    <cellStyle name="Normal 6 2 3 19 2 2 2" xfId="36776" xr:uid="{00000000-0005-0000-0000-0000BC9E0000}"/>
    <cellStyle name="Normal 6 2 3 19 2 2 3" xfId="27457" xr:uid="{00000000-0005-0000-0000-0000BD9E0000}"/>
    <cellStyle name="Normal 6 2 3 19 2 2 4" xfId="50719" xr:uid="{00000000-0005-0000-0000-0000BE9E0000}"/>
    <cellStyle name="Normal 6 2 3 19 2 3" xfId="18022" xr:uid="{00000000-0005-0000-0000-0000BF9E0000}"/>
    <cellStyle name="Normal 6 2 3 19 2 3 2" xfId="32154" xr:uid="{00000000-0005-0000-0000-0000C09E0000}"/>
    <cellStyle name="Normal 6 2 3 19 2 3 3" xfId="46049" xr:uid="{00000000-0005-0000-0000-0000C19E0000}"/>
    <cellStyle name="Normal 6 2 3 19 2 4" xfId="22835" xr:uid="{00000000-0005-0000-0000-0000C29E0000}"/>
    <cellStyle name="Normal 6 2 3 19 2 5" xfId="41467" xr:uid="{00000000-0005-0000-0000-0000C39E0000}"/>
    <cellStyle name="Normal 6 2 3 19 3" xfId="13290" xr:uid="{00000000-0005-0000-0000-0000C49E0000}"/>
    <cellStyle name="Normal 6 2 3 19 3 2" xfId="36775" xr:uid="{00000000-0005-0000-0000-0000C59E0000}"/>
    <cellStyle name="Normal 6 2 3 19 3 3" xfId="27456" xr:uid="{00000000-0005-0000-0000-0000C69E0000}"/>
    <cellStyle name="Normal 6 2 3 19 3 4" xfId="50718" xr:uid="{00000000-0005-0000-0000-0000C79E0000}"/>
    <cellStyle name="Normal 6 2 3 19 4" xfId="18021" xr:uid="{00000000-0005-0000-0000-0000C89E0000}"/>
    <cellStyle name="Normal 6 2 3 19 4 2" xfId="32153" xr:uid="{00000000-0005-0000-0000-0000C99E0000}"/>
    <cellStyle name="Normal 6 2 3 19 4 3" xfId="46048" xr:uid="{00000000-0005-0000-0000-0000CA9E0000}"/>
    <cellStyle name="Normal 6 2 3 19 5" xfId="22834" xr:uid="{00000000-0005-0000-0000-0000CB9E0000}"/>
    <cellStyle name="Normal 6 2 3 19 6" xfId="41466" xr:uid="{00000000-0005-0000-0000-0000CC9E0000}"/>
    <cellStyle name="Normal 6 2 3 2" xfId="430" xr:uid="{00000000-0005-0000-0000-0000CD9E0000}"/>
    <cellStyle name="Normal 6 2 3 2 2" xfId="7511" xr:uid="{00000000-0005-0000-0000-0000CE9E0000}"/>
    <cellStyle name="Normal 6 2 3 2 2 2" xfId="13292" xr:uid="{00000000-0005-0000-0000-0000CF9E0000}"/>
    <cellStyle name="Normal 6 2 3 2 2 2 2" xfId="36777" xr:uid="{00000000-0005-0000-0000-0000D09E0000}"/>
    <cellStyle name="Normal 6 2 3 2 2 2 3" xfId="27458" xr:uid="{00000000-0005-0000-0000-0000D19E0000}"/>
    <cellStyle name="Normal 6 2 3 2 2 2 4" xfId="50720" xr:uid="{00000000-0005-0000-0000-0000D29E0000}"/>
    <cellStyle name="Normal 6 2 3 2 2 3" xfId="18023" xr:uid="{00000000-0005-0000-0000-0000D39E0000}"/>
    <cellStyle name="Normal 6 2 3 2 2 3 2" xfId="32155" xr:uid="{00000000-0005-0000-0000-0000D49E0000}"/>
    <cellStyle name="Normal 6 2 3 2 2 3 3" xfId="46050" xr:uid="{00000000-0005-0000-0000-0000D59E0000}"/>
    <cellStyle name="Normal 6 2 3 2 2 4" xfId="22836" xr:uid="{00000000-0005-0000-0000-0000D69E0000}"/>
    <cellStyle name="Normal 6 2 3 2 2 5" xfId="41468" xr:uid="{00000000-0005-0000-0000-0000D79E0000}"/>
    <cellStyle name="Normal 6 2 3 2 3" xfId="7512" xr:uid="{00000000-0005-0000-0000-0000D89E0000}"/>
    <cellStyle name="Normal 6 2 3 2 3 2" xfId="13293" xr:uid="{00000000-0005-0000-0000-0000D99E0000}"/>
    <cellStyle name="Normal 6 2 3 2 3 2 2" xfId="36778" xr:uid="{00000000-0005-0000-0000-0000DA9E0000}"/>
    <cellStyle name="Normal 6 2 3 2 3 2 3" xfId="27459" xr:uid="{00000000-0005-0000-0000-0000DB9E0000}"/>
    <cellStyle name="Normal 6 2 3 2 3 2 4" xfId="50721" xr:uid="{00000000-0005-0000-0000-0000DC9E0000}"/>
    <cellStyle name="Normal 6 2 3 2 3 3" xfId="18024" xr:uid="{00000000-0005-0000-0000-0000DD9E0000}"/>
    <cellStyle name="Normal 6 2 3 2 3 3 2" xfId="32156" xr:uid="{00000000-0005-0000-0000-0000DE9E0000}"/>
    <cellStyle name="Normal 6 2 3 2 3 3 3" xfId="46051" xr:uid="{00000000-0005-0000-0000-0000DF9E0000}"/>
    <cellStyle name="Normal 6 2 3 2 3 4" xfId="22837" xr:uid="{00000000-0005-0000-0000-0000E09E0000}"/>
    <cellStyle name="Normal 6 2 3 2 3 5" xfId="41469" xr:uid="{00000000-0005-0000-0000-0000E19E0000}"/>
    <cellStyle name="Normal 6 2 3 2 4" xfId="9688" xr:uid="{00000000-0005-0000-0000-0000E29E0000}"/>
    <cellStyle name="Normal 6 2 3 2 4 2" xfId="33179" xr:uid="{00000000-0005-0000-0000-0000E39E0000}"/>
    <cellStyle name="Normal 6 2 3 2 4 3" xfId="23864" xr:uid="{00000000-0005-0000-0000-0000E49E0000}"/>
    <cellStyle name="Normal 6 2 3 2 4 4" xfId="47122" xr:uid="{00000000-0005-0000-0000-0000E59E0000}"/>
    <cellStyle name="Normal 6 2 3 2 5" xfId="14449" xr:uid="{00000000-0005-0000-0000-0000E69E0000}"/>
    <cellStyle name="Normal 6 2 3 2 5 2" xfId="28580" xr:uid="{00000000-0005-0000-0000-0000E79E0000}"/>
    <cellStyle name="Normal 6 2 3 2 5 3" xfId="42460" xr:uid="{00000000-0005-0000-0000-0000E89E0000}"/>
    <cellStyle name="Normal 6 2 3 2 6" xfId="19260" xr:uid="{00000000-0005-0000-0000-0000E99E0000}"/>
    <cellStyle name="Normal 6 2 3 2 7" xfId="37895" xr:uid="{00000000-0005-0000-0000-0000EA9E0000}"/>
    <cellStyle name="Normal 6 2 3 20" xfId="7513" xr:uid="{00000000-0005-0000-0000-0000EB9E0000}"/>
    <cellStyle name="Normal 6 2 3 20 2" xfId="7514" xr:uid="{00000000-0005-0000-0000-0000EC9E0000}"/>
    <cellStyle name="Normal 6 2 3 20 2 2" xfId="13295" xr:uid="{00000000-0005-0000-0000-0000ED9E0000}"/>
    <cellStyle name="Normal 6 2 3 20 2 2 2" xfId="36780" xr:uid="{00000000-0005-0000-0000-0000EE9E0000}"/>
    <cellStyle name="Normal 6 2 3 20 2 2 3" xfId="27461" xr:uid="{00000000-0005-0000-0000-0000EF9E0000}"/>
    <cellStyle name="Normal 6 2 3 20 2 2 4" xfId="50723" xr:uid="{00000000-0005-0000-0000-0000F09E0000}"/>
    <cellStyle name="Normal 6 2 3 20 2 3" xfId="18026" xr:uid="{00000000-0005-0000-0000-0000F19E0000}"/>
    <cellStyle name="Normal 6 2 3 20 2 3 2" xfId="32158" xr:uid="{00000000-0005-0000-0000-0000F29E0000}"/>
    <cellStyle name="Normal 6 2 3 20 2 3 3" xfId="46053" xr:uid="{00000000-0005-0000-0000-0000F39E0000}"/>
    <cellStyle name="Normal 6 2 3 20 2 4" xfId="22839" xr:uid="{00000000-0005-0000-0000-0000F49E0000}"/>
    <cellStyle name="Normal 6 2 3 20 2 5" xfId="41471" xr:uid="{00000000-0005-0000-0000-0000F59E0000}"/>
    <cellStyle name="Normal 6 2 3 20 3" xfId="13294" xr:uid="{00000000-0005-0000-0000-0000F69E0000}"/>
    <cellStyle name="Normal 6 2 3 20 3 2" xfId="36779" xr:uid="{00000000-0005-0000-0000-0000F79E0000}"/>
    <cellStyle name="Normal 6 2 3 20 3 3" xfId="27460" xr:uid="{00000000-0005-0000-0000-0000F89E0000}"/>
    <cellStyle name="Normal 6 2 3 20 3 4" xfId="50722" xr:uid="{00000000-0005-0000-0000-0000F99E0000}"/>
    <cellStyle name="Normal 6 2 3 20 4" xfId="18025" xr:uid="{00000000-0005-0000-0000-0000FA9E0000}"/>
    <cellStyle name="Normal 6 2 3 20 4 2" xfId="32157" xr:uid="{00000000-0005-0000-0000-0000FB9E0000}"/>
    <cellStyle name="Normal 6 2 3 20 4 3" xfId="46052" xr:uid="{00000000-0005-0000-0000-0000FC9E0000}"/>
    <cellStyle name="Normal 6 2 3 20 5" xfId="22838" xr:uid="{00000000-0005-0000-0000-0000FD9E0000}"/>
    <cellStyle name="Normal 6 2 3 20 6" xfId="41470" xr:uid="{00000000-0005-0000-0000-0000FE9E0000}"/>
    <cellStyle name="Normal 6 2 3 21" xfId="7515" xr:uid="{00000000-0005-0000-0000-0000FF9E0000}"/>
    <cellStyle name="Normal 6 2 3 21 2" xfId="7516" xr:uid="{00000000-0005-0000-0000-0000009F0000}"/>
    <cellStyle name="Normal 6 2 3 21 2 2" xfId="13297" xr:uid="{00000000-0005-0000-0000-0000019F0000}"/>
    <cellStyle name="Normal 6 2 3 21 2 2 2" xfId="36782" xr:uid="{00000000-0005-0000-0000-0000029F0000}"/>
    <cellStyle name="Normal 6 2 3 21 2 2 3" xfId="27463" xr:uid="{00000000-0005-0000-0000-0000039F0000}"/>
    <cellStyle name="Normal 6 2 3 21 2 2 4" xfId="50725" xr:uid="{00000000-0005-0000-0000-0000049F0000}"/>
    <cellStyle name="Normal 6 2 3 21 2 3" xfId="18028" xr:uid="{00000000-0005-0000-0000-0000059F0000}"/>
    <cellStyle name="Normal 6 2 3 21 2 3 2" xfId="32160" xr:uid="{00000000-0005-0000-0000-0000069F0000}"/>
    <cellStyle name="Normal 6 2 3 21 2 3 3" xfId="46055" xr:uid="{00000000-0005-0000-0000-0000079F0000}"/>
    <cellStyle name="Normal 6 2 3 21 2 4" xfId="22841" xr:uid="{00000000-0005-0000-0000-0000089F0000}"/>
    <cellStyle name="Normal 6 2 3 21 2 5" xfId="41473" xr:uid="{00000000-0005-0000-0000-0000099F0000}"/>
    <cellStyle name="Normal 6 2 3 21 3" xfId="13296" xr:uid="{00000000-0005-0000-0000-00000A9F0000}"/>
    <cellStyle name="Normal 6 2 3 21 3 2" xfId="36781" xr:uid="{00000000-0005-0000-0000-00000B9F0000}"/>
    <cellStyle name="Normal 6 2 3 21 3 3" xfId="27462" xr:uid="{00000000-0005-0000-0000-00000C9F0000}"/>
    <cellStyle name="Normal 6 2 3 21 3 4" xfId="50724" xr:uid="{00000000-0005-0000-0000-00000D9F0000}"/>
    <cellStyle name="Normal 6 2 3 21 4" xfId="18027" xr:uid="{00000000-0005-0000-0000-00000E9F0000}"/>
    <cellStyle name="Normal 6 2 3 21 4 2" xfId="32159" xr:uid="{00000000-0005-0000-0000-00000F9F0000}"/>
    <cellStyle name="Normal 6 2 3 21 4 3" xfId="46054" xr:uid="{00000000-0005-0000-0000-0000109F0000}"/>
    <cellStyle name="Normal 6 2 3 21 5" xfId="22840" xr:uid="{00000000-0005-0000-0000-0000119F0000}"/>
    <cellStyle name="Normal 6 2 3 21 6" xfId="41472" xr:uid="{00000000-0005-0000-0000-0000129F0000}"/>
    <cellStyle name="Normal 6 2 3 22" xfId="7517" xr:uid="{00000000-0005-0000-0000-0000139F0000}"/>
    <cellStyle name="Normal 6 2 3 22 2" xfId="7518" xr:uid="{00000000-0005-0000-0000-0000149F0000}"/>
    <cellStyle name="Normal 6 2 3 22 2 2" xfId="13299" xr:uid="{00000000-0005-0000-0000-0000159F0000}"/>
    <cellStyle name="Normal 6 2 3 22 2 2 2" xfId="36784" xr:uid="{00000000-0005-0000-0000-0000169F0000}"/>
    <cellStyle name="Normal 6 2 3 22 2 2 3" xfId="27465" xr:uid="{00000000-0005-0000-0000-0000179F0000}"/>
    <cellStyle name="Normal 6 2 3 22 2 2 4" xfId="50727" xr:uid="{00000000-0005-0000-0000-0000189F0000}"/>
    <cellStyle name="Normal 6 2 3 22 2 3" xfId="18030" xr:uid="{00000000-0005-0000-0000-0000199F0000}"/>
    <cellStyle name="Normal 6 2 3 22 2 3 2" xfId="32162" xr:uid="{00000000-0005-0000-0000-00001A9F0000}"/>
    <cellStyle name="Normal 6 2 3 22 2 3 3" xfId="46057" xr:uid="{00000000-0005-0000-0000-00001B9F0000}"/>
    <cellStyle name="Normal 6 2 3 22 2 4" xfId="22843" xr:uid="{00000000-0005-0000-0000-00001C9F0000}"/>
    <cellStyle name="Normal 6 2 3 22 2 5" xfId="41475" xr:uid="{00000000-0005-0000-0000-00001D9F0000}"/>
    <cellStyle name="Normal 6 2 3 22 3" xfId="13298" xr:uid="{00000000-0005-0000-0000-00001E9F0000}"/>
    <cellStyle name="Normal 6 2 3 22 3 2" xfId="36783" xr:uid="{00000000-0005-0000-0000-00001F9F0000}"/>
    <cellStyle name="Normal 6 2 3 22 3 3" xfId="27464" xr:uid="{00000000-0005-0000-0000-0000209F0000}"/>
    <cellStyle name="Normal 6 2 3 22 3 4" xfId="50726" xr:uid="{00000000-0005-0000-0000-0000219F0000}"/>
    <cellStyle name="Normal 6 2 3 22 4" xfId="18029" xr:uid="{00000000-0005-0000-0000-0000229F0000}"/>
    <cellStyle name="Normal 6 2 3 22 4 2" xfId="32161" xr:uid="{00000000-0005-0000-0000-0000239F0000}"/>
    <cellStyle name="Normal 6 2 3 22 4 3" xfId="46056" xr:uid="{00000000-0005-0000-0000-0000249F0000}"/>
    <cellStyle name="Normal 6 2 3 22 5" xfId="22842" xr:uid="{00000000-0005-0000-0000-0000259F0000}"/>
    <cellStyle name="Normal 6 2 3 22 6" xfId="41474" xr:uid="{00000000-0005-0000-0000-0000269F0000}"/>
    <cellStyle name="Normal 6 2 3 23" xfId="7519" xr:uid="{00000000-0005-0000-0000-0000279F0000}"/>
    <cellStyle name="Normal 6 2 3 23 2" xfId="7520" xr:uid="{00000000-0005-0000-0000-0000289F0000}"/>
    <cellStyle name="Normal 6 2 3 23 2 2" xfId="13301" xr:uid="{00000000-0005-0000-0000-0000299F0000}"/>
    <cellStyle name="Normal 6 2 3 23 2 2 2" xfId="36786" xr:uid="{00000000-0005-0000-0000-00002A9F0000}"/>
    <cellStyle name="Normal 6 2 3 23 2 2 3" xfId="27467" xr:uid="{00000000-0005-0000-0000-00002B9F0000}"/>
    <cellStyle name="Normal 6 2 3 23 2 2 4" xfId="50729" xr:uid="{00000000-0005-0000-0000-00002C9F0000}"/>
    <cellStyle name="Normal 6 2 3 23 2 3" xfId="18032" xr:uid="{00000000-0005-0000-0000-00002D9F0000}"/>
    <cellStyle name="Normal 6 2 3 23 2 3 2" xfId="32164" xr:uid="{00000000-0005-0000-0000-00002E9F0000}"/>
    <cellStyle name="Normal 6 2 3 23 2 3 3" xfId="46059" xr:uid="{00000000-0005-0000-0000-00002F9F0000}"/>
    <cellStyle name="Normal 6 2 3 23 2 4" xfId="22845" xr:uid="{00000000-0005-0000-0000-0000309F0000}"/>
    <cellStyle name="Normal 6 2 3 23 2 5" xfId="41477" xr:uid="{00000000-0005-0000-0000-0000319F0000}"/>
    <cellStyle name="Normal 6 2 3 23 3" xfId="13300" xr:uid="{00000000-0005-0000-0000-0000329F0000}"/>
    <cellStyle name="Normal 6 2 3 23 3 2" xfId="36785" xr:uid="{00000000-0005-0000-0000-0000339F0000}"/>
    <cellStyle name="Normal 6 2 3 23 3 3" xfId="27466" xr:uid="{00000000-0005-0000-0000-0000349F0000}"/>
    <cellStyle name="Normal 6 2 3 23 3 4" xfId="50728" xr:uid="{00000000-0005-0000-0000-0000359F0000}"/>
    <cellStyle name="Normal 6 2 3 23 4" xfId="18031" xr:uid="{00000000-0005-0000-0000-0000369F0000}"/>
    <cellStyle name="Normal 6 2 3 23 4 2" xfId="32163" xr:uid="{00000000-0005-0000-0000-0000379F0000}"/>
    <cellStyle name="Normal 6 2 3 23 4 3" xfId="46058" xr:uid="{00000000-0005-0000-0000-0000389F0000}"/>
    <cellStyle name="Normal 6 2 3 23 5" xfId="22844" xr:uid="{00000000-0005-0000-0000-0000399F0000}"/>
    <cellStyle name="Normal 6 2 3 23 6" xfId="41476" xr:uid="{00000000-0005-0000-0000-00003A9F0000}"/>
    <cellStyle name="Normal 6 2 3 24" xfId="7521" xr:uid="{00000000-0005-0000-0000-00003B9F0000}"/>
    <cellStyle name="Normal 6 2 3 24 2" xfId="13302" xr:uid="{00000000-0005-0000-0000-00003C9F0000}"/>
    <cellStyle name="Normal 6 2 3 24 2 2" xfId="36787" xr:uid="{00000000-0005-0000-0000-00003D9F0000}"/>
    <cellStyle name="Normal 6 2 3 24 2 3" xfId="27468" xr:uid="{00000000-0005-0000-0000-00003E9F0000}"/>
    <cellStyle name="Normal 6 2 3 24 2 4" xfId="50730" xr:uid="{00000000-0005-0000-0000-00003F9F0000}"/>
    <cellStyle name="Normal 6 2 3 24 3" xfId="18033" xr:uid="{00000000-0005-0000-0000-0000409F0000}"/>
    <cellStyle name="Normal 6 2 3 24 3 2" xfId="32165" xr:uid="{00000000-0005-0000-0000-0000419F0000}"/>
    <cellStyle name="Normal 6 2 3 24 3 3" xfId="46060" xr:uid="{00000000-0005-0000-0000-0000429F0000}"/>
    <cellStyle name="Normal 6 2 3 24 4" xfId="22846" xr:uid="{00000000-0005-0000-0000-0000439F0000}"/>
    <cellStyle name="Normal 6 2 3 24 5" xfId="41478" xr:uid="{00000000-0005-0000-0000-0000449F0000}"/>
    <cellStyle name="Normal 6 2 3 25" xfId="429" xr:uid="{00000000-0005-0000-0000-0000459F0000}"/>
    <cellStyle name="Normal 6 2 3 25 2" xfId="9687" xr:uid="{00000000-0005-0000-0000-0000469F0000}"/>
    <cellStyle name="Normal 6 2 3 25 2 2" xfId="33178" xr:uid="{00000000-0005-0000-0000-0000479F0000}"/>
    <cellStyle name="Normal 6 2 3 25 2 3" xfId="23863" xr:uid="{00000000-0005-0000-0000-0000489F0000}"/>
    <cellStyle name="Normal 6 2 3 25 2 4" xfId="47121" xr:uid="{00000000-0005-0000-0000-0000499F0000}"/>
    <cellStyle name="Normal 6 2 3 25 3" xfId="14448" xr:uid="{00000000-0005-0000-0000-00004A9F0000}"/>
    <cellStyle name="Normal 6 2 3 25 3 2" xfId="28579" xr:uid="{00000000-0005-0000-0000-00004B9F0000}"/>
    <cellStyle name="Normal 6 2 3 25 3 3" xfId="42459" xr:uid="{00000000-0005-0000-0000-00004C9F0000}"/>
    <cellStyle name="Normal 6 2 3 25 4" xfId="19259" xr:uid="{00000000-0005-0000-0000-00004D9F0000}"/>
    <cellStyle name="Normal 6 2 3 25 5" xfId="37894" xr:uid="{00000000-0005-0000-0000-00004E9F0000}"/>
    <cellStyle name="Normal 6 2 3 26" xfId="9652" xr:uid="{00000000-0005-0000-0000-00004F9F0000}"/>
    <cellStyle name="Normal 6 2 3 26 2" xfId="33143" xr:uid="{00000000-0005-0000-0000-0000509F0000}"/>
    <cellStyle name="Normal 6 2 3 26 3" xfId="23830" xr:uid="{00000000-0005-0000-0000-0000519F0000}"/>
    <cellStyle name="Normal 6 2 3 26 4" xfId="47086" xr:uid="{00000000-0005-0000-0000-0000529F0000}"/>
    <cellStyle name="Normal 6 2 3 27" xfId="14414" xr:uid="{00000000-0005-0000-0000-0000539F0000}"/>
    <cellStyle name="Normal 6 2 3 27 2" xfId="28545" xr:uid="{00000000-0005-0000-0000-0000549F0000}"/>
    <cellStyle name="Normal 6 2 3 27 3" xfId="42424" xr:uid="{00000000-0005-0000-0000-0000559F0000}"/>
    <cellStyle name="Normal 6 2 3 28" xfId="19227" xr:uid="{00000000-0005-0000-0000-0000569F0000}"/>
    <cellStyle name="Normal 6 2 3 29" xfId="37862" xr:uid="{00000000-0005-0000-0000-0000579F0000}"/>
    <cellStyle name="Normal 6 2 3 3" xfId="7522" xr:uid="{00000000-0005-0000-0000-0000589F0000}"/>
    <cellStyle name="Normal 6 2 3 3 2" xfId="7523" xr:uid="{00000000-0005-0000-0000-0000599F0000}"/>
    <cellStyle name="Normal 6 2 3 3 2 2" xfId="13304" xr:uid="{00000000-0005-0000-0000-00005A9F0000}"/>
    <cellStyle name="Normal 6 2 3 3 2 2 2" xfId="36789" xr:uid="{00000000-0005-0000-0000-00005B9F0000}"/>
    <cellStyle name="Normal 6 2 3 3 2 2 3" xfId="27470" xr:uid="{00000000-0005-0000-0000-00005C9F0000}"/>
    <cellStyle name="Normal 6 2 3 3 2 2 4" xfId="50732" xr:uid="{00000000-0005-0000-0000-00005D9F0000}"/>
    <cellStyle name="Normal 6 2 3 3 2 3" xfId="18035" xr:uid="{00000000-0005-0000-0000-00005E9F0000}"/>
    <cellStyle name="Normal 6 2 3 3 2 3 2" xfId="32167" xr:uid="{00000000-0005-0000-0000-00005F9F0000}"/>
    <cellStyle name="Normal 6 2 3 3 2 3 3" xfId="46062" xr:uid="{00000000-0005-0000-0000-0000609F0000}"/>
    <cellStyle name="Normal 6 2 3 3 2 4" xfId="22848" xr:uid="{00000000-0005-0000-0000-0000619F0000}"/>
    <cellStyle name="Normal 6 2 3 3 2 5" xfId="41480" xr:uid="{00000000-0005-0000-0000-0000629F0000}"/>
    <cellStyle name="Normal 6 2 3 3 3" xfId="13303" xr:uid="{00000000-0005-0000-0000-0000639F0000}"/>
    <cellStyle name="Normal 6 2 3 3 3 2" xfId="36788" xr:uid="{00000000-0005-0000-0000-0000649F0000}"/>
    <cellStyle name="Normal 6 2 3 3 3 3" xfId="27469" xr:uid="{00000000-0005-0000-0000-0000659F0000}"/>
    <cellStyle name="Normal 6 2 3 3 3 4" xfId="50731" xr:uid="{00000000-0005-0000-0000-0000669F0000}"/>
    <cellStyle name="Normal 6 2 3 3 4" xfId="18034" xr:uid="{00000000-0005-0000-0000-0000679F0000}"/>
    <cellStyle name="Normal 6 2 3 3 4 2" xfId="32166" xr:uid="{00000000-0005-0000-0000-0000689F0000}"/>
    <cellStyle name="Normal 6 2 3 3 4 3" xfId="46061" xr:uid="{00000000-0005-0000-0000-0000699F0000}"/>
    <cellStyle name="Normal 6 2 3 3 5" xfId="22847" xr:uid="{00000000-0005-0000-0000-00006A9F0000}"/>
    <cellStyle name="Normal 6 2 3 3 6" xfId="41479" xr:uid="{00000000-0005-0000-0000-00006B9F0000}"/>
    <cellStyle name="Normal 6 2 3 4" xfId="7524" xr:uid="{00000000-0005-0000-0000-00006C9F0000}"/>
    <cellStyle name="Normal 6 2 3 4 2" xfId="7525" xr:uid="{00000000-0005-0000-0000-00006D9F0000}"/>
    <cellStyle name="Normal 6 2 3 4 2 2" xfId="13306" xr:uid="{00000000-0005-0000-0000-00006E9F0000}"/>
    <cellStyle name="Normal 6 2 3 4 2 2 2" xfId="36791" xr:uid="{00000000-0005-0000-0000-00006F9F0000}"/>
    <cellStyle name="Normal 6 2 3 4 2 2 3" xfId="27472" xr:uid="{00000000-0005-0000-0000-0000709F0000}"/>
    <cellStyle name="Normal 6 2 3 4 2 2 4" xfId="50734" xr:uid="{00000000-0005-0000-0000-0000719F0000}"/>
    <cellStyle name="Normal 6 2 3 4 2 3" xfId="18037" xr:uid="{00000000-0005-0000-0000-0000729F0000}"/>
    <cellStyle name="Normal 6 2 3 4 2 3 2" xfId="32169" xr:uid="{00000000-0005-0000-0000-0000739F0000}"/>
    <cellStyle name="Normal 6 2 3 4 2 3 3" xfId="46064" xr:uid="{00000000-0005-0000-0000-0000749F0000}"/>
    <cellStyle name="Normal 6 2 3 4 2 4" xfId="22850" xr:uid="{00000000-0005-0000-0000-0000759F0000}"/>
    <cellStyle name="Normal 6 2 3 4 2 5" xfId="41482" xr:uid="{00000000-0005-0000-0000-0000769F0000}"/>
    <cellStyle name="Normal 6 2 3 4 3" xfId="13305" xr:uid="{00000000-0005-0000-0000-0000779F0000}"/>
    <cellStyle name="Normal 6 2 3 4 3 2" xfId="36790" xr:uid="{00000000-0005-0000-0000-0000789F0000}"/>
    <cellStyle name="Normal 6 2 3 4 3 3" xfId="27471" xr:uid="{00000000-0005-0000-0000-0000799F0000}"/>
    <cellStyle name="Normal 6 2 3 4 3 4" xfId="50733" xr:uid="{00000000-0005-0000-0000-00007A9F0000}"/>
    <cellStyle name="Normal 6 2 3 4 4" xfId="18036" xr:uid="{00000000-0005-0000-0000-00007B9F0000}"/>
    <cellStyle name="Normal 6 2 3 4 4 2" xfId="32168" xr:uid="{00000000-0005-0000-0000-00007C9F0000}"/>
    <cellStyle name="Normal 6 2 3 4 4 3" xfId="46063" xr:uid="{00000000-0005-0000-0000-00007D9F0000}"/>
    <cellStyle name="Normal 6 2 3 4 5" xfId="22849" xr:uid="{00000000-0005-0000-0000-00007E9F0000}"/>
    <cellStyle name="Normal 6 2 3 4 6" xfId="41481" xr:uid="{00000000-0005-0000-0000-00007F9F0000}"/>
    <cellStyle name="Normal 6 2 3 5" xfId="7526" xr:uid="{00000000-0005-0000-0000-0000809F0000}"/>
    <cellStyle name="Normal 6 2 3 5 2" xfId="7527" xr:uid="{00000000-0005-0000-0000-0000819F0000}"/>
    <cellStyle name="Normal 6 2 3 5 2 2" xfId="13308" xr:uid="{00000000-0005-0000-0000-0000829F0000}"/>
    <cellStyle name="Normal 6 2 3 5 2 2 2" xfId="36793" xr:uid="{00000000-0005-0000-0000-0000839F0000}"/>
    <cellStyle name="Normal 6 2 3 5 2 2 3" xfId="27474" xr:uid="{00000000-0005-0000-0000-0000849F0000}"/>
    <cellStyle name="Normal 6 2 3 5 2 2 4" xfId="50736" xr:uid="{00000000-0005-0000-0000-0000859F0000}"/>
    <cellStyle name="Normal 6 2 3 5 2 3" xfId="18039" xr:uid="{00000000-0005-0000-0000-0000869F0000}"/>
    <cellStyle name="Normal 6 2 3 5 2 3 2" xfId="32171" xr:uid="{00000000-0005-0000-0000-0000879F0000}"/>
    <cellStyle name="Normal 6 2 3 5 2 3 3" xfId="46066" xr:uid="{00000000-0005-0000-0000-0000889F0000}"/>
    <cellStyle name="Normal 6 2 3 5 2 4" xfId="22852" xr:uid="{00000000-0005-0000-0000-0000899F0000}"/>
    <cellStyle name="Normal 6 2 3 5 2 5" xfId="41484" xr:uid="{00000000-0005-0000-0000-00008A9F0000}"/>
    <cellStyle name="Normal 6 2 3 5 3" xfId="13307" xr:uid="{00000000-0005-0000-0000-00008B9F0000}"/>
    <cellStyle name="Normal 6 2 3 5 3 2" xfId="36792" xr:uid="{00000000-0005-0000-0000-00008C9F0000}"/>
    <cellStyle name="Normal 6 2 3 5 3 3" xfId="27473" xr:uid="{00000000-0005-0000-0000-00008D9F0000}"/>
    <cellStyle name="Normal 6 2 3 5 3 4" xfId="50735" xr:uid="{00000000-0005-0000-0000-00008E9F0000}"/>
    <cellStyle name="Normal 6 2 3 5 4" xfId="18038" xr:uid="{00000000-0005-0000-0000-00008F9F0000}"/>
    <cellStyle name="Normal 6 2 3 5 4 2" xfId="32170" xr:uid="{00000000-0005-0000-0000-0000909F0000}"/>
    <cellStyle name="Normal 6 2 3 5 4 3" xfId="46065" xr:uid="{00000000-0005-0000-0000-0000919F0000}"/>
    <cellStyle name="Normal 6 2 3 5 5" xfId="22851" xr:uid="{00000000-0005-0000-0000-0000929F0000}"/>
    <cellStyle name="Normal 6 2 3 5 6" xfId="41483" xr:uid="{00000000-0005-0000-0000-0000939F0000}"/>
    <cellStyle name="Normal 6 2 3 6" xfId="7528" xr:uid="{00000000-0005-0000-0000-0000949F0000}"/>
    <cellStyle name="Normal 6 2 3 6 2" xfId="7529" xr:uid="{00000000-0005-0000-0000-0000959F0000}"/>
    <cellStyle name="Normal 6 2 3 6 2 2" xfId="13310" xr:uid="{00000000-0005-0000-0000-0000969F0000}"/>
    <cellStyle name="Normal 6 2 3 6 2 2 2" xfId="36795" xr:uid="{00000000-0005-0000-0000-0000979F0000}"/>
    <cellStyle name="Normal 6 2 3 6 2 2 3" xfId="27476" xr:uid="{00000000-0005-0000-0000-0000989F0000}"/>
    <cellStyle name="Normal 6 2 3 6 2 2 4" xfId="50738" xr:uid="{00000000-0005-0000-0000-0000999F0000}"/>
    <cellStyle name="Normal 6 2 3 6 2 3" xfId="18041" xr:uid="{00000000-0005-0000-0000-00009A9F0000}"/>
    <cellStyle name="Normal 6 2 3 6 2 3 2" xfId="32173" xr:uid="{00000000-0005-0000-0000-00009B9F0000}"/>
    <cellStyle name="Normal 6 2 3 6 2 3 3" xfId="46068" xr:uid="{00000000-0005-0000-0000-00009C9F0000}"/>
    <cellStyle name="Normal 6 2 3 6 2 4" xfId="22854" xr:uid="{00000000-0005-0000-0000-00009D9F0000}"/>
    <cellStyle name="Normal 6 2 3 6 2 5" xfId="41486" xr:uid="{00000000-0005-0000-0000-00009E9F0000}"/>
    <cellStyle name="Normal 6 2 3 6 3" xfId="13309" xr:uid="{00000000-0005-0000-0000-00009F9F0000}"/>
    <cellStyle name="Normal 6 2 3 6 3 2" xfId="36794" xr:uid="{00000000-0005-0000-0000-0000A09F0000}"/>
    <cellStyle name="Normal 6 2 3 6 3 3" xfId="27475" xr:uid="{00000000-0005-0000-0000-0000A19F0000}"/>
    <cellStyle name="Normal 6 2 3 6 3 4" xfId="50737" xr:uid="{00000000-0005-0000-0000-0000A29F0000}"/>
    <cellStyle name="Normal 6 2 3 6 4" xfId="18040" xr:uid="{00000000-0005-0000-0000-0000A39F0000}"/>
    <cellStyle name="Normal 6 2 3 6 4 2" xfId="32172" xr:uid="{00000000-0005-0000-0000-0000A49F0000}"/>
    <cellStyle name="Normal 6 2 3 6 4 3" xfId="46067" xr:uid="{00000000-0005-0000-0000-0000A59F0000}"/>
    <cellStyle name="Normal 6 2 3 6 5" xfId="22853" xr:uid="{00000000-0005-0000-0000-0000A69F0000}"/>
    <cellStyle name="Normal 6 2 3 6 6" xfId="41485" xr:uid="{00000000-0005-0000-0000-0000A79F0000}"/>
    <cellStyle name="Normal 6 2 3 7" xfId="7530" xr:uid="{00000000-0005-0000-0000-0000A89F0000}"/>
    <cellStyle name="Normal 6 2 3 7 2" xfId="7531" xr:uid="{00000000-0005-0000-0000-0000A99F0000}"/>
    <cellStyle name="Normal 6 2 3 7 2 2" xfId="13312" xr:uid="{00000000-0005-0000-0000-0000AA9F0000}"/>
    <cellStyle name="Normal 6 2 3 7 2 2 2" xfId="36797" xr:uid="{00000000-0005-0000-0000-0000AB9F0000}"/>
    <cellStyle name="Normal 6 2 3 7 2 2 3" xfId="27478" xr:uid="{00000000-0005-0000-0000-0000AC9F0000}"/>
    <cellStyle name="Normal 6 2 3 7 2 2 4" xfId="50740" xr:uid="{00000000-0005-0000-0000-0000AD9F0000}"/>
    <cellStyle name="Normal 6 2 3 7 2 3" xfId="18043" xr:uid="{00000000-0005-0000-0000-0000AE9F0000}"/>
    <cellStyle name="Normal 6 2 3 7 2 3 2" xfId="32175" xr:uid="{00000000-0005-0000-0000-0000AF9F0000}"/>
    <cellStyle name="Normal 6 2 3 7 2 3 3" xfId="46070" xr:uid="{00000000-0005-0000-0000-0000B09F0000}"/>
    <cellStyle name="Normal 6 2 3 7 2 4" xfId="22856" xr:uid="{00000000-0005-0000-0000-0000B19F0000}"/>
    <cellStyle name="Normal 6 2 3 7 2 5" xfId="41488" xr:uid="{00000000-0005-0000-0000-0000B29F0000}"/>
    <cellStyle name="Normal 6 2 3 7 3" xfId="13311" xr:uid="{00000000-0005-0000-0000-0000B39F0000}"/>
    <cellStyle name="Normal 6 2 3 7 3 2" xfId="36796" xr:uid="{00000000-0005-0000-0000-0000B49F0000}"/>
    <cellStyle name="Normal 6 2 3 7 3 3" xfId="27477" xr:uid="{00000000-0005-0000-0000-0000B59F0000}"/>
    <cellStyle name="Normal 6 2 3 7 3 4" xfId="50739" xr:uid="{00000000-0005-0000-0000-0000B69F0000}"/>
    <cellStyle name="Normal 6 2 3 7 4" xfId="18042" xr:uid="{00000000-0005-0000-0000-0000B79F0000}"/>
    <cellStyle name="Normal 6 2 3 7 4 2" xfId="32174" xr:uid="{00000000-0005-0000-0000-0000B89F0000}"/>
    <cellStyle name="Normal 6 2 3 7 4 3" xfId="46069" xr:uid="{00000000-0005-0000-0000-0000B99F0000}"/>
    <cellStyle name="Normal 6 2 3 7 5" xfId="22855" xr:uid="{00000000-0005-0000-0000-0000BA9F0000}"/>
    <cellStyle name="Normal 6 2 3 7 6" xfId="41487" xr:uid="{00000000-0005-0000-0000-0000BB9F0000}"/>
    <cellStyle name="Normal 6 2 3 8" xfId="7532" xr:uid="{00000000-0005-0000-0000-0000BC9F0000}"/>
    <cellStyle name="Normal 6 2 3 8 2" xfId="7533" xr:uid="{00000000-0005-0000-0000-0000BD9F0000}"/>
    <cellStyle name="Normal 6 2 3 8 2 2" xfId="13314" xr:uid="{00000000-0005-0000-0000-0000BE9F0000}"/>
    <cellStyle name="Normal 6 2 3 8 2 2 2" xfId="36799" xr:uid="{00000000-0005-0000-0000-0000BF9F0000}"/>
    <cellStyle name="Normal 6 2 3 8 2 2 3" xfId="27480" xr:uid="{00000000-0005-0000-0000-0000C09F0000}"/>
    <cellStyle name="Normal 6 2 3 8 2 2 4" xfId="50742" xr:uid="{00000000-0005-0000-0000-0000C19F0000}"/>
    <cellStyle name="Normal 6 2 3 8 2 3" xfId="18045" xr:uid="{00000000-0005-0000-0000-0000C29F0000}"/>
    <cellStyle name="Normal 6 2 3 8 2 3 2" xfId="32177" xr:uid="{00000000-0005-0000-0000-0000C39F0000}"/>
    <cellStyle name="Normal 6 2 3 8 2 3 3" xfId="46072" xr:uid="{00000000-0005-0000-0000-0000C49F0000}"/>
    <cellStyle name="Normal 6 2 3 8 2 4" xfId="22858" xr:uid="{00000000-0005-0000-0000-0000C59F0000}"/>
    <cellStyle name="Normal 6 2 3 8 2 5" xfId="41490" xr:uid="{00000000-0005-0000-0000-0000C69F0000}"/>
    <cellStyle name="Normal 6 2 3 8 3" xfId="13313" xr:uid="{00000000-0005-0000-0000-0000C79F0000}"/>
    <cellStyle name="Normal 6 2 3 8 3 2" xfId="36798" xr:uid="{00000000-0005-0000-0000-0000C89F0000}"/>
    <cellStyle name="Normal 6 2 3 8 3 3" xfId="27479" xr:uid="{00000000-0005-0000-0000-0000C99F0000}"/>
    <cellStyle name="Normal 6 2 3 8 3 4" xfId="50741" xr:uid="{00000000-0005-0000-0000-0000CA9F0000}"/>
    <cellStyle name="Normal 6 2 3 8 4" xfId="18044" xr:uid="{00000000-0005-0000-0000-0000CB9F0000}"/>
    <cellStyle name="Normal 6 2 3 8 4 2" xfId="32176" xr:uid="{00000000-0005-0000-0000-0000CC9F0000}"/>
    <cellStyle name="Normal 6 2 3 8 4 3" xfId="46071" xr:uid="{00000000-0005-0000-0000-0000CD9F0000}"/>
    <cellStyle name="Normal 6 2 3 8 5" xfId="22857" xr:uid="{00000000-0005-0000-0000-0000CE9F0000}"/>
    <cellStyle name="Normal 6 2 3 8 6" xfId="41489" xr:uid="{00000000-0005-0000-0000-0000CF9F0000}"/>
    <cellStyle name="Normal 6 2 3 9" xfId="7534" xr:uid="{00000000-0005-0000-0000-0000D09F0000}"/>
    <cellStyle name="Normal 6 2 3 9 2" xfId="7535" xr:uid="{00000000-0005-0000-0000-0000D19F0000}"/>
    <cellStyle name="Normal 6 2 3 9 2 2" xfId="13316" xr:uid="{00000000-0005-0000-0000-0000D29F0000}"/>
    <cellStyle name="Normal 6 2 3 9 2 2 2" xfId="36801" xr:uid="{00000000-0005-0000-0000-0000D39F0000}"/>
    <cellStyle name="Normal 6 2 3 9 2 2 3" xfId="27482" xr:uid="{00000000-0005-0000-0000-0000D49F0000}"/>
    <cellStyle name="Normal 6 2 3 9 2 2 4" xfId="50744" xr:uid="{00000000-0005-0000-0000-0000D59F0000}"/>
    <cellStyle name="Normal 6 2 3 9 2 3" xfId="18047" xr:uid="{00000000-0005-0000-0000-0000D69F0000}"/>
    <cellStyle name="Normal 6 2 3 9 2 3 2" xfId="32179" xr:uid="{00000000-0005-0000-0000-0000D79F0000}"/>
    <cellStyle name="Normal 6 2 3 9 2 3 3" xfId="46074" xr:uid="{00000000-0005-0000-0000-0000D89F0000}"/>
    <cellStyle name="Normal 6 2 3 9 2 4" xfId="22860" xr:uid="{00000000-0005-0000-0000-0000D99F0000}"/>
    <cellStyle name="Normal 6 2 3 9 2 5" xfId="41492" xr:uid="{00000000-0005-0000-0000-0000DA9F0000}"/>
    <cellStyle name="Normal 6 2 3 9 3" xfId="13315" xr:uid="{00000000-0005-0000-0000-0000DB9F0000}"/>
    <cellStyle name="Normal 6 2 3 9 3 2" xfId="36800" xr:uid="{00000000-0005-0000-0000-0000DC9F0000}"/>
    <cellStyle name="Normal 6 2 3 9 3 3" xfId="27481" xr:uid="{00000000-0005-0000-0000-0000DD9F0000}"/>
    <cellStyle name="Normal 6 2 3 9 3 4" xfId="50743" xr:uid="{00000000-0005-0000-0000-0000DE9F0000}"/>
    <cellStyle name="Normal 6 2 3 9 4" xfId="18046" xr:uid="{00000000-0005-0000-0000-0000DF9F0000}"/>
    <cellStyle name="Normal 6 2 3 9 4 2" xfId="32178" xr:uid="{00000000-0005-0000-0000-0000E09F0000}"/>
    <cellStyle name="Normal 6 2 3 9 4 3" xfId="46073" xr:uid="{00000000-0005-0000-0000-0000E19F0000}"/>
    <cellStyle name="Normal 6 2 3 9 5" xfId="22859" xr:uid="{00000000-0005-0000-0000-0000E29F0000}"/>
    <cellStyle name="Normal 6 2 3 9 6" xfId="41491" xr:uid="{00000000-0005-0000-0000-0000E39F0000}"/>
    <cellStyle name="Normal 6 2 30" xfId="7536" xr:uid="{00000000-0005-0000-0000-0000E49F0000}"/>
    <cellStyle name="Normal 6 2 30 2" xfId="7537" xr:uid="{00000000-0005-0000-0000-0000E59F0000}"/>
    <cellStyle name="Normal 6 2 30 2 2" xfId="13318" xr:uid="{00000000-0005-0000-0000-0000E69F0000}"/>
    <cellStyle name="Normal 6 2 30 2 2 2" xfId="36803" xr:uid="{00000000-0005-0000-0000-0000E79F0000}"/>
    <cellStyle name="Normal 6 2 30 2 2 3" xfId="27484" xr:uid="{00000000-0005-0000-0000-0000E89F0000}"/>
    <cellStyle name="Normal 6 2 30 2 2 4" xfId="50746" xr:uid="{00000000-0005-0000-0000-0000E99F0000}"/>
    <cellStyle name="Normal 6 2 30 2 3" xfId="18049" xr:uid="{00000000-0005-0000-0000-0000EA9F0000}"/>
    <cellStyle name="Normal 6 2 30 2 3 2" xfId="32181" xr:uid="{00000000-0005-0000-0000-0000EB9F0000}"/>
    <cellStyle name="Normal 6 2 30 2 3 3" xfId="46076" xr:uid="{00000000-0005-0000-0000-0000EC9F0000}"/>
    <cellStyle name="Normal 6 2 30 2 4" xfId="22862" xr:uid="{00000000-0005-0000-0000-0000ED9F0000}"/>
    <cellStyle name="Normal 6 2 30 2 5" xfId="41494" xr:uid="{00000000-0005-0000-0000-0000EE9F0000}"/>
    <cellStyle name="Normal 6 2 30 3" xfId="13317" xr:uid="{00000000-0005-0000-0000-0000EF9F0000}"/>
    <cellStyle name="Normal 6 2 30 3 2" xfId="36802" xr:uid="{00000000-0005-0000-0000-0000F09F0000}"/>
    <cellStyle name="Normal 6 2 30 3 3" xfId="27483" xr:uid="{00000000-0005-0000-0000-0000F19F0000}"/>
    <cellStyle name="Normal 6 2 30 3 4" xfId="50745" xr:uid="{00000000-0005-0000-0000-0000F29F0000}"/>
    <cellStyle name="Normal 6 2 30 4" xfId="18048" xr:uid="{00000000-0005-0000-0000-0000F39F0000}"/>
    <cellStyle name="Normal 6 2 30 4 2" xfId="32180" xr:uid="{00000000-0005-0000-0000-0000F49F0000}"/>
    <cellStyle name="Normal 6 2 30 4 3" xfId="46075" xr:uid="{00000000-0005-0000-0000-0000F59F0000}"/>
    <cellStyle name="Normal 6 2 30 5" xfId="22861" xr:uid="{00000000-0005-0000-0000-0000F69F0000}"/>
    <cellStyle name="Normal 6 2 30 6" xfId="41493" xr:uid="{00000000-0005-0000-0000-0000F79F0000}"/>
    <cellStyle name="Normal 6 2 31" xfId="7538" xr:uid="{00000000-0005-0000-0000-0000F89F0000}"/>
    <cellStyle name="Normal 6 2 31 2" xfId="7539" xr:uid="{00000000-0005-0000-0000-0000F99F0000}"/>
    <cellStyle name="Normal 6 2 31 2 2" xfId="13320" xr:uid="{00000000-0005-0000-0000-0000FA9F0000}"/>
    <cellStyle name="Normal 6 2 31 2 2 2" xfId="36805" xr:uid="{00000000-0005-0000-0000-0000FB9F0000}"/>
    <cellStyle name="Normal 6 2 31 2 2 3" xfId="27486" xr:uid="{00000000-0005-0000-0000-0000FC9F0000}"/>
    <cellStyle name="Normal 6 2 31 2 2 4" xfId="50748" xr:uid="{00000000-0005-0000-0000-0000FD9F0000}"/>
    <cellStyle name="Normal 6 2 31 2 3" xfId="18051" xr:uid="{00000000-0005-0000-0000-0000FE9F0000}"/>
    <cellStyle name="Normal 6 2 31 2 3 2" xfId="32183" xr:uid="{00000000-0005-0000-0000-0000FF9F0000}"/>
    <cellStyle name="Normal 6 2 31 2 3 3" xfId="46078" xr:uid="{00000000-0005-0000-0000-000000A00000}"/>
    <cellStyle name="Normal 6 2 31 2 4" xfId="22864" xr:uid="{00000000-0005-0000-0000-000001A00000}"/>
    <cellStyle name="Normal 6 2 31 2 5" xfId="41496" xr:uid="{00000000-0005-0000-0000-000002A00000}"/>
    <cellStyle name="Normal 6 2 31 3" xfId="13319" xr:uid="{00000000-0005-0000-0000-000003A00000}"/>
    <cellStyle name="Normal 6 2 31 3 2" xfId="36804" xr:uid="{00000000-0005-0000-0000-000004A00000}"/>
    <cellStyle name="Normal 6 2 31 3 3" xfId="27485" xr:uid="{00000000-0005-0000-0000-000005A00000}"/>
    <cellStyle name="Normal 6 2 31 3 4" xfId="50747" xr:uid="{00000000-0005-0000-0000-000006A00000}"/>
    <cellStyle name="Normal 6 2 31 4" xfId="18050" xr:uid="{00000000-0005-0000-0000-000007A00000}"/>
    <cellStyle name="Normal 6 2 31 4 2" xfId="32182" xr:uid="{00000000-0005-0000-0000-000008A00000}"/>
    <cellStyle name="Normal 6 2 31 4 3" xfId="46077" xr:uid="{00000000-0005-0000-0000-000009A00000}"/>
    <cellStyle name="Normal 6 2 31 5" xfId="22863" xr:uid="{00000000-0005-0000-0000-00000AA00000}"/>
    <cellStyle name="Normal 6 2 31 6" xfId="41495" xr:uid="{00000000-0005-0000-0000-00000BA00000}"/>
    <cellStyle name="Normal 6 2 32" xfId="7540" xr:uid="{00000000-0005-0000-0000-00000CA00000}"/>
    <cellStyle name="Normal 6 2 32 2" xfId="7541" xr:uid="{00000000-0005-0000-0000-00000DA00000}"/>
    <cellStyle name="Normal 6 2 32 2 2" xfId="13322" xr:uid="{00000000-0005-0000-0000-00000EA00000}"/>
    <cellStyle name="Normal 6 2 32 2 2 2" xfId="36807" xr:uid="{00000000-0005-0000-0000-00000FA00000}"/>
    <cellStyle name="Normal 6 2 32 2 2 3" xfId="27488" xr:uid="{00000000-0005-0000-0000-000010A00000}"/>
    <cellStyle name="Normal 6 2 32 2 2 4" xfId="50750" xr:uid="{00000000-0005-0000-0000-000011A00000}"/>
    <cellStyle name="Normal 6 2 32 2 3" xfId="18053" xr:uid="{00000000-0005-0000-0000-000012A00000}"/>
    <cellStyle name="Normal 6 2 32 2 3 2" xfId="32185" xr:uid="{00000000-0005-0000-0000-000013A00000}"/>
    <cellStyle name="Normal 6 2 32 2 3 3" xfId="46080" xr:uid="{00000000-0005-0000-0000-000014A00000}"/>
    <cellStyle name="Normal 6 2 32 2 4" xfId="22866" xr:uid="{00000000-0005-0000-0000-000015A00000}"/>
    <cellStyle name="Normal 6 2 32 2 5" xfId="41498" xr:uid="{00000000-0005-0000-0000-000016A00000}"/>
    <cellStyle name="Normal 6 2 32 3" xfId="13321" xr:uid="{00000000-0005-0000-0000-000017A00000}"/>
    <cellStyle name="Normal 6 2 32 3 2" xfId="36806" xr:uid="{00000000-0005-0000-0000-000018A00000}"/>
    <cellStyle name="Normal 6 2 32 3 3" xfId="27487" xr:uid="{00000000-0005-0000-0000-000019A00000}"/>
    <cellStyle name="Normal 6 2 32 3 4" xfId="50749" xr:uid="{00000000-0005-0000-0000-00001AA00000}"/>
    <cellStyle name="Normal 6 2 32 4" xfId="18052" xr:uid="{00000000-0005-0000-0000-00001BA00000}"/>
    <cellStyle name="Normal 6 2 32 4 2" xfId="32184" xr:uid="{00000000-0005-0000-0000-00001CA00000}"/>
    <cellStyle name="Normal 6 2 32 4 3" xfId="46079" xr:uid="{00000000-0005-0000-0000-00001DA00000}"/>
    <cellStyle name="Normal 6 2 32 5" xfId="22865" xr:uid="{00000000-0005-0000-0000-00001EA00000}"/>
    <cellStyle name="Normal 6 2 32 6" xfId="41497" xr:uid="{00000000-0005-0000-0000-00001FA00000}"/>
    <cellStyle name="Normal 6 2 33" xfId="7542" xr:uid="{00000000-0005-0000-0000-000020A00000}"/>
    <cellStyle name="Normal 6 2 33 2" xfId="7543" xr:uid="{00000000-0005-0000-0000-000021A00000}"/>
    <cellStyle name="Normal 6 2 33 2 2" xfId="13324" xr:uid="{00000000-0005-0000-0000-000022A00000}"/>
    <cellStyle name="Normal 6 2 33 2 2 2" xfId="36809" xr:uid="{00000000-0005-0000-0000-000023A00000}"/>
    <cellStyle name="Normal 6 2 33 2 2 3" xfId="27490" xr:uid="{00000000-0005-0000-0000-000024A00000}"/>
    <cellStyle name="Normal 6 2 33 2 2 4" xfId="50752" xr:uid="{00000000-0005-0000-0000-000025A00000}"/>
    <cellStyle name="Normal 6 2 33 2 3" xfId="18055" xr:uid="{00000000-0005-0000-0000-000026A00000}"/>
    <cellStyle name="Normal 6 2 33 2 3 2" xfId="32187" xr:uid="{00000000-0005-0000-0000-000027A00000}"/>
    <cellStyle name="Normal 6 2 33 2 3 3" xfId="46082" xr:uid="{00000000-0005-0000-0000-000028A00000}"/>
    <cellStyle name="Normal 6 2 33 2 4" xfId="22868" xr:uid="{00000000-0005-0000-0000-000029A00000}"/>
    <cellStyle name="Normal 6 2 33 2 5" xfId="41500" xr:uid="{00000000-0005-0000-0000-00002AA00000}"/>
    <cellStyle name="Normal 6 2 33 3" xfId="13323" xr:uid="{00000000-0005-0000-0000-00002BA00000}"/>
    <cellStyle name="Normal 6 2 33 3 2" xfId="36808" xr:uid="{00000000-0005-0000-0000-00002CA00000}"/>
    <cellStyle name="Normal 6 2 33 3 3" xfId="27489" xr:uid="{00000000-0005-0000-0000-00002DA00000}"/>
    <cellStyle name="Normal 6 2 33 3 4" xfId="50751" xr:uid="{00000000-0005-0000-0000-00002EA00000}"/>
    <cellStyle name="Normal 6 2 33 4" xfId="18054" xr:uid="{00000000-0005-0000-0000-00002FA00000}"/>
    <cellStyle name="Normal 6 2 33 4 2" xfId="32186" xr:uid="{00000000-0005-0000-0000-000030A00000}"/>
    <cellStyle name="Normal 6 2 33 4 3" xfId="46081" xr:uid="{00000000-0005-0000-0000-000031A00000}"/>
    <cellStyle name="Normal 6 2 33 5" xfId="22867" xr:uid="{00000000-0005-0000-0000-000032A00000}"/>
    <cellStyle name="Normal 6 2 33 6" xfId="41499" xr:uid="{00000000-0005-0000-0000-000033A00000}"/>
    <cellStyle name="Normal 6 2 34" xfId="7544" xr:uid="{00000000-0005-0000-0000-000034A00000}"/>
    <cellStyle name="Normal 6 2 34 2" xfId="7545" xr:uid="{00000000-0005-0000-0000-000035A00000}"/>
    <cellStyle name="Normal 6 2 34 2 2" xfId="13326" xr:uid="{00000000-0005-0000-0000-000036A00000}"/>
    <cellStyle name="Normal 6 2 34 2 2 2" xfId="36811" xr:uid="{00000000-0005-0000-0000-000037A00000}"/>
    <cellStyle name="Normal 6 2 34 2 2 3" xfId="27492" xr:uid="{00000000-0005-0000-0000-000038A00000}"/>
    <cellStyle name="Normal 6 2 34 2 2 4" xfId="50754" xr:uid="{00000000-0005-0000-0000-000039A00000}"/>
    <cellStyle name="Normal 6 2 34 2 3" xfId="18057" xr:uid="{00000000-0005-0000-0000-00003AA00000}"/>
    <cellStyle name="Normal 6 2 34 2 3 2" xfId="32189" xr:uid="{00000000-0005-0000-0000-00003BA00000}"/>
    <cellStyle name="Normal 6 2 34 2 3 3" xfId="46084" xr:uid="{00000000-0005-0000-0000-00003CA00000}"/>
    <cellStyle name="Normal 6 2 34 2 4" xfId="22870" xr:uid="{00000000-0005-0000-0000-00003DA00000}"/>
    <cellStyle name="Normal 6 2 34 2 5" xfId="41502" xr:uid="{00000000-0005-0000-0000-00003EA00000}"/>
    <cellStyle name="Normal 6 2 34 3" xfId="13325" xr:uid="{00000000-0005-0000-0000-00003FA00000}"/>
    <cellStyle name="Normal 6 2 34 3 2" xfId="36810" xr:uid="{00000000-0005-0000-0000-000040A00000}"/>
    <cellStyle name="Normal 6 2 34 3 3" xfId="27491" xr:uid="{00000000-0005-0000-0000-000041A00000}"/>
    <cellStyle name="Normal 6 2 34 3 4" xfId="50753" xr:uid="{00000000-0005-0000-0000-000042A00000}"/>
    <cellStyle name="Normal 6 2 34 4" xfId="18056" xr:uid="{00000000-0005-0000-0000-000043A00000}"/>
    <cellStyle name="Normal 6 2 34 4 2" xfId="32188" xr:uid="{00000000-0005-0000-0000-000044A00000}"/>
    <cellStyle name="Normal 6 2 34 4 3" xfId="46083" xr:uid="{00000000-0005-0000-0000-000045A00000}"/>
    <cellStyle name="Normal 6 2 34 5" xfId="22869" xr:uid="{00000000-0005-0000-0000-000046A00000}"/>
    <cellStyle name="Normal 6 2 34 6" xfId="41501" xr:uid="{00000000-0005-0000-0000-000047A00000}"/>
    <cellStyle name="Normal 6 2 35" xfId="7546" xr:uid="{00000000-0005-0000-0000-000048A00000}"/>
    <cellStyle name="Normal 6 2 35 2" xfId="7547" xr:uid="{00000000-0005-0000-0000-000049A00000}"/>
    <cellStyle name="Normal 6 2 35 2 2" xfId="13328" xr:uid="{00000000-0005-0000-0000-00004AA00000}"/>
    <cellStyle name="Normal 6 2 35 2 2 2" xfId="36813" xr:uid="{00000000-0005-0000-0000-00004BA00000}"/>
    <cellStyle name="Normal 6 2 35 2 2 3" xfId="27494" xr:uid="{00000000-0005-0000-0000-00004CA00000}"/>
    <cellStyle name="Normal 6 2 35 2 2 4" xfId="50756" xr:uid="{00000000-0005-0000-0000-00004DA00000}"/>
    <cellStyle name="Normal 6 2 35 2 3" xfId="18059" xr:uid="{00000000-0005-0000-0000-00004EA00000}"/>
    <cellStyle name="Normal 6 2 35 2 3 2" xfId="32191" xr:uid="{00000000-0005-0000-0000-00004FA00000}"/>
    <cellStyle name="Normal 6 2 35 2 3 3" xfId="46086" xr:uid="{00000000-0005-0000-0000-000050A00000}"/>
    <cellStyle name="Normal 6 2 35 2 4" xfId="22872" xr:uid="{00000000-0005-0000-0000-000051A00000}"/>
    <cellStyle name="Normal 6 2 35 2 5" xfId="41504" xr:uid="{00000000-0005-0000-0000-000052A00000}"/>
    <cellStyle name="Normal 6 2 35 3" xfId="13327" xr:uid="{00000000-0005-0000-0000-000053A00000}"/>
    <cellStyle name="Normal 6 2 35 3 2" xfId="36812" xr:uid="{00000000-0005-0000-0000-000054A00000}"/>
    <cellStyle name="Normal 6 2 35 3 3" xfId="27493" xr:uid="{00000000-0005-0000-0000-000055A00000}"/>
    <cellStyle name="Normal 6 2 35 3 4" xfId="50755" xr:uid="{00000000-0005-0000-0000-000056A00000}"/>
    <cellStyle name="Normal 6 2 35 4" xfId="18058" xr:uid="{00000000-0005-0000-0000-000057A00000}"/>
    <cellStyle name="Normal 6 2 35 4 2" xfId="32190" xr:uid="{00000000-0005-0000-0000-000058A00000}"/>
    <cellStyle name="Normal 6 2 35 4 3" xfId="46085" xr:uid="{00000000-0005-0000-0000-000059A00000}"/>
    <cellStyle name="Normal 6 2 35 5" xfId="22871" xr:uid="{00000000-0005-0000-0000-00005AA00000}"/>
    <cellStyle name="Normal 6 2 35 6" xfId="41503" xr:uid="{00000000-0005-0000-0000-00005BA00000}"/>
    <cellStyle name="Normal 6 2 36" xfId="7548" xr:uid="{00000000-0005-0000-0000-00005CA00000}"/>
    <cellStyle name="Normal 6 2 36 2" xfId="7549" xr:uid="{00000000-0005-0000-0000-00005DA00000}"/>
    <cellStyle name="Normal 6 2 36 2 2" xfId="13330" xr:uid="{00000000-0005-0000-0000-00005EA00000}"/>
    <cellStyle name="Normal 6 2 36 2 2 2" xfId="36815" xr:uid="{00000000-0005-0000-0000-00005FA00000}"/>
    <cellStyle name="Normal 6 2 36 2 2 3" xfId="27496" xr:uid="{00000000-0005-0000-0000-000060A00000}"/>
    <cellStyle name="Normal 6 2 36 2 2 4" xfId="50758" xr:uid="{00000000-0005-0000-0000-000061A00000}"/>
    <cellStyle name="Normal 6 2 36 2 3" xfId="18061" xr:uid="{00000000-0005-0000-0000-000062A00000}"/>
    <cellStyle name="Normal 6 2 36 2 3 2" xfId="32193" xr:uid="{00000000-0005-0000-0000-000063A00000}"/>
    <cellStyle name="Normal 6 2 36 2 3 3" xfId="46088" xr:uid="{00000000-0005-0000-0000-000064A00000}"/>
    <cellStyle name="Normal 6 2 36 2 4" xfId="22874" xr:uid="{00000000-0005-0000-0000-000065A00000}"/>
    <cellStyle name="Normal 6 2 36 2 5" xfId="41506" xr:uid="{00000000-0005-0000-0000-000066A00000}"/>
    <cellStyle name="Normal 6 2 36 3" xfId="13329" xr:uid="{00000000-0005-0000-0000-000067A00000}"/>
    <cellStyle name="Normal 6 2 36 3 2" xfId="36814" xr:uid="{00000000-0005-0000-0000-000068A00000}"/>
    <cellStyle name="Normal 6 2 36 3 3" xfId="27495" xr:uid="{00000000-0005-0000-0000-000069A00000}"/>
    <cellStyle name="Normal 6 2 36 3 4" xfId="50757" xr:uid="{00000000-0005-0000-0000-00006AA00000}"/>
    <cellStyle name="Normal 6 2 36 4" xfId="18060" xr:uid="{00000000-0005-0000-0000-00006BA00000}"/>
    <cellStyle name="Normal 6 2 36 4 2" xfId="32192" xr:uid="{00000000-0005-0000-0000-00006CA00000}"/>
    <cellStyle name="Normal 6 2 36 4 3" xfId="46087" xr:uid="{00000000-0005-0000-0000-00006DA00000}"/>
    <cellStyle name="Normal 6 2 36 5" xfId="22873" xr:uid="{00000000-0005-0000-0000-00006EA00000}"/>
    <cellStyle name="Normal 6 2 36 6" xfId="41505" xr:uid="{00000000-0005-0000-0000-00006FA00000}"/>
    <cellStyle name="Normal 6 2 37" xfId="7550" xr:uid="{00000000-0005-0000-0000-000070A00000}"/>
    <cellStyle name="Normal 6 2 37 2" xfId="7551" xr:uid="{00000000-0005-0000-0000-000071A00000}"/>
    <cellStyle name="Normal 6 2 37 2 2" xfId="13332" xr:uid="{00000000-0005-0000-0000-000072A00000}"/>
    <cellStyle name="Normal 6 2 37 2 2 2" xfId="36817" xr:uid="{00000000-0005-0000-0000-000073A00000}"/>
    <cellStyle name="Normal 6 2 37 2 2 3" xfId="27498" xr:uid="{00000000-0005-0000-0000-000074A00000}"/>
    <cellStyle name="Normal 6 2 37 2 2 4" xfId="50760" xr:uid="{00000000-0005-0000-0000-000075A00000}"/>
    <cellStyle name="Normal 6 2 37 2 3" xfId="18063" xr:uid="{00000000-0005-0000-0000-000076A00000}"/>
    <cellStyle name="Normal 6 2 37 2 3 2" xfId="32195" xr:uid="{00000000-0005-0000-0000-000077A00000}"/>
    <cellStyle name="Normal 6 2 37 2 3 3" xfId="46090" xr:uid="{00000000-0005-0000-0000-000078A00000}"/>
    <cellStyle name="Normal 6 2 37 2 4" xfId="22876" xr:uid="{00000000-0005-0000-0000-000079A00000}"/>
    <cellStyle name="Normal 6 2 37 2 5" xfId="41508" xr:uid="{00000000-0005-0000-0000-00007AA00000}"/>
    <cellStyle name="Normal 6 2 37 3" xfId="13331" xr:uid="{00000000-0005-0000-0000-00007BA00000}"/>
    <cellStyle name="Normal 6 2 37 3 2" xfId="36816" xr:uid="{00000000-0005-0000-0000-00007CA00000}"/>
    <cellStyle name="Normal 6 2 37 3 3" xfId="27497" xr:uid="{00000000-0005-0000-0000-00007DA00000}"/>
    <cellStyle name="Normal 6 2 37 3 4" xfId="50759" xr:uid="{00000000-0005-0000-0000-00007EA00000}"/>
    <cellStyle name="Normal 6 2 37 4" xfId="18062" xr:uid="{00000000-0005-0000-0000-00007FA00000}"/>
    <cellStyle name="Normal 6 2 37 4 2" xfId="32194" xr:uid="{00000000-0005-0000-0000-000080A00000}"/>
    <cellStyle name="Normal 6 2 37 4 3" xfId="46089" xr:uid="{00000000-0005-0000-0000-000081A00000}"/>
    <cellStyle name="Normal 6 2 37 5" xfId="22875" xr:uid="{00000000-0005-0000-0000-000082A00000}"/>
    <cellStyle name="Normal 6 2 37 6" xfId="41507" xr:uid="{00000000-0005-0000-0000-000083A00000}"/>
    <cellStyle name="Normal 6 2 38" xfId="7552" xr:uid="{00000000-0005-0000-0000-000084A00000}"/>
    <cellStyle name="Normal 6 2 38 2" xfId="7553" xr:uid="{00000000-0005-0000-0000-000085A00000}"/>
    <cellStyle name="Normal 6 2 38 2 2" xfId="13334" xr:uid="{00000000-0005-0000-0000-000086A00000}"/>
    <cellStyle name="Normal 6 2 38 2 2 2" xfId="36819" xr:uid="{00000000-0005-0000-0000-000087A00000}"/>
    <cellStyle name="Normal 6 2 38 2 2 3" xfId="27500" xr:uid="{00000000-0005-0000-0000-000088A00000}"/>
    <cellStyle name="Normal 6 2 38 2 2 4" xfId="50762" xr:uid="{00000000-0005-0000-0000-000089A00000}"/>
    <cellStyle name="Normal 6 2 38 2 3" xfId="18065" xr:uid="{00000000-0005-0000-0000-00008AA00000}"/>
    <cellStyle name="Normal 6 2 38 2 3 2" xfId="32197" xr:uid="{00000000-0005-0000-0000-00008BA00000}"/>
    <cellStyle name="Normal 6 2 38 2 3 3" xfId="46092" xr:uid="{00000000-0005-0000-0000-00008CA00000}"/>
    <cellStyle name="Normal 6 2 38 2 4" xfId="22878" xr:uid="{00000000-0005-0000-0000-00008DA00000}"/>
    <cellStyle name="Normal 6 2 38 2 5" xfId="41510" xr:uid="{00000000-0005-0000-0000-00008EA00000}"/>
    <cellStyle name="Normal 6 2 38 3" xfId="13333" xr:uid="{00000000-0005-0000-0000-00008FA00000}"/>
    <cellStyle name="Normal 6 2 38 3 2" xfId="36818" xr:uid="{00000000-0005-0000-0000-000090A00000}"/>
    <cellStyle name="Normal 6 2 38 3 3" xfId="27499" xr:uid="{00000000-0005-0000-0000-000091A00000}"/>
    <cellStyle name="Normal 6 2 38 3 4" xfId="50761" xr:uid="{00000000-0005-0000-0000-000092A00000}"/>
    <cellStyle name="Normal 6 2 38 4" xfId="18064" xr:uid="{00000000-0005-0000-0000-000093A00000}"/>
    <cellStyle name="Normal 6 2 38 4 2" xfId="32196" xr:uid="{00000000-0005-0000-0000-000094A00000}"/>
    <cellStyle name="Normal 6 2 38 4 3" xfId="46091" xr:uid="{00000000-0005-0000-0000-000095A00000}"/>
    <cellStyle name="Normal 6 2 38 5" xfId="22877" xr:uid="{00000000-0005-0000-0000-000096A00000}"/>
    <cellStyle name="Normal 6 2 38 6" xfId="41509" xr:uid="{00000000-0005-0000-0000-000097A00000}"/>
    <cellStyle name="Normal 6 2 39" xfId="7554" xr:uid="{00000000-0005-0000-0000-000098A00000}"/>
    <cellStyle name="Normal 6 2 39 2" xfId="7555" xr:uid="{00000000-0005-0000-0000-000099A00000}"/>
    <cellStyle name="Normal 6 2 39 2 2" xfId="13336" xr:uid="{00000000-0005-0000-0000-00009AA00000}"/>
    <cellStyle name="Normal 6 2 39 2 2 2" xfId="36821" xr:uid="{00000000-0005-0000-0000-00009BA00000}"/>
    <cellStyle name="Normal 6 2 39 2 2 3" xfId="27502" xr:uid="{00000000-0005-0000-0000-00009CA00000}"/>
    <cellStyle name="Normal 6 2 39 2 2 4" xfId="50764" xr:uid="{00000000-0005-0000-0000-00009DA00000}"/>
    <cellStyle name="Normal 6 2 39 2 3" xfId="18067" xr:uid="{00000000-0005-0000-0000-00009EA00000}"/>
    <cellStyle name="Normal 6 2 39 2 3 2" xfId="32199" xr:uid="{00000000-0005-0000-0000-00009FA00000}"/>
    <cellStyle name="Normal 6 2 39 2 3 3" xfId="46094" xr:uid="{00000000-0005-0000-0000-0000A0A00000}"/>
    <cellStyle name="Normal 6 2 39 2 4" xfId="22880" xr:uid="{00000000-0005-0000-0000-0000A1A00000}"/>
    <cellStyle name="Normal 6 2 39 2 5" xfId="41512" xr:uid="{00000000-0005-0000-0000-0000A2A00000}"/>
    <cellStyle name="Normal 6 2 39 3" xfId="13335" xr:uid="{00000000-0005-0000-0000-0000A3A00000}"/>
    <cellStyle name="Normal 6 2 39 3 2" xfId="36820" xr:uid="{00000000-0005-0000-0000-0000A4A00000}"/>
    <cellStyle name="Normal 6 2 39 3 3" xfId="27501" xr:uid="{00000000-0005-0000-0000-0000A5A00000}"/>
    <cellStyle name="Normal 6 2 39 3 4" xfId="50763" xr:uid="{00000000-0005-0000-0000-0000A6A00000}"/>
    <cellStyle name="Normal 6 2 39 4" xfId="18066" xr:uid="{00000000-0005-0000-0000-0000A7A00000}"/>
    <cellStyle name="Normal 6 2 39 4 2" xfId="32198" xr:uid="{00000000-0005-0000-0000-0000A8A00000}"/>
    <cellStyle name="Normal 6 2 39 4 3" xfId="46093" xr:uid="{00000000-0005-0000-0000-0000A9A00000}"/>
    <cellStyle name="Normal 6 2 39 5" xfId="22879" xr:uid="{00000000-0005-0000-0000-0000AAA00000}"/>
    <cellStyle name="Normal 6 2 39 6" xfId="41511" xr:uid="{00000000-0005-0000-0000-0000ABA00000}"/>
    <cellStyle name="Normal 6 2 4" xfId="431" xr:uid="{00000000-0005-0000-0000-0000ACA00000}"/>
    <cellStyle name="Normal 6 2 4 10" xfId="7556" xr:uid="{00000000-0005-0000-0000-0000ADA00000}"/>
    <cellStyle name="Normal 6 2 4 10 2" xfId="7557" xr:uid="{00000000-0005-0000-0000-0000AEA00000}"/>
    <cellStyle name="Normal 6 2 4 10 2 2" xfId="13338" xr:uid="{00000000-0005-0000-0000-0000AFA00000}"/>
    <cellStyle name="Normal 6 2 4 10 2 2 2" xfId="36823" xr:uid="{00000000-0005-0000-0000-0000B0A00000}"/>
    <cellStyle name="Normal 6 2 4 10 2 2 3" xfId="27504" xr:uid="{00000000-0005-0000-0000-0000B1A00000}"/>
    <cellStyle name="Normal 6 2 4 10 2 2 4" xfId="50766" xr:uid="{00000000-0005-0000-0000-0000B2A00000}"/>
    <cellStyle name="Normal 6 2 4 10 2 3" xfId="18069" xr:uid="{00000000-0005-0000-0000-0000B3A00000}"/>
    <cellStyle name="Normal 6 2 4 10 2 3 2" xfId="32201" xr:uid="{00000000-0005-0000-0000-0000B4A00000}"/>
    <cellStyle name="Normal 6 2 4 10 2 3 3" xfId="46096" xr:uid="{00000000-0005-0000-0000-0000B5A00000}"/>
    <cellStyle name="Normal 6 2 4 10 2 4" xfId="22882" xr:uid="{00000000-0005-0000-0000-0000B6A00000}"/>
    <cellStyle name="Normal 6 2 4 10 2 5" xfId="41514" xr:uid="{00000000-0005-0000-0000-0000B7A00000}"/>
    <cellStyle name="Normal 6 2 4 10 3" xfId="13337" xr:uid="{00000000-0005-0000-0000-0000B8A00000}"/>
    <cellStyle name="Normal 6 2 4 10 3 2" xfId="36822" xr:uid="{00000000-0005-0000-0000-0000B9A00000}"/>
    <cellStyle name="Normal 6 2 4 10 3 3" xfId="27503" xr:uid="{00000000-0005-0000-0000-0000BAA00000}"/>
    <cellStyle name="Normal 6 2 4 10 3 4" xfId="50765" xr:uid="{00000000-0005-0000-0000-0000BBA00000}"/>
    <cellStyle name="Normal 6 2 4 10 4" xfId="18068" xr:uid="{00000000-0005-0000-0000-0000BCA00000}"/>
    <cellStyle name="Normal 6 2 4 10 4 2" xfId="32200" xr:uid="{00000000-0005-0000-0000-0000BDA00000}"/>
    <cellStyle name="Normal 6 2 4 10 4 3" xfId="46095" xr:uid="{00000000-0005-0000-0000-0000BEA00000}"/>
    <cellStyle name="Normal 6 2 4 10 5" xfId="22881" xr:uid="{00000000-0005-0000-0000-0000BFA00000}"/>
    <cellStyle name="Normal 6 2 4 10 6" xfId="41513" xr:uid="{00000000-0005-0000-0000-0000C0A00000}"/>
    <cellStyle name="Normal 6 2 4 11" xfId="7558" xr:uid="{00000000-0005-0000-0000-0000C1A00000}"/>
    <cellStyle name="Normal 6 2 4 11 2" xfId="7559" xr:uid="{00000000-0005-0000-0000-0000C2A00000}"/>
    <cellStyle name="Normal 6 2 4 11 2 2" xfId="13340" xr:uid="{00000000-0005-0000-0000-0000C3A00000}"/>
    <cellStyle name="Normal 6 2 4 11 2 2 2" xfId="36825" xr:uid="{00000000-0005-0000-0000-0000C4A00000}"/>
    <cellStyle name="Normal 6 2 4 11 2 2 3" xfId="27506" xr:uid="{00000000-0005-0000-0000-0000C5A00000}"/>
    <cellStyle name="Normal 6 2 4 11 2 2 4" xfId="50768" xr:uid="{00000000-0005-0000-0000-0000C6A00000}"/>
    <cellStyle name="Normal 6 2 4 11 2 3" xfId="18071" xr:uid="{00000000-0005-0000-0000-0000C7A00000}"/>
    <cellStyle name="Normal 6 2 4 11 2 3 2" xfId="32203" xr:uid="{00000000-0005-0000-0000-0000C8A00000}"/>
    <cellStyle name="Normal 6 2 4 11 2 3 3" xfId="46098" xr:uid="{00000000-0005-0000-0000-0000C9A00000}"/>
    <cellStyle name="Normal 6 2 4 11 2 4" xfId="22884" xr:uid="{00000000-0005-0000-0000-0000CAA00000}"/>
    <cellStyle name="Normal 6 2 4 11 2 5" xfId="41516" xr:uid="{00000000-0005-0000-0000-0000CBA00000}"/>
    <cellStyle name="Normal 6 2 4 11 3" xfId="13339" xr:uid="{00000000-0005-0000-0000-0000CCA00000}"/>
    <cellStyle name="Normal 6 2 4 11 3 2" xfId="36824" xr:uid="{00000000-0005-0000-0000-0000CDA00000}"/>
    <cellStyle name="Normal 6 2 4 11 3 3" xfId="27505" xr:uid="{00000000-0005-0000-0000-0000CEA00000}"/>
    <cellStyle name="Normal 6 2 4 11 3 4" xfId="50767" xr:uid="{00000000-0005-0000-0000-0000CFA00000}"/>
    <cellStyle name="Normal 6 2 4 11 4" xfId="18070" xr:uid="{00000000-0005-0000-0000-0000D0A00000}"/>
    <cellStyle name="Normal 6 2 4 11 4 2" xfId="32202" xr:uid="{00000000-0005-0000-0000-0000D1A00000}"/>
    <cellStyle name="Normal 6 2 4 11 4 3" xfId="46097" xr:uid="{00000000-0005-0000-0000-0000D2A00000}"/>
    <cellStyle name="Normal 6 2 4 11 5" xfId="22883" xr:uid="{00000000-0005-0000-0000-0000D3A00000}"/>
    <cellStyle name="Normal 6 2 4 11 6" xfId="41515" xr:uid="{00000000-0005-0000-0000-0000D4A00000}"/>
    <cellStyle name="Normal 6 2 4 12" xfId="7560" xr:uid="{00000000-0005-0000-0000-0000D5A00000}"/>
    <cellStyle name="Normal 6 2 4 12 2" xfId="7561" xr:uid="{00000000-0005-0000-0000-0000D6A00000}"/>
    <cellStyle name="Normal 6 2 4 12 2 2" xfId="13342" xr:uid="{00000000-0005-0000-0000-0000D7A00000}"/>
    <cellStyle name="Normal 6 2 4 12 2 2 2" xfId="36827" xr:uid="{00000000-0005-0000-0000-0000D8A00000}"/>
    <cellStyle name="Normal 6 2 4 12 2 2 3" xfId="27508" xr:uid="{00000000-0005-0000-0000-0000D9A00000}"/>
    <cellStyle name="Normal 6 2 4 12 2 2 4" xfId="50770" xr:uid="{00000000-0005-0000-0000-0000DAA00000}"/>
    <cellStyle name="Normal 6 2 4 12 2 3" xfId="18073" xr:uid="{00000000-0005-0000-0000-0000DBA00000}"/>
    <cellStyle name="Normal 6 2 4 12 2 3 2" xfId="32205" xr:uid="{00000000-0005-0000-0000-0000DCA00000}"/>
    <cellStyle name="Normal 6 2 4 12 2 3 3" xfId="46100" xr:uid="{00000000-0005-0000-0000-0000DDA00000}"/>
    <cellStyle name="Normal 6 2 4 12 2 4" xfId="22886" xr:uid="{00000000-0005-0000-0000-0000DEA00000}"/>
    <cellStyle name="Normal 6 2 4 12 2 5" xfId="41518" xr:uid="{00000000-0005-0000-0000-0000DFA00000}"/>
    <cellStyle name="Normal 6 2 4 12 3" xfId="13341" xr:uid="{00000000-0005-0000-0000-0000E0A00000}"/>
    <cellStyle name="Normal 6 2 4 12 3 2" xfId="36826" xr:uid="{00000000-0005-0000-0000-0000E1A00000}"/>
    <cellStyle name="Normal 6 2 4 12 3 3" xfId="27507" xr:uid="{00000000-0005-0000-0000-0000E2A00000}"/>
    <cellStyle name="Normal 6 2 4 12 3 4" xfId="50769" xr:uid="{00000000-0005-0000-0000-0000E3A00000}"/>
    <cellStyle name="Normal 6 2 4 12 4" xfId="18072" xr:uid="{00000000-0005-0000-0000-0000E4A00000}"/>
    <cellStyle name="Normal 6 2 4 12 4 2" xfId="32204" xr:uid="{00000000-0005-0000-0000-0000E5A00000}"/>
    <cellStyle name="Normal 6 2 4 12 4 3" xfId="46099" xr:uid="{00000000-0005-0000-0000-0000E6A00000}"/>
    <cellStyle name="Normal 6 2 4 12 5" xfId="22885" xr:uid="{00000000-0005-0000-0000-0000E7A00000}"/>
    <cellStyle name="Normal 6 2 4 12 6" xfId="41517" xr:uid="{00000000-0005-0000-0000-0000E8A00000}"/>
    <cellStyle name="Normal 6 2 4 13" xfId="7562" xr:uid="{00000000-0005-0000-0000-0000E9A00000}"/>
    <cellStyle name="Normal 6 2 4 13 2" xfId="7563" xr:uid="{00000000-0005-0000-0000-0000EAA00000}"/>
    <cellStyle name="Normal 6 2 4 13 2 2" xfId="13344" xr:uid="{00000000-0005-0000-0000-0000EBA00000}"/>
    <cellStyle name="Normal 6 2 4 13 2 2 2" xfId="36829" xr:uid="{00000000-0005-0000-0000-0000ECA00000}"/>
    <cellStyle name="Normal 6 2 4 13 2 2 3" xfId="27510" xr:uid="{00000000-0005-0000-0000-0000EDA00000}"/>
    <cellStyle name="Normal 6 2 4 13 2 2 4" xfId="50772" xr:uid="{00000000-0005-0000-0000-0000EEA00000}"/>
    <cellStyle name="Normal 6 2 4 13 2 3" xfId="18075" xr:uid="{00000000-0005-0000-0000-0000EFA00000}"/>
    <cellStyle name="Normal 6 2 4 13 2 3 2" xfId="32207" xr:uid="{00000000-0005-0000-0000-0000F0A00000}"/>
    <cellStyle name="Normal 6 2 4 13 2 3 3" xfId="46102" xr:uid="{00000000-0005-0000-0000-0000F1A00000}"/>
    <cellStyle name="Normal 6 2 4 13 2 4" xfId="22888" xr:uid="{00000000-0005-0000-0000-0000F2A00000}"/>
    <cellStyle name="Normal 6 2 4 13 2 5" xfId="41520" xr:uid="{00000000-0005-0000-0000-0000F3A00000}"/>
    <cellStyle name="Normal 6 2 4 13 3" xfId="13343" xr:uid="{00000000-0005-0000-0000-0000F4A00000}"/>
    <cellStyle name="Normal 6 2 4 13 3 2" xfId="36828" xr:uid="{00000000-0005-0000-0000-0000F5A00000}"/>
    <cellStyle name="Normal 6 2 4 13 3 3" xfId="27509" xr:uid="{00000000-0005-0000-0000-0000F6A00000}"/>
    <cellStyle name="Normal 6 2 4 13 3 4" xfId="50771" xr:uid="{00000000-0005-0000-0000-0000F7A00000}"/>
    <cellStyle name="Normal 6 2 4 13 4" xfId="18074" xr:uid="{00000000-0005-0000-0000-0000F8A00000}"/>
    <cellStyle name="Normal 6 2 4 13 4 2" xfId="32206" xr:uid="{00000000-0005-0000-0000-0000F9A00000}"/>
    <cellStyle name="Normal 6 2 4 13 4 3" xfId="46101" xr:uid="{00000000-0005-0000-0000-0000FAA00000}"/>
    <cellStyle name="Normal 6 2 4 13 5" xfId="22887" xr:uid="{00000000-0005-0000-0000-0000FBA00000}"/>
    <cellStyle name="Normal 6 2 4 13 6" xfId="41519" xr:uid="{00000000-0005-0000-0000-0000FCA00000}"/>
    <cellStyle name="Normal 6 2 4 14" xfId="7564" xr:uid="{00000000-0005-0000-0000-0000FDA00000}"/>
    <cellStyle name="Normal 6 2 4 14 2" xfId="7565" xr:uid="{00000000-0005-0000-0000-0000FEA00000}"/>
    <cellStyle name="Normal 6 2 4 14 2 2" xfId="13346" xr:uid="{00000000-0005-0000-0000-0000FFA00000}"/>
    <cellStyle name="Normal 6 2 4 14 2 2 2" xfId="36831" xr:uid="{00000000-0005-0000-0000-000000A10000}"/>
    <cellStyle name="Normal 6 2 4 14 2 2 3" xfId="27512" xr:uid="{00000000-0005-0000-0000-000001A10000}"/>
    <cellStyle name="Normal 6 2 4 14 2 2 4" xfId="50774" xr:uid="{00000000-0005-0000-0000-000002A10000}"/>
    <cellStyle name="Normal 6 2 4 14 2 3" xfId="18077" xr:uid="{00000000-0005-0000-0000-000003A10000}"/>
    <cellStyle name="Normal 6 2 4 14 2 3 2" xfId="32209" xr:uid="{00000000-0005-0000-0000-000004A10000}"/>
    <cellStyle name="Normal 6 2 4 14 2 3 3" xfId="46104" xr:uid="{00000000-0005-0000-0000-000005A10000}"/>
    <cellStyle name="Normal 6 2 4 14 2 4" xfId="22890" xr:uid="{00000000-0005-0000-0000-000006A10000}"/>
    <cellStyle name="Normal 6 2 4 14 2 5" xfId="41522" xr:uid="{00000000-0005-0000-0000-000007A10000}"/>
    <cellStyle name="Normal 6 2 4 14 3" xfId="13345" xr:uid="{00000000-0005-0000-0000-000008A10000}"/>
    <cellStyle name="Normal 6 2 4 14 3 2" xfId="36830" xr:uid="{00000000-0005-0000-0000-000009A10000}"/>
    <cellStyle name="Normal 6 2 4 14 3 3" xfId="27511" xr:uid="{00000000-0005-0000-0000-00000AA10000}"/>
    <cellStyle name="Normal 6 2 4 14 3 4" xfId="50773" xr:uid="{00000000-0005-0000-0000-00000BA10000}"/>
    <cellStyle name="Normal 6 2 4 14 4" xfId="18076" xr:uid="{00000000-0005-0000-0000-00000CA10000}"/>
    <cellStyle name="Normal 6 2 4 14 4 2" xfId="32208" xr:uid="{00000000-0005-0000-0000-00000DA10000}"/>
    <cellStyle name="Normal 6 2 4 14 4 3" xfId="46103" xr:uid="{00000000-0005-0000-0000-00000EA10000}"/>
    <cellStyle name="Normal 6 2 4 14 5" xfId="22889" xr:uid="{00000000-0005-0000-0000-00000FA10000}"/>
    <cellStyle name="Normal 6 2 4 14 6" xfId="41521" xr:uid="{00000000-0005-0000-0000-000010A10000}"/>
    <cellStyle name="Normal 6 2 4 15" xfId="7566" xr:uid="{00000000-0005-0000-0000-000011A10000}"/>
    <cellStyle name="Normal 6 2 4 15 2" xfId="7567" xr:uid="{00000000-0005-0000-0000-000012A10000}"/>
    <cellStyle name="Normal 6 2 4 15 2 2" xfId="13348" xr:uid="{00000000-0005-0000-0000-000013A10000}"/>
    <cellStyle name="Normal 6 2 4 15 2 2 2" xfId="36833" xr:uid="{00000000-0005-0000-0000-000014A10000}"/>
    <cellStyle name="Normal 6 2 4 15 2 2 3" xfId="27514" xr:uid="{00000000-0005-0000-0000-000015A10000}"/>
    <cellStyle name="Normal 6 2 4 15 2 2 4" xfId="50776" xr:uid="{00000000-0005-0000-0000-000016A10000}"/>
    <cellStyle name="Normal 6 2 4 15 2 3" xfId="18079" xr:uid="{00000000-0005-0000-0000-000017A10000}"/>
    <cellStyle name="Normal 6 2 4 15 2 3 2" xfId="32211" xr:uid="{00000000-0005-0000-0000-000018A10000}"/>
    <cellStyle name="Normal 6 2 4 15 2 3 3" xfId="46106" xr:uid="{00000000-0005-0000-0000-000019A10000}"/>
    <cellStyle name="Normal 6 2 4 15 2 4" xfId="22892" xr:uid="{00000000-0005-0000-0000-00001AA10000}"/>
    <cellStyle name="Normal 6 2 4 15 2 5" xfId="41524" xr:uid="{00000000-0005-0000-0000-00001BA10000}"/>
    <cellStyle name="Normal 6 2 4 15 3" xfId="13347" xr:uid="{00000000-0005-0000-0000-00001CA10000}"/>
    <cellStyle name="Normal 6 2 4 15 3 2" xfId="36832" xr:uid="{00000000-0005-0000-0000-00001DA10000}"/>
    <cellStyle name="Normal 6 2 4 15 3 3" xfId="27513" xr:uid="{00000000-0005-0000-0000-00001EA10000}"/>
    <cellStyle name="Normal 6 2 4 15 3 4" xfId="50775" xr:uid="{00000000-0005-0000-0000-00001FA10000}"/>
    <cellStyle name="Normal 6 2 4 15 4" xfId="18078" xr:uid="{00000000-0005-0000-0000-000020A10000}"/>
    <cellStyle name="Normal 6 2 4 15 4 2" xfId="32210" xr:uid="{00000000-0005-0000-0000-000021A10000}"/>
    <cellStyle name="Normal 6 2 4 15 4 3" xfId="46105" xr:uid="{00000000-0005-0000-0000-000022A10000}"/>
    <cellStyle name="Normal 6 2 4 15 5" xfId="22891" xr:uid="{00000000-0005-0000-0000-000023A10000}"/>
    <cellStyle name="Normal 6 2 4 15 6" xfId="41523" xr:uid="{00000000-0005-0000-0000-000024A10000}"/>
    <cellStyle name="Normal 6 2 4 16" xfId="7568" xr:uid="{00000000-0005-0000-0000-000025A10000}"/>
    <cellStyle name="Normal 6 2 4 16 2" xfId="7569" xr:uid="{00000000-0005-0000-0000-000026A10000}"/>
    <cellStyle name="Normal 6 2 4 16 2 2" xfId="13350" xr:uid="{00000000-0005-0000-0000-000027A10000}"/>
    <cellStyle name="Normal 6 2 4 16 2 2 2" xfId="36835" xr:uid="{00000000-0005-0000-0000-000028A10000}"/>
    <cellStyle name="Normal 6 2 4 16 2 2 3" xfId="27516" xr:uid="{00000000-0005-0000-0000-000029A10000}"/>
    <cellStyle name="Normal 6 2 4 16 2 2 4" xfId="50778" xr:uid="{00000000-0005-0000-0000-00002AA10000}"/>
    <cellStyle name="Normal 6 2 4 16 2 3" xfId="18081" xr:uid="{00000000-0005-0000-0000-00002BA10000}"/>
    <cellStyle name="Normal 6 2 4 16 2 3 2" xfId="32213" xr:uid="{00000000-0005-0000-0000-00002CA10000}"/>
    <cellStyle name="Normal 6 2 4 16 2 3 3" xfId="46108" xr:uid="{00000000-0005-0000-0000-00002DA10000}"/>
    <cellStyle name="Normal 6 2 4 16 2 4" xfId="22894" xr:uid="{00000000-0005-0000-0000-00002EA10000}"/>
    <cellStyle name="Normal 6 2 4 16 2 5" xfId="41526" xr:uid="{00000000-0005-0000-0000-00002FA10000}"/>
    <cellStyle name="Normal 6 2 4 16 3" xfId="13349" xr:uid="{00000000-0005-0000-0000-000030A10000}"/>
    <cellStyle name="Normal 6 2 4 16 3 2" xfId="36834" xr:uid="{00000000-0005-0000-0000-000031A10000}"/>
    <cellStyle name="Normal 6 2 4 16 3 3" xfId="27515" xr:uid="{00000000-0005-0000-0000-000032A10000}"/>
    <cellStyle name="Normal 6 2 4 16 3 4" xfId="50777" xr:uid="{00000000-0005-0000-0000-000033A10000}"/>
    <cellStyle name="Normal 6 2 4 16 4" xfId="18080" xr:uid="{00000000-0005-0000-0000-000034A10000}"/>
    <cellStyle name="Normal 6 2 4 16 4 2" xfId="32212" xr:uid="{00000000-0005-0000-0000-000035A10000}"/>
    <cellStyle name="Normal 6 2 4 16 4 3" xfId="46107" xr:uid="{00000000-0005-0000-0000-000036A10000}"/>
    <cellStyle name="Normal 6 2 4 16 5" xfId="22893" xr:uid="{00000000-0005-0000-0000-000037A10000}"/>
    <cellStyle name="Normal 6 2 4 16 6" xfId="41525" xr:uid="{00000000-0005-0000-0000-000038A10000}"/>
    <cellStyle name="Normal 6 2 4 17" xfId="7570" xr:uid="{00000000-0005-0000-0000-000039A10000}"/>
    <cellStyle name="Normal 6 2 4 17 2" xfId="7571" xr:uid="{00000000-0005-0000-0000-00003AA10000}"/>
    <cellStyle name="Normal 6 2 4 17 2 2" xfId="13352" xr:uid="{00000000-0005-0000-0000-00003BA10000}"/>
    <cellStyle name="Normal 6 2 4 17 2 2 2" xfId="36837" xr:uid="{00000000-0005-0000-0000-00003CA10000}"/>
    <cellStyle name="Normal 6 2 4 17 2 2 3" xfId="27518" xr:uid="{00000000-0005-0000-0000-00003DA10000}"/>
    <cellStyle name="Normal 6 2 4 17 2 2 4" xfId="50780" xr:uid="{00000000-0005-0000-0000-00003EA10000}"/>
    <cellStyle name="Normal 6 2 4 17 2 3" xfId="18083" xr:uid="{00000000-0005-0000-0000-00003FA10000}"/>
    <cellStyle name="Normal 6 2 4 17 2 3 2" xfId="32215" xr:uid="{00000000-0005-0000-0000-000040A10000}"/>
    <cellStyle name="Normal 6 2 4 17 2 3 3" xfId="46110" xr:uid="{00000000-0005-0000-0000-000041A10000}"/>
    <cellStyle name="Normal 6 2 4 17 2 4" xfId="22896" xr:uid="{00000000-0005-0000-0000-000042A10000}"/>
    <cellStyle name="Normal 6 2 4 17 2 5" xfId="41528" xr:uid="{00000000-0005-0000-0000-000043A10000}"/>
    <cellStyle name="Normal 6 2 4 17 3" xfId="13351" xr:uid="{00000000-0005-0000-0000-000044A10000}"/>
    <cellStyle name="Normal 6 2 4 17 3 2" xfId="36836" xr:uid="{00000000-0005-0000-0000-000045A10000}"/>
    <cellStyle name="Normal 6 2 4 17 3 3" xfId="27517" xr:uid="{00000000-0005-0000-0000-000046A10000}"/>
    <cellStyle name="Normal 6 2 4 17 3 4" xfId="50779" xr:uid="{00000000-0005-0000-0000-000047A10000}"/>
    <cellStyle name="Normal 6 2 4 17 4" xfId="18082" xr:uid="{00000000-0005-0000-0000-000048A10000}"/>
    <cellStyle name="Normal 6 2 4 17 4 2" xfId="32214" xr:uid="{00000000-0005-0000-0000-000049A10000}"/>
    <cellStyle name="Normal 6 2 4 17 4 3" xfId="46109" xr:uid="{00000000-0005-0000-0000-00004AA10000}"/>
    <cellStyle name="Normal 6 2 4 17 5" xfId="22895" xr:uid="{00000000-0005-0000-0000-00004BA10000}"/>
    <cellStyle name="Normal 6 2 4 17 6" xfId="41527" xr:uid="{00000000-0005-0000-0000-00004CA10000}"/>
    <cellStyle name="Normal 6 2 4 18" xfId="7572" xr:uid="{00000000-0005-0000-0000-00004DA10000}"/>
    <cellStyle name="Normal 6 2 4 18 2" xfId="7573" xr:uid="{00000000-0005-0000-0000-00004EA10000}"/>
    <cellStyle name="Normal 6 2 4 18 2 2" xfId="13354" xr:uid="{00000000-0005-0000-0000-00004FA10000}"/>
    <cellStyle name="Normal 6 2 4 18 2 2 2" xfId="36839" xr:uid="{00000000-0005-0000-0000-000050A10000}"/>
    <cellStyle name="Normal 6 2 4 18 2 2 3" xfId="27520" xr:uid="{00000000-0005-0000-0000-000051A10000}"/>
    <cellStyle name="Normal 6 2 4 18 2 2 4" xfId="50782" xr:uid="{00000000-0005-0000-0000-000052A10000}"/>
    <cellStyle name="Normal 6 2 4 18 2 3" xfId="18085" xr:uid="{00000000-0005-0000-0000-000053A10000}"/>
    <cellStyle name="Normal 6 2 4 18 2 3 2" xfId="32217" xr:uid="{00000000-0005-0000-0000-000054A10000}"/>
    <cellStyle name="Normal 6 2 4 18 2 3 3" xfId="46112" xr:uid="{00000000-0005-0000-0000-000055A10000}"/>
    <cellStyle name="Normal 6 2 4 18 2 4" xfId="22898" xr:uid="{00000000-0005-0000-0000-000056A10000}"/>
    <cellStyle name="Normal 6 2 4 18 2 5" xfId="41530" xr:uid="{00000000-0005-0000-0000-000057A10000}"/>
    <cellStyle name="Normal 6 2 4 18 3" xfId="13353" xr:uid="{00000000-0005-0000-0000-000058A10000}"/>
    <cellStyle name="Normal 6 2 4 18 3 2" xfId="36838" xr:uid="{00000000-0005-0000-0000-000059A10000}"/>
    <cellStyle name="Normal 6 2 4 18 3 3" xfId="27519" xr:uid="{00000000-0005-0000-0000-00005AA10000}"/>
    <cellStyle name="Normal 6 2 4 18 3 4" xfId="50781" xr:uid="{00000000-0005-0000-0000-00005BA10000}"/>
    <cellStyle name="Normal 6 2 4 18 4" xfId="18084" xr:uid="{00000000-0005-0000-0000-00005CA10000}"/>
    <cellStyle name="Normal 6 2 4 18 4 2" xfId="32216" xr:uid="{00000000-0005-0000-0000-00005DA10000}"/>
    <cellStyle name="Normal 6 2 4 18 4 3" xfId="46111" xr:uid="{00000000-0005-0000-0000-00005EA10000}"/>
    <cellStyle name="Normal 6 2 4 18 5" xfId="22897" xr:uid="{00000000-0005-0000-0000-00005FA10000}"/>
    <cellStyle name="Normal 6 2 4 18 6" xfId="41529" xr:uid="{00000000-0005-0000-0000-000060A10000}"/>
    <cellStyle name="Normal 6 2 4 19" xfId="7574" xr:uid="{00000000-0005-0000-0000-000061A10000}"/>
    <cellStyle name="Normal 6 2 4 19 2" xfId="7575" xr:uid="{00000000-0005-0000-0000-000062A10000}"/>
    <cellStyle name="Normal 6 2 4 19 2 2" xfId="13356" xr:uid="{00000000-0005-0000-0000-000063A10000}"/>
    <cellStyle name="Normal 6 2 4 19 2 2 2" xfId="36841" xr:uid="{00000000-0005-0000-0000-000064A10000}"/>
    <cellStyle name="Normal 6 2 4 19 2 2 3" xfId="27522" xr:uid="{00000000-0005-0000-0000-000065A10000}"/>
    <cellStyle name="Normal 6 2 4 19 2 2 4" xfId="50784" xr:uid="{00000000-0005-0000-0000-000066A10000}"/>
    <cellStyle name="Normal 6 2 4 19 2 3" xfId="18087" xr:uid="{00000000-0005-0000-0000-000067A10000}"/>
    <cellStyle name="Normal 6 2 4 19 2 3 2" xfId="32219" xr:uid="{00000000-0005-0000-0000-000068A10000}"/>
    <cellStyle name="Normal 6 2 4 19 2 3 3" xfId="46114" xr:uid="{00000000-0005-0000-0000-000069A10000}"/>
    <cellStyle name="Normal 6 2 4 19 2 4" xfId="22900" xr:uid="{00000000-0005-0000-0000-00006AA10000}"/>
    <cellStyle name="Normal 6 2 4 19 2 5" xfId="41532" xr:uid="{00000000-0005-0000-0000-00006BA10000}"/>
    <cellStyle name="Normal 6 2 4 19 3" xfId="13355" xr:uid="{00000000-0005-0000-0000-00006CA10000}"/>
    <cellStyle name="Normal 6 2 4 19 3 2" xfId="36840" xr:uid="{00000000-0005-0000-0000-00006DA10000}"/>
    <cellStyle name="Normal 6 2 4 19 3 3" xfId="27521" xr:uid="{00000000-0005-0000-0000-00006EA10000}"/>
    <cellStyle name="Normal 6 2 4 19 3 4" xfId="50783" xr:uid="{00000000-0005-0000-0000-00006FA10000}"/>
    <cellStyle name="Normal 6 2 4 19 4" xfId="18086" xr:uid="{00000000-0005-0000-0000-000070A10000}"/>
    <cellStyle name="Normal 6 2 4 19 4 2" xfId="32218" xr:uid="{00000000-0005-0000-0000-000071A10000}"/>
    <cellStyle name="Normal 6 2 4 19 4 3" xfId="46113" xr:uid="{00000000-0005-0000-0000-000072A10000}"/>
    <cellStyle name="Normal 6 2 4 19 5" xfId="22899" xr:uid="{00000000-0005-0000-0000-000073A10000}"/>
    <cellStyle name="Normal 6 2 4 19 6" xfId="41531" xr:uid="{00000000-0005-0000-0000-000074A10000}"/>
    <cellStyle name="Normal 6 2 4 2" xfId="7576" xr:uid="{00000000-0005-0000-0000-000075A10000}"/>
    <cellStyle name="Normal 6 2 4 2 2" xfId="7577" xr:uid="{00000000-0005-0000-0000-000076A10000}"/>
    <cellStyle name="Normal 6 2 4 2 2 2" xfId="13358" xr:uid="{00000000-0005-0000-0000-000077A10000}"/>
    <cellStyle name="Normal 6 2 4 2 2 2 2" xfId="36843" xr:uid="{00000000-0005-0000-0000-000078A10000}"/>
    <cellStyle name="Normal 6 2 4 2 2 2 3" xfId="27524" xr:uid="{00000000-0005-0000-0000-000079A10000}"/>
    <cellStyle name="Normal 6 2 4 2 2 2 4" xfId="50786" xr:uid="{00000000-0005-0000-0000-00007AA10000}"/>
    <cellStyle name="Normal 6 2 4 2 2 3" xfId="18089" xr:uid="{00000000-0005-0000-0000-00007BA10000}"/>
    <cellStyle name="Normal 6 2 4 2 2 3 2" xfId="32221" xr:uid="{00000000-0005-0000-0000-00007CA10000}"/>
    <cellStyle name="Normal 6 2 4 2 2 3 3" xfId="46116" xr:uid="{00000000-0005-0000-0000-00007DA10000}"/>
    <cellStyle name="Normal 6 2 4 2 2 4" xfId="22902" xr:uid="{00000000-0005-0000-0000-00007EA10000}"/>
    <cellStyle name="Normal 6 2 4 2 2 5" xfId="41534" xr:uid="{00000000-0005-0000-0000-00007FA10000}"/>
    <cellStyle name="Normal 6 2 4 2 3" xfId="13357" xr:uid="{00000000-0005-0000-0000-000080A10000}"/>
    <cellStyle name="Normal 6 2 4 2 3 2" xfId="36842" xr:uid="{00000000-0005-0000-0000-000081A10000}"/>
    <cellStyle name="Normal 6 2 4 2 3 3" xfId="27523" xr:uid="{00000000-0005-0000-0000-000082A10000}"/>
    <cellStyle name="Normal 6 2 4 2 3 4" xfId="47034" xr:uid="{00000000-0005-0000-0000-000083A10000}"/>
    <cellStyle name="Normal 6 2 4 2 4" xfId="18088" xr:uid="{00000000-0005-0000-0000-000084A10000}"/>
    <cellStyle name="Normal 6 2 4 2 4 2" xfId="32220" xr:uid="{00000000-0005-0000-0000-000085A10000}"/>
    <cellStyle name="Normal 6 2 4 2 4 3" xfId="50785" xr:uid="{00000000-0005-0000-0000-000086A10000}"/>
    <cellStyle name="Normal 6 2 4 2 5" xfId="22901" xr:uid="{00000000-0005-0000-0000-000087A10000}"/>
    <cellStyle name="Normal 6 2 4 2 5 2" xfId="46115" xr:uid="{00000000-0005-0000-0000-000088A10000}"/>
    <cellStyle name="Normal 6 2 4 2 6" xfId="41533" xr:uid="{00000000-0005-0000-0000-000089A10000}"/>
    <cellStyle name="Normal 6 2 4 20" xfId="7578" xr:uid="{00000000-0005-0000-0000-00008AA10000}"/>
    <cellStyle name="Normal 6 2 4 20 2" xfId="7579" xr:uid="{00000000-0005-0000-0000-00008BA10000}"/>
    <cellStyle name="Normal 6 2 4 20 2 2" xfId="13360" xr:uid="{00000000-0005-0000-0000-00008CA10000}"/>
    <cellStyle name="Normal 6 2 4 20 2 2 2" xfId="36845" xr:uid="{00000000-0005-0000-0000-00008DA10000}"/>
    <cellStyle name="Normal 6 2 4 20 2 2 3" xfId="27526" xr:uid="{00000000-0005-0000-0000-00008EA10000}"/>
    <cellStyle name="Normal 6 2 4 20 2 2 4" xfId="50788" xr:uid="{00000000-0005-0000-0000-00008FA10000}"/>
    <cellStyle name="Normal 6 2 4 20 2 3" xfId="18091" xr:uid="{00000000-0005-0000-0000-000090A10000}"/>
    <cellStyle name="Normal 6 2 4 20 2 3 2" xfId="32223" xr:uid="{00000000-0005-0000-0000-000091A10000}"/>
    <cellStyle name="Normal 6 2 4 20 2 3 3" xfId="46118" xr:uid="{00000000-0005-0000-0000-000092A10000}"/>
    <cellStyle name="Normal 6 2 4 20 2 4" xfId="22904" xr:uid="{00000000-0005-0000-0000-000093A10000}"/>
    <cellStyle name="Normal 6 2 4 20 2 5" xfId="41536" xr:uid="{00000000-0005-0000-0000-000094A10000}"/>
    <cellStyle name="Normal 6 2 4 20 3" xfId="13359" xr:uid="{00000000-0005-0000-0000-000095A10000}"/>
    <cellStyle name="Normal 6 2 4 20 3 2" xfId="36844" xr:uid="{00000000-0005-0000-0000-000096A10000}"/>
    <cellStyle name="Normal 6 2 4 20 3 3" xfId="27525" xr:uid="{00000000-0005-0000-0000-000097A10000}"/>
    <cellStyle name="Normal 6 2 4 20 3 4" xfId="50787" xr:uid="{00000000-0005-0000-0000-000098A10000}"/>
    <cellStyle name="Normal 6 2 4 20 4" xfId="18090" xr:uid="{00000000-0005-0000-0000-000099A10000}"/>
    <cellStyle name="Normal 6 2 4 20 4 2" xfId="32222" xr:uid="{00000000-0005-0000-0000-00009AA10000}"/>
    <cellStyle name="Normal 6 2 4 20 4 3" xfId="46117" xr:uid="{00000000-0005-0000-0000-00009BA10000}"/>
    <cellStyle name="Normal 6 2 4 20 5" xfId="22903" xr:uid="{00000000-0005-0000-0000-00009CA10000}"/>
    <cellStyle name="Normal 6 2 4 20 6" xfId="41535" xr:uid="{00000000-0005-0000-0000-00009DA10000}"/>
    <cellStyle name="Normal 6 2 4 21" xfId="7580" xr:uid="{00000000-0005-0000-0000-00009EA10000}"/>
    <cellStyle name="Normal 6 2 4 21 2" xfId="7581" xr:uid="{00000000-0005-0000-0000-00009FA10000}"/>
    <cellStyle name="Normal 6 2 4 21 2 2" xfId="13362" xr:uid="{00000000-0005-0000-0000-0000A0A10000}"/>
    <cellStyle name="Normal 6 2 4 21 2 2 2" xfId="36847" xr:uid="{00000000-0005-0000-0000-0000A1A10000}"/>
    <cellStyle name="Normal 6 2 4 21 2 2 3" xfId="27528" xr:uid="{00000000-0005-0000-0000-0000A2A10000}"/>
    <cellStyle name="Normal 6 2 4 21 2 2 4" xfId="50790" xr:uid="{00000000-0005-0000-0000-0000A3A10000}"/>
    <cellStyle name="Normal 6 2 4 21 2 3" xfId="18093" xr:uid="{00000000-0005-0000-0000-0000A4A10000}"/>
    <cellStyle name="Normal 6 2 4 21 2 3 2" xfId="32225" xr:uid="{00000000-0005-0000-0000-0000A5A10000}"/>
    <cellStyle name="Normal 6 2 4 21 2 3 3" xfId="46120" xr:uid="{00000000-0005-0000-0000-0000A6A10000}"/>
    <cellStyle name="Normal 6 2 4 21 2 4" xfId="22906" xr:uid="{00000000-0005-0000-0000-0000A7A10000}"/>
    <cellStyle name="Normal 6 2 4 21 2 5" xfId="41538" xr:uid="{00000000-0005-0000-0000-0000A8A10000}"/>
    <cellStyle name="Normal 6 2 4 21 3" xfId="13361" xr:uid="{00000000-0005-0000-0000-0000A9A10000}"/>
    <cellStyle name="Normal 6 2 4 21 3 2" xfId="36846" xr:uid="{00000000-0005-0000-0000-0000AAA10000}"/>
    <cellStyle name="Normal 6 2 4 21 3 3" xfId="27527" xr:uid="{00000000-0005-0000-0000-0000ABA10000}"/>
    <cellStyle name="Normal 6 2 4 21 3 4" xfId="50789" xr:uid="{00000000-0005-0000-0000-0000ACA10000}"/>
    <cellStyle name="Normal 6 2 4 21 4" xfId="18092" xr:uid="{00000000-0005-0000-0000-0000ADA10000}"/>
    <cellStyle name="Normal 6 2 4 21 4 2" xfId="32224" xr:uid="{00000000-0005-0000-0000-0000AEA10000}"/>
    <cellStyle name="Normal 6 2 4 21 4 3" xfId="46119" xr:uid="{00000000-0005-0000-0000-0000AFA10000}"/>
    <cellStyle name="Normal 6 2 4 21 5" xfId="22905" xr:uid="{00000000-0005-0000-0000-0000B0A10000}"/>
    <cellStyle name="Normal 6 2 4 21 6" xfId="41537" xr:uid="{00000000-0005-0000-0000-0000B1A10000}"/>
    <cellStyle name="Normal 6 2 4 22" xfId="7582" xr:uid="{00000000-0005-0000-0000-0000B2A10000}"/>
    <cellStyle name="Normal 6 2 4 22 2" xfId="7583" xr:uid="{00000000-0005-0000-0000-0000B3A10000}"/>
    <cellStyle name="Normal 6 2 4 22 2 2" xfId="13364" xr:uid="{00000000-0005-0000-0000-0000B4A10000}"/>
    <cellStyle name="Normal 6 2 4 22 2 2 2" xfId="36849" xr:uid="{00000000-0005-0000-0000-0000B5A10000}"/>
    <cellStyle name="Normal 6 2 4 22 2 2 3" xfId="27530" xr:uid="{00000000-0005-0000-0000-0000B6A10000}"/>
    <cellStyle name="Normal 6 2 4 22 2 2 4" xfId="50792" xr:uid="{00000000-0005-0000-0000-0000B7A10000}"/>
    <cellStyle name="Normal 6 2 4 22 2 3" xfId="18095" xr:uid="{00000000-0005-0000-0000-0000B8A10000}"/>
    <cellStyle name="Normal 6 2 4 22 2 3 2" xfId="32227" xr:uid="{00000000-0005-0000-0000-0000B9A10000}"/>
    <cellStyle name="Normal 6 2 4 22 2 3 3" xfId="46122" xr:uid="{00000000-0005-0000-0000-0000BAA10000}"/>
    <cellStyle name="Normal 6 2 4 22 2 4" xfId="22908" xr:uid="{00000000-0005-0000-0000-0000BBA10000}"/>
    <cellStyle name="Normal 6 2 4 22 2 5" xfId="41540" xr:uid="{00000000-0005-0000-0000-0000BCA10000}"/>
    <cellStyle name="Normal 6 2 4 22 3" xfId="13363" xr:uid="{00000000-0005-0000-0000-0000BDA10000}"/>
    <cellStyle name="Normal 6 2 4 22 3 2" xfId="36848" xr:uid="{00000000-0005-0000-0000-0000BEA10000}"/>
    <cellStyle name="Normal 6 2 4 22 3 3" xfId="27529" xr:uid="{00000000-0005-0000-0000-0000BFA10000}"/>
    <cellStyle name="Normal 6 2 4 22 3 4" xfId="50791" xr:uid="{00000000-0005-0000-0000-0000C0A10000}"/>
    <cellStyle name="Normal 6 2 4 22 4" xfId="18094" xr:uid="{00000000-0005-0000-0000-0000C1A10000}"/>
    <cellStyle name="Normal 6 2 4 22 4 2" xfId="32226" xr:uid="{00000000-0005-0000-0000-0000C2A10000}"/>
    <cellStyle name="Normal 6 2 4 22 4 3" xfId="46121" xr:uid="{00000000-0005-0000-0000-0000C3A10000}"/>
    <cellStyle name="Normal 6 2 4 22 5" xfId="22907" xr:uid="{00000000-0005-0000-0000-0000C4A10000}"/>
    <cellStyle name="Normal 6 2 4 22 6" xfId="41539" xr:uid="{00000000-0005-0000-0000-0000C5A10000}"/>
    <cellStyle name="Normal 6 2 4 23" xfId="7584" xr:uid="{00000000-0005-0000-0000-0000C6A10000}"/>
    <cellStyle name="Normal 6 2 4 23 2" xfId="7585" xr:uid="{00000000-0005-0000-0000-0000C7A10000}"/>
    <cellStyle name="Normal 6 2 4 23 2 2" xfId="13366" xr:uid="{00000000-0005-0000-0000-0000C8A10000}"/>
    <cellStyle name="Normal 6 2 4 23 2 2 2" xfId="36851" xr:uid="{00000000-0005-0000-0000-0000C9A10000}"/>
    <cellStyle name="Normal 6 2 4 23 2 2 3" xfId="27532" xr:uid="{00000000-0005-0000-0000-0000CAA10000}"/>
    <cellStyle name="Normal 6 2 4 23 2 2 4" xfId="50794" xr:uid="{00000000-0005-0000-0000-0000CBA10000}"/>
    <cellStyle name="Normal 6 2 4 23 2 3" xfId="18097" xr:uid="{00000000-0005-0000-0000-0000CCA10000}"/>
    <cellStyle name="Normal 6 2 4 23 2 3 2" xfId="32229" xr:uid="{00000000-0005-0000-0000-0000CDA10000}"/>
    <cellStyle name="Normal 6 2 4 23 2 3 3" xfId="46124" xr:uid="{00000000-0005-0000-0000-0000CEA10000}"/>
    <cellStyle name="Normal 6 2 4 23 2 4" xfId="22910" xr:uid="{00000000-0005-0000-0000-0000CFA10000}"/>
    <cellStyle name="Normal 6 2 4 23 2 5" xfId="41542" xr:uid="{00000000-0005-0000-0000-0000D0A10000}"/>
    <cellStyle name="Normal 6 2 4 23 3" xfId="13365" xr:uid="{00000000-0005-0000-0000-0000D1A10000}"/>
    <cellStyle name="Normal 6 2 4 23 3 2" xfId="36850" xr:uid="{00000000-0005-0000-0000-0000D2A10000}"/>
    <cellStyle name="Normal 6 2 4 23 3 3" xfId="27531" xr:uid="{00000000-0005-0000-0000-0000D3A10000}"/>
    <cellStyle name="Normal 6 2 4 23 3 4" xfId="50793" xr:uid="{00000000-0005-0000-0000-0000D4A10000}"/>
    <cellStyle name="Normal 6 2 4 23 4" xfId="18096" xr:uid="{00000000-0005-0000-0000-0000D5A10000}"/>
    <cellStyle name="Normal 6 2 4 23 4 2" xfId="32228" xr:uid="{00000000-0005-0000-0000-0000D6A10000}"/>
    <cellStyle name="Normal 6 2 4 23 4 3" xfId="46123" xr:uid="{00000000-0005-0000-0000-0000D7A10000}"/>
    <cellStyle name="Normal 6 2 4 23 5" xfId="22909" xr:uid="{00000000-0005-0000-0000-0000D8A10000}"/>
    <cellStyle name="Normal 6 2 4 23 6" xfId="41541" xr:uid="{00000000-0005-0000-0000-0000D9A10000}"/>
    <cellStyle name="Normal 6 2 4 24" xfId="7586" xr:uid="{00000000-0005-0000-0000-0000DAA10000}"/>
    <cellStyle name="Normal 6 2 4 24 2" xfId="13367" xr:uid="{00000000-0005-0000-0000-0000DBA10000}"/>
    <cellStyle name="Normal 6 2 4 24 2 2" xfId="36852" xr:uid="{00000000-0005-0000-0000-0000DCA10000}"/>
    <cellStyle name="Normal 6 2 4 24 2 3" xfId="27533" xr:uid="{00000000-0005-0000-0000-0000DDA10000}"/>
    <cellStyle name="Normal 6 2 4 24 2 4" xfId="50795" xr:uid="{00000000-0005-0000-0000-0000DEA10000}"/>
    <cellStyle name="Normal 6 2 4 24 3" xfId="18098" xr:uid="{00000000-0005-0000-0000-0000DFA10000}"/>
    <cellStyle name="Normal 6 2 4 24 3 2" xfId="32230" xr:uid="{00000000-0005-0000-0000-0000E0A10000}"/>
    <cellStyle name="Normal 6 2 4 24 3 3" xfId="46125" xr:uid="{00000000-0005-0000-0000-0000E1A10000}"/>
    <cellStyle name="Normal 6 2 4 24 4" xfId="22911" xr:uid="{00000000-0005-0000-0000-0000E2A10000}"/>
    <cellStyle name="Normal 6 2 4 24 5" xfId="41543" xr:uid="{00000000-0005-0000-0000-0000E3A10000}"/>
    <cellStyle name="Normal 6 2 4 25" xfId="7587" xr:uid="{00000000-0005-0000-0000-0000E4A10000}"/>
    <cellStyle name="Normal 6 2 4 25 2" xfId="13368" xr:uid="{00000000-0005-0000-0000-0000E5A10000}"/>
    <cellStyle name="Normal 6 2 4 25 2 2" xfId="36853" xr:uid="{00000000-0005-0000-0000-0000E6A10000}"/>
    <cellStyle name="Normal 6 2 4 25 2 3" xfId="27534" xr:uid="{00000000-0005-0000-0000-0000E7A10000}"/>
    <cellStyle name="Normal 6 2 4 25 2 4" xfId="50796" xr:uid="{00000000-0005-0000-0000-0000E8A10000}"/>
    <cellStyle name="Normal 6 2 4 25 3" xfId="18099" xr:uid="{00000000-0005-0000-0000-0000E9A10000}"/>
    <cellStyle name="Normal 6 2 4 25 3 2" xfId="32231" xr:uid="{00000000-0005-0000-0000-0000EAA10000}"/>
    <cellStyle name="Normal 6 2 4 25 3 3" xfId="46126" xr:uid="{00000000-0005-0000-0000-0000EBA10000}"/>
    <cellStyle name="Normal 6 2 4 25 4" xfId="22912" xr:uid="{00000000-0005-0000-0000-0000ECA10000}"/>
    <cellStyle name="Normal 6 2 4 25 5" xfId="41544" xr:uid="{00000000-0005-0000-0000-0000EDA10000}"/>
    <cellStyle name="Normal 6 2 4 26" xfId="9458" xr:uid="{00000000-0005-0000-0000-0000EEA10000}"/>
    <cellStyle name="Normal 6 2 4 26 10" xfId="14377" xr:uid="{00000000-0005-0000-0000-0000EFA10000}"/>
    <cellStyle name="Normal 6 2 4 26 10 2" xfId="32975" xr:uid="{00000000-0005-0000-0000-0000F0A10000}"/>
    <cellStyle name="Normal 6 2 4 26 10 3" xfId="51558" xr:uid="{00000000-0005-0000-0000-0000F1A10000}"/>
    <cellStyle name="Normal 6 2 4 26 11" xfId="23661" xr:uid="{00000000-0005-0000-0000-0000F2A10000}"/>
    <cellStyle name="Normal 6 2 4 26 11 2" xfId="46879" xr:uid="{00000000-0005-0000-0000-0000F3A10000}"/>
    <cellStyle name="Normal 6 2 4 26 12" xfId="42248" xr:uid="{00000000-0005-0000-0000-0000F4A10000}"/>
    <cellStyle name="Normal 6 2 4 26 13" xfId="51668" xr:uid="{00000000-0005-0000-0000-0000F5A10000}"/>
    <cellStyle name="Normal 6 2 4 26 14" xfId="51691" xr:uid="{00000000-0005-0000-0000-0000F6A10000}"/>
    <cellStyle name="Normal 6 2 4 26 15" xfId="51712" xr:uid="{00000000-0005-0000-0000-0000F7A10000}"/>
    <cellStyle name="Normal 6 2 4 26 16" xfId="51755" xr:uid="{00000000-0005-0000-0000-0000F8A10000}"/>
    <cellStyle name="Normal 6 2 4 26 17" xfId="51761" xr:uid="{00000000-0005-0000-0000-0000F9A10000}"/>
    <cellStyle name="Normal 6 2 4 26 18" xfId="51771" xr:uid="{00000000-0005-0000-0000-0000FAA10000}"/>
    <cellStyle name="Normal 6 2 4 26 2" xfId="9547" xr:uid="{00000000-0005-0000-0000-0000FBA10000}"/>
    <cellStyle name="Normal 6 2 4 26 2 2" xfId="9574" xr:uid="{00000000-0005-0000-0000-0000FCA10000}"/>
    <cellStyle name="Normal 6 2 4 26 2 2 2" xfId="14233" xr:uid="{00000000-0005-0000-0000-0000FDA10000}"/>
    <cellStyle name="Normal 6 2 4 26 2 2 2 2" xfId="37708" xr:uid="{00000000-0005-0000-0000-0000FEA10000}"/>
    <cellStyle name="Normal 6 2 4 26 2 2 2 2 2 2 2 2" xfId="14359" xr:uid="{00000000-0005-0000-0000-0000FFA10000}"/>
    <cellStyle name="Normal 6 2 4 26 2 2 2 2 2 2 2 2 2" xfId="14378" xr:uid="{00000000-0005-0000-0000-000000A20000}"/>
    <cellStyle name="Normal 6 2 4 26 2 2 2 2 2 2 2 2 3" xfId="51680" xr:uid="{00000000-0005-0000-0000-000001A20000}"/>
    <cellStyle name="Normal 6 2 4 26 2 2 2 2 2 2 2 2 4" xfId="51698" xr:uid="{00000000-0005-0000-0000-000002A20000}"/>
    <cellStyle name="Normal 6 2 4 26 2 2 2 2 2 2 2 2 5" xfId="51719" xr:uid="{00000000-0005-0000-0000-000003A20000}"/>
    <cellStyle name="Normal 6 2 4 26 2 2 2 2 2 2 2 2 6" xfId="51756" xr:uid="{00000000-0005-0000-0000-000004A20000}"/>
    <cellStyle name="Normal 6 2 4 26 2 2 2 2 2 2 2 2 7" xfId="51762" xr:uid="{00000000-0005-0000-0000-000005A20000}"/>
    <cellStyle name="Normal 6 2 4 26 2 2 2 2 2 2 2 2 8" xfId="51767" xr:uid="{00000000-0005-0000-0000-000006A20000}"/>
    <cellStyle name="Normal 6 2 4 26 2 2 2 2 2 2 2 2 9" xfId="51772" xr:uid="{00000000-0005-0000-0000-000007A20000}"/>
    <cellStyle name="Normal 6 2 4 26 2 2 2 3" xfId="28393" xr:uid="{00000000-0005-0000-0000-000008A20000}"/>
    <cellStyle name="Normal 6 2 4 26 2 2 2 4" xfId="46982" xr:uid="{00000000-0005-0000-0000-000009A20000}"/>
    <cellStyle name="Normal 6 2 4 26 2 2 3" xfId="33072" xr:uid="{00000000-0005-0000-0000-00000AA20000}"/>
    <cellStyle name="Normal 6 2 4 26 2 2 4" xfId="23761" xr:uid="{00000000-0005-0000-0000-00000BA20000}"/>
    <cellStyle name="Normal 6 2 4 26 2 2 5" xfId="42346" xr:uid="{00000000-0005-0000-0000-00000CA20000}"/>
    <cellStyle name="Normal 6 2 4 26 2 3" xfId="9591" xr:uid="{00000000-0005-0000-0000-00000DA20000}"/>
    <cellStyle name="Normal 6 2 4 26 2 3 2" xfId="14249" xr:uid="{00000000-0005-0000-0000-00000EA20000}"/>
    <cellStyle name="Normal 6 2 4 26 2 3 2 2" xfId="37724" xr:uid="{00000000-0005-0000-0000-00000FA20000}"/>
    <cellStyle name="Normal 6 2 4 26 2 3 2 3" xfId="28409" xr:uid="{00000000-0005-0000-0000-000010A20000}"/>
    <cellStyle name="Normal 6 2 4 26 2 3 2 4" xfId="46998" xr:uid="{00000000-0005-0000-0000-000011A20000}"/>
    <cellStyle name="Normal 6 2 4 26 2 3 3" xfId="14380" xr:uid="{00000000-0005-0000-0000-000012A20000}"/>
    <cellStyle name="Normal 6 2 4 26 2 3 3 2" xfId="33088" xr:uid="{00000000-0005-0000-0000-000013A20000}"/>
    <cellStyle name="Normal 6 2 4 26 2 3 4" xfId="23777" xr:uid="{00000000-0005-0000-0000-000014A20000}"/>
    <cellStyle name="Normal 6 2 4 26 2 3 5" xfId="42362" xr:uid="{00000000-0005-0000-0000-000015A20000}"/>
    <cellStyle name="Normal 6 2 4 26 2 3 6" xfId="51686" xr:uid="{00000000-0005-0000-0000-000016A20000}"/>
    <cellStyle name="Normal 6 2 4 26 2 3 7" xfId="51703" xr:uid="{00000000-0005-0000-0000-000017A20000}"/>
    <cellStyle name="Normal 6 2 4 26 2 3 8" xfId="51725" xr:uid="{00000000-0005-0000-0000-000018A20000}"/>
    <cellStyle name="Normal 6 2 4 26 2 4" xfId="9610" xr:uid="{00000000-0005-0000-0000-000019A20000}"/>
    <cellStyle name="Normal 6 2 4 26 2 4 2" xfId="14266" xr:uid="{00000000-0005-0000-0000-00001AA20000}"/>
    <cellStyle name="Normal 6 2 4 26 2 4 2 2" xfId="37741" xr:uid="{00000000-0005-0000-0000-00001BA20000}"/>
    <cellStyle name="Normal 6 2 4 26 2 4 2 3" xfId="28426" xr:uid="{00000000-0005-0000-0000-00001CA20000}"/>
    <cellStyle name="Normal 6 2 4 26 2 4 2 4" xfId="47015" xr:uid="{00000000-0005-0000-0000-00001DA20000}"/>
    <cellStyle name="Normal 6 2 4 26 2 4 3" xfId="33105" xr:uid="{00000000-0005-0000-0000-00001EA20000}"/>
    <cellStyle name="Normal 6 2 4 26 2 4 4" xfId="23794" xr:uid="{00000000-0005-0000-0000-00001FA20000}"/>
    <cellStyle name="Normal 6 2 4 26 2 4 5" xfId="42379" xr:uid="{00000000-0005-0000-0000-000020A20000}"/>
    <cellStyle name="Normal 6 2 4 26 2 5" xfId="14207" xr:uid="{00000000-0005-0000-0000-000021A20000}"/>
    <cellStyle name="Normal 6 2 4 26 2 5 2" xfId="37682" xr:uid="{00000000-0005-0000-0000-000022A20000}"/>
    <cellStyle name="Normal 6 2 4 26 2 5 3" xfId="28367" xr:uid="{00000000-0005-0000-0000-000023A20000}"/>
    <cellStyle name="Normal 6 2 4 26 2 5 4" xfId="47036" xr:uid="{00000000-0005-0000-0000-000024A20000}"/>
    <cellStyle name="Normal 6 2 4 26 2 6" xfId="33046" xr:uid="{00000000-0005-0000-0000-000025A20000}"/>
    <cellStyle name="Normal 6 2 4 26 2 6 2" xfId="46956" xr:uid="{00000000-0005-0000-0000-000026A20000}"/>
    <cellStyle name="Normal 6 2 4 26 2 7" xfId="23735" xr:uid="{00000000-0005-0000-0000-000027A20000}"/>
    <cellStyle name="Normal 6 2 4 26 2 8" xfId="42320" xr:uid="{00000000-0005-0000-0000-000028A20000}"/>
    <cellStyle name="Normal 6 2 4 26 3" xfId="9560" xr:uid="{00000000-0005-0000-0000-000029A20000}"/>
    <cellStyle name="Normal 6 2 4 26 3 2" xfId="14219" xr:uid="{00000000-0005-0000-0000-00002AA20000}"/>
    <cellStyle name="Normal 6 2 4 26 3 2 2" xfId="37694" xr:uid="{00000000-0005-0000-0000-00002BA20000}"/>
    <cellStyle name="Normal 6 2 4 26 3 2 3" xfId="28379" xr:uid="{00000000-0005-0000-0000-00002CA20000}"/>
    <cellStyle name="Normal 6 2 4 26 3 2 4" xfId="46968" xr:uid="{00000000-0005-0000-0000-00002DA20000}"/>
    <cellStyle name="Normal 6 2 4 26 3 3" xfId="33058" xr:uid="{00000000-0005-0000-0000-00002EA20000}"/>
    <cellStyle name="Normal 6 2 4 26 3 4" xfId="23747" xr:uid="{00000000-0005-0000-0000-00002FA20000}"/>
    <cellStyle name="Normal 6 2 4 26 3 5" xfId="42332" xr:uid="{00000000-0005-0000-0000-000030A20000}"/>
    <cellStyle name="Normal 6 2 4 26 4" xfId="9568" xr:uid="{00000000-0005-0000-0000-000031A20000}"/>
    <cellStyle name="Normal 6 2 4 26 4 2" xfId="14227" xr:uid="{00000000-0005-0000-0000-000032A20000}"/>
    <cellStyle name="Normal 6 2 4 26 4 2 2" xfId="37702" xr:uid="{00000000-0005-0000-0000-000033A20000}"/>
    <cellStyle name="Normal 6 2 4 26 4 2 3" xfId="28387" xr:uid="{00000000-0005-0000-0000-000034A20000}"/>
    <cellStyle name="Normal 6 2 4 26 4 2 4" xfId="46976" xr:uid="{00000000-0005-0000-0000-000035A20000}"/>
    <cellStyle name="Normal 6 2 4 26 4 3" xfId="33066" xr:uid="{00000000-0005-0000-0000-000036A20000}"/>
    <cellStyle name="Normal 6 2 4 26 4 4" xfId="23755" xr:uid="{00000000-0005-0000-0000-000037A20000}"/>
    <cellStyle name="Normal 6 2 4 26 4 5" xfId="42340" xr:uid="{00000000-0005-0000-0000-000038A20000}"/>
    <cellStyle name="Normal 6 2 4 26 5" xfId="9577" xr:uid="{00000000-0005-0000-0000-000039A20000}"/>
    <cellStyle name="Normal 6 2 4 26 5 2" xfId="14236" xr:uid="{00000000-0005-0000-0000-00003AA20000}"/>
    <cellStyle name="Normal 6 2 4 26 5 2 2" xfId="37711" xr:uid="{00000000-0005-0000-0000-00003BA20000}"/>
    <cellStyle name="Normal 6 2 4 26 5 2 3" xfId="28396" xr:uid="{00000000-0005-0000-0000-00003CA20000}"/>
    <cellStyle name="Normal 6 2 4 26 5 2 4" xfId="46985" xr:uid="{00000000-0005-0000-0000-00003DA20000}"/>
    <cellStyle name="Normal 6 2 4 26 5 3" xfId="33075" xr:uid="{00000000-0005-0000-0000-00003EA20000}"/>
    <cellStyle name="Normal 6 2 4 26 5 4" xfId="23764" xr:uid="{00000000-0005-0000-0000-00003FA20000}"/>
    <cellStyle name="Normal 6 2 4 26 5 5" xfId="42349" xr:uid="{00000000-0005-0000-0000-000040A20000}"/>
    <cellStyle name="Normal 6 2 4 26 6" xfId="9582" xr:uid="{00000000-0005-0000-0000-000041A20000}"/>
    <cellStyle name="Normal 6 2 4 26 6 2" xfId="14241" xr:uid="{00000000-0005-0000-0000-000042A20000}"/>
    <cellStyle name="Normal 6 2 4 26 6 2 2" xfId="37716" xr:uid="{00000000-0005-0000-0000-000043A20000}"/>
    <cellStyle name="Normal 6 2 4 26 6 2 3" xfId="28401" xr:uid="{00000000-0005-0000-0000-000044A20000}"/>
    <cellStyle name="Normal 6 2 4 26 6 2 4" xfId="46990" xr:uid="{00000000-0005-0000-0000-000045A20000}"/>
    <cellStyle name="Normal 6 2 4 26 6 3" xfId="33080" xr:uid="{00000000-0005-0000-0000-000046A20000}"/>
    <cellStyle name="Normal 6 2 4 26 6 4" xfId="23769" xr:uid="{00000000-0005-0000-0000-000047A20000}"/>
    <cellStyle name="Normal 6 2 4 26 6 5" xfId="42354" xr:uid="{00000000-0005-0000-0000-000048A20000}"/>
    <cellStyle name="Normal 6 2 4 26 7" xfId="9604" xr:uid="{00000000-0005-0000-0000-000049A20000}"/>
    <cellStyle name="Normal 6 2 4 26 7 2" xfId="14260" xr:uid="{00000000-0005-0000-0000-00004AA20000}"/>
    <cellStyle name="Normal 6 2 4 26 7 2 2" xfId="37735" xr:uid="{00000000-0005-0000-0000-00004BA20000}"/>
    <cellStyle name="Normal 6 2 4 26 7 2 3" xfId="28420" xr:uid="{00000000-0005-0000-0000-00004CA20000}"/>
    <cellStyle name="Normal 6 2 4 26 7 2 4" xfId="47009" xr:uid="{00000000-0005-0000-0000-00004DA20000}"/>
    <cellStyle name="Normal 6 2 4 26 7 3" xfId="33099" xr:uid="{00000000-0005-0000-0000-00004EA20000}"/>
    <cellStyle name="Normal 6 2 4 26 7 4" xfId="23788" xr:uid="{00000000-0005-0000-0000-00004FA20000}"/>
    <cellStyle name="Normal 6 2 4 26 7 5" xfId="42373" xr:uid="{00000000-0005-0000-0000-000050A20000}"/>
    <cellStyle name="Normal 6 2 4 26 8" xfId="9615" xr:uid="{00000000-0005-0000-0000-000051A20000}"/>
    <cellStyle name="Normal 6 2 4 26 8 2" xfId="14271" xr:uid="{00000000-0005-0000-0000-000052A20000}"/>
    <cellStyle name="Normal 6 2 4 26 8 2 2" xfId="37746" xr:uid="{00000000-0005-0000-0000-000053A20000}"/>
    <cellStyle name="Normal 6 2 4 26 8 2 3" xfId="28431" xr:uid="{00000000-0005-0000-0000-000054A20000}"/>
    <cellStyle name="Normal 6 2 4 26 8 2 4" xfId="47020" xr:uid="{00000000-0005-0000-0000-000055A20000}"/>
    <cellStyle name="Normal 6 2 4 26 8 3" xfId="33110" xr:uid="{00000000-0005-0000-0000-000056A20000}"/>
    <cellStyle name="Normal 6 2 4 26 8 4" xfId="23799" xr:uid="{00000000-0005-0000-0000-000057A20000}"/>
    <cellStyle name="Normal 6 2 4 26 8 5" xfId="42384" xr:uid="{00000000-0005-0000-0000-000058A20000}"/>
    <cellStyle name="Normal 6 2 4 26 9" xfId="14130" xr:uid="{00000000-0005-0000-0000-000059A20000}"/>
    <cellStyle name="Normal 6 2 4 26 9 2" xfId="37609" xr:uid="{00000000-0005-0000-0000-00005AA20000}"/>
    <cellStyle name="Normal 6 2 4 26 9 3" xfId="28295" xr:uid="{00000000-0005-0000-0000-00005BA20000}"/>
    <cellStyle name="Normal 6 2 4 26 9 4" xfId="47035" xr:uid="{00000000-0005-0000-0000-00005CA20000}"/>
    <cellStyle name="Normal 6 2 4 27" xfId="9548" xr:uid="{00000000-0005-0000-0000-00005DA20000}"/>
    <cellStyle name="Normal 6 2 4 27 10" xfId="51683" xr:uid="{00000000-0005-0000-0000-00005EA20000}"/>
    <cellStyle name="Normal 6 2 4 27 11" xfId="51700" xr:uid="{00000000-0005-0000-0000-00005FA20000}"/>
    <cellStyle name="Normal 6 2 4 27 12" xfId="51722" xr:uid="{00000000-0005-0000-0000-000060A20000}"/>
    <cellStyle name="Normal 6 2 4 27 2" xfId="9561" xr:uid="{00000000-0005-0000-0000-000061A20000}"/>
    <cellStyle name="Normal 6 2 4 27 2 2" xfId="14220" xr:uid="{00000000-0005-0000-0000-000062A20000}"/>
    <cellStyle name="Normal 6 2 4 27 2 2 2" xfId="37695" xr:uid="{00000000-0005-0000-0000-000063A20000}"/>
    <cellStyle name="Normal 6 2 4 27 2 2 3" xfId="28380" xr:uid="{00000000-0005-0000-0000-000064A20000}"/>
    <cellStyle name="Normal 6 2 4 27 2 2 4" xfId="46969" xr:uid="{00000000-0005-0000-0000-000065A20000}"/>
    <cellStyle name="Normal 6 2 4 27 2 3" xfId="33059" xr:uid="{00000000-0005-0000-0000-000066A20000}"/>
    <cellStyle name="Normal 6 2 4 27 2 4" xfId="23748" xr:uid="{00000000-0005-0000-0000-000067A20000}"/>
    <cellStyle name="Normal 6 2 4 27 2 5" xfId="42333" xr:uid="{00000000-0005-0000-0000-000068A20000}"/>
    <cellStyle name="Normal 6 2 4 27 3" xfId="9569" xr:uid="{00000000-0005-0000-0000-000069A20000}"/>
    <cellStyle name="Normal 6 2 4 27 3 2" xfId="14228" xr:uid="{00000000-0005-0000-0000-00006AA20000}"/>
    <cellStyle name="Normal 6 2 4 27 3 2 2" xfId="37703" xr:uid="{00000000-0005-0000-0000-00006BA20000}"/>
    <cellStyle name="Normal 6 2 4 27 3 2 3" xfId="28388" xr:uid="{00000000-0005-0000-0000-00006CA20000}"/>
    <cellStyle name="Normal 6 2 4 27 3 2 4" xfId="46977" xr:uid="{00000000-0005-0000-0000-00006DA20000}"/>
    <cellStyle name="Normal 6 2 4 27 3 3" xfId="33067" xr:uid="{00000000-0005-0000-0000-00006EA20000}"/>
    <cellStyle name="Normal 6 2 4 27 3 4" xfId="23756" xr:uid="{00000000-0005-0000-0000-00006FA20000}"/>
    <cellStyle name="Normal 6 2 4 27 3 5" xfId="42341" xr:uid="{00000000-0005-0000-0000-000070A20000}"/>
    <cellStyle name="Normal 6 2 4 27 4" xfId="9586" xr:uid="{00000000-0005-0000-0000-000071A20000}"/>
    <cellStyle name="Normal 6 2 4 27 4 2" xfId="14244" xr:uid="{00000000-0005-0000-0000-000072A20000}"/>
    <cellStyle name="Normal 6 2 4 27 4 2 2" xfId="37719" xr:uid="{00000000-0005-0000-0000-000073A20000}"/>
    <cellStyle name="Normal 6 2 4 27 4 2 3" xfId="28404" xr:uid="{00000000-0005-0000-0000-000074A20000}"/>
    <cellStyle name="Normal 6 2 4 27 4 2 4" xfId="46993" xr:uid="{00000000-0005-0000-0000-000075A20000}"/>
    <cellStyle name="Normal 6 2 4 27 4 3" xfId="33083" xr:uid="{00000000-0005-0000-0000-000076A20000}"/>
    <cellStyle name="Normal 6 2 4 27 4 4" xfId="23772" xr:uid="{00000000-0005-0000-0000-000077A20000}"/>
    <cellStyle name="Normal 6 2 4 27 4 5" xfId="42357" xr:uid="{00000000-0005-0000-0000-000078A20000}"/>
    <cellStyle name="Normal 6 2 4 27 5" xfId="9606" xr:uid="{00000000-0005-0000-0000-000079A20000}"/>
    <cellStyle name="Normal 6 2 4 27 5 2" xfId="14262" xr:uid="{00000000-0005-0000-0000-00007AA20000}"/>
    <cellStyle name="Normal 6 2 4 27 5 2 2" xfId="37737" xr:uid="{00000000-0005-0000-0000-00007BA20000}"/>
    <cellStyle name="Normal 6 2 4 27 5 2 3" xfId="28422" xr:uid="{00000000-0005-0000-0000-00007CA20000}"/>
    <cellStyle name="Normal 6 2 4 27 5 2 4" xfId="47011" xr:uid="{00000000-0005-0000-0000-00007DA20000}"/>
    <cellStyle name="Normal 6 2 4 27 5 3" xfId="33101" xr:uid="{00000000-0005-0000-0000-00007EA20000}"/>
    <cellStyle name="Normal 6 2 4 27 5 4" xfId="23790" xr:uid="{00000000-0005-0000-0000-00007FA20000}"/>
    <cellStyle name="Normal 6 2 4 27 5 5" xfId="42375" xr:uid="{00000000-0005-0000-0000-000080A20000}"/>
    <cellStyle name="Normal 6 2 4 27 6" xfId="14208" xr:uid="{00000000-0005-0000-0000-000081A20000}"/>
    <cellStyle name="Normal 6 2 4 27 6 2" xfId="37683" xr:uid="{00000000-0005-0000-0000-000082A20000}"/>
    <cellStyle name="Normal 6 2 4 27 6 3" xfId="28368" xr:uid="{00000000-0005-0000-0000-000083A20000}"/>
    <cellStyle name="Normal 6 2 4 27 6 4" xfId="47037" xr:uid="{00000000-0005-0000-0000-000084A20000}"/>
    <cellStyle name="Normal 6 2 4 27 7" xfId="14383" xr:uid="{00000000-0005-0000-0000-000085A20000}"/>
    <cellStyle name="Normal 6 2 4 27 7 2" xfId="33047" xr:uid="{00000000-0005-0000-0000-000086A20000}"/>
    <cellStyle name="Normal 6 2 4 27 7 3" xfId="46957" xr:uid="{00000000-0005-0000-0000-000087A20000}"/>
    <cellStyle name="Normal 6 2 4 27 8" xfId="23736" xr:uid="{00000000-0005-0000-0000-000088A20000}"/>
    <cellStyle name="Normal 6 2 4 27 9" xfId="42321" xr:uid="{00000000-0005-0000-0000-000089A20000}"/>
    <cellStyle name="Normal 6 2 4 28" xfId="9689" xr:uid="{00000000-0005-0000-0000-00008AA20000}"/>
    <cellStyle name="Normal 6 2 4 28 2" xfId="33180" xr:uid="{00000000-0005-0000-0000-00008BA20000}"/>
    <cellStyle name="Normal 6 2 4 28 3" xfId="23865" xr:uid="{00000000-0005-0000-0000-00008CA20000}"/>
    <cellStyle name="Normal 6 2 4 28 4" xfId="47033" xr:uid="{00000000-0005-0000-0000-00008DA20000}"/>
    <cellStyle name="Normal 6 2 4 29" xfId="28581" xr:uid="{00000000-0005-0000-0000-00008EA20000}"/>
    <cellStyle name="Normal 6 2 4 29 2" xfId="47123" xr:uid="{00000000-0005-0000-0000-00008FA20000}"/>
    <cellStyle name="Normal 6 2 4 3" xfId="7588" xr:uid="{00000000-0005-0000-0000-000090A20000}"/>
    <cellStyle name="Normal 6 2 4 3 10" xfId="13369" xr:uid="{00000000-0005-0000-0000-000091A20000}"/>
    <cellStyle name="Normal 6 2 4 3 10 2" xfId="36854" xr:uid="{00000000-0005-0000-0000-000092A20000}"/>
    <cellStyle name="Normal 6 2 4 3 10 3" xfId="27535" xr:uid="{00000000-0005-0000-0000-000093A20000}"/>
    <cellStyle name="Normal 6 2 4 3 10 4" xfId="47026" xr:uid="{00000000-0005-0000-0000-000094A20000}"/>
    <cellStyle name="Normal 6 2 4 3 11" xfId="14374" xr:uid="{00000000-0005-0000-0000-000095A20000}"/>
    <cellStyle name="Normal 6 2 4 3 11 2" xfId="32232" xr:uid="{00000000-0005-0000-0000-000096A20000}"/>
    <cellStyle name="Normal 6 2 4 3 11 3" xfId="50797" xr:uid="{00000000-0005-0000-0000-000097A20000}"/>
    <cellStyle name="Normal 6 2 4 3 12" xfId="14384" xr:uid="{00000000-0005-0000-0000-000098A20000}"/>
    <cellStyle name="Normal 6 2 4 3 12 2" xfId="46127" xr:uid="{00000000-0005-0000-0000-000099A20000}"/>
    <cellStyle name="Normal 6 2 4 3 13" xfId="18100" xr:uid="{00000000-0005-0000-0000-00009AA20000}"/>
    <cellStyle name="Normal 6 2 4 3 14" xfId="22913" xr:uid="{00000000-0005-0000-0000-00009BA20000}"/>
    <cellStyle name="Normal 6 2 4 3 15" xfId="41545" xr:uid="{00000000-0005-0000-0000-00009CA20000}"/>
    <cellStyle name="Normal 6 2 4 3 16" xfId="51667" xr:uid="{00000000-0005-0000-0000-00009DA20000}"/>
    <cellStyle name="Normal 6 2 4 3 17" xfId="51690" xr:uid="{00000000-0005-0000-0000-00009EA20000}"/>
    <cellStyle name="Normal 6 2 4 3 18" xfId="51711" xr:uid="{00000000-0005-0000-0000-00009FA20000}"/>
    <cellStyle name="Normal 6 2 4 3 19" xfId="51753" xr:uid="{00000000-0005-0000-0000-0000A0A20000}"/>
    <cellStyle name="Normal 6 2 4 3 2" xfId="7589" xr:uid="{00000000-0005-0000-0000-0000A1A20000}"/>
    <cellStyle name="Normal 6 2 4 3 2 2" xfId="13370" xr:uid="{00000000-0005-0000-0000-0000A2A20000}"/>
    <cellStyle name="Normal 6 2 4 3 2 2 2" xfId="36855" xr:uid="{00000000-0005-0000-0000-0000A3A20000}"/>
    <cellStyle name="Normal 6 2 4 3 2 2 2 2 2 2" xfId="14361" xr:uid="{00000000-0005-0000-0000-0000A4A20000}"/>
    <cellStyle name="Normal 6 2 4 3 2 2 2 2 2 2 2" xfId="51682" xr:uid="{00000000-0005-0000-0000-0000A5A20000}"/>
    <cellStyle name="Normal 6 2 4 3 2 2 2 2 2 2 3" xfId="51699" xr:uid="{00000000-0005-0000-0000-0000A6A20000}"/>
    <cellStyle name="Normal 6 2 4 3 2 2 2 2 2 2 4" xfId="51721" xr:uid="{00000000-0005-0000-0000-0000A7A20000}"/>
    <cellStyle name="Normal 6 2 4 3 2 2 3" xfId="27536" xr:uid="{00000000-0005-0000-0000-0000A8A20000}"/>
    <cellStyle name="Normal 6 2 4 3 2 2 4" xfId="50798" xr:uid="{00000000-0005-0000-0000-0000A9A20000}"/>
    <cellStyle name="Normal 6 2 4 3 2 3" xfId="18101" xr:uid="{00000000-0005-0000-0000-0000AAA20000}"/>
    <cellStyle name="Normal 6 2 4 3 2 3 2" xfId="32233" xr:uid="{00000000-0005-0000-0000-0000ABA20000}"/>
    <cellStyle name="Normal 6 2 4 3 2 3 3" xfId="46128" xr:uid="{00000000-0005-0000-0000-0000ACA20000}"/>
    <cellStyle name="Normal 6 2 4 3 2 4" xfId="22914" xr:uid="{00000000-0005-0000-0000-0000ADA20000}"/>
    <cellStyle name="Normal 6 2 4 3 2 5" xfId="41546" xr:uid="{00000000-0005-0000-0000-0000AEA20000}"/>
    <cellStyle name="Normal 6 2 4 3 20" xfId="51759" xr:uid="{00000000-0005-0000-0000-0000AFA20000}"/>
    <cellStyle name="Normal 6 2 4 3 21" xfId="51766" xr:uid="{00000000-0005-0000-0000-0000B0A20000}"/>
    <cellStyle name="Normal 6 2 4 3 22" xfId="51773" xr:uid="{00000000-0005-0000-0000-0000B1A20000}"/>
    <cellStyle name="Normal 6 2 4 3 3" xfId="9545" xr:uid="{00000000-0005-0000-0000-0000B2A20000}"/>
    <cellStyle name="Normal 6 2 4 3 3 2" xfId="14206" xr:uid="{00000000-0005-0000-0000-0000B3A20000}"/>
    <cellStyle name="Normal 6 2 4 3 3 2 2" xfId="37681" xr:uid="{00000000-0005-0000-0000-0000B4A20000}"/>
    <cellStyle name="Normal 6 2 4 3 3 2 3" xfId="28366" xr:uid="{00000000-0005-0000-0000-0000B5A20000}"/>
    <cellStyle name="Normal 6 2 4 3 3 2 4" xfId="46955" xr:uid="{00000000-0005-0000-0000-0000B6A20000}"/>
    <cellStyle name="Normal 6 2 4 3 3 3" xfId="33045" xr:uid="{00000000-0005-0000-0000-0000B7A20000}"/>
    <cellStyle name="Normal 6 2 4 3 3 4" xfId="23734" xr:uid="{00000000-0005-0000-0000-0000B8A20000}"/>
    <cellStyle name="Normal 6 2 4 3 3 5" xfId="42319" xr:uid="{00000000-0005-0000-0000-0000B9A20000}"/>
    <cellStyle name="Normal 6 2 4 3 4" xfId="9559" xr:uid="{00000000-0005-0000-0000-0000BAA20000}"/>
    <cellStyle name="Normal 6 2 4 3 4 2" xfId="14218" xr:uid="{00000000-0005-0000-0000-0000BBA20000}"/>
    <cellStyle name="Normal 6 2 4 3 4 2 2" xfId="37693" xr:uid="{00000000-0005-0000-0000-0000BCA20000}"/>
    <cellStyle name="Normal 6 2 4 3 4 2 3" xfId="28378" xr:uid="{00000000-0005-0000-0000-0000BDA20000}"/>
    <cellStyle name="Normal 6 2 4 3 4 2 4" xfId="46967" xr:uid="{00000000-0005-0000-0000-0000BEA20000}"/>
    <cellStyle name="Normal 6 2 4 3 4 3" xfId="33057" xr:uid="{00000000-0005-0000-0000-0000BFA20000}"/>
    <cellStyle name="Normal 6 2 4 3 4 4" xfId="23746" xr:uid="{00000000-0005-0000-0000-0000C0A20000}"/>
    <cellStyle name="Normal 6 2 4 3 4 5" xfId="42331" xr:uid="{00000000-0005-0000-0000-0000C1A20000}"/>
    <cellStyle name="Normal 6 2 4 3 5" xfId="9567" xr:uid="{00000000-0005-0000-0000-0000C2A20000}"/>
    <cellStyle name="Normal 6 2 4 3 5 2" xfId="14226" xr:uid="{00000000-0005-0000-0000-0000C3A20000}"/>
    <cellStyle name="Normal 6 2 4 3 5 2 2" xfId="37701" xr:uid="{00000000-0005-0000-0000-0000C4A20000}"/>
    <cellStyle name="Normal 6 2 4 3 5 2 3" xfId="28386" xr:uid="{00000000-0005-0000-0000-0000C5A20000}"/>
    <cellStyle name="Normal 6 2 4 3 5 2 4" xfId="46975" xr:uid="{00000000-0005-0000-0000-0000C6A20000}"/>
    <cellStyle name="Normal 6 2 4 3 5 3" xfId="33065" xr:uid="{00000000-0005-0000-0000-0000C7A20000}"/>
    <cellStyle name="Normal 6 2 4 3 5 4" xfId="23754" xr:uid="{00000000-0005-0000-0000-0000C8A20000}"/>
    <cellStyle name="Normal 6 2 4 3 5 5" xfId="42339" xr:uid="{00000000-0005-0000-0000-0000C9A20000}"/>
    <cellStyle name="Normal 6 2 4 3 6" xfId="9576" xr:uid="{00000000-0005-0000-0000-0000CAA20000}"/>
    <cellStyle name="Normal 6 2 4 3 6 2" xfId="14235" xr:uid="{00000000-0005-0000-0000-0000CBA20000}"/>
    <cellStyle name="Normal 6 2 4 3 6 2 2" xfId="37710" xr:uid="{00000000-0005-0000-0000-0000CCA20000}"/>
    <cellStyle name="Normal 6 2 4 3 6 2 3" xfId="28395" xr:uid="{00000000-0005-0000-0000-0000CDA20000}"/>
    <cellStyle name="Normal 6 2 4 3 6 2 4" xfId="46984" xr:uid="{00000000-0005-0000-0000-0000CEA20000}"/>
    <cellStyle name="Normal 6 2 4 3 6 3" xfId="33074" xr:uid="{00000000-0005-0000-0000-0000CFA20000}"/>
    <cellStyle name="Normal 6 2 4 3 6 4" xfId="23763" xr:uid="{00000000-0005-0000-0000-0000D0A20000}"/>
    <cellStyle name="Normal 6 2 4 3 6 5" xfId="42348" xr:uid="{00000000-0005-0000-0000-0000D1A20000}"/>
    <cellStyle name="Normal 6 2 4 3 7" xfId="9581" xr:uid="{00000000-0005-0000-0000-0000D2A20000}"/>
    <cellStyle name="Normal 6 2 4 3 7 2" xfId="14240" xr:uid="{00000000-0005-0000-0000-0000D3A20000}"/>
    <cellStyle name="Normal 6 2 4 3 7 2 2" xfId="37715" xr:uid="{00000000-0005-0000-0000-0000D4A20000}"/>
    <cellStyle name="Normal 6 2 4 3 7 2 3" xfId="28400" xr:uid="{00000000-0005-0000-0000-0000D5A20000}"/>
    <cellStyle name="Normal 6 2 4 3 7 2 4" xfId="46989" xr:uid="{00000000-0005-0000-0000-0000D6A20000}"/>
    <cellStyle name="Normal 6 2 4 3 7 3" xfId="33079" xr:uid="{00000000-0005-0000-0000-0000D7A20000}"/>
    <cellStyle name="Normal 6 2 4 3 7 4" xfId="23768" xr:uid="{00000000-0005-0000-0000-0000D8A20000}"/>
    <cellStyle name="Normal 6 2 4 3 7 5" xfId="42353" xr:uid="{00000000-0005-0000-0000-0000D9A20000}"/>
    <cellStyle name="Normal 6 2 4 3 8" xfId="9603" xr:uid="{00000000-0005-0000-0000-0000DAA20000}"/>
    <cellStyle name="Normal 6 2 4 3 8 2" xfId="14259" xr:uid="{00000000-0005-0000-0000-0000DBA20000}"/>
    <cellStyle name="Normal 6 2 4 3 8 2 2" xfId="37734" xr:uid="{00000000-0005-0000-0000-0000DCA20000}"/>
    <cellStyle name="Normal 6 2 4 3 8 2 3" xfId="28419" xr:uid="{00000000-0005-0000-0000-0000DDA20000}"/>
    <cellStyle name="Normal 6 2 4 3 8 2 4" xfId="47008" xr:uid="{00000000-0005-0000-0000-0000DEA20000}"/>
    <cellStyle name="Normal 6 2 4 3 8 3" xfId="33098" xr:uid="{00000000-0005-0000-0000-0000DFA20000}"/>
    <cellStyle name="Normal 6 2 4 3 8 4" xfId="23787" xr:uid="{00000000-0005-0000-0000-0000E0A20000}"/>
    <cellStyle name="Normal 6 2 4 3 8 5" xfId="42372" xr:uid="{00000000-0005-0000-0000-0000E1A20000}"/>
    <cellStyle name="Normal 6 2 4 3 9" xfId="9618" xr:uid="{00000000-0005-0000-0000-0000E2A20000}"/>
    <cellStyle name="Normal 6 2 4 3 9 2" xfId="14274" xr:uid="{00000000-0005-0000-0000-0000E3A20000}"/>
    <cellStyle name="Normal 6 2 4 3 9 2 2" xfId="37749" xr:uid="{00000000-0005-0000-0000-0000E4A20000}"/>
    <cellStyle name="Normal 6 2 4 3 9 2 3" xfId="28434" xr:uid="{00000000-0005-0000-0000-0000E5A20000}"/>
    <cellStyle name="Normal 6 2 4 3 9 2 4" xfId="47023" xr:uid="{00000000-0005-0000-0000-0000E6A20000}"/>
    <cellStyle name="Normal 6 2 4 3 9 3" xfId="33113" xr:uid="{00000000-0005-0000-0000-0000E7A20000}"/>
    <cellStyle name="Normal 6 2 4 3 9 4" xfId="23802" xr:uid="{00000000-0005-0000-0000-0000E8A20000}"/>
    <cellStyle name="Normal 6 2 4 3 9 5" xfId="42387" xr:uid="{00000000-0005-0000-0000-0000E9A20000}"/>
    <cellStyle name="Normal 6 2 4 30" xfId="19261" xr:uid="{00000000-0005-0000-0000-0000EAA20000}"/>
    <cellStyle name="Normal 6 2 4 30 2" xfId="42461" xr:uid="{00000000-0005-0000-0000-0000EBA20000}"/>
    <cellStyle name="Normal 6 2 4 31" xfId="37896" xr:uid="{00000000-0005-0000-0000-0000ECA20000}"/>
    <cellStyle name="Normal 6 2 4 32" xfId="51744" xr:uid="{00000000-0005-0000-0000-0000EDA20000}"/>
    <cellStyle name="Normal 6 2 4 33" xfId="51748" xr:uid="{00000000-0005-0000-0000-0000EEA20000}"/>
    <cellStyle name="Normal 6 2 4 34" xfId="51749" xr:uid="{00000000-0005-0000-0000-0000EFA20000}"/>
    <cellStyle name="Normal 6 2 4 4" xfId="7590" xr:uid="{00000000-0005-0000-0000-0000F0A20000}"/>
    <cellStyle name="Normal 6 2 4 4 2" xfId="7591" xr:uid="{00000000-0005-0000-0000-0000F1A20000}"/>
    <cellStyle name="Normal 6 2 4 4 2 2" xfId="13372" xr:uid="{00000000-0005-0000-0000-0000F2A20000}"/>
    <cellStyle name="Normal 6 2 4 4 2 2 2" xfId="36857" xr:uid="{00000000-0005-0000-0000-0000F3A20000}"/>
    <cellStyle name="Normal 6 2 4 4 2 2 3" xfId="27538" xr:uid="{00000000-0005-0000-0000-0000F4A20000}"/>
    <cellStyle name="Normal 6 2 4 4 2 2 4" xfId="50800" xr:uid="{00000000-0005-0000-0000-0000F5A20000}"/>
    <cellStyle name="Normal 6 2 4 4 2 3" xfId="18103" xr:uid="{00000000-0005-0000-0000-0000F6A20000}"/>
    <cellStyle name="Normal 6 2 4 4 2 3 2" xfId="32235" xr:uid="{00000000-0005-0000-0000-0000F7A20000}"/>
    <cellStyle name="Normal 6 2 4 4 2 3 3" xfId="46130" xr:uid="{00000000-0005-0000-0000-0000F8A20000}"/>
    <cellStyle name="Normal 6 2 4 4 2 4" xfId="22916" xr:uid="{00000000-0005-0000-0000-0000F9A20000}"/>
    <cellStyle name="Normal 6 2 4 4 2 5" xfId="41548" xr:uid="{00000000-0005-0000-0000-0000FAA20000}"/>
    <cellStyle name="Normal 6 2 4 4 3" xfId="13371" xr:uid="{00000000-0005-0000-0000-0000FBA20000}"/>
    <cellStyle name="Normal 6 2 4 4 3 2" xfId="36856" xr:uid="{00000000-0005-0000-0000-0000FCA20000}"/>
    <cellStyle name="Normal 6 2 4 4 3 3" xfId="27537" xr:uid="{00000000-0005-0000-0000-0000FDA20000}"/>
    <cellStyle name="Normal 6 2 4 4 3 4" xfId="50799" xr:uid="{00000000-0005-0000-0000-0000FEA20000}"/>
    <cellStyle name="Normal 6 2 4 4 4" xfId="18102" xr:uid="{00000000-0005-0000-0000-0000FFA20000}"/>
    <cellStyle name="Normal 6 2 4 4 4 2" xfId="32234" xr:uid="{00000000-0005-0000-0000-000000A30000}"/>
    <cellStyle name="Normal 6 2 4 4 4 3" xfId="46129" xr:uid="{00000000-0005-0000-0000-000001A30000}"/>
    <cellStyle name="Normal 6 2 4 4 5" xfId="22915" xr:uid="{00000000-0005-0000-0000-000002A30000}"/>
    <cellStyle name="Normal 6 2 4 4 6" xfId="41547" xr:uid="{00000000-0005-0000-0000-000003A30000}"/>
    <cellStyle name="Normal 6 2 4 5" xfId="7592" xr:uid="{00000000-0005-0000-0000-000004A30000}"/>
    <cellStyle name="Normal 6 2 4 5 2" xfId="7593" xr:uid="{00000000-0005-0000-0000-000005A30000}"/>
    <cellStyle name="Normal 6 2 4 5 2 2" xfId="13374" xr:uid="{00000000-0005-0000-0000-000006A30000}"/>
    <cellStyle name="Normal 6 2 4 5 2 2 2" xfId="36859" xr:uid="{00000000-0005-0000-0000-000007A30000}"/>
    <cellStyle name="Normal 6 2 4 5 2 2 3" xfId="27540" xr:uid="{00000000-0005-0000-0000-000008A30000}"/>
    <cellStyle name="Normal 6 2 4 5 2 2 4" xfId="50802" xr:uid="{00000000-0005-0000-0000-000009A30000}"/>
    <cellStyle name="Normal 6 2 4 5 2 3" xfId="18105" xr:uid="{00000000-0005-0000-0000-00000AA30000}"/>
    <cellStyle name="Normal 6 2 4 5 2 3 2" xfId="32237" xr:uid="{00000000-0005-0000-0000-00000BA30000}"/>
    <cellStyle name="Normal 6 2 4 5 2 3 3" xfId="46132" xr:uid="{00000000-0005-0000-0000-00000CA30000}"/>
    <cellStyle name="Normal 6 2 4 5 2 4" xfId="22918" xr:uid="{00000000-0005-0000-0000-00000DA30000}"/>
    <cellStyle name="Normal 6 2 4 5 2 5" xfId="41550" xr:uid="{00000000-0005-0000-0000-00000EA30000}"/>
    <cellStyle name="Normal 6 2 4 5 3" xfId="13373" xr:uid="{00000000-0005-0000-0000-00000FA30000}"/>
    <cellStyle name="Normal 6 2 4 5 3 2" xfId="36858" xr:uid="{00000000-0005-0000-0000-000010A30000}"/>
    <cellStyle name="Normal 6 2 4 5 3 3" xfId="27539" xr:uid="{00000000-0005-0000-0000-000011A30000}"/>
    <cellStyle name="Normal 6 2 4 5 3 4" xfId="50801" xr:uid="{00000000-0005-0000-0000-000012A30000}"/>
    <cellStyle name="Normal 6 2 4 5 4" xfId="18104" xr:uid="{00000000-0005-0000-0000-000013A30000}"/>
    <cellStyle name="Normal 6 2 4 5 4 2" xfId="32236" xr:uid="{00000000-0005-0000-0000-000014A30000}"/>
    <cellStyle name="Normal 6 2 4 5 4 3" xfId="46131" xr:uid="{00000000-0005-0000-0000-000015A30000}"/>
    <cellStyle name="Normal 6 2 4 5 5" xfId="22917" xr:uid="{00000000-0005-0000-0000-000016A30000}"/>
    <cellStyle name="Normal 6 2 4 5 6" xfId="41549" xr:uid="{00000000-0005-0000-0000-000017A30000}"/>
    <cellStyle name="Normal 6 2 4 6" xfId="7594" xr:uid="{00000000-0005-0000-0000-000018A30000}"/>
    <cellStyle name="Normal 6 2 4 6 2" xfId="7595" xr:uid="{00000000-0005-0000-0000-000019A30000}"/>
    <cellStyle name="Normal 6 2 4 6 2 2" xfId="13376" xr:uid="{00000000-0005-0000-0000-00001AA30000}"/>
    <cellStyle name="Normal 6 2 4 6 2 2 2" xfId="36861" xr:uid="{00000000-0005-0000-0000-00001BA30000}"/>
    <cellStyle name="Normal 6 2 4 6 2 2 3" xfId="27542" xr:uid="{00000000-0005-0000-0000-00001CA30000}"/>
    <cellStyle name="Normal 6 2 4 6 2 2 4" xfId="50804" xr:uid="{00000000-0005-0000-0000-00001DA30000}"/>
    <cellStyle name="Normal 6 2 4 6 2 3" xfId="18107" xr:uid="{00000000-0005-0000-0000-00001EA30000}"/>
    <cellStyle name="Normal 6 2 4 6 2 3 2" xfId="32239" xr:uid="{00000000-0005-0000-0000-00001FA30000}"/>
    <cellStyle name="Normal 6 2 4 6 2 3 3" xfId="46134" xr:uid="{00000000-0005-0000-0000-000020A30000}"/>
    <cellStyle name="Normal 6 2 4 6 2 4" xfId="22920" xr:uid="{00000000-0005-0000-0000-000021A30000}"/>
    <cellStyle name="Normal 6 2 4 6 2 5" xfId="41552" xr:uid="{00000000-0005-0000-0000-000022A30000}"/>
    <cellStyle name="Normal 6 2 4 6 3" xfId="13375" xr:uid="{00000000-0005-0000-0000-000023A30000}"/>
    <cellStyle name="Normal 6 2 4 6 3 2" xfId="36860" xr:uid="{00000000-0005-0000-0000-000024A30000}"/>
    <cellStyle name="Normal 6 2 4 6 3 3" xfId="27541" xr:uid="{00000000-0005-0000-0000-000025A30000}"/>
    <cellStyle name="Normal 6 2 4 6 3 4" xfId="50803" xr:uid="{00000000-0005-0000-0000-000026A30000}"/>
    <cellStyle name="Normal 6 2 4 6 4" xfId="18106" xr:uid="{00000000-0005-0000-0000-000027A30000}"/>
    <cellStyle name="Normal 6 2 4 6 4 2" xfId="32238" xr:uid="{00000000-0005-0000-0000-000028A30000}"/>
    <cellStyle name="Normal 6 2 4 6 4 3" xfId="46133" xr:uid="{00000000-0005-0000-0000-000029A30000}"/>
    <cellStyle name="Normal 6 2 4 6 5" xfId="22919" xr:uid="{00000000-0005-0000-0000-00002AA30000}"/>
    <cellStyle name="Normal 6 2 4 6 6" xfId="41551" xr:uid="{00000000-0005-0000-0000-00002BA30000}"/>
    <cellStyle name="Normal 6 2 4 7" xfId="7596" xr:uid="{00000000-0005-0000-0000-00002CA30000}"/>
    <cellStyle name="Normal 6 2 4 7 2" xfId="7597" xr:uid="{00000000-0005-0000-0000-00002DA30000}"/>
    <cellStyle name="Normal 6 2 4 7 2 2" xfId="13378" xr:uid="{00000000-0005-0000-0000-00002EA30000}"/>
    <cellStyle name="Normal 6 2 4 7 2 2 2" xfId="36863" xr:uid="{00000000-0005-0000-0000-00002FA30000}"/>
    <cellStyle name="Normal 6 2 4 7 2 2 3" xfId="27544" xr:uid="{00000000-0005-0000-0000-000030A30000}"/>
    <cellStyle name="Normal 6 2 4 7 2 2 4" xfId="50806" xr:uid="{00000000-0005-0000-0000-000031A30000}"/>
    <cellStyle name="Normal 6 2 4 7 2 3" xfId="18109" xr:uid="{00000000-0005-0000-0000-000032A30000}"/>
    <cellStyle name="Normal 6 2 4 7 2 3 2" xfId="32241" xr:uid="{00000000-0005-0000-0000-000033A30000}"/>
    <cellStyle name="Normal 6 2 4 7 2 3 3" xfId="46136" xr:uid="{00000000-0005-0000-0000-000034A30000}"/>
    <cellStyle name="Normal 6 2 4 7 2 4" xfId="22922" xr:uid="{00000000-0005-0000-0000-000035A30000}"/>
    <cellStyle name="Normal 6 2 4 7 2 5" xfId="41554" xr:uid="{00000000-0005-0000-0000-000036A30000}"/>
    <cellStyle name="Normal 6 2 4 7 3" xfId="13377" xr:uid="{00000000-0005-0000-0000-000037A30000}"/>
    <cellStyle name="Normal 6 2 4 7 3 2" xfId="36862" xr:uid="{00000000-0005-0000-0000-000038A30000}"/>
    <cellStyle name="Normal 6 2 4 7 3 3" xfId="27543" xr:uid="{00000000-0005-0000-0000-000039A30000}"/>
    <cellStyle name="Normal 6 2 4 7 3 4" xfId="50805" xr:uid="{00000000-0005-0000-0000-00003AA30000}"/>
    <cellStyle name="Normal 6 2 4 7 4" xfId="18108" xr:uid="{00000000-0005-0000-0000-00003BA30000}"/>
    <cellStyle name="Normal 6 2 4 7 4 2" xfId="32240" xr:uid="{00000000-0005-0000-0000-00003CA30000}"/>
    <cellStyle name="Normal 6 2 4 7 4 3" xfId="46135" xr:uid="{00000000-0005-0000-0000-00003DA30000}"/>
    <cellStyle name="Normal 6 2 4 7 5" xfId="22921" xr:uid="{00000000-0005-0000-0000-00003EA30000}"/>
    <cellStyle name="Normal 6 2 4 7 6" xfId="41553" xr:uid="{00000000-0005-0000-0000-00003FA30000}"/>
    <cellStyle name="Normal 6 2 4 8" xfId="7598" xr:uid="{00000000-0005-0000-0000-000040A30000}"/>
    <cellStyle name="Normal 6 2 4 8 2" xfId="7599" xr:uid="{00000000-0005-0000-0000-000041A30000}"/>
    <cellStyle name="Normal 6 2 4 8 2 2" xfId="13380" xr:uid="{00000000-0005-0000-0000-000042A30000}"/>
    <cellStyle name="Normal 6 2 4 8 2 2 2" xfId="36865" xr:uid="{00000000-0005-0000-0000-000043A30000}"/>
    <cellStyle name="Normal 6 2 4 8 2 2 3" xfId="27546" xr:uid="{00000000-0005-0000-0000-000044A30000}"/>
    <cellStyle name="Normal 6 2 4 8 2 2 4" xfId="50808" xr:uid="{00000000-0005-0000-0000-000045A30000}"/>
    <cellStyle name="Normal 6 2 4 8 2 3" xfId="18111" xr:uid="{00000000-0005-0000-0000-000046A30000}"/>
    <cellStyle name="Normal 6 2 4 8 2 3 2" xfId="32243" xr:uid="{00000000-0005-0000-0000-000047A30000}"/>
    <cellStyle name="Normal 6 2 4 8 2 3 3" xfId="46138" xr:uid="{00000000-0005-0000-0000-000048A30000}"/>
    <cellStyle name="Normal 6 2 4 8 2 4" xfId="22924" xr:uid="{00000000-0005-0000-0000-000049A30000}"/>
    <cellStyle name="Normal 6 2 4 8 2 5" xfId="41556" xr:uid="{00000000-0005-0000-0000-00004AA30000}"/>
    <cellStyle name="Normal 6 2 4 8 3" xfId="13379" xr:uid="{00000000-0005-0000-0000-00004BA30000}"/>
    <cellStyle name="Normal 6 2 4 8 3 2" xfId="36864" xr:uid="{00000000-0005-0000-0000-00004CA30000}"/>
    <cellStyle name="Normal 6 2 4 8 3 3" xfId="27545" xr:uid="{00000000-0005-0000-0000-00004DA30000}"/>
    <cellStyle name="Normal 6 2 4 8 3 4" xfId="50807" xr:uid="{00000000-0005-0000-0000-00004EA30000}"/>
    <cellStyle name="Normal 6 2 4 8 4" xfId="18110" xr:uid="{00000000-0005-0000-0000-00004FA30000}"/>
    <cellStyle name="Normal 6 2 4 8 4 2" xfId="32242" xr:uid="{00000000-0005-0000-0000-000050A30000}"/>
    <cellStyle name="Normal 6 2 4 8 4 3" xfId="46137" xr:uid="{00000000-0005-0000-0000-000051A30000}"/>
    <cellStyle name="Normal 6 2 4 8 5" xfId="22923" xr:uid="{00000000-0005-0000-0000-000052A30000}"/>
    <cellStyle name="Normal 6 2 4 8 6" xfId="41555" xr:uid="{00000000-0005-0000-0000-000053A30000}"/>
    <cellStyle name="Normal 6 2 4 9" xfId="7600" xr:uid="{00000000-0005-0000-0000-000054A30000}"/>
    <cellStyle name="Normal 6 2 4 9 2" xfId="7601" xr:uid="{00000000-0005-0000-0000-000055A30000}"/>
    <cellStyle name="Normal 6 2 4 9 2 2" xfId="13382" xr:uid="{00000000-0005-0000-0000-000056A30000}"/>
    <cellStyle name="Normal 6 2 4 9 2 2 2" xfId="36867" xr:uid="{00000000-0005-0000-0000-000057A30000}"/>
    <cellStyle name="Normal 6 2 4 9 2 2 3" xfId="27548" xr:uid="{00000000-0005-0000-0000-000058A30000}"/>
    <cellStyle name="Normal 6 2 4 9 2 2 4" xfId="50810" xr:uid="{00000000-0005-0000-0000-000059A30000}"/>
    <cellStyle name="Normal 6 2 4 9 2 3" xfId="18113" xr:uid="{00000000-0005-0000-0000-00005AA30000}"/>
    <cellStyle name="Normal 6 2 4 9 2 3 2" xfId="32245" xr:uid="{00000000-0005-0000-0000-00005BA30000}"/>
    <cellStyle name="Normal 6 2 4 9 2 3 3" xfId="46140" xr:uid="{00000000-0005-0000-0000-00005CA30000}"/>
    <cellStyle name="Normal 6 2 4 9 2 4" xfId="22926" xr:uid="{00000000-0005-0000-0000-00005DA30000}"/>
    <cellStyle name="Normal 6 2 4 9 2 5" xfId="41558" xr:uid="{00000000-0005-0000-0000-00005EA30000}"/>
    <cellStyle name="Normal 6 2 4 9 3" xfId="13381" xr:uid="{00000000-0005-0000-0000-00005FA30000}"/>
    <cellStyle name="Normal 6 2 4 9 3 2" xfId="36866" xr:uid="{00000000-0005-0000-0000-000060A30000}"/>
    <cellStyle name="Normal 6 2 4 9 3 3" xfId="27547" xr:uid="{00000000-0005-0000-0000-000061A30000}"/>
    <cellStyle name="Normal 6 2 4 9 3 4" xfId="50809" xr:uid="{00000000-0005-0000-0000-000062A30000}"/>
    <cellStyle name="Normal 6 2 4 9 4" xfId="18112" xr:uid="{00000000-0005-0000-0000-000063A30000}"/>
    <cellStyle name="Normal 6 2 4 9 4 2" xfId="32244" xr:uid="{00000000-0005-0000-0000-000064A30000}"/>
    <cellStyle name="Normal 6 2 4 9 4 3" xfId="46139" xr:uid="{00000000-0005-0000-0000-000065A30000}"/>
    <cellStyle name="Normal 6 2 4 9 5" xfId="22925" xr:uid="{00000000-0005-0000-0000-000066A30000}"/>
    <cellStyle name="Normal 6 2 4 9 6" xfId="41557" xr:uid="{00000000-0005-0000-0000-000067A30000}"/>
    <cellStyle name="Normal 6 2 40" xfId="7602" xr:uid="{00000000-0005-0000-0000-000068A30000}"/>
    <cellStyle name="Normal 6 2 40 2" xfId="7603" xr:uid="{00000000-0005-0000-0000-000069A30000}"/>
    <cellStyle name="Normal 6 2 40 2 2" xfId="13384" xr:uid="{00000000-0005-0000-0000-00006AA30000}"/>
    <cellStyle name="Normal 6 2 40 2 2 2" xfId="36869" xr:uid="{00000000-0005-0000-0000-00006BA30000}"/>
    <cellStyle name="Normal 6 2 40 2 2 3" xfId="27550" xr:uid="{00000000-0005-0000-0000-00006CA30000}"/>
    <cellStyle name="Normal 6 2 40 2 2 4" xfId="50812" xr:uid="{00000000-0005-0000-0000-00006DA30000}"/>
    <cellStyle name="Normal 6 2 40 2 3" xfId="18115" xr:uid="{00000000-0005-0000-0000-00006EA30000}"/>
    <cellStyle name="Normal 6 2 40 2 3 2" xfId="32247" xr:uid="{00000000-0005-0000-0000-00006FA30000}"/>
    <cellStyle name="Normal 6 2 40 2 3 3" xfId="46142" xr:uid="{00000000-0005-0000-0000-000070A30000}"/>
    <cellStyle name="Normal 6 2 40 2 4" xfId="22928" xr:uid="{00000000-0005-0000-0000-000071A30000}"/>
    <cellStyle name="Normal 6 2 40 2 5" xfId="41560" xr:uid="{00000000-0005-0000-0000-000072A30000}"/>
    <cellStyle name="Normal 6 2 40 3" xfId="13383" xr:uid="{00000000-0005-0000-0000-000073A30000}"/>
    <cellStyle name="Normal 6 2 40 3 2" xfId="36868" xr:uid="{00000000-0005-0000-0000-000074A30000}"/>
    <cellStyle name="Normal 6 2 40 3 3" xfId="27549" xr:uid="{00000000-0005-0000-0000-000075A30000}"/>
    <cellStyle name="Normal 6 2 40 3 4" xfId="50811" xr:uid="{00000000-0005-0000-0000-000076A30000}"/>
    <cellStyle name="Normal 6 2 40 4" xfId="18114" xr:uid="{00000000-0005-0000-0000-000077A30000}"/>
    <cellStyle name="Normal 6 2 40 4 2" xfId="32246" xr:uid="{00000000-0005-0000-0000-000078A30000}"/>
    <cellStyle name="Normal 6 2 40 4 3" xfId="46141" xr:uid="{00000000-0005-0000-0000-000079A30000}"/>
    <cellStyle name="Normal 6 2 40 5" xfId="22927" xr:uid="{00000000-0005-0000-0000-00007AA30000}"/>
    <cellStyle name="Normal 6 2 40 6" xfId="41559" xr:uid="{00000000-0005-0000-0000-00007BA30000}"/>
    <cellStyle name="Normal 6 2 41" xfId="7604" xr:uid="{00000000-0005-0000-0000-00007CA30000}"/>
    <cellStyle name="Normal 6 2 41 2" xfId="7605" xr:uid="{00000000-0005-0000-0000-00007DA30000}"/>
    <cellStyle name="Normal 6 2 41 2 2" xfId="13386" xr:uid="{00000000-0005-0000-0000-00007EA30000}"/>
    <cellStyle name="Normal 6 2 41 2 2 2" xfId="36871" xr:uid="{00000000-0005-0000-0000-00007FA30000}"/>
    <cellStyle name="Normal 6 2 41 2 2 3" xfId="27552" xr:uid="{00000000-0005-0000-0000-000080A30000}"/>
    <cellStyle name="Normal 6 2 41 2 2 4" xfId="50814" xr:uid="{00000000-0005-0000-0000-000081A30000}"/>
    <cellStyle name="Normal 6 2 41 2 3" xfId="18117" xr:uid="{00000000-0005-0000-0000-000082A30000}"/>
    <cellStyle name="Normal 6 2 41 2 3 2" xfId="32249" xr:uid="{00000000-0005-0000-0000-000083A30000}"/>
    <cellStyle name="Normal 6 2 41 2 3 3" xfId="46144" xr:uid="{00000000-0005-0000-0000-000084A30000}"/>
    <cellStyle name="Normal 6 2 41 2 4" xfId="22930" xr:uid="{00000000-0005-0000-0000-000085A30000}"/>
    <cellStyle name="Normal 6 2 41 2 5" xfId="41562" xr:uid="{00000000-0005-0000-0000-000086A30000}"/>
    <cellStyle name="Normal 6 2 41 3" xfId="13385" xr:uid="{00000000-0005-0000-0000-000087A30000}"/>
    <cellStyle name="Normal 6 2 41 3 2" xfId="36870" xr:uid="{00000000-0005-0000-0000-000088A30000}"/>
    <cellStyle name="Normal 6 2 41 3 3" xfId="27551" xr:uid="{00000000-0005-0000-0000-000089A30000}"/>
    <cellStyle name="Normal 6 2 41 3 4" xfId="50813" xr:uid="{00000000-0005-0000-0000-00008AA30000}"/>
    <cellStyle name="Normal 6 2 41 4" xfId="18116" xr:uid="{00000000-0005-0000-0000-00008BA30000}"/>
    <cellStyle name="Normal 6 2 41 4 2" xfId="32248" xr:uid="{00000000-0005-0000-0000-00008CA30000}"/>
    <cellStyle name="Normal 6 2 41 4 3" xfId="46143" xr:uid="{00000000-0005-0000-0000-00008DA30000}"/>
    <cellStyle name="Normal 6 2 41 5" xfId="22929" xr:uid="{00000000-0005-0000-0000-00008EA30000}"/>
    <cellStyle name="Normal 6 2 41 6" xfId="41561" xr:uid="{00000000-0005-0000-0000-00008FA30000}"/>
    <cellStyle name="Normal 6 2 42" xfId="7606" xr:uid="{00000000-0005-0000-0000-000090A30000}"/>
    <cellStyle name="Normal 6 2 42 2" xfId="7607" xr:uid="{00000000-0005-0000-0000-000091A30000}"/>
    <cellStyle name="Normal 6 2 42 2 2" xfId="13388" xr:uid="{00000000-0005-0000-0000-000092A30000}"/>
    <cellStyle name="Normal 6 2 42 2 2 2" xfId="36873" xr:uid="{00000000-0005-0000-0000-000093A30000}"/>
    <cellStyle name="Normal 6 2 42 2 2 3" xfId="27554" xr:uid="{00000000-0005-0000-0000-000094A30000}"/>
    <cellStyle name="Normal 6 2 42 2 2 4" xfId="50816" xr:uid="{00000000-0005-0000-0000-000095A30000}"/>
    <cellStyle name="Normal 6 2 42 2 3" xfId="18119" xr:uid="{00000000-0005-0000-0000-000096A30000}"/>
    <cellStyle name="Normal 6 2 42 2 3 2" xfId="32251" xr:uid="{00000000-0005-0000-0000-000097A30000}"/>
    <cellStyle name="Normal 6 2 42 2 3 3" xfId="46146" xr:uid="{00000000-0005-0000-0000-000098A30000}"/>
    <cellStyle name="Normal 6 2 42 2 4" xfId="22932" xr:uid="{00000000-0005-0000-0000-000099A30000}"/>
    <cellStyle name="Normal 6 2 42 2 5" xfId="41564" xr:uid="{00000000-0005-0000-0000-00009AA30000}"/>
    <cellStyle name="Normal 6 2 42 3" xfId="13387" xr:uid="{00000000-0005-0000-0000-00009BA30000}"/>
    <cellStyle name="Normal 6 2 42 3 2" xfId="36872" xr:uid="{00000000-0005-0000-0000-00009CA30000}"/>
    <cellStyle name="Normal 6 2 42 3 3" xfId="27553" xr:uid="{00000000-0005-0000-0000-00009DA30000}"/>
    <cellStyle name="Normal 6 2 42 3 4" xfId="50815" xr:uid="{00000000-0005-0000-0000-00009EA30000}"/>
    <cellStyle name="Normal 6 2 42 4" xfId="18118" xr:uid="{00000000-0005-0000-0000-00009FA30000}"/>
    <cellStyle name="Normal 6 2 42 4 2" xfId="32250" xr:uid="{00000000-0005-0000-0000-0000A0A30000}"/>
    <cellStyle name="Normal 6 2 42 4 3" xfId="46145" xr:uid="{00000000-0005-0000-0000-0000A1A30000}"/>
    <cellStyle name="Normal 6 2 42 5" xfId="22931" xr:uid="{00000000-0005-0000-0000-0000A2A30000}"/>
    <cellStyle name="Normal 6 2 42 6" xfId="41563" xr:uid="{00000000-0005-0000-0000-0000A3A30000}"/>
    <cellStyle name="Normal 6 2 43" xfId="7608" xr:uid="{00000000-0005-0000-0000-0000A4A30000}"/>
    <cellStyle name="Normal 6 2 43 2" xfId="7609" xr:uid="{00000000-0005-0000-0000-0000A5A30000}"/>
    <cellStyle name="Normal 6 2 43 2 2" xfId="13390" xr:uid="{00000000-0005-0000-0000-0000A6A30000}"/>
    <cellStyle name="Normal 6 2 43 2 2 2" xfId="36875" xr:uid="{00000000-0005-0000-0000-0000A7A30000}"/>
    <cellStyle name="Normal 6 2 43 2 2 3" xfId="27556" xr:uid="{00000000-0005-0000-0000-0000A8A30000}"/>
    <cellStyle name="Normal 6 2 43 2 2 4" xfId="50818" xr:uid="{00000000-0005-0000-0000-0000A9A30000}"/>
    <cellStyle name="Normal 6 2 43 2 3" xfId="18121" xr:uid="{00000000-0005-0000-0000-0000AAA30000}"/>
    <cellStyle name="Normal 6 2 43 2 3 2" xfId="32253" xr:uid="{00000000-0005-0000-0000-0000ABA30000}"/>
    <cellStyle name="Normal 6 2 43 2 3 3" xfId="46148" xr:uid="{00000000-0005-0000-0000-0000ACA30000}"/>
    <cellStyle name="Normal 6 2 43 2 4" xfId="22934" xr:uid="{00000000-0005-0000-0000-0000ADA30000}"/>
    <cellStyle name="Normal 6 2 43 2 5" xfId="41566" xr:uid="{00000000-0005-0000-0000-0000AEA30000}"/>
    <cellStyle name="Normal 6 2 43 3" xfId="13389" xr:uid="{00000000-0005-0000-0000-0000AFA30000}"/>
    <cellStyle name="Normal 6 2 43 3 2" xfId="36874" xr:uid="{00000000-0005-0000-0000-0000B0A30000}"/>
    <cellStyle name="Normal 6 2 43 3 3" xfId="27555" xr:uid="{00000000-0005-0000-0000-0000B1A30000}"/>
    <cellStyle name="Normal 6 2 43 3 4" xfId="50817" xr:uid="{00000000-0005-0000-0000-0000B2A30000}"/>
    <cellStyle name="Normal 6 2 43 4" xfId="18120" xr:uid="{00000000-0005-0000-0000-0000B3A30000}"/>
    <cellStyle name="Normal 6 2 43 4 2" xfId="32252" xr:uid="{00000000-0005-0000-0000-0000B4A30000}"/>
    <cellStyle name="Normal 6 2 43 4 3" xfId="46147" xr:uid="{00000000-0005-0000-0000-0000B5A30000}"/>
    <cellStyle name="Normal 6 2 43 5" xfId="22933" xr:uid="{00000000-0005-0000-0000-0000B6A30000}"/>
    <cellStyle name="Normal 6 2 43 6" xfId="41565" xr:uid="{00000000-0005-0000-0000-0000B7A30000}"/>
    <cellStyle name="Normal 6 2 44" xfId="7610" xr:uid="{00000000-0005-0000-0000-0000B8A30000}"/>
    <cellStyle name="Normal 6 2 44 2" xfId="7611" xr:uid="{00000000-0005-0000-0000-0000B9A30000}"/>
    <cellStyle name="Normal 6 2 44 2 2" xfId="13392" xr:uid="{00000000-0005-0000-0000-0000BAA30000}"/>
    <cellStyle name="Normal 6 2 44 2 2 2" xfId="36877" xr:uid="{00000000-0005-0000-0000-0000BBA30000}"/>
    <cellStyle name="Normal 6 2 44 2 2 3" xfId="27558" xr:uid="{00000000-0005-0000-0000-0000BCA30000}"/>
    <cellStyle name="Normal 6 2 44 2 2 4" xfId="50820" xr:uid="{00000000-0005-0000-0000-0000BDA30000}"/>
    <cellStyle name="Normal 6 2 44 2 3" xfId="18123" xr:uid="{00000000-0005-0000-0000-0000BEA30000}"/>
    <cellStyle name="Normal 6 2 44 2 3 2" xfId="32255" xr:uid="{00000000-0005-0000-0000-0000BFA30000}"/>
    <cellStyle name="Normal 6 2 44 2 3 3" xfId="46150" xr:uid="{00000000-0005-0000-0000-0000C0A30000}"/>
    <cellStyle name="Normal 6 2 44 2 4" xfId="22936" xr:uid="{00000000-0005-0000-0000-0000C1A30000}"/>
    <cellStyle name="Normal 6 2 44 2 5" xfId="41568" xr:uid="{00000000-0005-0000-0000-0000C2A30000}"/>
    <cellStyle name="Normal 6 2 44 3" xfId="13391" xr:uid="{00000000-0005-0000-0000-0000C3A30000}"/>
    <cellStyle name="Normal 6 2 44 3 2" xfId="36876" xr:uid="{00000000-0005-0000-0000-0000C4A30000}"/>
    <cellStyle name="Normal 6 2 44 3 3" xfId="27557" xr:uid="{00000000-0005-0000-0000-0000C5A30000}"/>
    <cellStyle name="Normal 6 2 44 3 4" xfId="50819" xr:uid="{00000000-0005-0000-0000-0000C6A30000}"/>
    <cellStyle name="Normal 6 2 44 4" xfId="18122" xr:uid="{00000000-0005-0000-0000-0000C7A30000}"/>
    <cellStyle name="Normal 6 2 44 4 2" xfId="32254" xr:uid="{00000000-0005-0000-0000-0000C8A30000}"/>
    <cellStyle name="Normal 6 2 44 4 3" xfId="46149" xr:uid="{00000000-0005-0000-0000-0000C9A30000}"/>
    <cellStyle name="Normal 6 2 44 5" xfId="22935" xr:uid="{00000000-0005-0000-0000-0000CAA30000}"/>
    <cellStyle name="Normal 6 2 44 6" xfId="41567" xr:uid="{00000000-0005-0000-0000-0000CBA30000}"/>
    <cellStyle name="Normal 6 2 45" xfId="7612" xr:uid="{00000000-0005-0000-0000-0000CCA30000}"/>
    <cellStyle name="Normal 6 2 45 2" xfId="7613" xr:uid="{00000000-0005-0000-0000-0000CDA30000}"/>
    <cellStyle name="Normal 6 2 45 2 2" xfId="13394" xr:uid="{00000000-0005-0000-0000-0000CEA30000}"/>
    <cellStyle name="Normal 6 2 45 2 2 2" xfId="36879" xr:uid="{00000000-0005-0000-0000-0000CFA30000}"/>
    <cellStyle name="Normal 6 2 45 2 2 3" xfId="27560" xr:uid="{00000000-0005-0000-0000-0000D0A30000}"/>
    <cellStyle name="Normal 6 2 45 2 2 4" xfId="50822" xr:uid="{00000000-0005-0000-0000-0000D1A30000}"/>
    <cellStyle name="Normal 6 2 45 2 3" xfId="18125" xr:uid="{00000000-0005-0000-0000-0000D2A30000}"/>
    <cellStyle name="Normal 6 2 45 2 3 2" xfId="32257" xr:uid="{00000000-0005-0000-0000-0000D3A30000}"/>
    <cellStyle name="Normal 6 2 45 2 3 3" xfId="46152" xr:uid="{00000000-0005-0000-0000-0000D4A30000}"/>
    <cellStyle name="Normal 6 2 45 2 4" xfId="22938" xr:uid="{00000000-0005-0000-0000-0000D5A30000}"/>
    <cellStyle name="Normal 6 2 45 2 5" xfId="41570" xr:uid="{00000000-0005-0000-0000-0000D6A30000}"/>
    <cellStyle name="Normal 6 2 45 3" xfId="13393" xr:uid="{00000000-0005-0000-0000-0000D7A30000}"/>
    <cellStyle name="Normal 6 2 45 3 2" xfId="36878" xr:uid="{00000000-0005-0000-0000-0000D8A30000}"/>
    <cellStyle name="Normal 6 2 45 3 3" xfId="27559" xr:uid="{00000000-0005-0000-0000-0000D9A30000}"/>
    <cellStyle name="Normal 6 2 45 3 4" xfId="50821" xr:uid="{00000000-0005-0000-0000-0000DAA30000}"/>
    <cellStyle name="Normal 6 2 45 4" xfId="18124" xr:uid="{00000000-0005-0000-0000-0000DBA30000}"/>
    <cellStyle name="Normal 6 2 45 4 2" xfId="32256" xr:uid="{00000000-0005-0000-0000-0000DCA30000}"/>
    <cellStyle name="Normal 6 2 45 4 3" xfId="46151" xr:uid="{00000000-0005-0000-0000-0000DDA30000}"/>
    <cellStyle name="Normal 6 2 45 5" xfId="22937" xr:uid="{00000000-0005-0000-0000-0000DEA30000}"/>
    <cellStyle name="Normal 6 2 45 6" xfId="41569" xr:uid="{00000000-0005-0000-0000-0000DFA30000}"/>
    <cellStyle name="Normal 6 2 46" xfId="7614" xr:uid="{00000000-0005-0000-0000-0000E0A30000}"/>
    <cellStyle name="Normal 6 2 46 2" xfId="7615" xr:uid="{00000000-0005-0000-0000-0000E1A30000}"/>
    <cellStyle name="Normal 6 2 46 2 2" xfId="13396" xr:uid="{00000000-0005-0000-0000-0000E2A30000}"/>
    <cellStyle name="Normal 6 2 46 2 2 2" xfId="36881" xr:uid="{00000000-0005-0000-0000-0000E3A30000}"/>
    <cellStyle name="Normal 6 2 46 2 2 3" xfId="27562" xr:uid="{00000000-0005-0000-0000-0000E4A30000}"/>
    <cellStyle name="Normal 6 2 46 2 2 4" xfId="50824" xr:uid="{00000000-0005-0000-0000-0000E5A30000}"/>
    <cellStyle name="Normal 6 2 46 2 3" xfId="18127" xr:uid="{00000000-0005-0000-0000-0000E6A30000}"/>
    <cellStyle name="Normal 6 2 46 2 3 2" xfId="32259" xr:uid="{00000000-0005-0000-0000-0000E7A30000}"/>
    <cellStyle name="Normal 6 2 46 2 3 3" xfId="46154" xr:uid="{00000000-0005-0000-0000-0000E8A30000}"/>
    <cellStyle name="Normal 6 2 46 2 4" xfId="22940" xr:uid="{00000000-0005-0000-0000-0000E9A30000}"/>
    <cellStyle name="Normal 6 2 46 2 5" xfId="41572" xr:uid="{00000000-0005-0000-0000-0000EAA30000}"/>
    <cellStyle name="Normal 6 2 46 3" xfId="13395" xr:uid="{00000000-0005-0000-0000-0000EBA30000}"/>
    <cellStyle name="Normal 6 2 46 3 2" xfId="36880" xr:uid="{00000000-0005-0000-0000-0000ECA30000}"/>
    <cellStyle name="Normal 6 2 46 3 3" xfId="27561" xr:uid="{00000000-0005-0000-0000-0000EDA30000}"/>
    <cellStyle name="Normal 6 2 46 3 4" xfId="50823" xr:uid="{00000000-0005-0000-0000-0000EEA30000}"/>
    <cellStyle name="Normal 6 2 46 4" xfId="18126" xr:uid="{00000000-0005-0000-0000-0000EFA30000}"/>
    <cellStyle name="Normal 6 2 46 4 2" xfId="32258" xr:uid="{00000000-0005-0000-0000-0000F0A30000}"/>
    <cellStyle name="Normal 6 2 46 4 3" xfId="46153" xr:uid="{00000000-0005-0000-0000-0000F1A30000}"/>
    <cellStyle name="Normal 6 2 46 5" xfId="22939" xr:uid="{00000000-0005-0000-0000-0000F2A30000}"/>
    <cellStyle name="Normal 6 2 46 6" xfId="41571" xr:uid="{00000000-0005-0000-0000-0000F3A30000}"/>
    <cellStyle name="Normal 6 2 47" xfId="7616" xr:uid="{00000000-0005-0000-0000-0000F4A30000}"/>
    <cellStyle name="Normal 6 2 47 2" xfId="7617" xr:uid="{00000000-0005-0000-0000-0000F5A30000}"/>
    <cellStyle name="Normal 6 2 47 2 2" xfId="13398" xr:uid="{00000000-0005-0000-0000-0000F6A30000}"/>
    <cellStyle name="Normal 6 2 47 2 2 2" xfId="36883" xr:uid="{00000000-0005-0000-0000-0000F7A30000}"/>
    <cellStyle name="Normal 6 2 47 2 2 3" xfId="27564" xr:uid="{00000000-0005-0000-0000-0000F8A30000}"/>
    <cellStyle name="Normal 6 2 47 2 2 4" xfId="50826" xr:uid="{00000000-0005-0000-0000-0000F9A30000}"/>
    <cellStyle name="Normal 6 2 47 2 3" xfId="18129" xr:uid="{00000000-0005-0000-0000-0000FAA30000}"/>
    <cellStyle name="Normal 6 2 47 2 3 2" xfId="32261" xr:uid="{00000000-0005-0000-0000-0000FBA30000}"/>
    <cellStyle name="Normal 6 2 47 2 3 3" xfId="46156" xr:uid="{00000000-0005-0000-0000-0000FCA30000}"/>
    <cellStyle name="Normal 6 2 47 2 4" xfId="22942" xr:uid="{00000000-0005-0000-0000-0000FDA30000}"/>
    <cellStyle name="Normal 6 2 47 2 5" xfId="41574" xr:uid="{00000000-0005-0000-0000-0000FEA30000}"/>
    <cellStyle name="Normal 6 2 47 3" xfId="13397" xr:uid="{00000000-0005-0000-0000-0000FFA30000}"/>
    <cellStyle name="Normal 6 2 47 3 2" xfId="36882" xr:uid="{00000000-0005-0000-0000-000000A40000}"/>
    <cellStyle name="Normal 6 2 47 3 3" xfId="27563" xr:uid="{00000000-0005-0000-0000-000001A40000}"/>
    <cellStyle name="Normal 6 2 47 3 4" xfId="50825" xr:uid="{00000000-0005-0000-0000-000002A40000}"/>
    <cellStyle name="Normal 6 2 47 4" xfId="18128" xr:uid="{00000000-0005-0000-0000-000003A40000}"/>
    <cellStyle name="Normal 6 2 47 4 2" xfId="32260" xr:uid="{00000000-0005-0000-0000-000004A40000}"/>
    <cellStyle name="Normal 6 2 47 4 3" xfId="46155" xr:uid="{00000000-0005-0000-0000-000005A40000}"/>
    <cellStyle name="Normal 6 2 47 5" xfId="22941" xr:uid="{00000000-0005-0000-0000-000006A40000}"/>
    <cellStyle name="Normal 6 2 47 6" xfId="41573" xr:uid="{00000000-0005-0000-0000-000007A40000}"/>
    <cellStyle name="Normal 6 2 48" xfId="7618" xr:uid="{00000000-0005-0000-0000-000008A40000}"/>
    <cellStyle name="Normal 6 2 48 2" xfId="7619" xr:uid="{00000000-0005-0000-0000-000009A40000}"/>
    <cellStyle name="Normal 6 2 48 2 2" xfId="13400" xr:uid="{00000000-0005-0000-0000-00000AA40000}"/>
    <cellStyle name="Normal 6 2 48 2 2 2" xfId="36885" xr:uid="{00000000-0005-0000-0000-00000BA40000}"/>
    <cellStyle name="Normal 6 2 48 2 2 3" xfId="27566" xr:uid="{00000000-0005-0000-0000-00000CA40000}"/>
    <cellStyle name="Normal 6 2 48 2 2 4" xfId="50828" xr:uid="{00000000-0005-0000-0000-00000DA40000}"/>
    <cellStyle name="Normal 6 2 48 2 3" xfId="18131" xr:uid="{00000000-0005-0000-0000-00000EA40000}"/>
    <cellStyle name="Normal 6 2 48 2 3 2" xfId="32263" xr:uid="{00000000-0005-0000-0000-00000FA40000}"/>
    <cellStyle name="Normal 6 2 48 2 3 3" xfId="46158" xr:uid="{00000000-0005-0000-0000-000010A40000}"/>
    <cellStyle name="Normal 6 2 48 2 4" xfId="22944" xr:uid="{00000000-0005-0000-0000-000011A40000}"/>
    <cellStyle name="Normal 6 2 48 2 5" xfId="41576" xr:uid="{00000000-0005-0000-0000-000012A40000}"/>
    <cellStyle name="Normal 6 2 48 3" xfId="13399" xr:uid="{00000000-0005-0000-0000-000013A40000}"/>
    <cellStyle name="Normal 6 2 48 3 2" xfId="36884" xr:uid="{00000000-0005-0000-0000-000014A40000}"/>
    <cellStyle name="Normal 6 2 48 3 3" xfId="27565" xr:uid="{00000000-0005-0000-0000-000015A40000}"/>
    <cellStyle name="Normal 6 2 48 3 4" xfId="50827" xr:uid="{00000000-0005-0000-0000-000016A40000}"/>
    <cellStyle name="Normal 6 2 48 4" xfId="18130" xr:uid="{00000000-0005-0000-0000-000017A40000}"/>
    <cellStyle name="Normal 6 2 48 4 2" xfId="32262" xr:uid="{00000000-0005-0000-0000-000018A40000}"/>
    <cellStyle name="Normal 6 2 48 4 3" xfId="46157" xr:uid="{00000000-0005-0000-0000-000019A40000}"/>
    <cellStyle name="Normal 6 2 48 5" xfId="22943" xr:uid="{00000000-0005-0000-0000-00001AA40000}"/>
    <cellStyle name="Normal 6 2 48 6" xfId="41575" xr:uid="{00000000-0005-0000-0000-00001BA40000}"/>
    <cellStyle name="Normal 6 2 49" xfId="7620" xr:uid="{00000000-0005-0000-0000-00001CA40000}"/>
    <cellStyle name="Normal 6 2 49 2" xfId="7621" xr:uid="{00000000-0005-0000-0000-00001DA40000}"/>
    <cellStyle name="Normal 6 2 49 2 2" xfId="13402" xr:uid="{00000000-0005-0000-0000-00001EA40000}"/>
    <cellStyle name="Normal 6 2 49 2 2 2" xfId="36887" xr:uid="{00000000-0005-0000-0000-00001FA40000}"/>
    <cellStyle name="Normal 6 2 49 2 2 3" xfId="27568" xr:uid="{00000000-0005-0000-0000-000020A40000}"/>
    <cellStyle name="Normal 6 2 49 2 2 4" xfId="50830" xr:uid="{00000000-0005-0000-0000-000021A40000}"/>
    <cellStyle name="Normal 6 2 49 2 3" xfId="18133" xr:uid="{00000000-0005-0000-0000-000022A40000}"/>
    <cellStyle name="Normal 6 2 49 2 3 2" xfId="32265" xr:uid="{00000000-0005-0000-0000-000023A40000}"/>
    <cellStyle name="Normal 6 2 49 2 3 3" xfId="46160" xr:uid="{00000000-0005-0000-0000-000024A40000}"/>
    <cellStyle name="Normal 6 2 49 2 4" xfId="22946" xr:uid="{00000000-0005-0000-0000-000025A40000}"/>
    <cellStyle name="Normal 6 2 49 2 5" xfId="41578" xr:uid="{00000000-0005-0000-0000-000026A40000}"/>
    <cellStyle name="Normal 6 2 49 3" xfId="13401" xr:uid="{00000000-0005-0000-0000-000027A40000}"/>
    <cellStyle name="Normal 6 2 49 3 2" xfId="36886" xr:uid="{00000000-0005-0000-0000-000028A40000}"/>
    <cellStyle name="Normal 6 2 49 3 3" xfId="27567" xr:uid="{00000000-0005-0000-0000-000029A40000}"/>
    <cellStyle name="Normal 6 2 49 3 4" xfId="50829" xr:uid="{00000000-0005-0000-0000-00002AA40000}"/>
    <cellStyle name="Normal 6 2 49 4" xfId="18132" xr:uid="{00000000-0005-0000-0000-00002BA40000}"/>
    <cellStyle name="Normal 6 2 49 4 2" xfId="32264" xr:uid="{00000000-0005-0000-0000-00002CA40000}"/>
    <cellStyle name="Normal 6 2 49 4 3" xfId="46159" xr:uid="{00000000-0005-0000-0000-00002DA40000}"/>
    <cellStyle name="Normal 6 2 49 5" xfId="22945" xr:uid="{00000000-0005-0000-0000-00002EA40000}"/>
    <cellStyle name="Normal 6 2 49 6" xfId="41577" xr:uid="{00000000-0005-0000-0000-00002FA40000}"/>
    <cellStyle name="Normal 6 2 5" xfId="7622" xr:uid="{00000000-0005-0000-0000-000030A40000}"/>
    <cellStyle name="Normal 6 2 5 10" xfId="7623" xr:uid="{00000000-0005-0000-0000-000031A40000}"/>
    <cellStyle name="Normal 6 2 5 10 2" xfId="7624" xr:uid="{00000000-0005-0000-0000-000032A40000}"/>
    <cellStyle name="Normal 6 2 5 10 2 2" xfId="13405" xr:uid="{00000000-0005-0000-0000-000033A40000}"/>
    <cellStyle name="Normal 6 2 5 10 2 2 2" xfId="36890" xr:uid="{00000000-0005-0000-0000-000034A40000}"/>
    <cellStyle name="Normal 6 2 5 10 2 2 3" xfId="27571" xr:uid="{00000000-0005-0000-0000-000035A40000}"/>
    <cellStyle name="Normal 6 2 5 10 2 2 4" xfId="50833" xr:uid="{00000000-0005-0000-0000-000036A40000}"/>
    <cellStyle name="Normal 6 2 5 10 2 3" xfId="18136" xr:uid="{00000000-0005-0000-0000-000037A40000}"/>
    <cellStyle name="Normal 6 2 5 10 2 3 2" xfId="32268" xr:uid="{00000000-0005-0000-0000-000038A40000}"/>
    <cellStyle name="Normal 6 2 5 10 2 3 3" xfId="46163" xr:uid="{00000000-0005-0000-0000-000039A40000}"/>
    <cellStyle name="Normal 6 2 5 10 2 4" xfId="22949" xr:uid="{00000000-0005-0000-0000-00003AA40000}"/>
    <cellStyle name="Normal 6 2 5 10 2 5" xfId="41581" xr:uid="{00000000-0005-0000-0000-00003BA40000}"/>
    <cellStyle name="Normal 6 2 5 10 3" xfId="13404" xr:uid="{00000000-0005-0000-0000-00003CA40000}"/>
    <cellStyle name="Normal 6 2 5 10 3 2" xfId="36889" xr:uid="{00000000-0005-0000-0000-00003DA40000}"/>
    <cellStyle name="Normal 6 2 5 10 3 3" xfId="27570" xr:uid="{00000000-0005-0000-0000-00003EA40000}"/>
    <cellStyle name="Normal 6 2 5 10 3 4" xfId="50832" xr:uid="{00000000-0005-0000-0000-00003FA40000}"/>
    <cellStyle name="Normal 6 2 5 10 4" xfId="18135" xr:uid="{00000000-0005-0000-0000-000040A40000}"/>
    <cellStyle name="Normal 6 2 5 10 4 2" xfId="32267" xr:uid="{00000000-0005-0000-0000-000041A40000}"/>
    <cellStyle name="Normal 6 2 5 10 4 3" xfId="46162" xr:uid="{00000000-0005-0000-0000-000042A40000}"/>
    <cellStyle name="Normal 6 2 5 10 5" xfId="22948" xr:uid="{00000000-0005-0000-0000-000043A40000}"/>
    <cellStyle name="Normal 6 2 5 10 6" xfId="41580" xr:uid="{00000000-0005-0000-0000-000044A40000}"/>
    <cellStyle name="Normal 6 2 5 11" xfId="7625" xr:uid="{00000000-0005-0000-0000-000045A40000}"/>
    <cellStyle name="Normal 6 2 5 11 2" xfId="7626" xr:uid="{00000000-0005-0000-0000-000046A40000}"/>
    <cellStyle name="Normal 6 2 5 11 2 2" xfId="13407" xr:uid="{00000000-0005-0000-0000-000047A40000}"/>
    <cellStyle name="Normal 6 2 5 11 2 2 2" xfId="36892" xr:uid="{00000000-0005-0000-0000-000048A40000}"/>
    <cellStyle name="Normal 6 2 5 11 2 2 3" xfId="27573" xr:uid="{00000000-0005-0000-0000-000049A40000}"/>
    <cellStyle name="Normal 6 2 5 11 2 2 4" xfId="50835" xr:uid="{00000000-0005-0000-0000-00004AA40000}"/>
    <cellStyle name="Normal 6 2 5 11 2 3" xfId="18138" xr:uid="{00000000-0005-0000-0000-00004BA40000}"/>
    <cellStyle name="Normal 6 2 5 11 2 3 2" xfId="32270" xr:uid="{00000000-0005-0000-0000-00004CA40000}"/>
    <cellStyle name="Normal 6 2 5 11 2 3 3" xfId="46165" xr:uid="{00000000-0005-0000-0000-00004DA40000}"/>
    <cellStyle name="Normal 6 2 5 11 2 4" xfId="22951" xr:uid="{00000000-0005-0000-0000-00004EA40000}"/>
    <cellStyle name="Normal 6 2 5 11 2 5" xfId="41583" xr:uid="{00000000-0005-0000-0000-00004FA40000}"/>
    <cellStyle name="Normal 6 2 5 11 3" xfId="13406" xr:uid="{00000000-0005-0000-0000-000050A40000}"/>
    <cellStyle name="Normal 6 2 5 11 3 2" xfId="36891" xr:uid="{00000000-0005-0000-0000-000051A40000}"/>
    <cellStyle name="Normal 6 2 5 11 3 3" xfId="27572" xr:uid="{00000000-0005-0000-0000-000052A40000}"/>
    <cellStyle name="Normal 6 2 5 11 3 4" xfId="50834" xr:uid="{00000000-0005-0000-0000-000053A40000}"/>
    <cellStyle name="Normal 6 2 5 11 4" xfId="18137" xr:uid="{00000000-0005-0000-0000-000054A40000}"/>
    <cellStyle name="Normal 6 2 5 11 4 2" xfId="32269" xr:uid="{00000000-0005-0000-0000-000055A40000}"/>
    <cellStyle name="Normal 6 2 5 11 4 3" xfId="46164" xr:uid="{00000000-0005-0000-0000-000056A40000}"/>
    <cellStyle name="Normal 6 2 5 11 5" xfId="22950" xr:uid="{00000000-0005-0000-0000-000057A40000}"/>
    <cellStyle name="Normal 6 2 5 11 6" xfId="41582" xr:uid="{00000000-0005-0000-0000-000058A40000}"/>
    <cellStyle name="Normal 6 2 5 12" xfId="7627" xr:uid="{00000000-0005-0000-0000-000059A40000}"/>
    <cellStyle name="Normal 6 2 5 12 2" xfId="7628" xr:uid="{00000000-0005-0000-0000-00005AA40000}"/>
    <cellStyle name="Normal 6 2 5 12 2 2" xfId="13409" xr:uid="{00000000-0005-0000-0000-00005BA40000}"/>
    <cellStyle name="Normal 6 2 5 12 2 2 2" xfId="36894" xr:uid="{00000000-0005-0000-0000-00005CA40000}"/>
    <cellStyle name="Normal 6 2 5 12 2 2 3" xfId="27575" xr:uid="{00000000-0005-0000-0000-00005DA40000}"/>
    <cellStyle name="Normal 6 2 5 12 2 2 4" xfId="50837" xr:uid="{00000000-0005-0000-0000-00005EA40000}"/>
    <cellStyle name="Normal 6 2 5 12 2 3" xfId="18140" xr:uid="{00000000-0005-0000-0000-00005FA40000}"/>
    <cellStyle name="Normal 6 2 5 12 2 3 2" xfId="32272" xr:uid="{00000000-0005-0000-0000-000060A40000}"/>
    <cellStyle name="Normal 6 2 5 12 2 3 3" xfId="46167" xr:uid="{00000000-0005-0000-0000-000061A40000}"/>
    <cellStyle name="Normal 6 2 5 12 2 4" xfId="22953" xr:uid="{00000000-0005-0000-0000-000062A40000}"/>
    <cellStyle name="Normal 6 2 5 12 2 5" xfId="41585" xr:uid="{00000000-0005-0000-0000-000063A40000}"/>
    <cellStyle name="Normal 6 2 5 12 3" xfId="13408" xr:uid="{00000000-0005-0000-0000-000064A40000}"/>
    <cellStyle name="Normal 6 2 5 12 3 2" xfId="36893" xr:uid="{00000000-0005-0000-0000-000065A40000}"/>
    <cellStyle name="Normal 6 2 5 12 3 3" xfId="27574" xr:uid="{00000000-0005-0000-0000-000066A40000}"/>
    <cellStyle name="Normal 6 2 5 12 3 4" xfId="50836" xr:uid="{00000000-0005-0000-0000-000067A40000}"/>
    <cellStyle name="Normal 6 2 5 12 4" xfId="18139" xr:uid="{00000000-0005-0000-0000-000068A40000}"/>
    <cellStyle name="Normal 6 2 5 12 4 2" xfId="32271" xr:uid="{00000000-0005-0000-0000-000069A40000}"/>
    <cellStyle name="Normal 6 2 5 12 4 3" xfId="46166" xr:uid="{00000000-0005-0000-0000-00006AA40000}"/>
    <cellStyle name="Normal 6 2 5 12 5" xfId="22952" xr:uid="{00000000-0005-0000-0000-00006BA40000}"/>
    <cellStyle name="Normal 6 2 5 12 6" xfId="41584" xr:uid="{00000000-0005-0000-0000-00006CA40000}"/>
    <cellStyle name="Normal 6 2 5 13" xfId="7629" xr:uid="{00000000-0005-0000-0000-00006DA40000}"/>
    <cellStyle name="Normal 6 2 5 13 2" xfId="7630" xr:uid="{00000000-0005-0000-0000-00006EA40000}"/>
    <cellStyle name="Normal 6 2 5 13 2 2" xfId="13411" xr:uid="{00000000-0005-0000-0000-00006FA40000}"/>
    <cellStyle name="Normal 6 2 5 13 2 2 2" xfId="36896" xr:uid="{00000000-0005-0000-0000-000070A40000}"/>
    <cellStyle name="Normal 6 2 5 13 2 2 3" xfId="27577" xr:uid="{00000000-0005-0000-0000-000071A40000}"/>
    <cellStyle name="Normal 6 2 5 13 2 2 4" xfId="50839" xr:uid="{00000000-0005-0000-0000-000072A40000}"/>
    <cellStyle name="Normal 6 2 5 13 2 3" xfId="18142" xr:uid="{00000000-0005-0000-0000-000073A40000}"/>
    <cellStyle name="Normal 6 2 5 13 2 3 2" xfId="32274" xr:uid="{00000000-0005-0000-0000-000074A40000}"/>
    <cellStyle name="Normal 6 2 5 13 2 3 3" xfId="46169" xr:uid="{00000000-0005-0000-0000-000075A40000}"/>
    <cellStyle name="Normal 6 2 5 13 2 4" xfId="22955" xr:uid="{00000000-0005-0000-0000-000076A40000}"/>
    <cellStyle name="Normal 6 2 5 13 2 5" xfId="41587" xr:uid="{00000000-0005-0000-0000-000077A40000}"/>
    <cellStyle name="Normal 6 2 5 13 3" xfId="13410" xr:uid="{00000000-0005-0000-0000-000078A40000}"/>
    <cellStyle name="Normal 6 2 5 13 3 2" xfId="36895" xr:uid="{00000000-0005-0000-0000-000079A40000}"/>
    <cellStyle name="Normal 6 2 5 13 3 3" xfId="27576" xr:uid="{00000000-0005-0000-0000-00007AA40000}"/>
    <cellStyle name="Normal 6 2 5 13 3 4" xfId="50838" xr:uid="{00000000-0005-0000-0000-00007BA40000}"/>
    <cellStyle name="Normal 6 2 5 13 4" xfId="18141" xr:uid="{00000000-0005-0000-0000-00007CA40000}"/>
    <cellStyle name="Normal 6 2 5 13 4 2" xfId="32273" xr:uid="{00000000-0005-0000-0000-00007DA40000}"/>
    <cellStyle name="Normal 6 2 5 13 4 3" xfId="46168" xr:uid="{00000000-0005-0000-0000-00007EA40000}"/>
    <cellStyle name="Normal 6 2 5 13 5" xfId="22954" xr:uid="{00000000-0005-0000-0000-00007FA40000}"/>
    <cellStyle name="Normal 6 2 5 13 6" xfId="41586" xr:uid="{00000000-0005-0000-0000-000080A40000}"/>
    <cellStyle name="Normal 6 2 5 14" xfId="7631" xr:uid="{00000000-0005-0000-0000-000081A40000}"/>
    <cellStyle name="Normal 6 2 5 14 2" xfId="7632" xr:uid="{00000000-0005-0000-0000-000082A40000}"/>
    <cellStyle name="Normal 6 2 5 14 2 2" xfId="13413" xr:uid="{00000000-0005-0000-0000-000083A40000}"/>
    <cellStyle name="Normal 6 2 5 14 2 2 2" xfId="36898" xr:uid="{00000000-0005-0000-0000-000084A40000}"/>
    <cellStyle name="Normal 6 2 5 14 2 2 3" xfId="27579" xr:uid="{00000000-0005-0000-0000-000085A40000}"/>
    <cellStyle name="Normal 6 2 5 14 2 2 4" xfId="50841" xr:uid="{00000000-0005-0000-0000-000086A40000}"/>
    <cellStyle name="Normal 6 2 5 14 2 3" xfId="18144" xr:uid="{00000000-0005-0000-0000-000087A40000}"/>
    <cellStyle name="Normal 6 2 5 14 2 3 2" xfId="32276" xr:uid="{00000000-0005-0000-0000-000088A40000}"/>
    <cellStyle name="Normal 6 2 5 14 2 3 3" xfId="46171" xr:uid="{00000000-0005-0000-0000-000089A40000}"/>
    <cellStyle name="Normal 6 2 5 14 2 4" xfId="22957" xr:uid="{00000000-0005-0000-0000-00008AA40000}"/>
    <cellStyle name="Normal 6 2 5 14 2 5" xfId="41589" xr:uid="{00000000-0005-0000-0000-00008BA40000}"/>
    <cellStyle name="Normal 6 2 5 14 3" xfId="13412" xr:uid="{00000000-0005-0000-0000-00008CA40000}"/>
    <cellStyle name="Normal 6 2 5 14 3 2" xfId="36897" xr:uid="{00000000-0005-0000-0000-00008DA40000}"/>
    <cellStyle name="Normal 6 2 5 14 3 3" xfId="27578" xr:uid="{00000000-0005-0000-0000-00008EA40000}"/>
    <cellStyle name="Normal 6 2 5 14 3 4" xfId="50840" xr:uid="{00000000-0005-0000-0000-00008FA40000}"/>
    <cellStyle name="Normal 6 2 5 14 4" xfId="18143" xr:uid="{00000000-0005-0000-0000-000090A40000}"/>
    <cellStyle name="Normal 6 2 5 14 4 2" xfId="32275" xr:uid="{00000000-0005-0000-0000-000091A40000}"/>
    <cellStyle name="Normal 6 2 5 14 4 3" xfId="46170" xr:uid="{00000000-0005-0000-0000-000092A40000}"/>
    <cellStyle name="Normal 6 2 5 14 5" xfId="22956" xr:uid="{00000000-0005-0000-0000-000093A40000}"/>
    <cellStyle name="Normal 6 2 5 14 6" xfId="41588" xr:uid="{00000000-0005-0000-0000-000094A40000}"/>
    <cellStyle name="Normal 6 2 5 15" xfId="7633" xr:uid="{00000000-0005-0000-0000-000095A40000}"/>
    <cellStyle name="Normal 6 2 5 15 2" xfId="7634" xr:uid="{00000000-0005-0000-0000-000096A40000}"/>
    <cellStyle name="Normal 6 2 5 15 2 2" xfId="13415" xr:uid="{00000000-0005-0000-0000-000097A40000}"/>
    <cellStyle name="Normal 6 2 5 15 2 2 2" xfId="36900" xr:uid="{00000000-0005-0000-0000-000098A40000}"/>
    <cellStyle name="Normal 6 2 5 15 2 2 3" xfId="27581" xr:uid="{00000000-0005-0000-0000-000099A40000}"/>
    <cellStyle name="Normal 6 2 5 15 2 2 4" xfId="50843" xr:uid="{00000000-0005-0000-0000-00009AA40000}"/>
    <cellStyle name="Normal 6 2 5 15 2 3" xfId="18146" xr:uid="{00000000-0005-0000-0000-00009BA40000}"/>
    <cellStyle name="Normal 6 2 5 15 2 3 2" xfId="32278" xr:uid="{00000000-0005-0000-0000-00009CA40000}"/>
    <cellStyle name="Normal 6 2 5 15 2 3 3" xfId="46173" xr:uid="{00000000-0005-0000-0000-00009DA40000}"/>
    <cellStyle name="Normal 6 2 5 15 2 4" xfId="22959" xr:uid="{00000000-0005-0000-0000-00009EA40000}"/>
    <cellStyle name="Normal 6 2 5 15 2 5" xfId="41591" xr:uid="{00000000-0005-0000-0000-00009FA40000}"/>
    <cellStyle name="Normal 6 2 5 15 3" xfId="13414" xr:uid="{00000000-0005-0000-0000-0000A0A40000}"/>
    <cellStyle name="Normal 6 2 5 15 3 2" xfId="36899" xr:uid="{00000000-0005-0000-0000-0000A1A40000}"/>
    <cellStyle name="Normal 6 2 5 15 3 3" xfId="27580" xr:uid="{00000000-0005-0000-0000-0000A2A40000}"/>
    <cellStyle name="Normal 6 2 5 15 3 4" xfId="50842" xr:uid="{00000000-0005-0000-0000-0000A3A40000}"/>
    <cellStyle name="Normal 6 2 5 15 4" xfId="18145" xr:uid="{00000000-0005-0000-0000-0000A4A40000}"/>
    <cellStyle name="Normal 6 2 5 15 4 2" xfId="32277" xr:uid="{00000000-0005-0000-0000-0000A5A40000}"/>
    <cellStyle name="Normal 6 2 5 15 4 3" xfId="46172" xr:uid="{00000000-0005-0000-0000-0000A6A40000}"/>
    <cellStyle name="Normal 6 2 5 15 5" xfId="22958" xr:uid="{00000000-0005-0000-0000-0000A7A40000}"/>
    <cellStyle name="Normal 6 2 5 15 6" xfId="41590" xr:uid="{00000000-0005-0000-0000-0000A8A40000}"/>
    <cellStyle name="Normal 6 2 5 16" xfId="7635" xr:uid="{00000000-0005-0000-0000-0000A9A40000}"/>
    <cellStyle name="Normal 6 2 5 16 2" xfId="7636" xr:uid="{00000000-0005-0000-0000-0000AAA40000}"/>
    <cellStyle name="Normal 6 2 5 16 2 2" xfId="13417" xr:uid="{00000000-0005-0000-0000-0000ABA40000}"/>
    <cellStyle name="Normal 6 2 5 16 2 2 2" xfId="36902" xr:uid="{00000000-0005-0000-0000-0000ACA40000}"/>
    <cellStyle name="Normal 6 2 5 16 2 2 3" xfId="27583" xr:uid="{00000000-0005-0000-0000-0000ADA40000}"/>
    <cellStyle name="Normal 6 2 5 16 2 2 4" xfId="50845" xr:uid="{00000000-0005-0000-0000-0000AEA40000}"/>
    <cellStyle name="Normal 6 2 5 16 2 3" xfId="18148" xr:uid="{00000000-0005-0000-0000-0000AFA40000}"/>
    <cellStyle name="Normal 6 2 5 16 2 3 2" xfId="32280" xr:uid="{00000000-0005-0000-0000-0000B0A40000}"/>
    <cellStyle name="Normal 6 2 5 16 2 3 3" xfId="46175" xr:uid="{00000000-0005-0000-0000-0000B1A40000}"/>
    <cellStyle name="Normal 6 2 5 16 2 4" xfId="22961" xr:uid="{00000000-0005-0000-0000-0000B2A40000}"/>
    <cellStyle name="Normal 6 2 5 16 2 5" xfId="41593" xr:uid="{00000000-0005-0000-0000-0000B3A40000}"/>
    <cellStyle name="Normal 6 2 5 16 3" xfId="13416" xr:uid="{00000000-0005-0000-0000-0000B4A40000}"/>
    <cellStyle name="Normal 6 2 5 16 3 2" xfId="36901" xr:uid="{00000000-0005-0000-0000-0000B5A40000}"/>
    <cellStyle name="Normal 6 2 5 16 3 3" xfId="27582" xr:uid="{00000000-0005-0000-0000-0000B6A40000}"/>
    <cellStyle name="Normal 6 2 5 16 3 4" xfId="50844" xr:uid="{00000000-0005-0000-0000-0000B7A40000}"/>
    <cellStyle name="Normal 6 2 5 16 4" xfId="18147" xr:uid="{00000000-0005-0000-0000-0000B8A40000}"/>
    <cellStyle name="Normal 6 2 5 16 4 2" xfId="32279" xr:uid="{00000000-0005-0000-0000-0000B9A40000}"/>
    <cellStyle name="Normal 6 2 5 16 4 3" xfId="46174" xr:uid="{00000000-0005-0000-0000-0000BAA40000}"/>
    <cellStyle name="Normal 6 2 5 16 5" xfId="22960" xr:uid="{00000000-0005-0000-0000-0000BBA40000}"/>
    <cellStyle name="Normal 6 2 5 16 6" xfId="41592" xr:uid="{00000000-0005-0000-0000-0000BCA40000}"/>
    <cellStyle name="Normal 6 2 5 17" xfId="7637" xr:uid="{00000000-0005-0000-0000-0000BDA40000}"/>
    <cellStyle name="Normal 6 2 5 17 2" xfId="7638" xr:uid="{00000000-0005-0000-0000-0000BEA40000}"/>
    <cellStyle name="Normal 6 2 5 17 2 2" xfId="13419" xr:uid="{00000000-0005-0000-0000-0000BFA40000}"/>
    <cellStyle name="Normal 6 2 5 17 2 2 2" xfId="36904" xr:uid="{00000000-0005-0000-0000-0000C0A40000}"/>
    <cellStyle name="Normal 6 2 5 17 2 2 3" xfId="27585" xr:uid="{00000000-0005-0000-0000-0000C1A40000}"/>
    <cellStyle name="Normal 6 2 5 17 2 2 4" xfId="50847" xr:uid="{00000000-0005-0000-0000-0000C2A40000}"/>
    <cellStyle name="Normal 6 2 5 17 2 3" xfId="18150" xr:uid="{00000000-0005-0000-0000-0000C3A40000}"/>
    <cellStyle name="Normal 6 2 5 17 2 3 2" xfId="32282" xr:uid="{00000000-0005-0000-0000-0000C4A40000}"/>
    <cellStyle name="Normal 6 2 5 17 2 3 3" xfId="46177" xr:uid="{00000000-0005-0000-0000-0000C5A40000}"/>
    <cellStyle name="Normal 6 2 5 17 2 4" xfId="22963" xr:uid="{00000000-0005-0000-0000-0000C6A40000}"/>
    <cellStyle name="Normal 6 2 5 17 2 5" xfId="41595" xr:uid="{00000000-0005-0000-0000-0000C7A40000}"/>
    <cellStyle name="Normal 6 2 5 17 3" xfId="13418" xr:uid="{00000000-0005-0000-0000-0000C8A40000}"/>
    <cellStyle name="Normal 6 2 5 17 3 2" xfId="36903" xr:uid="{00000000-0005-0000-0000-0000C9A40000}"/>
    <cellStyle name="Normal 6 2 5 17 3 3" xfId="27584" xr:uid="{00000000-0005-0000-0000-0000CAA40000}"/>
    <cellStyle name="Normal 6 2 5 17 3 4" xfId="50846" xr:uid="{00000000-0005-0000-0000-0000CBA40000}"/>
    <cellStyle name="Normal 6 2 5 17 4" xfId="18149" xr:uid="{00000000-0005-0000-0000-0000CCA40000}"/>
    <cellStyle name="Normal 6 2 5 17 4 2" xfId="32281" xr:uid="{00000000-0005-0000-0000-0000CDA40000}"/>
    <cellStyle name="Normal 6 2 5 17 4 3" xfId="46176" xr:uid="{00000000-0005-0000-0000-0000CEA40000}"/>
    <cellStyle name="Normal 6 2 5 17 5" xfId="22962" xr:uid="{00000000-0005-0000-0000-0000CFA40000}"/>
    <cellStyle name="Normal 6 2 5 17 6" xfId="41594" xr:uid="{00000000-0005-0000-0000-0000D0A40000}"/>
    <cellStyle name="Normal 6 2 5 18" xfId="7639" xr:uid="{00000000-0005-0000-0000-0000D1A40000}"/>
    <cellStyle name="Normal 6 2 5 18 2" xfId="7640" xr:uid="{00000000-0005-0000-0000-0000D2A40000}"/>
    <cellStyle name="Normal 6 2 5 18 2 2" xfId="13421" xr:uid="{00000000-0005-0000-0000-0000D3A40000}"/>
    <cellStyle name="Normal 6 2 5 18 2 2 2" xfId="36906" xr:uid="{00000000-0005-0000-0000-0000D4A40000}"/>
    <cellStyle name="Normal 6 2 5 18 2 2 3" xfId="27587" xr:uid="{00000000-0005-0000-0000-0000D5A40000}"/>
    <cellStyle name="Normal 6 2 5 18 2 2 4" xfId="50849" xr:uid="{00000000-0005-0000-0000-0000D6A40000}"/>
    <cellStyle name="Normal 6 2 5 18 2 3" xfId="18152" xr:uid="{00000000-0005-0000-0000-0000D7A40000}"/>
    <cellStyle name="Normal 6 2 5 18 2 3 2" xfId="32284" xr:uid="{00000000-0005-0000-0000-0000D8A40000}"/>
    <cellStyle name="Normal 6 2 5 18 2 3 3" xfId="46179" xr:uid="{00000000-0005-0000-0000-0000D9A40000}"/>
    <cellStyle name="Normal 6 2 5 18 2 4" xfId="22965" xr:uid="{00000000-0005-0000-0000-0000DAA40000}"/>
    <cellStyle name="Normal 6 2 5 18 2 5" xfId="41597" xr:uid="{00000000-0005-0000-0000-0000DBA40000}"/>
    <cellStyle name="Normal 6 2 5 18 3" xfId="13420" xr:uid="{00000000-0005-0000-0000-0000DCA40000}"/>
    <cellStyle name="Normal 6 2 5 18 3 2" xfId="36905" xr:uid="{00000000-0005-0000-0000-0000DDA40000}"/>
    <cellStyle name="Normal 6 2 5 18 3 3" xfId="27586" xr:uid="{00000000-0005-0000-0000-0000DEA40000}"/>
    <cellStyle name="Normal 6 2 5 18 3 4" xfId="50848" xr:uid="{00000000-0005-0000-0000-0000DFA40000}"/>
    <cellStyle name="Normal 6 2 5 18 4" xfId="18151" xr:uid="{00000000-0005-0000-0000-0000E0A40000}"/>
    <cellStyle name="Normal 6 2 5 18 4 2" xfId="32283" xr:uid="{00000000-0005-0000-0000-0000E1A40000}"/>
    <cellStyle name="Normal 6 2 5 18 4 3" xfId="46178" xr:uid="{00000000-0005-0000-0000-0000E2A40000}"/>
    <cellStyle name="Normal 6 2 5 18 5" xfId="22964" xr:uid="{00000000-0005-0000-0000-0000E3A40000}"/>
    <cellStyle name="Normal 6 2 5 18 6" xfId="41596" xr:uid="{00000000-0005-0000-0000-0000E4A40000}"/>
    <cellStyle name="Normal 6 2 5 19" xfId="7641" xr:uid="{00000000-0005-0000-0000-0000E5A40000}"/>
    <cellStyle name="Normal 6 2 5 19 2" xfId="7642" xr:uid="{00000000-0005-0000-0000-0000E6A40000}"/>
    <cellStyle name="Normal 6 2 5 19 2 2" xfId="13423" xr:uid="{00000000-0005-0000-0000-0000E7A40000}"/>
    <cellStyle name="Normal 6 2 5 19 2 2 2" xfId="36908" xr:uid="{00000000-0005-0000-0000-0000E8A40000}"/>
    <cellStyle name="Normal 6 2 5 19 2 2 3" xfId="27589" xr:uid="{00000000-0005-0000-0000-0000E9A40000}"/>
    <cellStyle name="Normal 6 2 5 19 2 2 4" xfId="50851" xr:uid="{00000000-0005-0000-0000-0000EAA40000}"/>
    <cellStyle name="Normal 6 2 5 19 2 3" xfId="18154" xr:uid="{00000000-0005-0000-0000-0000EBA40000}"/>
    <cellStyle name="Normal 6 2 5 19 2 3 2" xfId="32286" xr:uid="{00000000-0005-0000-0000-0000ECA40000}"/>
    <cellStyle name="Normal 6 2 5 19 2 3 3" xfId="46181" xr:uid="{00000000-0005-0000-0000-0000EDA40000}"/>
    <cellStyle name="Normal 6 2 5 19 2 4" xfId="22967" xr:uid="{00000000-0005-0000-0000-0000EEA40000}"/>
    <cellStyle name="Normal 6 2 5 19 2 5" xfId="41599" xr:uid="{00000000-0005-0000-0000-0000EFA40000}"/>
    <cellStyle name="Normal 6 2 5 19 3" xfId="13422" xr:uid="{00000000-0005-0000-0000-0000F0A40000}"/>
    <cellStyle name="Normal 6 2 5 19 3 2" xfId="36907" xr:uid="{00000000-0005-0000-0000-0000F1A40000}"/>
    <cellStyle name="Normal 6 2 5 19 3 3" xfId="27588" xr:uid="{00000000-0005-0000-0000-0000F2A40000}"/>
    <cellStyle name="Normal 6 2 5 19 3 4" xfId="50850" xr:uid="{00000000-0005-0000-0000-0000F3A40000}"/>
    <cellStyle name="Normal 6 2 5 19 4" xfId="18153" xr:uid="{00000000-0005-0000-0000-0000F4A40000}"/>
    <cellStyle name="Normal 6 2 5 19 4 2" xfId="32285" xr:uid="{00000000-0005-0000-0000-0000F5A40000}"/>
    <cellStyle name="Normal 6 2 5 19 4 3" xfId="46180" xr:uid="{00000000-0005-0000-0000-0000F6A40000}"/>
    <cellStyle name="Normal 6 2 5 19 5" xfId="22966" xr:uid="{00000000-0005-0000-0000-0000F7A40000}"/>
    <cellStyle name="Normal 6 2 5 19 6" xfId="41598" xr:uid="{00000000-0005-0000-0000-0000F8A40000}"/>
    <cellStyle name="Normal 6 2 5 2" xfId="7643" xr:uid="{00000000-0005-0000-0000-0000F9A40000}"/>
    <cellStyle name="Normal 6 2 5 2 2" xfId="7644" xr:uid="{00000000-0005-0000-0000-0000FAA40000}"/>
    <cellStyle name="Normal 6 2 5 2 2 2" xfId="13425" xr:uid="{00000000-0005-0000-0000-0000FBA40000}"/>
    <cellStyle name="Normal 6 2 5 2 2 2 2" xfId="36910" xr:uid="{00000000-0005-0000-0000-0000FCA40000}"/>
    <cellStyle name="Normal 6 2 5 2 2 2 3" xfId="27591" xr:uid="{00000000-0005-0000-0000-0000FDA40000}"/>
    <cellStyle name="Normal 6 2 5 2 2 2 4" xfId="50853" xr:uid="{00000000-0005-0000-0000-0000FEA40000}"/>
    <cellStyle name="Normal 6 2 5 2 2 3" xfId="18156" xr:uid="{00000000-0005-0000-0000-0000FFA40000}"/>
    <cellStyle name="Normal 6 2 5 2 2 3 2" xfId="32288" xr:uid="{00000000-0005-0000-0000-000000A50000}"/>
    <cellStyle name="Normal 6 2 5 2 2 3 3" xfId="46183" xr:uid="{00000000-0005-0000-0000-000001A50000}"/>
    <cellStyle name="Normal 6 2 5 2 2 4" xfId="22969" xr:uid="{00000000-0005-0000-0000-000002A50000}"/>
    <cellStyle name="Normal 6 2 5 2 2 5" xfId="41601" xr:uid="{00000000-0005-0000-0000-000003A50000}"/>
    <cellStyle name="Normal 6 2 5 2 3" xfId="13424" xr:uid="{00000000-0005-0000-0000-000004A50000}"/>
    <cellStyle name="Normal 6 2 5 2 3 2" xfId="36909" xr:uid="{00000000-0005-0000-0000-000005A50000}"/>
    <cellStyle name="Normal 6 2 5 2 3 3" xfId="27590" xr:uid="{00000000-0005-0000-0000-000006A50000}"/>
    <cellStyle name="Normal 6 2 5 2 3 4" xfId="50852" xr:uid="{00000000-0005-0000-0000-000007A50000}"/>
    <cellStyle name="Normal 6 2 5 2 4" xfId="18155" xr:uid="{00000000-0005-0000-0000-000008A50000}"/>
    <cellStyle name="Normal 6 2 5 2 4 2" xfId="32287" xr:uid="{00000000-0005-0000-0000-000009A50000}"/>
    <cellStyle name="Normal 6 2 5 2 4 3" xfId="46182" xr:uid="{00000000-0005-0000-0000-00000AA50000}"/>
    <cellStyle name="Normal 6 2 5 2 5" xfId="22968" xr:uid="{00000000-0005-0000-0000-00000BA50000}"/>
    <cellStyle name="Normal 6 2 5 2 6" xfId="41600" xr:uid="{00000000-0005-0000-0000-00000CA50000}"/>
    <cellStyle name="Normal 6 2 5 20" xfId="7645" xr:uid="{00000000-0005-0000-0000-00000DA50000}"/>
    <cellStyle name="Normal 6 2 5 20 2" xfId="7646" xr:uid="{00000000-0005-0000-0000-00000EA50000}"/>
    <cellStyle name="Normal 6 2 5 20 2 2" xfId="13427" xr:uid="{00000000-0005-0000-0000-00000FA50000}"/>
    <cellStyle name="Normal 6 2 5 20 2 2 2" xfId="36912" xr:uid="{00000000-0005-0000-0000-000010A50000}"/>
    <cellStyle name="Normal 6 2 5 20 2 2 3" xfId="27593" xr:uid="{00000000-0005-0000-0000-000011A50000}"/>
    <cellStyle name="Normal 6 2 5 20 2 2 4" xfId="50855" xr:uid="{00000000-0005-0000-0000-000012A50000}"/>
    <cellStyle name="Normal 6 2 5 20 2 3" xfId="18158" xr:uid="{00000000-0005-0000-0000-000013A50000}"/>
    <cellStyle name="Normal 6 2 5 20 2 3 2" xfId="32290" xr:uid="{00000000-0005-0000-0000-000014A50000}"/>
    <cellStyle name="Normal 6 2 5 20 2 3 3" xfId="46185" xr:uid="{00000000-0005-0000-0000-000015A50000}"/>
    <cellStyle name="Normal 6 2 5 20 2 4" xfId="22971" xr:uid="{00000000-0005-0000-0000-000016A50000}"/>
    <cellStyle name="Normal 6 2 5 20 2 5" xfId="41603" xr:uid="{00000000-0005-0000-0000-000017A50000}"/>
    <cellStyle name="Normal 6 2 5 20 3" xfId="13426" xr:uid="{00000000-0005-0000-0000-000018A50000}"/>
    <cellStyle name="Normal 6 2 5 20 3 2" xfId="36911" xr:uid="{00000000-0005-0000-0000-000019A50000}"/>
    <cellStyle name="Normal 6 2 5 20 3 3" xfId="27592" xr:uid="{00000000-0005-0000-0000-00001AA50000}"/>
    <cellStyle name="Normal 6 2 5 20 3 4" xfId="50854" xr:uid="{00000000-0005-0000-0000-00001BA50000}"/>
    <cellStyle name="Normal 6 2 5 20 4" xfId="18157" xr:uid="{00000000-0005-0000-0000-00001CA50000}"/>
    <cellStyle name="Normal 6 2 5 20 4 2" xfId="32289" xr:uid="{00000000-0005-0000-0000-00001DA50000}"/>
    <cellStyle name="Normal 6 2 5 20 4 3" xfId="46184" xr:uid="{00000000-0005-0000-0000-00001EA50000}"/>
    <cellStyle name="Normal 6 2 5 20 5" xfId="22970" xr:uid="{00000000-0005-0000-0000-00001FA50000}"/>
    <cellStyle name="Normal 6 2 5 20 6" xfId="41602" xr:uid="{00000000-0005-0000-0000-000020A50000}"/>
    <cellStyle name="Normal 6 2 5 21" xfId="7647" xr:uid="{00000000-0005-0000-0000-000021A50000}"/>
    <cellStyle name="Normal 6 2 5 21 2" xfId="7648" xr:uid="{00000000-0005-0000-0000-000022A50000}"/>
    <cellStyle name="Normal 6 2 5 21 2 2" xfId="13429" xr:uid="{00000000-0005-0000-0000-000023A50000}"/>
    <cellStyle name="Normal 6 2 5 21 2 2 2" xfId="36914" xr:uid="{00000000-0005-0000-0000-000024A50000}"/>
    <cellStyle name="Normal 6 2 5 21 2 2 3" xfId="27595" xr:uid="{00000000-0005-0000-0000-000025A50000}"/>
    <cellStyle name="Normal 6 2 5 21 2 2 4" xfId="50857" xr:uid="{00000000-0005-0000-0000-000026A50000}"/>
    <cellStyle name="Normal 6 2 5 21 2 3" xfId="18160" xr:uid="{00000000-0005-0000-0000-000027A50000}"/>
    <cellStyle name="Normal 6 2 5 21 2 3 2" xfId="32292" xr:uid="{00000000-0005-0000-0000-000028A50000}"/>
    <cellStyle name="Normal 6 2 5 21 2 3 3" xfId="46187" xr:uid="{00000000-0005-0000-0000-000029A50000}"/>
    <cellStyle name="Normal 6 2 5 21 2 4" xfId="22973" xr:uid="{00000000-0005-0000-0000-00002AA50000}"/>
    <cellStyle name="Normal 6 2 5 21 2 5" xfId="41605" xr:uid="{00000000-0005-0000-0000-00002BA50000}"/>
    <cellStyle name="Normal 6 2 5 21 3" xfId="13428" xr:uid="{00000000-0005-0000-0000-00002CA50000}"/>
    <cellStyle name="Normal 6 2 5 21 3 2" xfId="36913" xr:uid="{00000000-0005-0000-0000-00002DA50000}"/>
    <cellStyle name="Normal 6 2 5 21 3 3" xfId="27594" xr:uid="{00000000-0005-0000-0000-00002EA50000}"/>
    <cellStyle name="Normal 6 2 5 21 3 4" xfId="50856" xr:uid="{00000000-0005-0000-0000-00002FA50000}"/>
    <cellStyle name="Normal 6 2 5 21 4" xfId="18159" xr:uid="{00000000-0005-0000-0000-000030A50000}"/>
    <cellStyle name="Normal 6 2 5 21 4 2" xfId="32291" xr:uid="{00000000-0005-0000-0000-000031A50000}"/>
    <cellStyle name="Normal 6 2 5 21 4 3" xfId="46186" xr:uid="{00000000-0005-0000-0000-000032A50000}"/>
    <cellStyle name="Normal 6 2 5 21 5" xfId="22972" xr:uid="{00000000-0005-0000-0000-000033A50000}"/>
    <cellStyle name="Normal 6 2 5 21 6" xfId="41604" xr:uid="{00000000-0005-0000-0000-000034A50000}"/>
    <cellStyle name="Normal 6 2 5 22" xfId="7649" xr:uid="{00000000-0005-0000-0000-000035A50000}"/>
    <cellStyle name="Normal 6 2 5 22 2" xfId="7650" xr:uid="{00000000-0005-0000-0000-000036A50000}"/>
    <cellStyle name="Normal 6 2 5 22 2 2" xfId="13431" xr:uid="{00000000-0005-0000-0000-000037A50000}"/>
    <cellStyle name="Normal 6 2 5 22 2 2 2" xfId="36916" xr:uid="{00000000-0005-0000-0000-000038A50000}"/>
    <cellStyle name="Normal 6 2 5 22 2 2 3" xfId="27597" xr:uid="{00000000-0005-0000-0000-000039A50000}"/>
    <cellStyle name="Normal 6 2 5 22 2 2 4" xfId="50859" xr:uid="{00000000-0005-0000-0000-00003AA50000}"/>
    <cellStyle name="Normal 6 2 5 22 2 3" xfId="18162" xr:uid="{00000000-0005-0000-0000-00003BA50000}"/>
    <cellStyle name="Normal 6 2 5 22 2 3 2" xfId="32294" xr:uid="{00000000-0005-0000-0000-00003CA50000}"/>
    <cellStyle name="Normal 6 2 5 22 2 3 3" xfId="46189" xr:uid="{00000000-0005-0000-0000-00003DA50000}"/>
    <cellStyle name="Normal 6 2 5 22 2 4" xfId="22975" xr:uid="{00000000-0005-0000-0000-00003EA50000}"/>
    <cellStyle name="Normal 6 2 5 22 2 5" xfId="41607" xr:uid="{00000000-0005-0000-0000-00003FA50000}"/>
    <cellStyle name="Normal 6 2 5 22 3" xfId="13430" xr:uid="{00000000-0005-0000-0000-000040A50000}"/>
    <cellStyle name="Normal 6 2 5 22 3 2" xfId="36915" xr:uid="{00000000-0005-0000-0000-000041A50000}"/>
    <cellStyle name="Normal 6 2 5 22 3 3" xfId="27596" xr:uid="{00000000-0005-0000-0000-000042A50000}"/>
    <cellStyle name="Normal 6 2 5 22 3 4" xfId="50858" xr:uid="{00000000-0005-0000-0000-000043A50000}"/>
    <cellStyle name="Normal 6 2 5 22 4" xfId="18161" xr:uid="{00000000-0005-0000-0000-000044A50000}"/>
    <cellStyle name="Normal 6 2 5 22 4 2" xfId="32293" xr:uid="{00000000-0005-0000-0000-000045A50000}"/>
    <cellStyle name="Normal 6 2 5 22 4 3" xfId="46188" xr:uid="{00000000-0005-0000-0000-000046A50000}"/>
    <cellStyle name="Normal 6 2 5 22 5" xfId="22974" xr:uid="{00000000-0005-0000-0000-000047A50000}"/>
    <cellStyle name="Normal 6 2 5 22 6" xfId="41606" xr:uid="{00000000-0005-0000-0000-000048A50000}"/>
    <cellStyle name="Normal 6 2 5 23" xfId="7651" xr:uid="{00000000-0005-0000-0000-000049A50000}"/>
    <cellStyle name="Normal 6 2 5 23 2" xfId="7652" xr:uid="{00000000-0005-0000-0000-00004AA50000}"/>
    <cellStyle name="Normal 6 2 5 23 2 2" xfId="13433" xr:uid="{00000000-0005-0000-0000-00004BA50000}"/>
    <cellStyle name="Normal 6 2 5 23 2 2 2" xfId="36918" xr:uid="{00000000-0005-0000-0000-00004CA50000}"/>
    <cellStyle name="Normal 6 2 5 23 2 2 3" xfId="27599" xr:uid="{00000000-0005-0000-0000-00004DA50000}"/>
    <cellStyle name="Normal 6 2 5 23 2 2 4" xfId="50861" xr:uid="{00000000-0005-0000-0000-00004EA50000}"/>
    <cellStyle name="Normal 6 2 5 23 2 3" xfId="18164" xr:uid="{00000000-0005-0000-0000-00004FA50000}"/>
    <cellStyle name="Normal 6 2 5 23 2 3 2" xfId="32296" xr:uid="{00000000-0005-0000-0000-000050A50000}"/>
    <cellStyle name="Normal 6 2 5 23 2 3 3" xfId="46191" xr:uid="{00000000-0005-0000-0000-000051A50000}"/>
    <cellStyle name="Normal 6 2 5 23 2 4" xfId="22977" xr:uid="{00000000-0005-0000-0000-000052A50000}"/>
    <cellStyle name="Normal 6 2 5 23 2 5" xfId="41609" xr:uid="{00000000-0005-0000-0000-000053A50000}"/>
    <cellStyle name="Normal 6 2 5 23 3" xfId="13432" xr:uid="{00000000-0005-0000-0000-000054A50000}"/>
    <cellStyle name="Normal 6 2 5 23 3 2" xfId="36917" xr:uid="{00000000-0005-0000-0000-000055A50000}"/>
    <cellStyle name="Normal 6 2 5 23 3 3" xfId="27598" xr:uid="{00000000-0005-0000-0000-000056A50000}"/>
    <cellStyle name="Normal 6 2 5 23 3 4" xfId="50860" xr:uid="{00000000-0005-0000-0000-000057A50000}"/>
    <cellStyle name="Normal 6 2 5 23 4" xfId="18163" xr:uid="{00000000-0005-0000-0000-000058A50000}"/>
    <cellStyle name="Normal 6 2 5 23 4 2" xfId="32295" xr:uid="{00000000-0005-0000-0000-000059A50000}"/>
    <cellStyle name="Normal 6 2 5 23 4 3" xfId="46190" xr:uid="{00000000-0005-0000-0000-00005AA50000}"/>
    <cellStyle name="Normal 6 2 5 23 5" xfId="22976" xr:uid="{00000000-0005-0000-0000-00005BA50000}"/>
    <cellStyle name="Normal 6 2 5 23 6" xfId="41608" xr:uid="{00000000-0005-0000-0000-00005CA50000}"/>
    <cellStyle name="Normal 6 2 5 24" xfId="7653" xr:uid="{00000000-0005-0000-0000-00005DA50000}"/>
    <cellStyle name="Normal 6 2 5 24 2" xfId="13434" xr:uid="{00000000-0005-0000-0000-00005EA50000}"/>
    <cellStyle name="Normal 6 2 5 24 2 2" xfId="36919" xr:uid="{00000000-0005-0000-0000-00005FA50000}"/>
    <cellStyle name="Normal 6 2 5 24 2 3" xfId="27600" xr:uid="{00000000-0005-0000-0000-000060A50000}"/>
    <cellStyle name="Normal 6 2 5 24 2 4" xfId="50862" xr:uid="{00000000-0005-0000-0000-000061A50000}"/>
    <cellStyle name="Normal 6 2 5 24 3" xfId="18165" xr:uid="{00000000-0005-0000-0000-000062A50000}"/>
    <cellStyle name="Normal 6 2 5 24 3 2" xfId="32297" xr:uid="{00000000-0005-0000-0000-000063A50000}"/>
    <cellStyle name="Normal 6 2 5 24 3 3" xfId="46192" xr:uid="{00000000-0005-0000-0000-000064A50000}"/>
    <cellStyle name="Normal 6 2 5 24 4" xfId="22978" xr:uid="{00000000-0005-0000-0000-000065A50000}"/>
    <cellStyle name="Normal 6 2 5 24 5" xfId="41610" xr:uid="{00000000-0005-0000-0000-000066A50000}"/>
    <cellStyle name="Normal 6 2 5 25" xfId="13403" xr:uid="{00000000-0005-0000-0000-000067A50000}"/>
    <cellStyle name="Normal 6 2 5 25 2" xfId="36888" xr:uid="{00000000-0005-0000-0000-000068A50000}"/>
    <cellStyle name="Normal 6 2 5 25 3" xfId="27569" xr:uid="{00000000-0005-0000-0000-000069A50000}"/>
    <cellStyle name="Normal 6 2 5 25 4" xfId="50831" xr:uid="{00000000-0005-0000-0000-00006AA50000}"/>
    <cellStyle name="Normal 6 2 5 26" xfId="18134" xr:uid="{00000000-0005-0000-0000-00006BA50000}"/>
    <cellStyle name="Normal 6 2 5 26 2" xfId="32266" xr:uid="{00000000-0005-0000-0000-00006CA50000}"/>
    <cellStyle name="Normal 6 2 5 26 3" xfId="46161" xr:uid="{00000000-0005-0000-0000-00006DA50000}"/>
    <cellStyle name="Normal 6 2 5 27" xfId="22947" xr:uid="{00000000-0005-0000-0000-00006EA50000}"/>
    <cellStyle name="Normal 6 2 5 28" xfId="41579" xr:uid="{00000000-0005-0000-0000-00006FA50000}"/>
    <cellStyle name="Normal 6 2 5 3" xfId="7654" xr:uid="{00000000-0005-0000-0000-000070A50000}"/>
    <cellStyle name="Normal 6 2 5 3 2" xfId="7655" xr:uid="{00000000-0005-0000-0000-000071A50000}"/>
    <cellStyle name="Normal 6 2 5 3 2 2" xfId="13436" xr:uid="{00000000-0005-0000-0000-000072A50000}"/>
    <cellStyle name="Normal 6 2 5 3 2 2 2" xfId="36921" xr:uid="{00000000-0005-0000-0000-000073A50000}"/>
    <cellStyle name="Normal 6 2 5 3 2 2 3" xfId="27602" xr:uid="{00000000-0005-0000-0000-000074A50000}"/>
    <cellStyle name="Normal 6 2 5 3 2 2 4" xfId="50864" xr:uid="{00000000-0005-0000-0000-000075A50000}"/>
    <cellStyle name="Normal 6 2 5 3 2 3" xfId="18167" xr:uid="{00000000-0005-0000-0000-000076A50000}"/>
    <cellStyle name="Normal 6 2 5 3 2 3 2" xfId="32299" xr:uid="{00000000-0005-0000-0000-000077A50000}"/>
    <cellStyle name="Normal 6 2 5 3 2 3 3" xfId="46194" xr:uid="{00000000-0005-0000-0000-000078A50000}"/>
    <cellStyle name="Normal 6 2 5 3 2 4" xfId="22980" xr:uid="{00000000-0005-0000-0000-000079A50000}"/>
    <cellStyle name="Normal 6 2 5 3 2 5" xfId="41612" xr:uid="{00000000-0005-0000-0000-00007AA50000}"/>
    <cellStyle name="Normal 6 2 5 3 3" xfId="13435" xr:uid="{00000000-0005-0000-0000-00007BA50000}"/>
    <cellStyle name="Normal 6 2 5 3 3 2" xfId="36920" xr:uid="{00000000-0005-0000-0000-00007CA50000}"/>
    <cellStyle name="Normal 6 2 5 3 3 3" xfId="27601" xr:uid="{00000000-0005-0000-0000-00007DA50000}"/>
    <cellStyle name="Normal 6 2 5 3 3 4" xfId="50863" xr:uid="{00000000-0005-0000-0000-00007EA50000}"/>
    <cellStyle name="Normal 6 2 5 3 4" xfId="18166" xr:uid="{00000000-0005-0000-0000-00007FA50000}"/>
    <cellStyle name="Normal 6 2 5 3 4 2" xfId="32298" xr:uid="{00000000-0005-0000-0000-000080A50000}"/>
    <cellStyle name="Normal 6 2 5 3 4 3" xfId="46193" xr:uid="{00000000-0005-0000-0000-000081A50000}"/>
    <cellStyle name="Normal 6 2 5 3 5" xfId="22979" xr:uid="{00000000-0005-0000-0000-000082A50000}"/>
    <cellStyle name="Normal 6 2 5 3 6" xfId="41611" xr:uid="{00000000-0005-0000-0000-000083A50000}"/>
    <cellStyle name="Normal 6 2 5 4" xfId="7656" xr:uid="{00000000-0005-0000-0000-000084A50000}"/>
    <cellStyle name="Normal 6 2 5 4 2" xfId="7657" xr:uid="{00000000-0005-0000-0000-000085A50000}"/>
    <cellStyle name="Normal 6 2 5 4 2 2" xfId="13438" xr:uid="{00000000-0005-0000-0000-000086A50000}"/>
    <cellStyle name="Normal 6 2 5 4 2 2 2" xfId="36923" xr:uid="{00000000-0005-0000-0000-000087A50000}"/>
    <cellStyle name="Normal 6 2 5 4 2 2 3" xfId="27604" xr:uid="{00000000-0005-0000-0000-000088A50000}"/>
    <cellStyle name="Normal 6 2 5 4 2 2 4" xfId="50866" xr:uid="{00000000-0005-0000-0000-000089A50000}"/>
    <cellStyle name="Normal 6 2 5 4 2 3" xfId="18169" xr:uid="{00000000-0005-0000-0000-00008AA50000}"/>
    <cellStyle name="Normal 6 2 5 4 2 3 2" xfId="32301" xr:uid="{00000000-0005-0000-0000-00008BA50000}"/>
    <cellStyle name="Normal 6 2 5 4 2 3 3" xfId="46196" xr:uid="{00000000-0005-0000-0000-00008CA50000}"/>
    <cellStyle name="Normal 6 2 5 4 2 4" xfId="22982" xr:uid="{00000000-0005-0000-0000-00008DA50000}"/>
    <cellStyle name="Normal 6 2 5 4 2 5" xfId="41614" xr:uid="{00000000-0005-0000-0000-00008EA50000}"/>
    <cellStyle name="Normal 6 2 5 4 3" xfId="13437" xr:uid="{00000000-0005-0000-0000-00008FA50000}"/>
    <cellStyle name="Normal 6 2 5 4 3 2" xfId="36922" xr:uid="{00000000-0005-0000-0000-000090A50000}"/>
    <cellStyle name="Normal 6 2 5 4 3 3" xfId="27603" xr:uid="{00000000-0005-0000-0000-000091A50000}"/>
    <cellStyle name="Normal 6 2 5 4 3 4" xfId="50865" xr:uid="{00000000-0005-0000-0000-000092A50000}"/>
    <cellStyle name="Normal 6 2 5 4 4" xfId="18168" xr:uid="{00000000-0005-0000-0000-000093A50000}"/>
    <cellStyle name="Normal 6 2 5 4 4 2" xfId="32300" xr:uid="{00000000-0005-0000-0000-000094A50000}"/>
    <cellStyle name="Normal 6 2 5 4 4 3" xfId="46195" xr:uid="{00000000-0005-0000-0000-000095A50000}"/>
    <cellStyle name="Normal 6 2 5 4 5" xfId="22981" xr:uid="{00000000-0005-0000-0000-000096A50000}"/>
    <cellStyle name="Normal 6 2 5 4 6" xfId="41613" xr:uid="{00000000-0005-0000-0000-000097A50000}"/>
    <cellStyle name="Normal 6 2 5 5" xfId="7658" xr:uid="{00000000-0005-0000-0000-000098A50000}"/>
    <cellStyle name="Normal 6 2 5 5 2" xfId="7659" xr:uid="{00000000-0005-0000-0000-000099A50000}"/>
    <cellStyle name="Normal 6 2 5 5 2 2" xfId="13440" xr:uid="{00000000-0005-0000-0000-00009AA50000}"/>
    <cellStyle name="Normal 6 2 5 5 2 2 2" xfId="36925" xr:uid="{00000000-0005-0000-0000-00009BA50000}"/>
    <cellStyle name="Normal 6 2 5 5 2 2 3" xfId="27606" xr:uid="{00000000-0005-0000-0000-00009CA50000}"/>
    <cellStyle name="Normal 6 2 5 5 2 2 4" xfId="50868" xr:uid="{00000000-0005-0000-0000-00009DA50000}"/>
    <cellStyle name="Normal 6 2 5 5 2 3" xfId="18171" xr:uid="{00000000-0005-0000-0000-00009EA50000}"/>
    <cellStyle name="Normal 6 2 5 5 2 3 2" xfId="32303" xr:uid="{00000000-0005-0000-0000-00009FA50000}"/>
    <cellStyle name="Normal 6 2 5 5 2 3 3" xfId="46198" xr:uid="{00000000-0005-0000-0000-0000A0A50000}"/>
    <cellStyle name="Normal 6 2 5 5 2 4" xfId="22984" xr:uid="{00000000-0005-0000-0000-0000A1A50000}"/>
    <cellStyle name="Normal 6 2 5 5 2 5" xfId="41616" xr:uid="{00000000-0005-0000-0000-0000A2A50000}"/>
    <cellStyle name="Normal 6 2 5 5 3" xfId="13439" xr:uid="{00000000-0005-0000-0000-0000A3A50000}"/>
    <cellStyle name="Normal 6 2 5 5 3 2" xfId="36924" xr:uid="{00000000-0005-0000-0000-0000A4A50000}"/>
    <cellStyle name="Normal 6 2 5 5 3 3" xfId="27605" xr:uid="{00000000-0005-0000-0000-0000A5A50000}"/>
    <cellStyle name="Normal 6 2 5 5 3 4" xfId="50867" xr:uid="{00000000-0005-0000-0000-0000A6A50000}"/>
    <cellStyle name="Normal 6 2 5 5 4" xfId="18170" xr:uid="{00000000-0005-0000-0000-0000A7A50000}"/>
    <cellStyle name="Normal 6 2 5 5 4 2" xfId="32302" xr:uid="{00000000-0005-0000-0000-0000A8A50000}"/>
    <cellStyle name="Normal 6 2 5 5 4 3" xfId="46197" xr:uid="{00000000-0005-0000-0000-0000A9A50000}"/>
    <cellStyle name="Normal 6 2 5 5 5" xfId="22983" xr:uid="{00000000-0005-0000-0000-0000AAA50000}"/>
    <cellStyle name="Normal 6 2 5 5 6" xfId="41615" xr:uid="{00000000-0005-0000-0000-0000ABA50000}"/>
    <cellStyle name="Normal 6 2 5 6" xfId="7660" xr:uid="{00000000-0005-0000-0000-0000ACA50000}"/>
    <cellStyle name="Normal 6 2 5 6 2" xfId="7661" xr:uid="{00000000-0005-0000-0000-0000ADA50000}"/>
    <cellStyle name="Normal 6 2 5 6 2 2" xfId="13442" xr:uid="{00000000-0005-0000-0000-0000AEA50000}"/>
    <cellStyle name="Normal 6 2 5 6 2 2 2" xfId="36927" xr:uid="{00000000-0005-0000-0000-0000AFA50000}"/>
    <cellStyle name="Normal 6 2 5 6 2 2 3" xfId="27608" xr:uid="{00000000-0005-0000-0000-0000B0A50000}"/>
    <cellStyle name="Normal 6 2 5 6 2 2 4" xfId="50870" xr:uid="{00000000-0005-0000-0000-0000B1A50000}"/>
    <cellStyle name="Normal 6 2 5 6 2 3" xfId="18173" xr:uid="{00000000-0005-0000-0000-0000B2A50000}"/>
    <cellStyle name="Normal 6 2 5 6 2 3 2" xfId="32305" xr:uid="{00000000-0005-0000-0000-0000B3A50000}"/>
    <cellStyle name="Normal 6 2 5 6 2 3 3" xfId="46200" xr:uid="{00000000-0005-0000-0000-0000B4A50000}"/>
    <cellStyle name="Normal 6 2 5 6 2 4" xfId="22986" xr:uid="{00000000-0005-0000-0000-0000B5A50000}"/>
    <cellStyle name="Normal 6 2 5 6 2 5" xfId="41618" xr:uid="{00000000-0005-0000-0000-0000B6A50000}"/>
    <cellStyle name="Normal 6 2 5 6 3" xfId="13441" xr:uid="{00000000-0005-0000-0000-0000B7A50000}"/>
    <cellStyle name="Normal 6 2 5 6 3 2" xfId="36926" xr:uid="{00000000-0005-0000-0000-0000B8A50000}"/>
    <cellStyle name="Normal 6 2 5 6 3 3" xfId="27607" xr:uid="{00000000-0005-0000-0000-0000B9A50000}"/>
    <cellStyle name="Normal 6 2 5 6 3 4" xfId="50869" xr:uid="{00000000-0005-0000-0000-0000BAA50000}"/>
    <cellStyle name="Normal 6 2 5 6 4" xfId="18172" xr:uid="{00000000-0005-0000-0000-0000BBA50000}"/>
    <cellStyle name="Normal 6 2 5 6 4 2" xfId="32304" xr:uid="{00000000-0005-0000-0000-0000BCA50000}"/>
    <cellStyle name="Normal 6 2 5 6 4 3" xfId="46199" xr:uid="{00000000-0005-0000-0000-0000BDA50000}"/>
    <cellStyle name="Normal 6 2 5 6 5" xfId="22985" xr:uid="{00000000-0005-0000-0000-0000BEA50000}"/>
    <cellStyle name="Normal 6 2 5 6 6" xfId="41617" xr:uid="{00000000-0005-0000-0000-0000BFA50000}"/>
    <cellStyle name="Normal 6 2 5 7" xfId="7662" xr:uid="{00000000-0005-0000-0000-0000C0A50000}"/>
    <cellStyle name="Normal 6 2 5 7 2" xfId="7663" xr:uid="{00000000-0005-0000-0000-0000C1A50000}"/>
    <cellStyle name="Normal 6 2 5 7 2 2" xfId="13444" xr:uid="{00000000-0005-0000-0000-0000C2A50000}"/>
    <cellStyle name="Normal 6 2 5 7 2 2 2" xfId="36929" xr:uid="{00000000-0005-0000-0000-0000C3A50000}"/>
    <cellStyle name="Normal 6 2 5 7 2 2 3" xfId="27610" xr:uid="{00000000-0005-0000-0000-0000C4A50000}"/>
    <cellStyle name="Normal 6 2 5 7 2 2 4" xfId="50872" xr:uid="{00000000-0005-0000-0000-0000C5A50000}"/>
    <cellStyle name="Normal 6 2 5 7 2 3" xfId="18175" xr:uid="{00000000-0005-0000-0000-0000C6A50000}"/>
    <cellStyle name="Normal 6 2 5 7 2 3 2" xfId="32307" xr:uid="{00000000-0005-0000-0000-0000C7A50000}"/>
    <cellStyle name="Normal 6 2 5 7 2 3 3" xfId="46202" xr:uid="{00000000-0005-0000-0000-0000C8A50000}"/>
    <cellStyle name="Normal 6 2 5 7 2 4" xfId="22988" xr:uid="{00000000-0005-0000-0000-0000C9A50000}"/>
    <cellStyle name="Normal 6 2 5 7 2 5" xfId="41620" xr:uid="{00000000-0005-0000-0000-0000CAA50000}"/>
    <cellStyle name="Normal 6 2 5 7 3" xfId="13443" xr:uid="{00000000-0005-0000-0000-0000CBA50000}"/>
    <cellStyle name="Normal 6 2 5 7 3 2" xfId="36928" xr:uid="{00000000-0005-0000-0000-0000CCA50000}"/>
    <cellStyle name="Normal 6 2 5 7 3 3" xfId="27609" xr:uid="{00000000-0005-0000-0000-0000CDA50000}"/>
    <cellStyle name="Normal 6 2 5 7 3 4" xfId="50871" xr:uid="{00000000-0005-0000-0000-0000CEA50000}"/>
    <cellStyle name="Normal 6 2 5 7 4" xfId="18174" xr:uid="{00000000-0005-0000-0000-0000CFA50000}"/>
    <cellStyle name="Normal 6 2 5 7 4 2" xfId="32306" xr:uid="{00000000-0005-0000-0000-0000D0A50000}"/>
    <cellStyle name="Normal 6 2 5 7 4 3" xfId="46201" xr:uid="{00000000-0005-0000-0000-0000D1A50000}"/>
    <cellStyle name="Normal 6 2 5 7 5" xfId="22987" xr:uid="{00000000-0005-0000-0000-0000D2A50000}"/>
    <cellStyle name="Normal 6 2 5 7 6" xfId="41619" xr:uid="{00000000-0005-0000-0000-0000D3A50000}"/>
    <cellStyle name="Normal 6 2 5 8" xfId="7664" xr:uid="{00000000-0005-0000-0000-0000D4A50000}"/>
    <cellStyle name="Normal 6 2 5 8 2" xfId="7665" xr:uid="{00000000-0005-0000-0000-0000D5A50000}"/>
    <cellStyle name="Normal 6 2 5 8 2 2" xfId="13446" xr:uid="{00000000-0005-0000-0000-0000D6A50000}"/>
    <cellStyle name="Normal 6 2 5 8 2 2 2" xfId="36931" xr:uid="{00000000-0005-0000-0000-0000D7A50000}"/>
    <cellStyle name="Normal 6 2 5 8 2 2 3" xfId="27612" xr:uid="{00000000-0005-0000-0000-0000D8A50000}"/>
    <cellStyle name="Normal 6 2 5 8 2 2 4" xfId="50874" xr:uid="{00000000-0005-0000-0000-0000D9A50000}"/>
    <cellStyle name="Normal 6 2 5 8 2 3" xfId="18177" xr:uid="{00000000-0005-0000-0000-0000DAA50000}"/>
    <cellStyle name="Normal 6 2 5 8 2 3 2" xfId="32309" xr:uid="{00000000-0005-0000-0000-0000DBA50000}"/>
    <cellStyle name="Normal 6 2 5 8 2 3 3" xfId="46204" xr:uid="{00000000-0005-0000-0000-0000DCA50000}"/>
    <cellStyle name="Normal 6 2 5 8 2 4" xfId="22990" xr:uid="{00000000-0005-0000-0000-0000DDA50000}"/>
    <cellStyle name="Normal 6 2 5 8 2 5" xfId="41622" xr:uid="{00000000-0005-0000-0000-0000DEA50000}"/>
    <cellStyle name="Normal 6 2 5 8 3" xfId="13445" xr:uid="{00000000-0005-0000-0000-0000DFA50000}"/>
    <cellStyle name="Normal 6 2 5 8 3 2" xfId="36930" xr:uid="{00000000-0005-0000-0000-0000E0A50000}"/>
    <cellStyle name="Normal 6 2 5 8 3 3" xfId="27611" xr:uid="{00000000-0005-0000-0000-0000E1A50000}"/>
    <cellStyle name="Normal 6 2 5 8 3 4" xfId="50873" xr:uid="{00000000-0005-0000-0000-0000E2A50000}"/>
    <cellStyle name="Normal 6 2 5 8 4" xfId="18176" xr:uid="{00000000-0005-0000-0000-0000E3A50000}"/>
    <cellStyle name="Normal 6 2 5 8 4 2" xfId="32308" xr:uid="{00000000-0005-0000-0000-0000E4A50000}"/>
    <cellStyle name="Normal 6 2 5 8 4 3" xfId="46203" xr:uid="{00000000-0005-0000-0000-0000E5A50000}"/>
    <cellStyle name="Normal 6 2 5 8 5" xfId="22989" xr:uid="{00000000-0005-0000-0000-0000E6A50000}"/>
    <cellStyle name="Normal 6 2 5 8 6" xfId="41621" xr:uid="{00000000-0005-0000-0000-0000E7A50000}"/>
    <cellStyle name="Normal 6 2 5 9" xfId="7666" xr:uid="{00000000-0005-0000-0000-0000E8A50000}"/>
    <cellStyle name="Normal 6 2 5 9 2" xfId="7667" xr:uid="{00000000-0005-0000-0000-0000E9A50000}"/>
    <cellStyle name="Normal 6 2 5 9 2 2" xfId="13448" xr:uid="{00000000-0005-0000-0000-0000EAA50000}"/>
    <cellStyle name="Normal 6 2 5 9 2 2 2" xfId="36933" xr:uid="{00000000-0005-0000-0000-0000EBA50000}"/>
    <cellStyle name="Normal 6 2 5 9 2 2 3" xfId="27614" xr:uid="{00000000-0005-0000-0000-0000ECA50000}"/>
    <cellStyle name="Normal 6 2 5 9 2 2 4" xfId="50876" xr:uid="{00000000-0005-0000-0000-0000EDA50000}"/>
    <cellStyle name="Normal 6 2 5 9 2 3" xfId="18179" xr:uid="{00000000-0005-0000-0000-0000EEA50000}"/>
    <cellStyle name="Normal 6 2 5 9 2 3 2" xfId="32311" xr:uid="{00000000-0005-0000-0000-0000EFA50000}"/>
    <cellStyle name="Normal 6 2 5 9 2 3 3" xfId="46206" xr:uid="{00000000-0005-0000-0000-0000F0A50000}"/>
    <cellStyle name="Normal 6 2 5 9 2 4" xfId="22992" xr:uid="{00000000-0005-0000-0000-0000F1A50000}"/>
    <cellStyle name="Normal 6 2 5 9 2 5" xfId="41624" xr:uid="{00000000-0005-0000-0000-0000F2A50000}"/>
    <cellStyle name="Normal 6 2 5 9 3" xfId="13447" xr:uid="{00000000-0005-0000-0000-0000F3A50000}"/>
    <cellStyle name="Normal 6 2 5 9 3 2" xfId="36932" xr:uid="{00000000-0005-0000-0000-0000F4A50000}"/>
    <cellStyle name="Normal 6 2 5 9 3 3" xfId="27613" xr:uid="{00000000-0005-0000-0000-0000F5A50000}"/>
    <cellStyle name="Normal 6 2 5 9 3 4" xfId="50875" xr:uid="{00000000-0005-0000-0000-0000F6A50000}"/>
    <cellStyle name="Normal 6 2 5 9 4" xfId="18178" xr:uid="{00000000-0005-0000-0000-0000F7A50000}"/>
    <cellStyle name="Normal 6 2 5 9 4 2" xfId="32310" xr:uid="{00000000-0005-0000-0000-0000F8A50000}"/>
    <cellStyle name="Normal 6 2 5 9 4 3" xfId="46205" xr:uid="{00000000-0005-0000-0000-0000F9A50000}"/>
    <cellStyle name="Normal 6 2 5 9 5" xfId="22991" xr:uid="{00000000-0005-0000-0000-0000FAA50000}"/>
    <cellStyle name="Normal 6 2 5 9 6" xfId="41623" xr:uid="{00000000-0005-0000-0000-0000FBA50000}"/>
    <cellStyle name="Normal 6 2 50" xfId="7668" xr:uid="{00000000-0005-0000-0000-0000FCA50000}"/>
    <cellStyle name="Normal 6 2 50 2" xfId="7669" xr:uid="{00000000-0005-0000-0000-0000FDA50000}"/>
    <cellStyle name="Normal 6 2 50 2 2" xfId="13450" xr:uid="{00000000-0005-0000-0000-0000FEA50000}"/>
    <cellStyle name="Normal 6 2 50 2 2 2" xfId="36935" xr:uid="{00000000-0005-0000-0000-0000FFA50000}"/>
    <cellStyle name="Normal 6 2 50 2 2 3" xfId="27616" xr:uid="{00000000-0005-0000-0000-000000A60000}"/>
    <cellStyle name="Normal 6 2 50 2 2 4" xfId="50878" xr:uid="{00000000-0005-0000-0000-000001A60000}"/>
    <cellStyle name="Normal 6 2 50 2 3" xfId="18181" xr:uid="{00000000-0005-0000-0000-000002A60000}"/>
    <cellStyle name="Normal 6 2 50 2 3 2" xfId="32313" xr:uid="{00000000-0005-0000-0000-000003A60000}"/>
    <cellStyle name="Normal 6 2 50 2 3 3" xfId="46208" xr:uid="{00000000-0005-0000-0000-000004A60000}"/>
    <cellStyle name="Normal 6 2 50 2 4" xfId="22994" xr:uid="{00000000-0005-0000-0000-000005A60000}"/>
    <cellStyle name="Normal 6 2 50 2 5" xfId="41626" xr:uid="{00000000-0005-0000-0000-000006A60000}"/>
    <cellStyle name="Normal 6 2 50 3" xfId="13449" xr:uid="{00000000-0005-0000-0000-000007A60000}"/>
    <cellStyle name="Normal 6 2 50 3 2" xfId="36934" xr:uid="{00000000-0005-0000-0000-000008A60000}"/>
    <cellStyle name="Normal 6 2 50 3 3" xfId="27615" xr:uid="{00000000-0005-0000-0000-000009A60000}"/>
    <cellStyle name="Normal 6 2 50 3 4" xfId="50877" xr:uid="{00000000-0005-0000-0000-00000AA60000}"/>
    <cellStyle name="Normal 6 2 50 4" xfId="18180" xr:uid="{00000000-0005-0000-0000-00000BA60000}"/>
    <cellStyle name="Normal 6 2 50 4 2" xfId="32312" xr:uid="{00000000-0005-0000-0000-00000CA60000}"/>
    <cellStyle name="Normal 6 2 50 4 3" xfId="46207" xr:uid="{00000000-0005-0000-0000-00000DA60000}"/>
    <cellStyle name="Normal 6 2 50 5" xfId="22993" xr:uid="{00000000-0005-0000-0000-00000EA60000}"/>
    <cellStyle name="Normal 6 2 50 6" xfId="41625" xr:uid="{00000000-0005-0000-0000-00000FA60000}"/>
    <cellStyle name="Normal 6 2 51" xfId="7670" xr:uid="{00000000-0005-0000-0000-000010A60000}"/>
    <cellStyle name="Normal 6 2 51 2" xfId="7671" xr:uid="{00000000-0005-0000-0000-000011A60000}"/>
    <cellStyle name="Normal 6 2 51 2 2" xfId="13452" xr:uid="{00000000-0005-0000-0000-000012A60000}"/>
    <cellStyle name="Normal 6 2 51 2 2 2" xfId="36937" xr:uid="{00000000-0005-0000-0000-000013A60000}"/>
    <cellStyle name="Normal 6 2 51 2 2 3" xfId="27618" xr:uid="{00000000-0005-0000-0000-000014A60000}"/>
    <cellStyle name="Normal 6 2 51 2 2 4" xfId="50880" xr:uid="{00000000-0005-0000-0000-000015A60000}"/>
    <cellStyle name="Normal 6 2 51 2 3" xfId="18183" xr:uid="{00000000-0005-0000-0000-000016A60000}"/>
    <cellStyle name="Normal 6 2 51 2 3 2" xfId="32315" xr:uid="{00000000-0005-0000-0000-000017A60000}"/>
    <cellStyle name="Normal 6 2 51 2 3 3" xfId="46210" xr:uid="{00000000-0005-0000-0000-000018A60000}"/>
    <cellStyle name="Normal 6 2 51 2 4" xfId="22996" xr:uid="{00000000-0005-0000-0000-000019A60000}"/>
    <cellStyle name="Normal 6 2 51 2 5" xfId="41628" xr:uid="{00000000-0005-0000-0000-00001AA60000}"/>
    <cellStyle name="Normal 6 2 51 3" xfId="13451" xr:uid="{00000000-0005-0000-0000-00001BA60000}"/>
    <cellStyle name="Normal 6 2 51 3 2" xfId="36936" xr:uid="{00000000-0005-0000-0000-00001CA60000}"/>
    <cellStyle name="Normal 6 2 51 3 3" xfId="27617" xr:uid="{00000000-0005-0000-0000-00001DA60000}"/>
    <cellStyle name="Normal 6 2 51 3 4" xfId="50879" xr:uid="{00000000-0005-0000-0000-00001EA60000}"/>
    <cellStyle name="Normal 6 2 51 4" xfId="18182" xr:uid="{00000000-0005-0000-0000-00001FA60000}"/>
    <cellStyle name="Normal 6 2 51 4 2" xfId="32314" xr:uid="{00000000-0005-0000-0000-000020A60000}"/>
    <cellStyle name="Normal 6 2 51 4 3" xfId="46209" xr:uid="{00000000-0005-0000-0000-000021A60000}"/>
    <cellStyle name="Normal 6 2 51 5" xfId="22995" xr:uid="{00000000-0005-0000-0000-000022A60000}"/>
    <cellStyle name="Normal 6 2 51 6" xfId="41627" xr:uid="{00000000-0005-0000-0000-000023A60000}"/>
    <cellStyle name="Normal 6 2 52" xfId="7672" xr:uid="{00000000-0005-0000-0000-000024A60000}"/>
    <cellStyle name="Normal 6 2 52 2" xfId="7673" xr:uid="{00000000-0005-0000-0000-000025A60000}"/>
    <cellStyle name="Normal 6 2 52 2 2" xfId="13454" xr:uid="{00000000-0005-0000-0000-000026A60000}"/>
    <cellStyle name="Normal 6 2 52 2 2 2" xfId="36939" xr:uid="{00000000-0005-0000-0000-000027A60000}"/>
    <cellStyle name="Normal 6 2 52 2 2 3" xfId="27620" xr:uid="{00000000-0005-0000-0000-000028A60000}"/>
    <cellStyle name="Normal 6 2 52 2 2 4" xfId="50882" xr:uid="{00000000-0005-0000-0000-000029A60000}"/>
    <cellStyle name="Normal 6 2 52 2 3" xfId="18185" xr:uid="{00000000-0005-0000-0000-00002AA60000}"/>
    <cellStyle name="Normal 6 2 52 2 3 2" xfId="32317" xr:uid="{00000000-0005-0000-0000-00002BA60000}"/>
    <cellStyle name="Normal 6 2 52 2 3 3" xfId="46212" xr:uid="{00000000-0005-0000-0000-00002CA60000}"/>
    <cellStyle name="Normal 6 2 52 2 4" xfId="22998" xr:uid="{00000000-0005-0000-0000-00002DA60000}"/>
    <cellStyle name="Normal 6 2 52 2 5" xfId="41630" xr:uid="{00000000-0005-0000-0000-00002EA60000}"/>
    <cellStyle name="Normal 6 2 52 3" xfId="13453" xr:uid="{00000000-0005-0000-0000-00002FA60000}"/>
    <cellStyle name="Normal 6 2 52 3 2" xfId="36938" xr:uid="{00000000-0005-0000-0000-000030A60000}"/>
    <cellStyle name="Normal 6 2 52 3 3" xfId="27619" xr:uid="{00000000-0005-0000-0000-000031A60000}"/>
    <cellStyle name="Normal 6 2 52 3 4" xfId="50881" xr:uid="{00000000-0005-0000-0000-000032A60000}"/>
    <cellStyle name="Normal 6 2 52 4" xfId="18184" xr:uid="{00000000-0005-0000-0000-000033A60000}"/>
    <cellStyle name="Normal 6 2 52 4 2" xfId="32316" xr:uid="{00000000-0005-0000-0000-000034A60000}"/>
    <cellStyle name="Normal 6 2 52 4 3" xfId="46211" xr:uid="{00000000-0005-0000-0000-000035A60000}"/>
    <cellStyle name="Normal 6 2 52 5" xfId="22997" xr:uid="{00000000-0005-0000-0000-000036A60000}"/>
    <cellStyle name="Normal 6 2 52 6" xfId="41629" xr:uid="{00000000-0005-0000-0000-000037A60000}"/>
    <cellStyle name="Normal 6 2 53" xfId="7674" xr:uid="{00000000-0005-0000-0000-000038A60000}"/>
    <cellStyle name="Normal 6 2 53 2" xfId="7675" xr:uid="{00000000-0005-0000-0000-000039A60000}"/>
    <cellStyle name="Normal 6 2 53 2 2" xfId="13456" xr:uid="{00000000-0005-0000-0000-00003AA60000}"/>
    <cellStyle name="Normal 6 2 53 2 2 2" xfId="36941" xr:uid="{00000000-0005-0000-0000-00003BA60000}"/>
    <cellStyle name="Normal 6 2 53 2 2 3" xfId="27622" xr:uid="{00000000-0005-0000-0000-00003CA60000}"/>
    <cellStyle name="Normal 6 2 53 2 2 4" xfId="50884" xr:uid="{00000000-0005-0000-0000-00003DA60000}"/>
    <cellStyle name="Normal 6 2 53 2 3" xfId="18187" xr:uid="{00000000-0005-0000-0000-00003EA60000}"/>
    <cellStyle name="Normal 6 2 53 2 3 2" xfId="32319" xr:uid="{00000000-0005-0000-0000-00003FA60000}"/>
    <cellStyle name="Normal 6 2 53 2 3 3" xfId="46214" xr:uid="{00000000-0005-0000-0000-000040A60000}"/>
    <cellStyle name="Normal 6 2 53 2 4" xfId="23000" xr:uid="{00000000-0005-0000-0000-000041A60000}"/>
    <cellStyle name="Normal 6 2 53 2 5" xfId="41632" xr:uid="{00000000-0005-0000-0000-000042A60000}"/>
    <cellStyle name="Normal 6 2 53 3" xfId="13455" xr:uid="{00000000-0005-0000-0000-000043A60000}"/>
    <cellStyle name="Normal 6 2 53 3 2" xfId="36940" xr:uid="{00000000-0005-0000-0000-000044A60000}"/>
    <cellStyle name="Normal 6 2 53 3 3" xfId="27621" xr:uid="{00000000-0005-0000-0000-000045A60000}"/>
    <cellStyle name="Normal 6 2 53 3 4" xfId="50883" xr:uid="{00000000-0005-0000-0000-000046A60000}"/>
    <cellStyle name="Normal 6 2 53 4" xfId="18186" xr:uid="{00000000-0005-0000-0000-000047A60000}"/>
    <cellStyle name="Normal 6 2 53 4 2" xfId="32318" xr:uid="{00000000-0005-0000-0000-000048A60000}"/>
    <cellStyle name="Normal 6 2 53 4 3" xfId="46213" xr:uid="{00000000-0005-0000-0000-000049A60000}"/>
    <cellStyle name="Normal 6 2 53 5" xfId="22999" xr:uid="{00000000-0005-0000-0000-00004AA60000}"/>
    <cellStyle name="Normal 6 2 53 6" xfId="41631" xr:uid="{00000000-0005-0000-0000-00004BA60000}"/>
    <cellStyle name="Normal 6 2 54" xfId="7676" xr:uid="{00000000-0005-0000-0000-00004CA60000}"/>
    <cellStyle name="Normal 6 2 54 2" xfId="7677" xr:uid="{00000000-0005-0000-0000-00004DA60000}"/>
    <cellStyle name="Normal 6 2 54 2 2" xfId="13458" xr:uid="{00000000-0005-0000-0000-00004EA60000}"/>
    <cellStyle name="Normal 6 2 54 2 2 2" xfId="36943" xr:uid="{00000000-0005-0000-0000-00004FA60000}"/>
    <cellStyle name="Normal 6 2 54 2 2 3" xfId="27624" xr:uid="{00000000-0005-0000-0000-000050A60000}"/>
    <cellStyle name="Normal 6 2 54 2 2 4" xfId="50886" xr:uid="{00000000-0005-0000-0000-000051A60000}"/>
    <cellStyle name="Normal 6 2 54 2 3" xfId="18189" xr:uid="{00000000-0005-0000-0000-000052A60000}"/>
    <cellStyle name="Normal 6 2 54 2 3 2" xfId="32321" xr:uid="{00000000-0005-0000-0000-000053A60000}"/>
    <cellStyle name="Normal 6 2 54 2 3 3" xfId="46216" xr:uid="{00000000-0005-0000-0000-000054A60000}"/>
    <cellStyle name="Normal 6 2 54 2 4" xfId="23002" xr:uid="{00000000-0005-0000-0000-000055A60000}"/>
    <cellStyle name="Normal 6 2 54 2 5" xfId="41634" xr:uid="{00000000-0005-0000-0000-000056A60000}"/>
    <cellStyle name="Normal 6 2 54 3" xfId="13457" xr:uid="{00000000-0005-0000-0000-000057A60000}"/>
    <cellStyle name="Normal 6 2 54 3 2" xfId="36942" xr:uid="{00000000-0005-0000-0000-000058A60000}"/>
    <cellStyle name="Normal 6 2 54 3 3" xfId="27623" xr:uid="{00000000-0005-0000-0000-000059A60000}"/>
    <cellStyle name="Normal 6 2 54 3 4" xfId="50885" xr:uid="{00000000-0005-0000-0000-00005AA60000}"/>
    <cellStyle name="Normal 6 2 54 4" xfId="18188" xr:uid="{00000000-0005-0000-0000-00005BA60000}"/>
    <cellStyle name="Normal 6 2 54 4 2" xfId="32320" xr:uid="{00000000-0005-0000-0000-00005CA60000}"/>
    <cellStyle name="Normal 6 2 54 4 3" xfId="46215" xr:uid="{00000000-0005-0000-0000-00005DA60000}"/>
    <cellStyle name="Normal 6 2 54 5" xfId="23001" xr:uid="{00000000-0005-0000-0000-00005EA60000}"/>
    <cellStyle name="Normal 6 2 54 6" xfId="41633" xr:uid="{00000000-0005-0000-0000-00005FA60000}"/>
    <cellStyle name="Normal 6 2 55" xfId="7678" xr:uid="{00000000-0005-0000-0000-000060A60000}"/>
    <cellStyle name="Normal 6 2 55 2" xfId="7679" xr:uid="{00000000-0005-0000-0000-000061A60000}"/>
    <cellStyle name="Normal 6 2 55 2 2" xfId="13460" xr:uid="{00000000-0005-0000-0000-000062A60000}"/>
    <cellStyle name="Normal 6 2 55 2 2 2" xfId="36945" xr:uid="{00000000-0005-0000-0000-000063A60000}"/>
    <cellStyle name="Normal 6 2 55 2 2 3" xfId="27626" xr:uid="{00000000-0005-0000-0000-000064A60000}"/>
    <cellStyle name="Normal 6 2 55 2 2 4" xfId="50888" xr:uid="{00000000-0005-0000-0000-000065A60000}"/>
    <cellStyle name="Normal 6 2 55 2 3" xfId="18191" xr:uid="{00000000-0005-0000-0000-000066A60000}"/>
    <cellStyle name="Normal 6 2 55 2 3 2" xfId="32323" xr:uid="{00000000-0005-0000-0000-000067A60000}"/>
    <cellStyle name="Normal 6 2 55 2 3 3" xfId="46218" xr:uid="{00000000-0005-0000-0000-000068A60000}"/>
    <cellStyle name="Normal 6 2 55 2 4" xfId="23004" xr:uid="{00000000-0005-0000-0000-000069A60000}"/>
    <cellStyle name="Normal 6 2 55 2 5" xfId="41636" xr:uid="{00000000-0005-0000-0000-00006AA60000}"/>
    <cellStyle name="Normal 6 2 55 3" xfId="13459" xr:uid="{00000000-0005-0000-0000-00006BA60000}"/>
    <cellStyle name="Normal 6 2 55 3 2" xfId="36944" xr:uid="{00000000-0005-0000-0000-00006CA60000}"/>
    <cellStyle name="Normal 6 2 55 3 3" xfId="27625" xr:uid="{00000000-0005-0000-0000-00006DA60000}"/>
    <cellStyle name="Normal 6 2 55 3 4" xfId="50887" xr:uid="{00000000-0005-0000-0000-00006EA60000}"/>
    <cellStyle name="Normal 6 2 55 4" xfId="18190" xr:uid="{00000000-0005-0000-0000-00006FA60000}"/>
    <cellStyle name="Normal 6 2 55 4 2" xfId="32322" xr:uid="{00000000-0005-0000-0000-000070A60000}"/>
    <cellStyle name="Normal 6 2 55 4 3" xfId="46217" xr:uid="{00000000-0005-0000-0000-000071A60000}"/>
    <cellStyle name="Normal 6 2 55 5" xfId="23003" xr:uid="{00000000-0005-0000-0000-000072A60000}"/>
    <cellStyle name="Normal 6 2 55 6" xfId="41635" xr:uid="{00000000-0005-0000-0000-000073A60000}"/>
    <cellStyle name="Normal 6 2 56" xfId="7680" xr:uid="{00000000-0005-0000-0000-000074A60000}"/>
    <cellStyle name="Normal 6 2 56 2" xfId="7681" xr:uid="{00000000-0005-0000-0000-000075A60000}"/>
    <cellStyle name="Normal 6 2 56 2 2" xfId="13462" xr:uid="{00000000-0005-0000-0000-000076A60000}"/>
    <cellStyle name="Normal 6 2 56 2 2 2" xfId="36947" xr:uid="{00000000-0005-0000-0000-000077A60000}"/>
    <cellStyle name="Normal 6 2 56 2 2 3" xfId="27628" xr:uid="{00000000-0005-0000-0000-000078A60000}"/>
    <cellStyle name="Normal 6 2 56 2 2 4" xfId="50890" xr:uid="{00000000-0005-0000-0000-000079A60000}"/>
    <cellStyle name="Normal 6 2 56 2 3" xfId="18193" xr:uid="{00000000-0005-0000-0000-00007AA60000}"/>
    <cellStyle name="Normal 6 2 56 2 3 2" xfId="32325" xr:uid="{00000000-0005-0000-0000-00007BA60000}"/>
    <cellStyle name="Normal 6 2 56 2 3 3" xfId="46220" xr:uid="{00000000-0005-0000-0000-00007CA60000}"/>
    <cellStyle name="Normal 6 2 56 2 4" xfId="23006" xr:uid="{00000000-0005-0000-0000-00007DA60000}"/>
    <cellStyle name="Normal 6 2 56 2 5" xfId="41638" xr:uid="{00000000-0005-0000-0000-00007EA60000}"/>
    <cellStyle name="Normal 6 2 56 3" xfId="13461" xr:uid="{00000000-0005-0000-0000-00007FA60000}"/>
    <cellStyle name="Normal 6 2 56 3 2" xfId="36946" xr:uid="{00000000-0005-0000-0000-000080A60000}"/>
    <cellStyle name="Normal 6 2 56 3 3" xfId="27627" xr:uid="{00000000-0005-0000-0000-000081A60000}"/>
    <cellStyle name="Normal 6 2 56 3 4" xfId="50889" xr:uid="{00000000-0005-0000-0000-000082A60000}"/>
    <cellStyle name="Normal 6 2 56 4" xfId="18192" xr:uid="{00000000-0005-0000-0000-000083A60000}"/>
    <cellStyle name="Normal 6 2 56 4 2" xfId="32324" xr:uid="{00000000-0005-0000-0000-000084A60000}"/>
    <cellStyle name="Normal 6 2 56 4 3" xfId="46219" xr:uid="{00000000-0005-0000-0000-000085A60000}"/>
    <cellStyle name="Normal 6 2 56 5" xfId="23005" xr:uid="{00000000-0005-0000-0000-000086A60000}"/>
    <cellStyle name="Normal 6 2 56 6" xfId="41637" xr:uid="{00000000-0005-0000-0000-000087A60000}"/>
    <cellStyle name="Normal 6 2 57" xfId="7682" xr:uid="{00000000-0005-0000-0000-000088A60000}"/>
    <cellStyle name="Normal 6 2 57 2" xfId="7683" xr:uid="{00000000-0005-0000-0000-000089A60000}"/>
    <cellStyle name="Normal 6 2 57 2 2" xfId="13464" xr:uid="{00000000-0005-0000-0000-00008AA60000}"/>
    <cellStyle name="Normal 6 2 57 2 2 2" xfId="36949" xr:uid="{00000000-0005-0000-0000-00008BA60000}"/>
    <cellStyle name="Normal 6 2 57 2 2 3" xfId="27630" xr:uid="{00000000-0005-0000-0000-00008CA60000}"/>
    <cellStyle name="Normal 6 2 57 2 2 4" xfId="50892" xr:uid="{00000000-0005-0000-0000-00008DA60000}"/>
    <cellStyle name="Normal 6 2 57 2 3" xfId="18195" xr:uid="{00000000-0005-0000-0000-00008EA60000}"/>
    <cellStyle name="Normal 6 2 57 2 3 2" xfId="32327" xr:uid="{00000000-0005-0000-0000-00008FA60000}"/>
    <cellStyle name="Normal 6 2 57 2 3 3" xfId="46222" xr:uid="{00000000-0005-0000-0000-000090A60000}"/>
    <cellStyle name="Normal 6 2 57 2 4" xfId="23008" xr:uid="{00000000-0005-0000-0000-000091A60000}"/>
    <cellStyle name="Normal 6 2 57 2 5" xfId="41640" xr:uid="{00000000-0005-0000-0000-000092A60000}"/>
    <cellStyle name="Normal 6 2 57 3" xfId="13463" xr:uid="{00000000-0005-0000-0000-000093A60000}"/>
    <cellStyle name="Normal 6 2 57 3 2" xfId="36948" xr:uid="{00000000-0005-0000-0000-000094A60000}"/>
    <cellStyle name="Normal 6 2 57 3 3" xfId="27629" xr:uid="{00000000-0005-0000-0000-000095A60000}"/>
    <cellStyle name="Normal 6 2 57 3 4" xfId="50891" xr:uid="{00000000-0005-0000-0000-000096A60000}"/>
    <cellStyle name="Normal 6 2 57 4" xfId="18194" xr:uid="{00000000-0005-0000-0000-000097A60000}"/>
    <cellStyle name="Normal 6 2 57 4 2" xfId="32326" xr:uid="{00000000-0005-0000-0000-000098A60000}"/>
    <cellStyle name="Normal 6 2 57 4 3" xfId="46221" xr:uid="{00000000-0005-0000-0000-000099A60000}"/>
    <cellStyle name="Normal 6 2 57 5" xfId="23007" xr:uid="{00000000-0005-0000-0000-00009AA60000}"/>
    <cellStyle name="Normal 6 2 57 6" xfId="41639" xr:uid="{00000000-0005-0000-0000-00009BA60000}"/>
    <cellStyle name="Normal 6 2 58" xfId="7684" xr:uid="{00000000-0005-0000-0000-00009CA60000}"/>
    <cellStyle name="Normal 6 2 58 2" xfId="7685" xr:uid="{00000000-0005-0000-0000-00009DA60000}"/>
    <cellStyle name="Normal 6 2 58 2 2" xfId="13466" xr:uid="{00000000-0005-0000-0000-00009EA60000}"/>
    <cellStyle name="Normal 6 2 58 2 2 2" xfId="36951" xr:uid="{00000000-0005-0000-0000-00009FA60000}"/>
    <cellStyle name="Normal 6 2 58 2 2 3" xfId="27632" xr:uid="{00000000-0005-0000-0000-0000A0A60000}"/>
    <cellStyle name="Normal 6 2 58 2 2 4" xfId="50894" xr:uid="{00000000-0005-0000-0000-0000A1A60000}"/>
    <cellStyle name="Normal 6 2 58 2 3" xfId="18197" xr:uid="{00000000-0005-0000-0000-0000A2A60000}"/>
    <cellStyle name="Normal 6 2 58 2 3 2" xfId="32329" xr:uid="{00000000-0005-0000-0000-0000A3A60000}"/>
    <cellStyle name="Normal 6 2 58 2 3 3" xfId="46224" xr:uid="{00000000-0005-0000-0000-0000A4A60000}"/>
    <cellStyle name="Normal 6 2 58 2 4" xfId="23010" xr:uid="{00000000-0005-0000-0000-0000A5A60000}"/>
    <cellStyle name="Normal 6 2 58 2 5" xfId="41642" xr:uid="{00000000-0005-0000-0000-0000A6A60000}"/>
    <cellStyle name="Normal 6 2 58 3" xfId="13465" xr:uid="{00000000-0005-0000-0000-0000A7A60000}"/>
    <cellStyle name="Normal 6 2 58 3 2" xfId="36950" xr:uid="{00000000-0005-0000-0000-0000A8A60000}"/>
    <cellStyle name="Normal 6 2 58 3 3" xfId="27631" xr:uid="{00000000-0005-0000-0000-0000A9A60000}"/>
    <cellStyle name="Normal 6 2 58 3 4" xfId="50893" xr:uid="{00000000-0005-0000-0000-0000AAA60000}"/>
    <cellStyle name="Normal 6 2 58 4" xfId="18196" xr:uid="{00000000-0005-0000-0000-0000ABA60000}"/>
    <cellStyle name="Normal 6 2 58 4 2" xfId="32328" xr:uid="{00000000-0005-0000-0000-0000ACA60000}"/>
    <cellStyle name="Normal 6 2 58 4 3" xfId="46223" xr:uid="{00000000-0005-0000-0000-0000ADA60000}"/>
    <cellStyle name="Normal 6 2 58 5" xfId="23009" xr:uid="{00000000-0005-0000-0000-0000AEA60000}"/>
    <cellStyle name="Normal 6 2 58 6" xfId="41641" xr:uid="{00000000-0005-0000-0000-0000AFA60000}"/>
    <cellStyle name="Normal 6 2 59" xfId="7686" xr:uid="{00000000-0005-0000-0000-0000B0A60000}"/>
    <cellStyle name="Normal 6 2 59 2" xfId="7687" xr:uid="{00000000-0005-0000-0000-0000B1A60000}"/>
    <cellStyle name="Normal 6 2 59 2 2" xfId="13468" xr:uid="{00000000-0005-0000-0000-0000B2A60000}"/>
    <cellStyle name="Normal 6 2 59 2 2 2" xfId="36953" xr:uid="{00000000-0005-0000-0000-0000B3A60000}"/>
    <cellStyle name="Normal 6 2 59 2 2 3" xfId="27634" xr:uid="{00000000-0005-0000-0000-0000B4A60000}"/>
    <cellStyle name="Normal 6 2 59 2 2 4" xfId="50896" xr:uid="{00000000-0005-0000-0000-0000B5A60000}"/>
    <cellStyle name="Normal 6 2 59 2 3" xfId="18199" xr:uid="{00000000-0005-0000-0000-0000B6A60000}"/>
    <cellStyle name="Normal 6 2 59 2 3 2" xfId="32331" xr:uid="{00000000-0005-0000-0000-0000B7A60000}"/>
    <cellStyle name="Normal 6 2 59 2 3 3" xfId="46226" xr:uid="{00000000-0005-0000-0000-0000B8A60000}"/>
    <cellStyle name="Normal 6 2 59 2 4" xfId="23012" xr:uid="{00000000-0005-0000-0000-0000B9A60000}"/>
    <cellStyle name="Normal 6 2 59 2 5" xfId="41644" xr:uid="{00000000-0005-0000-0000-0000BAA60000}"/>
    <cellStyle name="Normal 6 2 59 3" xfId="13467" xr:uid="{00000000-0005-0000-0000-0000BBA60000}"/>
    <cellStyle name="Normal 6 2 59 3 2" xfId="36952" xr:uid="{00000000-0005-0000-0000-0000BCA60000}"/>
    <cellStyle name="Normal 6 2 59 3 3" xfId="27633" xr:uid="{00000000-0005-0000-0000-0000BDA60000}"/>
    <cellStyle name="Normal 6 2 59 3 4" xfId="50895" xr:uid="{00000000-0005-0000-0000-0000BEA60000}"/>
    <cellStyle name="Normal 6 2 59 4" xfId="18198" xr:uid="{00000000-0005-0000-0000-0000BFA60000}"/>
    <cellStyle name="Normal 6 2 59 4 2" xfId="32330" xr:uid="{00000000-0005-0000-0000-0000C0A60000}"/>
    <cellStyle name="Normal 6 2 59 4 3" xfId="46225" xr:uid="{00000000-0005-0000-0000-0000C1A60000}"/>
    <cellStyle name="Normal 6 2 59 5" xfId="23011" xr:uid="{00000000-0005-0000-0000-0000C2A60000}"/>
    <cellStyle name="Normal 6 2 59 6" xfId="41643" xr:uid="{00000000-0005-0000-0000-0000C3A60000}"/>
    <cellStyle name="Normal 6 2 6" xfId="7688" xr:uid="{00000000-0005-0000-0000-0000C4A60000}"/>
    <cellStyle name="Normal 6 2 6 10" xfId="7689" xr:uid="{00000000-0005-0000-0000-0000C5A60000}"/>
    <cellStyle name="Normal 6 2 6 10 2" xfId="7690" xr:uid="{00000000-0005-0000-0000-0000C6A60000}"/>
    <cellStyle name="Normal 6 2 6 10 2 2" xfId="13471" xr:uid="{00000000-0005-0000-0000-0000C7A60000}"/>
    <cellStyle name="Normal 6 2 6 10 2 2 2" xfId="36956" xr:uid="{00000000-0005-0000-0000-0000C8A60000}"/>
    <cellStyle name="Normal 6 2 6 10 2 2 3" xfId="27637" xr:uid="{00000000-0005-0000-0000-0000C9A60000}"/>
    <cellStyle name="Normal 6 2 6 10 2 2 4" xfId="50899" xr:uid="{00000000-0005-0000-0000-0000CAA60000}"/>
    <cellStyle name="Normal 6 2 6 10 2 3" xfId="18202" xr:uid="{00000000-0005-0000-0000-0000CBA60000}"/>
    <cellStyle name="Normal 6 2 6 10 2 3 2" xfId="32334" xr:uid="{00000000-0005-0000-0000-0000CCA60000}"/>
    <cellStyle name="Normal 6 2 6 10 2 3 3" xfId="46229" xr:uid="{00000000-0005-0000-0000-0000CDA60000}"/>
    <cellStyle name="Normal 6 2 6 10 2 4" xfId="23015" xr:uid="{00000000-0005-0000-0000-0000CEA60000}"/>
    <cellStyle name="Normal 6 2 6 10 2 5" xfId="41647" xr:uid="{00000000-0005-0000-0000-0000CFA60000}"/>
    <cellStyle name="Normal 6 2 6 10 3" xfId="13470" xr:uid="{00000000-0005-0000-0000-0000D0A60000}"/>
    <cellStyle name="Normal 6 2 6 10 3 2" xfId="36955" xr:uid="{00000000-0005-0000-0000-0000D1A60000}"/>
    <cellStyle name="Normal 6 2 6 10 3 3" xfId="27636" xr:uid="{00000000-0005-0000-0000-0000D2A60000}"/>
    <cellStyle name="Normal 6 2 6 10 3 4" xfId="50898" xr:uid="{00000000-0005-0000-0000-0000D3A60000}"/>
    <cellStyle name="Normal 6 2 6 10 4" xfId="18201" xr:uid="{00000000-0005-0000-0000-0000D4A60000}"/>
    <cellStyle name="Normal 6 2 6 10 4 2" xfId="32333" xr:uid="{00000000-0005-0000-0000-0000D5A60000}"/>
    <cellStyle name="Normal 6 2 6 10 4 3" xfId="46228" xr:uid="{00000000-0005-0000-0000-0000D6A60000}"/>
    <cellStyle name="Normal 6 2 6 10 5" xfId="23014" xr:uid="{00000000-0005-0000-0000-0000D7A60000}"/>
    <cellStyle name="Normal 6 2 6 10 6" xfId="41646" xr:uid="{00000000-0005-0000-0000-0000D8A60000}"/>
    <cellStyle name="Normal 6 2 6 11" xfId="7691" xr:uid="{00000000-0005-0000-0000-0000D9A60000}"/>
    <cellStyle name="Normal 6 2 6 11 2" xfId="13472" xr:uid="{00000000-0005-0000-0000-0000DAA60000}"/>
    <cellStyle name="Normal 6 2 6 11 2 2" xfId="36957" xr:uid="{00000000-0005-0000-0000-0000DBA60000}"/>
    <cellStyle name="Normal 6 2 6 11 2 3" xfId="27638" xr:uid="{00000000-0005-0000-0000-0000DCA60000}"/>
    <cellStyle name="Normal 6 2 6 11 2 4" xfId="50900" xr:uid="{00000000-0005-0000-0000-0000DDA60000}"/>
    <cellStyle name="Normal 6 2 6 11 3" xfId="18203" xr:uid="{00000000-0005-0000-0000-0000DEA60000}"/>
    <cellStyle name="Normal 6 2 6 11 3 2" xfId="32335" xr:uid="{00000000-0005-0000-0000-0000DFA60000}"/>
    <cellStyle name="Normal 6 2 6 11 3 3" xfId="46230" xr:uid="{00000000-0005-0000-0000-0000E0A60000}"/>
    <cellStyle name="Normal 6 2 6 11 4" xfId="23016" xr:uid="{00000000-0005-0000-0000-0000E1A60000}"/>
    <cellStyle name="Normal 6 2 6 11 5" xfId="41648" xr:uid="{00000000-0005-0000-0000-0000E2A60000}"/>
    <cellStyle name="Normal 6 2 6 12" xfId="13469" xr:uid="{00000000-0005-0000-0000-0000E3A60000}"/>
    <cellStyle name="Normal 6 2 6 12 2" xfId="36954" xr:uid="{00000000-0005-0000-0000-0000E4A60000}"/>
    <cellStyle name="Normal 6 2 6 12 3" xfId="27635" xr:uid="{00000000-0005-0000-0000-0000E5A60000}"/>
    <cellStyle name="Normal 6 2 6 12 4" xfId="50897" xr:uid="{00000000-0005-0000-0000-0000E6A60000}"/>
    <cellStyle name="Normal 6 2 6 13" xfId="18200" xr:uid="{00000000-0005-0000-0000-0000E7A60000}"/>
    <cellStyle name="Normal 6 2 6 13 2" xfId="32332" xr:uid="{00000000-0005-0000-0000-0000E8A60000}"/>
    <cellStyle name="Normal 6 2 6 13 3" xfId="46227" xr:uid="{00000000-0005-0000-0000-0000E9A60000}"/>
    <cellStyle name="Normal 6 2 6 14" xfId="23013" xr:uid="{00000000-0005-0000-0000-0000EAA60000}"/>
    <cellStyle name="Normal 6 2 6 15" xfId="41645" xr:uid="{00000000-0005-0000-0000-0000EBA60000}"/>
    <cellStyle name="Normal 6 2 6 2" xfId="7692" xr:uid="{00000000-0005-0000-0000-0000ECA60000}"/>
    <cellStyle name="Normal 6 2 6 2 2" xfId="7693" xr:uid="{00000000-0005-0000-0000-0000EDA60000}"/>
    <cellStyle name="Normal 6 2 6 2 2 2" xfId="13474" xr:uid="{00000000-0005-0000-0000-0000EEA60000}"/>
    <cellStyle name="Normal 6 2 6 2 2 2 2" xfId="36959" xr:uid="{00000000-0005-0000-0000-0000EFA60000}"/>
    <cellStyle name="Normal 6 2 6 2 2 2 3" xfId="27640" xr:uid="{00000000-0005-0000-0000-0000F0A60000}"/>
    <cellStyle name="Normal 6 2 6 2 2 2 4" xfId="50902" xr:uid="{00000000-0005-0000-0000-0000F1A60000}"/>
    <cellStyle name="Normal 6 2 6 2 2 3" xfId="18205" xr:uid="{00000000-0005-0000-0000-0000F2A60000}"/>
    <cellStyle name="Normal 6 2 6 2 2 3 2" xfId="32337" xr:uid="{00000000-0005-0000-0000-0000F3A60000}"/>
    <cellStyle name="Normal 6 2 6 2 2 3 3" xfId="46232" xr:uid="{00000000-0005-0000-0000-0000F4A60000}"/>
    <cellStyle name="Normal 6 2 6 2 2 4" xfId="23018" xr:uid="{00000000-0005-0000-0000-0000F5A60000}"/>
    <cellStyle name="Normal 6 2 6 2 2 5" xfId="41650" xr:uid="{00000000-0005-0000-0000-0000F6A60000}"/>
    <cellStyle name="Normal 6 2 6 2 3" xfId="13473" xr:uid="{00000000-0005-0000-0000-0000F7A60000}"/>
    <cellStyle name="Normal 6 2 6 2 3 2" xfId="36958" xr:uid="{00000000-0005-0000-0000-0000F8A60000}"/>
    <cellStyle name="Normal 6 2 6 2 3 3" xfId="27639" xr:uid="{00000000-0005-0000-0000-0000F9A60000}"/>
    <cellStyle name="Normal 6 2 6 2 3 4" xfId="50901" xr:uid="{00000000-0005-0000-0000-0000FAA60000}"/>
    <cellStyle name="Normal 6 2 6 2 4" xfId="18204" xr:uid="{00000000-0005-0000-0000-0000FBA60000}"/>
    <cellStyle name="Normal 6 2 6 2 4 2" xfId="32336" xr:uid="{00000000-0005-0000-0000-0000FCA60000}"/>
    <cellStyle name="Normal 6 2 6 2 4 3" xfId="46231" xr:uid="{00000000-0005-0000-0000-0000FDA60000}"/>
    <cellStyle name="Normal 6 2 6 2 5" xfId="23017" xr:uid="{00000000-0005-0000-0000-0000FEA60000}"/>
    <cellStyle name="Normal 6 2 6 2 6" xfId="41649" xr:uid="{00000000-0005-0000-0000-0000FFA60000}"/>
    <cellStyle name="Normal 6 2 6 3" xfId="7694" xr:uid="{00000000-0005-0000-0000-000000A70000}"/>
    <cellStyle name="Normal 6 2 6 3 2" xfId="7695" xr:uid="{00000000-0005-0000-0000-000001A70000}"/>
    <cellStyle name="Normal 6 2 6 3 2 2" xfId="13476" xr:uid="{00000000-0005-0000-0000-000002A70000}"/>
    <cellStyle name="Normal 6 2 6 3 2 2 2" xfId="36961" xr:uid="{00000000-0005-0000-0000-000003A70000}"/>
    <cellStyle name="Normal 6 2 6 3 2 2 3" xfId="27642" xr:uid="{00000000-0005-0000-0000-000004A70000}"/>
    <cellStyle name="Normal 6 2 6 3 2 2 4" xfId="50904" xr:uid="{00000000-0005-0000-0000-000005A70000}"/>
    <cellStyle name="Normal 6 2 6 3 2 3" xfId="18207" xr:uid="{00000000-0005-0000-0000-000006A70000}"/>
    <cellStyle name="Normal 6 2 6 3 2 3 2" xfId="32339" xr:uid="{00000000-0005-0000-0000-000007A70000}"/>
    <cellStyle name="Normal 6 2 6 3 2 3 3" xfId="46234" xr:uid="{00000000-0005-0000-0000-000008A70000}"/>
    <cellStyle name="Normal 6 2 6 3 2 4" xfId="23020" xr:uid="{00000000-0005-0000-0000-000009A70000}"/>
    <cellStyle name="Normal 6 2 6 3 2 5" xfId="41652" xr:uid="{00000000-0005-0000-0000-00000AA70000}"/>
    <cellStyle name="Normal 6 2 6 3 3" xfId="13475" xr:uid="{00000000-0005-0000-0000-00000BA70000}"/>
    <cellStyle name="Normal 6 2 6 3 3 2" xfId="36960" xr:uid="{00000000-0005-0000-0000-00000CA70000}"/>
    <cellStyle name="Normal 6 2 6 3 3 3" xfId="27641" xr:uid="{00000000-0005-0000-0000-00000DA70000}"/>
    <cellStyle name="Normal 6 2 6 3 3 4" xfId="50903" xr:uid="{00000000-0005-0000-0000-00000EA70000}"/>
    <cellStyle name="Normal 6 2 6 3 4" xfId="18206" xr:uid="{00000000-0005-0000-0000-00000FA70000}"/>
    <cellStyle name="Normal 6 2 6 3 4 2" xfId="32338" xr:uid="{00000000-0005-0000-0000-000010A70000}"/>
    <cellStyle name="Normal 6 2 6 3 4 3" xfId="46233" xr:uid="{00000000-0005-0000-0000-000011A70000}"/>
    <cellStyle name="Normal 6 2 6 3 5" xfId="23019" xr:uid="{00000000-0005-0000-0000-000012A70000}"/>
    <cellStyle name="Normal 6 2 6 3 6" xfId="41651" xr:uid="{00000000-0005-0000-0000-000013A70000}"/>
    <cellStyle name="Normal 6 2 6 4" xfId="7696" xr:uid="{00000000-0005-0000-0000-000014A70000}"/>
    <cellStyle name="Normal 6 2 6 4 2" xfId="7697" xr:uid="{00000000-0005-0000-0000-000015A70000}"/>
    <cellStyle name="Normal 6 2 6 4 2 2" xfId="13478" xr:uid="{00000000-0005-0000-0000-000016A70000}"/>
    <cellStyle name="Normal 6 2 6 4 2 2 2" xfId="36963" xr:uid="{00000000-0005-0000-0000-000017A70000}"/>
    <cellStyle name="Normal 6 2 6 4 2 2 3" xfId="27644" xr:uid="{00000000-0005-0000-0000-000018A70000}"/>
    <cellStyle name="Normal 6 2 6 4 2 2 4" xfId="50906" xr:uid="{00000000-0005-0000-0000-000019A70000}"/>
    <cellStyle name="Normal 6 2 6 4 2 3" xfId="18209" xr:uid="{00000000-0005-0000-0000-00001AA70000}"/>
    <cellStyle name="Normal 6 2 6 4 2 3 2" xfId="32341" xr:uid="{00000000-0005-0000-0000-00001BA70000}"/>
    <cellStyle name="Normal 6 2 6 4 2 3 3" xfId="46236" xr:uid="{00000000-0005-0000-0000-00001CA70000}"/>
    <cellStyle name="Normal 6 2 6 4 2 4" xfId="23022" xr:uid="{00000000-0005-0000-0000-00001DA70000}"/>
    <cellStyle name="Normal 6 2 6 4 2 5" xfId="41654" xr:uid="{00000000-0005-0000-0000-00001EA70000}"/>
    <cellStyle name="Normal 6 2 6 4 3" xfId="13477" xr:uid="{00000000-0005-0000-0000-00001FA70000}"/>
    <cellStyle name="Normal 6 2 6 4 3 2" xfId="36962" xr:uid="{00000000-0005-0000-0000-000020A70000}"/>
    <cellStyle name="Normal 6 2 6 4 3 3" xfId="27643" xr:uid="{00000000-0005-0000-0000-000021A70000}"/>
    <cellStyle name="Normal 6 2 6 4 3 4" xfId="50905" xr:uid="{00000000-0005-0000-0000-000022A70000}"/>
    <cellStyle name="Normal 6 2 6 4 4" xfId="18208" xr:uid="{00000000-0005-0000-0000-000023A70000}"/>
    <cellStyle name="Normal 6 2 6 4 4 2" xfId="32340" xr:uid="{00000000-0005-0000-0000-000024A70000}"/>
    <cellStyle name="Normal 6 2 6 4 4 3" xfId="46235" xr:uid="{00000000-0005-0000-0000-000025A70000}"/>
    <cellStyle name="Normal 6 2 6 4 5" xfId="23021" xr:uid="{00000000-0005-0000-0000-000026A70000}"/>
    <cellStyle name="Normal 6 2 6 4 6" xfId="41653" xr:uid="{00000000-0005-0000-0000-000027A70000}"/>
    <cellStyle name="Normal 6 2 6 5" xfId="7698" xr:uid="{00000000-0005-0000-0000-000028A70000}"/>
    <cellStyle name="Normal 6 2 6 5 2" xfId="7699" xr:uid="{00000000-0005-0000-0000-000029A70000}"/>
    <cellStyle name="Normal 6 2 6 5 2 2" xfId="13480" xr:uid="{00000000-0005-0000-0000-00002AA70000}"/>
    <cellStyle name="Normal 6 2 6 5 2 2 2" xfId="36965" xr:uid="{00000000-0005-0000-0000-00002BA70000}"/>
    <cellStyle name="Normal 6 2 6 5 2 2 3" xfId="27646" xr:uid="{00000000-0005-0000-0000-00002CA70000}"/>
    <cellStyle name="Normal 6 2 6 5 2 2 4" xfId="50908" xr:uid="{00000000-0005-0000-0000-00002DA70000}"/>
    <cellStyle name="Normal 6 2 6 5 2 3" xfId="18211" xr:uid="{00000000-0005-0000-0000-00002EA70000}"/>
    <cellStyle name="Normal 6 2 6 5 2 3 2" xfId="32343" xr:uid="{00000000-0005-0000-0000-00002FA70000}"/>
    <cellStyle name="Normal 6 2 6 5 2 3 3" xfId="46238" xr:uid="{00000000-0005-0000-0000-000030A70000}"/>
    <cellStyle name="Normal 6 2 6 5 2 4" xfId="23024" xr:uid="{00000000-0005-0000-0000-000031A70000}"/>
    <cellStyle name="Normal 6 2 6 5 2 5" xfId="41656" xr:uid="{00000000-0005-0000-0000-000032A70000}"/>
    <cellStyle name="Normal 6 2 6 5 3" xfId="13479" xr:uid="{00000000-0005-0000-0000-000033A70000}"/>
    <cellStyle name="Normal 6 2 6 5 3 2" xfId="36964" xr:uid="{00000000-0005-0000-0000-000034A70000}"/>
    <cellStyle name="Normal 6 2 6 5 3 3" xfId="27645" xr:uid="{00000000-0005-0000-0000-000035A70000}"/>
    <cellStyle name="Normal 6 2 6 5 3 4" xfId="50907" xr:uid="{00000000-0005-0000-0000-000036A70000}"/>
    <cellStyle name="Normal 6 2 6 5 4" xfId="18210" xr:uid="{00000000-0005-0000-0000-000037A70000}"/>
    <cellStyle name="Normal 6 2 6 5 4 2" xfId="32342" xr:uid="{00000000-0005-0000-0000-000038A70000}"/>
    <cellStyle name="Normal 6 2 6 5 4 3" xfId="46237" xr:uid="{00000000-0005-0000-0000-000039A70000}"/>
    <cellStyle name="Normal 6 2 6 5 5" xfId="23023" xr:uid="{00000000-0005-0000-0000-00003AA70000}"/>
    <cellStyle name="Normal 6 2 6 5 6" xfId="41655" xr:uid="{00000000-0005-0000-0000-00003BA70000}"/>
    <cellStyle name="Normal 6 2 6 6" xfId="7700" xr:uid="{00000000-0005-0000-0000-00003CA70000}"/>
    <cellStyle name="Normal 6 2 6 6 2" xfId="7701" xr:uid="{00000000-0005-0000-0000-00003DA70000}"/>
    <cellStyle name="Normal 6 2 6 6 2 2" xfId="13482" xr:uid="{00000000-0005-0000-0000-00003EA70000}"/>
    <cellStyle name="Normal 6 2 6 6 2 2 2" xfId="36967" xr:uid="{00000000-0005-0000-0000-00003FA70000}"/>
    <cellStyle name="Normal 6 2 6 6 2 2 3" xfId="27648" xr:uid="{00000000-0005-0000-0000-000040A70000}"/>
    <cellStyle name="Normal 6 2 6 6 2 2 4" xfId="50910" xr:uid="{00000000-0005-0000-0000-000041A70000}"/>
    <cellStyle name="Normal 6 2 6 6 2 3" xfId="18213" xr:uid="{00000000-0005-0000-0000-000042A70000}"/>
    <cellStyle name="Normal 6 2 6 6 2 3 2" xfId="32345" xr:uid="{00000000-0005-0000-0000-000043A70000}"/>
    <cellStyle name="Normal 6 2 6 6 2 3 3" xfId="46240" xr:uid="{00000000-0005-0000-0000-000044A70000}"/>
    <cellStyle name="Normal 6 2 6 6 2 4" xfId="23026" xr:uid="{00000000-0005-0000-0000-000045A70000}"/>
    <cellStyle name="Normal 6 2 6 6 2 5" xfId="41658" xr:uid="{00000000-0005-0000-0000-000046A70000}"/>
    <cellStyle name="Normal 6 2 6 6 3" xfId="13481" xr:uid="{00000000-0005-0000-0000-000047A70000}"/>
    <cellStyle name="Normal 6 2 6 6 3 2" xfId="36966" xr:uid="{00000000-0005-0000-0000-000048A70000}"/>
    <cellStyle name="Normal 6 2 6 6 3 3" xfId="27647" xr:uid="{00000000-0005-0000-0000-000049A70000}"/>
    <cellStyle name="Normal 6 2 6 6 3 4" xfId="50909" xr:uid="{00000000-0005-0000-0000-00004AA70000}"/>
    <cellStyle name="Normal 6 2 6 6 4" xfId="18212" xr:uid="{00000000-0005-0000-0000-00004BA70000}"/>
    <cellStyle name="Normal 6 2 6 6 4 2" xfId="32344" xr:uid="{00000000-0005-0000-0000-00004CA70000}"/>
    <cellStyle name="Normal 6 2 6 6 4 3" xfId="46239" xr:uid="{00000000-0005-0000-0000-00004DA70000}"/>
    <cellStyle name="Normal 6 2 6 6 5" xfId="23025" xr:uid="{00000000-0005-0000-0000-00004EA70000}"/>
    <cellStyle name="Normal 6 2 6 6 6" xfId="41657" xr:uid="{00000000-0005-0000-0000-00004FA70000}"/>
    <cellStyle name="Normal 6 2 6 7" xfId="7702" xr:uid="{00000000-0005-0000-0000-000050A70000}"/>
    <cellStyle name="Normal 6 2 6 7 2" xfId="7703" xr:uid="{00000000-0005-0000-0000-000051A70000}"/>
    <cellStyle name="Normal 6 2 6 7 2 2" xfId="13484" xr:uid="{00000000-0005-0000-0000-000052A70000}"/>
    <cellStyle name="Normal 6 2 6 7 2 2 2" xfId="36969" xr:uid="{00000000-0005-0000-0000-000053A70000}"/>
    <cellStyle name="Normal 6 2 6 7 2 2 3" xfId="27650" xr:uid="{00000000-0005-0000-0000-000054A70000}"/>
    <cellStyle name="Normal 6 2 6 7 2 2 4" xfId="50912" xr:uid="{00000000-0005-0000-0000-000055A70000}"/>
    <cellStyle name="Normal 6 2 6 7 2 3" xfId="18215" xr:uid="{00000000-0005-0000-0000-000056A70000}"/>
    <cellStyle name="Normal 6 2 6 7 2 3 2" xfId="32347" xr:uid="{00000000-0005-0000-0000-000057A70000}"/>
    <cellStyle name="Normal 6 2 6 7 2 3 3" xfId="46242" xr:uid="{00000000-0005-0000-0000-000058A70000}"/>
    <cellStyle name="Normal 6 2 6 7 2 4" xfId="23028" xr:uid="{00000000-0005-0000-0000-000059A70000}"/>
    <cellStyle name="Normal 6 2 6 7 2 5" xfId="41660" xr:uid="{00000000-0005-0000-0000-00005AA70000}"/>
    <cellStyle name="Normal 6 2 6 7 3" xfId="13483" xr:uid="{00000000-0005-0000-0000-00005BA70000}"/>
    <cellStyle name="Normal 6 2 6 7 3 2" xfId="36968" xr:uid="{00000000-0005-0000-0000-00005CA70000}"/>
    <cellStyle name="Normal 6 2 6 7 3 3" xfId="27649" xr:uid="{00000000-0005-0000-0000-00005DA70000}"/>
    <cellStyle name="Normal 6 2 6 7 3 4" xfId="50911" xr:uid="{00000000-0005-0000-0000-00005EA70000}"/>
    <cellStyle name="Normal 6 2 6 7 4" xfId="18214" xr:uid="{00000000-0005-0000-0000-00005FA70000}"/>
    <cellStyle name="Normal 6 2 6 7 4 2" xfId="32346" xr:uid="{00000000-0005-0000-0000-000060A70000}"/>
    <cellStyle name="Normal 6 2 6 7 4 3" xfId="46241" xr:uid="{00000000-0005-0000-0000-000061A70000}"/>
    <cellStyle name="Normal 6 2 6 7 5" xfId="23027" xr:uid="{00000000-0005-0000-0000-000062A70000}"/>
    <cellStyle name="Normal 6 2 6 7 6" xfId="41659" xr:uid="{00000000-0005-0000-0000-000063A70000}"/>
    <cellStyle name="Normal 6 2 6 8" xfId="7704" xr:uid="{00000000-0005-0000-0000-000064A70000}"/>
    <cellStyle name="Normal 6 2 6 8 2" xfId="7705" xr:uid="{00000000-0005-0000-0000-000065A70000}"/>
    <cellStyle name="Normal 6 2 6 8 2 2" xfId="13486" xr:uid="{00000000-0005-0000-0000-000066A70000}"/>
    <cellStyle name="Normal 6 2 6 8 2 2 2" xfId="36971" xr:uid="{00000000-0005-0000-0000-000067A70000}"/>
    <cellStyle name="Normal 6 2 6 8 2 2 3" xfId="27652" xr:uid="{00000000-0005-0000-0000-000068A70000}"/>
    <cellStyle name="Normal 6 2 6 8 2 2 4" xfId="50914" xr:uid="{00000000-0005-0000-0000-000069A70000}"/>
    <cellStyle name="Normal 6 2 6 8 2 3" xfId="18217" xr:uid="{00000000-0005-0000-0000-00006AA70000}"/>
    <cellStyle name="Normal 6 2 6 8 2 3 2" xfId="32349" xr:uid="{00000000-0005-0000-0000-00006BA70000}"/>
    <cellStyle name="Normal 6 2 6 8 2 3 3" xfId="46244" xr:uid="{00000000-0005-0000-0000-00006CA70000}"/>
    <cellStyle name="Normal 6 2 6 8 2 4" xfId="23030" xr:uid="{00000000-0005-0000-0000-00006DA70000}"/>
    <cellStyle name="Normal 6 2 6 8 2 5" xfId="41662" xr:uid="{00000000-0005-0000-0000-00006EA70000}"/>
    <cellStyle name="Normal 6 2 6 8 3" xfId="13485" xr:uid="{00000000-0005-0000-0000-00006FA70000}"/>
    <cellStyle name="Normal 6 2 6 8 3 2" xfId="36970" xr:uid="{00000000-0005-0000-0000-000070A70000}"/>
    <cellStyle name="Normal 6 2 6 8 3 3" xfId="27651" xr:uid="{00000000-0005-0000-0000-000071A70000}"/>
    <cellStyle name="Normal 6 2 6 8 3 4" xfId="50913" xr:uid="{00000000-0005-0000-0000-000072A70000}"/>
    <cellStyle name="Normal 6 2 6 8 4" xfId="18216" xr:uid="{00000000-0005-0000-0000-000073A70000}"/>
    <cellStyle name="Normal 6 2 6 8 4 2" xfId="32348" xr:uid="{00000000-0005-0000-0000-000074A70000}"/>
    <cellStyle name="Normal 6 2 6 8 4 3" xfId="46243" xr:uid="{00000000-0005-0000-0000-000075A70000}"/>
    <cellStyle name="Normal 6 2 6 8 5" xfId="23029" xr:uid="{00000000-0005-0000-0000-000076A70000}"/>
    <cellStyle name="Normal 6 2 6 8 6" xfId="41661" xr:uid="{00000000-0005-0000-0000-000077A70000}"/>
    <cellStyle name="Normal 6 2 6 9" xfId="7706" xr:uid="{00000000-0005-0000-0000-000078A70000}"/>
    <cellStyle name="Normal 6 2 6 9 2" xfId="7707" xr:uid="{00000000-0005-0000-0000-000079A70000}"/>
    <cellStyle name="Normal 6 2 6 9 2 2" xfId="13488" xr:uid="{00000000-0005-0000-0000-00007AA70000}"/>
    <cellStyle name="Normal 6 2 6 9 2 2 2" xfId="36973" xr:uid="{00000000-0005-0000-0000-00007BA70000}"/>
    <cellStyle name="Normal 6 2 6 9 2 2 3" xfId="27654" xr:uid="{00000000-0005-0000-0000-00007CA70000}"/>
    <cellStyle name="Normal 6 2 6 9 2 2 4" xfId="50916" xr:uid="{00000000-0005-0000-0000-00007DA70000}"/>
    <cellStyle name="Normal 6 2 6 9 2 3" xfId="18219" xr:uid="{00000000-0005-0000-0000-00007EA70000}"/>
    <cellStyle name="Normal 6 2 6 9 2 3 2" xfId="32351" xr:uid="{00000000-0005-0000-0000-00007FA70000}"/>
    <cellStyle name="Normal 6 2 6 9 2 3 3" xfId="46246" xr:uid="{00000000-0005-0000-0000-000080A70000}"/>
    <cellStyle name="Normal 6 2 6 9 2 4" xfId="23032" xr:uid="{00000000-0005-0000-0000-000081A70000}"/>
    <cellStyle name="Normal 6 2 6 9 2 5" xfId="41664" xr:uid="{00000000-0005-0000-0000-000082A70000}"/>
    <cellStyle name="Normal 6 2 6 9 3" xfId="13487" xr:uid="{00000000-0005-0000-0000-000083A70000}"/>
    <cellStyle name="Normal 6 2 6 9 3 2" xfId="36972" xr:uid="{00000000-0005-0000-0000-000084A70000}"/>
    <cellStyle name="Normal 6 2 6 9 3 3" xfId="27653" xr:uid="{00000000-0005-0000-0000-000085A70000}"/>
    <cellStyle name="Normal 6 2 6 9 3 4" xfId="50915" xr:uid="{00000000-0005-0000-0000-000086A70000}"/>
    <cellStyle name="Normal 6 2 6 9 4" xfId="18218" xr:uid="{00000000-0005-0000-0000-000087A70000}"/>
    <cellStyle name="Normal 6 2 6 9 4 2" xfId="32350" xr:uid="{00000000-0005-0000-0000-000088A70000}"/>
    <cellStyle name="Normal 6 2 6 9 4 3" xfId="46245" xr:uid="{00000000-0005-0000-0000-000089A70000}"/>
    <cellStyle name="Normal 6 2 6 9 5" xfId="23031" xr:uid="{00000000-0005-0000-0000-00008AA70000}"/>
    <cellStyle name="Normal 6 2 6 9 6" xfId="41663" xr:uid="{00000000-0005-0000-0000-00008BA70000}"/>
    <cellStyle name="Normal 6 2 60" xfId="7708" xr:uid="{00000000-0005-0000-0000-00008CA70000}"/>
    <cellStyle name="Normal 6 2 60 2" xfId="7709" xr:uid="{00000000-0005-0000-0000-00008DA70000}"/>
    <cellStyle name="Normal 6 2 60 2 2" xfId="13490" xr:uid="{00000000-0005-0000-0000-00008EA70000}"/>
    <cellStyle name="Normal 6 2 60 2 2 2" xfId="36975" xr:uid="{00000000-0005-0000-0000-00008FA70000}"/>
    <cellStyle name="Normal 6 2 60 2 2 3" xfId="27656" xr:uid="{00000000-0005-0000-0000-000090A70000}"/>
    <cellStyle name="Normal 6 2 60 2 2 4" xfId="50918" xr:uid="{00000000-0005-0000-0000-000091A70000}"/>
    <cellStyle name="Normal 6 2 60 2 3" xfId="18221" xr:uid="{00000000-0005-0000-0000-000092A70000}"/>
    <cellStyle name="Normal 6 2 60 2 3 2" xfId="32353" xr:uid="{00000000-0005-0000-0000-000093A70000}"/>
    <cellStyle name="Normal 6 2 60 2 3 3" xfId="46248" xr:uid="{00000000-0005-0000-0000-000094A70000}"/>
    <cellStyle name="Normal 6 2 60 2 4" xfId="23034" xr:uid="{00000000-0005-0000-0000-000095A70000}"/>
    <cellStyle name="Normal 6 2 60 2 5" xfId="41666" xr:uid="{00000000-0005-0000-0000-000096A70000}"/>
    <cellStyle name="Normal 6 2 60 3" xfId="13489" xr:uid="{00000000-0005-0000-0000-000097A70000}"/>
    <cellStyle name="Normal 6 2 60 3 2" xfId="36974" xr:uid="{00000000-0005-0000-0000-000098A70000}"/>
    <cellStyle name="Normal 6 2 60 3 3" xfId="27655" xr:uid="{00000000-0005-0000-0000-000099A70000}"/>
    <cellStyle name="Normal 6 2 60 3 4" xfId="50917" xr:uid="{00000000-0005-0000-0000-00009AA70000}"/>
    <cellStyle name="Normal 6 2 60 4" xfId="18220" xr:uid="{00000000-0005-0000-0000-00009BA70000}"/>
    <cellStyle name="Normal 6 2 60 4 2" xfId="32352" xr:uid="{00000000-0005-0000-0000-00009CA70000}"/>
    <cellStyle name="Normal 6 2 60 4 3" xfId="46247" xr:uid="{00000000-0005-0000-0000-00009DA70000}"/>
    <cellStyle name="Normal 6 2 60 5" xfId="23033" xr:uid="{00000000-0005-0000-0000-00009EA70000}"/>
    <cellStyle name="Normal 6 2 60 6" xfId="41665" xr:uid="{00000000-0005-0000-0000-00009FA70000}"/>
    <cellStyle name="Normal 6 2 61" xfId="7710" xr:uid="{00000000-0005-0000-0000-0000A0A70000}"/>
    <cellStyle name="Normal 6 2 61 2" xfId="7711" xr:uid="{00000000-0005-0000-0000-0000A1A70000}"/>
    <cellStyle name="Normal 6 2 61 2 2" xfId="13492" xr:uid="{00000000-0005-0000-0000-0000A2A70000}"/>
    <cellStyle name="Normal 6 2 61 2 2 2" xfId="36977" xr:uid="{00000000-0005-0000-0000-0000A3A70000}"/>
    <cellStyle name="Normal 6 2 61 2 2 3" xfId="27658" xr:uid="{00000000-0005-0000-0000-0000A4A70000}"/>
    <cellStyle name="Normal 6 2 61 2 2 4" xfId="50920" xr:uid="{00000000-0005-0000-0000-0000A5A70000}"/>
    <cellStyle name="Normal 6 2 61 2 3" xfId="18223" xr:uid="{00000000-0005-0000-0000-0000A6A70000}"/>
    <cellStyle name="Normal 6 2 61 2 3 2" xfId="32355" xr:uid="{00000000-0005-0000-0000-0000A7A70000}"/>
    <cellStyle name="Normal 6 2 61 2 3 3" xfId="46250" xr:uid="{00000000-0005-0000-0000-0000A8A70000}"/>
    <cellStyle name="Normal 6 2 61 2 4" xfId="23036" xr:uid="{00000000-0005-0000-0000-0000A9A70000}"/>
    <cellStyle name="Normal 6 2 61 2 5" xfId="41668" xr:uid="{00000000-0005-0000-0000-0000AAA70000}"/>
    <cellStyle name="Normal 6 2 61 3" xfId="13491" xr:uid="{00000000-0005-0000-0000-0000ABA70000}"/>
    <cellStyle name="Normal 6 2 61 3 2" xfId="36976" xr:uid="{00000000-0005-0000-0000-0000ACA70000}"/>
    <cellStyle name="Normal 6 2 61 3 3" xfId="27657" xr:uid="{00000000-0005-0000-0000-0000ADA70000}"/>
    <cellStyle name="Normal 6 2 61 3 4" xfId="50919" xr:uid="{00000000-0005-0000-0000-0000AEA70000}"/>
    <cellStyle name="Normal 6 2 61 4" xfId="18222" xr:uid="{00000000-0005-0000-0000-0000AFA70000}"/>
    <cellStyle name="Normal 6 2 61 4 2" xfId="32354" xr:uid="{00000000-0005-0000-0000-0000B0A70000}"/>
    <cellStyle name="Normal 6 2 61 4 3" xfId="46249" xr:uid="{00000000-0005-0000-0000-0000B1A70000}"/>
    <cellStyle name="Normal 6 2 61 5" xfId="23035" xr:uid="{00000000-0005-0000-0000-0000B2A70000}"/>
    <cellStyle name="Normal 6 2 61 6" xfId="41667" xr:uid="{00000000-0005-0000-0000-0000B3A70000}"/>
    <cellStyle name="Normal 6 2 62" xfId="7712" xr:uid="{00000000-0005-0000-0000-0000B4A70000}"/>
    <cellStyle name="Normal 6 2 62 2" xfId="7713" xr:uid="{00000000-0005-0000-0000-0000B5A70000}"/>
    <cellStyle name="Normal 6 2 62 2 2" xfId="13494" xr:uid="{00000000-0005-0000-0000-0000B6A70000}"/>
    <cellStyle name="Normal 6 2 62 2 2 2" xfId="36979" xr:uid="{00000000-0005-0000-0000-0000B7A70000}"/>
    <cellStyle name="Normal 6 2 62 2 2 3" xfId="27660" xr:uid="{00000000-0005-0000-0000-0000B8A70000}"/>
    <cellStyle name="Normal 6 2 62 2 2 4" xfId="50922" xr:uid="{00000000-0005-0000-0000-0000B9A70000}"/>
    <cellStyle name="Normal 6 2 62 2 3" xfId="18225" xr:uid="{00000000-0005-0000-0000-0000BAA70000}"/>
    <cellStyle name="Normal 6 2 62 2 3 2" xfId="32357" xr:uid="{00000000-0005-0000-0000-0000BBA70000}"/>
    <cellStyle name="Normal 6 2 62 2 3 3" xfId="46252" xr:uid="{00000000-0005-0000-0000-0000BCA70000}"/>
    <cellStyle name="Normal 6 2 62 2 4" xfId="23038" xr:uid="{00000000-0005-0000-0000-0000BDA70000}"/>
    <cellStyle name="Normal 6 2 62 2 5" xfId="41670" xr:uid="{00000000-0005-0000-0000-0000BEA70000}"/>
    <cellStyle name="Normal 6 2 62 3" xfId="13493" xr:uid="{00000000-0005-0000-0000-0000BFA70000}"/>
    <cellStyle name="Normal 6 2 62 3 2" xfId="36978" xr:uid="{00000000-0005-0000-0000-0000C0A70000}"/>
    <cellStyle name="Normal 6 2 62 3 3" xfId="27659" xr:uid="{00000000-0005-0000-0000-0000C1A70000}"/>
    <cellStyle name="Normal 6 2 62 3 4" xfId="50921" xr:uid="{00000000-0005-0000-0000-0000C2A70000}"/>
    <cellStyle name="Normal 6 2 62 4" xfId="18224" xr:uid="{00000000-0005-0000-0000-0000C3A70000}"/>
    <cellStyle name="Normal 6 2 62 4 2" xfId="32356" xr:uid="{00000000-0005-0000-0000-0000C4A70000}"/>
    <cellStyle name="Normal 6 2 62 4 3" xfId="46251" xr:uid="{00000000-0005-0000-0000-0000C5A70000}"/>
    <cellStyle name="Normal 6 2 62 5" xfId="23037" xr:uid="{00000000-0005-0000-0000-0000C6A70000}"/>
    <cellStyle name="Normal 6 2 62 6" xfId="41669" xr:uid="{00000000-0005-0000-0000-0000C7A70000}"/>
    <cellStyle name="Normal 6 2 63" xfId="7714" xr:uid="{00000000-0005-0000-0000-0000C8A70000}"/>
    <cellStyle name="Normal 6 2 63 2" xfId="7715" xr:uid="{00000000-0005-0000-0000-0000C9A70000}"/>
    <cellStyle name="Normal 6 2 63 2 2" xfId="13496" xr:uid="{00000000-0005-0000-0000-0000CAA70000}"/>
    <cellStyle name="Normal 6 2 63 2 2 2" xfId="36981" xr:uid="{00000000-0005-0000-0000-0000CBA70000}"/>
    <cellStyle name="Normal 6 2 63 2 2 3" xfId="27662" xr:uid="{00000000-0005-0000-0000-0000CCA70000}"/>
    <cellStyle name="Normal 6 2 63 2 2 4" xfId="50924" xr:uid="{00000000-0005-0000-0000-0000CDA70000}"/>
    <cellStyle name="Normal 6 2 63 2 3" xfId="18227" xr:uid="{00000000-0005-0000-0000-0000CEA70000}"/>
    <cellStyle name="Normal 6 2 63 2 3 2" xfId="32359" xr:uid="{00000000-0005-0000-0000-0000CFA70000}"/>
    <cellStyle name="Normal 6 2 63 2 3 3" xfId="46254" xr:uid="{00000000-0005-0000-0000-0000D0A70000}"/>
    <cellStyle name="Normal 6 2 63 2 4" xfId="23040" xr:uid="{00000000-0005-0000-0000-0000D1A70000}"/>
    <cellStyle name="Normal 6 2 63 2 5" xfId="41672" xr:uid="{00000000-0005-0000-0000-0000D2A70000}"/>
    <cellStyle name="Normal 6 2 63 3" xfId="13495" xr:uid="{00000000-0005-0000-0000-0000D3A70000}"/>
    <cellStyle name="Normal 6 2 63 3 2" xfId="36980" xr:uid="{00000000-0005-0000-0000-0000D4A70000}"/>
    <cellStyle name="Normal 6 2 63 3 3" xfId="27661" xr:uid="{00000000-0005-0000-0000-0000D5A70000}"/>
    <cellStyle name="Normal 6 2 63 3 4" xfId="50923" xr:uid="{00000000-0005-0000-0000-0000D6A70000}"/>
    <cellStyle name="Normal 6 2 63 4" xfId="18226" xr:uid="{00000000-0005-0000-0000-0000D7A70000}"/>
    <cellStyle name="Normal 6 2 63 4 2" xfId="32358" xr:uid="{00000000-0005-0000-0000-0000D8A70000}"/>
    <cellStyle name="Normal 6 2 63 4 3" xfId="46253" xr:uid="{00000000-0005-0000-0000-0000D9A70000}"/>
    <cellStyle name="Normal 6 2 63 5" xfId="23039" xr:uid="{00000000-0005-0000-0000-0000DAA70000}"/>
    <cellStyle name="Normal 6 2 63 6" xfId="41671" xr:uid="{00000000-0005-0000-0000-0000DBA70000}"/>
    <cellStyle name="Normal 6 2 64" xfId="7716" xr:uid="{00000000-0005-0000-0000-0000DCA70000}"/>
    <cellStyle name="Normal 6 2 64 2" xfId="7717" xr:uid="{00000000-0005-0000-0000-0000DDA70000}"/>
    <cellStyle name="Normal 6 2 64 2 2" xfId="13498" xr:uid="{00000000-0005-0000-0000-0000DEA70000}"/>
    <cellStyle name="Normal 6 2 64 2 2 2" xfId="36983" xr:uid="{00000000-0005-0000-0000-0000DFA70000}"/>
    <cellStyle name="Normal 6 2 64 2 2 3" xfId="27664" xr:uid="{00000000-0005-0000-0000-0000E0A70000}"/>
    <cellStyle name="Normal 6 2 64 2 2 4" xfId="50926" xr:uid="{00000000-0005-0000-0000-0000E1A70000}"/>
    <cellStyle name="Normal 6 2 64 2 3" xfId="18229" xr:uid="{00000000-0005-0000-0000-0000E2A70000}"/>
    <cellStyle name="Normal 6 2 64 2 3 2" xfId="32361" xr:uid="{00000000-0005-0000-0000-0000E3A70000}"/>
    <cellStyle name="Normal 6 2 64 2 3 3" xfId="46256" xr:uid="{00000000-0005-0000-0000-0000E4A70000}"/>
    <cellStyle name="Normal 6 2 64 2 4" xfId="23042" xr:uid="{00000000-0005-0000-0000-0000E5A70000}"/>
    <cellStyle name="Normal 6 2 64 2 5" xfId="41674" xr:uid="{00000000-0005-0000-0000-0000E6A70000}"/>
    <cellStyle name="Normal 6 2 64 3" xfId="13497" xr:uid="{00000000-0005-0000-0000-0000E7A70000}"/>
    <cellStyle name="Normal 6 2 64 3 2" xfId="36982" xr:uid="{00000000-0005-0000-0000-0000E8A70000}"/>
    <cellStyle name="Normal 6 2 64 3 3" xfId="27663" xr:uid="{00000000-0005-0000-0000-0000E9A70000}"/>
    <cellStyle name="Normal 6 2 64 3 4" xfId="50925" xr:uid="{00000000-0005-0000-0000-0000EAA70000}"/>
    <cellStyle name="Normal 6 2 64 4" xfId="18228" xr:uid="{00000000-0005-0000-0000-0000EBA70000}"/>
    <cellStyle name="Normal 6 2 64 4 2" xfId="32360" xr:uid="{00000000-0005-0000-0000-0000ECA70000}"/>
    <cellStyle name="Normal 6 2 64 4 3" xfId="46255" xr:uid="{00000000-0005-0000-0000-0000EDA70000}"/>
    <cellStyle name="Normal 6 2 64 5" xfId="23041" xr:uid="{00000000-0005-0000-0000-0000EEA70000}"/>
    <cellStyle name="Normal 6 2 64 6" xfId="41673" xr:uid="{00000000-0005-0000-0000-0000EFA70000}"/>
    <cellStyle name="Normal 6 2 65" xfId="7718" xr:uid="{00000000-0005-0000-0000-0000F0A70000}"/>
    <cellStyle name="Normal 6 2 65 2" xfId="7719" xr:uid="{00000000-0005-0000-0000-0000F1A70000}"/>
    <cellStyle name="Normal 6 2 65 2 2" xfId="13500" xr:uid="{00000000-0005-0000-0000-0000F2A70000}"/>
    <cellStyle name="Normal 6 2 65 2 2 2" xfId="36985" xr:uid="{00000000-0005-0000-0000-0000F3A70000}"/>
    <cellStyle name="Normal 6 2 65 2 2 3" xfId="27666" xr:uid="{00000000-0005-0000-0000-0000F4A70000}"/>
    <cellStyle name="Normal 6 2 65 2 2 4" xfId="50928" xr:uid="{00000000-0005-0000-0000-0000F5A70000}"/>
    <cellStyle name="Normal 6 2 65 2 3" xfId="18231" xr:uid="{00000000-0005-0000-0000-0000F6A70000}"/>
    <cellStyle name="Normal 6 2 65 2 3 2" xfId="32363" xr:uid="{00000000-0005-0000-0000-0000F7A70000}"/>
    <cellStyle name="Normal 6 2 65 2 3 3" xfId="46258" xr:uid="{00000000-0005-0000-0000-0000F8A70000}"/>
    <cellStyle name="Normal 6 2 65 2 4" xfId="23044" xr:uid="{00000000-0005-0000-0000-0000F9A70000}"/>
    <cellStyle name="Normal 6 2 65 2 5" xfId="41676" xr:uid="{00000000-0005-0000-0000-0000FAA70000}"/>
    <cellStyle name="Normal 6 2 65 3" xfId="13499" xr:uid="{00000000-0005-0000-0000-0000FBA70000}"/>
    <cellStyle name="Normal 6 2 65 3 2" xfId="36984" xr:uid="{00000000-0005-0000-0000-0000FCA70000}"/>
    <cellStyle name="Normal 6 2 65 3 3" xfId="27665" xr:uid="{00000000-0005-0000-0000-0000FDA70000}"/>
    <cellStyle name="Normal 6 2 65 3 4" xfId="50927" xr:uid="{00000000-0005-0000-0000-0000FEA70000}"/>
    <cellStyle name="Normal 6 2 65 4" xfId="18230" xr:uid="{00000000-0005-0000-0000-0000FFA70000}"/>
    <cellStyle name="Normal 6 2 65 4 2" xfId="32362" xr:uid="{00000000-0005-0000-0000-000000A80000}"/>
    <cellStyle name="Normal 6 2 65 4 3" xfId="46257" xr:uid="{00000000-0005-0000-0000-000001A80000}"/>
    <cellStyle name="Normal 6 2 65 5" xfId="23043" xr:uid="{00000000-0005-0000-0000-000002A80000}"/>
    <cellStyle name="Normal 6 2 65 6" xfId="41675" xr:uid="{00000000-0005-0000-0000-000003A80000}"/>
    <cellStyle name="Normal 6 2 66" xfId="7720" xr:uid="{00000000-0005-0000-0000-000004A80000}"/>
    <cellStyle name="Normal 6 2 66 2" xfId="7721" xr:uid="{00000000-0005-0000-0000-000005A80000}"/>
    <cellStyle name="Normal 6 2 66 2 2" xfId="13502" xr:uid="{00000000-0005-0000-0000-000006A80000}"/>
    <cellStyle name="Normal 6 2 66 2 2 2" xfId="36987" xr:uid="{00000000-0005-0000-0000-000007A80000}"/>
    <cellStyle name="Normal 6 2 66 2 2 3" xfId="27668" xr:uid="{00000000-0005-0000-0000-000008A80000}"/>
    <cellStyle name="Normal 6 2 66 2 2 4" xfId="50930" xr:uid="{00000000-0005-0000-0000-000009A80000}"/>
    <cellStyle name="Normal 6 2 66 2 3" xfId="18233" xr:uid="{00000000-0005-0000-0000-00000AA80000}"/>
    <cellStyle name="Normal 6 2 66 2 3 2" xfId="32365" xr:uid="{00000000-0005-0000-0000-00000BA80000}"/>
    <cellStyle name="Normal 6 2 66 2 3 3" xfId="46260" xr:uid="{00000000-0005-0000-0000-00000CA80000}"/>
    <cellStyle name="Normal 6 2 66 2 4" xfId="23046" xr:uid="{00000000-0005-0000-0000-00000DA80000}"/>
    <cellStyle name="Normal 6 2 66 2 5" xfId="41678" xr:uid="{00000000-0005-0000-0000-00000EA80000}"/>
    <cellStyle name="Normal 6 2 66 3" xfId="13501" xr:uid="{00000000-0005-0000-0000-00000FA80000}"/>
    <cellStyle name="Normal 6 2 66 3 2" xfId="36986" xr:uid="{00000000-0005-0000-0000-000010A80000}"/>
    <cellStyle name="Normal 6 2 66 3 3" xfId="27667" xr:uid="{00000000-0005-0000-0000-000011A80000}"/>
    <cellStyle name="Normal 6 2 66 3 4" xfId="50929" xr:uid="{00000000-0005-0000-0000-000012A80000}"/>
    <cellStyle name="Normal 6 2 66 4" xfId="18232" xr:uid="{00000000-0005-0000-0000-000013A80000}"/>
    <cellStyle name="Normal 6 2 66 4 2" xfId="32364" xr:uid="{00000000-0005-0000-0000-000014A80000}"/>
    <cellStyle name="Normal 6 2 66 4 3" xfId="46259" xr:uid="{00000000-0005-0000-0000-000015A80000}"/>
    <cellStyle name="Normal 6 2 66 5" xfId="23045" xr:uid="{00000000-0005-0000-0000-000016A80000}"/>
    <cellStyle name="Normal 6 2 66 6" xfId="41677" xr:uid="{00000000-0005-0000-0000-000017A80000}"/>
    <cellStyle name="Normal 6 2 67" xfId="7722" xr:uid="{00000000-0005-0000-0000-000018A80000}"/>
    <cellStyle name="Normal 6 2 67 2" xfId="7723" xr:uid="{00000000-0005-0000-0000-000019A80000}"/>
    <cellStyle name="Normal 6 2 67 2 2" xfId="13504" xr:uid="{00000000-0005-0000-0000-00001AA80000}"/>
    <cellStyle name="Normal 6 2 67 2 2 2" xfId="36989" xr:uid="{00000000-0005-0000-0000-00001BA80000}"/>
    <cellStyle name="Normal 6 2 67 2 2 3" xfId="27670" xr:uid="{00000000-0005-0000-0000-00001CA80000}"/>
    <cellStyle name="Normal 6 2 67 2 2 4" xfId="50932" xr:uid="{00000000-0005-0000-0000-00001DA80000}"/>
    <cellStyle name="Normal 6 2 67 2 3" xfId="18235" xr:uid="{00000000-0005-0000-0000-00001EA80000}"/>
    <cellStyle name="Normal 6 2 67 2 3 2" xfId="32367" xr:uid="{00000000-0005-0000-0000-00001FA80000}"/>
    <cellStyle name="Normal 6 2 67 2 3 3" xfId="46262" xr:uid="{00000000-0005-0000-0000-000020A80000}"/>
    <cellStyle name="Normal 6 2 67 2 4" xfId="23048" xr:uid="{00000000-0005-0000-0000-000021A80000}"/>
    <cellStyle name="Normal 6 2 67 2 5" xfId="41680" xr:uid="{00000000-0005-0000-0000-000022A80000}"/>
    <cellStyle name="Normal 6 2 67 3" xfId="13503" xr:uid="{00000000-0005-0000-0000-000023A80000}"/>
    <cellStyle name="Normal 6 2 67 3 2" xfId="36988" xr:uid="{00000000-0005-0000-0000-000024A80000}"/>
    <cellStyle name="Normal 6 2 67 3 3" xfId="27669" xr:uid="{00000000-0005-0000-0000-000025A80000}"/>
    <cellStyle name="Normal 6 2 67 3 4" xfId="50931" xr:uid="{00000000-0005-0000-0000-000026A80000}"/>
    <cellStyle name="Normal 6 2 67 4" xfId="18234" xr:uid="{00000000-0005-0000-0000-000027A80000}"/>
    <cellStyle name="Normal 6 2 67 4 2" xfId="32366" xr:uid="{00000000-0005-0000-0000-000028A80000}"/>
    <cellStyle name="Normal 6 2 67 4 3" xfId="46261" xr:uid="{00000000-0005-0000-0000-000029A80000}"/>
    <cellStyle name="Normal 6 2 67 5" xfId="23047" xr:uid="{00000000-0005-0000-0000-00002AA80000}"/>
    <cellStyle name="Normal 6 2 67 6" xfId="41679" xr:uid="{00000000-0005-0000-0000-00002BA80000}"/>
    <cellStyle name="Normal 6 2 68" xfId="7724" xr:uid="{00000000-0005-0000-0000-00002CA80000}"/>
    <cellStyle name="Normal 6 2 68 2" xfId="7725" xr:uid="{00000000-0005-0000-0000-00002DA80000}"/>
    <cellStyle name="Normal 6 2 68 2 2" xfId="13506" xr:uid="{00000000-0005-0000-0000-00002EA80000}"/>
    <cellStyle name="Normal 6 2 68 2 2 2" xfId="36991" xr:uid="{00000000-0005-0000-0000-00002FA80000}"/>
    <cellStyle name="Normal 6 2 68 2 2 3" xfId="27672" xr:uid="{00000000-0005-0000-0000-000030A80000}"/>
    <cellStyle name="Normal 6 2 68 2 2 4" xfId="50934" xr:uid="{00000000-0005-0000-0000-000031A80000}"/>
    <cellStyle name="Normal 6 2 68 2 3" xfId="18237" xr:uid="{00000000-0005-0000-0000-000032A80000}"/>
    <cellStyle name="Normal 6 2 68 2 3 2" xfId="32369" xr:uid="{00000000-0005-0000-0000-000033A80000}"/>
    <cellStyle name="Normal 6 2 68 2 3 3" xfId="46264" xr:uid="{00000000-0005-0000-0000-000034A80000}"/>
    <cellStyle name="Normal 6 2 68 2 4" xfId="23050" xr:uid="{00000000-0005-0000-0000-000035A80000}"/>
    <cellStyle name="Normal 6 2 68 2 5" xfId="41682" xr:uid="{00000000-0005-0000-0000-000036A80000}"/>
    <cellStyle name="Normal 6 2 68 3" xfId="13505" xr:uid="{00000000-0005-0000-0000-000037A80000}"/>
    <cellStyle name="Normal 6 2 68 3 2" xfId="36990" xr:uid="{00000000-0005-0000-0000-000038A80000}"/>
    <cellStyle name="Normal 6 2 68 3 3" xfId="27671" xr:uid="{00000000-0005-0000-0000-000039A80000}"/>
    <cellStyle name="Normal 6 2 68 3 4" xfId="50933" xr:uid="{00000000-0005-0000-0000-00003AA80000}"/>
    <cellStyle name="Normal 6 2 68 4" xfId="18236" xr:uid="{00000000-0005-0000-0000-00003BA80000}"/>
    <cellStyle name="Normal 6 2 68 4 2" xfId="32368" xr:uid="{00000000-0005-0000-0000-00003CA80000}"/>
    <cellStyle name="Normal 6 2 68 4 3" xfId="46263" xr:uid="{00000000-0005-0000-0000-00003DA80000}"/>
    <cellStyle name="Normal 6 2 68 5" xfId="23049" xr:uid="{00000000-0005-0000-0000-00003EA80000}"/>
    <cellStyle name="Normal 6 2 68 6" xfId="41681" xr:uid="{00000000-0005-0000-0000-00003FA80000}"/>
    <cellStyle name="Normal 6 2 69" xfId="7726" xr:uid="{00000000-0005-0000-0000-000040A80000}"/>
    <cellStyle name="Normal 6 2 69 2" xfId="7727" xr:uid="{00000000-0005-0000-0000-000041A80000}"/>
    <cellStyle name="Normal 6 2 69 2 2" xfId="13508" xr:uid="{00000000-0005-0000-0000-000042A80000}"/>
    <cellStyle name="Normal 6 2 69 2 2 2" xfId="36993" xr:uid="{00000000-0005-0000-0000-000043A80000}"/>
    <cellStyle name="Normal 6 2 69 2 2 3" xfId="27674" xr:uid="{00000000-0005-0000-0000-000044A80000}"/>
    <cellStyle name="Normal 6 2 69 2 2 4" xfId="50936" xr:uid="{00000000-0005-0000-0000-000045A80000}"/>
    <cellStyle name="Normal 6 2 69 2 3" xfId="18239" xr:uid="{00000000-0005-0000-0000-000046A80000}"/>
    <cellStyle name="Normal 6 2 69 2 3 2" xfId="32371" xr:uid="{00000000-0005-0000-0000-000047A80000}"/>
    <cellStyle name="Normal 6 2 69 2 3 3" xfId="46266" xr:uid="{00000000-0005-0000-0000-000048A80000}"/>
    <cellStyle name="Normal 6 2 69 2 4" xfId="23052" xr:uid="{00000000-0005-0000-0000-000049A80000}"/>
    <cellStyle name="Normal 6 2 69 2 5" xfId="41684" xr:uid="{00000000-0005-0000-0000-00004AA80000}"/>
    <cellStyle name="Normal 6 2 69 3" xfId="13507" xr:uid="{00000000-0005-0000-0000-00004BA80000}"/>
    <cellStyle name="Normal 6 2 69 3 2" xfId="36992" xr:uid="{00000000-0005-0000-0000-00004CA80000}"/>
    <cellStyle name="Normal 6 2 69 3 3" xfId="27673" xr:uid="{00000000-0005-0000-0000-00004DA80000}"/>
    <cellStyle name="Normal 6 2 69 3 4" xfId="50935" xr:uid="{00000000-0005-0000-0000-00004EA80000}"/>
    <cellStyle name="Normal 6 2 69 4" xfId="18238" xr:uid="{00000000-0005-0000-0000-00004FA80000}"/>
    <cellStyle name="Normal 6 2 69 4 2" xfId="32370" xr:uid="{00000000-0005-0000-0000-000050A80000}"/>
    <cellStyle name="Normal 6 2 69 4 3" xfId="46265" xr:uid="{00000000-0005-0000-0000-000051A80000}"/>
    <cellStyle name="Normal 6 2 69 5" xfId="23051" xr:uid="{00000000-0005-0000-0000-000052A80000}"/>
    <cellStyle name="Normal 6 2 69 6" xfId="41683" xr:uid="{00000000-0005-0000-0000-000053A80000}"/>
    <cellStyle name="Normal 6 2 7" xfId="7728" xr:uid="{00000000-0005-0000-0000-000054A80000}"/>
    <cellStyle name="Normal 6 2 7 10" xfId="23053" xr:uid="{00000000-0005-0000-0000-000055A80000}"/>
    <cellStyle name="Normal 6 2 7 11" xfId="41685" xr:uid="{00000000-0005-0000-0000-000056A80000}"/>
    <cellStyle name="Normal 6 2 7 2" xfId="7729" xr:uid="{00000000-0005-0000-0000-000057A80000}"/>
    <cellStyle name="Normal 6 2 7 2 2" xfId="7730" xr:uid="{00000000-0005-0000-0000-000058A80000}"/>
    <cellStyle name="Normal 6 2 7 2 2 2" xfId="13511" xr:uid="{00000000-0005-0000-0000-000059A80000}"/>
    <cellStyle name="Normal 6 2 7 2 2 2 2" xfId="36996" xr:uid="{00000000-0005-0000-0000-00005AA80000}"/>
    <cellStyle name="Normal 6 2 7 2 2 2 3" xfId="27677" xr:uid="{00000000-0005-0000-0000-00005BA80000}"/>
    <cellStyle name="Normal 6 2 7 2 2 2 4" xfId="50939" xr:uid="{00000000-0005-0000-0000-00005CA80000}"/>
    <cellStyle name="Normal 6 2 7 2 2 3" xfId="18242" xr:uid="{00000000-0005-0000-0000-00005DA80000}"/>
    <cellStyle name="Normal 6 2 7 2 2 3 2" xfId="32374" xr:uid="{00000000-0005-0000-0000-00005EA80000}"/>
    <cellStyle name="Normal 6 2 7 2 2 3 3" xfId="46269" xr:uid="{00000000-0005-0000-0000-00005FA80000}"/>
    <cellStyle name="Normal 6 2 7 2 2 4" xfId="23055" xr:uid="{00000000-0005-0000-0000-000060A80000}"/>
    <cellStyle name="Normal 6 2 7 2 2 5" xfId="41687" xr:uid="{00000000-0005-0000-0000-000061A80000}"/>
    <cellStyle name="Normal 6 2 7 2 3" xfId="13510" xr:uid="{00000000-0005-0000-0000-000062A80000}"/>
    <cellStyle name="Normal 6 2 7 2 3 2" xfId="36995" xr:uid="{00000000-0005-0000-0000-000063A80000}"/>
    <cellStyle name="Normal 6 2 7 2 3 3" xfId="27676" xr:uid="{00000000-0005-0000-0000-000064A80000}"/>
    <cellStyle name="Normal 6 2 7 2 3 4" xfId="50938" xr:uid="{00000000-0005-0000-0000-000065A80000}"/>
    <cellStyle name="Normal 6 2 7 2 4" xfId="18241" xr:uid="{00000000-0005-0000-0000-000066A80000}"/>
    <cellStyle name="Normal 6 2 7 2 4 2" xfId="32373" xr:uid="{00000000-0005-0000-0000-000067A80000}"/>
    <cellStyle name="Normal 6 2 7 2 4 3" xfId="46268" xr:uid="{00000000-0005-0000-0000-000068A80000}"/>
    <cellStyle name="Normal 6 2 7 2 5" xfId="23054" xr:uid="{00000000-0005-0000-0000-000069A80000}"/>
    <cellStyle name="Normal 6 2 7 2 6" xfId="41686" xr:uid="{00000000-0005-0000-0000-00006AA80000}"/>
    <cellStyle name="Normal 6 2 7 3" xfId="7731" xr:uid="{00000000-0005-0000-0000-00006BA80000}"/>
    <cellStyle name="Normal 6 2 7 3 2" xfId="7732" xr:uid="{00000000-0005-0000-0000-00006CA80000}"/>
    <cellStyle name="Normal 6 2 7 3 2 2" xfId="13513" xr:uid="{00000000-0005-0000-0000-00006DA80000}"/>
    <cellStyle name="Normal 6 2 7 3 2 2 2" xfId="36998" xr:uid="{00000000-0005-0000-0000-00006EA80000}"/>
    <cellStyle name="Normal 6 2 7 3 2 2 3" xfId="27679" xr:uid="{00000000-0005-0000-0000-00006FA80000}"/>
    <cellStyle name="Normal 6 2 7 3 2 2 4" xfId="50941" xr:uid="{00000000-0005-0000-0000-000070A80000}"/>
    <cellStyle name="Normal 6 2 7 3 2 3" xfId="18244" xr:uid="{00000000-0005-0000-0000-000071A80000}"/>
    <cellStyle name="Normal 6 2 7 3 2 3 2" xfId="32376" xr:uid="{00000000-0005-0000-0000-000072A80000}"/>
    <cellStyle name="Normal 6 2 7 3 2 3 3" xfId="46271" xr:uid="{00000000-0005-0000-0000-000073A80000}"/>
    <cellStyle name="Normal 6 2 7 3 2 4" xfId="23057" xr:uid="{00000000-0005-0000-0000-000074A80000}"/>
    <cellStyle name="Normal 6 2 7 3 2 5" xfId="41689" xr:uid="{00000000-0005-0000-0000-000075A80000}"/>
    <cellStyle name="Normal 6 2 7 3 3" xfId="13512" xr:uid="{00000000-0005-0000-0000-000076A80000}"/>
    <cellStyle name="Normal 6 2 7 3 3 2" xfId="36997" xr:uid="{00000000-0005-0000-0000-000077A80000}"/>
    <cellStyle name="Normal 6 2 7 3 3 3" xfId="27678" xr:uid="{00000000-0005-0000-0000-000078A80000}"/>
    <cellStyle name="Normal 6 2 7 3 3 4" xfId="50940" xr:uid="{00000000-0005-0000-0000-000079A80000}"/>
    <cellStyle name="Normal 6 2 7 3 4" xfId="18243" xr:uid="{00000000-0005-0000-0000-00007AA80000}"/>
    <cellStyle name="Normal 6 2 7 3 4 2" xfId="32375" xr:uid="{00000000-0005-0000-0000-00007BA80000}"/>
    <cellStyle name="Normal 6 2 7 3 4 3" xfId="46270" xr:uid="{00000000-0005-0000-0000-00007CA80000}"/>
    <cellStyle name="Normal 6 2 7 3 5" xfId="23056" xr:uid="{00000000-0005-0000-0000-00007DA80000}"/>
    <cellStyle name="Normal 6 2 7 3 6" xfId="41688" xr:uid="{00000000-0005-0000-0000-00007EA80000}"/>
    <cellStyle name="Normal 6 2 7 4" xfId="7733" xr:uid="{00000000-0005-0000-0000-00007FA80000}"/>
    <cellStyle name="Normal 6 2 7 4 2" xfId="7734" xr:uid="{00000000-0005-0000-0000-000080A80000}"/>
    <cellStyle name="Normal 6 2 7 4 2 2" xfId="13515" xr:uid="{00000000-0005-0000-0000-000081A80000}"/>
    <cellStyle name="Normal 6 2 7 4 2 2 2" xfId="37000" xr:uid="{00000000-0005-0000-0000-000082A80000}"/>
    <cellStyle name="Normal 6 2 7 4 2 2 3" xfId="27681" xr:uid="{00000000-0005-0000-0000-000083A80000}"/>
    <cellStyle name="Normal 6 2 7 4 2 2 4" xfId="50943" xr:uid="{00000000-0005-0000-0000-000084A80000}"/>
    <cellStyle name="Normal 6 2 7 4 2 3" xfId="18246" xr:uid="{00000000-0005-0000-0000-000085A80000}"/>
    <cellStyle name="Normal 6 2 7 4 2 3 2" xfId="32378" xr:uid="{00000000-0005-0000-0000-000086A80000}"/>
    <cellStyle name="Normal 6 2 7 4 2 3 3" xfId="46273" xr:uid="{00000000-0005-0000-0000-000087A80000}"/>
    <cellStyle name="Normal 6 2 7 4 2 4" xfId="23059" xr:uid="{00000000-0005-0000-0000-000088A80000}"/>
    <cellStyle name="Normal 6 2 7 4 2 5" xfId="41691" xr:uid="{00000000-0005-0000-0000-000089A80000}"/>
    <cellStyle name="Normal 6 2 7 4 3" xfId="13514" xr:uid="{00000000-0005-0000-0000-00008AA80000}"/>
    <cellStyle name="Normal 6 2 7 4 3 2" xfId="36999" xr:uid="{00000000-0005-0000-0000-00008BA80000}"/>
    <cellStyle name="Normal 6 2 7 4 3 3" xfId="27680" xr:uid="{00000000-0005-0000-0000-00008CA80000}"/>
    <cellStyle name="Normal 6 2 7 4 3 4" xfId="50942" xr:uid="{00000000-0005-0000-0000-00008DA80000}"/>
    <cellStyle name="Normal 6 2 7 4 4" xfId="18245" xr:uid="{00000000-0005-0000-0000-00008EA80000}"/>
    <cellStyle name="Normal 6 2 7 4 4 2" xfId="32377" xr:uid="{00000000-0005-0000-0000-00008FA80000}"/>
    <cellStyle name="Normal 6 2 7 4 4 3" xfId="46272" xr:uid="{00000000-0005-0000-0000-000090A80000}"/>
    <cellStyle name="Normal 6 2 7 4 5" xfId="23058" xr:uid="{00000000-0005-0000-0000-000091A80000}"/>
    <cellStyle name="Normal 6 2 7 4 6" xfId="41690" xr:uid="{00000000-0005-0000-0000-000092A80000}"/>
    <cellStyle name="Normal 6 2 7 5" xfId="7735" xr:uid="{00000000-0005-0000-0000-000093A80000}"/>
    <cellStyle name="Normal 6 2 7 5 2" xfId="7736" xr:uid="{00000000-0005-0000-0000-000094A80000}"/>
    <cellStyle name="Normal 6 2 7 5 2 2" xfId="13517" xr:uid="{00000000-0005-0000-0000-000095A80000}"/>
    <cellStyle name="Normal 6 2 7 5 2 2 2" xfId="37002" xr:uid="{00000000-0005-0000-0000-000096A80000}"/>
    <cellStyle name="Normal 6 2 7 5 2 2 3" xfId="27683" xr:uid="{00000000-0005-0000-0000-000097A80000}"/>
    <cellStyle name="Normal 6 2 7 5 2 2 4" xfId="50945" xr:uid="{00000000-0005-0000-0000-000098A80000}"/>
    <cellStyle name="Normal 6 2 7 5 2 3" xfId="18248" xr:uid="{00000000-0005-0000-0000-000099A80000}"/>
    <cellStyle name="Normal 6 2 7 5 2 3 2" xfId="32380" xr:uid="{00000000-0005-0000-0000-00009AA80000}"/>
    <cellStyle name="Normal 6 2 7 5 2 3 3" xfId="46275" xr:uid="{00000000-0005-0000-0000-00009BA80000}"/>
    <cellStyle name="Normal 6 2 7 5 2 4" xfId="23061" xr:uid="{00000000-0005-0000-0000-00009CA80000}"/>
    <cellStyle name="Normal 6 2 7 5 2 5" xfId="41693" xr:uid="{00000000-0005-0000-0000-00009DA80000}"/>
    <cellStyle name="Normal 6 2 7 5 3" xfId="13516" xr:uid="{00000000-0005-0000-0000-00009EA80000}"/>
    <cellStyle name="Normal 6 2 7 5 3 2" xfId="37001" xr:uid="{00000000-0005-0000-0000-00009FA80000}"/>
    <cellStyle name="Normal 6 2 7 5 3 3" xfId="27682" xr:uid="{00000000-0005-0000-0000-0000A0A80000}"/>
    <cellStyle name="Normal 6 2 7 5 3 4" xfId="50944" xr:uid="{00000000-0005-0000-0000-0000A1A80000}"/>
    <cellStyle name="Normal 6 2 7 5 4" xfId="18247" xr:uid="{00000000-0005-0000-0000-0000A2A80000}"/>
    <cellStyle name="Normal 6 2 7 5 4 2" xfId="32379" xr:uid="{00000000-0005-0000-0000-0000A3A80000}"/>
    <cellStyle name="Normal 6 2 7 5 4 3" xfId="46274" xr:uid="{00000000-0005-0000-0000-0000A4A80000}"/>
    <cellStyle name="Normal 6 2 7 5 5" xfId="23060" xr:uid="{00000000-0005-0000-0000-0000A5A80000}"/>
    <cellStyle name="Normal 6 2 7 5 6" xfId="41692" xr:uid="{00000000-0005-0000-0000-0000A6A80000}"/>
    <cellStyle name="Normal 6 2 7 6" xfId="7737" xr:uid="{00000000-0005-0000-0000-0000A7A80000}"/>
    <cellStyle name="Normal 6 2 7 6 2" xfId="7738" xr:uid="{00000000-0005-0000-0000-0000A8A80000}"/>
    <cellStyle name="Normal 6 2 7 6 2 2" xfId="13519" xr:uid="{00000000-0005-0000-0000-0000A9A80000}"/>
    <cellStyle name="Normal 6 2 7 6 2 2 2" xfId="37004" xr:uid="{00000000-0005-0000-0000-0000AAA80000}"/>
    <cellStyle name="Normal 6 2 7 6 2 2 3" xfId="27685" xr:uid="{00000000-0005-0000-0000-0000ABA80000}"/>
    <cellStyle name="Normal 6 2 7 6 2 2 4" xfId="50947" xr:uid="{00000000-0005-0000-0000-0000ACA80000}"/>
    <cellStyle name="Normal 6 2 7 6 2 3" xfId="18250" xr:uid="{00000000-0005-0000-0000-0000ADA80000}"/>
    <cellStyle name="Normal 6 2 7 6 2 3 2" xfId="32382" xr:uid="{00000000-0005-0000-0000-0000AEA80000}"/>
    <cellStyle name="Normal 6 2 7 6 2 3 3" xfId="46277" xr:uid="{00000000-0005-0000-0000-0000AFA80000}"/>
    <cellStyle name="Normal 6 2 7 6 2 4" xfId="23063" xr:uid="{00000000-0005-0000-0000-0000B0A80000}"/>
    <cellStyle name="Normal 6 2 7 6 2 5" xfId="41695" xr:uid="{00000000-0005-0000-0000-0000B1A80000}"/>
    <cellStyle name="Normal 6 2 7 6 3" xfId="13518" xr:uid="{00000000-0005-0000-0000-0000B2A80000}"/>
    <cellStyle name="Normal 6 2 7 6 3 2" xfId="37003" xr:uid="{00000000-0005-0000-0000-0000B3A80000}"/>
    <cellStyle name="Normal 6 2 7 6 3 3" xfId="27684" xr:uid="{00000000-0005-0000-0000-0000B4A80000}"/>
    <cellStyle name="Normal 6 2 7 6 3 4" xfId="50946" xr:uid="{00000000-0005-0000-0000-0000B5A80000}"/>
    <cellStyle name="Normal 6 2 7 6 4" xfId="18249" xr:uid="{00000000-0005-0000-0000-0000B6A80000}"/>
    <cellStyle name="Normal 6 2 7 6 4 2" xfId="32381" xr:uid="{00000000-0005-0000-0000-0000B7A80000}"/>
    <cellStyle name="Normal 6 2 7 6 4 3" xfId="46276" xr:uid="{00000000-0005-0000-0000-0000B8A80000}"/>
    <cellStyle name="Normal 6 2 7 6 5" xfId="23062" xr:uid="{00000000-0005-0000-0000-0000B9A80000}"/>
    <cellStyle name="Normal 6 2 7 6 6" xfId="41694" xr:uid="{00000000-0005-0000-0000-0000BAA80000}"/>
    <cellStyle name="Normal 6 2 7 7" xfId="7739" xr:uid="{00000000-0005-0000-0000-0000BBA80000}"/>
    <cellStyle name="Normal 6 2 7 7 2" xfId="13520" xr:uid="{00000000-0005-0000-0000-0000BCA80000}"/>
    <cellStyle name="Normal 6 2 7 7 2 2" xfId="37005" xr:uid="{00000000-0005-0000-0000-0000BDA80000}"/>
    <cellStyle name="Normal 6 2 7 7 2 3" xfId="27686" xr:uid="{00000000-0005-0000-0000-0000BEA80000}"/>
    <cellStyle name="Normal 6 2 7 7 2 4" xfId="50948" xr:uid="{00000000-0005-0000-0000-0000BFA80000}"/>
    <cellStyle name="Normal 6 2 7 7 3" xfId="18251" xr:uid="{00000000-0005-0000-0000-0000C0A80000}"/>
    <cellStyle name="Normal 6 2 7 7 3 2" xfId="32383" xr:uid="{00000000-0005-0000-0000-0000C1A80000}"/>
    <cellStyle name="Normal 6 2 7 7 3 3" xfId="46278" xr:uid="{00000000-0005-0000-0000-0000C2A80000}"/>
    <cellStyle name="Normal 6 2 7 7 4" xfId="23064" xr:uid="{00000000-0005-0000-0000-0000C3A80000}"/>
    <cellStyle name="Normal 6 2 7 7 5" xfId="41696" xr:uid="{00000000-0005-0000-0000-0000C4A80000}"/>
    <cellStyle name="Normal 6 2 7 8" xfId="13509" xr:uid="{00000000-0005-0000-0000-0000C5A80000}"/>
    <cellStyle name="Normal 6 2 7 8 2" xfId="36994" xr:uid="{00000000-0005-0000-0000-0000C6A80000}"/>
    <cellStyle name="Normal 6 2 7 8 3" xfId="27675" xr:uid="{00000000-0005-0000-0000-0000C7A80000}"/>
    <cellStyle name="Normal 6 2 7 8 4" xfId="50937" xr:uid="{00000000-0005-0000-0000-0000C8A80000}"/>
    <cellStyle name="Normal 6 2 7 9" xfId="18240" xr:uid="{00000000-0005-0000-0000-0000C9A80000}"/>
    <cellStyle name="Normal 6 2 7 9 2" xfId="32372" xr:uid="{00000000-0005-0000-0000-0000CAA80000}"/>
    <cellStyle name="Normal 6 2 7 9 3" xfId="46267" xr:uid="{00000000-0005-0000-0000-0000CBA80000}"/>
    <cellStyle name="Normal 6 2 70" xfId="7740" xr:uid="{00000000-0005-0000-0000-0000CCA80000}"/>
    <cellStyle name="Normal 6 2 70 2" xfId="7741" xr:uid="{00000000-0005-0000-0000-0000CDA80000}"/>
    <cellStyle name="Normal 6 2 70 2 2" xfId="13522" xr:uid="{00000000-0005-0000-0000-0000CEA80000}"/>
    <cellStyle name="Normal 6 2 70 2 2 2" xfId="37007" xr:uid="{00000000-0005-0000-0000-0000CFA80000}"/>
    <cellStyle name="Normal 6 2 70 2 2 3" xfId="27688" xr:uid="{00000000-0005-0000-0000-0000D0A80000}"/>
    <cellStyle name="Normal 6 2 70 2 2 4" xfId="50950" xr:uid="{00000000-0005-0000-0000-0000D1A80000}"/>
    <cellStyle name="Normal 6 2 70 2 3" xfId="18253" xr:uid="{00000000-0005-0000-0000-0000D2A80000}"/>
    <cellStyle name="Normal 6 2 70 2 3 2" xfId="32385" xr:uid="{00000000-0005-0000-0000-0000D3A80000}"/>
    <cellStyle name="Normal 6 2 70 2 3 3" xfId="46280" xr:uid="{00000000-0005-0000-0000-0000D4A80000}"/>
    <cellStyle name="Normal 6 2 70 2 4" xfId="23066" xr:uid="{00000000-0005-0000-0000-0000D5A80000}"/>
    <cellStyle name="Normal 6 2 70 2 5" xfId="41698" xr:uid="{00000000-0005-0000-0000-0000D6A80000}"/>
    <cellStyle name="Normal 6 2 70 3" xfId="13521" xr:uid="{00000000-0005-0000-0000-0000D7A80000}"/>
    <cellStyle name="Normal 6 2 70 3 2" xfId="37006" xr:uid="{00000000-0005-0000-0000-0000D8A80000}"/>
    <cellStyle name="Normal 6 2 70 3 3" xfId="27687" xr:uid="{00000000-0005-0000-0000-0000D9A80000}"/>
    <cellStyle name="Normal 6 2 70 3 4" xfId="50949" xr:uid="{00000000-0005-0000-0000-0000DAA80000}"/>
    <cellStyle name="Normal 6 2 70 4" xfId="18252" xr:uid="{00000000-0005-0000-0000-0000DBA80000}"/>
    <cellStyle name="Normal 6 2 70 4 2" xfId="32384" xr:uid="{00000000-0005-0000-0000-0000DCA80000}"/>
    <cellStyle name="Normal 6 2 70 4 3" xfId="46279" xr:uid="{00000000-0005-0000-0000-0000DDA80000}"/>
    <cellStyle name="Normal 6 2 70 5" xfId="23065" xr:uid="{00000000-0005-0000-0000-0000DEA80000}"/>
    <cellStyle name="Normal 6 2 70 6" xfId="41697" xr:uid="{00000000-0005-0000-0000-0000DFA80000}"/>
    <cellStyle name="Normal 6 2 71" xfId="7742" xr:uid="{00000000-0005-0000-0000-0000E0A80000}"/>
    <cellStyle name="Normal 6 2 71 2" xfId="7743" xr:uid="{00000000-0005-0000-0000-0000E1A80000}"/>
    <cellStyle name="Normal 6 2 71 2 2" xfId="13524" xr:uid="{00000000-0005-0000-0000-0000E2A80000}"/>
    <cellStyle name="Normal 6 2 71 2 2 2" xfId="37009" xr:uid="{00000000-0005-0000-0000-0000E3A80000}"/>
    <cellStyle name="Normal 6 2 71 2 2 3" xfId="27690" xr:uid="{00000000-0005-0000-0000-0000E4A80000}"/>
    <cellStyle name="Normal 6 2 71 2 2 4" xfId="50952" xr:uid="{00000000-0005-0000-0000-0000E5A80000}"/>
    <cellStyle name="Normal 6 2 71 2 3" xfId="18255" xr:uid="{00000000-0005-0000-0000-0000E6A80000}"/>
    <cellStyle name="Normal 6 2 71 2 3 2" xfId="32387" xr:uid="{00000000-0005-0000-0000-0000E7A80000}"/>
    <cellStyle name="Normal 6 2 71 2 3 3" xfId="46282" xr:uid="{00000000-0005-0000-0000-0000E8A80000}"/>
    <cellStyle name="Normal 6 2 71 2 4" xfId="23068" xr:uid="{00000000-0005-0000-0000-0000E9A80000}"/>
    <cellStyle name="Normal 6 2 71 2 5" xfId="41700" xr:uid="{00000000-0005-0000-0000-0000EAA80000}"/>
    <cellStyle name="Normal 6 2 71 3" xfId="13523" xr:uid="{00000000-0005-0000-0000-0000EBA80000}"/>
    <cellStyle name="Normal 6 2 71 3 2" xfId="37008" xr:uid="{00000000-0005-0000-0000-0000ECA80000}"/>
    <cellStyle name="Normal 6 2 71 3 3" xfId="27689" xr:uid="{00000000-0005-0000-0000-0000EDA80000}"/>
    <cellStyle name="Normal 6 2 71 3 4" xfId="50951" xr:uid="{00000000-0005-0000-0000-0000EEA80000}"/>
    <cellStyle name="Normal 6 2 71 4" xfId="18254" xr:uid="{00000000-0005-0000-0000-0000EFA80000}"/>
    <cellStyle name="Normal 6 2 71 4 2" xfId="32386" xr:uid="{00000000-0005-0000-0000-0000F0A80000}"/>
    <cellStyle name="Normal 6 2 71 4 3" xfId="46281" xr:uid="{00000000-0005-0000-0000-0000F1A80000}"/>
    <cellStyle name="Normal 6 2 71 5" xfId="23067" xr:uid="{00000000-0005-0000-0000-0000F2A80000}"/>
    <cellStyle name="Normal 6 2 71 6" xfId="41699" xr:uid="{00000000-0005-0000-0000-0000F3A80000}"/>
    <cellStyle name="Normal 6 2 72" xfId="7744" xr:uid="{00000000-0005-0000-0000-0000F4A80000}"/>
    <cellStyle name="Normal 6 2 72 2" xfId="7745" xr:uid="{00000000-0005-0000-0000-0000F5A80000}"/>
    <cellStyle name="Normal 6 2 72 2 2" xfId="13526" xr:uid="{00000000-0005-0000-0000-0000F6A80000}"/>
    <cellStyle name="Normal 6 2 72 2 2 2" xfId="37011" xr:uid="{00000000-0005-0000-0000-0000F7A80000}"/>
    <cellStyle name="Normal 6 2 72 2 2 3" xfId="27692" xr:uid="{00000000-0005-0000-0000-0000F8A80000}"/>
    <cellStyle name="Normal 6 2 72 2 2 4" xfId="50954" xr:uid="{00000000-0005-0000-0000-0000F9A80000}"/>
    <cellStyle name="Normal 6 2 72 2 3" xfId="18257" xr:uid="{00000000-0005-0000-0000-0000FAA80000}"/>
    <cellStyle name="Normal 6 2 72 2 3 2" xfId="32389" xr:uid="{00000000-0005-0000-0000-0000FBA80000}"/>
    <cellStyle name="Normal 6 2 72 2 3 3" xfId="46284" xr:uid="{00000000-0005-0000-0000-0000FCA80000}"/>
    <cellStyle name="Normal 6 2 72 2 4" xfId="23070" xr:uid="{00000000-0005-0000-0000-0000FDA80000}"/>
    <cellStyle name="Normal 6 2 72 2 5" xfId="41702" xr:uid="{00000000-0005-0000-0000-0000FEA80000}"/>
    <cellStyle name="Normal 6 2 72 3" xfId="13525" xr:uid="{00000000-0005-0000-0000-0000FFA80000}"/>
    <cellStyle name="Normal 6 2 72 3 2" xfId="37010" xr:uid="{00000000-0005-0000-0000-000000A90000}"/>
    <cellStyle name="Normal 6 2 72 3 3" xfId="27691" xr:uid="{00000000-0005-0000-0000-000001A90000}"/>
    <cellStyle name="Normal 6 2 72 3 4" xfId="50953" xr:uid="{00000000-0005-0000-0000-000002A90000}"/>
    <cellStyle name="Normal 6 2 72 4" xfId="18256" xr:uid="{00000000-0005-0000-0000-000003A90000}"/>
    <cellStyle name="Normal 6 2 72 4 2" xfId="32388" xr:uid="{00000000-0005-0000-0000-000004A90000}"/>
    <cellStyle name="Normal 6 2 72 4 3" xfId="46283" xr:uid="{00000000-0005-0000-0000-000005A90000}"/>
    <cellStyle name="Normal 6 2 72 5" xfId="23069" xr:uid="{00000000-0005-0000-0000-000006A90000}"/>
    <cellStyle name="Normal 6 2 72 6" xfId="41701" xr:uid="{00000000-0005-0000-0000-000007A90000}"/>
    <cellStyle name="Normal 6 2 73" xfId="7746" xr:uid="{00000000-0005-0000-0000-000008A90000}"/>
    <cellStyle name="Normal 6 2 73 2" xfId="7747" xr:uid="{00000000-0005-0000-0000-000009A90000}"/>
    <cellStyle name="Normal 6 2 73 2 2" xfId="13528" xr:uid="{00000000-0005-0000-0000-00000AA90000}"/>
    <cellStyle name="Normal 6 2 73 2 2 2" xfId="37013" xr:uid="{00000000-0005-0000-0000-00000BA90000}"/>
    <cellStyle name="Normal 6 2 73 2 2 3" xfId="27694" xr:uid="{00000000-0005-0000-0000-00000CA90000}"/>
    <cellStyle name="Normal 6 2 73 2 2 4" xfId="50956" xr:uid="{00000000-0005-0000-0000-00000DA90000}"/>
    <cellStyle name="Normal 6 2 73 2 3" xfId="18259" xr:uid="{00000000-0005-0000-0000-00000EA90000}"/>
    <cellStyle name="Normal 6 2 73 2 3 2" xfId="32391" xr:uid="{00000000-0005-0000-0000-00000FA90000}"/>
    <cellStyle name="Normal 6 2 73 2 3 3" xfId="46286" xr:uid="{00000000-0005-0000-0000-000010A90000}"/>
    <cellStyle name="Normal 6 2 73 2 4" xfId="23072" xr:uid="{00000000-0005-0000-0000-000011A90000}"/>
    <cellStyle name="Normal 6 2 73 2 5" xfId="41704" xr:uid="{00000000-0005-0000-0000-000012A90000}"/>
    <cellStyle name="Normal 6 2 73 3" xfId="13527" xr:uid="{00000000-0005-0000-0000-000013A90000}"/>
    <cellStyle name="Normal 6 2 73 3 2" xfId="37012" xr:uid="{00000000-0005-0000-0000-000014A90000}"/>
    <cellStyle name="Normal 6 2 73 3 3" xfId="27693" xr:uid="{00000000-0005-0000-0000-000015A90000}"/>
    <cellStyle name="Normal 6 2 73 3 4" xfId="50955" xr:uid="{00000000-0005-0000-0000-000016A90000}"/>
    <cellStyle name="Normal 6 2 73 4" xfId="18258" xr:uid="{00000000-0005-0000-0000-000017A90000}"/>
    <cellStyle name="Normal 6 2 73 4 2" xfId="32390" xr:uid="{00000000-0005-0000-0000-000018A90000}"/>
    <cellStyle name="Normal 6 2 73 4 3" xfId="46285" xr:uid="{00000000-0005-0000-0000-000019A90000}"/>
    <cellStyle name="Normal 6 2 73 5" xfId="23071" xr:uid="{00000000-0005-0000-0000-00001AA90000}"/>
    <cellStyle name="Normal 6 2 73 6" xfId="41703" xr:uid="{00000000-0005-0000-0000-00001BA90000}"/>
    <cellStyle name="Normal 6 2 74" xfId="7748" xr:uid="{00000000-0005-0000-0000-00001CA90000}"/>
    <cellStyle name="Normal 6 2 74 2" xfId="7749" xr:uid="{00000000-0005-0000-0000-00001DA90000}"/>
    <cellStyle name="Normal 6 2 74 2 2" xfId="13530" xr:uid="{00000000-0005-0000-0000-00001EA90000}"/>
    <cellStyle name="Normal 6 2 74 2 2 2" xfId="37015" xr:uid="{00000000-0005-0000-0000-00001FA90000}"/>
    <cellStyle name="Normal 6 2 74 2 2 3" xfId="27696" xr:uid="{00000000-0005-0000-0000-000020A90000}"/>
    <cellStyle name="Normal 6 2 74 2 2 4" xfId="50958" xr:uid="{00000000-0005-0000-0000-000021A90000}"/>
    <cellStyle name="Normal 6 2 74 2 3" xfId="18261" xr:uid="{00000000-0005-0000-0000-000022A90000}"/>
    <cellStyle name="Normal 6 2 74 2 3 2" xfId="32393" xr:uid="{00000000-0005-0000-0000-000023A90000}"/>
    <cellStyle name="Normal 6 2 74 2 3 3" xfId="46288" xr:uid="{00000000-0005-0000-0000-000024A90000}"/>
    <cellStyle name="Normal 6 2 74 2 4" xfId="23074" xr:uid="{00000000-0005-0000-0000-000025A90000}"/>
    <cellStyle name="Normal 6 2 74 2 5" xfId="41706" xr:uid="{00000000-0005-0000-0000-000026A90000}"/>
    <cellStyle name="Normal 6 2 74 3" xfId="13529" xr:uid="{00000000-0005-0000-0000-000027A90000}"/>
    <cellStyle name="Normal 6 2 74 3 2" xfId="37014" xr:uid="{00000000-0005-0000-0000-000028A90000}"/>
    <cellStyle name="Normal 6 2 74 3 3" xfId="27695" xr:uid="{00000000-0005-0000-0000-000029A90000}"/>
    <cellStyle name="Normal 6 2 74 3 4" xfId="50957" xr:uid="{00000000-0005-0000-0000-00002AA90000}"/>
    <cellStyle name="Normal 6 2 74 4" xfId="18260" xr:uid="{00000000-0005-0000-0000-00002BA90000}"/>
    <cellStyle name="Normal 6 2 74 4 2" xfId="32392" xr:uid="{00000000-0005-0000-0000-00002CA90000}"/>
    <cellStyle name="Normal 6 2 74 4 3" xfId="46287" xr:uid="{00000000-0005-0000-0000-00002DA90000}"/>
    <cellStyle name="Normal 6 2 74 5" xfId="23073" xr:uid="{00000000-0005-0000-0000-00002EA90000}"/>
    <cellStyle name="Normal 6 2 74 6" xfId="41705" xr:uid="{00000000-0005-0000-0000-00002FA90000}"/>
    <cellStyle name="Normal 6 2 75" xfId="7750" xr:uid="{00000000-0005-0000-0000-000030A90000}"/>
    <cellStyle name="Normal 6 2 75 2" xfId="7751" xr:uid="{00000000-0005-0000-0000-000031A90000}"/>
    <cellStyle name="Normal 6 2 75 2 2" xfId="13532" xr:uid="{00000000-0005-0000-0000-000032A90000}"/>
    <cellStyle name="Normal 6 2 75 2 2 2" xfId="37017" xr:uid="{00000000-0005-0000-0000-000033A90000}"/>
    <cellStyle name="Normal 6 2 75 2 2 3" xfId="27698" xr:uid="{00000000-0005-0000-0000-000034A90000}"/>
    <cellStyle name="Normal 6 2 75 2 2 4" xfId="50960" xr:uid="{00000000-0005-0000-0000-000035A90000}"/>
    <cellStyle name="Normal 6 2 75 2 3" xfId="18263" xr:uid="{00000000-0005-0000-0000-000036A90000}"/>
    <cellStyle name="Normal 6 2 75 2 3 2" xfId="32395" xr:uid="{00000000-0005-0000-0000-000037A90000}"/>
    <cellStyle name="Normal 6 2 75 2 3 3" xfId="46290" xr:uid="{00000000-0005-0000-0000-000038A90000}"/>
    <cellStyle name="Normal 6 2 75 2 4" xfId="23076" xr:uid="{00000000-0005-0000-0000-000039A90000}"/>
    <cellStyle name="Normal 6 2 75 2 5" xfId="41708" xr:uid="{00000000-0005-0000-0000-00003AA90000}"/>
    <cellStyle name="Normal 6 2 75 3" xfId="13531" xr:uid="{00000000-0005-0000-0000-00003BA90000}"/>
    <cellStyle name="Normal 6 2 75 3 2" xfId="37016" xr:uid="{00000000-0005-0000-0000-00003CA90000}"/>
    <cellStyle name="Normal 6 2 75 3 3" xfId="27697" xr:uid="{00000000-0005-0000-0000-00003DA90000}"/>
    <cellStyle name="Normal 6 2 75 3 4" xfId="50959" xr:uid="{00000000-0005-0000-0000-00003EA90000}"/>
    <cellStyle name="Normal 6 2 75 4" xfId="18262" xr:uid="{00000000-0005-0000-0000-00003FA90000}"/>
    <cellStyle name="Normal 6 2 75 4 2" xfId="32394" xr:uid="{00000000-0005-0000-0000-000040A90000}"/>
    <cellStyle name="Normal 6 2 75 4 3" xfId="46289" xr:uid="{00000000-0005-0000-0000-000041A90000}"/>
    <cellStyle name="Normal 6 2 75 5" xfId="23075" xr:uid="{00000000-0005-0000-0000-000042A90000}"/>
    <cellStyle name="Normal 6 2 75 6" xfId="41707" xr:uid="{00000000-0005-0000-0000-000043A90000}"/>
    <cellStyle name="Normal 6 2 76" xfId="7752" xr:uid="{00000000-0005-0000-0000-000044A90000}"/>
    <cellStyle name="Normal 6 2 76 2" xfId="7753" xr:uid="{00000000-0005-0000-0000-000045A90000}"/>
    <cellStyle name="Normal 6 2 76 2 2" xfId="13534" xr:uid="{00000000-0005-0000-0000-000046A90000}"/>
    <cellStyle name="Normal 6 2 76 2 2 2" xfId="37019" xr:uid="{00000000-0005-0000-0000-000047A90000}"/>
    <cellStyle name="Normal 6 2 76 2 2 3" xfId="27700" xr:uid="{00000000-0005-0000-0000-000048A90000}"/>
    <cellStyle name="Normal 6 2 76 2 2 4" xfId="50962" xr:uid="{00000000-0005-0000-0000-000049A90000}"/>
    <cellStyle name="Normal 6 2 76 2 3" xfId="18265" xr:uid="{00000000-0005-0000-0000-00004AA90000}"/>
    <cellStyle name="Normal 6 2 76 2 3 2" xfId="32397" xr:uid="{00000000-0005-0000-0000-00004BA90000}"/>
    <cellStyle name="Normal 6 2 76 2 3 3" xfId="46292" xr:uid="{00000000-0005-0000-0000-00004CA90000}"/>
    <cellStyle name="Normal 6 2 76 2 4" xfId="23078" xr:uid="{00000000-0005-0000-0000-00004DA90000}"/>
    <cellStyle name="Normal 6 2 76 2 5" xfId="41710" xr:uid="{00000000-0005-0000-0000-00004EA90000}"/>
    <cellStyle name="Normal 6 2 76 3" xfId="13533" xr:uid="{00000000-0005-0000-0000-00004FA90000}"/>
    <cellStyle name="Normal 6 2 76 3 2" xfId="37018" xr:uid="{00000000-0005-0000-0000-000050A90000}"/>
    <cellStyle name="Normal 6 2 76 3 3" xfId="27699" xr:uid="{00000000-0005-0000-0000-000051A90000}"/>
    <cellStyle name="Normal 6 2 76 3 4" xfId="50961" xr:uid="{00000000-0005-0000-0000-000052A90000}"/>
    <cellStyle name="Normal 6 2 76 4" xfId="18264" xr:uid="{00000000-0005-0000-0000-000053A90000}"/>
    <cellStyle name="Normal 6 2 76 4 2" xfId="32396" xr:uid="{00000000-0005-0000-0000-000054A90000}"/>
    <cellStyle name="Normal 6 2 76 4 3" xfId="46291" xr:uid="{00000000-0005-0000-0000-000055A90000}"/>
    <cellStyle name="Normal 6 2 76 5" xfId="23077" xr:uid="{00000000-0005-0000-0000-000056A90000}"/>
    <cellStyle name="Normal 6 2 76 6" xfId="41709" xr:uid="{00000000-0005-0000-0000-000057A90000}"/>
    <cellStyle name="Normal 6 2 77" xfId="7754" xr:uid="{00000000-0005-0000-0000-000058A90000}"/>
    <cellStyle name="Normal 6 2 77 2" xfId="7755" xr:uid="{00000000-0005-0000-0000-000059A90000}"/>
    <cellStyle name="Normal 6 2 77 2 2" xfId="13536" xr:uid="{00000000-0005-0000-0000-00005AA90000}"/>
    <cellStyle name="Normal 6 2 77 2 2 2" xfId="37021" xr:uid="{00000000-0005-0000-0000-00005BA90000}"/>
    <cellStyle name="Normal 6 2 77 2 2 3" xfId="27702" xr:uid="{00000000-0005-0000-0000-00005CA90000}"/>
    <cellStyle name="Normal 6 2 77 2 2 4" xfId="50964" xr:uid="{00000000-0005-0000-0000-00005DA90000}"/>
    <cellStyle name="Normal 6 2 77 2 3" xfId="18267" xr:uid="{00000000-0005-0000-0000-00005EA90000}"/>
    <cellStyle name="Normal 6 2 77 2 3 2" xfId="32399" xr:uid="{00000000-0005-0000-0000-00005FA90000}"/>
    <cellStyle name="Normal 6 2 77 2 3 3" xfId="46294" xr:uid="{00000000-0005-0000-0000-000060A90000}"/>
    <cellStyle name="Normal 6 2 77 2 4" xfId="23080" xr:uid="{00000000-0005-0000-0000-000061A90000}"/>
    <cellStyle name="Normal 6 2 77 2 5" xfId="41712" xr:uid="{00000000-0005-0000-0000-000062A90000}"/>
    <cellStyle name="Normal 6 2 77 3" xfId="13535" xr:uid="{00000000-0005-0000-0000-000063A90000}"/>
    <cellStyle name="Normal 6 2 77 3 2" xfId="37020" xr:uid="{00000000-0005-0000-0000-000064A90000}"/>
    <cellStyle name="Normal 6 2 77 3 3" xfId="27701" xr:uid="{00000000-0005-0000-0000-000065A90000}"/>
    <cellStyle name="Normal 6 2 77 3 4" xfId="50963" xr:uid="{00000000-0005-0000-0000-000066A90000}"/>
    <cellStyle name="Normal 6 2 77 4" xfId="18266" xr:uid="{00000000-0005-0000-0000-000067A90000}"/>
    <cellStyle name="Normal 6 2 77 4 2" xfId="32398" xr:uid="{00000000-0005-0000-0000-000068A90000}"/>
    <cellStyle name="Normal 6 2 77 4 3" xfId="46293" xr:uid="{00000000-0005-0000-0000-000069A90000}"/>
    <cellStyle name="Normal 6 2 77 5" xfId="23079" xr:uid="{00000000-0005-0000-0000-00006AA90000}"/>
    <cellStyle name="Normal 6 2 77 6" xfId="41711" xr:uid="{00000000-0005-0000-0000-00006BA90000}"/>
    <cellStyle name="Normal 6 2 78" xfId="7756" xr:uid="{00000000-0005-0000-0000-00006CA90000}"/>
    <cellStyle name="Normal 6 2 78 2" xfId="7757" xr:uid="{00000000-0005-0000-0000-00006DA90000}"/>
    <cellStyle name="Normal 6 2 78 2 2" xfId="13538" xr:uid="{00000000-0005-0000-0000-00006EA90000}"/>
    <cellStyle name="Normal 6 2 78 2 2 2" xfId="37023" xr:uid="{00000000-0005-0000-0000-00006FA90000}"/>
    <cellStyle name="Normal 6 2 78 2 2 3" xfId="27704" xr:uid="{00000000-0005-0000-0000-000070A90000}"/>
    <cellStyle name="Normal 6 2 78 2 2 4" xfId="50966" xr:uid="{00000000-0005-0000-0000-000071A90000}"/>
    <cellStyle name="Normal 6 2 78 2 3" xfId="18269" xr:uid="{00000000-0005-0000-0000-000072A90000}"/>
    <cellStyle name="Normal 6 2 78 2 3 2" xfId="32401" xr:uid="{00000000-0005-0000-0000-000073A90000}"/>
    <cellStyle name="Normal 6 2 78 2 3 3" xfId="46296" xr:uid="{00000000-0005-0000-0000-000074A90000}"/>
    <cellStyle name="Normal 6 2 78 2 4" xfId="23082" xr:uid="{00000000-0005-0000-0000-000075A90000}"/>
    <cellStyle name="Normal 6 2 78 2 5" xfId="41714" xr:uid="{00000000-0005-0000-0000-000076A90000}"/>
    <cellStyle name="Normal 6 2 78 3" xfId="13537" xr:uid="{00000000-0005-0000-0000-000077A90000}"/>
    <cellStyle name="Normal 6 2 78 3 2" xfId="37022" xr:uid="{00000000-0005-0000-0000-000078A90000}"/>
    <cellStyle name="Normal 6 2 78 3 3" xfId="27703" xr:uid="{00000000-0005-0000-0000-000079A90000}"/>
    <cellStyle name="Normal 6 2 78 3 4" xfId="50965" xr:uid="{00000000-0005-0000-0000-00007AA90000}"/>
    <cellStyle name="Normal 6 2 78 4" xfId="18268" xr:uid="{00000000-0005-0000-0000-00007BA90000}"/>
    <cellStyle name="Normal 6 2 78 4 2" xfId="32400" xr:uid="{00000000-0005-0000-0000-00007CA90000}"/>
    <cellStyle name="Normal 6 2 78 4 3" xfId="46295" xr:uid="{00000000-0005-0000-0000-00007DA90000}"/>
    <cellStyle name="Normal 6 2 78 5" xfId="23081" xr:uid="{00000000-0005-0000-0000-00007EA90000}"/>
    <cellStyle name="Normal 6 2 78 6" xfId="41713" xr:uid="{00000000-0005-0000-0000-00007FA90000}"/>
    <cellStyle name="Normal 6 2 79" xfId="7758" xr:uid="{00000000-0005-0000-0000-000080A90000}"/>
    <cellStyle name="Normal 6 2 79 2" xfId="7759" xr:uid="{00000000-0005-0000-0000-000081A90000}"/>
    <cellStyle name="Normal 6 2 79 2 2" xfId="13540" xr:uid="{00000000-0005-0000-0000-000082A90000}"/>
    <cellStyle name="Normal 6 2 79 2 2 2" xfId="37025" xr:uid="{00000000-0005-0000-0000-000083A90000}"/>
    <cellStyle name="Normal 6 2 79 2 2 3" xfId="27706" xr:uid="{00000000-0005-0000-0000-000084A90000}"/>
    <cellStyle name="Normal 6 2 79 2 2 4" xfId="50968" xr:uid="{00000000-0005-0000-0000-000085A90000}"/>
    <cellStyle name="Normal 6 2 79 2 3" xfId="18271" xr:uid="{00000000-0005-0000-0000-000086A90000}"/>
    <cellStyle name="Normal 6 2 79 2 3 2" xfId="32403" xr:uid="{00000000-0005-0000-0000-000087A90000}"/>
    <cellStyle name="Normal 6 2 79 2 3 3" xfId="46298" xr:uid="{00000000-0005-0000-0000-000088A90000}"/>
    <cellStyle name="Normal 6 2 79 2 4" xfId="23084" xr:uid="{00000000-0005-0000-0000-000089A90000}"/>
    <cellStyle name="Normal 6 2 79 2 5" xfId="41716" xr:uid="{00000000-0005-0000-0000-00008AA90000}"/>
    <cellStyle name="Normal 6 2 79 3" xfId="13539" xr:uid="{00000000-0005-0000-0000-00008BA90000}"/>
    <cellStyle name="Normal 6 2 79 3 2" xfId="37024" xr:uid="{00000000-0005-0000-0000-00008CA90000}"/>
    <cellStyle name="Normal 6 2 79 3 3" xfId="27705" xr:uid="{00000000-0005-0000-0000-00008DA90000}"/>
    <cellStyle name="Normal 6 2 79 3 4" xfId="50967" xr:uid="{00000000-0005-0000-0000-00008EA90000}"/>
    <cellStyle name="Normal 6 2 79 4" xfId="18270" xr:uid="{00000000-0005-0000-0000-00008FA90000}"/>
    <cellStyle name="Normal 6 2 79 4 2" xfId="32402" xr:uid="{00000000-0005-0000-0000-000090A90000}"/>
    <cellStyle name="Normal 6 2 79 4 3" xfId="46297" xr:uid="{00000000-0005-0000-0000-000091A90000}"/>
    <cellStyle name="Normal 6 2 79 5" xfId="23083" xr:uid="{00000000-0005-0000-0000-000092A90000}"/>
    <cellStyle name="Normal 6 2 79 6" xfId="41715" xr:uid="{00000000-0005-0000-0000-000093A90000}"/>
    <cellStyle name="Normal 6 2 8" xfId="7760" xr:uid="{00000000-0005-0000-0000-000094A90000}"/>
    <cellStyle name="Normal 6 2 8 10" xfId="23085" xr:uid="{00000000-0005-0000-0000-000095A90000}"/>
    <cellStyle name="Normal 6 2 8 11" xfId="41717" xr:uid="{00000000-0005-0000-0000-000096A90000}"/>
    <cellStyle name="Normal 6 2 8 2" xfId="7761" xr:uid="{00000000-0005-0000-0000-000097A90000}"/>
    <cellStyle name="Normal 6 2 8 2 2" xfId="7762" xr:uid="{00000000-0005-0000-0000-000098A90000}"/>
    <cellStyle name="Normal 6 2 8 2 2 2" xfId="13543" xr:uid="{00000000-0005-0000-0000-000099A90000}"/>
    <cellStyle name="Normal 6 2 8 2 2 2 2" xfId="37028" xr:uid="{00000000-0005-0000-0000-00009AA90000}"/>
    <cellStyle name="Normal 6 2 8 2 2 2 3" xfId="27709" xr:uid="{00000000-0005-0000-0000-00009BA90000}"/>
    <cellStyle name="Normal 6 2 8 2 2 2 4" xfId="50971" xr:uid="{00000000-0005-0000-0000-00009CA90000}"/>
    <cellStyle name="Normal 6 2 8 2 2 3" xfId="18274" xr:uid="{00000000-0005-0000-0000-00009DA90000}"/>
    <cellStyle name="Normal 6 2 8 2 2 3 2" xfId="32406" xr:uid="{00000000-0005-0000-0000-00009EA90000}"/>
    <cellStyle name="Normal 6 2 8 2 2 3 3" xfId="46301" xr:uid="{00000000-0005-0000-0000-00009FA90000}"/>
    <cellStyle name="Normal 6 2 8 2 2 4" xfId="23087" xr:uid="{00000000-0005-0000-0000-0000A0A90000}"/>
    <cellStyle name="Normal 6 2 8 2 2 5" xfId="41719" xr:uid="{00000000-0005-0000-0000-0000A1A90000}"/>
    <cellStyle name="Normal 6 2 8 2 3" xfId="13542" xr:uid="{00000000-0005-0000-0000-0000A2A90000}"/>
    <cellStyle name="Normal 6 2 8 2 3 2" xfId="37027" xr:uid="{00000000-0005-0000-0000-0000A3A90000}"/>
    <cellStyle name="Normal 6 2 8 2 3 3" xfId="27708" xr:uid="{00000000-0005-0000-0000-0000A4A90000}"/>
    <cellStyle name="Normal 6 2 8 2 3 4" xfId="50970" xr:uid="{00000000-0005-0000-0000-0000A5A90000}"/>
    <cellStyle name="Normal 6 2 8 2 4" xfId="18273" xr:uid="{00000000-0005-0000-0000-0000A6A90000}"/>
    <cellStyle name="Normal 6 2 8 2 4 2" xfId="32405" xr:uid="{00000000-0005-0000-0000-0000A7A90000}"/>
    <cellStyle name="Normal 6 2 8 2 4 3" xfId="46300" xr:uid="{00000000-0005-0000-0000-0000A8A90000}"/>
    <cellStyle name="Normal 6 2 8 2 5" xfId="23086" xr:uid="{00000000-0005-0000-0000-0000A9A90000}"/>
    <cellStyle name="Normal 6 2 8 2 6" xfId="41718" xr:uid="{00000000-0005-0000-0000-0000AAA90000}"/>
    <cellStyle name="Normal 6 2 8 3" xfId="7763" xr:uid="{00000000-0005-0000-0000-0000ABA90000}"/>
    <cellStyle name="Normal 6 2 8 3 2" xfId="7764" xr:uid="{00000000-0005-0000-0000-0000ACA90000}"/>
    <cellStyle name="Normal 6 2 8 3 2 2" xfId="13545" xr:uid="{00000000-0005-0000-0000-0000ADA90000}"/>
    <cellStyle name="Normal 6 2 8 3 2 2 2" xfId="37030" xr:uid="{00000000-0005-0000-0000-0000AEA90000}"/>
    <cellStyle name="Normal 6 2 8 3 2 2 3" xfId="27711" xr:uid="{00000000-0005-0000-0000-0000AFA90000}"/>
    <cellStyle name="Normal 6 2 8 3 2 2 4" xfId="50973" xr:uid="{00000000-0005-0000-0000-0000B0A90000}"/>
    <cellStyle name="Normal 6 2 8 3 2 3" xfId="18276" xr:uid="{00000000-0005-0000-0000-0000B1A90000}"/>
    <cellStyle name="Normal 6 2 8 3 2 3 2" xfId="32408" xr:uid="{00000000-0005-0000-0000-0000B2A90000}"/>
    <cellStyle name="Normal 6 2 8 3 2 3 3" xfId="46303" xr:uid="{00000000-0005-0000-0000-0000B3A90000}"/>
    <cellStyle name="Normal 6 2 8 3 2 4" xfId="23089" xr:uid="{00000000-0005-0000-0000-0000B4A90000}"/>
    <cellStyle name="Normal 6 2 8 3 2 5" xfId="41721" xr:uid="{00000000-0005-0000-0000-0000B5A90000}"/>
    <cellStyle name="Normal 6 2 8 3 3" xfId="13544" xr:uid="{00000000-0005-0000-0000-0000B6A90000}"/>
    <cellStyle name="Normal 6 2 8 3 3 2" xfId="37029" xr:uid="{00000000-0005-0000-0000-0000B7A90000}"/>
    <cellStyle name="Normal 6 2 8 3 3 3" xfId="27710" xr:uid="{00000000-0005-0000-0000-0000B8A90000}"/>
    <cellStyle name="Normal 6 2 8 3 3 4" xfId="50972" xr:uid="{00000000-0005-0000-0000-0000B9A90000}"/>
    <cellStyle name="Normal 6 2 8 3 4" xfId="18275" xr:uid="{00000000-0005-0000-0000-0000BAA90000}"/>
    <cellStyle name="Normal 6 2 8 3 4 2" xfId="32407" xr:uid="{00000000-0005-0000-0000-0000BBA90000}"/>
    <cellStyle name="Normal 6 2 8 3 4 3" xfId="46302" xr:uid="{00000000-0005-0000-0000-0000BCA90000}"/>
    <cellStyle name="Normal 6 2 8 3 5" xfId="23088" xr:uid="{00000000-0005-0000-0000-0000BDA90000}"/>
    <cellStyle name="Normal 6 2 8 3 6" xfId="41720" xr:uid="{00000000-0005-0000-0000-0000BEA90000}"/>
    <cellStyle name="Normal 6 2 8 4" xfId="7765" xr:uid="{00000000-0005-0000-0000-0000BFA90000}"/>
    <cellStyle name="Normal 6 2 8 4 2" xfId="7766" xr:uid="{00000000-0005-0000-0000-0000C0A90000}"/>
    <cellStyle name="Normal 6 2 8 4 2 2" xfId="13547" xr:uid="{00000000-0005-0000-0000-0000C1A90000}"/>
    <cellStyle name="Normal 6 2 8 4 2 2 2" xfId="37032" xr:uid="{00000000-0005-0000-0000-0000C2A90000}"/>
    <cellStyle name="Normal 6 2 8 4 2 2 3" xfId="27713" xr:uid="{00000000-0005-0000-0000-0000C3A90000}"/>
    <cellStyle name="Normal 6 2 8 4 2 2 4" xfId="50975" xr:uid="{00000000-0005-0000-0000-0000C4A90000}"/>
    <cellStyle name="Normal 6 2 8 4 2 3" xfId="18278" xr:uid="{00000000-0005-0000-0000-0000C5A90000}"/>
    <cellStyle name="Normal 6 2 8 4 2 3 2" xfId="32410" xr:uid="{00000000-0005-0000-0000-0000C6A90000}"/>
    <cellStyle name="Normal 6 2 8 4 2 3 3" xfId="46305" xr:uid="{00000000-0005-0000-0000-0000C7A90000}"/>
    <cellStyle name="Normal 6 2 8 4 2 4" xfId="23091" xr:uid="{00000000-0005-0000-0000-0000C8A90000}"/>
    <cellStyle name="Normal 6 2 8 4 2 5" xfId="41723" xr:uid="{00000000-0005-0000-0000-0000C9A90000}"/>
    <cellStyle name="Normal 6 2 8 4 3" xfId="13546" xr:uid="{00000000-0005-0000-0000-0000CAA90000}"/>
    <cellStyle name="Normal 6 2 8 4 3 2" xfId="37031" xr:uid="{00000000-0005-0000-0000-0000CBA90000}"/>
    <cellStyle name="Normal 6 2 8 4 3 3" xfId="27712" xr:uid="{00000000-0005-0000-0000-0000CCA90000}"/>
    <cellStyle name="Normal 6 2 8 4 3 4" xfId="50974" xr:uid="{00000000-0005-0000-0000-0000CDA90000}"/>
    <cellStyle name="Normal 6 2 8 4 4" xfId="18277" xr:uid="{00000000-0005-0000-0000-0000CEA90000}"/>
    <cellStyle name="Normal 6 2 8 4 4 2" xfId="32409" xr:uid="{00000000-0005-0000-0000-0000CFA90000}"/>
    <cellStyle name="Normal 6 2 8 4 4 3" xfId="46304" xr:uid="{00000000-0005-0000-0000-0000D0A90000}"/>
    <cellStyle name="Normal 6 2 8 4 5" xfId="23090" xr:uid="{00000000-0005-0000-0000-0000D1A90000}"/>
    <cellStyle name="Normal 6 2 8 4 6" xfId="41722" xr:uid="{00000000-0005-0000-0000-0000D2A90000}"/>
    <cellStyle name="Normal 6 2 8 5" xfId="7767" xr:uid="{00000000-0005-0000-0000-0000D3A90000}"/>
    <cellStyle name="Normal 6 2 8 5 2" xfId="7768" xr:uid="{00000000-0005-0000-0000-0000D4A90000}"/>
    <cellStyle name="Normal 6 2 8 5 2 2" xfId="13549" xr:uid="{00000000-0005-0000-0000-0000D5A90000}"/>
    <cellStyle name="Normal 6 2 8 5 2 2 2" xfId="37034" xr:uid="{00000000-0005-0000-0000-0000D6A90000}"/>
    <cellStyle name="Normal 6 2 8 5 2 2 3" xfId="27715" xr:uid="{00000000-0005-0000-0000-0000D7A90000}"/>
    <cellStyle name="Normal 6 2 8 5 2 2 4" xfId="50977" xr:uid="{00000000-0005-0000-0000-0000D8A90000}"/>
    <cellStyle name="Normal 6 2 8 5 2 3" xfId="18280" xr:uid="{00000000-0005-0000-0000-0000D9A90000}"/>
    <cellStyle name="Normal 6 2 8 5 2 3 2" xfId="32412" xr:uid="{00000000-0005-0000-0000-0000DAA90000}"/>
    <cellStyle name="Normal 6 2 8 5 2 3 3" xfId="46307" xr:uid="{00000000-0005-0000-0000-0000DBA90000}"/>
    <cellStyle name="Normal 6 2 8 5 2 4" xfId="23093" xr:uid="{00000000-0005-0000-0000-0000DCA90000}"/>
    <cellStyle name="Normal 6 2 8 5 2 5" xfId="41725" xr:uid="{00000000-0005-0000-0000-0000DDA90000}"/>
    <cellStyle name="Normal 6 2 8 5 3" xfId="13548" xr:uid="{00000000-0005-0000-0000-0000DEA90000}"/>
    <cellStyle name="Normal 6 2 8 5 3 2" xfId="37033" xr:uid="{00000000-0005-0000-0000-0000DFA90000}"/>
    <cellStyle name="Normal 6 2 8 5 3 3" xfId="27714" xr:uid="{00000000-0005-0000-0000-0000E0A90000}"/>
    <cellStyle name="Normal 6 2 8 5 3 4" xfId="50976" xr:uid="{00000000-0005-0000-0000-0000E1A90000}"/>
    <cellStyle name="Normal 6 2 8 5 4" xfId="18279" xr:uid="{00000000-0005-0000-0000-0000E2A90000}"/>
    <cellStyle name="Normal 6 2 8 5 4 2" xfId="32411" xr:uid="{00000000-0005-0000-0000-0000E3A90000}"/>
    <cellStyle name="Normal 6 2 8 5 4 3" xfId="46306" xr:uid="{00000000-0005-0000-0000-0000E4A90000}"/>
    <cellStyle name="Normal 6 2 8 5 5" xfId="23092" xr:uid="{00000000-0005-0000-0000-0000E5A90000}"/>
    <cellStyle name="Normal 6 2 8 5 6" xfId="41724" xr:uid="{00000000-0005-0000-0000-0000E6A90000}"/>
    <cellStyle name="Normal 6 2 8 6" xfId="7769" xr:uid="{00000000-0005-0000-0000-0000E7A90000}"/>
    <cellStyle name="Normal 6 2 8 6 2" xfId="7770" xr:uid="{00000000-0005-0000-0000-0000E8A90000}"/>
    <cellStyle name="Normal 6 2 8 6 2 2" xfId="13551" xr:uid="{00000000-0005-0000-0000-0000E9A90000}"/>
    <cellStyle name="Normal 6 2 8 6 2 2 2" xfId="37036" xr:uid="{00000000-0005-0000-0000-0000EAA90000}"/>
    <cellStyle name="Normal 6 2 8 6 2 2 3" xfId="27717" xr:uid="{00000000-0005-0000-0000-0000EBA90000}"/>
    <cellStyle name="Normal 6 2 8 6 2 2 4" xfId="50979" xr:uid="{00000000-0005-0000-0000-0000ECA90000}"/>
    <cellStyle name="Normal 6 2 8 6 2 3" xfId="18282" xr:uid="{00000000-0005-0000-0000-0000EDA90000}"/>
    <cellStyle name="Normal 6 2 8 6 2 3 2" xfId="32414" xr:uid="{00000000-0005-0000-0000-0000EEA90000}"/>
    <cellStyle name="Normal 6 2 8 6 2 3 3" xfId="46309" xr:uid="{00000000-0005-0000-0000-0000EFA90000}"/>
    <cellStyle name="Normal 6 2 8 6 2 4" xfId="23095" xr:uid="{00000000-0005-0000-0000-0000F0A90000}"/>
    <cellStyle name="Normal 6 2 8 6 2 5" xfId="41727" xr:uid="{00000000-0005-0000-0000-0000F1A90000}"/>
    <cellStyle name="Normal 6 2 8 6 3" xfId="13550" xr:uid="{00000000-0005-0000-0000-0000F2A90000}"/>
    <cellStyle name="Normal 6 2 8 6 3 2" xfId="37035" xr:uid="{00000000-0005-0000-0000-0000F3A90000}"/>
    <cellStyle name="Normal 6 2 8 6 3 3" xfId="27716" xr:uid="{00000000-0005-0000-0000-0000F4A90000}"/>
    <cellStyle name="Normal 6 2 8 6 3 4" xfId="50978" xr:uid="{00000000-0005-0000-0000-0000F5A90000}"/>
    <cellStyle name="Normal 6 2 8 6 4" xfId="18281" xr:uid="{00000000-0005-0000-0000-0000F6A90000}"/>
    <cellStyle name="Normal 6 2 8 6 4 2" xfId="32413" xr:uid="{00000000-0005-0000-0000-0000F7A90000}"/>
    <cellStyle name="Normal 6 2 8 6 4 3" xfId="46308" xr:uid="{00000000-0005-0000-0000-0000F8A90000}"/>
    <cellStyle name="Normal 6 2 8 6 5" xfId="23094" xr:uid="{00000000-0005-0000-0000-0000F9A90000}"/>
    <cellStyle name="Normal 6 2 8 6 6" xfId="41726" xr:uid="{00000000-0005-0000-0000-0000FAA90000}"/>
    <cellStyle name="Normal 6 2 8 7" xfId="7771" xr:uid="{00000000-0005-0000-0000-0000FBA90000}"/>
    <cellStyle name="Normal 6 2 8 7 2" xfId="13552" xr:uid="{00000000-0005-0000-0000-0000FCA90000}"/>
    <cellStyle name="Normal 6 2 8 7 2 2" xfId="37037" xr:uid="{00000000-0005-0000-0000-0000FDA90000}"/>
    <cellStyle name="Normal 6 2 8 7 2 3" xfId="27718" xr:uid="{00000000-0005-0000-0000-0000FEA90000}"/>
    <cellStyle name="Normal 6 2 8 7 2 4" xfId="50980" xr:uid="{00000000-0005-0000-0000-0000FFA90000}"/>
    <cellStyle name="Normal 6 2 8 7 3" xfId="18283" xr:uid="{00000000-0005-0000-0000-000000AA0000}"/>
    <cellStyle name="Normal 6 2 8 7 3 2" xfId="32415" xr:uid="{00000000-0005-0000-0000-000001AA0000}"/>
    <cellStyle name="Normal 6 2 8 7 3 3" xfId="46310" xr:uid="{00000000-0005-0000-0000-000002AA0000}"/>
    <cellStyle name="Normal 6 2 8 7 4" xfId="23096" xr:uid="{00000000-0005-0000-0000-000003AA0000}"/>
    <cellStyle name="Normal 6 2 8 7 5" xfId="41728" xr:uid="{00000000-0005-0000-0000-000004AA0000}"/>
    <cellStyle name="Normal 6 2 8 8" xfId="13541" xr:uid="{00000000-0005-0000-0000-000005AA0000}"/>
    <cellStyle name="Normal 6 2 8 8 2" xfId="37026" xr:uid="{00000000-0005-0000-0000-000006AA0000}"/>
    <cellStyle name="Normal 6 2 8 8 3" xfId="27707" xr:uid="{00000000-0005-0000-0000-000007AA0000}"/>
    <cellStyle name="Normal 6 2 8 8 4" xfId="50969" xr:uid="{00000000-0005-0000-0000-000008AA0000}"/>
    <cellStyle name="Normal 6 2 8 9" xfId="18272" xr:uid="{00000000-0005-0000-0000-000009AA0000}"/>
    <cellStyle name="Normal 6 2 8 9 2" xfId="32404" xr:uid="{00000000-0005-0000-0000-00000AAA0000}"/>
    <cellStyle name="Normal 6 2 8 9 3" xfId="46299" xr:uid="{00000000-0005-0000-0000-00000BAA0000}"/>
    <cellStyle name="Normal 6 2 80" xfId="7772" xr:uid="{00000000-0005-0000-0000-00000CAA0000}"/>
    <cellStyle name="Normal 6 2 80 2" xfId="7773" xr:uid="{00000000-0005-0000-0000-00000DAA0000}"/>
    <cellStyle name="Normal 6 2 80 2 2" xfId="13554" xr:uid="{00000000-0005-0000-0000-00000EAA0000}"/>
    <cellStyle name="Normal 6 2 80 2 2 2" xfId="37039" xr:uid="{00000000-0005-0000-0000-00000FAA0000}"/>
    <cellStyle name="Normal 6 2 80 2 2 3" xfId="27720" xr:uid="{00000000-0005-0000-0000-000010AA0000}"/>
    <cellStyle name="Normal 6 2 80 2 2 4" xfId="50982" xr:uid="{00000000-0005-0000-0000-000011AA0000}"/>
    <cellStyle name="Normal 6 2 80 2 3" xfId="18285" xr:uid="{00000000-0005-0000-0000-000012AA0000}"/>
    <cellStyle name="Normal 6 2 80 2 3 2" xfId="32417" xr:uid="{00000000-0005-0000-0000-000013AA0000}"/>
    <cellStyle name="Normal 6 2 80 2 3 3" xfId="46312" xr:uid="{00000000-0005-0000-0000-000014AA0000}"/>
    <cellStyle name="Normal 6 2 80 2 4" xfId="23098" xr:uid="{00000000-0005-0000-0000-000015AA0000}"/>
    <cellStyle name="Normal 6 2 80 2 5" xfId="41730" xr:uid="{00000000-0005-0000-0000-000016AA0000}"/>
    <cellStyle name="Normal 6 2 80 3" xfId="13553" xr:uid="{00000000-0005-0000-0000-000017AA0000}"/>
    <cellStyle name="Normal 6 2 80 3 2" xfId="37038" xr:uid="{00000000-0005-0000-0000-000018AA0000}"/>
    <cellStyle name="Normal 6 2 80 3 3" xfId="27719" xr:uid="{00000000-0005-0000-0000-000019AA0000}"/>
    <cellStyle name="Normal 6 2 80 3 4" xfId="50981" xr:uid="{00000000-0005-0000-0000-00001AAA0000}"/>
    <cellStyle name="Normal 6 2 80 4" xfId="18284" xr:uid="{00000000-0005-0000-0000-00001BAA0000}"/>
    <cellStyle name="Normal 6 2 80 4 2" xfId="32416" xr:uid="{00000000-0005-0000-0000-00001CAA0000}"/>
    <cellStyle name="Normal 6 2 80 4 3" xfId="46311" xr:uid="{00000000-0005-0000-0000-00001DAA0000}"/>
    <cellStyle name="Normal 6 2 80 5" xfId="23097" xr:uid="{00000000-0005-0000-0000-00001EAA0000}"/>
    <cellStyle name="Normal 6 2 80 6" xfId="41729" xr:uid="{00000000-0005-0000-0000-00001FAA0000}"/>
    <cellStyle name="Normal 6 2 81" xfId="7774" xr:uid="{00000000-0005-0000-0000-000020AA0000}"/>
    <cellStyle name="Normal 6 2 81 2" xfId="7775" xr:uid="{00000000-0005-0000-0000-000021AA0000}"/>
    <cellStyle name="Normal 6 2 81 2 2" xfId="13556" xr:uid="{00000000-0005-0000-0000-000022AA0000}"/>
    <cellStyle name="Normal 6 2 81 2 2 2" xfId="37041" xr:uid="{00000000-0005-0000-0000-000023AA0000}"/>
    <cellStyle name="Normal 6 2 81 2 2 3" xfId="27722" xr:uid="{00000000-0005-0000-0000-000024AA0000}"/>
    <cellStyle name="Normal 6 2 81 2 2 4" xfId="50984" xr:uid="{00000000-0005-0000-0000-000025AA0000}"/>
    <cellStyle name="Normal 6 2 81 2 3" xfId="18287" xr:uid="{00000000-0005-0000-0000-000026AA0000}"/>
    <cellStyle name="Normal 6 2 81 2 3 2" xfId="32419" xr:uid="{00000000-0005-0000-0000-000027AA0000}"/>
    <cellStyle name="Normal 6 2 81 2 3 3" xfId="46314" xr:uid="{00000000-0005-0000-0000-000028AA0000}"/>
    <cellStyle name="Normal 6 2 81 2 4" xfId="23100" xr:uid="{00000000-0005-0000-0000-000029AA0000}"/>
    <cellStyle name="Normal 6 2 81 2 5" xfId="41732" xr:uid="{00000000-0005-0000-0000-00002AAA0000}"/>
    <cellStyle name="Normal 6 2 81 3" xfId="13555" xr:uid="{00000000-0005-0000-0000-00002BAA0000}"/>
    <cellStyle name="Normal 6 2 81 3 2" xfId="37040" xr:uid="{00000000-0005-0000-0000-00002CAA0000}"/>
    <cellStyle name="Normal 6 2 81 3 3" xfId="27721" xr:uid="{00000000-0005-0000-0000-00002DAA0000}"/>
    <cellStyle name="Normal 6 2 81 3 4" xfId="50983" xr:uid="{00000000-0005-0000-0000-00002EAA0000}"/>
    <cellStyle name="Normal 6 2 81 4" xfId="18286" xr:uid="{00000000-0005-0000-0000-00002FAA0000}"/>
    <cellStyle name="Normal 6 2 81 4 2" xfId="32418" xr:uid="{00000000-0005-0000-0000-000030AA0000}"/>
    <cellStyle name="Normal 6 2 81 4 3" xfId="46313" xr:uid="{00000000-0005-0000-0000-000031AA0000}"/>
    <cellStyle name="Normal 6 2 81 5" xfId="23099" xr:uid="{00000000-0005-0000-0000-000032AA0000}"/>
    <cellStyle name="Normal 6 2 81 6" xfId="41731" xr:uid="{00000000-0005-0000-0000-000033AA0000}"/>
    <cellStyle name="Normal 6 2 82" xfId="7776" xr:uid="{00000000-0005-0000-0000-000034AA0000}"/>
    <cellStyle name="Normal 6 2 82 2" xfId="7777" xr:uid="{00000000-0005-0000-0000-000035AA0000}"/>
    <cellStyle name="Normal 6 2 82 2 2" xfId="13558" xr:uid="{00000000-0005-0000-0000-000036AA0000}"/>
    <cellStyle name="Normal 6 2 82 2 2 2" xfId="37043" xr:uid="{00000000-0005-0000-0000-000037AA0000}"/>
    <cellStyle name="Normal 6 2 82 2 2 3" xfId="27724" xr:uid="{00000000-0005-0000-0000-000038AA0000}"/>
    <cellStyle name="Normal 6 2 82 2 2 4" xfId="50986" xr:uid="{00000000-0005-0000-0000-000039AA0000}"/>
    <cellStyle name="Normal 6 2 82 2 3" xfId="18289" xr:uid="{00000000-0005-0000-0000-00003AAA0000}"/>
    <cellStyle name="Normal 6 2 82 2 3 2" xfId="32421" xr:uid="{00000000-0005-0000-0000-00003BAA0000}"/>
    <cellStyle name="Normal 6 2 82 2 3 3" xfId="46316" xr:uid="{00000000-0005-0000-0000-00003CAA0000}"/>
    <cellStyle name="Normal 6 2 82 2 4" xfId="23102" xr:uid="{00000000-0005-0000-0000-00003DAA0000}"/>
    <cellStyle name="Normal 6 2 82 2 5" xfId="41734" xr:uid="{00000000-0005-0000-0000-00003EAA0000}"/>
    <cellStyle name="Normal 6 2 82 3" xfId="13557" xr:uid="{00000000-0005-0000-0000-00003FAA0000}"/>
    <cellStyle name="Normal 6 2 82 3 2" xfId="37042" xr:uid="{00000000-0005-0000-0000-000040AA0000}"/>
    <cellStyle name="Normal 6 2 82 3 3" xfId="27723" xr:uid="{00000000-0005-0000-0000-000041AA0000}"/>
    <cellStyle name="Normal 6 2 82 3 4" xfId="50985" xr:uid="{00000000-0005-0000-0000-000042AA0000}"/>
    <cellStyle name="Normal 6 2 82 4" xfId="18288" xr:uid="{00000000-0005-0000-0000-000043AA0000}"/>
    <cellStyle name="Normal 6 2 82 4 2" xfId="32420" xr:uid="{00000000-0005-0000-0000-000044AA0000}"/>
    <cellStyle name="Normal 6 2 82 4 3" xfId="46315" xr:uid="{00000000-0005-0000-0000-000045AA0000}"/>
    <cellStyle name="Normal 6 2 82 5" xfId="23101" xr:uid="{00000000-0005-0000-0000-000046AA0000}"/>
    <cellStyle name="Normal 6 2 82 6" xfId="41733" xr:uid="{00000000-0005-0000-0000-000047AA0000}"/>
    <cellStyle name="Normal 6 2 83" xfId="7778" xr:uid="{00000000-0005-0000-0000-000048AA0000}"/>
    <cellStyle name="Normal 6 2 83 2" xfId="7779" xr:uid="{00000000-0005-0000-0000-000049AA0000}"/>
    <cellStyle name="Normal 6 2 83 2 2" xfId="13560" xr:uid="{00000000-0005-0000-0000-00004AAA0000}"/>
    <cellStyle name="Normal 6 2 83 2 2 2" xfId="37045" xr:uid="{00000000-0005-0000-0000-00004BAA0000}"/>
    <cellStyle name="Normal 6 2 83 2 2 3" xfId="27726" xr:uid="{00000000-0005-0000-0000-00004CAA0000}"/>
    <cellStyle name="Normal 6 2 83 2 2 4" xfId="50988" xr:uid="{00000000-0005-0000-0000-00004DAA0000}"/>
    <cellStyle name="Normal 6 2 83 2 3" xfId="18291" xr:uid="{00000000-0005-0000-0000-00004EAA0000}"/>
    <cellStyle name="Normal 6 2 83 2 3 2" xfId="32423" xr:uid="{00000000-0005-0000-0000-00004FAA0000}"/>
    <cellStyle name="Normal 6 2 83 2 3 3" xfId="46318" xr:uid="{00000000-0005-0000-0000-000050AA0000}"/>
    <cellStyle name="Normal 6 2 83 2 4" xfId="23104" xr:uid="{00000000-0005-0000-0000-000051AA0000}"/>
    <cellStyle name="Normal 6 2 83 2 5" xfId="41736" xr:uid="{00000000-0005-0000-0000-000052AA0000}"/>
    <cellStyle name="Normal 6 2 83 3" xfId="13559" xr:uid="{00000000-0005-0000-0000-000053AA0000}"/>
    <cellStyle name="Normal 6 2 83 3 2" xfId="37044" xr:uid="{00000000-0005-0000-0000-000054AA0000}"/>
    <cellStyle name="Normal 6 2 83 3 3" xfId="27725" xr:uid="{00000000-0005-0000-0000-000055AA0000}"/>
    <cellStyle name="Normal 6 2 83 3 4" xfId="50987" xr:uid="{00000000-0005-0000-0000-000056AA0000}"/>
    <cellStyle name="Normal 6 2 83 4" xfId="18290" xr:uid="{00000000-0005-0000-0000-000057AA0000}"/>
    <cellStyle name="Normal 6 2 83 4 2" xfId="32422" xr:uid="{00000000-0005-0000-0000-000058AA0000}"/>
    <cellStyle name="Normal 6 2 83 4 3" xfId="46317" xr:uid="{00000000-0005-0000-0000-000059AA0000}"/>
    <cellStyle name="Normal 6 2 83 5" xfId="23103" xr:uid="{00000000-0005-0000-0000-00005AAA0000}"/>
    <cellStyle name="Normal 6 2 83 6" xfId="41735" xr:uid="{00000000-0005-0000-0000-00005BAA0000}"/>
    <cellStyle name="Normal 6 2 84" xfId="7780" xr:uid="{00000000-0005-0000-0000-00005CAA0000}"/>
    <cellStyle name="Normal 6 2 84 2" xfId="7781" xr:uid="{00000000-0005-0000-0000-00005DAA0000}"/>
    <cellStyle name="Normal 6 2 84 2 2" xfId="13562" xr:uid="{00000000-0005-0000-0000-00005EAA0000}"/>
    <cellStyle name="Normal 6 2 84 2 2 2" xfId="37047" xr:uid="{00000000-0005-0000-0000-00005FAA0000}"/>
    <cellStyle name="Normal 6 2 84 2 2 3" xfId="27728" xr:uid="{00000000-0005-0000-0000-000060AA0000}"/>
    <cellStyle name="Normal 6 2 84 2 2 4" xfId="50990" xr:uid="{00000000-0005-0000-0000-000061AA0000}"/>
    <cellStyle name="Normal 6 2 84 2 3" xfId="18293" xr:uid="{00000000-0005-0000-0000-000062AA0000}"/>
    <cellStyle name="Normal 6 2 84 2 3 2" xfId="32425" xr:uid="{00000000-0005-0000-0000-000063AA0000}"/>
    <cellStyle name="Normal 6 2 84 2 3 3" xfId="46320" xr:uid="{00000000-0005-0000-0000-000064AA0000}"/>
    <cellStyle name="Normal 6 2 84 2 4" xfId="23106" xr:uid="{00000000-0005-0000-0000-000065AA0000}"/>
    <cellStyle name="Normal 6 2 84 2 5" xfId="41738" xr:uid="{00000000-0005-0000-0000-000066AA0000}"/>
    <cellStyle name="Normal 6 2 84 3" xfId="13561" xr:uid="{00000000-0005-0000-0000-000067AA0000}"/>
    <cellStyle name="Normal 6 2 84 3 2" xfId="37046" xr:uid="{00000000-0005-0000-0000-000068AA0000}"/>
    <cellStyle name="Normal 6 2 84 3 3" xfId="27727" xr:uid="{00000000-0005-0000-0000-000069AA0000}"/>
    <cellStyle name="Normal 6 2 84 3 4" xfId="50989" xr:uid="{00000000-0005-0000-0000-00006AAA0000}"/>
    <cellStyle name="Normal 6 2 84 4" xfId="18292" xr:uid="{00000000-0005-0000-0000-00006BAA0000}"/>
    <cellStyle name="Normal 6 2 84 4 2" xfId="32424" xr:uid="{00000000-0005-0000-0000-00006CAA0000}"/>
    <cellStyle name="Normal 6 2 84 4 3" xfId="46319" xr:uid="{00000000-0005-0000-0000-00006DAA0000}"/>
    <cellStyle name="Normal 6 2 84 5" xfId="23105" xr:uid="{00000000-0005-0000-0000-00006EAA0000}"/>
    <cellStyle name="Normal 6 2 84 6" xfId="41737" xr:uid="{00000000-0005-0000-0000-00006FAA0000}"/>
    <cellStyle name="Normal 6 2 85" xfId="7782" xr:uid="{00000000-0005-0000-0000-000070AA0000}"/>
    <cellStyle name="Normal 6 2 85 2" xfId="7783" xr:uid="{00000000-0005-0000-0000-000071AA0000}"/>
    <cellStyle name="Normal 6 2 85 2 2" xfId="13564" xr:uid="{00000000-0005-0000-0000-000072AA0000}"/>
    <cellStyle name="Normal 6 2 85 2 2 2" xfId="37049" xr:uid="{00000000-0005-0000-0000-000073AA0000}"/>
    <cellStyle name="Normal 6 2 85 2 2 3" xfId="27730" xr:uid="{00000000-0005-0000-0000-000074AA0000}"/>
    <cellStyle name="Normal 6 2 85 2 2 4" xfId="50992" xr:uid="{00000000-0005-0000-0000-000075AA0000}"/>
    <cellStyle name="Normal 6 2 85 2 3" xfId="18295" xr:uid="{00000000-0005-0000-0000-000076AA0000}"/>
    <cellStyle name="Normal 6 2 85 2 3 2" xfId="32427" xr:uid="{00000000-0005-0000-0000-000077AA0000}"/>
    <cellStyle name="Normal 6 2 85 2 3 3" xfId="46322" xr:uid="{00000000-0005-0000-0000-000078AA0000}"/>
    <cellStyle name="Normal 6 2 85 2 4" xfId="23108" xr:uid="{00000000-0005-0000-0000-000079AA0000}"/>
    <cellStyle name="Normal 6 2 85 2 5" xfId="41740" xr:uid="{00000000-0005-0000-0000-00007AAA0000}"/>
    <cellStyle name="Normal 6 2 85 3" xfId="13563" xr:uid="{00000000-0005-0000-0000-00007BAA0000}"/>
    <cellStyle name="Normal 6 2 85 3 2" xfId="37048" xr:uid="{00000000-0005-0000-0000-00007CAA0000}"/>
    <cellStyle name="Normal 6 2 85 3 3" xfId="27729" xr:uid="{00000000-0005-0000-0000-00007DAA0000}"/>
    <cellStyle name="Normal 6 2 85 3 4" xfId="50991" xr:uid="{00000000-0005-0000-0000-00007EAA0000}"/>
    <cellStyle name="Normal 6 2 85 4" xfId="18294" xr:uid="{00000000-0005-0000-0000-00007FAA0000}"/>
    <cellStyle name="Normal 6 2 85 4 2" xfId="32426" xr:uid="{00000000-0005-0000-0000-000080AA0000}"/>
    <cellStyle name="Normal 6 2 85 4 3" xfId="46321" xr:uid="{00000000-0005-0000-0000-000081AA0000}"/>
    <cellStyle name="Normal 6 2 85 5" xfId="23107" xr:uid="{00000000-0005-0000-0000-000082AA0000}"/>
    <cellStyle name="Normal 6 2 85 6" xfId="41739" xr:uid="{00000000-0005-0000-0000-000083AA0000}"/>
    <cellStyle name="Normal 6 2 86" xfId="7784" xr:uid="{00000000-0005-0000-0000-000084AA0000}"/>
    <cellStyle name="Normal 6 2 86 2" xfId="13565" xr:uid="{00000000-0005-0000-0000-000085AA0000}"/>
    <cellStyle name="Normal 6 2 86 2 2" xfId="37050" xr:uid="{00000000-0005-0000-0000-000086AA0000}"/>
    <cellStyle name="Normal 6 2 86 2 3" xfId="27731" xr:uid="{00000000-0005-0000-0000-000087AA0000}"/>
    <cellStyle name="Normal 6 2 86 2 4" xfId="50993" xr:uid="{00000000-0005-0000-0000-000088AA0000}"/>
    <cellStyle name="Normal 6 2 86 3" xfId="18296" xr:uid="{00000000-0005-0000-0000-000089AA0000}"/>
    <cellStyle name="Normal 6 2 86 3 2" xfId="32428" xr:uid="{00000000-0005-0000-0000-00008AAA0000}"/>
    <cellStyle name="Normal 6 2 86 3 3" xfId="46323" xr:uid="{00000000-0005-0000-0000-00008BAA0000}"/>
    <cellStyle name="Normal 6 2 86 4" xfId="23109" xr:uid="{00000000-0005-0000-0000-00008CAA0000}"/>
    <cellStyle name="Normal 6 2 86 5" xfId="41741" xr:uid="{00000000-0005-0000-0000-00008DAA0000}"/>
    <cellStyle name="Normal 6 2 87" xfId="7785" xr:uid="{00000000-0005-0000-0000-00008EAA0000}"/>
    <cellStyle name="Normal 6 2 87 2" xfId="13566" xr:uid="{00000000-0005-0000-0000-00008FAA0000}"/>
    <cellStyle name="Normal 6 2 87 2 2" xfId="37051" xr:uid="{00000000-0005-0000-0000-000090AA0000}"/>
    <cellStyle name="Normal 6 2 87 2 3" xfId="27732" xr:uid="{00000000-0005-0000-0000-000091AA0000}"/>
    <cellStyle name="Normal 6 2 87 2 4" xfId="50994" xr:uid="{00000000-0005-0000-0000-000092AA0000}"/>
    <cellStyle name="Normal 6 2 87 3" xfId="18297" xr:uid="{00000000-0005-0000-0000-000093AA0000}"/>
    <cellStyle name="Normal 6 2 87 3 2" xfId="32429" xr:uid="{00000000-0005-0000-0000-000094AA0000}"/>
    <cellStyle name="Normal 6 2 87 3 3" xfId="46324" xr:uid="{00000000-0005-0000-0000-000095AA0000}"/>
    <cellStyle name="Normal 6 2 87 4" xfId="23110" xr:uid="{00000000-0005-0000-0000-000096AA0000}"/>
    <cellStyle name="Normal 6 2 87 5" xfId="41742" xr:uid="{00000000-0005-0000-0000-000097AA0000}"/>
    <cellStyle name="Normal 6 2 88" xfId="7786" xr:uid="{00000000-0005-0000-0000-000098AA0000}"/>
    <cellStyle name="Normal 6 2 88 2" xfId="13567" xr:uid="{00000000-0005-0000-0000-000099AA0000}"/>
    <cellStyle name="Normal 6 2 88 2 2" xfId="37052" xr:uid="{00000000-0005-0000-0000-00009AAA0000}"/>
    <cellStyle name="Normal 6 2 88 2 3" xfId="27733" xr:uid="{00000000-0005-0000-0000-00009BAA0000}"/>
    <cellStyle name="Normal 6 2 88 2 4" xfId="50995" xr:uid="{00000000-0005-0000-0000-00009CAA0000}"/>
    <cellStyle name="Normal 6 2 88 3" xfId="18298" xr:uid="{00000000-0005-0000-0000-00009DAA0000}"/>
    <cellStyle name="Normal 6 2 88 3 2" xfId="32430" xr:uid="{00000000-0005-0000-0000-00009EAA0000}"/>
    <cellStyle name="Normal 6 2 88 3 3" xfId="46325" xr:uid="{00000000-0005-0000-0000-00009FAA0000}"/>
    <cellStyle name="Normal 6 2 88 4" xfId="23111" xr:uid="{00000000-0005-0000-0000-0000A0AA0000}"/>
    <cellStyle name="Normal 6 2 88 5" xfId="41743" xr:uid="{00000000-0005-0000-0000-0000A1AA0000}"/>
    <cellStyle name="Normal 6 2 89" xfId="7787" xr:uid="{00000000-0005-0000-0000-0000A2AA0000}"/>
    <cellStyle name="Normal 6 2 89 2" xfId="13568" xr:uid="{00000000-0005-0000-0000-0000A3AA0000}"/>
    <cellStyle name="Normal 6 2 89 2 2" xfId="37053" xr:uid="{00000000-0005-0000-0000-0000A4AA0000}"/>
    <cellStyle name="Normal 6 2 89 2 3" xfId="27734" xr:uid="{00000000-0005-0000-0000-0000A5AA0000}"/>
    <cellStyle name="Normal 6 2 89 2 4" xfId="50996" xr:uid="{00000000-0005-0000-0000-0000A6AA0000}"/>
    <cellStyle name="Normal 6 2 89 3" xfId="18299" xr:uid="{00000000-0005-0000-0000-0000A7AA0000}"/>
    <cellStyle name="Normal 6 2 89 3 2" xfId="32431" xr:uid="{00000000-0005-0000-0000-0000A8AA0000}"/>
    <cellStyle name="Normal 6 2 89 3 3" xfId="46326" xr:uid="{00000000-0005-0000-0000-0000A9AA0000}"/>
    <cellStyle name="Normal 6 2 89 4" xfId="23112" xr:uid="{00000000-0005-0000-0000-0000AAAA0000}"/>
    <cellStyle name="Normal 6 2 89 5" xfId="41744" xr:uid="{00000000-0005-0000-0000-0000ABAA0000}"/>
    <cellStyle name="Normal 6 2 9" xfId="7788" xr:uid="{00000000-0005-0000-0000-0000ACAA0000}"/>
    <cellStyle name="Normal 6 2 9 10" xfId="23113" xr:uid="{00000000-0005-0000-0000-0000ADAA0000}"/>
    <cellStyle name="Normal 6 2 9 11" xfId="41745" xr:uid="{00000000-0005-0000-0000-0000AEAA0000}"/>
    <cellStyle name="Normal 6 2 9 2" xfId="7789" xr:uid="{00000000-0005-0000-0000-0000AFAA0000}"/>
    <cellStyle name="Normal 6 2 9 2 2" xfId="7790" xr:uid="{00000000-0005-0000-0000-0000B0AA0000}"/>
    <cellStyle name="Normal 6 2 9 2 2 2" xfId="13571" xr:uid="{00000000-0005-0000-0000-0000B1AA0000}"/>
    <cellStyle name="Normal 6 2 9 2 2 2 2" xfId="37056" xr:uid="{00000000-0005-0000-0000-0000B2AA0000}"/>
    <cellStyle name="Normal 6 2 9 2 2 2 3" xfId="27737" xr:uid="{00000000-0005-0000-0000-0000B3AA0000}"/>
    <cellStyle name="Normal 6 2 9 2 2 2 4" xfId="50999" xr:uid="{00000000-0005-0000-0000-0000B4AA0000}"/>
    <cellStyle name="Normal 6 2 9 2 2 3" xfId="18302" xr:uid="{00000000-0005-0000-0000-0000B5AA0000}"/>
    <cellStyle name="Normal 6 2 9 2 2 3 2" xfId="32434" xr:uid="{00000000-0005-0000-0000-0000B6AA0000}"/>
    <cellStyle name="Normal 6 2 9 2 2 3 3" xfId="46329" xr:uid="{00000000-0005-0000-0000-0000B7AA0000}"/>
    <cellStyle name="Normal 6 2 9 2 2 4" xfId="23115" xr:uid="{00000000-0005-0000-0000-0000B8AA0000}"/>
    <cellStyle name="Normal 6 2 9 2 2 5" xfId="41747" xr:uid="{00000000-0005-0000-0000-0000B9AA0000}"/>
    <cellStyle name="Normal 6 2 9 2 3" xfId="13570" xr:uid="{00000000-0005-0000-0000-0000BAAA0000}"/>
    <cellStyle name="Normal 6 2 9 2 3 2" xfId="37055" xr:uid="{00000000-0005-0000-0000-0000BBAA0000}"/>
    <cellStyle name="Normal 6 2 9 2 3 3" xfId="27736" xr:uid="{00000000-0005-0000-0000-0000BCAA0000}"/>
    <cellStyle name="Normal 6 2 9 2 3 4" xfId="50998" xr:uid="{00000000-0005-0000-0000-0000BDAA0000}"/>
    <cellStyle name="Normal 6 2 9 2 4" xfId="18301" xr:uid="{00000000-0005-0000-0000-0000BEAA0000}"/>
    <cellStyle name="Normal 6 2 9 2 4 2" xfId="32433" xr:uid="{00000000-0005-0000-0000-0000BFAA0000}"/>
    <cellStyle name="Normal 6 2 9 2 4 3" xfId="46328" xr:uid="{00000000-0005-0000-0000-0000C0AA0000}"/>
    <cellStyle name="Normal 6 2 9 2 5" xfId="23114" xr:uid="{00000000-0005-0000-0000-0000C1AA0000}"/>
    <cellStyle name="Normal 6 2 9 2 6" xfId="41746" xr:uid="{00000000-0005-0000-0000-0000C2AA0000}"/>
    <cellStyle name="Normal 6 2 9 3" xfId="7791" xr:uid="{00000000-0005-0000-0000-0000C3AA0000}"/>
    <cellStyle name="Normal 6 2 9 3 2" xfId="7792" xr:uid="{00000000-0005-0000-0000-0000C4AA0000}"/>
    <cellStyle name="Normal 6 2 9 3 2 2" xfId="13573" xr:uid="{00000000-0005-0000-0000-0000C5AA0000}"/>
    <cellStyle name="Normal 6 2 9 3 2 2 2" xfId="37058" xr:uid="{00000000-0005-0000-0000-0000C6AA0000}"/>
    <cellStyle name="Normal 6 2 9 3 2 2 3" xfId="27739" xr:uid="{00000000-0005-0000-0000-0000C7AA0000}"/>
    <cellStyle name="Normal 6 2 9 3 2 2 4" xfId="51001" xr:uid="{00000000-0005-0000-0000-0000C8AA0000}"/>
    <cellStyle name="Normal 6 2 9 3 2 3" xfId="18304" xr:uid="{00000000-0005-0000-0000-0000C9AA0000}"/>
    <cellStyle name="Normal 6 2 9 3 2 3 2" xfId="32436" xr:uid="{00000000-0005-0000-0000-0000CAAA0000}"/>
    <cellStyle name="Normal 6 2 9 3 2 3 3" xfId="46331" xr:uid="{00000000-0005-0000-0000-0000CBAA0000}"/>
    <cellStyle name="Normal 6 2 9 3 2 4" xfId="23117" xr:uid="{00000000-0005-0000-0000-0000CCAA0000}"/>
    <cellStyle name="Normal 6 2 9 3 2 5" xfId="41749" xr:uid="{00000000-0005-0000-0000-0000CDAA0000}"/>
    <cellStyle name="Normal 6 2 9 3 3" xfId="13572" xr:uid="{00000000-0005-0000-0000-0000CEAA0000}"/>
    <cellStyle name="Normal 6 2 9 3 3 2" xfId="37057" xr:uid="{00000000-0005-0000-0000-0000CFAA0000}"/>
    <cellStyle name="Normal 6 2 9 3 3 3" xfId="27738" xr:uid="{00000000-0005-0000-0000-0000D0AA0000}"/>
    <cellStyle name="Normal 6 2 9 3 3 4" xfId="51000" xr:uid="{00000000-0005-0000-0000-0000D1AA0000}"/>
    <cellStyle name="Normal 6 2 9 3 4" xfId="18303" xr:uid="{00000000-0005-0000-0000-0000D2AA0000}"/>
    <cellStyle name="Normal 6 2 9 3 4 2" xfId="32435" xr:uid="{00000000-0005-0000-0000-0000D3AA0000}"/>
    <cellStyle name="Normal 6 2 9 3 4 3" xfId="46330" xr:uid="{00000000-0005-0000-0000-0000D4AA0000}"/>
    <cellStyle name="Normal 6 2 9 3 5" xfId="23116" xr:uid="{00000000-0005-0000-0000-0000D5AA0000}"/>
    <cellStyle name="Normal 6 2 9 3 6" xfId="41748" xr:uid="{00000000-0005-0000-0000-0000D6AA0000}"/>
    <cellStyle name="Normal 6 2 9 4" xfId="7793" xr:uid="{00000000-0005-0000-0000-0000D7AA0000}"/>
    <cellStyle name="Normal 6 2 9 4 2" xfId="7794" xr:uid="{00000000-0005-0000-0000-0000D8AA0000}"/>
    <cellStyle name="Normal 6 2 9 4 2 2" xfId="13575" xr:uid="{00000000-0005-0000-0000-0000D9AA0000}"/>
    <cellStyle name="Normal 6 2 9 4 2 2 2" xfId="37060" xr:uid="{00000000-0005-0000-0000-0000DAAA0000}"/>
    <cellStyle name="Normal 6 2 9 4 2 2 3" xfId="27741" xr:uid="{00000000-0005-0000-0000-0000DBAA0000}"/>
    <cellStyle name="Normal 6 2 9 4 2 2 4" xfId="51003" xr:uid="{00000000-0005-0000-0000-0000DCAA0000}"/>
    <cellStyle name="Normal 6 2 9 4 2 3" xfId="18306" xr:uid="{00000000-0005-0000-0000-0000DDAA0000}"/>
    <cellStyle name="Normal 6 2 9 4 2 3 2" xfId="32438" xr:uid="{00000000-0005-0000-0000-0000DEAA0000}"/>
    <cellStyle name="Normal 6 2 9 4 2 3 3" xfId="46333" xr:uid="{00000000-0005-0000-0000-0000DFAA0000}"/>
    <cellStyle name="Normal 6 2 9 4 2 4" xfId="23119" xr:uid="{00000000-0005-0000-0000-0000E0AA0000}"/>
    <cellStyle name="Normal 6 2 9 4 2 5" xfId="41751" xr:uid="{00000000-0005-0000-0000-0000E1AA0000}"/>
    <cellStyle name="Normal 6 2 9 4 3" xfId="13574" xr:uid="{00000000-0005-0000-0000-0000E2AA0000}"/>
    <cellStyle name="Normal 6 2 9 4 3 2" xfId="37059" xr:uid="{00000000-0005-0000-0000-0000E3AA0000}"/>
    <cellStyle name="Normal 6 2 9 4 3 3" xfId="27740" xr:uid="{00000000-0005-0000-0000-0000E4AA0000}"/>
    <cellStyle name="Normal 6 2 9 4 3 4" xfId="51002" xr:uid="{00000000-0005-0000-0000-0000E5AA0000}"/>
    <cellStyle name="Normal 6 2 9 4 4" xfId="18305" xr:uid="{00000000-0005-0000-0000-0000E6AA0000}"/>
    <cellStyle name="Normal 6 2 9 4 4 2" xfId="32437" xr:uid="{00000000-0005-0000-0000-0000E7AA0000}"/>
    <cellStyle name="Normal 6 2 9 4 4 3" xfId="46332" xr:uid="{00000000-0005-0000-0000-0000E8AA0000}"/>
    <cellStyle name="Normal 6 2 9 4 5" xfId="23118" xr:uid="{00000000-0005-0000-0000-0000E9AA0000}"/>
    <cellStyle name="Normal 6 2 9 4 6" xfId="41750" xr:uid="{00000000-0005-0000-0000-0000EAAA0000}"/>
    <cellStyle name="Normal 6 2 9 5" xfId="7795" xr:uid="{00000000-0005-0000-0000-0000EBAA0000}"/>
    <cellStyle name="Normal 6 2 9 5 2" xfId="7796" xr:uid="{00000000-0005-0000-0000-0000ECAA0000}"/>
    <cellStyle name="Normal 6 2 9 5 2 2" xfId="13577" xr:uid="{00000000-0005-0000-0000-0000EDAA0000}"/>
    <cellStyle name="Normal 6 2 9 5 2 2 2" xfId="37062" xr:uid="{00000000-0005-0000-0000-0000EEAA0000}"/>
    <cellStyle name="Normal 6 2 9 5 2 2 3" xfId="27743" xr:uid="{00000000-0005-0000-0000-0000EFAA0000}"/>
    <cellStyle name="Normal 6 2 9 5 2 2 4" xfId="51005" xr:uid="{00000000-0005-0000-0000-0000F0AA0000}"/>
    <cellStyle name="Normal 6 2 9 5 2 3" xfId="18308" xr:uid="{00000000-0005-0000-0000-0000F1AA0000}"/>
    <cellStyle name="Normal 6 2 9 5 2 3 2" xfId="32440" xr:uid="{00000000-0005-0000-0000-0000F2AA0000}"/>
    <cellStyle name="Normal 6 2 9 5 2 3 3" xfId="46335" xr:uid="{00000000-0005-0000-0000-0000F3AA0000}"/>
    <cellStyle name="Normal 6 2 9 5 2 4" xfId="23121" xr:uid="{00000000-0005-0000-0000-0000F4AA0000}"/>
    <cellStyle name="Normal 6 2 9 5 2 5" xfId="41753" xr:uid="{00000000-0005-0000-0000-0000F5AA0000}"/>
    <cellStyle name="Normal 6 2 9 5 3" xfId="13576" xr:uid="{00000000-0005-0000-0000-0000F6AA0000}"/>
    <cellStyle name="Normal 6 2 9 5 3 2" xfId="37061" xr:uid="{00000000-0005-0000-0000-0000F7AA0000}"/>
    <cellStyle name="Normal 6 2 9 5 3 3" xfId="27742" xr:uid="{00000000-0005-0000-0000-0000F8AA0000}"/>
    <cellStyle name="Normal 6 2 9 5 3 4" xfId="51004" xr:uid="{00000000-0005-0000-0000-0000F9AA0000}"/>
    <cellStyle name="Normal 6 2 9 5 4" xfId="18307" xr:uid="{00000000-0005-0000-0000-0000FAAA0000}"/>
    <cellStyle name="Normal 6 2 9 5 4 2" xfId="32439" xr:uid="{00000000-0005-0000-0000-0000FBAA0000}"/>
    <cellStyle name="Normal 6 2 9 5 4 3" xfId="46334" xr:uid="{00000000-0005-0000-0000-0000FCAA0000}"/>
    <cellStyle name="Normal 6 2 9 5 5" xfId="23120" xr:uid="{00000000-0005-0000-0000-0000FDAA0000}"/>
    <cellStyle name="Normal 6 2 9 5 6" xfId="41752" xr:uid="{00000000-0005-0000-0000-0000FEAA0000}"/>
    <cellStyle name="Normal 6 2 9 6" xfId="7797" xr:uid="{00000000-0005-0000-0000-0000FFAA0000}"/>
    <cellStyle name="Normal 6 2 9 6 2" xfId="7798" xr:uid="{00000000-0005-0000-0000-000000AB0000}"/>
    <cellStyle name="Normal 6 2 9 6 2 2" xfId="13579" xr:uid="{00000000-0005-0000-0000-000001AB0000}"/>
    <cellStyle name="Normal 6 2 9 6 2 2 2" xfId="37064" xr:uid="{00000000-0005-0000-0000-000002AB0000}"/>
    <cellStyle name="Normal 6 2 9 6 2 2 3" xfId="27745" xr:uid="{00000000-0005-0000-0000-000003AB0000}"/>
    <cellStyle name="Normal 6 2 9 6 2 2 4" xfId="51007" xr:uid="{00000000-0005-0000-0000-000004AB0000}"/>
    <cellStyle name="Normal 6 2 9 6 2 3" xfId="18310" xr:uid="{00000000-0005-0000-0000-000005AB0000}"/>
    <cellStyle name="Normal 6 2 9 6 2 3 2" xfId="32442" xr:uid="{00000000-0005-0000-0000-000006AB0000}"/>
    <cellStyle name="Normal 6 2 9 6 2 3 3" xfId="46337" xr:uid="{00000000-0005-0000-0000-000007AB0000}"/>
    <cellStyle name="Normal 6 2 9 6 2 4" xfId="23123" xr:uid="{00000000-0005-0000-0000-000008AB0000}"/>
    <cellStyle name="Normal 6 2 9 6 2 5" xfId="41755" xr:uid="{00000000-0005-0000-0000-000009AB0000}"/>
    <cellStyle name="Normal 6 2 9 6 3" xfId="13578" xr:uid="{00000000-0005-0000-0000-00000AAB0000}"/>
    <cellStyle name="Normal 6 2 9 6 3 2" xfId="37063" xr:uid="{00000000-0005-0000-0000-00000BAB0000}"/>
    <cellStyle name="Normal 6 2 9 6 3 3" xfId="27744" xr:uid="{00000000-0005-0000-0000-00000CAB0000}"/>
    <cellStyle name="Normal 6 2 9 6 3 4" xfId="51006" xr:uid="{00000000-0005-0000-0000-00000DAB0000}"/>
    <cellStyle name="Normal 6 2 9 6 4" xfId="18309" xr:uid="{00000000-0005-0000-0000-00000EAB0000}"/>
    <cellStyle name="Normal 6 2 9 6 4 2" xfId="32441" xr:uid="{00000000-0005-0000-0000-00000FAB0000}"/>
    <cellStyle name="Normal 6 2 9 6 4 3" xfId="46336" xr:uid="{00000000-0005-0000-0000-000010AB0000}"/>
    <cellStyle name="Normal 6 2 9 6 5" xfId="23122" xr:uid="{00000000-0005-0000-0000-000011AB0000}"/>
    <cellStyle name="Normal 6 2 9 6 6" xfId="41754" xr:uid="{00000000-0005-0000-0000-000012AB0000}"/>
    <cellStyle name="Normal 6 2 9 7" xfId="7799" xr:uid="{00000000-0005-0000-0000-000013AB0000}"/>
    <cellStyle name="Normal 6 2 9 7 2" xfId="13580" xr:uid="{00000000-0005-0000-0000-000014AB0000}"/>
    <cellStyle name="Normal 6 2 9 7 2 2" xfId="37065" xr:uid="{00000000-0005-0000-0000-000015AB0000}"/>
    <cellStyle name="Normal 6 2 9 7 2 3" xfId="27746" xr:uid="{00000000-0005-0000-0000-000016AB0000}"/>
    <cellStyle name="Normal 6 2 9 7 2 4" xfId="51008" xr:uid="{00000000-0005-0000-0000-000017AB0000}"/>
    <cellStyle name="Normal 6 2 9 7 3" xfId="18311" xr:uid="{00000000-0005-0000-0000-000018AB0000}"/>
    <cellStyle name="Normal 6 2 9 7 3 2" xfId="32443" xr:uid="{00000000-0005-0000-0000-000019AB0000}"/>
    <cellStyle name="Normal 6 2 9 7 3 3" xfId="46338" xr:uid="{00000000-0005-0000-0000-00001AAB0000}"/>
    <cellStyle name="Normal 6 2 9 7 4" xfId="23124" xr:uid="{00000000-0005-0000-0000-00001BAB0000}"/>
    <cellStyle name="Normal 6 2 9 7 5" xfId="41756" xr:uid="{00000000-0005-0000-0000-00001CAB0000}"/>
    <cellStyle name="Normal 6 2 9 8" xfId="13569" xr:uid="{00000000-0005-0000-0000-00001DAB0000}"/>
    <cellStyle name="Normal 6 2 9 8 2" xfId="37054" xr:uid="{00000000-0005-0000-0000-00001EAB0000}"/>
    <cellStyle name="Normal 6 2 9 8 3" xfId="27735" xr:uid="{00000000-0005-0000-0000-00001FAB0000}"/>
    <cellStyle name="Normal 6 2 9 8 4" xfId="50997" xr:uid="{00000000-0005-0000-0000-000020AB0000}"/>
    <cellStyle name="Normal 6 2 9 9" xfId="18300" xr:uid="{00000000-0005-0000-0000-000021AB0000}"/>
    <cellStyle name="Normal 6 2 9 9 2" xfId="32432" xr:uid="{00000000-0005-0000-0000-000022AB0000}"/>
    <cellStyle name="Normal 6 2 9 9 3" xfId="46327" xr:uid="{00000000-0005-0000-0000-000023AB0000}"/>
    <cellStyle name="Normal 6 2 90" xfId="426" xr:uid="{00000000-0005-0000-0000-000024AB0000}"/>
    <cellStyle name="Normal 6 2 90 2" xfId="9684" xr:uid="{00000000-0005-0000-0000-000025AB0000}"/>
    <cellStyle name="Normal 6 2 90 2 2" xfId="33175" xr:uid="{00000000-0005-0000-0000-000026AB0000}"/>
    <cellStyle name="Normal 6 2 90 2 3" xfId="23860" xr:uid="{00000000-0005-0000-0000-000027AB0000}"/>
    <cellStyle name="Normal 6 2 90 2 4" xfId="47118" xr:uid="{00000000-0005-0000-0000-000028AB0000}"/>
    <cellStyle name="Normal 6 2 90 3" xfId="14445" xr:uid="{00000000-0005-0000-0000-000029AB0000}"/>
    <cellStyle name="Normal 6 2 90 3 2" xfId="28576" xr:uid="{00000000-0005-0000-0000-00002AAB0000}"/>
    <cellStyle name="Normal 6 2 90 3 3" xfId="42456" xr:uid="{00000000-0005-0000-0000-00002BAB0000}"/>
    <cellStyle name="Normal 6 2 90 4" xfId="19256" xr:uid="{00000000-0005-0000-0000-00002CAB0000}"/>
    <cellStyle name="Normal 6 2 90 5" xfId="37891" xr:uid="{00000000-0005-0000-0000-00002DAB0000}"/>
    <cellStyle name="Normal 6 2 91" xfId="9490" xr:uid="{00000000-0005-0000-0000-00002EAB0000}"/>
    <cellStyle name="Normal 6 2 91 2" xfId="14159" xr:uid="{00000000-0005-0000-0000-00002FAB0000}"/>
    <cellStyle name="Normal 6 2 91 2 2" xfId="37637" xr:uid="{00000000-0005-0000-0000-000030AB0000}"/>
    <cellStyle name="Normal 6 2 91 2 3" xfId="28323" xr:uid="{00000000-0005-0000-0000-000031AB0000}"/>
    <cellStyle name="Normal 6 2 91 2 4" xfId="51586" xr:uid="{00000000-0005-0000-0000-000032AB0000}"/>
    <cellStyle name="Normal 6 2 91 3" xfId="18871" xr:uid="{00000000-0005-0000-0000-000033AB0000}"/>
    <cellStyle name="Normal 6 2 91 3 2" xfId="33003" xr:uid="{00000000-0005-0000-0000-000034AB0000}"/>
    <cellStyle name="Normal 6 2 91 3 3" xfId="46905" xr:uid="{00000000-0005-0000-0000-000035AB0000}"/>
    <cellStyle name="Normal 6 2 91 4" xfId="23689" xr:uid="{00000000-0005-0000-0000-000036AB0000}"/>
    <cellStyle name="Normal 6 2 91 5" xfId="42276" xr:uid="{00000000-0005-0000-0000-000037AB0000}"/>
    <cellStyle name="Normal 6 2 92" xfId="9530" xr:uid="{00000000-0005-0000-0000-000038AB0000}"/>
    <cellStyle name="Normal 6 2 92 2" xfId="14196" xr:uid="{00000000-0005-0000-0000-000039AB0000}"/>
    <cellStyle name="Normal 6 2 92 2 2" xfId="37671" xr:uid="{00000000-0005-0000-0000-00003AAB0000}"/>
    <cellStyle name="Normal 6 2 92 2 3" xfId="28356" xr:uid="{00000000-0005-0000-0000-00003BAB0000}"/>
    <cellStyle name="Normal 6 2 92 2 4" xfId="51623" xr:uid="{00000000-0005-0000-0000-00003CAB0000}"/>
    <cellStyle name="Normal 6 2 92 3" xfId="18904" xr:uid="{00000000-0005-0000-0000-00003DAB0000}"/>
    <cellStyle name="Normal 6 2 92 3 2" xfId="33037" xr:uid="{00000000-0005-0000-0000-00003EAB0000}"/>
    <cellStyle name="Normal 6 2 92 3 3" xfId="46943" xr:uid="{00000000-0005-0000-0000-00003FAB0000}"/>
    <cellStyle name="Normal 6 2 92 4" xfId="23724" xr:uid="{00000000-0005-0000-0000-000040AB0000}"/>
    <cellStyle name="Normal 6 2 92 5" xfId="42309" xr:uid="{00000000-0005-0000-0000-000041AB0000}"/>
    <cellStyle name="Normal 6 2 93" xfId="9635" xr:uid="{00000000-0005-0000-0000-000042AB0000}"/>
    <cellStyle name="Normal 6 2 93 2" xfId="33127" xr:uid="{00000000-0005-0000-0000-000043AB0000}"/>
    <cellStyle name="Normal 6 2 93 3" xfId="23815" xr:uid="{00000000-0005-0000-0000-000044AB0000}"/>
    <cellStyle name="Normal 6 2 93 4" xfId="47069" xr:uid="{00000000-0005-0000-0000-000045AB0000}"/>
    <cellStyle name="Normal 6 2 94" xfId="14398" xr:uid="{00000000-0005-0000-0000-000046AB0000}"/>
    <cellStyle name="Normal 6 2 94 2" xfId="28530" xr:uid="{00000000-0005-0000-0000-000047AB0000}"/>
    <cellStyle name="Normal 6 2 94 3" xfId="42406" xr:uid="{00000000-0005-0000-0000-000048AB0000}"/>
    <cellStyle name="Normal 6 2 95" xfId="19211" xr:uid="{00000000-0005-0000-0000-000049AB0000}"/>
    <cellStyle name="Normal 6 2 96" xfId="37846" xr:uid="{00000000-0005-0000-0000-00004AAB0000}"/>
    <cellStyle name="Normal 6 20" xfId="7800" xr:uid="{00000000-0005-0000-0000-00004BAB0000}"/>
    <cellStyle name="Normal 6 20 10" xfId="18312" xr:uid="{00000000-0005-0000-0000-00004CAB0000}"/>
    <cellStyle name="Normal 6 20 10 2" xfId="32444" xr:uid="{00000000-0005-0000-0000-00004DAB0000}"/>
    <cellStyle name="Normal 6 20 10 3" xfId="46339" xr:uid="{00000000-0005-0000-0000-00004EAB0000}"/>
    <cellStyle name="Normal 6 20 11" xfId="23125" xr:uid="{00000000-0005-0000-0000-00004FAB0000}"/>
    <cellStyle name="Normal 6 20 12" xfId="41757" xr:uid="{00000000-0005-0000-0000-000050AB0000}"/>
    <cellStyle name="Normal 6 20 2" xfId="7801" xr:uid="{00000000-0005-0000-0000-000051AB0000}"/>
    <cellStyle name="Normal 6 20 2 2" xfId="7802" xr:uid="{00000000-0005-0000-0000-000052AB0000}"/>
    <cellStyle name="Normal 6 20 2 2 2" xfId="13583" xr:uid="{00000000-0005-0000-0000-000053AB0000}"/>
    <cellStyle name="Normal 6 20 2 2 2 2" xfId="37068" xr:uid="{00000000-0005-0000-0000-000054AB0000}"/>
    <cellStyle name="Normal 6 20 2 2 2 3" xfId="27749" xr:uid="{00000000-0005-0000-0000-000055AB0000}"/>
    <cellStyle name="Normal 6 20 2 2 2 4" xfId="51011" xr:uid="{00000000-0005-0000-0000-000056AB0000}"/>
    <cellStyle name="Normal 6 20 2 2 3" xfId="18314" xr:uid="{00000000-0005-0000-0000-000057AB0000}"/>
    <cellStyle name="Normal 6 20 2 2 3 2" xfId="32446" xr:uid="{00000000-0005-0000-0000-000058AB0000}"/>
    <cellStyle name="Normal 6 20 2 2 3 3" xfId="46341" xr:uid="{00000000-0005-0000-0000-000059AB0000}"/>
    <cellStyle name="Normal 6 20 2 2 4" xfId="23127" xr:uid="{00000000-0005-0000-0000-00005AAB0000}"/>
    <cellStyle name="Normal 6 20 2 2 5" xfId="41759" xr:uid="{00000000-0005-0000-0000-00005BAB0000}"/>
    <cellStyle name="Normal 6 20 2 3" xfId="13582" xr:uid="{00000000-0005-0000-0000-00005CAB0000}"/>
    <cellStyle name="Normal 6 20 2 3 2" xfId="37067" xr:uid="{00000000-0005-0000-0000-00005DAB0000}"/>
    <cellStyle name="Normal 6 20 2 3 3" xfId="27748" xr:uid="{00000000-0005-0000-0000-00005EAB0000}"/>
    <cellStyle name="Normal 6 20 2 3 4" xfId="51010" xr:uid="{00000000-0005-0000-0000-00005FAB0000}"/>
    <cellStyle name="Normal 6 20 2 4" xfId="18313" xr:uid="{00000000-0005-0000-0000-000060AB0000}"/>
    <cellStyle name="Normal 6 20 2 4 2" xfId="32445" xr:uid="{00000000-0005-0000-0000-000061AB0000}"/>
    <cellStyle name="Normal 6 20 2 4 3" xfId="46340" xr:uid="{00000000-0005-0000-0000-000062AB0000}"/>
    <cellStyle name="Normal 6 20 2 5" xfId="23126" xr:uid="{00000000-0005-0000-0000-000063AB0000}"/>
    <cellStyle name="Normal 6 20 2 6" xfId="41758" xr:uid="{00000000-0005-0000-0000-000064AB0000}"/>
    <cellStyle name="Normal 6 20 3" xfId="7803" xr:uid="{00000000-0005-0000-0000-000065AB0000}"/>
    <cellStyle name="Normal 6 20 3 2" xfId="7804" xr:uid="{00000000-0005-0000-0000-000066AB0000}"/>
    <cellStyle name="Normal 6 20 3 2 2" xfId="13585" xr:uid="{00000000-0005-0000-0000-000067AB0000}"/>
    <cellStyle name="Normal 6 20 3 2 2 2" xfId="37070" xr:uid="{00000000-0005-0000-0000-000068AB0000}"/>
    <cellStyle name="Normal 6 20 3 2 2 3" xfId="27751" xr:uid="{00000000-0005-0000-0000-000069AB0000}"/>
    <cellStyle name="Normal 6 20 3 2 2 4" xfId="51013" xr:uid="{00000000-0005-0000-0000-00006AAB0000}"/>
    <cellStyle name="Normal 6 20 3 2 3" xfId="18316" xr:uid="{00000000-0005-0000-0000-00006BAB0000}"/>
    <cellStyle name="Normal 6 20 3 2 3 2" xfId="32448" xr:uid="{00000000-0005-0000-0000-00006CAB0000}"/>
    <cellStyle name="Normal 6 20 3 2 3 3" xfId="46343" xr:uid="{00000000-0005-0000-0000-00006DAB0000}"/>
    <cellStyle name="Normal 6 20 3 2 4" xfId="23129" xr:uid="{00000000-0005-0000-0000-00006EAB0000}"/>
    <cellStyle name="Normal 6 20 3 2 5" xfId="41761" xr:uid="{00000000-0005-0000-0000-00006FAB0000}"/>
    <cellStyle name="Normal 6 20 3 3" xfId="13584" xr:uid="{00000000-0005-0000-0000-000070AB0000}"/>
    <cellStyle name="Normal 6 20 3 3 2" xfId="37069" xr:uid="{00000000-0005-0000-0000-000071AB0000}"/>
    <cellStyle name="Normal 6 20 3 3 3" xfId="27750" xr:uid="{00000000-0005-0000-0000-000072AB0000}"/>
    <cellStyle name="Normal 6 20 3 3 4" xfId="51012" xr:uid="{00000000-0005-0000-0000-000073AB0000}"/>
    <cellStyle name="Normal 6 20 3 4" xfId="18315" xr:uid="{00000000-0005-0000-0000-000074AB0000}"/>
    <cellStyle name="Normal 6 20 3 4 2" xfId="32447" xr:uid="{00000000-0005-0000-0000-000075AB0000}"/>
    <cellStyle name="Normal 6 20 3 4 3" xfId="46342" xr:uid="{00000000-0005-0000-0000-000076AB0000}"/>
    <cellStyle name="Normal 6 20 3 5" xfId="23128" xr:uid="{00000000-0005-0000-0000-000077AB0000}"/>
    <cellStyle name="Normal 6 20 3 6" xfId="41760" xr:uid="{00000000-0005-0000-0000-000078AB0000}"/>
    <cellStyle name="Normal 6 20 4" xfId="7805" xr:uid="{00000000-0005-0000-0000-000079AB0000}"/>
    <cellStyle name="Normal 6 20 4 2" xfId="7806" xr:uid="{00000000-0005-0000-0000-00007AAB0000}"/>
    <cellStyle name="Normal 6 20 4 2 2" xfId="13587" xr:uid="{00000000-0005-0000-0000-00007BAB0000}"/>
    <cellStyle name="Normal 6 20 4 2 2 2" xfId="37072" xr:uid="{00000000-0005-0000-0000-00007CAB0000}"/>
    <cellStyle name="Normal 6 20 4 2 2 3" xfId="27753" xr:uid="{00000000-0005-0000-0000-00007DAB0000}"/>
    <cellStyle name="Normal 6 20 4 2 2 4" xfId="51015" xr:uid="{00000000-0005-0000-0000-00007EAB0000}"/>
    <cellStyle name="Normal 6 20 4 2 3" xfId="18318" xr:uid="{00000000-0005-0000-0000-00007FAB0000}"/>
    <cellStyle name="Normal 6 20 4 2 3 2" xfId="32450" xr:uid="{00000000-0005-0000-0000-000080AB0000}"/>
    <cellStyle name="Normal 6 20 4 2 3 3" xfId="46345" xr:uid="{00000000-0005-0000-0000-000081AB0000}"/>
    <cellStyle name="Normal 6 20 4 2 4" xfId="23131" xr:uid="{00000000-0005-0000-0000-000082AB0000}"/>
    <cellStyle name="Normal 6 20 4 2 5" xfId="41763" xr:uid="{00000000-0005-0000-0000-000083AB0000}"/>
    <cellStyle name="Normal 6 20 4 3" xfId="13586" xr:uid="{00000000-0005-0000-0000-000084AB0000}"/>
    <cellStyle name="Normal 6 20 4 3 2" xfId="37071" xr:uid="{00000000-0005-0000-0000-000085AB0000}"/>
    <cellStyle name="Normal 6 20 4 3 3" xfId="27752" xr:uid="{00000000-0005-0000-0000-000086AB0000}"/>
    <cellStyle name="Normal 6 20 4 3 4" xfId="51014" xr:uid="{00000000-0005-0000-0000-000087AB0000}"/>
    <cellStyle name="Normal 6 20 4 4" xfId="18317" xr:uid="{00000000-0005-0000-0000-000088AB0000}"/>
    <cellStyle name="Normal 6 20 4 4 2" xfId="32449" xr:uid="{00000000-0005-0000-0000-000089AB0000}"/>
    <cellStyle name="Normal 6 20 4 4 3" xfId="46344" xr:uid="{00000000-0005-0000-0000-00008AAB0000}"/>
    <cellStyle name="Normal 6 20 4 5" xfId="23130" xr:uid="{00000000-0005-0000-0000-00008BAB0000}"/>
    <cellStyle name="Normal 6 20 4 6" xfId="41762" xr:uid="{00000000-0005-0000-0000-00008CAB0000}"/>
    <cellStyle name="Normal 6 20 5" xfId="7807" xr:uid="{00000000-0005-0000-0000-00008DAB0000}"/>
    <cellStyle name="Normal 6 20 5 2" xfId="7808" xr:uid="{00000000-0005-0000-0000-00008EAB0000}"/>
    <cellStyle name="Normal 6 20 5 2 2" xfId="13589" xr:uid="{00000000-0005-0000-0000-00008FAB0000}"/>
    <cellStyle name="Normal 6 20 5 2 2 2" xfId="37074" xr:uid="{00000000-0005-0000-0000-000090AB0000}"/>
    <cellStyle name="Normal 6 20 5 2 2 3" xfId="27755" xr:uid="{00000000-0005-0000-0000-000091AB0000}"/>
    <cellStyle name="Normal 6 20 5 2 2 4" xfId="51017" xr:uid="{00000000-0005-0000-0000-000092AB0000}"/>
    <cellStyle name="Normal 6 20 5 2 3" xfId="18320" xr:uid="{00000000-0005-0000-0000-000093AB0000}"/>
    <cellStyle name="Normal 6 20 5 2 3 2" xfId="32452" xr:uid="{00000000-0005-0000-0000-000094AB0000}"/>
    <cellStyle name="Normal 6 20 5 2 3 3" xfId="46347" xr:uid="{00000000-0005-0000-0000-000095AB0000}"/>
    <cellStyle name="Normal 6 20 5 2 4" xfId="23133" xr:uid="{00000000-0005-0000-0000-000096AB0000}"/>
    <cellStyle name="Normal 6 20 5 2 5" xfId="41765" xr:uid="{00000000-0005-0000-0000-000097AB0000}"/>
    <cellStyle name="Normal 6 20 5 3" xfId="13588" xr:uid="{00000000-0005-0000-0000-000098AB0000}"/>
    <cellStyle name="Normal 6 20 5 3 2" xfId="37073" xr:uid="{00000000-0005-0000-0000-000099AB0000}"/>
    <cellStyle name="Normal 6 20 5 3 3" xfId="27754" xr:uid="{00000000-0005-0000-0000-00009AAB0000}"/>
    <cellStyle name="Normal 6 20 5 3 4" xfId="51016" xr:uid="{00000000-0005-0000-0000-00009BAB0000}"/>
    <cellStyle name="Normal 6 20 5 4" xfId="18319" xr:uid="{00000000-0005-0000-0000-00009CAB0000}"/>
    <cellStyle name="Normal 6 20 5 4 2" xfId="32451" xr:uid="{00000000-0005-0000-0000-00009DAB0000}"/>
    <cellStyle name="Normal 6 20 5 4 3" xfId="46346" xr:uid="{00000000-0005-0000-0000-00009EAB0000}"/>
    <cellStyle name="Normal 6 20 5 5" xfId="23132" xr:uid="{00000000-0005-0000-0000-00009FAB0000}"/>
    <cellStyle name="Normal 6 20 5 6" xfId="41764" xr:uid="{00000000-0005-0000-0000-0000A0AB0000}"/>
    <cellStyle name="Normal 6 20 6" xfId="7809" xr:uid="{00000000-0005-0000-0000-0000A1AB0000}"/>
    <cellStyle name="Normal 6 20 6 2" xfId="7810" xr:uid="{00000000-0005-0000-0000-0000A2AB0000}"/>
    <cellStyle name="Normal 6 20 6 2 2" xfId="13591" xr:uid="{00000000-0005-0000-0000-0000A3AB0000}"/>
    <cellStyle name="Normal 6 20 6 2 2 2" xfId="37076" xr:uid="{00000000-0005-0000-0000-0000A4AB0000}"/>
    <cellStyle name="Normal 6 20 6 2 2 3" xfId="27757" xr:uid="{00000000-0005-0000-0000-0000A5AB0000}"/>
    <cellStyle name="Normal 6 20 6 2 2 4" xfId="51019" xr:uid="{00000000-0005-0000-0000-0000A6AB0000}"/>
    <cellStyle name="Normal 6 20 6 2 3" xfId="18322" xr:uid="{00000000-0005-0000-0000-0000A7AB0000}"/>
    <cellStyle name="Normal 6 20 6 2 3 2" xfId="32454" xr:uid="{00000000-0005-0000-0000-0000A8AB0000}"/>
    <cellStyle name="Normal 6 20 6 2 3 3" xfId="46349" xr:uid="{00000000-0005-0000-0000-0000A9AB0000}"/>
    <cellStyle name="Normal 6 20 6 2 4" xfId="23135" xr:uid="{00000000-0005-0000-0000-0000AAAB0000}"/>
    <cellStyle name="Normal 6 20 6 2 5" xfId="41767" xr:uid="{00000000-0005-0000-0000-0000ABAB0000}"/>
    <cellStyle name="Normal 6 20 6 3" xfId="13590" xr:uid="{00000000-0005-0000-0000-0000ACAB0000}"/>
    <cellStyle name="Normal 6 20 6 3 2" xfId="37075" xr:uid="{00000000-0005-0000-0000-0000ADAB0000}"/>
    <cellStyle name="Normal 6 20 6 3 3" xfId="27756" xr:uid="{00000000-0005-0000-0000-0000AEAB0000}"/>
    <cellStyle name="Normal 6 20 6 3 4" xfId="51018" xr:uid="{00000000-0005-0000-0000-0000AFAB0000}"/>
    <cellStyle name="Normal 6 20 6 4" xfId="18321" xr:uid="{00000000-0005-0000-0000-0000B0AB0000}"/>
    <cellStyle name="Normal 6 20 6 4 2" xfId="32453" xr:uid="{00000000-0005-0000-0000-0000B1AB0000}"/>
    <cellStyle name="Normal 6 20 6 4 3" xfId="46348" xr:uid="{00000000-0005-0000-0000-0000B2AB0000}"/>
    <cellStyle name="Normal 6 20 6 5" xfId="23134" xr:uid="{00000000-0005-0000-0000-0000B3AB0000}"/>
    <cellStyle name="Normal 6 20 6 6" xfId="41766" xr:uid="{00000000-0005-0000-0000-0000B4AB0000}"/>
    <cellStyle name="Normal 6 20 7" xfId="7811" xr:uid="{00000000-0005-0000-0000-0000B5AB0000}"/>
    <cellStyle name="Normal 6 20 7 2" xfId="13592" xr:uid="{00000000-0005-0000-0000-0000B6AB0000}"/>
    <cellStyle name="Normal 6 20 7 2 2" xfId="37077" xr:uid="{00000000-0005-0000-0000-0000B7AB0000}"/>
    <cellStyle name="Normal 6 20 7 2 3" xfId="27758" xr:uid="{00000000-0005-0000-0000-0000B8AB0000}"/>
    <cellStyle name="Normal 6 20 7 2 4" xfId="51020" xr:uid="{00000000-0005-0000-0000-0000B9AB0000}"/>
    <cellStyle name="Normal 6 20 7 3" xfId="18323" xr:uid="{00000000-0005-0000-0000-0000BAAB0000}"/>
    <cellStyle name="Normal 6 20 7 3 2" xfId="32455" xr:uid="{00000000-0005-0000-0000-0000BBAB0000}"/>
    <cellStyle name="Normal 6 20 7 3 3" xfId="46350" xr:uid="{00000000-0005-0000-0000-0000BCAB0000}"/>
    <cellStyle name="Normal 6 20 7 4" xfId="23136" xr:uid="{00000000-0005-0000-0000-0000BDAB0000}"/>
    <cellStyle name="Normal 6 20 7 5" xfId="41768" xr:uid="{00000000-0005-0000-0000-0000BEAB0000}"/>
    <cellStyle name="Normal 6 20 8" xfId="7812" xr:uid="{00000000-0005-0000-0000-0000BFAB0000}"/>
    <cellStyle name="Normal 6 20 8 2" xfId="13593" xr:uid="{00000000-0005-0000-0000-0000C0AB0000}"/>
    <cellStyle name="Normal 6 20 8 2 2" xfId="37078" xr:uid="{00000000-0005-0000-0000-0000C1AB0000}"/>
    <cellStyle name="Normal 6 20 8 2 3" xfId="27759" xr:uid="{00000000-0005-0000-0000-0000C2AB0000}"/>
    <cellStyle name="Normal 6 20 8 2 4" xfId="51021" xr:uid="{00000000-0005-0000-0000-0000C3AB0000}"/>
    <cellStyle name="Normal 6 20 8 3" xfId="18324" xr:uid="{00000000-0005-0000-0000-0000C4AB0000}"/>
    <cellStyle name="Normal 6 20 8 3 2" xfId="32456" xr:uid="{00000000-0005-0000-0000-0000C5AB0000}"/>
    <cellStyle name="Normal 6 20 8 3 3" xfId="46351" xr:uid="{00000000-0005-0000-0000-0000C6AB0000}"/>
    <cellStyle name="Normal 6 20 8 4" xfId="23137" xr:uid="{00000000-0005-0000-0000-0000C7AB0000}"/>
    <cellStyle name="Normal 6 20 8 5" xfId="41769" xr:uid="{00000000-0005-0000-0000-0000C8AB0000}"/>
    <cellStyle name="Normal 6 20 9" xfId="13581" xr:uid="{00000000-0005-0000-0000-0000C9AB0000}"/>
    <cellStyle name="Normal 6 20 9 2" xfId="37066" xr:uid="{00000000-0005-0000-0000-0000CAAB0000}"/>
    <cellStyle name="Normal 6 20 9 3" xfId="27747" xr:uid="{00000000-0005-0000-0000-0000CBAB0000}"/>
    <cellStyle name="Normal 6 20 9 4" xfId="51009" xr:uid="{00000000-0005-0000-0000-0000CCAB0000}"/>
    <cellStyle name="Normal 6 21" xfId="7813" xr:uid="{00000000-0005-0000-0000-0000CDAB0000}"/>
    <cellStyle name="Normal 6 21 10" xfId="18325" xr:uid="{00000000-0005-0000-0000-0000CEAB0000}"/>
    <cellStyle name="Normal 6 21 10 2" xfId="32457" xr:uid="{00000000-0005-0000-0000-0000CFAB0000}"/>
    <cellStyle name="Normal 6 21 10 3" xfId="46352" xr:uid="{00000000-0005-0000-0000-0000D0AB0000}"/>
    <cellStyle name="Normal 6 21 11" xfId="23138" xr:uid="{00000000-0005-0000-0000-0000D1AB0000}"/>
    <cellStyle name="Normal 6 21 12" xfId="41770" xr:uid="{00000000-0005-0000-0000-0000D2AB0000}"/>
    <cellStyle name="Normal 6 21 2" xfId="7814" xr:uid="{00000000-0005-0000-0000-0000D3AB0000}"/>
    <cellStyle name="Normal 6 21 2 2" xfId="7815" xr:uid="{00000000-0005-0000-0000-0000D4AB0000}"/>
    <cellStyle name="Normal 6 21 2 2 2" xfId="13596" xr:uid="{00000000-0005-0000-0000-0000D5AB0000}"/>
    <cellStyle name="Normal 6 21 2 2 2 2" xfId="37081" xr:uid="{00000000-0005-0000-0000-0000D6AB0000}"/>
    <cellStyle name="Normal 6 21 2 2 2 3" xfId="27762" xr:uid="{00000000-0005-0000-0000-0000D7AB0000}"/>
    <cellStyle name="Normal 6 21 2 2 2 4" xfId="51024" xr:uid="{00000000-0005-0000-0000-0000D8AB0000}"/>
    <cellStyle name="Normal 6 21 2 2 3" xfId="18327" xr:uid="{00000000-0005-0000-0000-0000D9AB0000}"/>
    <cellStyle name="Normal 6 21 2 2 3 2" xfId="32459" xr:uid="{00000000-0005-0000-0000-0000DAAB0000}"/>
    <cellStyle name="Normal 6 21 2 2 3 3" xfId="46354" xr:uid="{00000000-0005-0000-0000-0000DBAB0000}"/>
    <cellStyle name="Normal 6 21 2 2 4" xfId="23140" xr:uid="{00000000-0005-0000-0000-0000DCAB0000}"/>
    <cellStyle name="Normal 6 21 2 2 5" xfId="41772" xr:uid="{00000000-0005-0000-0000-0000DDAB0000}"/>
    <cellStyle name="Normal 6 21 2 3" xfId="13595" xr:uid="{00000000-0005-0000-0000-0000DEAB0000}"/>
    <cellStyle name="Normal 6 21 2 3 2" xfId="37080" xr:uid="{00000000-0005-0000-0000-0000DFAB0000}"/>
    <cellStyle name="Normal 6 21 2 3 3" xfId="27761" xr:uid="{00000000-0005-0000-0000-0000E0AB0000}"/>
    <cellStyle name="Normal 6 21 2 3 4" xfId="51023" xr:uid="{00000000-0005-0000-0000-0000E1AB0000}"/>
    <cellStyle name="Normal 6 21 2 4" xfId="18326" xr:uid="{00000000-0005-0000-0000-0000E2AB0000}"/>
    <cellStyle name="Normal 6 21 2 4 2" xfId="32458" xr:uid="{00000000-0005-0000-0000-0000E3AB0000}"/>
    <cellStyle name="Normal 6 21 2 4 3" xfId="46353" xr:uid="{00000000-0005-0000-0000-0000E4AB0000}"/>
    <cellStyle name="Normal 6 21 2 5" xfId="23139" xr:uid="{00000000-0005-0000-0000-0000E5AB0000}"/>
    <cellStyle name="Normal 6 21 2 6" xfId="41771" xr:uid="{00000000-0005-0000-0000-0000E6AB0000}"/>
    <cellStyle name="Normal 6 21 3" xfId="7816" xr:uid="{00000000-0005-0000-0000-0000E7AB0000}"/>
    <cellStyle name="Normal 6 21 3 2" xfId="7817" xr:uid="{00000000-0005-0000-0000-0000E8AB0000}"/>
    <cellStyle name="Normal 6 21 3 2 2" xfId="13598" xr:uid="{00000000-0005-0000-0000-0000E9AB0000}"/>
    <cellStyle name="Normal 6 21 3 2 2 2" xfId="37083" xr:uid="{00000000-0005-0000-0000-0000EAAB0000}"/>
    <cellStyle name="Normal 6 21 3 2 2 3" xfId="27764" xr:uid="{00000000-0005-0000-0000-0000EBAB0000}"/>
    <cellStyle name="Normal 6 21 3 2 2 4" xfId="51026" xr:uid="{00000000-0005-0000-0000-0000ECAB0000}"/>
    <cellStyle name="Normal 6 21 3 2 3" xfId="18329" xr:uid="{00000000-0005-0000-0000-0000EDAB0000}"/>
    <cellStyle name="Normal 6 21 3 2 3 2" xfId="32461" xr:uid="{00000000-0005-0000-0000-0000EEAB0000}"/>
    <cellStyle name="Normal 6 21 3 2 3 3" xfId="46356" xr:uid="{00000000-0005-0000-0000-0000EFAB0000}"/>
    <cellStyle name="Normal 6 21 3 2 4" xfId="23142" xr:uid="{00000000-0005-0000-0000-0000F0AB0000}"/>
    <cellStyle name="Normal 6 21 3 2 5" xfId="41774" xr:uid="{00000000-0005-0000-0000-0000F1AB0000}"/>
    <cellStyle name="Normal 6 21 3 3" xfId="13597" xr:uid="{00000000-0005-0000-0000-0000F2AB0000}"/>
    <cellStyle name="Normal 6 21 3 3 2" xfId="37082" xr:uid="{00000000-0005-0000-0000-0000F3AB0000}"/>
    <cellStyle name="Normal 6 21 3 3 3" xfId="27763" xr:uid="{00000000-0005-0000-0000-0000F4AB0000}"/>
    <cellStyle name="Normal 6 21 3 3 4" xfId="51025" xr:uid="{00000000-0005-0000-0000-0000F5AB0000}"/>
    <cellStyle name="Normal 6 21 3 4" xfId="18328" xr:uid="{00000000-0005-0000-0000-0000F6AB0000}"/>
    <cellStyle name="Normal 6 21 3 4 2" xfId="32460" xr:uid="{00000000-0005-0000-0000-0000F7AB0000}"/>
    <cellStyle name="Normal 6 21 3 4 3" xfId="46355" xr:uid="{00000000-0005-0000-0000-0000F8AB0000}"/>
    <cellStyle name="Normal 6 21 3 5" xfId="23141" xr:uid="{00000000-0005-0000-0000-0000F9AB0000}"/>
    <cellStyle name="Normal 6 21 3 6" xfId="41773" xr:uid="{00000000-0005-0000-0000-0000FAAB0000}"/>
    <cellStyle name="Normal 6 21 4" xfId="7818" xr:uid="{00000000-0005-0000-0000-0000FBAB0000}"/>
    <cellStyle name="Normal 6 21 4 2" xfId="7819" xr:uid="{00000000-0005-0000-0000-0000FCAB0000}"/>
    <cellStyle name="Normal 6 21 4 2 2" xfId="13600" xr:uid="{00000000-0005-0000-0000-0000FDAB0000}"/>
    <cellStyle name="Normal 6 21 4 2 2 2" xfId="37085" xr:uid="{00000000-0005-0000-0000-0000FEAB0000}"/>
    <cellStyle name="Normal 6 21 4 2 2 3" xfId="27766" xr:uid="{00000000-0005-0000-0000-0000FFAB0000}"/>
    <cellStyle name="Normal 6 21 4 2 2 4" xfId="51028" xr:uid="{00000000-0005-0000-0000-000000AC0000}"/>
    <cellStyle name="Normal 6 21 4 2 3" xfId="18331" xr:uid="{00000000-0005-0000-0000-000001AC0000}"/>
    <cellStyle name="Normal 6 21 4 2 3 2" xfId="32463" xr:uid="{00000000-0005-0000-0000-000002AC0000}"/>
    <cellStyle name="Normal 6 21 4 2 3 3" xfId="46358" xr:uid="{00000000-0005-0000-0000-000003AC0000}"/>
    <cellStyle name="Normal 6 21 4 2 4" xfId="23144" xr:uid="{00000000-0005-0000-0000-000004AC0000}"/>
    <cellStyle name="Normal 6 21 4 2 5" xfId="41776" xr:uid="{00000000-0005-0000-0000-000005AC0000}"/>
    <cellStyle name="Normal 6 21 4 3" xfId="13599" xr:uid="{00000000-0005-0000-0000-000006AC0000}"/>
    <cellStyle name="Normal 6 21 4 3 2" xfId="37084" xr:uid="{00000000-0005-0000-0000-000007AC0000}"/>
    <cellStyle name="Normal 6 21 4 3 3" xfId="27765" xr:uid="{00000000-0005-0000-0000-000008AC0000}"/>
    <cellStyle name="Normal 6 21 4 3 4" xfId="51027" xr:uid="{00000000-0005-0000-0000-000009AC0000}"/>
    <cellStyle name="Normal 6 21 4 4" xfId="18330" xr:uid="{00000000-0005-0000-0000-00000AAC0000}"/>
    <cellStyle name="Normal 6 21 4 4 2" xfId="32462" xr:uid="{00000000-0005-0000-0000-00000BAC0000}"/>
    <cellStyle name="Normal 6 21 4 4 3" xfId="46357" xr:uid="{00000000-0005-0000-0000-00000CAC0000}"/>
    <cellStyle name="Normal 6 21 4 5" xfId="23143" xr:uid="{00000000-0005-0000-0000-00000DAC0000}"/>
    <cellStyle name="Normal 6 21 4 6" xfId="41775" xr:uid="{00000000-0005-0000-0000-00000EAC0000}"/>
    <cellStyle name="Normal 6 21 5" xfId="7820" xr:uid="{00000000-0005-0000-0000-00000FAC0000}"/>
    <cellStyle name="Normal 6 21 5 2" xfId="7821" xr:uid="{00000000-0005-0000-0000-000010AC0000}"/>
    <cellStyle name="Normal 6 21 5 2 2" xfId="13602" xr:uid="{00000000-0005-0000-0000-000011AC0000}"/>
    <cellStyle name="Normal 6 21 5 2 2 2" xfId="37087" xr:uid="{00000000-0005-0000-0000-000012AC0000}"/>
    <cellStyle name="Normal 6 21 5 2 2 3" xfId="27768" xr:uid="{00000000-0005-0000-0000-000013AC0000}"/>
    <cellStyle name="Normal 6 21 5 2 2 4" xfId="51030" xr:uid="{00000000-0005-0000-0000-000014AC0000}"/>
    <cellStyle name="Normal 6 21 5 2 3" xfId="18333" xr:uid="{00000000-0005-0000-0000-000015AC0000}"/>
    <cellStyle name="Normal 6 21 5 2 3 2" xfId="32465" xr:uid="{00000000-0005-0000-0000-000016AC0000}"/>
    <cellStyle name="Normal 6 21 5 2 3 3" xfId="46360" xr:uid="{00000000-0005-0000-0000-000017AC0000}"/>
    <cellStyle name="Normal 6 21 5 2 4" xfId="23146" xr:uid="{00000000-0005-0000-0000-000018AC0000}"/>
    <cellStyle name="Normal 6 21 5 2 5" xfId="41778" xr:uid="{00000000-0005-0000-0000-000019AC0000}"/>
    <cellStyle name="Normal 6 21 5 3" xfId="13601" xr:uid="{00000000-0005-0000-0000-00001AAC0000}"/>
    <cellStyle name="Normal 6 21 5 3 2" xfId="37086" xr:uid="{00000000-0005-0000-0000-00001BAC0000}"/>
    <cellStyle name="Normal 6 21 5 3 3" xfId="27767" xr:uid="{00000000-0005-0000-0000-00001CAC0000}"/>
    <cellStyle name="Normal 6 21 5 3 4" xfId="51029" xr:uid="{00000000-0005-0000-0000-00001DAC0000}"/>
    <cellStyle name="Normal 6 21 5 4" xfId="18332" xr:uid="{00000000-0005-0000-0000-00001EAC0000}"/>
    <cellStyle name="Normal 6 21 5 4 2" xfId="32464" xr:uid="{00000000-0005-0000-0000-00001FAC0000}"/>
    <cellStyle name="Normal 6 21 5 4 3" xfId="46359" xr:uid="{00000000-0005-0000-0000-000020AC0000}"/>
    <cellStyle name="Normal 6 21 5 5" xfId="23145" xr:uid="{00000000-0005-0000-0000-000021AC0000}"/>
    <cellStyle name="Normal 6 21 5 6" xfId="41777" xr:uid="{00000000-0005-0000-0000-000022AC0000}"/>
    <cellStyle name="Normal 6 21 6" xfId="7822" xr:uid="{00000000-0005-0000-0000-000023AC0000}"/>
    <cellStyle name="Normal 6 21 6 2" xfId="7823" xr:uid="{00000000-0005-0000-0000-000024AC0000}"/>
    <cellStyle name="Normal 6 21 6 2 2" xfId="13604" xr:uid="{00000000-0005-0000-0000-000025AC0000}"/>
    <cellStyle name="Normal 6 21 6 2 2 2" xfId="37089" xr:uid="{00000000-0005-0000-0000-000026AC0000}"/>
    <cellStyle name="Normal 6 21 6 2 2 3" xfId="27770" xr:uid="{00000000-0005-0000-0000-000027AC0000}"/>
    <cellStyle name="Normal 6 21 6 2 2 4" xfId="51032" xr:uid="{00000000-0005-0000-0000-000028AC0000}"/>
    <cellStyle name="Normal 6 21 6 2 3" xfId="18335" xr:uid="{00000000-0005-0000-0000-000029AC0000}"/>
    <cellStyle name="Normal 6 21 6 2 3 2" xfId="32467" xr:uid="{00000000-0005-0000-0000-00002AAC0000}"/>
    <cellStyle name="Normal 6 21 6 2 3 3" xfId="46362" xr:uid="{00000000-0005-0000-0000-00002BAC0000}"/>
    <cellStyle name="Normal 6 21 6 2 4" xfId="23148" xr:uid="{00000000-0005-0000-0000-00002CAC0000}"/>
    <cellStyle name="Normal 6 21 6 2 5" xfId="41780" xr:uid="{00000000-0005-0000-0000-00002DAC0000}"/>
    <cellStyle name="Normal 6 21 6 3" xfId="13603" xr:uid="{00000000-0005-0000-0000-00002EAC0000}"/>
    <cellStyle name="Normal 6 21 6 3 2" xfId="37088" xr:uid="{00000000-0005-0000-0000-00002FAC0000}"/>
    <cellStyle name="Normal 6 21 6 3 3" xfId="27769" xr:uid="{00000000-0005-0000-0000-000030AC0000}"/>
    <cellStyle name="Normal 6 21 6 3 4" xfId="51031" xr:uid="{00000000-0005-0000-0000-000031AC0000}"/>
    <cellStyle name="Normal 6 21 6 4" xfId="18334" xr:uid="{00000000-0005-0000-0000-000032AC0000}"/>
    <cellStyle name="Normal 6 21 6 4 2" xfId="32466" xr:uid="{00000000-0005-0000-0000-000033AC0000}"/>
    <cellStyle name="Normal 6 21 6 4 3" xfId="46361" xr:uid="{00000000-0005-0000-0000-000034AC0000}"/>
    <cellStyle name="Normal 6 21 6 5" xfId="23147" xr:uid="{00000000-0005-0000-0000-000035AC0000}"/>
    <cellStyle name="Normal 6 21 6 6" xfId="41779" xr:uid="{00000000-0005-0000-0000-000036AC0000}"/>
    <cellStyle name="Normal 6 21 7" xfId="7824" xr:uid="{00000000-0005-0000-0000-000037AC0000}"/>
    <cellStyle name="Normal 6 21 7 2" xfId="13605" xr:uid="{00000000-0005-0000-0000-000038AC0000}"/>
    <cellStyle name="Normal 6 21 7 2 2" xfId="37090" xr:uid="{00000000-0005-0000-0000-000039AC0000}"/>
    <cellStyle name="Normal 6 21 7 2 3" xfId="27771" xr:uid="{00000000-0005-0000-0000-00003AAC0000}"/>
    <cellStyle name="Normal 6 21 7 2 4" xfId="51033" xr:uid="{00000000-0005-0000-0000-00003BAC0000}"/>
    <cellStyle name="Normal 6 21 7 3" xfId="18336" xr:uid="{00000000-0005-0000-0000-00003CAC0000}"/>
    <cellStyle name="Normal 6 21 7 3 2" xfId="32468" xr:uid="{00000000-0005-0000-0000-00003DAC0000}"/>
    <cellStyle name="Normal 6 21 7 3 3" xfId="46363" xr:uid="{00000000-0005-0000-0000-00003EAC0000}"/>
    <cellStyle name="Normal 6 21 7 4" xfId="23149" xr:uid="{00000000-0005-0000-0000-00003FAC0000}"/>
    <cellStyle name="Normal 6 21 7 5" xfId="41781" xr:uid="{00000000-0005-0000-0000-000040AC0000}"/>
    <cellStyle name="Normal 6 21 8" xfId="7825" xr:uid="{00000000-0005-0000-0000-000041AC0000}"/>
    <cellStyle name="Normal 6 21 8 2" xfId="13606" xr:uid="{00000000-0005-0000-0000-000042AC0000}"/>
    <cellStyle name="Normal 6 21 8 2 2" xfId="37091" xr:uid="{00000000-0005-0000-0000-000043AC0000}"/>
    <cellStyle name="Normal 6 21 8 2 3" xfId="27772" xr:uid="{00000000-0005-0000-0000-000044AC0000}"/>
    <cellStyle name="Normal 6 21 8 2 4" xfId="51034" xr:uid="{00000000-0005-0000-0000-000045AC0000}"/>
    <cellStyle name="Normal 6 21 8 3" xfId="18337" xr:uid="{00000000-0005-0000-0000-000046AC0000}"/>
    <cellStyle name="Normal 6 21 8 3 2" xfId="32469" xr:uid="{00000000-0005-0000-0000-000047AC0000}"/>
    <cellStyle name="Normal 6 21 8 3 3" xfId="46364" xr:uid="{00000000-0005-0000-0000-000048AC0000}"/>
    <cellStyle name="Normal 6 21 8 4" xfId="23150" xr:uid="{00000000-0005-0000-0000-000049AC0000}"/>
    <cellStyle name="Normal 6 21 8 5" xfId="41782" xr:uid="{00000000-0005-0000-0000-00004AAC0000}"/>
    <cellStyle name="Normal 6 21 9" xfId="13594" xr:uid="{00000000-0005-0000-0000-00004BAC0000}"/>
    <cellStyle name="Normal 6 21 9 2" xfId="37079" xr:uid="{00000000-0005-0000-0000-00004CAC0000}"/>
    <cellStyle name="Normal 6 21 9 3" xfId="27760" xr:uid="{00000000-0005-0000-0000-00004DAC0000}"/>
    <cellStyle name="Normal 6 21 9 4" xfId="51022" xr:uid="{00000000-0005-0000-0000-00004EAC0000}"/>
    <cellStyle name="Normal 6 22" xfId="7826" xr:uid="{00000000-0005-0000-0000-00004FAC0000}"/>
    <cellStyle name="Normal 6 22 10" xfId="23151" xr:uid="{00000000-0005-0000-0000-000050AC0000}"/>
    <cellStyle name="Normal 6 22 11" xfId="41783" xr:uid="{00000000-0005-0000-0000-000051AC0000}"/>
    <cellStyle name="Normal 6 22 2" xfId="7827" xr:uid="{00000000-0005-0000-0000-000052AC0000}"/>
    <cellStyle name="Normal 6 22 2 2" xfId="7828" xr:uid="{00000000-0005-0000-0000-000053AC0000}"/>
    <cellStyle name="Normal 6 22 2 2 2" xfId="13609" xr:uid="{00000000-0005-0000-0000-000054AC0000}"/>
    <cellStyle name="Normal 6 22 2 2 2 2" xfId="37094" xr:uid="{00000000-0005-0000-0000-000055AC0000}"/>
    <cellStyle name="Normal 6 22 2 2 2 3" xfId="27775" xr:uid="{00000000-0005-0000-0000-000056AC0000}"/>
    <cellStyle name="Normal 6 22 2 2 2 4" xfId="51037" xr:uid="{00000000-0005-0000-0000-000057AC0000}"/>
    <cellStyle name="Normal 6 22 2 2 3" xfId="18340" xr:uid="{00000000-0005-0000-0000-000058AC0000}"/>
    <cellStyle name="Normal 6 22 2 2 3 2" xfId="32472" xr:uid="{00000000-0005-0000-0000-000059AC0000}"/>
    <cellStyle name="Normal 6 22 2 2 3 3" xfId="46367" xr:uid="{00000000-0005-0000-0000-00005AAC0000}"/>
    <cellStyle name="Normal 6 22 2 2 4" xfId="23153" xr:uid="{00000000-0005-0000-0000-00005BAC0000}"/>
    <cellStyle name="Normal 6 22 2 2 5" xfId="41785" xr:uid="{00000000-0005-0000-0000-00005CAC0000}"/>
    <cellStyle name="Normal 6 22 2 3" xfId="13608" xr:uid="{00000000-0005-0000-0000-00005DAC0000}"/>
    <cellStyle name="Normal 6 22 2 3 2" xfId="37093" xr:uid="{00000000-0005-0000-0000-00005EAC0000}"/>
    <cellStyle name="Normal 6 22 2 3 3" xfId="27774" xr:uid="{00000000-0005-0000-0000-00005FAC0000}"/>
    <cellStyle name="Normal 6 22 2 3 4" xfId="51036" xr:uid="{00000000-0005-0000-0000-000060AC0000}"/>
    <cellStyle name="Normal 6 22 2 4" xfId="18339" xr:uid="{00000000-0005-0000-0000-000061AC0000}"/>
    <cellStyle name="Normal 6 22 2 4 2" xfId="32471" xr:uid="{00000000-0005-0000-0000-000062AC0000}"/>
    <cellStyle name="Normal 6 22 2 4 3" xfId="46366" xr:uid="{00000000-0005-0000-0000-000063AC0000}"/>
    <cellStyle name="Normal 6 22 2 5" xfId="23152" xr:uid="{00000000-0005-0000-0000-000064AC0000}"/>
    <cellStyle name="Normal 6 22 2 6" xfId="41784" xr:uid="{00000000-0005-0000-0000-000065AC0000}"/>
    <cellStyle name="Normal 6 22 3" xfId="7829" xr:uid="{00000000-0005-0000-0000-000066AC0000}"/>
    <cellStyle name="Normal 6 22 3 2" xfId="7830" xr:uid="{00000000-0005-0000-0000-000067AC0000}"/>
    <cellStyle name="Normal 6 22 3 2 2" xfId="13611" xr:uid="{00000000-0005-0000-0000-000068AC0000}"/>
    <cellStyle name="Normal 6 22 3 2 2 2" xfId="37096" xr:uid="{00000000-0005-0000-0000-000069AC0000}"/>
    <cellStyle name="Normal 6 22 3 2 2 3" xfId="27777" xr:uid="{00000000-0005-0000-0000-00006AAC0000}"/>
    <cellStyle name="Normal 6 22 3 2 2 4" xfId="51039" xr:uid="{00000000-0005-0000-0000-00006BAC0000}"/>
    <cellStyle name="Normal 6 22 3 2 3" xfId="18342" xr:uid="{00000000-0005-0000-0000-00006CAC0000}"/>
    <cellStyle name="Normal 6 22 3 2 3 2" xfId="32474" xr:uid="{00000000-0005-0000-0000-00006DAC0000}"/>
    <cellStyle name="Normal 6 22 3 2 3 3" xfId="46369" xr:uid="{00000000-0005-0000-0000-00006EAC0000}"/>
    <cellStyle name="Normal 6 22 3 2 4" xfId="23155" xr:uid="{00000000-0005-0000-0000-00006FAC0000}"/>
    <cellStyle name="Normal 6 22 3 2 5" xfId="41787" xr:uid="{00000000-0005-0000-0000-000070AC0000}"/>
    <cellStyle name="Normal 6 22 3 3" xfId="13610" xr:uid="{00000000-0005-0000-0000-000071AC0000}"/>
    <cellStyle name="Normal 6 22 3 3 2" xfId="37095" xr:uid="{00000000-0005-0000-0000-000072AC0000}"/>
    <cellStyle name="Normal 6 22 3 3 3" xfId="27776" xr:uid="{00000000-0005-0000-0000-000073AC0000}"/>
    <cellStyle name="Normal 6 22 3 3 4" xfId="51038" xr:uid="{00000000-0005-0000-0000-000074AC0000}"/>
    <cellStyle name="Normal 6 22 3 4" xfId="18341" xr:uid="{00000000-0005-0000-0000-000075AC0000}"/>
    <cellStyle name="Normal 6 22 3 4 2" xfId="32473" xr:uid="{00000000-0005-0000-0000-000076AC0000}"/>
    <cellStyle name="Normal 6 22 3 4 3" xfId="46368" xr:uid="{00000000-0005-0000-0000-000077AC0000}"/>
    <cellStyle name="Normal 6 22 3 5" xfId="23154" xr:uid="{00000000-0005-0000-0000-000078AC0000}"/>
    <cellStyle name="Normal 6 22 3 6" xfId="41786" xr:uid="{00000000-0005-0000-0000-000079AC0000}"/>
    <cellStyle name="Normal 6 22 4" xfId="7831" xr:uid="{00000000-0005-0000-0000-00007AAC0000}"/>
    <cellStyle name="Normal 6 22 4 2" xfId="7832" xr:uid="{00000000-0005-0000-0000-00007BAC0000}"/>
    <cellStyle name="Normal 6 22 4 2 2" xfId="13613" xr:uid="{00000000-0005-0000-0000-00007CAC0000}"/>
    <cellStyle name="Normal 6 22 4 2 2 2" xfId="37098" xr:uid="{00000000-0005-0000-0000-00007DAC0000}"/>
    <cellStyle name="Normal 6 22 4 2 2 3" xfId="27779" xr:uid="{00000000-0005-0000-0000-00007EAC0000}"/>
    <cellStyle name="Normal 6 22 4 2 2 4" xfId="51041" xr:uid="{00000000-0005-0000-0000-00007FAC0000}"/>
    <cellStyle name="Normal 6 22 4 2 3" xfId="18344" xr:uid="{00000000-0005-0000-0000-000080AC0000}"/>
    <cellStyle name="Normal 6 22 4 2 3 2" xfId="32476" xr:uid="{00000000-0005-0000-0000-000081AC0000}"/>
    <cellStyle name="Normal 6 22 4 2 3 3" xfId="46371" xr:uid="{00000000-0005-0000-0000-000082AC0000}"/>
    <cellStyle name="Normal 6 22 4 2 4" xfId="23157" xr:uid="{00000000-0005-0000-0000-000083AC0000}"/>
    <cellStyle name="Normal 6 22 4 2 5" xfId="41789" xr:uid="{00000000-0005-0000-0000-000084AC0000}"/>
    <cellStyle name="Normal 6 22 4 3" xfId="13612" xr:uid="{00000000-0005-0000-0000-000085AC0000}"/>
    <cellStyle name="Normal 6 22 4 3 2" xfId="37097" xr:uid="{00000000-0005-0000-0000-000086AC0000}"/>
    <cellStyle name="Normal 6 22 4 3 3" xfId="27778" xr:uid="{00000000-0005-0000-0000-000087AC0000}"/>
    <cellStyle name="Normal 6 22 4 3 4" xfId="51040" xr:uid="{00000000-0005-0000-0000-000088AC0000}"/>
    <cellStyle name="Normal 6 22 4 4" xfId="18343" xr:uid="{00000000-0005-0000-0000-000089AC0000}"/>
    <cellStyle name="Normal 6 22 4 4 2" xfId="32475" xr:uid="{00000000-0005-0000-0000-00008AAC0000}"/>
    <cellStyle name="Normal 6 22 4 4 3" xfId="46370" xr:uid="{00000000-0005-0000-0000-00008BAC0000}"/>
    <cellStyle name="Normal 6 22 4 5" xfId="23156" xr:uid="{00000000-0005-0000-0000-00008CAC0000}"/>
    <cellStyle name="Normal 6 22 4 6" xfId="41788" xr:uid="{00000000-0005-0000-0000-00008DAC0000}"/>
    <cellStyle name="Normal 6 22 5" xfId="7833" xr:uid="{00000000-0005-0000-0000-00008EAC0000}"/>
    <cellStyle name="Normal 6 22 5 2" xfId="7834" xr:uid="{00000000-0005-0000-0000-00008FAC0000}"/>
    <cellStyle name="Normal 6 22 5 2 2" xfId="13615" xr:uid="{00000000-0005-0000-0000-000090AC0000}"/>
    <cellStyle name="Normal 6 22 5 2 2 2" xfId="37100" xr:uid="{00000000-0005-0000-0000-000091AC0000}"/>
    <cellStyle name="Normal 6 22 5 2 2 3" xfId="27781" xr:uid="{00000000-0005-0000-0000-000092AC0000}"/>
    <cellStyle name="Normal 6 22 5 2 2 4" xfId="51043" xr:uid="{00000000-0005-0000-0000-000093AC0000}"/>
    <cellStyle name="Normal 6 22 5 2 3" xfId="18346" xr:uid="{00000000-0005-0000-0000-000094AC0000}"/>
    <cellStyle name="Normal 6 22 5 2 3 2" xfId="32478" xr:uid="{00000000-0005-0000-0000-000095AC0000}"/>
    <cellStyle name="Normal 6 22 5 2 3 3" xfId="46373" xr:uid="{00000000-0005-0000-0000-000096AC0000}"/>
    <cellStyle name="Normal 6 22 5 2 4" xfId="23159" xr:uid="{00000000-0005-0000-0000-000097AC0000}"/>
    <cellStyle name="Normal 6 22 5 2 5" xfId="41791" xr:uid="{00000000-0005-0000-0000-000098AC0000}"/>
    <cellStyle name="Normal 6 22 5 3" xfId="13614" xr:uid="{00000000-0005-0000-0000-000099AC0000}"/>
    <cellStyle name="Normal 6 22 5 3 2" xfId="37099" xr:uid="{00000000-0005-0000-0000-00009AAC0000}"/>
    <cellStyle name="Normal 6 22 5 3 3" xfId="27780" xr:uid="{00000000-0005-0000-0000-00009BAC0000}"/>
    <cellStyle name="Normal 6 22 5 3 4" xfId="51042" xr:uid="{00000000-0005-0000-0000-00009CAC0000}"/>
    <cellStyle name="Normal 6 22 5 4" xfId="18345" xr:uid="{00000000-0005-0000-0000-00009DAC0000}"/>
    <cellStyle name="Normal 6 22 5 4 2" xfId="32477" xr:uid="{00000000-0005-0000-0000-00009EAC0000}"/>
    <cellStyle name="Normal 6 22 5 4 3" xfId="46372" xr:uid="{00000000-0005-0000-0000-00009FAC0000}"/>
    <cellStyle name="Normal 6 22 5 5" xfId="23158" xr:uid="{00000000-0005-0000-0000-0000A0AC0000}"/>
    <cellStyle name="Normal 6 22 5 6" xfId="41790" xr:uid="{00000000-0005-0000-0000-0000A1AC0000}"/>
    <cellStyle name="Normal 6 22 6" xfId="7835" xr:uid="{00000000-0005-0000-0000-0000A2AC0000}"/>
    <cellStyle name="Normal 6 22 6 2" xfId="7836" xr:uid="{00000000-0005-0000-0000-0000A3AC0000}"/>
    <cellStyle name="Normal 6 22 6 2 2" xfId="13617" xr:uid="{00000000-0005-0000-0000-0000A4AC0000}"/>
    <cellStyle name="Normal 6 22 6 2 2 2" xfId="37102" xr:uid="{00000000-0005-0000-0000-0000A5AC0000}"/>
    <cellStyle name="Normal 6 22 6 2 2 3" xfId="27783" xr:uid="{00000000-0005-0000-0000-0000A6AC0000}"/>
    <cellStyle name="Normal 6 22 6 2 2 4" xfId="51045" xr:uid="{00000000-0005-0000-0000-0000A7AC0000}"/>
    <cellStyle name="Normal 6 22 6 2 3" xfId="18348" xr:uid="{00000000-0005-0000-0000-0000A8AC0000}"/>
    <cellStyle name="Normal 6 22 6 2 3 2" xfId="32480" xr:uid="{00000000-0005-0000-0000-0000A9AC0000}"/>
    <cellStyle name="Normal 6 22 6 2 3 3" xfId="46375" xr:uid="{00000000-0005-0000-0000-0000AAAC0000}"/>
    <cellStyle name="Normal 6 22 6 2 4" xfId="23161" xr:uid="{00000000-0005-0000-0000-0000ABAC0000}"/>
    <cellStyle name="Normal 6 22 6 2 5" xfId="41793" xr:uid="{00000000-0005-0000-0000-0000ACAC0000}"/>
    <cellStyle name="Normal 6 22 6 3" xfId="13616" xr:uid="{00000000-0005-0000-0000-0000ADAC0000}"/>
    <cellStyle name="Normal 6 22 6 3 2" xfId="37101" xr:uid="{00000000-0005-0000-0000-0000AEAC0000}"/>
    <cellStyle name="Normal 6 22 6 3 3" xfId="27782" xr:uid="{00000000-0005-0000-0000-0000AFAC0000}"/>
    <cellStyle name="Normal 6 22 6 3 4" xfId="51044" xr:uid="{00000000-0005-0000-0000-0000B0AC0000}"/>
    <cellStyle name="Normal 6 22 6 4" xfId="18347" xr:uid="{00000000-0005-0000-0000-0000B1AC0000}"/>
    <cellStyle name="Normal 6 22 6 4 2" xfId="32479" xr:uid="{00000000-0005-0000-0000-0000B2AC0000}"/>
    <cellStyle name="Normal 6 22 6 4 3" xfId="46374" xr:uid="{00000000-0005-0000-0000-0000B3AC0000}"/>
    <cellStyle name="Normal 6 22 6 5" xfId="23160" xr:uid="{00000000-0005-0000-0000-0000B4AC0000}"/>
    <cellStyle name="Normal 6 22 6 6" xfId="41792" xr:uid="{00000000-0005-0000-0000-0000B5AC0000}"/>
    <cellStyle name="Normal 6 22 7" xfId="7837" xr:uid="{00000000-0005-0000-0000-0000B6AC0000}"/>
    <cellStyle name="Normal 6 22 7 2" xfId="13618" xr:uid="{00000000-0005-0000-0000-0000B7AC0000}"/>
    <cellStyle name="Normal 6 22 7 2 2" xfId="37103" xr:uid="{00000000-0005-0000-0000-0000B8AC0000}"/>
    <cellStyle name="Normal 6 22 7 2 3" xfId="27784" xr:uid="{00000000-0005-0000-0000-0000B9AC0000}"/>
    <cellStyle name="Normal 6 22 7 2 4" xfId="51046" xr:uid="{00000000-0005-0000-0000-0000BAAC0000}"/>
    <cellStyle name="Normal 6 22 7 3" xfId="18349" xr:uid="{00000000-0005-0000-0000-0000BBAC0000}"/>
    <cellStyle name="Normal 6 22 7 3 2" xfId="32481" xr:uid="{00000000-0005-0000-0000-0000BCAC0000}"/>
    <cellStyle name="Normal 6 22 7 3 3" xfId="46376" xr:uid="{00000000-0005-0000-0000-0000BDAC0000}"/>
    <cellStyle name="Normal 6 22 7 4" xfId="23162" xr:uid="{00000000-0005-0000-0000-0000BEAC0000}"/>
    <cellStyle name="Normal 6 22 7 5" xfId="41794" xr:uid="{00000000-0005-0000-0000-0000BFAC0000}"/>
    <cellStyle name="Normal 6 22 8" xfId="13607" xr:uid="{00000000-0005-0000-0000-0000C0AC0000}"/>
    <cellStyle name="Normal 6 22 8 2" xfId="37092" xr:uid="{00000000-0005-0000-0000-0000C1AC0000}"/>
    <cellStyle name="Normal 6 22 8 3" xfId="27773" xr:uid="{00000000-0005-0000-0000-0000C2AC0000}"/>
    <cellStyle name="Normal 6 22 8 4" xfId="51035" xr:uid="{00000000-0005-0000-0000-0000C3AC0000}"/>
    <cellStyle name="Normal 6 22 9" xfId="18338" xr:uid="{00000000-0005-0000-0000-0000C4AC0000}"/>
    <cellStyle name="Normal 6 22 9 2" xfId="32470" xr:uid="{00000000-0005-0000-0000-0000C5AC0000}"/>
    <cellStyle name="Normal 6 22 9 3" xfId="46365" xr:uid="{00000000-0005-0000-0000-0000C6AC0000}"/>
    <cellStyle name="Normal 6 23" xfId="7838" xr:uid="{00000000-0005-0000-0000-0000C7AC0000}"/>
    <cellStyle name="Normal 6 23 10" xfId="23163" xr:uid="{00000000-0005-0000-0000-0000C8AC0000}"/>
    <cellStyle name="Normal 6 23 11" xfId="41795" xr:uid="{00000000-0005-0000-0000-0000C9AC0000}"/>
    <cellStyle name="Normal 6 23 2" xfId="7839" xr:uid="{00000000-0005-0000-0000-0000CAAC0000}"/>
    <cellStyle name="Normal 6 23 2 2" xfId="7840" xr:uid="{00000000-0005-0000-0000-0000CBAC0000}"/>
    <cellStyle name="Normal 6 23 2 2 2" xfId="13621" xr:uid="{00000000-0005-0000-0000-0000CCAC0000}"/>
    <cellStyle name="Normal 6 23 2 2 2 2" xfId="37106" xr:uid="{00000000-0005-0000-0000-0000CDAC0000}"/>
    <cellStyle name="Normal 6 23 2 2 2 3" xfId="27787" xr:uid="{00000000-0005-0000-0000-0000CEAC0000}"/>
    <cellStyle name="Normal 6 23 2 2 2 4" xfId="51049" xr:uid="{00000000-0005-0000-0000-0000CFAC0000}"/>
    <cellStyle name="Normal 6 23 2 2 3" xfId="18352" xr:uid="{00000000-0005-0000-0000-0000D0AC0000}"/>
    <cellStyle name="Normal 6 23 2 2 3 2" xfId="32484" xr:uid="{00000000-0005-0000-0000-0000D1AC0000}"/>
    <cellStyle name="Normal 6 23 2 2 3 3" xfId="46379" xr:uid="{00000000-0005-0000-0000-0000D2AC0000}"/>
    <cellStyle name="Normal 6 23 2 2 4" xfId="23165" xr:uid="{00000000-0005-0000-0000-0000D3AC0000}"/>
    <cellStyle name="Normal 6 23 2 2 5" xfId="41797" xr:uid="{00000000-0005-0000-0000-0000D4AC0000}"/>
    <cellStyle name="Normal 6 23 2 3" xfId="13620" xr:uid="{00000000-0005-0000-0000-0000D5AC0000}"/>
    <cellStyle name="Normal 6 23 2 3 2" xfId="37105" xr:uid="{00000000-0005-0000-0000-0000D6AC0000}"/>
    <cellStyle name="Normal 6 23 2 3 3" xfId="27786" xr:uid="{00000000-0005-0000-0000-0000D7AC0000}"/>
    <cellStyle name="Normal 6 23 2 3 4" xfId="51048" xr:uid="{00000000-0005-0000-0000-0000D8AC0000}"/>
    <cellStyle name="Normal 6 23 2 4" xfId="18351" xr:uid="{00000000-0005-0000-0000-0000D9AC0000}"/>
    <cellStyle name="Normal 6 23 2 4 2" xfId="32483" xr:uid="{00000000-0005-0000-0000-0000DAAC0000}"/>
    <cellStyle name="Normal 6 23 2 4 3" xfId="46378" xr:uid="{00000000-0005-0000-0000-0000DBAC0000}"/>
    <cellStyle name="Normal 6 23 2 5" xfId="23164" xr:uid="{00000000-0005-0000-0000-0000DCAC0000}"/>
    <cellStyle name="Normal 6 23 2 6" xfId="41796" xr:uid="{00000000-0005-0000-0000-0000DDAC0000}"/>
    <cellStyle name="Normal 6 23 3" xfId="7841" xr:uid="{00000000-0005-0000-0000-0000DEAC0000}"/>
    <cellStyle name="Normal 6 23 3 2" xfId="7842" xr:uid="{00000000-0005-0000-0000-0000DFAC0000}"/>
    <cellStyle name="Normal 6 23 3 2 2" xfId="13623" xr:uid="{00000000-0005-0000-0000-0000E0AC0000}"/>
    <cellStyle name="Normal 6 23 3 2 2 2" xfId="37108" xr:uid="{00000000-0005-0000-0000-0000E1AC0000}"/>
    <cellStyle name="Normal 6 23 3 2 2 3" xfId="27789" xr:uid="{00000000-0005-0000-0000-0000E2AC0000}"/>
    <cellStyle name="Normal 6 23 3 2 2 4" xfId="51051" xr:uid="{00000000-0005-0000-0000-0000E3AC0000}"/>
    <cellStyle name="Normal 6 23 3 2 3" xfId="18354" xr:uid="{00000000-0005-0000-0000-0000E4AC0000}"/>
    <cellStyle name="Normal 6 23 3 2 3 2" xfId="32486" xr:uid="{00000000-0005-0000-0000-0000E5AC0000}"/>
    <cellStyle name="Normal 6 23 3 2 3 3" xfId="46381" xr:uid="{00000000-0005-0000-0000-0000E6AC0000}"/>
    <cellStyle name="Normal 6 23 3 2 4" xfId="23167" xr:uid="{00000000-0005-0000-0000-0000E7AC0000}"/>
    <cellStyle name="Normal 6 23 3 2 5" xfId="41799" xr:uid="{00000000-0005-0000-0000-0000E8AC0000}"/>
    <cellStyle name="Normal 6 23 3 3" xfId="13622" xr:uid="{00000000-0005-0000-0000-0000E9AC0000}"/>
    <cellStyle name="Normal 6 23 3 3 2" xfId="37107" xr:uid="{00000000-0005-0000-0000-0000EAAC0000}"/>
    <cellStyle name="Normal 6 23 3 3 3" xfId="27788" xr:uid="{00000000-0005-0000-0000-0000EBAC0000}"/>
    <cellStyle name="Normal 6 23 3 3 4" xfId="51050" xr:uid="{00000000-0005-0000-0000-0000ECAC0000}"/>
    <cellStyle name="Normal 6 23 3 4" xfId="18353" xr:uid="{00000000-0005-0000-0000-0000EDAC0000}"/>
    <cellStyle name="Normal 6 23 3 4 2" xfId="32485" xr:uid="{00000000-0005-0000-0000-0000EEAC0000}"/>
    <cellStyle name="Normal 6 23 3 4 3" xfId="46380" xr:uid="{00000000-0005-0000-0000-0000EFAC0000}"/>
    <cellStyle name="Normal 6 23 3 5" xfId="23166" xr:uid="{00000000-0005-0000-0000-0000F0AC0000}"/>
    <cellStyle name="Normal 6 23 3 6" xfId="41798" xr:uid="{00000000-0005-0000-0000-0000F1AC0000}"/>
    <cellStyle name="Normal 6 23 4" xfId="7843" xr:uid="{00000000-0005-0000-0000-0000F2AC0000}"/>
    <cellStyle name="Normal 6 23 4 2" xfId="7844" xr:uid="{00000000-0005-0000-0000-0000F3AC0000}"/>
    <cellStyle name="Normal 6 23 4 2 2" xfId="13625" xr:uid="{00000000-0005-0000-0000-0000F4AC0000}"/>
    <cellStyle name="Normal 6 23 4 2 2 2" xfId="37110" xr:uid="{00000000-0005-0000-0000-0000F5AC0000}"/>
    <cellStyle name="Normal 6 23 4 2 2 3" xfId="27791" xr:uid="{00000000-0005-0000-0000-0000F6AC0000}"/>
    <cellStyle name="Normal 6 23 4 2 2 4" xfId="51053" xr:uid="{00000000-0005-0000-0000-0000F7AC0000}"/>
    <cellStyle name="Normal 6 23 4 2 3" xfId="18356" xr:uid="{00000000-0005-0000-0000-0000F8AC0000}"/>
    <cellStyle name="Normal 6 23 4 2 3 2" xfId="32488" xr:uid="{00000000-0005-0000-0000-0000F9AC0000}"/>
    <cellStyle name="Normal 6 23 4 2 3 3" xfId="46383" xr:uid="{00000000-0005-0000-0000-0000FAAC0000}"/>
    <cellStyle name="Normal 6 23 4 2 4" xfId="23169" xr:uid="{00000000-0005-0000-0000-0000FBAC0000}"/>
    <cellStyle name="Normal 6 23 4 2 5" xfId="41801" xr:uid="{00000000-0005-0000-0000-0000FCAC0000}"/>
    <cellStyle name="Normal 6 23 4 3" xfId="13624" xr:uid="{00000000-0005-0000-0000-0000FDAC0000}"/>
    <cellStyle name="Normal 6 23 4 3 2" xfId="37109" xr:uid="{00000000-0005-0000-0000-0000FEAC0000}"/>
    <cellStyle name="Normal 6 23 4 3 3" xfId="27790" xr:uid="{00000000-0005-0000-0000-0000FFAC0000}"/>
    <cellStyle name="Normal 6 23 4 3 4" xfId="51052" xr:uid="{00000000-0005-0000-0000-000000AD0000}"/>
    <cellStyle name="Normal 6 23 4 4" xfId="18355" xr:uid="{00000000-0005-0000-0000-000001AD0000}"/>
    <cellStyle name="Normal 6 23 4 4 2" xfId="32487" xr:uid="{00000000-0005-0000-0000-000002AD0000}"/>
    <cellStyle name="Normal 6 23 4 4 3" xfId="46382" xr:uid="{00000000-0005-0000-0000-000003AD0000}"/>
    <cellStyle name="Normal 6 23 4 5" xfId="23168" xr:uid="{00000000-0005-0000-0000-000004AD0000}"/>
    <cellStyle name="Normal 6 23 4 6" xfId="41800" xr:uid="{00000000-0005-0000-0000-000005AD0000}"/>
    <cellStyle name="Normal 6 23 5" xfId="7845" xr:uid="{00000000-0005-0000-0000-000006AD0000}"/>
    <cellStyle name="Normal 6 23 5 2" xfId="7846" xr:uid="{00000000-0005-0000-0000-000007AD0000}"/>
    <cellStyle name="Normal 6 23 5 2 2" xfId="13627" xr:uid="{00000000-0005-0000-0000-000008AD0000}"/>
    <cellStyle name="Normal 6 23 5 2 2 2" xfId="37112" xr:uid="{00000000-0005-0000-0000-000009AD0000}"/>
    <cellStyle name="Normal 6 23 5 2 2 3" xfId="27793" xr:uid="{00000000-0005-0000-0000-00000AAD0000}"/>
    <cellStyle name="Normal 6 23 5 2 2 4" xfId="51055" xr:uid="{00000000-0005-0000-0000-00000BAD0000}"/>
    <cellStyle name="Normal 6 23 5 2 3" xfId="18358" xr:uid="{00000000-0005-0000-0000-00000CAD0000}"/>
    <cellStyle name="Normal 6 23 5 2 3 2" xfId="32490" xr:uid="{00000000-0005-0000-0000-00000DAD0000}"/>
    <cellStyle name="Normal 6 23 5 2 3 3" xfId="46385" xr:uid="{00000000-0005-0000-0000-00000EAD0000}"/>
    <cellStyle name="Normal 6 23 5 2 4" xfId="23171" xr:uid="{00000000-0005-0000-0000-00000FAD0000}"/>
    <cellStyle name="Normal 6 23 5 2 5" xfId="41803" xr:uid="{00000000-0005-0000-0000-000010AD0000}"/>
    <cellStyle name="Normal 6 23 5 3" xfId="13626" xr:uid="{00000000-0005-0000-0000-000011AD0000}"/>
    <cellStyle name="Normal 6 23 5 3 2" xfId="37111" xr:uid="{00000000-0005-0000-0000-000012AD0000}"/>
    <cellStyle name="Normal 6 23 5 3 3" xfId="27792" xr:uid="{00000000-0005-0000-0000-000013AD0000}"/>
    <cellStyle name="Normal 6 23 5 3 4" xfId="51054" xr:uid="{00000000-0005-0000-0000-000014AD0000}"/>
    <cellStyle name="Normal 6 23 5 4" xfId="18357" xr:uid="{00000000-0005-0000-0000-000015AD0000}"/>
    <cellStyle name="Normal 6 23 5 4 2" xfId="32489" xr:uid="{00000000-0005-0000-0000-000016AD0000}"/>
    <cellStyle name="Normal 6 23 5 4 3" xfId="46384" xr:uid="{00000000-0005-0000-0000-000017AD0000}"/>
    <cellStyle name="Normal 6 23 5 5" xfId="23170" xr:uid="{00000000-0005-0000-0000-000018AD0000}"/>
    <cellStyle name="Normal 6 23 5 6" xfId="41802" xr:uid="{00000000-0005-0000-0000-000019AD0000}"/>
    <cellStyle name="Normal 6 23 6" xfId="7847" xr:uid="{00000000-0005-0000-0000-00001AAD0000}"/>
    <cellStyle name="Normal 6 23 6 2" xfId="7848" xr:uid="{00000000-0005-0000-0000-00001BAD0000}"/>
    <cellStyle name="Normal 6 23 6 2 2" xfId="13629" xr:uid="{00000000-0005-0000-0000-00001CAD0000}"/>
    <cellStyle name="Normal 6 23 6 2 2 2" xfId="37114" xr:uid="{00000000-0005-0000-0000-00001DAD0000}"/>
    <cellStyle name="Normal 6 23 6 2 2 3" xfId="27795" xr:uid="{00000000-0005-0000-0000-00001EAD0000}"/>
    <cellStyle name="Normal 6 23 6 2 2 4" xfId="51057" xr:uid="{00000000-0005-0000-0000-00001FAD0000}"/>
    <cellStyle name="Normal 6 23 6 2 3" xfId="18360" xr:uid="{00000000-0005-0000-0000-000020AD0000}"/>
    <cellStyle name="Normal 6 23 6 2 3 2" xfId="32492" xr:uid="{00000000-0005-0000-0000-000021AD0000}"/>
    <cellStyle name="Normal 6 23 6 2 3 3" xfId="46387" xr:uid="{00000000-0005-0000-0000-000022AD0000}"/>
    <cellStyle name="Normal 6 23 6 2 4" xfId="23173" xr:uid="{00000000-0005-0000-0000-000023AD0000}"/>
    <cellStyle name="Normal 6 23 6 2 5" xfId="41805" xr:uid="{00000000-0005-0000-0000-000024AD0000}"/>
    <cellStyle name="Normal 6 23 6 3" xfId="13628" xr:uid="{00000000-0005-0000-0000-000025AD0000}"/>
    <cellStyle name="Normal 6 23 6 3 2" xfId="37113" xr:uid="{00000000-0005-0000-0000-000026AD0000}"/>
    <cellStyle name="Normal 6 23 6 3 3" xfId="27794" xr:uid="{00000000-0005-0000-0000-000027AD0000}"/>
    <cellStyle name="Normal 6 23 6 3 4" xfId="51056" xr:uid="{00000000-0005-0000-0000-000028AD0000}"/>
    <cellStyle name="Normal 6 23 6 4" xfId="18359" xr:uid="{00000000-0005-0000-0000-000029AD0000}"/>
    <cellStyle name="Normal 6 23 6 4 2" xfId="32491" xr:uid="{00000000-0005-0000-0000-00002AAD0000}"/>
    <cellStyle name="Normal 6 23 6 4 3" xfId="46386" xr:uid="{00000000-0005-0000-0000-00002BAD0000}"/>
    <cellStyle name="Normal 6 23 6 5" xfId="23172" xr:uid="{00000000-0005-0000-0000-00002CAD0000}"/>
    <cellStyle name="Normal 6 23 6 6" xfId="41804" xr:uid="{00000000-0005-0000-0000-00002DAD0000}"/>
    <cellStyle name="Normal 6 23 7" xfId="7849" xr:uid="{00000000-0005-0000-0000-00002EAD0000}"/>
    <cellStyle name="Normal 6 23 7 2" xfId="13630" xr:uid="{00000000-0005-0000-0000-00002FAD0000}"/>
    <cellStyle name="Normal 6 23 7 2 2" xfId="37115" xr:uid="{00000000-0005-0000-0000-000030AD0000}"/>
    <cellStyle name="Normal 6 23 7 2 3" xfId="27796" xr:uid="{00000000-0005-0000-0000-000031AD0000}"/>
    <cellStyle name="Normal 6 23 7 2 4" xfId="51058" xr:uid="{00000000-0005-0000-0000-000032AD0000}"/>
    <cellStyle name="Normal 6 23 7 3" xfId="18361" xr:uid="{00000000-0005-0000-0000-000033AD0000}"/>
    <cellStyle name="Normal 6 23 7 3 2" xfId="32493" xr:uid="{00000000-0005-0000-0000-000034AD0000}"/>
    <cellStyle name="Normal 6 23 7 3 3" xfId="46388" xr:uid="{00000000-0005-0000-0000-000035AD0000}"/>
    <cellStyle name="Normal 6 23 7 4" xfId="23174" xr:uid="{00000000-0005-0000-0000-000036AD0000}"/>
    <cellStyle name="Normal 6 23 7 5" xfId="41806" xr:uid="{00000000-0005-0000-0000-000037AD0000}"/>
    <cellStyle name="Normal 6 23 8" xfId="13619" xr:uid="{00000000-0005-0000-0000-000038AD0000}"/>
    <cellStyle name="Normal 6 23 8 2" xfId="37104" xr:uid="{00000000-0005-0000-0000-000039AD0000}"/>
    <cellStyle name="Normal 6 23 8 3" xfId="27785" xr:uid="{00000000-0005-0000-0000-00003AAD0000}"/>
    <cellStyle name="Normal 6 23 8 4" xfId="51047" xr:uid="{00000000-0005-0000-0000-00003BAD0000}"/>
    <cellStyle name="Normal 6 23 9" xfId="18350" xr:uid="{00000000-0005-0000-0000-00003CAD0000}"/>
    <cellStyle name="Normal 6 23 9 2" xfId="32482" xr:uid="{00000000-0005-0000-0000-00003DAD0000}"/>
    <cellStyle name="Normal 6 23 9 3" xfId="46377" xr:uid="{00000000-0005-0000-0000-00003EAD0000}"/>
    <cellStyle name="Normal 6 24" xfId="7850" xr:uid="{00000000-0005-0000-0000-00003FAD0000}"/>
    <cellStyle name="Normal 6 24 10" xfId="23175" xr:uid="{00000000-0005-0000-0000-000040AD0000}"/>
    <cellStyle name="Normal 6 24 11" xfId="41807" xr:uid="{00000000-0005-0000-0000-000041AD0000}"/>
    <cellStyle name="Normal 6 24 2" xfId="7851" xr:uid="{00000000-0005-0000-0000-000042AD0000}"/>
    <cellStyle name="Normal 6 24 2 2" xfId="7852" xr:uid="{00000000-0005-0000-0000-000043AD0000}"/>
    <cellStyle name="Normal 6 24 2 2 2" xfId="13633" xr:uid="{00000000-0005-0000-0000-000044AD0000}"/>
    <cellStyle name="Normal 6 24 2 2 2 2" xfId="37118" xr:uid="{00000000-0005-0000-0000-000045AD0000}"/>
    <cellStyle name="Normal 6 24 2 2 2 3" xfId="27799" xr:uid="{00000000-0005-0000-0000-000046AD0000}"/>
    <cellStyle name="Normal 6 24 2 2 2 4" xfId="51061" xr:uid="{00000000-0005-0000-0000-000047AD0000}"/>
    <cellStyle name="Normal 6 24 2 2 3" xfId="18364" xr:uid="{00000000-0005-0000-0000-000048AD0000}"/>
    <cellStyle name="Normal 6 24 2 2 3 2" xfId="32496" xr:uid="{00000000-0005-0000-0000-000049AD0000}"/>
    <cellStyle name="Normal 6 24 2 2 3 3" xfId="46391" xr:uid="{00000000-0005-0000-0000-00004AAD0000}"/>
    <cellStyle name="Normal 6 24 2 2 4" xfId="23177" xr:uid="{00000000-0005-0000-0000-00004BAD0000}"/>
    <cellStyle name="Normal 6 24 2 2 5" xfId="41809" xr:uid="{00000000-0005-0000-0000-00004CAD0000}"/>
    <cellStyle name="Normal 6 24 2 3" xfId="13632" xr:uid="{00000000-0005-0000-0000-00004DAD0000}"/>
    <cellStyle name="Normal 6 24 2 3 2" xfId="37117" xr:uid="{00000000-0005-0000-0000-00004EAD0000}"/>
    <cellStyle name="Normal 6 24 2 3 3" xfId="27798" xr:uid="{00000000-0005-0000-0000-00004FAD0000}"/>
    <cellStyle name="Normal 6 24 2 3 4" xfId="51060" xr:uid="{00000000-0005-0000-0000-000050AD0000}"/>
    <cellStyle name="Normal 6 24 2 4" xfId="18363" xr:uid="{00000000-0005-0000-0000-000051AD0000}"/>
    <cellStyle name="Normal 6 24 2 4 2" xfId="32495" xr:uid="{00000000-0005-0000-0000-000052AD0000}"/>
    <cellStyle name="Normal 6 24 2 4 3" xfId="46390" xr:uid="{00000000-0005-0000-0000-000053AD0000}"/>
    <cellStyle name="Normal 6 24 2 5" xfId="23176" xr:uid="{00000000-0005-0000-0000-000054AD0000}"/>
    <cellStyle name="Normal 6 24 2 6" xfId="41808" xr:uid="{00000000-0005-0000-0000-000055AD0000}"/>
    <cellStyle name="Normal 6 24 3" xfId="7853" xr:uid="{00000000-0005-0000-0000-000056AD0000}"/>
    <cellStyle name="Normal 6 24 3 2" xfId="7854" xr:uid="{00000000-0005-0000-0000-000057AD0000}"/>
    <cellStyle name="Normal 6 24 3 2 2" xfId="13635" xr:uid="{00000000-0005-0000-0000-000058AD0000}"/>
    <cellStyle name="Normal 6 24 3 2 2 2" xfId="37120" xr:uid="{00000000-0005-0000-0000-000059AD0000}"/>
    <cellStyle name="Normal 6 24 3 2 2 3" xfId="27801" xr:uid="{00000000-0005-0000-0000-00005AAD0000}"/>
    <cellStyle name="Normal 6 24 3 2 2 4" xfId="51063" xr:uid="{00000000-0005-0000-0000-00005BAD0000}"/>
    <cellStyle name="Normal 6 24 3 2 3" xfId="18366" xr:uid="{00000000-0005-0000-0000-00005CAD0000}"/>
    <cellStyle name="Normal 6 24 3 2 3 2" xfId="32498" xr:uid="{00000000-0005-0000-0000-00005DAD0000}"/>
    <cellStyle name="Normal 6 24 3 2 3 3" xfId="46393" xr:uid="{00000000-0005-0000-0000-00005EAD0000}"/>
    <cellStyle name="Normal 6 24 3 2 4" xfId="23179" xr:uid="{00000000-0005-0000-0000-00005FAD0000}"/>
    <cellStyle name="Normal 6 24 3 2 5" xfId="41811" xr:uid="{00000000-0005-0000-0000-000060AD0000}"/>
    <cellStyle name="Normal 6 24 3 3" xfId="13634" xr:uid="{00000000-0005-0000-0000-000061AD0000}"/>
    <cellStyle name="Normal 6 24 3 3 2" xfId="37119" xr:uid="{00000000-0005-0000-0000-000062AD0000}"/>
    <cellStyle name="Normal 6 24 3 3 3" xfId="27800" xr:uid="{00000000-0005-0000-0000-000063AD0000}"/>
    <cellStyle name="Normal 6 24 3 3 4" xfId="51062" xr:uid="{00000000-0005-0000-0000-000064AD0000}"/>
    <cellStyle name="Normal 6 24 3 4" xfId="18365" xr:uid="{00000000-0005-0000-0000-000065AD0000}"/>
    <cellStyle name="Normal 6 24 3 4 2" xfId="32497" xr:uid="{00000000-0005-0000-0000-000066AD0000}"/>
    <cellStyle name="Normal 6 24 3 4 3" xfId="46392" xr:uid="{00000000-0005-0000-0000-000067AD0000}"/>
    <cellStyle name="Normal 6 24 3 5" xfId="23178" xr:uid="{00000000-0005-0000-0000-000068AD0000}"/>
    <cellStyle name="Normal 6 24 3 6" xfId="41810" xr:uid="{00000000-0005-0000-0000-000069AD0000}"/>
    <cellStyle name="Normal 6 24 4" xfId="7855" xr:uid="{00000000-0005-0000-0000-00006AAD0000}"/>
    <cellStyle name="Normal 6 24 4 2" xfId="7856" xr:uid="{00000000-0005-0000-0000-00006BAD0000}"/>
    <cellStyle name="Normal 6 24 4 2 2" xfId="13637" xr:uid="{00000000-0005-0000-0000-00006CAD0000}"/>
    <cellStyle name="Normal 6 24 4 2 2 2" xfId="37122" xr:uid="{00000000-0005-0000-0000-00006DAD0000}"/>
    <cellStyle name="Normal 6 24 4 2 2 3" xfId="27803" xr:uid="{00000000-0005-0000-0000-00006EAD0000}"/>
    <cellStyle name="Normal 6 24 4 2 2 4" xfId="51065" xr:uid="{00000000-0005-0000-0000-00006FAD0000}"/>
    <cellStyle name="Normal 6 24 4 2 3" xfId="18368" xr:uid="{00000000-0005-0000-0000-000070AD0000}"/>
    <cellStyle name="Normal 6 24 4 2 3 2" xfId="32500" xr:uid="{00000000-0005-0000-0000-000071AD0000}"/>
    <cellStyle name="Normal 6 24 4 2 3 3" xfId="46395" xr:uid="{00000000-0005-0000-0000-000072AD0000}"/>
    <cellStyle name="Normal 6 24 4 2 4" xfId="23181" xr:uid="{00000000-0005-0000-0000-000073AD0000}"/>
    <cellStyle name="Normal 6 24 4 2 5" xfId="41813" xr:uid="{00000000-0005-0000-0000-000074AD0000}"/>
    <cellStyle name="Normal 6 24 4 3" xfId="13636" xr:uid="{00000000-0005-0000-0000-000075AD0000}"/>
    <cellStyle name="Normal 6 24 4 3 2" xfId="37121" xr:uid="{00000000-0005-0000-0000-000076AD0000}"/>
    <cellStyle name="Normal 6 24 4 3 3" xfId="27802" xr:uid="{00000000-0005-0000-0000-000077AD0000}"/>
    <cellStyle name="Normal 6 24 4 3 4" xfId="51064" xr:uid="{00000000-0005-0000-0000-000078AD0000}"/>
    <cellStyle name="Normal 6 24 4 4" xfId="18367" xr:uid="{00000000-0005-0000-0000-000079AD0000}"/>
    <cellStyle name="Normal 6 24 4 4 2" xfId="32499" xr:uid="{00000000-0005-0000-0000-00007AAD0000}"/>
    <cellStyle name="Normal 6 24 4 4 3" xfId="46394" xr:uid="{00000000-0005-0000-0000-00007BAD0000}"/>
    <cellStyle name="Normal 6 24 4 5" xfId="23180" xr:uid="{00000000-0005-0000-0000-00007CAD0000}"/>
    <cellStyle name="Normal 6 24 4 6" xfId="41812" xr:uid="{00000000-0005-0000-0000-00007DAD0000}"/>
    <cellStyle name="Normal 6 24 5" xfId="7857" xr:uid="{00000000-0005-0000-0000-00007EAD0000}"/>
    <cellStyle name="Normal 6 24 5 2" xfId="7858" xr:uid="{00000000-0005-0000-0000-00007FAD0000}"/>
    <cellStyle name="Normal 6 24 5 2 2" xfId="13639" xr:uid="{00000000-0005-0000-0000-000080AD0000}"/>
    <cellStyle name="Normal 6 24 5 2 2 2" xfId="37124" xr:uid="{00000000-0005-0000-0000-000081AD0000}"/>
    <cellStyle name="Normal 6 24 5 2 2 3" xfId="27805" xr:uid="{00000000-0005-0000-0000-000082AD0000}"/>
    <cellStyle name="Normal 6 24 5 2 2 4" xfId="51067" xr:uid="{00000000-0005-0000-0000-000083AD0000}"/>
    <cellStyle name="Normal 6 24 5 2 3" xfId="18370" xr:uid="{00000000-0005-0000-0000-000084AD0000}"/>
    <cellStyle name="Normal 6 24 5 2 3 2" xfId="32502" xr:uid="{00000000-0005-0000-0000-000085AD0000}"/>
    <cellStyle name="Normal 6 24 5 2 3 3" xfId="46397" xr:uid="{00000000-0005-0000-0000-000086AD0000}"/>
    <cellStyle name="Normal 6 24 5 2 4" xfId="23183" xr:uid="{00000000-0005-0000-0000-000087AD0000}"/>
    <cellStyle name="Normal 6 24 5 2 5" xfId="41815" xr:uid="{00000000-0005-0000-0000-000088AD0000}"/>
    <cellStyle name="Normal 6 24 5 3" xfId="13638" xr:uid="{00000000-0005-0000-0000-000089AD0000}"/>
    <cellStyle name="Normal 6 24 5 3 2" xfId="37123" xr:uid="{00000000-0005-0000-0000-00008AAD0000}"/>
    <cellStyle name="Normal 6 24 5 3 3" xfId="27804" xr:uid="{00000000-0005-0000-0000-00008BAD0000}"/>
    <cellStyle name="Normal 6 24 5 3 4" xfId="51066" xr:uid="{00000000-0005-0000-0000-00008CAD0000}"/>
    <cellStyle name="Normal 6 24 5 4" xfId="18369" xr:uid="{00000000-0005-0000-0000-00008DAD0000}"/>
    <cellStyle name="Normal 6 24 5 4 2" xfId="32501" xr:uid="{00000000-0005-0000-0000-00008EAD0000}"/>
    <cellStyle name="Normal 6 24 5 4 3" xfId="46396" xr:uid="{00000000-0005-0000-0000-00008FAD0000}"/>
    <cellStyle name="Normal 6 24 5 5" xfId="23182" xr:uid="{00000000-0005-0000-0000-000090AD0000}"/>
    <cellStyle name="Normal 6 24 5 6" xfId="41814" xr:uid="{00000000-0005-0000-0000-000091AD0000}"/>
    <cellStyle name="Normal 6 24 6" xfId="7859" xr:uid="{00000000-0005-0000-0000-000092AD0000}"/>
    <cellStyle name="Normal 6 24 6 2" xfId="7860" xr:uid="{00000000-0005-0000-0000-000093AD0000}"/>
    <cellStyle name="Normal 6 24 6 2 2" xfId="13641" xr:uid="{00000000-0005-0000-0000-000094AD0000}"/>
    <cellStyle name="Normal 6 24 6 2 2 2" xfId="37126" xr:uid="{00000000-0005-0000-0000-000095AD0000}"/>
    <cellStyle name="Normal 6 24 6 2 2 3" xfId="27807" xr:uid="{00000000-0005-0000-0000-000096AD0000}"/>
    <cellStyle name="Normal 6 24 6 2 2 4" xfId="51069" xr:uid="{00000000-0005-0000-0000-000097AD0000}"/>
    <cellStyle name="Normal 6 24 6 2 3" xfId="18372" xr:uid="{00000000-0005-0000-0000-000098AD0000}"/>
    <cellStyle name="Normal 6 24 6 2 3 2" xfId="32504" xr:uid="{00000000-0005-0000-0000-000099AD0000}"/>
    <cellStyle name="Normal 6 24 6 2 3 3" xfId="46399" xr:uid="{00000000-0005-0000-0000-00009AAD0000}"/>
    <cellStyle name="Normal 6 24 6 2 4" xfId="23185" xr:uid="{00000000-0005-0000-0000-00009BAD0000}"/>
    <cellStyle name="Normal 6 24 6 2 5" xfId="41817" xr:uid="{00000000-0005-0000-0000-00009CAD0000}"/>
    <cellStyle name="Normal 6 24 6 3" xfId="13640" xr:uid="{00000000-0005-0000-0000-00009DAD0000}"/>
    <cellStyle name="Normal 6 24 6 3 2" xfId="37125" xr:uid="{00000000-0005-0000-0000-00009EAD0000}"/>
    <cellStyle name="Normal 6 24 6 3 3" xfId="27806" xr:uid="{00000000-0005-0000-0000-00009FAD0000}"/>
    <cellStyle name="Normal 6 24 6 3 4" xfId="51068" xr:uid="{00000000-0005-0000-0000-0000A0AD0000}"/>
    <cellStyle name="Normal 6 24 6 4" xfId="18371" xr:uid="{00000000-0005-0000-0000-0000A1AD0000}"/>
    <cellStyle name="Normal 6 24 6 4 2" xfId="32503" xr:uid="{00000000-0005-0000-0000-0000A2AD0000}"/>
    <cellStyle name="Normal 6 24 6 4 3" xfId="46398" xr:uid="{00000000-0005-0000-0000-0000A3AD0000}"/>
    <cellStyle name="Normal 6 24 6 5" xfId="23184" xr:uid="{00000000-0005-0000-0000-0000A4AD0000}"/>
    <cellStyle name="Normal 6 24 6 6" xfId="41816" xr:uid="{00000000-0005-0000-0000-0000A5AD0000}"/>
    <cellStyle name="Normal 6 24 7" xfId="7861" xr:uid="{00000000-0005-0000-0000-0000A6AD0000}"/>
    <cellStyle name="Normal 6 24 7 2" xfId="13642" xr:uid="{00000000-0005-0000-0000-0000A7AD0000}"/>
    <cellStyle name="Normal 6 24 7 2 2" xfId="37127" xr:uid="{00000000-0005-0000-0000-0000A8AD0000}"/>
    <cellStyle name="Normal 6 24 7 2 3" xfId="27808" xr:uid="{00000000-0005-0000-0000-0000A9AD0000}"/>
    <cellStyle name="Normal 6 24 7 2 4" xfId="51070" xr:uid="{00000000-0005-0000-0000-0000AAAD0000}"/>
    <cellStyle name="Normal 6 24 7 3" xfId="18373" xr:uid="{00000000-0005-0000-0000-0000ABAD0000}"/>
    <cellStyle name="Normal 6 24 7 3 2" xfId="32505" xr:uid="{00000000-0005-0000-0000-0000ACAD0000}"/>
    <cellStyle name="Normal 6 24 7 3 3" xfId="46400" xr:uid="{00000000-0005-0000-0000-0000ADAD0000}"/>
    <cellStyle name="Normal 6 24 7 4" xfId="23186" xr:uid="{00000000-0005-0000-0000-0000AEAD0000}"/>
    <cellStyle name="Normal 6 24 7 5" xfId="41818" xr:uid="{00000000-0005-0000-0000-0000AFAD0000}"/>
    <cellStyle name="Normal 6 24 8" xfId="13631" xr:uid="{00000000-0005-0000-0000-0000B0AD0000}"/>
    <cellStyle name="Normal 6 24 8 2" xfId="37116" xr:uid="{00000000-0005-0000-0000-0000B1AD0000}"/>
    <cellStyle name="Normal 6 24 8 3" xfId="27797" xr:uid="{00000000-0005-0000-0000-0000B2AD0000}"/>
    <cellStyle name="Normal 6 24 8 4" xfId="51059" xr:uid="{00000000-0005-0000-0000-0000B3AD0000}"/>
    <cellStyle name="Normal 6 24 9" xfId="18362" xr:uid="{00000000-0005-0000-0000-0000B4AD0000}"/>
    <cellStyle name="Normal 6 24 9 2" xfId="32494" xr:uid="{00000000-0005-0000-0000-0000B5AD0000}"/>
    <cellStyle name="Normal 6 24 9 3" xfId="46389" xr:uid="{00000000-0005-0000-0000-0000B6AD0000}"/>
    <cellStyle name="Normal 6 25" xfId="7862" xr:uid="{00000000-0005-0000-0000-0000B7AD0000}"/>
    <cellStyle name="Normal 6 25 10" xfId="23187" xr:uid="{00000000-0005-0000-0000-0000B8AD0000}"/>
    <cellStyle name="Normal 6 25 11" xfId="41819" xr:uid="{00000000-0005-0000-0000-0000B9AD0000}"/>
    <cellStyle name="Normal 6 25 2" xfId="7863" xr:uid="{00000000-0005-0000-0000-0000BAAD0000}"/>
    <cellStyle name="Normal 6 25 2 2" xfId="7864" xr:uid="{00000000-0005-0000-0000-0000BBAD0000}"/>
    <cellStyle name="Normal 6 25 2 2 2" xfId="13645" xr:uid="{00000000-0005-0000-0000-0000BCAD0000}"/>
    <cellStyle name="Normal 6 25 2 2 2 2" xfId="37130" xr:uid="{00000000-0005-0000-0000-0000BDAD0000}"/>
    <cellStyle name="Normal 6 25 2 2 2 3" xfId="27811" xr:uid="{00000000-0005-0000-0000-0000BEAD0000}"/>
    <cellStyle name="Normal 6 25 2 2 2 4" xfId="51073" xr:uid="{00000000-0005-0000-0000-0000BFAD0000}"/>
    <cellStyle name="Normal 6 25 2 2 3" xfId="18376" xr:uid="{00000000-0005-0000-0000-0000C0AD0000}"/>
    <cellStyle name="Normal 6 25 2 2 3 2" xfId="32508" xr:uid="{00000000-0005-0000-0000-0000C1AD0000}"/>
    <cellStyle name="Normal 6 25 2 2 3 3" xfId="46403" xr:uid="{00000000-0005-0000-0000-0000C2AD0000}"/>
    <cellStyle name="Normal 6 25 2 2 4" xfId="23189" xr:uid="{00000000-0005-0000-0000-0000C3AD0000}"/>
    <cellStyle name="Normal 6 25 2 2 5" xfId="41821" xr:uid="{00000000-0005-0000-0000-0000C4AD0000}"/>
    <cellStyle name="Normal 6 25 2 3" xfId="13644" xr:uid="{00000000-0005-0000-0000-0000C5AD0000}"/>
    <cellStyle name="Normal 6 25 2 3 2" xfId="37129" xr:uid="{00000000-0005-0000-0000-0000C6AD0000}"/>
    <cellStyle name="Normal 6 25 2 3 3" xfId="27810" xr:uid="{00000000-0005-0000-0000-0000C7AD0000}"/>
    <cellStyle name="Normal 6 25 2 3 4" xfId="51072" xr:uid="{00000000-0005-0000-0000-0000C8AD0000}"/>
    <cellStyle name="Normal 6 25 2 4" xfId="18375" xr:uid="{00000000-0005-0000-0000-0000C9AD0000}"/>
    <cellStyle name="Normal 6 25 2 4 2" xfId="32507" xr:uid="{00000000-0005-0000-0000-0000CAAD0000}"/>
    <cellStyle name="Normal 6 25 2 4 3" xfId="46402" xr:uid="{00000000-0005-0000-0000-0000CBAD0000}"/>
    <cellStyle name="Normal 6 25 2 5" xfId="23188" xr:uid="{00000000-0005-0000-0000-0000CCAD0000}"/>
    <cellStyle name="Normal 6 25 2 6" xfId="41820" xr:uid="{00000000-0005-0000-0000-0000CDAD0000}"/>
    <cellStyle name="Normal 6 25 3" xfId="7865" xr:uid="{00000000-0005-0000-0000-0000CEAD0000}"/>
    <cellStyle name="Normal 6 25 3 2" xfId="7866" xr:uid="{00000000-0005-0000-0000-0000CFAD0000}"/>
    <cellStyle name="Normal 6 25 3 2 2" xfId="13647" xr:uid="{00000000-0005-0000-0000-0000D0AD0000}"/>
    <cellStyle name="Normal 6 25 3 2 2 2" xfId="37132" xr:uid="{00000000-0005-0000-0000-0000D1AD0000}"/>
    <cellStyle name="Normal 6 25 3 2 2 3" xfId="27813" xr:uid="{00000000-0005-0000-0000-0000D2AD0000}"/>
    <cellStyle name="Normal 6 25 3 2 2 4" xfId="51075" xr:uid="{00000000-0005-0000-0000-0000D3AD0000}"/>
    <cellStyle name="Normal 6 25 3 2 3" xfId="18378" xr:uid="{00000000-0005-0000-0000-0000D4AD0000}"/>
    <cellStyle name="Normal 6 25 3 2 3 2" xfId="32510" xr:uid="{00000000-0005-0000-0000-0000D5AD0000}"/>
    <cellStyle name="Normal 6 25 3 2 3 3" xfId="46405" xr:uid="{00000000-0005-0000-0000-0000D6AD0000}"/>
    <cellStyle name="Normal 6 25 3 2 4" xfId="23191" xr:uid="{00000000-0005-0000-0000-0000D7AD0000}"/>
    <cellStyle name="Normal 6 25 3 2 5" xfId="41823" xr:uid="{00000000-0005-0000-0000-0000D8AD0000}"/>
    <cellStyle name="Normal 6 25 3 3" xfId="13646" xr:uid="{00000000-0005-0000-0000-0000D9AD0000}"/>
    <cellStyle name="Normal 6 25 3 3 2" xfId="37131" xr:uid="{00000000-0005-0000-0000-0000DAAD0000}"/>
    <cellStyle name="Normal 6 25 3 3 3" xfId="27812" xr:uid="{00000000-0005-0000-0000-0000DBAD0000}"/>
    <cellStyle name="Normal 6 25 3 3 4" xfId="51074" xr:uid="{00000000-0005-0000-0000-0000DCAD0000}"/>
    <cellStyle name="Normal 6 25 3 4" xfId="18377" xr:uid="{00000000-0005-0000-0000-0000DDAD0000}"/>
    <cellStyle name="Normal 6 25 3 4 2" xfId="32509" xr:uid="{00000000-0005-0000-0000-0000DEAD0000}"/>
    <cellStyle name="Normal 6 25 3 4 3" xfId="46404" xr:uid="{00000000-0005-0000-0000-0000DFAD0000}"/>
    <cellStyle name="Normal 6 25 3 5" xfId="23190" xr:uid="{00000000-0005-0000-0000-0000E0AD0000}"/>
    <cellStyle name="Normal 6 25 3 6" xfId="41822" xr:uid="{00000000-0005-0000-0000-0000E1AD0000}"/>
    <cellStyle name="Normal 6 25 4" xfId="7867" xr:uid="{00000000-0005-0000-0000-0000E2AD0000}"/>
    <cellStyle name="Normal 6 25 4 2" xfId="7868" xr:uid="{00000000-0005-0000-0000-0000E3AD0000}"/>
    <cellStyle name="Normal 6 25 4 2 2" xfId="13649" xr:uid="{00000000-0005-0000-0000-0000E4AD0000}"/>
    <cellStyle name="Normal 6 25 4 2 2 2" xfId="37134" xr:uid="{00000000-0005-0000-0000-0000E5AD0000}"/>
    <cellStyle name="Normal 6 25 4 2 2 3" xfId="27815" xr:uid="{00000000-0005-0000-0000-0000E6AD0000}"/>
    <cellStyle name="Normal 6 25 4 2 2 4" xfId="51077" xr:uid="{00000000-0005-0000-0000-0000E7AD0000}"/>
    <cellStyle name="Normal 6 25 4 2 3" xfId="18380" xr:uid="{00000000-0005-0000-0000-0000E8AD0000}"/>
    <cellStyle name="Normal 6 25 4 2 3 2" xfId="32512" xr:uid="{00000000-0005-0000-0000-0000E9AD0000}"/>
    <cellStyle name="Normal 6 25 4 2 3 3" xfId="46407" xr:uid="{00000000-0005-0000-0000-0000EAAD0000}"/>
    <cellStyle name="Normal 6 25 4 2 4" xfId="23193" xr:uid="{00000000-0005-0000-0000-0000EBAD0000}"/>
    <cellStyle name="Normal 6 25 4 2 5" xfId="41825" xr:uid="{00000000-0005-0000-0000-0000ECAD0000}"/>
    <cellStyle name="Normal 6 25 4 3" xfId="13648" xr:uid="{00000000-0005-0000-0000-0000EDAD0000}"/>
    <cellStyle name="Normal 6 25 4 3 2" xfId="37133" xr:uid="{00000000-0005-0000-0000-0000EEAD0000}"/>
    <cellStyle name="Normal 6 25 4 3 3" xfId="27814" xr:uid="{00000000-0005-0000-0000-0000EFAD0000}"/>
    <cellStyle name="Normal 6 25 4 3 4" xfId="51076" xr:uid="{00000000-0005-0000-0000-0000F0AD0000}"/>
    <cellStyle name="Normal 6 25 4 4" xfId="18379" xr:uid="{00000000-0005-0000-0000-0000F1AD0000}"/>
    <cellStyle name="Normal 6 25 4 4 2" xfId="32511" xr:uid="{00000000-0005-0000-0000-0000F2AD0000}"/>
    <cellStyle name="Normal 6 25 4 4 3" xfId="46406" xr:uid="{00000000-0005-0000-0000-0000F3AD0000}"/>
    <cellStyle name="Normal 6 25 4 5" xfId="23192" xr:uid="{00000000-0005-0000-0000-0000F4AD0000}"/>
    <cellStyle name="Normal 6 25 4 6" xfId="41824" xr:uid="{00000000-0005-0000-0000-0000F5AD0000}"/>
    <cellStyle name="Normal 6 25 5" xfId="7869" xr:uid="{00000000-0005-0000-0000-0000F6AD0000}"/>
    <cellStyle name="Normal 6 25 5 2" xfId="7870" xr:uid="{00000000-0005-0000-0000-0000F7AD0000}"/>
    <cellStyle name="Normal 6 25 5 2 2" xfId="13651" xr:uid="{00000000-0005-0000-0000-0000F8AD0000}"/>
    <cellStyle name="Normal 6 25 5 2 2 2" xfId="37136" xr:uid="{00000000-0005-0000-0000-0000F9AD0000}"/>
    <cellStyle name="Normal 6 25 5 2 2 3" xfId="27817" xr:uid="{00000000-0005-0000-0000-0000FAAD0000}"/>
    <cellStyle name="Normal 6 25 5 2 2 4" xfId="51079" xr:uid="{00000000-0005-0000-0000-0000FBAD0000}"/>
    <cellStyle name="Normal 6 25 5 2 3" xfId="18382" xr:uid="{00000000-0005-0000-0000-0000FCAD0000}"/>
    <cellStyle name="Normal 6 25 5 2 3 2" xfId="32514" xr:uid="{00000000-0005-0000-0000-0000FDAD0000}"/>
    <cellStyle name="Normal 6 25 5 2 3 3" xfId="46409" xr:uid="{00000000-0005-0000-0000-0000FEAD0000}"/>
    <cellStyle name="Normal 6 25 5 2 4" xfId="23195" xr:uid="{00000000-0005-0000-0000-0000FFAD0000}"/>
    <cellStyle name="Normal 6 25 5 2 5" xfId="41827" xr:uid="{00000000-0005-0000-0000-000000AE0000}"/>
    <cellStyle name="Normal 6 25 5 3" xfId="13650" xr:uid="{00000000-0005-0000-0000-000001AE0000}"/>
    <cellStyle name="Normal 6 25 5 3 2" xfId="37135" xr:uid="{00000000-0005-0000-0000-000002AE0000}"/>
    <cellStyle name="Normal 6 25 5 3 3" xfId="27816" xr:uid="{00000000-0005-0000-0000-000003AE0000}"/>
    <cellStyle name="Normal 6 25 5 3 4" xfId="51078" xr:uid="{00000000-0005-0000-0000-000004AE0000}"/>
    <cellStyle name="Normal 6 25 5 4" xfId="18381" xr:uid="{00000000-0005-0000-0000-000005AE0000}"/>
    <cellStyle name="Normal 6 25 5 4 2" xfId="32513" xr:uid="{00000000-0005-0000-0000-000006AE0000}"/>
    <cellStyle name="Normal 6 25 5 4 3" xfId="46408" xr:uid="{00000000-0005-0000-0000-000007AE0000}"/>
    <cellStyle name="Normal 6 25 5 5" xfId="23194" xr:uid="{00000000-0005-0000-0000-000008AE0000}"/>
    <cellStyle name="Normal 6 25 5 6" xfId="41826" xr:uid="{00000000-0005-0000-0000-000009AE0000}"/>
    <cellStyle name="Normal 6 25 6" xfId="7871" xr:uid="{00000000-0005-0000-0000-00000AAE0000}"/>
    <cellStyle name="Normal 6 25 6 2" xfId="7872" xr:uid="{00000000-0005-0000-0000-00000BAE0000}"/>
    <cellStyle name="Normal 6 25 6 2 2" xfId="13653" xr:uid="{00000000-0005-0000-0000-00000CAE0000}"/>
    <cellStyle name="Normal 6 25 6 2 2 2" xfId="37138" xr:uid="{00000000-0005-0000-0000-00000DAE0000}"/>
    <cellStyle name="Normal 6 25 6 2 2 3" xfId="27819" xr:uid="{00000000-0005-0000-0000-00000EAE0000}"/>
    <cellStyle name="Normal 6 25 6 2 2 4" xfId="51081" xr:uid="{00000000-0005-0000-0000-00000FAE0000}"/>
    <cellStyle name="Normal 6 25 6 2 3" xfId="18384" xr:uid="{00000000-0005-0000-0000-000010AE0000}"/>
    <cellStyle name="Normal 6 25 6 2 3 2" xfId="32516" xr:uid="{00000000-0005-0000-0000-000011AE0000}"/>
    <cellStyle name="Normal 6 25 6 2 3 3" xfId="46411" xr:uid="{00000000-0005-0000-0000-000012AE0000}"/>
    <cellStyle name="Normal 6 25 6 2 4" xfId="23197" xr:uid="{00000000-0005-0000-0000-000013AE0000}"/>
    <cellStyle name="Normal 6 25 6 2 5" xfId="41829" xr:uid="{00000000-0005-0000-0000-000014AE0000}"/>
    <cellStyle name="Normal 6 25 6 3" xfId="13652" xr:uid="{00000000-0005-0000-0000-000015AE0000}"/>
    <cellStyle name="Normal 6 25 6 3 2" xfId="37137" xr:uid="{00000000-0005-0000-0000-000016AE0000}"/>
    <cellStyle name="Normal 6 25 6 3 3" xfId="27818" xr:uid="{00000000-0005-0000-0000-000017AE0000}"/>
    <cellStyle name="Normal 6 25 6 3 4" xfId="51080" xr:uid="{00000000-0005-0000-0000-000018AE0000}"/>
    <cellStyle name="Normal 6 25 6 4" xfId="18383" xr:uid="{00000000-0005-0000-0000-000019AE0000}"/>
    <cellStyle name="Normal 6 25 6 4 2" xfId="32515" xr:uid="{00000000-0005-0000-0000-00001AAE0000}"/>
    <cellStyle name="Normal 6 25 6 4 3" xfId="46410" xr:uid="{00000000-0005-0000-0000-00001BAE0000}"/>
    <cellStyle name="Normal 6 25 6 5" xfId="23196" xr:uid="{00000000-0005-0000-0000-00001CAE0000}"/>
    <cellStyle name="Normal 6 25 6 6" xfId="41828" xr:uid="{00000000-0005-0000-0000-00001DAE0000}"/>
    <cellStyle name="Normal 6 25 7" xfId="7873" xr:uid="{00000000-0005-0000-0000-00001EAE0000}"/>
    <cellStyle name="Normal 6 25 7 2" xfId="13654" xr:uid="{00000000-0005-0000-0000-00001FAE0000}"/>
    <cellStyle name="Normal 6 25 7 2 2" xfId="37139" xr:uid="{00000000-0005-0000-0000-000020AE0000}"/>
    <cellStyle name="Normal 6 25 7 2 3" xfId="27820" xr:uid="{00000000-0005-0000-0000-000021AE0000}"/>
    <cellStyle name="Normal 6 25 7 2 4" xfId="51082" xr:uid="{00000000-0005-0000-0000-000022AE0000}"/>
    <cellStyle name="Normal 6 25 7 3" xfId="18385" xr:uid="{00000000-0005-0000-0000-000023AE0000}"/>
    <cellStyle name="Normal 6 25 7 3 2" xfId="32517" xr:uid="{00000000-0005-0000-0000-000024AE0000}"/>
    <cellStyle name="Normal 6 25 7 3 3" xfId="46412" xr:uid="{00000000-0005-0000-0000-000025AE0000}"/>
    <cellStyle name="Normal 6 25 7 4" xfId="23198" xr:uid="{00000000-0005-0000-0000-000026AE0000}"/>
    <cellStyle name="Normal 6 25 7 5" xfId="41830" xr:uid="{00000000-0005-0000-0000-000027AE0000}"/>
    <cellStyle name="Normal 6 25 8" xfId="13643" xr:uid="{00000000-0005-0000-0000-000028AE0000}"/>
    <cellStyle name="Normal 6 25 8 2" xfId="37128" xr:uid="{00000000-0005-0000-0000-000029AE0000}"/>
    <cellStyle name="Normal 6 25 8 3" xfId="27809" xr:uid="{00000000-0005-0000-0000-00002AAE0000}"/>
    <cellStyle name="Normal 6 25 8 4" xfId="51071" xr:uid="{00000000-0005-0000-0000-00002BAE0000}"/>
    <cellStyle name="Normal 6 25 9" xfId="18374" xr:uid="{00000000-0005-0000-0000-00002CAE0000}"/>
    <cellStyle name="Normal 6 25 9 2" xfId="32506" xr:uid="{00000000-0005-0000-0000-00002DAE0000}"/>
    <cellStyle name="Normal 6 25 9 3" xfId="46401" xr:uid="{00000000-0005-0000-0000-00002EAE0000}"/>
    <cellStyle name="Normal 6 26" xfId="7874" xr:uid="{00000000-0005-0000-0000-00002FAE0000}"/>
    <cellStyle name="Normal 6 26 10" xfId="23199" xr:uid="{00000000-0005-0000-0000-000030AE0000}"/>
    <cellStyle name="Normal 6 26 11" xfId="41831" xr:uid="{00000000-0005-0000-0000-000031AE0000}"/>
    <cellStyle name="Normal 6 26 2" xfId="7875" xr:uid="{00000000-0005-0000-0000-000032AE0000}"/>
    <cellStyle name="Normal 6 26 2 2" xfId="7876" xr:uid="{00000000-0005-0000-0000-000033AE0000}"/>
    <cellStyle name="Normal 6 26 2 2 2" xfId="13657" xr:uid="{00000000-0005-0000-0000-000034AE0000}"/>
    <cellStyle name="Normal 6 26 2 2 2 2" xfId="37142" xr:uid="{00000000-0005-0000-0000-000035AE0000}"/>
    <cellStyle name="Normal 6 26 2 2 2 3" xfId="27823" xr:uid="{00000000-0005-0000-0000-000036AE0000}"/>
    <cellStyle name="Normal 6 26 2 2 2 4" xfId="51085" xr:uid="{00000000-0005-0000-0000-000037AE0000}"/>
    <cellStyle name="Normal 6 26 2 2 3" xfId="18388" xr:uid="{00000000-0005-0000-0000-000038AE0000}"/>
    <cellStyle name="Normal 6 26 2 2 3 2" xfId="32520" xr:uid="{00000000-0005-0000-0000-000039AE0000}"/>
    <cellStyle name="Normal 6 26 2 2 3 3" xfId="46415" xr:uid="{00000000-0005-0000-0000-00003AAE0000}"/>
    <cellStyle name="Normal 6 26 2 2 4" xfId="23201" xr:uid="{00000000-0005-0000-0000-00003BAE0000}"/>
    <cellStyle name="Normal 6 26 2 2 5" xfId="41833" xr:uid="{00000000-0005-0000-0000-00003CAE0000}"/>
    <cellStyle name="Normal 6 26 2 3" xfId="13656" xr:uid="{00000000-0005-0000-0000-00003DAE0000}"/>
    <cellStyle name="Normal 6 26 2 3 2" xfId="37141" xr:uid="{00000000-0005-0000-0000-00003EAE0000}"/>
    <cellStyle name="Normal 6 26 2 3 3" xfId="27822" xr:uid="{00000000-0005-0000-0000-00003FAE0000}"/>
    <cellStyle name="Normal 6 26 2 3 4" xfId="51084" xr:uid="{00000000-0005-0000-0000-000040AE0000}"/>
    <cellStyle name="Normal 6 26 2 4" xfId="18387" xr:uid="{00000000-0005-0000-0000-000041AE0000}"/>
    <cellStyle name="Normal 6 26 2 4 2" xfId="32519" xr:uid="{00000000-0005-0000-0000-000042AE0000}"/>
    <cellStyle name="Normal 6 26 2 4 3" xfId="46414" xr:uid="{00000000-0005-0000-0000-000043AE0000}"/>
    <cellStyle name="Normal 6 26 2 5" xfId="23200" xr:uid="{00000000-0005-0000-0000-000044AE0000}"/>
    <cellStyle name="Normal 6 26 2 6" xfId="41832" xr:uid="{00000000-0005-0000-0000-000045AE0000}"/>
    <cellStyle name="Normal 6 26 3" xfId="7877" xr:uid="{00000000-0005-0000-0000-000046AE0000}"/>
    <cellStyle name="Normal 6 26 3 2" xfId="7878" xr:uid="{00000000-0005-0000-0000-000047AE0000}"/>
    <cellStyle name="Normal 6 26 3 2 2" xfId="13659" xr:uid="{00000000-0005-0000-0000-000048AE0000}"/>
    <cellStyle name="Normal 6 26 3 2 2 2" xfId="37144" xr:uid="{00000000-0005-0000-0000-000049AE0000}"/>
    <cellStyle name="Normal 6 26 3 2 2 3" xfId="27825" xr:uid="{00000000-0005-0000-0000-00004AAE0000}"/>
    <cellStyle name="Normal 6 26 3 2 2 4" xfId="51087" xr:uid="{00000000-0005-0000-0000-00004BAE0000}"/>
    <cellStyle name="Normal 6 26 3 2 3" xfId="18390" xr:uid="{00000000-0005-0000-0000-00004CAE0000}"/>
    <cellStyle name="Normal 6 26 3 2 3 2" xfId="32522" xr:uid="{00000000-0005-0000-0000-00004DAE0000}"/>
    <cellStyle name="Normal 6 26 3 2 3 3" xfId="46417" xr:uid="{00000000-0005-0000-0000-00004EAE0000}"/>
    <cellStyle name="Normal 6 26 3 2 4" xfId="23203" xr:uid="{00000000-0005-0000-0000-00004FAE0000}"/>
    <cellStyle name="Normal 6 26 3 2 5" xfId="41835" xr:uid="{00000000-0005-0000-0000-000050AE0000}"/>
    <cellStyle name="Normal 6 26 3 3" xfId="13658" xr:uid="{00000000-0005-0000-0000-000051AE0000}"/>
    <cellStyle name="Normal 6 26 3 3 2" xfId="37143" xr:uid="{00000000-0005-0000-0000-000052AE0000}"/>
    <cellStyle name="Normal 6 26 3 3 3" xfId="27824" xr:uid="{00000000-0005-0000-0000-000053AE0000}"/>
    <cellStyle name="Normal 6 26 3 3 4" xfId="51086" xr:uid="{00000000-0005-0000-0000-000054AE0000}"/>
    <cellStyle name="Normal 6 26 3 4" xfId="18389" xr:uid="{00000000-0005-0000-0000-000055AE0000}"/>
    <cellStyle name="Normal 6 26 3 4 2" xfId="32521" xr:uid="{00000000-0005-0000-0000-000056AE0000}"/>
    <cellStyle name="Normal 6 26 3 4 3" xfId="46416" xr:uid="{00000000-0005-0000-0000-000057AE0000}"/>
    <cellStyle name="Normal 6 26 3 5" xfId="23202" xr:uid="{00000000-0005-0000-0000-000058AE0000}"/>
    <cellStyle name="Normal 6 26 3 6" xfId="41834" xr:uid="{00000000-0005-0000-0000-000059AE0000}"/>
    <cellStyle name="Normal 6 26 4" xfId="7879" xr:uid="{00000000-0005-0000-0000-00005AAE0000}"/>
    <cellStyle name="Normal 6 26 4 2" xfId="7880" xr:uid="{00000000-0005-0000-0000-00005BAE0000}"/>
    <cellStyle name="Normal 6 26 4 2 2" xfId="13661" xr:uid="{00000000-0005-0000-0000-00005CAE0000}"/>
    <cellStyle name="Normal 6 26 4 2 2 2" xfId="37146" xr:uid="{00000000-0005-0000-0000-00005DAE0000}"/>
    <cellStyle name="Normal 6 26 4 2 2 3" xfId="27827" xr:uid="{00000000-0005-0000-0000-00005EAE0000}"/>
    <cellStyle name="Normal 6 26 4 2 2 4" xfId="51089" xr:uid="{00000000-0005-0000-0000-00005FAE0000}"/>
    <cellStyle name="Normal 6 26 4 2 3" xfId="18392" xr:uid="{00000000-0005-0000-0000-000060AE0000}"/>
    <cellStyle name="Normal 6 26 4 2 3 2" xfId="32524" xr:uid="{00000000-0005-0000-0000-000061AE0000}"/>
    <cellStyle name="Normal 6 26 4 2 3 3" xfId="46419" xr:uid="{00000000-0005-0000-0000-000062AE0000}"/>
    <cellStyle name="Normal 6 26 4 2 4" xfId="23205" xr:uid="{00000000-0005-0000-0000-000063AE0000}"/>
    <cellStyle name="Normal 6 26 4 2 5" xfId="41837" xr:uid="{00000000-0005-0000-0000-000064AE0000}"/>
    <cellStyle name="Normal 6 26 4 3" xfId="13660" xr:uid="{00000000-0005-0000-0000-000065AE0000}"/>
    <cellStyle name="Normal 6 26 4 3 2" xfId="37145" xr:uid="{00000000-0005-0000-0000-000066AE0000}"/>
    <cellStyle name="Normal 6 26 4 3 3" xfId="27826" xr:uid="{00000000-0005-0000-0000-000067AE0000}"/>
    <cellStyle name="Normal 6 26 4 3 4" xfId="51088" xr:uid="{00000000-0005-0000-0000-000068AE0000}"/>
    <cellStyle name="Normal 6 26 4 4" xfId="18391" xr:uid="{00000000-0005-0000-0000-000069AE0000}"/>
    <cellStyle name="Normal 6 26 4 4 2" xfId="32523" xr:uid="{00000000-0005-0000-0000-00006AAE0000}"/>
    <cellStyle name="Normal 6 26 4 4 3" xfId="46418" xr:uid="{00000000-0005-0000-0000-00006BAE0000}"/>
    <cellStyle name="Normal 6 26 4 5" xfId="23204" xr:uid="{00000000-0005-0000-0000-00006CAE0000}"/>
    <cellStyle name="Normal 6 26 4 6" xfId="41836" xr:uid="{00000000-0005-0000-0000-00006DAE0000}"/>
    <cellStyle name="Normal 6 26 5" xfId="7881" xr:uid="{00000000-0005-0000-0000-00006EAE0000}"/>
    <cellStyle name="Normal 6 26 5 2" xfId="7882" xr:uid="{00000000-0005-0000-0000-00006FAE0000}"/>
    <cellStyle name="Normal 6 26 5 2 2" xfId="13663" xr:uid="{00000000-0005-0000-0000-000070AE0000}"/>
    <cellStyle name="Normal 6 26 5 2 2 2" xfId="37148" xr:uid="{00000000-0005-0000-0000-000071AE0000}"/>
    <cellStyle name="Normal 6 26 5 2 2 3" xfId="27829" xr:uid="{00000000-0005-0000-0000-000072AE0000}"/>
    <cellStyle name="Normal 6 26 5 2 2 4" xfId="51091" xr:uid="{00000000-0005-0000-0000-000073AE0000}"/>
    <cellStyle name="Normal 6 26 5 2 3" xfId="18394" xr:uid="{00000000-0005-0000-0000-000074AE0000}"/>
    <cellStyle name="Normal 6 26 5 2 3 2" xfId="32526" xr:uid="{00000000-0005-0000-0000-000075AE0000}"/>
    <cellStyle name="Normal 6 26 5 2 3 3" xfId="46421" xr:uid="{00000000-0005-0000-0000-000076AE0000}"/>
    <cellStyle name="Normal 6 26 5 2 4" xfId="23207" xr:uid="{00000000-0005-0000-0000-000077AE0000}"/>
    <cellStyle name="Normal 6 26 5 2 5" xfId="41839" xr:uid="{00000000-0005-0000-0000-000078AE0000}"/>
    <cellStyle name="Normal 6 26 5 3" xfId="13662" xr:uid="{00000000-0005-0000-0000-000079AE0000}"/>
    <cellStyle name="Normal 6 26 5 3 2" xfId="37147" xr:uid="{00000000-0005-0000-0000-00007AAE0000}"/>
    <cellStyle name="Normal 6 26 5 3 3" xfId="27828" xr:uid="{00000000-0005-0000-0000-00007BAE0000}"/>
    <cellStyle name="Normal 6 26 5 3 4" xfId="51090" xr:uid="{00000000-0005-0000-0000-00007CAE0000}"/>
    <cellStyle name="Normal 6 26 5 4" xfId="18393" xr:uid="{00000000-0005-0000-0000-00007DAE0000}"/>
    <cellStyle name="Normal 6 26 5 4 2" xfId="32525" xr:uid="{00000000-0005-0000-0000-00007EAE0000}"/>
    <cellStyle name="Normal 6 26 5 4 3" xfId="46420" xr:uid="{00000000-0005-0000-0000-00007FAE0000}"/>
    <cellStyle name="Normal 6 26 5 5" xfId="23206" xr:uid="{00000000-0005-0000-0000-000080AE0000}"/>
    <cellStyle name="Normal 6 26 5 6" xfId="41838" xr:uid="{00000000-0005-0000-0000-000081AE0000}"/>
    <cellStyle name="Normal 6 26 6" xfId="7883" xr:uid="{00000000-0005-0000-0000-000082AE0000}"/>
    <cellStyle name="Normal 6 26 6 2" xfId="7884" xr:uid="{00000000-0005-0000-0000-000083AE0000}"/>
    <cellStyle name="Normal 6 26 6 2 2" xfId="13665" xr:uid="{00000000-0005-0000-0000-000084AE0000}"/>
    <cellStyle name="Normal 6 26 6 2 2 2" xfId="37150" xr:uid="{00000000-0005-0000-0000-000085AE0000}"/>
    <cellStyle name="Normal 6 26 6 2 2 3" xfId="27831" xr:uid="{00000000-0005-0000-0000-000086AE0000}"/>
    <cellStyle name="Normal 6 26 6 2 2 4" xfId="51093" xr:uid="{00000000-0005-0000-0000-000087AE0000}"/>
    <cellStyle name="Normal 6 26 6 2 3" xfId="18396" xr:uid="{00000000-0005-0000-0000-000088AE0000}"/>
    <cellStyle name="Normal 6 26 6 2 3 2" xfId="32528" xr:uid="{00000000-0005-0000-0000-000089AE0000}"/>
    <cellStyle name="Normal 6 26 6 2 3 3" xfId="46423" xr:uid="{00000000-0005-0000-0000-00008AAE0000}"/>
    <cellStyle name="Normal 6 26 6 2 4" xfId="23209" xr:uid="{00000000-0005-0000-0000-00008BAE0000}"/>
    <cellStyle name="Normal 6 26 6 2 5" xfId="41841" xr:uid="{00000000-0005-0000-0000-00008CAE0000}"/>
    <cellStyle name="Normal 6 26 6 3" xfId="13664" xr:uid="{00000000-0005-0000-0000-00008DAE0000}"/>
    <cellStyle name="Normal 6 26 6 3 2" xfId="37149" xr:uid="{00000000-0005-0000-0000-00008EAE0000}"/>
    <cellStyle name="Normal 6 26 6 3 3" xfId="27830" xr:uid="{00000000-0005-0000-0000-00008FAE0000}"/>
    <cellStyle name="Normal 6 26 6 3 4" xfId="51092" xr:uid="{00000000-0005-0000-0000-000090AE0000}"/>
    <cellStyle name="Normal 6 26 6 4" xfId="18395" xr:uid="{00000000-0005-0000-0000-000091AE0000}"/>
    <cellStyle name="Normal 6 26 6 4 2" xfId="32527" xr:uid="{00000000-0005-0000-0000-000092AE0000}"/>
    <cellStyle name="Normal 6 26 6 4 3" xfId="46422" xr:uid="{00000000-0005-0000-0000-000093AE0000}"/>
    <cellStyle name="Normal 6 26 6 5" xfId="23208" xr:uid="{00000000-0005-0000-0000-000094AE0000}"/>
    <cellStyle name="Normal 6 26 6 6" xfId="41840" xr:uid="{00000000-0005-0000-0000-000095AE0000}"/>
    <cellStyle name="Normal 6 26 7" xfId="7885" xr:uid="{00000000-0005-0000-0000-000096AE0000}"/>
    <cellStyle name="Normal 6 26 7 2" xfId="13666" xr:uid="{00000000-0005-0000-0000-000097AE0000}"/>
    <cellStyle name="Normal 6 26 7 2 2" xfId="37151" xr:uid="{00000000-0005-0000-0000-000098AE0000}"/>
    <cellStyle name="Normal 6 26 7 2 3" xfId="27832" xr:uid="{00000000-0005-0000-0000-000099AE0000}"/>
    <cellStyle name="Normal 6 26 7 2 4" xfId="51094" xr:uid="{00000000-0005-0000-0000-00009AAE0000}"/>
    <cellStyle name="Normal 6 26 7 3" xfId="18397" xr:uid="{00000000-0005-0000-0000-00009BAE0000}"/>
    <cellStyle name="Normal 6 26 7 3 2" xfId="32529" xr:uid="{00000000-0005-0000-0000-00009CAE0000}"/>
    <cellStyle name="Normal 6 26 7 3 3" xfId="46424" xr:uid="{00000000-0005-0000-0000-00009DAE0000}"/>
    <cellStyle name="Normal 6 26 7 4" xfId="23210" xr:uid="{00000000-0005-0000-0000-00009EAE0000}"/>
    <cellStyle name="Normal 6 26 7 5" xfId="41842" xr:uid="{00000000-0005-0000-0000-00009FAE0000}"/>
    <cellStyle name="Normal 6 26 8" xfId="13655" xr:uid="{00000000-0005-0000-0000-0000A0AE0000}"/>
    <cellStyle name="Normal 6 26 8 2" xfId="37140" xr:uid="{00000000-0005-0000-0000-0000A1AE0000}"/>
    <cellStyle name="Normal 6 26 8 3" xfId="27821" xr:uid="{00000000-0005-0000-0000-0000A2AE0000}"/>
    <cellStyle name="Normal 6 26 8 4" xfId="51083" xr:uid="{00000000-0005-0000-0000-0000A3AE0000}"/>
    <cellStyle name="Normal 6 26 9" xfId="18386" xr:uid="{00000000-0005-0000-0000-0000A4AE0000}"/>
    <cellStyle name="Normal 6 26 9 2" xfId="32518" xr:uid="{00000000-0005-0000-0000-0000A5AE0000}"/>
    <cellStyle name="Normal 6 26 9 3" xfId="46413" xr:uid="{00000000-0005-0000-0000-0000A6AE0000}"/>
    <cellStyle name="Normal 6 27" xfId="7886" xr:uid="{00000000-0005-0000-0000-0000A7AE0000}"/>
    <cellStyle name="Normal 6 27 10" xfId="23211" xr:uid="{00000000-0005-0000-0000-0000A8AE0000}"/>
    <cellStyle name="Normal 6 27 11" xfId="41843" xr:uid="{00000000-0005-0000-0000-0000A9AE0000}"/>
    <cellStyle name="Normal 6 27 2" xfId="7887" xr:uid="{00000000-0005-0000-0000-0000AAAE0000}"/>
    <cellStyle name="Normal 6 27 2 2" xfId="7888" xr:uid="{00000000-0005-0000-0000-0000ABAE0000}"/>
    <cellStyle name="Normal 6 27 2 2 2" xfId="13669" xr:uid="{00000000-0005-0000-0000-0000ACAE0000}"/>
    <cellStyle name="Normal 6 27 2 2 2 2" xfId="37154" xr:uid="{00000000-0005-0000-0000-0000ADAE0000}"/>
    <cellStyle name="Normal 6 27 2 2 2 3" xfId="27835" xr:uid="{00000000-0005-0000-0000-0000AEAE0000}"/>
    <cellStyle name="Normal 6 27 2 2 2 4" xfId="51097" xr:uid="{00000000-0005-0000-0000-0000AFAE0000}"/>
    <cellStyle name="Normal 6 27 2 2 3" xfId="18400" xr:uid="{00000000-0005-0000-0000-0000B0AE0000}"/>
    <cellStyle name="Normal 6 27 2 2 3 2" xfId="32532" xr:uid="{00000000-0005-0000-0000-0000B1AE0000}"/>
    <cellStyle name="Normal 6 27 2 2 3 3" xfId="46427" xr:uid="{00000000-0005-0000-0000-0000B2AE0000}"/>
    <cellStyle name="Normal 6 27 2 2 4" xfId="23213" xr:uid="{00000000-0005-0000-0000-0000B3AE0000}"/>
    <cellStyle name="Normal 6 27 2 2 5" xfId="41845" xr:uid="{00000000-0005-0000-0000-0000B4AE0000}"/>
    <cellStyle name="Normal 6 27 2 3" xfId="13668" xr:uid="{00000000-0005-0000-0000-0000B5AE0000}"/>
    <cellStyle name="Normal 6 27 2 3 2" xfId="37153" xr:uid="{00000000-0005-0000-0000-0000B6AE0000}"/>
    <cellStyle name="Normal 6 27 2 3 3" xfId="27834" xr:uid="{00000000-0005-0000-0000-0000B7AE0000}"/>
    <cellStyle name="Normal 6 27 2 3 4" xfId="51096" xr:uid="{00000000-0005-0000-0000-0000B8AE0000}"/>
    <cellStyle name="Normal 6 27 2 4" xfId="18399" xr:uid="{00000000-0005-0000-0000-0000B9AE0000}"/>
    <cellStyle name="Normal 6 27 2 4 2" xfId="32531" xr:uid="{00000000-0005-0000-0000-0000BAAE0000}"/>
    <cellStyle name="Normal 6 27 2 4 3" xfId="46426" xr:uid="{00000000-0005-0000-0000-0000BBAE0000}"/>
    <cellStyle name="Normal 6 27 2 5" xfId="23212" xr:uid="{00000000-0005-0000-0000-0000BCAE0000}"/>
    <cellStyle name="Normal 6 27 2 6" xfId="41844" xr:uid="{00000000-0005-0000-0000-0000BDAE0000}"/>
    <cellStyle name="Normal 6 27 3" xfId="7889" xr:uid="{00000000-0005-0000-0000-0000BEAE0000}"/>
    <cellStyle name="Normal 6 27 3 2" xfId="7890" xr:uid="{00000000-0005-0000-0000-0000BFAE0000}"/>
    <cellStyle name="Normal 6 27 3 2 2" xfId="13671" xr:uid="{00000000-0005-0000-0000-0000C0AE0000}"/>
    <cellStyle name="Normal 6 27 3 2 2 2" xfId="37156" xr:uid="{00000000-0005-0000-0000-0000C1AE0000}"/>
    <cellStyle name="Normal 6 27 3 2 2 3" xfId="27837" xr:uid="{00000000-0005-0000-0000-0000C2AE0000}"/>
    <cellStyle name="Normal 6 27 3 2 2 4" xfId="51099" xr:uid="{00000000-0005-0000-0000-0000C3AE0000}"/>
    <cellStyle name="Normal 6 27 3 2 3" xfId="18402" xr:uid="{00000000-0005-0000-0000-0000C4AE0000}"/>
    <cellStyle name="Normal 6 27 3 2 3 2" xfId="32534" xr:uid="{00000000-0005-0000-0000-0000C5AE0000}"/>
    <cellStyle name="Normal 6 27 3 2 3 3" xfId="46429" xr:uid="{00000000-0005-0000-0000-0000C6AE0000}"/>
    <cellStyle name="Normal 6 27 3 2 4" xfId="23215" xr:uid="{00000000-0005-0000-0000-0000C7AE0000}"/>
    <cellStyle name="Normal 6 27 3 2 5" xfId="41847" xr:uid="{00000000-0005-0000-0000-0000C8AE0000}"/>
    <cellStyle name="Normal 6 27 3 3" xfId="13670" xr:uid="{00000000-0005-0000-0000-0000C9AE0000}"/>
    <cellStyle name="Normal 6 27 3 3 2" xfId="37155" xr:uid="{00000000-0005-0000-0000-0000CAAE0000}"/>
    <cellStyle name="Normal 6 27 3 3 3" xfId="27836" xr:uid="{00000000-0005-0000-0000-0000CBAE0000}"/>
    <cellStyle name="Normal 6 27 3 3 4" xfId="51098" xr:uid="{00000000-0005-0000-0000-0000CCAE0000}"/>
    <cellStyle name="Normal 6 27 3 4" xfId="18401" xr:uid="{00000000-0005-0000-0000-0000CDAE0000}"/>
    <cellStyle name="Normal 6 27 3 4 2" xfId="32533" xr:uid="{00000000-0005-0000-0000-0000CEAE0000}"/>
    <cellStyle name="Normal 6 27 3 4 3" xfId="46428" xr:uid="{00000000-0005-0000-0000-0000CFAE0000}"/>
    <cellStyle name="Normal 6 27 3 5" xfId="23214" xr:uid="{00000000-0005-0000-0000-0000D0AE0000}"/>
    <cellStyle name="Normal 6 27 3 6" xfId="41846" xr:uid="{00000000-0005-0000-0000-0000D1AE0000}"/>
    <cellStyle name="Normal 6 27 4" xfId="7891" xr:uid="{00000000-0005-0000-0000-0000D2AE0000}"/>
    <cellStyle name="Normal 6 27 4 2" xfId="7892" xr:uid="{00000000-0005-0000-0000-0000D3AE0000}"/>
    <cellStyle name="Normal 6 27 4 2 2" xfId="13673" xr:uid="{00000000-0005-0000-0000-0000D4AE0000}"/>
    <cellStyle name="Normal 6 27 4 2 2 2" xfId="37158" xr:uid="{00000000-0005-0000-0000-0000D5AE0000}"/>
    <cellStyle name="Normal 6 27 4 2 2 3" xfId="27839" xr:uid="{00000000-0005-0000-0000-0000D6AE0000}"/>
    <cellStyle name="Normal 6 27 4 2 2 4" xfId="51101" xr:uid="{00000000-0005-0000-0000-0000D7AE0000}"/>
    <cellStyle name="Normal 6 27 4 2 3" xfId="18404" xr:uid="{00000000-0005-0000-0000-0000D8AE0000}"/>
    <cellStyle name="Normal 6 27 4 2 3 2" xfId="32536" xr:uid="{00000000-0005-0000-0000-0000D9AE0000}"/>
    <cellStyle name="Normal 6 27 4 2 3 3" xfId="46431" xr:uid="{00000000-0005-0000-0000-0000DAAE0000}"/>
    <cellStyle name="Normal 6 27 4 2 4" xfId="23217" xr:uid="{00000000-0005-0000-0000-0000DBAE0000}"/>
    <cellStyle name="Normal 6 27 4 2 5" xfId="41849" xr:uid="{00000000-0005-0000-0000-0000DCAE0000}"/>
    <cellStyle name="Normal 6 27 4 3" xfId="13672" xr:uid="{00000000-0005-0000-0000-0000DDAE0000}"/>
    <cellStyle name="Normal 6 27 4 3 2" xfId="37157" xr:uid="{00000000-0005-0000-0000-0000DEAE0000}"/>
    <cellStyle name="Normal 6 27 4 3 3" xfId="27838" xr:uid="{00000000-0005-0000-0000-0000DFAE0000}"/>
    <cellStyle name="Normal 6 27 4 3 4" xfId="51100" xr:uid="{00000000-0005-0000-0000-0000E0AE0000}"/>
    <cellStyle name="Normal 6 27 4 4" xfId="18403" xr:uid="{00000000-0005-0000-0000-0000E1AE0000}"/>
    <cellStyle name="Normal 6 27 4 4 2" xfId="32535" xr:uid="{00000000-0005-0000-0000-0000E2AE0000}"/>
    <cellStyle name="Normal 6 27 4 4 3" xfId="46430" xr:uid="{00000000-0005-0000-0000-0000E3AE0000}"/>
    <cellStyle name="Normal 6 27 4 5" xfId="23216" xr:uid="{00000000-0005-0000-0000-0000E4AE0000}"/>
    <cellStyle name="Normal 6 27 4 6" xfId="41848" xr:uid="{00000000-0005-0000-0000-0000E5AE0000}"/>
    <cellStyle name="Normal 6 27 5" xfId="7893" xr:uid="{00000000-0005-0000-0000-0000E6AE0000}"/>
    <cellStyle name="Normal 6 27 5 2" xfId="7894" xr:uid="{00000000-0005-0000-0000-0000E7AE0000}"/>
    <cellStyle name="Normal 6 27 5 2 2" xfId="13675" xr:uid="{00000000-0005-0000-0000-0000E8AE0000}"/>
    <cellStyle name="Normal 6 27 5 2 2 2" xfId="37160" xr:uid="{00000000-0005-0000-0000-0000E9AE0000}"/>
    <cellStyle name="Normal 6 27 5 2 2 3" xfId="27841" xr:uid="{00000000-0005-0000-0000-0000EAAE0000}"/>
    <cellStyle name="Normal 6 27 5 2 2 4" xfId="51103" xr:uid="{00000000-0005-0000-0000-0000EBAE0000}"/>
    <cellStyle name="Normal 6 27 5 2 3" xfId="18406" xr:uid="{00000000-0005-0000-0000-0000ECAE0000}"/>
    <cellStyle name="Normal 6 27 5 2 3 2" xfId="32538" xr:uid="{00000000-0005-0000-0000-0000EDAE0000}"/>
    <cellStyle name="Normal 6 27 5 2 3 3" xfId="46433" xr:uid="{00000000-0005-0000-0000-0000EEAE0000}"/>
    <cellStyle name="Normal 6 27 5 2 4" xfId="23219" xr:uid="{00000000-0005-0000-0000-0000EFAE0000}"/>
    <cellStyle name="Normal 6 27 5 2 5" xfId="41851" xr:uid="{00000000-0005-0000-0000-0000F0AE0000}"/>
    <cellStyle name="Normal 6 27 5 3" xfId="13674" xr:uid="{00000000-0005-0000-0000-0000F1AE0000}"/>
    <cellStyle name="Normal 6 27 5 3 2" xfId="37159" xr:uid="{00000000-0005-0000-0000-0000F2AE0000}"/>
    <cellStyle name="Normal 6 27 5 3 3" xfId="27840" xr:uid="{00000000-0005-0000-0000-0000F3AE0000}"/>
    <cellStyle name="Normal 6 27 5 3 4" xfId="51102" xr:uid="{00000000-0005-0000-0000-0000F4AE0000}"/>
    <cellStyle name="Normal 6 27 5 4" xfId="18405" xr:uid="{00000000-0005-0000-0000-0000F5AE0000}"/>
    <cellStyle name="Normal 6 27 5 4 2" xfId="32537" xr:uid="{00000000-0005-0000-0000-0000F6AE0000}"/>
    <cellStyle name="Normal 6 27 5 4 3" xfId="46432" xr:uid="{00000000-0005-0000-0000-0000F7AE0000}"/>
    <cellStyle name="Normal 6 27 5 5" xfId="23218" xr:uid="{00000000-0005-0000-0000-0000F8AE0000}"/>
    <cellStyle name="Normal 6 27 5 6" xfId="41850" xr:uid="{00000000-0005-0000-0000-0000F9AE0000}"/>
    <cellStyle name="Normal 6 27 6" xfId="7895" xr:uid="{00000000-0005-0000-0000-0000FAAE0000}"/>
    <cellStyle name="Normal 6 27 6 2" xfId="7896" xr:uid="{00000000-0005-0000-0000-0000FBAE0000}"/>
    <cellStyle name="Normal 6 27 6 2 2" xfId="13677" xr:uid="{00000000-0005-0000-0000-0000FCAE0000}"/>
    <cellStyle name="Normal 6 27 6 2 2 2" xfId="37162" xr:uid="{00000000-0005-0000-0000-0000FDAE0000}"/>
    <cellStyle name="Normal 6 27 6 2 2 3" xfId="27843" xr:uid="{00000000-0005-0000-0000-0000FEAE0000}"/>
    <cellStyle name="Normal 6 27 6 2 2 4" xfId="51105" xr:uid="{00000000-0005-0000-0000-0000FFAE0000}"/>
    <cellStyle name="Normal 6 27 6 2 3" xfId="18408" xr:uid="{00000000-0005-0000-0000-000000AF0000}"/>
    <cellStyle name="Normal 6 27 6 2 3 2" xfId="32540" xr:uid="{00000000-0005-0000-0000-000001AF0000}"/>
    <cellStyle name="Normal 6 27 6 2 3 3" xfId="46435" xr:uid="{00000000-0005-0000-0000-000002AF0000}"/>
    <cellStyle name="Normal 6 27 6 2 4" xfId="23221" xr:uid="{00000000-0005-0000-0000-000003AF0000}"/>
    <cellStyle name="Normal 6 27 6 2 5" xfId="41853" xr:uid="{00000000-0005-0000-0000-000004AF0000}"/>
    <cellStyle name="Normal 6 27 6 3" xfId="13676" xr:uid="{00000000-0005-0000-0000-000005AF0000}"/>
    <cellStyle name="Normal 6 27 6 3 2" xfId="37161" xr:uid="{00000000-0005-0000-0000-000006AF0000}"/>
    <cellStyle name="Normal 6 27 6 3 3" xfId="27842" xr:uid="{00000000-0005-0000-0000-000007AF0000}"/>
    <cellStyle name="Normal 6 27 6 3 4" xfId="51104" xr:uid="{00000000-0005-0000-0000-000008AF0000}"/>
    <cellStyle name="Normal 6 27 6 4" xfId="18407" xr:uid="{00000000-0005-0000-0000-000009AF0000}"/>
    <cellStyle name="Normal 6 27 6 4 2" xfId="32539" xr:uid="{00000000-0005-0000-0000-00000AAF0000}"/>
    <cellStyle name="Normal 6 27 6 4 3" xfId="46434" xr:uid="{00000000-0005-0000-0000-00000BAF0000}"/>
    <cellStyle name="Normal 6 27 6 5" xfId="23220" xr:uid="{00000000-0005-0000-0000-00000CAF0000}"/>
    <cellStyle name="Normal 6 27 6 6" xfId="41852" xr:uid="{00000000-0005-0000-0000-00000DAF0000}"/>
    <cellStyle name="Normal 6 27 7" xfId="7897" xr:uid="{00000000-0005-0000-0000-00000EAF0000}"/>
    <cellStyle name="Normal 6 27 7 2" xfId="13678" xr:uid="{00000000-0005-0000-0000-00000FAF0000}"/>
    <cellStyle name="Normal 6 27 7 2 2" xfId="37163" xr:uid="{00000000-0005-0000-0000-000010AF0000}"/>
    <cellStyle name="Normal 6 27 7 2 3" xfId="27844" xr:uid="{00000000-0005-0000-0000-000011AF0000}"/>
    <cellStyle name="Normal 6 27 7 2 4" xfId="51106" xr:uid="{00000000-0005-0000-0000-000012AF0000}"/>
    <cellStyle name="Normal 6 27 7 3" xfId="18409" xr:uid="{00000000-0005-0000-0000-000013AF0000}"/>
    <cellStyle name="Normal 6 27 7 3 2" xfId="32541" xr:uid="{00000000-0005-0000-0000-000014AF0000}"/>
    <cellStyle name="Normal 6 27 7 3 3" xfId="46436" xr:uid="{00000000-0005-0000-0000-000015AF0000}"/>
    <cellStyle name="Normal 6 27 7 4" xfId="23222" xr:uid="{00000000-0005-0000-0000-000016AF0000}"/>
    <cellStyle name="Normal 6 27 7 5" xfId="41854" xr:uid="{00000000-0005-0000-0000-000017AF0000}"/>
    <cellStyle name="Normal 6 27 8" xfId="13667" xr:uid="{00000000-0005-0000-0000-000018AF0000}"/>
    <cellStyle name="Normal 6 27 8 2" xfId="37152" xr:uid="{00000000-0005-0000-0000-000019AF0000}"/>
    <cellStyle name="Normal 6 27 8 3" xfId="27833" xr:uid="{00000000-0005-0000-0000-00001AAF0000}"/>
    <cellStyle name="Normal 6 27 8 4" xfId="51095" xr:uid="{00000000-0005-0000-0000-00001BAF0000}"/>
    <cellStyle name="Normal 6 27 9" xfId="18398" xr:uid="{00000000-0005-0000-0000-00001CAF0000}"/>
    <cellStyle name="Normal 6 27 9 2" xfId="32530" xr:uid="{00000000-0005-0000-0000-00001DAF0000}"/>
    <cellStyle name="Normal 6 27 9 3" xfId="46425" xr:uid="{00000000-0005-0000-0000-00001EAF0000}"/>
    <cellStyle name="Normal 6 28" xfId="7898" xr:uid="{00000000-0005-0000-0000-00001FAF0000}"/>
    <cellStyle name="Normal 6 28 2" xfId="7899" xr:uid="{00000000-0005-0000-0000-000020AF0000}"/>
    <cellStyle name="Normal 6 28 2 2" xfId="13680" xr:uid="{00000000-0005-0000-0000-000021AF0000}"/>
    <cellStyle name="Normal 6 28 2 2 2" xfId="37165" xr:uid="{00000000-0005-0000-0000-000022AF0000}"/>
    <cellStyle name="Normal 6 28 2 2 3" xfId="27846" xr:uid="{00000000-0005-0000-0000-000023AF0000}"/>
    <cellStyle name="Normal 6 28 2 2 4" xfId="51108" xr:uid="{00000000-0005-0000-0000-000024AF0000}"/>
    <cellStyle name="Normal 6 28 2 3" xfId="18411" xr:uid="{00000000-0005-0000-0000-000025AF0000}"/>
    <cellStyle name="Normal 6 28 2 3 2" xfId="32543" xr:uid="{00000000-0005-0000-0000-000026AF0000}"/>
    <cellStyle name="Normal 6 28 2 3 3" xfId="46438" xr:uid="{00000000-0005-0000-0000-000027AF0000}"/>
    <cellStyle name="Normal 6 28 2 4" xfId="23224" xr:uid="{00000000-0005-0000-0000-000028AF0000}"/>
    <cellStyle name="Normal 6 28 2 5" xfId="41856" xr:uid="{00000000-0005-0000-0000-000029AF0000}"/>
    <cellStyle name="Normal 6 28 3" xfId="13679" xr:uid="{00000000-0005-0000-0000-00002AAF0000}"/>
    <cellStyle name="Normal 6 28 3 2" xfId="37164" xr:uid="{00000000-0005-0000-0000-00002BAF0000}"/>
    <cellStyle name="Normal 6 28 3 3" xfId="27845" xr:uid="{00000000-0005-0000-0000-00002CAF0000}"/>
    <cellStyle name="Normal 6 28 3 4" xfId="51107" xr:uid="{00000000-0005-0000-0000-00002DAF0000}"/>
    <cellStyle name="Normal 6 28 4" xfId="18410" xr:uid="{00000000-0005-0000-0000-00002EAF0000}"/>
    <cellStyle name="Normal 6 28 4 2" xfId="32542" xr:uid="{00000000-0005-0000-0000-00002FAF0000}"/>
    <cellStyle name="Normal 6 28 4 3" xfId="46437" xr:uid="{00000000-0005-0000-0000-000030AF0000}"/>
    <cellStyle name="Normal 6 28 5" xfId="23223" xr:uid="{00000000-0005-0000-0000-000031AF0000}"/>
    <cellStyle name="Normal 6 28 6" xfId="41855" xr:uid="{00000000-0005-0000-0000-000032AF0000}"/>
    <cellStyle name="Normal 6 29" xfId="7900" xr:uid="{00000000-0005-0000-0000-000033AF0000}"/>
    <cellStyle name="Normal 6 29 2" xfId="7901" xr:uid="{00000000-0005-0000-0000-000034AF0000}"/>
    <cellStyle name="Normal 6 29 2 2" xfId="13682" xr:uid="{00000000-0005-0000-0000-000035AF0000}"/>
    <cellStyle name="Normal 6 29 2 2 2" xfId="37167" xr:uid="{00000000-0005-0000-0000-000036AF0000}"/>
    <cellStyle name="Normal 6 29 2 2 3" xfId="27848" xr:uid="{00000000-0005-0000-0000-000037AF0000}"/>
    <cellStyle name="Normal 6 29 2 2 4" xfId="51110" xr:uid="{00000000-0005-0000-0000-000038AF0000}"/>
    <cellStyle name="Normal 6 29 2 3" xfId="18413" xr:uid="{00000000-0005-0000-0000-000039AF0000}"/>
    <cellStyle name="Normal 6 29 2 3 2" xfId="32545" xr:uid="{00000000-0005-0000-0000-00003AAF0000}"/>
    <cellStyle name="Normal 6 29 2 3 3" xfId="46440" xr:uid="{00000000-0005-0000-0000-00003BAF0000}"/>
    <cellStyle name="Normal 6 29 2 4" xfId="23226" xr:uid="{00000000-0005-0000-0000-00003CAF0000}"/>
    <cellStyle name="Normal 6 29 2 5" xfId="41858" xr:uid="{00000000-0005-0000-0000-00003DAF0000}"/>
    <cellStyle name="Normal 6 29 3" xfId="13681" xr:uid="{00000000-0005-0000-0000-00003EAF0000}"/>
    <cellStyle name="Normal 6 29 3 2" xfId="37166" xr:uid="{00000000-0005-0000-0000-00003FAF0000}"/>
    <cellStyle name="Normal 6 29 3 3" xfId="27847" xr:uid="{00000000-0005-0000-0000-000040AF0000}"/>
    <cellStyle name="Normal 6 29 3 4" xfId="51109" xr:uid="{00000000-0005-0000-0000-000041AF0000}"/>
    <cellStyle name="Normal 6 29 4" xfId="18412" xr:uid="{00000000-0005-0000-0000-000042AF0000}"/>
    <cellStyle name="Normal 6 29 4 2" xfId="32544" xr:uid="{00000000-0005-0000-0000-000043AF0000}"/>
    <cellStyle name="Normal 6 29 4 3" xfId="46439" xr:uid="{00000000-0005-0000-0000-000044AF0000}"/>
    <cellStyle name="Normal 6 29 5" xfId="23225" xr:uid="{00000000-0005-0000-0000-000045AF0000}"/>
    <cellStyle name="Normal 6 29 6" xfId="41857" xr:uid="{00000000-0005-0000-0000-000046AF0000}"/>
    <cellStyle name="Normal 6 3" xfId="267" xr:uid="{00000000-0005-0000-0000-000047AF0000}"/>
    <cellStyle name="Normal 6 3 10" xfId="7902" xr:uid="{00000000-0005-0000-0000-000048AF0000}"/>
    <cellStyle name="Normal 6 3 10 2" xfId="7903" xr:uid="{00000000-0005-0000-0000-000049AF0000}"/>
    <cellStyle name="Normal 6 3 10 2 2" xfId="13684" xr:uid="{00000000-0005-0000-0000-00004AAF0000}"/>
    <cellStyle name="Normal 6 3 10 2 2 2" xfId="37169" xr:uid="{00000000-0005-0000-0000-00004BAF0000}"/>
    <cellStyle name="Normal 6 3 10 2 2 3" xfId="27850" xr:uid="{00000000-0005-0000-0000-00004CAF0000}"/>
    <cellStyle name="Normal 6 3 10 2 2 4" xfId="51112" xr:uid="{00000000-0005-0000-0000-00004DAF0000}"/>
    <cellStyle name="Normal 6 3 10 2 3" xfId="18415" xr:uid="{00000000-0005-0000-0000-00004EAF0000}"/>
    <cellStyle name="Normal 6 3 10 2 3 2" xfId="32547" xr:uid="{00000000-0005-0000-0000-00004FAF0000}"/>
    <cellStyle name="Normal 6 3 10 2 3 3" xfId="46442" xr:uid="{00000000-0005-0000-0000-000050AF0000}"/>
    <cellStyle name="Normal 6 3 10 2 4" xfId="23228" xr:uid="{00000000-0005-0000-0000-000051AF0000}"/>
    <cellStyle name="Normal 6 3 10 2 5" xfId="41860" xr:uid="{00000000-0005-0000-0000-000052AF0000}"/>
    <cellStyle name="Normal 6 3 10 3" xfId="13683" xr:uid="{00000000-0005-0000-0000-000053AF0000}"/>
    <cellStyle name="Normal 6 3 10 3 2" xfId="37168" xr:uid="{00000000-0005-0000-0000-000054AF0000}"/>
    <cellStyle name="Normal 6 3 10 3 3" xfId="27849" xr:uid="{00000000-0005-0000-0000-000055AF0000}"/>
    <cellStyle name="Normal 6 3 10 3 4" xfId="51111" xr:uid="{00000000-0005-0000-0000-000056AF0000}"/>
    <cellStyle name="Normal 6 3 10 4" xfId="18414" xr:uid="{00000000-0005-0000-0000-000057AF0000}"/>
    <cellStyle name="Normal 6 3 10 4 2" xfId="32546" xr:uid="{00000000-0005-0000-0000-000058AF0000}"/>
    <cellStyle name="Normal 6 3 10 4 3" xfId="46441" xr:uid="{00000000-0005-0000-0000-000059AF0000}"/>
    <cellStyle name="Normal 6 3 10 5" xfId="23227" xr:uid="{00000000-0005-0000-0000-00005AAF0000}"/>
    <cellStyle name="Normal 6 3 10 6" xfId="41859" xr:uid="{00000000-0005-0000-0000-00005BAF0000}"/>
    <cellStyle name="Normal 6 3 11" xfId="7904" xr:uid="{00000000-0005-0000-0000-00005CAF0000}"/>
    <cellStyle name="Normal 6 3 11 2" xfId="7905" xr:uid="{00000000-0005-0000-0000-00005DAF0000}"/>
    <cellStyle name="Normal 6 3 11 2 2" xfId="13686" xr:uid="{00000000-0005-0000-0000-00005EAF0000}"/>
    <cellStyle name="Normal 6 3 11 2 2 2" xfId="37171" xr:uid="{00000000-0005-0000-0000-00005FAF0000}"/>
    <cellStyle name="Normal 6 3 11 2 2 3" xfId="27852" xr:uid="{00000000-0005-0000-0000-000060AF0000}"/>
    <cellStyle name="Normal 6 3 11 2 2 4" xfId="51114" xr:uid="{00000000-0005-0000-0000-000061AF0000}"/>
    <cellStyle name="Normal 6 3 11 2 3" xfId="18417" xr:uid="{00000000-0005-0000-0000-000062AF0000}"/>
    <cellStyle name="Normal 6 3 11 2 3 2" xfId="32549" xr:uid="{00000000-0005-0000-0000-000063AF0000}"/>
    <cellStyle name="Normal 6 3 11 2 3 3" xfId="46444" xr:uid="{00000000-0005-0000-0000-000064AF0000}"/>
    <cellStyle name="Normal 6 3 11 2 4" xfId="23230" xr:uid="{00000000-0005-0000-0000-000065AF0000}"/>
    <cellStyle name="Normal 6 3 11 2 5" xfId="41862" xr:uid="{00000000-0005-0000-0000-000066AF0000}"/>
    <cellStyle name="Normal 6 3 11 3" xfId="13685" xr:uid="{00000000-0005-0000-0000-000067AF0000}"/>
    <cellStyle name="Normal 6 3 11 3 2" xfId="37170" xr:uid="{00000000-0005-0000-0000-000068AF0000}"/>
    <cellStyle name="Normal 6 3 11 3 3" xfId="27851" xr:uid="{00000000-0005-0000-0000-000069AF0000}"/>
    <cellStyle name="Normal 6 3 11 3 4" xfId="51113" xr:uid="{00000000-0005-0000-0000-00006AAF0000}"/>
    <cellStyle name="Normal 6 3 11 4" xfId="18416" xr:uid="{00000000-0005-0000-0000-00006BAF0000}"/>
    <cellStyle name="Normal 6 3 11 4 2" xfId="32548" xr:uid="{00000000-0005-0000-0000-00006CAF0000}"/>
    <cellStyle name="Normal 6 3 11 4 3" xfId="46443" xr:uid="{00000000-0005-0000-0000-00006DAF0000}"/>
    <cellStyle name="Normal 6 3 11 5" xfId="23229" xr:uid="{00000000-0005-0000-0000-00006EAF0000}"/>
    <cellStyle name="Normal 6 3 11 6" xfId="41861" xr:uid="{00000000-0005-0000-0000-00006FAF0000}"/>
    <cellStyle name="Normal 6 3 12" xfId="7906" xr:uid="{00000000-0005-0000-0000-000070AF0000}"/>
    <cellStyle name="Normal 6 3 12 2" xfId="7907" xr:uid="{00000000-0005-0000-0000-000071AF0000}"/>
    <cellStyle name="Normal 6 3 12 2 2" xfId="13688" xr:uid="{00000000-0005-0000-0000-000072AF0000}"/>
    <cellStyle name="Normal 6 3 12 2 2 2" xfId="37173" xr:uid="{00000000-0005-0000-0000-000073AF0000}"/>
    <cellStyle name="Normal 6 3 12 2 2 3" xfId="27854" xr:uid="{00000000-0005-0000-0000-000074AF0000}"/>
    <cellStyle name="Normal 6 3 12 2 2 4" xfId="51116" xr:uid="{00000000-0005-0000-0000-000075AF0000}"/>
    <cellStyle name="Normal 6 3 12 2 3" xfId="18419" xr:uid="{00000000-0005-0000-0000-000076AF0000}"/>
    <cellStyle name="Normal 6 3 12 2 3 2" xfId="32551" xr:uid="{00000000-0005-0000-0000-000077AF0000}"/>
    <cellStyle name="Normal 6 3 12 2 3 3" xfId="46446" xr:uid="{00000000-0005-0000-0000-000078AF0000}"/>
    <cellStyle name="Normal 6 3 12 2 4" xfId="23232" xr:uid="{00000000-0005-0000-0000-000079AF0000}"/>
    <cellStyle name="Normal 6 3 12 2 5" xfId="41864" xr:uid="{00000000-0005-0000-0000-00007AAF0000}"/>
    <cellStyle name="Normal 6 3 12 3" xfId="13687" xr:uid="{00000000-0005-0000-0000-00007BAF0000}"/>
    <cellStyle name="Normal 6 3 12 3 2" xfId="37172" xr:uid="{00000000-0005-0000-0000-00007CAF0000}"/>
    <cellStyle name="Normal 6 3 12 3 3" xfId="27853" xr:uid="{00000000-0005-0000-0000-00007DAF0000}"/>
    <cellStyle name="Normal 6 3 12 3 4" xfId="51115" xr:uid="{00000000-0005-0000-0000-00007EAF0000}"/>
    <cellStyle name="Normal 6 3 12 4" xfId="18418" xr:uid="{00000000-0005-0000-0000-00007FAF0000}"/>
    <cellStyle name="Normal 6 3 12 4 2" xfId="32550" xr:uid="{00000000-0005-0000-0000-000080AF0000}"/>
    <cellStyle name="Normal 6 3 12 4 3" xfId="46445" xr:uid="{00000000-0005-0000-0000-000081AF0000}"/>
    <cellStyle name="Normal 6 3 12 5" xfId="23231" xr:uid="{00000000-0005-0000-0000-000082AF0000}"/>
    <cellStyle name="Normal 6 3 12 6" xfId="41863" xr:uid="{00000000-0005-0000-0000-000083AF0000}"/>
    <cellStyle name="Normal 6 3 13" xfId="7908" xr:uid="{00000000-0005-0000-0000-000084AF0000}"/>
    <cellStyle name="Normal 6 3 13 2" xfId="7909" xr:uid="{00000000-0005-0000-0000-000085AF0000}"/>
    <cellStyle name="Normal 6 3 13 2 2" xfId="13690" xr:uid="{00000000-0005-0000-0000-000086AF0000}"/>
    <cellStyle name="Normal 6 3 13 2 2 2" xfId="37175" xr:uid="{00000000-0005-0000-0000-000087AF0000}"/>
    <cellStyle name="Normal 6 3 13 2 2 3" xfId="27856" xr:uid="{00000000-0005-0000-0000-000088AF0000}"/>
    <cellStyle name="Normal 6 3 13 2 2 4" xfId="51118" xr:uid="{00000000-0005-0000-0000-000089AF0000}"/>
    <cellStyle name="Normal 6 3 13 2 3" xfId="18421" xr:uid="{00000000-0005-0000-0000-00008AAF0000}"/>
    <cellStyle name="Normal 6 3 13 2 3 2" xfId="32553" xr:uid="{00000000-0005-0000-0000-00008BAF0000}"/>
    <cellStyle name="Normal 6 3 13 2 3 3" xfId="46448" xr:uid="{00000000-0005-0000-0000-00008CAF0000}"/>
    <cellStyle name="Normal 6 3 13 2 4" xfId="23234" xr:uid="{00000000-0005-0000-0000-00008DAF0000}"/>
    <cellStyle name="Normal 6 3 13 2 5" xfId="41866" xr:uid="{00000000-0005-0000-0000-00008EAF0000}"/>
    <cellStyle name="Normal 6 3 13 3" xfId="13689" xr:uid="{00000000-0005-0000-0000-00008FAF0000}"/>
    <cellStyle name="Normal 6 3 13 3 2" xfId="37174" xr:uid="{00000000-0005-0000-0000-000090AF0000}"/>
    <cellStyle name="Normal 6 3 13 3 3" xfId="27855" xr:uid="{00000000-0005-0000-0000-000091AF0000}"/>
    <cellStyle name="Normal 6 3 13 3 4" xfId="51117" xr:uid="{00000000-0005-0000-0000-000092AF0000}"/>
    <cellStyle name="Normal 6 3 13 4" xfId="18420" xr:uid="{00000000-0005-0000-0000-000093AF0000}"/>
    <cellStyle name="Normal 6 3 13 4 2" xfId="32552" xr:uid="{00000000-0005-0000-0000-000094AF0000}"/>
    <cellStyle name="Normal 6 3 13 4 3" xfId="46447" xr:uid="{00000000-0005-0000-0000-000095AF0000}"/>
    <cellStyle name="Normal 6 3 13 5" xfId="23233" xr:uid="{00000000-0005-0000-0000-000096AF0000}"/>
    <cellStyle name="Normal 6 3 13 6" xfId="41865" xr:uid="{00000000-0005-0000-0000-000097AF0000}"/>
    <cellStyle name="Normal 6 3 14" xfId="7910" xr:uid="{00000000-0005-0000-0000-000098AF0000}"/>
    <cellStyle name="Normal 6 3 14 2" xfId="7911" xr:uid="{00000000-0005-0000-0000-000099AF0000}"/>
    <cellStyle name="Normal 6 3 14 2 2" xfId="13692" xr:uid="{00000000-0005-0000-0000-00009AAF0000}"/>
    <cellStyle name="Normal 6 3 14 2 2 2" xfId="37177" xr:uid="{00000000-0005-0000-0000-00009BAF0000}"/>
    <cellStyle name="Normal 6 3 14 2 2 3" xfId="27858" xr:uid="{00000000-0005-0000-0000-00009CAF0000}"/>
    <cellStyle name="Normal 6 3 14 2 2 4" xfId="51120" xr:uid="{00000000-0005-0000-0000-00009DAF0000}"/>
    <cellStyle name="Normal 6 3 14 2 3" xfId="18423" xr:uid="{00000000-0005-0000-0000-00009EAF0000}"/>
    <cellStyle name="Normal 6 3 14 2 3 2" xfId="32555" xr:uid="{00000000-0005-0000-0000-00009FAF0000}"/>
    <cellStyle name="Normal 6 3 14 2 3 3" xfId="46450" xr:uid="{00000000-0005-0000-0000-0000A0AF0000}"/>
    <cellStyle name="Normal 6 3 14 2 4" xfId="23236" xr:uid="{00000000-0005-0000-0000-0000A1AF0000}"/>
    <cellStyle name="Normal 6 3 14 2 5" xfId="41868" xr:uid="{00000000-0005-0000-0000-0000A2AF0000}"/>
    <cellStyle name="Normal 6 3 14 3" xfId="13691" xr:uid="{00000000-0005-0000-0000-0000A3AF0000}"/>
    <cellStyle name="Normal 6 3 14 3 2" xfId="37176" xr:uid="{00000000-0005-0000-0000-0000A4AF0000}"/>
    <cellStyle name="Normal 6 3 14 3 3" xfId="27857" xr:uid="{00000000-0005-0000-0000-0000A5AF0000}"/>
    <cellStyle name="Normal 6 3 14 3 4" xfId="51119" xr:uid="{00000000-0005-0000-0000-0000A6AF0000}"/>
    <cellStyle name="Normal 6 3 14 4" xfId="18422" xr:uid="{00000000-0005-0000-0000-0000A7AF0000}"/>
    <cellStyle name="Normal 6 3 14 4 2" xfId="32554" xr:uid="{00000000-0005-0000-0000-0000A8AF0000}"/>
    <cellStyle name="Normal 6 3 14 4 3" xfId="46449" xr:uid="{00000000-0005-0000-0000-0000A9AF0000}"/>
    <cellStyle name="Normal 6 3 14 5" xfId="23235" xr:uid="{00000000-0005-0000-0000-0000AAAF0000}"/>
    <cellStyle name="Normal 6 3 14 6" xfId="41867" xr:uid="{00000000-0005-0000-0000-0000ABAF0000}"/>
    <cellStyle name="Normal 6 3 15" xfId="7912" xr:uid="{00000000-0005-0000-0000-0000ACAF0000}"/>
    <cellStyle name="Normal 6 3 15 2" xfId="7913" xr:uid="{00000000-0005-0000-0000-0000ADAF0000}"/>
    <cellStyle name="Normal 6 3 15 2 2" xfId="13694" xr:uid="{00000000-0005-0000-0000-0000AEAF0000}"/>
    <cellStyle name="Normal 6 3 15 2 2 2" xfId="37179" xr:uid="{00000000-0005-0000-0000-0000AFAF0000}"/>
    <cellStyle name="Normal 6 3 15 2 2 3" xfId="27860" xr:uid="{00000000-0005-0000-0000-0000B0AF0000}"/>
    <cellStyle name="Normal 6 3 15 2 2 4" xfId="51122" xr:uid="{00000000-0005-0000-0000-0000B1AF0000}"/>
    <cellStyle name="Normal 6 3 15 2 3" xfId="18425" xr:uid="{00000000-0005-0000-0000-0000B2AF0000}"/>
    <cellStyle name="Normal 6 3 15 2 3 2" xfId="32557" xr:uid="{00000000-0005-0000-0000-0000B3AF0000}"/>
    <cellStyle name="Normal 6 3 15 2 3 3" xfId="46452" xr:uid="{00000000-0005-0000-0000-0000B4AF0000}"/>
    <cellStyle name="Normal 6 3 15 2 4" xfId="23238" xr:uid="{00000000-0005-0000-0000-0000B5AF0000}"/>
    <cellStyle name="Normal 6 3 15 2 5" xfId="41870" xr:uid="{00000000-0005-0000-0000-0000B6AF0000}"/>
    <cellStyle name="Normal 6 3 15 3" xfId="13693" xr:uid="{00000000-0005-0000-0000-0000B7AF0000}"/>
    <cellStyle name="Normal 6 3 15 3 2" xfId="37178" xr:uid="{00000000-0005-0000-0000-0000B8AF0000}"/>
    <cellStyle name="Normal 6 3 15 3 3" xfId="27859" xr:uid="{00000000-0005-0000-0000-0000B9AF0000}"/>
    <cellStyle name="Normal 6 3 15 3 4" xfId="51121" xr:uid="{00000000-0005-0000-0000-0000BAAF0000}"/>
    <cellStyle name="Normal 6 3 15 4" xfId="18424" xr:uid="{00000000-0005-0000-0000-0000BBAF0000}"/>
    <cellStyle name="Normal 6 3 15 4 2" xfId="32556" xr:uid="{00000000-0005-0000-0000-0000BCAF0000}"/>
    <cellStyle name="Normal 6 3 15 4 3" xfId="46451" xr:uid="{00000000-0005-0000-0000-0000BDAF0000}"/>
    <cellStyle name="Normal 6 3 15 5" xfId="23237" xr:uid="{00000000-0005-0000-0000-0000BEAF0000}"/>
    <cellStyle name="Normal 6 3 15 6" xfId="41869" xr:uid="{00000000-0005-0000-0000-0000BFAF0000}"/>
    <cellStyle name="Normal 6 3 16" xfId="7914" xr:uid="{00000000-0005-0000-0000-0000C0AF0000}"/>
    <cellStyle name="Normal 6 3 16 2" xfId="7915" xr:uid="{00000000-0005-0000-0000-0000C1AF0000}"/>
    <cellStyle name="Normal 6 3 16 2 2" xfId="13696" xr:uid="{00000000-0005-0000-0000-0000C2AF0000}"/>
    <cellStyle name="Normal 6 3 16 2 2 2" xfId="37181" xr:uid="{00000000-0005-0000-0000-0000C3AF0000}"/>
    <cellStyle name="Normal 6 3 16 2 2 3" xfId="27862" xr:uid="{00000000-0005-0000-0000-0000C4AF0000}"/>
    <cellStyle name="Normal 6 3 16 2 2 4" xfId="51124" xr:uid="{00000000-0005-0000-0000-0000C5AF0000}"/>
    <cellStyle name="Normal 6 3 16 2 3" xfId="18427" xr:uid="{00000000-0005-0000-0000-0000C6AF0000}"/>
    <cellStyle name="Normal 6 3 16 2 3 2" xfId="32559" xr:uid="{00000000-0005-0000-0000-0000C7AF0000}"/>
    <cellStyle name="Normal 6 3 16 2 3 3" xfId="46454" xr:uid="{00000000-0005-0000-0000-0000C8AF0000}"/>
    <cellStyle name="Normal 6 3 16 2 4" xfId="23240" xr:uid="{00000000-0005-0000-0000-0000C9AF0000}"/>
    <cellStyle name="Normal 6 3 16 2 5" xfId="41872" xr:uid="{00000000-0005-0000-0000-0000CAAF0000}"/>
    <cellStyle name="Normal 6 3 16 3" xfId="13695" xr:uid="{00000000-0005-0000-0000-0000CBAF0000}"/>
    <cellStyle name="Normal 6 3 16 3 2" xfId="37180" xr:uid="{00000000-0005-0000-0000-0000CCAF0000}"/>
    <cellStyle name="Normal 6 3 16 3 3" xfId="27861" xr:uid="{00000000-0005-0000-0000-0000CDAF0000}"/>
    <cellStyle name="Normal 6 3 16 3 4" xfId="51123" xr:uid="{00000000-0005-0000-0000-0000CEAF0000}"/>
    <cellStyle name="Normal 6 3 16 4" xfId="18426" xr:uid="{00000000-0005-0000-0000-0000CFAF0000}"/>
    <cellStyle name="Normal 6 3 16 4 2" xfId="32558" xr:uid="{00000000-0005-0000-0000-0000D0AF0000}"/>
    <cellStyle name="Normal 6 3 16 4 3" xfId="46453" xr:uid="{00000000-0005-0000-0000-0000D1AF0000}"/>
    <cellStyle name="Normal 6 3 16 5" xfId="23239" xr:uid="{00000000-0005-0000-0000-0000D2AF0000}"/>
    <cellStyle name="Normal 6 3 16 6" xfId="41871" xr:uid="{00000000-0005-0000-0000-0000D3AF0000}"/>
    <cellStyle name="Normal 6 3 17" xfId="7916" xr:uid="{00000000-0005-0000-0000-0000D4AF0000}"/>
    <cellStyle name="Normal 6 3 17 2" xfId="7917" xr:uid="{00000000-0005-0000-0000-0000D5AF0000}"/>
    <cellStyle name="Normal 6 3 17 2 2" xfId="13698" xr:uid="{00000000-0005-0000-0000-0000D6AF0000}"/>
    <cellStyle name="Normal 6 3 17 2 2 2" xfId="37183" xr:uid="{00000000-0005-0000-0000-0000D7AF0000}"/>
    <cellStyle name="Normal 6 3 17 2 2 3" xfId="27864" xr:uid="{00000000-0005-0000-0000-0000D8AF0000}"/>
    <cellStyle name="Normal 6 3 17 2 2 4" xfId="51126" xr:uid="{00000000-0005-0000-0000-0000D9AF0000}"/>
    <cellStyle name="Normal 6 3 17 2 3" xfId="18429" xr:uid="{00000000-0005-0000-0000-0000DAAF0000}"/>
    <cellStyle name="Normal 6 3 17 2 3 2" xfId="32561" xr:uid="{00000000-0005-0000-0000-0000DBAF0000}"/>
    <cellStyle name="Normal 6 3 17 2 3 3" xfId="46456" xr:uid="{00000000-0005-0000-0000-0000DCAF0000}"/>
    <cellStyle name="Normal 6 3 17 2 4" xfId="23242" xr:uid="{00000000-0005-0000-0000-0000DDAF0000}"/>
    <cellStyle name="Normal 6 3 17 2 5" xfId="41874" xr:uid="{00000000-0005-0000-0000-0000DEAF0000}"/>
    <cellStyle name="Normal 6 3 17 3" xfId="13697" xr:uid="{00000000-0005-0000-0000-0000DFAF0000}"/>
    <cellStyle name="Normal 6 3 17 3 2" xfId="37182" xr:uid="{00000000-0005-0000-0000-0000E0AF0000}"/>
    <cellStyle name="Normal 6 3 17 3 3" xfId="27863" xr:uid="{00000000-0005-0000-0000-0000E1AF0000}"/>
    <cellStyle name="Normal 6 3 17 3 4" xfId="51125" xr:uid="{00000000-0005-0000-0000-0000E2AF0000}"/>
    <cellStyle name="Normal 6 3 17 4" xfId="18428" xr:uid="{00000000-0005-0000-0000-0000E3AF0000}"/>
    <cellStyle name="Normal 6 3 17 4 2" xfId="32560" xr:uid="{00000000-0005-0000-0000-0000E4AF0000}"/>
    <cellStyle name="Normal 6 3 17 4 3" xfId="46455" xr:uid="{00000000-0005-0000-0000-0000E5AF0000}"/>
    <cellStyle name="Normal 6 3 17 5" xfId="23241" xr:uid="{00000000-0005-0000-0000-0000E6AF0000}"/>
    <cellStyle name="Normal 6 3 17 6" xfId="41873" xr:uid="{00000000-0005-0000-0000-0000E7AF0000}"/>
    <cellStyle name="Normal 6 3 18" xfId="7918" xr:uid="{00000000-0005-0000-0000-0000E8AF0000}"/>
    <cellStyle name="Normal 6 3 18 2" xfId="7919" xr:uid="{00000000-0005-0000-0000-0000E9AF0000}"/>
    <cellStyle name="Normal 6 3 18 2 2" xfId="13700" xr:uid="{00000000-0005-0000-0000-0000EAAF0000}"/>
    <cellStyle name="Normal 6 3 18 2 2 2" xfId="37185" xr:uid="{00000000-0005-0000-0000-0000EBAF0000}"/>
    <cellStyle name="Normal 6 3 18 2 2 3" xfId="27866" xr:uid="{00000000-0005-0000-0000-0000ECAF0000}"/>
    <cellStyle name="Normal 6 3 18 2 2 4" xfId="51128" xr:uid="{00000000-0005-0000-0000-0000EDAF0000}"/>
    <cellStyle name="Normal 6 3 18 2 3" xfId="18431" xr:uid="{00000000-0005-0000-0000-0000EEAF0000}"/>
    <cellStyle name="Normal 6 3 18 2 3 2" xfId="32563" xr:uid="{00000000-0005-0000-0000-0000EFAF0000}"/>
    <cellStyle name="Normal 6 3 18 2 3 3" xfId="46458" xr:uid="{00000000-0005-0000-0000-0000F0AF0000}"/>
    <cellStyle name="Normal 6 3 18 2 4" xfId="23244" xr:uid="{00000000-0005-0000-0000-0000F1AF0000}"/>
    <cellStyle name="Normal 6 3 18 2 5" xfId="41876" xr:uid="{00000000-0005-0000-0000-0000F2AF0000}"/>
    <cellStyle name="Normal 6 3 18 3" xfId="13699" xr:uid="{00000000-0005-0000-0000-0000F3AF0000}"/>
    <cellStyle name="Normal 6 3 18 3 2" xfId="37184" xr:uid="{00000000-0005-0000-0000-0000F4AF0000}"/>
    <cellStyle name="Normal 6 3 18 3 3" xfId="27865" xr:uid="{00000000-0005-0000-0000-0000F5AF0000}"/>
    <cellStyle name="Normal 6 3 18 3 4" xfId="51127" xr:uid="{00000000-0005-0000-0000-0000F6AF0000}"/>
    <cellStyle name="Normal 6 3 18 4" xfId="18430" xr:uid="{00000000-0005-0000-0000-0000F7AF0000}"/>
    <cellStyle name="Normal 6 3 18 4 2" xfId="32562" xr:uid="{00000000-0005-0000-0000-0000F8AF0000}"/>
    <cellStyle name="Normal 6 3 18 4 3" xfId="46457" xr:uid="{00000000-0005-0000-0000-0000F9AF0000}"/>
    <cellStyle name="Normal 6 3 18 5" xfId="23243" xr:uid="{00000000-0005-0000-0000-0000FAAF0000}"/>
    <cellStyle name="Normal 6 3 18 6" xfId="41875" xr:uid="{00000000-0005-0000-0000-0000FBAF0000}"/>
    <cellStyle name="Normal 6 3 19" xfId="7920" xr:uid="{00000000-0005-0000-0000-0000FCAF0000}"/>
    <cellStyle name="Normal 6 3 19 2" xfId="7921" xr:uid="{00000000-0005-0000-0000-0000FDAF0000}"/>
    <cellStyle name="Normal 6 3 19 2 2" xfId="13702" xr:uid="{00000000-0005-0000-0000-0000FEAF0000}"/>
    <cellStyle name="Normal 6 3 19 2 2 2" xfId="37187" xr:uid="{00000000-0005-0000-0000-0000FFAF0000}"/>
    <cellStyle name="Normal 6 3 19 2 2 3" xfId="27868" xr:uid="{00000000-0005-0000-0000-000000B00000}"/>
    <cellStyle name="Normal 6 3 19 2 2 4" xfId="51130" xr:uid="{00000000-0005-0000-0000-000001B00000}"/>
    <cellStyle name="Normal 6 3 19 2 3" xfId="18433" xr:uid="{00000000-0005-0000-0000-000002B00000}"/>
    <cellStyle name="Normal 6 3 19 2 3 2" xfId="32565" xr:uid="{00000000-0005-0000-0000-000003B00000}"/>
    <cellStyle name="Normal 6 3 19 2 3 3" xfId="46460" xr:uid="{00000000-0005-0000-0000-000004B00000}"/>
    <cellStyle name="Normal 6 3 19 2 4" xfId="23246" xr:uid="{00000000-0005-0000-0000-000005B00000}"/>
    <cellStyle name="Normal 6 3 19 2 5" xfId="41878" xr:uid="{00000000-0005-0000-0000-000006B00000}"/>
    <cellStyle name="Normal 6 3 19 3" xfId="13701" xr:uid="{00000000-0005-0000-0000-000007B00000}"/>
    <cellStyle name="Normal 6 3 19 3 2" xfId="37186" xr:uid="{00000000-0005-0000-0000-000008B00000}"/>
    <cellStyle name="Normal 6 3 19 3 3" xfId="27867" xr:uid="{00000000-0005-0000-0000-000009B00000}"/>
    <cellStyle name="Normal 6 3 19 3 4" xfId="51129" xr:uid="{00000000-0005-0000-0000-00000AB00000}"/>
    <cellStyle name="Normal 6 3 19 4" xfId="18432" xr:uid="{00000000-0005-0000-0000-00000BB00000}"/>
    <cellStyle name="Normal 6 3 19 4 2" xfId="32564" xr:uid="{00000000-0005-0000-0000-00000CB00000}"/>
    <cellStyle name="Normal 6 3 19 4 3" xfId="46459" xr:uid="{00000000-0005-0000-0000-00000DB00000}"/>
    <cellStyle name="Normal 6 3 19 5" xfId="23245" xr:uid="{00000000-0005-0000-0000-00000EB00000}"/>
    <cellStyle name="Normal 6 3 19 6" xfId="41877" xr:uid="{00000000-0005-0000-0000-00000FB00000}"/>
    <cellStyle name="Normal 6 3 2" xfId="433" xr:uid="{00000000-0005-0000-0000-000010B00000}"/>
    <cellStyle name="Normal 6 3 2 10" xfId="7922" xr:uid="{00000000-0005-0000-0000-000011B00000}"/>
    <cellStyle name="Normal 6 3 2 11" xfId="7923" xr:uid="{00000000-0005-0000-0000-000012B00000}"/>
    <cellStyle name="Normal 6 3 2 12" xfId="7924" xr:uid="{00000000-0005-0000-0000-000013B00000}"/>
    <cellStyle name="Normal 6 3 2 13" xfId="7925" xr:uid="{00000000-0005-0000-0000-000014B00000}"/>
    <cellStyle name="Normal 6 3 2 14" xfId="7926" xr:uid="{00000000-0005-0000-0000-000015B00000}"/>
    <cellStyle name="Normal 6 3 2 15" xfId="7927" xr:uid="{00000000-0005-0000-0000-000016B00000}"/>
    <cellStyle name="Normal 6 3 2 16" xfId="7928" xr:uid="{00000000-0005-0000-0000-000017B00000}"/>
    <cellStyle name="Normal 6 3 2 17" xfId="7929" xr:uid="{00000000-0005-0000-0000-000018B00000}"/>
    <cellStyle name="Normal 6 3 2 18" xfId="7930" xr:uid="{00000000-0005-0000-0000-000019B00000}"/>
    <cellStyle name="Normal 6 3 2 19" xfId="7931" xr:uid="{00000000-0005-0000-0000-00001AB00000}"/>
    <cellStyle name="Normal 6 3 2 19 2" xfId="13703" xr:uid="{00000000-0005-0000-0000-00001BB00000}"/>
    <cellStyle name="Normal 6 3 2 19 2 2" xfId="37188" xr:uid="{00000000-0005-0000-0000-00001CB00000}"/>
    <cellStyle name="Normal 6 3 2 19 2 3" xfId="27869" xr:uid="{00000000-0005-0000-0000-00001DB00000}"/>
    <cellStyle name="Normal 6 3 2 19 2 4" xfId="51131" xr:uid="{00000000-0005-0000-0000-00001EB00000}"/>
    <cellStyle name="Normal 6 3 2 19 3" xfId="18434" xr:uid="{00000000-0005-0000-0000-00001FB00000}"/>
    <cellStyle name="Normal 6 3 2 19 3 2" xfId="32566" xr:uid="{00000000-0005-0000-0000-000020B00000}"/>
    <cellStyle name="Normal 6 3 2 19 3 3" xfId="46461" xr:uid="{00000000-0005-0000-0000-000021B00000}"/>
    <cellStyle name="Normal 6 3 2 19 4" xfId="23247" xr:uid="{00000000-0005-0000-0000-000022B00000}"/>
    <cellStyle name="Normal 6 3 2 19 5" xfId="41879" xr:uid="{00000000-0005-0000-0000-000023B00000}"/>
    <cellStyle name="Normal 6 3 2 2" xfId="7932" xr:uid="{00000000-0005-0000-0000-000024B00000}"/>
    <cellStyle name="Normal 6 3 2 20" xfId="7933" xr:uid="{00000000-0005-0000-0000-000025B00000}"/>
    <cellStyle name="Normal 6 3 2 20 2" xfId="13704" xr:uid="{00000000-0005-0000-0000-000026B00000}"/>
    <cellStyle name="Normal 6 3 2 20 2 2" xfId="37189" xr:uid="{00000000-0005-0000-0000-000027B00000}"/>
    <cellStyle name="Normal 6 3 2 20 2 3" xfId="27870" xr:uid="{00000000-0005-0000-0000-000028B00000}"/>
    <cellStyle name="Normal 6 3 2 20 2 4" xfId="51132" xr:uid="{00000000-0005-0000-0000-000029B00000}"/>
    <cellStyle name="Normal 6 3 2 20 3" xfId="18435" xr:uid="{00000000-0005-0000-0000-00002AB00000}"/>
    <cellStyle name="Normal 6 3 2 20 3 2" xfId="32567" xr:uid="{00000000-0005-0000-0000-00002BB00000}"/>
    <cellStyle name="Normal 6 3 2 20 3 3" xfId="46462" xr:uid="{00000000-0005-0000-0000-00002CB00000}"/>
    <cellStyle name="Normal 6 3 2 20 4" xfId="23248" xr:uid="{00000000-0005-0000-0000-00002DB00000}"/>
    <cellStyle name="Normal 6 3 2 20 5" xfId="41880" xr:uid="{00000000-0005-0000-0000-00002EB00000}"/>
    <cellStyle name="Normal 6 3 2 21" xfId="9691" xr:uid="{00000000-0005-0000-0000-00002FB00000}"/>
    <cellStyle name="Normal 6 3 2 21 2" xfId="33182" xr:uid="{00000000-0005-0000-0000-000030B00000}"/>
    <cellStyle name="Normal 6 3 2 21 3" xfId="23867" xr:uid="{00000000-0005-0000-0000-000031B00000}"/>
    <cellStyle name="Normal 6 3 2 21 4" xfId="47125" xr:uid="{00000000-0005-0000-0000-000032B00000}"/>
    <cellStyle name="Normal 6 3 2 22" xfId="14451" xr:uid="{00000000-0005-0000-0000-000033B00000}"/>
    <cellStyle name="Normal 6 3 2 22 2" xfId="28583" xr:uid="{00000000-0005-0000-0000-000034B00000}"/>
    <cellStyle name="Normal 6 3 2 22 3" xfId="42463" xr:uid="{00000000-0005-0000-0000-000035B00000}"/>
    <cellStyle name="Normal 6 3 2 23" xfId="19263" xr:uid="{00000000-0005-0000-0000-000036B00000}"/>
    <cellStyle name="Normal 6 3 2 24" xfId="37898" xr:uid="{00000000-0005-0000-0000-000037B00000}"/>
    <cellStyle name="Normal 6 3 2 3" xfId="7934" xr:uid="{00000000-0005-0000-0000-000038B00000}"/>
    <cellStyle name="Normal 6 3 2 4" xfId="7935" xr:uid="{00000000-0005-0000-0000-000039B00000}"/>
    <cellStyle name="Normal 6 3 2 5" xfId="7936" xr:uid="{00000000-0005-0000-0000-00003AB00000}"/>
    <cellStyle name="Normal 6 3 2 6" xfId="7937" xr:uid="{00000000-0005-0000-0000-00003BB00000}"/>
    <cellStyle name="Normal 6 3 2 7" xfId="7938" xr:uid="{00000000-0005-0000-0000-00003CB00000}"/>
    <cellStyle name="Normal 6 3 2 8" xfId="7939" xr:uid="{00000000-0005-0000-0000-00003DB00000}"/>
    <cellStyle name="Normal 6 3 2 9" xfId="7940" xr:uid="{00000000-0005-0000-0000-00003EB00000}"/>
    <cellStyle name="Normal 6 3 20" xfId="7941" xr:uid="{00000000-0005-0000-0000-00003FB00000}"/>
    <cellStyle name="Normal 6 3 20 2" xfId="7942" xr:uid="{00000000-0005-0000-0000-000040B00000}"/>
    <cellStyle name="Normal 6 3 20 2 2" xfId="13706" xr:uid="{00000000-0005-0000-0000-000041B00000}"/>
    <cellStyle name="Normal 6 3 20 2 2 2" xfId="37191" xr:uid="{00000000-0005-0000-0000-000042B00000}"/>
    <cellStyle name="Normal 6 3 20 2 2 3" xfId="27872" xr:uid="{00000000-0005-0000-0000-000043B00000}"/>
    <cellStyle name="Normal 6 3 20 2 2 4" xfId="51134" xr:uid="{00000000-0005-0000-0000-000044B00000}"/>
    <cellStyle name="Normal 6 3 20 2 3" xfId="18437" xr:uid="{00000000-0005-0000-0000-000045B00000}"/>
    <cellStyle name="Normal 6 3 20 2 3 2" xfId="32569" xr:uid="{00000000-0005-0000-0000-000046B00000}"/>
    <cellStyle name="Normal 6 3 20 2 3 3" xfId="46464" xr:uid="{00000000-0005-0000-0000-000047B00000}"/>
    <cellStyle name="Normal 6 3 20 2 4" xfId="23250" xr:uid="{00000000-0005-0000-0000-000048B00000}"/>
    <cellStyle name="Normal 6 3 20 2 5" xfId="41882" xr:uid="{00000000-0005-0000-0000-000049B00000}"/>
    <cellStyle name="Normal 6 3 20 3" xfId="13705" xr:uid="{00000000-0005-0000-0000-00004AB00000}"/>
    <cellStyle name="Normal 6 3 20 3 2" xfId="37190" xr:uid="{00000000-0005-0000-0000-00004BB00000}"/>
    <cellStyle name="Normal 6 3 20 3 3" xfId="27871" xr:uid="{00000000-0005-0000-0000-00004CB00000}"/>
    <cellStyle name="Normal 6 3 20 3 4" xfId="51133" xr:uid="{00000000-0005-0000-0000-00004DB00000}"/>
    <cellStyle name="Normal 6 3 20 4" xfId="18436" xr:uid="{00000000-0005-0000-0000-00004EB00000}"/>
    <cellStyle name="Normal 6 3 20 4 2" xfId="32568" xr:uid="{00000000-0005-0000-0000-00004FB00000}"/>
    <cellStyle name="Normal 6 3 20 4 3" xfId="46463" xr:uid="{00000000-0005-0000-0000-000050B00000}"/>
    <cellStyle name="Normal 6 3 20 5" xfId="23249" xr:uid="{00000000-0005-0000-0000-000051B00000}"/>
    <cellStyle name="Normal 6 3 20 6" xfId="41881" xr:uid="{00000000-0005-0000-0000-000052B00000}"/>
    <cellStyle name="Normal 6 3 21" xfId="7943" xr:uid="{00000000-0005-0000-0000-000053B00000}"/>
    <cellStyle name="Normal 6 3 21 2" xfId="7944" xr:uid="{00000000-0005-0000-0000-000054B00000}"/>
    <cellStyle name="Normal 6 3 21 2 2" xfId="13708" xr:uid="{00000000-0005-0000-0000-000055B00000}"/>
    <cellStyle name="Normal 6 3 21 2 2 2" xfId="37193" xr:uid="{00000000-0005-0000-0000-000056B00000}"/>
    <cellStyle name="Normal 6 3 21 2 2 3" xfId="27874" xr:uid="{00000000-0005-0000-0000-000057B00000}"/>
    <cellStyle name="Normal 6 3 21 2 2 4" xfId="51136" xr:uid="{00000000-0005-0000-0000-000058B00000}"/>
    <cellStyle name="Normal 6 3 21 2 3" xfId="18439" xr:uid="{00000000-0005-0000-0000-000059B00000}"/>
    <cellStyle name="Normal 6 3 21 2 3 2" xfId="32571" xr:uid="{00000000-0005-0000-0000-00005AB00000}"/>
    <cellStyle name="Normal 6 3 21 2 3 3" xfId="46466" xr:uid="{00000000-0005-0000-0000-00005BB00000}"/>
    <cellStyle name="Normal 6 3 21 2 4" xfId="23252" xr:uid="{00000000-0005-0000-0000-00005CB00000}"/>
    <cellStyle name="Normal 6 3 21 2 5" xfId="41884" xr:uid="{00000000-0005-0000-0000-00005DB00000}"/>
    <cellStyle name="Normal 6 3 21 3" xfId="13707" xr:uid="{00000000-0005-0000-0000-00005EB00000}"/>
    <cellStyle name="Normal 6 3 21 3 2" xfId="37192" xr:uid="{00000000-0005-0000-0000-00005FB00000}"/>
    <cellStyle name="Normal 6 3 21 3 3" xfId="27873" xr:uid="{00000000-0005-0000-0000-000060B00000}"/>
    <cellStyle name="Normal 6 3 21 3 4" xfId="51135" xr:uid="{00000000-0005-0000-0000-000061B00000}"/>
    <cellStyle name="Normal 6 3 21 4" xfId="18438" xr:uid="{00000000-0005-0000-0000-000062B00000}"/>
    <cellStyle name="Normal 6 3 21 4 2" xfId="32570" xr:uid="{00000000-0005-0000-0000-000063B00000}"/>
    <cellStyle name="Normal 6 3 21 4 3" xfId="46465" xr:uid="{00000000-0005-0000-0000-000064B00000}"/>
    <cellStyle name="Normal 6 3 21 5" xfId="23251" xr:uid="{00000000-0005-0000-0000-000065B00000}"/>
    <cellStyle name="Normal 6 3 21 6" xfId="41883" xr:uid="{00000000-0005-0000-0000-000066B00000}"/>
    <cellStyle name="Normal 6 3 22" xfId="7945" xr:uid="{00000000-0005-0000-0000-000067B00000}"/>
    <cellStyle name="Normal 6 3 22 2" xfId="7946" xr:uid="{00000000-0005-0000-0000-000068B00000}"/>
    <cellStyle name="Normal 6 3 22 2 2" xfId="13710" xr:uid="{00000000-0005-0000-0000-000069B00000}"/>
    <cellStyle name="Normal 6 3 22 2 2 2" xfId="37195" xr:uid="{00000000-0005-0000-0000-00006AB00000}"/>
    <cellStyle name="Normal 6 3 22 2 2 3" xfId="27876" xr:uid="{00000000-0005-0000-0000-00006BB00000}"/>
    <cellStyle name="Normal 6 3 22 2 2 4" xfId="51138" xr:uid="{00000000-0005-0000-0000-00006CB00000}"/>
    <cellStyle name="Normal 6 3 22 2 3" xfId="18441" xr:uid="{00000000-0005-0000-0000-00006DB00000}"/>
    <cellStyle name="Normal 6 3 22 2 3 2" xfId="32573" xr:uid="{00000000-0005-0000-0000-00006EB00000}"/>
    <cellStyle name="Normal 6 3 22 2 3 3" xfId="46468" xr:uid="{00000000-0005-0000-0000-00006FB00000}"/>
    <cellStyle name="Normal 6 3 22 2 4" xfId="23254" xr:uid="{00000000-0005-0000-0000-000070B00000}"/>
    <cellStyle name="Normal 6 3 22 2 5" xfId="41886" xr:uid="{00000000-0005-0000-0000-000071B00000}"/>
    <cellStyle name="Normal 6 3 22 3" xfId="13709" xr:uid="{00000000-0005-0000-0000-000072B00000}"/>
    <cellStyle name="Normal 6 3 22 3 2" xfId="37194" xr:uid="{00000000-0005-0000-0000-000073B00000}"/>
    <cellStyle name="Normal 6 3 22 3 3" xfId="27875" xr:uid="{00000000-0005-0000-0000-000074B00000}"/>
    <cellStyle name="Normal 6 3 22 3 4" xfId="51137" xr:uid="{00000000-0005-0000-0000-000075B00000}"/>
    <cellStyle name="Normal 6 3 22 4" xfId="18440" xr:uid="{00000000-0005-0000-0000-000076B00000}"/>
    <cellStyle name="Normal 6 3 22 4 2" xfId="32572" xr:uid="{00000000-0005-0000-0000-000077B00000}"/>
    <cellStyle name="Normal 6 3 22 4 3" xfId="46467" xr:uid="{00000000-0005-0000-0000-000078B00000}"/>
    <cellStyle name="Normal 6 3 22 5" xfId="23253" xr:uid="{00000000-0005-0000-0000-000079B00000}"/>
    <cellStyle name="Normal 6 3 22 6" xfId="41885" xr:uid="{00000000-0005-0000-0000-00007AB00000}"/>
    <cellStyle name="Normal 6 3 23" xfId="7947" xr:uid="{00000000-0005-0000-0000-00007BB00000}"/>
    <cellStyle name="Normal 6 3 23 2" xfId="7948" xr:uid="{00000000-0005-0000-0000-00007CB00000}"/>
    <cellStyle name="Normal 6 3 23 2 2" xfId="13712" xr:uid="{00000000-0005-0000-0000-00007DB00000}"/>
    <cellStyle name="Normal 6 3 23 2 2 2" xfId="37197" xr:uid="{00000000-0005-0000-0000-00007EB00000}"/>
    <cellStyle name="Normal 6 3 23 2 2 3" xfId="27878" xr:uid="{00000000-0005-0000-0000-00007FB00000}"/>
    <cellStyle name="Normal 6 3 23 2 2 4" xfId="51140" xr:uid="{00000000-0005-0000-0000-000080B00000}"/>
    <cellStyle name="Normal 6 3 23 2 3" xfId="18443" xr:uid="{00000000-0005-0000-0000-000081B00000}"/>
    <cellStyle name="Normal 6 3 23 2 3 2" xfId="32575" xr:uid="{00000000-0005-0000-0000-000082B00000}"/>
    <cellStyle name="Normal 6 3 23 2 3 3" xfId="46470" xr:uid="{00000000-0005-0000-0000-000083B00000}"/>
    <cellStyle name="Normal 6 3 23 2 4" xfId="23256" xr:uid="{00000000-0005-0000-0000-000084B00000}"/>
    <cellStyle name="Normal 6 3 23 2 5" xfId="41888" xr:uid="{00000000-0005-0000-0000-000085B00000}"/>
    <cellStyle name="Normal 6 3 23 3" xfId="13711" xr:uid="{00000000-0005-0000-0000-000086B00000}"/>
    <cellStyle name="Normal 6 3 23 3 2" xfId="37196" xr:uid="{00000000-0005-0000-0000-000087B00000}"/>
    <cellStyle name="Normal 6 3 23 3 3" xfId="27877" xr:uid="{00000000-0005-0000-0000-000088B00000}"/>
    <cellStyle name="Normal 6 3 23 3 4" xfId="51139" xr:uid="{00000000-0005-0000-0000-000089B00000}"/>
    <cellStyle name="Normal 6 3 23 4" xfId="18442" xr:uid="{00000000-0005-0000-0000-00008AB00000}"/>
    <cellStyle name="Normal 6 3 23 4 2" xfId="32574" xr:uid="{00000000-0005-0000-0000-00008BB00000}"/>
    <cellStyle name="Normal 6 3 23 4 3" xfId="46469" xr:uid="{00000000-0005-0000-0000-00008CB00000}"/>
    <cellStyle name="Normal 6 3 23 5" xfId="23255" xr:uid="{00000000-0005-0000-0000-00008DB00000}"/>
    <cellStyle name="Normal 6 3 23 6" xfId="41887" xr:uid="{00000000-0005-0000-0000-00008EB00000}"/>
    <cellStyle name="Normal 6 3 24" xfId="7949" xr:uid="{00000000-0005-0000-0000-00008FB00000}"/>
    <cellStyle name="Normal 6 3 24 2" xfId="7950" xr:uid="{00000000-0005-0000-0000-000090B00000}"/>
    <cellStyle name="Normal 6 3 24 2 2" xfId="13714" xr:uid="{00000000-0005-0000-0000-000091B00000}"/>
    <cellStyle name="Normal 6 3 24 2 2 2" xfId="37199" xr:uid="{00000000-0005-0000-0000-000092B00000}"/>
    <cellStyle name="Normal 6 3 24 2 2 3" xfId="27880" xr:uid="{00000000-0005-0000-0000-000093B00000}"/>
    <cellStyle name="Normal 6 3 24 2 2 4" xfId="51142" xr:uid="{00000000-0005-0000-0000-000094B00000}"/>
    <cellStyle name="Normal 6 3 24 2 3" xfId="18445" xr:uid="{00000000-0005-0000-0000-000095B00000}"/>
    <cellStyle name="Normal 6 3 24 2 3 2" xfId="32577" xr:uid="{00000000-0005-0000-0000-000096B00000}"/>
    <cellStyle name="Normal 6 3 24 2 3 3" xfId="46472" xr:uid="{00000000-0005-0000-0000-000097B00000}"/>
    <cellStyle name="Normal 6 3 24 2 4" xfId="23258" xr:uid="{00000000-0005-0000-0000-000098B00000}"/>
    <cellStyle name="Normal 6 3 24 2 5" xfId="41890" xr:uid="{00000000-0005-0000-0000-000099B00000}"/>
    <cellStyle name="Normal 6 3 24 3" xfId="13713" xr:uid="{00000000-0005-0000-0000-00009AB00000}"/>
    <cellStyle name="Normal 6 3 24 3 2" xfId="37198" xr:uid="{00000000-0005-0000-0000-00009BB00000}"/>
    <cellStyle name="Normal 6 3 24 3 3" xfId="27879" xr:uid="{00000000-0005-0000-0000-00009CB00000}"/>
    <cellStyle name="Normal 6 3 24 3 4" xfId="51141" xr:uid="{00000000-0005-0000-0000-00009DB00000}"/>
    <cellStyle name="Normal 6 3 24 4" xfId="18444" xr:uid="{00000000-0005-0000-0000-00009EB00000}"/>
    <cellStyle name="Normal 6 3 24 4 2" xfId="32576" xr:uid="{00000000-0005-0000-0000-00009FB00000}"/>
    <cellStyle name="Normal 6 3 24 4 3" xfId="46471" xr:uid="{00000000-0005-0000-0000-0000A0B00000}"/>
    <cellStyle name="Normal 6 3 24 5" xfId="23257" xr:uid="{00000000-0005-0000-0000-0000A1B00000}"/>
    <cellStyle name="Normal 6 3 24 6" xfId="41889" xr:uid="{00000000-0005-0000-0000-0000A2B00000}"/>
    <cellStyle name="Normal 6 3 25" xfId="7951" xr:uid="{00000000-0005-0000-0000-0000A3B00000}"/>
    <cellStyle name="Normal 6 3 25 2" xfId="13715" xr:uid="{00000000-0005-0000-0000-0000A4B00000}"/>
    <cellStyle name="Normal 6 3 25 2 2" xfId="37200" xr:uid="{00000000-0005-0000-0000-0000A5B00000}"/>
    <cellStyle name="Normal 6 3 25 2 3" xfId="27881" xr:uid="{00000000-0005-0000-0000-0000A6B00000}"/>
    <cellStyle name="Normal 6 3 25 2 4" xfId="51143" xr:uid="{00000000-0005-0000-0000-0000A7B00000}"/>
    <cellStyle name="Normal 6 3 25 3" xfId="18446" xr:uid="{00000000-0005-0000-0000-0000A8B00000}"/>
    <cellStyle name="Normal 6 3 25 3 2" xfId="32578" xr:uid="{00000000-0005-0000-0000-0000A9B00000}"/>
    <cellStyle name="Normal 6 3 25 3 3" xfId="46473" xr:uid="{00000000-0005-0000-0000-0000AAB00000}"/>
    <cellStyle name="Normal 6 3 25 4" xfId="23259" xr:uid="{00000000-0005-0000-0000-0000ABB00000}"/>
    <cellStyle name="Normal 6 3 25 5" xfId="41891" xr:uid="{00000000-0005-0000-0000-0000ACB00000}"/>
    <cellStyle name="Normal 6 3 26" xfId="7952" xr:uid="{00000000-0005-0000-0000-0000ADB00000}"/>
    <cellStyle name="Normal 6 3 26 2" xfId="13716" xr:uid="{00000000-0005-0000-0000-0000AEB00000}"/>
    <cellStyle name="Normal 6 3 26 2 2" xfId="37201" xr:uid="{00000000-0005-0000-0000-0000AFB00000}"/>
    <cellStyle name="Normal 6 3 26 2 3" xfId="27882" xr:uid="{00000000-0005-0000-0000-0000B0B00000}"/>
    <cellStyle name="Normal 6 3 26 2 4" xfId="51144" xr:uid="{00000000-0005-0000-0000-0000B1B00000}"/>
    <cellStyle name="Normal 6 3 26 3" xfId="18447" xr:uid="{00000000-0005-0000-0000-0000B2B00000}"/>
    <cellStyle name="Normal 6 3 26 3 2" xfId="32579" xr:uid="{00000000-0005-0000-0000-0000B3B00000}"/>
    <cellStyle name="Normal 6 3 26 3 3" xfId="46474" xr:uid="{00000000-0005-0000-0000-0000B4B00000}"/>
    <cellStyle name="Normal 6 3 26 4" xfId="23260" xr:uid="{00000000-0005-0000-0000-0000B5B00000}"/>
    <cellStyle name="Normal 6 3 26 5" xfId="41892" xr:uid="{00000000-0005-0000-0000-0000B6B00000}"/>
    <cellStyle name="Normal 6 3 27" xfId="7953" xr:uid="{00000000-0005-0000-0000-0000B7B00000}"/>
    <cellStyle name="Normal 6 3 27 2" xfId="13717" xr:uid="{00000000-0005-0000-0000-0000B8B00000}"/>
    <cellStyle name="Normal 6 3 27 2 2" xfId="37202" xr:uid="{00000000-0005-0000-0000-0000B9B00000}"/>
    <cellStyle name="Normal 6 3 27 2 3" xfId="27883" xr:uid="{00000000-0005-0000-0000-0000BAB00000}"/>
    <cellStyle name="Normal 6 3 27 2 4" xfId="51145" xr:uid="{00000000-0005-0000-0000-0000BBB00000}"/>
    <cellStyle name="Normal 6 3 27 3" xfId="18448" xr:uid="{00000000-0005-0000-0000-0000BCB00000}"/>
    <cellStyle name="Normal 6 3 27 3 2" xfId="32580" xr:uid="{00000000-0005-0000-0000-0000BDB00000}"/>
    <cellStyle name="Normal 6 3 27 3 3" xfId="46475" xr:uid="{00000000-0005-0000-0000-0000BEB00000}"/>
    <cellStyle name="Normal 6 3 27 4" xfId="23261" xr:uid="{00000000-0005-0000-0000-0000BFB00000}"/>
    <cellStyle name="Normal 6 3 27 5" xfId="41893" xr:uid="{00000000-0005-0000-0000-0000C0B00000}"/>
    <cellStyle name="Normal 6 3 28" xfId="7954" xr:uid="{00000000-0005-0000-0000-0000C1B00000}"/>
    <cellStyle name="Normal 6 3 28 2" xfId="13718" xr:uid="{00000000-0005-0000-0000-0000C2B00000}"/>
    <cellStyle name="Normal 6 3 28 2 2" xfId="37203" xr:uid="{00000000-0005-0000-0000-0000C3B00000}"/>
    <cellStyle name="Normal 6 3 28 2 3" xfId="27884" xr:uid="{00000000-0005-0000-0000-0000C4B00000}"/>
    <cellStyle name="Normal 6 3 28 2 4" xfId="51146" xr:uid="{00000000-0005-0000-0000-0000C5B00000}"/>
    <cellStyle name="Normal 6 3 28 3" xfId="18449" xr:uid="{00000000-0005-0000-0000-0000C6B00000}"/>
    <cellStyle name="Normal 6 3 28 3 2" xfId="32581" xr:uid="{00000000-0005-0000-0000-0000C7B00000}"/>
    <cellStyle name="Normal 6 3 28 3 3" xfId="46476" xr:uid="{00000000-0005-0000-0000-0000C8B00000}"/>
    <cellStyle name="Normal 6 3 28 4" xfId="23262" xr:uid="{00000000-0005-0000-0000-0000C9B00000}"/>
    <cellStyle name="Normal 6 3 28 5" xfId="41894" xr:uid="{00000000-0005-0000-0000-0000CAB00000}"/>
    <cellStyle name="Normal 6 3 29" xfId="432" xr:uid="{00000000-0005-0000-0000-0000CBB00000}"/>
    <cellStyle name="Normal 6 3 29 2" xfId="9690" xr:uid="{00000000-0005-0000-0000-0000CCB00000}"/>
    <cellStyle name="Normal 6 3 29 2 2" xfId="33181" xr:uid="{00000000-0005-0000-0000-0000CDB00000}"/>
    <cellStyle name="Normal 6 3 29 2 3" xfId="23866" xr:uid="{00000000-0005-0000-0000-0000CEB00000}"/>
    <cellStyle name="Normal 6 3 29 2 4" xfId="47124" xr:uid="{00000000-0005-0000-0000-0000CFB00000}"/>
    <cellStyle name="Normal 6 3 29 3" xfId="14450" xr:uid="{00000000-0005-0000-0000-0000D0B00000}"/>
    <cellStyle name="Normal 6 3 29 3 2" xfId="28582" xr:uid="{00000000-0005-0000-0000-0000D1B00000}"/>
    <cellStyle name="Normal 6 3 29 3 3" xfId="42462" xr:uid="{00000000-0005-0000-0000-0000D2B00000}"/>
    <cellStyle name="Normal 6 3 29 4" xfId="19262" xr:uid="{00000000-0005-0000-0000-0000D3B00000}"/>
    <cellStyle name="Normal 6 3 29 5" xfId="37897" xr:uid="{00000000-0005-0000-0000-0000D4B00000}"/>
    <cellStyle name="Normal 6 3 3" xfId="7955" xr:uid="{00000000-0005-0000-0000-0000D5B00000}"/>
    <cellStyle name="Normal 6 3 3 2" xfId="7956" xr:uid="{00000000-0005-0000-0000-0000D6B00000}"/>
    <cellStyle name="Normal 6 3 3 2 2" xfId="13720" xr:uid="{00000000-0005-0000-0000-0000D7B00000}"/>
    <cellStyle name="Normal 6 3 3 2 2 2" xfId="37205" xr:uid="{00000000-0005-0000-0000-0000D8B00000}"/>
    <cellStyle name="Normal 6 3 3 2 2 3" xfId="27886" xr:uid="{00000000-0005-0000-0000-0000D9B00000}"/>
    <cellStyle name="Normal 6 3 3 2 2 4" xfId="51148" xr:uid="{00000000-0005-0000-0000-0000DAB00000}"/>
    <cellStyle name="Normal 6 3 3 2 3" xfId="18451" xr:uid="{00000000-0005-0000-0000-0000DBB00000}"/>
    <cellStyle name="Normal 6 3 3 2 3 2" xfId="32583" xr:uid="{00000000-0005-0000-0000-0000DCB00000}"/>
    <cellStyle name="Normal 6 3 3 2 3 3" xfId="46478" xr:uid="{00000000-0005-0000-0000-0000DDB00000}"/>
    <cellStyle name="Normal 6 3 3 2 4" xfId="23264" xr:uid="{00000000-0005-0000-0000-0000DEB00000}"/>
    <cellStyle name="Normal 6 3 3 2 5" xfId="41896" xr:uid="{00000000-0005-0000-0000-0000DFB00000}"/>
    <cellStyle name="Normal 6 3 3 3" xfId="13719" xr:uid="{00000000-0005-0000-0000-0000E0B00000}"/>
    <cellStyle name="Normal 6 3 3 3 2" xfId="37204" xr:uid="{00000000-0005-0000-0000-0000E1B00000}"/>
    <cellStyle name="Normal 6 3 3 3 3" xfId="27885" xr:uid="{00000000-0005-0000-0000-0000E2B00000}"/>
    <cellStyle name="Normal 6 3 3 3 4" xfId="51147" xr:uid="{00000000-0005-0000-0000-0000E3B00000}"/>
    <cellStyle name="Normal 6 3 3 4" xfId="18450" xr:uid="{00000000-0005-0000-0000-0000E4B00000}"/>
    <cellStyle name="Normal 6 3 3 4 2" xfId="32582" xr:uid="{00000000-0005-0000-0000-0000E5B00000}"/>
    <cellStyle name="Normal 6 3 3 4 3" xfId="46477" xr:uid="{00000000-0005-0000-0000-0000E6B00000}"/>
    <cellStyle name="Normal 6 3 3 5" xfId="23263" xr:uid="{00000000-0005-0000-0000-0000E7B00000}"/>
    <cellStyle name="Normal 6 3 3 6" xfId="41895" xr:uid="{00000000-0005-0000-0000-0000E8B00000}"/>
    <cellStyle name="Normal 6 3 30" xfId="9492" xr:uid="{00000000-0005-0000-0000-0000E9B00000}"/>
    <cellStyle name="Normal 6 3 30 2" xfId="14161" xr:uid="{00000000-0005-0000-0000-0000EAB00000}"/>
    <cellStyle name="Normal 6 3 30 2 2" xfId="37639" xr:uid="{00000000-0005-0000-0000-0000EBB00000}"/>
    <cellStyle name="Normal 6 3 30 2 3" xfId="28325" xr:uid="{00000000-0005-0000-0000-0000ECB00000}"/>
    <cellStyle name="Normal 6 3 30 2 4" xfId="51588" xr:uid="{00000000-0005-0000-0000-0000EDB00000}"/>
    <cellStyle name="Normal 6 3 30 3" xfId="18873" xr:uid="{00000000-0005-0000-0000-0000EEB00000}"/>
    <cellStyle name="Normal 6 3 30 3 2" xfId="33005" xr:uid="{00000000-0005-0000-0000-0000EFB00000}"/>
    <cellStyle name="Normal 6 3 30 3 3" xfId="46907" xr:uid="{00000000-0005-0000-0000-0000F0B00000}"/>
    <cellStyle name="Normal 6 3 30 4" xfId="23691" xr:uid="{00000000-0005-0000-0000-0000F1B00000}"/>
    <cellStyle name="Normal 6 3 30 5" xfId="42278" xr:uid="{00000000-0005-0000-0000-0000F2B00000}"/>
    <cellStyle name="Normal 6 3 31" xfId="9532" xr:uid="{00000000-0005-0000-0000-0000F3B00000}"/>
    <cellStyle name="Normal 6 3 31 2" xfId="14198" xr:uid="{00000000-0005-0000-0000-0000F4B00000}"/>
    <cellStyle name="Normal 6 3 31 2 2" xfId="37673" xr:uid="{00000000-0005-0000-0000-0000F5B00000}"/>
    <cellStyle name="Normal 6 3 31 2 3" xfId="28358" xr:uid="{00000000-0005-0000-0000-0000F6B00000}"/>
    <cellStyle name="Normal 6 3 31 2 4" xfId="51625" xr:uid="{00000000-0005-0000-0000-0000F7B00000}"/>
    <cellStyle name="Normal 6 3 31 3" xfId="18906" xr:uid="{00000000-0005-0000-0000-0000F8B00000}"/>
    <cellStyle name="Normal 6 3 31 3 2" xfId="33039" xr:uid="{00000000-0005-0000-0000-0000F9B00000}"/>
    <cellStyle name="Normal 6 3 31 3 3" xfId="46945" xr:uid="{00000000-0005-0000-0000-0000FAB00000}"/>
    <cellStyle name="Normal 6 3 31 4" xfId="23726" xr:uid="{00000000-0005-0000-0000-0000FBB00000}"/>
    <cellStyle name="Normal 6 3 31 5" xfId="42311" xr:uid="{00000000-0005-0000-0000-0000FCB00000}"/>
    <cellStyle name="Normal 6 3 32" xfId="9642" xr:uid="{00000000-0005-0000-0000-0000FDB00000}"/>
    <cellStyle name="Normal 6 3 32 2" xfId="33134" xr:uid="{00000000-0005-0000-0000-0000FEB00000}"/>
    <cellStyle name="Normal 6 3 32 3" xfId="23822" xr:uid="{00000000-0005-0000-0000-0000FFB00000}"/>
    <cellStyle name="Normal 6 3 32 4" xfId="47076" xr:uid="{00000000-0005-0000-0000-000000B10000}"/>
    <cellStyle name="Normal 6 3 33" xfId="14405" xr:uid="{00000000-0005-0000-0000-000001B10000}"/>
    <cellStyle name="Normal 6 3 33 2" xfId="28537" xr:uid="{00000000-0005-0000-0000-000002B10000}"/>
    <cellStyle name="Normal 6 3 33 3" xfId="42413" xr:uid="{00000000-0005-0000-0000-000003B10000}"/>
    <cellStyle name="Normal 6 3 34" xfId="19218" xr:uid="{00000000-0005-0000-0000-000004B10000}"/>
    <cellStyle name="Normal 6 3 35" xfId="37853" xr:uid="{00000000-0005-0000-0000-000005B10000}"/>
    <cellStyle name="Normal 6 3 4" xfId="7957" xr:uid="{00000000-0005-0000-0000-000006B10000}"/>
    <cellStyle name="Normal 6 3 4 2" xfId="7958" xr:uid="{00000000-0005-0000-0000-000007B10000}"/>
    <cellStyle name="Normal 6 3 4 2 2" xfId="13722" xr:uid="{00000000-0005-0000-0000-000008B10000}"/>
    <cellStyle name="Normal 6 3 4 2 2 2" xfId="37207" xr:uid="{00000000-0005-0000-0000-000009B10000}"/>
    <cellStyle name="Normal 6 3 4 2 2 3" xfId="27888" xr:uid="{00000000-0005-0000-0000-00000AB10000}"/>
    <cellStyle name="Normal 6 3 4 2 2 4" xfId="51150" xr:uid="{00000000-0005-0000-0000-00000BB10000}"/>
    <cellStyle name="Normal 6 3 4 2 3" xfId="18453" xr:uid="{00000000-0005-0000-0000-00000CB10000}"/>
    <cellStyle name="Normal 6 3 4 2 3 2" xfId="32585" xr:uid="{00000000-0005-0000-0000-00000DB10000}"/>
    <cellStyle name="Normal 6 3 4 2 3 3" xfId="46480" xr:uid="{00000000-0005-0000-0000-00000EB10000}"/>
    <cellStyle name="Normal 6 3 4 2 4" xfId="23266" xr:uid="{00000000-0005-0000-0000-00000FB10000}"/>
    <cellStyle name="Normal 6 3 4 2 5" xfId="41898" xr:uid="{00000000-0005-0000-0000-000010B10000}"/>
    <cellStyle name="Normal 6 3 4 3" xfId="13721" xr:uid="{00000000-0005-0000-0000-000011B10000}"/>
    <cellStyle name="Normal 6 3 4 3 2" xfId="37206" xr:uid="{00000000-0005-0000-0000-000012B10000}"/>
    <cellStyle name="Normal 6 3 4 3 3" xfId="27887" xr:uid="{00000000-0005-0000-0000-000013B10000}"/>
    <cellStyle name="Normal 6 3 4 3 4" xfId="51149" xr:uid="{00000000-0005-0000-0000-000014B10000}"/>
    <cellStyle name="Normal 6 3 4 4" xfId="18452" xr:uid="{00000000-0005-0000-0000-000015B10000}"/>
    <cellStyle name="Normal 6 3 4 4 2" xfId="32584" xr:uid="{00000000-0005-0000-0000-000016B10000}"/>
    <cellStyle name="Normal 6 3 4 4 3" xfId="46479" xr:uid="{00000000-0005-0000-0000-000017B10000}"/>
    <cellStyle name="Normal 6 3 4 5" xfId="23265" xr:uid="{00000000-0005-0000-0000-000018B10000}"/>
    <cellStyle name="Normal 6 3 4 6" xfId="41897" xr:uid="{00000000-0005-0000-0000-000019B10000}"/>
    <cellStyle name="Normal 6 3 5" xfId="7959" xr:uid="{00000000-0005-0000-0000-00001AB10000}"/>
    <cellStyle name="Normal 6 3 5 2" xfId="7960" xr:uid="{00000000-0005-0000-0000-00001BB10000}"/>
    <cellStyle name="Normal 6 3 5 2 2" xfId="13724" xr:uid="{00000000-0005-0000-0000-00001CB10000}"/>
    <cellStyle name="Normal 6 3 5 2 2 2" xfId="37209" xr:uid="{00000000-0005-0000-0000-00001DB10000}"/>
    <cellStyle name="Normal 6 3 5 2 2 3" xfId="27890" xr:uid="{00000000-0005-0000-0000-00001EB10000}"/>
    <cellStyle name="Normal 6 3 5 2 2 4" xfId="51152" xr:uid="{00000000-0005-0000-0000-00001FB10000}"/>
    <cellStyle name="Normal 6 3 5 2 3" xfId="18455" xr:uid="{00000000-0005-0000-0000-000020B10000}"/>
    <cellStyle name="Normal 6 3 5 2 3 2" xfId="32587" xr:uid="{00000000-0005-0000-0000-000021B10000}"/>
    <cellStyle name="Normal 6 3 5 2 3 3" xfId="46482" xr:uid="{00000000-0005-0000-0000-000022B10000}"/>
    <cellStyle name="Normal 6 3 5 2 4" xfId="23268" xr:uid="{00000000-0005-0000-0000-000023B10000}"/>
    <cellStyle name="Normal 6 3 5 2 5" xfId="41900" xr:uid="{00000000-0005-0000-0000-000024B10000}"/>
    <cellStyle name="Normal 6 3 5 3" xfId="13723" xr:uid="{00000000-0005-0000-0000-000025B10000}"/>
    <cellStyle name="Normal 6 3 5 3 2" xfId="37208" xr:uid="{00000000-0005-0000-0000-000026B10000}"/>
    <cellStyle name="Normal 6 3 5 3 3" xfId="27889" xr:uid="{00000000-0005-0000-0000-000027B10000}"/>
    <cellStyle name="Normal 6 3 5 3 4" xfId="51151" xr:uid="{00000000-0005-0000-0000-000028B10000}"/>
    <cellStyle name="Normal 6 3 5 4" xfId="18454" xr:uid="{00000000-0005-0000-0000-000029B10000}"/>
    <cellStyle name="Normal 6 3 5 4 2" xfId="32586" xr:uid="{00000000-0005-0000-0000-00002AB10000}"/>
    <cellStyle name="Normal 6 3 5 4 3" xfId="46481" xr:uid="{00000000-0005-0000-0000-00002BB10000}"/>
    <cellStyle name="Normal 6 3 5 5" xfId="23267" xr:uid="{00000000-0005-0000-0000-00002CB10000}"/>
    <cellStyle name="Normal 6 3 5 6" xfId="41899" xr:uid="{00000000-0005-0000-0000-00002DB10000}"/>
    <cellStyle name="Normal 6 3 6" xfId="7961" xr:uid="{00000000-0005-0000-0000-00002EB10000}"/>
    <cellStyle name="Normal 6 3 6 2" xfId="7962" xr:uid="{00000000-0005-0000-0000-00002FB10000}"/>
    <cellStyle name="Normal 6 3 6 2 2" xfId="13726" xr:uid="{00000000-0005-0000-0000-000030B10000}"/>
    <cellStyle name="Normal 6 3 6 2 2 2" xfId="37211" xr:uid="{00000000-0005-0000-0000-000031B10000}"/>
    <cellStyle name="Normal 6 3 6 2 2 3" xfId="27892" xr:uid="{00000000-0005-0000-0000-000032B10000}"/>
    <cellStyle name="Normal 6 3 6 2 2 4" xfId="51154" xr:uid="{00000000-0005-0000-0000-000033B10000}"/>
    <cellStyle name="Normal 6 3 6 2 3" xfId="18457" xr:uid="{00000000-0005-0000-0000-000034B10000}"/>
    <cellStyle name="Normal 6 3 6 2 3 2" xfId="32589" xr:uid="{00000000-0005-0000-0000-000035B10000}"/>
    <cellStyle name="Normal 6 3 6 2 3 3" xfId="46484" xr:uid="{00000000-0005-0000-0000-000036B10000}"/>
    <cellStyle name="Normal 6 3 6 2 4" xfId="23270" xr:uid="{00000000-0005-0000-0000-000037B10000}"/>
    <cellStyle name="Normal 6 3 6 2 5" xfId="41902" xr:uid="{00000000-0005-0000-0000-000038B10000}"/>
    <cellStyle name="Normal 6 3 6 3" xfId="13725" xr:uid="{00000000-0005-0000-0000-000039B10000}"/>
    <cellStyle name="Normal 6 3 6 3 2" xfId="37210" xr:uid="{00000000-0005-0000-0000-00003AB10000}"/>
    <cellStyle name="Normal 6 3 6 3 3" xfId="27891" xr:uid="{00000000-0005-0000-0000-00003BB10000}"/>
    <cellStyle name="Normal 6 3 6 3 4" xfId="51153" xr:uid="{00000000-0005-0000-0000-00003CB10000}"/>
    <cellStyle name="Normal 6 3 6 4" xfId="18456" xr:uid="{00000000-0005-0000-0000-00003DB10000}"/>
    <cellStyle name="Normal 6 3 6 4 2" xfId="32588" xr:uid="{00000000-0005-0000-0000-00003EB10000}"/>
    <cellStyle name="Normal 6 3 6 4 3" xfId="46483" xr:uid="{00000000-0005-0000-0000-00003FB10000}"/>
    <cellStyle name="Normal 6 3 6 5" xfId="23269" xr:uid="{00000000-0005-0000-0000-000040B10000}"/>
    <cellStyle name="Normal 6 3 6 6" xfId="41901" xr:uid="{00000000-0005-0000-0000-000041B10000}"/>
    <cellStyle name="Normal 6 3 7" xfId="7963" xr:uid="{00000000-0005-0000-0000-000042B10000}"/>
    <cellStyle name="Normal 6 3 7 2" xfId="7964" xr:uid="{00000000-0005-0000-0000-000043B10000}"/>
    <cellStyle name="Normal 6 3 7 2 2" xfId="13728" xr:uid="{00000000-0005-0000-0000-000044B10000}"/>
    <cellStyle name="Normal 6 3 7 2 2 2" xfId="37213" xr:uid="{00000000-0005-0000-0000-000045B10000}"/>
    <cellStyle name="Normal 6 3 7 2 2 3" xfId="27894" xr:uid="{00000000-0005-0000-0000-000046B10000}"/>
    <cellStyle name="Normal 6 3 7 2 2 4" xfId="51156" xr:uid="{00000000-0005-0000-0000-000047B10000}"/>
    <cellStyle name="Normal 6 3 7 2 3" xfId="18459" xr:uid="{00000000-0005-0000-0000-000048B10000}"/>
    <cellStyle name="Normal 6 3 7 2 3 2" xfId="32591" xr:uid="{00000000-0005-0000-0000-000049B10000}"/>
    <cellStyle name="Normal 6 3 7 2 3 3" xfId="46486" xr:uid="{00000000-0005-0000-0000-00004AB10000}"/>
    <cellStyle name="Normal 6 3 7 2 4" xfId="23272" xr:uid="{00000000-0005-0000-0000-00004BB10000}"/>
    <cellStyle name="Normal 6 3 7 2 5" xfId="41904" xr:uid="{00000000-0005-0000-0000-00004CB10000}"/>
    <cellStyle name="Normal 6 3 7 3" xfId="13727" xr:uid="{00000000-0005-0000-0000-00004DB10000}"/>
    <cellStyle name="Normal 6 3 7 3 2" xfId="37212" xr:uid="{00000000-0005-0000-0000-00004EB10000}"/>
    <cellStyle name="Normal 6 3 7 3 3" xfId="27893" xr:uid="{00000000-0005-0000-0000-00004FB10000}"/>
    <cellStyle name="Normal 6 3 7 3 4" xfId="51155" xr:uid="{00000000-0005-0000-0000-000050B10000}"/>
    <cellStyle name="Normal 6 3 7 4" xfId="18458" xr:uid="{00000000-0005-0000-0000-000051B10000}"/>
    <cellStyle name="Normal 6 3 7 4 2" xfId="32590" xr:uid="{00000000-0005-0000-0000-000052B10000}"/>
    <cellStyle name="Normal 6 3 7 4 3" xfId="46485" xr:uid="{00000000-0005-0000-0000-000053B10000}"/>
    <cellStyle name="Normal 6 3 7 5" xfId="23271" xr:uid="{00000000-0005-0000-0000-000054B10000}"/>
    <cellStyle name="Normal 6 3 7 6" xfId="41903" xr:uid="{00000000-0005-0000-0000-000055B10000}"/>
    <cellStyle name="Normal 6 3 8" xfId="7965" xr:uid="{00000000-0005-0000-0000-000056B10000}"/>
    <cellStyle name="Normal 6 3 8 2" xfId="7966" xr:uid="{00000000-0005-0000-0000-000057B10000}"/>
    <cellStyle name="Normal 6 3 8 2 2" xfId="13730" xr:uid="{00000000-0005-0000-0000-000058B10000}"/>
    <cellStyle name="Normal 6 3 8 2 2 2" xfId="37215" xr:uid="{00000000-0005-0000-0000-000059B10000}"/>
    <cellStyle name="Normal 6 3 8 2 2 3" xfId="27896" xr:uid="{00000000-0005-0000-0000-00005AB10000}"/>
    <cellStyle name="Normal 6 3 8 2 2 4" xfId="51158" xr:uid="{00000000-0005-0000-0000-00005BB10000}"/>
    <cellStyle name="Normal 6 3 8 2 3" xfId="18461" xr:uid="{00000000-0005-0000-0000-00005CB10000}"/>
    <cellStyle name="Normal 6 3 8 2 3 2" xfId="32593" xr:uid="{00000000-0005-0000-0000-00005DB10000}"/>
    <cellStyle name="Normal 6 3 8 2 3 3" xfId="46488" xr:uid="{00000000-0005-0000-0000-00005EB10000}"/>
    <cellStyle name="Normal 6 3 8 2 4" xfId="23274" xr:uid="{00000000-0005-0000-0000-00005FB10000}"/>
    <cellStyle name="Normal 6 3 8 2 5" xfId="41906" xr:uid="{00000000-0005-0000-0000-000060B10000}"/>
    <cellStyle name="Normal 6 3 8 3" xfId="13729" xr:uid="{00000000-0005-0000-0000-000061B10000}"/>
    <cellStyle name="Normal 6 3 8 3 2" xfId="37214" xr:uid="{00000000-0005-0000-0000-000062B10000}"/>
    <cellStyle name="Normal 6 3 8 3 3" xfId="27895" xr:uid="{00000000-0005-0000-0000-000063B10000}"/>
    <cellStyle name="Normal 6 3 8 3 4" xfId="51157" xr:uid="{00000000-0005-0000-0000-000064B10000}"/>
    <cellStyle name="Normal 6 3 8 4" xfId="18460" xr:uid="{00000000-0005-0000-0000-000065B10000}"/>
    <cellStyle name="Normal 6 3 8 4 2" xfId="32592" xr:uid="{00000000-0005-0000-0000-000066B10000}"/>
    <cellStyle name="Normal 6 3 8 4 3" xfId="46487" xr:uid="{00000000-0005-0000-0000-000067B10000}"/>
    <cellStyle name="Normal 6 3 8 5" xfId="23273" xr:uid="{00000000-0005-0000-0000-000068B10000}"/>
    <cellStyle name="Normal 6 3 8 6" xfId="41905" xr:uid="{00000000-0005-0000-0000-000069B10000}"/>
    <cellStyle name="Normal 6 3 9" xfId="7967" xr:uid="{00000000-0005-0000-0000-00006AB10000}"/>
    <cellStyle name="Normal 6 3 9 2" xfId="7968" xr:uid="{00000000-0005-0000-0000-00006BB10000}"/>
    <cellStyle name="Normal 6 3 9 2 2" xfId="13732" xr:uid="{00000000-0005-0000-0000-00006CB10000}"/>
    <cellStyle name="Normal 6 3 9 2 2 2" xfId="37217" xr:uid="{00000000-0005-0000-0000-00006DB10000}"/>
    <cellStyle name="Normal 6 3 9 2 2 3" xfId="27898" xr:uid="{00000000-0005-0000-0000-00006EB10000}"/>
    <cellStyle name="Normal 6 3 9 2 2 4" xfId="51160" xr:uid="{00000000-0005-0000-0000-00006FB10000}"/>
    <cellStyle name="Normal 6 3 9 2 3" xfId="18463" xr:uid="{00000000-0005-0000-0000-000070B10000}"/>
    <cellStyle name="Normal 6 3 9 2 3 2" xfId="32595" xr:uid="{00000000-0005-0000-0000-000071B10000}"/>
    <cellStyle name="Normal 6 3 9 2 3 3" xfId="46490" xr:uid="{00000000-0005-0000-0000-000072B10000}"/>
    <cellStyle name="Normal 6 3 9 2 4" xfId="23276" xr:uid="{00000000-0005-0000-0000-000073B10000}"/>
    <cellStyle name="Normal 6 3 9 2 5" xfId="41908" xr:uid="{00000000-0005-0000-0000-000074B10000}"/>
    <cellStyle name="Normal 6 3 9 3" xfId="13731" xr:uid="{00000000-0005-0000-0000-000075B10000}"/>
    <cellStyle name="Normal 6 3 9 3 2" xfId="37216" xr:uid="{00000000-0005-0000-0000-000076B10000}"/>
    <cellStyle name="Normal 6 3 9 3 3" xfId="27897" xr:uid="{00000000-0005-0000-0000-000077B10000}"/>
    <cellStyle name="Normal 6 3 9 3 4" xfId="51159" xr:uid="{00000000-0005-0000-0000-000078B10000}"/>
    <cellStyle name="Normal 6 3 9 4" xfId="18462" xr:uid="{00000000-0005-0000-0000-000079B10000}"/>
    <cellStyle name="Normal 6 3 9 4 2" xfId="32594" xr:uid="{00000000-0005-0000-0000-00007AB10000}"/>
    <cellStyle name="Normal 6 3 9 4 3" xfId="46489" xr:uid="{00000000-0005-0000-0000-00007BB10000}"/>
    <cellStyle name="Normal 6 3 9 5" xfId="23275" xr:uid="{00000000-0005-0000-0000-00007CB10000}"/>
    <cellStyle name="Normal 6 3 9 6" xfId="41907" xr:uid="{00000000-0005-0000-0000-00007DB10000}"/>
    <cellStyle name="Normal 6 30" xfId="7969" xr:uid="{00000000-0005-0000-0000-00007EB10000}"/>
    <cellStyle name="Normal 6 30 2" xfId="7970" xr:uid="{00000000-0005-0000-0000-00007FB10000}"/>
    <cellStyle name="Normal 6 30 2 2" xfId="13734" xr:uid="{00000000-0005-0000-0000-000080B10000}"/>
    <cellStyle name="Normal 6 30 2 2 2" xfId="37219" xr:uid="{00000000-0005-0000-0000-000081B10000}"/>
    <cellStyle name="Normal 6 30 2 2 3" xfId="27900" xr:uid="{00000000-0005-0000-0000-000082B10000}"/>
    <cellStyle name="Normal 6 30 2 2 4" xfId="51162" xr:uid="{00000000-0005-0000-0000-000083B10000}"/>
    <cellStyle name="Normal 6 30 2 3" xfId="18465" xr:uid="{00000000-0005-0000-0000-000084B10000}"/>
    <cellStyle name="Normal 6 30 2 3 2" xfId="32597" xr:uid="{00000000-0005-0000-0000-000085B10000}"/>
    <cellStyle name="Normal 6 30 2 3 3" xfId="46492" xr:uid="{00000000-0005-0000-0000-000086B10000}"/>
    <cellStyle name="Normal 6 30 2 4" xfId="23278" xr:uid="{00000000-0005-0000-0000-000087B10000}"/>
    <cellStyle name="Normal 6 30 2 5" xfId="41910" xr:uid="{00000000-0005-0000-0000-000088B10000}"/>
    <cellStyle name="Normal 6 30 3" xfId="13733" xr:uid="{00000000-0005-0000-0000-000089B10000}"/>
    <cellStyle name="Normal 6 30 3 2" xfId="37218" xr:uid="{00000000-0005-0000-0000-00008AB10000}"/>
    <cellStyle name="Normal 6 30 3 3" xfId="27899" xr:uid="{00000000-0005-0000-0000-00008BB10000}"/>
    <cellStyle name="Normal 6 30 3 4" xfId="51161" xr:uid="{00000000-0005-0000-0000-00008CB10000}"/>
    <cellStyle name="Normal 6 30 4" xfId="18464" xr:uid="{00000000-0005-0000-0000-00008DB10000}"/>
    <cellStyle name="Normal 6 30 4 2" xfId="32596" xr:uid="{00000000-0005-0000-0000-00008EB10000}"/>
    <cellStyle name="Normal 6 30 4 3" xfId="46491" xr:uid="{00000000-0005-0000-0000-00008FB10000}"/>
    <cellStyle name="Normal 6 30 5" xfId="23277" xr:uid="{00000000-0005-0000-0000-000090B10000}"/>
    <cellStyle name="Normal 6 30 6" xfId="41909" xr:uid="{00000000-0005-0000-0000-000091B10000}"/>
    <cellStyle name="Normal 6 31" xfId="7971" xr:uid="{00000000-0005-0000-0000-000092B10000}"/>
    <cellStyle name="Normal 6 31 2" xfId="7972" xr:uid="{00000000-0005-0000-0000-000093B10000}"/>
    <cellStyle name="Normal 6 31 2 2" xfId="13736" xr:uid="{00000000-0005-0000-0000-000094B10000}"/>
    <cellStyle name="Normal 6 31 2 2 2" xfId="37221" xr:uid="{00000000-0005-0000-0000-000095B10000}"/>
    <cellStyle name="Normal 6 31 2 2 3" xfId="27902" xr:uid="{00000000-0005-0000-0000-000096B10000}"/>
    <cellStyle name="Normal 6 31 2 2 4" xfId="51164" xr:uid="{00000000-0005-0000-0000-000097B10000}"/>
    <cellStyle name="Normal 6 31 2 3" xfId="18467" xr:uid="{00000000-0005-0000-0000-000098B10000}"/>
    <cellStyle name="Normal 6 31 2 3 2" xfId="32599" xr:uid="{00000000-0005-0000-0000-000099B10000}"/>
    <cellStyle name="Normal 6 31 2 3 3" xfId="46494" xr:uid="{00000000-0005-0000-0000-00009AB10000}"/>
    <cellStyle name="Normal 6 31 2 4" xfId="23280" xr:uid="{00000000-0005-0000-0000-00009BB10000}"/>
    <cellStyle name="Normal 6 31 2 5" xfId="41912" xr:uid="{00000000-0005-0000-0000-00009CB10000}"/>
    <cellStyle name="Normal 6 31 3" xfId="13735" xr:uid="{00000000-0005-0000-0000-00009DB10000}"/>
    <cellStyle name="Normal 6 31 3 2" xfId="37220" xr:uid="{00000000-0005-0000-0000-00009EB10000}"/>
    <cellStyle name="Normal 6 31 3 3" xfId="27901" xr:uid="{00000000-0005-0000-0000-00009FB10000}"/>
    <cellStyle name="Normal 6 31 3 4" xfId="51163" xr:uid="{00000000-0005-0000-0000-0000A0B10000}"/>
    <cellStyle name="Normal 6 31 4" xfId="18466" xr:uid="{00000000-0005-0000-0000-0000A1B10000}"/>
    <cellStyle name="Normal 6 31 4 2" xfId="32598" xr:uid="{00000000-0005-0000-0000-0000A2B10000}"/>
    <cellStyle name="Normal 6 31 4 3" xfId="46493" xr:uid="{00000000-0005-0000-0000-0000A3B10000}"/>
    <cellStyle name="Normal 6 31 5" xfId="23279" xr:uid="{00000000-0005-0000-0000-0000A4B10000}"/>
    <cellStyle name="Normal 6 31 6" xfId="41911" xr:uid="{00000000-0005-0000-0000-0000A5B10000}"/>
    <cellStyle name="Normal 6 32" xfId="7973" xr:uid="{00000000-0005-0000-0000-0000A6B10000}"/>
    <cellStyle name="Normal 6 32 2" xfId="7974" xr:uid="{00000000-0005-0000-0000-0000A7B10000}"/>
    <cellStyle name="Normal 6 32 2 2" xfId="13738" xr:uid="{00000000-0005-0000-0000-0000A8B10000}"/>
    <cellStyle name="Normal 6 32 2 2 2" xfId="37223" xr:uid="{00000000-0005-0000-0000-0000A9B10000}"/>
    <cellStyle name="Normal 6 32 2 2 3" xfId="27904" xr:uid="{00000000-0005-0000-0000-0000AAB10000}"/>
    <cellStyle name="Normal 6 32 2 2 4" xfId="51166" xr:uid="{00000000-0005-0000-0000-0000ABB10000}"/>
    <cellStyle name="Normal 6 32 2 3" xfId="18469" xr:uid="{00000000-0005-0000-0000-0000ACB10000}"/>
    <cellStyle name="Normal 6 32 2 3 2" xfId="32601" xr:uid="{00000000-0005-0000-0000-0000ADB10000}"/>
    <cellStyle name="Normal 6 32 2 3 3" xfId="46496" xr:uid="{00000000-0005-0000-0000-0000AEB10000}"/>
    <cellStyle name="Normal 6 32 2 4" xfId="23282" xr:uid="{00000000-0005-0000-0000-0000AFB10000}"/>
    <cellStyle name="Normal 6 32 2 5" xfId="41914" xr:uid="{00000000-0005-0000-0000-0000B0B10000}"/>
    <cellStyle name="Normal 6 32 3" xfId="13737" xr:uid="{00000000-0005-0000-0000-0000B1B10000}"/>
    <cellStyle name="Normal 6 32 3 2" xfId="37222" xr:uid="{00000000-0005-0000-0000-0000B2B10000}"/>
    <cellStyle name="Normal 6 32 3 3" xfId="27903" xr:uid="{00000000-0005-0000-0000-0000B3B10000}"/>
    <cellStyle name="Normal 6 32 3 4" xfId="51165" xr:uid="{00000000-0005-0000-0000-0000B4B10000}"/>
    <cellStyle name="Normal 6 32 4" xfId="18468" xr:uid="{00000000-0005-0000-0000-0000B5B10000}"/>
    <cellStyle name="Normal 6 32 4 2" xfId="32600" xr:uid="{00000000-0005-0000-0000-0000B6B10000}"/>
    <cellStyle name="Normal 6 32 4 3" xfId="46495" xr:uid="{00000000-0005-0000-0000-0000B7B10000}"/>
    <cellStyle name="Normal 6 32 5" xfId="23281" xr:uid="{00000000-0005-0000-0000-0000B8B10000}"/>
    <cellStyle name="Normal 6 32 6" xfId="41913" xr:uid="{00000000-0005-0000-0000-0000B9B10000}"/>
    <cellStyle name="Normal 6 33" xfId="7975" xr:uid="{00000000-0005-0000-0000-0000BAB10000}"/>
    <cellStyle name="Normal 6 33 2" xfId="7976" xr:uid="{00000000-0005-0000-0000-0000BBB10000}"/>
    <cellStyle name="Normal 6 33 2 2" xfId="13740" xr:uid="{00000000-0005-0000-0000-0000BCB10000}"/>
    <cellStyle name="Normal 6 33 2 2 2" xfId="37225" xr:uid="{00000000-0005-0000-0000-0000BDB10000}"/>
    <cellStyle name="Normal 6 33 2 2 3" xfId="27906" xr:uid="{00000000-0005-0000-0000-0000BEB10000}"/>
    <cellStyle name="Normal 6 33 2 2 4" xfId="51168" xr:uid="{00000000-0005-0000-0000-0000BFB10000}"/>
    <cellStyle name="Normal 6 33 2 3" xfId="18471" xr:uid="{00000000-0005-0000-0000-0000C0B10000}"/>
    <cellStyle name="Normal 6 33 2 3 2" xfId="32603" xr:uid="{00000000-0005-0000-0000-0000C1B10000}"/>
    <cellStyle name="Normal 6 33 2 3 3" xfId="46498" xr:uid="{00000000-0005-0000-0000-0000C2B10000}"/>
    <cellStyle name="Normal 6 33 2 4" xfId="23284" xr:uid="{00000000-0005-0000-0000-0000C3B10000}"/>
    <cellStyle name="Normal 6 33 2 5" xfId="41916" xr:uid="{00000000-0005-0000-0000-0000C4B10000}"/>
    <cellStyle name="Normal 6 33 3" xfId="13739" xr:uid="{00000000-0005-0000-0000-0000C5B10000}"/>
    <cellStyle name="Normal 6 33 3 2" xfId="37224" xr:uid="{00000000-0005-0000-0000-0000C6B10000}"/>
    <cellStyle name="Normal 6 33 3 3" xfId="27905" xr:uid="{00000000-0005-0000-0000-0000C7B10000}"/>
    <cellStyle name="Normal 6 33 3 4" xfId="51167" xr:uid="{00000000-0005-0000-0000-0000C8B10000}"/>
    <cellStyle name="Normal 6 33 4" xfId="18470" xr:uid="{00000000-0005-0000-0000-0000C9B10000}"/>
    <cellStyle name="Normal 6 33 4 2" xfId="32602" xr:uid="{00000000-0005-0000-0000-0000CAB10000}"/>
    <cellStyle name="Normal 6 33 4 3" xfId="46497" xr:uid="{00000000-0005-0000-0000-0000CBB10000}"/>
    <cellStyle name="Normal 6 33 5" xfId="23283" xr:uid="{00000000-0005-0000-0000-0000CCB10000}"/>
    <cellStyle name="Normal 6 33 6" xfId="41915" xr:uid="{00000000-0005-0000-0000-0000CDB10000}"/>
    <cellStyle name="Normal 6 34" xfId="7977" xr:uid="{00000000-0005-0000-0000-0000CEB10000}"/>
    <cellStyle name="Normal 6 34 2" xfId="7978" xr:uid="{00000000-0005-0000-0000-0000CFB10000}"/>
    <cellStyle name="Normal 6 34 2 2" xfId="13742" xr:uid="{00000000-0005-0000-0000-0000D0B10000}"/>
    <cellStyle name="Normal 6 34 2 2 2" xfId="37227" xr:uid="{00000000-0005-0000-0000-0000D1B10000}"/>
    <cellStyle name="Normal 6 34 2 2 3" xfId="27908" xr:uid="{00000000-0005-0000-0000-0000D2B10000}"/>
    <cellStyle name="Normal 6 34 2 2 4" xfId="51170" xr:uid="{00000000-0005-0000-0000-0000D3B10000}"/>
    <cellStyle name="Normal 6 34 2 3" xfId="18473" xr:uid="{00000000-0005-0000-0000-0000D4B10000}"/>
    <cellStyle name="Normal 6 34 2 3 2" xfId="32605" xr:uid="{00000000-0005-0000-0000-0000D5B10000}"/>
    <cellStyle name="Normal 6 34 2 3 3" xfId="46500" xr:uid="{00000000-0005-0000-0000-0000D6B10000}"/>
    <cellStyle name="Normal 6 34 2 4" xfId="23286" xr:uid="{00000000-0005-0000-0000-0000D7B10000}"/>
    <cellStyle name="Normal 6 34 2 5" xfId="41918" xr:uid="{00000000-0005-0000-0000-0000D8B10000}"/>
    <cellStyle name="Normal 6 34 3" xfId="13741" xr:uid="{00000000-0005-0000-0000-0000D9B10000}"/>
    <cellStyle name="Normal 6 34 3 2" xfId="37226" xr:uid="{00000000-0005-0000-0000-0000DAB10000}"/>
    <cellStyle name="Normal 6 34 3 3" xfId="27907" xr:uid="{00000000-0005-0000-0000-0000DBB10000}"/>
    <cellStyle name="Normal 6 34 3 4" xfId="51169" xr:uid="{00000000-0005-0000-0000-0000DCB10000}"/>
    <cellStyle name="Normal 6 34 4" xfId="18472" xr:uid="{00000000-0005-0000-0000-0000DDB10000}"/>
    <cellStyle name="Normal 6 34 4 2" xfId="32604" xr:uid="{00000000-0005-0000-0000-0000DEB10000}"/>
    <cellStyle name="Normal 6 34 4 3" xfId="46499" xr:uid="{00000000-0005-0000-0000-0000DFB10000}"/>
    <cellStyle name="Normal 6 34 5" xfId="23285" xr:uid="{00000000-0005-0000-0000-0000E0B10000}"/>
    <cellStyle name="Normal 6 34 6" xfId="41917" xr:uid="{00000000-0005-0000-0000-0000E1B10000}"/>
    <cellStyle name="Normal 6 35" xfId="7979" xr:uid="{00000000-0005-0000-0000-0000E2B10000}"/>
    <cellStyle name="Normal 6 35 2" xfId="7980" xr:uid="{00000000-0005-0000-0000-0000E3B10000}"/>
    <cellStyle name="Normal 6 35 2 2" xfId="13744" xr:uid="{00000000-0005-0000-0000-0000E4B10000}"/>
    <cellStyle name="Normal 6 35 2 2 2" xfId="37229" xr:uid="{00000000-0005-0000-0000-0000E5B10000}"/>
    <cellStyle name="Normal 6 35 2 2 3" xfId="27910" xr:uid="{00000000-0005-0000-0000-0000E6B10000}"/>
    <cellStyle name="Normal 6 35 2 2 4" xfId="51172" xr:uid="{00000000-0005-0000-0000-0000E7B10000}"/>
    <cellStyle name="Normal 6 35 2 3" xfId="18475" xr:uid="{00000000-0005-0000-0000-0000E8B10000}"/>
    <cellStyle name="Normal 6 35 2 3 2" xfId="32607" xr:uid="{00000000-0005-0000-0000-0000E9B10000}"/>
    <cellStyle name="Normal 6 35 2 3 3" xfId="46502" xr:uid="{00000000-0005-0000-0000-0000EAB10000}"/>
    <cellStyle name="Normal 6 35 2 4" xfId="23288" xr:uid="{00000000-0005-0000-0000-0000EBB10000}"/>
    <cellStyle name="Normal 6 35 2 5" xfId="41920" xr:uid="{00000000-0005-0000-0000-0000ECB10000}"/>
    <cellStyle name="Normal 6 35 3" xfId="13743" xr:uid="{00000000-0005-0000-0000-0000EDB10000}"/>
    <cellStyle name="Normal 6 35 3 2" xfId="37228" xr:uid="{00000000-0005-0000-0000-0000EEB10000}"/>
    <cellStyle name="Normal 6 35 3 3" xfId="27909" xr:uid="{00000000-0005-0000-0000-0000EFB10000}"/>
    <cellStyle name="Normal 6 35 3 4" xfId="51171" xr:uid="{00000000-0005-0000-0000-0000F0B10000}"/>
    <cellStyle name="Normal 6 35 4" xfId="18474" xr:uid="{00000000-0005-0000-0000-0000F1B10000}"/>
    <cellStyle name="Normal 6 35 4 2" xfId="32606" xr:uid="{00000000-0005-0000-0000-0000F2B10000}"/>
    <cellStyle name="Normal 6 35 4 3" xfId="46501" xr:uid="{00000000-0005-0000-0000-0000F3B10000}"/>
    <cellStyle name="Normal 6 35 5" xfId="23287" xr:uid="{00000000-0005-0000-0000-0000F4B10000}"/>
    <cellStyle name="Normal 6 35 6" xfId="41919" xr:uid="{00000000-0005-0000-0000-0000F5B10000}"/>
    <cellStyle name="Normal 6 36" xfId="7981" xr:uid="{00000000-0005-0000-0000-0000F6B10000}"/>
    <cellStyle name="Normal 6 36 2" xfId="7982" xr:uid="{00000000-0005-0000-0000-0000F7B10000}"/>
    <cellStyle name="Normal 6 36 2 2" xfId="13746" xr:uid="{00000000-0005-0000-0000-0000F8B10000}"/>
    <cellStyle name="Normal 6 36 2 2 2" xfId="37231" xr:uid="{00000000-0005-0000-0000-0000F9B10000}"/>
    <cellStyle name="Normal 6 36 2 2 3" xfId="27912" xr:uid="{00000000-0005-0000-0000-0000FAB10000}"/>
    <cellStyle name="Normal 6 36 2 2 4" xfId="51174" xr:uid="{00000000-0005-0000-0000-0000FBB10000}"/>
    <cellStyle name="Normal 6 36 2 3" xfId="18477" xr:uid="{00000000-0005-0000-0000-0000FCB10000}"/>
    <cellStyle name="Normal 6 36 2 3 2" xfId="32609" xr:uid="{00000000-0005-0000-0000-0000FDB10000}"/>
    <cellStyle name="Normal 6 36 2 3 3" xfId="46504" xr:uid="{00000000-0005-0000-0000-0000FEB10000}"/>
    <cellStyle name="Normal 6 36 2 4" xfId="23290" xr:uid="{00000000-0005-0000-0000-0000FFB10000}"/>
    <cellStyle name="Normal 6 36 2 5" xfId="41922" xr:uid="{00000000-0005-0000-0000-000000B20000}"/>
    <cellStyle name="Normal 6 36 3" xfId="13745" xr:uid="{00000000-0005-0000-0000-000001B20000}"/>
    <cellStyle name="Normal 6 36 3 2" xfId="37230" xr:uid="{00000000-0005-0000-0000-000002B20000}"/>
    <cellStyle name="Normal 6 36 3 3" xfId="27911" xr:uid="{00000000-0005-0000-0000-000003B20000}"/>
    <cellStyle name="Normal 6 36 3 4" xfId="51173" xr:uid="{00000000-0005-0000-0000-000004B20000}"/>
    <cellStyle name="Normal 6 36 4" xfId="18476" xr:uid="{00000000-0005-0000-0000-000005B20000}"/>
    <cellStyle name="Normal 6 36 4 2" xfId="32608" xr:uid="{00000000-0005-0000-0000-000006B20000}"/>
    <cellStyle name="Normal 6 36 4 3" xfId="46503" xr:uid="{00000000-0005-0000-0000-000007B20000}"/>
    <cellStyle name="Normal 6 36 5" xfId="23289" xr:uid="{00000000-0005-0000-0000-000008B20000}"/>
    <cellStyle name="Normal 6 36 6" xfId="41921" xr:uid="{00000000-0005-0000-0000-000009B20000}"/>
    <cellStyle name="Normal 6 37" xfId="7983" xr:uid="{00000000-0005-0000-0000-00000AB20000}"/>
    <cellStyle name="Normal 6 37 2" xfId="7984" xr:uid="{00000000-0005-0000-0000-00000BB20000}"/>
    <cellStyle name="Normal 6 37 2 2" xfId="13748" xr:uid="{00000000-0005-0000-0000-00000CB20000}"/>
    <cellStyle name="Normal 6 37 2 2 2" xfId="37233" xr:uid="{00000000-0005-0000-0000-00000DB20000}"/>
    <cellStyle name="Normal 6 37 2 2 3" xfId="27914" xr:uid="{00000000-0005-0000-0000-00000EB20000}"/>
    <cellStyle name="Normal 6 37 2 2 4" xfId="51176" xr:uid="{00000000-0005-0000-0000-00000FB20000}"/>
    <cellStyle name="Normal 6 37 2 3" xfId="18479" xr:uid="{00000000-0005-0000-0000-000010B20000}"/>
    <cellStyle name="Normal 6 37 2 3 2" xfId="32611" xr:uid="{00000000-0005-0000-0000-000011B20000}"/>
    <cellStyle name="Normal 6 37 2 3 3" xfId="46506" xr:uid="{00000000-0005-0000-0000-000012B20000}"/>
    <cellStyle name="Normal 6 37 2 4" xfId="23292" xr:uid="{00000000-0005-0000-0000-000013B20000}"/>
    <cellStyle name="Normal 6 37 2 5" xfId="41924" xr:uid="{00000000-0005-0000-0000-000014B20000}"/>
    <cellStyle name="Normal 6 37 3" xfId="13747" xr:uid="{00000000-0005-0000-0000-000015B20000}"/>
    <cellStyle name="Normal 6 37 3 2" xfId="37232" xr:uid="{00000000-0005-0000-0000-000016B20000}"/>
    <cellStyle name="Normal 6 37 3 3" xfId="27913" xr:uid="{00000000-0005-0000-0000-000017B20000}"/>
    <cellStyle name="Normal 6 37 3 4" xfId="51175" xr:uid="{00000000-0005-0000-0000-000018B20000}"/>
    <cellStyle name="Normal 6 37 4" xfId="18478" xr:uid="{00000000-0005-0000-0000-000019B20000}"/>
    <cellStyle name="Normal 6 37 4 2" xfId="32610" xr:uid="{00000000-0005-0000-0000-00001AB20000}"/>
    <cellStyle name="Normal 6 37 4 3" xfId="46505" xr:uid="{00000000-0005-0000-0000-00001BB20000}"/>
    <cellStyle name="Normal 6 37 5" xfId="23291" xr:uid="{00000000-0005-0000-0000-00001CB20000}"/>
    <cellStyle name="Normal 6 37 6" xfId="41923" xr:uid="{00000000-0005-0000-0000-00001DB20000}"/>
    <cellStyle name="Normal 6 38" xfId="7985" xr:uid="{00000000-0005-0000-0000-00001EB20000}"/>
    <cellStyle name="Normal 6 38 2" xfId="7986" xr:uid="{00000000-0005-0000-0000-00001FB20000}"/>
    <cellStyle name="Normal 6 38 2 2" xfId="13750" xr:uid="{00000000-0005-0000-0000-000020B20000}"/>
    <cellStyle name="Normal 6 38 2 2 2" xfId="37235" xr:uid="{00000000-0005-0000-0000-000021B20000}"/>
    <cellStyle name="Normal 6 38 2 2 3" xfId="27916" xr:uid="{00000000-0005-0000-0000-000022B20000}"/>
    <cellStyle name="Normal 6 38 2 2 4" xfId="51178" xr:uid="{00000000-0005-0000-0000-000023B20000}"/>
    <cellStyle name="Normal 6 38 2 3" xfId="18481" xr:uid="{00000000-0005-0000-0000-000024B20000}"/>
    <cellStyle name="Normal 6 38 2 3 2" xfId="32613" xr:uid="{00000000-0005-0000-0000-000025B20000}"/>
    <cellStyle name="Normal 6 38 2 3 3" xfId="46508" xr:uid="{00000000-0005-0000-0000-000026B20000}"/>
    <cellStyle name="Normal 6 38 2 4" xfId="23294" xr:uid="{00000000-0005-0000-0000-000027B20000}"/>
    <cellStyle name="Normal 6 38 2 5" xfId="41926" xr:uid="{00000000-0005-0000-0000-000028B20000}"/>
    <cellStyle name="Normal 6 38 3" xfId="13749" xr:uid="{00000000-0005-0000-0000-000029B20000}"/>
    <cellStyle name="Normal 6 38 3 2" xfId="37234" xr:uid="{00000000-0005-0000-0000-00002AB20000}"/>
    <cellStyle name="Normal 6 38 3 3" xfId="27915" xr:uid="{00000000-0005-0000-0000-00002BB20000}"/>
    <cellStyle name="Normal 6 38 3 4" xfId="51177" xr:uid="{00000000-0005-0000-0000-00002CB20000}"/>
    <cellStyle name="Normal 6 38 4" xfId="18480" xr:uid="{00000000-0005-0000-0000-00002DB20000}"/>
    <cellStyle name="Normal 6 38 4 2" xfId="32612" xr:uid="{00000000-0005-0000-0000-00002EB20000}"/>
    <cellStyle name="Normal 6 38 4 3" xfId="46507" xr:uid="{00000000-0005-0000-0000-00002FB20000}"/>
    <cellStyle name="Normal 6 38 5" xfId="23293" xr:uid="{00000000-0005-0000-0000-000030B20000}"/>
    <cellStyle name="Normal 6 38 6" xfId="41925" xr:uid="{00000000-0005-0000-0000-000031B20000}"/>
    <cellStyle name="Normal 6 39" xfId="7987" xr:uid="{00000000-0005-0000-0000-000032B20000}"/>
    <cellStyle name="Normal 6 39 2" xfId="7988" xr:uid="{00000000-0005-0000-0000-000033B20000}"/>
    <cellStyle name="Normal 6 39 2 2" xfId="13752" xr:uid="{00000000-0005-0000-0000-000034B20000}"/>
    <cellStyle name="Normal 6 39 2 2 2" xfId="37237" xr:uid="{00000000-0005-0000-0000-000035B20000}"/>
    <cellStyle name="Normal 6 39 2 2 3" xfId="27918" xr:uid="{00000000-0005-0000-0000-000036B20000}"/>
    <cellStyle name="Normal 6 39 2 2 4" xfId="51180" xr:uid="{00000000-0005-0000-0000-000037B20000}"/>
    <cellStyle name="Normal 6 39 2 3" xfId="18483" xr:uid="{00000000-0005-0000-0000-000038B20000}"/>
    <cellStyle name="Normal 6 39 2 3 2" xfId="32615" xr:uid="{00000000-0005-0000-0000-000039B20000}"/>
    <cellStyle name="Normal 6 39 2 3 3" xfId="46510" xr:uid="{00000000-0005-0000-0000-00003AB20000}"/>
    <cellStyle name="Normal 6 39 2 4" xfId="23296" xr:uid="{00000000-0005-0000-0000-00003BB20000}"/>
    <cellStyle name="Normal 6 39 2 5" xfId="41928" xr:uid="{00000000-0005-0000-0000-00003CB20000}"/>
    <cellStyle name="Normal 6 39 3" xfId="13751" xr:uid="{00000000-0005-0000-0000-00003DB20000}"/>
    <cellStyle name="Normal 6 39 3 2" xfId="37236" xr:uid="{00000000-0005-0000-0000-00003EB20000}"/>
    <cellStyle name="Normal 6 39 3 3" xfId="27917" xr:uid="{00000000-0005-0000-0000-00003FB20000}"/>
    <cellStyle name="Normal 6 39 3 4" xfId="51179" xr:uid="{00000000-0005-0000-0000-000040B20000}"/>
    <cellStyle name="Normal 6 39 4" xfId="18482" xr:uid="{00000000-0005-0000-0000-000041B20000}"/>
    <cellStyle name="Normal 6 39 4 2" xfId="32614" xr:uid="{00000000-0005-0000-0000-000042B20000}"/>
    <cellStyle name="Normal 6 39 4 3" xfId="46509" xr:uid="{00000000-0005-0000-0000-000043B20000}"/>
    <cellStyle name="Normal 6 39 5" xfId="23295" xr:uid="{00000000-0005-0000-0000-000044B20000}"/>
    <cellStyle name="Normal 6 39 6" xfId="41927" xr:uid="{00000000-0005-0000-0000-000045B20000}"/>
    <cellStyle name="Normal 6 4" xfId="337" xr:uid="{00000000-0005-0000-0000-000046B20000}"/>
    <cellStyle name="Normal 6 4 10" xfId="7989" xr:uid="{00000000-0005-0000-0000-000047B20000}"/>
    <cellStyle name="Normal 6 4 10 2" xfId="7990" xr:uid="{00000000-0005-0000-0000-000048B20000}"/>
    <cellStyle name="Normal 6 4 10 2 2" xfId="13754" xr:uid="{00000000-0005-0000-0000-000049B20000}"/>
    <cellStyle name="Normal 6 4 10 2 2 2" xfId="37239" xr:uid="{00000000-0005-0000-0000-00004AB20000}"/>
    <cellStyle name="Normal 6 4 10 2 2 3" xfId="27920" xr:uid="{00000000-0005-0000-0000-00004BB20000}"/>
    <cellStyle name="Normal 6 4 10 2 2 4" xfId="51182" xr:uid="{00000000-0005-0000-0000-00004CB20000}"/>
    <cellStyle name="Normal 6 4 10 2 3" xfId="18485" xr:uid="{00000000-0005-0000-0000-00004DB20000}"/>
    <cellStyle name="Normal 6 4 10 2 3 2" xfId="32617" xr:uid="{00000000-0005-0000-0000-00004EB20000}"/>
    <cellStyle name="Normal 6 4 10 2 3 3" xfId="46512" xr:uid="{00000000-0005-0000-0000-00004FB20000}"/>
    <cellStyle name="Normal 6 4 10 2 4" xfId="23298" xr:uid="{00000000-0005-0000-0000-000050B20000}"/>
    <cellStyle name="Normal 6 4 10 2 5" xfId="41930" xr:uid="{00000000-0005-0000-0000-000051B20000}"/>
    <cellStyle name="Normal 6 4 10 3" xfId="13753" xr:uid="{00000000-0005-0000-0000-000052B20000}"/>
    <cellStyle name="Normal 6 4 10 3 2" xfId="37238" xr:uid="{00000000-0005-0000-0000-000053B20000}"/>
    <cellStyle name="Normal 6 4 10 3 3" xfId="27919" xr:uid="{00000000-0005-0000-0000-000054B20000}"/>
    <cellStyle name="Normal 6 4 10 3 4" xfId="51181" xr:uid="{00000000-0005-0000-0000-000055B20000}"/>
    <cellStyle name="Normal 6 4 10 4" xfId="18484" xr:uid="{00000000-0005-0000-0000-000056B20000}"/>
    <cellStyle name="Normal 6 4 10 4 2" xfId="32616" xr:uid="{00000000-0005-0000-0000-000057B20000}"/>
    <cellStyle name="Normal 6 4 10 4 3" xfId="46511" xr:uid="{00000000-0005-0000-0000-000058B20000}"/>
    <cellStyle name="Normal 6 4 10 5" xfId="23297" xr:uid="{00000000-0005-0000-0000-000059B20000}"/>
    <cellStyle name="Normal 6 4 10 6" xfId="41929" xr:uid="{00000000-0005-0000-0000-00005AB20000}"/>
    <cellStyle name="Normal 6 4 11" xfId="7991" xr:uid="{00000000-0005-0000-0000-00005BB20000}"/>
    <cellStyle name="Normal 6 4 11 2" xfId="7992" xr:uid="{00000000-0005-0000-0000-00005CB20000}"/>
    <cellStyle name="Normal 6 4 11 2 2" xfId="13756" xr:uid="{00000000-0005-0000-0000-00005DB20000}"/>
    <cellStyle name="Normal 6 4 11 2 2 2" xfId="37241" xr:uid="{00000000-0005-0000-0000-00005EB20000}"/>
    <cellStyle name="Normal 6 4 11 2 2 3" xfId="27922" xr:uid="{00000000-0005-0000-0000-00005FB20000}"/>
    <cellStyle name="Normal 6 4 11 2 2 4" xfId="51184" xr:uid="{00000000-0005-0000-0000-000060B20000}"/>
    <cellStyle name="Normal 6 4 11 2 3" xfId="18487" xr:uid="{00000000-0005-0000-0000-000061B20000}"/>
    <cellStyle name="Normal 6 4 11 2 3 2" xfId="32619" xr:uid="{00000000-0005-0000-0000-000062B20000}"/>
    <cellStyle name="Normal 6 4 11 2 3 3" xfId="46514" xr:uid="{00000000-0005-0000-0000-000063B20000}"/>
    <cellStyle name="Normal 6 4 11 2 4" xfId="23300" xr:uid="{00000000-0005-0000-0000-000064B20000}"/>
    <cellStyle name="Normal 6 4 11 2 5" xfId="41932" xr:uid="{00000000-0005-0000-0000-000065B20000}"/>
    <cellStyle name="Normal 6 4 11 3" xfId="13755" xr:uid="{00000000-0005-0000-0000-000066B20000}"/>
    <cellStyle name="Normal 6 4 11 3 2" xfId="37240" xr:uid="{00000000-0005-0000-0000-000067B20000}"/>
    <cellStyle name="Normal 6 4 11 3 3" xfId="27921" xr:uid="{00000000-0005-0000-0000-000068B20000}"/>
    <cellStyle name="Normal 6 4 11 3 4" xfId="51183" xr:uid="{00000000-0005-0000-0000-000069B20000}"/>
    <cellStyle name="Normal 6 4 11 4" xfId="18486" xr:uid="{00000000-0005-0000-0000-00006AB20000}"/>
    <cellStyle name="Normal 6 4 11 4 2" xfId="32618" xr:uid="{00000000-0005-0000-0000-00006BB20000}"/>
    <cellStyle name="Normal 6 4 11 4 3" xfId="46513" xr:uid="{00000000-0005-0000-0000-00006CB20000}"/>
    <cellStyle name="Normal 6 4 11 5" xfId="23299" xr:uid="{00000000-0005-0000-0000-00006DB20000}"/>
    <cellStyle name="Normal 6 4 11 6" xfId="41931" xr:uid="{00000000-0005-0000-0000-00006EB20000}"/>
    <cellStyle name="Normal 6 4 12" xfId="7993" xr:uid="{00000000-0005-0000-0000-00006FB20000}"/>
    <cellStyle name="Normal 6 4 12 2" xfId="7994" xr:uid="{00000000-0005-0000-0000-000070B20000}"/>
    <cellStyle name="Normal 6 4 12 2 2" xfId="13758" xr:uid="{00000000-0005-0000-0000-000071B20000}"/>
    <cellStyle name="Normal 6 4 12 2 2 2" xfId="37243" xr:uid="{00000000-0005-0000-0000-000072B20000}"/>
    <cellStyle name="Normal 6 4 12 2 2 3" xfId="27924" xr:uid="{00000000-0005-0000-0000-000073B20000}"/>
    <cellStyle name="Normal 6 4 12 2 2 4" xfId="51186" xr:uid="{00000000-0005-0000-0000-000074B20000}"/>
    <cellStyle name="Normal 6 4 12 2 3" xfId="18489" xr:uid="{00000000-0005-0000-0000-000075B20000}"/>
    <cellStyle name="Normal 6 4 12 2 3 2" xfId="32621" xr:uid="{00000000-0005-0000-0000-000076B20000}"/>
    <cellStyle name="Normal 6 4 12 2 3 3" xfId="46516" xr:uid="{00000000-0005-0000-0000-000077B20000}"/>
    <cellStyle name="Normal 6 4 12 2 4" xfId="23302" xr:uid="{00000000-0005-0000-0000-000078B20000}"/>
    <cellStyle name="Normal 6 4 12 2 5" xfId="41934" xr:uid="{00000000-0005-0000-0000-000079B20000}"/>
    <cellStyle name="Normal 6 4 12 3" xfId="13757" xr:uid="{00000000-0005-0000-0000-00007AB20000}"/>
    <cellStyle name="Normal 6 4 12 3 2" xfId="37242" xr:uid="{00000000-0005-0000-0000-00007BB20000}"/>
    <cellStyle name="Normal 6 4 12 3 3" xfId="27923" xr:uid="{00000000-0005-0000-0000-00007CB20000}"/>
    <cellStyle name="Normal 6 4 12 3 4" xfId="51185" xr:uid="{00000000-0005-0000-0000-00007DB20000}"/>
    <cellStyle name="Normal 6 4 12 4" xfId="18488" xr:uid="{00000000-0005-0000-0000-00007EB20000}"/>
    <cellStyle name="Normal 6 4 12 4 2" xfId="32620" xr:uid="{00000000-0005-0000-0000-00007FB20000}"/>
    <cellStyle name="Normal 6 4 12 4 3" xfId="46515" xr:uid="{00000000-0005-0000-0000-000080B20000}"/>
    <cellStyle name="Normal 6 4 12 5" xfId="23301" xr:uid="{00000000-0005-0000-0000-000081B20000}"/>
    <cellStyle name="Normal 6 4 12 6" xfId="41933" xr:uid="{00000000-0005-0000-0000-000082B20000}"/>
    <cellStyle name="Normal 6 4 13" xfId="7995" xr:uid="{00000000-0005-0000-0000-000083B20000}"/>
    <cellStyle name="Normal 6 4 13 2" xfId="7996" xr:uid="{00000000-0005-0000-0000-000084B20000}"/>
    <cellStyle name="Normal 6 4 13 2 2" xfId="13760" xr:uid="{00000000-0005-0000-0000-000085B20000}"/>
    <cellStyle name="Normal 6 4 13 2 2 2" xfId="37245" xr:uid="{00000000-0005-0000-0000-000086B20000}"/>
    <cellStyle name="Normal 6 4 13 2 2 3" xfId="27926" xr:uid="{00000000-0005-0000-0000-000087B20000}"/>
    <cellStyle name="Normal 6 4 13 2 2 4" xfId="51188" xr:uid="{00000000-0005-0000-0000-000088B20000}"/>
    <cellStyle name="Normal 6 4 13 2 3" xfId="18491" xr:uid="{00000000-0005-0000-0000-000089B20000}"/>
    <cellStyle name="Normal 6 4 13 2 3 2" xfId="32623" xr:uid="{00000000-0005-0000-0000-00008AB20000}"/>
    <cellStyle name="Normal 6 4 13 2 3 3" xfId="46518" xr:uid="{00000000-0005-0000-0000-00008BB20000}"/>
    <cellStyle name="Normal 6 4 13 2 4" xfId="23304" xr:uid="{00000000-0005-0000-0000-00008CB20000}"/>
    <cellStyle name="Normal 6 4 13 2 5" xfId="41936" xr:uid="{00000000-0005-0000-0000-00008DB20000}"/>
    <cellStyle name="Normal 6 4 13 3" xfId="13759" xr:uid="{00000000-0005-0000-0000-00008EB20000}"/>
    <cellStyle name="Normal 6 4 13 3 2" xfId="37244" xr:uid="{00000000-0005-0000-0000-00008FB20000}"/>
    <cellStyle name="Normal 6 4 13 3 3" xfId="27925" xr:uid="{00000000-0005-0000-0000-000090B20000}"/>
    <cellStyle name="Normal 6 4 13 3 4" xfId="51187" xr:uid="{00000000-0005-0000-0000-000091B20000}"/>
    <cellStyle name="Normal 6 4 13 4" xfId="18490" xr:uid="{00000000-0005-0000-0000-000092B20000}"/>
    <cellStyle name="Normal 6 4 13 4 2" xfId="32622" xr:uid="{00000000-0005-0000-0000-000093B20000}"/>
    <cellStyle name="Normal 6 4 13 4 3" xfId="46517" xr:uid="{00000000-0005-0000-0000-000094B20000}"/>
    <cellStyle name="Normal 6 4 13 5" xfId="23303" xr:uid="{00000000-0005-0000-0000-000095B20000}"/>
    <cellStyle name="Normal 6 4 13 6" xfId="41935" xr:uid="{00000000-0005-0000-0000-000096B20000}"/>
    <cellStyle name="Normal 6 4 14" xfId="7997" xr:uid="{00000000-0005-0000-0000-000097B20000}"/>
    <cellStyle name="Normal 6 4 14 2" xfId="7998" xr:uid="{00000000-0005-0000-0000-000098B20000}"/>
    <cellStyle name="Normal 6 4 14 2 2" xfId="13762" xr:uid="{00000000-0005-0000-0000-000099B20000}"/>
    <cellStyle name="Normal 6 4 14 2 2 2" xfId="37247" xr:uid="{00000000-0005-0000-0000-00009AB20000}"/>
    <cellStyle name="Normal 6 4 14 2 2 3" xfId="27928" xr:uid="{00000000-0005-0000-0000-00009BB20000}"/>
    <cellStyle name="Normal 6 4 14 2 2 4" xfId="51190" xr:uid="{00000000-0005-0000-0000-00009CB20000}"/>
    <cellStyle name="Normal 6 4 14 2 3" xfId="18493" xr:uid="{00000000-0005-0000-0000-00009DB20000}"/>
    <cellStyle name="Normal 6 4 14 2 3 2" xfId="32625" xr:uid="{00000000-0005-0000-0000-00009EB20000}"/>
    <cellStyle name="Normal 6 4 14 2 3 3" xfId="46520" xr:uid="{00000000-0005-0000-0000-00009FB20000}"/>
    <cellStyle name="Normal 6 4 14 2 4" xfId="23306" xr:uid="{00000000-0005-0000-0000-0000A0B20000}"/>
    <cellStyle name="Normal 6 4 14 2 5" xfId="41938" xr:uid="{00000000-0005-0000-0000-0000A1B20000}"/>
    <cellStyle name="Normal 6 4 14 3" xfId="13761" xr:uid="{00000000-0005-0000-0000-0000A2B20000}"/>
    <cellStyle name="Normal 6 4 14 3 2" xfId="37246" xr:uid="{00000000-0005-0000-0000-0000A3B20000}"/>
    <cellStyle name="Normal 6 4 14 3 3" xfId="27927" xr:uid="{00000000-0005-0000-0000-0000A4B20000}"/>
    <cellStyle name="Normal 6 4 14 3 4" xfId="51189" xr:uid="{00000000-0005-0000-0000-0000A5B20000}"/>
    <cellStyle name="Normal 6 4 14 4" xfId="18492" xr:uid="{00000000-0005-0000-0000-0000A6B20000}"/>
    <cellStyle name="Normal 6 4 14 4 2" xfId="32624" xr:uid="{00000000-0005-0000-0000-0000A7B20000}"/>
    <cellStyle name="Normal 6 4 14 4 3" xfId="46519" xr:uid="{00000000-0005-0000-0000-0000A8B20000}"/>
    <cellStyle name="Normal 6 4 14 5" xfId="23305" xr:uid="{00000000-0005-0000-0000-0000A9B20000}"/>
    <cellStyle name="Normal 6 4 14 6" xfId="41937" xr:uid="{00000000-0005-0000-0000-0000AAB20000}"/>
    <cellStyle name="Normal 6 4 15" xfId="7999" xr:uid="{00000000-0005-0000-0000-0000ABB20000}"/>
    <cellStyle name="Normal 6 4 15 2" xfId="8000" xr:uid="{00000000-0005-0000-0000-0000ACB20000}"/>
    <cellStyle name="Normal 6 4 15 2 2" xfId="13764" xr:uid="{00000000-0005-0000-0000-0000ADB20000}"/>
    <cellStyle name="Normal 6 4 15 2 2 2" xfId="37249" xr:uid="{00000000-0005-0000-0000-0000AEB20000}"/>
    <cellStyle name="Normal 6 4 15 2 2 3" xfId="27930" xr:uid="{00000000-0005-0000-0000-0000AFB20000}"/>
    <cellStyle name="Normal 6 4 15 2 2 4" xfId="51192" xr:uid="{00000000-0005-0000-0000-0000B0B20000}"/>
    <cellStyle name="Normal 6 4 15 2 3" xfId="18495" xr:uid="{00000000-0005-0000-0000-0000B1B20000}"/>
    <cellStyle name="Normal 6 4 15 2 3 2" xfId="32627" xr:uid="{00000000-0005-0000-0000-0000B2B20000}"/>
    <cellStyle name="Normal 6 4 15 2 3 3" xfId="46522" xr:uid="{00000000-0005-0000-0000-0000B3B20000}"/>
    <cellStyle name="Normal 6 4 15 2 4" xfId="23308" xr:uid="{00000000-0005-0000-0000-0000B4B20000}"/>
    <cellStyle name="Normal 6 4 15 2 5" xfId="41940" xr:uid="{00000000-0005-0000-0000-0000B5B20000}"/>
    <cellStyle name="Normal 6 4 15 3" xfId="13763" xr:uid="{00000000-0005-0000-0000-0000B6B20000}"/>
    <cellStyle name="Normal 6 4 15 3 2" xfId="37248" xr:uid="{00000000-0005-0000-0000-0000B7B20000}"/>
    <cellStyle name="Normal 6 4 15 3 3" xfId="27929" xr:uid="{00000000-0005-0000-0000-0000B8B20000}"/>
    <cellStyle name="Normal 6 4 15 3 4" xfId="51191" xr:uid="{00000000-0005-0000-0000-0000B9B20000}"/>
    <cellStyle name="Normal 6 4 15 4" xfId="18494" xr:uid="{00000000-0005-0000-0000-0000BAB20000}"/>
    <cellStyle name="Normal 6 4 15 4 2" xfId="32626" xr:uid="{00000000-0005-0000-0000-0000BBB20000}"/>
    <cellStyle name="Normal 6 4 15 4 3" xfId="46521" xr:uid="{00000000-0005-0000-0000-0000BCB20000}"/>
    <cellStyle name="Normal 6 4 15 5" xfId="23307" xr:uid="{00000000-0005-0000-0000-0000BDB20000}"/>
    <cellStyle name="Normal 6 4 15 6" xfId="41939" xr:uid="{00000000-0005-0000-0000-0000BEB20000}"/>
    <cellStyle name="Normal 6 4 16" xfId="8001" xr:uid="{00000000-0005-0000-0000-0000BFB20000}"/>
    <cellStyle name="Normal 6 4 16 2" xfId="8002" xr:uid="{00000000-0005-0000-0000-0000C0B20000}"/>
    <cellStyle name="Normal 6 4 16 2 2" xfId="13766" xr:uid="{00000000-0005-0000-0000-0000C1B20000}"/>
    <cellStyle name="Normal 6 4 16 2 2 2" xfId="37251" xr:uid="{00000000-0005-0000-0000-0000C2B20000}"/>
    <cellStyle name="Normal 6 4 16 2 2 3" xfId="27932" xr:uid="{00000000-0005-0000-0000-0000C3B20000}"/>
    <cellStyle name="Normal 6 4 16 2 2 4" xfId="51194" xr:uid="{00000000-0005-0000-0000-0000C4B20000}"/>
    <cellStyle name="Normal 6 4 16 2 3" xfId="18497" xr:uid="{00000000-0005-0000-0000-0000C5B20000}"/>
    <cellStyle name="Normal 6 4 16 2 3 2" xfId="32629" xr:uid="{00000000-0005-0000-0000-0000C6B20000}"/>
    <cellStyle name="Normal 6 4 16 2 3 3" xfId="46524" xr:uid="{00000000-0005-0000-0000-0000C7B20000}"/>
    <cellStyle name="Normal 6 4 16 2 4" xfId="23310" xr:uid="{00000000-0005-0000-0000-0000C8B20000}"/>
    <cellStyle name="Normal 6 4 16 2 5" xfId="41942" xr:uid="{00000000-0005-0000-0000-0000C9B20000}"/>
    <cellStyle name="Normal 6 4 16 3" xfId="13765" xr:uid="{00000000-0005-0000-0000-0000CAB20000}"/>
    <cellStyle name="Normal 6 4 16 3 2" xfId="37250" xr:uid="{00000000-0005-0000-0000-0000CBB20000}"/>
    <cellStyle name="Normal 6 4 16 3 3" xfId="27931" xr:uid="{00000000-0005-0000-0000-0000CCB20000}"/>
    <cellStyle name="Normal 6 4 16 3 4" xfId="51193" xr:uid="{00000000-0005-0000-0000-0000CDB20000}"/>
    <cellStyle name="Normal 6 4 16 4" xfId="18496" xr:uid="{00000000-0005-0000-0000-0000CEB20000}"/>
    <cellStyle name="Normal 6 4 16 4 2" xfId="32628" xr:uid="{00000000-0005-0000-0000-0000CFB20000}"/>
    <cellStyle name="Normal 6 4 16 4 3" xfId="46523" xr:uid="{00000000-0005-0000-0000-0000D0B20000}"/>
    <cellStyle name="Normal 6 4 16 5" xfId="23309" xr:uid="{00000000-0005-0000-0000-0000D1B20000}"/>
    <cellStyle name="Normal 6 4 16 6" xfId="41941" xr:uid="{00000000-0005-0000-0000-0000D2B20000}"/>
    <cellStyle name="Normal 6 4 17" xfId="8003" xr:uid="{00000000-0005-0000-0000-0000D3B20000}"/>
    <cellStyle name="Normal 6 4 17 2" xfId="8004" xr:uid="{00000000-0005-0000-0000-0000D4B20000}"/>
    <cellStyle name="Normal 6 4 17 2 2" xfId="13768" xr:uid="{00000000-0005-0000-0000-0000D5B20000}"/>
    <cellStyle name="Normal 6 4 17 2 2 2" xfId="37253" xr:uid="{00000000-0005-0000-0000-0000D6B20000}"/>
    <cellStyle name="Normal 6 4 17 2 2 3" xfId="27934" xr:uid="{00000000-0005-0000-0000-0000D7B20000}"/>
    <cellStyle name="Normal 6 4 17 2 2 4" xfId="51196" xr:uid="{00000000-0005-0000-0000-0000D8B20000}"/>
    <cellStyle name="Normal 6 4 17 2 3" xfId="18499" xr:uid="{00000000-0005-0000-0000-0000D9B20000}"/>
    <cellStyle name="Normal 6 4 17 2 3 2" xfId="32631" xr:uid="{00000000-0005-0000-0000-0000DAB20000}"/>
    <cellStyle name="Normal 6 4 17 2 3 3" xfId="46526" xr:uid="{00000000-0005-0000-0000-0000DBB20000}"/>
    <cellStyle name="Normal 6 4 17 2 4" xfId="23312" xr:uid="{00000000-0005-0000-0000-0000DCB20000}"/>
    <cellStyle name="Normal 6 4 17 2 5" xfId="41944" xr:uid="{00000000-0005-0000-0000-0000DDB20000}"/>
    <cellStyle name="Normal 6 4 17 3" xfId="13767" xr:uid="{00000000-0005-0000-0000-0000DEB20000}"/>
    <cellStyle name="Normal 6 4 17 3 2" xfId="37252" xr:uid="{00000000-0005-0000-0000-0000DFB20000}"/>
    <cellStyle name="Normal 6 4 17 3 3" xfId="27933" xr:uid="{00000000-0005-0000-0000-0000E0B20000}"/>
    <cellStyle name="Normal 6 4 17 3 4" xfId="51195" xr:uid="{00000000-0005-0000-0000-0000E1B20000}"/>
    <cellStyle name="Normal 6 4 17 4" xfId="18498" xr:uid="{00000000-0005-0000-0000-0000E2B20000}"/>
    <cellStyle name="Normal 6 4 17 4 2" xfId="32630" xr:uid="{00000000-0005-0000-0000-0000E3B20000}"/>
    <cellStyle name="Normal 6 4 17 4 3" xfId="46525" xr:uid="{00000000-0005-0000-0000-0000E4B20000}"/>
    <cellStyle name="Normal 6 4 17 5" xfId="23311" xr:uid="{00000000-0005-0000-0000-0000E5B20000}"/>
    <cellStyle name="Normal 6 4 17 6" xfId="41943" xr:uid="{00000000-0005-0000-0000-0000E6B20000}"/>
    <cellStyle name="Normal 6 4 18" xfId="8005" xr:uid="{00000000-0005-0000-0000-0000E7B20000}"/>
    <cellStyle name="Normal 6 4 18 2" xfId="8006" xr:uid="{00000000-0005-0000-0000-0000E8B20000}"/>
    <cellStyle name="Normal 6 4 18 2 2" xfId="13770" xr:uid="{00000000-0005-0000-0000-0000E9B20000}"/>
    <cellStyle name="Normal 6 4 18 2 2 2" xfId="37255" xr:uid="{00000000-0005-0000-0000-0000EAB20000}"/>
    <cellStyle name="Normal 6 4 18 2 2 3" xfId="27936" xr:uid="{00000000-0005-0000-0000-0000EBB20000}"/>
    <cellStyle name="Normal 6 4 18 2 2 4" xfId="51198" xr:uid="{00000000-0005-0000-0000-0000ECB20000}"/>
    <cellStyle name="Normal 6 4 18 2 3" xfId="18501" xr:uid="{00000000-0005-0000-0000-0000EDB20000}"/>
    <cellStyle name="Normal 6 4 18 2 3 2" xfId="32633" xr:uid="{00000000-0005-0000-0000-0000EEB20000}"/>
    <cellStyle name="Normal 6 4 18 2 3 3" xfId="46528" xr:uid="{00000000-0005-0000-0000-0000EFB20000}"/>
    <cellStyle name="Normal 6 4 18 2 4" xfId="23314" xr:uid="{00000000-0005-0000-0000-0000F0B20000}"/>
    <cellStyle name="Normal 6 4 18 2 5" xfId="41946" xr:uid="{00000000-0005-0000-0000-0000F1B20000}"/>
    <cellStyle name="Normal 6 4 18 3" xfId="13769" xr:uid="{00000000-0005-0000-0000-0000F2B20000}"/>
    <cellStyle name="Normal 6 4 18 3 2" xfId="37254" xr:uid="{00000000-0005-0000-0000-0000F3B20000}"/>
    <cellStyle name="Normal 6 4 18 3 3" xfId="27935" xr:uid="{00000000-0005-0000-0000-0000F4B20000}"/>
    <cellStyle name="Normal 6 4 18 3 4" xfId="51197" xr:uid="{00000000-0005-0000-0000-0000F5B20000}"/>
    <cellStyle name="Normal 6 4 18 4" xfId="18500" xr:uid="{00000000-0005-0000-0000-0000F6B20000}"/>
    <cellStyle name="Normal 6 4 18 4 2" xfId="32632" xr:uid="{00000000-0005-0000-0000-0000F7B20000}"/>
    <cellStyle name="Normal 6 4 18 4 3" xfId="46527" xr:uid="{00000000-0005-0000-0000-0000F8B20000}"/>
    <cellStyle name="Normal 6 4 18 5" xfId="23313" xr:uid="{00000000-0005-0000-0000-0000F9B20000}"/>
    <cellStyle name="Normal 6 4 18 6" xfId="41945" xr:uid="{00000000-0005-0000-0000-0000FAB20000}"/>
    <cellStyle name="Normal 6 4 19" xfId="8007" xr:uid="{00000000-0005-0000-0000-0000FBB20000}"/>
    <cellStyle name="Normal 6 4 19 2" xfId="8008" xr:uid="{00000000-0005-0000-0000-0000FCB20000}"/>
    <cellStyle name="Normal 6 4 19 2 2" xfId="13772" xr:uid="{00000000-0005-0000-0000-0000FDB20000}"/>
    <cellStyle name="Normal 6 4 19 2 2 2" xfId="37257" xr:uid="{00000000-0005-0000-0000-0000FEB20000}"/>
    <cellStyle name="Normal 6 4 19 2 2 3" xfId="27938" xr:uid="{00000000-0005-0000-0000-0000FFB20000}"/>
    <cellStyle name="Normal 6 4 19 2 2 4" xfId="51200" xr:uid="{00000000-0005-0000-0000-000000B30000}"/>
    <cellStyle name="Normal 6 4 19 2 3" xfId="18503" xr:uid="{00000000-0005-0000-0000-000001B30000}"/>
    <cellStyle name="Normal 6 4 19 2 3 2" xfId="32635" xr:uid="{00000000-0005-0000-0000-000002B30000}"/>
    <cellStyle name="Normal 6 4 19 2 3 3" xfId="46530" xr:uid="{00000000-0005-0000-0000-000003B30000}"/>
    <cellStyle name="Normal 6 4 19 2 4" xfId="23316" xr:uid="{00000000-0005-0000-0000-000004B30000}"/>
    <cellStyle name="Normal 6 4 19 2 5" xfId="41948" xr:uid="{00000000-0005-0000-0000-000005B30000}"/>
    <cellStyle name="Normal 6 4 19 3" xfId="13771" xr:uid="{00000000-0005-0000-0000-000006B30000}"/>
    <cellStyle name="Normal 6 4 19 3 2" xfId="37256" xr:uid="{00000000-0005-0000-0000-000007B30000}"/>
    <cellStyle name="Normal 6 4 19 3 3" xfId="27937" xr:uid="{00000000-0005-0000-0000-000008B30000}"/>
    <cellStyle name="Normal 6 4 19 3 4" xfId="51199" xr:uid="{00000000-0005-0000-0000-000009B30000}"/>
    <cellStyle name="Normal 6 4 19 4" xfId="18502" xr:uid="{00000000-0005-0000-0000-00000AB30000}"/>
    <cellStyle name="Normal 6 4 19 4 2" xfId="32634" xr:uid="{00000000-0005-0000-0000-00000BB30000}"/>
    <cellStyle name="Normal 6 4 19 4 3" xfId="46529" xr:uid="{00000000-0005-0000-0000-00000CB30000}"/>
    <cellStyle name="Normal 6 4 19 5" xfId="23315" xr:uid="{00000000-0005-0000-0000-00000DB30000}"/>
    <cellStyle name="Normal 6 4 19 6" xfId="41947" xr:uid="{00000000-0005-0000-0000-00000EB30000}"/>
    <cellStyle name="Normal 6 4 2" xfId="8009" xr:uid="{00000000-0005-0000-0000-00000FB30000}"/>
    <cellStyle name="Normal 6 4 2 2" xfId="8010" xr:uid="{00000000-0005-0000-0000-000010B30000}"/>
    <cellStyle name="Normal 6 4 2 2 2" xfId="13774" xr:uid="{00000000-0005-0000-0000-000011B30000}"/>
    <cellStyle name="Normal 6 4 2 2 2 2" xfId="37259" xr:uid="{00000000-0005-0000-0000-000012B30000}"/>
    <cellStyle name="Normal 6 4 2 2 2 3" xfId="27940" xr:uid="{00000000-0005-0000-0000-000013B30000}"/>
    <cellStyle name="Normal 6 4 2 2 2 4" xfId="51202" xr:uid="{00000000-0005-0000-0000-000014B30000}"/>
    <cellStyle name="Normal 6 4 2 2 3" xfId="18505" xr:uid="{00000000-0005-0000-0000-000015B30000}"/>
    <cellStyle name="Normal 6 4 2 2 3 2" xfId="32637" xr:uid="{00000000-0005-0000-0000-000016B30000}"/>
    <cellStyle name="Normal 6 4 2 2 3 3" xfId="46532" xr:uid="{00000000-0005-0000-0000-000017B30000}"/>
    <cellStyle name="Normal 6 4 2 2 4" xfId="23318" xr:uid="{00000000-0005-0000-0000-000018B30000}"/>
    <cellStyle name="Normal 6 4 2 2 5" xfId="41950" xr:uid="{00000000-0005-0000-0000-000019B30000}"/>
    <cellStyle name="Normal 6 4 2 3" xfId="13773" xr:uid="{00000000-0005-0000-0000-00001AB30000}"/>
    <cellStyle name="Normal 6 4 2 3 2" xfId="37258" xr:uid="{00000000-0005-0000-0000-00001BB30000}"/>
    <cellStyle name="Normal 6 4 2 3 3" xfId="27939" xr:uid="{00000000-0005-0000-0000-00001CB30000}"/>
    <cellStyle name="Normal 6 4 2 3 4" xfId="51201" xr:uid="{00000000-0005-0000-0000-00001DB30000}"/>
    <cellStyle name="Normal 6 4 2 4" xfId="18504" xr:uid="{00000000-0005-0000-0000-00001EB30000}"/>
    <cellStyle name="Normal 6 4 2 4 2" xfId="32636" xr:uid="{00000000-0005-0000-0000-00001FB30000}"/>
    <cellStyle name="Normal 6 4 2 4 3" xfId="46531" xr:uid="{00000000-0005-0000-0000-000020B30000}"/>
    <cellStyle name="Normal 6 4 2 5" xfId="23317" xr:uid="{00000000-0005-0000-0000-000021B30000}"/>
    <cellStyle name="Normal 6 4 2 6" xfId="41949" xr:uid="{00000000-0005-0000-0000-000022B30000}"/>
    <cellStyle name="Normal 6 4 20" xfId="8011" xr:uid="{00000000-0005-0000-0000-000023B30000}"/>
    <cellStyle name="Normal 6 4 20 2" xfId="8012" xr:uid="{00000000-0005-0000-0000-000024B30000}"/>
    <cellStyle name="Normal 6 4 20 2 2" xfId="13776" xr:uid="{00000000-0005-0000-0000-000025B30000}"/>
    <cellStyle name="Normal 6 4 20 2 2 2" xfId="37261" xr:uid="{00000000-0005-0000-0000-000026B30000}"/>
    <cellStyle name="Normal 6 4 20 2 2 3" xfId="27942" xr:uid="{00000000-0005-0000-0000-000027B30000}"/>
    <cellStyle name="Normal 6 4 20 2 2 4" xfId="51204" xr:uid="{00000000-0005-0000-0000-000028B30000}"/>
    <cellStyle name="Normal 6 4 20 2 3" xfId="18507" xr:uid="{00000000-0005-0000-0000-000029B30000}"/>
    <cellStyle name="Normal 6 4 20 2 3 2" xfId="32639" xr:uid="{00000000-0005-0000-0000-00002AB30000}"/>
    <cellStyle name="Normal 6 4 20 2 3 3" xfId="46534" xr:uid="{00000000-0005-0000-0000-00002BB30000}"/>
    <cellStyle name="Normal 6 4 20 2 4" xfId="23320" xr:uid="{00000000-0005-0000-0000-00002CB30000}"/>
    <cellStyle name="Normal 6 4 20 2 5" xfId="41952" xr:uid="{00000000-0005-0000-0000-00002DB30000}"/>
    <cellStyle name="Normal 6 4 20 3" xfId="13775" xr:uid="{00000000-0005-0000-0000-00002EB30000}"/>
    <cellStyle name="Normal 6 4 20 3 2" xfId="37260" xr:uid="{00000000-0005-0000-0000-00002FB30000}"/>
    <cellStyle name="Normal 6 4 20 3 3" xfId="27941" xr:uid="{00000000-0005-0000-0000-000030B30000}"/>
    <cellStyle name="Normal 6 4 20 3 4" xfId="51203" xr:uid="{00000000-0005-0000-0000-000031B30000}"/>
    <cellStyle name="Normal 6 4 20 4" xfId="18506" xr:uid="{00000000-0005-0000-0000-000032B30000}"/>
    <cellStyle name="Normal 6 4 20 4 2" xfId="32638" xr:uid="{00000000-0005-0000-0000-000033B30000}"/>
    <cellStyle name="Normal 6 4 20 4 3" xfId="46533" xr:uid="{00000000-0005-0000-0000-000034B30000}"/>
    <cellStyle name="Normal 6 4 20 5" xfId="23319" xr:uid="{00000000-0005-0000-0000-000035B30000}"/>
    <cellStyle name="Normal 6 4 20 6" xfId="41951" xr:uid="{00000000-0005-0000-0000-000036B30000}"/>
    <cellStyle name="Normal 6 4 21" xfId="8013" xr:uid="{00000000-0005-0000-0000-000037B30000}"/>
    <cellStyle name="Normal 6 4 21 2" xfId="8014" xr:uid="{00000000-0005-0000-0000-000038B30000}"/>
    <cellStyle name="Normal 6 4 21 2 2" xfId="13778" xr:uid="{00000000-0005-0000-0000-000039B30000}"/>
    <cellStyle name="Normal 6 4 21 2 2 2" xfId="37263" xr:uid="{00000000-0005-0000-0000-00003AB30000}"/>
    <cellStyle name="Normal 6 4 21 2 2 3" xfId="27944" xr:uid="{00000000-0005-0000-0000-00003BB30000}"/>
    <cellStyle name="Normal 6 4 21 2 2 4" xfId="51206" xr:uid="{00000000-0005-0000-0000-00003CB30000}"/>
    <cellStyle name="Normal 6 4 21 2 3" xfId="18509" xr:uid="{00000000-0005-0000-0000-00003DB30000}"/>
    <cellStyle name="Normal 6 4 21 2 3 2" xfId="32641" xr:uid="{00000000-0005-0000-0000-00003EB30000}"/>
    <cellStyle name="Normal 6 4 21 2 3 3" xfId="46536" xr:uid="{00000000-0005-0000-0000-00003FB30000}"/>
    <cellStyle name="Normal 6 4 21 2 4" xfId="23322" xr:uid="{00000000-0005-0000-0000-000040B30000}"/>
    <cellStyle name="Normal 6 4 21 2 5" xfId="41954" xr:uid="{00000000-0005-0000-0000-000041B30000}"/>
    <cellStyle name="Normal 6 4 21 3" xfId="13777" xr:uid="{00000000-0005-0000-0000-000042B30000}"/>
    <cellStyle name="Normal 6 4 21 3 2" xfId="37262" xr:uid="{00000000-0005-0000-0000-000043B30000}"/>
    <cellStyle name="Normal 6 4 21 3 3" xfId="27943" xr:uid="{00000000-0005-0000-0000-000044B30000}"/>
    <cellStyle name="Normal 6 4 21 3 4" xfId="51205" xr:uid="{00000000-0005-0000-0000-000045B30000}"/>
    <cellStyle name="Normal 6 4 21 4" xfId="18508" xr:uid="{00000000-0005-0000-0000-000046B30000}"/>
    <cellStyle name="Normal 6 4 21 4 2" xfId="32640" xr:uid="{00000000-0005-0000-0000-000047B30000}"/>
    <cellStyle name="Normal 6 4 21 4 3" xfId="46535" xr:uid="{00000000-0005-0000-0000-000048B30000}"/>
    <cellStyle name="Normal 6 4 21 5" xfId="23321" xr:uid="{00000000-0005-0000-0000-000049B30000}"/>
    <cellStyle name="Normal 6 4 21 6" xfId="41953" xr:uid="{00000000-0005-0000-0000-00004AB30000}"/>
    <cellStyle name="Normal 6 4 22" xfId="8015" xr:uid="{00000000-0005-0000-0000-00004BB30000}"/>
    <cellStyle name="Normal 6 4 22 2" xfId="8016" xr:uid="{00000000-0005-0000-0000-00004CB30000}"/>
    <cellStyle name="Normal 6 4 22 2 2" xfId="13780" xr:uid="{00000000-0005-0000-0000-00004DB30000}"/>
    <cellStyle name="Normal 6 4 22 2 2 2" xfId="37265" xr:uid="{00000000-0005-0000-0000-00004EB30000}"/>
    <cellStyle name="Normal 6 4 22 2 2 3" xfId="27946" xr:uid="{00000000-0005-0000-0000-00004FB30000}"/>
    <cellStyle name="Normal 6 4 22 2 2 4" xfId="51208" xr:uid="{00000000-0005-0000-0000-000050B30000}"/>
    <cellStyle name="Normal 6 4 22 2 3" xfId="18511" xr:uid="{00000000-0005-0000-0000-000051B30000}"/>
    <cellStyle name="Normal 6 4 22 2 3 2" xfId="32643" xr:uid="{00000000-0005-0000-0000-000052B30000}"/>
    <cellStyle name="Normal 6 4 22 2 3 3" xfId="46538" xr:uid="{00000000-0005-0000-0000-000053B30000}"/>
    <cellStyle name="Normal 6 4 22 2 4" xfId="23324" xr:uid="{00000000-0005-0000-0000-000054B30000}"/>
    <cellStyle name="Normal 6 4 22 2 5" xfId="41956" xr:uid="{00000000-0005-0000-0000-000055B30000}"/>
    <cellStyle name="Normal 6 4 22 3" xfId="13779" xr:uid="{00000000-0005-0000-0000-000056B30000}"/>
    <cellStyle name="Normal 6 4 22 3 2" xfId="37264" xr:uid="{00000000-0005-0000-0000-000057B30000}"/>
    <cellStyle name="Normal 6 4 22 3 3" xfId="27945" xr:uid="{00000000-0005-0000-0000-000058B30000}"/>
    <cellStyle name="Normal 6 4 22 3 4" xfId="51207" xr:uid="{00000000-0005-0000-0000-000059B30000}"/>
    <cellStyle name="Normal 6 4 22 4" xfId="18510" xr:uid="{00000000-0005-0000-0000-00005AB30000}"/>
    <cellStyle name="Normal 6 4 22 4 2" xfId="32642" xr:uid="{00000000-0005-0000-0000-00005BB30000}"/>
    <cellStyle name="Normal 6 4 22 4 3" xfId="46537" xr:uid="{00000000-0005-0000-0000-00005CB30000}"/>
    <cellStyle name="Normal 6 4 22 5" xfId="23323" xr:uid="{00000000-0005-0000-0000-00005DB30000}"/>
    <cellStyle name="Normal 6 4 22 6" xfId="41955" xr:uid="{00000000-0005-0000-0000-00005EB30000}"/>
    <cellStyle name="Normal 6 4 23" xfId="8017" xr:uid="{00000000-0005-0000-0000-00005FB30000}"/>
    <cellStyle name="Normal 6 4 23 2" xfId="8018" xr:uid="{00000000-0005-0000-0000-000060B30000}"/>
    <cellStyle name="Normal 6 4 23 2 2" xfId="13782" xr:uid="{00000000-0005-0000-0000-000061B30000}"/>
    <cellStyle name="Normal 6 4 23 2 2 2" xfId="37267" xr:uid="{00000000-0005-0000-0000-000062B30000}"/>
    <cellStyle name="Normal 6 4 23 2 2 3" xfId="27948" xr:uid="{00000000-0005-0000-0000-000063B30000}"/>
    <cellStyle name="Normal 6 4 23 2 2 4" xfId="51210" xr:uid="{00000000-0005-0000-0000-000064B30000}"/>
    <cellStyle name="Normal 6 4 23 2 3" xfId="18513" xr:uid="{00000000-0005-0000-0000-000065B30000}"/>
    <cellStyle name="Normal 6 4 23 2 3 2" xfId="32645" xr:uid="{00000000-0005-0000-0000-000066B30000}"/>
    <cellStyle name="Normal 6 4 23 2 3 3" xfId="46540" xr:uid="{00000000-0005-0000-0000-000067B30000}"/>
    <cellStyle name="Normal 6 4 23 2 4" xfId="23326" xr:uid="{00000000-0005-0000-0000-000068B30000}"/>
    <cellStyle name="Normal 6 4 23 2 5" xfId="41958" xr:uid="{00000000-0005-0000-0000-000069B30000}"/>
    <cellStyle name="Normal 6 4 23 3" xfId="13781" xr:uid="{00000000-0005-0000-0000-00006AB30000}"/>
    <cellStyle name="Normal 6 4 23 3 2" xfId="37266" xr:uid="{00000000-0005-0000-0000-00006BB30000}"/>
    <cellStyle name="Normal 6 4 23 3 3" xfId="27947" xr:uid="{00000000-0005-0000-0000-00006CB30000}"/>
    <cellStyle name="Normal 6 4 23 3 4" xfId="51209" xr:uid="{00000000-0005-0000-0000-00006DB30000}"/>
    <cellStyle name="Normal 6 4 23 4" xfId="18512" xr:uid="{00000000-0005-0000-0000-00006EB30000}"/>
    <cellStyle name="Normal 6 4 23 4 2" xfId="32644" xr:uid="{00000000-0005-0000-0000-00006FB30000}"/>
    <cellStyle name="Normal 6 4 23 4 3" xfId="46539" xr:uid="{00000000-0005-0000-0000-000070B30000}"/>
    <cellStyle name="Normal 6 4 23 5" xfId="23325" xr:uid="{00000000-0005-0000-0000-000071B30000}"/>
    <cellStyle name="Normal 6 4 23 6" xfId="41957" xr:uid="{00000000-0005-0000-0000-000072B30000}"/>
    <cellStyle name="Normal 6 4 24" xfId="8019" xr:uid="{00000000-0005-0000-0000-000073B30000}"/>
    <cellStyle name="Normal 6 4 24 2" xfId="13783" xr:uid="{00000000-0005-0000-0000-000074B30000}"/>
    <cellStyle name="Normal 6 4 24 2 2" xfId="37268" xr:uid="{00000000-0005-0000-0000-000075B30000}"/>
    <cellStyle name="Normal 6 4 24 2 3" xfId="27949" xr:uid="{00000000-0005-0000-0000-000076B30000}"/>
    <cellStyle name="Normal 6 4 24 2 4" xfId="51211" xr:uid="{00000000-0005-0000-0000-000077B30000}"/>
    <cellStyle name="Normal 6 4 24 3" xfId="18514" xr:uid="{00000000-0005-0000-0000-000078B30000}"/>
    <cellStyle name="Normal 6 4 24 3 2" xfId="32646" xr:uid="{00000000-0005-0000-0000-000079B30000}"/>
    <cellStyle name="Normal 6 4 24 3 3" xfId="46541" xr:uid="{00000000-0005-0000-0000-00007AB30000}"/>
    <cellStyle name="Normal 6 4 24 4" xfId="23327" xr:uid="{00000000-0005-0000-0000-00007BB30000}"/>
    <cellStyle name="Normal 6 4 24 5" xfId="41959" xr:uid="{00000000-0005-0000-0000-00007CB30000}"/>
    <cellStyle name="Normal 6 4 25" xfId="434" xr:uid="{00000000-0005-0000-0000-00007DB30000}"/>
    <cellStyle name="Normal 6 4 25 2" xfId="9692" xr:uid="{00000000-0005-0000-0000-00007EB30000}"/>
    <cellStyle name="Normal 6 4 25 2 2" xfId="33183" xr:uid="{00000000-0005-0000-0000-00007FB30000}"/>
    <cellStyle name="Normal 6 4 25 2 3" xfId="23868" xr:uid="{00000000-0005-0000-0000-000080B30000}"/>
    <cellStyle name="Normal 6 4 25 2 4" xfId="47126" xr:uid="{00000000-0005-0000-0000-000081B30000}"/>
    <cellStyle name="Normal 6 4 25 3" xfId="14452" xr:uid="{00000000-0005-0000-0000-000082B30000}"/>
    <cellStyle name="Normal 6 4 25 3 2" xfId="28584" xr:uid="{00000000-0005-0000-0000-000083B30000}"/>
    <cellStyle name="Normal 6 4 25 3 3" xfId="42464" xr:uid="{00000000-0005-0000-0000-000084B30000}"/>
    <cellStyle name="Normal 6 4 25 4" xfId="19264" xr:uid="{00000000-0005-0000-0000-000085B30000}"/>
    <cellStyle name="Normal 6 4 25 5" xfId="37899" xr:uid="{00000000-0005-0000-0000-000086B30000}"/>
    <cellStyle name="Normal 6 4 26" xfId="9651" xr:uid="{00000000-0005-0000-0000-000087B30000}"/>
    <cellStyle name="Normal 6 4 26 2" xfId="33142" xr:uid="{00000000-0005-0000-0000-000088B30000}"/>
    <cellStyle name="Normal 6 4 26 3" xfId="23829" xr:uid="{00000000-0005-0000-0000-000089B30000}"/>
    <cellStyle name="Normal 6 4 26 4" xfId="47085" xr:uid="{00000000-0005-0000-0000-00008AB30000}"/>
    <cellStyle name="Normal 6 4 27" xfId="14413" xr:uid="{00000000-0005-0000-0000-00008BB30000}"/>
    <cellStyle name="Normal 6 4 27 2" xfId="28544" xr:uid="{00000000-0005-0000-0000-00008CB30000}"/>
    <cellStyle name="Normal 6 4 27 3" xfId="42423" xr:uid="{00000000-0005-0000-0000-00008DB30000}"/>
    <cellStyle name="Normal 6 4 28" xfId="19226" xr:uid="{00000000-0005-0000-0000-00008EB30000}"/>
    <cellStyle name="Normal 6 4 29" xfId="37861" xr:uid="{00000000-0005-0000-0000-00008FB30000}"/>
    <cellStyle name="Normal 6 4 3" xfId="8020" xr:uid="{00000000-0005-0000-0000-000090B30000}"/>
    <cellStyle name="Normal 6 4 3 2" xfId="8021" xr:uid="{00000000-0005-0000-0000-000091B30000}"/>
    <cellStyle name="Normal 6 4 3 2 2" xfId="13785" xr:uid="{00000000-0005-0000-0000-000092B30000}"/>
    <cellStyle name="Normal 6 4 3 2 2 2" xfId="37270" xr:uid="{00000000-0005-0000-0000-000093B30000}"/>
    <cellStyle name="Normal 6 4 3 2 2 3" xfId="27951" xr:uid="{00000000-0005-0000-0000-000094B30000}"/>
    <cellStyle name="Normal 6 4 3 2 2 4" xfId="51213" xr:uid="{00000000-0005-0000-0000-000095B30000}"/>
    <cellStyle name="Normal 6 4 3 2 3" xfId="18516" xr:uid="{00000000-0005-0000-0000-000096B30000}"/>
    <cellStyle name="Normal 6 4 3 2 3 2" xfId="32648" xr:uid="{00000000-0005-0000-0000-000097B30000}"/>
    <cellStyle name="Normal 6 4 3 2 3 3" xfId="46543" xr:uid="{00000000-0005-0000-0000-000098B30000}"/>
    <cellStyle name="Normal 6 4 3 2 4" xfId="23329" xr:uid="{00000000-0005-0000-0000-000099B30000}"/>
    <cellStyle name="Normal 6 4 3 2 5" xfId="41961" xr:uid="{00000000-0005-0000-0000-00009AB30000}"/>
    <cellStyle name="Normal 6 4 3 3" xfId="13784" xr:uid="{00000000-0005-0000-0000-00009BB30000}"/>
    <cellStyle name="Normal 6 4 3 3 2" xfId="37269" xr:uid="{00000000-0005-0000-0000-00009CB30000}"/>
    <cellStyle name="Normal 6 4 3 3 3" xfId="27950" xr:uid="{00000000-0005-0000-0000-00009DB30000}"/>
    <cellStyle name="Normal 6 4 3 3 4" xfId="51212" xr:uid="{00000000-0005-0000-0000-00009EB30000}"/>
    <cellStyle name="Normal 6 4 3 4" xfId="18515" xr:uid="{00000000-0005-0000-0000-00009FB30000}"/>
    <cellStyle name="Normal 6 4 3 4 2" xfId="32647" xr:uid="{00000000-0005-0000-0000-0000A0B30000}"/>
    <cellStyle name="Normal 6 4 3 4 3" xfId="46542" xr:uid="{00000000-0005-0000-0000-0000A1B30000}"/>
    <cellStyle name="Normal 6 4 3 5" xfId="23328" xr:uid="{00000000-0005-0000-0000-0000A2B30000}"/>
    <cellStyle name="Normal 6 4 3 6" xfId="41960" xr:uid="{00000000-0005-0000-0000-0000A3B30000}"/>
    <cellStyle name="Normal 6 4 4" xfId="8022" xr:uid="{00000000-0005-0000-0000-0000A4B30000}"/>
    <cellStyle name="Normal 6 4 4 2" xfId="8023" xr:uid="{00000000-0005-0000-0000-0000A5B30000}"/>
    <cellStyle name="Normal 6 4 4 2 2" xfId="13787" xr:uid="{00000000-0005-0000-0000-0000A6B30000}"/>
    <cellStyle name="Normal 6 4 4 2 2 2" xfId="37272" xr:uid="{00000000-0005-0000-0000-0000A7B30000}"/>
    <cellStyle name="Normal 6 4 4 2 2 3" xfId="27953" xr:uid="{00000000-0005-0000-0000-0000A8B30000}"/>
    <cellStyle name="Normal 6 4 4 2 2 4" xfId="51215" xr:uid="{00000000-0005-0000-0000-0000A9B30000}"/>
    <cellStyle name="Normal 6 4 4 2 3" xfId="18518" xr:uid="{00000000-0005-0000-0000-0000AAB30000}"/>
    <cellStyle name="Normal 6 4 4 2 3 2" xfId="32650" xr:uid="{00000000-0005-0000-0000-0000ABB30000}"/>
    <cellStyle name="Normal 6 4 4 2 3 3" xfId="46545" xr:uid="{00000000-0005-0000-0000-0000ACB30000}"/>
    <cellStyle name="Normal 6 4 4 2 4" xfId="23331" xr:uid="{00000000-0005-0000-0000-0000ADB30000}"/>
    <cellStyle name="Normal 6 4 4 2 5" xfId="41963" xr:uid="{00000000-0005-0000-0000-0000AEB30000}"/>
    <cellStyle name="Normal 6 4 4 3" xfId="13786" xr:uid="{00000000-0005-0000-0000-0000AFB30000}"/>
    <cellStyle name="Normal 6 4 4 3 2" xfId="37271" xr:uid="{00000000-0005-0000-0000-0000B0B30000}"/>
    <cellStyle name="Normal 6 4 4 3 3" xfId="27952" xr:uid="{00000000-0005-0000-0000-0000B1B30000}"/>
    <cellStyle name="Normal 6 4 4 3 4" xfId="51214" xr:uid="{00000000-0005-0000-0000-0000B2B30000}"/>
    <cellStyle name="Normal 6 4 4 4" xfId="18517" xr:uid="{00000000-0005-0000-0000-0000B3B30000}"/>
    <cellStyle name="Normal 6 4 4 4 2" xfId="32649" xr:uid="{00000000-0005-0000-0000-0000B4B30000}"/>
    <cellStyle name="Normal 6 4 4 4 3" xfId="46544" xr:uid="{00000000-0005-0000-0000-0000B5B30000}"/>
    <cellStyle name="Normal 6 4 4 5" xfId="23330" xr:uid="{00000000-0005-0000-0000-0000B6B30000}"/>
    <cellStyle name="Normal 6 4 4 6" xfId="41962" xr:uid="{00000000-0005-0000-0000-0000B7B30000}"/>
    <cellStyle name="Normal 6 4 5" xfId="8024" xr:uid="{00000000-0005-0000-0000-0000B8B30000}"/>
    <cellStyle name="Normal 6 4 5 2" xfId="8025" xr:uid="{00000000-0005-0000-0000-0000B9B30000}"/>
    <cellStyle name="Normal 6 4 5 2 2" xfId="13789" xr:uid="{00000000-0005-0000-0000-0000BAB30000}"/>
    <cellStyle name="Normal 6 4 5 2 2 2" xfId="37274" xr:uid="{00000000-0005-0000-0000-0000BBB30000}"/>
    <cellStyle name="Normal 6 4 5 2 2 3" xfId="27955" xr:uid="{00000000-0005-0000-0000-0000BCB30000}"/>
    <cellStyle name="Normal 6 4 5 2 2 4" xfId="51217" xr:uid="{00000000-0005-0000-0000-0000BDB30000}"/>
    <cellStyle name="Normal 6 4 5 2 3" xfId="18520" xr:uid="{00000000-0005-0000-0000-0000BEB30000}"/>
    <cellStyle name="Normal 6 4 5 2 3 2" xfId="32652" xr:uid="{00000000-0005-0000-0000-0000BFB30000}"/>
    <cellStyle name="Normal 6 4 5 2 3 3" xfId="46547" xr:uid="{00000000-0005-0000-0000-0000C0B30000}"/>
    <cellStyle name="Normal 6 4 5 2 4" xfId="23333" xr:uid="{00000000-0005-0000-0000-0000C1B30000}"/>
    <cellStyle name="Normal 6 4 5 2 5" xfId="41965" xr:uid="{00000000-0005-0000-0000-0000C2B30000}"/>
    <cellStyle name="Normal 6 4 5 3" xfId="13788" xr:uid="{00000000-0005-0000-0000-0000C3B30000}"/>
    <cellStyle name="Normal 6 4 5 3 2" xfId="37273" xr:uid="{00000000-0005-0000-0000-0000C4B30000}"/>
    <cellStyle name="Normal 6 4 5 3 3" xfId="27954" xr:uid="{00000000-0005-0000-0000-0000C5B30000}"/>
    <cellStyle name="Normal 6 4 5 3 4" xfId="51216" xr:uid="{00000000-0005-0000-0000-0000C6B30000}"/>
    <cellStyle name="Normal 6 4 5 4" xfId="18519" xr:uid="{00000000-0005-0000-0000-0000C7B30000}"/>
    <cellStyle name="Normal 6 4 5 4 2" xfId="32651" xr:uid="{00000000-0005-0000-0000-0000C8B30000}"/>
    <cellStyle name="Normal 6 4 5 4 3" xfId="46546" xr:uid="{00000000-0005-0000-0000-0000C9B30000}"/>
    <cellStyle name="Normal 6 4 5 5" xfId="23332" xr:uid="{00000000-0005-0000-0000-0000CAB30000}"/>
    <cellStyle name="Normal 6 4 5 6" xfId="41964" xr:uid="{00000000-0005-0000-0000-0000CBB30000}"/>
    <cellStyle name="Normal 6 4 6" xfId="8026" xr:uid="{00000000-0005-0000-0000-0000CCB30000}"/>
    <cellStyle name="Normal 6 4 6 2" xfId="8027" xr:uid="{00000000-0005-0000-0000-0000CDB30000}"/>
    <cellStyle name="Normal 6 4 6 2 2" xfId="13791" xr:uid="{00000000-0005-0000-0000-0000CEB30000}"/>
    <cellStyle name="Normal 6 4 6 2 2 2" xfId="37276" xr:uid="{00000000-0005-0000-0000-0000CFB30000}"/>
    <cellStyle name="Normal 6 4 6 2 2 3" xfId="27957" xr:uid="{00000000-0005-0000-0000-0000D0B30000}"/>
    <cellStyle name="Normal 6 4 6 2 2 4" xfId="51219" xr:uid="{00000000-0005-0000-0000-0000D1B30000}"/>
    <cellStyle name="Normal 6 4 6 2 3" xfId="18522" xr:uid="{00000000-0005-0000-0000-0000D2B30000}"/>
    <cellStyle name="Normal 6 4 6 2 3 2" xfId="32654" xr:uid="{00000000-0005-0000-0000-0000D3B30000}"/>
    <cellStyle name="Normal 6 4 6 2 3 3" xfId="46549" xr:uid="{00000000-0005-0000-0000-0000D4B30000}"/>
    <cellStyle name="Normal 6 4 6 2 4" xfId="23335" xr:uid="{00000000-0005-0000-0000-0000D5B30000}"/>
    <cellStyle name="Normal 6 4 6 2 5" xfId="41967" xr:uid="{00000000-0005-0000-0000-0000D6B30000}"/>
    <cellStyle name="Normal 6 4 6 3" xfId="13790" xr:uid="{00000000-0005-0000-0000-0000D7B30000}"/>
    <cellStyle name="Normal 6 4 6 3 2" xfId="37275" xr:uid="{00000000-0005-0000-0000-0000D8B30000}"/>
    <cellStyle name="Normal 6 4 6 3 3" xfId="27956" xr:uid="{00000000-0005-0000-0000-0000D9B30000}"/>
    <cellStyle name="Normal 6 4 6 3 4" xfId="51218" xr:uid="{00000000-0005-0000-0000-0000DAB30000}"/>
    <cellStyle name="Normal 6 4 6 4" xfId="18521" xr:uid="{00000000-0005-0000-0000-0000DBB30000}"/>
    <cellStyle name="Normal 6 4 6 4 2" xfId="32653" xr:uid="{00000000-0005-0000-0000-0000DCB30000}"/>
    <cellStyle name="Normal 6 4 6 4 3" xfId="46548" xr:uid="{00000000-0005-0000-0000-0000DDB30000}"/>
    <cellStyle name="Normal 6 4 6 5" xfId="23334" xr:uid="{00000000-0005-0000-0000-0000DEB30000}"/>
    <cellStyle name="Normal 6 4 6 6" xfId="41966" xr:uid="{00000000-0005-0000-0000-0000DFB30000}"/>
    <cellStyle name="Normal 6 4 7" xfId="8028" xr:uid="{00000000-0005-0000-0000-0000E0B30000}"/>
    <cellStyle name="Normal 6 4 7 2" xfId="8029" xr:uid="{00000000-0005-0000-0000-0000E1B30000}"/>
    <cellStyle name="Normal 6 4 7 2 2" xfId="13793" xr:uid="{00000000-0005-0000-0000-0000E2B30000}"/>
    <cellStyle name="Normal 6 4 7 2 2 2" xfId="37278" xr:uid="{00000000-0005-0000-0000-0000E3B30000}"/>
    <cellStyle name="Normal 6 4 7 2 2 3" xfId="27959" xr:uid="{00000000-0005-0000-0000-0000E4B30000}"/>
    <cellStyle name="Normal 6 4 7 2 2 4" xfId="51221" xr:uid="{00000000-0005-0000-0000-0000E5B30000}"/>
    <cellStyle name="Normal 6 4 7 2 3" xfId="18524" xr:uid="{00000000-0005-0000-0000-0000E6B30000}"/>
    <cellStyle name="Normal 6 4 7 2 3 2" xfId="32656" xr:uid="{00000000-0005-0000-0000-0000E7B30000}"/>
    <cellStyle name="Normal 6 4 7 2 3 3" xfId="46551" xr:uid="{00000000-0005-0000-0000-0000E8B30000}"/>
    <cellStyle name="Normal 6 4 7 2 4" xfId="23337" xr:uid="{00000000-0005-0000-0000-0000E9B30000}"/>
    <cellStyle name="Normal 6 4 7 2 5" xfId="41969" xr:uid="{00000000-0005-0000-0000-0000EAB30000}"/>
    <cellStyle name="Normal 6 4 7 3" xfId="13792" xr:uid="{00000000-0005-0000-0000-0000EBB30000}"/>
    <cellStyle name="Normal 6 4 7 3 2" xfId="37277" xr:uid="{00000000-0005-0000-0000-0000ECB30000}"/>
    <cellStyle name="Normal 6 4 7 3 3" xfId="27958" xr:uid="{00000000-0005-0000-0000-0000EDB30000}"/>
    <cellStyle name="Normal 6 4 7 3 4" xfId="51220" xr:uid="{00000000-0005-0000-0000-0000EEB30000}"/>
    <cellStyle name="Normal 6 4 7 4" xfId="18523" xr:uid="{00000000-0005-0000-0000-0000EFB30000}"/>
    <cellStyle name="Normal 6 4 7 4 2" xfId="32655" xr:uid="{00000000-0005-0000-0000-0000F0B30000}"/>
    <cellStyle name="Normal 6 4 7 4 3" xfId="46550" xr:uid="{00000000-0005-0000-0000-0000F1B30000}"/>
    <cellStyle name="Normal 6 4 7 5" xfId="23336" xr:uid="{00000000-0005-0000-0000-0000F2B30000}"/>
    <cellStyle name="Normal 6 4 7 6" xfId="41968" xr:uid="{00000000-0005-0000-0000-0000F3B30000}"/>
    <cellStyle name="Normal 6 4 8" xfId="8030" xr:uid="{00000000-0005-0000-0000-0000F4B30000}"/>
    <cellStyle name="Normal 6 4 8 2" xfId="8031" xr:uid="{00000000-0005-0000-0000-0000F5B30000}"/>
    <cellStyle name="Normal 6 4 8 2 2" xfId="13795" xr:uid="{00000000-0005-0000-0000-0000F6B30000}"/>
    <cellStyle name="Normal 6 4 8 2 2 2" xfId="37280" xr:uid="{00000000-0005-0000-0000-0000F7B30000}"/>
    <cellStyle name="Normal 6 4 8 2 2 3" xfId="27961" xr:uid="{00000000-0005-0000-0000-0000F8B30000}"/>
    <cellStyle name="Normal 6 4 8 2 2 4" xfId="51223" xr:uid="{00000000-0005-0000-0000-0000F9B30000}"/>
    <cellStyle name="Normal 6 4 8 2 3" xfId="18526" xr:uid="{00000000-0005-0000-0000-0000FAB30000}"/>
    <cellStyle name="Normal 6 4 8 2 3 2" xfId="32658" xr:uid="{00000000-0005-0000-0000-0000FBB30000}"/>
    <cellStyle name="Normal 6 4 8 2 3 3" xfId="46553" xr:uid="{00000000-0005-0000-0000-0000FCB30000}"/>
    <cellStyle name="Normal 6 4 8 2 4" xfId="23339" xr:uid="{00000000-0005-0000-0000-0000FDB30000}"/>
    <cellStyle name="Normal 6 4 8 2 5" xfId="41971" xr:uid="{00000000-0005-0000-0000-0000FEB30000}"/>
    <cellStyle name="Normal 6 4 8 3" xfId="13794" xr:uid="{00000000-0005-0000-0000-0000FFB30000}"/>
    <cellStyle name="Normal 6 4 8 3 2" xfId="37279" xr:uid="{00000000-0005-0000-0000-000000B40000}"/>
    <cellStyle name="Normal 6 4 8 3 3" xfId="27960" xr:uid="{00000000-0005-0000-0000-000001B40000}"/>
    <cellStyle name="Normal 6 4 8 3 4" xfId="51222" xr:uid="{00000000-0005-0000-0000-000002B40000}"/>
    <cellStyle name="Normal 6 4 8 4" xfId="18525" xr:uid="{00000000-0005-0000-0000-000003B40000}"/>
    <cellStyle name="Normal 6 4 8 4 2" xfId="32657" xr:uid="{00000000-0005-0000-0000-000004B40000}"/>
    <cellStyle name="Normal 6 4 8 4 3" xfId="46552" xr:uid="{00000000-0005-0000-0000-000005B40000}"/>
    <cellStyle name="Normal 6 4 8 5" xfId="23338" xr:uid="{00000000-0005-0000-0000-000006B40000}"/>
    <cellStyle name="Normal 6 4 8 6" xfId="41970" xr:uid="{00000000-0005-0000-0000-000007B40000}"/>
    <cellStyle name="Normal 6 4 9" xfId="8032" xr:uid="{00000000-0005-0000-0000-000008B40000}"/>
    <cellStyle name="Normal 6 4 9 2" xfId="8033" xr:uid="{00000000-0005-0000-0000-000009B40000}"/>
    <cellStyle name="Normal 6 4 9 2 2" xfId="13797" xr:uid="{00000000-0005-0000-0000-00000AB40000}"/>
    <cellStyle name="Normal 6 4 9 2 2 2" xfId="37282" xr:uid="{00000000-0005-0000-0000-00000BB40000}"/>
    <cellStyle name="Normal 6 4 9 2 2 3" xfId="27963" xr:uid="{00000000-0005-0000-0000-00000CB40000}"/>
    <cellStyle name="Normal 6 4 9 2 2 4" xfId="51225" xr:uid="{00000000-0005-0000-0000-00000DB40000}"/>
    <cellStyle name="Normal 6 4 9 2 3" xfId="18528" xr:uid="{00000000-0005-0000-0000-00000EB40000}"/>
    <cellStyle name="Normal 6 4 9 2 3 2" xfId="32660" xr:uid="{00000000-0005-0000-0000-00000FB40000}"/>
    <cellStyle name="Normal 6 4 9 2 3 3" xfId="46555" xr:uid="{00000000-0005-0000-0000-000010B40000}"/>
    <cellStyle name="Normal 6 4 9 2 4" xfId="23341" xr:uid="{00000000-0005-0000-0000-000011B40000}"/>
    <cellStyle name="Normal 6 4 9 2 5" xfId="41973" xr:uid="{00000000-0005-0000-0000-000012B40000}"/>
    <cellStyle name="Normal 6 4 9 3" xfId="13796" xr:uid="{00000000-0005-0000-0000-000013B40000}"/>
    <cellStyle name="Normal 6 4 9 3 2" xfId="37281" xr:uid="{00000000-0005-0000-0000-000014B40000}"/>
    <cellStyle name="Normal 6 4 9 3 3" xfId="27962" xr:uid="{00000000-0005-0000-0000-000015B40000}"/>
    <cellStyle name="Normal 6 4 9 3 4" xfId="51224" xr:uid="{00000000-0005-0000-0000-000016B40000}"/>
    <cellStyle name="Normal 6 4 9 4" xfId="18527" xr:uid="{00000000-0005-0000-0000-000017B40000}"/>
    <cellStyle name="Normal 6 4 9 4 2" xfId="32659" xr:uid="{00000000-0005-0000-0000-000018B40000}"/>
    <cellStyle name="Normal 6 4 9 4 3" xfId="46554" xr:uid="{00000000-0005-0000-0000-000019B40000}"/>
    <cellStyle name="Normal 6 4 9 5" xfId="23340" xr:uid="{00000000-0005-0000-0000-00001AB40000}"/>
    <cellStyle name="Normal 6 4 9 6" xfId="41972" xr:uid="{00000000-0005-0000-0000-00001BB40000}"/>
    <cellStyle name="Normal 6 40" xfId="8034" xr:uid="{00000000-0005-0000-0000-00001CB40000}"/>
    <cellStyle name="Normal 6 40 2" xfId="8035" xr:uid="{00000000-0005-0000-0000-00001DB40000}"/>
    <cellStyle name="Normal 6 40 2 2" xfId="13799" xr:uid="{00000000-0005-0000-0000-00001EB40000}"/>
    <cellStyle name="Normal 6 40 2 2 2" xfId="37284" xr:uid="{00000000-0005-0000-0000-00001FB40000}"/>
    <cellStyle name="Normal 6 40 2 2 3" xfId="27965" xr:uid="{00000000-0005-0000-0000-000020B40000}"/>
    <cellStyle name="Normal 6 40 2 2 4" xfId="51227" xr:uid="{00000000-0005-0000-0000-000021B40000}"/>
    <cellStyle name="Normal 6 40 2 3" xfId="18530" xr:uid="{00000000-0005-0000-0000-000022B40000}"/>
    <cellStyle name="Normal 6 40 2 3 2" xfId="32662" xr:uid="{00000000-0005-0000-0000-000023B40000}"/>
    <cellStyle name="Normal 6 40 2 3 3" xfId="46557" xr:uid="{00000000-0005-0000-0000-000024B40000}"/>
    <cellStyle name="Normal 6 40 2 4" xfId="23343" xr:uid="{00000000-0005-0000-0000-000025B40000}"/>
    <cellStyle name="Normal 6 40 2 5" xfId="41975" xr:uid="{00000000-0005-0000-0000-000026B40000}"/>
    <cellStyle name="Normal 6 40 3" xfId="13798" xr:uid="{00000000-0005-0000-0000-000027B40000}"/>
    <cellStyle name="Normal 6 40 3 2" xfId="37283" xr:uid="{00000000-0005-0000-0000-000028B40000}"/>
    <cellStyle name="Normal 6 40 3 3" xfId="27964" xr:uid="{00000000-0005-0000-0000-000029B40000}"/>
    <cellStyle name="Normal 6 40 3 4" xfId="51226" xr:uid="{00000000-0005-0000-0000-00002AB40000}"/>
    <cellStyle name="Normal 6 40 4" xfId="18529" xr:uid="{00000000-0005-0000-0000-00002BB40000}"/>
    <cellStyle name="Normal 6 40 4 2" xfId="32661" xr:uid="{00000000-0005-0000-0000-00002CB40000}"/>
    <cellStyle name="Normal 6 40 4 3" xfId="46556" xr:uid="{00000000-0005-0000-0000-00002DB40000}"/>
    <cellStyle name="Normal 6 40 5" xfId="23342" xr:uid="{00000000-0005-0000-0000-00002EB40000}"/>
    <cellStyle name="Normal 6 40 6" xfId="41974" xr:uid="{00000000-0005-0000-0000-00002FB40000}"/>
    <cellStyle name="Normal 6 41" xfId="8036" xr:uid="{00000000-0005-0000-0000-000030B40000}"/>
    <cellStyle name="Normal 6 41 2" xfId="8037" xr:uid="{00000000-0005-0000-0000-000031B40000}"/>
    <cellStyle name="Normal 6 41 2 2" xfId="13801" xr:uid="{00000000-0005-0000-0000-000032B40000}"/>
    <cellStyle name="Normal 6 41 2 2 2" xfId="37286" xr:uid="{00000000-0005-0000-0000-000033B40000}"/>
    <cellStyle name="Normal 6 41 2 2 3" xfId="27967" xr:uid="{00000000-0005-0000-0000-000034B40000}"/>
    <cellStyle name="Normal 6 41 2 2 4" xfId="51229" xr:uid="{00000000-0005-0000-0000-000035B40000}"/>
    <cellStyle name="Normal 6 41 2 3" xfId="18532" xr:uid="{00000000-0005-0000-0000-000036B40000}"/>
    <cellStyle name="Normal 6 41 2 3 2" xfId="32664" xr:uid="{00000000-0005-0000-0000-000037B40000}"/>
    <cellStyle name="Normal 6 41 2 3 3" xfId="46559" xr:uid="{00000000-0005-0000-0000-000038B40000}"/>
    <cellStyle name="Normal 6 41 2 4" xfId="23345" xr:uid="{00000000-0005-0000-0000-000039B40000}"/>
    <cellStyle name="Normal 6 41 2 5" xfId="41977" xr:uid="{00000000-0005-0000-0000-00003AB40000}"/>
    <cellStyle name="Normal 6 41 3" xfId="13800" xr:uid="{00000000-0005-0000-0000-00003BB40000}"/>
    <cellStyle name="Normal 6 41 3 2" xfId="37285" xr:uid="{00000000-0005-0000-0000-00003CB40000}"/>
    <cellStyle name="Normal 6 41 3 3" xfId="27966" xr:uid="{00000000-0005-0000-0000-00003DB40000}"/>
    <cellStyle name="Normal 6 41 3 4" xfId="51228" xr:uid="{00000000-0005-0000-0000-00003EB40000}"/>
    <cellStyle name="Normal 6 41 4" xfId="18531" xr:uid="{00000000-0005-0000-0000-00003FB40000}"/>
    <cellStyle name="Normal 6 41 4 2" xfId="32663" xr:uid="{00000000-0005-0000-0000-000040B40000}"/>
    <cellStyle name="Normal 6 41 4 3" xfId="46558" xr:uid="{00000000-0005-0000-0000-000041B40000}"/>
    <cellStyle name="Normal 6 41 5" xfId="23344" xr:uid="{00000000-0005-0000-0000-000042B40000}"/>
    <cellStyle name="Normal 6 41 6" xfId="41976" xr:uid="{00000000-0005-0000-0000-000043B40000}"/>
    <cellStyle name="Normal 6 42" xfId="8038" xr:uid="{00000000-0005-0000-0000-000044B40000}"/>
    <cellStyle name="Normal 6 42 2" xfId="8039" xr:uid="{00000000-0005-0000-0000-000045B40000}"/>
    <cellStyle name="Normal 6 42 2 2" xfId="13803" xr:uid="{00000000-0005-0000-0000-000046B40000}"/>
    <cellStyle name="Normal 6 42 2 2 2" xfId="37288" xr:uid="{00000000-0005-0000-0000-000047B40000}"/>
    <cellStyle name="Normal 6 42 2 2 3" xfId="27969" xr:uid="{00000000-0005-0000-0000-000048B40000}"/>
    <cellStyle name="Normal 6 42 2 2 4" xfId="51231" xr:uid="{00000000-0005-0000-0000-000049B40000}"/>
    <cellStyle name="Normal 6 42 2 3" xfId="18534" xr:uid="{00000000-0005-0000-0000-00004AB40000}"/>
    <cellStyle name="Normal 6 42 2 3 2" xfId="32666" xr:uid="{00000000-0005-0000-0000-00004BB40000}"/>
    <cellStyle name="Normal 6 42 2 3 3" xfId="46561" xr:uid="{00000000-0005-0000-0000-00004CB40000}"/>
    <cellStyle name="Normal 6 42 2 4" xfId="23347" xr:uid="{00000000-0005-0000-0000-00004DB40000}"/>
    <cellStyle name="Normal 6 42 2 5" xfId="41979" xr:uid="{00000000-0005-0000-0000-00004EB40000}"/>
    <cellStyle name="Normal 6 42 3" xfId="13802" xr:uid="{00000000-0005-0000-0000-00004FB40000}"/>
    <cellStyle name="Normal 6 42 3 2" xfId="37287" xr:uid="{00000000-0005-0000-0000-000050B40000}"/>
    <cellStyle name="Normal 6 42 3 3" xfId="27968" xr:uid="{00000000-0005-0000-0000-000051B40000}"/>
    <cellStyle name="Normal 6 42 3 4" xfId="51230" xr:uid="{00000000-0005-0000-0000-000052B40000}"/>
    <cellStyle name="Normal 6 42 4" xfId="18533" xr:uid="{00000000-0005-0000-0000-000053B40000}"/>
    <cellStyle name="Normal 6 42 4 2" xfId="32665" xr:uid="{00000000-0005-0000-0000-000054B40000}"/>
    <cellStyle name="Normal 6 42 4 3" xfId="46560" xr:uid="{00000000-0005-0000-0000-000055B40000}"/>
    <cellStyle name="Normal 6 42 5" xfId="23346" xr:uid="{00000000-0005-0000-0000-000056B40000}"/>
    <cellStyle name="Normal 6 42 6" xfId="41978" xr:uid="{00000000-0005-0000-0000-000057B40000}"/>
    <cellStyle name="Normal 6 43" xfId="8040" xr:uid="{00000000-0005-0000-0000-000058B40000}"/>
    <cellStyle name="Normal 6 43 2" xfId="8041" xr:uid="{00000000-0005-0000-0000-000059B40000}"/>
    <cellStyle name="Normal 6 43 2 2" xfId="13805" xr:uid="{00000000-0005-0000-0000-00005AB40000}"/>
    <cellStyle name="Normal 6 43 2 2 2" xfId="37290" xr:uid="{00000000-0005-0000-0000-00005BB40000}"/>
    <cellStyle name="Normal 6 43 2 2 3" xfId="27971" xr:uid="{00000000-0005-0000-0000-00005CB40000}"/>
    <cellStyle name="Normal 6 43 2 2 4" xfId="51233" xr:uid="{00000000-0005-0000-0000-00005DB40000}"/>
    <cellStyle name="Normal 6 43 2 3" xfId="18536" xr:uid="{00000000-0005-0000-0000-00005EB40000}"/>
    <cellStyle name="Normal 6 43 2 3 2" xfId="32668" xr:uid="{00000000-0005-0000-0000-00005FB40000}"/>
    <cellStyle name="Normal 6 43 2 3 3" xfId="46563" xr:uid="{00000000-0005-0000-0000-000060B40000}"/>
    <cellStyle name="Normal 6 43 2 4" xfId="23349" xr:uid="{00000000-0005-0000-0000-000061B40000}"/>
    <cellStyle name="Normal 6 43 2 5" xfId="41981" xr:uid="{00000000-0005-0000-0000-000062B40000}"/>
    <cellStyle name="Normal 6 43 3" xfId="13804" xr:uid="{00000000-0005-0000-0000-000063B40000}"/>
    <cellStyle name="Normal 6 43 3 2" xfId="37289" xr:uid="{00000000-0005-0000-0000-000064B40000}"/>
    <cellStyle name="Normal 6 43 3 3" xfId="27970" xr:uid="{00000000-0005-0000-0000-000065B40000}"/>
    <cellStyle name="Normal 6 43 3 4" xfId="51232" xr:uid="{00000000-0005-0000-0000-000066B40000}"/>
    <cellStyle name="Normal 6 43 4" xfId="18535" xr:uid="{00000000-0005-0000-0000-000067B40000}"/>
    <cellStyle name="Normal 6 43 4 2" xfId="32667" xr:uid="{00000000-0005-0000-0000-000068B40000}"/>
    <cellStyle name="Normal 6 43 4 3" xfId="46562" xr:uid="{00000000-0005-0000-0000-000069B40000}"/>
    <cellStyle name="Normal 6 43 5" xfId="23348" xr:uid="{00000000-0005-0000-0000-00006AB40000}"/>
    <cellStyle name="Normal 6 43 6" xfId="41980" xr:uid="{00000000-0005-0000-0000-00006BB40000}"/>
    <cellStyle name="Normal 6 44" xfId="8042" xr:uid="{00000000-0005-0000-0000-00006CB40000}"/>
    <cellStyle name="Normal 6 44 2" xfId="8043" xr:uid="{00000000-0005-0000-0000-00006DB40000}"/>
    <cellStyle name="Normal 6 44 2 2" xfId="13807" xr:uid="{00000000-0005-0000-0000-00006EB40000}"/>
    <cellStyle name="Normal 6 44 2 2 2" xfId="37292" xr:uid="{00000000-0005-0000-0000-00006FB40000}"/>
    <cellStyle name="Normal 6 44 2 2 3" xfId="27973" xr:uid="{00000000-0005-0000-0000-000070B40000}"/>
    <cellStyle name="Normal 6 44 2 2 4" xfId="51235" xr:uid="{00000000-0005-0000-0000-000071B40000}"/>
    <cellStyle name="Normal 6 44 2 3" xfId="18538" xr:uid="{00000000-0005-0000-0000-000072B40000}"/>
    <cellStyle name="Normal 6 44 2 3 2" xfId="32670" xr:uid="{00000000-0005-0000-0000-000073B40000}"/>
    <cellStyle name="Normal 6 44 2 3 3" xfId="46565" xr:uid="{00000000-0005-0000-0000-000074B40000}"/>
    <cellStyle name="Normal 6 44 2 4" xfId="23351" xr:uid="{00000000-0005-0000-0000-000075B40000}"/>
    <cellStyle name="Normal 6 44 2 5" xfId="41983" xr:uid="{00000000-0005-0000-0000-000076B40000}"/>
    <cellStyle name="Normal 6 44 3" xfId="13806" xr:uid="{00000000-0005-0000-0000-000077B40000}"/>
    <cellStyle name="Normal 6 44 3 2" xfId="37291" xr:uid="{00000000-0005-0000-0000-000078B40000}"/>
    <cellStyle name="Normal 6 44 3 3" xfId="27972" xr:uid="{00000000-0005-0000-0000-000079B40000}"/>
    <cellStyle name="Normal 6 44 3 4" xfId="51234" xr:uid="{00000000-0005-0000-0000-00007AB40000}"/>
    <cellStyle name="Normal 6 44 4" xfId="18537" xr:uid="{00000000-0005-0000-0000-00007BB40000}"/>
    <cellStyle name="Normal 6 44 4 2" xfId="32669" xr:uid="{00000000-0005-0000-0000-00007CB40000}"/>
    <cellStyle name="Normal 6 44 4 3" xfId="46564" xr:uid="{00000000-0005-0000-0000-00007DB40000}"/>
    <cellStyle name="Normal 6 44 5" xfId="23350" xr:uid="{00000000-0005-0000-0000-00007EB40000}"/>
    <cellStyle name="Normal 6 44 6" xfId="41982" xr:uid="{00000000-0005-0000-0000-00007FB40000}"/>
    <cellStyle name="Normal 6 45" xfId="8044" xr:uid="{00000000-0005-0000-0000-000080B40000}"/>
    <cellStyle name="Normal 6 45 2" xfId="8045" xr:uid="{00000000-0005-0000-0000-000081B40000}"/>
    <cellStyle name="Normal 6 45 2 2" xfId="13809" xr:uid="{00000000-0005-0000-0000-000082B40000}"/>
    <cellStyle name="Normal 6 45 2 2 2" xfId="37294" xr:uid="{00000000-0005-0000-0000-000083B40000}"/>
    <cellStyle name="Normal 6 45 2 2 3" xfId="27975" xr:uid="{00000000-0005-0000-0000-000084B40000}"/>
    <cellStyle name="Normal 6 45 2 2 4" xfId="51237" xr:uid="{00000000-0005-0000-0000-000085B40000}"/>
    <cellStyle name="Normal 6 45 2 3" xfId="18540" xr:uid="{00000000-0005-0000-0000-000086B40000}"/>
    <cellStyle name="Normal 6 45 2 3 2" xfId="32672" xr:uid="{00000000-0005-0000-0000-000087B40000}"/>
    <cellStyle name="Normal 6 45 2 3 3" xfId="46567" xr:uid="{00000000-0005-0000-0000-000088B40000}"/>
    <cellStyle name="Normal 6 45 2 4" xfId="23353" xr:uid="{00000000-0005-0000-0000-000089B40000}"/>
    <cellStyle name="Normal 6 45 2 5" xfId="41985" xr:uid="{00000000-0005-0000-0000-00008AB40000}"/>
    <cellStyle name="Normal 6 45 3" xfId="13808" xr:uid="{00000000-0005-0000-0000-00008BB40000}"/>
    <cellStyle name="Normal 6 45 3 2" xfId="37293" xr:uid="{00000000-0005-0000-0000-00008CB40000}"/>
    <cellStyle name="Normal 6 45 3 3" xfId="27974" xr:uid="{00000000-0005-0000-0000-00008DB40000}"/>
    <cellStyle name="Normal 6 45 3 4" xfId="51236" xr:uid="{00000000-0005-0000-0000-00008EB40000}"/>
    <cellStyle name="Normal 6 45 4" xfId="18539" xr:uid="{00000000-0005-0000-0000-00008FB40000}"/>
    <cellStyle name="Normal 6 45 4 2" xfId="32671" xr:uid="{00000000-0005-0000-0000-000090B40000}"/>
    <cellStyle name="Normal 6 45 4 3" xfId="46566" xr:uid="{00000000-0005-0000-0000-000091B40000}"/>
    <cellStyle name="Normal 6 45 5" xfId="23352" xr:uid="{00000000-0005-0000-0000-000092B40000}"/>
    <cellStyle name="Normal 6 45 6" xfId="41984" xr:uid="{00000000-0005-0000-0000-000093B40000}"/>
    <cellStyle name="Normal 6 46" xfId="8046" xr:uid="{00000000-0005-0000-0000-000094B40000}"/>
    <cellStyle name="Normal 6 46 2" xfId="8047" xr:uid="{00000000-0005-0000-0000-000095B40000}"/>
    <cellStyle name="Normal 6 46 2 2" xfId="13811" xr:uid="{00000000-0005-0000-0000-000096B40000}"/>
    <cellStyle name="Normal 6 46 2 2 2" xfId="37296" xr:uid="{00000000-0005-0000-0000-000097B40000}"/>
    <cellStyle name="Normal 6 46 2 2 3" xfId="27977" xr:uid="{00000000-0005-0000-0000-000098B40000}"/>
    <cellStyle name="Normal 6 46 2 2 4" xfId="51239" xr:uid="{00000000-0005-0000-0000-000099B40000}"/>
    <cellStyle name="Normal 6 46 2 3" xfId="18542" xr:uid="{00000000-0005-0000-0000-00009AB40000}"/>
    <cellStyle name="Normal 6 46 2 3 2" xfId="32674" xr:uid="{00000000-0005-0000-0000-00009BB40000}"/>
    <cellStyle name="Normal 6 46 2 3 3" xfId="46569" xr:uid="{00000000-0005-0000-0000-00009CB40000}"/>
    <cellStyle name="Normal 6 46 2 4" xfId="23355" xr:uid="{00000000-0005-0000-0000-00009DB40000}"/>
    <cellStyle name="Normal 6 46 2 5" xfId="41987" xr:uid="{00000000-0005-0000-0000-00009EB40000}"/>
    <cellStyle name="Normal 6 46 3" xfId="13810" xr:uid="{00000000-0005-0000-0000-00009FB40000}"/>
    <cellStyle name="Normal 6 46 3 2" xfId="37295" xr:uid="{00000000-0005-0000-0000-0000A0B40000}"/>
    <cellStyle name="Normal 6 46 3 3" xfId="27976" xr:uid="{00000000-0005-0000-0000-0000A1B40000}"/>
    <cellStyle name="Normal 6 46 3 4" xfId="51238" xr:uid="{00000000-0005-0000-0000-0000A2B40000}"/>
    <cellStyle name="Normal 6 46 4" xfId="18541" xr:uid="{00000000-0005-0000-0000-0000A3B40000}"/>
    <cellStyle name="Normal 6 46 4 2" xfId="32673" xr:uid="{00000000-0005-0000-0000-0000A4B40000}"/>
    <cellStyle name="Normal 6 46 4 3" xfId="46568" xr:uid="{00000000-0005-0000-0000-0000A5B40000}"/>
    <cellStyle name="Normal 6 46 5" xfId="23354" xr:uid="{00000000-0005-0000-0000-0000A6B40000}"/>
    <cellStyle name="Normal 6 46 6" xfId="41986" xr:uid="{00000000-0005-0000-0000-0000A7B40000}"/>
    <cellStyle name="Normal 6 47" xfId="8048" xr:uid="{00000000-0005-0000-0000-0000A8B40000}"/>
    <cellStyle name="Normal 6 47 2" xfId="8049" xr:uid="{00000000-0005-0000-0000-0000A9B40000}"/>
    <cellStyle name="Normal 6 47 2 2" xfId="13813" xr:uid="{00000000-0005-0000-0000-0000AAB40000}"/>
    <cellStyle name="Normal 6 47 2 2 2" xfId="37298" xr:uid="{00000000-0005-0000-0000-0000ABB40000}"/>
    <cellStyle name="Normal 6 47 2 2 3" xfId="27979" xr:uid="{00000000-0005-0000-0000-0000ACB40000}"/>
    <cellStyle name="Normal 6 47 2 2 4" xfId="51241" xr:uid="{00000000-0005-0000-0000-0000ADB40000}"/>
    <cellStyle name="Normal 6 47 2 3" xfId="18544" xr:uid="{00000000-0005-0000-0000-0000AEB40000}"/>
    <cellStyle name="Normal 6 47 2 3 2" xfId="32676" xr:uid="{00000000-0005-0000-0000-0000AFB40000}"/>
    <cellStyle name="Normal 6 47 2 3 3" xfId="46571" xr:uid="{00000000-0005-0000-0000-0000B0B40000}"/>
    <cellStyle name="Normal 6 47 2 4" xfId="23357" xr:uid="{00000000-0005-0000-0000-0000B1B40000}"/>
    <cellStyle name="Normal 6 47 2 5" xfId="41989" xr:uid="{00000000-0005-0000-0000-0000B2B40000}"/>
    <cellStyle name="Normal 6 47 3" xfId="13812" xr:uid="{00000000-0005-0000-0000-0000B3B40000}"/>
    <cellStyle name="Normal 6 47 3 2" xfId="37297" xr:uid="{00000000-0005-0000-0000-0000B4B40000}"/>
    <cellStyle name="Normal 6 47 3 3" xfId="27978" xr:uid="{00000000-0005-0000-0000-0000B5B40000}"/>
    <cellStyle name="Normal 6 47 3 4" xfId="51240" xr:uid="{00000000-0005-0000-0000-0000B6B40000}"/>
    <cellStyle name="Normal 6 47 4" xfId="18543" xr:uid="{00000000-0005-0000-0000-0000B7B40000}"/>
    <cellStyle name="Normal 6 47 4 2" xfId="32675" xr:uid="{00000000-0005-0000-0000-0000B8B40000}"/>
    <cellStyle name="Normal 6 47 4 3" xfId="46570" xr:uid="{00000000-0005-0000-0000-0000B9B40000}"/>
    <cellStyle name="Normal 6 47 5" xfId="23356" xr:uid="{00000000-0005-0000-0000-0000BAB40000}"/>
    <cellStyle name="Normal 6 47 6" xfId="41988" xr:uid="{00000000-0005-0000-0000-0000BBB40000}"/>
    <cellStyle name="Normal 6 48" xfId="8050" xr:uid="{00000000-0005-0000-0000-0000BCB40000}"/>
    <cellStyle name="Normal 6 48 2" xfId="8051" xr:uid="{00000000-0005-0000-0000-0000BDB40000}"/>
    <cellStyle name="Normal 6 48 2 2" xfId="13815" xr:uid="{00000000-0005-0000-0000-0000BEB40000}"/>
    <cellStyle name="Normal 6 48 2 2 2" xfId="37300" xr:uid="{00000000-0005-0000-0000-0000BFB40000}"/>
    <cellStyle name="Normal 6 48 2 2 3" xfId="27981" xr:uid="{00000000-0005-0000-0000-0000C0B40000}"/>
    <cellStyle name="Normal 6 48 2 2 4" xfId="51243" xr:uid="{00000000-0005-0000-0000-0000C1B40000}"/>
    <cellStyle name="Normal 6 48 2 3" xfId="18546" xr:uid="{00000000-0005-0000-0000-0000C2B40000}"/>
    <cellStyle name="Normal 6 48 2 3 2" xfId="32678" xr:uid="{00000000-0005-0000-0000-0000C3B40000}"/>
    <cellStyle name="Normal 6 48 2 3 3" xfId="46573" xr:uid="{00000000-0005-0000-0000-0000C4B40000}"/>
    <cellStyle name="Normal 6 48 2 4" xfId="23359" xr:uid="{00000000-0005-0000-0000-0000C5B40000}"/>
    <cellStyle name="Normal 6 48 2 5" xfId="41991" xr:uid="{00000000-0005-0000-0000-0000C6B40000}"/>
    <cellStyle name="Normal 6 48 3" xfId="13814" xr:uid="{00000000-0005-0000-0000-0000C7B40000}"/>
    <cellStyle name="Normal 6 48 3 2" xfId="37299" xr:uid="{00000000-0005-0000-0000-0000C8B40000}"/>
    <cellStyle name="Normal 6 48 3 3" xfId="27980" xr:uid="{00000000-0005-0000-0000-0000C9B40000}"/>
    <cellStyle name="Normal 6 48 3 4" xfId="51242" xr:uid="{00000000-0005-0000-0000-0000CAB40000}"/>
    <cellStyle name="Normal 6 48 4" xfId="18545" xr:uid="{00000000-0005-0000-0000-0000CBB40000}"/>
    <cellStyle name="Normal 6 48 4 2" xfId="32677" xr:uid="{00000000-0005-0000-0000-0000CCB40000}"/>
    <cellStyle name="Normal 6 48 4 3" xfId="46572" xr:uid="{00000000-0005-0000-0000-0000CDB40000}"/>
    <cellStyle name="Normal 6 48 5" xfId="23358" xr:uid="{00000000-0005-0000-0000-0000CEB40000}"/>
    <cellStyle name="Normal 6 48 6" xfId="41990" xr:uid="{00000000-0005-0000-0000-0000CFB40000}"/>
    <cellStyle name="Normal 6 49" xfId="8052" xr:uid="{00000000-0005-0000-0000-0000D0B40000}"/>
    <cellStyle name="Normal 6 49 2" xfId="8053" xr:uid="{00000000-0005-0000-0000-0000D1B40000}"/>
    <cellStyle name="Normal 6 49 2 2" xfId="13817" xr:uid="{00000000-0005-0000-0000-0000D2B40000}"/>
    <cellStyle name="Normal 6 49 2 2 2" xfId="37302" xr:uid="{00000000-0005-0000-0000-0000D3B40000}"/>
    <cellStyle name="Normal 6 49 2 2 3" xfId="27983" xr:uid="{00000000-0005-0000-0000-0000D4B40000}"/>
    <cellStyle name="Normal 6 49 2 2 4" xfId="51245" xr:uid="{00000000-0005-0000-0000-0000D5B40000}"/>
    <cellStyle name="Normal 6 49 2 3" xfId="18548" xr:uid="{00000000-0005-0000-0000-0000D6B40000}"/>
    <cellStyle name="Normal 6 49 2 3 2" xfId="32680" xr:uid="{00000000-0005-0000-0000-0000D7B40000}"/>
    <cellStyle name="Normal 6 49 2 3 3" xfId="46575" xr:uid="{00000000-0005-0000-0000-0000D8B40000}"/>
    <cellStyle name="Normal 6 49 2 4" xfId="23361" xr:uid="{00000000-0005-0000-0000-0000D9B40000}"/>
    <cellStyle name="Normal 6 49 2 5" xfId="41993" xr:uid="{00000000-0005-0000-0000-0000DAB40000}"/>
    <cellStyle name="Normal 6 49 3" xfId="13816" xr:uid="{00000000-0005-0000-0000-0000DBB40000}"/>
    <cellStyle name="Normal 6 49 3 2" xfId="37301" xr:uid="{00000000-0005-0000-0000-0000DCB40000}"/>
    <cellStyle name="Normal 6 49 3 3" xfId="27982" xr:uid="{00000000-0005-0000-0000-0000DDB40000}"/>
    <cellStyle name="Normal 6 49 3 4" xfId="51244" xr:uid="{00000000-0005-0000-0000-0000DEB40000}"/>
    <cellStyle name="Normal 6 49 4" xfId="18547" xr:uid="{00000000-0005-0000-0000-0000DFB40000}"/>
    <cellStyle name="Normal 6 49 4 2" xfId="32679" xr:uid="{00000000-0005-0000-0000-0000E0B40000}"/>
    <cellStyle name="Normal 6 49 4 3" xfId="46574" xr:uid="{00000000-0005-0000-0000-0000E1B40000}"/>
    <cellStyle name="Normal 6 49 5" xfId="23360" xr:uid="{00000000-0005-0000-0000-0000E2B40000}"/>
    <cellStyle name="Normal 6 49 6" xfId="41992" xr:uid="{00000000-0005-0000-0000-0000E3B40000}"/>
    <cellStyle name="Normal 6 5" xfId="8054" xr:uid="{00000000-0005-0000-0000-0000E4B40000}"/>
    <cellStyle name="Normal 6 5 10" xfId="8055" xr:uid="{00000000-0005-0000-0000-0000E5B40000}"/>
    <cellStyle name="Normal 6 5 10 2" xfId="8056" xr:uid="{00000000-0005-0000-0000-0000E6B40000}"/>
    <cellStyle name="Normal 6 5 10 2 2" xfId="13820" xr:uid="{00000000-0005-0000-0000-0000E7B40000}"/>
    <cellStyle name="Normal 6 5 10 2 2 2" xfId="37305" xr:uid="{00000000-0005-0000-0000-0000E8B40000}"/>
    <cellStyle name="Normal 6 5 10 2 2 3" xfId="27986" xr:uid="{00000000-0005-0000-0000-0000E9B40000}"/>
    <cellStyle name="Normal 6 5 10 2 2 4" xfId="51248" xr:uid="{00000000-0005-0000-0000-0000EAB40000}"/>
    <cellStyle name="Normal 6 5 10 2 3" xfId="18551" xr:uid="{00000000-0005-0000-0000-0000EBB40000}"/>
    <cellStyle name="Normal 6 5 10 2 3 2" xfId="32683" xr:uid="{00000000-0005-0000-0000-0000ECB40000}"/>
    <cellStyle name="Normal 6 5 10 2 3 3" xfId="46578" xr:uid="{00000000-0005-0000-0000-0000EDB40000}"/>
    <cellStyle name="Normal 6 5 10 2 4" xfId="23364" xr:uid="{00000000-0005-0000-0000-0000EEB40000}"/>
    <cellStyle name="Normal 6 5 10 2 5" xfId="41996" xr:uid="{00000000-0005-0000-0000-0000EFB40000}"/>
    <cellStyle name="Normal 6 5 10 3" xfId="13819" xr:uid="{00000000-0005-0000-0000-0000F0B40000}"/>
    <cellStyle name="Normal 6 5 10 3 2" xfId="37304" xr:uid="{00000000-0005-0000-0000-0000F1B40000}"/>
    <cellStyle name="Normal 6 5 10 3 3" xfId="27985" xr:uid="{00000000-0005-0000-0000-0000F2B40000}"/>
    <cellStyle name="Normal 6 5 10 3 4" xfId="51247" xr:uid="{00000000-0005-0000-0000-0000F3B40000}"/>
    <cellStyle name="Normal 6 5 10 4" xfId="18550" xr:uid="{00000000-0005-0000-0000-0000F4B40000}"/>
    <cellStyle name="Normal 6 5 10 4 2" xfId="32682" xr:uid="{00000000-0005-0000-0000-0000F5B40000}"/>
    <cellStyle name="Normal 6 5 10 4 3" xfId="46577" xr:uid="{00000000-0005-0000-0000-0000F6B40000}"/>
    <cellStyle name="Normal 6 5 10 5" xfId="23363" xr:uid="{00000000-0005-0000-0000-0000F7B40000}"/>
    <cellStyle name="Normal 6 5 10 6" xfId="41995" xr:uid="{00000000-0005-0000-0000-0000F8B40000}"/>
    <cellStyle name="Normal 6 5 11" xfId="8057" xr:uid="{00000000-0005-0000-0000-0000F9B40000}"/>
    <cellStyle name="Normal 6 5 11 2" xfId="8058" xr:uid="{00000000-0005-0000-0000-0000FAB40000}"/>
    <cellStyle name="Normal 6 5 11 2 2" xfId="13822" xr:uid="{00000000-0005-0000-0000-0000FBB40000}"/>
    <cellStyle name="Normal 6 5 11 2 2 2" xfId="37307" xr:uid="{00000000-0005-0000-0000-0000FCB40000}"/>
    <cellStyle name="Normal 6 5 11 2 2 3" xfId="27988" xr:uid="{00000000-0005-0000-0000-0000FDB40000}"/>
    <cellStyle name="Normal 6 5 11 2 2 4" xfId="51250" xr:uid="{00000000-0005-0000-0000-0000FEB40000}"/>
    <cellStyle name="Normal 6 5 11 2 3" xfId="18553" xr:uid="{00000000-0005-0000-0000-0000FFB40000}"/>
    <cellStyle name="Normal 6 5 11 2 3 2" xfId="32685" xr:uid="{00000000-0005-0000-0000-000000B50000}"/>
    <cellStyle name="Normal 6 5 11 2 3 3" xfId="46580" xr:uid="{00000000-0005-0000-0000-000001B50000}"/>
    <cellStyle name="Normal 6 5 11 2 4" xfId="23366" xr:uid="{00000000-0005-0000-0000-000002B50000}"/>
    <cellStyle name="Normal 6 5 11 2 5" xfId="41998" xr:uid="{00000000-0005-0000-0000-000003B50000}"/>
    <cellStyle name="Normal 6 5 11 3" xfId="13821" xr:uid="{00000000-0005-0000-0000-000004B50000}"/>
    <cellStyle name="Normal 6 5 11 3 2" xfId="37306" xr:uid="{00000000-0005-0000-0000-000005B50000}"/>
    <cellStyle name="Normal 6 5 11 3 3" xfId="27987" xr:uid="{00000000-0005-0000-0000-000006B50000}"/>
    <cellStyle name="Normal 6 5 11 3 4" xfId="51249" xr:uid="{00000000-0005-0000-0000-000007B50000}"/>
    <cellStyle name="Normal 6 5 11 4" xfId="18552" xr:uid="{00000000-0005-0000-0000-000008B50000}"/>
    <cellStyle name="Normal 6 5 11 4 2" xfId="32684" xr:uid="{00000000-0005-0000-0000-000009B50000}"/>
    <cellStyle name="Normal 6 5 11 4 3" xfId="46579" xr:uid="{00000000-0005-0000-0000-00000AB50000}"/>
    <cellStyle name="Normal 6 5 11 5" xfId="23365" xr:uid="{00000000-0005-0000-0000-00000BB50000}"/>
    <cellStyle name="Normal 6 5 11 6" xfId="41997" xr:uid="{00000000-0005-0000-0000-00000CB50000}"/>
    <cellStyle name="Normal 6 5 12" xfId="8059" xr:uid="{00000000-0005-0000-0000-00000DB50000}"/>
    <cellStyle name="Normal 6 5 12 2" xfId="8060" xr:uid="{00000000-0005-0000-0000-00000EB50000}"/>
    <cellStyle name="Normal 6 5 12 2 2" xfId="13824" xr:uid="{00000000-0005-0000-0000-00000FB50000}"/>
    <cellStyle name="Normal 6 5 12 2 2 2" xfId="37309" xr:uid="{00000000-0005-0000-0000-000010B50000}"/>
    <cellStyle name="Normal 6 5 12 2 2 3" xfId="27990" xr:uid="{00000000-0005-0000-0000-000011B50000}"/>
    <cellStyle name="Normal 6 5 12 2 2 4" xfId="51252" xr:uid="{00000000-0005-0000-0000-000012B50000}"/>
    <cellStyle name="Normal 6 5 12 2 3" xfId="18555" xr:uid="{00000000-0005-0000-0000-000013B50000}"/>
    <cellStyle name="Normal 6 5 12 2 3 2" xfId="32687" xr:uid="{00000000-0005-0000-0000-000014B50000}"/>
    <cellStyle name="Normal 6 5 12 2 3 3" xfId="46582" xr:uid="{00000000-0005-0000-0000-000015B50000}"/>
    <cellStyle name="Normal 6 5 12 2 4" xfId="23368" xr:uid="{00000000-0005-0000-0000-000016B50000}"/>
    <cellStyle name="Normal 6 5 12 2 5" xfId="42000" xr:uid="{00000000-0005-0000-0000-000017B50000}"/>
    <cellStyle name="Normal 6 5 12 3" xfId="13823" xr:uid="{00000000-0005-0000-0000-000018B50000}"/>
    <cellStyle name="Normal 6 5 12 3 2" xfId="37308" xr:uid="{00000000-0005-0000-0000-000019B50000}"/>
    <cellStyle name="Normal 6 5 12 3 3" xfId="27989" xr:uid="{00000000-0005-0000-0000-00001AB50000}"/>
    <cellStyle name="Normal 6 5 12 3 4" xfId="51251" xr:uid="{00000000-0005-0000-0000-00001BB50000}"/>
    <cellStyle name="Normal 6 5 12 4" xfId="18554" xr:uid="{00000000-0005-0000-0000-00001CB50000}"/>
    <cellStyle name="Normal 6 5 12 4 2" xfId="32686" xr:uid="{00000000-0005-0000-0000-00001DB50000}"/>
    <cellStyle name="Normal 6 5 12 4 3" xfId="46581" xr:uid="{00000000-0005-0000-0000-00001EB50000}"/>
    <cellStyle name="Normal 6 5 12 5" xfId="23367" xr:uid="{00000000-0005-0000-0000-00001FB50000}"/>
    <cellStyle name="Normal 6 5 12 6" xfId="41999" xr:uid="{00000000-0005-0000-0000-000020B50000}"/>
    <cellStyle name="Normal 6 5 13" xfId="8061" xr:uid="{00000000-0005-0000-0000-000021B50000}"/>
    <cellStyle name="Normal 6 5 13 2" xfId="8062" xr:uid="{00000000-0005-0000-0000-000022B50000}"/>
    <cellStyle name="Normal 6 5 13 2 2" xfId="13826" xr:uid="{00000000-0005-0000-0000-000023B50000}"/>
    <cellStyle name="Normal 6 5 13 2 2 2" xfId="37311" xr:uid="{00000000-0005-0000-0000-000024B50000}"/>
    <cellStyle name="Normal 6 5 13 2 2 3" xfId="27992" xr:uid="{00000000-0005-0000-0000-000025B50000}"/>
    <cellStyle name="Normal 6 5 13 2 2 4" xfId="51254" xr:uid="{00000000-0005-0000-0000-000026B50000}"/>
    <cellStyle name="Normal 6 5 13 2 3" xfId="18557" xr:uid="{00000000-0005-0000-0000-000027B50000}"/>
    <cellStyle name="Normal 6 5 13 2 3 2" xfId="32689" xr:uid="{00000000-0005-0000-0000-000028B50000}"/>
    <cellStyle name="Normal 6 5 13 2 3 3" xfId="46584" xr:uid="{00000000-0005-0000-0000-000029B50000}"/>
    <cellStyle name="Normal 6 5 13 2 4" xfId="23370" xr:uid="{00000000-0005-0000-0000-00002AB50000}"/>
    <cellStyle name="Normal 6 5 13 2 5" xfId="42002" xr:uid="{00000000-0005-0000-0000-00002BB50000}"/>
    <cellStyle name="Normal 6 5 13 3" xfId="13825" xr:uid="{00000000-0005-0000-0000-00002CB50000}"/>
    <cellStyle name="Normal 6 5 13 3 2" xfId="37310" xr:uid="{00000000-0005-0000-0000-00002DB50000}"/>
    <cellStyle name="Normal 6 5 13 3 3" xfId="27991" xr:uid="{00000000-0005-0000-0000-00002EB50000}"/>
    <cellStyle name="Normal 6 5 13 3 4" xfId="51253" xr:uid="{00000000-0005-0000-0000-00002FB50000}"/>
    <cellStyle name="Normal 6 5 13 4" xfId="18556" xr:uid="{00000000-0005-0000-0000-000030B50000}"/>
    <cellStyle name="Normal 6 5 13 4 2" xfId="32688" xr:uid="{00000000-0005-0000-0000-000031B50000}"/>
    <cellStyle name="Normal 6 5 13 4 3" xfId="46583" xr:uid="{00000000-0005-0000-0000-000032B50000}"/>
    <cellStyle name="Normal 6 5 13 5" xfId="23369" xr:uid="{00000000-0005-0000-0000-000033B50000}"/>
    <cellStyle name="Normal 6 5 13 6" xfId="42001" xr:uid="{00000000-0005-0000-0000-000034B50000}"/>
    <cellStyle name="Normal 6 5 14" xfId="8063" xr:uid="{00000000-0005-0000-0000-000035B50000}"/>
    <cellStyle name="Normal 6 5 14 2" xfId="8064" xr:uid="{00000000-0005-0000-0000-000036B50000}"/>
    <cellStyle name="Normal 6 5 14 2 2" xfId="13828" xr:uid="{00000000-0005-0000-0000-000037B50000}"/>
    <cellStyle name="Normal 6 5 14 2 2 2" xfId="37313" xr:uid="{00000000-0005-0000-0000-000038B50000}"/>
    <cellStyle name="Normal 6 5 14 2 2 3" xfId="27994" xr:uid="{00000000-0005-0000-0000-000039B50000}"/>
    <cellStyle name="Normal 6 5 14 2 2 4" xfId="51256" xr:uid="{00000000-0005-0000-0000-00003AB50000}"/>
    <cellStyle name="Normal 6 5 14 2 3" xfId="18559" xr:uid="{00000000-0005-0000-0000-00003BB50000}"/>
    <cellStyle name="Normal 6 5 14 2 3 2" xfId="32691" xr:uid="{00000000-0005-0000-0000-00003CB50000}"/>
    <cellStyle name="Normal 6 5 14 2 3 3" xfId="46586" xr:uid="{00000000-0005-0000-0000-00003DB50000}"/>
    <cellStyle name="Normal 6 5 14 2 4" xfId="23372" xr:uid="{00000000-0005-0000-0000-00003EB50000}"/>
    <cellStyle name="Normal 6 5 14 2 5" xfId="42004" xr:uid="{00000000-0005-0000-0000-00003FB50000}"/>
    <cellStyle name="Normal 6 5 14 3" xfId="13827" xr:uid="{00000000-0005-0000-0000-000040B50000}"/>
    <cellStyle name="Normal 6 5 14 3 2" xfId="37312" xr:uid="{00000000-0005-0000-0000-000041B50000}"/>
    <cellStyle name="Normal 6 5 14 3 3" xfId="27993" xr:uid="{00000000-0005-0000-0000-000042B50000}"/>
    <cellStyle name="Normal 6 5 14 3 4" xfId="51255" xr:uid="{00000000-0005-0000-0000-000043B50000}"/>
    <cellStyle name="Normal 6 5 14 4" xfId="18558" xr:uid="{00000000-0005-0000-0000-000044B50000}"/>
    <cellStyle name="Normal 6 5 14 4 2" xfId="32690" xr:uid="{00000000-0005-0000-0000-000045B50000}"/>
    <cellStyle name="Normal 6 5 14 4 3" xfId="46585" xr:uid="{00000000-0005-0000-0000-000046B50000}"/>
    <cellStyle name="Normal 6 5 14 5" xfId="23371" xr:uid="{00000000-0005-0000-0000-000047B50000}"/>
    <cellStyle name="Normal 6 5 14 6" xfId="42003" xr:uid="{00000000-0005-0000-0000-000048B50000}"/>
    <cellStyle name="Normal 6 5 15" xfId="8065" xr:uid="{00000000-0005-0000-0000-000049B50000}"/>
    <cellStyle name="Normal 6 5 15 2" xfId="8066" xr:uid="{00000000-0005-0000-0000-00004AB50000}"/>
    <cellStyle name="Normal 6 5 15 2 2" xfId="13830" xr:uid="{00000000-0005-0000-0000-00004BB50000}"/>
    <cellStyle name="Normal 6 5 15 2 2 2" xfId="37315" xr:uid="{00000000-0005-0000-0000-00004CB50000}"/>
    <cellStyle name="Normal 6 5 15 2 2 3" xfId="27996" xr:uid="{00000000-0005-0000-0000-00004DB50000}"/>
    <cellStyle name="Normal 6 5 15 2 2 4" xfId="51258" xr:uid="{00000000-0005-0000-0000-00004EB50000}"/>
    <cellStyle name="Normal 6 5 15 2 3" xfId="18561" xr:uid="{00000000-0005-0000-0000-00004FB50000}"/>
    <cellStyle name="Normal 6 5 15 2 3 2" xfId="32693" xr:uid="{00000000-0005-0000-0000-000050B50000}"/>
    <cellStyle name="Normal 6 5 15 2 3 3" xfId="46588" xr:uid="{00000000-0005-0000-0000-000051B50000}"/>
    <cellStyle name="Normal 6 5 15 2 4" xfId="23374" xr:uid="{00000000-0005-0000-0000-000052B50000}"/>
    <cellStyle name="Normal 6 5 15 2 5" xfId="42006" xr:uid="{00000000-0005-0000-0000-000053B50000}"/>
    <cellStyle name="Normal 6 5 15 3" xfId="13829" xr:uid="{00000000-0005-0000-0000-000054B50000}"/>
    <cellStyle name="Normal 6 5 15 3 2" xfId="37314" xr:uid="{00000000-0005-0000-0000-000055B50000}"/>
    <cellStyle name="Normal 6 5 15 3 3" xfId="27995" xr:uid="{00000000-0005-0000-0000-000056B50000}"/>
    <cellStyle name="Normal 6 5 15 3 4" xfId="51257" xr:uid="{00000000-0005-0000-0000-000057B50000}"/>
    <cellStyle name="Normal 6 5 15 4" xfId="18560" xr:uid="{00000000-0005-0000-0000-000058B50000}"/>
    <cellStyle name="Normal 6 5 15 4 2" xfId="32692" xr:uid="{00000000-0005-0000-0000-000059B50000}"/>
    <cellStyle name="Normal 6 5 15 4 3" xfId="46587" xr:uid="{00000000-0005-0000-0000-00005AB50000}"/>
    <cellStyle name="Normal 6 5 15 5" xfId="23373" xr:uid="{00000000-0005-0000-0000-00005BB50000}"/>
    <cellStyle name="Normal 6 5 15 6" xfId="42005" xr:uid="{00000000-0005-0000-0000-00005CB50000}"/>
    <cellStyle name="Normal 6 5 16" xfId="8067" xr:uid="{00000000-0005-0000-0000-00005DB50000}"/>
    <cellStyle name="Normal 6 5 16 2" xfId="8068" xr:uid="{00000000-0005-0000-0000-00005EB50000}"/>
    <cellStyle name="Normal 6 5 16 2 2" xfId="13832" xr:uid="{00000000-0005-0000-0000-00005FB50000}"/>
    <cellStyle name="Normal 6 5 16 2 2 2" xfId="37317" xr:uid="{00000000-0005-0000-0000-000060B50000}"/>
    <cellStyle name="Normal 6 5 16 2 2 3" xfId="27998" xr:uid="{00000000-0005-0000-0000-000061B50000}"/>
    <cellStyle name="Normal 6 5 16 2 2 4" xfId="51260" xr:uid="{00000000-0005-0000-0000-000062B50000}"/>
    <cellStyle name="Normal 6 5 16 2 3" xfId="18563" xr:uid="{00000000-0005-0000-0000-000063B50000}"/>
    <cellStyle name="Normal 6 5 16 2 3 2" xfId="32695" xr:uid="{00000000-0005-0000-0000-000064B50000}"/>
    <cellStyle name="Normal 6 5 16 2 3 3" xfId="46590" xr:uid="{00000000-0005-0000-0000-000065B50000}"/>
    <cellStyle name="Normal 6 5 16 2 4" xfId="23376" xr:uid="{00000000-0005-0000-0000-000066B50000}"/>
    <cellStyle name="Normal 6 5 16 2 5" xfId="42008" xr:uid="{00000000-0005-0000-0000-000067B50000}"/>
    <cellStyle name="Normal 6 5 16 3" xfId="13831" xr:uid="{00000000-0005-0000-0000-000068B50000}"/>
    <cellStyle name="Normal 6 5 16 3 2" xfId="37316" xr:uid="{00000000-0005-0000-0000-000069B50000}"/>
    <cellStyle name="Normal 6 5 16 3 3" xfId="27997" xr:uid="{00000000-0005-0000-0000-00006AB50000}"/>
    <cellStyle name="Normal 6 5 16 3 4" xfId="51259" xr:uid="{00000000-0005-0000-0000-00006BB50000}"/>
    <cellStyle name="Normal 6 5 16 4" xfId="18562" xr:uid="{00000000-0005-0000-0000-00006CB50000}"/>
    <cellStyle name="Normal 6 5 16 4 2" xfId="32694" xr:uid="{00000000-0005-0000-0000-00006DB50000}"/>
    <cellStyle name="Normal 6 5 16 4 3" xfId="46589" xr:uid="{00000000-0005-0000-0000-00006EB50000}"/>
    <cellStyle name="Normal 6 5 16 5" xfId="23375" xr:uid="{00000000-0005-0000-0000-00006FB50000}"/>
    <cellStyle name="Normal 6 5 16 6" xfId="42007" xr:uid="{00000000-0005-0000-0000-000070B50000}"/>
    <cellStyle name="Normal 6 5 17" xfId="8069" xr:uid="{00000000-0005-0000-0000-000071B50000}"/>
    <cellStyle name="Normal 6 5 17 2" xfId="8070" xr:uid="{00000000-0005-0000-0000-000072B50000}"/>
    <cellStyle name="Normal 6 5 17 2 2" xfId="13834" xr:uid="{00000000-0005-0000-0000-000073B50000}"/>
    <cellStyle name="Normal 6 5 17 2 2 2" xfId="37319" xr:uid="{00000000-0005-0000-0000-000074B50000}"/>
    <cellStyle name="Normal 6 5 17 2 2 3" xfId="28000" xr:uid="{00000000-0005-0000-0000-000075B50000}"/>
    <cellStyle name="Normal 6 5 17 2 2 4" xfId="51262" xr:uid="{00000000-0005-0000-0000-000076B50000}"/>
    <cellStyle name="Normal 6 5 17 2 3" xfId="18565" xr:uid="{00000000-0005-0000-0000-000077B50000}"/>
    <cellStyle name="Normal 6 5 17 2 3 2" xfId="32697" xr:uid="{00000000-0005-0000-0000-000078B50000}"/>
    <cellStyle name="Normal 6 5 17 2 3 3" xfId="46592" xr:uid="{00000000-0005-0000-0000-000079B50000}"/>
    <cellStyle name="Normal 6 5 17 2 4" xfId="23378" xr:uid="{00000000-0005-0000-0000-00007AB50000}"/>
    <cellStyle name="Normal 6 5 17 2 5" xfId="42010" xr:uid="{00000000-0005-0000-0000-00007BB50000}"/>
    <cellStyle name="Normal 6 5 17 3" xfId="13833" xr:uid="{00000000-0005-0000-0000-00007CB50000}"/>
    <cellStyle name="Normal 6 5 17 3 2" xfId="37318" xr:uid="{00000000-0005-0000-0000-00007DB50000}"/>
    <cellStyle name="Normal 6 5 17 3 3" xfId="27999" xr:uid="{00000000-0005-0000-0000-00007EB50000}"/>
    <cellStyle name="Normal 6 5 17 3 4" xfId="51261" xr:uid="{00000000-0005-0000-0000-00007FB50000}"/>
    <cellStyle name="Normal 6 5 17 4" xfId="18564" xr:uid="{00000000-0005-0000-0000-000080B50000}"/>
    <cellStyle name="Normal 6 5 17 4 2" xfId="32696" xr:uid="{00000000-0005-0000-0000-000081B50000}"/>
    <cellStyle name="Normal 6 5 17 4 3" xfId="46591" xr:uid="{00000000-0005-0000-0000-000082B50000}"/>
    <cellStyle name="Normal 6 5 17 5" xfId="23377" xr:uid="{00000000-0005-0000-0000-000083B50000}"/>
    <cellStyle name="Normal 6 5 17 6" xfId="42009" xr:uid="{00000000-0005-0000-0000-000084B50000}"/>
    <cellStyle name="Normal 6 5 18" xfId="8071" xr:uid="{00000000-0005-0000-0000-000085B50000}"/>
    <cellStyle name="Normal 6 5 18 2" xfId="8072" xr:uid="{00000000-0005-0000-0000-000086B50000}"/>
    <cellStyle name="Normal 6 5 18 2 2" xfId="13836" xr:uid="{00000000-0005-0000-0000-000087B50000}"/>
    <cellStyle name="Normal 6 5 18 2 2 2" xfId="37321" xr:uid="{00000000-0005-0000-0000-000088B50000}"/>
    <cellStyle name="Normal 6 5 18 2 2 3" xfId="28002" xr:uid="{00000000-0005-0000-0000-000089B50000}"/>
    <cellStyle name="Normal 6 5 18 2 2 4" xfId="51264" xr:uid="{00000000-0005-0000-0000-00008AB50000}"/>
    <cellStyle name="Normal 6 5 18 2 3" xfId="18567" xr:uid="{00000000-0005-0000-0000-00008BB50000}"/>
    <cellStyle name="Normal 6 5 18 2 3 2" xfId="32699" xr:uid="{00000000-0005-0000-0000-00008CB50000}"/>
    <cellStyle name="Normal 6 5 18 2 3 3" xfId="46594" xr:uid="{00000000-0005-0000-0000-00008DB50000}"/>
    <cellStyle name="Normal 6 5 18 2 4" xfId="23380" xr:uid="{00000000-0005-0000-0000-00008EB50000}"/>
    <cellStyle name="Normal 6 5 18 2 5" xfId="42012" xr:uid="{00000000-0005-0000-0000-00008FB50000}"/>
    <cellStyle name="Normal 6 5 18 3" xfId="13835" xr:uid="{00000000-0005-0000-0000-000090B50000}"/>
    <cellStyle name="Normal 6 5 18 3 2" xfId="37320" xr:uid="{00000000-0005-0000-0000-000091B50000}"/>
    <cellStyle name="Normal 6 5 18 3 3" xfId="28001" xr:uid="{00000000-0005-0000-0000-000092B50000}"/>
    <cellStyle name="Normal 6 5 18 3 4" xfId="51263" xr:uid="{00000000-0005-0000-0000-000093B50000}"/>
    <cellStyle name="Normal 6 5 18 4" xfId="18566" xr:uid="{00000000-0005-0000-0000-000094B50000}"/>
    <cellStyle name="Normal 6 5 18 4 2" xfId="32698" xr:uid="{00000000-0005-0000-0000-000095B50000}"/>
    <cellStyle name="Normal 6 5 18 4 3" xfId="46593" xr:uid="{00000000-0005-0000-0000-000096B50000}"/>
    <cellStyle name="Normal 6 5 18 5" xfId="23379" xr:uid="{00000000-0005-0000-0000-000097B50000}"/>
    <cellStyle name="Normal 6 5 18 6" xfId="42011" xr:uid="{00000000-0005-0000-0000-000098B50000}"/>
    <cellStyle name="Normal 6 5 19" xfId="8073" xr:uid="{00000000-0005-0000-0000-000099B50000}"/>
    <cellStyle name="Normal 6 5 19 2" xfId="8074" xr:uid="{00000000-0005-0000-0000-00009AB50000}"/>
    <cellStyle name="Normal 6 5 19 2 2" xfId="13838" xr:uid="{00000000-0005-0000-0000-00009BB50000}"/>
    <cellStyle name="Normal 6 5 19 2 2 2" xfId="37323" xr:uid="{00000000-0005-0000-0000-00009CB50000}"/>
    <cellStyle name="Normal 6 5 19 2 2 3" xfId="28004" xr:uid="{00000000-0005-0000-0000-00009DB50000}"/>
    <cellStyle name="Normal 6 5 19 2 2 4" xfId="51266" xr:uid="{00000000-0005-0000-0000-00009EB50000}"/>
    <cellStyle name="Normal 6 5 19 2 3" xfId="18569" xr:uid="{00000000-0005-0000-0000-00009FB50000}"/>
    <cellStyle name="Normal 6 5 19 2 3 2" xfId="32701" xr:uid="{00000000-0005-0000-0000-0000A0B50000}"/>
    <cellStyle name="Normal 6 5 19 2 3 3" xfId="46596" xr:uid="{00000000-0005-0000-0000-0000A1B50000}"/>
    <cellStyle name="Normal 6 5 19 2 4" xfId="23382" xr:uid="{00000000-0005-0000-0000-0000A2B50000}"/>
    <cellStyle name="Normal 6 5 19 2 5" xfId="42014" xr:uid="{00000000-0005-0000-0000-0000A3B50000}"/>
    <cellStyle name="Normal 6 5 19 3" xfId="13837" xr:uid="{00000000-0005-0000-0000-0000A4B50000}"/>
    <cellStyle name="Normal 6 5 19 3 2" xfId="37322" xr:uid="{00000000-0005-0000-0000-0000A5B50000}"/>
    <cellStyle name="Normal 6 5 19 3 3" xfId="28003" xr:uid="{00000000-0005-0000-0000-0000A6B50000}"/>
    <cellStyle name="Normal 6 5 19 3 4" xfId="51265" xr:uid="{00000000-0005-0000-0000-0000A7B50000}"/>
    <cellStyle name="Normal 6 5 19 4" xfId="18568" xr:uid="{00000000-0005-0000-0000-0000A8B50000}"/>
    <cellStyle name="Normal 6 5 19 4 2" xfId="32700" xr:uid="{00000000-0005-0000-0000-0000A9B50000}"/>
    <cellStyle name="Normal 6 5 19 4 3" xfId="46595" xr:uid="{00000000-0005-0000-0000-0000AAB50000}"/>
    <cellStyle name="Normal 6 5 19 5" xfId="23381" xr:uid="{00000000-0005-0000-0000-0000ABB50000}"/>
    <cellStyle name="Normal 6 5 19 6" xfId="42013" xr:uid="{00000000-0005-0000-0000-0000ACB50000}"/>
    <cellStyle name="Normal 6 5 2" xfId="8075" xr:uid="{00000000-0005-0000-0000-0000ADB50000}"/>
    <cellStyle name="Normal 6 5 2 2" xfId="8076" xr:uid="{00000000-0005-0000-0000-0000AEB50000}"/>
    <cellStyle name="Normal 6 5 2 2 2" xfId="13840" xr:uid="{00000000-0005-0000-0000-0000AFB50000}"/>
    <cellStyle name="Normal 6 5 2 2 2 2" xfId="37325" xr:uid="{00000000-0005-0000-0000-0000B0B50000}"/>
    <cellStyle name="Normal 6 5 2 2 2 3" xfId="28006" xr:uid="{00000000-0005-0000-0000-0000B1B50000}"/>
    <cellStyle name="Normal 6 5 2 2 2 4" xfId="51268" xr:uid="{00000000-0005-0000-0000-0000B2B50000}"/>
    <cellStyle name="Normal 6 5 2 2 3" xfId="18571" xr:uid="{00000000-0005-0000-0000-0000B3B50000}"/>
    <cellStyle name="Normal 6 5 2 2 3 2" xfId="32703" xr:uid="{00000000-0005-0000-0000-0000B4B50000}"/>
    <cellStyle name="Normal 6 5 2 2 3 3" xfId="46598" xr:uid="{00000000-0005-0000-0000-0000B5B50000}"/>
    <cellStyle name="Normal 6 5 2 2 4" xfId="23384" xr:uid="{00000000-0005-0000-0000-0000B6B50000}"/>
    <cellStyle name="Normal 6 5 2 2 5" xfId="42016" xr:uid="{00000000-0005-0000-0000-0000B7B50000}"/>
    <cellStyle name="Normal 6 5 2 3" xfId="13839" xr:uid="{00000000-0005-0000-0000-0000B8B50000}"/>
    <cellStyle name="Normal 6 5 2 3 2" xfId="37324" xr:uid="{00000000-0005-0000-0000-0000B9B50000}"/>
    <cellStyle name="Normal 6 5 2 3 3" xfId="28005" xr:uid="{00000000-0005-0000-0000-0000BAB50000}"/>
    <cellStyle name="Normal 6 5 2 3 4" xfId="51267" xr:uid="{00000000-0005-0000-0000-0000BBB50000}"/>
    <cellStyle name="Normal 6 5 2 4" xfId="18570" xr:uid="{00000000-0005-0000-0000-0000BCB50000}"/>
    <cellStyle name="Normal 6 5 2 4 2" xfId="32702" xr:uid="{00000000-0005-0000-0000-0000BDB50000}"/>
    <cellStyle name="Normal 6 5 2 4 3" xfId="46597" xr:uid="{00000000-0005-0000-0000-0000BEB50000}"/>
    <cellStyle name="Normal 6 5 2 5" xfId="23383" xr:uid="{00000000-0005-0000-0000-0000BFB50000}"/>
    <cellStyle name="Normal 6 5 2 6" xfId="42015" xr:uid="{00000000-0005-0000-0000-0000C0B50000}"/>
    <cellStyle name="Normal 6 5 20" xfId="8077" xr:uid="{00000000-0005-0000-0000-0000C1B50000}"/>
    <cellStyle name="Normal 6 5 20 2" xfId="8078" xr:uid="{00000000-0005-0000-0000-0000C2B50000}"/>
    <cellStyle name="Normal 6 5 20 2 2" xfId="13842" xr:uid="{00000000-0005-0000-0000-0000C3B50000}"/>
    <cellStyle name="Normal 6 5 20 2 2 2" xfId="37327" xr:uid="{00000000-0005-0000-0000-0000C4B50000}"/>
    <cellStyle name="Normal 6 5 20 2 2 3" xfId="28008" xr:uid="{00000000-0005-0000-0000-0000C5B50000}"/>
    <cellStyle name="Normal 6 5 20 2 2 4" xfId="51270" xr:uid="{00000000-0005-0000-0000-0000C6B50000}"/>
    <cellStyle name="Normal 6 5 20 2 3" xfId="18573" xr:uid="{00000000-0005-0000-0000-0000C7B50000}"/>
    <cellStyle name="Normal 6 5 20 2 3 2" xfId="32705" xr:uid="{00000000-0005-0000-0000-0000C8B50000}"/>
    <cellStyle name="Normal 6 5 20 2 3 3" xfId="46600" xr:uid="{00000000-0005-0000-0000-0000C9B50000}"/>
    <cellStyle name="Normal 6 5 20 2 4" xfId="23386" xr:uid="{00000000-0005-0000-0000-0000CAB50000}"/>
    <cellStyle name="Normal 6 5 20 2 5" xfId="42018" xr:uid="{00000000-0005-0000-0000-0000CBB50000}"/>
    <cellStyle name="Normal 6 5 20 3" xfId="13841" xr:uid="{00000000-0005-0000-0000-0000CCB50000}"/>
    <cellStyle name="Normal 6 5 20 3 2" xfId="37326" xr:uid="{00000000-0005-0000-0000-0000CDB50000}"/>
    <cellStyle name="Normal 6 5 20 3 3" xfId="28007" xr:uid="{00000000-0005-0000-0000-0000CEB50000}"/>
    <cellStyle name="Normal 6 5 20 3 4" xfId="51269" xr:uid="{00000000-0005-0000-0000-0000CFB50000}"/>
    <cellStyle name="Normal 6 5 20 4" xfId="18572" xr:uid="{00000000-0005-0000-0000-0000D0B50000}"/>
    <cellStyle name="Normal 6 5 20 4 2" xfId="32704" xr:uid="{00000000-0005-0000-0000-0000D1B50000}"/>
    <cellStyle name="Normal 6 5 20 4 3" xfId="46599" xr:uid="{00000000-0005-0000-0000-0000D2B50000}"/>
    <cellStyle name="Normal 6 5 20 5" xfId="23385" xr:uid="{00000000-0005-0000-0000-0000D3B50000}"/>
    <cellStyle name="Normal 6 5 20 6" xfId="42017" xr:uid="{00000000-0005-0000-0000-0000D4B50000}"/>
    <cellStyle name="Normal 6 5 21" xfId="8079" xr:uid="{00000000-0005-0000-0000-0000D5B50000}"/>
    <cellStyle name="Normal 6 5 21 2" xfId="8080" xr:uid="{00000000-0005-0000-0000-0000D6B50000}"/>
    <cellStyle name="Normal 6 5 21 2 2" xfId="13844" xr:uid="{00000000-0005-0000-0000-0000D7B50000}"/>
    <cellStyle name="Normal 6 5 21 2 2 2" xfId="37329" xr:uid="{00000000-0005-0000-0000-0000D8B50000}"/>
    <cellStyle name="Normal 6 5 21 2 2 3" xfId="28010" xr:uid="{00000000-0005-0000-0000-0000D9B50000}"/>
    <cellStyle name="Normal 6 5 21 2 2 4" xfId="51272" xr:uid="{00000000-0005-0000-0000-0000DAB50000}"/>
    <cellStyle name="Normal 6 5 21 2 3" xfId="18575" xr:uid="{00000000-0005-0000-0000-0000DBB50000}"/>
    <cellStyle name="Normal 6 5 21 2 3 2" xfId="32707" xr:uid="{00000000-0005-0000-0000-0000DCB50000}"/>
    <cellStyle name="Normal 6 5 21 2 3 3" xfId="46602" xr:uid="{00000000-0005-0000-0000-0000DDB50000}"/>
    <cellStyle name="Normal 6 5 21 2 4" xfId="23388" xr:uid="{00000000-0005-0000-0000-0000DEB50000}"/>
    <cellStyle name="Normal 6 5 21 2 5" xfId="42020" xr:uid="{00000000-0005-0000-0000-0000DFB50000}"/>
    <cellStyle name="Normal 6 5 21 3" xfId="13843" xr:uid="{00000000-0005-0000-0000-0000E0B50000}"/>
    <cellStyle name="Normal 6 5 21 3 2" xfId="37328" xr:uid="{00000000-0005-0000-0000-0000E1B50000}"/>
    <cellStyle name="Normal 6 5 21 3 3" xfId="28009" xr:uid="{00000000-0005-0000-0000-0000E2B50000}"/>
    <cellStyle name="Normal 6 5 21 3 4" xfId="51271" xr:uid="{00000000-0005-0000-0000-0000E3B50000}"/>
    <cellStyle name="Normal 6 5 21 4" xfId="18574" xr:uid="{00000000-0005-0000-0000-0000E4B50000}"/>
    <cellStyle name="Normal 6 5 21 4 2" xfId="32706" xr:uid="{00000000-0005-0000-0000-0000E5B50000}"/>
    <cellStyle name="Normal 6 5 21 4 3" xfId="46601" xr:uid="{00000000-0005-0000-0000-0000E6B50000}"/>
    <cellStyle name="Normal 6 5 21 5" xfId="23387" xr:uid="{00000000-0005-0000-0000-0000E7B50000}"/>
    <cellStyle name="Normal 6 5 21 6" xfId="42019" xr:uid="{00000000-0005-0000-0000-0000E8B50000}"/>
    <cellStyle name="Normal 6 5 22" xfId="8081" xr:uid="{00000000-0005-0000-0000-0000E9B50000}"/>
    <cellStyle name="Normal 6 5 22 2" xfId="8082" xr:uid="{00000000-0005-0000-0000-0000EAB50000}"/>
    <cellStyle name="Normal 6 5 22 2 2" xfId="13846" xr:uid="{00000000-0005-0000-0000-0000EBB50000}"/>
    <cellStyle name="Normal 6 5 22 2 2 2" xfId="37331" xr:uid="{00000000-0005-0000-0000-0000ECB50000}"/>
    <cellStyle name="Normal 6 5 22 2 2 3" xfId="28012" xr:uid="{00000000-0005-0000-0000-0000EDB50000}"/>
    <cellStyle name="Normal 6 5 22 2 2 4" xfId="51274" xr:uid="{00000000-0005-0000-0000-0000EEB50000}"/>
    <cellStyle name="Normal 6 5 22 2 3" xfId="18577" xr:uid="{00000000-0005-0000-0000-0000EFB50000}"/>
    <cellStyle name="Normal 6 5 22 2 3 2" xfId="32709" xr:uid="{00000000-0005-0000-0000-0000F0B50000}"/>
    <cellStyle name="Normal 6 5 22 2 3 3" xfId="46604" xr:uid="{00000000-0005-0000-0000-0000F1B50000}"/>
    <cellStyle name="Normal 6 5 22 2 4" xfId="23390" xr:uid="{00000000-0005-0000-0000-0000F2B50000}"/>
    <cellStyle name="Normal 6 5 22 2 5" xfId="42022" xr:uid="{00000000-0005-0000-0000-0000F3B50000}"/>
    <cellStyle name="Normal 6 5 22 3" xfId="13845" xr:uid="{00000000-0005-0000-0000-0000F4B50000}"/>
    <cellStyle name="Normal 6 5 22 3 2" xfId="37330" xr:uid="{00000000-0005-0000-0000-0000F5B50000}"/>
    <cellStyle name="Normal 6 5 22 3 3" xfId="28011" xr:uid="{00000000-0005-0000-0000-0000F6B50000}"/>
    <cellStyle name="Normal 6 5 22 3 4" xfId="51273" xr:uid="{00000000-0005-0000-0000-0000F7B50000}"/>
    <cellStyle name="Normal 6 5 22 4" xfId="18576" xr:uid="{00000000-0005-0000-0000-0000F8B50000}"/>
    <cellStyle name="Normal 6 5 22 4 2" xfId="32708" xr:uid="{00000000-0005-0000-0000-0000F9B50000}"/>
    <cellStyle name="Normal 6 5 22 4 3" xfId="46603" xr:uid="{00000000-0005-0000-0000-0000FAB50000}"/>
    <cellStyle name="Normal 6 5 22 5" xfId="23389" xr:uid="{00000000-0005-0000-0000-0000FBB50000}"/>
    <cellStyle name="Normal 6 5 22 6" xfId="42021" xr:uid="{00000000-0005-0000-0000-0000FCB50000}"/>
    <cellStyle name="Normal 6 5 23" xfId="8083" xr:uid="{00000000-0005-0000-0000-0000FDB50000}"/>
    <cellStyle name="Normal 6 5 23 2" xfId="8084" xr:uid="{00000000-0005-0000-0000-0000FEB50000}"/>
    <cellStyle name="Normal 6 5 23 2 2" xfId="13848" xr:uid="{00000000-0005-0000-0000-0000FFB50000}"/>
    <cellStyle name="Normal 6 5 23 2 2 2" xfId="37333" xr:uid="{00000000-0005-0000-0000-000000B60000}"/>
    <cellStyle name="Normal 6 5 23 2 2 3" xfId="28014" xr:uid="{00000000-0005-0000-0000-000001B60000}"/>
    <cellStyle name="Normal 6 5 23 2 2 4" xfId="51276" xr:uid="{00000000-0005-0000-0000-000002B60000}"/>
    <cellStyle name="Normal 6 5 23 2 3" xfId="18579" xr:uid="{00000000-0005-0000-0000-000003B60000}"/>
    <cellStyle name="Normal 6 5 23 2 3 2" xfId="32711" xr:uid="{00000000-0005-0000-0000-000004B60000}"/>
    <cellStyle name="Normal 6 5 23 2 3 3" xfId="46606" xr:uid="{00000000-0005-0000-0000-000005B60000}"/>
    <cellStyle name="Normal 6 5 23 2 4" xfId="23392" xr:uid="{00000000-0005-0000-0000-000006B60000}"/>
    <cellStyle name="Normal 6 5 23 2 5" xfId="42024" xr:uid="{00000000-0005-0000-0000-000007B60000}"/>
    <cellStyle name="Normal 6 5 23 3" xfId="13847" xr:uid="{00000000-0005-0000-0000-000008B60000}"/>
    <cellStyle name="Normal 6 5 23 3 2" xfId="37332" xr:uid="{00000000-0005-0000-0000-000009B60000}"/>
    <cellStyle name="Normal 6 5 23 3 3" xfId="28013" xr:uid="{00000000-0005-0000-0000-00000AB60000}"/>
    <cellStyle name="Normal 6 5 23 3 4" xfId="51275" xr:uid="{00000000-0005-0000-0000-00000BB60000}"/>
    <cellStyle name="Normal 6 5 23 4" xfId="18578" xr:uid="{00000000-0005-0000-0000-00000CB60000}"/>
    <cellStyle name="Normal 6 5 23 4 2" xfId="32710" xr:uid="{00000000-0005-0000-0000-00000DB60000}"/>
    <cellStyle name="Normal 6 5 23 4 3" xfId="46605" xr:uid="{00000000-0005-0000-0000-00000EB60000}"/>
    <cellStyle name="Normal 6 5 23 5" xfId="23391" xr:uid="{00000000-0005-0000-0000-00000FB60000}"/>
    <cellStyle name="Normal 6 5 23 6" xfId="42023" xr:uid="{00000000-0005-0000-0000-000010B60000}"/>
    <cellStyle name="Normal 6 5 24" xfId="8085" xr:uid="{00000000-0005-0000-0000-000011B60000}"/>
    <cellStyle name="Normal 6 5 24 2" xfId="13849" xr:uid="{00000000-0005-0000-0000-000012B60000}"/>
    <cellStyle name="Normal 6 5 24 2 2" xfId="37334" xr:uid="{00000000-0005-0000-0000-000013B60000}"/>
    <cellStyle name="Normal 6 5 24 2 3" xfId="28015" xr:uid="{00000000-0005-0000-0000-000014B60000}"/>
    <cellStyle name="Normal 6 5 24 2 4" xfId="51277" xr:uid="{00000000-0005-0000-0000-000015B60000}"/>
    <cellStyle name="Normal 6 5 24 3" xfId="18580" xr:uid="{00000000-0005-0000-0000-000016B60000}"/>
    <cellStyle name="Normal 6 5 24 3 2" xfId="32712" xr:uid="{00000000-0005-0000-0000-000017B60000}"/>
    <cellStyle name="Normal 6 5 24 3 3" xfId="46607" xr:uid="{00000000-0005-0000-0000-000018B60000}"/>
    <cellStyle name="Normal 6 5 24 4" xfId="23393" xr:uid="{00000000-0005-0000-0000-000019B60000}"/>
    <cellStyle name="Normal 6 5 24 5" xfId="42025" xr:uid="{00000000-0005-0000-0000-00001AB60000}"/>
    <cellStyle name="Normal 6 5 25" xfId="13818" xr:uid="{00000000-0005-0000-0000-00001BB60000}"/>
    <cellStyle name="Normal 6 5 25 2" xfId="37303" xr:uid="{00000000-0005-0000-0000-00001CB60000}"/>
    <cellStyle name="Normal 6 5 25 3" xfId="27984" xr:uid="{00000000-0005-0000-0000-00001DB60000}"/>
    <cellStyle name="Normal 6 5 25 4" xfId="51246" xr:uid="{00000000-0005-0000-0000-00001EB60000}"/>
    <cellStyle name="Normal 6 5 26" xfId="18549" xr:uid="{00000000-0005-0000-0000-00001FB60000}"/>
    <cellStyle name="Normal 6 5 26 2" xfId="32681" xr:uid="{00000000-0005-0000-0000-000020B60000}"/>
    <cellStyle name="Normal 6 5 26 3" xfId="46576" xr:uid="{00000000-0005-0000-0000-000021B60000}"/>
    <cellStyle name="Normal 6 5 27" xfId="23362" xr:uid="{00000000-0005-0000-0000-000022B60000}"/>
    <cellStyle name="Normal 6 5 28" xfId="41994" xr:uid="{00000000-0005-0000-0000-000023B60000}"/>
    <cellStyle name="Normal 6 5 3" xfId="8086" xr:uid="{00000000-0005-0000-0000-000024B60000}"/>
    <cellStyle name="Normal 6 5 3 2" xfId="8087" xr:uid="{00000000-0005-0000-0000-000025B60000}"/>
    <cellStyle name="Normal 6 5 3 2 2" xfId="13851" xr:uid="{00000000-0005-0000-0000-000026B60000}"/>
    <cellStyle name="Normal 6 5 3 2 2 2" xfId="37336" xr:uid="{00000000-0005-0000-0000-000027B60000}"/>
    <cellStyle name="Normal 6 5 3 2 2 3" xfId="28017" xr:uid="{00000000-0005-0000-0000-000028B60000}"/>
    <cellStyle name="Normal 6 5 3 2 2 4" xfId="51279" xr:uid="{00000000-0005-0000-0000-000029B60000}"/>
    <cellStyle name="Normal 6 5 3 2 3" xfId="18582" xr:uid="{00000000-0005-0000-0000-00002AB60000}"/>
    <cellStyle name="Normal 6 5 3 2 3 2" xfId="32714" xr:uid="{00000000-0005-0000-0000-00002BB60000}"/>
    <cellStyle name="Normal 6 5 3 2 3 3" xfId="46609" xr:uid="{00000000-0005-0000-0000-00002CB60000}"/>
    <cellStyle name="Normal 6 5 3 2 4" xfId="23395" xr:uid="{00000000-0005-0000-0000-00002DB60000}"/>
    <cellStyle name="Normal 6 5 3 2 5" xfId="42027" xr:uid="{00000000-0005-0000-0000-00002EB60000}"/>
    <cellStyle name="Normal 6 5 3 3" xfId="13850" xr:uid="{00000000-0005-0000-0000-00002FB60000}"/>
    <cellStyle name="Normal 6 5 3 3 2" xfId="37335" xr:uid="{00000000-0005-0000-0000-000030B60000}"/>
    <cellStyle name="Normal 6 5 3 3 3" xfId="28016" xr:uid="{00000000-0005-0000-0000-000031B60000}"/>
    <cellStyle name="Normal 6 5 3 3 4" xfId="51278" xr:uid="{00000000-0005-0000-0000-000032B60000}"/>
    <cellStyle name="Normal 6 5 3 4" xfId="18581" xr:uid="{00000000-0005-0000-0000-000033B60000}"/>
    <cellStyle name="Normal 6 5 3 4 2" xfId="32713" xr:uid="{00000000-0005-0000-0000-000034B60000}"/>
    <cellStyle name="Normal 6 5 3 4 3" xfId="46608" xr:uid="{00000000-0005-0000-0000-000035B60000}"/>
    <cellStyle name="Normal 6 5 3 5" xfId="23394" xr:uid="{00000000-0005-0000-0000-000036B60000}"/>
    <cellStyle name="Normal 6 5 3 6" xfId="42026" xr:uid="{00000000-0005-0000-0000-000037B60000}"/>
    <cellStyle name="Normal 6 5 4" xfId="8088" xr:uid="{00000000-0005-0000-0000-000038B60000}"/>
    <cellStyle name="Normal 6 5 4 2" xfId="8089" xr:uid="{00000000-0005-0000-0000-000039B60000}"/>
    <cellStyle name="Normal 6 5 4 2 2" xfId="13853" xr:uid="{00000000-0005-0000-0000-00003AB60000}"/>
    <cellStyle name="Normal 6 5 4 2 2 2" xfId="37338" xr:uid="{00000000-0005-0000-0000-00003BB60000}"/>
    <cellStyle name="Normal 6 5 4 2 2 3" xfId="28019" xr:uid="{00000000-0005-0000-0000-00003CB60000}"/>
    <cellStyle name="Normal 6 5 4 2 2 4" xfId="51281" xr:uid="{00000000-0005-0000-0000-00003DB60000}"/>
    <cellStyle name="Normal 6 5 4 2 3" xfId="18584" xr:uid="{00000000-0005-0000-0000-00003EB60000}"/>
    <cellStyle name="Normal 6 5 4 2 3 2" xfId="32716" xr:uid="{00000000-0005-0000-0000-00003FB60000}"/>
    <cellStyle name="Normal 6 5 4 2 3 3" xfId="46611" xr:uid="{00000000-0005-0000-0000-000040B60000}"/>
    <cellStyle name="Normal 6 5 4 2 4" xfId="23397" xr:uid="{00000000-0005-0000-0000-000041B60000}"/>
    <cellStyle name="Normal 6 5 4 2 5" xfId="42029" xr:uid="{00000000-0005-0000-0000-000042B60000}"/>
    <cellStyle name="Normal 6 5 4 3" xfId="13852" xr:uid="{00000000-0005-0000-0000-000043B60000}"/>
    <cellStyle name="Normal 6 5 4 3 2" xfId="37337" xr:uid="{00000000-0005-0000-0000-000044B60000}"/>
    <cellStyle name="Normal 6 5 4 3 3" xfId="28018" xr:uid="{00000000-0005-0000-0000-000045B60000}"/>
    <cellStyle name="Normal 6 5 4 3 4" xfId="51280" xr:uid="{00000000-0005-0000-0000-000046B60000}"/>
    <cellStyle name="Normal 6 5 4 4" xfId="18583" xr:uid="{00000000-0005-0000-0000-000047B60000}"/>
    <cellStyle name="Normal 6 5 4 4 2" xfId="32715" xr:uid="{00000000-0005-0000-0000-000048B60000}"/>
    <cellStyle name="Normal 6 5 4 4 3" xfId="46610" xr:uid="{00000000-0005-0000-0000-000049B60000}"/>
    <cellStyle name="Normal 6 5 4 5" xfId="23396" xr:uid="{00000000-0005-0000-0000-00004AB60000}"/>
    <cellStyle name="Normal 6 5 4 6" xfId="42028" xr:uid="{00000000-0005-0000-0000-00004BB60000}"/>
    <cellStyle name="Normal 6 5 5" xfId="8090" xr:uid="{00000000-0005-0000-0000-00004CB60000}"/>
    <cellStyle name="Normal 6 5 5 2" xfId="8091" xr:uid="{00000000-0005-0000-0000-00004DB60000}"/>
    <cellStyle name="Normal 6 5 5 2 2" xfId="13855" xr:uid="{00000000-0005-0000-0000-00004EB60000}"/>
    <cellStyle name="Normal 6 5 5 2 2 2" xfId="37340" xr:uid="{00000000-0005-0000-0000-00004FB60000}"/>
    <cellStyle name="Normal 6 5 5 2 2 3" xfId="28021" xr:uid="{00000000-0005-0000-0000-000050B60000}"/>
    <cellStyle name="Normal 6 5 5 2 2 4" xfId="51283" xr:uid="{00000000-0005-0000-0000-000051B60000}"/>
    <cellStyle name="Normal 6 5 5 2 3" xfId="18586" xr:uid="{00000000-0005-0000-0000-000052B60000}"/>
    <cellStyle name="Normal 6 5 5 2 3 2" xfId="32718" xr:uid="{00000000-0005-0000-0000-000053B60000}"/>
    <cellStyle name="Normal 6 5 5 2 3 3" xfId="46613" xr:uid="{00000000-0005-0000-0000-000054B60000}"/>
    <cellStyle name="Normal 6 5 5 2 4" xfId="23399" xr:uid="{00000000-0005-0000-0000-000055B60000}"/>
    <cellStyle name="Normal 6 5 5 2 5" xfId="42031" xr:uid="{00000000-0005-0000-0000-000056B60000}"/>
    <cellStyle name="Normal 6 5 5 3" xfId="13854" xr:uid="{00000000-0005-0000-0000-000057B60000}"/>
    <cellStyle name="Normal 6 5 5 3 2" xfId="37339" xr:uid="{00000000-0005-0000-0000-000058B60000}"/>
    <cellStyle name="Normal 6 5 5 3 3" xfId="28020" xr:uid="{00000000-0005-0000-0000-000059B60000}"/>
    <cellStyle name="Normal 6 5 5 3 4" xfId="51282" xr:uid="{00000000-0005-0000-0000-00005AB60000}"/>
    <cellStyle name="Normal 6 5 5 4" xfId="18585" xr:uid="{00000000-0005-0000-0000-00005BB60000}"/>
    <cellStyle name="Normal 6 5 5 4 2" xfId="32717" xr:uid="{00000000-0005-0000-0000-00005CB60000}"/>
    <cellStyle name="Normal 6 5 5 4 3" xfId="46612" xr:uid="{00000000-0005-0000-0000-00005DB60000}"/>
    <cellStyle name="Normal 6 5 5 5" xfId="23398" xr:uid="{00000000-0005-0000-0000-00005EB60000}"/>
    <cellStyle name="Normal 6 5 5 6" xfId="42030" xr:uid="{00000000-0005-0000-0000-00005FB60000}"/>
    <cellStyle name="Normal 6 5 6" xfId="8092" xr:uid="{00000000-0005-0000-0000-000060B60000}"/>
    <cellStyle name="Normal 6 5 6 2" xfId="8093" xr:uid="{00000000-0005-0000-0000-000061B60000}"/>
    <cellStyle name="Normal 6 5 6 2 2" xfId="13857" xr:uid="{00000000-0005-0000-0000-000062B60000}"/>
    <cellStyle name="Normal 6 5 6 2 2 2" xfId="37342" xr:uid="{00000000-0005-0000-0000-000063B60000}"/>
    <cellStyle name="Normal 6 5 6 2 2 3" xfId="28023" xr:uid="{00000000-0005-0000-0000-000064B60000}"/>
    <cellStyle name="Normal 6 5 6 2 2 4" xfId="51285" xr:uid="{00000000-0005-0000-0000-000065B60000}"/>
    <cellStyle name="Normal 6 5 6 2 3" xfId="18588" xr:uid="{00000000-0005-0000-0000-000066B60000}"/>
    <cellStyle name="Normal 6 5 6 2 3 2" xfId="32720" xr:uid="{00000000-0005-0000-0000-000067B60000}"/>
    <cellStyle name="Normal 6 5 6 2 3 3" xfId="46615" xr:uid="{00000000-0005-0000-0000-000068B60000}"/>
    <cellStyle name="Normal 6 5 6 2 4" xfId="23401" xr:uid="{00000000-0005-0000-0000-000069B60000}"/>
    <cellStyle name="Normal 6 5 6 2 5" xfId="42033" xr:uid="{00000000-0005-0000-0000-00006AB60000}"/>
    <cellStyle name="Normal 6 5 6 3" xfId="13856" xr:uid="{00000000-0005-0000-0000-00006BB60000}"/>
    <cellStyle name="Normal 6 5 6 3 2" xfId="37341" xr:uid="{00000000-0005-0000-0000-00006CB60000}"/>
    <cellStyle name="Normal 6 5 6 3 3" xfId="28022" xr:uid="{00000000-0005-0000-0000-00006DB60000}"/>
    <cellStyle name="Normal 6 5 6 3 4" xfId="51284" xr:uid="{00000000-0005-0000-0000-00006EB60000}"/>
    <cellStyle name="Normal 6 5 6 4" xfId="18587" xr:uid="{00000000-0005-0000-0000-00006FB60000}"/>
    <cellStyle name="Normal 6 5 6 4 2" xfId="32719" xr:uid="{00000000-0005-0000-0000-000070B60000}"/>
    <cellStyle name="Normal 6 5 6 4 3" xfId="46614" xr:uid="{00000000-0005-0000-0000-000071B60000}"/>
    <cellStyle name="Normal 6 5 6 5" xfId="23400" xr:uid="{00000000-0005-0000-0000-000072B60000}"/>
    <cellStyle name="Normal 6 5 6 6" xfId="42032" xr:uid="{00000000-0005-0000-0000-000073B60000}"/>
    <cellStyle name="Normal 6 5 7" xfId="8094" xr:uid="{00000000-0005-0000-0000-000074B60000}"/>
    <cellStyle name="Normal 6 5 7 2" xfId="8095" xr:uid="{00000000-0005-0000-0000-000075B60000}"/>
    <cellStyle name="Normal 6 5 7 2 2" xfId="13859" xr:uid="{00000000-0005-0000-0000-000076B60000}"/>
    <cellStyle name="Normal 6 5 7 2 2 2" xfId="37344" xr:uid="{00000000-0005-0000-0000-000077B60000}"/>
    <cellStyle name="Normal 6 5 7 2 2 3" xfId="28025" xr:uid="{00000000-0005-0000-0000-000078B60000}"/>
    <cellStyle name="Normal 6 5 7 2 2 4" xfId="51287" xr:uid="{00000000-0005-0000-0000-000079B60000}"/>
    <cellStyle name="Normal 6 5 7 2 3" xfId="18590" xr:uid="{00000000-0005-0000-0000-00007AB60000}"/>
    <cellStyle name="Normal 6 5 7 2 3 2" xfId="32722" xr:uid="{00000000-0005-0000-0000-00007BB60000}"/>
    <cellStyle name="Normal 6 5 7 2 3 3" xfId="46617" xr:uid="{00000000-0005-0000-0000-00007CB60000}"/>
    <cellStyle name="Normal 6 5 7 2 4" xfId="23403" xr:uid="{00000000-0005-0000-0000-00007DB60000}"/>
    <cellStyle name="Normal 6 5 7 2 5" xfId="42035" xr:uid="{00000000-0005-0000-0000-00007EB60000}"/>
    <cellStyle name="Normal 6 5 7 3" xfId="13858" xr:uid="{00000000-0005-0000-0000-00007FB60000}"/>
    <cellStyle name="Normal 6 5 7 3 2" xfId="37343" xr:uid="{00000000-0005-0000-0000-000080B60000}"/>
    <cellStyle name="Normal 6 5 7 3 3" xfId="28024" xr:uid="{00000000-0005-0000-0000-000081B60000}"/>
    <cellStyle name="Normal 6 5 7 3 4" xfId="51286" xr:uid="{00000000-0005-0000-0000-000082B60000}"/>
    <cellStyle name="Normal 6 5 7 4" xfId="18589" xr:uid="{00000000-0005-0000-0000-000083B60000}"/>
    <cellStyle name="Normal 6 5 7 4 2" xfId="32721" xr:uid="{00000000-0005-0000-0000-000084B60000}"/>
    <cellStyle name="Normal 6 5 7 4 3" xfId="46616" xr:uid="{00000000-0005-0000-0000-000085B60000}"/>
    <cellStyle name="Normal 6 5 7 5" xfId="23402" xr:uid="{00000000-0005-0000-0000-000086B60000}"/>
    <cellStyle name="Normal 6 5 7 6" xfId="42034" xr:uid="{00000000-0005-0000-0000-000087B60000}"/>
    <cellStyle name="Normal 6 5 8" xfId="8096" xr:uid="{00000000-0005-0000-0000-000088B60000}"/>
    <cellStyle name="Normal 6 5 8 2" xfId="8097" xr:uid="{00000000-0005-0000-0000-000089B60000}"/>
    <cellStyle name="Normal 6 5 8 2 2" xfId="13861" xr:uid="{00000000-0005-0000-0000-00008AB60000}"/>
    <cellStyle name="Normal 6 5 8 2 2 2" xfId="37346" xr:uid="{00000000-0005-0000-0000-00008BB60000}"/>
    <cellStyle name="Normal 6 5 8 2 2 3" xfId="28027" xr:uid="{00000000-0005-0000-0000-00008CB60000}"/>
    <cellStyle name="Normal 6 5 8 2 2 4" xfId="51289" xr:uid="{00000000-0005-0000-0000-00008DB60000}"/>
    <cellStyle name="Normal 6 5 8 2 3" xfId="18592" xr:uid="{00000000-0005-0000-0000-00008EB60000}"/>
    <cellStyle name="Normal 6 5 8 2 3 2" xfId="32724" xr:uid="{00000000-0005-0000-0000-00008FB60000}"/>
    <cellStyle name="Normal 6 5 8 2 3 3" xfId="46619" xr:uid="{00000000-0005-0000-0000-000090B60000}"/>
    <cellStyle name="Normal 6 5 8 2 4" xfId="23405" xr:uid="{00000000-0005-0000-0000-000091B60000}"/>
    <cellStyle name="Normal 6 5 8 2 5" xfId="42037" xr:uid="{00000000-0005-0000-0000-000092B60000}"/>
    <cellStyle name="Normal 6 5 8 3" xfId="13860" xr:uid="{00000000-0005-0000-0000-000093B60000}"/>
    <cellStyle name="Normal 6 5 8 3 2" xfId="37345" xr:uid="{00000000-0005-0000-0000-000094B60000}"/>
    <cellStyle name="Normal 6 5 8 3 3" xfId="28026" xr:uid="{00000000-0005-0000-0000-000095B60000}"/>
    <cellStyle name="Normal 6 5 8 3 4" xfId="51288" xr:uid="{00000000-0005-0000-0000-000096B60000}"/>
    <cellStyle name="Normal 6 5 8 4" xfId="18591" xr:uid="{00000000-0005-0000-0000-000097B60000}"/>
    <cellStyle name="Normal 6 5 8 4 2" xfId="32723" xr:uid="{00000000-0005-0000-0000-000098B60000}"/>
    <cellStyle name="Normal 6 5 8 4 3" xfId="46618" xr:uid="{00000000-0005-0000-0000-000099B60000}"/>
    <cellStyle name="Normal 6 5 8 5" xfId="23404" xr:uid="{00000000-0005-0000-0000-00009AB60000}"/>
    <cellStyle name="Normal 6 5 8 6" xfId="42036" xr:uid="{00000000-0005-0000-0000-00009BB60000}"/>
    <cellStyle name="Normal 6 5 9" xfId="8098" xr:uid="{00000000-0005-0000-0000-00009CB60000}"/>
    <cellStyle name="Normal 6 5 9 2" xfId="8099" xr:uid="{00000000-0005-0000-0000-00009DB60000}"/>
    <cellStyle name="Normal 6 5 9 2 2" xfId="13863" xr:uid="{00000000-0005-0000-0000-00009EB60000}"/>
    <cellStyle name="Normal 6 5 9 2 2 2" xfId="37348" xr:uid="{00000000-0005-0000-0000-00009FB60000}"/>
    <cellStyle name="Normal 6 5 9 2 2 3" xfId="28029" xr:uid="{00000000-0005-0000-0000-0000A0B60000}"/>
    <cellStyle name="Normal 6 5 9 2 2 4" xfId="51291" xr:uid="{00000000-0005-0000-0000-0000A1B60000}"/>
    <cellStyle name="Normal 6 5 9 2 3" xfId="18594" xr:uid="{00000000-0005-0000-0000-0000A2B60000}"/>
    <cellStyle name="Normal 6 5 9 2 3 2" xfId="32726" xr:uid="{00000000-0005-0000-0000-0000A3B60000}"/>
    <cellStyle name="Normal 6 5 9 2 3 3" xfId="46621" xr:uid="{00000000-0005-0000-0000-0000A4B60000}"/>
    <cellStyle name="Normal 6 5 9 2 4" xfId="23407" xr:uid="{00000000-0005-0000-0000-0000A5B60000}"/>
    <cellStyle name="Normal 6 5 9 2 5" xfId="42039" xr:uid="{00000000-0005-0000-0000-0000A6B60000}"/>
    <cellStyle name="Normal 6 5 9 3" xfId="13862" xr:uid="{00000000-0005-0000-0000-0000A7B60000}"/>
    <cellStyle name="Normal 6 5 9 3 2" xfId="37347" xr:uid="{00000000-0005-0000-0000-0000A8B60000}"/>
    <cellStyle name="Normal 6 5 9 3 3" xfId="28028" xr:uid="{00000000-0005-0000-0000-0000A9B60000}"/>
    <cellStyle name="Normal 6 5 9 3 4" xfId="51290" xr:uid="{00000000-0005-0000-0000-0000AAB60000}"/>
    <cellStyle name="Normal 6 5 9 4" xfId="18593" xr:uid="{00000000-0005-0000-0000-0000ABB60000}"/>
    <cellStyle name="Normal 6 5 9 4 2" xfId="32725" xr:uid="{00000000-0005-0000-0000-0000ACB60000}"/>
    <cellStyle name="Normal 6 5 9 4 3" xfId="46620" xr:uid="{00000000-0005-0000-0000-0000ADB60000}"/>
    <cellStyle name="Normal 6 5 9 5" xfId="23406" xr:uid="{00000000-0005-0000-0000-0000AEB60000}"/>
    <cellStyle name="Normal 6 5 9 6" xfId="42038" xr:uid="{00000000-0005-0000-0000-0000AFB60000}"/>
    <cellStyle name="Normal 6 50" xfId="8100" xr:uid="{00000000-0005-0000-0000-0000B0B60000}"/>
    <cellStyle name="Normal 6 50 2" xfId="8101" xr:uid="{00000000-0005-0000-0000-0000B1B60000}"/>
    <cellStyle name="Normal 6 50 2 2" xfId="13865" xr:uid="{00000000-0005-0000-0000-0000B2B60000}"/>
    <cellStyle name="Normal 6 50 2 2 2" xfId="37350" xr:uid="{00000000-0005-0000-0000-0000B3B60000}"/>
    <cellStyle name="Normal 6 50 2 2 3" xfId="28031" xr:uid="{00000000-0005-0000-0000-0000B4B60000}"/>
    <cellStyle name="Normal 6 50 2 2 4" xfId="51293" xr:uid="{00000000-0005-0000-0000-0000B5B60000}"/>
    <cellStyle name="Normal 6 50 2 3" xfId="18596" xr:uid="{00000000-0005-0000-0000-0000B6B60000}"/>
    <cellStyle name="Normal 6 50 2 3 2" xfId="32728" xr:uid="{00000000-0005-0000-0000-0000B7B60000}"/>
    <cellStyle name="Normal 6 50 2 3 3" xfId="46623" xr:uid="{00000000-0005-0000-0000-0000B8B60000}"/>
    <cellStyle name="Normal 6 50 2 4" xfId="23409" xr:uid="{00000000-0005-0000-0000-0000B9B60000}"/>
    <cellStyle name="Normal 6 50 2 5" xfId="42041" xr:uid="{00000000-0005-0000-0000-0000BAB60000}"/>
    <cellStyle name="Normal 6 50 3" xfId="13864" xr:uid="{00000000-0005-0000-0000-0000BBB60000}"/>
    <cellStyle name="Normal 6 50 3 2" xfId="37349" xr:uid="{00000000-0005-0000-0000-0000BCB60000}"/>
    <cellStyle name="Normal 6 50 3 3" xfId="28030" xr:uid="{00000000-0005-0000-0000-0000BDB60000}"/>
    <cellStyle name="Normal 6 50 3 4" xfId="51292" xr:uid="{00000000-0005-0000-0000-0000BEB60000}"/>
    <cellStyle name="Normal 6 50 4" xfId="18595" xr:uid="{00000000-0005-0000-0000-0000BFB60000}"/>
    <cellStyle name="Normal 6 50 4 2" xfId="32727" xr:uid="{00000000-0005-0000-0000-0000C0B60000}"/>
    <cellStyle name="Normal 6 50 4 3" xfId="46622" xr:uid="{00000000-0005-0000-0000-0000C1B60000}"/>
    <cellStyle name="Normal 6 50 5" xfId="23408" xr:uid="{00000000-0005-0000-0000-0000C2B60000}"/>
    <cellStyle name="Normal 6 50 6" xfId="42040" xr:uid="{00000000-0005-0000-0000-0000C3B60000}"/>
    <cellStyle name="Normal 6 51" xfId="8102" xr:uid="{00000000-0005-0000-0000-0000C4B60000}"/>
    <cellStyle name="Normal 6 51 2" xfId="8103" xr:uid="{00000000-0005-0000-0000-0000C5B60000}"/>
    <cellStyle name="Normal 6 51 2 2" xfId="13867" xr:uid="{00000000-0005-0000-0000-0000C6B60000}"/>
    <cellStyle name="Normal 6 51 2 2 2" xfId="37352" xr:uid="{00000000-0005-0000-0000-0000C7B60000}"/>
    <cellStyle name="Normal 6 51 2 2 3" xfId="28033" xr:uid="{00000000-0005-0000-0000-0000C8B60000}"/>
    <cellStyle name="Normal 6 51 2 2 4" xfId="51295" xr:uid="{00000000-0005-0000-0000-0000C9B60000}"/>
    <cellStyle name="Normal 6 51 2 3" xfId="18598" xr:uid="{00000000-0005-0000-0000-0000CAB60000}"/>
    <cellStyle name="Normal 6 51 2 3 2" xfId="32730" xr:uid="{00000000-0005-0000-0000-0000CBB60000}"/>
    <cellStyle name="Normal 6 51 2 3 3" xfId="46625" xr:uid="{00000000-0005-0000-0000-0000CCB60000}"/>
    <cellStyle name="Normal 6 51 2 4" xfId="23411" xr:uid="{00000000-0005-0000-0000-0000CDB60000}"/>
    <cellStyle name="Normal 6 51 2 5" xfId="42043" xr:uid="{00000000-0005-0000-0000-0000CEB60000}"/>
    <cellStyle name="Normal 6 51 3" xfId="13866" xr:uid="{00000000-0005-0000-0000-0000CFB60000}"/>
    <cellStyle name="Normal 6 51 3 2" xfId="37351" xr:uid="{00000000-0005-0000-0000-0000D0B60000}"/>
    <cellStyle name="Normal 6 51 3 3" xfId="28032" xr:uid="{00000000-0005-0000-0000-0000D1B60000}"/>
    <cellStyle name="Normal 6 51 3 4" xfId="51294" xr:uid="{00000000-0005-0000-0000-0000D2B60000}"/>
    <cellStyle name="Normal 6 51 4" xfId="18597" xr:uid="{00000000-0005-0000-0000-0000D3B60000}"/>
    <cellStyle name="Normal 6 51 4 2" xfId="32729" xr:uid="{00000000-0005-0000-0000-0000D4B60000}"/>
    <cellStyle name="Normal 6 51 4 3" xfId="46624" xr:uid="{00000000-0005-0000-0000-0000D5B60000}"/>
    <cellStyle name="Normal 6 51 5" xfId="23410" xr:uid="{00000000-0005-0000-0000-0000D6B60000}"/>
    <cellStyle name="Normal 6 51 6" xfId="42042" xr:uid="{00000000-0005-0000-0000-0000D7B60000}"/>
    <cellStyle name="Normal 6 52" xfId="8104" xr:uid="{00000000-0005-0000-0000-0000D8B60000}"/>
    <cellStyle name="Normal 6 52 2" xfId="8105" xr:uid="{00000000-0005-0000-0000-0000D9B60000}"/>
    <cellStyle name="Normal 6 52 2 2" xfId="13869" xr:uid="{00000000-0005-0000-0000-0000DAB60000}"/>
    <cellStyle name="Normal 6 52 2 2 2" xfId="37354" xr:uid="{00000000-0005-0000-0000-0000DBB60000}"/>
    <cellStyle name="Normal 6 52 2 2 3" xfId="28035" xr:uid="{00000000-0005-0000-0000-0000DCB60000}"/>
    <cellStyle name="Normal 6 52 2 2 4" xfId="51297" xr:uid="{00000000-0005-0000-0000-0000DDB60000}"/>
    <cellStyle name="Normal 6 52 2 3" xfId="18600" xr:uid="{00000000-0005-0000-0000-0000DEB60000}"/>
    <cellStyle name="Normal 6 52 2 3 2" xfId="32732" xr:uid="{00000000-0005-0000-0000-0000DFB60000}"/>
    <cellStyle name="Normal 6 52 2 3 3" xfId="46627" xr:uid="{00000000-0005-0000-0000-0000E0B60000}"/>
    <cellStyle name="Normal 6 52 2 4" xfId="23413" xr:uid="{00000000-0005-0000-0000-0000E1B60000}"/>
    <cellStyle name="Normal 6 52 2 5" xfId="42045" xr:uid="{00000000-0005-0000-0000-0000E2B60000}"/>
    <cellStyle name="Normal 6 52 3" xfId="13868" xr:uid="{00000000-0005-0000-0000-0000E3B60000}"/>
    <cellStyle name="Normal 6 52 3 2" xfId="37353" xr:uid="{00000000-0005-0000-0000-0000E4B60000}"/>
    <cellStyle name="Normal 6 52 3 3" xfId="28034" xr:uid="{00000000-0005-0000-0000-0000E5B60000}"/>
    <cellStyle name="Normal 6 52 3 4" xfId="51296" xr:uid="{00000000-0005-0000-0000-0000E6B60000}"/>
    <cellStyle name="Normal 6 52 4" xfId="18599" xr:uid="{00000000-0005-0000-0000-0000E7B60000}"/>
    <cellStyle name="Normal 6 52 4 2" xfId="32731" xr:uid="{00000000-0005-0000-0000-0000E8B60000}"/>
    <cellStyle name="Normal 6 52 4 3" xfId="46626" xr:uid="{00000000-0005-0000-0000-0000E9B60000}"/>
    <cellStyle name="Normal 6 52 5" xfId="23412" xr:uid="{00000000-0005-0000-0000-0000EAB60000}"/>
    <cellStyle name="Normal 6 52 6" xfId="42044" xr:uid="{00000000-0005-0000-0000-0000EBB60000}"/>
    <cellStyle name="Normal 6 53" xfId="8106" xr:uid="{00000000-0005-0000-0000-0000ECB60000}"/>
    <cellStyle name="Normal 6 53 2" xfId="8107" xr:uid="{00000000-0005-0000-0000-0000EDB60000}"/>
    <cellStyle name="Normal 6 53 2 2" xfId="13871" xr:uid="{00000000-0005-0000-0000-0000EEB60000}"/>
    <cellStyle name="Normal 6 53 2 2 2" xfId="37356" xr:uid="{00000000-0005-0000-0000-0000EFB60000}"/>
    <cellStyle name="Normal 6 53 2 2 3" xfId="28037" xr:uid="{00000000-0005-0000-0000-0000F0B60000}"/>
    <cellStyle name="Normal 6 53 2 2 4" xfId="51299" xr:uid="{00000000-0005-0000-0000-0000F1B60000}"/>
    <cellStyle name="Normal 6 53 2 3" xfId="18602" xr:uid="{00000000-0005-0000-0000-0000F2B60000}"/>
    <cellStyle name="Normal 6 53 2 3 2" xfId="32734" xr:uid="{00000000-0005-0000-0000-0000F3B60000}"/>
    <cellStyle name="Normal 6 53 2 3 3" xfId="46629" xr:uid="{00000000-0005-0000-0000-0000F4B60000}"/>
    <cellStyle name="Normal 6 53 2 4" xfId="23415" xr:uid="{00000000-0005-0000-0000-0000F5B60000}"/>
    <cellStyle name="Normal 6 53 2 5" xfId="42047" xr:uid="{00000000-0005-0000-0000-0000F6B60000}"/>
    <cellStyle name="Normal 6 53 3" xfId="8108" xr:uid="{00000000-0005-0000-0000-0000F7B60000}"/>
    <cellStyle name="Normal 6 53 3 2" xfId="13872" xr:uid="{00000000-0005-0000-0000-0000F8B60000}"/>
    <cellStyle name="Normal 6 53 3 2 2" xfId="37357" xr:uid="{00000000-0005-0000-0000-0000F9B60000}"/>
    <cellStyle name="Normal 6 53 3 2 3" xfId="28038" xr:uid="{00000000-0005-0000-0000-0000FAB60000}"/>
    <cellStyle name="Normal 6 53 3 2 4" xfId="51300" xr:uid="{00000000-0005-0000-0000-0000FBB60000}"/>
    <cellStyle name="Normal 6 53 3 3" xfId="18603" xr:uid="{00000000-0005-0000-0000-0000FCB60000}"/>
    <cellStyle name="Normal 6 53 3 3 2" xfId="32735" xr:uid="{00000000-0005-0000-0000-0000FDB60000}"/>
    <cellStyle name="Normal 6 53 3 3 3" xfId="46630" xr:uid="{00000000-0005-0000-0000-0000FEB60000}"/>
    <cellStyle name="Normal 6 53 3 4" xfId="23416" xr:uid="{00000000-0005-0000-0000-0000FFB60000}"/>
    <cellStyle name="Normal 6 53 3 5" xfId="42048" xr:uid="{00000000-0005-0000-0000-000000B70000}"/>
    <cellStyle name="Normal 6 53 4" xfId="13870" xr:uid="{00000000-0005-0000-0000-000001B70000}"/>
    <cellStyle name="Normal 6 53 4 2" xfId="37355" xr:uid="{00000000-0005-0000-0000-000002B70000}"/>
    <cellStyle name="Normal 6 53 4 3" xfId="28036" xr:uid="{00000000-0005-0000-0000-000003B70000}"/>
    <cellStyle name="Normal 6 53 4 4" xfId="51298" xr:uid="{00000000-0005-0000-0000-000004B70000}"/>
    <cellStyle name="Normal 6 53 5" xfId="18601" xr:uid="{00000000-0005-0000-0000-000005B70000}"/>
    <cellStyle name="Normal 6 53 5 2" xfId="32733" xr:uid="{00000000-0005-0000-0000-000006B70000}"/>
    <cellStyle name="Normal 6 53 5 3" xfId="46628" xr:uid="{00000000-0005-0000-0000-000007B70000}"/>
    <cellStyle name="Normal 6 53 6" xfId="23414" xr:uid="{00000000-0005-0000-0000-000008B70000}"/>
    <cellStyle name="Normal 6 53 7" xfId="42046" xr:uid="{00000000-0005-0000-0000-000009B70000}"/>
    <cellStyle name="Normal 6 54" xfId="8109" xr:uid="{00000000-0005-0000-0000-00000AB70000}"/>
    <cellStyle name="Normal 6 54 2" xfId="8110" xr:uid="{00000000-0005-0000-0000-00000BB70000}"/>
    <cellStyle name="Normal 6 54 2 2" xfId="13874" xr:uid="{00000000-0005-0000-0000-00000CB70000}"/>
    <cellStyle name="Normal 6 54 2 2 2" xfId="37359" xr:uid="{00000000-0005-0000-0000-00000DB70000}"/>
    <cellStyle name="Normal 6 54 2 2 3" xfId="28040" xr:uid="{00000000-0005-0000-0000-00000EB70000}"/>
    <cellStyle name="Normal 6 54 2 2 4" xfId="51302" xr:uid="{00000000-0005-0000-0000-00000FB70000}"/>
    <cellStyle name="Normal 6 54 2 3" xfId="18605" xr:uid="{00000000-0005-0000-0000-000010B70000}"/>
    <cellStyle name="Normal 6 54 2 3 2" xfId="32737" xr:uid="{00000000-0005-0000-0000-000011B70000}"/>
    <cellStyle name="Normal 6 54 2 3 3" xfId="46632" xr:uid="{00000000-0005-0000-0000-000012B70000}"/>
    <cellStyle name="Normal 6 54 2 4" xfId="23418" xr:uid="{00000000-0005-0000-0000-000013B70000}"/>
    <cellStyle name="Normal 6 54 2 5" xfId="42050" xr:uid="{00000000-0005-0000-0000-000014B70000}"/>
    <cellStyle name="Normal 6 54 3" xfId="13873" xr:uid="{00000000-0005-0000-0000-000015B70000}"/>
    <cellStyle name="Normal 6 54 3 2" xfId="37358" xr:uid="{00000000-0005-0000-0000-000016B70000}"/>
    <cellStyle name="Normal 6 54 3 3" xfId="28039" xr:uid="{00000000-0005-0000-0000-000017B70000}"/>
    <cellStyle name="Normal 6 54 3 4" xfId="51301" xr:uid="{00000000-0005-0000-0000-000018B70000}"/>
    <cellStyle name="Normal 6 54 4" xfId="18604" xr:uid="{00000000-0005-0000-0000-000019B70000}"/>
    <cellStyle name="Normal 6 54 4 2" xfId="32736" xr:uid="{00000000-0005-0000-0000-00001AB70000}"/>
    <cellStyle name="Normal 6 54 4 3" xfId="46631" xr:uid="{00000000-0005-0000-0000-00001BB70000}"/>
    <cellStyle name="Normal 6 54 5" xfId="23417" xr:uid="{00000000-0005-0000-0000-00001CB70000}"/>
    <cellStyle name="Normal 6 54 6" xfId="42049" xr:uid="{00000000-0005-0000-0000-00001DB70000}"/>
    <cellStyle name="Normal 6 55" xfId="8111" xr:uid="{00000000-0005-0000-0000-00001EB70000}"/>
    <cellStyle name="Normal 6 55 2" xfId="8112" xr:uid="{00000000-0005-0000-0000-00001FB70000}"/>
    <cellStyle name="Normal 6 55 2 2" xfId="13876" xr:uid="{00000000-0005-0000-0000-000020B70000}"/>
    <cellStyle name="Normal 6 55 2 2 2" xfId="37361" xr:uid="{00000000-0005-0000-0000-000021B70000}"/>
    <cellStyle name="Normal 6 55 2 2 3" xfId="28042" xr:uid="{00000000-0005-0000-0000-000022B70000}"/>
    <cellStyle name="Normal 6 55 2 2 4" xfId="51304" xr:uid="{00000000-0005-0000-0000-000023B70000}"/>
    <cellStyle name="Normal 6 55 2 3" xfId="18607" xr:uid="{00000000-0005-0000-0000-000024B70000}"/>
    <cellStyle name="Normal 6 55 2 3 2" xfId="32739" xr:uid="{00000000-0005-0000-0000-000025B70000}"/>
    <cellStyle name="Normal 6 55 2 3 3" xfId="46634" xr:uid="{00000000-0005-0000-0000-000026B70000}"/>
    <cellStyle name="Normal 6 55 2 4" xfId="23420" xr:uid="{00000000-0005-0000-0000-000027B70000}"/>
    <cellStyle name="Normal 6 55 2 5" xfId="42052" xr:uid="{00000000-0005-0000-0000-000028B70000}"/>
    <cellStyle name="Normal 6 55 3" xfId="13875" xr:uid="{00000000-0005-0000-0000-000029B70000}"/>
    <cellStyle name="Normal 6 55 3 2" xfId="37360" xr:uid="{00000000-0005-0000-0000-00002AB70000}"/>
    <cellStyle name="Normal 6 55 3 3" xfId="28041" xr:uid="{00000000-0005-0000-0000-00002BB70000}"/>
    <cellStyle name="Normal 6 55 3 4" xfId="51303" xr:uid="{00000000-0005-0000-0000-00002CB70000}"/>
    <cellStyle name="Normal 6 55 4" xfId="18606" xr:uid="{00000000-0005-0000-0000-00002DB70000}"/>
    <cellStyle name="Normal 6 55 4 2" xfId="32738" xr:uid="{00000000-0005-0000-0000-00002EB70000}"/>
    <cellStyle name="Normal 6 55 4 3" xfId="46633" xr:uid="{00000000-0005-0000-0000-00002FB70000}"/>
    <cellStyle name="Normal 6 55 5" xfId="23419" xr:uid="{00000000-0005-0000-0000-000030B70000}"/>
    <cellStyle name="Normal 6 55 6" xfId="42051" xr:uid="{00000000-0005-0000-0000-000031B70000}"/>
    <cellStyle name="Normal 6 56" xfId="8113" xr:uid="{00000000-0005-0000-0000-000032B70000}"/>
    <cellStyle name="Normal 6 56 2" xfId="8114" xr:uid="{00000000-0005-0000-0000-000033B70000}"/>
    <cellStyle name="Normal 6 56 2 2" xfId="13878" xr:uid="{00000000-0005-0000-0000-000034B70000}"/>
    <cellStyle name="Normal 6 56 2 2 2" xfId="37363" xr:uid="{00000000-0005-0000-0000-000035B70000}"/>
    <cellStyle name="Normal 6 56 2 2 3" xfId="28044" xr:uid="{00000000-0005-0000-0000-000036B70000}"/>
    <cellStyle name="Normal 6 56 2 2 4" xfId="51306" xr:uid="{00000000-0005-0000-0000-000037B70000}"/>
    <cellStyle name="Normal 6 56 2 3" xfId="18609" xr:uid="{00000000-0005-0000-0000-000038B70000}"/>
    <cellStyle name="Normal 6 56 2 3 2" xfId="32741" xr:uid="{00000000-0005-0000-0000-000039B70000}"/>
    <cellStyle name="Normal 6 56 2 3 3" xfId="46636" xr:uid="{00000000-0005-0000-0000-00003AB70000}"/>
    <cellStyle name="Normal 6 56 2 4" xfId="23422" xr:uid="{00000000-0005-0000-0000-00003BB70000}"/>
    <cellStyle name="Normal 6 56 2 5" xfId="42054" xr:uid="{00000000-0005-0000-0000-00003CB70000}"/>
    <cellStyle name="Normal 6 56 3" xfId="13877" xr:uid="{00000000-0005-0000-0000-00003DB70000}"/>
    <cellStyle name="Normal 6 56 3 2" xfId="37362" xr:uid="{00000000-0005-0000-0000-00003EB70000}"/>
    <cellStyle name="Normal 6 56 3 3" xfId="28043" xr:uid="{00000000-0005-0000-0000-00003FB70000}"/>
    <cellStyle name="Normal 6 56 3 4" xfId="51305" xr:uid="{00000000-0005-0000-0000-000040B70000}"/>
    <cellStyle name="Normal 6 56 4" xfId="18608" xr:uid="{00000000-0005-0000-0000-000041B70000}"/>
    <cellStyle name="Normal 6 56 4 2" xfId="32740" xr:uid="{00000000-0005-0000-0000-000042B70000}"/>
    <cellStyle name="Normal 6 56 4 3" xfId="46635" xr:uid="{00000000-0005-0000-0000-000043B70000}"/>
    <cellStyle name="Normal 6 56 5" xfId="23421" xr:uid="{00000000-0005-0000-0000-000044B70000}"/>
    <cellStyle name="Normal 6 56 6" xfId="42053" xr:uid="{00000000-0005-0000-0000-000045B70000}"/>
    <cellStyle name="Normal 6 57" xfId="8115" xr:uid="{00000000-0005-0000-0000-000046B70000}"/>
    <cellStyle name="Normal 6 57 2" xfId="8116" xr:uid="{00000000-0005-0000-0000-000047B70000}"/>
    <cellStyle name="Normal 6 57 2 2" xfId="13880" xr:uid="{00000000-0005-0000-0000-000048B70000}"/>
    <cellStyle name="Normal 6 57 2 2 2" xfId="37365" xr:uid="{00000000-0005-0000-0000-000049B70000}"/>
    <cellStyle name="Normal 6 57 2 2 3" xfId="28046" xr:uid="{00000000-0005-0000-0000-00004AB70000}"/>
    <cellStyle name="Normal 6 57 2 2 4" xfId="51308" xr:uid="{00000000-0005-0000-0000-00004BB70000}"/>
    <cellStyle name="Normal 6 57 2 3" xfId="18611" xr:uid="{00000000-0005-0000-0000-00004CB70000}"/>
    <cellStyle name="Normal 6 57 2 3 2" xfId="32743" xr:uid="{00000000-0005-0000-0000-00004DB70000}"/>
    <cellStyle name="Normal 6 57 2 3 3" xfId="46638" xr:uid="{00000000-0005-0000-0000-00004EB70000}"/>
    <cellStyle name="Normal 6 57 2 4" xfId="23424" xr:uid="{00000000-0005-0000-0000-00004FB70000}"/>
    <cellStyle name="Normal 6 57 2 5" xfId="42056" xr:uid="{00000000-0005-0000-0000-000050B70000}"/>
    <cellStyle name="Normal 6 57 3" xfId="13879" xr:uid="{00000000-0005-0000-0000-000051B70000}"/>
    <cellStyle name="Normal 6 57 3 2" xfId="37364" xr:uid="{00000000-0005-0000-0000-000052B70000}"/>
    <cellStyle name="Normal 6 57 3 3" xfId="28045" xr:uid="{00000000-0005-0000-0000-000053B70000}"/>
    <cellStyle name="Normal 6 57 3 4" xfId="51307" xr:uid="{00000000-0005-0000-0000-000054B70000}"/>
    <cellStyle name="Normal 6 57 4" xfId="18610" xr:uid="{00000000-0005-0000-0000-000055B70000}"/>
    <cellStyle name="Normal 6 57 4 2" xfId="32742" xr:uid="{00000000-0005-0000-0000-000056B70000}"/>
    <cellStyle name="Normal 6 57 4 3" xfId="46637" xr:uid="{00000000-0005-0000-0000-000057B70000}"/>
    <cellStyle name="Normal 6 57 5" xfId="23423" xr:uid="{00000000-0005-0000-0000-000058B70000}"/>
    <cellStyle name="Normal 6 57 6" xfId="42055" xr:uid="{00000000-0005-0000-0000-000059B70000}"/>
    <cellStyle name="Normal 6 58" xfId="8117" xr:uid="{00000000-0005-0000-0000-00005AB70000}"/>
    <cellStyle name="Normal 6 58 2" xfId="8118" xr:uid="{00000000-0005-0000-0000-00005BB70000}"/>
    <cellStyle name="Normal 6 58 2 2" xfId="13882" xr:uid="{00000000-0005-0000-0000-00005CB70000}"/>
    <cellStyle name="Normal 6 58 2 2 2" xfId="37367" xr:uid="{00000000-0005-0000-0000-00005DB70000}"/>
    <cellStyle name="Normal 6 58 2 2 3" xfId="28048" xr:uid="{00000000-0005-0000-0000-00005EB70000}"/>
    <cellStyle name="Normal 6 58 2 2 4" xfId="51310" xr:uid="{00000000-0005-0000-0000-00005FB70000}"/>
    <cellStyle name="Normal 6 58 2 3" xfId="18613" xr:uid="{00000000-0005-0000-0000-000060B70000}"/>
    <cellStyle name="Normal 6 58 2 3 2" xfId="32745" xr:uid="{00000000-0005-0000-0000-000061B70000}"/>
    <cellStyle name="Normal 6 58 2 3 3" xfId="46640" xr:uid="{00000000-0005-0000-0000-000062B70000}"/>
    <cellStyle name="Normal 6 58 2 4" xfId="23426" xr:uid="{00000000-0005-0000-0000-000063B70000}"/>
    <cellStyle name="Normal 6 58 2 5" xfId="42058" xr:uid="{00000000-0005-0000-0000-000064B70000}"/>
    <cellStyle name="Normal 6 58 3" xfId="13881" xr:uid="{00000000-0005-0000-0000-000065B70000}"/>
    <cellStyle name="Normal 6 58 3 2" xfId="37366" xr:uid="{00000000-0005-0000-0000-000066B70000}"/>
    <cellStyle name="Normal 6 58 3 3" xfId="28047" xr:uid="{00000000-0005-0000-0000-000067B70000}"/>
    <cellStyle name="Normal 6 58 3 4" xfId="51309" xr:uid="{00000000-0005-0000-0000-000068B70000}"/>
    <cellStyle name="Normal 6 58 4" xfId="18612" xr:uid="{00000000-0005-0000-0000-000069B70000}"/>
    <cellStyle name="Normal 6 58 4 2" xfId="32744" xr:uid="{00000000-0005-0000-0000-00006AB70000}"/>
    <cellStyle name="Normal 6 58 4 3" xfId="46639" xr:uid="{00000000-0005-0000-0000-00006BB70000}"/>
    <cellStyle name="Normal 6 58 5" xfId="23425" xr:uid="{00000000-0005-0000-0000-00006CB70000}"/>
    <cellStyle name="Normal 6 58 6" xfId="42057" xr:uid="{00000000-0005-0000-0000-00006DB70000}"/>
    <cellStyle name="Normal 6 59" xfId="8119" xr:uid="{00000000-0005-0000-0000-00006EB70000}"/>
    <cellStyle name="Normal 6 59 2" xfId="8120" xr:uid="{00000000-0005-0000-0000-00006FB70000}"/>
    <cellStyle name="Normal 6 59 2 2" xfId="13884" xr:uid="{00000000-0005-0000-0000-000070B70000}"/>
    <cellStyle name="Normal 6 59 2 2 2" xfId="37369" xr:uid="{00000000-0005-0000-0000-000071B70000}"/>
    <cellStyle name="Normal 6 59 2 2 3" xfId="28050" xr:uid="{00000000-0005-0000-0000-000072B70000}"/>
    <cellStyle name="Normal 6 59 2 2 4" xfId="51312" xr:uid="{00000000-0005-0000-0000-000073B70000}"/>
    <cellStyle name="Normal 6 59 2 3" xfId="18615" xr:uid="{00000000-0005-0000-0000-000074B70000}"/>
    <cellStyle name="Normal 6 59 2 3 2" xfId="32747" xr:uid="{00000000-0005-0000-0000-000075B70000}"/>
    <cellStyle name="Normal 6 59 2 3 3" xfId="46642" xr:uid="{00000000-0005-0000-0000-000076B70000}"/>
    <cellStyle name="Normal 6 59 2 4" xfId="23428" xr:uid="{00000000-0005-0000-0000-000077B70000}"/>
    <cellStyle name="Normal 6 59 2 5" xfId="42060" xr:uid="{00000000-0005-0000-0000-000078B70000}"/>
    <cellStyle name="Normal 6 59 3" xfId="13883" xr:uid="{00000000-0005-0000-0000-000079B70000}"/>
    <cellStyle name="Normal 6 59 3 2" xfId="37368" xr:uid="{00000000-0005-0000-0000-00007AB70000}"/>
    <cellStyle name="Normal 6 59 3 3" xfId="28049" xr:uid="{00000000-0005-0000-0000-00007BB70000}"/>
    <cellStyle name="Normal 6 59 3 4" xfId="51311" xr:uid="{00000000-0005-0000-0000-00007CB70000}"/>
    <cellStyle name="Normal 6 59 4" xfId="18614" xr:uid="{00000000-0005-0000-0000-00007DB70000}"/>
    <cellStyle name="Normal 6 59 4 2" xfId="32746" xr:uid="{00000000-0005-0000-0000-00007EB70000}"/>
    <cellStyle name="Normal 6 59 4 3" xfId="46641" xr:uid="{00000000-0005-0000-0000-00007FB70000}"/>
    <cellStyle name="Normal 6 59 5" xfId="23427" xr:uid="{00000000-0005-0000-0000-000080B70000}"/>
    <cellStyle name="Normal 6 59 6" xfId="42059" xr:uid="{00000000-0005-0000-0000-000081B70000}"/>
    <cellStyle name="Normal 6 6" xfId="8121" xr:uid="{00000000-0005-0000-0000-000082B70000}"/>
    <cellStyle name="Normal 6 6 10" xfId="8122" xr:uid="{00000000-0005-0000-0000-000083B70000}"/>
    <cellStyle name="Normal 6 6 10 2" xfId="8123" xr:uid="{00000000-0005-0000-0000-000084B70000}"/>
    <cellStyle name="Normal 6 6 10 2 2" xfId="13887" xr:uid="{00000000-0005-0000-0000-000085B70000}"/>
    <cellStyle name="Normal 6 6 10 2 2 2" xfId="37372" xr:uid="{00000000-0005-0000-0000-000086B70000}"/>
    <cellStyle name="Normal 6 6 10 2 2 3" xfId="28053" xr:uid="{00000000-0005-0000-0000-000087B70000}"/>
    <cellStyle name="Normal 6 6 10 2 2 4" xfId="51315" xr:uid="{00000000-0005-0000-0000-000088B70000}"/>
    <cellStyle name="Normal 6 6 10 2 3" xfId="18618" xr:uid="{00000000-0005-0000-0000-000089B70000}"/>
    <cellStyle name="Normal 6 6 10 2 3 2" xfId="32750" xr:uid="{00000000-0005-0000-0000-00008AB70000}"/>
    <cellStyle name="Normal 6 6 10 2 3 3" xfId="46645" xr:uid="{00000000-0005-0000-0000-00008BB70000}"/>
    <cellStyle name="Normal 6 6 10 2 4" xfId="23431" xr:uid="{00000000-0005-0000-0000-00008CB70000}"/>
    <cellStyle name="Normal 6 6 10 2 5" xfId="42063" xr:uid="{00000000-0005-0000-0000-00008DB70000}"/>
    <cellStyle name="Normal 6 6 10 3" xfId="13886" xr:uid="{00000000-0005-0000-0000-00008EB70000}"/>
    <cellStyle name="Normal 6 6 10 3 2" xfId="37371" xr:uid="{00000000-0005-0000-0000-00008FB70000}"/>
    <cellStyle name="Normal 6 6 10 3 3" xfId="28052" xr:uid="{00000000-0005-0000-0000-000090B70000}"/>
    <cellStyle name="Normal 6 6 10 3 4" xfId="51314" xr:uid="{00000000-0005-0000-0000-000091B70000}"/>
    <cellStyle name="Normal 6 6 10 4" xfId="18617" xr:uid="{00000000-0005-0000-0000-000092B70000}"/>
    <cellStyle name="Normal 6 6 10 4 2" xfId="32749" xr:uid="{00000000-0005-0000-0000-000093B70000}"/>
    <cellStyle name="Normal 6 6 10 4 3" xfId="46644" xr:uid="{00000000-0005-0000-0000-000094B70000}"/>
    <cellStyle name="Normal 6 6 10 5" xfId="23430" xr:uid="{00000000-0005-0000-0000-000095B70000}"/>
    <cellStyle name="Normal 6 6 10 6" xfId="42062" xr:uid="{00000000-0005-0000-0000-000096B70000}"/>
    <cellStyle name="Normal 6 6 11" xfId="8124" xr:uid="{00000000-0005-0000-0000-000097B70000}"/>
    <cellStyle name="Normal 6 6 11 2" xfId="8125" xr:uid="{00000000-0005-0000-0000-000098B70000}"/>
    <cellStyle name="Normal 6 6 11 2 2" xfId="13889" xr:uid="{00000000-0005-0000-0000-000099B70000}"/>
    <cellStyle name="Normal 6 6 11 2 2 2" xfId="37374" xr:uid="{00000000-0005-0000-0000-00009AB70000}"/>
    <cellStyle name="Normal 6 6 11 2 2 3" xfId="28055" xr:uid="{00000000-0005-0000-0000-00009BB70000}"/>
    <cellStyle name="Normal 6 6 11 2 2 4" xfId="51317" xr:uid="{00000000-0005-0000-0000-00009CB70000}"/>
    <cellStyle name="Normal 6 6 11 2 3" xfId="18620" xr:uid="{00000000-0005-0000-0000-00009DB70000}"/>
    <cellStyle name="Normal 6 6 11 2 3 2" xfId="32752" xr:uid="{00000000-0005-0000-0000-00009EB70000}"/>
    <cellStyle name="Normal 6 6 11 2 3 3" xfId="46647" xr:uid="{00000000-0005-0000-0000-00009FB70000}"/>
    <cellStyle name="Normal 6 6 11 2 4" xfId="23433" xr:uid="{00000000-0005-0000-0000-0000A0B70000}"/>
    <cellStyle name="Normal 6 6 11 2 5" xfId="42065" xr:uid="{00000000-0005-0000-0000-0000A1B70000}"/>
    <cellStyle name="Normal 6 6 11 3" xfId="13888" xr:uid="{00000000-0005-0000-0000-0000A2B70000}"/>
    <cellStyle name="Normal 6 6 11 3 2" xfId="37373" xr:uid="{00000000-0005-0000-0000-0000A3B70000}"/>
    <cellStyle name="Normal 6 6 11 3 3" xfId="28054" xr:uid="{00000000-0005-0000-0000-0000A4B70000}"/>
    <cellStyle name="Normal 6 6 11 3 4" xfId="51316" xr:uid="{00000000-0005-0000-0000-0000A5B70000}"/>
    <cellStyle name="Normal 6 6 11 4" xfId="18619" xr:uid="{00000000-0005-0000-0000-0000A6B70000}"/>
    <cellStyle name="Normal 6 6 11 4 2" xfId="32751" xr:uid="{00000000-0005-0000-0000-0000A7B70000}"/>
    <cellStyle name="Normal 6 6 11 4 3" xfId="46646" xr:uid="{00000000-0005-0000-0000-0000A8B70000}"/>
    <cellStyle name="Normal 6 6 11 5" xfId="23432" xr:uid="{00000000-0005-0000-0000-0000A9B70000}"/>
    <cellStyle name="Normal 6 6 11 6" xfId="42064" xr:uid="{00000000-0005-0000-0000-0000AAB70000}"/>
    <cellStyle name="Normal 6 6 12" xfId="8126" xr:uid="{00000000-0005-0000-0000-0000ABB70000}"/>
    <cellStyle name="Normal 6 6 12 2" xfId="8127" xr:uid="{00000000-0005-0000-0000-0000ACB70000}"/>
    <cellStyle name="Normal 6 6 12 2 2" xfId="13891" xr:uid="{00000000-0005-0000-0000-0000ADB70000}"/>
    <cellStyle name="Normal 6 6 12 2 2 2" xfId="37376" xr:uid="{00000000-0005-0000-0000-0000AEB70000}"/>
    <cellStyle name="Normal 6 6 12 2 2 3" xfId="28057" xr:uid="{00000000-0005-0000-0000-0000AFB70000}"/>
    <cellStyle name="Normal 6 6 12 2 2 4" xfId="51319" xr:uid="{00000000-0005-0000-0000-0000B0B70000}"/>
    <cellStyle name="Normal 6 6 12 2 3" xfId="18622" xr:uid="{00000000-0005-0000-0000-0000B1B70000}"/>
    <cellStyle name="Normal 6 6 12 2 3 2" xfId="32754" xr:uid="{00000000-0005-0000-0000-0000B2B70000}"/>
    <cellStyle name="Normal 6 6 12 2 3 3" xfId="46649" xr:uid="{00000000-0005-0000-0000-0000B3B70000}"/>
    <cellStyle name="Normal 6 6 12 2 4" xfId="23435" xr:uid="{00000000-0005-0000-0000-0000B4B70000}"/>
    <cellStyle name="Normal 6 6 12 2 5" xfId="42067" xr:uid="{00000000-0005-0000-0000-0000B5B70000}"/>
    <cellStyle name="Normal 6 6 12 3" xfId="13890" xr:uid="{00000000-0005-0000-0000-0000B6B70000}"/>
    <cellStyle name="Normal 6 6 12 3 2" xfId="37375" xr:uid="{00000000-0005-0000-0000-0000B7B70000}"/>
    <cellStyle name="Normal 6 6 12 3 3" xfId="28056" xr:uid="{00000000-0005-0000-0000-0000B8B70000}"/>
    <cellStyle name="Normal 6 6 12 3 4" xfId="51318" xr:uid="{00000000-0005-0000-0000-0000B9B70000}"/>
    <cellStyle name="Normal 6 6 12 4" xfId="18621" xr:uid="{00000000-0005-0000-0000-0000BAB70000}"/>
    <cellStyle name="Normal 6 6 12 4 2" xfId="32753" xr:uid="{00000000-0005-0000-0000-0000BBB70000}"/>
    <cellStyle name="Normal 6 6 12 4 3" xfId="46648" xr:uid="{00000000-0005-0000-0000-0000BCB70000}"/>
    <cellStyle name="Normal 6 6 12 5" xfId="23434" xr:uid="{00000000-0005-0000-0000-0000BDB70000}"/>
    <cellStyle name="Normal 6 6 12 6" xfId="42066" xr:uid="{00000000-0005-0000-0000-0000BEB70000}"/>
    <cellStyle name="Normal 6 6 13" xfId="8128" xr:uid="{00000000-0005-0000-0000-0000BFB70000}"/>
    <cellStyle name="Normal 6 6 13 2" xfId="8129" xr:uid="{00000000-0005-0000-0000-0000C0B70000}"/>
    <cellStyle name="Normal 6 6 13 2 2" xfId="13893" xr:uid="{00000000-0005-0000-0000-0000C1B70000}"/>
    <cellStyle name="Normal 6 6 13 2 2 2" xfId="37378" xr:uid="{00000000-0005-0000-0000-0000C2B70000}"/>
    <cellStyle name="Normal 6 6 13 2 2 3" xfId="28059" xr:uid="{00000000-0005-0000-0000-0000C3B70000}"/>
    <cellStyle name="Normal 6 6 13 2 2 4" xfId="51321" xr:uid="{00000000-0005-0000-0000-0000C4B70000}"/>
    <cellStyle name="Normal 6 6 13 2 3" xfId="18624" xr:uid="{00000000-0005-0000-0000-0000C5B70000}"/>
    <cellStyle name="Normal 6 6 13 2 3 2" xfId="32756" xr:uid="{00000000-0005-0000-0000-0000C6B70000}"/>
    <cellStyle name="Normal 6 6 13 2 3 3" xfId="46651" xr:uid="{00000000-0005-0000-0000-0000C7B70000}"/>
    <cellStyle name="Normal 6 6 13 2 4" xfId="23437" xr:uid="{00000000-0005-0000-0000-0000C8B70000}"/>
    <cellStyle name="Normal 6 6 13 2 5" xfId="42069" xr:uid="{00000000-0005-0000-0000-0000C9B70000}"/>
    <cellStyle name="Normal 6 6 13 3" xfId="13892" xr:uid="{00000000-0005-0000-0000-0000CAB70000}"/>
    <cellStyle name="Normal 6 6 13 3 2" xfId="37377" xr:uid="{00000000-0005-0000-0000-0000CBB70000}"/>
    <cellStyle name="Normal 6 6 13 3 3" xfId="28058" xr:uid="{00000000-0005-0000-0000-0000CCB70000}"/>
    <cellStyle name="Normal 6 6 13 3 4" xfId="51320" xr:uid="{00000000-0005-0000-0000-0000CDB70000}"/>
    <cellStyle name="Normal 6 6 13 4" xfId="18623" xr:uid="{00000000-0005-0000-0000-0000CEB70000}"/>
    <cellStyle name="Normal 6 6 13 4 2" xfId="32755" xr:uid="{00000000-0005-0000-0000-0000CFB70000}"/>
    <cellStyle name="Normal 6 6 13 4 3" xfId="46650" xr:uid="{00000000-0005-0000-0000-0000D0B70000}"/>
    <cellStyle name="Normal 6 6 13 5" xfId="23436" xr:uid="{00000000-0005-0000-0000-0000D1B70000}"/>
    <cellStyle name="Normal 6 6 13 6" xfId="42068" xr:uid="{00000000-0005-0000-0000-0000D2B70000}"/>
    <cellStyle name="Normal 6 6 14" xfId="8130" xr:uid="{00000000-0005-0000-0000-0000D3B70000}"/>
    <cellStyle name="Normal 6 6 14 2" xfId="8131" xr:uid="{00000000-0005-0000-0000-0000D4B70000}"/>
    <cellStyle name="Normal 6 6 14 2 2" xfId="13895" xr:uid="{00000000-0005-0000-0000-0000D5B70000}"/>
    <cellStyle name="Normal 6 6 14 2 2 2" xfId="37380" xr:uid="{00000000-0005-0000-0000-0000D6B70000}"/>
    <cellStyle name="Normal 6 6 14 2 2 3" xfId="28061" xr:uid="{00000000-0005-0000-0000-0000D7B70000}"/>
    <cellStyle name="Normal 6 6 14 2 2 4" xfId="51323" xr:uid="{00000000-0005-0000-0000-0000D8B70000}"/>
    <cellStyle name="Normal 6 6 14 2 3" xfId="18626" xr:uid="{00000000-0005-0000-0000-0000D9B70000}"/>
    <cellStyle name="Normal 6 6 14 2 3 2" xfId="32758" xr:uid="{00000000-0005-0000-0000-0000DAB70000}"/>
    <cellStyle name="Normal 6 6 14 2 3 3" xfId="46653" xr:uid="{00000000-0005-0000-0000-0000DBB70000}"/>
    <cellStyle name="Normal 6 6 14 2 4" xfId="23439" xr:uid="{00000000-0005-0000-0000-0000DCB70000}"/>
    <cellStyle name="Normal 6 6 14 2 5" xfId="42071" xr:uid="{00000000-0005-0000-0000-0000DDB70000}"/>
    <cellStyle name="Normal 6 6 14 3" xfId="13894" xr:uid="{00000000-0005-0000-0000-0000DEB70000}"/>
    <cellStyle name="Normal 6 6 14 3 2" xfId="37379" xr:uid="{00000000-0005-0000-0000-0000DFB70000}"/>
    <cellStyle name="Normal 6 6 14 3 3" xfId="28060" xr:uid="{00000000-0005-0000-0000-0000E0B70000}"/>
    <cellStyle name="Normal 6 6 14 3 4" xfId="51322" xr:uid="{00000000-0005-0000-0000-0000E1B70000}"/>
    <cellStyle name="Normal 6 6 14 4" xfId="18625" xr:uid="{00000000-0005-0000-0000-0000E2B70000}"/>
    <cellStyle name="Normal 6 6 14 4 2" xfId="32757" xr:uid="{00000000-0005-0000-0000-0000E3B70000}"/>
    <cellStyle name="Normal 6 6 14 4 3" xfId="46652" xr:uid="{00000000-0005-0000-0000-0000E4B70000}"/>
    <cellStyle name="Normal 6 6 14 5" xfId="23438" xr:uid="{00000000-0005-0000-0000-0000E5B70000}"/>
    <cellStyle name="Normal 6 6 14 6" xfId="42070" xr:uid="{00000000-0005-0000-0000-0000E6B70000}"/>
    <cellStyle name="Normal 6 6 15" xfId="8132" xr:uid="{00000000-0005-0000-0000-0000E7B70000}"/>
    <cellStyle name="Normal 6 6 15 2" xfId="8133" xr:uid="{00000000-0005-0000-0000-0000E8B70000}"/>
    <cellStyle name="Normal 6 6 15 2 2" xfId="13897" xr:uid="{00000000-0005-0000-0000-0000E9B70000}"/>
    <cellStyle name="Normal 6 6 15 2 2 2" xfId="37382" xr:uid="{00000000-0005-0000-0000-0000EAB70000}"/>
    <cellStyle name="Normal 6 6 15 2 2 3" xfId="28063" xr:uid="{00000000-0005-0000-0000-0000EBB70000}"/>
    <cellStyle name="Normal 6 6 15 2 2 4" xfId="51325" xr:uid="{00000000-0005-0000-0000-0000ECB70000}"/>
    <cellStyle name="Normal 6 6 15 2 3" xfId="18628" xr:uid="{00000000-0005-0000-0000-0000EDB70000}"/>
    <cellStyle name="Normal 6 6 15 2 3 2" xfId="32760" xr:uid="{00000000-0005-0000-0000-0000EEB70000}"/>
    <cellStyle name="Normal 6 6 15 2 3 3" xfId="46655" xr:uid="{00000000-0005-0000-0000-0000EFB70000}"/>
    <cellStyle name="Normal 6 6 15 2 4" xfId="23441" xr:uid="{00000000-0005-0000-0000-0000F0B70000}"/>
    <cellStyle name="Normal 6 6 15 2 5" xfId="42073" xr:uid="{00000000-0005-0000-0000-0000F1B70000}"/>
    <cellStyle name="Normal 6 6 15 3" xfId="13896" xr:uid="{00000000-0005-0000-0000-0000F2B70000}"/>
    <cellStyle name="Normal 6 6 15 3 2" xfId="37381" xr:uid="{00000000-0005-0000-0000-0000F3B70000}"/>
    <cellStyle name="Normal 6 6 15 3 3" xfId="28062" xr:uid="{00000000-0005-0000-0000-0000F4B70000}"/>
    <cellStyle name="Normal 6 6 15 3 4" xfId="51324" xr:uid="{00000000-0005-0000-0000-0000F5B70000}"/>
    <cellStyle name="Normal 6 6 15 4" xfId="18627" xr:uid="{00000000-0005-0000-0000-0000F6B70000}"/>
    <cellStyle name="Normal 6 6 15 4 2" xfId="32759" xr:uid="{00000000-0005-0000-0000-0000F7B70000}"/>
    <cellStyle name="Normal 6 6 15 4 3" xfId="46654" xr:uid="{00000000-0005-0000-0000-0000F8B70000}"/>
    <cellStyle name="Normal 6 6 15 5" xfId="23440" xr:uid="{00000000-0005-0000-0000-0000F9B70000}"/>
    <cellStyle name="Normal 6 6 15 6" xfId="42072" xr:uid="{00000000-0005-0000-0000-0000FAB70000}"/>
    <cellStyle name="Normal 6 6 16" xfId="8134" xr:uid="{00000000-0005-0000-0000-0000FBB70000}"/>
    <cellStyle name="Normal 6 6 16 2" xfId="8135" xr:uid="{00000000-0005-0000-0000-0000FCB70000}"/>
    <cellStyle name="Normal 6 6 16 2 2" xfId="13899" xr:uid="{00000000-0005-0000-0000-0000FDB70000}"/>
    <cellStyle name="Normal 6 6 16 2 2 2" xfId="37384" xr:uid="{00000000-0005-0000-0000-0000FEB70000}"/>
    <cellStyle name="Normal 6 6 16 2 2 3" xfId="28065" xr:uid="{00000000-0005-0000-0000-0000FFB70000}"/>
    <cellStyle name="Normal 6 6 16 2 2 4" xfId="51327" xr:uid="{00000000-0005-0000-0000-000000B80000}"/>
    <cellStyle name="Normal 6 6 16 2 3" xfId="18630" xr:uid="{00000000-0005-0000-0000-000001B80000}"/>
    <cellStyle name="Normal 6 6 16 2 3 2" xfId="32762" xr:uid="{00000000-0005-0000-0000-000002B80000}"/>
    <cellStyle name="Normal 6 6 16 2 3 3" xfId="46657" xr:uid="{00000000-0005-0000-0000-000003B80000}"/>
    <cellStyle name="Normal 6 6 16 2 4" xfId="23443" xr:uid="{00000000-0005-0000-0000-000004B80000}"/>
    <cellStyle name="Normal 6 6 16 2 5" xfId="42075" xr:uid="{00000000-0005-0000-0000-000005B80000}"/>
    <cellStyle name="Normal 6 6 16 3" xfId="13898" xr:uid="{00000000-0005-0000-0000-000006B80000}"/>
    <cellStyle name="Normal 6 6 16 3 2" xfId="37383" xr:uid="{00000000-0005-0000-0000-000007B80000}"/>
    <cellStyle name="Normal 6 6 16 3 3" xfId="28064" xr:uid="{00000000-0005-0000-0000-000008B80000}"/>
    <cellStyle name="Normal 6 6 16 3 4" xfId="51326" xr:uid="{00000000-0005-0000-0000-000009B80000}"/>
    <cellStyle name="Normal 6 6 16 4" xfId="18629" xr:uid="{00000000-0005-0000-0000-00000AB80000}"/>
    <cellStyle name="Normal 6 6 16 4 2" xfId="32761" xr:uid="{00000000-0005-0000-0000-00000BB80000}"/>
    <cellStyle name="Normal 6 6 16 4 3" xfId="46656" xr:uid="{00000000-0005-0000-0000-00000CB80000}"/>
    <cellStyle name="Normal 6 6 16 5" xfId="23442" xr:uid="{00000000-0005-0000-0000-00000DB80000}"/>
    <cellStyle name="Normal 6 6 16 6" xfId="42074" xr:uid="{00000000-0005-0000-0000-00000EB80000}"/>
    <cellStyle name="Normal 6 6 17" xfId="8136" xr:uid="{00000000-0005-0000-0000-00000FB80000}"/>
    <cellStyle name="Normal 6 6 17 2" xfId="8137" xr:uid="{00000000-0005-0000-0000-000010B80000}"/>
    <cellStyle name="Normal 6 6 17 2 2" xfId="13901" xr:uid="{00000000-0005-0000-0000-000011B80000}"/>
    <cellStyle name="Normal 6 6 17 2 2 2" xfId="37386" xr:uid="{00000000-0005-0000-0000-000012B80000}"/>
    <cellStyle name="Normal 6 6 17 2 2 3" xfId="28067" xr:uid="{00000000-0005-0000-0000-000013B80000}"/>
    <cellStyle name="Normal 6 6 17 2 2 4" xfId="51329" xr:uid="{00000000-0005-0000-0000-000014B80000}"/>
    <cellStyle name="Normal 6 6 17 2 3" xfId="18632" xr:uid="{00000000-0005-0000-0000-000015B80000}"/>
    <cellStyle name="Normal 6 6 17 2 3 2" xfId="32764" xr:uid="{00000000-0005-0000-0000-000016B80000}"/>
    <cellStyle name="Normal 6 6 17 2 3 3" xfId="46659" xr:uid="{00000000-0005-0000-0000-000017B80000}"/>
    <cellStyle name="Normal 6 6 17 2 4" xfId="23445" xr:uid="{00000000-0005-0000-0000-000018B80000}"/>
    <cellStyle name="Normal 6 6 17 2 5" xfId="42077" xr:uid="{00000000-0005-0000-0000-000019B80000}"/>
    <cellStyle name="Normal 6 6 17 3" xfId="13900" xr:uid="{00000000-0005-0000-0000-00001AB80000}"/>
    <cellStyle name="Normal 6 6 17 3 2" xfId="37385" xr:uid="{00000000-0005-0000-0000-00001BB80000}"/>
    <cellStyle name="Normal 6 6 17 3 3" xfId="28066" xr:uid="{00000000-0005-0000-0000-00001CB80000}"/>
    <cellStyle name="Normal 6 6 17 3 4" xfId="51328" xr:uid="{00000000-0005-0000-0000-00001DB80000}"/>
    <cellStyle name="Normal 6 6 17 4" xfId="18631" xr:uid="{00000000-0005-0000-0000-00001EB80000}"/>
    <cellStyle name="Normal 6 6 17 4 2" xfId="32763" xr:uid="{00000000-0005-0000-0000-00001FB80000}"/>
    <cellStyle name="Normal 6 6 17 4 3" xfId="46658" xr:uid="{00000000-0005-0000-0000-000020B80000}"/>
    <cellStyle name="Normal 6 6 17 5" xfId="23444" xr:uid="{00000000-0005-0000-0000-000021B80000}"/>
    <cellStyle name="Normal 6 6 17 6" xfId="42076" xr:uid="{00000000-0005-0000-0000-000022B80000}"/>
    <cellStyle name="Normal 6 6 18" xfId="8138" xr:uid="{00000000-0005-0000-0000-000023B80000}"/>
    <cellStyle name="Normal 6 6 18 2" xfId="8139" xr:uid="{00000000-0005-0000-0000-000024B80000}"/>
    <cellStyle name="Normal 6 6 18 2 2" xfId="13903" xr:uid="{00000000-0005-0000-0000-000025B80000}"/>
    <cellStyle name="Normal 6 6 18 2 2 2" xfId="37388" xr:uid="{00000000-0005-0000-0000-000026B80000}"/>
    <cellStyle name="Normal 6 6 18 2 2 3" xfId="28069" xr:uid="{00000000-0005-0000-0000-000027B80000}"/>
    <cellStyle name="Normal 6 6 18 2 2 4" xfId="51331" xr:uid="{00000000-0005-0000-0000-000028B80000}"/>
    <cellStyle name="Normal 6 6 18 2 3" xfId="18634" xr:uid="{00000000-0005-0000-0000-000029B80000}"/>
    <cellStyle name="Normal 6 6 18 2 3 2" xfId="32766" xr:uid="{00000000-0005-0000-0000-00002AB80000}"/>
    <cellStyle name="Normal 6 6 18 2 3 3" xfId="46661" xr:uid="{00000000-0005-0000-0000-00002BB80000}"/>
    <cellStyle name="Normal 6 6 18 2 4" xfId="23447" xr:uid="{00000000-0005-0000-0000-00002CB80000}"/>
    <cellStyle name="Normal 6 6 18 2 5" xfId="42079" xr:uid="{00000000-0005-0000-0000-00002DB80000}"/>
    <cellStyle name="Normal 6 6 18 3" xfId="13902" xr:uid="{00000000-0005-0000-0000-00002EB80000}"/>
    <cellStyle name="Normal 6 6 18 3 2" xfId="37387" xr:uid="{00000000-0005-0000-0000-00002FB80000}"/>
    <cellStyle name="Normal 6 6 18 3 3" xfId="28068" xr:uid="{00000000-0005-0000-0000-000030B80000}"/>
    <cellStyle name="Normal 6 6 18 3 4" xfId="51330" xr:uid="{00000000-0005-0000-0000-000031B80000}"/>
    <cellStyle name="Normal 6 6 18 4" xfId="18633" xr:uid="{00000000-0005-0000-0000-000032B80000}"/>
    <cellStyle name="Normal 6 6 18 4 2" xfId="32765" xr:uid="{00000000-0005-0000-0000-000033B80000}"/>
    <cellStyle name="Normal 6 6 18 4 3" xfId="46660" xr:uid="{00000000-0005-0000-0000-000034B80000}"/>
    <cellStyle name="Normal 6 6 18 5" xfId="23446" xr:uid="{00000000-0005-0000-0000-000035B80000}"/>
    <cellStyle name="Normal 6 6 18 6" xfId="42078" xr:uid="{00000000-0005-0000-0000-000036B80000}"/>
    <cellStyle name="Normal 6 6 19" xfId="8140" xr:uid="{00000000-0005-0000-0000-000037B80000}"/>
    <cellStyle name="Normal 6 6 19 2" xfId="8141" xr:uid="{00000000-0005-0000-0000-000038B80000}"/>
    <cellStyle name="Normal 6 6 19 2 2" xfId="13905" xr:uid="{00000000-0005-0000-0000-000039B80000}"/>
    <cellStyle name="Normal 6 6 19 2 2 2" xfId="37390" xr:uid="{00000000-0005-0000-0000-00003AB80000}"/>
    <cellStyle name="Normal 6 6 19 2 2 3" xfId="28071" xr:uid="{00000000-0005-0000-0000-00003BB80000}"/>
    <cellStyle name="Normal 6 6 19 2 2 4" xfId="51333" xr:uid="{00000000-0005-0000-0000-00003CB80000}"/>
    <cellStyle name="Normal 6 6 19 2 3" xfId="18636" xr:uid="{00000000-0005-0000-0000-00003DB80000}"/>
    <cellStyle name="Normal 6 6 19 2 3 2" xfId="32768" xr:uid="{00000000-0005-0000-0000-00003EB80000}"/>
    <cellStyle name="Normal 6 6 19 2 3 3" xfId="46663" xr:uid="{00000000-0005-0000-0000-00003FB80000}"/>
    <cellStyle name="Normal 6 6 19 2 4" xfId="23449" xr:uid="{00000000-0005-0000-0000-000040B80000}"/>
    <cellStyle name="Normal 6 6 19 2 5" xfId="42081" xr:uid="{00000000-0005-0000-0000-000041B80000}"/>
    <cellStyle name="Normal 6 6 19 3" xfId="13904" xr:uid="{00000000-0005-0000-0000-000042B80000}"/>
    <cellStyle name="Normal 6 6 19 3 2" xfId="37389" xr:uid="{00000000-0005-0000-0000-000043B80000}"/>
    <cellStyle name="Normal 6 6 19 3 3" xfId="28070" xr:uid="{00000000-0005-0000-0000-000044B80000}"/>
    <cellStyle name="Normal 6 6 19 3 4" xfId="51332" xr:uid="{00000000-0005-0000-0000-000045B80000}"/>
    <cellStyle name="Normal 6 6 19 4" xfId="18635" xr:uid="{00000000-0005-0000-0000-000046B80000}"/>
    <cellStyle name="Normal 6 6 19 4 2" xfId="32767" xr:uid="{00000000-0005-0000-0000-000047B80000}"/>
    <cellStyle name="Normal 6 6 19 4 3" xfId="46662" xr:uid="{00000000-0005-0000-0000-000048B80000}"/>
    <cellStyle name="Normal 6 6 19 5" xfId="23448" xr:uid="{00000000-0005-0000-0000-000049B80000}"/>
    <cellStyle name="Normal 6 6 19 6" xfId="42080" xr:uid="{00000000-0005-0000-0000-00004AB80000}"/>
    <cellStyle name="Normal 6 6 2" xfId="8142" xr:uid="{00000000-0005-0000-0000-00004BB80000}"/>
    <cellStyle name="Normal 6 6 2 2" xfId="8143" xr:uid="{00000000-0005-0000-0000-00004CB80000}"/>
    <cellStyle name="Normal 6 6 2 2 2" xfId="13907" xr:uid="{00000000-0005-0000-0000-00004DB80000}"/>
    <cellStyle name="Normal 6 6 2 2 2 2" xfId="37392" xr:uid="{00000000-0005-0000-0000-00004EB80000}"/>
    <cellStyle name="Normal 6 6 2 2 2 3" xfId="28073" xr:uid="{00000000-0005-0000-0000-00004FB80000}"/>
    <cellStyle name="Normal 6 6 2 2 2 4" xfId="51335" xr:uid="{00000000-0005-0000-0000-000050B80000}"/>
    <cellStyle name="Normal 6 6 2 2 3" xfId="18638" xr:uid="{00000000-0005-0000-0000-000051B80000}"/>
    <cellStyle name="Normal 6 6 2 2 3 2" xfId="32770" xr:uid="{00000000-0005-0000-0000-000052B80000}"/>
    <cellStyle name="Normal 6 6 2 2 3 3" xfId="46665" xr:uid="{00000000-0005-0000-0000-000053B80000}"/>
    <cellStyle name="Normal 6 6 2 2 4" xfId="23451" xr:uid="{00000000-0005-0000-0000-000054B80000}"/>
    <cellStyle name="Normal 6 6 2 2 5" xfId="42083" xr:uid="{00000000-0005-0000-0000-000055B80000}"/>
    <cellStyle name="Normal 6 6 2 3" xfId="13906" xr:uid="{00000000-0005-0000-0000-000056B80000}"/>
    <cellStyle name="Normal 6 6 2 3 2" xfId="37391" xr:uid="{00000000-0005-0000-0000-000057B80000}"/>
    <cellStyle name="Normal 6 6 2 3 3" xfId="28072" xr:uid="{00000000-0005-0000-0000-000058B80000}"/>
    <cellStyle name="Normal 6 6 2 3 4" xfId="51334" xr:uid="{00000000-0005-0000-0000-000059B80000}"/>
    <cellStyle name="Normal 6 6 2 4" xfId="18637" xr:uid="{00000000-0005-0000-0000-00005AB80000}"/>
    <cellStyle name="Normal 6 6 2 4 2" xfId="32769" xr:uid="{00000000-0005-0000-0000-00005BB80000}"/>
    <cellStyle name="Normal 6 6 2 4 3" xfId="46664" xr:uid="{00000000-0005-0000-0000-00005CB80000}"/>
    <cellStyle name="Normal 6 6 2 5" xfId="23450" xr:uid="{00000000-0005-0000-0000-00005DB80000}"/>
    <cellStyle name="Normal 6 6 2 6" xfId="42082" xr:uid="{00000000-0005-0000-0000-00005EB80000}"/>
    <cellStyle name="Normal 6 6 20" xfId="8144" xr:uid="{00000000-0005-0000-0000-00005FB80000}"/>
    <cellStyle name="Normal 6 6 20 2" xfId="8145" xr:uid="{00000000-0005-0000-0000-000060B80000}"/>
    <cellStyle name="Normal 6 6 20 2 2" xfId="13909" xr:uid="{00000000-0005-0000-0000-000061B80000}"/>
    <cellStyle name="Normal 6 6 20 2 2 2" xfId="37394" xr:uid="{00000000-0005-0000-0000-000062B80000}"/>
    <cellStyle name="Normal 6 6 20 2 2 3" xfId="28075" xr:uid="{00000000-0005-0000-0000-000063B80000}"/>
    <cellStyle name="Normal 6 6 20 2 2 4" xfId="51337" xr:uid="{00000000-0005-0000-0000-000064B80000}"/>
    <cellStyle name="Normal 6 6 20 2 3" xfId="18640" xr:uid="{00000000-0005-0000-0000-000065B80000}"/>
    <cellStyle name="Normal 6 6 20 2 3 2" xfId="32772" xr:uid="{00000000-0005-0000-0000-000066B80000}"/>
    <cellStyle name="Normal 6 6 20 2 3 3" xfId="46667" xr:uid="{00000000-0005-0000-0000-000067B80000}"/>
    <cellStyle name="Normal 6 6 20 2 4" xfId="23453" xr:uid="{00000000-0005-0000-0000-000068B80000}"/>
    <cellStyle name="Normal 6 6 20 2 5" xfId="42085" xr:uid="{00000000-0005-0000-0000-000069B80000}"/>
    <cellStyle name="Normal 6 6 20 3" xfId="13908" xr:uid="{00000000-0005-0000-0000-00006AB80000}"/>
    <cellStyle name="Normal 6 6 20 3 2" xfId="37393" xr:uid="{00000000-0005-0000-0000-00006BB80000}"/>
    <cellStyle name="Normal 6 6 20 3 3" xfId="28074" xr:uid="{00000000-0005-0000-0000-00006CB80000}"/>
    <cellStyle name="Normal 6 6 20 3 4" xfId="51336" xr:uid="{00000000-0005-0000-0000-00006DB80000}"/>
    <cellStyle name="Normal 6 6 20 4" xfId="18639" xr:uid="{00000000-0005-0000-0000-00006EB80000}"/>
    <cellStyle name="Normal 6 6 20 4 2" xfId="32771" xr:uid="{00000000-0005-0000-0000-00006FB80000}"/>
    <cellStyle name="Normal 6 6 20 4 3" xfId="46666" xr:uid="{00000000-0005-0000-0000-000070B80000}"/>
    <cellStyle name="Normal 6 6 20 5" xfId="23452" xr:uid="{00000000-0005-0000-0000-000071B80000}"/>
    <cellStyle name="Normal 6 6 20 6" xfId="42084" xr:uid="{00000000-0005-0000-0000-000072B80000}"/>
    <cellStyle name="Normal 6 6 21" xfId="8146" xr:uid="{00000000-0005-0000-0000-000073B80000}"/>
    <cellStyle name="Normal 6 6 21 2" xfId="8147" xr:uid="{00000000-0005-0000-0000-000074B80000}"/>
    <cellStyle name="Normal 6 6 21 2 2" xfId="13911" xr:uid="{00000000-0005-0000-0000-000075B80000}"/>
    <cellStyle name="Normal 6 6 21 2 2 2" xfId="37396" xr:uid="{00000000-0005-0000-0000-000076B80000}"/>
    <cellStyle name="Normal 6 6 21 2 2 3" xfId="28077" xr:uid="{00000000-0005-0000-0000-000077B80000}"/>
    <cellStyle name="Normal 6 6 21 2 2 4" xfId="51339" xr:uid="{00000000-0005-0000-0000-000078B80000}"/>
    <cellStyle name="Normal 6 6 21 2 3" xfId="18642" xr:uid="{00000000-0005-0000-0000-000079B80000}"/>
    <cellStyle name="Normal 6 6 21 2 3 2" xfId="32774" xr:uid="{00000000-0005-0000-0000-00007AB80000}"/>
    <cellStyle name="Normal 6 6 21 2 3 3" xfId="46669" xr:uid="{00000000-0005-0000-0000-00007BB80000}"/>
    <cellStyle name="Normal 6 6 21 2 4" xfId="23455" xr:uid="{00000000-0005-0000-0000-00007CB80000}"/>
    <cellStyle name="Normal 6 6 21 2 5" xfId="42087" xr:uid="{00000000-0005-0000-0000-00007DB80000}"/>
    <cellStyle name="Normal 6 6 21 3" xfId="13910" xr:uid="{00000000-0005-0000-0000-00007EB80000}"/>
    <cellStyle name="Normal 6 6 21 3 2" xfId="37395" xr:uid="{00000000-0005-0000-0000-00007FB80000}"/>
    <cellStyle name="Normal 6 6 21 3 3" xfId="28076" xr:uid="{00000000-0005-0000-0000-000080B80000}"/>
    <cellStyle name="Normal 6 6 21 3 4" xfId="51338" xr:uid="{00000000-0005-0000-0000-000081B80000}"/>
    <cellStyle name="Normal 6 6 21 4" xfId="18641" xr:uid="{00000000-0005-0000-0000-000082B80000}"/>
    <cellStyle name="Normal 6 6 21 4 2" xfId="32773" xr:uid="{00000000-0005-0000-0000-000083B80000}"/>
    <cellStyle name="Normal 6 6 21 4 3" xfId="46668" xr:uid="{00000000-0005-0000-0000-000084B80000}"/>
    <cellStyle name="Normal 6 6 21 5" xfId="23454" xr:uid="{00000000-0005-0000-0000-000085B80000}"/>
    <cellStyle name="Normal 6 6 21 6" xfId="42086" xr:uid="{00000000-0005-0000-0000-000086B80000}"/>
    <cellStyle name="Normal 6 6 22" xfId="8148" xr:uid="{00000000-0005-0000-0000-000087B80000}"/>
    <cellStyle name="Normal 6 6 22 2" xfId="8149" xr:uid="{00000000-0005-0000-0000-000088B80000}"/>
    <cellStyle name="Normal 6 6 22 2 2" xfId="13913" xr:uid="{00000000-0005-0000-0000-000089B80000}"/>
    <cellStyle name="Normal 6 6 22 2 2 2" xfId="37398" xr:uid="{00000000-0005-0000-0000-00008AB80000}"/>
    <cellStyle name="Normal 6 6 22 2 2 3" xfId="28079" xr:uid="{00000000-0005-0000-0000-00008BB80000}"/>
    <cellStyle name="Normal 6 6 22 2 2 4" xfId="51341" xr:uid="{00000000-0005-0000-0000-00008CB80000}"/>
    <cellStyle name="Normal 6 6 22 2 3" xfId="18644" xr:uid="{00000000-0005-0000-0000-00008DB80000}"/>
    <cellStyle name="Normal 6 6 22 2 3 2" xfId="32776" xr:uid="{00000000-0005-0000-0000-00008EB80000}"/>
    <cellStyle name="Normal 6 6 22 2 3 3" xfId="46671" xr:uid="{00000000-0005-0000-0000-00008FB80000}"/>
    <cellStyle name="Normal 6 6 22 2 4" xfId="23457" xr:uid="{00000000-0005-0000-0000-000090B80000}"/>
    <cellStyle name="Normal 6 6 22 2 5" xfId="42089" xr:uid="{00000000-0005-0000-0000-000091B80000}"/>
    <cellStyle name="Normal 6 6 22 3" xfId="13912" xr:uid="{00000000-0005-0000-0000-000092B80000}"/>
    <cellStyle name="Normal 6 6 22 3 2" xfId="37397" xr:uid="{00000000-0005-0000-0000-000093B80000}"/>
    <cellStyle name="Normal 6 6 22 3 3" xfId="28078" xr:uid="{00000000-0005-0000-0000-000094B80000}"/>
    <cellStyle name="Normal 6 6 22 3 4" xfId="51340" xr:uid="{00000000-0005-0000-0000-000095B80000}"/>
    <cellStyle name="Normal 6 6 22 4" xfId="18643" xr:uid="{00000000-0005-0000-0000-000096B80000}"/>
    <cellStyle name="Normal 6 6 22 4 2" xfId="32775" xr:uid="{00000000-0005-0000-0000-000097B80000}"/>
    <cellStyle name="Normal 6 6 22 4 3" xfId="46670" xr:uid="{00000000-0005-0000-0000-000098B80000}"/>
    <cellStyle name="Normal 6 6 22 5" xfId="23456" xr:uid="{00000000-0005-0000-0000-000099B80000}"/>
    <cellStyle name="Normal 6 6 22 6" xfId="42088" xr:uid="{00000000-0005-0000-0000-00009AB80000}"/>
    <cellStyle name="Normal 6 6 23" xfId="8150" xr:uid="{00000000-0005-0000-0000-00009BB80000}"/>
    <cellStyle name="Normal 6 6 23 2" xfId="8151" xr:uid="{00000000-0005-0000-0000-00009CB80000}"/>
    <cellStyle name="Normal 6 6 23 2 2" xfId="13915" xr:uid="{00000000-0005-0000-0000-00009DB80000}"/>
    <cellStyle name="Normal 6 6 23 2 2 2" xfId="37400" xr:uid="{00000000-0005-0000-0000-00009EB80000}"/>
    <cellStyle name="Normal 6 6 23 2 2 3" xfId="28081" xr:uid="{00000000-0005-0000-0000-00009FB80000}"/>
    <cellStyle name="Normal 6 6 23 2 2 4" xfId="51343" xr:uid="{00000000-0005-0000-0000-0000A0B80000}"/>
    <cellStyle name="Normal 6 6 23 2 3" xfId="18646" xr:uid="{00000000-0005-0000-0000-0000A1B80000}"/>
    <cellStyle name="Normal 6 6 23 2 3 2" xfId="32778" xr:uid="{00000000-0005-0000-0000-0000A2B80000}"/>
    <cellStyle name="Normal 6 6 23 2 3 3" xfId="46673" xr:uid="{00000000-0005-0000-0000-0000A3B80000}"/>
    <cellStyle name="Normal 6 6 23 2 4" xfId="23459" xr:uid="{00000000-0005-0000-0000-0000A4B80000}"/>
    <cellStyle name="Normal 6 6 23 2 5" xfId="42091" xr:uid="{00000000-0005-0000-0000-0000A5B80000}"/>
    <cellStyle name="Normal 6 6 23 3" xfId="13914" xr:uid="{00000000-0005-0000-0000-0000A6B80000}"/>
    <cellStyle name="Normal 6 6 23 3 2" xfId="37399" xr:uid="{00000000-0005-0000-0000-0000A7B80000}"/>
    <cellStyle name="Normal 6 6 23 3 3" xfId="28080" xr:uid="{00000000-0005-0000-0000-0000A8B80000}"/>
    <cellStyle name="Normal 6 6 23 3 4" xfId="51342" xr:uid="{00000000-0005-0000-0000-0000A9B80000}"/>
    <cellStyle name="Normal 6 6 23 4" xfId="18645" xr:uid="{00000000-0005-0000-0000-0000AAB80000}"/>
    <cellStyle name="Normal 6 6 23 4 2" xfId="32777" xr:uid="{00000000-0005-0000-0000-0000ABB80000}"/>
    <cellStyle name="Normal 6 6 23 4 3" xfId="46672" xr:uid="{00000000-0005-0000-0000-0000ACB80000}"/>
    <cellStyle name="Normal 6 6 23 5" xfId="23458" xr:uid="{00000000-0005-0000-0000-0000ADB80000}"/>
    <cellStyle name="Normal 6 6 23 6" xfId="42090" xr:uid="{00000000-0005-0000-0000-0000AEB80000}"/>
    <cellStyle name="Normal 6 6 24" xfId="8152" xr:uid="{00000000-0005-0000-0000-0000AFB80000}"/>
    <cellStyle name="Normal 6 6 24 2" xfId="13916" xr:uid="{00000000-0005-0000-0000-0000B0B80000}"/>
    <cellStyle name="Normal 6 6 24 2 2" xfId="37401" xr:uid="{00000000-0005-0000-0000-0000B1B80000}"/>
    <cellStyle name="Normal 6 6 24 2 3" xfId="28082" xr:uid="{00000000-0005-0000-0000-0000B2B80000}"/>
    <cellStyle name="Normal 6 6 24 2 4" xfId="51344" xr:uid="{00000000-0005-0000-0000-0000B3B80000}"/>
    <cellStyle name="Normal 6 6 24 3" xfId="18647" xr:uid="{00000000-0005-0000-0000-0000B4B80000}"/>
    <cellStyle name="Normal 6 6 24 3 2" xfId="32779" xr:uid="{00000000-0005-0000-0000-0000B5B80000}"/>
    <cellStyle name="Normal 6 6 24 3 3" xfId="46674" xr:uid="{00000000-0005-0000-0000-0000B6B80000}"/>
    <cellStyle name="Normal 6 6 24 4" xfId="23460" xr:uid="{00000000-0005-0000-0000-0000B7B80000}"/>
    <cellStyle name="Normal 6 6 24 5" xfId="42092" xr:uid="{00000000-0005-0000-0000-0000B8B80000}"/>
    <cellStyle name="Normal 6 6 25" xfId="13885" xr:uid="{00000000-0005-0000-0000-0000B9B80000}"/>
    <cellStyle name="Normal 6 6 25 2" xfId="37370" xr:uid="{00000000-0005-0000-0000-0000BAB80000}"/>
    <cellStyle name="Normal 6 6 25 3" xfId="28051" xr:uid="{00000000-0005-0000-0000-0000BBB80000}"/>
    <cellStyle name="Normal 6 6 25 4" xfId="51313" xr:uid="{00000000-0005-0000-0000-0000BCB80000}"/>
    <cellStyle name="Normal 6 6 26" xfId="18616" xr:uid="{00000000-0005-0000-0000-0000BDB80000}"/>
    <cellStyle name="Normal 6 6 26 2" xfId="32748" xr:uid="{00000000-0005-0000-0000-0000BEB80000}"/>
    <cellStyle name="Normal 6 6 26 3" xfId="46643" xr:uid="{00000000-0005-0000-0000-0000BFB80000}"/>
    <cellStyle name="Normal 6 6 27" xfId="23429" xr:uid="{00000000-0005-0000-0000-0000C0B80000}"/>
    <cellStyle name="Normal 6 6 28" xfId="42061" xr:uid="{00000000-0005-0000-0000-0000C1B80000}"/>
    <cellStyle name="Normal 6 6 3" xfId="8153" xr:uid="{00000000-0005-0000-0000-0000C2B80000}"/>
    <cellStyle name="Normal 6 6 3 2" xfId="8154" xr:uid="{00000000-0005-0000-0000-0000C3B80000}"/>
    <cellStyle name="Normal 6 6 3 2 2" xfId="13918" xr:uid="{00000000-0005-0000-0000-0000C4B80000}"/>
    <cellStyle name="Normal 6 6 3 2 2 2" xfId="37403" xr:uid="{00000000-0005-0000-0000-0000C5B80000}"/>
    <cellStyle name="Normal 6 6 3 2 2 3" xfId="28084" xr:uid="{00000000-0005-0000-0000-0000C6B80000}"/>
    <cellStyle name="Normal 6 6 3 2 2 4" xfId="51346" xr:uid="{00000000-0005-0000-0000-0000C7B80000}"/>
    <cellStyle name="Normal 6 6 3 2 3" xfId="18649" xr:uid="{00000000-0005-0000-0000-0000C8B80000}"/>
    <cellStyle name="Normal 6 6 3 2 3 2" xfId="32781" xr:uid="{00000000-0005-0000-0000-0000C9B80000}"/>
    <cellStyle name="Normal 6 6 3 2 3 3" xfId="46676" xr:uid="{00000000-0005-0000-0000-0000CAB80000}"/>
    <cellStyle name="Normal 6 6 3 2 4" xfId="23462" xr:uid="{00000000-0005-0000-0000-0000CBB80000}"/>
    <cellStyle name="Normal 6 6 3 2 5" xfId="42094" xr:uid="{00000000-0005-0000-0000-0000CCB80000}"/>
    <cellStyle name="Normal 6 6 3 3" xfId="13917" xr:uid="{00000000-0005-0000-0000-0000CDB80000}"/>
    <cellStyle name="Normal 6 6 3 3 2" xfId="37402" xr:uid="{00000000-0005-0000-0000-0000CEB80000}"/>
    <cellStyle name="Normal 6 6 3 3 3" xfId="28083" xr:uid="{00000000-0005-0000-0000-0000CFB80000}"/>
    <cellStyle name="Normal 6 6 3 3 4" xfId="51345" xr:uid="{00000000-0005-0000-0000-0000D0B80000}"/>
    <cellStyle name="Normal 6 6 3 4" xfId="18648" xr:uid="{00000000-0005-0000-0000-0000D1B80000}"/>
    <cellStyle name="Normal 6 6 3 4 2" xfId="32780" xr:uid="{00000000-0005-0000-0000-0000D2B80000}"/>
    <cellStyle name="Normal 6 6 3 4 3" xfId="46675" xr:uid="{00000000-0005-0000-0000-0000D3B80000}"/>
    <cellStyle name="Normal 6 6 3 5" xfId="23461" xr:uid="{00000000-0005-0000-0000-0000D4B80000}"/>
    <cellStyle name="Normal 6 6 3 6" xfId="42093" xr:uid="{00000000-0005-0000-0000-0000D5B80000}"/>
    <cellStyle name="Normal 6 6 4" xfId="8155" xr:uid="{00000000-0005-0000-0000-0000D6B80000}"/>
    <cellStyle name="Normal 6 6 4 2" xfId="8156" xr:uid="{00000000-0005-0000-0000-0000D7B80000}"/>
    <cellStyle name="Normal 6 6 4 2 2" xfId="13920" xr:uid="{00000000-0005-0000-0000-0000D8B80000}"/>
    <cellStyle name="Normal 6 6 4 2 2 2" xfId="37405" xr:uid="{00000000-0005-0000-0000-0000D9B80000}"/>
    <cellStyle name="Normal 6 6 4 2 2 3" xfId="28086" xr:uid="{00000000-0005-0000-0000-0000DAB80000}"/>
    <cellStyle name="Normal 6 6 4 2 2 4" xfId="51348" xr:uid="{00000000-0005-0000-0000-0000DBB80000}"/>
    <cellStyle name="Normal 6 6 4 2 3" xfId="18651" xr:uid="{00000000-0005-0000-0000-0000DCB80000}"/>
    <cellStyle name="Normal 6 6 4 2 3 2" xfId="32783" xr:uid="{00000000-0005-0000-0000-0000DDB80000}"/>
    <cellStyle name="Normal 6 6 4 2 3 3" xfId="46678" xr:uid="{00000000-0005-0000-0000-0000DEB80000}"/>
    <cellStyle name="Normal 6 6 4 2 4" xfId="23464" xr:uid="{00000000-0005-0000-0000-0000DFB80000}"/>
    <cellStyle name="Normal 6 6 4 2 5" xfId="42096" xr:uid="{00000000-0005-0000-0000-0000E0B80000}"/>
    <cellStyle name="Normal 6 6 4 3" xfId="13919" xr:uid="{00000000-0005-0000-0000-0000E1B80000}"/>
    <cellStyle name="Normal 6 6 4 3 2" xfId="37404" xr:uid="{00000000-0005-0000-0000-0000E2B80000}"/>
    <cellStyle name="Normal 6 6 4 3 3" xfId="28085" xr:uid="{00000000-0005-0000-0000-0000E3B80000}"/>
    <cellStyle name="Normal 6 6 4 3 4" xfId="51347" xr:uid="{00000000-0005-0000-0000-0000E4B80000}"/>
    <cellStyle name="Normal 6 6 4 4" xfId="18650" xr:uid="{00000000-0005-0000-0000-0000E5B80000}"/>
    <cellStyle name="Normal 6 6 4 4 2" xfId="32782" xr:uid="{00000000-0005-0000-0000-0000E6B80000}"/>
    <cellStyle name="Normal 6 6 4 4 3" xfId="46677" xr:uid="{00000000-0005-0000-0000-0000E7B80000}"/>
    <cellStyle name="Normal 6 6 4 5" xfId="23463" xr:uid="{00000000-0005-0000-0000-0000E8B80000}"/>
    <cellStyle name="Normal 6 6 4 6" xfId="42095" xr:uid="{00000000-0005-0000-0000-0000E9B80000}"/>
    <cellStyle name="Normal 6 6 5" xfId="8157" xr:uid="{00000000-0005-0000-0000-0000EAB80000}"/>
    <cellStyle name="Normal 6 6 5 2" xfId="8158" xr:uid="{00000000-0005-0000-0000-0000EBB80000}"/>
    <cellStyle name="Normal 6 6 5 2 2" xfId="13922" xr:uid="{00000000-0005-0000-0000-0000ECB80000}"/>
    <cellStyle name="Normal 6 6 5 2 2 2" xfId="37407" xr:uid="{00000000-0005-0000-0000-0000EDB80000}"/>
    <cellStyle name="Normal 6 6 5 2 2 3" xfId="28088" xr:uid="{00000000-0005-0000-0000-0000EEB80000}"/>
    <cellStyle name="Normal 6 6 5 2 2 4" xfId="51350" xr:uid="{00000000-0005-0000-0000-0000EFB80000}"/>
    <cellStyle name="Normal 6 6 5 2 3" xfId="18653" xr:uid="{00000000-0005-0000-0000-0000F0B80000}"/>
    <cellStyle name="Normal 6 6 5 2 3 2" xfId="32785" xr:uid="{00000000-0005-0000-0000-0000F1B80000}"/>
    <cellStyle name="Normal 6 6 5 2 3 3" xfId="46680" xr:uid="{00000000-0005-0000-0000-0000F2B80000}"/>
    <cellStyle name="Normal 6 6 5 2 4" xfId="23466" xr:uid="{00000000-0005-0000-0000-0000F3B80000}"/>
    <cellStyle name="Normal 6 6 5 2 5" xfId="42098" xr:uid="{00000000-0005-0000-0000-0000F4B80000}"/>
    <cellStyle name="Normal 6 6 5 3" xfId="13921" xr:uid="{00000000-0005-0000-0000-0000F5B80000}"/>
    <cellStyle name="Normal 6 6 5 3 2" xfId="37406" xr:uid="{00000000-0005-0000-0000-0000F6B80000}"/>
    <cellStyle name="Normal 6 6 5 3 3" xfId="28087" xr:uid="{00000000-0005-0000-0000-0000F7B80000}"/>
    <cellStyle name="Normal 6 6 5 3 4" xfId="51349" xr:uid="{00000000-0005-0000-0000-0000F8B80000}"/>
    <cellStyle name="Normal 6 6 5 4" xfId="18652" xr:uid="{00000000-0005-0000-0000-0000F9B80000}"/>
    <cellStyle name="Normal 6 6 5 4 2" xfId="32784" xr:uid="{00000000-0005-0000-0000-0000FAB80000}"/>
    <cellStyle name="Normal 6 6 5 4 3" xfId="46679" xr:uid="{00000000-0005-0000-0000-0000FBB80000}"/>
    <cellStyle name="Normal 6 6 5 5" xfId="23465" xr:uid="{00000000-0005-0000-0000-0000FCB80000}"/>
    <cellStyle name="Normal 6 6 5 6" xfId="42097" xr:uid="{00000000-0005-0000-0000-0000FDB80000}"/>
    <cellStyle name="Normal 6 6 6" xfId="8159" xr:uid="{00000000-0005-0000-0000-0000FEB80000}"/>
    <cellStyle name="Normal 6 6 6 2" xfId="8160" xr:uid="{00000000-0005-0000-0000-0000FFB80000}"/>
    <cellStyle name="Normal 6 6 6 2 2" xfId="13924" xr:uid="{00000000-0005-0000-0000-000000B90000}"/>
    <cellStyle name="Normal 6 6 6 2 2 2" xfId="37409" xr:uid="{00000000-0005-0000-0000-000001B90000}"/>
    <cellStyle name="Normal 6 6 6 2 2 3" xfId="28090" xr:uid="{00000000-0005-0000-0000-000002B90000}"/>
    <cellStyle name="Normal 6 6 6 2 2 4" xfId="51352" xr:uid="{00000000-0005-0000-0000-000003B90000}"/>
    <cellStyle name="Normal 6 6 6 2 3" xfId="18655" xr:uid="{00000000-0005-0000-0000-000004B90000}"/>
    <cellStyle name="Normal 6 6 6 2 3 2" xfId="32787" xr:uid="{00000000-0005-0000-0000-000005B90000}"/>
    <cellStyle name="Normal 6 6 6 2 3 3" xfId="46682" xr:uid="{00000000-0005-0000-0000-000006B90000}"/>
    <cellStyle name="Normal 6 6 6 2 4" xfId="23468" xr:uid="{00000000-0005-0000-0000-000007B90000}"/>
    <cellStyle name="Normal 6 6 6 2 5" xfId="42100" xr:uid="{00000000-0005-0000-0000-000008B90000}"/>
    <cellStyle name="Normal 6 6 6 3" xfId="13923" xr:uid="{00000000-0005-0000-0000-000009B90000}"/>
    <cellStyle name="Normal 6 6 6 3 2" xfId="37408" xr:uid="{00000000-0005-0000-0000-00000AB90000}"/>
    <cellStyle name="Normal 6 6 6 3 3" xfId="28089" xr:uid="{00000000-0005-0000-0000-00000BB90000}"/>
    <cellStyle name="Normal 6 6 6 3 4" xfId="51351" xr:uid="{00000000-0005-0000-0000-00000CB90000}"/>
    <cellStyle name="Normal 6 6 6 4" xfId="18654" xr:uid="{00000000-0005-0000-0000-00000DB90000}"/>
    <cellStyle name="Normal 6 6 6 4 2" xfId="32786" xr:uid="{00000000-0005-0000-0000-00000EB90000}"/>
    <cellStyle name="Normal 6 6 6 4 3" xfId="46681" xr:uid="{00000000-0005-0000-0000-00000FB90000}"/>
    <cellStyle name="Normal 6 6 6 5" xfId="23467" xr:uid="{00000000-0005-0000-0000-000010B90000}"/>
    <cellStyle name="Normal 6 6 6 6" xfId="42099" xr:uid="{00000000-0005-0000-0000-000011B90000}"/>
    <cellStyle name="Normal 6 6 7" xfId="8161" xr:uid="{00000000-0005-0000-0000-000012B90000}"/>
    <cellStyle name="Normal 6 6 7 2" xfId="8162" xr:uid="{00000000-0005-0000-0000-000013B90000}"/>
    <cellStyle name="Normal 6 6 7 2 2" xfId="13926" xr:uid="{00000000-0005-0000-0000-000014B90000}"/>
    <cellStyle name="Normal 6 6 7 2 2 2" xfId="37411" xr:uid="{00000000-0005-0000-0000-000015B90000}"/>
    <cellStyle name="Normal 6 6 7 2 2 3" xfId="28092" xr:uid="{00000000-0005-0000-0000-000016B90000}"/>
    <cellStyle name="Normal 6 6 7 2 2 4" xfId="51354" xr:uid="{00000000-0005-0000-0000-000017B90000}"/>
    <cellStyle name="Normal 6 6 7 2 3" xfId="18657" xr:uid="{00000000-0005-0000-0000-000018B90000}"/>
    <cellStyle name="Normal 6 6 7 2 3 2" xfId="32789" xr:uid="{00000000-0005-0000-0000-000019B90000}"/>
    <cellStyle name="Normal 6 6 7 2 3 3" xfId="46684" xr:uid="{00000000-0005-0000-0000-00001AB90000}"/>
    <cellStyle name="Normal 6 6 7 2 4" xfId="23470" xr:uid="{00000000-0005-0000-0000-00001BB90000}"/>
    <cellStyle name="Normal 6 6 7 2 5" xfId="42102" xr:uid="{00000000-0005-0000-0000-00001CB90000}"/>
    <cellStyle name="Normal 6 6 7 3" xfId="13925" xr:uid="{00000000-0005-0000-0000-00001DB90000}"/>
    <cellStyle name="Normal 6 6 7 3 2" xfId="37410" xr:uid="{00000000-0005-0000-0000-00001EB90000}"/>
    <cellStyle name="Normal 6 6 7 3 3" xfId="28091" xr:uid="{00000000-0005-0000-0000-00001FB90000}"/>
    <cellStyle name="Normal 6 6 7 3 4" xfId="51353" xr:uid="{00000000-0005-0000-0000-000020B90000}"/>
    <cellStyle name="Normal 6 6 7 4" xfId="18656" xr:uid="{00000000-0005-0000-0000-000021B90000}"/>
    <cellStyle name="Normal 6 6 7 4 2" xfId="32788" xr:uid="{00000000-0005-0000-0000-000022B90000}"/>
    <cellStyle name="Normal 6 6 7 4 3" xfId="46683" xr:uid="{00000000-0005-0000-0000-000023B90000}"/>
    <cellStyle name="Normal 6 6 7 5" xfId="23469" xr:uid="{00000000-0005-0000-0000-000024B90000}"/>
    <cellStyle name="Normal 6 6 7 6" xfId="42101" xr:uid="{00000000-0005-0000-0000-000025B90000}"/>
    <cellStyle name="Normal 6 6 8" xfId="8163" xr:uid="{00000000-0005-0000-0000-000026B90000}"/>
    <cellStyle name="Normal 6 6 8 2" xfId="8164" xr:uid="{00000000-0005-0000-0000-000027B90000}"/>
    <cellStyle name="Normal 6 6 8 2 2" xfId="13928" xr:uid="{00000000-0005-0000-0000-000028B90000}"/>
    <cellStyle name="Normal 6 6 8 2 2 2" xfId="37413" xr:uid="{00000000-0005-0000-0000-000029B90000}"/>
    <cellStyle name="Normal 6 6 8 2 2 3" xfId="28094" xr:uid="{00000000-0005-0000-0000-00002AB90000}"/>
    <cellStyle name="Normal 6 6 8 2 2 4" xfId="51356" xr:uid="{00000000-0005-0000-0000-00002BB90000}"/>
    <cellStyle name="Normal 6 6 8 2 3" xfId="18659" xr:uid="{00000000-0005-0000-0000-00002CB90000}"/>
    <cellStyle name="Normal 6 6 8 2 3 2" xfId="32791" xr:uid="{00000000-0005-0000-0000-00002DB90000}"/>
    <cellStyle name="Normal 6 6 8 2 3 3" xfId="46686" xr:uid="{00000000-0005-0000-0000-00002EB90000}"/>
    <cellStyle name="Normal 6 6 8 2 4" xfId="23472" xr:uid="{00000000-0005-0000-0000-00002FB90000}"/>
    <cellStyle name="Normal 6 6 8 2 5" xfId="42104" xr:uid="{00000000-0005-0000-0000-000030B90000}"/>
    <cellStyle name="Normal 6 6 8 3" xfId="13927" xr:uid="{00000000-0005-0000-0000-000031B90000}"/>
    <cellStyle name="Normal 6 6 8 3 2" xfId="37412" xr:uid="{00000000-0005-0000-0000-000032B90000}"/>
    <cellStyle name="Normal 6 6 8 3 3" xfId="28093" xr:uid="{00000000-0005-0000-0000-000033B90000}"/>
    <cellStyle name="Normal 6 6 8 3 4" xfId="51355" xr:uid="{00000000-0005-0000-0000-000034B90000}"/>
    <cellStyle name="Normal 6 6 8 4" xfId="18658" xr:uid="{00000000-0005-0000-0000-000035B90000}"/>
    <cellStyle name="Normal 6 6 8 4 2" xfId="32790" xr:uid="{00000000-0005-0000-0000-000036B90000}"/>
    <cellStyle name="Normal 6 6 8 4 3" xfId="46685" xr:uid="{00000000-0005-0000-0000-000037B90000}"/>
    <cellStyle name="Normal 6 6 8 5" xfId="23471" xr:uid="{00000000-0005-0000-0000-000038B90000}"/>
    <cellStyle name="Normal 6 6 8 6" xfId="42103" xr:uid="{00000000-0005-0000-0000-000039B90000}"/>
    <cellStyle name="Normal 6 6 9" xfId="8165" xr:uid="{00000000-0005-0000-0000-00003AB90000}"/>
    <cellStyle name="Normal 6 6 9 2" xfId="8166" xr:uid="{00000000-0005-0000-0000-00003BB90000}"/>
    <cellStyle name="Normal 6 6 9 2 2" xfId="13930" xr:uid="{00000000-0005-0000-0000-00003CB90000}"/>
    <cellStyle name="Normal 6 6 9 2 2 2" xfId="37415" xr:uid="{00000000-0005-0000-0000-00003DB90000}"/>
    <cellStyle name="Normal 6 6 9 2 2 3" xfId="28096" xr:uid="{00000000-0005-0000-0000-00003EB90000}"/>
    <cellStyle name="Normal 6 6 9 2 2 4" xfId="51358" xr:uid="{00000000-0005-0000-0000-00003FB90000}"/>
    <cellStyle name="Normal 6 6 9 2 3" xfId="18661" xr:uid="{00000000-0005-0000-0000-000040B90000}"/>
    <cellStyle name="Normal 6 6 9 2 3 2" xfId="32793" xr:uid="{00000000-0005-0000-0000-000041B90000}"/>
    <cellStyle name="Normal 6 6 9 2 3 3" xfId="46688" xr:uid="{00000000-0005-0000-0000-000042B90000}"/>
    <cellStyle name="Normal 6 6 9 2 4" xfId="23474" xr:uid="{00000000-0005-0000-0000-000043B90000}"/>
    <cellStyle name="Normal 6 6 9 2 5" xfId="42106" xr:uid="{00000000-0005-0000-0000-000044B90000}"/>
    <cellStyle name="Normal 6 6 9 3" xfId="13929" xr:uid="{00000000-0005-0000-0000-000045B90000}"/>
    <cellStyle name="Normal 6 6 9 3 2" xfId="37414" xr:uid="{00000000-0005-0000-0000-000046B90000}"/>
    <cellStyle name="Normal 6 6 9 3 3" xfId="28095" xr:uid="{00000000-0005-0000-0000-000047B90000}"/>
    <cellStyle name="Normal 6 6 9 3 4" xfId="51357" xr:uid="{00000000-0005-0000-0000-000048B90000}"/>
    <cellStyle name="Normal 6 6 9 4" xfId="18660" xr:uid="{00000000-0005-0000-0000-000049B90000}"/>
    <cellStyle name="Normal 6 6 9 4 2" xfId="32792" xr:uid="{00000000-0005-0000-0000-00004AB90000}"/>
    <cellStyle name="Normal 6 6 9 4 3" xfId="46687" xr:uid="{00000000-0005-0000-0000-00004BB90000}"/>
    <cellStyle name="Normal 6 6 9 5" xfId="23473" xr:uid="{00000000-0005-0000-0000-00004CB90000}"/>
    <cellStyle name="Normal 6 6 9 6" xfId="42105" xr:uid="{00000000-0005-0000-0000-00004DB90000}"/>
    <cellStyle name="Normal 6 60" xfId="8167" xr:uid="{00000000-0005-0000-0000-00004EB90000}"/>
    <cellStyle name="Normal 6 60 2" xfId="8168" xr:uid="{00000000-0005-0000-0000-00004FB90000}"/>
    <cellStyle name="Normal 6 60 2 2" xfId="13932" xr:uid="{00000000-0005-0000-0000-000050B90000}"/>
    <cellStyle name="Normal 6 60 2 2 2" xfId="37417" xr:uid="{00000000-0005-0000-0000-000051B90000}"/>
    <cellStyle name="Normal 6 60 2 2 3" xfId="28098" xr:uid="{00000000-0005-0000-0000-000052B90000}"/>
    <cellStyle name="Normal 6 60 2 2 4" xfId="51360" xr:uid="{00000000-0005-0000-0000-000053B90000}"/>
    <cellStyle name="Normal 6 60 2 3" xfId="18663" xr:uid="{00000000-0005-0000-0000-000054B90000}"/>
    <cellStyle name="Normal 6 60 2 3 2" xfId="32795" xr:uid="{00000000-0005-0000-0000-000055B90000}"/>
    <cellStyle name="Normal 6 60 2 3 3" xfId="46690" xr:uid="{00000000-0005-0000-0000-000056B90000}"/>
    <cellStyle name="Normal 6 60 2 4" xfId="23476" xr:uid="{00000000-0005-0000-0000-000057B90000}"/>
    <cellStyle name="Normal 6 60 2 5" xfId="42108" xr:uid="{00000000-0005-0000-0000-000058B90000}"/>
    <cellStyle name="Normal 6 60 3" xfId="13931" xr:uid="{00000000-0005-0000-0000-000059B90000}"/>
    <cellStyle name="Normal 6 60 3 2" xfId="37416" xr:uid="{00000000-0005-0000-0000-00005AB90000}"/>
    <cellStyle name="Normal 6 60 3 3" xfId="28097" xr:uid="{00000000-0005-0000-0000-00005BB90000}"/>
    <cellStyle name="Normal 6 60 3 4" xfId="51359" xr:uid="{00000000-0005-0000-0000-00005CB90000}"/>
    <cellStyle name="Normal 6 60 4" xfId="18662" xr:uid="{00000000-0005-0000-0000-00005DB90000}"/>
    <cellStyle name="Normal 6 60 4 2" xfId="32794" xr:uid="{00000000-0005-0000-0000-00005EB90000}"/>
    <cellStyle name="Normal 6 60 4 3" xfId="46689" xr:uid="{00000000-0005-0000-0000-00005FB90000}"/>
    <cellStyle name="Normal 6 60 5" xfId="23475" xr:uid="{00000000-0005-0000-0000-000060B90000}"/>
    <cellStyle name="Normal 6 60 6" xfId="42107" xr:uid="{00000000-0005-0000-0000-000061B90000}"/>
    <cellStyle name="Normal 6 61" xfId="8169" xr:uid="{00000000-0005-0000-0000-000062B90000}"/>
    <cellStyle name="Normal 6 61 2" xfId="8170" xr:uid="{00000000-0005-0000-0000-000063B90000}"/>
    <cellStyle name="Normal 6 61 2 2" xfId="13934" xr:uid="{00000000-0005-0000-0000-000064B90000}"/>
    <cellStyle name="Normal 6 61 2 2 2" xfId="37419" xr:uid="{00000000-0005-0000-0000-000065B90000}"/>
    <cellStyle name="Normal 6 61 2 2 3" xfId="28100" xr:uid="{00000000-0005-0000-0000-000066B90000}"/>
    <cellStyle name="Normal 6 61 2 2 4" xfId="51362" xr:uid="{00000000-0005-0000-0000-000067B90000}"/>
    <cellStyle name="Normal 6 61 2 3" xfId="18665" xr:uid="{00000000-0005-0000-0000-000068B90000}"/>
    <cellStyle name="Normal 6 61 2 3 2" xfId="32797" xr:uid="{00000000-0005-0000-0000-000069B90000}"/>
    <cellStyle name="Normal 6 61 2 3 3" xfId="46692" xr:uid="{00000000-0005-0000-0000-00006AB90000}"/>
    <cellStyle name="Normal 6 61 2 4" xfId="23478" xr:uid="{00000000-0005-0000-0000-00006BB90000}"/>
    <cellStyle name="Normal 6 61 2 5" xfId="42110" xr:uid="{00000000-0005-0000-0000-00006CB90000}"/>
    <cellStyle name="Normal 6 61 3" xfId="13933" xr:uid="{00000000-0005-0000-0000-00006DB90000}"/>
    <cellStyle name="Normal 6 61 3 2" xfId="37418" xr:uid="{00000000-0005-0000-0000-00006EB90000}"/>
    <cellStyle name="Normal 6 61 3 3" xfId="28099" xr:uid="{00000000-0005-0000-0000-00006FB90000}"/>
    <cellStyle name="Normal 6 61 3 4" xfId="51361" xr:uid="{00000000-0005-0000-0000-000070B90000}"/>
    <cellStyle name="Normal 6 61 4" xfId="18664" xr:uid="{00000000-0005-0000-0000-000071B90000}"/>
    <cellStyle name="Normal 6 61 4 2" xfId="32796" xr:uid="{00000000-0005-0000-0000-000072B90000}"/>
    <cellStyle name="Normal 6 61 4 3" xfId="46691" xr:uid="{00000000-0005-0000-0000-000073B90000}"/>
    <cellStyle name="Normal 6 61 5" xfId="23477" xr:uid="{00000000-0005-0000-0000-000074B90000}"/>
    <cellStyle name="Normal 6 61 6" xfId="42109" xr:uid="{00000000-0005-0000-0000-000075B90000}"/>
    <cellStyle name="Normal 6 62" xfId="8171" xr:uid="{00000000-0005-0000-0000-000076B90000}"/>
    <cellStyle name="Normal 6 62 2" xfId="8172" xr:uid="{00000000-0005-0000-0000-000077B90000}"/>
    <cellStyle name="Normal 6 62 2 2" xfId="13936" xr:uid="{00000000-0005-0000-0000-000078B90000}"/>
    <cellStyle name="Normal 6 62 2 2 2" xfId="37421" xr:uid="{00000000-0005-0000-0000-000079B90000}"/>
    <cellStyle name="Normal 6 62 2 2 3" xfId="28102" xr:uid="{00000000-0005-0000-0000-00007AB90000}"/>
    <cellStyle name="Normal 6 62 2 2 4" xfId="51364" xr:uid="{00000000-0005-0000-0000-00007BB90000}"/>
    <cellStyle name="Normal 6 62 2 3" xfId="18667" xr:uid="{00000000-0005-0000-0000-00007CB90000}"/>
    <cellStyle name="Normal 6 62 2 3 2" xfId="32799" xr:uid="{00000000-0005-0000-0000-00007DB90000}"/>
    <cellStyle name="Normal 6 62 2 3 3" xfId="46694" xr:uid="{00000000-0005-0000-0000-00007EB90000}"/>
    <cellStyle name="Normal 6 62 2 4" xfId="23480" xr:uid="{00000000-0005-0000-0000-00007FB90000}"/>
    <cellStyle name="Normal 6 62 2 5" xfId="42112" xr:uid="{00000000-0005-0000-0000-000080B90000}"/>
    <cellStyle name="Normal 6 62 3" xfId="13935" xr:uid="{00000000-0005-0000-0000-000081B90000}"/>
    <cellStyle name="Normal 6 62 3 2" xfId="37420" xr:uid="{00000000-0005-0000-0000-000082B90000}"/>
    <cellStyle name="Normal 6 62 3 3" xfId="28101" xr:uid="{00000000-0005-0000-0000-000083B90000}"/>
    <cellStyle name="Normal 6 62 3 4" xfId="51363" xr:uid="{00000000-0005-0000-0000-000084B90000}"/>
    <cellStyle name="Normal 6 62 4" xfId="18666" xr:uid="{00000000-0005-0000-0000-000085B90000}"/>
    <cellStyle name="Normal 6 62 4 2" xfId="32798" xr:uid="{00000000-0005-0000-0000-000086B90000}"/>
    <cellStyle name="Normal 6 62 4 3" xfId="46693" xr:uid="{00000000-0005-0000-0000-000087B90000}"/>
    <cellStyle name="Normal 6 62 5" xfId="23479" xr:uid="{00000000-0005-0000-0000-000088B90000}"/>
    <cellStyle name="Normal 6 62 6" xfId="42111" xr:uid="{00000000-0005-0000-0000-000089B90000}"/>
    <cellStyle name="Normal 6 63" xfId="8173" xr:uid="{00000000-0005-0000-0000-00008AB90000}"/>
    <cellStyle name="Normal 6 63 2" xfId="8174" xr:uid="{00000000-0005-0000-0000-00008BB90000}"/>
    <cellStyle name="Normal 6 63 2 2" xfId="13938" xr:uid="{00000000-0005-0000-0000-00008CB90000}"/>
    <cellStyle name="Normal 6 63 2 2 2" xfId="37423" xr:uid="{00000000-0005-0000-0000-00008DB90000}"/>
    <cellStyle name="Normal 6 63 2 2 3" xfId="28104" xr:uid="{00000000-0005-0000-0000-00008EB90000}"/>
    <cellStyle name="Normal 6 63 2 2 4" xfId="51366" xr:uid="{00000000-0005-0000-0000-00008FB90000}"/>
    <cellStyle name="Normal 6 63 2 3" xfId="18669" xr:uid="{00000000-0005-0000-0000-000090B90000}"/>
    <cellStyle name="Normal 6 63 2 3 2" xfId="32801" xr:uid="{00000000-0005-0000-0000-000091B90000}"/>
    <cellStyle name="Normal 6 63 2 3 3" xfId="46696" xr:uid="{00000000-0005-0000-0000-000092B90000}"/>
    <cellStyle name="Normal 6 63 2 4" xfId="23482" xr:uid="{00000000-0005-0000-0000-000093B90000}"/>
    <cellStyle name="Normal 6 63 2 5" xfId="42114" xr:uid="{00000000-0005-0000-0000-000094B90000}"/>
    <cellStyle name="Normal 6 63 3" xfId="13937" xr:uid="{00000000-0005-0000-0000-000095B90000}"/>
    <cellStyle name="Normal 6 63 3 2" xfId="37422" xr:uid="{00000000-0005-0000-0000-000096B90000}"/>
    <cellStyle name="Normal 6 63 3 3" xfId="28103" xr:uid="{00000000-0005-0000-0000-000097B90000}"/>
    <cellStyle name="Normal 6 63 3 4" xfId="51365" xr:uid="{00000000-0005-0000-0000-000098B90000}"/>
    <cellStyle name="Normal 6 63 4" xfId="18668" xr:uid="{00000000-0005-0000-0000-000099B90000}"/>
    <cellStyle name="Normal 6 63 4 2" xfId="32800" xr:uid="{00000000-0005-0000-0000-00009AB90000}"/>
    <cellStyle name="Normal 6 63 4 3" xfId="46695" xr:uid="{00000000-0005-0000-0000-00009BB90000}"/>
    <cellStyle name="Normal 6 63 5" xfId="23481" xr:uid="{00000000-0005-0000-0000-00009CB90000}"/>
    <cellStyle name="Normal 6 63 6" xfId="42113" xr:uid="{00000000-0005-0000-0000-00009DB90000}"/>
    <cellStyle name="Normal 6 64" xfId="8175" xr:uid="{00000000-0005-0000-0000-00009EB90000}"/>
    <cellStyle name="Normal 6 64 2" xfId="8176" xr:uid="{00000000-0005-0000-0000-00009FB90000}"/>
    <cellStyle name="Normal 6 64 2 2" xfId="13940" xr:uid="{00000000-0005-0000-0000-0000A0B90000}"/>
    <cellStyle name="Normal 6 64 2 2 2" xfId="37425" xr:uid="{00000000-0005-0000-0000-0000A1B90000}"/>
    <cellStyle name="Normal 6 64 2 2 3" xfId="28106" xr:uid="{00000000-0005-0000-0000-0000A2B90000}"/>
    <cellStyle name="Normal 6 64 2 2 4" xfId="51368" xr:uid="{00000000-0005-0000-0000-0000A3B90000}"/>
    <cellStyle name="Normal 6 64 2 3" xfId="18671" xr:uid="{00000000-0005-0000-0000-0000A4B90000}"/>
    <cellStyle name="Normal 6 64 2 3 2" xfId="32803" xr:uid="{00000000-0005-0000-0000-0000A5B90000}"/>
    <cellStyle name="Normal 6 64 2 3 3" xfId="46698" xr:uid="{00000000-0005-0000-0000-0000A6B90000}"/>
    <cellStyle name="Normal 6 64 2 4" xfId="23484" xr:uid="{00000000-0005-0000-0000-0000A7B90000}"/>
    <cellStyle name="Normal 6 64 2 5" xfId="42116" xr:uid="{00000000-0005-0000-0000-0000A8B90000}"/>
    <cellStyle name="Normal 6 64 3" xfId="13939" xr:uid="{00000000-0005-0000-0000-0000A9B90000}"/>
    <cellStyle name="Normal 6 64 3 2" xfId="37424" xr:uid="{00000000-0005-0000-0000-0000AAB90000}"/>
    <cellStyle name="Normal 6 64 3 3" xfId="28105" xr:uid="{00000000-0005-0000-0000-0000ABB90000}"/>
    <cellStyle name="Normal 6 64 3 4" xfId="51367" xr:uid="{00000000-0005-0000-0000-0000ACB90000}"/>
    <cellStyle name="Normal 6 64 4" xfId="18670" xr:uid="{00000000-0005-0000-0000-0000ADB90000}"/>
    <cellStyle name="Normal 6 64 4 2" xfId="32802" xr:uid="{00000000-0005-0000-0000-0000AEB90000}"/>
    <cellStyle name="Normal 6 64 4 3" xfId="46697" xr:uid="{00000000-0005-0000-0000-0000AFB90000}"/>
    <cellStyle name="Normal 6 64 5" xfId="23483" xr:uid="{00000000-0005-0000-0000-0000B0B90000}"/>
    <cellStyle name="Normal 6 64 6" xfId="42115" xr:uid="{00000000-0005-0000-0000-0000B1B90000}"/>
    <cellStyle name="Normal 6 65" xfId="8177" xr:uid="{00000000-0005-0000-0000-0000B2B90000}"/>
    <cellStyle name="Normal 6 65 2" xfId="8178" xr:uid="{00000000-0005-0000-0000-0000B3B90000}"/>
    <cellStyle name="Normal 6 65 2 2" xfId="13942" xr:uid="{00000000-0005-0000-0000-0000B4B90000}"/>
    <cellStyle name="Normal 6 65 2 2 2" xfId="37427" xr:uid="{00000000-0005-0000-0000-0000B5B90000}"/>
    <cellStyle name="Normal 6 65 2 2 3" xfId="28108" xr:uid="{00000000-0005-0000-0000-0000B6B90000}"/>
    <cellStyle name="Normal 6 65 2 2 4" xfId="51370" xr:uid="{00000000-0005-0000-0000-0000B7B90000}"/>
    <cellStyle name="Normal 6 65 2 3" xfId="18673" xr:uid="{00000000-0005-0000-0000-0000B8B90000}"/>
    <cellStyle name="Normal 6 65 2 3 2" xfId="32805" xr:uid="{00000000-0005-0000-0000-0000B9B90000}"/>
    <cellStyle name="Normal 6 65 2 3 3" xfId="46700" xr:uid="{00000000-0005-0000-0000-0000BAB90000}"/>
    <cellStyle name="Normal 6 65 2 4" xfId="23486" xr:uid="{00000000-0005-0000-0000-0000BBB90000}"/>
    <cellStyle name="Normal 6 65 2 5" xfId="42118" xr:uid="{00000000-0005-0000-0000-0000BCB90000}"/>
    <cellStyle name="Normal 6 65 3" xfId="13941" xr:uid="{00000000-0005-0000-0000-0000BDB90000}"/>
    <cellStyle name="Normal 6 65 3 2" xfId="37426" xr:uid="{00000000-0005-0000-0000-0000BEB90000}"/>
    <cellStyle name="Normal 6 65 3 3" xfId="28107" xr:uid="{00000000-0005-0000-0000-0000BFB90000}"/>
    <cellStyle name="Normal 6 65 3 4" xfId="51369" xr:uid="{00000000-0005-0000-0000-0000C0B90000}"/>
    <cellStyle name="Normal 6 65 4" xfId="18672" xr:uid="{00000000-0005-0000-0000-0000C1B90000}"/>
    <cellStyle name="Normal 6 65 4 2" xfId="32804" xr:uid="{00000000-0005-0000-0000-0000C2B90000}"/>
    <cellStyle name="Normal 6 65 4 3" xfId="46699" xr:uid="{00000000-0005-0000-0000-0000C3B90000}"/>
    <cellStyle name="Normal 6 65 5" xfId="23485" xr:uid="{00000000-0005-0000-0000-0000C4B90000}"/>
    <cellStyle name="Normal 6 65 6" xfId="42117" xr:uid="{00000000-0005-0000-0000-0000C5B90000}"/>
    <cellStyle name="Normal 6 66" xfId="8179" xr:uid="{00000000-0005-0000-0000-0000C6B90000}"/>
    <cellStyle name="Normal 6 66 2" xfId="8180" xr:uid="{00000000-0005-0000-0000-0000C7B90000}"/>
    <cellStyle name="Normal 6 66 2 2" xfId="13944" xr:uid="{00000000-0005-0000-0000-0000C8B90000}"/>
    <cellStyle name="Normal 6 66 2 2 2" xfId="37429" xr:uid="{00000000-0005-0000-0000-0000C9B90000}"/>
    <cellStyle name="Normal 6 66 2 2 3" xfId="28110" xr:uid="{00000000-0005-0000-0000-0000CAB90000}"/>
    <cellStyle name="Normal 6 66 2 2 4" xfId="51372" xr:uid="{00000000-0005-0000-0000-0000CBB90000}"/>
    <cellStyle name="Normal 6 66 2 3" xfId="18675" xr:uid="{00000000-0005-0000-0000-0000CCB90000}"/>
    <cellStyle name="Normal 6 66 2 3 2" xfId="32807" xr:uid="{00000000-0005-0000-0000-0000CDB90000}"/>
    <cellStyle name="Normal 6 66 2 3 3" xfId="46702" xr:uid="{00000000-0005-0000-0000-0000CEB90000}"/>
    <cellStyle name="Normal 6 66 2 4" xfId="23488" xr:uid="{00000000-0005-0000-0000-0000CFB90000}"/>
    <cellStyle name="Normal 6 66 2 5" xfId="42120" xr:uid="{00000000-0005-0000-0000-0000D0B90000}"/>
    <cellStyle name="Normal 6 66 3" xfId="13943" xr:uid="{00000000-0005-0000-0000-0000D1B90000}"/>
    <cellStyle name="Normal 6 66 3 2" xfId="37428" xr:uid="{00000000-0005-0000-0000-0000D2B90000}"/>
    <cellStyle name="Normal 6 66 3 3" xfId="28109" xr:uid="{00000000-0005-0000-0000-0000D3B90000}"/>
    <cellStyle name="Normal 6 66 3 4" xfId="51371" xr:uid="{00000000-0005-0000-0000-0000D4B90000}"/>
    <cellStyle name="Normal 6 66 4" xfId="18674" xr:uid="{00000000-0005-0000-0000-0000D5B90000}"/>
    <cellStyle name="Normal 6 66 4 2" xfId="32806" xr:uid="{00000000-0005-0000-0000-0000D6B90000}"/>
    <cellStyle name="Normal 6 66 4 3" xfId="46701" xr:uid="{00000000-0005-0000-0000-0000D7B90000}"/>
    <cellStyle name="Normal 6 66 5" xfId="23487" xr:uid="{00000000-0005-0000-0000-0000D8B90000}"/>
    <cellStyle name="Normal 6 66 6" xfId="42119" xr:uid="{00000000-0005-0000-0000-0000D9B90000}"/>
    <cellStyle name="Normal 6 67" xfId="8181" xr:uid="{00000000-0005-0000-0000-0000DAB90000}"/>
    <cellStyle name="Normal 6 67 2" xfId="8182" xr:uid="{00000000-0005-0000-0000-0000DBB90000}"/>
    <cellStyle name="Normal 6 67 2 2" xfId="13946" xr:uid="{00000000-0005-0000-0000-0000DCB90000}"/>
    <cellStyle name="Normal 6 67 2 2 2" xfId="37431" xr:uid="{00000000-0005-0000-0000-0000DDB90000}"/>
    <cellStyle name="Normal 6 67 2 2 3" xfId="28112" xr:uid="{00000000-0005-0000-0000-0000DEB90000}"/>
    <cellStyle name="Normal 6 67 2 2 4" xfId="51374" xr:uid="{00000000-0005-0000-0000-0000DFB90000}"/>
    <cellStyle name="Normal 6 67 2 3" xfId="18677" xr:uid="{00000000-0005-0000-0000-0000E0B90000}"/>
    <cellStyle name="Normal 6 67 2 3 2" xfId="32809" xr:uid="{00000000-0005-0000-0000-0000E1B90000}"/>
    <cellStyle name="Normal 6 67 2 3 3" xfId="46704" xr:uid="{00000000-0005-0000-0000-0000E2B90000}"/>
    <cellStyle name="Normal 6 67 2 4" xfId="23490" xr:uid="{00000000-0005-0000-0000-0000E3B90000}"/>
    <cellStyle name="Normal 6 67 2 5" xfId="42122" xr:uid="{00000000-0005-0000-0000-0000E4B90000}"/>
    <cellStyle name="Normal 6 67 3" xfId="13945" xr:uid="{00000000-0005-0000-0000-0000E5B90000}"/>
    <cellStyle name="Normal 6 67 3 2" xfId="37430" xr:uid="{00000000-0005-0000-0000-0000E6B90000}"/>
    <cellStyle name="Normal 6 67 3 3" xfId="28111" xr:uid="{00000000-0005-0000-0000-0000E7B90000}"/>
    <cellStyle name="Normal 6 67 3 4" xfId="51373" xr:uid="{00000000-0005-0000-0000-0000E8B90000}"/>
    <cellStyle name="Normal 6 67 4" xfId="18676" xr:uid="{00000000-0005-0000-0000-0000E9B90000}"/>
    <cellStyle name="Normal 6 67 4 2" xfId="32808" xr:uid="{00000000-0005-0000-0000-0000EAB90000}"/>
    <cellStyle name="Normal 6 67 4 3" xfId="46703" xr:uid="{00000000-0005-0000-0000-0000EBB90000}"/>
    <cellStyle name="Normal 6 67 5" xfId="23489" xr:uid="{00000000-0005-0000-0000-0000ECB90000}"/>
    <cellStyle name="Normal 6 67 6" xfId="42121" xr:uid="{00000000-0005-0000-0000-0000EDB90000}"/>
    <cellStyle name="Normal 6 68" xfId="8183" xr:uid="{00000000-0005-0000-0000-0000EEB90000}"/>
    <cellStyle name="Normal 6 68 2" xfId="8184" xr:uid="{00000000-0005-0000-0000-0000EFB90000}"/>
    <cellStyle name="Normal 6 68 2 2" xfId="13948" xr:uid="{00000000-0005-0000-0000-0000F0B90000}"/>
    <cellStyle name="Normal 6 68 2 2 2" xfId="37433" xr:uid="{00000000-0005-0000-0000-0000F1B90000}"/>
    <cellStyle name="Normal 6 68 2 2 3" xfId="28114" xr:uid="{00000000-0005-0000-0000-0000F2B90000}"/>
    <cellStyle name="Normal 6 68 2 2 4" xfId="51376" xr:uid="{00000000-0005-0000-0000-0000F3B90000}"/>
    <cellStyle name="Normal 6 68 2 3" xfId="18679" xr:uid="{00000000-0005-0000-0000-0000F4B90000}"/>
    <cellStyle name="Normal 6 68 2 3 2" xfId="32811" xr:uid="{00000000-0005-0000-0000-0000F5B90000}"/>
    <cellStyle name="Normal 6 68 2 3 3" xfId="46706" xr:uid="{00000000-0005-0000-0000-0000F6B90000}"/>
    <cellStyle name="Normal 6 68 2 4" xfId="23492" xr:uid="{00000000-0005-0000-0000-0000F7B90000}"/>
    <cellStyle name="Normal 6 68 2 5" xfId="42124" xr:uid="{00000000-0005-0000-0000-0000F8B90000}"/>
    <cellStyle name="Normal 6 68 3" xfId="13947" xr:uid="{00000000-0005-0000-0000-0000F9B90000}"/>
    <cellStyle name="Normal 6 68 3 2" xfId="37432" xr:uid="{00000000-0005-0000-0000-0000FAB90000}"/>
    <cellStyle name="Normal 6 68 3 3" xfId="28113" xr:uid="{00000000-0005-0000-0000-0000FBB90000}"/>
    <cellStyle name="Normal 6 68 3 4" xfId="51375" xr:uid="{00000000-0005-0000-0000-0000FCB90000}"/>
    <cellStyle name="Normal 6 68 4" xfId="18678" xr:uid="{00000000-0005-0000-0000-0000FDB90000}"/>
    <cellStyle name="Normal 6 68 4 2" xfId="32810" xr:uid="{00000000-0005-0000-0000-0000FEB90000}"/>
    <cellStyle name="Normal 6 68 4 3" xfId="46705" xr:uid="{00000000-0005-0000-0000-0000FFB90000}"/>
    <cellStyle name="Normal 6 68 5" xfId="23491" xr:uid="{00000000-0005-0000-0000-000000BA0000}"/>
    <cellStyle name="Normal 6 68 6" xfId="42123" xr:uid="{00000000-0005-0000-0000-000001BA0000}"/>
    <cellStyle name="Normal 6 69" xfId="8185" xr:uid="{00000000-0005-0000-0000-000002BA0000}"/>
    <cellStyle name="Normal 6 69 2" xfId="8186" xr:uid="{00000000-0005-0000-0000-000003BA0000}"/>
    <cellStyle name="Normal 6 69 2 2" xfId="13950" xr:uid="{00000000-0005-0000-0000-000004BA0000}"/>
    <cellStyle name="Normal 6 69 2 2 2" xfId="37435" xr:uid="{00000000-0005-0000-0000-000005BA0000}"/>
    <cellStyle name="Normal 6 69 2 2 3" xfId="28116" xr:uid="{00000000-0005-0000-0000-000006BA0000}"/>
    <cellStyle name="Normal 6 69 2 2 4" xfId="51378" xr:uid="{00000000-0005-0000-0000-000007BA0000}"/>
    <cellStyle name="Normal 6 69 2 3" xfId="18681" xr:uid="{00000000-0005-0000-0000-000008BA0000}"/>
    <cellStyle name="Normal 6 69 2 3 2" xfId="32813" xr:uid="{00000000-0005-0000-0000-000009BA0000}"/>
    <cellStyle name="Normal 6 69 2 3 3" xfId="46708" xr:uid="{00000000-0005-0000-0000-00000ABA0000}"/>
    <cellStyle name="Normal 6 69 2 4" xfId="23494" xr:uid="{00000000-0005-0000-0000-00000BBA0000}"/>
    <cellStyle name="Normal 6 69 2 5" xfId="42126" xr:uid="{00000000-0005-0000-0000-00000CBA0000}"/>
    <cellStyle name="Normal 6 69 3" xfId="13949" xr:uid="{00000000-0005-0000-0000-00000DBA0000}"/>
    <cellStyle name="Normal 6 69 3 2" xfId="37434" xr:uid="{00000000-0005-0000-0000-00000EBA0000}"/>
    <cellStyle name="Normal 6 69 3 3" xfId="28115" xr:uid="{00000000-0005-0000-0000-00000FBA0000}"/>
    <cellStyle name="Normal 6 69 3 4" xfId="51377" xr:uid="{00000000-0005-0000-0000-000010BA0000}"/>
    <cellStyle name="Normal 6 69 4" xfId="18680" xr:uid="{00000000-0005-0000-0000-000011BA0000}"/>
    <cellStyle name="Normal 6 69 4 2" xfId="32812" xr:uid="{00000000-0005-0000-0000-000012BA0000}"/>
    <cellStyle name="Normal 6 69 4 3" xfId="46707" xr:uid="{00000000-0005-0000-0000-000013BA0000}"/>
    <cellStyle name="Normal 6 69 5" xfId="23493" xr:uid="{00000000-0005-0000-0000-000014BA0000}"/>
    <cellStyle name="Normal 6 69 6" xfId="42125" xr:uid="{00000000-0005-0000-0000-000015BA0000}"/>
    <cellStyle name="Normal 6 7" xfId="8187" xr:uid="{00000000-0005-0000-0000-000016BA0000}"/>
    <cellStyle name="Normal 6 7 10" xfId="8188" xr:uid="{00000000-0005-0000-0000-000017BA0000}"/>
    <cellStyle name="Normal 6 7 10 2" xfId="8189" xr:uid="{00000000-0005-0000-0000-000018BA0000}"/>
    <cellStyle name="Normal 6 7 10 2 2" xfId="13953" xr:uid="{00000000-0005-0000-0000-000019BA0000}"/>
    <cellStyle name="Normal 6 7 10 2 2 2" xfId="37438" xr:uid="{00000000-0005-0000-0000-00001ABA0000}"/>
    <cellStyle name="Normal 6 7 10 2 2 3" xfId="28119" xr:uid="{00000000-0005-0000-0000-00001BBA0000}"/>
    <cellStyle name="Normal 6 7 10 2 2 4" xfId="51381" xr:uid="{00000000-0005-0000-0000-00001CBA0000}"/>
    <cellStyle name="Normal 6 7 10 2 3" xfId="18684" xr:uid="{00000000-0005-0000-0000-00001DBA0000}"/>
    <cellStyle name="Normal 6 7 10 2 3 2" xfId="32816" xr:uid="{00000000-0005-0000-0000-00001EBA0000}"/>
    <cellStyle name="Normal 6 7 10 2 3 3" xfId="46711" xr:uid="{00000000-0005-0000-0000-00001FBA0000}"/>
    <cellStyle name="Normal 6 7 10 2 4" xfId="23497" xr:uid="{00000000-0005-0000-0000-000020BA0000}"/>
    <cellStyle name="Normal 6 7 10 2 5" xfId="42129" xr:uid="{00000000-0005-0000-0000-000021BA0000}"/>
    <cellStyle name="Normal 6 7 10 3" xfId="13952" xr:uid="{00000000-0005-0000-0000-000022BA0000}"/>
    <cellStyle name="Normal 6 7 10 3 2" xfId="37437" xr:uid="{00000000-0005-0000-0000-000023BA0000}"/>
    <cellStyle name="Normal 6 7 10 3 3" xfId="28118" xr:uid="{00000000-0005-0000-0000-000024BA0000}"/>
    <cellStyle name="Normal 6 7 10 3 4" xfId="51380" xr:uid="{00000000-0005-0000-0000-000025BA0000}"/>
    <cellStyle name="Normal 6 7 10 4" xfId="18683" xr:uid="{00000000-0005-0000-0000-000026BA0000}"/>
    <cellStyle name="Normal 6 7 10 4 2" xfId="32815" xr:uid="{00000000-0005-0000-0000-000027BA0000}"/>
    <cellStyle name="Normal 6 7 10 4 3" xfId="46710" xr:uid="{00000000-0005-0000-0000-000028BA0000}"/>
    <cellStyle name="Normal 6 7 10 5" xfId="23496" xr:uid="{00000000-0005-0000-0000-000029BA0000}"/>
    <cellStyle name="Normal 6 7 10 6" xfId="42128" xr:uid="{00000000-0005-0000-0000-00002ABA0000}"/>
    <cellStyle name="Normal 6 7 11" xfId="8190" xr:uid="{00000000-0005-0000-0000-00002BBA0000}"/>
    <cellStyle name="Normal 6 7 11 2" xfId="13954" xr:uid="{00000000-0005-0000-0000-00002CBA0000}"/>
    <cellStyle name="Normal 6 7 11 2 2" xfId="37439" xr:uid="{00000000-0005-0000-0000-00002DBA0000}"/>
    <cellStyle name="Normal 6 7 11 2 3" xfId="28120" xr:uid="{00000000-0005-0000-0000-00002EBA0000}"/>
    <cellStyle name="Normal 6 7 11 2 4" xfId="51382" xr:uid="{00000000-0005-0000-0000-00002FBA0000}"/>
    <cellStyle name="Normal 6 7 11 3" xfId="18685" xr:uid="{00000000-0005-0000-0000-000030BA0000}"/>
    <cellStyle name="Normal 6 7 11 3 2" xfId="32817" xr:uid="{00000000-0005-0000-0000-000031BA0000}"/>
    <cellStyle name="Normal 6 7 11 3 3" xfId="46712" xr:uid="{00000000-0005-0000-0000-000032BA0000}"/>
    <cellStyle name="Normal 6 7 11 4" xfId="23498" xr:uid="{00000000-0005-0000-0000-000033BA0000}"/>
    <cellStyle name="Normal 6 7 11 5" xfId="42130" xr:uid="{00000000-0005-0000-0000-000034BA0000}"/>
    <cellStyle name="Normal 6 7 12" xfId="13951" xr:uid="{00000000-0005-0000-0000-000035BA0000}"/>
    <cellStyle name="Normal 6 7 12 2" xfId="37436" xr:uid="{00000000-0005-0000-0000-000036BA0000}"/>
    <cellStyle name="Normal 6 7 12 3" xfId="28117" xr:uid="{00000000-0005-0000-0000-000037BA0000}"/>
    <cellStyle name="Normal 6 7 12 4" xfId="51379" xr:uid="{00000000-0005-0000-0000-000038BA0000}"/>
    <cellStyle name="Normal 6 7 13" xfId="18682" xr:uid="{00000000-0005-0000-0000-000039BA0000}"/>
    <cellStyle name="Normal 6 7 13 2" xfId="32814" xr:uid="{00000000-0005-0000-0000-00003ABA0000}"/>
    <cellStyle name="Normal 6 7 13 3" xfId="46709" xr:uid="{00000000-0005-0000-0000-00003BBA0000}"/>
    <cellStyle name="Normal 6 7 14" xfId="23495" xr:uid="{00000000-0005-0000-0000-00003CBA0000}"/>
    <cellStyle name="Normal 6 7 15" xfId="42127" xr:uid="{00000000-0005-0000-0000-00003DBA0000}"/>
    <cellStyle name="Normal 6 7 2" xfId="8191" xr:uid="{00000000-0005-0000-0000-00003EBA0000}"/>
    <cellStyle name="Normal 6 7 2 2" xfId="8192" xr:uid="{00000000-0005-0000-0000-00003FBA0000}"/>
    <cellStyle name="Normal 6 7 2 2 2" xfId="13956" xr:uid="{00000000-0005-0000-0000-000040BA0000}"/>
    <cellStyle name="Normal 6 7 2 2 2 2" xfId="37441" xr:uid="{00000000-0005-0000-0000-000041BA0000}"/>
    <cellStyle name="Normal 6 7 2 2 2 3" xfId="28122" xr:uid="{00000000-0005-0000-0000-000042BA0000}"/>
    <cellStyle name="Normal 6 7 2 2 2 4" xfId="51384" xr:uid="{00000000-0005-0000-0000-000043BA0000}"/>
    <cellStyle name="Normal 6 7 2 2 3" xfId="18687" xr:uid="{00000000-0005-0000-0000-000044BA0000}"/>
    <cellStyle name="Normal 6 7 2 2 3 2" xfId="32819" xr:uid="{00000000-0005-0000-0000-000045BA0000}"/>
    <cellStyle name="Normal 6 7 2 2 3 3" xfId="46714" xr:uid="{00000000-0005-0000-0000-000046BA0000}"/>
    <cellStyle name="Normal 6 7 2 2 4" xfId="23500" xr:uid="{00000000-0005-0000-0000-000047BA0000}"/>
    <cellStyle name="Normal 6 7 2 2 5" xfId="42132" xr:uid="{00000000-0005-0000-0000-000048BA0000}"/>
    <cellStyle name="Normal 6 7 2 3" xfId="13955" xr:uid="{00000000-0005-0000-0000-000049BA0000}"/>
    <cellStyle name="Normal 6 7 2 3 2" xfId="37440" xr:uid="{00000000-0005-0000-0000-00004ABA0000}"/>
    <cellStyle name="Normal 6 7 2 3 3" xfId="28121" xr:uid="{00000000-0005-0000-0000-00004BBA0000}"/>
    <cellStyle name="Normal 6 7 2 3 4" xfId="51383" xr:uid="{00000000-0005-0000-0000-00004CBA0000}"/>
    <cellStyle name="Normal 6 7 2 4" xfId="18686" xr:uid="{00000000-0005-0000-0000-00004DBA0000}"/>
    <cellStyle name="Normal 6 7 2 4 2" xfId="32818" xr:uid="{00000000-0005-0000-0000-00004EBA0000}"/>
    <cellStyle name="Normal 6 7 2 4 3" xfId="46713" xr:uid="{00000000-0005-0000-0000-00004FBA0000}"/>
    <cellStyle name="Normal 6 7 2 5" xfId="23499" xr:uid="{00000000-0005-0000-0000-000050BA0000}"/>
    <cellStyle name="Normal 6 7 2 6" xfId="42131" xr:uid="{00000000-0005-0000-0000-000051BA0000}"/>
    <cellStyle name="Normal 6 7 3" xfId="8193" xr:uid="{00000000-0005-0000-0000-000052BA0000}"/>
    <cellStyle name="Normal 6 7 3 2" xfId="8194" xr:uid="{00000000-0005-0000-0000-000053BA0000}"/>
    <cellStyle name="Normal 6 7 3 2 2" xfId="13958" xr:uid="{00000000-0005-0000-0000-000054BA0000}"/>
    <cellStyle name="Normal 6 7 3 2 2 2" xfId="37443" xr:uid="{00000000-0005-0000-0000-000055BA0000}"/>
    <cellStyle name="Normal 6 7 3 2 2 3" xfId="28124" xr:uid="{00000000-0005-0000-0000-000056BA0000}"/>
    <cellStyle name="Normal 6 7 3 2 2 4" xfId="51386" xr:uid="{00000000-0005-0000-0000-000057BA0000}"/>
    <cellStyle name="Normal 6 7 3 2 3" xfId="18689" xr:uid="{00000000-0005-0000-0000-000058BA0000}"/>
    <cellStyle name="Normal 6 7 3 2 3 2" xfId="32821" xr:uid="{00000000-0005-0000-0000-000059BA0000}"/>
    <cellStyle name="Normal 6 7 3 2 3 3" xfId="46716" xr:uid="{00000000-0005-0000-0000-00005ABA0000}"/>
    <cellStyle name="Normal 6 7 3 2 4" xfId="23502" xr:uid="{00000000-0005-0000-0000-00005BBA0000}"/>
    <cellStyle name="Normal 6 7 3 2 5" xfId="42134" xr:uid="{00000000-0005-0000-0000-00005CBA0000}"/>
    <cellStyle name="Normal 6 7 3 3" xfId="13957" xr:uid="{00000000-0005-0000-0000-00005DBA0000}"/>
    <cellStyle name="Normal 6 7 3 3 2" xfId="37442" xr:uid="{00000000-0005-0000-0000-00005EBA0000}"/>
    <cellStyle name="Normal 6 7 3 3 3" xfId="28123" xr:uid="{00000000-0005-0000-0000-00005FBA0000}"/>
    <cellStyle name="Normal 6 7 3 3 4" xfId="51385" xr:uid="{00000000-0005-0000-0000-000060BA0000}"/>
    <cellStyle name="Normal 6 7 3 4" xfId="18688" xr:uid="{00000000-0005-0000-0000-000061BA0000}"/>
    <cellStyle name="Normal 6 7 3 4 2" xfId="32820" xr:uid="{00000000-0005-0000-0000-000062BA0000}"/>
    <cellStyle name="Normal 6 7 3 4 3" xfId="46715" xr:uid="{00000000-0005-0000-0000-000063BA0000}"/>
    <cellStyle name="Normal 6 7 3 5" xfId="23501" xr:uid="{00000000-0005-0000-0000-000064BA0000}"/>
    <cellStyle name="Normal 6 7 3 6" xfId="42133" xr:uid="{00000000-0005-0000-0000-000065BA0000}"/>
    <cellStyle name="Normal 6 7 4" xfId="8195" xr:uid="{00000000-0005-0000-0000-000066BA0000}"/>
    <cellStyle name="Normal 6 7 4 2" xfId="8196" xr:uid="{00000000-0005-0000-0000-000067BA0000}"/>
    <cellStyle name="Normal 6 7 4 2 2" xfId="13960" xr:uid="{00000000-0005-0000-0000-000068BA0000}"/>
    <cellStyle name="Normal 6 7 4 2 2 2" xfId="37445" xr:uid="{00000000-0005-0000-0000-000069BA0000}"/>
    <cellStyle name="Normal 6 7 4 2 2 3" xfId="28126" xr:uid="{00000000-0005-0000-0000-00006ABA0000}"/>
    <cellStyle name="Normal 6 7 4 2 2 4" xfId="51388" xr:uid="{00000000-0005-0000-0000-00006BBA0000}"/>
    <cellStyle name="Normal 6 7 4 2 3" xfId="18691" xr:uid="{00000000-0005-0000-0000-00006CBA0000}"/>
    <cellStyle name="Normal 6 7 4 2 3 2" xfId="32823" xr:uid="{00000000-0005-0000-0000-00006DBA0000}"/>
    <cellStyle name="Normal 6 7 4 2 3 3" xfId="46718" xr:uid="{00000000-0005-0000-0000-00006EBA0000}"/>
    <cellStyle name="Normal 6 7 4 2 4" xfId="23504" xr:uid="{00000000-0005-0000-0000-00006FBA0000}"/>
    <cellStyle name="Normal 6 7 4 2 5" xfId="42136" xr:uid="{00000000-0005-0000-0000-000070BA0000}"/>
    <cellStyle name="Normal 6 7 4 3" xfId="13959" xr:uid="{00000000-0005-0000-0000-000071BA0000}"/>
    <cellStyle name="Normal 6 7 4 3 2" xfId="37444" xr:uid="{00000000-0005-0000-0000-000072BA0000}"/>
    <cellStyle name="Normal 6 7 4 3 3" xfId="28125" xr:uid="{00000000-0005-0000-0000-000073BA0000}"/>
    <cellStyle name="Normal 6 7 4 3 4" xfId="51387" xr:uid="{00000000-0005-0000-0000-000074BA0000}"/>
    <cellStyle name="Normal 6 7 4 4" xfId="18690" xr:uid="{00000000-0005-0000-0000-000075BA0000}"/>
    <cellStyle name="Normal 6 7 4 4 2" xfId="32822" xr:uid="{00000000-0005-0000-0000-000076BA0000}"/>
    <cellStyle name="Normal 6 7 4 4 3" xfId="46717" xr:uid="{00000000-0005-0000-0000-000077BA0000}"/>
    <cellStyle name="Normal 6 7 4 5" xfId="23503" xr:uid="{00000000-0005-0000-0000-000078BA0000}"/>
    <cellStyle name="Normal 6 7 4 6" xfId="42135" xr:uid="{00000000-0005-0000-0000-000079BA0000}"/>
    <cellStyle name="Normal 6 7 5" xfId="8197" xr:uid="{00000000-0005-0000-0000-00007ABA0000}"/>
    <cellStyle name="Normal 6 7 5 2" xfId="8198" xr:uid="{00000000-0005-0000-0000-00007BBA0000}"/>
    <cellStyle name="Normal 6 7 5 2 2" xfId="13962" xr:uid="{00000000-0005-0000-0000-00007CBA0000}"/>
    <cellStyle name="Normal 6 7 5 2 2 2" xfId="37447" xr:uid="{00000000-0005-0000-0000-00007DBA0000}"/>
    <cellStyle name="Normal 6 7 5 2 2 3" xfId="28128" xr:uid="{00000000-0005-0000-0000-00007EBA0000}"/>
    <cellStyle name="Normal 6 7 5 2 2 4" xfId="51390" xr:uid="{00000000-0005-0000-0000-00007FBA0000}"/>
    <cellStyle name="Normal 6 7 5 2 3" xfId="18693" xr:uid="{00000000-0005-0000-0000-000080BA0000}"/>
    <cellStyle name="Normal 6 7 5 2 3 2" xfId="32825" xr:uid="{00000000-0005-0000-0000-000081BA0000}"/>
    <cellStyle name="Normal 6 7 5 2 3 3" xfId="46720" xr:uid="{00000000-0005-0000-0000-000082BA0000}"/>
    <cellStyle name="Normal 6 7 5 2 4" xfId="23506" xr:uid="{00000000-0005-0000-0000-000083BA0000}"/>
    <cellStyle name="Normal 6 7 5 2 5" xfId="42138" xr:uid="{00000000-0005-0000-0000-000084BA0000}"/>
    <cellStyle name="Normal 6 7 5 3" xfId="13961" xr:uid="{00000000-0005-0000-0000-000085BA0000}"/>
    <cellStyle name="Normal 6 7 5 3 2" xfId="37446" xr:uid="{00000000-0005-0000-0000-000086BA0000}"/>
    <cellStyle name="Normal 6 7 5 3 3" xfId="28127" xr:uid="{00000000-0005-0000-0000-000087BA0000}"/>
    <cellStyle name="Normal 6 7 5 3 4" xfId="51389" xr:uid="{00000000-0005-0000-0000-000088BA0000}"/>
    <cellStyle name="Normal 6 7 5 4" xfId="18692" xr:uid="{00000000-0005-0000-0000-000089BA0000}"/>
    <cellStyle name="Normal 6 7 5 4 2" xfId="32824" xr:uid="{00000000-0005-0000-0000-00008ABA0000}"/>
    <cellStyle name="Normal 6 7 5 4 3" xfId="46719" xr:uid="{00000000-0005-0000-0000-00008BBA0000}"/>
    <cellStyle name="Normal 6 7 5 5" xfId="23505" xr:uid="{00000000-0005-0000-0000-00008CBA0000}"/>
    <cellStyle name="Normal 6 7 5 6" xfId="42137" xr:uid="{00000000-0005-0000-0000-00008DBA0000}"/>
    <cellStyle name="Normal 6 7 6" xfId="8199" xr:uid="{00000000-0005-0000-0000-00008EBA0000}"/>
    <cellStyle name="Normal 6 7 6 2" xfId="8200" xr:uid="{00000000-0005-0000-0000-00008FBA0000}"/>
    <cellStyle name="Normal 6 7 6 2 2" xfId="13964" xr:uid="{00000000-0005-0000-0000-000090BA0000}"/>
    <cellStyle name="Normal 6 7 6 2 2 2" xfId="37449" xr:uid="{00000000-0005-0000-0000-000091BA0000}"/>
    <cellStyle name="Normal 6 7 6 2 2 3" xfId="28130" xr:uid="{00000000-0005-0000-0000-000092BA0000}"/>
    <cellStyle name="Normal 6 7 6 2 2 4" xfId="51392" xr:uid="{00000000-0005-0000-0000-000093BA0000}"/>
    <cellStyle name="Normal 6 7 6 2 3" xfId="18695" xr:uid="{00000000-0005-0000-0000-000094BA0000}"/>
    <cellStyle name="Normal 6 7 6 2 3 2" xfId="32827" xr:uid="{00000000-0005-0000-0000-000095BA0000}"/>
    <cellStyle name="Normal 6 7 6 2 3 3" xfId="46722" xr:uid="{00000000-0005-0000-0000-000096BA0000}"/>
    <cellStyle name="Normal 6 7 6 2 4" xfId="23508" xr:uid="{00000000-0005-0000-0000-000097BA0000}"/>
    <cellStyle name="Normal 6 7 6 2 5" xfId="42140" xr:uid="{00000000-0005-0000-0000-000098BA0000}"/>
    <cellStyle name="Normal 6 7 6 3" xfId="13963" xr:uid="{00000000-0005-0000-0000-000099BA0000}"/>
    <cellStyle name="Normal 6 7 6 3 2" xfId="37448" xr:uid="{00000000-0005-0000-0000-00009ABA0000}"/>
    <cellStyle name="Normal 6 7 6 3 3" xfId="28129" xr:uid="{00000000-0005-0000-0000-00009BBA0000}"/>
    <cellStyle name="Normal 6 7 6 3 4" xfId="51391" xr:uid="{00000000-0005-0000-0000-00009CBA0000}"/>
    <cellStyle name="Normal 6 7 6 4" xfId="18694" xr:uid="{00000000-0005-0000-0000-00009DBA0000}"/>
    <cellStyle name="Normal 6 7 6 4 2" xfId="32826" xr:uid="{00000000-0005-0000-0000-00009EBA0000}"/>
    <cellStyle name="Normal 6 7 6 4 3" xfId="46721" xr:uid="{00000000-0005-0000-0000-00009FBA0000}"/>
    <cellStyle name="Normal 6 7 6 5" xfId="23507" xr:uid="{00000000-0005-0000-0000-0000A0BA0000}"/>
    <cellStyle name="Normal 6 7 6 6" xfId="42139" xr:uid="{00000000-0005-0000-0000-0000A1BA0000}"/>
    <cellStyle name="Normal 6 7 7" xfId="8201" xr:uid="{00000000-0005-0000-0000-0000A2BA0000}"/>
    <cellStyle name="Normal 6 7 7 2" xfId="8202" xr:uid="{00000000-0005-0000-0000-0000A3BA0000}"/>
    <cellStyle name="Normal 6 7 7 2 2" xfId="13966" xr:uid="{00000000-0005-0000-0000-0000A4BA0000}"/>
    <cellStyle name="Normal 6 7 7 2 2 2" xfId="37451" xr:uid="{00000000-0005-0000-0000-0000A5BA0000}"/>
    <cellStyle name="Normal 6 7 7 2 2 3" xfId="28132" xr:uid="{00000000-0005-0000-0000-0000A6BA0000}"/>
    <cellStyle name="Normal 6 7 7 2 2 4" xfId="51394" xr:uid="{00000000-0005-0000-0000-0000A7BA0000}"/>
    <cellStyle name="Normal 6 7 7 2 3" xfId="18697" xr:uid="{00000000-0005-0000-0000-0000A8BA0000}"/>
    <cellStyle name="Normal 6 7 7 2 3 2" xfId="32829" xr:uid="{00000000-0005-0000-0000-0000A9BA0000}"/>
    <cellStyle name="Normal 6 7 7 2 3 3" xfId="46724" xr:uid="{00000000-0005-0000-0000-0000AABA0000}"/>
    <cellStyle name="Normal 6 7 7 2 4" xfId="23510" xr:uid="{00000000-0005-0000-0000-0000ABBA0000}"/>
    <cellStyle name="Normal 6 7 7 2 5" xfId="42142" xr:uid="{00000000-0005-0000-0000-0000ACBA0000}"/>
    <cellStyle name="Normal 6 7 7 3" xfId="13965" xr:uid="{00000000-0005-0000-0000-0000ADBA0000}"/>
    <cellStyle name="Normal 6 7 7 3 2" xfId="37450" xr:uid="{00000000-0005-0000-0000-0000AEBA0000}"/>
    <cellStyle name="Normal 6 7 7 3 3" xfId="28131" xr:uid="{00000000-0005-0000-0000-0000AFBA0000}"/>
    <cellStyle name="Normal 6 7 7 3 4" xfId="51393" xr:uid="{00000000-0005-0000-0000-0000B0BA0000}"/>
    <cellStyle name="Normal 6 7 7 4" xfId="18696" xr:uid="{00000000-0005-0000-0000-0000B1BA0000}"/>
    <cellStyle name="Normal 6 7 7 4 2" xfId="32828" xr:uid="{00000000-0005-0000-0000-0000B2BA0000}"/>
    <cellStyle name="Normal 6 7 7 4 3" xfId="46723" xr:uid="{00000000-0005-0000-0000-0000B3BA0000}"/>
    <cellStyle name="Normal 6 7 7 5" xfId="23509" xr:uid="{00000000-0005-0000-0000-0000B4BA0000}"/>
    <cellStyle name="Normal 6 7 7 6" xfId="42141" xr:uid="{00000000-0005-0000-0000-0000B5BA0000}"/>
    <cellStyle name="Normal 6 7 8" xfId="8203" xr:uid="{00000000-0005-0000-0000-0000B6BA0000}"/>
    <cellStyle name="Normal 6 7 8 2" xfId="8204" xr:uid="{00000000-0005-0000-0000-0000B7BA0000}"/>
    <cellStyle name="Normal 6 7 8 2 2" xfId="13968" xr:uid="{00000000-0005-0000-0000-0000B8BA0000}"/>
    <cellStyle name="Normal 6 7 8 2 2 2" xfId="37453" xr:uid="{00000000-0005-0000-0000-0000B9BA0000}"/>
    <cellStyle name="Normal 6 7 8 2 2 3" xfId="28134" xr:uid="{00000000-0005-0000-0000-0000BABA0000}"/>
    <cellStyle name="Normal 6 7 8 2 2 4" xfId="51396" xr:uid="{00000000-0005-0000-0000-0000BBBA0000}"/>
    <cellStyle name="Normal 6 7 8 2 3" xfId="18699" xr:uid="{00000000-0005-0000-0000-0000BCBA0000}"/>
    <cellStyle name="Normal 6 7 8 2 3 2" xfId="32831" xr:uid="{00000000-0005-0000-0000-0000BDBA0000}"/>
    <cellStyle name="Normal 6 7 8 2 3 3" xfId="46726" xr:uid="{00000000-0005-0000-0000-0000BEBA0000}"/>
    <cellStyle name="Normal 6 7 8 2 4" xfId="23512" xr:uid="{00000000-0005-0000-0000-0000BFBA0000}"/>
    <cellStyle name="Normal 6 7 8 2 5" xfId="42144" xr:uid="{00000000-0005-0000-0000-0000C0BA0000}"/>
    <cellStyle name="Normal 6 7 8 3" xfId="13967" xr:uid="{00000000-0005-0000-0000-0000C1BA0000}"/>
    <cellStyle name="Normal 6 7 8 3 2" xfId="37452" xr:uid="{00000000-0005-0000-0000-0000C2BA0000}"/>
    <cellStyle name="Normal 6 7 8 3 3" xfId="28133" xr:uid="{00000000-0005-0000-0000-0000C3BA0000}"/>
    <cellStyle name="Normal 6 7 8 3 4" xfId="51395" xr:uid="{00000000-0005-0000-0000-0000C4BA0000}"/>
    <cellStyle name="Normal 6 7 8 4" xfId="18698" xr:uid="{00000000-0005-0000-0000-0000C5BA0000}"/>
    <cellStyle name="Normal 6 7 8 4 2" xfId="32830" xr:uid="{00000000-0005-0000-0000-0000C6BA0000}"/>
    <cellStyle name="Normal 6 7 8 4 3" xfId="46725" xr:uid="{00000000-0005-0000-0000-0000C7BA0000}"/>
    <cellStyle name="Normal 6 7 8 5" xfId="23511" xr:uid="{00000000-0005-0000-0000-0000C8BA0000}"/>
    <cellStyle name="Normal 6 7 8 6" xfId="42143" xr:uid="{00000000-0005-0000-0000-0000C9BA0000}"/>
    <cellStyle name="Normal 6 7 9" xfId="8205" xr:uid="{00000000-0005-0000-0000-0000CABA0000}"/>
    <cellStyle name="Normal 6 7 9 2" xfId="8206" xr:uid="{00000000-0005-0000-0000-0000CBBA0000}"/>
    <cellStyle name="Normal 6 7 9 2 2" xfId="13970" xr:uid="{00000000-0005-0000-0000-0000CCBA0000}"/>
    <cellStyle name="Normal 6 7 9 2 2 2" xfId="37455" xr:uid="{00000000-0005-0000-0000-0000CDBA0000}"/>
    <cellStyle name="Normal 6 7 9 2 2 3" xfId="28136" xr:uid="{00000000-0005-0000-0000-0000CEBA0000}"/>
    <cellStyle name="Normal 6 7 9 2 2 4" xfId="51398" xr:uid="{00000000-0005-0000-0000-0000CFBA0000}"/>
    <cellStyle name="Normal 6 7 9 2 3" xfId="18701" xr:uid="{00000000-0005-0000-0000-0000D0BA0000}"/>
    <cellStyle name="Normal 6 7 9 2 3 2" xfId="32833" xr:uid="{00000000-0005-0000-0000-0000D1BA0000}"/>
    <cellStyle name="Normal 6 7 9 2 3 3" xfId="46728" xr:uid="{00000000-0005-0000-0000-0000D2BA0000}"/>
    <cellStyle name="Normal 6 7 9 2 4" xfId="23514" xr:uid="{00000000-0005-0000-0000-0000D3BA0000}"/>
    <cellStyle name="Normal 6 7 9 2 5" xfId="42146" xr:uid="{00000000-0005-0000-0000-0000D4BA0000}"/>
    <cellStyle name="Normal 6 7 9 3" xfId="13969" xr:uid="{00000000-0005-0000-0000-0000D5BA0000}"/>
    <cellStyle name="Normal 6 7 9 3 2" xfId="37454" xr:uid="{00000000-0005-0000-0000-0000D6BA0000}"/>
    <cellStyle name="Normal 6 7 9 3 3" xfId="28135" xr:uid="{00000000-0005-0000-0000-0000D7BA0000}"/>
    <cellStyle name="Normal 6 7 9 3 4" xfId="51397" xr:uid="{00000000-0005-0000-0000-0000D8BA0000}"/>
    <cellStyle name="Normal 6 7 9 4" xfId="18700" xr:uid="{00000000-0005-0000-0000-0000D9BA0000}"/>
    <cellStyle name="Normal 6 7 9 4 2" xfId="32832" xr:uid="{00000000-0005-0000-0000-0000DABA0000}"/>
    <cellStyle name="Normal 6 7 9 4 3" xfId="46727" xr:uid="{00000000-0005-0000-0000-0000DBBA0000}"/>
    <cellStyle name="Normal 6 7 9 5" xfId="23513" xr:uid="{00000000-0005-0000-0000-0000DCBA0000}"/>
    <cellStyle name="Normal 6 7 9 6" xfId="42145" xr:uid="{00000000-0005-0000-0000-0000DDBA0000}"/>
    <cellStyle name="Normal 6 70" xfId="8207" xr:uid="{00000000-0005-0000-0000-0000DEBA0000}"/>
    <cellStyle name="Normal 6 70 2" xfId="8208" xr:uid="{00000000-0005-0000-0000-0000DFBA0000}"/>
    <cellStyle name="Normal 6 70 2 2" xfId="13972" xr:uid="{00000000-0005-0000-0000-0000E0BA0000}"/>
    <cellStyle name="Normal 6 70 2 2 2" xfId="37457" xr:uid="{00000000-0005-0000-0000-0000E1BA0000}"/>
    <cellStyle name="Normal 6 70 2 2 3" xfId="28138" xr:uid="{00000000-0005-0000-0000-0000E2BA0000}"/>
    <cellStyle name="Normal 6 70 2 2 4" xfId="51400" xr:uid="{00000000-0005-0000-0000-0000E3BA0000}"/>
    <cellStyle name="Normal 6 70 2 3" xfId="18703" xr:uid="{00000000-0005-0000-0000-0000E4BA0000}"/>
    <cellStyle name="Normal 6 70 2 3 2" xfId="32835" xr:uid="{00000000-0005-0000-0000-0000E5BA0000}"/>
    <cellStyle name="Normal 6 70 2 3 3" xfId="46730" xr:uid="{00000000-0005-0000-0000-0000E6BA0000}"/>
    <cellStyle name="Normal 6 70 2 4" xfId="23516" xr:uid="{00000000-0005-0000-0000-0000E7BA0000}"/>
    <cellStyle name="Normal 6 70 2 5" xfId="42148" xr:uid="{00000000-0005-0000-0000-0000E8BA0000}"/>
    <cellStyle name="Normal 6 70 3" xfId="13971" xr:uid="{00000000-0005-0000-0000-0000E9BA0000}"/>
    <cellStyle name="Normal 6 70 3 2" xfId="37456" xr:uid="{00000000-0005-0000-0000-0000EABA0000}"/>
    <cellStyle name="Normal 6 70 3 3" xfId="28137" xr:uid="{00000000-0005-0000-0000-0000EBBA0000}"/>
    <cellStyle name="Normal 6 70 3 4" xfId="51399" xr:uid="{00000000-0005-0000-0000-0000ECBA0000}"/>
    <cellStyle name="Normal 6 70 4" xfId="18702" xr:uid="{00000000-0005-0000-0000-0000EDBA0000}"/>
    <cellStyle name="Normal 6 70 4 2" xfId="32834" xr:uid="{00000000-0005-0000-0000-0000EEBA0000}"/>
    <cellStyle name="Normal 6 70 4 3" xfId="46729" xr:uid="{00000000-0005-0000-0000-0000EFBA0000}"/>
    <cellStyle name="Normal 6 70 5" xfId="23515" xr:uid="{00000000-0005-0000-0000-0000F0BA0000}"/>
    <cellStyle name="Normal 6 70 6" xfId="42147" xr:uid="{00000000-0005-0000-0000-0000F1BA0000}"/>
    <cellStyle name="Normal 6 71" xfId="8209" xr:uid="{00000000-0005-0000-0000-0000F2BA0000}"/>
    <cellStyle name="Normal 6 71 2" xfId="8210" xr:uid="{00000000-0005-0000-0000-0000F3BA0000}"/>
    <cellStyle name="Normal 6 71 2 2" xfId="13974" xr:uid="{00000000-0005-0000-0000-0000F4BA0000}"/>
    <cellStyle name="Normal 6 71 2 2 2" xfId="37459" xr:uid="{00000000-0005-0000-0000-0000F5BA0000}"/>
    <cellStyle name="Normal 6 71 2 2 3" xfId="28140" xr:uid="{00000000-0005-0000-0000-0000F6BA0000}"/>
    <cellStyle name="Normal 6 71 2 2 4" xfId="51402" xr:uid="{00000000-0005-0000-0000-0000F7BA0000}"/>
    <cellStyle name="Normal 6 71 2 3" xfId="18705" xr:uid="{00000000-0005-0000-0000-0000F8BA0000}"/>
    <cellStyle name="Normal 6 71 2 3 2" xfId="32837" xr:uid="{00000000-0005-0000-0000-0000F9BA0000}"/>
    <cellStyle name="Normal 6 71 2 3 3" xfId="46732" xr:uid="{00000000-0005-0000-0000-0000FABA0000}"/>
    <cellStyle name="Normal 6 71 2 4" xfId="23518" xr:uid="{00000000-0005-0000-0000-0000FBBA0000}"/>
    <cellStyle name="Normal 6 71 2 5" xfId="42150" xr:uid="{00000000-0005-0000-0000-0000FCBA0000}"/>
    <cellStyle name="Normal 6 71 3" xfId="13973" xr:uid="{00000000-0005-0000-0000-0000FDBA0000}"/>
    <cellStyle name="Normal 6 71 3 2" xfId="37458" xr:uid="{00000000-0005-0000-0000-0000FEBA0000}"/>
    <cellStyle name="Normal 6 71 3 3" xfId="28139" xr:uid="{00000000-0005-0000-0000-0000FFBA0000}"/>
    <cellStyle name="Normal 6 71 3 4" xfId="51401" xr:uid="{00000000-0005-0000-0000-000000BB0000}"/>
    <cellStyle name="Normal 6 71 4" xfId="18704" xr:uid="{00000000-0005-0000-0000-000001BB0000}"/>
    <cellStyle name="Normal 6 71 4 2" xfId="32836" xr:uid="{00000000-0005-0000-0000-000002BB0000}"/>
    <cellStyle name="Normal 6 71 4 3" xfId="46731" xr:uid="{00000000-0005-0000-0000-000003BB0000}"/>
    <cellStyle name="Normal 6 71 5" xfId="23517" xr:uid="{00000000-0005-0000-0000-000004BB0000}"/>
    <cellStyle name="Normal 6 71 6" xfId="42149" xr:uid="{00000000-0005-0000-0000-000005BB0000}"/>
    <cellStyle name="Normal 6 72" xfId="8211" xr:uid="{00000000-0005-0000-0000-000006BB0000}"/>
    <cellStyle name="Normal 6 72 2" xfId="8212" xr:uid="{00000000-0005-0000-0000-000007BB0000}"/>
    <cellStyle name="Normal 6 72 2 2" xfId="13976" xr:uid="{00000000-0005-0000-0000-000008BB0000}"/>
    <cellStyle name="Normal 6 72 2 2 2" xfId="37461" xr:uid="{00000000-0005-0000-0000-000009BB0000}"/>
    <cellStyle name="Normal 6 72 2 2 3" xfId="28142" xr:uid="{00000000-0005-0000-0000-00000ABB0000}"/>
    <cellStyle name="Normal 6 72 2 2 4" xfId="51404" xr:uid="{00000000-0005-0000-0000-00000BBB0000}"/>
    <cellStyle name="Normal 6 72 2 3" xfId="18707" xr:uid="{00000000-0005-0000-0000-00000CBB0000}"/>
    <cellStyle name="Normal 6 72 2 3 2" xfId="32839" xr:uid="{00000000-0005-0000-0000-00000DBB0000}"/>
    <cellStyle name="Normal 6 72 2 3 3" xfId="46734" xr:uid="{00000000-0005-0000-0000-00000EBB0000}"/>
    <cellStyle name="Normal 6 72 2 4" xfId="23520" xr:uid="{00000000-0005-0000-0000-00000FBB0000}"/>
    <cellStyle name="Normal 6 72 2 5" xfId="42152" xr:uid="{00000000-0005-0000-0000-000010BB0000}"/>
    <cellStyle name="Normal 6 72 3" xfId="13975" xr:uid="{00000000-0005-0000-0000-000011BB0000}"/>
    <cellStyle name="Normal 6 72 3 2" xfId="37460" xr:uid="{00000000-0005-0000-0000-000012BB0000}"/>
    <cellStyle name="Normal 6 72 3 3" xfId="28141" xr:uid="{00000000-0005-0000-0000-000013BB0000}"/>
    <cellStyle name="Normal 6 72 3 4" xfId="51403" xr:uid="{00000000-0005-0000-0000-000014BB0000}"/>
    <cellStyle name="Normal 6 72 4" xfId="18706" xr:uid="{00000000-0005-0000-0000-000015BB0000}"/>
    <cellStyle name="Normal 6 72 4 2" xfId="32838" xr:uid="{00000000-0005-0000-0000-000016BB0000}"/>
    <cellStyle name="Normal 6 72 4 3" xfId="46733" xr:uid="{00000000-0005-0000-0000-000017BB0000}"/>
    <cellStyle name="Normal 6 72 5" xfId="23519" xr:uid="{00000000-0005-0000-0000-000018BB0000}"/>
    <cellStyle name="Normal 6 72 6" xfId="42151" xr:uid="{00000000-0005-0000-0000-000019BB0000}"/>
    <cellStyle name="Normal 6 73" xfId="8213" xr:uid="{00000000-0005-0000-0000-00001ABB0000}"/>
    <cellStyle name="Normal 6 73 2" xfId="8214" xr:uid="{00000000-0005-0000-0000-00001BBB0000}"/>
    <cellStyle name="Normal 6 73 2 2" xfId="13978" xr:uid="{00000000-0005-0000-0000-00001CBB0000}"/>
    <cellStyle name="Normal 6 73 2 2 2" xfId="37463" xr:uid="{00000000-0005-0000-0000-00001DBB0000}"/>
    <cellStyle name="Normal 6 73 2 2 3" xfId="28144" xr:uid="{00000000-0005-0000-0000-00001EBB0000}"/>
    <cellStyle name="Normal 6 73 2 2 4" xfId="51406" xr:uid="{00000000-0005-0000-0000-00001FBB0000}"/>
    <cellStyle name="Normal 6 73 2 3" xfId="18709" xr:uid="{00000000-0005-0000-0000-000020BB0000}"/>
    <cellStyle name="Normal 6 73 2 3 2" xfId="32841" xr:uid="{00000000-0005-0000-0000-000021BB0000}"/>
    <cellStyle name="Normal 6 73 2 3 3" xfId="46736" xr:uid="{00000000-0005-0000-0000-000022BB0000}"/>
    <cellStyle name="Normal 6 73 2 4" xfId="23522" xr:uid="{00000000-0005-0000-0000-000023BB0000}"/>
    <cellStyle name="Normal 6 73 2 5" xfId="42154" xr:uid="{00000000-0005-0000-0000-000024BB0000}"/>
    <cellStyle name="Normal 6 73 3" xfId="13977" xr:uid="{00000000-0005-0000-0000-000025BB0000}"/>
    <cellStyle name="Normal 6 73 3 2" xfId="37462" xr:uid="{00000000-0005-0000-0000-000026BB0000}"/>
    <cellStyle name="Normal 6 73 3 3" xfId="28143" xr:uid="{00000000-0005-0000-0000-000027BB0000}"/>
    <cellStyle name="Normal 6 73 3 4" xfId="51405" xr:uid="{00000000-0005-0000-0000-000028BB0000}"/>
    <cellStyle name="Normal 6 73 4" xfId="18708" xr:uid="{00000000-0005-0000-0000-000029BB0000}"/>
    <cellStyle name="Normal 6 73 4 2" xfId="32840" xr:uid="{00000000-0005-0000-0000-00002ABB0000}"/>
    <cellStyle name="Normal 6 73 4 3" xfId="46735" xr:uid="{00000000-0005-0000-0000-00002BBB0000}"/>
    <cellStyle name="Normal 6 73 5" xfId="23521" xr:uid="{00000000-0005-0000-0000-00002CBB0000}"/>
    <cellStyle name="Normal 6 73 6" xfId="42153" xr:uid="{00000000-0005-0000-0000-00002DBB0000}"/>
    <cellStyle name="Normal 6 74" xfId="8215" xr:uid="{00000000-0005-0000-0000-00002EBB0000}"/>
    <cellStyle name="Normal 6 74 2" xfId="8216" xr:uid="{00000000-0005-0000-0000-00002FBB0000}"/>
    <cellStyle name="Normal 6 74 2 2" xfId="13980" xr:uid="{00000000-0005-0000-0000-000030BB0000}"/>
    <cellStyle name="Normal 6 74 2 2 2" xfId="37465" xr:uid="{00000000-0005-0000-0000-000031BB0000}"/>
    <cellStyle name="Normal 6 74 2 2 3" xfId="28146" xr:uid="{00000000-0005-0000-0000-000032BB0000}"/>
    <cellStyle name="Normal 6 74 2 2 4" xfId="51408" xr:uid="{00000000-0005-0000-0000-000033BB0000}"/>
    <cellStyle name="Normal 6 74 2 3" xfId="18711" xr:uid="{00000000-0005-0000-0000-000034BB0000}"/>
    <cellStyle name="Normal 6 74 2 3 2" xfId="32843" xr:uid="{00000000-0005-0000-0000-000035BB0000}"/>
    <cellStyle name="Normal 6 74 2 3 3" xfId="46738" xr:uid="{00000000-0005-0000-0000-000036BB0000}"/>
    <cellStyle name="Normal 6 74 2 4" xfId="23524" xr:uid="{00000000-0005-0000-0000-000037BB0000}"/>
    <cellStyle name="Normal 6 74 2 5" xfId="42156" xr:uid="{00000000-0005-0000-0000-000038BB0000}"/>
    <cellStyle name="Normal 6 74 3" xfId="13979" xr:uid="{00000000-0005-0000-0000-000039BB0000}"/>
    <cellStyle name="Normal 6 74 3 2" xfId="37464" xr:uid="{00000000-0005-0000-0000-00003ABB0000}"/>
    <cellStyle name="Normal 6 74 3 3" xfId="28145" xr:uid="{00000000-0005-0000-0000-00003BBB0000}"/>
    <cellStyle name="Normal 6 74 3 4" xfId="51407" xr:uid="{00000000-0005-0000-0000-00003CBB0000}"/>
    <cellStyle name="Normal 6 74 4" xfId="18710" xr:uid="{00000000-0005-0000-0000-00003DBB0000}"/>
    <cellStyle name="Normal 6 74 4 2" xfId="32842" xr:uid="{00000000-0005-0000-0000-00003EBB0000}"/>
    <cellStyle name="Normal 6 74 4 3" xfId="46737" xr:uid="{00000000-0005-0000-0000-00003FBB0000}"/>
    <cellStyle name="Normal 6 74 5" xfId="23523" xr:uid="{00000000-0005-0000-0000-000040BB0000}"/>
    <cellStyle name="Normal 6 74 6" xfId="42155" xr:uid="{00000000-0005-0000-0000-000041BB0000}"/>
    <cellStyle name="Normal 6 75" xfId="8217" xr:uid="{00000000-0005-0000-0000-000042BB0000}"/>
    <cellStyle name="Normal 6 75 2" xfId="8218" xr:uid="{00000000-0005-0000-0000-000043BB0000}"/>
    <cellStyle name="Normal 6 75 2 2" xfId="13982" xr:uid="{00000000-0005-0000-0000-000044BB0000}"/>
    <cellStyle name="Normal 6 75 2 2 2" xfId="37467" xr:uid="{00000000-0005-0000-0000-000045BB0000}"/>
    <cellStyle name="Normal 6 75 2 2 3" xfId="28148" xr:uid="{00000000-0005-0000-0000-000046BB0000}"/>
    <cellStyle name="Normal 6 75 2 2 4" xfId="51410" xr:uid="{00000000-0005-0000-0000-000047BB0000}"/>
    <cellStyle name="Normal 6 75 2 3" xfId="18713" xr:uid="{00000000-0005-0000-0000-000048BB0000}"/>
    <cellStyle name="Normal 6 75 2 3 2" xfId="32845" xr:uid="{00000000-0005-0000-0000-000049BB0000}"/>
    <cellStyle name="Normal 6 75 2 3 3" xfId="46740" xr:uid="{00000000-0005-0000-0000-00004ABB0000}"/>
    <cellStyle name="Normal 6 75 2 4" xfId="23526" xr:uid="{00000000-0005-0000-0000-00004BBB0000}"/>
    <cellStyle name="Normal 6 75 2 5" xfId="42158" xr:uid="{00000000-0005-0000-0000-00004CBB0000}"/>
    <cellStyle name="Normal 6 75 3" xfId="13981" xr:uid="{00000000-0005-0000-0000-00004DBB0000}"/>
    <cellStyle name="Normal 6 75 3 2" xfId="37466" xr:uid="{00000000-0005-0000-0000-00004EBB0000}"/>
    <cellStyle name="Normal 6 75 3 3" xfId="28147" xr:uid="{00000000-0005-0000-0000-00004FBB0000}"/>
    <cellStyle name="Normal 6 75 3 4" xfId="51409" xr:uid="{00000000-0005-0000-0000-000050BB0000}"/>
    <cellStyle name="Normal 6 75 4" xfId="18712" xr:uid="{00000000-0005-0000-0000-000051BB0000}"/>
    <cellStyle name="Normal 6 75 4 2" xfId="32844" xr:uid="{00000000-0005-0000-0000-000052BB0000}"/>
    <cellStyle name="Normal 6 75 4 3" xfId="46739" xr:uid="{00000000-0005-0000-0000-000053BB0000}"/>
    <cellStyle name="Normal 6 75 5" xfId="23525" xr:uid="{00000000-0005-0000-0000-000054BB0000}"/>
    <cellStyle name="Normal 6 75 6" xfId="42157" xr:uid="{00000000-0005-0000-0000-000055BB0000}"/>
    <cellStyle name="Normal 6 76" xfId="8219" xr:uid="{00000000-0005-0000-0000-000056BB0000}"/>
    <cellStyle name="Normal 6 76 2" xfId="8220" xr:uid="{00000000-0005-0000-0000-000057BB0000}"/>
    <cellStyle name="Normal 6 76 2 2" xfId="13984" xr:uid="{00000000-0005-0000-0000-000058BB0000}"/>
    <cellStyle name="Normal 6 76 2 2 2" xfId="37469" xr:uid="{00000000-0005-0000-0000-000059BB0000}"/>
    <cellStyle name="Normal 6 76 2 2 3" xfId="28150" xr:uid="{00000000-0005-0000-0000-00005ABB0000}"/>
    <cellStyle name="Normal 6 76 2 2 4" xfId="51412" xr:uid="{00000000-0005-0000-0000-00005BBB0000}"/>
    <cellStyle name="Normal 6 76 2 3" xfId="18715" xr:uid="{00000000-0005-0000-0000-00005CBB0000}"/>
    <cellStyle name="Normal 6 76 2 3 2" xfId="32847" xr:uid="{00000000-0005-0000-0000-00005DBB0000}"/>
    <cellStyle name="Normal 6 76 2 3 3" xfId="46742" xr:uid="{00000000-0005-0000-0000-00005EBB0000}"/>
    <cellStyle name="Normal 6 76 2 4" xfId="23528" xr:uid="{00000000-0005-0000-0000-00005FBB0000}"/>
    <cellStyle name="Normal 6 76 2 5" xfId="42160" xr:uid="{00000000-0005-0000-0000-000060BB0000}"/>
    <cellStyle name="Normal 6 76 3" xfId="13983" xr:uid="{00000000-0005-0000-0000-000061BB0000}"/>
    <cellStyle name="Normal 6 76 3 2" xfId="37468" xr:uid="{00000000-0005-0000-0000-000062BB0000}"/>
    <cellStyle name="Normal 6 76 3 3" xfId="28149" xr:uid="{00000000-0005-0000-0000-000063BB0000}"/>
    <cellStyle name="Normal 6 76 3 4" xfId="51411" xr:uid="{00000000-0005-0000-0000-000064BB0000}"/>
    <cellStyle name="Normal 6 76 4" xfId="18714" xr:uid="{00000000-0005-0000-0000-000065BB0000}"/>
    <cellStyle name="Normal 6 76 4 2" xfId="32846" xr:uid="{00000000-0005-0000-0000-000066BB0000}"/>
    <cellStyle name="Normal 6 76 4 3" xfId="46741" xr:uid="{00000000-0005-0000-0000-000067BB0000}"/>
    <cellStyle name="Normal 6 76 5" xfId="23527" xr:uid="{00000000-0005-0000-0000-000068BB0000}"/>
    <cellStyle name="Normal 6 76 6" xfId="42159" xr:uid="{00000000-0005-0000-0000-000069BB0000}"/>
    <cellStyle name="Normal 6 77" xfId="8221" xr:uid="{00000000-0005-0000-0000-00006ABB0000}"/>
    <cellStyle name="Normal 6 77 2" xfId="8222" xr:uid="{00000000-0005-0000-0000-00006BBB0000}"/>
    <cellStyle name="Normal 6 77 2 2" xfId="13986" xr:uid="{00000000-0005-0000-0000-00006CBB0000}"/>
    <cellStyle name="Normal 6 77 2 2 2" xfId="37471" xr:uid="{00000000-0005-0000-0000-00006DBB0000}"/>
    <cellStyle name="Normal 6 77 2 2 3" xfId="28152" xr:uid="{00000000-0005-0000-0000-00006EBB0000}"/>
    <cellStyle name="Normal 6 77 2 2 4" xfId="51414" xr:uid="{00000000-0005-0000-0000-00006FBB0000}"/>
    <cellStyle name="Normal 6 77 2 3" xfId="18717" xr:uid="{00000000-0005-0000-0000-000070BB0000}"/>
    <cellStyle name="Normal 6 77 2 3 2" xfId="32849" xr:uid="{00000000-0005-0000-0000-000071BB0000}"/>
    <cellStyle name="Normal 6 77 2 3 3" xfId="46744" xr:uid="{00000000-0005-0000-0000-000072BB0000}"/>
    <cellStyle name="Normal 6 77 2 4" xfId="23530" xr:uid="{00000000-0005-0000-0000-000073BB0000}"/>
    <cellStyle name="Normal 6 77 2 5" xfId="42162" xr:uid="{00000000-0005-0000-0000-000074BB0000}"/>
    <cellStyle name="Normal 6 77 3" xfId="13985" xr:uid="{00000000-0005-0000-0000-000075BB0000}"/>
    <cellStyle name="Normal 6 77 3 2" xfId="37470" xr:uid="{00000000-0005-0000-0000-000076BB0000}"/>
    <cellStyle name="Normal 6 77 3 3" xfId="28151" xr:uid="{00000000-0005-0000-0000-000077BB0000}"/>
    <cellStyle name="Normal 6 77 3 4" xfId="51413" xr:uid="{00000000-0005-0000-0000-000078BB0000}"/>
    <cellStyle name="Normal 6 77 4" xfId="18716" xr:uid="{00000000-0005-0000-0000-000079BB0000}"/>
    <cellStyle name="Normal 6 77 4 2" xfId="32848" xr:uid="{00000000-0005-0000-0000-00007ABB0000}"/>
    <cellStyle name="Normal 6 77 4 3" xfId="46743" xr:uid="{00000000-0005-0000-0000-00007BBB0000}"/>
    <cellStyle name="Normal 6 77 5" xfId="23529" xr:uid="{00000000-0005-0000-0000-00007CBB0000}"/>
    <cellStyle name="Normal 6 77 6" xfId="42161" xr:uid="{00000000-0005-0000-0000-00007DBB0000}"/>
    <cellStyle name="Normal 6 78" xfId="8223" xr:uid="{00000000-0005-0000-0000-00007EBB0000}"/>
    <cellStyle name="Normal 6 78 2" xfId="8224" xr:uid="{00000000-0005-0000-0000-00007FBB0000}"/>
    <cellStyle name="Normal 6 78 2 2" xfId="13988" xr:uid="{00000000-0005-0000-0000-000080BB0000}"/>
    <cellStyle name="Normal 6 78 2 2 2" xfId="37473" xr:uid="{00000000-0005-0000-0000-000081BB0000}"/>
    <cellStyle name="Normal 6 78 2 2 3" xfId="28154" xr:uid="{00000000-0005-0000-0000-000082BB0000}"/>
    <cellStyle name="Normal 6 78 2 2 4" xfId="51416" xr:uid="{00000000-0005-0000-0000-000083BB0000}"/>
    <cellStyle name="Normal 6 78 2 3" xfId="18719" xr:uid="{00000000-0005-0000-0000-000084BB0000}"/>
    <cellStyle name="Normal 6 78 2 3 2" xfId="32851" xr:uid="{00000000-0005-0000-0000-000085BB0000}"/>
    <cellStyle name="Normal 6 78 2 3 3" xfId="46746" xr:uid="{00000000-0005-0000-0000-000086BB0000}"/>
    <cellStyle name="Normal 6 78 2 4" xfId="23532" xr:uid="{00000000-0005-0000-0000-000087BB0000}"/>
    <cellStyle name="Normal 6 78 2 5" xfId="42164" xr:uid="{00000000-0005-0000-0000-000088BB0000}"/>
    <cellStyle name="Normal 6 78 3" xfId="13987" xr:uid="{00000000-0005-0000-0000-000089BB0000}"/>
    <cellStyle name="Normal 6 78 3 2" xfId="37472" xr:uid="{00000000-0005-0000-0000-00008ABB0000}"/>
    <cellStyle name="Normal 6 78 3 3" xfId="28153" xr:uid="{00000000-0005-0000-0000-00008BBB0000}"/>
    <cellStyle name="Normal 6 78 3 4" xfId="51415" xr:uid="{00000000-0005-0000-0000-00008CBB0000}"/>
    <cellStyle name="Normal 6 78 4" xfId="18718" xr:uid="{00000000-0005-0000-0000-00008DBB0000}"/>
    <cellStyle name="Normal 6 78 4 2" xfId="32850" xr:uid="{00000000-0005-0000-0000-00008EBB0000}"/>
    <cellStyle name="Normal 6 78 4 3" xfId="46745" xr:uid="{00000000-0005-0000-0000-00008FBB0000}"/>
    <cellStyle name="Normal 6 78 5" xfId="23531" xr:uid="{00000000-0005-0000-0000-000090BB0000}"/>
    <cellStyle name="Normal 6 78 6" xfId="42163" xr:uid="{00000000-0005-0000-0000-000091BB0000}"/>
    <cellStyle name="Normal 6 79" xfId="8225" xr:uid="{00000000-0005-0000-0000-000092BB0000}"/>
    <cellStyle name="Normal 6 79 2" xfId="8226" xr:uid="{00000000-0005-0000-0000-000093BB0000}"/>
    <cellStyle name="Normal 6 79 2 2" xfId="13990" xr:uid="{00000000-0005-0000-0000-000094BB0000}"/>
    <cellStyle name="Normal 6 79 2 2 2" xfId="37475" xr:uid="{00000000-0005-0000-0000-000095BB0000}"/>
    <cellStyle name="Normal 6 79 2 2 3" xfId="28156" xr:uid="{00000000-0005-0000-0000-000096BB0000}"/>
    <cellStyle name="Normal 6 79 2 2 4" xfId="51418" xr:uid="{00000000-0005-0000-0000-000097BB0000}"/>
    <cellStyle name="Normal 6 79 2 3" xfId="18721" xr:uid="{00000000-0005-0000-0000-000098BB0000}"/>
    <cellStyle name="Normal 6 79 2 3 2" xfId="32853" xr:uid="{00000000-0005-0000-0000-000099BB0000}"/>
    <cellStyle name="Normal 6 79 2 3 3" xfId="46748" xr:uid="{00000000-0005-0000-0000-00009ABB0000}"/>
    <cellStyle name="Normal 6 79 2 4" xfId="23534" xr:uid="{00000000-0005-0000-0000-00009BBB0000}"/>
    <cellStyle name="Normal 6 79 2 5" xfId="42166" xr:uid="{00000000-0005-0000-0000-00009CBB0000}"/>
    <cellStyle name="Normal 6 79 3" xfId="13989" xr:uid="{00000000-0005-0000-0000-00009DBB0000}"/>
    <cellStyle name="Normal 6 79 3 2" xfId="37474" xr:uid="{00000000-0005-0000-0000-00009EBB0000}"/>
    <cellStyle name="Normal 6 79 3 3" xfId="28155" xr:uid="{00000000-0005-0000-0000-00009FBB0000}"/>
    <cellStyle name="Normal 6 79 3 4" xfId="51417" xr:uid="{00000000-0005-0000-0000-0000A0BB0000}"/>
    <cellStyle name="Normal 6 79 4" xfId="18720" xr:uid="{00000000-0005-0000-0000-0000A1BB0000}"/>
    <cellStyle name="Normal 6 79 4 2" xfId="32852" xr:uid="{00000000-0005-0000-0000-0000A2BB0000}"/>
    <cellStyle name="Normal 6 79 4 3" xfId="46747" xr:uid="{00000000-0005-0000-0000-0000A3BB0000}"/>
    <cellStyle name="Normal 6 79 5" xfId="23533" xr:uid="{00000000-0005-0000-0000-0000A4BB0000}"/>
    <cellStyle name="Normal 6 79 6" xfId="42165" xr:uid="{00000000-0005-0000-0000-0000A5BB0000}"/>
    <cellStyle name="Normal 6 8" xfId="8227" xr:uid="{00000000-0005-0000-0000-0000A6BB0000}"/>
    <cellStyle name="Normal 6 8 10" xfId="23535" xr:uid="{00000000-0005-0000-0000-0000A7BB0000}"/>
    <cellStyle name="Normal 6 8 11" xfId="42167" xr:uid="{00000000-0005-0000-0000-0000A8BB0000}"/>
    <cellStyle name="Normal 6 8 2" xfId="8228" xr:uid="{00000000-0005-0000-0000-0000A9BB0000}"/>
    <cellStyle name="Normal 6 8 2 2" xfId="8229" xr:uid="{00000000-0005-0000-0000-0000AABB0000}"/>
    <cellStyle name="Normal 6 8 2 2 2" xfId="13993" xr:uid="{00000000-0005-0000-0000-0000ABBB0000}"/>
    <cellStyle name="Normal 6 8 2 2 2 2" xfId="37478" xr:uid="{00000000-0005-0000-0000-0000ACBB0000}"/>
    <cellStyle name="Normal 6 8 2 2 2 3" xfId="28159" xr:uid="{00000000-0005-0000-0000-0000ADBB0000}"/>
    <cellStyle name="Normal 6 8 2 2 2 4" xfId="51421" xr:uid="{00000000-0005-0000-0000-0000AEBB0000}"/>
    <cellStyle name="Normal 6 8 2 2 3" xfId="18724" xr:uid="{00000000-0005-0000-0000-0000AFBB0000}"/>
    <cellStyle name="Normal 6 8 2 2 3 2" xfId="32856" xr:uid="{00000000-0005-0000-0000-0000B0BB0000}"/>
    <cellStyle name="Normal 6 8 2 2 3 3" xfId="46751" xr:uid="{00000000-0005-0000-0000-0000B1BB0000}"/>
    <cellStyle name="Normal 6 8 2 2 4" xfId="23537" xr:uid="{00000000-0005-0000-0000-0000B2BB0000}"/>
    <cellStyle name="Normal 6 8 2 2 5" xfId="42169" xr:uid="{00000000-0005-0000-0000-0000B3BB0000}"/>
    <cellStyle name="Normal 6 8 2 3" xfId="13992" xr:uid="{00000000-0005-0000-0000-0000B4BB0000}"/>
    <cellStyle name="Normal 6 8 2 3 2" xfId="37477" xr:uid="{00000000-0005-0000-0000-0000B5BB0000}"/>
    <cellStyle name="Normal 6 8 2 3 3" xfId="28158" xr:uid="{00000000-0005-0000-0000-0000B6BB0000}"/>
    <cellStyle name="Normal 6 8 2 3 4" xfId="51420" xr:uid="{00000000-0005-0000-0000-0000B7BB0000}"/>
    <cellStyle name="Normal 6 8 2 4" xfId="18723" xr:uid="{00000000-0005-0000-0000-0000B8BB0000}"/>
    <cellStyle name="Normal 6 8 2 4 2" xfId="32855" xr:uid="{00000000-0005-0000-0000-0000B9BB0000}"/>
    <cellStyle name="Normal 6 8 2 4 3" xfId="46750" xr:uid="{00000000-0005-0000-0000-0000BABB0000}"/>
    <cellStyle name="Normal 6 8 2 5" xfId="23536" xr:uid="{00000000-0005-0000-0000-0000BBBB0000}"/>
    <cellStyle name="Normal 6 8 2 6" xfId="42168" xr:uid="{00000000-0005-0000-0000-0000BCBB0000}"/>
    <cellStyle name="Normal 6 8 3" xfId="8230" xr:uid="{00000000-0005-0000-0000-0000BDBB0000}"/>
    <cellStyle name="Normal 6 8 3 2" xfId="8231" xr:uid="{00000000-0005-0000-0000-0000BEBB0000}"/>
    <cellStyle name="Normal 6 8 3 2 2" xfId="13995" xr:uid="{00000000-0005-0000-0000-0000BFBB0000}"/>
    <cellStyle name="Normal 6 8 3 2 2 2" xfId="37480" xr:uid="{00000000-0005-0000-0000-0000C0BB0000}"/>
    <cellStyle name="Normal 6 8 3 2 2 3" xfId="28161" xr:uid="{00000000-0005-0000-0000-0000C1BB0000}"/>
    <cellStyle name="Normal 6 8 3 2 2 4" xfId="51423" xr:uid="{00000000-0005-0000-0000-0000C2BB0000}"/>
    <cellStyle name="Normal 6 8 3 2 3" xfId="18726" xr:uid="{00000000-0005-0000-0000-0000C3BB0000}"/>
    <cellStyle name="Normal 6 8 3 2 3 2" xfId="32858" xr:uid="{00000000-0005-0000-0000-0000C4BB0000}"/>
    <cellStyle name="Normal 6 8 3 2 3 3" xfId="46753" xr:uid="{00000000-0005-0000-0000-0000C5BB0000}"/>
    <cellStyle name="Normal 6 8 3 2 4" xfId="23539" xr:uid="{00000000-0005-0000-0000-0000C6BB0000}"/>
    <cellStyle name="Normal 6 8 3 2 5" xfId="42171" xr:uid="{00000000-0005-0000-0000-0000C7BB0000}"/>
    <cellStyle name="Normal 6 8 3 3" xfId="13994" xr:uid="{00000000-0005-0000-0000-0000C8BB0000}"/>
    <cellStyle name="Normal 6 8 3 3 2" xfId="37479" xr:uid="{00000000-0005-0000-0000-0000C9BB0000}"/>
    <cellStyle name="Normal 6 8 3 3 3" xfId="28160" xr:uid="{00000000-0005-0000-0000-0000CABB0000}"/>
    <cellStyle name="Normal 6 8 3 3 4" xfId="51422" xr:uid="{00000000-0005-0000-0000-0000CBBB0000}"/>
    <cellStyle name="Normal 6 8 3 4" xfId="18725" xr:uid="{00000000-0005-0000-0000-0000CCBB0000}"/>
    <cellStyle name="Normal 6 8 3 4 2" xfId="32857" xr:uid="{00000000-0005-0000-0000-0000CDBB0000}"/>
    <cellStyle name="Normal 6 8 3 4 3" xfId="46752" xr:uid="{00000000-0005-0000-0000-0000CEBB0000}"/>
    <cellStyle name="Normal 6 8 3 5" xfId="23538" xr:uid="{00000000-0005-0000-0000-0000CFBB0000}"/>
    <cellStyle name="Normal 6 8 3 6" xfId="42170" xr:uid="{00000000-0005-0000-0000-0000D0BB0000}"/>
    <cellStyle name="Normal 6 8 4" xfId="8232" xr:uid="{00000000-0005-0000-0000-0000D1BB0000}"/>
    <cellStyle name="Normal 6 8 4 2" xfId="8233" xr:uid="{00000000-0005-0000-0000-0000D2BB0000}"/>
    <cellStyle name="Normal 6 8 4 2 2" xfId="13997" xr:uid="{00000000-0005-0000-0000-0000D3BB0000}"/>
    <cellStyle name="Normal 6 8 4 2 2 2" xfId="37482" xr:uid="{00000000-0005-0000-0000-0000D4BB0000}"/>
    <cellStyle name="Normal 6 8 4 2 2 3" xfId="28163" xr:uid="{00000000-0005-0000-0000-0000D5BB0000}"/>
    <cellStyle name="Normal 6 8 4 2 2 4" xfId="51425" xr:uid="{00000000-0005-0000-0000-0000D6BB0000}"/>
    <cellStyle name="Normal 6 8 4 2 3" xfId="18728" xr:uid="{00000000-0005-0000-0000-0000D7BB0000}"/>
    <cellStyle name="Normal 6 8 4 2 3 2" xfId="32860" xr:uid="{00000000-0005-0000-0000-0000D8BB0000}"/>
    <cellStyle name="Normal 6 8 4 2 3 3" xfId="46755" xr:uid="{00000000-0005-0000-0000-0000D9BB0000}"/>
    <cellStyle name="Normal 6 8 4 2 4" xfId="23541" xr:uid="{00000000-0005-0000-0000-0000DABB0000}"/>
    <cellStyle name="Normal 6 8 4 2 5" xfId="42173" xr:uid="{00000000-0005-0000-0000-0000DBBB0000}"/>
    <cellStyle name="Normal 6 8 4 3" xfId="13996" xr:uid="{00000000-0005-0000-0000-0000DCBB0000}"/>
    <cellStyle name="Normal 6 8 4 3 2" xfId="37481" xr:uid="{00000000-0005-0000-0000-0000DDBB0000}"/>
    <cellStyle name="Normal 6 8 4 3 3" xfId="28162" xr:uid="{00000000-0005-0000-0000-0000DEBB0000}"/>
    <cellStyle name="Normal 6 8 4 3 4" xfId="51424" xr:uid="{00000000-0005-0000-0000-0000DFBB0000}"/>
    <cellStyle name="Normal 6 8 4 4" xfId="18727" xr:uid="{00000000-0005-0000-0000-0000E0BB0000}"/>
    <cellStyle name="Normal 6 8 4 4 2" xfId="32859" xr:uid="{00000000-0005-0000-0000-0000E1BB0000}"/>
    <cellStyle name="Normal 6 8 4 4 3" xfId="46754" xr:uid="{00000000-0005-0000-0000-0000E2BB0000}"/>
    <cellStyle name="Normal 6 8 4 5" xfId="23540" xr:uid="{00000000-0005-0000-0000-0000E3BB0000}"/>
    <cellStyle name="Normal 6 8 4 6" xfId="42172" xr:uid="{00000000-0005-0000-0000-0000E4BB0000}"/>
    <cellStyle name="Normal 6 8 5" xfId="8234" xr:uid="{00000000-0005-0000-0000-0000E5BB0000}"/>
    <cellStyle name="Normal 6 8 5 2" xfId="8235" xr:uid="{00000000-0005-0000-0000-0000E6BB0000}"/>
    <cellStyle name="Normal 6 8 5 2 2" xfId="13999" xr:uid="{00000000-0005-0000-0000-0000E7BB0000}"/>
    <cellStyle name="Normal 6 8 5 2 2 2" xfId="37484" xr:uid="{00000000-0005-0000-0000-0000E8BB0000}"/>
    <cellStyle name="Normal 6 8 5 2 2 3" xfId="28165" xr:uid="{00000000-0005-0000-0000-0000E9BB0000}"/>
    <cellStyle name="Normal 6 8 5 2 2 4" xfId="51427" xr:uid="{00000000-0005-0000-0000-0000EABB0000}"/>
    <cellStyle name="Normal 6 8 5 2 3" xfId="18730" xr:uid="{00000000-0005-0000-0000-0000EBBB0000}"/>
    <cellStyle name="Normal 6 8 5 2 3 2" xfId="32862" xr:uid="{00000000-0005-0000-0000-0000ECBB0000}"/>
    <cellStyle name="Normal 6 8 5 2 3 3" xfId="46757" xr:uid="{00000000-0005-0000-0000-0000EDBB0000}"/>
    <cellStyle name="Normal 6 8 5 2 4" xfId="23543" xr:uid="{00000000-0005-0000-0000-0000EEBB0000}"/>
    <cellStyle name="Normal 6 8 5 2 5" xfId="42175" xr:uid="{00000000-0005-0000-0000-0000EFBB0000}"/>
    <cellStyle name="Normal 6 8 5 3" xfId="13998" xr:uid="{00000000-0005-0000-0000-0000F0BB0000}"/>
    <cellStyle name="Normal 6 8 5 3 2" xfId="37483" xr:uid="{00000000-0005-0000-0000-0000F1BB0000}"/>
    <cellStyle name="Normal 6 8 5 3 3" xfId="28164" xr:uid="{00000000-0005-0000-0000-0000F2BB0000}"/>
    <cellStyle name="Normal 6 8 5 3 4" xfId="51426" xr:uid="{00000000-0005-0000-0000-0000F3BB0000}"/>
    <cellStyle name="Normal 6 8 5 4" xfId="18729" xr:uid="{00000000-0005-0000-0000-0000F4BB0000}"/>
    <cellStyle name="Normal 6 8 5 4 2" xfId="32861" xr:uid="{00000000-0005-0000-0000-0000F5BB0000}"/>
    <cellStyle name="Normal 6 8 5 4 3" xfId="46756" xr:uid="{00000000-0005-0000-0000-0000F6BB0000}"/>
    <cellStyle name="Normal 6 8 5 5" xfId="23542" xr:uid="{00000000-0005-0000-0000-0000F7BB0000}"/>
    <cellStyle name="Normal 6 8 5 6" xfId="42174" xr:uid="{00000000-0005-0000-0000-0000F8BB0000}"/>
    <cellStyle name="Normal 6 8 6" xfId="8236" xr:uid="{00000000-0005-0000-0000-0000F9BB0000}"/>
    <cellStyle name="Normal 6 8 6 2" xfId="8237" xr:uid="{00000000-0005-0000-0000-0000FABB0000}"/>
    <cellStyle name="Normal 6 8 6 2 2" xfId="14001" xr:uid="{00000000-0005-0000-0000-0000FBBB0000}"/>
    <cellStyle name="Normal 6 8 6 2 2 2" xfId="37486" xr:uid="{00000000-0005-0000-0000-0000FCBB0000}"/>
    <cellStyle name="Normal 6 8 6 2 2 3" xfId="28167" xr:uid="{00000000-0005-0000-0000-0000FDBB0000}"/>
    <cellStyle name="Normal 6 8 6 2 2 4" xfId="51429" xr:uid="{00000000-0005-0000-0000-0000FEBB0000}"/>
    <cellStyle name="Normal 6 8 6 2 3" xfId="18732" xr:uid="{00000000-0005-0000-0000-0000FFBB0000}"/>
    <cellStyle name="Normal 6 8 6 2 3 2" xfId="32864" xr:uid="{00000000-0005-0000-0000-000000BC0000}"/>
    <cellStyle name="Normal 6 8 6 2 3 3" xfId="46759" xr:uid="{00000000-0005-0000-0000-000001BC0000}"/>
    <cellStyle name="Normal 6 8 6 2 4" xfId="23545" xr:uid="{00000000-0005-0000-0000-000002BC0000}"/>
    <cellStyle name="Normal 6 8 6 2 5" xfId="42177" xr:uid="{00000000-0005-0000-0000-000003BC0000}"/>
    <cellStyle name="Normal 6 8 6 3" xfId="14000" xr:uid="{00000000-0005-0000-0000-000004BC0000}"/>
    <cellStyle name="Normal 6 8 6 3 2" xfId="37485" xr:uid="{00000000-0005-0000-0000-000005BC0000}"/>
    <cellStyle name="Normal 6 8 6 3 3" xfId="28166" xr:uid="{00000000-0005-0000-0000-000006BC0000}"/>
    <cellStyle name="Normal 6 8 6 3 4" xfId="51428" xr:uid="{00000000-0005-0000-0000-000007BC0000}"/>
    <cellStyle name="Normal 6 8 6 4" xfId="18731" xr:uid="{00000000-0005-0000-0000-000008BC0000}"/>
    <cellStyle name="Normal 6 8 6 4 2" xfId="32863" xr:uid="{00000000-0005-0000-0000-000009BC0000}"/>
    <cellStyle name="Normal 6 8 6 4 3" xfId="46758" xr:uid="{00000000-0005-0000-0000-00000ABC0000}"/>
    <cellStyle name="Normal 6 8 6 5" xfId="23544" xr:uid="{00000000-0005-0000-0000-00000BBC0000}"/>
    <cellStyle name="Normal 6 8 6 6" xfId="42176" xr:uid="{00000000-0005-0000-0000-00000CBC0000}"/>
    <cellStyle name="Normal 6 8 7" xfId="8238" xr:uid="{00000000-0005-0000-0000-00000DBC0000}"/>
    <cellStyle name="Normal 6 8 7 2" xfId="14002" xr:uid="{00000000-0005-0000-0000-00000EBC0000}"/>
    <cellStyle name="Normal 6 8 7 2 2" xfId="37487" xr:uid="{00000000-0005-0000-0000-00000FBC0000}"/>
    <cellStyle name="Normal 6 8 7 2 3" xfId="28168" xr:uid="{00000000-0005-0000-0000-000010BC0000}"/>
    <cellStyle name="Normal 6 8 7 2 4" xfId="51430" xr:uid="{00000000-0005-0000-0000-000011BC0000}"/>
    <cellStyle name="Normal 6 8 7 3" xfId="18733" xr:uid="{00000000-0005-0000-0000-000012BC0000}"/>
    <cellStyle name="Normal 6 8 7 3 2" xfId="32865" xr:uid="{00000000-0005-0000-0000-000013BC0000}"/>
    <cellStyle name="Normal 6 8 7 3 3" xfId="46760" xr:uid="{00000000-0005-0000-0000-000014BC0000}"/>
    <cellStyle name="Normal 6 8 7 4" xfId="23546" xr:uid="{00000000-0005-0000-0000-000015BC0000}"/>
    <cellStyle name="Normal 6 8 7 5" xfId="42178" xr:uid="{00000000-0005-0000-0000-000016BC0000}"/>
    <cellStyle name="Normal 6 8 8" xfId="13991" xr:uid="{00000000-0005-0000-0000-000017BC0000}"/>
    <cellStyle name="Normal 6 8 8 2" xfId="37476" xr:uid="{00000000-0005-0000-0000-000018BC0000}"/>
    <cellStyle name="Normal 6 8 8 3" xfId="28157" xr:uid="{00000000-0005-0000-0000-000019BC0000}"/>
    <cellStyle name="Normal 6 8 8 4" xfId="51419" xr:uid="{00000000-0005-0000-0000-00001ABC0000}"/>
    <cellStyle name="Normal 6 8 9" xfId="18722" xr:uid="{00000000-0005-0000-0000-00001BBC0000}"/>
    <cellStyle name="Normal 6 8 9 2" xfId="32854" xr:uid="{00000000-0005-0000-0000-00001CBC0000}"/>
    <cellStyle name="Normal 6 8 9 3" xfId="46749" xr:uid="{00000000-0005-0000-0000-00001DBC0000}"/>
    <cellStyle name="Normal 6 80" xfId="8239" xr:uid="{00000000-0005-0000-0000-00001EBC0000}"/>
    <cellStyle name="Normal 6 80 2" xfId="8240" xr:uid="{00000000-0005-0000-0000-00001FBC0000}"/>
    <cellStyle name="Normal 6 80 2 2" xfId="14004" xr:uid="{00000000-0005-0000-0000-000020BC0000}"/>
    <cellStyle name="Normal 6 80 2 2 2" xfId="37489" xr:uid="{00000000-0005-0000-0000-000021BC0000}"/>
    <cellStyle name="Normal 6 80 2 2 3" xfId="28170" xr:uid="{00000000-0005-0000-0000-000022BC0000}"/>
    <cellStyle name="Normal 6 80 2 2 4" xfId="51432" xr:uid="{00000000-0005-0000-0000-000023BC0000}"/>
    <cellStyle name="Normal 6 80 2 3" xfId="18735" xr:uid="{00000000-0005-0000-0000-000024BC0000}"/>
    <cellStyle name="Normal 6 80 2 3 2" xfId="32867" xr:uid="{00000000-0005-0000-0000-000025BC0000}"/>
    <cellStyle name="Normal 6 80 2 3 3" xfId="46762" xr:uid="{00000000-0005-0000-0000-000026BC0000}"/>
    <cellStyle name="Normal 6 80 2 4" xfId="23548" xr:uid="{00000000-0005-0000-0000-000027BC0000}"/>
    <cellStyle name="Normal 6 80 2 5" xfId="42180" xr:uid="{00000000-0005-0000-0000-000028BC0000}"/>
    <cellStyle name="Normal 6 80 3" xfId="14003" xr:uid="{00000000-0005-0000-0000-000029BC0000}"/>
    <cellStyle name="Normal 6 80 3 2" xfId="37488" xr:uid="{00000000-0005-0000-0000-00002ABC0000}"/>
    <cellStyle name="Normal 6 80 3 3" xfId="28169" xr:uid="{00000000-0005-0000-0000-00002BBC0000}"/>
    <cellStyle name="Normal 6 80 3 4" xfId="51431" xr:uid="{00000000-0005-0000-0000-00002CBC0000}"/>
    <cellStyle name="Normal 6 80 4" xfId="18734" xr:uid="{00000000-0005-0000-0000-00002DBC0000}"/>
    <cellStyle name="Normal 6 80 4 2" xfId="32866" xr:uid="{00000000-0005-0000-0000-00002EBC0000}"/>
    <cellStyle name="Normal 6 80 4 3" xfId="46761" xr:uid="{00000000-0005-0000-0000-00002FBC0000}"/>
    <cellStyle name="Normal 6 80 5" xfId="23547" xr:uid="{00000000-0005-0000-0000-000030BC0000}"/>
    <cellStyle name="Normal 6 80 6" xfId="42179" xr:uid="{00000000-0005-0000-0000-000031BC0000}"/>
    <cellStyle name="Normal 6 81" xfId="8241" xr:uid="{00000000-0005-0000-0000-000032BC0000}"/>
    <cellStyle name="Normal 6 81 2" xfId="8242" xr:uid="{00000000-0005-0000-0000-000033BC0000}"/>
    <cellStyle name="Normal 6 81 2 2" xfId="14006" xr:uid="{00000000-0005-0000-0000-000034BC0000}"/>
    <cellStyle name="Normal 6 81 2 2 2" xfId="37491" xr:uid="{00000000-0005-0000-0000-000035BC0000}"/>
    <cellStyle name="Normal 6 81 2 2 3" xfId="28172" xr:uid="{00000000-0005-0000-0000-000036BC0000}"/>
    <cellStyle name="Normal 6 81 2 2 4" xfId="51434" xr:uid="{00000000-0005-0000-0000-000037BC0000}"/>
    <cellStyle name="Normal 6 81 2 3" xfId="18737" xr:uid="{00000000-0005-0000-0000-000038BC0000}"/>
    <cellStyle name="Normal 6 81 2 3 2" xfId="32869" xr:uid="{00000000-0005-0000-0000-000039BC0000}"/>
    <cellStyle name="Normal 6 81 2 3 3" xfId="46764" xr:uid="{00000000-0005-0000-0000-00003ABC0000}"/>
    <cellStyle name="Normal 6 81 2 4" xfId="23550" xr:uid="{00000000-0005-0000-0000-00003BBC0000}"/>
    <cellStyle name="Normal 6 81 2 5" xfId="42182" xr:uid="{00000000-0005-0000-0000-00003CBC0000}"/>
    <cellStyle name="Normal 6 81 3" xfId="14005" xr:uid="{00000000-0005-0000-0000-00003DBC0000}"/>
    <cellStyle name="Normal 6 81 3 2" xfId="37490" xr:uid="{00000000-0005-0000-0000-00003EBC0000}"/>
    <cellStyle name="Normal 6 81 3 3" xfId="28171" xr:uid="{00000000-0005-0000-0000-00003FBC0000}"/>
    <cellStyle name="Normal 6 81 3 4" xfId="51433" xr:uid="{00000000-0005-0000-0000-000040BC0000}"/>
    <cellStyle name="Normal 6 81 4" xfId="18736" xr:uid="{00000000-0005-0000-0000-000041BC0000}"/>
    <cellStyle name="Normal 6 81 4 2" xfId="32868" xr:uid="{00000000-0005-0000-0000-000042BC0000}"/>
    <cellStyle name="Normal 6 81 4 3" xfId="46763" xr:uid="{00000000-0005-0000-0000-000043BC0000}"/>
    <cellStyle name="Normal 6 81 5" xfId="23549" xr:uid="{00000000-0005-0000-0000-000044BC0000}"/>
    <cellStyle name="Normal 6 81 6" xfId="42181" xr:uid="{00000000-0005-0000-0000-000045BC0000}"/>
    <cellStyle name="Normal 6 82" xfId="8243" xr:uid="{00000000-0005-0000-0000-000046BC0000}"/>
    <cellStyle name="Normal 6 82 2" xfId="8244" xr:uid="{00000000-0005-0000-0000-000047BC0000}"/>
    <cellStyle name="Normal 6 82 2 2" xfId="14008" xr:uid="{00000000-0005-0000-0000-000048BC0000}"/>
    <cellStyle name="Normal 6 82 2 2 2" xfId="37493" xr:uid="{00000000-0005-0000-0000-000049BC0000}"/>
    <cellStyle name="Normal 6 82 2 2 3" xfId="28174" xr:uid="{00000000-0005-0000-0000-00004ABC0000}"/>
    <cellStyle name="Normal 6 82 2 2 4" xfId="51436" xr:uid="{00000000-0005-0000-0000-00004BBC0000}"/>
    <cellStyle name="Normal 6 82 2 3" xfId="18739" xr:uid="{00000000-0005-0000-0000-00004CBC0000}"/>
    <cellStyle name="Normal 6 82 2 3 2" xfId="32871" xr:uid="{00000000-0005-0000-0000-00004DBC0000}"/>
    <cellStyle name="Normal 6 82 2 3 3" xfId="46766" xr:uid="{00000000-0005-0000-0000-00004EBC0000}"/>
    <cellStyle name="Normal 6 82 2 4" xfId="23552" xr:uid="{00000000-0005-0000-0000-00004FBC0000}"/>
    <cellStyle name="Normal 6 82 2 5" xfId="42184" xr:uid="{00000000-0005-0000-0000-000050BC0000}"/>
    <cellStyle name="Normal 6 82 3" xfId="14007" xr:uid="{00000000-0005-0000-0000-000051BC0000}"/>
    <cellStyle name="Normal 6 82 3 2" xfId="37492" xr:uid="{00000000-0005-0000-0000-000052BC0000}"/>
    <cellStyle name="Normal 6 82 3 3" xfId="28173" xr:uid="{00000000-0005-0000-0000-000053BC0000}"/>
    <cellStyle name="Normal 6 82 3 4" xfId="51435" xr:uid="{00000000-0005-0000-0000-000054BC0000}"/>
    <cellStyle name="Normal 6 82 4" xfId="18738" xr:uid="{00000000-0005-0000-0000-000055BC0000}"/>
    <cellStyle name="Normal 6 82 4 2" xfId="32870" xr:uid="{00000000-0005-0000-0000-000056BC0000}"/>
    <cellStyle name="Normal 6 82 4 3" xfId="46765" xr:uid="{00000000-0005-0000-0000-000057BC0000}"/>
    <cellStyle name="Normal 6 82 5" xfId="23551" xr:uid="{00000000-0005-0000-0000-000058BC0000}"/>
    <cellStyle name="Normal 6 82 6" xfId="42183" xr:uid="{00000000-0005-0000-0000-000059BC0000}"/>
    <cellStyle name="Normal 6 83" xfId="8245" xr:uid="{00000000-0005-0000-0000-00005ABC0000}"/>
    <cellStyle name="Normal 6 83 2" xfId="8246" xr:uid="{00000000-0005-0000-0000-00005BBC0000}"/>
    <cellStyle name="Normal 6 83 2 2" xfId="14010" xr:uid="{00000000-0005-0000-0000-00005CBC0000}"/>
    <cellStyle name="Normal 6 83 2 2 2" xfId="37495" xr:uid="{00000000-0005-0000-0000-00005DBC0000}"/>
    <cellStyle name="Normal 6 83 2 2 3" xfId="28176" xr:uid="{00000000-0005-0000-0000-00005EBC0000}"/>
    <cellStyle name="Normal 6 83 2 2 4" xfId="51438" xr:uid="{00000000-0005-0000-0000-00005FBC0000}"/>
    <cellStyle name="Normal 6 83 2 3" xfId="18741" xr:uid="{00000000-0005-0000-0000-000060BC0000}"/>
    <cellStyle name="Normal 6 83 2 3 2" xfId="32873" xr:uid="{00000000-0005-0000-0000-000061BC0000}"/>
    <cellStyle name="Normal 6 83 2 3 3" xfId="46768" xr:uid="{00000000-0005-0000-0000-000062BC0000}"/>
    <cellStyle name="Normal 6 83 2 4" xfId="23554" xr:uid="{00000000-0005-0000-0000-000063BC0000}"/>
    <cellStyle name="Normal 6 83 2 5" xfId="42186" xr:uid="{00000000-0005-0000-0000-000064BC0000}"/>
    <cellStyle name="Normal 6 83 3" xfId="14009" xr:uid="{00000000-0005-0000-0000-000065BC0000}"/>
    <cellStyle name="Normal 6 83 3 2" xfId="37494" xr:uid="{00000000-0005-0000-0000-000066BC0000}"/>
    <cellStyle name="Normal 6 83 3 3" xfId="28175" xr:uid="{00000000-0005-0000-0000-000067BC0000}"/>
    <cellStyle name="Normal 6 83 3 4" xfId="51437" xr:uid="{00000000-0005-0000-0000-000068BC0000}"/>
    <cellStyle name="Normal 6 83 4" xfId="18740" xr:uid="{00000000-0005-0000-0000-000069BC0000}"/>
    <cellStyle name="Normal 6 83 4 2" xfId="32872" xr:uid="{00000000-0005-0000-0000-00006ABC0000}"/>
    <cellStyle name="Normal 6 83 4 3" xfId="46767" xr:uid="{00000000-0005-0000-0000-00006BBC0000}"/>
    <cellStyle name="Normal 6 83 5" xfId="23553" xr:uid="{00000000-0005-0000-0000-00006CBC0000}"/>
    <cellStyle name="Normal 6 83 6" xfId="42185" xr:uid="{00000000-0005-0000-0000-00006DBC0000}"/>
    <cellStyle name="Normal 6 84" xfId="8247" xr:uid="{00000000-0005-0000-0000-00006EBC0000}"/>
    <cellStyle name="Normal 6 84 2" xfId="8248" xr:uid="{00000000-0005-0000-0000-00006FBC0000}"/>
    <cellStyle name="Normal 6 84 2 2" xfId="14012" xr:uid="{00000000-0005-0000-0000-000070BC0000}"/>
    <cellStyle name="Normal 6 84 2 2 2" xfId="37497" xr:uid="{00000000-0005-0000-0000-000071BC0000}"/>
    <cellStyle name="Normal 6 84 2 2 3" xfId="28178" xr:uid="{00000000-0005-0000-0000-000072BC0000}"/>
    <cellStyle name="Normal 6 84 2 2 4" xfId="51440" xr:uid="{00000000-0005-0000-0000-000073BC0000}"/>
    <cellStyle name="Normal 6 84 2 3" xfId="18743" xr:uid="{00000000-0005-0000-0000-000074BC0000}"/>
    <cellStyle name="Normal 6 84 2 3 2" xfId="32875" xr:uid="{00000000-0005-0000-0000-000075BC0000}"/>
    <cellStyle name="Normal 6 84 2 3 3" xfId="46770" xr:uid="{00000000-0005-0000-0000-000076BC0000}"/>
    <cellStyle name="Normal 6 84 2 4" xfId="23556" xr:uid="{00000000-0005-0000-0000-000077BC0000}"/>
    <cellStyle name="Normal 6 84 2 5" xfId="42188" xr:uid="{00000000-0005-0000-0000-000078BC0000}"/>
    <cellStyle name="Normal 6 84 3" xfId="14011" xr:uid="{00000000-0005-0000-0000-000079BC0000}"/>
    <cellStyle name="Normal 6 84 3 2" xfId="37496" xr:uid="{00000000-0005-0000-0000-00007ABC0000}"/>
    <cellStyle name="Normal 6 84 3 3" xfId="28177" xr:uid="{00000000-0005-0000-0000-00007BBC0000}"/>
    <cellStyle name="Normal 6 84 3 4" xfId="51439" xr:uid="{00000000-0005-0000-0000-00007CBC0000}"/>
    <cellStyle name="Normal 6 84 4" xfId="18742" xr:uid="{00000000-0005-0000-0000-00007DBC0000}"/>
    <cellStyle name="Normal 6 84 4 2" xfId="32874" xr:uid="{00000000-0005-0000-0000-00007EBC0000}"/>
    <cellStyle name="Normal 6 84 4 3" xfId="46769" xr:uid="{00000000-0005-0000-0000-00007FBC0000}"/>
    <cellStyle name="Normal 6 84 5" xfId="23555" xr:uid="{00000000-0005-0000-0000-000080BC0000}"/>
    <cellStyle name="Normal 6 84 6" xfId="42187" xr:uid="{00000000-0005-0000-0000-000081BC0000}"/>
    <cellStyle name="Normal 6 85" xfId="8249" xr:uid="{00000000-0005-0000-0000-000082BC0000}"/>
    <cellStyle name="Normal 6 85 2" xfId="8250" xr:uid="{00000000-0005-0000-0000-000083BC0000}"/>
    <cellStyle name="Normal 6 85 2 2" xfId="14014" xr:uid="{00000000-0005-0000-0000-000084BC0000}"/>
    <cellStyle name="Normal 6 85 2 2 2" xfId="37499" xr:uid="{00000000-0005-0000-0000-000085BC0000}"/>
    <cellStyle name="Normal 6 85 2 2 3" xfId="28180" xr:uid="{00000000-0005-0000-0000-000086BC0000}"/>
    <cellStyle name="Normal 6 85 2 2 4" xfId="51442" xr:uid="{00000000-0005-0000-0000-000087BC0000}"/>
    <cellStyle name="Normal 6 85 2 3" xfId="18745" xr:uid="{00000000-0005-0000-0000-000088BC0000}"/>
    <cellStyle name="Normal 6 85 2 3 2" xfId="32877" xr:uid="{00000000-0005-0000-0000-000089BC0000}"/>
    <cellStyle name="Normal 6 85 2 3 3" xfId="46772" xr:uid="{00000000-0005-0000-0000-00008ABC0000}"/>
    <cellStyle name="Normal 6 85 2 4" xfId="23558" xr:uid="{00000000-0005-0000-0000-00008BBC0000}"/>
    <cellStyle name="Normal 6 85 2 5" xfId="42190" xr:uid="{00000000-0005-0000-0000-00008CBC0000}"/>
    <cellStyle name="Normal 6 85 3" xfId="14013" xr:uid="{00000000-0005-0000-0000-00008DBC0000}"/>
    <cellStyle name="Normal 6 85 3 2" xfId="37498" xr:uid="{00000000-0005-0000-0000-00008EBC0000}"/>
    <cellStyle name="Normal 6 85 3 3" xfId="28179" xr:uid="{00000000-0005-0000-0000-00008FBC0000}"/>
    <cellStyle name="Normal 6 85 3 4" xfId="51441" xr:uid="{00000000-0005-0000-0000-000090BC0000}"/>
    <cellStyle name="Normal 6 85 4" xfId="18744" xr:uid="{00000000-0005-0000-0000-000091BC0000}"/>
    <cellStyle name="Normal 6 85 4 2" xfId="32876" xr:uid="{00000000-0005-0000-0000-000092BC0000}"/>
    <cellStyle name="Normal 6 85 4 3" xfId="46771" xr:uid="{00000000-0005-0000-0000-000093BC0000}"/>
    <cellStyle name="Normal 6 85 5" xfId="23557" xr:uid="{00000000-0005-0000-0000-000094BC0000}"/>
    <cellStyle name="Normal 6 85 6" xfId="42189" xr:uid="{00000000-0005-0000-0000-000095BC0000}"/>
    <cellStyle name="Normal 6 86" xfId="8251" xr:uid="{00000000-0005-0000-0000-000096BC0000}"/>
    <cellStyle name="Normal 6 86 2" xfId="14015" xr:uid="{00000000-0005-0000-0000-000097BC0000}"/>
    <cellStyle name="Normal 6 86 2 2" xfId="37500" xr:uid="{00000000-0005-0000-0000-000098BC0000}"/>
    <cellStyle name="Normal 6 86 2 3" xfId="28181" xr:uid="{00000000-0005-0000-0000-000099BC0000}"/>
    <cellStyle name="Normal 6 86 2 4" xfId="51443" xr:uid="{00000000-0005-0000-0000-00009ABC0000}"/>
    <cellStyle name="Normal 6 86 3" xfId="18746" xr:uid="{00000000-0005-0000-0000-00009BBC0000}"/>
    <cellStyle name="Normal 6 86 3 2" xfId="32878" xr:uid="{00000000-0005-0000-0000-00009CBC0000}"/>
    <cellStyle name="Normal 6 86 3 3" xfId="46773" xr:uid="{00000000-0005-0000-0000-00009DBC0000}"/>
    <cellStyle name="Normal 6 86 4" xfId="23559" xr:uid="{00000000-0005-0000-0000-00009EBC0000}"/>
    <cellStyle name="Normal 6 86 5" xfId="42191" xr:uid="{00000000-0005-0000-0000-00009FBC0000}"/>
    <cellStyle name="Normal 6 87" xfId="8252" xr:uid="{00000000-0005-0000-0000-0000A0BC0000}"/>
    <cellStyle name="Normal 6 87 2" xfId="14016" xr:uid="{00000000-0005-0000-0000-0000A1BC0000}"/>
    <cellStyle name="Normal 6 87 2 2" xfId="37501" xr:uid="{00000000-0005-0000-0000-0000A2BC0000}"/>
    <cellStyle name="Normal 6 87 2 3" xfId="28182" xr:uid="{00000000-0005-0000-0000-0000A3BC0000}"/>
    <cellStyle name="Normal 6 87 2 4" xfId="51444" xr:uid="{00000000-0005-0000-0000-0000A4BC0000}"/>
    <cellStyle name="Normal 6 87 3" xfId="18747" xr:uid="{00000000-0005-0000-0000-0000A5BC0000}"/>
    <cellStyle name="Normal 6 87 3 2" xfId="32879" xr:uid="{00000000-0005-0000-0000-0000A6BC0000}"/>
    <cellStyle name="Normal 6 87 3 3" xfId="46774" xr:uid="{00000000-0005-0000-0000-0000A7BC0000}"/>
    <cellStyle name="Normal 6 87 4" xfId="23560" xr:uid="{00000000-0005-0000-0000-0000A8BC0000}"/>
    <cellStyle name="Normal 6 87 5" xfId="42192" xr:uid="{00000000-0005-0000-0000-0000A9BC0000}"/>
    <cellStyle name="Normal 6 88" xfId="8253" xr:uid="{00000000-0005-0000-0000-0000AABC0000}"/>
    <cellStyle name="Normal 6 88 2" xfId="14017" xr:uid="{00000000-0005-0000-0000-0000ABBC0000}"/>
    <cellStyle name="Normal 6 88 2 2" xfId="37502" xr:uid="{00000000-0005-0000-0000-0000ACBC0000}"/>
    <cellStyle name="Normal 6 88 2 3" xfId="28183" xr:uid="{00000000-0005-0000-0000-0000ADBC0000}"/>
    <cellStyle name="Normal 6 88 2 4" xfId="51445" xr:uid="{00000000-0005-0000-0000-0000AEBC0000}"/>
    <cellStyle name="Normal 6 88 3" xfId="18748" xr:uid="{00000000-0005-0000-0000-0000AFBC0000}"/>
    <cellStyle name="Normal 6 88 3 2" xfId="32880" xr:uid="{00000000-0005-0000-0000-0000B0BC0000}"/>
    <cellStyle name="Normal 6 88 3 3" xfId="46775" xr:uid="{00000000-0005-0000-0000-0000B1BC0000}"/>
    <cellStyle name="Normal 6 88 4" xfId="23561" xr:uid="{00000000-0005-0000-0000-0000B2BC0000}"/>
    <cellStyle name="Normal 6 88 5" xfId="42193" xr:uid="{00000000-0005-0000-0000-0000B3BC0000}"/>
    <cellStyle name="Normal 6 89" xfId="8254" xr:uid="{00000000-0005-0000-0000-0000B4BC0000}"/>
    <cellStyle name="Normal 6 89 2" xfId="14018" xr:uid="{00000000-0005-0000-0000-0000B5BC0000}"/>
    <cellStyle name="Normal 6 89 2 2" xfId="37503" xr:uid="{00000000-0005-0000-0000-0000B6BC0000}"/>
    <cellStyle name="Normal 6 89 2 3" xfId="28184" xr:uid="{00000000-0005-0000-0000-0000B7BC0000}"/>
    <cellStyle name="Normal 6 89 2 4" xfId="51446" xr:uid="{00000000-0005-0000-0000-0000B8BC0000}"/>
    <cellStyle name="Normal 6 89 3" xfId="18749" xr:uid="{00000000-0005-0000-0000-0000B9BC0000}"/>
    <cellStyle name="Normal 6 89 3 2" xfId="32881" xr:uid="{00000000-0005-0000-0000-0000BABC0000}"/>
    <cellStyle name="Normal 6 89 3 3" xfId="46776" xr:uid="{00000000-0005-0000-0000-0000BBBC0000}"/>
    <cellStyle name="Normal 6 89 4" xfId="23562" xr:uid="{00000000-0005-0000-0000-0000BCBC0000}"/>
    <cellStyle name="Normal 6 89 5" xfId="42194" xr:uid="{00000000-0005-0000-0000-0000BDBC0000}"/>
    <cellStyle name="Normal 6 9" xfId="8255" xr:uid="{00000000-0005-0000-0000-0000BEBC0000}"/>
    <cellStyle name="Normal 6 9 10" xfId="23563" xr:uid="{00000000-0005-0000-0000-0000BFBC0000}"/>
    <cellStyle name="Normal 6 9 11" xfId="42195" xr:uid="{00000000-0005-0000-0000-0000C0BC0000}"/>
    <cellStyle name="Normal 6 9 2" xfId="8256" xr:uid="{00000000-0005-0000-0000-0000C1BC0000}"/>
    <cellStyle name="Normal 6 9 2 2" xfId="8257" xr:uid="{00000000-0005-0000-0000-0000C2BC0000}"/>
    <cellStyle name="Normal 6 9 2 2 2" xfId="14021" xr:uid="{00000000-0005-0000-0000-0000C3BC0000}"/>
    <cellStyle name="Normal 6 9 2 2 2 2" xfId="37506" xr:uid="{00000000-0005-0000-0000-0000C4BC0000}"/>
    <cellStyle name="Normal 6 9 2 2 2 3" xfId="28187" xr:uid="{00000000-0005-0000-0000-0000C5BC0000}"/>
    <cellStyle name="Normal 6 9 2 2 2 4" xfId="51449" xr:uid="{00000000-0005-0000-0000-0000C6BC0000}"/>
    <cellStyle name="Normal 6 9 2 2 3" xfId="18752" xr:uid="{00000000-0005-0000-0000-0000C7BC0000}"/>
    <cellStyle name="Normal 6 9 2 2 3 2" xfId="32884" xr:uid="{00000000-0005-0000-0000-0000C8BC0000}"/>
    <cellStyle name="Normal 6 9 2 2 3 3" xfId="46779" xr:uid="{00000000-0005-0000-0000-0000C9BC0000}"/>
    <cellStyle name="Normal 6 9 2 2 4" xfId="23565" xr:uid="{00000000-0005-0000-0000-0000CABC0000}"/>
    <cellStyle name="Normal 6 9 2 2 5" xfId="42197" xr:uid="{00000000-0005-0000-0000-0000CBBC0000}"/>
    <cellStyle name="Normal 6 9 2 3" xfId="14020" xr:uid="{00000000-0005-0000-0000-0000CCBC0000}"/>
    <cellStyle name="Normal 6 9 2 3 2" xfId="37505" xr:uid="{00000000-0005-0000-0000-0000CDBC0000}"/>
    <cellStyle name="Normal 6 9 2 3 3" xfId="28186" xr:uid="{00000000-0005-0000-0000-0000CEBC0000}"/>
    <cellStyle name="Normal 6 9 2 3 4" xfId="51448" xr:uid="{00000000-0005-0000-0000-0000CFBC0000}"/>
    <cellStyle name="Normal 6 9 2 4" xfId="18751" xr:uid="{00000000-0005-0000-0000-0000D0BC0000}"/>
    <cellStyle name="Normal 6 9 2 4 2" xfId="32883" xr:uid="{00000000-0005-0000-0000-0000D1BC0000}"/>
    <cellStyle name="Normal 6 9 2 4 3" xfId="46778" xr:uid="{00000000-0005-0000-0000-0000D2BC0000}"/>
    <cellStyle name="Normal 6 9 2 5" xfId="23564" xr:uid="{00000000-0005-0000-0000-0000D3BC0000}"/>
    <cellStyle name="Normal 6 9 2 6" xfId="42196" xr:uid="{00000000-0005-0000-0000-0000D4BC0000}"/>
    <cellStyle name="Normal 6 9 3" xfId="8258" xr:uid="{00000000-0005-0000-0000-0000D5BC0000}"/>
    <cellStyle name="Normal 6 9 3 2" xfId="8259" xr:uid="{00000000-0005-0000-0000-0000D6BC0000}"/>
    <cellStyle name="Normal 6 9 3 2 2" xfId="14023" xr:uid="{00000000-0005-0000-0000-0000D7BC0000}"/>
    <cellStyle name="Normal 6 9 3 2 2 2" xfId="37508" xr:uid="{00000000-0005-0000-0000-0000D8BC0000}"/>
    <cellStyle name="Normal 6 9 3 2 2 3" xfId="28189" xr:uid="{00000000-0005-0000-0000-0000D9BC0000}"/>
    <cellStyle name="Normal 6 9 3 2 2 4" xfId="51451" xr:uid="{00000000-0005-0000-0000-0000DABC0000}"/>
    <cellStyle name="Normal 6 9 3 2 3" xfId="18754" xr:uid="{00000000-0005-0000-0000-0000DBBC0000}"/>
    <cellStyle name="Normal 6 9 3 2 3 2" xfId="32886" xr:uid="{00000000-0005-0000-0000-0000DCBC0000}"/>
    <cellStyle name="Normal 6 9 3 2 3 3" xfId="46781" xr:uid="{00000000-0005-0000-0000-0000DDBC0000}"/>
    <cellStyle name="Normal 6 9 3 2 4" xfId="23567" xr:uid="{00000000-0005-0000-0000-0000DEBC0000}"/>
    <cellStyle name="Normal 6 9 3 2 5" xfId="42199" xr:uid="{00000000-0005-0000-0000-0000DFBC0000}"/>
    <cellStyle name="Normal 6 9 3 3" xfId="14022" xr:uid="{00000000-0005-0000-0000-0000E0BC0000}"/>
    <cellStyle name="Normal 6 9 3 3 2" xfId="37507" xr:uid="{00000000-0005-0000-0000-0000E1BC0000}"/>
    <cellStyle name="Normal 6 9 3 3 3" xfId="28188" xr:uid="{00000000-0005-0000-0000-0000E2BC0000}"/>
    <cellStyle name="Normal 6 9 3 3 4" xfId="51450" xr:uid="{00000000-0005-0000-0000-0000E3BC0000}"/>
    <cellStyle name="Normal 6 9 3 4" xfId="18753" xr:uid="{00000000-0005-0000-0000-0000E4BC0000}"/>
    <cellStyle name="Normal 6 9 3 4 2" xfId="32885" xr:uid="{00000000-0005-0000-0000-0000E5BC0000}"/>
    <cellStyle name="Normal 6 9 3 4 3" xfId="46780" xr:uid="{00000000-0005-0000-0000-0000E6BC0000}"/>
    <cellStyle name="Normal 6 9 3 5" xfId="23566" xr:uid="{00000000-0005-0000-0000-0000E7BC0000}"/>
    <cellStyle name="Normal 6 9 3 6" xfId="42198" xr:uid="{00000000-0005-0000-0000-0000E8BC0000}"/>
    <cellStyle name="Normal 6 9 4" xfId="8260" xr:uid="{00000000-0005-0000-0000-0000E9BC0000}"/>
    <cellStyle name="Normal 6 9 4 2" xfId="8261" xr:uid="{00000000-0005-0000-0000-0000EABC0000}"/>
    <cellStyle name="Normal 6 9 4 2 2" xfId="14025" xr:uid="{00000000-0005-0000-0000-0000EBBC0000}"/>
    <cellStyle name="Normal 6 9 4 2 2 2" xfId="37510" xr:uid="{00000000-0005-0000-0000-0000ECBC0000}"/>
    <cellStyle name="Normal 6 9 4 2 2 3" xfId="28191" xr:uid="{00000000-0005-0000-0000-0000EDBC0000}"/>
    <cellStyle name="Normal 6 9 4 2 2 4" xfId="51453" xr:uid="{00000000-0005-0000-0000-0000EEBC0000}"/>
    <cellStyle name="Normal 6 9 4 2 3" xfId="18756" xr:uid="{00000000-0005-0000-0000-0000EFBC0000}"/>
    <cellStyle name="Normal 6 9 4 2 3 2" xfId="32888" xr:uid="{00000000-0005-0000-0000-0000F0BC0000}"/>
    <cellStyle name="Normal 6 9 4 2 3 3" xfId="46783" xr:uid="{00000000-0005-0000-0000-0000F1BC0000}"/>
    <cellStyle name="Normal 6 9 4 2 4" xfId="23569" xr:uid="{00000000-0005-0000-0000-0000F2BC0000}"/>
    <cellStyle name="Normal 6 9 4 2 5" xfId="42201" xr:uid="{00000000-0005-0000-0000-0000F3BC0000}"/>
    <cellStyle name="Normal 6 9 4 3" xfId="14024" xr:uid="{00000000-0005-0000-0000-0000F4BC0000}"/>
    <cellStyle name="Normal 6 9 4 3 2" xfId="37509" xr:uid="{00000000-0005-0000-0000-0000F5BC0000}"/>
    <cellStyle name="Normal 6 9 4 3 3" xfId="28190" xr:uid="{00000000-0005-0000-0000-0000F6BC0000}"/>
    <cellStyle name="Normal 6 9 4 3 4" xfId="51452" xr:uid="{00000000-0005-0000-0000-0000F7BC0000}"/>
    <cellStyle name="Normal 6 9 4 4" xfId="18755" xr:uid="{00000000-0005-0000-0000-0000F8BC0000}"/>
    <cellStyle name="Normal 6 9 4 4 2" xfId="32887" xr:uid="{00000000-0005-0000-0000-0000F9BC0000}"/>
    <cellStyle name="Normal 6 9 4 4 3" xfId="46782" xr:uid="{00000000-0005-0000-0000-0000FABC0000}"/>
    <cellStyle name="Normal 6 9 4 5" xfId="23568" xr:uid="{00000000-0005-0000-0000-0000FBBC0000}"/>
    <cellStyle name="Normal 6 9 4 6" xfId="42200" xr:uid="{00000000-0005-0000-0000-0000FCBC0000}"/>
    <cellStyle name="Normal 6 9 5" xfId="8262" xr:uid="{00000000-0005-0000-0000-0000FDBC0000}"/>
    <cellStyle name="Normal 6 9 5 2" xfId="8263" xr:uid="{00000000-0005-0000-0000-0000FEBC0000}"/>
    <cellStyle name="Normal 6 9 5 2 2" xfId="14027" xr:uid="{00000000-0005-0000-0000-0000FFBC0000}"/>
    <cellStyle name="Normal 6 9 5 2 2 2" xfId="37512" xr:uid="{00000000-0005-0000-0000-000000BD0000}"/>
    <cellStyle name="Normal 6 9 5 2 2 3" xfId="28193" xr:uid="{00000000-0005-0000-0000-000001BD0000}"/>
    <cellStyle name="Normal 6 9 5 2 2 4" xfId="51455" xr:uid="{00000000-0005-0000-0000-000002BD0000}"/>
    <cellStyle name="Normal 6 9 5 2 3" xfId="18758" xr:uid="{00000000-0005-0000-0000-000003BD0000}"/>
    <cellStyle name="Normal 6 9 5 2 3 2" xfId="32890" xr:uid="{00000000-0005-0000-0000-000004BD0000}"/>
    <cellStyle name="Normal 6 9 5 2 3 3" xfId="46785" xr:uid="{00000000-0005-0000-0000-000005BD0000}"/>
    <cellStyle name="Normal 6 9 5 2 4" xfId="23571" xr:uid="{00000000-0005-0000-0000-000006BD0000}"/>
    <cellStyle name="Normal 6 9 5 2 5" xfId="42203" xr:uid="{00000000-0005-0000-0000-000007BD0000}"/>
    <cellStyle name="Normal 6 9 5 3" xfId="14026" xr:uid="{00000000-0005-0000-0000-000008BD0000}"/>
    <cellStyle name="Normal 6 9 5 3 2" xfId="37511" xr:uid="{00000000-0005-0000-0000-000009BD0000}"/>
    <cellStyle name="Normal 6 9 5 3 3" xfId="28192" xr:uid="{00000000-0005-0000-0000-00000ABD0000}"/>
    <cellStyle name="Normal 6 9 5 3 4" xfId="51454" xr:uid="{00000000-0005-0000-0000-00000BBD0000}"/>
    <cellStyle name="Normal 6 9 5 4" xfId="18757" xr:uid="{00000000-0005-0000-0000-00000CBD0000}"/>
    <cellStyle name="Normal 6 9 5 4 2" xfId="32889" xr:uid="{00000000-0005-0000-0000-00000DBD0000}"/>
    <cellStyle name="Normal 6 9 5 4 3" xfId="46784" xr:uid="{00000000-0005-0000-0000-00000EBD0000}"/>
    <cellStyle name="Normal 6 9 5 5" xfId="23570" xr:uid="{00000000-0005-0000-0000-00000FBD0000}"/>
    <cellStyle name="Normal 6 9 5 6" xfId="42202" xr:uid="{00000000-0005-0000-0000-000010BD0000}"/>
    <cellStyle name="Normal 6 9 6" xfId="8264" xr:uid="{00000000-0005-0000-0000-000011BD0000}"/>
    <cellStyle name="Normal 6 9 6 2" xfId="8265" xr:uid="{00000000-0005-0000-0000-000012BD0000}"/>
    <cellStyle name="Normal 6 9 6 2 2" xfId="14029" xr:uid="{00000000-0005-0000-0000-000013BD0000}"/>
    <cellStyle name="Normal 6 9 6 2 2 2" xfId="37514" xr:uid="{00000000-0005-0000-0000-000014BD0000}"/>
    <cellStyle name="Normal 6 9 6 2 2 3" xfId="28195" xr:uid="{00000000-0005-0000-0000-000015BD0000}"/>
    <cellStyle name="Normal 6 9 6 2 2 4" xfId="51457" xr:uid="{00000000-0005-0000-0000-000016BD0000}"/>
    <cellStyle name="Normal 6 9 6 2 3" xfId="18760" xr:uid="{00000000-0005-0000-0000-000017BD0000}"/>
    <cellStyle name="Normal 6 9 6 2 3 2" xfId="32892" xr:uid="{00000000-0005-0000-0000-000018BD0000}"/>
    <cellStyle name="Normal 6 9 6 2 3 3" xfId="46787" xr:uid="{00000000-0005-0000-0000-000019BD0000}"/>
    <cellStyle name="Normal 6 9 6 2 4" xfId="23573" xr:uid="{00000000-0005-0000-0000-00001ABD0000}"/>
    <cellStyle name="Normal 6 9 6 2 5" xfId="42205" xr:uid="{00000000-0005-0000-0000-00001BBD0000}"/>
    <cellStyle name="Normal 6 9 6 3" xfId="14028" xr:uid="{00000000-0005-0000-0000-00001CBD0000}"/>
    <cellStyle name="Normal 6 9 6 3 2" xfId="37513" xr:uid="{00000000-0005-0000-0000-00001DBD0000}"/>
    <cellStyle name="Normal 6 9 6 3 3" xfId="28194" xr:uid="{00000000-0005-0000-0000-00001EBD0000}"/>
    <cellStyle name="Normal 6 9 6 3 4" xfId="51456" xr:uid="{00000000-0005-0000-0000-00001FBD0000}"/>
    <cellStyle name="Normal 6 9 6 4" xfId="18759" xr:uid="{00000000-0005-0000-0000-000020BD0000}"/>
    <cellStyle name="Normal 6 9 6 4 2" xfId="32891" xr:uid="{00000000-0005-0000-0000-000021BD0000}"/>
    <cellStyle name="Normal 6 9 6 4 3" xfId="46786" xr:uid="{00000000-0005-0000-0000-000022BD0000}"/>
    <cellStyle name="Normal 6 9 6 5" xfId="23572" xr:uid="{00000000-0005-0000-0000-000023BD0000}"/>
    <cellStyle name="Normal 6 9 6 6" xfId="42204" xr:uid="{00000000-0005-0000-0000-000024BD0000}"/>
    <cellStyle name="Normal 6 9 7" xfId="8266" xr:uid="{00000000-0005-0000-0000-000025BD0000}"/>
    <cellStyle name="Normal 6 9 7 2" xfId="14030" xr:uid="{00000000-0005-0000-0000-000026BD0000}"/>
    <cellStyle name="Normal 6 9 7 2 2" xfId="37515" xr:uid="{00000000-0005-0000-0000-000027BD0000}"/>
    <cellStyle name="Normal 6 9 7 2 3" xfId="28196" xr:uid="{00000000-0005-0000-0000-000028BD0000}"/>
    <cellStyle name="Normal 6 9 7 2 4" xfId="51458" xr:uid="{00000000-0005-0000-0000-000029BD0000}"/>
    <cellStyle name="Normal 6 9 7 3" xfId="18761" xr:uid="{00000000-0005-0000-0000-00002ABD0000}"/>
    <cellStyle name="Normal 6 9 7 3 2" xfId="32893" xr:uid="{00000000-0005-0000-0000-00002BBD0000}"/>
    <cellStyle name="Normal 6 9 7 3 3" xfId="46788" xr:uid="{00000000-0005-0000-0000-00002CBD0000}"/>
    <cellStyle name="Normal 6 9 7 4" xfId="23574" xr:uid="{00000000-0005-0000-0000-00002DBD0000}"/>
    <cellStyle name="Normal 6 9 7 5" xfId="42206" xr:uid="{00000000-0005-0000-0000-00002EBD0000}"/>
    <cellStyle name="Normal 6 9 8" xfId="14019" xr:uid="{00000000-0005-0000-0000-00002FBD0000}"/>
    <cellStyle name="Normal 6 9 8 2" xfId="37504" xr:uid="{00000000-0005-0000-0000-000030BD0000}"/>
    <cellStyle name="Normal 6 9 8 3" xfId="28185" xr:uid="{00000000-0005-0000-0000-000031BD0000}"/>
    <cellStyle name="Normal 6 9 8 4" xfId="51447" xr:uid="{00000000-0005-0000-0000-000032BD0000}"/>
    <cellStyle name="Normal 6 9 9" xfId="18750" xr:uid="{00000000-0005-0000-0000-000033BD0000}"/>
    <cellStyle name="Normal 6 9 9 2" xfId="32882" xr:uid="{00000000-0005-0000-0000-000034BD0000}"/>
    <cellStyle name="Normal 6 9 9 3" xfId="46777" xr:uid="{00000000-0005-0000-0000-000035BD0000}"/>
    <cellStyle name="Normal 6 90" xfId="425" xr:uid="{00000000-0005-0000-0000-000036BD0000}"/>
    <cellStyle name="Normal 6 90 2" xfId="9683" xr:uid="{00000000-0005-0000-0000-000037BD0000}"/>
    <cellStyle name="Normal 6 90 2 2" xfId="33174" xr:uid="{00000000-0005-0000-0000-000038BD0000}"/>
    <cellStyle name="Normal 6 90 2 3" xfId="23859" xr:uid="{00000000-0005-0000-0000-000039BD0000}"/>
    <cellStyle name="Normal 6 90 2 4" xfId="47117" xr:uid="{00000000-0005-0000-0000-00003ABD0000}"/>
    <cellStyle name="Normal 6 90 3" xfId="14444" xr:uid="{00000000-0005-0000-0000-00003BBD0000}"/>
    <cellStyle name="Normal 6 90 3 2" xfId="28575" xr:uid="{00000000-0005-0000-0000-00003CBD0000}"/>
    <cellStyle name="Normal 6 90 3 3" xfId="42455" xr:uid="{00000000-0005-0000-0000-00003DBD0000}"/>
    <cellStyle name="Normal 6 90 4" xfId="19255" xr:uid="{00000000-0005-0000-0000-00003EBD0000}"/>
    <cellStyle name="Normal 6 90 5" xfId="37890" xr:uid="{00000000-0005-0000-0000-00003FBD0000}"/>
    <cellStyle name="Normal 6 91" xfId="9489" xr:uid="{00000000-0005-0000-0000-000040BD0000}"/>
    <cellStyle name="Normal 6 91 2" xfId="14158" xr:uid="{00000000-0005-0000-0000-000041BD0000}"/>
    <cellStyle name="Normal 6 91 2 2" xfId="37636" xr:uid="{00000000-0005-0000-0000-000042BD0000}"/>
    <cellStyle name="Normal 6 91 2 3" xfId="28322" xr:uid="{00000000-0005-0000-0000-000043BD0000}"/>
    <cellStyle name="Normal 6 91 2 4" xfId="51585" xr:uid="{00000000-0005-0000-0000-000044BD0000}"/>
    <cellStyle name="Normal 6 91 3" xfId="18870" xr:uid="{00000000-0005-0000-0000-000045BD0000}"/>
    <cellStyle name="Normal 6 91 3 2" xfId="33002" xr:uid="{00000000-0005-0000-0000-000046BD0000}"/>
    <cellStyle name="Normal 6 91 3 3" xfId="46904" xr:uid="{00000000-0005-0000-0000-000047BD0000}"/>
    <cellStyle name="Normal 6 91 4" xfId="23688" xr:uid="{00000000-0005-0000-0000-000048BD0000}"/>
    <cellStyle name="Normal 6 91 5" xfId="42275" xr:uid="{00000000-0005-0000-0000-000049BD0000}"/>
    <cellStyle name="Normal 6 92" xfId="9529" xr:uid="{00000000-0005-0000-0000-00004ABD0000}"/>
    <cellStyle name="Normal 6 92 2" xfId="14195" xr:uid="{00000000-0005-0000-0000-00004BBD0000}"/>
    <cellStyle name="Normal 6 92 2 2" xfId="37670" xr:uid="{00000000-0005-0000-0000-00004CBD0000}"/>
    <cellStyle name="Normal 6 92 2 3" xfId="28355" xr:uid="{00000000-0005-0000-0000-00004DBD0000}"/>
    <cellStyle name="Normal 6 92 2 4" xfId="51622" xr:uid="{00000000-0005-0000-0000-00004EBD0000}"/>
    <cellStyle name="Normal 6 92 3" xfId="18903" xr:uid="{00000000-0005-0000-0000-00004FBD0000}"/>
    <cellStyle name="Normal 6 92 3 2" xfId="33036" xr:uid="{00000000-0005-0000-0000-000050BD0000}"/>
    <cellStyle name="Normal 6 92 3 3" xfId="46942" xr:uid="{00000000-0005-0000-0000-000051BD0000}"/>
    <cellStyle name="Normal 6 92 4" xfId="23723" xr:uid="{00000000-0005-0000-0000-000052BD0000}"/>
    <cellStyle name="Normal 6 92 5" xfId="42308" xr:uid="{00000000-0005-0000-0000-000053BD0000}"/>
    <cellStyle name="Normal 6 93" xfId="9622" xr:uid="{00000000-0005-0000-0000-000054BD0000}"/>
    <cellStyle name="Normal 6 93 2" xfId="33117" xr:uid="{00000000-0005-0000-0000-000055BD0000}"/>
    <cellStyle name="Normal 6 93 3" xfId="23805" xr:uid="{00000000-0005-0000-0000-000056BD0000}"/>
    <cellStyle name="Normal 6 93 4" xfId="47058" xr:uid="{00000000-0005-0000-0000-000057BD0000}"/>
    <cellStyle name="Normal 6 94" xfId="14389" xr:uid="{00000000-0005-0000-0000-000058BD0000}"/>
    <cellStyle name="Normal 6 94 2" xfId="28521" xr:uid="{00000000-0005-0000-0000-000059BD0000}"/>
    <cellStyle name="Normal 6 94 3" xfId="42392" xr:uid="{00000000-0005-0000-0000-00005ABD0000}"/>
    <cellStyle name="Normal 6 95" xfId="19202" xr:uid="{00000000-0005-0000-0000-00005BBD0000}"/>
    <cellStyle name="Normal 6 96" xfId="37837" xr:uid="{00000000-0005-0000-0000-00005CBD0000}"/>
    <cellStyle name="Normal 6 97" xfId="51688" xr:uid="{00000000-0005-0000-0000-00005DBD0000}"/>
    <cellStyle name="Normal 60" xfId="216" xr:uid="{00000000-0005-0000-0000-00005EBD0000}"/>
    <cellStyle name="Normal 61" xfId="217" xr:uid="{00000000-0005-0000-0000-00005FBD0000}"/>
    <cellStyle name="Normal 62" xfId="218" xr:uid="{00000000-0005-0000-0000-000060BD0000}"/>
    <cellStyle name="Normal 63" xfId="219" xr:uid="{00000000-0005-0000-0000-000061BD0000}"/>
    <cellStyle name="Normal 64" xfId="220" xr:uid="{00000000-0005-0000-0000-000062BD0000}"/>
    <cellStyle name="Normal 65" xfId="221" xr:uid="{00000000-0005-0000-0000-000063BD0000}"/>
    <cellStyle name="Normal 66" xfId="222" xr:uid="{00000000-0005-0000-0000-000064BD0000}"/>
    <cellStyle name="Normal 67" xfId="223" xr:uid="{00000000-0005-0000-0000-000065BD0000}"/>
    <cellStyle name="Normal 675" xfId="9552" xr:uid="{00000000-0005-0000-0000-000066BD0000}"/>
    <cellStyle name="Normal 675 2" xfId="9563" xr:uid="{00000000-0005-0000-0000-000067BD0000}"/>
    <cellStyle name="Normal 675 2 2" xfId="14222" xr:uid="{00000000-0005-0000-0000-000068BD0000}"/>
    <cellStyle name="Normal 675 2 2 2" xfId="37697" xr:uid="{00000000-0005-0000-0000-000069BD0000}"/>
    <cellStyle name="Normal 675 2 2 3" xfId="28382" xr:uid="{00000000-0005-0000-0000-00006ABD0000}"/>
    <cellStyle name="Normal 675 2 2 4" xfId="46971" xr:uid="{00000000-0005-0000-0000-00006BBD0000}"/>
    <cellStyle name="Normal 675 2 3" xfId="33061" xr:uid="{00000000-0005-0000-0000-00006CBD0000}"/>
    <cellStyle name="Normal 675 2 4" xfId="23750" xr:uid="{00000000-0005-0000-0000-00006DBD0000}"/>
    <cellStyle name="Normal 675 2 5" xfId="42335" xr:uid="{00000000-0005-0000-0000-00006EBD0000}"/>
    <cellStyle name="Normal 675 3" xfId="9571" xr:uid="{00000000-0005-0000-0000-00006FBD0000}"/>
    <cellStyle name="Normal 675 3 2" xfId="14230" xr:uid="{00000000-0005-0000-0000-000070BD0000}"/>
    <cellStyle name="Normal 675 3 2 2" xfId="37705" xr:uid="{00000000-0005-0000-0000-000071BD0000}"/>
    <cellStyle name="Normal 675 3 2 3" xfId="28390" xr:uid="{00000000-0005-0000-0000-000072BD0000}"/>
    <cellStyle name="Normal 675 3 2 4" xfId="46979" xr:uid="{00000000-0005-0000-0000-000073BD0000}"/>
    <cellStyle name="Normal 675 3 3" xfId="33069" xr:uid="{00000000-0005-0000-0000-000074BD0000}"/>
    <cellStyle name="Normal 675 3 4" xfId="23758" xr:uid="{00000000-0005-0000-0000-000075BD0000}"/>
    <cellStyle name="Normal 675 3 5" xfId="42343" xr:uid="{00000000-0005-0000-0000-000076BD0000}"/>
    <cellStyle name="Normal 675 4" xfId="9588" xr:uid="{00000000-0005-0000-0000-000077BD0000}"/>
    <cellStyle name="Normal 675 4 2" xfId="14246" xr:uid="{00000000-0005-0000-0000-000078BD0000}"/>
    <cellStyle name="Normal 675 4 2 2" xfId="37721" xr:uid="{00000000-0005-0000-0000-000079BD0000}"/>
    <cellStyle name="Normal 675 4 2 3" xfId="28406" xr:uid="{00000000-0005-0000-0000-00007ABD0000}"/>
    <cellStyle name="Normal 675 4 2 4" xfId="46995" xr:uid="{00000000-0005-0000-0000-00007BBD0000}"/>
    <cellStyle name="Normal 675 4 3" xfId="33085" xr:uid="{00000000-0005-0000-0000-00007CBD0000}"/>
    <cellStyle name="Normal 675 4 4" xfId="23774" xr:uid="{00000000-0005-0000-0000-00007DBD0000}"/>
    <cellStyle name="Normal 675 4 5" xfId="42359" xr:uid="{00000000-0005-0000-0000-00007EBD0000}"/>
    <cellStyle name="Normal 675 5" xfId="9607" xr:uid="{00000000-0005-0000-0000-00007FBD0000}"/>
    <cellStyle name="Normal 675 5 2" xfId="14263" xr:uid="{00000000-0005-0000-0000-000080BD0000}"/>
    <cellStyle name="Normal 675 5 2 2" xfId="37738" xr:uid="{00000000-0005-0000-0000-000081BD0000}"/>
    <cellStyle name="Normal 675 5 2 3" xfId="28423" xr:uid="{00000000-0005-0000-0000-000082BD0000}"/>
    <cellStyle name="Normal 675 5 2 4" xfId="47012" xr:uid="{00000000-0005-0000-0000-000083BD0000}"/>
    <cellStyle name="Normal 675 5 3" xfId="33102" xr:uid="{00000000-0005-0000-0000-000084BD0000}"/>
    <cellStyle name="Normal 675 5 4" xfId="23791" xr:uid="{00000000-0005-0000-0000-000085BD0000}"/>
    <cellStyle name="Normal 675 5 5" xfId="42376" xr:uid="{00000000-0005-0000-0000-000086BD0000}"/>
    <cellStyle name="Normal 675 6" xfId="14211" xr:uid="{00000000-0005-0000-0000-000087BD0000}"/>
    <cellStyle name="Normal 675 6 2" xfId="37686" xr:uid="{00000000-0005-0000-0000-000088BD0000}"/>
    <cellStyle name="Normal 675 6 3" xfId="28371" xr:uid="{00000000-0005-0000-0000-000089BD0000}"/>
    <cellStyle name="Normal 675 6 4" xfId="47038" xr:uid="{00000000-0005-0000-0000-00008ABD0000}"/>
    <cellStyle name="Normal 675 7" xfId="33050" xr:uid="{00000000-0005-0000-0000-00008BBD0000}"/>
    <cellStyle name="Normal 675 7 2" xfId="46960" xr:uid="{00000000-0005-0000-0000-00008CBD0000}"/>
    <cellStyle name="Normal 675 8" xfId="23739" xr:uid="{00000000-0005-0000-0000-00008DBD0000}"/>
    <cellStyle name="Normal 675 9" xfId="42324" xr:uid="{00000000-0005-0000-0000-00008EBD0000}"/>
    <cellStyle name="Normal 676" xfId="9553" xr:uid="{00000000-0005-0000-0000-00008FBD0000}"/>
    <cellStyle name="Normal 676 2" xfId="9564" xr:uid="{00000000-0005-0000-0000-000090BD0000}"/>
    <cellStyle name="Normal 676 2 2" xfId="14223" xr:uid="{00000000-0005-0000-0000-000091BD0000}"/>
    <cellStyle name="Normal 676 2 2 2" xfId="37698" xr:uid="{00000000-0005-0000-0000-000092BD0000}"/>
    <cellStyle name="Normal 676 2 2 3" xfId="28383" xr:uid="{00000000-0005-0000-0000-000093BD0000}"/>
    <cellStyle name="Normal 676 2 2 4" xfId="46972" xr:uid="{00000000-0005-0000-0000-000094BD0000}"/>
    <cellStyle name="Normal 676 2 3" xfId="33062" xr:uid="{00000000-0005-0000-0000-000095BD0000}"/>
    <cellStyle name="Normal 676 2 4" xfId="23751" xr:uid="{00000000-0005-0000-0000-000096BD0000}"/>
    <cellStyle name="Normal 676 2 5" xfId="42336" xr:uid="{00000000-0005-0000-0000-000097BD0000}"/>
    <cellStyle name="Normal 676 3" xfId="14212" xr:uid="{00000000-0005-0000-0000-000098BD0000}"/>
    <cellStyle name="Normal 676 3 2" xfId="37687" xr:uid="{00000000-0005-0000-0000-000099BD0000}"/>
    <cellStyle name="Normal 676 3 3" xfId="28372" xr:uid="{00000000-0005-0000-0000-00009ABD0000}"/>
    <cellStyle name="Normal 676 3 4" xfId="47039" xr:uid="{00000000-0005-0000-0000-00009BBD0000}"/>
    <cellStyle name="Normal 676 4" xfId="33051" xr:uid="{00000000-0005-0000-0000-00009CBD0000}"/>
    <cellStyle name="Normal 676 4 2" xfId="46961" xr:uid="{00000000-0005-0000-0000-00009DBD0000}"/>
    <cellStyle name="Normal 676 5" xfId="23740" xr:uid="{00000000-0005-0000-0000-00009EBD0000}"/>
    <cellStyle name="Normal 676 6" xfId="42325" xr:uid="{00000000-0005-0000-0000-00009FBD0000}"/>
    <cellStyle name="Normal 677" xfId="9556" xr:uid="{00000000-0005-0000-0000-0000A0BD0000}"/>
    <cellStyle name="Normal 677 2" xfId="9566" xr:uid="{00000000-0005-0000-0000-0000A1BD0000}"/>
    <cellStyle name="Normal 677 2 2" xfId="14225" xr:uid="{00000000-0005-0000-0000-0000A2BD0000}"/>
    <cellStyle name="Normal 677 2 2 2" xfId="37700" xr:uid="{00000000-0005-0000-0000-0000A3BD0000}"/>
    <cellStyle name="Normal 677 2 2 3" xfId="28385" xr:uid="{00000000-0005-0000-0000-0000A4BD0000}"/>
    <cellStyle name="Normal 677 2 2 4" xfId="46974" xr:uid="{00000000-0005-0000-0000-0000A5BD0000}"/>
    <cellStyle name="Normal 677 2 3" xfId="33064" xr:uid="{00000000-0005-0000-0000-0000A6BD0000}"/>
    <cellStyle name="Normal 677 2 4" xfId="23753" xr:uid="{00000000-0005-0000-0000-0000A7BD0000}"/>
    <cellStyle name="Normal 677 2 5" xfId="42338" xr:uid="{00000000-0005-0000-0000-0000A8BD0000}"/>
    <cellStyle name="Normal 677 3" xfId="9575" xr:uid="{00000000-0005-0000-0000-0000A9BD0000}"/>
    <cellStyle name="Normal 677 3 2" xfId="14234" xr:uid="{00000000-0005-0000-0000-0000AABD0000}"/>
    <cellStyle name="Normal 677 3 2 2" xfId="37709" xr:uid="{00000000-0005-0000-0000-0000ABBD0000}"/>
    <cellStyle name="Normal 677 3 2 3" xfId="28394" xr:uid="{00000000-0005-0000-0000-0000ACBD0000}"/>
    <cellStyle name="Normal 677 3 2 4" xfId="46983" xr:uid="{00000000-0005-0000-0000-0000ADBD0000}"/>
    <cellStyle name="Normal 677 3 3" xfId="33073" xr:uid="{00000000-0005-0000-0000-0000AEBD0000}"/>
    <cellStyle name="Normal 677 3 4" xfId="23762" xr:uid="{00000000-0005-0000-0000-0000AFBD0000}"/>
    <cellStyle name="Normal 677 3 5" xfId="42347" xr:uid="{00000000-0005-0000-0000-0000B0BD0000}"/>
    <cellStyle name="Normal 677 4" xfId="9592" xr:uid="{00000000-0005-0000-0000-0000B1BD0000}"/>
    <cellStyle name="Normal 677 4 2" xfId="14250" xr:uid="{00000000-0005-0000-0000-0000B2BD0000}"/>
    <cellStyle name="Normal 677 4 2 2" xfId="37725" xr:uid="{00000000-0005-0000-0000-0000B3BD0000}"/>
    <cellStyle name="Normal 677 4 2 3" xfId="28410" xr:uid="{00000000-0005-0000-0000-0000B4BD0000}"/>
    <cellStyle name="Normal 677 4 2 4" xfId="46999" xr:uid="{00000000-0005-0000-0000-0000B5BD0000}"/>
    <cellStyle name="Normal 677 4 3" xfId="33089" xr:uid="{00000000-0005-0000-0000-0000B6BD0000}"/>
    <cellStyle name="Normal 677 4 4" xfId="23778" xr:uid="{00000000-0005-0000-0000-0000B7BD0000}"/>
    <cellStyle name="Normal 677 4 5" xfId="42363" xr:uid="{00000000-0005-0000-0000-0000B8BD0000}"/>
    <cellStyle name="Normal 677 5" xfId="9611" xr:uid="{00000000-0005-0000-0000-0000B9BD0000}"/>
    <cellStyle name="Normal 677 5 2" xfId="14267" xr:uid="{00000000-0005-0000-0000-0000BABD0000}"/>
    <cellStyle name="Normal 677 5 2 2" xfId="37742" xr:uid="{00000000-0005-0000-0000-0000BBBD0000}"/>
    <cellStyle name="Normal 677 5 2 3" xfId="28427" xr:uid="{00000000-0005-0000-0000-0000BCBD0000}"/>
    <cellStyle name="Normal 677 5 2 4" xfId="47016" xr:uid="{00000000-0005-0000-0000-0000BDBD0000}"/>
    <cellStyle name="Normal 677 5 3" xfId="33106" xr:uid="{00000000-0005-0000-0000-0000BEBD0000}"/>
    <cellStyle name="Normal 677 5 4" xfId="23795" xr:uid="{00000000-0005-0000-0000-0000BFBD0000}"/>
    <cellStyle name="Normal 677 5 5" xfId="42380" xr:uid="{00000000-0005-0000-0000-0000C0BD0000}"/>
    <cellStyle name="Normal 677 6" xfId="14215" xr:uid="{00000000-0005-0000-0000-0000C1BD0000}"/>
    <cellStyle name="Normal 677 6 2" xfId="37690" xr:uid="{00000000-0005-0000-0000-0000C2BD0000}"/>
    <cellStyle name="Normal 677 6 3" xfId="28375" xr:uid="{00000000-0005-0000-0000-0000C3BD0000}"/>
    <cellStyle name="Normal 677 6 4" xfId="47040" xr:uid="{00000000-0005-0000-0000-0000C4BD0000}"/>
    <cellStyle name="Normal 677 7" xfId="33054" xr:uid="{00000000-0005-0000-0000-0000C5BD0000}"/>
    <cellStyle name="Normal 677 7 2" xfId="46964" xr:uid="{00000000-0005-0000-0000-0000C6BD0000}"/>
    <cellStyle name="Normal 677 8" xfId="23743" xr:uid="{00000000-0005-0000-0000-0000C7BD0000}"/>
    <cellStyle name="Normal 677 9" xfId="42328" xr:uid="{00000000-0005-0000-0000-0000C8BD0000}"/>
    <cellStyle name="Normal 68" xfId="224" xr:uid="{00000000-0005-0000-0000-0000C9BD0000}"/>
    <cellStyle name="Normal 680" xfId="9551" xr:uid="{00000000-0005-0000-0000-0000CABD0000}"/>
    <cellStyle name="Normal 680 10" xfId="42323" xr:uid="{00000000-0005-0000-0000-0000CBBD0000}"/>
    <cellStyle name="Normal 680 11" xfId="51669" xr:uid="{00000000-0005-0000-0000-0000CCBD0000}"/>
    <cellStyle name="Normal 680 12" xfId="51692" xr:uid="{00000000-0005-0000-0000-0000CDBD0000}"/>
    <cellStyle name="Normal 680 13" xfId="51713" xr:uid="{00000000-0005-0000-0000-0000CEBD0000}"/>
    <cellStyle name="Normal 680 2" xfId="9558" xr:uid="{00000000-0005-0000-0000-0000CFBD0000}"/>
    <cellStyle name="Normal 680 2 2" xfId="9573" xr:uid="{00000000-0005-0000-0000-0000D0BD0000}"/>
    <cellStyle name="Normal 680 2 2 2" xfId="14232" xr:uid="{00000000-0005-0000-0000-0000D1BD0000}"/>
    <cellStyle name="Normal 680 2 2 2 10" xfId="51768" xr:uid="{00000000-0005-0000-0000-0000D2BD0000}"/>
    <cellStyle name="Normal 680 2 2 2 2" xfId="14382" xr:uid="{00000000-0005-0000-0000-0000D3BD0000}"/>
    <cellStyle name="Normal 680 2 2 2 2 2" xfId="37707" xr:uid="{00000000-0005-0000-0000-0000D4BD0000}"/>
    <cellStyle name="Normal 680 2 2 2 3" xfId="28392" xr:uid="{00000000-0005-0000-0000-0000D5BD0000}"/>
    <cellStyle name="Normal 680 2 2 2 4" xfId="46981" xr:uid="{00000000-0005-0000-0000-0000D6BD0000}"/>
    <cellStyle name="Normal 680 2 2 2 5" xfId="51684" xr:uid="{00000000-0005-0000-0000-0000D7BD0000}"/>
    <cellStyle name="Normal 680 2 2 2 6" xfId="51701" xr:uid="{00000000-0005-0000-0000-0000D8BD0000}"/>
    <cellStyle name="Normal 680 2 2 2 7" xfId="51723" xr:uid="{00000000-0005-0000-0000-0000D9BD0000}"/>
    <cellStyle name="Normal 680 2 2 2 8" xfId="51757" xr:uid="{00000000-0005-0000-0000-0000DABD0000}"/>
    <cellStyle name="Normal 680 2 2 2 9" xfId="51763" xr:uid="{00000000-0005-0000-0000-0000DBBD0000}"/>
    <cellStyle name="Normal 680 2 2 3" xfId="33071" xr:uid="{00000000-0005-0000-0000-0000DCBD0000}"/>
    <cellStyle name="Normal 680 2 2 4" xfId="23760" xr:uid="{00000000-0005-0000-0000-0000DDBD0000}"/>
    <cellStyle name="Normal 680 2 2 5" xfId="42345" xr:uid="{00000000-0005-0000-0000-0000DEBD0000}"/>
    <cellStyle name="Normal 680 2 3" xfId="9590" xr:uid="{00000000-0005-0000-0000-0000DFBD0000}"/>
    <cellStyle name="Normal 680 2 3 2" xfId="14248" xr:uid="{00000000-0005-0000-0000-0000E0BD0000}"/>
    <cellStyle name="Normal 680 2 3 2 2" xfId="37723" xr:uid="{00000000-0005-0000-0000-0000E1BD0000}"/>
    <cellStyle name="Normal 680 2 3 2 3" xfId="28408" xr:uid="{00000000-0005-0000-0000-0000E2BD0000}"/>
    <cellStyle name="Normal 680 2 3 2 4" xfId="46997" xr:uid="{00000000-0005-0000-0000-0000E3BD0000}"/>
    <cellStyle name="Normal 680 2 3 3" xfId="14381" xr:uid="{00000000-0005-0000-0000-0000E4BD0000}"/>
    <cellStyle name="Normal 680 2 3 3 2" xfId="33087" xr:uid="{00000000-0005-0000-0000-0000E5BD0000}"/>
    <cellStyle name="Normal 680 2 3 4" xfId="23776" xr:uid="{00000000-0005-0000-0000-0000E6BD0000}"/>
    <cellStyle name="Normal 680 2 3 5" xfId="42361" xr:uid="{00000000-0005-0000-0000-0000E7BD0000}"/>
    <cellStyle name="Normal 680 2 3 6" xfId="51685" xr:uid="{00000000-0005-0000-0000-0000E8BD0000}"/>
    <cellStyle name="Normal 680 2 3 7" xfId="51702" xr:uid="{00000000-0005-0000-0000-0000E9BD0000}"/>
    <cellStyle name="Normal 680 2 3 8" xfId="51724" xr:uid="{00000000-0005-0000-0000-0000EABD0000}"/>
    <cellStyle name="Normal 680 2 4" xfId="9609" xr:uid="{00000000-0005-0000-0000-0000EBBD0000}"/>
    <cellStyle name="Normal 680 2 4 2" xfId="14265" xr:uid="{00000000-0005-0000-0000-0000ECBD0000}"/>
    <cellStyle name="Normal 680 2 4 2 2" xfId="37740" xr:uid="{00000000-0005-0000-0000-0000EDBD0000}"/>
    <cellStyle name="Normal 680 2 4 2 3" xfId="28425" xr:uid="{00000000-0005-0000-0000-0000EEBD0000}"/>
    <cellStyle name="Normal 680 2 4 2 4" xfId="47014" xr:uid="{00000000-0005-0000-0000-0000EFBD0000}"/>
    <cellStyle name="Normal 680 2 4 3" xfId="33104" xr:uid="{00000000-0005-0000-0000-0000F0BD0000}"/>
    <cellStyle name="Normal 680 2 4 4" xfId="23793" xr:uid="{00000000-0005-0000-0000-0000F1BD0000}"/>
    <cellStyle name="Normal 680 2 4 5" xfId="42378" xr:uid="{00000000-0005-0000-0000-0000F2BD0000}"/>
    <cellStyle name="Normal 680 2 5" xfId="14217" xr:uid="{00000000-0005-0000-0000-0000F3BD0000}"/>
    <cellStyle name="Normal 680 2 5 2" xfId="37692" xr:uid="{00000000-0005-0000-0000-0000F4BD0000}"/>
    <cellStyle name="Normal 680 2 5 3" xfId="28377" xr:uid="{00000000-0005-0000-0000-0000F5BD0000}"/>
    <cellStyle name="Normal 680 2 5 4" xfId="47042" xr:uid="{00000000-0005-0000-0000-0000F6BD0000}"/>
    <cellStyle name="Normal 680 2 6" xfId="33056" xr:uid="{00000000-0005-0000-0000-0000F7BD0000}"/>
    <cellStyle name="Normal 680 2 6 2" xfId="46966" xr:uid="{00000000-0005-0000-0000-0000F8BD0000}"/>
    <cellStyle name="Normal 680 2 7" xfId="23745" xr:uid="{00000000-0005-0000-0000-0000F9BD0000}"/>
    <cellStyle name="Normal 680 2 8" xfId="42330" xr:uid="{00000000-0005-0000-0000-0000FABD0000}"/>
    <cellStyle name="Normal 680 3" xfId="9562" xr:uid="{00000000-0005-0000-0000-0000FBBD0000}"/>
    <cellStyle name="Normal 680 3 2" xfId="14221" xr:uid="{00000000-0005-0000-0000-0000FCBD0000}"/>
    <cellStyle name="Normal 680 3 2 2" xfId="37696" xr:uid="{00000000-0005-0000-0000-0000FDBD0000}"/>
    <cellStyle name="Normal 680 3 2 3" xfId="28381" xr:uid="{00000000-0005-0000-0000-0000FEBD0000}"/>
    <cellStyle name="Normal 680 3 2 4" xfId="46970" xr:uid="{00000000-0005-0000-0000-0000FFBD0000}"/>
    <cellStyle name="Normal 680 3 3" xfId="33060" xr:uid="{00000000-0005-0000-0000-000000BE0000}"/>
    <cellStyle name="Normal 680 3 4" xfId="23749" xr:uid="{00000000-0005-0000-0000-000001BE0000}"/>
    <cellStyle name="Normal 680 3 5" xfId="42334" xr:uid="{00000000-0005-0000-0000-000002BE0000}"/>
    <cellStyle name="Normal 680 4" xfId="9570" xr:uid="{00000000-0005-0000-0000-000003BE0000}"/>
    <cellStyle name="Normal 680 4 2" xfId="14229" xr:uid="{00000000-0005-0000-0000-000004BE0000}"/>
    <cellStyle name="Normal 680 4 2 2" xfId="37704" xr:uid="{00000000-0005-0000-0000-000005BE0000}"/>
    <cellStyle name="Normal 680 4 2 3" xfId="28389" xr:uid="{00000000-0005-0000-0000-000006BE0000}"/>
    <cellStyle name="Normal 680 4 2 4" xfId="46978" xr:uid="{00000000-0005-0000-0000-000007BE0000}"/>
    <cellStyle name="Normal 680 4 3" xfId="33068" xr:uid="{00000000-0005-0000-0000-000008BE0000}"/>
    <cellStyle name="Normal 680 4 4" xfId="23757" xr:uid="{00000000-0005-0000-0000-000009BE0000}"/>
    <cellStyle name="Normal 680 4 5" xfId="42342" xr:uid="{00000000-0005-0000-0000-00000ABE0000}"/>
    <cellStyle name="Normal 680 5" xfId="9585" xr:uid="{00000000-0005-0000-0000-00000BBE0000}"/>
    <cellStyle name="Normal 680 5 2" xfId="14243" xr:uid="{00000000-0005-0000-0000-00000CBE0000}"/>
    <cellStyle name="Normal 680 5 2 2" xfId="37718" xr:uid="{00000000-0005-0000-0000-00000DBE0000}"/>
    <cellStyle name="Normal 680 5 2 3" xfId="28403" xr:uid="{00000000-0005-0000-0000-00000EBE0000}"/>
    <cellStyle name="Normal 680 5 2 4" xfId="46992" xr:uid="{00000000-0005-0000-0000-00000FBE0000}"/>
    <cellStyle name="Normal 680 5 3" xfId="33082" xr:uid="{00000000-0005-0000-0000-000010BE0000}"/>
    <cellStyle name="Normal 680 5 4" xfId="23771" xr:uid="{00000000-0005-0000-0000-000011BE0000}"/>
    <cellStyle name="Normal 680 5 5" xfId="42356" xr:uid="{00000000-0005-0000-0000-000012BE0000}"/>
    <cellStyle name="Normal 680 6" xfId="9605" xr:uid="{00000000-0005-0000-0000-000013BE0000}"/>
    <cellStyle name="Normal 680 6 2" xfId="14261" xr:uid="{00000000-0005-0000-0000-000014BE0000}"/>
    <cellStyle name="Normal 680 6 2 2" xfId="37736" xr:uid="{00000000-0005-0000-0000-000015BE0000}"/>
    <cellStyle name="Normal 680 6 2 3" xfId="28421" xr:uid="{00000000-0005-0000-0000-000016BE0000}"/>
    <cellStyle name="Normal 680 6 2 4" xfId="47010" xr:uid="{00000000-0005-0000-0000-000017BE0000}"/>
    <cellStyle name="Normal 680 6 3" xfId="33100" xr:uid="{00000000-0005-0000-0000-000018BE0000}"/>
    <cellStyle name="Normal 680 6 4" xfId="23789" xr:uid="{00000000-0005-0000-0000-000019BE0000}"/>
    <cellStyle name="Normal 680 6 5" xfId="42374" xr:uid="{00000000-0005-0000-0000-00001ABE0000}"/>
    <cellStyle name="Normal 680 7" xfId="14210" xr:uid="{00000000-0005-0000-0000-00001BBE0000}"/>
    <cellStyle name="Normal 680 7 2" xfId="37685" xr:uid="{00000000-0005-0000-0000-00001CBE0000}"/>
    <cellStyle name="Normal 680 7 3" xfId="28370" xr:uid="{00000000-0005-0000-0000-00001DBE0000}"/>
    <cellStyle name="Normal 680 7 4" xfId="47041" xr:uid="{00000000-0005-0000-0000-00001EBE0000}"/>
    <cellStyle name="Normal 680 8" xfId="33049" xr:uid="{00000000-0005-0000-0000-00001FBE0000}"/>
    <cellStyle name="Normal 680 8 2" xfId="46959" xr:uid="{00000000-0005-0000-0000-000020BE0000}"/>
    <cellStyle name="Normal 680 9" xfId="23738" xr:uid="{00000000-0005-0000-0000-000021BE0000}"/>
    <cellStyle name="Normal 681" xfId="9554" xr:uid="{00000000-0005-0000-0000-000022BE0000}"/>
    <cellStyle name="Normal 681 2" xfId="9565" xr:uid="{00000000-0005-0000-0000-000023BE0000}"/>
    <cellStyle name="Normal 681 2 2" xfId="14224" xr:uid="{00000000-0005-0000-0000-000024BE0000}"/>
    <cellStyle name="Normal 681 2 2 2" xfId="37699" xr:uid="{00000000-0005-0000-0000-000025BE0000}"/>
    <cellStyle name="Normal 681 2 2 3" xfId="28384" xr:uid="{00000000-0005-0000-0000-000026BE0000}"/>
    <cellStyle name="Normal 681 2 2 4" xfId="46973" xr:uid="{00000000-0005-0000-0000-000027BE0000}"/>
    <cellStyle name="Normal 681 2 3" xfId="14379" xr:uid="{00000000-0005-0000-0000-000028BE0000}"/>
    <cellStyle name="Normal 681 2 3 2" xfId="33063" xr:uid="{00000000-0005-0000-0000-000029BE0000}"/>
    <cellStyle name="Normal 681 2 4" xfId="23752" xr:uid="{00000000-0005-0000-0000-00002ABE0000}"/>
    <cellStyle name="Normal 681 2 5" xfId="42337" xr:uid="{00000000-0005-0000-0000-00002BBE0000}"/>
    <cellStyle name="Normal 681 2 6" xfId="51687" xr:uid="{00000000-0005-0000-0000-00002CBE0000}"/>
    <cellStyle name="Normal 681 2 7" xfId="51704" xr:uid="{00000000-0005-0000-0000-00002DBE0000}"/>
    <cellStyle name="Normal 681 2 8" xfId="51726" xr:uid="{00000000-0005-0000-0000-00002EBE0000}"/>
    <cellStyle name="Normal 681 3" xfId="9572" xr:uid="{00000000-0005-0000-0000-00002FBE0000}"/>
    <cellStyle name="Normal 681 3 2" xfId="14231" xr:uid="{00000000-0005-0000-0000-000030BE0000}"/>
    <cellStyle name="Normal 681 3 2 2" xfId="37706" xr:uid="{00000000-0005-0000-0000-000031BE0000}"/>
    <cellStyle name="Normal 681 3 2 3" xfId="28391" xr:uid="{00000000-0005-0000-0000-000032BE0000}"/>
    <cellStyle name="Normal 681 3 2 4" xfId="46980" xr:uid="{00000000-0005-0000-0000-000033BE0000}"/>
    <cellStyle name="Normal 681 3 3" xfId="33070" xr:uid="{00000000-0005-0000-0000-000034BE0000}"/>
    <cellStyle name="Normal 681 3 4" xfId="23759" xr:uid="{00000000-0005-0000-0000-000035BE0000}"/>
    <cellStyle name="Normal 681 3 5" xfId="42344" xr:uid="{00000000-0005-0000-0000-000036BE0000}"/>
    <cellStyle name="Normal 681 4" xfId="9589" xr:uid="{00000000-0005-0000-0000-000037BE0000}"/>
    <cellStyle name="Normal 681 4 2" xfId="14247" xr:uid="{00000000-0005-0000-0000-000038BE0000}"/>
    <cellStyle name="Normal 681 4 2 2" xfId="37722" xr:uid="{00000000-0005-0000-0000-000039BE0000}"/>
    <cellStyle name="Normal 681 4 2 3" xfId="28407" xr:uid="{00000000-0005-0000-0000-00003ABE0000}"/>
    <cellStyle name="Normal 681 4 2 4" xfId="46996" xr:uid="{00000000-0005-0000-0000-00003BBE0000}"/>
    <cellStyle name="Normal 681 4 3" xfId="33086" xr:uid="{00000000-0005-0000-0000-00003CBE0000}"/>
    <cellStyle name="Normal 681 4 4" xfId="23775" xr:uid="{00000000-0005-0000-0000-00003DBE0000}"/>
    <cellStyle name="Normal 681 4 5" xfId="42360" xr:uid="{00000000-0005-0000-0000-00003EBE0000}"/>
    <cellStyle name="Normal 681 5" xfId="9608" xr:uid="{00000000-0005-0000-0000-00003FBE0000}"/>
    <cellStyle name="Normal 681 5 2" xfId="14264" xr:uid="{00000000-0005-0000-0000-000040BE0000}"/>
    <cellStyle name="Normal 681 5 2 2" xfId="37739" xr:uid="{00000000-0005-0000-0000-000041BE0000}"/>
    <cellStyle name="Normal 681 5 2 3" xfId="28424" xr:uid="{00000000-0005-0000-0000-000042BE0000}"/>
    <cellStyle name="Normal 681 5 2 4" xfId="47013" xr:uid="{00000000-0005-0000-0000-000043BE0000}"/>
    <cellStyle name="Normal 681 5 3" xfId="33103" xr:uid="{00000000-0005-0000-0000-000044BE0000}"/>
    <cellStyle name="Normal 681 5 4" xfId="23792" xr:uid="{00000000-0005-0000-0000-000045BE0000}"/>
    <cellStyle name="Normal 681 5 5" xfId="42377" xr:uid="{00000000-0005-0000-0000-000046BE0000}"/>
    <cellStyle name="Normal 681 6" xfId="14213" xr:uid="{00000000-0005-0000-0000-000047BE0000}"/>
    <cellStyle name="Normal 681 6 2" xfId="37688" xr:uid="{00000000-0005-0000-0000-000048BE0000}"/>
    <cellStyle name="Normal 681 6 3" xfId="28373" xr:uid="{00000000-0005-0000-0000-000049BE0000}"/>
    <cellStyle name="Normal 681 6 4" xfId="47043" xr:uid="{00000000-0005-0000-0000-00004ABE0000}"/>
    <cellStyle name="Normal 681 7" xfId="33052" xr:uid="{00000000-0005-0000-0000-00004BBE0000}"/>
    <cellStyle name="Normal 681 7 2" xfId="46962" xr:uid="{00000000-0005-0000-0000-00004CBE0000}"/>
    <cellStyle name="Normal 681 8" xfId="23741" xr:uid="{00000000-0005-0000-0000-00004DBE0000}"/>
    <cellStyle name="Normal 681 9" xfId="42326" xr:uid="{00000000-0005-0000-0000-00004EBE0000}"/>
    <cellStyle name="Normal 683" xfId="14362" xr:uid="{00000000-0005-0000-0000-00004FBE0000}"/>
    <cellStyle name="Normal 685" xfId="9557" xr:uid="{00000000-0005-0000-0000-000050BE0000}"/>
    <cellStyle name="Normal 685 2" xfId="14216" xr:uid="{00000000-0005-0000-0000-000051BE0000}"/>
    <cellStyle name="Normal 685 2 2" xfId="37691" xr:uid="{00000000-0005-0000-0000-000052BE0000}"/>
    <cellStyle name="Normal 685 2 3" xfId="28376" xr:uid="{00000000-0005-0000-0000-000053BE0000}"/>
    <cellStyle name="Normal 685 2 4" xfId="47044" xr:uid="{00000000-0005-0000-0000-000054BE0000}"/>
    <cellStyle name="Normal 685 3" xfId="33055" xr:uid="{00000000-0005-0000-0000-000055BE0000}"/>
    <cellStyle name="Normal 685 3 2" xfId="46965" xr:uid="{00000000-0005-0000-0000-000056BE0000}"/>
    <cellStyle name="Normal 685 4" xfId="23744" xr:uid="{00000000-0005-0000-0000-000057BE0000}"/>
    <cellStyle name="Normal 685 5" xfId="42329" xr:uid="{00000000-0005-0000-0000-000058BE0000}"/>
    <cellStyle name="Normal 685 6" xfId="51672" xr:uid="{00000000-0005-0000-0000-000059BE0000}"/>
    <cellStyle name="Normal 685 7" xfId="51695" xr:uid="{00000000-0005-0000-0000-00005ABE0000}"/>
    <cellStyle name="Normal 685 8" xfId="51716" xr:uid="{00000000-0005-0000-0000-00005BBE0000}"/>
    <cellStyle name="Normal 686" xfId="9555" xr:uid="{00000000-0005-0000-0000-00005CBE0000}"/>
    <cellStyle name="Normal 686 10" xfId="51694" xr:uid="{00000000-0005-0000-0000-00005DBE0000}"/>
    <cellStyle name="Normal 686 11" xfId="51715" xr:uid="{00000000-0005-0000-0000-00005EBE0000}"/>
    <cellStyle name="Normal 686 2" xfId="9583" xr:uid="{00000000-0005-0000-0000-00005FBE0000}"/>
    <cellStyle name="Normal 686 2 2" xfId="14242" xr:uid="{00000000-0005-0000-0000-000060BE0000}"/>
    <cellStyle name="Normal 686 2 2 2" xfId="37717" xr:uid="{00000000-0005-0000-0000-000061BE0000}"/>
    <cellStyle name="Normal 686 2 2 3" xfId="28402" xr:uid="{00000000-0005-0000-0000-000062BE0000}"/>
    <cellStyle name="Normal 686 2 2 4" xfId="46991" xr:uid="{00000000-0005-0000-0000-000063BE0000}"/>
    <cellStyle name="Normal 686 2 3" xfId="33081" xr:uid="{00000000-0005-0000-0000-000064BE0000}"/>
    <cellStyle name="Normal 686 2 4" xfId="23770" xr:uid="{00000000-0005-0000-0000-000065BE0000}"/>
    <cellStyle name="Normal 686 2 5" xfId="42355" xr:uid="{00000000-0005-0000-0000-000066BE0000}"/>
    <cellStyle name="Normal 686 3" xfId="9612" xr:uid="{00000000-0005-0000-0000-000067BE0000}"/>
    <cellStyle name="Normal 686 3 2" xfId="14268" xr:uid="{00000000-0005-0000-0000-000068BE0000}"/>
    <cellStyle name="Normal 686 3 2 2" xfId="37743" xr:uid="{00000000-0005-0000-0000-000069BE0000}"/>
    <cellStyle name="Normal 686 3 2 3" xfId="28428" xr:uid="{00000000-0005-0000-0000-00006ABE0000}"/>
    <cellStyle name="Normal 686 3 2 4" xfId="47017" xr:uid="{00000000-0005-0000-0000-00006BBE0000}"/>
    <cellStyle name="Normal 686 3 3" xfId="33107" xr:uid="{00000000-0005-0000-0000-00006CBE0000}"/>
    <cellStyle name="Normal 686 3 4" xfId="23796" xr:uid="{00000000-0005-0000-0000-00006DBE0000}"/>
    <cellStyle name="Normal 686 3 5" xfId="42381" xr:uid="{00000000-0005-0000-0000-00006EBE0000}"/>
    <cellStyle name="Normal 686 4" xfId="9617" xr:uid="{00000000-0005-0000-0000-00006FBE0000}"/>
    <cellStyle name="Normal 686 4 2" xfId="14273" xr:uid="{00000000-0005-0000-0000-000070BE0000}"/>
    <cellStyle name="Normal 686 4 2 2" xfId="37748" xr:uid="{00000000-0005-0000-0000-000071BE0000}"/>
    <cellStyle name="Normal 686 4 2 3" xfId="28433" xr:uid="{00000000-0005-0000-0000-000072BE0000}"/>
    <cellStyle name="Normal 686 4 2 4" xfId="47022" xr:uid="{00000000-0005-0000-0000-000073BE0000}"/>
    <cellStyle name="Normal 686 4 3" xfId="33112" xr:uid="{00000000-0005-0000-0000-000074BE0000}"/>
    <cellStyle name="Normal 686 4 4" xfId="23801" xr:uid="{00000000-0005-0000-0000-000075BE0000}"/>
    <cellStyle name="Normal 686 4 5" xfId="42386" xr:uid="{00000000-0005-0000-0000-000076BE0000}"/>
    <cellStyle name="Normal 686 5" xfId="14214" xr:uid="{00000000-0005-0000-0000-000077BE0000}"/>
    <cellStyle name="Normal 686 5 2" xfId="37689" xr:uid="{00000000-0005-0000-0000-000078BE0000}"/>
    <cellStyle name="Normal 686 5 3" xfId="28374" xr:uid="{00000000-0005-0000-0000-000079BE0000}"/>
    <cellStyle name="Normal 686 5 4" xfId="47045" xr:uid="{00000000-0005-0000-0000-00007ABE0000}"/>
    <cellStyle name="Normal 686 6" xfId="33053" xr:uid="{00000000-0005-0000-0000-00007BBE0000}"/>
    <cellStyle name="Normal 686 6 2" xfId="46963" xr:uid="{00000000-0005-0000-0000-00007CBE0000}"/>
    <cellStyle name="Normal 686 7" xfId="23742" xr:uid="{00000000-0005-0000-0000-00007DBE0000}"/>
    <cellStyle name="Normal 686 8" xfId="42327" xr:uid="{00000000-0005-0000-0000-00007EBE0000}"/>
    <cellStyle name="Normal 686 9" xfId="51671" xr:uid="{00000000-0005-0000-0000-00007FBE0000}"/>
    <cellStyle name="Normal 688" xfId="9549" xr:uid="{00000000-0005-0000-0000-000080BE0000}"/>
    <cellStyle name="Normal 688 2" xfId="9587" xr:uid="{00000000-0005-0000-0000-000081BE0000}"/>
    <cellStyle name="Normal 688 2 2" xfId="14245" xr:uid="{00000000-0005-0000-0000-000082BE0000}"/>
    <cellStyle name="Normal 688 2 2 2" xfId="37720" xr:uid="{00000000-0005-0000-0000-000083BE0000}"/>
    <cellStyle name="Normal 688 2 2 3" xfId="28405" xr:uid="{00000000-0005-0000-0000-000084BE0000}"/>
    <cellStyle name="Normal 688 2 2 4" xfId="46994" xr:uid="{00000000-0005-0000-0000-000085BE0000}"/>
    <cellStyle name="Normal 688 2 3" xfId="33084" xr:uid="{00000000-0005-0000-0000-000086BE0000}"/>
    <cellStyle name="Normal 688 2 4" xfId="23773" xr:uid="{00000000-0005-0000-0000-000087BE0000}"/>
    <cellStyle name="Normal 688 2 5" xfId="42358" xr:uid="{00000000-0005-0000-0000-000088BE0000}"/>
    <cellStyle name="Normal 688 3" xfId="14209" xr:uid="{00000000-0005-0000-0000-000089BE0000}"/>
    <cellStyle name="Normal 688 3 2" xfId="37684" xr:uid="{00000000-0005-0000-0000-00008ABE0000}"/>
    <cellStyle name="Normal 688 3 3" xfId="28369" xr:uid="{00000000-0005-0000-0000-00008BBE0000}"/>
    <cellStyle name="Normal 688 3 4" xfId="47046" xr:uid="{00000000-0005-0000-0000-00008CBE0000}"/>
    <cellStyle name="Normal 688 4" xfId="33048" xr:uid="{00000000-0005-0000-0000-00008DBE0000}"/>
    <cellStyle name="Normal 688 4 2" xfId="46958" xr:uid="{00000000-0005-0000-0000-00008EBE0000}"/>
    <cellStyle name="Normal 688 5" xfId="23737" xr:uid="{00000000-0005-0000-0000-00008FBE0000}"/>
    <cellStyle name="Normal 688 6" xfId="42322" xr:uid="{00000000-0005-0000-0000-000090BE0000}"/>
    <cellStyle name="Normal 688 7" xfId="51670" xr:uid="{00000000-0005-0000-0000-000091BE0000}"/>
    <cellStyle name="Normal 688 8" xfId="51693" xr:uid="{00000000-0005-0000-0000-000092BE0000}"/>
    <cellStyle name="Normal 688 9" xfId="51714" xr:uid="{00000000-0005-0000-0000-000093BE0000}"/>
    <cellStyle name="Normal 69" xfId="225" xr:uid="{00000000-0005-0000-0000-000094BE0000}"/>
    <cellStyle name="Normal 691" xfId="14363" xr:uid="{00000000-0005-0000-0000-000095BE0000}"/>
    <cellStyle name="Normal 693" xfId="14364" xr:uid="{00000000-0005-0000-0000-000096BE0000}"/>
    <cellStyle name="Normal 694" xfId="14365" xr:uid="{00000000-0005-0000-0000-000097BE0000}"/>
    <cellStyle name="Normal 695" xfId="14366" xr:uid="{00000000-0005-0000-0000-000098BE0000}"/>
    <cellStyle name="Normal 697" xfId="14367" xr:uid="{00000000-0005-0000-0000-000099BE0000}"/>
    <cellStyle name="Normal 698" xfId="14360" xr:uid="{00000000-0005-0000-0000-00009ABE0000}"/>
    <cellStyle name="Normal 7" xfId="24" xr:uid="{00000000-0005-0000-0000-00009BBE0000}"/>
    <cellStyle name="Normal 7 10" xfId="8267" xr:uid="{00000000-0005-0000-0000-00009CBE0000}"/>
    <cellStyle name="Normal 7 10 2" xfId="14031" xr:uid="{00000000-0005-0000-0000-00009DBE0000}"/>
    <cellStyle name="Normal 7 10 2 2" xfId="37516" xr:uid="{00000000-0005-0000-0000-00009EBE0000}"/>
    <cellStyle name="Normal 7 10 2 3" xfId="28197" xr:uid="{00000000-0005-0000-0000-00009FBE0000}"/>
    <cellStyle name="Normal 7 10 2 4" xfId="51459" xr:uid="{00000000-0005-0000-0000-0000A0BE0000}"/>
    <cellStyle name="Normal 7 10 3" xfId="18762" xr:uid="{00000000-0005-0000-0000-0000A1BE0000}"/>
    <cellStyle name="Normal 7 10 3 2" xfId="32894" xr:uid="{00000000-0005-0000-0000-0000A2BE0000}"/>
    <cellStyle name="Normal 7 10 3 3" xfId="46789" xr:uid="{00000000-0005-0000-0000-0000A3BE0000}"/>
    <cellStyle name="Normal 7 10 4" xfId="23575" xr:uid="{00000000-0005-0000-0000-0000A4BE0000}"/>
    <cellStyle name="Normal 7 10 5" xfId="42207" xr:uid="{00000000-0005-0000-0000-0000A5BE0000}"/>
    <cellStyle name="Normal 7 11" xfId="8268" xr:uid="{00000000-0005-0000-0000-0000A6BE0000}"/>
    <cellStyle name="Normal 7 11 2" xfId="14032" xr:uid="{00000000-0005-0000-0000-0000A7BE0000}"/>
    <cellStyle name="Normal 7 11 2 2" xfId="37517" xr:uid="{00000000-0005-0000-0000-0000A8BE0000}"/>
    <cellStyle name="Normal 7 11 2 3" xfId="28198" xr:uid="{00000000-0005-0000-0000-0000A9BE0000}"/>
    <cellStyle name="Normal 7 11 2 4" xfId="51460" xr:uid="{00000000-0005-0000-0000-0000AABE0000}"/>
    <cellStyle name="Normal 7 11 3" xfId="18763" xr:uid="{00000000-0005-0000-0000-0000ABBE0000}"/>
    <cellStyle name="Normal 7 11 3 2" xfId="32895" xr:uid="{00000000-0005-0000-0000-0000ACBE0000}"/>
    <cellStyle name="Normal 7 11 3 3" xfId="46790" xr:uid="{00000000-0005-0000-0000-0000ADBE0000}"/>
    <cellStyle name="Normal 7 11 4" xfId="23576" xr:uid="{00000000-0005-0000-0000-0000AEBE0000}"/>
    <cellStyle name="Normal 7 11 5" xfId="42208" xr:uid="{00000000-0005-0000-0000-0000AFBE0000}"/>
    <cellStyle name="Normal 7 12" xfId="435" xr:uid="{00000000-0005-0000-0000-0000B0BE0000}"/>
    <cellStyle name="Normal 7 13" xfId="9493" xr:uid="{00000000-0005-0000-0000-0000B1BE0000}"/>
    <cellStyle name="Normal 7 13 2" xfId="14162" xr:uid="{00000000-0005-0000-0000-0000B2BE0000}"/>
    <cellStyle name="Normal 7 13 2 2" xfId="37640" xr:uid="{00000000-0005-0000-0000-0000B3BE0000}"/>
    <cellStyle name="Normal 7 13 2 3" xfId="28326" xr:uid="{00000000-0005-0000-0000-0000B4BE0000}"/>
    <cellStyle name="Normal 7 13 2 4" xfId="51589" xr:uid="{00000000-0005-0000-0000-0000B5BE0000}"/>
    <cellStyle name="Normal 7 13 3" xfId="18874" xr:uid="{00000000-0005-0000-0000-0000B6BE0000}"/>
    <cellStyle name="Normal 7 13 3 2" xfId="33006" xr:uid="{00000000-0005-0000-0000-0000B7BE0000}"/>
    <cellStyle name="Normal 7 13 3 3" xfId="46908" xr:uid="{00000000-0005-0000-0000-0000B8BE0000}"/>
    <cellStyle name="Normal 7 13 4" xfId="23692" xr:uid="{00000000-0005-0000-0000-0000B9BE0000}"/>
    <cellStyle name="Normal 7 13 5" xfId="42279" xr:uid="{00000000-0005-0000-0000-0000BABE0000}"/>
    <cellStyle name="Normal 7 14" xfId="9533" xr:uid="{00000000-0005-0000-0000-0000BBBE0000}"/>
    <cellStyle name="Normal 7 14 2" xfId="14199" xr:uid="{00000000-0005-0000-0000-0000BCBE0000}"/>
    <cellStyle name="Normal 7 14 2 2" xfId="37674" xr:uid="{00000000-0005-0000-0000-0000BDBE0000}"/>
    <cellStyle name="Normal 7 14 2 3" xfId="28359" xr:uid="{00000000-0005-0000-0000-0000BEBE0000}"/>
    <cellStyle name="Normal 7 14 2 4" xfId="51626" xr:uid="{00000000-0005-0000-0000-0000BFBE0000}"/>
    <cellStyle name="Normal 7 14 3" xfId="18907" xr:uid="{00000000-0005-0000-0000-0000C0BE0000}"/>
    <cellStyle name="Normal 7 14 3 2" xfId="33040" xr:uid="{00000000-0005-0000-0000-0000C1BE0000}"/>
    <cellStyle name="Normal 7 14 3 3" xfId="46946" xr:uid="{00000000-0005-0000-0000-0000C2BE0000}"/>
    <cellStyle name="Normal 7 14 4" xfId="23727" xr:uid="{00000000-0005-0000-0000-0000C3BE0000}"/>
    <cellStyle name="Normal 7 14 5" xfId="42312" xr:uid="{00000000-0005-0000-0000-0000C4BE0000}"/>
    <cellStyle name="Normal 7 15" xfId="9627" xr:uid="{00000000-0005-0000-0000-0000C5BE0000}"/>
    <cellStyle name="Normal 7 15 2" xfId="33122" xr:uid="{00000000-0005-0000-0000-0000C6BE0000}"/>
    <cellStyle name="Normal 7 15 3" xfId="23810" xr:uid="{00000000-0005-0000-0000-0000C7BE0000}"/>
    <cellStyle name="Normal 7 15 4" xfId="47064" xr:uid="{00000000-0005-0000-0000-0000C8BE0000}"/>
    <cellStyle name="Normal 7 16" xfId="14393" xr:uid="{00000000-0005-0000-0000-0000C9BE0000}"/>
    <cellStyle name="Normal 7 16 2" xfId="28525" xr:uid="{00000000-0005-0000-0000-0000CABE0000}"/>
    <cellStyle name="Normal 7 16 3" xfId="42398" xr:uid="{00000000-0005-0000-0000-0000CBBE0000}"/>
    <cellStyle name="Normal 7 17" xfId="19206" xr:uid="{00000000-0005-0000-0000-0000CCBE0000}"/>
    <cellStyle name="Normal 7 18" xfId="37841" xr:uid="{00000000-0005-0000-0000-0000CDBE0000}"/>
    <cellStyle name="Normal 7 2" xfId="436" xr:uid="{00000000-0005-0000-0000-0000CEBE0000}"/>
    <cellStyle name="Normal 7 2 2" xfId="51777" xr:uid="{00000000-0005-0000-0000-0000CFBE0000}"/>
    <cellStyle name="Normal 7 2 3" xfId="51784" xr:uid="{00000000-0005-0000-0000-0000D0BE0000}"/>
    <cellStyle name="Normal 7 3" xfId="437" xr:uid="{00000000-0005-0000-0000-0000D1BE0000}"/>
    <cellStyle name="Normal 7 3 2" xfId="8269" xr:uid="{00000000-0005-0000-0000-0000D2BE0000}"/>
    <cellStyle name="Normal 7 4" xfId="8270" xr:uid="{00000000-0005-0000-0000-0000D3BE0000}"/>
    <cellStyle name="Normal 7 5" xfId="8271" xr:uid="{00000000-0005-0000-0000-0000D4BE0000}"/>
    <cellStyle name="Normal 7 6" xfId="8272" xr:uid="{00000000-0005-0000-0000-0000D5BE0000}"/>
    <cellStyle name="Normal 7 7" xfId="8273" xr:uid="{00000000-0005-0000-0000-0000D6BE0000}"/>
    <cellStyle name="Normal 7 8" xfId="8274" xr:uid="{00000000-0005-0000-0000-0000D7BE0000}"/>
    <cellStyle name="Normal 7 9" xfId="8275" xr:uid="{00000000-0005-0000-0000-0000D8BE0000}"/>
    <cellStyle name="Normal 70" xfId="226" xr:uid="{00000000-0005-0000-0000-0000D9BE0000}"/>
    <cellStyle name="Normal 71" xfId="227" xr:uid="{00000000-0005-0000-0000-0000DABE0000}"/>
    <cellStyle name="Normal 72" xfId="228" xr:uid="{00000000-0005-0000-0000-0000DBBE0000}"/>
    <cellStyle name="Normal 73" xfId="229" xr:uid="{00000000-0005-0000-0000-0000DCBE0000}"/>
    <cellStyle name="Normal 74" xfId="230" xr:uid="{00000000-0005-0000-0000-0000DDBE0000}"/>
    <cellStyle name="Normal 75" xfId="231" xr:uid="{00000000-0005-0000-0000-0000DEBE0000}"/>
    <cellStyle name="Normal 76" xfId="232" xr:uid="{00000000-0005-0000-0000-0000DFBE0000}"/>
    <cellStyle name="Normal 77" xfId="233" xr:uid="{00000000-0005-0000-0000-0000E0BE0000}"/>
    <cellStyle name="Normal 78" xfId="234" xr:uid="{00000000-0005-0000-0000-0000E1BE0000}"/>
    <cellStyle name="Normal 79" xfId="235" xr:uid="{00000000-0005-0000-0000-0000E2BE0000}"/>
    <cellStyle name="Normal 8" xfId="28" xr:uid="{00000000-0005-0000-0000-0000E3BE0000}"/>
    <cellStyle name="Normal 8 10" xfId="8276" xr:uid="{00000000-0005-0000-0000-0000E4BE0000}"/>
    <cellStyle name="Normal 8 11" xfId="438" xr:uid="{00000000-0005-0000-0000-0000E5BE0000}"/>
    <cellStyle name="Normal 8 11 2" xfId="9693" xr:uid="{00000000-0005-0000-0000-0000E6BE0000}"/>
    <cellStyle name="Normal 8 11 2 2" xfId="33184" xr:uid="{00000000-0005-0000-0000-0000E7BE0000}"/>
    <cellStyle name="Normal 8 11 2 3" xfId="23869" xr:uid="{00000000-0005-0000-0000-0000E8BE0000}"/>
    <cellStyle name="Normal 8 11 2 4" xfId="47127" xr:uid="{00000000-0005-0000-0000-0000E9BE0000}"/>
    <cellStyle name="Normal 8 11 3" xfId="14453" xr:uid="{00000000-0005-0000-0000-0000EABE0000}"/>
    <cellStyle name="Normal 8 11 3 2" xfId="28585" xr:uid="{00000000-0005-0000-0000-0000EBBE0000}"/>
    <cellStyle name="Normal 8 11 3 3" xfId="42465" xr:uid="{00000000-0005-0000-0000-0000ECBE0000}"/>
    <cellStyle name="Normal 8 11 4" xfId="19265" xr:uid="{00000000-0005-0000-0000-0000EDBE0000}"/>
    <cellStyle name="Normal 8 11 5" xfId="37900" xr:uid="{00000000-0005-0000-0000-0000EEBE0000}"/>
    <cellStyle name="Normal 8 12" xfId="9494" xr:uid="{00000000-0005-0000-0000-0000EFBE0000}"/>
    <cellStyle name="Normal 8 12 2" xfId="14163" xr:uid="{00000000-0005-0000-0000-0000F0BE0000}"/>
    <cellStyle name="Normal 8 12 2 2" xfId="37641" xr:uid="{00000000-0005-0000-0000-0000F1BE0000}"/>
    <cellStyle name="Normal 8 12 2 3" xfId="28327" xr:uid="{00000000-0005-0000-0000-0000F2BE0000}"/>
    <cellStyle name="Normal 8 12 2 4" xfId="51590" xr:uid="{00000000-0005-0000-0000-0000F3BE0000}"/>
    <cellStyle name="Normal 8 12 3" xfId="18875" xr:uid="{00000000-0005-0000-0000-0000F4BE0000}"/>
    <cellStyle name="Normal 8 12 3 2" xfId="33007" xr:uid="{00000000-0005-0000-0000-0000F5BE0000}"/>
    <cellStyle name="Normal 8 12 3 3" xfId="46909" xr:uid="{00000000-0005-0000-0000-0000F6BE0000}"/>
    <cellStyle name="Normal 8 12 4" xfId="23693" xr:uid="{00000000-0005-0000-0000-0000F7BE0000}"/>
    <cellStyle name="Normal 8 12 5" xfId="42280" xr:uid="{00000000-0005-0000-0000-0000F8BE0000}"/>
    <cellStyle name="Normal 8 13" xfId="9534" xr:uid="{00000000-0005-0000-0000-0000F9BE0000}"/>
    <cellStyle name="Normal 8 13 2" xfId="14200" xr:uid="{00000000-0005-0000-0000-0000FABE0000}"/>
    <cellStyle name="Normal 8 13 2 2" xfId="37675" xr:uid="{00000000-0005-0000-0000-0000FBBE0000}"/>
    <cellStyle name="Normal 8 13 2 3" xfId="28360" xr:uid="{00000000-0005-0000-0000-0000FCBE0000}"/>
    <cellStyle name="Normal 8 13 2 4" xfId="51627" xr:uid="{00000000-0005-0000-0000-0000FDBE0000}"/>
    <cellStyle name="Normal 8 13 3" xfId="18908" xr:uid="{00000000-0005-0000-0000-0000FEBE0000}"/>
    <cellStyle name="Normal 8 13 3 2" xfId="33041" xr:uid="{00000000-0005-0000-0000-0000FFBE0000}"/>
    <cellStyle name="Normal 8 13 3 3" xfId="46947" xr:uid="{00000000-0005-0000-0000-000000BF0000}"/>
    <cellStyle name="Normal 8 13 4" xfId="23728" xr:uid="{00000000-0005-0000-0000-000001BF0000}"/>
    <cellStyle name="Normal 8 13 5" xfId="42313" xr:uid="{00000000-0005-0000-0000-000002BF0000}"/>
    <cellStyle name="Normal 8 14" xfId="9631" xr:uid="{00000000-0005-0000-0000-000003BF0000}"/>
    <cellStyle name="Normal 8 14 2" xfId="33124" xr:uid="{00000000-0005-0000-0000-000004BF0000}"/>
    <cellStyle name="Normal 8 14 3" xfId="23812" xr:uid="{00000000-0005-0000-0000-000005BF0000}"/>
    <cellStyle name="Normal 8 14 4" xfId="47066" xr:uid="{00000000-0005-0000-0000-000006BF0000}"/>
    <cellStyle name="Normal 8 15" xfId="14395" xr:uid="{00000000-0005-0000-0000-000007BF0000}"/>
    <cellStyle name="Normal 8 15 2" xfId="28527" xr:uid="{00000000-0005-0000-0000-000008BF0000}"/>
    <cellStyle name="Normal 8 15 3" xfId="42402" xr:uid="{00000000-0005-0000-0000-000009BF0000}"/>
    <cellStyle name="Normal 8 16" xfId="19208" xr:uid="{00000000-0005-0000-0000-00000ABF0000}"/>
    <cellStyle name="Normal 8 17" xfId="37843" xr:uid="{00000000-0005-0000-0000-00000BBF0000}"/>
    <cellStyle name="Normal 8 2" xfId="439" xr:uid="{00000000-0005-0000-0000-00000CBF0000}"/>
    <cellStyle name="Normal 8 2 2" xfId="8277" xr:uid="{00000000-0005-0000-0000-00000DBF0000}"/>
    <cellStyle name="Normal 8 2 2 2" xfId="8278" xr:uid="{00000000-0005-0000-0000-00000EBF0000}"/>
    <cellStyle name="Normal 8 2 2 2 2" xfId="14033" xr:uid="{00000000-0005-0000-0000-00000FBF0000}"/>
    <cellStyle name="Normal 8 2 2 2 2 2" xfId="37518" xr:uid="{00000000-0005-0000-0000-000010BF0000}"/>
    <cellStyle name="Normal 8 2 2 2 2 3" xfId="28199" xr:uid="{00000000-0005-0000-0000-000011BF0000}"/>
    <cellStyle name="Normal 8 2 2 2 2 4" xfId="51461" xr:uid="{00000000-0005-0000-0000-000012BF0000}"/>
    <cellStyle name="Normal 8 2 2 2 3" xfId="18764" xr:uid="{00000000-0005-0000-0000-000013BF0000}"/>
    <cellStyle name="Normal 8 2 2 2 3 2" xfId="32896" xr:uid="{00000000-0005-0000-0000-000014BF0000}"/>
    <cellStyle name="Normal 8 2 2 2 3 3" xfId="46791" xr:uid="{00000000-0005-0000-0000-000015BF0000}"/>
    <cellStyle name="Normal 8 2 2 2 4" xfId="23577" xr:uid="{00000000-0005-0000-0000-000016BF0000}"/>
    <cellStyle name="Normal 8 2 2 2 5" xfId="42209" xr:uid="{00000000-0005-0000-0000-000017BF0000}"/>
    <cellStyle name="Normal 8 2 3" xfId="9694" xr:uid="{00000000-0005-0000-0000-000018BF0000}"/>
    <cellStyle name="Normal 8 2 3 2" xfId="33185" xr:uid="{00000000-0005-0000-0000-000019BF0000}"/>
    <cellStyle name="Normal 8 2 3 3" xfId="23870" xr:uid="{00000000-0005-0000-0000-00001ABF0000}"/>
    <cellStyle name="Normal 8 2 3 4" xfId="47128" xr:uid="{00000000-0005-0000-0000-00001BBF0000}"/>
    <cellStyle name="Normal 8 2 4" xfId="14454" xr:uid="{00000000-0005-0000-0000-00001CBF0000}"/>
    <cellStyle name="Normal 8 2 4 2" xfId="28586" xr:uid="{00000000-0005-0000-0000-00001DBF0000}"/>
    <cellStyle name="Normal 8 2 4 3" xfId="42466" xr:uid="{00000000-0005-0000-0000-00001EBF0000}"/>
    <cellStyle name="Normal 8 2 5" xfId="19266" xr:uid="{00000000-0005-0000-0000-00001FBF0000}"/>
    <cellStyle name="Normal 8 2 6" xfId="37901" xr:uid="{00000000-0005-0000-0000-000020BF0000}"/>
    <cellStyle name="Normal 8 3" xfId="8279" xr:uid="{00000000-0005-0000-0000-000021BF0000}"/>
    <cellStyle name="Normal 8 3 2" xfId="8280" xr:uid="{00000000-0005-0000-0000-000022BF0000}"/>
    <cellStyle name="Normal 8 3 3" xfId="14034" xr:uid="{00000000-0005-0000-0000-000023BF0000}"/>
    <cellStyle name="Normal 8 3 3 2" xfId="37519" xr:uid="{00000000-0005-0000-0000-000024BF0000}"/>
    <cellStyle name="Normal 8 3 3 3" xfId="28200" xr:uid="{00000000-0005-0000-0000-000025BF0000}"/>
    <cellStyle name="Normal 8 3 3 4" xfId="51462" xr:uid="{00000000-0005-0000-0000-000026BF0000}"/>
    <cellStyle name="Normal 8 3 4" xfId="18765" xr:uid="{00000000-0005-0000-0000-000027BF0000}"/>
    <cellStyle name="Normal 8 3 4 2" xfId="32897" xr:uid="{00000000-0005-0000-0000-000028BF0000}"/>
    <cellStyle name="Normal 8 3 4 3" xfId="46792" xr:uid="{00000000-0005-0000-0000-000029BF0000}"/>
    <cellStyle name="Normal 8 3 5" xfId="23578" xr:uid="{00000000-0005-0000-0000-00002ABF0000}"/>
    <cellStyle name="Normal 8 3 6" xfId="42210" xr:uid="{00000000-0005-0000-0000-00002BBF0000}"/>
    <cellStyle name="Normal 8 4" xfId="8281" xr:uid="{00000000-0005-0000-0000-00002CBF0000}"/>
    <cellStyle name="Normal 8 5" xfId="8282" xr:uid="{00000000-0005-0000-0000-00002DBF0000}"/>
    <cellStyle name="Normal 8 6" xfId="8283" xr:uid="{00000000-0005-0000-0000-00002EBF0000}"/>
    <cellStyle name="Normal 8 7" xfId="8284" xr:uid="{00000000-0005-0000-0000-00002FBF0000}"/>
    <cellStyle name="Normal 8 8" xfId="8285" xr:uid="{00000000-0005-0000-0000-000030BF0000}"/>
    <cellStyle name="Normal 8 9" xfId="8286" xr:uid="{00000000-0005-0000-0000-000031BF0000}"/>
    <cellStyle name="Normal 80" xfId="236" xr:uid="{00000000-0005-0000-0000-000032BF0000}"/>
    <cellStyle name="Normal 81" xfId="237" xr:uid="{00000000-0005-0000-0000-000033BF0000}"/>
    <cellStyle name="Normal 82" xfId="238" xr:uid="{00000000-0005-0000-0000-000034BF0000}"/>
    <cellStyle name="Normal 83" xfId="239" xr:uid="{00000000-0005-0000-0000-000035BF0000}"/>
    <cellStyle name="Normal 84" xfId="240" xr:uid="{00000000-0005-0000-0000-000036BF0000}"/>
    <cellStyle name="Normal 85" xfId="241" xr:uid="{00000000-0005-0000-0000-000037BF0000}"/>
    <cellStyle name="Normal 86" xfId="242" xr:uid="{00000000-0005-0000-0000-000038BF0000}"/>
    <cellStyle name="Normal 87" xfId="243" xr:uid="{00000000-0005-0000-0000-000039BF0000}"/>
    <cellStyle name="Normal 88" xfId="244" xr:uid="{00000000-0005-0000-0000-00003ABF0000}"/>
    <cellStyle name="Normal 89" xfId="245" xr:uid="{00000000-0005-0000-0000-00003BBF0000}"/>
    <cellStyle name="Normal 9" xfId="30" xr:uid="{00000000-0005-0000-0000-00003CBF0000}"/>
    <cellStyle name="Normal 9 10" xfId="440" xr:uid="{00000000-0005-0000-0000-00003DBF0000}"/>
    <cellStyle name="Normal 9 11" xfId="9495" xr:uid="{00000000-0005-0000-0000-00003EBF0000}"/>
    <cellStyle name="Normal 9 11 2" xfId="14164" xr:uid="{00000000-0005-0000-0000-00003FBF0000}"/>
    <cellStyle name="Normal 9 11 2 2" xfId="37642" xr:uid="{00000000-0005-0000-0000-000040BF0000}"/>
    <cellStyle name="Normal 9 11 2 3" xfId="28328" xr:uid="{00000000-0005-0000-0000-000041BF0000}"/>
    <cellStyle name="Normal 9 11 2 4" xfId="51591" xr:uid="{00000000-0005-0000-0000-000042BF0000}"/>
    <cellStyle name="Normal 9 11 3" xfId="18876" xr:uid="{00000000-0005-0000-0000-000043BF0000}"/>
    <cellStyle name="Normal 9 11 3 2" xfId="33008" xr:uid="{00000000-0005-0000-0000-000044BF0000}"/>
    <cellStyle name="Normal 9 11 3 3" xfId="46910" xr:uid="{00000000-0005-0000-0000-000045BF0000}"/>
    <cellStyle name="Normal 9 11 4" xfId="23694" xr:uid="{00000000-0005-0000-0000-000046BF0000}"/>
    <cellStyle name="Normal 9 11 5" xfId="42281" xr:uid="{00000000-0005-0000-0000-000047BF0000}"/>
    <cellStyle name="Normal 9 12" xfId="9535" xr:uid="{00000000-0005-0000-0000-000048BF0000}"/>
    <cellStyle name="Normal 9 12 2" xfId="14201" xr:uid="{00000000-0005-0000-0000-000049BF0000}"/>
    <cellStyle name="Normal 9 12 2 2" xfId="37676" xr:uid="{00000000-0005-0000-0000-00004ABF0000}"/>
    <cellStyle name="Normal 9 12 2 3" xfId="28361" xr:uid="{00000000-0005-0000-0000-00004BBF0000}"/>
    <cellStyle name="Normal 9 12 2 4" xfId="51628" xr:uid="{00000000-0005-0000-0000-00004CBF0000}"/>
    <cellStyle name="Normal 9 12 3" xfId="18909" xr:uid="{00000000-0005-0000-0000-00004DBF0000}"/>
    <cellStyle name="Normal 9 12 3 2" xfId="33042" xr:uid="{00000000-0005-0000-0000-00004EBF0000}"/>
    <cellStyle name="Normal 9 12 3 3" xfId="46948" xr:uid="{00000000-0005-0000-0000-00004FBF0000}"/>
    <cellStyle name="Normal 9 12 4" xfId="23729" xr:uid="{00000000-0005-0000-0000-000050BF0000}"/>
    <cellStyle name="Normal 9 12 5" xfId="42314" xr:uid="{00000000-0005-0000-0000-000051BF0000}"/>
    <cellStyle name="Normal 9 13" xfId="9633" xr:uid="{00000000-0005-0000-0000-000052BF0000}"/>
    <cellStyle name="Normal 9 13 2" xfId="33126" xr:uid="{00000000-0005-0000-0000-000053BF0000}"/>
    <cellStyle name="Normal 9 13 3" xfId="23814" xr:uid="{00000000-0005-0000-0000-000054BF0000}"/>
    <cellStyle name="Normal 9 13 4" xfId="47068" xr:uid="{00000000-0005-0000-0000-000055BF0000}"/>
    <cellStyle name="Normal 9 14" xfId="14397" xr:uid="{00000000-0005-0000-0000-000056BF0000}"/>
    <cellStyle name="Normal 9 14 2" xfId="28529" xr:uid="{00000000-0005-0000-0000-000057BF0000}"/>
    <cellStyle name="Normal 9 14 3" xfId="42404" xr:uid="{00000000-0005-0000-0000-000058BF0000}"/>
    <cellStyle name="Normal 9 15" xfId="19210" xr:uid="{00000000-0005-0000-0000-000059BF0000}"/>
    <cellStyle name="Normal 9 16" xfId="37845" xr:uid="{00000000-0005-0000-0000-00005ABF0000}"/>
    <cellStyle name="Normal 9 2" xfId="8287" xr:uid="{00000000-0005-0000-0000-00005BBF0000}"/>
    <cellStyle name="Normal 9 2 2" xfId="8288" xr:uid="{00000000-0005-0000-0000-00005CBF0000}"/>
    <cellStyle name="Normal 9 2 2 2" xfId="14035" xr:uid="{00000000-0005-0000-0000-00005DBF0000}"/>
    <cellStyle name="Normal 9 2 2 2 2" xfId="37520" xr:uid="{00000000-0005-0000-0000-00005EBF0000}"/>
    <cellStyle name="Normal 9 2 2 2 3" xfId="28201" xr:uid="{00000000-0005-0000-0000-00005FBF0000}"/>
    <cellStyle name="Normal 9 2 2 2 4" xfId="51463" xr:uid="{00000000-0005-0000-0000-000060BF0000}"/>
    <cellStyle name="Normal 9 2 2 3" xfId="18766" xr:uid="{00000000-0005-0000-0000-000061BF0000}"/>
    <cellStyle name="Normal 9 2 2 3 2" xfId="32898" xr:uid="{00000000-0005-0000-0000-000062BF0000}"/>
    <cellStyle name="Normal 9 2 2 3 3" xfId="46793" xr:uid="{00000000-0005-0000-0000-000063BF0000}"/>
    <cellStyle name="Normal 9 2 2 4" xfId="23579" xr:uid="{00000000-0005-0000-0000-000064BF0000}"/>
    <cellStyle name="Normal 9 2 2 5" xfId="42211" xr:uid="{00000000-0005-0000-0000-000065BF0000}"/>
    <cellStyle name="Normal 9 3" xfId="8289" xr:uid="{00000000-0005-0000-0000-000066BF0000}"/>
    <cellStyle name="Normal 9 4" xfId="8290" xr:uid="{00000000-0005-0000-0000-000067BF0000}"/>
    <cellStyle name="Normal 9 5" xfId="8291" xr:uid="{00000000-0005-0000-0000-000068BF0000}"/>
    <cellStyle name="Normal 9 6" xfId="8292" xr:uid="{00000000-0005-0000-0000-000069BF0000}"/>
    <cellStyle name="Normal 9 7" xfId="8293" xr:uid="{00000000-0005-0000-0000-00006ABF0000}"/>
    <cellStyle name="Normal 9 8" xfId="8294" xr:uid="{00000000-0005-0000-0000-00006BBF0000}"/>
    <cellStyle name="Normal 9 9" xfId="8295" xr:uid="{00000000-0005-0000-0000-00006CBF0000}"/>
    <cellStyle name="Normal 90" xfId="246" xr:uid="{00000000-0005-0000-0000-00006DBF0000}"/>
    <cellStyle name="Normal 91" xfId="247" xr:uid="{00000000-0005-0000-0000-00006EBF0000}"/>
    <cellStyle name="Normal 92" xfId="248" xr:uid="{00000000-0005-0000-0000-00006FBF0000}"/>
    <cellStyle name="Normal 93" xfId="249" xr:uid="{00000000-0005-0000-0000-000070BF0000}"/>
    <cellStyle name="Normal 94" xfId="250" xr:uid="{00000000-0005-0000-0000-000071BF0000}"/>
    <cellStyle name="Normal 95" xfId="251" xr:uid="{00000000-0005-0000-0000-000072BF0000}"/>
    <cellStyle name="Normal 96" xfId="252" xr:uid="{00000000-0005-0000-0000-000073BF0000}"/>
    <cellStyle name="Normal 97" xfId="253" xr:uid="{00000000-0005-0000-0000-000074BF0000}"/>
    <cellStyle name="Normal 98" xfId="254" xr:uid="{00000000-0005-0000-0000-000075BF0000}"/>
    <cellStyle name="Normal 99" xfId="255" xr:uid="{00000000-0005-0000-0000-000076BF0000}"/>
    <cellStyle name="Normal_Plan1" xfId="51804" xr:uid="{00000000-0005-0000-0000-000077BF0000}"/>
    <cellStyle name="Normale_32839016" xfId="8296" xr:uid="{00000000-0005-0000-0000-000078BF0000}"/>
    <cellStyle name="normální_2003-10-07_SH_ IO List" xfId="8297" xr:uid="{00000000-0005-0000-0000-000079BF0000}"/>
    <cellStyle name="Nota 2" xfId="15" xr:uid="{00000000-0005-0000-0000-00007ABF0000}"/>
    <cellStyle name="Nota 2 2" xfId="8298" xr:uid="{00000000-0005-0000-0000-00007BBF0000}"/>
    <cellStyle name="Nota 2 2 2" xfId="14036" xr:uid="{00000000-0005-0000-0000-00007CBF0000}"/>
    <cellStyle name="Nota 2 2 2 2" xfId="18976" xr:uid="{00000000-0005-0000-0000-00007DBF0000}"/>
    <cellStyle name="Nota 2 2 2 2 2" xfId="37521" xr:uid="{00000000-0005-0000-0000-00007EBF0000}"/>
    <cellStyle name="Nota 2 2 2 3" xfId="28202" xr:uid="{00000000-0005-0000-0000-00007FBF0000}"/>
    <cellStyle name="Nota 2 2 2 4" xfId="51464" xr:uid="{00000000-0005-0000-0000-000080BF0000}"/>
    <cellStyle name="Nota 2 2 3" xfId="14275" xr:uid="{00000000-0005-0000-0000-000081BF0000}"/>
    <cellStyle name="Nota 2 2 3 2" xfId="18977" xr:uid="{00000000-0005-0000-0000-000082BF0000}"/>
    <cellStyle name="Nota 2 2 3 2 2" xfId="37750" xr:uid="{00000000-0005-0000-0000-000083BF0000}"/>
    <cellStyle name="Nota 2 2 3 3" xfId="28435" xr:uid="{00000000-0005-0000-0000-000084BF0000}"/>
    <cellStyle name="Nota 2 2 3 4" xfId="51635" xr:uid="{00000000-0005-0000-0000-000085BF0000}"/>
    <cellStyle name="Nota 2 2 4" xfId="18767" xr:uid="{00000000-0005-0000-0000-000086BF0000}"/>
    <cellStyle name="Nota 2 2 4 2" xfId="18978" xr:uid="{00000000-0005-0000-0000-000087BF0000}"/>
    <cellStyle name="Nota 2 2 4 3" xfId="32899" xr:uid="{00000000-0005-0000-0000-000088BF0000}"/>
    <cellStyle name="Nota 2 2 4 4" xfId="46794" xr:uid="{00000000-0005-0000-0000-000089BF0000}"/>
    <cellStyle name="Nota 2 2 5" xfId="23580" xr:uid="{00000000-0005-0000-0000-00008ABF0000}"/>
    <cellStyle name="Nota 2 3" xfId="441" xr:uid="{00000000-0005-0000-0000-00008BBF0000}"/>
    <cellStyle name="Nota 2 3 2" xfId="9695" xr:uid="{00000000-0005-0000-0000-00008CBF0000}"/>
    <cellStyle name="Nota 2 3 2 2" xfId="18979" xr:uid="{00000000-0005-0000-0000-00008DBF0000}"/>
    <cellStyle name="Nota 2 3 2 2 2" xfId="33186" xr:uid="{00000000-0005-0000-0000-00008EBF0000}"/>
    <cellStyle name="Nota 2 3 2 3" xfId="23871" xr:uid="{00000000-0005-0000-0000-00008FBF0000}"/>
    <cellStyle name="Nota 2 3 2 4" xfId="47129" xr:uid="{00000000-0005-0000-0000-000090BF0000}"/>
    <cellStyle name="Nota 2 3 3" xfId="14073" xr:uid="{00000000-0005-0000-0000-000091BF0000}"/>
    <cellStyle name="Nota 2 3 3 2" xfId="18980" xr:uid="{00000000-0005-0000-0000-000092BF0000}"/>
    <cellStyle name="Nota 2 3 3 2 2" xfId="37557" xr:uid="{00000000-0005-0000-0000-000093BF0000}"/>
    <cellStyle name="Nota 2 3 3 3" xfId="28238" xr:uid="{00000000-0005-0000-0000-000094BF0000}"/>
    <cellStyle name="Nota 2 3 3 4" xfId="51503" xr:uid="{00000000-0005-0000-0000-000095BF0000}"/>
    <cellStyle name="Nota 2 3 4" xfId="14455" xr:uid="{00000000-0005-0000-0000-000096BF0000}"/>
    <cellStyle name="Nota 2 3 4 2" xfId="18981" xr:uid="{00000000-0005-0000-0000-000097BF0000}"/>
    <cellStyle name="Nota 2 3 4 3" xfId="28587" xr:uid="{00000000-0005-0000-0000-000098BF0000}"/>
    <cellStyle name="Nota 2 3 4 4" xfId="42467" xr:uid="{00000000-0005-0000-0000-000099BF0000}"/>
    <cellStyle name="Nota 2 3 5" xfId="19267" xr:uid="{00000000-0005-0000-0000-00009ABF0000}"/>
    <cellStyle name="Nota 2 4" xfId="9496" xr:uid="{00000000-0005-0000-0000-00009BBF0000}"/>
    <cellStyle name="Nota 2 4 2" xfId="14165" xr:uid="{00000000-0005-0000-0000-00009CBF0000}"/>
    <cellStyle name="Nota 2 4 2 2" xfId="18982" xr:uid="{00000000-0005-0000-0000-00009DBF0000}"/>
    <cellStyle name="Nota 2 4 2 2 2" xfId="37643" xr:uid="{00000000-0005-0000-0000-00009EBF0000}"/>
    <cellStyle name="Nota 2 4 2 3" xfId="28329" xr:uid="{00000000-0005-0000-0000-00009FBF0000}"/>
    <cellStyle name="Nota 2 4 2 4" xfId="51592" xr:uid="{00000000-0005-0000-0000-0000A0BF0000}"/>
    <cellStyle name="Nota 2 4 3" xfId="14346" xr:uid="{00000000-0005-0000-0000-0000A1BF0000}"/>
    <cellStyle name="Nota 2 4 3 2" xfId="18983" xr:uid="{00000000-0005-0000-0000-0000A2BF0000}"/>
    <cellStyle name="Nota 2 4 3 2 2" xfId="37821" xr:uid="{00000000-0005-0000-0000-0000A3BF0000}"/>
    <cellStyle name="Nota 2 4 3 3" xfId="28506" xr:uid="{00000000-0005-0000-0000-0000A4BF0000}"/>
    <cellStyle name="Nota 2 4 4" xfId="18984" xr:uid="{00000000-0005-0000-0000-0000A5BF0000}"/>
    <cellStyle name="Nota 2 4 4 2" xfId="33009" xr:uid="{00000000-0005-0000-0000-0000A6BF0000}"/>
    <cellStyle name="Nota 2 4 4 3" xfId="46911" xr:uid="{00000000-0005-0000-0000-0000A7BF0000}"/>
    <cellStyle name="Nota 2 4 5" xfId="23695" xr:uid="{00000000-0005-0000-0000-0000A8BF0000}"/>
    <cellStyle name="Nota 2 4 6" xfId="42282" xr:uid="{00000000-0005-0000-0000-0000A9BF0000}"/>
    <cellStyle name="Nota 2 5" xfId="9504" xr:uid="{00000000-0005-0000-0000-0000AABF0000}"/>
    <cellStyle name="Nota 2 5 2" xfId="14173" xr:uid="{00000000-0005-0000-0000-0000ABBF0000}"/>
    <cellStyle name="Nota 2 5 2 2" xfId="18985" xr:uid="{00000000-0005-0000-0000-0000ACBF0000}"/>
    <cellStyle name="Nota 2 5 2 2 2" xfId="37651" xr:uid="{00000000-0005-0000-0000-0000ADBF0000}"/>
    <cellStyle name="Nota 2 5 2 3" xfId="28336" xr:uid="{00000000-0005-0000-0000-0000AEBF0000}"/>
    <cellStyle name="Nota 2 5 2 4" xfId="51600" xr:uid="{00000000-0005-0000-0000-0000AFBF0000}"/>
    <cellStyle name="Nota 2 5 3" xfId="14351" xr:uid="{00000000-0005-0000-0000-0000B0BF0000}"/>
    <cellStyle name="Nota 2 5 3 2" xfId="18986" xr:uid="{00000000-0005-0000-0000-0000B1BF0000}"/>
    <cellStyle name="Nota 2 5 3 2 2" xfId="37826" xr:uid="{00000000-0005-0000-0000-0000B2BF0000}"/>
    <cellStyle name="Nota 2 5 3 3" xfId="28511" xr:uid="{00000000-0005-0000-0000-0000B3BF0000}"/>
    <cellStyle name="Nota 2 5 4" xfId="18987" xr:uid="{00000000-0005-0000-0000-0000B4BF0000}"/>
    <cellStyle name="Nota 2 5 4 2" xfId="33016" xr:uid="{00000000-0005-0000-0000-0000B5BF0000}"/>
    <cellStyle name="Nota 2 5 4 3" xfId="46919" xr:uid="{00000000-0005-0000-0000-0000B6BF0000}"/>
    <cellStyle name="Nota 2 5 5" xfId="23702" xr:uid="{00000000-0005-0000-0000-0000B7BF0000}"/>
    <cellStyle name="Nota 2 5 6" xfId="42289" xr:uid="{00000000-0005-0000-0000-0000B8BF0000}"/>
    <cellStyle name="Nota 2 6" xfId="9536" xr:uid="{00000000-0005-0000-0000-0000B9BF0000}"/>
    <cellStyle name="Nota 2 6 2" xfId="14202" xr:uid="{00000000-0005-0000-0000-0000BABF0000}"/>
    <cellStyle name="Nota 2 6 2 2" xfId="18988" xr:uid="{00000000-0005-0000-0000-0000BBBF0000}"/>
    <cellStyle name="Nota 2 6 2 2 2" xfId="37677" xr:uid="{00000000-0005-0000-0000-0000BCBF0000}"/>
    <cellStyle name="Nota 2 6 2 3" xfId="28362" xr:uid="{00000000-0005-0000-0000-0000BDBF0000}"/>
    <cellStyle name="Nota 2 6 2 4" xfId="51629" xr:uid="{00000000-0005-0000-0000-0000BEBF0000}"/>
    <cellStyle name="Nota 2 6 3" xfId="14355" xr:uid="{00000000-0005-0000-0000-0000BFBF0000}"/>
    <cellStyle name="Nota 2 6 3 2" xfId="18989" xr:uid="{00000000-0005-0000-0000-0000C0BF0000}"/>
    <cellStyle name="Nota 2 6 3 2 2" xfId="37830" xr:uid="{00000000-0005-0000-0000-0000C1BF0000}"/>
    <cellStyle name="Nota 2 6 3 3" xfId="28515" xr:uid="{00000000-0005-0000-0000-0000C2BF0000}"/>
    <cellStyle name="Nota 2 6 3 4" xfId="51663" xr:uid="{00000000-0005-0000-0000-0000C3BF0000}"/>
    <cellStyle name="Nota 2 6 4" xfId="18910" xr:uid="{00000000-0005-0000-0000-0000C4BF0000}"/>
    <cellStyle name="Nota 2 6 4 2" xfId="18990" xr:uid="{00000000-0005-0000-0000-0000C5BF0000}"/>
    <cellStyle name="Nota 2 6 4 3" xfId="46949" xr:uid="{00000000-0005-0000-0000-0000C6BF0000}"/>
    <cellStyle name="Nota 2 7" xfId="9623" xr:uid="{00000000-0005-0000-0000-0000C7BF0000}"/>
    <cellStyle name="Nota 2 7 2" xfId="18991" xr:uid="{00000000-0005-0000-0000-0000C8BF0000}"/>
    <cellStyle name="Nota 2 7 2 2" xfId="33118" xr:uid="{00000000-0005-0000-0000-0000C9BF0000}"/>
    <cellStyle name="Nota 2 7 3" xfId="23806" xr:uid="{00000000-0005-0000-0000-0000CABF0000}"/>
    <cellStyle name="Nota 2 7 4" xfId="47059" xr:uid="{00000000-0005-0000-0000-0000CBBF0000}"/>
    <cellStyle name="Nota 2 8" xfId="14122" xr:uid="{00000000-0005-0000-0000-0000CCBF0000}"/>
    <cellStyle name="Nota 2 8 2" xfId="18992" xr:uid="{00000000-0005-0000-0000-0000CDBF0000}"/>
    <cellStyle name="Nota 2 8 2 2" xfId="37601" xr:uid="{00000000-0005-0000-0000-0000CEBF0000}"/>
    <cellStyle name="Nota 2 8 3" xfId="28287" xr:uid="{00000000-0005-0000-0000-0000CFBF0000}"/>
    <cellStyle name="Nota 2 8 4" xfId="51544" xr:uid="{00000000-0005-0000-0000-0000D0BF0000}"/>
    <cellStyle name="Nota 2 9" xfId="42393" xr:uid="{00000000-0005-0000-0000-0000D1BF0000}"/>
    <cellStyle name="Nota 3" xfId="345" xr:uid="{00000000-0005-0000-0000-0000D2BF0000}"/>
    <cellStyle name="Nota 3 2" xfId="9497" xr:uid="{00000000-0005-0000-0000-0000D3BF0000}"/>
    <cellStyle name="Nota 3 2 2" xfId="14166" xr:uid="{00000000-0005-0000-0000-0000D4BF0000}"/>
    <cellStyle name="Nota 3 2 2 2" xfId="18993" xr:uid="{00000000-0005-0000-0000-0000D5BF0000}"/>
    <cellStyle name="Nota 3 2 2 2 2" xfId="37644" xr:uid="{00000000-0005-0000-0000-0000D6BF0000}"/>
    <cellStyle name="Nota 3 2 2 3" xfId="28330" xr:uid="{00000000-0005-0000-0000-0000D7BF0000}"/>
    <cellStyle name="Nota 3 2 2 4" xfId="51593" xr:uid="{00000000-0005-0000-0000-0000D8BF0000}"/>
    <cellStyle name="Nota 3 2 3" xfId="14347" xr:uid="{00000000-0005-0000-0000-0000D9BF0000}"/>
    <cellStyle name="Nota 3 2 3 2" xfId="18994" xr:uid="{00000000-0005-0000-0000-0000DABF0000}"/>
    <cellStyle name="Nota 3 2 3 2 2" xfId="37822" xr:uid="{00000000-0005-0000-0000-0000DBBF0000}"/>
    <cellStyle name="Nota 3 2 3 3" xfId="28507" xr:uid="{00000000-0005-0000-0000-0000DCBF0000}"/>
    <cellStyle name="Nota 3 2 4" xfId="18995" xr:uid="{00000000-0005-0000-0000-0000DDBF0000}"/>
    <cellStyle name="Nota 3 2 4 2" xfId="33010" xr:uid="{00000000-0005-0000-0000-0000DEBF0000}"/>
    <cellStyle name="Nota 3 2 4 3" xfId="46912" xr:uid="{00000000-0005-0000-0000-0000DFBF0000}"/>
    <cellStyle name="Nota 3 2 5" xfId="23696" xr:uid="{00000000-0005-0000-0000-0000E0BF0000}"/>
    <cellStyle name="Nota 3 2 6" xfId="42283" xr:uid="{00000000-0005-0000-0000-0000E1BF0000}"/>
    <cellStyle name="Nota 3 3" xfId="9505" xr:uid="{00000000-0005-0000-0000-0000E2BF0000}"/>
    <cellStyle name="Nota 3 3 2" xfId="14174" xr:uid="{00000000-0005-0000-0000-0000E3BF0000}"/>
    <cellStyle name="Nota 3 3 2 2" xfId="18996" xr:uid="{00000000-0005-0000-0000-0000E4BF0000}"/>
    <cellStyle name="Nota 3 3 2 2 2" xfId="37652" xr:uid="{00000000-0005-0000-0000-0000E5BF0000}"/>
    <cellStyle name="Nota 3 3 2 3" xfId="28337" xr:uid="{00000000-0005-0000-0000-0000E6BF0000}"/>
    <cellStyle name="Nota 3 3 2 4" xfId="51601" xr:uid="{00000000-0005-0000-0000-0000E7BF0000}"/>
    <cellStyle name="Nota 3 3 3" xfId="14352" xr:uid="{00000000-0005-0000-0000-0000E8BF0000}"/>
    <cellStyle name="Nota 3 3 3 2" xfId="18997" xr:uid="{00000000-0005-0000-0000-0000E9BF0000}"/>
    <cellStyle name="Nota 3 3 3 2 2" xfId="37827" xr:uid="{00000000-0005-0000-0000-0000EABF0000}"/>
    <cellStyle name="Nota 3 3 3 3" xfId="28512" xr:uid="{00000000-0005-0000-0000-0000EBBF0000}"/>
    <cellStyle name="Nota 3 3 4" xfId="18998" xr:uid="{00000000-0005-0000-0000-0000ECBF0000}"/>
    <cellStyle name="Nota 3 3 4 2" xfId="33017" xr:uid="{00000000-0005-0000-0000-0000EDBF0000}"/>
    <cellStyle name="Nota 3 3 4 3" xfId="46920" xr:uid="{00000000-0005-0000-0000-0000EEBF0000}"/>
    <cellStyle name="Nota 3 3 5" xfId="23703" xr:uid="{00000000-0005-0000-0000-0000EFBF0000}"/>
    <cellStyle name="Nota 3 3 6" xfId="42290" xr:uid="{00000000-0005-0000-0000-0000F0BF0000}"/>
    <cellStyle name="Nota 3 4" xfId="9537" xr:uid="{00000000-0005-0000-0000-0000F1BF0000}"/>
    <cellStyle name="Nota 3 4 2" xfId="14203" xr:uid="{00000000-0005-0000-0000-0000F2BF0000}"/>
    <cellStyle name="Nota 3 4 2 2" xfId="18999" xr:uid="{00000000-0005-0000-0000-0000F3BF0000}"/>
    <cellStyle name="Nota 3 4 2 2 2" xfId="37678" xr:uid="{00000000-0005-0000-0000-0000F4BF0000}"/>
    <cellStyle name="Nota 3 4 2 3" xfId="28363" xr:uid="{00000000-0005-0000-0000-0000F5BF0000}"/>
    <cellStyle name="Nota 3 4 2 4" xfId="51630" xr:uid="{00000000-0005-0000-0000-0000F6BF0000}"/>
    <cellStyle name="Nota 3 4 3" xfId="14356" xr:uid="{00000000-0005-0000-0000-0000F7BF0000}"/>
    <cellStyle name="Nota 3 4 3 2" xfId="19000" xr:uid="{00000000-0005-0000-0000-0000F8BF0000}"/>
    <cellStyle name="Nota 3 4 3 2 2" xfId="37831" xr:uid="{00000000-0005-0000-0000-0000F9BF0000}"/>
    <cellStyle name="Nota 3 4 3 3" xfId="28516" xr:uid="{00000000-0005-0000-0000-0000FABF0000}"/>
    <cellStyle name="Nota 3 4 3 4" xfId="51664" xr:uid="{00000000-0005-0000-0000-0000FBBF0000}"/>
    <cellStyle name="Nota 3 4 4" xfId="18911" xr:uid="{00000000-0005-0000-0000-0000FCBF0000}"/>
    <cellStyle name="Nota 3 4 4 2" xfId="19001" xr:uid="{00000000-0005-0000-0000-0000FDBF0000}"/>
    <cellStyle name="Nota 3 4 4 3" xfId="46950" xr:uid="{00000000-0005-0000-0000-0000FEBF0000}"/>
    <cellStyle name="Nota 3 5" xfId="9657" xr:uid="{00000000-0005-0000-0000-0000FFBF0000}"/>
    <cellStyle name="Nota 3 5 2" xfId="19002" xr:uid="{00000000-0005-0000-0000-000000C00000}"/>
    <cellStyle name="Nota 3 5 2 2" xfId="33148" xr:uid="{00000000-0005-0000-0000-000001C00000}"/>
    <cellStyle name="Nota 3 5 3" xfId="23835" xr:uid="{00000000-0005-0000-0000-000002C00000}"/>
    <cellStyle name="Nota 3 5 4" xfId="47091" xr:uid="{00000000-0005-0000-0000-000003C00000}"/>
    <cellStyle name="Nota 3 6" xfId="14076" xr:uid="{00000000-0005-0000-0000-000004C00000}"/>
    <cellStyle name="Nota 3 6 2" xfId="19003" xr:uid="{00000000-0005-0000-0000-000005C00000}"/>
    <cellStyle name="Nota 3 6 2 2" xfId="37560" xr:uid="{00000000-0005-0000-0000-000006C00000}"/>
    <cellStyle name="Nota 3 6 3" xfId="28241" xr:uid="{00000000-0005-0000-0000-000007C00000}"/>
    <cellStyle name="Nota 3 6 4" xfId="51506" xr:uid="{00000000-0005-0000-0000-000008C00000}"/>
    <cellStyle name="Nota 3 7" xfId="42429" xr:uid="{00000000-0005-0000-0000-000009C00000}"/>
    <cellStyle name="Note" xfId="8299" xr:uid="{00000000-0005-0000-0000-00000AC00000}"/>
    <cellStyle name="Note 2" xfId="14037" xr:uid="{00000000-0005-0000-0000-00000BC00000}"/>
    <cellStyle name="Note 2 2" xfId="19004" xr:uid="{00000000-0005-0000-0000-00000CC00000}"/>
    <cellStyle name="Note 2 2 2" xfId="37522" xr:uid="{00000000-0005-0000-0000-00000DC00000}"/>
    <cellStyle name="Note 2 3" xfId="28203" xr:uid="{00000000-0005-0000-0000-00000EC00000}"/>
    <cellStyle name="Note 2 4" xfId="51465" xr:uid="{00000000-0005-0000-0000-00000FC00000}"/>
    <cellStyle name="Note 3" xfId="14276" xr:uid="{00000000-0005-0000-0000-000010C00000}"/>
    <cellStyle name="Note 3 2" xfId="19005" xr:uid="{00000000-0005-0000-0000-000011C00000}"/>
    <cellStyle name="Note 3 2 2" xfId="37751" xr:uid="{00000000-0005-0000-0000-000012C00000}"/>
    <cellStyle name="Note 3 3" xfId="28436" xr:uid="{00000000-0005-0000-0000-000013C00000}"/>
    <cellStyle name="Note 3 4" xfId="51636" xr:uid="{00000000-0005-0000-0000-000014C00000}"/>
    <cellStyle name="Note 4" xfId="18768" xr:uid="{00000000-0005-0000-0000-000015C00000}"/>
    <cellStyle name="Note 4 2" xfId="19006" xr:uid="{00000000-0005-0000-0000-000016C00000}"/>
    <cellStyle name="Note 4 3" xfId="32900" xr:uid="{00000000-0005-0000-0000-000017C00000}"/>
    <cellStyle name="Note 4 4" xfId="46795" xr:uid="{00000000-0005-0000-0000-000018C00000}"/>
    <cellStyle name="Note 5" xfId="23581" xr:uid="{00000000-0005-0000-0000-000019C00000}"/>
    <cellStyle name="Œ…?æ맖?e [0.00]_laroux" xfId="8300" xr:uid="{00000000-0005-0000-0000-00001AC00000}"/>
    <cellStyle name="Œ…?æ맖?e_laroux" xfId="8301" xr:uid="{00000000-0005-0000-0000-00001BC00000}"/>
    <cellStyle name="Œ…‹æØ‚è [0.00]_laroux" xfId="8302" xr:uid="{00000000-0005-0000-0000-00001CC00000}"/>
    <cellStyle name="Œ…‹æØ‚è_laroux" xfId="8303" xr:uid="{00000000-0005-0000-0000-00001DC00000}"/>
    <cellStyle name="omma [0]_Mktg Prog" xfId="8304" xr:uid="{00000000-0005-0000-0000-00001EC00000}"/>
    <cellStyle name="ormal_Sheet1_1" xfId="8305" xr:uid="{00000000-0005-0000-0000-00001FC00000}"/>
    <cellStyle name="Output" xfId="8306" xr:uid="{00000000-0005-0000-0000-000020C00000}"/>
    <cellStyle name="Output 2" xfId="14038" xr:uid="{00000000-0005-0000-0000-000021C00000}"/>
    <cellStyle name="Output 2 2" xfId="37523" xr:uid="{00000000-0005-0000-0000-000022C00000}"/>
    <cellStyle name="Output 2 3" xfId="28204" xr:uid="{00000000-0005-0000-0000-000023C00000}"/>
    <cellStyle name="Output 2 4" xfId="51466" xr:uid="{00000000-0005-0000-0000-000024C00000}"/>
    <cellStyle name="Output 3" xfId="14277" xr:uid="{00000000-0005-0000-0000-000025C00000}"/>
    <cellStyle name="Output 3 2" xfId="19007" xr:uid="{00000000-0005-0000-0000-000026C00000}"/>
    <cellStyle name="Output 3 2 2" xfId="37752" xr:uid="{00000000-0005-0000-0000-000027C00000}"/>
    <cellStyle name="Output 3 3" xfId="28437" xr:uid="{00000000-0005-0000-0000-000028C00000}"/>
    <cellStyle name="Output 3 4" xfId="46796" xr:uid="{00000000-0005-0000-0000-000029C00000}"/>
    <cellStyle name="Output 4" xfId="18769" xr:uid="{00000000-0005-0000-0000-00002AC00000}"/>
    <cellStyle name="Output 4 2" xfId="19008" xr:uid="{00000000-0005-0000-0000-00002BC00000}"/>
    <cellStyle name="Output 4 3" xfId="32901" xr:uid="{00000000-0005-0000-0000-00002CC00000}"/>
    <cellStyle name="Output 5" xfId="23582" xr:uid="{00000000-0005-0000-0000-00002DC00000}"/>
    <cellStyle name="Output 6" xfId="42212" xr:uid="{00000000-0005-0000-0000-00002EC00000}"/>
    <cellStyle name="P-" xfId="8308" xr:uid="{00000000-0005-0000-0000-00002FC00000}"/>
    <cellStyle name="para-1" xfId="8309" xr:uid="{00000000-0005-0000-0000-000030C00000}"/>
    <cellStyle name="Percent" xfId="256" xr:uid="{00000000-0005-0000-0000-000031C00000}"/>
    <cellStyle name="Percent [2]" xfId="8310" xr:uid="{00000000-0005-0000-0000-000032C00000}"/>
    <cellStyle name="Percent 10" xfId="8311" xr:uid="{00000000-0005-0000-0000-000033C00000}"/>
    <cellStyle name="Percent 11" xfId="8312" xr:uid="{00000000-0005-0000-0000-000034C00000}"/>
    <cellStyle name="Percent 12" xfId="8313" xr:uid="{00000000-0005-0000-0000-000035C00000}"/>
    <cellStyle name="Percent 13" xfId="8314" xr:uid="{00000000-0005-0000-0000-000036C00000}"/>
    <cellStyle name="Percent 14" xfId="8315" xr:uid="{00000000-0005-0000-0000-000037C00000}"/>
    <cellStyle name="Percent 15" xfId="8316" xr:uid="{00000000-0005-0000-0000-000038C00000}"/>
    <cellStyle name="Percent 16" xfId="8317" xr:uid="{00000000-0005-0000-0000-000039C00000}"/>
    <cellStyle name="Percent 17" xfId="8318" xr:uid="{00000000-0005-0000-0000-00003AC00000}"/>
    <cellStyle name="Percent 18" xfId="8319" xr:uid="{00000000-0005-0000-0000-00003BC00000}"/>
    <cellStyle name="Percent 19" xfId="8320" xr:uid="{00000000-0005-0000-0000-00003CC00000}"/>
    <cellStyle name="Percent 2" xfId="257" xr:uid="{00000000-0005-0000-0000-00003DC00000}"/>
    <cellStyle name="Percent 2 2" xfId="8321" xr:uid="{00000000-0005-0000-0000-00003EC00000}"/>
    <cellStyle name="Percent 20" xfId="8322" xr:uid="{00000000-0005-0000-0000-00003FC00000}"/>
    <cellStyle name="Percent 21" xfId="8323" xr:uid="{00000000-0005-0000-0000-000040C00000}"/>
    <cellStyle name="Percent 22" xfId="8324" xr:uid="{00000000-0005-0000-0000-000041C00000}"/>
    <cellStyle name="Percent 23" xfId="8325" xr:uid="{00000000-0005-0000-0000-000042C00000}"/>
    <cellStyle name="Percent 24" xfId="8326" xr:uid="{00000000-0005-0000-0000-000043C00000}"/>
    <cellStyle name="Percent 25" xfId="8327" xr:uid="{00000000-0005-0000-0000-000044C00000}"/>
    <cellStyle name="Percent 26" xfId="8328" xr:uid="{00000000-0005-0000-0000-000045C00000}"/>
    <cellStyle name="Percent 27" xfId="8329" xr:uid="{00000000-0005-0000-0000-000046C00000}"/>
    <cellStyle name="Percent 28" xfId="8330" xr:uid="{00000000-0005-0000-0000-000047C00000}"/>
    <cellStyle name="Percent 29" xfId="9453" xr:uid="{00000000-0005-0000-0000-000048C00000}"/>
    <cellStyle name="Percent 29 2" xfId="14125" xr:uid="{00000000-0005-0000-0000-000049C00000}"/>
    <cellStyle name="Percent 29 2 2" xfId="37604" xr:uid="{00000000-0005-0000-0000-00004AC00000}"/>
    <cellStyle name="Percent 29 2 3" xfId="28290" xr:uid="{00000000-0005-0000-0000-00004BC00000}"/>
    <cellStyle name="Percent 29 2 4" xfId="51553" xr:uid="{00000000-0005-0000-0000-00004CC00000}"/>
    <cellStyle name="Percent 29 3" xfId="18838" xr:uid="{00000000-0005-0000-0000-00004DC00000}"/>
    <cellStyle name="Percent 29 3 2" xfId="32970" xr:uid="{00000000-0005-0000-0000-00004EC00000}"/>
    <cellStyle name="Percent 29 3 3" xfId="46874" xr:uid="{00000000-0005-0000-0000-00004FC00000}"/>
    <cellStyle name="Percent 29 4" xfId="23656" xr:uid="{00000000-0005-0000-0000-000050C00000}"/>
    <cellStyle name="Percent 29 5" xfId="42243" xr:uid="{00000000-0005-0000-0000-000051C00000}"/>
    <cellStyle name="Percent 3" xfId="8331" xr:uid="{00000000-0005-0000-0000-000052C00000}"/>
    <cellStyle name="Percent 4" xfId="8332" xr:uid="{00000000-0005-0000-0000-000053C00000}"/>
    <cellStyle name="Percent 5" xfId="8333" xr:uid="{00000000-0005-0000-0000-000054C00000}"/>
    <cellStyle name="Percent 6" xfId="8334" xr:uid="{00000000-0005-0000-0000-000055C00000}"/>
    <cellStyle name="Percent 7" xfId="8335" xr:uid="{00000000-0005-0000-0000-000056C00000}"/>
    <cellStyle name="Percent 8" xfId="8336" xr:uid="{00000000-0005-0000-0000-000057C00000}"/>
    <cellStyle name="Percent 9" xfId="8337" xr:uid="{00000000-0005-0000-0000-000058C00000}"/>
    <cellStyle name="Percent_1. IBL BLDG COST_1." xfId="8338" xr:uid="{00000000-0005-0000-0000-000059C00000}"/>
    <cellStyle name="Percentual" xfId="258" xr:uid="{00000000-0005-0000-0000-00005AC00000}"/>
    <cellStyle name="Planilha de Orçamento" xfId="16" xr:uid="{00000000-0005-0000-0000-00005BC00000}"/>
    <cellStyle name="Planilha de Orçamento 2" xfId="9498" xr:uid="{00000000-0005-0000-0000-00005CC00000}"/>
    <cellStyle name="Planilha de Orçamento 2 2" xfId="14167" xr:uid="{00000000-0005-0000-0000-00005DC00000}"/>
    <cellStyle name="Planilha de Orçamento 2 2 2" xfId="19009" xr:uid="{00000000-0005-0000-0000-00005EC00000}"/>
    <cellStyle name="Planilha de Orçamento 2 2 2 2" xfId="37645" xr:uid="{00000000-0005-0000-0000-00005FC00000}"/>
    <cellStyle name="Planilha de Orçamento 2 2 3" xfId="51594" xr:uid="{00000000-0005-0000-0000-000060C00000}"/>
    <cellStyle name="Planilha de Orçamento 2 3" xfId="14348" xr:uid="{00000000-0005-0000-0000-000061C00000}"/>
    <cellStyle name="Planilha de Orçamento 2 3 2" xfId="19010" xr:uid="{00000000-0005-0000-0000-000062C00000}"/>
    <cellStyle name="Planilha de Orçamento 2 3 2 2" xfId="37823" xr:uid="{00000000-0005-0000-0000-000063C00000}"/>
    <cellStyle name="Planilha de Orçamento 2 3 3" xfId="28508" xr:uid="{00000000-0005-0000-0000-000064C00000}"/>
    <cellStyle name="Planilha de Orçamento 2 3 4" xfId="46913" xr:uid="{00000000-0005-0000-0000-000065C00000}"/>
    <cellStyle name="Planilha de Orçamento 2 4" xfId="18877" xr:uid="{00000000-0005-0000-0000-000066C00000}"/>
    <cellStyle name="Planilha de Orçamento 2 4 2" xfId="19011" xr:uid="{00000000-0005-0000-0000-000067C00000}"/>
    <cellStyle name="Planilha de Orçamento 2 5" xfId="19012" xr:uid="{00000000-0005-0000-0000-000068C00000}"/>
    <cellStyle name="Planilha de Orçamento 3" xfId="9506" xr:uid="{00000000-0005-0000-0000-000069C00000}"/>
    <cellStyle name="Planilha de Orçamento 3 2" xfId="18883" xr:uid="{00000000-0005-0000-0000-00006AC00000}"/>
    <cellStyle name="Planilha de Orçamento 3 2 2" xfId="19013" xr:uid="{00000000-0005-0000-0000-00006BC00000}"/>
    <cellStyle name="Planilha de Orçamento 3 2 3" xfId="33018" xr:uid="{00000000-0005-0000-0000-00006CC00000}"/>
    <cellStyle name="Planilha de Orçamento 3 2 4" xfId="51602" xr:uid="{00000000-0005-0000-0000-00006DC00000}"/>
    <cellStyle name="Planilha de Orçamento 3 3" xfId="19014" xr:uid="{00000000-0005-0000-0000-00006EC00000}"/>
    <cellStyle name="Planilha de Orçamento 3 3 2" xfId="51660" xr:uid="{00000000-0005-0000-0000-00006FC00000}"/>
    <cellStyle name="Planilha de Orçamento 3 4" xfId="46921" xr:uid="{00000000-0005-0000-0000-000070C00000}"/>
    <cellStyle name="Planilha de Orçamento 4" xfId="9624" xr:uid="{00000000-0005-0000-0000-000071C00000}"/>
    <cellStyle name="Planilha de Orçamento 4 2" xfId="19015" xr:uid="{00000000-0005-0000-0000-000072C00000}"/>
    <cellStyle name="Planilha de Orçamento 4 2 2" xfId="33119" xr:uid="{00000000-0005-0000-0000-000073C00000}"/>
    <cellStyle name="Planilha de Orçamento 4 3" xfId="23807" xr:uid="{00000000-0005-0000-0000-000074C00000}"/>
    <cellStyle name="Planilha de Orçamento 4 4" xfId="47060" xr:uid="{00000000-0005-0000-0000-000075C00000}"/>
    <cellStyle name="Planilha de Orçamento 5" xfId="14121" xr:uid="{00000000-0005-0000-0000-000076C00000}"/>
    <cellStyle name="Planilha de Orçamento 5 2" xfId="19016" xr:uid="{00000000-0005-0000-0000-000077C00000}"/>
    <cellStyle name="Planilha de Orçamento 5 2 2" xfId="37600" xr:uid="{00000000-0005-0000-0000-000078C00000}"/>
    <cellStyle name="Planilha de Orçamento 5 3" xfId="28286" xr:uid="{00000000-0005-0000-0000-000079C00000}"/>
    <cellStyle name="Planilha de Orçamento 5 4" xfId="51543" xr:uid="{00000000-0005-0000-0000-00007AC00000}"/>
    <cellStyle name="Planilha de Orçamento 6" xfId="42394" xr:uid="{00000000-0005-0000-0000-00007BC00000}"/>
    <cellStyle name="planilhas" xfId="31" xr:uid="{00000000-0005-0000-0000-00007CC00000}"/>
    <cellStyle name="planilhas 2" xfId="443" xr:uid="{00000000-0005-0000-0000-00007DC00000}"/>
    <cellStyle name="planilhas 3" xfId="444" xr:uid="{00000000-0005-0000-0000-00007EC00000}"/>
    <cellStyle name="planilhas 4" xfId="442" xr:uid="{00000000-0005-0000-0000-00007FC00000}"/>
    <cellStyle name="Ponto" xfId="259" xr:uid="{00000000-0005-0000-0000-000080C00000}"/>
    <cellStyle name="Porcentagem" xfId="17" builtinId="5"/>
    <cellStyle name="Porcentagem 10" xfId="51797" xr:uid="{00000000-0005-0000-0000-000082C00000}"/>
    <cellStyle name="Porcentagem 11" xfId="51801" xr:uid="{00000000-0005-0000-0000-000083C00000}"/>
    <cellStyle name="Porcentagem 12" xfId="51807" xr:uid="{F19AC509-7CDD-4AD2-9EEE-446091620B4A}"/>
    <cellStyle name="Porcentagem 2" xfId="18" xr:uid="{00000000-0005-0000-0000-000084C00000}"/>
    <cellStyle name="Porcentagem 2 10" xfId="19203" xr:uid="{00000000-0005-0000-0000-000085C00000}"/>
    <cellStyle name="Porcentagem 2 11" xfId="37838" xr:uid="{00000000-0005-0000-0000-000086C00000}"/>
    <cellStyle name="Porcentagem 2 2" xfId="336" xr:uid="{00000000-0005-0000-0000-000087C00000}"/>
    <cellStyle name="Porcentagem 2 2 2" xfId="447" xr:uid="{00000000-0005-0000-0000-000088C00000}"/>
    <cellStyle name="Porcentagem 2 2 3" xfId="448" xr:uid="{00000000-0005-0000-0000-000089C00000}"/>
    <cellStyle name="Porcentagem 2 2 4" xfId="446" xr:uid="{00000000-0005-0000-0000-00008AC00000}"/>
    <cellStyle name="Porcentagem 2 2 5" xfId="9650" xr:uid="{00000000-0005-0000-0000-00008BC00000}"/>
    <cellStyle name="Porcentagem 2 2 5 2" xfId="33141" xr:uid="{00000000-0005-0000-0000-00008CC00000}"/>
    <cellStyle name="Porcentagem 2 2 5 3" xfId="23828" xr:uid="{00000000-0005-0000-0000-00008DC00000}"/>
    <cellStyle name="Porcentagem 2 2 5 4" xfId="47084" xr:uid="{00000000-0005-0000-0000-00008EC00000}"/>
    <cellStyle name="Porcentagem 2 2 6" xfId="14412" xr:uid="{00000000-0005-0000-0000-00008FC00000}"/>
    <cellStyle name="Porcentagem 2 2 6 2" xfId="28543" xr:uid="{00000000-0005-0000-0000-000090C00000}"/>
    <cellStyle name="Porcentagem 2 2 6 3" xfId="42422" xr:uid="{00000000-0005-0000-0000-000091C00000}"/>
    <cellStyle name="Porcentagem 2 2 7" xfId="19225" xr:uid="{00000000-0005-0000-0000-000092C00000}"/>
    <cellStyle name="Porcentagem 2 2 8" xfId="37860" xr:uid="{00000000-0005-0000-0000-000093C00000}"/>
    <cellStyle name="Porcentagem 2 3" xfId="449" xr:uid="{00000000-0005-0000-0000-000094C00000}"/>
    <cellStyle name="Porcentagem 2 4" xfId="8339" xr:uid="{00000000-0005-0000-0000-000095C00000}"/>
    <cellStyle name="Porcentagem 2 4 2" xfId="14039" xr:uid="{00000000-0005-0000-0000-000096C00000}"/>
    <cellStyle name="Porcentagem 2 4 2 2" xfId="37524" xr:uid="{00000000-0005-0000-0000-000097C00000}"/>
    <cellStyle name="Porcentagem 2 4 2 3" xfId="28205" xr:uid="{00000000-0005-0000-0000-000098C00000}"/>
    <cellStyle name="Porcentagem 2 4 2 4" xfId="51467" xr:uid="{00000000-0005-0000-0000-000099C00000}"/>
    <cellStyle name="Porcentagem 2 4 3" xfId="18770" xr:uid="{00000000-0005-0000-0000-00009AC00000}"/>
    <cellStyle name="Porcentagem 2 4 3 2" xfId="32902" xr:uid="{00000000-0005-0000-0000-00009BC00000}"/>
    <cellStyle name="Porcentagem 2 4 3 3" xfId="46797" xr:uid="{00000000-0005-0000-0000-00009CC00000}"/>
    <cellStyle name="Porcentagem 2 4 4" xfId="23583" xr:uid="{00000000-0005-0000-0000-00009DC00000}"/>
    <cellStyle name="Porcentagem 2 4 5" xfId="42213" xr:uid="{00000000-0005-0000-0000-00009EC00000}"/>
    <cellStyle name="Porcentagem 2 5" xfId="445" xr:uid="{00000000-0005-0000-0000-00009FC00000}"/>
    <cellStyle name="Porcentagem 2 6" xfId="9499" xr:uid="{00000000-0005-0000-0000-0000A0C00000}"/>
    <cellStyle name="Porcentagem 2 6 2" xfId="14168" xr:uid="{00000000-0005-0000-0000-0000A1C00000}"/>
    <cellStyle name="Porcentagem 2 6 2 2" xfId="37646" xr:uid="{00000000-0005-0000-0000-0000A2C00000}"/>
    <cellStyle name="Porcentagem 2 6 2 3" xfId="28331" xr:uid="{00000000-0005-0000-0000-0000A3C00000}"/>
    <cellStyle name="Porcentagem 2 6 2 4" xfId="51595" xr:uid="{00000000-0005-0000-0000-0000A4C00000}"/>
    <cellStyle name="Porcentagem 2 6 3" xfId="18878" xr:uid="{00000000-0005-0000-0000-0000A5C00000}"/>
    <cellStyle name="Porcentagem 2 6 3 2" xfId="33011" xr:uid="{00000000-0005-0000-0000-0000A6C00000}"/>
    <cellStyle name="Porcentagem 2 6 3 3" xfId="46914" xr:uid="{00000000-0005-0000-0000-0000A7C00000}"/>
    <cellStyle name="Porcentagem 2 6 4" xfId="23697" xr:uid="{00000000-0005-0000-0000-0000A8C00000}"/>
    <cellStyle name="Porcentagem 2 6 5" xfId="42284" xr:uid="{00000000-0005-0000-0000-0000A9C00000}"/>
    <cellStyle name="Porcentagem 2 7" xfId="9538" xr:uid="{00000000-0005-0000-0000-0000AAC00000}"/>
    <cellStyle name="Porcentagem 2 7 2" xfId="14204" xr:uid="{00000000-0005-0000-0000-0000ABC00000}"/>
    <cellStyle name="Porcentagem 2 7 2 2" xfId="37679" xr:uid="{00000000-0005-0000-0000-0000ACC00000}"/>
    <cellStyle name="Porcentagem 2 7 2 3" xfId="28364" xr:uid="{00000000-0005-0000-0000-0000ADC00000}"/>
    <cellStyle name="Porcentagem 2 7 2 4" xfId="51631" xr:uid="{00000000-0005-0000-0000-0000AEC00000}"/>
    <cellStyle name="Porcentagem 2 7 3" xfId="18912" xr:uid="{00000000-0005-0000-0000-0000AFC00000}"/>
    <cellStyle name="Porcentagem 2 7 3 2" xfId="33043" xr:uid="{00000000-0005-0000-0000-0000B0C00000}"/>
    <cellStyle name="Porcentagem 2 7 3 3" xfId="46951" xr:uid="{00000000-0005-0000-0000-0000B1C00000}"/>
    <cellStyle name="Porcentagem 2 7 4" xfId="23730" xr:uid="{00000000-0005-0000-0000-0000B2C00000}"/>
    <cellStyle name="Porcentagem 2 7 5" xfId="42315" xr:uid="{00000000-0005-0000-0000-0000B3C00000}"/>
    <cellStyle name="Porcentagem 2 8" xfId="9625" xr:uid="{00000000-0005-0000-0000-0000B4C00000}"/>
    <cellStyle name="Porcentagem 2 8 2" xfId="33120" xr:uid="{00000000-0005-0000-0000-0000B5C00000}"/>
    <cellStyle name="Porcentagem 2 8 3" xfId="23808" xr:uid="{00000000-0005-0000-0000-0000B6C00000}"/>
    <cellStyle name="Porcentagem 2 8 4" xfId="47061" xr:uid="{00000000-0005-0000-0000-0000B7C00000}"/>
    <cellStyle name="Porcentagem 2 9" xfId="14390" xr:uid="{00000000-0005-0000-0000-0000B8C00000}"/>
    <cellStyle name="Porcentagem 2 9 2" xfId="28522" xr:uid="{00000000-0005-0000-0000-0000B9C00000}"/>
    <cellStyle name="Porcentagem 2 9 3" xfId="42395" xr:uid="{00000000-0005-0000-0000-0000BAC00000}"/>
    <cellStyle name="Porcentagem 3" xfId="260" xr:uid="{00000000-0005-0000-0000-0000BBC00000}"/>
    <cellStyle name="Porcentagem 3 2" xfId="8340" xr:uid="{00000000-0005-0000-0000-0000BCC00000}"/>
    <cellStyle name="Porcentagem 3 3" xfId="51779" xr:uid="{00000000-0005-0000-0000-0000BDC00000}"/>
    <cellStyle name="Porcentagem 4" xfId="450" xr:uid="{00000000-0005-0000-0000-0000BEC00000}"/>
    <cellStyle name="Porcentagem 4 2" xfId="451" xr:uid="{00000000-0005-0000-0000-0000BFC00000}"/>
    <cellStyle name="Porcentagem 4 2 2" xfId="9697" xr:uid="{00000000-0005-0000-0000-0000C0C00000}"/>
    <cellStyle name="Porcentagem 4 2 2 2" xfId="33188" xr:uid="{00000000-0005-0000-0000-0000C1C00000}"/>
    <cellStyle name="Porcentagem 4 2 2 3" xfId="23873" xr:uid="{00000000-0005-0000-0000-0000C2C00000}"/>
    <cellStyle name="Porcentagem 4 2 2 4" xfId="47131" xr:uid="{00000000-0005-0000-0000-0000C3C00000}"/>
    <cellStyle name="Porcentagem 4 2 3" xfId="14457" xr:uid="{00000000-0005-0000-0000-0000C4C00000}"/>
    <cellStyle name="Porcentagem 4 2 3 2" xfId="28589" xr:uid="{00000000-0005-0000-0000-0000C5C00000}"/>
    <cellStyle name="Porcentagem 4 2 3 3" xfId="42469" xr:uid="{00000000-0005-0000-0000-0000C6C00000}"/>
    <cellStyle name="Porcentagem 4 2 4" xfId="19269" xr:uid="{00000000-0005-0000-0000-0000C7C00000}"/>
    <cellStyle name="Porcentagem 4 2 5" xfId="37903" xr:uid="{00000000-0005-0000-0000-0000C8C00000}"/>
    <cellStyle name="Porcentagem 4 3" xfId="8341" xr:uid="{00000000-0005-0000-0000-0000C9C00000}"/>
    <cellStyle name="Porcentagem 4 3 2" xfId="14040" xr:uid="{00000000-0005-0000-0000-0000CAC00000}"/>
    <cellStyle name="Porcentagem 4 3 2 2" xfId="37525" xr:uid="{00000000-0005-0000-0000-0000CBC00000}"/>
    <cellStyle name="Porcentagem 4 3 2 3" xfId="28206" xr:uid="{00000000-0005-0000-0000-0000CCC00000}"/>
    <cellStyle name="Porcentagem 4 3 2 4" xfId="51468" xr:uid="{00000000-0005-0000-0000-0000CDC00000}"/>
    <cellStyle name="Porcentagem 4 3 3" xfId="18771" xr:uid="{00000000-0005-0000-0000-0000CEC00000}"/>
    <cellStyle name="Porcentagem 4 3 3 2" xfId="32903" xr:uid="{00000000-0005-0000-0000-0000CFC00000}"/>
    <cellStyle name="Porcentagem 4 3 3 3" xfId="46798" xr:uid="{00000000-0005-0000-0000-0000D0C00000}"/>
    <cellStyle name="Porcentagem 4 3 4" xfId="23584" xr:uid="{00000000-0005-0000-0000-0000D1C00000}"/>
    <cellStyle name="Porcentagem 4 3 5" xfId="42214" xr:uid="{00000000-0005-0000-0000-0000D2C00000}"/>
    <cellStyle name="Porcentagem 4 4" xfId="9696" xr:uid="{00000000-0005-0000-0000-0000D3C00000}"/>
    <cellStyle name="Porcentagem 4 4 2" xfId="33187" xr:uid="{00000000-0005-0000-0000-0000D4C00000}"/>
    <cellStyle name="Porcentagem 4 4 3" xfId="23872" xr:uid="{00000000-0005-0000-0000-0000D5C00000}"/>
    <cellStyle name="Porcentagem 4 4 4" xfId="47130" xr:uid="{00000000-0005-0000-0000-0000D6C00000}"/>
    <cellStyle name="Porcentagem 4 5" xfId="14456" xr:uid="{00000000-0005-0000-0000-0000D7C00000}"/>
    <cellStyle name="Porcentagem 4 5 2" xfId="28588" xr:uid="{00000000-0005-0000-0000-0000D8C00000}"/>
    <cellStyle name="Porcentagem 4 5 3" xfId="42468" xr:uid="{00000000-0005-0000-0000-0000D9C00000}"/>
    <cellStyle name="Porcentagem 4 6" xfId="19268" xr:uid="{00000000-0005-0000-0000-0000DAC00000}"/>
    <cellStyle name="Porcentagem 4 7" xfId="37902" xr:uid="{00000000-0005-0000-0000-0000DBC00000}"/>
    <cellStyle name="Porcentagem 4 8" xfId="51790" xr:uid="{00000000-0005-0000-0000-0000DCC00000}"/>
    <cellStyle name="Porcentagem 5" xfId="8342" xr:uid="{00000000-0005-0000-0000-0000DDC00000}"/>
    <cellStyle name="Porcentagem 5 2" xfId="8343" xr:uid="{00000000-0005-0000-0000-0000DEC00000}"/>
    <cellStyle name="Porcentagem 5 2 2" xfId="14041" xr:uid="{00000000-0005-0000-0000-0000DFC00000}"/>
    <cellStyle name="Porcentagem 5 2 2 2" xfId="37526" xr:uid="{00000000-0005-0000-0000-0000E0C00000}"/>
    <cellStyle name="Porcentagem 5 2 2 3" xfId="28207" xr:uid="{00000000-0005-0000-0000-0000E1C00000}"/>
    <cellStyle name="Porcentagem 5 2 2 4" xfId="51469" xr:uid="{00000000-0005-0000-0000-0000E2C00000}"/>
    <cellStyle name="Porcentagem 5 2 3" xfId="18772" xr:uid="{00000000-0005-0000-0000-0000E3C00000}"/>
    <cellStyle name="Porcentagem 5 2 3 2" xfId="32904" xr:uid="{00000000-0005-0000-0000-0000E4C00000}"/>
    <cellStyle name="Porcentagem 5 2 3 3" xfId="46799" xr:uid="{00000000-0005-0000-0000-0000E5C00000}"/>
    <cellStyle name="Porcentagem 5 2 4" xfId="23585" xr:uid="{00000000-0005-0000-0000-0000E6C00000}"/>
    <cellStyle name="Porcentagem 5 2 5" xfId="42215" xr:uid="{00000000-0005-0000-0000-0000E7C00000}"/>
    <cellStyle name="Porcentagem 6" xfId="9580" xr:uid="{00000000-0005-0000-0000-0000E8C00000}"/>
    <cellStyle name="Porcentagem 6 2" xfId="14239" xr:uid="{00000000-0005-0000-0000-0000E9C00000}"/>
    <cellStyle name="Porcentagem 6 2 2" xfId="37714" xr:uid="{00000000-0005-0000-0000-0000EAC00000}"/>
    <cellStyle name="Porcentagem 6 2 3" xfId="28399" xr:uid="{00000000-0005-0000-0000-0000EBC00000}"/>
    <cellStyle name="Porcentagem 6 2 4" xfId="46988" xr:uid="{00000000-0005-0000-0000-0000ECC00000}"/>
    <cellStyle name="Porcentagem 6 3" xfId="33078" xr:uid="{00000000-0005-0000-0000-0000EDC00000}"/>
    <cellStyle name="Porcentagem 6 4" xfId="23767" xr:uid="{00000000-0005-0000-0000-0000EEC00000}"/>
    <cellStyle name="Porcentagem 6 5" xfId="42352" xr:uid="{00000000-0005-0000-0000-0000EFC00000}"/>
    <cellStyle name="Porcentagem 7" xfId="14370" xr:uid="{00000000-0005-0000-0000-0000F0C00000}"/>
    <cellStyle name="Porcentagem 8" xfId="14385" xr:uid="{00000000-0005-0000-0000-0000F1C00000}"/>
    <cellStyle name="Porcentagem 8 2" xfId="51792" xr:uid="{00000000-0005-0000-0000-0000F2C00000}"/>
    <cellStyle name="Porcentagem 9" xfId="51783" xr:uid="{00000000-0005-0000-0000-0000F3C00000}"/>
    <cellStyle name="Red Title" xfId="8344" xr:uid="{00000000-0005-0000-0000-0000F4C00000}"/>
    <cellStyle name="rency (a)" xfId="8345" xr:uid="{00000000-0005-0000-0000-0000F5C00000}"/>
    <cellStyle name="Reset  - 유형7" xfId="8346" xr:uid="{00000000-0005-0000-0000-0000F6C00000}"/>
    <cellStyle name="RevList" xfId="8347" xr:uid="{00000000-0005-0000-0000-0000F7C00000}"/>
    <cellStyle name="s_x0010_" xfId="8348" xr:uid="{00000000-0005-0000-0000-0000F8C00000}"/>
    <cellStyle name="s]_x000d__x000a_load=atikey32.exe_x000d__x000a_run=_x000d__x000a_NullPort=None_x000d__x000a_1472dir=C:\1473_x000d__x000a_device=lbp5200,POSLBP,LPT1:_x000d__x000a__x000d__x000a_[Desktop]_x000d__x000a_Wallpaper=(없음)" xfId="8349" xr:uid="{00000000-0005-0000-0000-0000F9C00000}"/>
    <cellStyle name="Saída 2" xfId="323" xr:uid="{00000000-0005-0000-0000-0000FAC00000}"/>
    <cellStyle name="Saída 2 2" xfId="452" xr:uid="{00000000-0005-0000-0000-0000FBC00000}"/>
    <cellStyle name="Saída 2 2 2" xfId="9698" xr:uid="{00000000-0005-0000-0000-0000FCC00000}"/>
    <cellStyle name="Saída 2 2 2 2" xfId="33189" xr:uid="{00000000-0005-0000-0000-0000FDC00000}"/>
    <cellStyle name="Saída 2 2 2 3" xfId="23874" xr:uid="{00000000-0005-0000-0000-0000FEC00000}"/>
    <cellStyle name="Saída 2 2 2 4" xfId="47132" xr:uid="{00000000-0005-0000-0000-0000FFC00000}"/>
    <cellStyle name="Saída 2 2 3" xfId="14072" xr:uid="{00000000-0005-0000-0000-000000C10000}"/>
    <cellStyle name="Saída 2 2 3 2" xfId="19017" xr:uid="{00000000-0005-0000-0000-000001C10000}"/>
    <cellStyle name="Saída 2 2 3 2 2" xfId="37556" xr:uid="{00000000-0005-0000-0000-000002C10000}"/>
    <cellStyle name="Saída 2 2 3 3" xfId="28237" xr:uid="{00000000-0005-0000-0000-000003C10000}"/>
    <cellStyle name="Saída 2 2 3 4" xfId="42470" xr:uid="{00000000-0005-0000-0000-000004C10000}"/>
    <cellStyle name="Saída 2 2 4" xfId="14458" xr:uid="{00000000-0005-0000-0000-000005C10000}"/>
    <cellStyle name="Saída 2 2 4 2" xfId="19018" xr:uid="{00000000-0005-0000-0000-000006C10000}"/>
    <cellStyle name="Saída 2 2 4 3" xfId="28590" xr:uid="{00000000-0005-0000-0000-000007C10000}"/>
    <cellStyle name="Saída 2 2 5" xfId="19270" xr:uid="{00000000-0005-0000-0000-000008C10000}"/>
    <cellStyle name="Saída 2 2 6" xfId="37904" xr:uid="{00000000-0005-0000-0000-000009C10000}"/>
    <cellStyle name="Saída 2 3" xfId="9500" xr:uid="{00000000-0005-0000-0000-00000AC10000}"/>
    <cellStyle name="Saída 2 3 2" xfId="14169" xr:uid="{00000000-0005-0000-0000-00000BC10000}"/>
    <cellStyle name="Saída 2 3 2 2" xfId="37647" xr:uid="{00000000-0005-0000-0000-00000CC10000}"/>
    <cellStyle name="Saída 2 3 2 3" xfId="28332" xr:uid="{00000000-0005-0000-0000-00000DC10000}"/>
    <cellStyle name="Saída 2 3 2 4" xfId="51596" xr:uid="{00000000-0005-0000-0000-00000EC10000}"/>
    <cellStyle name="Saída 2 3 3" xfId="14349" xr:uid="{00000000-0005-0000-0000-00000FC10000}"/>
    <cellStyle name="Saída 2 3 3 2" xfId="19019" xr:uid="{00000000-0005-0000-0000-000010C10000}"/>
    <cellStyle name="Saída 2 3 3 2 2" xfId="37824" xr:uid="{00000000-0005-0000-0000-000011C10000}"/>
    <cellStyle name="Saída 2 3 3 3" xfId="28509" xr:uid="{00000000-0005-0000-0000-000012C10000}"/>
    <cellStyle name="Saída 2 3 3 4" xfId="51658" xr:uid="{00000000-0005-0000-0000-000013C10000}"/>
    <cellStyle name="Saída 2 3 4" xfId="18879" xr:uid="{00000000-0005-0000-0000-000014C10000}"/>
    <cellStyle name="Saída 2 3 4 2" xfId="19020" xr:uid="{00000000-0005-0000-0000-000015C10000}"/>
    <cellStyle name="Saída 2 3 4 3" xfId="33012" xr:uid="{00000000-0005-0000-0000-000016C10000}"/>
    <cellStyle name="Saída 2 3 4 4" xfId="46915" xr:uid="{00000000-0005-0000-0000-000017C10000}"/>
    <cellStyle name="Saída 2 3 5" xfId="19021" xr:uid="{00000000-0005-0000-0000-000018C10000}"/>
    <cellStyle name="Saída 2 3 6" xfId="23698" xr:uid="{00000000-0005-0000-0000-000019C10000}"/>
    <cellStyle name="Saída 2 3 7" xfId="42285" xr:uid="{00000000-0005-0000-0000-00001AC10000}"/>
    <cellStyle name="Saída 2 4" xfId="9539" xr:uid="{00000000-0005-0000-0000-00001BC10000}"/>
    <cellStyle name="Saída 2 4 2" xfId="14357" xr:uid="{00000000-0005-0000-0000-00001CC10000}"/>
    <cellStyle name="Saída 2 4 2 2" xfId="19022" xr:uid="{00000000-0005-0000-0000-00001DC10000}"/>
    <cellStyle name="Saída 2 4 2 2 2" xfId="37832" xr:uid="{00000000-0005-0000-0000-00001EC10000}"/>
    <cellStyle name="Saída 2 4 2 3" xfId="28517" xr:uid="{00000000-0005-0000-0000-00001FC10000}"/>
    <cellStyle name="Saída 2 4 2 4" xfId="51632" xr:uid="{00000000-0005-0000-0000-000020C10000}"/>
    <cellStyle name="Saída 2 4 3" xfId="18913" xr:uid="{00000000-0005-0000-0000-000021C10000}"/>
    <cellStyle name="Saída 2 4 3 2" xfId="19023" xr:uid="{00000000-0005-0000-0000-000022C10000}"/>
    <cellStyle name="Saída 2 4 3 3" xfId="46952" xr:uid="{00000000-0005-0000-0000-000023C10000}"/>
    <cellStyle name="Saída 2 4 4" xfId="23731" xr:uid="{00000000-0005-0000-0000-000024C10000}"/>
    <cellStyle name="Saída 2 4 5" xfId="42316" xr:uid="{00000000-0005-0000-0000-000025C10000}"/>
    <cellStyle name="Saída 2 5" xfId="14077" xr:uid="{00000000-0005-0000-0000-000026C10000}"/>
    <cellStyle name="Saída 2 5 2" xfId="19024" xr:uid="{00000000-0005-0000-0000-000027C10000}"/>
    <cellStyle name="Saída 2 5 2 2" xfId="37561" xr:uid="{00000000-0005-0000-0000-000028C10000}"/>
    <cellStyle name="Saída 2 5 3" xfId="28242" xr:uid="{00000000-0005-0000-0000-000029C10000}"/>
    <cellStyle name="Saída 2 5 4" xfId="47078" xr:uid="{00000000-0005-0000-0000-00002AC10000}"/>
    <cellStyle name="Saída 2 6" xfId="14406" xr:uid="{00000000-0005-0000-0000-00002BC10000}"/>
    <cellStyle name="Saída 2 6 2" xfId="19025" xr:uid="{00000000-0005-0000-0000-00002CC10000}"/>
    <cellStyle name="Saída 2 6 3" xfId="42415" xr:uid="{00000000-0005-0000-0000-00002DC10000}"/>
    <cellStyle name="Saída 2 7" xfId="19219" xr:uid="{00000000-0005-0000-0000-00002EC10000}"/>
    <cellStyle name="Saída 2 8" xfId="37854" xr:uid="{00000000-0005-0000-0000-00002FC10000}"/>
    <cellStyle name="sementara" xfId="8350" xr:uid="{00000000-0005-0000-0000-000030C10000}"/>
    <cellStyle name="Separador de milhares [0] 2" xfId="8351" xr:uid="{00000000-0005-0000-0000-000031C10000}"/>
    <cellStyle name="Separador de milhares [0] 2 2" xfId="14042" xr:uid="{00000000-0005-0000-0000-000032C10000}"/>
    <cellStyle name="Separador de milhares [0] 2 2 2" xfId="37527" xr:uid="{00000000-0005-0000-0000-000033C10000}"/>
    <cellStyle name="Separador de milhares [0] 2 2 3" xfId="28208" xr:uid="{00000000-0005-0000-0000-000034C10000}"/>
    <cellStyle name="Separador de milhares [0] 2 2 4" xfId="51470" xr:uid="{00000000-0005-0000-0000-000035C10000}"/>
    <cellStyle name="Separador de milhares [0] 2 3" xfId="18773" xr:uid="{00000000-0005-0000-0000-000036C10000}"/>
    <cellStyle name="Separador de milhares [0] 2 3 2" xfId="32905" xr:uid="{00000000-0005-0000-0000-000037C10000}"/>
    <cellStyle name="Separador de milhares [0] 2 3 3" xfId="46800" xr:uid="{00000000-0005-0000-0000-000038C10000}"/>
    <cellStyle name="Separador de milhares [0] 2 4" xfId="23586" xr:uid="{00000000-0005-0000-0000-000039C10000}"/>
    <cellStyle name="Separador de milhares [0] 2 5" xfId="42216" xr:uid="{00000000-0005-0000-0000-00003AC10000}"/>
    <cellStyle name="Separador de milhares [0] 3" xfId="8352" xr:uid="{00000000-0005-0000-0000-00003BC10000}"/>
    <cellStyle name="Separador de milhares [0] 3 2" xfId="8353" xr:uid="{00000000-0005-0000-0000-00003CC10000}"/>
    <cellStyle name="Separador de milhares [0] 3 2 2" xfId="14044" xr:uid="{00000000-0005-0000-0000-00003DC10000}"/>
    <cellStyle name="Separador de milhares [0] 3 2 2 2" xfId="37529" xr:uid="{00000000-0005-0000-0000-00003EC10000}"/>
    <cellStyle name="Separador de milhares [0] 3 2 2 3" xfId="28210" xr:uid="{00000000-0005-0000-0000-00003FC10000}"/>
    <cellStyle name="Separador de milhares [0] 3 2 2 4" xfId="51472" xr:uid="{00000000-0005-0000-0000-000040C10000}"/>
    <cellStyle name="Separador de milhares [0] 3 2 3" xfId="18775" xr:uid="{00000000-0005-0000-0000-000041C10000}"/>
    <cellStyle name="Separador de milhares [0] 3 2 3 2" xfId="32907" xr:uid="{00000000-0005-0000-0000-000042C10000}"/>
    <cellStyle name="Separador de milhares [0] 3 2 3 3" xfId="46802" xr:uid="{00000000-0005-0000-0000-000043C10000}"/>
    <cellStyle name="Separador de milhares [0] 3 2 4" xfId="23588" xr:uid="{00000000-0005-0000-0000-000044C10000}"/>
    <cellStyle name="Separador de milhares [0] 3 2 5" xfId="42218" xr:uid="{00000000-0005-0000-0000-000045C10000}"/>
    <cellStyle name="Separador de milhares [0] 3 3" xfId="14043" xr:uid="{00000000-0005-0000-0000-000046C10000}"/>
    <cellStyle name="Separador de milhares [0] 3 3 2" xfId="37528" xr:uid="{00000000-0005-0000-0000-000047C10000}"/>
    <cellStyle name="Separador de milhares [0] 3 3 3" xfId="28209" xr:uid="{00000000-0005-0000-0000-000048C10000}"/>
    <cellStyle name="Separador de milhares [0] 3 3 4" xfId="51471" xr:uid="{00000000-0005-0000-0000-000049C10000}"/>
    <cellStyle name="Separador de milhares [0] 3 4" xfId="18774" xr:uid="{00000000-0005-0000-0000-00004AC10000}"/>
    <cellStyle name="Separador de milhares [0] 3 4 2" xfId="32906" xr:uid="{00000000-0005-0000-0000-00004BC10000}"/>
    <cellStyle name="Separador de milhares [0] 3 4 3" xfId="46801" xr:uid="{00000000-0005-0000-0000-00004CC10000}"/>
    <cellStyle name="Separador de milhares [0] 3 5" xfId="23587" xr:uid="{00000000-0005-0000-0000-00004DC10000}"/>
    <cellStyle name="Separador de milhares [0] 3 6" xfId="42217" xr:uid="{00000000-0005-0000-0000-00004EC10000}"/>
    <cellStyle name="Separador de milhares 10" xfId="9462" xr:uid="{00000000-0005-0000-0000-00004FC10000}"/>
    <cellStyle name="Separador de milhares 10 2" xfId="14134" xr:uid="{00000000-0005-0000-0000-000050C10000}"/>
    <cellStyle name="Separador de milhares 10 2 2" xfId="37613" xr:uid="{00000000-0005-0000-0000-000051C10000}"/>
    <cellStyle name="Separador de milhares 10 2 3" xfId="28299" xr:uid="{00000000-0005-0000-0000-000052C10000}"/>
    <cellStyle name="Separador de milhares 10 2 4" xfId="51562" xr:uid="{00000000-0005-0000-0000-000053C10000}"/>
    <cellStyle name="Separador de milhares 10 3" xfId="18847" xr:uid="{00000000-0005-0000-0000-000054C10000}"/>
    <cellStyle name="Separador de milhares 10 3 2" xfId="32979" xr:uid="{00000000-0005-0000-0000-000055C10000}"/>
    <cellStyle name="Separador de milhares 10 3 3" xfId="46884" xr:uid="{00000000-0005-0000-0000-000056C10000}"/>
    <cellStyle name="Separador de milhares 10 4" xfId="23665" xr:uid="{00000000-0005-0000-0000-000057C10000}"/>
    <cellStyle name="Separador de milhares 10 5" xfId="42252" xr:uid="{00000000-0005-0000-0000-000058C10000}"/>
    <cellStyle name="Separador de milhares 11" xfId="9544" xr:uid="{00000000-0005-0000-0000-000059C10000}"/>
    <cellStyle name="Separador de milhares 12" xfId="9579" xr:uid="{00000000-0005-0000-0000-00005AC10000}"/>
    <cellStyle name="Separador de milhares 12 2" xfId="14238" xr:uid="{00000000-0005-0000-0000-00005BC10000}"/>
    <cellStyle name="Separador de milhares 12 2 2" xfId="37713" xr:uid="{00000000-0005-0000-0000-00005CC10000}"/>
    <cellStyle name="Separador de milhares 12 2 3" xfId="28398" xr:uid="{00000000-0005-0000-0000-00005DC10000}"/>
    <cellStyle name="Separador de milhares 12 2 4" xfId="46987" xr:uid="{00000000-0005-0000-0000-00005EC10000}"/>
    <cellStyle name="Separador de milhares 12 3" xfId="33077" xr:uid="{00000000-0005-0000-0000-00005FC10000}"/>
    <cellStyle name="Separador de milhares 12 4" xfId="23766" xr:uid="{00000000-0005-0000-0000-000060C10000}"/>
    <cellStyle name="Separador de milhares 12 5" xfId="42351" xr:uid="{00000000-0005-0000-0000-000061C10000}"/>
    <cellStyle name="Separador de milhares 13" xfId="9600" xr:uid="{00000000-0005-0000-0000-000062C10000}"/>
    <cellStyle name="Separador de milhares 13 2" xfId="14256" xr:uid="{00000000-0005-0000-0000-000063C10000}"/>
    <cellStyle name="Separador de milhares 13 2 2" xfId="37731" xr:uid="{00000000-0005-0000-0000-000064C10000}"/>
    <cellStyle name="Separador de milhares 13 2 3" xfId="28416" xr:uid="{00000000-0005-0000-0000-000065C10000}"/>
    <cellStyle name="Separador de milhares 13 2 4" xfId="47005" xr:uid="{00000000-0005-0000-0000-000066C10000}"/>
    <cellStyle name="Separador de milhares 13 3" xfId="33095" xr:uid="{00000000-0005-0000-0000-000067C10000}"/>
    <cellStyle name="Separador de milhares 13 4" xfId="23784" xr:uid="{00000000-0005-0000-0000-000068C10000}"/>
    <cellStyle name="Separador de milhares 13 5" xfId="42369" xr:uid="{00000000-0005-0000-0000-000069C10000}"/>
    <cellStyle name="Separador de milhares 14" xfId="9602" xr:uid="{00000000-0005-0000-0000-00006AC10000}"/>
    <cellStyle name="Separador de milhares 14 2" xfId="14258" xr:uid="{00000000-0005-0000-0000-00006BC10000}"/>
    <cellStyle name="Separador de milhares 14 2 2" xfId="37733" xr:uid="{00000000-0005-0000-0000-00006CC10000}"/>
    <cellStyle name="Separador de milhares 14 2 3" xfId="28418" xr:uid="{00000000-0005-0000-0000-00006DC10000}"/>
    <cellStyle name="Separador de milhares 14 2 4" xfId="47007" xr:uid="{00000000-0005-0000-0000-00006EC10000}"/>
    <cellStyle name="Separador de milhares 14 3" xfId="33097" xr:uid="{00000000-0005-0000-0000-00006FC10000}"/>
    <cellStyle name="Separador de milhares 14 4" xfId="23786" xr:uid="{00000000-0005-0000-0000-000070C10000}"/>
    <cellStyle name="Separador de milhares 14 5" xfId="42371" xr:uid="{00000000-0005-0000-0000-000071C10000}"/>
    <cellStyle name="Separador de milhares 15" xfId="9614" xr:uid="{00000000-0005-0000-0000-000072C10000}"/>
    <cellStyle name="Separador de milhares 15 2" xfId="14270" xr:uid="{00000000-0005-0000-0000-000073C10000}"/>
    <cellStyle name="Separador de milhares 15 2 2" xfId="37745" xr:uid="{00000000-0005-0000-0000-000074C10000}"/>
    <cellStyle name="Separador de milhares 15 2 3" xfId="28430" xr:uid="{00000000-0005-0000-0000-000075C10000}"/>
    <cellStyle name="Separador de milhares 15 2 4" xfId="47019" xr:uid="{00000000-0005-0000-0000-000076C10000}"/>
    <cellStyle name="Separador de milhares 15 3" xfId="33109" xr:uid="{00000000-0005-0000-0000-000077C10000}"/>
    <cellStyle name="Separador de milhares 15 4" xfId="23798" xr:uid="{00000000-0005-0000-0000-000078C10000}"/>
    <cellStyle name="Separador de milhares 15 5" xfId="42383" xr:uid="{00000000-0005-0000-0000-000079C10000}"/>
    <cellStyle name="Separador de milhares 2" xfId="19" xr:uid="{00000000-0005-0000-0000-00007AC10000}"/>
    <cellStyle name="Separador de milhares 2 10" xfId="14391" xr:uid="{00000000-0005-0000-0000-00007BC10000}"/>
    <cellStyle name="Separador de milhares 2 10 2" xfId="28523" xr:uid="{00000000-0005-0000-0000-00007CC10000}"/>
    <cellStyle name="Separador de milhares 2 10 3" xfId="42396" xr:uid="{00000000-0005-0000-0000-00007DC10000}"/>
    <cellStyle name="Separador de milhares 2 11" xfId="19204" xr:uid="{00000000-0005-0000-0000-00007EC10000}"/>
    <cellStyle name="Separador de milhares 2 12" xfId="37839" xr:uid="{00000000-0005-0000-0000-00007FC10000}"/>
    <cellStyle name="Separador de milhares 2 2" xfId="268" xr:uid="{00000000-0005-0000-0000-000080C10000}"/>
    <cellStyle name="Separador de milhares 2 2 2" xfId="455" xr:uid="{00000000-0005-0000-0000-000081C10000}"/>
    <cellStyle name="Separador de milhares 2 2 3" xfId="8354" xr:uid="{00000000-0005-0000-0000-000082C10000}"/>
    <cellStyle name="Separador de milhares 2 2 4" xfId="454" xr:uid="{00000000-0005-0000-0000-000083C10000}"/>
    <cellStyle name="Separador de milhares 2 3" xfId="335" xr:uid="{00000000-0005-0000-0000-000084C10000}"/>
    <cellStyle name="Separador de milhares 2 3 2" xfId="457" xr:uid="{00000000-0005-0000-0000-000085C10000}"/>
    <cellStyle name="Separador de milhares 2 3 3" xfId="8355" xr:uid="{00000000-0005-0000-0000-000086C10000}"/>
    <cellStyle name="Separador de milhares 2 3 4" xfId="456" xr:uid="{00000000-0005-0000-0000-000087C10000}"/>
    <cellStyle name="Separador de milhares 2 3 4 2" xfId="9700" xr:uid="{00000000-0005-0000-0000-000088C10000}"/>
    <cellStyle name="Separador de milhares 2 3 4 2 2" xfId="33191" xr:uid="{00000000-0005-0000-0000-000089C10000}"/>
    <cellStyle name="Separador de milhares 2 3 4 2 3" xfId="23876" xr:uid="{00000000-0005-0000-0000-00008AC10000}"/>
    <cellStyle name="Separador de milhares 2 3 4 2 4" xfId="47134" xr:uid="{00000000-0005-0000-0000-00008BC10000}"/>
    <cellStyle name="Separador de milhares 2 3 4 3" xfId="14460" xr:uid="{00000000-0005-0000-0000-00008CC10000}"/>
    <cellStyle name="Separador de milhares 2 3 4 3 2" xfId="28592" xr:uid="{00000000-0005-0000-0000-00008DC10000}"/>
    <cellStyle name="Separador de milhares 2 3 4 3 3" xfId="42472" xr:uid="{00000000-0005-0000-0000-00008EC10000}"/>
    <cellStyle name="Separador de milhares 2 3 4 4" xfId="19272" xr:uid="{00000000-0005-0000-0000-00008FC10000}"/>
    <cellStyle name="Separador de milhares 2 3 4 5" xfId="37906" xr:uid="{00000000-0005-0000-0000-000090C10000}"/>
    <cellStyle name="Separador de milhares 2 3 5" xfId="9649" xr:uid="{00000000-0005-0000-0000-000091C10000}"/>
    <cellStyle name="Separador de milhares 2 3 5 2" xfId="33140" xr:uid="{00000000-0005-0000-0000-000092C10000}"/>
    <cellStyle name="Separador de milhares 2 3 5 3" xfId="23827" xr:uid="{00000000-0005-0000-0000-000093C10000}"/>
    <cellStyle name="Separador de milhares 2 3 5 4" xfId="47083" xr:uid="{00000000-0005-0000-0000-000094C10000}"/>
    <cellStyle name="Separador de milhares 2 3 6" xfId="14411" xr:uid="{00000000-0005-0000-0000-000095C10000}"/>
    <cellStyle name="Separador de milhares 2 3 6 2" xfId="28542" xr:uid="{00000000-0005-0000-0000-000096C10000}"/>
    <cellStyle name="Separador de milhares 2 3 6 3" xfId="42421" xr:uid="{00000000-0005-0000-0000-000097C10000}"/>
    <cellStyle name="Separador de milhares 2 3 7" xfId="19224" xr:uid="{00000000-0005-0000-0000-000098C10000}"/>
    <cellStyle name="Separador de milhares 2 3 8" xfId="37859" xr:uid="{00000000-0005-0000-0000-000099C10000}"/>
    <cellStyle name="Separador de milhares 2 4" xfId="8356" xr:uid="{00000000-0005-0000-0000-00009AC10000}"/>
    <cellStyle name="Separador de milhares 2 5" xfId="8357" xr:uid="{00000000-0005-0000-0000-00009BC10000}"/>
    <cellStyle name="Separador de milhares 2 6" xfId="453" xr:uid="{00000000-0005-0000-0000-00009CC10000}"/>
    <cellStyle name="Separador de milhares 2 6 2" xfId="9699" xr:uid="{00000000-0005-0000-0000-00009DC10000}"/>
    <cellStyle name="Separador de milhares 2 6 2 2" xfId="33190" xr:uid="{00000000-0005-0000-0000-00009EC10000}"/>
    <cellStyle name="Separador de milhares 2 6 2 3" xfId="23875" xr:uid="{00000000-0005-0000-0000-00009FC10000}"/>
    <cellStyle name="Separador de milhares 2 6 2 4" xfId="47133" xr:uid="{00000000-0005-0000-0000-0000A0C10000}"/>
    <cellStyle name="Separador de milhares 2 6 3" xfId="14459" xr:uid="{00000000-0005-0000-0000-0000A1C10000}"/>
    <cellStyle name="Separador de milhares 2 6 3 2" xfId="28591" xr:uid="{00000000-0005-0000-0000-0000A2C10000}"/>
    <cellStyle name="Separador de milhares 2 6 3 3" xfId="42471" xr:uid="{00000000-0005-0000-0000-0000A3C10000}"/>
    <cellStyle name="Separador de milhares 2 6 4" xfId="19271" xr:uid="{00000000-0005-0000-0000-0000A4C10000}"/>
    <cellStyle name="Separador de milhares 2 6 5" xfId="37905" xr:uid="{00000000-0005-0000-0000-0000A5C10000}"/>
    <cellStyle name="Separador de milhares 2 7" xfId="9501" xr:uid="{00000000-0005-0000-0000-0000A6C10000}"/>
    <cellStyle name="Separador de milhares 2 7 2" xfId="14170" xr:uid="{00000000-0005-0000-0000-0000A7C10000}"/>
    <cellStyle name="Separador de milhares 2 7 2 2" xfId="37648" xr:uid="{00000000-0005-0000-0000-0000A8C10000}"/>
    <cellStyle name="Separador de milhares 2 7 2 3" xfId="28333" xr:uid="{00000000-0005-0000-0000-0000A9C10000}"/>
    <cellStyle name="Separador de milhares 2 7 2 4" xfId="51597" xr:uid="{00000000-0005-0000-0000-0000AAC10000}"/>
    <cellStyle name="Separador de milhares 2 7 3" xfId="18880" xr:uid="{00000000-0005-0000-0000-0000ABC10000}"/>
    <cellStyle name="Separador de milhares 2 7 3 2" xfId="33013" xr:uid="{00000000-0005-0000-0000-0000ACC10000}"/>
    <cellStyle name="Separador de milhares 2 7 3 3" xfId="46916" xr:uid="{00000000-0005-0000-0000-0000ADC10000}"/>
    <cellStyle name="Separador de milhares 2 7 4" xfId="23699" xr:uid="{00000000-0005-0000-0000-0000AEC10000}"/>
    <cellStyle name="Separador de milhares 2 7 5" xfId="42286" xr:uid="{00000000-0005-0000-0000-0000AFC10000}"/>
    <cellStyle name="Separador de milhares 2 8" xfId="9540" xr:uid="{00000000-0005-0000-0000-0000B0C10000}"/>
    <cellStyle name="Separador de milhares 2 8 2" xfId="14205" xr:uid="{00000000-0005-0000-0000-0000B1C10000}"/>
    <cellStyle name="Separador de milhares 2 8 2 2" xfId="37680" xr:uid="{00000000-0005-0000-0000-0000B2C10000}"/>
    <cellStyle name="Separador de milhares 2 8 2 3" xfId="28365" xr:uid="{00000000-0005-0000-0000-0000B3C10000}"/>
    <cellStyle name="Separador de milhares 2 8 2 4" xfId="51633" xr:uid="{00000000-0005-0000-0000-0000B4C10000}"/>
    <cellStyle name="Separador de milhares 2 8 3" xfId="18914" xr:uid="{00000000-0005-0000-0000-0000B5C10000}"/>
    <cellStyle name="Separador de milhares 2 8 3 2" xfId="33044" xr:uid="{00000000-0005-0000-0000-0000B6C10000}"/>
    <cellStyle name="Separador de milhares 2 8 3 3" xfId="46953" xr:uid="{00000000-0005-0000-0000-0000B7C10000}"/>
    <cellStyle name="Separador de milhares 2 8 4" xfId="23732" xr:uid="{00000000-0005-0000-0000-0000B8C10000}"/>
    <cellStyle name="Separador de milhares 2 8 5" xfId="42317" xr:uid="{00000000-0005-0000-0000-0000B9C10000}"/>
    <cellStyle name="Separador de milhares 2 9" xfId="9626" xr:uid="{00000000-0005-0000-0000-0000BAC10000}"/>
    <cellStyle name="Separador de milhares 2 9 2" xfId="33121" xr:uid="{00000000-0005-0000-0000-0000BBC10000}"/>
    <cellStyle name="Separador de milhares 2 9 3" xfId="23809" xr:uid="{00000000-0005-0000-0000-0000BCC10000}"/>
    <cellStyle name="Separador de milhares 2 9 4" xfId="47062" xr:uid="{00000000-0005-0000-0000-0000BDC10000}"/>
    <cellStyle name="Separador de milhares 2_PlanilhaCusto" xfId="8358" xr:uid="{00000000-0005-0000-0000-0000BEC10000}"/>
    <cellStyle name="Separador de milhares 3" xfId="20" xr:uid="{00000000-0005-0000-0000-0000BFC10000}"/>
    <cellStyle name="Separador de milhares 3 2" xfId="459" xr:uid="{00000000-0005-0000-0000-0000C0C10000}"/>
    <cellStyle name="Separador de milhares 3 2 2" xfId="8359" xr:uid="{00000000-0005-0000-0000-0000C1C10000}"/>
    <cellStyle name="Separador de milhares 3 2 3" xfId="8360" xr:uid="{00000000-0005-0000-0000-0000C2C10000}"/>
    <cellStyle name="Separador de milhares 3 2 4" xfId="9702" xr:uid="{00000000-0005-0000-0000-0000C3C10000}"/>
    <cellStyle name="Separador de milhares 3 2 4 2" xfId="33193" xr:uid="{00000000-0005-0000-0000-0000C4C10000}"/>
    <cellStyle name="Separador de milhares 3 2 4 3" xfId="23878" xr:uid="{00000000-0005-0000-0000-0000C5C10000}"/>
    <cellStyle name="Separador de milhares 3 2 4 4" xfId="47136" xr:uid="{00000000-0005-0000-0000-0000C6C10000}"/>
    <cellStyle name="Separador de milhares 3 2 5" xfId="14462" xr:uid="{00000000-0005-0000-0000-0000C7C10000}"/>
    <cellStyle name="Separador de milhares 3 2 5 2" xfId="28594" xr:uid="{00000000-0005-0000-0000-0000C8C10000}"/>
    <cellStyle name="Separador de milhares 3 2 5 3" xfId="42474" xr:uid="{00000000-0005-0000-0000-0000C9C10000}"/>
    <cellStyle name="Separador de milhares 3 2 6" xfId="19274" xr:uid="{00000000-0005-0000-0000-0000CAC10000}"/>
    <cellStyle name="Separador de milhares 3 2 7" xfId="37908" xr:uid="{00000000-0005-0000-0000-0000CBC10000}"/>
    <cellStyle name="Separador de milhares 3 3" xfId="8361" xr:uid="{00000000-0005-0000-0000-0000CCC10000}"/>
    <cellStyle name="Separador de milhares 3 4" xfId="8362" xr:uid="{00000000-0005-0000-0000-0000CDC10000}"/>
    <cellStyle name="Separador de milhares 3 5" xfId="458" xr:uid="{00000000-0005-0000-0000-0000CEC10000}"/>
    <cellStyle name="Separador de milhares 3 5 2" xfId="9701" xr:uid="{00000000-0005-0000-0000-0000CFC10000}"/>
    <cellStyle name="Separador de milhares 3 5 2 2" xfId="33192" xr:uid="{00000000-0005-0000-0000-0000D0C10000}"/>
    <cellStyle name="Separador de milhares 3 5 2 3" xfId="23877" xr:uid="{00000000-0005-0000-0000-0000D1C10000}"/>
    <cellStyle name="Separador de milhares 3 5 2 4" xfId="47135" xr:uid="{00000000-0005-0000-0000-0000D2C10000}"/>
    <cellStyle name="Separador de milhares 3 5 3" xfId="14461" xr:uid="{00000000-0005-0000-0000-0000D3C10000}"/>
    <cellStyle name="Separador de milhares 3 5 3 2" xfId="28593" xr:uid="{00000000-0005-0000-0000-0000D4C10000}"/>
    <cellStyle name="Separador de milhares 3 5 3 3" xfId="42473" xr:uid="{00000000-0005-0000-0000-0000D5C10000}"/>
    <cellStyle name="Separador de milhares 3 5 4" xfId="19273" xr:uid="{00000000-0005-0000-0000-0000D6C10000}"/>
    <cellStyle name="Separador de milhares 3 5 5" xfId="37907" xr:uid="{00000000-0005-0000-0000-0000D7C10000}"/>
    <cellStyle name="Separador de milhares 4" xfId="33" xr:uid="{00000000-0005-0000-0000-0000D8C10000}"/>
    <cellStyle name="Separador de milhares 4 2" xfId="460" xr:uid="{00000000-0005-0000-0000-0000D9C10000}"/>
    <cellStyle name="Separador de milhares 5" xfId="36" xr:uid="{00000000-0005-0000-0000-0000DAC10000}"/>
    <cellStyle name="Separador de milhares 6" xfId="43" xr:uid="{00000000-0005-0000-0000-0000DBC10000}"/>
    <cellStyle name="Separador de milhares 7" xfId="346" xr:uid="{00000000-0005-0000-0000-0000DCC10000}"/>
    <cellStyle name="Separador de milhares 8" xfId="349" xr:uid="{00000000-0005-0000-0000-0000DDC10000}"/>
    <cellStyle name="Separador de milhares 8 2" xfId="9660" xr:uid="{00000000-0005-0000-0000-0000DEC10000}"/>
    <cellStyle name="Separador de milhares 8 2 2" xfId="33151" xr:uid="{00000000-0005-0000-0000-0000DFC10000}"/>
    <cellStyle name="Separador de milhares 8 2 3" xfId="23838" xr:uid="{00000000-0005-0000-0000-0000E0C10000}"/>
    <cellStyle name="Separador de milhares 8 2 4" xfId="47094" xr:uid="{00000000-0005-0000-0000-0000E1C10000}"/>
    <cellStyle name="Separador de milhares 8 3" xfId="14421" xr:uid="{00000000-0005-0000-0000-0000E2C10000}"/>
    <cellStyle name="Separador de milhares 8 3 2" xfId="28552" xr:uid="{00000000-0005-0000-0000-0000E3C10000}"/>
    <cellStyle name="Separador de milhares 8 3 3" xfId="42432" xr:uid="{00000000-0005-0000-0000-0000E4C10000}"/>
    <cellStyle name="Separador de milhares 8 4" xfId="19234" xr:uid="{00000000-0005-0000-0000-0000E5C10000}"/>
    <cellStyle name="Separador de milhares 8 5" xfId="37869" xr:uid="{00000000-0005-0000-0000-0000E6C10000}"/>
    <cellStyle name="Separador de milhares 9" xfId="9459" xr:uid="{00000000-0005-0000-0000-0000E7C10000}"/>
    <cellStyle name="Separador de milhares 9 2" xfId="14131" xr:uid="{00000000-0005-0000-0000-0000E8C10000}"/>
    <cellStyle name="Separador de milhares 9 2 2" xfId="37610" xr:uid="{00000000-0005-0000-0000-0000E9C10000}"/>
    <cellStyle name="Separador de milhares 9 2 3" xfId="28296" xr:uid="{00000000-0005-0000-0000-0000EAC10000}"/>
    <cellStyle name="Separador de milhares 9 2 4" xfId="51559" xr:uid="{00000000-0005-0000-0000-0000EBC10000}"/>
    <cellStyle name="Separador de milhares 9 3" xfId="18843" xr:uid="{00000000-0005-0000-0000-0000ECC10000}"/>
    <cellStyle name="Separador de milhares 9 3 2" xfId="32976" xr:uid="{00000000-0005-0000-0000-0000EDC10000}"/>
    <cellStyle name="Separador de milhares 9 3 3" xfId="46880" xr:uid="{00000000-0005-0000-0000-0000EEC10000}"/>
    <cellStyle name="Separador de milhares 9 4" xfId="23662" xr:uid="{00000000-0005-0000-0000-0000EFC10000}"/>
    <cellStyle name="Separador de milhares 9 5" xfId="42249" xr:uid="{00000000-0005-0000-0000-0000F0C10000}"/>
    <cellStyle name="Standard_4.Coke Oven Facilities_POSCO E&amp;C" xfId="8363" xr:uid="{00000000-0005-0000-0000-0000F1C10000}"/>
    <cellStyle name="STD" xfId="8364" xr:uid="{00000000-0005-0000-0000-0000F2C10000}"/>
    <cellStyle name="STD1" xfId="8365" xr:uid="{00000000-0005-0000-0000-0000F3C10000}"/>
    <cellStyle name="Style 1" xfId="261" xr:uid="{00000000-0005-0000-0000-0000F4C10000}"/>
    <cellStyle name="Style 1 2" xfId="461" xr:uid="{00000000-0005-0000-0000-0000F5C10000}"/>
    <cellStyle name="Sub-3" xfId="8366" xr:uid="{00000000-0005-0000-0000-0000F6C10000}"/>
    <cellStyle name="subhead" xfId="8367" xr:uid="{00000000-0005-0000-0000-0000F7C10000}"/>
    <cellStyle name="SubTitle_Input" xfId="8368" xr:uid="{00000000-0005-0000-0000-0000F8C10000}"/>
    <cellStyle name="Subtotal" xfId="8369" xr:uid="{00000000-0005-0000-0000-0000F9C10000}"/>
    <cellStyle name="Table  - 유형6" xfId="8370" xr:uid="{00000000-0005-0000-0000-0000FAC10000}"/>
    <cellStyle name="Table  - 유형6 2" xfId="14045" xr:uid="{00000000-0005-0000-0000-0000FBC10000}"/>
    <cellStyle name="Table  - 유형6 2 2" xfId="19026" xr:uid="{00000000-0005-0000-0000-0000FCC10000}"/>
    <cellStyle name="Table  - 유형6 2 2 2" xfId="37530" xr:uid="{00000000-0005-0000-0000-0000FDC10000}"/>
    <cellStyle name="Table  - 유형6 2 3" xfId="28211" xr:uid="{00000000-0005-0000-0000-0000FEC10000}"/>
    <cellStyle name="Table  - 유형6 2 4" xfId="51473" xr:uid="{00000000-0005-0000-0000-0000FFC10000}"/>
    <cellStyle name="Table  - 유형6 3" xfId="14278" xr:uid="{00000000-0005-0000-0000-000000C20000}"/>
    <cellStyle name="Table  - 유형6 3 2" xfId="19027" xr:uid="{00000000-0005-0000-0000-000001C20000}"/>
    <cellStyle name="Table  - 유형6 3 2 2" xfId="37753" xr:uid="{00000000-0005-0000-0000-000002C20000}"/>
    <cellStyle name="Table  - 유형6 3 3" xfId="28438" xr:uid="{00000000-0005-0000-0000-000003C20000}"/>
    <cellStyle name="Table  - 유형6 3 4" xfId="51637" xr:uid="{00000000-0005-0000-0000-000004C20000}"/>
    <cellStyle name="Table  - 유형6 4" xfId="46803" xr:uid="{00000000-0005-0000-0000-000005C20000}"/>
    <cellStyle name="Text" xfId="8371" xr:uid="{00000000-0005-0000-0000-000006C20000}"/>
    <cellStyle name="Texto de Aviso 2" xfId="21" xr:uid="{00000000-0005-0000-0000-000007C20000}"/>
    <cellStyle name="Texto de Aviso 2 2" xfId="462" xr:uid="{00000000-0005-0000-0000-000008C20000}"/>
    <cellStyle name="Texto Explicativo 2" xfId="324" xr:uid="{00000000-0005-0000-0000-000009C20000}"/>
    <cellStyle name="Texto Explicativo 2 2" xfId="463" xr:uid="{00000000-0005-0000-0000-00000AC20000}"/>
    <cellStyle name="þ_x001d_ð'&amp;Oy?Hy9_x0008__x000f__x0007_æ_x0007__x0007__x0001__x0001_" xfId="8372" xr:uid="{00000000-0005-0000-0000-00000BC20000}"/>
    <cellStyle name="þ_x001d_ð'&amp;Oy?Hy9_x0008__x000f__x0007_æ_x0007__x0007__x0001__x0001_ 2" xfId="8373" xr:uid="{00000000-0005-0000-0000-00000CC20000}"/>
    <cellStyle name="þ_x001d_ð'&amp;Oy?Hy9_x0008_E_x000c_￠_x000d__x0007__x0001__x0001_" xfId="8374" xr:uid="{00000000-0005-0000-0000-00000DC20000}"/>
    <cellStyle name="þ_x001d_ð'&amp;Oy?Hy9_x0008_E_x000c_￠_x000d__x0007__x0001__x0001_ 2" xfId="8375" xr:uid="{00000000-0005-0000-0000-00000EC20000}"/>
    <cellStyle name="Title" xfId="8376" xr:uid="{00000000-0005-0000-0000-00000FC20000}"/>
    <cellStyle name="Title  - 유형1" xfId="8377" xr:uid="{00000000-0005-0000-0000-000010C20000}"/>
    <cellStyle name="Title_5124 Datasheet Lists 11-05-07" xfId="8378" xr:uid="{00000000-0005-0000-0000-000011C20000}"/>
    <cellStyle name="Titulo 1" xfId="40" xr:uid="{00000000-0005-0000-0000-000012C20000}"/>
    <cellStyle name="Título 1 2" xfId="325" xr:uid="{00000000-0005-0000-0000-000013C20000}"/>
    <cellStyle name="Título 1 2 2" xfId="464" xr:uid="{00000000-0005-0000-0000-000014C20000}"/>
    <cellStyle name="Titulo 2" xfId="41" xr:uid="{00000000-0005-0000-0000-000015C20000}"/>
    <cellStyle name="Título 2 2" xfId="326" xr:uid="{00000000-0005-0000-0000-000016C20000}"/>
    <cellStyle name="Título 2 2 2" xfId="465" xr:uid="{00000000-0005-0000-0000-000017C20000}"/>
    <cellStyle name="Título 3 2" xfId="327" xr:uid="{00000000-0005-0000-0000-000018C20000}"/>
    <cellStyle name="Título 3 2 2" xfId="466" xr:uid="{00000000-0005-0000-0000-000019C20000}"/>
    <cellStyle name="Título 3 2 2 2" xfId="9703" xr:uid="{00000000-0005-0000-0000-00001AC20000}"/>
    <cellStyle name="Título 3 2 2 2 2" xfId="23879" xr:uid="{00000000-0005-0000-0000-00001BC20000}"/>
    <cellStyle name="Título 3 2 2 3" xfId="19275" xr:uid="{00000000-0005-0000-0000-00001CC20000}"/>
    <cellStyle name="Título 3 2 3" xfId="9541" xr:uid="{00000000-0005-0000-0000-00001DC20000}"/>
    <cellStyle name="Título 3 2 3 2" xfId="18915" xr:uid="{00000000-0005-0000-0000-00001EC20000}"/>
    <cellStyle name="Título 4 2" xfId="328" xr:uid="{00000000-0005-0000-0000-00001FC20000}"/>
    <cellStyle name="Título 4 2 2" xfId="467" xr:uid="{00000000-0005-0000-0000-000020C20000}"/>
    <cellStyle name="Título 5" xfId="329" xr:uid="{00000000-0005-0000-0000-000021C20000}"/>
    <cellStyle name="Título 5 2" xfId="468" xr:uid="{00000000-0005-0000-0000-000022C20000}"/>
    <cellStyle name="Titulo1" xfId="262" xr:uid="{00000000-0005-0000-0000-000023C20000}"/>
    <cellStyle name="Titulo1 2" xfId="8379" xr:uid="{00000000-0005-0000-0000-000024C20000}"/>
    <cellStyle name="Titulo2" xfId="263" xr:uid="{00000000-0005-0000-0000-000025C20000}"/>
    <cellStyle name="Titulo2 2" xfId="8380" xr:uid="{00000000-0005-0000-0000-000026C20000}"/>
    <cellStyle name="Total 2" xfId="22" xr:uid="{00000000-0005-0000-0000-000027C20000}"/>
    <cellStyle name="Total 2 2" xfId="8381" xr:uid="{00000000-0005-0000-0000-000028C20000}"/>
    <cellStyle name="Total 2 2 2" xfId="51474" xr:uid="{00000000-0005-0000-0000-000029C20000}"/>
    <cellStyle name="Total 2 2 3" xfId="46804" xr:uid="{00000000-0005-0000-0000-00002AC20000}"/>
    <cellStyle name="Total 2 3" xfId="9502" xr:uid="{00000000-0005-0000-0000-00002BC20000}"/>
    <cellStyle name="Total 2 3 2" xfId="14171" xr:uid="{00000000-0005-0000-0000-00002CC20000}"/>
    <cellStyle name="Total 2 3 2 2" xfId="37649" xr:uid="{00000000-0005-0000-0000-00002DC20000}"/>
    <cellStyle name="Total 2 3 2 3" xfId="28334" xr:uid="{00000000-0005-0000-0000-00002EC20000}"/>
    <cellStyle name="Total 2 3 2 4" xfId="51598" xr:uid="{00000000-0005-0000-0000-00002FC20000}"/>
    <cellStyle name="Total 2 3 3" xfId="14350" xr:uid="{00000000-0005-0000-0000-000030C20000}"/>
    <cellStyle name="Total 2 3 3 2" xfId="19028" xr:uid="{00000000-0005-0000-0000-000031C20000}"/>
    <cellStyle name="Total 2 3 3 2 2" xfId="37825" xr:uid="{00000000-0005-0000-0000-000032C20000}"/>
    <cellStyle name="Total 2 3 3 3" xfId="28510" xr:uid="{00000000-0005-0000-0000-000033C20000}"/>
    <cellStyle name="Total 2 3 3 4" xfId="51659" xr:uid="{00000000-0005-0000-0000-000034C20000}"/>
    <cellStyle name="Total 2 3 4" xfId="18881" xr:uid="{00000000-0005-0000-0000-000035C20000}"/>
    <cellStyle name="Total 2 3 4 2" xfId="19029" xr:uid="{00000000-0005-0000-0000-000036C20000}"/>
    <cellStyle name="Total 2 3 4 3" xfId="33014" xr:uid="{00000000-0005-0000-0000-000037C20000}"/>
    <cellStyle name="Total 2 3 4 4" xfId="46917" xr:uid="{00000000-0005-0000-0000-000038C20000}"/>
    <cellStyle name="Total 2 3 5" xfId="19030" xr:uid="{00000000-0005-0000-0000-000039C20000}"/>
    <cellStyle name="Total 2 3 6" xfId="23700" xr:uid="{00000000-0005-0000-0000-00003AC20000}"/>
    <cellStyle name="Total 2 3 7" xfId="42287" xr:uid="{00000000-0005-0000-0000-00003BC20000}"/>
    <cellStyle name="Total 2 4" xfId="9542" xr:uid="{00000000-0005-0000-0000-00003CC20000}"/>
    <cellStyle name="Total 2 4 2" xfId="14358" xr:uid="{00000000-0005-0000-0000-00003DC20000}"/>
    <cellStyle name="Total 2 4 2 2" xfId="19031" xr:uid="{00000000-0005-0000-0000-00003EC20000}"/>
    <cellStyle name="Total 2 4 2 2 2" xfId="37833" xr:uid="{00000000-0005-0000-0000-00003FC20000}"/>
    <cellStyle name="Total 2 4 2 3" xfId="28518" xr:uid="{00000000-0005-0000-0000-000040C20000}"/>
    <cellStyle name="Total 2 4 2 4" xfId="51634" xr:uid="{00000000-0005-0000-0000-000041C20000}"/>
    <cellStyle name="Total 2 4 3" xfId="18916" xr:uid="{00000000-0005-0000-0000-000042C20000}"/>
    <cellStyle name="Total 2 4 3 2" xfId="19032" xr:uid="{00000000-0005-0000-0000-000043C20000}"/>
    <cellStyle name="Total 2 4 3 3" xfId="51665" xr:uid="{00000000-0005-0000-0000-000044C20000}"/>
    <cellStyle name="Total 2 4 4" xfId="23733" xr:uid="{00000000-0005-0000-0000-000045C20000}"/>
    <cellStyle name="Total 2 4 4 2" xfId="46954" xr:uid="{00000000-0005-0000-0000-000046C20000}"/>
    <cellStyle name="Total 2 4 5" xfId="42318" xr:uid="{00000000-0005-0000-0000-000047C20000}"/>
    <cellStyle name="Total 2 5" xfId="14114" xr:uid="{00000000-0005-0000-0000-000048C20000}"/>
    <cellStyle name="Total 2 5 2" xfId="19033" xr:uid="{00000000-0005-0000-0000-000049C20000}"/>
    <cellStyle name="Total 2 5 2 2" xfId="37596" xr:uid="{00000000-0005-0000-0000-00004AC20000}"/>
    <cellStyle name="Total 2 5 3" xfId="28279" xr:uid="{00000000-0005-0000-0000-00004BC20000}"/>
    <cellStyle name="Total 2 5 4" xfId="47063" xr:uid="{00000000-0005-0000-0000-00004CC20000}"/>
    <cellStyle name="Total 2 6" xfId="14392" xr:uid="{00000000-0005-0000-0000-00004DC20000}"/>
    <cellStyle name="Total 2 6 2" xfId="19034" xr:uid="{00000000-0005-0000-0000-00004EC20000}"/>
    <cellStyle name="Total 2 6 3" xfId="28524" xr:uid="{00000000-0005-0000-0000-00004FC20000}"/>
    <cellStyle name="Total 2 6 4" xfId="51542" xr:uid="{00000000-0005-0000-0000-000050C20000}"/>
    <cellStyle name="Total 2 7" xfId="19205" xr:uid="{00000000-0005-0000-0000-000051C20000}"/>
    <cellStyle name="Total 2 7 2" xfId="42397" xr:uid="{00000000-0005-0000-0000-000052C20000}"/>
    <cellStyle name="Total 2 8" xfId="37840" xr:uid="{00000000-0005-0000-0000-000053C20000}"/>
    <cellStyle name="Total 3" xfId="8382" xr:uid="{00000000-0005-0000-0000-000054C20000}"/>
    <cellStyle name="Total 3 2" xfId="51475" xr:uid="{00000000-0005-0000-0000-000055C20000}"/>
    <cellStyle name="Total 3 3" xfId="46805" xr:uid="{00000000-0005-0000-0000-000056C20000}"/>
    <cellStyle name="Total 4" xfId="8383" xr:uid="{00000000-0005-0000-0000-000057C20000}"/>
    <cellStyle name="Total 4 2" xfId="51476" xr:uid="{00000000-0005-0000-0000-000058C20000}"/>
    <cellStyle name="Total 4 3" xfId="46806" xr:uid="{00000000-0005-0000-0000-000059C20000}"/>
    <cellStyle name="TotCol - 유형5" xfId="8384" xr:uid="{00000000-0005-0000-0000-00005AC20000}"/>
    <cellStyle name="TotRow - 유형4" xfId="8385" xr:uid="{00000000-0005-0000-0000-00005BC20000}"/>
    <cellStyle name="TotRow - 유형4 2" xfId="14046" xr:uid="{00000000-0005-0000-0000-00005CC20000}"/>
    <cellStyle name="TotRow - 유형4 2 2" xfId="19035" xr:uid="{00000000-0005-0000-0000-00005DC20000}"/>
    <cellStyle name="TotRow - 유형4 2 2 2" xfId="37531" xr:uid="{00000000-0005-0000-0000-00005EC20000}"/>
    <cellStyle name="TotRow - 유형4 2 3" xfId="28212" xr:uid="{00000000-0005-0000-0000-00005FC20000}"/>
    <cellStyle name="TotRow - 유형4 2 4" xfId="51477" xr:uid="{00000000-0005-0000-0000-000060C20000}"/>
    <cellStyle name="TotRow - 유형4 3" xfId="14279" xr:uid="{00000000-0005-0000-0000-000061C20000}"/>
    <cellStyle name="TotRow - 유형4 3 2" xfId="19036" xr:uid="{00000000-0005-0000-0000-000062C20000}"/>
    <cellStyle name="TotRow - 유형4 3 2 2" xfId="37754" xr:uid="{00000000-0005-0000-0000-000063C20000}"/>
    <cellStyle name="TotRow - 유형4 3 3" xfId="28439" xr:uid="{00000000-0005-0000-0000-000064C20000}"/>
    <cellStyle name="TotRow - 유형4 3 4" xfId="51638" xr:uid="{00000000-0005-0000-0000-000065C20000}"/>
    <cellStyle name="TotRow - 유형4 4" xfId="46807" xr:uid="{00000000-0005-0000-0000-000066C20000}"/>
    <cellStyle name="tuals" xfId="8386" xr:uid="{00000000-0005-0000-0000-000067C20000}"/>
    <cellStyle name="Tusental (0)_pldt" xfId="8387" xr:uid="{00000000-0005-0000-0000-000068C20000}"/>
    <cellStyle name="Tusental_pldt" xfId="8388" xr:uid="{00000000-0005-0000-0000-000069C20000}"/>
    <cellStyle name="TV ??r ?_x0002_U??_x0012_U??&quot;U??2U??BU??RU??bU??rU??괮??뭊??줦_x000e_`?쾇$`?헧&lt;`??_x0008_@??_x001e_@??:@?_x0002_VP@?_x0012_V`@?&quot;Vt@?2V??BV??RV??bV??rVP`?괯n`?뭋`?줧??쾈??헩_x0012_곞_x0010_?(곞_x0010_?D곞_x0010_?T곞_x0010__x0002_Wl곞_x0010__x0012_W??&quot;W??2W? " xfId="8389" xr:uid="{00000000-0005-0000-0000-00006AC20000}"/>
    <cellStyle name="TV ??r ?_x0002_U??_x0012_U??&quot;U??2U??BU??RU??bU??rU??괮??뭊??줦_x000e_`?쾇$`?헧&lt;`??_x0008_@??_x001e_@??:@?_x0002_VP@?_x0012_V`@?&quot;Vt@?2V??BV??RV??bV??rVP`?괯n`?뭋`?줧??쾈??헩_x0012_곞_x0010_?(곞_x0010_?D곞_x0010_?T곞_x0010__x0002_Wl곞_x0010__x0012_W??&quot;W??2W?  2" xfId="8390" xr:uid="{00000000-0005-0000-0000-00006BC20000}"/>
    <cellStyle name="UM" xfId="8391" xr:uid="{00000000-0005-0000-0000-00006CC20000}"/>
    <cellStyle name="V??BV??RV??bV??rVP`?괯n`?뭋`?줧??쾈 " xfId="8392" xr:uid="{00000000-0005-0000-0000-00006DC20000}"/>
    <cellStyle name="Valuta (0)_2033lstI003010" xfId="8393" xr:uid="{00000000-0005-0000-0000-00006EC20000}"/>
    <cellStyle name="Valuta_32839016" xfId="8394" xr:uid="{00000000-0005-0000-0000-00006FC20000}"/>
    <cellStyle name="Vírgula" xfId="23" builtinId="3"/>
    <cellStyle name="Vírgula 10" xfId="51674" xr:uid="{00000000-0005-0000-0000-000071C20000}"/>
    <cellStyle name="Vírgula 10 2" xfId="51776" xr:uid="{00000000-0005-0000-0000-000072C20000}"/>
    <cellStyle name="Vírgula 11" xfId="51697" xr:uid="{00000000-0005-0000-0000-000073C20000}"/>
    <cellStyle name="Vírgula 12" xfId="51718" xr:uid="{00000000-0005-0000-0000-000074C20000}"/>
    <cellStyle name="Vírgula 13" xfId="51743" xr:uid="{00000000-0005-0000-0000-000075C20000}"/>
    <cellStyle name="Vírgula 14" xfId="51750" xr:uid="{00000000-0005-0000-0000-000076C20000}"/>
    <cellStyle name="Vírgula 15" xfId="51752" xr:uid="{00000000-0005-0000-0000-000077C20000}"/>
    <cellStyle name="Vírgula 16" xfId="51758" xr:uid="{00000000-0005-0000-0000-000078C20000}"/>
    <cellStyle name="Vírgula 17" xfId="51764" xr:uid="{00000000-0005-0000-0000-000079C20000}"/>
    <cellStyle name="Vírgula 18" xfId="51769" xr:uid="{00000000-0005-0000-0000-00007AC20000}"/>
    <cellStyle name="Vírgula 19" xfId="51785" xr:uid="{00000000-0005-0000-0000-00007BC20000}"/>
    <cellStyle name="Vírgula 2" xfId="264" xr:uid="{00000000-0005-0000-0000-00007CC20000}"/>
    <cellStyle name="Vírgula 2 2" xfId="470" xr:uid="{00000000-0005-0000-0000-00007DC20000}"/>
    <cellStyle name="Vírgula 2 2 2" xfId="8395" xr:uid="{00000000-0005-0000-0000-00007EC20000}"/>
    <cellStyle name="Vírgula 2 2 2 2" xfId="9593" xr:uid="{00000000-0005-0000-0000-00007FC20000}"/>
    <cellStyle name="Vírgula 2 2 3" xfId="8396" xr:uid="{00000000-0005-0000-0000-000080C20000}"/>
    <cellStyle name="Vírgula 2 3" xfId="471" xr:uid="{00000000-0005-0000-0000-000081C20000}"/>
    <cellStyle name="Vírgula 2 3 2" xfId="9594" xr:uid="{00000000-0005-0000-0000-000082C20000}"/>
    <cellStyle name="Vírgula 2 3 3" xfId="9705" xr:uid="{00000000-0005-0000-0000-000083C20000}"/>
    <cellStyle name="Vírgula 2 3 3 2" xfId="33195" xr:uid="{00000000-0005-0000-0000-000084C20000}"/>
    <cellStyle name="Vírgula 2 3 3 3" xfId="23881" xr:uid="{00000000-0005-0000-0000-000085C20000}"/>
    <cellStyle name="Vírgula 2 3 3 4" xfId="47138" xr:uid="{00000000-0005-0000-0000-000086C20000}"/>
    <cellStyle name="Vírgula 2 3 4" xfId="14464" xr:uid="{00000000-0005-0000-0000-000087C20000}"/>
    <cellStyle name="Vírgula 2 3 4 2" xfId="18917" xr:uid="{00000000-0005-0000-0000-000088C20000}"/>
    <cellStyle name="Vírgula 2 3 4 3" xfId="28596" xr:uid="{00000000-0005-0000-0000-000089C20000}"/>
    <cellStyle name="Vírgula 2 3 4 4" xfId="42476" xr:uid="{00000000-0005-0000-0000-00008AC20000}"/>
    <cellStyle name="Vírgula 2 3 5" xfId="19277" xr:uid="{00000000-0005-0000-0000-00008BC20000}"/>
    <cellStyle name="Vírgula 2 3 6" xfId="37910" xr:uid="{00000000-0005-0000-0000-00008CC20000}"/>
    <cellStyle name="Vírgula 2 4" xfId="8397" xr:uid="{00000000-0005-0000-0000-00008DC20000}"/>
    <cellStyle name="Vírgula 2 5" xfId="8398" xr:uid="{00000000-0005-0000-0000-00008EC20000}"/>
    <cellStyle name="Vírgula 2 5 2" xfId="14047" xr:uid="{00000000-0005-0000-0000-00008FC20000}"/>
    <cellStyle name="Vírgula 2 5 2 2" xfId="37532" xr:uid="{00000000-0005-0000-0000-000090C20000}"/>
    <cellStyle name="Vírgula 2 5 2 3" xfId="28213" xr:uid="{00000000-0005-0000-0000-000091C20000}"/>
    <cellStyle name="Vírgula 2 5 2 4" xfId="51478" xr:uid="{00000000-0005-0000-0000-000092C20000}"/>
    <cellStyle name="Vírgula 2 5 3" xfId="18776" xr:uid="{00000000-0005-0000-0000-000093C20000}"/>
    <cellStyle name="Vírgula 2 5 3 2" xfId="32908" xr:uid="{00000000-0005-0000-0000-000094C20000}"/>
    <cellStyle name="Vírgula 2 5 3 3" xfId="46808" xr:uid="{00000000-0005-0000-0000-000095C20000}"/>
    <cellStyle name="Vírgula 2 5 4" xfId="23589" xr:uid="{00000000-0005-0000-0000-000096C20000}"/>
    <cellStyle name="Vírgula 2 5 5" xfId="42219" xr:uid="{00000000-0005-0000-0000-000097C20000}"/>
    <cellStyle name="Vírgula 2 6" xfId="469" xr:uid="{00000000-0005-0000-0000-000098C20000}"/>
    <cellStyle name="Vírgula 2 6 2" xfId="9704" xr:uid="{00000000-0005-0000-0000-000099C20000}"/>
    <cellStyle name="Vírgula 2 6 2 2" xfId="33194" xr:uid="{00000000-0005-0000-0000-00009AC20000}"/>
    <cellStyle name="Vírgula 2 6 2 3" xfId="23880" xr:uid="{00000000-0005-0000-0000-00009BC20000}"/>
    <cellStyle name="Vírgula 2 6 2 4" xfId="47137" xr:uid="{00000000-0005-0000-0000-00009CC20000}"/>
    <cellStyle name="Vírgula 2 6 3" xfId="14463" xr:uid="{00000000-0005-0000-0000-00009DC20000}"/>
    <cellStyle name="Vírgula 2 6 3 2" xfId="28595" xr:uid="{00000000-0005-0000-0000-00009EC20000}"/>
    <cellStyle name="Vírgula 2 6 3 3" xfId="42475" xr:uid="{00000000-0005-0000-0000-00009FC20000}"/>
    <cellStyle name="Vírgula 2 6 4" xfId="19276" xr:uid="{00000000-0005-0000-0000-0000A0C20000}"/>
    <cellStyle name="Vírgula 2 6 5" xfId="37909" xr:uid="{00000000-0005-0000-0000-0000A1C20000}"/>
    <cellStyle name="Vírgula 2 7" xfId="9546" xr:uid="{00000000-0005-0000-0000-0000A2C20000}"/>
    <cellStyle name="Vírgula 20" xfId="51800" xr:uid="{00000000-0005-0000-0000-0000A3C20000}"/>
    <cellStyle name="Vírgula 3" xfId="472" xr:uid="{00000000-0005-0000-0000-0000A4C20000}"/>
    <cellStyle name="Vírgula 3 2" xfId="9595" xr:uid="{00000000-0005-0000-0000-0000A5C20000}"/>
    <cellStyle name="Vírgula 3 2 2" xfId="9596" xr:uid="{00000000-0005-0000-0000-0000A6C20000}"/>
    <cellStyle name="Vírgula 3 2 2 2" xfId="14252" xr:uid="{00000000-0005-0000-0000-0000A7C20000}"/>
    <cellStyle name="Vírgula 3 2 2 2 2" xfId="37727" xr:uid="{00000000-0005-0000-0000-0000A8C20000}"/>
    <cellStyle name="Vírgula 3 2 2 2 3" xfId="28412" xr:uid="{00000000-0005-0000-0000-0000A9C20000}"/>
    <cellStyle name="Vírgula 3 2 2 2 4" xfId="47001" xr:uid="{00000000-0005-0000-0000-0000AAC20000}"/>
    <cellStyle name="Vírgula 3 2 2 3" xfId="33091" xr:uid="{00000000-0005-0000-0000-0000ABC20000}"/>
    <cellStyle name="Vírgula 3 2 2 4" xfId="23780" xr:uid="{00000000-0005-0000-0000-0000ACC20000}"/>
    <cellStyle name="Vírgula 3 2 2 5" xfId="42365" xr:uid="{00000000-0005-0000-0000-0000ADC20000}"/>
    <cellStyle name="Vírgula 3 2 3" xfId="14251" xr:uid="{00000000-0005-0000-0000-0000AEC20000}"/>
    <cellStyle name="Vírgula 3 2 3 2" xfId="37726" xr:uid="{00000000-0005-0000-0000-0000AFC20000}"/>
    <cellStyle name="Vírgula 3 2 3 3" xfId="28411" xr:uid="{00000000-0005-0000-0000-0000B0C20000}"/>
    <cellStyle name="Vírgula 3 2 3 4" xfId="47000" xr:uid="{00000000-0005-0000-0000-0000B1C20000}"/>
    <cellStyle name="Vírgula 3 2 4" xfId="33090" xr:uid="{00000000-0005-0000-0000-0000B2C20000}"/>
    <cellStyle name="Vírgula 3 2 5" xfId="23779" xr:uid="{00000000-0005-0000-0000-0000B3C20000}"/>
    <cellStyle name="Vírgula 3 2 6" xfId="42364" xr:uid="{00000000-0005-0000-0000-0000B4C20000}"/>
    <cellStyle name="Vírgula 3 3" xfId="9597" xr:uid="{00000000-0005-0000-0000-0000B5C20000}"/>
    <cellStyle name="Vírgula 3 3 2" xfId="14253" xr:uid="{00000000-0005-0000-0000-0000B6C20000}"/>
    <cellStyle name="Vírgula 3 3 2 2" xfId="37728" xr:uid="{00000000-0005-0000-0000-0000B7C20000}"/>
    <cellStyle name="Vírgula 3 3 2 3" xfId="28413" xr:uid="{00000000-0005-0000-0000-0000B8C20000}"/>
    <cellStyle name="Vírgula 3 3 2 4" xfId="47002" xr:uid="{00000000-0005-0000-0000-0000B9C20000}"/>
    <cellStyle name="Vírgula 3 3 3" xfId="33092" xr:uid="{00000000-0005-0000-0000-0000BAC20000}"/>
    <cellStyle name="Vírgula 3 3 4" xfId="23781" xr:uid="{00000000-0005-0000-0000-0000BBC20000}"/>
    <cellStyle name="Vírgula 3 3 5" xfId="42366" xr:uid="{00000000-0005-0000-0000-0000BCC20000}"/>
    <cellStyle name="Vírgula 3 4" xfId="51745" xr:uid="{00000000-0005-0000-0000-0000BDC20000}"/>
    <cellStyle name="Vírgula 4" xfId="8399" xr:uid="{00000000-0005-0000-0000-0000BEC20000}"/>
    <cellStyle name="Vírgula 4 2" xfId="9598" xr:uid="{00000000-0005-0000-0000-0000BFC20000}"/>
    <cellStyle name="Vírgula 4 2 2" xfId="14254" xr:uid="{00000000-0005-0000-0000-0000C0C20000}"/>
    <cellStyle name="Vírgula 4 2 2 2" xfId="37729" xr:uid="{00000000-0005-0000-0000-0000C1C20000}"/>
    <cellStyle name="Vírgula 4 2 2 3" xfId="28414" xr:uid="{00000000-0005-0000-0000-0000C2C20000}"/>
    <cellStyle name="Vírgula 4 2 2 4" xfId="47003" xr:uid="{00000000-0005-0000-0000-0000C3C20000}"/>
    <cellStyle name="Vírgula 4 2 3" xfId="33093" xr:uid="{00000000-0005-0000-0000-0000C4C20000}"/>
    <cellStyle name="Vírgula 4 2 4" xfId="23782" xr:uid="{00000000-0005-0000-0000-0000C5C20000}"/>
    <cellStyle name="Vírgula 4 2 5" xfId="42367" xr:uid="{00000000-0005-0000-0000-0000C6C20000}"/>
    <cellStyle name="Vírgula 5" xfId="8400" xr:uid="{00000000-0005-0000-0000-0000C7C20000}"/>
    <cellStyle name="Vírgula 5 2" xfId="8401" xr:uid="{00000000-0005-0000-0000-0000C8C20000}"/>
    <cellStyle name="Vírgula 5 2 2" xfId="14048" xr:uid="{00000000-0005-0000-0000-0000C9C20000}"/>
    <cellStyle name="Vírgula 5 2 2 2" xfId="37533" xr:uid="{00000000-0005-0000-0000-0000CAC20000}"/>
    <cellStyle name="Vírgula 5 2 2 3" xfId="28214" xr:uid="{00000000-0005-0000-0000-0000CBC20000}"/>
    <cellStyle name="Vírgula 5 2 2 4" xfId="51479" xr:uid="{00000000-0005-0000-0000-0000CCC20000}"/>
    <cellStyle name="Vírgula 5 2 3" xfId="18777" xr:uid="{00000000-0005-0000-0000-0000CDC20000}"/>
    <cellStyle name="Vírgula 5 2 3 2" xfId="32909" xr:uid="{00000000-0005-0000-0000-0000CEC20000}"/>
    <cellStyle name="Vírgula 5 2 3 3" xfId="46809" xr:uid="{00000000-0005-0000-0000-0000CFC20000}"/>
    <cellStyle name="Vírgula 5 2 4" xfId="23590" xr:uid="{00000000-0005-0000-0000-0000D0C20000}"/>
    <cellStyle name="Vírgula 5 2 5" xfId="42220" xr:uid="{00000000-0005-0000-0000-0000D1C20000}"/>
    <cellStyle name="Vírgula 5 3" xfId="51747" xr:uid="{00000000-0005-0000-0000-0000D2C20000}"/>
    <cellStyle name="Vírgula 6" xfId="474" xr:uid="{00000000-0005-0000-0000-0000D3C20000}"/>
    <cellStyle name="Vírgula 6 2" xfId="8402" xr:uid="{00000000-0005-0000-0000-0000D4C20000}"/>
    <cellStyle name="Vírgula 6 2 2" xfId="14049" xr:uid="{00000000-0005-0000-0000-0000D5C20000}"/>
    <cellStyle name="Vírgula 6 2 2 2" xfId="37534" xr:uid="{00000000-0005-0000-0000-0000D6C20000}"/>
    <cellStyle name="Vírgula 6 2 2 3" xfId="28215" xr:uid="{00000000-0005-0000-0000-0000D7C20000}"/>
    <cellStyle name="Vírgula 6 2 2 4" xfId="51480" xr:uid="{00000000-0005-0000-0000-0000D8C20000}"/>
    <cellStyle name="Vírgula 6 2 3" xfId="18778" xr:uid="{00000000-0005-0000-0000-0000D9C20000}"/>
    <cellStyle name="Vírgula 6 2 3 2" xfId="32910" xr:uid="{00000000-0005-0000-0000-0000DAC20000}"/>
    <cellStyle name="Vírgula 6 2 3 3" xfId="46810" xr:uid="{00000000-0005-0000-0000-0000DBC20000}"/>
    <cellStyle name="Vírgula 6 2 4" xfId="23591" xr:uid="{00000000-0005-0000-0000-0000DCC20000}"/>
    <cellStyle name="Vírgula 6 2 5" xfId="42221" xr:uid="{00000000-0005-0000-0000-0000DDC20000}"/>
    <cellStyle name="Vírgula 7" xfId="14368" xr:uid="{00000000-0005-0000-0000-0000DEC20000}"/>
    <cellStyle name="Vírgula 8" xfId="14372" xr:uid="{00000000-0005-0000-0000-0000DFC20000}"/>
    <cellStyle name="Vírgula 9" xfId="14375" xr:uid="{00000000-0005-0000-0000-0000E0C20000}"/>
    <cellStyle name="W?rung [0]_KHI_KAB1" xfId="8403" xr:uid="{00000000-0005-0000-0000-0000E1C20000}"/>
    <cellStyle name="W?rung_KHI_KAB1" xfId="8404" xr:uid="{00000000-0005-0000-0000-0000E2C20000}"/>
    <cellStyle name="Währung [0]_laroux" xfId="8405" xr:uid="{00000000-0005-0000-0000-0000E3C20000}"/>
    <cellStyle name="Währung_laroux" xfId="8406" xr:uid="{00000000-0005-0000-0000-0000E4C20000}"/>
    <cellStyle name="Warning Text" xfId="8407" xr:uid="{00000000-0005-0000-0000-0000E5C20000}"/>
    <cellStyle name="wrap" xfId="8408" xr:uid="{00000000-0005-0000-0000-0000E6C20000}"/>
    <cellStyle name="Zentriert_TM_DBLATT" xfId="8409" xr:uid="{00000000-0005-0000-0000-0000E7C20000}"/>
    <cellStyle name="ƸōዊbǜōዚbǸōዪbɄōዺb쉀ōጊb쉬ōጚb슔ōጪb싀ōጺb쌐ōፊbɤōፚbʀō፪bʘō፺bʼōᎊb˜ō᎚b쌼ōᎪb쎄ōᎺb쎨ōᏊb쏄ōᏚb쏜ōᏪb̀ōᏺb̤ōᐊb͔ōᐚb΀ōᐪbΰōᐺb쏸ō" xfId="8410" xr:uid="{00000000-0005-0000-0000-0000E8C20000}"/>
    <cellStyle name="Βασικό_GT1-KOMOTINI" xfId="8411" xr:uid="{00000000-0005-0000-0000-0000E9C20000}"/>
    <cellStyle name="μU¿¡ ¿A´A CIAIÆU¸μAⓒ" xfId="8412" xr:uid="{00000000-0005-0000-0000-0000EAC20000}"/>
    <cellStyle name="アクセント 1" xfId="8413" xr:uid="{00000000-0005-0000-0000-0000EBC20000}"/>
    <cellStyle name="アクセント 1 2" xfId="8414" xr:uid="{00000000-0005-0000-0000-0000ECC20000}"/>
    <cellStyle name="アクセント 1 2 2" xfId="8415" xr:uid="{00000000-0005-0000-0000-0000EDC20000}"/>
    <cellStyle name="アクセント 1 2_2011.02.24-Plumbing, HVAC &amp; Fire Fighting Works-동별산출(수정)" xfId="8416" xr:uid="{00000000-0005-0000-0000-0000EEC20000}"/>
    <cellStyle name="アクセント 2" xfId="8417" xr:uid="{00000000-0005-0000-0000-0000EFC20000}"/>
    <cellStyle name="アクセント 2 2" xfId="8418" xr:uid="{00000000-0005-0000-0000-0000F0C20000}"/>
    <cellStyle name="アクセント 2 2 2" xfId="8419" xr:uid="{00000000-0005-0000-0000-0000F1C20000}"/>
    <cellStyle name="アクセント 2 2_2011.02.24-Plumbing, HVAC &amp; Fire Fighting Works-동별산출(수정)" xfId="8420" xr:uid="{00000000-0005-0000-0000-0000F2C20000}"/>
    <cellStyle name="アクセント 3" xfId="8421" xr:uid="{00000000-0005-0000-0000-0000F3C20000}"/>
    <cellStyle name="アクセント 3 2" xfId="8422" xr:uid="{00000000-0005-0000-0000-0000F4C20000}"/>
    <cellStyle name="アクセント 3 2 2" xfId="8423" xr:uid="{00000000-0005-0000-0000-0000F5C20000}"/>
    <cellStyle name="アクセント 3 2_2011.02.24-Plumbing, HVAC &amp; Fire Fighting Works-동별산출(수정)" xfId="8424" xr:uid="{00000000-0005-0000-0000-0000F6C20000}"/>
    <cellStyle name="アクセント 4" xfId="8425" xr:uid="{00000000-0005-0000-0000-0000F7C20000}"/>
    <cellStyle name="アクセント 4 2" xfId="8426" xr:uid="{00000000-0005-0000-0000-0000F8C20000}"/>
    <cellStyle name="アクセント 4 2 2" xfId="8427" xr:uid="{00000000-0005-0000-0000-0000F9C20000}"/>
    <cellStyle name="アクセント 4 2_2011.02.24-Plumbing, HVAC &amp; Fire Fighting Works-동별산출(수정)" xfId="8428" xr:uid="{00000000-0005-0000-0000-0000FAC20000}"/>
    <cellStyle name="アクセント 5" xfId="8429" xr:uid="{00000000-0005-0000-0000-0000FBC20000}"/>
    <cellStyle name="アクセント 5 2" xfId="8430" xr:uid="{00000000-0005-0000-0000-0000FCC20000}"/>
    <cellStyle name="アクセント 5 2 2" xfId="8431" xr:uid="{00000000-0005-0000-0000-0000FDC20000}"/>
    <cellStyle name="アクセント 5 2_2011.02.24-Plumbing, HVAC &amp; Fire Fighting Works-동별산출(수정)" xfId="8432" xr:uid="{00000000-0005-0000-0000-0000FEC20000}"/>
    <cellStyle name="アクセント 6" xfId="8433" xr:uid="{00000000-0005-0000-0000-0000FFC20000}"/>
    <cellStyle name="アクセント 6 2" xfId="8434" xr:uid="{00000000-0005-0000-0000-000000C30000}"/>
    <cellStyle name="アクセント 6 2 2" xfId="8435" xr:uid="{00000000-0005-0000-0000-000001C30000}"/>
    <cellStyle name="アクセント 6 2_2011.02.24-Plumbing, HVAC &amp; Fire Fighting Works-동별산출(수정)" xfId="8436" xr:uid="{00000000-0005-0000-0000-000002C30000}"/>
    <cellStyle name="グ鄕┷갰澍允煞〕뼁?larou$" xfId="8437" xr:uid="{00000000-0005-0000-0000-000003C30000}"/>
    <cellStyle name="グ鄕┷갰澍允煞〕뼁?laroux_1" xfId="8438" xr:uid="{00000000-0005-0000-0000-000004C30000}"/>
    <cellStyle name="タイトル" xfId="8439" xr:uid="{00000000-0005-0000-0000-000005C30000}"/>
    <cellStyle name="タイトル 2" xfId="8440" xr:uid="{00000000-0005-0000-0000-000006C30000}"/>
    <cellStyle name="タイトル 2 2" xfId="8441" xr:uid="{00000000-0005-0000-0000-000007C30000}"/>
    <cellStyle name="タイトル 2_2011.02.24-Plumbing, HVAC &amp; Fire Fighting Works-동별산출(수정)" xfId="8442" xr:uid="{00000000-0005-0000-0000-000008C30000}"/>
    <cellStyle name="チェック セル" xfId="8443" xr:uid="{00000000-0005-0000-0000-000009C30000}"/>
    <cellStyle name="チェック セル 2" xfId="8444" xr:uid="{00000000-0005-0000-0000-00000AC30000}"/>
    <cellStyle name="チェック セル 2 2" xfId="8445" xr:uid="{00000000-0005-0000-0000-00000BC30000}"/>
    <cellStyle name="チェック セル 2_2011.02.24-Plumbing, HVAC &amp; Fire Fighting Works-동별산출(수정)" xfId="8446" xr:uid="{00000000-0005-0000-0000-00000CC30000}"/>
    <cellStyle name="どちらでもない" xfId="8447" xr:uid="{00000000-0005-0000-0000-00000DC30000}"/>
    <cellStyle name="どちらでもない 2" xfId="8448" xr:uid="{00000000-0005-0000-0000-00000EC30000}"/>
    <cellStyle name="どちらでもない 2 2" xfId="8449" xr:uid="{00000000-0005-0000-0000-00000FC30000}"/>
    <cellStyle name="どちらでもない 2_2011.02.24-Plumbing, HVAC &amp; Fire Fighting Works-동별산출(수정)" xfId="8450" xr:uid="{00000000-0005-0000-0000-000010C30000}"/>
    <cellStyle name="パーセント_技計ｾﾝﾀ" xfId="8451" xr:uid="{00000000-0005-0000-0000-000011C30000}"/>
    <cellStyle name="ハイパーリンク" xfId="8452" xr:uid="{00000000-0005-0000-0000-000012C30000}"/>
    <cellStyle name="メモ" xfId="8453" xr:uid="{00000000-0005-0000-0000-000013C30000}"/>
    <cellStyle name="メモ 2" xfId="8454" xr:uid="{00000000-0005-0000-0000-000014C30000}"/>
    <cellStyle name="メモ 2 2" xfId="14051" xr:uid="{00000000-0005-0000-0000-000015C30000}"/>
    <cellStyle name="メモ 2 2 2" xfId="19037" xr:uid="{00000000-0005-0000-0000-000016C30000}"/>
    <cellStyle name="メモ 2 2 2 2" xfId="37536" xr:uid="{00000000-0005-0000-0000-000017C30000}"/>
    <cellStyle name="メモ 2 2 3" xfId="28217" xr:uid="{00000000-0005-0000-0000-000018C30000}"/>
    <cellStyle name="メモ 2 2 4" xfId="51482" xr:uid="{00000000-0005-0000-0000-000019C30000}"/>
    <cellStyle name="メモ 2 3" xfId="14281" xr:uid="{00000000-0005-0000-0000-00001AC30000}"/>
    <cellStyle name="メモ 2 3 2" xfId="19038" xr:uid="{00000000-0005-0000-0000-00001BC30000}"/>
    <cellStyle name="メモ 2 3 2 2" xfId="37756" xr:uid="{00000000-0005-0000-0000-00001CC30000}"/>
    <cellStyle name="メモ 2 3 3" xfId="28441" xr:uid="{00000000-0005-0000-0000-00001DC30000}"/>
    <cellStyle name="メモ 2 3 4" xfId="51640" xr:uid="{00000000-0005-0000-0000-00001EC30000}"/>
    <cellStyle name="メモ 2 4" xfId="18780" xr:uid="{00000000-0005-0000-0000-00001FC30000}"/>
    <cellStyle name="メモ 2 4 2" xfId="19039" xr:uid="{00000000-0005-0000-0000-000020C30000}"/>
    <cellStyle name="メモ 2 4 3" xfId="32912" xr:uid="{00000000-0005-0000-0000-000021C30000}"/>
    <cellStyle name="メモ 2 4 4" xfId="46812" xr:uid="{00000000-0005-0000-0000-000022C30000}"/>
    <cellStyle name="メモ 2 5" xfId="23593" xr:uid="{00000000-0005-0000-0000-000023C30000}"/>
    <cellStyle name="メモ 3" xfId="14050" xr:uid="{00000000-0005-0000-0000-000024C30000}"/>
    <cellStyle name="メモ 3 2" xfId="19040" xr:uid="{00000000-0005-0000-0000-000025C30000}"/>
    <cellStyle name="メモ 3 2 2" xfId="37535" xr:uid="{00000000-0005-0000-0000-000026C30000}"/>
    <cellStyle name="メモ 3 3" xfId="28216" xr:uid="{00000000-0005-0000-0000-000027C30000}"/>
    <cellStyle name="メモ 3 4" xfId="51481" xr:uid="{00000000-0005-0000-0000-000028C30000}"/>
    <cellStyle name="メモ 4" xfId="14280" xr:uid="{00000000-0005-0000-0000-000029C30000}"/>
    <cellStyle name="メモ 4 2" xfId="19041" xr:uid="{00000000-0005-0000-0000-00002AC30000}"/>
    <cellStyle name="メモ 4 2 2" xfId="37755" xr:uid="{00000000-0005-0000-0000-00002BC30000}"/>
    <cellStyle name="メモ 4 3" xfId="28440" xr:uid="{00000000-0005-0000-0000-00002CC30000}"/>
    <cellStyle name="メモ 4 4" xfId="51639" xr:uid="{00000000-0005-0000-0000-00002DC30000}"/>
    <cellStyle name="メモ 5" xfId="18779" xr:uid="{00000000-0005-0000-0000-00002EC30000}"/>
    <cellStyle name="メモ 5 2" xfId="19042" xr:uid="{00000000-0005-0000-0000-00002FC30000}"/>
    <cellStyle name="メモ 5 3" xfId="32911" xr:uid="{00000000-0005-0000-0000-000030C30000}"/>
    <cellStyle name="メモ 5 4" xfId="46811" xr:uid="{00000000-0005-0000-0000-000031C30000}"/>
    <cellStyle name="メモ 6" xfId="23592" xr:uid="{00000000-0005-0000-0000-000032C30000}"/>
    <cellStyle name="リンク セル" xfId="8455" xr:uid="{00000000-0005-0000-0000-000033C30000}"/>
    <cellStyle name="リンク セル 2" xfId="8456" xr:uid="{00000000-0005-0000-0000-000034C30000}"/>
    <cellStyle name="リンク セル 2 2" xfId="8457" xr:uid="{00000000-0005-0000-0000-000035C30000}"/>
    <cellStyle name="リンク セル 2_2011.02.24-Plumbing, HVAC &amp; Fire Fighting Works-동별산출(수정)" xfId="8458" xr:uid="{00000000-0005-0000-0000-000036C30000}"/>
    <cellStyle name="්b뉜ōේb뉼ō෪b늠ō෺b부ōชb붘ōบb붴ōสb뷄ōฺb뷘ō๊b닄ō๚b닜ō๪b닰ō๺b댜ōຊb댸ōບb뷬ōສb븄ō຺b블ō໊b븨ō໚b븼ō໪b덐ō໺" xfId="3349" xr:uid="{00000000-0005-0000-0000-000037C30000}"/>
    <cellStyle name="්b뉜ōේb뉼ō෪b늠ō෺b부ōชb붘ōบb붴ōสb뷄ōฺb뷘ō๊b닄ō๚b닜ō๪b닰ō๺b댜ōຊb댸ōບb뷬ōສb븄ō຺b블ō໊b븨ō໚b븼ō໪b덐ō໺b덠ō༊b델ō༚b뎔ō༪b뎬ō༺b빘ōཊb빰ōཚb뺌ōཪb뻘ōེb뻴ōྊb돌ōྚb돴ōྪb된ōྺb됸ō࿊b둔ō࿚b뼘ō࿪b뼸ō࿺b뽨ōညb뾔ōယb뿄ōဪb뒜ō်b뒸ō၊b듌ōၚb들ōၪb듸ōၺb뿴ōႊb쀐ōႚb쀬ōႪb쁴ōႺb삐ō჊b딐ōლb따ōცb땔ōჺb땬ōᄊb떀ōᄚb산ōᄪb새ōᄺb샘ōᅋb샬ōᅛb샴ōᅪb_x000c_ōᅺb0ōᆊbXōᆚbōᆪb¨ōᆺb섄" xfId="3350" xr:uid="{00000000-0005-0000-0000-000038C30000}"/>
    <cellStyle name="เครื่องหมายจุลภาค [0]_Boiler_5 Power Plant2" xfId="8459" xr:uid="{00000000-0005-0000-0000-000039C30000}"/>
    <cellStyle name="เครื่องหมายจุลภาค_Boiler_5 Power Plant2" xfId="8460" xr:uid="{00000000-0005-0000-0000-00003AC30000}"/>
    <cellStyle name="เครื่องหมายสกุลเงิน [0]_APP 2 - SEC 2 - LPG Mech" xfId="8461" xr:uid="{00000000-0005-0000-0000-00003BC30000}"/>
    <cellStyle name="เครื่องหมายสกุลเงิน_APP 2 - SEC 2 - LPG Mech" xfId="8462" xr:uid="{00000000-0005-0000-0000-00003CC30000}"/>
    <cellStyle name="ปกติ_APP 2 - SEC 2 - LPG Mech" xfId="8463" xr:uid="{00000000-0005-0000-0000-00003DC30000}"/>
    <cellStyle name="_x0001_ဠ" xfId="8464" xr:uid="{00000000-0005-0000-0000-00003EC30000}"/>
    <cellStyle name="ᒊbЄōᒚbЬōᒪbјōᒺbҤōᓊbӐōᓚb쒤ōᓪb쓄ōᓺb쓠ōᔊb씈ōᔚb씬ōᔪbӰōᔺbԈōᕊbԤōᕚbՀōᕪb՜ōᕺb앐ōᖊb앴ōᖚb얐ōᖪb얼ōᖺ" xfId="8465" xr:uid="{00000000-0005-0000-0000-00003FC30000}"/>
    <cellStyle name="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" xfId="8466" xr:uid="{00000000-0005-0000-0000-000040C30000}"/>
    <cellStyle name="ᒺbҤōᓊbӐōᓚb쒤ōᓪb쓄ōᓺb쓠ōᔊb씈ōᔚb씬ōᔪbӰōᔺbԈōᕊbԤōᕚbՀōᕪb՜ōᕺb앐ōᖊb앴ōᖚb얐ōᖪb얼ōᖺb엤ōᗊbոōᗚb֐ōᗪ" xfId="8467" xr:uid="{00000000-0005-0000-0000-000041C30000}"/>
    <cellStyle name="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ō៪b‬ō៺bᏜō᠊b᐀ō᠚bᐬōᠪbᑜōᠺbᒌōᡊb⁜ōᡚb€ōᡪb⃔ō᡺bℌōᢊb⅀ōᢚbⅸōᢪb⇐" xfId="8468" xr:uid="{00000000-0005-0000-0000-000042C30000}"/>
    <cellStyle name="Ꮺb̀ōᏺb̤ōᐊb͔ōᐚb΀ōᐪbΰōᐺb쏸ōᑊb쐨ōᑚb쑀ōᑪb쑜ōᑺb쑸ōᒊbЄōᒚbЬōᒪbјōᒺbҤōᓊbӐōᓚb쒤ōᓪb쓄ōᓺb쓠ōᔊb씈ōᔚ" xfId="8469" xr:uid="{00000000-0005-0000-0000-000043C30000}"/>
    <cellStyle name="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ōᘚbذōᘪbڀōᘺbڬōᙊbیōᙚb۰ōᙪbᇤōᙺbሀōᚊbሜōᚚbሼōᚪbቘōᚺb܈ōᛊbܬōᛚb݌ōᛪbݬō᛺bބōᜊbኌō᜚bከōᜪbዌō᜺bዤōᝊbጄō᝚bጨōᝪbፐō᝺b፰ōដb᎘ōរbᎸōឪb὘ōឺbᾬō៊bῐō៚bῼ" xfId="8470" xr:uid="{00000000-0005-0000-0000-000044C30000}"/>
    <cellStyle name="ሚbôōሪbŀōሺbŨōቊbƀōቚb솴ōቪb쇌ōቺb쇬ōኊb숄ōኚb술ōኪbƜōኺbƸōዊbǜōዚbǸōዪbɄōዺb쉀ōጊb쉬ōጚb슔ōጪb싀ōጺb쌐ōፊ" xfId="8471" xr:uid="{00000000-0005-0000-0000-000045C30000}"/>
    <cellStyle name="ሚbôōሪbŀōሺbŨōቊbƀōቚb솴ōቪb쇌ōቺb쇬ōኊb숄ōኚb술ōኪbƜōኺbƸōዊbǜōዚbǸōዪbɄōዺb쉀ōጊb쉬ōጚb슔ōጪb싀ōጺb쌐ōፊbɤōፚbʀō፪bʘō፺bʼōᎊb˜ō᎚b쌼ōᎪb쎄ōᎺb쎨ōᏊb쏄ōᏚb쏜ōᏪb̀ōᏺb̤ōᐊb͔ōᐚb΀ōᐪbΰōᐺb쏸ōᑊb쐨ōᑚb쑀ōᑪb쑜ōᑺb쑸ōᒊbЄōᒚbЬōᒪbјōᒺbҤōᓊbӐōᓚb쒤ōᓪb쓄ōᓺb쓠ōᔊb씈ōᔚb씬ōᔪbӰōᔺbԈōᕊbԤōᕚbՀōᕪb՜ōᕺb앐ōᖊb앴ōᖚb얐ōᖪb얼ōᖺb엤ōᗊbոōᗚb֐ōᗪbְōᗺbלōᘊb؄" xfId="8472" xr:uid="{00000000-0005-0000-0000-000046C30000}"/>
    <cellStyle name="ᱤ܇܇܇܇܇܇܇܇܇" xfId="8473" xr:uid="{00000000-0005-0000-0000-000047C30000}"/>
    <cellStyle name="ꯠōකb갈ōඪb눠ōයb눸ō්b뉜ōේb뉼ō෪b늠ō෺b부ōชb붘ōบb붴ōสb뷄ōฺb뷘ō๊b닄ō๚b닜ō๪b닰ō๺b댜ōຊb댸ōບb뷬ōສb븄ō຺b블ō໊b븨ō໚b븼ō໪b덐ō໺b덠ō༊b델ō" xfId="8307" xr:uid="{00000000-0005-0000-0000-000048C30000}"/>
    <cellStyle name="|?ドE" xfId="8474" xr:uid="{00000000-0005-0000-0000-000049C30000}"/>
    <cellStyle name="_x0003_" xfId="8475" xr:uid="{00000000-0005-0000-0000-00004AC30000}"/>
    <cellStyle name="???" xfId="8476" xr:uid="{00000000-0005-0000-0000-00004BC30000}"/>
    <cellStyle name="?????????????????????" xfId="8477" xr:uid="{00000000-0005-0000-0000-00004CC30000}"/>
    <cellStyle name="??????????????????????????????????" xfId="8478" xr:uid="{00000000-0005-0000-0000-00004DC30000}"/>
    <cellStyle name="???????????????????????????????????????????" xfId="8479" xr:uid="{00000000-0005-0000-0000-00004EC30000}"/>
    <cellStyle name="?????????????????????????????????????????????????????" xfId="8480" xr:uid="{00000000-0005-0000-0000-00004FC30000}"/>
    <cellStyle name="??????????????????????????????????????????????????????????????" xfId="8481" xr:uid="{00000000-0005-0000-0000-000050C30000}"/>
    <cellStyle name="?????????????????????????????????????????????????????????????????????" xfId="8482" xr:uid="{00000000-0005-0000-0000-000051C30000}"/>
    <cellStyle name="????????????????????????????????????????????????????????????????????????????" xfId="8483" xr:uid="{00000000-0005-0000-0000-000052C30000}"/>
    <cellStyle name="?????????????????????????????????????????????????????????????????????????????????????" xfId="8484" xr:uid="{00000000-0005-0000-0000-000053C30000}"/>
    <cellStyle name="?????????????+" xfId="8485" xr:uid="{00000000-0005-0000-0000-000054C30000}"/>
    <cellStyle name="???F_x0001_??" xfId="8486" xr:uid="{00000000-0005-0000-0000-000055C30000}"/>
    <cellStyle name="?3" xfId="8487" xr:uid="{00000000-0005-0000-0000-000056C30000}"/>
    <cellStyle name="a_x0001_???A?????????????????????????????????????????????????????????????????????????????????????????????????" xfId="8488" xr:uid="{00000000-0005-0000-0000-000057C30000}"/>
    <cellStyle name="_x001e_D?_x0010__x001f_D_x0002_( _x001f_D_x0012_(D_x001f_D&quot;(Z_x001f_D2(?DB(?DR(?Db(?Dr(?D?_x0010_.D?(.D?:.D?\.D?v.D??D??D??D_x0002_)?D_x0012_)_x0006_&gt;D&quot;)?D2)?DB)?DR)?Db)?Dr)_x0006_/D?_x001a_/D?./D?@/D?b/X??rTr??괫??뭈??줥??쾆??헦_x0014_ ??4 ??V ??r ?_x0002_U??_x0012_U??&quot;U? " xfId="8489" xr:uid="{00000000-0005-0000-0000-000058C30000}"/>
    <cellStyle name="_x001f_D2(?DB(?DR(?Db(?Dr(?D?_x0010_.D?(.D?:.D?\.D?v.D??D??D??D_x0002_)?D_x0012_)_x0006_" xfId="8490" xr:uid="{00000000-0005-0000-0000-000059C30000}"/>
    <cellStyle name="i" xfId="8491" xr:uid="{00000000-0005-0000-0000-00005AC30000}"/>
    <cellStyle name="강조색1 2" xfId="8492" xr:uid="{00000000-0005-0000-0000-00005BC30000}"/>
    <cellStyle name="강조색1 2 2" xfId="8493" xr:uid="{00000000-0005-0000-0000-00005CC30000}"/>
    <cellStyle name="강조색1 3" xfId="8494" xr:uid="{00000000-0005-0000-0000-00005DC30000}"/>
    <cellStyle name="강조색2 2" xfId="8495" xr:uid="{00000000-0005-0000-0000-00005EC30000}"/>
    <cellStyle name="강조색2 2 2" xfId="8496" xr:uid="{00000000-0005-0000-0000-00005FC30000}"/>
    <cellStyle name="강조색2 3" xfId="8497" xr:uid="{00000000-0005-0000-0000-000060C30000}"/>
    <cellStyle name="강조색3 2" xfId="8498" xr:uid="{00000000-0005-0000-0000-000061C30000}"/>
    <cellStyle name="강조색3 2 2" xfId="8499" xr:uid="{00000000-0005-0000-0000-000062C30000}"/>
    <cellStyle name="강조색3 3" xfId="8500" xr:uid="{00000000-0005-0000-0000-000063C30000}"/>
    <cellStyle name="강조색4 2" xfId="8501" xr:uid="{00000000-0005-0000-0000-000064C30000}"/>
    <cellStyle name="강조색4 2 2" xfId="8502" xr:uid="{00000000-0005-0000-0000-000065C30000}"/>
    <cellStyle name="강조색4 3" xfId="8503" xr:uid="{00000000-0005-0000-0000-000066C30000}"/>
    <cellStyle name="강조색5 2" xfId="8504" xr:uid="{00000000-0005-0000-0000-000067C30000}"/>
    <cellStyle name="강조색6 2" xfId="8505" xr:uid="{00000000-0005-0000-0000-000068C30000}"/>
    <cellStyle name="강조색6 2 2" xfId="8506" xr:uid="{00000000-0005-0000-0000-000069C30000}"/>
    <cellStyle name="강조색6 3" xfId="8507" xr:uid="{00000000-0005-0000-0000-00006AC30000}"/>
    <cellStyle name="경고문 10" xfId="8508" xr:uid="{00000000-0005-0000-0000-00006BC30000}"/>
    <cellStyle name="경고문 11" xfId="8509" xr:uid="{00000000-0005-0000-0000-00006CC30000}"/>
    <cellStyle name="경고문 12" xfId="8510" xr:uid="{00000000-0005-0000-0000-00006DC30000}"/>
    <cellStyle name="경고문 2" xfId="8511" xr:uid="{00000000-0005-0000-0000-00006EC30000}"/>
    <cellStyle name="경고문 3" xfId="8512" xr:uid="{00000000-0005-0000-0000-00006FC30000}"/>
    <cellStyle name="경고문 4" xfId="8513" xr:uid="{00000000-0005-0000-0000-000070C30000}"/>
    <cellStyle name="경고문 5" xfId="8514" xr:uid="{00000000-0005-0000-0000-000071C30000}"/>
    <cellStyle name="경고문 6" xfId="8515" xr:uid="{00000000-0005-0000-0000-000072C30000}"/>
    <cellStyle name="경고문 7" xfId="8516" xr:uid="{00000000-0005-0000-0000-000073C30000}"/>
    <cellStyle name="경고문 8" xfId="8517" xr:uid="{00000000-0005-0000-0000-000074C30000}"/>
    <cellStyle name="경고문 9" xfId="8518" xr:uid="{00000000-0005-0000-0000-000075C30000}"/>
    <cellStyle name="계산 10" xfId="8519" xr:uid="{00000000-0005-0000-0000-000076C30000}"/>
    <cellStyle name="계산 10 2" xfId="14052" xr:uid="{00000000-0005-0000-0000-000077C30000}"/>
    <cellStyle name="계산 10 2 2" xfId="19043" xr:uid="{00000000-0005-0000-0000-000078C30000}"/>
    <cellStyle name="계산 10 2 2 2" xfId="37537" xr:uid="{00000000-0005-0000-0000-000079C30000}"/>
    <cellStyle name="계산 10 2 3" xfId="28218" xr:uid="{00000000-0005-0000-0000-00007AC30000}"/>
    <cellStyle name="계산 10 2 4" xfId="51483" xr:uid="{00000000-0005-0000-0000-00007BC30000}"/>
    <cellStyle name="계산 10 3" xfId="14282" xr:uid="{00000000-0005-0000-0000-00007CC30000}"/>
    <cellStyle name="계산 10 3 2" xfId="19044" xr:uid="{00000000-0005-0000-0000-00007DC30000}"/>
    <cellStyle name="계산 10 3 2 2" xfId="37757" xr:uid="{00000000-0005-0000-0000-00007EC30000}"/>
    <cellStyle name="계산 10 3 3" xfId="28442" xr:uid="{00000000-0005-0000-0000-00007FC30000}"/>
    <cellStyle name="계산 10 4" xfId="18781" xr:uid="{00000000-0005-0000-0000-000080C30000}"/>
    <cellStyle name="계산 10 4 2" xfId="19045" xr:uid="{00000000-0005-0000-0000-000081C30000}"/>
    <cellStyle name="계산 10 4 3" xfId="32913" xr:uid="{00000000-0005-0000-0000-000082C30000}"/>
    <cellStyle name="계산 10 4 4" xfId="46813" xr:uid="{00000000-0005-0000-0000-000083C30000}"/>
    <cellStyle name="계산 10 5" xfId="23594" xr:uid="{00000000-0005-0000-0000-000084C30000}"/>
    <cellStyle name="계산 11" xfId="8520" xr:uid="{00000000-0005-0000-0000-000085C30000}"/>
    <cellStyle name="계산 11 2" xfId="14053" xr:uid="{00000000-0005-0000-0000-000086C30000}"/>
    <cellStyle name="계산 11 2 2" xfId="19046" xr:uid="{00000000-0005-0000-0000-000087C30000}"/>
    <cellStyle name="계산 11 2 2 2" xfId="37538" xr:uid="{00000000-0005-0000-0000-000088C30000}"/>
    <cellStyle name="계산 11 2 3" xfId="28219" xr:uid="{00000000-0005-0000-0000-000089C30000}"/>
    <cellStyle name="계산 11 2 4" xfId="51484" xr:uid="{00000000-0005-0000-0000-00008AC30000}"/>
    <cellStyle name="계산 11 3" xfId="14283" xr:uid="{00000000-0005-0000-0000-00008BC30000}"/>
    <cellStyle name="계산 11 3 2" xfId="19047" xr:uid="{00000000-0005-0000-0000-00008CC30000}"/>
    <cellStyle name="계산 11 3 2 2" xfId="37758" xr:uid="{00000000-0005-0000-0000-00008DC30000}"/>
    <cellStyle name="계산 11 3 3" xfId="28443" xr:uid="{00000000-0005-0000-0000-00008EC30000}"/>
    <cellStyle name="계산 11 4" xfId="18782" xr:uid="{00000000-0005-0000-0000-00008FC30000}"/>
    <cellStyle name="계산 11 4 2" xfId="19048" xr:uid="{00000000-0005-0000-0000-000090C30000}"/>
    <cellStyle name="계산 11 4 3" xfId="32914" xr:uid="{00000000-0005-0000-0000-000091C30000}"/>
    <cellStyle name="계산 11 4 4" xfId="46814" xr:uid="{00000000-0005-0000-0000-000092C30000}"/>
    <cellStyle name="계산 11 5" xfId="23595" xr:uid="{00000000-0005-0000-0000-000093C30000}"/>
    <cellStyle name="계산 12" xfId="8521" xr:uid="{00000000-0005-0000-0000-000094C30000}"/>
    <cellStyle name="계산 12 2" xfId="14054" xr:uid="{00000000-0005-0000-0000-000095C30000}"/>
    <cellStyle name="계산 12 2 2" xfId="19049" xr:uid="{00000000-0005-0000-0000-000096C30000}"/>
    <cellStyle name="계산 12 2 2 2" xfId="37539" xr:uid="{00000000-0005-0000-0000-000097C30000}"/>
    <cellStyle name="계산 12 2 3" xfId="28220" xr:uid="{00000000-0005-0000-0000-000098C30000}"/>
    <cellStyle name="계산 12 2 4" xfId="51485" xr:uid="{00000000-0005-0000-0000-000099C30000}"/>
    <cellStyle name="계산 12 3" xfId="14284" xr:uid="{00000000-0005-0000-0000-00009AC30000}"/>
    <cellStyle name="계산 12 3 2" xfId="19050" xr:uid="{00000000-0005-0000-0000-00009BC30000}"/>
    <cellStyle name="계산 12 3 2 2" xfId="37759" xr:uid="{00000000-0005-0000-0000-00009CC30000}"/>
    <cellStyle name="계산 12 3 3" xfId="28444" xr:uid="{00000000-0005-0000-0000-00009DC30000}"/>
    <cellStyle name="계산 12 4" xfId="18783" xr:uid="{00000000-0005-0000-0000-00009EC30000}"/>
    <cellStyle name="계산 12 4 2" xfId="19051" xr:uid="{00000000-0005-0000-0000-00009FC30000}"/>
    <cellStyle name="계산 12 4 3" xfId="32915" xr:uid="{00000000-0005-0000-0000-0000A0C30000}"/>
    <cellStyle name="계산 12 4 4" xfId="46815" xr:uid="{00000000-0005-0000-0000-0000A1C30000}"/>
    <cellStyle name="계산 12 5" xfId="23596" xr:uid="{00000000-0005-0000-0000-0000A2C30000}"/>
    <cellStyle name="계산 2" xfId="8522" xr:uid="{00000000-0005-0000-0000-0000A3C30000}"/>
    <cellStyle name="계산 2 2" xfId="8523" xr:uid="{00000000-0005-0000-0000-0000A4C30000}"/>
    <cellStyle name="계산 2 2 2" xfId="14056" xr:uid="{00000000-0005-0000-0000-0000A5C30000}"/>
    <cellStyle name="계산 2 2 2 2" xfId="19052" xr:uid="{00000000-0005-0000-0000-0000A6C30000}"/>
    <cellStyle name="계산 2 2 2 2 2" xfId="37541" xr:uid="{00000000-0005-0000-0000-0000A7C30000}"/>
    <cellStyle name="계산 2 2 2 3" xfId="28222" xr:uid="{00000000-0005-0000-0000-0000A8C30000}"/>
    <cellStyle name="계산 2 2 2 4" xfId="51487" xr:uid="{00000000-0005-0000-0000-0000A9C30000}"/>
    <cellStyle name="계산 2 2 3" xfId="14286" xr:uid="{00000000-0005-0000-0000-0000AAC30000}"/>
    <cellStyle name="계산 2 2 3 2" xfId="19053" xr:uid="{00000000-0005-0000-0000-0000ABC30000}"/>
    <cellStyle name="계산 2 2 3 2 2" xfId="37761" xr:uid="{00000000-0005-0000-0000-0000ACC30000}"/>
    <cellStyle name="계산 2 2 3 3" xfId="28446" xr:uid="{00000000-0005-0000-0000-0000ADC30000}"/>
    <cellStyle name="계산 2 2 4" xfId="18785" xr:uid="{00000000-0005-0000-0000-0000AEC30000}"/>
    <cellStyle name="계산 2 2 4 2" xfId="19054" xr:uid="{00000000-0005-0000-0000-0000AFC30000}"/>
    <cellStyle name="계산 2 2 4 3" xfId="32917" xr:uid="{00000000-0005-0000-0000-0000B0C30000}"/>
    <cellStyle name="계산 2 2 4 4" xfId="46817" xr:uid="{00000000-0005-0000-0000-0000B1C30000}"/>
    <cellStyle name="계산 2 2 5" xfId="23598" xr:uid="{00000000-0005-0000-0000-0000B2C30000}"/>
    <cellStyle name="계산 2 3" xfId="14055" xr:uid="{00000000-0005-0000-0000-0000B3C30000}"/>
    <cellStyle name="계산 2 3 2" xfId="19055" xr:uid="{00000000-0005-0000-0000-0000B4C30000}"/>
    <cellStyle name="계산 2 3 2 2" xfId="37540" xr:uid="{00000000-0005-0000-0000-0000B5C30000}"/>
    <cellStyle name="계산 2 3 3" xfId="28221" xr:uid="{00000000-0005-0000-0000-0000B6C30000}"/>
    <cellStyle name="계산 2 3 4" xfId="51486" xr:uid="{00000000-0005-0000-0000-0000B7C30000}"/>
    <cellStyle name="계산 2 4" xfId="14285" xr:uid="{00000000-0005-0000-0000-0000B8C30000}"/>
    <cellStyle name="계산 2 4 2" xfId="19056" xr:uid="{00000000-0005-0000-0000-0000B9C30000}"/>
    <cellStyle name="계산 2 4 2 2" xfId="37760" xr:uid="{00000000-0005-0000-0000-0000BAC30000}"/>
    <cellStyle name="계산 2 4 3" xfId="28445" xr:uid="{00000000-0005-0000-0000-0000BBC30000}"/>
    <cellStyle name="계산 2 5" xfId="18784" xr:uid="{00000000-0005-0000-0000-0000BCC30000}"/>
    <cellStyle name="계산 2 5 2" xfId="19057" xr:uid="{00000000-0005-0000-0000-0000BDC30000}"/>
    <cellStyle name="계산 2 5 3" xfId="32916" xr:uid="{00000000-0005-0000-0000-0000BEC30000}"/>
    <cellStyle name="계산 2 5 4" xfId="46816" xr:uid="{00000000-0005-0000-0000-0000BFC30000}"/>
    <cellStyle name="계산 2 6" xfId="23597" xr:uid="{00000000-0005-0000-0000-0000C0C30000}"/>
    <cellStyle name="계산 3" xfId="8524" xr:uid="{00000000-0005-0000-0000-0000C1C30000}"/>
    <cellStyle name="계산 3 2" xfId="14057" xr:uid="{00000000-0005-0000-0000-0000C2C30000}"/>
    <cellStyle name="계산 3 2 2" xfId="19058" xr:uid="{00000000-0005-0000-0000-0000C3C30000}"/>
    <cellStyle name="계산 3 2 2 2" xfId="37542" xr:uid="{00000000-0005-0000-0000-0000C4C30000}"/>
    <cellStyle name="계산 3 2 3" xfId="28223" xr:uid="{00000000-0005-0000-0000-0000C5C30000}"/>
    <cellStyle name="계산 3 2 4" xfId="51488" xr:uid="{00000000-0005-0000-0000-0000C6C30000}"/>
    <cellStyle name="계산 3 3" xfId="14287" xr:uid="{00000000-0005-0000-0000-0000C7C30000}"/>
    <cellStyle name="계산 3 3 2" xfId="19059" xr:uid="{00000000-0005-0000-0000-0000C8C30000}"/>
    <cellStyle name="계산 3 3 2 2" xfId="37762" xr:uid="{00000000-0005-0000-0000-0000C9C30000}"/>
    <cellStyle name="계산 3 3 3" xfId="28447" xr:uid="{00000000-0005-0000-0000-0000CAC30000}"/>
    <cellStyle name="계산 3 4" xfId="18786" xr:uid="{00000000-0005-0000-0000-0000CBC30000}"/>
    <cellStyle name="계산 3 4 2" xfId="19060" xr:uid="{00000000-0005-0000-0000-0000CCC30000}"/>
    <cellStyle name="계산 3 4 3" xfId="32918" xr:uid="{00000000-0005-0000-0000-0000CDC30000}"/>
    <cellStyle name="계산 3 4 4" xfId="46818" xr:uid="{00000000-0005-0000-0000-0000CEC30000}"/>
    <cellStyle name="계산 3 5" xfId="23599" xr:uid="{00000000-0005-0000-0000-0000CFC30000}"/>
    <cellStyle name="계산 4" xfId="8525" xr:uid="{00000000-0005-0000-0000-0000D0C30000}"/>
    <cellStyle name="계산 4 2" xfId="14058" xr:uid="{00000000-0005-0000-0000-0000D1C30000}"/>
    <cellStyle name="계산 4 2 2" xfId="19061" xr:uid="{00000000-0005-0000-0000-0000D2C30000}"/>
    <cellStyle name="계산 4 2 2 2" xfId="37543" xr:uid="{00000000-0005-0000-0000-0000D3C30000}"/>
    <cellStyle name="계산 4 2 3" xfId="28224" xr:uid="{00000000-0005-0000-0000-0000D4C30000}"/>
    <cellStyle name="계산 4 2 4" xfId="51489" xr:uid="{00000000-0005-0000-0000-0000D5C30000}"/>
    <cellStyle name="계산 4 3" xfId="14288" xr:uid="{00000000-0005-0000-0000-0000D6C30000}"/>
    <cellStyle name="계산 4 3 2" xfId="19062" xr:uid="{00000000-0005-0000-0000-0000D7C30000}"/>
    <cellStyle name="계산 4 3 2 2" xfId="37763" xr:uid="{00000000-0005-0000-0000-0000D8C30000}"/>
    <cellStyle name="계산 4 3 3" xfId="28448" xr:uid="{00000000-0005-0000-0000-0000D9C30000}"/>
    <cellStyle name="계산 4 4" xfId="18787" xr:uid="{00000000-0005-0000-0000-0000DAC30000}"/>
    <cellStyle name="계산 4 4 2" xfId="19063" xr:uid="{00000000-0005-0000-0000-0000DBC30000}"/>
    <cellStyle name="계산 4 4 3" xfId="32919" xr:uid="{00000000-0005-0000-0000-0000DCC30000}"/>
    <cellStyle name="계산 4 4 4" xfId="46819" xr:uid="{00000000-0005-0000-0000-0000DDC30000}"/>
    <cellStyle name="계산 4 5" xfId="23600" xr:uid="{00000000-0005-0000-0000-0000DEC30000}"/>
    <cellStyle name="계산 5" xfId="8526" xr:uid="{00000000-0005-0000-0000-0000DFC30000}"/>
    <cellStyle name="계산 5 2" xfId="14059" xr:uid="{00000000-0005-0000-0000-0000E0C30000}"/>
    <cellStyle name="계산 5 2 2" xfId="19064" xr:uid="{00000000-0005-0000-0000-0000E1C30000}"/>
    <cellStyle name="계산 5 2 2 2" xfId="37544" xr:uid="{00000000-0005-0000-0000-0000E2C30000}"/>
    <cellStyle name="계산 5 2 3" xfId="28225" xr:uid="{00000000-0005-0000-0000-0000E3C30000}"/>
    <cellStyle name="계산 5 2 4" xfId="51490" xr:uid="{00000000-0005-0000-0000-0000E4C30000}"/>
    <cellStyle name="계산 5 3" xfId="14289" xr:uid="{00000000-0005-0000-0000-0000E5C30000}"/>
    <cellStyle name="계산 5 3 2" xfId="19065" xr:uid="{00000000-0005-0000-0000-0000E6C30000}"/>
    <cellStyle name="계산 5 3 2 2" xfId="37764" xr:uid="{00000000-0005-0000-0000-0000E7C30000}"/>
    <cellStyle name="계산 5 3 3" xfId="28449" xr:uid="{00000000-0005-0000-0000-0000E8C30000}"/>
    <cellStyle name="계산 5 4" xfId="18788" xr:uid="{00000000-0005-0000-0000-0000E9C30000}"/>
    <cellStyle name="계산 5 4 2" xfId="19066" xr:uid="{00000000-0005-0000-0000-0000EAC30000}"/>
    <cellStyle name="계산 5 4 3" xfId="32920" xr:uid="{00000000-0005-0000-0000-0000EBC30000}"/>
    <cellStyle name="계산 5 4 4" xfId="46820" xr:uid="{00000000-0005-0000-0000-0000ECC30000}"/>
    <cellStyle name="계산 5 5" xfId="23601" xr:uid="{00000000-0005-0000-0000-0000EDC30000}"/>
    <cellStyle name="계산 6" xfId="8527" xr:uid="{00000000-0005-0000-0000-0000EEC30000}"/>
    <cellStyle name="계산 6 2" xfId="14060" xr:uid="{00000000-0005-0000-0000-0000EFC30000}"/>
    <cellStyle name="계산 6 2 2" xfId="19067" xr:uid="{00000000-0005-0000-0000-0000F0C30000}"/>
    <cellStyle name="계산 6 2 2 2" xfId="37545" xr:uid="{00000000-0005-0000-0000-0000F1C30000}"/>
    <cellStyle name="계산 6 2 3" xfId="28226" xr:uid="{00000000-0005-0000-0000-0000F2C30000}"/>
    <cellStyle name="계산 6 2 4" xfId="51491" xr:uid="{00000000-0005-0000-0000-0000F3C30000}"/>
    <cellStyle name="계산 6 3" xfId="14290" xr:uid="{00000000-0005-0000-0000-0000F4C30000}"/>
    <cellStyle name="계산 6 3 2" xfId="19068" xr:uid="{00000000-0005-0000-0000-0000F5C30000}"/>
    <cellStyle name="계산 6 3 2 2" xfId="37765" xr:uid="{00000000-0005-0000-0000-0000F6C30000}"/>
    <cellStyle name="계산 6 3 3" xfId="28450" xr:uid="{00000000-0005-0000-0000-0000F7C30000}"/>
    <cellStyle name="계산 6 4" xfId="18789" xr:uid="{00000000-0005-0000-0000-0000F8C30000}"/>
    <cellStyle name="계산 6 4 2" xfId="19069" xr:uid="{00000000-0005-0000-0000-0000F9C30000}"/>
    <cellStyle name="계산 6 4 3" xfId="32921" xr:uid="{00000000-0005-0000-0000-0000FAC30000}"/>
    <cellStyle name="계산 6 4 4" xfId="46821" xr:uid="{00000000-0005-0000-0000-0000FBC30000}"/>
    <cellStyle name="계산 6 5" xfId="23602" xr:uid="{00000000-0005-0000-0000-0000FCC30000}"/>
    <cellStyle name="계산 7" xfId="8528" xr:uid="{00000000-0005-0000-0000-0000FDC30000}"/>
    <cellStyle name="계산 7 2" xfId="14061" xr:uid="{00000000-0005-0000-0000-0000FEC30000}"/>
    <cellStyle name="계산 7 2 2" xfId="19070" xr:uid="{00000000-0005-0000-0000-0000FFC30000}"/>
    <cellStyle name="계산 7 2 2 2" xfId="37546" xr:uid="{00000000-0005-0000-0000-000000C40000}"/>
    <cellStyle name="계산 7 2 3" xfId="28227" xr:uid="{00000000-0005-0000-0000-000001C40000}"/>
    <cellStyle name="계산 7 2 4" xfId="51492" xr:uid="{00000000-0005-0000-0000-000002C40000}"/>
    <cellStyle name="계산 7 3" xfId="14291" xr:uid="{00000000-0005-0000-0000-000003C40000}"/>
    <cellStyle name="계산 7 3 2" xfId="19071" xr:uid="{00000000-0005-0000-0000-000004C40000}"/>
    <cellStyle name="계산 7 3 2 2" xfId="37766" xr:uid="{00000000-0005-0000-0000-000005C40000}"/>
    <cellStyle name="계산 7 3 3" xfId="28451" xr:uid="{00000000-0005-0000-0000-000006C40000}"/>
    <cellStyle name="계산 7 4" xfId="18790" xr:uid="{00000000-0005-0000-0000-000007C40000}"/>
    <cellStyle name="계산 7 4 2" xfId="19072" xr:uid="{00000000-0005-0000-0000-000008C40000}"/>
    <cellStyle name="계산 7 4 3" xfId="32922" xr:uid="{00000000-0005-0000-0000-000009C40000}"/>
    <cellStyle name="계산 7 4 4" xfId="46822" xr:uid="{00000000-0005-0000-0000-00000AC40000}"/>
    <cellStyle name="계산 7 5" xfId="23603" xr:uid="{00000000-0005-0000-0000-00000BC40000}"/>
    <cellStyle name="계산 8" xfId="8529" xr:uid="{00000000-0005-0000-0000-00000CC40000}"/>
    <cellStyle name="계산 8 2" xfId="14062" xr:uid="{00000000-0005-0000-0000-00000DC40000}"/>
    <cellStyle name="계산 8 2 2" xfId="19073" xr:uid="{00000000-0005-0000-0000-00000EC40000}"/>
    <cellStyle name="계산 8 2 2 2" xfId="37547" xr:uid="{00000000-0005-0000-0000-00000FC40000}"/>
    <cellStyle name="계산 8 2 3" xfId="28228" xr:uid="{00000000-0005-0000-0000-000010C40000}"/>
    <cellStyle name="계산 8 2 4" xfId="51493" xr:uid="{00000000-0005-0000-0000-000011C40000}"/>
    <cellStyle name="계산 8 3" xfId="14292" xr:uid="{00000000-0005-0000-0000-000012C40000}"/>
    <cellStyle name="계산 8 3 2" xfId="19074" xr:uid="{00000000-0005-0000-0000-000013C40000}"/>
    <cellStyle name="계산 8 3 2 2" xfId="37767" xr:uid="{00000000-0005-0000-0000-000014C40000}"/>
    <cellStyle name="계산 8 3 3" xfId="28452" xr:uid="{00000000-0005-0000-0000-000015C40000}"/>
    <cellStyle name="계산 8 4" xfId="18791" xr:uid="{00000000-0005-0000-0000-000016C40000}"/>
    <cellStyle name="계산 8 4 2" xfId="19075" xr:uid="{00000000-0005-0000-0000-000017C40000}"/>
    <cellStyle name="계산 8 4 3" xfId="32923" xr:uid="{00000000-0005-0000-0000-000018C40000}"/>
    <cellStyle name="계산 8 4 4" xfId="46823" xr:uid="{00000000-0005-0000-0000-000019C40000}"/>
    <cellStyle name="계산 8 5" xfId="23604" xr:uid="{00000000-0005-0000-0000-00001AC40000}"/>
    <cellStyle name="계산 9" xfId="8530" xr:uid="{00000000-0005-0000-0000-00001BC40000}"/>
    <cellStyle name="계산 9 2" xfId="14063" xr:uid="{00000000-0005-0000-0000-00001CC40000}"/>
    <cellStyle name="계산 9 2 2" xfId="19076" xr:uid="{00000000-0005-0000-0000-00001DC40000}"/>
    <cellStyle name="계산 9 2 2 2" xfId="37548" xr:uid="{00000000-0005-0000-0000-00001EC40000}"/>
    <cellStyle name="계산 9 2 3" xfId="28229" xr:uid="{00000000-0005-0000-0000-00001FC40000}"/>
    <cellStyle name="계산 9 2 4" xfId="51494" xr:uid="{00000000-0005-0000-0000-000020C40000}"/>
    <cellStyle name="계산 9 3" xfId="14293" xr:uid="{00000000-0005-0000-0000-000021C40000}"/>
    <cellStyle name="계산 9 3 2" xfId="19077" xr:uid="{00000000-0005-0000-0000-000022C40000}"/>
    <cellStyle name="계산 9 3 2 2" xfId="37768" xr:uid="{00000000-0005-0000-0000-000023C40000}"/>
    <cellStyle name="계산 9 3 3" xfId="28453" xr:uid="{00000000-0005-0000-0000-000024C40000}"/>
    <cellStyle name="계산 9 4" xfId="18792" xr:uid="{00000000-0005-0000-0000-000025C40000}"/>
    <cellStyle name="계산 9 4 2" xfId="19078" xr:uid="{00000000-0005-0000-0000-000026C40000}"/>
    <cellStyle name="계산 9 4 3" xfId="32924" xr:uid="{00000000-0005-0000-0000-000027C40000}"/>
    <cellStyle name="계산 9 4 4" xfId="46824" xr:uid="{00000000-0005-0000-0000-000028C40000}"/>
    <cellStyle name="계산 9 5" xfId="23605" xr:uid="{00000000-0005-0000-0000-000029C40000}"/>
    <cellStyle name="고정소숫점" xfId="8531" xr:uid="{00000000-0005-0000-0000-00002AC40000}"/>
    <cellStyle name="고정소숫점 2" xfId="8532" xr:uid="{00000000-0005-0000-0000-00002BC40000}"/>
    <cellStyle name="고정출력1" xfId="8533" xr:uid="{00000000-0005-0000-0000-00002CC40000}"/>
    <cellStyle name="고정출력2" xfId="8534" xr:uid="{00000000-0005-0000-0000-00002DC40000}"/>
    <cellStyle name="공사원가계산서(조경)" xfId="8535" xr:uid="{00000000-0005-0000-0000-00002EC40000}"/>
    <cellStyle name="끼_x0001_?" xfId="8536" xr:uid="{00000000-0005-0000-0000-00002FC40000}"/>
    <cellStyle name="끼_x0001_? 2" xfId="8537" xr:uid="{00000000-0005-0000-0000-000030C40000}"/>
    <cellStyle name="끽방_inquiry_bq_hvac" xfId="8538" xr:uid="{00000000-0005-0000-0000-000031C40000}"/>
    <cellStyle name="나쁨 2" xfId="8539" xr:uid="{00000000-0005-0000-0000-000032C40000}"/>
    <cellStyle name="나쁨 2 2" xfId="8540" xr:uid="{00000000-0005-0000-0000-000033C40000}"/>
    <cellStyle name="나쁨 3" xfId="8541" xr:uid="{00000000-0005-0000-0000-000034C40000}"/>
    <cellStyle name="날짜" xfId="8542" xr:uid="{00000000-0005-0000-0000-000035C40000}"/>
    <cellStyle name="내역서" xfId="8543" xr:uid="{00000000-0005-0000-0000-000036C40000}"/>
    <cellStyle name="내역서 2" xfId="8544" xr:uid="{00000000-0005-0000-0000-000037C40000}"/>
    <cellStyle name="달러" xfId="8545" xr:uid="{00000000-0005-0000-0000-000038C40000}"/>
    <cellStyle name="델ō༚b뎔ō༪b뎬ō༺b빘ōཊb빰ōཚb뺌ōཪb뻘ōེb뻴ōྊb돌ōྚb돴ōྪb된ōྺb됸ō࿊b둔ō࿚b뼘ō࿪b뼸ō࿺b뽨ōညb뾔ōယb뿄ōဪb뒜ō်b뒸ō၊b듌ōၚb들ōၪb듸ōၺb뿴ōႊb쀐ō" xfId="8546" xr:uid="{00000000-0005-0000-0000-000039C40000}"/>
    <cellStyle name="둔ō࿚b뼘ō࿪b뼸ō࿺b뽨ōညb뾔ōယb뿄ōဪb뒜ō်b뒸ō၊b듌ōၚb들ōၪb듸ōၺb뿴ōႊb쀐ōႚb쀬ōႪb쁴ōႺb삐ō჊b딐ōლb따ōცb땔ōჺb땬ōᄊb떀ōᄚb산ōᄪb새ōᄺb샘ōᅋb샬ō" xfId="8547" xr:uid="{00000000-0005-0000-0000-00003AC40000}"/>
    <cellStyle name="뒤에 오는 하이퍼링크" xfId="8548" xr:uid="{00000000-0005-0000-0000-00003BC40000}"/>
    <cellStyle name="뒤에 오는 하이퍼링크 2" xfId="8549" xr:uid="{00000000-0005-0000-0000-00003CC40000}"/>
    <cellStyle name="뒸ō၊b듌ōၚb들ōၪb듸ōၺb뿴ōႊb쀐ōႚb쀬ōႪb쁴ōႺb삐ō჊b딐ōლb따ōცb땔ōჺb땬ōᄊb떀ōᄚb산ōᄪb새ōᄺb샘ōᅋb샬ōᅛb샴ōᅪb_x000c_ōᅺb0ōᆊbXōᆚbōᆪb¨ōᆺb섄ō" xfId="8550" xr:uid="{00000000-0005-0000-0000-00003DC40000}"/>
    <cellStyle name="딐ōლb따ōცb땔ōჺb땬ōᄊb떀ōᄚb산ōᄪb새ōᄺb샘ōᅋb샬ōᅛb샴ōᅪb_x000c_ōᅺb0ōᆊbXōᆚbōᆪb¨ōᆺb섄ōᇊb섰ōᇚb셌ōᇪb셨ōᇺb손ōሊbÌōሚbôōሪbŀōሺbŨōቊbƀō" xfId="8551" xr:uid="{00000000-0005-0000-0000-00003EC40000}"/>
    <cellStyle name="똿떓죶Ø괻 [0.00]_PRODUCT DETAIL Q1" xfId="8552" xr:uid="{00000000-0005-0000-0000-00003FC40000}"/>
    <cellStyle name="똿뗦먛귟 [0.00]_ACT LIST" xfId="8553" xr:uid="{00000000-0005-0000-0000-000040C40000}"/>
    <cellStyle name="똿뗦먛귟_ACT LIST" xfId="8554" xr:uid="{00000000-0005-0000-0000-000041C40000}"/>
    <cellStyle name="마감" xfId="8555" xr:uid="{00000000-0005-0000-0000-000042C40000}"/>
    <cellStyle name="마감 2" xfId="8556" xr:uid="{00000000-0005-0000-0000-000043C40000}"/>
    <cellStyle name="맒첵뵀" xfId="8557" xr:uid="{00000000-0005-0000-0000-000044C40000}"/>
    <cellStyle name="맒첵뵀?laroux" xfId="8558" xr:uid="{00000000-0005-0000-0000-000045C40000}"/>
    <cellStyle name="메모 2" xfId="8559" xr:uid="{00000000-0005-0000-0000-000046C40000}"/>
    <cellStyle name="메모 2 2" xfId="8560" xr:uid="{00000000-0005-0000-0000-000047C40000}"/>
    <cellStyle name="메모 2 2 2" xfId="14065" xr:uid="{00000000-0005-0000-0000-000048C40000}"/>
    <cellStyle name="메모 2 2 2 2" xfId="19079" xr:uid="{00000000-0005-0000-0000-000049C40000}"/>
    <cellStyle name="메모 2 2 2 2 2" xfId="37550" xr:uid="{00000000-0005-0000-0000-00004AC40000}"/>
    <cellStyle name="메모 2 2 2 3" xfId="28231" xr:uid="{00000000-0005-0000-0000-00004BC40000}"/>
    <cellStyle name="메모 2 2 2 4" xfId="51496" xr:uid="{00000000-0005-0000-0000-00004CC40000}"/>
    <cellStyle name="메모 2 2 3" xfId="14295" xr:uid="{00000000-0005-0000-0000-00004DC40000}"/>
    <cellStyle name="메모 2 2 3 2" xfId="19080" xr:uid="{00000000-0005-0000-0000-00004EC40000}"/>
    <cellStyle name="메모 2 2 3 2 2" xfId="37770" xr:uid="{00000000-0005-0000-0000-00004FC40000}"/>
    <cellStyle name="메모 2 2 3 3" xfId="28455" xr:uid="{00000000-0005-0000-0000-000050C40000}"/>
    <cellStyle name="메모 2 2 3 4" xfId="51642" xr:uid="{00000000-0005-0000-0000-000051C40000}"/>
    <cellStyle name="메모 2 2 4" xfId="18794" xr:uid="{00000000-0005-0000-0000-000052C40000}"/>
    <cellStyle name="메모 2 2 4 2" xfId="19081" xr:uid="{00000000-0005-0000-0000-000053C40000}"/>
    <cellStyle name="메모 2 2 4 3" xfId="32926" xr:uid="{00000000-0005-0000-0000-000054C40000}"/>
    <cellStyle name="메모 2 2 4 4" xfId="46826" xr:uid="{00000000-0005-0000-0000-000055C40000}"/>
    <cellStyle name="메모 2 2 5" xfId="23607" xr:uid="{00000000-0005-0000-0000-000056C40000}"/>
    <cellStyle name="메모 2 3" xfId="8561" xr:uid="{00000000-0005-0000-0000-000057C40000}"/>
    <cellStyle name="메모 2 3 2" xfId="14066" xr:uid="{00000000-0005-0000-0000-000058C40000}"/>
    <cellStyle name="메모 2 3 2 2" xfId="19082" xr:uid="{00000000-0005-0000-0000-000059C40000}"/>
    <cellStyle name="메모 2 3 2 2 2" xfId="37551" xr:uid="{00000000-0005-0000-0000-00005AC40000}"/>
    <cellStyle name="메모 2 3 2 3" xfId="28232" xr:uid="{00000000-0005-0000-0000-00005BC40000}"/>
    <cellStyle name="메모 2 3 2 4" xfId="51497" xr:uid="{00000000-0005-0000-0000-00005CC40000}"/>
    <cellStyle name="메모 2 3 3" xfId="14296" xr:uid="{00000000-0005-0000-0000-00005DC40000}"/>
    <cellStyle name="메모 2 3 3 2" xfId="19083" xr:uid="{00000000-0005-0000-0000-00005EC40000}"/>
    <cellStyle name="메모 2 3 3 2 2" xfId="37771" xr:uid="{00000000-0005-0000-0000-00005FC40000}"/>
    <cellStyle name="메모 2 3 3 3" xfId="28456" xr:uid="{00000000-0005-0000-0000-000060C40000}"/>
    <cellStyle name="메모 2 3 3 4" xfId="51643" xr:uid="{00000000-0005-0000-0000-000061C40000}"/>
    <cellStyle name="메모 2 3 4" xfId="18795" xr:uid="{00000000-0005-0000-0000-000062C40000}"/>
    <cellStyle name="메모 2 3 4 2" xfId="19084" xr:uid="{00000000-0005-0000-0000-000063C40000}"/>
    <cellStyle name="메모 2 3 4 3" xfId="32927" xr:uid="{00000000-0005-0000-0000-000064C40000}"/>
    <cellStyle name="메모 2 3 4 4" xfId="46827" xr:uid="{00000000-0005-0000-0000-000065C40000}"/>
    <cellStyle name="메모 2 3 5" xfId="23608" xr:uid="{00000000-0005-0000-0000-000066C40000}"/>
    <cellStyle name="메모 2 4" xfId="14064" xr:uid="{00000000-0005-0000-0000-000067C40000}"/>
    <cellStyle name="메모 2 4 2" xfId="19085" xr:uid="{00000000-0005-0000-0000-000068C40000}"/>
    <cellStyle name="메모 2 4 2 2" xfId="37549" xr:uid="{00000000-0005-0000-0000-000069C40000}"/>
    <cellStyle name="메모 2 4 3" xfId="28230" xr:uid="{00000000-0005-0000-0000-00006AC40000}"/>
    <cellStyle name="메모 2 4 4" xfId="51495" xr:uid="{00000000-0005-0000-0000-00006BC40000}"/>
    <cellStyle name="메모 2 5" xfId="14294" xr:uid="{00000000-0005-0000-0000-00006CC40000}"/>
    <cellStyle name="메모 2 5 2" xfId="19086" xr:uid="{00000000-0005-0000-0000-00006DC40000}"/>
    <cellStyle name="메모 2 5 2 2" xfId="37769" xr:uid="{00000000-0005-0000-0000-00006EC40000}"/>
    <cellStyle name="메모 2 5 3" xfId="28454" xr:uid="{00000000-0005-0000-0000-00006FC40000}"/>
    <cellStyle name="메모 2 5 4" xfId="51641" xr:uid="{00000000-0005-0000-0000-000070C40000}"/>
    <cellStyle name="메모 2 6" xfId="18793" xr:uid="{00000000-0005-0000-0000-000071C40000}"/>
    <cellStyle name="메모 2 6 2" xfId="19087" xr:uid="{00000000-0005-0000-0000-000072C40000}"/>
    <cellStyle name="메모 2 6 3" xfId="32925" xr:uid="{00000000-0005-0000-0000-000073C40000}"/>
    <cellStyle name="메모 2 6 4" xfId="46825" xr:uid="{00000000-0005-0000-0000-000074C40000}"/>
    <cellStyle name="메모 2 7" xfId="23606" xr:uid="{00000000-0005-0000-0000-000075C40000}"/>
    <cellStyle name="메모 3" xfId="8562" xr:uid="{00000000-0005-0000-0000-000076C40000}"/>
    <cellStyle name="메모 3 2" xfId="8563" xr:uid="{00000000-0005-0000-0000-000077C40000}"/>
    <cellStyle name="메모 3 2 2" xfId="14068" xr:uid="{00000000-0005-0000-0000-000078C40000}"/>
    <cellStyle name="메모 3 2 2 2" xfId="19088" xr:uid="{00000000-0005-0000-0000-000079C40000}"/>
    <cellStyle name="메모 3 2 2 2 2" xfId="37553" xr:uid="{00000000-0005-0000-0000-00007AC40000}"/>
    <cellStyle name="메모 3 2 2 3" xfId="28234" xr:uid="{00000000-0005-0000-0000-00007BC40000}"/>
    <cellStyle name="메모 3 2 2 4" xfId="51499" xr:uid="{00000000-0005-0000-0000-00007CC40000}"/>
    <cellStyle name="메모 3 2 3" xfId="14298" xr:uid="{00000000-0005-0000-0000-00007DC40000}"/>
    <cellStyle name="메모 3 2 3 2" xfId="19089" xr:uid="{00000000-0005-0000-0000-00007EC40000}"/>
    <cellStyle name="메모 3 2 3 2 2" xfId="37773" xr:uid="{00000000-0005-0000-0000-00007FC40000}"/>
    <cellStyle name="메모 3 2 3 3" xfId="28458" xr:uid="{00000000-0005-0000-0000-000080C40000}"/>
    <cellStyle name="메모 3 2 3 4" xfId="51645" xr:uid="{00000000-0005-0000-0000-000081C40000}"/>
    <cellStyle name="메모 3 2 4" xfId="18797" xr:uid="{00000000-0005-0000-0000-000082C40000}"/>
    <cellStyle name="메모 3 2 4 2" xfId="19090" xr:uid="{00000000-0005-0000-0000-000083C40000}"/>
    <cellStyle name="메모 3 2 4 3" xfId="32929" xr:uid="{00000000-0005-0000-0000-000084C40000}"/>
    <cellStyle name="메모 3 2 4 4" xfId="46829" xr:uid="{00000000-0005-0000-0000-000085C40000}"/>
    <cellStyle name="메모 3 2 5" xfId="23610" xr:uid="{00000000-0005-0000-0000-000086C40000}"/>
    <cellStyle name="메모 3 3" xfId="14067" xr:uid="{00000000-0005-0000-0000-000087C40000}"/>
    <cellStyle name="메모 3 3 2" xfId="19091" xr:uid="{00000000-0005-0000-0000-000088C40000}"/>
    <cellStyle name="메모 3 3 2 2" xfId="37552" xr:uid="{00000000-0005-0000-0000-000089C40000}"/>
    <cellStyle name="메모 3 3 3" xfId="28233" xr:uid="{00000000-0005-0000-0000-00008AC40000}"/>
    <cellStyle name="메모 3 3 4" xfId="51498" xr:uid="{00000000-0005-0000-0000-00008BC40000}"/>
    <cellStyle name="메모 3 4" xfId="14297" xr:uid="{00000000-0005-0000-0000-00008CC40000}"/>
    <cellStyle name="메모 3 4 2" xfId="19092" xr:uid="{00000000-0005-0000-0000-00008DC40000}"/>
    <cellStyle name="메모 3 4 2 2" xfId="37772" xr:uid="{00000000-0005-0000-0000-00008EC40000}"/>
    <cellStyle name="메모 3 4 3" xfId="28457" xr:uid="{00000000-0005-0000-0000-00008FC40000}"/>
    <cellStyle name="메모 3 4 4" xfId="51644" xr:uid="{00000000-0005-0000-0000-000090C40000}"/>
    <cellStyle name="메모 3 5" xfId="18796" xr:uid="{00000000-0005-0000-0000-000091C40000}"/>
    <cellStyle name="메모 3 5 2" xfId="19093" xr:uid="{00000000-0005-0000-0000-000092C40000}"/>
    <cellStyle name="메모 3 5 3" xfId="32928" xr:uid="{00000000-0005-0000-0000-000093C40000}"/>
    <cellStyle name="메모 3 5 4" xfId="46828" xr:uid="{00000000-0005-0000-0000-000094C40000}"/>
    <cellStyle name="메모 3 6" xfId="23609" xr:uid="{00000000-0005-0000-0000-000095C40000}"/>
    <cellStyle name="메모 4" xfId="8564" xr:uid="{00000000-0005-0000-0000-000096C40000}"/>
    <cellStyle name="메모 5" xfId="8565" xr:uid="{00000000-0005-0000-0000-000097C40000}"/>
    <cellStyle name="메모 5 2" xfId="14069" xr:uid="{00000000-0005-0000-0000-000098C40000}"/>
    <cellStyle name="메모 5 2 2" xfId="19094" xr:uid="{00000000-0005-0000-0000-000099C40000}"/>
    <cellStyle name="메모 5 2 2 2" xfId="37554" xr:uid="{00000000-0005-0000-0000-00009AC40000}"/>
    <cellStyle name="메모 5 2 3" xfId="28235" xr:uid="{00000000-0005-0000-0000-00009BC40000}"/>
    <cellStyle name="메모 5 2 4" xfId="51500" xr:uid="{00000000-0005-0000-0000-00009CC40000}"/>
    <cellStyle name="메모 5 3" xfId="14299" xr:uid="{00000000-0005-0000-0000-00009DC40000}"/>
    <cellStyle name="메모 5 3 2" xfId="19095" xr:uid="{00000000-0005-0000-0000-00009EC40000}"/>
    <cellStyle name="메모 5 3 2 2" xfId="37774" xr:uid="{00000000-0005-0000-0000-00009FC40000}"/>
    <cellStyle name="메모 5 3 3" xfId="28459" xr:uid="{00000000-0005-0000-0000-0000A0C40000}"/>
    <cellStyle name="메모 5 3 4" xfId="51646" xr:uid="{00000000-0005-0000-0000-0000A1C40000}"/>
    <cellStyle name="메모 5 4" xfId="18798" xr:uid="{00000000-0005-0000-0000-0000A2C40000}"/>
    <cellStyle name="메모 5 4 2" xfId="19096" xr:uid="{00000000-0005-0000-0000-0000A3C40000}"/>
    <cellStyle name="메모 5 4 3" xfId="32930" xr:uid="{00000000-0005-0000-0000-0000A4C40000}"/>
    <cellStyle name="메모 5 4 4" xfId="46830" xr:uid="{00000000-0005-0000-0000-0000A5C40000}"/>
    <cellStyle name="메모 5 5" xfId="23611" xr:uid="{00000000-0005-0000-0000-0000A6C40000}"/>
    <cellStyle name="묮뎋 [0.00]_PRODUCT DETAIL Q3 (2)_PERSONAL" xfId="8566" xr:uid="{00000000-0005-0000-0000-0000A7C40000}"/>
    <cellStyle name="믅됞 [0.00]_ Att. 1- Cover" xfId="8567" xr:uid="{00000000-0005-0000-0000-0000A8C40000}"/>
    <cellStyle name="믅됞_ Att. 1- Cover" xfId="8568" xr:uid="{00000000-0005-0000-0000-0000A9C40000}"/>
    <cellStyle name="반올림" xfId="8569" xr:uid="{00000000-0005-0000-0000-0000AAC40000}"/>
    <cellStyle name="반올림 2" xfId="8570" xr:uid="{00000000-0005-0000-0000-0000ABC40000}"/>
    <cellStyle name="반올림 2 2" xfId="8571" xr:uid="{00000000-0005-0000-0000-0000ACC40000}"/>
    <cellStyle name="반올림 3" xfId="8572" xr:uid="{00000000-0005-0000-0000-0000ADC40000}"/>
    <cellStyle name="백분율 [0]" xfId="8573" xr:uid="{00000000-0005-0000-0000-0000AEC40000}"/>
    <cellStyle name="백분율 10" xfId="8574" xr:uid="{00000000-0005-0000-0000-0000AFC40000}"/>
    <cellStyle name="백분율 10 2" xfId="8575" xr:uid="{00000000-0005-0000-0000-0000B0C40000}"/>
    <cellStyle name="백분율 11" xfId="8576" xr:uid="{00000000-0005-0000-0000-0000B1C40000}"/>
    <cellStyle name="백분율 12" xfId="8577" xr:uid="{00000000-0005-0000-0000-0000B2C40000}"/>
    <cellStyle name="백분율 2" xfId="8578" xr:uid="{00000000-0005-0000-0000-0000B3C40000}"/>
    <cellStyle name="백분율 2 2" xfId="8579" xr:uid="{00000000-0005-0000-0000-0000B4C40000}"/>
    <cellStyle name="백분율 2 2 2" xfId="8580" xr:uid="{00000000-0005-0000-0000-0000B5C40000}"/>
    <cellStyle name="백분율 2 2 2 2" xfId="8581" xr:uid="{00000000-0005-0000-0000-0000B6C40000}"/>
    <cellStyle name="백분율 2 2 3" xfId="8582" xr:uid="{00000000-0005-0000-0000-0000B7C40000}"/>
    <cellStyle name="백분율 2 3" xfId="8583" xr:uid="{00000000-0005-0000-0000-0000B8C40000}"/>
    <cellStyle name="백분율 2 3 2" xfId="8584" xr:uid="{00000000-0005-0000-0000-0000B9C40000}"/>
    <cellStyle name="백분율 3" xfId="8585" xr:uid="{00000000-0005-0000-0000-0000BAC40000}"/>
    <cellStyle name="백분율 3 2" xfId="8586" xr:uid="{00000000-0005-0000-0000-0000BBC40000}"/>
    <cellStyle name="백분율 3 3" xfId="8587" xr:uid="{00000000-0005-0000-0000-0000BCC40000}"/>
    <cellStyle name="백분율 4" xfId="8588" xr:uid="{00000000-0005-0000-0000-0000BDC40000}"/>
    <cellStyle name="백분율 5" xfId="8589" xr:uid="{00000000-0005-0000-0000-0000BEC40000}"/>
    <cellStyle name="백분율 6" xfId="8590" xr:uid="{00000000-0005-0000-0000-0000BFC40000}"/>
    <cellStyle name="백분율 6 2" xfId="8591" xr:uid="{00000000-0005-0000-0000-0000C0C40000}"/>
    <cellStyle name="백분율 7" xfId="8592" xr:uid="{00000000-0005-0000-0000-0000C1C40000}"/>
    <cellStyle name="백분율 7 2" xfId="8593" xr:uid="{00000000-0005-0000-0000-0000C2C40000}"/>
    <cellStyle name="백분율 8" xfId="8594" xr:uid="{00000000-0005-0000-0000-0000C3C40000}"/>
    <cellStyle name="백분율 8 2" xfId="8595" xr:uid="{00000000-0005-0000-0000-0000C4C40000}"/>
    <cellStyle name="백분율 9" xfId="8596" xr:uid="{00000000-0005-0000-0000-0000C5C40000}"/>
    <cellStyle name="백분율 9 2" xfId="8597" xr:uid="{00000000-0005-0000-0000-0000C6C40000}"/>
    <cellStyle name="보완공사" xfId="8598" xr:uid="{00000000-0005-0000-0000-0000C7C40000}"/>
    <cellStyle name="보통 2" xfId="8599" xr:uid="{00000000-0005-0000-0000-0000C8C40000}"/>
    <cellStyle name="보통 2 2" xfId="8600" xr:uid="{00000000-0005-0000-0000-0000C9C40000}"/>
    <cellStyle name="보통 3" xfId="8601" xr:uid="{00000000-0005-0000-0000-0000CAC40000}"/>
    <cellStyle name="부제목" xfId="8602" xr:uid="{00000000-0005-0000-0000-0000CBC40000}"/>
    <cellStyle name="부제목 2" xfId="14070" xr:uid="{00000000-0005-0000-0000-0000CCC40000}"/>
    <cellStyle name="부제목 2 2" xfId="19097" xr:uid="{00000000-0005-0000-0000-0000CDC40000}"/>
    <cellStyle name="부제목 2 3" xfId="28236" xr:uid="{00000000-0005-0000-0000-0000CEC40000}"/>
    <cellStyle name="부제목 2 4" xfId="51501" xr:uid="{00000000-0005-0000-0000-0000CFC40000}"/>
    <cellStyle name="부제목 3" xfId="14300" xr:uid="{00000000-0005-0000-0000-0000D0C40000}"/>
    <cellStyle name="부제목 3 2" xfId="19098" xr:uid="{00000000-0005-0000-0000-0000D1C40000}"/>
    <cellStyle name="부제목 3 2 2" xfId="37775" xr:uid="{00000000-0005-0000-0000-0000D2C40000}"/>
    <cellStyle name="부제목 3 3" xfId="28460" xr:uid="{00000000-0005-0000-0000-0000D3C40000}"/>
    <cellStyle name="부제목 3 4" xfId="46831" xr:uid="{00000000-0005-0000-0000-0000D4C40000}"/>
    <cellStyle name="분수" xfId="8603" xr:uid="{00000000-0005-0000-0000-0000D5C40000}"/>
    <cellStyle name="분수 2" xfId="8604" xr:uid="{00000000-0005-0000-0000-0000D6C40000}"/>
    <cellStyle name="붘ōบb붴ōสb뷄ōฺb뷘ō๊b닄ō๚b닜ō๪b닰ō๺b댜ōຊb댸ōບb뷬ōສb븄ō຺b블ō໊b븨ō໚b븼ō໪b덐ō໺b덠ō༊b델ō༚b뎔ō༪b뎬ō༺b빘ōཊb빰ōཚb뺌ōཪb뻘ōེb뻴ōྊb돌ō" xfId="8605" xr:uid="{00000000-0005-0000-0000-0000D7C40000}"/>
    <cellStyle name="뷭?" xfId="8606" xr:uid="{00000000-0005-0000-0000-0000D8C40000}"/>
    <cellStyle name="뷭? 2" xfId="8607" xr:uid="{00000000-0005-0000-0000-0000D9C40000}"/>
    <cellStyle name="뷭?_BOOKSHIP" xfId="8608" xr:uid="{00000000-0005-0000-0000-0000DAC40000}"/>
    <cellStyle name="븨ō໚b븼ō໪b덐ō໺b덠ō༊b델ō༚b뎔ō༪b뎬ō༺b빘ōཊb빰ōཚb뺌ōཪb뻘ōེb뻴ōྊb돌ōྚb돴ōྪb된ōྺb됸ō࿊b둔ō࿚b뼘ō࿪b뼸ō࿺b뽨ōညb뾔ōယb뿄ōဪb뒜ō်b뒸ō၊b듌ō" xfId="8609" xr:uid="{00000000-0005-0000-0000-0000DBC40000}"/>
    <cellStyle name="빨강" xfId="8610" xr:uid="{00000000-0005-0000-0000-0000DCC40000}"/>
    <cellStyle name="뻴ōྊb돌ōྚb돴ōྪb된ōྺb됸ō࿊b둔ō࿚b뼘ō࿪b뼸ō࿺b뽨ōညb뾔ōယb뿄ōဪb뒜ō်b뒸ō၊b듌ōၚb들ōၪb듸ōၺb뿴ōႊb쀐ōႚb쀬ōႪb쁴ōႺb삐ō჊b딐ōლb따ōცb땔ōჺb땬ō" xfId="8611" xr:uid="{00000000-0005-0000-0000-0000DDC40000}"/>
    <cellStyle name="뼁?laroux_1" xfId="8612" xr:uid="{00000000-0005-0000-0000-0000DEC40000}"/>
    <cellStyle name="설명 텍스트 2" xfId="8613" xr:uid="{00000000-0005-0000-0000-0000DFC40000}"/>
    <cellStyle name="셀 확인 2" xfId="8614" xr:uid="{00000000-0005-0000-0000-0000E0C40000}"/>
    <cellStyle name="숫자(R)" xfId="8615" xr:uid="{00000000-0005-0000-0000-0000E1C40000}"/>
    <cellStyle name="숫자(R) 2" xfId="8616" xr:uid="{00000000-0005-0000-0000-0000E2C40000}"/>
    <cellStyle name="쉼표 [0] 2" xfId="8617" xr:uid="{00000000-0005-0000-0000-0000E3C40000}"/>
    <cellStyle name="쉼표 [0] 2 2" xfId="8618" xr:uid="{00000000-0005-0000-0000-0000E4C40000}"/>
    <cellStyle name="쉼표 [0] 2 2 2" xfId="8619" xr:uid="{00000000-0005-0000-0000-0000E5C40000}"/>
    <cellStyle name="쉼표 [0] 2 2 2 2" xfId="8620" xr:uid="{00000000-0005-0000-0000-0000E6C40000}"/>
    <cellStyle name="쉼표 [0] 2 2 3" xfId="8621" xr:uid="{00000000-0005-0000-0000-0000E7C40000}"/>
    <cellStyle name="쉼표 [0] 2 2 3 2" xfId="8622" xr:uid="{00000000-0005-0000-0000-0000E8C40000}"/>
    <cellStyle name="쉼표 [0] 2 2 4" xfId="8623" xr:uid="{00000000-0005-0000-0000-0000E9C40000}"/>
    <cellStyle name="쉼표 [0] 2 3" xfId="8624" xr:uid="{00000000-0005-0000-0000-0000EAC40000}"/>
    <cellStyle name="쉼표 [0] 2 3 2" xfId="8625" xr:uid="{00000000-0005-0000-0000-0000EBC40000}"/>
    <cellStyle name="쉼표 [0] 2 4" xfId="8626" xr:uid="{00000000-0005-0000-0000-0000ECC40000}"/>
    <cellStyle name="쉼표 [0] 2 5" xfId="8627" xr:uid="{00000000-0005-0000-0000-0000EDC40000}"/>
    <cellStyle name="쉼표 [0] 2 6" xfId="8628" xr:uid="{00000000-0005-0000-0000-0000EEC40000}"/>
    <cellStyle name="쉼표 [0] 3" xfId="8629" xr:uid="{00000000-0005-0000-0000-0000EFC40000}"/>
    <cellStyle name="쉼표 [0] 3 2" xfId="8630" xr:uid="{00000000-0005-0000-0000-0000F0C40000}"/>
    <cellStyle name="쉼표 [0] 3 3" xfId="8631" xr:uid="{00000000-0005-0000-0000-0000F1C40000}"/>
    <cellStyle name="쉼표 [0] 3 4" xfId="8632" xr:uid="{00000000-0005-0000-0000-0000F2C40000}"/>
    <cellStyle name="쉼표 [0] 3 4 2" xfId="8633" xr:uid="{00000000-0005-0000-0000-0000F3C40000}"/>
    <cellStyle name="쉼표 [0] 3 5" xfId="8634" xr:uid="{00000000-0005-0000-0000-0000F4C40000}"/>
    <cellStyle name="쉼표 [0] 4" xfId="8635" xr:uid="{00000000-0005-0000-0000-0000F5C40000}"/>
    <cellStyle name="쉼표 [0] 4 2" xfId="8636" xr:uid="{00000000-0005-0000-0000-0000F6C40000}"/>
    <cellStyle name="쉼표 [0] 4 3" xfId="8637" xr:uid="{00000000-0005-0000-0000-0000F7C40000}"/>
    <cellStyle name="쉼표 [0] 4 3 2" xfId="8638" xr:uid="{00000000-0005-0000-0000-0000F8C40000}"/>
    <cellStyle name="쉼표 [0] 4 4" xfId="8639" xr:uid="{00000000-0005-0000-0000-0000F9C40000}"/>
    <cellStyle name="쉼표 [0] 5" xfId="8640" xr:uid="{00000000-0005-0000-0000-0000FAC40000}"/>
    <cellStyle name="쉼표 [0] 6" xfId="8641" xr:uid="{00000000-0005-0000-0000-0000FBC40000}"/>
    <cellStyle name="쉼표 [0] 7" xfId="8642" xr:uid="{00000000-0005-0000-0000-0000FCC40000}"/>
    <cellStyle name="쉼표 [0] 7 2" xfId="8643" xr:uid="{00000000-0005-0000-0000-0000FDC40000}"/>
    <cellStyle name="쉼표 [0] 7 2 2" xfId="8644" xr:uid="{00000000-0005-0000-0000-0000FEC40000}"/>
    <cellStyle name="쉼표 [0] 7 2 2 2" xfId="8645" xr:uid="{00000000-0005-0000-0000-0000FFC40000}"/>
    <cellStyle name="쉼표 [0] 8" xfId="8646" xr:uid="{00000000-0005-0000-0000-000000C50000}"/>
    <cellStyle name="쉼표 2" xfId="8647" xr:uid="{00000000-0005-0000-0000-000001C50000}"/>
    <cellStyle name="쉼표 3" xfId="8648" xr:uid="{00000000-0005-0000-0000-000002C50000}"/>
    <cellStyle name="스타일 1" xfId="8649" xr:uid="{00000000-0005-0000-0000-000003C50000}"/>
    <cellStyle name="스타일 1 2" xfId="8650" xr:uid="{00000000-0005-0000-0000-000004C50000}"/>
    <cellStyle name="스타일 1 2 2" xfId="8651" xr:uid="{00000000-0005-0000-0000-000005C50000}"/>
    <cellStyle name="스타일 1 3" xfId="8652" xr:uid="{00000000-0005-0000-0000-000006C50000}"/>
    <cellStyle name="스타일 1 4" xfId="8653" xr:uid="{00000000-0005-0000-0000-000007C50000}"/>
    <cellStyle name="스타일 1 5" xfId="8654" xr:uid="{00000000-0005-0000-0000-000008C50000}"/>
    <cellStyle name="스타일 1_Book1" xfId="8655" xr:uid="{00000000-0005-0000-0000-000009C50000}"/>
    <cellStyle name="스타일 10" xfId="8656" xr:uid="{00000000-0005-0000-0000-00000AC50000}"/>
    <cellStyle name="스타일 100" xfId="8657" xr:uid="{00000000-0005-0000-0000-00000BC50000}"/>
    <cellStyle name="스타일 100 2" xfId="8658" xr:uid="{00000000-0005-0000-0000-00000CC50000}"/>
    <cellStyle name="스타일 101" xfId="8659" xr:uid="{00000000-0005-0000-0000-00000DC50000}"/>
    <cellStyle name="스타일 101 2" xfId="8660" xr:uid="{00000000-0005-0000-0000-00000EC50000}"/>
    <cellStyle name="스타일 102" xfId="8661" xr:uid="{00000000-0005-0000-0000-00000FC50000}"/>
    <cellStyle name="스타일 102 2" xfId="8662" xr:uid="{00000000-0005-0000-0000-000010C50000}"/>
    <cellStyle name="스타일 103" xfId="8663" xr:uid="{00000000-0005-0000-0000-000011C50000}"/>
    <cellStyle name="스타일 103 2" xfId="8664" xr:uid="{00000000-0005-0000-0000-000012C50000}"/>
    <cellStyle name="스타일 104" xfId="8665" xr:uid="{00000000-0005-0000-0000-000013C50000}"/>
    <cellStyle name="스타일 104 2" xfId="8666" xr:uid="{00000000-0005-0000-0000-000014C50000}"/>
    <cellStyle name="스타일 105" xfId="8667" xr:uid="{00000000-0005-0000-0000-000015C50000}"/>
    <cellStyle name="스타일 105 2" xfId="8668" xr:uid="{00000000-0005-0000-0000-000016C50000}"/>
    <cellStyle name="스타일 106" xfId="8669" xr:uid="{00000000-0005-0000-0000-000017C50000}"/>
    <cellStyle name="스타일 106 2" xfId="8670" xr:uid="{00000000-0005-0000-0000-000018C50000}"/>
    <cellStyle name="스타일 107" xfId="8671" xr:uid="{00000000-0005-0000-0000-000019C50000}"/>
    <cellStyle name="스타일 107 2" xfId="8672" xr:uid="{00000000-0005-0000-0000-00001AC50000}"/>
    <cellStyle name="스타일 108" xfId="8673" xr:uid="{00000000-0005-0000-0000-00001BC50000}"/>
    <cellStyle name="스타일 108 2" xfId="8674" xr:uid="{00000000-0005-0000-0000-00001CC50000}"/>
    <cellStyle name="스타일 109" xfId="8675" xr:uid="{00000000-0005-0000-0000-00001DC50000}"/>
    <cellStyle name="스타일 109 2" xfId="8676" xr:uid="{00000000-0005-0000-0000-00001EC50000}"/>
    <cellStyle name="스타일 11" xfId="8677" xr:uid="{00000000-0005-0000-0000-00001FC50000}"/>
    <cellStyle name="스타일 110" xfId="8678" xr:uid="{00000000-0005-0000-0000-000020C50000}"/>
    <cellStyle name="스타일 110 2" xfId="8679" xr:uid="{00000000-0005-0000-0000-000021C50000}"/>
    <cellStyle name="스타일 111" xfId="8680" xr:uid="{00000000-0005-0000-0000-000022C50000}"/>
    <cellStyle name="스타일 111 2" xfId="8681" xr:uid="{00000000-0005-0000-0000-000023C50000}"/>
    <cellStyle name="스타일 112" xfId="8682" xr:uid="{00000000-0005-0000-0000-000024C50000}"/>
    <cellStyle name="스타일 112 2" xfId="8683" xr:uid="{00000000-0005-0000-0000-000025C50000}"/>
    <cellStyle name="스타일 113" xfId="8684" xr:uid="{00000000-0005-0000-0000-000026C50000}"/>
    <cellStyle name="스타일 113 2" xfId="8685" xr:uid="{00000000-0005-0000-0000-000027C50000}"/>
    <cellStyle name="스타일 114" xfId="8686" xr:uid="{00000000-0005-0000-0000-000028C50000}"/>
    <cellStyle name="스타일 114 2" xfId="8687" xr:uid="{00000000-0005-0000-0000-000029C50000}"/>
    <cellStyle name="스타일 115" xfId="8688" xr:uid="{00000000-0005-0000-0000-00002AC50000}"/>
    <cellStyle name="스타일 115 2" xfId="8689" xr:uid="{00000000-0005-0000-0000-00002BC50000}"/>
    <cellStyle name="스타일 116" xfId="8690" xr:uid="{00000000-0005-0000-0000-00002CC50000}"/>
    <cellStyle name="스타일 116 2" xfId="8691" xr:uid="{00000000-0005-0000-0000-00002DC50000}"/>
    <cellStyle name="스타일 117" xfId="8692" xr:uid="{00000000-0005-0000-0000-00002EC50000}"/>
    <cellStyle name="스타일 117 2" xfId="8693" xr:uid="{00000000-0005-0000-0000-00002FC50000}"/>
    <cellStyle name="스타일 118" xfId="8694" xr:uid="{00000000-0005-0000-0000-000030C50000}"/>
    <cellStyle name="스타일 118 2" xfId="8695" xr:uid="{00000000-0005-0000-0000-000031C50000}"/>
    <cellStyle name="스타일 119" xfId="8696" xr:uid="{00000000-0005-0000-0000-000032C50000}"/>
    <cellStyle name="스타일 119 2" xfId="8697" xr:uid="{00000000-0005-0000-0000-000033C50000}"/>
    <cellStyle name="스타일 12" xfId="8698" xr:uid="{00000000-0005-0000-0000-000034C50000}"/>
    <cellStyle name="스타일 120" xfId="8699" xr:uid="{00000000-0005-0000-0000-000035C50000}"/>
    <cellStyle name="스타일 120 2" xfId="8700" xr:uid="{00000000-0005-0000-0000-000036C50000}"/>
    <cellStyle name="스타일 121" xfId="8701" xr:uid="{00000000-0005-0000-0000-000037C50000}"/>
    <cellStyle name="스타일 121 2" xfId="8702" xr:uid="{00000000-0005-0000-0000-000038C50000}"/>
    <cellStyle name="스타일 122" xfId="8703" xr:uid="{00000000-0005-0000-0000-000039C50000}"/>
    <cellStyle name="스타일 122 2" xfId="8704" xr:uid="{00000000-0005-0000-0000-00003AC50000}"/>
    <cellStyle name="스타일 123" xfId="8705" xr:uid="{00000000-0005-0000-0000-00003BC50000}"/>
    <cellStyle name="스타일 123 2" xfId="8706" xr:uid="{00000000-0005-0000-0000-00003CC50000}"/>
    <cellStyle name="스타일 124" xfId="8707" xr:uid="{00000000-0005-0000-0000-00003DC50000}"/>
    <cellStyle name="스타일 124 2" xfId="8708" xr:uid="{00000000-0005-0000-0000-00003EC50000}"/>
    <cellStyle name="스타일 125" xfId="8709" xr:uid="{00000000-0005-0000-0000-00003FC50000}"/>
    <cellStyle name="스타일 125 2" xfId="8710" xr:uid="{00000000-0005-0000-0000-000040C50000}"/>
    <cellStyle name="스타일 126" xfId="8711" xr:uid="{00000000-0005-0000-0000-000041C50000}"/>
    <cellStyle name="스타일 126 2" xfId="8712" xr:uid="{00000000-0005-0000-0000-000042C50000}"/>
    <cellStyle name="스타일 127" xfId="8713" xr:uid="{00000000-0005-0000-0000-000043C50000}"/>
    <cellStyle name="스타일 127 2" xfId="8714" xr:uid="{00000000-0005-0000-0000-000044C50000}"/>
    <cellStyle name="스타일 128" xfId="8715" xr:uid="{00000000-0005-0000-0000-000045C50000}"/>
    <cellStyle name="스타일 128 2" xfId="8716" xr:uid="{00000000-0005-0000-0000-000046C50000}"/>
    <cellStyle name="스타일 129" xfId="8717" xr:uid="{00000000-0005-0000-0000-000047C50000}"/>
    <cellStyle name="스타일 129 2" xfId="8718" xr:uid="{00000000-0005-0000-0000-000048C50000}"/>
    <cellStyle name="스타일 13" xfId="8719" xr:uid="{00000000-0005-0000-0000-000049C50000}"/>
    <cellStyle name="스타일 130" xfId="8720" xr:uid="{00000000-0005-0000-0000-00004AC50000}"/>
    <cellStyle name="스타일 130 2" xfId="8721" xr:uid="{00000000-0005-0000-0000-00004BC50000}"/>
    <cellStyle name="스타일 131" xfId="8722" xr:uid="{00000000-0005-0000-0000-00004CC50000}"/>
    <cellStyle name="스타일 131 2" xfId="8723" xr:uid="{00000000-0005-0000-0000-00004DC50000}"/>
    <cellStyle name="스타일 132" xfId="8724" xr:uid="{00000000-0005-0000-0000-00004EC50000}"/>
    <cellStyle name="스타일 132 2" xfId="8725" xr:uid="{00000000-0005-0000-0000-00004FC50000}"/>
    <cellStyle name="스타일 133" xfId="8726" xr:uid="{00000000-0005-0000-0000-000050C50000}"/>
    <cellStyle name="스타일 133 2" xfId="8727" xr:uid="{00000000-0005-0000-0000-000051C50000}"/>
    <cellStyle name="스타일 134" xfId="8728" xr:uid="{00000000-0005-0000-0000-000052C50000}"/>
    <cellStyle name="스타일 134 2" xfId="8729" xr:uid="{00000000-0005-0000-0000-000053C50000}"/>
    <cellStyle name="스타일 135" xfId="8730" xr:uid="{00000000-0005-0000-0000-000054C50000}"/>
    <cellStyle name="스타일 135 2" xfId="8731" xr:uid="{00000000-0005-0000-0000-000055C50000}"/>
    <cellStyle name="스타일 136" xfId="8732" xr:uid="{00000000-0005-0000-0000-000056C50000}"/>
    <cellStyle name="스타일 136 2" xfId="8733" xr:uid="{00000000-0005-0000-0000-000057C50000}"/>
    <cellStyle name="스타일 137" xfId="8734" xr:uid="{00000000-0005-0000-0000-000058C50000}"/>
    <cellStyle name="스타일 137 2" xfId="8735" xr:uid="{00000000-0005-0000-0000-000059C50000}"/>
    <cellStyle name="스타일 138" xfId="8736" xr:uid="{00000000-0005-0000-0000-00005AC50000}"/>
    <cellStyle name="스타일 138 2" xfId="8737" xr:uid="{00000000-0005-0000-0000-00005BC50000}"/>
    <cellStyle name="스타일 139" xfId="8738" xr:uid="{00000000-0005-0000-0000-00005CC50000}"/>
    <cellStyle name="스타일 139 2" xfId="8739" xr:uid="{00000000-0005-0000-0000-00005DC50000}"/>
    <cellStyle name="스타일 14" xfId="8740" xr:uid="{00000000-0005-0000-0000-00005EC50000}"/>
    <cellStyle name="스타일 14 2" xfId="8741" xr:uid="{00000000-0005-0000-0000-00005FC50000}"/>
    <cellStyle name="스타일 140" xfId="8742" xr:uid="{00000000-0005-0000-0000-000060C50000}"/>
    <cellStyle name="스타일 140 2" xfId="8743" xr:uid="{00000000-0005-0000-0000-000061C50000}"/>
    <cellStyle name="스타일 141" xfId="8744" xr:uid="{00000000-0005-0000-0000-000062C50000}"/>
    <cellStyle name="스타일 141 2" xfId="8745" xr:uid="{00000000-0005-0000-0000-000063C50000}"/>
    <cellStyle name="스타일 142" xfId="8746" xr:uid="{00000000-0005-0000-0000-000064C50000}"/>
    <cellStyle name="스타일 142 2" xfId="8747" xr:uid="{00000000-0005-0000-0000-000065C50000}"/>
    <cellStyle name="스타일 143" xfId="8748" xr:uid="{00000000-0005-0000-0000-000066C50000}"/>
    <cellStyle name="스타일 143 2" xfId="8749" xr:uid="{00000000-0005-0000-0000-000067C50000}"/>
    <cellStyle name="스타일 144" xfId="8750" xr:uid="{00000000-0005-0000-0000-000068C50000}"/>
    <cellStyle name="스타일 144 2" xfId="8751" xr:uid="{00000000-0005-0000-0000-000069C50000}"/>
    <cellStyle name="스타일 145" xfId="8752" xr:uid="{00000000-0005-0000-0000-00006AC50000}"/>
    <cellStyle name="스타일 145 2" xfId="8753" xr:uid="{00000000-0005-0000-0000-00006BC50000}"/>
    <cellStyle name="스타일 146" xfId="8754" xr:uid="{00000000-0005-0000-0000-00006CC50000}"/>
    <cellStyle name="스타일 146 2" xfId="8755" xr:uid="{00000000-0005-0000-0000-00006DC50000}"/>
    <cellStyle name="스타일 147" xfId="8756" xr:uid="{00000000-0005-0000-0000-00006EC50000}"/>
    <cellStyle name="스타일 147 2" xfId="8757" xr:uid="{00000000-0005-0000-0000-00006FC50000}"/>
    <cellStyle name="스타일 148" xfId="8758" xr:uid="{00000000-0005-0000-0000-000070C50000}"/>
    <cellStyle name="스타일 148 2" xfId="8759" xr:uid="{00000000-0005-0000-0000-000071C50000}"/>
    <cellStyle name="스타일 149" xfId="8760" xr:uid="{00000000-0005-0000-0000-000072C50000}"/>
    <cellStyle name="스타일 149 2" xfId="8761" xr:uid="{00000000-0005-0000-0000-000073C50000}"/>
    <cellStyle name="스타일 15" xfId="8762" xr:uid="{00000000-0005-0000-0000-000074C50000}"/>
    <cellStyle name="스타일 15 2" xfId="8763" xr:uid="{00000000-0005-0000-0000-000075C50000}"/>
    <cellStyle name="스타일 150" xfId="8764" xr:uid="{00000000-0005-0000-0000-000076C50000}"/>
    <cellStyle name="스타일 150 2" xfId="8765" xr:uid="{00000000-0005-0000-0000-000077C50000}"/>
    <cellStyle name="스타일 151" xfId="8766" xr:uid="{00000000-0005-0000-0000-000078C50000}"/>
    <cellStyle name="스타일 151 2" xfId="8767" xr:uid="{00000000-0005-0000-0000-000079C50000}"/>
    <cellStyle name="스타일 152" xfId="8768" xr:uid="{00000000-0005-0000-0000-00007AC50000}"/>
    <cellStyle name="스타일 152 2" xfId="8769" xr:uid="{00000000-0005-0000-0000-00007BC50000}"/>
    <cellStyle name="스타일 153" xfId="8770" xr:uid="{00000000-0005-0000-0000-00007CC50000}"/>
    <cellStyle name="스타일 153 2" xfId="8771" xr:uid="{00000000-0005-0000-0000-00007DC50000}"/>
    <cellStyle name="스타일 154" xfId="8772" xr:uid="{00000000-0005-0000-0000-00007EC50000}"/>
    <cellStyle name="스타일 154 2" xfId="8773" xr:uid="{00000000-0005-0000-0000-00007FC50000}"/>
    <cellStyle name="스타일 155" xfId="8774" xr:uid="{00000000-0005-0000-0000-000080C50000}"/>
    <cellStyle name="스타일 155 2" xfId="8775" xr:uid="{00000000-0005-0000-0000-000081C50000}"/>
    <cellStyle name="스타일 156" xfId="8776" xr:uid="{00000000-0005-0000-0000-000082C50000}"/>
    <cellStyle name="스타일 156 2" xfId="8777" xr:uid="{00000000-0005-0000-0000-000083C50000}"/>
    <cellStyle name="스타일 157" xfId="8778" xr:uid="{00000000-0005-0000-0000-000084C50000}"/>
    <cellStyle name="스타일 157 2" xfId="8779" xr:uid="{00000000-0005-0000-0000-000085C50000}"/>
    <cellStyle name="스타일 158" xfId="8780" xr:uid="{00000000-0005-0000-0000-000086C50000}"/>
    <cellStyle name="스타일 158 2" xfId="8781" xr:uid="{00000000-0005-0000-0000-000087C50000}"/>
    <cellStyle name="스타일 159" xfId="8782" xr:uid="{00000000-0005-0000-0000-000088C50000}"/>
    <cellStyle name="스타일 159 2" xfId="8783" xr:uid="{00000000-0005-0000-0000-000089C50000}"/>
    <cellStyle name="스타일 16" xfId="8784" xr:uid="{00000000-0005-0000-0000-00008AC50000}"/>
    <cellStyle name="스타일 16 2" xfId="8785" xr:uid="{00000000-0005-0000-0000-00008BC50000}"/>
    <cellStyle name="스타일 160" xfId="8786" xr:uid="{00000000-0005-0000-0000-00008CC50000}"/>
    <cellStyle name="스타일 160 2" xfId="8787" xr:uid="{00000000-0005-0000-0000-00008DC50000}"/>
    <cellStyle name="스타일 161" xfId="8788" xr:uid="{00000000-0005-0000-0000-00008EC50000}"/>
    <cellStyle name="스타일 161 2" xfId="8789" xr:uid="{00000000-0005-0000-0000-00008FC50000}"/>
    <cellStyle name="스타일 162" xfId="8790" xr:uid="{00000000-0005-0000-0000-000090C50000}"/>
    <cellStyle name="스타일 162 2" xfId="8791" xr:uid="{00000000-0005-0000-0000-000091C50000}"/>
    <cellStyle name="스타일 163" xfId="8792" xr:uid="{00000000-0005-0000-0000-000092C50000}"/>
    <cellStyle name="스타일 163 2" xfId="8793" xr:uid="{00000000-0005-0000-0000-000093C50000}"/>
    <cellStyle name="스타일 164" xfId="8794" xr:uid="{00000000-0005-0000-0000-000094C50000}"/>
    <cellStyle name="스타일 164 2" xfId="8795" xr:uid="{00000000-0005-0000-0000-000095C50000}"/>
    <cellStyle name="스타일 165" xfId="8796" xr:uid="{00000000-0005-0000-0000-000096C50000}"/>
    <cellStyle name="스타일 165 2" xfId="8797" xr:uid="{00000000-0005-0000-0000-000097C50000}"/>
    <cellStyle name="스타일 166" xfId="8798" xr:uid="{00000000-0005-0000-0000-000098C50000}"/>
    <cellStyle name="스타일 166 2" xfId="8799" xr:uid="{00000000-0005-0000-0000-000099C50000}"/>
    <cellStyle name="스타일 167" xfId="8800" xr:uid="{00000000-0005-0000-0000-00009AC50000}"/>
    <cellStyle name="스타일 167 2" xfId="8801" xr:uid="{00000000-0005-0000-0000-00009BC50000}"/>
    <cellStyle name="스타일 168" xfId="8802" xr:uid="{00000000-0005-0000-0000-00009CC50000}"/>
    <cellStyle name="스타일 168 2" xfId="8803" xr:uid="{00000000-0005-0000-0000-00009DC50000}"/>
    <cellStyle name="스타일 169" xfId="8804" xr:uid="{00000000-0005-0000-0000-00009EC50000}"/>
    <cellStyle name="스타일 169 2" xfId="8805" xr:uid="{00000000-0005-0000-0000-00009FC50000}"/>
    <cellStyle name="스타일 17" xfId="8806" xr:uid="{00000000-0005-0000-0000-0000A0C50000}"/>
    <cellStyle name="스타일 17 2" xfId="8807" xr:uid="{00000000-0005-0000-0000-0000A1C50000}"/>
    <cellStyle name="스타일 170" xfId="8808" xr:uid="{00000000-0005-0000-0000-0000A2C50000}"/>
    <cellStyle name="스타일 170 2" xfId="8809" xr:uid="{00000000-0005-0000-0000-0000A3C50000}"/>
    <cellStyle name="스타일 171" xfId="8810" xr:uid="{00000000-0005-0000-0000-0000A4C50000}"/>
    <cellStyle name="스타일 171 2" xfId="8811" xr:uid="{00000000-0005-0000-0000-0000A5C50000}"/>
    <cellStyle name="스타일 172" xfId="8812" xr:uid="{00000000-0005-0000-0000-0000A6C50000}"/>
    <cellStyle name="스타일 172 2" xfId="8813" xr:uid="{00000000-0005-0000-0000-0000A7C50000}"/>
    <cellStyle name="스타일 173" xfId="8814" xr:uid="{00000000-0005-0000-0000-0000A8C50000}"/>
    <cellStyle name="스타일 173 2" xfId="8815" xr:uid="{00000000-0005-0000-0000-0000A9C50000}"/>
    <cellStyle name="스타일 174" xfId="8816" xr:uid="{00000000-0005-0000-0000-0000AAC50000}"/>
    <cellStyle name="스타일 174 2" xfId="8817" xr:uid="{00000000-0005-0000-0000-0000ABC50000}"/>
    <cellStyle name="스타일 175" xfId="8818" xr:uid="{00000000-0005-0000-0000-0000ACC50000}"/>
    <cellStyle name="스타일 175 2" xfId="8819" xr:uid="{00000000-0005-0000-0000-0000ADC50000}"/>
    <cellStyle name="스타일 176" xfId="8820" xr:uid="{00000000-0005-0000-0000-0000AEC50000}"/>
    <cellStyle name="스타일 176 2" xfId="8821" xr:uid="{00000000-0005-0000-0000-0000AFC50000}"/>
    <cellStyle name="스타일 177" xfId="8822" xr:uid="{00000000-0005-0000-0000-0000B0C50000}"/>
    <cellStyle name="스타일 177 2" xfId="8823" xr:uid="{00000000-0005-0000-0000-0000B1C50000}"/>
    <cellStyle name="스타일 178" xfId="8824" xr:uid="{00000000-0005-0000-0000-0000B2C50000}"/>
    <cellStyle name="스타일 178 2" xfId="8825" xr:uid="{00000000-0005-0000-0000-0000B3C50000}"/>
    <cellStyle name="스타일 179" xfId="8826" xr:uid="{00000000-0005-0000-0000-0000B4C50000}"/>
    <cellStyle name="스타일 179 2" xfId="8827" xr:uid="{00000000-0005-0000-0000-0000B5C50000}"/>
    <cellStyle name="스타일 18" xfId="8828" xr:uid="{00000000-0005-0000-0000-0000B6C50000}"/>
    <cellStyle name="스타일 18 2" xfId="8829" xr:uid="{00000000-0005-0000-0000-0000B7C50000}"/>
    <cellStyle name="스타일 180" xfId="8830" xr:uid="{00000000-0005-0000-0000-0000B8C50000}"/>
    <cellStyle name="스타일 180 2" xfId="8831" xr:uid="{00000000-0005-0000-0000-0000B9C50000}"/>
    <cellStyle name="스타일 181" xfId="8832" xr:uid="{00000000-0005-0000-0000-0000BAC50000}"/>
    <cellStyle name="스타일 181 2" xfId="8833" xr:uid="{00000000-0005-0000-0000-0000BBC50000}"/>
    <cellStyle name="스타일 182" xfId="8834" xr:uid="{00000000-0005-0000-0000-0000BCC50000}"/>
    <cellStyle name="스타일 182 2" xfId="8835" xr:uid="{00000000-0005-0000-0000-0000BDC50000}"/>
    <cellStyle name="스타일 183" xfId="8836" xr:uid="{00000000-0005-0000-0000-0000BEC50000}"/>
    <cellStyle name="스타일 183 2" xfId="8837" xr:uid="{00000000-0005-0000-0000-0000BFC50000}"/>
    <cellStyle name="스타일 184" xfId="8838" xr:uid="{00000000-0005-0000-0000-0000C0C50000}"/>
    <cellStyle name="스타일 184 2" xfId="8839" xr:uid="{00000000-0005-0000-0000-0000C1C50000}"/>
    <cellStyle name="스타일 185" xfId="8840" xr:uid="{00000000-0005-0000-0000-0000C2C50000}"/>
    <cellStyle name="스타일 185 2" xfId="8841" xr:uid="{00000000-0005-0000-0000-0000C3C50000}"/>
    <cellStyle name="스타일 186" xfId="8842" xr:uid="{00000000-0005-0000-0000-0000C4C50000}"/>
    <cellStyle name="스타일 186 2" xfId="8843" xr:uid="{00000000-0005-0000-0000-0000C5C50000}"/>
    <cellStyle name="스타일 187" xfId="8844" xr:uid="{00000000-0005-0000-0000-0000C6C50000}"/>
    <cellStyle name="스타일 187 2" xfId="8845" xr:uid="{00000000-0005-0000-0000-0000C7C50000}"/>
    <cellStyle name="스타일 188" xfId="8846" xr:uid="{00000000-0005-0000-0000-0000C8C50000}"/>
    <cellStyle name="스타일 188 2" xfId="8847" xr:uid="{00000000-0005-0000-0000-0000C9C50000}"/>
    <cellStyle name="스타일 189" xfId="8848" xr:uid="{00000000-0005-0000-0000-0000CAC50000}"/>
    <cellStyle name="스타일 189 2" xfId="8849" xr:uid="{00000000-0005-0000-0000-0000CBC50000}"/>
    <cellStyle name="스타일 19" xfId="8850" xr:uid="{00000000-0005-0000-0000-0000CCC50000}"/>
    <cellStyle name="스타일 19 2" xfId="8851" xr:uid="{00000000-0005-0000-0000-0000CDC50000}"/>
    <cellStyle name="스타일 190" xfId="8852" xr:uid="{00000000-0005-0000-0000-0000CEC50000}"/>
    <cellStyle name="스타일 190 2" xfId="8853" xr:uid="{00000000-0005-0000-0000-0000CFC50000}"/>
    <cellStyle name="스타일 191" xfId="8854" xr:uid="{00000000-0005-0000-0000-0000D0C50000}"/>
    <cellStyle name="스타일 191 2" xfId="8855" xr:uid="{00000000-0005-0000-0000-0000D1C50000}"/>
    <cellStyle name="스타일 192" xfId="8856" xr:uid="{00000000-0005-0000-0000-0000D2C50000}"/>
    <cellStyle name="스타일 192 2" xfId="8857" xr:uid="{00000000-0005-0000-0000-0000D3C50000}"/>
    <cellStyle name="스타일 193" xfId="8858" xr:uid="{00000000-0005-0000-0000-0000D4C50000}"/>
    <cellStyle name="스타일 193 2" xfId="8859" xr:uid="{00000000-0005-0000-0000-0000D5C50000}"/>
    <cellStyle name="스타일 194" xfId="8860" xr:uid="{00000000-0005-0000-0000-0000D6C50000}"/>
    <cellStyle name="스타일 194 2" xfId="8861" xr:uid="{00000000-0005-0000-0000-0000D7C50000}"/>
    <cellStyle name="스타일 195" xfId="8862" xr:uid="{00000000-0005-0000-0000-0000D8C50000}"/>
    <cellStyle name="스타일 195 2" xfId="8863" xr:uid="{00000000-0005-0000-0000-0000D9C50000}"/>
    <cellStyle name="스타일 196" xfId="8864" xr:uid="{00000000-0005-0000-0000-0000DAC50000}"/>
    <cellStyle name="스타일 196 2" xfId="8865" xr:uid="{00000000-0005-0000-0000-0000DBC50000}"/>
    <cellStyle name="스타일 197" xfId="8866" xr:uid="{00000000-0005-0000-0000-0000DCC50000}"/>
    <cellStyle name="스타일 197 2" xfId="8867" xr:uid="{00000000-0005-0000-0000-0000DDC50000}"/>
    <cellStyle name="스타일 198" xfId="8868" xr:uid="{00000000-0005-0000-0000-0000DEC50000}"/>
    <cellStyle name="스타일 198 2" xfId="8869" xr:uid="{00000000-0005-0000-0000-0000DFC50000}"/>
    <cellStyle name="스타일 199" xfId="8870" xr:uid="{00000000-0005-0000-0000-0000E0C50000}"/>
    <cellStyle name="스타일 199 2" xfId="8871" xr:uid="{00000000-0005-0000-0000-0000E1C50000}"/>
    <cellStyle name="스타일 2" xfId="8872" xr:uid="{00000000-0005-0000-0000-0000E2C50000}"/>
    <cellStyle name="스타일 2 2" xfId="8873" xr:uid="{00000000-0005-0000-0000-0000E3C50000}"/>
    <cellStyle name="스타일 2 3" xfId="8874" xr:uid="{00000000-0005-0000-0000-0000E4C50000}"/>
    <cellStyle name="스타일 2 4" xfId="8875" xr:uid="{00000000-0005-0000-0000-0000E5C50000}"/>
    <cellStyle name="스타일 20" xfId="8876" xr:uid="{00000000-0005-0000-0000-0000E6C50000}"/>
    <cellStyle name="스타일 20 2" xfId="8877" xr:uid="{00000000-0005-0000-0000-0000E7C50000}"/>
    <cellStyle name="스타일 200" xfId="8878" xr:uid="{00000000-0005-0000-0000-0000E8C50000}"/>
    <cellStyle name="스타일 200 2" xfId="8879" xr:uid="{00000000-0005-0000-0000-0000E9C50000}"/>
    <cellStyle name="스타일 201" xfId="8880" xr:uid="{00000000-0005-0000-0000-0000EAC50000}"/>
    <cellStyle name="스타일 201 2" xfId="8881" xr:uid="{00000000-0005-0000-0000-0000EBC50000}"/>
    <cellStyle name="스타일 202" xfId="8882" xr:uid="{00000000-0005-0000-0000-0000ECC50000}"/>
    <cellStyle name="스타일 202 2" xfId="8883" xr:uid="{00000000-0005-0000-0000-0000EDC50000}"/>
    <cellStyle name="스타일 203" xfId="8884" xr:uid="{00000000-0005-0000-0000-0000EEC50000}"/>
    <cellStyle name="스타일 203 2" xfId="8885" xr:uid="{00000000-0005-0000-0000-0000EFC50000}"/>
    <cellStyle name="스타일 204" xfId="8886" xr:uid="{00000000-0005-0000-0000-0000F0C50000}"/>
    <cellStyle name="스타일 204 2" xfId="8887" xr:uid="{00000000-0005-0000-0000-0000F1C50000}"/>
    <cellStyle name="스타일 205" xfId="8888" xr:uid="{00000000-0005-0000-0000-0000F2C50000}"/>
    <cellStyle name="스타일 205 2" xfId="8889" xr:uid="{00000000-0005-0000-0000-0000F3C50000}"/>
    <cellStyle name="스타일 206" xfId="8890" xr:uid="{00000000-0005-0000-0000-0000F4C50000}"/>
    <cellStyle name="스타일 206 2" xfId="8891" xr:uid="{00000000-0005-0000-0000-0000F5C50000}"/>
    <cellStyle name="스타일 207" xfId="8892" xr:uid="{00000000-0005-0000-0000-0000F6C50000}"/>
    <cellStyle name="스타일 207 2" xfId="8893" xr:uid="{00000000-0005-0000-0000-0000F7C50000}"/>
    <cellStyle name="스타일 208" xfId="8894" xr:uid="{00000000-0005-0000-0000-0000F8C50000}"/>
    <cellStyle name="스타일 208 2" xfId="8895" xr:uid="{00000000-0005-0000-0000-0000F9C50000}"/>
    <cellStyle name="스타일 209" xfId="8896" xr:uid="{00000000-0005-0000-0000-0000FAC50000}"/>
    <cellStyle name="스타일 209 2" xfId="8897" xr:uid="{00000000-0005-0000-0000-0000FBC50000}"/>
    <cellStyle name="스타일 21" xfId="8898" xr:uid="{00000000-0005-0000-0000-0000FCC50000}"/>
    <cellStyle name="스타일 21 2" xfId="8899" xr:uid="{00000000-0005-0000-0000-0000FDC50000}"/>
    <cellStyle name="스타일 210" xfId="8900" xr:uid="{00000000-0005-0000-0000-0000FEC50000}"/>
    <cellStyle name="스타일 210 2" xfId="8901" xr:uid="{00000000-0005-0000-0000-0000FFC50000}"/>
    <cellStyle name="스타일 211" xfId="8902" xr:uid="{00000000-0005-0000-0000-000000C60000}"/>
    <cellStyle name="스타일 211 2" xfId="8903" xr:uid="{00000000-0005-0000-0000-000001C60000}"/>
    <cellStyle name="스타일 212" xfId="8904" xr:uid="{00000000-0005-0000-0000-000002C60000}"/>
    <cellStyle name="스타일 212 2" xfId="8905" xr:uid="{00000000-0005-0000-0000-000003C60000}"/>
    <cellStyle name="스타일 213" xfId="8906" xr:uid="{00000000-0005-0000-0000-000004C60000}"/>
    <cellStyle name="스타일 213 2" xfId="8907" xr:uid="{00000000-0005-0000-0000-000005C60000}"/>
    <cellStyle name="스타일 214" xfId="8908" xr:uid="{00000000-0005-0000-0000-000006C60000}"/>
    <cellStyle name="스타일 214 2" xfId="8909" xr:uid="{00000000-0005-0000-0000-000007C60000}"/>
    <cellStyle name="스타일 215" xfId="8910" xr:uid="{00000000-0005-0000-0000-000008C60000}"/>
    <cellStyle name="스타일 215 2" xfId="8911" xr:uid="{00000000-0005-0000-0000-000009C60000}"/>
    <cellStyle name="스타일 216" xfId="8912" xr:uid="{00000000-0005-0000-0000-00000AC60000}"/>
    <cellStyle name="스타일 216 2" xfId="8913" xr:uid="{00000000-0005-0000-0000-00000BC60000}"/>
    <cellStyle name="스타일 217" xfId="8914" xr:uid="{00000000-0005-0000-0000-00000CC60000}"/>
    <cellStyle name="스타일 217 2" xfId="8915" xr:uid="{00000000-0005-0000-0000-00000DC60000}"/>
    <cellStyle name="스타일 218" xfId="8916" xr:uid="{00000000-0005-0000-0000-00000EC60000}"/>
    <cellStyle name="스타일 218 2" xfId="8917" xr:uid="{00000000-0005-0000-0000-00000FC60000}"/>
    <cellStyle name="스타일 219" xfId="8918" xr:uid="{00000000-0005-0000-0000-000010C60000}"/>
    <cellStyle name="스타일 219 2" xfId="8919" xr:uid="{00000000-0005-0000-0000-000011C60000}"/>
    <cellStyle name="스타일 22" xfId="8920" xr:uid="{00000000-0005-0000-0000-000012C60000}"/>
    <cellStyle name="스타일 22 2" xfId="8921" xr:uid="{00000000-0005-0000-0000-000013C60000}"/>
    <cellStyle name="스타일 220" xfId="8922" xr:uid="{00000000-0005-0000-0000-000014C60000}"/>
    <cellStyle name="스타일 220 2" xfId="8923" xr:uid="{00000000-0005-0000-0000-000015C60000}"/>
    <cellStyle name="스타일 221" xfId="8924" xr:uid="{00000000-0005-0000-0000-000016C60000}"/>
    <cellStyle name="스타일 221 2" xfId="8925" xr:uid="{00000000-0005-0000-0000-000017C60000}"/>
    <cellStyle name="스타일 222" xfId="8926" xr:uid="{00000000-0005-0000-0000-000018C60000}"/>
    <cellStyle name="스타일 222 2" xfId="8927" xr:uid="{00000000-0005-0000-0000-000019C60000}"/>
    <cellStyle name="스타일 223" xfId="8928" xr:uid="{00000000-0005-0000-0000-00001AC60000}"/>
    <cellStyle name="스타일 223 2" xfId="8929" xr:uid="{00000000-0005-0000-0000-00001BC60000}"/>
    <cellStyle name="스타일 224" xfId="8930" xr:uid="{00000000-0005-0000-0000-00001CC60000}"/>
    <cellStyle name="스타일 224 2" xfId="8931" xr:uid="{00000000-0005-0000-0000-00001DC60000}"/>
    <cellStyle name="스타일 225" xfId="8932" xr:uid="{00000000-0005-0000-0000-00001EC60000}"/>
    <cellStyle name="스타일 225 2" xfId="8933" xr:uid="{00000000-0005-0000-0000-00001FC60000}"/>
    <cellStyle name="스타일 226" xfId="8934" xr:uid="{00000000-0005-0000-0000-000020C60000}"/>
    <cellStyle name="스타일 226 2" xfId="8935" xr:uid="{00000000-0005-0000-0000-000021C60000}"/>
    <cellStyle name="스타일 227" xfId="8936" xr:uid="{00000000-0005-0000-0000-000022C60000}"/>
    <cellStyle name="스타일 227 2" xfId="8937" xr:uid="{00000000-0005-0000-0000-000023C60000}"/>
    <cellStyle name="스타일 228" xfId="8938" xr:uid="{00000000-0005-0000-0000-000024C60000}"/>
    <cellStyle name="스타일 228 2" xfId="8939" xr:uid="{00000000-0005-0000-0000-000025C60000}"/>
    <cellStyle name="스타일 229" xfId="8940" xr:uid="{00000000-0005-0000-0000-000026C60000}"/>
    <cellStyle name="스타일 229 2" xfId="8941" xr:uid="{00000000-0005-0000-0000-000027C60000}"/>
    <cellStyle name="스타일 23" xfId="8942" xr:uid="{00000000-0005-0000-0000-000028C60000}"/>
    <cellStyle name="스타일 23 2" xfId="8943" xr:uid="{00000000-0005-0000-0000-000029C60000}"/>
    <cellStyle name="스타일 230" xfId="8944" xr:uid="{00000000-0005-0000-0000-00002AC60000}"/>
    <cellStyle name="스타일 230 2" xfId="8945" xr:uid="{00000000-0005-0000-0000-00002BC60000}"/>
    <cellStyle name="스타일 231" xfId="8946" xr:uid="{00000000-0005-0000-0000-00002CC60000}"/>
    <cellStyle name="스타일 231 2" xfId="8947" xr:uid="{00000000-0005-0000-0000-00002DC60000}"/>
    <cellStyle name="스타일 232" xfId="8948" xr:uid="{00000000-0005-0000-0000-00002EC60000}"/>
    <cellStyle name="스타일 232 2" xfId="8949" xr:uid="{00000000-0005-0000-0000-00002FC60000}"/>
    <cellStyle name="스타일 233" xfId="8950" xr:uid="{00000000-0005-0000-0000-000030C60000}"/>
    <cellStyle name="스타일 233 2" xfId="8951" xr:uid="{00000000-0005-0000-0000-000031C60000}"/>
    <cellStyle name="스타일 234" xfId="8952" xr:uid="{00000000-0005-0000-0000-000032C60000}"/>
    <cellStyle name="스타일 234 2" xfId="8953" xr:uid="{00000000-0005-0000-0000-000033C60000}"/>
    <cellStyle name="스타일 235" xfId="8954" xr:uid="{00000000-0005-0000-0000-000034C60000}"/>
    <cellStyle name="스타일 235 2" xfId="8955" xr:uid="{00000000-0005-0000-0000-000035C60000}"/>
    <cellStyle name="스타일 236" xfId="8956" xr:uid="{00000000-0005-0000-0000-000036C60000}"/>
    <cellStyle name="스타일 236 2" xfId="8957" xr:uid="{00000000-0005-0000-0000-000037C60000}"/>
    <cellStyle name="스타일 237" xfId="8958" xr:uid="{00000000-0005-0000-0000-000038C60000}"/>
    <cellStyle name="스타일 237 2" xfId="8959" xr:uid="{00000000-0005-0000-0000-000039C60000}"/>
    <cellStyle name="스타일 238" xfId="8960" xr:uid="{00000000-0005-0000-0000-00003AC60000}"/>
    <cellStyle name="스타일 238 2" xfId="8961" xr:uid="{00000000-0005-0000-0000-00003BC60000}"/>
    <cellStyle name="스타일 239" xfId="8962" xr:uid="{00000000-0005-0000-0000-00003CC60000}"/>
    <cellStyle name="스타일 239 2" xfId="8963" xr:uid="{00000000-0005-0000-0000-00003DC60000}"/>
    <cellStyle name="스타일 24" xfId="8964" xr:uid="{00000000-0005-0000-0000-00003EC60000}"/>
    <cellStyle name="스타일 24 2" xfId="8965" xr:uid="{00000000-0005-0000-0000-00003FC60000}"/>
    <cellStyle name="스타일 240" xfId="8966" xr:uid="{00000000-0005-0000-0000-000040C60000}"/>
    <cellStyle name="스타일 240 2" xfId="8967" xr:uid="{00000000-0005-0000-0000-000041C60000}"/>
    <cellStyle name="스타일 241" xfId="8968" xr:uid="{00000000-0005-0000-0000-000042C60000}"/>
    <cellStyle name="스타일 241 2" xfId="8969" xr:uid="{00000000-0005-0000-0000-000043C60000}"/>
    <cellStyle name="스타일 242" xfId="8970" xr:uid="{00000000-0005-0000-0000-000044C60000}"/>
    <cellStyle name="스타일 242 2" xfId="8971" xr:uid="{00000000-0005-0000-0000-000045C60000}"/>
    <cellStyle name="스타일 243" xfId="8972" xr:uid="{00000000-0005-0000-0000-000046C60000}"/>
    <cellStyle name="스타일 243 2" xfId="8973" xr:uid="{00000000-0005-0000-0000-000047C60000}"/>
    <cellStyle name="스타일 244" xfId="8974" xr:uid="{00000000-0005-0000-0000-000048C60000}"/>
    <cellStyle name="스타일 244 2" xfId="8975" xr:uid="{00000000-0005-0000-0000-000049C60000}"/>
    <cellStyle name="스타일 245" xfId="8976" xr:uid="{00000000-0005-0000-0000-00004AC60000}"/>
    <cellStyle name="스타일 245 2" xfId="8977" xr:uid="{00000000-0005-0000-0000-00004BC60000}"/>
    <cellStyle name="스타일 246" xfId="8978" xr:uid="{00000000-0005-0000-0000-00004CC60000}"/>
    <cellStyle name="스타일 246 2" xfId="8979" xr:uid="{00000000-0005-0000-0000-00004DC60000}"/>
    <cellStyle name="스타일 247" xfId="8980" xr:uid="{00000000-0005-0000-0000-00004EC60000}"/>
    <cellStyle name="스타일 247 2" xfId="8981" xr:uid="{00000000-0005-0000-0000-00004FC60000}"/>
    <cellStyle name="스타일 248" xfId="8982" xr:uid="{00000000-0005-0000-0000-000050C60000}"/>
    <cellStyle name="스타일 248 2" xfId="8983" xr:uid="{00000000-0005-0000-0000-000051C60000}"/>
    <cellStyle name="스타일 249" xfId="8984" xr:uid="{00000000-0005-0000-0000-000052C60000}"/>
    <cellStyle name="스타일 249 2" xfId="8985" xr:uid="{00000000-0005-0000-0000-000053C60000}"/>
    <cellStyle name="스타일 25" xfId="8986" xr:uid="{00000000-0005-0000-0000-000054C60000}"/>
    <cellStyle name="스타일 25 2" xfId="8987" xr:uid="{00000000-0005-0000-0000-000055C60000}"/>
    <cellStyle name="스타일 250" xfId="8988" xr:uid="{00000000-0005-0000-0000-000056C60000}"/>
    <cellStyle name="스타일 250 2" xfId="8989" xr:uid="{00000000-0005-0000-0000-000057C60000}"/>
    <cellStyle name="스타일 251" xfId="8990" xr:uid="{00000000-0005-0000-0000-000058C60000}"/>
    <cellStyle name="스타일 251 2" xfId="8991" xr:uid="{00000000-0005-0000-0000-000059C60000}"/>
    <cellStyle name="스타일 252" xfId="8992" xr:uid="{00000000-0005-0000-0000-00005AC60000}"/>
    <cellStyle name="스타일 252 2" xfId="8993" xr:uid="{00000000-0005-0000-0000-00005BC60000}"/>
    <cellStyle name="스타일 253" xfId="8994" xr:uid="{00000000-0005-0000-0000-00005CC60000}"/>
    <cellStyle name="스타일 253 2" xfId="8995" xr:uid="{00000000-0005-0000-0000-00005DC60000}"/>
    <cellStyle name="스타일 254" xfId="8996" xr:uid="{00000000-0005-0000-0000-00005EC60000}"/>
    <cellStyle name="스타일 254 2" xfId="8997" xr:uid="{00000000-0005-0000-0000-00005FC60000}"/>
    <cellStyle name="스타일 255" xfId="8998" xr:uid="{00000000-0005-0000-0000-000060C60000}"/>
    <cellStyle name="스타일 255 2" xfId="8999" xr:uid="{00000000-0005-0000-0000-000061C60000}"/>
    <cellStyle name="스타일 26" xfId="9000" xr:uid="{00000000-0005-0000-0000-000062C60000}"/>
    <cellStyle name="스타일 26 2" xfId="9001" xr:uid="{00000000-0005-0000-0000-000063C60000}"/>
    <cellStyle name="스타일 27" xfId="9002" xr:uid="{00000000-0005-0000-0000-000064C60000}"/>
    <cellStyle name="스타일 27 2" xfId="9003" xr:uid="{00000000-0005-0000-0000-000065C60000}"/>
    <cellStyle name="스타일 28" xfId="9004" xr:uid="{00000000-0005-0000-0000-000066C60000}"/>
    <cellStyle name="스타일 28 2" xfId="9005" xr:uid="{00000000-0005-0000-0000-000067C60000}"/>
    <cellStyle name="스타일 29" xfId="9006" xr:uid="{00000000-0005-0000-0000-000068C60000}"/>
    <cellStyle name="스타일 29 2" xfId="9007" xr:uid="{00000000-0005-0000-0000-000069C60000}"/>
    <cellStyle name="스타일 3" xfId="9008" xr:uid="{00000000-0005-0000-0000-00006AC60000}"/>
    <cellStyle name="스타일 3 2" xfId="9009" xr:uid="{00000000-0005-0000-0000-00006BC60000}"/>
    <cellStyle name="스타일 30" xfId="9010" xr:uid="{00000000-0005-0000-0000-00006CC60000}"/>
    <cellStyle name="스타일 30 2" xfId="9011" xr:uid="{00000000-0005-0000-0000-00006DC60000}"/>
    <cellStyle name="스타일 31" xfId="9012" xr:uid="{00000000-0005-0000-0000-00006EC60000}"/>
    <cellStyle name="스타일 31 2" xfId="9013" xr:uid="{00000000-0005-0000-0000-00006FC60000}"/>
    <cellStyle name="스타일 32" xfId="9014" xr:uid="{00000000-0005-0000-0000-000070C60000}"/>
    <cellStyle name="스타일 32 2" xfId="9015" xr:uid="{00000000-0005-0000-0000-000071C60000}"/>
    <cellStyle name="스타일 33" xfId="9016" xr:uid="{00000000-0005-0000-0000-000072C60000}"/>
    <cellStyle name="스타일 33 2" xfId="9017" xr:uid="{00000000-0005-0000-0000-000073C60000}"/>
    <cellStyle name="스타일 34" xfId="9018" xr:uid="{00000000-0005-0000-0000-000074C60000}"/>
    <cellStyle name="스타일 34 2" xfId="9019" xr:uid="{00000000-0005-0000-0000-000075C60000}"/>
    <cellStyle name="스타일 35" xfId="9020" xr:uid="{00000000-0005-0000-0000-000076C60000}"/>
    <cellStyle name="스타일 35 2" xfId="9021" xr:uid="{00000000-0005-0000-0000-000077C60000}"/>
    <cellStyle name="스타일 36" xfId="9022" xr:uid="{00000000-0005-0000-0000-000078C60000}"/>
    <cellStyle name="스타일 36 2" xfId="9023" xr:uid="{00000000-0005-0000-0000-000079C60000}"/>
    <cellStyle name="스타일 37" xfId="9024" xr:uid="{00000000-0005-0000-0000-00007AC60000}"/>
    <cellStyle name="스타일 37 2" xfId="9025" xr:uid="{00000000-0005-0000-0000-00007BC60000}"/>
    <cellStyle name="스타일 38" xfId="9026" xr:uid="{00000000-0005-0000-0000-00007CC60000}"/>
    <cellStyle name="스타일 38 2" xfId="9027" xr:uid="{00000000-0005-0000-0000-00007DC60000}"/>
    <cellStyle name="스타일 39" xfId="9028" xr:uid="{00000000-0005-0000-0000-00007EC60000}"/>
    <cellStyle name="스타일 39 2" xfId="9029" xr:uid="{00000000-0005-0000-0000-00007FC60000}"/>
    <cellStyle name="스타일 4" xfId="9030" xr:uid="{00000000-0005-0000-0000-000080C60000}"/>
    <cellStyle name="스타일 40" xfId="9031" xr:uid="{00000000-0005-0000-0000-000081C60000}"/>
    <cellStyle name="스타일 40 2" xfId="9032" xr:uid="{00000000-0005-0000-0000-000082C60000}"/>
    <cellStyle name="스타일 41" xfId="9033" xr:uid="{00000000-0005-0000-0000-000083C60000}"/>
    <cellStyle name="스타일 41 2" xfId="9034" xr:uid="{00000000-0005-0000-0000-000084C60000}"/>
    <cellStyle name="스타일 42" xfId="9035" xr:uid="{00000000-0005-0000-0000-000085C60000}"/>
    <cellStyle name="스타일 42 2" xfId="9036" xr:uid="{00000000-0005-0000-0000-000086C60000}"/>
    <cellStyle name="스타일 43" xfId="9037" xr:uid="{00000000-0005-0000-0000-000087C60000}"/>
    <cellStyle name="스타일 43 2" xfId="9038" xr:uid="{00000000-0005-0000-0000-000088C60000}"/>
    <cellStyle name="스타일 44" xfId="9039" xr:uid="{00000000-0005-0000-0000-000089C60000}"/>
    <cellStyle name="스타일 44 2" xfId="9040" xr:uid="{00000000-0005-0000-0000-00008AC60000}"/>
    <cellStyle name="스타일 45" xfId="9041" xr:uid="{00000000-0005-0000-0000-00008BC60000}"/>
    <cellStyle name="스타일 45 2" xfId="9042" xr:uid="{00000000-0005-0000-0000-00008CC60000}"/>
    <cellStyle name="스타일 46" xfId="9043" xr:uid="{00000000-0005-0000-0000-00008DC60000}"/>
    <cellStyle name="스타일 46 2" xfId="9044" xr:uid="{00000000-0005-0000-0000-00008EC60000}"/>
    <cellStyle name="스타일 47" xfId="9045" xr:uid="{00000000-0005-0000-0000-00008FC60000}"/>
    <cellStyle name="스타일 47 2" xfId="9046" xr:uid="{00000000-0005-0000-0000-000090C60000}"/>
    <cellStyle name="스타일 48" xfId="9047" xr:uid="{00000000-0005-0000-0000-000091C60000}"/>
    <cellStyle name="스타일 48 2" xfId="9048" xr:uid="{00000000-0005-0000-0000-000092C60000}"/>
    <cellStyle name="스타일 49" xfId="9049" xr:uid="{00000000-0005-0000-0000-000093C60000}"/>
    <cellStyle name="스타일 49 2" xfId="9050" xr:uid="{00000000-0005-0000-0000-000094C60000}"/>
    <cellStyle name="스타일 5" xfId="9051" xr:uid="{00000000-0005-0000-0000-000095C60000}"/>
    <cellStyle name="스타일 50" xfId="9052" xr:uid="{00000000-0005-0000-0000-000096C60000}"/>
    <cellStyle name="스타일 50 2" xfId="9053" xr:uid="{00000000-0005-0000-0000-000097C60000}"/>
    <cellStyle name="스타일 51" xfId="9054" xr:uid="{00000000-0005-0000-0000-000098C60000}"/>
    <cellStyle name="스타일 51 2" xfId="9055" xr:uid="{00000000-0005-0000-0000-000099C60000}"/>
    <cellStyle name="스타일 52" xfId="9056" xr:uid="{00000000-0005-0000-0000-00009AC60000}"/>
    <cellStyle name="스타일 52 2" xfId="9057" xr:uid="{00000000-0005-0000-0000-00009BC60000}"/>
    <cellStyle name="스타일 53" xfId="9058" xr:uid="{00000000-0005-0000-0000-00009CC60000}"/>
    <cellStyle name="스타일 53 2" xfId="9059" xr:uid="{00000000-0005-0000-0000-00009DC60000}"/>
    <cellStyle name="스타일 54" xfId="9060" xr:uid="{00000000-0005-0000-0000-00009EC60000}"/>
    <cellStyle name="스타일 54 2" xfId="9061" xr:uid="{00000000-0005-0000-0000-00009FC60000}"/>
    <cellStyle name="스타일 55" xfId="9062" xr:uid="{00000000-0005-0000-0000-0000A0C60000}"/>
    <cellStyle name="스타일 55 2" xfId="9063" xr:uid="{00000000-0005-0000-0000-0000A1C60000}"/>
    <cellStyle name="스타일 56" xfId="9064" xr:uid="{00000000-0005-0000-0000-0000A2C60000}"/>
    <cellStyle name="스타일 56 2" xfId="9065" xr:uid="{00000000-0005-0000-0000-0000A3C60000}"/>
    <cellStyle name="스타일 57" xfId="9066" xr:uid="{00000000-0005-0000-0000-0000A4C60000}"/>
    <cellStyle name="스타일 57 2" xfId="9067" xr:uid="{00000000-0005-0000-0000-0000A5C60000}"/>
    <cellStyle name="스타일 58" xfId="9068" xr:uid="{00000000-0005-0000-0000-0000A6C60000}"/>
    <cellStyle name="스타일 58 2" xfId="9069" xr:uid="{00000000-0005-0000-0000-0000A7C60000}"/>
    <cellStyle name="스타일 59" xfId="9070" xr:uid="{00000000-0005-0000-0000-0000A8C60000}"/>
    <cellStyle name="스타일 59 2" xfId="9071" xr:uid="{00000000-0005-0000-0000-0000A9C60000}"/>
    <cellStyle name="스타일 6" xfId="9072" xr:uid="{00000000-0005-0000-0000-0000AAC60000}"/>
    <cellStyle name="스타일 60" xfId="9073" xr:uid="{00000000-0005-0000-0000-0000ABC60000}"/>
    <cellStyle name="스타일 60 2" xfId="9074" xr:uid="{00000000-0005-0000-0000-0000ACC60000}"/>
    <cellStyle name="스타일 61" xfId="9075" xr:uid="{00000000-0005-0000-0000-0000ADC60000}"/>
    <cellStyle name="스타일 61 2" xfId="9076" xr:uid="{00000000-0005-0000-0000-0000AEC60000}"/>
    <cellStyle name="스타일 62" xfId="9077" xr:uid="{00000000-0005-0000-0000-0000AFC60000}"/>
    <cellStyle name="스타일 62 2" xfId="9078" xr:uid="{00000000-0005-0000-0000-0000B0C60000}"/>
    <cellStyle name="스타일 63" xfId="9079" xr:uid="{00000000-0005-0000-0000-0000B1C60000}"/>
    <cellStyle name="스타일 63 2" xfId="9080" xr:uid="{00000000-0005-0000-0000-0000B2C60000}"/>
    <cellStyle name="스타일 64" xfId="9081" xr:uid="{00000000-0005-0000-0000-0000B3C60000}"/>
    <cellStyle name="스타일 64 2" xfId="9082" xr:uid="{00000000-0005-0000-0000-0000B4C60000}"/>
    <cellStyle name="스타일 65" xfId="9083" xr:uid="{00000000-0005-0000-0000-0000B5C60000}"/>
    <cellStyle name="스타일 65 2" xfId="9084" xr:uid="{00000000-0005-0000-0000-0000B6C60000}"/>
    <cellStyle name="스타일 66" xfId="9085" xr:uid="{00000000-0005-0000-0000-0000B7C60000}"/>
    <cellStyle name="스타일 66 2" xfId="9086" xr:uid="{00000000-0005-0000-0000-0000B8C60000}"/>
    <cellStyle name="스타일 67" xfId="9087" xr:uid="{00000000-0005-0000-0000-0000B9C60000}"/>
    <cellStyle name="스타일 67 2" xfId="9088" xr:uid="{00000000-0005-0000-0000-0000BAC60000}"/>
    <cellStyle name="스타일 68" xfId="9089" xr:uid="{00000000-0005-0000-0000-0000BBC60000}"/>
    <cellStyle name="스타일 68 2" xfId="9090" xr:uid="{00000000-0005-0000-0000-0000BCC60000}"/>
    <cellStyle name="스타일 69" xfId="9091" xr:uid="{00000000-0005-0000-0000-0000BDC60000}"/>
    <cellStyle name="스타일 69 2" xfId="9092" xr:uid="{00000000-0005-0000-0000-0000BEC60000}"/>
    <cellStyle name="스타일 7" xfId="9093" xr:uid="{00000000-0005-0000-0000-0000BFC60000}"/>
    <cellStyle name="스타일 70" xfId="9094" xr:uid="{00000000-0005-0000-0000-0000C0C60000}"/>
    <cellStyle name="스타일 70 2" xfId="9095" xr:uid="{00000000-0005-0000-0000-0000C1C60000}"/>
    <cellStyle name="스타일 71" xfId="9096" xr:uid="{00000000-0005-0000-0000-0000C2C60000}"/>
    <cellStyle name="스타일 71 2" xfId="9097" xr:uid="{00000000-0005-0000-0000-0000C3C60000}"/>
    <cellStyle name="스타일 72" xfId="9098" xr:uid="{00000000-0005-0000-0000-0000C4C60000}"/>
    <cellStyle name="스타일 72 2" xfId="9099" xr:uid="{00000000-0005-0000-0000-0000C5C60000}"/>
    <cellStyle name="스타일 73" xfId="9100" xr:uid="{00000000-0005-0000-0000-0000C6C60000}"/>
    <cellStyle name="스타일 73 2" xfId="9101" xr:uid="{00000000-0005-0000-0000-0000C7C60000}"/>
    <cellStyle name="스타일 74" xfId="9102" xr:uid="{00000000-0005-0000-0000-0000C8C60000}"/>
    <cellStyle name="스타일 74 2" xfId="9103" xr:uid="{00000000-0005-0000-0000-0000C9C60000}"/>
    <cellStyle name="스타일 75" xfId="9104" xr:uid="{00000000-0005-0000-0000-0000CAC60000}"/>
    <cellStyle name="스타일 75 2" xfId="9105" xr:uid="{00000000-0005-0000-0000-0000CBC60000}"/>
    <cellStyle name="스타일 76" xfId="9106" xr:uid="{00000000-0005-0000-0000-0000CCC60000}"/>
    <cellStyle name="스타일 76 2" xfId="9107" xr:uid="{00000000-0005-0000-0000-0000CDC60000}"/>
    <cellStyle name="스타일 77" xfId="9108" xr:uid="{00000000-0005-0000-0000-0000CEC60000}"/>
    <cellStyle name="스타일 77 2" xfId="9109" xr:uid="{00000000-0005-0000-0000-0000CFC60000}"/>
    <cellStyle name="스타일 78" xfId="9110" xr:uid="{00000000-0005-0000-0000-0000D0C60000}"/>
    <cellStyle name="스타일 78 2" xfId="9111" xr:uid="{00000000-0005-0000-0000-0000D1C60000}"/>
    <cellStyle name="스타일 79" xfId="9112" xr:uid="{00000000-0005-0000-0000-0000D2C60000}"/>
    <cellStyle name="스타일 79 2" xfId="9113" xr:uid="{00000000-0005-0000-0000-0000D3C60000}"/>
    <cellStyle name="스타일 8" xfId="9114" xr:uid="{00000000-0005-0000-0000-0000D4C60000}"/>
    <cellStyle name="스타일 80" xfId="9115" xr:uid="{00000000-0005-0000-0000-0000D5C60000}"/>
    <cellStyle name="스타일 80 2" xfId="9116" xr:uid="{00000000-0005-0000-0000-0000D6C60000}"/>
    <cellStyle name="스타일 81" xfId="9117" xr:uid="{00000000-0005-0000-0000-0000D7C60000}"/>
    <cellStyle name="스타일 81 2" xfId="9118" xr:uid="{00000000-0005-0000-0000-0000D8C60000}"/>
    <cellStyle name="스타일 82" xfId="9119" xr:uid="{00000000-0005-0000-0000-0000D9C60000}"/>
    <cellStyle name="스타일 82 2" xfId="9120" xr:uid="{00000000-0005-0000-0000-0000DAC60000}"/>
    <cellStyle name="스타일 83" xfId="9121" xr:uid="{00000000-0005-0000-0000-0000DBC60000}"/>
    <cellStyle name="스타일 83 2" xfId="9122" xr:uid="{00000000-0005-0000-0000-0000DCC60000}"/>
    <cellStyle name="스타일 84" xfId="9123" xr:uid="{00000000-0005-0000-0000-0000DDC60000}"/>
    <cellStyle name="스타일 84 2" xfId="9124" xr:uid="{00000000-0005-0000-0000-0000DEC60000}"/>
    <cellStyle name="스타일 85" xfId="9125" xr:uid="{00000000-0005-0000-0000-0000DFC60000}"/>
    <cellStyle name="스타일 85 2" xfId="9126" xr:uid="{00000000-0005-0000-0000-0000E0C60000}"/>
    <cellStyle name="스타일 86" xfId="9127" xr:uid="{00000000-0005-0000-0000-0000E1C60000}"/>
    <cellStyle name="스타일 86 2" xfId="9128" xr:uid="{00000000-0005-0000-0000-0000E2C60000}"/>
    <cellStyle name="스타일 87" xfId="9129" xr:uid="{00000000-0005-0000-0000-0000E3C60000}"/>
    <cellStyle name="스타일 87 2" xfId="9130" xr:uid="{00000000-0005-0000-0000-0000E4C60000}"/>
    <cellStyle name="스타일 88" xfId="9131" xr:uid="{00000000-0005-0000-0000-0000E5C60000}"/>
    <cellStyle name="스타일 88 2" xfId="9132" xr:uid="{00000000-0005-0000-0000-0000E6C60000}"/>
    <cellStyle name="스타일 89" xfId="9133" xr:uid="{00000000-0005-0000-0000-0000E7C60000}"/>
    <cellStyle name="스타일 89 2" xfId="9134" xr:uid="{00000000-0005-0000-0000-0000E8C60000}"/>
    <cellStyle name="스타일 9" xfId="9135" xr:uid="{00000000-0005-0000-0000-0000E9C60000}"/>
    <cellStyle name="스타일 90" xfId="9136" xr:uid="{00000000-0005-0000-0000-0000EAC60000}"/>
    <cellStyle name="스타일 90 2" xfId="9137" xr:uid="{00000000-0005-0000-0000-0000EBC60000}"/>
    <cellStyle name="스타일 91" xfId="9138" xr:uid="{00000000-0005-0000-0000-0000ECC60000}"/>
    <cellStyle name="스타일 91 2" xfId="9139" xr:uid="{00000000-0005-0000-0000-0000EDC60000}"/>
    <cellStyle name="스타일 92" xfId="9140" xr:uid="{00000000-0005-0000-0000-0000EEC60000}"/>
    <cellStyle name="스타일 92 2" xfId="9141" xr:uid="{00000000-0005-0000-0000-0000EFC60000}"/>
    <cellStyle name="스타일 93" xfId="9142" xr:uid="{00000000-0005-0000-0000-0000F0C60000}"/>
    <cellStyle name="스타일 93 2" xfId="9143" xr:uid="{00000000-0005-0000-0000-0000F1C60000}"/>
    <cellStyle name="스타일 94" xfId="9144" xr:uid="{00000000-0005-0000-0000-0000F2C60000}"/>
    <cellStyle name="스타일 94 2" xfId="9145" xr:uid="{00000000-0005-0000-0000-0000F3C60000}"/>
    <cellStyle name="스타일 95" xfId="9146" xr:uid="{00000000-0005-0000-0000-0000F4C60000}"/>
    <cellStyle name="스타일 95 2" xfId="9147" xr:uid="{00000000-0005-0000-0000-0000F5C60000}"/>
    <cellStyle name="스타일 96" xfId="9148" xr:uid="{00000000-0005-0000-0000-0000F6C60000}"/>
    <cellStyle name="스타일 96 2" xfId="9149" xr:uid="{00000000-0005-0000-0000-0000F7C60000}"/>
    <cellStyle name="스타일 97" xfId="9150" xr:uid="{00000000-0005-0000-0000-0000F8C60000}"/>
    <cellStyle name="스타일 97 2" xfId="9151" xr:uid="{00000000-0005-0000-0000-0000F9C60000}"/>
    <cellStyle name="스타일 98" xfId="9152" xr:uid="{00000000-0005-0000-0000-0000FAC60000}"/>
    <cellStyle name="스타일 98 2" xfId="9153" xr:uid="{00000000-0005-0000-0000-0000FBC60000}"/>
    <cellStyle name="스타일 99" xfId="9154" xr:uid="{00000000-0005-0000-0000-0000FCC60000}"/>
    <cellStyle name="스타일 99 2" xfId="9155" xr:uid="{00000000-0005-0000-0000-0000FDC60000}"/>
    <cellStyle name="안건회계법인" xfId="9156" xr:uid="{00000000-0005-0000-0000-0000FEC60000}"/>
    <cellStyle name="연결된 셀 2" xfId="9157" xr:uid="{00000000-0005-0000-0000-0000FFC60000}"/>
    <cellStyle name="연결된 셀 2 2" xfId="9158" xr:uid="{00000000-0005-0000-0000-000000C70000}"/>
    <cellStyle name="연결된 셀 3" xfId="9159" xr:uid="{00000000-0005-0000-0000-000001C70000}"/>
    <cellStyle name="열어본 하이퍼링크" xfId="9160" xr:uid="{00000000-0005-0000-0000-000002C70000}"/>
    <cellStyle name="요약 2" xfId="9161" xr:uid="{00000000-0005-0000-0000-000003C70000}"/>
    <cellStyle name="요약 2 2" xfId="9162" xr:uid="{00000000-0005-0000-0000-000004C70000}"/>
    <cellStyle name="요약 2 2 2" xfId="14079" xr:uid="{00000000-0005-0000-0000-000005C70000}"/>
    <cellStyle name="요약 2 2 2 2" xfId="19099" xr:uid="{00000000-0005-0000-0000-000006C70000}"/>
    <cellStyle name="요약 2 2 2 2 2" xfId="37563" xr:uid="{00000000-0005-0000-0000-000007C70000}"/>
    <cellStyle name="요약 2 2 2 3" xfId="28244" xr:uid="{00000000-0005-0000-0000-000008C70000}"/>
    <cellStyle name="요약 2 2 3" xfId="14302" xr:uid="{00000000-0005-0000-0000-000009C70000}"/>
    <cellStyle name="요약 2 2 3 2" xfId="19100" xr:uid="{00000000-0005-0000-0000-00000AC70000}"/>
    <cellStyle name="요약 2 2 3 2 2" xfId="37777" xr:uid="{00000000-0005-0000-0000-00000BC70000}"/>
    <cellStyle name="요약 2 2 3 3" xfId="28462" xr:uid="{00000000-0005-0000-0000-00000CC70000}"/>
    <cellStyle name="요약 2 2 4" xfId="46833" xr:uid="{00000000-0005-0000-0000-00000DC70000}"/>
    <cellStyle name="요약 2 3" xfId="14301" xr:uid="{00000000-0005-0000-0000-00000EC70000}"/>
    <cellStyle name="요약 2 3 2" xfId="19101" xr:uid="{00000000-0005-0000-0000-00000FC70000}"/>
    <cellStyle name="요약 2 3 2 2" xfId="37776" xr:uid="{00000000-0005-0000-0000-000010C70000}"/>
    <cellStyle name="요약 2 3 3" xfId="28461" xr:uid="{00000000-0005-0000-0000-000011C70000}"/>
    <cellStyle name="요약 2 3 4" xfId="51508" xr:uid="{00000000-0005-0000-0000-000012C70000}"/>
    <cellStyle name="요약 2 4" xfId="18799" xr:uid="{00000000-0005-0000-0000-000013C70000}"/>
    <cellStyle name="요약 2 4 2" xfId="19102" xr:uid="{00000000-0005-0000-0000-000014C70000}"/>
    <cellStyle name="요약 2 4 3" xfId="32931" xr:uid="{00000000-0005-0000-0000-000015C70000}"/>
    <cellStyle name="요약 2 4 4" xfId="51647" xr:uid="{00000000-0005-0000-0000-000016C70000}"/>
    <cellStyle name="요약 2 5" xfId="23612" xr:uid="{00000000-0005-0000-0000-000017C70000}"/>
    <cellStyle name="요약 2 5 2" xfId="46832" xr:uid="{00000000-0005-0000-0000-000018C70000}"/>
    <cellStyle name="요약 2 6" xfId="42222" xr:uid="{00000000-0005-0000-0000-000019C70000}"/>
    <cellStyle name="요약 3" xfId="9163" xr:uid="{00000000-0005-0000-0000-00001AC70000}"/>
    <cellStyle name="요약 3 2" xfId="14303" xr:uid="{00000000-0005-0000-0000-00001BC70000}"/>
    <cellStyle name="요약 3 2 2" xfId="19103" xr:uid="{00000000-0005-0000-0000-00001CC70000}"/>
    <cellStyle name="요약 3 2 2 2" xfId="37778" xr:uid="{00000000-0005-0000-0000-00001DC70000}"/>
    <cellStyle name="요약 3 2 3" xfId="28463" xr:uid="{00000000-0005-0000-0000-00001EC70000}"/>
    <cellStyle name="요약 3 2 4" xfId="51509" xr:uid="{00000000-0005-0000-0000-00001FC70000}"/>
    <cellStyle name="요약 3 3" xfId="18800" xr:uid="{00000000-0005-0000-0000-000020C70000}"/>
    <cellStyle name="요약 3 3 2" xfId="19104" xr:uid="{00000000-0005-0000-0000-000021C70000}"/>
    <cellStyle name="요약 3 3 3" xfId="32932" xr:uid="{00000000-0005-0000-0000-000022C70000}"/>
    <cellStyle name="요약 3 3 4" xfId="51648" xr:uid="{00000000-0005-0000-0000-000023C70000}"/>
    <cellStyle name="요약 3 4" xfId="23613" xr:uid="{00000000-0005-0000-0000-000024C70000}"/>
    <cellStyle name="요약 3 4 2" xfId="46834" xr:uid="{00000000-0005-0000-0000-000025C70000}"/>
    <cellStyle name="요약 3 5" xfId="42223" xr:uid="{00000000-0005-0000-0000-000026C70000}"/>
    <cellStyle name="윗첨자" xfId="9164" xr:uid="{00000000-0005-0000-0000-000027C70000}"/>
    <cellStyle name="유영" xfId="9165" xr:uid="{00000000-0005-0000-0000-000028C70000}"/>
    <cellStyle name="윤영배" xfId="9166" xr:uid="{00000000-0005-0000-0000-000029C70000}"/>
    <cellStyle name="입력 10" xfId="9167" xr:uid="{00000000-0005-0000-0000-00002AC70000}"/>
    <cellStyle name="입력 10 2" xfId="14080" xr:uid="{00000000-0005-0000-0000-00002BC70000}"/>
    <cellStyle name="입력 10 2 2" xfId="19105" xr:uid="{00000000-0005-0000-0000-00002CC70000}"/>
    <cellStyle name="입력 10 2 2 2" xfId="37564" xr:uid="{00000000-0005-0000-0000-00002DC70000}"/>
    <cellStyle name="입력 10 2 3" xfId="28245" xr:uid="{00000000-0005-0000-0000-00002EC70000}"/>
    <cellStyle name="입력 10 2 4" xfId="51510" xr:uid="{00000000-0005-0000-0000-00002FC70000}"/>
    <cellStyle name="입력 10 3" xfId="14304" xr:uid="{00000000-0005-0000-0000-000030C70000}"/>
    <cellStyle name="입력 10 3 2" xfId="19106" xr:uid="{00000000-0005-0000-0000-000031C70000}"/>
    <cellStyle name="입력 10 3 2 2" xfId="37779" xr:uid="{00000000-0005-0000-0000-000032C70000}"/>
    <cellStyle name="입력 10 3 3" xfId="28464" xr:uid="{00000000-0005-0000-0000-000033C70000}"/>
    <cellStyle name="입력 10 4" xfId="18801" xr:uid="{00000000-0005-0000-0000-000034C70000}"/>
    <cellStyle name="입력 10 4 2" xfId="19107" xr:uid="{00000000-0005-0000-0000-000035C70000}"/>
    <cellStyle name="입력 10 4 3" xfId="32933" xr:uid="{00000000-0005-0000-0000-000036C70000}"/>
    <cellStyle name="입력 10 4 4" xfId="46835" xr:uid="{00000000-0005-0000-0000-000037C70000}"/>
    <cellStyle name="입력 10 5" xfId="23614" xr:uid="{00000000-0005-0000-0000-000038C70000}"/>
    <cellStyle name="입력 11" xfId="9168" xr:uid="{00000000-0005-0000-0000-000039C70000}"/>
    <cellStyle name="입력 11 2" xfId="14081" xr:uid="{00000000-0005-0000-0000-00003AC70000}"/>
    <cellStyle name="입력 11 2 2" xfId="19108" xr:uid="{00000000-0005-0000-0000-00003BC70000}"/>
    <cellStyle name="입력 11 2 2 2" xfId="37565" xr:uid="{00000000-0005-0000-0000-00003CC70000}"/>
    <cellStyle name="입력 11 2 3" xfId="28246" xr:uid="{00000000-0005-0000-0000-00003DC70000}"/>
    <cellStyle name="입력 11 2 4" xfId="51511" xr:uid="{00000000-0005-0000-0000-00003EC70000}"/>
    <cellStyle name="입력 11 3" xfId="14305" xr:uid="{00000000-0005-0000-0000-00003FC70000}"/>
    <cellStyle name="입력 11 3 2" xfId="19109" xr:uid="{00000000-0005-0000-0000-000040C70000}"/>
    <cellStyle name="입력 11 3 2 2" xfId="37780" xr:uid="{00000000-0005-0000-0000-000041C70000}"/>
    <cellStyle name="입력 11 3 3" xfId="28465" xr:uid="{00000000-0005-0000-0000-000042C70000}"/>
    <cellStyle name="입력 11 4" xfId="18802" xr:uid="{00000000-0005-0000-0000-000043C70000}"/>
    <cellStyle name="입력 11 4 2" xfId="19110" xr:uid="{00000000-0005-0000-0000-000044C70000}"/>
    <cellStyle name="입력 11 4 3" xfId="32934" xr:uid="{00000000-0005-0000-0000-000045C70000}"/>
    <cellStyle name="입력 11 4 4" xfId="46836" xr:uid="{00000000-0005-0000-0000-000046C70000}"/>
    <cellStyle name="입력 11 5" xfId="23615" xr:uid="{00000000-0005-0000-0000-000047C70000}"/>
    <cellStyle name="입력 12" xfId="9169" xr:uid="{00000000-0005-0000-0000-000048C70000}"/>
    <cellStyle name="입력 12 2" xfId="14082" xr:uid="{00000000-0005-0000-0000-000049C70000}"/>
    <cellStyle name="입력 12 2 2" xfId="19111" xr:uid="{00000000-0005-0000-0000-00004AC70000}"/>
    <cellStyle name="입력 12 2 2 2" xfId="37566" xr:uid="{00000000-0005-0000-0000-00004BC70000}"/>
    <cellStyle name="입력 12 2 3" xfId="28247" xr:uid="{00000000-0005-0000-0000-00004CC70000}"/>
    <cellStyle name="입력 12 2 4" xfId="51512" xr:uid="{00000000-0005-0000-0000-00004DC70000}"/>
    <cellStyle name="입력 12 3" xfId="14306" xr:uid="{00000000-0005-0000-0000-00004EC70000}"/>
    <cellStyle name="입력 12 3 2" xfId="19112" xr:uid="{00000000-0005-0000-0000-00004FC70000}"/>
    <cellStyle name="입력 12 3 2 2" xfId="37781" xr:uid="{00000000-0005-0000-0000-000050C70000}"/>
    <cellStyle name="입력 12 3 3" xfId="28466" xr:uid="{00000000-0005-0000-0000-000051C70000}"/>
    <cellStyle name="입력 12 4" xfId="18803" xr:uid="{00000000-0005-0000-0000-000052C70000}"/>
    <cellStyle name="입력 12 4 2" xfId="19113" xr:uid="{00000000-0005-0000-0000-000053C70000}"/>
    <cellStyle name="입력 12 4 3" xfId="32935" xr:uid="{00000000-0005-0000-0000-000054C70000}"/>
    <cellStyle name="입력 12 4 4" xfId="46837" xr:uid="{00000000-0005-0000-0000-000055C70000}"/>
    <cellStyle name="입력 12 5" xfId="23616" xr:uid="{00000000-0005-0000-0000-000056C70000}"/>
    <cellStyle name="입력 2" xfId="9170" xr:uid="{00000000-0005-0000-0000-000057C70000}"/>
    <cellStyle name="입력 2 2" xfId="9171" xr:uid="{00000000-0005-0000-0000-000058C70000}"/>
    <cellStyle name="입력 2 2 2" xfId="14084" xr:uid="{00000000-0005-0000-0000-000059C70000}"/>
    <cellStyle name="입력 2 2 2 2" xfId="19114" xr:uid="{00000000-0005-0000-0000-00005AC70000}"/>
    <cellStyle name="입력 2 2 2 2 2" xfId="37568" xr:uid="{00000000-0005-0000-0000-00005BC70000}"/>
    <cellStyle name="입력 2 2 2 3" xfId="28249" xr:uid="{00000000-0005-0000-0000-00005CC70000}"/>
    <cellStyle name="입력 2 2 2 4" xfId="51514" xr:uid="{00000000-0005-0000-0000-00005DC70000}"/>
    <cellStyle name="입력 2 2 3" xfId="14308" xr:uid="{00000000-0005-0000-0000-00005EC70000}"/>
    <cellStyle name="입력 2 2 3 2" xfId="19115" xr:uid="{00000000-0005-0000-0000-00005FC70000}"/>
    <cellStyle name="입력 2 2 3 2 2" xfId="37783" xr:uid="{00000000-0005-0000-0000-000060C70000}"/>
    <cellStyle name="입력 2 2 3 3" xfId="28468" xr:uid="{00000000-0005-0000-0000-000061C70000}"/>
    <cellStyle name="입력 2 2 4" xfId="18805" xr:uid="{00000000-0005-0000-0000-000062C70000}"/>
    <cellStyle name="입력 2 2 4 2" xfId="19116" xr:uid="{00000000-0005-0000-0000-000063C70000}"/>
    <cellStyle name="입력 2 2 4 3" xfId="32937" xr:uid="{00000000-0005-0000-0000-000064C70000}"/>
    <cellStyle name="입력 2 2 4 4" xfId="46839" xr:uid="{00000000-0005-0000-0000-000065C70000}"/>
    <cellStyle name="입력 2 2 5" xfId="23618" xr:uid="{00000000-0005-0000-0000-000066C70000}"/>
    <cellStyle name="입력 2 3" xfId="14083" xr:uid="{00000000-0005-0000-0000-000067C70000}"/>
    <cellStyle name="입력 2 3 2" xfId="19117" xr:uid="{00000000-0005-0000-0000-000068C70000}"/>
    <cellStyle name="입력 2 3 2 2" xfId="37567" xr:uid="{00000000-0005-0000-0000-000069C70000}"/>
    <cellStyle name="입력 2 3 3" xfId="28248" xr:uid="{00000000-0005-0000-0000-00006AC70000}"/>
    <cellStyle name="입력 2 3 4" xfId="51513" xr:uid="{00000000-0005-0000-0000-00006BC70000}"/>
    <cellStyle name="입력 2 4" xfId="14307" xr:uid="{00000000-0005-0000-0000-00006CC70000}"/>
    <cellStyle name="입력 2 4 2" xfId="19118" xr:uid="{00000000-0005-0000-0000-00006DC70000}"/>
    <cellStyle name="입력 2 4 2 2" xfId="37782" xr:uid="{00000000-0005-0000-0000-00006EC70000}"/>
    <cellStyle name="입력 2 4 3" xfId="28467" xr:uid="{00000000-0005-0000-0000-00006FC70000}"/>
    <cellStyle name="입력 2 5" xfId="18804" xr:uid="{00000000-0005-0000-0000-000070C70000}"/>
    <cellStyle name="입력 2 5 2" xfId="19119" xr:uid="{00000000-0005-0000-0000-000071C70000}"/>
    <cellStyle name="입력 2 5 3" xfId="32936" xr:uid="{00000000-0005-0000-0000-000072C70000}"/>
    <cellStyle name="입력 2 5 4" xfId="46838" xr:uid="{00000000-0005-0000-0000-000073C70000}"/>
    <cellStyle name="입력 2 6" xfId="23617" xr:uid="{00000000-0005-0000-0000-000074C70000}"/>
    <cellStyle name="입력 3" xfId="9172" xr:uid="{00000000-0005-0000-0000-000075C70000}"/>
    <cellStyle name="입력 3 2" xfId="14085" xr:uid="{00000000-0005-0000-0000-000076C70000}"/>
    <cellStyle name="입력 3 2 2" xfId="19120" xr:uid="{00000000-0005-0000-0000-000077C70000}"/>
    <cellStyle name="입력 3 2 2 2" xfId="37569" xr:uid="{00000000-0005-0000-0000-000078C70000}"/>
    <cellStyle name="입력 3 2 3" xfId="28250" xr:uid="{00000000-0005-0000-0000-000079C70000}"/>
    <cellStyle name="입력 3 2 4" xfId="51515" xr:uid="{00000000-0005-0000-0000-00007AC70000}"/>
    <cellStyle name="입력 3 3" xfId="14309" xr:uid="{00000000-0005-0000-0000-00007BC70000}"/>
    <cellStyle name="입력 3 3 2" xfId="19121" xr:uid="{00000000-0005-0000-0000-00007CC70000}"/>
    <cellStyle name="입력 3 3 2 2" xfId="37784" xr:uid="{00000000-0005-0000-0000-00007DC70000}"/>
    <cellStyle name="입력 3 3 3" xfId="28469" xr:uid="{00000000-0005-0000-0000-00007EC70000}"/>
    <cellStyle name="입력 3 4" xfId="18806" xr:uid="{00000000-0005-0000-0000-00007FC70000}"/>
    <cellStyle name="입력 3 4 2" xfId="19122" xr:uid="{00000000-0005-0000-0000-000080C70000}"/>
    <cellStyle name="입력 3 4 3" xfId="32938" xr:uid="{00000000-0005-0000-0000-000081C70000}"/>
    <cellStyle name="입력 3 4 4" xfId="46840" xr:uid="{00000000-0005-0000-0000-000082C70000}"/>
    <cellStyle name="입력 3 5" xfId="23619" xr:uid="{00000000-0005-0000-0000-000083C70000}"/>
    <cellStyle name="입력 4" xfId="9173" xr:uid="{00000000-0005-0000-0000-000084C70000}"/>
    <cellStyle name="입력 4 2" xfId="14086" xr:uid="{00000000-0005-0000-0000-000085C70000}"/>
    <cellStyle name="입력 4 2 2" xfId="19123" xr:uid="{00000000-0005-0000-0000-000086C70000}"/>
    <cellStyle name="입력 4 2 2 2" xfId="37570" xr:uid="{00000000-0005-0000-0000-000087C70000}"/>
    <cellStyle name="입력 4 2 3" xfId="28251" xr:uid="{00000000-0005-0000-0000-000088C70000}"/>
    <cellStyle name="입력 4 2 4" xfId="51516" xr:uid="{00000000-0005-0000-0000-000089C70000}"/>
    <cellStyle name="입력 4 3" xfId="14310" xr:uid="{00000000-0005-0000-0000-00008AC70000}"/>
    <cellStyle name="입력 4 3 2" xfId="19124" xr:uid="{00000000-0005-0000-0000-00008BC70000}"/>
    <cellStyle name="입력 4 3 2 2" xfId="37785" xr:uid="{00000000-0005-0000-0000-00008CC70000}"/>
    <cellStyle name="입력 4 3 3" xfId="28470" xr:uid="{00000000-0005-0000-0000-00008DC70000}"/>
    <cellStyle name="입력 4 4" xfId="18807" xr:uid="{00000000-0005-0000-0000-00008EC70000}"/>
    <cellStyle name="입력 4 4 2" xfId="19125" xr:uid="{00000000-0005-0000-0000-00008FC70000}"/>
    <cellStyle name="입력 4 4 3" xfId="32939" xr:uid="{00000000-0005-0000-0000-000090C70000}"/>
    <cellStyle name="입력 4 4 4" xfId="46841" xr:uid="{00000000-0005-0000-0000-000091C70000}"/>
    <cellStyle name="입력 4 5" xfId="23620" xr:uid="{00000000-0005-0000-0000-000092C70000}"/>
    <cellStyle name="입력 5" xfId="9174" xr:uid="{00000000-0005-0000-0000-000093C70000}"/>
    <cellStyle name="입력 5 2" xfId="14087" xr:uid="{00000000-0005-0000-0000-000094C70000}"/>
    <cellStyle name="입력 5 2 2" xfId="19126" xr:uid="{00000000-0005-0000-0000-000095C70000}"/>
    <cellStyle name="입력 5 2 2 2" xfId="37571" xr:uid="{00000000-0005-0000-0000-000096C70000}"/>
    <cellStyle name="입력 5 2 3" xfId="28252" xr:uid="{00000000-0005-0000-0000-000097C70000}"/>
    <cellStyle name="입력 5 2 4" xfId="51517" xr:uid="{00000000-0005-0000-0000-000098C70000}"/>
    <cellStyle name="입력 5 3" xfId="14311" xr:uid="{00000000-0005-0000-0000-000099C70000}"/>
    <cellStyle name="입력 5 3 2" xfId="19127" xr:uid="{00000000-0005-0000-0000-00009AC70000}"/>
    <cellStyle name="입력 5 3 2 2" xfId="37786" xr:uid="{00000000-0005-0000-0000-00009BC70000}"/>
    <cellStyle name="입력 5 3 3" xfId="28471" xr:uid="{00000000-0005-0000-0000-00009CC70000}"/>
    <cellStyle name="입력 5 4" xfId="18808" xr:uid="{00000000-0005-0000-0000-00009DC70000}"/>
    <cellStyle name="입력 5 4 2" xfId="19128" xr:uid="{00000000-0005-0000-0000-00009EC70000}"/>
    <cellStyle name="입력 5 4 3" xfId="32940" xr:uid="{00000000-0005-0000-0000-00009FC70000}"/>
    <cellStyle name="입력 5 4 4" xfId="46842" xr:uid="{00000000-0005-0000-0000-0000A0C70000}"/>
    <cellStyle name="입력 5 5" xfId="23621" xr:uid="{00000000-0005-0000-0000-0000A1C70000}"/>
    <cellStyle name="입력 6" xfId="9175" xr:uid="{00000000-0005-0000-0000-0000A2C70000}"/>
    <cellStyle name="입력 6 2" xfId="14088" xr:uid="{00000000-0005-0000-0000-0000A3C70000}"/>
    <cellStyle name="입력 6 2 2" xfId="19129" xr:uid="{00000000-0005-0000-0000-0000A4C70000}"/>
    <cellStyle name="입력 6 2 2 2" xfId="37572" xr:uid="{00000000-0005-0000-0000-0000A5C70000}"/>
    <cellStyle name="입력 6 2 3" xfId="28253" xr:uid="{00000000-0005-0000-0000-0000A6C70000}"/>
    <cellStyle name="입력 6 2 4" xfId="51518" xr:uid="{00000000-0005-0000-0000-0000A7C70000}"/>
    <cellStyle name="입력 6 3" xfId="14312" xr:uid="{00000000-0005-0000-0000-0000A8C70000}"/>
    <cellStyle name="입력 6 3 2" xfId="19130" xr:uid="{00000000-0005-0000-0000-0000A9C70000}"/>
    <cellStyle name="입력 6 3 2 2" xfId="37787" xr:uid="{00000000-0005-0000-0000-0000AAC70000}"/>
    <cellStyle name="입력 6 3 3" xfId="28472" xr:uid="{00000000-0005-0000-0000-0000ABC70000}"/>
    <cellStyle name="입력 6 4" xfId="18809" xr:uid="{00000000-0005-0000-0000-0000ACC70000}"/>
    <cellStyle name="입력 6 4 2" xfId="19131" xr:uid="{00000000-0005-0000-0000-0000ADC70000}"/>
    <cellStyle name="입력 6 4 3" xfId="32941" xr:uid="{00000000-0005-0000-0000-0000AEC70000}"/>
    <cellStyle name="입력 6 4 4" xfId="46843" xr:uid="{00000000-0005-0000-0000-0000AFC70000}"/>
    <cellStyle name="입력 6 5" xfId="23622" xr:uid="{00000000-0005-0000-0000-0000B0C70000}"/>
    <cellStyle name="입력 7" xfId="9176" xr:uid="{00000000-0005-0000-0000-0000B1C70000}"/>
    <cellStyle name="입력 7 2" xfId="14089" xr:uid="{00000000-0005-0000-0000-0000B2C70000}"/>
    <cellStyle name="입력 7 2 2" xfId="19132" xr:uid="{00000000-0005-0000-0000-0000B3C70000}"/>
    <cellStyle name="입력 7 2 2 2" xfId="37573" xr:uid="{00000000-0005-0000-0000-0000B4C70000}"/>
    <cellStyle name="입력 7 2 3" xfId="28254" xr:uid="{00000000-0005-0000-0000-0000B5C70000}"/>
    <cellStyle name="입력 7 2 4" xfId="51519" xr:uid="{00000000-0005-0000-0000-0000B6C70000}"/>
    <cellStyle name="입력 7 3" xfId="14313" xr:uid="{00000000-0005-0000-0000-0000B7C70000}"/>
    <cellStyle name="입력 7 3 2" xfId="19133" xr:uid="{00000000-0005-0000-0000-0000B8C70000}"/>
    <cellStyle name="입력 7 3 2 2" xfId="37788" xr:uid="{00000000-0005-0000-0000-0000B9C70000}"/>
    <cellStyle name="입력 7 3 3" xfId="28473" xr:uid="{00000000-0005-0000-0000-0000BAC70000}"/>
    <cellStyle name="입력 7 4" xfId="18810" xr:uid="{00000000-0005-0000-0000-0000BBC70000}"/>
    <cellStyle name="입력 7 4 2" xfId="19134" xr:uid="{00000000-0005-0000-0000-0000BCC70000}"/>
    <cellStyle name="입력 7 4 3" xfId="32942" xr:uid="{00000000-0005-0000-0000-0000BDC70000}"/>
    <cellStyle name="입력 7 4 4" xfId="46844" xr:uid="{00000000-0005-0000-0000-0000BEC70000}"/>
    <cellStyle name="입력 7 5" xfId="23623" xr:uid="{00000000-0005-0000-0000-0000BFC70000}"/>
    <cellStyle name="입력 8" xfId="9177" xr:uid="{00000000-0005-0000-0000-0000C0C70000}"/>
    <cellStyle name="입력 8 2" xfId="14090" xr:uid="{00000000-0005-0000-0000-0000C1C70000}"/>
    <cellStyle name="입력 8 2 2" xfId="19135" xr:uid="{00000000-0005-0000-0000-0000C2C70000}"/>
    <cellStyle name="입력 8 2 2 2" xfId="37574" xr:uid="{00000000-0005-0000-0000-0000C3C70000}"/>
    <cellStyle name="입력 8 2 3" xfId="28255" xr:uid="{00000000-0005-0000-0000-0000C4C70000}"/>
    <cellStyle name="입력 8 2 4" xfId="51520" xr:uid="{00000000-0005-0000-0000-0000C5C70000}"/>
    <cellStyle name="입력 8 3" xfId="14314" xr:uid="{00000000-0005-0000-0000-0000C6C70000}"/>
    <cellStyle name="입력 8 3 2" xfId="19136" xr:uid="{00000000-0005-0000-0000-0000C7C70000}"/>
    <cellStyle name="입력 8 3 2 2" xfId="37789" xr:uid="{00000000-0005-0000-0000-0000C8C70000}"/>
    <cellStyle name="입력 8 3 3" xfId="28474" xr:uid="{00000000-0005-0000-0000-0000C9C70000}"/>
    <cellStyle name="입력 8 4" xfId="18811" xr:uid="{00000000-0005-0000-0000-0000CAC70000}"/>
    <cellStyle name="입력 8 4 2" xfId="19137" xr:uid="{00000000-0005-0000-0000-0000CBC70000}"/>
    <cellStyle name="입력 8 4 3" xfId="32943" xr:uid="{00000000-0005-0000-0000-0000CCC70000}"/>
    <cellStyle name="입력 8 4 4" xfId="46845" xr:uid="{00000000-0005-0000-0000-0000CDC70000}"/>
    <cellStyle name="입력 8 5" xfId="23624" xr:uid="{00000000-0005-0000-0000-0000CEC70000}"/>
    <cellStyle name="입력 9" xfId="9178" xr:uid="{00000000-0005-0000-0000-0000CFC70000}"/>
    <cellStyle name="입력 9 2" xfId="14091" xr:uid="{00000000-0005-0000-0000-0000D0C70000}"/>
    <cellStyle name="입력 9 2 2" xfId="19138" xr:uid="{00000000-0005-0000-0000-0000D1C70000}"/>
    <cellStyle name="입력 9 2 2 2" xfId="37575" xr:uid="{00000000-0005-0000-0000-0000D2C70000}"/>
    <cellStyle name="입력 9 2 3" xfId="28256" xr:uid="{00000000-0005-0000-0000-0000D3C70000}"/>
    <cellStyle name="입력 9 2 4" xfId="51521" xr:uid="{00000000-0005-0000-0000-0000D4C70000}"/>
    <cellStyle name="입력 9 3" xfId="14315" xr:uid="{00000000-0005-0000-0000-0000D5C70000}"/>
    <cellStyle name="입력 9 3 2" xfId="19139" xr:uid="{00000000-0005-0000-0000-0000D6C70000}"/>
    <cellStyle name="입력 9 3 2 2" xfId="37790" xr:uid="{00000000-0005-0000-0000-0000D7C70000}"/>
    <cellStyle name="입력 9 3 3" xfId="28475" xr:uid="{00000000-0005-0000-0000-0000D8C70000}"/>
    <cellStyle name="입력 9 4" xfId="18812" xr:uid="{00000000-0005-0000-0000-0000D9C70000}"/>
    <cellStyle name="입력 9 4 2" xfId="19140" xr:uid="{00000000-0005-0000-0000-0000DAC70000}"/>
    <cellStyle name="입력 9 4 3" xfId="32944" xr:uid="{00000000-0005-0000-0000-0000DBC70000}"/>
    <cellStyle name="입력 9 4 4" xfId="46846" xr:uid="{00000000-0005-0000-0000-0000DCC70000}"/>
    <cellStyle name="입력 9 5" xfId="23625" xr:uid="{00000000-0005-0000-0000-0000DDC70000}"/>
    <cellStyle name="자리수" xfId="9179" xr:uid="{00000000-0005-0000-0000-0000DEC70000}"/>
    <cellStyle name="자리수0" xfId="9180" xr:uid="{00000000-0005-0000-0000-0000DFC70000}"/>
    <cellStyle name="자리수0 2" xfId="9181" xr:uid="{00000000-0005-0000-0000-0000E0C70000}"/>
    <cellStyle name="제목 1 2" xfId="9182" xr:uid="{00000000-0005-0000-0000-0000E1C70000}"/>
    <cellStyle name="제목 1 2 2" xfId="9183" xr:uid="{00000000-0005-0000-0000-0000E2C70000}"/>
    <cellStyle name="제목 1 3" xfId="9184" xr:uid="{00000000-0005-0000-0000-0000E3C70000}"/>
    <cellStyle name="제목 2 2" xfId="9185" xr:uid="{00000000-0005-0000-0000-0000E4C70000}"/>
    <cellStyle name="제목 2 2 2" xfId="9186" xr:uid="{00000000-0005-0000-0000-0000E5C70000}"/>
    <cellStyle name="제목 2 3" xfId="9187" xr:uid="{00000000-0005-0000-0000-0000E6C70000}"/>
    <cellStyle name="제목 3 2" xfId="9188" xr:uid="{00000000-0005-0000-0000-0000E7C70000}"/>
    <cellStyle name="제목 3 2 2" xfId="9189" xr:uid="{00000000-0005-0000-0000-0000E8C70000}"/>
    <cellStyle name="제목 3 2 3" xfId="14092" xr:uid="{00000000-0005-0000-0000-0000E9C70000}"/>
    <cellStyle name="제목 3 2 3 2" xfId="28257" xr:uid="{00000000-0005-0000-0000-0000EAC70000}"/>
    <cellStyle name="제목 3 2 4" xfId="23626" xr:uid="{00000000-0005-0000-0000-0000EBC70000}"/>
    <cellStyle name="제목 3 3" xfId="9190" xr:uid="{00000000-0005-0000-0000-0000ECC70000}"/>
    <cellStyle name="제목 3 3 2" xfId="14093" xr:uid="{00000000-0005-0000-0000-0000EDC70000}"/>
    <cellStyle name="제목 3 3 2 2" xfId="28258" xr:uid="{00000000-0005-0000-0000-0000EEC70000}"/>
    <cellStyle name="제목 3 3 3" xfId="23627" xr:uid="{00000000-0005-0000-0000-0000EFC70000}"/>
    <cellStyle name="제목 4 2" xfId="9191" xr:uid="{00000000-0005-0000-0000-0000F0C70000}"/>
    <cellStyle name="제목 4 2 2" xfId="9192" xr:uid="{00000000-0005-0000-0000-0000F1C70000}"/>
    <cellStyle name="제목 4 3" xfId="9193" xr:uid="{00000000-0005-0000-0000-0000F2C70000}"/>
    <cellStyle name="제목 5" xfId="9194" xr:uid="{00000000-0005-0000-0000-0000F3C70000}"/>
    <cellStyle name="제목 5 2" xfId="9195" xr:uid="{00000000-0005-0000-0000-0000F4C70000}"/>
    <cellStyle name="제목 6" xfId="9196" xr:uid="{00000000-0005-0000-0000-0000F5C70000}"/>
    <cellStyle name="좋음 2" xfId="9197" xr:uid="{00000000-0005-0000-0000-0000F6C70000}"/>
    <cellStyle name="좋음 2 2" xfId="9198" xr:uid="{00000000-0005-0000-0000-0000F7C70000}"/>
    <cellStyle name="좋음 3" xfId="9199" xr:uid="{00000000-0005-0000-0000-0000F8C70000}"/>
    <cellStyle name="주민번호" xfId="9200" xr:uid="{00000000-0005-0000-0000-0000F9C70000}"/>
    <cellStyle name="주민번호 2" xfId="9201" xr:uid="{00000000-0005-0000-0000-0000FAC70000}"/>
    <cellStyle name="지정되지 않음" xfId="9202" xr:uid="{00000000-0005-0000-0000-0000FBC70000}"/>
    <cellStyle name="출력 10" xfId="9203" xr:uid="{00000000-0005-0000-0000-0000FCC70000}"/>
    <cellStyle name="출력 10 2" xfId="14094" xr:uid="{00000000-0005-0000-0000-0000FDC70000}"/>
    <cellStyle name="출력 10 2 2" xfId="37576" xr:uid="{00000000-0005-0000-0000-0000FEC70000}"/>
    <cellStyle name="출력 10 2 3" xfId="28259" xr:uid="{00000000-0005-0000-0000-0000FFC70000}"/>
    <cellStyle name="출력 10 2 4" xfId="51522" xr:uid="{00000000-0005-0000-0000-000000C80000}"/>
    <cellStyle name="출력 10 3" xfId="14316" xr:uid="{00000000-0005-0000-0000-000001C80000}"/>
    <cellStyle name="출력 10 3 2" xfId="19141" xr:uid="{00000000-0005-0000-0000-000002C80000}"/>
    <cellStyle name="출력 10 3 2 2" xfId="37791" xr:uid="{00000000-0005-0000-0000-000003C80000}"/>
    <cellStyle name="출력 10 3 3" xfId="28476" xr:uid="{00000000-0005-0000-0000-000004C80000}"/>
    <cellStyle name="출력 10 3 4" xfId="46847" xr:uid="{00000000-0005-0000-0000-000005C80000}"/>
    <cellStyle name="출력 10 4" xfId="18813" xr:uid="{00000000-0005-0000-0000-000006C80000}"/>
    <cellStyle name="출력 10 4 2" xfId="19142" xr:uid="{00000000-0005-0000-0000-000007C80000}"/>
    <cellStyle name="출력 10 4 3" xfId="32945" xr:uid="{00000000-0005-0000-0000-000008C80000}"/>
    <cellStyle name="출력 10 5" xfId="23628" xr:uid="{00000000-0005-0000-0000-000009C80000}"/>
    <cellStyle name="출력 10 6" xfId="42224" xr:uid="{00000000-0005-0000-0000-00000AC80000}"/>
    <cellStyle name="출력 11" xfId="9204" xr:uid="{00000000-0005-0000-0000-00000BC80000}"/>
    <cellStyle name="출력 11 2" xfId="14095" xr:uid="{00000000-0005-0000-0000-00000CC80000}"/>
    <cellStyle name="출력 11 2 2" xfId="37577" xr:uid="{00000000-0005-0000-0000-00000DC80000}"/>
    <cellStyle name="출력 11 2 3" xfId="28260" xr:uid="{00000000-0005-0000-0000-00000EC80000}"/>
    <cellStyle name="출력 11 2 4" xfId="51523" xr:uid="{00000000-0005-0000-0000-00000FC80000}"/>
    <cellStyle name="출력 11 3" xfId="14317" xr:uid="{00000000-0005-0000-0000-000010C80000}"/>
    <cellStyle name="출력 11 3 2" xfId="19143" xr:uid="{00000000-0005-0000-0000-000011C80000}"/>
    <cellStyle name="출력 11 3 2 2" xfId="37792" xr:uid="{00000000-0005-0000-0000-000012C80000}"/>
    <cellStyle name="출력 11 3 3" xfId="28477" xr:uid="{00000000-0005-0000-0000-000013C80000}"/>
    <cellStyle name="출력 11 3 4" xfId="46848" xr:uid="{00000000-0005-0000-0000-000014C80000}"/>
    <cellStyle name="출력 11 4" xfId="18814" xr:uid="{00000000-0005-0000-0000-000015C80000}"/>
    <cellStyle name="출력 11 4 2" xfId="19144" xr:uid="{00000000-0005-0000-0000-000016C80000}"/>
    <cellStyle name="출력 11 4 3" xfId="32946" xr:uid="{00000000-0005-0000-0000-000017C80000}"/>
    <cellStyle name="출력 11 5" xfId="23629" xr:uid="{00000000-0005-0000-0000-000018C80000}"/>
    <cellStyle name="출력 11 6" xfId="42225" xr:uid="{00000000-0005-0000-0000-000019C80000}"/>
    <cellStyle name="출력 12" xfId="9205" xr:uid="{00000000-0005-0000-0000-00001AC80000}"/>
    <cellStyle name="출력 12 2" xfId="14096" xr:uid="{00000000-0005-0000-0000-00001BC80000}"/>
    <cellStyle name="출력 12 2 2" xfId="37578" xr:uid="{00000000-0005-0000-0000-00001CC80000}"/>
    <cellStyle name="출력 12 2 3" xfId="28261" xr:uid="{00000000-0005-0000-0000-00001DC80000}"/>
    <cellStyle name="출력 12 2 4" xfId="51524" xr:uid="{00000000-0005-0000-0000-00001EC80000}"/>
    <cellStyle name="출력 12 3" xfId="14318" xr:uid="{00000000-0005-0000-0000-00001FC80000}"/>
    <cellStyle name="출력 12 3 2" xfId="19145" xr:uid="{00000000-0005-0000-0000-000020C80000}"/>
    <cellStyle name="출력 12 3 2 2" xfId="37793" xr:uid="{00000000-0005-0000-0000-000021C80000}"/>
    <cellStyle name="출력 12 3 3" xfId="28478" xr:uid="{00000000-0005-0000-0000-000022C80000}"/>
    <cellStyle name="출력 12 3 4" xfId="46849" xr:uid="{00000000-0005-0000-0000-000023C80000}"/>
    <cellStyle name="출력 12 4" xfId="18815" xr:uid="{00000000-0005-0000-0000-000024C80000}"/>
    <cellStyle name="출력 12 4 2" xfId="19146" xr:uid="{00000000-0005-0000-0000-000025C80000}"/>
    <cellStyle name="출력 12 4 3" xfId="32947" xr:uid="{00000000-0005-0000-0000-000026C80000}"/>
    <cellStyle name="출력 12 5" xfId="23630" xr:uid="{00000000-0005-0000-0000-000027C80000}"/>
    <cellStyle name="출력 12 6" xfId="42226" xr:uid="{00000000-0005-0000-0000-000028C80000}"/>
    <cellStyle name="출력 2" xfId="9206" xr:uid="{00000000-0005-0000-0000-000029C80000}"/>
    <cellStyle name="출력 2 2" xfId="9207" xr:uid="{00000000-0005-0000-0000-00002AC80000}"/>
    <cellStyle name="출력 2 2 2" xfId="14098" xr:uid="{00000000-0005-0000-0000-00002BC80000}"/>
    <cellStyle name="출력 2 2 2 2" xfId="37580" xr:uid="{00000000-0005-0000-0000-00002CC80000}"/>
    <cellStyle name="출력 2 2 2 3" xfId="28263" xr:uid="{00000000-0005-0000-0000-00002DC80000}"/>
    <cellStyle name="출력 2 2 2 4" xfId="51526" xr:uid="{00000000-0005-0000-0000-00002EC80000}"/>
    <cellStyle name="출력 2 2 3" xfId="14320" xr:uid="{00000000-0005-0000-0000-00002FC80000}"/>
    <cellStyle name="출력 2 2 3 2" xfId="19147" xr:uid="{00000000-0005-0000-0000-000030C80000}"/>
    <cellStyle name="출력 2 2 3 2 2" xfId="37795" xr:uid="{00000000-0005-0000-0000-000031C80000}"/>
    <cellStyle name="출력 2 2 3 3" xfId="28480" xr:uid="{00000000-0005-0000-0000-000032C80000}"/>
    <cellStyle name="출력 2 2 3 4" xfId="46851" xr:uid="{00000000-0005-0000-0000-000033C80000}"/>
    <cellStyle name="출력 2 2 4" xfId="18817" xr:uid="{00000000-0005-0000-0000-000034C80000}"/>
    <cellStyle name="출력 2 2 4 2" xfId="19148" xr:uid="{00000000-0005-0000-0000-000035C80000}"/>
    <cellStyle name="출력 2 2 4 3" xfId="32949" xr:uid="{00000000-0005-0000-0000-000036C80000}"/>
    <cellStyle name="출력 2 2 5" xfId="23632" xr:uid="{00000000-0005-0000-0000-000037C80000}"/>
    <cellStyle name="출력 2 2 6" xfId="42228" xr:uid="{00000000-0005-0000-0000-000038C80000}"/>
    <cellStyle name="출력 2 3" xfId="14097" xr:uid="{00000000-0005-0000-0000-000039C80000}"/>
    <cellStyle name="출력 2 3 2" xfId="37579" xr:uid="{00000000-0005-0000-0000-00003AC80000}"/>
    <cellStyle name="출력 2 3 3" xfId="28262" xr:uid="{00000000-0005-0000-0000-00003BC80000}"/>
    <cellStyle name="출력 2 3 4" xfId="51525" xr:uid="{00000000-0005-0000-0000-00003CC80000}"/>
    <cellStyle name="출력 2 4" xfId="14319" xr:uid="{00000000-0005-0000-0000-00003DC80000}"/>
    <cellStyle name="출력 2 4 2" xfId="19149" xr:uid="{00000000-0005-0000-0000-00003EC80000}"/>
    <cellStyle name="출력 2 4 2 2" xfId="37794" xr:uid="{00000000-0005-0000-0000-00003FC80000}"/>
    <cellStyle name="출력 2 4 3" xfId="28479" xr:uid="{00000000-0005-0000-0000-000040C80000}"/>
    <cellStyle name="출력 2 4 4" xfId="46850" xr:uid="{00000000-0005-0000-0000-000041C80000}"/>
    <cellStyle name="출력 2 5" xfId="18816" xr:uid="{00000000-0005-0000-0000-000042C80000}"/>
    <cellStyle name="출력 2 5 2" xfId="19150" xr:uid="{00000000-0005-0000-0000-000043C80000}"/>
    <cellStyle name="출력 2 5 3" xfId="32948" xr:uid="{00000000-0005-0000-0000-000044C80000}"/>
    <cellStyle name="출력 2 6" xfId="23631" xr:uid="{00000000-0005-0000-0000-000045C80000}"/>
    <cellStyle name="출력 2 7" xfId="42227" xr:uid="{00000000-0005-0000-0000-000046C80000}"/>
    <cellStyle name="출력 3" xfId="9208" xr:uid="{00000000-0005-0000-0000-000047C80000}"/>
    <cellStyle name="출력 3 2" xfId="14099" xr:uid="{00000000-0005-0000-0000-000048C80000}"/>
    <cellStyle name="출력 3 2 2" xfId="37581" xr:uid="{00000000-0005-0000-0000-000049C80000}"/>
    <cellStyle name="출력 3 2 3" xfId="28264" xr:uid="{00000000-0005-0000-0000-00004AC80000}"/>
    <cellStyle name="출력 3 2 4" xfId="51527" xr:uid="{00000000-0005-0000-0000-00004BC80000}"/>
    <cellStyle name="출력 3 3" xfId="14321" xr:uid="{00000000-0005-0000-0000-00004CC80000}"/>
    <cellStyle name="출력 3 3 2" xfId="19151" xr:uid="{00000000-0005-0000-0000-00004DC80000}"/>
    <cellStyle name="출력 3 3 2 2" xfId="37796" xr:uid="{00000000-0005-0000-0000-00004EC80000}"/>
    <cellStyle name="출력 3 3 3" xfId="28481" xr:uid="{00000000-0005-0000-0000-00004FC80000}"/>
    <cellStyle name="출력 3 3 4" xfId="46852" xr:uid="{00000000-0005-0000-0000-000050C80000}"/>
    <cellStyle name="출력 3 4" xfId="18818" xr:uid="{00000000-0005-0000-0000-000051C80000}"/>
    <cellStyle name="출력 3 4 2" xfId="19152" xr:uid="{00000000-0005-0000-0000-000052C80000}"/>
    <cellStyle name="출력 3 4 3" xfId="32950" xr:uid="{00000000-0005-0000-0000-000053C80000}"/>
    <cellStyle name="출력 3 5" xfId="23633" xr:uid="{00000000-0005-0000-0000-000054C80000}"/>
    <cellStyle name="출력 3 6" xfId="42229" xr:uid="{00000000-0005-0000-0000-000055C80000}"/>
    <cellStyle name="출력 4" xfId="9209" xr:uid="{00000000-0005-0000-0000-000056C80000}"/>
    <cellStyle name="출력 4 2" xfId="14100" xr:uid="{00000000-0005-0000-0000-000057C80000}"/>
    <cellStyle name="출력 4 2 2" xfId="37582" xr:uid="{00000000-0005-0000-0000-000058C80000}"/>
    <cellStyle name="출력 4 2 3" xfId="28265" xr:uid="{00000000-0005-0000-0000-000059C80000}"/>
    <cellStyle name="출력 4 2 4" xfId="51528" xr:uid="{00000000-0005-0000-0000-00005AC80000}"/>
    <cellStyle name="출력 4 3" xfId="14322" xr:uid="{00000000-0005-0000-0000-00005BC80000}"/>
    <cellStyle name="출력 4 3 2" xfId="19153" xr:uid="{00000000-0005-0000-0000-00005CC80000}"/>
    <cellStyle name="출력 4 3 2 2" xfId="37797" xr:uid="{00000000-0005-0000-0000-00005DC80000}"/>
    <cellStyle name="출력 4 3 3" xfId="28482" xr:uid="{00000000-0005-0000-0000-00005EC80000}"/>
    <cellStyle name="출력 4 3 4" xfId="46853" xr:uid="{00000000-0005-0000-0000-00005FC80000}"/>
    <cellStyle name="출력 4 4" xfId="18819" xr:uid="{00000000-0005-0000-0000-000060C80000}"/>
    <cellStyle name="출력 4 4 2" xfId="19154" xr:uid="{00000000-0005-0000-0000-000061C80000}"/>
    <cellStyle name="출력 4 4 3" xfId="32951" xr:uid="{00000000-0005-0000-0000-000062C80000}"/>
    <cellStyle name="출력 4 5" xfId="23634" xr:uid="{00000000-0005-0000-0000-000063C80000}"/>
    <cellStyle name="출력 4 6" xfId="42230" xr:uid="{00000000-0005-0000-0000-000064C80000}"/>
    <cellStyle name="출력 5" xfId="9210" xr:uid="{00000000-0005-0000-0000-000065C80000}"/>
    <cellStyle name="출력 5 2" xfId="14101" xr:uid="{00000000-0005-0000-0000-000066C80000}"/>
    <cellStyle name="출력 5 2 2" xfId="37583" xr:uid="{00000000-0005-0000-0000-000067C80000}"/>
    <cellStyle name="출력 5 2 3" xfId="28266" xr:uid="{00000000-0005-0000-0000-000068C80000}"/>
    <cellStyle name="출력 5 2 4" xfId="51529" xr:uid="{00000000-0005-0000-0000-000069C80000}"/>
    <cellStyle name="출력 5 3" xfId="14323" xr:uid="{00000000-0005-0000-0000-00006AC80000}"/>
    <cellStyle name="출력 5 3 2" xfId="19155" xr:uid="{00000000-0005-0000-0000-00006BC80000}"/>
    <cellStyle name="출력 5 3 2 2" xfId="37798" xr:uid="{00000000-0005-0000-0000-00006CC80000}"/>
    <cellStyle name="출력 5 3 3" xfId="28483" xr:uid="{00000000-0005-0000-0000-00006DC80000}"/>
    <cellStyle name="출력 5 3 4" xfId="46854" xr:uid="{00000000-0005-0000-0000-00006EC80000}"/>
    <cellStyle name="출력 5 4" xfId="18820" xr:uid="{00000000-0005-0000-0000-00006FC80000}"/>
    <cellStyle name="출력 5 4 2" xfId="19156" xr:uid="{00000000-0005-0000-0000-000070C80000}"/>
    <cellStyle name="출력 5 4 3" xfId="32952" xr:uid="{00000000-0005-0000-0000-000071C80000}"/>
    <cellStyle name="출력 5 5" xfId="23635" xr:uid="{00000000-0005-0000-0000-000072C80000}"/>
    <cellStyle name="출력 5 6" xfId="42231" xr:uid="{00000000-0005-0000-0000-000073C80000}"/>
    <cellStyle name="출력 6" xfId="9211" xr:uid="{00000000-0005-0000-0000-000074C80000}"/>
    <cellStyle name="출력 6 2" xfId="14102" xr:uid="{00000000-0005-0000-0000-000075C80000}"/>
    <cellStyle name="출력 6 2 2" xfId="37584" xr:uid="{00000000-0005-0000-0000-000076C80000}"/>
    <cellStyle name="출력 6 2 3" xfId="28267" xr:uid="{00000000-0005-0000-0000-000077C80000}"/>
    <cellStyle name="출력 6 2 4" xfId="51530" xr:uid="{00000000-0005-0000-0000-000078C80000}"/>
    <cellStyle name="출력 6 3" xfId="14324" xr:uid="{00000000-0005-0000-0000-000079C80000}"/>
    <cellStyle name="출력 6 3 2" xfId="19157" xr:uid="{00000000-0005-0000-0000-00007AC80000}"/>
    <cellStyle name="출력 6 3 2 2" xfId="37799" xr:uid="{00000000-0005-0000-0000-00007BC80000}"/>
    <cellStyle name="출력 6 3 3" xfId="28484" xr:uid="{00000000-0005-0000-0000-00007CC80000}"/>
    <cellStyle name="출력 6 3 4" xfId="46855" xr:uid="{00000000-0005-0000-0000-00007DC80000}"/>
    <cellStyle name="출력 6 4" xfId="18821" xr:uid="{00000000-0005-0000-0000-00007EC80000}"/>
    <cellStyle name="출력 6 4 2" xfId="19158" xr:uid="{00000000-0005-0000-0000-00007FC80000}"/>
    <cellStyle name="출력 6 4 3" xfId="32953" xr:uid="{00000000-0005-0000-0000-000080C80000}"/>
    <cellStyle name="출력 6 5" xfId="23636" xr:uid="{00000000-0005-0000-0000-000081C80000}"/>
    <cellStyle name="출력 6 6" xfId="42232" xr:uid="{00000000-0005-0000-0000-000082C80000}"/>
    <cellStyle name="출력 7" xfId="9212" xr:uid="{00000000-0005-0000-0000-000083C80000}"/>
    <cellStyle name="출력 7 2" xfId="14103" xr:uid="{00000000-0005-0000-0000-000084C80000}"/>
    <cellStyle name="출력 7 2 2" xfId="37585" xr:uid="{00000000-0005-0000-0000-000085C80000}"/>
    <cellStyle name="출력 7 2 3" xfId="28268" xr:uid="{00000000-0005-0000-0000-000086C80000}"/>
    <cellStyle name="출력 7 2 4" xfId="51531" xr:uid="{00000000-0005-0000-0000-000087C80000}"/>
    <cellStyle name="출력 7 3" xfId="14325" xr:uid="{00000000-0005-0000-0000-000088C80000}"/>
    <cellStyle name="출력 7 3 2" xfId="19159" xr:uid="{00000000-0005-0000-0000-000089C80000}"/>
    <cellStyle name="출력 7 3 2 2" xfId="37800" xr:uid="{00000000-0005-0000-0000-00008AC80000}"/>
    <cellStyle name="출력 7 3 3" xfId="28485" xr:uid="{00000000-0005-0000-0000-00008BC80000}"/>
    <cellStyle name="출력 7 3 4" xfId="46856" xr:uid="{00000000-0005-0000-0000-00008CC80000}"/>
    <cellStyle name="출력 7 4" xfId="18822" xr:uid="{00000000-0005-0000-0000-00008DC80000}"/>
    <cellStyle name="출력 7 4 2" xfId="19160" xr:uid="{00000000-0005-0000-0000-00008EC80000}"/>
    <cellStyle name="출력 7 4 3" xfId="32954" xr:uid="{00000000-0005-0000-0000-00008FC80000}"/>
    <cellStyle name="출력 7 5" xfId="23637" xr:uid="{00000000-0005-0000-0000-000090C80000}"/>
    <cellStyle name="출력 7 6" xfId="42233" xr:uid="{00000000-0005-0000-0000-000091C80000}"/>
    <cellStyle name="출력 8" xfId="9213" xr:uid="{00000000-0005-0000-0000-000092C80000}"/>
    <cellStyle name="출력 8 2" xfId="14104" xr:uid="{00000000-0005-0000-0000-000093C80000}"/>
    <cellStyle name="출력 8 2 2" xfId="37586" xr:uid="{00000000-0005-0000-0000-000094C80000}"/>
    <cellStyle name="출력 8 2 3" xfId="28269" xr:uid="{00000000-0005-0000-0000-000095C80000}"/>
    <cellStyle name="출력 8 2 4" xfId="51532" xr:uid="{00000000-0005-0000-0000-000096C80000}"/>
    <cellStyle name="출력 8 3" xfId="14326" xr:uid="{00000000-0005-0000-0000-000097C80000}"/>
    <cellStyle name="출력 8 3 2" xfId="19161" xr:uid="{00000000-0005-0000-0000-000098C80000}"/>
    <cellStyle name="출력 8 3 2 2" xfId="37801" xr:uid="{00000000-0005-0000-0000-000099C80000}"/>
    <cellStyle name="출력 8 3 3" xfId="28486" xr:uid="{00000000-0005-0000-0000-00009AC80000}"/>
    <cellStyle name="출력 8 3 4" xfId="46857" xr:uid="{00000000-0005-0000-0000-00009BC80000}"/>
    <cellStyle name="출력 8 4" xfId="18823" xr:uid="{00000000-0005-0000-0000-00009CC80000}"/>
    <cellStyle name="출력 8 4 2" xfId="19162" xr:uid="{00000000-0005-0000-0000-00009DC80000}"/>
    <cellStyle name="출력 8 4 3" xfId="32955" xr:uid="{00000000-0005-0000-0000-00009EC80000}"/>
    <cellStyle name="출력 8 5" xfId="23638" xr:uid="{00000000-0005-0000-0000-00009FC80000}"/>
    <cellStyle name="출력 8 6" xfId="42234" xr:uid="{00000000-0005-0000-0000-0000A0C80000}"/>
    <cellStyle name="출력 9" xfId="9214" xr:uid="{00000000-0005-0000-0000-0000A1C80000}"/>
    <cellStyle name="출력 9 2" xfId="14105" xr:uid="{00000000-0005-0000-0000-0000A2C80000}"/>
    <cellStyle name="출력 9 2 2" xfId="37587" xr:uid="{00000000-0005-0000-0000-0000A3C80000}"/>
    <cellStyle name="출력 9 2 3" xfId="28270" xr:uid="{00000000-0005-0000-0000-0000A4C80000}"/>
    <cellStyle name="출력 9 2 4" xfId="51533" xr:uid="{00000000-0005-0000-0000-0000A5C80000}"/>
    <cellStyle name="출력 9 3" xfId="14327" xr:uid="{00000000-0005-0000-0000-0000A6C80000}"/>
    <cellStyle name="출력 9 3 2" xfId="19163" xr:uid="{00000000-0005-0000-0000-0000A7C80000}"/>
    <cellStyle name="출력 9 3 2 2" xfId="37802" xr:uid="{00000000-0005-0000-0000-0000A8C80000}"/>
    <cellStyle name="출력 9 3 3" xfId="28487" xr:uid="{00000000-0005-0000-0000-0000A9C80000}"/>
    <cellStyle name="출력 9 3 4" xfId="46858" xr:uid="{00000000-0005-0000-0000-0000AAC80000}"/>
    <cellStyle name="출력 9 4" xfId="18824" xr:uid="{00000000-0005-0000-0000-0000ABC80000}"/>
    <cellStyle name="출력 9 4 2" xfId="19164" xr:uid="{00000000-0005-0000-0000-0000ACC80000}"/>
    <cellStyle name="출력 9 4 3" xfId="32956" xr:uid="{00000000-0005-0000-0000-0000ADC80000}"/>
    <cellStyle name="출력 9 5" xfId="23639" xr:uid="{00000000-0005-0000-0000-0000AEC80000}"/>
    <cellStyle name="출력 9 6" xfId="42235" xr:uid="{00000000-0005-0000-0000-0000AFC80000}"/>
    <cellStyle name="콤마 (1,234)" xfId="9215" xr:uid="{00000000-0005-0000-0000-0000B0C80000}"/>
    <cellStyle name="콤마 [0]" xfId="9216" xr:uid="{00000000-0005-0000-0000-0000B1C80000}"/>
    <cellStyle name="콤마 [0] 2" xfId="9217" xr:uid="{00000000-0005-0000-0000-0000B2C80000}"/>
    <cellStyle name="콤마 [0] 2 2" xfId="9218" xr:uid="{00000000-0005-0000-0000-0000B3C80000}"/>
    <cellStyle name="콤마 [0] 3" xfId="9219" xr:uid="{00000000-0005-0000-0000-0000B4C80000}"/>
    <cellStyle name="콤마 [0]_  종  합  " xfId="9220" xr:uid="{00000000-0005-0000-0000-0000B5C80000}"/>
    <cellStyle name="콤마 [20]" xfId="9221" xr:uid="{00000000-0005-0000-0000-0000B6C80000}"/>
    <cellStyle name="콤마_  종  합  " xfId="9222" xr:uid="{00000000-0005-0000-0000-0000B7C80000}"/>
    <cellStyle name="퀼마_현지법인" xfId="9223" xr:uid="{00000000-0005-0000-0000-0000B8C80000}"/>
    <cellStyle name="통화 (달러)" xfId="9224" xr:uid="{00000000-0005-0000-0000-0000B9C80000}"/>
    <cellStyle name="통화 [0_x000f_" xfId="9225" xr:uid="{00000000-0005-0000-0000-0000BAC80000}"/>
    <cellStyle name="통화 [0] 2" xfId="9226" xr:uid="{00000000-0005-0000-0000-0000BBC80000}"/>
    <cellStyle name="퍼센트" xfId="9227" xr:uid="{00000000-0005-0000-0000-0000BCC80000}"/>
    <cellStyle name="표(가는선,가운데,중앙)" xfId="9228" xr:uid="{00000000-0005-0000-0000-0000BDC80000}"/>
    <cellStyle name="표(가는선,왼쪽,중앙)" xfId="9229" xr:uid="{00000000-0005-0000-0000-0000BEC80000}"/>
    <cellStyle name="표(세로쓰기)" xfId="9230" xr:uid="{00000000-0005-0000-0000-0000BFC80000}"/>
    <cellStyle name="표준 [0]_PRO추진현황" xfId="9231" xr:uid="{00000000-0005-0000-0000-0000C0C80000}"/>
    <cellStyle name="표준 10" xfId="9232" xr:uid="{00000000-0005-0000-0000-0000C1C80000}"/>
    <cellStyle name="표준 10 2" xfId="9233" xr:uid="{00000000-0005-0000-0000-0000C2C80000}"/>
    <cellStyle name="표준 10 2 2" xfId="9234" xr:uid="{00000000-0005-0000-0000-0000C3C80000}"/>
    <cellStyle name="표준 10 3" xfId="9235" xr:uid="{00000000-0005-0000-0000-0000C4C80000}"/>
    <cellStyle name="표준 11" xfId="9236" xr:uid="{00000000-0005-0000-0000-0000C5C80000}"/>
    <cellStyle name="표준 11 2" xfId="9237" xr:uid="{00000000-0005-0000-0000-0000C6C80000}"/>
    <cellStyle name="표준 12" xfId="9238" xr:uid="{00000000-0005-0000-0000-0000C7C80000}"/>
    <cellStyle name="표준 12 2" xfId="9239" xr:uid="{00000000-0005-0000-0000-0000C8C80000}"/>
    <cellStyle name="표준 13" xfId="9240" xr:uid="{00000000-0005-0000-0000-0000C9C80000}"/>
    <cellStyle name="표준 2" xfId="9241" xr:uid="{00000000-0005-0000-0000-0000CAC80000}"/>
    <cellStyle name="표준 2 2" xfId="9242" xr:uid="{00000000-0005-0000-0000-0000CBC80000}"/>
    <cellStyle name="표준 2 2 2" xfId="9243" xr:uid="{00000000-0005-0000-0000-0000CCC80000}"/>
    <cellStyle name="표준 2 2 2 2" xfId="9244" xr:uid="{00000000-0005-0000-0000-0000CDC80000}"/>
    <cellStyle name="표준 2 2 3" xfId="9245" xr:uid="{00000000-0005-0000-0000-0000CEC80000}"/>
    <cellStyle name="표준 2 2 4" xfId="9246" xr:uid="{00000000-0005-0000-0000-0000CFC80000}"/>
    <cellStyle name="표준 2 3" xfId="9247" xr:uid="{00000000-0005-0000-0000-0000D0C80000}"/>
    <cellStyle name="표준 2 3 2" xfId="9248" xr:uid="{00000000-0005-0000-0000-0000D1C80000}"/>
    <cellStyle name="표준 2 4" xfId="9249" xr:uid="{00000000-0005-0000-0000-0000D2C80000}"/>
    <cellStyle name="표준 2 5" xfId="9250" xr:uid="{00000000-0005-0000-0000-0000D3C80000}"/>
    <cellStyle name="표준 2 6" xfId="9251" xr:uid="{00000000-0005-0000-0000-0000D4C80000}"/>
    <cellStyle name="표준 2_Book1" xfId="9252" xr:uid="{00000000-0005-0000-0000-0000D5C80000}"/>
    <cellStyle name="표준 3" xfId="9253" xr:uid="{00000000-0005-0000-0000-0000D6C80000}"/>
    <cellStyle name="표준 3 2" xfId="9254" xr:uid="{00000000-0005-0000-0000-0000D7C80000}"/>
    <cellStyle name="표준 3 2 2" xfId="9255" xr:uid="{00000000-0005-0000-0000-0000D8C80000}"/>
    <cellStyle name="표준 3 2 2 2" xfId="9256" xr:uid="{00000000-0005-0000-0000-0000D9C80000}"/>
    <cellStyle name="표준 3 3" xfId="9257" xr:uid="{00000000-0005-0000-0000-0000DAC80000}"/>
    <cellStyle name="표준 3 3 2" xfId="9258" xr:uid="{00000000-0005-0000-0000-0000DBC80000}"/>
    <cellStyle name="표준 3 4" xfId="9259" xr:uid="{00000000-0005-0000-0000-0000DCC80000}"/>
    <cellStyle name="표준 3 5" xfId="9260" xr:uid="{00000000-0005-0000-0000-0000DDC80000}"/>
    <cellStyle name="표준 3 6" xfId="9261" xr:uid="{00000000-0005-0000-0000-0000DEC80000}"/>
    <cellStyle name="표준 3_Book1" xfId="9262" xr:uid="{00000000-0005-0000-0000-0000DFC80000}"/>
    <cellStyle name="표준 4" xfId="9263" xr:uid="{00000000-0005-0000-0000-0000E0C80000}"/>
    <cellStyle name="표준 4 2" xfId="9264" xr:uid="{00000000-0005-0000-0000-0000E1C80000}"/>
    <cellStyle name="표준 4 3" xfId="9265" xr:uid="{00000000-0005-0000-0000-0000E2C80000}"/>
    <cellStyle name="표준 4 3 2" xfId="9266" xr:uid="{00000000-0005-0000-0000-0000E3C80000}"/>
    <cellStyle name="표준 4_110127-인도네시아 제철소 물량" xfId="9267" xr:uid="{00000000-0005-0000-0000-0000E4C80000}"/>
    <cellStyle name="표준 5" xfId="9268" xr:uid="{00000000-0005-0000-0000-0000E5C80000}"/>
    <cellStyle name="표준 5 2" xfId="9269" xr:uid="{00000000-0005-0000-0000-0000E6C80000}"/>
    <cellStyle name="표준 5 2 2" xfId="9270" xr:uid="{00000000-0005-0000-0000-0000E7C80000}"/>
    <cellStyle name="표준 6" xfId="9271" xr:uid="{00000000-0005-0000-0000-0000E8C80000}"/>
    <cellStyle name="표준 6 2" xfId="9272" xr:uid="{00000000-0005-0000-0000-0000E9C80000}"/>
    <cellStyle name="표준 7" xfId="9273" xr:uid="{00000000-0005-0000-0000-0000EAC80000}"/>
    <cellStyle name="표준 8" xfId="9274" xr:uid="{00000000-0005-0000-0000-0000EBC80000}"/>
    <cellStyle name="표준 8 2" xfId="9275" xr:uid="{00000000-0005-0000-0000-0000ECC80000}"/>
    <cellStyle name="표준 9" xfId="9276" xr:uid="{00000000-0005-0000-0000-0000EDC80000}"/>
    <cellStyle name="표준?Sheet8 (3)" xfId="9277" xr:uid="{00000000-0005-0000-0000-0000EEC80000}"/>
    <cellStyle name="표준2" xfId="9278" xr:uid="{00000000-0005-0000-0000-0000EFC80000}"/>
    <cellStyle name="표준2 2" xfId="9279" xr:uid="{00000000-0005-0000-0000-0000F0C80000}"/>
    <cellStyle name="표준2 2 2" xfId="14107" xr:uid="{00000000-0005-0000-0000-0000F1C80000}"/>
    <cellStyle name="표준2 2 2 2" xfId="19165" xr:uid="{00000000-0005-0000-0000-0000F2C80000}"/>
    <cellStyle name="표준2 2 2 2 2" xfId="37589" xr:uid="{00000000-0005-0000-0000-0000F3C80000}"/>
    <cellStyle name="표준2 2 2 3" xfId="28272" xr:uid="{00000000-0005-0000-0000-0000F4C80000}"/>
    <cellStyle name="표준2 2 2 4" xfId="51535" xr:uid="{00000000-0005-0000-0000-0000F5C80000}"/>
    <cellStyle name="표준2 2 3" xfId="14329" xr:uid="{00000000-0005-0000-0000-0000F6C80000}"/>
    <cellStyle name="표준2 2 3 2" xfId="19166" xr:uid="{00000000-0005-0000-0000-0000F7C80000}"/>
    <cellStyle name="표준2 2 3 2 2" xfId="37804" xr:uid="{00000000-0005-0000-0000-0000F8C80000}"/>
    <cellStyle name="표준2 2 3 3" xfId="28489" xr:uid="{00000000-0005-0000-0000-0000F9C80000}"/>
    <cellStyle name="표준2 2 3 4" xfId="51650" xr:uid="{00000000-0005-0000-0000-0000FAC80000}"/>
    <cellStyle name="표준2 2 4" xfId="46860" xr:uid="{00000000-0005-0000-0000-0000FBC80000}"/>
    <cellStyle name="표준2 3" xfId="14106" xr:uid="{00000000-0005-0000-0000-0000FCC80000}"/>
    <cellStyle name="표준2 3 2" xfId="19167" xr:uid="{00000000-0005-0000-0000-0000FDC80000}"/>
    <cellStyle name="표준2 3 2 2" xfId="37588" xr:uid="{00000000-0005-0000-0000-0000FEC80000}"/>
    <cellStyle name="표준2 3 3" xfId="28271" xr:uid="{00000000-0005-0000-0000-0000FFC80000}"/>
    <cellStyle name="표준2 3 4" xfId="51534" xr:uid="{00000000-0005-0000-0000-000000C90000}"/>
    <cellStyle name="표준2 4" xfId="14328" xr:uid="{00000000-0005-0000-0000-000001C90000}"/>
    <cellStyle name="표준2 4 2" xfId="19168" xr:uid="{00000000-0005-0000-0000-000002C90000}"/>
    <cellStyle name="표준2 4 2 2" xfId="37803" xr:uid="{00000000-0005-0000-0000-000003C90000}"/>
    <cellStyle name="표준2 4 3" xfId="28488" xr:uid="{00000000-0005-0000-0000-000004C90000}"/>
    <cellStyle name="표준2 4 4" xfId="51649" xr:uid="{00000000-0005-0000-0000-000005C90000}"/>
    <cellStyle name="표준2 5" xfId="46859" xr:uid="{00000000-0005-0000-0000-000006C90000}"/>
    <cellStyle name="퓭닉_3(3.1) (3)_2-3 _sidpecreport" xfId="9280" xr:uid="{00000000-0005-0000-0000-000007C90000}"/>
    <cellStyle name="하이퍼링크STBM_" xfId="9281" xr:uid="{00000000-0005-0000-0000-000008C90000}"/>
    <cellStyle name="합산" xfId="9282" xr:uid="{00000000-0005-0000-0000-000009C90000}"/>
    <cellStyle name="화폐기호" xfId="9283" xr:uid="{00000000-0005-0000-0000-00000AC90000}"/>
    <cellStyle name="화폐기호0" xfId="9284" xr:uid="{00000000-0005-0000-0000-00000BC90000}"/>
    <cellStyle name="一般_09路燈MTO" xfId="9285" xr:uid="{00000000-0005-0000-0000-00000CC90000}"/>
    <cellStyle name="中原専用" xfId="9286" xr:uid="{00000000-0005-0000-0000-00000DC90000}"/>
    <cellStyle name="⼂ሀ܇܇܇܇܇܇܇܇܇܇܇⼂฀_x0001_ࠟ_x0004_܀܇܇܇܇܇܇܇܇܇܇܇ȇ$ऌଃⴁ)Ј" xfId="9287" xr:uid="{00000000-0005-0000-0000-00000EC90000}"/>
    <cellStyle name="亐" xfId="9288" xr:uid="{00000000-0005-0000-0000-00000FC90000}"/>
    <cellStyle name="入力" xfId="9289" xr:uid="{00000000-0005-0000-0000-000010C90000}"/>
    <cellStyle name="入力 2" xfId="9290" xr:uid="{00000000-0005-0000-0000-000011C90000}"/>
    <cellStyle name="入力 2 2" xfId="9291" xr:uid="{00000000-0005-0000-0000-000012C90000}"/>
    <cellStyle name="入力 2 2 2" xfId="14110" xr:uid="{00000000-0005-0000-0000-000013C90000}"/>
    <cellStyle name="入力 2 2 2 2" xfId="19169" xr:uid="{00000000-0005-0000-0000-000014C90000}"/>
    <cellStyle name="入力 2 2 2 2 2" xfId="37592" xr:uid="{00000000-0005-0000-0000-000015C90000}"/>
    <cellStyle name="入力 2 2 2 3" xfId="28275" xr:uid="{00000000-0005-0000-0000-000016C90000}"/>
    <cellStyle name="入力 2 2 2 4" xfId="51538" xr:uid="{00000000-0005-0000-0000-000017C90000}"/>
    <cellStyle name="入力 2 2 3" xfId="14332" xr:uid="{00000000-0005-0000-0000-000018C90000}"/>
    <cellStyle name="入力 2 2 3 2" xfId="19170" xr:uid="{00000000-0005-0000-0000-000019C90000}"/>
    <cellStyle name="入力 2 2 3 2 2" xfId="37807" xr:uid="{00000000-0005-0000-0000-00001AC90000}"/>
    <cellStyle name="入力 2 2 3 3" xfId="28492" xr:uid="{00000000-0005-0000-0000-00001BC90000}"/>
    <cellStyle name="入力 2 2 4" xfId="18827" xr:uid="{00000000-0005-0000-0000-00001CC90000}"/>
    <cellStyle name="入力 2 2 4 2" xfId="19171" xr:uid="{00000000-0005-0000-0000-00001DC90000}"/>
    <cellStyle name="入力 2 2 4 3" xfId="32959" xr:uid="{00000000-0005-0000-0000-00001EC90000}"/>
    <cellStyle name="入力 2 2 4 4" xfId="46863" xr:uid="{00000000-0005-0000-0000-00001FC90000}"/>
    <cellStyle name="入力 2 2 5" xfId="23642" xr:uid="{00000000-0005-0000-0000-000020C90000}"/>
    <cellStyle name="入力 2 3" xfId="14109" xr:uid="{00000000-0005-0000-0000-000021C90000}"/>
    <cellStyle name="入力 2 3 2" xfId="19172" xr:uid="{00000000-0005-0000-0000-000022C90000}"/>
    <cellStyle name="入力 2 3 2 2" xfId="37591" xr:uid="{00000000-0005-0000-0000-000023C90000}"/>
    <cellStyle name="入力 2 3 3" xfId="28274" xr:uid="{00000000-0005-0000-0000-000024C90000}"/>
    <cellStyle name="入力 2 3 4" xfId="51537" xr:uid="{00000000-0005-0000-0000-000025C90000}"/>
    <cellStyle name="入力 2 4" xfId="14331" xr:uid="{00000000-0005-0000-0000-000026C90000}"/>
    <cellStyle name="入力 2 4 2" xfId="19173" xr:uid="{00000000-0005-0000-0000-000027C90000}"/>
    <cellStyle name="入力 2 4 2 2" xfId="37806" xr:uid="{00000000-0005-0000-0000-000028C90000}"/>
    <cellStyle name="入力 2 4 3" xfId="28491" xr:uid="{00000000-0005-0000-0000-000029C90000}"/>
    <cellStyle name="入力 2 5" xfId="18826" xr:uid="{00000000-0005-0000-0000-00002AC90000}"/>
    <cellStyle name="入力 2 5 2" xfId="19174" xr:uid="{00000000-0005-0000-0000-00002BC90000}"/>
    <cellStyle name="入力 2 5 3" xfId="32958" xr:uid="{00000000-0005-0000-0000-00002CC90000}"/>
    <cellStyle name="入力 2 5 4" xfId="46862" xr:uid="{00000000-0005-0000-0000-00002DC90000}"/>
    <cellStyle name="入力 2 6" xfId="23641" xr:uid="{00000000-0005-0000-0000-00002EC90000}"/>
    <cellStyle name="入力 2_2011.02.24-Plumbing, HVAC &amp; Fire Fighting Works-동별산출(수정)" xfId="9292" xr:uid="{00000000-0005-0000-0000-00002FC90000}"/>
    <cellStyle name="入力 3" xfId="14108" xr:uid="{00000000-0005-0000-0000-000030C90000}"/>
    <cellStyle name="入力 3 2" xfId="19175" xr:uid="{00000000-0005-0000-0000-000031C90000}"/>
    <cellStyle name="入力 3 2 2" xfId="37590" xr:uid="{00000000-0005-0000-0000-000032C90000}"/>
    <cellStyle name="入力 3 3" xfId="28273" xr:uid="{00000000-0005-0000-0000-000033C90000}"/>
    <cellStyle name="入力 3 4" xfId="51536" xr:uid="{00000000-0005-0000-0000-000034C90000}"/>
    <cellStyle name="入力 4" xfId="14330" xr:uid="{00000000-0005-0000-0000-000035C90000}"/>
    <cellStyle name="入力 4 2" xfId="19176" xr:uid="{00000000-0005-0000-0000-000036C90000}"/>
    <cellStyle name="入力 4 2 2" xfId="37805" xr:uid="{00000000-0005-0000-0000-000037C90000}"/>
    <cellStyle name="入力 4 3" xfId="28490" xr:uid="{00000000-0005-0000-0000-000038C90000}"/>
    <cellStyle name="入力 5" xfId="18825" xr:uid="{00000000-0005-0000-0000-000039C90000}"/>
    <cellStyle name="入力 5 2" xfId="19177" xr:uid="{00000000-0005-0000-0000-00003AC90000}"/>
    <cellStyle name="入力 5 3" xfId="32957" xr:uid="{00000000-0005-0000-0000-00003BC90000}"/>
    <cellStyle name="入力 5 4" xfId="46861" xr:uid="{00000000-0005-0000-0000-00003CC90000}"/>
    <cellStyle name="入力 6" xfId="23640" xr:uid="{00000000-0005-0000-0000-00003DC90000}"/>
    <cellStyle name="出力" xfId="9293" xr:uid="{00000000-0005-0000-0000-00003EC90000}"/>
    <cellStyle name="出力 2" xfId="9294" xr:uid="{00000000-0005-0000-0000-00003FC90000}"/>
    <cellStyle name="出力 2 2" xfId="9295" xr:uid="{00000000-0005-0000-0000-000040C90000}"/>
    <cellStyle name="出力 2 2 2" xfId="14113" xr:uid="{00000000-0005-0000-0000-000041C90000}"/>
    <cellStyle name="出力 2 2 2 2" xfId="37595" xr:uid="{00000000-0005-0000-0000-000042C90000}"/>
    <cellStyle name="出力 2 2 2 3" xfId="28278" xr:uid="{00000000-0005-0000-0000-000043C90000}"/>
    <cellStyle name="出力 2 2 2 4" xfId="51541" xr:uid="{00000000-0005-0000-0000-000044C90000}"/>
    <cellStyle name="出力 2 2 3" xfId="14335" xr:uid="{00000000-0005-0000-0000-000045C90000}"/>
    <cellStyle name="出力 2 2 3 2" xfId="19178" xr:uid="{00000000-0005-0000-0000-000046C90000}"/>
    <cellStyle name="出力 2 2 3 2 2" xfId="37810" xr:uid="{00000000-0005-0000-0000-000047C90000}"/>
    <cellStyle name="出力 2 2 3 3" xfId="28495" xr:uid="{00000000-0005-0000-0000-000048C90000}"/>
    <cellStyle name="出力 2 2 3 4" xfId="46866" xr:uid="{00000000-0005-0000-0000-000049C90000}"/>
    <cellStyle name="出力 2 2 4" xfId="18830" xr:uid="{00000000-0005-0000-0000-00004AC90000}"/>
    <cellStyle name="出力 2 2 4 2" xfId="19179" xr:uid="{00000000-0005-0000-0000-00004BC90000}"/>
    <cellStyle name="出力 2 2 4 3" xfId="32962" xr:uid="{00000000-0005-0000-0000-00004CC90000}"/>
    <cellStyle name="出力 2 2 5" xfId="23645" xr:uid="{00000000-0005-0000-0000-00004DC90000}"/>
    <cellStyle name="出力 2 2 6" xfId="42238" xr:uid="{00000000-0005-0000-0000-00004EC90000}"/>
    <cellStyle name="出力 2 3" xfId="14112" xr:uid="{00000000-0005-0000-0000-00004FC90000}"/>
    <cellStyle name="出力 2 3 2" xfId="37594" xr:uid="{00000000-0005-0000-0000-000050C90000}"/>
    <cellStyle name="出力 2 3 3" xfId="28277" xr:uid="{00000000-0005-0000-0000-000051C90000}"/>
    <cellStyle name="出力 2 3 4" xfId="51540" xr:uid="{00000000-0005-0000-0000-000052C90000}"/>
    <cellStyle name="出力 2 4" xfId="14334" xr:uid="{00000000-0005-0000-0000-000053C90000}"/>
    <cellStyle name="出力 2 4 2" xfId="19180" xr:uid="{00000000-0005-0000-0000-000054C90000}"/>
    <cellStyle name="出力 2 4 2 2" xfId="37809" xr:uid="{00000000-0005-0000-0000-000055C90000}"/>
    <cellStyle name="出力 2 4 3" xfId="28494" xr:uid="{00000000-0005-0000-0000-000056C90000}"/>
    <cellStyle name="出力 2 4 4" xfId="46865" xr:uid="{00000000-0005-0000-0000-000057C90000}"/>
    <cellStyle name="出力 2 5" xfId="18829" xr:uid="{00000000-0005-0000-0000-000058C90000}"/>
    <cellStyle name="出力 2 5 2" xfId="19181" xr:uid="{00000000-0005-0000-0000-000059C90000}"/>
    <cellStyle name="出力 2 5 3" xfId="32961" xr:uid="{00000000-0005-0000-0000-00005AC90000}"/>
    <cellStyle name="出力 2 6" xfId="23644" xr:uid="{00000000-0005-0000-0000-00005BC90000}"/>
    <cellStyle name="出力 2 7" xfId="42237" xr:uid="{00000000-0005-0000-0000-00005CC90000}"/>
    <cellStyle name="出力 2_2011.02.24-Plumbing, HVAC &amp; Fire Fighting Works-동별산출(수정)" xfId="9296" xr:uid="{00000000-0005-0000-0000-00005DC90000}"/>
    <cellStyle name="出力 3" xfId="14111" xr:uid="{00000000-0005-0000-0000-00005EC90000}"/>
    <cellStyle name="出力 3 2" xfId="37593" xr:uid="{00000000-0005-0000-0000-00005FC90000}"/>
    <cellStyle name="出力 3 3" xfId="28276" xr:uid="{00000000-0005-0000-0000-000060C90000}"/>
    <cellStyle name="出力 3 4" xfId="51539" xr:uid="{00000000-0005-0000-0000-000061C90000}"/>
    <cellStyle name="出力 4" xfId="14333" xr:uid="{00000000-0005-0000-0000-000062C90000}"/>
    <cellStyle name="出力 4 2" xfId="19182" xr:uid="{00000000-0005-0000-0000-000063C90000}"/>
    <cellStyle name="出力 4 2 2" xfId="37808" xr:uid="{00000000-0005-0000-0000-000064C90000}"/>
    <cellStyle name="出力 4 3" xfId="28493" xr:uid="{00000000-0005-0000-0000-000065C90000}"/>
    <cellStyle name="出力 4 4" xfId="46864" xr:uid="{00000000-0005-0000-0000-000066C90000}"/>
    <cellStyle name="出力 5" xfId="18828" xr:uid="{00000000-0005-0000-0000-000067C90000}"/>
    <cellStyle name="出力 5 2" xfId="19183" xr:uid="{00000000-0005-0000-0000-000068C90000}"/>
    <cellStyle name="出力 5 3" xfId="32960" xr:uid="{00000000-0005-0000-0000-000069C90000}"/>
    <cellStyle name="出力 6" xfId="23643" xr:uid="{00000000-0005-0000-0000-00006AC90000}"/>
    <cellStyle name="出力 7" xfId="42236" xr:uid="{00000000-0005-0000-0000-00006BC90000}"/>
    <cellStyle name="千位分隔[0]_BOQ" xfId="9297" xr:uid="{00000000-0005-0000-0000-00006CC90000}"/>
    <cellStyle name="千位分隔_BOQ" xfId="9298" xr:uid="{00000000-0005-0000-0000-00006DC90000}"/>
    <cellStyle name="千分位[0]_GARMENT STEP FORM HK" xfId="9299" xr:uid="{00000000-0005-0000-0000-00006EC90000}"/>
    <cellStyle name="千分位_GARMENT STEP FORM HK" xfId="9300" xr:uid="{00000000-0005-0000-0000-00006FC90000}"/>
    <cellStyle name="咬訌裝?report-2 " xfId="9301" xr:uid="{00000000-0005-0000-0000-000070C90000}"/>
    <cellStyle name="常规_050107ZPSS热轧报价表" xfId="9302" xr:uid="{00000000-0005-0000-0000-000071C90000}"/>
    <cellStyle name="弁" xfId="9303" xr:uid="{00000000-0005-0000-0000-000072C90000}"/>
    <cellStyle name="悪い" xfId="9304" xr:uid="{00000000-0005-0000-0000-000073C90000}"/>
    <cellStyle name="悪い 2" xfId="9305" xr:uid="{00000000-0005-0000-0000-000074C90000}"/>
    <cellStyle name="悪い 2 2" xfId="9306" xr:uid="{00000000-0005-0000-0000-000075C90000}"/>
    <cellStyle name="悪い 2_2011.02.24-Plumbing, HVAC &amp; Fire Fighting Works-동별산출(수정)" xfId="9307" xr:uid="{00000000-0005-0000-0000-000076C90000}"/>
    <cellStyle name="抽出定義" xfId="9308" xr:uid="{00000000-0005-0000-0000-000077C90000}"/>
    <cellStyle name="敷" xfId="9309" xr:uid="{00000000-0005-0000-0000-000078C90000}"/>
    <cellStyle name="敷 2" xfId="9310" xr:uid="{00000000-0005-0000-0000-000079C90000}"/>
    <cellStyle name="敷_101027-건축설비총집계수량(집계수정)" xfId="9311" xr:uid="{00000000-0005-0000-0000-00007AC90000}"/>
    <cellStyle name="敷_101027-건축설비총집계수량(집계수정) 2" xfId="9312" xr:uid="{00000000-0005-0000-0000-00007BC90000}"/>
    <cellStyle name="敷_101027-건축설비총집계수량(집계수정) 2_2011.02.24-Plumbing, HVAC &amp; Fire Fighting Works-동별산출(수정)" xfId="9313" xr:uid="{00000000-0005-0000-0000-00007CC90000}"/>
    <cellStyle name="敷_101027-건축설비총집계수량(집계수정) 2_2011.02.25-Plumbing, HVAC &amp; Fire Fighting Works-동별산출-추가아이템정리-2" xfId="9314" xr:uid="{00000000-0005-0000-0000-00007DC90000}"/>
    <cellStyle name="敷_101027-건축설비총집계수량(집계수정) 2_4.Plumbing, HVAC &amp; Fire Fighting Works-동별산출" xfId="9315" xr:uid="{00000000-0005-0000-0000-00007EC90000}"/>
    <cellStyle name="敷_101027-건축설비총집계수량(집계수정)_110127-인도네시아 제철소 물량" xfId="9316" xr:uid="{00000000-0005-0000-0000-00007FC90000}"/>
    <cellStyle name="敷_101027-건축설비총집계수량(집계수정)_110127-인도네시아 제철소 물량 2" xfId="9317" xr:uid="{00000000-0005-0000-0000-000080C90000}"/>
    <cellStyle name="敷_101027-건축설비총집계수량(집계수정)_110127-인도네시아 제철소 물량 2_2011.02.24-Plumbing, HVAC &amp; Fire Fighting Works-동별산출(수정)" xfId="9318" xr:uid="{00000000-0005-0000-0000-000081C90000}"/>
    <cellStyle name="敷_101027-건축설비총집계수량(집계수정)_110127-인도네시아 제철소 물량 2_2011.02.25-Plumbing, HVAC &amp; Fire Fighting Works-동별산출-추가아이템정리-2" xfId="9319" xr:uid="{00000000-0005-0000-0000-000082C90000}"/>
    <cellStyle name="敷_101027-건축설비총집계수량(집계수정)_110127-인도네시아 제철소 물량 2_4.Plumbing, HVAC &amp; Fire Fighting Works-동별산출" xfId="9320" xr:uid="{00000000-0005-0000-0000-000083C90000}"/>
    <cellStyle name="敷_101027-건축설비총집계수량(집계수정)_110127-인도네시아 제철소 물량_110127-인도네시아 제철소 물량" xfId="9321" xr:uid="{00000000-0005-0000-0000-000084C90000}"/>
    <cellStyle name="敷_101027-건축설비총집계수량(집계수정)_110127-인도네시아 제철소 물량_110127-인도네시아 제철소 물량 2" xfId="9322" xr:uid="{00000000-0005-0000-0000-000085C90000}"/>
    <cellStyle name="敷_101027-건축설비총집계수량(집계수정)_110127-인도네시아 제철소 물량_110127-인도네시아 제철소 물량 2_2011.02.24-Plumbing, HVAC &amp; Fire Fighting Works-동별산출(수정)" xfId="9323" xr:uid="{00000000-0005-0000-0000-000086C90000}"/>
    <cellStyle name="敷_101027-건축설비총집계수량(집계수정)_110127-인도네시아 제철소 물량_110127-인도네시아 제철소 물량 2_2011.02.25-Plumbing, HVAC &amp; Fire Fighting Works-동별산출-추가아이템정리-2" xfId="9324" xr:uid="{00000000-0005-0000-0000-000087C90000}"/>
    <cellStyle name="敷_101027-건축설비총집계수량(집계수정)_110127-인도네시아 제철소 물량_110127-인도네시아 제철소 물량 2_4.Plumbing, HVAC &amp; Fire Fighting Works-동별산출" xfId="9325" xr:uid="{00000000-0005-0000-0000-000088C90000}"/>
    <cellStyle name="敷_101027-건축설비총집계수량(집계수정)_110127-인도네시아 제철소 물량_110128-인도네시아 제철소 물량" xfId="9326" xr:uid="{00000000-0005-0000-0000-000089C90000}"/>
    <cellStyle name="敷_101027-건축설비총집계수량(집계수정)_110127-인도네시아 제철소 물량_110128-인도네시아 제철소 물량 2" xfId="9327" xr:uid="{00000000-0005-0000-0000-00008AC90000}"/>
    <cellStyle name="敷_101027-건축설비총집계수량(집계수정)_110127-인도네시아 제철소 물량_110128-인도네시아 제철소 물량 2_2011.02.24-Plumbing, HVAC &amp; Fire Fighting Works-동별산출(수정)" xfId="9328" xr:uid="{00000000-0005-0000-0000-00008BC90000}"/>
    <cellStyle name="敷_101027-건축설비총집계수량(집계수정)_110127-인도네시아 제철소 물량_110128-인도네시아 제철소 물량 2_2011.02.25-Plumbing, HVAC &amp; Fire Fighting Works-동별산출-추가아이템정리-2" xfId="9329" xr:uid="{00000000-0005-0000-0000-00008CC90000}"/>
    <cellStyle name="敷_101027-건축설비총집계수량(집계수정)_110127-인도네시아 제철소 물량_110128-인도네시아 제철소 물량 2_4.Plumbing, HVAC &amp; Fire Fighting Works-동별산출" xfId="9330" xr:uid="{00000000-0005-0000-0000-00008DC90000}"/>
    <cellStyle name="敷_101027-건축설비총집계수량(집계수정)_110127-인도네시아 제철소 물량_110129-인도네시아 제철소 (제강)물량-추가" xfId="9331" xr:uid="{00000000-0005-0000-0000-00008EC90000}"/>
    <cellStyle name="敷_101027-건축설비총집계수량(집계수정)_110127-인도네시아 제철소 물량_110129-인도네시아 제철소 (제강)물량-추가 2" xfId="9332" xr:uid="{00000000-0005-0000-0000-00008FC90000}"/>
    <cellStyle name="敷_101027-건축설비총집계수량(집계수정)_110127-인도네시아 제철소 물량_110129-인도네시아 제철소 (제강)물량-추가 2_2011.02.24-Plumbing, HVAC &amp; Fire Fighting Works-동별산출(수정)" xfId="9333" xr:uid="{00000000-0005-0000-0000-000090C90000}"/>
    <cellStyle name="敷_101027-건축설비총집계수량(집계수정)_110127-인도네시아 제철소 물량_110129-인도네시아 제철소 (제강)물량-추가 2_2011.02.25-Plumbing, HVAC &amp; Fire Fighting Works-동별산출-추가아이템정리-2" xfId="9334" xr:uid="{00000000-0005-0000-0000-000091C90000}"/>
    <cellStyle name="敷_101027-건축설비총집계수량(집계수정)_110127-인도네시아 제철소 물량_110129-인도네시아 제철소 (제강)물량-추가 2_4.Plumbing, HVAC &amp; Fire Fighting Works-동별산출" xfId="9335" xr:uid="{00000000-0005-0000-0000-000092C90000}"/>
    <cellStyle name="敷_101027-건축설비총집계수량(집계수정)_110127-인도네시아 제철소 물량_110131-인니-연주" xfId="9336" xr:uid="{00000000-0005-0000-0000-000093C90000}"/>
    <cellStyle name="敷_101027-건축설비총집계수량(집계수정)_110127-인도네시아 제철소 물량_110131-인니-연주 2" xfId="9337" xr:uid="{00000000-0005-0000-0000-000094C90000}"/>
    <cellStyle name="敷_101027-건축설비총집계수량(집계수정)_110127-인도네시아 제철소 물량_110131-인니-연주 2_2011.02.24-Plumbing, HVAC &amp; Fire Fighting Works-동별산출(수정)" xfId="9338" xr:uid="{00000000-0005-0000-0000-000095C90000}"/>
    <cellStyle name="敷_101027-건축설비총집계수량(집계수정)_110127-인도네시아 제철소 물량_110131-인니-연주 2_2011.02.25-Plumbing, HVAC &amp; Fire Fighting Works-동별산출-추가아이템정리-2" xfId="9339" xr:uid="{00000000-0005-0000-0000-000096C90000}"/>
    <cellStyle name="敷_101027-건축설비총집계수량(집계수정)_110127-인도네시아 제철소 물량_110131-인니-연주 2_4.Plumbing, HVAC &amp; Fire Fighting Works-동별산출" xfId="9340" xr:uid="{00000000-0005-0000-0000-000097C90000}"/>
    <cellStyle name="敷_101027-건축설비총집계수량(집계수정)_110128-인도네시아 제철소 (코크스) 물량-추가" xfId="9341" xr:uid="{00000000-0005-0000-0000-000098C90000}"/>
    <cellStyle name="敷_101027-건축설비총집계수량(집계수정)_110128-인도네시아 제철소 (코크스) 물량-추가 2" xfId="9342" xr:uid="{00000000-0005-0000-0000-000099C90000}"/>
    <cellStyle name="敷_101027-건축설비총집계수량(집계수정)_110128-인도네시아 제철소 (코크스) 물량-추가 2_2011.02.24-Plumbing, HVAC &amp; Fire Fighting Works-동별산출(수정)" xfId="9343" xr:uid="{00000000-0005-0000-0000-00009AC90000}"/>
    <cellStyle name="敷_101027-건축설비총집계수량(집계수정)_110128-인도네시아 제철소 (코크스) 물량-추가 2_2011.02.25-Plumbing, HVAC &amp; Fire Fighting Works-동별산출-추가아이템정리-2" xfId="9344" xr:uid="{00000000-0005-0000-0000-00009BC90000}"/>
    <cellStyle name="敷_101027-건축설비총집계수량(집계수정)_110128-인도네시아 제철소 (코크스) 물량-추가 2_4.Plumbing, HVAC &amp; Fire Fighting Works-동별산출" xfId="9345" xr:uid="{00000000-0005-0000-0000-00009CC90000}"/>
    <cellStyle name="敷_101027-건축설비총집계수량(집계수정)_110128-인도네시아 제철소 (후판)물량-추가" xfId="9346" xr:uid="{00000000-0005-0000-0000-00009DC90000}"/>
    <cellStyle name="敷_101027-건축설비총집계수량(집계수정)_110128-인도네시아 제철소 (후판)물량-추가 2" xfId="9347" xr:uid="{00000000-0005-0000-0000-00009EC90000}"/>
    <cellStyle name="敷_101027-건축설비총집계수량(집계수정)_110128-인도네시아 제철소 (후판)물량-추가 2_2011.02.24-Plumbing, HVAC &amp; Fire Fighting Works-동별산출(수정)" xfId="9348" xr:uid="{00000000-0005-0000-0000-00009FC90000}"/>
    <cellStyle name="敷_101027-건축설비총집계수량(집계수정)_110128-인도네시아 제철소 (후판)물량-추가 2_2011.02.25-Plumbing, HVAC &amp; Fire Fighting Works-동별산출-추가아이템정리-2" xfId="9349" xr:uid="{00000000-0005-0000-0000-0000A0C90000}"/>
    <cellStyle name="敷_101027-건축설비총집계수량(집계수정)_110128-인도네시아 제철소 (후판)물량-추가 2_4.Plumbing, HVAC &amp; Fire Fighting Works-동별산출" xfId="9350" xr:uid="{00000000-0005-0000-0000-0000A1C90000}"/>
    <cellStyle name="敷_101027-건축설비총집계수량(집계수정)_110129-인도네시아 제철소 (제강)물량-추가" xfId="9351" xr:uid="{00000000-0005-0000-0000-0000A2C90000}"/>
    <cellStyle name="敷_101027-건축설비총집계수량(집계수정)_110129-인도네시아 제철소 (제강)물량-추가 2" xfId="9352" xr:uid="{00000000-0005-0000-0000-0000A3C90000}"/>
    <cellStyle name="敷_101027-건축설비총집계수량(집계수정)_110129-인도네시아 제철소 (제강)물량-추가 2_2011.02.24-Plumbing, HVAC &amp; Fire Fighting Works-동별산출(수정)" xfId="9353" xr:uid="{00000000-0005-0000-0000-0000A4C90000}"/>
    <cellStyle name="敷_101027-건축설비총집계수량(집계수정)_110129-인도네시아 제철소 (제강)물량-추가 2_2011.02.25-Plumbing, HVAC &amp; Fire Fighting Works-동별산출-추가아이템정리-2" xfId="9354" xr:uid="{00000000-0005-0000-0000-0000A5C90000}"/>
    <cellStyle name="敷_101027-건축설비총집계수량(집계수정)_110129-인도네시아 제철소 (제강)물량-추가 2_4.Plumbing, HVAC &amp; Fire Fighting Works-동별산출" xfId="9355" xr:uid="{00000000-0005-0000-0000-0000A6C90000}"/>
    <cellStyle name="敷_101027-건축설비총집계수량(집계수정)_110321-베트남 포스코 특수강 물량작업-수정" xfId="9356" xr:uid="{00000000-0005-0000-0000-0000A7C90000}"/>
    <cellStyle name="敷_110127-인도네시아 제철소 물량" xfId="9357" xr:uid="{00000000-0005-0000-0000-0000A8C90000}"/>
    <cellStyle name="敷_110127-인도네시아 제철소 물량 2" xfId="9358" xr:uid="{00000000-0005-0000-0000-0000A9C90000}"/>
    <cellStyle name="敷_110127-인도네시아 제철소 물량 2_2011.02.24-Plumbing, HVAC &amp; Fire Fighting Works-동별산출(수정)" xfId="9359" xr:uid="{00000000-0005-0000-0000-0000AAC90000}"/>
    <cellStyle name="敷_110127-인도네시아 제철소 물량 2_2011.02.25-Plumbing, HVAC &amp; Fire Fighting Works-동별산출-추가아이템정리-2" xfId="9360" xr:uid="{00000000-0005-0000-0000-0000ABC90000}"/>
    <cellStyle name="敷_110127-인도네시아 제철소 물량 2_4.Plumbing, HVAC &amp; Fire Fighting Works-동별산출" xfId="9361" xr:uid="{00000000-0005-0000-0000-0000ACC90000}"/>
    <cellStyle name="敷_110127-인도네시아 제철소 물량_110127-인도네시아 제철소 물량" xfId="9362" xr:uid="{00000000-0005-0000-0000-0000ADC90000}"/>
    <cellStyle name="敷_110127-인도네시아 제철소 물량_110127-인도네시아 제철소 물량 2" xfId="9363" xr:uid="{00000000-0005-0000-0000-0000AEC90000}"/>
    <cellStyle name="敷_110127-인도네시아 제철소 물량_110127-인도네시아 제철소 물량 2_2011.02.24-Plumbing, HVAC &amp; Fire Fighting Works-동별산출(수정)" xfId="9364" xr:uid="{00000000-0005-0000-0000-0000AFC90000}"/>
    <cellStyle name="敷_110127-인도네시아 제철소 물량_110127-인도네시아 제철소 물량 2_2011.02.25-Plumbing, HVAC &amp; Fire Fighting Works-동별산출-추가아이템정리-2" xfId="9365" xr:uid="{00000000-0005-0000-0000-0000B0C90000}"/>
    <cellStyle name="敷_110127-인도네시아 제철소 물량_110127-인도네시아 제철소 물량 2_4.Plumbing, HVAC &amp; Fire Fighting Works-동별산출" xfId="9366" xr:uid="{00000000-0005-0000-0000-0000B1C90000}"/>
    <cellStyle name="敷_110127-인도네시아 제철소 물량_110128-인도네시아 제철소 물량" xfId="9367" xr:uid="{00000000-0005-0000-0000-0000B2C90000}"/>
    <cellStyle name="敷_110127-인도네시아 제철소 물량_110128-인도네시아 제철소 물량 2" xfId="9368" xr:uid="{00000000-0005-0000-0000-0000B3C90000}"/>
    <cellStyle name="敷_110127-인도네시아 제철소 물량_110128-인도네시아 제철소 물량 2_2011.02.24-Plumbing, HVAC &amp; Fire Fighting Works-동별산출(수정)" xfId="9369" xr:uid="{00000000-0005-0000-0000-0000B4C90000}"/>
    <cellStyle name="敷_110127-인도네시아 제철소 물량_110128-인도네시아 제철소 물량 2_2011.02.25-Plumbing, HVAC &amp; Fire Fighting Works-동별산출-추가아이템정리-2" xfId="9370" xr:uid="{00000000-0005-0000-0000-0000B5C90000}"/>
    <cellStyle name="敷_110127-인도네시아 제철소 물량_110128-인도네시아 제철소 물량 2_4.Plumbing, HVAC &amp; Fire Fighting Works-동별산출" xfId="9371" xr:uid="{00000000-0005-0000-0000-0000B6C90000}"/>
    <cellStyle name="敷_110127-인도네시아 제철소 물량_110129-인도네시아 제철소 (제강)물량-추가" xfId="9372" xr:uid="{00000000-0005-0000-0000-0000B7C90000}"/>
    <cellStyle name="敷_110127-인도네시아 제철소 물량_110129-인도네시아 제철소 (제강)물량-추가 2" xfId="9373" xr:uid="{00000000-0005-0000-0000-0000B8C90000}"/>
    <cellStyle name="敷_110127-인도네시아 제철소 물량_110129-인도네시아 제철소 (제강)물량-추가 2_2011.02.24-Plumbing, HVAC &amp; Fire Fighting Works-동별산출(수정)" xfId="9374" xr:uid="{00000000-0005-0000-0000-0000B9C90000}"/>
    <cellStyle name="敷_110127-인도네시아 제철소 물량_110129-인도네시아 제철소 (제강)물량-추가 2_2011.02.25-Plumbing, HVAC &amp; Fire Fighting Works-동별산출-추가아이템정리-2" xfId="9375" xr:uid="{00000000-0005-0000-0000-0000BAC90000}"/>
    <cellStyle name="敷_110127-인도네시아 제철소 물량_110129-인도네시아 제철소 (제강)물량-추가 2_4.Plumbing, HVAC &amp; Fire Fighting Works-동별산출" xfId="9376" xr:uid="{00000000-0005-0000-0000-0000BBC90000}"/>
    <cellStyle name="敷_110127-인도네시아 제철소 물량_110131-인니-연주" xfId="9377" xr:uid="{00000000-0005-0000-0000-0000BCC90000}"/>
    <cellStyle name="敷_110127-인도네시아 제철소 물량_110131-인니-연주 2" xfId="9378" xr:uid="{00000000-0005-0000-0000-0000BDC90000}"/>
    <cellStyle name="敷_110127-인도네시아 제철소 물량_110131-인니-연주 2_2011.02.24-Plumbing, HVAC &amp; Fire Fighting Works-동별산출(수정)" xfId="9379" xr:uid="{00000000-0005-0000-0000-0000BEC90000}"/>
    <cellStyle name="敷_110127-인도네시아 제철소 물량_110131-인니-연주 2_2011.02.25-Plumbing, HVAC &amp; Fire Fighting Works-동별산출-추가아이템정리-2" xfId="9380" xr:uid="{00000000-0005-0000-0000-0000BFC90000}"/>
    <cellStyle name="敷_110127-인도네시아 제철소 물량_110131-인니-연주 2_4.Plumbing, HVAC &amp; Fire Fighting Works-동별산출" xfId="9381" xr:uid="{00000000-0005-0000-0000-0000C0C90000}"/>
    <cellStyle name="敷_110128-인도네시아 제철소 (코크스) 물량-추가" xfId="9382" xr:uid="{00000000-0005-0000-0000-0000C1C90000}"/>
    <cellStyle name="敷_110128-인도네시아 제철소 (코크스) 물량-추가 2" xfId="9383" xr:uid="{00000000-0005-0000-0000-0000C2C90000}"/>
    <cellStyle name="敷_110128-인도네시아 제철소 (코크스) 물량-추가 2_2011.02.24-Plumbing, HVAC &amp; Fire Fighting Works-동별산출(수정)" xfId="9384" xr:uid="{00000000-0005-0000-0000-0000C3C90000}"/>
    <cellStyle name="敷_110128-인도네시아 제철소 (코크스) 물량-추가 2_2011.02.25-Plumbing, HVAC &amp; Fire Fighting Works-동별산출-추가아이템정리-2" xfId="9385" xr:uid="{00000000-0005-0000-0000-0000C4C90000}"/>
    <cellStyle name="敷_110128-인도네시아 제철소 (코크스) 물량-추가 2_4.Plumbing, HVAC &amp; Fire Fighting Works-동별산출" xfId="9386" xr:uid="{00000000-0005-0000-0000-0000C5C90000}"/>
    <cellStyle name="敷_110128-인도네시아 제철소 (후판)물량-추가" xfId="9387" xr:uid="{00000000-0005-0000-0000-0000C6C90000}"/>
    <cellStyle name="敷_110128-인도네시아 제철소 (후판)물량-추가 2" xfId="9388" xr:uid="{00000000-0005-0000-0000-0000C7C90000}"/>
    <cellStyle name="敷_110128-인도네시아 제철소 (후판)물량-추가 2_2011.02.24-Plumbing, HVAC &amp; Fire Fighting Works-동별산출(수정)" xfId="9389" xr:uid="{00000000-0005-0000-0000-0000C8C90000}"/>
    <cellStyle name="敷_110128-인도네시아 제철소 (후판)물량-추가 2_2011.02.25-Plumbing, HVAC &amp; Fire Fighting Works-동별산출-추가아이템정리-2" xfId="9390" xr:uid="{00000000-0005-0000-0000-0000C9C90000}"/>
    <cellStyle name="敷_110128-인도네시아 제철소 (후판)물량-추가 2_4.Plumbing, HVAC &amp; Fire Fighting Works-동별산출" xfId="9391" xr:uid="{00000000-0005-0000-0000-0000CAC90000}"/>
    <cellStyle name="敷_110129-인도네시아 제철소 (제강)물량-추가" xfId="9392" xr:uid="{00000000-0005-0000-0000-0000CBC90000}"/>
    <cellStyle name="敷_110129-인도네시아 제철소 (제강)물량-추가 2" xfId="9393" xr:uid="{00000000-0005-0000-0000-0000CCC90000}"/>
    <cellStyle name="敷_110129-인도네시아 제철소 (제강)물량-추가 2_2011.02.24-Plumbing, HVAC &amp; Fire Fighting Works-동별산출(수정)" xfId="9394" xr:uid="{00000000-0005-0000-0000-0000CDC90000}"/>
    <cellStyle name="敷_110129-인도네시아 제철소 (제강)물량-추가 2_2011.02.25-Plumbing, HVAC &amp; Fire Fighting Works-동별산출-추가아이템정리-2" xfId="9395" xr:uid="{00000000-0005-0000-0000-0000CEC90000}"/>
    <cellStyle name="敷_110129-인도네시아 제철소 (제강)물량-추가 2_4.Plumbing, HVAC &amp; Fire Fighting Works-동별산출" xfId="9396" xr:uid="{00000000-0005-0000-0000-0000CFC90000}"/>
    <cellStyle name="未定義" xfId="9397" xr:uid="{00000000-0005-0000-0000-0000D0C90000}"/>
    <cellStyle name="桁?切り [0.00]_ITEM" xfId="9398" xr:uid="{00000000-0005-0000-0000-0000D1C90000}"/>
    <cellStyle name="桁?切り_ITEM" xfId="9399" xr:uid="{00000000-0005-0000-0000-0000D2C90000}"/>
    <cellStyle name="桁区切り [0.00]_１２月分経理レート" xfId="9400" xr:uid="{00000000-0005-0000-0000-0000D3C90000}"/>
    <cellStyle name="桁区切り_１２月分経理レート" xfId="9401" xr:uid="{00000000-0005-0000-0000-0000D4C90000}"/>
    <cellStyle name="標?_MOTOR" xfId="9402" xr:uid="{00000000-0005-0000-0000-0000D5C90000}"/>
    <cellStyle name="標準_ Att. 1- Cover" xfId="9403" xr:uid="{00000000-0005-0000-0000-0000D6C90000}"/>
    <cellStyle name="煞〕뼁?larou$" xfId="9404" xr:uid="{00000000-0005-0000-0000-0000D7C90000}"/>
    <cellStyle name="璿Ⅱ뭄?larou_x001c_" xfId="9405" xr:uid="{00000000-0005-0000-0000-0000D8C90000}"/>
    <cellStyle name="璿Η萬?larou8" xfId="9406" xr:uid="{00000000-0005-0000-0000-0000D9C90000}"/>
    <cellStyle name="留" xfId="9407" xr:uid="{00000000-0005-0000-0000-0000DAC90000}"/>
    <cellStyle name="良い" xfId="9408" xr:uid="{00000000-0005-0000-0000-0000DBC90000}"/>
    <cellStyle name="良い 2" xfId="9409" xr:uid="{00000000-0005-0000-0000-0000DCC90000}"/>
    <cellStyle name="良い 2 2" xfId="9410" xr:uid="{00000000-0005-0000-0000-0000DDC90000}"/>
    <cellStyle name="良い 2_2011.02.24-Plumbing, HVAC &amp; Fire Fighting Works-동별산출(수정)" xfId="9411" xr:uid="{00000000-0005-0000-0000-0000DEC90000}"/>
    <cellStyle name="表示済みのハイパーリンク" xfId="9412" xr:uid="{00000000-0005-0000-0000-0000DFC90000}"/>
    <cellStyle name="見出し 1" xfId="9413" xr:uid="{00000000-0005-0000-0000-0000E0C90000}"/>
    <cellStyle name="見出し 1 2" xfId="9414" xr:uid="{00000000-0005-0000-0000-0000E1C90000}"/>
    <cellStyle name="見出し 1 2 2" xfId="9415" xr:uid="{00000000-0005-0000-0000-0000E2C90000}"/>
    <cellStyle name="見出し 1 2_2011.02.24-Plumbing, HVAC &amp; Fire Fighting Works-동별산출(수정)" xfId="9416" xr:uid="{00000000-0005-0000-0000-0000E3C90000}"/>
    <cellStyle name="見出し 2" xfId="9417" xr:uid="{00000000-0005-0000-0000-0000E4C90000}"/>
    <cellStyle name="見出し 2 2" xfId="9418" xr:uid="{00000000-0005-0000-0000-0000E5C90000}"/>
    <cellStyle name="見出し 2 2 2" xfId="9419" xr:uid="{00000000-0005-0000-0000-0000E6C90000}"/>
    <cellStyle name="見出し 2 2_2011.02.24-Plumbing, HVAC &amp; Fire Fighting Works-동별산출(수정)" xfId="9420" xr:uid="{00000000-0005-0000-0000-0000E7C90000}"/>
    <cellStyle name="見出し 3" xfId="9421" xr:uid="{00000000-0005-0000-0000-0000E8C90000}"/>
    <cellStyle name="見出し 3 2" xfId="9422" xr:uid="{00000000-0005-0000-0000-0000E9C90000}"/>
    <cellStyle name="見出し 3 2 2" xfId="9423" xr:uid="{00000000-0005-0000-0000-0000EAC90000}"/>
    <cellStyle name="見出し 3 2 2 2" xfId="14117" xr:uid="{00000000-0005-0000-0000-0000EBC90000}"/>
    <cellStyle name="見出し 3 2 2 2 2" xfId="28282" xr:uid="{00000000-0005-0000-0000-0000ECC90000}"/>
    <cellStyle name="見出し 3 2 2 3" xfId="23648" xr:uid="{00000000-0005-0000-0000-0000EDC90000}"/>
    <cellStyle name="見出し 3 2 3" xfId="14116" xr:uid="{00000000-0005-0000-0000-0000EEC90000}"/>
    <cellStyle name="見出し 3 2 3 2" xfId="28281" xr:uid="{00000000-0005-0000-0000-0000EFC90000}"/>
    <cellStyle name="見出し 3 2 4" xfId="23647" xr:uid="{00000000-0005-0000-0000-0000F0C90000}"/>
    <cellStyle name="見出し 3 2_2011.02.24-Plumbing, HVAC &amp; Fire Fighting Works-동별산출(수정)" xfId="9424" xr:uid="{00000000-0005-0000-0000-0000F1C90000}"/>
    <cellStyle name="見出し 3 3" xfId="14115" xr:uid="{00000000-0005-0000-0000-0000F2C90000}"/>
    <cellStyle name="見出し 3 3 2" xfId="28280" xr:uid="{00000000-0005-0000-0000-0000F3C90000}"/>
    <cellStyle name="見出し 3 4" xfId="23646" xr:uid="{00000000-0005-0000-0000-0000F4C90000}"/>
    <cellStyle name="見出し 4" xfId="9425" xr:uid="{00000000-0005-0000-0000-0000F5C90000}"/>
    <cellStyle name="見出し 4 2" xfId="9426" xr:uid="{00000000-0005-0000-0000-0000F6C90000}"/>
    <cellStyle name="見出し 4 2 2" xfId="9427" xr:uid="{00000000-0005-0000-0000-0000F7C90000}"/>
    <cellStyle name="見出し 4 2_2011.02.24-Plumbing, HVAC &amp; Fire Fighting Works-동별산출(수정)" xfId="9428" xr:uid="{00000000-0005-0000-0000-0000F8C90000}"/>
    <cellStyle name="計算" xfId="9429" xr:uid="{00000000-0005-0000-0000-0000F9C90000}"/>
    <cellStyle name="計算 2" xfId="9430" xr:uid="{00000000-0005-0000-0000-0000FAC90000}"/>
    <cellStyle name="計算 2 2" xfId="9431" xr:uid="{00000000-0005-0000-0000-0000FBC90000}"/>
    <cellStyle name="計算 2 2 2" xfId="14120" xr:uid="{00000000-0005-0000-0000-0000FCC90000}"/>
    <cellStyle name="計算 2 2 2 2" xfId="19184" xr:uid="{00000000-0005-0000-0000-0000FDC90000}"/>
    <cellStyle name="計算 2 2 2 2 2" xfId="37599" xr:uid="{00000000-0005-0000-0000-0000FEC90000}"/>
    <cellStyle name="計算 2 2 2 3" xfId="28285" xr:uid="{00000000-0005-0000-0000-0000FFC90000}"/>
    <cellStyle name="計算 2 2 2 4" xfId="51547" xr:uid="{00000000-0005-0000-0000-000000CA0000}"/>
    <cellStyle name="計算 2 2 3" xfId="14338" xr:uid="{00000000-0005-0000-0000-000001CA0000}"/>
    <cellStyle name="計算 2 2 3 2" xfId="19185" xr:uid="{00000000-0005-0000-0000-000002CA0000}"/>
    <cellStyle name="計算 2 2 3 2 2" xfId="37813" xr:uid="{00000000-0005-0000-0000-000003CA0000}"/>
    <cellStyle name="計算 2 2 3 3" xfId="28498" xr:uid="{00000000-0005-0000-0000-000004CA0000}"/>
    <cellStyle name="計算 2 2 4" xfId="18833" xr:uid="{00000000-0005-0000-0000-000005CA0000}"/>
    <cellStyle name="計算 2 2 4 2" xfId="19186" xr:uid="{00000000-0005-0000-0000-000006CA0000}"/>
    <cellStyle name="計算 2 2 4 3" xfId="32965" xr:uid="{00000000-0005-0000-0000-000007CA0000}"/>
    <cellStyle name="計算 2 2 4 4" xfId="46869" xr:uid="{00000000-0005-0000-0000-000008CA0000}"/>
    <cellStyle name="計算 2 2 5" xfId="23651" xr:uid="{00000000-0005-0000-0000-000009CA0000}"/>
    <cellStyle name="計算 2 3" xfId="14119" xr:uid="{00000000-0005-0000-0000-00000ACA0000}"/>
    <cellStyle name="計算 2 3 2" xfId="19187" xr:uid="{00000000-0005-0000-0000-00000BCA0000}"/>
    <cellStyle name="計算 2 3 2 2" xfId="37598" xr:uid="{00000000-0005-0000-0000-00000CCA0000}"/>
    <cellStyle name="計算 2 3 3" xfId="28284" xr:uid="{00000000-0005-0000-0000-00000DCA0000}"/>
    <cellStyle name="計算 2 3 4" xfId="51546" xr:uid="{00000000-0005-0000-0000-00000ECA0000}"/>
    <cellStyle name="計算 2 4" xfId="14337" xr:uid="{00000000-0005-0000-0000-00000FCA0000}"/>
    <cellStyle name="計算 2 4 2" xfId="19188" xr:uid="{00000000-0005-0000-0000-000010CA0000}"/>
    <cellStyle name="計算 2 4 2 2" xfId="37812" xr:uid="{00000000-0005-0000-0000-000011CA0000}"/>
    <cellStyle name="計算 2 4 3" xfId="28497" xr:uid="{00000000-0005-0000-0000-000012CA0000}"/>
    <cellStyle name="計算 2 5" xfId="18832" xr:uid="{00000000-0005-0000-0000-000013CA0000}"/>
    <cellStyle name="計算 2 5 2" xfId="19189" xr:uid="{00000000-0005-0000-0000-000014CA0000}"/>
    <cellStyle name="計算 2 5 3" xfId="32964" xr:uid="{00000000-0005-0000-0000-000015CA0000}"/>
    <cellStyle name="計算 2 5 4" xfId="46868" xr:uid="{00000000-0005-0000-0000-000016CA0000}"/>
    <cellStyle name="計算 2 6" xfId="23650" xr:uid="{00000000-0005-0000-0000-000017CA0000}"/>
    <cellStyle name="計算 2_2011.02.24-Plumbing, HVAC &amp; Fire Fighting Works-동별산출(수정)" xfId="9432" xr:uid="{00000000-0005-0000-0000-000018CA0000}"/>
    <cellStyle name="計算 3" xfId="14118" xr:uid="{00000000-0005-0000-0000-000019CA0000}"/>
    <cellStyle name="計算 3 2" xfId="19190" xr:uid="{00000000-0005-0000-0000-00001ACA0000}"/>
    <cellStyle name="計算 3 2 2" xfId="37597" xr:uid="{00000000-0005-0000-0000-00001BCA0000}"/>
    <cellStyle name="計算 3 3" xfId="28283" xr:uid="{00000000-0005-0000-0000-00001CCA0000}"/>
    <cellStyle name="計算 3 4" xfId="51545" xr:uid="{00000000-0005-0000-0000-00001DCA0000}"/>
    <cellStyle name="計算 4" xfId="14336" xr:uid="{00000000-0005-0000-0000-00001ECA0000}"/>
    <cellStyle name="計算 4 2" xfId="19191" xr:uid="{00000000-0005-0000-0000-00001FCA0000}"/>
    <cellStyle name="計算 4 2 2" xfId="37811" xr:uid="{00000000-0005-0000-0000-000020CA0000}"/>
    <cellStyle name="計算 4 3" xfId="28496" xr:uid="{00000000-0005-0000-0000-000021CA0000}"/>
    <cellStyle name="計算 5" xfId="18831" xr:uid="{00000000-0005-0000-0000-000022CA0000}"/>
    <cellStyle name="計算 5 2" xfId="19192" xr:uid="{00000000-0005-0000-0000-000023CA0000}"/>
    <cellStyle name="計算 5 3" xfId="32963" xr:uid="{00000000-0005-0000-0000-000024CA0000}"/>
    <cellStyle name="計算 5 4" xfId="46867" xr:uid="{00000000-0005-0000-0000-000025CA0000}"/>
    <cellStyle name="計算 6" xfId="23649" xr:uid="{00000000-0005-0000-0000-000026CA0000}"/>
    <cellStyle name="説明文" xfId="9433" xr:uid="{00000000-0005-0000-0000-000027CA0000}"/>
    <cellStyle name="説明文 2" xfId="9434" xr:uid="{00000000-0005-0000-0000-000028CA0000}"/>
    <cellStyle name="説明文 2 2" xfId="9435" xr:uid="{00000000-0005-0000-0000-000029CA0000}"/>
    <cellStyle name="説明文 2_2011.02.24-Plumbing, HVAC &amp; Fire Fighting Works-동별산출(수정)" xfId="9436" xr:uid="{00000000-0005-0000-0000-00002ACA0000}"/>
    <cellStyle name="警告文" xfId="9437" xr:uid="{00000000-0005-0000-0000-00002BCA0000}"/>
    <cellStyle name="警告文 2" xfId="9438" xr:uid="{00000000-0005-0000-0000-00002CCA0000}"/>
    <cellStyle name="警告文 2 2" xfId="9439" xr:uid="{00000000-0005-0000-0000-00002DCA0000}"/>
    <cellStyle name="警告文 2_2011.02.24-Plumbing, HVAC &amp; Fire Fighting Works-동별산출(수정)" xfId="9440" xr:uid="{00000000-0005-0000-0000-00002ECA0000}"/>
    <cellStyle name="貨幣 [0]_GARMENT STEP FORM HK" xfId="9441" xr:uid="{00000000-0005-0000-0000-00002FCA0000}"/>
    <cellStyle name="貨幣_GARMENT STEP FORM HK" xfId="9442" xr:uid="{00000000-0005-0000-0000-000030CA0000}"/>
    <cellStyle name="货币[0]_BOQ" xfId="9443" xr:uid="{00000000-0005-0000-0000-000031CA0000}"/>
    <cellStyle name="货币_BOQ" xfId="9444" xr:uid="{00000000-0005-0000-0000-000032CA0000}"/>
    <cellStyle name="通貨 [0.00]_ Att. 1- Cover" xfId="9445" xr:uid="{00000000-0005-0000-0000-000033CA0000}"/>
    <cellStyle name="通貨_ Att. 1- Cover" xfId="9446" xr:uid="{00000000-0005-0000-0000-000034CA0000}"/>
    <cellStyle name="集計" xfId="9447" xr:uid="{00000000-0005-0000-0000-000035CA0000}"/>
    <cellStyle name="集計 2" xfId="9448" xr:uid="{00000000-0005-0000-0000-000036CA0000}"/>
    <cellStyle name="集計 2 2" xfId="9449" xr:uid="{00000000-0005-0000-0000-000037CA0000}"/>
    <cellStyle name="集計 2 2 2" xfId="14341" xr:uid="{00000000-0005-0000-0000-000038CA0000}"/>
    <cellStyle name="集計 2 2 2 2" xfId="19193" xr:uid="{00000000-0005-0000-0000-000039CA0000}"/>
    <cellStyle name="集計 2 2 2 2 2" xfId="37816" xr:uid="{00000000-0005-0000-0000-00003ACA0000}"/>
    <cellStyle name="集計 2 2 2 3" xfId="28501" xr:uid="{00000000-0005-0000-0000-00003BCA0000}"/>
    <cellStyle name="集計 2 2 2 4" xfId="51551" xr:uid="{00000000-0005-0000-0000-00003CCA0000}"/>
    <cellStyle name="集計 2 2 3" xfId="18836" xr:uid="{00000000-0005-0000-0000-00003DCA0000}"/>
    <cellStyle name="集計 2 2 3 2" xfId="19194" xr:uid="{00000000-0005-0000-0000-00003ECA0000}"/>
    <cellStyle name="集計 2 2 3 3" xfId="32968" xr:uid="{00000000-0005-0000-0000-00003FCA0000}"/>
    <cellStyle name="集計 2 2 3 4" xfId="51653" xr:uid="{00000000-0005-0000-0000-000040CA0000}"/>
    <cellStyle name="集計 2 2 4" xfId="23654" xr:uid="{00000000-0005-0000-0000-000041CA0000}"/>
    <cellStyle name="集計 2 2 4 2" xfId="46872" xr:uid="{00000000-0005-0000-0000-000042CA0000}"/>
    <cellStyle name="集計 2 2 5" xfId="42241" xr:uid="{00000000-0005-0000-0000-000043CA0000}"/>
    <cellStyle name="集計 2 3" xfId="14340" xr:uid="{00000000-0005-0000-0000-000044CA0000}"/>
    <cellStyle name="集計 2 3 2" xfId="19195" xr:uid="{00000000-0005-0000-0000-000045CA0000}"/>
    <cellStyle name="集計 2 3 2 2" xfId="37815" xr:uid="{00000000-0005-0000-0000-000046CA0000}"/>
    <cellStyle name="集計 2 3 3" xfId="28500" xr:uid="{00000000-0005-0000-0000-000047CA0000}"/>
    <cellStyle name="集計 2 3 4" xfId="51550" xr:uid="{00000000-0005-0000-0000-000048CA0000}"/>
    <cellStyle name="集計 2 4" xfId="18835" xr:uid="{00000000-0005-0000-0000-000049CA0000}"/>
    <cellStyle name="集計 2 4 2" xfId="19196" xr:uid="{00000000-0005-0000-0000-00004ACA0000}"/>
    <cellStyle name="集計 2 4 3" xfId="32967" xr:uid="{00000000-0005-0000-0000-00004BCA0000}"/>
    <cellStyle name="集計 2 4 4" xfId="51652" xr:uid="{00000000-0005-0000-0000-00004CCA0000}"/>
    <cellStyle name="集計 2 5" xfId="23653" xr:uid="{00000000-0005-0000-0000-00004DCA0000}"/>
    <cellStyle name="集計 2 5 2" xfId="46871" xr:uid="{00000000-0005-0000-0000-00004ECA0000}"/>
    <cellStyle name="集計 2 6" xfId="42240" xr:uid="{00000000-0005-0000-0000-00004FCA0000}"/>
    <cellStyle name="集計 2_2011.02.24-Plumbing, HVAC &amp; Fire Fighting Works-동별산출(수정)" xfId="9450" xr:uid="{00000000-0005-0000-0000-000050CA0000}"/>
    <cellStyle name="集計 3" xfId="14339" xr:uid="{00000000-0005-0000-0000-000051CA0000}"/>
    <cellStyle name="集計 3 2" xfId="19197" xr:uid="{00000000-0005-0000-0000-000052CA0000}"/>
    <cellStyle name="集計 3 2 2" xfId="37814" xr:uid="{00000000-0005-0000-0000-000053CA0000}"/>
    <cellStyle name="集計 3 3" xfId="28499" xr:uid="{00000000-0005-0000-0000-000054CA0000}"/>
    <cellStyle name="集計 3 4" xfId="51549" xr:uid="{00000000-0005-0000-0000-000055CA0000}"/>
    <cellStyle name="集計 4" xfId="18834" xr:uid="{00000000-0005-0000-0000-000056CA0000}"/>
    <cellStyle name="集計 4 2" xfId="19198" xr:uid="{00000000-0005-0000-0000-000057CA0000}"/>
    <cellStyle name="集計 4 3" xfId="32966" xr:uid="{00000000-0005-0000-0000-000058CA0000}"/>
    <cellStyle name="集計 4 4" xfId="51651" xr:uid="{00000000-0005-0000-0000-000059CA0000}"/>
    <cellStyle name="集計 5" xfId="23652" xr:uid="{00000000-0005-0000-0000-00005ACA0000}"/>
    <cellStyle name="集計 5 2" xfId="46870" xr:uid="{00000000-0005-0000-0000-00005BCA0000}"/>
    <cellStyle name="集計 6" xfId="42239" xr:uid="{00000000-0005-0000-0000-00005CCA0000}"/>
  </cellStyles>
  <dxfs count="121">
    <dxf>
      <font>
        <b val="0"/>
        <i/>
        <strike val="0"/>
        <u val="none"/>
        <color theme="0" tint="-0.24994659260841701"/>
      </font>
    </dxf>
    <dxf>
      <font>
        <color theme="1" tint="0.49998474074526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i/>
        <strike val="0"/>
        <u val="none"/>
        <color theme="0" tint="-0.14993743705557422"/>
      </font>
    </dxf>
    <dxf>
      <font>
        <b val="0"/>
        <i/>
        <strike val="0"/>
        <u val="none"/>
        <color theme="0" tint="-0.14993743705557422"/>
      </font>
    </dxf>
    <dxf>
      <font>
        <color rgb="FFFF0000"/>
      </font>
    </dxf>
    <dxf>
      <font>
        <color rgb="FF0066FF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b val="0"/>
        <i val="0"/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b val="0"/>
        <i val="0"/>
        <color rgb="FFFF0000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b val="0"/>
        <i val="0"/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b val="0"/>
        <i val="0"/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b val="0"/>
        <i val="0"/>
        <color rgb="FFFF0000"/>
      </font>
    </dxf>
    <dxf>
      <font>
        <color rgb="FF0066FF"/>
      </font>
    </dxf>
    <dxf>
      <font>
        <color rgb="FF0066FF"/>
      </font>
    </dxf>
    <dxf>
      <font>
        <color rgb="FFFF0000"/>
      </font>
    </dxf>
    <dxf>
      <font>
        <b val="0"/>
        <i val="0"/>
        <color rgb="FFFF0000"/>
      </font>
    </dxf>
    <dxf>
      <font>
        <color rgb="FF0066FF"/>
      </font>
    </dxf>
    <dxf>
      <font>
        <color rgb="FFFF0000"/>
      </font>
    </dxf>
    <dxf>
      <font>
        <color rgb="FF0066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b val="0"/>
        <i/>
        <strike val="0"/>
        <u val="none"/>
        <color theme="0" tint="-0.24994659260841701"/>
      </font>
    </dxf>
    <dxf>
      <font>
        <color theme="1" tint="0.499984740745262"/>
      </font>
    </dxf>
    <dxf>
      <font>
        <color theme="1" tint="0.499984740745262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  <dxf>
      <font>
        <color theme="1" tint="0.499984740745262"/>
      </font>
    </dxf>
  </dxfs>
  <tableStyles count="0" defaultTableStyle="TableStyleMedium2" defaultPivotStyle="PivotStyleLight16"/>
  <colors>
    <mruColors>
      <color rgb="FFFFFFCC"/>
      <color rgb="FFFFFF99"/>
      <color rgb="FFEEECE1"/>
      <color rgb="FFDCE6F1"/>
      <color rgb="FF9FC6FF"/>
      <color rgb="FF0066FF"/>
      <color rgb="FF0000FF"/>
      <color rgb="FFFFFF66"/>
      <color rgb="FF00CCFF"/>
      <color rgb="FF57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ortalbrasil.net/incc.htm" TargetMode="External"/><Relationship Id="rId2" Type="http://schemas.openxmlformats.org/officeDocument/2006/relationships/image" Target="../media/image2.png"/><Relationship Id="rId1" Type="http://schemas.openxmlformats.org/officeDocument/2006/relationships/hyperlink" Target="http://minhaseconomias.com.br/blog/dividas/cheque-especial-e-credito-rotativo-cartao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1120586</xdr:colOff>
      <xdr:row>27</xdr:row>
      <xdr:rowOff>1</xdr:rowOff>
    </xdr:from>
    <xdr:to>
      <xdr:col>6</xdr:col>
      <xdr:colOff>1566862</xdr:colOff>
      <xdr:row>32</xdr:row>
      <xdr:rowOff>195263</xdr:rowOff>
    </xdr:to>
    <xdr:sp macro="" textlink="">
      <xdr:nvSpPr>
        <xdr:cNvPr id="2" name="Chave Direita 1">
          <a:extLst>
            <a:ext uri="{FF2B5EF4-FFF2-40B4-BE49-F238E27FC236}">
              <a16:creationId xmlns:a16="http://schemas.microsoft.com/office/drawing/2014/main" id="{4DC60E5A-8C43-4F89-ACFC-6D94B25EC98D}"/>
            </a:ext>
          </a:extLst>
        </xdr:cNvPr>
        <xdr:cNvSpPr/>
      </xdr:nvSpPr>
      <xdr:spPr>
        <a:xfrm flipH="1">
          <a:off x="5744974" y="4324351"/>
          <a:ext cx="446276" cy="1195387"/>
        </a:xfrm>
        <a:prstGeom prst="rightBrace">
          <a:avLst>
            <a:gd name="adj1" fmla="val 8333"/>
            <a:gd name="adj2" fmla="val 26119"/>
          </a:avLst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66675</xdr:colOff>
      <xdr:row>105</xdr:row>
      <xdr:rowOff>1</xdr:rowOff>
    </xdr:from>
    <xdr:to>
      <xdr:col>10</xdr:col>
      <xdr:colOff>209550</xdr:colOff>
      <xdr:row>107</xdr:row>
      <xdr:rowOff>1</xdr:rowOff>
    </xdr:to>
    <xdr:sp macro="" textlink="">
      <xdr:nvSpPr>
        <xdr:cNvPr id="3" name="Chave Direita 2">
          <a:extLst>
            <a:ext uri="{FF2B5EF4-FFF2-40B4-BE49-F238E27FC236}">
              <a16:creationId xmlns:a16="http://schemas.microsoft.com/office/drawing/2014/main" id="{2CD9F388-CDED-4CC2-A2FB-42F142B6C8BB}"/>
            </a:ext>
          </a:extLst>
        </xdr:cNvPr>
        <xdr:cNvSpPr/>
      </xdr:nvSpPr>
      <xdr:spPr>
        <a:xfrm>
          <a:off x="8477250" y="16335376"/>
          <a:ext cx="142875" cy="381000"/>
        </a:xfrm>
        <a:prstGeom prst="rightBrace">
          <a:avLst/>
        </a:prstGeom>
        <a:ln w="127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120511</xdr:colOff>
      <xdr:row>487</xdr:row>
      <xdr:rowOff>102704</xdr:rowOff>
    </xdr:from>
    <xdr:ext cx="3343276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21539337" y="92072791"/>
              <a:ext cx="3343276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EPI</a:t>
              </a:r>
              <a14:m>
                <m:oMath xmlns:m="http://schemas.openxmlformats.org/officeDocument/2006/math">
                  <m:r>
                    <a:rPr lang="pt-BR" sz="12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nary>
                            <m:naryPr>
                              <m:chr m:val="∑"/>
                              <m:ctrlPr>
                                <a:rPr lang="pt-BR" sz="1200" b="0" i="1">
                                  <a:latin typeface="Cambria Math" panose="02040503050406030204" pitchFamily="18" charset="0"/>
                                </a:rPr>
                              </m:ctrlPr>
                            </m:naryPr>
                            <m:sub>
                              <m:r>
                                <m:rPr>
                                  <m:brk m:alnAt="23"/>
                                </m:rPr>
                                <a:rPr lang="pt-BR" sz="1200" b="0" i="1">
                                  <a:latin typeface="Cambria Math" panose="02040503050406030204" pitchFamily="18" charset="0"/>
                                </a:rPr>
                                <m:t>1</m:t>
                              </m:r>
                            </m:sub>
                            <m:sup>
                              <m:r>
                                <a:rPr lang="pt-BR" sz="1200" b="0" i="1">
                                  <a:latin typeface="Cambria Math" panose="02040503050406030204" pitchFamily="18" charset="0"/>
                                </a:rPr>
                                <m:t>𝑛</m:t>
                              </m:r>
                            </m:sup>
                            <m:e/>
                          </m:nary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𝑃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1 ÷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𝐹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1+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𝑃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2 ÷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𝐹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2+ …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𝑃𝑛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 ÷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𝐹𝑛</m:t>
                          </m:r>
                        </m:num>
                        <m:den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𝑆</m:t>
                          </m:r>
                        </m:den>
                      </m:f>
                    </m:e>
                  </m:d>
                  <m:r>
                    <a:rPr lang="pt-BR" sz="12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pt-BR" sz="1200" b="0" i="0">
                      <a:latin typeface="Cambria Math" panose="02040503050406030204" pitchFamily="18" charset="0"/>
                    </a:rPr>
                    <m:t>x</m:t>
                  </m:r>
                  <m:r>
                    <a:rPr lang="pt-BR" sz="1200" b="0" i="0">
                      <a:latin typeface="Cambria Math" panose="02040503050406030204" pitchFamily="18" charset="0"/>
                    </a:rPr>
                    <m:t> 100=</m:t>
                  </m:r>
                </m:oMath>
              </a14:m>
              <a:endParaRPr lang="pt-BR" sz="1200"/>
            </a:p>
          </xdr:txBody>
        </xdr:sp>
      </mc:Choice>
      <mc:Fallback xmlns="">
        <xdr:sp macro="" textlink="">
          <xdr:nvSpPr>
            <xdr:cNvPr id="24" name="CaixaDeTexto 23">
              <a:extLst>
                <a:ext uri="{FF2B5EF4-FFF2-40B4-BE49-F238E27FC236}">
                  <a16:creationId xmlns="" xmlns:a16="http://schemas.microsoft.com/office/drawing/2014/main" xmlns:a14="http://schemas.microsoft.com/office/drawing/2010/main" id="{00000000-0008-0000-0500-00000E000000}"/>
                </a:ext>
              </a:extLst>
            </xdr:cNvPr>
            <xdr:cNvSpPr txBox="1"/>
          </xdr:nvSpPr>
          <xdr:spPr>
            <a:xfrm>
              <a:off x="21539337" y="92072791"/>
              <a:ext cx="3343276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EPI</a:t>
              </a:r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[(∑_1^𝑛 𝑃1 ÷ 𝐹1+𝑃2 ÷ 𝐹2+ …𝑃𝑛 ÷ 𝐹𝑛)/𝑆]  </a:t>
              </a:r>
              <a:r>
                <a:rPr lang="en-US" sz="1200" b="0" i="0">
                  <a:latin typeface="Cambria Math" panose="02040503050406030204" pitchFamily="18" charset="0"/>
                </a:rPr>
                <a:t> </a:t>
              </a:r>
              <a:r>
                <a:rPr lang="pt-BR" sz="1200" b="0" i="0">
                  <a:latin typeface="Cambria Math" panose="02040503050406030204" pitchFamily="18" charset="0"/>
                </a:rPr>
                <a:t>x 100=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16</xdr:col>
      <xdr:colOff>866775</xdr:colOff>
      <xdr:row>144</xdr:row>
      <xdr:rowOff>0</xdr:rowOff>
    </xdr:from>
    <xdr:ext cx="2819400" cy="590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/>
          </xdr:nvSpPr>
          <xdr:spPr>
            <a:xfrm>
              <a:off x="15430500" y="35213925"/>
              <a:ext cx="2819400" cy="590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200" b="0" i="1">
                        <a:latin typeface="Cambria Math"/>
                      </a:rPr>
                      <m:t>=</m:t>
                    </m:r>
                    <m:d>
                      <m:dPr>
                        <m:begChr m:val="["/>
                        <m:endChr m:val="]"/>
                        <m:ctrlPr>
                          <a:rPr lang="pt-BR" sz="12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2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l-GR" sz="1200" b="0" i="1">
                                <a:latin typeface="Cambria Math" panose="02040503050406030204" pitchFamily="18" charset="0"/>
                              </a:rPr>
                              <m:t>𝛴</m:t>
                            </m:r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𝑉𝑇</m:t>
                            </m:r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−(</m:t>
                            </m:r>
                            <m:r>
                              <a:rPr lang="el-G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𝛴</m:t>
                            </m:r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𝑀𝐷𝑂𝑑</m:t>
                            </m:r>
                            <m:r>
                              <a:rPr lang="pt-BR" sz="1200" b="0" i="1">
                                <a:latin typeface="Cambria Math" panose="02040503050406030204" pitchFamily="18" charset="0"/>
                              </a:rPr>
                              <m:t>∗0,06)</m:t>
                            </m:r>
                          </m:num>
                          <m:den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𝐶𝑢𝑠𝑡𝑜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 </m:t>
                            </m:r>
                            <m:r>
                              <a:rPr lang="pt-BR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𝑑𝑖𝑟𝑒𝑡𝑜</m:t>
                            </m:r>
                          </m:den>
                        </m:f>
                      </m:e>
                    </m:d>
                    <m:r>
                      <m:rPr>
                        <m:sty m:val="p"/>
                      </m:rPr>
                      <a:rPr lang="en-US" sz="1200" b="0" i="0">
                        <a:latin typeface="Cambria Math"/>
                      </a:rPr>
                      <m:t>x</m:t>
                    </m:r>
                    <m:r>
                      <a:rPr lang="en-US" sz="1200" b="0" i="0">
                        <a:latin typeface="Cambria Math"/>
                      </a:rPr>
                      <m:t>100</m:t>
                    </m:r>
                  </m:oMath>
                </m:oMathPara>
              </a14:m>
              <a:endParaRPr lang="pt-BR" sz="1200"/>
            </a:p>
          </xdr:txBody>
        </xdr:sp>
      </mc:Choice>
      <mc:Fallback xmlns="">
        <xdr:sp macro="" textlink="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00000000-0008-0000-0100-00001D000000}"/>
                </a:ext>
              </a:extLst>
            </xdr:cNvPr>
            <xdr:cNvSpPr txBox="1"/>
          </xdr:nvSpPr>
          <xdr:spPr>
            <a:xfrm>
              <a:off x="15430500" y="35213925"/>
              <a:ext cx="2819400" cy="590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/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[(</a:t>
              </a:r>
              <a:r>
                <a:rPr lang="el-GR" sz="1200" b="0" i="0">
                  <a:latin typeface="Cambria Math" panose="02040503050406030204" pitchFamily="18" charset="0"/>
                </a:rPr>
                <a:t>𝛴</a:t>
              </a:r>
              <a:r>
                <a:rPr lang="pt-BR" sz="1200" b="0" i="0">
                  <a:latin typeface="Cambria Math" panose="02040503050406030204" pitchFamily="18" charset="0"/>
                </a:rPr>
                <a:t>𝑉𝑇−(</a:t>
              </a:r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𝛴</a:t>
              </a:r>
              <a:r>
                <a:rPr lang="pt-BR" sz="1200" b="0" i="0">
                  <a:latin typeface="Cambria Math" panose="02040503050406030204" pitchFamily="18" charset="0"/>
                </a:rPr>
                <a:t>𝑀𝐷𝑂𝑑∗0,06))/(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𝐶𝑢𝑠𝑡𝑜 𝑑𝑖𝑟𝑒𝑡𝑜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</a:t>
              </a:r>
              <a:r>
                <a:rPr lang="pt-B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]</a:t>
              </a:r>
              <a:r>
                <a:rPr lang="en-US" sz="1200" b="0" i="0">
                  <a:latin typeface="Cambria Math"/>
                </a:rPr>
                <a:t>x100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8</xdr:col>
      <xdr:colOff>30307</xdr:colOff>
      <xdr:row>114</xdr:row>
      <xdr:rowOff>25976</xdr:rowOff>
    </xdr:from>
    <xdr:ext cx="246784" cy="338571"/>
    <xdr:pic>
      <xdr:nvPicPr>
        <xdr:cNvPr id="25" name="Imagem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041" t="19972" r="3516" b="24393"/>
        <a:stretch/>
      </xdr:blipFill>
      <xdr:spPr bwMode="auto">
        <a:xfrm>
          <a:off x="6059632" y="2111951"/>
          <a:ext cx="246784" cy="338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33304</xdr:colOff>
      <xdr:row>116</xdr:row>
      <xdr:rowOff>29644</xdr:rowOff>
    </xdr:from>
    <xdr:ext cx="246784" cy="338571"/>
    <xdr:pic>
      <xdr:nvPicPr>
        <xdr:cNvPr id="30" name="Imagem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041" t="19972" r="3516" b="24393"/>
        <a:stretch/>
      </xdr:blipFill>
      <xdr:spPr bwMode="auto">
        <a:xfrm>
          <a:off x="6062629" y="2515669"/>
          <a:ext cx="246784" cy="3385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409575</xdr:colOff>
      <xdr:row>1</xdr:row>
      <xdr:rowOff>0</xdr:rowOff>
    </xdr:from>
    <xdr:to>
      <xdr:col>4</xdr:col>
      <xdr:colOff>409575</xdr:colOff>
      <xdr:row>4</xdr:row>
      <xdr:rowOff>9525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90072B56-8112-467D-8362-026C230C5CCC}"/>
            </a:ext>
          </a:extLst>
        </xdr:cNvPr>
        <xdr:cNvCxnSpPr/>
      </xdr:nvCxnSpPr>
      <xdr:spPr>
        <a:xfrm flipH="1">
          <a:off x="1809750" y="161925"/>
          <a:ext cx="0" cy="6096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1</xdr:row>
      <xdr:rowOff>9525</xdr:rowOff>
    </xdr:from>
    <xdr:to>
      <xdr:col>6</xdr:col>
      <xdr:colOff>257174</xdr:colOff>
      <xdr:row>4</xdr:row>
      <xdr:rowOff>3450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BFA6F4DC-2C28-4622-A6FB-5EE26BB68BF0}"/>
            </a:ext>
          </a:extLst>
        </xdr:cNvPr>
        <xdr:cNvCxnSpPr/>
      </xdr:nvCxnSpPr>
      <xdr:spPr>
        <a:xfrm flipV="1">
          <a:off x="1685924" y="171450"/>
          <a:ext cx="0" cy="5940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288892</xdr:colOff>
      <xdr:row>15</xdr:row>
      <xdr:rowOff>133349</xdr:rowOff>
    </xdr:from>
    <xdr:ext cx="2082833" cy="2525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927317" y="1581149"/>
              <a:ext cx="2082833" cy="252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pt-BR" sz="1200" b="0" i="1">
                      <a:latin typeface="Cambria Math" panose="02040503050406030204" pitchFamily="18" charset="0"/>
                    </a:rPr>
                    <m:t>𝑓</m:t>
                  </m:r>
                  <m:r>
                    <a:rPr lang="pt-BR" sz="120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1200"/>
                <a:t> [</a:t>
              </a:r>
              <a14:m>
                <m:oMath xmlns:m="http://schemas.openxmlformats.org/officeDocument/2006/math">
                  <m:sSup>
                    <m:sSupPr>
                      <m:ctrlP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(1+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  <m:sup>
                      <m:f>
                        <m:fPr>
                          <m:ctrlP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𝑛</m:t>
                          </m:r>
                        </m:num>
                        <m:den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30 </m:t>
                          </m:r>
                        </m:den>
                      </m:f>
                    </m:sup>
                  </m:sSup>
                  <m:sSup>
                    <m:sSupPr>
                      <m:ctrlP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pPr>
                    <m:e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∗ (1+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)</m:t>
                      </m:r>
                    </m:e>
                    <m:sup>
                      <m:f>
                        <m:fPr>
                          <m:ctrlP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fPr>
                        <m:num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𝑛</m:t>
                          </m:r>
                        </m:num>
                        <m:den>
                          <m:r>
                            <a:rPr lang="pt-BR" sz="1200" b="0" i="1">
                              <a:solidFill>
                                <a:schemeClr val="tx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30</m:t>
                          </m:r>
                        </m:den>
                      </m:f>
                    </m:sup>
                  </m:sSup>
                </m:oMath>
              </a14:m>
              <a:r>
                <a:rPr lang="pt-BR" sz="1200"/>
                <a:t>] -1</a:t>
              </a:r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xmlns="" xmlns:a14="http://schemas.microsoft.com/office/drawing/2010/main" id="{00000000-0008-0000-0700-000002000000}"/>
                </a:ext>
              </a:extLst>
            </xdr:cNvPr>
            <xdr:cNvSpPr txBox="1"/>
          </xdr:nvSpPr>
          <xdr:spPr>
            <a:xfrm>
              <a:off x="2927317" y="1581149"/>
              <a:ext cx="2082833" cy="2525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200" b="0" i="0">
                  <a:latin typeface="Cambria Math" panose="02040503050406030204" pitchFamily="18" charset="0"/>
                </a:rPr>
                <a:t>𝑓</a:t>
              </a:r>
              <a:r>
                <a:rPr lang="pt-BR" sz="1200" i="0">
                  <a:latin typeface="Cambria Math" panose="02040503050406030204" pitchFamily="18" charset="0"/>
                </a:rPr>
                <a:t>=</a:t>
              </a:r>
              <a:r>
                <a:rPr lang="pt-BR" sz="1200"/>
                <a:t> [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〖(1+𝑖)〗^(𝑛/(30 )) 〖 ∗ (1+𝑖)〗^(𝑛/30)</a:t>
              </a:r>
              <a:r>
                <a:rPr lang="pt-BR" sz="1200"/>
                <a:t>] -1</a:t>
              </a:r>
            </a:p>
          </xdr:txBody>
        </xdr:sp>
      </mc:Fallback>
    </mc:AlternateContent>
    <xdr:clientData/>
  </xdr:oneCellAnchor>
  <xdr:oneCellAnchor>
    <xdr:from>
      <xdr:col>4</xdr:col>
      <xdr:colOff>304800</xdr:colOff>
      <xdr:row>27</xdr:row>
      <xdr:rowOff>167786</xdr:rowOff>
    </xdr:from>
    <xdr:ext cx="1768507" cy="22358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2943225" y="3863486"/>
              <a:ext cx="1768507" cy="223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200"/>
                <a:t>VF</a:t>
              </a:r>
              <a14:m>
                <m:oMath xmlns:m="http://schemas.openxmlformats.org/officeDocument/2006/math">
                  <m:r>
                    <a:rPr lang="pt-BR" sz="120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pt-BR" sz="1200"/>
                <a:t> PV * ( 1+</a:t>
              </a:r>
              <a:r>
                <a:rPr lang="pt-BR" sz="1200">
                  <a:latin typeface="Italic" panose="00000400000000000000" pitchFamily="2" charset="0"/>
                  <a:cs typeface="Italic" panose="00000400000000000000" pitchFamily="2" charset="0"/>
                </a:rPr>
                <a:t>f</a:t>
              </a:r>
              <a:r>
                <a:rPr lang="pt-BR" sz="1200">
                  <a:latin typeface="+mn-lt"/>
                  <a:cs typeface="Italic" panose="00000400000000000000" pitchFamily="2" charset="0"/>
                </a:rPr>
                <a:t> )</a:t>
              </a:r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xmlns="" xmlns:a14="http://schemas.microsoft.com/office/drawing/2010/main" id="{00000000-0008-0000-0A00-000009000000}"/>
                </a:ext>
              </a:extLst>
            </xdr:cNvPr>
            <xdr:cNvSpPr txBox="1"/>
          </xdr:nvSpPr>
          <xdr:spPr>
            <a:xfrm>
              <a:off x="2943225" y="3863486"/>
              <a:ext cx="1768507" cy="22358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BR" sz="1200"/>
                <a:t>VF</a:t>
              </a:r>
              <a:r>
                <a:rPr lang="pt-BR" sz="1200" i="0">
                  <a:latin typeface="Cambria Math" panose="02040503050406030204" pitchFamily="18" charset="0"/>
                </a:rPr>
                <a:t>=</a:t>
              </a:r>
              <a:r>
                <a:rPr lang="pt-BR" sz="1200"/>
                <a:t> PV * ( 1+</a:t>
              </a:r>
              <a:r>
                <a:rPr lang="pt-BR" sz="1200">
                  <a:latin typeface="Italic" panose="00000400000000000000" pitchFamily="2" charset="0"/>
                  <a:cs typeface="Italic" panose="00000400000000000000" pitchFamily="2" charset="0"/>
                </a:rPr>
                <a:t>f</a:t>
              </a:r>
              <a:r>
                <a:rPr lang="pt-BR" sz="1200">
                  <a:latin typeface="+mn-lt"/>
                  <a:cs typeface="Italic" panose="00000400000000000000" pitchFamily="2" charset="0"/>
                </a:rPr>
                <a:t> )</a:t>
              </a:r>
            </a:p>
          </xdr:txBody>
        </xdr:sp>
      </mc:Fallback>
    </mc:AlternateContent>
    <xdr:clientData/>
  </xdr:oneCellAnchor>
  <xdr:oneCellAnchor>
    <xdr:from>
      <xdr:col>3</xdr:col>
      <xdr:colOff>971550</xdr:colOff>
      <xdr:row>9</xdr:row>
      <xdr:rowOff>66675</xdr:rowOff>
    </xdr:from>
    <xdr:ext cx="2124075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2495550" y="1514475"/>
              <a:ext cx="2124075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T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pt-BR" sz="1200" b="0" i="0">
                      <a:latin typeface="Cambria Math" panose="02040503050406030204" pitchFamily="18" charset="0"/>
                    </a:rPr>
                    <m:t>F</m:t>
                  </m:r>
                  <m:r>
                    <a:rPr lang="pt-BR" sz="12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l-GR" sz="1200" b="0" i="1">
                              <a:latin typeface="Cambria Math" panose="02040503050406030204" pitchFamily="18" charset="0"/>
                            </a:rPr>
                            <m:t>𝛴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𝑀𝑗</m:t>
                          </m:r>
                        </m:num>
                        <m:den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𝑀𝐷𝑂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+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𝑀𝐴𝑇</m:t>
                          </m:r>
                        </m:den>
                      </m:f>
                    </m:e>
                  </m:d>
                  <m:r>
                    <a:rPr lang="pt-BR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sz="1200" b="0" i="0">
                      <a:latin typeface="Cambria Math"/>
                    </a:rPr>
                    <m:t>x</m:t>
                  </m:r>
                  <m:r>
                    <a:rPr lang="en-US" sz="12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0">
                      <a:latin typeface="Cambria Math"/>
                    </a:rPr>
                    <m:t>100=</m:t>
                  </m:r>
                </m:oMath>
              </a14:m>
              <a:endParaRPr lang="pt-BR" sz="1200"/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="" xmlns:a16="http://schemas.microsoft.com/office/drawing/2014/main" xmlns:a14="http://schemas.microsoft.com/office/drawing/2010/main" id="{00000000-0008-0000-0700-000008000000}"/>
                </a:ext>
              </a:extLst>
            </xdr:cNvPr>
            <xdr:cNvSpPr txBox="1"/>
          </xdr:nvSpPr>
          <xdr:spPr>
            <a:xfrm>
              <a:off x="2495550" y="1514475"/>
              <a:ext cx="2124075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T</a:t>
              </a:r>
              <a:r>
                <a:rPr lang="pt-BR" sz="1200" b="0" i="0">
                  <a:latin typeface="Cambria Math" panose="02040503050406030204" pitchFamily="18" charset="0"/>
                </a:rPr>
                <a:t>F</a:t>
              </a:r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</a:t>
              </a:r>
              <a:r>
                <a:rPr lang="el-GR" sz="1200" b="0" i="0">
                  <a:latin typeface="Cambria Math" panose="02040503050406030204" pitchFamily="18" charset="0"/>
                </a:rPr>
                <a:t>𝛴</a:t>
              </a:r>
              <a:r>
                <a:rPr lang="pt-BR" sz="1200" b="0" i="0">
                  <a:latin typeface="Cambria Math" panose="02040503050406030204" pitchFamily="18" charset="0"/>
                </a:rPr>
                <a:t>𝑀𝑗/(𝑀𝐷𝑂+𝑀𝐴𝑇)]  </a:t>
              </a:r>
              <a:r>
                <a:rPr lang="en-US" sz="1200" b="0" i="0">
                  <a:latin typeface="Cambria Math"/>
                </a:rPr>
                <a:t>x</a:t>
              </a:r>
              <a:r>
                <a:rPr lang="en-US" sz="1200" b="0" i="0">
                  <a:latin typeface="Cambria Math" panose="02040503050406030204" pitchFamily="18" charset="0"/>
                </a:rPr>
                <a:t> </a:t>
              </a:r>
              <a:r>
                <a:rPr lang="en-US" sz="1200" b="0" i="0">
                  <a:latin typeface="Cambria Math"/>
                </a:rPr>
                <a:t>100=</a:t>
              </a:r>
              <a:endParaRPr lang="pt-BR" sz="1200"/>
            </a:p>
          </xdr:txBody>
        </xdr:sp>
      </mc:Fallback>
    </mc:AlternateContent>
    <xdr:clientData/>
  </xdr:oneCellAnchor>
  <xdr:twoCellAnchor editAs="oneCell">
    <xdr:from>
      <xdr:col>8</xdr:col>
      <xdr:colOff>0</xdr:colOff>
      <xdr:row>21</xdr:row>
      <xdr:rowOff>114179</xdr:rowOff>
    </xdr:from>
    <xdr:to>
      <xdr:col>9</xdr:col>
      <xdr:colOff>219285</xdr:colOff>
      <xdr:row>23</xdr:row>
      <xdr:rowOff>85786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rgbClr val="D9C3A5">
              <a:tint val="50000"/>
              <a:satMod val="18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0150" y="3905129"/>
          <a:ext cx="1276560" cy="371657"/>
        </a:xfrm>
        <a:prstGeom prst="rect">
          <a:avLst/>
        </a:prstGeom>
      </xdr:spPr>
    </xdr:pic>
    <xdr:clientData/>
  </xdr:twoCellAnchor>
  <xdr:twoCellAnchor>
    <xdr:from>
      <xdr:col>3</xdr:col>
      <xdr:colOff>323849</xdr:colOff>
      <xdr:row>1</xdr:row>
      <xdr:rowOff>0</xdr:rowOff>
    </xdr:from>
    <xdr:to>
      <xdr:col>3</xdr:col>
      <xdr:colOff>323849</xdr:colOff>
      <xdr:row>3</xdr:row>
      <xdr:rowOff>193950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CxnSpPr/>
      </xdr:nvCxnSpPr>
      <xdr:spPr>
        <a:xfrm flipV="1">
          <a:off x="1676399" y="0"/>
          <a:ext cx="0" cy="5940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14</xdr:row>
      <xdr:rowOff>40004</xdr:rowOff>
    </xdr:from>
    <xdr:to>
      <xdr:col>9</xdr:col>
      <xdr:colOff>114300</xdr:colOff>
      <xdr:row>17</xdr:row>
      <xdr:rowOff>142874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DEEBF4"/>
            </a:clrFrom>
            <a:clrTo>
              <a:srgbClr val="DEEBF4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3399" y="3573779"/>
          <a:ext cx="1171575" cy="702945"/>
        </a:xfrm>
        <a:prstGeom prst="rect">
          <a:avLst/>
        </a:prstGeom>
      </xdr:spPr>
    </xdr:pic>
    <xdr:clientData/>
  </xdr:twoCellAnchor>
  <xdr:twoCellAnchor editAs="oneCell">
    <xdr:from>
      <xdr:col>10</xdr:col>
      <xdr:colOff>131234</xdr:colOff>
      <xdr:row>50</xdr:row>
      <xdr:rowOff>83608</xdr:rowOff>
    </xdr:from>
    <xdr:to>
      <xdr:col>16</xdr:col>
      <xdr:colOff>67998</xdr:colOff>
      <xdr:row>66</xdr:row>
      <xdr:rowOff>167874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8E9842D-48C7-4FF1-BF2E-94D8836B6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497484" y="10084858"/>
          <a:ext cx="6339681" cy="322751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219075</xdr:colOff>
      <xdr:row>140</xdr:row>
      <xdr:rowOff>85725</xdr:rowOff>
    </xdr:from>
    <xdr:to>
      <xdr:col>11</xdr:col>
      <xdr:colOff>619125</xdr:colOff>
      <xdr:row>140</xdr:row>
      <xdr:rowOff>85725</xdr:rowOff>
    </xdr:to>
    <xdr:cxnSp macro="">
      <xdr:nvCxnSpPr>
        <xdr:cNvPr id="3" name="Conector de seta reta 10">
          <a:extLst>
            <a:ext uri="{FF2B5EF4-FFF2-40B4-BE49-F238E27FC236}">
              <a16:creationId xmlns:a16="http://schemas.microsoft.com/office/drawing/2014/main" id="{463A757F-2478-4137-9ABF-A949108CFB7B}"/>
            </a:ext>
          </a:extLst>
        </xdr:cNvPr>
        <xdr:cNvCxnSpPr/>
      </xdr:nvCxnSpPr>
      <xdr:spPr>
        <a:xfrm flipH="1">
          <a:off x="6467475" y="23793450"/>
          <a:ext cx="400050" cy="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</xdr:col>
      <xdr:colOff>704849</xdr:colOff>
      <xdr:row>106</xdr:row>
      <xdr:rowOff>47625</xdr:rowOff>
    </xdr:from>
    <xdr:ext cx="3060000" cy="432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8B060C78-9B87-4154-A181-FDE4A7FBE1C9}"/>
                </a:ext>
              </a:extLst>
            </xdr:cNvPr>
            <xdr:cNvSpPr txBox="1"/>
          </xdr:nvSpPr>
          <xdr:spPr>
            <a:xfrm>
              <a:off x="4114799" y="18249900"/>
              <a:ext cx="3060000" cy="432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A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pt-BR" sz="1200" b="0" i="0">
                      <a:latin typeface="Cambria Math" panose="02040503050406030204" pitchFamily="18" charset="0"/>
                    </a:rPr>
                    <m:t>C</m:t>
                  </m:r>
                  <m:r>
                    <a:rPr lang="pt-BR" sz="12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𝑉𝐴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 −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𝑉𝑅</m:t>
                          </m:r>
                        </m:num>
                        <m:den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2 ∗ 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𝑉𝑑𝑈𝑡</m:t>
                          </m:r>
                        </m:den>
                      </m:f>
                    </m:e>
                  </m:d>
                  <m:r>
                    <a:rPr lang="pt-BR" sz="12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0">
                      <a:latin typeface="Cambria Math"/>
                    </a:rPr>
                    <m:t>=</m:t>
                  </m:r>
                </m:oMath>
              </a14:m>
              <a:r>
                <a:rPr lang="pt-BR" sz="1200"/>
                <a:t> Amortização do Capital</a:t>
              </a:r>
              <a:r>
                <a:rPr lang="pt-BR" sz="1200" baseline="0"/>
                <a:t> </a:t>
              </a:r>
              <a:endParaRPr lang="pt-BR" sz="12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8B060C78-9B87-4154-A181-FDE4A7FBE1C9}"/>
                </a:ext>
              </a:extLst>
            </xdr:cNvPr>
            <xdr:cNvSpPr txBox="1"/>
          </xdr:nvSpPr>
          <xdr:spPr>
            <a:xfrm>
              <a:off x="4114799" y="18249900"/>
              <a:ext cx="3060000" cy="432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A</a:t>
              </a:r>
              <a:r>
                <a:rPr lang="pt-BR" sz="1200" b="0" i="0">
                  <a:latin typeface="Cambria Math" panose="02040503050406030204" pitchFamily="18" charset="0"/>
                </a:rPr>
                <a:t>C</a:t>
              </a:r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[(𝑉𝐴 − 𝑉𝑅)/(2 ∗ 𝑉𝑑𝑈𝑡)]  </a:t>
              </a:r>
              <a:r>
                <a:rPr lang="en-US" sz="1200" b="0" i="0">
                  <a:latin typeface="Cambria Math"/>
                </a:rPr>
                <a:t>=</a:t>
              </a:r>
              <a:r>
                <a:rPr lang="pt-BR" sz="1200"/>
                <a:t> Amortização do Capital</a:t>
              </a:r>
              <a:r>
                <a:rPr lang="pt-BR" sz="1200" baseline="0"/>
                <a:t> 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10</xdr:col>
      <xdr:colOff>272498</xdr:colOff>
      <xdr:row>111</xdr:row>
      <xdr:rowOff>14908</xdr:rowOff>
    </xdr:from>
    <xdr:ext cx="3240000" cy="432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5C2D77E1-E0F5-49C4-812A-BF5DDB41ADD1}"/>
                </a:ext>
              </a:extLst>
            </xdr:cNvPr>
            <xdr:cNvSpPr txBox="1"/>
          </xdr:nvSpPr>
          <xdr:spPr>
            <a:xfrm>
              <a:off x="5873198" y="19026808"/>
              <a:ext cx="3240000" cy="432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CCp</a:t>
              </a:r>
              <a14:m>
                <m:oMath xmlns:m="http://schemas.openxmlformats.org/officeDocument/2006/math">
                  <m:r>
                    <a:rPr lang="pt-BR" sz="14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4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4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𝑉𝐴</m:t>
                          </m:r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 ∗ </m:t>
                          </m:r>
                          <m:d>
                            <m:dPr>
                              <m:ctrlPr>
                                <a:rPr lang="pt-BR" sz="1400" b="0" i="1">
                                  <a:latin typeface="Cambria Math" panose="02040503050406030204" pitchFamily="18" charset="0"/>
                                </a:rPr>
                              </m:ctrlPr>
                            </m:dPr>
                            <m:e>
                              <m:r>
                                <a:rPr lang="pt-BR" sz="1400" b="0" i="1">
                                  <a:latin typeface="Cambria Math" panose="02040503050406030204" pitchFamily="18" charset="0"/>
                                </a:rPr>
                                <m:t>𝑁</m:t>
                              </m:r>
                              <m:r>
                                <a:rPr lang="pt-BR" sz="1400" b="0" i="1">
                                  <a:latin typeface="Cambria Math" panose="02040503050406030204" pitchFamily="18" charset="0"/>
                                </a:rPr>
                                <m:t>+1 </m:t>
                              </m:r>
                            </m:e>
                          </m:d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 ∗ </m:t>
                          </m:r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𝑖</m:t>
                          </m:r>
                        </m:num>
                        <m:den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2 ∗ </m:t>
                          </m:r>
                          <m:r>
                            <a:rPr lang="pt-BR" sz="1400" b="0" i="1">
                              <a:latin typeface="Cambria Math" panose="02040503050406030204" pitchFamily="18" charset="0"/>
                            </a:rPr>
                            <m:t>𝑉𝑑𝑈𝑡</m:t>
                          </m:r>
                        </m:den>
                      </m:f>
                    </m:e>
                  </m:d>
                  <m:r>
                    <a:rPr lang="pt-BR" sz="14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400" b="0" i="0">
                      <a:latin typeface="Cambria Math"/>
                    </a:rPr>
                    <m:t>=</m:t>
                  </m:r>
                </m:oMath>
              </a14:m>
              <a:r>
                <a:rPr lang="pt-BR" sz="1200"/>
                <a:t> Correção do Capital</a:t>
              </a:r>
              <a:r>
                <a:rPr lang="pt-BR" sz="1200" baseline="0"/>
                <a:t> </a:t>
              </a:r>
              <a:endParaRPr lang="pt-BR" sz="12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5C2D77E1-E0F5-49C4-812A-BF5DDB41ADD1}"/>
                </a:ext>
              </a:extLst>
            </xdr:cNvPr>
            <xdr:cNvSpPr txBox="1"/>
          </xdr:nvSpPr>
          <xdr:spPr>
            <a:xfrm>
              <a:off x="5873198" y="19026808"/>
              <a:ext cx="3240000" cy="432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CCp</a:t>
              </a:r>
              <a:r>
                <a:rPr lang="pt-BR" sz="1400" b="0" i="0">
                  <a:latin typeface="Cambria Math"/>
                </a:rPr>
                <a:t>=</a:t>
              </a:r>
              <a:r>
                <a:rPr lang="pt-BR" sz="1400" b="0" i="0">
                  <a:latin typeface="Cambria Math" panose="02040503050406030204" pitchFamily="18" charset="0"/>
                </a:rPr>
                <a:t>[(𝑉𝐴 ∗ (𝑁+1 )  ∗ 𝑖)/(2 ∗ 𝑉𝑑𝑈𝑡)]  </a:t>
              </a:r>
              <a:r>
                <a:rPr lang="en-US" sz="1400" b="0" i="0">
                  <a:latin typeface="Cambria Math"/>
                </a:rPr>
                <a:t>=</a:t>
              </a:r>
              <a:r>
                <a:rPr lang="pt-BR" sz="1200"/>
                <a:t> Correção do Capital</a:t>
              </a:r>
              <a:r>
                <a:rPr lang="pt-BR" sz="1200" baseline="0"/>
                <a:t> 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7</xdr:col>
      <xdr:colOff>803417</xdr:colOff>
      <xdr:row>115</xdr:row>
      <xdr:rowOff>130865</xdr:rowOff>
    </xdr:from>
    <xdr:ext cx="288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69481B88-7EB0-4F7A-BC0A-324DB08E8350}"/>
                </a:ext>
              </a:extLst>
            </xdr:cNvPr>
            <xdr:cNvSpPr txBox="1"/>
          </xdr:nvSpPr>
          <xdr:spPr>
            <a:xfrm>
              <a:off x="4184792" y="19790465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CM</a:t>
              </a:r>
              <a14:m>
                <m:oMath xmlns:m="http://schemas.openxmlformats.org/officeDocument/2006/math">
                  <m:r>
                    <a:rPr lang="pt-BR" sz="1100" b="0" i="1">
                      <a:latin typeface="Cambria Math"/>
                    </a:rPr>
                    <m:t>=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𝐴𝐶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 ∗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𝐹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m</m:t>
                  </m:r>
                  <m:r>
                    <a:rPr lang="pt-BR" sz="1100" b="0" i="0">
                      <a:latin typeface="Cambria Math" panose="02040503050406030204" pitchFamily="18" charset="0"/>
                    </a:rPr>
                    <m:t> =</m:t>
                  </m:r>
                </m:oMath>
              </a14:m>
              <a:r>
                <a:rPr lang="pt-BR" sz="1100"/>
                <a:t> </a:t>
              </a:r>
              <a:r>
                <a:rPr lang="pt-BR" sz="1200"/>
                <a:t>Custo de Manutenção</a:t>
              </a:r>
            </a:p>
          </xdr:txBody>
        </xdr:sp>
      </mc:Choice>
      <mc:Fallback xmlns="">
        <xdr:sp macro="" textlink="">
          <xdr:nvSpPr>
            <xdr:cNvPr id="6" name="CaixaDeTexto 5">
              <a:extLst>
                <a:ext uri="{FF2B5EF4-FFF2-40B4-BE49-F238E27FC236}">
                  <a16:creationId xmlns:a16="http://schemas.microsoft.com/office/drawing/2014/main" id="{69481B88-7EB0-4F7A-BC0A-324DB08E8350}"/>
                </a:ext>
              </a:extLst>
            </xdr:cNvPr>
            <xdr:cNvSpPr txBox="1"/>
          </xdr:nvSpPr>
          <xdr:spPr>
            <a:xfrm>
              <a:off x="4184792" y="19790465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CM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latin typeface="Cambria Math" panose="02040503050406030204" pitchFamily="18" charset="0"/>
                </a:rPr>
                <a:t>𝐴𝐶 ∗𝐹m =</a:t>
              </a:r>
              <a:r>
                <a:rPr lang="pt-BR" sz="1100"/>
                <a:t> </a:t>
              </a:r>
              <a:r>
                <a:rPr lang="pt-BR" sz="1200"/>
                <a:t>Custo de Manutenção</a:t>
              </a:r>
            </a:p>
          </xdr:txBody>
        </xdr:sp>
      </mc:Fallback>
    </mc:AlternateContent>
    <xdr:clientData/>
  </xdr:oneCellAnchor>
  <xdr:oneCellAnchor>
    <xdr:from>
      <xdr:col>7</xdr:col>
      <xdr:colOff>805485</xdr:colOff>
      <xdr:row>119</xdr:row>
      <xdr:rowOff>18221</xdr:rowOff>
    </xdr:from>
    <xdr:ext cx="288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3817A18F-B37A-460F-ADD6-308FD05BF9CA}"/>
                </a:ext>
              </a:extLst>
            </xdr:cNvPr>
            <xdr:cNvSpPr txBox="1"/>
          </xdr:nvSpPr>
          <xdr:spPr>
            <a:xfrm>
              <a:off x="4177335" y="20325521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</a:t>
              </a:r>
              <a14:m>
                <m:oMath xmlns:m="http://schemas.openxmlformats.org/officeDocument/2006/math">
                  <m:r>
                    <a:rPr lang="pt-BR" sz="1100" b="0" i="1">
                      <a:latin typeface="Cambria Math"/>
                    </a:rPr>
                    <m:t>=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𝐻𝑃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 ∗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𝐹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c</m:t>
                  </m:r>
                  <m:r>
                    <a:rPr lang="pt-BR" sz="11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Vc</m:t>
                  </m:r>
                  <m:r>
                    <a:rPr lang="en-US" sz="1100" b="0" i="0">
                      <a:latin typeface="Cambria Math"/>
                    </a:rPr>
                    <m:t>=</m:t>
                  </m:r>
                </m:oMath>
              </a14:m>
              <a:r>
                <a:rPr lang="pt-BR" sz="1100"/>
                <a:t> </a:t>
              </a:r>
              <a:r>
                <a:rPr lang="pt-BR" sz="1200"/>
                <a:t>Custo de Combustível</a:t>
              </a:r>
            </a:p>
          </xdr:txBody>
        </xdr:sp>
      </mc:Choice>
      <mc:Fallback xmlns="">
        <xdr:sp macro="" textlink="">
          <xdr:nvSpPr>
            <xdr:cNvPr id="7" name="CaixaDeTexto 6">
              <a:extLst>
                <a:ext uri="{FF2B5EF4-FFF2-40B4-BE49-F238E27FC236}">
                  <a16:creationId xmlns:a16="http://schemas.microsoft.com/office/drawing/2014/main" id="{3817A18F-B37A-460F-ADD6-308FD05BF9CA}"/>
                </a:ext>
              </a:extLst>
            </xdr:cNvPr>
            <xdr:cNvSpPr txBox="1"/>
          </xdr:nvSpPr>
          <xdr:spPr>
            <a:xfrm>
              <a:off x="4177335" y="20325521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latin typeface="Cambria Math" panose="02040503050406030204" pitchFamily="18" charset="0"/>
                </a:rPr>
                <a:t>𝐻𝑃 ∗𝐹c ∗Vc</a:t>
              </a:r>
              <a:r>
                <a:rPr lang="en-US" sz="1100" b="0" i="0">
                  <a:latin typeface="Cambria Math"/>
                </a:rPr>
                <a:t>=</a:t>
              </a:r>
              <a:r>
                <a:rPr lang="pt-BR" sz="1100"/>
                <a:t> </a:t>
              </a:r>
              <a:r>
                <a:rPr lang="pt-BR" sz="1200"/>
                <a:t>Custo de Combustível</a:t>
              </a:r>
            </a:p>
          </xdr:txBody>
        </xdr:sp>
      </mc:Fallback>
    </mc:AlternateContent>
    <xdr:clientData/>
  </xdr:oneCellAnchor>
  <xdr:oneCellAnchor>
    <xdr:from>
      <xdr:col>7</xdr:col>
      <xdr:colOff>808796</xdr:colOff>
      <xdr:row>123</xdr:row>
      <xdr:rowOff>21534</xdr:rowOff>
    </xdr:from>
    <xdr:ext cx="252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31DD8BA-C601-4477-B411-E44C140132CE}"/>
                </a:ext>
              </a:extLst>
            </xdr:cNvPr>
            <xdr:cNvSpPr txBox="1"/>
          </xdr:nvSpPr>
          <xdr:spPr>
            <a:xfrm>
              <a:off x="4180646" y="20976534"/>
              <a:ext cx="252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CL</a:t>
              </a:r>
              <a14:m>
                <m:oMath xmlns:m="http://schemas.openxmlformats.org/officeDocument/2006/math"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𝐶𝐶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∗15%=</m:t>
                  </m:r>
                </m:oMath>
              </a14:m>
              <a:r>
                <a:rPr lang="pt-BR" sz="1100"/>
                <a:t> Custo de Lubrificantes</a:t>
              </a:r>
              <a:endParaRPr lang="pt-BR" sz="1200"/>
            </a:p>
          </xdr:txBody>
        </xdr:sp>
      </mc:Choice>
      <mc:Fallback xmlns="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431DD8BA-C601-4477-B411-E44C140132CE}"/>
                </a:ext>
              </a:extLst>
            </xdr:cNvPr>
            <xdr:cNvSpPr txBox="1"/>
          </xdr:nvSpPr>
          <xdr:spPr>
            <a:xfrm>
              <a:off x="4180646" y="20976534"/>
              <a:ext cx="252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CL</a:t>
              </a:r>
              <a:r>
                <a:rPr lang="pt-BR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=𝐶𝐶 ∗15%=</a:t>
              </a:r>
              <a:r>
                <a:rPr lang="pt-BR" sz="1100"/>
                <a:t> Custo de Lubrificantes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10</xdr:col>
      <xdr:colOff>467553</xdr:colOff>
      <xdr:row>132</xdr:row>
      <xdr:rowOff>28160</xdr:rowOff>
    </xdr:from>
    <xdr:ext cx="288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9EDCFA8F-B816-477F-84BA-6BAC04388419}"/>
                </a:ext>
              </a:extLst>
            </xdr:cNvPr>
            <xdr:cNvSpPr txBox="1"/>
          </xdr:nvSpPr>
          <xdr:spPr>
            <a:xfrm>
              <a:off x="6068253" y="22440485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CA</a:t>
              </a:r>
              <a14:m>
                <m:oMath xmlns:m="http://schemas.openxmlformats.org/officeDocument/2006/math"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𝑉𝑛𝐴𝑑𝑖𝑐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∗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𝐹𝑛𝐴𝑑𝑖𝑐</m:t>
                  </m:r>
                  <m:r>
                    <a:rPr lang="en-US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pt-BR" sz="1100"/>
                <a:t> Custo Adicionais</a:t>
              </a:r>
              <a:endParaRPr lang="pt-BR" sz="1200"/>
            </a:p>
          </xdr:txBody>
        </xdr:sp>
      </mc:Choice>
      <mc:Fallback xmlns="">
        <xdr:sp macro="" textlink="">
          <xdr:nvSpPr>
            <xdr:cNvPr id="9" name="CaixaDeTexto 8">
              <a:extLst>
                <a:ext uri="{FF2B5EF4-FFF2-40B4-BE49-F238E27FC236}">
                  <a16:creationId xmlns:a16="http://schemas.microsoft.com/office/drawing/2014/main" id="{9EDCFA8F-B816-477F-84BA-6BAC04388419}"/>
                </a:ext>
              </a:extLst>
            </xdr:cNvPr>
            <xdr:cNvSpPr txBox="1"/>
          </xdr:nvSpPr>
          <xdr:spPr>
            <a:xfrm>
              <a:off x="6068253" y="22440485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CA</a:t>
              </a:r>
              <a:r>
                <a:rPr lang="pt-BR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=𝑉𝑛𝐴𝑑𝑖𝑐 ∗𝐹𝑛𝐴𝑑𝑖𝑐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pt-BR" sz="1100"/>
                <a:t> Custo Adicionais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7</xdr:col>
      <xdr:colOff>818735</xdr:colOff>
      <xdr:row>129</xdr:row>
      <xdr:rowOff>23190</xdr:rowOff>
    </xdr:from>
    <xdr:ext cx="2880000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5C8D752D-DAB3-4A2A-BC24-CA97C2132EC8}"/>
                </a:ext>
              </a:extLst>
            </xdr:cNvPr>
            <xdr:cNvSpPr txBox="1"/>
          </xdr:nvSpPr>
          <xdr:spPr>
            <a:xfrm>
              <a:off x="4181060" y="21949740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CEE</a:t>
              </a:r>
              <a14:m>
                <m:oMath xmlns:m="http://schemas.openxmlformats.org/officeDocument/2006/math"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𝑘𝑊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∗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𝑉𝑒𝑒</m:t>
                  </m:r>
                  <m:r>
                    <a:rPr lang="en-US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r>
                <a:rPr lang="pt-BR" sz="1100"/>
                <a:t> Custo Energia Elétrica</a:t>
              </a:r>
              <a:endParaRPr lang="pt-BR" sz="1200"/>
            </a:p>
          </xdr:txBody>
        </xdr:sp>
      </mc:Choice>
      <mc:Fallback xmlns="">
        <xdr:sp macro="" textlink="">
          <xdr:nvSpPr>
            <xdr:cNvPr id="10" name="CaixaDeTexto 9">
              <a:extLst>
                <a:ext uri="{FF2B5EF4-FFF2-40B4-BE49-F238E27FC236}">
                  <a16:creationId xmlns:a16="http://schemas.microsoft.com/office/drawing/2014/main" id="{5C8D752D-DAB3-4A2A-BC24-CA97C2132EC8}"/>
                </a:ext>
              </a:extLst>
            </xdr:cNvPr>
            <xdr:cNvSpPr txBox="1"/>
          </xdr:nvSpPr>
          <xdr:spPr>
            <a:xfrm>
              <a:off x="4181060" y="21949740"/>
              <a:ext cx="2880000" cy="288000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CEE</a:t>
              </a:r>
              <a:r>
                <a:rPr lang="pt-BR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=𝑘𝑊 ∗𝑉𝑒𝑒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pt-BR" sz="1100"/>
                <a:t> Custo Energia Elétrica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7</xdr:col>
      <xdr:colOff>538368</xdr:colOff>
      <xdr:row>11</xdr:row>
      <xdr:rowOff>24846</xdr:rowOff>
    </xdr:from>
    <xdr:ext cx="1639957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4CF57D62-C978-4016-BBDF-42A5C4C8CBB3}"/>
                </a:ext>
              </a:extLst>
            </xdr:cNvPr>
            <xdr:cNvSpPr txBox="1"/>
          </xdr:nvSpPr>
          <xdr:spPr>
            <a:xfrm>
              <a:off x="3948318" y="1977471"/>
              <a:ext cx="1639957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P</a:t>
              </a:r>
              <a:r>
                <a:rPr lang="pt-BR" sz="1200" b="0" i="0" baseline="-25000">
                  <a:latin typeface="+mn-lt"/>
                </a:rPr>
                <a:t>1,2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𝑉𝑎𝑙𝑜𝑟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𝑑𝑜𝑠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𝑝𝑛𝑒𝑢𝑠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𝑉𝑖𝑑𝑎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ú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𝑡𝑖𝑙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1" name="CaixaDeTexto 10">
              <a:extLst>
                <a:ext uri="{FF2B5EF4-FFF2-40B4-BE49-F238E27FC236}">
                  <a16:creationId xmlns:a16="http://schemas.microsoft.com/office/drawing/2014/main" id="{4CF57D62-C978-4016-BBDF-42A5C4C8CBB3}"/>
                </a:ext>
              </a:extLst>
            </xdr:cNvPr>
            <xdr:cNvSpPr txBox="1"/>
          </xdr:nvSpPr>
          <xdr:spPr>
            <a:xfrm>
              <a:off x="3948318" y="1977471"/>
              <a:ext cx="1639957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P</a:t>
              </a:r>
              <a:r>
                <a:rPr lang="pt-BR" sz="1200" b="0" i="0" baseline="-25000">
                  <a:latin typeface="+mn-lt"/>
                </a:rPr>
                <a:t>1,2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(𝑉𝑎𝑙𝑜𝑟 𝑑𝑜𝑠 𝑝𝑛𝑒𝑢𝑠)/(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𝑉𝑖𝑑𝑎 ú𝑡𝑖𝑙)=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739635</xdr:colOff>
      <xdr:row>11</xdr:row>
      <xdr:rowOff>19879</xdr:rowOff>
    </xdr:from>
    <xdr:ext cx="1515718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B505035-4C7A-449B-9D64-6475EE96A65E}"/>
                </a:ext>
              </a:extLst>
            </xdr:cNvPr>
            <xdr:cNvSpPr txBox="1"/>
          </xdr:nvSpPr>
          <xdr:spPr>
            <a:xfrm>
              <a:off x="6892785" y="1972504"/>
              <a:ext cx="1515718" cy="28800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</a:t>
              </a:r>
              <a14:m>
                <m:oMath xmlns:m="http://schemas.openxmlformats.org/officeDocument/2006/math">
                  <m:r>
                    <a:rPr lang="pt-BR" sz="1100" b="0" i="1">
                      <a:latin typeface="Cambria Math"/>
                    </a:rPr>
                    <m:t>=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𝐻𝑃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 ∗</m:t>
                  </m:r>
                  <m:r>
                    <a:rPr lang="pt-BR" sz="1100" b="0" i="1">
                      <a:latin typeface="Cambria Math" panose="02040503050406030204" pitchFamily="18" charset="0"/>
                    </a:rPr>
                    <m:t>𝐹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c</m:t>
                  </m:r>
                  <m:r>
                    <a:rPr lang="pt-BR" sz="1100" b="0" i="0">
                      <a:latin typeface="Cambria Math" panose="02040503050406030204" pitchFamily="18" charset="0"/>
                    </a:rPr>
                    <m:t> ∗</m:t>
                  </m:r>
                  <m:r>
                    <m:rPr>
                      <m:sty m:val="p"/>
                    </m:rPr>
                    <a:rPr lang="pt-BR" sz="1100" b="0" i="0">
                      <a:latin typeface="Cambria Math" panose="02040503050406030204" pitchFamily="18" charset="0"/>
                    </a:rPr>
                    <m:t>Vc</m:t>
                  </m:r>
                  <m:r>
                    <a:rPr lang="en-US" sz="1100" b="0" i="0">
                      <a:latin typeface="Cambria Math"/>
                    </a:rPr>
                    <m:t>=</m:t>
                  </m:r>
                </m:oMath>
              </a14:m>
              <a:endParaRPr lang="pt-BR" sz="1200"/>
            </a:p>
          </xdr:txBody>
        </xdr:sp>
      </mc:Choice>
      <mc:Fallback xmlns="">
        <xdr:sp macro="" textlink="">
          <xdr:nvSpPr>
            <xdr:cNvPr id="12" name="CaixaDeTexto 11">
              <a:extLst>
                <a:ext uri="{FF2B5EF4-FFF2-40B4-BE49-F238E27FC236}">
                  <a16:creationId xmlns:a16="http://schemas.microsoft.com/office/drawing/2014/main" id="{0B505035-4C7A-449B-9D64-6475EE96A65E}"/>
                </a:ext>
              </a:extLst>
            </xdr:cNvPr>
            <xdr:cNvSpPr txBox="1"/>
          </xdr:nvSpPr>
          <xdr:spPr>
            <a:xfrm>
              <a:off x="6892785" y="1972504"/>
              <a:ext cx="1515718" cy="28800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CC</a:t>
              </a:r>
              <a:r>
                <a:rPr lang="pt-BR" sz="1100" b="0" i="0">
                  <a:latin typeface="Cambria Math"/>
                </a:rPr>
                <a:t>=</a:t>
              </a:r>
              <a:r>
                <a:rPr lang="pt-BR" sz="1100" b="0" i="0">
                  <a:latin typeface="Cambria Math" panose="02040503050406030204" pitchFamily="18" charset="0"/>
                </a:rPr>
                <a:t>𝐻𝑃 ∗𝐹c ∗Vc</a:t>
              </a:r>
              <a:r>
                <a:rPr lang="en-US" sz="1100" b="0" i="0">
                  <a:latin typeface="Cambria Math"/>
                </a:rPr>
                <a:t>=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15</xdr:col>
      <xdr:colOff>176420</xdr:colOff>
      <xdr:row>11</xdr:row>
      <xdr:rowOff>21120</xdr:rowOff>
    </xdr:from>
    <xdr:ext cx="1258957" cy="288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96264D6B-B81E-468E-B181-5B5A0BAB0C72}"/>
                </a:ext>
              </a:extLst>
            </xdr:cNvPr>
            <xdr:cNvSpPr txBox="1"/>
          </xdr:nvSpPr>
          <xdr:spPr>
            <a:xfrm>
              <a:off x="8910845" y="1973745"/>
              <a:ext cx="1258957" cy="28800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CL</a:t>
              </a:r>
              <a14:m>
                <m:oMath xmlns:m="http://schemas.openxmlformats.org/officeDocument/2006/math"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𝐶𝐶</m:t>
                  </m:r>
                  <m:r>
                    <a:rPr lang="pt-BR" sz="11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 ∗15%=</m:t>
                  </m:r>
                </m:oMath>
              </a14:m>
              <a:r>
                <a:rPr lang="pt-BR" sz="1100"/>
                <a:t> </a:t>
              </a:r>
              <a:endParaRPr lang="pt-BR" sz="1200"/>
            </a:p>
          </xdr:txBody>
        </xdr:sp>
      </mc:Choice>
      <mc:Fallback xmlns="">
        <xdr:sp macro="" textlink="">
          <xdr:nvSpPr>
            <xdr:cNvPr id="13" name="CaixaDeTexto 12">
              <a:extLst>
                <a:ext uri="{FF2B5EF4-FFF2-40B4-BE49-F238E27FC236}">
                  <a16:creationId xmlns:a16="http://schemas.microsoft.com/office/drawing/2014/main" id="{96264D6B-B81E-468E-B181-5B5A0BAB0C72}"/>
                </a:ext>
              </a:extLst>
            </xdr:cNvPr>
            <xdr:cNvSpPr txBox="1"/>
          </xdr:nvSpPr>
          <xdr:spPr>
            <a:xfrm>
              <a:off x="8910845" y="1973745"/>
              <a:ext cx="1258957" cy="288000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CL</a:t>
              </a:r>
              <a:r>
                <a:rPr lang="pt-BR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=𝐶𝐶 ∗15%=</a:t>
              </a:r>
              <a:r>
                <a:rPr lang="pt-BR" sz="1100"/>
                <a:t> </a:t>
              </a:r>
              <a:endParaRPr lang="pt-BR" sz="1200"/>
            </a:p>
          </xdr:txBody>
        </xdr:sp>
      </mc:Fallback>
    </mc:AlternateContent>
    <xdr:clientData/>
  </xdr:oneCellAnchor>
  <xdr:oneCellAnchor>
    <xdr:from>
      <xdr:col>18</xdr:col>
      <xdr:colOff>135834</xdr:colOff>
      <xdr:row>11</xdr:row>
      <xdr:rowOff>22360</xdr:rowOff>
    </xdr:from>
    <xdr:ext cx="1639957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42A1BE89-D2B2-46F4-88FF-63B48C36CDA5}"/>
                </a:ext>
              </a:extLst>
            </xdr:cNvPr>
            <xdr:cNvSpPr txBox="1"/>
          </xdr:nvSpPr>
          <xdr:spPr>
            <a:xfrm>
              <a:off x="10956234" y="1974985"/>
              <a:ext cx="1639957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Fl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ó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𝑙𝑒𝑜𝑠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+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𝑓𝑖𝑙𝑡𝑟𝑜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𝑘𝑚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𝑟𝑜𝑑𝑎𝑑𝑜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4" name="CaixaDeTexto 13">
              <a:extLst>
                <a:ext uri="{FF2B5EF4-FFF2-40B4-BE49-F238E27FC236}">
                  <a16:creationId xmlns:a16="http://schemas.microsoft.com/office/drawing/2014/main" id="{42A1BE89-D2B2-46F4-88FF-63B48C36CDA5}"/>
                </a:ext>
              </a:extLst>
            </xdr:cNvPr>
            <xdr:cNvSpPr txBox="1"/>
          </xdr:nvSpPr>
          <xdr:spPr>
            <a:xfrm>
              <a:off x="10956234" y="1974985"/>
              <a:ext cx="1639957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Fl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(ó𝑙𝑒𝑜𝑠+𝑓𝑖𝑙𝑡𝑟𝑜)/(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𝑘𝑚 𝑟𝑜𝑑𝑎𝑑𝑜)=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8</xdr:col>
      <xdr:colOff>144116</xdr:colOff>
      <xdr:row>8</xdr:row>
      <xdr:rowOff>97319</xdr:rowOff>
    </xdr:from>
    <xdr:ext cx="1147972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86B485C3-A7A9-43C1-9259-9DAF86A4AA71}"/>
                </a:ext>
              </a:extLst>
            </xdr:cNvPr>
            <xdr:cNvSpPr txBox="1"/>
          </xdr:nvSpPr>
          <xdr:spPr>
            <a:xfrm>
              <a:off x="4325591" y="1449869"/>
              <a:ext cx="1147972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D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𝑉𝑟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𝑉𝑖𝑑𝑎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ú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𝑡𝑖𝑙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5" name="CaixaDeTexto 14">
              <a:extLst>
                <a:ext uri="{FF2B5EF4-FFF2-40B4-BE49-F238E27FC236}">
                  <a16:creationId xmlns:a16="http://schemas.microsoft.com/office/drawing/2014/main" id="{86B485C3-A7A9-43C1-9259-9DAF86A4AA71}"/>
                </a:ext>
              </a:extLst>
            </xdr:cNvPr>
            <xdr:cNvSpPr txBox="1"/>
          </xdr:nvSpPr>
          <xdr:spPr>
            <a:xfrm>
              <a:off x="4325591" y="1449869"/>
              <a:ext cx="1147972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D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(𝑉𝑎 −𝑉𝑟)/(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𝑉𝑖𝑑𝑎 ú𝑡𝑖𝑙)=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11</xdr:col>
      <xdr:colOff>230254</xdr:colOff>
      <xdr:row>8</xdr:row>
      <xdr:rowOff>92349</xdr:rowOff>
    </xdr:from>
    <xdr:ext cx="2097159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BB9CD5F0-6C31-4EFD-BBD3-5D00AFE0690C}"/>
                </a:ext>
              </a:extLst>
            </xdr:cNvPr>
            <xdr:cNvSpPr txBox="1"/>
          </xdr:nvSpPr>
          <xdr:spPr>
            <a:xfrm>
              <a:off x="6478654" y="1444899"/>
              <a:ext cx="2097159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J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𝐼𝑛𝑣𝑒𝑠𝑡𝑖𝑚𝑒𝑛𝑡𝑜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−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𝑗𝑢𝑟𝑜𝑠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é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𝑑𝑖𝑜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𝑉𝑖𝑑𝑎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ú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𝑡𝑖𝑙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BB9CD5F0-6C31-4EFD-BBD3-5D00AFE0690C}"/>
                </a:ext>
              </a:extLst>
            </xdr:cNvPr>
            <xdr:cNvSpPr txBox="1"/>
          </xdr:nvSpPr>
          <xdr:spPr>
            <a:xfrm>
              <a:off x="6478654" y="1444899"/>
              <a:ext cx="2097159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J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(𝐼𝑛𝑣𝑒𝑠𝑡𝑖𝑚𝑒𝑛𝑡𝑜 −𝑗𝑢𝑟𝑜𝑠 𝑚é𝑑𝑖𝑜)/(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𝑉𝑖𝑑𝑎 ú𝑡𝑖𝑙)=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14</xdr:col>
      <xdr:colOff>684555</xdr:colOff>
      <xdr:row>8</xdr:row>
      <xdr:rowOff>87379</xdr:rowOff>
    </xdr:from>
    <xdr:ext cx="1837085" cy="3975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5E26B573-C984-4935-868E-68042CB8CB3D}"/>
                </a:ext>
              </a:extLst>
            </xdr:cNvPr>
            <xdr:cNvSpPr txBox="1"/>
          </xdr:nvSpPr>
          <xdr:spPr>
            <a:xfrm>
              <a:off x="8733180" y="1439929"/>
              <a:ext cx="1837085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F</a:t>
              </a:r>
              <a14:m>
                <m:oMath xmlns:m="http://schemas.openxmlformats.org/officeDocument/2006/math">
                  <m:r>
                    <m:rPr>
                      <m:sty m:val="p"/>
                    </m:rPr>
                    <a:rPr lang="pt-BR" sz="1200" b="0" i="0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m</m:t>
                  </m:r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𝑉𝑎𝑙𝑜𝑟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𝑚𝑎𝑛𝑢𝑡𝑒𝑛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çã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𝑜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𝑝𝑒𝑟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í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𝑜𝑑𝑜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𝑡𝑜𝑡𝑎𝑙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5E26B573-C984-4935-868E-68042CB8CB3D}"/>
                </a:ext>
              </a:extLst>
            </xdr:cNvPr>
            <xdr:cNvSpPr txBox="1"/>
          </xdr:nvSpPr>
          <xdr:spPr>
            <a:xfrm>
              <a:off x="8733180" y="1439929"/>
              <a:ext cx="1837085" cy="397566"/>
            </a:xfrm>
            <a:prstGeom prst="rect">
              <a:avLst/>
            </a:prstGeom>
            <a:noFill/>
            <a:ln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F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m=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(𝑉𝑎𝑙𝑜𝑟 𝑚𝑎𝑛𝑢𝑡𝑒𝑛çã𝑜)/(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𝑝𝑒𝑟í𝑜𝑑𝑜 𝑡𝑜𝑡𝑎𝑙)=</a:t>
              </a:r>
              <a:endParaRPr lang="pt-BR" sz="1400"/>
            </a:p>
          </xdr:txBody>
        </xdr:sp>
      </mc:Fallback>
    </mc:AlternateContent>
    <xdr:clientData/>
  </xdr:oneCellAnchor>
  <xdr:oneCellAnchor>
    <xdr:from>
      <xdr:col>8</xdr:col>
      <xdr:colOff>8283</xdr:colOff>
      <xdr:row>125</xdr:row>
      <xdr:rowOff>140804</xdr:rowOff>
    </xdr:from>
    <xdr:ext cx="1649067" cy="3449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AD9416C7-0154-402C-AD09-CDF0C5E8DBB6}"/>
                </a:ext>
              </a:extLst>
            </xdr:cNvPr>
            <xdr:cNvSpPr txBox="1"/>
          </xdr:nvSpPr>
          <xdr:spPr>
            <a:xfrm>
              <a:off x="4961283" y="22781729"/>
              <a:ext cx="1649067" cy="344971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P</a:t>
              </a:r>
              <a:r>
                <a:rPr lang="pt-BR" sz="1200" b="0" i="0" baseline="-25000">
                  <a:latin typeface="+mn-lt"/>
                </a:rPr>
                <a:t>1,2</a:t>
              </a:r>
              <a14:m>
                <m:oMath xmlns:m="http://schemas.openxmlformats.org/officeDocument/2006/math"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 </m:t>
                  </m:r>
                  <m:f>
                    <m:fPr>
                      <m:ctrlP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𝑉𝑎𝑙𝑜𝑟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𝑑𝑜𝑠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𝑝𝑛𝑒𝑢𝑠</m:t>
                      </m:r>
                    </m:num>
                    <m:den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𝑉𝑖𝑑𝑎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 ú</m:t>
                      </m:r>
                      <m:r>
                        <a:rPr lang="pt-BR" sz="1200" b="0" i="1">
                          <a:solidFill>
                            <a:schemeClr val="tx1"/>
                          </a:solidFill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𝑡𝑖𝑙</m:t>
                      </m:r>
                    </m:den>
                  </m:f>
                  <m:r>
                    <a:rPr lang="pt-BR" sz="1200" b="0" i="1">
                      <a:solidFill>
                        <a:schemeClr val="tx1"/>
                      </a:solidFill>
                      <a:latin typeface="Cambria Math" panose="02040503050406030204" pitchFamily="18" charset="0"/>
                      <a:ea typeface="+mn-ea"/>
                      <a:cs typeface="+mn-cs"/>
                    </a:rPr>
                    <m:t>=</m:t>
                  </m:r>
                </m:oMath>
              </a14:m>
              <a:endParaRPr lang="pt-BR" sz="1400"/>
            </a:p>
          </xdr:txBody>
        </xdr:sp>
      </mc:Choice>
      <mc:Fallback xmlns=""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AD9416C7-0154-402C-AD09-CDF0C5E8DBB6}"/>
                </a:ext>
              </a:extLst>
            </xdr:cNvPr>
            <xdr:cNvSpPr txBox="1"/>
          </xdr:nvSpPr>
          <xdr:spPr>
            <a:xfrm>
              <a:off x="4961283" y="22781729"/>
              <a:ext cx="1649067" cy="344971"/>
            </a:xfrm>
            <a:prstGeom prst="rect">
              <a:avLst/>
            </a:prstGeom>
            <a:noFill/>
            <a:ln>
              <a:solidFill>
                <a:sysClr val="windowText" lastClr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P</a:t>
              </a:r>
              <a:r>
                <a:rPr lang="pt-BR" sz="1200" b="0" i="0" baseline="-25000">
                  <a:latin typeface="+mn-lt"/>
                </a:rPr>
                <a:t>1,2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= </a:t>
              </a:r>
              <a:r>
                <a:rPr lang="pt-BR" sz="12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(𝑉𝑎𝑙𝑜𝑟 𝑑𝑜𝑠 𝑝𝑛𝑒𝑢𝑠)/(</a:t>
              </a:r>
              <a:r>
                <a:rPr lang="pt-BR" sz="12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𝑉𝑖𝑑𝑎 ú𝑡𝑖𝑙)=</a:t>
              </a:r>
              <a:endParaRPr lang="pt-BR" sz="1400"/>
            </a:p>
          </xdr:txBody>
        </xdr:sp>
      </mc:Fallback>
    </mc:AlternateContent>
    <xdr:clientData/>
  </xdr:oneCellAnchor>
  <xdr:twoCellAnchor>
    <xdr:from>
      <xdr:col>6</xdr:col>
      <xdr:colOff>257174</xdr:colOff>
      <xdr:row>1</xdr:row>
      <xdr:rowOff>0</xdr:rowOff>
    </xdr:from>
    <xdr:to>
      <xdr:col>6</xdr:col>
      <xdr:colOff>257174</xdr:colOff>
      <xdr:row>3</xdr:row>
      <xdr:rowOff>193950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6BC14979-CD04-49C6-ADEF-DEFEA440DCD1}"/>
            </a:ext>
          </a:extLst>
        </xdr:cNvPr>
        <xdr:cNvCxnSpPr/>
      </xdr:nvCxnSpPr>
      <xdr:spPr>
        <a:xfrm flipV="1">
          <a:off x="1685924" y="161925"/>
          <a:ext cx="0" cy="594000"/>
        </a:xfrm>
        <a:prstGeom prst="line">
          <a:avLst/>
        </a:prstGeom>
        <a:ln w="317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8</xdr:row>
      <xdr:rowOff>0</xdr:rowOff>
    </xdr:from>
    <xdr:ext cx="2124075" cy="381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7898E0A2-26C1-4E2C-8B05-7E02688FDCB8}"/>
                </a:ext>
              </a:extLst>
            </xdr:cNvPr>
            <xdr:cNvSpPr txBox="1"/>
          </xdr:nvSpPr>
          <xdr:spPr>
            <a:xfrm>
              <a:off x="2466975" y="1552575"/>
              <a:ext cx="2124075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E11</a:t>
              </a:r>
              <a14:m>
                <m:oMath xmlns:m="http://schemas.openxmlformats.org/officeDocument/2006/math">
                  <m:r>
                    <a:rPr lang="pt-BR" sz="1200" b="0" i="1">
                      <a:latin typeface="Cambria Math"/>
                    </a:rPr>
                    <m:t>=</m:t>
                  </m:r>
                  <m:d>
                    <m:dPr>
                      <m:begChr m:val="["/>
                      <m:endChr m:val="]"/>
                      <m:ctrlPr>
                        <a:rPr lang="pt-BR" sz="12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f>
                        <m:fPr>
                          <m:ctrlPr>
                            <a:rPr lang="pt-BR" sz="1200" b="0" i="1"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a:rPr lang="el-GR" sz="1200" b="0" i="1">
                              <a:latin typeface="Cambria Math" panose="02040503050406030204" pitchFamily="18" charset="0"/>
                            </a:rPr>
                            <m:t>𝛴</m:t>
                          </m:r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𝑉𝑐𝑜𝑚</m:t>
                          </m:r>
                        </m:num>
                        <m:den>
                          <m:r>
                            <a:rPr lang="pt-BR" sz="1200" b="0" i="1">
                              <a:latin typeface="Cambria Math" panose="02040503050406030204" pitchFamily="18" charset="0"/>
                            </a:rPr>
                            <m:t>𝐹𝑎</m:t>
                          </m:r>
                        </m:den>
                      </m:f>
                    </m:e>
                  </m:d>
                  <m:r>
                    <a:rPr lang="pt-BR" sz="1200" b="0" i="0">
                      <a:latin typeface="Cambria Math" panose="02040503050406030204" pitchFamily="18" charset="0"/>
                    </a:rPr>
                    <m:t> </m:t>
                  </m:r>
                  <m:r>
                    <m:rPr>
                      <m:sty m:val="p"/>
                    </m:rPr>
                    <a:rPr lang="en-US" sz="1200" b="0" i="0">
                      <a:latin typeface="Cambria Math"/>
                    </a:rPr>
                    <m:t>x</m:t>
                  </m:r>
                  <m:r>
                    <a:rPr lang="en-US" sz="1200" b="0" i="0">
                      <a:latin typeface="Cambria Math" panose="02040503050406030204" pitchFamily="18" charset="0"/>
                    </a:rPr>
                    <m:t> </m:t>
                  </m:r>
                  <m:r>
                    <a:rPr lang="en-US" sz="1200" b="0" i="0">
                      <a:latin typeface="Cambria Math"/>
                    </a:rPr>
                    <m:t>100=</m:t>
                  </m:r>
                </m:oMath>
              </a14:m>
              <a:endParaRPr lang="pt-BR" sz="12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7898E0A2-26C1-4E2C-8B05-7E02688FDCB8}"/>
                </a:ext>
              </a:extLst>
            </xdr:cNvPr>
            <xdr:cNvSpPr txBox="1"/>
          </xdr:nvSpPr>
          <xdr:spPr>
            <a:xfrm>
              <a:off x="2466975" y="1552575"/>
              <a:ext cx="2124075" cy="3810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pt-BR" sz="1200" b="0" i="0">
                  <a:latin typeface="+mn-lt"/>
                </a:rPr>
                <a:t>E11</a:t>
              </a:r>
              <a:r>
                <a:rPr lang="pt-BR" sz="1200" b="0" i="0">
                  <a:latin typeface="Cambria Math"/>
                </a:rPr>
                <a:t>=</a:t>
              </a:r>
              <a:r>
                <a:rPr lang="pt-BR" sz="1200" b="0" i="0">
                  <a:latin typeface="Cambria Math" panose="02040503050406030204" pitchFamily="18" charset="0"/>
                </a:rPr>
                <a:t>[</a:t>
              </a:r>
              <a:r>
                <a:rPr lang="el-GR" sz="1200" b="0" i="0">
                  <a:latin typeface="Cambria Math" panose="02040503050406030204" pitchFamily="18" charset="0"/>
                </a:rPr>
                <a:t>𝛴</a:t>
              </a:r>
              <a:r>
                <a:rPr lang="pt-BR" sz="1200" b="0" i="0">
                  <a:latin typeface="Cambria Math" panose="02040503050406030204" pitchFamily="18" charset="0"/>
                </a:rPr>
                <a:t>𝑉𝑐𝑜𝑚/𝐹𝑎]  </a:t>
              </a:r>
              <a:r>
                <a:rPr lang="en-US" sz="1200" b="0" i="0">
                  <a:latin typeface="Cambria Math"/>
                </a:rPr>
                <a:t>x</a:t>
              </a:r>
              <a:r>
                <a:rPr lang="en-US" sz="1200" b="0" i="0">
                  <a:latin typeface="Cambria Math" panose="02040503050406030204" pitchFamily="18" charset="0"/>
                </a:rPr>
                <a:t> </a:t>
              </a:r>
              <a:r>
                <a:rPr lang="en-US" sz="1200" b="0" i="0">
                  <a:latin typeface="Cambria Math"/>
                </a:rPr>
                <a:t>100=</a:t>
              </a:r>
              <a:endParaRPr lang="pt-BR" sz="12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SANDA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LA/Works/MATRIZ/EAP/Curva%201%20folh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LL%20TOMMY\TG\Proposal\Ks\KBS\Perbaikan%20Tiang%20Pancang\ANNA\lind\Non%20KS\statomer\Foundation%20DA%207%20charging%20system%20statomer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a020\atyrau$\Documents%20and%20Settings\A0731\Desktop\Jacob\Haradh\PlanData\Planning&amp;report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76;&#47928;(&#45800;&#44032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NEDRIVE%20-%20BRUNO\OneDrive%20-%20Funda&#231;&#227;o%20S&#227;o%20Paulo\004%20-%20BACKUP%20GERAL\016%20-%20PAULO%20MELLO\008%20-%20MODELOS\001%20-%20BDI%20-%20Resumo%20do%20custo%20-%20MODEL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\My%20Documents\&#51201;&#49328;&#49444;&#44228;\&#54252;)STS%203&#51228;&#44053;%209&#52264;\EXCEL\IYK\AKF\AKF-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0689;&#49437;\c\My%20Documents\&#51201;&#49328;&#49444;&#44228;\CGL-PILOT\DRAFT\AKF-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My%20Documents\SKKIM\Work1999\SKC%20CDP\My%20Documents\CIVIL\&#53664;&#47785;&#44204;&#51201;\%232CDU&#49892;&#54665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\My%20Documents\My%20Documents\&#51201;&#49328;&#49444;&#44228;\CGL-PILOT\DRAFT\AKF-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new\My%20Documents\0-DRAWING\&#51201;&#49328;&#49444;&#44228;\&#50672;&#51452;&#49444;&#48708;\EXCEL\IYK\AKF\AKF-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80;&#51452;&#49345;new\My%20Documents\My%20Documents\&#51201;&#49328;&#49444;&#44228;\CGL-PILOT\DRAFT\AKF-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#REF"/>
      <sheetName val="000000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집계표(OPTION)"/>
      <sheetName val="OPTION 2"/>
      <sheetName val="OPTION 3"/>
      <sheetName val="Sheet2"/>
      <sheetName val="Sheet3"/>
      <sheetName val="견적조건"/>
      <sheetName val="대비표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2002년 현장공사비 국내 실적"/>
      <sheetName val="2003년국내현장공사비 실적"/>
      <sheetName val="_REF"/>
      <sheetName val="집계표_OPTION_"/>
      <sheetName val="당초"/>
      <sheetName val="단가(자재)"/>
      <sheetName val="단가(노임)"/>
      <sheetName val="기초목록"/>
      <sheetName val="노임단가"/>
      <sheetName val="???"/>
      <sheetName val="예산"/>
      <sheetName val="KP1590_E"/>
      <sheetName val="VC2 10.99"/>
      <sheetName val="inter"/>
      <sheetName val="Sheet1"/>
      <sheetName val="집계표 (25,26ဩ"/>
      <sheetName val="영업2"/>
      <sheetName val="영업3"/>
      <sheetName val="BQ_Utl_Off"/>
      <sheetName val="BQMPALOC"/>
      <sheetName val="1월"/>
      <sheetName val="공문"/>
      <sheetName val="수입"/>
      <sheetName val="INPUT DATA"/>
      <sheetName val="금액내역서"/>
      <sheetName val="DESCRIPTION"/>
      <sheetName val="Final(1)summary"/>
      <sheetName val="ERECIN"/>
      <sheetName val="연돌일위집계"/>
      <sheetName val="??"/>
      <sheetName val="갑지"/>
      <sheetName val="BD集計用"/>
      <sheetName val="»ê±Ù"/>
      <sheetName val="95삼성급(본사)"/>
      <sheetName val="Form 0"/>
      <sheetName val="COVER"/>
      <sheetName val="12CGOU"/>
      <sheetName val="경영혁신본부"/>
      <sheetName val="General Data"/>
      <sheetName val="세금자료"/>
      <sheetName val="___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__"/>
      <sheetName val="DRUM"/>
      <sheetName val="Form D-1"/>
      <sheetName val="Form B-1"/>
      <sheetName val="Form F-1"/>
      <sheetName val="Assist(B-1)"/>
      <sheetName val="Form A"/>
      <sheetName val="입출재고현황 (2)"/>
      <sheetName val="SANDAN"/>
      <sheetName val="뜃맟뭁돽띿맟?-BLDG"/>
      <sheetName val="LABOR &amp; 자재"/>
      <sheetName val="제작도"/>
      <sheetName val="뜃맟뭁돽띿맟_-BLDG"/>
      <sheetName val="ESCON"/>
      <sheetName val="SALA-002"/>
      <sheetName val="DHEQSUPT"/>
      <sheetName val="기성내역"/>
      <sheetName val="CB"/>
      <sheetName val="eq_data"/>
      <sheetName val="당진1,2호기전선관설치및접지4차공사내역서-을지"/>
      <sheetName val="TTL"/>
      <sheetName val="M-EQPT-Z"/>
      <sheetName val="Price Schedule"/>
      <sheetName val="간접비내역-1"/>
      <sheetName val="Lup2"/>
      <sheetName val="간접비 총괄"/>
      <sheetName val="주간기성"/>
      <sheetName val="B"/>
      <sheetName val="INPUT_DATA"/>
      <sheetName val="General_Data"/>
      <sheetName val="집계표_(25,26ဩ"/>
      <sheetName val="Form_0"/>
      <sheetName val="3.공통공사대비"/>
      <sheetName val="???(OPTION)"/>
      <sheetName val="POWER"/>
      <sheetName val="合成単価作成表-BLDG"/>
      <sheetName val="INSTR"/>
      <sheetName val="노임단가표"/>
      <sheetName val="BOROUGE2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A_comprometer"/>
      <sheetName val="Realizado"/>
      <sheetName val="Aportes"/>
      <sheetName val="Comprometido_a_Receber"/>
      <sheetName val="Compromissado"/>
    </sheetNames>
    <sheetDataSet>
      <sheetData sheetId="0" refreshError="1">
        <row r="11">
          <cell r="F11">
            <v>1</v>
          </cell>
          <cell r="G11">
            <v>2</v>
          </cell>
          <cell r="H11">
            <v>3</v>
          </cell>
          <cell r="I11">
            <v>4</v>
          </cell>
          <cell r="J11">
            <v>5</v>
          </cell>
          <cell r="K11">
            <v>6</v>
          </cell>
          <cell r="L11">
            <v>7</v>
          </cell>
          <cell r="M11">
            <v>8</v>
          </cell>
          <cell r="N11">
            <v>9</v>
          </cell>
          <cell r="O11">
            <v>10</v>
          </cell>
          <cell r="P11">
            <v>11</v>
          </cell>
          <cell r="Q11">
            <v>12</v>
          </cell>
          <cell r="R11">
            <v>13</v>
          </cell>
          <cell r="S11">
            <v>14</v>
          </cell>
          <cell r="T11">
            <v>15</v>
          </cell>
          <cell r="U11">
            <v>16</v>
          </cell>
          <cell r="V11">
            <v>17</v>
          </cell>
          <cell r="W11">
            <v>18</v>
          </cell>
          <cell r="X11">
            <v>19</v>
          </cell>
          <cell r="Y11">
            <v>20</v>
          </cell>
          <cell r="Z11">
            <v>21</v>
          </cell>
          <cell r="AA11">
            <v>22</v>
          </cell>
          <cell r="AB11">
            <v>23</v>
          </cell>
          <cell r="AC11">
            <v>24</v>
          </cell>
          <cell r="AD11">
            <v>25</v>
          </cell>
          <cell r="AE11">
            <v>26</v>
          </cell>
          <cell r="AF11">
            <v>27</v>
          </cell>
          <cell r="AG11">
            <v>28</v>
          </cell>
        </row>
        <row r="58">
          <cell r="AG58" t="e">
            <v>#DIV/0!</v>
          </cell>
        </row>
        <row r="60">
          <cell r="AE60" t="e">
            <v>#DIV/0!</v>
          </cell>
          <cell r="AF60" t="e">
            <v>#DIV/0!</v>
          </cell>
          <cell r="AG60" t="e">
            <v>#DIV/0!</v>
          </cell>
        </row>
        <row r="62">
          <cell r="AE62" t="e">
            <v>#DIV/0!</v>
          </cell>
          <cell r="AF62" t="e">
            <v>#DIV/0!</v>
          </cell>
          <cell r="AG62" t="e">
            <v>#DIV/0!</v>
          </cell>
        </row>
        <row r="64">
          <cell r="AE64" t="e">
            <v>#DIV/0!</v>
          </cell>
          <cell r="AF64" t="e">
            <v>#DIV/0!</v>
          </cell>
          <cell r="AG64" t="e">
            <v>#DIV/0!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E-PROP"/>
      <sheetName val="Foundation DA 7 charging system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PLANT"/>
      <sheetName val="SUM FSBLT"/>
      <sheetName val="VOLSUM"/>
      <sheetName val="WPSUM"/>
      <sheetName val="PCWBS_MAP"/>
      <sheetName val="WKFRM1"/>
      <sheetName val="WKFRM2"/>
      <sheetName val="SQNC-1"/>
      <sheetName val="SQNC-2"/>
      <sheetName val="SQNC-3"/>
      <sheetName val="MILSTN"/>
      <sheetName val="MASTSCH"/>
      <sheetName val="MOBALL"/>
      <sheetName val="BQMPALOC"/>
      <sheetName val="CRDIDX"/>
      <sheetName val="PROGALL"/>
      <sheetName val="2538M"/>
      <sheetName val="ORGZN"/>
      <sheetName val="STAFSCH"/>
      <sheetName val="SUB_Map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"/>
      <sheetName val="TEMP_FAC"/>
      <sheetName val="7000(rev)"/>
      <sheetName val="SUMMARY"/>
      <sheetName val="3000-A"/>
      <sheetName val="5000-A"/>
      <sheetName val="6000-A"/>
      <sheetName val="9000-A"/>
      <sheetName val="管道资料"/>
      <sheetName val="9DATA"/>
      <sheetName val="A000-A"/>
      <sheetName val="0DATA"/>
      <sheetName val="9管道资料"/>
      <sheetName val="FWBS 9000"/>
      <sheetName val="Overall Project"/>
      <sheetName val="Overall Process"/>
      <sheetName val="Overall Utility"/>
      <sheetName val="1000"/>
      <sheetName val="FWBS 1000"/>
      <sheetName val="2000"/>
      <sheetName val="FWBS 2000"/>
      <sheetName val="3000"/>
      <sheetName val="FWBS 3000"/>
      <sheetName val="5000"/>
      <sheetName val="FWBS 5000"/>
      <sheetName val="6000"/>
      <sheetName val="FWBS 6000"/>
      <sheetName val="7000"/>
      <sheetName val="FWBS 7000"/>
      <sheetName val="8000"/>
      <sheetName val="FWBS 8000"/>
      <sheetName val="9000"/>
      <sheetName val="A000"/>
      <sheetName val="FWBS A000"/>
      <sheetName val="B000"/>
      <sheetName val="FWBS B000"/>
      <sheetName val="Z000"/>
      <sheetName val="FWBS Z000"/>
      <sheetName val="EE-PROP"/>
      <sheetName val="95신규호표"/>
      <sheetName val="TYPE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열전용연돌"/>
      <sheetName val="배명(단가)"/>
      <sheetName val="BQMPALOC"/>
    </sheetNames>
    <sheetDataSet>
      <sheetData sheetId="0" refreshError="1"/>
      <sheetData sheetId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 BASE 2"/>
      <sheetName val="ABC Etapa"/>
      <sheetName val="Orçamento BASE"/>
      <sheetName val="Base de preços 2017"/>
      <sheetName val="Insumos 2017"/>
      <sheetName val="BDI"/>
      <sheetName val="MDO - Indiretos"/>
      <sheetName val="MATERIAIS - Indiretos"/>
      <sheetName val="Refeições Transporte Alojamento"/>
      <sheetName val="Despesas Financeiras"/>
      <sheetName val="CPU - auxiliar CHP"/>
      <sheetName val="Tributos Fiscais"/>
      <sheetName val="Encargos Sociais"/>
      <sheetName val="Administração Central"/>
      <sheetName val="Taxa de Comercialização"/>
    </sheetNames>
    <sheetDataSet>
      <sheetData sheetId="0"/>
      <sheetData sheetId="1"/>
      <sheetData sheetId="2">
        <row r="1">
          <cell r="M1"/>
        </row>
        <row r="2">
          <cell r="M2"/>
        </row>
        <row r="3">
          <cell r="M3"/>
        </row>
        <row r="4">
          <cell r="M4"/>
        </row>
        <row r="5">
          <cell r="M5"/>
        </row>
        <row r="6">
          <cell r="M6"/>
        </row>
        <row r="7">
          <cell r="M7"/>
        </row>
        <row r="8">
          <cell r="M8" t="str">
            <v>Local:</v>
          </cell>
        </row>
        <row r="9">
          <cell r="M9"/>
        </row>
        <row r="10">
          <cell r="M10" t="str">
            <v>Quant.</v>
          </cell>
        </row>
        <row r="11">
          <cell r="M11"/>
        </row>
        <row r="12">
          <cell r="M12"/>
        </row>
        <row r="13">
          <cell r="M13"/>
        </row>
        <row r="14">
          <cell r="M14"/>
        </row>
        <row r="15">
          <cell r="M15"/>
        </row>
        <row r="16">
          <cell r="M16"/>
        </row>
        <row r="17">
          <cell r="M17"/>
        </row>
        <row r="18">
          <cell r="M18"/>
        </row>
        <row r="19">
          <cell r="M19"/>
        </row>
        <row r="20">
          <cell r="M20"/>
        </row>
        <row r="21">
          <cell r="M21"/>
        </row>
        <row r="22">
          <cell r="M22"/>
        </row>
        <row r="23">
          <cell r="M23"/>
        </row>
        <row r="24">
          <cell r="M24"/>
        </row>
        <row r="25">
          <cell r="M25"/>
        </row>
        <row r="26">
          <cell r="M26"/>
        </row>
        <row r="27">
          <cell r="M27"/>
        </row>
        <row r="28">
          <cell r="M28"/>
        </row>
        <row r="29">
          <cell r="M29"/>
        </row>
        <row r="30">
          <cell r="M30"/>
        </row>
        <row r="31">
          <cell r="M31"/>
        </row>
        <row r="32">
          <cell r="M32"/>
        </row>
        <row r="33">
          <cell r="M33"/>
        </row>
        <row r="34">
          <cell r="M34"/>
        </row>
        <row r="35">
          <cell r="M35"/>
        </row>
        <row r="36">
          <cell r="M36"/>
        </row>
        <row r="37">
          <cell r="M37"/>
        </row>
        <row r="38">
          <cell r="M38"/>
        </row>
        <row r="39">
          <cell r="M39"/>
        </row>
        <row r="40">
          <cell r="M40"/>
        </row>
        <row r="41">
          <cell r="M41"/>
        </row>
        <row r="42">
          <cell r="M42"/>
        </row>
        <row r="43">
          <cell r="M43"/>
        </row>
        <row r="44">
          <cell r="M44"/>
        </row>
        <row r="45">
          <cell r="M45"/>
        </row>
        <row r="46">
          <cell r="M46"/>
        </row>
        <row r="47">
          <cell r="M47"/>
        </row>
        <row r="48">
          <cell r="M48"/>
        </row>
        <row r="49">
          <cell r="M49"/>
        </row>
        <row r="50">
          <cell r="M50"/>
        </row>
        <row r="51">
          <cell r="M51"/>
        </row>
        <row r="52">
          <cell r="M52"/>
        </row>
        <row r="53">
          <cell r="M53">
            <v>155</v>
          </cell>
        </row>
        <row r="54">
          <cell r="M54">
            <v>465</v>
          </cell>
        </row>
        <row r="55">
          <cell r="M55">
            <v>465</v>
          </cell>
        </row>
        <row r="56">
          <cell r="M56">
            <v>155</v>
          </cell>
        </row>
        <row r="57">
          <cell r="M57">
            <v>1</v>
          </cell>
        </row>
        <row r="58">
          <cell r="M58">
            <v>1</v>
          </cell>
        </row>
        <row r="59">
          <cell r="M59">
            <v>60</v>
          </cell>
        </row>
        <row r="60">
          <cell r="M60">
            <v>419.79</v>
          </cell>
        </row>
        <row r="61">
          <cell r="M61">
            <v>23.09</v>
          </cell>
        </row>
        <row r="62">
          <cell r="M62">
            <v>23.09</v>
          </cell>
        </row>
        <row r="63">
          <cell r="M63">
            <v>4</v>
          </cell>
        </row>
        <row r="64">
          <cell r="M64">
            <v>2.88</v>
          </cell>
        </row>
        <row r="65">
          <cell r="M65">
            <v>2.88</v>
          </cell>
        </row>
        <row r="66">
          <cell r="M66">
            <v>40.56</v>
          </cell>
        </row>
        <row r="67">
          <cell r="M67">
            <v>16</v>
          </cell>
        </row>
        <row r="68">
          <cell r="M68">
            <v>0.8</v>
          </cell>
        </row>
        <row r="69">
          <cell r="M69">
            <v>24</v>
          </cell>
        </row>
        <row r="70">
          <cell r="M70">
            <v>2400</v>
          </cell>
        </row>
        <row r="71">
          <cell r="M71">
            <v>24</v>
          </cell>
        </row>
        <row r="72">
          <cell r="M72">
            <v>24</v>
          </cell>
        </row>
        <row r="73">
          <cell r="M73">
            <v>24</v>
          </cell>
        </row>
        <row r="74">
          <cell r="M74">
            <v>16.560000000000002</v>
          </cell>
        </row>
        <row r="75">
          <cell r="M75">
            <v>1</v>
          </cell>
        </row>
        <row r="76">
          <cell r="M76">
            <v>1</v>
          </cell>
        </row>
        <row r="77">
          <cell r="M77">
            <v>5.65</v>
          </cell>
        </row>
        <row r="78">
          <cell r="M78">
            <v>13.09</v>
          </cell>
        </row>
        <row r="79">
          <cell r="M79">
            <v>0.65</v>
          </cell>
        </row>
        <row r="80">
          <cell r="M80">
            <v>4.3499999999999996</v>
          </cell>
        </row>
        <row r="81">
          <cell r="M81">
            <v>104.4</v>
          </cell>
        </row>
        <row r="82">
          <cell r="M82">
            <v>0.87</v>
          </cell>
        </row>
        <row r="83">
          <cell r="M83">
            <v>0.87</v>
          </cell>
        </row>
        <row r="84">
          <cell r="M84">
            <v>4.3499999999999996</v>
          </cell>
        </row>
        <row r="85">
          <cell r="M85">
            <v>0.87000000000000011</v>
          </cell>
        </row>
        <row r="86">
          <cell r="M86">
            <v>4.78</v>
          </cell>
        </row>
        <row r="87">
          <cell r="M87">
            <v>3410</v>
          </cell>
        </row>
        <row r="88">
          <cell r="M88"/>
        </row>
        <row r="89">
          <cell r="M89"/>
        </row>
        <row r="90">
          <cell r="M90"/>
        </row>
        <row r="91">
          <cell r="M91">
            <v>10970</v>
          </cell>
        </row>
        <row r="92">
          <cell r="M92"/>
        </row>
        <row r="93">
          <cell r="M93"/>
        </row>
        <row r="94">
          <cell r="M94">
            <v>650.35</v>
          </cell>
        </row>
        <row r="95">
          <cell r="M95">
            <v>650.35</v>
          </cell>
        </row>
        <row r="96">
          <cell r="M96">
            <v>72</v>
          </cell>
        </row>
        <row r="97">
          <cell r="M97">
            <v>51.01</v>
          </cell>
        </row>
        <row r="98">
          <cell r="M98">
            <v>51.01</v>
          </cell>
        </row>
        <row r="99">
          <cell r="M99">
            <v>450.06</v>
          </cell>
        </row>
        <row r="100">
          <cell r="M100">
            <v>450.06</v>
          </cell>
        </row>
        <row r="101">
          <cell r="M101">
            <v>72</v>
          </cell>
        </row>
        <row r="102">
          <cell r="M102">
            <v>64.98</v>
          </cell>
        </row>
        <row r="103">
          <cell r="M103">
            <v>146.53</v>
          </cell>
        </row>
        <row r="104">
          <cell r="M104">
            <v>450.06</v>
          </cell>
        </row>
        <row r="105">
          <cell r="M105">
            <v>142.94</v>
          </cell>
        </row>
        <row r="106">
          <cell r="M106">
            <v>142.94</v>
          </cell>
        </row>
        <row r="107">
          <cell r="M107">
            <v>72</v>
          </cell>
        </row>
        <row r="108">
          <cell r="M108">
            <v>33.56</v>
          </cell>
        </row>
        <row r="109">
          <cell r="M109">
            <v>79.23</v>
          </cell>
        </row>
        <row r="110">
          <cell r="M110">
            <v>142.94</v>
          </cell>
        </row>
        <row r="111">
          <cell r="M111">
            <v>79.959999999999994</v>
          </cell>
        </row>
        <row r="112">
          <cell r="M112"/>
        </row>
        <row r="113">
          <cell r="M113"/>
        </row>
        <row r="114">
          <cell r="M114"/>
        </row>
        <row r="115">
          <cell r="M115">
            <v>2</v>
          </cell>
        </row>
        <row r="116">
          <cell r="M116">
            <v>186</v>
          </cell>
        </row>
        <row r="117">
          <cell r="M117">
            <v>37</v>
          </cell>
        </row>
        <row r="118">
          <cell r="M118">
            <v>800</v>
          </cell>
        </row>
        <row r="119">
          <cell r="M119"/>
        </row>
        <row r="120">
          <cell r="M120">
            <v>8</v>
          </cell>
        </row>
        <row r="121">
          <cell r="M121">
            <v>8</v>
          </cell>
        </row>
        <row r="122">
          <cell r="M122">
            <v>1</v>
          </cell>
        </row>
        <row r="123">
          <cell r="M123">
            <v>15</v>
          </cell>
        </row>
        <row r="124">
          <cell r="M124">
            <v>11</v>
          </cell>
        </row>
        <row r="125">
          <cell r="M125"/>
        </row>
        <row r="126">
          <cell r="M126">
            <v>5</v>
          </cell>
        </row>
        <row r="127">
          <cell r="M127">
            <v>4</v>
          </cell>
        </row>
        <row r="128">
          <cell r="M128">
            <v>49.800000000000004</v>
          </cell>
        </row>
        <row r="129">
          <cell r="M129">
            <v>0.6</v>
          </cell>
        </row>
        <row r="130">
          <cell r="M130">
            <v>0.6</v>
          </cell>
        </row>
        <row r="131">
          <cell r="M131">
            <v>5</v>
          </cell>
        </row>
        <row r="132">
          <cell r="M132">
            <v>5</v>
          </cell>
        </row>
        <row r="133">
          <cell r="M133">
            <v>10</v>
          </cell>
        </row>
        <row r="134">
          <cell r="M134">
            <v>10</v>
          </cell>
        </row>
        <row r="135">
          <cell r="M135">
            <v>230</v>
          </cell>
        </row>
        <row r="136">
          <cell r="M136">
            <v>480</v>
          </cell>
        </row>
        <row r="137">
          <cell r="M137">
            <v>160</v>
          </cell>
        </row>
        <row r="138">
          <cell r="M138">
            <v>236</v>
          </cell>
        </row>
        <row r="139">
          <cell r="M139">
            <v>7</v>
          </cell>
        </row>
        <row r="140">
          <cell r="M140">
            <v>7</v>
          </cell>
        </row>
        <row r="141">
          <cell r="M141">
            <v>2</v>
          </cell>
        </row>
        <row r="142">
          <cell r="M142">
            <v>16</v>
          </cell>
        </row>
        <row r="143">
          <cell r="M143">
            <v>230</v>
          </cell>
        </row>
        <row r="144">
          <cell r="M144"/>
        </row>
        <row r="145">
          <cell r="M145"/>
        </row>
        <row r="146">
          <cell r="M146"/>
        </row>
        <row r="147">
          <cell r="M147">
            <v>2</v>
          </cell>
        </row>
        <row r="148">
          <cell r="M148">
            <v>200</v>
          </cell>
        </row>
        <row r="149">
          <cell r="M149">
            <v>40</v>
          </cell>
        </row>
        <row r="150">
          <cell r="M150">
            <v>800</v>
          </cell>
        </row>
        <row r="151">
          <cell r="M151"/>
        </row>
        <row r="152">
          <cell r="M152">
            <v>5</v>
          </cell>
        </row>
        <row r="153">
          <cell r="M153">
            <v>5</v>
          </cell>
        </row>
        <row r="154">
          <cell r="M154">
            <v>1</v>
          </cell>
        </row>
        <row r="155">
          <cell r="M155">
            <v>13</v>
          </cell>
        </row>
        <row r="156">
          <cell r="M156">
            <v>13</v>
          </cell>
        </row>
        <row r="157">
          <cell r="M157"/>
        </row>
        <row r="158">
          <cell r="M158">
            <v>3</v>
          </cell>
        </row>
        <row r="159">
          <cell r="M159">
            <v>2.4</v>
          </cell>
        </row>
        <row r="160">
          <cell r="M160">
            <v>29.880000000000003</v>
          </cell>
        </row>
        <row r="161">
          <cell r="M161">
            <v>0.36</v>
          </cell>
        </row>
        <row r="162">
          <cell r="M162">
            <v>0.36</v>
          </cell>
        </row>
        <row r="163">
          <cell r="M163">
            <v>3</v>
          </cell>
        </row>
        <row r="164">
          <cell r="M164">
            <v>3</v>
          </cell>
        </row>
        <row r="165">
          <cell r="M165">
            <v>6</v>
          </cell>
        </row>
        <row r="166">
          <cell r="M166">
            <v>6</v>
          </cell>
        </row>
        <row r="167">
          <cell r="M167">
            <v>140</v>
          </cell>
        </row>
        <row r="168">
          <cell r="M168">
            <v>290</v>
          </cell>
        </row>
        <row r="169">
          <cell r="M169">
            <v>96</v>
          </cell>
        </row>
        <row r="170">
          <cell r="M170">
            <v>141</v>
          </cell>
        </row>
        <row r="171">
          <cell r="M171">
            <v>4</v>
          </cell>
        </row>
        <row r="172">
          <cell r="M172">
            <v>4</v>
          </cell>
        </row>
        <row r="173">
          <cell r="M173">
            <v>1</v>
          </cell>
        </row>
        <row r="174">
          <cell r="M174">
            <v>9</v>
          </cell>
        </row>
        <row r="175">
          <cell r="M175">
            <v>430</v>
          </cell>
        </row>
        <row r="176">
          <cell r="M176"/>
        </row>
        <row r="177">
          <cell r="M177"/>
        </row>
        <row r="178">
          <cell r="M178"/>
        </row>
        <row r="179">
          <cell r="M179">
            <v>1</v>
          </cell>
        </row>
        <row r="180">
          <cell r="M180">
            <v>214</v>
          </cell>
        </row>
        <row r="181">
          <cell r="M181">
            <v>42</v>
          </cell>
        </row>
        <row r="182">
          <cell r="M182">
            <v>800</v>
          </cell>
        </row>
        <row r="183">
          <cell r="M183"/>
        </row>
        <row r="184">
          <cell r="M184">
            <v>2</v>
          </cell>
        </row>
        <row r="185">
          <cell r="M185">
            <v>2</v>
          </cell>
        </row>
        <row r="186">
          <cell r="M186">
            <v>1</v>
          </cell>
        </row>
        <row r="187">
          <cell r="M187">
            <v>15</v>
          </cell>
        </row>
        <row r="188">
          <cell r="M188">
            <v>15</v>
          </cell>
        </row>
        <row r="189">
          <cell r="M189"/>
        </row>
        <row r="190">
          <cell r="M190">
            <v>1</v>
          </cell>
        </row>
        <row r="191">
          <cell r="M191">
            <v>0.8</v>
          </cell>
        </row>
        <row r="192">
          <cell r="M192">
            <v>9.9600000000000009</v>
          </cell>
        </row>
        <row r="193">
          <cell r="M193">
            <v>0.12</v>
          </cell>
        </row>
        <row r="194">
          <cell r="M194">
            <v>0.12</v>
          </cell>
        </row>
        <row r="195">
          <cell r="M195">
            <v>1</v>
          </cell>
        </row>
        <row r="196">
          <cell r="M196">
            <v>1</v>
          </cell>
        </row>
        <row r="197">
          <cell r="M197">
            <v>2</v>
          </cell>
        </row>
        <row r="198">
          <cell r="M198">
            <v>2</v>
          </cell>
        </row>
        <row r="199">
          <cell r="M199">
            <v>90</v>
          </cell>
        </row>
        <row r="200">
          <cell r="M200">
            <v>90</v>
          </cell>
        </row>
        <row r="201">
          <cell r="M201">
            <v>30</v>
          </cell>
        </row>
        <row r="202">
          <cell r="M202">
            <v>60</v>
          </cell>
        </row>
        <row r="203">
          <cell r="M203">
            <v>2</v>
          </cell>
        </row>
        <row r="204">
          <cell r="M204">
            <v>2</v>
          </cell>
        </row>
        <row r="205">
          <cell r="M205">
            <v>1</v>
          </cell>
        </row>
        <row r="206">
          <cell r="M206">
            <v>5</v>
          </cell>
        </row>
        <row r="207">
          <cell r="M207">
            <v>180</v>
          </cell>
        </row>
        <row r="208">
          <cell r="M208"/>
        </row>
        <row r="209">
          <cell r="M209"/>
        </row>
        <row r="210">
          <cell r="M210"/>
        </row>
        <row r="211">
          <cell r="M211">
            <v>50</v>
          </cell>
        </row>
        <row r="212">
          <cell r="M212">
            <v>9</v>
          </cell>
        </row>
        <row r="213">
          <cell r="M213">
            <v>200</v>
          </cell>
        </row>
        <row r="214">
          <cell r="M214"/>
        </row>
        <row r="215">
          <cell r="M215">
            <v>2</v>
          </cell>
        </row>
        <row r="216">
          <cell r="M216">
            <v>2</v>
          </cell>
        </row>
        <row r="217">
          <cell r="M217"/>
        </row>
        <row r="218">
          <cell r="M218">
            <v>2</v>
          </cell>
        </row>
        <row r="219">
          <cell r="M219">
            <v>2</v>
          </cell>
        </row>
        <row r="220">
          <cell r="M220">
            <v>1</v>
          </cell>
        </row>
        <row r="221">
          <cell r="M221">
            <v>5</v>
          </cell>
        </row>
        <row r="222">
          <cell r="M222">
            <v>50</v>
          </cell>
        </row>
        <row r="223">
          <cell r="M223"/>
        </row>
        <row r="224">
          <cell r="M224"/>
        </row>
        <row r="225">
          <cell r="M225"/>
        </row>
        <row r="226">
          <cell r="M226">
            <v>150</v>
          </cell>
        </row>
        <row r="227">
          <cell r="M227">
            <v>27</v>
          </cell>
        </row>
        <row r="228">
          <cell r="M228">
            <v>600</v>
          </cell>
        </row>
        <row r="229">
          <cell r="M229"/>
        </row>
        <row r="230">
          <cell r="M230">
            <v>6</v>
          </cell>
        </row>
        <row r="231">
          <cell r="M231">
            <v>6</v>
          </cell>
        </row>
        <row r="232">
          <cell r="M232"/>
        </row>
        <row r="233">
          <cell r="M233">
            <v>6</v>
          </cell>
        </row>
        <row r="234">
          <cell r="M234">
            <v>6</v>
          </cell>
        </row>
        <row r="235">
          <cell r="M235">
            <v>3</v>
          </cell>
        </row>
        <row r="236">
          <cell r="M236">
            <v>15</v>
          </cell>
        </row>
        <row r="237">
          <cell r="M237">
            <v>150</v>
          </cell>
        </row>
        <row r="238">
          <cell r="M238"/>
        </row>
        <row r="239">
          <cell r="M239"/>
        </row>
        <row r="240">
          <cell r="M240"/>
        </row>
        <row r="241">
          <cell r="M241">
            <v>700</v>
          </cell>
        </row>
        <row r="242">
          <cell r="M242">
            <v>35.35</v>
          </cell>
        </row>
        <row r="243">
          <cell r="M243">
            <v>120</v>
          </cell>
        </row>
        <row r="244">
          <cell r="M244">
            <v>130</v>
          </cell>
        </row>
        <row r="245">
          <cell r="M245">
            <v>569.35</v>
          </cell>
        </row>
        <row r="246">
          <cell r="M246">
            <v>1</v>
          </cell>
        </row>
        <row r="247">
          <cell r="M247">
            <v>12</v>
          </cell>
        </row>
        <row r="248">
          <cell r="M248">
            <v>3</v>
          </cell>
        </row>
        <row r="249">
          <cell r="M249">
            <v>2.4000000000000004</v>
          </cell>
        </row>
        <row r="250">
          <cell r="M250">
            <v>2.4000000000000004</v>
          </cell>
        </row>
        <row r="251">
          <cell r="M251">
            <v>3.0000000000000004</v>
          </cell>
        </row>
        <row r="252">
          <cell r="M252">
            <v>1</v>
          </cell>
        </row>
        <row r="253">
          <cell r="M253">
            <v>2.4</v>
          </cell>
        </row>
        <row r="254">
          <cell r="M254">
            <v>12</v>
          </cell>
        </row>
        <row r="255">
          <cell r="M255">
            <v>0.6</v>
          </cell>
        </row>
        <row r="256">
          <cell r="M256">
            <v>36.000000000000007</v>
          </cell>
        </row>
        <row r="257">
          <cell r="M257">
            <v>2.4000000000000004</v>
          </cell>
        </row>
        <row r="258">
          <cell r="M258">
            <v>2.4000000000000004</v>
          </cell>
        </row>
        <row r="259">
          <cell r="M259"/>
        </row>
        <row r="260">
          <cell r="M260">
            <v>1</v>
          </cell>
        </row>
        <row r="261">
          <cell r="M261">
            <v>522</v>
          </cell>
        </row>
        <row r="262">
          <cell r="M262">
            <v>216</v>
          </cell>
        </row>
        <row r="263">
          <cell r="M263">
            <v>72</v>
          </cell>
        </row>
        <row r="264">
          <cell r="M264"/>
        </row>
        <row r="265">
          <cell r="M265">
            <v>18</v>
          </cell>
        </row>
        <row r="266">
          <cell r="M266">
            <v>98.640000000000015</v>
          </cell>
        </row>
        <row r="267">
          <cell r="M267">
            <v>72</v>
          </cell>
        </row>
        <row r="268">
          <cell r="M268">
            <v>3.6000000000000005</v>
          </cell>
        </row>
        <row r="269">
          <cell r="M269">
            <v>25.92</v>
          </cell>
        </row>
        <row r="270">
          <cell r="M270">
            <v>75.600000000000009</v>
          </cell>
        </row>
        <row r="271">
          <cell r="M271">
            <v>72</v>
          </cell>
        </row>
        <row r="272">
          <cell r="M272">
            <v>190.79999999999998</v>
          </cell>
        </row>
        <row r="273">
          <cell r="M273">
            <v>10.116000000000001</v>
          </cell>
        </row>
        <row r="274">
          <cell r="M274">
            <v>63.000000000000014</v>
          </cell>
        </row>
        <row r="275">
          <cell r="M275">
            <v>35.64</v>
          </cell>
        </row>
        <row r="276">
          <cell r="M276">
            <v>18</v>
          </cell>
        </row>
        <row r="277">
          <cell r="M277"/>
        </row>
        <row r="278">
          <cell r="M278"/>
        </row>
        <row r="279">
          <cell r="M279"/>
        </row>
        <row r="280">
          <cell r="M280">
            <v>225.29999999999998</v>
          </cell>
        </row>
        <row r="281">
          <cell r="M281">
            <v>16.139999999999997</v>
          </cell>
        </row>
        <row r="282">
          <cell r="M282">
            <v>75</v>
          </cell>
        </row>
        <row r="283">
          <cell r="M283">
            <v>85</v>
          </cell>
        </row>
        <row r="284">
          <cell r="M284">
            <v>238.26000000000002</v>
          </cell>
        </row>
        <row r="285">
          <cell r="M285">
            <v>1</v>
          </cell>
        </row>
        <row r="286">
          <cell r="M286">
            <v>12</v>
          </cell>
        </row>
        <row r="287">
          <cell r="M287">
            <v>3</v>
          </cell>
        </row>
        <row r="288">
          <cell r="M288">
            <v>2.4000000000000004</v>
          </cell>
        </row>
        <row r="289">
          <cell r="M289">
            <v>2.4000000000000004</v>
          </cell>
        </row>
        <row r="290">
          <cell r="M290">
            <v>3.0000000000000004</v>
          </cell>
        </row>
        <row r="291">
          <cell r="M291">
            <v>1</v>
          </cell>
        </row>
        <row r="292">
          <cell r="M292">
            <v>2.4</v>
          </cell>
        </row>
        <row r="293">
          <cell r="M293">
            <v>12</v>
          </cell>
        </row>
        <row r="294">
          <cell r="M294">
            <v>0.6</v>
          </cell>
        </row>
        <row r="295">
          <cell r="M295">
            <v>36.000000000000007</v>
          </cell>
        </row>
        <row r="296">
          <cell r="M296">
            <v>2.4000000000000004</v>
          </cell>
        </row>
        <row r="297">
          <cell r="M297">
            <v>2.4000000000000004</v>
          </cell>
        </row>
        <row r="298">
          <cell r="M298"/>
        </row>
        <row r="299">
          <cell r="M299">
            <v>1</v>
          </cell>
        </row>
        <row r="300">
          <cell r="M300">
            <v>340</v>
          </cell>
        </row>
        <row r="301">
          <cell r="M301">
            <v>108</v>
          </cell>
        </row>
        <row r="302">
          <cell r="M302">
            <v>36</v>
          </cell>
        </row>
        <row r="303">
          <cell r="M303"/>
        </row>
        <row r="304">
          <cell r="M304">
            <v>6</v>
          </cell>
        </row>
        <row r="305">
          <cell r="M305">
            <v>32.880000000000003</v>
          </cell>
        </row>
        <row r="306">
          <cell r="M306">
            <v>24</v>
          </cell>
        </row>
        <row r="307">
          <cell r="M307">
            <v>1.2000000000000002</v>
          </cell>
        </row>
        <row r="308">
          <cell r="M308">
            <v>8.64</v>
          </cell>
        </row>
        <row r="309">
          <cell r="M309">
            <v>25.200000000000003</v>
          </cell>
        </row>
        <row r="310">
          <cell r="M310">
            <v>24</v>
          </cell>
        </row>
        <row r="311">
          <cell r="M311">
            <v>63.599999999999994</v>
          </cell>
        </row>
        <row r="312">
          <cell r="M312">
            <v>3.3720000000000003</v>
          </cell>
        </row>
        <row r="313">
          <cell r="M313">
            <v>21.000000000000004</v>
          </cell>
        </row>
        <row r="314">
          <cell r="M314">
            <v>11.88</v>
          </cell>
        </row>
        <row r="315">
          <cell r="M315">
            <v>6</v>
          </cell>
        </row>
        <row r="316">
          <cell r="M316"/>
        </row>
        <row r="317">
          <cell r="M317"/>
        </row>
        <row r="318">
          <cell r="M318"/>
        </row>
        <row r="319">
          <cell r="M319">
            <v>340</v>
          </cell>
        </row>
        <row r="320">
          <cell r="M320">
            <v>25.65</v>
          </cell>
        </row>
        <row r="321">
          <cell r="M321">
            <v>190</v>
          </cell>
        </row>
        <row r="322">
          <cell r="M322">
            <v>291.27000000000004</v>
          </cell>
        </row>
        <row r="323">
          <cell r="M323">
            <v>1</v>
          </cell>
        </row>
        <row r="324">
          <cell r="M324">
            <v>12</v>
          </cell>
        </row>
        <row r="325">
          <cell r="M325">
            <v>3</v>
          </cell>
        </row>
        <row r="326">
          <cell r="M326">
            <v>2.4000000000000004</v>
          </cell>
        </row>
        <row r="327">
          <cell r="M327">
            <v>2.4000000000000004</v>
          </cell>
        </row>
        <row r="328">
          <cell r="M328">
            <v>3.0000000000000004</v>
          </cell>
        </row>
        <row r="329">
          <cell r="M329">
            <v>1</v>
          </cell>
        </row>
        <row r="330">
          <cell r="M330">
            <v>2.4</v>
          </cell>
        </row>
        <row r="331">
          <cell r="M331">
            <v>12</v>
          </cell>
        </row>
        <row r="332">
          <cell r="M332">
            <v>0.6</v>
          </cell>
        </row>
        <row r="333">
          <cell r="M333">
            <v>36.000000000000007</v>
          </cell>
        </row>
        <row r="334">
          <cell r="M334">
            <v>2.4000000000000004</v>
          </cell>
        </row>
        <row r="335">
          <cell r="M335">
            <v>2.4000000000000004</v>
          </cell>
        </row>
        <row r="336">
          <cell r="M336"/>
        </row>
        <row r="337">
          <cell r="M337">
            <v>0.5</v>
          </cell>
        </row>
        <row r="338">
          <cell r="M338">
            <v>374</v>
          </cell>
        </row>
        <row r="339">
          <cell r="M339">
            <v>120</v>
          </cell>
        </row>
        <row r="340">
          <cell r="M340">
            <v>40</v>
          </cell>
        </row>
        <row r="341">
          <cell r="M341"/>
        </row>
        <row r="342">
          <cell r="M342">
            <v>10</v>
          </cell>
        </row>
        <row r="343">
          <cell r="M343">
            <v>54.800000000000004</v>
          </cell>
        </row>
        <row r="344">
          <cell r="M344">
            <v>40</v>
          </cell>
        </row>
        <row r="345">
          <cell r="M345">
            <v>2.0000000000000004</v>
          </cell>
        </row>
        <row r="346">
          <cell r="M346">
            <v>14.400000000000002</v>
          </cell>
        </row>
        <row r="347">
          <cell r="M347">
            <v>42.000000000000007</v>
          </cell>
        </row>
        <row r="348">
          <cell r="M348">
            <v>40</v>
          </cell>
        </row>
        <row r="349">
          <cell r="M349">
            <v>106</v>
          </cell>
        </row>
        <row r="350">
          <cell r="M350">
            <v>5.620000000000001</v>
          </cell>
        </row>
        <row r="351">
          <cell r="M351">
            <v>35.000000000000007</v>
          </cell>
        </row>
        <row r="352">
          <cell r="M352">
            <v>19.8</v>
          </cell>
        </row>
        <row r="353">
          <cell r="M353">
            <v>10</v>
          </cell>
        </row>
        <row r="354">
          <cell r="M354"/>
        </row>
        <row r="355">
          <cell r="M355"/>
        </row>
        <row r="356">
          <cell r="M356"/>
        </row>
        <row r="357">
          <cell r="M357">
            <v>50</v>
          </cell>
        </row>
        <row r="358">
          <cell r="M358">
            <v>3.77</v>
          </cell>
        </row>
        <row r="359">
          <cell r="M359">
            <v>35</v>
          </cell>
        </row>
        <row r="360">
          <cell r="M360">
            <v>36.4</v>
          </cell>
        </row>
        <row r="361">
          <cell r="M361"/>
        </row>
        <row r="362">
          <cell r="M362">
            <v>64.400000000000006</v>
          </cell>
        </row>
        <row r="363">
          <cell r="M363">
            <v>36</v>
          </cell>
        </row>
        <row r="364">
          <cell r="M364">
            <v>12</v>
          </cell>
        </row>
        <row r="365">
          <cell r="M365"/>
        </row>
        <row r="366">
          <cell r="M366">
            <v>3</v>
          </cell>
        </row>
        <row r="367">
          <cell r="M367">
            <v>16.440000000000001</v>
          </cell>
        </row>
        <row r="368">
          <cell r="M368">
            <v>12</v>
          </cell>
        </row>
        <row r="369">
          <cell r="M369">
            <v>0.60000000000000009</v>
          </cell>
        </row>
        <row r="370">
          <cell r="M370">
            <v>4.32</v>
          </cell>
        </row>
        <row r="371">
          <cell r="M371">
            <v>12.600000000000001</v>
          </cell>
        </row>
        <row r="372">
          <cell r="M372">
            <v>12</v>
          </cell>
        </row>
        <row r="373">
          <cell r="M373">
            <v>31.799999999999997</v>
          </cell>
        </row>
        <row r="374">
          <cell r="M374">
            <v>1.6860000000000002</v>
          </cell>
        </row>
        <row r="375">
          <cell r="M375">
            <v>10.500000000000002</v>
          </cell>
        </row>
        <row r="376">
          <cell r="M376">
            <v>5.94</v>
          </cell>
        </row>
        <row r="377">
          <cell r="M377">
            <v>3</v>
          </cell>
        </row>
        <row r="378">
          <cell r="M378"/>
        </row>
        <row r="379">
          <cell r="M379"/>
        </row>
        <row r="380">
          <cell r="M380"/>
        </row>
        <row r="381">
          <cell r="M381">
            <v>64.349999999999994</v>
          </cell>
        </row>
        <row r="382">
          <cell r="M382">
            <v>4.84</v>
          </cell>
        </row>
        <row r="383">
          <cell r="M383">
            <v>45</v>
          </cell>
        </row>
        <row r="384">
          <cell r="M384">
            <v>56.34</v>
          </cell>
        </row>
        <row r="385">
          <cell r="M385">
            <v>1</v>
          </cell>
        </row>
        <row r="386">
          <cell r="M386">
            <v>12</v>
          </cell>
        </row>
        <row r="387">
          <cell r="M387">
            <v>3</v>
          </cell>
        </row>
        <row r="388">
          <cell r="M388">
            <v>2.4000000000000004</v>
          </cell>
        </row>
        <row r="389">
          <cell r="M389">
            <v>2.4000000000000004</v>
          </cell>
        </row>
        <row r="390">
          <cell r="M390">
            <v>3.0000000000000004</v>
          </cell>
        </row>
        <row r="391">
          <cell r="M391">
            <v>1</v>
          </cell>
        </row>
        <row r="392">
          <cell r="M392">
            <v>2.4</v>
          </cell>
        </row>
        <row r="393">
          <cell r="M393">
            <v>12</v>
          </cell>
        </row>
        <row r="394">
          <cell r="M394">
            <v>0.6</v>
          </cell>
        </row>
        <row r="395">
          <cell r="M395">
            <v>36.000000000000007</v>
          </cell>
        </row>
        <row r="396">
          <cell r="M396">
            <v>2.4000000000000004</v>
          </cell>
        </row>
        <row r="397">
          <cell r="M397">
            <v>2.4000000000000004</v>
          </cell>
        </row>
        <row r="398">
          <cell r="M398"/>
        </row>
        <row r="399">
          <cell r="M399">
            <v>0.5</v>
          </cell>
        </row>
        <row r="400">
          <cell r="M400">
            <v>100</v>
          </cell>
        </row>
        <row r="401">
          <cell r="M401">
            <v>36</v>
          </cell>
        </row>
        <row r="402">
          <cell r="M402">
            <v>12</v>
          </cell>
        </row>
        <row r="403">
          <cell r="M403"/>
        </row>
        <row r="404">
          <cell r="M404">
            <v>3</v>
          </cell>
        </row>
        <row r="405">
          <cell r="M405">
            <v>16.440000000000001</v>
          </cell>
        </row>
        <row r="406">
          <cell r="M406">
            <v>12</v>
          </cell>
        </row>
        <row r="407">
          <cell r="M407">
            <v>0.60000000000000009</v>
          </cell>
        </row>
        <row r="408">
          <cell r="M408">
            <v>4.32</v>
          </cell>
        </row>
        <row r="409">
          <cell r="M409">
            <v>12.600000000000001</v>
          </cell>
        </row>
        <row r="410">
          <cell r="M410">
            <v>12</v>
          </cell>
        </row>
        <row r="411">
          <cell r="M411">
            <v>31.799999999999997</v>
          </cell>
        </row>
        <row r="412">
          <cell r="M412">
            <v>1.6860000000000002</v>
          </cell>
        </row>
        <row r="413">
          <cell r="M413">
            <v>10.500000000000002</v>
          </cell>
        </row>
        <row r="414">
          <cell r="M414">
            <v>5.94</v>
          </cell>
        </row>
        <row r="415">
          <cell r="M415">
            <v>3</v>
          </cell>
        </row>
        <row r="416">
          <cell r="M416"/>
        </row>
        <row r="417">
          <cell r="M417"/>
        </row>
        <row r="418">
          <cell r="M418"/>
        </row>
        <row r="419">
          <cell r="M419"/>
        </row>
        <row r="420">
          <cell r="M420"/>
        </row>
        <row r="421">
          <cell r="M421"/>
        </row>
        <row r="422">
          <cell r="M422"/>
        </row>
        <row r="423">
          <cell r="M423"/>
        </row>
        <row r="424">
          <cell r="M424"/>
        </row>
        <row r="425">
          <cell r="M425"/>
        </row>
        <row r="426">
          <cell r="M426"/>
        </row>
        <row r="427">
          <cell r="M427"/>
        </row>
        <row r="428">
          <cell r="M428"/>
        </row>
        <row r="429">
          <cell r="M429"/>
        </row>
        <row r="430">
          <cell r="M430"/>
        </row>
        <row r="431">
          <cell r="M431"/>
        </row>
        <row r="432">
          <cell r="M432"/>
        </row>
        <row r="433">
          <cell r="M433"/>
        </row>
        <row r="434">
          <cell r="M434"/>
        </row>
        <row r="435">
          <cell r="M435"/>
        </row>
        <row r="436">
          <cell r="M436"/>
        </row>
        <row r="437">
          <cell r="M437"/>
        </row>
        <row r="438">
          <cell r="M438"/>
        </row>
        <row r="439">
          <cell r="M439"/>
        </row>
        <row r="440">
          <cell r="M440"/>
        </row>
        <row r="441">
          <cell r="M441"/>
        </row>
        <row r="442">
          <cell r="M442"/>
        </row>
        <row r="443">
          <cell r="M443"/>
        </row>
        <row r="444">
          <cell r="M444"/>
        </row>
        <row r="445">
          <cell r="M445"/>
        </row>
        <row r="446">
          <cell r="M446"/>
        </row>
        <row r="447">
          <cell r="M447"/>
        </row>
        <row r="448">
          <cell r="M448"/>
        </row>
        <row r="449">
          <cell r="M449"/>
        </row>
        <row r="450">
          <cell r="M450"/>
        </row>
        <row r="451">
          <cell r="M451"/>
        </row>
        <row r="452">
          <cell r="M452"/>
        </row>
        <row r="453">
          <cell r="M453"/>
        </row>
        <row r="454">
          <cell r="M454"/>
        </row>
        <row r="455">
          <cell r="M455"/>
        </row>
        <row r="456">
          <cell r="M456"/>
        </row>
        <row r="457">
          <cell r="M457"/>
        </row>
        <row r="458">
          <cell r="M458"/>
        </row>
        <row r="459">
          <cell r="M459">
            <v>375.5</v>
          </cell>
        </row>
        <row r="460">
          <cell r="M460">
            <v>26.9</v>
          </cell>
        </row>
        <row r="461">
          <cell r="M461">
            <v>164</v>
          </cell>
        </row>
        <row r="462">
          <cell r="M462">
            <v>86</v>
          </cell>
        </row>
        <row r="463">
          <cell r="M463">
            <v>303.68</v>
          </cell>
        </row>
        <row r="464">
          <cell r="M464"/>
        </row>
        <row r="465">
          <cell r="M465">
            <v>12</v>
          </cell>
        </row>
        <row r="466">
          <cell r="M466">
            <v>65.760000000000005</v>
          </cell>
        </row>
        <row r="467">
          <cell r="M467">
            <v>48</v>
          </cell>
        </row>
        <row r="468">
          <cell r="M468">
            <v>2.4000000000000004</v>
          </cell>
        </row>
        <row r="469">
          <cell r="M469">
            <v>17.28</v>
          </cell>
        </row>
        <row r="470">
          <cell r="M470">
            <v>50.400000000000006</v>
          </cell>
        </row>
        <row r="471">
          <cell r="M471">
            <v>48</v>
          </cell>
        </row>
        <row r="472">
          <cell r="M472">
            <v>127.19999999999999</v>
          </cell>
        </row>
        <row r="473">
          <cell r="M473">
            <v>6.7440000000000007</v>
          </cell>
        </row>
        <row r="474">
          <cell r="M474">
            <v>42.000000000000007</v>
          </cell>
        </row>
        <row r="475">
          <cell r="M475">
            <v>23.759999999999998</v>
          </cell>
        </row>
        <row r="476">
          <cell r="M476">
            <v>12</v>
          </cell>
        </row>
        <row r="477">
          <cell r="M477"/>
        </row>
        <row r="478">
          <cell r="M478">
            <v>1</v>
          </cell>
        </row>
        <row r="479">
          <cell r="M479" t="str">
            <v/>
          </cell>
        </row>
        <row r="480">
          <cell r="M480">
            <v>79.2</v>
          </cell>
        </row>
        <row r="481">
          <cell r="M481">
            <v>19.36</v>
          </cell>
        </row>
        <row r="482">
          <cell r="M482">
            <v>0.96799999999999997</v>
          </cell>
        </row>
        <row r="483">
          <cell r="M483">
            <v>70.72</v>
          </cell>
        </row>
        <row r="484">
          <cell r="M484">
            <v>1735.2</v>
          </cell>
        </row>
        <row r="485">
          <cell r="M485">
            <v>14.46</v>
          </cell>
        </row>
        <row r="486">
          <cell r="M486">
            <v>14.46</v>
          </cell>
        </row>
        <row r="487">
          <cell r="M487">
            <v>36.61</v>
          </cell>
        </row>
        <row r="488">
          <cell r="M488">
            <v>42.59</v>
          </cell>
        </row>
        <row r="489">
          <cell r="M489">
            <v>1</v>
          </cell>
        </row>
        <row r="490">
          <cell r="M490"/>
        </row>
        <row r="491">
          <cell r="M491">
            <v>510</v>
          </cell>
        </row>
        <row r="492">
          <cell r="M492">
            <v>2755.1</v>
          </cell>
        </row>
        <row r="493">
          <cell r="M493">
            <v>61.34</v>
          </cell>
        </row>
        <row r="494">
          <cell r="M494">
            <v>61.34</v>
          </cell>
        </row>
        <row r="495">
          <cell r="M495">
            <v>79.742000000000004</v>
          </cell>
        </row>
        <row r="496">
          <cell r="M496"/>
        </row>
        <row r="497">
          <cell r="M497">
            <v>27.2</v>
          </cell>
        </row>
        <row r="498">
          <cell r="M498">
            <v>34</v>
          </cell>
        </row>
        <row r="499">
          <cell r="M499">
            <v>4.2525482999999991</v>
          </cell>
        </row>
        <row r="500">
          <cell r="M500">
            <v>4.2525482999999991</v>
          </cell>
        </row>
        <row r="501">
          <cell r="M501">
            <v>27.54</v>
          </cell>
        </row>
        <row r="502">
          <cell r="M502">
            <v>1.38</v>
          </cell>
        </row>
        <row r="503">
          <cell r="M503">
            <v>71.400000000000006</v>
          </cell>
        </row>
        <row r="504">
          <cell r="M504">
            <v>1865.92</v>
          </cell>
        </row>
        <row r="505">
          <cell r="M505">
            <v>11.66</v>
          </cell>
        </row>
        <row r="506">
          <cell r="M506">
            <v>11.66</v>
          </cell>
        </row>
        <row r="507">
          <cell r="M507">
            <v>71.400000000000006</v>
          </cell>
        </row>
        <row r="508">
          <cell r="M508">
            <v>14.16</v>
          </cell>
        </row>
        <row r="509">
          <cell r="M509">
            <v>11.62</v>
          </cell>
        </row>
        <row r="510">
          <cell r="M510"/>
        </row>
        <row r="511">
          <cell r="M511">
            <v>433.58</v>
          </cell>
        </row>
        <row r="512">
          <cell r="M512">
            <v>108.16</v>
          </cell>
        </row>
        <row r="513">
          <cell r="M513">
            <v>5.4080000000000004</v>
          </cell>
        </row>
        <row r="514">
          <cell r="M514">
            <v>187.84</v>
          </cell>
        </row>
        <row r="515">
          <cell r="M515">
            <v>7345.92</v>
          </cell>
        </row>
        <row r="516">
          <cell r="M516">
            <v>61.216000000000001</v>
          </cell>
        </row>
        <row r="517">
          <cell r="M517">
            <v>61.216000000000001</v>
          </cell>
        </row>
        <row r="518">
          <cell r="M518">
            <v>325.41999999999996</v>
          </cell>
        </row>
        <row r="519">
          <cell r="M519">
            <v>213.57999999999998</v>
          </cell>
        </row>
        <row r="520">
          <cell r="M520">
            <v>188</v>
          </cell>
        </row>
        <row r="521">
          <cell r="M521">
            <v>1</v>
          </cell>
        </row>
        <row r="522">
          <cell r="M522" t="str">
            <v/>
          </cell>
        </row>
        <row r="523">
          <cell r="M523">
            <v>97</v>
          </cell>
        </row>
        <row r="524">
          <cell r="M524">
            <v>13.18</v>
          </cell>
        </row>
        <row r="525">
          <cell r="M525">
            <v>0.65900000000000003</v>
          </cell>
        </row>
        <row r="526">
          <cell r="M526">
            <v>58.54</v>
          </cell>
        </row>
        <row r="527">
          <cell r="M527">
            <v>1704</v>
          </cell>
        </row>
        <row r="528">
          <cell r="M528">
            <v>14.2</v>
          </cell>
        </row>
        <row r="529">
          <cell r="M529">
            <v>14.2</v>
          </cell>
        </row>
        <row r="530">
          <cell r="M530">
            <v>68</v>
          </cell>
        </row>
        <row r="531">
          <cell r="M531">
            <v>29</v>
          </cell>
        </row>
        <row r="532">
          <cell r="M532">
            <v>11.34</v>
          </cell>
        </row>
        <row r="533">
          <cell r="M533">
            <v>11.34</v>
          </cell>
        </row>
        <row r="534">
          <cell r="M534">
            <v>10</v>
          </cell>
        </row>
        <row r="535">
          <cell r="M535">
            <v>1</v>
          </cell>
        </row>
        <row r="536">
          <cell r="M536"/>
        </row>
        <row r="537">
          <cell r="M537"/>
        </row>
        <row r="538">
          <cell r="M538">
            <v>29.6</v>
          </cell>
        </row>
        <row r="539">
          <cell r="M539">
            <v>24.8</v>
          </cell>
        </row>
        <row r="540">
          <cell r="M540">
            <v>24</v>
          </cell>
        </row>
        <row r="541">
          <cell r="M541">
            <v>59.61</v>
          </cell>
        </row>
        <row r="542">
          <cell r="M542">
            <v>59.61</v>
          </cell>
        </row>
        <row r="543">
          <cell r="M543">
            <v>59.61</v>
          </cell>
        </row>
        <row r="544">
          <cell r="M544">
            <v>15.51</v>
          </cell>
        </row>
        <row r="545">
          <cell r="M545">
            <v>3</v>
          </cell>
        </row>
        <row r="546">
          <cell r="M546">
            <v>3</v>
          </cell>
        </row>
        <row r="547">
          <cell r="M547">
            <v>3</v>
          </cell>
        </row>
        <row r="548">
          <cell r="M548">
            <v>3</v>
          </cell>
        </row>
        <row r="549">
          <cell r="M549">
            <v>3</v>
          </cell>
        </row>
        <row r="550">
          <cell r="M550"/>
        </row>
        <row r="551">
          <cell r="M551"/>
        </row>
        <row r="552">
          <cell r="M552"/>
        </row>
        <row r="553">
          <cell r="M553"/>
        </row>
        <row r="554">
          <cell r="M554"/>
        </row>
        <row r="555">
          <cell r="M555"/>
        </row>
        <row r="556">
          <cell r="M556"/>
        </row>
        <row r="557">
          <cell r="M557"/>
        </row>
        <row r="558">
          <cell r="M558"/>
        </row>
        <row r="559">
          <cell r="M559"/>
        </row>
        <row r="560">
          <cell r="M560"/>
        </row>
        <row r="561">
          <cell r="M561"/>
        </row>
        <row r="562">
          <cell r="M562"/>
        </row>
        <row r="563">
          <cell r="M563"/>
        </row>
        <row r="564">
          <cell r="M564"/>
        </row>
        <row r="565">
          <cell r="M565"/>
        </row>
        <row r="566">
          <cell r="M566"/>
        </row>
        <row r="567">
          <cell r="M567"/>
        </row>
        <row r="568">
          <cell r="M568"/>
        </row>
        <row r="569">
          <cell r="M569"/>
        </row>
      </sheetData>
      <sheetData sheetId="3">
        <row r="1">
          <cell r="P1"/>
        </row>
        <row r="2">
          <cell r="P2" t="str">
            <v>Qtd Insumo por Serviço</v>
          </cell>
        </row>
        <row r="3">
          <cell r="P3"/>
        </row>
        <row r="4">
          <cell r="P4">
            <v>0</v>
          </cell>
        </row>
        <row r="5">
          <cell r="P5">
            <v>0</v>
          </cell>
        </row>
        <row r="6">
          <cell r="P6">
            <v>0</v>
          </cell>
        </row>
        <row r="7">
          <cell r="P7">
            <v>0</v>
          </cell>
        </row>
        <row r="8">
          <cell r="P8">
            <v>0</v>
          </cell>
        </row>
        <row r="9">
          <cell r="P9">
            <v>0</v>
          </cell>
        </row>
        <row r="10">
          <cell r="P10">
            <v>0</v>
          </cell>
        </row>
        <row r="11">
          <cell r="P11">
            <v>0</v>
          </cell>
        </row>
        <row r="12">
          <cell r="P12">
            <v>0</v>
          </cell>
        </row>
        <row r="13">
          <cell r="P13">
            <v>0</v>
          </cell>
        </row>
        <row r="14">
          <cell r="P14">
            <v>0</v>
          </cell>
        </row>
        <row r="15">
          <cell r="P15">
            <v>0</v>
          </cell>
        </row>
        <row r="16">
          <cell r="P16">
            <v>0</v>
          </cell>
        </row>
        <row r="17">
          <cell r="P17">
            <v>0</v>
          </cell>
        </row>
        <row r="18">
          <cell r="P18">
            <v>0</v>
          </cell>
        </row>
        <row r="19">
          <cell r="P19">
            <v>0</v>
          </cell>
        </row>
        <row r="20">
          <cell r="P20">
            <v>0</v>
          </cell>
        </row>
        <row r="21">
          <cell r="P21">
            <v>0</v>
          </cell>
        </row>
        <row r="22">
          <cell r="P22">
            <v>0</v>
          </cell>
        </row>
        <row r="23">
          <cell r="P23">
            <v>0</v>
          </cell>
        </row>
        <row r="24">
          <cell r="P24">
            <v>0</v>
          </cell>
        </row>
        <row r="25">
          <cell r="P25">
            <v>0</v>
          </cell>
        </row>
        <row r="26">
          <cell r="P26">
            <v>0</v>
          </cell>
        </row>
        <row r="27">
          <cell r="P27">
            <v>0</v>
          </cell>
        </row>
        <row r="28">
          <cell r="P28">
            <v>0</v>
          </cell>
        </row>
        <row r="29">
          <cell r="P29">
            <v>0</v>
          </cell>
        </row>
        <row r="30">
          <cell r="P30">
            <v>0</v>
          </cell>
        </row>
        <row r="31">
          <cell r="P31">
            <v>0</v>
          </cell>
        </row>
        <row r="32">
          <cell r="P32">
            <v>0</v>
          </cell>
        </row>
        <row r="33">
          <cell r="P33">
            <v>0</v>
          </cell>
        </row>
        <row r="34">
          <cell r="P34">
            <v>0</v>
          </cell>
        </row>
        <row r="35">
          <cell r="P35">
            <v>0</v>
          </cell>
        </row>
        <row r="36">
          <cell r="P36">
            <v>0</v>
          </cell>
        </row>
        <row r="37">
          <cell r="P37">
            <v>0</v>
          </cell>
        </row>
        <row r="38">
          <cell r="P38">
            <v>0</v>
          </cell>
        </row>
        <row r="39">
          <cell r="P39">
            <v>0</v>
          </cell>
        </row>
        <row r="40">
          <cell r="P40">
            <v>0</v>
          </cell>
        </row>
        <row r="41">
          <cell r="P41">
            <v>0</v>
          </cell>
        </row>
        <row r="42">
          <cell r="P42">
            <v>0</v>
          </cell>
        </row>
        <row r="43">
          <cell r="P43">
            <v>0</v>
          </cell>
        </row>
        <row r="44">
          <cell r="P44">
            <v>0</v>
          </cell>
        </row>
        <row r="45">
          <cell r="P45">
            <v>0</v>
          </cell>
        </row>
        <row r="46">
          <cell r="P46">
            <v>0</v>
          </cell>
        </row>
        <row r="47">
          <cell r="P47">
            <v>0</v>
          </cell>
        </row>
        <row r="48">
          <cell r="P48">
            <v>0</v>
          </cell>
        </row>
        <row r="49">
          <cell r="P49">
            <v>0</v>
          </cell>
        </row>
        <row r="50">
          <cell r="P50">
            <v>0</v>
          </cell>
        </row>
        <row r="51">
          <cell r="P51">
            <v>0</v>
          </cell>
        </row>
        <row r="52">
          <cell r="P52">
            <v>0</v>
          </cell>
        </row>
        <row r="53">
          <cell r="P53">
            <v>0</v>
          </cell>
        </row>
        <row r="54">
          <cell r="P54">
            <v>0</v>
          </cell>
        </row>
        <row r="55">
          <cell r="P55">
            <v>0</v>
          </cell>
        </row>
        <row r="56">
          <cell r="P56">
            <v>0</v>
          </cell>
        </row>
        <row r="57">
          <cell r="P57">
            <v>0</v>
          </cell>
        </row>
        <row r="58">
          <cell r="P58">
            <v>0</v>
          </cell>
        </row>
        <row r="59">
          <cell r="P59">
            <v>0</v>
          </cell>
        </row>
        <row r="60">
          <cell r="P60">
            <v>0</v>
          </cell>
        </row>
        <row r="61">
          <cell r="P61">
            <v>0</v>
          </cell>
        </row>
        <row r="62">
          <cell r="P62">
            <v>0</v>
          </cell>
        </row>
        <row r="63">
          <cell r="P63">
            <v>0</v>
          </cell>
        </row>
        <row r="64">
          <cell r="P64">
            <v>0</v>
          </cell>
        </row>
        <row r="65">
          <cell r="P65">
            <v>0</v>
          </cell>
        </row>
        <row r="66">
          <cell r="P66">
            <v>0</v>
          </cell>
        </row>
        <row r="67">
          <cell r="P67">
            <v>0</v>
          </cell>
        </row>
        <row r="68">
          <cell r="P68">
            <v>0</v>
          </cell>
        </row>
        <row r="69">
          <cell r="P69">
            <v>0</v>
          </cell>
        </row>
        <row r="70">
          <cell r="P70">
            <v>0</v>
          </cell>
        </row>
        <row r="71">
          <cell r="P71">
            <v>0</v>
          </cell>
        </row>
        <row r="72">
          <cell r="P72">
            <v>0</v>
          </cell>
        </row>
        <row r="73">
          <cell r="P73">
            <v>0</v>
          </cell>
        </row>
        <row r="74">
          <cell r="P74">
            <v>0</v>
          </cell>
        </row>
        <row r="75">
          <cell r="P75">
            <v>0</v>
          </cell>
        </row>
        <row r="76">
          <cell r="P76">
            <v>0</v>
          </cell>
        </row>
        <row r="77">
          <cell r="P77">
            <v>0</v>
          </cell>
        </row>
        <row r="78">
          <cell r="P78">
            <v>0</v>
          </cell>
        </row>
        <row r="79">
          <cell r="P79">
            <v>0</v>
          </cell>
        </row>
        <row r="80">
          <cell r="P80">
            <v>0</v>
          </cell>
        </row>
        <row r="81">
          <cell r="P81">
            <v>0</v>
          </cell>
        </row>
        <row r="82">
          <cell r="P82">
            <v>0</v>
          </cell>
        </row>
        <row r="83">
          <cell r="P83">
            <v>0</v>
          </cell>
        </row>
        <row r="84">
          <cell r="P84">
            <v>0</v>
          </cell>
        </row>
        <row r="85">
          <cell r="P85">
            <v>0</v>
          </cell>
        </row>
        <row r="86">
          <cell r="P86">
            <v>0</v>
          </cell>
        </row>
        <row r="87">
          <cell r="P87">
            <v>0</v>
          </cell>
        </row>
        <row r="88">
          <cell r="P88">
            <v>0</v>
          </cell>
        </row>
        <row r="89">
          <cell r="P89">
            <v>0</v>
          </cell>
        </row>
        <row r="90">
          <cell r="P90">
            <v>0</v>
          </cell>
        </row>
        <row r="91">
          <cell r="P91">
            <v>0</v>
          </cell>
        </row>
        <row r="92">
          <cell r="P92">
            <v>0</v>
          </cell>
        </row>
        <row r="93">
          <cell r="P93">
            <v>0</v>
          </cell>
        </row>
        <row r="94">
          <cell r="P94">
            <v>0</v>
          </cell>
        </row>
        <row r="95">
          <cell r="P95">
            <v>0</v>
          </cell>
        </row>
        <row r="96">
          <cell r="P96">
            <v>0</v>
          </cell>
        </row>
        <row r="97">
          <cell r="P97">
            <v>0</v>
          </cell>
        </row>
        <row r="98">
          <cell r="P98">
            <v>0</v>
          </cell>
        </row>
        <row r="99">
          <cell r="P99">
            <v>0</v>
          </cell>
        </row>
        <row r="100">
          <cell r="P100">
            <v>0</v>
          </cell>
        </row>
        <row r="101">
          <cell r="P101">
            <v>0</v>
          </cell>
        </row>
        <row r="102">
          <cell r="P102">
            <v>0</v>
          </cell>
        </row>
        <row r="103">
          <cell r="P103">
            <v>0</v>
          </cell>
        </row>
        <row r="104">
          <cell r="P104">
            <v>0</v>
          </cell>
        </row>
        <row r="105">
          <cell r="P105">
            <v>0</v>
          </cell>
        </row>
        <row r="106">
          <cell r="P106">
            <v>0</v>
          </cell>
        </row>
        <row r="107">
          <cell r="P107">
            <v>0</v>
          </cell>
        </row>
        <row r="108">
          <cell r="P108">
            <v>0</v>
          </cell>
        </row>
        <row r="109">
          <cell r="P109">
            <v>0</v>
          </cell>
        </row>
        <row r="110">
          <cell r="P110">
            <v>0</v>
          </cell>
        </row>
        <row r="111">
          <cell r="P111">
            <v>0</v>
          </cell>
        </row>
        <row r="112">
          <cell r="P112">
            <v>0</v>
          </cell>
        </row>
        <row r="113">
          <cell r="P113">
            <v>0</v>
          </cell>
        </row>
        <row r="114">
          <cell r="P114">
            <v>0</v>
          </cell>
        </row>
        <row r="115">
          <cell r="P115">
            <v>0</v>
          </cell>
        </row>
        <row r="116">
          <cell r="P116">
            <v>0</v>
          </cell>
        </row>
        <row r="117">
          <cell r="P117">
            <v>0</v>
          </cell>
        </row>
        <row r="118">
          <cell r="P118">
            <v>0</v>
          </cell>
        </row>
        <row r="119">
          <cell r="P119">
            <v>0</v>
          </cell>
        </row>
        <row r="120">
          <cell r="P120">
            <v>0</v>
          </cell>
        </row>
        <row r="121">
          <cell r="P121">
            <v>0</v>
          </cell>
        </row>
        <row r="122">
          <cell r="P122">
            <v>0</v>
          </cell>
        </row>
        <row r="123">
          <cell r="P123">
            <v>0</v>
          </cell>
        </row>
        <row r="124">
          <cell r="P124">
            <v>0</v>
          </cell>
        </row>
        <row r="125">
          <cell r="P125">
            <v>0</v>
          </cell>
        </row>
        <row r="126">
          <cell r="P126">
            <v>0</v>
          </cell>
        </row>
        <row r="127">
          <cell r="P127">
            <v>0</v>
          </cell>
        </row>
        <row r="128">
          <cell r="P128">
            <v>0</v>
          </cell>
        </row>
        <row r="129">
          <cell r="P129">
            <v>0</v>
          </cell>
        </row>
        <row r="130">
          <cell r="P130">
            <v>0</v>
          </cell>
        </row>
        <row r="131">
          <cell r="P131">
            <v>0</v>
          </cell>
        </row>
        <row r="132">
          <cell r="P132">
            <v>0</v>
          </cell>
        </row>
        <row r="133">
          <cell r="P133">
            <v>0</v>
          </cell>
        </row>
        <row r="134">
          <cell r="P134">
            <v>0</v>
          </cell>
        </row>
        <row r="135">
          <cell r="P135">
            <v>0</v>
          </cell>
        </row>
        <row r="136">
          <cell r="P136">
            <v>0</v>
          </cell>
        </row>
        <row r="137">
          <cell r="P137">
            <v>0</v>
          </cell>
        </row>
        <row r="138">
          <cell r="P138">
            <v>0</v>
          </cell>
        </row>
        <row r="139">
          <cell r="P139">
            <v>0</v>
          </cell>
        </row>
        <row r="140">
          <cell r="P140">
            <v>0</v>
          </cell>
        </row>
        <row r="141">
          <cell r="P141">
            <v>0</v>
          </cell>
        </row>
        <row r="142">
          <cell r="P142">
            <v>0</v>
          </cell>
        </row>
        <row r="143">
          <cell r="P143">
            <v>0</v>
          </cell>
        </row>
        <row r="144">
          <cell r="P144">
            <v>0</v>
          </cell>
        </row>
        <row r="145">
          <cell r="P145">
            <v>0</v>
          </cell>
        </row>
        <row r="146">
          <cell r="P146">
            <v>0</v>
          </cell>
        </row>
        <row r="147">
          <cell r="P147">
            <v>0</v>
          </cell>
        </row>
        <row r="148">
          <cell r="P148">
            <v>0</v>
          </cell>
        </row>
        <row r="149">
          <cell r="P149">
            <v>0</v>
          </cell>
        </row>
        <row r="150">
          <cell r="P150">
            <v>0</v>
          </cell>
        </row>
        <row r="151">
          <cell r="P151">
            <v>0</v>
          </cell>
        </row>
        <row r="152">
          <cell r="P152">
            <v>0</v>
          </cell>
        </row>
        <row r="153">
          <cell r="P153">
            <v>0</v>
          </cell>
        </row>
        <row r="154">
          <cell r="P154">
            <v>0</v>
          </cell>
        </row>
        <row r="155">
          <cell r="P155">
            <v>0</v>
          </cell>
        </row>
        <row r="156">
          <cell r="P156">
            <v>0</v>
          </cell>
        </row>
        <row r="157">
          <cell r="P157">
            <v>0</v>
          </cell>
        </row>
        <row r="158">
          <cell r="P158">
            <v>0</v>
          </cell>
        </row>
        <row r="159">
          <cell r="P159">
            <v>0</v>
          </cell>
        </row>
        <row r="160">
          <cell r="P160">
            <v>0</v>
          </cell>
        </row>
        <row r="161">
          <cell r="P161">
            <v>0</v>
          </cell>
        </row>
        <row r="162">
          <cell r="P162">
            <v>0</v>
          </cell>
        </row>
        <row r="163">
          <cell r="P163">
            <v>0</v>
          </cell>
        </row>
        <row r="164">
          <cell r="P164">
            <v>0</v>
          </cell>
        </row>
        <row r="165">
          <cell r="P165">
            <v>0</v>
          </cell>
        </row>
        <row r="166">
          <cell r="P166">
            <v>0</v>
          </cell>
        </row>
        <row r="167">
          <cell r="P167">
            <v>0</v>
          </cell>
        </row>
        <row r="168">
          <cell r="P168">
            <v>0</v>
          </cell>
        </row>
        <row r="169">
          <cell r="P169">
            <v>0</v>
          </cell>
        </row>
        <row r="170">
          <cell r="P170">
            <v>0</v>
          </cell>
        </row>
        <row r="171">
          <cell r="P171">
            <v>0</v>
          </cell>
        </row>
        <row r="172">
          <cell r="P172">
            <v>0</v>
          </cell>
        </row>
        <row r="173">
          <cell r="P173">
            <v>0</v>
          </cell>
        </row>
        <row r="174">
          <cell r="P174">
            <v>0</v>
          </cell>
        </row>
        <row r="175">
          <cell r="P175">
            <v>0</v>
          </cell>
        </row>
        <row r="176">
          <cell r="P176">
            <v>0</v>
          </cell>
        </row>
        <row r="177">
          <cell r="P177">
            <v>0</v>
          </cell>
        </row>
        <row r="178">
          <cell r="P178">
            <v>0</v>
          </cell>
        </row>
        <row r="179">
          <cell r="P179">
            <v>0</v>
          </cell>
        </row>
        <row r="180">
          <cell r="P180">
            <v>0</v>
          </cell>
        </row>
        <row r="181">
          <cell r="P181">
            <v>0</v>
          </cell>
        </row>
        <row r="182">
          <cell r="P182">
            <v>0</v>
          </cell>
        </row>
        <row r="183">
          <cell r="P183">
            <v>0</v>
          </cell>
        </row>
        <row r="184">
          <cell r="P184">
            <v>0</v>
          </cell>
        </row>
        <row r="185">
          <cell r="P185">
            <v>0</v>
          </cell>
        </row>
        <row r="186">
          <cell r="P186">
            <v>0</v>
          </cell>
        </row>
        <row r="187">
          <cell r="P187">
            <v>0</v>
          </cell>
        </row>
        <row r="188">
          <cell r="P188">
            <v>0</v>
          </cell>
        </row>
        <row r="189">
          <cell r="P189">
            <v>0</v>
          </cell>
        </row>
        <row r="190">
          <cell r="P190">
            <v>0</v>
          </cell>
        </row>
        <row r="191">
          <cell r="P191">
            <v>0</v>
          </cell>
        </row>
        <row r="192">
          <cell r="P192">
            <v>0</v>
          </cell>
        </row>
        <row r="193">
          <cell r="P193">
            <v>0</v>
          </cell>
        </row>
        <row r="194">
          <cell r="P194">
            <v>0</v>
          </cell>
        </row>
        <row r="195">
          <cell r="P195">
            <v>0</v>
          </cell>
        </row>
        <row r="196">
          <cell r="P196">
            <v>0</v>
          </cell>
        </row>
        <row r="197">
          <cell r="P197">
            <v>0</v>
          </cell>
        </row>
        <row r="198">
          <cell r="P198">
            <v>0</v>
          </cell>
        </row>
        <row r="199">
          <cell r="P199">
            <v>0</v>
          </cell>
        </row>
        <row r="200">
          <cell r="P200">
            <v>0</v>
          </cell>
        </row>
        <row r="201">
          <cell r="P201">
            <v>0</v>
          </cell>
        </row>
        <row r="202">
          <cell r="P202">
            <v>0</v>
          </cell>
        </row>
        <row r="203">
          <cell r="P203">
            <v>0</v>
          </cell>
        </row>
        <row r="204">
          <cell r="P204">
            <v>0</v>
          </cell>
        </row>
        <row r="205">
          <cell r="P205">
            <v>0</v>
          </cell>
        </row>
        <row r="206">
          <cell r="P206">
            <v>0</v>
          </cell>
        </row>
        <row r="207">
          <cell r="P207">
            <v>0</v>
          </cell>
        </row>
        <row r="208">
          <cell r="P208">
            <v>0</v>
          </cell>
        </row>
        <row r="209">
          <cell r="P209">
            <v>0</v>
          </cell>
        </row>
        <row r="210">
          <cell r="P210">
            <v>0</v>
          </cell>
        </row>
        <row r="211">
          <cell r="P211">
            <v>0</v>
          </cell>
        </row>
        <row r="212">
          <cell r="P212">
            <v>0</v>
          </cell>
        </row>
        <row r="213">
          <cell r="P213">
            <v>0</v>
          </cell>
        </row>
        <row r="214">
          <cell r="P214">
            <v>0</v>
          </cell>
        </row>
        <row r="215">
          <cell r="P215">
            <v>0</v>
          </cell>
        </row>
        <row r="216">
          <cell r="P216">
            <v>0</v>
          </cell>
        </row>
        <row r="217">
          <cell r="P217">
            <v>0</v>
          </cell>
        </row>
        <row r="218">
          <cell r="P218">
            <v>0</v>
          </cell>
        </row>
        <row r="219">
          <cell r="P219">
            <v>0</v>
          </cell>
        </row>
        <row r="220">
          <cell r="P220">
            <v>0</v>
          </cell>
        </row>
        <row r="221">
          <cell r="P221">
            <v>0</v>
          </cell>
        </row>
        <row r="222">
          <cell r="P222">
            <v>0</v>
          </cell>
        </row>
        <row r="223">
          <cell r="P223">
            <v>0</v>
          </cell>
        </row>
        <row r="224">
          <cell r="P224">
            <v>0</v>
          </cell>
        </row>
        <row r="225">
          <cell r="P225">
            <v>0</v>
          </cell>
        </row>
        <row r="226">
          <cell r="P226">
            <v>0</v>
          </cell>
        </row>
        <row r="227">
          <cell r="P227">
            <v>0</v>
          </cell>
        </row>
        <row r="228">
          <cell r="P228">
            <v>0</v>
          </cell>
        </row>
        <row r="229">
          <cell r="P229">
            <v>0</v>
          </cell>
        </row>
        <row r="230">
          <cell r="P230">
            <v>0</v>
          </cell>
        </row>
        <row r="231">
          <cell r="P231">
            <v>0</v>
          </cell>
        </row>
        <row r="232">
          <cell r="P232">
            <v>0</v>
          </cell>
        </row>
        <row r="233">
          <cell r="P233">
            <v>0</v>
          </cell>
        </row>
        <row r="234">
          <cell r="P234">
            <v>0</v>
          </cell>
        </row>
        <row r="235">
          <cell r="P235">
            <v>0</v>
          </cell>
        </row>
        <row r="236">
          <cell r="P236">
            <v>0</v>
          </cell>
        </row>
        <row r="237">
          <cell r="P237">
            <v>0</v>
          </cell>
        </row>
        <row r="238">
          <cell r="P238">
            <v>0</v>
          </cell>
        </row>
        <row r="239">
          <cell r="P239">
            <v>0</v>
          </cell>
        </row>
        <row r="240">
          <cell r="P240">
            <v>0</v>
          </cell>
        </row>
        <row r="241">
          <cell r="P241">
            <v>0</v>
          </cell>
        </row>
        <row r="242">
          <cell r="P242">
            <v>0</v>
          </cell>
        </row>
        <row r="243">
          <cell r="P243">
            <v>0</v>
          </cell>
        </row>
        <row r="244">
          <cell r="P244">
            <v>0</v>
          </cell>
        </row>
        <row r="245">
          <cell r="P245">
            <v>0</v>
          </cell>
        </row>
        <row r="246">
          <cell r="P246">
            <v>0</v>
          </cell>
        </row>
        <row r="247">
          <cell r="P247">
            <v>0</v>
          </cell>
        </row>
        <row r="248">
          <cell r="P248">
            <v>0</v>
          </cell>
        </row>
        <row r="249">
          <cell r="P249">
            <v>0</v>
          </cell>
        </row>
        <row r="250">
          <cell r="P250">
            <v>0</v>
          </cell>
        </row>
        <row r="251">
          <cell r="P251">
            <v>0</v>
          </cell>
        </row>
        <row r="252">
          <cell r="P252">
            <v>0</v>
          </cell>
        </row>
        <row r="253">
          <cell r="P253">
            <v>0</v>
          </cell>
        </row>
        <row r="254">
          <cell r="P254">
            <v>0</v>
          </cell>
        </row>
        <row r="255">
          <cell r="P255">
            <v>0</v>
          </cell>
        </row>
        <row r="256">
          <cell r="P256">
            <v>0</v>
          </cell>
        </row>
        <row r="257">
          <cell r="P257">
            <v>0</v>
          </cell>
        </row>
        <row r="258">
          <cell r="P258">
            <v>0</v>
          </cell>
        </row>
        <row r="259">
          <cell r="P259">
            <v>0</v>
          </cell>
        </row>
        <row r="260">
          <cell r="P260">
            <v>0</v>
          </cell>
        </row>
        <row r="261">
          <cell r="P261">
            <v>0</v>
          </cell>
        </row>
        <row r="262">
          <cell r="P262">
            <v>0</v>
          </cell>
        </row>
        <row r="263">
          <cell r="P263">
            <v>0</v>
          </cell>
        </row>
        <row r="264">
          <cell r="P264">
            <v>0</v>
          </cell>
        </row>
        <row r="265">
          <cell r="P265">
            <v>0</v>
          </cell>
        </row>
        <row r="266">
          <cell r="P266">
            <v>0</v>
          </cell>
        </row>
        <row r="267">
          <cell r="P267">
            <v>0</v>
          </cell>
        </row>
        <row r="268">
          <cell r="P268">
            <v>0</v>
          </cell>
        </row>
        <row r="269">
          <cell r="P269">
            <v>0</v>
          </cell>
        </row>
        <row r="270">
          <cell r="P270">
            <v>0</v>
          </cell>
        </row>
        <row r="271">
          <cell r="P271">
            <v>0</v>
          </cell>
        </row>
        <row r="272">
          <cell r="P272">
            <v>0</v>
          </cell>
        </row>
        <row r="273">
          <cell r="P273">
            <v>0</v>
          </cell>
        </row>
        <row r="274">
          <cell r="P274">
            <v>0</v>
          </cell>
        </row>
        <row r="275">
          <cell r="P275">
            <v>0</v>
          </cell>
        </row>
        <row r="276">
          <cell r="P276">
            <v>0</v>
          </cell>
        </row>
        <row r="277">
          <cell r="P277">
            <v>0</v>
          </cell>
        </row>
        <row r="278">
          <cell r="P278">
            <v>0</v>
          </cell>
        </row>
        <row r="279">
          <cell r="P279">
            <v>0</v>
          </cell>
        </row>
        <row r="280">
          <cell r="P280">
            <v>0</v>
          </cell>
        </row>
        <row r="281">
          <cell r="P281">
            <v>0</v>
          </cell>
        </row>
        <row r="282">
          <cell r="P282">
            <v>0</v>
          </cell>
        </row>
        <row r="283">
          <cell r="P283">
            <v>0</v>
          </cell>
        </row>
        <row r="284">
          <cell r="P284">
            <v>0</v>
          </cell>
        </row>
        <row r="285">
          <cell r="P285">
            <v>0</v>
          </cell>
        </row>
        <row r="286">
          <cell r="P286">
            <v>0</v>
          </cell>
        </row>
        <row r="287">
          <cell r="P287">
            <v>0</v>
          </cell>
        </row>
        <row r="288">
          <cell r="P288">
            <v>0</v>
          </cell>
        </row>
        <row r="289">
          <cell r="P289">
            <v>0</v>
          </cell>
        </row>
        <row r="290">
          <cell r="P290">
            <v>0</v>
          </cell>
        </row>
        <row r="291">
          <cell r="P291">
            <v>0</v>
          </cell>
        </row>
        <row r="292">
          <cell r="P292">
            <v>0</v>
          </cell>
        </row>
        <row r="293">
          <cell r="P293">
            <v>0</v>
          </cell>
        </row>
        <row r="294">
          <cell r="P294">
            <v>0</v>
          </cell>
        </row>
        <row r="295">
          <cell r="P295">
            <v>0</v>
          </cell>
        </row>
        <row r="296">
          <cell r="P296">
            <v>0</v>
          </cell>
        </row>
        <row r="297">
          <cell r="P297">
            <v>0</v>
          </cell>
        </row>
        <row r="298">
          <cell r="P298">
            <v>0</v>
          </cell>
        </row>
        <row r="299">
          <cell r="P299">
            <v>0</v>
          </cell>
        </row>
        <row r="300">
          <cell r="P300">
            <v>0</v>
          </cell>
        </row>
        <row r="301">
          <cell r="P301">
            <v>0</v>
          </cell>
        </row>
        <row r="302">
          <cell r="P302">
            <v>0</v>
          </cell>
        </row>
        <row r="303">
          <cell r="P303">
            <v>0</v>
          </cell>
        </row>
        <row r="304">
          <cell r="P304">
            <v>0</v>
          </cell>
        </row>
        <row r="305">
          <cell r="P305">
            <v>0</v>
          </cell>
        </row>
        <row r="306">
          <cell r="P306">
            <v>0</v>
          </cell>
        </row>
        <row r="307">
          <cell r="P307">
            <v>0</v>
          </cell>
        </row>
        <row r="308">
          <cell r="P308">
            <v>0</v>
          </cell>
        </row>
        <row r="309">
          <cell r="P309">
            <v>0</v>
          </cell>
        </row>
        <row r="310">
          <cell r="P310">
            <v>0</v>
          </cell>
        </row>
        <row r="311">
          <cell r="P311">
            <v>0</v>
          </cell>
        </row>
        <row r="312">
          <cell r="P312">
            <v>0</v>
          </cell>
        </row>
        <row r="313">
          <cell r="P313">
            <v>0</v>
          </cell>
        </row>
        <row r="314">
          <cell r="P314">
            <v>0</v>
          </cell>
        </row>
        <row r="315">
          <cell r="P315">
            <v>0</v>
          </cell>
        </row>
        <row r="316">
          <cell r="P316">
            <v>0</v>
          </cell>
        </row>
        <row r="317">
          <cell r="P317">
            <v>0</v>
          </cell>
        </row>
        <row r="318">
          <cell r="P318">
            <v>0</v>
          </cell>
        </row>
        <row r="319">
          <cell r="P319">
            <v>0</v>
          </cell>
        </row>
        <row r="320">
          <cell r="P320">
            <v>0</v>
          </cell>
        </row>
        <row r="321">
          <cell r="P321">
            <v>0</v>
          </cell>
        </row>
        <row r="322">
          <cell r="P322">
            <v>0</v>
          </cell>
        </row>
        <row r="323">
          <cell r="P323">
            <v>0</v>
          </cell>
        </row>
        <row r="324">
          <cell r="P324">
            <v>0</v>
          </cell>
        </row>
        <row r="325">
          <cell r="P325">
            <v>0</v>
          </cell>
        </row>
        <row r="326">
          <cell r="P326">
            <v>0</v>
          </cell>
        </row>
        <row r="327">
          <cell r="P327">
            <v>0</v>
          </cell>
        </row>
        <row r="328">
          <cell r="P328">
            <v>0</v>
          </cell>
        </row>
        <row r="329">
          <cell r="P329">
            <v>0</v>
          </cell>
        </row>
        <row r="330">
          <cell r="P330">
            <v>0</v>
          </cell>
        </row>
        <row r="331">
          <cell r="P331">
            <v>0</v>
          </cell>
        </row>
        <row r="332">
          <cell r="P332">
            <v>0</v>
          </cell>
        </row>
        <row r="333">
          <cell r="P333">
            <v>0</v>
          </cell>
        </row>
        <row r="334">
          <cell r="P334">
            <v>0</v>
          </cell>
        </row>
        <row r="335">
          <cell r="P335">
            <v>0</v>
          </cell>
        </row>
        <row r="336">
          <cell r="P336">
            <v>0</v>
          </cell>
        </row>
        <row r="337">
          <cell r="P337">
            <v>0</v>
          </cell>
        </row>
        <row r="338">
          <cell r="P338">
            <v>0</v>
          </cell>
        </row>
        <row r="339">
          <cell r="P339">
            <v>0</v>
          </cell>
        </row>
        <row r="340">
          <cell r="P340">
            <v>0</v>
          </cell>
        </row>
        <row r="341">
          <cell r="P341">
            <v>0</v>
          </cell>
        </row>
        <row r="342">
          <cell r="P342">
            <v>0</v>
          </cell>
        </row>
        <row r="343">
          <cell r="P343">
            <v>0</v>
          </cell>
        </row>
        <row r="344">
          <cell r="P344">
            <v>0</v>
          </cell>
        </row>
        <row r="345">
          <cell r="P345">
            <v>0</v>
          </cell>
        </row>
        <row r="346">
          <cell r="P346">
            <v>0</v>
          </cell>
        </row>
        <row r="347">
          <cell r="P347">
            <v>0</v>
          </cell>
        </row>
        <row r="348">
          <cell r="P348">
            <v>0</v>
          </cell>
        </row>
        <row r="349">
          <cell r="P349">
            <v>0</v>
          </cell>
        </row>
        <row r="350">
          <cell r="P350">
            <v>0</v>
          </cell>
        </row>
        <row r="351">
          <cell r="P351">
            <v>0</v>
          </cell>
        </row>
        <row r="352">
          <cell r="P352">
            <v>0</v>
          </cell>
        </row>
        <row r="353">
          <cell r="P353">
            <v>0</v>
          </cell>
        </row>
        <row r="354">
          <cell r="P354">
            <v>0</v>
          </cell>
        </row>
        <row r="355">
          <cell r="P355">
            <v>0</v>
          </cell>
        </row>
        <row r="356">
          <cell r="P356">
            <v>0</v>
          </cell>
        </row>
        <row r="357">
          <cell r="P357">
            <v>0</v>
          </cell>
        </row>
        <row r="358">
          <cell r="P358">
            <v>0</v>
          </cell>
        </row>
        <row r="359">
          <cell r="P359">
            <v>0</v>
          </cell>
        </row>
        <row r="360">
          <cell r="P360">
            <v>0</v>
          </cell>
        </row>
        <row r="361">
          <cell r="P361">
            <v>0</v>
          </cell>
        </row>
        <row r="362">
          <cell r="P362">
            <v>0</v>
          </cell>
        </row>
        <row r="363">
          <cell r="P363">
            <v>0</v>
          </cell>
        </row>
        <row r="364">
          <cell r="P364">
            <v>0</v>
          </cell>
        </row>
        <row r="365">
          <cell r="P365">
            <v>0</v>
          </cell>
        </row>
        <row r="366">
          <cell r="P366">
            <v>0</v>
          </cell>
        </row>
        <row r="367">
          <cell r="P367">
            <v>0</v>
          </cell>
        </row>
        <row r="368">
          <cell r="P368">
            <v>0</v>
          </cell>
        </row>
        <row r="369">
          <cell r="P369">
            <v>0</v>
          </cell>
        </row>
        <row r="370">
          <cell r="P370">
            <v>0</v>
          </cell>
        </row>
        <row r="371">
          <cell r="P371">
            <v>0</v>
          </cell>
        </row>
        <row r="372">
          <cell r="P372">
            <v>0</v>
          </cell>
        </row>
        <row r="373">
          <cell r="P373">
            <v>0</v>
          </cell>
        </row>
        <row r="374">
          <cell r="P374">
            <v>0</v>
          </cell>
        </row>
        <row r="375">
          <cell r="P375">
            <v>0</v>
          </cell>
        </row>
        <row r="376">
          <cell r="P376">
            <v>0</v>
          </cell>
        </row>
        <row r="377">
          <cell r="P377">
            <v>0</v>
          </cell>
        </row>
        <row r="378">
          <cell r="P378">
            <v>0</v>
          </cell>
        </row>
        <row r="379">
          <cell r="P379">
            <v>0</v>
          </cell>
        </row>
        <row r="380">
          <cell r="P380">
            <v>0</v>
          </cell>
        </row>
        <row r="381">
          <cell r="P381">
            <v>0</v>
          </cell>
        </row>
        <row r="382">
          <cell r="P382">
            <v>0</v>
          </cell>
        </row>
        <row r="383">
          <cell r="P383">
            <v>0</v>
          </cell>
        </row>
        <row r="384">
          <cell r="P384">
            <v>0</v>
          </cell>
        </row>
        <row r="385">
          <cell r="P385">
            <v>0</v>
          </cell>
        </row>
        <row r="386">
          <cell r="P386">
            <v>0</v>
          </cell>
        </row>
        <row r="387">
          <cell r="P387">
            <v>0</v>
          </cell>
        </row>
        <row r="388">
          <cell r="P388">
            <v>0</v>
          </cell>
        </row>
        <row r="389">
          <cell r="P389">
            <v>0</v>
          </cell>
        </row>
        <row r="390">
          <cell r="P390">
            <v>0</v>
          </cell>
        </row>
        <row r="391">
          <cell r="P391">
            <v>0</v>
          </cell>
        </row>
        <row r="392">
          <cell r="P392">
            <v>0</v>
          </cell>
        </row>
        <row r="393">
          <cell r="P393">
            <v>0</v>
          </cell>
        </row>
        <row r="394">
          <cell r="P394">
            <v>0</v>
          </cell>
        </row>
        <row r="395">
          <cell r="P395">
            <v>0</v>
          </cell>
        </row>
        <row r="396">
          <cell r="P396">
            <v>0</v>
          </cell>
        </row>
        <row r="397">
          <cell r="P397">
            <v>0</v>
          </cell>
        </row>
        <row r="398">
          <cell r="P398">
            <v>0</v>
          </cell>
        </row>
        <row r="399">
          <cell r="P399">
            <v>0</v>
          </cell>
        </row>
        <row r="400">
          <cell r="P400">
            <v>0</v>
          </cell>
        </row>
        <row r="401">
          <cell r="P401">
            <v>0</v>
          </cell>
        </row>
        <row r="402">
          <cell r="P402">
            <v>0</v>
          </cell>
        </row>
        <row r="403">
          <cell r="P403">
            <v>0</v>
          </cell>
        </row>
        <row r="404">
          <cell r="P404">
            <v>0</v>
          </cell>
        </row>
        <row r="405">
          <cell r="P405">
            <v>0</v>
          </cell>
        </row>
        <row r="406">
          <cell r="P406">
            <v>0</v>
          </cell>
        </row>
        <row r="407">
          <cell r="P407">
            <v>0</v>
          </cell>
        </row>
        <row r="408">
          <cell r="P408">
            <v>0</v>
          </cell>
        </row>
        <row r="409">
          <cell r="P409">
            <v>0</v>
          </cell>
        </row>
        <row r="410">
          <cell r="P410">
            <v>0</v>
          </cell>
        </row>
        <row r="411">
          <cell r="P411">
            <v>0</v>
          </cell>
        </row>
        <row r="412">
          <cell r="P412">
            <v>0</v>
          </cell>
        </row>
        <row r="413">
          <cell r="P413">
            <v>0</v>
          </cell>
        </row>
        <row r="414">
          <cell r="P414">
            <v>0</v>
          </cell>
        </row>
        <row r="415">
          <cell r="P415">
            <v>0</v>
          </cell>
        </row>
        <row r="416">
          <cell r="P416">
            <v>0</v>
          </cell>
        </row>
        <row r="417">
          <cell r="P417">
            <v>0</v>
          </cell>
        </row>
        <row r="418">
          <cell r="P418">
            <v>0</v>
          </cell>
        </row>
        <row r="419">
          <cell r="P419">
            <v>0</v>
          </cell>
        </row>
        <row r="420">
          <cell r="P420">
            <v>0</v>
          </cell>
        </row>
        <row r="421">
          <cell r="P421">
            <v>0</v>
          </cell>
        </row>
        <row r="422">
          <cell r="P422">
            <v>0</v>
          </cell>
        </row>
        <row r="423">
          <cell r="P423">
            <v>0</v>
          </cell>
        </row>
        <row r="424">
          <cell r="P424">
            <v>0</v>
          </cell>
        </row>
        <row r="425">
          <cell r="P425">
            <v>0</v>
          </cell>
        </row>
        <row r="426">
          <cell r="P426">
            <v>0</v>
          </cell>
        </row>
        <row r="427">
          <cell r="P427">
            <v>0</v>
          </cell>
        </row>
        <row r="428">
          <cell r="P428">
            <v>0</v>
          </cell>
        </row>
        <row r="429">
          <cell r="P429">
            <v>0</v>
          </cell>
        </row>
        <row r="430">
          <cell r="P430">
            <v>0</v>
          </cell>
        </row>
        <row r="431">
          <cell r="P431">
            <v>0</v>
          </cell>
        </row>
        <row r="432">
          <cell r="P432">
            <v>0</v>
          </cell>
        </row>
        <row r="433">
          <cell r="P433">
            <v>0</v>
          </cell>
        </row>
        <row r="434">
          <cell r="P434">
            <v>0</v>
          </cell>
        </row>
        <row r="435">
          <cell r="P435">
            <v>0</v>
          </cell>
        </row>
        <row r="436">
          <cell r="P436">
            <v>0</v>
          </cell>
        </row>
        <row r="437">
          <cell r="P437">
            <v>0</v>
          </cell>
        </row>
        <row r="438">
          <cell r="P438">
            <v>0</v>
          </cell>
        </row>
        <row r="439">
          <cell r="P439">
            <v>0</v>
          </cell>
        </row>
        <row r="440">
          <cell r="P440">
            <v>0</v>
          </cell>
        </row>
        <row r="441">
          <cell r="P441">
            <v>0</v>
          </cell>
        </row>
        <row r="442">
          <cell r="P442">
            <v>0</v>
          </cell>
        </row>
        <row r="443">
          <cell r="P443">
            <v>0</v>
          </cell>
        </row>
        <row r="444">
          <cell r="P444">
            <v>0</v>
          </cell>
        </row>
        <row r="445">
          <cell r="P445">
            <v>0</v>
          </cell>
        </row>
        <row r="446">
          <cell r="P446">
            <v>0</v>
          </cell>
        </row>
        <row r="447">
          <cell r="P447">
            <v>0</v>
          </cell>
        </row>
        <row r="448">
          <cell r="P448">
            <v>0</v>
          </cell>
        </row>
        <row r="449">
          <cell r="P449">
            <v>0</v>
          </cell>
        </row>
        <row r="450">
          <cell r="P450">
            <v>0</v>
          </cell>
        </row>
        <row r="451">
          <cell r="P451">
            <v>0</v>
          </cell>
        </row>
        <row r="452">
          <cell r="P452">
            <v>0</v>
          </cell>
        </row>
        <row r="453">
          <cell r="P453">
            <v>0</v>
          </cell>
        </row>
        <row r="454">
          <cell r="P454">
            <v>0</v>
          </cell>
        </row>
        <row r="455">
          <cell r="P455">
            <v>0</v>
          </cell>
        </row>
        <row r="456">
          <cell r="P456">
            <v>0</v>
          </cell>
        </row>
        <row r="457">
          <cell r="P457">
            <v>0</v>
          </cell>
        </row>
        <row r="458">
          <cell r="P458">
            <v>0</v>
          </cell>
        </row>
        <row r="459">
          <cell r="P459">
            <v>0</v>
          </cell>
        </row>
        <row r="460">
          <cell r="P460">
            <v>0</v>
          </cell>
        </row>
        <row r="461">
          <cell r="P461">
            <v>0</v>
          </cell>
        </row>
        <row r="462">
          <cell r="P462">
            <v>0</v>
          </cell>
        </row>
        <row r="463">
          <cell r="P463">
            <v>0</v>
          </cell>
        </row>
        <row r="464">
          <cell r="P464">
            <v>0</v>
          </cell>
        </row>
        <row r="465">
          <cell r="P465">
            <v>0</v>
          </cell>
        </row>
        <row r="466">
          <cell r="P466">
            <v>0</v>
          </cell>
        </row>
        <row r="467">
          <cell r="P467">
            <v>0</v>
          </cell>
        </row>
        <row r="468">
          <cell r="P468">
            <v>0</v>
          </cell>
        </row>
        <row r="469">
          <cell r="P469">
            <v>0</v>
          </cell>
        </row>
        <row r="470">
          <cell r="P470">
            <v>0</v>
          </cell>
        </row>
        <row r="471">
          <cell r="P471">
            <v>0</v>
          </cell>
        </row>
        <row r="472">
          <cell r="P472">
            <v>0</v>
          </cell>
        </row>
        <row r="473">
          <cell r="P473">
            <v>0</v>
          </cell>
        </row>
        <row r="474">
          <cell r="P474">
            <v>0</v>
          </cell>
        </row>
        <row r="475">
          <cell r="P475">
            <v>0</v>
          </cell>
        </row>
        <row r="476">
          <cell r="P476">
            <v>0</v>
          </cell>
        </row>
        <row r="477">
          <cell r="P477">
            <v>0</v>
          </cell>
        </row>
        <row r="478">
          <cell r="P478">
            <v>0</v>
          </cell>
        </row>
        <row r="479">
          <cell r="P479">
            <v>0</v>
          </cell>
        </row>
        <row r="480">
          <cell r="P480">
            <v>0</v>
          </cell>
        </row>
        <row r="481">
          <cell r="P481">
            <v>0</v>
          </cell>
        </row>
        <row r="482">
          <cell r="P482">
            <v>0</v>
          </cell>
        </row>
        <row r="483">
          <cell r="P483">
            <v>0</v>
          </cell>
        </row>
        <row r="484">
          <cell r="P484">
            <v>0</v>
          </cell>
        </row>
        <row r="485">
          <cell r="P485">
            <v>0</v>
          </cell>
        </row>
        <row r="486">
          <cell r="P486">
            <v>0</v>
          </cell>
        </row>
        <row r="487">
          <cell r="P487">
            <v>0</v>
          </cell>
        </row>
        <row r="488">
          <cell r="P488">
            <v>0</v>
          </cell>
        </row>
        <row r="489">
          <cell r="P489">
            <v>0</v>
          </cell>
        </row>
        <row r="490">
          <cell r="P490">
            <v>0</v>
          </cell>
        </row>
        <row r="491">
          <cell r="P491">
            <v>0</v>
          </cell>
        </row>
        <row r="492">
          <cell r="P492">
            <v>0</v>
          </cell>
        </row>
        <row r="493">
          <cell r="P493">
            <v>0</v>
          </cell>
        </row>
        <row r="494">
          <cell r="P494">
            <v>0</v>
          </cell>
        </row>
        <row r="495">
          <cell r="P495">
            <v>0</v>
          </cell>
        </row>
        <row r="496">
          <cell r="P496">
            <v>0</v>
          </cell>
        </row>
        <row r="497">
          <cell r="P497">
            <v>0</v>
          </cell>
        </row>
        <row r="498">
          <cell r="P498">
            <v>0</v>
          </cell>
        </row>
        <row r="499">
          <cell r="P499">
            <v>0</v>
          </cell>
        </row>
        <row r="500">
          <cell r="P500">
            <v>0</v>
          </cell>
        </row>
        <row r="501">
          <cell r="P501">
            <v>0</v>
          </cell>
        </row>
        <row r="502">
          <cell r="P502">
            <v>0</v>
          </cell>
        </row>
        <row r="503">
          <cell r="P503">
            <v>0</v>
          </cell>
        </row>
        <row r="504">
          <cell r="P504">
            <v>0</v>
          </cell>
        </row>
        <row r="505">
          <cell r="P505">
            <v>0</v>
          </cell>
        </row>
        <row r="506">
          <cell r="P506">
            <v>0</v>
          </cell>
        </row>
        <row r="507">
          <cell r="P507">
            <v>0</v>
          </cell>
        </row>
        <row r="508">
          <cell r="P508">
            <v>0</v>
          </cell>
        </row>
        <row r="509">
          <cell r="P509">
            <v>0</v>
          </cell>
        </row>
        <row r="510">
          <cell r="P510">
            <v>0</v>
          </cell>
        </row>
        <row r="511">
          <cell r="P511">
            <v>0</v>
          </cell>
        </row>
        <row r="512">
          <cell r="P512">
            <v>0</v>
          </cell>
        </row>
        <row r="513">
          <cell r="P513">
            <v>0</v>
          </cell>
        </row>
        <row r="514">
          <cell r="P514">
            <v>0</v>
          </cell>
        </row>
        <row r="515">
          <cell r="P515">
            <v>0</v>
          </cell>
        </row>
        <row r="516">
          <cell r="P516">
            <v>0</v>
          </cell>
        </row>
        <row r="517">
          <cell r="P517">
            <v>0</v>
          </cell>
        </row>
        <row r="518">
          <cell r="P518">
            <v>0</v>
          </cell>
        </row>
        <row r="519">
          <cell r="P519">
            <v>0</v>
          </cell>
        </row>
        <row r="520">
          <cell r="P520">
            <v>0</v>
          </cell>
        </row>
        <row r="521">
          <cell r="P521">
            <v>0</v>
          </cell>
        </row>
        <row r="522">
          <cell r="P522">
            <v>0</v>
          </cell>
        </row>
        <row r="523">
          <cell r="P523">
            <v>0</v>
          </cell>
        </row>
        <row r="524">
          <cell r="P524">
            <v>0</v>
          </cell>
        </row>
        <row r="525">
          <cell r="P525">
            <v>0</v>
          </cell>
        </row>
        <row r="526">
          <cell r="P526">
            <v>0</v>
          </cell>
        </row>
        <row r="527">
          <cell r="P527">
            <v>0</v>
          </cell>
        </row>
        <row r="528">
          <cell r="P528">
            <v>0</v>
          </cell>
        </row>
        <row r="529">
          <cell r="P529">
            <v>0</v>
          </cell>
        </row>
        <row r="530">
          <cell r="P530">
            <v>0</v>
          </cell>
        </row>
        <row r="531">
          <cell r="P531">
            <v>0</v>
          </cell>
        </row>
        <row r="532">
          <cell r="P532">
            <v>0</v>
          </cell>
        </row>
        <row r="533">
          <cell r="P533">
            <v>0</v>
          </cell>
        </row>
        <row r="534">
          <cell r="P534">
            <v>0</v>
          </cell>
        </row>
        <row r="535">
          <cell r="P535">
            <v>0</v>
          </cell>
        </row>
        <row r="536">
          <cell r="P536">
            <v>0</v>
          </cell>
        </row>
        <row r="537">
          <cell r="P537">
            <v>0</v>
          </cell>
        </row>
        <row r="538">
          <cell r="P538">
            <v>0</v>
          </cell>
        </row>
        <row r="539">
          <cell r="P539">
            <v>0</v>
          </cell>
        </row>
        <row r="540">
          <cell r="P540">
            <v>0</v>
          </cell>
        </row>
        <row r="541">
          <cell r="P541">
            <v>0</v>
          </cell>
        </row>
        <row r="542">
          <cell r="P542">
            <v>0</v>
          </cell>
        </row>
        <row r="543">
          <cell r="P543">
            <v>0</v>
          </cell>
        </row>
        <row r="544">
          <cell r="P544">
            <v>0</v>
          </cell>
        </row>
        <row r="545">
          <cell r="P545">
            <v>0</v>
          </cell>
        </row>
        <row r="546">
          <cell r="P546">
            <v>0</v>
          </cell>
        </row>
        <row r="547">
          <cell r="P547">
            <v>0</v>
          </cell>
        </row>
        <row r="548">
          <cell r="P548">
            <v>0</v>
          </cell>
        </row>
        <row r="549">
          <cell r="P549">
            <v>0</v>
          </cell>
        </row>
        <row r="550">
          <cell r="P550">
            <v>0</v>
          </cell>
        </row>
        <row r="551">
          <cell r="P551">
            <v>0</v>
          </cell>
        </row>
        <row r="552">
          <cell r="P552">
            <v>0</v>
          </cell>
        </row>
        <row r="553">
          <cell r="P553">
            <v>0</v>
          </cell>
        </row>
        <row r="554">
          <cell r="P554">
            <v>0</v>
          </cell>
        </row>
        <row r="555">
          <cell r="P555">
            <v>0</v>
          </cell>
        </row>
        <row r="556">
          <cell r="P556">
            <v>0</v>
          </cell>
        </row>
        <row r="557">
          <cell r="P557">
            <v>0</v>
          </cell>
        </row>
        <row r="558">
          <cell r="P558">
            <v>0</v>
          </cell>
        </row>
        <row r="559">
          <cell r="P559">
            <v>0</v>
          </cell>
        </row>
        <row r="560">
          <cell r="P560">
            <v>0</v>
          </cell>
        </row>
        <row r="561">
          <cell r="P561">
            <v>0</v>
          </cell>
        </row>
        <row r="562">
          <cell r="P562">
            <v>0</v>
          </cell>
        </row>
        <row r="563">
          <cell r="P563">
            <v>0</v>
          </cell>
        </row>
        <row r="564">
          <cell r="P564">
            <v>0</v>
          </cell>
        </row>
        <row r="565">
          <cell r="P565">
            <v>0</v>
          </cell>
        </row>
        <row r="566">
          <cell r="P566">
            <v>0</v>
          </cell>
        </row>
        <row r="567">
          <cell r="P567">
            <v>0</v>
          </cell>
        </row>
        <row r="568">
          <cell r="P568">
            <v>0</v>
          </cell>
        </row>
        <row r="569">
          <cell r="P569">
            <v>0</v>
          </cell>
        </row>
        <row r="570">
          <cell r="P570">
            <v>0</v>
          </cell>
        </row>
        <row r="571">
          <cell r="P571">
            <v>0</v>
          </cell>
        </row>
        <row r="572">
          <cell r="P572">
            <v>0</v>
          </cell>
        </row>
        <row r="573">
          <cell r="P573">
            <v>0</v>
          </cell>
        </row>
        <row r="574">
          <cell r="P574">
            <v>0</v>
          </cell>
        </row>
        <row r="575">
          <cell r="P575">
            <v>0</v>
          </cell>
        </row>
        <row r="576">
          <cell r="P576">
            <v>0</v>
          </cell>
        </row>
        <row r="577">
          <cell r="P577">
            <v>0</v>
          </cell>
        </row>
        <row r="578">
          <cell r="P578">
            <v>0</v>
          </cell>
        </row>
        <row r="579">
          <cell r="P579">
            <v>0</v>
          </cell>
        </row>
        <row r="580">
          <cell r="P580">
            <v>0</v>
          </cell>
        </row>
        <row r="581">
          <cell r="P581">
            <v>0</v>
          </cell>
        </row>
        <row r="582">
          <cell r="P582">
            <v>0</v>
          </cell>
        </row>
        <row r="583">
          <cell r="P583">
            <v>0</v>
          </cell>
        </row>
        <row r="584">
          <cell r="P584">
            <v>0</v>
          </cell>
        </row>
        <row r="585">
          <cell r="P585">
            <v>0</v>
          </cell>
        </row>
        <row r="586">
          <cell r="P586">
            <v>0</v>
          </cell>
        </row>
        <row r="587">
          <cell r="P587">
            <v>0</v>
          </cell>
        </row>
        <row r="588">
          <cell r="P588">
            <v>0</v>
          </cell>
        </row>
        <row r="589">
          <cell r="P589">
            <v>0</v>
          </cell>
        </row>
        <row r="590">
          <cell r="P590">
            <v>0</v>
          </cell>
        </row>
        <row r="591">
          <cell r="P591">
            <v>0</v>
          </cell>
        </row>
        <row r="592">
          <cell r="P592">
            <v>0</v>
          </cell>
        </row>
        <row r="593">
          <cell r="P593">
            <v>0</v>
          </cell>
        </row>
        <row r="594">
          <cell r="P594">
            <v>0</v>
          </cell>
        </row>
        <row r="595">
          <cell r="P595">
            <v>0</v>
          </cell>
        </row>
        <row r="596">
          <cell r="P596">
            <v>0</v>
          </cell>
        </row>
        <row r="597">
          <cell r="P597">
            <v>0</v>
          </cell>
        </row>
        <row r="598">
          <cell r="P598">
            <v>0</v>
          </cell>
        </row>
        <row r="599">
          <cell r="P599">
            <v>0</v>
          </cell>
        </row>
        <row r="600">
          <cell r="P600">
            <v>0</v>
          </cell>
        </row>
        <row r="601">
          <cell r="P601">
            <v>0</v>
          </cell>
        </row>
        <row r="602">
          <cell r="P602">
            <v>0</v>
          </cell>
        </row>
        <row r="603">
          <cell r="P603">
            <v>0</v>
          </cell>
        </row>
        <row r="604">
          <cell r="P604">
            <v>0</v>
          </cell>
        </row>
        <row r="605">
          <cell r="P605">
            <v>0</v>
          </cell>
        </row>
        <row r="606">
          <cell r="P606">
            <v>0</v>
          </cell>
        </row>
        <row r="607">
          <cell r="P607">
            <v>0</v>
          </cell>
        </row>
        <row r="608">
          <cell r="P608">
            <v>0</v>
          </cell>
        </row>
        <row r="609">
          <cell r="P609">
            <v>0</v>
          </cell>
        </row>
        <row r="610">
          <cell r="P610">
            <v>0</v>
          </cell>
        </row>
        <row r="611">
          <cell r="P611">
            <v>0</v>
          </cell>
        </row>
        <row r="612">
          <cell r="P612">
            <v>0</v>
          </cell>
        </row>
        <row r="613">
          <cell r="P613">
            <v>0</v>
          </cell>
        </row>
        <row r="614">
          <cell r="P614">
            <v>0</v>
          </cell>
        </row>
        <row r="615">
          <cell r="P615">
            <v>0</v>
          </cell>
        </row>
        <row r="616">
          <cell r="P616">
            <v>0</v>
          </cell>
        </row>
        <row r="617">
          <cell r="P617">
            <v>0</v>
          </cell>
        </row>
        <row r="618">
          <cell r="P618">
            <v>0</v>
          </cell>
        </row>
        <row r="619">
          <cell r="P619">
            <v>0</v>
          </cell>
        </row>
        <row r="620">
          <cell r="P620">
            <v>0</v>
          </cell>
        </row>
        <row r="621">
          <cell r="P621">
            <v>0</v>
          </cell>
        </row>
        <row r="622">
          <cell r="P622">
            <v>0</v>
          </cell>
        </row>
        <row r="623">
          <cell r="P623">
            <v>0</v>
          </cell>
        </row>
        <row r="624">
          <cell r="P624">
            <v>0</v>
          </cell>
        </row>
        <row r="625">
          <cell r="P625">
            <v>0</v>
          </cell>
        </row>
        <row r="626">
          <cell r="P626">
            <v>0</v>
          </cell>
        </row>
        <row r="627">
          <cell r="P627">
            <v>0</v>
          </cell>
        </row>
        <row r="628">
          <cell r="P628">
            <v>0</v>
          </cell>
        </row>
        <row r="629">
          <cell r="P629">
            <v>0</v>
          </cell>
        </row>
        <row r="630">
          <cell r="P630">
            <v>0</v>
          </cell>
        </row>
        <row r="631">
          <cell r="P631">
            <v>0</v>
          </cell>
        </row>
        <row r="632">
          <cell r="P632">
            <v>0</v>
          </cell>
        </row>
        <row r="633">
          <cell r="P633">
            <v>0</v>
          </cell>
        </row>
        <row r="634">
          <cell r="P634">
            <v>0</v>
          </cell>
        </row>
        <row r="635">
          <cell r="P635">
            <v>0</v>
          </cell>
        </row>
        <row r="636">
          <cell r="P636">
            <v>0</v>
          </cell>
        </row>
        <row r="637">
          <cell r="P637">
            <v>0</v>
          </cell>
        </row>
        <row r="638">
          <cell r="P638">
            <v>0</v>
          </cell>
        </row>
        <row r="639">
          <cell r="P639">
            <v>0</v>
          </cell>
        </row>
        <row r="640">
          <cell r="P640">
            <v>0</v>
          </cell>
        </row>
        <row r="641">
          <cell r="P641">
            <v>0</v>
          </cell>
        </row>
        <row r="642">
          <cell r="P642">
            <v>0</v>
          </cell>
        </row>
        <row r="643">
          <cell r="P643">
            <v>0</v>
          </cell>
        </row>
        <row r="644">
          <cell r="P644">
            <v>0</v>
          </cell>
        </row>
        <row r="645">
          <cell r="P645">
            <v>0</v>
          </cell>
        </row>
        <row r="646">
          <cell r="P646">
            <v>0</v>
          </cell>
        </row>
        <row r="647">
          <cell r="P647">
            <v>0</v>
          </cell>
        </row>
        <row r="648">
          <cell r="P648">
            <v>0</v>
          </cell>
        </row>
        <row r="649">
          <cell r="P649">
            <v>0</v>
          </cell>
        </row>
        <row r="650">
          <cell r="P650">
            <v>0</v>
          </cell>
        </row>
        <row r="651">
          <cell r="P651">
            <v>0</v>
          </cell>
        </row>
        <row r="652">
          <cell r="P652">
            <v>0</v>
          </cell>
        </row>
        <row r="653">
          <cell r="P653">
            <v>0</v>
          </cell>
        </row>
        <row r="654">
          <cell r="P654">
            <v>0</v>
          </cell>
        </row>
        <row r="655">
          <cell r="P655">
            <v>0</v>
          </cell>
        </row>
        <row r="656">
          <cell r="P656">
            <v>0</v>
          </cell>
        </row>
        <row r="657">
          <cell r="P657">
            <v>0</v>
          </cell>
        </row>
        <row r="658">
          <cell r="P658">
            <v>0</v>
          </cell>
        </row>
        <row r="659">
          <cell r="P659">
            <v>0</v>
          </cell>
        </row>
        <row r="660">
          <cell r="P660">
            <v>0</v>
          </cell>
        </row>
        <row r="661">
          <cell r="P661">
            <v>0</v>
          </cell>
        </row>
        <row r="662">
          <cell r="P662">
            <v>0</v>
          </cell>
        </row>
        <row r="663">
          <cell r="P663">
            <v>0</v>
          </cell>
        </row>
        <row r="664">
          <cell r="P664">
            <v>0</v>
          </cell>
        </row>
        <row r="665">
          <cell r="P665">
            <v>0</v>
          </cell>
        </row>
        <row r="666">
          <cell r="P666">
            <v>0</v>
          </cell>
        </row>
        <row r="667">
          <cell r="P667">
            <v>0</v>
          </cell>
        </row>
        <row r="668">
          <cell r="P668">
            <v>0</v>
          </cell>
        </row>
        <row r="669">
          <cell r="P669">
            <v>0</v>
          </cell>
        </row>
        <row r="670">
          <cell r="P670">
            <v>0</v>
          </cell>
        </row>
        <row r="671">
          <cell r="P671">
            <v>0</v>
          </cell>
        </row>
        <row r="672">
          <cell r="P672">
            <v>0</v>
          </cell>
        </row>
        <row r="673">
          <cell r="P673">
            <v>0</v>
          </cell>
        </row>
        <row r="674">
          <cell r="P674">
            <v>0</v>
          </cell>
        </row>
        <row r="675">
          <cell r="P675">
            <v>0</v>
          </cell>
        </row>
        <row r="676">
          <cell r="P676">
            <v>0</v>
          </cell>
        </row>
        <row r="677">
          <cell r="P677">
            <v>0</v>
          </cell>
        </row>
        <row r="678">
          <cell r="P678">
            <v>0</v>
          </cell>
        </row>
        <row r="679">
          <cell r="P679">
            <v>0</v>
          </cell>
        </row>
        <row r="680">
          <cell r="P680">
            <v>0</v>
          </cell>
        </row>
        <row r="681">
          <cell r="P681">
            <v>0</v>
          </cell>
        </row>
        <row r="682">
          <cell r="P682">
            <v>0</v>
          </cell>
        </row>
        <row r="683">
          <cell r="P683">
            <v>170.5</v>
          </cell>
        </row>
        <row r="684">
          <cell r="P684">
            <v>170.5</v>
          </cell>
        </row>
        <row r="685">
          <cell r="P685">
            <v>3580.5</v>
          </cell>
        </row>
        <row r="686">
          <cell r="P686">
            <v>85.25</v>
          </cell>
        </row>
        <row r="687">
          <cell r="P687">
            <v>341</v>
          </cell>
        </row>
        <row r="688">
          <cell r="P688">
            <v>3.41</v>
          </cell>
        </row>
        <row r="689">
          <cell r="P689">
            <v>0</v>
          </cell>
        </row>
        <row r="690">
          <cell r="P690">
            <v>0</v>
          </cell>
        </row>
        <row r="691">
          <cell r="P691">
            <v>0</v>
          </cell>
        </row>
        <row r="692">
          <cell r="P692">
            <v>0</v>
          </cell>
        </row>
        <row r="693">
          <cell r="P693">
            <v>0</v>
          </cell>
        </row>
        <row r="694">
          <cell r="P694">
            <v>0</v>
          </cell>
        </row>
        <row r="695">
          <cell r="P695">
            <v>0</v>
          </cell>
        </row>
        <row r="696">
          <cell r="P696">
            <v>0</v>
          </cell>
        </row>
        <row r="697">
          <cell r="P697">
            <v>0</v>
          </cell>
        </row>
        <row r="698">
          <cell r="P698">
            <v>0</v>
          </cell>
        </row>
        <row r="699">
          <cell r="P699">
            <v>0</v>
          </cell>
        </row>
        <row r="700">
          <cell r="P700">
            <v>0</v>
          </cell>
        </row>
        <row r="701">
          <cell r="P701">
            <v>0</v>
          </cell>
        </row>
        <row r="702">
          <cell r="P702">
            <v>0</v>
          </cell>
        </row>
        <row r="703">
          <cell r="P703">
            <v>0</v>
          </cell>
        </row>
        <row r="704">
          <cell r="P704">
            <v>0</v>
          </cell>
        </row>
        <row r="705">
          <cell r="P705">
            <v>0</v>
          </cell>
        </row>
        <row r="706">
          <cell r="P706">
            <v>0</v>
          </cell>
        </row>
        <row r="707">
          <cell r="P707">
            <v>0</v>
          </cell>
        </row>
        <row r="708">
          <cell r="P708">
            <v>0</v>
          </cell>
        </row>
        <row r="709">
          <cell r="P709">
            <v>0</v>
          </cell>
        </row>
        <row r="710">
          <cell r="P710">
            <v>0</v>
          </cell>
        </row>
        <row r="711">
          <cell r="P711">
            <v>0</v>
          </cell>
        </row>
        <row r="712">
          <cell r="P712">
            <v>0</v>
          </cell>
        </row>
        <row r="713">
          <cell r="P713">
            <v>0</v>
          </cell>
        </row>
        <row r="714">
          <cell r="P714">
            <v>0</v>
          </cell>
        </row>
        <row r="715">
          <cell r="P715">
            <v>0</v>
          </cell>
        </row>
        <row r="716">
          <cell r="P716">
            <v>0</v>
          </cell>
        </row>
        <row r="717">
          <cell r="P717">
            <v>0</v>
          </cell>
        </row>
        <row r="718">
          <cell r="P718">
            <v>0</v>
          </cell>
        </row>
        <row r="719">
          <cell r="P719">
            <v>0</v>
          </cell>
        </row>
        <row r="720">
          <cell r="P720">
            <v>0</v>
          </cell>
        </row>
        <row r="721">
          <cell r="P721">
            <v>0</v>
          </cell>
        </row>
        <row r="722">
          <cell r="P722">
            <v>0</v>
          </cell>
        </row>
        <row r="723">
          <cell r="P723">
            <v>0</v>
          </cell>
        </row>
        <row r="724">
          <cell r="P724">
            <v>0</v>
          </cell>
        </row>
        <row r="725">
          <cell r="P725">
            <v>0</v>
          </cell>
        </row>
        <row r="726">
          <cell r="P726">
            <v>0</v>
          </cell>
        </row>
        <row r="727">
          <cell r="P727">
            <v>139.5</v>
          </cell>
        </row>
        <row r="728">
          <cell r="P728">
            <v>139.5</v>
          </cell>
        </row>
        <row r="729">
          <cell r="P729">
            <v>232.5</v>
          </cell>
        </row>
        <row r="730">
          <cell r="P730">
            <v>697.5</v>
          </cell>
        </row>
        <row r="731">
          <cell r="P731">
            <v>27.9</v>
          </cell>
        </row>
        <row r="732">
          <cell r="P732">
            <v>0</v>
          </cell>
        </row>
        <row r="733">
          <cell r="P733">
            <v>139.5</v>
          </cell>
        </row>
        <row r="734">
          <cell r="P734">
            <v>139.5</v>
          </cell>
        </row>
        <row r="735">
          <cell r="P735">
            <v>1860</v>
          </cell>
        </row>
        <row r="736">
          <cell r="P736">
            <v>0</v>
          </cell>
        </row>
        <row r="737">
          <cell r="P737">
            <v>46.5</v>
          </cell>
        </row>
        <row r="738">
          <cell r="P738">
            <v>446.4</v>
          </cell>
        </row>
        <row r="739">
          <cell r="P739">
            <v>1085</v>
          </cell>
        </row>
        <row r="740">
          <cell r="P740">
            <v>387.5</v>
          </cell>
        </row>
        <row r="741">
          <cell r="P741">
            <v>38.75</v>
          </cell>
        </row>
        <row r="742">
          <cell r="P742">
            <v>0</v>
          </cell>
        </row>
        <row r="743">
          <cell r="P743">
            <v>0</v>
          </cell>
        </row>
        <row r="744">
          <cell r="P744">
            <v>0</v>
          </cell>
        </row>
        <row r="745">
          <cell r="P745">
            <v>0</v>
          </cell>
        </row>
        <row r="746">
          <cell r="P746">
            <v>0</v>
          </cell>
        </row>
        <row r="747">
          <cell r="P747">
            <v>0</v>
          </cell>
        </row>
        <row r="748">
          <cell r="P748">
            <v>0</v>
          </cell>
        </row>
        <row r="749">
          <cell r="P749">
            <v>0</v>
          </cell>
        </row>
        <row r="750">
          <cell r="P750">
            <v>0</v>
          </cell>
        </row>
        <row r="751">
          <cell r="P751">
            <v>0</v>
          </cell>
        </row>
        <row r="752">
          <cell r="P752">
            <v>0</v>
          </cell>
        </row>
        <row r="753">
          <cell r="P753">
            <v>0</v>
          </cell>
        </row>
        <row r="754">
          <cell r="P754">
            <v>0</v>
          </cell>
        </row>
        <row r="755">
          <cell r="P755">
            <v>0</v>
          </cell>
        </row>
        <row r="756">
          <cell r="P756">
            <v>0</v>
          </cell>
        </row>
        <row r="757">
          <cell r="P757">
            <v>0</v>
          </cell>
        </row>
        <row r="758">
          <cell r="P758">
            <v>0</v>
          </cell>
        </row>
        <row r="759">
          <cell r="P759">
            <v>0</v>
          </cell>
        </row>
        <row r="760">
          <cell r="P760">
            <v>0</v>
          </cell>
        </row>
        <row r="761">
          <cell r="P761">
            <v>0</v>
          </cell>
        </row>
        <row r="762">
          <cell r="P762">
            <v>0</v>
          </cell>
        </row>
        <row r="763">
          <cell r="P763">
            <v>0</v>
          </cell>
        </row>
        <row r="764">
          <cell r="P764">
            <v>0</v>
          </cell>
        </row>
        <row r="765">
          <cell r="P765">
            <v>0</v>
          </cell>
        </row>
        <row r="766">
          <cell r="P766">
            <v>0</v>
          </cell>
        </row>
        <row r="767">
          <cell r="P767">
            <v>0</v>
          </cell>
        </row>
        <row r="768">
          <cell r="P768">
            <v>0</v>
          </cell>
        </row>
        <row r="769">
          <cell r="P769">
            <v>0</v>
          </cell>
        </row>
        <row r="770">
          <cell r="P770">
            <v>0</v>
          </cell>
        </row>
        <row r="771">
          <cell r="P771">
            <v>0</v>
          </cell>
        </row>
        <row r="772">
          <cell r="P772">
            <v>0</v>
          </cell>
        </row>
        <row r="773">
          <cell r="P773">
            <v>0</v>
          </cell>
        </row>
        <row r="774">
          <cell r="P774">
            <v>0</v>
          </cell>
        </row>
        <row r="775">
          <cell r="P775">
            <v>0</v>
          </cell>
        </row>
        <row r="776">
          <cell r="P776">
            <v>0</v>
          </cell>
        </row>
        <row r="777">
          <cell r="P777">
            <v>0</v>
          </cell>
        </row>
        <row r="778">
          <cell r="P778">
            <v>0</v>
          </cell>
        </row>
        <row r="779">
          <cell r="P779">
            <v>0</v>
          </cell>
        </row>
        <row r="780">
          <cell r="P780">
            <v>0</v>
          </cell>
        </row>
        <row r="781">
          <cell r="P781">
            <v>0</v>
          </cell>
        </row>
        <row r="782">
          <cell r="P782">
            <v>0</v>
          </cell>
        </row>
        <row r="783">
          <cell r="P783">
            <v>0</v>
          </cell>
        </row>
        <row r="784">
          <cell r="P784">
            <v>0</v>
          </cell>
        </row>
        <row r="785">
          <cell r="P785">
            <v>0</v>
          </cell>
        </row>
        <row r="786">
          <cell r="P786">
            <v>0</v>
          </cell>
        </row>
        <row r="787">
          <cell r="P787">
            <v>0</v>
          </cell>
        </row>
        <row r="788">
          <cell r="P788">
            <v>0</v>
          </cell>
        </row>
        <row r="789">
          <cell r="P789">
            <v>0</v>
          </cell>
        </row>
        <row r="790">
          <cell r="P790">
            <v>0</v>
          </cell>
        </row>
        <row r="791">
          <cell r="P791">
            <v>0</v>
          </cell>
        </row>
        <row r="792">
          <cell r="P792">
            <v>0</v>
          </cell>
        </row>
        <row r="793">
          <cell r="P793">
            <v>0</v>
          </cell>
        </row>
        <row r="794">
          <cell r="P794">
            <v>0</v>
          </cell>
        </row>
        <row r="795">
          <cell r="P795">
            <v>0</v>
          </cell>
        </row>
        <row r="796">
          <cell r="P796">
            <v>0</v>
          </cell>
        </row>
        <row r="797">
          <cell r="P797">
            <v>0</v>
          </cell>
        </row>
        <row r="798">
          <cell r="P798">
            <v>0</v>
          </cell>
        </row>
        <row r="799">
          <cell r="P799">
            <v>0</v>
          </cell>
        </row>
        <row r="800">
          <cell r="P800">
            <v>0</v>
          </cell>
        </row>
        <row r="801">
          <cell r="P801">
            <v>147.25</v>
          </cell>
        </row>
        <row r="802">
          <cell r="P802">
            <v>147.25</v>
          </cell>
        </row>
        <row r="803">
          <cell r="P803">
            <v>826.15</v>
          </cell>
        </row>
        <row r="804">
          <cell r="P804">
            <v>620</v>
          </cell>
        </row>
        <row r="805">
          <cell r="P805">
            <v>232.5</v>
          </cell>
        </row>
        <row r="806">
          <cell r="P806">
            <v>0</v>
          </cell>
        </row>
        <row r="807">
          <cell r="P807">
            <v>0</v>
          </cell>
        </row>
        <row r="808">
          <cell r="P808">
            <v>0</v>
          </cell>
        </row>
        <row r="809">
          <cell r="P809">
            <v>0</v>
          </cell>
        </row>
        <row r="810">
          <cell r="P810">
            <v>0</v>
          </cell>
        </row>
        <row r="811">
          <cell r="P811">
            <v>0</v>
          </cell>
        </row>
        <row r="812">
          <cell r="P812">
            <v>0</v>
          </cell>
        </row>
        <row r="813">
          <cell r="P813">
            <v>0</v>
          </cell>
        </row>
        <row r="814">
          <cell r="P814">
            <v>0</v>
          </cell>
        </row>
        <row r="815">
          <cell r="P815">
            <v>0</v>
          </cell>
        </row>
        <row r="816">
          <cell r="P816">
            <v>6</v>
          </cell>
        </row>
        <row r="817">
          <cell r="P817">
            <v>0</v>
          </cell>
        </row>
        <row r="818">
          <cell r="P818">
            <v>0</v>
          </cell>
        </row>
        <row r="819">
          <cell r="P819">
            <v>0</v>
          </cell>
        </row>
        <row r="820">
          <cell r="P820">
            <v>0</v>
          </cell>
        </row>
        <row r="821">
          <cell r="P821">
            <v>0</v>
          </cell>
        </row>
        <row r="822">
          <cell r="P822">
            <v>0</v>
          </cell>
        </row>
        <row r="823">
          <cell r="P823">
            <v>0</v>
          </cell>
        </row>
        <row r="824">
          <cell r="P824">
            <v>0</v>
          </cell>
        </row>
        <row r="825">
          <cell r="P825">
            <v>6</v>
          </cell>
        </row>
        <row r="826">
          <cell r="P826">
            <v>0</v>
          </cell>
        </row>
        <row r="827">
          <cell r="P827">
            <v>720</v>
          </cell>
        </row>
        <row r="828">
          <cell r="P828">
            <v>8</v>
          </cell>
        </row>
        <row r="829">
          <cell r="P829">
            <v>0</v>
          </cell>
        </row>
        <row r="830">
          <cell r="P830">
            <v>0</v>
          </cell>
        </row>
        <row r="831">
          <cell r="P831">
            <v>0</v>
          </cell>
        </row>
        <row r="832">
          <cell r="P832">
            <v>0</v>
          </cell>
        </row>
        <row r="833">
          <cell r="P833">
            <v>0</v>
          </cell>
        </row>
        <row r="834">
          <cell r="P834">
            <v>0</v>
          </cell>
        </row>
        <row r="835">
          <cell r="P835">
            <v>0</v>
          </cell>
        </row>
        <row r="836">
          <cell r="P836">
            <v>0</v>
          </cell>
        </row>
        <row r="837">
          <cell r="P837">
            <v>0</v>
          </cell>
        </row>
        <row r="838">
          <cell r="P838">
            <v>0</v>
          </cell>
        </row>
        <row r="839">
          <cell r="P839">
            <v>0</v>
          </cell>
        </row>
        <row r="840">
          <cell r="P840">
            <v>0</v>
          </cell>
        </row>
        <row r="841">
          <cell r="P841">
            <v>0</v>
          </cell>
        </row>
        <row r="842">
          <cell r="P842">
            <v>0</v>
          </cell>
        </row>
        <row r="843">
          <cell r="P843">
            <v>0</v>
          </cell>
        </row>
        <row r="844">
          <cell r="P844">
            <v>0</v>
          </cell>
        </row>
        <row r="845">
          <cell r="P845">
            <v>0</v>
          </cell>
        </row>
        <row r="846">
          <cell r="P846">
            <v>0</v>
          </cell>
        </row>
        <row r="847">
          <cell r="P847">
            <v>0</v>
          </cell>
        </row>
        <row r="848">
          <cell r="P848">
            <v>0</v>
          </cell>
        </row>
        <row r="849">
          <cell r="P849">
            <v>0</v>
          </cell>
        </row>
        <row r="850">
          <cell r="P850">
            <v>0</v>
          </cell>
        </row>
        <row r="851">
          <cell r="P851">
            <v>0</v>
          </cell>
        </row>
        <row r="852">
          <cell r="P852">
            <v>0</v>
          </cell>
        </row>
        <row r="853">
          <cell r="P853">
            <v>0</v>
          </cell>
        </row>
        <row r="854">
          <cell r="P854">
            <v>0</v>
          </cell>
        </row>
        <row r="855">
          <cell r="P855">
            <v>0</v>
          </cell>
        </row>
        <row r="856">
          <cell r="P856">
            <v>0</v>
          </cell>
        </row>
        <row r="857">
          <cell r="P857">
            <v>0</v>
          </cell>
        </row>
        <row r="858">
          <cell r="P858">
            <v>0</v>
          </cell>
        </row>
        <row r="859">
          <cell r="P859">
            <v>0</v>
          </cell>
        </row>
        <row r="860">
          <cell r="P860">
            <v>0</v>
          </cell>
        </row>
        <row r="861">
          <cell r="P861">
            <v>0</v>
          </cell>
        </row>
        <row r="862">
          <cell r="P862">
            <v>0</v>
          </cell>
        </row>
        <row r="863">
          <cell r="P863">
            <v>0</v>
          </cell>
        </row>
        <row r="864">
          <cell r="P864">
            <v>0</v>
          </cell>
        </row>
        <row r="865">
          <cell r="P865">
            <v>0</v>
          </cell>
        </row>
        <row r="866">
          <cell r="P866">
            <v>0</v>
          </cell>
        </row>
        <row r="867">
          <cell r="P867">
            <v>0</v>
          </cell>
        </row>
        <row r="868">
          <cell r="P868">
            <v>0</v>
          </cell>
        </row>
        <row r="869">
          <cell r="P869">
            <v>0</v>
          </cell>
        </row>
        <row r="870">
          <cell r="P870">
            <v>0</v>
          </cell>
        </row>
        <row r="871">
          <cell r="P871">
            <v>0</v>
          </cell>
        </row>
        <row r="872">
          <cell r="P872">
            <v>0</v>
          </cell>
        </row>
        <row r="873">
          <cell r="P873">
            <v>0</v>
          </cell>
        </row>
        <row r="874">
          <cell r="P874">
            <v>0</v>
          </cell>
        </row>
        <row r="875">
          <cell r="P875">
            <v>216</v>
          </cell>
        </row>
        <row r="876">
          <cell r="P876">
            <v>0</v>
          </cell>
        </row>
        <row r="877">
          <cell r="P877">
            <v>0</v>
          </cell>
        </row>
        <row r="878">
          <cell r="P878">
            <v>0</v>
          </cell>
        </row>
        <row r="879">
          <cell r="P879">
            <v>0</v>
          </cell>
        </row>
        <row r="880">
          <cell r="P880">
            <v>0</v>
          </cell>
        </row>
        <row r="881">
          <cell r="P881">
            <v>0</v>
          </cell>
        </row>
        <row r="882">
          <cell r="P882">
            <v>0</v>
          </cell>
        </row>
        <row r="883">
          <cell r="P883">
            <v>0</v>
          </cell>
        </row>
        <row r="884">
          <cell r="P884">
            <v>0</v>
          </cell>
        </row>
        <row r="885">
          <cell r="P885">
            <v>0</v>
          </cell>
        </row>
        <row r="886">
          <cell r="P886">
            <v>0</v>
          </cell>
        </row>
        <row r="887">
          <cell r="P887">
            <v>0</v>
          </cell>
        </row>
        <row r="888">
          <cell r="P888">
            <v>0</v>
          </cell>
        </row>
        <row r="889">
          <cell r="P889">
            <v>0</v>
          </cell>
        </row>
        <row r="890">
          <cell r="P890">
            <v>0</v>
          </cell>
        </row>
        <row r="891">
          <cell r="P891">
            <v>0</v>
          </cell>
        </row>
        <row r="892">
          <cell r="P892">
            <v>0</v>
          </cell>
        </row>
        <row r="893">
          <cell r="P893">
            <v>0</v>
          </cell>
        </row>
        <row r="894">
          <cell r="P894">
            <v>0</v>
          </cell>
        </row>
        <row r="895">
          <cell r="P895">
            <v>0</v>
          </cell>
        </row>
        <row r="896">
          <cell r="P896">
            <v>0</v>
          </cell>
        </row>
        <row r="897">
          <cell r="P897">
            <v>0</v>
          </cell>
        </row>
        <row r="898">
          <cell r="P898">
            <v>0</v>
          </cell>
        </row>
        <row r="899">
          <cell r="P899">
            <v>0</v>
          </cell>
        </row>
        <row r="900">
          <cell r="P900">
            <v>0</v>
          </cell>
        </row>
        <row r="901">
          <cell r="P901">
            <v>0</v>
          </cell>
        </row>
        <row r="902">
          <cell r="P902">
            <v>0</v>
          </cell>
        </row>
        <row r="903">
          <cell r="P903">
            <v>0</v>
          </cell>
        </row>
        <row r="904">
          <cell r="P904">
            <v>0</v>
          </cell>
        </row>
        <row r="905">
          <cell r="P905">
            <v>0</v>
          </cell>
        </row>
        <row r="906">
          <cell r="P906">
            <v>0</v>
          </cell>
        </row>
        <row r="907">
          <cell r="P907">
            <v>0</v>
          </cell>
        </row>
        <row r="908">
          <cell r="P908">
            <v>0</v>
          </cell>
        </row>
        <row r="909">
          <cell r="P909">
            <v>0</v>
          </cell>
        </row>
        <row r="910">
          <cell r="P910">
            <v>0</v>
          </cell>
        </row>
        <row r="911">
          <cell r="P911">
            <v>0</v>
          </cell>
        </row>
        <row r="912">
          <cell r="P912">
            <v>0</v>
          </cell>
        </row>
        <row r="913">
          <cell r="P913">
            <v>0</v>
          </cell>
        </row>
        <row r="914">
          <cell r="P914">
            <v>0</v>
          </cell>
        </row>
        <row r="915">
          <cell r="P915">
            <v>0</v>
          </cell>
        </row>
        <row r="916">
          <cell r="P916">
            <v>0</v>
          </cell>
        </row>
        <row r="917">
          <cell r="P917">
            <v>0</v>
          </cell>
        </row>
        <row r="918">
          <cell r="P918">
            <v>0</v>
          </cell>
        </row>
        <row r="919">
          <cell r="P919">
            <v>153.60000000000002</v>
          </cell>
        </row>
        <row r="920">
          <cell r="P920">
            <v>153.60000000000002</v>
          </cell>
        </row>
        <row r="921">
          <cell r="P921">
            <v>0</v>
          </cell>
        </row>
        <row r="922">
          <cell r="P922">
            <v>0</v>
          </cell>
        </row>
        <row r="923">
          <cell r="P923">
            <v>0</v>
          </cell>
        </row>
        <row r="924">
          <cell r="P924">
            <v>0</v>
          </cell>
        </row>
        <row r="925">
          <cell r="P925">
            <v>0</v>
          </cell>
        </row>
        <row r="926">
          <cell r="P926">
            <v>0</v>
          </cell>
        </row>
        <row r="927">
          <cell r="P927">
            <v>0</v>
          </cell>
        </row>
        <row r="928">
          <cell r="P928">
            <v>0</v>
          </cell>
        </row>
        <row r="929">
          <cell r="P929">
            <v>0</v>
          </cell>
        </row>
        <row r="930">
          <cell r="P930">
            <v>0</v>
          </cell>
        </row>
        <row r="931">
          <cell r="P931">
            <v>0</v>
          </cell>
        </row>
        <row r="932">
          <cell r="P932">
            <v>0</v>
          </cell>
        </row>
        <row r="933">
          <cell r="P933">
            <v>0</v>
          </cell>
        </row>
        <row r="934">
          <cell r="P934">
            <v>0</v>
          </cell>
        </row>
        <row r="935">
          <cell r="P935">
            <v>0</v>
          </cell>
        </row>
        <row r="936">
          <cell r="P936">
            <v>0</v>
          </cell>
        </row>
        <row r="937">
          <cell r="P937">
            <v>0</v>
          </cell>
        </row>
        <row r="938">
          <cell r="P938">
            <v>0</v>
          </cell>
        </row>
        <row r="939">
          <cell r="P939">
            <v>0</v>
          </cell>
        </row>
        <row r="940">
          <cell r="P940">
            <v>0</v>
          </cell>
        </row>
        <row r="941">
          <cell r="P941">
            <v>0</v>
          </cell>
        </row>
        <row r="942">
          <cell r="P942">
            <v>0</v>
          </cell>
        </row>
        <row r="943">
          <cell r="P943">
            <v>0</v>
          </cell>
        </row>
        <row r="944">
          <cell r="P944">
            <v>0</v>
          </cell>
        </row>
        <row r="945">
          <cell r="P945">
            <v>0</v>
          </cell>
        </row>
        <row r="946">
          <cell r="P946">
            <v>0</v>
          </cell>
        </row>
        <row r="947">
          <cell r="P947">
            <v>0</v>
          </cell>
        </row>
        <row r="948">
          <cell r="P948">
            <v>0</v>
          </cell>
        </row>
        <row r="949">
          <cell r="P949">
            <v>0</v>
          </cell>
        </row>
        <row r="950">
          <cell r="P950">
            <v>0</v>
          </cell>
        </row>
        <row r="951">
          <cell r="P951">
            <v>0</v>
          </cell>
        </row>
        <row r="952">
          <cell r="P952">
            <v>0</v>
          </cell>
        </row>
        <row r="953">
          <cell r="P953">
            <v>0</v>
          </cell>
        </row>
        <row r="954">
          <cell r="P954">
            <v>0</v>
          </cell>
        </row>
        <row r="955">
          <cell r="P955">
            <v>0</v>
          </cell>
        </row>
        <row r="956">
          <cell r="P956">
            <v>0</v>
          </cell>
        </row>
        <row r="957">
          <cell r="P957">
            <v>0</v>
          </cell>
        </row>
        <row r="958">
          <cell r="P958">
            <v>0</v>
          </cell>
        </row>
        <row r="959">
          <cell r="P959">
            <v>0</v>
          </cell>
        </row>
        <row r="960">
          <cell r="P960">
            <v>0</v>
          </cell>
        </row>
        <row r="961">
          <cell r="P961">
            <v>0</v>
          </cell>
        </row>
        <row r="962">
          <cell r="P962">
            <v>0</v>
          </cell>
        </row>
        <row r="963">
          <cell r="P963">
            <v>0</v>
          </cell>
        </row>
        <row r="964">
          <cell r="P964">
            <v>0</v>
          </cell>
        </row>
        <row r="965">
          <cell r="P965">
            <v>0</v>
          </cell>
        </row>
        <row r="966">
          <cell r="P966">
            <v>0</v>
          </cell>
        </row>
        <row r="967">
          <cell r="P967">
            <v>0</v>
          </cell>
        </row>
        <row r="968">
          <cell r="P968">
            <v>0</v>
          </cell>
        </row>
        <row r="969">
          <cell r="P969">
            <v>0</v>
          </cell>
        </row>
        <row r="970">
          <cell r="P970">
            <v>0</v>
          </cell>
        </row>
        <row r="971">
          <cell r="P971">
            <v>0</v>
          </cell>
        </row>
        <row r="972">
          <cell r="P972">
            <v>0</v>
          </cell>
        </row>
        <row r="973">
          <cell r="P973">
            <v>0</v>
          </cell>
        </row>
        <row r="974">
          <cell r="P974">
            <v>0</v>
          </cell>
        </row>
        <row r="975">
          <cell r="P975">
            <v>0</v>
          </cell>
        </row>
        <row r="976">
          <cell r="P976">
            <v>0</v>
          </cell>
        </row>
        <row r="977">
          <cell r="P977">
            <v>0</v>
          </cell>
        </row>
        <row r="978">
          <cell r="P978">
            <v>0</v>
          </cell>
        </row>
        <row r="979">
          <cell r="P979">
            <v>0</v>
          </cell>
        </row>
        <row r="980">
          <cell r="P980">
            <v>0</v>
          </cell>
        </row>
        <row r="981">
          <cell r="P981">
            <v>0</v>
          </cell>
        </row>
        <row r="982">
          <cell r="P982">
            <v>0</v>
          </cell>
        </row>
        <row r="983">
          <cell r="P983">
            <v>0</v>
          </cell>
        </row>
        <row r="984">
          <cell r="P984">
            <v>0</v>
          </cell>
        </row>
        <row r="985">
          <cell r="P985">
            <v>0</v>
          </cell>
        </row>
        <row r="986">
          <cell r="P986">
            <v>0</v>
          </cell>
        </row>
        <row r="987">
          <cell r="P987">
            <v>0</v>
          </cell>
        </row>
        <row r="988">
          <cell r="P988">
            <v>0</v>
          </cell>
        </row>
        <row r="989">
          <cell r="P989">
            <v>0</v>
          </cell>
        </row>
        <row r="990">
          <cell r="P990">
            <v>0</v>
          </cell>
        </row>
        <row r="991">
          <cell r="P991">
            <v>0</v>
          </cell>
        </row>
        <row r="992">
          <cell r="P992">
            <v>0</v>
          </cell>
        </row>
        <row r="993">
          <cell r="P993">
            <v>0</v>
          </cell>
        </row>
        <row r="994">
          <cell r="P994">
            <v>0</v>
          </cell>
        </row>
        <row r="995">
          <cell r="P995">
            <v>0</v>
          </cell>
        </row>
        <row r="996">
          <cell r="P996">
            <v>0</v>
          </cell>
        </row>
        <row r="997">
          <cell r="P997">
            <v>0</v>
          </cell>
        </row>
        <row r="998">
          <cell r="P998">
            <v>0</v>
          </cell>
        </row>
        <row r="999">
          <cell r="P999">
            <v>0</v>
          </cell>
        </row>
        <row r="1000">
          <cell r="P1000">
            <v>0</v>
          </cell>
        </row>
        <row r="1001">
          <cell r="P1001">
            <v>0</v>
          </cell>
        </row>
        <row r="1002">
          <cell r="P1002">
            <v>0</v>
          </cell>
        </row>
        <row r="1003">
          <cell r="P1003">
            <v>0</v>
          </cell>
        </row>
        <row r="1004">
          <cell r="P1004">
            <v>0</v>
          </cell>
        </row>
        <row r="1005">
          <cell r="P1005">
            <v>0</v>
          </cell>
        </row>
        <row r="1006">
          <cell r="P1006">
            <v>0</v>
          </cell>
        </row>
        <row r="1007">
          <cell r="P1007">
            <v>0</v>
          </cell>
        </row>
        <row r="1008">
          <cell r="P1008">
            <v>0</v>
          </cell>
        </row>
        <row r="1009">
          <cell r="P1009">
            <v>0</v>
          </cell>
        </row>
        <row r="1010">
          <cell r="P1010">
            <v>0</v>
          </cell>
        </row>
        <row r="1011">
          <cell r="P1011">
            <v>0</v>
          </cell>
        </row>
        <row r="1012">
          <cell r="P1012">
            <v>0</v>
          </cell>
        </row>
        <row r="1013">
          <cell r="P1013">
            <v>0</v>
          </cell>
        </row>
        <row r="1014">
          <cell r="P1014">
            <v>0</v>
          </cell>
        </row>
        <row r="1015">
          <cell r="P1015">
            <v>0</v>
          </cell>
        </row>
        <row r="1016">
          <cell r="P1016">
            <v>0</v>
          </cell>
        </row>
        <row r="1017">
          <cell r="P1017">
            <v>0</v>
          </cell>
        </row>
        <row r="1018">
          <cell r="P1018">
            <v>0</v>
          </cell>
        </row>
        <row r="1019">
          <cell r="P1019">
            <v>0</v>
          </cell>
        </row>
        <row r="1020">
          <cell r="P1020">
            <v>0</v>
          </cell>
        </row>
        <row r="1021">
          <cell r="P1021">
            <v>0</v>
          </cell>
        </row>
        <row r="1022">
          <cell r="P1022">
            <v>0</v>
          </cell>
        </row>
        <row r="1023">
          <cell r="P1023">
            <v>0</v>
          </cell>
        </row>
        <row r="1024">
          <cell r="P1024">
            <v>0</v>
          </cell>
        </row>
        <row r="1025">
          <cell r="P1025">
            <v>0</v>
          </cell>
        </row>
        <row r="1026">
          <cell r="P1026">
            <v>0</v>
          </cell>
        </row>
        <row r="1027">
          <cell r="P1027">
            <v>0</v>
          </cell>
        </row>
        <row r="1028">
          <cell r="P1028">
            <v>0</v>
          </cell>
        </row>
        <row r="1029">
          <cell r="P1029">
            <v>0</v>
          </cell>
        </row>
        <row r="1030">
          <cell r="P1030">
            <v>0</v>
          </cell>
        </row>
        <row r="1031">
          <cell r="P1031">
            <v>0</v>
          </cell>
        </row>
        <row r="1032">
          <cell r="P1032">
            <v>0</v>
          </cell>
        </row>
        <row r="1033">
          <cell r="P1033">
            <v>0</v>
          </cell>
        </row>
        <row r="1034">
          <cell r="P1034">
            <v>0</v>
          </cell>
        </row>
        <row r="1035">
          <cell r="P1035">
            <v>0</v>
          </cell>
        </row>
        <row r="1036">
          <cell r="P1036">
            <v>0</v>
          </cell>
        </row>
        <row r="1037">
          <cell r="P1037">
            <v>0</v>
          </cell>
        </row>
        <row r="1038">
          <cell r="P1038">
            <v>0</v>
          </cell>
        </row>
        <row r="1039">
          <cell r="P1039">
            <v>0</v>
          </cell>
        </row>
        <row r="1040">
          <cell r="P1040">
            <v>0</v>
          </cell>
        </row>
        <row r="1041">
          <cell r="P1041">
            <v>0</v>
          </cell>
        </row>
        <row r="1042">
          <cell r="P1042">
            <v>0</v>
          </cell>
        </row>
        <row r="1043">
          <cell r="P1043">
            <v>0</v>
          </cell>
        </row>
        <row r="1044">
          <cell r="P1044">
            <v>0</v>
          </cell>
        </row>
        <row r="1045">
          <cell r="P1045">
            <v>0</v>
          </cell>
        </row>
        <row r="1046">
          <cell r="P1046">
            <v>0</v>
          </cell>
        </row>
        <row r="1047">
          <cell r="P1047">
            <v>0</v>
          </cell>
        </row>
        <row r="1048">
          <cell r="P1048">
            <v>0</v>
          </cell>
        </row>
        <row r="1049">
          <cell r="P1049">
            <v>0</v>
          </cell>
        </row>
        <row r="1050">
          <cell r="P1050">
            <v>0</v>
          </cell>
        </row>
        <row r="1051">
          <cell r="P1051">
            <v>0</v>
          </cell>
        </row>
        <row r="1052">
          <cell r="P1052">
            <v>0</v>
          </cell>
        </row>
        <row r="1053">
          <cell r="P1053">
            <v>0</v>
          </cell>
        </row>
        <row r="1054">
          <cell r="P1054">
            <v>0</v>
          </cell>
        </row>
        <row r="1055">
          <cell r="P1055">
            <v>0</v>
          </cell>
        </row>
        <row r="1056">
          <cell r="P1056">
            <v>0</v>
          </cell>
        </row>
        <row r="1057">
          <cell r="P1057">
            <v>0</v>
          </cell>
        </row>
        <row r="1058">
          <cell r="P1058">
            <v>0</v>
          </cell>
        </row>
        <row r="1059">
          <cell r="P1059">
            <v>0</v>
          </cell>
        </row>
        <row r="1060">
          <cell r="P1060">
            <v>0</v>
          </cell>
        </row>
        <row r="1061">
          <cell r="P1061">
            <v>0</v>
          </cell>
        </row>
        <row r="1062">
          <cell r="P1062">
            <v>0</v>
          </cell>
        </row>
        <row r="1063">
          <cell r="P1063">
            <v>0</v>
          </cell>
        </row>
        <row r="1064">
          <cell r="P1064">
            <v>0</v>
          </cell>
        </row>
        <row r="1065">
          <cell r="P1065">
            <v>0</v>
          </cell>
        </row>
        <row r="1066">
          <cell r="P1066">
            <v>0</v>
          </cell>
        </row>
        <row r="1067">
          <cell r="P1067">
            <v>0</v>
          </cell>
        </row>
        <row r="1068">
          <cell r="P1068">
            <v>0</v>
          </cell>
        </row>
        <row r="1069">
          <cell r="P1069">
            <v>0</v>
          </cell>
        </row>
        <row r="1070">
          <cell r="P1070">
            <v>0</v>
          </cell>
        </row>
        <row r="1071">
          <cell r="P1071">
            <v>0</v>
          </cell>
        </row>
        <row r="1072">
          <cell r="P1072">
            <v>0</v>
          </cell>
        </row>
        <row r="1073">
          <cell r="P1073">
            <v>0</v>
          </cell>
        </row>
        <row r="1074">
          <cell r="P1074">
            <v>0</v>
          </cell>
        </row>
        <row r="1075">
          <cell r="P1075">
            <v>0</v>
          </cell>
        </row>
        <row r="1076">
          <cell r="P1076">
            <v>0</v>
          </cell>
        </row>
        <row r="1077">
          <cell r="P1077">
            <v>0</v>
          </cell>
        </row>
        <row r="1078">
          <cell r="P1078">
            <v>0</v>
          </cell>
        </row>
        <row r="1079">
          <cell r="P1079">
            <v>0</v>
          </cell>
        </row>
        <row r="1080">
          <cell r="P1080">
            <v>0</v>
          </cell>
        </row>
        <row r="1081">
          <cell r="P1081">
            <v>0</v>
          </cell>
        </row>
        <row r="1082">
          <cell r="P1082">
            <v>0</v>
          </cell>
        </row>
        <row r="1083">
          <cell r="P1083">
            <v>0</v>
          </cell>
        </row>
        <row r="1084">
          <cell r="P1084">
            <v>0</v>
          </cell>
        </row>
        <row r="1085">
          <cell r="P1085">
            <v>0</v>
          </cell>
        </row>
        <row r="1086">
          <cell r="P1086">
            <v>0</v>
          </cell>
        </row>
        <row r="1087">
          <cell r="P1087">
            <v>0</v>
          </cell>
        </row>
        <row r="1088">
          <cell r="P1088">
            <v>0</v>
          </cell>
        </row>
        <row r="1089">
          <cell r="P1089">
            <v>0</v>
          </cell>
        </row>
        <row r="1090">
          <cell r="P1090">
            <v>0</v>
          </cell>
        </row>
        <row r="1091">
          <cell r="P1091">
            <v>0</v>
          </cell>
        </row>
        <row r="1092">
          <cell r="P1092">
            <v>0</v>
          </cell>
        </row>
        <row r="1093">
          <cell r="P1093">
            <v>0</v>
          </cell>
        </row>
        <row r="1094">
          <cell r="P1094">
            <v>0</v>
          </cell>
        </row>
        <row r="1095">
          <cell r="P1095">
            <v>0</v>
          </cell>
        </row>
        <row r="1096">
          <cell r="P1096">
            <v>0</v>
          </cell>
        </row>
        <row r="1097">
          <cell r="P1097">
            <v>0</v>
          </cell>
        </row>
        <row r="1098">
          <cell r="P1098">
            <v>0</v>
          </cell>
        </row>
        <row r="1099">
          <cell r="P1099">
            <v>0</v>
          </cell>
        </row>
        <row r="1100">
          <cell r="P1100">
            <v>0</v>
          </cell>
        </row>
        <row r="1101">
          <cell r="P1101">
            <v>0</v>
          </cell>
        </row>
        <row r="1102">
          <cell r="P1102">
            <v>0</v>
          </cell>
        </row>
        <row r="1103">
          <cell r="P1103">
            <v>0</v>
          </cell>
        </row>
        <row r="1104">
          <cell r="P1104">
            <v>0</v>
          </cell>
        </row>
        <row r="1105">
          <cell r="P1105">
            <v>0</v>
          </cell>
        </row>
        <row r="1106">
          <cell r="P1106">
            <v>0</v>
          </cell>
        </row>
        <row r="1107">
          <cell r="P1107">
            <v>0</v>
          </cell>
        </row>
        <row r="1108">
          <cell r="P1108">
            <v>0</v>
          </cell>
        </row>
        <row r="1109">
          <cell r="P1109">
            <v>0</v>
          </cell>
        </row>
        <row r="1110">
          <cell r="P1110">
            <v>0</v>
          </cell>
        </row>
        <row r="1111">
          <cell r="P1111">
            <v>0</v>
          </cell>
        </row>
        <row r="1112">
          <cell r="P1112">
            <v>0</v>
          </cell>
        </row>
        <row r="1113">
          <cell r="P1113">
            <v>0</v>
          </cell>
        </row>
        <row r="1114">
          <cell r="P1114">
            <v>0</v>
          </cell>
        </row>
        <row r="1115">
          <cell r="P1115">
            <v>0</v>
          </cell>
        </row>
        <row r="1116">
          <cell r="P1116">
            <v>0</v>
          </cell>
        </row>
        <row r="1117">
          <cell r="P1117">
            <v>0</v>
          </cell>
        </row>
        <row r="1118">
          <cell r="P1118">
            <v>0</v>
          </cell>
        </row>
        <row r="1119">
          <cell r="P1119">
            <v>0</v>
          </cell>
        </row>
        <row r="1120">
          <cell r="P1120">
            <v>0</v>
          </cell>
        </row>
        <row r="1121">
          <cell r="P1121">
            <v>0</v>
          </cell>
        </row>
        <row r="1122">
          <cell r="P1122">
            <v>0</v>
          </cell>
        </row>
        <row r="1123">
          <cell r="P1123">
            <v>0</v>
          </cell>
        </row>
        <row r="1124">
          <cell r="P1124">
            <v>0</v>
          </cell>
        </row>
        <row r="1125">
          <cell r="P1125">
            <v>0</v>
          </cell>
        </row>
        <row r="1126">
          <cell r="P1126">
            <v>0</v>
          </cell>
        </row>
        <row r="1127">
          <cell r="P1127">
            <v>0</v>
          </cell>
        </row>
        <row r="1128">
          <cell r="P1128">
            <v>0</v>
          </cell>
        </row>
        <row r="1129">
          <cell r="P1129">
            <v>0</v>
          </cell>
        </row>
        <row r="1130">
          <cell r="P1130">
            <v>0</v>
          </cell>
        </row>
        <row r="1131">
          <cell r="P1131">
            <v>0</v>
          </cell>
        </row>
        <row r="1132">
          <cell r="P1132">
            <v>0</v>
          </cell>
        </row>
        <row r="1133">
          <cell r="P1133">
            <v>0</v>
          </cell>
        </row>
        <row r="1134">
          <cell r="P1134">
            <v>0</v>
          </cell>
        </row>
        <row r="1135">
          <cell r="P1135">
            <v>0</v>
          </cell>
        </row>
        <row r="1136">
          <cell r="P1136">
            <v>0</v>
          </cell>
        </row>
        <row r="1137">
          <cell r="P1137">
            <v>0</v>
          </cell>
        </row>
        <row r="1138">
          <cell r="P1138">
            <v>0</v>
          </cell>
        </row>
        <row r="1139">
          <cell r="P1139">
            <v>0</v>
          </cell>
        </row>
        <row r="1140">
          <cell r="P1140">
            <v>0</v>
          </cell>
        </row>
        <row r="1141">
          <cell r="P1141">
            <v>0</v>
          </cell>
        </row>
        <row r="1142">
          <cell r="P1142">
            <v>0</v>
          </cell>
        </row>
        <row r="1143">
          <cell r="P1143">
            <v>0</v>
          </cell>
        </row>
        <row r="1144">
          <cell r="P1144">
            <v>0</v>
          </cell>
        </row>
        <row r="1145">
          <cell r="P1145">
            <v>0</v>
          </cell>
        </row>
        <row r="1146">
          <cell r="P1146">
            <v>0</v>
          </cell>
        </row>
        <row r="1147">
          <cell r="P1147">
            <v>0</v>
          </cell>
        </row>
        <row r="1148">
          <cell r="P1148">
            <v>0</v>
          </cell>
        </row>
        <row r="1149">
          <cell r="P1149">
            <v>0</v>
          </cell>
        </row>
        <row r="1150">
          <cell r="P1150">
            <v>0</v>
          </cell>
        </row>
        <row r="1151">
          <cell r="P1151">
            <v>0</v>
          </cell>
        </row>
        <row r="1152">
          <cell r="P1152">
            <v>0</v>
          </cell>
        </row>
        <row r="1153">
          <cell r="P1153">
            <v>0</v>
          </cell>
        </row>
        <row r="1154">
          <cell r="P1154">
            <v>0</v>
          </cell>
        </row>
        <row r="1155">
          <cell r="P1155">
            <v>0</v>
          </cell>
        </row>
        <row r="1156">
          <cell r="P1156">
            <v>0</v>
          </cell>
        </row>
        <row r="1157">
          <cell r="P1157">
            <v>0</v>
          </cell>
        </row>
        <row r="1158">
          <cell r="P1158">
            <v>0</v>
          </cell>
        </row>
        <row r="1159">
          <cell r="P1159">
            <v>0</v>
          </cell>
        </row>
        <row r="1160">
          <cell r="P1160">
            <v>0</v>
          </cell>
        </row>
        <row r="1161">
          <cell r="P1161">
            <v>0</v>
          </cell>
        </row>
        <row r="1162">
          <cell r="P1162">
            <v>0</v>
          </cell>
        </row>
        <row r="1163">
          <cell r="P1163">
            <v>0</v>
          </cell>
        </row>
        <row r="1164">
          <cell r="P1164">
            <v>0</v>
          </cell>
        </row>
        <row r="1165">
          <cell r="P1165">
            <v>0</v>
          </cell>
        </row>
        <row r="1166">
          <cell r="P1166">
            <v>0</v>
          </cell>
        </row>
        <row r="1167">
          <cell r="P1167">
            <v>0</v>
          </cell>
        </row>
        <row r="1168">
          <cell r="P1168">
            <v>0</v>
          </cell>
        </row>
        <row r="1169">
          <cell r="P1169">
            <v>0</v>
          </cell>
        </row>
        <row r="1170">
          <cell r="P1170">
            <v>0</v>
          </cell>
        </row>
        <row r="1171">
          <cell r="P1171">
            <v>0</v>
          </cell>
        </row>
        <row r="1172">
          <cell r="P1172">
            <v>0</v>
          </cell>
        </row>
        <row r="1173">
          <cell r="P1173">
            <v>0</v>
          </cell>
        </row>
        <row r="1174">
          <cell r="P1174">
            <v>0</v>
          </cell>
        </row>
        <row r="1175">
          <cell r="P1175">
            <v>0</v>
          </cell>
        </row>
        <row r="1176">
          <cell r="P1176">
            <v>0</v>
          </cell>
        </row>
        <row r="1177">
          <cell r="P1177">
            <v>0</v>
          </cell>
        </row>
        <row r="1178">
          <cell r="P1178">
            <v>0</v>
          </cell>
        </row>
        <row r="1179">
          <cell r="P1179">
            <v>0</v>
          </cell>
        </row>
        <row r="1180">
          <cell r="P1180">
            <v>0</v>
          </cell>
        </row>
        <row r="1181">
          <cell r="P1181">
            <v>0</v>
          </cell>
        </row>
        <row r="1182">
          <cell r="P1182">
            <v>0</v>
          </cell>
        </row>
        <row r="1183">
          <cell r="P1183">
            <v>0</v>
          </cell>
        </row>
        <row r="1184">
          <cell r="P1184">
            <v>0</v>
          </cell>
        </row>
        <row r="1185">
          <cell r="P1185">
            <v>0</v>
          </cell>
        </row>
        <row r="1186">
          <cell r="P1186">
            <v>0</v>
          </cell>
        </row>
        <row r="1187">
          <cell r="P1187">
            <v>0</v>
          </cell>
        </row>
        <row r="1188">
          <cell r="P1188">
            <v>0</v>
          </cell>
        </row>
        <row r="1189">
          <cell r="P1189">
            <v>0</v>
          </cell>
        </row>
        <row r="1190">
          <cell r="P1190">
            <v>0</v>
          </cell>
        </row>
        <row r="1191">
          <cell r="P1191">
            <v>0</v>
          </cell>
        </row>
        <row r="1192">
          <cell r="P1192">
            <v>0</v>
          </cell>
        </row>
        <row r="1193">
          <cell r="P1193">
            <v>0</v>
          </cell>
        </row>
        <row r="1194">
          <cell r="P1194">
            <v>0</v>
          </cell>
        </row>
        <row r="1195">
          <cell r="P1195">
            <v>0</v>
          </cell>
        </row>
        <row r="1196">
          <cell r="P1196">
            <v>0</v>
          </cell>
        </row>
        <row r="1197">
          <cell r="P1197">
            <v>0</v>
          </cell>
        </row>
        <row r="1198">
          <cell r="P1198">
            <v>0</v>
          </cell>
        </row>
        <row r="1199">
          <cell r="P1199">
            <v>0</v>
          </cell>
        </row>
        <row r="1200">
          <cell r="P1200">
            <v>0</v>
          </cell>
        </row>
        <row r="1201">
          <cell r="P1201">
            <v>0</v>
          </cell>
        </row>
        <row r="1202">
          <cell r="P1202">
            <v>0</v>
          </cell>
        </row>
        <row r="1203">
          <cell r="P1203">
            <v>0</v>
          </cell>
        </row>
        <row r="1204">
          <cell r="P1204">
            <v>0</v>
          </cell>
        </row>
        <row r="1205">
          <cell r="P1205">
            <v>0</v>
          </cell>
        </row>
        <row r="1206">
          <cell r="P1206">
            <v>0</v>
          </cell>
        </row>
        <row r="1207">
          <cell r="P1207">
            <v>0</v>
          </cell>
        </row>
        <row r="1208">
          <cell r="P1208">
            <v>0</v>
          </cell>
        </row>
        <row r="1209">
          <cell r="P1209">
            <v>0</v>
          </cell>
        </row>
        <row r="1210">
          <cell r="P1210">
            <v>0</v>
          </cell>
        </row>
        <row r="1211">
          <cell r="P1211">
            <v>0</v>
          </cell>
        </row>
        <row r="1212">
          <cell r="P1212">
            <v>0</v>
          </cell>
        </row>
        <row r="1213">
          <cell r="P1213">
            <v>0</v>
          </cell>
        </row>
        <row r="1214">
          <cell r="P1214">
            <v>0</v>
          </cell>
        </row>
        <row r="1215">
          <cell r="P1215">
            <v>0</v>
          </cell>
        </row>
        <row r="1216">
          <cell r="P1216">
            <v>0</v>
          </cell>
        </row>
        <row r="1217">
          <cell r="P1217">
            <v>0</v>
          </cell>
        </row>
        <row r="1218">
          <cell r="P1218">
            <v>0</v>
          </cell>
        </row>
        <row r="1219">
          <cell r="P1219">
            <v>0</v>
          </cell>
        </row>
        <row r="1220">
          <cell r="P1220">
            <v>0</v>
          </cell>
        </row>
        <row r="1221">
          <cell r="P1221">
            <v>0</v>
          </cell>
        </row>
        <row r="1222">
          <cell r="P1222">
            <v>0</v>
          </cell>
        </row>
        <row r="1223">
          <cell r="P1223">
            <v>0</v>
          </cell>
        </row>
        <row r="1224">
          <cell r="P1224">
            <v>0</v>
          </cell>
        </row>
        <row r="1225">
          <cell r="P1225">
            <v>0</v>
          </cell>
        </row>
        <row r="1226">
          <cell r="P1226">
            <v>0</v>
          </cell>
        </row>
        <row r="1227">
          <cell r="P1227">
            <v>0</v>
          </cell>
        </row>
        <row r="1228">
          <cell r="P1228">
            <v>0</v>
          </cell>
        </row>
        <row r="1229">
          <cell r="P1229">
            <v>0</v>
          </cell>
        </row>
        <row r="1230">
          <cell r="P1230">
            <v>0</v>
          </cell>
        </row>
        <row r="1231">
          <cell r="P1231">
            <v>0</v>
          </cell>
        </row>
        <row r="1232">
          <cell r="P1232">
            <v>0</v>
          </cell>
        </row>
        <row r="1233">
          <cell r="P1233">
            <v>0</v>
          </cell>
        </row>
        <row r="1234">
          <cell r="P1234">
            <v>0</v>
          </cell>
        </row>
        <row r="1235">
          <cell r="P1235">
            <v>0</v>
          </cell>
        </row>
        <row r="1236">
          <cell r="P1236">
            <v>0</v>
          </cell>
        </row>
        <row r="1237">
          <cell r="P1237">
            <v>0</v>
          </cell>
        </row>
        <row r="1238">
          <cell r="P1238">
            <v>0</v>
          </cell>
        </row>
        <row r="1239">
          <cell r="P1239">
            <v>0</v>
          </cell>
        </row>
        <row r="1240">
          <cell r="P1240">
            <v>0</v>
          </cell>
        </row>
        <row r="1241">
          <cell r="P1241">
            <v>0</v>
          </cell>
        </row>
        <row r="1242">
          <cell r="P1242">
            <v>0</v>
          </cell>
        </row>
        <row r="1243">
          <cell r="P1243">
            <v>0</v>
          </cell>
        </row>
        <row r="1244">
          <cell r="P1244">
            <v>0</v>
          </cell>
        </row>
        <row r="1245">
          <cell r="P1245">
            <v>0</v>
          </cell>
        </row>
        <row r="1246">
          <cell r="P1246">
            <v>0</v>
          </cell>
        </row>
        <row r="1247">
          <cell r="P1247">
            <v>0</v>
          </cell>
        </row>
        <row r="1248">
          <cell r="P1248">
            <v>0</v>
          </cell>
        </row>
        <row r="1249">
          <cell r="P1249">
            <v>0</v>
          </cell>
        </row>
        <row r="1250">
          <cell r="P1250">
            <v>0</v>
          </cell>
        </row>
        <row r="1251">
          <cell r="P1251">
            <v>0</v>
          </cell>
        </row>
        <row r="1252">
          <cell r="P1252">
            <v>0</v>
          </cell>
        </row>
        <row r="1253">
          <cell r="P1253">
            <v>0</v>
          </cell>
        </row>
        <row r="1254">
          <cell r="P1254">
            <v>0</v>
          </cell>
        </row>
        <row r="1255">
          <cell r="P1255">
            <v>0</v>
          </cell>
        </row>
        <row r="1256">
          <cell r="P1256">
            <v>0</v>
          </cell>
        </row>
        <row r="1257">
          <cell r="P1257">
            <v>0</v>
          </cell>
        </row>
        <row r="1258">
          <cell r="P1258">
            <v>0</v>
          </cell>
        </row>
        <row r="1259">
          <cell r="P1259">
            <v>0</v>
          </cell>
        </row>
        <row r="1260">
          <cell r="P1260">
            <v>0</v>
          </cell>
        </row>
        <row r="1261">
          <cell r="P1261">
            <v>0</v>
          </cell>
        </row>
        <row r="1262">
          <cell r="P1262">
            <v>0</v>
          </cell>
        </row>
        <row r="1263">
          <cell r="P1263">
            <v>0</v>
          </cell>
        </row>
        <row r="1264">
          <cell r="P1264">
            <v>0</v>
          </cell>
        </row>
        <row r="1265">
          <cell r="P1265">
            <v>0</v>
          </cell>
        </row>
        <row r="1266">
          <cell r="P1266">
            <v>0</v>
          </cell>
        </row>
        <row r="1267">
          <cell r="P1267">
            <v>0</v>
          </cell>
        </row>
        <row r="1268">
          <cell r="P1268">
            <v>0</v>
          </cell>
        </row>
        <row r="1269">
          <cell r="P1269">
            <v>0</v>
          </cell>
        </row>
        <row r="1270">
          <cell r="P1270">
            <v>0</v>
          </cell>
        </row>
        <row r="1271">
          <cell r="P1271">
            <v>0</v>
          </cell>
        </row>
        <row r="1272">
          <cell r="P1272">
            <v>0</v>
          </cell>
        </row>
        <row r="1273">
          <cell r="P1273">
            <v>0</v>
          </cell>
        </row>
        <row r="1274">
          <cell r="P1274">
            <v>0</v>
          </cell>
        </row>
        <row r="1275">
          <cell r="P1275">
            <v>0</v>
          </cell>
        </row>
        <row r="1276">
          <cell r="P1276">
            <v>0</v>
          </cell>
        </row>
        <row r="1277">
          <cell r="P1277">
            <v>0</v>
          </cell>
        </row>
        <row r="1278">
          <cell r="P1278">
            <v>0</v>
          </cell>
        </row>
        <row r="1279">
          <cell r="P1279">
            <v>0</v>
          </cell>
        </row>
        <row r="1280">
          <cell r="P1280">
            <v>0</v>
          </cell>
        </row>
        <row r="1281">
          <cell r="P1281">
            <v>0</v>
          </cell>
        </row>
        <row r="1282">
          <cell r="P1282">
            <v>0</v>
          </cell>
        </row>
        <row r="1283">
          <cell r="P1283">
            <v>0</v>
          </cell>
        </row>
        <row r="1284">
          <cell r="P1284">
            <v>0</v>
          </cell>
        </row>
        <row r="1285">
          <cell r="P1285">
            <v>0</v>
          </cell>
        </row>
        <row r="1286">
          <cell r="P1286">
            <v>0</v>
          </cell>
        </row>
        <row r="1287">
          <cell r="P1287">
            <v>0</v>
          </cell>
        </row>
        <row r="1288">
          <cell r="P1288">
            <v>0</v>
          </cell>
        </row>
        <row r="1289">
          <cell r="P1289">
            <v>0</v>
          </cell>
        </row>
        <row r="1290">
          <cell r="P1290">
            <v>0</v>
          </cell>
        </row>
        <row r="1291">
          <cell r="P1291">
            <v>0</v>
          </cell>
        </row>
        <row r="1292">
          <cell r="P1292">
            <v>0</v>
          </cell>
        </row>
        <row r="1293">
          <cell r="P1293">
            <v>0</v>
          </cell>
        </row>
        <row r="1294">
          <cell r="P1294">
            <v>0</v>
          </cell>
        </row>
        <row r="1295">
          <cell r="P1295">
            <v>0</v>
          </cell>
        </row>
        <row r="1296">
          <cell r="P1296">
            <v>0</v>
          </cell>
        </row>
        <row r="1297">
          <cell r="P1297">
            <v>0</v>
          </cell>
        </row>
        <row r="1298">
          <cell r="P1298">
            <v>0</v>
          </cell>
        </row>
        <row r="1299">
          <cell r="P1299">
            <v>0</v>
          </cell>
        </row>
        <row r="1300">
          <cell r="P1300">
            <v>0</v>
          </cell>
        </row>
        <row r="1301">
          <cell r="P1301">
            <v>0</v>
          </cell>
        </row>
        <row r="1302">
          <cell r="P1302">
            <v>0</v>
          </cell>
        </row>
        <row r="1303">
          <cell r="P1303">
            <v>0</v>
          </cell>
        </row>
        <row r="1304">
          <cell r="P1304">
            <v>0</v>
          </cell>
        </row>
        <row r="1305">
          <cell r="P1305">
            <v>0</v>
          </cell>
        </row>
        <row r="1306">
          <cell r="P1306">
            <v>0</v>
          </cell>
        </row>
        <row r="1307">
          <cell r="P1307">
            <v>0</v>
          </cell>
        </row>
        <row r="1308">
          <cell r="P1308">
            <v>0</v>
          </cell>
        </row>
        <row r="1309">
          <cell r="P1309">
            <v>0</v>
          </cell>
        </row>
        <row r="1310">
          <cell r="P1310">
            <v>0</v>
          </cell>
        </row>
        <row r="1311">
          <cell r="P1311">
            <v>0</v>
          </cell>
        </row>
        <row r="1312">
          <cell r="P1312">
            <v>0</v>
          </cell>
        </row>
        <row r="1313">
          <cell r="P1313">
            <v>0</v>
          </cell>
        </row>
        <row r="1314">
          <cell r="P1314">
            <v>0</v>
          </cell>
        </row>
        <row r="1315">
          <cell r="P1315">
            <v>0</v>
          </cell>
        </row>
        <row r="1316">
          <cell r="P1316">
            <v>0</v>
          </cell>
        </row>
        <row r="1317">
          <cell r="P1317">
            <v>0</v>
          </cell>
        </row>
        <row r="1318">
          <cell r="P1318">
            <v>0</v>
          </cell>
        </row>
        <row r="1319">
          <cell r="P1319">
            <v>0</v>
          </cell>
        </row>
        <row r="1320">
          <cell r="P1320">
            <v>0</v>
          </cell>
        </row>
        <row r="1321">
          <cell r="P1321">
            <v>0</v>
          </cell>
        </row>
        <row r="1322">
          <cell r="P1322">
            <v>0</v>
          </cell>
        </row>
        <row r="1323">
          <cell r="P1323">
            <v>0</v>
          </cell>
        </row>
        <row r="1324">
          <cell r="P1324">
            <v>0</v>
          </cell>
        </row>
        <row r="1325">
          <cell r="P1325">
            <v>0</v>
          </cell>
        </row>
        <row r="1326">
          <cell r="P1326">
            <v>0</v>
          </cell>
        </row>
        <row r="1327">
          <cell r="P1327">
            <v>0</v>
          </cell>
        </row>
        <row r="1328">
          <cell r="P1328">
            <v>0</v>
          </cell>
        </row>
        <row r="1329">
          <cell r="P1329">
            <v>0</v>
          </cell>
        </row>
        <row r="1330">
          <cell r="P1330">
            <v>0</v>
          </cell>
        </row>
        <row r="1331">
          <cell r="P1331">
            <v>0</v>
          </cell>
        </row>
        <row r="1332">
          <cell r="P1332">
            <v>0</v>
          </cell>
        </row>
        <row r="1333">
          <cell r="P1333">
            <v>0</v>
          </cell>
        </row>
        <row r="1334">
          <cell r="P1334">
            <v>0</v>
          </cell>
        </row>
        <row r="1335">
          <cell r="P1335">
            <v>0</v>
          </cell>
        </row>
        <row r="1336">
          <cell r="P1336">
            <v>0</v>
          </cell>
        </row>
        <row r="1337">
          <cell r="P1337">
            <v>0</v>
          </cell>
        </row>
        <row r="1338">
          <cell r="P1338">
            <v>0</v>
          </cell>
        </row>
        <row r="1339">
          <cell r="P1339">
            <v>0</v>
          </cell>
        </row>
        <row r="1340">
          <cell r="P1340">
            <v>0</v>
          </cell>
        </row>
        <row r="1341">
          <cell r="P1341">
            <v>0</v>
          </cell>
        </row>
        <row r="1342">
          <cell r="P1342">
            <v>0</v>
          </cell>
        </row>
        <row r="1343">
          <cell r="P1343">
            <v>0</v>
          </cell>
        </row>
        <row r="1344">
          <cell r="P1344">
            <v>0</v>
          </cell>
        </row>
        <row r="1345">
          <cell r="P1345">
            <v>0</v>
          </cell>
        </row>
        <row r="1346">
          <cell r="P1346">
            <v>0</v>
          </cell>
        </row>
        <row r="1347">
          <cell r="P1347">
            <v>0</v>
          </cell>
        </row>
        <row r="1348">
          <cell r="P1348">
            <v>0</v>
          </cell>
        </row>
        <row r="1349">
          <cell r="P1349">
            <v>0</v>
          </cell>
        </row>
        <row r="1350">
          <cell r="P1350">
            <v>0</v>
          </cell>
        </row>
        <row r="1351">
          <cell r="P1351">
            <v>0</v>
          </cell>
        </row>
        <row r="1352">
          <cell r="P1352">
            <v>0</v>
          </cell>
        </row>
        <row r="1353">
          <cell r="P1353">
            <v>0</v>
          </cell>
        </row>
        <row r="1354">
          <cell r="P1354">
            <v>0</v>
          </cell>
        </row>
        <row r="1355">
          <cell r="P1355">
            <v>0</v>
          </cell>
        </row>
        <row r="1356">
          <cell r="P1356">
            <v>0</v>
          </cell>
        </row>
        <row r="1357">
          <cell r="P1357">
            <v>0</v>
          </cell>
        </row>
        <row r="1358">
          <cell r="P1358">
            <v>0</v>
          </cell>
        </row>
        <row r="1359">
          <cell r="P1359">
            <v>0</v>
          </cell>
        </row>
        <row r="1360">
          <cell r="P1360">
            <v>0</v>
          </cell>
        </row>
        <row r="1361">
          <cell r="P1361">
            <v>0</v>
          </cell>
        </row>
        <row r="1362">
          <cell r="P1362">
            <v>0</v>
          </cell>
        </row>
        <row r="1363">
          <cell r="P1363">
            <v>0</v>
          </cell>
        </row>
        <row r="1364">
          <cell r="P1364">
            <v>0</v>
          </cell>
        </row>
        <row r="1365">
          <cell r="P1365">
            <v>0</v>
          </cell>
        </row>
        <row r="1366">
          <cell r="P1366">
            <v>0</v>
          </cell>
        </row>
        <row r="1367">
          <cell r="P1367">
            <v>0</v>
          </cell>
        </row>
        <row r="1368">
          <cell r="P1368">
            <v>0</v>
          </cell>
        </row>
        <row r="1369">
          <cell r="P1369">
            <v>0</v>
          </cell>
        </row>
        <row r="1370">
          <cell r="P1370">
            <v>0</v>
          </cell>
        </row>
        <row r="1371">
          <cell r="P1371">
            <v>0</v>
          </cell>
        </row>
        <row r="1372">
          <cell r="P1372">
            <v>0</v>
          </cell>
        </row>
        <row r="1373">
          <cell r="P1373">
            <v>0</v>
          </cell>
        </row>
        <row r="1374">
          <cell r="P1374">
            <v>0</v>
          </cell>
        </row>
        <row r="1375">
          <cell r="P1375">
            <v>0</v>
          </cell>
        </row>
        <row r="1376">
          <cell r="P1376">
            <v>0</v>
          </cell>
        </row>
        <row r="1377">
          <cell r="P1377">
            <v>0</v>
          </cell>
        </row>
        <row r="1378">
          <cell r="P1378">
            <v>0</v>
          </cell>
        </row>
        <row r="1379">
          <cell r="P1379">
            <v>0</v>
          </cell>
        </row>
        <row r="1380">
          <cell r="P1380">
            <v>0</v>
          </cell>
        </row>
        <row r="1381">
          <cell r="P1381">
            <v>0</v>
          </cell>
        </row>
        <row r="1382">
          <cell r="P1382">
            <v>0</v>
          </cell>
        </row>
        <row r="1383">
          <cell r="P1383">
            <v>0</v>
          </cell>
        </row>
        <row r="1384">
          <cell r="P1384">
            <v>0</v>
          </cell>
        </row>
        <row r="1385">
          <cell r="P1385">
            <v>0</v>
          </cell>
        </row>
        <row r="1386">
          <cell r="P1386">
            <v>0</v>
          </cell>
        </row>
        <row r="1387">
          <cell r="P1387">
            <v>0</v>
          </cell>
        </row>
        <row r="1388">
          <cell r="P1388">
            <v>0</v>
          </cell>
        </row>
        <row r="1389">
          <cell r="P1389">
            <v>0</v>
          </cell>
        </row>
        <row r="1390">
          <cell r="P1390">
            <v>0</v>
          </cell>
        </row>
        <row r="1391">
          <cell r="P1391">
            <v>0</v>
          </cell>
        </row>
        <row r="1392">
          <cell r="P1392">
            <v>0</v>
          </cell>
        </row>
        <row r="1393">
          <cell r="P1393">
            <v>0</v>
          </cell>
        </row>
        <row r="1394">
          <cell r="P1394">
            <v>0</v>
          </cell>
        </row>
        <row r="1395">
          <cell r="P1395">
            <v>0</v>
          </cell>
        </row>
        <row r="1396">
          <cell r="P1396">
            <v>0</v>
          </cell>
        </row>
        <row r="1397">
          <cell r="P1397">
            <v>0</v>
          </cell>
        </row>
        <row r="1398">
          <cell r="P1398">
            <v>0</v>
          </cell>
        </row>
        <row r="1399">
          <cell r="P1399">
            <v>0</v>
          </cell>
        </row>
        <row r="1400">
          <cell r="P1400">
            <v>0</v>
          </cell>
        </row>
        <row r="1401">
          <cell r="P1401">
            <v>0</v>
          </cell>
        </row>
        <row r="1402">
          <cell r="P1402">
            <v>0</v>
          </cell>
        </row>
        <row r="1403">
          <cell r="P1403">
            <v>0</v>
          </cell>
        </row>
        <row r="1404">
          <cell r="P1404">
            <v>0</v>
          </cell>
        </row>
        <row r="1405">
          <cell r="P1405">
            <v>0</v>
          </cell>
        </row>
        <row r="1406">
          <cell r="P1406">
            <v>0</v>
          </cell>
        </row>
        <row r="1407">
          <cell r="P1407">
            <v>0</v>
          </cell>
        </row>
        <row r="1408">
          <cell r="P1408">
            <v>0</v>
          </cell>
        </row>
        <row r="1409">
          <cell r="P1409">
            <v>0</v>
          </cell>
        </row>
        <row r="1410">
          <cell r="P1410">
            <v>0</v>
          </cell>
        </row>
        <row r="1411">
          <cell r="P1411">
            <v>0</v>
          </cell>
        </row>
        <row r="1412">
          <cell r="P1412">
            <v>0</v>
          </cell>
        </row>
        <row r="1413">
          <cell r="P1413">
            <v>0</v>
          </cell>
        </row>
        <row r="1414">
          <cell r="P1414">
            <v>0</v>
          </cell>
        </row>
        <row r="1415">
          <cell r="P1415">
            <v>0</v>
          </cell>
        </row>
        <row r="1416">
          <cell r="P1416">
            <v>0</v>
          </cell>
        </row>
        <row r="1417">
          <cell r="P1417">
            <v>0</v>
          </cell>
        </row>
        <row r="1418">
          <cell r="P1418">
            <v>0</v>
          </cell>
        </row>
        <row r="1419">
          <cell r="P1419">
            <v>0</v>
          </cell>
        </row>
        <row r="1420">
          <cell r="P1420">
            <v>0</v>
          </cell>
        </row>
        <row r="1421">
          <cell r="P1421">
            <v>0</v>
          </cell>
        </row>
        <row r="1422">
          <cell r="P1422">
            <v>0</v>
          </cell>
        </row>
        <row r="1423">
          <cell r="P1423">
            <v>0</v>
          </cell>
        </row>
        <row r="1424">
          <cell r="P1424">
            <v>0</v>
          </cell>
        </row>
        <row r="1425">
          <cell r="P1425">
            <v>0</v>
          </cell>
        </row>
        <row r="1426">
          <cell r="P1426">
            <v>0</v>
          </cell>
        </row>
        <row r="1427">
          <cell r="P1427">
            <v>0</v>
          </cell>
        </row>
        <row r="1428">
          <cell r="P1428">
            <v>0</v>
          </cell>
        </row>
        <row r="1429">
          <cell r="P1429">
            <v>0</v>
          </cell>
        </row>
        <row r="1430">
          <cell r="P1430">
            <v>0</v>
          </cell>
        </row>
        <row r="1431">
          <cell r="P1431">
            <v>0</v>
          </cell>
        </row>
        <row r="1432">
          <cell r="P1432">
            <v>0</v>
          </cell>
        </row>
        <row r="1433">
          <cell r="P1433">
            <v>0</v>
          </cell>
        </row>
        <row r="1434">
          <cell r="P1434">
            <v>0</v>
          </cell>
        </row>
        <row r="1435">
          <cell r="P1435">
            <v>0</v>
          </cell>
        </row>
        <row r="1436">
          <cell r="P1436">
            <v>0</v>
          </cell>
        </row>
        <row r="1437">
          <cell r="P1437">
            <v>0</v>
          </cell>
        </row>
        <row r="1438">
          <cell r="P1438">
            <v>0</v>
          </cell>
        </row>
        <row r="1439">
          <cell r="P1439">
            <v>0</v>
          </cell>
        </row>
        <row r="1440">
          <cell r="P1440">
            <v>0</v>
          </cell>
        </row>
        <row r="1441">
          <cell r="P1441">
            <v>0</v>
          </cell>
        </row>
        <row r="1442">
          <cell r="P1442">
            <v>0</v>
          </cell>
        </row>
        <row r="1443">
          <cell r="P1443">
            <v>0</v>
          </cell>
        </row>
        <row r="1444">
          <cell r="P1444">
            <v>0</v>
          </cell>
        </row>
        <row r="1445">
          <cell r="P1445">
            <v>0</v>
          </cell>
        </row>
        <row r="1446">
          <cell r="P1446">
            <v>0</v>
          </cell>
        </row>
        <row r="1447">
          <cell r="P1447">
            <v>0</v>
          </cell>
        </row>
        <row r="1448">
          <cell r="P1448">
            <v>0</v>
          </cell>
        </row>
        <row r="1449">
          <cell r="P1449">
            <v>0</v>
          </cell>
        </row>
        <row r="1450">
          <cell r="P1450">
            <v>0</v>
          </cell>
        </row>
        <row r="1451">
          <cell r="P1451">
            <v>0</v>
          </cell>
        </row>
        <row r="1452">
          <cell r="P1452">
            <v>0</v>
          </cell>
        </row>
        <row r="1453">
          <cell r="P1453">
            <v>0</v>
          </cell>
        </row>
        <row r="1454">
          <cell r="P1454">
            <v>0</v>
          </cell>
        </row>
        <row r="1455">
          <cell r="P1455">
            <v>0</v>
          </cell>
        </row>
        <row r="1456">
          <cell r="P1456">
            <v>0</v>
          </cell>
        </row>
        <row r="1457">
          <cell r="P1457">
            <v>0</v>
          </cell>
        </row>
        <row r="1458">
          <cell r="P1458">
            <v>0</v>
          </cell>
        </row>
        <row r="1459">
          <cell r="P1459">
            <v>0</v>
          </cell>
        </row>
        <row r="1460">
          <cell r="P1460">
            <v>0</v>
          </cell>
        </row>
        <row r="1461">
          <cell r="P1461">
            <v>0</v>
          </cell>
        </row>
        <row r="1462">
          <cell r="P1462">
            <v>0</v>
          </cell>
        </row>
        <row r="1463">
          <cell r="P1463">
            <v>0</v>
          </cell>
        </row>
        <row r="1464">
          <cell r="P1464">
            <v>0</v>
          </cell>
        </row>
        <row r="1465">
          <cell r="P1465">
            <v>0</v>
          </cell>
        </row>
        <row r="1466">
          <cell r="P1466">
            <v>0</v>
          </cell>
        </row>
        <row r="1467">
          <cell r="P1467">
            <v>0</v>
          </cell>
        </row>
        <row r="1468">
          <cell r="P1468">
            <v>0</v>
          </cell>
        </row>
        <row r="1469">
          <cell r="P1469">
            <v>0</v>
          </cell>
        </row>
        <row r="1470">
          <cell r="P1470">
            <v>0</v>
          </cell>
        </row>
        <row r="1471">
          <cell r="P1471">
            <v>0</v>
          </cell>
        </row>
        <row r="1472">
          <cell r="P1472">
            <v>0</v>
          </cell>
        </row>
        <row r="1473">
          <cell r="P1473">
            <v>0</v>
          </cell>
        </row>
        <row r="1474">
          <cell r="P1474">
            <v>0</v>
          </cell>
        </row>
        <row r="1475">
          <cell r="P1475">
            <v>0</v>
          </cell>
        </row>
        <row r="1476">
          <cell r="P1476">
            <v>0</v>
          </cell>
        </row>
        <row r="1477">
          <cell r="P1477">
            <v>0</v>
          </cell>
        </row>
        <row r="1478">
          <cell r="P1478">
            <v>0</v>
          </cell>
        </row>
        <row r="1479">
          <cell r="P1479">
            <v>0</v>
          </cell>
        </row>
        <row r="1480">
          <cell r="P1480">
            <v>0</v>
          </cell>
        </row>
        <row r="1481">
          <cell r="P1481">
            <v>0</v>
          </cell>
        </row>
        <row r="1482">
          <cell r="P1482">
            <v>0</v>
          </cell>
        </row>
        <row r="1483">
          <cell r="P1483">
            <v>0</v>
          </cell>
        </row>
        <row r="1484">
          <cell r="P1484">
            <v>0</v>
          </cell>
        </row>
        <row r="1485">
          <cell r="P1485">
            <v>0</v>
          </cell>
        </row>
        <row r="1486">
          <cell r="P1486">
            <v>0</v>
          </cell>
        </row>
        <row r="1487">
          <cell r="P1487">
            <v>0</v>
          </cell>
        </row>
        <row r="1488">
          <cell r="P1488">
            <v>0</v>
          </cell>
        </row>
        <row r="1489">
          <cell r="P1489">
            <v>0</v>
          </cell>
        </row>
        <row r="1490">
          <cell r="P1490">
            <v>0</v>
          </cell>
        </row>
        <row r="1491">
          <cell r="P1491">
            <v>0</v>
          </cell>
        </row>
        <row r="1492">
          <cell r="P1492">
            <v>0</v>
          </cell>
        </row>
        <row r="1493">
          <cell r="P1493">
            <v>0</v>
          </cell>
        </row>
        <row r="1494">
          <cell r="P1494">
            <v>0</v>
          </cell>
        </row>
        <row r="1495">
          <cell r="P1495">
            <v>0</v>
          </cell>
        </row>
        <row r="1496">
          <cell r="P1496">
            <v>0</v>
          </cell>
        </row>
        <row r="1497">
          <cell r="P1497">
            <v>0</v>
          </cell>
        </row>
        <row r="1498">
          <cell r="P1498">
            <v>90.355760820000015</v>
          </cell>
        </row>
        <row r="1499">
          <cell r="P1499">
            <v>0</v>
          </cell>
        </row>
        <row r="1500">
          <cell r="P1500">
            <v>0</v>
          </cell>
        </row>
        <row r="1501">
          <cell r="P1501">
            <v>0</v>
          </cell>
        </row>
        <row r="1502">
          <cell r="P1502">
            <v>0</v>
          </cell>
        </row>
        <row r="1503">
          <cell r="P1503">
            <v>4.2795289799999994</v>
          </cell>
        </row>
        <row r="1504">
          <cell r="P1504">
            <v>7.132548299999999</v>
          </cell>
        </row>
        <row r="1505">
          <cell r="P1505">
            <v>0</v>
          </cell>
        </row>
        <row r="1506">
          <cell r="P1506">
            <v>7.2000000000000011</v>
          </cell>
        </row>
        <row r="1507">
          <cell r="P1507">
            <v>12.000000000000002</v>
          </cell>
        </row>
        <row r="1508">
          <cell r="P1508">
            <v>0</v>
          </cell>
        </row>
        <row r="1509">
          <cell r="P1509">
            <v>0</v>
          </cell>
        </row>
        <row r="1510">
          <cell r="P1510">
            <v>0</v>
          </cell>
        </row>
        <row r="1511">
          <cell r="P1511">
            <v>0</v>
          </cell>
        </row>
        <row r="1512">
          <cell r="P1512">
            <v>0</v>
          </cell>
        </row>
        <row r="1513">
          <cell r="P1513">
            <v>0</v>
          </cell>
        </row>
        <row r="1514">
          <cell r="P1514">
            <v>0</v>
          </cell>
        </row>
        <row r="1515">
          <cell r="P1515">
            <v>0</v>
          </cell>
        </row>
        <row r="1516">
          <cell r="P1516">
            <v>0</v>
          </cell>
        </row>
        <row r="1517">
          <cell r="P1517">
            <v>0</v>
          </cell>
        </row>
        <row r="1518">
          <cell r="P1518">
            <v>0</v>
          </cell>
        </row>
        <row r="1519">
          <cell r="P1519">
            <v>0</v>
          </cell>
        </row>
        <row r="1520">
          <cell r="P1520">
            <v>0</v>
          </cell>
        </row>
        <row r="1521">
          <cell r="P1521">
            <v>0</v>
          </cell>
        </row>
        <row r="1522">
          <cell r="P1522">
            <v>0</v>
          </cell>
        </row>
        <row r="1523">
          <cell r="P1523">
            <v>0</v>
          </cell>
        </row>
        <row r="1524">
          <cell r="P1524">
            <v>0</v>
          </cell>
        </row>
        <row r="1525">
          <cell r="P1525">
            <v>0</v>
          </cell>
        </row>
        <row r="1526">
          <cell r="P1526">
            <v>0</v>
          </cell>
        </row>
        <row r="1527">
          <cell r="P1527">
            <v>0</v>
          </cell>
        </row>
        <row r="1528">
          <cell r="P1528">
            <v>0</v>
          </cell>
        </row>
        <row r="1529">
          <cell r="P1529">
            <v>0</v>
          </cell>
        </row>
        <row r="1530">
          <cell r="P1530">
            <v>0</v>
          </cell>
        </row>
        <row r="1531">
          <cell r="P1531">
            <v>0</v>
          </cell>
        </row>
        <row r="1532">
          <cell r="P1532">
            <v>0</v>
          </cell>
        </row>
        <row r="1533">
          <cell r="P1533">
            <v>0</v>
          </cell>
        </row>
        <row r="1534">
          <cell r="P1534">
            <v>0</v>
          </cell>
        </row>
        <row r="1535">
          <cell r="P1535">
            <v>0</v>
          </cell>
        </row>
        <row r="1536">
          <cell r="P1536">
            <v>0</v>
          </cell>
        </row>
        <row r="1537">
          <cell r="P1537">
            <v>0</v>
          </cell>
        </row>
        <row r="1538">
          <cell r="P1538">
            <v>0</v>
          </cell>
        </row>
        <row r="1539">
          <cell r="P1539">
            <v>0</v>
          </cell>
        </row>
        <row r="1540">
          <cell r="P1540">
            <v>0</v>
          </cell>
        </row>
        <row r="1541">
          <cell r="P1541">
            <v>0</v>
          </cell>
        </row>
        <row r="1542">
          <cell r="P1542">
            <v>0</v>
          </cell>
        </row>
        <row r="1543">
          <cell r="P1543">
            <v>0</v>
          </cell>
        </row>
        <row r="1544">
          <cell r="P1544">
            <v>0</v>
          </cell>
        </row>
        <row r="1545">
          <cell r="P1545">
            <v>0</v>
          </cell>
        </row>
        <row r="1546">
          <cell r="P1546">
            <v>0</v>
          </cell>
        </row>
        <row r="1547">
          <cell r="P1547">
            <v>0</v>
          </cell>
        </row>
        <row r="1548">
          <cell r="P1548">
            <v>0</v>
          </cell>
        </row>
        <row r="1549">
          <cell r="P1549">
            <v>0</v>
          </cell>
        </row>
        <row r="1550">
          <cell r="P1550">
            <v>0</v>
          </cell>
        </row>
        <row r="1551">
          <cell r="P1551">
            <v>0</v>
          </cell>
        </row>
        <row r="1552">
          <cell r="P1552">
            <v>0</v>
          </cell>
        </row>
        <row r="1553">
          <cell r="P1553">
            <v>0</v>
          </cell>
        </row>
        <row r="1554">
          <cell r="P1554">
            <v>0</v>
          </cell>
        </row>
        <row r="1555">
          <cell r="P1555">
            <v>0</v>
          </cell>
        </row>
        <row r="1556">
          <cell r="P1556">
            <v>0</v>
          </cell>
        </row>
        <row r="1557">
          <cell r="P1557">
            <v>0</v>
          </cell>
        </row>
        <row r="1558">
          <cell r="P1558">
            <v>0</v>
          </cell>
        </row>
        <row r="1559">
          <cell r="P1559">
            <v>0</v>
          </cell>
        </row>
        <row r="1560">
          <cell r="P1560">
            <v>889.07520000000011</v>
          </cell>
        </row>
        <row r="1561">
          <cell r="P1561">
            <v>0</v>
          </cell>
        </row>
        <row r="1562">
          <cell r="P1562">
            <v>0</v>
          </cell>
        </row>
        <row r="1563">
          <cell r="P1563">
            <v>0</v>
          </cell>
        </row>
        <row r="1564">
          <cell r="P1564">
            <v>0</v>
          </cell>
        </row>
        <row r="1565">
          <cell r="P1565">
            <v>0</v>
          </cell>
        </row>
        <row r="1566">
          <cell r="P1566">
            <v>71.819999999999993</v>
          </cell>
        </row>
        <row r="1567">
          <cell r="P1567">
            <v>0</v>
          </cell>
        </row>
        <row r="1568">
          <cell r="P1568">
            <v>81.599400000000017</v>
          </cell>
        </row>
        <row r="1569">
          <cell r="P1569">
            <v>27.199800000000003</v>
          </cell>
        </row>
        <row r="1570">
          <cell r="P1570">
            <v>81.599400000000017</v>
          </cell>
        </row>
        <row r="1571">
          <cell r="P1571">
            <v>0</v>
          </cell>
        </row>
        <row r="1572">
          <cell r="P1572">
            <v>0</v>
          </cell>
        </row>
        <row r="1573">
          <cell r="P1573">
            <v>0</v>
          </cell>
        </row>
        <row r="1574">
          <cell r="P1574">
            <v>0</v>
          </cell>
        </row>
        <row r="1575">
          <cell r="P1575">
            <v>0</v>
          </cell>
        </row>
        <row r="1576">
          <cell r="P1576">
            <v>0</v>
          </cell>
        </row>
        <row r="1577">
          <cell r="P1577">
            <v>7.5160800000000005</v>
          </cell>
        </row>
        <row r="1578">
          <cell r="P1578">
            <v>308.88</v>
          </cell>
        </row>
        <row r="1579">
          <cell r="P1579">
            <v>0</v>
          </cell>
        </row>
        <row r="1580">
          <cell r="P1580">
            <v>304.34026189073381</v>
          </cell>
        </row>
        <row r="1581">
          <cell r="P1581">
            <v>570.43999999999994</v>
          </cell>
        </row>
        <row r="1582">
          <cell r="P1582">
            <v>570.43999999999994</v>
          </cell>
        </row>
        <row r="1583">
          <cell r="P1583">
            <v>13164</v>
          </cell>
        </row>
        <row r="1584">
          <cell r="P1584">
            <v>0</v>
          </cell>
        </row>
        <row r="1585">
          <cell r="P1585">
            <v>122.00400000000002</v>
          </cell>
        </row>
        <row r="1586">
          <cell r="P1586">
            <v>0</v>
          </cell>
        </row>
        <row r="1587">
          <cell r="P1587">
            <v>183.03200000000004</v>
          </cell>
        </row>
        <row r="1588">
          <cell r="P1588">
            <v>329.45760000000001</v>
          </cell>
        </row>
        <row r="1589">
          <cell r="P1589">
            <v>0</v>
          </cell>
        </row>
        <row r="1590">
          <cell r="P1590">
            <v>0</v>
          </cell>
        </row>
        <row r="1591">
          <cell r="P1591">
            <v>0</v>
          </cell>
        </row>
        <row r="1592">
          <cell r="P1592">
            <v>0</v>
          </cell>
        </row>
        <row r="1593">
          <cell r="P1593">
            <v>0</v>
          </cell>
        </row>
        <row r="1594">
          <cell r="P1594">
            <v>0</v>
          </cell>
        </row>
        <row r="1595">
          <cell r="P1595">
            <v>0</v>
          </cell>
        </row>
        <row r="1596">
          <cell r="P1596">
            <v>0</v>
          </cell>
        </row>
        <row r="1597">
          <cell r="P1597">
            <v>0</v>
          </cell>
        </row>
        <row r="1598">
          <cell r="P1598">
            <v>0</v>
          </cell>
        </row>
        <row r="1599">
          <cell r="P1599">
            <v>0</v>
          </cell>
        </row>
        <row r="1600">
          <cell r="P1600">
            <v>22.591919999999998</v>
          </cell>
        </row>
        <row r="1601">
          <cell r="P1601">
            <v>22.591919999999998</v>
          </cell>
        </row>
        <row r="1602">
          <cell r="P1602">
            <v>0</v>
          </cell>
        </row>
        <row r="1603">
          <cell r="P1603">
            <v>0</v>
          </cell>
        </row>
        <row r="1604">
          <cell r="P1604">
            <v>0</v>
          </cell>
        </row>
        <row r="1605">
          <cell r="P1605">
            <v>0</v>
          </cell>
        </row>
        <row r="1606">
          <cell r="P1606">
            <v>244.46899999999997</v>
          </cell>
        </row>
        <row r="1607">
          <cell r="P1607">
            <v>440.04419999999993</v>
          </cell>
        </row>
        <row r="1608">
          <cell r="P1608">
            <v>0</v>
          </cell>
        </row>
        <row r="1609">
          <cell r="P1609">
            <v>0</v>
          </cell>
        </row>
        <row r="1610">
          <cell r="P1610">
            <v>0</v>
          </cell>
        </row>
        <row r="1611">
          <cell r="P1611">
            <v>0</v>
          </cell>
        </row>
        <row r="1612">
          <cell r="P1612">
            <v>0</v>
          </cell>
        </row>
        <row r="1613">
          <cell r="P1613">
            <v>0</v>
          </cell>
        </row>
        <row r="1614">
          <cell r="P1614">
            <v>0</v>
          </cell>
        </row>
        <row r="1615">
          <cell r="P1615">
            <v>0.224305</v>
          </cell>
        </row>
        <row r="1616">
          <cell r="P1616">
            <v>7.9100000000000004E-2</v>
          </cell>
        </row>
        <row r="1617">
          <cell r="P1617">
            <v>0.224305</v>
          </cell>
        </row>
        <row r="1618">
          <cell r="P1618">
            <v>0</v>
          </cell>
        </row>
        <row r="1619">
          <cell r="P1619">
            <v>0</v>
          </cell>
        </row>
        <row r="1620">
          <cell r="P1620">
            <v>0</v>
          </cell>
        </row>
        <row r="1621">
          <cell r="P1621">
            <v>0</v>
          </cell>
        </row>
        <row r="1622">
          <cell r="P1622">
            <v>0</v>
          </cell>
        </row>
        <row r="1623">
          <cell r="P1623">
            <v>0</v>
          </cell>
        </row>
        <row r="1624">
          <cell r="P1624">
            <v>0</v>
          </cell>
        </row>
        <row r="1625">
          <cell r="P1625">
            <v>0</v>
          </cell>
        </row>
        <row r="1626">
          <cell r="P1626">
            <v>0</v>
          </cell>
        </row>
        <row r="1627">
          <cell r="P1627">
            <v>0</v>
          </cell>
        </row>
        <row r="1628">
          <cell r="P1628">
            <v>0</v>
          </cell>
        </row>
        <row r="1629">
          <cell r="P1629">
            <v>0</v>
          </cell>
        </row>
        <row r="1630">
          <cell r="P1630">
            <v>0</v>
          </cell>
        </row>
        <row r="1631">
          <cell r="P1631">
            <v>0</v>
          </cell>
        </row>
        <row r="1632">
          <cell r="P1632">
            <v>0</v>
          </cell>
        </row>
        <row r="1633">
          <cell r="P1633">
            <v>0</v>
          </cell>
        </row>
        <row r="1634">
          <cell r="P1634">
            <v>0</v>
          </cell>
        </row>
        <row r="1635">
          <cell r="P1635">
            <v>0</v>
          </cell>
        </row>
        <row r="1636">
          <cell r="P1636">
            <v>0</v>
          </cell>
        </row>
        <row r="1637">
          <cell r="P1637">
            <v>0</v>
          </cell>
        </row>
        <row r="1638">
          <cell r="P1638">
            <v>0</v>
          </cell>
        </row>
        <row r="1639">
          <cell r="P1639">
            <v>0</v>
          </cell>
        </row>
        <row r="1640">
          <cell r="P1640">
            <v>0</v>
          </cell>
        </row>
        <row r="1641">
          <cell r="P1641">
            <v>0</v>
          </cell>
        </row>
        <row r="1642">
          <cell r="P1642">
            <v>0</v>
          </cell>
        </row>
        <row r="1643">
          <cell r="P1643">
            <v>0</v>
          </cell>
        </row>
        <row r="1644">
          <cell r="P1644">
            <v>0</v>
          </cell>
        </row>
        <row r="1645">
          <cell r="P1645">
            <v>0</v>
          </cell>
        </row>
        <row r="1646">
          <cell r="P1646">
            <v>0</v>
          </cell>
        </row>
        <row r="1647">
          <cell r="P1647">
            <v>0</v>
          </cell>
        </row>
        <row r="1648">
          <cell r="P1648">
            <v>0</v>
          </cell>
        </row>
        <row r="1649">
          <cell r="P1649">
            <v>0</v>
          </cell>
        </row>
        <row r="1650">
          <cell r="P1650">
            <v>0</v>
          </cell>
        </row>
        <row r="1651">
          <cell r="P1651">
            <v>0</v>
          </cell>
        </row>
        <row r="1652">
          <cell r="P1652">
            <v>0</v>
          </cell>
        </row>
        <row r="1653">
          <cell r="P1653">
            <v>0</v>
          </cell>
        </row>
        <row r="1654">
          <cell r="P1654">
            <v>0</v>
          </cell>
        </row>
        <row r="1655">
          <cell r="P1655">
            <v>0</v>
          </cell>
        </row>
        <row r="1656">
          <cell r="P1656">
            <v>0</v>
          </cell>
        </row>
        <row r="1657">
          <cell r="P1657">
            <v>0</v>
          </cell>
        </row>
        <row r="1658">
          <cell r="P1658">
            <v>0</v>
          </cell>
        </row>
        <row r="1659">
          <cell r="P1659">
            <v>0</v>
          </cell>
        </row>
        <row r="1660">
          <cell r="P1660">
            <v>0</v>
          </cell>
        </row>
        <row r="1661">
          <cell r="P1661">
            <v>0</v>
          </cell>
        </row>
        <row r="1662">
          <cell r="P1662">
            <v>0</v>
          </cell>
        </row>
        <row r="1663">
          <cell r="P1663">
            <v>0</v>
          </cell>
        </row>
        <row r="1664">
          <cell r="P1664">
            <v>0</v>
          </cell>
        </row>
        <row r="1665">
          <cell r="P1665">
            <v>0</v>
          </cell>
        </row>
        <row r="1666">
          <cell r="P1666">
            <v>0</v>
          </cell>
        </row>
        <row r="1667">
          <cell r="P1667">
            <v>0</v>
          </cell>
        </row>
        <row r="1668">
          <cell r="P1668">
            <v>0</v>
          </cell>
        </row>
        <row r="1669">
          <cell r="P1669">
            <v>0</v>
          </cell>
        </row>
        <row r="1670">
          <cell r="P1670">
            <v>0</v>
          </cell>
        </row>
        <row r="1671">
          <cell r="P1671">
            <v>0</v>
          </cell>
        </row>
        <row r="1672">
          <cell r="P1672">
            <v>0</v>
          </cell>
        </row>
        <row r="1673">
          <cell r="P1673">
            <v>0</v>
          </cell>
        </row>
        <row r="1674">
          <cell r="P1674">
            <v>0</v>
          </cell>
        </row>
        <row r="1675">
          <cell r="P1675">
            <v>0</v>
          </cell>
        </row>
        <row r="1676">
          <cell r="P1676">
            <v>0</v>
          </cell>
        </row>
        <row r="1677">
          <cell r="P1677">
            <v>0</v>
          </cell>
        </row>
        <row r="1678">
          <cell r="P1678">
            <v>0</v>
          </cell>
        </row>
        <row r="1679">
          <cell r="P1679">
            <v>0</v>
          </cell>
        </row>
        <row r="1680">
          <cell r="P1680">
            <v>0</v>
          </cell>
        </row>
        <row r="1681">
          <cell r="P1681">
            <v>0</v>
          </cell>
        </row>
        <row r="1682">
          <cell r="P1682">
            <v>0</v>
          </cell>
        </row>
        <row r="1683">
          <cell r="P1683">
            <v>0</v>
          </cell>
        </row>
        <row r="1684">
          <cell r="P1684">
            <v>0</v>
          </cell>
        </row>
        <row r="1685">
          <cell r="P1685">
            <v>0</v>
          </cell>
        </row>
        <row r="1686">
          <cell r="P1686">
            <v>0</v>
          </cell>
        </row>
        <row r="1687">
          <cell r="P1687">
            <v>2.835</v>
          </cell>
        </row>
        <row r="1688">
          <cell r="P1688">
            <v>2.835</v>
          </cell>
        </row>
        <row r="1689">
          <cell r="P1689">
            <v>11.34</v>
          </cell>
        </row>
        <row r="1690">
          <cell r="P1690">
            <v>2.2679999999999999E-2</v>
          </cell>
        </row>
        <row r="1691">
          <cell r="P1691">
            <v>0.6804</v>
          </cell>
        </row>
        <row r="1692">
          <cell r="P1692">
            <v>0</v>
          </cell>
        </row>
        <row r="1693">
          <cell r="P1693">
            <v>0</v>
          </cell>
        </row>
        <row r="1694">
          <cell r="P1694">
            <v>0</v>
          </cell>
        </row>
        <row r="1695">
          <cell r="P1695">
            <v>0</v>
          </cell>
        </row>
        <row r="1696">
          <cell r="P1696">
            <v>0</v>
          </cell>
        </row>
        <row r="1697">
          <cell r="P1697">
            <v>0</v>
          </cell>
        </row>
        <row r="1698">
          <cell r="P1698">
            <v>0</v>
          </cell>
        </row>
        <row r="1699">
          <cell r="P1699">
            <v>0</v>
          </cell>
        </row>
        <row r="1700">
          <cell r="P1700">
            <v>0</v>
          </cell>
        </row>
        <row r="1701">
          <cell r="P1701">
            <v>0</v>
          </cell>
        </row>
        <row r="1702">
          <cell r="P1702">
            <v>0</v>
          </cell>
        </row>
        <row r="1703">
          <cell r="P1703">
            <v>0</v>
          </cell>
        </row>
        <row r="1704">
          <cell r="P1704">
            <v>0</v>
          </cell>
        </row>
        <row r="1705">
          <cell r="P1705">
            <v>0</v>
          </cell>
        </row>
        <row r="1706">
          <cell r="P1706">
            <v>0</v>
          </cell>
        </row>
        <row r="1707">
          <cell r="P1707">
            <v>0</v>
          </cell>
        </row>
        <row r="1708">
          <cell r="P1708">
            <v>0</v>
          </cell>
        </row>
        <row r="1709">
          <cell r="P1709">
            <v>0</v>
          </cell>
        </row>
        <row r="1710">
          <cell r="P1710">
            <v>0</v>
          </cell>
        </row>
        <row r="1711">
          <cell r="P1711">
            <v>0</v>
          </cell>
        </row>
        <row r="1712">
          <cell r="P1712">
            <v>0</v>
          </cell>
        </row>
        <row r="1713">
          <cell r="P1713">
            <v>0</v>
          </cell>
        </row>
        <row r="1714">
          <cell r="P1714">
            <v>0</v>
          </cell>
        </row>
        <row r="1715">
          <cell r="P1715">
            <v>15.15</v>
          </cell>
        </row>
        <row r="1716">
          <cell r="P1716">
            <v>15.15</v>
          </cell>
        </row>
        <row r="1717">
          <cell r="P1717">
            <v>0</v>
          </cell>
        </row>
        <row r="1718">
          <cell r="P1718">
            <v>0</v>
          </cell>
        </row>
        <row r="1719">
          <cell r="P1719">
            <v>0</v>
          </cell>
        </row>
        <row r="1720">
          <cell r="P1720">
            <v>0</v>
          </cell>
        </row>
        <row r="1721">
          <cell r="P1721">
            <v>0</v>
          </cell>
        </row>
        <row r="1722">
          <cell r="P1722">
            <v>0</v>
          </cell>
        </row>
        <row r="1723">
          <cell r="P1723">
            <v>0</v>
          </cell>
        </row>
        <row r="1724">
          <cell r="P1724">
            <v>0</v>
          </cell>
        </row>
        <row r="1725">
          <cell r="P1725">
            <v>0</v>
          </cell>
        </row>
        <row r="1726">
          <cell r="P1726">
            <v>0</v>
          </cell>
        </row>
        <row r="1727">
          <cell r="P1727">
            <v>0</v>
          </cell>
        </row>
        <row r="1728">
          <cell r="P1728">
            <v>0</v>
          </cell>
        </row>
        <row r="1729">
          <cell r="P1729">
            <v>0</v>
          </cell>
        </row>
        <row r="1730">
          <cell r="P1730">
            <v>0</v>
          </cell>
        </row>
        <row r="1731">
          <cell r="P1731">
            <v>0</v>
          </cell>
        </row>
        <row r="1732">
          <cell r="P1732">
            <v>0</v>
          </cell>
        </row>
        <row r="1733">
          <cell r="P1733">
            <v>0</v>
          </cell>
        </row>
        <row r="1734">
          <cell r="P1734">
            <v>0</v>
          </cell>
        </row>
        <row r="1735">
          <cell r="P1735">
            <v>0</v>
          </cell>
        </row>
        <row r="1736">
          <cell r="P1736">
            <v>0</v>
          </cell>
        </row>
        <row r="1737">
          <cell r="P1737">
            <v>0</v>
          </cell>
        </row>
        <row r="1738">
          <cell r="P1738">
            <v>0</v>
          </cell>
        </row>
        <row r="1739">
          <cell r="P1739">
            <v>0</v>
          </cell>
        </row>
        <row r="1740">
          <cell r="P1740">
            <v>0</v>
          </cell>
        </row>
        <row r="1741">
          <cell r="P1741">
            <v>0</v>
          </cell>
        </row>
        <row r="1742">
          <cell r="P1742">
            <v>0</v>
          </cell>
        </row>
        <row r="1743">
          <cell r="P1743">
            <v>0</v>
          </cell>
        </row>
        <row r="1744">
          <cell r="P1744">
            <v>0</v>
          </cell>
        </row>
        <row r="1745">
          <cell r="P1745">
            <v>0</v>
          </cell>
        </row>
        <row r="1746">
          <cell r="P1746">
            <v>0</v>
          </cell>
        </row>
        <row r="1747">
          <cell r="P1747">
            <v>0</v>
          </cell>
        </row>
        <row r="1748">
          <cell r="P1748">
            <v>0</v>
          </cell>
        </row>
        <row r="1749">
          <cell r="P1749">
            <v>0</v>
          </cell>
        </row>
        <row r="1750">
          <cell r="P1750">
            <v>0</v>
          </cell>
        </row>
        <row r="1751">
          <cell r="P1751">
            <v>0</v>
          </cell>
        </row>
        <row r="1752">
          <cell r="P1752">
            <v>0</v>
          </cell>
        </row>
        <row r="1753">
          <cell r="P1753">
            <v>0</v>
          </cell>
        </row>
        <row r="1754">
          <cell r="P1754">
            <v>0</v>
          </cell>
        </row>
        <row r="1755">
          <cell r="P1755">
            <v>0</v>
          </cell>
        </row>
        <row r="1756">
          <cell r="P1756">
            <v>0</v>
          </cell>
        </row>
        <row r="1757">
          <cell r="P1757">
            <v>0</v>
          </cell>
        </row>
        <row r="1758">
          <cell r="P1758">
            <v>0</v>
          </cell>
        </row>
        <row r="1759">
          <cell r="P1759">
            <v>0</v>
          </cell>
        </row>
        <row r="1760">
          <cell r="P1760">
            <v>0</v>
          </cell>
        </row>
        <row r="1761">
          <cell r="P1761">
            <v>0</v>
          </cell>
        </row>
        <row r="1762">
          <cell r="P1762">
            <v>0</v>
          </cell>
        </row>
        <row r="1763">
          <cell r="P1763">
            <v>0</v>
          </cell>
        </row>
        <row r="1764">
          <cell r="P1764">
            <v>0</v>
          </cell>
        </row>
        <row r="1765">
          <cell r="P1765">
            <v>0</v>
          </cell>
        </row>
        <row r="1766">
          <cell r="P1766">
            <v>0</v>
          </cell>
        </row>
        <row r="1767">
          <cell r="P1767">
            <v>0</v>
          </cell>
        </row>
        <row r="1768">
          <cell r="P1768">
            <v>0</v>
          </cell>
        </row>
        <row r="1769">
          <cell r="P1769">
            <v>0</v>
          </cell>
        </row>
        <row r="1770">
          <cell r="P1770">
            <v>0</v>
          </cell>
        </row>
        <row r="1771">
          <cell r="P1771">
            <v>0</v>
          </cell>
        </row>
        <row r="1772">
          <cell r="P1772">
            <v>0</v>
          </cell>
        </row>
        <row r="1773">
          <cell r="P1773">
            <v>0</v>
          </cell>
        </row>
        <row r="1774">
          <cell r="P1774">
            <v>0</v>
          </cell>
        </row>
        <row r="1775">
          <cell r="P1775">
            <v>0</v>
          </cell>
        </row>
        <row r="1776">
          <cell r="P1776">
            <v>0</v>
          </cell>
        </row>
        <row r="1777">
          <cell r="P1777">
            <v>0</v>
          </cell>
        </row>
        <row r="1778">
          <cell r="P1778">
            <v>0</v>
          </cell>
        </row>
        <row r="1779">
          <cell r="P1779">
            <v>0</v>
          </cell>
        </row>
        <row r="1780">
          <cell r="P1780">
            <v>0</v>
          </cell>
        </row>
        <row r="1781">
          <cell r="P1781">
            <v>0</v>
          </cell>
        </row>
        <row r="1782">
          <cell r="P1782">
            <v>0</v>
          </cell>
        </row>
        <row r="1783">
          <cell r="P1783">
            <v>0</v>
          </cell>
        </row>
        <row r="1784">
          <cell r="P1784">
            <v>0</v>
          </cell>
        </row>
        <row r="1785">
          <cell r="P1785">
            <v>0</v>
          </cell>
        </row>
        <row r="1786">
          <cell r="P1786">
            <v>0</v>
          </cell>
        </row>
        <row r="1787">
          <cell r="P1787">
            <v>0</v>
          </cell>
        </row>
        <row r="1788">
          <cell r="P1788">
            <v>0</v>
          </cell>
        </row>
        <row r="1789">
          <cell r="P1789">
            <v>0</v>
          </cell>
        </row>
        <row r="1790">
          <cell r="P1790">
            <v>0</v>
          </cell>
        </row>
        <row r="1791">
          <cell r="P1791">
            <v>0</v>
          </cell>
        </row>
        <row r="1792">
          <cell r="P1792">
            <v>0</v>
          </cell>
        </row>
        <row r="1793">
          <cell r="P1793">
            <v>42.525000000000006</v>
          </cell>
        </row>
        <row r="1794">
          <cell r="P1794">
            <v>42.525000000000006</v>
          </cell>
        </row>
        <row r="1795">
          <cell r="P1795">
            <v>14.175000000000001</v>
          </cell>
        </row>
        <row r="1796">
          <cell r="P1796">
            <v>8.5050000000000008</v>
          </cell>
        </row>
        <row r="1797">
          <cell r="P1797">
            <v>4.2525000000000004</v>
          </cell>
        </row>
        <row r="1798">
          <cell r="P1798">
            <v>11.340000000000002</v>
          </cell>
        </row>
        <row r="1799">
          <cell r="P1799">
            <v>0</v>
          </cell>
        </row>
        <row r="1800">
          <cell r="P1800">
            <v>0</v>
          </cell>
        </row>
        <row r="1801">
          <cell r="P1801">
            <v>0</v>
          </cell>
        </row>
        <row r="1802">
          <cell r="P1802">
            <v>0</v>
          </cell>
        </row>
        <row r="1803">
          <cell r="P1803">
            <v>0</v>
          </cell>
        </row>
        <row r="1804">
          <cell r="P1804">
            <v>0</v>
          </cell>
        </row>
        <row r="1805">
          <cell r="P1805">
            <v>0</v>
          </cell>
        </row>
        <row r="1806">
          <cell r="P1806">
            <v>0</v>
          </cell>
        </row>
        <row r="1807">
          <cell r="P1807">
            <v>0</v>
          </cell>
        </row>
        <row r="1808">
          <cell r="P1808">
            <v>0</v>
          </cell>
        </row>
        <row r="1809">
          <cell r="P1809">
            <v>0</v>
          </cell>
        </row>
        <row r="1810">
          <cell r="P1810">
            <v>0</v>
          </cell>
        </row>
        <row r="1811">
          <cell r="P1811">
            <v>0</v>
          </cell>
        </row>
        <row r="1812">
          <cell r="P1812">
            <v>0</v>
          </cell>
        </row>
        <row r="1813">
          <cell r="P1813">
            <v>0</v>
          </cell>
        </row>
        <row r="1814">
          <cell r="P1814">
            <v>0</v>
          </cell>
        </row>
        <row r="1815">
          <cell r="P1815">
            <v>10.08</v>
          </cell>
        </row>
        <row r="1816">
          <cell r="P1816">
            <v>10.08</v>
          </cell>
        </row>
        <row r="1817">
          <cell r="P1817">
            <v>7.9200000000000008</v>
          </cell>
        </row>
        <row r="1818">
          <cell r="P1818">
            <v>11.016</v>
          </cell>
        </row>
        <row r="1819">
          <cell r="P1819">
            <v>3.0960000000000001</v>
          </cell>
        </row>
        <row r="1820">
          <cell r="P1820">
            <v>4.1760000000000002</v>
          </cell>
        </row>
        <row r="1821">
          <cell r="P1821">
            <v>1.4400000000000002</v>
          </cell>
        </row>
        <row r="1822">
          <cell r="P1822">
            <v>7.2000000000000008E-2</v>
          </cell>
        </row>
        <row r="1823">
          <cell r="P1823">
            <v>0</v>
          </cell>
        </row>
        <row r="1824">
          <cell r="P1824">
            <v>559.77599999999995</v>
          </cell>
        </row>
        <row r="1825">
          <cell r="P1825">
            <v>559.77599999999995</v>
          </cell>
        </row>
        <row r="1826">
          <cell r="P1826">
            <v>799.68000000000006</v>
          </cell>
        </row>
        <row r="1827">
          <cell r="P1827">
            <v>611.75520000000006</v>
          </cell>
        </row>
        <row r="1828">
          <cell r="P1828">
            <v>191.92320000000001</v>
          </cell>
        </row>
        <row r="1829">
          <cell r="P1829">
            <v>171.93120000000002</v>
          </cell>
        </row>
        <row r="1830">
          <cell r="P1830">
            <v>99.960000000000008</v>
          </cell>
        </row>
        <row r="1831">
          <cell r="P1831">
            <v>3.9984000000000006</v>
          </cell>
        </row>
        <row r="1832">
          <cell r="P1832">
            <v>0</v>
          </cell>
        </row>
        <row r="1833">
          <cell r="P1833">
            <v>0</v>
          </cell>
        </row>
        <row r="1834">
          <cell r="P1834">
            <v>0</v>
          </cell>
        </row>
        <row r="1835">
          <cell r="P1835">
            <v>0</v>
          </cell>
        </row>
        <row r="1836">
          <cell r="P1836">
            <v>0</v>
          </cell>
        </row>
        <row r="1837">
          <cell r="P1837">
            <v>0</v>
          </cell>
        </row>
        <row r="1838">
          <cell r="P1838">
            <v>0</v>
          </cell>
        </row>
        <row r="1839">
          <cell r="P1839">
            <v>0</v>
          </cell>
        </row>
        <row r="1840">
          <cell r="P1840">
            <v>0</v>
          </cell>
        </row>
        <row r="1841">
          <cell r="P1841">
            <v>0</v>
          </cell>
        </row>
        <row r="1842">
          <cell r="P1842">
            <v>0</v>
          </cell>
        </row>
        <row r="1843">
          <cell r="P1843">
            <v>0</v>
          </cell>
        </row>
        <row r="1844">
          <cell r="P1844">
            <v>0</v>
          </cell>
        </row>
        <row r="1845">
          <cell r="P1845">
            <v>0</v>
          </cell>
        </row>
        <row r="1846">
          <cell r="P1846">
            <v>0</v>
          </cell>
        </row>
        <row r="1847">
          <cell r="P1847">
            <v>0</v>
          </cell>
        </row>
        <row r="1848">
          <cell r="P1848">
            <v>0</v>
          </cell>
        </row>
        <row r="1849">
          <cell r="P1849">
            <v>0</v>
          </cell>
        </row>
        <row r="1850">
          <cell r="P1850">
            <v>0</v>
          </cell>
        </row>
        <row r="1851">
          <cell r="P1851">
            <v>0</v>
          </cell>
        </row>
        <row r="1852">
          <cell r="P1852">
            <v>0</v>
          </cell>
        </row>
        <row r="1853">
          <cell r="P1853">
            <v>0</v>
          </cell>
        </row>
        <row r="1854">
          <cell r="P1854">
            <v>0</v>
          </cell>
        </row>
        <row r="1855">
          <cell r="P1855">
            <v>0</v>
          </cell>
        </row>
        <row r="1856">
          <cell r="P1856">
            <v>0</v>
          </cell>
        </row>
        <row r="1857">
          <cell r="P1857">
            <v>0</v>
          </cell>
        </row>
        <row r="1858">
          <cell r="P1858">
            <v>0</v>
          </cell>
        </row>
        <row r="1859">
          <cell r="P1859">
            <v>0</v>
          </cell>
        </row>
        <row r="1860">
          <cell r="P1860">
            <v>0</v>
          </cell>
        </row>
        <row r="1861">
          <cell r="P1861">
            <v>0</v>
          </cell>
        </row>
        <row r="1862">
          <cell r="P1862">
            <v>0</v>
          </cell>
        </row>
        <row r="1863">
          <cell r="P1863">
            <v>0</v>
          </cell>
        </row>
        <row r="1864">
          <cell r="P1864">
            <v>0</v>
          </cell>
        </row>
        <row r="1865">
          <cell r="P1865">
            <v>0</v>
          </cell>
        </row>
        <row r="1866">
          <cell r="P1866">
            <v>0</v>
          </cell>
        </row>
        <row r="1867">
          <cell r="P1867">
            <v>0</v>
          </cell>
        </row>
        <row r="1868">
          <cell r="P1868">
            <v>0</v>
          </cell>
        </row>
        <row r="1869">
          <cell r="P1869">
            <v>0</v>
          </cell>
        </row>
        <row r="1870">
          <cell r="P1870">
            <v>0</v>
          </cell>
        </row>
        <row r="1871">
          <cell r="P1871">
            <v>0</v>
          </cell>
        </row>
        <row r="1872">
          <cell r="P1872">
            <v>0</v>
          </cell>
        </row>
        <row r="1873">
          <cell r="P1873">
            <v>0</v>
          </cell>
        </row>
        <row r="1874">
          <cell r="P1874">
            <v>0</v>
          </cell>
        </row>
        <row r="1875">
          <cell r="P1875">
            <v>0</v>
          </cell>
        </row>
        <row r="1876">
          <cell r="P1876">
            <v>0</v>
          </cell>
        </row>
        <row r="1877">
          <cell r="P1877">
            <v>0</v>
          </cell>
        </row>
        <row r="1878">
          <cell r="P1878">
            <v>0</v>
          </cell>
        </row>
        <row r="1879">
          <cell r="P1879">
            <v>0</v>
          </cell>
        </row>
        <row r="1880">
          <cell r="P1880">
            <v>0</v>
          </cell>
        </row>
        <row r="1881">
          <cell r="P1881">
            <v>0</v>
          </cell>
        </row>
        <row r="1882">
          <cell r="P1882">
            <v>0</v>
          </cell>
        </row>
        <row r="1883">
          <cell r="P1883">
            <v>0</v>
          </cell>
        </row>
        <row r="1884">
          <cell r="P1884">
            <v>0</v>
          </cell>
        </row>
        <row r="1885">
          <cell r="P1885">
            <v>0</v>
          </cell>
        </row>
        <row r="1886">
          <cell r="P1886">
            <v>0</v>
          </cell>
        </row>
        <row r="1887">
          <cell r="P1887">
            <v>0</v>
          </cell>
        </row>
        <row r="1888">
          <cell r="P1888">
            <v>0</v>
          </cell>
        </row>
        <row r="1889">
          <cell r="P1889">
            <v>0</v>
          </cell>
        </row>
        <row r="1890">
          <cell r="P1890">
            <v>0</v>
          </cell>
        </row>
        <row r="1891">
          <cell r="P1891">
            <v>0</v>
          </cell>
        </row>
        <row r="1892">
          <cell r="P1892">
            <v>0</v>
          </cell>
        </row>
        <row r="1893">
          <cell r="P1893">
            <v>0</v>
          </cell>
        </row>
        <row r="1894">
          <cell r="P1894">
            <v>0</v>
          </cell>
        </row>
        <row r="1895">
          <cell r="P1895">
            <v>0</v>
          </cell>
        </row>
        <row r="1896">
          <cell r="P1896">
            <v>0</v>
          </cell>
        </row>
        <row r="1897">
          <cell r="P1897">
            <v>0</v>
          </cell>
        </row>
        <row r="1898">
          <cell r="P1898">
            <v>0</v>
          </cell>
        </row>
        <row r="1899">
          <cell r="P1899">
            <v>0</v>
          </cell>
        </row>
        <row r="1900">
          <cell r="P1900">
            <v>0</v>
          </cell>
        </row>
        <row r="1901">
          <cell r="P1901">
            <v>0</v>
          </cell>
        </row>
        <row r="1902">
          <cell r="P1902">
            <v>0</v>
          </cell>
        </row>
        <row r="1903">
          <cell r="P1903">
            <v>0</v>
          </cell>
        </row>
        <row r="1904">
          <cell r="P1904">
            <v>0</v>
          </cell>
        </row>
        <row r="1905">
          <cell r="P1905">
            <v>0</v>
          </cell>
        </row>
        <row r="1906">
          <cell r="P1906">
            <v>0</v>
          </cell>
        </row>
        <row r="1907">
          <cell r="P1907">
            <v>0</v>
          </cell>
        </row>
        <row r="1908">
          <cell r="P1908">
            <v>0</v>
          </cell>
        </row>
        <row r="1909">
          <cell r="P1909">
            <v>0</v>
          </cell>
        </row>
        <row r="1910">
          <cell r="P1910">
            <v>0</v>
          </cell>
        </row>
        <row r="1911">
          <cell r="P1911">
            <v>0</v>
          </cell>
        </row>
        <row r="1912">
          <cell r="P1912">
            <v>0</v>
          </cell>
        </row>
        <row r="1913">
          <cell r="P1913">
            <v>0</v>
          </cell>
        </row>
        <row r="1914">
          <cell r="P1914">
            <v>0</v>
          </cell>
        </row>
        <row r="1915">
          <cell r="P1915">
            <v>0</v>
          </cell>
        </row>
        <row r="1916">
          <cell r="P1916">
            <v>0</v>
          </cell>
        </row>
        <row r="1917">
          <cell r="P1917">
            <v>0</v>
          </cell>
        </row>
        <row r="1918">
          <cell r="P1918">
            <v>0</v>
          </cell>
        </row>
        <row r="1919">
          <cell r="P1919">
            <v>0</v>
          </cell>
        </row>
        <row r="1920">
          <cell r="P1920">
            <v>0</v>
          </cell>
        </row>
        <row r="1921">
          <cell r="P1921">
            <v>0</v>
          </cell>
        </row>
        <row r="1922">
          <cell r="P1922">
            <v>0</v>
          </cell>
        </row>
        <row r="1923">
          <cell r="P1923">
            <v>0</v>
          </cell>
        </row>
        <row r="1924">
          <cell r="P1924">
            <v>0</v>
          </cell>
        </row>
        <row r="1925">
          <cell r="P1925">
            <v>0</v>
          </cell>
        </row>
        <row r="1926">
          <cell r="P1926">
            <v>0</v>
          </cell>
        </row>
        <row r="1927">
          <cell r="P1927">
            <v>0</v>
          </cell>
        </row>
        <row r="1928">
          <cell r="P1928">
            <v>0</v>
          </cell>
        </row>
        <row r="1929">
          <cell r="P1929">
            <v>0</v>
          </cell>
        </row>
        <row r="1930">
          <cell r="P1930">
            <v>0</v>
          </cell>
        </row>
        <row r="1931">
          <cell r="P1931">
            <v>0</v>
          </cell>
        </row>
        <row r="1932">
          <cell r="P1932">
            <v>0</v>
          </cell>
        </row>
        <row r="1933">
          <cell r="P1933">
            <v>0</v>
          </cell>
        </row>
        <row r="1934">
          <cell r="P1934">
            <v>0</v>
          </cell>
        </row>
        <row r="1935">
          <cell r="P1935">
            <v>0</v>
          </cell>
        </row>
        <row r="1936">
          <cell r="P1936">
            <v>0</v>
          </cell>
        </row>
        <row r="1937">
          <cell r="P1937">
            <v>0</v>
          </cell>
        </row>
        <row r="1938">
          <cell r="P1938">
            <v>0</v>
          </cell>
        </row>
        <row r="1939">
          <cell r="P1939">
            <v>0</v>
          </cell>
        </row>
        <row r="1940">
          <cell r="P1940">
            <v>0</v>
          </cell>
        </row>
        <row r="1941">
          <cell r="P1941">
            <v>0</v>
          </cell>
        </row>
        <row r="1942">
          <cell r="P1942">
            <v>0</v>
          </cell>
        </row>
        <row r="1943">
          <cell r="P1943">
            <v>0</v>
          </cell>
        </row>
        <row r="1944">
          <cell r="P1944">
            <v>0</v>
          </cell>
        </row>
        <row r="1945">
          <cell r="P1945">
            <v>0</v>
          </cell>
        </row>
        <row r="1946">
          <cell r="P1946">
            <v>0</v>
          </cell>
        </row>
        <row r="1947">
          <cell r="P1947">
            <v>0</v>
          </cell>
        </row>
        <row r="1948">
          <cell r="P1948">
            <v>0</v>
          </cell>
        </row>
        <row r="1949">
          <cell r="P1949">
            <v>0</v>
          </cell>
        </row>
        <row r="1950">
          <cell r="P1950">
            <v>0</v>
          </cell>
        </row>
        <row r="1951">
          <cell r="P1951">
            <v>0</v>
          </cell>
        </row>
        <row r="1952">
          <cell r="P1952">
            <v>0</v>
          </cell>
        </row>
        <row r="1953">
          <cell r="P1953">
            <v>0</v>
          </cell>
        </row>
        <row r="1954">
          <cell r="P1954">
            <v>0</v>
          </cell>
        </row>
        <row r="1955">
          <cell r="P1955">
            <v>0</v>
          </cell>
        </row>
        <row r="1956">
          <cell r="P1956">
            <v>0</v>
          </cell>
        </row>
        <row r="1957">
          <cell r="P1957">
            <v>0</v>
          </cell>
        </row>
        <row r="1958">
          <cell r="P1958">
            <v>0</v>
          </cell>
        </row>
        <row r="1959">
          <cell r="P1959">
            <v>0</v>
          </cell>
        </row>
        <row r="1960">
          <cell r="P1960">
            <v>0</v>
          </cell>
        </row>
        <row r="1961">
          <cell r="P1961">
            <v>0</v>
          </cell>
        </row>
        <row r="1962">
          <cell r="P1962">
            <v>0</v>
          </cell>
        </row>
        <row r="1963">
          <cell r="P1963">
            <v>0</v>
          </cell>
        </row>
        <row r="1964">
          <cell r="P1964">
            <v>0</v>
          </cell>
        </row>
        <row r="1965">
          <cell r="P1965">
            <v>0</v>
          </cell>
        </row>
        <row r="1966">
          <cell r="P1966">
            <v>0</v>
          </cell>
        </row>
        <row r="1967">
          <cell r="P1967">
            <v>0</v>
          </cell>
        </row>
        <row r="1968">
          <cell r="P1968">
            <v>0</v>
          </cell>
        </row>
        <row r="1969">
          <cell r="P1969">
            <v>0</v>
          </cell>
        </row>
        <row r="1970">
          <cell r="P1970">
            <v>0</v>
          </cell>
        </row>
        <row r="1971">
          <cell r="P1971">
            <v>736.79880000000003</v>
          </cell>
        </row>
        <row r="1972">
          <cell r="P1972">
            <v>1473.5976000000001</v>
          </cell>
        </row>
        <row r="1973">
          <cell r="P1973">
            <v>20261.967000000004</v>
          </cell>
        </row>
        <row r="1974">
          <cell r="P1974">
            <v>552.59910000000002</v>
          </cell>
        </row>
        <row r="1975">
          <cell r="P1975">
            <v>0</v>
          </cell>
        </row>
        <row r="1976">
          <cell r="P1976">
            <v>0</v>
          </cell>
        </row>
        <row r="1977">
          <cell r="P1977">
            <v>0</v>
          </cell>
        </row>
        <row r="1978">
          <cell r="P1978">
            <v>0</v>
          </cell>
        </row>
        <row r="1979">
          <cell r="P1979">
            <v>0</v>
          </cell>
        </row>
        <row r="1980">
          <cell r="P1980">
            <v>0</v>
          </cell>
        </row>
        <row r="1981">
          <cell r="P1981">
            <v>0</v>
          </cell>
        </row>
        <row r="1982">
          <cell r="P1982">
            <v>0</v>
          </cell>
        </row>
        <row r="1983">
          <cell r="P1983">
            <v>0</v>
          </cell>
        </row>
        <row r="1984">
          <cell r="P1984">
            <v>0</v>
          </cell>
        </row>
        <row r="1985">
          <cell r="P1985">
            <v>0</v>
          </cell>
        </row>
        <row r="1986">
          <cell r="P1986">
            <v>2.8800000000000008</v>
          </cell>
        </row>
        <row r="1987">
          <cell r="P1987">
            <v>5.7600000000000016</v>
          </cell>
        </row>
        <row r="1988">
          <cell r="P1988">
            <v>158.40000000000003</v>
          </cell>
        </row>
        <row r="1989">
          <cell r="P1989">
            <v>0.93600000000000017</v>
          </cell>
        </row>
        <row r="1990">
          <cell r="P1990">
            <v>0</v>
          </cell>
        </row>
        <row r="1991">
          <cell r="P1991">
            <v>0</v>
          </cell>
        </row>
        <row r="1992">
          <cell r="P1992">
            <v>0</v>
          </cell>
        </row>
        <row r="1993">
          <cell r="P1993">
            <v>0</v>
          </cell>
        </row>
        <row r="1994">
          <cell r="P1994">
            <v>0</v>
          </cell>
        </row>
        <row r="1995">
          <cell r="P1995">
            <v>0</v>
          </cell>
        </row>
        <row r="1996">
          <cell r="P1996">
            <v>0</v>
          </cell>
        </row>
        <row r="1997">
          <cell r="P1997">
            <v>0</v>
          </cell>
        </row>
        <row r="1998">
          <cell r="P1998">
            <v>0</v>
          </cell>
        </row>
        <row r="1999">
          <cell r="P1999">
            <v>0</v>
          </cell>
        </row>
        <row r="2000">
          <cell r="P2000">
            <v>0</v>
          </cell>
        </row>
        <row r="2001">
          <cell r="P2001">
            <v>0</v>
          </cell>
        </row>
        <row r="2002">
          <cell r="P2002">
            <v>0</v>
          </cell>
        </row>
        <row r="2003">
          <cell r="P2003">
            <v>0</v>
          </cell>
        </row>
        <row r="2004">
          <cell r="P2004">
            <v>0</v>
          </cell>
        </row>
        <row r="2005">
          <cell r="P2005">
            <v>0</v>
          </cell>
        </row>
        <row r="2006">
          <cell r="P2006">
            <v>0</v>
          </cell>
        </row>
        <row r="2007">
          <cell r="P2007">
            <v>0</v>
          </cell>
        </row>
        <row r="2008">
          <cell r="P2008">
            <v>0</v>
          </cell>
        </row>
        <row r="2009">
          <cell r="P2009">
            <v>25.200000000000003</v>
          </cell>
        </row>
        <row r="2010">
          <cell r="P2010">
            <v>0</v>
          </cell>
        </row>
        <row r="2011">
          <cell r="P2011">
            <v>10.080000000000002</v>
          </cell>
        </row>
        <row r="2012">
          <cell r="P2012">
            <v>0</v>
          </cell>
        </row>
        <row r="2013">
          <cell r="P2013">
            <v>0</v>
          </cell>
        </row>
        <row r="2014">
          <cell r="P2014">
            <v>0</v>
          </cell>
        </row>
        <row r="2015">
          <cell r="P2015">
            <v>0</v>
          </cell>
        </row>
        <row r="2016">
          <cell r="P2016">
            <v>0</v>
          </cell>
        </row>
        <row r="2017">
          <cell r="P2017">
            <v>0</v>
          </cell>
        </row>
        <row r="2018">
          <cell r="P2018">
            <v>0</v>
          </cell>
        </row>
        <row r="2019">
          <cell r="P2019">
            <v>0</v>
          </cell>
        </row>
        <row r="2020">
          <cell r="P2020">
            <v>0</v>
          </cell>
        </row>
        <row r="2021">
          <cell r="P2021">
            <v>105.47818000000001</v>
          </cell>
        </row>
        <row r="2022">
          <cell r="P2022">
            <v>0</v>
          </cell>
        </row>
        <row r="2023">
          <cell r="P2023">
            <v>0</v>
          </cell>
        </row>
        <row r="2024">
          <cell r="P2024">
            <v>0</v>
          </cell>
        </row>
        <row r="2025">
          <cell r="P2025">
            <v>0</v>
          </cell>
        </row>
        <row r="2026">
          <cell r="P2026">
            <v>0</v>
          </cell>
        </row>
        <row r="2027">
          <cell r="P2027">
            <v>94.561600000000013</v>
          </cell>
        </row>
        <row r="2028">
          <cell r="P2028">
            <v>0</v>
          </cell>
        </row>
        <row r="2029">
          <cell r="P2029">
            <v>0</v>
          </cell>
        </row>
        <row r="2030">
          <cell r="P2030">
            <v>0</v>
          </cell>
        </row>
        <row r="2031">
          <cell r="P2031">
            <v>0</v>
          </cell>
        </row>
        <row r="2032">
          <cell r="P2032">
            <v>0</v>
          </cell>
        </row>
        <row r="2033">
          <cell r="P2033">
            <v>0</v>
          </cell>
        </row>
        <row r="2034">
          <cell r="P2034">
            <v>0</v>
          </cell>
        </row>
        <row r="2035">
          <cell r="P2035">
            <v>0</v>
          </cell>
        </row>
        <row r="2036">
          <cell r="P2036">
            <v>0</v>
          </cell>
        </row>
        <row r="2037">
          <cell r="P2037">
            <v>6.48</v>
          </cell>
        </row>
        <row r="2038">
          <cell r="P2038">
            <v>0.6890400000000001</v>
          </cell>
        </row>
        <row r="2039">
          <cell r="P2039">
            <v>324</v>
          </cell>
        </row>
        <row r="2040">
          <cell r="P2040">
            <v>0.75924000000000003</v>
          </cell>
        </row>
        <row r="2041">
          <cell r="P2041">
            <v>0.33048</v>
          </cell>
        </row>
        <row r="2042">
          <cell r="P2042">
            <v>0</v>
          </cell>
        </row>
        <row r="2043">
          <cell r="P2043">
            <v>0</v>
          </cell>
        </row>
        <row r="2044">
          <cell r="P2044">
            <v>0</v>
          </cell>
        </row>
        <row r="2045">
          <cell r="P2045">
            <v>0</v>
          </cell>
        </row>
        <row r="2046">
          <cell r="P2046">
            <v>0</v>
          </cell>
        </row>
        <row r="2047">
          <cell r="P2047">
            <v>0</v>
          </cell>
        </row>
        <row r="2048">
          <cell r="P2048">
            <v>0</v>
          </cell>
        </row>
        <row r="2049">
          <cell r="P2049">
            <v>0</v>
          </cell>
        </row>
        <row r="2050">
          <cell r="P2050">
            <v>0</v>
          </cell>
        </row>
        <row r="2051">
          <cell r="P2051">
            <v>0</v>
          </cell>
        </row>
        <row r="2052">
          <cell r="P2052">
            <v>0</v>
          </cell>
        </row>
        <row r="2053">
          <cell r="P2053">
            <v>0</v>
          </cell>
        </row>
        <row r="2054">
          <cell r="P2054">
            <v>0</v>
          </cell>
        </row>
        <row r="2055">
          <cell r="P2055">
            <v>0</v>
          </cell>
        </row>
        <row r="2056">
          <cell r="P2056">
            <v>0</v>
          </cell>
        </row>
        <row r="2057">
          <cell r="P2057">
            <v>0</v>
          </cell>
        </row>
        <row r="2058">
          <cell r="P2058">
            <v>0</v>
          </cell>
        </row>
        <row r="2059">
          <cell r="P2059">
            <v>0</v>
          </cell>
        </row>
        <row r="2060">
          <cell r="P2060">
            <v>0</v>
          </cell>
        </row>
        <row r="2061">
          <cell r="P2061">
            <v>0</v>
          </cell>
        </row>
        <row r="2062">
          <cell r="P2062">
            <v>0</v>
          </cell>
        </row>
        <row r="2063">
          <cell r="P2063">
            <v>0</v>
          </cell>
        </row>
        <row r="2064">
          <cell r="P2064">
            <v>0</v>
          </cell>
        </row>
        <row r="2065">
          <cell r="P2065">
            <v>0</v>
          </cell>
        </row>
        <row r="2066">
          <cell r="P2066">
            <v>0</v>
          </cell>
        </row>
        <row r="2067">
          <cell r="P2067">
            <v>0</v>
          </cell>
        </row>
        <row r="2068">
          <cell r="P2068">
            <v>0</v>
          </cell>
        </row>
        <row r="2069">
          <cell r="P2069">
            <v>0</v>
          </cell>
        </row>
        <row r="2070">
          <cell r="P2070">
            <v>0</v>
          </cell>
        </row>
        <row r="2071">
          <cell r="P2071">
            <v>0</v>
          </cell>
        </row>
        <row r="2072">
          <cell r="P2072">
            <v>0</v>
          </cell>
        </row>
        <row r="2073">
          <cell r="P2073">
            <v>0</v>
          </cell>
        </row>
        <row r="2074">
          <cell r="P2074">
            <v>0</v>
          </cell>
        </row>
        <row r="2075">
          <cell r="P2075">
            <v>0</v>
          </cell>
        </row>
        <row r="2076">
          <cell r="P2076">
            <v>0</v>
          </cell>
        </row>
        <row r="2077">
          <cell r="P2077">
            <v>0</v>
          </cell>
        </row>
        <row r="2078">
          <cell r="P2078">
            <v>0</v>
          </cell>
        </row>
        <row r="2079">
          <cell r="P2079">
            <v>0</v>
          </cell>
        </row>
        <row r="2080">
          <cell r="P2080">
            <v>0</v>
          </cell>
        </row>
        <row r="2081">
          <cell r="P2081">
            <v>0</v>
          </cell>
        </row>
        <row r="2082">
          <cell r="P2082">
            <v>0</v>
          </cell>
        </row>
        <row r="2083">
          <cell r="P2083">
            <v>0</v>
          </cell>
        </row>
        <row r="2084">
          <cell r="P2084">
            <v>0</v>
          </cell>
        </row>
        <row r="2085">
          <cell r="P2085">
            <v>0</v>
          </cell>
        </row>
        <row r="2086">
          <cell r="P2086">
            <v>0</v>
          </cell>
        </row>
        <row r="2087">
          <cell r="P2087">
            <v>0</v>
          </cell>
        </row>
        <row r="2088">
          <cell r="P2088">
            <v>0</v>
          </cell>
        </row>
        <row r="2089">
          <cell r="P2089">
            <v>0</v>
          </cell>
        </row>
        <row r="2090">
          <cell r="P2090">
            <v>0</v>
          </cell>
        </row>
        <row r="2091">
          <cell r="P2091">
            <v>0</v>
          </cell>
        </row>
        <row r="2092">
          <cell r="P2092">
            <v>0</v>
          </cell>
        </row>
        <row r="2093">
          <cell r="P2093">
            <v>0</v>
          </cell>
        </row>
        <row r="2094">
          <cell r="P2094">
            <v>0</v>
          </cell>
        </row>
        <row r="2095">
          <cell r="P2095">
            <v>0</v>
          </cell>
        </row>
        <row r="2096">
          <cell r="P2096">
            <v>0</v>
          </cell>
        </row>
        <row r="2097">
          <cell r="P2097">
            <v>0</v>
          </cell>
        </row>
        <row r="2098">
          <cell r="P2098">
            <v>0</v>
          </cell>
        </row>
        <row r="2099">
          <cell r="P2099">
            <v>0</v>
          </cell>
        </row>
        <row r="2100">
          <cell r="P2100">
            <v>0</v>
          </cell>
        </row>
        <row r="2101">
          <cell r="P2101">
            <v>9.6000000000000014</v>
          </cell>
        </row>
        <row r="2102">
          <cell r="P2102">
            <v>28.800000000000004</v>
          </cell>
        </row>
        <row r="2103">
          <cell r="P2103">
            <v>9.6000000000000014</v>
          </cell>
        </row>
        <row r="2104">
          <cell r="P2104">
            <v>0</v>
          </cell>
        </row>
        <row r="2105">
          <cell r="P2105">
            <v>67.544000000000011</v>
          </cell>
        </row>
        <row r="2106">
          <cell r="P2106">
            <v>84.43</v>
          </cell>
        </row>
        <row r="2107">
          <cell r="P2107">
            <v>0</v>
          </cell>
        </row>
        <row r="2108">
          <cell r="P2108">
            <v>1.74</v>
          </cell>
        </row>
        <row r="2109">
          <cell r="P2109">
            <v>5.22</v>
          </cell>
        </row>
        <row r="2110">
          <cell r="P2110">
            <v>0</v>
          </cell>
        </row>
        <row r="2111">
          <cell r="P2111">
            <v>189.92400000000001</v>
          </cell>
        </row>
        <row r="2112">
          <cell r="P2112">
            <v>506.464</v>
          </cell>
        </row>
        <row r="2113">
          <cell r="P2113">
            <v>0</v>
          </cell>
        </row>
        <row r="2114">
          <cell r="P2114">
            <v>0</v>
          </cell>
        </row>
        <row r="2115">
          <cell r="P2115">
            <v>0</v>
          </cell>
        </row>
        <row r="2116">
          <cell r="P2116">
            <v>0</v>
          </cell>
        </row>
        <row r="2117">
          <cell r="P2117">
            <v>0</v>
          </cell>
        </row>
        <row r="2118">
          <cell r="P2118">
            <v>0</v>
          </cell>
        </row>
        <row r="2119">
          <cell r="P2119">
            <v>0</v>
          </cell>
        </row>
        <row r="2120">
          <cell r="P2120">
            <v>0</v>
          </cell>
        </row>
        <row r="2121">
          <cell r="P2121">
            <v>0</v>
          </cell>
        </row>
        <row r="2122">
          <cell r="P2122">
            <v>0</v>
          </cell>
        </row>
        <row r="2123">
          <cell r="P2123">
            <v>0</v>
          </cell>
        </row>
        <row r="2124">
          <cell r="P2124">
            <v>33.997500000000002</v>
          </cell>
        </row>
        <row r="2125">
          <cell r="P2125">
            <v>27.197999999999997</v>
          </cell>
        </row>
        <row r="2126">
          <cell r="P2126">
            <v>0</v>
          </cell>
        </row>
        <row r="2127">
          <cell r="P2127">
            <v>0</v>
          </cell>
        </row>
        <row r="2128">
          <cell r="P2128">
            <v>0</v>
          </cell>
        </row>
        <row r="2129">
          <cell r="P2129">
            <v>0</v>
          </cell>
        </row>
        <row r="2130">
          <cell r="P2130">
            <v>0</v>
          </cell>
        </row>
        <row r="2131">
          <cell r="P2131">
            <v>0</v>
          </cell>
        </row>
        <row r="2132">
          <cell r="P2132">
            <v>0</v>
          </cell>
        </row>
        <row r="2133">
          <cell r="P2133">
            <v>0</v>
          </cell>
        </row>
        <row r="2134">
          <cell r="P2134">
            <v>0</v>
          </cell>
        </row>
        <row r="2135">
          <cell r="P2135">
            <v>0</v>
          </cell>
        </row>
        <row r="2136">
          <cell r="P2136">
            <v>0</v>
          </cell>
        </row>
        <row r="2137">
          <cell r="P2137">
            <v>0</v>
          </cell>
        </row>
        <row r="2138">
          <cell r="P2138">
            <v>0</v>
          </cell>
        </row>
        <row r="2139">
          <cell r="P2139">
            <v>0</v>
          </cell>
        </row>
        <row r="2140">
          <cell r="P2140">
            <v>0</v>
          </cell>
        </row>
        <row r="2141">
          <cell r="P2141">
            <v>0</v>
          </cell>
        </row>
        <row r="2142">
          <cell r="P2142">
            <v>0</v>
          </cell>
        </row>
        <row r="2143">
          <cell r="P2143">
            <v>0</v>
          </cell>
        </row>
        <row r="2144">
          <cell r="P2144">
            <v>0</v>
          </cell>
        </row>
        <row r="2145">
          <cell r="P2145">
            <v>0</v>
          </cell>
        </row>
        <row r="2146">
          <cell r="P2146">
            <v>0</v>
          </cell>
        </row>
        <row r="2147">
          <cell r="P2147">
            <v>0</v>
          </cell>
        </row>
        <row r="2148">
          <cell r="P2148">
            <v>0</v>
          </cell>
        </row>
        <row r="2149">
          <cell r="P2149">
            <v>0</v>
          </cell>
        </row>
        <row r="2150">
          <cell r="P2150">
            <v>0</v>
          </cell>
        </row>
        <row r="2151">
          <cell r="P2151">
            <v>0</v>
          </cell>
        </row>
        <row r="2152">
          <cell r="P2152">
            <v>0</v>
          </cell>
        </row>
        <row r="2153">
          <cell r="P2153">
            <v>1.1264999999999998</v>
          </cell>
        </row>
        <row r="2154">
          <cell r="P2154">
            <v>140.81249999999997</v>
          </cell>
        </row>
        <row r="2155">
          <cell r="P2155">
            <v>0.56324999999999992</v>
          </cell>
        </row>
        <row r="2156">
          <cell r="P2156">
            <v>0</v>
          </cell>
        </row>
        <row r="2157">
          <cell r="P2157">
            <v>0</v>
          </cell>
        </row>
        <row r="2158">
          <cell r="P2158">
            <v>0</v>
          </cell>
        </row>
        <row r="2159">
          <cell r="P2159">
            <v>0</v>
          </cell>
        </row>
        <row r="2160">
          <cell r="P2160">
            <v>0</v>
          </cell>
        </row>
        <row r="2161">
          <cell r="P2161">
            <v>0</v>
          </cell>
        </row>
        <row r="2162">
          <cell r="P2162">
            <v>0</v>
          </cell>
        </row>
        <row r="2163">
          <cell r="P2163">
            <v>5.28</v>
          </cell>
        </row>
        <row r="2164">
          <cell r="P2164">
            <v>5.28</v>
          </cell>
        </row>
        <row r="2165">
          <cell r="P2165">
            <v>0</v>
          </cell>
        </row>
        <row r="2166">
          <cell r="P2166">
            <v>0</v>
          </cell>
        </row>
        <row r="2167">
          <cell r="P2167">
            <v>0</v>
          </cell>
        </row>
        <row r="2168">
          <cell r="P2168">
            <v>0</v>
          </cell>
        </row>
        <row r="2169">
          <cell r="P2169">
            <v>0</v>
          </cell>
        </row>
        <row r="2170">
          <cell r="P2170">
            <v>0</v>
          </cell>
        </row>
        <row r="2171">
          <cell r="P2171">
            <v>0</v>
          </cell>
        </row>
        <row r="2172">
          <cell r="P2172">
            <v>0</v>
          </cell>
        </row>
        <row r="2173">
          <cell r="P2173">
            <v>0</v>
          </cell>
        </row>
        <row r="2174">
          <cell r="P2174">
            <v>0</v>
          </cell>
        </row>
        <row r="2175">
          <cell r="P2175">
            <v>0</v>
          </cell>
        </row>
        <row r="2176">
          <cell r="P2176">
            <v>0</v>
          </cell>
        </row>
        <row r="2177">
          <cell r="P2177">
            <v>0</v>
          </cell>
        </row>
        <row r="2178">
          <cell r="P2178">
            <v>0</v>
          </cell>
        </row>
        <row r="2179">
          <cell r="P2179">
            <v>0</v>
          </cell>
        </row>
        <row r="2180">
          <cell r="P2180">
            <v>0</v>
          </cell>
        </row>
        <row r="2181">
          <cell r="P2181">
            <v>0</v>
          </cell>
        </row>
        <row r="2182">
          <cell r="P2182">
            <v>0</v>
          </cell>
        </row>
        <row r="2183">
          <cell r="P2183">
            <v>0</v>
          </cell>
        </row>
        <row r="2184">
          <cell r="P2184">
            <v>0</v>
          </cell>
        </row>
        <row r="2185">
          <cell r="P2185">
            <v>0</v>
          </cell>
        </row>
        <row r="2186">
          <cell r="P2186">
            <v>0</v>
          </cell>
        </row>
        <row r="2187">
          <cell r="P2187">
            <v>0</v>
          </cell>
        </row>
        <row r="2188">
          <cell r="P2188">
            <v>0</v>
          </cell>
        </row>
        <row r="2189">
          <cell r="P2189">
            <v>0</v>
          </cell>
        </row>
        <row r="2190">
          <cell r="P2190">
            <v>0</v>
          </cell>
        </row>
        <row r="2191">
          <cell r="P2191">
            <v>0</v>
          </cell>
        </row>
        <row r="2192">
          <cell r="P2192">
            <v>0</v>
          </cell>
        </row>
        <row r="2193">
          <cell r="P2193">
            <v>0</v>
          </cell>
        </row>
        <row r="2194">
          <cell r="P2194">
            <v>0</v>
          </cell>
        </row>
        <row r="2195">
          <cell r="P2195">
            <v>0</v>
          </cell>
        </row>
        <row r="2196">
          <cell r="P2196">
            <v>0</v>
          </cell>
        </row>
        <row r="2197">
          <cell r="P2197">
            <v>0</v>
          </cell>
        </row>
        <row r="2198">
          <cell r="P2198">
            <v>0</v>
          </cell>
        </row>
        <row r="2199">
          <cell r="P2199">
            <v>0</v>
          </cell>
        </row>
        <row r="2200">
          <cell r="P2200">
            <v>0</v>
          </cell>
        </row>
        <row r="2201">
          <cell r="P2201">
            <v>0</v>
          </cell>
        </row>
        <row r="2202">
          <cell r="P2202">
            <v>0</v>
          </cell>
        </row>
        <row r="2203">
          <cell r="P2203">
            <v>0</v>
          </cell>
        </row>
        <row r="2204">
          <cell r="P2204">
            <v>0</v>
          </cell>
        </row>
        <row r="2205">
          <cell r="P2205">
            <v>0</v>
          </cell>
        </row>
        <row r="2206">
          <cell r="P2206">
            <v>0</v>
          </cell>
        </row>
        <row r="2207">
          <cell r="P2207">
            <v>0</v>
          </cell>
        </row>
        <row r="2208">
          <cell r="P2208">
            <v>0</v>
          </cell>
        </row>
        <row r="2209">
          <cell r="P2209">
            <v>0</v>
          </cell>
        </row>
        <row r="2210">
          <cell r="P2210">
            <v>0</v>
          </cell>
        </row>
        <row r="2211">
          <cell r="P2211">
            <v>0</v>
          </cell>
        </row>
        <row r="2212">
          <cell r="P2212">
            <v>0</v>
          </cell>
        </row>
        <row r="2213">
          <cell r="P2213">
            <v>0</v>
          </cell>
        </row>
        <row r="2214">
          <cell r="P2214">
            <v>0</v>
          </cell>
        </row>
        <row r="2215">
          <cell r="P2215">
            <v>0</v>
          </cell>
        </row>
        <row r="2216">
          <cell r="P2216">
            <v>0</v>
          </cell>
        </row>
        <row r="2217">
          <cell r="P2217">
            <v>0</v>
          </cell>
        </row>
        <row r="2218">
          <cell r="P2218">
            <v>0</v>
          </cell>
        </row>
        <row r="2219">
          <cell r="P2219">
            <v>0</v>
          </cell>
        </row>
        <row r="2220">
          <cell r="P2220">
            <v>0</v>
          </cell>
        </row>
        <row r="2221">
          <cell r="P2221">
            <v>0</v>
          </cell>
        </row>
        <row r="2222">
          <cell r="P2222">
            <v>0</v>
          </cell>
        </row>
        <row r="2223">
          <cell r="P2223">
            <v>0</v>
          </cell>
        </row>
        <row r="2224">
          <cell r="P2224">
            <v>0</v>
          </cell>
        </row>
        <row r="2225">
          <cell r="P2225">
            <v>0</v>
          </cell>
        </row>
        <row r="2226">
          <cell r="P2226">
            <v>0</v>
          </cell>
        </row>
        <row r="2227">
          <cell r="P2227">
            <v>0</v>
          </cell>
        </row>
        <row r="2228">
          <cell r="P2228">
            <v>0</v>
          </cell>
        </row>
        <row r="2229">
          <cell r="P2229">
            <v>0</v>
          </cell>
        </row>
        <row r="2230">
          <cell r="P2230">
            <v>0</v>
          </cell>
        </row>
        <row r="2231">
          <cell r="P2231">
            <v>0</v>
          </cell>
        </row>
        <row r="2232">
          <cell r="P2232">
            <v>0</v>
          </cell>
        </row>
        <row r="2233">
          <cell r="P2233">
            <v>0</v>
          </cell>
        </row>
        <row r="2234">
          <cell r="P2234">
            <v>0</v>
          </cell>
        </row>
        <row r="2235">
          <cell r="P2235">
            <v>0</v>
          </cell>
        </row>
        <row r="2236">
          <cell r="P2236">
            <v>0</v>
          </cell>
        </row>
        <row r="2237">
          <cell r="P2237">
            <v>0</v>
          </cell>
        </row>
        <row r="2238">
          <cell r="P2238">
            <v>0</v>
          </cell>
        </row>
        <row r="2239">
          <cell r="P2239">
            <v>0</v>
          </cell>
        </row>
        <row r="2240">
          <cell r="P2240">
            <v>0</v>
          </cell>
        </row>
        <row r="2241">
          <cell r="P2241">
            <v>0</v>
          </cell>
        </row>
        <row r="2242">
          <cell r="P2242">
            <v>0</v>
          </cell>
        </row>
        <row r="2243">
          <cell r="P2243">
            <v>0</v>
          </cell>
        </row>
        <row r="2244">
          <cell r="P2244">
            <v>0</v>
          </cell>
        </row>
        <row r="2245">
          <cell r="P2245">
            <v>0</v>
          </cell>
        </row>
        <row r="2246">
          <cell r="P2246">
            <v>0</v>
          </cell>
        </row>
        <row r="2247">
          <cell r="P2247">
            <v>0</v>
          </cell>
        </row>
        <row r="2248">
          <cell r="P2248">
            <v>0</v>
          </cell>
        </row>
        <row r="2249">
          <cell r="P2249">
            <v>0</v>
          </cell>
        </row>
        <row r="2250">
          <cell r="P2250">
            <v>0</v>
          </cell>
        </row>
        <row r="2251">
          <cell r="P2251">
            <v>0</v>
          </cell>
        </row>
        <row r="2252">
          <cell r="P2252">
            <v>0</v>
          </cell>
        </row>
        <row r="2253">
          <cell r="P2253">
            <v>0</v>
          </cell>
        </row>
        <row r="2254">
          <cell r="P2254">
            <v>0</v>
          </cell>
        </row>
        <row r="2255">
          <cell r="P2255">
            <v>0</v>
          </cell>
        </row>
        <row r="2256">
          <cell r="P2256">
            <v>0</v>
          </cell>
        </row>
        <row r="2257">
          <cell r="P2257">
            <v>0</v>
          </cell>
        </row>
        <row r="2258">
          <cell r="P2258">
            <v>0</v>
          </cell>
        </row>
        <row r="2259">
          <cell r="P2259">
            <v>0</v>
          </cell>
        </row>
        <row r="2260">
          <cell r="P2260">
            <v>0</v>
          </cell>
        </row>
        <row r="2261">
          <cell r="P2261">
            <v>0</v>
          </cell>
        </row>
        <row r="2262">
          <cell r="P2262">
            <v>0</v>
          </cell>
        </row>
        <row r="2263">
          <cell r="P2263">
            <v>0</v>
          </cell>
        </row>
        <row r="2264">
          <cell r="P2264">
            <v>0</v>
          </cell>
        </row>
        <row r="2265">
          <cell r="P2265">
            <v>0</v>
          </cell>
        </row>
        <row r="2266">
          <cell r="P2266">
            <v>0</v>
          </cell>
        </row>
        <row r="2267">
          <cell r="P2267">
            <v>0</v>
          </cell>
        </row>
        <row r="2268">
          <cell r="P2268">
            <v>0</v>
          </cell>
        </row>
        <row r="2269">
          <cell r="P2269">
            <v>0</v>
          </cell>
        </row>
        <row r="2270">
          <cell r="P2270">
            <v>0</v>
          </cell>
        </row>
        <row r="2271">
          <cell r="P2271">
            <v>0</v>
          </cell>
        </row>
        <row r="2272">
          <cell r="P2272">
            <v>0</v>
          </cell>
        </row>
        <row r="2273">
          <cell r="P2273">
            <v>0</v>
          </cell>
        </row>
        <row r="2274">
          <cell r="P2274">
            <v>0</v>
          </cell>
        </row>
        <row r="2275">
          <cell r="P2275">
            <v>0</v>
          </cell>
        </row>
        <row r="2276">
          <cell r="P2276">
            <v>0</v>
          </cell>
        </row>
        <row r="2277">
          <cell r="P2277">
            <v>0</v>
          </cell>
        </row>
        <row r="2278">
          <cell r="P2278">
            <v>0</v>
          </cell>
        </row>
        <row r="2279">
          <cell r="P2279">
            <v>0</v>
          </cell>
        </row>
        <row r="2280">
          <cell r="P2280">
            <v>0</v>
          </cell>
        </row>
        <row r="2281">
          <cell r="P2281">
            <v>0</v>
          </cell>
        </row>
        <row r="2282">
          <cell r="P2282">
            <v>0</v>
          </cell>
        </row>
        <row r="2283">
          <cell r="P2283">
            <v>0</v>
          </cell>
        </row>
        <row r="2284">
          <cell r="P2284">
            <v>0</v>
          </cell>
        </row>
        <row r="2285">
          <cell r="P2285">
            <v>0</v>
          </cell>
        </row>
        <row r="2286">
          <cell r="P2286">
            <v>0</v>
          </cell>
        </row>
        <row r="2287">
          <cell r="P2287">
            <v>0</v>
          </cell>
        </row>
        <row r="2288">
          <cell r="P2288">
            <v>0</v>
          </cell>
        </row>
        <row r="2289">
          <cell r="P2289">
            <v>0</v>
          </cell>
        </row>
        <row r="2290">
          <cell r="P2290">
            <v>0</v>
          </cell>
        </row>
        <row r="2291">
          <cell r="P2291">
            <v>0</v>
          </cell>
        </row>
        <row r="2292">
          <cell r="P2292">
            <v>0</v>
          </cell>
        </row>
        <row r="2293">
          <cell r="P2293">
            <v>0</v>
          </cell>
        </row>
        <row r="2294">
          <cell r="P2294">
            <v>0</v>
          </cell>
        </row>
        <row r="2295">
          <cell r="P2295">
            <v>0</v>
          </cell>
        </row>
        <row r="2296">
          <cell r="P2296">
            <v>0</v>
          </cell>
        </row>
        <row r="2297">
          <cell r="P2297">
            <v>0</v>
          </cell>
        </row>
        <row r="2298">
          <cell r="P2298">
            <v>0</v>
          </cell>
        </row>
        <row r="2299">
          <cell r="P2299">
            <v>0</v>
          </cell>
        </row>
        <row r="2300">
          <cell r="P2300">
            <v>0</v>
          </cell>
        </row>
        <row r="2301">
          <cell r="P2301">
            <v>0</v>
          </cell>
        </row>
        <row r="2302">
          <cell r="P2302">
            <v>0</v>
          </cell>
        </row>
        <row r="2303">
          <cell r="P2303">
            <v>0</v>
          </cell>
        </row>
        <row r="2304">
          <cell r="P2304">
            <v>0</v>
          </cell>
        </row>
        <row r="2305">
          <cell r="P2305">
            <v>0</v>
          </cell>
        </row>
        <row r="2306">
          <cell r="P2306">
            <v>0</v>
          </cell>
        </row>
        <row r="2307">
          <cell r="P2307">
            <v>0</v>
          </cell>
        </row>
        <row r="2308">
          <cell r="P2308">
            <v>0</v>
          </cell>
        </row>
        <row r="2309">
          <cell r="P2309">
            <v>0</v>
          </cell>
        </row>
        <row r="2310">
          <cell r="P2310">
            <v>0</v>
          </cell>
        </row>
        <row r="2311">
          <cell r="P2311">
            <v>0</v>
          </cell>
        </row>
        <row r="2312">
          <cell r="P2312">
            <v>0</v>
          </cell>
        </row>
        <row r="2313">
          <cell r="P2313">
            <v>0</v>
          </cell>
        </row>
        <row r="2314">
          <cell r="P2314">
            <v>0</v>
          </cell>
        </row>
        <row r="2315">
          <cell r="P2315">
            <v>0</v>
          </cell>
        </row>
        <row r="2316">
          <cell r="P2316">
            <v>0</v>
          </cell>
        </row>
        <row r="2317">
          <cell r="P2317">
            <v>0</v>
          </cell>
        </row>
        <row r="2318">
          <cell r="P2318">
            <v>0</v>
          </cell>
        </row>
        <row r="2319">
          <cell r="P2319">
            <v>0</v>
          </cell>
        </row>
        <row r="2320">
          <cell r="P2320">
            <v>0</v>
          </cell>
        </row>
        <row r="2321">
          <cell r="P2321">
            <v>0</v>
          </cell>
        </row>
        <row r="2322">
          <cell r="P2322">
            <v>0</v>
          </cell>
        </row>
        <row r="2323">
          <cell r="P2323">
            <v>0</v>
          </cell>
        </row>
        <row r="2324">
          <cell r="P2324">
            <v>0</v>
          </cell>
        </row>
        <row r="2325">
          <cell r="P2325">
            <v>0</v>
          </cell>
        </row>
        <row r="2326">
          <cell r="P2326">
            <v>0</v>
          </cell>
        </row>
        <row r="2327">
          <cell r="P2327">
            <v>0</v>
          </cell>
        </row>
        <row r="2328">
          <cell r="P2328">
            <v>0</v>
          </cell>
        </row>
        <row r="2329">
          <cell r="P2329">
            <v>0</v>
          </cell>
        </row>
        <row r="2330">
          <cell r="P2330">
            <v>0</v>
          </cell>
        </row>
        <row r="2331">
          <cell r="P2331">
            <v>0</v>
          </cell>
        </row>
        <row r="2332">
          <cell r="P2332">
            <v>0</v>
          </cell>
        </row>
        <row r="2333">
          <cell r="P2333">
            <v>0</v>
          </cell>
        </row>
        <row r="2334">
          <cell r="P2334">
            <v>0</v>
          </cell>
        </row>
        <row r="2335">
          <cell r="P2335">
            <v>0</v>
          </cell>
        </row>
        <row r="2336">
          <cell r="P2336">
            <v>0</v>
          </cell>
        </row>
        <row r="2337">
          <cell r="P2337">
            <v>0</v>
          </cell>
        </row>
        <row r="2338">
          <cell r="P2338">
            <v>0</v>
          </cell>
        </row>
        <row r="2339">
          <cell r="P2339">
            <v>0</v>
          </cell>
        </row>
        <row r="2340">
          <cell r="P2340">
            <v>0</v>
          </cell>
        </row>
        <row r="2341">
          <cell r="P2341">
            <v>0</v>
          </cell>
        </row>
        <row r="2342">
          <cell r="P2342">
            <v>0</v>
          </cell>
        </row>
        <row r="2343">
          <cell r="P2343">
            <v>0</v>
          </cell>
        </row>
        <row r="2344">
          <cell r="P2344">
            <v>0</v>
          </cell>
        </row>
        <row r="2345">
          <cell r="P2345">
            <v>0</v>
          </cell>
        </row>
        <row r="2346">
          <cell r="P2346">
            <v>0</v>
          </cell>
        </row>
        <row r="2347">
          <cell r="P2347">
            <v>0</v>
          </cell>
        </row>
        <row r="2348">
          <cell r="P2348">
            <v>0</v>
          </cell>
        </row>
        <row r="2349">
          <cell r="P2349">
            <v>0</v>
          </cell>
        </row>
        <row r="2350">
          <cell r="P2350">
            <v>0</v>
          </cell>
        </row>
        <row r="2351">
          <cell r="P2351">
            <v>0</v>
          </cell>
        </row>
        <row r="2352">
          <cell r="P2352">
            <v>0</v>
          </cell>
        </row>
        <row r="2353">
          <cell r="P2353">
            <v>0</v>
          </cell>
        </row>
        <row r="2354">
          <cell r="P2354">
            <v>0</v>
          </cell>
        </row>
        <row r="2355">
          <cell r="P2355">
            <v>0</v>
          </cell>
        </row>
        <row r="2356">
          <cell r="P2356">
            <v>0</v>
          </cell>
        </row>
        <row r="2357">
          <cell r="P2357">
            <v>0</v>
          </cell>
        </row>
        <row r="2358">
          <cell r="P2358">
            <v>0</v>
          </cell>
        </row>
        <row r="2359">
          <cell r="P2359">
            <v>0</v>
          </cell>
        </row>
        <row r="2360">
          <cell r="P2360">
            <v>0</v>
          </cell>
        </row>
        <row r="2361">
          <cell r="P2361">
            <v>0</v>
          </cell>
        </row>
        <row r="2362">
          <cell r="P2362">
            <v>0</v>
          </cell>
        </row>
        <row r="2363">
          <cell r="P2363">
            <v>0</v>
          </cell>
        </row>
        <row r="2364">
          <cell r="P2364">
            <v>0</v>
          </cell>
        </row>
        <row r="2365">
          <cell r="P2365">
            <v>0</v>
          </cell>
        </row>
        <row r="2366">
          <cell r="P2366">
            <v>0</v>
          </cell>
        </row>
        <row r="2367">
          <cell r="P2367">
            <v>0</v>
          </cell>
        </row>
        <row r="2368">
          <cell r="P2368">
            <v>0</v>
          </cell>
        </row>
        <row r="2369">
          <cell r="P2369">
            <v>0</v>
          </cell>
        </row>
        <row r="2370">
          <cell r="P2370">
            <v>0</v>
          </cell>
        </row>
        <row r="2371">
          <cell r="P2371">
            <v>0</v>
          </cell>
        </row>
        <row r="2372">
          <cell r="P2372">
            <v>0</v>
          </cell>
        </row>
        <row r="2373">
          <cell r="P2373">
            <v>0</v>
          </cell>
        </row>
        <row r="2374">
          <cell r="P2374">
            <v>0</v>
          </cell>
        </row>
        <row r="2375">
          <cell r="P2375">
            <v>0</v>
          </cell>
        </row>
        <row r="2376">
          <cell r="P2376">
            <v>0</v>
          </cell>
        </row>
        <row r="2377">
          <cell r="P2377">
            <v>0</v>
          </cell>
        </row>
        <row r="2378">
          <cell r="P2378">
            <v>0</v>
          </cell>
        </row>
        <row r="2379">
          <cell r="P2379">
            <v>0</v>
          </cell>
        </row>
        <row r="2380">
          <cell r="P2380">
            <v>0</v>
          </cell>
        </row>
        <row r="2381">
          <cell r="P2381">
            <v>0</v>
          </cell>
        </row>
        <row r="2382">
          <cell r="P2382">
            <v>0</v>
          </cell>
        </row>
        <row r="2383">
          <cell r="P2383">
            <v>0</v>
          </cell>
        </row>
        <row r="2384">
          <cell r="P2384">
            <v>0</v>
          </cell>
        </row>
        <row r="2385">
          <cell r="P2385">
            <v>0</v>
          </cell>
        </row>
        <row r="2386">
          <cell r="P2386">
            <v>0</v>
          </cell>
        </row>
        <row r="2387">
          <cell r="P2387">
            <v>0</v>
          </cell>
        </row>
        <row r="2388">
          <cell r="P2388">
            <v>0</v>
          </cell>
        </row>
        <row r="2389">
          <cell r="P2389">
            <v>0</v>
          </cell>
        </row>
        <row r="2390">
          <cell r="P2390">
            <v>0</v>
          </cell>
        </row>
        <row r="2391">
          <cell r="P2391">
            <v>0</v>
          </cell>
        </row>
        <row r="2392">
          <cell r="P2392">
            <v>0</v>
          </cell>
        </row>
        <row r="2393">
          <cell r="P2393">
            <v>0</v>
          </cell>
        </row>
        <row r="2394">
          <cell r="P2394">
            <v>0</v>
          </cell>
        </row>
        <row r="2395">
          <cell r="P2395">
            <v>0</v>
          </cell>
        </row>
        <row r="2396">
          <cell r="P2396">
            <v>0</v>
          </cell>
        </row>
        <row r="2397">
          <cell r="P2397">
            <v>0</v>
          </cell>
        </row>
        <row r="2398">
          <cell r="P2398">
            <v>0</v>
          </cell>
        </row>
        <row r="2399">
          <cell r="P2399">
            <v>0</v>
          </cell>
        </row>
        <row r="2400">
          <cell r="P2400">
            <v>0</v>
          </cell>
        </row>
        <row r="2401">
          <cell r="P2401">
            <v>0</v>
          </cell>
        </row>
        <row r="2402">
          <cell r="P2402">
            <v>0</v>
          </cell>
        </row>
        <row r="2403">
          <cell r="P2403">
            <v>0</v>
          </cell>
        </row>
        <row r="2404">
          <cell r="P2404">
            <v>0</v>
          </cell>
        </row>
        <row r="2405">
          <cell r="P2405">
            <v>0</v>
          </cell>
        </row>
        <row r="2406">
          <cell r="P2406">
            <v>0</v>
          </cell>
        </row>
        <row r="2407">
          <cell r="P2407">
            <v>0</v>
          </cell>
        </row>
        <row r="2408">
          <cell r="P2408">
            <v>0</v>
          </cell>
        </row>
        <row r="2409">
          <cell r="P2409">
            <v>0</v>
          </cell>
        </row>
        <row r="2410">
          <cell r="P2410">
            <v>0</v>
          </cell>
        </row>
        <row r="2411">
          <cell r="P2411">
            <v>0</v>
          </cell>
        </row>
        <row r="2412">
          <cell r="P2412">
            <v>0</v>
          </cell>
        </row>
        <row r="2413">
          <cell r="P2413">
            <v>0</v>
          </cell>
        </row>
        <row r="2414">
          <cell r="P2414">
            <v>0</v>
          </cell>
        </row>
        <row r="2415">
          <cell r="P2415">
            <v>0</v>
          </cell>
        </row>
        <row r="2416">
          <cell r="P2416">
            <v>0</v>
          </cell>
        </row>
        <row r="2417">
          <cell r="P2417">
            <v>0</v>
          </cell>
        </row>
        <row r="2418">
          <cell r="P2418">
            <v>136.017</v>
          </cell>
        </row>
        <row r="2419">
          <cell r="P2419">
            <v>510</v>
          </cell>
        </row>
        <row r="2420">
          <cell r="P2420">
            <v>54.927</v>
          </cell>
        </row>
        <row r="2421">
          <cell r="P2421">
            <v>0</v>
          </cell>
        </row>
        <row r="2422">
          <cell r="P2422">
            <v>0</v>
          </cell>
        </row>
        <row r="2423">
          <cell r="P2423">
            <v>0</v>
          </cell>
        </row>
        <row r="2424">
          <cell r="P2424">
            <v>0</v>
          </cell>
        </row>
        <row r="2425">
          <cell r="P2425" t="e">
            <v>#VALUE!</v>
          </cell>
        </row>
        <row r="2426">
          <cell r="P2426">
            <v>0</v>
          </cell>
        </row>
        <row r="2427">
          <cell r="P2427">
            <v>0</v>
          </cell>
        </row>
        <row r="2428">
          <cell r="P2428">
            <v>0</v>
          </cell>
        </row>
        <row r="2429">
          <cell r="P2429" t="e">
            <v>#VALUE!</v>
          </cell>
        </row>
        <row r="2430">
          <cell r="P2430">
            <v>0</v>
          </cell>
        </row>
        <row r="2431">
          <cell r="P2431">
            <v>0</v>
          </cell>
        </row>
        <row r="2432">
          <cell r="P2432">
            <v>0</v>
          </cell>
        </row>
        <row r="2433">
          <cell r="P2433" t="e">
            <v>#VALUE!</v>
          </cell>
        </row>
        <row r="2434">
          <cell r="P2434">
            <v>0</v>
          </cell>
        </row>
        <row r="2435">
          <cell r="P2435">
            <v>0</v>
          </cell>
        </row>
        <row r="2436">
          <cell r="P2436">
            <v>0</v>
          </cell>
        </row>
        <row r="2437">
          <cell r="P2437" t="e">
            <v>#VALUE!</v>
          </cell>
        </row>
        <row r="2438">
          <cell r="P2438">
            <v>0</v>
          </cell>
        </row>
        <row r="2439">
          <cell r="P2439">
            <v>0</v>
          </cell>
        </row>
        <row r="2440">
          <cell r="P2440">
            <v>0</v>
          </cell>
        </row>
        <row r="2441">
          <cell r="P2441" t="e">
            <v>#VALUE!</v>
          </cell>
        </row>
        <row r="2442">
          <cell r="P2442">
            <v>0</v>
          </cell>
        </row>
        <row r="2443">
          <cell r="P2443">
            <v>0</v>
          </cell>
        </row>
        <row r="2444">
          <cell r="P2444">
            <v>0</v>
          </cell>
        </row>
        <row r="2445">
          <cell r="P2445" t="e">
            <v>#VALUE!</v>
          </cell>
        </row>
        <row r="2446">
          <cell r="P2446">
            <v>16.001999999999999</v>
          </cell>
        </row>
        <row r="2447">
          <cell r="P2447">
            <v>60</v>
          </cell>
        </row>
        <row r="2448">
          <cell r="P2448">
            <v>24.186</v>
          </cell>
        </row>
        <row r="2449">
          <cell r="P2449">
            <v>0</v>
          </cell>
        </row>
        <row r="2450">
          <cell r="P2450">
            <v>0</v>
          </cell>
        </row>
        <row r="2451">
          <cell r="P2451">
            <v>0</v>
          </cell>
        </row>
        <row r="2452">
          <cell r="P2452">
            <v>0</v>
          </cell>
        </row>
        <row r="2453">
          <cell r="P2453">
            <v>0</v>
          </cell>
        </row>
        <row r="2454">
          <cell r="P2454">
            <v>0</v>
          </cell>
        </row>
        <row r="2455">
          <cell r="P2455">
            <v>0</v>
          </cell>
        </row>
        <row r="2456">
          <cell r="P2456">
            <v>0</v>
          </cell>
        </row>
        <row r="2457">
          <cell r="P2457">
            <v>114</v>
          </cell>
        </row>
        <row r="2458">
          <cell r="P2458">
            <v>114</v>
          </cell>
        </row>
        <row r="2459">
          <cell r="P2459">
            <v>0</v>
          </cell>
        </row>
        <row r="2460">
          <cell r="P2460">
            <v>0</v>
          </cell>
        </row>
        <row r="2461">
          <cell r="P2461">
            <v>0</v>
          </cell>
        </row>
        <row r="2462">
          <cell r="P2462">
            <v>0</v>
          </cell>
        </row>
        <row r="2463">
          <cell r="P2463">
            <v>0</v>
          </cell>
        </row>
        <row r="2464">
          <cell r="P2464">
            <v>0</v>
          </cell>
        </row>
        <row r="2465">
          <cell r="P2465">
            <v>0</v>
          </cell>
        </row>
        <row r="2466">
          <cell r="P2466">
            <v>0</v>
          </cell>
        </row>
        <row r="2467">
          <cell r="P2467">
            <v>0</v>
          </cell>
        </row>
        <row r="2468">
          <cell r="P2468">
            <v>0</v>
          </cell>
        </row>
        <row r="2469">
          <cell r="P2469">
            <v>0</v>
          </cell>
        </row>
        <row r="2470">
          <cell r="P2470">
            <v>0</v>
          </cell>
        </row>
        <row r="2471">
          <cell r="P2471">
            <v>0</v>
          </cell>
        </row>
        <row r="2472">
          <cell r="P2472">
            <v>0</v>
          </cell>
        </row>
        <row r="2473">
          <cell r="P2473">
            <v>0</v>
          </cell>
        </row>
        <row r="2474">
          <cell r="P2474">
            <v>0</v>
          </cell>
        </row>
        <row r="2475">
          <cell r="P2475">
            <v>0</v>
          </cell>
        </row>
        <row r="2476">
          <cell r="P2476">
            <v>0</v>
          </cell>
        </row>
        <row r="2477">
          <cell r="P2477">
            <v>0</v>
          </cell>
        </row>
        <row r="2478">
          <cell r="P2478">
            <v>0</v>
          </cell>
        </row>
        <row r="2479">
          <cell r="P2479">
            <v>0</v>
          </cell>
        </row>
        <row r="2480">
          <cell r="P2480">
            <v>0</v>
          </cell>
        </row>
        <row r="2481">
          <cell r="P2481">
            <v>0</v>
          </cell>
        </row>
        <row r="2482">
          <cell r="P2482">
            <v>0</v>
          </cell>
        </row>
        <row r="2483">
          <cell r="P2483">
            <v>0</v>
          </cell>
        </row>
        <row r="2484">
          <cell r="P2484">
            <v>0</v>
          </cell>
        </row>
        <row r="2485">
          <cell r="P2485">
            <v>0</v>
          </cell>
        </row>
        <row r="2486">
          <cell r="P2486">
            <v>0</v>
          </cell>
        </row>
        <row r="2487">
          <cell r="P2487">
            <v>0</v>
          </cell>
        </row>
        <row r="2488">
          <cell r="P2488">
            <v>0</v>
          </cell>
        </row>
        <row r="2489">
          <cell r="P2489">
            <v>0</v>
          </cell>
        </row>
        <row r="2490">
          <cell r="P2490">
            <v>0</v>
          </cell>
        </row>
        <row r="2491">
          <cell r="P2491">
            <v>0</v>
          </cell>
        </row>
        <row r="2492">
          <cell r="P2492">
            <v>0</v>
          </cell>
        </row>
        <row r="2493">
          <cell r="P2493">
            <v>0</v>
          </cell>
        </row>
        <row r="2494">
          <cell r="P2494">
            <v>0</v>
          </cell>
        </row>
        <row r="2495">
          <cell r="P2495">
            <v>0</v>
          </cell>
        </row>
        <row r="2496">
          <cell r="P2496">
            <v>0</v>
          </cell>
        </row>
        <row r="2497">
          <cell r="P2497">
            <v>0</v>
          </cell>
        </row>
        <row r="2498">
          <cell r="P2498">
            <v>0</v>
          </cell>
        </row>
        <row r="2499">
          <cell r="P2499">
            <v>0</v>
          </cell>
        </row>
        <row r="2500">
          <cell r="P2500">
            <v>0</v>
          </cell>
        </row>
        <row r="2501">
          <cell r="P2501">
            <v>0</v>
          </cell>
        </row>
        <row r="2502">
          <cell r="P2502">
            <v>0</v>
          </cell>
        </row>
        <row r="2503">
          <cell r="P2503">
            <v>0</v>
          </cell>
        </row>
        <row r="2504">
          <cell r="P2504">
            <v>0</v>
          </cell>
        </row>
        <row r="2505">
          <cell r="P2505">
            <v>0</v>
          </cell>
        </row>
        <row r="2506">
          <cell r="P2506">
            <v>0</v>
          </cell>
        </row>
        <row r="2507">
          <cell r="P2507">
            <v>0</v>
          </cell>
        </row>
        <row r="2508">
          <cell r="P2508">
            <v>0</v>
          </cell>
        </row>
        <row r="2509">
          <cell r="P2509">
            <v>0</v>
          </cell>
        </row>
        <row r="2510">
          <cell r="P2510">
            <v>0</v>
          </cell>
        </row>
        <row r="2511">
          <cell r="P2511">
            <v>0</v>
          </cell>
        </row>
        <row r="2512">
          <cell r="P2512">
            <v>0</v>
          </cell>
        </row>
        <row r="2513">
          <cell r="P2513">
            <v>0</v>
          </cell>
        </row>
        <row r="2514">
          <cell r="P2514">
            <v>0</v>
          </cell>
        </row>
        <row r="2515">
          <cell r="P2515">
            <v>0</v>
          </cell>
        </row>
        <row r="2516">
          <cell r="P2516">
            <v>0</v>
          </cell>
        </row>
        <row r="2517">
          <cell r="P2517">
            <v>0</v>
          </cell>
        </row>
        <row r="2518">
          <cell r="P2518">
            <v>0</v>
          </cell>
        </row>
        <row r="2519">
          <cell r="P2519">
            <v>0</v>
          </cell>
        </row>
        <row r="2520">
          <cell r="P2520">
            <v>0</v>
          </cell>
        </row>
        <row r="2521">
          <cell r="P2521">
            <v>0</v>
          </cell>
        </row>
        <row r="2522">
          <cell r="P2522">
            <v>0</v>
          </cell>
        </row>
        <row r="2523">
          <cell r="P2523">
            <v>0</v>
          </cell>
        </row>
        <row r="2524">
          <cell r="P2524">
            <v>0</v>
          </cell>
        </row>
        <row r="2525">
          <cell r="P2525">
            <v>0</v>
          </cell>
        </row>
        <row r="2526">
          <cell r="P2526">
            <v>0</v>
          </cell>
        </row>
        <row r="2527">
          <cell r="P2527">
            <v>0</v>
          </cell>
        </row>
        <row r="2528">
          <cell r="P2528">
            <v>0</v>
          </cell>
        </row>
        <row r="2529">
          <cell r="P2529">
            <v>0</v>
          </cell>
        </row>
        <row r="2530">
          <cell r="P2530">
            <v>0</v>
          </cell>
        </row>
        <row r="2531">
          <cell r="P2531">
            <v>0</v>
          </cell>
        </row>
        <row r="2532">
          <cell r="P2532">
            <v>0</v>
          </cell>
        </row>
        <row r="2533">
          <cell r="P2533">
            <v>0</v>
          </cell>
        </row>
        <row r="2534">
          <cell r="P2534">
            <v>0</v>
          </cell>
        </row>
        <row r="2535">
          <cell r="P2535">
            <v>0</v>
          </cell>
        </row>
        <row r="2536">
          <cell r="P2536">
            <v>0</v>
          </cell>
        </row>
        <row r="2537">
          <cell r="P2537">
            <v>0</v>
          </cell>
        </row>
        <row r="2538">
          <cell r="P2538">
            <v>0</v>
          </cell>
        </row>
        <row r="2539">
          <cell r="P2539">
            <v>0</v>
          </cell>
        </row>
        <row r="2540">
          <cell r="P2540">
            <v>0</v>
          </cell>
        </row>
        <row r="2541">
          <cell r="P2541">
            <v>0</v>
          </cell>
        </row>
        <row r="2542">
          <cell r="P2542">
            <v>0</v>
          </cell>
        </row>
        <row r="2543">
          <cell r="P2543">
            <v>0</v>
          </cell>
        </row>
        <row r="2544">
          <cell r="P2544">
            <v>0</v>
          </cell>
        </row>
        <row r="2545">
          <cell r="P2545">
            <v>0</v>
          </cell>
        </row>
        <row r="2546">
          <cell r="P2546">
            <v>0</v>
          </cell>
        </row>
        <row r="2547">
          <cell r="P2547">
            <v>0</v>
          </cell>
        </row>
        <row r="2548">
          <cell r="P2548">
            <v>0</v>
          </cell>
        </row>
        <row r="2549">
          <cell r="P2549">
            <v>0</v>
          </cell>
        </row>
        <row r="2550">
          <cell r="P2550">
            <v>0</v>
          </cell>
        </row>
        <row r="2551">
          <cell r="P2551">
            <v>0</v>
          </cell>
        </row>
        <row r="2552">
          <cell r="P2552">
            <v>0</v>
          </cell>
        </row>
        <row r="2553">
          <cell r="P2553">
            <v>0</v>
          </cell>
        </row>
        <row r="2554">
          <cell r="P2554">
            <v>0</v>
          </cell>
        </row>
        <row r="2555">
          <cell r="P2555">
            <v>0</v>
          </cell>
        </row>
        <row r="2556">
          <cell r="P2556">
            <v>0</v>
          </cell>
        </row>
        <row r="2557">
          <cell r="P2557">
            <v>0</v>
          </cell>
        </row>
        <row r="2558">
          <cell r="P2558">
            <v>0</v>
          </cell>
        </row>
        <row r="2559">
          <cell r="P2559">
            <v>0</v>
          </cell>
        </row>
        <row r="2560">
          <cell r="P2560">
            <v>0</v>
          </cell>
        </row>
        <row r="2561">
          <cell r="P2561">
            <v>0</v>
          </cell>
        </row>
        <row r="2562">
          <cell r="P2562">
            <v>0</v>
          </cell>
        </row>
        <row r="2563">
          <cell r="P2563">
            <v>0</v>
          </cell>
        </row>
        <row r="2564">
          <cell r="P2564">
            <v>0</v>
          </cell>
        </row>
        <row r="2565">
          <cell r="P2565">
            <v>0</v>
          </cell>
        </row>
        <row r="2566">
          <cell r="P2566">
            <v>0</v>
          </cell>
        </row>
        <row r="2567">
          <cell r="P2567">
            <v>0</v>
          </cell>
        </row>
        <row r="2568">
          <cell r="P2568">
            <v>0</v>
          </cell>
        </row>
        <row r="2569">
          <cell r="P2569">
            <v>0</v>
          </cell>
        </row>
        <row r="2570">
          <cell r="P2570">
            <v>0</v>
          </cell>
        </row>
        <row r="2571">
          <cell r="P2571">
            <v>0</v>
          </cell>
        </row>
        <row r="2572">
          <cell r="P2572">
            <v>0</v>
          </cell>
        </row>
        <row r="2573">
          <cell r="P2573">
            <v>0</v>
          </cell>
        </row>
        <row r="2574">
          <cell r="P2574">
            <v>0</v>
          </cell>
        </row>
        <row r="2575">
          <cell r="P2575">
            <v>0</v>
          </cell>
        </row>
        <row r="2576">
          <cell r="P2576">
            <v>0</v>
          </cell>
        </row>
        <row r="2577">
          <cell r="P2577">
            <v>0</v>
          </cell>
        </row>
        <row r="2578">
          <cell r="P2578">
            <v>0</v>
          </cell>
        </row>
        <row r="2579">
          <cell r="P2579">
            <v>0</v>
          </cell>
        </row>
        <row r="2580">
          <cell r="P2580">
            <v>0</v>
          </cell>
        </row>
        <row r="2581">
          <cell r="P2581">
            <v>0</v>
          </cell>
        </row>
        <row r="2582">
          <cell r="P2582">
            <v>0</v>
          </cell>
        </row>
        <row r="2583">
          <cell r="P2583">
            <v>0</v>
          </cell>
        </row>
        <row r="2584">
          <cell r="P2584">
            <v>0</v>
          </cell>
        </row>
        <row r="2585">
          <cell r="P2585">
            <v>0</v>
          </cell>
        </row>
        <row r="2586">
          <cell r="P2586">
            <v>0</v>
          </cell>
        </row>
        <row r="2587">
          <cell r="P2587">
            <v>0</v>
          </cell>
        </row>
        <row r="2588">
          <cell r="P2588">
            <v>0</v>
          </cell>
        </row>
        <row r="2589">
          <cell r="P2589">
            <v>0</v>
          </cell>
        </row>
        <row r="2590">
          <cell r="P2590">
            <v>0</v>
          </cell>
        </row>
        <row r="2591">
          <cell r="P2591">
            <v>0</v>
          </cell>
        </row>
        <row r="2592">
          <cell r="P2592">
            <v>0</v>
          </cell>
        </row>
        <row r="2593">
          <cell r="P2593">
            <v>0</v>
          </cell>
        </row>
        <row r="2594">
          <cell r="P2594">
            <v>0</v>
          </cell>
        </row>
        <row r="2595">
          <cell r="P2595">
            <v>0</v>
          </cell>
        </row>
        <row r="2596">
          <cell r="P2596">
            <v>0</v>
          </cell>
        </row>
        <row r="2597">
          <cell r="P2597">
            <v>0</v>
          </cell>
        </row>
        <row r="2598">
          <cell r="P2598">
            <v>0</v>
          </cell>
        </row>
        <row r="2599">
          <cell r="P2599">
            <v>0</v>
          </cell>
        </row>
        <row r="2600">
          <cell r="P2600">
            <v>0</v>
          </cell>
        </row>
        <row r="2601">
          <cell r="P2601">
            <v>0</v>
          </cell>
        </row>
        <row r="2602">
          <cell r="P2602">
            <v>0</v>
          </cell>
        </row>
        <row r="2603">
          <cell r="P2603">
            <v>0</v>
          </cell>
        </row>
        <row r="2604">
          <cell r="P2604">
            <v>0</v>
          </cell>
        </row>
        <row r="2605">
          <cell r="P2605">
            <v>0</v>
          </cell>
        </row>
        <row r="2606">
          <cell r="P2606">
            <v>0</v>
          </cell>
        </row>
        <row r="2607">
          <cell r="P2607">
            <v>0</v>
          </cell>
        </row>
        <row r="2608">
          <cell r="P2608">
            <v>0</v>
          </cell>
        </row>
        <row r="2609">
          <cell r="P2609">
            <v>0</v>
          </cell>
        </row>
        <row r="2610">
          <cell r="P2610">
            <v>0</v>
          </cell>
        </row>
        <row r="2611">
          <cell r="P2611">
            <v>0</v>
          </cell>
        </row>
        <row r="2612">
          <cell r="P2612">
            <v>0</v>
          </cell>
        </row>
        <row r="2613">
          <cell r="P2613">
            <v>0</v>
          </cell>
        </row>
        <row r="2614">
          <cell r="P2614">
            <v>0</v>
          </cell>
        </row>
        <row r="2615">
          <cell r="P2615">
            <v>0</v>
          </cell>
        </row>
        <row r="2616">
          <cell r="P2616">
            <v>0</v>
          </cell>
        </row>
        <row r="2617">
          <cell r="P2617">
            <v>0</v>
          </cell>
        </row>
        <row r="2618">
          <cell r="P2618">
            <v>0</v>
          </cell>
        </row>
        <row r="2619">
          <cell r="P2619">
            <v>0</v>
          </cell>
        </row>
        <row r="2620">
          <cell r="P2620">
            <v>0</v>
          </cell>
        </row>
        <row r="2621">
          <cell r="P2621">
            <v>0</v>
          </cell>
        </row>
        <row r="2622">
          <cell r="P2622">
            <v>0</v>
          </cell>
        </row>
        <row r="2623">
          <cell r="P2623">
            <v>0</v>
          </cell>
        </row>
        <row r="2624">
          <cell r="P2624">
            <v>0</v>
          </cell>
        </row>
        <row r="2625">
          <cell r="P2625">
            <v>0</v>
          </cell>
        </row>
        <row r="2626">
          <cell r="P2626">
            <v>0</v>
          </cell>
        </row>
        <row r="2627">
          <cell r="P2627">
            <v>0</v>
          </cell>
        </row>
        <row r="2628">
          <cell r="P2628">
            <v>0</v>
          </cell>
        </row>
        <row r="2629">
          <cell r="P2629">
            <v>0</v>
          </cell>
        </row>
        <row r="2630">
          <cell r="P2630">
            <v>0</v>
          </cell>
        </row>
        <row r="2631">
          <cell r="P2631">
            <v>0</v>
          </cell>
        </row>
        <row r="2632">
          <cell r="P2632">
            <v>0</v>
          </cell>
        </row>
        <row r="2633">
          <cell r="P2633">
            <v>0</v>
          </cell>
        </row>
        <row r="2634">
          <cell r="P2634">
            <v>0</v>
          </cell>
        </row>
        <row r="2635">
          <cell r="P2635">
            <v>0</v>
          </cell>
        </row>
        <row r="2636">
          <cell r="P2636">
            <v>0</v>
          </cell>
        </row>
        <row r="2637">
          <cell r="P2637">
            <v>0</v>
          </cell>
        </row>
        <row r="2638">
          <cell r="P2638">
            <v>0</v>
          </cell>
        </row>
        <row r="2639">
          <cell r="P2639">
            <v>0</v>
          </cell>
        </row>
        <row r="2640">
          <cell r="P2640">
            <v>0</v>
          </cell>
        </row>
        <row r="2641">
          <cell r="P2641">
            <v>0</v>
          </cell>
        </row>
        <row r="2642">
          <cell r="P2642">
            <v>0</v>
          </cell>
        </row>
        <row r="2643">
          <cell r="P2643">
            <v>0</v>
          </cell>
        </row>
        <row r="2644">
          <cell r="P2644">
            <v>0</v>
          </cell>
        </row>
        <row r="2645">
          <cell r="P2645">
            <v>0</v>
          </cell>
        </row>
        <row r="2646">
          <cell r="P2646">
            <v>0</v>
          </cell>
        </row>
        <row r="2647">
          <cell r="P2647">
            <v>0</v>
          </cell>
        </row>
        <row r="2648">
          <cell r="P2648">
            <v>0</v>
          </cell>
        </row>
        <row r="2649">
          <cell r="P2649">
            <v>0</v>
          </cell>
        </row>
        <row r="2650">
          <cell r="P2650">
            <v>0</v>
          </cell>
        </row>
        <row r="2651">
          <cell r="P2651">
            <v>0</v>
          </cell>
        </row>
        <row r="2652">
          <cell r="P2652">
            <v>0</v>
          </cell>
        </row>
        <row r="2653">
          <cell r="P2653">
            <v>0</v>
          </cell>
        </row>
        <row r="2654">
          <cell r="P2654">
            <v>0</v>
          </cell>
        </row>
        <row r="2655">
          <cell r="P2655">
            <v>0</v>
          </cell>
        </row>
        <row r="2656">
          <cell r="P2656">
            <v>0</v>
          </cell>
        </row>
        <row r="2657">
          <cell r="P2657">
            <v>0</v>
          </cell>
        </row>
        <row r="2658">
          <cell r="P2658">
            <v>0</v>
          </cell>
        </row>
        <row r="2659">
          <cell r="P2659">
            <v>0</v>
          </cell>
        </row>
        <row r="2660">
          <cell r="P2660">
            <v>0</v>
          </cell>
        </row>
        <row r="2661">
          <cell r="P2661">
            <v>0</v>
          </cell>
        </row>
        <row r="2662">
          <cell r="P2662">
            <v>0</v>
          </cell>
        </row>
        <row r="2663">
          <cell r="P2663">
            <v>0</v>
          </cell>
        </row>
        <row r="2664">
          <cell r="P2664">
            <v>0</v>
          </cell>
        </row>
        <row r="2665">
          <cell r="P2665">
            <v>0</v>
          </cell>
        </row>
        <row r="2666">
          <cell r="P2666">
            <v>0</v>
          </cell>
        </row>
        <row r="2667">
          <cell r="P2667">
            <v>0</v>
          </cell>
        </row>
        <row r="2668">
          <cell r="P2668">
            <v>0</v>
          </cell>
        </row>
        <row r="2669">
          <cell r="P2669">
            <v>0</v>
          </cell>
        </row>
        <row r="2670">
          <cell r="P2670">
            <v>0</v>
          </cell>
        </row>
        <row r="2671">
          <cell r="P2671">
            <v>0</v>
          </cell>
        </row>
        <row r="2672">
          <cell r="P2672">
            <v>0</v>
          </cell>
        </row>
        <row r="2673">
          <cell r="P2673">
            <v>0</v>
          </cell>
        </row>
        <row r="2674">
          <cell r="P2674">
            <v>0</v>
          </cell>
        </row>
        <row r="2675">
          <cell r="P2675">
            <v>0</v>
          </cell>
        </row>
        <row r="2676">
          <cell r="P2676">
            <v>0</v>
          </cell>
        </row>
        <row r="2677">
          <cell r="P2677">
            <v>0</v>
          </cell>
        </row>
        <row r="2678">
          <cell r="P2678">
            <v>0</v>
          </cell>
        </row>
        <row r="2679">
          <cell r="P2679">
            <v>0</v>
          </cell>
        </row>
        <row r="2680">
          <cell r="P2680">
            <v>0</v>
          </cell>
        </row>
        <row r="2681">
          <cell r="P2681">
            <v>0</v>
          </cell>
        </row>
        <row r="2682">
          <cell r="P2682">
            <v>0</v>
          </cell>
        </row>
        <row r="2683">
          <cell r="P2683">
            <v>0</v>
          </cell>
        </row>
        <row r="2684">
          <cell r="P2684">
            <v>0</v>
          </cell>
        </row>
        <row r="2685">
          <cell r="P2685">
            <v>0</v>
          </cell>
        </row>
        <row r="2686">
          <cell r="P2686">
            <v>0</v>
          </cell>
        </row>
        <row r="2687">
          <cell r="P2687">
            <v>0</v>
          </cell>
        </row>
        <row r="2688">
          <cell r="P2688">
            <v>0</v>
          </cell>
        </row>
        <row r="2689">
          <cell r="P2689">
            <v>0</v>
          </cell>
        </row>
        <row r="2690">
          <cell r="P2690">
            <v>0</v>
          </cell>
        </row>
        <row r="2691">
          <cell r="P2691">
            <v>0</v>
          </cell>
        </row>
        <row r="2692">
          <cell r="P2692">
            <v>0</v>
          </cell>
        </row>
        <row r="2693">
          <cell r="P2693">
            <v>0</v>
          </cell>
        </row>
        <row r="2694">
          <cell r="P2694">
            <v>0</v>
          </cell>
        </row>
        <row r="2695">
          <cell r="P2695">
            <v>0</v>
          </cell>
        </row>
        <row r="2696">
          <cell r="P2696">
            <v>0</v>
          </cell>
        </row>
        <row r="2697">
          <cell r="P2697">
            <v>0</v>
          </cell>
        </row>
        <row r="2698">
          <cell r="P2698">
            <v>0</v>
          </cell>
        </row>
        <row r="2699">
          <cell r="P2699">
            <v>0</v>
          </cell>
        </row>
        <row r="2700">
          <cell r="P2700">
            <v>0</v>
          </cell>
        </row>
        <row r="2701">
          <cell r="P2701">
            <v>0</v>
          </cell>
        </row>
        <row r="2702">
          <cell r="P2702">
            <v>0</v>
          </cell>
        </row>
        <row r="2703">
          <cell r="P2703">
            <v>0</v>
          </cell>
        </row>
        <row r="2704">
          <cell r="P2704">
            <v>0</v>
          </cell>
        </row>
        <row r="2705">
          <cell r="P2705">
            <v>0</v>
          </cell>
        </row>
        <row r="2706">
          <cell r="P2706">
            <v>0</v>
          </cell>
        </row>
        <row r="2707">
          <cell r="P2707">
            <v>0</v>
          </cell>
        </row>
        <row r="2708">
          <cell r="P2708">
            <v>0</v>
          </cell>
        </row>
        <row r="2709">
          <cell r="P2709">
            <v>0</v>
          </cell>
        </row>
        <row r="2710">
          <cell r="P2710">
            <v>0</v>
          </cell>
        </row>
        <row r="2711">
          <cell r="P2711">
            <v>0</v>
          </cell>
        </row>
        <row r="2712">
          <cell r="P2712">
            <v>0</v>
          </cell>
        </row>
        <row r="2713">
          <cell r="P2713">
            <v>0</v>
          </cell>
        </row>
        <row r="2714">
          <cell r="P2714">
            <v>0</v>
          </cell>
        </row>
        <row r="2715">
          <cell r="P2715">
            <v>0</v>
          </cell>
        </row>
        <row r="2716">
          <cell r="P2716">
            <v>0</v>
          </cell>
        </row>
        <row r="2717">
          <cell r="P2717">
            <v>0</v>
          </cell>
        </row>
        <row r="2718">
          <cell r="P2718">
            <v>0</v>
          </cell>
        </row>
        <row r="2719">
          <cell r="P2719">
            <v>0</v>
          </cell>
        </row>
        <row r="2720">
          <cell r="P2720">
            <v>0</v>
          </cell>
        </row>
        <row r="2721">
          <cell r="P2721">
            <v>0</v>
          </cell>
        </row>
        <row r="2722">
          <cell r="P2722">
            <v>0</v>
          </cell>
        </row>
        <row r="2723">
          <cell r="P2723">
            <v>0</v>
          </cell>
        </row>
        <row r="2724">
          <cell r="P2724">
            <v>0</v>
          </cell>
        </row>
        <row r="2725">
          <cell r="P2725">
            <v>0</v>
          </cell>
        </row>
        <row r="2726">
          <cell r="P2726">
            <v>0</v>
          </cell>
        </row>
        <row r="2727">
          <cell r="P2727">
            <v>0</v>
          </cell>
        </row>
        <row r="2728">
          <cell r="P2728">
            <v>0</v>
          </cell>
        </row>
        <row r="2729">
          <cell r="P2729">
            <v>0</v>
          </cell>
        </row>
        <row r="2730">
          <cell r="P2730">
            <v>0</v>
          </cell>
        </row>
        <row r="2731">
          <cell r="P2731">
            <v>0</v>
          </cell>
        </row>
        <row r="2732">
          <cell r="P2732">
            <v>0</v>
          </cell>
        </row>
        <row r="2733">
          <cell r="P2733">
            <v>0</v>
          </cell>
        </row>
        <row r="2734">
          <cell r="P2734">
            <v>0</v>
          </cell>
        </row>
        <row r="2735">
          <cell r="P2735">
            <v>0</v>
          </cell>
        </row>
        <row r="2736">
          <cell r="P2736">
            <v>0</v>
          </cell>
        </row>
        <row r="2737">
          <cell r="P2737">
            <v>0</v>
          </cell>
        </row>
        <row r="2738">
          <cell r="P2738">
            <v>0</v>
          </cell>
        </row>
        <row r="2739">
          <cell r="P2739">
            <v>0</v>
          </cell>
        </row>
        <row r="2740">
          <cell r="P2740">
            <v>0</v>
          </cell>
        </row>
        <row r="2741">
          <cell r="P2741">
            <v>0</v>
          </cell>
        </row>
        <row r="2742">
          <cell r="P2742">
            <v>0</v>
          </cell>
        </row>
        <row r="2743">
          <cell r="P2743">
            <v>0</v>
          </cell>
        </row>
        <row r="2744">
          <cell r="P2744">
            <v>0</v>
          </cell>
        </row>
        <row r="2745">
          <cell r="P2745">
            <v>0</v>
          </cell>
        </row>
        <row r="2746">
          <cell r="P2746">
            <v>0</v>
          </cell>
        </row>
        <row r="2747">
          <cell r="P2747">
            <v>0</v>
          </cell>
        </row>
        <row r="2748">
          <cell r="P2748">
            <v>0</v>
          </cell>
        </row>
        <row r="2749">
          <cell r="P2749">
            <v>0</v>
          </cell>
        </row>
        <row r="2750">
          <cell r="P2750">
            <v>0</v>
          </cell>
        </row>
        <row r="2751">
          <cell r="P2751">
            <v>0</v>
          </cell>
        </row>
        <row r="2752">
          <cell r="P2752">
            <v>0</v>
          </cell>
        </row>
        <row r="2753">
          <cell r="P2753">
            <v>0</v>
          </cell>
        </row>
        <row r="2754">
          <cell r="P2754">
            <v>0</v>
          </cell>
        </row>
        <row r="2755">
          <cell r="P2755">
            <v>0</v>
          </cell>
        </row>
        <row r="2756">
          <cell r="P2756">
            <v>0</v>
          </cell>
        </row>
        <row r="2757">
          <cell r="P2757">
            <v>0</v>
          </cell>
        </row>
        <row r="2758">
          <cell r="P2758">
            <v>0</v>
          </cell>
        </row>
        <row r="2759">
          <cell r="P2759">
            <v>0</v>
          </cell>
        </row>
        <row r="2760">
          <cell r="P2760">
            <v>0</v>
          </cell>
        </row>
        <row r="2761">
          <cell r="P2761">
            <v>0</v>
          </cell>
        </row>
        <row r="2762">
          <cell r="P2762">
            <v>0</v>
          </cell>
        </row>
        <row r="2763">
          <cell r="P2763">
            <v>0</v>
          </cell>
        </row>
        <row r="2764">
          <cell r="P2764">
            <v>0</v>
          </cell>
        </row>
        <row r="2765">
          <cell r="P2765">
            <v>0</v>
          </cell>
        </row>
        <row r="2766">
          <cell r="P2766">
            <v>0</v>
          </cell>
        </row>
        <row r="2767">
          <cell r="P2767">
            <v>0</v>
          </cell>
        </row>
        <row r="2768">
          <cell r="P2768">
            <v>0</v>
          </cell>
        </row>
        <row r="2769">
          <cell r="P2769">
            <v>0</v>
          </cell>
        </row>
        <row r="2770">
          <cell r="P2770">
            <v>0</v>
          </cell>
        </row>
        <row r="2771">
          <cell r="P2771">
            <v>0</v>
          </cell>
        </row>
        <row r="2772">
          <cell r="P2772">
            <v>0</v>
          </cell>
        </row>
        <row r="2773">
          <cell r="P2773">
            <v>0</v>
          </cell>
        </row>
        <row r="2774">
          <cell r="P2774">
            <v>0</v>
          </cell>
        </row>
        <row r="2775">
          <cell r="P2775">
            <v>0</v>
          </cell>
        </row>
        <row r="2776">
          <cell r="P2776">
            <v>0</v>
          </cell>
        </row>
        <row r="2777">
          <cell r="P2777">
            <v>0</v>
          </cell>
        </row>
        <row r="2778">
          <cell r="P2778">
            <v>0</v>
          </cell>
        </row>
        <row r="2779">
          <cell r="P2779">
            <v>0</v>
          </cell>
        </row>
        <row r="2780">
          <cell r="P2780">
            <v>0</v>
          </cell>
        </row>
        <row r="2781">
          <cell r="P2781">
            <v>0</v>
          </cell>
        </row>
        <row r="2782">
          <cell r="P2782">
            <v>0</v>
          </cell>
        </row>
        <row r="2783">
          <cell r="P2783">
            <v>0</v>
          </cell>
        </row>
        <row r="2784">
          <cell r="P2784">
            <v>0</v>
          </cell>
        </row>
        <row r="2785">
          <cell r="P2785">
            <v>0</v>
          </cell>
        </row>
        <row r="2786">
          <cell r="P2786">
            <v>0</v>
          </cell>
        </row>
        <row r="2787">
          <cell r="P2787">
            <v>0</v>
          </cell>
        </row>
        <row r="2788">
          <cell r="P2788">
            <v>0</v>
          </cell>
        </row>
        <row r="2789">
          <cell r="P2789">
            <v>0</v>
          </cell>
        </row>
        <row r="2790">
          <cell r="P2790">
            <v>0</v>
          </cell>
        </row>
        <row r="2791">
          <cell r="P2791">
            <v>0</v>
          </cell>
        </row>
        <row r="2792">
          <cell r="P2792">
            <v>0</v>
          </cell>
        </row>
        <row r="2793">
          <cell r="P2793">
            <v>0</v>
          </cell>
        </row>
        <row r="2794">
          <cell r="P2794">
            <v>0</v>
          </cell>
        </row>
        <row r="2795">
          <cell r="P2795">
            <v>0</v>
          </cell>
        </row>
        <row r="2796">
          <cell r="P2796">
            <v>0</v>
          </cell>
        </row>
        <row r="2797">
          <cell r="P2797">
            <v>0</v>
          </cell>
        </row>
        <row r="2798">
          <cell r="P2798">
            <v>0</v>
          </cell>
        </row>
        <row r="2799">
          <cell r="P2799">
            <v>0</v>
          </cell>
        </row>
        <row r="2800">
          <cell r="P2800">
            <v>0</v>
          </cell>
        </row>
        <row r="2801">
          <cell r="P2801">
            <v>0</v>
          </cell>
        </row>
        <row r="2802">
          <cell r="P2802">
            <v>0</v>
          </cell>
        </row>
        <row r="2803">
          <cell r="P2803">
            <v>0</v>
          </cell>
        </row>
        <row r="2804">
          <cell r="P2804">
            <v>0</v>
          </cell>
        </row>
        <row r="2805">
          <cell r="P2805">
            <v>0</v>
          </cell>
        </row>
        <row r="2806">
          <cell r="P2806">
            <v>0</v>
          </cell>
        </row>
        <row r="2807">
          <cell r="P2807">
            <v>0</v>
          </cell>
        </row>
        <row r="2808">
          <cell r="P2808">
            <v>0</v>
          </cell>
        </row>
        <row r="2809">
          <cell r="P2809">
            <v>0</v>
          </cell>
        </row>
        <row r="2810">
          <cell r="P2810">
            <v>0</v>
          </cell>
        </row>
        <row r="2811">
          <cell r="P2811">
            <v>0</v>
          </cell>
        </row>
        <row r="2812">
          <cell r="P2812">
            <v>0</v>
          </cell>
        </row>
        <row r="2813">
          <cell r="P2813">
            <v>0</v>
          </cell>
        </row>
        <row r="2814">
          <cell r="P2814">
            <v>0</v>
          </cell>
        </row>
        <row r="2815">
          <cell r="P2815">
            <v>0</v>
          </cell>
        </row>
        <row r="2816">
          <cell r="P2816">
            <v>0</v>
          </cell>
        </row>
        <row r="2817">
          <cell r="P2817">
            <v>0</v>
          </cell>
        </row>
        <row r="2818">
          <cell r="P2818">
            <v>0</v>
          </cell>
        </row>
        <row r="2819">
          <cell r="P2819">
            <v>0</v>
          </cell>
        </row>
        <row r="2820">
          <cell r="P2820">
            <v>0</v>
          </cell>
        </row>
        <row r="2821">
          <cell r="P2821">
            <v>0</v>
          </cell>
        </row>
        <row r="2822">
          <cell r="P2822">
            <v>0</v>
          </cell>
        </row>
        <row r="2823">
          <cell r="P2823">
            <v>0</v>
          </cell>
        </row>
        <row r="2824">
          <cell r="P2824">
            <v>0</v>
          </cell>
        </row>
        <row r="2825">
          <cell r="P2825">
            <v>0</v>
          </cell>
        </row>
        <row r="2826">
          <cell r="P2826">
            <v>0</v>
          </cell>
        </row>
        <row r="2827">
          <cell r="P2827">
            <v>0</v>
          </cell>
        </row>
        <row r="2828">
          <cell r="P2828">
            <v>0</v>
          </cell>
        </row>
        <row r="2829">
          <cell r="P2829">
            <v>0</v>
          </cell>
        </row>
        <row r="2830">
          <cell r="P2830">
            <v>0</v>
          </cell>
        </row>
        <row r="2831">
          <cell r="P2831">
            <v>0</v>
          </cell>
        </row>
        <row r="2832">
          <cell r="P2832">
            <v>0</v>
          </cell>
        </row>
        <row r="2833">
          <cell r="P2833">
            <v>0</v>
          </cell>
        </row>
        <row r="2834">
          <cell r="P2834">
            <v>0</v>
          </cell>
        </row>
        <row r="2835">
          <cell r="P2835">
            <v>0</v>
          </cell>
        </row>
        <row r="2836">
          <cell r="P2836">
            <v>0</v>
          </cell>
        </row>
        <row r="2837">
          <cell r="P2837">
            <v>0</v>
          </cell>
        </row>
        <row r="2838">
          <cell r="P2838">
            <v>0</v>
          </cell>
        </row>
        <row r="2839">
          <cell r="P2839">
            <v>0</v>
          </cell>
        </row>
        <row r="2840">
          <cell r="P2840">
            <v>0</v>
          </cell>
        </row>
        <row r="2841">
          <cell r="P2841">
            <v>0</v>
          </cell>
        </row>
        <row r="2842">
          <cell r="P2842">
            <v>0</v>
          </cell>
        </row>
        <row r="2843">
          <cell r="P2843">
            <v>0</v>
          </cell>
        </row>
        <row r="2844">
          <cell r="P2844">
            <v>0</v>
          </cell>
        </row>
        <row r="2845">
          <cell r="P2845">
            <v>0</v>
          </cell>
        </row>
        <row r="2846">
          <cell r="P2846">
            <v>0</v>
          </cell>
        </row>
        <row r="2847">
          <cell r="P2847">
            <v>0</v>
          </cell>
        </row>
        <row r="2848">
          <cell r="P2848">
            <v>0</v>
          </cell>
        </row>
        <row r="2849">
          <cell r="P2849">
            <v>0</v>
          </cell>
        </row>
        <row r="2850">
          <cell r="P2850">
            <v>0</v>
          </cell>
        </row>
        <row r="2851">
          <cell r="P2851">
            <v>0</v>
          </cell>
        </row>
        <row r="2852">
          <cell r="P2852">
            <v>0</v>
          </cell>
        </row>
        <row r="2853">
          <cell r="P2853">
            <v>0</v>
          </cell>
        </row>
        <row r="2854">
          <cell r="P2854">
            <v>0</v>
          </cell>
        </row>
        <row r="2855">
          <cell r="P2855">
            <v>0</v>
          </cell>
        </row>
        <row r="2856">
          <cell r="P2856">
            <v>0</v>
          </cell>
        </row>
        <row r="2857">
          <cell r="P2857">
            <v>0</v>
          </cell>
        </row>
        <row r="2858">
          <cell r="P2858">
            <v>0</v>
          </cell>
        </row>
        <row r="2859">
          <cell r="P2859">
            <v>0</v>
          </cell>
        </row>
        <row r="2860">
          <cell r="P2860">
            <v>0</v>
          </cell>
        </row>
        <row r="2861">
          <cell r="P2861">
            <v>0</v>
          </cell>
        </row>
        <row r="2862">
          <cell r="P2862">
            <v>0</v>
          </cell>
        </row>
        <row r="2863">
          <cell r="P2863">
            <v>0</v>
          </cell>
        </row>
        <row r="2864">
          <cell r="P2864">
            <v>0</v>
          </cell>
        </row>
        <row r="2865">
          <cell r="P2865">
            <v>0</v>
          </cell>
        </row>
        <row r="2866">
          <cell r="P2866">
            <v>0</v>
          </cell>
        </row>
        <row r="2867">
          <cell r="P2867">
            <v>0</v>
          </cell>
        </row>
        <row r="2868">
          <cell r="P2868">
            <v>0</v>
          </cell>
        </row>
        <row r="2869">
          <cell r="P2869">
            <v>0</v>
          </cell>
        </row>
        <row r="2870">
          <cell r="P2870">
            <v>0</v>
          </cell>
        </row>
        <row r="2871">
          <cell r="P2871">
            <v>0</v>
          </cell>
        </row>
        <row r="2872">
          <cell r="P2872">
            <v>0</v>
          </cell>
        </row>
        <row r="2873">
          <cell r="P2873">
            <v>0</v>
          </cell>
        </row>
        <row r="2874">
          <cell r="P2874">
            <v>0</v>
          </cell>
        </row>
        <row r="2875">
          <cell r="P2875">
            <v>0</v>
          </cell>
        </row>
        <row r="2876">
          <cell r="P2876">
            <v>0</v>
          </cell>
        </row>
        <row r="2877">
          <cell r="P2877">
            <v>0</v>
          </cell>
        </row>
        <row r="2878">
          <cell r="P2878">
            <v>0</v>
          </cell>
        </row>
        <row r="2879">
          <cell r="P2879">
            <v>0</v>
          </cell>
        </row>
        <row r="2880">
          <cell r="P2880">
            <v>0</v>
          </cell>
        </row>
        <row r="2881">
          <cell r="P2881">
            <v>0</v>
          </cell>
        </row>
        <row r="2882">
          <cell r="P2882">
            <v>0</v>
          </cell>
        </row>
        <row r="2883">
          <cell r="P2883">
            <v>0</v>
          </cell>
        </row>
        <row r="2884">
          <cell r="P2884">
            <v>0</v>
          </cell>
        </row>
        <row r="2885">
          <cell r="P2885">
            <v>0</v>
          </cell>
        </row>
        <row r="2886">
          <cell r="P2886">
            <v>0</v>
          </cell>
        </row>
        <row r="2887">
          <cell r="P2887">
            <v>0</v>
          </cell>
        </row>
        <row r="2888">
          <cell r="P2888">
            <v>0</v>
          </cell>
        </row>
        <row r="2889">
          <cell r="P2889">
            <v>0</v>
          </cell>
        </row>
        <row r="2890">
          <cell r="P2890">
            <v>0</v>
          </cell>
        </row>
        <row r="2891">
          <cell r="P2891">
            <v>0</v>
          </cell>
        </row>
        <row r="2892">
          <cell r="P2892">
            <v>0</v>
          </cell>
        </row>
        <row r="2893">
          <cell r="P2893">
            <v>0</v>
          </cell>
        </row>
        <row r="2894">
          <cell r="P2894">
            <v>0</v>
          </cell>
        </row>
        <row r="2895">
          <cell r="P2895">
            <v>0</v>
          </cell>
        </row>
        <row r="2896">
          <cell r="P2896">
            <v>0</v>
          </cell>
        </row>
        <row r="2897">
          <cell r="P2897">
            <v>0</v>
          </cell>
        </row>
        <row r="2898">
          <cell r="P2898">
            <v>0</v>
          </cell>
        </row>
        <row r="2899">
          <cell r="P2899">
            <v>0</v>
          </cell>
        </row>
        <row r="2900">
          <cell r="P2900">
            <v>0</v>
          </cell>
        </row>
        <row r="2901">
          <cell r="P2901">
            <v>0</v>
          </cell>
        </row>
        <row r="2902">
          <cell r="P2902">
            <v>0</v>
          </cell>
        </row>
        <row r="2903">
          <cell r="P2903">
            <v>0</v>
          </cell>
        </row>
        <row r="2904">
          <cell r="P2904">
            <v>0</v>
          </cell>
        </row>
        <row r="2905">
          <cell r="P2905">
            <v>0</v>
          </cell>
        </row>
        <row r="2906">
          <cell r="P2906">
            <v>0</v>
          </cell>
        </row>
        <row r="2907">
          <cell r="P2907">
            <v>0</v>
          </cell>
        </row>
        <row r="2908">
          <cell r="P2908">
            <v>0</v>
          </cell>
        </row>
        <row r="2909">
          <cell r="P2909">
            <v>0</v>
          </cell>
        </row>
        <row r="2910">
          <cell r="P2910">
            <v>0</v>
          </cell>
        </row>
        <row r="2911">
          <cell r="P2911">
            <v>0</v>
          </cell>
        </row>
        <row r="2912">
          <cell r="P2912">
            <v>0</v>
          </cell>
        </row>
        <row r="2913">
          <cell r="P2913">
            <v>0</v>
          </cell>
        </row>
        <row r="2914">
          <cell r="P2914">
            <v>0</v>
          </cell>
        </row>
        <row r="2915">
          <cell r="P2915">
            <v>0</v>
          </cell>
        </row>
        <row r="2916">
          <cell r="P2916">
            <v>0</v>
          </cell>
        </row>
        <row r="2917">
          <cell r="P2917">
            <v>0</v>
          </cell>
        </row>
        <row r="2918">
          <cell r="P2918">
            <v>0</v>
          </cell>
        </row>
        <row r="2919">
          <cell r="P2919">
            <v>0</v>
          </cell>
        </row>
        <row r="2920">
          <cell r="P2920">
            <v>0</v>
          </cell>
        </row>
        <row r="2921">
          <cell r="P2921">
            <v>0</v>
          </cell>
        </row>
        <row r="2922">
          <cell r="P2922">
            <v>0</v>
          </cell>
        </row>
        <row r="2923">
          <cell r="P2923">
            <v>0</v>
          </cell>
        </row>
        <row r="2924">
          <cell r="P2924">
            <v>0</v>
          </cell>
        </row>
        <row r="2925">
          <cell r="P2925">
            <v>0</v>
          </cell>
        </row>
        <row r="2926">
          <cell r="P2926">
            <v>0</v>
          </cell>
        </row>
        <row r="2927">
          <cell r="P2927">
            <v>0</v>
          </cell>
        </row>
        <row r="2928">
          <cell r="P2928">
            <v>0</v>
          </cell>
        </row>
        <row r="2929">
          <cell r="P2929">
            <v>0</v>
          </cell>
        </row>
        <row r="2930">
          <cell r="P2930">
            <v>0</v>
          </cell>
        </row>
        <row r="2931">
          <cell r="P2931">
            <v>0</v>
          </cell>
        </row>
        <row r="2932">
          <cell r="P2932">
            <v>0</v>
          </cell>
        </row>
        <row r="2933">
          <cell r="P2933">
            <v>0</v>
          </cell>
        </row>
        <row r="2934">
          <cell r="P2934">
            <v>0</v>
          </cell>
        </row>
        <row r="2935">
          <cell r="P2935">
            <v>0</v>
          </cell>
        </row>
        <row r="2936">
          <cell r="P2936">
            <v>0</v>
          </cell>
        </row>
        <row r="2937">
          <cell r="P2937">
            <v>0</v>
          </cell>
        </row>
        <row r="2938">
          <cell r="P2938">
            <v>0</v>
          </cell>
        </row>
        <row r="2939">
          <cell r="P2939">
            <v>0</v>
          </cell>
        </row>
        <row r="2940">
          <cell r="P2940">
            <v>0</v>
          </cell>
        </row>
        <row r="2941">
          <cell r="P2941">
            <v>0</v>
          </cell>
        </row>
        <row r="2942">
          <cell r="P2942">
            <v>0</v>
          </cell>
        </row>
        <row r="2943">
          <cell r="P2943">
            <v>0</v>
          </cell>
        </row>
        <row r="2944">
          <cell r="P2944">
            <v>0</v>
          </cell>
        </row>
        <row r="2945">
          <cell r="P2945">
            <v>0</v>
          </cell>
        </row>
        <row r="2946">
          <cell r="P2946">
            <v>0</v>
          </cell>
        </row>
        <row r="2947">
          <cell r="P2947">
            <v>0</v>
          </cell>
        </row>
        <row r="2948">
          <cell r="P2948">
            <v>0</v>
          </cell>
        </row>
        <row r="2949">
          <cell r="P2949">
            <v>0</v>
          </cell>
        </row>
        <row r="2950">
          <cell r="P2950">
            <v>0</v>
          </cell>
        </row>
        <row r="2951">
          <cell r="P2951">
            <v>0</v>
          </cell>
        </row>
        <row r="2952">
          <cell r="P2952">
            <v>0</v>
          </cell>
        </row>
        <row r="2953">
          <cell r="P2953">
            <v>0</v>
          </cell>
        </row>
        <row r="2954">
          <cell r="P2954">
            <v>0</v>
          </cell>
        </row>
        <row r="2955">
          <cell r="P2955">
            <v>0</v>
          </cell>
        </row>
        <row r="2956">
          <cell r="P2956">
            <v>0</v>
          </cell>
        </row>
        <row r="2957">
          <cell r="P2957">
            <v>0</v>
          </cell>
        </row>
        <row r="2958">
          <cell r="P2958">
            <v>0</v>
          </cell>
        </row>
        <row r="2959">
          <cell r="P2959">
            <v>0</v>
          </cell>
        </row>
        <row r="2960">
          <cell r="P2960">
            <v>0</v>
          </cell>
        </row>
        <row r="2961">
          <cell r="P2961">
            <v>0</v>
          </cell>
        </row>
        <row r="2962">
          <cell r="P2962">
            <v>0</v>
          </cell>
        </row>
        <row r="2963">
          <cell r="P2963">
            <v>0</v>
          </cell>
        </row>
        <row r="2964">
          <cell r="P2964">
            <v>0</v>
          </cell>
        </row>
        <row r="2965">
          <cell r="P2965">
            <v>0</v>
          </cell>
        </row>
        <row r="2966">
          <cell r="P2966">
            <v>0</v>
          </cell>
        </row>
        <row r="2967">
          <cell r="P2967">
            <v>0</v>
          </cell>
        </row>
        <row r="2968">
          <cell r="P2968">
            <v>0</v>
          </cell>
        </row>
        <row r="2969">
          <cell r="P2969">
            <v>0</v>
          </cell>
        </row>
        <row r="2970">
          <cell r="P2970">
            <v>0</v>
          </cell>
        </row>
        <row r="2971">
          <cell r="P2971">
            <v>0</v>
          </cell>
        </row>
        <row r="2972">
          <cell r="P2972">
            <v>0</v>
          </cell>
        </row>
        <row r="2973">
          <cell r="P2973">
            <v>0</v>
          </cell>
        </row>
        <row r="2974">
          <cell r="P2974">
            <v>0</v>
          </cell>
        </row>
        <row r="2975">
          <cell r="P2975">
            <v>0</v>
          </cell>
        </row>
        <row r="2976">
          <cell r="P2976">
            <v>0</v>
          </cell>
        </row>
        <row r="2977">
          <cell r="P2977">
            <v>0</v>
          </cell>
        </row>
        <row r="2978">
          <cell r="P2978">
            <v>0</v>
          </cell>
        </row>
        <row r="2979">
          <cell r="P2979">
            <v>0</v>
          </cell>
        </row>
        <row r="2980">
          <cell r="P2980">
            <v>0</v>
          </cell>
        </row>
        <row r="2981">
          <cell r="P2981">
            <v>0</v>
          </cell>
        </row>
        <row r="2982">
          <cell r="P2982">
            <v>0</v>
          </cell>
        </row>
        <row r="2983">
          <cell r="P2983">
            <v>0</v>
          </cell>
        </row>
        <row r="2984">
          <cell r="P2984">
            <v>0</v>
          </cell>
        </row>
        <row r="2985">
          <cell r="P2985">
            <v>0</v>
          </cell>
        </row>
        <row r="2986">
          <cell r="P2986">
            <v>0</v>
          </cell>
        </row>
        <row r="2987">
          <cell r="P2987">
            <v>0</v>
          </cell>
        </row>
        <row r="2988">
          <cell r="P2988">
            <v>0</v>
          </cell>
        </row>
        <row r="2989">
          <cell r="P2989">
            <v>0</v>
          </cell>
        </row>
        <row r="2990">
          <cell r="P2990">
            <v>0</v>
          </cell>
        </row>
        <row r="2991">
          <cell r="P2991">
            <v>0</v>
          </cell>
        </row>
        <row r="2992">
          <cell r="P2992">
            <v>0</v>
          </cell>
        </row>
        <row r="2993">
          <cell r="P2993">
            <v>0</v>
          </cell>
        </row>
        <row r="2994">
          <cell r="P2994">
            <v>0</v>
          </cell>
        </row>
        <row r="2995">
          <cell r="P2995">
            <v>0</v>
          </cell>
        </row>
        <row r="2996">
          <cell r="P2996">
            <v>0</v>
          </cell>
        </row>
        <row r="2997">
          <cell r="P2997">
            <v>0</v>
          </cell>
        </row>
        <row r="2998">
          <cell r="P2998">
            <v>0</v>
          </cell>
        </row>
        <row r="2999">
          <cell r="P2999">
            <v>0</v>
          </cell>
        </row>
        <row r="3000">
          <cell r="P3000">
            <v>0</v>
          </cell>
        </row>
        <row r="3001">
          <cell r="P3001">
            <v>0</v>
          </cell>
        </row>
        <row r="3002">
          <cell r="P3002">
            <v>0</v>
          </cell>
        </row>
        <row r="3003">
          <cell r="P3003">
            <v>0</v>
          </cell>
        </row>
        <row r="3004">
          <cell r="P3004">
            <v>0</v>
          </cell>
        </row>
        <row r="3005">
          <cell r="P3005">
            <v>0</v>
          </cell>
        </row>
        <row r="3006">
          <cell r="P3006">
            <v>0</v>
          </cell>
        </row>
        <row r="3007">
          <cell r="P3007">
            <v>0</v>
          </cell>
        </row>
        <row r="3008">
          <cell r="P3008">
            <v>0</v>
          </cell>
        </row>
        <row r="3009">
          <cell r="P3009">
            <v>0</v>
          </cell>
        </row>
        <row r="3010">
          <cell r="P3010">
            <v>0</v>
          </cell>
        </row>
        <row r="3011">
          <cell r="P3011">
            <v>0</v>
          </cell>
        </row>
        <row r="3012">
          <cell r="P3012">
            <v>0</v>
          </cell>
        </row>
        <row r="3013">
          <cell r="P3013">
            <v>0</v>
          </cell>
        </row>
        <row r="3014">
          <cell r="P3014">
            <v>0</v>
          </cell>
        </row>
        <row r="3015">
          <cell r="P3015">
            <v>0</v>
          </cell>
        </row>
        <row r="3016">
          <cell r="P3016">
            <v>0</v>
          </cell>
        </row>
        <row r="3017">
          <cell r="P3017">
            <v>0</v>
          </cell>
        </row>
        <row r="3018">
          <cell r="P3018">
            <v>0</v>
          </cell>
        </row>
        <row r="3019">
          <cell r="P3019">
            <v>0</v>
          </cell>
        </row>
        <row r="3020">
          <cell r="P3020">
            <v>182.4</v>
          </cell>
        </row>
        <row r="3021">
          <cell r="P3021">
            <v>216.44800000000001</v>
          </cell>
        </row>
        <row r="3022">
          <cell r="P3022">
            <v>4864</v>
          </cell>
        </row>
        <row r="3023">
          <cell r="P3023">
            <v>3161.6000000000004</v>
          </cell>
        </row>
        <row r="3024">
          <cell r="P3024">
            <v>0</v>
          </cell>
        </row>
        <row r="3025">
          <cell r="P3025">
            <v>0</v>
          </cell>
        </row>
        <row r="3026">
          <cell r="P3026">
            <v>0</v>
          </cell>
        </row>
        <row r="3027">
          <cell r="P3027">
            <v>0</v>
          </cell>
        </row>
        <row r="3028">
          <cell r="P3028">
            <v>0</v>
          </cell>
        </row>
        <row r="3029">
          <cell r="P3029">
            <v>0</v>
          </cell>
        </row>
        <row r="3030">
          <cell r="P3030">
            <v>0</v>
          </cell>
        </row>
        <row r="3031">
          <cell r="P3031">
            <v>0</v>
          </cell>
        </row>
        <row r="3032">
          <cell r="P3032">
            <v>0</v>
          </cell>
        </row>
        <row r="3033">
          <cell r="P3033">
            <v>0</v>
          </cell>
        </row>
        <row r="3034">
          <cell r="P3034">
            <v>0</v>
          </cell>
        </row>
        <row r="3035">
          <cell r="P3035">
            <v>0</v>
          </cell>
        </row>
        <row r="3036">
          <cell r="P3036">
            <v>0</v>
          </cell>
        </row>
        <row r="3037">
          <cell r="P3037">
            <v>0</v>
          </cell>
        </row>
        <row r="3038">
          <cell r="P3038">
            <v>0</v>
          </cell>
        </row>
        <row r="3039">
          <cell r="P3039">
            <v>0</v>
          </cell>
        </row>
        <row r="3040">
          <cell r="P3040">
            <v>0</v>
          </cell>
        </row>
        <row r="3041">
          <cell r="P3041">
            <v>0</v>
          </cell>
        </row>
        <row r="3042">
          <cell r="P3042">
            <v>0</v>
          </cell>
        </row>
        <row r="3043">
          <cell r="P3043">
            <v>0</v>
          </cell>
        </row>
        <row r="3044">
          <cell r="P3044">
            <v>0</v>
          </cell>
        </row>
        <row r="3045">
          <cell r="P3045">
            <v>0</v>
          </cell>
        </row>
        <row r="3046">
          <cell r="P3046">
            <v>0</v>
          </cell>
        </row>
        <row r="3047">
          <cell r="P3047">
            <v>0</v>
          </cell>
        </row>
        <row r="3048">
          <cell r="P3048">
            <v>0</v>
          </cell>
        </row>
        <row r="3049">
          <cell r="P3049">
            <v>0</v>
          </cell>
        </row>
        <row r="3050">
          <cell r="P3050">
            <v>0</v>
          </cell>
        </row>
        <row r="3051">
          <cell r="P3051">
            <v>0</v>
          </cell>
        </row>
        <row r="3052">
          <cell r="P3052">
            <v>0</v>
          </cell>
        </row>
        <row r="3053">
          <cell r="P3053">
            <v>0</v>
          </cell>
        </row>
        <row r="3054">
          <cell r="P3054">
            <v>0</v>
          </cell>
        </row>
        <row r="3055">
          <cell r="P3055">
            <v>0</v>
          </cell>
        </row>
        <row r="3056">
          <cell r="P3056">
            <v>0</v>
          </cell>
        </row>
        <row r="3057">
          <cell r="P3057">
            <v>0</v>
          </cell>
        </row>
        <row r="3058">
          <cell r="P3058">
            <v>0</v>
          </cell>
        </row>
        <row r="3059">
          <cell r="P3059">
            <v>0</v>
          </cell>
        </row>
        <row r="3060">
          <cell r="P3060">
            <v>0</v>
          </cell>
        </row>
        <row r="3061">
          <cell r="P3061">
            <v>0</v>
          </cell>
        </row>
        <row r="3062">
          <cell r="P3062">
            <v>0</v>
          </cell>
        </row>
        <row r="3063">
          <cell r="P3063">
            <v>0</v>
          </cell>
        </row>
        <row r="3064">
          <cell r="P3064">
            <v>0</v>
          </cell>
        </row>
        <row r="3065">
          <cell r="P3065">
            <v>0</v>
          </cell>
        </row>
        <row r="3066">
          <cell r="P3066">
            <v>0</v>
          </cell>
        </row>
        <row r="3067">
          <cell r="P3067">
            <v>0</v>
          </cell>
        </row>
        <row r="3068">
          <cell r="P3068">
            <v>0</v>
          </cell>
        </row>
        <row r="3069">
          <cell r="P3069">
            <v>0</v>
          </cell>
        </row>
        <row r="3070">
          <cell r="P3070">
            <v>0</v>
          </cell>
        </row>
        <row r="3071">
          <cell r="P3071">
            <v>0</v>
          </cell>
        </row>
        <row r="3072">
          <cell r="P3072">
            <v>0</v>
          </cell>
        </row>
        <row r="3073">
          <cell r="P3073">
            <v>0</v>
          </cell>
        </row>
        <row r="3074">
          <cell r="P3074">
            <v>0</v>
          </cell>
        </row>
        <row r="3075">
          <cell r="P3075">
            <v>0</v>
          </cell>
        </row>
        <row r="3076">
          <cell r="P3076">
            <v>0</v>
          </cell>
        </row>
        <row r="3077">
          <cell r="P3077">
            <v>0</v>
          </cell>
        </row>
        <row r="3078">
          <cell r="P3078">
            <v>0</v>
          </cell>
        </row>
        <row r="3079">
          <cell r="P3079">
            <v>0</v>
          </cell>
        </row>
        <row r="3080">
          <cell r="P3080">
            <v>0</v>
          </cell>
        </row>
        <row r="3081">
          <cell r="P3081">
            <v>0</v>
          </cell>
        </row>
        <row r="3082">
          <cell r="P3082">
            <v>0</v>
          </cell>
        </row>
        <row r="3083">
          <cell r="P3083">
            <v>0</v>
          </cell>
        </row>
        <row r="3084">
          <cell r="P3084">
            <v>0</v>
          </cell>
        </row>
        <row r="3085">
          <cell r="P3085">
            <v>0</v>
          </cell>
        </row>
        <row r="3086">
          <cell r="P3086">
            <v>0</v>
          </cell>
        </row>
        <row r="3087">
          <cell r="P3087">
            <v>0</v>
          </cell>
        </row>
        <row r="3088">
          <cell r="P3088">
            <v>0</v>
          </cell>
        </row>
        <row r="3089">
          <cell r="P3089">
            <v>0</v>
          </cell>
        </row>
        <row r="3090">
          <cell r="P3090">
            <v>0</v>
          </cell>
        </row>
        <row r="3091">
          <cell r="P3091">
            <v>0</v>
          </cell>
        </row>
        <row r="3092">
          <cell r="P3092">
            <v>0</v>
          </cell>
        </row>
        <row r="3093">
          <cell r="P3093">
            <v>0</v>
          </cell>
        </row>
        <row r="3094">
          <cell r="P3094">
            <v>0</v>
          </cell>
        </row>
        <row r="3095">
          <cell r="P3095">
            <v>0</v>
          </cell>
        </row>
        <row r="3096">
          <cell r="P3096">
            <v>0</v>
          </cell>
        </row>
        <row r="3097">
          <cell r="P3097">
            <v>0</v>
          </cell>
        </row>
        <row r="3098">
          <cell r="P3098">
            <v>0</v>
          </cell>
        </row>
        <row r="3099">
          <cell r="P3099">
            <v>0</v>
          </cell>
        </row>
        <row r="3100">
          <cell r="P3100">
            <v>0</v>
          </cell>
        </row>
        <row r="3101">
          <cell r="P3101">
            <v>0</v>
          </cell>
        </row>
        <row r="3102">
          <cell r="P3102">
            <v>0</v>
          </cell>
        </row>
        <row r="3103">
          <cell r="P3103">
            <v>0</v>
          </cell>
        </row>
        <row r="3104">
          <cell r="P3104">
            <v>0</v>
          </cell>
        </row>
        <row r="3105">
          <cell r="P3105">
            <v>0</v>
          </cell>
        </row>
        <row r="3106">
          <cell r="P3106">
            <v>0</v>
          </cell>
        </row>
        <row r="3107">
          <cell r="P3107">
            <v>52.895999999999994</v>
          </cell>
        </row>
        <row r="3108">
          <cell r="P3108">
            <v>75.214399999999998</v>
          </cell>
        </row>
        <row r="3109">
          <cell r="P3109">
            <v>4.6638032000000003</v>
          </cell>
        </row>
        <row r="3110">
          <cell r="P3110">
            <v>140.1015984</v>
          </cell>
        </row>
        <row r="3111">
          <cell r="P3111">
            <v>2.0713192</v>
          </cell>
        </row>
        <row r="3112">
          <cell r="P3112">
            <v>1107.104</v>
          </cell>
        </row>
        <row r="3113">
          <cell r="P3113">
            <v>56.839999999999996</v>
          </cell>
        </row>
        <row r="3114">
          <cell r="P3114">
            <v>580</v>
          </cell>
        </row>
        <row r="3115">
          <cell r="P3115">
            <v>0</v>
          </cell>
        </row>
        <row r="3116">
          <cell r="P3116">
            <v>0</v>
          </cell>
        </row>
        <row r="3117">
          <cell r="P3117">
            <v>0</v>
          </cell>
        </row>
        <row r="3118">
          <cell r="P3118">
            <v>0</v>
          </cell>
        </row>
        <row r="3119">
          <cell r="P3119">
            <v>0</v>
          </cell>
        </row>
        <row r="3120">
          <cell r="P3120">
            <v>0</v>
          </cell>
        </row>
        <row r="3121">
          <cell r="P3121">
            <v>0</v>
          </cell>
        </row>
        <row r="3122">
          <cell r="P3122">
            <v>0</v>
          </cell>
        </row>
        <row r="3123">
          <cell r="P3123">
            <v>0</v>
          </cell>
        </row>
        <row r="3124">
          <cell r="P3124">
            <v>0</v>
          </cell>
        </row>
        <row r="3125">
          <cell r="P3125">
            <v>0</v>
          </cell>
        </row>
        <row r="3126">
          <cell r="P3126">
            <v>0</v>
          </cell>
        </row>
        <row r="3127">
          <cell r="P3127">
            <v>0</v>
          </cell>
        </row>
        <row r="3128">
          <cell r="P3128">
            <v>0</v>
          </cell>
        </row>
        <row r="3129">
          <cell r="P3129">
            <v>0</v>
          </cell>
        </row>
        <row r="3130">
          <cell r="P3130">
            <v>0</v>
          </cell>
        </row>
        <row r="3131">
          <cell r="P3131">
            <v>0</v>
          </cell>
        </row>
        <row r="3132">
          <cell r="P3132">
            <v>0</v>
          </cell>
        </row>
        <row r="3133">
          <cell r="P3133">
            <v>0</v>
          </cell>
        </row>
        <row r="3134">
          <cell r="P3134">
            <v>0</v>
          </cell>
        </row>
        <row r="3135">
          <cell r="P3135">
            <v>0</v>
          </cell>
        </row>
        <row r="3136">
          <cell r="P3136">
            <v>0</v>
          </cell>
        </row>
        <row r="3137">
          <cell r="P3137">
            <v>0</v>
          </cell>
        </row>
        <row r="3138">
          <cell r="P3138">
            <v>0</v>
          </cell>
        </row>
        <row r="3139">
          <cell r="P3139">
            <v>0</v>
          </cell>
        </row>
        <row r="3140">
          <cell r="P3140">
            <v>0</v>
          </cell>
        </row>
        <row r="3141">
          <cell r="P3141">
            <v>0</v>
          </cell>
        </row>
        <row r="3142">
          <cell r="P3142">
            <v>0</v>
          </cell>
        </row>
        <row r="3143">
          <cell r="P3143">
            <v>0</v>
          </cell>
        </row>
        <row r="3144">
          <cell r="P3144">
            <v>0</v>
          </cell>
        </row>
        <row r="3145">
          <cell r="P3145">
            <v>0</v>
          </cell>
        </row>
        <row r="3146">
          <cell r="P3146">
            <v>0</v>
          </cell>
        </row>
        <row r="3147">
          <cell r="P3147">
            <v>0</v>
          </cell>
        </row>
        <row r="3148">
          <cell r="P3148">
            <v>0</v>
          </cell>
        </row>
        <row r="3149">
          <cell r="P3149">
            <v>0</v>
          </cell>
        </row>
        <row r="3150">
          <cell r="P3150">
            <v>0</v>
          </cell>
        </row>
        <row r="3151">
          <cell r="P3151">
            <v>0</v>
          </cell>
        </row>
        <row r="3152">
          <cell r="P3152">
            <v>0</v>
          </cell>
        </row>
        <row r="3153">
          <cell r="P3153">
            <v>0</v>
          </cell>
        </row>
        <row r="3154">
          <cell r="P3154">
            <v>0</v>
          </cell>
        </row>
        <row r="3155">
          <cell r="P3155">
            <v>0</v>
          </cell>
        </row>
        <row r="3156">
          <cell r="P3156">
            <v>0</v>
          </cell>
        </row>
        <row r="3157">
          <cell r="P3157">
            <v>0</v>
          </cell>
        </row>
        <row r="3158">
          <cell r="P3158">
            <v>0</v>
          </cell>
        </row>
        <row r="3159">
          <cell r="P3159">
            <v>0</v>
          </cell>
        </row>
        <row r="3160">
          <cell r="P3160">
            <v>0</v>
          </cell>
        </row>
        <row r="3161">
          <cell r="P3161">
            <v>0</v>
          </cell>
        </row>
        <row r="3162">
          <cell r="P3162">
            <v>0</v>
          </cell>
        </row>
        <row r="3163">
          <cell r="P3163">
            <v>0</v>
          </cell>
        </row>
        <row r="3164">
          <cell r="P3164">
            <v>0</v>
          </cell>
        </row>
        <row r="3165">
          <cell r="P3165">
            <v>0</v>
          </cell>
        </row>
        <row r="3166">
          <cell r="P3166">
            <v>0</v>
          </cell>
        </row>
        <row r="3167">
          <cell r="P3167">
            <v>0</v>
          </cell>
        </row>
        <row r="3168">
          <cell r="P3168">
            <v>0</v>
          </cell>
        </row>
        <row r="3169">
          <cell r="P3169">
            <v>0</v>
          </cell>
        </row>
        <row r="3170">
          <cell r="P3170">
            <v>0</v>
          </cell>
        </row>
        <row r="3171">
          <cell r="P3171">
            <v>0</v>
          </cell>
        </row>
        <row r="3172">
          <cell r="P3172">
            <v>0</v>
          </cell>
        </row>
        <row r="3173">
          <cell r="P3173">
            <v>0</v>
          </cell>
        </row>
        <row r="3174">
          <cell r="P3174">
            <v>0</v>
          </cell>
        </row>
        <row r="3175">
          <cell r="P3175">
            <v>0</v>
          </cell>
        </row>
        <row r="3176">
          <cell r="P3176">
            <v>0</v>
          </cell>
        </row>
        <row r="3177">
          <cell r="P3177">
            <v>0</v>
          </cell>
        </row>
        <row r="3178">
          <cell r="P3178">
            <v>0</v>
          </cell>
        </row>
        <row r="3179">
          <cell r="P3179">
            <v>0</v>
          </cell>
        </row>
        <row r="3180">
          <cell r="P3180">
            <v>0</v>
          </cell>
        </row>
        <row r="3181">
          <cell r="P3181">
            <v>0</v>
          </cell>
        </row>
        <row r="3182">
          <cell r="P3182">
            <v>0</v>
          </cell>
        </row>
        <row r="3183">
          <cell r="P3183">
            <v>0</v>
          </cell>
        </row>
        <row r="3184">
          <cell r="P3184">
            <v>0</v>
          </cell>
        </row>
        <row r="3185">
          <cell r="P3185">
            <v>0</v>
          </cell>
        </row>
        <row r="3186">
          <cell r="P3186">
            <v>0</v>
          </cell>
        </row>
        <row r="3187">
          <cell r="P3187">
            <v>0</v>
          </cell>
        </row>
        <row r="3188">
          <cell r="P3188">
            <v>0</v>
          </cell>
        </row>
        <row r="3189">
          <cell r="P3189">
            <v>0</v>
          </cell>
        </row>
        <row r="3190">
          <cell r="P3190">
            <v>0</v>
          </cell>
        </row>
        <row r="3191">
          <cell r="P3191">
            <v>0</v>
          </cell>
        </row>
        <row r="3192">
          <cell r="P3192">
            <v>0</v>
          </cell>
        </row>
        <row r="3193">
          <cell r="P3193">
            <v>0</v>
          </cell>
        </row>
        <row r="3194">
          <cell r="P3194">
            <v>0</v>
          </cell>
        </row>
        <row r="3195">
          <cell r="P3195">
            <v>0</v>
          </cell>
        </row>
        <row r="3196">
          <cell r="P3196">
            <v>0</v>
          </cell>
        </row>
        <row r="3197">
          <cell r="P3197">
            <v>0</v>
          </cell>
        </row>
        <row r="3198">
          <cell r="P3198">
            <v>0</v>
          </cell>
        </row>
        <row r="3199">
          <cell r="P3199">
            <v>0</v>
          </cell>
        </row>
        <row r="3200">
          <cell r="P3200">
            <v>0</v>
          </cell>
        </row>
        <row r="3201">
          <cell r="P3201">
            <v>0</v>
          </cell>
        </row>
        <row r="3202">
          <cell r="P3202">
            <v>0</v>
          </cell>
        </row>
        <row r="3203">
          <cell r="P3203">
            <v>0</v>
          </cell>
        </row>
        <row r="3204">
          <cell r="P3204">
            <v>0</v>
          </cell>
        </row>
        <row r="3205">
          <cell r="P3205">
            <v>0</v>
          </cell>
        </row>
        <row r="3206">
          <cell r="P3206">
            <v>0</v>
          </cell>
        </row>
        <row r="3207">
          <cell r="P3207">
            <v>0</v>
          </cell>
        </row>
        <row r="3208">
          <cell r="P3208">
            <v>0</v>
          </cell>
        </row>
        <row r="3209">
          <cell r="P3209">
            <v>0</v>
          </cell>
        </row>
        <row r="3210">
          <cell r="P3210">
            <v>0</v>
          </cell>
        </row>
        <row r="3211">
          <cell r="P3211">
            <v>0</v>
          </cell>
        </row>
        <row r="3212">
          <cell r="P3212">
            <v>0</v>
          </cell>
        </row>
        <row r="3213">
          <cell r="P3213">
            <v>0</v>
          </cell>
        </row>
        <row r="3214">
          <cell r="P3214">
            <v>0</v>
          </cell>
        </row>
        <row r="3215">
          <cell r="P3215">
            <v>0</v>
          </cell>
        </row>
        <row r="3216">
          <cell r="P3216">
            <v>0</v>
          </cell>
        </row>
        <row r="3217">
          <cell r="P3217">
            <v>0</v>
          </cell>
        </row>
        <row r="3218">
          <cell r="P3218">
            <v>0</v>
          </cell>
        </row>
        <row r="3219">
          <cell r="P3219">
            <v>0</v>
          </cell>
        </row>
        <row r="3220">
          <cell r="P3220">
            <v>0</v>
          </cell>
        </row>
        <row r="3221">
          <cell r="P3221">
            <v>0</v>
          </cell>
        </row>
        <row r="3222">
          <cell r="P3222">
            <v>0</v>
          </cell>
        </row>
        <row r="3223">
          <cell r="P3223">
            <v>0</v>
          </cell>
        </row>
        <row r="3224">
          <cell r="P3224">
            <v>0</v>
          </cell>
        </row>
        <row r="3225">
          <cell r="P3225">
            <v>0</v>
          </cell>
        </row>
        <row r="3226">
          <cell r="P3226">
            <v>0</v>
          </cell>
        </row>
        <row r="3227">
          <cell r="P3227">
            <v>0</v>
          </cell>
        </row>
        <row r="3228">
          <cell r="P3228">
            <v>0</v>
          </cell>
        </row>
        <row r="3229">
          <cell r="P3229">
            <v>0</v>
          </cell>
        </row>
        <row r="3230">
          <cell r="P3230">
            <v>0</v>
          </cell>
        </row>
        <row r="3231">
          <cell r="P3231">
            <v>0</v>
          </cell>
        </row>
        <row r="3232">
          <cell r="P3232">
            <v>0</v>
          </cell>
        </row>
        <row r="3233">
          <cell r="P3233">
            <v>0</v>
          </cell>
        </row>
        <row r="3234">
          <cell r="P3234">
            <v>0</v>
          </cell>
        </row>
        <row r="3235">
          <cell r="P3235">
            <v>0</v>
          </cell>
        </row>
        <row r="3236">
          <cell r="P3236">
            <v>0</v>
          </cell>
        </row>
        <row r="3237">
          <cell r="P3237">
            <v>0</v>
          </cell>
        </row>
        <row r="3238">
          <cell r="P3238">
            <v>0</v>
          </cell>
        </row>
        <row r="3239">
          <cell r="P3239">
            <v>0</v>
          </cell>
        </row>
        <row r="3240">
          <cell r="P3240">
            <v>0</v>
          </cell>
        </row>
        <row r="3241">
          <cell r="P3241">
            <v>0</v>
          </cell>
        </row>
        <row r="3242">
          <cell r="P3242">
            <v>0</v>
          </cell>
        </row>
        <row r="3243">
          <cell r="P3243">
            <v>0</v>
          </cell>
        </row>
        <row r="3244">
          <cell r="P3244">
            <v>0</v>
          </cell>
        </row>
        <row r="3245">
          <cell r="P3245">
            <v>0</v>
          </cell>
        </row>
        <row r="3246">
          <cell r="P3246">
            <v>0</v>
          </cell>
        </row>
        <row r="3247">
          <cell r="P3247">
            <v>0</v>
          </cell>
        </row>
        <row r="3248">
          <cell r="P3248">
            <v>0</v>
          </cell>
        </row>
        <row r="3249">
          <cell r="P3249">
            <v>0</v>
          </cell>
        </row>
        <row r="3250">
          <cell r="P3250">
            <v>0</v>
          </cell>
        </row>
        <row r="3251">
          <cell r="P3251">
            <v>0</v>
          </cell>
        </row>
        <row r="3252">
          <cell r="P3252">
            <v>0</v>
          </cell>
        </row>
        <row r="3253">
          <cell r="P3253">
            <v>0</v>
          </cell>
        </row>
        <row r="3254">
          <cell r="P3254">
            <v>0</v>
          </cell>
        </row>
        <row r="3255">
          <cell r="P3255">
            <v>0</v>
          </cell>
        </row>
        <row r="3256">
          <cell r="P3256">
            <v>0</v>
          </cell>
        </row>
        <row r="3257">
          <cell r="P3257">
            <v>0</v>
          </cell>
        </row>
        <row r="3258">
          <cell r="P3258">
            <v>0</v>
          </cell>
        </row>
        <row r="3259">
          <cell r="P3259">
            <v>0</v>
          </cell>
        </row>
        <row r="3260">
          <cell r="P3260">
            <v>0</v>
          </cell>
        </row>
        <row r="3261">
          <cell r="P3261">
            <v>0</v>
          </cell>
        </row>
        <row r="3262">
          <cell r="P3262">
            <v>0</v>
          </cell>
        </row>
        <row r="3263">
          <cell r="P3263">
            <v>0</v>
          </cell>
        </row>
        <row r="3264">
          <cell r="P3264">
            <v>0</v>
          </cell>
        </row>
        <row r="3265">
          <cell r="P3265">
            <v>0</v>
          </cell>
        </row>
        <row r="3266">
          <cell r="P3266">
            <v>0</v>
          </cell>
        </row>
        <row r="3267">
          <cell r="P3267">
            <v>0</v>
          </cell>
        </row>
        <row r="3268">
          <cell r="P3268">
            <v>0</v>
          </cell>
        </row>
        <row r="3269">
          <cell r="P3269">
            <v>0</v>
          </cell>
        </row>
        <row r="3270">
          <cell r="P3270">
            <v>0</v>
          </cell>
        </row>
        <row r="3271">
          <cell r="P3271">
            <v>0</v>
          </cell>
        </row>
        <row r="3272">
          <cell r="P3272">
            <v>0</v>
          </cell>
        </row>
        <row r="3273">
          <cell r="P3273">
            <v>0</v>
          </cell>
        </row>
        <row r="3274">
          <cell r="P3274">
            <v>0</v>
          </cell>
        </row>
        <row r="3275">
          <cell r="P3275">
            <v>0</v>
          </cell>
        </row>
        <row r="3276">
          <cell r="P3276">
            <v>0</v>
          </cell>
        </row>
        <row r="3277">
          <cell r="P3277">
            <v>0</v>
          </cell>
        </row>
        <row r="3278">
          <cell r="P3278">
            <v>0</v>
          </cell>
        </row>
        <row r="3279">
          <cell r="P3279">
            <v>0</v>
          </cell>
        </row>
        <row r="3280">
          <cell r="P3280">
            <v>0</v>
          </cell>
        </row>
        <row r="3281">
          <cell r="P3281">
            <v>0</v>
          </cell>
        </row>
        <row r="3282">
          <cell r="P3282">
            <v>0</v>
          </cell>
        </row>
        <row r="3283">
          <cell r="P3283">
            <v>0</v>
          </cell>
        </row>
        <row r="3284">
          <cell r="P3284">
            <v>0</v>
          </cell>
        </row>
        <row r="3285">
          <cell r="P3285">
            <v>0</v>
          </cell>
        </row>
        <row r="3286">
          <cell r="P3286">
            <v>0</v>
          </cell>
        </row>
        <row r="3287">
          <cell r="P3287">
            <v>0</v>
          </cell>
        </row>
        <row r="3288">
          <cell r="P3288">
            <v>0</v>
          </cell>
        </row>
        <row r="3289">
          <cell r="P3289">
            <v>0</v>
          </cell>
        </row>
        <row r="3290">
          <cell r="P3290">
            <v>0</v>
          </cell>
        </row>
        <row r="3291">
          <cell r="P3291">
            <v>0</v>
          </cell>
        </row>
        <row r="3292">
          <cell r="P3292">
            <v>0</v>
          </cell>
        </row>
        <row r="3293">
          <cell r="P3293">
            <v>0</v>
          </cell>
        </row>
        <row r="3294">
          <cell r="P3294">
            <v>0</v>
          </cell>
        </row>
        <row r="3295">
          <cell r="P3295">
            <v>0</v>
          </cell>
        </row>
        <row r="3296">
          <cell r="P3296">
            <v>0</v>
          </cell>
        </row>
        <row r="3297">
          <cell r="P3297">
            <v>0</v>
          </cell>
        </row>
        <row r="3298">
          <cell r="P3298">
            <v>0</v>
          </cell>
        </row>
        <row r="3299">
          <cell r="P3299">
            <v>0</v>
          </cell>
        </row>
        <row r="3300">
          <cell r="P3300">
            <v>0</v>
          </cell>
        </row>
        <row r="3301">
          <cell r="P3301">
            <v>0</v>
          </cell>
        </row>
        <row r="3302">
          <cell r="P3302">
            <v>0</v>
          </cell>
        </row>
        <row r="3303">
          <cell r="P3303">
            <v>0</v>
          </cell>
        </row>
        <row r="3304">
          <cell r="P3304">
            <v>0</v>
          </cell>
        </row>
        <row r="3305">
          <cell r="P3305">
            <v>0</v>
          </cell>
        </row>
        <row r="3306">
          <cell r="P3306">
            <v>0</v>
          </cell>
        </row>
        <row r="3307">
          <cell r="P3307">
            <v>0</v>
          </cell>
        </row>
        <row r="3308">
          <cell r="P3308">
            <v>0</v>
          </cell>
        </row>
        <row r="3309">
          <cell r="P3309">
            <v>0</v>
          </cell>
        </row>
        <row r="3310">
          <cell r="P3310">
            <v>0</v>
          </cell>
        </row>
        <row r="3311">
          <cell r="P3311">
            <v>0</v>
          </cell>
        </row>
        <row r="3312">
          <cell r="P3312">
            <v>0</v>
          </cell>
        </row>
        <row r="3313">
          <cell r="P3313">
            <v>0</v>
          </cell>
        </row>
        <row r="3314">
          <cell r="P3314">
            <v>0</v>
          </cell>
        </row>
        <row r="3315">
          <cell r="P3315">
            <v>0</v>
          </cell>
        </row>
        <row r="3316">
          <cell r="P3316">
            <v>0</v>
          </cell>
        </row>
        <row r="3317">
          <cell r="P3317">
            <v>0</v>
          </cell>
        </row>
        <row r="3318">
          <cell r="P3318">
            <v>0</v>
          </cell>
        </row>
        <row r="3319">
          <cell r="P3319">
            <v>0</v>
          </cell>
        </row>
        <row r="3320">
          <cell r="P3320">
            <v>0</v>
          </cell>
        </row>
        <row r="3321">
          <cell r="P3321">
            <v>0</v>
          </cell>
        </row>
        <row r="3322">
          <cell r="P3322">
            <v>0</v>
          </cell>
        </row>
        <row r="3323">
          <cell r="P3323">
            <v>0</v>
          </cell>
        </row>
        <row r="3324">
          <cell r="P3324">
            <v>0</v>
          </cell>
        </row>
        <row r="3325">
          <cell r="P3325">
            <v>0</v>
          </cell>
        </row>
        <row r="3326">
          <cell r="P3326">
            <v>0</v>
          </cell>
        </row>
        <row r="3327">
          <cell r="P3327">
            <v>0</v>
          </cell>
        </row>
        <row r="3328">
          <cell r="P3328">
            <v>0</v>
          </cell>
        </row>
        <row r="3329">
          <cell r="P3329">
            <v>0</v>
          </cell>
        </row>
        <row r="3330">
          <cell r="P3330">
            <v>0</v>
          </cell>
        </row>
        <row r="3331">
          <cell r="P3331">
            <v>0</v>
          </cell>
        </row>
        <row r="3332">
          <cell r="P3332">
            <v>0</v>
          </cell>
        </row>
        <row r="3333">
          <cell r="P3333">
            <v>0</v>
          </cell>
        </row>
        <row r="3334">
          <cell r="P3334">
            <v>0</v>
          </cell>
        </row>
        <row r="3335">
          <cell r="P3335">
            <v>0</v>
          </cell>
        </row>
        <row r="3336">
          <cell r="P3336">
            <v>0</v>
          </cell>
        </row>
        <row r="3337">
          <cell r="P3337">
            <v>0</v>
          </cell>
        </row>
        <row r="3338">
          <cell r="P3338">
            <v>0</v>
          </cell>
        </row>
        <row r="3339">
          <cell r="P3339">
            <v>0</v>
          </cell>
        </row>
        <row r="3340">
          <cell r="P3340">
            <v>0</v>
          </cell>
        </row>
        <row r="3341">
          <cell r="P3341">
            <v>0</v>
          </cell>
        </row>
        <row r="3342">
          <cell r="P3342">
            <v>0</v>
          </cell>
        </row>
        <row r="3343">
          <cell r="P3343">
            <v>0</v>
          </cell>
        </row>
        <row r="3344">
          <cell r="P3344">
            <v>0</v>
          </cell>
        </row>
        <row r="3345">
          <cell r="P3345">
            <v>0</v>
          </cell>
        </row>
        <row r="3346">
          <cell r="P3346">
            <v>0</v>
          </cell>
        </row>
        <row r="3347">
          <cell r="P3347">
            <v>0</v>
          </cell>
        </row>
        <row r="3348">
          <cell r="P3348">
            <v>0</v>
          </cell>
        </row>
        <row r="3349">
          <cell r="P3349">
            <v>0</v>
          </cell>
        </row>
        <row r="3350">
          <cell r="P3350">
            <v>0</v>
          </cell>
        </row>
        <row r="3351">
          <cell r="P3351">
            <v>0</v>
          </cell>
        </row>
        <row r="3352">
          <cell r="P3352">
            <v>0</v>
          </cell>
        </row>
        <row r="3353">
          <cell r="P3353">
            <v>0</v>
          </cell>
        </row>
        <row r="3354">
          <cell r="P3354">
            <v>0</v>
          </cell>
        </row>
        <row r="3355">
          <cell r="P3355">
            <v>0</v>
          </cell>
        </row>
        <row r="3356">
          <cell r="P3356">
            <v>0</v>
          </cell>
        </row>
        <row r="3357">
          <cell r="P3357">
            <v>0</v>
          </cell>
        </row>
        <row r="3358">
          <cell r="P3358">
            <v>0</v>
          </cell>
        </row>
        <row r="3359">
          <cell r="P3359">
            <v>0</v>
          </cell>
        </row>
        <row r="3360">
          <cell r="P3360">
            <v>0</v>
          </cell>
        </row>
        <row r="3361">
          <cell r="P3361">
            <v>1243.3500000000001</v>
          </cell>
        </row>
        <row r="3362">
          <cell r="P3362">
            <v>0</v>
          </cell>
        </row>
        <row r="3363">
          <cell r="P3363">
            <v>0</v>
          </cell>
        </row>
        <row r="3364">
          <cell r="P3364">
            <v>0</v>
          </cell>
        </row>
        <row r="3365">
          <cell r="P3365">
            <v>0</v>
          </cell>
        </row>
        <row r="3366">
          <cell r="P3366">
            <v>0</v>
          </cell>
        </row>
        <row r="3367">
          <cell r="P3367">
            <v>0</v>
          </cell>
        </row>
        <row r="3368">
          <cell r="P3368">
            <v>0</v>
          </cell>
        </row>
        <row r="3369">
          <cell r="P3369">
            <v>0</v>
          </cell>
        </row>
        <row r="3370">
          <cell r="P3370">
            <v>0</v>
          </cell>
        </row>
        <row r="3371">
          <cell r="P3371">
            <v>0</v>
          </cell>
        </row>
        <row r="3372">
          <cell r="P3372">
            <v>0</v>
          </cell>
        </row>
        <row r="3373">
          <cell r="P3373">
            <v>0</v>
          </cell>
        </row>
        <row r="3374">
          <cell r="P3374">
            <v>0</v>
          </cell>
        </row>
        <row r="3375">
          <cell r="P3375">
            <v>0</v>
          </cell>
        </row>
        <row r="3376">
          <cell r="P3376">
            <v>0</v>
          </cell>
        </row>
        <row r="3377">
          <cell r="P3377">
            <v>0</v>
          </cell>
        </row>
        <row r="3378">
          <cell r="P3378">
            <v>0</v>
          </cell>
        </row>
        <row r="3379">
          <cell r="P3379">
            <v>0</v>
          </cell>
        </row>
        <row r="3380">
          <cell r="P3380">
            <v>0</v>
          </cell>
        </row>
        <row r="3381">
          <cell r="P3381">
            <v>0</v>
          </cell>
        </row>
        <row r="3382">
          <cell r="P3382">
            <v>0</v>
          </cell>
        </row>
        <row r="3383">
          <cell r="P3383">
            <v>0</v>
          </cell>
        </row>
        <row r="3384">
          <cell r="P3384">
            <v>0</v>
          </cell>
        </row>
        <row r="3385">
          <cell r="P3385">
            <v>0</v>
          </cell>
        </row>
        <row r="3386">
          <cell r="P3386">
            <v>0</v>
          </cell>
        </row>
        <row r="3387">
          <cell r="P3387">
            <v>0</v>
          </cell>
        </row>
        <row r="3388">
          <cell r="P3388">
            <v>0</v>
          </cell>
        </row>
        <row r="3389">
          <cell r="P3389">
            <v>0</v>
          </cell>
        </row>
        <row r="3390">
          <cell r="P3390">
            <v>0</v>
          </cell>
        </row>
        <row r="3391">
          <cell r="P3391">
            <v>0</v>
          </cell>
        </row>
        <row r="3392">
          <cell r="P3392">
            <v>0</v>
          </cell>
        </row>
        <row r="3393">
          <cell r="P3393">
            <v>0</v>
          </cell>
        </row>
        <row r="3394">
          <cell r="P3394">
            <v>0</v>
          </cell>
        </row>
        <row r="3395">
          <cell r="P3395">
            <v>0</v>
          </cell>
        </row>
        <row r="3396">
          <cell r="P3396">
            <v>0</v>
          </cell>
        </row>
        <row r="3397">
          <cell r="P3397">
            <v>0</v>
          </cell>
        </row>
        <row r="3398">
          <cell r="P3398">
            <v>0</v>
          </cell>
        </row>
        <row r="3399">
          <cell r="P3399">
            <v>0</v>
          </cell>
        </row>
        <row r="3400">
          <cell r="P3400">
            <v>0</v>
          </cell>
        </row>
        <row r="3401">
          <cell r="P3401">
            <v>0</v>
          </cell>
        </row>
        <row r="3402">
          <cell r="P3402">
            <v>0</v>
          </cell>
        </row>
        <row r="3403">
          <cell r="P3403">
            <v>0</v>
          </cell>
        </row>
        <row r="3404">
          <cell r="P3404">
            <v>0</v>
          </cell>
        </row>
        <row r="3405">
          <cell r="P3405">
            <v>0</v>
          </cell>
        </row>
        <row r="3406">
          <cell r="P3406">
            <v>0</v>
          </cell>
        </row>
        <row r="3407">
          <cell r="P3407">
            <v>0</v>
          </cell>
        </row>
        <row r="3408">
          <cell r="P3408">
            <v>0</v>
          </cell>
        </row>
        <row r="3409">
          <cell r="P3409">
            <v>0</v>
          </cell>
        </row>
        <row r="3410">
          <cell r="P3410">
            <v>0</v>
          </cell>
        </row>
        <row r="3411">
          <cell r="P3411">
            <v>0</v>
          </cell>
        </row>
        <row r="3412">
          <cell r="P3412">
            <v>0</v>
          </cell>
        </row>
        <row r="3413">
          <cell r="P3413">
            <v>0</v>
          </cell>
        </row>
        <row r="3414">
          <cell r="P3414">
            <v>0</v>
          </cell>
        </row>
        <row r="3415">
          <cell r="P3415">
            <v>0</v>
          </cell>
        </row>
        <row r="3416">
          <cell r="P3416">
            <v>0</v>
          </cell>
        </row>
        <row r="3417">
          <cell r="P3417">
            <v>0</v>
          </cell>
        </row>
        <row r="3418">
          <cell r="P3418">
            <v>0</v>
          </cell>
        </row>
        <row r="3419">
          <cell r="P3419">
            <v>0</v>
          </cell>
        </row>
        <row r="3420">
          <cell r="P3420">
            <v>0</v>
          </cell>
        </row>
        <row r="3421">
          <cell r="P3421">
            <v>0</v>
          </cell>
        </row>
        <row r="3422">
          <cell r="P3422">
            <v>0</v>
          </cell>
        </row>
        <row r="3423">
          <cell r="P3423">
            <v>0</v>
          </cell>
        </row>
        <row r="3424">
          <cell r="P3424">
            <v>0</v>
          </cell>
        </row>
        <row r="3425">
          <cell r="P3425">
            <v>0</v>
          </cell>
        </row>
        <row r="3426">
          <cell r="P3426">
            <v>0</v>
          </cell>
        </row>
        <row r="3427">
          <cell r="P3427">
            <v>0</v>
          </cell>
        </row>
        <row r="3428">
          <cell r="P3428">
            <v>0</v>
          </cell>
        </row>
        <row r="3429">
          <cell r="P3429">
            <v>0</v>
          </cell>
        </row>
        <row r="3430">
          <cell r="P3430">
            <v>0</v>
          </cell>
        </row>
        <row r="3431">
          <cell r="P3431">
            <v>0</v>
          </cell>
        </row>
        <row r="3432">
          <cell r="P3432">
            <v>0</v>
          </cell>
        </row>
        <row r="3433">
          <cell r="P3433">
            <v>0</v>
          </cell>
        </row>
        <row r="3434">
          <cell r="P3434">
            <v>0</v>
          </cell>
        </row>
        <row r="3435">
          <cell r="P3435">
            <v>0</v>
          </cell>
        </row>
        <row r="3436">
          <cell r="P3436">
            <v>0</v>
          </cell>
        </row>
        <row r="3437">
          <cell r="P3437">
            <v>0</v>
          </cell>
        </row>
        <row r="3438">
          <cell r="P3438">
            <v>0</v>
          </cell>
        </row>
        <row r="3439">
          <cell r="P3439">
            <v>0</v>
          </cell>
        </row>
        <row r="3440">
          <cell r="P3440">
            <v>0</v>
          </cell>
        </row>
        <row r="3441">
          <cell r="P3441">
            <v>0</v>
          </cell>
        </row>
        <row r="3442">
          <cell r="P3442">
            <v>0</v>
          </cell>
        </row>
        <row r="3443">
          <cell r="P3443">
            <v>0</v>
          </cell>
        </row>
        <row r="3444">
          <cell r="P3444">
            <v>0</v>
          </cell>
        </row>
        <row r="3445">
          <cell r="P3445">
            <v>0</v>
          </cell>
        </row>
        <row r="3446">
          <cell r="P3446">
            <v>0</v>
          </cell>
        </row>
        <row r="3447">
          <cell r="P3447">
            <v>0</v>
          </cell>
        </row>
        <row r="3448">
          <cell r="P3448">
            <v>0</v>
          </cell>
        </row>
        <row r="3449">
          <cell r="P3449">
            <v>0</v>
          </cell>
        </row>
        <row r="3450">
          <cell r="P3450">
            <v>0</v>
          </cell>
        </row>
        <row r="3451">
          <cell r="P3451">
            <v>0</v>
          </cell>
        </row>
        <row r="3452">
          <cell r="P3452">
            <v>0</v>
          </cell>
        </row>
        <row r="3453">
          <cell r="P3453">
            <v>0</v>
          </cell>
        </row>
        <row r="3454">
          <cell r="P3454">
            <v>0</v>
          </cell>
        </row>
        <row r="3455">
          <cell r="P3455">
            <v>0</v>
          </cell>
        </row>
        <row r="3456">
          <cell r="P3456">
            <v>0</v>
          </cell>
        </row>
        <row r="3457">
          <cell r="P3457">
            <v>0</v>
          </cell>
        </row>
        <row r="3458">
          <cell r="P3458">
            <v>0</v>
          </cell>
        </row>
        <row r="3459">
          <cell r="P3459">
            <v>0</v>
          </cell>
        </row>
        <row r="3460">
          <cell r="P3460">
            <v>0</v>
          </cell>
        </row>
        <row r="3461">
          <cell r="P3461">
            <v>0</v>
          </cell>
        </row>
        <row r="3462">
          <cell r="P3462">
            <v>0</v>
          </cell>
        </row>
        <row r="3463">
          <cell r="P3463">
            <v>0</v>
          </cell>
        </row>
        <row r="3464">
          <cell r="P3464">
            <v>0</v>
          </cell>
        </row>
        <row r="3465">
          <cell r="P3465">
            <v>0</v>
          </cell>
        </row>
        <row r="3466">
          <cell r="P3466">
            <v>0</v>
          </cell>
        </row>
        <row r="3467">
          <cell r="P3467">
            <v>0</v>
          </cell>
        </row>
        <row r="3468">
          <cell r="P3468">
            <v>0</v>
          </cell>
        </row>
        <row r="3469">
          <cell r="P3469">
            <v>0</v>
          </cell>
        </row>
        <row r="3470">
          <cell r="P3470">
            <v>0</v>
          </cell>
        </row>
        <row r="3471">
          <cell r="P3471">
            <v>0</v>
          </cell>
        </row>
        <row r="3472">
          <cell r="P3472">
            <v>0</v>
          </cell>
        </row>
        <row r="3473">
          <cell r="P3473">
            <v>0</v>
          </cell>
        </row>
        <row r="3474">
          <cell r="P3474">
            <v>0</v>
          </cell>
        </row>
        <row r="3475">
          <cell r="P3475">
            <v>0</v>
          </cell>
        </row>
        <row r="3476">
          <cell r="P3476">
            <v>0</v>
          </cell>
        </row>
        <row r="3477">
          <cell r="P3477">
            <v>0</v>
          </cell>
        </row>
        <row r="3478">
          <cell r="P3478">
            <v>0</v>
          </cell>
        </row>
        <row r="3479">
          <cell r="P3479">
            <v>0</v>
          </cell>
        </row>
        <row r="3480">
          <cell r="P3480">
            <v>0</v>
          </cell>
        </row>
        <row r="3481">
          <cell r="P3481">
            <v>0</v>
          </cell>
        </row>
        <row r="3482">
          <cell r="P3482">
            <v>0</v>
          </cell>
        </row>
        <row r="3483">
          <cell r="P3483">
            <v>0</v>
          </cell>
        </row>
        <row r="3484">
          <cell r="P3484">
            <v>0</v>
          </cell>
        </row>
        <row r="3485">
          <cell r="P3485">
            <v>0</v>
          </cell>
        </row>
        <row r="3486">
          <cell r="P3486">
            <v>0</v>
          </cell>
        </row>
        <row r="3487">
          <cell r="P3487">
            <v>0</v>
          </cell>
        </row>
        <row r="3488">
          <cell r="P3488">
            <v>0</v>
          </cell>
        </row>
        <row r="3489">
          <cell r="P3489">
            <v>0</v>
          </cell>
        </row>
        <row r="3490">
          <cell r="P3490">
            <v>0</v>
          </cell>
        </row>
        <row r="3491">
          <cell r="P3491">
            <v>0</v>
          </cell>
        </row>
        <row r="3492">
          <cell r="P3492">
            <v>0</v>
          </cell>
        </row>
        <row r="3493">
          <cell r="P3493">
            <v>0</v>
          </cell>
        </row>
        <row r="3494">
          <cell r="P3494">
            <v>0</v>
          </cell>
        </row>
        <row r="3495">
          <cell r="P3495">
            <v>0</v>
          </cell>
        </row>
        <row r="3496">
          <cell r="P3496">
            <v>0</v>
          </cell>
        </row>
        <row r="3497">
          <cell r="P3497">
            <v>0</v>
          </cell>
        </row>
        <row r="3498">
          <cell r="P3498">
            <v>0</v>
          </cell>
        </row>
        <row r="3499">
          <cell r="P3499">
            <v>0</v>
          </cell>
        </row>
        <row r="3500">
          <cell r="P3500">
            <v>0</v>
          </cell>
        </row>
        <row r="3501">
          <cell r="P3501">
            <v>0</v>
          </cell>
        </row>
        <row r="3502">
          <cell r="P3502">
            <v>0</v>
          </cell>
        </row>
        <row r="3503">
          <cell r="P3503">
            <v>0</v>
          </cell>
        </row>
        <row r="3504">
          <cell r="P3504">
            <v>0</v>
          </cell>
        </row>
        <row r="3505">
          <cell r="P3505">
            <v>0</v>
          </cell>
        </row>
        <row r="3506">
          <cell r="P3506">
            <v>0</v>
          </cell>
        </row>
        <row r="3507">
          <cell r="P3507">
            <v>0</v>
          </cell>
        </row>
        <row r="3508">
          <cell r="P3508">
            <v>0</v>
          </cell>
        </row>
        <row r="3509">
          <cell r="P3509">
            <v>0</v>
          </cell>
        </row>
        <row r="3510">
          <cell r="P3510">
            <v>0</v>
          </cell>
        </row>
        <row r="3511">
          <cell r="P3511">
            <v>0</v>
          </cell>
        </row>
        <row r="3512">
          <cell r="P3512">
            <v>0</v>
          </cell>
        </row>
        <row r="3513">
          <cell r="P3513">
            <v>0</v>
          </cell>
        </row>
        <row r="3514">
          <cell r="P3514">
            <v>0</v>
          </cell>
        </row>
        <row r="3515">
          <cell r="P3515">
            <v>0</v>
          </cell>
        </row>
        <row r="3516">
          <cell r="P3516">
            <v>0</v>
          </cell>
        </row>
        <row r="3517">
          <cell r="P3517">
            <v>0</v>
          </cell>
        </row>
        <row r="3518">
          <cell r="P3518">
            <v>0</v>
          </cell>
        </row>
        <row r="3519">
          <cell r="P3519">
            <v>0</v>
          </cell>
        </row>
        <row r="3520">
          <cell r="P3520">
            <v>0</v>
          </cell>
        </row>
        <row r="3521">
          <cell r="P3521">
            <v>0</v>
          </cell>
        </row>
        <row r="3522">
          <cell r="P3522">
            <v>0</v>
          </cell>
        </row>
        <row r="3523">
          <cell r="P3523">
            <v>0</v>
          </cell>
        </row>
        <row r="3524">
          <cell r="P3524">
            <v>0</v>
          </cell>
        </row>
        <row r="3525">
          <cell r="P3525">
            <v>0</v>
          </cell>
        </row>
        <row r="3526">
          <cell r="P3526">
            <v>0</v>
          </cell>
        </row>
        <row r="3527">
          <cell r="P3527">
            <v>0</v>
          </cell>
        </row>
        <row r="3528">
          <cell r="P3528">
            <v>0</v>
          </cell>
        </row>
        <row r="3529">
          <cell r="P3529">
            <v>0</v>
          </cell>
        </row>
        <row r="3530">
          <cell r="P3530">
            <v>0</v>
          </cell>
        </row>
        <row r="3531">
          <cell r="P3531">
            <v>0</v>
          </cell>
        </row>
        <row r="3532">
          <cell r="P3532">
            <v>0</v>
          </cell>
        </row>
        <row r="3533">
          <cell r="P3533">
            <v>0</v>
          </cell>
        </row>
        <row r="3534">
          <cell r="P3534">
            <v>0</v>
          </cell>
        </row>
        <row r="3535">
          <cell r="P3535">
            <v>0</v>
          </cell>
        </row>
        <row r="3536">
          <cell r="P3536">
            <v>0</v>
          </cell>
        </row>
        <row r="3537">
          <cell r="P3537">
            <v>0</v>
          </cell>
        </row>
        <row r="3538">
          <cell r="P3538">
            <v>0</v>
          </cell>
        </row>
        <row r="3539">
          <cell r="P3539">
            <v>0</v>
          </cell>
        </row>
        <row r="3540">
          <cell r="P3540">
            <v>0</v>
          </cell>
        </row>
        <row r="3541">
          <cell r="P3541">
            <v>0</v>
          </cell>
        </row>
        <row r="3542">
          <cell r="P3542">
            <v>0</v>
          </cell>
        </row>
        <row r="3543">
          <cell r="P3543">
            <v>0</v>
          </cell>
        </row>
        <row r="3544">
          <cell r="P3544">
            <v>0</v>
          </cell>
        </row>
        <row r="3545">
          <cell r="P3545">
            <v>0</v>
          </cell>
        </row>
        <row r="3546">
          <cell r="P3546">
            <v>0</v>
          </cell>
        </row>
        <row r="3547">
          <cell r="P3547">
            <v>0</v>
          </cell>
        </row>
        <row r="3548">
          <cell r="P3548">
            <v>0</v>
          </cell>
        </row>
        <row r="3549">
          <cell r="P3549">
            <v>0</v>
          </cell>
        </row>
        <row r="3550">
          <cell r="P3550">
            <v>0</v>
          </cell>
        </row>
        <row r="3551">
          <cell r="P3551">
            <v>0</v>
          </cell>
        </row>
        <row r="3552">
          <cell r="P3552">
            <v>0</v>
          </cell>
        </row>
        <row r="3553">
          <cell r="P3553">
            <v>0</v>
          </cell>
        </row>
        <row r="3554">
          <cell r="P3554">
            <v>0</v>
          </cell>
        </row>
        <row r="3555">
          <cell r="P3555">
            <v>0</v>
          </cell>
        </row>
        <row r="3556">
          <cell r="P3556">
            <v>0</v>
          </cell>
        </row>
        <row r="3557">
          <cell r="P3557">
            <v>0</v>
          </cell>
        </row>
        <row r="3558">
          <cell r="P3558">
            <v>0</v>
          </cell>
        </row>
        <row r="3559">
          <cell r="P3559">
            <v>0</v>
          </cell>
        </row>
        <row r="3560">
          <cell r="P3560">
            <v>0</v>
          </cell>
        </row>
        <row r="3561">
          <cell r="P3561">
            <v>0</v>
          </cell>
        </row>
        <row r="3562">
          <cell r="P3562">
            <v>0</v>
          </cell>
        </row>
        <row r="3563">
          <cell r="P3563">
            <v>0</v>
          </cell>
        </row>
        <row r="3564">
          <cell r="P3564">
            <v>0</v>
          </cell>
        </row>
        <row r="3565">
          <cell r="P3565">
            <v>0</v>
          </cell>
        </row>
        <row r="3566">
          <cell r="P3566">
            <v>0</v>
          </cell>
        </row>
        <row r="3567">
          <cell r="P3567">
            <v>0</v>
          </cell>
        </row>
        <row r="3568">
          <cell r="P3568">
            <v>0</v>
          </cell>
        </row>
        <row r="3569">
          <cell r="P3569">
            <v>0</v>
          </cell>
        </row>
        <row r="3570">
          <cell r="P3570">
            <v>0</v>
          </cell>
        </row>
        <row r="3571">
          <cell r="P3571">
            <v>0</v>
          </cell>
        </row>
        <row r="3572">
          <cell r="P3572">
            <v>0</v>
          </cell>
        </row>
        <row r="3573">
          <cell r="P3573">
            <v>0</v>
          </cell>
        </row>
        <row r="3574">
          <cell r="P3574">
            <v>0</v>
          </cell>
        </row>
        <row r="3575">
          <cell r="P3575">
            <v>0</v>
          </cell>
        </row>
        <row r="3576">
          <cell r="P3576">
            <v>0</v>
          </cell>
        </row>
        <row r="3577">
          <cell r="P3577">
            <v>0</v>
          </cell>
        </row>
        <row r="3578">
          <cell r="P3578">
            <v>0</v>
          </cell>
        </row>
        <row r="3579">
          <cell r="P3579">
            <v>0</v>
          </cell>
        </row>
        <row r="3580">
          <cell r="P3580">
            <v>0</v>
          </cell>
        </row>
        <row r="3581">
          <cell r="P3581">
            <v>0</v>
          </cell>
        </row>
        <row r="3582">
          <cell r="P3582">
            <v>0</v>
          </cell>
        </row>
        <row r="3583">
          <cell r="P3583">
            <v>0</v>
          </cell>
        </row>
        <row r="3584">
          <cell r="P3584">
            <v>0</v>
          </cell>
        </row>
        <row r="3585">
          <cell r="P3585">
            <v>0</v>
          </cell>
        </row>
        <row r="3586">
          <cell r="P3586">
            <v>0</v>
          </cell>
        </row>
        <row r="3587">
          <cell r="P3587">
            <v>0</v>
          </cell>
        </row>
        <row r="3588">
          <cell r="P3588">
            <v>0</v>
          </cell>
        </row>
        <row r="3589">
          <cell r="P3589">
            <v>0</v>
          </cell>
        </row>
        <row r="3590">
          <cell r="P3590">
            <v>0</v>
          </cell>
        </row>
        <row r="3591">
          <cell r="P3591">
            <v>0</v>
          </cell>
        </row>
        <row r="3592">
          <cell r="P3592">
            <v>0</v>
          </cell>
        </row>
        <row r="3593">
          <cell r="P3593">
            <v>0</v>
          </cell>
        </row>
        <row r="3594">
          <cell r="P3594">
            <v>0</v>
          </cell>
        </row>
        <row r="3595">
          <cell r="P3595">
            <v>0</v>
          </cell>
        </row>
        <row r="3596">
          <cell r="P3596">
            <v>0</v>
          </cell>
        </row>
        <row r="3597">
          <cell r="P3597">
            <v>0</v>
          </cell>
        </row>
        <row r="3598">
          <cell r="P3598">
            <v>0</v>
          </cell>
        </row>
        <row r="3599">
          <cell r="P3599">
            <v>0</v>
          </cell>
        </row>
        <row r="3600">
          <cell r="P3600">
            <v>0</v>
          </cell>
        </row>
        <row r="3601">
          <cell r="P3601">
            <v>0</v>
          </cell>
        </row>
        <row r="3602">
          <cell r="P3602">
            <v>0</v>
          </cell>
        </row>
        <row r="3603">
          <cell r="P3603">
            <v>0</v>
          </cell>
        </row>
        <row r="3604">
          <cell r="P3604">
            <v>0</v>
          </cell>
        </row>
        <row r="3605">
          <cell r="P3605">
            <v>0</v>
          </cell>
        </row>
        <row r="3606">
          <cell r="P3606">
            <v>0</v>
          </cell>
        </row>
        <row r="3607">
          <cell r="P3607">
            <v>0</v>
          </cell>
        </row>
        <row r="3608">
          <cell r="P3608">
            <v>0</v>
          </cell>
        </row>
        <row r="3609">
          <cell r="P3609">
            <v>0</v>
          </cell>
        </row>
        <row r="3610">
          <cell r="P3610">
            <v>0</v>
          </cell>
        </row>
        <row r="3611">
          <cell r="P3611">
            <v>0</v>
          </cell>
        </row>
        <row r="3612">
          <cell r="P3612">
            <v>0</v>
          </cell>
        </row>
        <row r="3613">
          <cell r="P3613">
            <v>0</v>
          </cell>
        </row>
        <row r="3614">
          <cell r="P3614">
            <v>0</v>
          </cell>
        </row>
        <row r="3615">
          <cell r="P3615">
            <v>0</v>
          </cell>
        </row>
        <row r="3616">
          <cell r="P3616">
            <v>0</v>
          </cell>
        </row>
        <row r="3617">
          <cell r="P3617">
            <v>0</v>
          </cell>
        </row>
        <row r="3618">
          <cell r="P3618">
            <v>0</v>
          </cell>
        </row>
        <row r="3619">
          <cell r="P3619">
            <v>0</v>
          </cell>
        </row>
        <row r="3620">
          <cell r="P3620">
            <v>0</v>
          </cell>
        </row>
        <row r="3621">
          <cell r="P3621">
            <v>0</v>
          </cell>
        </row>
        <row r="3622">
          <cell r="P3622">
            <v>0</v>
          </cell>
        </row>
        <row r="3623">
          <cell r="P3623">
            <v>0</v>
          </cell>
        </row>
        <row r="3624">
          <cell r="P3624">
            <v>0</v>
          </cell>
        </row>
        <row r="3625">
          <cell r="P3625">
            <v>0</v>
          </cell>
        </row>
        <row r="3626">
          <cell r="P3626">
            <v>0</v>
          </cell>
        </row>
        <row r="3627">
          <cell r="P3627">
            <v>0</v>
          </cell>
        </row>
        <row r="3628">
          <cell r="P3628">
            <v>0</v>
          </cell>
        </row>
        <row r="3629">
          <cell r="P3629">
            <v>0</v>
          </cell>
        </row>
        <row r="3630">
          <cell r="P3630">
            <v>0</v>
          </cell>
        </row>
        <row r="3631">
          <cell r="P3631">
            <v>0</v>
          </cell>
        </row>
        <row r="3632">
          <cell r="P3632">
            <v>0</v>
          </cell>
        </row>
        <row r="3633">
          <cell r="P3633">
            <v>0</v>
          </cell>
        </row>
        <row r="3634">
          <cell r="P3634">
            <v>0</v>
          </cell>
        </row>
        <row r="3635">
          <cell r="P3635">
            <v>0</v>
          </cell>
        </row>
        <row r="3636">
          <cell r="P3636">
            <v>0</v>
          </cell>
        </row>
        <row r="3637">
          <cell r="P3637">
            <v>0</v>
          </cell>
        </row>
        <row r="3638">
          <cell r="P3638">
            <v>0</v>
          </cell>
        </row>
        <row r="3639">
          <cell r="P3639">
            <v>0</v>
          </cell>
        </row>
        <row r="3640">
          <cell r="P3640">
            <v>0</v>
          </cell>
        </row>
        <row r="3641">
          <cell r="P3641">
            <v>0</v>
          </cell>
        </row>
        <row r="3642">
          <cell r="P3642">
            <v>0</v>
          </cell>
        </row>
        <row r="3643">
          <cell r="P3643">
            <v>0</v>
          </cell>
        </row>
        <row r="3644">
          <cell r="P3644">
            <v>0</v>
          </cell>
        </row>
        <row r="3645">
          <cell r="P3645">
            <v>0</v>
          </cell>
        </row>
        <row r="3646">
          <cell r="P3646">
            <v>0</v>
          </cell>
        </row>
        <row r="3647">
          <cell r="P3647">
            <v>0</v>
          </cell>
        </row>
        <row r="3648">
          <cell r="P3648">
            <v>0</v>
          </cell>
        </row>
        <row r="3649">
          <cell r="P3649">
            <v>0</v>
          </cell>
        </row>
        <row r="3650">
          <cell r="P3650">
            <v>0</v>
          </cell>
        </row>
        <row r="3651">
          <cell r="P3651">
            <v>0</v>
          </cell>
        </row>
        <row r="3652">
          <cell r="P3652">
            <v>0</v>
          </cell>
        </row>
        <row r="3653">
          <cell r="P3653">
            <v>0</v>
          </cell>
        </row>
        <row r="3654">
          <cell r="P3654">
            <v>0</v>
          </cell>
        </row>
        <row r="3655">
          <cell r="P3655">
            <v>0</v>
          </cell>
        </row>
        <row r="3656">
          <cell r="P3656">
            <v>0</v>
          </cell>
        </row>
        <row r="3657">
          <cell r="P3657">
            <v>0</v>
          </cell>
        </row>
        <row r="3658">
          <cell r="P3658">
            <v>0</v>
          </cell>
        </row>
        <row r="3659">
          <cell r="P3659">
            <v>0</v>
          </cell>
        </row>
        <row r="3660">
          <cell r="P3660">
            <v>0</v>
          </cell>
        </row>
        <row r="3661">
          <cell r="P3661">
            <v>0</v>
          </cell>
        </row>
        <row r="3662">
          <cell r="P3662">
            <v>0</v>
          </cell>
        </row>
        <row r="3663">
          <cell r="P3663">
            <v>0</v>
          </cell>
        </row>
        <row r="3664">
          <cell r="P3664">
            <v>0</v>
          </cell>
        </row>
        <row r="3665">
          <cell r="P3665">
            <v>0</v>
          </cell>
        </row>
        <row r="3666">
          <cell r="P3666">
            <v>0</v>
          </cell>
        </row>
        <row r="3667">
          <cell r="P3667">
            <v>0</v>
          </cell>
        </row>
        <row r="3668">
          <cell r="P3668">
            <v>0</v>
          </cell>
        </row>
        <row r="3669">
          <cell r="P3669">
            <v>0</v>
          </cell>
        </row>
        <row r="3670">
          <cell r="P3670">
            <v>0</v>
          </cell>
        </row>
        <row r="3671">
          <cell r="P3671">
            <v>0</v>
          </cell>
        </row>
        <row r="3672">
          <cell r="P3672">
            <v>0</v>
          </cell>
        </row>
        <row r="3673">
          <cell r="P3673">
            <v>0</v>
          </cell>
        </row>
        <row r="3674">
          <cell r="P3674">
            <v>0</v>
          </cell>
        </row>
        <row r="3675">
          <cell r="P3675">
            <v>0</v>
          </cell>
        </row>
        <row r="3676">
          <cell r="P3676">
            <v>0</v>
          </cell>
        </row>
        <row r="3677">
          <cell r="P3677">
            <v>0</v>
          </cell>
        </row>
        <row r="3678">
          <cell r="P3678">
            <v>0</v>
          </cell>
        </row>
        <row r="3679">
          <cell r="P3679">
            <v>0</v>
          </cell>
        </row>
        <row r="3680">
          <cell r="P3680">
            <v>0</v>
          </cell>
        </row>
        <row r="3681">
          <cell r="P3681">
            <v>0</v>
          </cell>
        </row>
        <row r="3682">
          <cell r="P3682">
            <v>0</v>
          </cell>
        </row>
        <row r="3683">
          <cell r="P3683">
            <v>0</v>
          </cell>
        </row>
        <row r="3684">
          <cell r="P3684">
            <v>0</v>
          </cell>
        </row>
        <row r="3685">
          <cell r="P3685">
            <v>0</v>
          </cell>
        </row>
        <row r="3686">
          <cell r="P3686">
            <v>0</v>
          </cell>
        </row>
        <row r="3687">
          <cell r="P3687">
            <v>0</v>
          </cell>
        </row>
        <row r="3688">
          <cell r="P3688">
            <v>0</v>
          </cell>
        </row>
        <row r="3689">
          <cell r="P3689">
            <v>0</v>
          </cell>
        </row>
        <row r="3690">
          <cell r="P3690">
            <v>0</v>
          </cell>
        </row>
        <row r="3691">
          <cell r="P3691">
            <v>0</v>
          </cell>
        </row>
        <row r="3692">
          <cell r="P3692">
            <v>0</v>
          </cell>
        </row>
        <row r="3693">
          <cell r="P3693">
            <v>0</v>
          </cell>
        </row>
        <row r="3694">
          <cell r="P3694">
            <v>0</v>
          </cell>
        </row>
        <row r="3695">
          <cell r="P3695">
            <v>0</v>
          </cell>
        </row>
        <row r="3696">
          <cell r="P3696">
            <v>0</v>
          </cell>
        </row>
        <row r="3697">
          <cell r="P3697">
            <v>0</v>
          </cell>
        </row>
        <row r="3698">
          <cell r="P3698">
            <v>0</v>
          </cell>
        </row>
        <row r="3699">
          <cell r="P3699">
            <v>0</v>
          </cell>
        </row>
        <row r="3700">
          <cell r="P3700">
            <v>0</v>
          </cell>
        </row>
        <row r="3701">
          <cell r="P3701">
            <v>0</v>
          </cell>
        </row>
        <row r="3702">
          <cell r="P3702">
            <v>0</v>
          </cell>
        </row>
        <row r="3703">
          <cell r="P3703">
            <v>0</v>
          </cell>
        </row>
        <row r="3704">
          <cell r="P3704">
            <v>0</v>
          </cell>
        </row>
        <row r="3705">
          <cell r="P3705">
            <v>0</v>
          </cell>
        </row>
        <row r="3706">
          <cell r="P3706">
            <v>0</v>
          </cell>
        </row>
        <row r="3707">
          <cell r="P3707">
            <v>0</v>
          </cell>
        </row>
        <row r="3708">
          <cell r="P3708">
            <v>0</v>
          </cell>
        </row>
        <row r="3709">
          <cell r="P3709">
            <v>0</v>
          </cell>
        </row>
        <row r="3710">
          <cell r="P3710">
            <v>0</v>
          </cell>
        </row>
        <row r="3711">
          <cell r="P3711">
            <v>0</v>
          </cell>
        </row>
        <row r="3712">
          <cell r="P3712">
            <v>0</v>
          </cell>
        </row>
        <row r="3713">
          <cell r="P3713">
            <v>0</v>
          </cell>
        </row>
        <row r="3714">
          <cell r="P3714">
            <v>0</v>
          </cell>
        </row>
        <row r="3715">
          <cell r="P3715">
            <v>0</v>
          </cell>
        </row>
        <row r="3716">
          <cell r="P3716">
            <v>0</v>
          </cell>
        </row>
        <row r="3717">
          <cell r="P3717">
            <v>0</v>
          </cell>
        </row>
        <row r="3718">
          <cell r="P3718">
            <v>0</v>
          </cell>
        </row>
        <row r="3719">
          <cell r="P3719">
            <v>0</v>
          </cell>
        </row>
        <row r="3720">
          <cell r="P3720">
            <v>0</v>
          </cell>
        </row>
        <row r="3721">
          <cell r="P3721">
            <v>0</v>
          </cell>
        </row>
        <row r="3722">
          <cell r="P3722">
            <v>0</v>
          </cell>
        </row>
        <row r="3723">
          <cell r="P3723">
            <v>0</v>
          </cell>
        </row>
        <row r="3724">
          <cell r="P3724">
            <v>0</v>
          </cell>
        </row>
        <row r="3725">
          <cell r="P3725">
            <v>0</v>
          </cell>
        </row>
        <row r="3726">
          <cell r="P3726">
            <v>0</v>
          </cell>
        </row>
        <row r="3727">
          <cell r="P3727">
            <v>0</v>
          </cell>
        </row>
        <row r="3728">
          <cell r="P3728">
            <v>0</v>
          </cell>
        </row>
        <row r="3729">
          <cell r="P3729">
            <v>0</v>
          </cell>
        </row>
        <row r="3730">
          <cell r="P3730">
            <v>0</v>
          </cell>
        </row>
        <row r="3731">
          <cell r="P3731">
            <v>0</v>
          </cell>
        </row>
        <row r="3732">
          <cell r="P3732">
            <v>0</v>
          </cell>
        </row>
        <row r="3733">
          <cell r="P3733">
            <v>0</v>
          </cell>
        </row>
        <row r="3734">
          <cell r="P3734">
            <v>0</v>
          </cell>
        </row>
        <row r="3735">
          <cell r="P3735">
            <v>0</v>
          </cell>
        </row>
        <row r="3736">
          <cell r="P3736">
            <v>0</v>
          </cell>
        </row>
        <row r="3737">
          <cell r="P3737">
            <v>0</v>
          </cell>
        </row>
        <row r="3738">
          <cell r="P3738">
            <v>0</v>
          </cell>
        </row>
        <row r="3739">
          <cell r="P3739">
            <v>0</v>
          </cell>
        </row>
        <row r="3740">
          <cell r="P3740">
            <v>0</v>
          </cell>
        </row>
        <row r="3741">
          <cell r="P3741">
            <v>0</v>
          </cell>
        </row>
        <row r="3742">
          <cell r="P3742">
            <v>0</v>
          </cell>
        </row>
        <row r="3743">
          <cell r="P3743">
            <v>0</v>
          </cell>
        </row>
        <row r="3744">
          <cell r="P3744">
            <v>0</v>
          </cell>
        </row>
        <row r="3745">
          <cell r="P3745">
            <v>0</v>
          </cell>
        </row>
        <row r="3746">
          <cell r="P3746">
            <v>0</v>
          </cell>
        </row>
        <row r="3747">
          <cell r="P3747">
            <v>0</v>
          </cell>
        </row>
        <row r="3748">
          <cell r="P3748">
            <v>0</v>
          </cell>
        </row>
        <row r="3749">
          <cell r="P3749">
            <v>0</v>
          </cell>
        </row>
        <row r="3750">
          <cell r="P3750">
            <v>0</v>
          </cell>
        </row>
        <row r="3751">
          <cell r="P3751">
            <v>0</v>
          </cell>
        </row>
        <row r="3752">
          <cell r="P3752">
            <v>0</v>
          </cell>
        </row>
        <row r="3753">
          <cell r="P3753">
            <v>0</v>
          </cell>
        </row>
        <row r="3754">
          <cell r="P3754">
            <v>0</v>
          </cell>
        </row>
        <row r="3755">
          <cell r="P3755">
            <v>0</v>
          </cell>
        </row>
        <row r="3756">
          <cell r="P3756">
            <v>0</v>
          </cell>
        </row>
        <row r="3757">
          <cell r="P3757">
            <v>0</v>
          </cell>
        </row>
        <row r="3758">
          <cell r="P3758">
            <v>0</v>
          </cell>
        </row>
        <row r="3759">
          <cell r="P3759">
            <v>0</v>
          </cell>
        </row>
        <row r="3760">
          <cell r="P3760">
            <v>0</v>
          </cell>
        </row>
        <row r="3761">
          <cell r="P3761">
            <v>0</v>
          </cell>
        </row>
        <row r="3762">
          <cell r="P3762">
            <v>0</v>
          </cell>
        </row>
        <row r="3763">
          <cell r="P3763">
            <v>0</v>
          </cell>
        </row>
        <row r="3764">
          <cell r="P3764">
            <v>0</v>
          </cell>
        </row>
        <row r="3765">
          <cell r="P3765">
            <v>0</v>
          </cell>
        </row>
        <row r="3766">
          <cell r="P3766">
            <v>0</v>
          </cell>
        </row>
        <row r="3767">
          <cell r="P3767">
            <v>0</v>
          </cell>
        </row>
        <row r="3768">
          <cell r="P3768">
            <v>0</v>
          </cell>
        </row>
        <row r="3769">
          <cell r="P3769">
            <v>0</v>
          </cell>
        </row>
        <row r="3770">
          <cell r="P3770">
            <v>0</v>
          </cell>
        </row>
        <row r="3771">
          <cell r="P3771">
            <v>0</v>
          </cell>
        </row>
        <row r="3772">
          <cell r="P3772">
            <v>0</v>
          </cell>
        </row>
        <row r="3773">
          <cell r="P3773">
            <v>0</v>
          </cell>
        </row>
        <row r="3774">
          <cell r="P3774">
            <v>0</v>
          </cell>
        </row>
        <row r="3775">
          <cell r="P3775">
            <v>0</v>
          </cell>
        </row>
        <row r="3776">
          <cell r="P3776">
            <v>0</v>
          </cell>
        </row>
        <row r="3777">
          <cell r="P3777">
            <v>0</v>
          </cell>
        </row>
        <row r="3778">
          <cell r="P3778">
            <v>0</v>
          </cell>
        </row>
        <row r="3779">
          <cell r="P3779">
            <v>0</v>
          </cell>
        </row>
        <row r="3780">
          <cell r="P3780">
            <v>0</v>
          </cell>
        </row>
        <row r="3781">
          <cell r="P3781">
            <v>0</v>
          </cell>
        </row>
        <row r="3782">
          <cell r="P3782">
            <v>0</v>
          </cell>
        </row>
        <row r="3783">
          <cell r="P3783">
            <v>0</v>
          </cell>
        </row>
        <row r="3784">
          <cell r="P3784">
            <v>0</v>
          </cell>
        </row>
        <row r="3785">
          <cell r="P3785">
            <v>0</v>
          </cell>
        </row>
        <row r="3786">
          <cell r="P3786">
            <v>0</v>
          </cell>
        </row>
        <row r="3787">
          <cell r="P3787">
            <v>0</v>
          </cell>
        </row>
        <row r="3788">
          <cell r="P3788">
            <v>0</v>
          </cell>
        </row>
        <row r="3789">
          <cell r="P3789">
            <v>0</v>
          </cell>
        </row>
        <row r="3790">
          <cell r="P3790">
            <v>0</v>
          </cell>
        </row>
        <row r="3791">
          <cell r="P3791">
            <v>0</v>
          </cell>
        </row>
        <row r="3792">
          <cell r="P3792">
            <v>0</v>
          </cell>
        </row>
        <row r="3793">
          <cell r="P3793">
            <v>0</v>
          </cell>
        </row>
        <row r="3794">
          <cell r="P3794">
            <v>0</v>
          </cell>
        </row>
        <row r="3795">
          <cell r="P3795">
            <v>0</v>
          </cell>
        </row>
        <row r="3796">
          <cell r="P3796">
            <v>0</v>
          </cell>
        </row>
        <row r="3797">
          <cell r="P3797">
            <v>0</v>
          </cell>
        </row>
        <row r="3798">
          <cell r="P3798">
            <v>0</v>
          </cell>
        </row>
        <row r="3799">
          <cell r="P3799">
            <v>0</v>
          </cell>
        </row>
        <row r="3800">
          <cell r="P3800">
            <v>0</v>
          </cell>
        </row>
        <row r="3801">
          <cell r="P3801">
            <v>0</v>
          </cell>
        </row>
        <row r="3802">
          <cell r="P3802">
            <v>0</v>
          </cell>
        </row>
        <row r="3803">
          <cell r="P3803">
            <v>0</v>
          </cell>
        </row>
        <row r="3804">
          <cell r="P3804">
            <v>0</v>
          </cell>
        </row>
        <row r="3805">
          <cell r="P3805">
            <v>0</v>
          </cell>
        </row>
        <row r="3806">
          <cell r="P3806">
            <v>0</v>
          </cell>
        </row>
        <row r="3807">
          <cell r="P3807">
            <v>0</v>
          </cell>
        </row>
        <row r="3808">
          <cell r="P3808">
            <v>0</v>
          </cell>
        </row>
        <row r="3809">
          <cell r="P3809">
            <v>0</v>
          </cell>
        </row>
        <row r="3810">
          <cell r="P3810">
            <v>0</v>
          </cell>
        </row>
        <row r="3811">
          <cell r="P3811">
            <v>0</v>
          </cell>
        </row>
        <row r="3812">
          <cell r="P3812">
            <v>0</v>
          </cell>
        </row>
        <row r="3813">
          <cell r="P3813">
            <v>0</v>
          </cell>
        </row>
        <row r="3814">
          <cell r="P3814">
            <v>0</v>
          </cell>
        </row>
        <row r="3815">
          <cell r="P3815">
            <v>0</v>
          </cell>
        </row>
        <row r="3816">
          <cell r="P3816">
            <v>0</v>
          </cell>
        </row>
        <row r="3817">
          <cell r="P3817">
            <v>0</v>
          </cell>
        </row>
        <row r="3818">
          <cell r="P3818">
            <v>0</v>
          </cell>
        </row>
        <row r="3819">
          <cell r="P3819">
            <v>0</v>
          </cell>
        </row>
        <row r="3820">
          <cell r="P3820">
            <v>0</v>
          </cell>
        </row>
        <row r="3821">
          <cell r="P3821">
            <v>0</v>
          </cell>
        </row>
        <row r="3822">
          <cell r="P3822">
            <v>392.40299999999996</v>
          </cell>
        </row>
        <row r="3823">
          <cell r="P3823">
            <v>392.40299999999996</v>
          </cell>
        </row>
        <row r="3824">
          <cell r="P3824">
            <v>35.672999999999995</v>
          </cell>
        </row>
        <row r="3825">
          <cell r="P3825">
            <v>10.701899999999998</v>
          </cell>
        </row>
        <row r="3826">
          <cell r="P3826">
            <v>374.56649999999996</v>
          </cell>
        </row>
        <row r="3827">
          <cell r="P3827">
            <v>14.269199999999998</v>
          </cell>
        </row>
        <row r="3828">
          <cell r="P3828">
            <v>0</v>
          </cell>
        </row>
        <row r="3829">
          <cell r="P3829">
            <v>2031.9739999999999</v>
          </cell>
        </row>
        <row r="3830">
          <cell r="P3830">
            <v>2031.9739999999999</v>
          </cell>
        </row>
        <row r="3831">
          <cell r="P3831">
            <v>217.7115</v>
          </cell>
        </row>
        <row r="3832">
          <cell r="P3832">
            <v>58.056400000000004</v>
          </cell>
        </row>
        <row r="3833">
          <cell r="P3833">
            <v>1523.9805000000001</v>
          </cell>
        </row>
        <row r="3834">
          <cell r="P3834">
            <v>101.59870000000002</v>
          </cell>
        </row>
        <row r="3835">
          <cell r="P3835">
            <v>0</v>
          </cell>
        </row>
        <row r="3836">
          <cell r="P3836">
            <v>0</v>
          </cell>
        </row>
        <row r="3837">
          <cell r="P3837">
            <v>0</v>
          </cell>
        </row>
        <row r="3838">
          <cell r="P3838">
            <v>0</v>
          </cell>
        </row>
        <row r="3839">
          <cell r="P3839">
            <v>0</v>
          </cell>
        </row>
        <row r="3840">
          <cell r="P3840">
            <v>0</v>
          </cell>
        </row>
        <row r="3841">
          <cell r="P3841">
            <v>0</v>
          </cell>
        </row>
        <row r="3842">
          <cell r="P3842">
            <v>0</v>
          </cell>
        </row>
        <row r="3843">
          <cell r="P3843">
            <v>0</v>
          </cell>
        </row>
        <row r="3844">
          <cell r="P3844">
            <v>0</v>
          </cell>
        </row>
        <row r="3845">
          <cell r="P3845">
            <v>0</v>
          </cell>
        </row>
        <row r="3846">
          <cell r="P3846">
            <v>0</v>
          </cell>
        </row>
        <row r="3847">
          <cell r="P3847">
            <v>0</v>
          </cell>
        </row>
        <row r="3848">
          <cell r="P3848">
            <v>0</v>
          </cell>
        </row>
        <row r="3849">
          <cell r="P3849">
            <v>0</v>
          </cell>
        </row>
        <row r="3850">
          <cell r="P3850">
            <v>0</v>
          </cell>
        </row>
        <row r="3851">
          <cell r="P3851">
            <v>0</v>
          </cell>
        </row>
        <row r="3852">
          <cell r="P3852">
            <v>0</v>
          </cell>
        </row>
        <row r="3853">
          <cell r="P3853">
            <v>0</v>
          </cell>
        </row>
        <row r="3854">
          <cell r="P3854">
            <v>0</v>
          </cell>
        </row>
        <row r="3855">
          <cell r="P3855">
            <v>0</v>
          </cell>
        </row>
        <row r="3856">
          <cell r="P3856">
            <v>0</v>
          </cell>
        </row>
        <row r="3857">
          <cell r="P3857">
            <v>0</v>
          </cell>
        </row>
        <row r="3858">
          <cell r="P3858">
            <v>0</v>
          </cell>
        </row>
        <row r="3859">
          <cell r="P3859">
            <v>0</v>
          </cell>
        </row>
        <row r="3860">
          <cell r="P3860">
            <v>0</v>
          </cell>
        </row>
        <row r="3861">
          <cell r="P3861">
            <v>0</v>
          </cell>
        </row>
        <row r="3862">
          <cell r="P3862">
            <v>0</v>
          </cell>
        </row>
        <row r="3863">
          <cell r="P3863">
            <v>0</v>
          </cell>
        </row>
        <row r="3864">
          <cell r="P3864">
            <v>0</v>
          </cell>
        </row>
        <row r="3865">
          <cell r="P3865">
            <v>0</v>
          </cell>
        </row>
        <row r="3866">
          <cell r="P3866">
            <v>0</v>
          </cell>
        </row>
        <row r="3867">
          <cell r="P3867">
            <v>0</v>
          </cell>
        </row>
        <row r="3868">
          <cell r="P3868">
            <v>0</v>
          </cell>
        </row>
        <row r="3869">
          <cell r="P3869">
            <v>0</v>
          </cell>
        </row>
        <row r="3870">
          <cell r="P3870">
            <v>0</v>
          </cell>
        </row>
        <row r="3871">
          <cell r="P3871">
            <v>0</v>
          </cell>
        </row>
        <row r="3872">
          <cell r="P3872">
            <v>0</v>
          </cell>
        </row>
        <row r="3873">
          <cell r="P3873">
            <v>0</v>
          </cell>
        </row>
        <row r="3874">
          <cell r="P3874">
            <v>0</v>
          </cell>
        </row>
        <row r="3875">
          <cell r="P3875">
            <v>0</v>
          </cell>
        </row>
        <row r="3876">
          <cell r="P3876">
            <v>0</v>
          </cell>
        </row>
        <row r="3877">
          <cell r="P3877">
            <v>0</v>
          </cell>
        </row>
        <row r="3878">
          <cell r="P3878">
            <v>0</v>
          </cell>
        </row>
        <row r="3879">
          <cell r="P3879">
            <v>0</v>
          </cell>
        </row>
        <row r="3880">
          <cell r="P3880">
            <v>0</v>
          </cell>
        </row>
        <row r="3881">
          <cell r="P3881">
            <v>0</v>
          </cell>
        </row>
        <row r="3882">
          <cell r="P3882">
            <v>0</v>
          </cell>
        </row>
        <row r="3883">
          <cell r="P3883">
            <v>0</v>
          </cell>
        </row>
        <row r="3884">
          <cell r="P3884">
            <v>0</v>
          </cell>
        </row>
        <row r="3885">
          <cell r="P3885">
            <v>0</v>
          </cell>
        </row>
        <row r="3886">
          <cell r="P3886">
            <v>0</v>
          </cell>
        </row>
        <row r="3887">
          <cell r="P3887">
            <v>0</v>
          </cell>
        </row>
        <row r="3888">
          <cell r="P3888">
            <v>0</v>
          </cell>
        </row>
        <row r="3889">
          <cell r="P3889">
            <v>0</v>
          </cell>
        </row>
        <row r="3890">
          <cell r="P3890">
            <v>0</v>
          </cell>
        </row>
        <row r="3891">
          <cell r="P3891">
            <v>0</v>
          </cell>
        </row>
        <row r="3892">
          <cell r="P3892">
            <v>0</v>
          </cell>
        </row>
        <row r="3893">
          <cell r="P3893">
            <v>0</v>
          </cell>
        </row>
        <row r="3894">
          <cell r="P3894">
            <v>0</v>
          </cell>
        </row>
        <row r="3895">
          <cell r="P3895">
            <v>0</v>
          </cell>
        </row>
        <row r="3896">
          <cell r="P3896">
            <v>0</v>
          </cell>
        </row>
        <row r="3897">
          <cell r="P3897">
            <v>0</v>
          </cell>
        </row>
        <row r="3898">
          <cell r="P3898">
            <v>0</v>
          </cell>
        </row>
        <row r="3899">
          <cell r="P3899">
            <v>0</v>
          </cell>
        </row>
        <row r="3900">
          <cell r="P3900">
            <v>0</v>
          </cell>
        </row>
        <row r="3901">
          <cell r="P3901">
            <v>0</v>
          </cell>
        </row>
        <row r="3902">
          <cell r="P3902">
            <v>0</v>
          </cell>
        </row>
        <row r="3903">
          <cell r="P3903">
            <v>0</v>
          </cell>
        </row>
        <row r="3904">
          <cell r="P3904">
            <v>0</v>
          </cell>
        </row>
        <row r="3905">
          <cell r="P3905">
            <v>0</v>
          </cell>
        </row>
        <row r="3906">
          <cell r="P3906">
            <v>0</v>
          </cell>
        </row>
        <row r="3907">
          <cell r="P3907">
            <v>0</v>
          </cell>
        </row>
        <row r="3908">
          <cell r="P3908">
            <v>0</v>
          </cell>
        </row>
        <row r="3909">
          <cell r="P3909">
            <v>0</v>
          </cell>
        </row>
        <row r="3910">
          <cell r="P3910">
            <v>0</v>
          </cell>
        </row>
        <row r="3911">
          <cell r="P3911">
            <v>0</v>
          </cell>
        </row>
        <row r="3912">
          <cell r="P3912">
            <v>0</v>
          </cell>
        </row>
        <row r="3913">
          <cell r="P3913">
            <v>0</v>
          </cell>
        </row>
        <row r="3914">
          <cell r="P3914">
            <v>0</v>
          </cell>
        </row>
        <row r="3915">
          <cell r="P3915">
            <v>0</v>
          </cell>
        </row>
        <row r="3916">
          <cell r="P3916">
            <v>0</v>
          </cell>
        </row>
        <row r="3917">
          <cell r="P3917">
            <v>0</v>
          </cell>
        </row>
        <row r="3918">
          <cell r="P3918">
            <v>0</v>
          </cell>
        </row>
        <row r="3919">
          <cell r="P3919">
            <v>0</v>
          </cell>
        </row>
        <row r="3920">
          <cell r="P3920">
            <v>0</v>
          </cell>
        </row>
        <row r="3921">
          <cell r="P3921">
            <v>0</v>
          </cell>
        </row>
        <row r="3922">
          <cell r="P3922">
            <v>0</v>
          </cell>
        </row>
        <row r="3923">
          <cell r="P3923">
            <v>0</v>
          </cell>
        </row>
        <row r="3924">
          <cell r="P3924">
            <v>0</v>
          </cell>
        </row>
        <row r="3925">
          <cell r="P3925">
            <v>0</v>
          </cell>
        </row>
        <row r="3926">
          <cell r="P3926">
            <v>0</v>
          </cell>
        </row>
        <row r="3927">
          <cell r="P3927">
            <v>0</v>
          </cell>
        </row>
        <row r="3928">
          <cell r="P3928">
            <v>0</v>
          </cell>
        </row>
        <row r="3929">
          <cell r="P3929">
            <v>0</v>
          </cell>
        </row>
        <row r="3930">
          <cell r="P3930">
            <v>0</v>
          </cell>
        </row>
        <row r="3931">
          <cell r="P3931">
            <v>0</v>
          </cell>
        </row>
        <row r="3932">
          <cell r="P3932">
            <v>0</v>
          </cell>
        </row>
        <row r="3933">
          <cell r="P3933">
            <v>0</v>
          </cell>
        </row>
        <row r="3934">
          <cell r="P3934">
            <v>0</v>
          </cell>
        </row>
        <row r="3935">
          <cell r="P3935">
            <v>0</v>
          </cell>
        </row>
        <row r="3936">
          <cell r="P3936">
            <v>0</v>
          </cell>
        </row>
        <row r="3937">
          <cell r="P3937">
            <v>0</v>
          </cell>
        </row>
        <row r="3938">
          <cell r="P3938">
            <v>0</v>
          </cell>
        </row>
        <row r="3939">
          <cell r="P3939">
            <v>0</v>
          </cell>
        </row>
        <row r="3940">
          <cell r="P3940">
            <v>0</v>
          </cell>
        </row>
        <row r="3941">
          <cell r="P3941">
            <v>61.08100000000001</v>
          </cell>
        </row>
        <row r="3942">
          <cell r="P3942">
            <v>68.716125000000005</v>
          </cell>
        </row>
        <row r="3943">
          <cell r="P3943">
            <v>2.992969</v>
          </cell>
        </row>
        <row r="3944">
          <cell r="P3944">
            <v>1383.4846500000001</v>
          </cell>
        </row>
        <row r="3945">
          <cell r="P3945">
            <v>1.3437820000000003</v>
          </cell>
        </row>
        <row r="3946">
          <cell r="P3946">
            <v>0</v>
          </cell>
        </row>
        <row r="3947">
          <cell r="P3947">
            <v>0</v>
          </cell>
        </row>
        <row r="3948">
          <cell r="P3948">
            <v>0</v>
          </cell>
        </row>
        <row r="3949">
          <cell r="P3949">
            <v>0</v>
          </cell>
        </row>
        <row r="3950">
          <cell r="P3950">
            <v>0</v>
          </cell>
        </row>
        <row r="3951">
          <cell r="P3951">
            <v>0</v>
          </cell>
        </row>
        <row r="3952">
          <cell r="P3952">
            <v>0</v>
          </cell>
        </row>
        <row r="3953">
          <cell r="P3953">
            <v>0</v>
          </cell>
        </row>
        <row r="3954">
          <cell r="P3954">
            <v>0</v>
          </cell>
        </row>
        <row r="3955">
          <cell r="P3955">
            <v>0</v>
          </cell>
        </row>
        <row r="3956">
          <cell r="P3956">
            <v>0</v>
          </cell>
        </row>
        <row r="3957">
          <cell r="P3957">
            <v>0</v>
          </cell>
        </row>
        <row r="3958">
          <cell r="P3958">
            <v>0</v>
          </cell>
        </row>
        <row r="3959">
          <cell r="P3959">
            <v>0</v>
          </cell>
        </row>
        <row r="3960">
          <cell r="P3960">
            <v>0</v>
          </cell>
        </row>
        <row r="3961">
          <cell r="P3961">
            <v>0</v>
          </cell>
        </row>
        <row r="3962">
          <cell r="P3962">
            <v>0</v>
          </cell>
        </row>
        <row r="3963">
          <cell r="P3963">
            <v>0</v>
          </cell>
        </row>
        <row r="3964">
          <cell r="P3964">
            <v>0</v>
          </cell>
        </row>
        <row r="3965">
          <cell r="P3965">
            <v>0</v>
          </cell>
        </row>
        <row r="3966">
          <cell r="P3966">
            <v>0</v>
          </cell>
        </row>
        <row r="3967">
          <cell r="P3967">
            <v>0</v>
          </cell>
        </row>
        <row r="3968">
          <cell r="P3968">
            <v>0</v>
          </cell>
        </row>
        <row r="3969">
          <cell r="P3969">
            <v>0</v>
          </cell>
        </row>
        <row r="3970">
          <cell r="P3970">
            <v>0</v>
          </cell>
        </row>
        <row r="3971">
          <cell r="P3971">
            <v>0</v>
          </cell>
        </row>
        <row r="3972">
          <cell r="P3972">
            <v>0</v>
          </cell>
        </row>
        <row r="3973">
          <cell r="P3973">
            <v>0</v>
          </cell>
        </row>
        <row r="3974">
          <cell r="P3974">
            <v>0</v>
          </cell>
        </row>
        <row r="3975">
          <cell r="P3975">
            <v>0</v>
          </cell>
        </row>
        <row r="3976">
          <cell r="P3976">
            <v>0</v>
          </cell>
        </row>
        <row r="3977">
          <cell r="P3977">
            <v>0</v>
          </cell>
        </row>
        <row r="3978">
          <cell r="P3978">
            <v>0</v>
          </cell>
        </row>
        <row r="3979">
          <cell r="P3979">
            <v>0</v>
          </cell>
        </row>
        <row r="3980">
          <cell r="P3980">
            <v>0</v>
          </cell>
        </row>
        <row r="3981">
          <cell r="P3981">
            <v>0</v>
          </cell>
        </row>
        <row r="3982">
          <cell r="P3982">
            <v>0</v>
          </cell>
        </row>
        <row r="3983">
          <cell r="P3983">
            <v>0</v>
          </cell>
        </row>
        <row r="3984">
          <cell r="P3984">
            <v>0</v>
          </cell>
        </row>
        <row r="3985">
          <cell r="P3985">
            <v>0</v>
          </cell>
        </row>
        <row r="3986">
          <cell r="P3986">
            <v>0</v>
          </cell>
        </row>
        <row r="3987">
          <cell r="P3987">
            <v>23.844000000000001</v>
          </cell>
        </row>
        <row r="3988">
          <cell r="P3988">
            <v>23.844000000000001</v>
          </cell>
        </row>
        <row r="3989">
          <cell r="P3989">
            <v>1.5200549999999999</v>
          </cell>
        </row>
        <row r="3990">
          <cell r="P3990">
            <v>270.62939999999998</v>
          </cell>
        </row>
        <row r="3991">
          <cell r="P3991">
            <v>135.91079999999999</v>
          </cell>
        </row>
        <row r="3992">
          <cell r="P3992">
            <v>0.51264600000000005</v>
          </cell>
        </row>
        <row r="3993">
          <cell r="P3993">
            <v>0</v>
          </cell>
        </row>
        <row r="3994">
          <cell r="P3994">
            <v>0</v>
          </cell>
        </row>
        <row r="3995">
          <cell r="P3995">
            <v>0</v>
          </cell>
        </row>
        <row r="3996">
          <cell r="P3996">
            <v>0</v>
          </cell>
        </row>
        <row r="3997">
          <cell r="P3997">
            <v>0</v>
          </cell>
        </row>
        <row r="3998">
          <cell r="P3998">
            <v>0</v>
          </cell>
        </row>
        <row r="3999">
          <cell r="P3999">
            <v>0</v>
          </cell>
        </row>
        <row r="4000">
          <cell r="P4000">
            <v>0</v>
          </cell>
        </row>
        <row r="4001">
          <cell r="P4001">
            <v>0</v>
          </cell>
        </row>
        <row r="4002">
          <cell r="P4002">
            <v>0</v>
          </cell>
        </row>
        <row r="4003">
          <cell r="P4003">
            <v>0</v>
          </cell>
        </row>
        <row r="4004">
          <cell r="P4004">
            <v>0</v>
          </cell>
        </row>
        <row r="4005">
          <cell r="P4005">
            <v>0</v>
          </cell>
        </row>
        <row r="4006">
          <cell r="P4006">
            <v>0</v>
          </cell>
        </row>
        <row r="4007">
          <cell r="P4007">
            <v>0</v>
          </cell>
        </row>
        <row r="4008">
          <cell r="P4008">
            <v>0</v>
          </cell>
        </row>
        <row r="4009">
          <cell r="P4009">
            <v>0</v>
          </cell>
        </row>
        <row r="4010">
          <cell r="P4010">
            <v>0</v>
          </cell>
        </row>
        <row r="4011">
          <cell r="P4011">
            <v>0</v>
          </cell>
        </row>
        <row r="4012">
          <cell r="P4012">
            <v>0</v>
          </cell>
        </row>
        <row r="4013">
          <cell r="P4013">
            <v>0</v>
          </cell>
        </row>
        <row r="4014">
          <cell r="P4014">
            <v>0</v>
          </cell>
        </row>
        <row r="4015">
          <cell r="P4015">
            <v>0</v>
          </cell>
        </row>
        <row r="4016">
          <cell r="P4016">
            <v>0</v>
          </cell>
        </row>
        <row r="4017">
          <cell r="P4017">
            <v>0</v>
          </cell>
        </row>
        <row r="4018">
          <cell r="P4018">
            <v>0</v>
          </cell>
        </row>
        <row r="4019">
          <cell r="P4019">
            <v>0</v>
          </cell>
        </row>
        <row r="4020">
          <cell r="P4020">
            <v>0</v>
          </cell>
        </row>
        <row r="4021">
          <cell r="P4021">
            <v>0</v>
          </cell>
        </row>
        <row r="4022">
          <cell r="P4022">
            <v>0</v>
          </cell>
        </row>
        <row r="4023">
          <cell r="P4023">
            <v>0</v>
          </cell>
        </row>
        <row r="4024">
          <cell r="P4024">
            <v>0</v>
          </cell>
        </row>
        <row r="4025">
          <cell r="P4025">
            <v>0</v>
          </cell>
        </row>
        <row r="4026">
          <cell r="P4026">
            <v>0</v>
          </cell>
        </row>
        <row r="4027">
          <cell r="P4027">
            <v>0</v>
          </cell>
        </row>
        <row r="4028">
          <cell r="P4028">
            <v>0</v>
          </cell>
        </row>
        <row r="4029">
          <cell r="P4029">
            <v>0</v>
          </cell>
        </row>
        <row r="4030">
          <cell r="P4030">
            <v>0</v>
          </cell>
        </row>
        <row r="4031">
          <cell r="P4031">
            <v>0</v>
          </cell>
        </row>
        <row r="4032">
          <cell r="P4032">
            <v>0</v>
          </cell>
        </row>
        <row r="4033">
          <cell r="P4033">
            <v>0</v>
          </cell>
        </row>
        <row r="4034">
          <cell r="P4034">
            <v>0</v>
          </cell>
        </row>
        <row r="4035">
          <cell r="P4035">
            <v>0</v>
          </cell>
        </row>
        <row r="4036">
          <cell r="P4036">
            <v>0</v>
          </cell>
        </row>
        <row r="4037">
          <cell r="P4037">
            <v>0</v>
          </cell>
        </row>
        <row r="4038">
          <cell r="P4038">
            <v>0</v>
          </cell>
        </row>
        <row r="4039">
          <cell r="P4039">
            <v>0</v>
          </cell>
        </row>
        <row r="4040">
          <cell r="P4040">
            <v>0</v>
          </cell>
        </row>
        <row r="4041">
          <cell r="P4041">
            <v>0</v>
          </cell>
        </row>
        <row r="4042">
          <cell r="P4042">
            <v>0</v>
          </cell>
        </row>
        <row r="4043">
          <cell r="P4043">
            <v>0</v>
          </cell>
        </row>
        <row r="4044">
          <cell r="P4044">
            <v>0</v>
          </cell>
        </row>
        <row r="4045">
          <cell r="P4045">
            <v>0</v>
          </cell>
        </row>
        <row r="4046">
          <cell r="P4046">
            <v>0</v>
          </cell>
        </row>
        <row r="4047">
          <cell r="P4047">
            <v>0</v>
          </cell>
        </row>
        <row r="4048">
          <cell r="P4048">
            <v>0</v>
          </cell>
        </row>
        <row r="4049">
          <cell r="P4049">
            <v>0</v>
          </cell>
        </row>
        <row r="4050">
          <cell r="P4050">
            <v>0</v>
          </cell>
        </row>
        <row r="4051">
          <cell r="P4051">
            <v>0</v>
          </cell>
        </row>
        <row r="4052">
          <cell r="P4052">
            <v>0</v>
          </cell>
        </row>
        <row r="4053">
          <cell r="P4053">
            <v>0</v>
          </cell>
        </row>
        <row r="4054">
          <cell r="P4054">
            <v>0</v>
          </cell>
        </row>
        <row r="4055">
          <cell r="P4055">
            <v>0</v>
          </cell>
        </row>
        <row r="4056">
          <cell r="P4056">
            <v>0</v>
          </cell>
        </row>
        <row r="4057">
          <cell r="P4057">
            <v>0</v>
          </cell>
        </row>
        <row r="4058">
          <cell r="P4058">
            <v>0</v>
          </cell>
        </row>
        <row r="4059">
          <cell r="P4059">
            <v>0</v>
          </cell>
        </row>
        <row r="4060">
          <cell r="P4060">
            <v>0</v>
          </cell>
        </row>
        <row r="4061">
          <cell r="P4061">
            <v>0</v>
          </cell>
        </row>
        <row r="4062">
          <cell r="P4062">
            <v>0</v>
          </cell>
        </row>
        <row r="4063">
          <cell r="P4063">
            <v>0</v>
          </cell>
        </row>
        <row r="4064">
          <cell r="P4064">
            <v>0</v>
          </cell>
        </row>
        <row r="4065">
          <cell r="P4065">
            <v>0</v>
          </cell>
        </row>
        <row r="4066">
          <cell r="P4066">
            <v>0</v>
          </cell>
        </row>
        <row r="4067">
          <cell r="P4067">
            <v>0</v>
          </cell>
        </row>
        <row r="4068">
          <cell r="P4068">
            <v>0</v>
          </cell>
        </row>
        <row r="4069">
          <cell r="P4069">
            <v>0</v>
          </cell>
        </row>
        <row r="4070">
          <cell r="P4070">
            <v>0</v>
          </cell>
        </row>
        <row r="4071">
          <cell r="P4071">
            <v>0</v>
          </cell>
        </row>
        <row r="4072">
          <cell r="P4072">
            <v>0</v>
          </cell>
        </row>
        <row r="4073">
          <cell r="P4073">
            <v>0</v>
          </cell>
        </row>
        <row r="4074">
          <cell r="P4074">
            <v>0</v>
          </cell>
        </row>
        <row r="4075">
          <cell r="P4075">
            <v>0</v>
          </cell>
        </row>
        <row r="4076">
          <cell r="P4076">
            <v>0</v>
          </cell>
        </row>
        <row r="4077">
          <cell r="P4077">
            <v>0</v>
          </cell>
        </row>
        <row r="4078">
          <cell r="P4078">
            <v>0</v>
          </cell>
        </row>
        <row r="4079">
          <cell r="P4079">
            <v>0</v>
          </cell>
        </row>
        <row r="4080">
          <cell r="P4080">
            <v>0</v>
          </cell>
        </row>
        <row r="4081">
          <cell r="P4081">
            <v>0</v>
          </cell>
        </row>
        <row r="4082">
          <cell r="P4082">
            <v>0</v>
          </cell>
        </row>
        <row r="4083">
          <cell r="P4083">
            <v>0</v>
          </cell>
        </row>
        <row r="4084">
          <cell r="P4084">
            <v>0</v>
          </cell>
        </row>
        <row r="4085">
          <cell r="P4085">
            <v>0</v>
          </cell>
        </row>
        <row r="4086">
          <cell r="P4086">
            <v>0</v>
          </cell>
        </row>
        <row r="4087">
          <cell r="P4087">
            <v>0</v>
          </cell>
        </row>
        <row r="4088">
          <cell r="P4088">
            <v>0</v>
          </cell>
        </row>
        <row r="4089">
          <cell r="P4089">
            <v>0</v>
          </cell>
        </row>
        <row r="4090">
          <cell r="P4090">
            <v>0</v>
          </cell>
        </row>
        <row r="4091">
          <cell r="P4091">
            <v>0</v>
          </cell>
        </row>
        <row r="4092">
          <cell r="P4092">
            <v>0</v>
          </cell>
        </row>
        <row r="4093">
          <cell r="P4093">
            <v>74.88000000000001</v>
          </cell>
        </row>
        <row r="4094">
          <cell r="P4094">
            <v>74.88000000000001</v>
          </cell>
        </row>
        <row r="4095">
          <cell r="P4095">
            <v>4.1812992000000007</v>
          </cell>
        </row>
        <row r="4096">
          <cell r="P4096">
            <v>1317.8880000000004</v>
          </cell>
        </row>
        <row r="4097">
          <cell r="P4097">
            <v>5.2595712000000008</v>
          </cell>
        </row>
        <row r="4098">
          <cell r="P4098">
            <v>143.76960000000003</v>
          </cell>
        </row>
        <row r="4099">
          <cell r="P4099">
            <v>32.198400000000007</v>
          </cell>
        </row>
        <row r="4100">
          <cell r="P4100">
            <v>0</v>
          </cell>
        </row>
        <row r="4101">
          <cell r="P4101">
            <v>0</v>
          </cell>
        </row>
        <row r="4102">
          <cell r="P4102">
            <v>0</v>
          </cell>
        </row>
        <row r="4103">
          <cell r="P4103">
            <v>0</v>
          </cell>
        </row>
        <row r="4104">
          <cell r="P4104">
            <v>0</v>
          </cell>
        </row>
        <row r="4105">
          <cell r="P4105">
            <v>0</v>
          </cell>
        </row>
        <row r="4106">
          <cell r="P4106">
            <v>0</v>
          </cell>
        </row>
        <row r="4107">
          <cell r="P4107">
            <v>0</v>
          </cell>
        </row>
        <row r="4108">
          <cell r="P4108">
            <v>0</v>
          </cell>
        </row>
        <row r="4109">
          <cell r="P4109">
            <v>0</v>
          </cell>
        </row>
        <row r="4110">
          <cell r="P4110">
            <v>0</v>
          </cell>
        </row>
        <row r="4111">
          <cell r="P4111">
            <v>0</v>
          </cell>
        </row>
        <row r="4112">
          <cell r="P4112">
            <v>0</v>
          </cell>
        </row>
        <row r="4113">
          <cell r="P4113">
            <v>0</v>
          </cell>
        </row>
        <row r="4114">
          <cell r="P4114">
            <v>0</v>
          </cell>
        </row>
        <row r="4115">
          <cell r="P4115">
            <v>0</v>
          </cell>
        </row>
        <row r="4116">
          <cell r="P4116">
            <v>0</v>
          </cell>
        </row>
        <row r="4117">
          <cell r="P4117">
            <v>0</v>
          </cell>
        </row>
        <row r="4118">
          <cell r="P4118">
            <v>0</v>
          </cell>
        </row>
        <row r="4119">
          <cell r="P4119">
            <v>0</v>
          </cell>
        </row>
        <row r="4120">
          <cell r="P4120">
            <v>0</v>
          </cell>
        </row>
        <row r="4121">
          <cell r="P4121">
            <v>0</v>
          </cell>
        </row>
        <row r="4122">
          <cell r="P4122">
            <v>0</v>
          </cell>
        </row>
        <row r="4123">
          <cell r="P4123">
            <v>0</v>
          </cell>
        </row>
        <row r="4124">
          <cell r="P4124">
            <v>0</v>
          </cell>
        </row>
        <row r="4125">
          <cell r="P4125">
            <v>0</v>
          </cell>
        </row>
        <row r="4126">
          <cell r="P4126">
            <v>0</v>
          </cell>
        </row>
        <row r="4127">
          <cell r="P4127">
            <v>0</v>
          </cell>
        </row>
        <row r="4128">
          <cell r="P4128">
            <v>0</v>
          </cell>
        </row>
        <row r="4129">
          <cell r="P4129">
            <v>0</v>
          </cell>
        </row>
        <row r="4130">
          <cell r="P4130">
            <v>0</v>
          </cell>
        </row>
        <row r="4131">
          <cell r="P4131">
            <v>0</v>
          </cell>
        </row>
        <row r="4132">
          <cell r="P4132">
            <v>0</v>
          </cell>
        </row>
        <row r="4133">
          <cell r="P4133">
            <v>0</v>
          </cell>
        </row>
        <row r="4134">
          <cell r="P4134">
            <v>0</v>
          </cell>
        </row>
        <row r="4135">
          <cell r="P4135">
            <v>0</v>
          </cell>
        </row>
        <row r="4136">
          <cell r="P4136">
            <v>0</v>
          </cell>
        </row>
        <row r="4137">
          <cell r="P4137">
            <v>0</v>
          </cell>
        </row>
        <row r="4138">
          <cell r="P4138">
            <v>0</v>
          </cell>
        </row>
        <row r="4139">
          <cell r="P4139">
            <v>0</v>
          </cell>
        </row>
        <row r="4140">
          <cell r="P4140">
            <v>0</v>
          </cell>
        </row>
        <row r="4141">
          <cell r="P4141">
            <v>0</v>
          </cell>
        </row>
        <row r="4142">
          <cell r="P4142">
            <v>0</v>
          </cell>
        </row>
        <row r="4143">
          <cell r="P4143">
            <v>0</v>
          </cell>
        </row>
        <row r="4144">
          <cell r="P4144">
            <v>0</v>
          </cell>
        </row>
        <row r="4145">
          <cell r="P4145">
            <v>0</v>
          </cell>
        </row>
        <row r="4146">
          <cell r="P4146">
            <v>0</v>
          </cell>
        </row>
        <row r="4147">
          <cell r="P4147">
            <v>0</v>
          </cell>
        </row>
        <row r="4148">
          <cell r="P4148">
            <v>0</v>
          </cell>
        </row>
        <row r="4149">
          <cell r="P4149">
            <v>0</v>
          </cell>
        </row>
        <row r="4150">
          <cell r="P4150">
            <v>0</v>
          </cell>
        </row>
        <row r="4151">
          <cell r="P4151">
            <v>0</v>
          </cell>
        </row>
        <row r="4152">
          <cell r="P4152">
            <v>0</v>
          </cell>
        </row>
        <row r="4153">
          <cell r="P4153">
            <v>0</v>
          </cell>
        </row>
        <row r="4154">
          <cell r="P4154">
            <v>0</v>
          </cell>
        </row>
        <row r="4155">
          <cell r="P4155">
            <v>0</v>
          </cell>
        </row>
        <row r="4156">
          <cell r="P4156">
            <v>0</v>
          </cell>
        </row>
        <row r="4157">
          <cell r="P4157">
            <v>0</v>
          </cell>
        </row>
        <row r="4158">
          <cell r="P4158">
            <v>0</v>
          </cell>
        </row>
        <row r="4159">
          <cell r="P4159">
            <v>0</v>
          </cell>
        </row>
        <row r="4160">
          <cell r="P4160">
            <v>0</v>
          </cell>
        </row>
        <row r="4161">
          <cell r="P4161">
            <v>0</v>
          </cell>
        </row>
        <row r="4162">
          <cell r="P4162">
            <v>0</v>
          </cell>
        </row>
        <row r="4163">
          <cell r="P4163">
            <v>0</v>
          </cell>
        </row>
        <row r="4164">
          <cell r="P4164">
            <v>0</v>
          </cell>
        </row>
        <row r="4165">
          <cell r="P4165">
            <v>0</v>
          </cell>
        </row>
        <row r="4166">
          <cell r="P4166">
            <v>0</v>
          </cell>
        </row>
        <row r="4167">
          <cell r="P4167">
            <v>0</v>
          </cell>
        </row>
        <row r="4168">
          <cell r="P4168">
            <v>0</v>
          </cell>
        </row>
        <row r="4169">
          <cell r="P4169">
            <v>0</v>
          </cell>
        </row>
        <row r="4170">
          <cell r="P4170">
            <v>0</v>
          </cell>
        </row>
        <row r="4171">
          <cell r="P4171">
            <v>0</v>
          </cell>
        </row>
        <row r="4172">
          <cell r="P4172">
            <v>0</v>
          </cell>
        </row>
        <row r="4173">
          <cell r="P4173">
            <v>0</v>
          </cell>
        </row>
        <row r="4174">
          <cell r="P4174">
            <v>0</v>
          </cell>
        </row>
        <row r="4175">
          <cell r="P4175">
            <v>0</v>
          </cell>
        </row>
        <row r="4176">
          <cell r="P4176">
            <v>0</v>
          </cell>
        </row>
        <row r="4177">
          <cell r="P4177">
            <v>0</v>
          </cell>
        </row>
        <row r="4178">
          <cell r="P4178">
            <v>0</v>
          </cell>
        </row>
        <row r="4179">
          <cell r="P4179">
            <v>0</v>
          </cell>
        </row>
        <row r="4180">
          <cell r="P4180">
            <v>0</v>
          </cell>
        </row>
        <row r="4181">
          <cell r="P4181">
            <v>0</v>
          </cell>
        </row>
        <row r="4182">
          <cell r="P4182">
            <v>0</v>
          </cell>
        </row>
        <row r="4183">
          <cell r="P4183">
            <v>0</v>
          </cell>
        </row>
        <row r="4184">
          <cell r="P4184">
            <v>0</v>
          </cell>
        </row>
        <row r="4185">
          <cell r="P4185">
            <v>0</v>
          </cell>
        </row>
        <row r="4186">
          <cell r="P4186">
            <v>0</v>
          </cell>
        </row>
        <row r="4187">
          <cell r="P4187">
            <v>0</v>
          </cell>
        </row>
        <row r="4188">
          <cell r="P4188">
            <v>0</v>
          </cell>
        </row>
        <row r="4189">
          <cell r="P4189">
            <v>0</v>
          </cell>
        </row>
        <row r="4190">
          <cell r="P4190">
            <v>0</v>
          </cell>
        </row>
        <row r="4191">
          <cell r="P4191">
            <v>0</v>
          </cell>
        </row>
        <row r="4192">
          <cell r="P4192">
            <v>0</v>
          </cell>
        </row>
        <row r="4193">
          <cell r="P4193">
            <v>0</v>
          </cell>
        </row>
        <row r="4194">
          <cell r="P4194">
            <v>0</v>
          </cell>
        </row>
        <row r="4195">
          <cell r="P4195">
            <v>0</v>
          </cell>
        </row>
        <row r="4196">
          <cell r="P4196">
            <v>0</v>
          </cell>
        </row>
        <row r="4197">
          <cell r="P4197">
            <v>0</v>
          </cell>
        </row>
        <row r="4198">
          <cell r="P4198">
            <v>0</v>
          </cell>
        </row>
        <row r="4199">
          <cell r="P4199">
            <v>0</v>
          </cell>
        </row>
        <row r="4200">
          <cell r="P4200">
            <v>0</v>
          </cell>
        </row>
        <row r="4201">
          <cell r="P4201">
            <v>0</v>
          </cell>
        </row>
        <row r="4202">
          <cell r="P4202">
            <v>0</v>
          </cell>
        </row>
        <row r="4203">
          <cell r="P4203">
            <v>0</v>
          </cell>
        </row>
        <row r="4204">
          <cell r="P4204">
            <v>0</v>
          </cell>
        </row>
        <row r="4205">
          <cell r="P4205">
            <v>0</v>
          </cell>
        </row>
        <row r="4206">
          <cell r="P4206">
            <v>0</v>
          </cell>
        </row>
        <row r="4207">
          <cell r="P4207">
            <v>0</v>
          </cell>
        </row>
        <row r="4208">
          <cell r="P4208">
            <v>0</v>
          </cell>
        </row>
        <row r="4209">
          <cell r="P4209">
            <v>0</v>
          </cell>
        </row>
        <row r="4210">
          <cell r="P4210">
            <v>0</v>
          </cell>
        </row>
        <row r="4211">
          <cell r="P4211">
            <v>0</v>
          </cell>
        </row>
        <row r="4212">
          <cell r="P4212">
            <v>0</v>
          </cell>
        </row>
        <row r="4213">
          <cell r="P4213">
            <v>0</v>
          </cell>
        </row>
        <row r="4214">
          <cell r="P4214">
            <v>0</v>
          </cell>
        </row>
        <row r="4215">
          <cell r="P4215">
            <v>0</v>
          </cell>
        </row>
        <row r="4216">
          <cell r="P4216">
            <v>0</v>
          </cell>
        </row>
        <row r="4217">
          <cell r="P4217">
            <v>0</v>
          </cell>
        </row>
        <row r="4218">
          <cell r="P4218">
            <v>0</v>
          </cell>
        </row>
        <row r="4219">
          <cell r="P4219">
            <v>0</v>
          </cell>
        </row>
        <row r="4220">
          <cell r="P4220">
            <v>0</v>
          </cell>
        </row>
        <row r="4221">
          <cell r="P4221">
            <v>0</v>
          </cell>
        </row>
        <row r="4222">
          <cell r="P4222">
            <v>0</v>
          </cell>
        </row>
        <row r="4223">
          <cell r="P4223">
            <v>0</v>
          </cell>
        </row>
        <row r="4224">
          <cell r="P4224">
            <v>0</v>
          </cell>
        </row>
        <row r="4225">
          <cell r="P4225">
            <v>0</v>
          </cell>
        </row>
        <row r="4226">
          <cell r="P4226">
            <v>0</v>
          </cell>
        </row>
        <row r="4227">
          <cell r="P4227">
            <v>0</v>
          </cell>
        </row>
        <row r="4228">
          <cell r="P4228">
            <v>0</v>
          </cell>
        </row>
        <row r="4229">
          <cell r="P4229">
            <v>0</v>
          </cell>
        </row>
        <row r="4230">
          <cell r="P4230">
            <v>0</v>
          </cell>
        </row>
        <row r="4231">
          <cell r="P4231">
            <v>0</v>
          </cell>
        </row>
        <row r="4232">
          <cell r="P4232">
            <v>0</v>
          </cell>
        </row>
        <row r="4233">
          <cell r="P4233">
            <v>0</v>
          </cell>
        </row>
        <row r="4234">
          <cell r="P4234">
            <v>0</v>
          </cell>
        </row>
        <row r="4235">
          <cell r="P4235">
            <v>0</v>
          </cell>
        </row>
        <row r="4236">
          <cell r="P4236">
            <v>0</v>
          </cell>
        </row>
        <row r="4237">
          <cell r="P4237">
            <v>0</v>
          </cell>
        </row>
        <row r="4238">
          <cell r="P4238">
            <v>0</v>
          </cell>
        </row>
        <row r="4239">
          <cell r="P4239">
            <v>0</v>
          </cell>
        </row>
        <row r="4240">
          <cell r="P4240">
            <v>0</v>
          </cell>
        </row>
        <row r="4241">
          <cell r="P4241">
            <v>0</v>
          </cell>
        </row>
        <row r="4242">
          <cell r="P4242">
            <v>0</v>
          </cell>
        </row>
        <row r="4243">
          <cell r="P4243">
            <v>0</v>
          </cell>
        </row>
        <row r="4244">
          <cell r="P4244">
            <v>0</v>
          </cell>
        </row>
        <row r="4245">
          <cell r="P4245">
            <v>0</v>
          </cell>
        </row>
        <row r="4246">
          <cell r="P4246">
            <v>0</v>
          </cell>
        </row>
        <row r="4247">
          <cell r="P4247">
            <v>0</v>
          </cell>
        </row>
        <row r="4248">
          <cell r="P4248">
            <v>0</v>
          </cell>
        </row>
        <row r="4249">
          <cell r="P4249">
            <v>0</v>
          </cell>
        </row>
        <row r="4250">
          <cell r="P4250">
            <v>0</v>
          </cell>
        </row>
        <row r="4251">
          <cell r="P4251">
            <v>0</v>
          </cell>
        </row>
        <row r="4252">
          <cell r="P4252">
            <v>0</v>
          </cell>
        </row>
        <row r="4253">
          <cell r="P4253">
            <v>0</v>
          </cell>
        </row>
        <row r="4254">
          <cell r="P4254">
            <v>0</v>
          </cell>
        </row>
        <row r="4255">
          <cell r="P4255">
            <v>0</v>
          </cell>
        </row>
        <row r="4256">
          <cell r="P4256">
            <v>0</v>
          </cell>
        </row>
        <row r="4257">
          <cell r="P4257">
            <v>0</v>
          </cell>
        </row>
        <row r="4258">
          <cell r="P4258">
            <v>0</v>
          </cell>
        </row>
        <row r="4259">
          <cell r="P4259">
            <v>0</v>
          </cell>
        </row>
        <row r="4260">
          <cell r="P4260">
            <v>0</v>
          </cell>
        </row>
        <row r="4261">
          <cell r="P4261">
            <v>0</v>
          </cell>
        </row>
        <row r="4262">
          <cell r="P4262">
            <v>0</v>
          </cell>
        </row>
        <row r="4263">
          <cell r="P4263">
            <v>0</v>
          </cell>
        </row>
        <row r="4264">
          <cell r="P4264">
            <v>0</v>
          </cell>
        </row>
        <row r="4265">
          <cell r="P4265">
            <v>0</v>
          </cell>
        </row>
        <row r="4266">
          <cell r="P4266">
            <v>0</v>
          </cell>
        </row>
        <row r="4267">
          <cell r="P4267">
            <v>0</v>
          </cell>
        </row>
        <row r="4268">
          <cell r="P4268">
            <v>0</v>
          </cell>
        </row>
        <row r="4269">
          <cell r="P4269">
            <v>0</v>
          </cell>
        </row>
        <row r="4270">
          <cell r="P4270">
            <v>0</v>
          </cell>
        </row>
        <row r="4271">
          <cell r="P4271">
            <v>0</v>
          </cell>
        </row>
        <row r="4272">
          <cell r="P4272">
            <v>0</v>
          </cell>
        </row>
        <row r="4273">
          <cell r="P4273">
            <v>0</v>
          </cell>
        </row>
        <row r="4274">
          <cell r="P4274">
            <v>0</v>
          </cell>
        </row>
        <row r="4275">
          <cell r="P4275">
            <v>0</v>
          </cell>
        </row>
        <row r="4276">
          <cell r="P4276">
            <v>0</v>
          </cell>
        </row>
        <row r="4277">
          <cell r="P4277">
            <v>0</v>
          </cell>
        </row>
        <row r="4278">
          <cell r="P4278">
            <v>0</v>
          </cell>
        </row>
        <row r="4279">
          <cell r="P4279">
            <v>0</v>
          </cell>
        </row>
        <row r="4280">
          <cell r="P4280">
            <v>0</v>
          </cell>
        </row>
        <row r="4281">
          <cell r="P4281">
            <v>0</v>
          </cell>
        </row>
        <row r="4282">
          <cell r="P4282">
            <v>0</v>
          </cell>
        </row>
        <row r="4283">
          <cell r="P4283">
            <v>0</v>
          </cell>
        </row>
        <row r="4284">
          <cell r="P4284">
            <v>0</v>
          </cell>
        </row>
        <row r="4285">
          <cell r="P4285">
            <v>0</v>
          </cell>
        </row>
        <row r="4286">
          <cell r="P4286">
            <v>0</v>
          </cell>
        </row>
        <row r="4287">
          <cell r="P4287">
            <v>0</v>
          </cell>
        </row>
        <row r="4288">
          <cell r="P4288">
            <v>0</v>
          </cell>
        </row>
        <row r="4289">
          <cell r="P4289">
            <v>0</v>
          </cell>
        </row>
        <row r="4290">
          <cell r="P4290">
            <v>0</v>
          </cell>
        </row>
        <row r="4291">
          <cell r="P4291">
            <v>0</v>
          </cell>
        </row>
        <row r="4292">
          <cell r="P4292">
            <v>0</v>
          </cell>
        </row>
        <row r="4293">
          <cell r="P4293">
            <v>0</v>
          </cell>
        </row>
        <row r="4294">
          <cell r="P4294">
            <v>0</v>
          </cell>
        </row>
        <row r="4295">
          <cell r="P4295">
            <v>0</v>
          </cell>
        </row>
        <row r="4296">
          <cell r="P4296">
            <v>0</v>
          </cell>
        </row>
        <row r="4297">
          <cell r="P4297">
            <v>0</v>
          </cell>
        </row>
        <row r="4298">
          <cell r="P4298">
            <v>0</v>
          </cell>
        </row>
        <row r="4299">
          <cell r="P4299">
            <v>0</v>
          </cell>
        </row>
        <row r="4300">
          <cell r="P4300">
            <v>0</v>
          </cell>
        </row>
        <row r="4301">
          <cell r="P4301">
            <v>0</v>
          </cell>
        </row>
        <row r="4302">
          <cell r="P4302">
            <v>0</v>
          </cell>
        </row>
        <row r="4303">
          <cell r="P4303">
            <v>0</v>
          </cell>
        </row>
        <row r="4304">
          <cell r="P4304">
            <v>0</v>
          </cell>
        </row>
        <row r="4305">
          <cell r="P4305">
            <v>0</v>
          </cell>
        </row>
        <row r="4306">
          <cell r="P4306">
            <v>0</v>
          </cell>
        </row>
        <row r="4307">
          <cell r="P4307">
            <v>0</v>
          </cell>
        </row>
        <row r="4308">
          <cell r="P4308">
            <v>0</v>
          </cell>
        </row>
        <row r="4309">
          <cell r="P4309">
            <v>0</v>
          </cell>
        </row>
        <row r="4310">
          <cell r="P4310">
            <v>0</v>
          </cell>
        </row>
        <row r="4311">
          <cell r="P4311">
            <v>0</v>
          </cell>
        </row>
        <row r="4312">
          <cell r="P4312">
            <v>0</v>
          </cell>
        </row>
        <row r="4313">
          <cell r="P4313">
            <v>0</v>
          </cell>
        </row>
        <row r="4314">
          <cell r="P4314">
            <v>0</v>
          </cell>
        </row>
        <row r="4315">
          <cell r="P4315">
            <v>0</v>
          </cell>
        </row>
        <row r="4316">
          <cell r="P4316">
            <v>0</v>
          </cell>
        </row>
        <row r="4317">
          <cell r="P4317">
            <v>0</v>
          </cell>
        </row>
        <row r="4318">
          <cell r="P4318">
            <v>0</v>
          </cell>
        </row>
        <row r="4319">
          <cell r="P4319">
            <v>0</v>
          </cell>
        </row>
        <row r="4320">
          <cell r="P4320">
            <v>0</v>
          </cell>
        </row>
        <row r="4321">
          <cell r="P4321">
            <v>0</v>
          </cell>
        </row>
        <row r="4322">
          <cell r="P4322">
            <v>0</v>
          </cell>
        </row>
        <row r="4323">
          <cell r="P4323">
            <v>0</v>
          </cell>
        </row>
        <row r="4324">
          <cell r="P4324">
            <v>0</v>
          </cell>
        </row>
        <row r="4325">
          <cell r="P4325">
            <v>0</v>
          </cell>
        </row>
        <row r="4326">
          <cell r="P4326">
            <v>0</v>
          </cell>
        </row>
        <row r="4327">
          <cell r="P4327">
            <v>0</v>
          </cell>
        </row>
        <row r="4328">
          <cell r="P4328">
            <v>0</v>
          </cell>
        </row>
        <row r="4329">
          <cell r="P4329">
            <v>0</v>
          </cell>
        </row>
        <row r="4330">
          <cell r="P4330">
            <v>0</v>
          </cell>
        </row>
        <row r="4331">
          <cell r="P4331">
            <v>0</v>
          </cell>
        </row>
        <row r="4332">
          <cell r="P4332">
            <v>0</v>
          </cell>
        </row>
        <row r="4333">
          <cell r="P4333">
            <v>0</v>
          </cell>
        </row>
        <row r="4334">
          <cell r="P4334">
            <v>0</v>
          </cell>
        </row>
        <row r="4335">
          <cell r="P4335">
            <v>0</v>
          </cell>
        </row>
        <row r="4336">
          <cell r="P4336">
            <v>0</v>
          </cell>
        </row>
        <row r="4337">
          <cell r="P4337">
            <v>0</v>
          </cell>
        </row>
        <row r="4338">
          <cell r="P4338">
            <v>0</v>
          </cell>
        </row>
        <row r="4339">
          <cell r="P4339">
            <v>0</v>
          </cell>
        </row>
        <row r="4340">
          <cell r="P4340">
            <v>0</v>
          </cell>
        </row>
        <row r="4341">
          <cell r="P4341">
            <v>0</v>
          </cell>
        </row>
        <row r="4342">
          <cell r="P4342">
            <v>0</v>
          </cell>
        </row>
        <row r="4343">
          <cell r="P4343">
            <v>0</v>
          </cell>
        </row>
        <row r="4344">
          <cell r="P4344">
            <v>0</v>
          </cell>
        </row>
        <row r="4345">
          <cell r="P4345">
            <v>0</v>
          </cell>
        </row>
        <row r="4346">
          <cell r="P4346">
            <v>0</v>
          </cell>
        </row>
        <row r="4347">
          <cell r="P4347">
            <v>0</v>
          </cell>
        </row>
        <row r="4348">
          <cell r="P4348">
            <v>0</v>
          </cell>
        </row>
        <row r="4349">
          <cell r="P4349">
            <v>0</v>
          </cell>
        </row>
        <row r="4350">
          <cell r="P4350">
            <v>0</v>
          </cell>
        </row>
        <row r="4351">
          <cell r="P4351">
            <v>0</v>
          </cell>
        </row>
        <row r="4352">
          <cell r="P4352">
            <v>0</v>
          </cell>
        </row>
        <row r="4353">
          <cell r="P4353">
            <v>0</v>
          </cell>
        </row>
        <row r="4354">
          <cell r="P4354">
            <v>0</v>
          </cell>
        </row>
        <row r="4355">
          <cell r="P4355">
            <v>0</v>
          </cell>
        </row>
        <row r="4356">
          <cell r="P4356">
            <v>0</v>
          </cell>
        </row>
        <row r="4357">
          <cell r="P4357">
            <v>0</v>
          </cell>
        </row>
        <row r="4358">
          <cell r="P4358">
            <v>0</v>
          </cell>
        </row>
        <row r="4359">
          <cell r="P4359">
            <v>0</v>
          </cell>
        </row>
        <row r="4360">
          <cell r="P4360">
            <v>0</v>
          </cell>
        </row>
        <row r="4361">
          <cell r="P4361">
            <v>0</v>
          </cell>
        </row>
        <row r="4362">
          <cell r="P4362">
            <v>0</v>
          </cell>
        </row>
        <row r="4363">
          <cell r="P4363">
            <v>0</v>
          </cell>
        </row>
        <row r="4364">
          <cell r="P4364">
            <v>0</v>
          </cell>
        </row>
        <row r="4365">
          <cell r="P4365">
            <v>0</v>
          </cell>
        </row>
        <row r="4366">
          <cell r="P4366">
            <v>0</v>
          </cell>
        </row>
        <row r="4367">
          <cell r="P4367">
            <v>0</v>
          </cell>
        </row>
        <row r="4368">
          <cell r="P4368">
            <v>0</v>
          </cell>
        </row>
        <row r="4369">
          <cell r="P4369">
            <v>0</v>
          </cell>
        </row>
        <row r="4370">
          <cell r="P4370">
            <v>0</v>
          </cell>
        </row>
        <row r="4371">
          <cell r="P4371">
            <v>0</v>
          </cell>
        </row>
        <row r="4372">
          <cell r="P4372">
            <v>0</v>
          </cell>
        </row>
        <row r="4373">
          <cell r="P4373">
            <v>0</v>
          </cell>
        </row>
        <row r="4374">
          <cell r="P4374">
            <v>0</v>
          </cell>
        </row>
        <row r="4375">
          <cell r="P4375">
            <v>0</v>
          </cell>
        </row>
        <row r="4376">
          <cell r="P4376">
            <v>0</v>
          </cell>
        </row>
        <row r="4377">
          <cell r="P4377">
            <v>0</v>
          </cell>
        </row>
        <row r="4378">
          <cell r="P4378">
            <v>0</v>
          </cell>
        </row>
        <row r="4379">
          <cell r="P4379">
            <v>0</v>
          </cell>
        </row>
        <row r="4380">
          <cell r="P4380">
            <v>0</v>
          </cell>
        </row>
        <row r="4381">
          <cell r="P4381">
            <v>0</v>
          </cell>
        </row>
        <row r="4382">
          <cell r="P4382">
            <v>0</v>
          </cell>
        </row>
        <row r="4383">
          <cell r="P4383">
            <v>0</v>
          </cell>
        </row>
        <row r="4384">
          <cell r="P4384">
            <v>0</v>
          </cell>
        </row>
        <row r="4385">
          <cell r="P4385">
            <v>0</v>
          </cell>
        </row>
        <row r="4386">
          <cell r="P4386">
            <v>0</v>
          </cell>
        </row>
        <row r="4387">
          <cell r="P4387">
            <v>0</v>
          </cell>
        </row>
        <row r="4388">
          <cell r="P4388">
            <v>0</v>
          </cell>
        </row>
        <row r="4389">
          <cell r="P4389">
            <v>0</v>
          </cell>
        </row>
        <row r="4390">
          <cell r="P4390">
            <v>0</v>
          </cell>
        </row>
        <row r="4391">
          <cell r="P4391">
            <v>0</v>
          </cell>
        </row>
        <row r="4392">
          <cell r="P4392">
            <v>0</v>
          </cell>
        </row>
        <row r="4393">
          <cell r="P4393">
            <v>0</v>
          </cell>
        </row>
        <row r="4394">
          <cell r="P4394">
            <v>0</v>
          </cell>
        </row>
        <row r="4395">
          <cell r="P4395">
            <v>0</v>
          </cell>
        </row>
        <row r="4396">
          <cell r="P4396">
            <v>0</v>
          </cell>
        </row>
        <row r="4397">
          <cell r="P4397">
            <v>0</v>
          </cell>
        </row>
        <row r="4398">
          <cell r="P4398">
            <v>0</v>
          </cell>
        </row>
        <row r="4399">
          <cell r="P4399">
            <v>0</v>
          </cell>
        </row>
        <row r="4400">
          <cell r="P4400">
            <v>0</v>
          </cell>
        </row>
        <row r="4401">
          <cell r="P4401">
            <v>0</v>
          </cell>
        </row>
        <row r="4402">
          <cell r="P4402">
            <v>0</v>
          </cell>
        </row>
        <row r="4403">
          <cell r="P4403">
            <v>0</v>
          </cell>
        </row>
        <row r="4404">
          <cell r="P4404">
            <v>0</v>
          </cell>
        </row>
        <row r="4405">
          <cell r="P4405">
            <v>0</v>
          </cell>
        </row>
        <row r="4406">
          <cell r="P4406">
            <v>0</v>
          </cell>
        </row>
        <row r="4407">
          <cell r="P4407">
            <v>0</v>
          </cell>
        </row>
        <row r="4408">
          <cell r="P4408">
            <v>0</v>
          </cell>
        </row>
        <row r="4409">
          <cell r="P4409">
            <v>0</v>
          </cell>
        </row>
        <row r="4410">
          <cell r="P4410">
            <v>0</v>
          </cell>
        </row>
        <row r="4411">
          <cell r="P4411">
            <v>0</v>
          </cell>
        </row>
        <row r="4412">
          <cell r="P4412">
            <v>0</v>
          </cell>
        </row>
        <row r="4413">
          <cell r="P4413">
            <v>0</v>
          </cell>
        </row>
        <row r="4414">
          <cell r="P4414">
            <v>0</v>
          </cell>
        </row>
        <row r="4415">
          <cell r="P4415">
            <v>0</v>
          </cell>
        </row>
        <row r="4416">
          <cell r="P4416">
            <v>0</v>
          </cell>
        </row>
        <row r="4417">
          <cell r="P4417">
            <v>0</v>
          </cell>
        </row>
        <row r="4418">
          <cell r="P4418">
            <v>0</v>
          </cell>
        </row>
        <row r="4419">
          <cell r="P4419">
            <v>0</v>
          </cell>
        </row>
        <row r="4420">
          <cell r="P4420">
            <v>0</v>
          </cell>
        </row>
        <row r="4421">
          <cell r="P4421">
            <v>0</v>
          </cell>
        </row>
        <row r="4422">
          <cell r="P4422">
            <v>0</v>
          </cell>
        </row>
        <row r="4423">
          <cell r="P4423">
            <v>0</v>
          </cell>
        </row>
        <row r="4424">
          <cell r="P4424">
            <v>0</v>
          </cell>
        </row>
        <row r="4425">
          <cell r="P4425">
            <v>0</v>
          </cell>
        </row>
        <row r="4426">
          <cell r="P4426">
            <v>0</v>
          </cell>
        </row>
        <row r="4427">
          <cell r="P4427">
            <v>0</v>
          </cell>
        </row>
        <row r="4428">
          <cell r="P4428">
            <v>0</v>
          </cell>
        </row>
        <row r="4429">
          <cell r="P4429">
            <v>0</v>
          </cell>
        </row>
        <row r="4430">
          <cell r="P4430">
            <v>0</v>
          </cell>
        </row>
        <row r="4431">
          <cell r="P4431">
            <v>0</v>
          </cell>
        </row>
        <row r="4432">
          <cell r="P4432">
            <v>0</v>
          </cell>
        </row>
        <row r="4433">
          <cell r="P4433">
            <v>0</v>
          </cell>
        </row>
        <row r="4434">
          <cell r="P4434">
            <v>0</v>
          </cell>
        </row>
        <row r="4435">
          <cell r="P4435">
            <v>0</v>
          </cell>
        </row>
        <row r="4436">
          <cell r="P4436">
            <v>0</v>
          </cell>
        </row>
        <row r="4437">
          <cell r="P4437">
            <v>0</v>
          </cell>
        </row>
        <row r="4438">
          <cell r="P4438">
            <v>0</v>
          </cell>
        </row>
        <row r="4439">
          <cell r="P4439">
            <v>0</v>
          </cell>
        </row>
        <row r="4440">
          <cell r="P4440">
            <v>0</v>
          </cell>
        </row>
        <row r="4441">
          <cell r="P4441">
            <v>0</v>
          </cell>
        </row>
        <row r="4442">
          <cell r="P4442">
            <v>0</v>
          </cell>
        </row>
        <row r="4443">
          <cell r="P4443">
            <v>0</v>
          </cell>
        </row>
        <row r="4444">
          <cell r="P4444">
            <v>0</v>
          </cell>
        </row>
        <row r="4445">
          <cell r="P4445">
            <v>0</v>
          </cell>
        </row>
        <row r="4446">
          <cell r="P4446">
            <v>0</v>
          </cell>
        </row>
        <row r="4447">
          <cell r="P4447">
            <v>0</v>
          </cell>
        </row>
        <row r="4448">
          <cell r="P4448">
            <v>0</v>
          </cell>
        </row>
        <row r="4449">
          <cell r="P4449">
            <v>0</v>
          </cell>
        </row>
        <row r="4450">
          <cell r="P4450">
            <v>0</v>
          </cell>
        </row>
        <row r="4451">
          <cell r="P4451">
            <v>0</v>
          </cell>
        </row>
        <row r="4452">
          <cell r="P4452">
            <v>0</v>
          </cell>
        </row>
        <row r="4453">
          <cell r="P4453">
            <v>0</v>
          </cell>
        </row>
        <row r="4454">
          <cell r="P4454">
            <v>0</v>
          </cell>
        </row>
        <row r="4455">
          <cell r="P4455">
            <v>0</v>
          </cell>
        </row>
        <row r="4456">
          <cell r="P4456">
            <v>0</v>
          </cell>
        </row>
        <row r="4457">
          <cell r="P4457">
            <v>0</v>
          </cell>
        </row>
        <row r="4458">
          <cell r="P4458">
            <v>0</v>
          </cell>
        </row>
        <row r="4459">
          <cell r="P4459">
            <v>0</v>
          </cell>
        </row>
        <row r="4460">
          <cell r="P4460">
            <v>0</v>
          </cell>
        </row>
        <row r="4461">
          <cell r="P4461">
            <v>0</v>
          </cell>
        </row>
        <row r="4462">
          <cell r="P4462">
            <v>0</v>
          </cell>
        </row>
        <row r="4463">
          <cell r="P4463">
            <v>0</v>
          </cell>
        </row>
        <row r="4464">
          <cell r="P4464">
            <v>0</v>
          </cell>
        </row>
        <row r="4465">
          <cell r="P4465">
            <v>0</v>
          </cell>
        </row>
        <row r="4466">
          <cell r="P4466">
            <v>0</v>
          </cell>
        </row>
        <row r="4467">
          <cell r="P4467">
            <v>0</v>
          </cell>
        </row>
        <row r="4468">
          <cell r="P4468">
            <v>0</v>
          </cell>
        </row>
        <row r="4469">
          <cell r="P4469">
            <v>0</v>
          </cell>
        </row>
        <row r="4470">
          <cell r="P4470">
            <v>0</v>
          </cell>
        </row>
        <row r="4471">
          <cell r="P4471">
            <v>0</v>
          </cell>
        </row>
        <row r="4472">
          <cell r="P4472">
            <v>0</v>
          </cell>
        </row>
        <row r="4473">
          <cell r="P4473">
            <v>0</v>
          </cell>
        </row>
        <row r="4474">
          <cell r="P4474">
            <v>0</v>
          </cell>
        </row>
        <row r="4475">
          <cell r="P4475">
            <v>0</v>
          </cell>
        </row>
        <row r="4476">
          <cell r="P4476">
            <v>0</v>
          </cell>
        </row>
        <row r="4477">
          <cell r="P4477">
            <v>0</v>
          </cell>
        </row>
        <row r="4478">
          <cell r="P4478">
            <v>0</v>
          </cell>
        </row>
        <row r="4479">
          <cell r="P4479">
            <v>0</v>
          </cell>
        </row>
        <row r="4480">
          <cell r="P4480">
            <v>0</v>
          </cell>
        </row>
        <row r="4481">
          <cell r="P4481">
            <v>0</v>
          </cell>
        </row>
        <row r="4482">
          <cell r="P4482">
            <v>0</v>
          </cell>
        </row>
        <row r="4483">
          <cell r="P4483">
            <v>0</v>
          </cell>
        </row>
        <row r="4484">
          <cell r="P4484">
            <v>0</v>
          </cell>
        </row>
        <row r="4485">
          <cell r="P4485">
            <v>0</v>
          </cell>
        </row>
        <row r="4486">
          <cell r="P4486">
            <v>0</v>
          </cell>
        </row>
        <row r="4487">
          <cell r="P4487">
            <v>0</v>
          </cell>
        </row>
        <row r="4488">
          <cell r="P4488">
            <v>0</v>
          </cell>
        </row>
        <row r="4489">
          <cell r="P4489">
            <v>0</v>
          </cell>
        </row>
        <row r="4490">
          <cell r="P4490">
            <v>0</v>
          </cell>
        </row>
        <row r="4491">
          <cell r="P4491">
            <v>0</v>
          </cell>
        </row>
        <row r="4492">
          <cell r="P4492">
            <v>0</v>
          </cell>
        </row>
        <row r="4493">
          <cell r="P4493">
            <v>0</v>
          </cell>
        </row>
        <row r="4494">
          <cell r="P4494">
            <v>0</v>
          </cell>
        </row>
        <row r="4495">
          <cell r="P4495">
            <v>0</v>
          </cell>
        </row>
        <row r="4496">
          <cell r="P4496">
            <v>0</v>
          </cell>
        </row>
        <row r="4497">
          <cell r="P4497">
            <v>0</v>
          </cell>
        </row>
        <row r="4498">
          <cell r="P4498">
            <v>0</v>
          </cell>
        </row>
        <row r="4499">
          <cell r="P4499">
            <v>0</v>
          </cell>
        </row>
        <row r="4500">
          <cell r="P4500">
            <v>0</v>
          </cell>
        </row>
        <row r="4501">
          <cell r="P4501">
            <v>0</v>
          </cell>
        </row>
        <row r="4502">
          <cell r="P4502">
            <v>0</v>
          </cell>
        </row>
        <row r="4503">
          <cell r="P4503">
            <v>0</v>
          </cell>
        </row>
        <row r="4504">
          <cell r="P4504">
            <v>0</v>
          </cell>
        </row>
        <row r="4505">
          <cell r="P4505">
            <v>0</v>
          </cell>
        </row>
        <row r="4506">
          <cell r="P4506">
            <v>0</v>
          </cell>
        </row>
        <row r="4507">
          <cell r="P4507">
            <v>0</v>
          </cell>
        </row>
        <row r="4508">
          <cell r="P4508">
            <v>0</v>
          </cell>
        </row>
        <row r="4509">
          <cell r="P4509">
            <v>0</v>
          </cell>
        </row>
        <row r="4510">
          <cell r="P4510">
            <v>0</v>
          </cell>
        </row>
        <row r="4511">
          <cell r="P4511">
            <v>0</v>
          </cell>
        </row>
        <row r="4512">
          <cell r="P4512">
            <v>0</v>
          </cell>
        </row>
        <row r="4513">
          <cell r="P4513">
            <v>0</v>
          </cell>
        </row>
        <row r="4514">
          <cell r="P4514">
            <v>0</v>
          </cell>
        </row>
        <row r="4515">
          <cell r="P4515">
            <v>0</v>
          </cell>
        </row>
        <row r="4516">
          <cell r="P4516">
            <v>0</v>
          </cell>
        </row>
        <row r="4517">
          <cell r="P4517">
            <v>0</v>
          </cell>
        </row>
        <row r="4518">
          <cell r="P4518">
            <v>0</v>
          </cell>
        </row>
        <row r="4519">
          <cell r="P4519">
            <v>0</v>
          </cell>
        </row>
        <row r="4520">
          <cell r="P4520">
            <v>0</v>
          </cell>
        </row>
        <row r="4521">
          <cell r="P4521">
            <v>0</v>
          </cell>
        </row>
        <row r="4522">
          <cell r="P4522">
            <v>0</v>
          </cell>
        </row>
        <row r="4523">
          <cell r="P4523">
            <v>0</v>
          </cell>
        </row>
        <row r="4524">
          <cell r="P4524">
            <v>0</v>
          </cell>
        </row>
        <row r="4525">
          <cell r="P4525">
            <v>0</v>
          </cell>
        </row>
        <row r="4526">
          <cell r="P4526">
            <v>0</v>
          </cell>
        </row>
        <row r="4527">
          <cell r="P4527">
            <v>0</v>
          </cell>
        </row>
        <row r="4528">
          <cell r="P4528">
            <v>0</v>
          </cell>
        </row>
        <row r="4529">
          <cell r="P4529">
            <v>0</v>
          </cell>
        </row>
        <row r="4530">
          <cell r="P4530">
            <v>0</v>
          </cell>
        </row>
        <row r="4531">
          <cell r="P4531">
            <v>0</v>
          </cell>
        </row>
        <row r="4532">
          <cell r="P4532">
            <v>0</v>
          </cell>
        </row>
        <row r="4533">
          <cell r="P4533">
            <v>0</v>
          </cell>
        </row>
        <row r="4534">
          <cell r="P4534">
            <v>0</v>
          </cell>
        </row>
        <row r="4535">
          <cell r="P4535">
            <v>0</v>
          </cell>
        </row>
        <row r="4536">
          <cell r="P4536">
            <v>0</v>
          </cell>
        </row>
        <row r="4537">
          <cell r="P4537">
            <v>0</v>
          </cell>
        </row>
        <row r="4538">
          <cell r="P4538">
            <v>0</v>
          </cell>
        </row>
        <row r="4539">
          <cell r="P4539">
            <v>0</v>
          </cell>
        </row>
        <row r="4540">
          <cell r="P4540">
            <v>0</v>
          </cell>
        </row>
        <row r="4541">
          <cell r="P4541">
            <v>0</v>
          </cell>
        </row>
        <row r="4542">
          <cell r="P4542">
            <v>0</v>
          </cell>
        </row>
        <row r="4543">
          <cell r="P4543">
            <v>0</v>
          </cell>
        </row>
        <row r="4544">
          <cell r="P4544">
            <v>0</v>
          </cell>
        </row>
        <row r="4545">
          <cell r="P4545">
            <v>0</v>
          </cell>
        </row>
        <row r="4546">
          <cell r="P4546">
            <v>0</v>
          </cell>
        </row>
        <row r="4547">
          <cell r="P4547">
            <v>0</v>
          </cell>
        </row>
        <row r="4548">
          <cell r="P4548">
            <v>0</v>
          </cell>
        </row>
        <row r="4549">
          <cell r="P4549">
            <v>0</v>
          </cell>
        </row>
        <row r="4550">
          <cell r="P4550">
            <v>0</v>
          </cell>
        </row>
        <row r="4551">
          <cell r="P4551">
            <v>0</v>
          </cell>
        </row>
        <row r="4552">
          <cell r="P4552">
            <v>0</v>
          </cell>
        </row>
        <row r="4553">
          <cell r="P4553">
            <v>0</v>
          </cell>
        </row>
        <row r="4554">
          <cell r="P4554">
            <v>0</v>
          </cell>
        </row>
        <row r="4555">
          <cell r="P4555">
            <v>0</v>
          </cell>
        </row>
        <row r="4556">
          <cell r="P4556">
            <v>0</v>
          </cell>
        </row>
        <row r="4557">
          <cell r="P4557">
            <v>0</v>
          </cell>
        </row>
        <row r="4558">
          <cell r="P4558">
            <v>0</v>
          </cell>
        </row>
        <row r="4559">
          <cell r="P4559">
            <v>0</v>
          </cell>
        </row>
        <row r="4560">
          <cell r="P4560">
            <v>0</v>
          </cell>
        </row>
        <row r="4561">
          <cell r="P4561">
            <v>0</v>
          </cell>
        </row>
        <row r="4562">
          <cell r="P4562">
            <v>0</v>
          </cell>
        </row>
        <row r="4563">
          <cell r="P4563">
            <v>0</v>
          </cell>
        </row>
        <row r="4564">
          <cell r="P4564">
            <v>0</v>
          </cell>
        </row>
        <row r="4565">
          <cell r="P4565">
            <v>0</v>
          </cell>
        </row>
        <row r="4566">
          <cell r="P4566">
            <v>0</v>
          </cell>
        </row>
        <row r="4567">
          <cell r="P4567">
            <v>0</v>
          </cell>
        </row>
        <row r="4568">
          <cell r="P4568">
            <v>0</v>
          </cell>
        </row>
        <row r="4569">
          <cell r="P4569">
            <v>0</v>
          </cell>
        </row>
        <row r="4570">
          <cell r="P4570">
            <v>0</v>
          </cell>
        </row>
        <row r="4571">
          <cell r="P4571">
            <v>0</v>
          </cell>
        </row>
        <row r="4572">
          <cell r="P4572">
            <v>0</v>
          </cell>
        </row>
        <row r="4573">
          <cell r="P4573">
            <v>0</v>
          </cell>
        </row>
        <row r="4574">
          <cell r="P4574">
            <v>0</v>
          </cell>
        </row>
        <row r="4575">
          <cell r="P4575">
            <v>0</v>
          </cell>
        </row>
        <row r="4576">
          <cell r="P4576">
            <v>0</v>
          </cell>
        </row>
        <row r="4577">
          <cell r="P4577">
            <v>0</v>
          </cell>
        </row>
        <row r="4578">
          <cell r="P4578">
            <v>0</v>
          </cell>
        </row>
        <row r="4579">
          <cell r="P4579">
            <v>0</v>
          </cell>
        </row>
        <row r="4580">
          <cell r="P4580">
            <v>0</v>
          </cell>
        </row>
        <row r="4581">
          <cell r="P4581">
            <v>0</v>
          </cell>
        </row>
        <row r="4582">
          <cell r="P4582">
            <v>0</v>
          </cell>
        </row>
        <row r="4583">
          <cell r="P4583">
            <v>0</v>
          </cell>
        </row>
        <row r="4584">
          <cell r="P4584">
            <v>0</v>
          </cell>
        </row>
        <row r="4585">
          <cell r="P4585">
            <v>0</v>
          </cell>
        </row>
        <row r="4586">
          <cell r="P4586">
            <v>0</v>
          </cell>
        </row>
        <row r="4587">
          <cell r="P4587">
            <v>0</v>
          </cell>
        </row>
        <row r="4588">
          <cell r="P4588">
            <v>0</v>
          </cell>
        </row>
        <row r="4589">
          <cell r="P4589">
            <v>0</v>
          </cell>
        </row>
        <row r="4590">
          <cell r="P4590">
            <v>0</v>
          </cell>
        </row>
        <row r="4591">
          <cell r="P4591">
            <v>0</v>
          </cell>
        </row>
        <row r="4592">
          <cell r="P4592">
            <v>0</v>
          </cell>
        </row>
        <row r="4593">
          <cell r="P4593">
            <v>0</v>
          </cell>
        </row>
        <row r="4594">
          <cell r="P4594">
            <v>0</v>
          </cell>
        </row>
        <row r="4595">
          <cell r="P4595">
            <v>0</v>
          </cell>
        </row>
        <row r="4596">
          <cell r="P4596">
            <v>0</v>
          </cell>
        </row>
        <row r="4597">
          <cell r="P4597">
            <v>0</v>
          </cell>
        </row>
        <row r="4598">
          <cell r="P4598">
            <v>0</v>
          </cell>
        </row>
        <row r="4599">
          <cell r="P4599">
            <v>0</v>
          </cell>
        </row>
        <row r="4600">
          <cell r="P4600">
            <v>0</v>
          </cell>
        </row>
        <row r="4601">
          <cell r="P4601">
            <v>0</v>
          </cell>
        </row>
        <row r="4602">
          <cell r="P4602">
            <v>0</v>
          </cell>
        </row>
        <row r="4603">
          <cell r="P4603">
            <v>0</v>
          </cell>
        </row>
        <row r="4604">
          <cell r="P4604">
            <v>0</v>
          </cell>
        </row>
        <row r="4605">
          <cell r="P4605">
            <v>0</v>
          </cell>
        </row>
        <row r="4606">
          <cell r="P4606">
            <v>0</v>
          </cell>
        </row>
        <row r="4607">
          <cell r="P4607">
            <v>0</v>
          </cell>
        </row>
        <row r="4608">
          <cell r="P4608">
            <v>0</v>
          </cell>
        </row>
        <row r="4609">
          <cell r="P4609">
            <v>0</v>
          </cell>
        </row>
        <row r="4610">
          <cell r="P4610">
            <v>0</v>
          </cell>
        </row>
        <row r="4611">
          <cell r="P4611">
            <v>0</v>
          </cell>
        </row>
        <row r="4612">
          <cell r="P4612">
            <v>0</v>
          </cell>
        </row>
        <row r="4613">
          <cell r="P4613">
            <v>0</v>
          </cell>
        </row>
        <row r="4614">
          <cell r="P4614">
            <v>0</v>
          </cell>
        </row>
        <row r="4615">
          <cell r="P4615">
            <v>0</v>
          </cell>
        </row>
        <row r="4616">
          <cell r="P4616">
            <v>0</v>
          </cell>
        </row>
        <row r="4617">
          <cell r="P4617">
            <v>0</v>
          </cell>
        </row>
        <row r="4618">
          <cell r="P4618">
            <v>0</v>
          </cell>
        </row>
        <row r="4619">
          <cell r="P4619">
            <v>0</v>
          </cell>
        </row>
        <row r="4620">
          <cell r="P4620">
            <v>0</v>
          </cell>
        </row>
        <row r="4621">
          <cell r="P4621">
            <v>0</v>
          </cell>
        </row>
        <row r="4622">
          <cell r="P4622">
            <v>0</v>
          </cell>
        </row>
        <row r="4623">
          <cell r="P4623">
            <v>0</v>
          </cell>
        </row>
        <row r="4624">
          <cell r="P4624">
            <v>0</v>
          </cell>
        </row>
        <row r="4625">
          <cell r="P4625">
            <v>0</v>
          </cell>
        </row>
        <row r="4626">
          <cell r="P4626">
            <v>0</v>
          </cell>
        </row>
        <row r="4627">
          <cell r="P4627">
            <v>0</v>
          </cell>
        </row>
        <row r="4628">
          <cell r="P4628">
            <v>0</v>
          </cell>
        </row>
        <row r="4629">
          <cell r="P4629">
            <v>0</v>
          </cell>
        </row>
        <row r="4630">
          <cell r="P4630">
            <v>0</v>
          </cell>
        </row>
        <row r="4631">
          <cell r="P4631">
            <v>0</v>
          </cell>
        </row>
        <row r="4632">
          <cell r="P4632">
            <v>0</v>
          </cell>
        </row>
        <row r="4633">
          <cell r="P4633">
            <v>0</v>
          </cell>
        </row>
        <row r="4634">
          <cell r="P4634">
            <v>0</v>
          </cell>
        </row>
        <row r="4635">
          <cell r="P4635">
            <v>0</v>
          </cell>
        </row>
        <row r="4636">
          <cell r="P4636">
            <v>0</v>
          </cell>
        </row>
        <row r="4637">
          <cell r="P4637">
            <v>0</v>
          </cell>
        </row>
        <row r="4638">
          <cell r="P4638">
            <v>0</v>
          </cell>
        </row>
        <row r="4639">
          <cell r="P4639">
            <v>0</v>
          </cell>
        </row>
        <row r="4640">
          <cell r="P4640">
            <v>0</v>
          </cell>
        </row>
        <row r="4641">
          <cell r="P4641">
            <v>0</v>
          </cell>
        </row>
        <row r="4642">
          <cell r="P4642">
            <v>0</v>
          </cell>
        </row>
        <row r="4643">
          <cell r="P4643">
            <v>0</v>
          </cell>
        </row>
        <row r="4644">
          <cell r="P4644">
            <v>0</v>
          </cell>
        </row>
        <row r="4645">
          <cell r="P4645">
            <v>0</v>
          </cell>
        </row>
        <row r="4646">
          <cell r="P4646">
            <v>0</v>
          </cell>
        </row>
        <row r="4647">
          <cell r="P4647">
            <v>0</v>
          </cell>
        </row>
        <row r="4648">
          <cell r="P4648">
            <v>0</v>
          </cell>
        </row>
        <row r="4649">
          <cell r="P4649">
            <v>0</v>
          </cell>
        </row>
        <row r="4650">
          <cell r="P4650">
            <v>0</v>
          </cell>
        </row>
        <row r="4651">
          <cell r="P4651">
            <v>0</v>
          </cell>
        </row>
        <row r="4652">
          <cell r="P4652">
            <v>0</v>
          </cell>
        </row>
        <row r="4653">
          <cell r="P4653">
            <v>0</v>
          </cell>
        </row>
        <row r="4654">
          <cell r="P4654">
            <v>0</v>
          </cell>
        </row>
        <row r="4655">
          <cell r="P4655">
            <v>0</v>
          </cell>
        </row>
        <row r="4656">
          <cell r="P4656">
            <v>0</v>
          </cell>
        </row>
        <row r="4657">
          <cell r="P4657">
            <v>0</v>
          </cell>
        </row>
        <row r="4658">
          <cell r="P4658">
            <v>0</v>
          </cell>
        </row>
        <row r="4659">
          <cell r="P4659">
            <v>0</v>
          </cell>
        </row>
        <row r="4660">
          <cell r="P4660">
            <v>0</v>
          </cell>
        </row>
        <row r="4661">
          <cell r="P4661">
            <v>0</v>
          </cell>
        </row>
        <row r="4662">
          <cell r="P4662">
            <v>0</v>
          </cell>
        </row>
        <row r="4663">
          <cell r="P4663">
            <v>0</v>
          </cell>
        </row>
        <row r="4664">
          <cell r="P4664">
            <v>0</v>
          </cell>
        </row>
        <row r="4665">
          <cell r="P4665">
            <v>0</v>
          </cell>
        </row>
        <row r="4666">
          <cell r="P4666">
            <v>0</v>
          </cell>
        </row>
        <row r="4667">
          <cell r="P4667">
            <v>0</v>
          </cell>
        </row>
        <row r="4668">
          <cell r="P4668">
            <v>0</v>
          </cell>
        </row>
        <row r="4669">
          <cell r="P4669">
            <v>0</v>
          </cell>
        </row>
        <row r="4670">
          <cell r="P4670">
            <v>0</v>
          </cell>
        </row>
        <row r="4671">
          <cell r="P4671">
            <v>0</v>
          </cell>
        </row>
        <row r="4672">
          <cell r="P4672">
            <v>0</v>
          </cell>
        </row>
        <row r="4673">
          <cell r="P4673">
            <v>0</v>
          </cell>
        </row>
        <row r="4674">
          <cell r="P4674">
            <v>0</v>
          </cell>
        </row>
        <row r="4675">
          <cell r="P4675">
            <v>0</v>
          </cell>
        </row>
        <row r="4676">
          <cell r="P4676">
            <v>0</v>
          </cell>
        </row>
        <row r="4677">
          <cell r="P4677">
            <v>0</v>
          </cell>
        </row>
        <row r="4678">
          <cell r="P4678">
            <v>0</v>
          </cell>
        </row>
        <row r="4679">
          <cell r="P4679">
            <v>0</v>
          </cell>
        </row>
        <row r="4680">
          <cell r="P4680">
            <v>0</v>
          </cell>
        </row>
        <row r="4681">
          <cell r="P4681">
            <v>0</v>
          </cell>
        </row>
        <row r="4682">
          <cell r="P4682">
            <v>0</v>
          </cell>
        </row>
        <row r="4683">
          <cell r="P4683">
            <v>0</v>
          </cell>
        </row>
        <row r="4684">
          <cell r="P4684">
            <v>0</v>
          </cell>
        </row>
        <row r="4685">
          <cell r="P4685">
            <v>0</v>
          </cell>
        </row>
        <row r="4686">
          <cell r="P4686">
            <v>0</v>
          </cell>
        </row>
        <row r="4687">
          <cell r="P4687">
            <v>0</v>
          </cell>
        </row>
        <row r="4688">
          <cell r="P4688">
            <v>0</v>
          </cell>
        </row>
        <row r="4689">
          <cell r="P4689">
            <v>0</v>
          </cell>
        </row>
        <row r="4690">
          <cell r="P4690">
            <v>0</v>
          </cell>
        </row>
        <row r="4691">
          <cell r="P4691">
            <v>0</v>
          </cell>
        </row>
        <row r="4692">
          <cell r="P4692">
            <v>0</v>
          </cell>
        </row>
        <row r="4693">
          <cell r="P4693">
            <v>0</v>
          </cell>
        </row>
        <row r="4694">
          <cell r="P4694">
            <v>0</v>
          </cell>
        </row>
        <row r="4695">
          <cell r="P4695">
            <v>0</v>
          </cell>
        </row>
        <row r="4696">
          <cell r="P4696">
            <v>0</v>
          </cell>
        </row>
        <row r="4697">
          <cell r="P4697">
            <v>0</v>
          </cell>
        </row>
        <row r="4698">
          <cell r="P4698">
            <v>0</v>
          </cell>
        </row>
        <row r="4699">
          <cell r="P4699">
            <v>0</v>
          </cell>
        </row>
        <row r="4700">
          <cell r="P4700">
            <v>0</v>
          </cell>
        </row>
        <row r="4701">
          <cell r="P4701">
            <v>0</v>
          </cell>
        </row>
        <row r="4702">
          <cell r="P4702">
            <v>0</v>
          </cell>
        </row>
        <row r="4703">
          <cell r="P4703">
            <v>0</v>
          </cell>
        </row>
        <row r="4704">
          <cell r="P4704">
            <v>0</v>
          </cell>
        </row>
        <row r="4705">
          <cell r="P4705">
            <v>0</v>
          </cell>
        </row>
        <row r="4706">
          <cell r="P4706">
            <v>0</v>
          </cell>
        </row>
        <row r="4707">
          <cell r="P4707">
            <v>0</v>
          </cell>
        </row>
        <row r="4708">
          <cell r="P4708">
            <v>0</v>
          </cell>
        </row>
        <row r="4709">
          <cell r="P4709">
            <v>0</v>
          </cell>
        </row>
        <row r="4710">
          <cell r="P4710">
            <v>0</v>
          </cell>
        </row>
        <row r="4711">
          <cell r="P4711">
            <v>0</v>
          </cell>
        </row>
        <row r="4712">
          <cell r="P4712">
            <v>0</v>
          </cell>
        </row>
        <row r="4713">
          <cell r="P4713">
            <v>0</v>
          </cell>
        </row>
        <row r="4714">
          <cell r="P4714">
            <v>0</v>
          </cell>
        </row>
        <row r="4715">
          <cell r="P4715">
            <v>0</v>
          </cell>
        </row>
        <row r="4716">
          <cell r="P4716">
            <v>0</v>
          </cell>
        </row>
        <row r="4717">
          <cell r="P4717">
            <v>0</v>
          </cell>
        </row>
        <row r="4718">
          <cell r="P4718">
            <v>0</v>
          </cell>
        </row>
        <row r="4719">
          <cell r="P4719">
            <v>0</v>
          </cell>
        </row>
        <row r="4720">
          <cell r="P4720">
            <v>0</v>
          </cell>
        </row>
        <row r="4721">
          <cell r="P4721">
            <v>0</v>
          </cell>
        </row>
        <row r="4722">
          <cell r="P4722">
            <v>0</v>
          </cell>
        </row>
        <row r="4723">
          <cell r="P4723">
            <v>0</v>
          </cell>
        </row>
        <row r="4724">
          <cell r="P4724">
            <v>0</v>
          </cell>
        </row>
        <row r="4725">
          <cell r="P4725">
            <v>0</v>
          </cell>
        </row>
        <row r="4726">
          <cell r="P4726">
            <v>0</v>
          </cell>
        </row>
        <row r="4727">
          <cell r="P4727">
            <v>0</v>
          </cell>
        </row>
        <row r="4728">
          <cell r="P4728">
            <v>0</v>
          </cell>
        </row>
        <row r="4729">
          <cell r="P4729">
            <v>0</v>
          </cell>
        </row>
        <row r="4730">
          <cell r="P4730">
            <v>0</v>
          </cell>
        </row>
        <row r="4731">
          <cell r="P4731">
            <v>0</v>
          </cell>
        </row>
        <row r="4732">
          <cell r="P4732">
            <v>0</v>
          </cell>
        </row>
        <row r="4733">
          <cell r="P4733">
            <v>0</v>
          </cell>
        </row>
        <row r="4734">
          <cell r="P4734">
            <v>0</v>
          </cell>
        </row>
        <row r="4735">
          <cell r="P4735">
            <v>0</v>
          </cell>
        </row>
        <row r="4736">
          <cell r="P4736">
            <v>0</v>
          </cell>
        </row>
        <row r="4737">
          <cell r="P4737">
            <v>0</v>
          </cell>
        </row>
        <row r="4738">
          <cell r="P4738">
            <v>0</v>
          </cell>
        </row>
        <row r="4739">
          <cell r="P4739">
            <v>0</v>
          </cell>
        </row>
        <row r="4740">
          <cell r="P4740">
            <v>0</v>
          </cell>
        </row>
        <row r="4741">
          <cell r="P4741">
            <v>0</v>
          </cell>
        </row>
        <row r="4742">
          <cell r="P4742">
            <v>0</v>
          </cell>
        </row>
        <row r="4743">
          <cell r="P4743">
            <v>0</v>
          </cell>
        </row>
        <row r="4744">
          <cell r="P4744">
            <v>0</v>
          </cell>
        </row>
        <row r="4745">
          <cell r="P4745">
            <v>0</v>
          </cell>
        </row>
        <row r="4746">
          <cell r="P4746">
            <v>0</v>
          </cell>
        </row>
        <row r="4747">
          <cell r="P4747">
            <v>0</v>
          </cell>
        </row>
        <row r="4748">
          <cell r="P4748">
            <v>0</v>
          </cell>
        </row>
        <row r="4749">
          <cell r="P4749">
            <v>0</v>
          </cell>
        </row>
        <row r="4750">
          <cell r="P4750">
            <v>0</v>
          </cell>
        </row>
        <row r="4751">
          <cell r="P4751">
            <v>0</v>
          </cell>
        </row>
        <row r="4752">
          <cell r="P4752">
            <v>0</v>
          </cell>
        </row>
        <row r="4753">
          <cell r="P4753">
            <v>0</v>
          </cell>
        </row>
        <row r="4754">
          <cell r="P4754">
            <v>0</v>
          </cell>
        </row>
        <row r="4755">
          <cell r="P4755">
            <v>0</v>
          </cell>
        </row>
        <row r="4756">
          <cell r="P4756">
            <v>0</v>
          </cell>
        </row>
        <row r="4757">
          <cell r="P4757">
            <v>0</v>
          </cell>
        </row>
        <row r="4758">
          <cell r="P4758">
            <v>0</v>
          </cell>
        </row>
        <row r="4759">
          <cell r="P4759">
            <v>0</v>
          </cell>
        </row>
        <row r="4760">
          <cell r="P4760">
            <v>0</v>
          </cell>
        </row>
        <row r="4761">
          <cell r="P4761">
            <v>0</v>
          </cell>
        </row>
        <row r="4762">
          <cell r="P4762">
            <v>0</v>
          </cell>
        </row>
        <row r="4763">
          <cell r="P4763">
            <v>0</v>
          </cell>
        </row>
        <row r="4764">
          <cell r="P4764">
            <v>0</v>
          </cell>
        </row>
        <row r="4765">
          <cell r="P4765">
            <v>0</v>
          </cell>
        </row>
        <row r="4766">
          <cell r="P4766">
            <v>0</v>
          </cell>
        </row>
        <row r="4767">
          <cell r="P4767">
            <v>0</v>
          </cell>
        </row>
        <row r="4768">
          <cell r="P4768">
            <v>0</v>
          </cell>
        </row>
        <row r="4769">
          <cell r="P4769">
            <v>0</v>
          </cell>
        </row>
        <row r="4770">
          <cell r="P4770">
            <v>0</v>
          </cell>
        </row>
        <row r="4771">
          <cell r="P4771">
            <v>0</v>
          </cell>
        </row>
        <row r="4772">
          <cell r="P4772">
            <v>0</v>
          </cell>
        </row>
        <row r="4773">
          <cell r="P4773">
            <v>0</v>
          </cell>
        </row>
        <row r="4774">
          <cell r="P4774">
            <v>0</v>
          </cell>
        </row>
        <row r="4775">
          <cell r="P4775">
            <v>0</v>
          </cell>
        </row>
        <row r="4776">
          <cell r="P4776">
            <v>0</v>
          </cell>
        </row>
        <row r="4777">
          <cell r="P4777">
            <v>0</v>
          </cell>
        </row>
        <row r="4778">
          <cell r="P4778">
            <v>0</v>
          </cell>
        </row>
        <row r="4779">
          <cell r="P4779">
            <v>0</v>
          </cell>
        </row>
        <row r="4780">
          <cell r="P4780">
            <v>0</v>
          </cell>
        </row>
        <row r="4781">
          <cell r="P4781">
            <v>0</v>
          </cell>
        </row>
        <row r="4782">
          <cell r="P4782">
            <v>0</v>
          </cell>
        </row>
        <row r="4783">
          <cell r="P4783">
            <v>0</v>
          </cell>
        </row>
        <row r="4784">
          <cell r="P4784">
            <v>0</v>
          </cell>
        </row>
        <row r="4785">
          <cell r="P4785">
            <v>0</v>
          </cell>
        </row>
        <row r="4786">
          <cell r="P4786">
            <v>0</v>
          </cell>
        </row>
        <row r="4787">
          <cell r="P4787">
            <v>0</v>
          </cell>
        </row>
        <row r="4788">
          <cell r="P4788">
            <v>0</v>
          </cell>
        </row>
        <row r="4789">
          <cell r="P4789">
            <v>0</v>
          </cell>
        </row>
        <row r="4790">
          <cell r="P4790">
            <v>0</v>
          </cell>
        </row>
        <row r="4791">
          <cell r="P4791">
            <v>0</v>
          </cell>
        </row>
        <row r="4792">
          <cell r="P4792">
            <v>0</v>
          </cell>
        </row>
        <row r="4793">
          <cell r="P4793">
            <v>0</v>
          </cell>
        </row>
        <row r="4794">
          <cell r="P4794">
            <v>0</v>
          </cell>
        </row>
        <row r="4795">
          <cell r="P4795">
            <v>0</v>
          </cell>
        </row>
        <row r="4796">
          <cell r="P4796">
            <v>0</v>
          </cell>
        </row>
        <row r="4797">
          <cell r="P4797">
            <v>0</v>
          </cell>
        </row>
        <row r="4798">
          <cell r="P4798">
            <v>0</v>
          </cell>
        </row>
        <row r="4799">
          <cell r="P4799">
            <v>0</v>
          </cell>
        </row>
        <row r="4800">
          <cell r="P4800">
            <v>0</v>
          </cell>
        </row>
        <row r="4801">
          <cell r="P4801">
            <v>0</v>
          </cell>
        </row>
        <row r="4802">
          <cell r="P4802">
            <v>0</v>
          </cell>
        </row>
        <row r="4803">
          <cell r="P4803">
            <v>0</v>
          </cell>
        </row>
        <row r="4804">
          <cell r="P4804">
            <v>0</v>
          </cell>
        </row>
        <row r="4805">
          <cell r="P4805">
            <v>0</v>
          </cell>
        </row>
        <row r="4806">
          <cell r="P4806">
            <v>0</v>
          </cell>
        </row>
        <row r="4807">
          <cell r="P4807">
            <v>0</v>
          </cell>
        </row>
        <row r="4808">
          <cell r="P4808">
            <v>0</v>
          </cell>
        </row>
        <row r="4809">
          <cell r="P4809">
            <v>0</v>
          </cell>
        </row>
        <row r="4810">
          <cell r="P4810">
            <v>0</v>
          </cell>
        </row>
        <row r="4811">
          <cell r="P4811">
            <v>0</v>
          </cell>
        </row>
        <row r="4812">
          <cell r="P4812">
            <v>0</v>
          </cell>
        </row>
        <row r="4813">
          <cell r="P4813">
            <v>0</v>
          </cell>
        </row>
        <row r="4814">
          <cell r="P4814">
            <v>0</v>
          </cell>
        </row>
        <row r="4815">
          <cell r="P4815">
            <v>0</v>
          </cell>
        </row>
        <row r="4816">
          <cell r="P4816">
            <v>0</v>
          </cell>
        </row>
        <row r="4817">
          <cell r="P4817">
            <v>0</v>
          </cell>
        </row>
        <row r="4818">
          <cell r="P4818">
            <v>0</v>
          </cell>
        </row>
        <row r="4819">
          <cell r="P4819">
            <v>0</v>
          </cell>
        </row>
        <row r="4820">
          <cell r="P4820">
            <v>0</v>
          </cell>
        </row>
        <row r="4821">
          <cell r="P4821">
            <v>0</v>
          </cell>
        </row>
        <row r="4822">
          <cell r="P4822">
            <v>0</v>
          </cell>
        </row>
        <row r="4823">
          <cell r="P4823">
            <v>0</v>
          </cell>
        </row>
        <row r="4824">
          <cell r="P4824">
            <v>0</v>
          </cell>
        </row>
        <row r="4825">
          <cell r="P4825">
            <v>0</v>
          </cell>
        </row>
        <row r="4826">
          <cell r="P4826">
            <v>0</v>
          </cell>
        </row>
        <row r="4827">
          <cell r="P4827">
            <v>0</v>
          </cell>
        </row>
        <row r="4828">
          <cell r="P4828">
            <v>0</v>
          </cell>
        </row>
        <row r="4829">
          <cell r="P4829">
            <v>0</v>
          </cell>
        </row>
        <row r="4830">
          <cell r="P4830">
            <v>0</v>
          </cell>
        </row>
        <row r="4831">
          <cell r="P4831">
            <v>0</v>
          </cell>
        </row>
        <row r="4832">
          <cell r="P4832">
            <v>0</v>
          </cell>
        </row>
        <row r="4833">
          <cell r="P4833">
            <v>0</v>
          </cell>
        </row>
        <row r="4834">
          <cell r="P4834">
            <v>0</v>
          </cell>
        </row>
        <row r="4835">
          <cell r="P4835">
            <v>0</v>
          </cell>
        </row>
        <row r="4836">
          <cell r="P4836">
            <v>0</v>
          </cell>
        </row>
        <row r="4837">
          <cell r="P4837">
            <v>0</v>
          </cell>
        </row>
        <row r="4838">
          <cell r="P4838">
            <v>0</v>
          </cell>
        </row>
        <row r="4839">
          <cell r="P4839">
            <v>0</v>
          </cell>
        </row>
        <row r="4840">
          <cell r="P4840">
            <v>0</v>
          </cell>
        </row>
        <row r="4841">
          <cell r="P4841">
            <v>0</v>
          </cell>
        </row>
        <row r="4842">
          <cell r="P4842">
            <v>0</v>
          </cell>
        </row>
        <row r="4843">
          <cell r="P4843">
            <v>0</v>
          </cell>
        </row>
        <row r="4844">
          <cell r="P4844">
            <v>0</v>
          </cell>
        </row>
        <row r="4845">
          <cell r="P4845">
            <v>0</v>
          </cell>
        </row>
        <row r="4846">
          <cell r="P4846">
            <v>0</v>
          </cell>
        </row>
        <row r="4847">
          <cell r="P4847">
            <v>0</v>
          </cell>
        </row>
        <row r="4848">
          <cell r="P4848">
            <v>0</v>
          </cell>
        </row>
        <row r="4849">
          <cell r="P4849">
            <v>0</v>
          </cell>
        </row>
        <row r="4850">
          <cell r="P4850">
            <v>0</v>
          </cell>
        </row>
        <row r="4851">
          <cell r="P4851">
            <v>0</v>
          </cell>
        </row>
        <row r="4852">
          <cell r="P4852">
            <v>0</v>
          </cell>
        </row>
        <row r="4853">
          <cell r="P4853">
            <v>0</v>
          </cell>
        </row>
        <row r="4854">
          <cell r="P4854">
            <v>0</v>
          </cell>
        </row>
        <row r="4855">
          <cell r="P4855">
            <v>0</v>
          </cell>
        </row>
        <row r="4856">
          <cell r="P4856">
            <v>0</v>
          </cell>
        </row>
        <row r="4857">
          <cell r="P4857">
            <v>0</v>
          </cell>
        </row>
        <row r="4858">
          <cell r="P4858">
            <v>0</v>
          </cell>
        </row>
        <row r="4859">
          <cell r="P4859">
            <v>0</v>
          </cell>
        </row>
        <row r="4860">
          <cell r="P4860">
            <v>0</v>
          </cell>
        </row>
        <row r="4861">
          <cell r="P4861">
            <v>0</v>
          </cell>
        </row>
        <row r="4862">
          <cell r="P4862">
            <v>0</v>
          </cell>
        </row>
        <row r="4863">
          <cell r="P4863">
            <v>0</v>
          </cell>
        </row>
        <row r="4864">
          <cell r="P4864">
            <v>0</v>
          </cell>
        </row>
        <row r="4865">
          <cell r="P4865">
            <v>0</v>
          </cell>
        </row>
        <row r="4866">
          <cell r="P4866">
            <v>0</v>
          </cell>
        </row>
        <row r="4867">
          <cell r="P4867">
            <v>0</v>
          </cell>
        </row>
        <row r="4868">
          <cell r="P4868">
            <v>0</v>
          </cell>
        </row>
        <row r="4869">
          <cell r="P4869">
            <v>0</v>
          </cell>
        </row>
        <row r="4870">
          <cell r="P4870">
            <v>0</v>
          </cell>
        </row>
        <row r="4871">
          <cell r="P4871">
            <v>0</v>
          </cell>
        </row>
        <row r="4872">
          <cell r="P4872">
            <v>0</v>
          </cell>
        </row>
        <row r="4873">
          <cell r="P4873">
            <v>0</v>
          </cell>
        </row>
        <row r="4874">
          <cell r="P4874">
            <v>0</v>
          </cell>
        </row>
        <row r="4875">
          <cell r="P4875">
            <v>0</v>
          </cell>
        </row>
        <row r="4876">
          <cell r="P4876">
            <v>0</v>
          </cell>
        </row>
        <row r="4877">
          <cell r="P4877">
            <v>0</v>
          </cell>
        </row>
        <row r="4878">
          <cell r="P4878">
            <v>0</v>
          </cell>
        </row>
        <row r="4879">
          <cell r="P4879">
            <v>0</v>
          </cell>
        </row>
        <row r="4880">
          <cell r="P4880">
            <v>0</v>
          </cell>
        </row>
        <row r="4881">
          <cell r="P4881">
            <v>0</v>
          </cell>
        </row>
        <row r="4882">
          <cell r="P4882">
            <v>0</v>
          </cell>
        </row>
        <row r="4883">
          <cell r="P4883">
            <v>0</v>
          </cell>
        </row>
        <row r="4884">
          <cell r="P4884">
            <v>0</v>
          </cell>
        </row>
        <row r="4885">
          <cell r="P4885">
            <v>0</v>
          </cell>
        </row>
        <row r="4886">
          <cell r="P4886">
            <v>0</v>
          </cell>
        </row>
        <row r="4887">
          <cell r="P4887">
            <v>0</v>
          </cell>
        </row>
        <row r="4888">
          <cell r="P4888">
            <v>0</v>
          </cell>
        </row>
        <row r="4889">
          <cell r="P4889">
            <v>0</v>
          </cell>
        </row>
        <row r="4890">
          <cell r="P4890">
            <v>0</v>
          </cell>
        </row>
        <row r="4891">
          <cell r="P4891">
            <v>0</v>
          </cell>
        </row>
        <row r="4892">
          <cell r="P4892">
            <v>0</v>
          </cell>
        </row>
        <row r="4893">
          <cell r="P4893">
            <v>0</v>
          </cell>
        </row>
        <row r="4894">
          <cell r="P4894">
            <v>0</v>
          </cell>
        </row>
        <row r="4895">
          <cell r="P4895">
            <v>0</v>
          </cell>
        </row>
        <row r="4896">
          <cell r="P4896">
            <v>0</v>
          </cell>
        </row>
        <row r="4897">
          <cell r="P4897">
            <v>0</v>
          </cell>
        </row>
        <row r="4898">
          <cell r="P4898">
            <v>0</v>
          </cell>
        </row>
        <row r="4899">
          <cell r="P4899">
            <v>0</v>
          </cell>
        </row>
        <row r="4900">
          <cell r="P4900">
            <v>0</v>
          </cell>
        </row>
        <row r="4901">
          <cell r="P4901">
            <v>0</v>
          </cell>
        </row>
        <row r="4902">
          <cell r="P4902">
            <v>0</v>
          </cell>
        </row>
        <row r="4903">
          <cell r="P4903">
            <v>0</v>
          </cell>
        </row>
        <row r="4904">
          <cell r="P4904">
            <v>0</v>
          </cell>
        </row>
        <row r="4905">
          <cell r="P4905">
            <v>0</v>
          </cell>
        </row>
        <row r="4906">
          <cell r="P4906">
            <v>0</v>
          </cell>
        </row>
        <row r="4907">
          <cell r="P4907">
            <v>0</v>
          </cell>
        </row>
        <row r="4908">
          <cell r="P4908">
            <v>0</v>
          </cell>
        </row>
        <row r="4909">
          <cell r="P4909">
            <v>0</v>
          </cell>
        </row>
        <row r="4910">
          <cell r="P4910">
            <v>0</v>
          </cell>
        </row>
        <row r="4911">
          <cell r="P4911">
            <v>0</v>
          </cell>
        </row>
        <row r="4912">
          <cell r="P4912">
            <v>0</v>
          </cell>
        </row>
        <row r="4913">
          <cell r="P4913">
            <v>0</v>
          </cell>
        </row>
        <row r="4914">
          <cell r="P4914">
            <v>0</v>
          </cell>
        </row>
        <row r="4915">
          <cell r="P4915">
            <v>0</v>
          </cell>
        </row>
        <row r="4916">
          <cell r="P4916">
            <v>0</v>
          </cell>
        </row>
        <row r="4917">
          <cell r="P4917">
            <v>0</v>
          </cell>
        </row>
        <row r="4918">
          <cell r="P4918">
            <v>0</v>
          </cell>
        </row>
        <row r="4919">
          <cell r="P4919">
            <v>0</v>
          </cell>
        </row>
        <row r="4920">
          <cell r="P4920">
            <v>0</v>
          </cell>
        </row>
        <row r="4921">
          <cell r="P4921">
            <v>0</v>
          </cell>
        </row>
        <row r="4922">
          <cell r="P4922">
            <v>0</v>
          </cell>
        </row>
        <row r="4923">
          <cell r="P4923">
            <v>0</v>
          </cell>
        </row>
        <row r="4924">
          <cell r="P4924">
            <v>0</v>
          </cell>
        </row>
        <row r="4925">
          <cell r="P4925">
            <v>0</v>
          </cell>
        </row>
        <row r="4926">
          <cell r="P4926">
            <v>0</v>
          </cell>
        </row>
        <row r="4927">
          <cell r="P4927">
            <v>0</v>
          </cell>
        </row>
        <row r="4928">
          <cell r="P4928">
            <v>0</v>
          </cell>
        </row>
        <row r="4929">
          <cell r="P4929">
            <v>0</v>
          </cell>
        </row>
        <row r="4930">
          <cell r="P4930">
            <v>0</v>
          </cell>
        </row>
        <row r="4931">
          <cell r="P4931">
            <v>0</v>
          </cell>
        </row>
        <row r="4932">
          <cell r="P4932">
            <v>0</v>
          </cell>
        </row>
        <row r="4933">
          <cell r="P4933">
            <v>0</v>
          </cell>
        </row>
        <row r="4934">
          <cell r="P4934">
            <v>0</v>
          </cell>
        </row>
        <row r="4935">
          <cell r="P4935">
            <v>0</v>
          </cell>
        </row>
        <row r="4936">
          <cell r="P4936">
            <v>0</v>
          </cell>
        </row>
        <row r="4937">
          <cell r="P4937">
            <v>0</v>
          </cell>
        </row>
        <row r="4938">
          <cell r="P4938">
            <v>0</v>
          </cell>
        </row>
        <row r="4939">
          <cell r="P4939">
            <v>0</v>
          </cell>
        </row>
        <row r="4940">
          <cell r="P4940">
            <v>0</v>
          </cell>
        </row>
        <row r="4941">
          <cell r="P4941">
            <v>0</v>
          </cell>
        </row>
        <row r="4942">
          <cell r="P4942">
            <v>0</v>
          </cell>
        </row>
        <row r="4943">
          <cell r="P4943">
            <v>0</v>
          </cell>
        </row>
        <row r="4944">
          <cell r="P4944">
            <v>0</v>
          </cell>
        </row>
        <row r="4945">
          <cell r="P4945">
            <v>0</v>
          </cell>
        </row>
        <row r="4946">
          <cell r="P4946">
            <v>0</v>
          </cell>
        </row>
        <row r="4947">
          <cell r="P4947">
            <v>0</v>
          </cell>
        </row>
        <row r="4948">
          <cell r="P4948">
            <v>0</v>
          </cell>
        </row>
        <row r="4949">
          <cell r="P4949">
            <v>0</v>
          </cell>
        </row>
        <row r="4950">
          <cell r="P4950">
            <v>0</v>
          </cell>
        </row>
        <row r="4951">
          <cell r="P4951">
            <v>0</v>
          </cell>
        </row>
        <row r="4952">
          <cell r="P4952">
            <v>0</v>
          </cell>
        </row>
        <row r="4953">
          <cell r="P4953">
            <v>0</v>
          </cell>
        </row>
        <row r="4954">
          <cell r="P4954">
            <v>0</v>
          </cell>
        </row>
        <row r="4955">
          <cell r="P4955">
            <v>0</v>
          </cell>
        </row>
        <row r="4956">
          <cell r="P4956">
            <v>0</v>
          </cell>
        </row>
        <row r="4957">
          <cell r="P4957">
            <v>0</v>
          </cell>
        </row>
        <row r="4958">
          <cell r="P4958">
            <v>0</v>
          </cell>
        </row>
        <row r="4959">
          <cell r="P4959">
            <v>0</v>
          </cell>
        </row>
        <row r="4960">
          <cell r="P4960">
            <v>0</v>
          </cell>
        </row>
        <row r="4961">
          <cell r="P4961">
            <v>0</v>
          </cell>
        </row>
        <row r="4962">
          <cell r="P4962">
            <v>0</v>
          </cell>
        </row>
        <row r="4963">
          <cell r="P4963">
            <v>0</v>
          </cell>
        </row>
        <row r="4964">
          <cell r="P4964">
            <v>0</v>
          </cell>
        </row>
        <row r="4965">
          <cell r="P4965">
            <v>0</v>
          </cell>
        </row>
        <row r="4966">
          <cell r="P4966">
            <v>0</v>
          </cell>
        </row>
        <row r="4967">
          <cell r="P4967">
            <v>0</v>
          </cell>
        </row>
        <row r="4968">
          <cell r="P4968">
            <v>0</v>
          </cell>
        </row>
        <row r="4969">
          <cell r="P4969">
            <v>0</v>
          </cell>
        </row>
        <row r="4970">
          <cell r="P4970">
            <v>0</v>
          </cell>
        </row>
        <row r="4971">
          <cell r="P4971">
            <v>0</v>
          </cell>
        </row>
        <row r="4972">
          <cell r="P4972">
            <v>0</v>
          </cell>
        </row>
        <row r="4973">
          <cell r="P4973">
            <v>0</v>
          </cell>
        </row>
        <row r="4974">
          <cell r="P4974">
            <v>0</v>
          </cell>
        </row>
        <row r="4975">
          <cell r="P4975">
            <v>0</v>
          </cell>
        </row>
        <row r="4976">
          <cell r="P4976">
            <v>0</v>
          </cell>
        </row>
        <row r="4977">
          <cell r="P4977">
            <v>0</v>
          </cell>
        </row>
        <row r="4978">
          <cell r="P4978">
            <v>0</v>
          </cell>
        </row>
        <row r="4979">
          <cell r="P4979">
            <v>0</v>
          </cell>
        </row>
        <row r="4980">
          <cell r="P4980">
            <v>0</v>
          </cell>
        </row>
        <row r="4981">
          <cell r="P4981">
            <v>0</v>
          </cell>
        </row>
        <row r="4982">
          <cell r="P4982">
            <v>0</v>
          </cell>
        </row>
        <row r="4983">
          <cell r="P4983">
            <v>0</v>
          </cell>
        </row>
        <row r="4984">
          <cell r="P4984">
            <v>0</v>
          </cell>
        </row>
        <row r="4985">
          <cell r="P4985">
            <v>0</v>
          </cell>
        </row>
        <row r="4986">
          <cell r="P4986">
            <v>0</v>
          </cell>
        </row>
        <row r="4987">
          <cell r="P4987">
            <v>0</v>
          </cell>
        </row>
        <row r="4988">
          <cell r="P4988">
            <v>0</v>
          </cell>
        </row>
        <row r="4989">
          <cell r="P4989">
            <v>0</v>
          </cell>
        </row>
        <row r="4990">
          <cell r="P4990">
            <v>0</v>
          </cell>
        </row>
        <row r="4991">
          <cell r="P4991">
            <v>0</v>
          </cell>
        </row>
        <row r="4992">
          <cell r="P4992">
            <v>0</v>
          </cell>
        </row>
        <row r="4993">
          <cell r="P4993">
            <v>0</v>
          </cell>
        </row>
        <row r="4994">
          <cell r="P4994">
            <v>0</v>
          </cell>
        </row>
        <row r="4995">
          <cell r="P4995">
            <v>0</v>
          </cell>
        </row>
        <row r="4996">
          <cell r="P4996">
            <v>0</v>
          </cell>
        </row>
        <row r="4997">
          <cell r="P4997">
            <v>0</v>
          </cell>
        </row>
        <row r="4998">
          <cell r="P4998">
            <v>0</v>
          </cell>
        </row>
        <row r="4999">
          <cell r="P4999">
            <v>0</v>
          </cell>
        </row>
        <row r="5000">
          <cell r="P5000">
            <v>0</v>
          </cell>
        </row>
        <row r="5001">
          <cell r="P5001">
            <v>0</v>
          </cell>
        </row>
        <row r="5002">
          <cell r="P5002">
            <v>0</v>
          </cell>
        </row>
        <row r="5003">
          <cell r="P5003">
            <v>0</v>
          </cell>
        </row>
        <row r="5004">
          <cell r="P5004">
            <v>0</v>
          </cell>
        </row>
        <row r="5005">
          <cell r="P5005">
            <v>0</v>
          </cell>
        </row>
        <row r="5006">
          <cell r="P5006">
            <v>0</v>
          </cell>
        </row>
        <row r="5007">
          <cell r="P5007">
            <v>0</v>
          </cell>
        </row>
        <row r="5008">
          <cell r="P5008">
            <v>0</v>
          </cell>
        </row>
        <row r="5009">
          <cell r="P5009">
            <v>0</v>
          </cell>
        </row>
        <row r="5010">
          <cell r="P5010">
            <v>0</v>
          </cell>
        </row>
        <row r="5011">
          <cell r="P5011">
            <v>0</v>
          </cell>
        </row>
        <row r="5012">
          <cell r="P5012">
            <v>0</v>
          </cell>
        </row>
        <row r="5013">
          <cell r="P5013">
            <v>0</v>
          </cell>
        </row>
        <row r="5014">
          <cell r="P5014">
            <v>0</v>
          </cell>
        </row>
        <row r="5015">
          <cell r="P5015">
            <v>0</v>
          </cell>
        </row>
        <row r="5016">
          <cell r="P5016">
            <v>0</v>
          </cell>
        </row>
        <row r="5017">
          <cell r="P5017">
            <v>0</v>
          </cell>
        </row>
        <row r="5018">
          <cell r="P5018">
            <v>0</v>
          </cell>
        </row>
        <row r="5019">
          <cell r="P5019">
            <v>0</v>
          </cell>
        </row>
        <row r="5020">
          <cell r="P5020">
            <v>0</v>
          </cell>
        </row>
        <row r="5021">
          <cell r="P5021">
            <v>0</v>
          </cell>
        </row>
        <row r="5022">
          <cell r="P5022">
            <v>0</v>
          </cell>
        </row>
        <row r="5023">
          <cell r="P5023">
            <v>0</v>
          </cell>
        </row>
        <row r="5024">
          <cell r="P5024">
            <v>0</v>
          </cell>
        </row>
        <row r="5025">
          <cell r="P5025">
            <v>0</v>
          </cell>
        </row>
        <row r="5026">
          <cell r="P5026">
            <v>0</v>
          </cell>
        </row>
        <row r="5027">
          <cell r="P5027">
            <v>0</v>
          </cell>
        </row>
        <row r="5028">
          <cell r="P5028">
            <v>0</v>
          </cell>
        </row>
        <row r="5029">
          <cell r="P5029">
            <v>0</v>
          </cell>
        </row>
        <row r="5030">
          <cell r="P5030">
            <v>0</v>
          </cell>
        </row>
        <row r="5031">
          <cell r="P5031">
            <v>0</v>
          </cell>
        </row>
        <row r="5032">
          <cell r="P5032">
            <v>0</v>
          </cell>
        </row>
        <row r="5033">
          <cell r="P5033">
            <v>0</v>
          </cell>
        </row>
        <row r="5034">
          <cell r="P5034">
            <v>0</v>
          </cell>
        </row>
        <row r="5035">
          <cell r="P5035">
            <v>0</v>
          </cell>
        </row>
        <row r="5036">
          <cell r="P5036">
            <v>0</v>
          </cell>
        </row>
        <row r="5037">
          <cell r="P5037">
            <v>0</v>
          </cell>
        </row>
        <row r="5038">
          <cell r="P5038">
            <v>0</v>
          </cell>
        </row>
        <row r="5039">
          <cell r="P5039">
            <v>0</v>
          </cell>
        </row>
        <row r="5040">
          <cell r="P5040">
            <v>0</v>
          </cell>
        </row>
        <row r="5041">
          <cell r="P5041">
            <v>0</v>
          </cell>
        </row>
        <row r="5042">
          <cell r="P5042">
            <v>0</v>
          </cell>
        </row>
        <row r="5043">
          <cell r="P5043">
            <v>0</v>
          </cell>
        </row>
        <row r="5044">
          <cell r="P5044">
            <v>0</v>
          </cell>
        </row>
        <row r="5045">
          <cell r="P5045">
            <v>0</v>
          </cell>
        </row>
        <row r="5046">
          <cell r="P5046">
            <v>0</v>
          </cell>
        </row>
        <row r="5047">
          <cell r="P5047">
            <v>593</v>
          </cell>
        </row>
        <row r="5048">
          <cell r="P5048">
            <v>0</v>
          </cell>
        </row>
        <row r="5049">
          <cell r="P5049">
            <v>0</v>
          </cell>
        </row>
        <row r="5050">
          <cell r="P5050">
            <v>0</v>
          </cell>
        </row>
        <row r="5051">
          <cell r="P5051">
            <v>0</v>
          </cell>
        </row>
        <row r="5052">
          <cell r="P5052">
            <v>0</v>
          </cell>
        </row>
        <row r="5053">
          <cell r="P5053">
            <v>0</v>
          </cell>
        </row>
        <row r="5054">
          <cell r="P5054">
            <v>0</v>
          </cell>
        </row>
        <row r="5055">
          <cell r="P5055">
            <v>0</v>
          </cell>
        </row>
        <row r="5056">
          <cell r="P5056">
            <v>0</v>
          </cell>
        </row>
        <row r="5057">
          <cell r="P5057">
            <v>0</v>
          </cell>
        </row>
        <row r="5058">
          <cell r="P5058">
            <v>0</v>
          </cell>
        </row>
        <row r="5059">
          <cell r="P5059">
            <v>0</v>
          </cell>
        </row>
        <row r="5060">
          <cell r="P5060">
            <v>0</v>
          </cell>
        </row>
        <row r="5061">
          <cell r="P5061">
            <v>0</v>
          </cell>
        </row>
        <row r="5062">
          <cell r="P5062">
            <v>0</v>
          </cell>
        </row>
        <row r="5063">
          <cell r="P5063">
            <v>0</v>
          </cell>
        </row>
        <row r="5064">
          <cell r="P5064">
            <v>0</v>
          </cell>
        </row>
        <row r="5065">
          <cell r="P5065">
            <v>0</v>
          </cell>
        </row>
        <row r="5066">
          <cell r="P5066">
            <v>0</v>
          </cell>
        </row>
        <row r="5067">
          <cell r="P5067">
            <v>0</v>
          </cell>
        </row>
        <row r="5068">
          <cell r="P5068">
            <v>0</v>
          </cell>
        </row>
        <row r="5069">
          <cell r="P5069">
            <v>0</v>
          </cell>
        </row>
        <row r="5070">
          <cell r="P5070">
            <v>0</v>
          </cell>
        </row>
        <row r="5071">
          <cell r="P5071">
            <v>0</v>
          </cell>
        </row>
        <row r="5072">
          <cell r="P5072">
            <v>0</v>
          </cell>
        </row>
        <row r="5073">
          <cell r="P5073">
            <v>98.54</v>
          </cell>
        </row>
        <row r="5074">
          <cell r="P5074">
            <v>0</v>
          </cell>
        </row>
        <row r="5075">
          <cell r="P5075">
            <v>0</v>
          </cell>
        </row>
        <row r="5076">
          <cell r="P5076">
            <v>0</v>
          </cell>
        </row>
        <row r="5077">
          <cell r="P5077">
            <v>0</v>
          </cell>
        </row>
        <row r="5078">
          <cell r="P5078">
            <v>0</v>
          </cell>
        </row>
        <row r="5079">
          <cell r="P5079">
            <v>0</v>
          </cell>
        </row>
        <row r="5080">
          <cell r="P5080">
            <v>0</v>
          </cell>
        </row>
        <row r="5081">
          <cell r="P5081">
            <v>0</v>
          </cell>
        </row>
        <row r="5082">
          <cell r="P5082">
            <v>0</v>
          </cell>
        </row>
        <row r="5083">
          <cell r="P5083">
            <v>0</v>
          </cell>
        </row>
        <row r="5084">
          <cell r="P5084">
            <v>0</v>
          </cell>
        </row>
        <row r="5085">
          <cell r="P5085">
            <v>0</v>
          </cell>
        </row>
        <row r="5086">
          <cell r="P5086">
            <v>0</v>
          </cell>
        </row>
        <row r="5087">
          <cell r="P5087">
            <v>0</v>
          </cell>
        </row>
        <row r="5088">
          <cell r="P5088">
            <v>0</v>
          </cell>
        </row>
        <row r="5089">
          <cell r="P5089">
            <v>0</v>
          </cell>
        </row>
        <row r="5090">
          <cell r="P5090">
            <v>0</v>
          </cell>
        </row>
        <row r="5091">
          <cell r="P5091">
            <v>0</v>
          </cell>
        </row>
        <row r="5092">
          <cell r="P5092">
            <v>0</v>
          </cell>
        </row>
        <row r="5093">
          <cell r="P5093">
            <v>0</v>
          </cell>
        </row>
        <row r="5094">
          <cell r="P5094">
            <v>0</v>
          </cell>
        </row>
        <row r="5095">
          <cell r="P5095">
            <v>0</v>
          </cell>
        </row>
        <row r="5096">
          <cell r="P5096">
            <v>0</v>
          </cell>
        </row>
        <row r="5097">
          <cell r="P5097">
            <v>0</v>
          </cell>
        </row>
        <row r="5098">
          <cell r="P5098">
            <v>0</v>
          </cell>
        </row>
        <row r="5099">
          <cell r="P5099">
            <v>0</v>
          </cell>
        </row>
        <row r="5100">
          <cell r="P5100">
            <v>0</v>
          </cell>
        </row>
        <row r="5101">
          <cell r="P5101">
            <v>0</v>
          </cell>
        </row>
        <row r="5102">
          <cell r="P5102">
            <v>0</v>
          </cell>
        </row>
        <row r="5103">
          <cell r="P5103">
            <v>0</v>
          </cell>
        </row>
        <row r="5104">
          <cell r="P5104">
            <v>0</v>
          </cell>
        </row>
        <row r="5105">
          <cell r="P5105">
            <v>0</v>
          </cell>
        </row>
        <row r="5106">
          <cell r="P5106">
            <v>0</v>
          </cell>
        </row>
        <row r="5107">
          <cell r="P5107">
            <v>0</v>
          </cell>
        </row>
        <row r="5108">
          <cell r="P5108">
            <v>0</v>
          </cell>
        </row>
        <row r="5109">
          <cell r="P5109">
            <v>0</v>
          </cell>
        </row>
        <row r="5110">
          <cell r="P5110">
            <v>0</v>
          </cell>
        </row>
        <row r="5111">
          <cell r="P5111">
            <v>0</v>
          </cell>
        </row>
        <row r="5112">
          <cell r="P5112">
            <v>0</v>
          </cell>
        </row>
        <row r="5113">
          <cell r="P5113">
            <v>0</v>
          </cell>
        </row>
        <row r="5114">
          <cell r="P5114">
            <v>0</v>
          </cell>
        </row>
        <row r="5115">
          <cell r="P5115">
            <v>0</v>
          </cell>
        </row>
        <row r="5116">
          <cell r="P5116">
            <v>0</v>
          </cell>
        </row>
        <row r="5117">
          <cell r="P5117">
            <v>0</v>
          </cell>
        </row>
        <row r="5118">
          <cell r="P5118">
            <v>0</v>
          </cell>
        </row>
        <row r="5119">
          <cell r="P5119">
            <v>0</v>
          </cell>
        </row>
        <row r="5120">
          <cell r="P5120">
            <v>0</v>
          </cell>
        </row>
        <row r="5121">
          <cell r="P5121">
            <v>0</v>
          </cell>
        </row>
        <row r="5122">
          <cell r="P5122">
            <v>0</v>
          </cell>
        </row>
        <row r="5123">
          <cell r="P5123">
            <v>0</v>
          </cell>
        </row>
        <row r="5124">
          <cell r="P5124">
            <v>0</v>
          </cell>
        </row>
        <row r="5125">
          <cell r="P5125">
            <v>0</v>
          </cell>
        </row>
        <row r="5126">
          <cell r="P5126">
            <v>0</v>
          </cell>
        </row>
        <row r="5127">
          <cell r="P5127">
            <v>0</v>
          </cell>
        </row>
        <row r="5128">
          <cell r="P5128">
            <v>0</v>
          </cell>
        </row>
        <row r="5129">
          <cell r="P5129">
            <v>0</v>
          </cell>
        </row>
        <row r="5130">
          <cell r="P5130">
            <v>0</v>
          </cell>
        </row>
        <row r="5131">
          <cell r="P5131">
            <v>0</v>
          </cell>
        </row>
        <row r="5132">
          <cell r="P5132">
            <v>0</v>
          </cell>
        </row>
        <row r="5133">
          <cell r="P5133">
            <v>0</v>
          </cell>
        </row>
        <row r="5134">
          <cell r="P5134">
            <v>0</v>
          </cell>
        </row>
        <row r="5135">
          <cell r="P5135">
            <v>0</v>
          </cell>
        </row>
        <row r="5136">
          <cell r="P5136">
            <v>0</v>
          </cell>
        </row>
        <row r="5137">
          <cell r="P5137">
            <v>0</v>
          </cell>
        </row>
        <row r="5138">
          <cell r="P5138">
            <v>0</v>
          </cell>
        </row>
        <row r="5139">
          <cell r="P5139">
            <v>0</v>
          </cell>
        </row>
        <row r="5140">
          <cell r="P5140">
            <v>0</v>
          </cell>
        </row>
        <row r="5141">
          <cell r="P5141">
            <v>0</v>
          </cell>
        </row>
        <row r="5142">
          <cell r="P5142">
            <v>0</v>
          </cell>
        </row>
        <row r="5143">
          <cell r="P5143">
            <v>0</v>
          </cell>
        </row>
        <row r="5144">
          <cell r="P5144">
            <v>0</v>
          </cell>
        </row>
        <row r="5145">
          <cell r="P5145">
            <v>0</v>
          </cell>
        </row>
        <row r="5146">
          <cell r="P5146">
            <v>0</v>
          </cell>
        </row>
        <row r="5147">
          <cell r="P5147">
            <v>0</v>
          </cell>
        </row>
        <row r="5148">
          <cell r="P5148">
            <v>0</v>
          </cell>
        </row>
        <row r="5149">
          <cell r="P5149">
            <v>0</v>
          </cell>
        </row>
        <row r="5150">
          <cell r="P5150">
            <v>0</v>
          </cell>
        </row>
        <row r="5151">
          <cell r="P5151">
            <v>0</v>
          </cell>
        </row>
        <row r="5152">
          <cell r="P5152">
            <v>0</v>
          </cell>
        </row>
        <row r="5153">
          <cell r="P5153">
            <v>0</v>
          </cell>
        </row>
        <row r="5154">
          <cell r="P5154">
            <v>0</v>
          </cell>
        </row>
        <row r="5155">
          <cell r="P5155">
            <v>0</v>
          </cell>
        </row>
        <row r="5156">
          <cell r="P5156">
            <v>0</v>
          </cell>
        </row>
        <row r="5157">
          <cell r="P5157">
            <v>0</v>
          </cell>
        </row>
        <row r="5158">
          <cell r="P5158">
            <v>0</v>
          </cell>
        </row>
        <row r="5159">
          <cell r="P5159">
            <v>0</v>
          </cell>
        </row>
        <row r="5160">
          <cell r="P5160">
            <v>0</v>
          </cell>
        </row>
        <row r="5161">
          <cell r="P5161">
            <v>0</v>
          </cell>
        </row>
        <row r="5162">
          <cell r="P5162">
            <v>0</v>
          </cell>
        </row>
        <row r="5163">
          <cell r="P5163">
            <v>0</v>
          </cell>
        </row>
        <row r="5164">
          <cell r="P5164">
            <v>0</v>
          </cell>
        </row>
        <row r="5165">
          <cell r="P5165">
            <v>0</v>
          </cell>
        </row>
        <row r="5166">
          <cell r="P5166">
            <v>0</v>
          </cell>
        </row>
        <row r="5167">
          <cell r="P5167">
            <v>0</v>
          </cell>
        </row>
        <row r="5168">
          <cell r="P5168">
            <v>0</v>
          </cell>
        </row>
        <row r="5169">
          <cell r="P5169">
            <v>0</v>
          </cell>
        </row>
        <row r="5170">
          <cell r="P5170">
            <v>0</v>
          </cell>
        </row>
        <row r="5171">
          <cell r="P5171">
            <v>0</v>
          </cell>
        </row>
        <row r="5172">
          <cell r="P5172">
            <v>0</v>
          </cell>
        </row>
        <row r="5173">
          <cell r="P5173">
            <v>0</v>
          </cell>
        </row>
        <row r="5174">
          <cell r="P5174">
            <v>0</v>
          </cell>
        </row>
        <row r="5175">
          <cell r="P5175">
            <v>0</v>
          </cell>
        </row>
        <row r="5176">
          <cell r="P5176">
            <v>0</v>
          </cell>
        </row>
        <row r="5177">
          <cell r="P5177">
            <v>0</v>
          </cell>
        </row>
        <row r="5178">
          <cell r="P5178">
            <v>0</v>
          </cell>
        </row>
        <row r="5179">
          <cell r="P5179">
            <v>0</v>
          </cell>
        </row>
        <row r="5180">
          <cell r="P5180">
            <v>0</v>
          </cell>
        </row>
        <row r="5181">
          <cell r="P5181">
            <v>0</v>
          </cell>
        </row>
        <row r="5182">
          <cell r="P5182">
            <v>0</v>
          </cell>
        </row>
        <row r="5183">
          <cell r="P5183">
            <v>0</v>
          </cell>
        </row>
        <row r="5184">
          <cell r="P5184">
            <v>0</v>
          </cell>
        </row>
        <row r="5185">
          <cell r="P5185">
            <v>0</v>
          </cell>
        </row>
        <row r="5186">
          <cell r="P5186">
            <v>0</v>
          </cell>
        </row>
        <row r="5187">
          <cell r="P5187">
            <v>0</v>
          </cell>
        </row>
        <row r="5188">
          <cell r="P5188">
            <v>0</v>
          </cell>
        </row>
        <row r="5189">
          <cell r="P5189">
            <v>0</v>
          </cell>
        </row>
        <row r="5190">
          <cell r="P5190">
            <v>0</v>
          </cell>
        </row>
        <row r="5191">
          <cell r="P5191">
            <v>0</v>
          </cell>
        </row>
        <row r="5192">
          <cell r="P5192">
            <v>0</v>
          </cell>
        </row>
        <row r="5193">
          <cell r="P5193">
            <v>0</v>
          </cell>
        </row>
        <row r="5194">
          <cell r="P5194">
            <v>0</v>
          </cell>
        </row>
        <row r="5195">
          <cell r="P5195">
            <v>0</v>
          </cell>
        </row>
        <row r="5196">
          <cell r="P5196">
            <v>0</v>
          </cell>
        </row>
        <row r="5197">
          <cell r="P5197">
            <v>0</v>
          </cell>
        </row>
        <row r="5198">
          <cell r="P5198">
            <v>0</v>
          </cell>
        </row>
        <row r="5199">
          <cell r="P5199">
            <v>0</v>
          </cell>
        </row>
        <row r="5200">
          <cell r="P5200">
            <v>0</v>
          </cell>
        </row>
        <row r="5201">
          <cell r="P5201">
            <v>0</v>
          </cell>
        </row>
        <row r="5202">
          <cell r="P5202">
            <v>0</v>
          </cell>
        </row>
        <row r="5203">
          <cell r="P5203">
            <v>0</v>
          </cell>
        </row>
        <row r="5204">
          <cell r="P5204">
            <v>0</v>
          </cell>
        </row>
        <row r="5205">
          <cell r="P5205">
            <v>0</v>
          </cell>
        </row>
        <row r="5206">
          <cell r="P5206">
            <v>0</v>
          </cell>
        </row>
        <row r="5207">
          <cell r="P5207">
            <v>0</v>
          </cell>
        </row>
        <row r="5208">
          <cell r="P5208">
            <v>0</v>
          </cell>
        </row>
        <row r="5209">
          <cell r="P5209">
            <v>0</v>
          </cell>
        </row>
        <row r="5210">
          <cell r="P5210">
            <v>0</v>
          </cell>
        </row>
        <row r="5211">
          <cell r="P5211">
            <v>0</v>
          </cell>
        </row>
        <row r="5212">
          <cell r="P5212">
            <v>0</v>
          </cell>
        </row>
        <row r="5213">
          <cell r="P5213">
            <v>0</v>
          </cell>
        </row>
        <row r="5214">
          <cell r="P5214">
            <v>0</v>
          </cell>
        </row>
        <row r="5215">
          <cell r="P5215">
            <v>0</v>
          </cell>
        </row>
        <row r="5216">
          <cell r="P5216">
            <v>0</v>
          </cell>
        </row>
        <row r="5217">
          <cell r="P5217">
            <v>0</v>
          </cell>
        </row>
        <row r="5218">
          <cell r="P5218">
            <v>0</v>
          </cell>
        </row>
        <row r="5219">
          <cell r="P5219">
            <v>0</v>
          </cell>
        </row>
        <row r="5220">
          <cell r="P5220">
            <v>0</v>
          </cell>
        </row>
        <row r="5221">
          <cell r="P5221">
            <v>0</v>
          </cell>
        </row>
        <row r="5222">
          <cell r="P5222">
            <v>0</v>
          </cell>
        </row>
        <row r="5223">
          <cell r="P5223">
            <v>0</v>
          </cell>
        </row>
        <row r="5224">
          <cell r="P5224">
            <v>0</v>
          </cell>
        </row>
        <row r="5225">
          <cell r="P5225">
            <v>0</v>
          </cell>
        </row>
        <row r="5226">
          <cell r="P5226">
            <v>0</v>
          </cell>
        </row>
        <row r="5227">
          <cell r="P5227">
            <v>0</v>
          </cell>
        </row>
        <row r="5228">
          <cell r="P5228">
            <v>0</v>
          </cell>
        </row>
        <row r="5229">
          <cell r="P5229">
            <v>0</v>
          </cell>
        </row>
        <row r="5230">
          <cell r="P5230">
            <v>0</v>
          </cell>
        </row>
        <row r="5231">
          <cell r="P5231">
            <v>0</v>
          </cell>
        </row>
        <row r="5232">
          <cell r="P5232">
            <v>0</v>
          </cell>
        </row>
        <row r="5233">
          <cell r="P5233">
            <v>0</v>
          </cell>
        </row>
        <row r="5234">
          <cell r="P5234">
            <v>0</v>
          </cell>
        </row>
        <row r="5235">
          <cell r="P5235">
            <v>0</v>
          </cell>
        </row>
        <row r="5236">
          <cell r="P5236">
            <v>0</v>
          </cell>
        </row>
        <row r="5237">
          <cell r="P5237">
            <v>0</v>
          </cell>
        </row>
        <row r="5238">
          <cell r="P5238">
            <v>0</v>
          </cell>
        </row>
        <row r="5239">
          <cell r="P5239">
            <v>0</v>
          </cell>
        </row>
        <row r="5240">
          <cell r="P5240">
            <v>0</v>
          </cell>
        </row>
        <row r="5241">
          <cell r="P5241">
            <v>0</v>
          </cell>
        </row>
        <row r="5242">
          <cell r="P5242">
            <v>0</v>
          </cell>
        </row>
        <row r="5243">
          <cell r="P5243">
            <v>0</v>
          </cell>
        </row>
        <row r="5244">
          <cell r="P5244">
            <v>0</v>
          </cell>
        </row>
        <row r="5245">
          <cell r="P5245">
            <v>0</v>
          </cell>
        </row>
        <row r="5246">
          <cell r="P5246">
            <v>0</v>
          </cell>
        </row>
        <row r="5247">
          <cell r="P5247">
            <v>0</v>
          </cell>
        </row>
        <row r="5248">
          <cell r="P5248">
            <v>0</v>
          </cell>
        </row>
        <row r="5249">
          <cell r="P5249">
            <v>0</v>
          </cell>
        </row>
        <row r="5250">
          <cell r="P5250">
            <v>0</v>
          </cell>
        </row>
        <row r="5251">
          <cell r="P5251">
            <v>0</v>
          </cell>
        </row>
        <row r="5252">
          <cell r="P5252">
            <v>0</v>
          </cell>
        </row>
        <row r="5253">
          <cell r="P5253">
            <v>0</v>
          </cell>
        </row>
        <row r="5254">
          <cell r="P5254">
            <v>0</v>
          </cell>
        </row>
        <row r="5255">
          <cell r="P5255">
            <v>0</v>
          </cell>
        </row>
        <row r="5256">
          <cell r="P5256">
            <v>0</v>
          </cell>
        </row>
        <row r="5257">
          <cell r="P5257">
            <v>0</v>
          </cell>
        </row>
        <row r="5258">
          <cell r="P5258">
            <v>0</v>
          </cell>
        </row>
        <row r="5259">
          <cell r="P5259">
            <v>0</v>
          </cell>
        </row>
        <row r="5260">
          <cell r="P5260">
            <v>0</v>
          </cell>
        </row>
        <row r="5261">
          <cell r="P5261">
            <v>0</v>
          </cell>
        </row>
        <row r="5262">
          <cell r="P5262">
            <v>0</v>
          </cell>
        </row>
        <row r="5263">
          <cell r="P5263">
            <v>0</v>
          </cell>
        </row>
        <row r="5264">
          <cell r="P5264">
            <v>0</v>
          </cell>
        </row>
        <row r="5265">
          <cell r="P5265">
            <v>0</v>
          </cell>
        </row>
        <row r="5266">
          <cell r="P5266">
            <v>0</v>
          </cell>
        </row>
        <row r="5267">
          <cell r="P5267">
            <v>0</v>
          </cell>
        </row>
        <row r="5268">
          <cell r="P5268">
            <v>0</v>
          </cell>
        </row>
        <row r="5269">
          <cell r="P5269">
            <v>0</v>
          </cell>
        </row>
        <row r="5270">
          <cell r="P5270">
            <v>0</v>
          </cell>
        </row>
        <row r="5271">
          <cell r="P5271">
            <v>0</v>
          </cell>
        </row>
        <row r="5272">
          <cell r="P5272">
            <v>0</v>
          </cell>
        </row>
        <row r="5273">
          <cell r="P5273">
            <v>0</v>
          </cell>
        </row>
        <row r="5274">
          <cell r="P5274">
            <v>0</v>
          </cell>
        </row>
        <row r="5275">
          <cell r="P5275">
            <v>0</v>
          </cell>
        </row>
        <row r="5276">
          <cell r="P5276">
            <v>0</v>
          </cell>
        </row>
        <row r="5277">
          <cell r="P5277">
            <v>0</v>
          </cell>
        </row>
        <row r="5278">
          <cell r="P5278">
            <v>0</v>
          </cell>
        </row>
        <row r="5279">
          <cell r="P5279">
            <v>0</v>
          </cell>
        </row>
        <row r="5280">
          <cell r="P5280">
            <v>0</v>
          </cell>
        </row>
        <row r="5281">
          <cell r="P5281">
            <v>0</v>
          </cell>
        </row>
        <row r="5282">
          <cell r="P5282">
            <v>0</v>
          </cell>
        </row>
        <row r="5283">
          <cell r="P5283">
            <v>0</v>
          </cell>
        </row>
        <row r="5284">
          <cell r="P5284">
            <v>0</v>
          </cell>
        </row>
        <row r="5285">
          <cell r="P5285">
            <v>0</v>
          </cell>
        </row>
        <row r="5286">
          <cell r="P5286">
            <v>0</v>
          </cell>
        </row>
        <row r="5287">
          <cell r="P5287">
            <v>0</v>
          </cell>
        </row>
        <row r="5288">
          <cell r="P5288">
            <v>0</v>
          </cell>
        </row>
        <row r="5289">
          <cell r="P5289">
            <v>0</v>
          </cell>
        </row>
        <row r="5290">
          <cell r="P5290">
            <v>0</v>
          </cell>
        </row>
        <row r="5291">
          <cell r="P5291">
            <v>0</v>
          </cell>
        </row>
        <row r="5292">
          <cell r="P5292">
            <v>0</v>
          </cell>
        </row>
        <row r="5293">
          <cell r="P5293">
            <v>0</v>
          </cell>
        </row>
        <row r="5294">
          <cell r="P5294">
            <v>0</v>
          </cell>
        </row>
        <row r="5295">
          <cell r="P5295">
            <v>0</v>
          </cell>
        </row>
        <row r="5296">
          <cell r="P5296">
            <v>0</v>
          </cell>
        </row>
        <row r="5297">
          <cell r="P5297">
            <v>0</v>
          </cell>
        </row>
        <row r="5298">
          <cell r="P5298">
            <v>0</v>
          </cell>
        </row>
        <row r="5299">
          <cell r="P5299">
            <v>0</v>
          </cell>
        </row>
        <row r="5300">
          <cell r="P5300">
            <v>0</v>
          </cell>
        </row>
        <row r="5301">
          <cell r="P5301">
            <v>0</v>
          </cell>
        </row>
        <row r="5302">
          <cell r="P5302">
            <v>0</v>
          </cell>
        </row>
        <row r="5303">
          <cell r="P5303">
            <v>0</v>
          </cell>
        </row>
        <row r="5304">
          <cell r="P5304">
            <v>0</v>
          </cell>
        </row>
        <row r="5305">
          <cell r="P5305">
            <v>0</v>
          </cell>
        </row>
        <row r="5306">
          <cell r="P5306">
            <v>0</v>
          </cell>
        </row>
        <row r="5307">
          <cell r="P5307">
            <v>0</v>
          </cell>
        </row>
        <row r="5308">
          <cell r="P5308">
            <v>0</v>
          </cell>
        </row>
        <row r="5309">
          <cell r="P5309">
            <v>0</v>
          </cell>
        </row>
        <row r="5310">
          <cell r="P5310">
            <v>0</v>
          </cell>
        </row>
        <row r="5311">
          <cell r="P5311">
            <v>0</v>
          </cell>
        </row>
        <row r="5312">
          <cell r="P5312">
            <v>0</v>
          </cell>
        </row>
        <row r="5313">
          <cell r="P5313">
            <v>0</v>
          </cell>
        </row>
        <row r="5314">
          <cell r="P5314">
            <v>0</v>
          </cell>
        </row>
        <row r="5315">
          <cell r="P5315">
            <v>0</v>
          </cell>
        </row>
        <row r="5316">
          <cell r="P5316">
            <v>0</v>
          </cell>
        </row>
        <row r="5317">
          <cell r="P5317">
            <v>0</v>
          </cell>
        </row>
        <row r="5318">
          <cell r="P5318">
            <v>0</v>
          </cell>
        </row>
        <row r="5319">
          <cell r="P5319">
            <v>0</v>
          </cell>
        </row>
        <row r="5320">
          <cell r="P5320">
            <v>0</v>
          </cell>
        </row>
        <row r="5321">
          <cell r="P5321">
            <v>0</v>
          </cell>
        </row>
        <row r="5322">
          <cell r="P5322">
            <v>0</v>
          </cell>
        </row>
        <row r="5323">
          <cell r="P5323">
            <v>0</v>
          </cell>
        </row>
        <row r="5324">
          <cell r="P5324">
            <v>0</v>
          </cell>
        </row>
        <row r="5325">
          <cell r="P5325">
            <v>0</v>
          </cell>
        </row>
        <row r="5326">
          <cell r="P5326">
            <v>0</v>
          </cell>
        </row>
        <row r="5327">
          <cell r="P5327">
            <v>0</v>
          </cell>
        </row>
        <row r="5328">
          <cell r="P5328">
            <v>0</v>
          </cell>
        </row>
        <row r="5329">
          <cell r="P5329">
            <v>0</v>
          </cell>
        </row>
        <row r="5330">
          <cell r="P5330">
            <v>0</v>
          </cell>
        </row>
        <row r="5331">
          <cell r="P5331">
            <v>0</v>
          </cell>
        </row>
        <row r="5332">
          <cell r="P5332">
            <v>0</v>
          </cell>
        </row>
        <row r="5333">
          <cell r="P5333">
            <v>0</v>
          </cell>
        </row>
        <row r="5334">
          <cell r="P5334">
            <v>0</v>
          </cell>
        </row>
        <row r="5335">
          <cell r="P5335">
            <v>0</v>
          </cell>
        </row>
        <row r="5336">
          <cell r="P5336">
            <v>0</v>
          </cell>
        </row>
        <row r="5337">
          <cell r="P5337">
            <v>0</v>
          </cell>
        </row>
        <row r="5338">
          <cell r="P5338">
            <v>0</v>
          </cell>
        </row>
        <row r="5339">
          <cell r="P5339">
            <v>0</v>
          </cell>
        </row>
        <row r="5340">
          <cell r="P5340">
            <v>0</v>
          </cell>
        </row>
        <row r="5341">
          <cell r="P5341">
            <v>0</v>
          </cell>
        </row>
        <row r="5342">
          <cell r="P5342">
            <v>0</v>
          </cell>
        </row>
        <row r="5343">
          <cell r="P5343">
            <v>0</v>
          </cell>
        </row>
        <row r="5344">
          <cell r="P5344">
            <v>0</v>
          </cell>
        </row>
        <row r="5345">
          <cell r="P5345">
            <v>0</v>
          </cell>
        </row>
        <row r="5346">
          <cell r="P5346">
            <v>0</v>
          </cell>
        </row>
        <row r="5347">
          <cell r="P5347">
            <v>0</v>
          </cell>
        </row>
        <row r="5348">
          <cell r="P5348">
            <v>0</v>
          </cell>
        </row>
        <row r="5349">
          <cell r="P5349">
            <v>0</v>
          </cell>
        </row>
        <row r="5350">
          <cell r="P5350">
            <v>0</v>
          </cell>
        </row>
        <row r="5351">
          <cell r="P5351">
            <v>0</v>
          </cell>
        </row>
        <row r="5352">
          <cell r="P5352">
            <v>0</v>
          </cell>
        </row>
        <row r="5353">
          <cell r="P5353">
            <v>0</v>
          </cell>
        </row>
        <row r="5354">
          <cell r="P5354">
            <v>0</v>
          </cell>
        </row>
        <row r="5355">
          <cell r="P5355">
            <v>0</v>
          </cell>
        </row>
        <row r="5356">
          <cell r="P5356">
            <v>0</v>
          </cell>
        </row>
        <row r="5357">
          <cell r="P5357">
            <v>0</v>
          </cell>
        </row>
        <row r="5358">
          <cell r="P5358">
            <v>0</v>
          </cell>
        </row>
        <row r="5359">
          <cell r="P5359">
            <v>0</v>
          </cell>
        </row>
        <row r="5360">
          <cell r="P5360">
            <v>0</v>
          </cell>
        </row>
        <row r="5361">
          <cell r="P5361">
            <v>0</v>
          </cell>
        </row>
        <row r="5362">
          <cell r="P5362">
            <v>0</v>
          </cell>
        </row>
        <row r="5363">
          <cell r="P5363">
            <v>0</v>
          </cell>
        </row>
        <row r="5364">
          <cell r="P5364">
            <v>0</v>
          </cell>
        </row>
        <row r="5365">
          <cell r="P5365">
            <v>0</v>
          </cell>
        </row>
        <row r="5366">
          <cell r="P5366">
            <v>0</v>
          </cell>
        </row>
        <row r="5367">
          <cell r="P5367">
            <v>0</v>
          </cell>
        </row>
        <row r="5368">
          <cell r="P5368">
            <v>0</v>
          </cell>
        </row>
        <row r="5369">
          <cell r="P5369">
            <v>0</v>
          </cell>
        </row>
        <row r="5370">
          <cell r="P5370">
            <v>0</v>
          </cell>
        </row>
        <row r="5371">
          <cell r="P5371">
            <v>0</v>
          </cell>
        </row>
        <row r="5372">
          <cell r="P5372">
            <v>0</v>
          </cell>
        </row>
        <row r="5373">
          <cell r="P5373">
            <v>0</v>
          </cell>
        </row>
        <row r="5374">
          <cell r="P5374">
            <v>0</v>
          </cell>
        </row>
        <row r="5375">
          <cell r="P5375">
            <v>0</v>
          </cell>
        </row>
        <row r="5376">
          <cell r="P5376">
            <v>0</v>
          </cell>
        </row>
        <row r="5377">
          <cell r="P5377">
            <v>0</v>
          </cell>
        </row>
        <row r="5378">
          <cell r="P5378">
            <v>0</v>
          </cell>
        </row>
        <row r="5379">
          <cell r="P5379">
            <v>0</v>
          </cell>
        </row>
        <row r="5380">
          <cell r="P5380">
            <v>0</v>
          </cell>
        </row>
        <row r="5381">
          <cell r="P5381">
            <v>0</v>
          </cell>
        </row>
        <row r="5382">
          <cell r="P5382">
            <v>0</v>
          </cell>
        </row>
        <row r="5383">
          <cell r="P5383">
            <v>0</v>
          </cell>
        </row>
        <row r="5384">
          <cell r="P5384">
            <v>0</v>
          </cell>
        </row>
        <row r="5385">
          <cell r="P5385">
            <v>0</v>
          </cell>
        </row>
        <row r="5386">
          <cell r="P5386">
            <v>0</v>
          </cell>
        </row>
        <row r="5387">
          <cell r="P5387">
            <v>0</v>
          </cell>
        </row>
        <row r="5388">
          <cell r="P5388">
            <v>0</v>
          </cell>
        </row>
        <row r="5389">
          <cell r="P5389">
            <v>0</v>
          </cell>
        </row>
        <row r="5390">
          <cell r="P5390">
            <v>0</v>
          </cell>
        </row>
        <row r="5391">
          <cell r="P5391">
            <v>0</v>
          </cell>
        </row>
        <row r="5392">
          <cell r="P5392">
            <v>0</v>
          </cell>
        </row>
        <row r="5393">
          <cell r="P5393">
            <v>0</v>
          </cell>
        </row>
        <row r="5394">
          <cell r="P5394">
            <v>0</v>
          </cell>
        </row>
        <row r="5395">
          <cell r="P5395">
            <v>0</v>
          </cell>
        </row>
        <row r="5396">
          <cell r="P5396">
            <v>0</v>
          </cell>
        </row>
        <row r="5397">
          <cell r="P5397">
            <v>0</v>
          </cell>
        </row>
        <row r="5398">
          <cell r="P5398">
            <v>0</v>
          </cell>
        </row>
        <row r="5399">
          <cell r="P5399">
            <v>0</v>
          </cell>
        </row>
        <row r="5400">
          <cell r="P5400">
            <v>0</v>
          </cell>
        </row>
        <row r="5401">
          <cell r="P5401">
            <v>0</v>
          </cell>
        </row>
        <row r="5402">
          <cell r="P5402">
            <v>0</v>
          </cell>
        </row>
        <row r="5403">
          <cell r="P5403">
            <v>0</v>
          </cell>
        </row>
        <row r="5404">
          <cell r="P5404">
            <v>0</v>
          </cell>
        </row>
        <row r="5405">
          <cell r="P5405">
            <v>0</v>
          </cell>
        </row>
        <row r="5406">
          <cell r="P5406">
            <v>0</v>
          </cell>
        </row>
        <row r="5407">
          <cell r="P5407">
            <v>0</v>
          </cell>
        </row>
        <row r="5408">
          <cell r="P5408">
            <v>0</v>
          </cell>
        </row>
        <row r="5409">
          <cell r="P5409">
            <v>0</v>
          </cell>
        </row>
        <row r="5410">
          <cell r="P5410">
            <v>0</v>
          </cell>
        </row>
        <row r="5411">
          <cell r="P5411">
            <v>0</v>
          </cell>
        </row>
        <row r="5412">
          <cell r="P5412">
            <v>0</v>
          </cell>
        </row>
        <row r="5413">
          <cell r="P5413">
            <v>0</v>
          </cell>
        </row>
        <row r="5414">
          <cell r="P5414">
            <v>0</v>
          </cell>
        </row>
        <row r="5415">
          <cell r="P5415">
            <v>0</v>
          </cell>
        </row>
        <row r="5416">
          <cell r="P5416">
            <v>0</v>
          </cell>
        </row>
        <row r="5417">
          <cell r="P5417">
            <v>0</v>
          </cell>
        </row>
        <row r="5418">
          <cell r="P5418">
            <v>0</v>
          </cell>
        </row>
        <row r="5419">
          <cell r="P5419">
            <v>0</v>
          </cell>
        </row>
        <row r="5420">
          <cell r="P5420">
            <v>0</v>
          </cell>
        </row>
        <row r="5421">
          <cell r="P5421">
            <v>0</v>
          </cell>
        </row>
        <row r="5422">
          <cell r="P5422">
            <v>0</v>
          </cell>
        </row>
        <row r="5423">
          <cell r="P5423">
            <v>0</v>
          </cell>
        </row>
        <row r="5424">
          <cell r="P5424">
            <v>0</v>
          </cell>
        </row>
        <row r="5425">
          <cell r="P5425">
            <v>0</v>
          </cell>
        </row>
        <row r="5426">
          <cell r="P5426">
            <v>0</v>
          </cell>
        </row>
        <row r="5427">
          <cell r="P5427">
            <v>0</v>
          </cell>
        </row>
        <row r="5428">
          <cell r="P5428">
            <v>0</v>
          </cell>
        </row>
        <row r="5429">
          <cell r="P5429">
            <v>0</v>
          </cell>
        </row>
        <row r="5430">
          <cell r="P5430">
            <v>0</v>
          </cell>
        </row>
        <row r="5431">
          <cell r="P5431">
            <v>0</v>
          </cell>
        </row>
        <row r="5432">
          <cell r="P5432">
            <v>0</v>
          </cell>
        </row>
        <row r="5433">
          <cell r="P5433">
            <v>0</v>
          </cell>
        </row>
        <row r="5434">
          <cell r="P5434">
            <v>0</v>
          </cell>
        </row>
        <row r="5435">
          <cell r="P5435">
            <v>0</v>
          </cell>
        </row>
        <row r="5436">
          <cell r="P5436">
            <v>0</v>
          </cell>
        </row>
        <row r="5437">
          <cell r="P5437">
            <v>0</v>
          </cell>
        </row>
        <row r="5438">
          <cell r="P5438">
            <v>0</v>
          </cell>
        </row>
        <row r="5439">
          <cell r="P5439">
            <v>0</v>
          </cell>
        </row>
        <row r="5440">
          <cell r="P5440">
            <v>0</v>
          </cell>
        </row>
        <row r="5441">
          <cell r="P5441">
            <v>0</v>
          </cell>
        </row>
        <row r="5442">
          <cell r="P5442">
            <v>0</v>
          </cell>
        </row>
        <row r="5443">
          <cell r="P5443">
            <v>0</v>
          </cell>
        </row>
        <row r="5444">
          <cell r="P5444">
            <v>0</v>
          </cell>
        </row>
        <row r="5445">
          <cell r="P5445">
            <v>0</v>
          </cell>
        </row>
        <row r="5446">
          <cell r="P5446">
            <v>0</v>
          </cell>
        </row>
        <row r="5447">
          <cell r="P5447">
            <v>0</v>
          </cell>
        </row>
        <row r="5448">
          <cell r="P5448">
            <v>0</v>
          </cell>
        </row>
        <row r="5449">
          <cell r="P5449">
            <v>0</v>
          </cell>
        </row>
        <row r="5450">
          <cell r="P5450">
            <v>0</v>
          </cell>
        </row>
        <row r="5451">
          <cell r="P5451">
            <v>0</v>
          </cell>
        </row>
        <row r="5452">
          <cell r="P5452">
            <v>0</v>
          </cell>
        </row>
        <row r="5453">
          <cell r="P5453">
            <v>0</v>
          </cell>
        </row>
        <row r="5454">
          <cell r="P5454">
            <v>0</v>
          </cell>
        </row>
        <row r="5455">
          <cell r="P5455">
            <v>0</v>
          </cell>
        </row>
        <row r="5456">
          <cell r="P5456">
            <v>0</v>
          </cell>
        </row>
        <row r="5457">
          <cell r="P5457">
            <v>0</v>
          </cell>
        </row>
        <row r="5458">
          <cell r="P5458">
            <v>0</v>
          </cell>
        </row>
        <row r="5459">
          <cell r="P5459">
            <v>0</v>
          </cell>
        </row>
        <row r="5460">
          <cell r="P5460">
            <v>0</v>
          </cell>
        </row>
        <row r="5461">
          <cell r="P5461">
            <v>0</v>
          </cell>
        </row>
        <row r="5462">
          <cell r="P5462">
            <v>0</v>
          </cell>
        </row>
        <row r="5463">
          <cell r="P5463">
            <v>0</v>
          </cell>
        </row>
        <row r="5464">
          <cell r="P5464">
            <v>0</v>
          </cell>
        </row>
        <row r="5465">
          <cell r="P5465">
            <v>0</v>
          </cell>
        </row>
        <row r="5466">
          <cell r="P5466">
            <v>0</v>
          </cell>
        </row>
        <row r="5467">
          <cell r="P5467">
            <v>0</v>
          </cell>
        </row>
        <row r="5468">
          <cell r="P5468">
            <v>0</v>
          </cell>
        </row>
        <row r="5469">
          <cell r="P5469">
            <v>0</v>
          </cell>
        </row>
        <row r="5470">
          <cell r="P5470">
            <v>0</v>
          </cell>
        </row>
        <row r="5471">
          <cell r="P5471">
            <v>0</v>
          </cell>
        </row>
        <row r="5472">
          <cell r="P5472">
            <v>0</v>
          </cell>
        </row>
        <row r="5473">
          <cell r="P5473">
            <v>0</v>
          </cell>
        </row>
        <row r="5474">
          <cell r="P5474">
            <v>0</v>
          </cell>
        </row>
        <row r="5475">
          <cell r="P5475">
            <v>0</v>
          </cell>
        </row>
        <row r="5476">
          <cell r="P5476">
            <v>0</v>
          </cell>
        </row>
        <row r="5477">
          <cell r="P5477">
            <v>0</v>
          </cell>
        </row>
        <row r="5478">
          <cell r="P5478">
            <v>0</v>
          </cell>
        </row>
        <row r="5479">
          <cell r="P5479">
            <v>0</v>
          </cell>
        </row>
        <row r="5480">
          <cell r="P5480">
            <v>0</v>
          </cell>
        </row>
        <row r="5481">
          <cell r="P5481">
            <v>0</v>
          </cell>
        </row>
        <row r="5482">
          <cell r="P5482">
            <v>0</v>
          </cell>
        </row>
        <row r="5483">
          <cell r="P5483">
            <v>0</v>
          </cell>
        </row>
        <row r="5484">
          <cell r="P5484">
            <v>0</v>
          </cell>
        </row>
        <row r="5485">
          <cell r="P5485">
            <v>0</v>
          </cell>
        </row>
        <row r="5486">
          <cell r="P5486">
            <v>0</v>
          </cell>
        </row>
        <row r="5487">
          <cell r="P5487">
            <v>0</v>
          </cell>
        </row>
        <row r="5488">
          <cell r="P5488">
            <v>0</v>
          </cell>
        </row>
        <row r="5489">
          <cell r="P5489">
            <v>0</v>
          </cell>
        </row>
        <row r="5490">
          <cell r="P5490">
            <v>0</v>
          </cell>
        </row>
        <row r="5491">
          <cell r="P5491">
            <v>0</v>
          </cell>
        </row>
        <row r="5492">
          <cell r="P5492">
            <v>0</v>
          </cell>
        </row>
        <row r="5493">
          <cell r="P5493">
            <v>0</v>
          </cell>
        </row>
        <row r="5494">
          <cell r="P5494">
            <v>0</v>
          </cell>
        </row>
        <row r="5495">
          <cell r="P5495">
            <v>0</v>
          </cell>
        </row>
        <row r="5496">
          <cell r="P5496">
            <v>0</v>
          </cell>
        </row>
        <row r="5497">
          <cell r="P5497">
            <v>0</v>
          </cell>
        </row>
        <row r="5498">
          <cell r="P5498">
            <v>0</v>
          </cell>
        </row>
        <row r="5499">
          <cell r="P5499">
            <v>0</v>
          </cell>
        </row>
        <row r="5500">
          <cell r="P5500">
            <v>0</v>
          </cell>
        </row>
        <row r="5501">
          <cell r="P5501">
            <v>0</v>
          </cell>
        </row>
        <row r="5502">
          <cell r="P5502">
            <v>0</v>
          </cell>
        </row>
        <row r="5503">
          <cell r="P5503">
            <v>0</v>
          </cell>
        </row>
        <row r="5504">
          <cell r="P5504">
            <v>0</v>
          </cell>
        </row>
        <row r="5505">
          <cell r="P5505">
            <v>0</v>
          </cell>
        </row>
        <row r="5506">
          <cell r="P5506">
            <v>0</v>
          </cell>
        </row>
        <row r="5507">
          <cell r="P5507">
            <v>0</v>
          </cell>
        </row>
        <row r="5508">
          <cell r="P5508">
            <v>0</v>
          </cell>
        </row>
        <row r="5509">
          <cell r="P5509">
            <v>0</v>
          </cell>
        </row>
        <row r="5510">
          <cell r="P5510">
            <v>0</v>
          </cell>
        </row>
        <row r="5511">
          <cell r="P5511">
            <v>0</v>
          </cell>
        </row>
        <row r="5512">
          <cell r="P5512">
            <v>0</v>
          </cell>
        </row>
        <row r="5513">
          <cell r="P5513">
            <v>0</v>
          </cell>
        </row>
        <row r="5514">
          <cell r="P5514">
            <v>0</v>
          </cell>
        </row>
        <row r="5515">
          <cell r="P5515">
            <v>0</v>
          </cell>
        </row>
        <row r="5516">
          <cell r="P5516">
            <v>0</v>
          </cell>
        </row>
        <row r="5517">
          <cell r="P5517">
            <v>0</v>
          </cell>
        </row>
        <row r="5518">
          <cell r="P5518">
            <v>0</v>
          </cell>
        </row>
        <row r="5519">
          <cell r="P5519">
            <v>0</v>
          </cell>
        </row>
        <row r="5520">
          <cell r="P5520">
            <v>0</v>
          </cell>
        </row>
        <row r="5521">
          <cell r="P5521">
            <v>0</v>
          </cell>
        </row>
        <row r="5522">
          <cell r="P5522">
            <v>0</v>
          </cell>
        </row>
        <row r="5523">
          <cell r="P5523">
            <v>0</v>
          </cell>
        </row>
        <row r="5524">
          <cell r="P5524">
            <v>0</v>
          </cell>
        </row>
        <row r="5525">
          <cell r="P5525">
            <v>0</v>
          </cell>
        </row>
        <row r="5526">
          <cell r="P5526">
            <v>0</v>
          </cell>
        </row>
        <row r="5527">
          <cell r="P5527">
            <v>0</v>
          </cell>
        </row>
        <row r="5528">
          <cell r="P5528">
            <v>0</v>
          </cell>
        </row>
        <row r="5529">
          <cell r="P5529">
            <v>0</v>
          </cell>
        </row>
        <row r="5530">
          <cell r="P5530">
            <v>0</v>
          </cell>
        </row>
        <row r="5531">
          <cell r="P5531">
            <v>0</v>
          </cell>
        </row>
        <row r="5532">
          <cell r="P5532">
            <v>0</v>
          </cell>
        </row>
        <row r="5533">
          <cell r="P5533">
            <v>0</v>
          </cell>
        </row>
        <row r="5534">
          <cell r="P5534">
            <v>0</v>
          </cell>
        </row>
        <row r="5535">
          <cell r="P5535">
            <v>0</v>
          </cell>
        </row>
        <row r="5536">
          <cell r="P5536">
            <v>0</v>
          </cell>
        </row>
        <row r="5537">
          <cell r="P5537">
            <v>0</v>
          </cell>
        </row>
        <row r="5538">
          <cell r="P5538">
            <v>0</v>
          </cell>
        </row>
        <row r="5539">
          <cell r="P5539">
            <v>0</v>
          </cell>
        </row>
        <row r="5540">
          <cell r="P5540">
            <v>0</v>
          </cell>
        </row>
        <row r="5541">
          <cell r="P5541">
            <v>0</v>
          </cell>
        </row>
        <row r="5542">
          <cell r="P5542">
            <v>0</v>
          </cell>
        </row>
        <row r="5543">
          <cell r="P5543">
            <v>0</v>
          </cell>
        </row>
        <row r="5544">
          <cell r="P5544">
            <v>0</v>
          </cell>
        </row>
        <row r="5545">
          <cell r="P5545">
            <v>0</v>
          </cell>
        </row>
        <row r="5546">
          <cell r="P5546">
            <v>0</v>
          </cell>
        </row>
        <row r="5547">
          <cell r="P5547">
            <v>0</v>
          </cell>
        </row>
        <row r="5548">
          <cell r="P5548">
            <v>0</v>
          </cell>
        </row>
        <row r="5549">
          <cell r="P5549">
            <v>0</v>
          </cell>
        </row>
        <row r="5550">
          <cell r="P5550">
            <v>0</v>
          </cell>
        </row>
        <row r="5551">
          <cell r="P5551">
            <v>0</v>
          </cell>
        </row>
        <row r="5552">
          <cell r="P5552">
            <v>0</v>
          </cell>
        </row>
        <row r="5553">
          <cell r="P5553">
            <v>0</v>
          </cell>
        </row>
        <row r="5554">
          <cell r="P5554">
            <v>0</v>
          </cell>
        </row>
        <row r="5555">
          <cell r="P5555">
            <v>0</v>
          </cell>
        </row>
        <row r="5556">
          <cell r="P5556">
            <v>0</v>
          </cell>
        </row>
        <row r="5557">
          <cell r="P5557">
            <v>0</v>
          </cell>
        </row>
        <row r="5558">
          <cell r="P5558">
            <v>0</v>
          </cell>
        </row>
        <row r="5559">
          <cell r="P5559">
            <v>0</v>
          </cell>
        </row>
        <row r="5560">
          <cell r="P5560">
            <v>0</v>
          </cell>
        </row>
        <row r="5561">
          <cell r="P5561">
            <v>0</v>
          </cell>
        </row>
        <row r="5562">
          <cell r="P5562">
            <v>0</v>
          </cell>
        </row>
        <row r="5563">
          <cell r="P5563">
            <v>0</v>
          </cell>
        </row>
        <row r="5564">
          <cell r="P5564">
            <v>0</v>
          </cell>
        </row>
        <row r="5565">
          <cell r="P5565">
            <v>0</v>
          </cell>
        </row>
        <row r="5566">
          <cell r="P5566">
            <v>0</v>
          </cell>
        </row>
        <row r="5567">
          <cell r="P5567">
            <v>0</v>
          </cell>
        </row>
        <row r="5568">
          <cell r="P5568">
            <v>0</v>
          </cell>
        </row>
        <row r="5569">
          <cell r="P5569">
            <v>0</v>
          </cell>
        </row>
        <row r="5570">
          <cell r="P5570">
            <v>0</v>
          </cell>
        </row>
        <row r="5571">
          <cell r="P5571">
            <v>0</v>
          </cell>
        </row>
        <row r="5572">
          <cell r="P5572">
            <v>0</v>
          </cell>
        </row>
        <row r="5573">
          <cell r="P5573">
            <v>0</v>
          </cell>
        </row>
        <row r="5574">
          <cell r="P5574">
            <v>0</v>
          </cell>
        </row>
        <row r="5575">
          <cell r="P5575">
            <v>0</v>
          </cell>
        </row>
        <row r="5576">
          <cell r="P5576">
            <v>0</v>
          </cell>
        </row>
        <row r="5577">
          <cell r="P5577">
            <v>0</v>
          </cell>
        </row>
        <row r="5578">
          <cell r="P5578">
            <v>0</v>
          </cell>
        </row>
        <row r="5579">
          <cell r="P5579">
            <v>0</v>
          </cell>
        </row>
        <row r="5580">
          <cell r="P5580">
            <v>0</v>
          </cell>
        </row>
        <row r="5581">
          <cell r="P5581">
            <v>0</v>
          </cell>
        </row>
        <row r="5582">
          <cell r="P5582">
            <v>0</v>
          </cell>
        </row>
        <row r="5583">
          <cell r="P5583">
            <v>0</v>
          </cell>
        </row>
        <row r="5584">
          <cell r="P5584">
            <v>0</v>
          </cell>
        </row>
        <row r="5585">
          <cell r="P5585">
            <v>0</v>
          </cell>
        </row>
        <row r="5586">
          <cell r="P5586">
            <v>0</v>
          </cell>
        </row>
        <row r="5587">
          <cell r="P5587">
            <v>0</v>
          </cell>
        </row>
        <row r="5588">
          <cell r="P5588">
            <v>0</v>
          </cell>
        </row>
        <row r="5589">
          <cell r="P5589">
            <v>0</v>
          </cell>
        </row>
        <row r="5590">
          <cell r="P5590">
            <v>0</v>
          </cell>
        </row>
        <row r="5591">
          <cell r="P5591">
            <v>0</v>
          </cell>
        </row>
        <row r="5592">
          <cell r="P5592">
            <v>0</v>
          </cell>
        </row>
        <row r="5593">
          <cell r="P5593">
            <v>0</v>
          </cell>
        </row>
        <row r="5594">
          <cell r="P5594">
            <v>0</v>
          </cell>
        </row>
        <row r="5595">
          <cell r="P5595">
            <v>0</v>
          </cell>
        </row>
        <row r="5596">
          <cell r="P5596">
            <v>0</v>
          </cell>
        </row>
        <row r="5597">
          <cell r="P5597">
            <v>0</v>
          </cell>
        </row>
        <row r="5598">
          <cell r="P5598">
            <v>0</v>
          </cell>
        </row>
        <row r="5599">
          <cell r="P5599">
            <v>0</v>
          </cell>
        </row>
        <row r="5600">
          <cell r="P5600">
            <v>0</v>
          </cell>
        </row>
        <row r="5601">
          <cell r="P5601">
            <v>0</v>
          </cell>
        </row>
        <row r="5602">
          <cell r="P5602">
            <v>0</v>
          </cell>
        </row>
        <row r="5603">
          <cell r="P5603">
            <v>0</v>
          </cell>
        </row>
        <row r="5604">
          <cell r="P5604">
            <v>0</v>
          </cell>
        </row>
        <row r="5605">
          <cell r="P5605">
            <v>0</v>
          </cell>
        </row>
        <row r="5606">
          <cell r="P5606">
            <v>0</v>
          </cell>
        </row>
        <row r="5607">
          <cell r="P5607">
            <v>0</v>
          </cell>
        </row>
        <row r="5608">
          <cell r="P5608">
            <v>0</v>
          </cell>
        </row>
        <row r="5609">
          <cell r="P5609">
            <v>0</v>
          </cell>
        </row>
        <row r="5610">
          <cell r="P5610">
            <v>0</v>
          </cell>
        </row>
        <row r="5611">
          <cell r="P5611">
            <v>0</v>
          </cell>
        </row>
        <row r="5612">
          <cell r="P5612">
            <v>0</v>
          </cell>
        </row>
        <row r="5613">
          <cell r="P5613">
            <v>0</v>
          </cell>
        </row>
        <row r="5614">
          <cell r="P5614">
            <v>0</v>
          </cell>
        </row>
        <row r="5615">
          <cell r="P5615">
            <v>0</v>
          </cell>
        </row>
        <row r="5616">
          <cell r="P5616">
            <v>0</v>
          </cell>
        </row>
        <row r="5617">
          <cell r="P5617">
            <v>0</v>
          </cell>
        </row>
        <row r="5618">
          <cell r="P5618">
            <v>0</v>
          </cell>
        </row>
        <row r="5619">
          <cell r="P5619">
            <v>0</v>
          </cell>
        </row>
        <row r="5620">
          <cell r="P5620">
            <v>0</v>
          </cell>
        </row>
        <row r="5621">
          <cell r="P5621">
            <v>0</v>
          </cell>
        </row>
        <row r="5622">
          <cell r="P5622">
            <v>0</v>
          </cell>
        </row>
        <row r="5623">
          <cell r="P5623">
            <v>0</v>
          </cell>
        </row>
        <row r="5624">
          <cell r="P5624">
            <v>0</v>
          </cell>
        </row>
        <row r="5625">
          <cell r="P5625">
            <v>0</v>
          </cell>
        </row>
        <row r="5626">
          <cell r="P5626">
            <v>0</v>
          </cell>
        </row>
        <row r="5627">
          <cell r="P5627">
            <v>0</v>
          </cell>
        </row>
        <row r="5628">
          <cell r="P5628">
            <v>0</v>
          </cell>
        </row>
        <row r="5629">
          <cell r="P5629">
            <v>0</v>
          </cell>
        </row>
        <row r="5630">
          <cell r="P5630">
            <v>0</v>
          </cell>
        </row>
        <row r="5631">
          <cell r="P5631">
            <v>0</v>
          </cell>
        </row>
        <row r="5632">
          <cell r="P5632">
            <v>0</v>
          </cell>
        </row>
        <row r="5633">
          <cell r="P5633">
            <v>0</v>
          </cell>
        </row>
        <row r="5634">
          <cell r="P5634">
            <v>0</v>
          </cell>
        </row>
        <row r="5635">
          <cell r="P5635">
            <v>0</v>
          </cell>
        </row>
        <row r="5636">
          <cell r="P5636">
            <v>0</v>
          </cell>
        </row>
        <row r="5637">
          <cell r="P5637">
            <v>0</v>
          </cell>
        </row>
        <row r="5638">
          <cell r="P5638">
            <v>0</v>
          </cell>
        </row>
        <row r="5639">
          <cell r="P5639">
            <v>0</v>
          </cell>
        </row>
        <row r="5640">
          <cell r="P5640">
            <v>0</v>
          </cell>
        </row>
        <row r="5641">
          <cell r="P5641">
            <v>0</v>
          </cell>
        </row>
        <row r="5642">
          <cell r="P5642">
            <v>0</v>
          </cell>
        </row>
        <row r="5643">
          <cell r="P5643">
            <v>0</v>
          </cell>
        </row>
        <row r="5644">
          <cell r="P5644">
            <v>0</v>
          </cell>
        </row>
        <row r="5645">
          <cell r="P5645">
            <v>0</v>
          </cell>
        </row>
        <row r="5646">
          <cell r="P5646">
            <v>0</v>
          </cell>
        </row>
        <row r="5647">
          <cell r="P5647">
            <v>0</v>
          </cell>
        </row>
        <row r="5648">
          <cell r="P5648">
            <v>0</v>
          </cell>
        </row>
        <row r="5649">
          <cell r="P5649">
            <v>0</v>
          </cell>
        </row>
        <row r="5650">
          <cell r="P5650">
            <v>0</v>
          </cell>
        </row>
        <row r="5651">
          <cell r="P5651">
            <v>0</v>
          </cell>
        </row>
        <row r="5652">
          <cell r="P5652">
            <v>0</v>
          </cell>
        </row>
        <row r="5653">
          <cell r="P5653">
            <v>0</v>
          </cell>
        </row>
        <row r="5654">
          <cell r="P5654">
            <v>0</v>
          </cell>
        </row>
        <row r="5655">
          <cell r="P5655">
            <v>0</v>
          </cell>
        </row>
        <row r="5656">
          <cell r="P5656">
            <v>0</v>
          </cell>
        </row>
        <row r="5657">
          <cell r="P5657">
            <v>0</v>
          </cell>
        </row>
        <row r="5658">
          <cell r="P5658">
            <v>0</v>
          </cell>
        </row>
        <row r="5659">
          <cell r="P5659">
            <v>0</v>
          </cell>
        </row>
        <row r="5660">
          <cell r="P5660">
            <v>0</v>
          </cell>
        </row>
        <row r="5661">
          <cell r="P5661">
            <v>0</v>
          </cell>
        </row>
        <row r="5662">
          <cell r="P5662">
            <v>0</v>
          </cell>
        </row>
        <row r="5663">
          <cell r="P5663">
            <v>0</v>
          </cell>
        </row>
        <row r="5664">
          <cell r="P5664">
            <v>0</v>
          </cell>
        </row>
        <row r="5665">
          <cell r="P5665">
            <v>0</v>
          </cell>
        </row>
        <row r="5666">
          <cell r="P5666">
            <v>0</v>
          </cell>
        </row>
        <row r="5667">
          <cell r="P5667">
            <v>0</v>
          </cell>
        </row>
        <row r="5668">
          <cell r="P5668">
            <v>0</v>
          </cell>
        </row>
        <row r="5669">
          <cell r="P5669">
            <v>0</v>
          </cell>
        </row>
        <row r="5670">
          <cell r="P5670">
            <v>0</v>
          </cell>
        </row>
        <row r="5671">
          <cell r="P5671">
            <v>0</v>
          </cell>
        </row>
        <row r="5672">
          <cell r="P5672">
            <v>0</v>
          </cell>
        </row>
        <row r="5673">
          <cell r="P5673">
            <v>0</v>
          </cell>
        </row>
        <row r="5674">
          <cell r="P5674">
            <v>0</v>
          </cell>
        </row>
        <row r="5675">
          <cell r="P5675">
            <v>0</v>
          </cell>
        </row>
        <row r="5676">
          <cell r="P5676">
            <v>0</v>
          </cell>
        </row>
        <row r="5677">
          <cell r="P5677">
            <v>0</v>
          </cell>
        </row>
        <row r="5678">
          <cell r="P5678">
            <v>0</v>
          </cell>
        </row>
        <row r="5679">
          <cell r="P5679">
            <v>0</v>
          </cell>
        </row>
        <row r="5680">
          <cell r="P5680">
            <v>0</v>
          </cell>
        </row>
        <row r="5681">
          <cell r="P5681">
            <v>0</v>
          </cell>
        </row>
        <row r="5682">
          <cell r="P5682">
            <v>0</v>
          </cell>
        </row>
        <row r="5683">
          <cell r="P5683">
            <v>0</v>
          </cell>
        </row>
        <row r="5684">
          <cell r="P5684">
            <v>0</v>
          </cell>
        </row>
        <row r="5685">
          <cell r="P5685">
            <v>0</v>
          </cell>
        </row>
        <row r="5686">
          <cell r="P5686">
            <v>0</v>
          </cell>
        </row>
        <row r="5687">
          <cell r="P5687">
            <v>0</v>
          </cell>
        </row>
        <row r="5688">
          <cell r="P5688">
            <v>0</v>
          </cell>
        </row>
        <row r="5689">
          <cell r="P5689">
            <v>0</v>
          </cell>
        </row>
        <row r="5690">
          <cell r="P5690">
            <v>0</v>
          </cell>
        </row>
        <row r="5691">
          <cell r="P5691">
            <v>0</v>
          </cell>
        </row>
        <row r="5692">
          <cell r="P5692">
            <v>0</v>
          </cell>
        </row>
        <row r="5693">
          <cell r="P5693">
            <v>0</v>
          </cell>
        </row>
        <row r="5694">
          <cell r="P5694">
            <v>0</v>
          </cell>
        </row>
        <row r="5695">
          <cell r="P5695">
            <v>0</v>
          </cell>
        </row>
        <row r="5696">
          <cell r="P5696">
            <v>0</v>
          </cell>
        </row>
        <row r="5697">
          <cell r="P5697">
            <v>0</v>
          </cell>
        </row>
        <row r="5698">
          <cell r="P5698">
            <v>0</v>
          </cell>
        </row>
        <row r="5699">
          <cell r="P5699">
            <v>0</v>
          </cell>
        </row>
        <row r="5700">
          <cell r="P5700">
            <v>0</v>
          </cell>
        </row>
        <row r="5701">
          <cell r="P5701">
            <v>0</v>
          </cell>
        </row>
        <row r="5702">
          <cell r="P5702">
            <v>0</v>
          </cell>
        </row>
        <row r="5703">
          <cell r="P5703">
            <v>0</v>
          </cell>
        </row>
        <row r="5704">
          <cell r="P5704">
            <v>0</v>
          </cell>
        </row>
        <row r="5705">
          <cell r="P5705">
            <v>0</v>
          </cell>
        </row>
        <row r="5706">
          <cell r="P5706">
            <v>0</v>
          </cell>
        </row>
        <row r="5707">
          <cell r="P5707">
            <v>0</v>
          </cell>
        </row>
        <row r="5708">
          <cell r="P5708">
            <v>0</v>
          </cell>
        </row>
        <row r="5709">
          <cell r="P5709">
            <v>0</v>
          </cell>
        </row>
        <row r="5710">
          <cell r="P5710">
            <v>0</v>
          </cell>
        </row>
        <row r="5711">
          <cell r="P5711">
            <v>0</v>
          </cell>
        </row>
        <row r="5712">
          <cell r="P5712">
            <v>0</v>
          </cell>
        </row>
        <row r="5713">
          <cell r="P5713">
            <v>0</v>
          </cell>
        </row>
        <row r="5714">
          <cell r="P5714">
            <v>0</v>
          </cell>
        </row>
        <row r="5715">
          <cell r="P5715">
            <v>0</v>
          </cell>
        </row>
        <row r="5716">
          <cell r="P5716">
            <v>0</v>
          </cell>
        </row>
        <row r="5717">
          <cell r="P5717">
            <v>0</v>
          </cell>
        </row>
        <row r="5718">
          <cell r="P5718">
            <v>0</v>
          </cell>
        </row>
        <row r="5719">
          <cell r="P5719">
            <v>0</v>
          </cell>
        </row>
        <row r="5720">
          <cell r="P5720">
            <v>0</v>
          </cell>
        </row>
        <row r="5721">
          <cell r="P5721">
            <v>0</v>
          </cell>
        </row>
        <row r="5722">
          <cell r="P5722">
            <v>0</v>
          </cell>
        </row>
        <row r="5723">
          <cell r="P5723">
            <v>0</v>
          </cell>
        </row>
        <row r="5724">
          <cell r="P5724">
            <v>0</v>
          </cell>
        </row>
        <row r="5725">
          <cell r="P5725">
            <v>0</v>
          </cell>
        </row>
        <row r="5726">
          <cell r="P5726">
            <v>0</v>
          </cell>
        </row>
        <row r="5727">
          <cell r="P5727">
            <v>0</v>
          </cell>
        </row>
        <row r="5728">
          <cell r="P5728">
            <v>0</v>
          </cell>
        </row>
        <row r="5729">
          <cell r="P5729">
            <v>0</v>
          </cell>
        </row>
        <row r="5730">
          <cell r="P5730">
            <v>0</v>
          </cell>
        </row>
        <row r="5731">
          <cell r="P5731">
            <v>0</v>
          </cell>
        </row>
        <row r="5732">
          <cell r="P5732">
            <v>0</v>
          </cell>
        </row>
        <row r="5733">
          <cell r="P5733">
            <v>0</v>
          </cell>
        </row>
        <row r="5734">
          <cell r="P5734">
            <v>0</v>
          </cell>
        </row>
        <row r="5735">
          <cell r="P5735">
            <v>0</v>
          </cell>
        </row>
        <row r="5736">
          <cell r="P5736">
            <v>0</v>
          </cell>
        </row>
        <row r="5737">
          <cell r="P5737">
            <v>0</v>
          </cell>
        </row>
        <row r="5738">
          <cell r="P5738">
            <v>0</v>
          </cell>
        </row>
        <row r="5739">
          <cell r="P5739">
            <v>0</v>
          </cell>
        </row>
        <row r="5740">
          <cell r="P5740">
            <v>0</v>
          </cell>
        </row>
        <row r="5741">
          <cell r="P5741">
            <v>0</v>
          </cell>
        </row>
        <row r="5742">
          <cell r="P5742">
            <v>0</v>
          </cell>
        </row>
        <row r="5743">
          <cell r="P5743">
            <v>0</v>
          </cell>
        </row>
        <row r="5744">
          <cell r="P5744">
            <v>0</v>
          </cell>
        </row>
        <row r="5745">
          <cell r="P5745">
            <v>0</v>
          </cell>
        </row>
        <row r="5746">
          <cell r="P5746">
            <v>0</v>
          </cell>
        </row>
        <row r="5747">
          <cell r="P5747">
            <v>0</v>
          </cell>
        </row>
        <row r="5748">
          <cell r="P5748">
            <v>0</v>
          </cell>
        </row>
        <row r="5749">
          <cell r="P5749">
            <v>0</v>
          </cell>
        </row>
        <row r="5750">
          <cell r="P5750">
            <v>0</v>
          </cell>
        </row>
        <row r="5751">
          <cell r="P5751">
            <v>0</v>
          </cell>
        </row>
        <row r="5752">
          <cell r="P5752">
            <v>0</v>
          </cell>
        </row>
        <row r="5753">
          <cell r="P5753">
            <v>0</v>
          </cell>
        </row>
        <row r="5754">
          <cell r="P5754">
            <v>0</v>
          </cell>
        </row>
        <row r="5755">
          <cell r="P5755">
            <v>0</v>
          </cell>
        </row>
        <row r="5756">
          <cell r="P5756">
            <v>0</v>
          </cell>
        </row>
        <row r="5757">
          <cell r="P5757">
            <v>0</v>
          </cell>
        </row>
        <row r="5758">
          <cell r="P5758">
            <v>0</v>
          </cell>
        </row>
        <row r="5759">
          <cell r="P5759">
            <v>0</v>
          </cell>
        </row>
        <row r="5760">
          <cell r="P5760">
            <v>0</v>
          </cell>
        </row>
        <row r="5761">
          <cell r="P5761">
            <v>0</v>
          </cell>
        </row>
        <row r="5762">
          <cell r="P5762">
            <v>0</v>
          </cell>
        </row>
        <row r="5763">
          <cell r="P5763">
            <v>0</v>
          </cell>
        </row>
        <row r="5764">
          <cell r="P5764">
            <v>0</v>
          </cell>
        </row>
        <row r="5765">
          <cell r="P5765">
            <v>0</v>
          </cell>
        </row>
        <row r="5766">
          <cell r="P5766">
            <v>0</v>
          </cell>
        </row>
        <row r="5767">
          <cell r="P5767">
            <v>0</v>
          </cell>
        </row>
        <row r="5768">
          <cell r="P5768">
            <v>0</v>
          </cell>
        </row>
        <row r="5769">
          <cell r="P5769">
            <v>0</v>
          </cell>
        </row>
        <row r="5770">
          <cell r="P5770">
            <v>0</v>
          </cell>
        </row>
        <row r="5771">
          <cell r="P5771">
            <v>0</v>
          </cell>
        </row>
        <row r="5772">
          <cell r="P5772">
            <v>0</v>
          </cell>
        </row>
        <row r="5773">
          <cell r="P5773">
            <v>0</v>
          </cell>
        </row>
        <row r="5774">
          <cell r="P5774">
            <v>0</v>
          </cell>
        </row>
        <row r="5775">
          <cell r="P5775">
            <v>0</v>
          </cell>
        </row>
        <row r="5776">
          <cell r="P5776">
            <v>0</v>
          </cell>
        </row>
        <row r="5777">
          <cell r="P5777">
            <v>0</v>
          </cell>
        </row>
        <row r="5778">
          <cell r="P5778">
            <v>0</v>
          </cell>
        </row>
        <row r="5779">
          <cell r="P5779">
            <v>0</v>
          </cell>
        </row>
        <row r="5780">
          <cell r="P5780">
            <v>0</v>
          </cell>
        </row>
        <row r="5781">
          <cell r="P5781">
            <v>0</v>
          </cell>
        </row>
        <row r="5782">
          <cell r="P5782">
            <v>0</v>
          </cell>
        </row>
        <row r="5783">
          <cell r="P5783">
            <v>0</v>
          </cell>
        </row>
        <row r="5784">
          <cell r="P5784">
            <v>0</v>
          </cell>
        </row>
        <row r="5785">
          <cell r="P5785">
            <v>0</v>
          </cell>
        </row>
        <row r="5786">
          <cell r="P5786">
            <v>0</v>
          </cell>
        </row>
        <row r="5787">
          <cell r="P5787">
            <v>0</v>
          </cell>
        </row>
        <row r="5788">
          <cell r="P5788">
            <v>0</v>
          </cell>
        </row>
        <row r="5789">
          <cell r="P5789">
            <v>0</v>
          </cell>
        </row>
        <row r="5790">
          <cell r="P5790">
            <v>0</v>
          </cell>
        </row>
        <row r="5791">
          <cell r="P5791">
            <v>0</v>
          </cell>
        </row>
        <row r="5792">
          <cell r="P5792">
            <v>0</v>
          </cell>
        </row>
        <row r="5793">
          <cell r="P5793">
            <v>0</v>
          </cell>
        </row>
        <row r="5794">
          <cell r="P5794">
            <v>0</v>
          </cell>
        </row>
        <row r="5795">
          <cell r="P5795">
            <v>0</v>
          </cell>
        </row>
        <row r="5796">
          <cell r="P5796">
            <v>0</v>
          </cell>
        </row>
        <row r="5797">
          <cell r="P5797">
            <v>0</v>
          </cell>
        </row>
        <row r="5798">
          <cell r="P5798">
            <v>0</v>
          </cell>
        </row>
        <row r="5799">
          <cell r="P5799">
            <v>0</v>
          </cell>
        </row>
        <row r="5800">
          <cell r="P5800">
            <v>0</v>
          </cell>
        </row>
        <row r="5801">
          <cell r="P5801">
            <v>0</v>
          </cell>
        </row>
        <row r="5802">
          <cell r="P5802">
            <v>0</v>
          </cell>
        </row>
        <row r="5803">
          <cell r="P5803">
            <v>0</v>
          </cell>
        </row>
        <row r="5804">
          <cell r="P5804">
            <v>0</v>
          </cell>
        </row>
        <row r="5805">
          <cell r="P5805">
            <v>0</v>
          </cell>
        </row>
        <row r="5806">
          <cell r="P5806">
            <v>0</v>
          </cell>
        </row>
        <row r="5807">
          <cell r="P5807">
            <v>0</v>
          </cell>
        </row>
        <row r="5808">
          <cell r="P5808">
            <v>0</v>
          </cell>
        </row>
        <row r="5809">
          <cell r="P5809">
            <v>0</v>
          </cell>
        </row>
        <row r="5810">
          <cell r="P5810">
            <v>0</v>
          </cell>
        </row>
        <row r="5811">
          <cell r="P5811">
            <v>0</v>
          </cell>
        </row>
        <row r="5812">
          <cell r="P5812">
            <v>0</v>
          </cell>
        </row>
        <row r="5813">
          <cell r="P5813">
            <v>0</v>
          </cell>
        </row>
        <row r="5814">
          <cell r="P5814">
            <v>0</v>
          </cell>
        </row>
        <row r="5815">
          <cell r="P5815">
            <v>0</v>
          </cell>
        </row>
        <row r="5816">
          <cell r="P5816">
            <v>0</v>
          </cell>
        </row>
        <row r="5817">
          <cell r="P5817">
            <v>0</v>
          </cell>
        </row>
        <row r="5818">
          <cell r="P5818">
            <v>0</v>
          </cell>
        </row>
        <row r="5819">
          <cell r="P5819">
            <v>0</v>
          </cell>
        </row>
        <row r="5820">
          <cell r="P5820">
            <v>0</v>
          </cell>
        </row>
        <row r="5821">
          <cell r="P5821">
            <v>0</v>
          </cell>
        </row>
        <row r="5822">
          <cell r="P5822">
            <v>0</v>
          </cell>
        </row>
        <row r="5823">
          <cell r="P5823">
            <v>0</v>
          </cell>
        </row>
        <row r="5824">
          <cell r="P5824">
            <v>0</v>
          </cell>
        </row>
        <row r="5825">
          <cell r="P5825">
            <v>0</v>
          </cell>
        </row>
        <row r="5826">
          <cell r="P5826">
            <v>0</v>
          </cell>
        </row>
        <row r="5827">
          <cell r="P5827">
            <v>0</v>
          </cell>
        </row>
        <row r="5828">
          <cell r="P5828">
            <v>0</v>
          </cell>
        </row>
        <row r="5829">
          <cell r="P5829">
            <v>0</v>
          </cell>
        </row>
        <row r="5830">
          <cell r="P5830">
            <v>0</v>
          </cell>
        </row>
        <row r="5831">
          <cell r="P5831">
            <v>0</v>
          </cell>
        </row>
        <row r="5832">
          <cell r="P5832">
            <v>0</v>
          </cell>
        </row>
        <row r="5833">
          <cell r="P5833">
            <v>0</v>
          </cell>
        </row>
        <row r="5834">
          <cell r="P5834">
            <v>0</v>
          </cell>
        </row>
        <row r="5835">
          <cell r="P5835">
            <v>0</v>
          </cell>
        </row>
        <row r="5836">
          <cell r="P5836">
            <v>0</v>
          </cell>
        </row>
        <row r="5837">
          <cell r="P5837">
            <v>0</v>
          </cell>
        </row>
        <row r="5838">
          <cell r="P5838">
            <v>0</v>
          </cell>
        </row>
        <row r="5839">
          <cell r="P5839">
            <v>0</v>
          </cell>
        </row>
        <row r="5840">
          <cell r="P5840">
            <v>0</v>
          </cell>
        </row>
        <row r="5841">
          <cell r="P5841">
            <v>0</v>
          </cell>
        </row>
        <row r="5842">
          <cell r="P5842">
            <v>0</v>
          </cell>
        </row>
        <row r="5843">
          <cell r="P5843">
            <v>0</v>
          </cell>
        </row>
        <row r="5844">
          <cell r="P5844">
            <v>0</v>
          </cell>
        </row>
        <row r="5845">
          <cell r="P5845">
            <v>0</v>
          </cell>
        </row>
        <row r="5846">
          <cell r="P5846">
            <v>0</v>
          </cell>
        </row>
        <row r="5847">
          <cell r="P5847">
            <v>0</v>
          </cell>
        </row>
        <row r="5848">
          <cell r="P5848">
            <v>0</v>
          </cell>
        </row>
        <row r="5849">
          <cell r="P5849">
            <v>0</v>
          </cell>
        </row>
        <row r="5850">
          <cell r="P5850">
            <v>0</v>
          </cell>
        </row>
        <row r="5851">
          <cell r="P5851">
            <v>0</v>
          </cell>
        </row>
        <row r="5852">
          <cell r="P5852">
            <v>0</v>
          </cell>
        </row>
        <row r="5853">
          <cell r="P5853">
            <v>0</v>
          </cell>
        </row>
        <row r="5854">
          <cell r="P5854">
            <v>0</v>
          </cell>
        </row>
        <row r="5855">
          <cell r="P5855">
            <v>0</v>
          </cell>
        </row>
        <row r="5856">
          <cell r="P5856">
            <v>0</v>
          </cell>
        </row>
        <row r="5857">
          <cell r="P5857">
            <v>0</v>
          </cell>
        </row>
        <row r="5858">
          <cell r="P5858">
            <v>0</v>
          </cell>
        </row>
        <row r="5859">
          <cell r="P5859">
            <v>0</v>
          </cell>
        </row>
        <row r="5860">
          <cell r="P5860">
            <v>0</v>
          </cell>
        </row>
        <row r="5861">
          <cell r="P5861">
            <v>0</v>
          </cell>
        </row>
        <row r="5862">
          <cell r="P5862">
            <v>0</v>
          </cell>
        </row>
        <row r="5863">
          <cell r="P5863">
            <v>0</v>
          </cell>
        </row>
        <row r="5864">
          <cell r="P5864">
            <v>0</v>
          </cell>
        </row>
        <row r="5865">
          <cell r="P5865">
            <v>0</v>
          </cell>
        </row>
        <row r="5866">
          <cell r="P5866">
            <v>0</v>
          </cell>
        </row>
        <row r="5867">
          <cell r="P5867">
            <v>0</v>
          </cell>
        </row>
        <row r="5868">
          <cell r="P5868">
            <v>0</v>
          </cell>
        </row>
        <row r="5869">
          <cell r="P5869">
            <v>0</v>
          </cell>
        </row>
        <row r="5870">
          <cell r="P5870">
            <v>0</v>
          </cell>
        </row>
        <row r="5871">
          <cell r="P5871">
            <v>0</v>
          </cell>
        </row>
        <row r="5872">
          <cell r="P5872">
            <v>0</v>
          </cell>
        </row>
        <row r="5873">
          <cell r="P5873">
            <v>0</v>
          </cell>
        </row>
        <row r="5874">
          <cell r="P5874">
            <v>0</v>
          </cell>
        </row>
        <row r="5875">
          <cell r="P5875">
            <v>0</v>
          </cell>
        </row>
        <row r="5876">
          <cell r="P5876">
            <v>0</v>
          </cell>
        </row>
        <row r="5877">
          <cell r="P5877">
            <v>0</v>
          </cell>
        </row>
        <row r="5878">
          <cell r="P5878">
            <v>0</v>
          </cell>
        </row>
        <row r="5879">
          <cell r="P5879">
            <v>0</v>
          </cell>
        </row>
        <row r="5880">
          <cell r="P5880">
            <v>0</v>
          </cell>
        </row>
        <row r="5881">
          <cell r="P5881">
            <v>0</v>
          </cell>
        </row>
        <row r="5882">
          <cell r="P5882">
            <v>0</v>
          </cell>
        </row>
        <row r="5883">
          <cell r="P5883">
            <v>0</v>
          </cell>
        </row>
        <row r="5884">
          <cell r="P5884">
            <v>0</v>
          </cell>
        </row>
        <row r="5885">
          <cell r="P5885">
            <v>0</v>
          </cell>
        </row>
        <row r="5886">
          <cell r="P5886">
            <v>0</v>
          </cell>
        </row>
        <row r="5887">
          <cell r="P5887">
            <v>0</v>
          </cell>
        </row>
        <row r="5888">
          <cell r="P5888">
            <v>0</v>
          </cell>
        </row>
        <row r="5889">
          <cell r="P5889">
            <v>0</v>
          </cell>
        </row>
        <row r="5890">
          <cell r="P5890">
            <v>0</v>
          </cell>
        </row>
        <row r="5891">
          <cell r="P5891">
            <v>0</v>
          </cell>
        </row>
        <row r="5892">
          <cell r="P5892">
            <v>0</v>
          </cell>
        </row>
        <row r="5893">
          <cell r="P5893">
            <v>0</v>
          </cell>
        </row>
        <row r="5894">
          <cell r="P5894">
            <v>0</v>
          </cell>
        </row>
        <row r="5895">
          <cell r="P5895">
            <v>0</v>
          </cell>
        </row>
        <row r="5896">
          <cell r="P5896">
            <v>0</v>
          </cell>
        </row>
        <row r="5897">
          <cell r="P5897">
            <v>0</v>
          </cell>
        </row>
        <row r="5898">
          <cell r="P5898">
            <v>0</v>
          </cell>
        </row>
        <row r="5899">
          <cell r="P5899">
            <v>0</v>
          </cell>
        </row>
        <row r="5900">
          <cell r="P5900">
            <v>0</v>
          </cell>
        </row>
        <row r="5901">
          <cell r="P5901">
            <v>0</v>
          </cell>
        </row>
        <row r="5902">
          <cell r="P5902">
            <v>0</v>
          </cell>
        </row>
        <row r="5903">
          <cell r="P5903">
            <v>0</v>
          </cell>
        </row>
        <row r="5904">
          <cell r="P5904">
            <v>0</v>
          </cell>
        </row>
        <row r="5905">
          <cell r="P5905">
            <v>0</v>
          </cell>
        </row>
        <row r="5906">
          <cell r="P5906">
            <v>0</v>
          </cell>
        </row>
        <row r="5907">
          <cell r="P5907">
            <v>0</v>
          </cell>
        </row>
        <row r="5908">
          <cell r="P5908">
            <v>0</v>
          </cell>
        </row>
        <row r="5909">
          <cell r="P5909">
            <v>0</v>
          </cell>
        </row>
        <row r="5910">
          <cell r="P5910">
            <v>0</v>
          </cell>
        </row>
        <row r="5911">
          <cell r="P5911">
            <v>0</v>
          </cell>
        </row>
        <row r="5912">
          <cell r="P5912">
            <v>0</v>
          </cell>
        </row>
        <row r="5913">
          <cell r="P5913">
            <v>0</v>
          </cell>
        </row>
        <row r="5914">
          <cell r="P5914">
            <v>0</v>
          </cell>
        </row>
        <row r="5915">
          <cell r="P5915">
            <v>0</v>
          </cell>
        </row>
        <row r="5916">
          <cell r="P5916">
            <v>0</v>
          </cell>
        </row>
        <row r="5917">
          <cell r="P5917">
            <v>0</v>
          </cell>
        </row>
        <row r="5918">
          <cell r="P5918">
            <v>0</v>
          </cell>
        </row>
        <row r="5919">
          <cell r="P5919">
            <v>0</v>
          </cell>
        </row>
        <row r="5920">
          <cell r="P5920">
            <v>0</v>
          </cell>
        </row>
        <row r="5921">
          <cell r="P5921">
            <v>0</v>
          </cell>
        </row>
        <row r="5922">
          <cell r="P5922">
            <v>0</v>
          </cell>
        </row>
        <row r="5923">
          <cell r="P5923">
            <v>0</v>
          </cell>
        </row>
        <row r="5924">
          <cell r="P5924">
            <v>0</v>
          </cell>
        </row>
        <row r="5925">
          <cell r="P5925">
            <v>0</v>
          </cell>
        </row>
        <row r="5926">
          <cell r="P5926">
            <v>0</v>
          </cell>
        </row>
        <row r="5927">
          <cell r="P5927">
            <v>0</v>
          </cell>
        </row>
        <row r="5928">
          <cell r="P5928">
            <v>0</v>
          </cell>
        </row>
        <row r="5929">
          <cell r="P5929">
            <v>0</v>
          </cell>
        </row>
        <row r="5930">
          <cell r="P5930">
            <v>0</v>
          </cell>
        </row>
        <row r="5931">
          <cell r="P5931">
            <v>0</v>
          </cell>
        </row>
        <row r="5932">
          <cell r="P5932">
            <v>0</v>
          </cell>
        </row>
        <row r="5933">
          <cell r="P5933">
            <v>0</v>
          </cell>
        </row>
        <row r="5934">
          <cell r="P5934">
            <v>0</v>
          </cell>
        </row>
        <row r="5935">
          <cell r="P5935">
            <v>0</v>
          </cell>
        </row>
        <row r="5936">
          <cell r="P5936">
            <v>0</v>
          </cell>
        </row>
        <row r="5937">
          <cell r="P5937">
            <v>0</v>
          </cell>
        </row>
        <row r="5938">
          <cell r="P5938">
            <v>0</v>
          </cell>
        </row>
        <row r="5939">
          <cell r="P5939">
            <v>0</v>
          </cell>
        </row>
        <row r="5940">
          <cell r="P5940">
            <v>0</v>
          </cell>
        </row>
        <row r="5941">
          <cell r="P5941">
            <v>0</v>
          </cell>
        </row>
        <row r="5942">
          <cell r="P5942">
            <v>0</v>
          </cell>
        </row>
        <row r="5943">
          <cell r="P5943">
            <v>0</v>
          </cell>
        </row>
        <row r="5944">
          <cell r="P5944">
            <v>0</v>
          </cell>
        </row>
        <row r="5945">
          <cell r="P5945">
            <v>0</v>
          </cell>
        </row>
        <row r="5946">
          <cell r="P5946">
            <v>0</v>
          </cell>
        </row>
        <row r="5947">
          <cell r="P5947">
            <v>0</v>
          </cell>
        </row>
        <row r="5948">
          <cell r="P5948">
            <v>0</v>
          </cell>
        </row>
        <row r="5949">
          <cell r="P5949">
            <v>0</v>
          </cell>
        </row>
        <row r="5950">
          <cell r="P5950">
            <v>0</v>
          </cell>
        </row>
        <row r="5951">
          <cell r="P5951">
            <v>0</v>
          </cell>
        </row>
        <row r="5952">
          <cell r="P5952">
            <v>0</v>
          </cell>
        </row>
        <row r="5953">
          <cell r="P5953">
            <v>0</v>
          </cell>
        </row>
        <row r="5954">
          <cell r="P5954">
            <v>0</v>
          </cell>
        </row>
        <row r="5955">
          <cell r="P5955">
            <v>0</v>
          </cell>
        </row>
        <row r="5956">
          <cell r="P5956">
            <v>0</v>
          </cell>
        </row>
        <row r="5957">
          <cell r="P5957">
            <v>0</v>
          </cell>
        </row>
        <row r="5958">
          <cell r="P5958">
            <v>0</v>
          </cell>
        </row>
        <row r="5959">
          <cell r="P5959">
            <v>0</v>
          </cell>
        </row>
        <row r="5960">
          <cell r="P5960">
            <v>0</v>
          </cell>
        </row>
        <row r="5961">
          <cell r="P5961">
            <v>0</v>
          </cell>
        </row>
        <row r="5962">
          <cell r="P5962">
            <v>0</v>
          </cell>
        </row>
        <row r="5963">
          <cell r="P5963">
            <v>0</v>
          </cell>
        </row>
        <row r="5964">
          <cell r="P5964">
            <v>0</v>
          </cell>
        </row>
        <row r="5965">
          <cell r="P5965">
            <v>0</v>
          </cell>
        </row>
        <row r="5966">
          <cell r="P5966">
            <v>0</v>
          </cell>
        </row>
        <row r="5967">
          <cell r="P5967">
            <v>0</v>
          </cell>
        </row>
        <row r="5968">
          <cell r="P5968">
            <v>0</v>
          </cell>
        </row>
        <row r="5969">
          <cell r="P5969">
            <v>0</v>
          </cell>
        </row>
        <row r="5970">
          <cell r="P5970">
            <v>0</v>
          </cell>
        </row>
        <row r="5971">
          <cell r="P5971">
            <v>0</v>
          </cell>
        </row>
        <row r="5972">
          <cell r="P5972">
            <v>0</v>
          </cell>
        </row>
        <row r="5973">
          <cell r="P5973">
            <v>0</v>
          </cell>
        </row>
        <row r="5974">
          <cell r="P5974">
            <v>0</v>
          </cell>
        </row>
        <row r="5975">
          <cell r="P5975">
            <v>0</v>
          </cell>
        </row>
        <row r="5976">
          <cell r="P5976">
            <v>0</v>
          </cell>
        </row>
        <row r="5977">
          <cell r="P5977">
            <v>0</v>
          </cell>
        </row>
        <row r="5978">
          <cell r="P5978">
            <v>0</v>
          </cell>
        </row>
        <row r="5979">
          <cell r="P5979">
            <v>0</v>
          </cell>
        </row>
        <row r="5980">
          <cell r="P5980">
            <v>0</v>
          </cell>
        </row>
        <row r="5981">
          <cell r="P5981">
            <v>0</v>
          </cell>
        </row>
        <row r="5982">
          <cell r="P5982">
            <v>0</v>
          </cell>
        </row>
        <row r="5983">
          <cell r="P5983">
            <v>0</v>
          </cell>
        </row>
        <row r="5984">
          <cell r="P5984">
            <v>0</v>
          </cell>
        </row>
        <row r="5985">
          <cell r="P5985">
            <v>0</v>
          </cell>
        </row>
        <row r="5986">
          <cell r="P5986">
            <v>0</v>
          </cell>
        </row>
        <row r="5987">
          <cell r="P5987">
            <v>0</v>
          </cell>
        </row>
        <row r="5988">
          <cell r="P5988">
            <v>0</v>
          </cell>
        </row>
        <row r="5989">
          <cell r="P5989">
            <v>0</v>
          </cell>
        </row>
        <row r="5990">
          <cell r="P5990">
            <v>0</v>
          </cell>
        </row>
        <row r="5991">
          <cell r="P5991">
            <v>0</v>
          </cell>
        </row>
        <row r="5992">
          <cell r="P5992">
            <v>0</v>
          </cell>
        </row>
        <row r="5993">
          <cell r="P5993">
            <v>0</v>
          </cell>
        </row>
        <row r="5994">
          <cell r="P5994">
            <v>0</v>
          </cell>
        </row>
        <row r="5995">
          <cell r="P5995">
            <v>0</v>
          </cell>
        </row>
        <row r="5996">
          <cell r="P5996">
            <v>0</v>
          </cell>
        </row>
        <row r="5997">
          <cell r="P5997">
            <v>0</v>
          </cell>
        </row>
        <row r="5998">
          <cell r="P5998">
            <v>0</v>
          </cell>
        </row>
        <row r="5999">
          <cell r="P5999">
            <v>0</v>
          </cell>
        </row>
        <row r="6000">
          <cell r="P6000">
            <v>0</v>
          </cell>
        </row>
        <row r="6001">
          <cell r="P6001">
            <v>0</v>
          </cell>
        </row>
        <row r="6002">
          <cell r="P6002">
            <v>0</v>
          </cell>
        </row>
        <row r="6003">
          <cell r="P6003">
            <v>0</v>
          </cell>
        </row>
        <row r="6004">
          <cell r="P6004">
            <v>0</v>
          </cell>
        </row>
        <row r="6005">
          <cell r="P6005">
            <v>0</v>
          </cell>
        </row>
        <row r="6006">
          <cell r="P6006">
            <v>0</v>
          </cell>
        </row>
        <row r="6007">
          <cell r="P6007">
            <v>0</v>
          </cell>
        </row>
        <row r="6008">
          <cell r="P6008">
            <v>0</v>
          </cell>
        </row>
        <row r="6009">
          <cell r="P6009">
            <v>0</v>
          </cell>
        </row>
        <row r="6010">
          <cell r="P6010">
            <v>0</v>
          </cell>
        </row>
        <row r="6011">
          <cell r="P6011">
            <v>0</v>
          </cell>
        </row>
        <row r="6012">
          <cell r="P6012">
            <v>0</v>
          </cell>
        </row>
        <row r="6013">
          <cell r="P6013">
            <v>0</v>
          </cell>
        </row>
        <row r="6014">
          <cell r="P6014">
            <v>0</v>
          </cell>
        </row>
        <row r="6015">
          <cell r="P6015">
            <v>0</v>
          </cell>
        </row>
        <row r="6016">
          <cell r="P6016">
            <v>0</v>
          </cell>
        </row>
        <row r="6017">
          <cell r="P6017">
            <v>0</v>
          </cell>
        </row>
        <row r="6018">
          <cell r="P6018">
            <v>0</v>
          </cell>
        </row>
        <row r="6019">
          <cell r="P6019">
            <v>0</v>
          </cell>
        </row>
        <row r="6020">
          <cell r="P6020">
            <v>0</v>
          </cell>
        </row>
        <row r="6021">
          <cell r="P6021">
            <v>0</v>
          </cell>
        </row>
        <row r="6022">
          <cell r="P6022">
            <v>0</v>
          </cell>
        </row>
        <row r="6023">
          <cell r="P6023">
            <v>0</v>
          </cell>
        </row>
        <row r="6024">
          <cell r="P6024">
            <v>0</v>
          </cell>
        </row>
        <row r="6025">
          <cell r="P6025">
            <v>0</v>
          </cell>
        </row>
        <row r="6026">
          <cell r="P6026">
            <v>0</v>
          </cell>
        </row>
        <row r="6027">
          <cell r="P6027">
            <v>0</v>
          </cell>
        </row>
        <row r="6028">
          <cell r="P6028">
            <v>0</v>
          </cell>
        </row>
        <row r="6029">
          <cell r="P6029">
            <v>0</v>
          </cell>
        </row>
        <row r="6030">
          <cell r="P6030">
            <v>0</v>
          </cell>
        </row>
        <row r="6031">
          <cell r="P6031">
            <v>0</v>
          </cell>
        </row>
        <row r="6032">
          <cell r="P6032">
            <v>0</v>
          </cell>
        </row>
        <row r="6033">
          <cell r="P6033">
            <v>0</v>
          </cell>
        </row>
        <row r="6034">
          <cell r="P6034">
            <v>0</v>
          </cell>
        </row>
        <row r="6035">
          <cell r="P6035">
            <v>0</v>
          </cell>
        </row>
        <row r="6036">
          <cell r="P6036">
            <v>0</v>
          </cell>
        </row>
        <row r="6037">
          <cell r="P6037">
            <v>0</v>
          </cell>
        </row>
        <row r="6038">
          <cell r="P6038">
            <v>0</v>
          </cell>
        </row>
        <row r="6039">
          <cell r="P6039">
            <v>0</v>
          </cell>
        </row>
        <row r="6040">
          <cell r="P6040">
            <v>0</v>
          </cell>
        </row>
        <row r="6041">
          <cell r="P6041">
            <v>0</v>
          </cell>
        </row>
        <row r="6042">
          <cell r="P6042">
            <v>0</v>
          </cell>
        </row>
        <row r="6043">
          <cell r="P6043">
            <v>0</v>
          </cell>
        </row>
        <row r="6044">
          <cell r="P6044">
            <v>0</v>
          </cell>
        </row>
        <row r="6045">
          <cell r="P6045">
            <v>0</v>
          </cell>
        </row>
        <row r="6046">
          <cell r="P6046">
            <v>0</v>
          </cell>
        </row>
        <row r="6047">
          <cell r="P6047">
            <v>0</v>
          </cell>
        </row>
        <row r="6048">
          <cell r="P6048">
            <v>0</v>
          </cell>
        </row>
        <row r="6049">
          <cell r="P6049">
            <v>0</v>
          </cell>
        </row>
        <row r="6050">
          <cell r="P6050">
            <v>0</v>
          </cell>
        </row>
        <row r="6051">
          <cell r="P6051">
            <v>0</v>
          </cell>
        </row>
        <row r="6052">
          <cell r="P6052">
            <v>0</v>
          </cell>
        </row>
        <row r="6053">
          <cell r="P6053">
            <v>0</v>
          </cell>
        </row>
        <row r="6054">
          <cell r="P6054">
            <v>0</v>
          </cell>
        </row>
        <row r="6055">
          <cell r="P6055">
            <v>0</v>
          </cell>
        </row>
        <row r="6056">
          <cell r="P6056">
            <v>0</v>
          </cell>
        </row>
        <row r="6057">
          <cell r="P6057">
            <v>0</v>
          </cell>
        </row>
        <row r="6058">
          <cell r="P6058">
            <v>0</v>
          </cell>
        </row>
        <row r="6059">
          <cell r="P6059">
            <v>0</v>
          </cell>
        </row>
        <row r="6060">
          <cell r="P6060">
            <v>0</v>
          </cell>
        </row>
        <row r="6061">
          <cell r="P6061">
            <v>0</v>
          </cell>
        </row>
        <row r="6062">
          <cell r="P6062">
            <v>0</v>
          </cell>
        </row>
        <row r="6063">
          <cell r="P6063">
            <v>0</v>
          </cell>
        </row>
        <row r="6064">
          <cell r="P6064">
            <v>0</v>
          </cell>
        </row>
        <row r="6065">
          <cell r="P6065">
            <v>0</v>
          </cell>
        </row>
        <row r="6066">
          <cell r="P6066">
            <v>0</v>
          </cell>
        </row>
        <row r="6067">
          <cell r="P6067">
            <v>0</v>
          </cell>
        </row>
        <row r="6068">
          <cell r="P6068">
            <v>0</v>
          </cell>
        </row>
        <row r="6069">
          <cell r="P6069">
            <v>0</v>
          </cell>
        </row>
        <row r="6070">
          <cell r="P6070">
            <v>0</v>
          </cell>
        </row>
        <row r="6071">
          <cell r="P6071">
            <v>0</v>
          </cell>
        </row>
        <row r="6072">
          <cell r="P6072">
            <v>0</v>
          </cell>
        </row>
        <row r="6073">
          <cell r="P6073">
            <v>0</v>
          </cell>
        </row>
        <row r="6074">
          <cell r="P6074">
            <v>0</v>
          </cell>
        </row>
        <row r="6075">
          <cell r="P6075">
            <v>0</v>
          </cell>
        </row>
        <row r="6076">
          <cell r="P6076">
            <v>0</v>
          </cell>
        </row>
        <row r="6077">
          <cell r="P6077">
            <v>0</v>
          </cell>
        </row>
        <row r="6078">
          <cell r="P6078">
            <v>0</v>
          </cell>
        </row>
        <row r="6079">
          <cell r="P6079">
            <v>0</v>
          </cell>
        </row>
        <row r="6080">
          <cell r="P6080">
            <v>0</v>
          </cell>
        </row>
        <row r="6081">
          <cell r="P6081">
            <v>0</v>
          </cell>
        </row>
        <row r="6082">
          <cell r="P6082">
            <v>0</v>
          </cell>
        </row>
        <row r="6083">
          <cell r="P6083">
            <v>0</v>
          </cell>
        </row>
        <row r="6084">
          <cell r="P6084">
            <v>0</v>
          </cell>
        </row>
        <row r="6085">
          <cell r="P6085">
            <v>0</v>
          </cell>
        </row>
        <row r="6086">
          <cell r="P6086">
            <v>0</v>
          </cell>
        </row>
        <row r="6087">
          <cell r="P6087">
            <v>0</v>
          </cell>
        </row>
        <row r="6088">
          <cell r="P6088">
            <v>0</v>
          </cell>
        </row>
        <row r="6089">
          <cell r="P6089">
            <v>0</v>
          </cell>
        </row>
        <row r="6090">
          <cell r="P6090">
            <v>0</v>
          </cell>
        </row>
        <row r="6091">
          <cell r="P6091">
            <v>0</v>
          </cell>
        </row>
        <row r="6092">
          <cell r="P6092">
            <v>0</v>
          </cell>
        </row>
        <row r="6093">
          <cell r="P6093">
            <v>0</v>
          </cell>
        </row>
        <row r="6094">
          <cell r="P6094">
            <v>0</v>
          </cell>
        </row>
        <row r="6095">
          <cell r="P6095">
            <v>0</v>
          </cell>
        </row>
        <row r="6096">
          <cell r="P6096">
            <v>0</v>
          </cell>
        </row>
        <row r="6097">
          <cell r="P6097">
            <v>0</v>
          </cell>
        </row>
        <row r="6098">
          <cell r="P6098">
            <v>0</v>
          </cell>
        </row>
        <row r="6099">
          <cell r="P6099">
            <v>0</v>
          </cell>
        </row>
        <row r="6100">
          <cell r="P6100">
            <v>0</v>
          </cell>
        </row>
        <row r="6101">
          <cell r="P6101">
            <v>0</v>
          </cell>
        </row>
        <row r="6102">
          <cell r="P6102">
            <v>0</v>
          </cell>
        </row>
        <row r="6103">
          <cell r="P6103">
            <v>0</v>
          </cell>
        </row>
        <row r="6104">
          <cell r="P6104">
            <v>0</v>
          </cell>
        </row>
        <row r="6105">
          <cell r="P6105">
            <v>0</v>
          </cell>
        </row>
        <row r="6106">
          <cell r="P6106">
            <v>0</v>
          </cell>
        </row>
        <row r="6107">
          <cell r="P6107">
            <v>0</v>
          </cell>
        </row>
        <row r="6108">
          <cell r="P6108">
            <v>0</v>
          </cell>
        </row>
        <row r="6109">
          <cell r="P6109">
            <v>0</v>
          </cell>
        </row>
        <row r="6110">
          <cell r="P6110">
            <v>0</v>
          </cell>
        </row>
        <row r="6111">
          <cell r="P6111">
            <v>0</v>
          </cell>
        </row>
        <row r="6112">
          <cell r="P6112">
            <v>0</v>
          </cell>
        </row>
        <row r="6113">
          <cell r="P6113">
            <v>0</v>
          </cell>
        </row>
        <row r="6114">
          <cell r="P6114">
            <v>0</v>
          </cell>
        </row>
        <row r="6115">
          <cell r="P6115">
            <v>0</v>
          </cell>
        </row>
        <row r="6116">
          <cell r="P6116">
            <v>0</v>
          </cell>
        </row>
        <row r="6117">
          <cell r="P6117">
            <v>0</v>
          </cell>
        </row>
        <row r="6118">
          <cell r="P6118">
            <v>0</v>
          </cell>
        </row>
        <row r="6119">
          <cell r="P6119">
            <v>0</v>
          </cell>
        </row>
        <row r="6120">
          <cell r="P6120">
            <v>0</v>
          </cell>
        </row>
        <row r="6121">
          <cell r="P6121">
            <v>0</v>
          </cell>
        </row>
        <row r="6122">
          <cell r="P6122">
            <v>0</v>
          </cell>
        </row>
        <row r="6123">
          <cell r="P6123">
            <v>0</v>
          </cell>
        </row>
        <row r="6124">
          <cell r="P6124">
            <v>0</v>
          </cell>
        </row>
        <row r="6125">
          <cell r="P6125">
            <v>0</v>
          </cell>
        </row>
        <row r="6126">
          <cell r="P6126">
            <v>0</v>
          </cell>
        </row>
        <row r="6127">
          <cell r="P6127">
            <v>0</v>
          </cell>
        </row>
        <row r="6128">
          <cell r="P6128">
            <v>0</v>
          </cell>
        </row>
        <row r="6129">
          <cell r="P6129">
            <v>0</v>
          </cell>
        </row>
        <row r="6130">
          <cell r="P6130">
            <v>0</v>
          </cell>
        </row>
        <row r="6131">
          <cell r="P6131">
            <v>0</v>
          </cell>
        </row>
        <row r="6132">
          <cell r="P6132">
            <v>0</v>
          </cell>
        </row>
        <row r="6133">
          <cell r="P6133">
            <v>0</v>
          </cell>
        </row>
        <row r="6134">
          <cell r="P6134">
            <v>0</v>
          </cell>
        </row>
        <row r="6135">
          <cell r="P6135">
            <v>0</v>
          </cell>
        </row>
        <row r="6136">
          <cell r="P6136">
            <v>0</v>
          </cell>
        </row>
        <row r="6137">
          <cell r="P6137">
            <v>0</v>
          </cell>
        </row>
        <row r="6138">
          <cell r="P6138">
            <v>0</v>
          </cell>
        </row>
        <row r="6139">
          <cell r="P6139">
            <v>0</v>
          </cell>
        </row>
        <row r="6140">
          <cell r="P6140">
            <v>0</v>
          </cell>
        </row>
        <row r="6141">
          <cell r="P6141">
            <v>0</v>
          </cell>
        </row>
        <row r="6142">
          <cell r="P6142">
            <v>0</v>
          </cell>
        </row>
        <row r="6143">
          <cell r="P6143">
            <v>0</v>
          </cell>
        </row>
        <row r="6144">
          <cell r="P6144">
            <v>0</v>
          </cell>
        </row>
        <row r="6145">
          <cell r="P6145">
            <v>0</v>
          </cell>
        </row>
        <row r="6146">
          <cell r="P6146">
            <v>0</v>
          </cell>
        </row>
        <row r="6147">
          <cell r="P6147">
            <v>0</v>
          </cell>
        </row>
        <row r="6148">
          <cell r="P6148">
            <v>0</v>
          </cell>
        </row>
        <row r="6149">
          <cell r="P6149">
            <v>0</v>
          </cell>
        </row>
        <row r="6150">
          <cell r="P6150">
            <v>0</v>
          </cell>
        </row>
        <row r="6151">
          <cell r="P6151">
            <v>0</v>
          </cell>
        </row>
        <row r="6152">
          <cell r="P6152">
            <v>0</v>
          </cell>
        </row>
        <row r="6153">
          <cell r="P6153">
            <v>0</v>
          </cell>
        </row>
        <row r="6154">
          <cell r="P6154">
            <v>0</v>
          </cell>
        </row>
        <row r="6155">
          <cell r="P6155">
            <v>0</v>
          </cell>
        </row>
        <row r="6156">
          <cell r="P6156">
            <v>0</v>
          </cell>
        </row>
        <row r="6157">
          <cell r="P6157">
            <v>0</v>
          </cell>
        </row>
        <row r="6158">
          <cell r="P6158">
            <v>0</v>
          </cell>
        </row>
        <row r="6159">
          <cell r="P6159">
            <v>0</v>
          </cell>
        </row>
        <row r="6160">
          <cell r="P6160">
            <v>0</v>
          </cell>
        </row>
        <row r="6161">
          <cell r="P6161">
            <v>0</v>
          </cell>
        </row>
        <row r="6162">
          <cell r="P6162">
            <v>0</v>
          </cell>
        </row>
        <row r="6163">
          <cell r="P6163">
            <v>0</v>
          </cell>
        </row>
        <row r="6164">
          <cell r="P6164">
            <v>0</v>
          </cell>
        </row>
        <row r="6165">
          <cell r="P6165">
            <v>0</v>
          </cell>
        </row>
        <row r="6166">
          <cell r="P6166">
            <v>0</v>
          </cell>
        </row>
        <row r="6167">
          <cell r="P6167">
            <v>0</v>
          </cell>
        </row>
        <row r="6168">
          <cell r="P6168">
            <v>0</v>
          </cell>
        </row>
        <row r="6169">
          <cell r="P6169">
            <v>0</v>
          </cell>
        </row>
        <row r="6170">
          <cell r="P6170">
            <v>0</v>
          </cell>
        </row>
        <row r="6171">
          <cell r="P6171">
            <v>0</v>
          </cell>
        </row>
        <row r="6172">
          <cell r="P6172">
            <v>0</v>
          </cell>
        </row>
        <row r="6173">
          <cell r="P6173">
            <v>0</v>
          </cell>
        </row>
        <row r="6174">
          <cell r="P6174">
            <v>0</v>
          </cell>
        </row>
        <row r="6175">
          <cell r="P6175">
            <v>0</v>
          </cell>
        </row>
        <row r="6176">
          <cell r="P6176">
            <v>0</v>
          </cell>
        </row>
        <row r="6177">
          <cell r="P6177">
            <v>0</v>
          </cell>
        </row>
        <row r="6178">
          <cell r="P6178">
            <v>0</v>
          </cell>
        </row>
        <row r="6179">
          <cell r="P6179">
            <v>0</v>
          </cell>
        </row>
        <row r="6180">
          <cell r="P6180">
            <v>0</v>
          </cell>
        </row>
        <row r="6181">
          <cell r="P6181">
            <v>0</v>
          </cell>
        </row>
        <row r="6182">
          <cell r="P6182">
            <v>0</v>
          </cell>
        </row>
        <row r="6183">
          <cell r="P6183">
            <v>0</v>
          </cell>
        </row>
        <row r="6184">
          <cell r="P6184">
            <v>0</v>
          </cell>
        </row>
        <row r="6185">
          <cell r="P6185">
            <v>0</v>
          </cell>
        </row>
        <row r="6186">
          <cell r="P6186">
            <v>0</v>
          </cell>
        </row>
        <row r="6187">
          <cell r="P6187">
            <v>0</v>
          </cell>
        </row>
        <row r="6188">
          <cell r="P6188">
            <v>0</v>
          </cell>
        </row>
        <row r="6189">
          <cell r="P6189">
            <v>0</v>
          </cell>
        </row>
        <row r="6190">
          <cell r="P6190">
            <v>0</v>
          </cell>
        </row>
        <row r="6191">
          <cell r="P6191">
            <v>0</v>
          </cell>
        </row>
        <row r="6192">
          <cell r="P6192">
            <v>0</v>
          </cell>
        </row>
        <row r="6193">
          <cell r="P6193">
            <v>0</v>
          </cell>
        </row>
        <row r="6194">
          <cell r="P6194">
            <v>0</v>
          </cell>
        </row>
        <row r="6195">
          <cell r="P6195">
            <v>0</v>
          </cell>
        </row>
        <row r="6196">
          <cell r="P6196">
            <v>0</v>
          </cell>
        </row>
        <row r="6197">
          <cell r="P6197">
            <v>0</v>
          </cell>
        </row>
        <row r="6198">
          <cell r="P6198">
            <v>0</v>
          </cell>
        </row>
        <row r="6199">
          <cell r="P6199">
            <v>0</v>
          </cell>
        </row>
        <row r="6200">
          <cell r="P6200">
            <v>0</v>
          </cell>
        </row>
        <row r="6201">
          <cell r="P6201">
            <v>0</v>
          </cell>
        </row>
        <row r="6202">
          <cell r="P6202">
            <v>0</v>
          </cell>
        </row>
        <row r="6203">
          <cell r="P6203">
            <v>0</v>
          </cell>
        </row>
        <row r="6204">
          <cell r="P6204">
            <v>0</v>
          </cell>
        </row>
        <row r="6205">
          <cell r="P6205">
            <v>0</v>
          </cell>
        </row>
        <row r="6206">
          <cell r="P6206">
            <v>0</v>
          </cell>
        </row>
        <row r="6207">
          <cell r="P6207">
            <v>0</v>
          </cell>
        </row>
        <row r="6208">
          <cell r="P6208">
            <v>0</v>
          </cell>
        </row>
        <row r="6209">
          <cell r="P6209">
            <v>0</v>
          </cell>
        </row>
        <row r="6210">
          <cell r="P6210">
            <v>0</v>
          </cell>
        </row>
        <row r="6211">
          <cell r="P6211">
            <v>0</v>
          </cell>
        </row>
        <row r="6212">
          <cell r="P6212">
            <v>0</v>
          </cell>
        </row>
        <row r="6213">
          <cell r="P6213">
            <v>0</v>
          </cell>
        </row>
        <row r="6214">
          <cell r="P6214">
            <v>0</v>
          </cell>
        </row>
        <row r="6215">
          <cell r="P6215">
            <v>0</v>
          </cell>
        </row>
        <row r="6216">
          <cell r="P6216">
            <v>0</v>
          </cell>
        </row>
        <row r="6217">
          <cell r="P6217">
            <v>0</v>
          </cell>
        </row>
        <row r="6218">
          <cell r="P6218">
            <v>0</v>
          </cell>
        </row>
        <row r="6219">
          <cell r="P6219">
            <v>0</v>
          </cell>
        </row>
        <row r="6220">
          <cell r="P6220">
            <v>0</v>
          </cell>
        </row>
        <row r="6221">
          <cell r="P6221">
            <v>0</v>
          </cell>
        </row>
        <row r="6222">
          <cell r="P6222">
            <v>0</v>
          </cell>
        </row>
        <row r="6223">
          <cell r="P6223">
            <v>0</v>
          </cell>
        </row>
        <row r="6224">
          <cell r="P6224">
            <v>0</v>
          </cell>
        </row>
        <row r="6225">
          <cell r="P6225">
            <v>0</v>
          </cell>
        </row>
        <row r="6226">
          <cell r="P6226">
            <v>0</v>
          </cell>
        </row>
        <row r="6227">
          <cell r="P6227">
            <v>0</v>
          </cell>
        </row>
        <row r="6228">
          <cell r="P6228">
            <v>0</v>
          </cell>
        </row>
        <row r="6229">
          <cell r="P6229">
            <v>0</v>
          </cell>
        </row>
        <row r="6230">
          <cell r="P6230">
            <v>0</v>
          </cell>
        </row>
        <row r="6231">
          <cell r="P6231">
            <v>0</v>
          </cell>
        </row>
        <row r="6232">
          <cell r="P6232">
            <v>0</v>
          </cell>
        </row>
        <row r="6233">
          <cell r="P6233">
            <v>0</v>
          </cell>
        </row>
        <row r="6234">
          <cell r="P6234">
            <v>0</v>
          </cell>
        </row>
        <row r="6235">
          <cell r="P6235">
            <v>0</v>
          </cell>
        </row>
        <row r="6236">
          <cell r="P6236">
            <v>0</v>
          </cell>
        </row>
        <row r="6237">
          <cell r="P6237">
            <v>0</v>
          </cell>
        </row>
        <row r="6238">
          <cell r="P6238">
            <v>0</v>
          </cell>
        </row>
        <row r="6239">
          <cell r="P6239">
            <v>0</v>
          </cell>
        </row>
        <row r="6240">
          <cell r="P6240">
            <v>0</v>
          </cell>
        </row>
        <row r="6241">
          <cell r="P6241">
            <v>0</v>
          </cell>
        </row>
        <row r="6242">
          <cell r="P6242">
            <v>0</v>
          </cell>
        </row>
        <row r="6243">
          <cell r="P6243">
            <v>0</v>
          </cell>
        </row>
        <row r="6244">
          <cell r="P6244">
            <v>0</v>
          </cell>
        </row>
        <row r="6245">
          <cell r="P6245">
            <v>0</v>
          </cell>
        </row>
        <row r="6246">
          <cell r="P6246">
            <v>0</v>
          </cell>
        </row>
        <row r="6247">
          <cell r="P6247">
            <v>0</v>
          </cell>
        </row>
        <row r="6248">
          <cell r="P6248">
            <v>0</v>
          </cell>
        </row>
        <row r="6249">
          <cell r="P6249">
            <v>0</v>
          </cell>
        </row>
        <row r="6250">
          <cell r="P6250">
            <v>0</v>
          </cell>
        </row>
        <row r="6251">
          <cell r="P6251">
            <v>0</v>
          </cell>
        </row>
        <row r="6252">
          <cell r="P6252">
            <v>0</v>
          </cell>
        </row>
        <row r="6253">
          <cell r="P6253">
            <v>0</v>
          </cell>
        </row>
        <row r="6254">
          <cell r="P6254">
            <v>0</v>
          </cell>
        </row>
        <row r="6255">
          <cell r="P6255">
            <v>0</v>
          </cell>
        </row>
        <row r="6256">
          <cell r="P6256">
            <v>0</v>
          </cell>
        </row>
        <row r="6257">
          <cell r="P6257">
            <v>0</v>
          </cell>
        </row>
        <row r="6258">
          <cell r="P6258">
            <v>0</v>
          </cell>
        </row>
        <row r="6259">
          <cell r="P6259">
            <v>0</v>
          </cell>
        </row>
        <row r="6260">
          <cell r="P6260">
            <v>0</v>
          </cell>
        </row>
        <row r="6261">
          <cell r="P6261">
            <v>0</v>
          </cell>
        </row>
        <row r="6262">
          <cell r="P6262">
            <v>0</v>
          </cell>
        </row>
        <row r="6263">
          <cell r="P6263">
            <v>0</v>
          </cell>
        </row>
        <row r="6264">
          <cell r="P6264">
            <v>0</v>
          </cell>
        </row>
        <row r="6265">
          <cell r="P6265">
            <v>0</v>
          </cell>
        </row>
        <row r="6266">
          <cell r="P6266">
            <v>0</v>
          </cell>
        </row>
        <row r="6267">
          <cell r="P6267">
            <v>0</v>
          </cell>
        </row>
        <row r="6268">
          <cell r="P6268">
            <v>0</v>
          </cell>
        </row>
        <row r="6269">
          <cell r="P6269">
            <v>0</v>
          </cell>
        </row>
        <row r="6270">
          <cell r="P6270">
            <v>0</v>
          </cell>
        </row>
        <row r="6271">
          <cell r="P6271">
            <v>0</v>
          </cell>
        </row>
        <row r="6272">
          <cell r="P6272">
            <v>0</v>
          </cell>
        </row>
        <row r="6273">
          <cell r="P6273">
            <v>0</v>
          </cell>
        </row>
        <row r="6274">
          <cell r="P6274">
            <v>0</v>
          </cell>
        </row>
        <row r="6275">
          <cell r="P6275">
            <v>0</v>
          </cell>
        </row>
        <row r="6276">
          <cell r="P6276">
            <v>0</v>
          </cell>
        </row>
        <row r="6277">
          <cell r="P6277">
            <v>0</v>
          </cell>
        </row>
        <row r="6278">
          <cell r="P6278">
            <v>0</v>
          </cell>
        </row>
        <row r="6279">
          <cell r="P6279">
            <v>0</v>
          </cell>
        </row>
        <row r="6280">
          <cell r="P6280">
            <v>0</v>
          </cell>
        </row>
        <row r="6281">
          <cell r="P6281">
            <v>0</v>
          </cell>
        </row>
        <row r="6282">
          <cell r="P6282">
            <v>0</v>
          </cell>
        </row>
        <row r="6283">
          <cell r="P6283">
            <v>0</v>
          </cell>
        </row>
        <row r="6284">
          <cell r="P6284">
            <v>0</v>
          </cell>
        </row>
        <row r="6285">
          <cell r="P6285">
            <v>0</v>
          </cell>
        </row>
        <row r="6286">
          <cell r="P6286">
            <v>0</v>
          </cell>
        </row>
        <row r="6287">
          <cell r="P6287">
            <v>0</v>
          </cell>
        </row>
        <row r="6288">
          <cell r="P6288">
            <v>0</v>
          </cell>
        </row>
        <row r="6289">
          <cell r="P6289">
            <v>0</v>
          </cell>
        </row>
        <row r="6290">
          <cell r="P6290">
            <v>0</v>
          </cell>
        </row>
        <row r="6291">
          <cell r="P6291">
            <v>0</v>
          </cell>
        </row>
        <row r="6292">
          <cell r="P6292">
            <v>0</v>
          </cell>
        </row>
        <row r="6293">
          <cell r="P6293">
            <v>0</v>
          </cell>
        </row>
        <row r="6294">
          <cell r="P6294">
            <v>0</v>
          </cell>
        </row>
        <row r="6295">
          <cell r="P6295">
            <v>0</v>
          </cell>
        </row>
        <row r="6296">
          <cell r="P6296">
            <v>0</v>
          </cell>
        </row>
        <row r="6297">
          <cell r="P6297">
            <v>0</v>
          </cell>
        </row>
        <row r="6298">
          <cell r="P6298">
            <v>0</v>
          </cell>
        </row>
        <row r="6299">
          <cell r="P6299">
            <v>0</v>
          </cell>
        </row>
        <row r="6300">
          <cell r="P6300">
            <v>0</v>
          </cell>
        </row>
        <row r="6301">
          <cell r="P6301">
            <v>0</v>
          </cell>
        </row>
        <row r="6302">
          <cell r="P6302">
            <v>0</v>
          </cell>
        </row>
        <row r="6303">
          <cell r="P6303">
            <v>0</v>
          </cell>
        </row>
        <row r="6304">
          <cell r="P6304">
            <v>0</v>
          </cell>
        </row>
        <row r="6305">
          <cell r="P6305">
            <v>0</v>
          </cell>
        </row>
        <row r="6306">
          <cell r="P6306">
            <v>0</v>
          </cell>
        </row>
        <row r="6307">
          <cell r="P6307">
            <v>0</v>
          </cell>
        </row>
        <row r="6308">
          <cell r="P6308">
            <v>0</v>
          </cell>
        </row>
        <row r="6309">
          <cell r="P6309">
            <v>0</v>
          </cell>
        </row>
        <row r="6310">
          <cell r="P6310">
            <v>0</v>
          </cell>
        </row>
        <row r="6311">
          <cell r="P6311">
            <v>0</v>
          </cell>
        </row>
        <row r="6312">
          <cell r="P6312">
            <v>0</v>
          </cell>
        </row>
        <row r="6313">
          <cell r="P6313">
            <v>0</v>
          </cell>
        </row>
        <row r="6314">
          <cell r="P6314">
            <v>0</v>
          </cell>
        </row>
        <row r="6315">
          <cell r="P6315">
            <v>0</v>
          </cell>
        </row>
        <row r="6316">
          <cell r="P6316">
            <v>0</v>
          </cell>
        </row>
        <row r="6317">
          <cell r="P6317">
            <v>0</v>
          </cell>
        </row>
        <row r="6318">
          <cell r="P6318">
            <v>0</v>
          </cell>
        </row>
        <row r="6319">
          <cell r="P6319">
            <v>0</v>
          </cell>
        </row>
        <row r="6320">
          <cell r="P6320">
            <v>0</v>
          </cell>
        </row>
        <row r="6321">
          <cell r="P6321">
            <v>0</v>
          </cell>
        </row>
        <row r="6322">
          <cell r="P6322">
            <v>0</v>
          </cell>
        </row>
        <row r="6323">
          <cell r="P6323">
            <v>0</v>
          </cell>
        </row>
        <row r="6324">
          <cell r="P6324">
            <v>0</v>
          </cell>
        </row>
        <row r="6325">
          <cell r="P6325">
            <v>0</v>
          </cell>
        </row>
        <row r="6326">
          <cell r="P6326">
            <v>0</v>
          </cell>
        </row>
        <row r="6327">
          <cell r="P6327">
            <v>0</v>
          </cell>
        </row>
        <row r="6328">
          <cell r="P6328">
            <v>0</v>
          </cell>
        </row>
        <row r="6329">
          <cell r="P6329">
            <v>0</v>
          </cell>
        </row>
        <row r="6330">
          <cell r="P6330">
            <v>0</v>
          </cell>
        </row>
        <row r="6331">
          <cell r="P6331">
            <v>0</v>
          </cell>
        </row>
        <row r="6332">
          <cell r="P6332">
            <v>0</v>
          </cell>
        </row>
        <row r="6333">
          <cell r="P6333">
            <v>0</v>
          </cell>
        </row>
        <row r="6334">
          <cell r="P6334">
            <v>0</v>
          </cell>
        </row>
        <row r="6335">
          <cell r="P6335">
            <v>0</v>
          </cell>
        </row>
        <row r="6336">
          <cell r="P6336">
            <v>0</v>
          </cell>
        </row>
        <row r="6337">
          <cell r="P6337">
            <v>0</v>
          </cell>
        </row>
        <row r="6338">
          <cell r="P6338">
            <v>0</v>
          </cell>
        </row>
        <row r="6339">
          <cell r="P6339">
            <v>0</v>
          </cell>
        </row>
        <row r="6340">
          <cell r="P6340">
            <v>0</v>
          </cell>
        </row>
        <row r="6341">
          <cell r="P6341">
            <v>0</v>
          </cell>
        </row>
        <row r="6342">
          <cell r="P6342">
            <v>0</v>
          </cell>
        </row>
        <row r="6343">
          <cell r="P6343">
            <v>0</v>
          </cell>
        </row>
        <row r="6344">
          <cell r="P6344">
            <v>0</v>
          </cell>
        </row>
        <row r="6345">
          <cell r="P6345">
            <v>0</v>
          </cell>
        </row>
        <row r="6346">
          <cell r="P6346">
            <v>0</v>
          </cell>
        </row>
        <row r="6347">
          <cell r="P6347">
            <v>0</v>
          </cell>
        </row>
        <row r="6348">
          <cell r="P6348">
            <v>0</v>
          </cell>
        </row>
        <row r="6349">
          <cell r="P6349">
            <v>0</v>
          </cell>
        </row>
        <row r="6350">
          <cell r="P6350">
            <v>0</v>
          </cell>
        </row>
        <row r="6351">
          <cell r="P6351">
            <v>0</v>
          </cell>
        </row>
        <row r="6352">
          <cell r="P6352">
            <v>0</v>
          </cell>
        </row>
        <row r="6353">
          <cell r="P6353">
            <v>0</v>
          </cell>
        </row>
        <row r="6354">
          <cell r="P6354">
            <v>0</v>
          </cell>
        </row>
        <row r="6355">
          <cell r="P6355">
            <v>0</v>
          </cell>
        </row>
        <row r="6356">
          <cell r="P6356">
            <v>0</v>
          </cell>
        </row>
        <row r="6357">
          <cell r="P6357">
            <v>0</v>
          </cell>
        </row>
        <row r="6358">
          <cell r="P6358">
            <v>0</v>
          </cell>
        </row>
        <row r="6359">
          <cell r="P6359">
            <v>0</v>
          </cell>
        </row>
        <row r="6360">
          <cell r="P6360">
            <v>0</v>
          </cell>
        </row>
        <row r="6361">
          <cell r="P6361">
            <v>0</v>
          </cell>
        </row>
        <row r="6362">
          <cell r="P6362">
            <v>0</v>
          </cell>
        </row>
        <row r="6363">
          <cell r="P6363">
            <v>0</v>
          </cell>
        </row>
        <row r="6364">
          <cell r="P6364">
            <v>0</v>
          </cell>
        </row>
        <row r="6365">
          <cell r="P6365">
            <v>0</v>
          </cell>
        </row>
        <row r="6366">
          <cell r="P6366">
            <v>0</v>
          </cell>
        </row>
        <row r="6367">
          <cell r="P6367">
            <v>0</v>
          </cell>
        </row>
        <row r="6368">
          <cell r="P6368">
            <v>0</v>
          </cell>
        </row>
        <row r="6369">
          <cell r="P6369">
            <v>0</v>
          </cell>
        </row>
        <row r="6370">
          <cell r="P6370">
            <v>0</v>
          </cell>
        </row>
        <row r="6371">
          <cell r="P6371">
            <v>0</v>
          </cell>
        </row>
        <row r="6372">
          <cell r="P6372">
            <v>0</v>
          </cell>
        </row>
        <row r="6373">
          <cell r="P6373">
            <v>0</v>
          </cell>
        </row>
        <row r="6374">
          <cell r="P6374">
            <v>0</v>
          </cell>
        </row>
        <row r="6375">
          <cell r="P6375">
            <v>0</v>
          </cell>
        </row>
        <row r="6376">
          <cell r="P6376">
            <v>0</v>
          </cell>
        </row>
        <row r="6377">
          <cell r="P6377">
            <v>0</v>
          </cell>
        </row>
        <row r="6378">
          <cell r="P6378">
            <v>0</v>
          </cell>
        </row>
        <row r="6379">
          <cell r="P6379">
            <v>0</v>
          </cell>
        </row>
        <row r="6380">
          <cell r="P6380">
            <v>0</v>
          </cell>
        </row>
        <row r="6381">
          <cell r="P6381">
            <v>0</v>
          </cell>
        </row>
        <row r="6382">
          <cell r="P6382">
            <v>0</v>
          </cell>
        </row>
        <row r="6383">
          <cell r="P6383">
            <v>0</v>
          </cell>
        </row>
        <row r="6384">
          <cell r="P6384">
            <v>0</v>
          </cell>
        </row>
        <row r="6385">
          <cell r="P6385">
            <v>0</v>
          </cell>
        </row>
        <row r="6386">
          <cell r="P6386">
            <v>0</v>
          </cell>
        </row>
        <row r="6387">
          <cell r="P6387">
            <v>0</v>
          </cell>
        </row>
        <row r="6388">
          <cell r="P6388">
            <v>0</v>
          </cell>
        </row>
        <row r="6389">
          <cell r="P6389">
            <v>0</v>
          </cell>
        </row>
        <row r="6390">
          <cell r="P6390">
            <v>0</v>
          </cell>
        </row>
        <row r="6391">
          <cell r="P6391">
            <v>0</v>
          </cell>
        </row>
        <row r="6392">
          <cell r="P6392">
            <v>0</v>
          </cell>
        </row>
        <row r="6393">
          <cell r="P6393">
            <v>0</v>
          </cell>
        </row>
        <row r="6394">
          <cell r="P6394">
            <v>0</v>
          </cell>
        </row>
        <row r="6395">
          <cell r="P6395">
            <v>0</v>
          </cell>
        </row>
        <row r="6396">
          <cell r="P6396">
            <v>0</v>
          </cell>
        </row>
        <row r="6397">
          <cell r="P6397">
            <v>0</v>
          </cell>
        </row>
        <row r="6398">
          <cell r="P6398">
            <v>0</v>
          </cell>
        </row>
        <row r="6399">
          <cell r="P6399">
            <v>0</v>
          </cell>
        </row>
        <row r="6400">
          <cell r="P6400">
            <v>0</v>
          </cell>
        </row>
        <row r="6401">
          <cell r="P6401">
            <v>0</v>
          </cell>
        </row>
        <row r="6402">
          <cell r="P6402">
            <v>0</v>
          </cell>
        </row>
        <row r="6403">
          <cell r="P6403">
            <v>0</v>
          </cell>
        </row>
        <row r="6404">
          <cell r="P6404">
            <v>0</v>
          </cell>
        </row>
        <row r="6405">
          <cell r="P6405">
            <v>0</v>
          </cell>
        </row>
        <row r="6406">
          <cell r="P6406">
            <v>0</v>
          </cell>
        </row>
        <row r="6407">
          <cell r="P6407">
            <v>0</v>
          </cell>
        </row>
        <row r="6408">
          <cell r="P6408">
            <v>0</v>
          </cell>
        </row>
        <row r="6409">
          <cell r="P6409">
            <v>0</v>
          </cell>
        </row>
        <row r="6410">
          <cell r="P6410">
            <v>0</v>
          </cell>
        </row>
        <row r="6411">
          <cell r="P6411">
            <v>0</v>
          </cell>
        </row>
        <row r="6412">
          <cell r="P6412">
            <v>0</v>
          </cell>
        </row>
        <row r="6413">
          <cell r="P6413">
            <v>0</v>
          </cell>
        </row>
        <row r="6414">
          <cell r="P6414">
            <v>0</v>
          </cell>
        </row>
        <row r="6415">
          <cell r="P6415">
            <v>0</v>
          </cell>
        </row>
        <row r="6416">
          <cell r="P6416">
            <v>0</v>
          </cell>
        </row>
        <row r="6417">
          <cell r="P6417">
            <v>0</v>
          </cell>
        </row>
        <row r="6418">
          <cell r="P6418">
            <v>0</v>
          </cell>
        </row>
        <row r="6419">
          <cell r="P6419">
            <v>0</v>
          </cell>
        </row>
        <row r="6420">
          <cell r="P6420">
            <v>0</v>
          </cell>
        </row>
        <row r="6421">
          <cell r="P6421">
            <v>0</v>
          </cell>
        </row>
        <row r="6422">
          <cell r="P6422">
            <v>0</v>
          </cell>
        </row>
        <row r="6423">
          <cell r="P6423">
            <v>0</v>
          </cell>
        </row>
        <row r="6424">
          <cell r="P6424">
            <v>0</v>
          </cell>
        </row>
        <row r="6425">
          <cell r="P6425">
            <v>0</v>
          </cell>
        </row>
        <row r="6426">
          <cell r="P6426">
            <v>0</v>
          </cell>
        </row>
        <row r="6427">
          <cell r="P6427">
            <v>0</v>
          </cell>
        </row>
        <row r="6428">
          <cell r="P6428">
            <v>0</v>
          </cell>
        </row>
        <row r="6429">
          <cell r="P6429">
            <v>0</v>
          </cell>
        </row>
        <row r="6430">
          <cell r="P6430">
            <v>0</v>
          </cell>
        </row>
        <row r="6431">
          <cell r="P6431">
            <v>0</v>
          </cell>
        </row>
        <row r="6432">
          <cell r="P6432">
            <v>0</v>
          </cell>
        </row>
        <row r="6433">
          <cell r="P6433">
            <v>0</v>
          </cell>
        </row>
        <row r="6434">
          <cell r="P6434">
            <v>0</v>
          </cell>
        </row>
        <row r="6435">
          <cell r="P6435">
            <v>0</v>
          </cell>
        </row>
        <row r="6436">
          <cell r="P6436">
            <v>0</v>
          </cell>
        </row>
        <row r="6437">
          <cell r="P6437">
            <v>0</v>
          </cell>
        </row>
        <row r="6438">
          <cell r="P6438">
            <v>0</v>
          </cell>
        </row>
        <row r="6439">
          <cell r="P6439">
            <v>0</v>
          </cell>
        </row>
        <row r="6440">
          <cell r="P6440">
            <v>0</v>
          </cell>
        </row>
        <row r="6441">
          <cell r="P6441">
            <v>0</v>
          </cell>
        </row>
        <row r="6442">
          <cell r="P6442">
            <v>0</v>
          </cell>
        </row>
        <row r="6443">
          <cell r="P6443">
            <v>0</v>
          </cell>
        </row>
        <row r="6444">
          <cell r="P6444">
            <v>0</v>
          </cell>
        </row>
        <row r="6445">
          <cell r="P6445">
            <v>0</v>
          </cell>
        </row>
        <row r="6446">
          <cell r="P6446">
            <v>0</v>
          </cell>
        </row>
        <row r="6447">
          <cell r="P6447">
            <v>0</v>
          </cell>
        </row>
        <row r="6448">
          <cell r="P6448">
            <v>0</v>
          </cell>
        </row>
        <row r="6449">
          <cell r="P6449">
            <v>0</v>
          </cell>
        </row>
        <row r="6450">
          <cell r="P6450">
            <v>0</v>
          </cell>
        </row>
        <row r="6451">
          <cell r="P6451">
            <v>0</v>
          </cell>
        </row>
        <row r="6452">
          <cell r="P6452">
            <v>0</v>
          </cell>
        </row>
        <row r="6453">
          <cell r="P6453">
            <v>0</v>
          </cell>
        </row>
        <row r="6454">
          <cell r="P6454">
            <v>0</v>
          </cell>
        </row>
        <row r="6455">
          <cell r="P6455">
            <v>0</v>
          </cell>
        </row>
        <row r="6456">
          <cell r="P6456">
            <v>0</v>
          </cell>
        </row>
        <row r="6457">
          <cell r="P6457">
            <v>0</v>
          </cell>
        </row>
        <row r="6458">
          <cell r="P6458">
            <v>0</v>
          </cell>
        </row>
        <row r="6459">
          <cell r="P6459">
            <v>0</v>
          </cell>
        </row>
        <row r="6460">
          <cell r="P6460">
            <v>0</v>
          </cell>
        </row>
        <row r="6461">
          <cell r="P6461">
            <v>0</v>
          </cell>
        </row>
        <row r="6462">
          <cell r="P6462">
            <v>0</v>
          </cell>
        </row>
        <row r="6463">
          <cell r="P6463">
            <v>0</v>
          </cell>
        </row>
        <row r="6464">
          <cell r="P6464">
            <v>0</v>
          </cell>
        </row>
        <row r="6465">
          <cell r="P6465">
            <v>0</v>
          </cell>
        </row>
        <row r="6466">
          <cell r="P6466">
            <v>0</v>
          </cell>
        </row>
        <row r="6467">
          <cell r="P6467">
            <v>0</v>
          </cell>
        </row>
        <row r="6468">
          <cell r="P6468">
            <v>0</v>
          </cell>
        </row>
        <row r="6469">
          <cell r="P6469">
            <v>0</v>
          </cell>
        </row>
        <row r="6470">
          <cell r="P6470">
            <v>0</v>
          </cell>
        </row>
        <row r="6471">
          <cell r="P6471">
            <v>0</v>
          </cell>
        </row>
        <row r="6472">
          <cell r="P6472">
            <v>0</v>
          </cell>
        </row>
        <row r="6473">
          <cell r="P6473">
            <v>0</v>
          </cell>
        </row>
        <row r="6474">
          <cell r="P6474">
            <v>0</v>
          </cell>
        </row>
        <row r="6475">
          <cell r="P6475">
            <v>0</v>
          </cell>
        </row>
        <row r="6476">
          <cell r="P6476">
            <v>0</v>
          </cell>
        </row>
        <row r="6477">
          <cell r="P6477">
            <v>0</v>
          </cell>
        </row>
        <row r="6478">
          <cell r="P6478">
            <v>0</v>
          </cell>
        </row>
        <row r="6479">
          <cell r="P6479">
            <v>0</v>
          </cell>
        </row>
        <row r="6480">
          <cell r="P6480">
            <v>0</v>
          </cell>
        </row>
        <row r="6481">
          <cell r="P6481">
            <v>0</v>
          </cell>
        </row>
        <row r="6482">
          <cell r="P6482">
            <v>0</v>
          </cell>
        </row>
        <row r="6483">
          <cell r="P6483">
            <v>0</v>
          </cell>
        </row>
        <row r="6484">
          <cell r="P6484">
            <v>0</v>
          </cell>
        </row>
        <row r="6485">
          <cell r="P6485">
            <v>0</v>
          </cell>
        </row>
        <row r="6486">
          <cell r="P6486">
            <v>0</v>
          </cell>
        </row>
        <row r="6487">
          <cell r="P6487">
            <v>0</v>
          </cell>
        </row>
        <row r="6488">
          <cell r="P6488">
            <v>0</v>
          </cell>
        </row>
        <row r="6489">
          <cell r="P6489">
            <v>0</v>
          </cell>
        </row>
        <row r="6490">
          <cell r="P6490">
            <v>0</v>
          </cell>
        </row>
        <row r="6491">
          <cell r="P6491">
            <v>0</v>
          </cell>
        </row>
        <row r="6492">
          <cell r="P6492">
            <v>0</v>
          </cell>
        </row>
        <row r="6493">
          <cell r="P6493">
            <v>0</v>
          </cell>
        </row>
        <row r="6494">
          <cell r="P6494">
            <v>0</v>
          </cell>
        </row>
        <row r="6495">
          <cell r="P6495">
            <v>0</v>
          </cell>
        </row>
        <row r="6496">
          <cell r="P6496">
            <v>0</v>
          </cell>
        </row>
        <row r="6497">
          <cell r="P6497">
            <v>0</v>
          </cell>
        </row>
        <row r="6498">
          <cell r="P6498">
            <v>0</v>
          </cell>
        </row>
        <row r="6499">
          <cell r="P6499">
            <v>0</v>
          </cell>
        </row>
        <row r="6500">
          <cell r="P6500">
            <v>0</v>
          </cell>
        </row>
        <row r="6501">
          <cell r="P6501">
            <v>0</v>
          </cell>
        </row>
        <row r="6502">
          <cell r="P6502">
            <v>0</v>
          </cell>
        </row>
        <row r="6503">
          <cell r="P6503">
            <v>0</v>
          </cell>
        </row>
        <row r="6504">
          <cell r="P6504">
            <v>0</v>
          </cell>
        </row>
        <row r="6505">
          <cell r="P6505">
            <v>0</v>
          </cell>
        </row>
        <row r="6506">
          <cell r="P6506">
            <v>0</v>
          </cell>
        </row>
        <row r="6507">
          <cell r="P6507">
            <v>0</v>
          </cell>
        </row>
        <row r="6508">
          <cell r="P6508">
            <v>0</v>
          </cell>
        </row>
        <row r="6509">
          <cell r="P6509">
            <v>0</v>
          </cell>
        </row>
        <row r="6510">
          <cell r="P6510">
            <v>0</v>
          </cell>
        </row>
        <row r="6511">
          <cell r="P6511">
            <v>0</v>
          </cell>
        </row>
        <row r="6512">
          <cell r="P6512">
            <v>0</v>
          </cell>
        </row>
        <row r="6513">
          <cell r="P6513">
            <v>0</v>
          </cell>
        </row>
        <row r="6514">
          <cell r="P6514">
            <v>0</v>
          </cell>
        </row>
        <row r="6515">
          <cell r="P6515">
            <v>0</v>
          </cell>
        </row>
        <row r="6516">
          <cell r="P6516">
            <v>0</v>
          </cell>
        </row>
        <row r="6517">
          <cell r="P6517">
            <v>0</v>
          </cell>
        </row>
        <row r="6518">
          <cell r="P6518">
            <v>0</v>
          </cell>
        </row>
        <row r="6519">
          <cell r="P6519">
            <v>0</v>
          </cell>
        </row>
        <row r="6520">
          <cell r="P6520">
            <v>0</v>
          </cell>
        </row>
        <row r="6521">
          <cell r="P6521">
            <v>0</v>
          </cell>
        </row>
        <row r="6522">
          <cell r="P6522">
            <v>0</v>
          </cell>
        </row>
        <row r="6523">
          <cell r="P6523">
            <v>0</v>
          </cell>
        </row>
        <row r="6524">
          <cell r="P6524">
            <v>0</v>
          </cell>
        </row>
        <row r="6525">
          <cell r="P6525">
            <v>0</v>
          </cell>
        </row>
        <row r="6526">
          <cell r="P6526">
            <v>0</v>
          </cell>
        </row>
        <row r="6527">
          <cell r="P6527">
            <v>0</v>
          </cell>
        </row>
        <row r="6528">
          <cell r="P6528">
            <v>0</v>
          </cell>
        </row>
        <row r="6529">
          <cell r="P6529">
            <v>0</v>
          </cell>
        </row>
        <row r="6530">
          <cell r="P6530">
            <v>0</v>
          </cell>
        </row>
        <row r="6531">
          <cell r="P6531">
            <v>0</v>
          </cell>
        </row>
        <row r="6532">
          <cell r="P6532">
            <v>0</v>
          </cell>
        </row>
        <row r="6533">
          <cell r="P6533">
            <v>0</v>
          </cell>
        </row>
        <row r="6534">
          <cell r="P6534">
            <v>0</v>
          </cell>
        </row>
        <row r="6535">
          <cell r="P6535">
            <v>0</v>
          </cell>
        </row>
        <row r="6536">
          <cell r="P6536">
            <v>0</v>
          </cell>
        </row>
        <row r="6537">
          <cell r="P6537">
            <v>0</v>
          </cell>
        </row>
        <row r="6538">
          <cell r="P6538">
            <v>0</v>
          </cell>
        </row>
        <row r="6539">
          <cell r="P6539">
            <v>0</v>
          </cell>
        </row>
        <row r="6540">
          <cell r="P6540">
            <v>0</v>
          </cell>
        </row>
        <row r="6541">
          <cell r="P6541">
            <v>0</v>
          </cell>
        </row>
        <row r="6542">
          <cell r="P6542">
            <v>0</v>
          </cell>
        </row>
        <row r="6543">
          <cell r="P6543">
            <v>0</v>
          </cell>
        </row>
        <row r="6544">
          <cell r="P6544">
            <v>0</v>
          </cell>
        </row>
        <row r="6545">
          <cell r="P6545">
            <v>0</v>
          </cell>
        </row>
        <row r="6546">
          <cell r="P6546">
            <v>0</v>
          </cell>
        </row>
        <row r="6547">
          <cell r="P6547">
            <v>0</v>
          </cell>
        </row>
        <row r="6548">
          <cell r="P6548">
            <v>0</v>
          </cell>
        </row>
        <row r="6549">
          <cell r="P6549">
            <v>0</v>
          </cell>
        </row>
        <row r="6550">
          <cell r="P6550">
            <v>0</v>
          </cell>
        </row>
        <row r="6551">
          <cell r="P6551">
            <v>0</v>
          </cell>
        </row>
        <row r="6552">
          <cell r="P6552">
            <v>0</v>
          </cell>
        </row>
        <row r="6553">
          <cell r="P6553">
            <v>0</v>
          </cell>
        </row>
        <row r="6554">
          <cell r="P6554">
            <v>0</v>
          </cell>
        </row>
        <row r="6555">
          <cell r="P6555">
            <v>0</v>
          </cell>
        </row>
        <row r="6556">
          <cell r="P6556">
            <v>0</v>
          </cell>
        </row>
        <row r="6557">
          <cell r="P6557">
            <v>0</v>
          </cell>
        </row>
        <row r="6558">
          <cell r="P6558">
            <v>0</v>
          </cell>
        </row>
        <row r="6559">
          <cell r="P6559">
            <v>0</v>
          </cell>
        </row>
        <row r="6560">
          <cell r="P6560">
            <v>0</v>
          </cell>
        </row>
        <row r="6561">
          <cell r="P6561">
            <v>0</v>
          </cell>
        </row>
        <row r="6562">
          <cell r="P6562">
            <v>0</v>
          </cell>
        </row>
        <row r="6563">
          <cell r="P6563">
            <v>0</v>
          </cell>
        </row>
        <row r="6564">
          <cell r="P6564">
            <v>0</v>
          </cell>
        </row>
        <row r="6565">
          <cell r="P6565">
            <v>0</v>
          </cell>
        </row>
        <row r="6566">
          <cell r="P6566">
            <v>0</v>
          </cell>
        </row>
        <row r="6567">
          <cell r="P6567">
            <v>0</v>
          </cell>
        </row>
        <row r="6568">
          <cell r="P6568">
            <v>0</v>
          </cell>
        </row>
        <row r="6569">
          <cell r="P6569">
            <v>0</v>
          </cell>
        </row>
        <row r="6570">
          <cell r="P6570">
            <v>0</v>
          </cell>
        </row>
        <row r="6571">
          <cell r="P6571">
            <v>0</v>
          </cell>
        </row>
        <row r="6572">
          <cell r="P6572">
            <v>0</v>
          </cell>
        </row>
        <row r="6573">
          <cell r="P6573">
            <v>0</v>
          </cell>
        </row>
        <row r="6574">
          <cell r="P6574">
            <v>0</v>
          </cell>
        </row>
        <row r="6575">
          <cell r="P6575">
            <v>0</v>
          </cell>
        </row>
        <row r="6576">
          <cell r="P6576">
            <v>0</v>
          </cell>
        </row>
        <row r="6577">
          <cell r="P6577">
            <v>0</v>
          </cell>
        </row>
        <row r="6578">
          <cell r="P6578">
            <v>0</v>
          </cell>
        </row>
        <row r="6579">
          <cell r="P6579">
            <v>0</v>
          </cell>
        </row>
        <row r="6580">
          <cell r="P6580">
            <v>0</v>
          </cell>
        </row>
        <row r="6581">
          <cell r="P6581">
            <v>0</v>
          </cell>
        </row>
        <row r="6582">
          <cell r="P6582">
            <v>0</v>
          </cell>
        </row>
        <row r="6583">
          <cell r="P6583">
            <v>0</v>
          </cell>
        </row>
        <row r="6584">
          <cell r="P6584">
            <v>0</v>
          </cell>
        </row>
        <row r="6585">
          <cell r="P6585">
            <v>0</v>
          </cell>
        </row>
        <row r="6586">
          <cell r="P6586">
            <v>0</v>
          </cell>
        </row>
        <row r="6587">
          <cell r="P6587">
            <v>0</v>
          </cell>
        </row>
        <row r="6588">
          <cell r="P6588">
            <v>0</v>
          </cell>
        </row>
        <row r="6589">
          <cell r="P6589">
            <v>0</v>
          </cell>
        </row>
        <row r="6590">
          <cell r="P6590">
            <v>0</v>
          </cell>
        </row>
        <row r="6591">
          <cell r="P6591">
            <v>0</v>
          </cell>
        </row>
        <row r="6592">
          <cell r="P6592">
            <v>0</v>
          </cell>
        </row>
        <row r="6593">
          <cell r="P6593">
            <v>0</v>
          </cell>
        </row>
        <row r="6594">
          <cell r="P6594">
            <v>0</v>
          </cell>
        </row>
        <row r="6595">
          <cell r="P6595">
            <v>0</v>
          </cell>
        </row>
        <row r="6596">
          <cell r="P6596">
            <v>0</v>
          </cell>
        </row>
        <row r="6597">
          <cell r="P6597">
            <v>0</v>
          </cell>
        </row>
        <row r="6598">
          <cell r="P6598">
            <v>0</v>
          </cell>
        </row>
        <row r="6599">
          <cell r="P6599">
            <v>0</v>
          </cell>
        </row>
        <row r="6600">
          <cell r="P6600">
            <v>0</v>
          </cell>
        </row>
        <row r="6601">
          <cell r="P6601">
            <v>0</v>
          </cell>
        </row>
        <row r="6602">
          <cell r="P6602">
            <v>0</v>
          </cell>
        </row>
        <row r="6603">
          <cell r="P6603">
            <v>0</v>
          </cell>
        </row>
        <row r="6604">
          <cell r="P6604">
            <v>0</v>
          </cell>
        </row>
        <row r="6605">
          <cell r="P6605">
            <v>0</v>
          </cell>
        </row>
        <row r="6606">
          <cell r="P6606">
            <v>0</v>
          </cell>
        </row>
        <row r="6607">
          <cell r="P6607">
            <v>0</v>
          </cell>
        </row>
        <row r="6608">
          <cell r="P6608">
            <v>0</v>
          </cell>
        </row>
        <row r="6609">
          <cell r="P6609">
            <v>0</v>
          </cell>
        </row>
        <row r="6610">
          <cell r="P6610">
            <v>0</v>
          </cell>
        </row>
        <row r="6611">
          <cell r="P6611">
            <v>0</v>
          </cell>
        </row>
        <row r="6612">
          <cell r="P6612">
            <v>0</v>
          </cell>
        </row>
        <row r="6613">
          <cell r="P6613">
            <v>0</v>
          </cell>
        </row>
        <row r="6614">
          <cell r="P6614">
            <v>0</v>
          </cell>
        </row>
        <row r="6615">
          <cell r="P6615">
            <v>0</v>
          </cell>
        </row>
        <row r="6616">
          <cell r="P6616">
            <v>0</v>
          </cell>
        </row>
        <row r="6617">
          <cell r="P6617">
            <v>0</v>
          </cell>
        </row>
        <row r="6618">
          <cell r="P6618">
            <v>0</v>
          </cell>
        </row>
        <row r="6619">
          <cell r="P6619">
            <v>0</v>
          </cell>
        </row>
        <row r="6620">
          <cell r="P6620">
            <v>0</v>
          </cell>
        </row>
        <row r="6621">
          <cell r="P6621">
            <v>0</v>
          </cell>
        </row>
        <row r="6622">
          <cell r="P6622">
            <v>0</v>
          </cell>
        </row>
        <row r="6623">
          <cell r="P6623">
            <v>0</v>
          </cell>
        </row>
        <row r="6624">
          <cell r="P6624">
            <v>0</v>
          </cell>
        </row>
        <row r="6625">
          <cell r="P6625">
            <v>0</v>
          </cell>
        </row>
        <row r="6626">
          <cell r="P6626">
            <v>0</v>
          </cell>
        </row>
        <row r="6627">
          <cell r="P6627">
            <v>0</v>
          </cell>
        </row>
        <row r="6628">
          <cell r="P6628">
            <v>0</v>
          </cell>
        </row>
        <row r="6629">
          <cell r="P6629">
            <v>0</v>
          </cell>
        </row>
        <row r="6630">
          <cell r="P6630">
            <v>0</v>
          </cell>
        </row>
        <row r="6631">
          <cell r="P6631">
            <v>0</v>
          </cell>
        </row>
        <row r="6632">
          <cell r="P6632">
            <v>0</v>
          </cell>
        </row>
        <row r="6633">
          <cell r="P6633">
            <v>0</v>
          </cell>
        </row>
        <row r="6634">
          <cell r="P6634">
            <v>0</v>
          </cell>
        </row>
        <row r="6635">
          <cell r="P6635">
            <v>0</v>
          </cell>
        </row>
        <row r="6636">
          <cell r="P6636">
            <v>0</v>
          </cell>
        </row>
        <row r="6637">
          <cell r="P6637">
            <v>0</v>
          </cell>
        </row>
        <row r="6638">
          <cell r="P6638">
            <v>0</v>
          </cell>
        </row>
        <row r="6639">
          <cell r="P6639">
            <v>0</v>
          </cell>
        </row>
        <row r="6640">
          <cell r="P6640">
            <v>0</v>
          </cell>
        </row>
        <row r="6641">
          <cell r="P6641">
            <v>0</v>
          </cell>
        </row>
        <row r="6642">
          <cell r="P6642">
            <v>0</v>
          </cell>
        </row>
        <row r="6643">
          <cell r="P6643">
            <v>0</v>
          </cell>
        </row>
        <row r="6644">
          <cell r="P6644">
            <v>0</v>
          </cell>
        </row>
        <row r="6645">
          <cell r="P6645">
            <v>0</v>
          </cell>
        </row>
        <row r="6646">
          <cell r="P6646">
            <v>0</v>
          </cell>
        </row>
        <row r="6647">
          <cell r="P6647">
            <v>0</v>
          </cell>
        </row>
        <row r="6648">
          <cell r="P6648">
            <v>0</v>
          </cell>
        </row>
        <row r="6649">
          <cell r="P6649">
            <v>0</v>
          </cell>
        </row>
        <row r="6650">
          <cell r="P6650">
            <v>0</v>
          </cell>
        </row>
        <row r="6651">
          <cell r="P6651">
            <v>0</v>
          </cell>
        </row>
        <row r="6652">
          <cell r="P6652">
            <v>0</v>
          </cell>
        </row>
        <row r="6653">
          <cell r="P6653">
            <v>0</v>
          </cell>
        </row>
        <row r="6654">
          <cell r="P6654">
            <v>0</v>
          </cell>
        </row>
        <row r="6655">
          <cell r="P6655">
            <v>0</v>
          </cell>
        </row>
        <row r="6656">
          <cell r="P6656">
            <v>0</v>
          </cell>
        </row>
        <row r="6657">
          <cell r="P6657">
            <v>0</v>
          </cell>
        </row>
        <row r="6658">
          <cell r="P6658">
            <v>0</v>
          </cell>
        </row>
        <row r="6659">
          <cell r="P6659">
            <v>0</v>
          </cell>
        </row>
        <row r="6660">
          <cell r="P6660">
            <v>0</v>
          </cell>
        </row>
        <row r="6661">
          <cell r="P6661">
            <v>0</v>
          </cell>
        </row>
        <row r="6662">
          <cell r="P6662">
            <v>0</v>
          </cell>
        </row>
        <row r="6663">
          <cell r="P6663">
            <v>0</v>
          </cell>
        </row>
        <row r="6664">
          <cell r="P6664">
            <v>0</v>
          </cell>
        </row>
        <row r="6665">
          <cell r="P6665">
            <v>0</v>
          </cell>
        </row>
        <row r="6666">
          <cell r="P6666">
            <v>0</v>
          </cell>
        </row>
        <row r="6667">
          <cell r="P6667">
            <v>0</v>
          </cell>
        </row>
        <row r="6668">
          <cell r="P6668">
            <v>0</v>
          </cell>
        </row>
        <row r="6669">
          <cell r="P6669">
            <v>0</v>
          </cell>
        </row>
        <row r="6670">
          <cell r="P6670">
            <v>0</v>
          </cell>
        </row>
        <row r="6671">
          <cell r="P6671">
            <v>0</v>
          </cell>
        </row>
        <row r="6672">
          <cell r="P6672">
            <v>0</v>
          </cell>
        </row>
        <row r="6673">
          <cell r="P6673">
            <v>0</v>
          </cell>
        </row>
        <row r="6674">
          <cell r="P6674">
            <v>0</v>
          </cell>
        </row>
        <row r="6675">
          <cell r="P6675">
            <v>0</v>
          </cell>
        </row>
        <row r="6676">
          <cell r="P6676">
            <v>0</v>
          </cell>
        </row>
        <row r="6677">
          <cell r="P6677">
            <v>0</v>
          </cell>
        </row>
        <row r="6678">
          <cell r="P6678">
            <v>0</v>
          </cell>
        </row>
        <row r="6679">
          <cell r="P6679">
            <v>0</v>
          </cell>
        </row>
        <row r="6680">
          <cell r="P6680">
            <v>0</v>
          </cell>
        </row>
        <row r="6681">
          <cell r="P6681">
            <v>0</v>
          </cell>
        </row>
        <row r="6682">
          <cell r="P6682">
            <v>0</v>
          </cell>
        </row>
        <row r="6683">
          <cell r="P6683">
            <v>0</v>
          </cell>
        </row>
        <row r="6684">
          <cell r="P6684">
            <v>0</v>
          </cell>
        </row>
        <row r="6685">
          <cell r="P6685">
            <v>0</v>
          </cell>
        </row>
        <row r="6686">
          <cell r="P6686">
            <v>0</v>
          </cell>
        </row>
        <row r="6687">
          <cell r="P6687">
            <v>0</v>
          </cell>
        </row>
        <row r="6688">
          <cell r="P6688">
            <v>0</v>
          </cell>
        </row>
        <row r="6689">
          <cell r="P6689">
            <v>0</v>
          </cell>
        </row>
        <row r="6690">
          <cell r="P6690">
            <v>0</v>
          </cell>
        </row>
        <row r="6691">
          <cell r="P6691">
            <v>0</v>
          </cell>
        </row>
        <row r="6692">
          <cell r="P6692">
            <v>0</v>
          </cell>
        </row>
        <row r="6693">
          <cell r="P6693">
            <v>0</v>
          </cell>
        </row>
        <row r="6694">
          <cell r="P6694">
            <v>0</v>
          </cell>
        </row>
        <row r="6695">
          <cell r="P6695">
            <v>0</v>
          </cell>
        </row>
        <row r="6696">
          <cell r="P6696">
            <v>0</v>
          </cell>
        </row>
        <row r="6697">
          <cell r="P6697">
            <v>0</v>
          </cell>
        </row>
        <row r="6698">
          <cell r="P6698">
            <v>0</v>
          </cell>
        </row>
        <row r="6699">
          <cell r="P6699">
            <v>0</v>
          </cell>
        </row>
        <row r="6700">
          <cell r="P6700">
            <v>0</v>
          </cell>
        </row>
        <row r="6701">
          <cell r="P6701">
            <v>0</v>
          </cell>
        </row>
        <row r="6702">
          <cell r="P6702">
            <v>0</v>
          </cell>
        </row>
        <row r="6703">
          <cell r="P6703">
            <v>0</v>
          </cell>
        </row>
        <row r="6704">
          <cell r="P6704">
            <v>0</v>
          </cell>
        </row>
        <row r="6705">
          <cell r="P6705">
            <v>0</v>
          </cell>
        </row>
        <row r="6706">
          <cell r="P6706">
            <v>0</v>
          </cell>
        </row>
        <row r="6707">
          <cell r="P6707">
            <v>0</v>
          </cell>
        </row>
        <row r="6708">
          <cell r="P6708">
            <v>0</v>
          </cell>
        </row>
        <row r="6709">
          <cell r="P6709">
            <v>0</v>
          </cell>
        </row>
        <row r="6710">
          <cell r="P6710">
            <v>0</v>
          </cell>
        </row>
        <row r="6711">
          <cell r="P6711">
            <v>0</v>
          </cell>
        </row>
        <row r="6712">
          <cell r="P6712">
            <v>0</v>
          </cell>
        </row>
        <row r="6713">
          <cell r="P6713">
            <v>0</v>
          </cell>
        </row>
        <row r="6714">
          <cell r="P6714">
            <v>0</v>
          </cell>
        </row>
        <row r="6715">
          <cell r="P6715">
            <v>0</v>
          </cell>
        </row>
        <row r="6716">
          <cell r="P6716">
            <v>0</v>
          </cell>
        </row>
        <row r="6717">
          <cell r="P6717">
            <v>0</v>
          </cell>
        </row>
        <row r="6718">
          <cell r="P6718">
            <v>0</v>
          </cell>
        </row>
        <row r="6719">
          <cell r="P6719">
            <v>0</v>
          </cell>
        </row>
        <row r="6720">
          <cell r="P6720">
            <v>0</v>
          </cell>
        </row>
        <row r="6721">
          <cell r="P6721">
            <v>0</v>
          </cell>
        </row>
        <row r="6722">
          <cell r="P6722">
            <v>0</v>
          </cell>
        </row>
        <row r="6723">
          <cell r="P6723">
            <v>0</v>
          </cell>
        </row>
        <row r="6724">
          <cell r="P6724">
            <v>0</v>
          </cell>
        </row>
        <row r="6725">
          <cell r="P6725">
            <v>0</v>
          </cell>
        </row>
        <row r="6726">
          <cell r="P6726">
            <v>0</v>
          </cell>
        </row>
        <row r="6727">
          <cell r="P6727">
            <v>0</v>
          </cell>
        </row>
        <row r="6728">
          <cell r="P6728">
            <v>0</v>
          </cell>
        </row>
        <row r="6729">
          <cell r="P6729">
            <v>0</v>
          </cell>
        </row>
        <row r="6730">
          <cell r="P6730">
            <v>0</v>
          </cell>
        </row>
        <row r="6731">
          <cell r="P6731">
            <v>0</v>
          </cell>
        </row>
        <row r="6732">
          <cell r="P6732">
            <v>0</v>
          </cell>
        </row>
        <row r="6733">
          <cell r="P6733">
            <v>0</v>
          </cell>
        </row>
        <row r="6734">
          <cell r="P6734">
            <v>0</v>
          </cell>
        </row>
        <row r="6735">
          <cell r="P6735">
            <v>0</v>
          </cell>
        </row>
        <row r="6736">
          <cell r="P6736">
            <v>0</v>
          </cell>
        </row>
        <row r="6737">
          <cell r="P6737">
            <v>0</v>
          </cell>
        </row>
        <row r="6738">
          <cell r="P6738">
            <v>0</v>
          </cell>
        </row>
        <row r="6739">
          <cell r="P6739">
            <v>0</v>
          </cell>
        </row>
        <row r="6740">
          <cell r="P6740">
            <v>0</v>
          </cell>
        </row>
        <row r="6741">
          <cell r="P6741">
            <v>0</v>
          </cell>
        </row>
        <row r="6742">
          <cell r="P6742">
            <v>0</v>
          </cell>
        </row>
        <row r="6743">
          <cell r="P6743">
            <v>0</v>
          </cell>
        </row>
        <row r="6744">
          <cell r="P6744">
            <v>0</v>
          </cell>
        </row>
        <row r="6745">
          <cell r="P6745">
            <v>0</v>
          </cell>
        </row>
        <row r="6746">
          <cell r="P6746">
            <v>0</v>
          </cell>
        </row>
        <row r="6747">
          <cell r="P6747">
            <v>0</v>
          </cell>
        </row>
        <row r="6748">
          <cell r="P6748">
            <v>0</v>
          </cell>
        </row>
        <row r="6749">
          <cell r="P6749">
            <v>0</v>
          </cell>
        </row>
        <row r="6750">
          <cell r="P6750">
            <v>0</v>
          </cell>
        </row>
        <row r="6751">
          <cell r="P6751">
            <v>0</v>
          </cell>
        </row>
        <row r="6752">
          <cell r="P6752">
            <v>0</v>
          </cell>
        </row>
        <row r="6753">
          <cell r="P6753">
            <v>0</v>
          </cell>
        </row>
        <row r="6754">
          <cell r="P6754">
            <v>0</v>
          </cell>
        </row>
        <row r="6755">
          <cell r="P6755">
            <v>0</v>
          </cell>
        </row>
        <row r="6756">
          <cell r="P6756">
            <v>0</v>
          </cell>
        </row>
        <row r="6757">
          <cell r="P6757">
            <v>0</v>
          </cell>
        </row>
        <row r="6758">
          <cell r="P6758">
            <v>0</v>
          </cell>
        </row>
        <row r="6759">
          <cell r="P6759">
            <v>0</v>
          </cell>
        </row>
        <row r="6760">
          <cell r="P6760">
            <v>0</v>
          </cell>
        </row>
        <row r="6761">
          <cell r="P6761">
            <v>0</v>
          </cell>
        </row>
        <row r="6762">
          <cell r="P6762">
            <v>0</v>
          </cell>
        </row>
        <row r="6763">
          <cell r="P6763">
            <v>0</v>
          </cell>
        </row>
        <row r="6764">
          <cell r="P6764">
            <v>0</v>
          </cell>
        </row>
        <row r="6765">
          <cell r="P6765">
            <v>0</v>
          </cell>
        </row>
        <row r="6766">
          <cell r="P6766">
            <v>0</v>
          </cell>
        </row>
        <row r="6767">
          <cell r="P6767">
            <v>0</v>
          </cell>
        </row>
        <row r="6768">
          <cell r="P6768">
            <v>0</v>
          </cell>
        </row>
        <row r="6769">
          <cell r="P6769">
            <v>0</v>
          </cell>
        </row>
        <row r="6770">
          <cell r="P6770">
            <v>0</v>
          </cell>
        </row>
        <row r="6771">
          <cell r="P6771">
            <v>0</v>
          </cell>
        </row>
        <row r="6772">
          <cell r="P6772">
            <v>0</v>
          </cell>
        </row>
        <row r="6773">
          <cell r="P6773">
            <v>0</v>
          </cell>
        </row>
        <row r="6774">
          <cell r="P6774">
            <v>0</v>
          </cell>
        </row>
        <row r="6775">
          <cell r="P6775">
            <v>0</v>
          </cell>
        </row>
        <row r="6776">
          <cell r="P6776">
            <v>0</v>
          </cell>
        </row>
        <row r="6777">
          <cell r="P6777">
            <v>0</v>
          </cell>
        </row>
        <row r="6778">
          <cell r="P6778">
            <v>0</v>
          </cell>
        </row>
        <row r="6779">
          <cell r="P6779">
            <v>0</v>
          </cell>
        </row>
        <row r="6780">
          <cell r="P6780">
            <v>0</v>
          </cell>
        </row>
        <row r="6781">
          <cell r="P6781">
            <v>0</v>
          </cell>
        </row>
        <row r="6782">
          <cell r="P6782">
            <v>0</v>
          </cell>
        </row>
        <row r="6783">
          <cell r="P6783">
            <v>0</v>
          </cell>
        </row>
        <row r="6784">
          <cell r="P6784">
            <v>0</v>
          </cell>
        </row>
        <row r="6785">
          <cell r="P6785">
            <v>0</v>
          </cell>
        </row>
        <row r="6786">
          <cell r="P6786">
            <v>0</v>
          </cell>
        </row>
        <row r="6787">
          <cell r="P6787">
            <v>0</v>
          </cell>
        </row>
        <row r="6788">
          <cell r="P6788">
            <v>0</v>
          </cell>
        </row>
        <row r="6789">
          <cell r="P6789">
            <v>0</v>
          </cell>
        </row>
        <row r="6790">
          <cell r="P6790">
            <v>0</v>
          </cell>
        </row>
        <row r="6791">
          <cell r="P6791">
            <v>0</v>
          </cell>
        </row>
        <row r="6792">
          <cell r="P6792">
            <v>0</v>
          </cell>
        </row>
        <row r="6793">
          <cell r="P6793">
            <v>0</v>
          </cell>
        </row>
        <row r="6794">
          <cell r="P6794">
            <v>0</v>
          </cell>
        </row>
        <row r="6795">
          <cell r="P6795">
            <v>0</v>
          </cell>
        </row>
        <row r="6796">
          <cell r="P6796">
            <v>0</v>
          </cell>
        </row>
        <row r="6797">
          <cell r="P6797">
            <v>0</v>
          </cell>
        </row>
        <row r="6798">
          <cell r="P6798">
            <v>0</v>
          </cell>
        </row>
        <row r="6799">
          <cell r="P6799">
            <v>0</v>
          </cell>
        </row>
        <row r="6800">
          <cell r="P6800">
            <v>0</v>
          </cell>
        </row>
        <row r="6801">
          <cell r="P6801">
            <v>0</v>
          </cell>
        </row>
        <row r="6802">
          <cell r="P6802">
            <v>0</v>
          </cell>
        </row>
        <row r="6803">
          <cell r="P6803">
            <v>0</v>
          </cell>
        </row>
        <row r="6804">
          <cell r="P6804">
            <v>0</v>
          </cell>
        </row>
        <row r="6805">
          <cell r="P6805">
            <v>0</v>
          </cell>
        </row>
        <row r="6806">
          <cell r="P6806">
            <v>0</v>
          </cell>
        </row>
        <row r="6807">
          <cell r="P6807">
            <v>0</v>
          </cell>
        </row>
        <row r="6808">
          <cell r="P6808">
            <v>0</v>
          </cell>
        </row>
        <row r="6809">
          <cell r="P6809">
            <v>0</v>
          </cell>
        </row>
        <row r="6810">
          <cell r="P6810">
            <v>0</v>
          </cell>
        </row>
        <row r="6811">
          <cell r="P6811">
            <v>0</v>
          </cell>
        </row>
        <row r="6812">
          <cell r="P6812">
            <v>0</v>
          </cell>
        </row>
        <row r="6813">
          <cell r="P6813">
            <v>0</v>
          </cell>
        </row>
        <row r="6814">
          <cell r="P6814">
            <v>0</v>
          </cell>
        </row>
        <row r="6815">
          <cell r="P6815">
            <v>0</v>
          </cell>
        </row>
        <row r="6816">
          <cell r="P6816">
            <v>0</v>
          </cell>
        </row>
        <row r="6817">
          <cell r="P6817">
            <v>0</v>
          </cell>
        </row>
        <row r="6818">
          <cell r="P6818">
            <v>0</v>
          </cell>
        </row>
        <row r="6819">
          <cell r="P6819">
            <v>0</v>
          </cell>
        </row>
        <row r="6820">
          <cell r="P6820">
            <v>0</v>
          </cell>
        </row>
        <row r="6821">
          <cell r="P6821">
            <v>0</v>
          </cell>
        </row>
        <row r="6822">
          <cell r="P6822">
            <v>0</v>
          </cell>
        </row>
        <row r="6823">
          <cell r="P6823">
            <v>0</v>
          </cell>
        </row>
        <row r="6824">
          <cell r="P6824">
            <v>0</v>
          </cell>
        </row>
        <row r="6825">
          <cell r="P6825">
            <v>0</v>
          </cell>
        </row>
        <row r="6826">
          <cell r="P6826">
            <v>0</v>
          </cell>
        </row>
        <row r="6827">
          <cell r="P6827">
            <v>0</v>
          </cell>
        </row>
        <row r="6828">
          <cell r="P6828">
            <v>0</v>
          </cell>
        </row>
        <row r="6829">
          <cell r="P6829">
            <v>0</v>
          </cell>
        </row>
        <row r="6830">
          <cell r="P6830">
            <v>0</v>
          </cell>
        </row>
        <row r="6831">
          <cell r="P6831">
            <v>0</v>
          </cell>
        </row>
        <row r="6832">
          <cell r="P6832">
            <v>0</v>
          </cell>
        </row>
        <row r="6833">
          <cell r="P6833">
            <v>0</v>
          </cell>
        </row>
        <row r="6834">
          <cell r="P6834">
            <v>0</v>
          </cell>
        </row>
        <row r="6835">
          <cell r="P6835">
            <v>0</v>
          </cell>
        </row>
        <row r="6836">
          <cell r="P6836">
            <v>0</v>
          </cell>
        </row>
        <row r="6837">
          <cell r="P6837">
            <v>0</v>
          </cell>
        </row>
        <row r="6838">
          <cell r="P6838">
            <v>0</v>
          </cell>
        </row>
        <row r="6839">
          <cell r="P6839">
            <v>0</v>
          </cell>
        </row>
        <row r="6840">
          <cell r="P6840">
            <v>0</v>
          </cell>
        </row>
        <row r="6841">
          <cell r="P6841">
            <v>0</v>
          </cell>
        </row>
        <row r="6842">
          <cell r="P6842">
            <v>0</v>
          </cell>
        </row>
        <row r="6843">
          <cell r="P6843">
            <v>0</v>
          </cell>
        </row>
        <row r="6844">
          <cell r="P6844">
            <v>0</v>
          </cell>
        </row>
        <row r="6845">
          <cell r="P6845">
            <v>0</v>
          </cell>
        </row>
        <row r="6846">
          <cell r="P6846">
            <v>0</v>
          </cell>
        </row>
        <row r="6847">
          <cell r="P6847">
            <v>0</v>
          </cell>
        </row>
        <row r="6848">
          <cell r="P6848">
            <v>0</v>
          </cell>
        </row>
        <row r="6849">
          <cell r="P6849">
            <v>0</v>
          </cell>
        </row>
        <row r="6850">
          <cell r="P6850">
            <v>0</v>
          </cell>
        </row>
        <row r="6851">
          <cell r="P6851">
            <v>0</v>
          </cell>
        </row>
        <row r="6852">
          <cell r="P6852">
            <v>0</v>
          </cell>
        </row>
        <row r="6853">
          <cell r="P6853">
            <v>0</v>
          </cell>
        </row>
        <row r="6854">
          <cell r="P6854">
            <v>0</v>
          </cell>
        </row>
        <row r="6855">
          <cell r="P6855">
            <v>0</v>
          </cell>
        </row>
        <row r="6856">
          <cell r="P6856">
            <v>0</v>
          </cell>
        </row>
        <row r="6857">
          <cell r="P6857">
            <v>0</v>
          </cell>
        </row>
        <row r="6858">
          <cell r="P6858">
            <v>0</v>
          </cell>
        </row>
        <row r="6859">
          <cell r="P6859">
            <v>0</v>
          </cell>
        </row>
        <row r="6860">
          <cell r="P6860">
            <v>0</v>
          </cell>
        </row>
        <row r="6861">
          <cell r="P6861">
            <v>0</v>
          </cell>
        </row>
        <row r="6862">
          <cell r="P6862">
            <v>0</v>
          </cell>
        </row>
        <row r="6863">
          <cell r="P6863">
            <v>0</v>
          </cell>
        </row>
        <row r="6864">
          <cell r="P6864">
            <v>0</v>
          </cell>
        </row>
        <row r="6865">
          <cell r="P6865">
            <v>0</v>
          </cell>
        </row>
        <row r="6866">
          <cell r="P6866">
            <v>0</v>
          </cell>
        </row>
        <row r="6867">
          <cell r="P6867">
            <v>0</v>
          </cell>
        </row>
        <row r="6868">
          <cell r="P6868">
            <v>0</v>
          </cell>
        </row>
        <row r="6869">
          <cell r="P6869">
            <v>0</v>
          </cell>
        </row>
        <row r="6870">
          <cell r="P6870">
            <v>0</v>
          </cell>
        </row>
        <row r="6871">
          <cell r="P6871">
            <v>0</v>
          </cell>
        </row>
        <row r="6872">
          <cell r="P6872">
            <v>0</v>
          </cell>
        </row>
        <row r="6873">
          <cell r="P6873">
            <v>0</v>
          </cell>
        </row>
        <row r="6874">
          <cell r="P6874">
            <v>0</v>
          </cell>
        </row>
        <row r="6875">
          <cell r="P6875">
            <v>0</v>
          </cell>
        </row>
        <row r="6876">
          <cell r="P6876">
            <v>0</v>
          </cell>
        </row>
        <row r="6877">
          <cell r="P6877">
            <v>0</v>
          </cell>
        </row>
        <row r="6878">
          <cell r="P6878">
            <v>0</v>
          </cell>
        </row>
        <row r="6879">
          <cell r="P6879">
            <v>0</v>
          </cell>
        </row>
        <row r="6880">
          <cell r="P6880">
            <v>0</v>
          </cell>
        </row>
        <row r="6881">
          <cell r="P6881">
            <v>0</v>
          </cell>
        </row>
        <row r="6882">
          <cell r="P6882">
            <v>0</v>
          </cell>
        </row>
        <row r="6883">
          <cell r="P6883">
            <v>0</v>
          </cell>
        </row>
        <row r="6884">
          <cell r="P6884">
            <v>0</v>
          </cell>
        </row>
        <row r="6885">
          <cell r="P6885">
            <v>0</v>
          </cell>
        </row>
        <row r="6886">
          <cell r="P6886">
            <v>0</v>
          </cell>
        </row>
        <row r="6887">
          <cell r="P6887">
            <v>0</v>
          </cell>
        </row>
        <row r="6888">
          <cell r="P6888">
            <v>0</v>
          </cell>
        </row>
        <row r="6889">
          <cell r="P6889">
            <v>0</v>
          </cell>
        </row>
        <row r="6890">
          <cell r="P6890">
            <v>0</v>
          </cell>
        </row>
        <row r="6891">
          <cell r="P6891">
            <v>0</v>
          </cell>
        </row>
        <row r="6892">
          <cell r="P6892">
            <v>0</v>
          </cell>
        </row>
        <row r="6893">
          <cell r="P6893">
            <v>0</v>
          </cell>
        </row>
        <row r="6894">
          <cell r="P6894">
            <v>0</v>
          </cell>
        </row>
        <row r="6895">
          <cell r="P6895">
            <v>0</v>
          </cell>
        </row>
        <row r="6896">
          <cell r="P6896">
            <v>0</v>
          </cell>
        </row>
        <row r="6897">
          <cell r="P6897">
            <v>0</v>
          </cell>
        </row>
        <row r="6898">
          <cell r="P6898">
            <v>0</v>
          </cell>
        </row>
        <row r="6899">
          <cell r="P6899">
            <v>0</v>
          </cell>
        </row>
        <row r="6900">
          <cell r="P6900">
            <v>0</v>
          </cell>
        </row>
        <row r="6901">
          <cell r="P6901">
            <v>0</v>
          </cell>
        </row>
        <row r="6902">
          <cell r="P6902">
            <v>0</v>
          </cell>
        </row>
        <row r="6903">
          <cell r="P6903">
            <v>0</v>
          </cell>
        </row>
        <row r="6904">
          <cell r="P6904">
            <v>0</v>
          </cell>
        </row>
        <row r="6905">
          <cell r="P6905">
            <v>0</v>
          </cell>
        </row>
        <row r="6906">
          <cell r="P6906">
            <v>0</v>
          </cell>
        </row>
        <row r="6907">
          <cell r="P6907">
            <v>0</v>
          </cell>
        </row>
        <row r="6908">
          <cell r="P6908">
            <v>0</v>
          </cell>
        </row>
        <row r="6909">
          <cell r="P6909">
            <v>0</v>
          </cell>
        </row>
        <row r="6910">
          <cell r="P6910">
            <v>0</v>
          </cell>
        </row>
        <row r="6911">
          <cell r="P6911">
            <v>0</v>
          </cell>
        </row>
        <row r="6912">
          <cell r="P6912">
            <v>0</v>
          </cell>
        </row>
        <row r="6913">
          <cell r="P6913">
            <v>0</v>
          </cell>
        </row>
        <row r="6914">
          <cell r="P6914">
            <v>0</v>
          </cell>
        </row>
        <row r="6915">
          <cell r="P6915">
            <v>0</v>
          </cell>
        </row>
        <row r="6916">
          <cell r="P6916">
            <v>0</v>
          </cell>
        </row>
        <row r="6917">
          <cell r="P6917">
            <v>0</v>
          </cell>
        </row>
        <row r="6918">
          <cell r="P6918">
            <v>0</v>
          </cell>
        </row>
        <row r="6919">
          <cell r="P6919">
            <v>0</v>
          </cell>
        </row>
        <row r="6920">
          <cell r="P6920">
            <v>0</v>
          </cell>
        </row>
        <row r="6921">
          <cell r="P6921">
            <v>0</v>
          </cell>
        </row>
        <row r="6922">
          <cell r="P6922">
            <v>0</v>
          </cell>
        </row>
        <row r="6923">
          <cell r="P6923">
            <v>0</v>
          </cell>
        </row>
        <row r="6924">
          <cell r="P6924">
            <v>0</v>
          </cell>
        </row>
        <row r="6925">
          <cell r="P6925">
            <v>0</v>
          </cell>
        </row>
        <row r="6926">
          <cell r="P6926">
            <v>0</v>
          </cell>
        </row>
        <row r="6927">
          <cell r="P6927">
            <v>0</v>
          </cell>
        </row>
        <row r="6928">
          <cell r="P6928">
            <v>0</v>
          </cell>
        </row>
        <row r="6929">
          <cell r="P6929">
            <v>0</v>
          </cell>
        </row>
        <row r="6930">
          <cell r="P6930">
            <v>0</v>
          </cell>
        </row>
        <row r="6931">
          <cell r="P6931">
            <v>0</v>
          </cell>
        </row>
        <row r="6932">
          <cell r="P6932">
            <v>0</v>
          </cell>
        </row>
        <row r="6933">
          <cell r="P6933">
            <v>0</v>
          </cell>
        </row>
        <row r="6934">
          <cell r="P6934">
            <v>0</v>
          </cell>
        </row>
        <row r="6935">
          <cell r="P6935">
            <v>0</v>
          </cell>
        </row>
        <row r="6936">
          <cell r="P6936">
            <v>0</v>
          </cell>
        </row>
        <row r="6937">
          <cell r="P6937">
            <v>0</v>
          </cell>
        </row>
        <row r="6938">
          <cell r="P6938">
            <v>0</v>
          </cell>
        </row>
        <row r="6939">
          <cell r="P6939">
            <v>0</v>
          </cell>
        </row>
        <row r="6940">
          <cell r="P6940">
            <v>0</v>
          </cell>
        </row>
        <row r="6941">
          <cell r="P6941">
            <v>0</v>
          </cell>
        </row>
        <row r="6942">
          <cell r="P6942">
            <v>0</v>
          </cell>
        </row>
        <row r="6943">
          <cell r="P6943">
            <v>0</v>
          </cell>
        </row>
        <row r="6944">
          <cell r="P6944">
            <v>0</v>
          </cell>
        </row>
        <row r="6945">
          <cell r="P6945">
            <v>0</v>
          </cell>
        </row>
        <row r="6946">
          <cell r="P6946">
            <v>0</v>
          </cell>
        </row>
        <row r="6947">
          <cell r="P6947">
            <v>0</v>
          </cell>
        </row>
        <row r="6948">
          <cell r="P6948">
            <v>0</v>
          </cell>
        </row>
        <row r="6949">
          <cell r="P6949">
            <v>0</v>
          </cell>
        </row>
        <row r="6950">
          <cell r="P6950">
            <v>0</v>
          </cell>
        </row>
        <row r="6951">
          <cell r="P6951">
            <v>0</v>
          </cell>
        </row>
        <row r="6952">
          <cell r="P6952">
            <v>0</v>
          </cell>
        </row>
        <row r="6953">
          <cell r="P6953">
            <v>0</v>
          </cell>
        </row>
        <row r="6954">
          <cell r="P6954">
            <v>0</v>
          </cell>
        </row>
        <row r="6955">
          <cell r="P6955">
            <v>0</v>
          </cell>
        </row>
        <row r="6956">
          <cell r="P6956">
            <v>0</v>
          </cell>
        </row>
        <row r="6957">
          <cell r="P6957">
            <v>0</v>
          </cell>
        </row>
        <row r="6958">
          <cell r="P6958">
            <v>0</v>
          </cell>
        </row>
        <row r="6959">
          <cell r="P6959">
            <v>0</v>
          </cell>
        </row>
        <row r="6960">
          <cell r="P6960">
            <v>0</v>
          </cell>
        </row>
        <row r="6961">
          <cell r="P6961">
            <v>0</v>
          </cell>
        </row>
        <row r="6962">
          <cell r="P6962">
            <v>0</v>
          </cell>
        </row>
        <row r="6963">
          <cell r="P6963">
            <v>0</v>
          </cell>
        </row>
        <row r="6964">
          <cell r="P6964">
            <v>0</v>
          </cell>
        </row>
        <row r="6965">
          <cell r="P6965">
            <v>0</v>
          </cell>
        </row>
        <row r="6966">
          <cell r="P6966">
            <v>0</v>
          </cell>
        </row>
        <row r="6967">
          <cell r="P6967">
            <v>0</v>
          </cell>
        </row>
        <row r="6968">
          <cell r="P6968">
            <v>0</v>
          </cell>
        </row>
        <row r="6969">
          <cell r="P6969">
            <v>0</v>
          </cell>
        </row>
        <row r="6970">
          <cell r="P6970">
            <v>0</v>
          </cell>
        </row>
        <row r="6971">
          <cell r="P6971">
            <v>0</v>
          </cell>
        </row>
        <row r="6972">
          <cell r="P6972">
            <v>0</v>
          </cell>
        </row>
        <row r="6973">
          <cell r="P6973">
            <v>0</v>
          </cell>
        </row>
        <row r="6974">
          <cell r="P6974">
            <v>0</v>
          </cell>
        </row>
        <row r="6975">
          <cell r="P6975">
            <v>0</v>
          </cell>
        </row>
        <row r="6976">
          <cell r="P6976">
            <v>0</v>
          </cell>
        </row>
        <row r="6977">
          <cell r="P6977">
            <v>0</v>
          </cell>
        </row>
        <row r="6978">
          <cell r="P6978">
            <v>0</v>
          </cell>
        </row>
        <row r="6979">
          <cell r="P6979">
            <v>0</v>
          </cell>
        </row>
        <row r="6980">
          <cell r="P6980">
            <v>0</v>
          </cell>
        </row>
        <row r="6981">
          <cell r="P6981">
            <v>0</v>
          </cell>
        </row>
        <row r="6982">
          <cell r="P6982">
            <v>0</v>
          </cell>
        </row>
        <row r="6983">
          <cell r="P6983">
            <v>0</v>
          </cell>
        </row>
        <row r="6984">
          <cell r="P6984">
            <v>0</v>
          </cell>
        </row>
        <row r="6985">
          <cell r="P6985">
            <v>0</v>
          </cell>
        </row>
        <row r="6986">
          <cell r="P6986">
            <v>0</v>
          </cell>
        </row>
        <row r="6987">
          <cell r="P6987">
            <v>0</v>
          </cell>
        </row>
        <row r="6988">
          <cell r="P6988">
            <v>0</v>
          </cell>
        </row>
        <row r="6989">
          <cell r="P6989">
            <v>0</v>
          </cell>
        </row>
        <row r="6990">
          <cell r="P6990">
            <v>0</v>
          </cell>
        </row>
        <row r="6991">
          <cell r="P6991">
            <v>0</v>
          </cell>
        </row>
        <row r="6992">
          <cell r="P6992">
            <v>0</v>
          </cell>
        </row>
        <row r="6993">
          <cell r="P6993">
            <v>0</v>
          </cell>
        </row>
        <row r="6994">
          <cell r="P6994">
            <v>0</v>
          </cell>
        </row>
        <row r="6995">
          <cell r="P6995">
            <v>0</v>
          </cell>
        </row>
        <row r="6996">
          <cell r="P6996">
            <v>0</v>
          </cell>
        </row>
        <row r="6997">
          <cell r="P6997">
            <v>0</v>
          </cell>
        </row>
        <row r="6998">
          <cell r="P6998">
            <v>0</v>
          </cell>
        </row>
        <row r="6999">
          <cell r="P6999">
            <v>0</v>
          </cell>
        </row>
        <row r="7000">
          <cell r="P7000">
            <v>0</v>
          </cell>
        </row>
        <row r="7001">
          <cell r="P7001">
            <v>0</v>
          </cell>
        </row>
        <row r="7002">
          <cell r="P7002">
            <v>0</v>
          </cell>
        </row>
        <row r="7003">
          <cell r="P7003">
            <v>0</v>
          </cell>
        </row>
        <row r="7004">
          <cell r="P7004">
            <v>0</v>
          </cell>
        </row>
        <row r="7005">
          <cell r="P7005">
            <v>0</v>
          </cell>
        </row>
        <row r="7006">
          <cell r="P7006">
            <v>0</v>
          </cell>
        </row>
        <row r="7007">
          <cell r="P7007">
            <v>0</v>
          </cell>
        </row>
        <row r="7008">
          <cell r="P7008">
            <v>0</v>
          </cell>
        </row>
        <row r="7009">
          <cell r="P7009">
            <v>0</v>
          </cell>
        </row>
        <row r="7010">
          <cell r="P7010">
            <v>0</v>
          </cell>
        </row>
        <row r="7011">
          <cell r="P7011">
            <v>0</v>
          </cell>
        </row>
        <row r="7012">
          <cell r="P7012">
            <v>0</v>
          </cell>
        </row>
        <row r="7013">
          <cell r="P7013">
            <v>0</v>
          </cell>
        </row>
        <row r="7014">
          <cell r="P7014">
            <v>0</v>
          </cell>
        </row>
        <row r="7015">
          <cell r="P7015">
            <v>0</v>
          </cell>
        </row>
        <row r="7016">
          <cell r="P7016">
            <v>0</v>
          </cell>
        </row>
        <row r="7017">
          <cell r="P7017">
            <v>0</v>
          </cell>
        </row>
        <row r="7018">
          <cell r="P7018">
            <v>0</v>
          </cell>
        </row>
        <row r="7019">
          <cell r="P7019">
            <v>0</v>
          </cell>
        </row>
        <row r="7020">
          <cell r="P7020">
            <v>0</v>
          </cell>
        </row>
        <row r="7021">
          <cell r="P7021">
            <v>0</v>
          </cell>
        </row>
        <row r="7022">
          <cell r="P7022">
            <v>0</v>
          </cell>
        </row>
        <row r="7023">
          <cell r="P7023">
            <v>0</v>
          </cell>
        </row>
        <row r="7024">
          <cell r="P7024">
            <v>0</v>
          </cell>
        </row>
        <row r="7025">
          <cell r="P7025">
            <v>0</v>
          </cell>
        </row>
        <row r="7026">
          <cell r="P7026">
            <v>0</v>
          </cell>
        </row>
        <row r="7027">
          <cell r="P7027">
            <v>0</v>
          </cell>
        </row>
        <row r="7028">
          <cell r="P7028">
            <v>0</v>
          </cell>
        </row>
        <row r="7029">
          <cell r="P7029">
            <v>0</v>
          </cell>
        </row>
        <row r="7030">
          <cell r="P7030">
            <v>0</v>
          </cell>
        </row>
        <row r="7031">
          <cell r="P7031">
            <v>0</v>
          </cell>
        </row>
        <row r="7032">
          <cell r="P7032">
            <v>0</v>
          </cell>
        </row>
        <row r="7033">
          <cell r="P7033">
            <v>0</v>
          </cell>
        </row>
        <row r="7034">
          <cell r="P7034">
            <v>0</v>
          </cell>
        </row>
        <row r="7035">
          <cell r="P7035">
            <v>0</v>
          </cell>
        </row>
        <row r="7036">
          <cell r="P7036">
            <v>0</v>
          </cell>
        </row>
        <row r="7037">
          <cell r="P7037">
            <v>0</v>
          </cell>
        </row>
        <row r="7038">
          <cell r="P7038">
            <v>0</v>
          </cell>
        </row>
        <row r="7039">
          <cell r="P7039">
            <v>0</v>
          </cell>
        </row>
        <row r="7040">
          <cell r="P7040">
            <v>0</v>
          </cell>
        </row>
        <row r="7041">
          <cell r="P7041">
            <v>0</v>
          </cell>
        </row>
        <row r="7042">
          <cell r="P7042">
            <v>0</v>
          </cell>
        </row>
        <row r="7043">
          <cell r="P7043">
            <v>0</v>
          </cell>
        </row>
        <row r="7044">
          <cell r="P7044">
            <v>0</v>
          </cell>
        </row>
        <row r="7045">
          <cell r="P7045">
            <v>0</v>
          </cell>
        </row>
        <row r="7046">
          <cell r="P7046">
            <v>0</v>
          </cell>
        </row>
        <row r="7047">
          <cell r="P7047">
            <v>0</v>
          </cell>
        </row>
        <row r="7048">
          <cell r="P7048">
            <v>0</v>
          </cell>
        </row>
        <row r="7049">
          <cell r="P7049">
            <v>0</v>
          </cell>
        </row>
        <row r="7050">
          <cell r="P7050">
            <v>0</v>
          </cell>
        </row>
        <row r="7051">
          <cell r="P7051">
            <v>0</v>
          </cell>
        </row>
        <row r="7052">
          <cell r="P7052">
            <v>0</v>
          </cell>
        </row>
        <row r="7053">
          <cell r="P7053">
            <v>0</v>
          </cell>
        </row>
        <row r="7054">
          <cell r="P7054">
            <v>0</v>
          </cell>
        </row>
        <row r="7055">
          <cell r="P7055">
            <v>0</v>
          </cell>
        </row>
        <row r="7056">
          <cell r="P7056">
            <v>0</v>
          </cell>
        </row>
        <row r="7057">
          <cell r="P7057">
            <v>0</v>
          </cell>
        </row>
        <row r="7058">
          <cell r="P7058">
            <v>0</v>
          </cell>
        </row>
        <row r="7059">
          <cell r="P7059">
            <v>0</v>
          </cell>
        </row>
        <row r="7060">
          <cell r="P7060">
            <v>0</v>
          </cell>
        </row>
        <row r="7061">
          <cell r="P7061">
            <v>0</v>
          </cell>
        </row>
        <row r="7062">
          <cell r="P7062">
            <v>0</v>
          </cell>
        </row>
        <row r="7063">
          <cell r="P7063">
            <v>0</v>
          </cell>
        </row>
        <row r="7064">
          <cell r="P7064">
            <v>0</v>
          </cell>
        </row>
        <row r="7065">
          <cell r="P7065">
            <v>0</v>
          </cell>
        </row>
        <row r="7066">
          <cell r="P7066">
            <v>0</v>
          </cell>
        </row>
        <row r="7067">
          <cell r="P7067">
            <v>0</v>
          </cell>
        </row>
        <row r="7068">
          <cell r="P7068">
            <v>0</v>
          </cell>
        </row>
        <row r="7069">
          <cell r="P7069">
            <v>0</v>
          </cell>
        </row>
        <row r="7070">
          <cell r="P7070">
            <v>0</v>
          </cell>
        </row>
        <row r="7071">
          <cell r="P7071">
            <v>0</v>
          </cell>
        </row>
        <row r="7072">
          <cell r="P7072">
            <v>0</v>
          </cell>
        </row>
        <row r="7073">
          <cell r="P7073">
            <v>0</v>
          </cell>
        </row>
        <row r="7074">
          <cell r="P7074">
            <v>0</v>
          </cell>
        </row>
        <row r="7075">
          <cell r="P7075">
            <v>0</v>
          </cell>
        </row>
        <row r="7076">
          <cell r="P7076">
            <v>0</v>
          </cell>
        </row>
        <row r="7077">
          <cell r="P7077">
            <v>0</v>
          </cell>
        </row>
        <row r="7078">
          <cell r="P7078">
            <v>0</v>
          </cell>
        </row>
        <row r="7079">
          <cell r="P7079">
            <v>0</v>
          </cell>
        </row>
        <row r="7080">
          <cell r="P7080">
            <v>0</v>
          </cell>
        </row>
        <row r="7081">
          <cell r="P7081">
            <v>0</v>
          </cell>
        </row>
        <row r="7082">
          <cell r="P7082">
            <v>0</v>
          </cell>
        </row>
        <row r="7083">
          <cell r="P7083">
            <v>0</v>
          </cell>
        </row>
        <row r="7084">
          <cell r="P7084">
            <v>0</v>
          </cell>
        </row>
        <row r="7085">
          <cell r="P7085">
            <v>0</v>
          </cell>
        </row>
        <row r="7086">
          <cell r="P7086">
            <v>0</v>
          </cell>
        </row>
        <row r="7087">
          <cell r="P7087">
            <v>0</v>
          </cell>
        </row>
        <row r="7088">
          <cell r="P7088">
            <v>0</v>
          </cell>
        </row>
        <row r="7089">
          <cell r="P7089">
            <v>0</v>
          </cell>
        </row>
        <row r="7090">
          <cell r="P7090">
            <v>0</v>
          </cell>
        </row>
        <row r="7091">
          <cell r="P7091">
            <v>0</v>
          </cell>
        </row>
        <row r="7092">
          <cell r="P7092">
            <v>0</v>
          </cell>
        </row>
        <row r="7093">
          <cell r="P7093">
            <v>0</v>
          </cell>
        </row>
        <row r="7094">
          <cell r="P7094">
            <v>0</v>
          </cell>
        </row>
        <row r="7095">
          <cell r="P7095">
            <v>0</v>
          </cell>
        </row>
        <row r="7096">
          <cell r="P7096">
            <v>0</v>
          </cell>
        </row>
        <row r="7097">
          <cell r="P7097">
            <v>0</v>
          </cell>
        </row>
        <row r="7098">
          <cell r="P7098">
            <v>0</v>
          </cell>
        </row>
        <row r="7099">
          <cell r="P7099">
            <v>0</v>
          </cell>
        </row>
        <row r="7100">
          <cell r="P7100">
            <v>0</v>
          </cell>
        </row>
        <row r="7101">
          <cell r="P7101">
            <v>0</v>
          </cell>
        </row>
        <row r="7102">
          <cell r="P7102">
            <v>0</v>
          </cell>
        </row>
        <row r="7103">
          <cell r="P7103">
            <v>0</v>
          </cell>
        </row>
        <row r="7104">
          <cell r="P7104">
            <v>0</v>
          </cell>
        </row>
        <row r="7105">
          <cell r="P7105">
            <v>0</v>
          </cell>
        </row>
        <row r="7106">
          <cell r="P7106">
            <v>0</v>
          </cell>
        </row>
        <row r="7107">
          <cell r="P7107">
            <v>0</v>
          </cell>
        </row>
        <row r="7108">
          <cell r="P7108">
            <v>0</v>
          </cell>
        </row>
        <row r="7109">
          <cell r="P7109">
            <v>0</v>
          </cell>
        </row>
        <row r="7110">
          <cell r="P7110">
            <v>0</v>
          </cell>
        </row>
        <row r="7111">
          <cell r="P7111">
            <v>0</v>
          </cell>
        </row>
        <row r="7112">
          <cell r="P7112">
            <v>0</v>
          </cell>
        </row>
        <row r="7113">
          <cell r="P7113">
            <v>0</v>
          </cell>
        </row>
        <row r="7114">
          <cell r="P7114">
            <v>0</v>
          </cell>
        </row>
        <row r="7115">
          <cell r="P7115">
            <v>0</v>
          </cell>
        </row>
        <row r="7116">
          <cell r="P7116">
            <v>0</v>
          </cell>
        </row>
        <row r="7117">
          <cell r="P7117">
            <v>0</v>
          </cell>
        </row>
        <row r="7118">
          <cell r="P7118">
            <v>0</v>
          </cell>
        </row>
        <row r="7119">
          <cell r="P7119">
            <v>0</v>
          </cell>
        </row>
        <row r="7120">
          <cell r="P7120">
            <v>0</v>
          </cell>
        </row>
        <row r="7121">
          <cell r="P7121">
            <v>0</v>
          </cell>
        </row>
        <row r="7122">
          <cell r="P7122">
            <v>0</v>
          </cell>
        </row>
        <row r="7123">
          <cell r="P7123">
            <v>0</v>
          </cell>
        </row>
        <row r="7124">
          <cell r="P7124">
            <v>0</v>
          </cell>
        </row>
        <row r="7125">
          <cell r="P7125">
            <v>0</v>
          </cell>
        </row>
        <row r="7126">
          <cell r="P7126">
            <v>0</v>
          </cell>
        </row>
        <row r="7127">
          <cell r="P7127">
            <v>0</v>
          </cell>
        </row>
        <row r="7128">
          <cell r="P7128">
            <v>0</v>
          </cell>
        </row>
        <row r="7129">
          <cell r="P7129">
            <v>0</v>
          </cell>
        </row>
        <row r="7130">
          <cell r="P7130">
            <v>0</v>
          </cell>
        </row>
        <row r="7131">
          <cell r="P7131">
            <v>0</v>
          </cell>
        </row>
        <row r="7132">
          <cell r="P7132">
            <v>0</v>
          </cell>
        </row>
        <row r="7133">
          <cell r="P7133">
            <v>0</v>
          </cell>
        </row>
        <row r="7134">
          <cell r="P7134">
            <v>0</v>
          </cell>
        </row>
        <row r="7135">
          <cell r="P7135">
            <v>0</v>
          </cell>
        </row>
        <row r="7136">
          <cell r="P7136">
            <v>0</v>
          </cell>
        </row>
        <row r="7137">
          <cell r="P7137">
            <v>0</v>
          </cell>
        </row>
        <row r="7138">
          <cell r="P7138">
            <v>0</v>
          </cell>
        </row>
        <row r="7139">
          <cell r="P7139">
            <v>0</v>
          </cell>
        </row>
        <row r="7140">
          <cell r="P7140">
            <v>0</v>
          </cell>
        </row>
        <row r="7141">
          <cell r="P7141">
            <v>0</v>
          </cell>
        </row>
        <row r="7142">
          <cell r="P7142">
            <v>0</v>
          </cell>
        </row>
        <row r="7143">
          <cell r="P7143">
            <v>0</v>
          </cell>
        </row>
        <row r="7144">
          <cell r="P7144">
            <v>0</v>
          </cell>
        </row>
        <row r="7145">
          <cell r="P7145">
            <v>0</v>
          </cell>
        </row>
        <row r="7146">
          <cell r="P7146">
            <v>0</v>
          </cell>
        </row>
        <row r="7147">
          <cell r="P7147">
            <v>0</v>
          </cell>
        </row>
        <row r="7148">
          <cell r="P7148">
            <v>0</v>
          </cell>
        </row>
        <row r="7149">
          <cell r="P7149">
            <v>0</v>
          </cell>
        </row>
        <row r="7150">
          <cell r="P7150">
            <v>0</v>
          </cell>
        </row>
        <row r="7151">
          <cell r="P7151">
            <v>0</v>
          </cell>
        </row>
        <row r="7152">
          <cell r="P7152">
            <v>0</v>
          </cell>
        </row>
        <row r="7153">
          <cell r="P7153">
            <v>0</v>
          </cell>
        </row>
        <row r="7154">
          <cell r="P7154">
            <v>0</v>
          </cell>
        </row>
        <row r="7155">
          <cell r="P7155">
            <v>0</v>
          </cell>
        </row>
        <row r="7156">
          <cell r="P7156">
            <v>0</v>
          </cell>
        </row>
        <row r="7157">
          <cell r="P7157">
            <v>0</v>
          </cell>
        </row>
        <row r="7158">
          <cell r="P7158">
            <v>0</v>
          </cell>
        </row>
        <row r="7159">
          <cell r="P7159">
            <v>0</v>
          </cell>
        </row>
        <row r="7160">
          <cell r="P7160">
            <v>0</v>
          </cell>
        </row>
        <row r="7161">
          <cell r="P7161">
            <v>0</v>
          </cell>
        </row>
        <row r="7162">
          <cell r="P7162">
            <v>0</v>
          </cell>
        </row>
        <row r="7163">
          <cell r="P7163">
            <v>0</v>
          </cell>
        </row>
        <row r="7164">
          <cell r="P7164">
            <v>0</v>
          </cell>
        </row>
        <row r="7165">
          <cell r="P7165">
            <v>0</v>
          </cell>
        </row>
        <row r="7166">
          <cell r="P7166">
            <v>0</v>
          </cell>
        </row>
        <row r="7167">
          <cell r="P7167">
            <v>0</v>
          </cell>
        </row>
        <row r="7168">
          <cell r="P7168">
            <v>0</v>
          </cell>
        </row>
        <row r="7169">
          <cell r="P7169">
            <v>0</v>
          </cell>
        </row>
        <row r="7170">
          <cell r="P7170">
            <v>0</v>
          </cell>
        </row>
        <row r="7171">
          <cell r="P7171">
            <v>0</v>
          </cell>
        </row>
        <row r="7172">
          <cell r="P7172">
            <v>0</v>
          </cell>
        </row>
        <row r="7173">
          <cell r="P7173">
            <v>0</v>
          </cell>
        </row>
        <row r="7174">
          <cell r="P7174">
            <v>0</v>
          </cell>
        </row>
        <row r="7175">
          <cell r="P7175">
            <v>0</v>
          </cell>
        </row>
        <row r="7176">
          <cell r="P7176">
            <v>0</v>
          </cell>
        </row>
        <row r="7177">
          <cell r="P7177">
            <v>0</v>
          </cell>
        </row>
        <row r="7178">
          <cell r="P7178">
            <v>0</v>
          </cell>
        </row>
        <row r="7179">
          <cell r="P7179">
            <v>0</v>
          </cell>
        </row>
        <row r="7180">
          <cell r="P7180">
            <v>0</v>
          </cell>
        </row>
        <row r="7181">
          <cell r="P7181">
            <v>0</v>
          </cell>
        </row>
        <row r="7182">
          <cell r="P7182">
            <v>0</v>
          </cell>
        </row>
        <row r="7183">
          <cell r="P7183">
            <v>0</v>
          </cell>
        </row>
        <row r="7184">
          <cell r="P7184">
            <v>0</v>
          </cell>
        </row>
        <row r="7185">
          <cell r="P7185">
            <v>0</v>
          </cell>
        </row>
        <row r="7186">
          <cell r="P7186">
            <v>0</v>
          </cell>
        </row>
        <row r="7187">
          <cell r="P7187">
            <v>0</v>
          </cell>
        </row>
        <row r="7188">
          <cell r="P7188">
            <v>0</v>
          </cell>
        </row>
        <row r="7189">
          <cell r="P7189">
            <v>0</v>
          </cell>
        </row>
        <row r="7190">
          <cell r="P7190">
            <v>0</v>
          </cell>
        </row>
        <row r="7191">
          <cell r="P7191">
            <v>0</v>
          </cell>
        </row>
        <row r="7192">
          <cell r="P7192">
            <v>0</v>
          </cell>
        </row>
        <row r="7193">
          <cell r="P7193">
            <v>0</v>
          </cell>
        </row>
        <row r="7194">
          <cell r="P7194">
            <v>0</v>
          </cell>
        </row>
        <row r="7195">
          <cell r="P7195">
            <v>0</v>
          </cell>
        </row>
        <row r="7196">
          <cell r="P7196">
            <v>0</v>
          </cell>
        </row>
        <row r="7197">
          <cell r="P7197">
            <v>0</v>
          </cell>
        </row>
        <row r="7198">
          <cell r="P7198">
            <v>0</v>
          </cell>
        </row>
        <row r="7199">
          <cell r="P7199">
            <v>0</v>
          </cell>
        </row>
        <row r="7200">
          <cell r="P7200">
            <v>0</v>
          </cell>
        </row>
        <row r="7201">
          <cell r="P7201">
            <v>0</v>
          </cell>
        </row>
        <row r="7202">
          <cell r="P7202">
            <v>0</v>
          </cell>
        </row>
        <row r="7203">
          <cell r="P7203">
            <v>0</v>
          </cell>
        </row>
        <row r="7204">
          <cell r="P7204">
            <v>0</v>
          </cell>
        </row>
        <row r="7205">
          <cell r="P7205">
            <v>0</v>
          </cell>
        </row>
        <row r="7206">
          <cell r="P7206">
            <v>0</v>
          </cell>
        </row>
        <row r="7207">
          <cell r="P7207">
            <v>0</v>
          </cell>
        </row>
        <row r="7208">
          <cell r="P7208">
            <v>0</v>
          </cell>
        </row>
        <row r="7209">
          <cell r="P7209">
            <v>0</v>
          </cell>
        </row>
        <row r="7210">
          <cell r="P7210">
            <v>0</v>
          </cell>
        </row>
        <row r="7211">
          <cell r="P7211">
            <v>0</v>
          </cell>
        </row>
        <row r="7212">
          <cell r="P7212">
            <v>0</v>
          </cell>
        </row>
        <row r="7213">
          <cell r="P7213">
            <v>0</v>
          </cell>
        </row>
        <row r="7214">
          <cell r="P7214">
            <v>0</v>
          </cell>
        </row>
        <row r="7215">
          <cell r="P7215">
            <v>0</v>
          </cell>
        </row>
        <row r="7216">
          <cell r="P7216">
            <v>0</v>
          </cell>
        </row>
        <row r="7217">
          <cell r="P7217">
            <v>0</v>
          </cell>
        </row>
        <row r="7218">
          <cell r="P7218">
            <v>0</v>
          </cell>
        </row>
        <row r="7219">
          <cell r="P7219">
            <v>0</v>
          </cell>
        </row>
        <row r="7220">
          <cell r="P7220">
            <v>0</v>
          </cell>
        </row>
        <row r="7221">
          <cell r="P7221">
            <v>0</v>
          </cell>
        </row>
        <row r="7222">
          <cell r="P7222">
            <v>0</v>
          </cell>
        </row>
        <row r="7223">
          <cell r="P7223">
            <v>0</v>
          </cell>
        </row>
        <row r="7224">
          <cell r="P7224">
            <v>0</v>
          </cell>
        </row>
        <row r="7225">
          <cell r="P7225">
            <v>0</v>
          </cell>
        </row>
        <row r="7226">
          <cell r="P7226">
            <v>0</v>
          </cell>
        </row>
        <row r="7227">
          <cell r="P7227">
            <v>0</v>
          </cell>
        </row>
        <row r="7228">
          <cell r="P7228">
            <v>0</v>
          </cell>
        </row>
        <row r="7229">
          <cell r="P7229">
            <v>0</v>
          </cell>
        </row>
        <row r="7230">
          <cell r="P7230">
            <v>0</v>
          </cell>
        </row>
        <row r="7231">
          <cell r="P7231">
            <v>0</v>
          </cell>
        </row>
        <row r="7232">
          <cell r="P7232">
            <v>0</v>
          </cell>
        </row>
        <row r="7233">
          <cell r="P7233">
            <v>0</v>
          </cell>
        </row>
        <row r="7234">
          <cell r="P7234">
            <v>0</v>
          </cell>
        </row>
        <row r="7235">
          <cell r="P7235">
            <v>0</v>
          </cell>
        </row>
        <row r="7236">
          <cell r="P7236">
            <v>0</v>
          </cell>
        </row>
        <row r="7237">
          <cell r="P7237">
            <v>0</v>
          </cell>
        </row>
        <row r="7238">
          <cell r="P7238">
            <v>0</v>
          </cell>
        </row>
        <row r="7239">
          <cell r="P7239">
            <v>0</v>
          </cell>
        </row>
        <row r="7240">
          <cell r="P7240">
            <v>0</v>
          </cell>
        </row>
        <row r="7241">
          <cell r="P7241">
            <v>0</v>
          </cell>
        </row>
        <row r="7242">
          <cell r="P7242">
            <v>0</v>
          </cell>
        </row>
        <row r="7243">
          <cell r="P7243">
            <v>0</v>
          </cell>
        </row>
        <row r="7244">
          <cell r="P7244">
            <v>0</v>
          </cell>
        </row>
        <row r="7245">
          <cell r="P7245">
            <v>0</v>
          </cell>
        </row>
        <row r="7246">
          <cell r="P7246">
            <v>0</v>
          </cell>
        </row>
        <row r="7247">
          <cell r="P7247">
            <v>0</v>
          </cell>
        </row>
        <row r="7248">
          <cell r="P7248">
            <v>0</v>
          </cell>
        </row>
        <row r="7249">
          <cell r="P7249">
            <v>0</v>
          </cell>
        </row>
        <row r="7250">
          <cell r="P7250">
            <v>0</v>
          </cell>
        </row>
        <row r="7251">
          <cell r="P7251">
            <v>0</v>
          </cell>
        </row>
        <row r="7252">
          <cell r="P7252">
            <v>0</v>
          </cell>
        </row>
        <row r="7253">
          <cell r="P7253">
            <v>0</v>
          </cell>
        </row>
        <row r="7254">
          <cell r="P7254">
            <v>0</v>
          </cell>
        </row>
        <row r="7255">
          <cell r="P7255">
            <v>0</v>
          </cell>
        </row>
        <row r="7256">
          <cell r="P7256">
            <v>0</v>
          </cell>
        </row>
        <row r="7257">
          <cell r="P7257">
            <v>0</v>
          </cell>
        </row>
        <row r="7258">
          <cell r="P7258">
            <v>0</v>
          </cell>
        </row>
        <row r="7259">
          <cell r="P7259">
            <v>0</v>
          </cell>
        </row>
        <row r="7260">
          <cell r="P7260">
            <v>0</v>
          </cell>
        </row>
        <row r="7261">
          <cell r="P7261">
            <v>0</v>
          </cell>
        </row>
        <row r="7262">
          <cell r="P7262">
            <v>0</v>
          </cell>
        </row>
        <row r="7263">
          <cell r="P7263">
            <v>0</v>
          </cell>
        </row>
        <row r="7264">
          <cell r="P7264">
            <v>0</v>
          </cell>
        </row>
        <row r="7265">
          <cell r="P7265">
            <v>0</v>
          </cell>
        </row>
        <row r="7266">
          <cell r="P7266">
            <v>0</v>
          </cell>
        </row>
        <row r="7267">
          <cell r="P7267">
            <v>0</v>
          </cell>
        </row>
        <row r="7268">
          <cell r="P7268">
            <v>0</v>
          </cell>
        </row>
        <row r="7269">
          <cell r="P7269">
            <v>0</v>
          </cell>
        </row>
        <row r="7270">
          <cell r="P7270">
            <v>0</v>
          </cell>
        </row>
        <row r="7271">
          <cell r="P7271">
            <v>0</v>
          </cell>
        </row>
        <row r="7272">
          <cell r="P7272">
            <v>0</v>
          </cell>
        </row>
        <row r="7273">
          <cell r="P7273">
            <v>0</v>
          </cell>
        </row>
        <row r="7274">
          <cell r="P7274">
            <v>0</v>
          </cell>
        </row>
        <row r="7275">
          <cell r="P7275">
            <v>0</v>
          </cell>
        </row>
        <row r="7276">
          <cell r="P7276">
            <v>0</v>
          </cell>
        </row>
        <row r="7277">
          <cell r="P7277">
            <v>0</v>
          </cell>
        </row>
        <row r="7278">
          <cell r="P7278">
            <v>0</v>
          </cell>
        </row>
        <row r="7279">
          <cell r="P7279">
            <v>0</v>
          </cell>
        </row>
        <row r="7280">
          <cell r="P7280">
            <v>0</v>
          </cell>
        </row>
        <row r="7281">
          <cell r="P7281">
            <v>0</v>
          </cell>
        </row>
        <row r="7282">
          <cell r="P7282">
            <v>0</v>
          </cell>
        </row>
        <row r="7283">
          <cell r="P7283">
            <v>0</v>
          </cell>
        </row>
        <row r="7284">
          <cell r="P7284">
            <v>0</v>
          </cell>
        </row>
        <row r="7285">
          <cell r="P7285">
            <v>0</v>
          </cell>
        </row>
        <row r="7286">
          <cell r="P7286">
            <v>0</v>
          </cell>
        </row>
        <row r="7287">
          <cell r="P7287">
            <v>0</v>
          </cell>
        </row>
        <row r="7288">
          <cell r="P7288">
            <v>0</v>
          </cell>
        </row>
        <row r="7289">
          <cell r="P7289">
            <v>0</v>
          </cell>
        </row>
        <row r="7290">
          <cell r="P7290">
            <v>0</v>
          </cell>
        </row>
        <row r="7291">
          <cell r="P7291">
            <v>0</v>
          </cell>
        </row>
        <row r="7292">
          <cell r="P7292">
            <v>0</v>
          </cell>
        </row>
        <row r="7293">
          <cell r="P7293">
            <v>0</v>
          </cell>
        </row>
        <row r="7294">
          <cell r="P7294">
            <v>0</v>
          </cell>
        </row>
        <row r="7295">
          <cell r="P7295">
            <v>0</v>
          </cell>
        </row>
        <row r="7296">
          <cell r="P7296">
            <v>0</v>
          </cell>
        </row>
        <row r="7297">
          <cell r="P7297">
            <v>0</v>
          </cell>
        </row>
        <row r="7298">
          <cell r="P7298">
            <v>0</v>
          </cell>
        </row>
        <row r="7299">
          <cell r="P7299">
            <v>0</v>
          </cell>
        </row>
        <row r="7300">
          <cell r="P7300">
            <v>0</v>
          </cell>
        </row>
        <row r="7301">
          <cell r="P7301">
            <v>0</v>
          </cell>
        </row>
        <row r="7302">
          <cell r="P7302">
            <v>0</v>
          </cell>
        </row>
        <row r="7303">
          <cell r="P7303">
            <v>0</v>
          </cell>
        </row>
        <row r="7304">
          <cell r="P7304">
            <v>0</v>
          </cell>
        </row>
        <row r="7305">
          <cell r="P7305">
            <v>0</v>
          </cell>
        </row>
        <row r="7306">
          <cell r="P7306">
            <v>0</v>
          </cell>
        </row>
        <row r="7307">
          <cell r="P7307">
            <v>0</v>
          </cell>
        </row>
        <row r="7308">
          <cell r="P7308">
            <v>0</v>
          </cell>
        </row>
        <row r="7309">
          <cell r="P7309">
            <v>0</v>
          </cell>
        </row>
        <row r="7310">
          <cell r="P7310">
            <v>0</v>
          </cell>
        </row>
        <row r="7311">
          <cell r="P7311">
            <v>0</v>
          </cell>
        </row>
        <row r="7312">
          <cell r="P7312">
            <v>0</v>
          </cell>
        </row>
        <row r="7313">
          <cell r="P7313">
            <v>0</v>
          </cell>
        </row>
        <row r="7314">
          <cell r="P7314">
            <v>0</v>
          </cell>
        </row>
        <row r="7315">
          <cell r="P7315">
            <v>0</v>
          </cell>
        </row>
        <row r="7316">
          <cell r="P7316">
            <v>0</v>
          </cell>
        </row>
        <row r="7317">
          <cell r="P7317">
            <v>0</v>
          </cell>
        </row>
        <row r="7318">
          <cell r="P7318">
            <v>0</v>
          </cell>
        </row>
        <row r="7319">
          <cell r="P7319">
            <v>0</v>
          </cell>
        </row>
        <row r="7320">
          <cell r="P7320">
            <v>0</v>
          </cell>
        </row>
        <row r="7321">
          <cell r="P7321">
            <v>0</v>
          </cell>
        </row>
        <row r="7322">
          <cell r="P7322">
            <v>0</v>
          </cell>
        </row>
        <row r="7323">
          <cell r="P7323">
            <v>0</v>
          </cell>
        </row>
        <row r="7324">
          <cell r="P7324">
            <v>0</v>
          </cell>
        </row>
        <row r="7325">
          <cell r="P7325">
            <v>0</v>
          </cell>
        </row>
        <row r="7326">
          <cell r="P7326">
            <v>0</v>
          </cell>
        </row>
        <row r="7327">
          <cell r="P7327">
            <v>0</v>
          </cell>
        </row>
        <row r="7328">
          <cell r="P7328">
            <v>0</v>
          </cell>
        </row>
        <row r="7329">
          <cell r="P7329">
            <v>0</v>
          </cell>
        </row>
        <row r="7330">
          <cell r="P7330">
            <v>0</v>
          </cell>
        </row>
        <row r="7331">
          <cell r="P7331">
            <v>0</v>
          </cell>
        </row>
        <row r="7332">
          <cell r="P7332">
            <v>0</v>
          </cell>
        </row>
        <row r="7333">
          <cell r="P7333">
            <v>0</v>
          </cell>
        </row>
        <row r="7334">
          <cell r="P7334">
            <v>0</v>
          </cell>
        </row>
        <row r="7335">
          <cell r="P7335">
            <v>0</v>
          </cell>
        </row>
        <row r="7336">
          <cell r="P7336">
            <v>0</v>
          </cell>
        </row>
        <row r="7337">
          <cell r="P7337">
            <v>0</v>
          </cell>
        </row>
        <row r="7338">
          <cell r="P7338">
            <v>0</v>
          </cell>
        </row>
        <row r="7339">
          <cell r="P7339">
            <v>0</v>
          </cell>
        </row>
        <row r="7340">
          <cell r="P7340">
            <v>0</v>
          </cell>
        </row>
        <row r="7341">
          <cell r="P7341">
            <v>0</v>
          </cell>
        </row>
        <row r="7342">
          <cell r="P7342">
            <v>0</v>
          </cell>
        </row>
        <row r="7343">
          <cell r="P7343">
            <v>0</v>
          </cell>
        </row>
        <row r="7344">
          <cell r="P7344">
            <v>0</v>
          </cell>
        </row>
        <row r="7345">
          <cell r="P7345">
            <v>0</v>
          </cell>
        </row>
        <row r="7346">
          <cell r="P7346">
            <v>0</v>
          </cell>
        </row>
        <row r="7347">
          <cell r="P7347">
            <v>0</v>
          </cell>
        </row>
        <row r="7348">
          <cell r="P7348">
            <v>0</v>
          </cell>
        </row>
        <row r="7349">
          <cell r="P7349">
            <v>0</v>
          </cell>
        </row>
        <row r="7350">
          <cell r="P7350">
            <v>0</v>
          </cell>
        </row>
        <row r="7351">
          <cell r="P7351">
            <v>0</v>
          </cell>
        </row>
        <row r="7352">
          <cell r="P7352">
            <v>0</v>
          </cell>
        </row>
        <row r="7353">
          <cell r="P7353">
            <v>0</v>
          </cell>
        </row>
        <row r="7354">
          <cell r="P7354">
            <v>0</v>
          </cell>
        </row>
        <row r="7355">
          <cell r="P7355">
            <v>0</v>
          </cell>
        </row>
        <row r="7356">
          <cell r="P7356">
            <v>0</v>
          </cell>
        </row>
        <row r="7357">
          <cell r="P7357">
            <v>0</v>
          </cell>
        </row>
        <row r="7358">
          <cell r="P7358">
            <v>0</v>
          </cell>
        </row>
        <row r="7359">
          <cell r="P7359">
            <v>0</v>
          </cell>
        </row>
        <row r="7360">
          <cell r="P7360">
            <v>0</v>
          </cell>
        </row>
        <row r="7361">
          <cell r="P7361">
            <v>0</v>
          </cell>
        </row>
        <row r="7362">
          <cell r="P7362">
            <v>0</v>
          </cell>
        </row>
        <row r="7363">
          <cell r="P7363">
            <v>0</v>
          </cell>
        </row>
        <row r="7364">
          <cell r="P7364">
            <v>0</v>
          </cell>
        </row>
        <row r="7365">
          <cell r="P7365">
            <v>0</v>
          </cell>
        </row>
        <row r="7366">
          <cell r="P7366">
            <v>0</v>
          </cell>
        </row>
        <row r="7367">
          <cell r="P7367">
            <v>0</v>
          </cell>
        </row>
        <row r="7368">
          <cell r="P7368">
            <v>0</v>
          </cell>
        </row>
        <row r="7369">
          <cell r="P7369">
            <v>0</v>
          </cell>
        </row>
        <row r="7370">
          <cell r="P7370">
            <v>0</v>
          </cell>
        </row>
        <row r="7371">
          <cell r="P7371">
            <v>0</v>
          </cell>
        </row>
        <row r="7372">
          <cell r="P7372">
            <v>0</v>
          </cell>
        </row>
        <row r="7373">
          <cell r="P7373">
            <v>0</v>
          </cell>
        </row>
        <row r="7374">
          <cell r="P7374">
            <v>0</v>
          </cell>
        </row>
        <row r="7375">
          <cell r="P7375">
            <v>0</v>
          </cell>
        </row>
        <row r="7376">
          <cell r="P7376">
            <v>0</v>
          </cell>
        </row>
        <row r="7377">
          <cell r="P7377">
            <v>0</v>
          </cell>
        </row>
        <row r="7378">
          <cell r="P7378">
            <v>0</v>
          </cell>
        </row>
        <row r="7379">
          <cell r="P7379">
            <v>0</v>
          </cell>
        </row>
        <row r="7380">
          <cell r="P7380">
            <v>0</v>
          </cell>
        </row>
        <row r="7381">
          <cell r="P7381">
            <v>0</v>
          </cell>
        </row>
        <row r="7382">
          <cell r="P7382">
            <v>0</v>
          </cell>
        </row>
        <row r="7383">
          <cell r="P7383">
            <v>0</v>
          </cell>
        </row>
        <row r="7384">
          <cell r="P7384">
            <v>0</v>
          </cell>
        </row>
        <row r="7385">
          <cell r="P7385">
            <v>0</v>
          </cell>
        </row>
        <row r="7386">
          <cell r="P7386">
            <v>0</v>
          </cell>
        </row>
        <row r="7387">
          <cell r="P7387">
            <v>0</v>
          </cell>
        </row>
        <row r="7388">
          <cell r="P7388">
            <v>0</v>
          </cell>
        </row>
        <row r="7389">
          <cell r="P7389">
            <v>0</v>
          </cell>
        </row>
        <row r="7390">
          <cell r="P7390">
            <v>0</v>
          </cell>
        </row>
        <row r="7391">
          <cell r="P7391">
            <v>0</v>
          </cell>
        </row>
        <row r="7392">
          <cell r="P7392">
            <v>0</v>
          </cell>
        </row>
        <row r="7393">
          <cell r="P7393">
            <v>0</v>
          </cell>
        </row>
        <row r="7394">
          <cell r="P7394">
            <v>0</v>
          </cell>
        </row>
        <row r="7395">
          <cell r="P7395">
            <v>0</v>
          </cell>
        </row>
        <row r="7396">
          <cell r="P7396">
            <v>0</v>
          </cell>
        </row>
        <row r="7397">
          <cell r="P7397">
            <v>0</v>
          </cell>
        </row>
        <row r="7398">
          <cell r="P7398">
            <v>0</v>
          </cell>
        </row>
        <row r="7399">
          <cell r="P7399">
            <v>0</v>
          </cell>
        </row>
        <row r="7400">
          <cell r="P7400">
            <v>0</v>
          </cell>
        </row>
        <row r="7401">
          <cell r="P7401">
            <v>0</v>
          </cell>
        </row>
        <row r="7402">
          <cell r="P7402">
            <v>0</v>
          </cell>
        </row>
        <row r="7403">
          <cell r="P7403">
            <v>0</v>
          </cell>
        </row>
        <row r="7404">
          <cell r="P7404">
            <v>0</v>
          </cell>
        </row>
        <row r="7405">
          <cell r="P7405">
            <v>0</v>
          </cell>
        </row>
        <row r="7406">
          <cell r="P7406">
            <v>0</v>
          </cell>
        </row>
        <row r="7407">
          <cell r="P7407">
            <v>0</v>
          </cell>
        </row>
        <row r="7408">
          <cell r="P7408">
            <v>0</v>
          </cell>
        </row>
        <row r="7409">
          <cell r="P7409">
            <v>0</v>
          </cell>
        </row>
        <row r="7410">
          <cell r="P7410">
            <v>0</v>
          </cell>
        </row>
        <row r="7411">
          <cell r="P7411">
            <v>0</v>
          </cell>
        </row>
        <row r="7412">
          <cell r="P7412">
            <v>0</v>
          </cell>
        </row>
        <row r="7413">
          <cell r="P7413">
            <v>0</v>
          </cell>
        </row>
        <row r="7414">
          <cell r="P7414">
            <v>0</v>
          </cell>
        </row>
        <row r="7415">
          <cell r="P7415">
            <v>0</v>
          </cell>
        </row>
        <row r="7416">
          <cell r="P7416">
            <v>0</v>
          </cell>
        </row>
        <row r="7417">
          <cell r="P7417">
            <v>0</v>
          </cell>
        </row>
        <row r="7418">
          <cell r="P7418">
            <v>0</v>
          </cell>
        </row>
        <row r="7419">
          <cell r="P7419">
            <v>0</v>
          </cell>
        </row>
        <row r="7420">
          <cell r="P7420">
            <v>0</v>
          </cell>
        </row>
        <row r="7421">
          <cell r="P7421">
            <v>0</v>
          </cell>
        </row>
        <row r="7422">
          <cell r="P7422">
            <v>0</v>
          </cell>
        </row>
        <row r="7423">
          <cell r="P7423">
            <v>0</v>
          </cell>
        </row>
        <row r="7424">
          <cell r="P7424">
            <v>0</v>
          </cell>
        </row>
        <row r="7425">
          <cell r="P7425">
            <v>0</v>
          </cell>
        </row>
        <row r="7426">
          <cell r="P7426">
            <v>0</v>
          </cell>
        </row>
        <row r="7427">
          <cell r="P7427">
            <v>0</v>
          </cell>
        </row>
        <row r="7428">
          <cell r="P7428">
            <v>0</v>
          </cell>
        </row>
        <row r="7429">
          <cell r="P7429">
            <v>0</v>
          </cell>
        </row>
        <row r="7430">
          <cell r="P7430">
            <v>0</v>
          </cell>
        </row>
        <row r="7431">
          <cell r="P7431">
            <v>0</v>
          </cell>
        </row>
        <row r="7432">
          <cell r="P7432">
            <v>0</v>
          </cell>
        </row>
        <row r="7433">
          <cell r="P7433">
            <v>0</v>
          </cell>
        </row>
        <row r="7434">
          <cell r="P7434">
            <v>0</v>
          </cell>
        </row>
        <row r="7435">
          <cell r="P7435">
            <v>0</v>
          </cell>
        </row>
        <row r="7436">
          <cell r="P7436">
            <v>0</v>
          </cell>
        </row>
        <row r="7437">
          <cell r="P7437">
            <v>0</v>
          </cell>
        </row>
        <row r="7438">
          <cell r="P7438">
            <v>0</v>
          </cell>
        </row>
        <row r="7439">
          <cell r="P7439">
            <v>0</v>
          </cell>
        </row>
        <row r="7440">
          <cell r="P7440">
            <v>0</v>
          </cell>
        </row>
        <row r="7441">
          <cell r="P7441">
            <v>0</v>
          </cell>
        </row>
        <row r="7442">
          <cell r="P7442">
            <v>0</v>
          </cell>
        </row>
        <row r="7443">
          <cell r="P7443">
            <v>0</v>
          </cell>
        </row>
        <row r="7444">
          <cell r="P7444">
            <v>0</v>
          </cell>
        </row>
        <row r="7445">
          <cell r="P7445">
            <v>0</v>
          </cell>
        </row>
        <row r="7446">
          <cell r="P7446">
            <v>0</v>
          </cell>
        </row>
        <row r="7447">
          <cell r="P7447">
            <v>0</v>
          </cell>
        </row>
        <row r="7448">
          <cell r="P7448">
            <v>0</v>
          </cell>
        </row>
        <row r="7449">
          <cell r="P7449">
            <v>0</v>
          </cell>
        </row>
        <row r="7450">
          <cell r="P7450">
            <v>0</v>
          </cell>
        </row>
        <row r="7451">
          <cell r="P7451">
            <v>0</v>
          </cell>
        </row>
        <row r="7452">
          <cell r="P7452">
            <v>0</v>
          </cell>
        </row>
        <row r="7453">
          <cell r="P7453">
            <v>0</v>
          </cell>
        </row>
        <row r="7454">
          <cell r="P7454">
            <v>0</v>
          </cell>
        </row>
        <row r="7455">
          <cell r="P7455">
            <v>0</v>
          </cell>
        </row>
        <row r="7456">
          <cell r="P7456">
            <v>0</v>
          </cell>
        </row>
        <row r="7457">
          <cell r="P7457">
            <v>0</v>
          </cell>
        </row>
        <row r="7458">
          <cell r="P7458">
            <v>0</v>
          </cell>
        </row>
        <row r="7459">
          <cell r="P7459">
            <v>0</v>
          </cell>
        </row>
        <row r="7460">
          <cell r="P7460">
            <v>0</v>
          </cell>
        </row>
        <row r="7461">
          <cell r="P7461">
            <v>0</v>
          </cell>
        </row>
        <row r="7462">
          <cell r="P7462">
            <v>0</v>
          </cell>
        </row>
        <row r="7463">
          <cell r="P7463">
            <v>0</v>
          </cell>
        </row>
        <row r="7464">
          <cell r="P7464">
            <v>0</v>
          </cell>
        </row>
        <row r="7465">
          <cell r="P7465">
            <v>0</v>
          </cell>
        </row>
        <row r="7466">
          <cell r="P7466">
            <v>0</v>
          </cell>
        </row>
        <row r="7467">
          <cell r="P7467">
            <v>0</v>
          </cell>
        </row>
        <row r="7468">
          <cell r="P7468">
            <v>0</v>
          </cell>
        </row>
        <row r="7469">
          <cell r="P7469">
            <v>0</v>
          </cell>
        </row>
        <row r="7470">
          <cell r="P7470">
            <v>0</v>
          </cell>
        </row>
        <row r="7471">
          <cell r="P7471">
            <v>0</v>
          </cell>
        </row>
        <row r="7472">
          <cell r="P7472">
            <v>0</v>
          </cell>
        </row>
        <row r="7473">
          <cell r="P7473">
            <v>0</v>
          </cell>
        </row>
        <row r="7474">
          <cell r="P7474">
            <v>0</v>
          </cell>
        </row>
        <row r="7475">
          <cell r="P7475">
            <v>0</v>
          </cell>
        </row>
        <row r="7476">
          <cell r="P7476">
            <v>0</v>
          </cell>
        </row>
        <row r="7477">
          <cell r="P7477">
            <v>0</v>
          </cell>
        </row>
        <row r="7478">
          <cell r="P7478">
            <v>0</v>
          </cell>
        </row>
        <row r="7479">
          <cell r="P7479">
            <v>0</v>
          </cell>
        </row>
        <row r="7480">
          <cell r="P7480">
            <v>0</v>
          </cell>
        </row>
        <row r="7481">
          <cell r="P7481">
            <v>0</v>
          </cell>
        </row>
        <row r="7482">
          <cell r="P7482">
            <v>0</v>
          </cell>
        </row>
        <row r="7483">
          <cell r="P7483">
            <v>0</v>
          </cell>
        </row>
        <row r="7484">
          <cell r="P7484">
            <v>0</v>
          </cell>
        </row>
        <row r="7485">
          <cell r="P7485">
            <v>0</v>
          </cell>
        </row>
        <row r="7486">
          <cell r="P7486">
            <v>0</v>
          </cell>
        </row>
        <row r="7487">
          <cell r="P7487">
            <v>0</v>
          </cell>
        </row>
        <row r="7488">
          <cell r="P7488">
            <v>0</v>
          </cell>
        </row>
        <row r="7489">
          <cell r="P7489">
            <v>0</v>
          </cell>
        </row>
        <row r="7490">
          <cell r="P7490">
            <v>0</v>
          </cell>
        </row>
        <row r="7491">
          <cell r="P7491">
            <v>0</v>
          </cell>
        </row>
        <row r="7492">
          <cell r="P7492">
            <v>0</v>
          </cell>
        </row>
        <row r="7493">
          <cell r="P7493">
            <v>0</v>
          </cell>
        </row>
        <row r="7494">
          <cell r="P7494">
            <v>0</v>
          </cell>
        </row>
        <row r="7495">
          <cell r="P7495">
            <v>0</v>
          </cell>
        </row>
        <row r="7496">
          <cell r="P7496">
            <v>0</v>
          </cell>
        </row>
        <row r="7497">
          <cell r="P7497">
            <v>0</v>
          </cell>
        </row>
        <row r="7498">
          <cell r="P7498">
            <v>0</v>
          </cell>
        </row>
        <row r="7499">
          <cell r="P7499">
            <v>0</v>
          </cell>
        </row>
        <row r="7500">
          <cell r="P7500">
            <v>0</v>
          </cell>
        </row>
        <row r="7501">
          <cell r="P7501">
            <v>0</v>
          </cell>
        </row>
        <row r="7502">
          <cell r="P7502">
            <v>0</v>
          </cell>
        </row>
        <row r="7503">
          <cell r="P7503">
            <v>0</v>
          </cell>
        </row>
        <row r="7504">
          <cell r="P7504">
            <v>0</v>
          </cell>
        </row>
        <row r="7505">
          <cell r="P7505">
            <v>0</v>
          </cell>
        </row>
        <row r="7506">
          <cell r="P7506">
            <v>0</v>
          </cell>
        </row>
        <row r="7507">
          <cell r="P7507">
            <v>0</v>
          </cell>
        </row>
        <row r="7508">
          <cell r="P7508">
            <v>0</v>
          </cell>
        </row>
        <row r="7509">
          <cell r="P7509">
            <v>0</v>
          </cell>
        </row>
        <row r="7510">
          <cell r="P7510">
            <v>0</v>
          </cell>
        </row>
        <row r="7511">
          <cell r="P7511">
            <v>0</v>
          </cell>
        </row>
        <row r="7512">
          <cell r="P7512">
            <v>0</v>
          </cell>
        </row>
        <row r="7513">
          <cell r="P7513">
            <v>0</v>
          </cell>
        </row>
        <row r="7514">
          <cell r="P7514">
            <v>0</v>
          </cell>
        </row>
        <row r="7515">
          <cell r="P7515">
            <v>0</v>
          </cell>
        </row>
        <row r="7516">
          <cell r="P7516">
            <v>0</v>
          </cell>
        </row>
        <row r="7517">
          <cell r="P7517">
            <v>0</v>
          </cell>
        </row>
        <row r="7518">
          <cell r="P7518">
            <v>0</v>
          </cell>
        </row>
        <row r="7519">
          <cell r="P7519">
            <v>0</v>
          </cell>
        </row>
        <row r="7520">
          <cell r="P7520">
            <v>0</v>
          </cell>
        </row>
        <row r="7521">
          <cell r="P7521">
            <v>0</v>
          </cell>
        </row>
        <row r="7522">
          <cell r="P7522">
            <v>0</v>
          </cell>
        </row>
        <row r="7523">
          <cell r="P7523">
            <v>0</v>
          </cell>
        </row>
        <row r="7524">
          <cell r="P7524">
            <v>0</v>
          </cell>
        </row>
        <row r="7525">
          <cell r="P7525">
            <v>0</v>
          </cell>
        </row>
        <row r="7526">
          <cell r="P7526">
            <v>0</v>
          </cell>
        </row>
        <row r="7527">
          <cell r="P7527">
            <v>0</v>
          </cell>
        </row>
        <row r="7528">
          <cell r="P7528">
            <v>0</v>
          </cell>
        </row>
        <row r="7529">
          <cell r="P7529">
            <v>0</v>
          </cell>
        </row>
        <row r="7530">
          <cell r="P7530">
            <v>0</v>
          </cell>
        </row>
        <row r="7531">
          <cell r="P7531">
            <v>0</v>
          </cell>
        </row>
        <row r="7532">
          <cell r="P7532">
            <v>0</v>
          </cell>
        </row>
        <row r="7533">
          <cell r="P7533">
            <v>0</v>
          </cell>
        </row>
        <row r="7534">
          <cell r="P7534">
            <v>0</v>
          </cell>
        </row>
        <row r="7535">
          <cell r="P7535">
            <v>0</v>
          </cell>
        </row>
        <row r="7536">
          <cell r="P7536">
            <v>0</v>
          </cell>
        </row>
        <row r="7537">
          <cell r="P7537">
            <v>0</v>
          </cell>
        </row>
        <row r="7538">
          <cell r="P7538">
            <v>0</v>
          </cell>
        </row>
        <row r="7539">
          <cell r="P7539">
            <v>0</v>
          </cell>
        </row>
        <row r="7540">
          <cell r="P7540">
            <v>0</v>
          </cell>
        </row>
        <row r="7541">
          <cell r="P7541">
            <v>0</v>
          </cell>
        </row>
        <row r="7542">
          <cell r="P7542">
            <v>0</v>
          </cell>
        </row>
        <row r="7543">
          <cell r="P7543">
            <v>0</v>
          </cell>
        </row>
        <row r="7544">
          <cell r="P7544">
            <v>0</v>
          </cell>
        </row>
        <row r="7545">
          <cell r="P7545">
            <v>0</v>
          </cell>
        </row>
        <row r="7546">
          <cell r="P7546">
            <v>0</v>
          </cell>
        </row>
        <row r="7547">
          <cell r="P7547">
            <v>0</v>
          </cell>
        </row>
        <row r="7548">
          <cell r="P7548">
            <v>0</v>
          </cell>
        </row>
        <row r="7549">
          <cell r="P7549">
            <v>0</v>
          </cell>
        </row>
        <row r="7550">
          <cell r="P7550">
            <v>0</v>
          </cell>
        </row>
        <row r="7551">
          <cell r="P7551">
            <v>0</v>
          </cell>
        </row>
        <row r="7552">
          <cell r="P7552">
            <v>0</v>
          </cell>
        </row>
        <row r="7553">
          <cell r="P7553">
            <v>0</v>
          </cell>
        </row>
        <row r="7554">
          <cell r="P7554">
            <v>0</v>
          </cell>
        </row>
        <row r="7555">
          <cell r="P7555">
            <v>0</v>
          </cell>
        </row>
        <row r="7556">
          <cell r="P7556">
            <v>0</v>
          </cell>
        </row>
        <row r="7557">
          <cell r="P7557">
            <v>0</v>
          </cell>
        </row>
        <row r="7558">
          <cell r="P7558">
            <v>0</v>
          </cell>
        </row>
        <row r="7559">
          <cell r="P7559">
            <v>0</v>
          </cell>
        </row>
        <row r="7560">
          <cell r="P7560">
            <v>0</v>
          </cell>
        </row>
        <row r="7561">
          <cell r="P7561">
            <v>0</v>
          </cell>
        </row>
        <row r="7562">
          <cell r="P7562">
            <v>0</v>
          </cell>
        </row>
        <row r="7563">
          <cell r="P7563">
            <v>0</v>
          </cell>
        </row>
        <row r="7564">
          <cell r="P7564">
            <v>0</v>
          </cell>
        </row>
        <row r="7565">
          <cell r="P7565">
            <v>0</v>
          </cell>
        </row>
        <row r="7566">
          <cell r="P7566">
            <v>0</v>
          </cell>
        </row>
        <row r="7567">
          <cell r="P7567">
            <v>0</v>
          </cell>
        </row>
        <row r="7568">
          <cell r="P7568">
            <v>0</v>
          </cell>
        </row>
        <row r="7569">
          <cell r="P7569">
            <v>0</v>
          </cell>
        </row>
        <row r="7570">
          <cell r="P7570">
            <v>0</v>
          </cell>
        </row>
        <row r="7571">
          <cell r="P7571">
            <v>0</v>
          </cell>
        </row>
        <row r="7572">
          <cell r="P7572">
            <v>0</v>
          </cell>
        </row>
        <row r="7573">
          <cell r="P7573">
            <v>0</v>
          </cell>
        </row>
        <row r="7574">
          <cell r="P7574">
            <v>0</v>
          </cell>
        </row>
        <row r="7575">
          <cell r="P7575">
            <v>0</v>
          </cell>
        </row>
        <row r="7576">
          <cell r="P7576">
            <v>0</v>
          </cell>
        </row>
        <row r="7577">
          <cell r="P7577">
            <v>0</v>
          </cell>
        </row>
        <row r="7578">
          <cell r="P7578">
            <v>0</v>
          </cell>
        </row>
        <row r="7579">
          <cell r="P7579">
            <v>0</v>
          </cell>
        </row>
        <row r="7580">
          <cell r="P7580">
            <v>0</v>
          </cell>
        </row>
        <row r="7581">
          <cell r="P7581">
            <v>0</v>
          </cell>
        </row>
        <row r="7582">
          <cell r="P7582">
            <v>0</v>
          </cell>
        </row>
        <row r="7583">
          <cell r="P7583">
            <v>0</v>
          </cell>
        </row>
        <row r="7584">
          <cell r="P7584">
            <v>0</v>
          </cell>
        </row>
        <row r="7585">
          <cell r="P7585">
            <v>0</v>
          </cell>
        </row>
        <row r="7586">
          <cell r="P7586">
            <v>0</v>
          </cell>
        </row>
        <row r="7587">
          <cell r="P7587">
            <v>0</v>
          </cell>
        </row>
        <row r="7588">
          <cell r="P7588">
            <v>0</v>
          </cell>
        </row>
        <row r="7589">
          <cell r="P7589">
            <v>0</v>
          </cell>
        </row>
        <row r="7590">
          <cell r="P7590">
            <v>0</v>
          </cell>
        </row>
        <row r="7591">
          <cell r="P7591">
            <v>0</v>
          </cell>
        </row>
        <row r="7592">
          <cell r="P7592">
            <v>0</v>
          </cell>
        </row>
        <row r="7593">
          <cell r="P7593">
            <v>0</v>
          </cell>
        </row>
        <row r="7594">
          <cell r="P7594">
            <v>0</v>
          </cell>
        </row>
        <row r="7595">
          <cell r="P7595">
            <v>0</v>
          </cell>
        </row>
        <row r="7596">
          <cell r="P7596">
            <v>0</v>
          </cell>
        </row>
        <row r="7597">
          <cell r="P7597">
            <v>0</v>
          </cell>
        </row>
        <row r="7598">
          <cell r="P7598">
            <v>0</v>
          </cell>
        </row>
        <row r="7599">
          <cell r="P7599">
            <v>0</v>
          </cell>
        </row>
        <row r="7600">
          <cell r="P7600">
            <v>0</v>
          </cell>
        </row>
        <row r="7601">
          <cell r="P7601">
            <v>0</v>
          </cell>
        </row>
        <row r="7602">
          <cell r="P7602">
            <v>0</v>
          </cell>
        </row>
        <row r="7603">
          <cell r="P7603">
            <v>0</v>
          </cell>
        </row>
        <row r="7604">
          <cell r="P7604">
            <v>0</v>
          </cell>
        </row>
        <row r="7605">
          <cell r="P7605">
            <v>0</v>
          </cell>
        </row>
        <row r="7606">
          <cell r="P7606">
            <v>0</v>
          </cell>
        </row>
        <row r="7607">
          <cell r="P7607">
            <v>0</v>
          </cell>
        </row>
        <row r="7608">
          <cell r="P7608">
            <v>0</v>
          </cell>
        </row>
        <row r="7609">
          <cell r="P7609">
            <v>0</v>
          </cell>
        </row>
        <row r="7610">
          <cell r="P7610">
            <v>0</v>
          </cell>
        </row>
        <row r="7611">
          <cell r="P7611">
            <v>0</v>
          </cell>
        </row>
        <row r="7612">
          <cell r="P7612">
            <v>0</v>
          </cell>
        </row>
        <row r="7613">
          <cell r="P7613">
            <v>0</v>
          </cell>
        </row>
        <row r="7614">
          <cell r="P7614">
            <v>0</v>
          </cell>
        </row>
        <row r="7615">
          <cell r="P7615">
            <v>0</v>
          </cell>
        </row>
        <row r="7616">
          <cell r="P7616">
            <v>0</v>
          </cell>
        </row>
        <row r="7617">
          <cell r="P7617">
            <v>0</v>
          </cell>
        </row>
        <row r="7618">
          <cell r="P7618">
            <v>0</v>
          </cell>
        </row>
        <row r="7619">
          <cell r="P7619">
            <v>0</v>
          </cell>
        </row>
        <row r="7620">
          <cell r="P7620">
            <v>0</v>
          </cell>
        </row>
        <row r="7621">
          <cell r="P7621">
            <v>0</v>
          </cell>
        </row>
        <row r="7622">
          <cell r="P7622">
            <v>0</v>
          </cell>
        </row>
        <row r="7623">
          <cell r="P7623">
            <v>0</v>
          </cell>
        </row>
        <row r="7624">
          <cell r="P7624">
            <v>0</v>
          </cell>
        </row>
        <row r="7625">
          <cell r="P7625">
            <v>0</v>
          </cell>
        </row>
        <row r="7626">
          <cell r="P7626">
            <v>0</v>
          </cell>
        </row>
        <row r="7627">
          <cell r="P7627">
            <v>0</v>
          </cell>
        </row>
        <row r="7628">
          <cell r="P7628">
            <v>0</v>
          </cell>
        </row>
        <row r="7629">
          <cell r="P7629">
            <v>0</v>
          </cell>
        </row>
        <row r="7630">
          <cell r="P7630">
            <v>0</v>
          </cell>
        </row>
        <row r="7631">
          <cell r="P7631">
            <v>0</v>
          </cell>
        </row>
        <row r="7632">
          <cell r="P7632">
            <v>0</v>
          </cell>
        </row>
        <row r="7633">
          <cell r="P7633">
            <v>0</v>
          </cell>
        </row>
        <row r="7634">
          <cell r="P7634">
            <v>0</v>
          </cell>
        </row>
        <row r="7635">
          <cell r="P7635">
            <v>0</v>
          </cell>
        </row>
        <row r="7636">
          <cell r="P7636">
            <v>0</v>
          </cell>
        </row>
        <row r="7637">
          <cell r="P7637">
            <v>0</v>
          </cell>
        </row>
        <row r="7638">
          <cell r="P7638">
            <v>0</v>
          </cell>
        </row>
        <row r="7639">
          <cell r="P7639">
            <v>0</v>
          </cell>
        </row>
        <row r="7640">
          <cell r="P7640">
            <v>0</v>
          </cell>
        </row>
        <row r="7641">
          <cell r="P7641">
            <v>0</v>
          </cell>
        </row>
        <row r="7642">
          <cell r="P7642">
            <v>0</v>
          </cell>
        </row>
        <row r="7643">
          <cell r="P7643">
            <v>0</v>
          </cell>
        </row>
        <row r="7644">
          <cell r="P7644">
            <v>0</v>
          </cell>
        </row>
        <row r="7645">
          <cell r="P7645">
            <v>0</v>
          </cell>
        </row>
        <row r="7646">
          <cell r="P7646">
            <v>0</v>
          </cell>
        </row>
        <row r="7647">
          <cell r="P7647">
            <v>0</v>
          </cell>
        </row>
        <row r="7648">
          <cell r="P7648">
            <v>0</v>
          </cell>
        </row>
        <row r="7649">
          <cell r="P7649">
            <v>0</v>
          </cell>
        </row>
        <row r="7650">
          <cell r="P7650">
            <v>0</v>
          </cell>
        </row>
        <row r="7651">
          <cell r="P7651">
            <v>0</v>
          </cell>
        </row>
        <row r="7652">
          <cell r="P7652">
            <v>0</v>
          </cell>
        </row>
        <row r="7653">
          <cell r="P7653">
            <v>0</v>
          </cell>
        </row>
        <row r="7654">
          <cell r="P7654">
            <v>0</v>
          </cell>
        </row>
        <row r="7655">
          <cell r="P7655">
            <v>0</v>
          </cell>
        </row>
        <row r="7656">
          <cell r="P7656">
            <v>0</v>
          </cell>
        </row>
        <row r="7657">
          <cell r="P7657">
            <v>0</v>
          </cell>
        </row>
        <row r="7658">
          <cell r="P7658">
            <v>0</v>
          </cell>
        </row>
        <row r="7659">
          <cell r="P7659">
            <v>0</v>
          </cell>
        </row>
        <row r="7660">
          <cell r="P7660">
            <v>0</v>
          </cell>
        </row>
        <row r="7661">
          <cell r="P7661">
            <v>0</v>
          </cell>
        </row>
        <row r="7662">
          <cell r="P7662">
            <v>0</v>
          </cell>
        </row>
        <row r="7663">
          <cell r="P7663">
            <v>0</v>
          </cell>
        </row>
        <row r="7664">
          <cell r="P7664">
            <v>0</v>
          </cell>
        </row>
        <row r="7665">
          <cell r="P7665">
            <v>0</v>
          </cell>
        </row>
        <row r="7666">
          <cell r="P7666">
            <v>0</v>
          </cell>
        </row>
        <row r="7667">
          <cell r="P7667">
            <v>0</v>
          </cell>
        </row>
        <row r="7668">
          <cell r="P7668">
            <v>0</v>
          </cell>
        </row>
        <row r="7669">
          <cell r="P7669">
            <v>0</v>
          </cell>
        </row>
        <row r="7670">
          <cell r="P7670">
            <v>0</v>
          </cell>
        </row>
        <row r="7671">
          <cell r="P7671">
            <v>0</v>
          </cell>
        </row>
        <row r="7672">
          <cell r="P7672">
            <v>0</v>
          </cell>
        </row>
        <row r="7673">
          <cell r="P7673">
            <v>0</v>
          </cell>
        </row>
        <row r="7674">
          <cell r="P7674">
            <v>0</v>
          </cell>
        </row>
        <row r="7675">
          <cell r="P7675">
            <v>0</v>
          </cell>
        </row>
        <row r="7676">
          <cell r="P7676">
            <v>0</v>
          </cell>
        </row>
        <row r="7677">
          <cell r="P7677">
            <v>0</v>
          </cell>
        </row>
        <row r="7678">
          <cell r="P7678">
            <v>0</v>
          </cell>
        </row>
        <row r="7679">
          <cell r="P7679">
            <v>0</v>
          </cell>
        </row>
        <row r="7680">
          <cell r="P7680">
            <v>0</v>
          </cell>
        </row>
        <row r="7681">
          <cell r="P7681">
            <v>0</v>
          </cell>
        </row>
        <row r="7682">
          <cell r="P7682">
            <v>0</v>
          </cell>
        </row>
        <row r="7683">
          <cell r="P7683">
            <v>0</v>
          </cell>
        </row>
        <row r="7684">
          <cell r="P7684">
            <v>0</v>
          </cell>
        </row>
        <row r="7685">
          <cell r="P7685">
            <v>0</v>
          </cell>
        </row>
        <row r="7686">
          <cell r="P7686">
            <v>0</v>
          </cell>
        </row>
        <row r="7687">
          <cell r="P7687">
            <v>0</v>
          </cell>
        </row>
        <row r="7688">
          <cell r="P7688">
            <v>0</v>
          </cell>
        </row>
        <row r="7689">
          <cell r="P7689">
            <v>0</v>
          </cell>
        </row>
        <row r="7690">
          <cell r="P7690">
            <v>0</v>
          </cell>
        </row>
        <row r="7691">
          <cell r="P7691">
            <v>0</v>
          </cell>
        </row>
        <row r="7692">
          <cell r="P7692">
            <v>0</v>
          </cell>
        </row>
        <row r="7693">
          <cell r="P7693">
            <v>0</v>
          </cell>
        </row>
        <row r="7694">
          <cell r="P7694">
            <v>0</v>
          </cell>
        </row>
        <row r="7695">
          <cell r="P7695">
            <v>0</v>
          </cell>
        </row>
        <row r="7696">
          <cell r="P7696">
            <v>0</v>
          </cell>
        </row>
        <row r="7697">
          <cell r="P7697">
            <v>0</v>
          </cell>
        </row>
        <row r="7698">
          <cell r="P7698">
            <v>0</v>
          </cell>
        </row>
        <row r="7699">
          <cell r="P7699">
            <v>0</v>
          </cell>
        </row>
        <row r="7700">
          <cell r="P7700">
            <v>0</v>
          </cell>
        </row>
        <row r="7701">
          <cell r="P7701">
            <v>0</v>
          </cell>
        </row>
        <row r="7702">
          <cell r="P7702">
            <v>0</v>
          </cell>
        </row>
        <row r="7703">
          <cell r="P7703">
            <v>0</v>
          </cell>
        </row>
        <row r="7704">
          <cell r="P7704">
            <v>0</v>
          </cell>
        </row>
        <row r="7705">
          <cell r="P7705">
            <v>0</v>
          </cell>
        </row>
        <row r="7706">
          <cell r="P7706">
            <v>0</v>
          </cell>
        </row>
        <row r="7707">
          <cell r="P7707">
            <v>0</v>
          </cell>
        </row>
        <row r="7708">
          <cell r="P7708">
            <v>0</v>
          </cell>
        </row>
        <row r="7709">
          <cell r="P7709">
            <v>0</v>
          </cell>
        </row>
        <row r="7710">
          <cell r="P7710">
            <v>0</v>
          </cell>
        </row>
        <row r="7711">
          <cell r="P7711">
            <v>0</v>
          </cell>
        </row>
        <row r="7712">
          <cell r="P7712">
            <v>0</v>
          </cell>
        </row>
        <row r="7713">
          <cell r="P7713">
            <v>0</v>
          </cell>
        </row>
        <row r="7714">
          <cell r="P7714">
            <v>0</v>
          </cell>
        </row>
        <row r="7715">
          <cell r="P7715">
            <v>0</v>
          </cell>
        </row>
        <row r="7716">
          <cell r="P7716">
            <v>0</v>
          </cell>
        </row>
        <row r="7717">
          <cell r="P7717">
            <v>0</v>
          </cell>
        </row>
        <row r="7718">
          <cell r="P7718">
            <v>0</v>
          </cell>
        </row>
        <row r="7719">
          <cell r="P7719">
            <v>0</v>
          </cell>
        </row>
        <row r="7720">
          <cell r="P7720">
            <v>0</v>
          </cell>
        </row>
        <row r="7721">
          <cell r="P7721">
            <v>0</v>
          </cell>
        </row>
        <row r="7722">
          <cell r="P7722">
            <v>0</v>
          </cell>
        </row>
        <row r="7723">
          <cell r="P7723">
            <v>0</v>
          </cell>
        </row>
        <row r="7724">
          <cell r="P7724">
            <v>0</v>
          </cell>
        </row>
        <row r="7725">
          <cell r="P7725">
            <v>0</v>
          </cell>
        </row>
        <row r="7726">
          <cell r="P7726">
            <v>0</v>
          </cell>
        </row>
        <row r="7727">
          <cell r="P7727">
            <v>0</v>
          </cell>
        </row>
        <row r="7728">
          <cell r="P7728">
            <v>0</v>
          </cell>
        </row>
        <row r="7729">
          <cell r="P7729">
            <v>0</v>
          </cell>
        </row>
        <row r="7730">
          <cell r="P7730">
            <v>0</v>
          </cell>
        </row>
        <row r="7731">
          <cell r="P7731">
            <v>376</v>
          </cell>
        </row>
        <row r="7732">
          <cell r="P7732">
            <v>376</v>
          </cell>
        </row>
        <row r="7733">
          <cell r="P7733">
            <v>206.8</v>
          </cell>
        </row>
        <row r="7734">
          <cell r="P7734">
            <v>376</v>
          </cell>
        </row>
        <row r="7735">
          <cell r="P7735">
            <v>564</v>
          </cell>
        </row>
        <row r="7736">
          <cell r="P7736">
            <v>0</v>
          </cell>
        </row>
        <row r="7737">
          <cell r="P7737">
            <v>175.34400000000002</v>
          </cell>
        </row>
        <row r="7738">
          <cell r="P7738">
            <v>292.24</v>
          </cell>
        </row>
        <row r="7739">
          <cell r="P7739">
            <v>23.379200000000004</v>
          </cell>
        </row>
        <row r="7740">
          <cell r="P7740">
            <v>10959.000000000002</v>
          </cell>
        </row>
        <row r="7741">
          <cell r="P7741">
            <v>438.36000000000007</v>
          </cell>
        </row>
        <row r="7742">
          <cell r="P7742">
            <v>14.612000000000002</v>
          </cell>
        </row>
        <row r="7743">
          <cell r="P7743">
            <v>0</v>
          </cell>
        </row>
        <row r="7744">
          <cell r="P7744">
            <v>0</v>
          </cell>
        </row>
        <row r="7745">
          <cell r="P7745">
            <v>0</v>
          </cell>
        </row>
        <row r="7746">
          <cell r="P7746">
            <v>0</v>
          </cell>
        </row>
        <row r="7747">
          <cell r="P7747">
            <v>0</v>
          </cell>
        </row>
        <row r="7748">
          <cell r="P7748">
            <v>0</v>
          </cell>
        </row>
        <row r="7749">
          <cell r="P7749">
            <v>0</v>
          </cell>
        </row>
        <row r="7750">
          <cell r="P7750">
            <v>0</v>
          </cell>
        </row>
        <row r="7751">
          <cell r="P7751">
            <v>0</v>
          </cell>
        </row>
        <row r="7752">
          <cell r="P7752">
            <v>0</v>
          </cell>
        </row>
        <row r="7753">
          <cell r="P7753">
            <v>0</v>
          </cell>
        </row>
        <row r="7754">
          <cell r="P7754">
            <v>0</v>
          </cell>
        </row>
        <row r="7755">
          <cell r="P7755">
            <v>0</v>
          </cell>
        </row>
        <row r="7756">
          <cell r="P7756">
            <v>0</v>
          </cell>
        </row>
        <row r="7757">
          <cell r="P7757">
            <v>0</v>
          </cell>
        </row>
        <row r="7758">
          <cell r="P7758">
            <v>0</v>
          </cell>
        </row>
        <row r="7759">
          <cell r="P7759">
            <v>0</v>
          </cell>
        </row>
        <row r="7760">
          <cell r="P7760">
            <v>0</v>
          </cell>
        </row>
        <row r="7761">
          <cell r="P7761">
            <v>0</v>
          </cell>
        </row>
        <row r="7762">
          <cell r="P7762">
            <v>0</v>
          </cell>
        </row>
        <row r="7763">
          <cell r="P7763">
            <v>0</v>
          </cell>
        </row>
        <row r="7764">
          <cell r="P7764">
            <v>0</v>
          </cell>
        </row>
        <row r="7765">
          <cell r="P7765">
            <v>0</v>
          </cell>
        </row>
        <row r="7766">
          <cell r="P7766">
            <v>0</v>
          </cell>
        </row>
        <row r="7767">
          <cell r="P7767">
            <v>0</v>
          </cell>
        </row>
        <row r="7768">
          <cell r="P7768">
            <v>0</v>
          </cell>
        </row>
        <row r="7769">
          <cell r="P7769">
            <v>0</v>
          </cell>
        </row>
        <row r="7770">
          <cell r="P7770">
            <v>0</v>
          </cell>
        </row>
        <row r="7771">
          <cell r="P7771">
            <v>0</v>
          </cell>
        </row>
        <row r="7772">
          <cell r="P7772">
            <v>0</v>
          </cell>
        </row>
        <row r="7773">
          <cell r="P7773">
            <v>0</v>
          </cell>
        </row>
        <row r="7774">
          <cell r="P7774">
            <v>0</v>
          </cell>
        </row>
        <row r="7775">
          <cell r="P7775">
            <v>0</v>
          </cell>
        </row>
        <row r="7776">
          <cell r="P7776">
            <v>0</v>
          </cell>
        </row>
        <row r="7777">
          <cell r="P7777">
            <v>0</v>
          </cell>
        </row>
        <row r="7778">
          <cell r="P7778">
            <v>0</v>
          </cell>
        </row>
        <row r="7779">
          <cell r="P7779">
            <v>0</v>
          </cell>
        </row>
        <row r="7780">
          <cell r="P7780">
            <v>0</v>
          </cell>
        </row>
        <row r="7781">
          <cell r="P7781">
            <v>0</v>
          </cell>
        </row>
        <row r="7782">
          <cell r="P7782">
            <v>0</v>
          </cell>
        </row>
        <row r="7783">
          <cell r="P7783">
            <v>0</v>
          </cell>
        </row>
        <row r="7784">
          <cell r="P7784">
            <v>0</v>
          </cell>
        </row>
        <row r="7785">
          <cell r="P7785">
            <v>0</v>
          </cell>
        </row>
        <row r="7786">
          <cell r="P7786">
            <v>0</v>
          </cell>
        </row>
        <row r="7787">
          <cell r="P7787">
            <v>0</v>
          </cell>
        </row>
        <row r="7788">
          <cell r="P7788">
            <v>0</v>
          </cell>
        </row>
        <row r="7789">
          <cell r="P7789">
            <v>0</v>
          </cell>
        </row>
        <row r="7790">
          <cell r="P7790">
            <v>0</v>
          </cell>
        </row>
        <row r="7791">
          <cell r="P7791">
            <v>0</v>
          </cell>
        </row>
        <row r="7792">
          <cell r="P7792">
            <v>0</v>
          </cell>
        </row>
        <row r="7793">
          <cell r="P7793">
            <v>0</v>
          </cell>
        </row>
        <row r="7794">
          <cell r="P7794">
            <v>0</v>
          </cell>
        </row>
        <row r="7795">
          <cell r="P7795">
            <v>0</v>
          </cell>
        </row>
        <row r="7796">
          <cell r="P7796">
            <v>0</v>
          </cell>
        </row>
        <row r="7797">
          <cell r="P7797">
            <v>0</v>
          </cell>
        </row>
        <row r="7798">
          <cell r="P7798">
            <v>0</v>
          </cell>
        </row>
        <row r="7799">
          <cell r="P7799">
            <v>0</v>
          </cell>
        </row>
        <row r="7800">
          <cell r="P7800">
            <v>0</v>
          </cell>
        </row>
        <row r="7801">
          <cell r="P7801">
            <v>0</v>
          </cell>
        </row>
        <row r="7802">
          <cell r="P7802">
            <v>0</v>
          </cell>
        </row>
        <row r="7803">
          <cell r="P7803">
            <v>0</v>
          </cell>
        </row>
        <row r="7804">
          <cell r="P7804">
            <v>0</v>
          </cell>
        </row>
        <row r="7805">
          <cell r="P7805">
            <v>0</v>
          </cell>
        </row>
        <row r="7806">
          <cell r="P7806">
            <v>0</v>
          </cell>
        </row>
        <row r="7807">
          <cell r="P7807">
            <v>0</v>
          </cell>
        </row>
        <row r="7808">
          <cell r="P7808">
            <v>0</v>
          </cell>
        </row>
        <row r="7809">
          <cell r="P7809">
            <v>0</v>
          </cell>
        </row>
        <row r="7810">
          <cell r="P7810">
            <v>0</v>
          </cell>
        </row>
        <row r="7811">
          <cell r="P7811">
            <v>0</v>
          </cell>
        </row>
        <row r="7812">
          <cell r="P7812">
            <v>0</v>
          </cell>
        </row>
        <row r="7813">
          <cell r="P7813">
            <v>0</v>
          </cell>
        </row>
        <row r="7814">
          <cell r="P7814">
            <v>0</v>
          </cell>
        </row>
        <row r="7815">
          <cell r="P7815">
            <v>0</v>
          </cell>
        </row>
        <row r="7816">
          <cell r="P7816">
            <v>0</v>
          </cell>
        </row>
        <row r="7817">
          <cell r="P7817">
            <v>0</v>
          </cell>
        </row>
        <row r="7818">
          <cell r="P7818">
            <v>0</v>
          </cell>
        </row>
        <row r="7819">
          <cell r="P7819">
            <v>0</v>
          </cell>
        </row>
        <row r="7820">
          <cell r="P7820">
            <v>0</v>
          </cell>
        </row>
        <row r="7821">
          <cell r="P7821">
            <v>0</v>
          </cell>
        </row>
        <row r="7822">
          <cell r="P7822">
            <v>0</v>
          </cell>
        </row>
        <row r="7823">
          <cell r="P7823">
            <v>0</v>
          </cell>
        </row>
        <row r="7824">
          <cell r="P7824">
            <v>0</v>
          </cell>
        </row>
        <row r="7825">
          <cell r="P7825">
            <v>0</v>
          </cell>
        </row>
        <row r="7826">
          <cell r="P7826">
            <v>0</v>
          </cell>
        </row>
        <row r="7827">
          <cell r="P7827">
            <v>0</v>
          </cell>
        </row>
        <row r="7828">
          <cell r="P7828">
            <v>0</v>
          </cell>
        </row>
        <row r="7829">
          <cell r="P7829">
            <v>0</v>
          </cell>
        </row>
        <row r="7830">
          <cell r="P7830">
            <v>0</v>
          </cell>
        </row>
        <row r="7831">
          <cell r="P7831">
            <v>0</v>
          </cell>
        </row>
        <row r="7832">
          <cell r="P7832">
            <v>0</v>
          </cell>
        </row>
        <row r="7833">
          <cell r="P7833">
            <v>0</v>
          </cell>
        </row>
        <row r="7834">
          <cell r="P7834">
            <v>0</v>
          </cell>
        </row>
        <row r="7835">
          <cell r="P7835">
            <v>0</v>
          </cell>
        </row>
        <row r="7836">
          <cell r="P7836">
            <v>0</v>
          </cell>
        </row>
        <row r="7837">
          <cell r="P7837">
            <v>0</v>
          </cell>
        </row>
        <row r="7838">
          <cell r="P7838">
            <v>0</v>
          </cell>
        </row>
        <row r="7839">
          <cell r="P7839">
            <v>0</v>
          </cell>
        </row>
        <row r="7840">
          <cell r="P7840">
            <v>0</v>
          </cell>
        </row>
        <row r="7841">
          <cell r="P7841">
            <v>0</v>
          </cell>
        </row>
        <row r="7842">
          <cell r="P7842">
            <v>0</v>
          </cell>
        </row>
        <row r="7843">
          <cell r="P7843">
            <v>0</v>
          </cell>
        </row>
        <row r="7844">
          <cell r="P7844">
            <v>0</v>
          </cell>
        </row>
        <row r="7845">
          <cell r="P7845">
            <v>0</v>
          </cell>
        </row>
        <row r="7846">
          <cell r="P7846">
            <v>0</v>
          </cell>
        </row>
        <row r="7847">
          <cell r="P7847">
            <v>0</v>
          </cell>
        </row>
        <row r="7848">
          <cell r="P7848">
            <v>0</v>
          </cell>
        </row>
        <row r="7849">
          <cell r="P7849">
            <v>0</v>
          </cell>
        </row>
        <row r="7850">
          <cell r="P7850">
            <v>0</v>
          </cell>
        </row>
        <row r="7851">
          <cell r="P7851">
            <v>0</v>
          </cell>
        </row>
        <row r="7852">
          <cell r="P7852">
            <v>0</v>
          </cell>
        </row>
        <row r="7853">
          <cell r="P7853">
            <v>0</v>
          </cell>
        </row>
        <row r="7854">
          <cell r="P7854">
            <v>0</v>
          </cell>
        </row>
        <row r="7855">
          <cell r="P7855">
            <v>0</v>
          </cell>
        </row>
        <row r="7856">
          <cell r="P7856">
            <v>0</v>
          </cell>
        </row>
        <row r="7857">
          <cell r="P7857">
            <v>0</v>
          </cell>
        </row>
        <row r="7858">
          <cell r="P7858">
            <v>0</v>
          </cell>
        </row>
        <row r="7859">
          <cell r="P7859">
            <v>0</v>
          </cell>
        </row>
        <row r="7860">
          <cell r="P7860">
            <v>0</v>
          </cell>
        </row>
        <row r="7861">
          <cell r="P7861">
            <v>0</v>
          </cell>
        </row>
        <row r="7862">
          <cell r="P7862">
            <v>0</v>
          </cell>
        </row>
        <row r="7863">
          <cell r="P7863">
            <v>0</v>
          </cell>
        </row>
        <row r="7864">
          <cell r="P7864">
            <v>0</v>
          </cell>
        </row>
        <row r="7865">
          <cell r="P7865">
            <v>0</v>
          </cell>
        </row>
        <row r="7866">
          <cell r="P7866">
            <v>0</v>
          </cell>
        </row>
        <row r="7867">
          <cell r="P7867">
            <v>0</v>
          </cell>
        </row>
        <row r="7868">
          <cell r="P7868">
            <v>0</v>
          </cell>
        </row>
        <row r="7869">
          <cell r="P7869">
            <v>0</v>
          </cell>
        </row>
        <row r="7870">
          <cell r="P7870">
            <v>0</v>
          </cell>
        </row>
        <row r="7871">
          <cell r="P7871">
            <v>0</v>
          </cell>
        </row>
        <row r="7872">
          <cell r="P7872">
            <v>0</v>
          </cell>
        </row>
        <row r="7873">
          <cell r="P7873">
            <v>0</v>
          </cell>
        </row>
        <row r="7874">
          <cell r="P7874">
            <v>0</v>
          </cell>
        </row>
        <row r="7875">
          <cell r="P7875">
            <v>0</v>
          </cell>
        </row>
        <row r="7876">
          <cell r="P7876">
            <v>0</v>
          </cell>
        </row>
        <row r="7877">
          <cell r="P7877">
            <v>0</v>
          </cell>
        </row>
        <row r="7878">
          <cell r="P7878">
            <v>0</v>
          </cell>
        </row>
        <row r="7879">
          <cell r="P7879">
            <v>0</v>
          </cell>
        </row>
        <row r="7880">
          <cell r="P7880">
            <v>0</v>
          </cell>
        </row>
        <row r="7881">
          <cell r="P7881">
            <v>0</v>
          </cell>
        </row>
        <row r="7882">
          <cell r="P7882">
            <v>0</v>
          </cell>
        </row>
        <row r="7883">
          <cell r="P7883">
            <v>0</v>
          </cell>
        </row>
        <row r="7884">
          <cell r="P7884">
            <v>0</v>
          </cell>
        </row>
        <row r="7885">
          <cell r="P7885">
            <v>0</v>
          </cell>
        </row>
        <row r="7886">
          <cell r="P7886">
            <v>0</v>
          </cell>
        </row>
        <row r="7887">
          <cell r="P7887">
            <v>0</v>
          </cell>
        </row>
        <row r="7888">
          <cell r="P7888">
            <v>0</v>
          </cell>
        </row>
        <row r="7889">
          <cell r="P7889">
            <v>0</v>
          </cell>
        </row>
        <row r="7890">
          <cell r="P7890">
            <v>0</v>
          </cell>
        </row>
        <row r="7891">
          <cell r="P7891">
            <v>0</v>
          </cell>
        </row>
        <row r="7892">
          <cell r="P7892">
            <v>0</v>
          </cell>
        </row>
        <row r="7893">
          <cell r="P7893">
            <v>0</v>
          </cell>
        </row>
        <row r="7894">
          <cell r="P7894">
            <v>0</v>
          </cell>
        </row>
        <row r="7895">
          <cell r="P7895">
            <v>0</v>
          </cell>
        </row>
        <row r="7896">
          <cell r="P7896">
            <v>0</v>
          </cell>
        </row>
        <row r="7897">
          <cell r="P7897">
            <v>0</v>
          </cell>
        </row>
        <row r="7898">
          <cell r="P7898">
            <v>0</v>
          </cell>
        </row>
        <row r="7899">
          <cell r="P7899">
            <v>0</v>
          </cell>
        </row>
        <row r="7900">
          <cell r="P7900">
            <v>0</v>
          </cell>
        </row>
        <row r="7901">
          <cell r="P7901">
            <v>0</v>
          </cell>
        </row>
        <row r="7902">
          <cell r="P7902">
            <v>0</v>
          </cell>
        </row>
        <row r="7903">
          <cell r="P7903">
            <v>0</v>
          </cell>
        </row>
        <row r="7904">
          <cell r="P7904">
            <v>0</v>
          </cell>
        </row>
        <row r="7905">
          <cell r="P7905">
            <v>0</v>
          </cell>
        </row>
        <row r="7906">
          <cell r="P7906">
            <v>0</v>
          </cell>
        </row>
        <row r="7907">
          <cell r="P7907">
            <v>0</v>
          </cell>
        </row>
        <row r="7908">
          <cell r="P7908">
            <v>0</v>
          </cell>
        </row>
        <row r="7909">
          <cell r="P7909">
            <v>0</v>
          </cell>
        </row>
        <row r="7910">
          <cell r="P7910">
            <v>0</v>
          </cell>
        </row>
        <row r="7911">
          <cell r="P7911">
            <v>0</v>
          </cell>
        </row>
        <row r="7912">
          <cell r="P7912">
            <v>0</v>
          </cell>
        </row>
        <row r="7913">
          <cell r="P7913">
            <v>0</v>
          </cell>
        </row>
        <row r="7914">
          <cell r="P7914">
            <v>0</v>
          </cell>
        </row>
        <row r="7915">
          <cell r="P7915">
            <v>0</v>
          </cell>
        </row>
        <row r="7916">
          <cell r="P7916">
            <v>0</v>
          </cell>
        </row>
        <row r="7917">
          <cell r="P7917">
            <v>0</v>
          </cell>
        </row>
        <row r="7918">
          <cell r="P7918">
            <v>0</v>
          </cell>
        </row>
        <row r="7919">
          <cell r="P7919">
            <v>0</v>
          </cell>
        </row>
        <row r="7920">
          <cell r="P7920">
            <v>0</v>
          </cell>
        </row>
        <row r="7921">
          <cell r="P7921">
            <v>0</v>
          </cell>
        </row>
        <row r="7922">
          <cell r="P7922">
            <v>0</v>
          </cell>
        </row>
        <row r="7923">
          <cell r="P7923">
            <v>0</v>
          </cell>
        </row>
        <row r="7924">
          <cell r="P7924">
            <v>0</v>
          </cell>
        </row>
        <row r="7925">
          <cell r="P7925">
            <v>0</v>
          </cell>
        </row>
        <row r="7926">
          <cell r="P7926">
            <v>0</v>
          </cell>
        </row>
        <row r="7927">
          <cell r="P7927">
            <v>0</v>
          </cell>
        </row>
        <row r="7928">
          <cell r="P7928">
            <v>0</v>
          </cell>
        </row>
        <row r="7929">
          <cell r="P7929">
            <v>0</v>
          </cell>
        </row>
        <row r="7930">
          <cell r="P7930">
            <v>0</v>
          </cell>
        </row>
        <row r="7931">
          <cell r="P7931">
            <v>0</v>
          </cell>
        </row>
        <row r="7932">
          <cell r="P7932">
            <v>0</v>
          </cell>
        </row>
        <row r="7933">
          <cell r="P7933">
            <v>0</v>
          </cell>
        </row>
        <row r="7934">
          <cell r="P7934">
            <v>0</v>
          </cell>
        </row>
        <row r="7935">
          <cell r="P7935">
            <v>0</v>
          </cell>
        </row>
        <row r="7936">
          <cell r="P7936">
            <v>0</v>
          </cell>
        </row>
        <row r="7937">
          <cell r="P7937">
            <v>0</v>
          </cell>
        </row>
        <row r="7938">
          <cell r="P7938">
            <v>0</v>
          </cell>
        </row>
        <row r="7939">
          <cell r="P7939">
            <v>0</v>
          </cell>
        </row>
        <row r="7940">
          <cell r="P7940">
            <v>0</v>
          </cell>
        </row>
        <row r="7941">
          <cell r="P7941">
            <v>0</v>
          </cell>
        </row>
        <row r="7942">
          <cell r="P7942">
            <v>0</v>
          </cell>
        </row>
        <row r="7943">
          <cell r="P7943">
            <v>0</v>
          </cell>
        </row>
        <row r="7944">
          <cell r="P7944">
            <v>26.8245</v>
          </cell>
        </row>
        <row r="7945">
          <cell r="P7945">
            <v>23.844000000000001</v>
          </cell>
        </row>
        <row r="7946">
          <cell r="P7946">
            <v>8.9414999999999996</v>
          </cell>
        </row>
        <row r="7947">
          <cell r="P7947">
            <v>14.9025</v>
          </cell>
        </row>
        <row r="7948">
          <cell r="P7948">
            <v>17.882999999999999</v>
          </cell>
        </row>
        <row r="7949">
          <cell r="P7949">
            <v>0</v>
          </cell>
        </row>
        <row r="7950">
          <cell r="P7950">
            <v>0</v>
          </cell>
        </row>
        <row r="7951">
          <cell r="P7951">
            <v>0</v>
          </cell>
        </row>
        <row r="7952">
          <cell r="P7952">
            <v>0</v>
          </cell>
        </row>
        <row r="7953">
          <cell r="P7953">
            <v>0</v>
          </cell>
        </row>
        <row r="7954">
          <cell r="P7954">
            <v>0</v>
          </cell>
        </row>
        <row r="7955">
          <cell r="P7955">
            <v>0</v>
          </cell>
        </row>
        <row r="7956">
          <cell r="P7956">
            <v>0</v>
          </cell>
        </row>
        <row r="7957">
          <cell r="P7957">
            <v>0</v>
          </cell>
        </row>
        <row r="7958">
          <cell r="P7958">
            <v>0</v>
          </cell>
        </row>
        <row r="7959">
          <cell r="P7959">
            <v>0</v>
          </cell>
        </row>
        <row r="7960">
          <cell r="P7960">
            <v>0</v>
          </cell>
        </row>
        <row r="7961">
          <cell r="P7961">
            <v>0</v>
          </cell>
        </row>
        <row r="7962">
          <cell r="P7962">
            <v>4.05</v>
          </cell>
        </row>
        <row r="7963">
          <cell r="P7963">
            <v>3.6</v>
          </cell>
        </row>
        <row r="7964">
          <cell r="P7964">
            <v>2.25</v>
          </cell>
        </row>
        <row r="7965">
          <cell r="P7965">
            <v>2.6999999999999997</v>
          </cell>
        </row>
        <row r="7966">
          <cell r="P7966">
            <v>0.86399999999999999</v>
          </cell>
        </row>
        <row r="7967">
          <cell r="P7967">
            <v>0</v>
          </cell>
        </row>
        <row r="7968">
          <cell r="P7968">
            <v>0</v>
          </cell>
        </row>
        <row r="7969">
          <cell r="P7969">
            <v>0</v>
          </cell>
        </row>
        <row r="7970">
          <cell r="P7970">
            <v>0</v>
          </cell>
        </row>
        <row r="7971">
          <cell r="P7971">
            <v>0</v>
          </cell>
        </row>
        <row r="7972">
          <cell r="P7972">
            <v>0</v>
          </cell>
        </row>
        <row r="7973">
          <cell r="P7973">
            <v>0</v>
          </cell>
        </row>
        <row r="7974">
          <cell r="P7974">
            <v>0</v>
          </cell>
        </row>
        <row r="7975">
          <cell r="P7975">
            <v>0</v>
          </cell>
        </row>
        <row r="7976">
          <cell r="P7976">
            <v>0</v>
          </cell>
        </row>
        <row r="7977">
          <cell r="P7977">
            <v>0</v>
          </cell>
        </row>
        <row r="7978">
          <cell r="P7978">
            <v>0</v>
          </cell>
        </row>
        <row r="7979">
          <cell r="P7979">
            <v>0</v>
          </cell>
        </row>
        <row r="7980">
          <cell r="P7980">
            <v>0</v>
          </cell>
        </row>
        <row r="7981">
          <cell r="P7981">
            <v>0</v>
          </cell>
        </row>
        <row r="7982">
          <cell r="P7982">
            <v>0</v>
          </cell>
        </row>
        <row r="7983">
          <cell r="P7983">
            <v>0</v>
          </cell>
        </row>
        <row r="7984">
          <cell r="P7984">
            <v>0</v>
          </cell>
        </row>
        <row r="7985">
          <cell r="P7985">
            <v>0</v>
          </cell>
        </row>
        <row r="7986">
          <cell r="P7986">
            <v>0</v>
          </cell>
        </row>
        <row r="7987">
          <cell r="P7987">
            <v>0</v>
          </cell>
        </row>
        <row r="7988">
          <cell r="P7988">
            <v>0</v>
          </cell>
        </row>
        <row r="7989">
          <cell r="P7989">
            <v>0</v>
          </cell>
        </row>
        <row r="7990">
          <cell r="P7990">
            <v>0</v>
          </cell>
        </row>
        <row r="7991">
          <cell r="P7991">
            <v>0</v>
          </cell>
        </row>
        <row r="7992">
          <cell r="P7992">
            <v>0</v>
          </cell>
        </row>
        <row r="7993">
          <cell r="P7993">
            <v>0</v>
          </cell>
        </row>
        <row r="7994">
          <cell r="P7994">
            <v>0</v>
          </cell>
        </row>
        <row r="7995">
          <cell r="P7995">
            <v>0</v>
          </cell>
        </row>
        <row r="7996">
          <cell r="P7996">
            <v>0</v>
          </cell>
        </row>
        <row r="7997">
          <cell r="P7997">
            <v>0</v>
          </cell>
        </row>
        <row r="7998">
          <cell r="P7998">
            <v>0</v>
          </cell>
        </row>
        <row r="7999">
          <cell r="P7999">
            <v>0</v>
          </cell>
        </row>
        <row r="8000">
          <cell r="P8000">
            <v>0</v>
          </cell>
        </row>
        <row r="8001">
          <cell r="P8001">
            <v>0</v>
          </cell>
        </row>
        <row r="8002">
          <cell r="P8002">
            <v>0</v>
          </cell>
        </row>
        <row r="8003">
          <cell r="P8003">
            <v>0</v>
          </cell>
        </row>
        <row r="8004">
          <cell r="P8004">
            <v>0</v>
          </cell>
        </row>
        <row r="8005">
          <cell r="P8005">
            <v>0</v>
          </cell>
        </row>
        <row r="8006">
          <cell r="P8006">
            <v>0</v>
          </cell>
        </row>
        <row r="8007">
          <cell r="P8007">
            <v>0</v>
          </cell>
        </row>
        <row r="8008">
          <cell r="P8008">
            <v>0</v>
          </cell>
        </row>
        <row r="8009">
          <cell r="P8009">
            <v>0</v>
          </cell>
        </row>
        <row r="8010">
          <cell r="P8010">
            <v>0</v>
          </cell>
        </row>
        <row r="8011">
          <cell r="P8011">
            <v>0</v>
          </cell>
        </row>
        <row r="8012">
          <cell r="P8012">
            <v>0</v>
          </cell>
        </row>
        <row r="8013">
          <cell r="P8013">
            <v>0</v>
          </cell>
        </row>
        <row r="8014">
          <cell r="P8014">
            <v>0</v>
          </cell>
        </row>
        <row r="8015">
          <cell r="P8015">
            <v>0</v>
          </cell>
        </row>
        <row r="8016">
          <cell r="P8016">
            <v>0</v>
          </cell>
        </row>
        <row r="8017">
          <cell r="P8017">
            <v>0</v>
          </cell>
        </row>
        <row r="8018">
          <cell r="P8018">
            <v>0</v>
          </cell>
        </row>
        <row r="8019">
          <cell r="P8019">
            <v>0</v>
          </cell>
        </row>
        <row r="8020">
          <cell r="P8020">
            <v>0</v>
          </cell>
        </row>
        <row r="8021">
          <cell r="P8021">
            <v>0</v>
          </cell>
        </row>
        <row r="8022">
          <cell r="P8022">
            <v>0</v>
          </cell>
        </row>
        <row r="8023">
          <cell r="P8023">
            <v>0</v>
          </cell>
        </row>
        <row r="8024">
          <cell r="P8024">
            <v>0</v>
          </cell>
        </row>
        <row r="8025">
          <cell r="P8025">
            <v>0</v>
          </cell>
        </row>
        <row r="8026">
          <cell r="P8026">
            <v>249.6</v>
          </cell>
        </row>
        <row r="8027">
          <cell r="P8027">
            <v>249.6</v>
          </cell>
        </row>
        <row r="8028">
          <cell r="P8028">
            <v>104</v>
          </cell>
        </row>
        <row r="8029">
          <cell r="P8029">
            <v>12.48</v>
          </cell>
        </row>
        <row r="8030">
          <cell r="P8030">
            <v>208</v>
          </cell>
        </row>
        <row r="8031">
          <cell r="P8031">
            <v>49.92</v>
          </cell>
        </row>
        <row r="8032">
          <cell r="P8032">
            <v>0</v>
          </cell>
        </row>
        <row r="8033">
          <cell r="P8033">
            <v>0</v>
          </cell>
        </row>
        <row r="8034">
          <cell r="P8034">
            <v>0</v>
          </cell>
        </row>
        <row r="8035">
          <cell r="P8035">
            <v>0</v>
          </cell>
        </row>
        <row r="8036">
          <cell r="P8036">
            <v>0</v>
          </cell>
        </row>
        <row r="8037">
          <cell r="P8037">
            <v>0</v>
          </cell>
        </row>
        <row r="8038">
          <cell r="P8038">
            <v>0</v>
          </cell>
        </row>
        <row r="8039">
          <cell r="P8039">
            <v>0</v>
          </cell>
        </row>
        <row r="8040">
          <cell r="P8040">
            <v>0</v>
          </cell>
        </row>
        <row r="8041">
          <cell r="P8041">
            <v>0</v>
          </cell>
        </row>
        <row r="8042">
          <cell r="P8042">
            <v>0</v>
          </cell>
        </row>
        <row r="8043">
          <cell r="P8043">
            <v>0</v>
          </cell>
        </row>
        <row r="8044">
          <cell r="P8044">
            <v>0</v>
          </cell>
        </row>
        <row r="8045">
          <cell r="P8045">
            <v>0</v>
          </cell>
        </row>
        <row r="8046">
          <cell r="P8046">
            <v>0</v>
          </cell>
        </row>
        <row r="8047">
          <cell r="P8047">
            <v>0</v>
          </cell>
        </row>
        <row r="8048">
          <cell r="P8048">
            <v>0</v>
          </cell>
        </row>
        <row r="8049">
          <cell r="P8049">
            <v>0</v>
          </cell>
        </row>
        <row r="8050">
          <cell r="P8050">
            <v>0</v>
          </cell>
        </row>
        <row r="8051">
          <cell r="P8051">
            <v>0</v>
          </cell>
        </row>
        <row r="8052">
          <cell r="P8052">
            <v>0</v>
          </cell>
        </row>
        <row r="8053">
          <cell r="P8053">
            <v>0</v>
          </cell>
        </row>
        <row r="8054">
          <cell r="P8054">
            <v>0</v>
          </cell>
        </row>
        <row r="8055">
          <cell r="P8055">
            <v>0</v>
          </cell>
        </row>
        <row r="8056">
          <cell r="P8056">
            <v>0</v>
          </cell>
        </row>
        <row r="8057">
          <cell r="P8057">
            <v>0</v>
          </cell>
        </row>
        <row r="8058">
          <cell r="P8058">
            <v>0</v>
          </cell>
        </row>
        <row r="8059">
          <cell r="P8059">
            <v>0</v>
          </cell>
        </row>
        <row r="8060">
          <cell r="P8060">
            <v>0</v>
          </cell>
        </row>
        <row r="8061">
          <cell r="P8061">
            <v>0</v>
          </cell>
        </row>
        <row r="8062">
          <cell r="P8062">
            <v>0</v>
          </cell>
        </row>
        <row r="8063">
          <cell r="P8063">
            <v>0</v>
          </cell>
        </row>
        <row r="8064">
          <cell r="P8064">
            <v>0</v>
          </cell>
        </row>
        <row r="8065">
          <cell r="P8065">
            <v>0</v>
          </cell>
        </row>
        <row r="8066">
          <cell r="P8066">
            <v>0</v>
          </cell>
        </row>
        <row r="8067">
          <cell r="P8067">
            <v>0</v>
          </cell>
        </row>
        <row r="8068">
          <cell r="P8068">
            <v>0</v>
          </cell>
        </row>
        <row r="8069">
          <cell r="P8069">
            <v>0</v>
          </cell>
        </row>
        <row r="8070">
          <cell r="P8070">
            <v>0</v>
          </cell>
        </row>
        <row r="8071">
          <cell r="P8071">
            <v>0</v>
          </cell>
        </row>
        <row r="8072">
          <cell r="P8072">
            <v>0</v>
          </cell>
        </row>
        <row r="8073">
          <cell r="P8073">
            <v>0</v>
          </cell>
        </row>
        <row r="8074">
          <cell r="P8074">
            <v>0</v>
          </cell>
        </row>
        <row r="8075">
          <cell r="P8075">
            <v>0</v>
          </cell>
        </row>
        <row r="8076">
          <cell r="P8076">
            <v>0</v>
          </cell>
        </row>
        <row r="8077">
          <cell r="P8077">
            <v>0</v>
          </cell>
        </row>
        <row r="8078">
          <cell r="P8078">
            <v>0</v>
          </cell>
        </row>
        <row r="8079">
          <cell r="P8079">
            <v>0</v>
          </cell>
        </row>
        <row r="8080">
          <cell r="P8080">
            <v>0</v>
          </cell>
        </row>
        <row r="8081">
          <cell r="P8081">
            <v>0</v>
          </cell>
        </row>
        <row r="8082">
          <cell r="P8082">
            <v>0</v>
          </cell>
        </row>
        <row r="8083">
          <cell r="P8083">
            <v>0</v>
          </cell>
        </row>
        <row r="8084">
          <cell r="P8084">
            <v>0</v>
          </cell>
        </row>
        <row r="8085">
          <cell r="P8085">
            <v>0</v>
          </cell>
        </row>
        <row r="8086">
          <cell r="P8086">
            <v>0</v>
          </cell>
        </row>
        <row r="8087">
          <cell r="P8087">
            <v>0</v>
          </cell>
        </row>
        <row r="8088">
          <cell r="P8088">
            <v>0</v>
          </cell>
        </row>
        <row r="8089">
          <cell r="P8089">
            <v>0</v>
          </cell>
        </row>
        <row r="8090">
          <cell r="P8090">
            <v>0</v>
          </cell>
        </row>
        <row r="8091">
          <cell r="P8091">
            <v>0</v>
          </cell>
        </row>
        <row r="8092">
          <cell r="P8092">
            <v>0</v>
          </cell>
        </row>
        <row r="8093">
          <cell r="P8093">
            <v>0</v>
          </cell>
        </row>
        <row r="8094">
          <cell r="P8094">
            <v>0</v>
          </cell>
        </row>
        <row r="8095">
          <cell r="P8095">
            <v>0</v>
          </cell>
        </row>
        <row r="8096">
          <cell r="P8096">
            <v>0</v>
          </cell>
        </row>
        <row r="8097">
          <cell r="P8097">
            <v>0</v>
          </cell>
        </row>
        <row r="8098">
          <cell r="P8098">
            <v>0</v>
          </cell>
        </row>
        <row r="8099">
          <cell r="P8099">
            <v>0</v>
          </cell>
        </row>
        <row r="8100">
          <cell r="P8100">
            <v>0</v>
          </cell>
        </row>
        <row r="8101">
          <cell r="P8101">
            <v>0</v>
          </cell>
        </row>
        <row r="8102">
          <cell r="P8102">
            <v>0</v>
          </cell>
        </row>
        <row r="8103">
          <cell r="P8103">
            <v>0</v>
          </cell>
        </row>
        <row r="8104">
          <cell r="P8104">
            <v>0</v>
          </cell>
        </row>
        <row r="8105">
          <cell r="P8105">
            <v>0</v>
          </cell>
        </row>
        <row r="8106">
          <cell r="P8106">
            <v>0</v>
          </cell>
        </row>
        <row r="8107">
          <cell r="P8107">
            <v>0</v>
          </cell>
        </row>
        <row r="8108">
          <cell r="P8108">
            <v>0</v>
          </cell>
        </row>
        <row r="8109">
          <cell r="P8109">
            <v>0</v>
          </cell>
        </row>
        <row r="8110">
          <cell r="P8110">
            <v>0</v>
          </cell>
        </row>
        <row r="8111">
          <cell r="P8111">
            <v>0</v>
          </cell>
        </row>
        <row r="8112">
          <cell r="P8112">
            <v>0</v>
          </cell>
        </row>
        <row r="8113">
          <cell r="P8113">
            <v>0</v>
          </cell>
        </row>
        <row r="8114">
          <cell r="P8114">
            <v>0</v>
          </cell>
        </row>
        <row r="8115">
          <cell r="P8115">
            <v>0</v>
          </cell>
        </row>
        <row r="8116">
          <cell r="P8116">
            <v>0</v>
          </cell>
        </row>
        <row r="8117">
          <cell r="P8117">
            <v>0</v>
          </cell>
        </row>
        <row r="8118">
          <cell r="P8118">
            <v>0</v>
          </cell>
        </row>
        <row r="8119">
          <cell r="P8119">
            <v>0</v>
          </cell>
        </row>
        <row r="8120">
          <cell r="P8120">
            <v>0</v>
          </cell>
        </row>
        <row r="8121">
          <cell r="P8121">
            <v>0</v>
          </cell>
        </row>
        <row r="8122">
          <cell r="P8122">
            <v>0</v>
          </cell>
        </row>
        <row r="8123">
          <cell r="P8123">
            <v>0</v>
          </cell>
        </row>
        <row r="8124">
          <cell r="P8124">
            <v>0</v>
          </cell>
        </row>
        <row r="8125">
          <cell r="P8125">
            <v>0</v>
          </cell>
        </row>
        <row r="8126">
          <cell r="P8126">
            <v>0</v>
          </cell>
        </row>
        <row r="8127">
          <cell r="P8127">
            <v>0</v>
          </cell>
        </row>
        <row r="8128">
          <cell r="P8128">
            <v>0</v>
          </cell>
        </row>
        <row r="8129">
          <cell r="P8129">
            <v>0</v>
          </cell>
        </row>
        <row r="8130">
          <cell r="P8130">
            <v>0</v>
          </cell>
        </row>
        <row r="8131">
          <cell r="P8131">
            <v>0</v>
          </cell>
        </row>
        <row r="8132">
          <cell r="P8132">
            <v>0</v>
          </cell>
        </row>
        <row r="8133">
          <cell r="P8133">
            <v>0</v>
          </cell>
        </row>
        <row r="8134">
          <cell r="P8134">
            <v>0</v>
          </cell>
        </row>
        <row r="8135">
          <cell r="P8135">
            <v>0</v>
          </cell>
        </row>
        <row r="8136">
          <cell r="P8136">
            <v>0</v>
          </cell>
        </row>
        <row r="8137">
          <cell r="P8137">
            <v>0</v>
          </cell>
        </row>
        <row r="8138">
          <cell r="P8138">
            <v>0</v>
          </cell>
        </row>
        <row r="8139">
          <cell r="P8139">
            <v>0</v>
          </cell>
        </row>
        <row r="8140">
          <cell r="P8140">
            <v>0</v>
          </cell>
        </row>
        <row r="8141">
          <cell r="P8141">
            <v>0</v>
          </cell>
        </row>
        <row r="8142">
          <cell r="P8142">
            <v>0</v>
          </cell>
        </row>
        <row r="8143">
          <cell r="P8143">
            <v>0</v>
          </cell>
        </row>
        <row r="8144">
          <cell r="P8144">
            <v>0</v>
          </cell>
        </row>
        <row r="8145">
          <cell r="P8145">
            <v>0</v>
          </cell>
        </row>
        <row r="8146">
          <cell r="P8146">
            <v>0</v>
          </cell>
        </row>
        <row r="8147">
          <cell r="P8147">
            <v>0</v>
          </cell>
        </row>
        <row r="8148">
          <cell r="P8148">
            <v>0</v>
          </cell>
        </row>
        <row r="8149">
          <cell r="P8149">
            <v>0</v>
          </cell>
        </row>
        <row r="8150">
          <cell r="P8150">
            <v>0</v>
          </cell>
        </row>
        <row r="8151">
          <cell r="P8151">
            <v>0</v>
          </cell>
        </row>
        <row r="8152">
          <cell r="P8152">
            <v>0</v>
          </cell>
        </row>
        <row r="8153">
          <cell r="P8153">
            <v>0</v>
          </cell>
        </row>
        <row r="8154">
          <cell r="P8154">
            <v>0</v>
          </cell>
        </row>
        <row r="8155">
          <cell r="P8155">
            <v>0</v>
          </cell>
        </row>
        <row r="8156">
          <cell r="P8156">
            <v>0</v>
          </cell>
        </row>
        <row r="8157">
          <cell r="P8157">
            <v>0</v>
          </cell>
        </row>
        <row r="8158">
          <cell r="P8158">
            <v>0</v>
          </cell>
        </row>
        <row r="8159">
          <cell r="P8159">
            <v>0</v>
          </cell>
        </row>
        <row r="8160">
          <cell r="P8160">
            <v>0</v>
          </cell>
        </row>
        <row r="8161">
          <cell r="P8161">
            <v>0</v>
          </cell>
        </row>
        <row r="8162">
          <cell r="P8162">
            <v>0</v>
          </cell>
        </row>
        <row r="8163">
          <cell r="P8163">
            <v>0</v>
          </cell>
        </row>
        <row r="8164">
          <cell r="P8164">
            <v>0</v>
          </cell>
        </row>
        <row r="8165">
          <cell r="P8165">
            <v>0</v>
          </cell>
        </row>
        <row r="8166">
          <cell r="P8166">
            <v>0</v>
          </cell>
        </row>
        <row r="8167">
          <cell r="P8167">
            <v>0</v>
          </cell>
        </row>
        <row r="8168">
          <cell r="P8168">
            <v>0</v>
          </cell>
        </row>
        <row r="8169">
          <cell r="P8169">
            <v>0</v>
          </cell>
        </row>
        <row r="8170">
          <cell r="P8170">
            <v>0</v>
          </cell>
        </row>
        <row r="8171">
          <cell r="P8171">
            <v>0</v>
          </cell>
        </row>
        <row r="8172">
          <cell r="P8172">
            <v>0</v>
          </cell>
        </row>
        <row r="8173">
          <cell r="P8173">
            <v>0</v>
          </cell>
        </row>
        <row r="8174">
          <cell r="P8174">
            <v>0</v>
          </cell>
        </row>
        <row r="8175">
          <cell r="P8175">
            <v>0</v>
          </cell>
        </row>
        <row r="8176">
          <cell r="P8176">
            <v>0</v>
          </cell>
        </row>
        <row r="8177">
          <cell r="P8177">
            <v>0</v>
          </cell>
        </row>
        <row r="8178">
          <cell r="P8178">
            <v>0</v>
          </cell>
        </row>
        <row r="8179">
          <cell r="P8179">
            <v>0</v>
          </cell>
        </row>
        <row r="8180">
          <cell r="P8180">
            <v>0</v>
          </cell>
        </row>
        <row r="8181">
          <cell r="P8181">
            <v>0</v>
          </cell>
        </row>
        <row r="8182">
          <cell r="P8182">
            <v>0</v>
          </cell>
        </row>
        <row r="8183">
          <cell r="P8183">
            <v>0</v>
          </cell>
        </row>
        <row r="8184">
          <cell r="P8184">
            <v>0</v>
          </cell>
        </row>
        <row r="8185">
          <cell r="P8185">
            <v>0</v>
          </cell>
        </row>
        <row r="8186">
          <cell r="P8186">
            <v>0</v>
          </cell>
        </row>
        <row r="8187">
          <cell r="P8187">
            <v>0</v>
          </cell>
        </row>
        <row r="8188">
          <cell r="P8188">
            <v>10.069999999999999</v>
          </cell>
        </row>
        <row r="8189">
          <cell r="P8189">
            <v>4.76</v>
          </cell>
        </row>
        <row r="8190">
          <cell r="P8190">
            <v>14.290000000000001</v>
          </cell>
        </row>
        <row r="8191">
          <cell r="P8191">
            <v>15.4</v>
          </cell>
        </row>
        <row r="8192">
          <cell r="P8192">
            <v>0.218</v>
          </cell>
        </row>
        <row r="8193">
          <cell r="P8193">
            <v>2.3810000000000002</v>
          </cell>
        </row>
        <row r="8194">
          <cell r="P8194">
            <v>1.488</v>
          </cell>
        </row>
        <row r="8195">
          <cell r="P8195">
            <v>0</v>
          </cell>
        </row>
        <row r="8196">
          <cell r="P8196">
            <v>0</v>
          </cell>
        </row>
        <row r="8197">
          <cell r="P8197">
            <v>0</v>
          </cell>
        </row>
        <row r="8198">
          <cell r="P8198">
            <v>0</v>
          </cell>
        </row>
        <row r="8199">
          <cell r="P8199">
            <v>0</v>
          </cell>
        </row>
        <row r="8200">
          <cell r="P8200">
            <v>0</v>
          </cell>
        </row>
        <row r="8201">
          <cell r="P8201">
            <v>0</v>
          </cell>
        </row>
        <row r="8202">
          <cell r="P8202">
            <v>0</v>
          </cell>
        </row>
        <row r="8203">
          <cell r="P8203">
            <v>0</v>
          </cell>
        </row>
        <row r="8204">
          <cell r="P8204">
            <v>0</v>
          </cell>
        </row>
        <row r="8205">
          <cell r="P8205">
            <v>0</v>
          </cell>
        </row>
        <row r="8206">
          <cell r="P8206">
            <v>0</v>
          </cell>
        </row>
        <row r="8207">
          <cell r="P8207">
            <v>0</v>
          </cell>
        </row>
        <row r="8208">
          <cell r="P8208">
            <v>0</v>
          </cell>
        </row>
        <row r="8209">
          <cell r="P8209">
            <v>0</v>
          </cell>
        </row>
        <row r="8210">
          <cell r="P8210">
            <v>0</v>
          </cell>
        </row>
        <row r="8211">
          <cell r="P8211">
            <v>0</v>
          </cell>
        </row>
        <row r="8212">
          <cell r="P8212">
            <v>0</v>
          </cell>
        </row>
        <row r="8213">
          <cell r="P8213">
            <v>0</v>
          </cell>
        </row>
        <row r="8214">
          <cell r="P8214">
            <v>0</v>
          </cell>
        </row>
        <row r="8215">
          <cell r="P8215">
            <v>0</v>
          </cell>
        </row>
        <row r="8216">
          <cell r="P8216">
            <v>0</v>
          </cell>
        </row>
        <row r="8217">
          <cell r="P8217">
            <v>0</v>
          </cell>
        </row>
        <row r="8218">
          <cell r="P8218">
            <v>0</v>
          </cell>
        </row>
        <row r="8219">
          <cell r="P8219">
            <v>0</v>
          </cell>
        </row>
        <row r="8220">
          <cell r="P8220">
            <v>0</v>
          </cell>
        </row>
        <row r="8221">
          <cell r="P8221">
            <v>0</v>
          </cell>
        </row>
        <row r="8222">
          <cell r="P8222">
            <v>0</v>
          </cell>
        </row>
        <row r="8223">
          <cell r="P8223">
            <v>0</v>
          </cell>
        </row>
        <row r="8224">
          <cell r="P8224">
            <v>0</v>
          </cell>
        </row>
        <row r="8225">
          <cell r="P8225">
            <v>0</v>
          </cell>
        </row>
        <row r="8226">
          <cell r="P8226">
            <v>0</v>
          </cell>
        </row>
        <row r="8227">
          <cell r="P8227">
            <v>0</v>
          </cell>
        </row>
        <row r="8228">
          <cell r="P8228">
            <v>0</v>
          </cell>
        </row>
        <row r="8229">
          <cell r="P8229">
            <v>0</v>
          </cell>
        </row>
        <row r="8230">
          <cell r="P8230">
            <v>0</v>
          </cell>
        </row>
        <row r="8231">
          <cell r="P8231">
            <v>0</v>
          </cell>
        </row>
        <row r="8232">
          <cell r="P8232">
            <v>0</v>
          </cell>
        </row>
        <row r="8233">
          <cell r="P8233">
            <v>0</v>
          </cell>
        </row>
        <row r="8234">
          <cell r="P8234">
            <v>0</v>
          </cell>
        </row>
        <row r="8235">
          <cell r="P8235">
            <v>0</v>
          </cell>
        </row>
        <row r="8236">
          <cell r="P8236">
            <v>0</v>
          </cell>
        </row>
        <row r="8237">
          <cell r="P8237">
            <v>0</v>
          </cell>
        </row>
        <row r="8238">
          <cell r="P8238">
            <v>0</v>
          </cell>
        </row>
        <row r="8239">
          <cell r="P8239">
            <v>0</v>
          </cell>
        </row>
        <row r="8240">
          <cell r="P8240">
            <v>0</v>
          </cell>
        </row>
        <row r="8241">
          <cell r="P8241">
            <v>0</v>
          </cell>
        </row>
        <row r="8242">
          <cell r="P8242">
            <v>0</v>
          </cell>
        </row>
        <row r="8243">
          <cell r="P8243">
            <v>0</v>
          </cell>
        </row>
        <row r="8244">
          <cell r="P8244">
            <v>0</v>
          </cell>
        </row>
        <row r="8245">
          <cell r="P8245">
            <v>0</v>
          </cell>
        </row>
        <row r="8246">
          <cell r="P8246">
            <v>0</v>
          </cell>
        </row>
        <row r="8247">
          <cell r="P8247">
            <v>0</v>
          </cell>
        </row>
        <row r="8248">
          <cell r="P8248">
            <v>0</v>
          </cell>
        </row>
        <row r="8249">
          <cell r="P8249">
            <v>0</v>
          </cell>
        </row>
        <row r="8250">
          <cell r="P8250">
            <v>0</v>
          </cell>
        </row>
        <row r="8251">
          <cell r="P8251">
            <v>0</v>
          </cell>
        </row>
        <row r="8252">
          <cell r="P8252">
            <v>0</v>
          </cell>
        </row>
        <row r="8253">
          <cell r="P8253">
            <v>0</v>
          </cell>
        </row>
        <row r="8254">
          <cell r="P8254">
            <v>0</v>
          </cell>
        </row>
        <row r="8255">
          <cell r="P8255">
            <v>0</v>
          </cell>
        </row>
        <row r="8256">
          <cell r="P8256">
            <v>0</v>
          </cell>
        </row>
        <row r="8257">
          <cell r="P8257">
            <v>0</v>
          </cell>
        </row>
        <row r="8258">
          <cell r="P8258">
            <v>0</v>
          </cell>
        </row>
        <row r="8259">
          <cell r="P8259">
            <v>0</v>
          </cell>
        </row>
        <row r="8260">
          <cell r="P8260">
            <v>0</v>
          </cell>
        </row>
        <row r="8261">
          <cell r="P8261">
            <v>0</v>
          </cell>
        </row>
        <row r="8262">
          <cell r="P8262">
            <v>0</v>
          </cell>
        </row>
        <row r="8263">
          <cell r="P8263">
            <v>0</v>
          </cell>
        </row>
        <row r="8264">
          <cell r="P8264">
            <v>0</v>
          </cell>
        </row>
        <row r="8265">
          <cell r="P8265">
            <v>0</v>
          </cell>
        </row>
        <row r="8266">
          <cell r="P8266">
            <v>0</v>
          </cell>
        </row>
        <row r="8267">
          <cell r="P8267">
            <v>0</v>
          </cell>
        </row>
        <row r="8268">
          <cell r="P8268">
            <v>0</v>
          </cell>
        </row>
        <row r="8269">
          <cell r="P8269">
            <v>0</v>
          </cell>
        </row>
        <row r="8270">
          <cell r="P8270">
            <v>0</v>
          </cell>
        </row>
        <row r="8271">
          <cell r="P8271">
            <v>0</v>
          </cell>
        </row>
        <row r="8272">
          <cell r="P8272">
            <v>0</v>
          </cell>
        </row>
        <row r="8273">
          <cell r="P8273">
            <v>0</v>
          </cell>
        </row>
        <row r="8274">
          <cell r="P8274">
            <v>0</v>
          </cell>
        </row>
        <row r="8275">
          <cell r="P8275">
            <v>0</v>
          </cell>
        </row>
        <row r="8276">
          <cell r="P8276">
            <v>0</v>
          </cell>
        </row>
        <row r="8277">
          <cell r="P8277">
            <v>0</v>
          </cell>
        </row>
        <row r="8278">
          <cell r="P8278">
            <v>0</v>
          </cell>
        </row>
        <row r="8279">
          <cell r="P8279">
            <v>0</v>
          </cell>
        </row>
        <row r="8280">
          <cell r="P8280">
            <v>0</v>
          </cell>
        </row>
        <row r="8281">
          <cell r="P8281">
            <v>0</v>
          </cell>
        </row>
        <row r="8282">
          <cell r="P8282">
            <v>0</v>
          </cell>
        </row>
        <row r="8283">
          <cell r="P8283">
            <v>0</v>
          </cell>
        </row>
        <row r="8284">
          <cell r="P8284">
            <v>0</v>
          </cell>
        </row>
        <row r="8285">
          <cell r="P8285">
            <v>0</v>
          </cell>
        </row>
        <row r="8286">
          <cell r="P8286">
            <v>0</v>
          </cell>
        </row>
        <row r="8287">
          <cell r="P8287">
            <v>0</v>
          </cell>
        </row>
        <row r="8288">
          <cell r="P8288">
            <v>0</v>
          </cell>
        </row>
        <row r="8289">
          <cell r="P8289">
            <v>0</v>
          </cell>
        </row>
        <row r="8290">
          <cell r="P8290">
            <v>0</v>
          </cell>
        </row>
        <row r="8291">
          <cell r="P8291">
            <v>0</v>
          </cell>
        </row>
        <row r="8292">
          <cell r="P8292">
            <v>0</v>
          </cell>
        </row>
        <row r="8293">
          <cell r="P8293">
            <v>0</v>
          </cell>
        </row>
        <row r="8294">
          <cell r="P8294">
            <v>0</v>
          </cell>
        </row>
        <row r="8295">
          <cell r="P8295">
            <v>0</v>
          </cell>
        </row>
        <row r="8296">
          <cell r="P8296">
            <v>0</v>
          </cell>
        </row>
        <row r="8297">
          <cell r="P8297">
            <v>0</v>
          </cell>
        </row>
        <row r="8298">
          <cell r="P8298">
            <v>0</v>
          </cell>
        </row>
        <row r="8299">
          <cell r="P8299">
            <v>0</v>
          </cell>
        </row>
        <row r="8300">
          <cell r="P8300">
            <v>0</v>
          </cell>
        </row>
        <row r="8301">
          <cell r="P8301">
            <v>0</v>
          </cell>
        </row>
        <row r="8302">
          <cell r="P8302">
            <v>0</v>
          </cell>
        </row>
        <row r="8303">
          <cell r="P8303">
            <v>0</v>
          </cell>
        </row>
        <row r="8304">
          <cell r="P8304">
            <v>0</v>
          </cell>
        </row>
        <row r="8305">
          <cell r="P8305">
            <v>0</v>
          </cell>
        </row>
        <row r="8306">
          <cell r="P8306">
            <v>0</v>
          </cell>
        </row>
        <row r="8307">
          <cell r="P8307">
            <v>0</v>
          </cell>
        </row>
        <row r="8308">
          <cell r="P8308">
            <v>0</v>
          </cell>
        </row>
        <row r="8309">
          <cell r="P8309">
            <v>0</v>
          </cell>
        </row>
        <row r="8310">
          <cell r="P8310">
            <v>0</v>
          </cell>
        </row>
        <row r="8311">
          <cell r="P8311">
            <v>0</v>
          </cell>
        </row>
        <row r="8312">
          <cell r="P8312">
            <v>0</v>
          </cell>
        </row>
        <row r="8313">
          <cell r="P8313">
            <v>0</v>
          </cell>
        </row>
        <row r="8314">
          <cell r="P8314">
            <v>0</v>
          </cell>
        </row>
        <row r="8315">
          <cell r="P8315">
            <v>0</v>
          </cell>
        </row>
        <row r="8316">
          <cell r="P8316">
            <v>0</v>
          </cell>
        </row>
        <row r="8317">
          <cell r="P8317">
            <v>0</v>
          </cell>
        </row>
        <row r="8318">
          <cell r="P8318">
            <v>0</v>
          </cell>
        </row>
        <row r="8319">
          <cell r="P8319">
            <v>0</v>
          </cell>
        </row>
        <row r="8320">
          <cell r="P8320">
            <v>0</v>
          </cell>
        </row>
        <row r="8321">
          <cell r="P8321">
            <v>0</v>
          </cell>
        </row>
        <row r="8322">
          <cell r="P8322">
            <v>0</v>
          </cell>
        </row>
        <row r="8323">
          <cell r="P8323">
            <v>0</v>
          </cell>
        </row>
        <row r="8324">
          <cell r="P8324">
            <v>0</v>
          </cell>
        </row>
        <row r="8325">
          <cell r="P8325">
            <v>0</v>
          </cell>
        </row>
        <row r="8326">
          <cell r="P8326">
            <v>0</v>
          </cell>
        </row>
        <row r="8327">
          <cell r="P8327">
            <v>0</v>
          </cell>
        </row>
        <row r="8328">
          <cell r="P8328">
            <v>0</v>
          </cell>
        </row>
        <row r="8329">
          <cell r="P8329">
            <v>0</v>
          </cell>
        </row>
        <row r="8330">
          <cell r="P8330">
            <v>0</v>
          </cell>
        </row>
        <row r="8331">
          <cell r="P8331">
            <v>0</v>
          </cell>
        </row>
        <row r="8332">
          <cell r="P8332">
            <v>0</v>
          </cell>
        </row>
        <row r="8333">
          <cell r="P8333">
            <v>0</v>
          </cell>
        </row>
        <row r="8334">
          <cell r="P8334">
            <v>0</v>
          </cell>
        </row>
        <row r="8335">
          <cell r="P8335">
            <v>0</v>
          </cell>
        </row>
        <row r="8336">
          <cell r="P8336">
            <v>0</v>
          </cell>
        </row>
        <row r="8337">
          <cell r="P8337">
            <v>0</v>
          </cell>
        </row>
        <row r="8338">
          <cell r="P8338">
            <v>0</v>
          </cell>
        </row>
        <row r="8339">
          <cell r="P8339">
            <v>0</v>
          </cell>
        </row>
        <row r="8340">
          <cell r="P8340">
            <v>0</v>
          </cell>
        </row>
        <row r="8341">
          <cell r="P8341">
            <v>0</v>
          </cell>
        </row>
        <row r="8342">
          <cell r="P8342">
            <v>0</v>
          </cell>
        </row>
        <row r="8343">
          <cell r="P8343">
            <v>0</v>
          </cell>
        </row>
        <row r="8344">
          <cell r="P8344">
            <v>0</v>
          </cell>
        </row>
        <row r="8345">
          <cell r="P8345">
            <v>0</v>
          </cell>
        </row>
        <row r="8346">
          <cell r="P8346">
            <v>0</v>
          </cell>
        </row>
        <row r="8347">
          <cell r="P8347">
            <v>0</v>
          </cell>
        </row>
        <row r="8348">
          <cell r="P8348">
            <v>0</v>
          </cell>
        </row>
        <row r="8349">
          <cell r="P8349">
            <v>0</v>
          </cell>
        </row>
        <row r="8350">
          <cell r="P8350">
            <v>0</v>
          </cell>
        </row>
        <row r="8351">
          <cell r="P8351">
            <v>0</v>
          </cell>
        </row>
        <row r="8352">
          <cell r="P8352">
            <v>0</v>
          </cell>
        </row>
        <row r="8353">
          <cell r="P8353">
            <v>0</v>
          </cell>
        </row>
        <row r="8354">
          <cell r="P8354">
            <v>0</v>
          </cell>
        </row>
        <row r="8355">
          <cell r="P8355">
            <v>0</v>
          </cell>
        </row>
        <row r="8356">
          <cell r="P8356">
            <v>0</v>
          </cell>
        </row>
        <row r="8357">
          <cell r="P8357">
            <v>0</v>
          </cell>
        </row>
        <row r="8358">
          <cell r="P8358">
            <v>0</v>
          </cell>
        </row>
        <row r="8359">
          <cell r="P8359">
            <v>0</v>
          </cell>
        </row>
        <row r="8360">
          <cell r="P8360">
            <v>0</v>
          </cell>
        </row>
        <row r="8361">
          <cell r="P8361">
            <v>0</v>
          </cell>
        </row>
        <row r="8362">
          <cell r="P8362">
            <v>0</v>
          </cell>
        </row>
        <row r="8363">
          <cell r="P8363">
            <v>0</v>
          </cell>
        </row>
        <row r="8364">
          <cell r="P8364">
            <v>0</v>
          </cell>
        </row>
        <row r="8365">
          <cell r="P8365">
            <v>0</v>
          </cell>
        </row>
        <row r="8366">
          <cell r="P8366">
            <v>0</v>
          </cell>
        </row>
        <row r="8367">
          <cell r="P8367">
            <v>0</v>
          </cell>
        </row>
        <row r="8368">
          <cell r="P8368">
            <v>0</v>
          </cell>
        </row>
        <row r="8369">
          <cell r="P8369">
            <v>0</v>
          </cell>
        </row>
        <row r="8370">
          <cell r="P8370">
            <v>0</v>
          </cell>
        </row>
        <row r="8371">
          <cell r="P8371">
            <v>0</v>
          </cell>
        </row>
        <row r="8372">
          <cell r="P8372">
            <v>0</v>
          </cell>
        </row>
        <row r="8373">
          <cell r="P8373">
            <v>0</v>
          </cell>
        </row>
        <row r="8374">
          <cell r="P8374">
            <v>0</v>
          </cell>
        </row>
        <row r="8375">
          <cell r="P8375">
            <v>0</v>
          </cell>
        </row>
        <row r="8376">
          <cell r="P8376">
            <v>0</v>
          </cell>
        </row>
        <row r="8377">
          <cell r="P8377">
            <v>0</v>
          </cell>
        </row>
        <row r="8378">
          <cell r="P8378">
            <v>0</v>
          </cell>
        </row>
        <row r="8379">
          <cell r="P8379">
            <v>0</v>
          </cell>
        </row>
        <row r="8380">
          <cell r="P8380">
            <v>0</v>
          </cell>
        </row>
        <row r="8381">
          <cell r="P8381">
            <v>0</v>
          </cell>
        </row>
        <row r="8382">
          <cell r="P8382">
            <v>0</v>
          </cell>
        </row>
        <row r="8383">
          <cell r="P8383">
            <v>0</v>
          </cell>
        </row>
        <row r="8384">
          <cell r="P8384">
            <v>0</v>
          </cell>
        </row>
        <row r="8385">
          <cell r="P8385">
            <v>0</v>
          </cell>
        </row>
        <row r="8386">
          <cell r="P8386">
            <v>0</v>
          </cell>
        </row>
        <row r="8387">
          <cell r="P8387">
            <v>0</v>
          </cell>
        </row>
        <row r="8388">
          <cell r="P8388">
            <v>0</v>
          </cell>
        </row>
        <row r="8389">
          <cell r="P8389">
            <v>0</v>
          </cell>
        </row>
        <row r="8390">
          <cell r="P8390">
            <v>0</v>
          </cell>
        </row>
        <row r="8391">
          <cell r="P8391">
            <v>0</v>
          </cell>
        </row>
        <row r="8392">
          <cell r="P8392">
            <v>0</v>
          </cell>
        </row>
        <row r="8393">
          <cell r="P8393">
            <v>0</v>
          </cell>
        </row>
        <row r="8394">
          <cell r="P8394">
            <v>0</v>
          </cell>
        </row>
        <row r="8395">
          <cell r="P8395">
            <v>0</v>
          </cell>
        </row>
        <row r="8396">
          <cell r="P8396">
            <v>0</v>
          </cell>
        </row>
        <row r="8397">
          <cell r="P8397">
            <v>0</v>
          </cell>
        </row>
        <row r="8398">
          <cell r="P8398">
            <v>0</v>
          </cell>
        </row>
        <row r="8399">
          <cell r="P8399">
            <v>0</v>
          </cell>
        </row>
        <row r="8400">
          <cell r="P8400">
            <v>0</v>
          </cell>
        </row>
        <row r="8401">
          <cell r="P8401">
            <v>0</v>
          </cell>
        </row>
        <row r="8402">
          <cell r="P8402">
            <v>0</v>
          </cell>
        </row>
        <row r="8403">
          <cell r="P8403">
            <v>0</v>
          </cell>
        </row>
        <row r="8404">
          <cell r="P8404">
            <v>0</v>
          </cell>
        </row>
        <row r="8405">
          <cell r="P8405">
            <v>0</v>
          </cell>
        </row>
        <row r="8406">
          <cell r="P8406">
            <v>0</v>
          </cell>
        </row>
        <row r="8407">
          <cell r="P8407">
            <v>0</v>
          </cell>
        </row>
        <row r="8408">
          <cell r="P8408">
            <v>0</v>
          </cell>
        </row>
        <row r="8409">
          <cell r="P8409">
            <v>0</v>
          </cell>
        </row>
        <row r="8410">
          <cell r="P8410">
            <v>0</v>
          </cell>
        </row>
        <row r="8411">
          <cell r="P8411">
            <v>0</v>
          </cell>
        </row>
        <row r="8412">
          <cell r="P8412">
            <v>0</v>
          </cell>
        </row>
        <row r="8413">
          <cell r="P8413">
            <v>0</v>
          </cell>
        </row>
        <row r="8414">
          <cell r="P8414">
            <v>0</v>
          </cell>
        </row>
        <row r="8415">
          <cell r="P8415">
            <v>0</v>
          </cell>
        </row>
        <row r="8416">
          <cell r="P8416">
            <v>0</v>
          </cell>
        </row>
        <row r="8417">
          <cell r="P8417">
            <v>0</v>
          </cell>
        </row>
        <row r="8418">
          <cell r="P8418">
            <v>0</v>
          </cell>
        </row>
        <row r="8419">
          <cell r="P8419">
            <v>0</v>
          </cell>
        </row>
        <row r="8420">
          <cell r="P8420">
            <v>0</v>
          </cell>
        </row>
        <row r="8421">
          <cell r="P8421">
            <v>0</v>
          </cell>
        </row>
        <row r="8422">
          <cell r="P8422">
            <v>0</v>
          </cell>
        </row>
        <row r="8423">
          <cell r="P8423">
            <v>0</v>
          </cell>
        </row>
        <row r="8424">
          <cell r="P8424">
            <v>0</v>
          </cell>
        </row>
        <row r="8425">
          <cell r="P8425">
            <v>0</v>
          </cell>
        </row>
        <row r="8426">
          <cell r="P8426">
            <v>0</v>
          </cell>
        </row>
        <row r="8427">
          <cell r="P8427">
            <v>0</v>
          </cell>
        </row>
        <row r="8428">
          <cell r="P8428">
            <v>0</v>
          </cell>
        </row>
        <row r="8429">
          <cell r="P8429">
            <v>0</v>
          </cell>
        </row>
        <row r="8430">
          <cell r="P8430">
            <v>0</v>
          </cell>
        </row>
        <row r="8431">
          <cell r="P8431">
            <v>0</v>
          </cell>
        </row>
        <row r="8432">
          <cell r="P8432">
            <v>0</v>
          </cell>
        </row>
        <row r="8433">
          <cell r="P8433">
            <v>0</v>
          </cell>
        </row>
        <row r="8434">
          <cell r="P8434">
            <v>0</v>
          </cell>
        </row>
        <row r="8435">
          <cell r="P8435">
            <v>0</v>
          </cell>
        </row>
        <row r="8436">
          <cell r="P8436">
            <v>0</v>
          </cell>
        </row>
        <row r="8437">
          <cell r="P8437">
            <v>0</v>
          </cell>
        </row>
        <row r="8438">
          <cell r="P8438">
            <v>0</v>
          </cell>
        </row>
        <row r="8439">
          <cell r="P8439">
            <v>0</v>
          </cell>
        </row>
        <row r="8440">
          <cell r="P8440">
            <v>0</v>
          </cell>
        </row>
        <row r="8441">
          <cell r="P8441">
            <v>0</v>
          </cell>
        </row>
        <row r="8442">
          <cell r="P8442">
            <v>0</v>
          </cell>
        </row>
        <row r="8443">
          <cell r="P8443">
            <v>0</v>
          </cell>
        </row>
        <row r="8444">
          <cell r="P8444">
            <v>0</v>
          </cell>
        </row>
        <row r="8445">
          <cell r="P8445">
            <v>0</v>
          </cell>
        </row>
        <row r="8446">
          <cell r="P8446">
            <v>0</v>
          </cell>
        </row>
        <row r="8447">
          <cell r="P8447">
            <v>0</v>
          </cell>
        </row>
        <row r="8448">
          <cell r="P8448">
            <v>0</v>
          </cell>
        </row>
        <row r="8449">
          <cell r="P8449">
            <v>0</v>
          </cell>
        </row>
        <row r="8450">
          <cell r="P8450">
            <v>0</v>
          </cell>
        </row>
        <row r="8451">
          <cell r="P8451">
            <v>0</v>
          </cell>
        </row>
        <row r="8452">
          <cell r="P8452">
            <v>0</v>
          </cell>
        </row>
        <row r="8453">
          <cell r="P8453">
            <v>0</v>
          </cell>
        </row>
        <row r="8454">
          <cell r="P8454">
            <v>0</v>
          </cell>
        </row>
        <row r="8455">
          <cell r="P8455">
            <v>0</v>
          </cell>
        </row>
        <row r="8456">
          <cell r="P8456">
            <v>0</v>
          </cell>
        </row>
        <row r="8457">
          <cell r="P8457">
            <v>0</v>
          </cell>
        </row>
        <row r="8458">
          <cell r="P8458">
            <v>0</v>
          </cell>
        </row>
        <row r="8459">
          <cell r="P8459">
            <v>0</v>
          </cell>
        </row>
        <row r="8460">
          <cell r="P8460">
            <v>0</v>
          </cell>
        </row>
        <row r="8461">
          <cell r="P8461">
            <v>0</v>
          </cell>
        </row>
        <row r="8462">
          <cell r="P8462">
            <v>0</v>
          </cell>
        </row>
        <row r="8463">
          <cell r="P8463">
            <v>0</v>
          </cell>
        </row>
        <row r="8464">
          <cell r="P8464">
            <v>0</v>
          </cell>
        </row>
        <row r="8465">
          <cell r="P8465">
            <v>0</v>
          </cell>
        </row>
        <row r="8466">
          <cell r="P8466">
            <v>0</v>
          </cell>
        </row>
        <row r="8467">
          <cell r="P8467">
            <v>0</v>
          </cell>
        </row>
        <row r="8468">
          <cell r="P8468">
            <v>0</v>
          </cell>
        </row>
        <row r="8469">
          <cell r="P8469">
            <v>0</v>
          </cell>
        </row>
        <row r="8470">
          <cell r="P8470">
            <v>0</v>
          </cell>
        </row>
        <row r="8471">
          <cell r="P8471">
            <v>0</v>
          </cell>
        </row>
        <row r="8472">
          <cell r="P8472">
            <v>0</v>
          </cell>
        </row>
        <row r="8473">
          <cell r="P8473">
            <v>0</v>
          </cell>
        </row>
        <row r="8474">
          <cell r="P8474">
            <v>0</v>
          </cell>
        </row>
        <row r="8475">
          <cell r="P8475">
            <v>0</v>
          </cell>
        </row>
        <row r="8476">
          <cell r="P8476">
            <v>0</v>
          </cell>
        </row>
        <row r="8477">
          <cell r="P8477">
            <v>0</v>
          </cell>
        </row>
        <row r="8478">
          <cell r="P8478">
            <v>0</v>
          </cell>
        </row>
        <row r="8479">
          <cell r="P8479">
            <v>0</v>
          </cell>
        </row>
        <row r="8480">
          <cell r="P8480">
            <v>0</v>
          </cell>
        </row>
        <row r="8481">
          <cell r="P8481">
            <v>0</v>
          </cell>
        </row>
        <row r="8482">
          <cell r="P8482">
            <v>0</v>
          </cell>
        </row>
        <row r="8483">
          <cell r="P8483">
            <v>0</v>
          </cell>
        </row>
        <row r="8484">
          <cell r="P8484">
            <v>0</v>
          </cell>
        </row>
        <row r="8485">
          <cell r="P8485">
            <v>0</v>
          </cell>
        </row>
        <row r="8486">
          <cell r="P8486">
            <v>0</v>
          </cell>
        </row>
        <row r="8487">
          <cell r="P8487">
            <v>0</v>
          </cell>
        </row>
        <row r="8488">
          <cell r="P8488">
            <v>0</v>
          </cell>
        </row>
        <row r="8489">
          <cell r="P8489">
            <v>0</v>
          </cell>
        </row>
        <row r="8490">
          <cell r="P8490">
            <v>0</v>
          </cell>
        </row>
        <row r="8491">
          <cell r="P8491">
            <v>0</v>
          </cell>
        </row>
        <row r="8492">
          <cell r="P8492">
            <v>0</v>
          </cell>
        </row>
        <row r="8493">
          <cell r="P8493">
            <v>0</v>
          </cell>
        </row>
        <row r="8494">
          <cell r="P8494">
            <v>0</v>
          </cell>
        </row>
        <row r="8495">
          <cell r="P8495">
            <v>0</v>
          </cell>
        </row>
        <row r="8496">
          <cell r="P8496">
            <v>0</v>
          </cell>
        </row>
        <row r="8497">
          <cell r="P8497">
            <v>0</v>
          </cell>
        </row>
        <row r="8498">
          <cell r="P8498">
            <v>0</v>
          </cell>
        </row>
        <row r="8499">
          <cell r="P8499">
            <v>0</v>
          </cell>
        </row>
        <row r="8500">
          <cell r="P8500">
            <v>0</v>
          </cell>
        </row>
        <row r="8501">
          <cell r="P8501">
            <v>0</v>
          </cell>
        </row>
        <row r="8502">
          <cell r="P8502">
            <v>0</v>
          </cell>
        </row>
        <row r="8503">
          <cell r="P8503">
            <v>0</v>
          </cell>
        </row>
        <row r="8504">
          <cell r="P8504">
            <v>0</v>
          </cell>
        </row>
        <row r="8505">
          <cell r="P8505">
            <v>0</v>
          </cell>
        </row>
        <row r="8506">
          <cell r="P8506">
            <v>0</v>
          </cell>
        </row>
        <row r="8507">
          <cell r="P8507">
            <v>0</v>
          </cell>
        </row>
        <row r="8508">
          <cell r="P8508">
            <v>0</v>
          </cell>
        </row>
        <row r="8509">
          <cell r="P8509">
            <v>0</v>
          </cell>
        </row>
        <row r="8510">
          <cell r="P8510">
            <v>0</v>
          </cell>
        </row>
        <row r="8511">
          <cell r="P8511">
            <v>0</v>
          </cell>
        </row>
        <row r="8512">
          <cell r="P8512">
            <v>0</v>
          </cell>
        </row>
        <row r="8513">
          <cell r="P8513">
            <v>0</v>
          </cell>
        </row>
        <row r="8514">
          <cell r="P8514">
            <v>0</v>
          </cell>
        </row>
        <row r="8515">
          <cell r="P8515">
            <v>0</v>
          </cell>
        </row>
        <row r="8516">
          <cell r="P8516">
            <v>0</v>
          </cell>
        </row>
        <row r="8517">
          <cell r="P8517">
            <v>0</v>
          </cell>
        </row>
        <row r="8518">
          <cell r="P8518">
            <v>0</v>
          </cell>
        </row>
        <row r="8519">
          <cell r="P8519">
            <v>0</v>
          </cell>
        </row>
        <row r="8520">
          <cell r="P8520">
            <v>0</v>
          </cell>
        </row>
        <row r="8521">
          <cell r="P8521">
            <v>0</v>
          </cell>
        </row>
        <row r="8522">
          <cell r="P8522">
            <v>0</v>
          </cell>
        </row>
        <row r="8523">
          <cell r="P8523">
            <v>0</v>
          </cell>
        </row>
        <row r="8524">
          <cell r="P8524">
            <v>0</v>
          </cell>
        </row>
        <row r="8525">
          <cell r="P8525">
            <v>0</v>
          </cell>
        </row>
        <row r="8526">
          <cell r="P8526">
            <v>0</v>
          </cell>
        </row>
        <row r="8527">
          <cell r="P8527">
            <v>0</v>
          </cell>
        </row>
        <row r="8528">
          <cell r="P8528">
            <v>0</v>
          </cell>
        </row>
        <row r="8529">
          <cell r="P8529">
            <v>0</v>
          </cell>
        </row>
        <row r="8530">
          <cell r="P8530">
            <v>0</v>
          </cell>
        </row>
        <row r="8531">
          <cell r="P8531">
            <v>0</v>
          </cell>
        </row>
        <row r="8532">
          <cell r="P8532">
            <v>0</v>
          </cell>
        </row>
        <row r="8533">
          <cell r="P8533">
            <v>0</v>
          </cell>
        </row>
        <row r="8534">
          <cell r="P8534">
            <v>0</v>
          </cell>
        </row>
        <row r="8535">
          <cell r="P8535">
            <v>0</v>
          </cell>
        </row>
        <row r="8536">
          <cell r="P8536">
            <v>0</v>
          </cell>
        </row>
        <row r="8537">
          <cell r="P8537">
            <v>0</v>
          </cell>
        </row>
        <row r="8538">
          <cell r="P8538">
            <v>0</v>
          </cell>
        </row>
        <row r="8539">
          <cell r="P8539">
            <v>0</v>
          </cell>
        </row>
        <row r="8540">
          <cell r="P8540">
            <v>0</v>
          </cell>
        </row>
        <row r="8541">
          <cell r="P8541">
            <v>0</v>
          </cell>
        </row>
        <row r="8542">
          <cell r="P8542">
            <v>0</v>
          </cell>
        </row>
        <row r="8543">
          <cell r="P8543">
            <v>0</v>
          </cell>
        </row>
        <row r="8544">
          <cell r="P8544">
            <v>0</v>
          </cell>
        </row>
        <row r="8545">
          <cell r="P8545">
            <v>0</v>
          </cell>
        </row>
        <row r="8546">
          <cell r="P8546">
            <v>0</v>
          </cell>
        </row>
        <row r="8547">
          <cell r="P8547">
            <v>0</v>
          </cell>
        </row>
        <row r="8548">
          <cell r="P8548">
            <v>0</v>
          </cell>
        </row>
        <row r="8549">
          <cell r="P8549">
            <v>0</v>
          </cell>
        </row>
        <row r="8550">
          <cell r="P8550">
            <v>0</v>
          </cell>
        </row>
        <row r="8551">
          <cell r="P8551">
            <v>0</v>
          </cell>
        </row>
        <row r="8552">
          <cell r="P8552">
            <v>0</v>
          </cell>
        </row>
        <row r="8553">
          <cell r="P8553">
            <v>0</v>
          </cell>
        </row>
        <row r="8554">
          <cell r="P8554">
            <v>0</v>
          </cell>
        </row>
        <row r="8555">
          <cell r="P8555">
            <v>0</v>
          </cell>
        </row>
        <row r="8556">
          <cell r="P8556">
            <v>0</v>
          </cell>
        </row>
        <row r="8557">
          <cell r="P8557">
            <v>0</v>
          </cell>
        </row>
        <row r="8558">
          <cell r="P8558">
            <v>0</v>
          </cell>
        </row>
        <row r="8559">
          <cell r="P8559">
            <v>0</v>
          </cell>
        </row>
        <row r="8560">
          <cell r="P8560">
            <v>0</v>
          </cell>
        </row>
        <row r="8561">
          <cell r="P8561">
            <v>0</v>
          </cell>
        </row>
        <row r="8562">
          <cell r="P8562">
            <v>0</v>
          </cell>
        </row>
        <row r="8563">
          <cell r="P8563">
            <v>0</v>
          </cell>
        </row>
        <row r="8564">
          <cell r="P8564">
            <v>0</v>
          </cell>
        </row>
        <row r="8565">
          <cell r="P8565">
            <v>0</v>
          </cell>
        </row>
        <row r="8566">
          <cell r="P8566">
            <v>0</v>
          </cell>
        </row>
        <row r="8567">
          <cell r="P8567">
            <v>0</v>
          </cell>
        </row>
        <row r="8568">
          <cell r="P8568">
            <v>0</v>
          </cell>
        </row>
        <row r="8569">
          <cell r="P8569">
            <v>0</v>
          </cell>
        </row>
        <row r="8570">
          <cell r="P8570">
            <v>0</v>
          </cell>
        </row>
        <row r="8571">
          <cell r="P8571">
            <v>0</v>
          </cell>
        </row>
        <row r="8572">
          <cell r="P8572">
            <v>0</v>
          </cell>
        </row>
        <row r="8573">
          <cell r="P8573">
            <v>0</v>
          </cell>
        </row>
        <row r="8574">
          <cell r="P8574">
            <v>0</v>
          </cell>
        </row>
        <row r="8575">
          <cell r="P8575">
            <v>0</v>
          </cell>
        </row>
        <row r="8576">
          <cell r="P8576">
            <v>0</v>
          </cell>
        </row>
        <row r="8577">
          <cell r="P8577">
            <v>0</v>
          </cell>
        </row>
        <row r="8578">
          <cell r="P8578">
            <v>0</v>
          </cell>
        </row>
        <row r="8579">
          <cell r="P8579">
            <v>0</v>
          </cell>
        </row>
        <row r="8580">
          <cell r="P8580">
            <v>0</v>
          </cell>
        </row>
        <row r="8581">
          <cell r="P8581">
            <v>0</v>
          </cell>
        </row>
        <row r="8582">
          <cell r="P8582">
            <v>0</v>
          </cell>
        </row>
        <row r="8583">
          <cell r="P8583">
            <v>0</v>
          </cell>
        </row>
        <row r="8584">
          <cell r="P8584">
            <v>0</v>
          </cell>
        </row>
        <row r="8585">
          <cell r="P8585">
            <v>0</v>
          </cell>
        </row>
        <row r="8586">
          <cell r="P8586">
            <v>0</v>
          </cell>
        </row>
        <row r="8587">
          <cell r="P8587">
            <v>0</v>
          </cell>
        </row>
        <row r="8588">
          <cell r="P8588">
            <v>0</v>
          </cell>
        </row>
        <row r="8589">
          <cell r="P8589">
            <v>0</v>
          </cell>
        </row>
        <row r="8590">
          <cell r="P8590">
            <v>0</v>
          </cell>
        </row>
        <row r="8591">
          <cell r="P8591">
            <v>0</v>
          </cell>
        </row>
        <row r="8592">
          <cell r="P8592">
            <v>0</v>
          </cell>
        </row>
        <row r="8593">
          <cell r="P8593">
            <v>0</v>
          </cell>
        </row>
        <row r="8594">
          <cell r="P8594">
            <v>0</v>
          </cell>
        </row>
        <row r="8595">
          <cell r="P8595">
            <v>0</v>
          </cell>
        </row>
        <row r="8596">
          <cell r="P8596">
            <v>0</v>
          </cell>
        </row>
        <row r="8597">
          <cell r="P8597">
            <v>0</v>
          </cell>
        </row>
        <row r="8598">
          <cell r="P8598">
            <v>0</v>
          </cell>
        </row>
        <row r="8599">
          <cell r="P8599">
            <v>0</v>
          </cell>
        </row>
        <row r="8600">
          <cell r="P8600">
            <v>0</v>
          </cell>
        </row>
        <row r="8601">
          <cell r="P8601">
            <v>0</v>
          </cell>
        </row>
        <row r="8602">
          <cell r="P8602">
            <v>0</v>
          </cell>
        </row>
        <row r="8603">
          <cell r="P8603">
            <v>0</v>
          </cell>
        </row>
        <row r="8604">
          <cell r="P8604">
            <v>0</v>
          </cell>
        </row>
        <row r="8605">
          <cell r="P8605">
            <v>0</v>
          </cell>
        </row>
        <row r="8606">
          <cell r="P8606">
            <v>0</v>
          </cell>
        </row>
        <row r="8607">
          <cell r="P8607">
            <v>0</v>
          </cell>
        </row>
        <row r="8608">
          <cell r="P8608">
            <v>0</v>
          </cell>
        </row>
        <row r="8609">
          <cell r="P8609">
            <v>0</v>
          </cell>
        </row>
        <row r="8610">
          <cell r="P8610">
            <v>0</v>
          </cell>
        </row>
        <row r="8611">
          <cell r="P8611">
            <v>0</v>
          </cell>
        </row>
        <row r="8612">
          <cell r="P8612">
            <v>0</v>
          </cell>
        </row>
        <row r="8613">
          <cell r="P8613">
            <v>0</v>
          </cell>
        </row>
        <row r="8614">
          <cell r="P8614">
            <v>0</v>
          </cell>
        </row>
        <row r="8615">
          <cell r="P8615">
            <v>0</v>
          </cell>
        </row>
        <row r="8616">
          <cell r="P8616">
            <v>0</v>
          </cell>
        </row>
        <row r="8617">
          <cell r="P8617">
            <v>0</v>
          </cell>
        </row>
        <row r="8618">
          <cell r="P8618">
            <v>0</v>
          </cell>
        </row>
        <row r="8619">
          <cell r="P8619">
            <v>0</v>
          </cell>
        </row>
        <row r="8620">
          <cell r="P8620">
            <v>0</v>
          </cell>
        </row>
        <row r="8621">
          <cell r="P8621">
            <v>0</v>
          </cell>
        </row>
        <row r="8622">
          <cell r="P8622">
            <v>0</v>
          </cell>
        </row>
        <row r="8623">
          <cell r="P8623">
            <v>0</v>
          </cell>
        </row>
        <row r="8624">
          <cell r="P8624">
            <v>0</v>
          </cell>
        </row>
        <row r="8625">
          <cell r="P8625">
            <v>0</v>
          </cell>
        </row>
        <row r="8626">
          <cell r="P8626">
            <v>0</v>
          </cell>
        </row>
        <row r="8627">
          <cell r="P8627">
            <v>0</v>
          </cell>
        </row>
        <row r="8628">
          <cell r="P8628">
            <v>0</v>
          </cell>
        </row>
        <row r="8629">
          <cell r="P8629">
            <v>0</v>
          </cell>
        </row>
        <row r="8630">
          <cell r="P8630">
            <v>0</v>
          </cell>
        </row>
        <row r="8631">
          <cell r="P8631">
            <v>0</v>
          </cell>
        </row>
        <row r="8632">
          <cell r="P8632">
            <v>0</v>
          </cell>
        </row>
        <row r="8633">
          <cell r="P8633">
            <v>0</v>
          </cell>
        </row>
        <row r="8634">
          <cell r="P8634">
            <v>0</v>
          </cell>
        </row>
        <row r="8635">
          <cell r="P8635">
            <v>0</v>
          </cell>
        </row>
        <row r="8636">
          <cell r="P8636">
            <v>0</v>
          </cell>
        </row>
        <row r="8637">
          <cell r="P8637">
            <v>0</v>
          </cell>
        </row>
        <row r="8638">
          <cell r="P8638">
            <v>0</v>
          </cell>
        </row>
        <row r="8639">
          <cell r="P8639">
            <v>0</v>
          </cell>
        </row>
        <row r="8640">
          <cell r="P8640">
            <v>0</v>
          </cell>
        </row>
        <row r="8641">
          <cell r="P8641">
            <v>0</v>
          </cell>
        </row>
        <row r="8642">
          <cell r="P8642">
            <v>0</v>
          </cell>
        </row>
        <row r="8643">
          <cell r="P8643">
            <v>0</v>
          </cell>
        </row>
        <row r="8644">
          <cell r="P8644">
            <v>0</v>
          </cell>
        </row>
        <row r="8645">
          <cell r="P8645">
            <v>0</v>
          </cell>
        </row>
        <row r="8646">
          <cell r="P8646">
            <v>0</v>
          </cell>
        </row>
        <row r="8647">
          <cell r="P8647">
            <v>0</v>
          </cell>
        </row>
        <row r="8648">
          <cell r="P8648">
            <v>0</v>
          </cell>
        </row>
        <row r="8649">
          <cell r="P8649">
            <v>0</v>
          </cell>
        </row>
        <row r="8650">
          <cell r="P8650">
            <v>0</v>
          </cell>
        </row>
        <row r="8651">
          <cell r="P8651">
            <v>0</v>
          </cell>
        </row>
        <row r="8652">
          <cell r="P8652">
            <v>0</v>
          </cell>
        </row>
        <row r="8653">
          <cell r="P8653">
            <v>0</v>
          </cell>
        </row>
        <row r="8654">
          <cell r="P8654">
            <v>0</v>
          </cell>
        </row>
        <row r="8655">
          <cell r="P8655">
            <v>0</v>
          </cell>
        </row>
        <row r="8656">
          <cell r="P8656">
            <v>0</v>
          </cell>
        </row>
        <row r="8657">
          <cell r="P8657">
            <v>0</v>
          </cell>
        </row>
        <row r="8658">
          <cell r="P8658">
            <v>0</v>
          </cell>
        </row>
        <row r="8659">
          <cell r="P8659">
            <v>0</v>
          </cell>
        </row>
        <row r="8660">
          <cell r="P8660">
            <v>0</v>
          </cell>
        </row>
        <row r="8661">
          <cell r="P8661">
            <v>0</v>
          </cell>
        </row>
        <row r="8662">
          <cell r="P8662">
            <v>0</v>
          </cell>
        </row>
        <row r="8663">
          <cell r="P8663">
            <v>0</v>
          </cell>
        </row>
        <row r="8664">
          <cell r="P8664">
            <v>0</v>
          </cell>
        </row>
        <row r="8665">
          <cell r="P8665">
            <v>0</v>
          </cell>
        </row>
        <row r="8666">
          <cell r="P8666">
            <v>0</v>
          </cell>
        </row>
        <row r="8667">
          <cell r="P8667">
            <v>0</v>
          </cell>
        </row>
        <row r="8668">
          <cell r="P8668">
            <v>0</v>
          </cell>
        </row>
        <row r="8669">
          <cell r="P8669">
            <v>0</v>
          </cell>
        </row>
        <row r="8670">
          <cell r="P8670">
            <v>0</v>
          </cell>
        </row>
        <row r="8671">
          <cell r="P8671">
            <v>0</v>
          </cell>
        </row>
        <row r="8672">
          <cell r="P8672">
            <v>0</v>
          </cell>
        </row>
        <row r="8673">
          <cell r="P8673">
            <v>0</v>
          </cell>
        </row>
        <row r="8674">
          <cell r="P8674">
            <v>0</v>
          </cell>
        </row>
        <row r="8675">
          <cell r="P8675">
            <v>0</v>
          </cell>
        </row>
        <row r="8676">
          <cell r="P8676">
            <v>0</v>
          </cell>
        </row>
        <row r="8677">
          <cell r="P8677">
            <v>0</v>
          </cell>
        </row>
        <row r="8678">
          <cell r="P8678">
            <v>0</v>
          </cell>
        </row>
        <row r="8679">
          <cell r="P8679">
            <v>0</v>
          </cell>
        </row>
        <row r="8680">
          <cell r="P8680">
            <v>0</v>
          </cell>
        </row>
        <row r="8681">
          <cell r="P8681">
            <v>0</v>
          </cell>
        </row>
        <row r="8682">
          <cell r="P8682">
            <v>0</v>
          </cell>
        </row>
        <row r="8683">
          <cell r="P8683">
            <v>0</v>
          </cell>
        </row>
        <row r="8684">
          <cell r="P8684">
            <v>0</v>
          </cell>
        </row>
        <row r="8685">
          <cell r="P8685">
            <v>0</v>
          </cell>
        </row>
        <row r="8686">
          <cell r="P8686">
            <v>0</v>
          </cell>
        </row>
        <row r="8687">
          <cell r="P8687">
            <v>0</v>
          </cell>
        </row>
        <row r="8688">
          <cell r="P8688">
            <v>0</v>
          </cell>
        </row>
        <row r="8689">
          <cell r="P8689">
            <v>0</v>
          </cell>
        </row>
        <row r="8690">
          <cell r="P8690">
            <v>0</v>
          </cell>
        </row>
        <row r="8691">
          <cell r="P8691">
            <v>0</v>
          </cell>
        </row>
        <row r="8692">
          <cell r="P8692">
            <v>0</v>
          </cell>
        </row>
        <row r="8693">
          <cell r="P8693">
            <v>0</v>
          </cell>
        </row>
        <row r="8694">
          <cell r="P8694">
            <v>0</v>
          </cell>
        </row>
        <row r="8695">
          <cell r="P8695">
            <v>0</v>
          </cell>
        </row>
        <row r="8696">
          <cell r="P8696">
            <v>0</v>
          </cell>
        </row>
        <row r="8697">
          <cell r="P8697">
            <v>0</v>
          </cell>
        </row>
        <row r="8698">
          <cell r="P8698">
            <v>0</v>
          </cell>
        </row>
        <row r="8699">
          <cell r="P8699">
            <v>0</v>
          </cell>
        </row>
        <row r="8700">
          <cell r="P8700">
            <v>0</v>
          </cell>
        </row>
        <row r="8701">
          <cell r="P8701">
            <v>0</v>
          </cell>
        </row>
        <row r="8702">
          <cell r="P8702">
            <v>0</v>
          </cell>
        </row>
        <row r="8703">
          <cell r="P8703">
            <v>0</v>
          </cell>
        </row>
        <row r="8704">
          <cell r="P8704">
            <v>0</v>
          </cell>
        </row>
        <row r="8705">
          <cell r="P8705">
            <v>0</v>
          </cell>
        </row>
        <row r="8706">
          <cell r="P8706">
            <v>0</v>
          </cell>
        </row>
        <row r="8707">
          <cell r="P8707">
            <v>0</v>
          </cell>
        </row>
        <row r="8708">
          <cell r="P8708">
            <v>0</v>
          </cell>
        </row>
        <row r="8709">
          <cell r="P8709">
            <v>0</v>
          </cell>
        </row>
        <row r="8710">
          <cell r="P8710">
            <v>0</v>
          </cell>
        </row>
        <row r="8711">
          <cell r="P8711">
            <v>0</v>
          </cell>
        </row>
        <row r="8712">
          <cell r="P8712">
            <v>0</v>
          </cell>
        </row>
        <row r="8713">
          <cell r="P8713">
            <v>0</v>
          </cell>
        </row>
        <row r="8714">
          <cell r="P8714">
            <v>0</v>
          </cell>
        </row>
        <row r="8715">
          <cell r="P8715">
            <v>0</v>
          </cell>
        </row>
        <row r="8716">
          <cell r="P8716">
            <v>0</v>
          </cell>
        </row>
        <row r="8717">
          <cell r="P8717">
            <v>0</v>
          </cell>
        </row>
        <row r="8718">
          <cell r="P8718">
            <v>0</v>
          </cell>
        </row>
        <row r="8719">
          <cell r="P8719">
            <v>0</v>
          </cell>
        </row>
        <row r="8720">
          <cell r="P8720">
            <v>0</v>
          </cell>
        </row>
        <row r="8721">
          <cell r="P8721">
            <v>0</v>
          </cell>
        </row>
        <row r="8722">
          <cell r="P8722">
            <v>0</v>
          </cell>
        </row>
        <row r="8723">
          <cell r="P8723">
            <v>0</v>
          </cell>
        </row>
        <row r="8724">
          <cell r="P8724">
            <v>0</v>
          </cell>
        </row>
        <row r="8725">
          <cell r="P8725">
            <v>0</v>
          </cell>
        </row>
        <row r="8726">
          <cell r="P8726">
            <v>0</v>
          </cell>
        </row>
        <row r="8727">
          <cell r="P8727">
            <v>0</v>
          </cell>
        </row>
        <row r="8728">
          <cell r="P8728">
            <v>0</v>
          </cell>
        </row>
        <row r="8729">
          <cell r="P8729">
            <v>0</v>
          </cell>
        </row>
        <row r="8730">
          <cell r="P8730">
            <v>0</v>
          </cell>
        </row>
        <row r="8731">
          <cell r="P8731">
            <v>0</v>
          </cell>
        </row>
        <row r="8732">
          <cell r="P8732">
            <v>0</v>
          </cell>
        </row>
        <row r="8733">
          <cell r="P8733">
            <v>0</v>
          </cell>
        </row>
        <row r="8734">
          <cell r="P8734">
            <v>0</v>
          </cell>
        </row>
        <row r="8735">
          <cell r="P8735">
            <v>0</v>
          </cell>
        </row>
        <row r="8736">
          <cell r="P8736">
            <v>0</v>
          </cell>
        </row>
        <row r="8737">
          <cell r="P8737">
            <v>0</v>
          </cell>
        </row>
        <row r="8738">
          <cell r="P8738">
            <v>0</v>
          </cell>
        </row>
        <row r="8739">
          <cell r="P8739">
            <v>0</v>
          </cell>
        </row>
        <row r="8740">
          <cell r="P8740">
            <v>0</v>
          </cell>
        </row>
        <row r="8741">
          <cell r="P8741">
            <v>0</v>
          </cell>
        </row>
        <row r="8742">
          <cell r="P8742">
            <v>0</v>
          </cell>
        </row>
        <row r="8743">
          <cell r="P8743">
            <v>0</v>
          </cell>
        </row>
        <row r="8744">
          <cell r="P8744">
            <v>0</v>
          </cell>
        </row>
        <row r="8745">
          <cell r="P8745">
            <v>0</v>
          </cell>
        </row>
        <row r="8746">
          <cell r="P8746">
            <v>0</v>
          </cell>
        </row>
        <row r="8747">
          <cell r="P8747">
            <v>0</v>
          </cell>
        </row>
        <row r="8748">
          <cell r="P8748">
            <v>0</v>
          </cell>
        </row>
        <row r="8749">
          <cell r="P8749">
            <v>0</v>
          </cell>
        </row>
        <row r="8750">
          <cell r="P8750">
            <v>0</v>
          </cell>
        </row>
        <row r="8751">
          <cell r="P8751">
            <v>0</v>
          </cell>
        </row>
        <row r="8752">
          <cell r="P8752">
            <v>0</v>
          </cell>
        </row>
        <row r="8753">
          <cell r="P8753">
            <v>0</v>
          </cell>
        </row>
        <row r="8754">
          <cell r="P8754">
            <v>0</v>
          </cell>
        </row>
        <row r="8755">
          <cell r="P8755">
            <v>0</v>
          </cell>
        </row>
        <row r="8756">
          <cell r="P8756">
            <v>0</v>
          </cell>
        </row>
        <row r="8757">
          <cell r="P8757">
            <v>0</v>
          </cell>
        </row>
        <row r="8758">
          <cell r="P8758">
            <v>0</v>
          </cell>
        </row>
        <row r="8759">
          <cell r="P8759">
            <v>0</v>
          </cell>
        </row>
        <row r="8760">
          <cell r="P8760">
            <v>0</v>
          </cell>
        </row>
        <row r="8761">
          <cell r="P8761">
            <v>0</v>
          </cell>
        </row>
        <row r="8762">
          <cell r="P8762">
            <v>0</v>
          </cell>
        </row>
        <row r="8763">
          <cell r="P8763">
            <v>0</v>
          </cell>
        </row>
        <row r="8764">
          <cell r="P8764">
            <v>0</v>
          </cell>
        </row>
        <row r="8765">
          <cell r="P8765">
            <v>0</v>
          </cell>
        </row>
        <row r="8766">
          <cell r="P8766">
            <v>0</v>
          </cell>
        </row>
        <row r="8767">
          <cell r="P8767">
            <v>0</v>
          </cell>
        </row>
        <row r="8768">
          <cell r="P8768">
            <v>0</v>
          </cell>
        </row>
        <row r="8769">
          <cell r="P8769">
            <v>0</v>
          </cell>
        </row>
        <row r="8770">
          <cell r="P8770">
            <v>0</v>
          </cell>
        </row>
        <row r="8771">
          <cell r="P8771">
            <v>0</v>
          </cell>
        </row>
        <row r="8772">
          <cell r="P8772">
            <v>0</v>
          </cell>
        </row>
        <row r="8773">
          <cell r="P8773">
            <v>0</v>
          </cell>
        </row>
        <row r="8774">
          <cell r="P8774">
            <v>0</v>
          </cell>
        </row>
        <row r="8775">
          <cell r="P8775">
            <v>0</v>
          </cell>
        </row>
        <row r="8776">
          <cell r="P8776">
            <v>0</v>
          </cell>
        </row>
        <row r="8777">
          <cell r="P8777">
            <v>0</v>
          </cell>
        </row>
        <row r="8778">
          <cell r="P8778">
            <v>0</v>
          </cell>
        </row>
        <row r="8779">
          <cell r="P8779">
            <v>0</v>
          </cell>
        </row>
        <row r="8780">
          <cell r="P8780">
            <v>0</v>
          </cell>
        </row>
        <row r="8781">
          <cell r="P8781">
            <v>0</v>
          </cell>
        </row>
        <row r="8782">
          <cell r="P8782">
            <v>0</v>
          </cell>
        </row>
        <row r="8783">
          <cell r="P8783">
            <v>0</v>
          </cell>
        </row>
        <row r="8784">
          <cell r="P8784">
            <v>0</v>
          </cell>
        </row>
        <row r="8785">
          <cell r="P8785">
            <v>0</v>
          </cell>
        </row>
        <row r="8786">
          <cell r="P8786">
            <v>0</v>
          </cell>
        </row>
        <row r="8787">
          <cell r="P8787">
            <v>0</v>
          </cell>
        </row>
        <row r="8788">
          <cell r="P8788">
            <v>0</v>
          </cell>
        </row>
        <row r="8789">
          <cell r="P8789">
            <v>0</v>
          </cell>
        </row>
        <row r="8790">
          <cell r="P8790">
            <v>0</v>
          </cell>
        </row>
        <row r="8791">
          <cell r="P8791">
            <v>0</v>
          </cell>
        </row>
        <row r="8792">
          <cell r="P8792">
            <v>0</v>
          </cell>
        </row>
        <row r="8793">
          <cell r="P8793">
            <v>0</v>
          </cell>
        </row>
        <row r="8794">
          <cell r="P8794">
            <v>0</v>
          </cell>
        </row>
        <row r="8795">
          <cell r="P8795">
            <v>0</v>
          </cell>
        </row>
        <row r="8796">
          <cell r="P8796">
            <v>0</v>
          </cell>
        </row>
        <row r="8797">
          <cell r="P8797">
            <v>0</v>
          </cell>
        </row>
        <row r="8798">
          <cell r="P8798">
            <v>0</v>
          </cell>
        </row>
        <row r="8799">
          <cell r="P8799">
            <v>0</v>
          </cell>
        </row>
        <row r="8800">
          <cell r="P8800">
            <v>0</v>
          </cell>
        </row>
        <row r="8801">
          <cell r="P8801">
            <v>0</v>
          </cell>
        </row>
        <row r="8802">
          <cell r="P8802">
            <v>0</v>
          </cell>
        </row>
        <row r="8803">
          <cell r="P8803">
            <v>0</v>
          </cell>
        </row>
        <row r="8804">
          <cell r="P8804">
            <v>0</v>
          </cell>
        </row>
        <row r="8805">
          <cell r="P8805">
            <v>0</v>
          </cell>
        </row>
        <row r="8806">
          <cell r="P8806">
            <v>0</v>
          </cell>
        </row>
        <row r="8807">
          <cell r="P8807">
            <v>0</v>
          </cell>
        </row>
        <row r="8808">
          <cell r="P8808">
            <v>0</v>
          </cell>
        </row>
        <row r="8809">
          <cell r="P8809">
            <v>0</v>
          </cell>
        </row>
        <row r="8810">
          <cell r="P8810">
            <v>0</v>
          </cell>
        </row>
        <row r="8811">
          <cell r="P8811">
            <v>0</v>
          </cell>
        </row>
        <row r="8812">
          <cell r="P8812">
            <v>0</v>
          </cell>
        </row>
        <row r="8813">
          <cell r="P8813">
            <v>0</v>
          </cell>
        </row>
        <row r="8814">
          <cell r="P8814">
            <v>0</v>
          </cell>
        </row>
        <row r="8815">
          <cell r="P8815">
            <v>0</v>
          </cell>
        </row>
        <row r="8816">
          <cell r="P8816">
            <v>0</v>
          </cell>
        </row>
        <row r="8817">
          <cell r="P8817">
            <v>0</v>
          </cell>
        </row>
        <row r="8818">
          <cell r="P8818">
            <v>0</v>
          </cell>
        </row>
        <row r="8819">
          <cell r="P8819">
            <v>0</v>
          </cell>
        </row>
        <row r="8820">
          <cell r="P8820">
            <v>0</v>
          </cell>
        </row>
        <row r="8821">
          <cell r="P8821">
            <v>0</v>
          </cell>
        </row>
        <row r="8822">
          <cell r="P8822">
            <v>0</v>
          </cell>
        </row>
        <row r="8823">
          <cell r="P8823">
            <v>0</v>
          </cell>
        </row>
        <row r="8824">
          <cell r="P8824">
            <v>0</v>
          </cell>
        </row>
        <row r="8825">
          <cell r="P8825">
            <v>0</v>
          </cell>
        </row>
        <row r="8826">
          <cell r="P8826">
            <v>0</v>
          </cell>
        </row>
        <row r="8827">
          <cell r="P8827">
            <v>0</v>
          </cell>
        </row>
        <row r="8828">
          <cell r="P8828">
            <v>0</v>
          </cell>
        </row>
        <row r="8829">
          <cell r="P8829">
            <v>0</v>
          </cell>
        </row>
        <row r="8830">
          <cell r="P8830">
            <v>0</v>
          </cell>
        </row>
        <row r="8831">
          <cell r="P8831">
            <v>0</v>
          </cell>
        </row>
        <row r="8832">
          <cell r="P8832">
            <v>0</v>
          </cell>
        </row>
        <row r="8833">
          <cell r="P8833">
            <v>0</v>
          </cell>
        </row>
        <row r="8834">
          <cell r="P8834">
            <v>0</v>
          </cell>
        </row>
        <row r="8835">
          <cell r="P8835">
            <v>0</v>
          </cell>
        </row>
        <row r="8836">
          <cell r="P8836">
            <v>0</v>
          </cell>
        </row>
        <row r="8837">
          <cell r="P8837">
            <v>0</v>
          </cell>
        </row>
        <row r="8838">
          <cell r="P8838">
            <v>0</v>
          </cell>
        </row>
        <row r="8839">
          <cell r="P8839">
            <v>0</v>
          </cell>
        </row>
        <row r="8840">
          <cell r="P8840">
            <v>0</v>
          </cell>
        </row>
        <row r="8841">
          <cell r="P8841">
            <v>0</v>
          </cell>
        </row>
        <row r="8842">
          <cell r="P8842">
            <v>0</v>
          </cell>
        </row>
        <row r="8843">
          <cell r="P8843">
            <v>0</v>
          </cell>
        </row>
        <row r="8844">
          <cell r="P8844">
            <v>0</v>
          </cell>
        </row>
        <row r="8845">
          <cell r="P8845">
            <v>0</v>
          </cell>
        </row>
        <row r="8846">
          <cell r="P8846">
            <v>0</v>
          </cell>
        </row>
        <row r="8847">
          <cell r="P8847">
            <v>0</v>
          </cell>
        </row>
        <row r="8848">
          <cell r="P8848">
            <v>0</v>
          </cell>
        </row>
        <row r="8849">
          <cell r="P8849">
            <v>0</v>
          </cell>
        </row>
        <row r="8850">
          <cell r="P8850">
            <v>0</v>
          </cell>
        </row>
        <row r="8851">
          <cell r="P8851">
            <v>0</v>
          </cell>
        </row>
        <row r="8852">
          <cell r="P8852">
            <v>0</v>
          </cell>
        </row>
        <row r="8853">
          <cell r="P8853">
            <v>0</v>
          </cell>
        </row>
        <row r="8854">
          <cell r="P8854">
            <v>0</v>
          </cell>
        </row>
        <row r="8855">
          <cell r="P8855">
            <v>0</v>
          </cell>
        </row>
        <row r="8856">
          <cell r="P8856">
            <v>0</v>
          </cell>
        </row>
        <row r="8857">
          <cell r="P8857">
            <v>0</v>
          </cell>
        </row>
        <row r="8858">
          <cell r="P8858">
            <v>0</v>
          </cell>
        </row>
        <row r="8859">
          <cell r="P8859">
            <v>0</v>
          </cell>
        </row>
        <row r="8860">
          <cell r="P8860">
            <v>0</v>
          </cell>
        </row>
        <row r="8861">
          <cell r="P8861">
            <v>0</v>
          </cell>
        </row>
        <row r="8862">
          <cell r="P8862">
            <v>0</v>
          </cell>
        </row>
        <row r="8863">
          <cell r="P8863">
            <v>0</v>
          </cell>
        </row>
        <row r="8864">
          <cell r="P8864">
            <v>0</v>
          </cell>
        </row>
        <row r="8865">
          <cell r="P8865">
            <v>0</v>
          </cell>
        </row>
        <row r="8866">
          <cell r="P8866">
            <v>0</v>
          </cell>
        </row>
        <row r="8867">
          <cell r="P8867">
            <v>0</v>
          </cell>
        </row>
        <row r="8868">
          <cell r="P8868">
            <v>0</v>
          </cell>
        </row>
        <row r="8869">
          <cell r="P8869">
            <v>0</v>
          </cell>
        </row>
        <row r="8870">
          <cell r="P8870">
            <v>0</v>
          </cell>
        </row>
        <row r="8871">
          <cell r="P8871">
            <v>0</v>
          </cell>
        </row>
        <row r="8872">
          <cell r="P8872">
            <v>0</v>
          </cell>
        </row>
        <row r="8873">
          <cell r="P8873">
            <v>0</v>
          </cell>
        </row>
        <row r="8874">
          <cell r="P8874">
            <v>0</v>
          </cell>
        </row>
        <row r="8875">
          <cell r="P8875">
            <v>0</v>
          </cell>
        </row>
        <row r="8876">
          <cell r="P8876">
            <v>0</v>
          </cell>
        </row>
        <row r="8877">
          <cell r="P8877">
            <v>0</v>
          </cell>
        </row>
        <row r="8878">
          <cell r="P8878">
            <v>0</v>
          </cell>
        </row>
        <row r="8879">
          <cell r="P8879">
            <v>0</v>
          </cell>
        </row>
        <row r="8880">
          <cell r="P8880">
            <v>0</v>
          </cell>
        </row>
        <row r="8881">
          <cell r="P8881">
            <v>0</v>
          </cell>
        </row>
        <row r="8882">
          <cell r="P8882">
            <v>0</v>
          </cell>
        </row>
        <row r="8883">
          <cell r="P8883">
            <v>0</v>
          </cell>
        </row>
        <row r="8884">
          <cell r="P8884">
            <v>0</v>
          </cell>
        </row>
        <row r="8885">
          <cell r="P8885">
            <v>0</v>
          </cell>
        </row>
        <row r="8886">
          <cell r="P8886">
            <v>0</v>
          </cell>
        </row>
        <row r="8887">
          <cell r="P8887">
            <v>0</v>
          </cell>
        </row>
        <row r="8888">
          <cell r="P8888">
            <v>0</v>
          </cell>
        </row>
        <row r="8889">
          <cell r="P8889">
            <v>0</v>
          </cell>
        </row>
        <row r="8890">
          <cell r="P8890">
            <v>0</v>
          </cell>
        </row>
        <row r="8891">
          <cell r="P8891">
            <v>0</v>
          </cell>
        </row>
        <row r="8892">
          <cell r="P8892">
            <v>0</v>
          </cell>
        </row>
        <row r="8893">
          <cell r="P8893">
            <v>0</v>
          </cell>
        </row>
        <row r="8894">
          <cell r="P8894">
            <v>0</v>
          </cell>
        </row>
        <row r="8895">
          <cell r="P8895">
            <v>0</v>
          </cell>
        </row>
        <row r="8896">
          <cell r="P8896">
            <v>0</v>
          </cell>
        </row>
        <row r="8897">
          <cell r="P8897">
            <v>0</v>
          </cell>
        </row>
        <row r="8898">
          <cell r="P8898">
            <v>0</v>
          </cell>
        </row>
        <row r="8899">
          <cell r="P8899">
            <v>0</v>
          </cell>
        </row>
        <row r="8900">
          <cell r="P8900">
            <v>0</v>
          </cell>
        </row>
        <row r="8901">
          <cell r="P8901">
            <v>0</v>
          </cell>
        </row>
        <row r="8902">
          <cell r="P8902">
            <v>0</v>
          </cell>
        </row>
        <row r="8903">
          <cell r="P8903">
            <v>0</v>
          </cell>
        </row>
        <row r="8904">
          <cell r="P8904">
            <v>0</v>
          </cell>
        </row>
        <row r="8905">
          <cell r="P8905">
            <v>0</v>
          </cell>
        </row>
        <row r="8906">
          <cell r="P8906">
            <v>0</v>
          </cell>
        </row>
        <row r="8907">
          <cell r="P8907">
            <v>0</v>
          </cell>
        </row>
        <row r="8908">
          <cell r="P8908">
            <v>0</v>
          </cell>
        </row>
        <row r="8909">
          <cell r="P8909">
            <v>0</v>
          </cell>
        </row>
        <row r="8910">
          <cell r="P8910">
            <v>0</v>
          </cell>
        </row>
        <row r="8911">
          <cell r="P8911">
            <v>0</v>
          </cell>
        </row>
        <row r="8912">
          <cell r="P8912">
            <v>0</v>
          </cell>
        </row>
        <row r="8913">
          <cell r="P8913">
            <v>0</v>
          </cell>
        </row>
        <row r="8914">
          <cell r="P8914">
            <v>0</v>
          </cell>
        </row>
        <row r="8915">
          <cell r="P8915">
            <v>0</v>
          </cell>
        </row>
        <row r="8916">
          <cell r="P8916">
            <v>0</v>
          </cell>
        </row>
        <row r="8917">
          <cell r="P8917">
            <v>0</v>
          </cell>
        </row>
        <row r="8918">
          <cell r="P8918">
            <v>0</v>
          </cell>
        </row>
        <row r="8919">
          <cell r="P8919">
            <v>0</v>
          </cell>
        </row>
        <row r="8920">
          <cell r="P8920">
            <v>0</v>
          </cell>
        </row>
        <row r="8921">
          <cell r="P8921">
            <v>0</v>
          </cell>
        </row>
        <row r="8922">
          <cell r="P8922">
            <v>0</v>
          </cell>
        </row>
        <row r="8923">
          <cell r="P8923">
            <v>0</v>
          </cell>
        </row>
        <row r="8924">
          <cell r="P8924">
            <v>0</v>
          </cell>
        </row>
        <row r="8925">
          <cell r="P8925">
            <v>0</v>
          </cell>
        </row>
        <row r="8926">
          <cell r="P8926">
            <v>0</v>
          </cell>
        </row>
        <row r="8927">
          <cell r="P8927">
            <v>0</v>
          </cell>
        </row>
        <row r="8928">
          <cell r="P8928">
            <v>0</v>
          </cell>
        </row>
        <row r="8929">
          <cell r="P8929">
            <v>0</v>
          </cell>
        </row>
        <row r="8930">
          <cell r="P8930">
            <v>0</v>
          </cell>
        </row>
        <row r="8931">
          <cell r="P8931">
            <v>0</v>
          </cell>
        </row>
        <row r="8932">
          <cell r="P8932">
            <v>0</v>
          </cell>
        </row>
        <row r="8933">
          <cell r="P8933">
            <v>0</v>
          </cell>
        </row>
        <row r="8934">
          <cell r="P8934">
            <v>0</v>
          </cell>
        </row>
        <row r="8935">
          <cell r="P8935">
            <v>0</v>
          </cell>
        </row>
        <row r="8936">
          <cell r="P8936">
            <v>0</v>
          </cell>
        </row>
        <row r="8937">
          <cell r="P8937">
            <v>0</v>
          </cell>
        </row>
        <row r="8938">
          <cell r="P8938">
            <v>0</v>
          </cell>
        </row>
        <row r="8939">
          <cell r="P8939">
            <v>0</v>
          </cell>
        </row>
        <row r="8940">
          <cell r="P8940">
            <v>0</v>
          </cell>
        </row>
        <row r="8941">
          <cell r="P8941">
            <v>0</v>
          </cell>
        </row>
        <row r="8942">
          <cell r="P8942">
            <v>0</v>
          </cell>
        </row>
        <row r="8943">
          <cell r="P8943">
            <v>0</v>
          </cell>
        </row>
        <row r="8944">
          <cell r="P8944">
            <v>0</v>
          </cell>
        </row>
        <row r="8945">
          <cell r="P8945">
            <v>0</v>
          </cell>
        </row>
        <row r="8946">
          <cell r="P8946">
            <v>0</v>
          </cell>
        </row>
        <row r="8947">
          <cell r="P8947">
            <v>0</v>
          </cell>
        </row>
        <row r="8948">
          <cell r="P8948">
            <v>0</v>
          </cell>
        </row>
        <row r="8949">
          <cell r="P8949">
            <v>0</v>
          </cell>
        </row>
        <row r="8950">
          <cell r="P8950">
            <v>0</v>
          </cell>
        </row>
        <row r="8951">
          <cell r="P8951">
            <v>0</v>
          </cell>
        </row>
        <row r="8952">
          <cell r="P8952">
            <v>0</v>
          </cell>
        </row>
        <row r="8953">
          <cell r="P8953">
            <v>0</v>
          </cell>
        </row>
        <row r="8954">
          <cell r="P8954">
            <v>0</v>
          </cell>
        </row>
        <row r="8955">
          <cell r="P8955">
            <v>0</v>
          </cell>
        </row>
        <row r="8956">
          <cell r="P8956">
            <v>0</v>
          </cell>
        </row>
        <row r="8957">
          <cell r="P8957">
            <v>0</v>
          </cell>
        </row>
        <row r="8958">
          <cell r="P8958">
            <v>0</v>
          </cell>
        </row>
        <row r="8959">
          <cell r="P8959">
            <v>0</v>
          </cell>
        </row>
        <row r="8960">
          <cell r="P8960">
            <v>0</v>
          </cell>
        </row>
        <row r="8961">
          <cell r="P8961">
            <v>0</v>
          </cell>
        </row>
        <row r="8962">
          <cell r="P8962">
            <v>0</v>
          </cell>
        </row>
        <row r="8963">
          <cell r="P8963">
            <v>0</v>
          </cell>
        </row>
        <row r="8964">
          <cell r="P8964">
            <v>0</v>
          </cell>
        </row>
        <row r="8965">
          <cell r="P8965">
            <v>0</v>
          </cell>
        </row>
        <row r="8966">
          <cell r="P8966">
            <v>0</v>
          </cell>
        </row>
        <row r="8967">
          <cell r="P8967">
            <v>0</v>
          </cell>
        </row>
        <row r="8968">
          <cell r="P8968">
            <v>0</v>
          </cell>
        </row>
        <row r="8969">
          <cell r="P8969">
            <v>0</v>
          </cell>
        </row>
        <row r="8970">
          <cell r="P8970">
            <v>0</v>
          </cell>
        </row>
        <row r="8971">
          <cell r="P8971">
            <v>0</v>
          </cell>
        </row>
        <row r="8972">
          <cell r="P8972">
            <v>0</v>
          </cell>
        </row>
        <row r="8973">
          <cell r="P8973">
            <v>0</v>
          </cell>
        </row>
        <row r="8974">
          <cell r="P8974">
            <v>0</v>
          </cell>
        </row>
        <row r="8975">
          <cell r="P8975">
            <v>0</v>
          </cell>
        </row>
        <row r="8976">
          <cell r="P8976">
            <v>0</v>
          </cell>
        </row>
        <row r="8977">
          <cell r="P8977">
            <v>0</v>
          </cell>
        </row>
        <row r="8978">
          <cell r="P8978">
            <v>0</v>
          </cell>
        </row>
        <row r="8979">
          <cell r="P8979">
            <v>0</v>
          </cell>
        </row>
        <row r="8980">
          <cell r="P8980">
            <v>0</v>
          </cell>
        </row>
        <row r="8981">
          <cell r="P8981">
            <v>0</v>
          </cell>
        </row>
        <row r="8982">
          <cell r="P8982">
            <v>0</v>
          </cell>
        </row>
        <row r="8983">
          <cell r="P8983">
            <v>0</v>
          </cell>
        </row>
        <row r="8984">
          <cell r="P8984">
            <v>0</v>
          </cell>
        </row>
        <row r="8985">
          <cell r="P8985">
            <v>0</v>
          </cell>
        </row>
        <row r="8986">
          <cell r="P8986">
            <v>0</v>
          </cell>
        </row>
        <row r="8987">
          <cell r="P8987">
            <v>0</v>
          </cell>
        </row>
        <row r="8988">
          <cell r="P8988">
            <v>0</v>
          </cell>
        </row>
        <row r="8989">
          <cell r="P8989">
            <v>0</v>
          </cell>
        </row>
        <row r="8990">
          <cell r="P8990">
            <v>0</v>
          </cell>
        </row>
        <row r="8991">
          <cell r="P8991">
            <v>0</v>
          </cell>
        </row>
        <row r="8992">
          <cell r="P8992">
            <v>0</v>
          </cell>
        </row>
        <row r="8993">
          <cell r="P8993">
            <v>0</v>
          </cell>
        </row>
        <row r="8994">
          <cell r="P8994">
            <v>0</v>
          </cell>
        </row>
        <row r="8995">
          <cell r="P8995">
            <v>0</v>
          </cell>
        </row>
        <row r="8996">
          <cell r="P8996">
            <v>0</v>
          </cell>
        </row>
        <row r="8997">
          <cell r="P8997">
            <v>0</v>
          </cell>
        </row>
        <row r="8998">
          <cell r="P8998">
            <v>0</v>
          </cell>
        </row>
        <row r="8999">
          <cell r="P8999">
            <v>0</v>
          </cell>
        </row>
        <row r="9000">
          <cell r="P9000">
            <v>0</v>
          </cell>
        </row>
        <row r="9001">
          <cell r="P9001">
            <v>0</v>
          </cell>
        </row>
        <row r="9002">
          <cell r="P9002">
            <v>0</v>
          </cell>
        </row>
        <row r="9003">
          <cell r="P9003">
            <v>0</v>
          </cell>
        </row>
        <row r="9004">
          <cell r="P9004">
            <v>0</v>
          </cell>
        </row>
        <row r="9005">
          <cell r="P9005">
            <v>0</v>
          </cell>
        </row>
        <row r="9006">
          <cell r="P9006">
            <v>0</v>
          </cell>
        </row>
        <row r="9007">
          <cell r="P9007">
            <v>0</v>
          </cell>
        </row>
        <row r="9008">
          <cell r="P9008">
            <v>0</v>
          </cell>
        </row>
        <row r="9009">
          <cell r="P9009">
            <v>0</v>
          </cell>
        </row>
        <row r="9010">
          <cell r="P9010">
            <v>0</v>
          </cell>
        </row>
        <row r="9011">
          <cell r="P9011">
            <v>0</v>
          </cell>
        </row>
        <row r="9012">
          <cell r="P9012">
            <v>0</v>
          </cell>
        </row>
        <row r="9013">
          <cell r="P9013">
            <v>0</v>
          </cell>
        </row>
        <row r="9014">
          <cell r="P9014">
            <v>0</v>
          </cell>
        </row>
        <row r="9015">
          <cell r="P9015">
            <v>0</v>
          </cell>
        </row>
        <row r="9016">
          <cell r="P9016">
            <v>0</v>
          </cell>
        </row>
        <row r="9017">
          <cell r="P9017">
            <v>0</v>
          </cell>
        </row>
        <row r="9018">
          <cell r="P9018">
            <v>0</v>
          </cell>
        </row>
        <row r="9019">
          <cell r="P9019">
            <v>0</v>
          </cell>
        </row>
        <row r="9020">
          <cell r="P9020">
            <v>0</v>
          </cell>
        </row>
        <row r="9021">
          <cell r="P9021">
            <v>0</v>
          </cell>
        </row>
        <row r="9022">
          <cell r="P9022">
            <v>0</v>
          </cell>
        </row>
        <row r="9023">
          <cell r="P9023">
            <v>0</v>
          </cell>
        </row>
        <row r="9024">
          <cell r="P9024">
            <v>0</v>
          </cell>
        </row>
        <row r="9025">
          <cell r="P9025">
            <v>0</v>
          </cell>
        </row>
        <row r="9026">
          <cell r="P9026">
            <v>0</v>
          </cell>
        </row>
        <row r="9027">
          <cell r="P9027">
            <v>0</v>
          </cell>
        </row>
        <row r="9028">
          <cell r="P9028">
            <v>0</v>
          </cell>
        </row>
        <row r="9029">
          <cell r="P9029">
            <v>0</v>
          </cell>
        </row>
        <row r="9030">
          <cell r="P9030">
            <v>0</v>
          </cell>
        </row>
        <row r="9031">
          <cell r="P9031">
            <v>0</v>
          </cell>
        </row>
        <row r="9032">
          <cell r="P9032">
            <v>0</v>
          </cell>
        </row>
        <row r="9033">
          <cell r="P9033">
            <v>0</v>
          </cell>
        </row>
        <row r="9034">
          <cell r="P9034">
            <v>0</v>
          </cell>
        </row>
        <row r="9035">
          <cell r="P9035">
            <v>0</v>
          </cell>
        </row>
        <row r="9036">
          <cell r="P9036">
            <v>0</v>
          </cell>
        </row>
        <row r="9037">
          <cell r="P9037">
            <v>0</v>
          </cell>
        </row>
        <row r="9038">
          <cell r="P9038">
            <v>0</v>
          </cell>
        </row>
        <row r="9039">
          <cell r="P9039">
            <v>0</v>
          </cell>
        </row>
        <row r="9040">
          <cell r="P9040">
            <v>0</v>
          </cell>
        </row>
        <row r="9041">
          <cell r="P9041">
            <v>0</v>
          </cell>
        </row>
        <row r="9042">
          <cell r="P9042">
            <v>0</v>
          </cell>
        </row>
        <row r="9043">
          <cell r="P9043">
            <v>0</v>
          </cell>
        </row>
        <row r="9044">
          <cell r="P9044">
            <v>0</v>
          </cell>
        </row>
        <row r="9045">
          <cell r="P9045">
            <v>0</v>
          </cell>
        </row>
        <row r="9046">
          <cell r="P9046">
            <v>0</v>
          </cell>
        </row>
        <row r="9047">
          <cell r="P9047">
            <v>0</v>
          </cell>
        </row>
        <row r="9048">
          <cell r="P9048">
            <v>0</v>
          </cell>
        </row>
        <row r="9049">
          <cell r="P9049">
            <v>0</v>
          </cell>
        </row>
        <row r="9050">
          <cell r="P9050">
            <v>0</v>
          </cell>
        </row>
        <row r="9051">
          <cell r="P9051">
            <v>0</v>
          </cell>
        </row>
        <row r="9052">
          <cell r="P9052">
            <v>0</v>
          </cell>
        </row>
        <row r="9053">
          <cell r="P9053">
            <v>0</v>
          </cell>
        </row>
        <row r="9054">
          <cell r="P9054">
            <v>0</v>
          </cell>
        </row>
        <row r="9055">
          <cell r="P9055">
            <v>0</v>
          </cell>
        </row>
        <row r="9056">
          <cell r="P9056">
            <v>0</v>
          </cell>
        </row>
        <row r="9057">
          <cell r="P9057">
            <v>0</v>
          </cell>
        </row>
        <row r="9058">
          <cell r="P9058">
            <v>0</v>
          </cell>
        </row>
        <row r="9059">
          <cell r="P9059">
            <v>0</v>
          </cell>
        </row>
        <row r="9060">
          <cell r="P9060">
            <v>0</v>
          </cell>
        </row>
        <row r="9061">
          <cell r="P9061">
            <v>0</v>
          </cell>
        </row>
        <row r="9062">
          <cell r="P9062">
            <v>0</v>
          </cell>
        </row>
        <row r="9063">
          <cell r="P9063">
            <v>0</v>
          </cell>
        </row>
        <row r="9064">
          <cell r="P9064">
            <v>0</v>
          </cell>
        </row>
        <row r="9065">
          <cell r="P9065">
            <v>0</v>
          </cell>
        </row>
        <row r="9066">
          <cell r="P9066">
            <v>0</v>
          </cell>
        </row>
        <row r="9067">
          <cell r="P9067">
            <v>0</v>
          </cell>
        </row>
        <row r="9068">
          <cell r="P9068">
            <v>0</v>
          </cell>
        </row>
        <row r="9069">
          <cell r="P9069">
            <v>0</v>
          </cell>
        </row>
        <row r="9070">
          <cell r="P9070">
            <v>0</v>
          </cell>
        </row>
        <row r="9071">
          <cell r="P9071">
            <v>0</v>
          </cell>
        </row>
        <row r="9072">
          <cell r="P9072">
            <v>0</v>
          </cell>
        </row>
        <row r="9073">
          <cell r="P9073">
            <v>0</v>
          </cell>
        </row>
        <row r="9074">
          <cell r="P9074">
            <v>0</v>
          </cell>
        </row>
        <row r="9075">
          <cell r="P9075">
            <v>0</v>
          </cell>
        </row>
        <row r="9076">
          <cell r="P9076">
            <v>0</v>
          </cell>
        </row>
        <row r="9077">
          <cell r="P9077">
            <v>0</v>
          </cell>
        </row>
        <row r="9078">
          <cell r="P9078">
            <v>0</v>
          </cell>
        </row>
        <row r="9079">
          <cell r="P9079">
            <v>0</v>
          </cell>
        </row>
        <row r="9080">
          <cell r="P9080">
            <v>0</v>
          </cell>
        </row>
        <row r="9081">
          <cell r="P9081">
            <v>0</v>
          </cell>
        </row>
        <row r="9082">
          <cell r="P9082">
            <v>0</v>
          </cell>
        </row>
        <row r="9083">
          <cell r="P9083">
            <v>0</v>
          </cell>
        </row>
        <row r="9084">
          <cell r="P9084">
            <v>0</v>
          </cell>
        </row>
        <row r="9085">
          <cell r="P9085">
            <v>0</v>
          </cell>
        </row>
        <row r="9086">
          <cell r="P9086">
            <v>0</v>
          </cell>
        </row>
        <row r="9087">
          <cell r="P9087">
            <v>0</v>
          </cell>
        </row>
        <row r="9088">
          <cell r="P9088">
            <v>0</v>
          </cell>
        </row>
        <row r="9089">
          <cell r="P9089">
            <v>0</v>
          </cell>
        </row>
        <row r="9090">
          <cell r="P9090">
            <v>0</v>
          </cell>
        </row>
        <row r="9091">
          <cell r="P9091">
            <v>0</v>
          </cell>
        </row>
        <row r="9092">
          <cell r="P9092">
            <v>0</v>
          </cell>
        </row>
        <row r="9093">
          <cell r="P9093">
            <v>0</v>
          </cell>
        </row>
        <row r="9094">
          <cell r="P9094">
            <v>0</v>
          </cell>
        </row>
        <row r="9095">
          <cell r="P9095">
            <v>0</v>
          </cell>
        </row>
        <row r="9096">
          <cell r="P9096">
            <v>0</v>
          </cell>
        </row>
        <row r="9097">
          <cell r="P9097">
            <v>0</v>
          </cell>
        </row>
        <row r="9098">
          <cell r="P9098">
            <v>0</v>
          </cell>
        </row>
        <row r="9099">
          <cell r="P9099">
            <v>0</v>
          </cell>
        </row>
        <row r="9100">
          <cell r="P9100">
            <v>0</v>
          </cell>
        </row>
        <row r="9101">
          <cell r="P9101">
            <v>0</v>
          </cell>
        </row>
        <row r="9102">
          <cell r="P9102">
            <v>0</v>
          </cell>
        </row>
        <row r="9103">
          <cell r="P9103">
            <v>0</v>
          </cell>
        </row>
        <row r="9104">
          <cell r="P9104">
            <v>0</v>
          </cell>
        </row>
        <row r="9105">
          <cell r="P9105">
            <v>0</v>
          </cell>
        </row>
        <row r="9106">
          <cell r="P9106">
            <v>0</v>
          </cell>
        </row>
        <row r="9107">
          <cell r="P9107">
            <v>0</v>
          </cell>
        </row>
        <row r="9108">
          <cell r="P9108">
            <v>0</v>
          </cell>
        </row>
        <row r="9109">
          <cell r="P9109">
            <v>0</v>
          </cell>
        </row>
        <row r="9110">
          <cell r="P9110">
            <v>0</v>
          </cell>
        </row>
        <row r="9111">
          <cell r="P9111">
            <v>0</v>
          </cell>
        </row>
        <row r="9112">
          <cell r="P9112">
            <v>0</v>
          </cell>
        </row>
        <row r="9113">
          <cell r="P9113">
            <v>0</v>
          </cell>
        </row>
        <row r="9114">
          <cell r="P9114">
            <v>0</v>
          </cell>
        </row>
        <row r="9115">
          <cell r="P9115">
            <v>0</v>
          </cell>
        </row>
        <row r="9116">
          <cell r="P9116">
            <v>0</v>
          </cell>
        </row>
        <row r="9117">
          <cell r="P9117">
            <v>0</v>
          </cell>
        </row>
        <row r="9118">
          <cell r="P9118">
            <v>0</v>
          </cell>
        </row>
        <row r="9119">
          <cell r="P9119">
            <v>0</v>
          </cell>
        </row>
        <row r="9120">
          <cell r="P9120">
            <v>0</v>
          </cell>
        </row>
        <row r="9121">
          <cell r="P9121">
            <v>0</v>
          </cell>
        </row>
        <row r="9122">
          <cell r="P9122">
            <v>0</v>
          </cell>
        </row>
        <row r="9123">
          <cell r="P9123">
            <v>0</v>
          </cell>
        </row>
        <row r="9124">
          <cell r="P9124">
            <v>0</v>
          </cell>
        </row>
        <row r="9125">
          <cell r="P9125">
            <v>0</v>
          </cell>
        </row>
        <row r="9126">
          <cell r="P9126">
            <v>0</v>
          </cell>
        </row>
        <row r="9127">
          <cell r="P9127">
            <v>0</v>
          </cell>
        </row>
        <row r="9128">
          <cell r="P9128">
            <v>0</v>
          </cell>
        </row>
        <row r="9129">
          <cell r="P9129">
            <v>0</v>
          </cell>
        </row>
        <row r="9130">
          <cell r="P9130">
            <v>0</v>
          </cell>
        </row>
        <row r="9131">
          <cell r="P9131">
            <v>0</v>
          </cell>
        </row>
        <row r="9132">
          <cell r="P9132">
            <v>0</v>
          </cell>
        </row>
        <row r="9133">
          <cell r="P9133">
            <v>0</v>
          </cell>
        </row>
        <row r="9134">
          <cell r="P9134">
            <v>0</v>
          </cell>
        </row>
        <row r="9135">
          <cell r="P9135">
            <v>0</v>
          </cell>
        </row>
        <row r="9136">
          <cell r="P9136">
            <v>0</v>
          </cell>
        </row>
        <row r="9137">
          <cell r="P9137">
            <v>0</v>
          </cell>
        </row>
        <row r="9138">
          <cell r="P9138">
            <v>0</v>
          </cell>
        </row>
        <row r="9139">
          <cell r="P9139">
            <v>0</v>
          </cell>
        </row>
        <row r="9140">
          <cell r="P9140">
            <v>0</v>
          </cell>
        </row>
        <row r="9141">
          <cell r="P9141">
            <v>0</v>
          </cell>
        </row>
        <row r="9142">
          <cell r="P9142">
            <v>0</v>
          </cell>
        </row>
        <row r="9143">
          <cell r="P9143">
            <v>0</v>
          </cell>
        </row>
        <row r="9144">
          <cell r="P9144">
            <v>0</v>
          </cell>
        </row>
        <row r="9145">
          <cell r="P9145">
            <v>0</v>
          </cell>
        </row>
        <row r="9146">
          <cell r="P9146">
            <v>0</v>
          </cell>
        </row>
        <row r="9147">
          <cell r="P9147">
            <v>0</v>
          </cell>
        </row>
        <row r="9148">
          <cell r="P9148">
            <v>0</v>
          </cell>
        </row>
        <row r="9149">
          <cell r="P9149">
            <v>0</v>
          </cell>
        </row>
        <row r="9150">
          <cell r="P9150">
            <v>0</v>
          </cell>
        </row>
        <row r="9151">
          <cell r="P9151">
            <v>0</v>
          </cell>
        </row>
        <row r="9152">
          <cell r="P9152">
            <v>0</v>
          </cell>
        </row>
        <row r="9153">
          <cell r="P9153">
            <v>0</v>
          </cell>
        </row>
        <row r="9154">
          <cell r="P9154">
            <v>0</v>
          </cell>
        </row>
        <row r="9155">
          <cell r="P9155">
            <v>0</v>
          </cell>
        </row>
        <row r="9156">
          <cell r="P9156">
            <v>0</v>
          </cell>
        </row>
        <row r="9157">
          <cell r="P9157">
            <v>0</v>
          </cell>
        </row>
        <row r="9158">
          <cell r="P9158">
            <v>0</v>
          </cell>
        </row>
        <row r="9159">
          <cell r="P9159">
            <v>0</v>
          </cell>
        </row>
        <row r="9160">
          <cell r="P9160">
            <v>0</v>
          </cell>
        </row>
        <row r="9161">
          <cell r="P9161">
            <v>0</v>
          </cell>
        </row>
        <row r="9162">
          <cell r="P9162">
            <v>0</v>
          </cell>
        </row>
        <row r="9163">
          <cell r="P9163">
            <v>0</v>
          </cell>
        </row>
        <row r="9164">
          <cell r="P9164">
            <v>0</v>
          </cell>
        </row>
        <row r="9165">
          <cell r="P9165">
            <v>0</v>
          </cell>
        </row>
        <row r="9166">
          <cell r="P9166">
            <v>0</v>
          </cell>
        </row>
        <row r="9167">
          <cell r="P9167">
            <v>0</v>
          </cell>
        </row>
        <row r="9168">
          <cell r="P9168">
            <v>0</v>
          </cell>
        </row>
        <row r="9169">
          <cell r="P9169">
            <v>0</v>
          </cell>
        </row>
        <row r="9170">
          <cell r="P9170">
            <v>0</v>
          </cell>
        </row>
        <row r="9171">
          <cell r="P9171">
            <v>0</v>
          </cell>
        </row>
        <row r="9172">
          <cell r="P9172">
            <v>0</v>
          </cell>
        </row>
        <row r="9173">
          <cell r="P9173">
            <v>0</v>
          </cell>
        </row>
        <row r="9174">
          <cell r="P9174">
            <v>0</v>
          </cell>
        </row>
        <row r="9175">
          <cell r="P9175">
            <v>0</v>
          </cell>
        </row>
        <row r="9176">
          <cell r="P9176">
            <v>0</v>
          </cell>
        </row>
        <row r="9177">
          <cell r="P9177">
            <v>0</v>
          </cell>
        </row>
        <row r="9178">
          <cell r="P9178">
            <v>0</v>
          </cell>
        </row>
        <row r="9179">
          <cell r="P9179">
            <v>0</v>
          </cell>
        </row>
        <row r="9180">
          <cell r="P9180">
            <v>0</v>
          </cell>
        </row>
        <row r="9181">
          <cell r="P9181">
            <v>0</v>
          </cell>
        </row>
        <row r="9182">
          <cell r="P9182">
            <v>0</v>
          </cell>
        </row>
        <row r="9183">
          <cell r="P9183">
            <v>0</v>
          </cell>
        </row>
        <row r="9184">
          <cell r="P9184">
            <v>0</v>
          </cell>
        </row>
        <row r="9185">
          <cell r="P9185">
            <v>0</v>
          </cell>
        </row>
        <row r="9186">
          <cell r="P9186">
            <v>0</v>
          </cell>
        </row>
        <row r="9187">
          <cell r="P9187">
            <v>0</v>
          </cell>
        </row>
        <row r="9188">
          <cell r="P9188">
            <v>0</v>
          </cell>
        </row>
        <row r="9189">
          <cell r="P9189">
            <v>0</v>
          </cell>
        </row>
        <row r="9190">
          <cell r="P9190">
            <v>0</v>
          </cell>
        </row>
        <row r="9191">
          <cell r="P9191">
            <v>0</v>
          </cell>
        </row>
        <row r="9192">
          <cell r="P9192">
            <v>0</v>
          </cell>
        </row>
        <row r="9193">
          <cell r="P9193">
            <v>0</v>
          </cell>
        </row>
        <row r="9194">
          <cell r="P9194">
            <v>0</v>
          </cell>
        </row>
        <row r="9195">
          <cell r="P9195">
            <v>0</v>
          </cell>
        </row>
        <row r="9196">
          <cell r="P9196">
            <v>0</v>
          </cell>
        </row>
        <row r="9197">
          <cell r="P9197">
            <v>0</v>
          </cell>
        </row>
        <row r="9198">
          <cell r="P9198">
            <v>0</v>
          </cell>
        </row>
        <row r="9199">
          <cell r="P9199">
            <v>0</v>
          </cell>
        </row>
        <row r="9200">
          <cell r="P9200">
            <v>0</v>
          </cell>
        </row>
        <row r="9201">
          <cell r="P9201">
            <v>0</v>
          </cell>
        </row>
        <row r="9202">
          <cell r="P9202">
            <v>0</v>
          </cell>
        </row>
        <row r="9203">
          <cell r="P9203">
            <v>0</v>
          </cell>
        </row>
        <row r="9204">
          <cell r="P9204">
            <v>0</v>
          </cell>
        </row>
        <row r="9205">
          <cell r="P9205">
            <v>0</v>
          </cell>
        </row>
        <row r="9206">
          <cell r="P9206">
            <v>0</v>
          </cell>
        </row>
        <row r="9207">
          <cell r="P9207">
            <v>0</v>
          </cell>
        </row>
        <row r="9208">
          <cell r="P9208">
            <v>0</v>
          </cell>
        </row>
        <row r="9209">
          <cell r="P9209">
            <v>0</v>
          </cell>
        </row>
        <row r="9210">
          <cell r="P9210">
            <v>0</v>
          </cell>
        </row>
        <row r="9211">
          <cell r="P9211">
            <v>0</v>
          </cell>
        </row>
        <row r="9212">
          <cell r="P9212">
            <v>0</v>
          </cell>
        </row>
        <row r="9213">
          <cell r="P9213">
            <v>0</v>
          </cell>
        </row>
        <row r="9214">
          <cell r="P9214">
            <v>0</v>
          </cell>
        </row>
        <row r="9215">
          <cell r="P9215">
            <v>0</v>
          </cell>
        </row>
        <row r="9216">
          <cell r="P9216">
            <v>0</v>
          </cell>
        </row>
        <row r="9217">
          <cell r="P9217">
            <v>0</v>
          </cell>
        </row>
        <row r="9218">
          <cell r="P9218">
            <v>0</v>
          </cell>
        </row>
        <row r="9219">
          <cell r="P9219">
            <v>0</v>
          </cell>
        </row>
        <row r="9220">
          <cell r="P9220">
            <v>0</v>
          </cell>
        </row>
        <row r="9221">
          <cell r="P9221">
            <v>0</v>
          </cell>
        </row>
        <row r="9222">
          <cell r="P9222">
            <v>0</v>
          </cell>
        </row>
        <row r="9223">
          <cell r="P9223">
            <v>0</v>
          </cell>
        </row>
        <row r="9224">
          <cell r="P9224">
            <v>0</v>
          </cell>
        </row>
        <row r="9225">
          <cell r="P9225">
            <v>0</v>
          </cell>
        </row>
        <row r="9226">
          <cell r="P9226">
            <v>0</v>
          </cell>
        </row>
        <row r="9227">
          <cell r="P9227">
            <v>0</v>
          </cell>
        </row>
        <row r="9228">
          <cell r="P9228">
            <v>0</v>
          </cell>
        </row>
        <row r="9229">
          <cell r="P9229">
            <v>0</v>
          </cell>
        </row>
        <row r="9230">
          <cell r="P9230">
            <v>0</v>
          </cell>
        </row>
        <row r="9231">
          <cell r="P9231">
            <v>0</v>
          </cell>
        </row>
        <row r="9232">
          <cell r="P9232">
            <v>0</v>
          </cell>
        </row>
        <row r="9233">
          <cell r="P9233">
            <v>0</v>
          </cell>
        </row>
        <row r="9234">
          <cell r="P9234">
            <v>0</v>
          </cell>
        </row>
        <row r="9235">
          <cell r="P9235">
            <v>0</v>
          </cell>
        </row>
        <row r="9236">
          <cell r="P9236">
            <v>0</v>
          </cell>
        </row>
        <row r="9237">
          <cell r="P9237">
            <v>0</v>
          </cell>
        </row>
        <row r="9238">
          <cell r="P9238">
            <v>0</v>
          </cell>
        </row>
        <row r="9239">
          <cell r="P9239">
            <v>0</v>
          </cell>
        </row>
        <row r="9240">
          <cell r="P9240">
            <v>0</v>
          </cell>
        </row>
        <row r="9241">
          <cell r="P9241">
            <v>0</v>
          </cell>
        </row>
        <row r="9242">
          <cell r="P9242">
            <v>0</v>
          </cell>
        </row>
        <row r="9243">
          <cell r="P9243">
            <v>0</v>
          </cell>
        </row>
        <row r="9244">
          <cell r="P9244">
            <v>0</v>
          </cell>
        </row>
        <row r="9245">
          <cell r="P9245">
            <v>0</v>
          </cell>
        </row>
        <row r="9246">
          <cell r="P9246">
            <v>0</v>
          </cell>
        </row>
        <row r="9247">
          <cell r="P9247">
            <v>0</v>
          </cell>
        </row>
        <row r="9248">
          <cell r="P9248">
            <v>0</v>
          </cell>
        </row>
        <row r="9249">
          <cell r="P9249">
            <v>0</v>
          </cell>
        </row>
        <row r="9250">
          <cell r="P9250">
            <v>0</v>
          </cell>
        </row>
        <row r="9251">
          <cell r="P9251">
            <v>0</v>
          </cell>
        </row>
        <row r="9252">
          <cell r="P9252">
            <v>0</v>
          </cell>
        </row>
        <row r="9253">
          <cell r="P9253">
            <v>0</v>
          </cell>
        </row>
        <row r="9254">
          <cell r="P9254">
            <v>0</v>
          </cell>
        </row>
        <row r="9255">
          <cell r="P9255">
            <v>0</v>
          </cell>
        </row>
        <row r="9256">
          <cell r="P9256">
            <v>0</v>
          </cell>
        </row>
        <row r="9257">
          <cell r="P9257">
            <v>0</v>
          </cell>
        </row>
        <row r="9258">
          <cell r="P9258">
            <v>0</v>
          </cell>
        </row>
        <row r="9259">
          <cell r="P9259">
            <v>0</v>
          </cell>
        </row>
        <row r="9260">
          <cell r="P9260">
            <v>0</v>
          </cell>
        </row>
        <row r="9261">
          <cell r="P9261">
            <v>0</v>
          </cell>
        </row>
        <row r="9262">
          <cell r="P9262">
            <v>0</v>
          </cell>
        </row>
        <row r="9263">
          <cell r="P9263">
            <v>0</v>
          </cell>
        </row>
        <row r="9264">
          <cell r="P9264">
            <v>0</v>
          </cell>
        </row>
        <row r="9265">
          <cell r="P9265">
            <v>0</v>
          </cell>
        </row>
        <row r="9266">
          <cell r="P9266">
            <v>0</v>
          </cell>
        </row>
        <row r="9267">
          <cell r="P9267">
            <v>0</v>
          </cell>
        </row>
        <row r="9268">
          <cell r="P9268">
            <v>0</v>
          </cell>
        </row>
        <row r="9269">
          <cell r="P9269">
            <v>0</v>
          </cell>
        </row>
        <row r="9270">
          <cell r="P9270">
            <v>0</v>
          </cell>
        </row>
        <row r="9271">
          <cell r="P9271">
            <v>0</v>
          </cell>
        </row>
        <row r="9272">
          <cell r="P9272">
            <v>0</v>
          </cell>
        </row>
        <row r="9273">
          <cell r="P9273">
            <v>0</v>
          </cell>
        </row>
        <row r="9274">
          <cell r="P9274">
            <v>0</v>
          </cell>
        </row>
        <row r="9275">
          <cell r="P9275">
            <v>0</v>
          </cell>
        </row>
        <row r="9276">
          <cell r="P9276">
            <v>0</v>
          </cell>
        </row>
        <row r="9277">
          <cell r="P9277">
            <v>0</v>
          </cell>
        </row>
        <row r="9278">
          <cell r="P9278">
            <v>0</v>
          </cell>
        </row>
        <row r="9279">
          <cell r="P9279">
            <v>0</v>
          </cell>
        </row>
        <row r="9280">
          <cell r="P9280">
            <v>0</v>
          </cell>
        </row>
        <row r="9281">
          <cell r="P9281">
            <v>0</v>
          </cell>
        </row>
        <row r="9282">
          <cell r="P9282">
            <v>0</v>
          </cell>
        </row>
        <row r="9283">
          <cell r="P9283">
            <v>0</v>
          </cell>
        </row>
        <row r="9284">
          <cell r="P9284">
            <v>0</v>
          </cell>
        </row>
        <row r="9285">
          <cell r="P9285">
            <v>0</v>
          </cell>
        </row>
        <row r="9286">
          <cell r="P9286">
            <v>0</v>
          </cell>
        </row>
        <row r="9287">
          <cell r="P9287">
            <v>0</v>
          </cell>
        </row>
        <row r="9288">
          <cell r="P9288">
            <v>0</v>
          </cell>
        </row>
        <row r="9289">
          <cell r="P9289">
            <v>0</v>
          </cell>
        </row>
        <row r="9290">
          <cell r="P9290">
            <v>0</v>
          </cell>
        </row>
        <row r="9291">
          <cell r="P9291">
            <v>0</v>
          </cell>
        </row>
        <row r="9292">
          <cell r="P9292">
            <v>0</v>
          </cell>
        </row>
        <row r="9293">
          <cell r="P9293">
            <v>0</v>
          </cell>
        </row>
        <row r="9294">
          <cell r="P9294">
            <v>0</v>
          </cell>
        </row>
        <row r="9295">
          <cell r="P9295">
            <v>0</v>
          </cell>
        </row>
        <row r="9296">
          <cell r="P9296">
            <v>0</v>
          </cell>
        </row>
        <row r="9297">
          <cell r="P9297">
            <v>0</v>
          </cell>
        </row>
        <row r="9298">
          <cell r="P9298">
            <v>0</v>
          </cell>
        </row>
        <row r="9299">
          <cell r="P9299">
            <v>0</v>
          </cell>
        </row>
        <row r="9300">
          <cell r="P9300">
            <v>0</v>
          </cell>
        </row>
        <row r="9301">
          <cell r="P9301">
            <v>0</v>
          </cell>
        </row>
        <row r="9302">
          <cell r="P9302">
            <v>0</v>
          </cell>
        </row>
        <row r="9303">
          <cell r="P9303">
            <v>0</v>
          </cell>
        </row>
        <row r="9304">
          <cell r="P9304">
            <v>0</v>
          </cell>
        </row>
        <row r="9305">
          <cell r="P9305">
            <v>0</v>
          </cell>
        </row>
        <row r="9306">
          <cell r="P9306">
            <v>0</v>
          </cell>
        </row>
        <row r="9307">
          <cell r="P9307">
            <v>0</v>
          </cell>
        </row>
        <row r="9308">
          <cell r="P9308">
            <v>0</v>
          </cell>
        </row>
        <row r="9309">
          <cell r="P9309">
            <v>0</v>
          </cell>
        </row>
        <row r="9310">
          <cell r="P9310">
            <v>0</v>
          </cell>
        </row>
        <row r="9311">
          <cell r="P9311">
            <v>0</v>
          </cell>
        </row>
        <row r="9312">
          <cell r="P9312">
            <v>0</v>
          </cell>
        </row>
        <row r="9313">
          <cell r="P9313">
            <v>0</v>
          </cell>
        </row>
        <row r="9314">
          <cell r="P9314">
            <v>0</v>
          </cell>
        </row>
        <row r="9315">
          <cell r="P9315">
            <v>0</v>
          </cell>
        </row>
        <row r="9316">
          <cell r="P9316">
            <v>0</v>
          </cell>
        </row>
        <row r="9317">
          <cell r="P9317">
            <v>0</v>
          </cell>
        </row>
        <row r="9318">
          <cell r="P9318">
            <v>0</v>
          </cell>
        </row>
        <row r="9319">
          <cell r="P9319">
            <v>0</v>
          </cell>
        </row>
        <row r="9320">
          <cell r="P9320">
            <v>0</v>
          </cell>
        </row>
        <row r="9321">
          <cell r="P9321">
            <v>0</v>
          </cell>
        </row>
        <row r="9322">
          <cell r="P9322">
            <v>0</v>
          </cell>
        </row>
        <row r="9323">
          <cell r="P9323">
            <v>0</v>
          </cell>
        </row>
        <row r="9324">
          <cell r="P9324">
            <v>0</v>
          </cell>
        </row>
        <row r="9325">
          <cell r="P9325">
            <v>0</v>
          </cell>
        </row>
        <row r="9326">
          <cell r="P9326">
            <v>0</v>
          </cell>
        </row>
        <row r="9327">
          <cell r="P9327">
            <v>0</v>
          </cell>
        </row>
        <row r="9328">
          <cell r="P9328">
            <v>0</v>
          </cell>
        </row>
        <row r="9329">
          <cell r="P9329">
            <v>0</v>
          </cell>
        </row>
        <row r="9330">
          <cell r="P9330">
            <v>0</v>
          </cell>
        </row>
        <row r="9331">
          <cell r="P9331">
            <v>0</v>
          </cell>
        </row>
        <row r="9332">
          <cell r="P9332">
            <v>0</v>
          </cell>
        </row>
        <row r="9333">
          <cell r="P9333">
            <v>0</v>
          </cell>
        </row>
        <row r="9334">
          <cell r="P9334">
            <v>0</v>
          </cell>
        </row>
        <row r="9335">
          <cell r="P9335">
            <v>0</v>
          </cell>
        </row>
        <row r="9336">
          <cell r="P9336">
            <v>0</v>
          </cell>
        </row>
        <row r="9337">
          <cell r="P9337">
            <v>0</v>
          </cell>
        </row>
        <row r="9338">
          <cell r="P9338">
            <v>0</v>
          </cell>
        </row>
        <row r="9339">
          <cell r="P9339">
            <v>0</v>
          </cell>
        </row>
        <row r="9340">
          <cell r="P9340">
            <v>0</v>
          </cell>
        </row>
        <row r="9341">
          <cell r="P9341">
            <v>0</v>
          </cell>
        </row>
        <row r="9342">
          <cell r="P9342">
            <v>0</v>
          </cell>
        </row>
        <row r="9343">
          <cell r="P9343">
            <v>0</v>
          </cell>
        </row>
        <row r="9344">
          <cell r="P9344">
            <v>0</v>
          </cell>
        </row>
        <row r="9345">
          <cell r="P9345">
            <v>0</v>
          </cell>
        </row>
        <row r="9346">
          <cell r="P9346">
            <v>0</v>
          </cell>
        </row>
        <row r="9347">
          <cell r="P9347">
            <v>0</v>
          </cell>
        </row>
        <row r="9348">
          <cell r="P9348">
            <v>0</v>
          </cell>
        </row>
        <row r="9349">
          <cell r="P9349">
            <v>0</v>
          </cell>
        </row>
        <row r="9350">
          <cell r="P9350">
            <v>0</v>
          </cell>
        </row>
        <row r="9351">
          <cell r="P9351">
            <v>0</v>
          </cell>
        </row>
        <row r="9352">
          <cell r="P9352">
            <v>0</v>
          </cell>
        </row>
        <row r="9353">
          <cell r="P9353">
            <v>0</v>
          </cell>
        </row>
        <row r="9354">
          <cell r="P9354">
            <v>0</v>
          </cell>
        </row>
        <row r="9355">
          <cell r="P9355">
            <v>0</v>
          </cell>
        </row>
        <row r="9356">
          <cell r="P9356">
            <v>0</v>
          </cell>
        </row>
        <row r="9357">
          <cell r="P9357">
            <v>0</v>
          </cell>
        </row>
        <row r="9358">
          <cell r="P9358">
            <v>0</v>
          </cell>
        </row>
        <row r="9359">
          <cell r="P9359">
            <v>0</v>
          </cell>
        </row>
        <row r="9360">
          <cell r="P9360">
            <v>0</v>
          </cell>
        </row>
        <row r="9361">
          <cell r="P9361">
            <v>0</v>
          </cell>
        </row>
        <row r="9362">
          <cell r="P9362">
            <v>0</v>
          </cell>
        </row>
        <row r="9363">
          <cell r="P9363">
            <v>0</v>
          </cell>
        </row>
        <row r="9364">
          <cell r="P9364">
            <v>0</v>
          </cell>
        </row>
        <row r="9365">
          <cell r="P9365">
            <v>0</v>
          </cell>
        </row>
        <row r="9366">
          <cell r="P9366">
            <v>0</v>
          </cell>
        </row>
        <row r="9367">
          <cell r="P9367">
            <v>0</v>
          </cell>
        </row>
        <row r="9368">
          <cell r="P9368">
            <v>0</v>
          </cell>
        </row>
        <row r="9369">
          <cell r="P9369">
            <v>0</v>
          </cell>
        </row>
        <row r="9370">
          <cell r="P9370">
            <v>0</v>
          </cell>
        </row>
        <row r="9371">
          <cell r="P9371">
            <v>0</v>
          </cell>
        </row>
        <row r="9372">
          <cell r="P9372">
            <v>0</v>
          </cell>
        </row>
        <row r="9373">
          <cell r="P9373">
            <v>0</v>
          </cell>
        </row>
        <row r="9374">
          <cell r="P9374">
            <v>0</v>
          </cell>
        </row>
        <row r="9375">
          <cell r="P9375">
            <v>0</v>
          </cell>
        </row>
        <row r="9376">
          <cell r="P9376">
            <v>0</v>
          </cell>
        </row>
        <row r="9377">
          <cell r="P9377">
            <v>0</v>
          </cell>
        </row>
        <row r="9378">
          <cell r="P9378">
            <v>0</v>
          </cell>
        </row>
        <row r="9379">
          <cell r="P9379">
            <v>0</v>
          </cell>
        </row>
        <row r="9380">
          <cell r="P9380">
            <v>0</v>
          </cell>
        </row>
        <row r="9381">
          <cell r="P9381">
            <v>0</v>
          </cell>
        </row>
        <row r="9382">
          <cell r="P9382">
            <v>0</v>
          </cell>
        </row>
        <row r="9383">
          <cell r="P9383">
            <v>0</v>
          </cell>
        </row>
        <row r="9384">
          <cell r="P9384">
            <v>0</v>
          </cell>
        </row>
        <row r="9385">
          <cell r="P9385">
            <v>0</v>
          </cell>
        </row>
        <row r="9386">
          <cell r="P9386">
            <v>0</v>
          </cell>
        </row>
        <row r="9387">
          <cell r="P9387">
            <v>0</v>
          </cell>
        </row>
        <row r="9388">
          <cell r="P9388">
            <v>0</v>
          </cell>
        </row>
        <row r="9389">
          <cell r="P9389">
            <v>0</v>
          </cell>
        </row>
        <row r="9390">
          <cell r="P9390">
            <v>0</v>
          </cell>
        </row>
        <row r="9391">
          <cell r="P9391">
            <v>0</v>
          </cell>
        </row>
        <row r="9392">
          <cell r="P9392">
            <v>0</v>
          </cell>
        </row>
        <row r="9393">
          <cell r="P9393">
            <v>0</v>
          </cell>
        </row>
        <row r="9394">
          <cell r="P9394">
            <v>0</v>
          </cell>
        </row>
        <row r="9395">
          <cell r="P9395">
            <v>0</v>
          </cell>
        </row>
        <row r="9396">
          <cell r="P9396">
            <v>0</v>
          </cell>
        </row>
        <row r="9397">
          <cell r="P9397">
            <v>0</v>
          </cell>
        </row>
        <row r="9398">
          <cell r="P9398">
            <v>0</v>
          </cell>
        </row>
        <row r="9399">
          <cell r="P9399">
            <v>0</v>
          </cell>
        </row>
        <row r="9400">
          <cell r="P9400">
            <v>0</v>
          </cell>
        </row>
        <row r="9401">
          <cell r="P9401">
            <v>0</v>
          </cell>
        </row>
        <row r="9402">
          <cell r="P9402">
            <v>0</v>
          </cell>
        </row>
        <row r="9403">
          <cell r="P9403">
            <v>0</v>
          </cell>
        </row>
        <row r="9404">
          <cell r="P9404">
            <v>0</v>
          </cell>
        </row>
        <row r="9405">
          <cell r="P9405">
            <v>0</v>
          </cell>
        </row>
        <row r="9406">
          <cell r="P9406">
            <v>0</v>
          </cell>
        </row>
        <row r="9407">
          <cell r="P9407">
            <v>0</v>
          </cell>
        </row>
        <row r="9408">
          <cell r="P9408">
            <v>0</v>
          </cell>
        </row>
        <row r="9409">
          <cell r="P9409">
            <v>0</v>
          </cell>
        </row>
        <row r="9410">
          <cell r="P9410">
            <v>0</v>
          </cell>
        </row>
        <row r="9411">
          <cell r="P9411">
            <v>0</v>
          </cell>
        </row>
        <row r="9412">
          <cell r="P9412">
            <v>0</v>
          </cell>
        </row>
        <row r="9413">
          <cell r="P9413">
            <v>0</v>
          </cell>
        </row>
        <row r="9414">
          <cell r="P9414">
            <v>0</v>
          </cell>
        </row>
        <row r="9415">
          <cell r="P9415">
            <v>0</v>
          </cell>
        </row>
        <row r="9416">
          <cell r="P9416">
            <v>0</v>
          </cell>
        </row>
        <row r="9417">
          <cell r="P9417">
            <v>0</v>
          </cell>
        </row>
        <row r="9418">
          <cell r="P9418">
            <v>0</v>
          </cell>
        </row>
        <row r="9419">
          <cell r="P9419">
            <v>0</v>
          </cell>
        </row>
        <row r="9420">
          <cell r="P9420">
            <v>0</v>
          </cell>
        </row>
        <row r="9421">
          <cell r="P9421">
            <v>0</v>
          </cell>
        </row>
        <row r="9422">
          <cell r="P9422">
            <v>0</v>
          </cell>
        </row>
        <row r="9423">
          <cell r="P9423">
            <v>0</v>
          </cell>
        </row>
        <row r="9424">
          <cell r="P9424">
            <v>0</v>
          </cell>
        </row>
        <row r="9425">
          <cell r="P9425">
            <v>0</v>
          </cell>
        </row>
        <row r="9426">
          <cell r="P9426">
            <v>0</v>
          </cell>
        </row>
        <row r="9427">
          <cell r="P9427">
            <v>0</v>
          </cell>
        </row>
        <row r="9428">
          <cell r="P9428">
            <v>0</v>
          </cell>
        </row>
        <row r="9429">
          <cell r="P9429">
            <v>0</v>
          </cell>
        </row>
        <row r="9430">
          <cell r="P9430">
            <v>0</v>
          </cell>
        </row>
        <row r="9431">
          <cell r="P9431">
            <v>0</v>
          </cell>
        </row>
        <row r="9432">
          <cell r="P9432">
            <v>0</v>
          </cell>
        </row>
        <row r="9433">
          <cell r="P9433">
            <v>0</v>
          </cell>
        </row>
        <row r="9434">
          <cell r="P9434">
            <v>0</v>
          </cell>
        </row>
        <row r="9435">
          <cell r="P9435">
            <v>0</v>
          </cell>
        </row>
        <row r="9436">
          <cell r="P9436">
            <v>0</v>
          </cell>
        </row>
        <row r="9437">
          <cell r="P9437">
            <v>0</v>
          </cell>
        </row>
        <row r="9438">
          <cell r="P9438">
            <v>0</v>
          </cell>
        </row>
        <row r="9439">
          <cell r="P9439">
            <v>0</v>
          </cell>
        </row>
        <row r="9440">
          <cell r="P9440">
            <v>0</v>
          </cell>
        </row>
        <row r="9441">
          <cell r="P9441">
            <v>0</v>
          </cell>
        </row>
        <row r="9442">
          <cell r="P9442">
            <v>0</v>
          </cell>
        </row>
        <row r="9443">
          <cell r="P9443">
            <v>0</v>
          </cell>
        </row>
        <row r="9444">
          <cell r="P9444">
            <v>0</v>
          </cell>
        </row>
        <row r="9445">
          <cell r="P9445">
            <v>0</v>
          </cell>
        </row>
        <row r="9446">
          <cell r="P9446">
            <v>0</v>
          </cell>
        </row>
        <row r="9447">
          <cell r="P9447">
            <v>0</v>
          </cell>
        </row>
        <row r="9448">
          <cell r="P9448">
            <v>0</v>
          </cell>
        </row>
        <row r="9449">
          <cell r="P9449">
            <v>0</v>
          </cell>
        </row>
        <row r="9450">
          <cell r="P9450">
            <v>0</v>
          </cell>
        </row>
        <row r="9451">
          <cell r="P9451">
            <v>0</v>
          </cell>
        </row>
        <row r="9452">
          <cell r="P9452">
            <v>0</v>
          </cell>
        </row>
        <row r="9453">
          <cell r="P9453">
            <v>0</v>
          </cell>
        </row>
        <row r="9454">
          <cell r="P9454">
            <v>0</v>
          </cell>
        </row>
        <row r="9455">
          <cell r="P9455">
            <v>0</v>
          </cell>
        </row>
        <row r="9456">
          <cell r="P9456">
            <v>0</v>
          </cell>
        </row>
        <row r="9457">
          <cell r="P9457">
            <v>0</v>
          </cell>
        </row>
        <row r="9458">
          <cell r="P9458">
            <v>0</v>
          </cell>
        </row>
        <row r="9459">
          <cell r="P9459">
            <v>0</v>
          </cell>
        </row>
        <row r="9460">
          <cell r="P9460">
            <v>0</v>
          </cell>
        </row>
        <row r="9461">
          <cell r="P9461">
            <v>0</v>
          </cell>
        </row>
        <row r="9462">
          <cell r="P9462">
            <v>0</v>
          </cell>
        </row>
        <row r="9463">
          <cell r="P9463">
            <v>0</v>
          </cell>
        </row>
        <row r="9464">
          <cell r="P9464">
            <v>0</v>
          </cell>
        </row>
        <row r="9465">
          <cell r="P9465">
            <v>0</v>
          </cell>
        </row>
        <row r="9466">
          <cell r="P9466">
            <v>0</v>
          </cell>
        </row>
        <row r="9467">
          <cell r="P9467">
            <v>0</v>
          </cell>
        </row>
        <row r="9468">
          <cell r="P9468">
            <v>0</v>
          </cell>
        </row>
        <row r="9469">
          <cell r="P9469">
            <v>0</v>
          </cell>
        </row>
        <row r="9470">
          <cell r="P9470">
            <v>0</v>
          </cell>
        </row>
        <row r="9471">
          <cell r="P9471">
            <v>0</v>
          </cell>
        </row>
        <row r="9472">
          <cell r="P9472">
            <v>0</v>
          </cell>
        </row>
        <row r="9473">
          <cell r="P9473">
            <v>0</v>
          </cell>
        </row>
        <row r="9474">
          <cell r="P9474">
            <v>0</v>
          </cell>
        </row>
        <row r="9475">
          <cell r="P9475">
            <v>0</v>
          </cell>
        </row>
        <row r="9476">
          <cell r="P9476">
            <v>0</v>
          </cell>
        </row>
        <row r="9477">
          <cell r="P9477">
            <v>0</v>
          </cell>
        </row>
        <row r="9478">
          <cell r="P9478">
            <v>0</v>
          </cell>
        </row>
        <row r="9479">
          <cell r="P9479">
            <v>0</v>
          </cell>
        </row>
        <row r="9480">
          <cell r="P9480">
            <v>0</v>
          </cell>
        </row>
        <row r="9481">
          <cell r="P9481">
            <v>0</v>
          </cell>
        </row>
        <row r="9482">
          <cell r="P9482">
            <v>0</v>
          </cell>
        </row>
        <row r="9483">
          <cell r="P9483">
            <v>0</v>
          </cell>
        </row>
        <row r="9484">
          <cell r="P9484">
            <v>0</v>
          </cell>
        </row>
        <row r="9485">
          <cell r="P9485">
            <v>0</v>
          </cell>
        </row>
        <row r="9486">
          <cell r="P9486">
            <v>0</v>
          </cell>
        </row>
        <row r="9487">
          <cell r="P9487">
            <v>0</v>
          </cell>
        </row>
        <row r="9488">
          <cell r="P9488">
            <v>0</v>
          </cell>
        </row>
        <row r="9489">
          <cell r="P9489">
            <v>0</v>
          </cell>
        </row>
        <row r="9490">
          <cell r="P9490">
            <v>0</v>
          </cell>
        </row>
        <row r="9491">
          <cell r="P9491">
            <v>0</v>
          </cell>
        </row>
        <row r="9492">
          <cell r="P9492">
            <v>0</v>
          </cell>
        </row>
        <row r="9493">
          <cell r="P9493">
            <v>0</v>
          </cell>
        </row>
        <row r="9494">
          <cell r="P9494">
            <v>0</v>
          </cell>
        </row>
        <row r="9495">
          <cell r="P9495">
            <v>0</v>
          </cell>
        </row>
        <row r="9496">
          <cell r="P9496">
            <v>0</v>
          </cell>
        </row>
        <row r="9497">
          <cell r="P9497">
            <v>0</v>
          </cell>
        </row>
        <row r="9498">
          <cell r="P9498">
            <v>0</v>
          </cell>
        </row>
        <row r="9499">
          <cell r="P9499">
            <v>0</v>
          </cell>
        </row>
        <row r="9500">
          <cell r="P9500">
            <v>0</v>
          </cell>
        </row>
        <row r="9501">
          <cell r="P9501">
            <v>0</v>
          </cell>
        </row>
        <row r="9502">
          <cell r="P9502">
            <v>0</v>
          </cell>
        </row>
        <row r="9503">
          <cell r="P9503">
            <v>0</v>
          </cell>
        </row>
        <row r="9504">
          <cell r="P9504">
            <v>0</v>
          </cell>
        </row>
        <row r="9505">
          <cell r="P9505">
            <v>0</v>
          </cell>
        </row>
        <row r="9506">
          <cell r="P9506">
            <v>0</v>
          </cell>
        </row>
        <row r="9507">
          <cell r="P9507">
            <v>0</v>
          </cell>
        </row>
        <row r="9508">
          <cell r="P9508">
            <v>0</v>
          </cell>
        </row>
        <row r="9509">
          <cell r="P9509">
            <v>0</v>
          </cell>
        </row>
        <row r="9510">
          <cell r="P9510">
            <v>0</v>
          </cell>
        </row>
        <row r="9511">
          <cell r="P9511">
            <v>0</v>
          </cell>
        </row>
        <row r="9512">
          <cell r="P9512">
            <v>0</v>
          </cell>
        </row>
        <row r="9513">
          <cell r="P9513">
            <v>0</v>
          </cell>
        </row>
        <row r="9514">
          <cell r="P9514">
            <v>0</v>
          </cell>
        </row>
        <row r="9515">
          <cell r="P9515">
            <v>0</v>
          </cell>
        </row>
        <row r="9516">
          <cell r="P9516">
            <v>0</v>
          </cell>
        </row>
        <row r="9517">
          <cell r="P9517">
            <v>0</v>
          </cell>
        </row>
        <row r="9518">
          <cell r="P9518">
            <v>0</v>
          </cell>
        </row>
        <row r="9519">
          <cell r="P9519">
            <v>0</v>
          </cell>
        </row>
        <row r="9520">
          <cell r="P9520">
            <v>0</v>
          </cell>
        </row>
        <row r="9521">
          <cell r="P9521">
            <v>0</v>
          </cell>
        </row>
        <row r="9522">
          <cell r="P9522">
            <v>0</v>
          </cell>
        </row>
        <row r="9523">
          <cell r="P9523">
            <v>0</v>
          </cell>
        </row>
        <row r="9524">
          <cell r="P9524">
            <v>0</v>
          </cell>
        </row>
        <row r="9525">
          <cell r="P9525">
            <v>0</v>
          </cell>
        </row>
        <row r="9526">
          <cell r="P9526">
            <v>0</v>
          </cell>
        </row>
        <row r="9527">
          <cell r="P9527">
            <v>0</v>
          </cell>
        </row>
        <row r="9528">
          <cell r="P9528">
            <v>0</v>
          </cell>
        </row>
        <row r="9529">
          <cell r="P9529">
            <v>0</v>
          </cell>
        </row>
        <row r="9530">
          <cell r="P9530">
            <v>0</v>
          </cell>
        </row>
        <row r="9531">
          <cell r="P9531">
            <v>0</v>
          </cell>
        </row>
        <row r="9532">
          <cell r="P9532">
            <v>0</v>
          </cell>
        </row>
        <row r="9533">
          <cell r="P9533">
            <v>0</v>
          </cell>
        </row>
        <row r="9534">
          <cell r="P9534">
            <v>0</v>
          </cell>
        </row>
        <row r="9535">
          <cell r="P9535">
            <v>0</v>
          </cell>
        </row>
        <row r="9536">
          <cell r="P9536">
            <v>0</v>
          </cell>
        </row>
        <row r="9537">
          <cell r="P9537">
            <v>0</v>
          </cell>
        </row>
        <row r="9538">
          <cell r="P9538">
            <v>0</v>
          </cell>
        </row>
        <row r="9539">
          <cell r="P9539">
            <v>0</v>
          </cell>
        </row>
        <row r="9540">
          <cell r="P9540">
            <v>0</v>
          </cell>
        </row>
        <row r="9541">
          <cell r="P9541">
            <v>0</v>
          </cell>
        </row>
        <row r="9542">
          <cell r="P9542">
            <v>0</v>
          </cell>
        </row>
        <row r="9543">
          <cell r="P9543">
            <v>0</v>
          </cell>
        </row>
        <row r="9544">
          <cell r="P9544">
            <v>0</v>
          </cell>
        </row>
        <row r="9545">
          <cell r="P9545">
            <v>0</v>
          </cell>
        </row>
        <row r="9546">
          <cell r="P9546">
            <v>0</v>
          </cell>
        </row>
        <row r="9547">
          <cell r="P9547">
            <v>0</v>
          </cell>
        </row>
        <row r="9548">
          <cell r="P9548">
            <v>0</v>
          </cell>
        </row>
        <row r="9549">
          <cell r="P9549">
            <v>0</v>
          </cell>
        </row>
        <row r="9550">
          <cell r="P9550">
            <v>0</v>
          </cell>
        </row>
        <row r="9551">
          <cell r="P9551">
            <v>0</v>
          </cell>
        </row>
        <row r="9552">
          <cell r="P9552">
            <v>0</v>
          </cell>
        </row>
        <row r="9553">
          <cell r="P9553">
            <v>0</v>
          </cell>
        </row>
        <row r="9554">
          <cell r="P9554">
            <v>0</v>
          </cell>
        </row>
        <row r="9555">
          <cell r="P9555">
            <v>0</v>
          </cell>
        </row>
        <row r="9556">
          <cell r="P9556">
            <v>0</v>
          </cell>
        </row>
        <row r="9557">
          <cell r="P9557">
            <v>0</v>
          </cell>
        </row>
        <row r="9558">
          <cell r="P9558">
            <v>0</v>
          </cell>
        </row>
        <row r="9559">
          <cell r="P9559">
            <v>0</v>
          </cell>
        </row>
        <row r="9560">
          <cell r="P9560">
            <v>0</v>
          </cell>
        </row>
        <row r="9561">
          <cell r="P9561">
            <v>0</v>
          </cell>
        </row>
        <row r="9562">
          <cell r="P9562">
            <v>0</v>
          </cell>
        </row>
        <row r="9563">
          <cell r="P9563">
            <v>0</v>
          </cell>
        </row>
        <row r="9564">
          <cell r="P9564">
            <v>0</v>
          </cell>
        </row>
        <row r="9565">
          <cell r="P9565">
            <v>0</v>
          </cell>
        </row>
        <row r="9566">
          <cell r="P9566">
            <v>0</v>
          </cell>
        </row>
        <row r="9567">
          <cell r="P9567">
            <v>0</v>
          </cell>
        </row>
        <row r="9568">
          <cell r="P9568">
            <v>0</v>
          </cell>
        </row>
        <row r="9569">
          <cell r="P9569">
            <v>0</v>
          </cell>
        </row>
        <row r="9570">
          <cell r="P9570">
            <v>0</v>
          </cell>
        </row>
        <row r="9571">
          <cell r="P9571">
            <v>0</v>
          </cell>
        </row>
        <row r="9572">
          <cell r="P9572">
            <v>0</v>
          </cell>
        </row>
        <row r="9573">
          <cell r="P9573">
            <v>0</v>
          </cell>
        </row>
        <row r="9574">
          <cell r="P9574">
            <v>0</v>
          </cell>
        </row>
        <row r="9575">
          <cell r="P9575">
            <v>0</v>
          </cell>
        </row>
        <row r="9576">
          <cell r="P9576">
            <v>0</v>
          </cell>
        </row>
        <row r="9577">
          <cell r="P9577">
            <v>0</v>
          </cell>
        </row>
        <row r="9578">
          <cell r="P9578">
            <v>0</v>
          </cell>
        </row>
        <row r="9579">
          <cell r="P9579">
            <v>0</v>
          </cell>
        </row>
        <row r="9580">
          <cell r="P9580">
            <v>0</v>
          </cell>
        </row>
        <row r="9581">
          <cell r="P9581">
            <v>0</v>
          </cell>
        </row>
        <row r="9582">
          <cell r="P9582">
            <v>0</v>
          </cell>
        </row>
        <row r="9583">
          <cell r="P9583">
            <v>0</v>
          </cell>
        </row>
        <row r="9584">
          <cell r="P9584">
            <v>0</v>
          </cell>
        </row>
        <row r="9585">
          <cell r="P9585">
            <v>0</v>
          </cell>
        </row>
        <row r="9586">
          <cell r="P9586">
            <v>0</v>
          </cell>
        </row>
        <row r="9587">
          <cell r="P9587">
            <v>0</v>
          </cell>
        </row>
        <row r="9588">
          <cell r="P9588">
            <v>0</v>
          </cell>
        </row>
        <row r="9589">
          <cell r="P9589">
            <v>0</v>
          </cell>
        </row>
        <row r="9590">
          <cell r="P9590">
            <v>0</v>
          </cell>
        </row>
        <row r="9591">
          <cell r="P9591">
            <v>0</v>
          </cell>
        </row>
        <row r="9592">
          <cell r="P9592">
            <v>0</v>
          </cell>
        </row>
        <row r="9593">
          <cell r="P9593">
            <v>0</v>
          </cell>
        </row>
        <row r="9594">
          <cell r="P9594">
            <v>0</v>
          </cell>
        </row>
        <row r="9595">
          <cell r="P9595">
            <v>0</v>
          </cell>
        </row>
        <row r="9596">
          <cell r="P9596">
            <v>0</v>
          </cell>
        </row>
        <row r="9597">
          <cell r="P9597">
            <v>0</v>
          </cell>
        </row>
        <row r="9598">
          <cell r="P9598">
            <v>0</v>
          </cell>
        </row>
        <row r="9599">
          <cell r="P9599">
            <v>0</v>
          </cell>
        </row>
        <row r="9600">
          <cell r="P9600">
            <v>0</v>
          </cell>
        </row>
        <row r="9601">
          <cell r="P9601">
            <v>0</v>
          </cell>
        </row>
        <row r="9602">
          <cell r="P9602">
            <v>0</v>
          </cell>
        </row>
        <row r="9603">
          <cell r="P9603">
            <v>0</v>
          </cell>
        </row>
        <row r="9604">
          <cell r="P9604">
            <v>0</v>
          </cell>
        </row>
        <row r="9605">
          <cell r="P9605">
            <v>0</v>
          </cell>
        </row>
        <row r="9606">
          <cell r="P9606">
            <v>0</v>
          </cell>
        </row>
        <row r="9607">
          <cell r="P9607">
            <v>0</v>
          </cell>
        </row>
        <row r="9608">
          <cell r="P9608">
            <v>0</v>
          </cell>
        </row>
        <row r="9609">
          <cell r="P9609">
            <v>0</v>
          </cell>
        </row>
        <row r="9610">
          <cell r="P9610">
            <v>0</v>
          </cell>
        </row>
        <row r="9611">
          <cell r="P9611">
            <v>0</v>
          </cell>
        </row>
        <row r="9612">
          <cell r="P9612">
            <v>0</v>
          </cell>
        </row>
        <row r="9613">
          <cell r="P9613">
            <v>0</v>
          </cell>
        </row>
        <row r="9614">
          <cell r="P9614">
            <v>0</v>
          </cell>
        </row>
        <row r="9615">
          <cell r="P9615">
            <v>0</v>
          </cell>
        </row>
        <row r="9616">
          <cell r="P9616">
            <v>0</v>
          </cell>
        </row>
        <row r="9617">
          <cell r="P9617">
            <v>0</v>
          </cell>
        </row>
        <row r="9618">
          <cell r="P9618">
            <v>0</v>
          </cell>
        </row>
        <row r="9619">
          <cell r="P9619">
            <v>0</v>
          </cell>
        </row>
        <row r="9620">
          <cell r="P9620">
            <v>0</v>
          </cell>
        </row>
        <row r="9621">
          <cell r="P9621">
            <v>0</v>
          </cell>
        </row>
        <row r="9622">
          <cell r="P9622">
            <v>0</v>
          </cell>
        </row>
        <row r="9623">
          <cell r="P9623">
            <v>0</v>
          </cell>
        </row>
        <row r="9624">
          <cell r="P9624">
            <v>0</v>
          </cell>
        </row>
        <row r="9625">
          <cell r="P9625">
            <v>0</v>
          </cell>
        </row>
        <row r="9626">
          <cell r="P9626">
            <v>0</v>
          </cell>
        </row>
        <row r="9627">
          <cell r="P9627">
            <v>0</v>
          </cell>
        </row>
        <row r="9628">
          <cell r="P9628">
            <v>0</v>
          </cell>
        </row>
        <row r="9629">
          <cell r="P9629">
            <v>0</v>
          </cell>
        </row>
        <row r="9630">
          <cell r="P9630">
            <v>0</v>
          </cell>
        </row>
        <row r="9631">
          <cell r="P9631">
            <v>0</v>
          </cell>
        </row>
        <row r="9632">
          <cell r="P9632">
            <v>0</v>
          </cell>
        </row>
        <row r="9633">
          <cell r="P9633">
            <v>0</v>
          </cell>
        </row>
        <row r="9634">
          <cell r="P9634">
            <v>0</v>
          </cell>
        </row>
        <row r="9635">
          <cell r="P9635">
            <v>0</v>
          </cell>
        </row>
        <row r="9636">
          <cell r="P9636">
            <v>0</v>
          </cell>
        </row>
        <row r="9637">
          <cell r="P9637">
            <v>0</v>
          </cell>
        </row>
        <row r="9638">
          <cell r="P9638">
            <v>0</v>
          </cell>
        </row>
        <row r="9639">
          <cell r="P9639">
            <v>0</v>
          </cell>
        </row>
        <row r="9640">
          <cell r="P9640">
            <v>0</v>
          </cell>
        </row>
        <row r="9641">
          <cell r="P9641">
            <v>0</v>
          </cell>
        </row>
        <row r="9642">
          <cell r="P9642">
            <v>0</v>
          </cell>
        </row>
        <row r="9643">
          <cell r="P9643">
            <v>0</v>
          </cell>
        </row>
        <row r="9644">
          <cell r="P9644">
            <v>0</v>
          </cell>
        </row>
        <row r="9645">
          <cell r="P9645">
            <v>0</v>
          </cell>
        </row>
        <row r="9646">
          <cell r="P9646">
            <v>0</v>
          </cell>
        </row>
        <row r="9647">
          <cell r="P9647">
            <v>0</v>
          </cell>
        </row>
        <row r="9648">
          <cell r="P9648">
            <v>0</v>
          </cell>
        </row>
        <row r="9649">
          <cell r="P9649">
            <v>0</v>
          </cell>
        </row>
        <row r="9650">
          <cell r="P9650">
            <v>0</v>
          </cell>
        </row>
        <row r="9651">
          <cell r="P9651">
            <v>0</v>
          </cell>
        </row>
        <row r="9652">
          <cell r="P9652">
            <v>0</v>
          </cell>
        </row>
        <row r="9653">
          <cell r="P9653">
            <v>0</v>
          </cell>
        </row>
        <row r="9654">
          <cell r="P9654">
            <v>0</v>
          </cell>
        </row>
        <row r="9655">
          <cell r="P9655">
            <v>0</v>
          </cell>
        </row>
        <row r="9656">
          <cell r="P9656">
            <v>0</v>
          </cell>
        </row>
        <row r="9657">
          <cell r="P9657">
            <v>0</v>
          </cell>
        </row>
        <row r="9658">
          <cell r="P9658">
            <v>0</v>
          </cell>
        </row>
        <row r="9659">
          <cell r="P9659">
            <v>0</v>
          </cell>
        </row>
        <row r="9660">
          <cell r="P9660">
            <v>0</v>
          </cell>
        </row>
        <row r="9661">
          <cell r="P9661">
            <v>0</v>
          </cell>
        </row>
        <row r="9662">
          <cell r="P9662">
            <v>0</v>
          </cell>
        </row>
        <row r="9663">
          <cell r="P9663">
            <v>0</v>
          </cell>
        </row>
        <row r="9664">
          <cell r="P9664">
            <v>0</v>
          </cell>
        </row>
        <row r="9665">
          <cell r="P9665">
            <v>0</v>
          </cell>
        </row>
        <row r="9666">
          <cell r="P9666">
            <v>0</v>
          </cell>
        </row>
        <row r="9667">
          <cell r="P9667">
            <v>0</v>
          </cell>
        </row>
        <row r="9668">
          <cell r="P9668">
            <v>0</v>
          </cell>
        </row>
        <row r="9669">
          <cell r="P9669">
            <v>0</v>
          </cell>
        </row>
        <row r="9670">
          <cell r="P9670">
            <v>0</v>
          </cell>
        </row>
        <row r="9671">
          <cell r="P9671">
            <v>0</v>
          </cell>
        </row>
        <row r="9672">
          <cell r="P9672">
            <v>0</v>
          </cell>
        </row>
        <row r="9673">
          <cell r="P9673">
            <v>0</v>
          </cell>
        </row>
        <row r="9674">
          <cell r="P9674">
            <v>0</v>
          </cell>
        </row>
        <row r="9675">
          <cell r="P9675">
            <v>0</v>
          </cell>
        </row>
        <row r="9676">
          <cell r="P9676">
            <v>0</v>
          </cell>
        </row>
        <row r="9677">
          <cell r="P9677">
            <v>0</v>
          </cell>
        </row>
        <row r="9678">
          <cell r="P9678">
            <v>0</v>
          </cell>
        </row>
        <row r="9679">
          <cell r="P9679">
            <v>0</v>
          </cell>
        </row>
        <row r="9680">
          <cell r="P9680">
            <v>0</v>
          </cell>
        </row>
        <row r="9681">
          <cell r="P9681">
            <v>0</v>
          </cell>
        </row>
        <row r="9682">
          <cell r="P9682">
            <v>0</v>
          </cell>
        </row>
        <row r="9683">
          <cell r="P9683">
            <v>0</v>
          </cell>
        </row>
        <row r="9684">
          <cell r="P9684">
            <v>0</v>
          </cell>
        </row>
        <row r="9685">
          <cell r="P9685">
            <v>0</v>
          </cell>
        </row>
        <row r="9686">
          <cell r="P9686">
            <v>0</v>
          </cell>
        </row>
        <row r="9687">
          <cell r="P9687">
            <v>0</v>
          </cell>
        </row>
        <row r="9688">
          <cell r="P9688">
            <v>0</v>
          </cell>
        </row>
        <row r="9689">
          <cell r="P9689">
            <v>0</v>
          </cell>
        </row>
        <row r="9690">
          <cell r="P9690">
            <v>0</v>
          </cell>
        </row>
        <row r="9691">
          <cell r="P9691">
            <v>0</v>
          </cell>
        </row>
        <row r="9692">
          <cell r="P9692">
            <v>0</v>
          </cell>
        </row>
        <row r="9693">
          <cell r="P9693">
            <v>0</v>
          </cell>
        </row>
        <row r="9694">
          <cell r="P9694">
            <v>0</v>
          </cell>
        </row>
        <row r="9695">
          <cell r="P9695">
            <v>0</v>
          </cell>
        </row>
        <row r="9696">
          <cell r="P9696">
            <v>0</v>
          </cell>
        </row>
        <row r="9697">
          <cell r="P9697">
            <v>0</v>
          </cell>
        </row>
        <row r="9698">
          <cell r="P9698">
            <v>0</v>
          </cell>
        </row>
        <row r="9699">
          <cell r="P9699">
            <v>0</v>
          </cell>
        </row>
        <row r="9700">
          <cell r="P9700">
            <v>0</v>
          </cell>
        </row>
        <row r="9701">
          <cell r="P9701">
            <v>0</v>
          </cell>
        </row>
        <row r="9702">
          <cell r="P9702">
            <v>0</v>
          </cell>
        </row>
        <row r="9703">
          <cell r="P9703">
            <v>0</v>
          </cell>
        </row>
        <row r="9704">
          <cell r="P9704">
            <v>0</v>
          </cell>
        </row>
        <row r="9705">
          <cell r="P9705">
            <v>0</v>
          </cell>
        </row>
        <row r="9706">
          <cell r="P9706">
            <v>0</v>
          </cell>
        </row>
        <row r="9707">
          <cell r="P9707">
            <v>0</v>
          </cell>
        </row>
        <row r="9708">
          <cell r="P9708">
            <v>0</v>
          </cell>
        </row>
        <row r="9709">
          <cell r="P9709">
            <v>0</v>
          </cell>
        </row>
        <row r="9710">
          <cell r="P9710">
            <v>0</v>
          </cell>
        </row>
        <row r="9711">
          <cell r="P9711">
            <v>0</v>
          </cell>
        </row>
        <row r="9712">
          <cell r="P9712">
            <v>0</v>
          </cell>
        </row>
        <row r="9713">
          <cell r="P9713">
            <v>0</v>
          </cell>
        </row>
        <row r="9714">
          <cell r="P9714">
            <v>0</v>
          </cell>
        </row>
        <row r="9715">
          <cell r="P9715">
            <v>0</v>
          </cell>
        </row>
        <row r="9716">
          <cell r="P9716">
            <v>0</v>
          </cell>
        </row>
        <row r="9717">
          <cell r="P9717">
            <v>0</v>
          </cell>
        </row>
        <row r="9718">
          <cell r="P9718">
            <v>0</v>
          </cell>
        </row>
        <row r="9719">
          <cell r="P9719">
            <v>0</v>
          </cell>
        </row>
        <row r="9720">
          <cell r="P9720">
            <v>0</v>
          </cell>
        </row>
        <row r="9721">
          <cell r="P9721">
            <v>0</v>
          </cell>
        </row>
        <row r="9722">
          <cell r="P9722">
            <v>0</v>
          </cell>
        </row>
        <row r="9723">
          <cell r="P9723">
            <v>0</v>
          </cell>
        </row>
        <row r="9724">
          <cell r="P9724">
            <v>0</v>
          </cell>
        </row>
        <row r="9725">
          <cell r="P9725">
            <v>0</v>
          </cell>
        </row>
        <row r="9726">
          <cell r="P9726">
            <v>0</v>
          </cell>
        </row>
        <row r="9727">
          <cell r="P9727">
            <v>0</v>
          </cell>
        </row>
        <row r="9728">
          <cell r="P9728">
            <v>0</v>
          </cell>
        </row>
        <row r="9729">
          <cell r="P9729">
            <v>0</v>
          </cell>
        </row>
        <row r="9730">
          <cell r="P9730">
            <v>0</v>
          </cell>
        </row>
        <row r="9731">
          <cell r="P9731">
            <v>0</v>
          </cell>
        </row>
        <row r="9732">
          <cell r="P9732">
            <v>0</v>
          </cell>
        </row>
        <row r="9733">
          <cell r="P9733">
            <v>0</v>
          </cell>
        </row>
        <row r="9734">
          <cell r="P9734">
            <v>0</v>
          </cell>
        </row>
        <row r="9735">
          <cell r="P9735">
            <v>0</v>
          </cell>
        </row>
        <row r="9736">
          <cell r="P9736">
            <v>0</v>
          </cell>
        </row>
        <row r="9737">
          <cell r="P9737">
            <v>0</v>
          </cell>
        </row>
        <row r="9738">
          <cell r="P9738">
            <v>0</v>
          </cell>
        </row>
        <row r="9739">
          <cell r="P9739">
            <v>0</v>
          </cell>
        </row>
        <row r="9740">
          <cell r="P9740">
            <v>0</v>
          </cell>
        </row>
        <row r="9741">
          <cell r="P9741">
            <v>0</v>
          </cell>
        </row>
        <row r="9742">
          <cell r="P9742">
            <v>0</v>
          </cell>
        </row>
        <row r="9743">
          <cell r="P9743">
            <v>0</v>
          </cell>
        </row>
        <row r="9744">
          <cell r="P9744">
            <v>560</v>
          </cell>
        </row>
        <row r="9745">
          <cell r="P9745">
            <v>560</v>
          </cell>
        </row>
        <row r="9746">
          <cell r="P9746">
            <v>840</v>
          </cell>
        </row>
        <row r="9747">
          <cell r="P9747">
            <v>0</v>
          </cell>
        </row>
        <row r="9748">
          <cell r="P9748">
            <v>0</v>
          </cell>
        </row>
        <row r="9749">
          <cell r="P9749">
            <v>0</v>
          </cell>
        </row>
        <row r="9750">
          <cell r="P9750">
            <v>0</v>
          </cell>
        </row>
        <row r="9751">
          <cell r="P9751">
            <v>0</v>
          </cell>
        </row>
        <row r="9752">
          <cell r="P9752">
            <v>0</v>
          </cell>
        </row>
        <row r="9753">
          <cell r="P9753">
            <v>0</v>
          </cell>
        </row>
        <row r="9754">
          <cell r="P9754">
            <v>0</v>
          </cell>
        </row>
        <row r="9755">
          <cell r="P9755">
            <v>0</v>
          </cell>
        </row>
        <row r="9756">
          <cell r="P9756">
            <v>0</v>
          </cell>
        </row>
        <row r="9757">
          <cell r="P9757">
            <v>0</v>
          </cell>
        </row>
        <row r="9758">
          <cell r="P9758">
            <v>0</v>
          </cell>
        </row>
        <row r="9759">
          <cell r="P9759">
            <v>0</v>
          </cell>
        </row>
        <row r="9760">
          <cell r="P9760">
            <v>0</v>
          </cell>
        </row>
        <row r="9761">
          <cell r="P9761">
            <v>0</v>
          </cell>
        </row>
        <row r="9762">
          <cell r="P9762">
            <v>0</v>
          </cell>
        </row>
        <row r="9763">
          <cell r="P9763">
            <v>0</v>
          </cell>
        </row>
        <row r="9764">
          <cell r="P9764">
            <v>0</v>
          </cell>
        </row>
        <row r="9765">
          <cell r="P9765">
            <v>0</v>
          </cell>
        </row>
        <row r="9766">
          <cell r="P9766">
            <v>0</v>
          </cell>
        </row>
        <row r="9767">
          <cell r="P9767">
            <v>0</v>
          </cell>
        </row>
        <row r="9768">
          <cell r="P9768">
            <v>0</v>
          </cell>
        </row>
        <row r="9769">
          <cell r="P9769">
            <v>0</v>
          </cell>
        </row>
        <row r="9770">
          <cell r="P9770">
            <v>0</v>
          </cell>
        </row>
        <row r="9771">
          <cell r="P9771">
            <v>0</v>
          </cell>
        </row>
        <row r="9772">
          <cell r="P9772">
            <v>0</v>
          </cell>
        </row>
        <row r="9773">
          <cell r="P9773">
            <v>0</v>
          </cell>
        </row>
        <row r="9774">
          <cell r="P9774">
            <v>0</v>
          </cell>
        </row>
        <row r="9775">
          <cell r="P9775">
            <v>0</v>
          </cell>
        </row>
        <row r="9776">
          <cell r="P9776">
            <v>0</v>
          </cell>
        </row>
        <row r="9777">
          <cell r="P9777">
            <v>0</v>
          </cell>
        </row>
        <row r="9778">
          <cell r="P9778">
            <v>0</v>
          </cell>
        </row>
        <row r="9779">
          <cell r="P9779">
            <v>0</v>
          </cell>
        </row>
        <row r="9780">
          <cell r="P9780">
            <v>0</v>
          </cell>
        </row>
        <row r="9781">
          <cell r="P9781">
            <v>0</v>
          </cell>
        </row>
        <row r="9782">
          <cell r="P9782">
            <v>0</v>
          </cell>
        </row>
        <row r="9783">
          <cell r="P9783">
            <v>0</v>
          </cell>
        </row>
        <row r="9784">
          <cell r="P9784">
            <v>0</v>
          </cell>
        </row>
        <row r="9785">
          <cell r="P9785">
            <v>0</v>
          </cell>
        </row>
        <row r="9786">
          <cell r="P9786">
            <v>0</v>
          </cell>
        </row>
        <row r="9787">
          <cell r="P9787">
            <v>0</v>
          </cell>
        </row>
        <row r="9788">
          <cell r="P9788">
            <v>0</v>
          </cell>
        </row>
        <row r="9789">
          <cell r="P9789">
            <v>0</v>
          </cell>
        </row>
        <row r="9790">
          <cell r="P9790">
            <v>0</v>
          </cell>
        </row>
        <row r="9791">
          <cell r="P9791">
            <v>0</v>
          </cell>
        </row>
        <row r="9792">
          <cell r="P9792">
            <v>0</v>
          </cell>
        </row>
        <row r="9793">
          <cell r="P9793">
            <v>0</v>
          </cell>
        </row>
        <row r="9794">
          <cell r="P9794">
            <v>0</v>
          </cell>
        </row>
        <row r="9795">
          <cell r="P9795">
            <v>0</v>
          </cell>
        </row>
        <row r="9796">
          <cell r="P9796">
            <v>0</v>
          </cell>
        </row>
        <row r="9797">
          <cell r="P9797">
            <v>0</v>
          </cell>
        </row>
        <row r="9798">
          <cell r="P9798">
            <v>0</v>
          </cell>
        </row>
        <row r="9799">
          <cell r="P9799">
            <v>0</v>
          </cell>
        </row>
        <row r="9800">
          <cell r="P9800">
            <v>0</v>
          </cell>
        </row>
        <row r="9801">
          <cell r="P9801">
            <v>0</v>
          </cell>
        </row>
        <row r="9802">
          <cell r="P9802">
            <v>0</v>
          </cell>
        </row>
        <row r="9803">
          <cell r="P9803">
            <v>0</v>
          </cell>
        </row>
        <row r="9804">
          <cell r="P9804">
            <v>0</v>
          </cell>
        </row>
        <row r="9805">
          <cell r="P9805">
            <v>0</v>
          </cell>
        </row>
        <row r="9806">
          <cell r="P9806">
            <v>0</v>
          </cell>
        </row>
        <row r="9807">
          <cell r="P9807">
            <v>0</v>
          </cell>
        </row>
        <row r="9808">
          <cell r="P9808">
            <v>0</v>
          </cell>
        </row>
        <row r="9809">
          <cell r="P9809">
            <v>0</v>
          </cell>
        </row>
        <row r="9810">
          <cell r="P9810">
            <v>0</v>
          </cell>
        </row>
        <row r="9811">
          <cell r="P9811">
            <v>0</v>
          </cell>
        </row>
        <row r="9812">
          <cell r="P9812">
            <v>0</v>
          </cell>
        </row>
        <row r="9813">
          <cell r="P9813">
            <v>0</v>
          </cell>
        </row>
        <row r="9814">
          <cell r="P9814">
            <v>0</v>
          </cell>
        </row>
        <row r="9815">
          <cell r="P9815">
            <v>0</v>
          </cell>
        </row>
        <row r="9816">
          <cell r="P9816">
            <v>0</v>
          </cell>
        </row>
        <row r="9817">
          <cell r="P9817">
            <v>0</v>
          </cell>
        </row>
        <row r="9818">
          <cell r="P9818">
            <v>0</v>
          </cell>
        </row>
        <row r="9819">
          <cell r="P9819">
            <v>0</v>
          </cell>
        </row>
        <row r="9820">
          <cell r="P9820">
            <v>0</v>
          </cell>
        </row>
        <row r="9821">
          <cell r="P9821">
            <v>0</v>
          </cell>
        </row>
        <row r="9822">
          <cell r="P9822">
            <v>0</v>
          </cell>
        </row>
        <row r="9823">
          <cell r="P9823">
            <v>0</v>
          </cell>
        </row>
        <row r="9824">
          <cell r="P9824">
            <v>0</v>
          </cell>
        </row>
        <row r="9825">
          <cell r="P9825">
            <v>0</v>
          </cell>
        </row>
        <row r="9826">
          <cell r="P9826">
            <v>0</v>
          </cell>
        </row>
        <row r="9827">
          <cell r="P9827">
            <v>0</v>
          </cell>
        </row>
        <row r="9828">
          <cell r="P9828">
            <v>0</v>
          </cell>
        </row>
        <row r="9829">
          <cell r="P9829">
            <v>0</v>
          </cell>
        </row>
        <row r="9830">
          <cell r="P9830">
            <v>0</v>
          </cell>
        </row>
        <row r="9831">
          <cell r="P9831">
            <v>0</v>
          </cell>
        </row>
        <row r="9832">
          <cell r="P9832">
            <v>0</v>
          </cell>
        </row>
        <row r="9833">
          <cell r="P9833">
            <v>0</v>
          </cell>
        </row>
        <row r="9834">
          <cell r="P9834">
            <v>0</v>
          </cell>
        </row>
        <row r="9835">
          <cell r="P9835">
            <v>0</v>
          </cell>
        </row>
        <row r="9836">
          <cell r="P9836">
            <v>0</v>
          </cell>
        </row>
        <row r="9837">
          <cell r="P9837">
            <v>0</v>
          </cell>
        </row>
        <row r="9838">
          <cell r="P9838">
            <v>0</v>
          </cell>
        </row>
        <row r="9839">
          <cell r="P9839">
            <v>0</v>
          </cell>
        </row>
        <row r="9840">
          <cell r="P9840">
            <v>0</v>
          </cell>
        </row>
        <row r="9841">
          <cell r="P9841">
            <v>0</v>
          </cell>
        </row>
        <row r="9842">
          <cell r="P9842">
            <v>0</v>
          </cell>
        </row>
        <row r="9843">
          <cell r="P9843">
            <v>0</v>
          </cell>
        </row>
        <row r="9844">
          <cell r="P9844">
            <v>0</v>
          </cell>
        </row>
        <row r="9845">
          <cell r="P9845">
            <v>0</v>
          </cell>
        </row>
        <row r="9846">
          <cell r="P9846">
            <v>0</v>
          </cell>
        </row>
        <row r="9847">
          <cell r="P9847">
            <v>0</v>
          </cell>
        </row>
        <row r="9848">
          <cell r="P9848">
            <v>0</v>
          </cell>
        </row>
        <row r="9849">
          <cell r="P9849">
            <v>0</v>
          </cell>
        </row>
        <row r="9850">
          <cell r="P9850">
            <v>0</v>
          </cell>
        </row>
        <row r="9851">
          <cell r="P9851">
            <v>0</v>
          </cell>
        </row>
        <row r="9852">
          <cell r="P9852">
            <v>0</v>
          </cell>
        </row>
        <row r="9853">
          <cell r="P9853">
            <v>0</v>
          </cell>
        </row>
        <row r="9854">
          <cell r="P9854">
            <v>0</v>
          </cell>
        </row>
        <row r="9855">
          <cell r="P9855">
            <v>0</v>
          </cell>
        </row>
        <row r="9856">
          <cell r="P9856">
            <v>0</v>
          </cell>
        </row>
        <row r="9857">
          <cell r="P9857">
            <v>0</v>
          </cell>
        </row>
        <row r="9858">
          <cell r="P9858">
            <v>0</v>
          </cell>
        </row>
        <row r="9859">
          <cell r="P9859">
            <v>0</v>
          </cell>
        </row>
        <row r="9860">
          <cell r="P9860">
            <v>0</v>
          </cell>
        </row>
        <row r="9861">
          <cell r="P9861">
            <v>0</v>
          </cell>
        </row>
        <row r="9862">
          <cell r="P9862">
            <v>0</v>
          </cell>
        </row>
        <row r="9863">
          <cell r="P9863">
            <v>0</v>
          </cell>
        </row>
        <row r="9864">
          <cell r="P9864">
            <v>0</v>
          </cell>
        </row>
        <row r="9865">
          <cell r="P9865">
            <v>0</v>
          </cell>
        </row>
        <row r="9866">
          <cell r="P9866">
            <v>0</v>
          </cell>
        </row>
        <row r="9867">
          <cell r="P9867">
            <v>0</v>
          </cell>
        </row>
        <row r="9868">
          <cell r="P9868">
            <v>0</v>
          </cell>
        </row>
        <row r="9869">
          <cell r="P9869">
            <v>0</v>
          </cell>
        </row>
        <row r="9870">
          <cell r="P9870">
            <v>0</v>
          </cell>
        </row>
        <row r="9871">
          <cell r="P9871">
            <v>0</v>
          </cell>
        </row>
        <row r="9872">
          <cell r="P9872">
            <v>0</v>
          </cell>
        </row>
        <row r="9873">
          <cell r="P9873">
            <v>0</v>
          </cell>
        </row>
        <row r="9874">
          <cell r="P9874">
            <v>0</v>
          </cell>
        </row>
        <row r="9875">
          <cell r="P9875">
            <v>0</v>
          </cell>
        </row>
        <row r="9876">
          <cell r="P9876">
            <v>0</v>
          </cell>
        </row>
        <row r="9877">
          <cell r="P9877">
            <v>0</v>
          </cell>
        </row>
        <row r="9878">
          <cell r="P9878">
            <v>0</v>
          </cell>
        </row>
        <row r="9879">
          <cell r="P9879">
            <v>0</v>
          </cell>
        </row>
        <row r="9880">
          <cell r="P9880">
            <v>0</v>
          </cell>
        </row>
        <row r="9881">
          <cell r="P9881">
            <v>0</v>
          </cell>
        </row>
        <row r="9882">
          <cell r="P9882">
            <v>0</v>
          </cell>
        </row>
        <row r="9883">
          <cell r="P9883">
            <v>0</v>
          </cell>
        </row>
        <row r="9884">
          <cell r="P9884">
            <v>0</v>
          </cell>
        </row>
        <row r="9885">
          <cell r="P9885">
            <v>0</v>
          </cell>
        </row>
        <row r="9886">
          <cell r="P9886">
            <v>0</v>
          </cell>
        </row>
        <row r="9887">
          <cell r="P9887">
            <v>0</v>
          </cell>
        </row>
        <row r="9888">
          <cell r="P9888">
            <v>0</v>
          </cell>
        </row>
        <row r="9889">
          <cell r="P9889">
            <v>0</v>
          </cell>
        </row>
        <row r="9890">
          <cell r="P9890">
            <v>0</v>
          </cell>
        </row>
        <row r="9891">
          <cell r="P9891">
            <v>0</v>
          </cell>
        </row>
        <row r="9892">
          <cell r="P9892">
            <v>0</v>
          </cell>
        </row>
        <row r="9893">
          <cell r="P9893">
            <v>0</v>
          </cell>
        </row>
        <row r="9894">
          <cell r="P9894">
            <v>0</v>
          </cell>
        </row>
        <row r="9895">
          <cell r="P9895">
            <v>0</v>
          </cell>
        </row>
        <row r="9896">
          <cell r="P9896">
            <v>0</v>
          </cell>
        </row>
        <row r="9897">
          <cell r="P9897">
            <v>0</v>
          </cell>
        </row>
        <row r="9898">
          <cell r="P9898">
            <v>0</v>
          </cell>
        </row>
        <row r="9899">
          <cell r="P9899">
            <v>0</v>
          </cell>
        </row>
        <row r="9900">
          <cell r="P9900">
            <v>0</v>
          </cell>
        </row>
        <row r="9901">
          <cell r="P9901">
            <v>0</v>
          </cell>
        </row>
        <row r="9902">
          <cell r="P9902">
            <v>0</v>
          </cell>
        </row>
        <row r="9903">
          <cell r="P9903">
            <v>0</v>
          </cell>
        </row>
        <row r="9904">
          <cell r="P9904">
            <v>0</v>
          </cell>
        </row>
        <row r="9905">
          <cell r="P9905">
            <v>0</v>
          </cell>
        </row>
        <row r="9906">
          <cell r="P9906">
            <v>0</v>
          </cell>
        </row>
        <row r="9907">
          <cell r="P9907">
            <v>0</v>
          </cell>
        </row>
        <row r="9908">
          <cell r="P9908">
            <v>0</v>
          </cell>
        </row>
        <row r="9909">
          <cell r="P9909">
            <v>0</v>
          </cell>
        </row>
        <row r="9910">
          <cell r="P9910">
            <v>0</v>
          </cell>
        </row>
        <row r="9911">
          <cell r="P9911">
            <v>0</v>
          </cell>
        </row>
        <row r="9912">
          <cell r="P9912">
            <v>0</v>
          </cell>
        </row>
        <row r="9913">
          <cell r="P9913">
            <v>0</v>
          </cell>
        </row>
        <row r="9914">
          <cell r="P9914">
            <v>0</v>
          </cell>
        </row>
        <row r="9915">
          <cell r="P9915">
            <v>0</v>
          </cell>
        </row>
        <row r="9916">
          <cell r="P9916">
            <v>0</v>
          </cell>
        </row>
        <row r="9917">
          <cell r="P9917">
            <v>0</v>
          </cell>
        </row>
        <row r="9918">
          <cell r="P9918">
            <v>0</v>
          </cell>
        </row>
        <row r="9919">
          <cell r="P9919">
            <v>0</v>
          </cell>
        </row>
        <row r="9920">
          <cell r="P9920">
            <v>0</v>
          </cell>
        </row>
        <row r="9921">
          <cell r="P9921">
            <v>0</v>
          </cell>
        </row>
        <row r="9922">
          <cell r="P9922">
            <v>0</v>
          </cell>
        </row>
        <row r="9923">
          <cell r="P9923">
            <v>0</v>
          </cell>
        </row>
        <row r="9924">
          <cell r="P9924">
            <v>0</v>
          </cell>
        </row>
        <row r="9925">
          <cell r="P9925">
            <v>0</v>
          </cell>
        </row>
        <row r="9926">
          <cell r="P9926">
            <v>0</v>
          </cell>
        </row>
        <row r="9927">
          <cell r="P9927">
            <v>0</v>
          </cell>
        </row>
        <row r="9928">
          <cell r="P9928">
            <v>0</v>
          </cell>
        </row>
        <row r="9929">
          <cell r="P9929">
            <v>0</v>
          </cell>
        </row>
        <row r="9930">
          <cell r="P9930">
            <v>0</v>
          </cell>
        </row>
        <row r="9931">
          <cell r="P9931">
            <v>0</v>
          </cell>
        </row>
        <row r="9932">
          <cell r="P9932">
            <v>0</v>
          </cell>
        </row>
        <row r="9933">
          <cell r="P9933">
            <v>0</v>
          </cell>
        </row>
        <row r="9934">
          <cell r="P9934">
            <v>0</v>
          </cell>
        </row>
        <row r="9935">
          <cell r="P9935">
            <v>0</v>
          </cell>
        </row>
        <row r="9936">
          <cell r="P9936">
            <v>0</v>
          </cell>
        </row>
        <row r="9937">
          <cell r="P9937">
            <v>0</v>
          </cell>
        </row>
        <row r="9938">
          <cell r="P9938">
            <v>0</v>
          </cell>
        </row>
        <row r="9939">
          <cell r="P9939">
            <v>0</v>
          </cell>
        </row>
        <row r="9940">
          <cell r="P9940">
            <v>0</v>
          </cell>
        </row>
        <row r="9941">
          <cell r="P9941">
            <v>0</v>
          </cell>
        </row>
        <row r="9942">
          <cell r="P9942">
            <v>0</v>
          </cell>
        </row>
        <row r="9943">
          <cell r="P9943">
            <v>0</v>
          </cell>
        </row>
        <row r="9944">
          <cell r="P9944">
            <v>0</v>
          </cell>
        </row>
        <row r="9945">
          <cell r="P9945">
            <v>0</v>
          </cell>
        </row>
        <row r="9946">
          <cell r="P9946">
            <v>0</v>
          </cell>
        </row>
        <row r="9947">
          <cell r="P9947">
            <v>0</v>
          </cell>
        </row>
        <row r="9948">
          <cell r="P9948">
            <v>0</v>
          </cell>
        </row>
        <row r="9949">
          <cell r="P9949">
            <v>0</v>
          </cell>
        </row>
        <row r="9950">
          <cell r="P9950">
            <v>0</v>
          </cell>
        </row>
        <row r="9951">
          <cell r="P9951">
            <v>0</v>
          </cell>
        </row>
        <row r="9952">
          <cell r="P9952">
            <v>0</v>
          </cell>
        </row>
        <row r="9953">
          <cell r="P9953">
            <v>0</v>
          </cell>
        </row>
        <row r="9954">
          <cell r="P9954">
            <v>0</v>
          </cell>
        </row>
        <row r="9955">
          <cell r="P9955">
            <v>0</v>
          </cell>
        </row>
        <row r="9956">
          <cell r="P9956">
            <v>0</v>
          </cell>
        </row>
        <row r="9957">
          <cell r="P9957">
            <v>0</v>
          </cell>
        </row>
        <row r="9958">
          <cell r="P9958">
            <v>0</v>
          </cell>
        </row>
        <row r="9959">
          <cell r="P9959">
            <v>0</v>
          </cell>
        </row>
        <row r="9960">
          <cell r="P9960">
            <v>0</v>
          </cell>
        </row>
        <row r="9961">
          <cell r="P9961">
            <v>0</v>
          </cell>
        </row>
        <row r="9962">
          <cell r="P9962">
            <v>0</v>
          </cell>
        </row>
        <row r="9963">
          <cell r="P9963">
            <v>0</v>
          </cell>
        </row>
        <row r="9964">
          <cell r="P9964">
            <v>0</v>
          </cell>
        </row>
        <row r="9965">
          <cell r="P9965">
            <v>0</v>
          </cell>
        </row>
        <row r="9966">
          <cell r="P9966">
            <v>0</v>
          </cell>
        </row>
        <row r="9967">
          <cell r="P9967">
            <v>0</v>
          </cell>
        </row>
        <row r="9968">
          <cell r="P9968">
            <v>0</v>
          </cell>
        </row>
        <row r="9969">
          <cell r="P9969">
            <v>0</v>
          </cell>
        </row>
        <row r="9970">
          <cell r="P9970">
            <v>0</v>
          </cell>
        </row>
        <row r="9971">
          <cell r="P9971">
            <v>0</v>
          </cell>
        </row>
        <row r="9972">
          <cell r="P9972">
            <v>0</v>
          </cell>
        </row>
        <row r="9973">
          <cell r="P9973">
            <v>0</v>
          </cell>
        </row>
        <row r="9974">
          <cell r="P9974">
            <v>0</v>
          </cell>
        </row>
        <row r="9975">
          <cell r="P9975">
            <v>0</v>
          </cell>
        </row>
        <row r="9976">
          <cell r="P9976">
            <v>0</v>
          </cell>
        </row>
        <row r="9977">
          <cell r="P9977">
            <v>0</v>
          </cell>
        </row>
        <row r="9978">
          <cell r="P9978">
            <v>0</v>
          </cell>
        </row>
        <row r="9979">
          <cell r="P9979">
            <v>0</v>
          </cell>
        </row>
        <row r="9980">
          <cell r="P9980">
            <v>0</v>
          </cell>
        </row>
        <row r="9981">
          <cell r="P9981">
            <v>0</v>
          </cell>
        </row>
        <row r="9982">
          <cell r="P9982">
            <v>0</v>
          </cell>
        </row>
        <row r="9983">
          <cell r="P9983">
            <v>0</v>
          </cell>
        </row>
        <row r="9984">
          <cell r="P9984">
            <v>0</v>
          </cell>
        </row>
        <row r="9985">
          <cell r="P9985">
            <v>0</v>
          </cell>
        </row>
        <row r="9986">
          <cell r="P9986">
            <v>0</v>
          </cell>
        </row>
        <row r="9987">
          <cell r="P9987">
            <v>0</v>
          </cell>
        </row>
        <row r="9988">
          <cell r="P9988">
            <v>0</v>
          </cell>
        </row>
        <row r="9989">
          <cell r="P9989">
            <v>0</v>
          </cell>
        </row>
        <row r="9990">
          <cell r="P9990">
            <v>0</v>
          </cell>
        </row>
        <row r="9991">
          <cell r="P9991">
            <v>0</v>
          </cell>
        </row>
        <row r="9992">
          <cell r="P9992">
            <v>0</v>
          </cell>
        </row>
        <row r="9993">
          <cell r="P9993">
            <v>0</v>
          </cell>
        </row>
        <row r="9994">
          <cell r="P9994">
            <v>0</v>
          </cell>
        </row>
        <row r="9995">
          <cell r="P9995">
            <v>0</v>
          </cell>
        </row>
        <row r="9996">
          <cell r="P9996">
            <v>0</v>
          </cell>
        </row>
        <row r="9997">
          <cell r="P9997">
            <v>0</v>
          </cell>
        </row>
        <row r="9998">
          <cell r="P9998">
            <v>0</v>
          </cell>
        </row>
        <row r="9999">
          <cell r="P9999">
            <v>0</v>
          </cell>
        </row>
        <row r="10000">
          <cell r="P10000">
            <v>0</v>
          </cell>
        </row>
        <row r="10001">
          <cell r="P10001">
            <v>0</v>
          </cell>
        </row>
        <row r="10002">
          <cell r="P10002">
            <v>0</v>
          </cell>
        </row>
        <row r="10003">
          <cell r="P10003">
            <v>0</v>
          </cell>
        </row>
        <row r="10004">
          <cell r="P10004">
            <v>0</v>
          </cell>
        </row>
        <row r="10005">
          <cell r="P10005">
            <v>0</v>
          </cell>
        </row>
        <row r="10006">
          <cell r="P10006">
            <v>0</v>
          </cell>
        </row>
        <row r="10007">
          <cell r="P10007">
            <v>0</v>
          </cell>
        </row>
        <row r="10008">
          <cell r="P10008">
            <v>0</v>
          </cell>
        </row>
        <row r="10009">
          <cell r="P10009">
            <v>0</v>
          </cell>
        </row>
        <row r="10010">
          <cell r="P10010">
            <v>0</v>
          </cell>
        </row>
        <row r="10011">
          <cell r="P10011">
            <v>0</v>
          </cell>
        </row>
        <row r="10012">
          <cell r="P10012">
            <v>0</v>
          </cell>
        </row>
        <row r="10013">
          <cell r="P10013">
            <v>0</v>
          </cell>
        </row>
        <row r="10014">
          <cell r="P10014">
            <v>0</v>
          </cell>
        </row>
        <row r="10015">
          <cell r="P10015">
            <v>0</v>
          </cell>
        </row>
        <row r="10016">
          <cell r="P10016">
            <v>0</v>
          </cell>
        </row>
        <row r="10017">
          <cell r="P10017">
            <v>0</v>
          </cell>
        </row>
        <row r="10018">
          <cell r="P10018">
            <v>0</v>
          </cell>
        </row>
        <row r="10019">
          <cell r="P10019">
            <v>0</v>
          </cell>
        </row>
        <row r="10020">
          <cell r="P10020">
            <v>0</v>
          </cell>
        </row>
        <row r="10021">
          <cell r="P10021">
            <v>0</v>
          </cell>
        </row>
        <row r="10022">
          <cell r="P10022">
            <v>0</v>
          </cell>
        </row>
        <row r="10023">
          <cell r="P10023">
            <v>0</v>
          </cell>
        </row>
        <row r="10024">
          <cell r="P10024">
            <v>0</v>
          </cell>
        </row>
        <row r="10025">
          <cell r="P10025">
            <v>0</v>
          </cell>
        </row>
        <row r="10026">
          <cell r="P10026">
            <v>0</v>
          </cell>
        </row>
        <row r="10027">
          <cell r="P10027">
            <v>0</v>
          </cell>
        </row>
        <row r="10028">
          <cell r="P10028">
            <v>0</v>
          </cell>
        </row>
        <row r="10029">
          <cell r="P10029">
            <v>0</v>
          </cell>
        </row>
        <row r="10030">
          <cell r="P10030">
            <v>0</v>
          </cell>
        </row>
        <row r="10031">
          <cell r="P10031">
            <v>0</v>
          </cell>
        </row>
        <row r="10032">
          <cell r="P10032">
            <v>0</v>
          </cell>
        </row>
        <row r="10033">
          <cell r="P10033">
            <v>0</v>
          </cell>
        </row>
        <row r="10034">
          <cell r="P10034">
            <v>0</v>
          </cell>
        </row>
        <row r="10035">
          <cell r="P10035">
            <v>0</v>
          </cell>
        </row>
        <row r="10036">
          <cell r="P10036">
            <v>0</v>
          </cell>
        </row>
        <row r="10037">
          <cell r="P10037">
            <v>0</v>
          </cell>
        </row>
        <row r="10038">
          <cell r="P10038">
            <v>0</v>
          </cell>
        </row>
        <row r="10039">
          <cell r="P10039">
            <v>0</v>
          </cell>
        </row>
        <row r="10040">
          <cell r="P10040">
            <v>0</v>
          </cell>
        </row>
        <row r="10041">
          <cell r="P10041">
            <v>0</v>
          </cell>
        </row>
        <row r="10042">
          <cell r="P10042">
            <v>0</v>
          </cell>
        </row>
        <row r="10043">
          <cell r="P10043">
            <v>0</v>
          </cell>
        </row>
        <row r="10044">
          <cell r="P10044">
            <v>0</v>
          </cell>
        </row>
        <row r="10045">
          <cell r="P10045">
            <v>0</v>
          </cell>
        </row>
        <row r="10046">
          <cell r="P10046">
            <v>0</v>
          </cell>
        </row>
        <row r="10047">
          <cell r="P10047">
            <v>0</v>
          </cell>
        </row>
        <row r="10048">
          <cell r="P10048">
            <v>0</v>
          </cell>
        </row>
        <row r="10049">
          <cell r="P10049">
            <v>0</v>
          </cell>
        </row>
        <row r="10050">
          <cell r="P10050">
            <v>0</v>
          </cell>
        </row>
        <row r="10051">
          <cell r="P10051">
            <v>0</v>
          </cell>
        </row>
        <row r="10052">
          <cell r="P10052">
            <v>0</v>
          </cell>
        </row>
        <row r="10053">
          <cell r="P10053">
            <v>0</v>
          </cell>
        </row>
        <row r="10054">
          <cell r="P10054">
            <v>0</v>
          </cell>
        </row>
        <row r="10055">
          <cell r="P10055">
            <v>0</v>
          </cell>
        </row>
        <row r="10056">
          <cell r="P10056">
            <v>0</v>
          </cell>
        </row>
        <row r="10057">
          <cell r="P10057">
            <v>0</v>
          </cell>
        </row>
        <row r="10058">
          <cell r="P10058">
            <v>0</v>
          </cell>
        </row>
        <row r="10059">
          <cell r="P10059">
            <v>0</v>
          </cell>
        </row>
        <row r="10060">
          <cell r="P10060">
            <v>0</v>
          </cell>
        </row>
        <row r="10061">
          <cell r="P10061">
            <v>0</v>
          </cell>
        </row>
        <row r="10062">
          <cell r="P10062">
            <v>0</v>
          </cell>
        </row>
        <row r="10063">
          <cell r="P10063">
            <v>0</v>
          </cell>
        </row>
        <row r="10064">
          <cell r="P10064">
            <v>0</v>
          </cell>
        </row>
        <row r="10065">
          <cell r="P10065">
            <v>0</v>
          </cell>
        </row>
        <row r="10066">
          <cell r="P10066">
            <v>0</v>
          </cell>
        </row>
        <row r="10067">
          <cell r="P10067">
            <v>0</v>
          </cell>
        </row>
        <row r="10068">
          <cell r="P10068">
            <v>0</v>
          </cell>
        </row>
        <row r="10069">
          <cell r="P10069">
            <v>0</v>
          </cell>
        </row>
        <row r="10070">
          <cell r="P10070">
            <v>0</v>
          </cell>
        </row>
        <row r="10071">
          <cell r="P10071">
            <v>0</v>
          </cell>
        </row>
        <row r="10072">
          <cell r="P10072">
            <v>0</v>
          </cell>
        </row>
        <row r="10073">
          <cell r="P10073">
            <v>0</v>
          </cell>
        </row>
        <row r="10074">
          <cell r="P10074">
            <v>0</v>
          </cell>
        </row>
        <row r="10075">
          <cell r="P10075">
            <v>0</v>
          </cell>
        </row>
        <row r="10076">
          <cell r="P10076">
            <v>0</v>
          </cell>
        </row>
        <row r="10077">
          <cell r="P10077">
            <v>0</v>
          </cell>
        </row>
        <row r="10078">
          <cell r="P10078">
            <v>0</v>
          </cell>
        </row>
        <row r="10079">
          <cell r="P10079">
            <v>0</v>
          </cell>
        </row>
        <row r="10080">
          <cell r="P10080">
            <v>0</v>
          </cell>
        </row>
        <row r="10081">
          <cell r="P10081">
            <v>0</v>
          </cell>
        </row>
        <row r="10082">
          <cell r="P10082">
            <v>0</v>
          </cell>
        </row>
        <row r="10083">
          <cell r="P10083">
            <v>0</v>
          </cell>
        </row>
        <row r="10084">
          <cell r="P10084">
            <v>0</v>
          </cell>
        </row>
        <row r="10085">
          <cell r="P10085">
            <v>0</v>
          </cell>
        </row>
        <row r="10086">
          <cell r="P10086">
            <v>0</v>
          </cell>
        </row>
        <row r="10087">
          <cell r="P10087">
            <v>0</v>
          </cell>
        </row>
        <row r="10088">
          <cell r="P10088">
            <v>0</v>
          </cell>
        </row>
        <row r="10089">
          <cell r="P10089">
            <v>0</v>
          </cell>
        </row>
        <row r="10090">
          <cell r="P10090">
            <v>0</v>
          </cell>
        </row>
        <row r="10091">
          <cell r="P10091">
            <v>0</v>
          </cell>
        </row>
        <row r="10092">
          <cell r="P10092">
            <v>0</v>
          </cell>
        </row>
        <row r="10093">
          <cell r="P10093">
            <v>0</v>
          </cell>
        </row>
        <row r="10094">
          <cell r="P10094">
            <v>0</v>
          </cell>
        </row>
        <row r="10095">
          <cell r="P10095">
            <v>0</v>
          </cell>
        </row>
        <row r="10096">
          <cell r="P10096">
            <v>0</v>
          </cell>
        </row>
        <row r="10097">
          <cell r="P10097">
            <v>0</v>
          </cell>
        </row>
        <row r="10098">
          <cell r="P10098">
            <v>0</v>
          </cell>
        </row>
        <row r="10099">
          <cell r="P10099">
            <v>0</v>
          </cell>
        </row>
        <row r="10100">
          <cell r="P10100">
            <v>0</v>
          </cell>
        </row>
        <row r="10101">
          <cell r="P10101">
            <v>0</v>
          </cell>
        </row>
        <row r="10102">
          <cell r="P10102">
            <v>0</v>
          </cell>
        </row>
        <row r="10103">
          <cell r="P10103">
            <v>0</v>
          </cell>
        </row>
        <row r="10104">
          <cell r="P10104">
            <v>0</v>
          </cell>
        </row>
        <row r="10105">
          <cell r="P10105">
            <v>0</v>
          </cell>
        </row>
        <row r="10106">
          <cell r="P10106">
            <v>0</v>
          </cell>
        </row>
        <row r="10107">
          <cell r="P10107">
            <v>0</v>
          </cell>
        </row>
        <row r="10108">
          <cell r="P10108">
            <v>0</v>
          </cell>
        </row>
        <row r="10109">
          <cell r="P10109">
            <v>0</v>
          </cell>
        </row>
        <row r="10110">
          <cell r="P10110">
            <v>0</v>
          </cell>
        </row>
        <row r="10111">
          <cell r="P10111">
            <v>0</v>
          </cell>
        </row>
        <row r="10112">
          <cell r="P10112">
            <v>0</v>
          </cell>
        </row>
        <row r="10113">
          <cell r="P10113">
            <v>0</v>
          </cell>
        </row>
        <row r="10114">
          <cell r="P10114">
            <v>0</v>
          </cell>
        </row>
        <row r="10115">
          <cell r="P10115">
            <v>0</v>
          </cell>
        </row>
        <row r="10116">
          <cell r="P10116">
            <v>0</v>
          </cell>
        </row>
        <row r="10117">
          <cell r="P10117">
            <v>0</v>
          </cell>
        </row>
        <row r="10118">
          <cell r="P10118">
            <v>0</v>
          </cell>
        </row>
        <row r="10119">
          <cell r="P10119">
            <v>0</v>
          </cell>
        </row>
        <row r="10120">
          <cell r="P10120">
            <v>0</v>
          </cell>
        </row>
        <row r="10121">
          <cell r="P10121">
            <v>0</v>
          </cell>
        </row>
        <row r="10122">
          <cell r="P10122">
            <v>0</v>
          </cell>
        </row>
        <row r="10123">
          <cell r="P10123">
            <v>0</v>
          </cell>
        </row>
        <row r="10124">
          <cell r="P10124">
            <v>0</v>
          </cell>
        </row>
        <row r="10125">
          <cell r="P10125">
            <v>0</v>
          </cell>
        </row>
        <row r="10126">
          <cell r="P10126">
            <v>0</v>
          </cell>
        </row>
        <row r="10127">
          <cell r="P10127">
            <v>0</v>
          </cell>
        </row>
        <row r="10128">
          <cell r="P10128">
            <v>0</v>
          </cell>
        </row>
        <row r="10129">
          <cell r="P10129">
            <v>0</v>
          </cell>
        </row>
        <row r="10130">
          <cell r="P10130">
            <v>0</v>
          </cell>
        </row>
        <row r="10131">
          <cell r="P10131">
            <v>0</v>
          </cell>
        </row>
        <row r="10132">
          <cell r="P10132">
            <v>0</v>
          </cell>
        </row>
        <row r="10133">
          <cell r="P10133">
            <v>0</v>
          </cell>
        </row>
        <row r="10134">
          <cell r="P10134">
            <v>0</v>
          </cell>
        </row>
        <row r="10135">
          <cell r="P10135">
            <v>0</v>
          </cell>
        </row>
        <row r="10136">
          <cell r="P10136">
            <v>0</v>
          </cell>
        </row>
        <row r="10137">
          <cell r="P10137">
            <v>0</v>
          </cell>
        </row>
        <row r="10138">
          <cell r="P10138">
            <v>0</v>
          </cell>
        </row>
        <row r="10139">
          <cell r="P10139">
            <v>0</v>
          </cell>
        </row>
        <row r="10140">
          <cell r="P10140">
            <v>0</v>
          </cell>
        </row>
        <row r="10141">
          <cell r="P10141">
            <v>0</v>
          </cell>
        </row>
        <row r="10142">
          <cell r="P10142">
            <v>0</v>
          </cell>
        </row>
        <row r="10143">
          <cell r="P10143">
            <v>0</v>
          </cell>
        </row>
        <row r="10144">
          <cell r="P10144">
            <v>0</v>
          </cell>
        </row>
        <row r="10145">
          <cell r="P10145">
            <v>0</v>
          </cell>
        </row>
        <row r="10146">
          <cell r="P10146">
            <v>0</v>
          </cell>
        </row>
        <row r="10147">
          <cell r="P10147">
            <v>0</v>
          </cell>
        </row>
        <row r="10148">
          <cell r="P10148">
            <v>0</v>
          </cell>
        </row>
        <row r="10149">
          <cell r="P10149">
            <v>0</v>
          </cell>
        </row>
        <row r="10150">
          <cell r="P10150">
            <v>0</v>
          </cell>
        </row>
        <row r="10151">
          <cell r="P10151">
            <v>0</v>
          </cell>
        </row>
        <row r="10152">
          <cell r="P10152">
            <v>0</v>
          </cell>
        </row>
        <row r="10153">
          <cell r="P10153">
            <v>0</v>
          </cell>
        </row>
        <row r="10154">
          <cell r="P10154">
            <v>0</v>
          </cell>
        </row>
        <row r="10155">
          <cell r="P10155">
            <v>0</v>
          </cell>
        </row>
        <row r="10156">
          <cell r="P10156">
            <v>0</v>
          </cell>
        </row>
        <row r="10157">
          <cell r="P10157">
            <v>0</v>
          </cell>
        </row>
        <row r="10158">
          <cell r="P10158">
            <v>0</v>
          </cell>
        </row>
        <row r="10159">
          <cell r="P10159">
            <v>0</v>
          </cell>
        </row>
        <row r="10160">
          <cell r="P10160">
            <v>0</v>
          </cell>
        </row>
        <row r="10161">
          <cell r="P10161">
            <v>0</v>
          </cell>
        </row>
        <row r="10162">
          <cell r="P10162">
            <v>0</v>
          </cell>
        </row>
        <row r="10163">
          <cell r="P10163">
            <v>0</v>
          </cell>
        </row>
        <row r="10164">
          <cell r="P10164">
            <v>0</v>
          </cell>
        </row>
        <row r="10165">
          <cell r="P10165">
            <v>0</v>
          </cell>
        </row>
        <row r="10166">
          <cell r="P10166">
            <v>0</v>
          </cell>
        </row>
        <row r="10167">
          <cell r="P10167">
            <v>0</v>
          </cell>
        </row>
        <row r="10168">
          <cell r="P10168">
            <v>0</v>
          </cell>
        </row>
        <row r="10169">
          <cell r="P10169">
            <v>0</v>
          </cell>
        </row>
        <row r="10170">
          <cell r="P10170">
            <v>0</v>
          </cell>
        </row>
        <row r="10171">
          <cell r="P10171">
            <v>0</v>
          </cell>
        </row>
        <row r="10172">
          <cell r="P10172">
            <v>0</v>
          </cell>
        </row>
        <row r="10173">
          <cell r="P10173">
            <v>0</v>
          </cell>
        </row>
        <row r="10174">
          <cell r="P10174">
            <v>0</v>
          </cell>
        </row>
        <row r="10175">
          <cell r="P10175">
            <v>0</v>
          </cell>
        </row>
        <row r="10176">
          <cell r="P10176">
            <v>0</v>
          </cell>
        </row>
        <row r="10177">
          <cell r="P10177">
            <v>0</v>
          </cell>
        </row>
        <row r="10178">
          <cell r="P10178">
            <v>0</v>
          </cell>
        </row>
        <row r="10179">
          <cell r="P10179">
            <v>0</v>
          </cell>
        </row>
        <row r="10180">
          <cell r="P10180">
            <v>0</v>
          </cell>
        </row>
        <row r="10181">
          <cell r="P10181">
            <v>0</v>
          </cell>
        </row>
        <row r="10182">
          <cell r="P10182">
            <v>0</v>
          </cell>
        </row>
        <row r="10183">
          <cell r="P10183">
            <v>0</v>
          </cell>
        </row>
        <row r="10184">
          <cell r="P10184">
            <v>0</v>
          </cell>
        </row>
        <row r="10185">
          <cell r="P10185">
            <v>0</v>
          </cell>
        </row>
        <row r="10186">
          <cell r="P10186">
            <v>0</v>
          </cell>
        </row>
        <row r="10187">
          <cell r="P10187">
            <v>0</v>
          </cell>
        </row>
        <row r="10188">
          <cell r="P10188">
            <v>0</v>
          </cell>
        </row>
        <row r="10189">
          <cell r="P10189">
            <v>0</v>
          </cell>
        </row>
        <row r="10190">
          <cell r="P10190">
            <v>0</v>
          </cell>
        </row>
        <row r="10191">
          <cell r="P10191">
            <v>0</v>
          </cell>
        </row>
        <row r="10192">
          <cell r="P10192">
            <v>0</v>
          </cell>
        </row>
        <row r="10193">
          <cell r="P10193">
            <v>0</v>
          </cell>
        </row>
        <row r="10194">
          <cell r="P10194">
            <v>0</v>
          </cell>
        </row>
        <row r="10195">
          <cell r="P10195">
            <v>0</v>
          </cell>
        </row>
        <row r="10196">
          <cell r="P10196">
            <v>0</v>
          </cell>
        </row>
        <row r="10197">
          <cell r="P10197">
            <v>0</v>
          </cell>
        </row>
        <row r="10198">
          <cell r="P10198">
            <v>0</v>
          </cell>
        </row>
        <row r="10199">
          <cell r="P10199">
            <v>0</v>
          </cell>
        </row>
        <row r="10200">
          <cell r="P10200">
            <v>0</v>
          </cell>
        </row>
        <row r="10201">
          <cell r="P10201">
            <v>0</v>
          </cell>
        </row>
        <row r="10202">
          <cell r="P10202">
            <v>0</v>
          </cell>
        </row>
        <row r="10203">
          <cell r="P10203">
            <v>0</v>
          </cell>
        </row>
        <row r="10204">
          <cell r="P10204">
            <v>0</v>
          </cell>
        </row>
        <row r="10205">
          <cell r="P10205">
            <v>0</v>
          </cell>
        </row>
        <row r="10206">
          <cell r="P10206">
            <v>0</v>
          </cell>
        </row>
        <row r="10207">
          <cell r="P10207">
            <v>0</v>
          </cell>
        </row>
        <row r="10208">
          <cell r="P10208">
            <v>0</v>
          </cell>
        </row>
        <row r="10209">
          <cell r="P10209">
            <v>0</v>
          </cell>
        </row>
        <row r="10210">
          <cell r="P10210">
            <v>0</v>
          </cell>
        </row>
        <row r="10211">
          <cell r="P10211">
            <v>0</v>
          </cell>
        </row>
        <row r="10212">
          <cell r="P10212">
            <v>0</v>
          </cell>
        </row>
        <row r="10213">
          <cell r="P10213">
            <v>0</v>
          </cell>
        </row>
        <row r="10214">
          <cell r="P10214">
            <v>0</v>
          </cell>
        </row>
        <row r="10215">
          <cell r="P10215">
            <v>0</v>
          </cell>
        </row>
        <row r="10216">
          <cell r="P10216">
            <v>0</v>
          </cell>
        </row>
        <row r="10217">
          <cell r="P10217">
            <v>0</v>
          </cell>
        </row>
        <row r="10218">
          <cell r="P10218">
            <v>0</v>
          </cell>
        </row>
        <row r="10219">
          <cell r="P10219">
            <v>0</v>
          </cell>
        </row>
        <row r="10220">
          <cell r="P10220">
            <v>0</v>
          </cell>
        </row>
        <row r="10221">
          <cell r="P10221">
            <v>0</v>
          </cell>
        </row>
        <row r="10222">
          <cell r="P10222">
            <v>0</v>
          </cell>
        </row>
        <row r="10223">
          <cell r="P10223">
            <v>0</v>
          </cell>
        </row>
        <row r="10224">
          <cell r="P10224">
            <v>0</v>
          </cell>
        </row>
        <row r="10225">
          <cell r="P10225">
            <v>0</v>
          </cell>
        </row>
        <row r="10226">
          <cell r="P10226">
            <v>0</v>
          </cell>
        </row>
        <row r="10227">
          <cell r="P10227">
            <v>0</v>
          </cell>
        </row>
        <row r="10228">
          <cell r="P10228">
            <v>0</v>
          </cell>
        </row>
        <row r="10229">
          <cell r="P10229">
            <v>0</v>
          </cell>
        </row>
        <row r="10230">
          <cell r="P10230">
            <v>0</v>
          </cell>
        </row>
        <row r="10231">
          <cell r="P10231">
            <v>0</v>
          </cell>
        </row>
        <row r="10232">
          <cell r="P10232">
            <v>0</v>
          </cell>
        </row>
        <row r="10233">
          <cell r="P10233">
            <v>0</v>
          </cell>
        </row>
        <row r="10234">
          <cell r="P10234">
            <v>0</v>
          </cell>
        </row>
        <row r="10235">
          <cell r="P10235">
            <v>0</v>
          </cell>
        </row>
        <row r="10236">
          <cell r="P10236">
            <v>0</v>
          </cell>
        </row>
        <row r="10237">
          <cell r="P10237">
            <v>0</v>
          </cell>
        </row>
        <row r="10238">
          <cell r="P10238">
            <v>0</v>
          </cell>
        </row>
        <row r="10239">
          <cell r="P10239">
            <v>0</v>
          </cell>
        </row>
        <row r="10240">
          <cell r="P10240">
            <v>0</v>
          </cell>
        </row>
        <row r="10241">
          <cell r="P10241">
            <v>0</v>
          </cell>
        </row>
        <row r="10242">
          <cell r="P10242">
            <v>0</v>
          </cell>
        </row>
        <row r="10243">
          <cell r="P10243">
            <v>0</v>
          </cell>
        </row>
        <row r="10244">
          <cell r="P10244">
            <v>0</v>
          </cell>
        </row>
        <row r="10245">
          <cell r="P10245">
            <v>0</v>
          </cell>
        </row>
        <row r="10246">
          <cell r="P10246">
            <v>0</v>
          </cell>
        </row>
        <row r="10247">
          <cell r="P10247">
            <v>0</v>
          </cell>
        </row>
        <row r="10248">
          <cell r="P10248">
            <v>0</v>
          </cell>
        </row>
        <row r="10249">
          <cell r="P10249">
            <v>0</v>
          </cell>
        </row>
        <row r="10250">
          <cell r="P10250">
            <v>0</v>
          </cell>
        </row>
        <row r="10251">
          <cell r="P10251">
            <v>0</v>
          </cell>
        </row>
        <row r="10252">
          <cell r="P10252">
            <v>0</v>
          </cell>
        </row>
        <row r="10253">
          <cell r="P10253">
            <v>0</v>
          </cell>
        </row>
        <row r="10254">
          <cell r="P10254">
            <v>0</v>
          </cell>
        </row>
        <row r="10255">
          <cell r="P10255">
            <v>0</v>
          </cell>
        </row>
        <row r="10256">
          <cell r="P10256">
            <v>0</v>
          </cell>
        </row>
        <row r="10257">
          <cell r="P10257">
            <v>0</v>
          </cell>
        </row>
        <row r="10258">
          <cell r="P10258">
            <v>0</v>
          </cell>
        </row>
        <row r="10259">
          <cell r="P10259">
            <v>0</v>
          </cell>
        </row>
        <row r="10260">
          <cell r="P10260">
            <v>0</v>
          </cell>
        </row>
        <row r="10261">
          <cell r="P10261">
            <v>0</v>
          </cell>
        </row>
        <row r="10262">
          <cell r="P10262">
            <v>0</v>
          </cell>
        </row>
        <row r="10263">
          <cell r="P10263">
            <v>0</v>
          </cell>
        </row>
        <row r="10264">
          <cell r="P10264">
            <v>0</v>
          </cell>
        </row>
        <row r="10265">
          <cell r="P10265">
            <v>0</v>
          </cell>
        </row>
        <row r="10266">
          <cell r="P10266">
            <v>0</v>
          </cell>
        </row>
        <row r="10267">
          <cell r="P10267">
            <v>0</v>
          </cell>
        </row>
        <row r="10268">
          <cell r="P10268">
            <v>0</v>
          </cell>
        </row>
        <row r="10269">
          <cell r="P10269">
            <v>0</v>
          </cell>
        </row>
        <row r="10270">
          <cell r="P10270">
            <v>0</v>
          </cell>
        </row>
        <row r="10271">
          <cell r="P10271">
            <v>0</v>
          </cell>
        </row>
        <row r="10272">
          <cell r="P10272">
            <v>0</v>
          </cell>
        </row>
        <row r="10273">
          <cell r="P10273">
            <v>0</v>
          </cell>
        </row>
        <row r="10274">
          <cell r="P10274">
            <v>0</v>
          </cell>
        </row>
        <row r="10275">
          <cell r="P10275">
            <v>0</v>
          </cell>
        </row>
        <row r="10276">
          <cell r="P10276">
            <v>0</v>
          </cell>
        </row>
        <row r="10277">
          <cell r="P10277">
            <v>0</v>
          </cell>
        </row>
        <row r="10278">
          <cell r="P10278">
            <v>0</v>
          </cell>
        </row>
        <row r="10279">
          <cell r="P10279">
            <v>0</v>
          </cell>
        </row>
        <row r="10280">
          <cell r="P10280">
            <v>0</v>
          </cell>
        </row>
        <row r="10281">
          <cell r="P10281">
            <v>0</v>
          </cell>
        </row>
        <row r="10282">
          <cell r="P10282">
            <v>0</v>
          </cell>
        </row>
        <row r="10283">
          <cell r="P10283">
            <v>0</v>
          </cell>
        </row>
        <row r="10284">
          <cell r="P10284">
            <v>0</v>
          </cell>
        </row>
        <row r="10285">
          <cell r="P10285">
            <v>0</v>
          </cell>
        </row>
        <row r="10286">
          <cell r="P10286">
            <v>0</v>
          </cell>
        </row>
        <row r="10287">
          <cell r="P10287">
            <v>0</v>
          </cell>
        </row>
        <row r="10288">
          <cell r="P10288">
            <v>0</v>
          </cell>
        </row>
        <row r="10289">
          <cell r="P10289">
            <v>0</v>
          </cell>
        </row>
        <row r="10290">
          <cell r="P10290">
            <v>0</v>
          </cell>
        </row>
        <row r="10291">
          <cell r="P10291">
            <v>0</v>
          </cell>
        </row>
        <row r="10292">
          <cell r="P10292">
            <v>0</v>
          </cell>
        </row>
        <row r="10293">
          <cell r="P10293">
            <v>0</v>
          </cell>
        </row>
        <row r="10294">
          <cell r="P10294">
            <v>0</v>
          </cell>
        </row>
        <row r="10295">
          <cell r="P10295">
            <v>0</v>
          </cell>
        </row>
        <row r="10296">
          <cell r="P10296">
            <v>0</v>
          </cell>
        </row>
        <row r="10297">
          <cell r="P10297">
            <v>0</v>
          </cell>
        </row>
        <row r="10298">
          <cell r="P10298">
            <v>0</v>
          </cell>
        </row>
        <row r="10299">
          <cell r="P10299">
            <v>0</v>
          </cell>
        </row>
        <row r="10300">
          <cell r="P10300">
            <v>0</v>
          </cell>
        </row>
        <row r="10301">
          <cell r="P10301">
            <v>0</v>
          </cell>
        </row>
        <row r="10302">
          <cell r="P10302">
            <v>0</v>
          </cell>
        </row>
        <row r="10303">
          <cell r="P10303">
            <v>0</v>
          </cell>
        </row>
        <row r="10304">
          <cell r="P10304">
            <v>0</v>
          </cell>
        </row>
        <row r="10305">
          <cell r="P10305">
            <v>0</v>
          </cell>
        </row>
        <row r="10306">
          <cell r="P10306">
            <v>0</v>
          </cell>
        </row>
        <row r="10307">
          <cell r="P10307">
            <v>0</v>
          </cell>
        </row>
        <row r="10308">
          <cell r="P10308">
            <v>0</v>
          </cell>
        </row>
        <row r="10309">
          <cell r="P10309">
            <v>0</v>
          </cell>
        </row>
        <row r="10310">
          <cell r="P10310">
            <v>0</v>
          </cell>
        </row>
        <row r="10311">
          <cell r="P10311">
            <v>0</v>
          </cell>
        </row>
        <row r="10312">
          <cell r="P10312">
            <v>0</v>
          </cell>
        </row>
        <row r="10313">
          <cell r="P10313">
            <v>0</v>
          </cell>
        </row>
        <row r="10314">
          <cell r="P10314">
            <v>0</v>
          </cell>
        </row>
        <row r="10315">
          <cell r="P10315">
            <v>0</v>
          </cell>
        </row>
        <row r="10316">
          <cell r="P10316">
            <v>0</v>
          </cell>
        </row>
        <row r="10317">
          <cell r="P10317">
            <v>0</v>
          </cell>
        </row>
        <row r="10318">
          <cell r="P10318">
            <v>0</v>
          </cell>
        </row>
        <row r="10319">
          <cell r="P10319">
            <v>0</v>
          </cell>
        </row>
        <row r="10320">
          <cell r="P10320">
            <v>0</v>
          </cell>
        </row>
        <row r="10321">
          <cell r="P10321">
            <v>0</v>
          </cell>
        </row>
        <row r="10322">
          <cell r="P10322">
            <v>0</v>
          </cell>
        </row>
        <row r="10323">
          <cell r="P10323">
            <v>0</v>
          </cell>
        </row>
        <row r="10324">
          <cell r="P10324">
            <v>0</v>
          </cell>
        </row>
        <row r="10325">
          <cell r="P10325">
            <v>0</v>
          </cell>
        </row>
        <row r="10326">
          <cell r="P10326">
            <v>0</v>
          </cell>
        </row>
        <row r="10327">
          <cell r="P10327">
            <v>0</v>
          </cell>
        </row>
        <row r="10328">
          <cell r="P10328">
            <v>0</v>
          </cell>
        </row>
        <row r="10329">
          <cell r="P10329">
            <v>0</v>
          </cell>
        </row>
        <row r="10330">
          <cell r="P10330">
            <v>0</v>
          </cell>
        </row>
        <row r="10331">
          <cell r="P10331">
            <v>0</v>
          </cell>
        </row>
        <row r="10332">
          <cell r="P10332">
            <v>0</v>
          </cell>
        </row>
        <row r="10333">
          <cell r="P10333">
            <v>0</v>
          </cell>
        </row>
        <row r="10334">
          <cell r="P10334">
            <v>0</v>
          </cell>
        </row>
        <row r="10335">
          <cell r="P10335">
            <v>0</v>
          </cell>
        </row>
        <row r="10336">
          <cell r="P10336">
            <v>0</v>
          </cell>
        </row>
        <row r="10337">
          <cell r="P10337">
            <v>0</v>
          </cell>
        </row>
        <row r="10338">
          <cell r="P10338">
            <v>0</v>
          </cell>
        </row>
        <row r="10339">
          <cell r="P10339">
            <v>0</v>
          </cell>
        </row>
        <row r="10340">
          <cell r="P10340">
            <v>0</v>
          </cell>
        </row>
        <row r="10341">
          <cell r="P10341">
            <v>0</v>
          </cell>
        </row>
        <row r="10342">
          <cell r="P10342">
            <v>0</v>
          </cell>
        </row>
        <row r="10343">
          <cell r="P10343">
            <v>0</v>
          </cell>
        </row>
        <row r="10344">
          <cell r="P10344">
            <v>0</v>
          </cell>
        </row>
        <row r="10345">
          <cell r="P10345">
            <v>0</v>
          </cell>
        </row>
        <row r="10346">
          <cell r="P10346">
            <v>0</v>
          </cell>
        </row>
        <row r="10347">
          <cell r="P10347">
            <v>0</v>
          </cell>
        </row>
        <row r="10348">
          <cell r="P10348">
            <v>0</v>
          </cell>
        </row>
        <row r="10349">
          <cell r="P10349">
            <v>0</v>
          </cell>
        </row>
        <row r="10350">
          <cell r="P10350">
            <v>0</v>
          </cell>
        </row>
        <row r="10351">
          <cell r="P10351">
            <v>0</v>
          </cell>
        </row>
        <row r="10352">
          <cell r="P10352">
            <v>0</v>
          </cell>
        </row>
        <row r="10353">
          <cell r="P10353">
            <v>0</v>
          </cell>
        </row>
        <row r="10354">
          <cell r="P10354">
            <v>0</v>
          </cell>
        </row>
        <row r="10355">
          <cell r="P10355">
            <v>0</v>
          </cell>
        </row>
        <row r="10356">
          <cell r="P10356">
            <v>0</v>
          </cell>
        </row>
        <row r="10357">
          <cell r="P10357">
            <v>0</v>
          </cell>
        </row>
        <row r="10358">
          <cell r="P10358">
            <v>0</v>
          </cell>
        </row>
        <row r="10359">
          <cell r="P10359">
            <v>0</v>
          </cell>
        </row>
        <row r="10360">
          <cell r="P10360">
            <v>0</v>
          </cell>
        </row>
        <row r="10361">
          <cell r="P10361">
            <v>0</v>
          </cell>
        </row>
        <row r="10362">
          <cell r="P10362">
            <v>0</v>
          </cell>
        </row>
        <row r="10363">
          <cell r="P10363">
            <v>0</v>
          </cell>
        </row>
        <row r="10364">
          <cell r="P10364">
            <v>0</v>
          </cell>
        </row>
        <row r="10365">
          <cell r="P10365">
            <v>0</v>
          </cell>
        </row>
        <row r="10366">
          <cell r="P10366">
            <v>0</v>
          </cell>
        </row>
        <row r="10367">
          <cell r="P10367">
            <v>0</v>
          </cell>
        </row>
        <row r="10368">
          <cell r="P10368">
            <v>0</v>
          </cell>
        </row>
        <row r="10369">
          <cell r="P10369">
            <v>0</v>
          </cell>
        </row>
        <row r="10370">
          <cell r="P10370">
            <v>0</v>
          </cell>
        </row>
        <row r="10371">
          <cell r="P10371">
            <v>0</v>
          </cell>
        </row>
        <row r="10372">
          <cell r="P10372">
            <v>0</v>
          </cell>
        </row>
        <row r="10373">
          <cell r="P10373">
            <v>0</v>
          </cell>
        </row>
        <row r="10374">
          <cell r="P10374">
            <v>0</v>
          </cell>
        </row>
        <row r="10375">
          <cell r="P10375">
            <v>0</v>
          </cell>
        </row>
        <row r="10376">
          <cell r="P10376">
            <v>0</v>
          </cell>
        </row>
        <row r="10377">
          <cell r="P10377">
            <v>0</v>
          </cell>
        </row>
        <row r="10378">
          <cell r="P10378">
            <v>0</v>
          </cell>
        </row>
        <row r="10379">
          <cell r="P10379">
            <v>0</v>
          </cell>
        </row>
        <row r="10380">
          <cell r="P10380">
            <v>0</v>
          </cell>
        </row>
        <row r="10381">
          <cell r="P10381">
            <v>0</v>
          </cell>
        </row>
        <row r="10382">
          <cell r="P10382">
            <v>0</v>
          </cell>
        </row>
        <row r="10383">
          <cell r="P10383">
            <v>0</v>
          </cell>
        </row>
        <row r="10384">
          <cell r="P10384">
            <v>0</v>
          </cell>
        </row>
        <row r="10385">
          <cell r="P10385">
            <v>0</v>
          </cell>
        </row>
        <row r="10386">
          <cell r="P10386">
            <v>0</v>
          </cell>
        </row>
        <row r="10387">
          <cell r="P10387">
            <v>0</v>
          </cell>
        </row>
        <row r="10388">
          <cell r="P10388">
            <v>0</v>
          </cell>
        </row>
        <row r="10389">
          <cell r="P10389">
            <v>0</v>
          </cell>
        </row>
        <row r="10390">
          <cell r="P10390">
            <v>0</v>
          </cell>
        </row>
        <row r="10391">
          <cell r="P10391">
            <v>0</v>
          </cell>
        </row>
        <row r="10392">
          <cell r="P10392">
            <v>0</v>
          </cell>
        </row>
        <row r="10393">
          <cell r="P10393">
            <v>0</v>
          </cell>
        </row>
        <row r="10394">
          <cell r="P10394">
            <v>0</v>
          </cell>
        </row>
        <row r="10395">
          <cell r="P10395">
            <v>0</v>
          </cell>
        </row>
        <row r="10396">
          <cell r="P10396">
            <v>0</v>
          </cell>
        </row>
        <row r="10397">
          <cell r="P10397">
            <v>0</v>
          </cell>
        </row>
        <row r="10398">
          <cell r="P10398">
            <v>0</v>
          </cell>
        </row>
        <row r="10399">
          <cell r="P10399">
            <v>0</v>
          </cell>
        </row>
        <row r="10400">
          <cell r="P10400">
            <v>0</v>
          </cell>
        </row>
        <row r="10401">
          <cell r="P10401">
            <v>0</v>
          </cell>
        </row>
        <row r="10402">
          <cell r="P10402">
            <v>0</v>
          </cell>
        </row>
        <row r="10403">
          <cell r="P10403">
            <v>0</v>
          </cell>
        </row>
        <row r="10404">
          <cell r="P10404">
            <v>0</v>
          </cell>
        </row>
        <row r="10405">
          <cell r="P10405">
            <v>0</v>
          </cell>
        </row>
        <row r="10406">
          <cell r="P10406">
            <v>0</v>
          </cell>
        </row>
        <row r="10407">
          <cell r="P10407">
            <v>0</v>
          </cell>
        </row>
        <row r="10408">
          <cell r="P10408">
            <v>0</v>
          </cell>
        </row>
        <row r="10409">
          <cell r="P10409">
            <v>160</v>
          </cell>
        </row>
        <row r="10410">
          <cell r="P10410">
            <v>160</v>
          </cell>
        </row>
        <row r="10411">
          <cell r="P10411">
            <v>3264</v>
          </cell>
        </row>
        <row r="10412">
          <cell r="P10412">
            <v>0</v>
          </cell>
        </row>
        <row r="10413">
          <cell r="P10413">
            <v>0</v>
          </cell>
        </row>
        <row r="10414">
          <cell r="P10414">
            <v>0</v>
          </cell>
        </row>
        <row r="10415">
          <cell r="P10415">
            <v>0</v>
          </cell>
        </row>
        <row r="10416">
          <cell r="P10416">
            <v>0</v>
          </cell>
        </row>
        <row r="10417">
          <cell r="P10417">
            <v>0</v>
          </cell>
        </row>
        <row r="10418">
          <cell r="P10418">
            <v>0</v>
          </cell>
        </row>
        <row r="10419">
          <cell r="P10419">
            <v>0</v>
          </cell>
        </row>
        <row r="10420">
          <cell r="P10420">
            <v>0</v>
          </cell>
        </row>
        <row r="10421">
          <cell r="P10421">
            <v>0</v>
          </cell>
        </row>
        <row r="10422">
          <cell r="P10422">
            <v>0</v>
          </cell>
        </row>
        <row r="10423">
          <cell r="P10423">
            <v>0</v>
          </cell>
        </row>
        <row r="10424">
          <cell r="P10424">
            <v>0</v>
          </cell>
        </row>
        <row r="10425">
          <cell r="P10425">
            <v>0</v>
          </cell>
        </row>
        <row r="10426">
          <cell r="P10426">
            <v>0</v>
          </cell>
        </row>
        <row r="10427">
          <cell r="P10427">
            <v>0</v>
          </cell>
        </row>
        <row r="10428">
          <cell r="P10428">
            <v>0</v>
          </cell>
        </row>
        <row r="10429">
          <cell r="P10429">
            <v>0</v>
          </cell>
        </row>
        <row r="10430">
          <cell r="P10430">
            <v>0</v>
          </cell>
        </row>
        <row r="10431">
          <cell r="P10431">
            <v>0</v>
          </cell>
        </row>
        <row r="10432">
          <cell r="P10432">
            <v>0</v>
          </cell>
        </row>
        <row r="10433">
          <cell r="P10433">
            <v>0</v>
          </cell>
        </row>
        <row r="10434">
          <cell r="P10434">
            <v>0</v>
          </cell>
        </row>
        <row r="10435">
          <cell r="P10435">
            <v>0</v>
          </cell>
        </row>
        <row r="10436">
          <cell r="P10436">
            <v>0</v>
          </cell>
        </row>
        <row r="10437">
          <cell r="P10437">
            <v>0</v>
          </cell>
        </row>
        <row r="10438">
          <cell r="P10438">
            <v>0</v>
          </cell>
        </row>
        <row r="10439">
          <cell r="P10439">
            <v>0</v>
          </cell>
        </row>
        <row r="10440">
          <cell r="P10440">
            <v>0</v>
          </cell>
        </row>
        <row r="10441">
          <cell r="P10441">
            <v>0</v>
          </cell>
        </row>
        <row r="10442">
          <cell r="P10442">
            <v>0</v>
          </cell>
        </row>
        <row r="10443">
          <cell r="P10443">
            <v>0</v>
          </cell>
        </row>
        <row r="10444">
          <cell r="P10444">
            <v>0</v>
          </cell>
        </row>
        <row r="10445">
          <cell r="P10445">
            <v>0</v>
          </cell>
        </row>
        <row r="10446">
          <cell r="P10446">
            <v>0</v>
          </cell>
        </row>
        <row r="10447">
          <cell r="P10447">
            <v>0</v>
          </cell>
        </row>
        <row r="10448">
          <cell r="P10448">
            <v>0</v>
          </cell>
        </row>
        <row r="10449">
          <cell r="P10449">
            <v>0</v>
          </cell>
        </row>
        <row r="10450">
          <cell r="P10450">
            <v>0</v>
          </cell>
        </row>
        <row r="10451">
          <cell r="P10451">
            <v>0</v>
          </cell>
        </row>
        <row r="10452">
          <cell r="P10452">
            <v>0</v>
          </cell>
        </row>
        <row r="10453">
          <cell r="P10453">
            <v>0</v>
          </cell>
        </row>
        <row r="10454">
          <cell r="P10454">
            <v>0</v>
          </cell>
        </row>
        <row r="10455">
          <cell r="P10455">
            <v>0</v>
          </cell>
        </row>
        <row r="10456">
          <cell r="P10456">
            <v>0</v>
          </cell>
        </row>
        <row r="10457">
          <cell r="P10457">
            <v>0</v>
          </cell>
        </row>
        <row r="10458">
          <cell r="P10458">
            <v>0</v>
          </cell>
        </row>
        <row r="10459">
          <cell r="P10459">
            <v>0</v>
          </cell>
        </row>
        <row r="10460">
          <cell r="P10460">
            <v>0</v>
          </cell>
        </row>
        <row r="10461">
          <cell r="P10461">
            <v>0</v>
          </cell>
        </row>
        <row r="10462">
          <cell r="P10462">
            <v>0</v>
          </cell>
        </row>
        <row r="10463">
          <cell r="P10463">
            <v>0</v>
          </cell>
        </row>
        <row r="10464">
          <cell r="P10464">
            <v>0</v>
          </cell>
        </row>
        <row r="10465">
          <cell r="P10465">
            <v>0</v>
          </cell>
        </row>
        <row r="10466">
          <cell r="P10466">
            <v>0</v>
          </cell>
        </row>
        <row r="10467">
          <cell r="P10467">
            <v>0</v>
          </cell>
        </row>
        <row r="10468">
          <cell r="P10468">
            <v>0</v>
          </cell>
        </row>
        <row r="10469">
          <cell r="P10469">
            <v>0</v>
          </cell>
        </row>
        <row r="10470">
          <cell r="P10470">
            <v>0</v>
          </cell>
        </row>
        <row r="10471">
          <cell r="P10471">
            <v>0</v>
          </cell>
        </row>
        <row r="10472">
          <cell r="P10472">
            <v>0</v>
          </cell>
        </row>
        <row r="10473">
          <cell r="P10473">
            <v>0</v>
          </cell>
        </row>
        <row r="10474">
          <cell r="P10474">
            <v>0</v>
          </cell>
        </row>
        <row r="10475">
          <cell r="P10475">
            <v>0</v>
          </cell>
        </row>
        <row r="10476">
          <cell r="P10476">
            <v>0</v>
          </cell>
        </row>
        <row r="10477">
          <cell r="P10477">
            <v>0</v>
          </cell>
        </row>
        <row r="10478">
          <cell r="P10478">
            <v>0</v>
          </cell>
        </row>
        <row r="10479">
          <cell r="P10479">
            <v>0</v>
          </cell>
        </row>
        <row r="10480">
          <cell r="P10480">
            <v>0</v>
          </cell>
        </row>
        <row r="10481">
          <cell r="P10481">
            <v>0</v>
          </cell>
        </row>
        <row r="10482">
          <cell r="P10482">
            <v>0</v>
          </cell>
        </row>
        <row r="10483">
          <cell r="P10483">
            <v>0</v>
          </cell>
        </row>
        <row r="10484">
          <cell r="P10484">
            <v>0</v>
          </cell>
        </row>
        <row r="10485">
          <cell r="P10485">
            <v>0</v>
          </cell>
        </row>
        <row r="10486">
          <cell r="P10486">
            <v>0</v>
          </cell>
        </row>
        <row r="10487">
          <cell r="P10487">
            <v>0</v>
          </cell>
        </row>
        <row r="10488">
          <cell r="P10488">
            <v>0</v>
          </cell>
        </row>
        <row r="10489">
          <cell r="P10489">
            <v>0</v>
          </cell>
        </row>
        <row r="10490">
          <cell r="P10490">
            <v>0</v>
          </cell>
        </row>
        <row r="10491">
          <cell r="P10491">
            <v>0</v>
          </cell>
        </row>
        <row r="10492">
          <cell r="P10492">
            <v>0</v>
          </cell>
        </row>
        <row r="10493">
          <cell r="P10493">
            <v>0</v>
          </cell>
        </row>
        <row r="10494">
          <cell r="P10494">
            <v>0</v>
          </cell>
        </row>
        <row r="10495">
          <cell r="P10495">
            <v>0</v>
          </cell>
        </row>
        <row r="10496">
          <cell r="P10496">
            <v>0</v>
          </cell>
        </row>
        <row r="10497">
          <cell r="P10497">
            <v>0</v>
          </cell>
        </row>
        <row r="10498">
          <cell r="P10498">
            <v>0</v>
          </cell>
        </row>
        <row r="10499">
          <cell r="P10499">
            <v>0</v>
          </cell>
        </row>
        <row r="10500">
          <cell r="P10500">
            <v>0</v>
          </cell>
        </row>
        <row r="10501">
          <cell r="P10501">
            <v>0</v>
          </cell>
        </row>
        <row r="10502">
          <cell r="P10502">
            <v>0</v>
          </cell>
        </row>
        <row r="10503">
          <cell r="P10503">
            <v>0</v>
          </cell>
        </row>
        <row r="10504">
          <cell r="P10504">
            <v>0</v>
          </cell>
        </row>
        <row r="10505">
          <cell r="P10505">
            <v>0</v>
          </cell>
        </row>
        <row r="10506">
          <cell r="P10506">
            <v>0</v>
          </cell>
        </row>
        <row r="10507">
          <cell r="P10507">
            <v>0</v>
          </cell>
        </row>
        <row r="10508">
          <cell r="P10508">
            <v>0</v>
          </cell>
        </row>
        <row r="10509">
          <cell r="P10509">
            <v>0</v>
          </cell>
        </row>
        <row r="10510">
          <cell r="P10510">
            <v>0</v>
          </cell>
        </row>
        <row r="10511">
          <cell r="P10511">
            <v>0</v>
          </cell>
        </row>
        <row r="10512">
          <cell r="P10512">
            <v>0</v>
          </cell>
        </row>
        <row r="10513">
          <cell r="P10513">
            <v>0</v>
          </cell>
        </row>
        <row r="10514">
          <cell r="P10514">
            <v>0</v>
          </cell>
        </row>
        <row r="10515">
          <cell r="P10515">
            <v>0</v>
          </cell>
        </row>
        <row r="10516">
          <cell r="P10516">
            <v>0</v>
          </cell>
        </row>
        <row r="10517">
          <cell r="P10517">
            <v>0</v>
          </cell>
        </row>
        <row r="10518">
          <cell r="P10518">
            <v>0</v>
          </cell>
        </row>
        <row r="10519">
          <cell r="P10519">
            <v>0</v>
          </cell>
        </row>
        <row r="10520">
          <cell r="P10520">
            <v>0</v>
          </cell>
        </row>
        <row r="10521">
          <cell r="P10521">
            <v>0</v>
          </cell>
        </row>
        <row r="10522">
          <cell r="P10522">
            <v>0</v>
          </cell>
        </row>
        <row r="10523">
          <cell r="P10523">
            <v>0</v>
          </cell>
        </row>
        <row r="10524">
          <cell r="P10524">
            <v>0</v>
          </cell>
        </row>
        <row r="10525">
          <cell r="P10525">
            <v>0</v>
          </cell>
        </row>
        <row r="10526">
          <cell r="P10526">
            <v>0</v>
          </cell>
        </row>
        <row r="10527">
          <cell r="P10527">
            <v>0</v>
          </cell>
        </row>
        <row r="10528">
          <cell r="P10528">
            <v>0</v>
          </cell>
        </row>
        <row r="10529">
          <cell r="P10529">
            <v>0</v>
          </cell>
        </row>
        <row r="10530">
          <cell r="P10530">
            <v>0</v>
          </cell>
        </row>
        <row r="10531">
          <cell r="P10531">
            <v>0</v>
          </cell>
        </row>
        <row r="10532">
          <cell r="P10532">
            <v>0</v>
          </cell>
        </row>
        <row r="10533">
          <cell r="P10533">
            <v>0</v>
          </cell>
        </row>
        <row r="10534">
          <cell r="P10534">
            <v>0</v>
          </cell>
        </row>
        <row r="10535">
          <cell r="P10535">
            <v>0</v>
          </cell>
        </row>
        <row r="10536">
          <cell r="P10536">
            <v>0</v>
          </cell>
        </row>
        <row r="10537">
          <cell r="P10537">
            <v>0</v>
          </cell>
        </row>
        <row r="10538">
          <cell r="P10538">
            <v>0</v>
          </cell>
        </row>
        <row r="10539">
          <cell r="P10539">
            <v>0</v>
          </cell>
        </row>
        <row r="10540">
          <cell r="P10540">
            <v>0</v>
          </cell>
        </row>
        <row r="10541">
          <cell r="P10541">
            <v>0</v>
          </cell>
        </row>
        <row r="10542">
          <cell r="P10542">
            <v>0</v>
          </cell>
        </row>
        <row r="10543">
          <cell r="P10543">
            <v>0</v>
          </cell>
        </row>
        <row r="10544">
          <cell r="P10544">
            <v>0</v>
          </cell>
        </row>
        <row r="10545">
          <cell r="P10545">
            <v>0</v>
          </cell>
        </row>
        <row r="10546">
          <cell r="P10546">
            <v>0</v>
          </cell>
        </row>
        <row r="10547">
          <cell r="P10547">
            <v>0</v>
          </cell>
        </row>
        <row r="10548">
          <cell r="P10548">
            <v>0</v>
          </cell>
        </row>
        <row r="10549">
          <cell r="P10549">
            <v>0</v>
          </cell>
        </row>
        <row r="10550">
          <cell r="P10550">
            <v>0</v>
          </cell>
        </row>
        <row r="10551">
          <cell r="P10551">
            <v>0</v>
          </cell>
        </row>
        <row r="10552">
          <cell r="P10552">
            <v>0</v>
          </cell>
        </row>
        <row r="10553">
          <cell r="P10553">
            <v>0</v>
          </cell>
        </row>
        <row r="10554">
          <cell r="P10554">
            <v>0</v>
          </cell>
        </row>
        <row r="10555">
          <cell r="P10555">
            <v>0</v>
          </cell>
        </row>
        <row r="10556">
          <cell r="P10556">
            <v>0</v>
          </cell>
        </row>
        <row r="10557">
          <cell r="P10557">
            <v>0</v>
          </cell>
        </row>
        <row r="10558">
          <cell r="P10558">
            <v>0</v>
          </cell>
        </row>
        <row r="10559">
          <cell r="P10559">
            <v>0</v>
          </cell>
        </row>
        <row r="10560">
          <cell r="P10560">
            <v>0</v>
          </cell>
        </row>
        <row r="10561">
          <cell r="P10561">
            <v>0</v>
          </cell>
        </row>
        <row r="10562">
          <cell r="P10562">
            <v>0</v>
          </cell>
        </row>
        <row r="10563">
          <cell r="P10563">
            <v>0</v>
          </cell>
        </row>
        <row r="10564">
          <cell r="P10564">
            <v>0</v>
          </cell>
        </row>
        <row r="10565">
          <cell r="P10565">
            <v>0</v>
          </cell>
        </row>
        <row r="10566">
          <cell r="P10566">
            <v>0</v>
          </cell>
        </row>
        <row r="10567">
          <cell r="P10567">
            <v>0</v>
          </cell>
        </row>
        <row r="10568">
          <cell r="P10568">
            <v>0</v>
          </cell>
        </row>
        <row r="10569">
          <cell r="P10569">
            <v>0</v>
          </cell>
        </row>
        <row r="10570">
          <cell r="P10570">
            <v>0</v>
          </cell>
        </row>
        <row r="10571">
          <cell r="P10571">
            <v>0</v>
          </cell>
        </row>
        <row r="10572">
          <cell r="P10572">
            <v>0</v>
          </cell>
        </row>
        <row r="10573">
          <cell r="P10573">
            <v>0</v>
          </cell>
        </row>
        <row r="10574">
          <cell r="P10574">
            <v>0</v>
          </cell>
        </row>
        <row r="10575">
          <cell r="P10575">
            <v>0</v>
          </cell>
        </row>
        <row r="10576">
          <cell r="P10576">
            <v>0</v>
          </cell>
        </row>
        <row r="10577">
          <cell r="P10577">
            <v>0</v>
          </cell>
        </row>
        <row r="10578">
          <cell r="P10578">
            <v>0</v>
          </cell>
        </row>
        <row r="10579">
          <cell r="P10579">
            <v>0</v>
          </cell>
        </row>
        <row r="10580">
          <cell r="P10580">
            <v>0</v>
          </cell>
        </row>
        <row r="10581">
          <cell r="P10581">
            <v>0</v>
          </cell>
        </row>
        <row r="10582">
          <cell r="P10582">
            <v>0</v>
          </cell>
        </row>
        <row r="10583">
          <cell r="P10583">
            <v>0</v>
          </cell>
        </row>
        <row r="10584">
          <cell r="P10584">
            <v>0</v>
          </cell>
        </row>
        <row r="10585">
          <cell r="P10585">
            <v>0</v>
          </cell>
        </row>
        <row r="10586">
          <cell r="P10586">
            <v>0</v>
          </cell>
        </row>
        <row r="10587">
          <cell r="P10587">
            <v>0</v>
          </cell>
        </row>
        <row r="10588">
          <cell r="P10588">
            <v>0</v>
          </cell>
        </row>
        <row r="10589">
          <cell r="P10589">
            <v>0</v>
          </cell>
        </row>
        <row r="10590">
          <cell r="P10590">
            <v>0</v>
          </cell>
        </row>
        <row r="10591">
          <cell r="P10591">
            <v>0</v>
          </cell>
        </row>
        <row r="10592">
          <cell r="P10592">
            <v>0</v>
          </cell>
        </row>
        <row r="10593">
          <cell r="P10593">
            <v>0</v>
          </cell>
        </row>
        <row r="10594">
          <cell r="P10594">
            <v>0</v>
          </cell>
        </row>
        <row r="10595">
          <cell r="P10595">
            <v>0</v>
          </cell>
        </row>
        <row r="10596">
          <cell r="P10596">
            <v>0</v>
          </cell>
        </row>
        <row r="10597">
          <cell r="P10597">
            <v>0</v>
          </cell>
        </row>
        <row r="10598">
          <cell r="P10598">
            <v>0</v>
          </cell>
        </row>
        <row r="10599">
          <cell r="P10599">
            <v>0</v>
          </cell>
        </row>
        <row r="10600">
          <cell r="P10600">
            <v>0</v>
          </cell>
        </row>
        <row r="10601">
          <cell r="P10601">
            <v>0</v>
          </cell>
        </row>
        <row r="10602">
          <cell r="P10602">
            <v>0</v>
          </cell>
        </row>
        <row r="10603">
          <cell r="P10603">
            <v>0</v>
          </cell>
        </row>
        <row r="10604">
          <cell r="P10604">
            <v>0</v>
          </cell>
        </row>
        <row r="10605">
          <cell r="P10605">
            <v>0</v>
          </cell>
        </row>
        <row r="10606">
          <cell r="P10606">
            <v>0</v>
          </cell>
        </row>
        <row r="10607">
          <cell r="P10607">
            <v>0</v>
          </cell>
        </row>
        <row r="10608">
          <cell r="P10608">
            <v>0</v>
          </cell>
        </row>
        <row r="10609">
          <cell r="P10609">
            <v>0</v>
          </cell>
        </row>
        <row r="10610">
          <cell r="P10610">
            <v>0</v>
          </cell>
        </row>
        <row r="10611">
          <cell r="P10611">
            <v>0</v>
          </cell>
        </row>
        <row r="10612">
          <cell r="P10612">
            <v>0</v>
          </cell>
        </row>
        <row r="10613">
          <cell r="P10613">
            <v>0</v>
          </cell>
        </row>
        <row r="10614">
          <cell r="P10614">
            <v>0</v>
          </cell>
        </row>
        <row r="10615">
          <cell r="P10615">
            <v>0</v>
          </cell>
        </row>
        <row r="10616">
          <cell r="P10616">
            <v>0</v>
          </cell>
        </row>
        <row r="10617">
          <cell r="P10617">
            <v>0</v>
          </cell>
        </row>
        <row r="10618">
          <cell r="P10618">
            <v>0</v>
          </cell>
        </row>
        <row r="10619">
          <cell r="P10619">
            <v>0</v>
          </cell>
        </row>
        <row r="10620">
          <cell r="P10620">
            <v>0</v>
          </cell>
        </row>
        <row r="10621">
          <cell r="P10621">
            <v>0</v>
          </cell>
        </row>
        <row r="10622">
          <cell r="P10622">
            <v>0</v>
          </cell>
        </row>
        <row r="10623">
          <cell r="P10623">
            <v>0</v>
          </cell>
        </row>
        <row r="10624">
          <cell r="P10624">
            <v>0</v>
          </cell>
        </row>
        <row r="10625">
          <cell r="P10625">
            <v>0</v>
          </cell>
        </row>
        <row r="10626">
          <cell r="P10626">
            <v>0</v>
          </cell>
        </row>
        <row r="10627">
          <cell r="P10627">
            <v>0</v>
          </cell>
        </row>
        <row r="10628">
          <cell r="P10628">
            <v>0</v>
          </cell>
        </row>
        <row r="10629">
          <cell r="P10629">
            <v>0</v>
          </cell>
        </row>
        <row r="10630">
          <cell r="P10630">
            <v>0</v>
          </cell>
        </row>
        <row r="10631">
          <cell r="P10631">
            <v>0</v>
          </cell>
        </row>
        <row r="10632">
          <cell r="P10632">
            <v>0</v>
          </cell>
        </row>
        <row r="10633">
          <cell r="P10633">
            <v>0</v>
          </cell>
        </row>
        <row r="10634">
          <cell r="P10634">
            <v>0</v>
          </cell>
        </row>
        <row r="10635">
          <cell r="P10635">
            <v>0</v>
          </cell>
        </row>
        <row r="10636">
          <cell r="P10636">
            <v>0</v>
          </cell>
        </row>
        <row r="10637">
          <cell r="P10637">
            <v>0</v>
          </cell>
        </row>
        <row r="10638">
          <cell r="P10638">
            <v>0</v>
          </cell>
        </row>
        <row r="10639">
          <cell r="P10639">
            <v>0</v>
          </cell>
        </row>
        <row r="10640">
          <cell r="P10640">
            <v>0</v>
          </cell>
        </row>
        <row r="10641">
          <cell r="P10641">
            <v>0</v>
          </cell>
        </row>
        <row r="10642">
          <cell r="P10642">
            <v>0</v>
          </cell>
        </row>
        <row r="10643">
          <cell r="P10643">
            <v>0</v>
          </cell>
        </row>
        <row r="10644">
          <cell r="P10644">
            <v>0</v>
          </cell>
        </row>
        <row r="10645">
          <cell r="P10645">
            <v>0</v>
          </cell>
        </row>
        <row r="10646">
          <cell r="P10646">
            <v>0</v>
          </cell>
        </row>
        <row r="10647">
          <cell r="P10647">
            <v>0</v>
          </cell>
        </row>
        <row r="10648">
          <cell r="P10648">
            <v>0</v>
          </cell>
        </row>
        <row r="10649">
          <cell r="P10649">
            <v>0</v>
          </cell>
        </row>
        <row r="10650">
          <cell r="P10650">
            <v>0</v>
          </cell>
        </row>
        <row r="10651">
          <cell r="P10651">
            <v>0</v>
          </cell>
        </row>
        <row r="10652">
          <cell r="P10652">
            <v>0</v>
          </cell>
        </row>
        <row r="10653">
          <cell r="P10653">
            <v>0</v>
          </cell>
        </row>
        <row r="10654">
          <cell r="P10654">
            <v>0</v>
          </cell>
        </row>
        <row r="10655">
          <cell r="P10655">
            <v>0</v>
          </cell>
        </row>
        <row r="10656">
          <cell r="P10656">
            <v>0</v>
          </cell>
        </row>
        <row r="10657">
          <cell r="P10657">
            <v>0</v>
          </cell>
        </row>
        <row r="10658">
          <cell r="P10658">
            <v>0</v>
          </cell>
        </row>
        <row r="10659">
          <cell r="P10659">
            <v>0</v>
          </cell>
        </row>
        <row r="10660">
          <cell r="P10660">
            <v>0</v>
          </cell>
        </row>
        <row r="10661">
          <cell r="P10661">
            <v>0</v>
          </cell>
        </row>
        <row r="10662">
          <cell r="P10662">
            <v>0</v>
          </cell>
        </row>
        <row r="10663">
          <cell r="P10663">
            <v>0</v>
          </cell>
        </row>
        <row r="10664">
          <cell r="P10664">
            <v>0</v>
          </cell>
        </row>
        <row r="10665">
          <cell r="P10665">
            <v>0</v>
          </cell>
        </row>
        <row r="10666">
          <cell r="P10666">
            <v>0</v>
          </cell>
        </row>
        <row r="10667">
          <cell r="P10667">
            <v>0</v>
          </cell>
        </row>
        <row r="10668">
          <cell r="P10668">
            <v>0</v>
          </cell>
        </row>
        <row r="10669">
          <cell r="P10669">
            <v>0</v>
          </cell>
        </row>
        <row r="10670">
          <cell r="P10670">
            <v>0</v>
          </cell>
        </row>
        <row r="10671">
          <cell r="P10671">
            <v>0</v>
          </cell>
        </row>
        <row r="10672">
          <cell r="P10672">
            <v>0</v>
          </cell>
        </row>
        <row r="10673">
          <cell r="P10673">
            <v>0</v>
          </cell>
        </row>
        <row r="10674">
          <cell r="P10674">
            <v>0</v>
          </cell>
        </row>
        <row r="10675">
          <cell r="P10675">
            <v>0</v>
          </cell>
        </row>
        <row r="10676">
          <cell r="P10676">
            <v>0</v>
          </cell>
        </row>
        <row r="10677">
          <cell r="P10677">
            <v>0</v>
          </cell>
        </row>
        <row r="10678">
          <cell r="P10678">
            <v>0</v>
          </cell>
        </row>
        <row r="10679">
          <cell r="P10679">
            <v>0</v>
          </cell>
        </row>
        <row r="10680">
          <cell r="P10680">
            <v>0</v>
          </cell>
        </row>
        <row r="10681">
          <cell r="P10681">
            <v>0</v>
          </cell>
        </row>
        <row r="10682">
          <cell r="P10682">
            <v>0</v>
          </cell>
        </row>
        <row r="10683">
          <cell r="P10683">
            <v>0</v>
          </cell>
        </row>
        <row r="10684">
          <cell r="P10684">
            <v>0</v>
          </cell>
        </row>
        <row r="10685">
          <cell r="P10685">
            <v>0</v>
          </cell>
        </row>
        <row r="10686">
          <cell r="P10686">
            <v>0</v>
          </cell>
        </row>
        <row r="10687">
          <cell r="P10687">
            <v>0</v>
          </cell>
        </row>
        <row r="10688">
          <cell r="P10688">
            <v>0</v>
          </cell>
        </row>
        <row r="10689">
          <cell r="P10689">
            <v>0</v>
          </cell>
        </row>
        <row r="10690">
          <cell r="P10690">
            <v>0</v>
          </cell>
        </row>
        <row r="10691">
          <cell r="P10691">
            <v>0</v>
          </cell>
        </row>
        <row r="10692">
          <cell r="P10692">
            <v>0</v>
          </cell>
        </row>
        <row r="10693">
          <cell r="P10693">
            <v>0</v>
          </cell>
        </row>
        <row r="10694">
          <cell r="P10694">
            <v>0</v>
          </cell>
        </row>
        <row r="10695">
          <cell r="P10695">
            <v>0</v>
          </cell>
        </row>
        <row r="10696">
          <cell r="P10696">
            <v>0</v>
          </cell>
        </row>
        <row r="10697">
          <cell r="P10697">
            <v>0</v>
          </cell>
        </row>
        <row r="10698">
          <cell r="P10698">
            <v>0</v>
          </cell>
        </row>
        <row r="10699">
          <cell r="P10699">
            <v>0</v>
          </cell>
        </row>
        <row r="10700">
          <cell r="P10700">
            <v>0</v>
          </cell>
        </row>
        <row r="10701">
          <cell r="P10701">
            <v>0</v>
          </cell>
        </row>
        <row r="10702">
          <cell r="P10702">
            <v>0</v>
          </cell>
        </row>
        <row r="10703">
          <cell r="P10703">
            <v>0</v>
          </cell>
        </row>
        <row r="10704">
          <cell r="P10704">
            <v>0</v>
          </cell>
        </row>
        <row r="10705">
          <cell r="P10705">
            <v>0</v>
          </cell>
        </row>
        <row r="10706">
          <cell r="P10706">
            <v>0</v>
          </cell>
        </row>
        <row r="10707">
          <cell r="P10707">
            <v>0</v>
          </cell>
        </row>
        <row r="10708">
          <cell r="P10708">
            <v>0</v>
          </cell>
        </row>
        <row r="10709">
          <cell r="P10709">
            <v>0</v>
          </cell>
        </row>
        <row r="10710">
          <cell r="P10710">
            <v>0</v>
          </cell>
        </row>
        <row r="10711">
          <cell r="P10711">
            <v>0</v>
          </cell>
        </row>
        <row r="10712">
          <cell r="P10712">
            <v>0</v>
          </cell>
        </row>
        <row r="10713">
          <cell r="P10713">
            <v>0</v>
          </cell>
        </row>
        <row r="10714">
          <cell r="P10714">
            <v>0</v>
          </cell>
        </row>
        <row r="10715">
          <cell r="P10715">
            <v>0</v>
          </cell>
        </row>
        <row r="10716">
          <cell r="P10716">
            <v>0</v>
          </cell>
        </row>
        <row r="10717">
          <cell r="P10717">
            <v>0</v>
          </cell>
        </row>
        <row r="10718">
          <cell r="P10718">
            <v>0</v>
          </cell>
        </row>
        <row r="10719">
          <cell r="P10719">
            <v>0</v>
          </cell>
        </row>
        <row r="10720">
          <cell r="P10720">
            <v>0</v>
          </cell>
        </row>
        <row r="10721">
          <cell r="P10721">
            <v>0</v>
          </cell>
        </row>
        <row r="10722">
          <cell r="P10722">
            <v>0</v>
          </cell>
        </row>
        <row r="10723">
          <cell r="P10723">
            <v>0</v>
          </cell>
        </row>
        <row r="10724">
          <cell r="P10724">
            <v>0</v>
          </cell>
        </row>
        <row r="10725">
          <cell r="P10725">
            <v>0</v>
          </cell>
        </row>
        <row r="10726">
          <cell r="P10726">
            <v>0</v>
          </cell>
        </row>
        <row r="10727">
          <cell r="P10727">
            <v>0</v>
          </cell>
        </row>
        <row r="10728">
          <cell r="P10728">
            <v>0</v>
          </cell>
        </row>
        <row r="10729">
          <cell r="P10729">
            <v>0</v>
          </cell>
        </row>
        <row r="10730">
          <cell r="P10730">
            <v>0</v>
          </cell>
        </row>
        <row r="10731">
          <cell r="P10731">
            <v>0</v>
          </cell>
        </row>
        <row r="10732">
          <cell r="P10732">
            <v>0</v>
          </cell>
        </row>
        <row r="10733">
          <cell r="P10733">
            <v>0</v>
          </cell>
        </row>
        <row r="10734">
          <cell r="P10734">
            <v>0</v>
          </cell>
        </row>
        <row r="10735">
          <cell r="P10735">
            <v>0</v>
          </cell>
        </row>
        <row r="10736">
          <cell r="P10736">
            <v>0</v>
          </cell>
        </row>
        <row r="10737">
          <cell r="P10737">
            <v>0</v>
          </cell>
        </row>
        <row r="10738">
          <cell r="P10738">
            <v>0</v>
          </cell>
        </row>
        <row r="10739">
          <cell r="P10739">
            <v>0</v>
          </cell>
        </row>
        <row r="10740">
          <cell r="P10740">
            <v>0</v>
          </cell>
        </row>
        <row r="10741">
          <cell r="P10741">
            <v>0</v>
          </cell>
        </row>
        <row r="10742">
          <cell r="P10742">
            <v>0</v>
          </cell>
        </row>
        <row r="10743">
          <cell r="P10743">
            <v>0</v>
          </cell>
        </row>
        <row r="10744">
          <cell r="P10744">
            <v>0</v>
          </cell>
        </row>
        <row r="10745">
          <cell r="P10745">
            <v>0</v>
          </cell>
        </row>
        <row r="10746">
          <cell r="P10746">
            <v>0</v>
          </cell>
        </row>
        <row r="10747">
          <cell r="P10747">
            <v>0</v>
          </cell>
        </row>
        <row r="10748">
          <cell r="P10748">
            <v>0</v>
          </cell>
        </row>
        <row r="10749">
          <cell r="P10749">
            <v>0</v>
          </cell>
        </row>
        <row r="10750">
          <cell r="P10750">
            <v>0</v>
          </cell>
        </row>
        <row r="10751">
          <cell r="P10751">
            <v>0</v>
          </cell>
        </row>
        <row r="10752">
          <cell r="P10752">
            <v>0</v>
          </cell>
        </row>
        <row r="10753">
          <cell r="P10753">
            <v>0</v>
          </cell>
        </row>
        <row r="10754">
          <cell r="P10754">
            <v>0</v>
          </cell>
        </row>
        <row r="10755">
          <cell r="P10755">
            <v>0</v>
          </cell>
        </row>
        <row r="10756">
          <cell r="P10756">
            <v>0</v>
          </cell>
        </row>
        <row r="10757">
          <cell r="P10757">
            <v>0</v>
          </cell>
        </row>
        <row r="10758">
          <cell r="P10758">
            <v>0</v>
          </cell>
        </row>
        <row r="10759">
          <cell r="P10759">
            <v>0</v>
          </cell>
        </row>
        <row r="10760">
          <cell r="P10760">
            <v>0</v>
          </cell>
        </row>
        <row r="10761">
          <cell r="P10761">
            <v>0</v>
          </cell>
        </row>
        <row r="10762">
          <cell r="P10762">
            <v>0</v>
          </cell>
        </row>
        <row r="10763">
          <cell r="P10763">
            <v>0</v>
          </cell>
        </row>
        <row r="10764">
          <cell r="P10764">
            <v>0</v>
          </cell>
        </row>
        <row r="10765">
          <cell r="P10765">
            <v>0</v>
          </cell>
        </row>
        <row r="10766">
          <cell r="P10766">
            <v>0</v>
          </cell>
        </row>
        <row r="10767">
          <cell r="P10767">
            <v>0</v>
          </cell>
        </row>
        <row r="10768">
          <cell r="P10768">
            <v>0</v>
          </cell>
        </row>
        <row r="10769">
          <cell r="P10769">
            <v>0</v>
          </cell>
        </row>
        <row r="10770">
          <cell r="P10770">
            <v>0</v>
          </cell>
        </row>
        <row r="10771">
          <cell r="P10771">
            <v>0</v>
          </cell>
        </row>
        <row r="10772">
          <cell r="P10772">
            <v>0</v>
          </cell>
        </row>
        <row r="10773">
          <cell r="P10773">
            <v>0</v>
          </cell>
        </row>
        <row r="10774">
          <cell r="P10774">
            <v>0</v>
          </cell>
        </row>
        <row r="10775">
          <cell r="P10775">
            <v>0</v>
          </cell>
        </row>
        <row r="10776">
          <cell r="P10776">
            <v>0</v>
          </cell>
        </row>
        <row r="10777">
          <cell r="P10777">
            <v>0</v>
          </cell>
        </row>
        <row r="10778">
          <cell r="P10778">
            <v>0</v>
          </cell>
        </row>
        <row r="10779">
          <cell r="P10779">
            <v>0</v>
          </cell>
        </row>
        <row r="10780">
          <cell r="P10780">
            <v>0</v>
          </cell>
        </row>
        <row r="10781">
          <cell r="P10781">
            <v>0</v>
          </cell>
        </row>
        <row r="10782">
          <cell r="P10782">
            <v>0</v>
          </cell>
        </row>
        <row r="10783">
          <cell r="P10783">
            <v>0</v>
          </cell>
        </row>
        <row r="10784">
          <cell r="P10784">
            <v>0</v>
          </cell>
        </row>
        <row r="10785">
          <cell r="P10785">
            <v>0</v>
          </cell>
        </row>
        <row r="10786">
          <cell r="P10786">
            <v>0</v>
          </cell>
        </row>
        <row r="10787">
          <cell r="P10787">
            <v>0</v>
          </cell>
        </row>
        <row r="10788">
          <cell r="P10788">
            <v>0</v>
          </cell>
        </row>
        <row r="10789">
          <cell r="P10789">
            <v>0</v>
          </cell>
        </row>
        <row r="10790">
          <cell r="P10790">
            <v>0</v>
          </cell>
        </row>
        <row r="10791">
          <cell r="P10791">
            <v>0</v>
          </cell>
        </row>
        <row r="10792">
          <cell r="P10792">
            <v>0</v>
          </cell>
        </row>
        <row r="10793">
          <cell r="P10793">
            <v>0</v>
          </cell>
        </row>
        <row r="10794">
          <cell r="P10794">
            <v>0</v>
          </cell>
        </row>
        <row r="10795">
          <cell r="P10795">
            <v>0</v>
          </cell>
        </row>
        <row r="10796">
          <cell r="P10796">
            <v>0</v>
          </cell>
        </row>
        <row r="10797">
          <cell r="P10797">
            <v>0</v>
          </cell>
        </row>
        <row r="10798">
          <cell r="P10798">
            <v>0</v>
          </cell>
        </row>
        <row r="10799">
          <cell r="P10799">
            <v>0</v>
          </cell>
        </row>
        <row r="10800">
          <cell r="P10800">
            <v>0</v>
          </cell>
        </row>
        <row r="10801">
          <cell r="P10801">
            <v>0</v>
          </cell>
        </row>
        <row r="10802">
          <cell r="P10802">
            <v>0</v>
          </cell>
        </row>
        <row r="10803">
          <cell r="P10803">
            <v>0</v>
          </cell>
        </row>
        <row r="10804">
          <cell r="P10804">
            <v>0</v>
          </cell>
        </row>
        <row r="10805">
          <cell r="P10805">
            <v>0</v>
          </cell>
        </row>
        <row r="10806">
          <cell r="P10806">
            <v>0</v>
          </cell>
        </row>
        <row r="10807">
          <cell r="P10807">
            <v>0</v>
          </cell>
        </row>
        <row r="10808">
          <cell r="P10808">
            <v>0</v>
          </cell>
        </row>
        <row r="10809">
          <cell r="P10809">
            <v>0</v>
          </cell>
        </row>
        <row r="10810">
          <cell r="P10810">
            <v>0</v>
          </cell>
        </row>
        <row r="10811">
          <cell r="P10811">
            <v>0</v>
          </cell>
        </row>
        <row r="10812">
          <cell r="P10812">
            <v>0</v>
          </cell>
        </row>
        <row r="10813">
          <cell r="P10813">
            <v>0</v>
          </cell>
        </row>
        <row r="10814">
          <cell r="P10814">
            <v>0</v>
          </cell>
        </row>
        <row r="10815">
          <cell r="P10815">
            <v>0</v>
          </cell>
        </row>
        <row r="10816">
          <cell r="P10816">
            <v>0</v>
          </cell>
        </row>
        <row r="10817">
          <cell r="P10817">
            <v>0</v>
          </cell>
        </row>
        <row r="10818">
          <cell r="P10818">
            <v>0</v>
          </cell>
        </row>
        <row r="10819">
          <cell r="P10819">
            <v>0</v>
          </cell>
        </row>
        <row r="10820">
          <cell r="P10820">
            <v>0</v>
          </cell>
        </row>
        <row r="10821">
          <cell r="P10821">
            <v>0</v>
          </cell>
        </row>
        <row r="10822">
          <cell r="P10822">
            <v>0</v>
          </cell>
        </row>
        <row r="10823">
          <cell r="P10823">
            <v>0</v>
          </cell>
        </row>
        <row r="10824">
          <cell r="P10824">
            <v>0</v>
          </cell>
        </row>
        <row r="10825">
          <cell r="P10825">
            <v>0</v>
          </cell>
        </row>
        <row r="10826">
          <cell r="P10826">
            <v>0</v>
          </cell>
        </row>
        <row r="10827">
          <cell r="P10827">
            <v>0</v>
          </cell>
        </row>
        <row r="10828">
          <cell r="P10828">
            <v>0</v>
          </cell>
        </row>
        <row r="10829">
          <cell r="P10829">
            <v>0</v>
          </cell>
        </row>
        <row r="10830">
          <cell r="P10830">
            <v>0</v>
          </cell>
        </row>
        <row r="10831">
          <cell r="P10831">
            <v>0</v>
          </cell>
        </row>
        <row r="10832">
          <cell r="P10832">
            <v>0</v>
          </cell>
        </row>
        <row r="10833">
          <cell r="P10833">
            <v>0</v>
          </cell>
        </row>
        <row r="10834">
          <cell r="P10834">
            <v>0</v>
          </cell>
        </row>
        <row r="10835">
          <cell r="P10835">
            <v>0</v>
          </cell>
        </row>
        <row r="10836">
          <cell r="P10836">
            <v>0</v>
          </cell>
        </row>
        <row r="10837">
          <cell r="P10837">
            <v>0</v>
          </cell>
        </row>
        <row r="10838">
          <cell r="P10838">
            <v>0</v>
          </cell>
        </row>
        <row r="10839">
          <cell r="P10839">
            <v>0</v>
          </cell>
        </row>
        <row r="10840">
          <cell r="P10840">
            <v>0</v>
          </cell>
        </row>
        <row r="10841">
          <cell r="P10841">
            <v>0</v>
          </cell>
        </row>
        <row r="10842">
          <cell r="P10842">
            <v>0</v>
          </cell>
        </row>
        <row r="10843">
          <cell r="P10843">
            <v>0</v>
          </cell>
        </row>
        <row r="10844">
          <cell r="P10844">
            <v>0</v>
          </cell>
        </row>
        <row r="10845">
          <cell r="P10845">
            <v>0</v>
          </cell>
        </row>
        <row r="10846">
          <cell r="P10846">
            <v>0</v>
          </cell>
        </row>
        <row r="10847">
          <cell r="P10847">
            <v>0</v>
          </cell>
        </row>
        <row r="10848">
          <cell r="P10848">
            <v>0</v>
          </cell>
        </row>
        <row r="10849">
          <cell r="P10849">
            <v>0</v>
          </cell>
        </row>
        <row r="10850">
          <cell r="P10850">
            <v>0</v>
          </cell>
        </row>
        <row r="10851">
          <cell r="P10851">
            <v>0</v>
          </cell>
        </row>
        <row r="10852">
          <cell r="P10852">
            <v>0</v>
          </cell>
        </row>
        <row r="10853">
          <cell r="P10853">
            <v>0</v>
          </cell>
        </row>
        <row r="10854">
          <cell r="P10854">
            <v>0</v>
          </cell>
        </row>
        <row r="10855">
          <cell r="P10855">
            <v>0</v>
          </cell>
        </row>
        <row r="10856">
          <cell r="P10856">
            <v>0</v>
          </cell>
        </row>
        <row r="10857">
          <cell r="P10857">
            <v>0</v>
          </cell>
        </row>
        <row r="10858">
          <cell r="P10858">
            <v>0</v>
          </cell>
        </row>
        <row r="10859">
          <cell r="P10859">
            <v>0</v>
          </cell>
        </row>
        <row r="10860">
          <cell r="P10860">
            <v>0</v>
          </cell>
        </row>
        <row r="10861">
          <cell r="P10861">
            <v>0</v>
          </cell>
        </row>
        <row r="10862">
          <cell r="P10862">
            <v>0</v>
          </cell>
        </row>
        <row r="10863">
          <cell r="P10863">
            <v>0</v>
          </cell>
        </row>
        <row r="10864">
          <cell r="P10864">
            <v>0</v>
          </cell>
        </row>
        <row r="10865">
          <cell r="P10865">
            <v>0</v>
          </cell>
        </row>
        <row r="10866">
          <cell r="P10866">
            <v>0</v>
          </cell>
        </row>
        <row r="10867">
          <cell r="P10867">
            <v>0</v>
          </cell>
        </row>
        <row r="10868">
          <cell r="P10868">
            <v>0</v>
          </cell>
        </row>
        <row r="10869">
          <cell r="P10869">
            <v>0</v>
          </cell>
        </row>
        <row r="10870">
          <cell r="P10870">
            <v>0</v>
          </cell>
        </row>
        <row r="10871">
          <cell r="P10871">
            <v>0</v>
          </cell>
        </row>
        <row r="10872">
          <cell r="P10872">
            <v>0</v>
          </cell>
        </row>
        <row r="10873">
          <cell r="P10873">
            <v>0</v>
          </cell>
        </row>
        <row r="10874">
          <cell r="P10874">
            <v>0</v>
          </cell>
        </row>
        <row r="10875">
          <cell r="P10875">
            <v>0</v>
          </cell>
        </row>
        <row r="10876">
          <cell r="P10876">
            <v>0</v>
          </cell>
        </row>
        <row r="10877">
          <cell r="P10877">
            <v>0</v>
          </cell>
        </row>
        <row r="10878">
          <cell r="P10878">
            <v>0</v>
          </cell>
        </row>
        <row r="10879">
          <cell r="P10879">
            <v>0</v>
          </cell>
        </row>
        <row r="10880">
          <cell r="P10880">
            <v>0</v>
          </cell>
        </row>
        <row r="10881">
          <cell r="P10881">
            <v>0</v>
          </cell>
        </row>
        <row r="10882">
          <cell r="P10882">
            <v>0</v>
          </cell>
        </row>
        <row r="10883">
          <cell r="P10883">
            <v>0</v>
          </cell>
        </row>
        <row r="10884">
          <cell r="P10884">
            <v>0</v>
          </cell>
        </row>
        <row r="10885">
          <cell r="P10885">
            <v>0</v>
          </cell>
        </row>
        <row r="10886">
          <cell r="P10886">
            <v>0</v>
          </cell>
        </row>
        <row r="10887">
          <cell r="P10887">
            <v>0</v>
          </cell>
        </row>
        <row r="10888">
          <cell r="P10888">
            <v>0</v>
          </cell>
        </row>
        <row r="10889">
          <cell r="P10889">
            <v>0</v>
          </cell>
        </row>
        <row r="10890">
          <cell r="P10890">
            <v>0</v>
          </cell>
        </row>
        <row r="10891">
          <cell r="P10891">
            <v>0</v>
          </cell>
        </row>
        <row r="10892">
          <cell r="P10892">
            <v>0</v>
          </cell>
        </row>
        <row r="10893">
          <cell r="P10893">
            <v>0</v>
          </cell>
        </row>
        <row r="10894">
          <cell r="P10894">
            <v>0</v>
          </cell>
        </row>
        <row r="10895">
          <cell r="P10895">
            <v>0</v>
          </cell>
        </row>
        <row r="10896">
          <cell r="P10896">
            <v>0</v>
          </cell>
        </row>
        <row r="10897">
          <cell r="P10897">
            <v>0</v>
          </cell>
        </row>
        <row r="10898">
          <cell r="P10898">
            <v>0</v>
          </cell>
        </row>
        <row r="10899">
          <cell r="P10899">
            <v>0</v>
          </cell>
        </row>
        <row r="10900">
          <cell r="P10900">
            <v>0</v>
          </cell>
        </row>
        <row r="10901">
          <cell r="P10901">
            <v>0</v>
          </cell>
        </row>
        <row r="10902">
          <cell r="P10902">
            <v>0</v>
          </cell>
        </row>
        <row r="10903">
          <cell r="P10903">
            <v>0</v>
          </cell>
        </row>
        <row r="10904">
          <cell r="P10904">
            <v>0</v>
          </cell>
        </row>
        <row r="10905">
          <cell r="P10905">
            <v>0</v>
          </cell>
        </row>
        <row r="10906">
          <cell r="P10906">
            <v>0</v>
          </cell>
        </row>
        <row r="10907">
          <cell r="P10907">
            <v>0</v>
          </cell>
        </row>
        <row r="10908">
          <cell r="P10908">
            <v>0</v>
          </cell>
        </row>
        <row r="10909">
          <cell r="P10909">
            <v>0</v>
          </cell>
        </row>
        <row r="10910">
          <cell r="P10910">
            <v>0</v>
          </cell>
        </row>
        <row r="10911">
          <cell r="P10911">
            <v>0</v>
          </cell>
        </row>
        <row r="10912">
          <cell r="P10912">
            <v>0</v>
          </cell>
        </row>
        <row r="10913">
          <cell r="P10913">
            <v>0</v>
          </cell>
        </row>
        <row r="10914">
          <cell r="P10914">
            <v>0</v>
          </cell>
        </row>
        <row r="10915">
          <cell r="P10915">
            <v>0</v>
          </cell>
        </row>
        <row r="10916">
          <cell r="P10916">
            <v>0</v>
          </cell>
        </row>
        <row r="10917">
          <cell r="P10917">
            <v>0</v>
          </cell>
        </row>
        <row r="10918">
          <cell r="P10918">
            <v>0</v>
          </cell>
        </row>
        <row r="10919">
          <cell r="P10919">
            <v>0</v>
          </cell>
        </row>
        <row r="10920">
          <cell r="P10920">
            <v>0</v>
          </cell>
        </row>
        <row r="10921">
          <cell r="P10921">
            <v>0</v>
          </cell>
        </row>
        <row r="10922">
          <cell r="P10922">
            <v>0</v>
          </cell>
        </row>
        <row r="10923">
          <cell r="P10923">
            <v>0</v>
          </cell>
        </row>
        <row r="10924">
          <cell r="P10924">
            <v>0</v>
          </cell>
        </row>
        <row r="10925">
          <cell r="P10925">
            <v>0</v>
          </cell>
        </row>
        <row r="10926">
          <cell r="P10926">
            <v>0</v>
          </cell>
        </row>
        <row r="10927">
          <cell r="P10927">
            <v>0</v>
          </cell>
        </row>
        <row r="10928">
          <cell r="P10928">
            <v>0</v>
          </cell>
        </row>
        <row r="10929">
          <cell r="P10929">
            <v>0</v>
          </cell>
        </row>
        <row r="10930">
          <cell r="P10930">
            <v>0</v>
          </cell>
        </row>
        <row r="10931">
          <cell r="P10931">
            <v>0</v>
          </cell>
        </row>
        <row r="10932">
          <cell r="P10932">
            <v>0</v>
          </cell>
        </row>
        <row r="10933">
          <cell r="P10933">
            <v>0</v>
          </cell>
        </row>
        <row r="10934">
          <cell r="P10934">
            <v>0</v>
          </cell>
        </row>
        <row r="10935">
          <cell r="P10935">
            <v>0</v>
          </cell>
        </row>
        <row r="10936">
          <cell r="P10936">
            <v>0</v>
          </cell>
        </row>
        <row r="10937">
          <cell r="P10937">
            <v>0</v>
          </cell>
        </row>
        <row r="10938">
          <cell r="P10938">
            <v>0</v>
          </cell>
        </row>
        <row r="10939">
          <cell r="P10939">
            <v>0</v>
          </cell>
        </row>
        <row r="10940">
          <cell r="P10940">
            <v>0</v>
          </cell>
        </row>
        <row r="10941">
          <cell r="P10941">
            <v>0</v>
          </cell>
        </row>
        <row r="10942">
          <cell r="P10942">
            <v>0</v>
          </cell>
        </row>
        <row r="10943">
          <cell r="P10943">
            <v>0</v>
          </cell>
        </row>
        <row r="10944">
          <cell r="P10944">
            <v>0</v>
          </cell>
        </row>
        <row r="10945">
          <cell r="P10945">
            <v>0</v>
          </cell>
        </row>
        <row r="10946">
          <cell r="P10946">
            <v>0</v>
          </cell>
        </row>
        <row r="10947">
          <cell r="P10947">
            <v>0</v>
          </cell>
        </row>
        <row r="10948">
          <cell r="P10948">
            <v>0</v>
          </cell>
        </row>
        <row r="10949">
          <cell r="P10949">
            <v>0</v>
          </cell>
        </row>
        <row r="10950">
          <cell r="P10950">
            <v>0</v>
          </cell>
        </row>
        <row r="10951">
          <cell r="P10951">
            <v>0</v>
          </cell>
        </row>
        <row r="10952">
          <cell r="P10952">
            <v>0</v>
          </cell>
        </row>
        <row r="10953">
          <cell r="P10953">
            <v>0</v>
          </cell>
        </row>
        <row r="10954">
          <cell r="P10954">
            <v>0</v>
          </cell>
        </row>
        <row r="10955">
          <cell r="P10955">
            <v>0</v>
          </cell>
        </row>
        <row r="10956">
          <cell r="P10956">
            <v>0</v>
          </cell>
        </row>
        <row r="10957">
          <cell r="P10957">
            <v>0</v>
          </cell>
        </row>
        <row r="10958">
          <cell r="P10958">
            <v>0</v>
          </cell>
        </row>
        <row r="10959">
          <cell r="P10959">
            <v>0</v>
          </cell>
        </row>
        <row r="10960">
          <cell r="P10960">
            <v>0</v>
          </cell>
        </row>
        <row r="10961">
          <cell r="P10961">
            <v>0</v>
          </cell>
        </row>
        <row r="10962">
          <cell r="P10962">
            <v>0</v>
          </cell>
        </row>
        <row r="10963">
          <cell r="P10963">
            <v>0</v>
          </cell>
        </row>
        <row r="10964">
          <cell r="P10964">
            <v>0</v>
          </cell>
        </row>
        <row r="10965">
          <cell r="P10965">
            <v>0</v>
          </cell>
        </row>
        <row r="10966">
          <cell r="P10966">
            <v>0</v>
          </cell>
        </row>
        <row r="10967">
          <cell r="P10967">
            <v>0</v>
          </cell>
        </row>
        <row r="10968">
          <cell r="P10968">
            <v>0</v>
          </cell>
        </row>
        <row r="10969">
          <cell r="P10969">
            <v>0</v>
          </cell>
        </row>
        <row r="10970">
          <cell r="P10970">
            <v>0</v>
          </cell>
        </row>
        <row r="10971">
          <cell r="P10971">
            <v>0</v>
          </cell>
        </row>
        <row r="10972">
          <cell r="P10972">
            <v>0</v>
          </cell>
        </row>
        <row r="10973">
          <cell r="P10973">
            <v>0</v>
          </cell>
        </row>
        <row r="10974">
          <cell r="P10974">
            <v>0</v>
          </cell>
        </row>
        <row r="10975">
          <cell r="P10975">
            <v>0</v>
          </cell>
        </row>
        <row r="10976">
          <cell r="P10976">
            <v>0</v>
          </cell>
        </row>
        <row r="10977">
          <cell r="P10977">
            <v>0</v>
          </cell>
        </row>
        <row r="10978">
          <cell r="P10978">
            <v>0</v>
          </cell>
        </row>
        <row r="10979">
          <cell r="P10979">
            <v>0</v>
          </cell>
        </row>
        <row r="10980">
          <cell r="P10980">
            <v>0</v>
          </cell>
        </row>
        <row r="10981">
          <cell r="P10981">
            <v>0</v>
          </cell>
        </row>
        <row r="10982">
          <cell r="P10982">
            <v>0</v>
          </cell>
        </row>
        <row r="10983">
          <cell r="P10983">
            <v>0</v>
          </cell>
        </row>
        <row r="10984">
          <cell r="P10984">
            <v>0</v>
          </cell>
        </row>
        <row r="10985">
          <cell r="P10985">
            <v>0</v>
          </cell>
        </row>
        <row r="10986">
          <cell r="P10986">
            <v>0</v>
          </cell>
        </row>
        <row r="10987">
          <cell r="P10987">
            <v>0</v>
          </cell>
        </row>
        <row r="10988">
          <cell r="P10988">
            <v>0</v>
          </cell>
        </row>
        <row r="10989">
          <cell r="P10989">
            <v>0</v>
          </cell>
        </row>
        <row r="10990">
          <cell r="P10990">
            <v>0</v>
          </cell>
        </row>
        <row r="10991">
          <cell r="P10991">
            <v>0</v>
          </cell>
        </row>
        <row r="10992">
          <cell r="P10992">
            <v>0</v>
          </cell>
        </row>
        <row r="10993">
          <cell r="P10993">
            <v>0</v>
          </cell>
        </row>
        <row r="10994">
          <cell r="P10994">
            <v>0</v>
          </cell>
        </row>
        <row r="10995">
          <cell r="P10995">
            <v>0</v>
          </cell>
        </row>
        <row r="10996">
          <cell r="P10996">
            <v>0</v>
          </cell>
        </row>
        <row r="10997">
          <cell r="P10997">
            <v>0</v>
          </cell>
        </row>
        <row r="10998">
          <cell r="P10998">
            <v>0</v>
          </cell>
        </row>
        <row r="10999">
          <cell r="P10999">
            <v>0</v>
          </cell>
        </row>
        <row r="11000">
          <cell r="P11000">
            <v>0</v>
          </cell>
        </row>
        <row r="11001">
          <cell r="P11001">
            <v>0</v>
          </cell>
        </row>
        <row r="11002">
          <cell r="P11002">
            <v>0</v>
          </cell>
        </row>
        <row r="11003">
          <cell r="P11003">
            <v>0</v>
          </cell>
        </row>
        <row r="11004">
          <cell r="P11004">
            <v>0</v>
          </cell>
        </row>
        <row r="11005">
          <cell r="P11005">
            <v>0</v>
          </cell>
        </row>
        <row r="11006">
          <cell r="P11006">
            <v>0</v>
          </cell>
        </row>
        <row r="11007">
          <cell r="P11007">
            <v>0</v>
          </cell>
        </row>
        <row r="11008">
          <cell r="P11008">
            <v>0</v>
          </cell>
        </row>
        <row r="11009">
          <cell r="P11009">
            <v>0</v>
          </cell>
        </row>
        <row r="11010">
          <cell r="P11010">
            <v>0</v>
          </cell>
        </row>
        <row r="11011">
          <cell r="P11011">
            <v>0</v>
          </cell>
        </row>
        <row r="11012">
          <cell r="P11012">
            <v>0</v>
          </cell>
        </row>
        <row r="11013">
          <cell r="P11013">
            <v>0</v>
          </cell>
        </row>
        <row r="11014">
          <cell r="P11014">
            <v>0</v>
          </cell>
        </row>
        <row r="11015">
          <cell r="P11015">
            <v>0</v>
          </cell>
        </row>
        <row r="11016">
          <cell r="P11016">
            <v>0</v>
          </cell>
        </row>
        <row r="11017">
          <cell r="P11017">
            <v>0</v>
          </cell>
        </row>
        <row r="11018">
          <cell r="P11018">
            <v>0</v>
          </cell>
        </row>
        <row r="11019">
          <cell r="P11019">
            <v>0</v>
          </cell>
        </row>
        <row r="11020">
          <cell r="P11020">
            <v>0</v>
          </cell>
        </row>
        <row r="11021">
          <cell r="P11021">
            <v>0</v>
          </cell>
        </row>
        <row r="11022">
          <cell r="P11022">
            <v>0</v>
          </cell>
        </row>
        <row r="11023">
          <cell r="P11023">
            <v>0</v>
          </cell>
        </row>
        <row r="11024">
          <cell r="P11024">
            <v>0</v>
          </cell>
        </row>
        <row r="11025">
          <cell r="P11025">
            <v>0</v>
          </cell>
        </row>
        <row r="11026">
          <cell r="P11026">
            <v>0</v>
          </cell>
        </row>
        <row r="11027">
          <cell r="P11027">
            <v>0</v>
          </cell>
        </row>
        <row r="11028">
          <cell r="P11028">
            <v>0</v>
          </cell>
        </row>
        <row r="11029">
          <cell r="P11029">
            <v>0</v>
          </cell>
        </row>
        <row r="11030">
          <cell r="P11030">
            <v>0</v>
          </cell>
        </row>
        <row r="11031">
          <cell r="P11031">
            <v>0</v>
          </cell>
        </row>
        <row r="11032">
          <cell r="P11032">
            <v>0</v>
          </cell>
        </row>
        <row r="11033">
          <cell r="P11033">
            <v>0</v>
          </cell>
        </row>
        <row r="11034">
          <cell r="P11034">
            <v>0</v>
          </cell>
        </row>
        <row r="11035">
          <cell r="P11035">
            <v>0</v>
          </cell>
        </row>
        <row r="11036">
          <cell r="P11036">
            <v>0</v>
          </cell>
        </row>
        <row r="11037">
          <cell r="P11037">
            <v>0</v>
          </cell>
        </row>
        <row r="11038">
          <cell r="P11038">
            <v>0</v>
          </cell>
        </row>
        <row r="11039">
          <cell r="P11039">
            <v>0</v>
          </cell>
        </row>
        <row r="11040">
          <cell r="P11040">
            <v>0</v>
          </cell>
        </row>
        <row r="11041">
          <cell r="P11041">
            <v>0</v>
          </cell>
        </row>
        <row r="11042">
          <cell r="P11042">
            <v>0</v>
          </cell>
        </row>
        <row r="11043">
          <cell r="P11043">
            <v>0</v>
          </cell>
        </row>
        <row r="11044">
          <cell r="P11044">
            <v>0</v>
          </cell>
        </row>
        <row r="11045">
          <cell r="P11045">
            <v>0</v>
          </cell>
        </row>
        <row r="11046">
          <cell r="P11046">
            <v>0</v>
          </cell>
        </row>
        <row r="11047">
          <cell r="P11047">
            <v>0</v>
          </cell>
        </row>
        <row r="11048">
          <cell r="P11048">
            <v>0</v>
          </cell>
        </row>
        <row r="11049">
          <cell r="P11049">
            <v>0</v>
          </cell>
        </row>
        <row r="11050">
          <cell r="P11050">
            <v>0</v>
          </cell>
        </row>
        <row r="11051">
          <cell r="P11051">
            <v>0</v>
          </cell>
        </row>
        <row r="11052">
          <cell r="P11052">
            <v>0</v>
          </cell>
        </row>
        <row r="11053">
          <cell r="P11053">
            <v>0</v>
          </cell>
        </row>
        <row r="11054">
          <cell r="P11054">
            <v>0</v>
          </cell>
        </row>
        <row r="11055">
          <cell r="P11055">
            <v>0</v>
          </cell>
        </row>
        <row r="11056">
          <cell r="P11056">
            <v>0</v>
          </cell>
        </row>
        <row r="11057">
          <cell r="P11057">
            <v>0</v>
          </cell>
        </row>
        <row r="11058">
          <cell r="P11058">
            <v>0</v>
          </cell>
        </row>
        <row r="11059">
          <cell r="P11059">
            <v>0</v>
          </cell>
        </row>
        <row r="11060">
          <cell r="P11060">
            <v>0</v>
          </cell>
        </row>
        <row r="11061">
          <cell r="P11061">
            <v>0</v>
          </cell>
        </row>
        <row r="11062">
          <cell r="P11062">
            <v>0</v>
          </cell>
        </row>
        <row r="11063">
          <cell r="P11063">
            <v>0</v>
          </cell>
        </row>
        <row r="11064">
          <cell r="P11064">
            <v>0</v>
          </cell>
        </row>
        <row r="11065">
          <cell r="P11065">
            <v>0</v>
          </cell>
        </row>
        <row r="11066">
          <cell r="P11066">
            <v>0</v>
          </cell>
        </row>
        <row r="11067">
          <cell r="P11067">
            <v>0</v>
          </cell>
        </row>
        <row r="11068">
          <cell r="P11068">
            <v>0</v>
          </cell>
        </row>
        <row r="11069">
          <cell r="P11069">
            <v>0</v>
          </cell>
        </row>
        <row r="11070">
          <cell r="P11070">
            <v>0</v>
          </cell>
        </row>
        <row r="11071">
          <cell r="P11071">
            <v>0</v>
          </cell>
        </row>
        <row r="11072">
          <cell r="P11072">
            <v>0</v>
          </cell>
        </row>
        <row r="11073">
          <cell r="P11073">
            <v>0</v>
          </cell>
        </row>
        <row r="11074">
          <cell r="P11074">
            <v>0</v>
          </cell>
        </row>
        <row r="11075">
          <cell r="P11075">
            <v>0</v>
          </cell>
        </row>
        <row r="11076">
          <cell r="P11076">
            <v>0</v>
          </cell>
        </row>
        <row r="11077">
          <cell r="P11077">
            <v>0</v>
          </cell>
        </row>
        <row r="11078">
          <cell r="P11078">
            <v>0</v>
          </cell>
        </row>
        <row r="11079">
          <cell r="P11079">
            <v>0</v>
          </cell>
        </row>
        <row r="11080">
          <cell r="P11080">
            <v>0</v>
          </cell>
        </row>
        <row r="11081">
          <cell r="P11081">
            <v>0</v>
          </cell>
        </row>
        <row r="11082">
          <cell r="P11082">
            <v>0</v>
          </cell>
        </row>
        <row r="11083">
          <cell r="P11083">
            <v>0</v>
          </cell>
        </row>
        <row r="11084">
          <cell r="P11084">
            <v>0</v>
          </cell>
        </row>
        <row r="11085">
          <cell r="P11085">
            <v>0</v>
          </cell>
        </row>
        <row r="11086">
          <cell r="P11086">
            <v>0</v>
          </cell>
        </row>
        <row r="11087">
          <cell r="P11087">
            <v>0</v>
          </cell>
        </row>
        <row r="11088">
          <cell r="P11088">
            <v>0</v>
          </cell>
        </row>
        <row r="11089">
          <cell r="P11089">
            <v>0</v>
          </cell>
        </row>
        <row r="11090">
          <cell r="P11090">
            <v>0</v>
          </cell>
        </row>
        <row r="11091">
          <cell r="P11091">
            <v>0</v>
          </cell>
        </row>
        <row r="11092">
          <cell r="P11092">
            <v>0</v>
          </cell>
        </row>
        <row r="11093">
          <cell r="P11093">
            <v>0</v>
          </cell>
        </row>
        <row r="11094">
          <cell r="P11094">
            <v>0</v>
          </cell>
        </row>
        <row r="11095">
          <cell r="P11095">
            <v>0</v>
          </cell>
        </row>
        <row r="11096">
          <cell r="P11096">
            <v>0</v>
          </cell>
        </row>
        <row r="11097">
          <cell r="P11097">
            <v>0</v>
          </cell>
        </row>
        <row r="11098">
          <cell r="P11098">
            <v>0</v>
          </cell>
        </row>
        <row r="11099">
          <cell r="P11099">
            <v>0</v>
          </cell>
        </row>
        <row r="11100">
          <cell r="P11100">
            <v>0</v>
          </cell>
        </row>
        <row r="11101">
          <cell r="P11101">
            <v>0</v>
          </cell>
        </row>
        <row r="11102">
          <cell r="P11102">
            <v>0</v>
          </cell>
        </row>
        <row r="11103">
          <cell r="P11103">
            <v>0</v>
          </cell>
        </row>
        <row r="11104">
          <cell r="P11104">
            <v>0</v>
          </cell>
        </row>
        <row r="11105">
          <cell r="P11105">
            <v>0</v>
          </cell>
        </row>
        <row r="11106">
          <cell r="P11106">
            <v>0</v>
          </cell>
        </row>
        <row r="11107">
          <cell r="P11107">
            <v>0</v>
          </cell>
        </row>
        <row r="11108">
          <cell r="P11108">
            <v>0</v>
          </cell>
        </row>
        <row r="11109">
          <cell r="P11109">
            <v>0</v>
          </cell>
        </row>
        <row r="11110">
          <cell r="P11110">
            <v>0</v>
          </cell>
        </row>
        <row r="11111">
          <cell r="P11111">
            <v>0</v>
          </cell>
        </row>
        <row r="11112">
          <cell r="P11112">
            <v>0</v>
          </cell>
        </row>
        <row r="11113">
          <cell r="P11113">
            <v>0</v>
          </cell>
        </row>
        <row r="11114">
          <cell r="P11114">
            <v>0</v>
          </cell>
        </row>
        <row r="11115">
          <cell r="P11115">
            <v>0</v>
          </cell>
        </row>
        <row r="11116">
          <cell r="P11116">
            <v>0</v>
          </cell>
        </row>
        <row r="11117">
          <cell r="P11117">
            <v>0</v>
          </cell>
        </row>
        <row r="11118">
          <cell r="P11118">
            <v>0</v>
          </cell>
        </row>
        <row r="11119">
          <cell r="P11119">
            <v>0</v>
          </cell>
        </row>
        <row r="11120">
          <cell r="P11120">
            <v>0</v>
          </cell>
        </row>
        <row r="11121">
          <cell r="P11121">
            <v>0</v>
          </cell>
        </row>
        <row r="11122">
          <cell r="P11122">
            <v>0</v>
          </cell>
        </row>
        <row r="11123">
          <cell r="P11123">
            <v>0</v>
          </cell>
        </row>
        <row r="11124">
          <cell r="P11124">
            <v>0</v>
          </cell>
        </row>
        <row r="11125">
          <cell r="P11125">
            <v>0</v>
          </cell>
        </row>
        <row r="11126">
          <cell r="P11126">
            <v>0</v>
          </cell>
        </row>
        <row r="11127">
          <cell r="P11127">
            <v>0</v>
          </cell>
        </row>
        <row r="11128">
          <cell r="P11128">
            <v>0</v>
          </cell>
        </row>
        <row r="11129">
          <cell r="P11129">
            <v>0</v>
          </cell>
        </row>
        <row r="11130">
          <cell r="P11130">
            <v>0</v>
          </cell>
        </row>
        <row r="11131">
          <cell r="P11131">
            <v>0</v>
          </cell>
        </row>
        <row r="11132">
          <cell r="P11132">
            <v>0</v>
          </cell>
        </row>
        <row r="11133">
          <cell r="P11133">
            <v>0</v>
          </cell>
        </row>
        <row r="11134">
          <cell r="P11134">
            <v>0</v>
          </cell>
        </row>
        <row r="11135">
          <cell r="P11135">
            <v>0</v>
          </cell>
        </row>
        <row r="11136">
          <cell r="P11136">
            <v>0</v>
          </cell>
        </row>
        <row r="11137">
          <cell r="P11137">
            <v>0</v>
          </cell>
        </row>
        <row r="11138">
          <cell r="P11138">
            <v>0</v>
          </cell>
        </row>
        <row r="11139">
          <cell r="P11139">
            <v>0</v>
          </cell>
        </row>
        <row r="11140">
          <cell r="P11140">
            <v>0</v>
          </cell>
        </row>
        <row r="11141">
          <cell r="P11141">
            <v>0</v>
          </cell>
        </row>
        <row r="11142">
          <cell r="P11142">
            <v>0</v>
          </cell>
        </row>
        <row r="11143">
          <cell r="P11143">
            <v>0</v>
          </cell>
        </row>
        <row r="11144">
          <cell r="P11144">
            <v>0</v>
          </cell>
        </row>
        <row r="11145">
          <cell r="P11145">
            <v>0</v>
          </cell>
        </row>
        <row r="11146">
          <cell r="P11146">
            <v>0</v>
          </cell>
        </row>
        <row r="11147">
          <cell r="P11147">
            <v>0</v>
          </cell>
        </row>
        <row r="11148">
          <cell r="P11148">
            <v>0</v>
          </cell>
        </row>
        <row r="11149">
          <cell r="P11149">
            <v>0</v>
          </cell>
        </row>
        <row r="11150">
          <cell r="P11150">
            <v>0</v>
          </cell>
        </row>
        <row r="11151">
          <cell r="P11151">
            <v>0</v>
          </cell>
        </row>
        <row r="11152">
          <cell r="P11152">
            <v>0</v>
          </cell>
        </row>
        <row r="11153">
          <cell r="P11153">
            <v>0</v>
          </cell>
        </row>
        <row r="11154">
          <cell r="P11154">
            <v>0</v>
          </cell>
        </row>
        <row r="11155">
          <cell r="P11155">
            <v>0</v>
          </cell>
        </row>
        <row r="11156">
          <cell r="P11156">
            <v>0</v>
          </cell>
        </row>
        <row r="11157">
          <cell r="P11157">
            <v>0</v>
          </cell>
        </row>
        <row r="11158">
          <cell r="P11158">
            <v>0</v>
          </cell>
        </row>
        <row r="11159">
          <cell r="P11159">
            <v>0</v>
          </cell>
        </row>
        <row r="11160">
          <cell r="P11160">
            <v>0</v>
          </cell>
        </row>
        <row r="11161">
          <cell r="P11161">
            <v>0</v>
          </cell>
        </row>
        <row r="11162">
          <cell r="P11162">
            <v>0</v>
          </cell>
        </row>
        <row r="11163">
          <cell r="P11163">
            <v>0</v>
          </cell>
        </row>
        <row r="11164">
          <cell r="P11164">
            <v>0</v>
          </cell>
        </row>
        <row r="11165">
          <cell r="P11165">
            <v>0</v>
          </cell>
        </row>
        <row r="11166">
          <cell r="P11166">
            <v>0</v>
          </cell>
        </row>
        <row r="11167">
          <cell r="P11167">
            <v>0</v>
          </cell>
        </row>
        <row r="11168">
          <cell r="P11168">
            <v>0</v>
          </cell>
        </row>
        <row r="11169">
          <cell r="P11169">
            <v>0</v>
          </cell>
        </row>
        <row r="11170">
          <cell r="P11170">
            <v>0</v>
          </cell>
        </row>
        <row r="11171">
          <cell r="P11171">
            <v>0</v>
          </cell>
        </row>
        <row r="11172">
          <cell r="P11172">
            <v>0</v>
          </cell>
        </row>
        <row r="11173">
          <cell r="P11173">
            <v>0</v>
          </cell>
        </row>
        <row r="11174">
          <cell r="P11174">
            <v>0</v>
          </cell>
        </row>
        <row r="11175">
          <cell r="P11175">
            <v>0</v>
          </cell>
        </row>
        <row r="11176">
          <cell r="P11176">
            <v>0</v>
          </cell>
        </row>
        <row r="11177">
          <cell r="P11177">
            <v>0</v>
          </cell>
        </row>
        <row r="11178">
          <cell r="P11178">
            <v>0</v>
          </cell>
        </row>
        <row r="11179">
          <cell r="P11179">
            <v>0</v>
          </cell>
        </row>
        <row r="11180">
          <cell r="P11180">
            <v>0</v>
          </cell>
        </row>
        <row r="11181">
          <cell r="P11181">
            <v>0</v>
          </cell>
        </row>
        <row r="11182">
          <cell r="P11182">
            <v>0</v>
          </cell>
        </row>
        <row r="11183">
          <cell r="P11183">
            <v>0</v>
          </cell>
        </row>
        <row r="11184">
          <cell r="P11184">
            <v>0</v>
          </cell>
        </row>
        <row r="11185">
          <cell r="P11185">
            <v>0</v>
          </cell>
        </row>
        <row r="11186">
          <cell r="P11186">
            <v>0</v>
          </cell>
        </row>
        <row r="11187">
          <cell r="P11187">
            <v>0</v>
          </cell>
        </row>
        <row r="11188">
          <cell r="P11188">
            <v>0</v>
          </cell>
        </row>
        <row r="11189">
          <cell r="P11189">
            <v>0</v>
          </cell>
        </row>
        <row r="11190">
          <cell r="P11190">
            <v>0</v>
          </cell>
        </row>
        <row r="11191">
          <cell r="P11191">
            <v>0</v>
          </cell>
        </row>
        <row r="11192">
          <cell r="P11192">
            <v>0</v>
          </cell>
        </row>
        <row r="11193">
          <cell r="P11193">
            <v>0</v>
          </cell>
        </row>
        <row r="11194">
          <cell r="P11194">
            <v>0</v>
          </cell>
        </row>
        <row r="11195">
          <cell r="P11195">
            <v>0</v>
          </cell>
        </row>
        <row r="11196">
          <cell r="P11196">
            <v>0</v>
          </cell>
        </row>
        <row r="11197">
          <cell r="P11197">
            <v>0</v>
          </cell>
        </row>
        <row r="11198">
          <cell r="P11198">
            <v>0</v>
          </cell>
        </row>
        <row r="11199">
          <cell r="P11199">
            <v>0</v>
          </cell>
        </row>
        <row r="11200">
          <cell r="P11200">
            <v>0</v>
          </cell>
        </row>
        <row r="11201">
          <cell r="P11201">
            <v>0</v>
          </cell>
        </row>
        <row r="11202">
          <cell r="P11202">
            <v>0</v>
          </cell>
        </row>
        <row r="11203">
          <cell r="P11203">
            <v>0</v>
          </cell>
        </row>
        <row r="11204">
          <cell r="P11204">
            <v>0</v>
          </cell>
        </row>
        <row r="11205">
          <cell r="P11205">
            <v>0</v>
          </cell>
        </row>
        <row r="11206">
          <cell r="P11206">
            <v>0</v>
          </cell>
        </row>
        <row r="11207">
          <cell r="P11207">
            <v>0</v>
          </cell>
        </row>
        <row r="11208">
          <cell r="P11208">
            <v>0</v>
          </cell>
        </row>
        <row r="11209">
          <cell r="P11209">
            <v>0</v>
          </cell>
        </row>
        <row r="11210">
          <cell r="P11210">
            <v>0</v>
          </cell>
        </row>
        <row r="11211">
          <cell r="P11211">
            <v>0</v>
          </cell>
        </row>
        <row r="11212">
          <cell r="P11212">
            <v>0</v>
          </cell>
        </row>
        <row r="11213">
          <cell r="P11213">
            <v>0</v>
          </cell>
        </row>
        <row r="11214">
          <cell r="P11214">
            <v>0</v>
          </cell>
        </row>
        <row r="11215">
          <cell r="P11215">
            <v>0</v>
          </cell>
        </row>
        <row r="11216">
          <cell r="P11216">
            <v>0</v>
          </cell>
        </row>
        <row r="11217">
          <cell r="P11217">
            <v>0</v>
          </cell>
        </row>
        <row r="11218">
          <cell r="P11218">
            <v>0</v>
          </cell>
        </row>
        <row r="11219">
          <cell r="P11219">
            <v>0</v>
          </cell>
        </row>
        <row r="11220">
          <cell r="P11220">
            <v>0</v>
          </cell>
        </row>
        <row r="11221">
          <cell r="P11221">
            <v>0</v>
          </cell>
        </row>
        <row r="11222">
          <cell r="P11222">
            <v>0</v>
          </cell>
        </row>
        <row r="11223">
          <cell r="P11223">
            <v>0</v>
          </cell>
        </row>
        <row r="11224">
          <cell r="P11224">
            <v>0</v>
          </cell>
        </row>
        <row r="11225">
          <cell r="P11225">
            <v>0</v>
          </cell>
        </row>
        <row r="11226">
          <cell r="P11226">
            <v>0</v>
          </cell>
        </row>
        <row r="11227">
          <cell r="P11227">
            <v>0</v>
          </cell>
        </row>
        <row r="11228">
          <cell r="P11228">
            <v>0</v>
          </cell>
        </row>
        <row r="11229">
          <cell r="P11229">
            <v>0</v>
          </cell>
        </row>
        <row r="11230">
          <cell r="P11230">
            <v>0</v>
          </cell>
        </row>
        <row r="11231">
          <cell r="P11231">
            <v>0</v>
          </cell>
        </row>
        <row r="11232">
          <cell r="P11232">
            <v>0</v>
          </cell>
        </row>
        <row r="11233">
          <cell r="P11233">
            <v>0</v>
          </cell>
        </row>
        <row r="11234">
          <cell r="P11234">
            <v>0</v>
          </cell>
        </row>
        <row r="11235">
          <cell r="P11235">
            <v>0</v>
          </cell>
        </row>
        <row r="11236">
          <cell r="P11236">
            <v>0</v>
          </cell>
        </row>
        <row r="11237">
          <cell r="P11237">
            <v>0</v>
          </cell>
        </row>
        <row r="11238">
          <cell r="P11238">
            <v>0</v>
          </cell>
        </row>
        <row r="11239">
          <cell r="P11239">
            <v>0</v>
          </cell>
        </row>
        <row r="11240">
          <cell r="P11240">
            <v>0</v>
          </cell>
        </row>
        <row r="11241">
          <cell r="P11241">
            <v>0</v>
          </cell>
        </row>
        <row r="11242">
          <cell r="P11242">
            <v>0</v>
          </cell>
        </row>
        <row r="11243">
          <cell r="P11243">
            <v>0</v>
          </cell>
        </row>
        <row r="11244">
          <cell r="P11244">
            <v>0</v>
          </cell>
        </row>
        <row r="11245">
          <cell r="P11245">
            <v>0</v>
          </cell>
        </row>
        <row r="11246">
          <cell r="P11246">
            <v>0</v>
          </cell>
        </row>
        <row r="11247">
          <cell r="P11247">
            <v>0</v>
          </cell>
        </row>
        <row r="11248">
          <cell r="P11248">
            <v>0</v>
          </cell>
        </row>
        <row r="11249">
          <cell r="P11249">
            <v>0</v>
          </cell>
        </row>
        <row r="11250">
          <cell r="P11250">
            <v>0</v>
          </cell>
        </row>
        <row r="11251">
          <cell r="P11251">
            <v>0</v>
          </cell>
        </row>
        <row r="11252">
          <cell r="P11252">
            <v>0</v>
          </cell>
        </row>
        <row r="11253">
          <cell r="P11253">
            <v>0</v>
          </cell>
        </row>
        <row r="11254">
          <cell r="P11254">
            <v>0</v>
          </cell>
        </row>
        <row r="11255">
          <cell r="P11255">
            <v>0</v>
          </cell>
        </row>
        <row r="11256">
          <cell r="P11256">
            <v>0</v>
          </cell>
        </row>
        <row r="11257">
          <cell r="P11257">
            <v>0</v>
          </cell>
        </row>
        <row r="11258">
          <cell r="P11258">
            <v>0</v>
          </cell>
        </row>
        <row r="11259">
          <cell r="P11259">
            <v>0</v>
          </cell>
        </row>
        <row r="11260">
          <cell r="P11260">
            <v>0</v>
          </cell>
        </row>
        <row r="11261">
          <cell r="P11261">
            <v>0</v>
          </cell>
        </row>
        <row r="11262">
          <cell r="P11262">
            <v>0</v>
          </cell>
        </row>
        <row r="11263">
          <cell r="P11263">
            <v>0</v>
          </cell>
        </row>
        <row r="11264">
          <cell r="P11264">
            <v>77.5</v>
          </cell>
        </row>
        <row r="11265">
          <cell r="P11265">
            <v>77.5</v>
          </cell>
        </row>
        <row r="11266">
          <cell r="P11266">
            <v>155</v>
          </cell>
        </row>
        <row r="11267">
          <cell r="P11267">
            <v>0</v>
          </cell>
        </row>
        <row r="11268">
          <cell r="P11268">
            <v>0</v>
          </cell>
        </row>
        <row r="11269">
          <cell r="P11269">
            <v>0</v>
          </cell>
        </row>
        <row r="11270">
          <cell r="P11270">
            <v>0</v>
          </cell>
        </row>
        <row r="11271">
          <cell r="P11271">
            <v>0</v>
          </cell>
        </row>
        <row r="11272">
          <cell r="P11272">
            <v>0</v>
          </cell>
        </row>
        <row r="11273">
          <cell r="P11273">
            <v>0</v>
          </cell>
        </row>
        <row r="11274">
          <cell r="P11274">
            <v>0</v>
          </cell>
        </row>
        <row r="11275">
          <cell r="P11275">
            <v>0</v>
          </cell>
        </row>
        <row r="11276">
          <cell r="P11276">
            <v>0</v>
          </cell>
        </row>
        <row r="11277">
          <cell r="P11277">
            <v>0</v>
          </cell>
        </row>
        <row r="11278">
          <cell r="P11278">
            <v>0</v>
          </cell>
        </row>
        <row r="11279">
          <cell r="P11279">
            <v>0</v>
          </cell>
        </row>
        <row r="11280">
          <cell r="P11280">
            <v>0</v>
          </cell>
        </row>
        <row r="11281">
          <cell r="P11281">
            <v>0</v>
          </cell>
        </row>
        <row r="11282">
          <cell r="P11282">
            <v>0</v>
          </cell>
        </row>
        <row r="11283">
          <cell r="P11283">
            <v>0</v>
          </cell>
        </row>
        <row r="11284">
          <cell r="P11284">
            <v>0</v>
          </cell>
        </row>
        <row r="11285">
          <cell r="P11285">
            <v>0</v>
          </cell>
        </row>
        <row r="11286">
          <cell r="P11286">
            <v>0</v>
          </cell>
        </row>
        <row r="11287">
          <cell r="P11287">
            <v>0</v>
          </cell>
        </row>
        <row r="11288">
          <cell r="P11288">
            <v>0</v>
          </cell>
        </row>
        <row r="11289">
          <cell r="P11289">
            <v>0</v>
          </cell>
        </row>
        <row r="11290">
          <cell r="P11290">
            <v>0</v>
          </cell>
        </row>
        <row r="11291">
          <cell r="P11291">
            <v>0</v>
          </cell>
        </row>
        <row r="11292">
          <cell r="P11292">
            <v>0</v>
          </cell>
        </row>
        <row r="11293">
          <cell r="P11293">
            <v>0</v>
          </cell>
        </row>
        <row r="11294">
          <cell r="P11294">
            <v>0</v>
          </cell>
        </row>
        <row r="11295">
          <cell r="P11295">
            <v>0</v>
          </cell>
        </row>
        <row r="11296">
          <cell r="P11296">
            <v>0</v>
          </cell>
        </row>
        <row r="11297">
          <cell r="P11297">
            <v>0</v>
          </cell>
        </row>
        <row r="11298">
          <cell r="P11298">
            <v>0</v>
          </cell>
        </row>
        <row r="11299">
          <cell r="P11299">
            <v>0</v>
          </cell>
        </row>
        <row r="11300">
          <cell r="P11300">
            <v>0</v>
          </cell>
        </row>
        <row r="11301">
          <cell r="P11301">
            <v>0</v>
          </cell>
        </row>
        <row r="11302">
          <cell r="P11302">
            <v>0</v>
          </cell>
        </row>
        <row r="11303">
          <cell r="P11303">
            <v>0</v>
          </cell>
        </row>
        <row r="11304">
          <cell r="P11304">
            <v>0</v>
          </cell>
        </row>
        <row r="11305">
          <cell r="P11305">
            <v>0</v>
          </cell>
        </row>
        <row r="11306">
          <cell r="P11306">
            <v>0</v>
          </cell>
        </row>
        <row r="11307">
          <cell r="P11307">
            <v>0</v>
          </cell>
        </row>
        <row r="11308">
          <cell r="P11308">
            <v>0</v>
          </cell>
        </row>
        <row r="11309">
          <cell r="P11309">
            <v>0</v>
          </cell>
        </row>
        <row r="11310">
          <cell r="P11310">
            <v>0</v>
          </cell>
        </row>
        <row r="11311">
          <cell r="P11311">
            <v>0</v>
          </cell>
        </row>
        <row r="11312">
          <cell r="P11312">
            <v>0</v>
          </cell>
        </row>
        <row r="11313">
          <cell r="P11313">
            <v>0</v>
          </cell>
        </row>
        <row r="11314">
          <cell r="P11314">
            <v>0</v>
          </cell>
        </row>
        <row r="11315">
          <cell r="P11315">
            <v>0</v>
          </cell>
        </row>
        <row r="11316">
          <cell r="P11316">
            <v>0</v>
          </cell>
        </row>
        <row r="11317">
          <cell r="P11317">
            <v>0</v>
          </cell>
        </row>
        <row r="11318">
          <cell r="P11318">
            <v>0</v>
          </cell>
        </row>
        <row r="11319">
          <cell r="P11319">
            <v>0</v>
          </cell>
        </row>
        <row r="11320">
          <cell r="P11320">
            <v>0</v>
          </cell>
        </row>
        <row r="11321">
          <cell r="P11321">
            <v>0</v>
          </cell>
        </row>
        <row r="11322">
          <cell r="P11322">
            <v>0</v>
          </cell>
        </row>
        <row r="11323">
          <cell r="P11323">
            <v>0</v>
          </cell>
        </row>
        <row r="11324">
          <cell r="P11324">
            <v>0</v>
          </cell>
        </row>
        <row r="11325">
          <cell r="P11325">
            <v>0</v>
          </cell>
        </row>
        <row r="11326">
          <cell r="P11326">
            <v>0</v>
          </cell>
        </row>
        <row r="11327">
          <cell r="P11327">
            <v>0</v>
          </cell>
        </row>
        <row r="11328">
          <cell r="P11328">
            <v>0</v>
          </cell>
        </row>
        <row r="11329">
          <cell r="P11329">
            <v>0</v>
          </cell>
        </row>
        <row r="11330">
          <cell r="P11330">
            <v>0</v>
          </cell>
        </row>
        <row r="11331">
          <cell r="P11331">
            <v>0</v>
          </cell>
        </row>
        <row r="11332">
          <cell r="P11332">
            <v>0</v>
          </cell>
        </row>
        <row r="11333">
          <cell r="P11333">
            <v>0</v>
          </cell>
        </row>
        <row r="11334">
          <cell r="P11334">
            <v>0</v>
          </cell>
        </row>
        <row r="11335">
          <cell r="P11335">
            <v>0</v>
          </cell>
        </row>
        <row r="11336">
          <cell r="P11336">
            <v>0</v>
          </cell>
        </row>
        <row r="11337">
          <cell r="P11337">
            <v>0</v>
          </cell>
        </row>
        <row r="11338">
          <cell r="P11338">
            <v>0</v>
          </cell>
        </row>
        <row r="11339">
          <cell r="P11339">
            <v>0</v>
          </cell>
        </row>
        <row r="11340">
          <cell r="P11340">
            <v>0</v>
          </cell>
        </row>
        <row r="11341">
          <cell r="P11341">
            <v>0</v>
          </cell>
        </row>
        <row r="11342">
          <cell r="P11342">
            <v>0</v>
          </cell>
        </row>
        <row r="11343">
          <cell r="P11343">
            <v>0</v>
          </cell>
        </row>
        <row r="11344">
          <cell r="P11344">
            <v>0</v>
          </cell>
        </row>
        <row r="11345">
          <cell r="P11345">
            <v>0</v>
          </cell>
        </row>
        <row r="11346">
          <cell r="P11346">
            <v>0</v>
          </cell>
        </row>
        <row r="11347">
          <cell r="P11347">
            <v>0</v>
          </cell>
        </row>
        <row r="11348">
          <cell r="P11348">
            <v>0</v>
          </cell>
        </row>
        <row r="11349">
          <cell r="P11349">
            <v>0</v>
          </cell>
        </row>
        <row r="11350">
          <cell r="P11350">
            <v>0</v>
          </cell>
        </row>
        <row r="11351">
          <cell r="P11351">
            <v>0</v>
          </cell>
        </row>
        <row r="11352">
          <cell r="P11352">
            <v>0</v>
          </cell>
        </row>
        <row r="11353">
          <cell r="P11353">
            <v>0</v>
          </cell>
        </row>
        <row r="11354">
          <cell r="P11354">
            <v>0</v>
          </cell>
        </row>
        <row r="11355">
          <cell r="P11355">
            <v>0</v>
          </cell>
        </row>
        <row r="11356">
          <cell r="P11356">
            <v>0</v>
          </cell>
        </row>
        <row r="11357">
          <cell r="P11357">
            <v>0</v>
          </cell>
        </row>
        <row r="11358">
          <cell r="P11358">
            <v>0</v>
          </cell>
        </row>
        <row r="11359">
          <cell r="P11359">
            <v>0</v>
          </cell>
        </row>
        <row r="11360">
          <cell r="P11360">
            <v>0</v>
          </cell>
        </row>
        <row r="11361">
          <cell r="P11361">
            <v>0</v>
          </cell>
        </row>
        <row r="11362">
          <cell r="P11362">
            <v>0</v>
          </cell>
        </row>
        <row r="11363">
          <cell r="P11363">
            <v>0</v>
          </cell>
        </row>
        <row r="11364">
          <cell r="P11364">
            <v>0</v>
          </cell>
        </row>
        <row r="11365">
          <cell r="P11365">
            <v>0</v>
          </cell>
        </row>
        <row r="11366">
          <cell r="P11366">
            <v>0</v>
          </cell>
        </row>
        <row r="11367">
          <cell r="P11367">
            <v>0</v>
          </cell>
        </row>
        <row r="11368">
          <cell r="P11368">
            <v>0</v>
          </cell>
        </row>
        <row r="11369">
          <cell r="P11369">
            <v>0</v>
          </cell>
        </row>
        <row r="11370">
          <cell r="P11370">
            <v>0</v>
          </cell>
        </row>
        <row r="11371">
          <cell r="P11371">
            <v>0</v>
          </cell>
        </row>
        <row r="11372">
          <cell r="P11372">
            <v>0</v>
          </cell>
        </row>
        <row r="11373">
          <cell r="P11373">
            <v>0</v>
          </cell>
        </row>
        <row r="11374">
          <cell r="P11374">
            <v>0</v>
          </cell>
        </row>
        <row r="11375">
          <cell r="P11375">
            <v>0</v>
          </cell>
        </row>
        <row r="11376">
          <cell r="P11376">
            <v>0</v>
          </cell>
        </row>
        <row r="11377">
          <cell r="P11377">
            <v>0</v>
          </cell>
        </row>
        <row r="11378">
          <cell r="P11378">
            <v>0</v>
          </cell>
        </row>
        <row r="11379">
          <cell r="P11379">
            <v>0</v>
          </cell>
        </row>
        <row r="11380">
          <cell r="P11380">
            <v>0</v>
          </cell>
        </row>
        <row r="11381">
          <cell r="P11381">
            <v>0</v>
          </cell>
        </row>
        <row r="11382">
          <cell r="P11382">
            <v>0</v>
          </cell>
        </row>
        <row r="11383">
          <cell r="P11383">
            <v>0</v>
          </cell>
        </row>
        <row r="11384">
          <cell r="P11384">
            <v>0</v>
          </cell>
        </row>
        <row r="11385">
          <cell r="P11385">
            <v>0</v>
          </cell>
        </row>
        <row r="11386">
          <cell r="P11386">
            <v>0</v>
          </cell>
        </row>
        <row r="11387">
          <cell r="P11387">
            <v>0</v>
          </cell>
        </row>
        <row r="11388">
          <cell r="P11388">
            <v>0</v>
          </cell>
        </row>
        <row r="11389">
          <cell r="P11389">
            <v>0</v>
          </cell>
        </row>
        <row r="11390">
          <cell r="P11390">
            <v>0</v>
          </cell>
        </row>
        <row r="11391">
          <cell r="P11391">
            <v>0</v>
          </cell>
        </row>
        <row r="11392">
          <cell r="P11392">
            <v>0</v>
          </cell>
        </row>
        <row r="11393">
          <cell r="P11393">
            <v>0</v>
          </cell>
        </row>
        <row r="11394">
          <cell r="P11394">
            <v>0</v>
          </cell>
        </row>
        <row r="11395">
          <cell r="P11395">
            <v>0</v>
          </cell>
        </row>
        <row r="11396">
          <cell r="P11396">
            <v>0</v>
          </cell>
        </row>
        <row r="11397">
          <cell r="P11397">
            <v>0</v>
          </cell>
        </row>
        <row r="11398">
          <cell r="P11398">
            <v>0</v>
          </cell>
        </row>
        <row r="11399">
          <cell r="P11399">
            <v>0</v>
          </cell>
        </row>
        <row r="11400">
          <cell r="P11400">
            <v>0</v>
          </cell>
        </row>
        <row r="11401">
          <cell r="P11401">
            <v>0</v>
          </cell>
        </row>
        <row r="11402">
          <cell r="P11402">
            <v>0</v>
          </cell>
        </row>
        <row r="11403">
          <cell r="P11403">
            <v>0</v>
          </cell>
        </row>
        <row r="11404">
          <cell r="P11404">
            <v>0</v>
          </cell>
        </row>
        <row r="11405">
          <cell r="P11405">
            <v>0</v>
          </cell>
        </row>
        <row r="11406">
          <cell r="P11406">
            <v>0</v>
          </cell>
        </row>
        <row r="11407">
          <cell r="P11407">
            <v>0</v>
          </cell>
        </row>
        <row r="11408">
          <cell r="P11408">
            <v>0</v>
          </cell>
        </row>
        <row r="11409">
          <cell r="P11409">
            <v>0</v>
          </cell>
        </row>
        <row r="11410">
          <cell r="P11410">
            <v>0</v>
          </cell>
        </row>
        <row r="11411">
          <cell r="P11411">
            <v>0</v>
          </cell>
        </row>
        <row r="11412">
          <cell r="P11412">
            <v>0</v>
          </cell>
        </row>
        <row r="11413">
          <cell r="P11413">
            <v>0</v>
          </cell>
        </row>
        <row r="11414">
          <cell r="P11414">
            <v>0</v>
          </cell>
        </row>
        <row r="11415">
          <cell r="P11415">
            <v>0</v>
          </cell>
        </row>
        <row r="11416">
          <cell r="P11416">
            <v>0</v>
          </cell>
        </row>
        <row r="11417">
          <cell r="P11417">
            <v>0</v>
          </cell>
        </row>
        <row r="11418">
          <cell r="P11418">
            <v>0</v>
          </cell>
        </row>
        <row r="11419">
          <cell r="P11419">
            <v>0</v>
          </cell>
        </row>
        <row r="11420">
          <cell r="P11420">
            <v>0</v>
          </cell>
        </row>
        <row r="11421">
          <cell r="P11421">
            <v>0</v>
          </cell>
        </row>
        <row r="11422">
          <cell r="P11422">
            <v>0</v>
          </cell>
        </row>
        <row r="11423">
          <cell r="P11423">
            <v>0</v>
          </cell>
        </row>
        <row r="11424">
          <cell r="P11424">
            <v>0</v>
          </cell>
        </row>
        <row r="11425">
          <cell r="P11425">
            <v>0</v>
          </cell>
        </row>
        <row r="11426">
          <cell r="P11426">
            <v>0</v>
          </cell>
        </row>
        <row r="11427">
          <cell r="P11427">
            <v>0</v>
          </cell>
        </row>
        <row r="11428">
          <cell r="P11428">
            <v>0</v>
          </cell>
        </row>
        <row r="11429">
          <cell r="P11429">
            <v>0</v>
          </cell>
        </row>
        <row r="11430">
          <cell r="P11430">
            <v>0</v>
          </cell>
        </row>
        <row r="11431">
          <cell r="P11431">
            <v>0</v>
          </cell>
        </row>
        <row r="11432">
          <cell r="P11432">
            <v>0</v>
          </cell>
        </row>
        <row r="11433">
          <cell r="P11433">
            <v>0</v>
          </cell>
        </row>
        <row r="11434">
          <cell r="P11434">
            <v>0</v>
          </cell>
        </row>
        <row r="11435">
          <cell r="P11435">
            <v>0</v>
          </cell>
        </row>
        <row r="11436">
          <cell r="P11436">
            <v>0</v>
          </cell>
        </row>
        <row r="11437">
          <cell r="P11437">
            <v>0</v>
          </cell>
        </row>
        <row r="11438">
          <cell r="P11438">
            <v>0</v>
          </cell>
        </row>
        <row r="11439">
          <cell r="P11439">
            <v>0</v>
          </cell>
        </row>
        <row r="11440">
          <cell r="P11440">
            <v>0</v>
          </cell>
        </row>
        <row r="11441">
          <cell r="P11441">
            <v>0</v>
          </cell>
        </row>
        <row r="11442">
          <cell r="P11442">
            <v>0</v>
          </cell>
        </row>
        <row r="11443">
          <cell r="P11443">
            <v>0</v>
          </cell>
        </row>
        <row r="11444">
          <cell r="P11444">
            <v>0</v>
          </cell>
        </row>
        <row r="11445">
          <cell r="P11445">
            <v>0</v>
          </cell>
        </row>
        <row r="11446">
          <cell r="P11446">
            <v>0</v>
          </cell>
        </row>
        <row r="11447">
          <cell r="P11447">
            <v>0</v>
          </cell>
        </row>
        <row r="11448">
          <cell r="P11448">
            <v>0</v>
          </cell>
        </row>
        <row r="11449">
          <cell r="P11449">
            <v>0</v>
          </cell>
        </row>
        <row r="11450">
          <cell r="P11450">
            <v>0</v>
          </cell>
        </row>
        <row r="11451">
          <cell r="P11451">
            <v>0</v>
          </cell>
        </row>
        <row r="11452">
          <cell r="P11452">
            <v>0</v>
          </cell>
        </row>
        <row r="11453">
          <cell r="P11453">
            <v>0</v>
          </cell>
        </row>
        <row r="11454">
          <cell r="P11454">
            <v>0</v>
          </cell>
        </row>
        <row r="11455">
          <cell r="P11455">
            <v>0</v>
          </cell>
        </row>
        <row r="11456">
          <cell r="P11456">
            <v>0</v>
          </cell>
        </row>
        <row r="11457">
          <cell r="P11457">
            <v>0</v>
          </cell>
        </row>
        <row r="11458">
          <cell r="P11458">
            <v>0</v>
          </cell>
        </row>
        <row r="11459">
          <cell r="P11459">
            <v>0</v>
          </cell>
        </row>
        <row r="11460">
          <cell r="P11460">
            <v>0</v>
          </cell>
        </row>
        <row r="11461">
          <cell r="P11461">
            <v>0</v>
          </cell>
        </row>
        <row r="11462">
          <cell r="P11462">
            <v>0</v>
          </cell>
        </row>
        <row r="11463">
          <cell r="P11463">
            <v>0</v>
          </cell>
        </row>
        <row r="11464">
          <cell r="P11464">
            <v>0</v>
          </cell>
        </row>
        <row r="11465">
          <cell r="P11465">
            <v>0</v>
          </cell>
        </row>
        <row r="11466">
          <cell r="P11466">
            <v>0</v>
          </cell>
        </row>
        <row r="11467">
          <cell r="P11467">
            <v>0</v>
          </cell>
        </row>
        <row r="11468">
          <cell r="P11468">
            <v>0</v>
          </cell>
        </row>
        <row r="11469">
          <cell r="P11469">
            <v>0</v>
          </cell>
        </row>
        <row r="11470">
          <cell r="P11470">
            <v>0</v>
          </cell>
        </row>
        <row r="11471">
          <cell r="P11471">
            <v>0</v>
          </cell>
        </row>
        <row r="11472">
          <cell r="P11472">
            <v>0</v>
          </cell>
        </row>
        <row r="11473">
          <cell r="P11473">
            <v>0</v>
          </cell>
        </row>
        <row r="11474">
          <cell r="P11474">
            <v>0</v>
          </cell>
        </row>
        <row r="11475">
          <cell r="P11475">
            <v>0</v>
          </cell>
        </row>
        <row r="11476">
          <cell r="P11476">
            <v>0</v>
          </cell>
        </row>
        <row r="11477">
          <cell r="P11477">
            <v>0</v>
          </cell>
        </row>
        <row r="11478">
          <cell r="P11478">
            <v>0</v>
          </cell>
        </row>
        <row r="11479">
          <cell r="P11479">
            <v>0</v>
          </cell>
        </row>
        <row r="11480">
          <cell r="P11480">
            <v>0</v>
          </cell>
        </row>
        <row r="11481">
          <cell r="P11481">
            <v>0</v>
          </cell>
        </row>
        <row r="11482">
          <cell r="P11482">
            <v>0</v>
          </cell>
        </row>
        <row r="11483">
          <cell r="P11483">
            <v>0</v>
          </cell>
        </row>
        <row r="11484">
          <cell r="P11484">
            <v>0</v>
          </cell>
        </row>
        <row r="11485">
          <cell r="P11485">
            <v>0</v>
          </cell>
        </row>
        <row r="11486">
          <cell r="P11486">
            <v>0</v>
          </cell>
        </row>
        <row r="11487">
          <cell r="P11487">
            <v>0</v>
          </cell>
        </row>
        <row r="11488">
          <cell r="P11488">
            <v>0</v>
          </cell>
        </row>
        <row r="11489">
          <cell r="P11489">
            <v>0</v>
          </cell>
        </row>
        <row r="11490">
          <cell r="P11490">
            <v>0</v>
          </cell>
        </row>
        <row r="11491">
          <cell r="P11491">
            <v>0</v>
          </cell>
        </row>
        <row r="11492">
          <cell r="P11492">
            <v>0</v>
          </cell>
        </row>
        <row r="11493">
          <cell r="P11493">
            <v>0</v>
          </cell>
        </row>
        <row r="11494">
          <cell r="P11494">
            <v>0</v>
          </cell>
        </row>
        <row r="11495">
          <cell r="P11495">
            <v>0</v>
          </cell>
        </row>
        <row r="11496">
          <cell r="P11496">
            <v>0</v>
          </cell>
        </row>
        <row r="11497">
          <cell r="P11497">
            <v>0</v>
          </cell>
        </row>
        <row r="11498">
          <cell r="P11498">
            <v>0</v>
          </cell>
        </row>
        <row r="11499">
          <cell r="P11499">
            <v>0</v>
          </cell>
        </row>
        <row r="11500">
          <cell r="P11500">
            <v>0</v>
          </cell>
        </row>
        <row r="11501">
          <cell r="P11501">
            <v>0</v>
          </cell>
        </row>
        <row r="11502">
          <cell r="P11502">
            <v>0</v>
          </cell>
        </row>
        <row r="11503">
          <cell r="P11503">
            <v>0</v>
          </cell>
        </row>
        <row r="11504">
          <cell r="P11504">
            <v>0</v>
          </cell>
        </row>
        <row r="11505">
          <cell r="P11505">
            <v>0</v>
          </cell>
        </row>
        <row r="11506">
          <cell r="P11506">
            <v>0</v>
          </cell>
        </row>
        <row r="11507">
          <cell r="P11507">
            <v>0</v>
          </cell>
        </row>
        <row r="11508">
          <cell r="P11508">
            <v>0</v>
          </cell>
        </row>
        <row r="11509">
          <cell r="P11509">
            <v>0</v>
          </cell>
        </row>
        <row r="11510">
          <cell r="P11510">
            <v>0</v>
          </cell>
        </row>
        <row r="11511">
          <cell r="P11511">
            <v>0</v>
          </cell>
        </row>
        <row r="11512">
          <cell r="P11512">
            <v>0</v>
          </cell>
        </row>
        <row r="11513">
          <cell r="P11513">
            <v>0</v>
          </cell>
        </row>
        <row r="11514">
          <cell r="P11514">
            <v>0</v>
          </cell>
        </row>
        <row r="11515">
          <cell r="P11515">
            <v>0</v>
          </cell>
        </row>
        <row r="11516">
          <cell r="P11516">
            <v>0</v>
          </cell>
        </row>
        <row r="11517">
          <cell r="P11517">
            <v>0</v>
          </cell>
        </row>
        <row r="11518">
          <cell r="P11518">
            <v>0</v>
          </cell>
        </row>
        <row r="11519">
          <cell r="P11519">
            <v>0</v>
          </cell>
        </row>
        <row r="11520">
          <cell r="P11520">
            <v>0</v>
          </cell>
        </row>
        <row r="11521">
          <cell r="P11521">
            <v>0</v>
          </cell>
        </row>
        <row r="11522">
          <cell r="P11522">
            <v>0</v>
          </cell>
        </row>
        <row r="11523">
          <cell r="P11523">
            <v>0</v>
          </cell>
        </row>
        <row r="11524">
          <cell r="P11524">
            <v>0</v>
          </cell>
        </row>
        <row r="11525">
          <cell r="P11525">
            <v>0</v>
          </cell>
        </row>
        <row r="11526">
          <cell r="P11526">
            <v>0</v>
          </cell>
        </row>
        <row r="11527">
          <cell r="P11527">
            <v>0</v>
          </cell>
        </row>
        <row r="11528">
          <cell r="P11528">
            <v>0</v>
          </cell>
        </row>
        <row r="11529">
          <cell r="P11529">
            <v>0</v>
          </cell>
        </row>
        <row r="11530">
          <cell r="P11530">
            <v>0</v>
          </cell>
        </row>
        <row r="11531">
          <cell r="P11531">
            <v>0</v>
          </cell>
        </row>
        <row r="11532">
          <cell r="P11532">
            <v>0</v>
          </cell>
        </row>
        <row r="11533">
          <cell r="P11533">
            <v>0</v>
          </cell>
        </row>
        <row r="11534">
          <cell r="P11534">
            <v>0</v>
          </cell>
        </row>
        <row r="11535">
          <cell r="P11535">
            <v>0</v>
          </cell>
        </row>
        <row r="11536">
          <cell r="P11536">
            <v>0</v>
          </cell>
        </row>
        <row r="11537">
          <cell r="P11537">
            <v>0</v>
          </cell>
        </row>
        <row r="11538">
          <cell r="P11538">
            <v>0</v>
          </cell>
        </row>
        <row r="11539">
          <cell r="P11539">
            <v>0</v>
          </cell>
        </row>
        <row r="11540">
          <cell r="P11540">
            <v>0</v>
          </cell>
        </row>
        <row r="11541">
          <cell r="P11541">
            <v>0</v>
          </cell>
        </row>
        <row r="11542">
          <cell r="P11542">
            <v>0</v>
          </cell>
        </row>
        <row r="11543">
          <cell r="P11543">
            <v>0</v>
          </cell>
        </row>
        <row r="11544">
          <cell r="P11544">
            <v>0</v>
          </cell>
        </row>
        <row r="11545">
          <cell r="P11545">
            <v>0</v>
          </cell>
        </row>
        <row r="11546">
          <cell r="P11546">
            <v>0</v>
          </cell>
        </row>
        <row r="11547">
          <cell r="P11547">
            <v>0</v>
          </cell>
        </row>
        <row r="11548">
          <cell r="P11548">
            <v>0</v>
          </cell>
        </row>
        <row r="11549">
          <cell r="P11549">
            <v>0</v>
          </cell>
        </row>
        <row r="11550">
          <cell r="P11550">
            <v>0</v>
          </cell>
        </row>
        <row r="11551">
          <cell r="P11551">
            <v>0</v>
          </cell>
        </row>
        <row r="11552">
          <cell r="P11552">
            <v>0</v>
          </cell>
        </row>
        <row r="11553">
          <cell r="P11553">
            <v>0</v>
          </cell>
        </row>
        <row r="11554">
          <cell r="P11554">
            <v>0</v>
          </cell>
        </row>
        <row r="11555">
          <cell r="P11555">
            <v>0</v>
          </cell>
        </row>
        <row r="11556">
          <cell r="P11556">
            <v>0</v>
          </cell>
        </row>
        <row r="11557">
          <cell r="P11557">
            <v>0</v>
          </cell>
        </row>
        <row r="11558">
          <cell r="P11558">
            <v>0</v>
          </cell>
        </row>
        <row r="11559">
          <cell r="P11559">
            <v>0</v>
          </cell>
        </row>
        <row r="11560">
          <cell r="P11560">
            <v>0</v>
          </cell>
        </row>
        <row r="11561">
          <cell r="P11561">
            <v>0</v>
          </cell>
        </row>
        <row r="11562">
          <cell r="P11562">
            <v>0</v>
          </cell>
        </row>
        <row r="11563">
          <cell r="P11563">
            <v>0</v>
          </cell>
        </row>
        <row r="11564">
          <cell r="P11564">
            <v>0</v>
          </cell>
        </row>
        <row r="11565">
          <cell r="P11565">
            <v>0</v>
          </cell>
        </row>
        <row r="11566">
          <cell r="P11566">
            <v>0</v>
          </cell>
        </row>
        <row r="11567">
          <cell r="P11567">
            <v>0</v>
          </cell>
        </row>
        <row r="11568">
          <cell r="P11568">
            <v>0</v>
          </cell>
        </row>
        <row r="11569">
          <cell r="P11569">
            <v>0</v>
          </cell>
        </row>
        <row r="11570">
          <cell r="P11570">
            <v>0</v>
          </cell>
        </row>
        <row r="11571">
          <cell r="P11571">
            <v>0</v>
          </cell>
        </row>
        <row r="11572">
          <cell r="P11572">
            <v>0</v>
          </cell>
        </row>
        <row r="11573">
          <cell r="P11573">
            <v>0</v>
          </cell>
        </row>
        <row r="11574">
          <cell r="P11574">
            <v>0</v>
          </cell>
        </row>
        <row r="11575">
          <cell r="P11575">
            <v>0</v>
          </cell>
        </row>
        <row r="11576">
          <cell r="P11576">
            <v>0</v>
          </cell>
        </row>
        <row r="11577">
          <cell r="P11577">
            <v>0</v>
          </cell>
        </row>
        <row r="11578">
          <cell r="P11578">
            <v>0</v>
          </cell>
        </row>
        <row r="11579">
          <cell r="P11579">
            <v>0</v>
          </cell>
        </row>
        <row r="11580">
          <cell r="P11580">
            <v>0</v>
          </cell>
        </row>
        <row r="11581">
          <cell r="P11581">
            <v>0</v>
          </cell>
        </row>
        <row r="11582">
          <cell r="P11582">
            <v>0</v>
          </cell>
        </row>
        <row r="11583">
          <cell r="P11583">
            <v>0</v>
          </cell>
        </row>
        <row r="11584">
          <cell r="P11584">
            <v>0</v>
          </cell>
        </row>
        <row r="11585">
          <cell r="P11585">
            <v>0</v>
          </cell>
        </row>
        <row r="11586">
          <cell r="P11586">
            <v>0</v>
          </cell>
        </row>
        <row r="11587">
          <cell r="P11587">
            <v>0</v>
          </cell>
        </row>
        <row r="11588">
          <cell r="P11588">
            <v>0</v>
          </cell>
        </row>
        <row r="11589">
          <cell r="P11589">
            <v>0</v>
          </cell>
        </row>
        <row r="11590">
          <cell r="P11590">
            <v>0</v>
          </cell>
        </row>
        <row r="11591">
          <cell r="P11591">
            <v>0</v>
          </cell>
        </row>
        <row r="11592">
          <cell r="P11592">
            <v>0</v>
          </cell>
        </row>
        <row r="11593">
          <cell r="P11593">
            <v>0</v>
          </cell>
        </row>
        <row r="11594">
          <cell r="P11594">
            <v>0</v>
          </cell>
        </row>
        <row r="11595">
          <cell r="P11595">
            <v>0</v>
          </cell>
        </row>
        <row r="11596">
          <cell r="P11596">
            <v>0</v>
          </cell>
        </row>
        <row r="11597">
          <cell r="P11597">
            <v>0</v>
          </cell>
        </row>
        <row r="11598">
          <cell r="P11598">
            <v>0</v>
          </cell>
        </row>
        <row r="11599">
          <cell r="P11599">
            <v>0</v>
          </cell>
        </row>
        <row r="11600">
          <cell r="P11600">
            <v>0</v>
          </cell>
        </row>
        <row r="11601">
          <cell r="P11601">
            <v>0</v>
          </cell>
        </row>
        <row r="11602">
          <cell r="P11602">
            <v>0</v>
          </cell>
        </row>
        <row r="11603">
          <cell r="P11603">
            <v>0</v>
          </cell>
        </row>
        <row r="11604">
          <cell r="P11604">
            <v>0</v>
          </cell>
        </row>
        <row r="11605">
          <cell r="P11605">
            <v>0</v>
          </cell>
        </row>
        <row r="11606">
          <cell r="P11606">
            <v>0</v>
          </cell>
        </row>
        <row r="11607">
          <cell r="P11607">
            <v>0</v>
          </cell>
        </row>
        <row r="11608">
          <cell r="P11608">
            <v>0</v>
          </cell>
        </row>
        <row r="11609">
          <cell r="P11609">
            <v>0</v>
          </cell>
        </row>
        <row r="11610">
          <cell r="P11610">
            <v>0</v>
          </cell>
        </row>
        <row r="11611">
          <cell r="P11611">
            <v>0</v>
          </cell>
        </row>
        <row r="11612">
          <cell r="P11612">
            <v>0</v>
          </cell>
        </row>
        <row r="11613">
          <cell r="P11613">
            <v>0</v>
          </cell>
        </row>
        <row r="11614">
          <cell r="P11614">
            <v>0</v>
          </cell>
        </row>
        <row r="11615">
          <cell r="P11615">
            <v>0</v>
          </cell>
        </row>
        <row r="11616">
          <cell r="P11616">
            <v>0</v>
          </cell>
        </row>
        <row r="11617">
          <cell r="P11617">
            <v>0</v>
          </cell>
        </row>
        <row r="11618">
          <cell r="P11618">
            <v>0</v>
          </cell>
        </row>
        <row r="11619">
          <cell r="P11619">
            <v>0</v>
          </cell>
        </row>
        <row r="11620">
          <cell r="P11620">
            <v>0</v>
          </cell>
        </row>
        <row r="11621">
          <cell r="P11621">
            <v>0</v>
          </cell>
        </row>
        <row r="11622">
          <cell r="P11622">
            <v>0</v>
          </cell>
        </row>
        <row r="11623">
          <cell r="P11623">
            <v>0</v>
          </cell>
        </row>
        <row r="11624">
          <cell r="P11624">
            <v>0</v>
          </cell>
        </row>
        <row r="11625">
          <cell r="P11625">
            <v>0</v>
          </cell>
        </row>
        <row r="11626">
          <cell r="P11626">
            <v>0</v>
          </cell>
        </row>
        <row r="11627">
          <cell r="P11627">
            <v>0</v>
          </cell>
        </row>
        <row r="11628">
          <cell r="P11628">
            <v>0</v>
          </cell>
        </row>
        <row r="11629">
          <cell r="P11629">
            <v>0</v>
          </cell>
        </row>
        <row r="11630">
          <cell r="P11630">
            <v>0</v>
          </cell>
        </row>
        <row r="11631">
          <cell r="P11631">
            <v>0</v>
          </cell>
        </row>
        <row r="11632">
          <cell r="P11632">
            <v>0</v>
          </cell>
        </row>
        <row r="11633">
          <cell r="P11633">
            <v>0</v>
          </cell>
        </row>
        <row r="11634">
          <cell r="P11634">
            <v>0</v>
          </cell>
        </row>
        <row r="11635">
          <cell r="P11635">
            <v>0</v>
          </cell>
        </row>
        <row r="11636">
          <cell r="P11636">
            <v>0</v>
          </cell>
        </row>
        <row r="11637">
          <cell r="P11637">
            <v>0</v>
          </cell>
        </row>
        <row r="11638">
          <cell r="P11638">
            <v>0</v>
          </cell>
        </row>
        <row r="11639">
          <cell r="P11639">
            <v>0</v>
          </cell>
        </row>
        <row r="11640">
          <cell r="P11640">
            <v>0</v>
          </cell>
        </row>
        <row r="11641">
          <cell r="P11641">
            <v>0</v>
          </cell>
        </row>
        <row r="11642">
          <cell r="P11642">
            <v>0</v>
          </cell>
        </row>
        <row r="11643">
          <cell r="P11643">
            <v>0</v>
          </cell>
        </row>
        <row r="11644">
          <cell r="P11644">
            <v>0</v>
          </cell>
        </row>
        <row r="11645">
          <cell r="P11645">
            <v>0</v>
          </cell>
        </row>
        <row r="11646">
          <cell r="P11646">
            <v>0</v>
          </cell>
        </row>
        <row r="11647">
          <cell r="P11647">
            <v>0</v>
          </cell>
        </row>
        <row r="11648">
          <cell r="P11648">
            <v>0</v>
          </cell>
        </row>
        <row r="11649">
          <cell r="P11649">
            <v>0</v>
          </cell>
        </row>
        <row r="11650">
          <cell r="P11650">
            <v>0</v>
          </cell>
        </row>
        <row r="11651">
          <cell r="P11651">
            <v>0</v>
          </cell>
        </row>
        <row r="11652">
          <cell r="P11652">
            <v>0</v>
          </cell>
        </row>
        <row r="11653">
          <cell r="P11653">
            <v>0</v>
          </cell>
        </row>
        <row r="11654">
          <cell r="P11654">
            <v>0</v>
          </cell>
        </row>
        <row r="11655">
          <cell r="P11655">
            <v>0</v>
          </cell>
        </row>
        <row r="11656">
          <cell r="P11656">
            <v>0</v>
          </cell>
        </row>
        <row r="11657">
          <cell r="P11657">
            <v>0</v>
          </cell>
        </row>
        <row r="11658">
          <cell r="P11658">
            <v>0</v>
          </cell>
        </row>
        <row r="11659">
          <cell r="P11659">
            <v>0</v>
          </cell>
        </row>
        <row r="11660">
          <cell r="P11660">
            <v>0</v>
          </cell>
        </row>
        <row r="11661">
          <cell r="P11661">
            <v>0</v>
          </cell>
        </row>
        <row r="11662">
          <cell r="P11662">
            <v>0</v>
          </cell>
        </row>
        <row r="11663">
          <cell r="P11663">
            <v>0</v>
          </cell>
        </row>
        <row r="11664">
          <cell r="P11664">
            <v>0</v>
          </cell>
        </row>
        <row r="11665">
          <cell r="P11665">
            <v>0</v>
          </cell>
        </row>
        <row r="11666">
          <cell r="P11666">
            <v>0</v>
          </cell>
        </row>
        <row r="11667">
          <cell r="P11667">
            <v>0</v>
          </cell>
        </row>
        <row r="11668">
          <cell r="P11668">
            <v>0</v>
          </cell>
        </row>
        <row r="11669">
          <cell r="P11669">
            <v>0</v>
          </cell>
        </row>
        <row r="11670">
          <cell r="P11670">
            <v>0</v>
          </cell>
        </row>
        <row r="11671">
          <cell r="P11671">
            <v>0</v>
          </cell>
        </row>
        <row r="11672">
          <cell r="P11672">
            <v>0</v>
          </cell>
        </row>
        <row r="11673">
          <cell r="P11673">
            <v>0</v>
          </cell>
        </row>
        <row r="11674">
          <cell r="P11674">
            <v>0</v>
          </cell>
        </row>
        <row r="11675">
          <cell r="P11675">
            <v>0</v>
          </cell>
        </row>
        <row r="11676">
          <cell r="P11676">
            <v>0</v>
          </cell>
        </row>
        <row r="11677">
          <cell r="P11677">
            <v>0</v>
          </cell>
        </row>
        <row r="11678">
          <cell r="P11678">
            <v>0</v>
          </cell>
        </row>
        <row r="11679">
          <cell r="P11679">
            <v>0</v>
          </cell>
        </row>
        <row r="11680">
          <cell r="P11680">
            <v>0</v>
          </cell>
        </row>
        <row r="11681">
          <cell r="P11681">
            <v>0</v>
          </cell>
        </row>
        <row r="11682">
          <cell r="P11682">
            <v>0</v>
          </cell>
        </row>
        <row r="11683">
          <cell r="P11683">
            <v>0</v>
          </cell>
        </row>
        <row r="11684">
          <cell r="P11684">
            <v>0</v>
          </cell>
        </row>
        <row r="11685">
          <cell r="P11685">
            <v>0</v>
          </cell>
        </row>
        <row r="11686">
          <cell r="P11686">
            <v>0</v>
          </cell>
        </row>
        <row r="11687">
          <cell r="P11687">
            <v>0</v>
          </cell>
        </row>
        <row r="11688">
          <cell r="P11688">
            <v>0</v>
          </cell>
        </row>
        <row r="11689">
          <cell r="P11689">
            <v>0</v>
          </cell>
        </row>
        <row r="11690">
          <cell r="P11690">
            <v>0</v>
          </cell>
        </row>
        <row r="11691">
          <cell r="P11691">
            <v>0</v>
          </cell>
        </row>
        <row r="11692">
          <cell r="P11692">
            <v>0</v>
          </cell>
        </row>
        <row r="11693">
          <cell r="P11693">
            <v>0</v>
          </cell>
        </row>
        <row r="11694">
          <cell r="P11694">
            <v>0</v>
          </cell>
        </row>
        <row r="11695">
          <cell r="P11695">
            <v>0</v>
          </cell>
        </row>
        <row r="11696">
          <cell r="P11696">
            <v>0</v>
          </cell>
        </row>
        <row r="11697">
          <cell r="P11697">
            <v>0</v>
          </cell>
        </row>
        <row r="11698">
          <cell r="P11698">
            <v>0</v>
          </cell>
        </row>
        <row r="11699">
          <cell r="P11699">
            <v>0</v>
          </cell>
        </row>
        <row r="11700">
          <cell r="P11700">
            <v>0</v>
          </cell>
        </row>
        <row r="11701">
          <cell r="P11701">
            <v>0</v>
          </cell>
        </row>
        <row r="11702">
          <cell r="P11702">
            <v>0</v>
          </cell>
        </row>
        <row r="11703">
          <cell r="P11703">
            <v>0</v>
          </cell>
        </row>
        <row r="11704">
          <cell r="P11704">
            <v>0</v>
          </cell>
        </row>
        <row r="11705">
          <cell r="P11705">
            <v>0</v>
          </cell>
        </row>
        <row r="11706">
          <cell r="P11706">
            <v>0</v>
          </cell>
        </row>
        <row r="11707">
          <cell r="P11707">
            <v>0</v>
          </cell>
        </row>
        <row r="11708">
          <cell r="P11708">
            <v>0</v>
          </cell>
        </row>
        <row r="11709">
          <cell r="P11709">
            <v>0</v>
          </cell>
        </row>
        <row r="11710">
          <cell r="P11710">
            <v>0</v>
          </cell>
        </row>
        <row r="11711">
          <cell r="P11711">
            <v>0</v>
          </cell>
        </row>
        <row r="11712">
          <cell r="P11712">
            <v>0</v>
          </cell>
        </row>
        <row r="11713">
          <cell r="P11713">
            <v>0</v>
          </cell>
        </row>
        <row r="11714">
          <cell r="P11714">
            <v>0</v>
          </cell>
        </row>
        <row r="11715">
          <cell r="P11715">
            <v>0</v>
          </cell>
        </row>
        <row r="11716">
          <cell r="P11716">
            <v>0</v>
          </cell>
        </row>
        <row r="11717">
          <cell r="P11717">
            <v>0</v>
          </cell>
        </row>
        <row r="11718">
          <cell r="P11718">
            <v>0</v>
          </cell>
        </row>
        <row r="11719">
          <cell r="P11719">
            <v>0</v>
          </cell>
        </row>
        <row r="11720">
          <cell r="P11720">
            <v>0</v>
          </cell>
        </row>
        <row r="11721">
          <cell r="P11721">
            <v>0</v>
          </cell>
        </row>
        <row r="11722">
          <cell r="P11722">
            <v>0</v>
          </cell>
        </row>
        <row r="11723">
          <cell r="P11723">
            <v>0</v>
          </cell>
        </row>
        <row r="11724">
          <cell r="P11724">
            <v>0</v>
          </cell>
        </row>
        <row r="11725">
          <cell r="P11725">
            <v>0</v>
          </cell>
        </row>
        <row r="11726">
          <cell r="P11726">
            <v>0</v>
          </cell>
        </row>
        <row r="11727">
          <cell r="P11727">
            <v>0</v>
          </cell>
        </row>
        <row r="11728">
          <cell r="P11728">
            <v>0</v>
          </cell>
        </row>
        <row r="11729">
          <cell r="P11729">
            <v>0</v>
          </cell>
        </row>
        <row r="11730">
          <cell r="P11730">
            <v>0</v>
          </cell>
        </row>
        <row r="11731">
          <cell r="P11731">
            <v>0</v>
          </cell>
        </row>
        <row r="11732">
          <cell r="P11732">
            <v>0</v>
          </cell>
        </row>
        <row r="11733">
          <cell r="P11733">
            <v>0</v>
          </cell>
        </row>
        <row r="11734">
          <cell r="P11734">
            <v>0</v>
          </cell>
        </row>
        <row r="11735">
          <cell r="P11735">
            <v>0</v>
          </cell>
        </row>
        <row r="11736">
          <cell r="P11736">
            <v>0</v>
          </cell>
        </row>
        <row r="11737">
          <cell r="P11737">
            <v>0</v>
          </cell>
        </row>
        <row r="11738">
          <cell r="P11738">
            <v>0</v>
          </cell>
        </row>
        <row r="11739">
          <cell r="P11739">
            <v>0</v>
          </cell>
        </row>
        <row r="11740">
          <cell r="P11740">
            <v>0</v>
          </cell>
        </row>
        <row r="11741">
          <cell r="P11741">
            <v>0</v>
          </cell>
        </row>
        <row r="11742">
          <cell r="P11742">
            <v>0</v>
          </cell>
        </row>
        <row r="11743">
          <cell r="P11743">
            <v>0</v>
          </cell>
        </row>
        <row r="11744">
          <cell r="P11744">
            <v>0</v>
          </cell>
        </row>
        <row r="11745">
          <cell r="P11745">
            <v>0</v>
          </cell>
        </row>
        <row r="11746">
          <cell r="P11746">
            <v>0</v>
          </cell>
        </row>
        <row r="11747">
          <cell r="P11747">
            <v>0</v>
          </cell>
        </row>
        <row r="11748">
          <cell r="P11748">
            <v>0</v>
          </cell>
        </row>
        <row r="11749">
          <cell r="P11749">
            <v>0</v>
          </cell>
        </row>
        <row r="11750">
          <cell r="P11750">
            <v>0</v>
          </cell>
        </row>
        <row r="11751">
          <cell r="P11751">
            <v>0</v>
          </cell>
        </row>
        <row r="11752">
          <cell r="P11752">
            <v>0</v>
          </cell>
        </row>
        <row r="11753">
          <cell r="P11753">
            <v>0</v>
          </cell>
        </row>
        <row r="11754">
          <cell r="P11754">
            <v>0</v>
          </cell>
        </row>
        <row r="11755">
          <cell r="P11755">
            <v>0</v>
          </cell>
        </row>
        <row r="11756">
          <cell r="P11756">
            <v>0</v>
          </cell>
        </row>
        <row r="11757">
          <cell r="P11757">
            <v>0</v>
          </cell>
        </row>
        <row r="11758">
          <cell r="P11758">
            <v>0</v>
          </cell>
        </row>
        <row r="11759">
          <cell r="P11759">
            <v>0</v>
          </cell>
        </row>
        <row r="11760">
          <cell r="P11760">
            <v>0</v>
          </cell>
        </row>
        <row r="11761">
          <cell r="P11761">
            <v>0</v>
          </cell>
        </row>
        <row r="11762">
          <cell r="P11762">
            <v>0</v>
          </cell>
        </row>
        <row r="11763">
          <cell r="P11763">
            <v>0</v>
          </cell>
        </row>
        <row r="11764">
          <cell r="P11764">
            <v>0</v>
          </cell>
        </row>
        <row r="11765">
          <cell r="P11765">
            <v>0</v>
          </cell>
        </row>
        <row r="11766">
          <cell r="P11766">
            <v>0</v>
          </cell>
        </row>
        <row r="11767">
          <cell r="P11767">
            <v>0</v>
          </cell>
        </row>
        <row r="11768">
          <cell r="P11768">
            <v>0</v>
          </cell>
        </row>
        <row r="11769">
          <cell r="P11769">
            <v>0</v>
          </cell>
        </row>
        <row r="11770">
          <cell r="P11770">
            <v>0</v>
          </cell>
        </row>
        <row r="11771">
          <cell r="P11771">
            <v>0</v>
          </cell>
        </row>
        <row r="11772">
          <cell r="P11772">
            <v>0</v>
          </cell>
        </row>
        <row r="11773">
          <cell r="P11773">
            <v>0</v>
          </cell>
        </row>
        <row r="11774">
          <cell r="P11774">
            <v>0</v>
          </cell>
        </row>
        <row r="11775">
          <cell r="P11775">
            <v>0</v>
          </cell>
        </row>
        <row r="11776">
          <cell r="P11776">
            <v>0</v>
          </cell>
        </row>
        <row r="11777">
          <cell r="P11777">
            <v>0</v>
          </cell>
        </row>
        <row r="11778">
          <cell r="P11778">
            <v>0</v>
          </cell>
        </row>
        <row r="11779">
          <cell r="P11779">
            <v>0</v>
          </cell>
        </row>
        <row r="11780">
          <cell r="P11780">
            <v>0</v>
          </cell>
        </row>
        <row r="11781">
          <cell r="P11781">
            <v>0</v>
          </cell>
        </row>
        <row r="11782">
          <cell r="P11782">
            <v>0</v>
          </cell>
        </row>
        <row r="11783">
          <cell r="P11783">
            <v>0</v>
          </cell>
        </row>
        <row r="11784">
          <cell r="P11784">
            <v>0</v>
          </cell>
        </row>
        <row r="11785">
          <cell r="P11785">
            <v>0</v>
          </cell>
        </row>
        <row r="11786">
          <cell r="P11786">
            <v>0</v>
          </cell>
        </row>
        <row r="11787">
          <cell r="P11787">
            <v>0</v>
          </cell>
        </row>
        <row r="11788">
          <cell r="P11788">
            <v>0</v>
          </cell>
        </row>
        <row r="11789">
          <cell r="P11789">
            <v>0</v>
          </cell>
        </row>
        <row r="11790">
          <cell r="P11790">
            <v>0</v>
          </cell>
        </row>
        <row r="11791">
          <cell r="P11791">
            <v>0</v>
          </cell>
        </row>
        <row r="11792">
          <cell r="P11792">
            <v>0</v>
          </cell>
        </row>
        <row r="11793">
          <cell r="P11793">
            <v>0</v>
          </cell>
        </row>
        <row r="11794">
          <cell r="P11794">
            <v>0</v>
          </cell>
        </row>
        <row r="11795">
          <cell r="P11795">
            <v>0</v>
          </cell>
        </row>
        <row r="11796">
          <cell r="P11796">
            <v>0</v>
          </cell>
        </row>
        <row r="11797">
          <cell r="P11797">
            <v>0</v>
          </cell>
        </row>
        <row r="11798">
          <cell r="P11798">
            <v>0</v>
          </cell>
        </row>
        <row r="11799">
          <cell r="P11799">
            <v>0</v>
          </cell>
        </row>
        <row r="11800">
          <cell r="P11800">
            <v>0</v>
          </cell>
        </row>
        <row r="11801">
          <cell r="P11801">
            <v>0</v>
          </cell>
        </row>
        <row r="11802">
          <cell r="P11802">
            <v>0</v>
          </cell>
        </row>
        <row r="11803">
          <cell r="P11803">
            <v>0</v>
          </cell>
        </row>
        <row r="11804">
          <cell r="P11804">
            <v>0</v>
          </cell>
        </row>
        <row r="11805">
          <cell r="P11805">
            <v>0</v>
          </cell>
        </row>
        <row r="11806">
          <cell r="P11806">
            <v>0</v>
          </cell>
        </row>
        <row r="11807">
          <cell r="P11807">
            <v>0</v>
          </cell>
        </row>
        <row r="11808">
          <cell r="P11808">
            <v>0</v>
          </cell>
        </row>
        <row r="11809">
          <cell r="P11809">
            <v>0</v>
          </cell>
        </row>
        <row r="11810">
          <cell r="P11810">
            <v>0</v>
          </cell>
        </row>
        <row r="11811">
          <cell r="P11811">
            <v>0</v>
          </cell>
        </row>
        <row r="11812">
          <cell r="P11812">
            <v>0</v>
          </cell>
        </row>
        <row r="11813">
          <cell r="P11813">
            <v>0</v>
          </cell>
        </row>
        <row r="11814">
          <cell r="P11814">
            <v>0</v>
          </cell>
        </row>
        <row r="11815">
          <cell r="P11815">
            <v>0</v>
          </cell>
        </row>
        <row r="11816">
          <cell r="P11816">
            <v>0</v>
          </cell>
        </row>
        <row r="11817">
          <cell r="P11817">
            <v>0</v>
          </cell>
        </row>
        <row r="11818">
          <cell r="P11818">
            <v>0</v>
          </cell>
        </row>
        <row r="11819">
          <cell r="P11819">
            <v>0</v>
          </cell>
        </row>
        <row r="11820">
          <cell r="P11820">
            <v>0</v>
          </cell>
        </row>
        <row r="11821">
          <cell r="P11821">
            <v>0</v>
          </cell>
        </row>
        <row r="11822">
          <cell r="P11822">
            <v>0</v>
          </cell>
        </row>
        <row r="11823">
          <cell r="P11823">
            <v>0</v>
          </cell>
        </row>
        <row r="11824">
          <cell r="P11824">
            <v>0</v>
          </cell>
        </row>
        <row r="11825">
          <cell r="P11825">
            <v>0</v>
          </cell>
        </row>
        <row r="11826">
          <cell r="P11826">
            <v>0</v>
          </cell>
        </row>
        <row r="11827">
          <cell r="P11827">
            <v>0</v>
          </cell>
        </row>
        <row r="11828">
          <cell r="P11828">
            <v>0</v>
          </cell>
        </row>
        <row r="11829">
          <cell r="P11829">
            <v>0</v>
          </cell>
        </row>
        <row r="11830">
          <cell r="P11830">
            <v>0</v>
          </cell>
        </row>
        <row r="11831">
          <cell r="P11831">
            <v>0</v>
          </cell>
        </row>
        <row r="11832">
          <cell r="P11832">
            <v>0</v>
          </cell>
        </row>
        <row r="11833">
          <cell r="P11833">
            <v>0</v>
          </cell>
        </row>
        <row r="11834">
          <cell r="P11834">
            <v>0</v>
          </cell>
        </row>
        <row r="11835">
          <cell r="P11835">
            <v>0</v>
          </cell>
        </row>
        <row r="11836">
          <cell r="P11836">
            <v>0</v>
          </cell>
        </row>
        <row r="11837">
          <cell r="P11837">
            <v>0</v>
          </cell>
        </row>
        <row r="11838">
          <cell r="P11838">
            <v>0</v>
          </cell>
        </row>
        <row r="11839">
          <cell r="P11839">
            <v>0</v>
          </cell>
        </row>
        <row r="11840">
          <cell r="P11840">
            <v>0</v>
          </cell>
        </row>
        <row r="11841">
          <cell r="P11841">
            <v>0</v>
          </cell>
        </row>
        <row r="11842">
          <cell r="P11842">
            <v>0</v>
          </cell>
        </row>
        <row r="11843">
          <cell r="P11843">
            <v>0</v>
          </cell>
        </row>
        <row r="11844">
          <cell r="P11844">
            <v>0</v>
          </cell>
        </row>
        <row r="11845">
          <cell r="P11845">
            <v>0</v>
          </cell>
        </row>
        <row r="11846">
          <cell r="P11846">
            <v>0</v>
          </cell>
        </row>
        <row r="11847">
          <cell r="P11847">
            <v>0</v>
          </cell>
        </row>
        <row r="11848">
          <cell r="P11848">
            <v>0</v>
          </cell>
        </row>
        <row r="11849">
          <cell r="P11849">
            <v>0</v>
          </cell>
        </row>
        <row r="11850">
          <cell r="P11850">
            <v>0</v>
          </cell>
        </row>
        <row r="11851">
          <cell r="P11851">
            <v>0</v>
          </cell>
        </row>
        <row r="11852">
          <cell r="P11852">
            <v>0</v>
          </cell>
        </row>
        <row r="11853">
          <cell r="P11853">
            <v>0</v>
          </cell>
        </row>
        <row r="11854">
          <cell r="P11854">
            <v>0</v>
          </cell>
        </row>
        <row r="11855">
          <cell r="P11855">
            <v>0</v>
          </cell>
        </row>
        <row r="11856">
          <cell r="P11856">
            <v>0</v>
          </cell>
        </row>
        <row r="11857">
          <cell r="P11857">
            <v>0</v>
          </cell>
        </row>
        <row r="11858">
          <cell r="P11858">
            <v>0</v>
          </cell>
        </row>
        <row r="11859">
          <cell r="P11859">
            <v>0</v>
          </cell>
        </row>
        <row r="11860">
          <cell r="P11860">
            <v>0</v>
          </cell>
        </row>
        <row r="11861">
          <cell r="P11861">
            <v>0</v>
          </cell>
        </row>
        <row r="11862">
          <cell r="P11862">
            <v>0</v>
          </cell>
        </row>
        <row r="11863">
          <cell r="P11863">
            <v>0</v>
          </cell>
        </row>
        <row r="11864">
          <cell r="P11864">
            <v>0</v>
          </cell>
        </row>
        <row r="11865">
          <cell r="P11865">
            <v>0</v>
          </cell>
        </row>
        <row r="11866">
          <cell r="P11866">
            <v>0</v>
          </cell>
        </row>
        <row r="11867">
          <cell r="P11867">
            <v>0</v>
          </cell>
        </row>
        <row r="11868">
          <cell r="P11868">
            <v>0</v>
          </cell>
        </row>
        <row r="11869">
          <cell r="P11869">
            <v>0</v>
          </cell>
        </row>
        <row r="11870">
          <cell r="P11870">
            <v>0</v>
          </cell>
        </row>
        <row r="11871">
          <cell r="P11871">
            <v>0</v>
          </cell>
        </row>
        <row r="11872">
          <cell r="P11872">
            <v>0</v>
          </cell>
        </row>
        <row r="11873">
          <cell r="P11873">
            <v>0</v>
          </cell>
        </row>
        <row r="11874">
          <cell r="P11874">
            <v>0</v>
          </cell>
        </row>
        <row r="11875">
          <cell r="P11875">
            <v>0</v>
          </cell>
        </row>
        <row r="11876">
          <cell r="P11876">
            <v>0</v>
          </cell>
        </row>
        <row r="11877">
          <cell r="P11877">
            <v>0</v>
          </cell>
        </row>
        <row r="11878">
          <cell r="P11878">
            <v>0</v>
          </cell>
        </row>
        <row r="11879">
          <cell r="P11879">
            <v>0</v>
          </cell>
        </row>
        <row r="11880">
          <cell r="P11880">
            <v>0</v>
          </cell>
        </row>
        <row r="11881">
          <cell r="P11881">
            <v>0</v>
          </cell>
        </row>
        <row r="11882">
          <cell r="P11882">
            <v>0</v>
          </cell>
        </row>
        <row r="11883">
          <cell r="P11883">
            <v>0</v>
          </cell>
        </row>
        <row r="11884">
          <cell r="P11884">
            <v>0</v>
          </cell>
        </row>
        <row r="11885">
          <cell r="P11885">
            <v>0</v>
          </cell>
        </row>
        <row r="11886">
          <cell r="P11886">
            <v>0</v>
          </cell>
        </row>
        <row r="11887">
          <cell r="P11887">
            <v>0</v>
          </cell>
        </row>
        <row r="11888">
          <cell r="P11888">
            <v>0</v>
          </cell>
        </row>
        <row r="11889">
          <cell r="P11889">
            <v>0</v>
          </cell>
        </row>
        <row r="11890">
          <cell r="P11890">
            <v>0</v>
          </cell>
        </row>
        <row r="11891">
          <cell r="P11891">
            <v>0</v>
          </cell>
        </row>
        <row r="11892">
          <cell r="P11892">
            <v>0</v>
          </cell>
        </row>
        <row r="11893">
          <cell r="P11893">
            <v>0</v>
          </cell>
        </row>
        <row r="11894">
          <cell r="P11894">
            <v>0</v>
          </cell>
        </row>
        <row r="11895">
          <cell r="P11895">
            <v>0</v>
          </cell>
        </row>
        <row r="11896">
          <cell r="P11896">
            <v>0</v>
          </cell>
        </row>
        <row r="11897">
          <cell r="P11897">
            <v>0</v>
          </cell>
        </row>
        <row r="11898">
          <cell r="P11898">
            <v>0</v>
          </cell>
        </row>
        <row r="11899">
          <cell r="P11899">
            <v>0</v>
          </cell>
        </row>
        <row r="11900">
          <cell r="P11900">
            <v>0</v>
          </cell>
        </row>
        <row r="11901">
          <cell r="P11901">
            <v>0</v>
          </cell>
        </row>
        <row r="11902">
          <cell r="P11902">
            <v>0</v>
          </cell>
        </row>
        <row r="11903">
          <cell r="P11903">
            <v>0</v>
          </cell>
        </row>
        <row r="11904">
          <cell r="P11904">
            <v>0</v>
          </cell>
        </row>
        <row r="11905">
          <cell r="P11905">
            <v>0</v>
          </cell>
        </row>
        <row r="11906">
          <cell r="P11906">
            <v>0</v>
          </cell>
        </row>
        <row r="11907">
          <cell r="P11907">
            <v>0</v>
          </cell>
        </row>
        <row r="11908">
          <cell r="P11908">
            <v>0</v>
          </cell>
        </row>
        <row r="11909">
          <cell r="P11909">
            <v>0</v>
          </cell>
        </row>
        <row r="11910">
          <cell r="P11910">
            <v>0</v>
          </cell>
        </row>
        <row r="11911">
          <cell r="P11911">
            <v>0</v>
          </cell>
        </row>
        <row r="11912">
          <cell r="P11912">
            <v>0</v>
          </cell>
        </row>
        <row r="11913">
          <cell r="P11913">
            <v>0</v>
          </cell>
        </row>
        <row r="11914">
          <cell r="P11914">
            <v>0</v>
          </cell>
        </row>
        <row r="11915">
          <cell r="P11915">
            <v>0</v>
          </cell>
        </row>
        <row r="11916">
          <cell r="P11916">
            <v>0</v>
          </cell>
        </row>
        <row r="11917">
          <cell r="P11917">
            <v>0</v>
          </cell>
        </row>
        <row r="11918">
          <cell r="P11918">
            <v>0</v>
          </cell>
        </row>
        <row r="11919">
          <cell r="P11919">
            <v>0</v>
          </cell>
        </row>
        <row r="11920">
          <cell r="P11920">
            <v>0</v>
          </cell>
        </row>
        <row r="11921">
          <cell r="P11921">
            <v>0</v>
          </cell>
        </row>
        <row r="11922">
          <cell r="P11922">
            <v>0</v>
          </cell>
        </row>
        <row r="11923">
          <cell r="P11923">
            <v>0</v>
          </cell>
        </row>
        <row r="11924">
          <cell r="P11924">
            <v>0</v>
          </cell>
        </row>
        <row r="11925">
          <cell r="P11925">
            <v>0</v>
          </cell>
        </row>
        <row r="11926">
          <cell r="P11926">
            <v>0</v>
          </cell>
        </row>
        <row r="11927">
          <cell r="P11927">
            <v>0</v>
          </cell>
        </row>
        <row r="11928">
          <cell r="P11928">
            <v>0</v>
          </cell>
        </row>
        <row r="11929">
          <cell r="P11929">
            <v>0</v>
          </cell>
        </row>
        <row r="11930">
          <cell r="P11930">
            <v>0</v>
          </cell>
        </row>
        <row r="11931">
          <cell r="P11931">
            <v>0</v>
          </cell>
        </row>
        <row r="11932">
          <cell r="P11932">
            <v>0</v>
          </cell>
        </row>
        <row r="11933">
          <cell r="P11933">
            <v>0</v>
          </cell>
        </row>
        <row r="11934">
          <cell r="P11934">
            <v>0</v>
          </cell>
        </row>
        <row r="11935">
          <cell r="P11935">
            <v>0</v>
          </cell>
        </row>
        <row r="11936">
          <cell r="P11936">
            <v>0</v>
          </cell>
        </row>
        <row r="11937">
          <cell r="P11937">
            <v>0</v>
          </cell>
        </row>
        <row r="11938">
          <cell r="P11938">
            <v>0</v>
          </cell>
        </row>
        <row r="11939">
          <cell r="P11939">
            <v>0</v>
          </cell>
        </row>
        <row r="11940">
          <cell r="P11940">
            <v>0</v>
          </cell>
        </row>
        <row r="11941">
          <cell r="P11941">
            <v>0</v>
          </cell>
        </row>
        <row r="11942">
          <cell r="P11942">
            <v>0</v>
          </cell>
        </row>
        <row r="11943">
          <cell r="P11943">
            <v>0</v>
          </cell>
        </row>
        <row r="11944">
          <cell r="P11944">
            <v>0</v>
          </cell>
        </row>
        <row r="11945">
          <cell r="P11945">
            <v>0</v>
          </cell>
        </row>
        <row r="11946">
          <cell r="P11946">
            <v>0</v>
          </cell>
        </row>
        <row r="11947">
          <cell r="P11947">
            <v>0</v>
          </cell>
        </row>
        <row r="11948">
          <cell r="P11948">
            <v>0</v>
          </cell>
        </row>
        <row r="11949">
          <cell r="P11949">
            <v>0</v>
          </cell>
        </row>
        <row r="11950">
          <cell r="P11950">
            <v>0</v>
          </cell>
        </row>
        <row r="11951">
          <cell r="P11951">
            <v>0</v>
          </cell>
        </row>
        <row r="11952">
          <cell r="P11952">
            <v>0</v>
          </cell>
        </row>
        <row r="11953">
          <cell r="P11953">
            <v>0</v>
          </cell>
        </row>
        <row r="11954">
          <cell r="P11954">
            <v>0</v>
          </cell>
        </row>
        <row r="11955">
          <cell r="P11955">
            <v>0</v>
          </cell>
        </row>
        <row r="11956">
          <cell r="P11956">
            <v>0</v>
          </cell>
        </row>
        <row r="11957">
          <cell r="P11957">
            <v>0</v>
          </cell>
        </row>
        <row r="11958">
          <cell r="P11958">
            <v>0</v>
          </cell>
        </row>
        <row r="11959">
          <cell r="P11959">
            <v>0</v>
          </cell>
        </row>
        <row r="11960">
          <cell r="P11960">
            <v>0</v>
          </cell>
        </row>
        <row r="11961">
          <cell r="P11961">
            <v>0</v>
          </cell>
        </row>
        <row r="11962">
          <cell r="P11962">
            <v>0</v>
          </cell>
        </row>
        <row r="11963">
          <cell r="P11963">
            <v>0</v>
          </cell>
        </row>
        <row r="11964">
          <cell r="P11964">
            <v>0</v>
          </cell>
        </row>
        <row r="11965">
          <cell r="P11965">
            <v>0</v>
          </cell>
        </row>
        <row r="11966">
          <cell r="P11966">
            <v>0</v>
          </cell>
        </row>
        <row r="11967">
          <cell r="P11967">
            <v>0</v>
          </cell>
        </row>
        <row r="11968">
          <cell r="P11968">
            <v>0</v>
          </cell>
        </row>
        <row r="11969">
          <cell r="P11969">
            <v>0</v>
          </cell>
        </row>
        <row r="11970">
          <cell r="P11970">
            <v>0</v>
          </cell>
        </row>
        <row r="11971">
          <cell r="P11971">
            <v>0</v>
          </cell>
        </row>
        <row r="11972">
          <cell r="P11972">
            <v>0</v>
          </cell>
        </row>
        <row r="11973">
          <cell r="P11973">
            <v>0</v>
          </cell>
        </row>
        <row r="11974">
          <cell r="P11974">
            <v>0</v>
          </cell>
        </row>
        <row r="11975">
          <cell r="P11975">
            <v>0</v>
          </cell>
        </row>
        <row r="11976">
          <cell r="P11976">
            <v>0</v>
          </cell>
        </row>
        <row r="11977">
          <cell r="P11977">
            <v>0</v>
          </cell>
        </row>
        <row r="11978">
          <cell r="P11978">
            <v>0</v>
          </cell>
        </row>
        <row r="11979">
          <cell r="P11979">
            <v>0</v>
          </cell>
        </row>
        <row r="11980">
          <cell r="P11980">
            <v>0</v>
          </cell>
        </row>
        <row r="11981">
          <cell r="P11981">
            <v>0</v>
          </cell>
        </row>
        <row r="11982">
          <cell r="P11982">
            <v>0</v>
          </cell>
        </row>
        <row r="11983">
          <cell r="P11983">
            <v>0</v>
          </cell>
        </row>
        <row r="11984">
          <cell r="P11984">
            <v>0</v>
          </cell>
        </row>
        <row r="11985">
          <cell r="P11985">
            <v>0</v>
          </cell>
        </row>
        <row r="11986">
          <cell r="P11986">
            <v>0</v>
          </cell>
        </row>
        <row r="11987">
          <cell r="P11987">
            <v>0</v>
          </cell>
        </row>
        <row r="11988">
          <cell r="P11988">
            <v>0</v>
          </cell>
        </row>
        <row r="11989">
          <cell r="P11989">
            <v>0</v>
          </cell>
        </row>
        <row r="11990">
          <cell r="P11990">
            <v>0</v>
          </cell>
        </row>
        <row r="11991">
          <cell r="P11991">
            <v>0</v>
          </cell>
        </row>
        <row r="11992">
          <cell r="P11992">
            <v>0</v>
          </cell>
        </row>
        <row r="11993">
          <cell r="P11993">
            <v>0</v>
          </cell>
        </row>
        <row r="11994">
          <cell r="P11994">
            <v>0</v>
          </cell>
        </row>
        <row r="11995">
          <cell r="P11995">
            <v>0</v>
          </cell>
        </row>
        <row r="11996">
          <cell r="P11996">
            <v>0</v>
          </cell>
        </row>
        <row r="11997">
          <cell r="P11997">
            <v>0</v>
          </cell>
        </row>
        <row r="11998">
          <cell r="P11998">
            <v>0</v>
          </cell>
        </row>
        <row r="11999">
          <cell r="P11999">
            <v>0</v>
          </cell>
        </row>
        <row r="12000">
          <cell r="P12000">
            <v>0</v>
          </cell>
        </row>
        <row r="12001">
          <cell r="P12001">
            <v>0</v>
          </cell>
        </row>
        <row r="12002">
          <cell r="P12002">
            <v>0</v>
          </cell>
        </row>
        <row r="12003">
          <cell r="P12003">
            <v>0</v>
          </cell>
        </row>
        <row r="12004">
          <cell r="P12004">
            <v>0</v>
          </cell>
        </row>
        <row r="12005">
          <cell r="P12005">
            <v>0</v>
          </cell>
        </row>
        <row r="12006">
          <cell r="P12006">
            <v>0</v>
          </cell>
        </row>
        <row r="12007">
          <cell r="P12007">
            <v>0</v>
          </cell>
        </row>
        <row r="12008">
          <cell r="P12008">
            <v>0</v>
          </cell>
        </row>
        <row r="12009">
          <cell r="P12009">
            <v>0</v>
          </cell>
        </row>
        <row r="12010">
          <cell r="P12010">
            <v>0</v>
          </cell>
        </row>
        <row r="12011">
          <cell r="P12011">
            <v>0</v>
          </cell>
        </row>
        <row r="12012">
          <cell r="P12012">
            <v>0</v>
          </cell>
        </row>
        <row r="12013">
          <cell r="P12013">
            <v>0</v>
          </cell>
        </row>
        <row r="12014">
          <cell r="P12014">
            <v>0</v>
          </cell>
        </row>
        <row r="12015">
          <cell r="P12015">
            <v>0</v>
          </cell>
        </row>
        <row r="12016">
          <cell r="P12016">
            <v>0</v>
          </cell>
        </row>
        <row r="12017">
          <cell r="P12017">
            <v>0</v>
          </cell>
        </row>
        <row r="12018">
          <cell r="P12018">
            <v>0</v>
          </cell>
        </row>
        <row r="12019">
          <cell r="P12019">
            <v>0</v>
          </cell>
        </row>
        <row r="12020">
          <cell r="P12020">
            <v>0</v>
          </cell>
        </row>
        <row r="12021">
          <cell r="P12021">
            <v>0</v>
          </cell>
        </row>
        <row r="12022">
          <cell r="P12022">
            <v>0</v>
          </cell>
        </row>
        <row r="12023">
          <cell r="P12023">
            <v>0</v>
          </cell>
        </row>
        <row r="12024">
          <cell r="P12024">
            <v>0</v>
          </cell>
        </row>
        <row r="12025">
          <cell r="P12025">
            <v>0</v>
          </cell>
        </row>
        <row r="12026">
          <cell r="P12026">
            <v>0</v>
          </cell>
        </row>
        <row r="12027">
          <cell r="P12027">
            <v>0</v>
          </cell>
        </row>
        <row r="12028">
          <cell r="P12028">
            <v>0</v>
          </cell>
        </row>
        <row r="12029">
          <cell r="P12029">
            <v>0</v>
          </cell>
        </row>
        <row r="12030">
          <cell r="P12030">
            <v>0</v>
          </cell>
        </row>
        <row r="12031">
          <cell r="P12031">
            <v>0</v>
          </cell>
        </row>
        <row r="12032">
          <cell r="P12032">
            <v>0</v>
          </cell>
        </row>
        <row r="12033">
          <cell r="P12033">
            <v>0</v>
          </cell>
        </row>
        <row r="12034">
          <cell r="P12034">
            <v>0</v>
          </cell>
        </row>
        <row r="12035">
          <cell r="P12035">
            <v>0</v>
          </cell>
        </row>
        <row r="12036">
          <cell r="P12036">
            <v>0</v>
          </cell>
        </row>
        <row r="12037">
          <cell r="P12037">
            <v>0</v>
          </cell>
        </row>
        <row r="12038">
          <cell r="P12038">
            <v>0</v>
          </cell>
        </row>
        <row r="12039">
          <cell r="P12039">
            <v>0</v>
          </cell>
        </row>
        <row r="12040">
          <cell r="P12040">
            <v>0</v>
          </cell>
        </row>
        <row r="12041">
          <cell r="P12041">
            <v>0</v>
          </cell>
        </row>
        <row r="12042">
          <cell r="P12042">
            <v>0</v>
          </cell>
        </row>
        <row r="12043">
          <cell r="P12043">
            <v>0</v>
          </cell>
        </row>
        <row r="12044">
          <cell r="P12044">
            <v>0</v>
          </cell>
        </row>
        <row r="12045">
          <cell r="P12045">
            <v>0</v>
          </cell>
        </row>
        <row r="12046">
          <cell r="P12046">
            <v>0</v>
          </cell>
        </row>
        <row r="12047">
          <cell r="P12047">
            <v>0</v>
          </cell>
        </row>
        <row r="12048">
          <cell r="P12048">
            <v>0</v>
          </cell>
        </row>
        <row r="12049">
          <cell r="P12049">
            <v>0</v>
          </cell>
        </row>
        <row r="12050">
          <cell r="P12050">
            <v>0</v>
          </cell>
        </row>
        <row r="12051">
          <cell r="P12051">
            <v>0</v>
          </cell>
        </row>
        <row r="12052">
          <cell r="P12052">
            <v>0</v>
          </cell>
        </row>
        <row r="12053">
          <cell r="P12053">
            <v>0</v>
          </cell>
        </row>
        <row r="12054">
          <cell r="P12054">
            <v>0</v>
          </cell>
        </row>
        <row r="12055">
          <cell r="P12055">
            <v>0</v>
          </cell>
        </row>
        <row r="12056">
          <cell r="P12056">
            <v>0</v>
          </cell>
        </row>
        <row r="12057">
          <cell r="P12057">
            <v>0</v>
          </cell>
        </row>
        <row r="12058">
          <cell r="P12058">
            <v>0</v>
          </cell>
        </row>
        <row r="12059">
          <cell r="P12059">
            <v>0</v>
          </cell>
        </row>
        <row r="12060">
          <cell r="P12060">
            <v>0</v>
          </cell>
        </row>
        <row r="12061">
          <cell r="P12061">
            <v>0</v>
          </cell>
        </row>
        <row r="12062">
          <cell r="P12062">
            <v>0</v>
          </cell>
        </row>
        <row r="12063">
          <cell r="P12063">
            <v>0</v>
          </cell>
        </row>
        <row r="12064">
          <cell r="P12064">
            <v>0</v>
          </cell>
        </row>
        <row r="12065">
          <cell r="P12065">
            <v>0</v>
          </cell>
        </row>
        <row r="12066">
          <cell r="P12066">
            <v>0</v>
          </cell>
        </row>
        <row r="12067">
          <cell r="P12067">
            <v>0</v>
          </cell>
        </row>
        <row r="12068">
          <cell r="P12068">
            <v>0</v>
          </cell>
        </row>
        <row r="12069">
          <cell r="P12069">
            <v>0</v>
          </cell>
        </row>
        <row r="12070">
          <cell r="P12070">
            <v>0</v>
          </cell>
        </row>
        <row r="12071">
          <cell r="P12071">
            <v>0</v>
          </cell>
        </row>
        <row r="12072">
          <cell r="P12072">
            <v>0</v>
          </cell>
        </row>
        <row r="12073">
          <cell r="P12073">
            <v>0</v>
          </cell>
        </row>
        <row r="12074">
          <cell r="P12074">
            <v>0</v>
          </cell>
        </row>
        <row r="12075">
          <cell r="P12075">
            <v>0</v>
          </cell>
        </row>
        <row r="12076">
          <cell r="P12076">
            <v>0</v>
          </cell>
        </row>
        <row r="12077">
          <cell r="P12077">
            <v>0</v>
          </cell>
        </row>
        <row r="12078">
          <cell r="P12078">
            <v>0</v>
          </cell>
        </row>
        <row r="12079">
          <cell r="P12079">
            <v>0</v>
          </cell>
        </row>
        <row r="12080">
          <cell r="P12080">
            <v>0</v>
          </cell>
        </row>
        <row r="12081">
          <cell r="P12081">
            <v>0</v>
          </cell>
        </row>
        <row r="12082">
          <cell r="P12082">
            <v>0</v>
          </cell>
        </row>
        <row r="12083">
          <cell r="P12083">
            <v>0</v>
          </cell>
        </row>
        <row r="12084">
          <cell r="P12084">
            <v>0</v>
          </cell>
        </row>
        <row r="12085">
          <cell r="P12085">
            <v>0</v>
          </cell>
        </row>
        <row r="12086">
          <cell r="P12086">
            <v>0</v>
          </cell>
        </row>
        <row r="12087">
          <cell r="P12087">
            <v>0</v>
          </cell>
        </row>
        <row r="12088">
          <cell r="P12088">
            <v>0</v>
          </cell>
        </row>
        <row r="12089">
          <cell r="P12089">
            <v>0</v>
          </cell>
        </row>
        <row r="12090">
          <cell r="P12090">
            <v>0</v>
          </cell>
        </row>
        <row r="12091">
          <cell r="P12091">
            <v>0</v>
          </cell>
        </row>
        <row r="12092">
          <cell r="P12092">
            <v>0</v>
          </cell>
        </row>
        <row r="12093">
          <cell r="P12093">
            <v>0</v>
          </cell>
        </row>
        <row r="12094">
          <cell r="P12094">
            <v>0</v>
          </cell>
        </row>
        <row r="12095">
          <cell r="P12095">
            <v>0</v>
          </cell>
        </row>
        <row r="12096">
          <cell r="P12096">
            <v>0</v>
          </cell>
        </row>
        <row r="12097">
          <cell r="P12097">
            <v>0</v>
          </cell>
        </row>
        <row r="12098">
          <cell r="P12098">
            <v>0</v>
          </cell>
        </row>
        <row r="12099">
          <cell r="P12099">
            <v>0</v>
          </cell>
        </row>
        <row r="12100">
          <cell r="P12100">
            <v>0</v>
          </cell>
        </row>
        <row r="12101">
          <cell r="P12101">
            <v>0</v>
          </cell>
        </row>
        <row r="12102">
          <cell r="P12102">
            <v>0</v>
          </cell>
        </row>
        <row r="12103">
          <cell r="P12103">
            <v>0</v>
          </cell>
        </row>
        <row r="12104">
          <cell r="P12104">
            <v>0</v>
          </cell>
        </row>
        <row r="12105">
          <cell r="P12105">
            <v>0</v>
          </cell>
        </row>
        <row r="12106">
          <cell r="P12106">
            <v>0</v>
          </cell>
        </row>
        <row r="12107">
          <cell r="P12107">
            <v>0</v>
          </cell>
        </row>
        <row r="12108">
          <cell r="P12108">
            <v>0</v>
          </cell>
        </row>
        <row r="12109">
          <cell r="P12109">
            <v>0</v>
          </cell>
        </row>
        <row r="12110">
          <cell r="P12110">
            <v>0</v>
          </cell>
        </row>
        <row r="12111">
          <cell r="P12111">
            <v>0</v>
          </cell>
        </row>
        <row r="12112">
          <cell r="P12112">
            <v>0</v>
          </cell>
        </row>
        <row r="12113">
          <cell r="P12113">
            <v>0</v>
          </cell>
        </row>
        <row r="12114">
          <cell r="P12114">
            <v>0</v>
          </cell>
        </row>
        <row r="12115">
          <cell r="P12115">
            <v>0</v>
          </cell>
        </row>
        <row r="12116">
          <cell r="P12116">
            <v>0</v>
          </cell>
        </row>
        <row r="12117">
          <cell r="P12117">
            <v>0</v>
          </cell>
        </row>
        <row r="12118">
          <cell r="P12118">
            <v>0</v>
          </cell>
        </row>
        <row r="12119">
          <cell r="P12119">
            <v>0</v>
          </cell>
        </row>
        <row r="12120">
          <cell r="P12120">
            <v>0</v>
          </cell>
        </row>
        <row r="12121">
          <cell r="P12121">
            <v>0</v>
          </cell>
        </row>
        <row r="12122">
          <cell r="P12122">
            <v>0</v>
          </cell>
        </row>
        <row r="12123">
          <cell r="P12123">
            <v>0</v>
          </cell>
        </row>
        <row r="12124">
          <cell r="P12124">
            <v>0</v>
          </cell>
        </row>
        <row r="12125">
          <cell r="P12125">
            <v>0</v>
          </cell>
        </row>
        <row r="12126">
          <cell r="P12126">
            <v>0</v>
          </cell>
        </row>
        <row r="12127">
          <cell r="P12127">
            <v>0</v>
          </cell>
        </row>
        <row r="12128">
          <cell r="P12128">
            <v>0</v>
          </cell>
        </row>
        <row r="12129">
          <cell r="P12129">
            <v>0</v>
          </cell>
        </row>
        <row r="12130">
          <cell r="P12130">
            <v>0</v>
          </cell>
        </row>
        <row r="12131">
          <cell r="P12131">
            <v>0</v>
          </cell>
        </row>
        <row r="12132">
          <cell r="P12132">
            <v>0</v>
          </cell>
        </row>
        <row r="12133">
          <cell r="P12133">
            <v>0</v>
          </cell>
        </row>
        <row r="12134">
          <cell r="P12134">
            <v>0</v>
          </cell>
        </row>
        <row r="12135">
          <cell r="P12135">
            <v>0</v>
          </cell>
        </row>
        <row r="12136">
          <cell r="P12136">
            <v>0</v>
          </cell>
        </row>
        <row r="12137">
          <cell r="P12137">
            <v>0</v>
          </cell>
        </row>
        <row r="12138">
          <cell r="P12138">
            <v>0</v>
          </cell>
        </row>
        <row r="12139">
          <cell r="P12139">
            <v>0</v>
          </cell>
        </row>
        <row r="12140">
          <cell r="P12140">
            <v>0</v>
          </cell>
        </row>
        <row r="12141">
          <cell r="P12141">
            <v>0</v>
          </cell>
        </row>
        <row r="12142">
          <cell r="P12142">
            <v>0</v>
          </cell>
        </row>
        <row r="12143">
          <cell r="P12143">
            <v>0</v>
          </cell>
        </row>
        <row r="12144">
          <cell r="P12144">
            <v>0</v>
          </cell>
        </row>
        <row r="12145">
          <cell r="P12145">
            <v>0</v>
          </cell>
        </row>
        <row r="12146">
          <cell r="P12146">
            <v>0</v>
          </cell>
        </row>
        <row r="12147">
          <cell r="P12147">
            <v>0</v>
          </cell>
        </row>
        <row r="12148">
          <cell r="P12148">
            <v>0</v>
          </cell>
        </row>
        <row r="12149">
          <cell r="P12149">
            <v>0</v>
          </cell>
        </row>
        <row r="12150">
          <cell r="P12150">
            <v>0</v>
          </cell>
        </row>
        <row r="12151">
          <cell r="P12151">
            <v>0</v>
          </cell>
        </row>
        <row r="12152">
          <cell r="P12152">
            <v>0</v>
          </cell>
        </row>
        <row r="12153">
          <cell r="P12153">
            <v>0</v>
          </cell>
        </row>
        <row r="12154">
          <cell r="P12154">
            <v>0</v>
          </cell>
        </row>
        <row r="12155">
          <cell r="P12155">
            <v>0</v>
          </cell>
        </row>
        <row r="12156">
          <cell r="P12156">
            <v>0</v>
          </cell>
        </row>
        <row r="12157">
          <cell r="P12157">
            <v>0</v>
          </cell>
        </row>
        <row r="12158">
          <cell r="P12158">
            <v>0</v>
          </cell>
        </row>
        <row r="12159">
          <cell r="P12159">
            <v>0</v>
          </cell>
        </row>
        <row r="12160">
          <cell r="P12160">
            <v>0</v>
          </cell>
        </row>
        <row r="12161">
          <cell r="P12161">
            <v>0</v>
          </cell>
        </row>
        <row r="12162">
          <cell r="P12162">
            <v>0</v>
          </cell>
        </row>
        <row r="12163">
          <cell r="P12163">
            <v>0</v>
          </cell>
        </row>
        <row r="12164">
          <cell r="P12164">
            <v>0</v>
          </cell>
        </row>
        <row r="12165">
          <cell r="P12165">
            <v>0</v>
          </cell>
        </row>
        <row r="12166">
          <cell r="P12166">
            <v>0</v>
          </cell>
        </row>
        <row r="12167">
          <cell r="P12167">
            <v>0</v>
          </cell>
        </row>
        <row r="12168">
          <cell r="P12168">
            <v>0</v>
          </cell>
        </row>
        <row r="12169">
          <cell r="P12169">
            <v>0</v>
          </cell>
        </row>
        <row r="12170">
          <cell r="P12170">
            <v>0</v>
          </cell>
        </row>
        <row r="12171">
          <cell r="P12171">
            <v>0</v>
          </cell>
        </row>
        <row r="12172">
          <cell r="P12172">
            <v>0</v>
          </cell>
        </row>
        <row r="12173">
          <cell r="P12173">
            <v>0</v>
          </cell>
        </row>
        <row r="12174">
          <cell r="P12174">
            <v>0</v>
          </cell>
        </row>
        <row r="12175">
          <cell r="P12175">
            <v>0</v>
          </cell>
        </row>
        <row r="12176">
          <cell r="P12176">
            <v>0</v>
          </cell>
        </row>
        <row r="12177">
          <cell r="P12177">
            <v>0</v>
          </cell>
        </row>
        <row r="12178">
          <cell r="P12178">
            <v>0</v>
          </cell>
        </row>
        <row r="12179">
          <cell r="P12179">
            <v>0</v>
          </cell>
        </row>
        <row r="12180">
          <cell r="P12180">
            <v>0</v>
          </cell>
        </row>
        <row r="12181">
          <cell r="P12181">
            <v>0</v>
          </cell>
        </row>
        <row r="12182">
          <cell r="P12182">
            <v>0</v>
          </cell>
        </row>
        <row r="12183">
          <cell r="P12183">
            <v>0</v>
          </cell>
        </row>
        <row r="12184">
          <cell r="P12184">
            <v>0</v>
          </cell>
        </row>
        <row r="12185">
          <cell r="P12185">
            <v>0</v>
          </cell>
        </row>
        <row r="12186">
          <cell r="P12186">
            <v>0</v>
          </cell>
        </row>
        <row r="12187">
          <cell r="P12187">
            <v>0</v>
          </cell>
        </row>
        <row r="12188">
          <cell r="P12188">
            <v>0</v>
          </cell>
        </row>
        <row r="12189">
          <cell r="P12189">
            <v>0</v>
          </cell>
        </row>
        <row r="12190">
          <cell r="P12190">
            <v>0</v>
          </cell>
        </row>
        <row r="12191">
          <cell r="P12191">
            <v>0</v>
          </cell>
        </row>
        <row r="12192">
          <cell r="P12192">
            <v>0</v>
          </cell>
        </row>
        <row r="12193">
          <cell r="P12193">
            <v>0</v>
          </cell>
        </row>
        <row r="12194">
          <cell r="P12194">
            <v>0</v>
          </cell>
        </row>
        <row r="12195">
          <cell r="P12195">
            <v>0</v>
          </cell>
        </row>
        <row r="12196">
          <cell r="P12196">
            <v>0</v>
          </cell>
        </row>
        <row r="12197">
          <cell r="P12197">
            <v>0</v>
          </cell>
        </row>
        <row r="12198">
          <cell r="P12198">
            <v>0</v>
          </cell>
        </row>
        <row r="12199">
          <cell r="P12199">
            <v>0</v>
          </cell>
        </row>
        <row r="12200">
          <cell r="P12200">
            <v>0</v>
          </cell>
        </row>
        <row r="12201">
          <cell r="P12201">
            <v>0</v>
          </cell>
        </row>
        <row r="12202">
          <cell r="P12202">
            <v>0</v>
          </cell>
        </row>
        <row r="12203">
          <cell r="P12203">
            <v>0</v>
          </cell>
        </row>
        <row r="12204">
          <cell r="P12204">
            <v>0</v>
          </cell>
        </row>
        <row r="12205">
          <cell r="P12205">
            <v>0</v>
          </cell>
        </row>
        <row r="12206">
          <cell r="P12206">
            <v>0</v>
          </cell>
        </row>
        <row r="12207">
          <cell r="P12207">
            <v>0</v>
          </cell>
        </row>
        <row r="12208">
          <cell r="P12208">
            <v>0</v>
          </cell>
        </row>
        <row r="12209">
          <cell r="P12209">
            <v>0</v>
          </cell>
        </row>
        <row r="12210">
          <cell r="P12210">
            <v>0</v>
          </cell>
        </row>
        <row r="12211">
          <cell r="P12211">
            <v>0</v>
          </cell>
        </row>
        <row r="12212">
          <cell r="P12212">
            <v>0</v>
          </cell>
        </row>
        <row r="12213">
          <cell r="P12213">
            <v>0</v>
          </cell>
        </row>
        <row r="12214">
          <cell r="P12214">
            <v>0</v>
          </cell>
        </row>
        <row r="12215">
          <cell r="P12215">
            <v>0</v>
          </cell>
        </row>
        <row r="12216">
          <cell r="P12216">
            <v>0</v>
          </cell>
        </row>
        <row r="12217">
          <cell r="P12217">
            <v>0</v>
          </cell>
        </row>
        <row r="12218">
          <cell r="P12218">
            <v>0</v>
          </cell>
        </row>
        <row r="12219">
          <cell r="P12219">
            <v>0</v>
          </cell>
        </row>
        <row r="12220">
          <cell r="P12220">
            <v>0</v>
          </cell>
        </row>
        <row r="12221">
          <cell r="P12221">
            <v>0</v>
          </cell>
        </row>
        <row r="12222">
          <cell r="P12222">
            <v>0</v>
          </cell>
        </row>
        <row r="12223">
          <cell r="P12223">
            <v>0</v>
          </cell>
        </row>
        <row r="12224">
          <cell r="P12224">
            <v>0</v>
          </cell>
        </row>
        <row r="12225">
          <cell r="P12225">
            <v>0</v>
          </cell>
        </row>
        <row r="12226">
          <cell r="P12226">
            <v>0</v>
          </cell>
        </row>
        <row r="12227">
          <cell r="P12227">
            <v>0</v>
          </cell>
        </row>
        <row r="12228">
          <cell r="P12228">
            <v>0</v>
          </cell>
        </row>
        <row r="12229">
          <cell r="P12229">
            <v>0</v>
          </cell>
        </row>
        <row r="12230">
          <cell r="P12230">
            <v>0</v>
          </cell>
        </row>
        <row r="12231">
          <cell r="P12231">
            <v>0</v>
          </cell>
        </row>
        <row r="12232">
          <cell r="P12232">
            <v>0</v>
          </cell>
        </row>
        <row r="12233">
          <cell r="P12233">
            <v>0</v>
          </cell>
        </row>
        <row r="12234">
          <cell r="P12234">
            <v>0</v>
          </cell>
        </row>
        <row r="12235">
          <cell r="P12235">
            <v>0</v>
          </cell>
        </row>
        <row r="12236">
          <cell r="P12236">
            <v>0</v>
          </cell>
        </row>
        <row r="12237">
          <cell r="P12237">
            <v>0</v>
          </cell>
        </row>
        <row r="12238">
          <cell r="P12238">
            <v>0</v>
          </cell>
        </row>
        <row r="12239">
          <cell r="P12239">
            <v>0</v>
          </cell>
        </row>
        <row r="12240">
          <cell r="P12240">
            <v>0</v>
          </cell>
        </row>
        <row r="12241">
          <cell r="P12241">
            <v>0</v>
          </cell>
        </row>
        <row r="12242">
          <cell r="P12242">
            <v>0</v>
          </cell>
        </row>
        <row r="12243">
          <cell r="P12243">
            <v>0</v>
          </cell>
        </row>
        <row r="12244">
          <cell r="P12244">
            <v>0</v>
          </cell>
        </row>
        <row r="12245">
          <cell r="P12245">
            <v>0</v>
          </cell>
        </row>
        <row r="12246">
          <cell r="P12246">
            <v>0</v>
          </cell>
        </row>
        <row r="12247">
          <cell r="P12247">
            <v>0</v>
          </cell>
        </row>
        <row r="12248">
          <cell r="P12248">
            <v>0</v>
          </cell>
        </row>
        <row r="12249">
          <cell r="P12249">
            <v>0</v>
          </cell>
        </row>
        <row r="12250">
          <cell r="P12250">
            <v>0</v>
          </cell>
        </row>
        <row r="12251">
          <cell r="P12251">
            <v>0</v>
          </cell>
        </row>
        <row r="12252">
          <cell r="P12252">
            <v>0</v>
          </cell>
        </row>
        <row r="12253">
          <cell r="P12253">
            <v>0</v>
          </cell>
        </row>
        <row r="12254">
          <cell r="P12254">
            <v>0</v>
          </cell>
        </row>
        <row r="12255">
          <cell r="P12255">
            <v>0</v>
          </cell>
        </row>
        <row r="12256">
          <cell r="P12256">
            <v>0</v>
          </cell>
        </row>
        <row r="12257">
          <cell r="P12257">
            <v>0</v>
          </cell>
        </row>
        <row r="12258">
          <cell r="P12258">
            <v>0</v>
          </cell>
        </row>
        <row r="12259">
          <cell r="P12259">
            <v>0</v>
          </cell>
        </row>
        <row r="12260">
          <cell r="P12260">
            <v>0</v>
          </cell>
        </row>
        <row r="12261">
          <cell r="P12261">
            <v>0</v>
          </cell>
        </row>
        <row r="12262">
          <cell r="P12262">
            <v>0</v>
          </cell>
        </row>
        <row r="12263">
          <cell r="P12263">
            <v>0</v>
          </cell>
        </row>
        <row r="12264">
          <cell r="P12264">
            <v>0</v>
          </cell>
        </row>
        <row r="12265">
          <cell r="P12265">
            <v>0</v>
          </cell>
        </row>
        <row r="12266">
          <cell r="P12266">
            <v>0</v>
          </cell>
        </row>
        <row r="12267">
          <cell r="P12267">
            <v>0</v>
          </cell>
        </row>
        <row r="12268">
          <cell r="P12268">
            <v>0</v>
          </cell>
        </row>
        <row r="12269">
          <cell r="P12269">
            <v>0</v>
          </cell>
        </row>
        <row r="12270">
          <cell r="P12270">
            <v>0</v>
          </cell>
        </row>
        <row r="12271">
          <cell r="P12271">
            <v>0</v>
          </cell>
        </row>
        <row r="12272">
          <cell r="P12272">
            <v>0</v>
          </cell>
        </row>
        <row r="12273">
          <cell r="P12273">
            <v>0</v>
          </cell>
        </row>
        <row r="12274">
          <cell r="P12274">
            <v>0</v>
          </cell>
        </row>
        <row r="12275">
          <cell r="P12275">
            <v>0</v>
          </cell>
        </row>
        <row r="12276">
          <cell r="P12276">
            <v>0</v>
          </cell>
        </row>
        <row r="12277">
          <cell r="P12277">
            <v>0</v>
          </cell>
        </row>
        <row r="12278">
          <cell r="P12278">
            <v>0</v>
          </cell>
        </row>
        <row r="12279">
          <cell r="P12279">
            <v>0</v>
          </cell>
        </row>
        <row r="12280">
          <cell r="P12280">
            <v>0</v>
          </cell>
        </row>
        <row r="12281">
          <cell r="P12281">
            <v>0</v>
          </cell>
        </row>
        <row r="12282">
          <cell r="P12282">
            <v>0</v>
          </cell>
        </row>
        <row r="12283">
          <cell r="P12283">
            <v>0</v>
          </cell>
        </row>
        <row r="12284">
          <cell r="P12284">
            <v>0</v>
          </cell>
        </row>
        <row r="12285">
          <cell r="P12285">
            <v>0</v>
          </cell>
        </row>
        <row r="12286">
          <cell r="P12286">
            <v>0</v>
          </cell>
        </row>
        <row r="12287">
          <cell r="P12287">
            <v>0</v>
          </cell>
        </row>
        <row r="12288">
          <cell r="P12288">
            <v>0</v>
          </cell>
        </row>
        <row r="12289">
          <cell r="P12289">
            <v>0</v>
          </cell>
        </row>
        <row r="12290">
          <cell r="P12290">
            <v>0</v>
          </cell>
        </row>
        <row r="12291">
          <cell r="P12291">
            <v>0</v>
          </cell>
        </row>
        <row r="12292">
          <cell r="P12292">
            <v>0</v>
          </cell>
        </row>
        <row r="12293">
          <cell r="P12293">
            <v>0</v>
          </cell>
        </row>
        <row r="12294">
          <cell r="P12294">
            <v>0</v>
          </cell>
        </row>
        <row r="12295">
          <cell r="P12295">
            <v>0</v>
          </cell>
        </row>
        <row r="12296">
          <cell r="P12296">
            <v>0</v>
          </cell>
        </row>
        <row r="12297">
          <cell r="P12297">
            <v>0</v>
          </cell>
        </row>
        <row r="12298">
          <cell r="P12298">
            <v>0</v>
          </cell>
        </row>
        <row r="12299">
          <cell r="P12299">
            <v>0</v>
          </cell>
        </row>
        <row r="12300">
          <cell r="P12300">
            <v>0</v>
          </cell>
        </row>
        <row r="12301">
          <cell r="P12301">
            <v>0</v>
          </cell>
        </row>
        <row r="12302">
          <cell r="P12302">
            <v>0</v>
          </cell>
        </row>
        <row r="12303">
          <cell r="P12303">
            <v>0</v>
          </cell>
        </row>
        <row r="12304">
          <cell r="P12304">
            <v>0</v>
          </cell>
        </row>
        <row r="12305">
          <cell r="P12305">
            <v>0</v>
          </cell>
        </row>
        <row r="12306">
          <cell r="P12306">
            <v>0</v>
          </cell>
        </row>
        <row r="12307">
          <cell r="P12307">
            <v>0</v>
          </cell>
        </row>
        <row r="12308">
          <cell r="P12308">
            <v>0</v>
          </cell>
        </row>
        <row r="12309">
          <cell r="P12309">
            <v>0</v>
          </cell>
        </row>
        <row r="12310">
          <cell r="P12310">
            <v>0</v>
          </cell>
        </row>
        <row r="12311">
          <cell r="P12311">
            <v>0</v>
          </cell>
        </row>
        <row r="12312">
          <cell r="P12312">
            <v>0</v>
          </cell>
        </row>
        <row r="12313">
          <cell r="P12313">
            <v>0</v>
          </cell>
        </row>
        <row r="12314">
          <cell r="P12314">
            <v>0</v>
          </cell>
        </row>
        <row r="12315">
          <cell r="P12315">
            <v>0</v>
          </cell>
        </row>
        <row r="12316">
          <cell r="P12316">
            <v>0</v>
          </cell>
        </row>
        <row r="12317">
          <cell r="P12317">
            <v>0</v>
          </cell>
        </row>
        <row r="12318">
          <cell r="P12318">
            <v>0</v>
          </cell>
        </row>
        <row r="12319">
          <cell r="P12319">
            <v>0</v>
          </cell>
        </row>
        <row r="12320">
          <cell r="P12320">
            <v>0</v>
          </cell>
        </row>
        <row r="12321">
          <cell r="P12321">
            <v>0</v>
          </cell>
        </row>
        <row r="12322">
          <cell r="P12322">
            <v>0</v>
          </cell>
        </row>
        <row r="12323">
          <cell r="P12323">
            <v>0</v>
          </cell>
        </row>
        <row r="12324">
          <cell r="P12324">
            <v>0</v>
          </cell>
        </row>
        <row r="12325">
          <cell r="P12325">
            <v>0</v>
          </cell>
        </row>
        <row r="12326">
          <cell r="P12326">
            <v>0</v>
          </cell>
        </row>
        <row r="12327">
          <cell r="P12327">
            <v>0</v>
          </cell>
        </row>
        <row r="12328">
          <cell r="P12328">
            <v>0</v>
          </cell>
        </row>
        <row r="12329">
          <cell r="P12329">
            <v>0</v>
          </cell>
        </row>
        <row r="12330">
          <cell r="P12330">
            <v>0</v>
          </cell>
        </row>
        <row r="12331">
          <cell r="P12331">
            <v>0</v>
          </cell>
        </row>
        <row r="12332">
          <cell r="P12332">
            <v>0</v>
          </cell>
        </row>
        <row r="12333">
          <cell r="P12333">
            <v>0</v>
          </cell>
        </row>
        <row r="12334">
          <cell r="P12334">
            <v>0</v>
          </cell>
        </row>
        <row r="12335">
          <cell r="P12335">
            <v>0</v>
          </cell>
        </row>
        <row r="12336">
          <cell r="P12336">
            <v>0</v>
          </cell>
        </row>
        <row r="12337">
          <cell r="P12337">
            <v>0</v>
          </cell>
        </row>
        <row r="12338">
          <cell r="P12338">
            <v>0</v>
          </cell>
        </row>
        <row r="12339">
          <cell r="P12339">
            <v>0</v>
          </cell>
        </row>
        <row r="12340">
          <cell r="P12340">
            <v>0</v>
          </cell>
        </row>
        <row r="12341">
          <cell r="P12341">
            <v>0</v>
          </cell>
        </row>
        <row r="12342">
          <cell r="P12342">
            <v>0</v>
          </cell>
        </row>
        <row r="12343">
          <cell r="P12343">
            <v>0</v>
          </cell>
        </row>
        <row r="12344">
          <cell r="P12344">
            <v>0</v>
          </cell>
        </row>
        <row r="12345">
          <cell r="P12345">
            <v>0</v>
          </cell>
        </row>
        <row r="12346">
          <cell r="P12346">
            <v>0</v>
          </cell>
        </row>
        <row r="12347">
          <cell r="P12347">
            <v>0</v>
          </cell>
        </row>
        <row r="12348">
          <cell r="P12348">
            <v>0</v>
          </cell>
        </row>
        <row r="12349">
          <cell r="P12349">
            <v>0</v>
          </cell>
        </row>
        <row r="12350">
          <cell r="P12350">
            <v>0</v>
          </cell>
        </row>
        <row r="12351">
          <cell r="P12351">
            <v>0</v>
          </cell>
        </row>
        <row r="12352">
          <cell r="P12352">
            <v>0</v>
          </cell>
        </row>
        <row r="12353">
          <cell r="P12353">
            <v>327.75</v>
          </cell>
        </row>
        <row r="12354">
          <cell r="P12354">
            <v>327.75</v>
          </cell>
        </row>
        <row r="12355">
          <cell r="P12355">
            <v>437</v>
          </cell>
        </row>
        <row r="12356">
          <cell r="P12356">
            <v>437</v>
          </cell>
        </row>
        <row r="12357">
          <cell r="P12357">
            <v>0</v>
          </cell>
        </row>
        <row r="12358">
          <cell r="P12358">
            <v>0</v>
          </cell>
        </row>
        <row r="12359">
          <cell r="P12359">
            <v>0</v>
          </cell>
        </row>
        <row r="12360">
          <cell r="P12360">
            <v>0</v>
          </cell>
        </row>
        <row r="12361">
          <cell r="P12361">
            <v>0</v>
          </cell>
        </row>
        <row r="12362">
          <cell r="P12362">
            <v>0</v>
          </cell>
        </row>
        <row r="12363">
          <cell r="P12363">
            <v>0</v>
          </cell>
        </row>
        <row r="12364">
          <cell r="P12364">
            <v>0</v>
          </cell>
        </row>
        <row r="12365">
          <cell r="P12365">
            <v>0</v>
          </cell>
        </row>
        <row r="12366">
          <cell r="P12366">
            <v>0</v>
          </cell>
        </row>
        <row r="12367">
          <cell r="P12367">
            <v>0</v>
          </cell>
        </row>
        <row r="12368">
          <cell r="P12368">
            <v>0</v>
          </cell>
        </row>
        <row r="12369">
          <cell r="P12369">
            <v>17.2</v>
          </cell>
        </row>
        <row r="12370">
          <cell r="P12370">
            <v>17.2</v>
          </cell>
        </row>
        <row r="12371">
          <cell r="P12371">
            <v>172</v>
          </cell>
        </row>
        <row r="12372">
          <cell r="P12372">
            <v>0</v>
          </cell>
        </row>
        <row r="12373">
          <cell r="P12373">
            <v>0</v>
          </cell>
        </row>
        <row r="12374">
          <cell r="P12374">
            <v>0</v>
          </cell>
        </row>
        <row r="12375">
          <cell r="P12375">
            <v>0</v>
          </cell>
        </row>
        <row r="12376">
          <cell r="P12376">
            <v>0</v>
          </cell>
        </row>
        <row r="12377">
          <cell r="P12377">
            <v>0</v>
          </cell>
        </row>
        <row r="12378">
          <cell r="P12378">
            <v>0</v>
          </cell>
        </row>
        <row r="12379">
          <cell r="P12379">
            <v>0</v>
          </cell>
        </row>
        <row r="12380">
          <cell r="P12380">
            <v>0</v>
          </cell>
        </row>
        <row r="12381">
          <cell r="P12381">
            <v>0</v>
          </cell>
        </row>
        <row r="12382">
          <cell r="P12382">
            <v>0</v>
          </cell>
        </row>
        <row r="12383">
          <cell r="P12383">
            <v>0</v>
          </cell>
        </row>
        <row r="12384">
          <cell r="P12384">
            <v>0</v>
          </cell>
        </row>
        <row r="12385">
          <cell r="P12385">
            <v>0</v>
          </cell>
        </row>
        <row r="12386">
          <cell r="P12386">
            <v>0</v>
          </cell>
        </row>
        <row r="12387">
          <cell r="P12387">
            <v>0</v>
          </cell>
        </row>
        <row r="12388">
          <cell r="P12388">
            <v>0</v>
          </cell>
        </row>
        <row r="12389">
          <cell r="P12389">
            <v>0</v>
          </cell>
        </row>
        <row r="12390">
          <cell r="P12390">
            <v>0</v>
          </cell>
        </row>
        <row r="12391">
          <cell r="P12391">
            <v>0</v>
          </cell>
        </row>
        <row r="12392">
          <cell r="P12392">
            <v>0</v>
          </cell>
        </row>
        <row r="12393">
          <cell r="P12393">
            <v>0</v>
          </cell>
        </row>
        <row r="12394">
          <cell r="P12394">
            <v>0</v>
          </cell>
        </row>
        <row r="12395">
          <cell r="P12395">
            <v>0</v>
          </cell>
        </row>
        <row r="12396">
          <cell r="P12396">
            <v>0</v>
          </cell>
        </row>
        <row r="12397">
          <cell r="P12397">
            <v>0</v>
          </cell>
        </row>
        <row r="12398">
          <cell r="P12398">
            <v>0</v>
          </cell>
        </row>
        <row r="12399">
          <cell r="P12399">
            <v>0</v>
          </cell>
        </row>
        <row r="12400">
          <cell r="P12400">
            <v>0</v>
          </cell>
        </row>
        <row r="12401">
          <cell r="P12401">
            <v>0</v>
          </cell>
        </row>
        <row r="12402">
          <cell r="P12402">
            <v>0</v>
          </cell>
        </row>
        <row r="12403">
          <cell r="P12403">
            <v>0</v>
          </cell>
        </row>
        <row r="12404">
          <cell r="P12404">
            <v>0</v>
          </cell>
        </row>
        <row r="12405">
          <cell r="P12405">
            <v>0</v>
          </cell>
        </row>
        <row r="12406">
          <cell r="P12406">
            <v>0</v>
          </cell>
        </row>
        <row r="12407">
          <cell r="P12407">
            <v>0</v>
          </cell>
        </row>
        <row r="12408">
          <cell r="P12408">
            <v>0</v>
          </cell>
        </row>
        <row r="12409">
          <cell r="P12409">
            <v>0</v>
          </cell>
        </row>
        <row r="12410">
          <cell r="P12410">
            <v>0</v>
          </cell>
        </row>
        <row r="12411">
          <cell r="P12411">
            <v>0</v>
          </cell>
        </row>
        <row r="12412">
          <cell r="P12412">
            <v>0</v>
          </cell>
        </row>
        <row r="12413">
          <cell r="P12413">
            <v>0</v>
          </cell>
        </row>
        <row r="12414">
          <cell r="P12414">
            <v>0</v>
          </cell>
        </row>
        <row r="12415">
          <cell r="P12415">
            <v>0</v>
          </cell>
        </row>
        <row r="12416">
          <cell r="P12416">
            <v>0</v>
          </cell>
        </row>
        <row r="12417">
          <cell r="P12417">
            <v>0</v>
          </cell>
        </row>
        <row r="12418">
          <cell r="P12418">
            <v>0</v>
          </cell>
        </row>
        <row r="12419">
          <cell r="P12419">
            <v>0</v>
          </cell>
        </row>
        <row r="12420">
          <cell r="P12420">
            <v>0</v>
          </cell>
        </row>
        <row r="12421">
          <cell r="P12421">
            <v>0</v>
          </cell>
        </row>
        <row r="12422">
          <cell r="P12422">
            <v>0</v>
          </cell>
        </row>
        <row r="12423">
          <cell r="P12423">
            <v>0</v>
          </cell>
        </row>
        <row r="12424">
          <cell r="P12424">
            <v>0</v>
          </cell>
        </row>
        <row r="12425">
          <cell r="P12425">
            <v>0</v>
          </cell>
        </row>
        <row r="12426">
          <cell r="P12426">
            <v>0</v>
          </cell>
        </row>
        <row r="12427">
          <cell r="P12427">
            <v>0</v>
          </cell>
        </row>
        <row r="12428">
          <cell r="P12428">
            <v>0</v>
          </cell>
        </row>
        <row r="12429">
          <cell r="P12429">
            <v>0</v>
          </cell>
        </row>
        <row r="12430">
          <cell r="P12430">
            <v>0</v>
          </cell>
        </row>
        <row r="12431">
          <cell r="P12431">
            <v>0</v>
          </cell>
        </row>
        <row r="12432">
          <cell r="P12432">
            <v>0</v>
          </cell>
        </row>
        <row r="12433">
          <cell r="P12433">
            <v>0</v>
          </cell>
        </row>
        <row r="12434">
          <cell r="P12434">
            <v>0</v>
          </cell>
        </row>
        <row r="12435">
          <cell r="P12435">
            <v>0</v>
          </cell>
        </row>
        <row r="12436">
          <cell r="P12436">
            <v>0</v>
          </cell>
        </row>
        <row r="12437">
          <cell r="P12437">
            <v>0</v>
          </cell>
        </row>
        <row r="12438">
          <cell r="P12438">
            <v>0</v>
          </cell>
        </row>
        <row r="12439">
          <cell r="P12439">
            <v>0</v>
          </cell>
        </row>
        <row r="12440">
          <cell r="P12440">
            <v>0</v>
          </cell>
        </row>
        <row r="12441">
          <cell r="P12441">
            <v>0</v>
          </cell>
        </row>
        <row r="12442">
          <cell r="P12442">
            <v>0</v>
          </cell>
        </row>
        <row r="12443">
          <cell r="P12443">
            <v>0</v>
          </cell>
        </row>
        <row r="12444">
          <cell r="P12444">
            <v>0</v>
          </cell>
        </row>
        <row r="12445">
          <cell r="P12445">
            <v>0</v>
          </cell>
        </row>
        <row r="12446">
          <cell r="P12446">
            <v>0</v>
          </cell>
        </row>
        <row r="12447">
          <cell r="P12447">
            <v>0</v>
          </cell>
        </row>
        <row r="12448">
          <cell r="P12448">
            <v>0</v>
          </cell>
        </row>
        <row r="12449">
          <cell r="P12449">
            <v>0</v>
          </cell>
        </row>
        <row r="12450">
          <cell r="P12450">
            <v>0</v>
          </cell>
        </row>
        <row r="12451">
          <cell r="P12451">
            <v>0</v>
          </cell>
        </row>
        <row r="12452">
          <cell r="P12452">
            <v>0</v>
          </cell>
        </row>
        <row r="12453">
          <cell r="P12453">
            <v>0</v>
          </cell>
        </row>
        <row r="12454">
          <cell r="P12454">
            <v>0</v>
          </cell>
        </row>
        <row r="12455">
          <cell r="P12455">
            <v>0</v>
          </cell>
        </row>
        <row r="12456">
          <cell r="P12456">
            <v>0</v>
          </cell>
        </row>
        <row r="12457">
          <cell r="P12457">
            <v>0</v>
          </cell>
        </row>
        <row r="12458">
          <cell r="P12458">
            <v>0</v>
          </cell>
        </row>
        <row r="12459">
          <cell r="P12459">
            <v>0</v>
          </cell>
        </row>
        <row r="12460">
          <cell r="P12460">
            <v>0</v>
          </cell>
        </row>
        <row r="12461">
          <cell r="P12461">
            <v>0</v>
          </cell>
        </row>
        <row r="12462">
          <cell r="P12462">
            <v>0</v>
          </cell>
        </row>
        <row r="12463">
          <cell r="P12463">
            <v>0</v>
          </cell>
        </row>
        <row r="12464">
          <cell r="P12464">
            <v>0</v>
          </cell>
        </row>
        <row r="12465">
          <cell r="P12465">
            <v>0</v>
          </cell>
        </row>
        <row r="12466">
          <cell r="P12466">
            <v>0</v>
          </cell>
        </row>
        <row r="12467">
          <cell r="P12467">
            <v>0</v>
          </cell>
        </row>
        <row r="12468">
          <cell r="P12468">
            <v>0</v>
          </cell>
        </row>
        <row r="12469">
          <cell r="P12469">
            <v>0</v>
          </cell>
        </row>
        <row r="12470">
          <cell r="P12470">
            <v>0</v>
          </cell>
        </row>
        <row r="12471">
          <cell r="P12471">
            <v>0</v>
          </cell>
        </row>
        <row r="12472">
          <cell r="P12472">
            <v>0</v>
          </cell>
        </row>
        <row r="12473">
          <cell r="P12473">
            <v>0</v>
          </cell>
        </row>
        <row r="12474">
          <cell r="P12474">
            <v>0</v>
          </cell>
        </row>
        <row r="12475">
          <cell r="P12475">
            <v>0</v>
          </cell>
        </row>
        <row r="12476">
          <cell r="P12476">
            <v>0</v>
          </cell>
        </row>
        <row r="12477">
          <cell r="P12477">
            <v>0</v>
          </cell>
        </row>
        <row r="12478">
          <cell r="P12478">
            <v>0</v>
          </cell>
        </row>
        <row r="12479">
          <cell r="P12479">
            <v>0</v>
          </cell>
        </row>
        <row r="12480">
          <cell r="P12480">
            <v>0</v>
          </cell>
        </row>
        <row r="12481">
          <cell r="P12481">
            <v>0</v>
          </cell>
        </row>
        <row r="12482">
          <cell r="P12482">
            <v>0</v>
          </cell>
        </row>
        <row r="12483">
          <cell r="P12483">
            <v>0</v>
          </cell>
        </row>
        <row r="12484">
          <cell r="P12484">
            <v>0</v>
          </cell>
        </row>
        <row r="12485">
          <cell r="P12485">
            <v>0</v>
          </cell>
        </row>
        <row r="12486">
          <cell r="P12486">
            <v>0</v>
          </cell>
        </row>
        <row r="12487">
          <cell r="P12487">
            <v>0</v>
          </cell>
        </row>
        <row r="12488">
          <cell r="P12488">
            <v>0</v>
          </cell>
        </row>
        <row r="12489">
          <cell r="P12489">
            <v>0</v>
          </cell>
        </row>
        <row r="12490">
          <cell r="P12490">
            <v>0</v>
          </cell>
        </row>
        <row r="12491">
          <cell r="P12491">
            <v>0</v>
          </cell>
        </row>
        <row r="12492">
          <cell r="P12492">
            <v>0</v>
          </cell>
        </row>
        <row r="12493">
          <cell r="P12493">
            <v>0</v>
          </cell>
        </row>
        <row r="12494">
          <cell r="P12494">
            <v>0</v>
          </cell>
        </row>
        <row r="12495">
          <cell r="P12495">
            <v>0</v>
          </cell>
        </row>
        <row r="12496">
          <cell r="P12496">
            <v>0</v>
          </cell>
        </row>
        <row r="12497">
          <cell r="P12497">
            <v>0</v>
          </cell>
        </row>
        <row r="12498">
          <cell r="P12498">
            <v>0</v>
          </cell>
        </row>
        <row r="12499">
          <cell r="P12499">
            <v>0</v>
          </cell>
        </row>
        <row r="12500">
          <cell r="P12500">
            <v>0</v>
          </cell>
        </row>
        <row r="12501">
          <cell r="P12501">
            <v>0</v>
          </cell>
        </row>
        <row r="12502">
          <cell r="P12502">
            <v>0</v>
          </cell>
        </row>
        <row r="12503">
          <cell r="P12503">
            <v>0</v>
          </cell>
        </row>
        <row r="12504">
          <cell r="P12504">
            <v>0</v>
          </cell>
        </row>
        <row r="12505">
          <cell r="P12505">
            <v>0</v>
          </cell>
        </row>
        <row r="12506">
          <cell r="P12506">
            <v>0</v>
          </cell>
        </row>
        <row r="12507">
          <cell r="P12507">
            <v>0</v>
          </cell>
        </row>
        <row r="12508">
          <cell r="P12508">
            <v>0</v>
          </cell>
        </row>
        <row r="12509">
          <cell r="P12509">
            <v>0</v>
          </cell>
        </row>
        <row r="12510">
          <cell r="P12510">
            <v>0</v>
          </cell>
        </row>
        <row r="12511">
          <cell r="P12511">
            <v>0</v>
          </cell>
        </row>
        <row r="12512">
          <cell r="P12512">
            <v>0</v>
          </cell>
        </row>
        <row r="12513">
          <cell r="P12513">
            <v>0</v>
          </cell>
        </row>
        <row r="12514">
          <cell r="P12514">
            <v>0</v>
          </cell>
        </row>
        <row r="12515">
          <cell r="P12515">
            <v>0</v>
          </cell>
        </row>
        <row r="12516">
          <cell r="P12516">
            <v>0</v>
          </cell>
        </row>
        <row r="12517">
          <cell r="P12517">
            <v>0</v>
          </cell>
        </row>
        <row r="12518">
          <cell r="P12518">
            <v>0</v>
          </cell>
        </row>
        <row r="12519">
          <cell r="P12519">
            <v>0</v>
          </cell>
        </row>
        <row r="12520">
          <cell r="P12520">
            <v>0</v>
          </cell>
        </row>
        <row r="12521">
          <cell r="P12521">
            <v>0</v>
          </cell>
        </row>
        <row r="12522">
          <cell r="P12522">
            <v>0</v>
          </cell>
        </row>
        <row r="12523">
          <cell r="P12523">
            <v>0</v>
          </cell>
        </row>
        <row r="12524">
          <cell r="P12524">
            <v>0</v>
          </cell>
        </row>
        <row r="12525">
          <cell r="P12525">
            <v>0</v>
          </cell>
        </row>
        <row r="12526">
          <cell r="P12526">
            <v>0</v>
          </cell>
        </row>
        <row r="12527">
          <cell r="P12527">
            <v>0</v>
          </cell>
        </row>
        <row r="12528">
          <cell r="P12528">
            <v>0</v>
          </cell>
        </row>
        <row r="12529">
          <cell r="P12529">
            <v>0</v>
          </cell>
        </row>
        <row r="12530">
          <cell r="P12530">
            <v>0</v>
          </cell>
        </row>
        <row r="12531">
          <cell r="P12531">
            <v>0</v>
          </cell>
        </row>
        <row r="12532">
          <cell r="P12532">
            <v>0</v>
          </cell>
        </row>
        <row r="12533">
          <cell r="P12533">
            <v>0</v>
          </cell>
        </row>
        <row r="12534">
          <cell r="P12534">
            <v>0</v>
          </cell>
        </row>
        <row r="12535">
          <cell r="P12535">
            <v>0</v>
          </cell>
        </row>
        <row r="12536">
          <cell r="P12536">
            <v>0</v>
          </cell>
        </row>
        <row r="12537">
          <cell r="P12537">
            <v>0</v>
          </cell>
        </row>
        <row r="12538">
          <cell r="P12538">
            <v>0</v>
          </cell>
        </row>
        <row r="12539">
          <cell r="P12539">
            <v>0</v>
          </cell>
        </row>
        <row r="12540">
          <cell r="P12540">
            <v>0</v>
          </cell>
        </row>
        <row r="12541">
          <cell r="P12541">
            <v>0</v>
          </cell>
        </row>
        <row r="12542">
          <cell r="P12542">
            <v>0</v>
          </cell>
        </row>
        <row r="12543">
          <cell r="P12543">
            <v>0</v>
          </cell>
        </row>
        <row r="12544">
          <cell r="P12544">
            <v>0</v>
          </cell>
        </row>
        <row r="12545">
          <cell r="P12545">
            <v>0</v>
          </cell>
        </row>
        <row r="12546">
          <cell r="P12546">
            <v>0</v>
          </cell>
        </row>
        <row r="12547">
          <cell r="P12547">
            <v>0</v>
          </cell>
        </row>
        <row r="12548">
          <cell r="P12548">
            <v>0</v>
          </cell>
        </row>
        <row r="12549">
          <cell r="P12549">
            <v>0</v>
          </cell>
        </row>
        <row r="12550">
          <cell r="P12550">
            <v>0</v>
          </cell>
        </row>
        <row r="12551">
          <cell r="P12551">
            <v>0</v>
          </cell>
        </row>
        <row r="12552">
          <cell r="P12552">
            <v>0</v>
          </cell>
        </row>
        <row r="12553">
          <cell r="P12553">
            <v>0</v>
          </cell>
        </row>
        <row r="12554">
          <cell r="P12554">
            <v>0</v>
          </cell>
        </row>
        <row r="12555">
          <cell r="P12555">
            <v>0</v>
          </cell>
        </row>
        <row r="12556">
          <cell r="P12556">
            <v>0</v>
          </cell>
        </row>
        <row r="12557">
          <cell r="P12557">
            <v>0</v>
          </cell>
        </row>
        <row r="12558">
          <cell r="P12558">
            <v>0</v>
          </cell>
        </row>
        <row r="12559">
          <cell r="P12559">
            <v>0</v>
          </cell>
        </row>
        <row r="12560">
          <cell r="P12560">
            <v>0</v>
          </cell>
        </row>
        <row r="12561">
          <cell r="P12561">
            <v>0</v>
          </cell>
        </row>
        <row r="12562">
          <cell r="P12562">
            <v>0</v>
          </cell>
        </row>
        <row r="12563">
          <cell r="P12563">
            <v>0</v>
          </cell>
        </row>
        <row r="12564">
          <cell r="P12564">
            <v>0</v>
          </cell>
        </row>
        <row r="12565">
          <cell r="P12565">
            <v>0</v>
          </cell>
        </row>
        <row r="12566">
          <cell r="P12566">
            <v>0</v>
          </cell>
        </row>
        <row r="12567">
          <cell r="P12567">
            <v>0</v>
          </cell>
        </row>
        <row r="12568">
          <cell r="P12568">
            <v>0</v>
          </cell>
        </row>
        <row r="12569">
          <cell r="P12569">
            <v>0</v>
          </cell>
        </row>
        <row r="12570">
          <cell r="P12570">
            <v>0</v>
          </cell>
        </row>
        <row r="12571">
          <cell r="P12571">
            <v>0</v>
          </cell>
        </row>
        <row r="12572">
          <cell r="P12572">
            <v>0</v>
          </cell>
        </row>
        <row r="12573">
          <cell r="P12573">
            <v>0</v>
          </cell>
        </row>
        <row r="12574">
          <cell r="P12574">
            <v>0</v>
          </cell>
        </row>
        <row r="12575">
          <cell r="P12575">
            <v>0</v>
          </cell>
        </row>
        <row r="12576">
          <cell r="P12576">
            <v>0</v>
          </cell>
        </row>
        <row r="12577">
          <cell r="P12577">
            <v>0</v>
          </cell>
        </row>
        <row r="12578">
          <cell r="P12578">
            <v>0</v>
          </cell>
        </row>
        <row r="12579">
          <cell r="P12579">
            <v>0</v>
          </cell>
        </row>
        <row r="12580">
          <cell r="P12580">
            <v>0</v>
          </cell>
        </row>
        <row r="12581">
          <cell r="P12581">
            <v>0</v>
          </cell>
        </row>
        <row r="12582">
          <cell r="P12582">
            <v>0</v>
          </cell>
        </row>
        <row r="12583">
          <cell r="P12583">
            <v>0</v>
          </cell>
        </row>
        <row r="12584">
          <cell r="P12584">
            <v>0</v>
          </cell>
        </row>
        <row r="12585">
          <cell r="P12585">
            <v>0</v>
          </cell>
        </row>
        <row r="12586">
          <cell r="P12586">
            <v>0</v>
          </cell>
        </row>
        <row r="12587">
          <cell r="P12587">
            <v>0</v>
          </cell>
        </row>
        <row r="12588">
          <cell r="P12588">
            <v>0</v>
          </cell>
        </row>
        <row r="12589">
          <cell r="P12589">
            <v>0</v>
          </cell>
        </row>
        <row r="12590">
          <cell r="P12590">
            <v>0</v>
          </cell>
        </row>
        <row r="12591">
          <cell r="P12591">
            <v>0</v>
          </cell>
        </row>
        <row r="12592">
          <cell r="P12592">
            <v>0</v>
          </cell>
        </row>
        <row r="12593">
          <cell r="P12593">
            <v>0</v>
          </cell>
        </row>
        <row r="12594">
          <cell r="P12594">
            <v>0</v>
          </cell>
        </row>
        <row r="12595">
          <cell r="P12595">
            <v>0</v>
          </cell>
        </row>
        <row r="12596">
          <cell r="P12596">
            <v>0</v>
          </cell>
        </row>
        <row r="12597">
          <cell r="P12597">
            <v>0</v>
          </cell>
        </row>
        <row r="12598">
          <cell r="P12598">
            <v>0</v>
          </cell>
        </row>
        <row r="12599">
          <cell r="P12599">
            <v>0</v>
          </cell>
        </row>
        <row r="12600">
          <cell r="P12600">
            <v>0</v>
          </cell>
        </row>
        <row r="12601">
          <cell r="P12601">
            <v>0</v>
          </cell>
        </row>
        <row r="12602">
          <cell r="P12602">
            <v>0</v>
          </cell>
        </row>
        <row r="12603">
          <cell r="P12603">
            <v>0</v>
          </cell>
        </row>
        <row r="12604">
          <cell r="P12604">
            <v>0</v>
          </cell>
        </row>
        <row r="12605">
          <cell r="P12605">
            <v>0</v>
          </cell>
        </row>
        <row r="12606">
          <cell r="P12606">
            <v>0</v>
          </cell>
        </row>
        <row r="12607">
          <cell r="P12607">
            <v>0</v>
          </cell>
        </row>
        <row r="12608">
          <cell r="P12608">
            <v>0</v>
          </cell>
        </row>
        <row r="12609">
          <cell r="P12609">
            <v>0</v>
          </cell>
        </row>
        <row r="12610">
          <cell r="P12610">
            <v>0</v>
          </cell>
        </row>
        <row r="12611">
          <cell r="P12611">
            <v>0</v>
          </cell>
        </row>
        <row r="12612">
          <cell r="P12612">
            <v>0</v>
          </cell>
        </row>
        <row r="12613">
          <cell r="P12613">
            <v>0</v>
          </cell>
        </row>
        <row r="12614">
          <cell r="P12614">
            <v>0</v>
          </cell>
        </row>
        <row r="12615">
          <cell r="P12615">
            <v>0</v>
          </cell>
        </row>
        <row r="12616">
          <cell r="P12616">
            <v>0</v>
          </cell>
        </row>
        <row r="12617">
          <cell r="P12617">
            <v>0</v>
          </cell>
        </row>
        <row r="12618">
          <cell r="P12618">
            <v>0</v>
          </cell>
        </row>
        <row r="12619">
          <cell r="P12619">
            <v>0</v>
          </cell>
        </row>
        <row r="12620">
          <cell r="P12620">
            <v>0</v>
          </cell>
        </row>
        <row r="12621">
          <cell r="P12621">
            <v>0</v>
          </cell>
        </row>
        <row r="12622">
          <cell r="P12622">
            <v>0</v>
          </cell>
        </row>
        <row r="12623">
          <cell r="P12623">
            <v>0</v>
          </cell>
        </row>
        <row r="12624">
          <cell r="P12624">
            <v>0</v>
          </cell>
        </row>
        <row r="12625">
          <cell r="P12625">
            <v>0</v>
          </cell>
        </row>
        <row r="12626">
          <cell r="P12626">
            <v>0</v>
          </cell>
        </row>
        <row r="12627">
          <cell r="P12627">
            <v>0</v>
          </cell>
        </row>
        <row r="12628">
          <cell r="P12628">
            <v>0</v>
          </cell>
        </row>
        <row r="12629">
          <cell r="P12629">
            <v>0</v>
          </cell>
        </row>
        <row r="12630">
          <cell r="P12630">
            <v>0</v>
          </cell>
        </row>
        <row r="12631">
          <cell r="P12631">
            <v>0</v>
          </cell>
        </row>
        <row r="12632">
          <cell r="P12632">
            <v>0</v>
          </cell>
        </row>
        <row r="12633">
          <cell r="P12633">
            <v>0</v>
          </cell>
        </row>
        <row r="12634">
          <cell r="P12634">
            <v>0</v>
          </cell>
        </row>
        <row r="12635">
          <cell r="P12635">
            <v>0</v>
          </cell>
        </row>
        <row r="12636">
          <cell r="P12636">
            <v>0</v>
          </cell>
        </row>
        <row r="12637">
          <cell r="P12637">
            <v>0</v>
          </cell>
        </row>
        <row r="12638">
          <cell r="P12638">
            <v>0</v>
          </cell>
        </row>
        <row r="12639">
          <cell r="P12639">
            <v>0</v>
          </cell>
        </row>
        <row r="12640">
          <cell r="P12640">
            <v>0</v>
          </cell>
        </row>
        <row r="12641">
          <cell r="P12641">
            <v>0</v>
          </cell>
        </row>
        <row r="12642">
          <cell r="P12642">
            <v>0</v>
          </cell>
        </row>
        <row r="12643">
          <cell r="P12643">
            <v>0</v>
          </cell>
        </row>
        <row r="12644">
          <cell r="P12644">
            <v>0</v>
          </cell>
        </row>
        <row r="12645">
          <cell r="P12645">
            <v>0</v>
          </cell>
        </row>
        <row r="12646">
          <cell r="P12646">
            <v>0</v>
          </cell>
        </row>
        <row r="12647">
          <cell r="P12647">
            <v>0</v>
          </cell>
        </row>
        <row r="12648">
          <cell r="P12648">
            <v>0</v>
          </cell>
        </row>
        <row r="12649">
          <cell r="P12649">
            <v>0</v>
          </cell>
        </row>
        <row r="12650">
          <cell r="P12650">
            <v>0</v>
          </cell>
        </row>
        <row r="12651">
          <cell r="P12651">
            <v>0</v>
          </cell>
        </row>
        <row r="12652">
          <cell r="P12652">
            <v>0</v>
          </cell>
        </row>
        <row r="12653">
          <cell r="P12653">
            <v>0</v>
          </cell>
        </row>
        <row r="12654">
          <cell r="P12654">
            <v>0</v>
          </cell>
        </row>
        <row r="12655">
          <cell r="P12655">
            <v>0</v>
          </cell>
        </row>
        <row r="12656">
          <cell r="P12656">
            <v>0</v>
          </cell>
        </row>
        <row r="12657">
          <cell r="P12657">
            <v>0</v>
          </cell>
        </row>
        <row r="12658">
          <cell r="P12658">
            <v>0</v>
          </cell>
        </row>
        <row r="12659">
          <cell r="P12659">
            <v>0</v>
          </cell>
        </row>
        <row r="12660">
          <cell r="P12660">
            <v>0</v>
          </cell>
        </row>
        <row r="12661">
          <cell r="P12661">
            <v>0</v>
          </cell>
        </row>
        <row r="12662">
          <cell r="P12662">
            <v>0</v>
          </cell>
        </row>
        <row r="12663">
          <cell r="P12663">
            <v>0</v>
          </cell>
        </row>
        <row r="12664">
          <cell r="P12664">
            <v>0</v>
          </cell>
        </row>
        <row r="12665">
          <cell r="P12665">
            <v>0</v>
          </cell>
        </row>
        <row r="12666">
          <cell r="P12666">
            <v>0</v>
          </cell>
        </row>
        <row r="12667">
          <cell r="P12667">
            <v>0</v>
          </cell>
        </row>
        <row r="12668">
          <cell r="P12668">
            <v>0</v>
          </cell>
        </row>
        <row r="12669">
          <cell r="P12669">
            <v>0</v>
          </cell>
        </row>
        <row r="12670">
          <cell r="P12670">
            <v>0</v>
          </cell>
        </row>
        <row r="12671">
          <cell r="P12671">
            <v>0</v>
          </cell>
        </row>
        <row r="12672">
          <cell r="P12672">
            <v>0</v>
          </cell>
        </row>
        <row r="12673">
          <cell r="P12673">
            <v>0</v>
          </cell>
        </row>
        <row r="12674">
          <cell r="P12674">
            <v>0</v>
          </cell>
        </row>
        <row r="12675">
          <cell r="P12675">
            <v>0</v>
          </cell>
        </row>
        <row r="12676">
          <cell r="P12676">
            <v>0</v>
          </cell>
        </row>
        <row r="12677">
          <cell r="P12677">
            <v>0</v>
          </cell>
        </row>
        <row r="12678">
          <cell r="P12678">
            <v>0</v>
          </cell>
        </row>
        <row r="12679">
          <cell r="P12679">
            <v>0</v>
          </cell>
        </row>
        <row r="12680">
          <cell r="P12680">
            <v>0</v>
          </cell>
        </row>
        <row r="12681">
          <cell r="P12681">
            <v>0</v>
          </cell>
        </row>
        <row r="12682">
          <cell r="P12682">
            <v>0</v>
          </cell>
        </row>
        <row r="12683">
          <cell r="P12683">
            <v>0</v>
          </cell>
        </row>
        <row r="12684">
          <cell r="P12684">
            <v>0</v>
          </cell>
        </row>
        <row r="12685">
          <cell r="P12685">
            <v>0</v>
          </cell>
        </row>
        <row r="12686">
          <cell r="P12686">
            <v>0</v>
          </cell>
        </row>
        <row r="12687">
          <cell r="P12687">
            <v>0</v>
          </cell>
        </row>
        <row r="12688">
          <cell r="P12688">
            <v>0</v>
          </cell>
        </row>
        <row r="12689">
          <cell r="P12689">
            <v>0</v>
          </cell>
        </row>
        <row r="12690">
          <cell r="P12690">
            <v>0</v>
          </cell>
        </row>
        <row r="12691">
          <cell r="P12691">
            <v>0</v>
          </cell>
        </row>
        <row r="12692">
          <cell r="P12692">
            <v>0</v>
          </cell>
        </row>
        <row r="12693">
          <cell r="P12693">
            <v>0</v>
          </cell>
        </row>
        <row r="12694">
          <cell r="P12694">
            <v>0</v>
          </cell>
        </row>
        <row r="12695">
          <cell r="P12695">
            <v>0</v>
          </cell>
        </row>
        <row r="12696">
          <cell r="P12696">
            <v>0</v>
          </cell>
        </row>
        <row r="12697">
          <cell r="P12697">
            <v>0</v>
          </cell>
        </row>
        <row r="12698">
          <cell r="P12698">
            <v>0</v>
          </cell>
        </row>
        <row r="12699">
          <cell r="P12699">
            <v>0</v>
          </cell>
        </row>
        <row r="12700">
          <cell r="P12700">
            <v>0</v>
          </cell>
        </row>
        <row r="12701">
          <cell r="P12701">
            <v>0</v>
          </cell>
        </row>
        <row r="12702">
          <cell r="P12702">
            <v>0</v>
          </cell>
        </row>
        <row r="12703">
          <cell r="P12703">
            <v>0</v>
          </cell>
        </row>
        <row r="12704">
          <cell r="P12704">
            <v>0</v>
          </cell>
        </row>
        <row r="12705">
          <cell r="P12705">
            <v>0</v>
          </cell>
        </row>
        <row r="12706">
          <cell r="P12706">
            <v>0</v>
          </cell>
        </row>
        <row r="12707">
          <cell r="P12707">
            <v>0</v>
          </cell>
        </row>
        <row r="12708">
          <cell r="P12708">
            <v>0</v>
          </cell>
        </row>
        <row r="12709">
          <cell r="P12709">
            <v>0</v>
          </cell>
        </row>
        <row r="12710">
          <cell r="P12710">
            <v>0</v>
          </cell>
        </row>
        <row r="12711">
          <cell r="P12711">
            <v>0</v>
          </cell>
        </row>
        <row r="12712">
          <cell r="P12712">
            <v>0</v>
          </cell>
        </row>
        <row r="12713">
          <cell r="P12713">
            <v>0</v>
          </cell>
        </row>
        <row r="12714">
          <cell r="P12714">
            <v>0</v>
          </cell>
        </row>
        <row r="12715">
          <cell r="P12715">
            <v>0</v>
          </cell>
        </row>
        <row r="12716">
          <cell r="P12716">
            <v>0</v>
          </cell>
        </row>
        <row r="12717">
          <cell r="P12717">
            <v>0</v>
          </cell>
        </row>
        <row r="12718">
          <cell r="P12718">
            <v>0</v>
          </cell>
        </row>
        <row r="12719">
          <cell r="P12719">
            <v>0</v>
          </cell>
        </row>
        <row r="12720">
          <cell r="P12720">
            <v>0</v>
          </cell>
        </row>
        <row r="12721">
          <cell r="P12721">
            <v>0</v>
          </cell>
        </row>
        <row r="12722">
          <cell r="P12722">
            <v>0</v>
          </cell>
        </row>
        <row r="12723">
          <cell r="P12723">
            <v>0</v>
          </cell>
        </row>
        <row r="12724">
          <cell r="P12724">
            <v>0</v>
          </cell>
        </row>
        <row r="12725">
          <cell r="P12725">
            <v>0</v>
          </cell>
        </row>
        <row r="12726">
          <cell r="P12726">
            <v>0</v>
          </cell>
        </row>
        <row r="12727">
          <cell r="P12727">
            <v>0</v>
          </cell>
        </row>
        <row r="12728">
          <cell r="P12728">
            <v>0</v>
          </cell>
        </row>
        <row r="12729">
          <cell r="P12729">
            <v>0</v>
          </cell>
        </row>
        <row r="12730">
          <cell r="P12730">
            <v>0</v>
          </cell>
        </row>
        <row r="12731">
          <cell r="P12731">
            <v>0</v>
          </cell>
        </row>
        <row r="12732">
          <cell r="P12732">
            <v>0</v>
          </cell>
        </row>
        <row r="12733">
          <cell r="P12733">
            <v>0</v>
          </cell>
        </row>
        <row r="12734">
          <cell r="P12734">
            <v>0</v>
          </cell>
        </row>
        <row r="12735">
          <cell r="P12735">
            <v>0</v>
          </cell>
        </row>
        <row r="12736">
          <cell r="P12736">
            <v>0</v>
          </cell>
        </row>
        <row r="12737">
          <cell r="P12737">
            <v>0</v>
          </cell>
        </row>
        <row r="12738">
          <cell r="P12738">
            <v>0</v>
          </cell>
        </row>
        <row r="12739">
          <cell r="P12739">
            <v>0</v>
          </cell>
        </row>
        <row r="12740">
          <cell r="P12740">
            <v>0</v>
          </cell>
        </row>
        <row r="12741">
          <cell r="P12741">
            <v>0</v>
          </cell>
        </row>
        <row r="12742">
          <cell r="P12742">
            <v>0</v>
          </cell>
        </row>
        <row r="12743">
          <cell r="P12743">
            <v>0</v>
          </cell>
        </row>
        <row r="12744">
          <cell r="P12744">
            <v>0</v>
          </cell>
        </row>
        <row r="12745">
          <cell r="P12745">
            <v>0</v>
          </cell>
        </row>
        <row r="12746">
          <cell r="P12746">
            <v>0</v>
          </cell>
        </row>
        <row r="12747">
          <cell r="P12747">
            <v>0</v>
          </cell>
        </row>
        <row r="12748">
          <cell r="P12748">
            <v>0</v>
          </cell>
        </row>
        <row r="12749">
          <cell r="P12749">
            <v>0</v>
          </cell>
        </row>
        <row r="12750">
          <cell r="P12750">
            <v>0</v>
          </cell>
        </row>
        <row r="12751">
          <cell r="P12751">
            <v>0</v>
          </cell>
        </row>
        <row r="12752">
          <cell r="P12752">
            <v>0</v>
          </cell>
        </row>
        <row r="12753">
          <cell r="P12753">
            <v>0</v>
          </cell>
        </row>
        <row r="12754">
          <cell r="P12754">
            <v>0</v>
          </cell>
        </row>
        <row r="12755">
          <cell r="P12755">
            <v>0</v>
          </cell>
        </row>
        <row r="12756">
          <cell r="P12756">
            <v>0</v>
          </cell>
        </row>
        <row r="12757">
          <cell r="P12757">
            <v>0</v>
          </cell>
        </row>
        <row r="12758">
          <cell r="P12758">
            <v>0</v>
          </cell>
        </row>
        <row r="12759">
          <cell r="P12759">
            <v>0</v>
          </cell>
        </row>
        <row r="12760">
          <cell r="P12760">
            <v>0</v>
          </cell>
        </row>
        <row r="12761">
          <cell r="P12761">
            <v>0</v>
          </cell>
        </row>
        <row r="12762">
          <cell r="P12762">
            <v>0</v>
          </cell>
        </row>
        <row r="12763">
          <cell r="P12763">
            <v>0</v>
          </cell>
        </row>
        <row r="12764">
          <cell r="P12764">
            <v>0</v>
          </cell>
        </row>
        <row r="12765">
          <cell r="P12765">
            <v>0</v>
          </cell>
        </row>
        <row r="12766">
          <cell r="P12766">
            <v>0</v>
          </cell>
        </row>
        <row r="12767">
          <cell r="P12767">
            <v>0</v>
          </cell>
        </row>
        <row r="12768">
          <cell r="P12768">
            <v>0</v>
          </cell>
        </row>
        <row r="12769">
          <cell r="P12769">
            <v>0</v>
          </cell>
        </row>
        <row r="12770">
          <cell r="P12770">
            <v>0</v>
          </cell>
        </row>
        <row r="12771">
          <cell r="P12771">
            <v>0</v>
          </cell>
        </row>
        <row r="12772">
          <cell r="P12772">
            <v>0</v>
          </cell>
        </row>
        <row r="12773">
          <cell r="P12773">
            <v>0</v>
          </cell>
        </row>
        <row r="12774">
          <cell r="P12774">
            <v>0</v>
          </cell>
        </row>
        <row r="12775">
          <cell r="P12775">
            <v>0</v>
          </cell>
        </row>
        <row r="12776">
          <cell r="P12776">
            <v>0</v>
          </cell>
        </row>
        <row r="12777">
          <cell r="P12777">
            <v>0</v>
          </cell>
        </row>
        <row r="12778">
          <cell r="P12778">
            <v>0</v>
          </cell>
        </row>
        <row r="12779">
          <cell r="P12779">
            <v>0</v>
          </cell>
        </row>
        <row r="12780">
          <cell r="P12780">
            <v>0</v>
          </cell>
        </row>
        <row r="12781">
          <cell r="P12781">
            <v>0</v>
          </cell>
        </row>
        <row r="12782">
          <cell r="P12782">
            <v>0</v>
          </cell>
        </row>
        <row r="12783">
          <cell r="P12783">
            <v>0</v>
          </cell>
        </row>
        <row r="12784">
          <cell r="P12784">
            <v>0</v>
          </cell>
        </row>
        <row r="12785">
          <cell r="P12785">
            <v>0</v>
          </cell>
        </row>
        <row r="12786">
          <cell r="P12786">
            <v>0</v>
          </cell>
        </row>
        <row r="12787">
          <cell r="P12787">
            <v>0</v>
          </cell>
        </row>
        <row r="12788">
          <cell r="P12788">
            <v>0</v>
          </cell>
        </row>
        <row r="12789">
          <cell r="P12789">
            <v>0</v>
          </cell>
        </row>
        <row r="12790">
          <cell r="P12790">
            <v>0</v>
          </cell>
        </row>
        <row r="12791">
          <cell r="P12791">
            <v>0</v>
          </cell>
        </row>
        <row r="12792">
          <cell r="P12792">
            <v>0</v>
          </cell>
        </row>
        <row r="12793">
          <cell r="P12793">
            <v>0</v>
          </cell>
        </row>
        <row r="12794">
          <cell r="P12794">
            <v>0</v>
          </cell>
        </row>
        <row r="12795">
          <cell r="P12795">
            <v>0</v>
          </cell>
        </row>
        <row r="12796">
          <cell r="P12796">
            <v>0</v>
          </cell>
        </row>
        <row r="12797">
          <cell r="P12797">
            <v>0</v>
          </cell>
        </row>
        <row r="12798">
          <cell r="P12798">
            <v>0</v>
          </cell>
        </row>
        <row r="12799">
          <cell r="P12799">
            <v>0</v>
          </cell>
        </row>
        <row r="12800">
          <cell r="P12800">
            <v>0</v>
          </cell>
        </row>
        <row r="12801">
          <cell r="P12801">
            <v>0</v>
          </cell>
        </row>
        <row r="12802">
          <cell r="P12802">
            <v>0</v>
          </cell>
        </row>
        <row r="12803">
          <cell r="P12803">
            <v>0</v>
          </cell>
        </row>
        <row r="12804">
          <cell r="P12804">
            <v>0</v>
          </cell>
        </row>
        <row r="12805">
          <cell r="P12805">
            <v>0</v>
          </cell>
        </row>
        <row r="12806">
          <cell r="P12806">
            <v>0</v>
          </cell>
        </row>
        <row r="12807">
          <cell r="P12807">
            <v>0</v>
          </cell>
        </row>
        <row r="12808">
          <cell r="P12808">
            <v>0</v>
          </cell>
        </row>
        <row r="12809">
          <cell r="P12809">
            <v>0</v>
          </cell>
        </row>
        <row r="12810">
          <cell r="P12810">
            <v>0</v>
          </cell>
        </row>
        <row r="12811">
          <cell r="P12811">
            <v>0</v>
          </cell>
        </row>
        <row r="12812">
          <cell r="P12812">
            <v>0</v>
          </cell>
        </row>
        <row r="12813">
          <cell r="P12813">
            <v>0</v>
          </cell>
        </row>
        <row r="12814">
          <cell r="P12814">
            <v>0</v>
          </cell>
        </row>
        <row r="12815">
          <cell r="P12815">
            <v>0</v>
          </cell>
        </row>
        <row r="12816">
          <cell r="P12816">
            <v>0</v>
          </cell>
        </row>
        <row r="12817">
          <cell r="P12817">
            <v>0</v>
          </cell>
        </row>
        <row r="12818">
          <cell r="P12818">
            <v>0</v>
          </cell>
        </row>
        <row r="12819">
          <cell r="P12819">
            <v>0</v>
          </cell>
        </row>
        <row r="12820">
          <cell r="P12820">
            <v>0</v>
          </cell>
        </row>
        <row r="12821">
          <cell r="P12821">
            <v>0</v>
          </cell>
        </row>
        <row r="12822">
          <cell r="P12822">
            <v>0</v>
          </cell>
        </row>
        <row r="12823">
          <cell r="P12823">
            <v>0</v>
          </cell>
        </row>
        <row r="12824">
          <cell r="P12824">
            <v>0</v>
          </cell>
        </row>
        <row r="12825">
          <cell r="P12825">
            <v>0</v>
          </cell>
        </row>
        <row r="12826">
          <cell r="P12826">
            <v>0</v>
          </cell>
        </row>
        <row r="12827">
          <cell r="P12827">
            <v>0</v>
          </cell>
        </row>
        <row r="12828">
          <cell r="P12828">
            <v>0</v>
          </cell>
        </row>
        <row r="12829">
          <cell r="P12829">
            <v>0</v>
          </cell>
        </row>
        <row r="12830">
          <cell r="P12830">
            <v>0</v>
          </cell>
        </row>
        <row r="12831">
          <cell r="P12831">
            <v>0</v>
          </cell>
        </row>
        <row r="12832">
          <cell r="P12832">
            <v>0</v>
          </cell>
        </row>
        <row r="12833">
          <cell r="P12833">
            <v>0</v>
          </cell>
        </row>
        <row r="12834">
          <cell r="P12834">
            <v>0</v>
          </cell>
        </row>
        <row r="12835">
          <cell r="P12835">
            <v>0</v>
          </cell>
        </row>
        <row r="12836">
          <cell r="P12836">
            <v>0</v>
          </cell>
        </row>
        <row r="12837">
          <cell r="P12837">
            <v>0</v>
          </cell>
        </row>
        <row r="12838">
          <cell r="P12838">
            <v>0</v>
          </cell>
        </row>
        <row r="12839">
          <cell r="P12839">
            <v>0</v>
          </cell>
        </row>
        <row r="12840">
          <cell r="P12840">
            <v>0</v>
          </cell>
        </row>
        <row r="12841">
          <cell r="P12841">
            <v>0</v>
          </cell>
        </row>
        <row r="12842">
          <cell r="P12842">
            <v>0</v>
          </cell>
        </row>
        <row r="12843">
          <cell r="P12843">
            <v>0</v>
          </cell>
        </row>
        <row r="12844">
          <cell r="P12844">
            <v>0</v>
          </cell>
        </row>
        <row r="12845">
          <cell r="P12845">
            <v>0</v>
          </cell>
        </row>
        <row r="12846">
          <cell r="P12846">
            <v>0</v>
          </cell>
        </row>
        <row r="12847">
          <cell r="P12847">
            <v>0</v>
          </cell>
        </row>
        <row r="12848">
          <cell r="P12848">
            <v>0</v>
          </cell>
        </row>
        <row r="12849">
          <cell r="P12849">
            <v>0</v>
          </cell>
        </row>
        <row r="12850">
          <cell r="P12850">
            <v>0</v>
          </cell>
        </row>
        <row r="12851">
          <cell r="P12851">
            <v>0</v>
          </cell>
        </row>
        <row r="12852">
          <cell r="P12852">
            <v>0</v>
          </cell>
        </row>
        <row r="12853">
          <cell r="P12853">
            <v>0</v>
          </cell>
        </row>
        <row r="12854">
          <cell r="P12854">
            <v>0</v>
          </cell>
        </row>
        <row r="12855">
          <cell r="P12855">
            <v>0</v>
          </cell>
        </row>
        <row r="12856">
          <cell r="P12856">
            <v>0</v>
          </cell>
        </row>
        <row r="12857">
          <cell r="P12857">
            <v>0</v>
          </cell>
        </row>
        <row r="12858">
          <cell r="P12858">
            <v>0</v>
          </cell>
        </row>
        <row r="12859">
          <cell r="P12859">
            <v>0</v>
          </cell>
        </row>
        <row r="12860">
          <cell r="P12860">
            <v>0</v>
          </cell>
        </row>
        <row r="12861">
          <cell r="P12861">
            <v>0</v>
          </cell>
        </row>
        <row r="12862">
          <cell r="P12862">
            <v>0</v>
          </cell>
        </row>
        <row r="12863">
          <cell r="P12863">
            <v>0</v>
          </cell>
        </row>
        <row r="12864">
          <cell r="P12864">
            <v>0</v>
          </cell>
        </row>
        <row r="12865">
          <cell r="P12865">
            <v>0</v>
          </cell>
        </row>
        <row r="12866">
          <cell r="P12866">
            <v>0</v>
          </cell>
        </row>
        <row r="12867">
          <cell r="P12867">
            <v>0</v>
          </cell>
        </row>
        <row r="12868">
          <cell r="P12868">
            <v>0</v>
          </cell>
        </row>
        <row r="12869">
          <cell r="P12869">
            <v>0</v>
          </cell>
        </row>
        <row r="12870">
          <cell r="P12870">
            <v>0</v>
          </cell>
        </row>
        <row r="12871">
          <cell r="P12871">
            <v>0</v>
          </cell>
        </row>
        <row r="12872">
          <cell r="P12872">
            <v>0</v>
          </cell>
        </row>
        <row r="12873">
          <cell r="P12873">
            <v>0</v>
          </cell>
        </row>
        <row r="12874">
          <cell r="P12874">
            <v>0</v>
          </cell>
        </row>
        <row r="12875">
          <cell r="P12875">
            <v>0</v>
          </cell>
        </row>
        <row r="12876">
          <cell r="P12876">
            <v>0</v>
          </cell>
        </row>
        <row r="12877">
          <cell r="P12877">
            <v>0</v>
          </cell>
        </row>
        <row r="12878">
          <cell r="P12878">
            <v>0</v>
          </cell>
        </row>
        <row r="12879">
          <cell r="P12879">
            <v>0</v>
          </cell>
        </row>
        <row r="12880">
          <cell r="P12880">
            <v>0</v>
          </cell>
        </row>
        <row r="12881">
          <cell r="P12881">
            <v>0</v>
          </cell>
        </row>
        <row r="12882">
          <cell r="P12882">
            <v>0</v>
          </cell>
        </row>
        <row r="12883">
          <cell r="P12883">
            <v>0</v>
          </cell>
        </row>
        <row r="12884">
          <cell r="P12884">
            <v>0</v>
          </cell>
        </row>
        <row r="12885">
          <cell r="P12885">
            <v>0</v>
          </cell>
        </row>
        <row r="12886">
          <cell r="P12886">
            <v>0</v>
          </cell>
        </row>
        <row r="12887">
          <cell r="P12887">
            <v>0</v>
          </cell>
        </row>
        <row r="12888">
          <cell r="P12888">
            <v>0</v>
          </cell>
        </row>
        <row r="12889">
          <cell r="P12889">
            <v>0</v>
          </cell>
        </row>
        <row r="12890">
          <cell r="P12890">
            <v>0</v>
          </cell>
        </row>
        <row r="12891">
          <cell r="P12891">
            <v>0</v>
          </cell>
        </row>
        <row r="12892">
          <cell r="P12892">
            <v>0</v>
          </cell>
        </row>
        <row r="12893">
          <cell r="P12893">
            <v>0</v>
          </cell>
        </row>
        <row r="12894">
          <cell r="P12894">
            <v>0</v>
          </cell>
        </row>
        <row r="12895">
          <cell r="P12895">
            <v>0</v>
          </cell>
        </row>
        <row r="12896">
          <cell r="P12896">
            <v>0</v>
          </cell>
        </row>
        <row r="12897">
          <cell r="P12897">
            <v>0</v>
          </cell>
        </row>
        <row r="12898">
          <cell r="P12898">
            <v>0</v>
          </cell>
        </row>
        <row r="12899">
          <cell r="P12899">
            <v>0</v>
          </cell>
        </row>
        <row r="12900">
          <cell r="P12900">
            <v>0</v>
          </cell>
        </row>
        <row r="12901">
          <cell r="P12901">
            <v>0</v>
          </cell>
        </row>
        <row r="12902">
          <cell r="P12902">
            <v>0</v>
          </cell>
        </row>
        <row r="12903">
          <cell r="P12903">
            <v>0</v>
          </cell>
        </row>
        <row r="12904">
          <cell r="P12904">
            <v>0</v>
          </cell>
        </row>
        <row r="12905">
          <cell r="P12905">
            <v>0</v>
          </cell>
        </row>
        <row r="12906">
          <cell r="P12906">
            <v>0</v>
          </cell>
        </row>
        <row r="12907">
          <cell r="P12907">
            <v>0</v>
          </cell>
        </row>
        <row r="12908">
          <cell r="P12908">
            <v>0</v>
          </cell>
        </row>
        <row r="12909">
          <cell r="P12909">
            <v>0</v>
          </cell>
        </row>
        <row r="12910">
          <cell r="P12910">
            <v>0</v>
          </cell>
        </row>
        <row r="12911">
          <cell r="P12911">
            <v>0</v>
          </cell>
        </row>
        <row r="12912">
          <cell r="P12912">
            <v>0</v>
          </cell>
        </row>
        <row r="12913">
          <cell r="P12913">
            <v>0</v>
          </cell>
        </row>
        <row r="12914">
          <cell r="P12914">
            <v>0</v>
          </cell>
        </row>
        <row r="12915">
          <cell r="P12915">
            <v>0</v>
          </cell>
        </row>
        <row r="12916">
          <cell r="P12916">
            <v>0</v>
          </cell>
        </row>
        <row r="12917">
          <cell r="P12917">
            <v>0</v>
          </cell>
        </row>
        <row r="12918">
          <cell r="P12918">
            <v>0</v>
          </cell>
        </row>
        <row r="12919">
          <cell r="P12919">
            <v>0</v>
          </cell>
        </row>
        <row r="12920">
          <cell r="P12920">
            <v>0</v>
          </cell>
        </row>
        <row r="12921">
          <cell r="P12921">
            <v>0</v>
          </cell>
        </row>
        <row r="12922">
          <cell r="P12922">
            <v>0</v>
          </cell>
        </row>
        <row r="12923">
          <cell r="P12923">
            <v>0</v>
          </cell>
        </row>
        <row r="12924">
          <cell r="P12924">
            <v>0</v>
          </cell>
        </row>
        <row r="12925">
          <cell r="P12925">
            <v>0</v>
          </cell>
        </row>
        <row r="12926">
          <cell r="P12926">
            <v>0</v>
          </cell>
        </row>
        <row r="12927">
          <cell r="P12927">
            <v>0</v>
          </cell>
        </row>
        <row r="12928">
          <cell r="P12928">
            <v>0</v>
          </cell>
        </row>
        <row r="12929">
          <cell r="P12929">
            <v>0</v>
          </cell>
        </row>
        <row r="12930">
          <cell r="P12930">
            <v>0</v>
          </cell>
        </row>
        <row r="12931">
          <cell r="P12931">
            <v>0</v>
          </cell>
        </row>
        <row r="12932">
          <cell r="P12932">
            <v>0</v>
          </cell>
        </row>
        <row r="12933">
          <cell r="P12933">
            <v>0</v>
          </cell>
        </row>
        <row r="12934">
          <cell r="P12934">
            <v>0</v>
          </cell>
        </row>
        <row r="12935">
          <cell r="P12935">
            <v>0</v>
          </cell>
        </row>
        <row r="12936">
          <cell r="P12936">
            <v>0</v>
          </cell>
        </row>
        <row r="12937">
          <cell r="P12937">
            <v>0</v>
          </cell>
        </row>
        <row r="12938">
          <cell r="P12938">
            <v>0</v>
          </cell>
        </row>
        <row r="12939">
          <cell r="P12939">
            <v>0</v>
          </cell>
        </row>
        <row r="12940">
          <cell r="P12940">
            <v>0</v>
          </cell>
        </row>
        <row r="12941">
          <cell r="P12941">
            <v>0</v>
          </cell>
        </row>
        <row r="12942">
          <cell r="P12942">
            <v>0</v>
          </cell>
        </row>
        <row r="12943">
          <cell r="P12943">
            <v>0</v>
          </cell>
        </row>
        <row r="12944">
          <cell r="P12944">
            <v>0</v>
          </cell>
        </row>
        <row r="12945">
          <cell r="P12945">
            <v>0</v>
          </cell>
        </row>
        <row r="12946">
          <cell r="P12946">
            <v>0</v>
          </cell>
        </row>
        <row r="12947">
          <cell r="P12947">
            <v>0</v>
          </cell>
        </row>
        <row r="12948">
          <cell r="P12948">
            <v>0</v>
          </cell>
        </row>
        <row r="12949">
          <cell r="P12949">
            <v>0</v>
          </cell>
        </row>
        <row r="12950">
          <cell r="P12950">
            <v>0</v>
          </cell>
        </row>
        <row r="12951">
          <cell r="P12951">
            <v>0</v>
          </cell>
        </row>
        <row r="12952">
          <cell r="P12952">
            <v>0</v>
          </cell>
        </row>
        <row r="12953">
          <cell r="P12953">
            <v>0</v>
          </cell>
        </row>
        <row r="12954">
          <cell r="P12954">
            <v>0</v>
          </cell>
        </row>
        <row r="12955">
          <cell r="P12955">
            <v>0</v>
          </cell>
        </row>
        <row r="12956">
          <cell r="P12956">
            <v>0</v>
          </cell>
        </row>
        <row r="12957">
          <cell r="P12957">
            <v>0</v>
          </cell>
        </row>
        <row r="12958">
          <cell r="P12958">
            <v>0</v>
          </cell>
        </row>
        <row r="12959">
          <cell r="P12959">
            <v>0</v>
          </cell>
        </row>
        <row r="12960">
          <cell r="P12960">
            <v>0</v>
          </cell>
        </row>
        <row r="12961">
          <cell r="P12961">
            <v>0</v>
          </cell>
        </row>
        <row r="12962">
          <cell r="P12962">
            <v>0</v>
          </cell>
        </row>
        <row r="12963">
          <cell r="P12963">
            <v>0</v>
          </cell>
        </row>
        <row r="12964">
          <cell r="P12964">
            <v>0</v>
          </cell>
        </row>
        <row r="12965">
          <cell r="P12965">
            <v>0</v>
          </cell>
        </row>
        <row r="12966">
          <cell r="P12966">
            <v>0</v>
          </cell>
        </row>
        <row r="12967">
          <cell r="P12967">
            <v>0</v>
          </cell>
        </row>
        <row r="12968">
          <cell r="P12968">
            <v>0</v>
          </cell>
        </row>
        <row r="12969">
          <cell r="P12969">
            <v>0</v>
          </cell>
        </row>
        <row r="12970">
          <cell r="P12970">
            <v>0</v>
          </cell>
        </row>
        <row r="12971">
          <cell r="P12971">
            <v>0</v>
          </cell>
        </row>
        <row r="12972">
          <cell r="P12972">
            <v>0</v>
          </cell>
        </row>
        <row r="12973">
          <cell r="P12973">
            <v>0</v>
          </cell>
        </row>
        <row r="12974">
          <cell r="P12974">
            <v>0</v>
          </cell>
        </row>
        <row r="12975">
          <cell r="P12975">
            <v>0</v>
          </cell>
        </row>
        <row r="12976">
          <cell r="P12976">
            <v>0</v>
          </cell>
        </row>
        <row r="12977">
          <cell r="P12977">
            <v>0</v>
          </cell>
        </row>
        <row r="12978">
          <cell r="P12978">
            <v>0</v>
          </cell>
        </row>
        <row r="12979">
          <cell r="P12979">
            <v>0</v>
          </cell>
        </row>
        <row r="12980">
          <cell r="P12980">
            <v>0</v>
          </cell>
        </row>
        <row r="12981">
          <cell r="P12981">
            <v>0</v>
          </cell>
        </row>
        <row r="12982">
          <cell r="P12982">
            <v>0</v>
          </cell>
        </row>
        <row r="12983">
          <cell r="P12983">
            <v>0</v>
          </cell>
        </row>
        <row r="12984">
          <cell r="P12984">
            <v>0</v>
          </cell>
        </row>
        <row r="12985">
          <cell r="P12985">
            <v>0</v>
          </cell>
        </row>
        <row r="12986">
          <cell r="P12986">
            <v>0</v>
          </cell>
        </row>
        <row r="12987">
          <cell r="P12987">
            <v>0</v>
          </cell>
        </row>
        <row r="12988">
          <cell r="P12988">
            <v>0</v>
          </cell>
        </row>
        <row r="12989">
          <cell r="P12989">
            <v>0</v>
          </cell>
        </row>
        <row r="12990">
          <cell r="P12990">
            <v>0</v>
          </cell>
        </row>
        <row r="12991">
          <cell r="P12991">
            <v>0</v>
          </cell>
        </row>
        <row r="12992">
          <cell r="P12992">
            <v>0</v>
          </cell>
        </row>
        <row r="12993">
          <cell r="P12993">
            <v>0</v>
          </cell>
        </row>
        <row r="12994">
          <cell r="P12994">
            <v>0</v>
          </cell>
        </row>
        <row r="12995">
          <cell r="P12995">
            <v>0</v>
          </cell>
        </row>
        <row r="12996">
          <cell r="P12996">
            <v>0</v>
          </cell>
        </row>
        <row r="12997">
          <cell r="P12997">
            <v>0</v>
          </cell>
        </row>
        <row r="12998">
          <cell r="P12998">
            <v>0</v>
          </cell>
        </row>
        <row r="12999">
          <cell r="P12999">
            <v>0</v>
          </cell>
        </row>
        <row r="13000">
          <cell r="P13000">
            <v>0</v>
          </cell>
        </row>
        <row r="13001">
          <cell r="P13001">
            <v>0</v>
          </cell>
        </row>
        <row r="13002">
          <cell r="P13002">
            <v>0</v>
          </cell>
        </row>
        <row r="13003">
          <cell r="P13003">
            <v>0</v>
          </cell>
        </row>
        <row r="13004">
          <cell r="P13004">
            <v>0</v>
          </cell>
        </row>
        <row r="13005">
          <cell r="P13005">
            <v>0</v>
          </cell>
        </row>
        <row r="13006">
          <cell r="P13006">
            <v>0</v>
          </cell>
        </row>
        <row r="13007">
          <cell r="P13007">
            <v>0</v>
          </cell>
        </row>
        <row r="13008">
          <cell r="P13008">
            <v>0</v>
          </cell>
        </row>
        <row r="13009">
          <cell r="P13009">
            <v>0</v>
          </cell>
        </row>
        <row r="13010">
          <cell r="P13010">
            <v>0</v>
          </cell>
        </row>
        <row r="13011">
          <cell r="P13011">
            <v>0</v>
          </cell>
        </row>
        <row r="13012">
          <cell r="P13012">
            <v>0</v>
          </cell>
        </row>
        <row r="13013">
          <cell r="P13013">
            <v>0</v>
          </cell>
        </row>
        <row r="13014">
          <cell r="P13014">
            <v>0</v>
          </cell>
        </row>
        <row r="13015">
          <cell r="P13015">
            <v>0</v>
          </cell>
        </row>
        <row r="13016">
          <cell r="P13016">
            <v>0</v>
          </cell>
        </row>
        <row r="13017">
          <cell r="P13017">
            <v>0</v>
          </cell>
        </row>
        <row r="13018">
          <cell r="P13018">
            <v>0</v>
          </cell>
        </row>
        <row r="13019">
          <cell r="P13019">
            <v>0</v>
          </cell>
        </row>
        <row r="13020">
          <cell r="P13020">
            <v>0</v>
          </cell>
        </row>
        <row r="13021">
          <cell r="P13021">
            <v>0</v>
          </cell>
        </row>
        <row r="13022">
          <cell r="P13022">
            <v>0</v>
          </cell>
        </row>
        <row r="13023">
          <cell r="P13023">
            <v>0</v>
          </cell>
        </row>
        <row r="13024">
          <cell r="P13024">
            <v>0</v>
          </cell>
        </row>
        <row r="13025">
          <cell r="P13025">
            <v>0</v>
          </cell>
        </row>
        <row r="13026">
          <cell r="P13026">
            <v>0</v>
          </cell>
        </row>
        <row r="13027">
          <cell r="P13027">
            <v>0</v>
          </cell>
        </row>
        <row r="13028">
          <cell r="P13028">
            <v>0</v>
          </cell>
        </row>
        <row r="13029">
          <cell r="P13029">
            <v>0</v>
          </cell>
        </row>
        <row r="13030">
          <cell r="P13030">
            <v>0</v>
          </cell>
        </row>
        <row r="13031">
          <cell r="P13031">
            <v>0</v>
          </cell>
        </row>
        <row r="13032">
          <cell r="P13032">
            <v>0</v>
          </cell>
        </row>
        <row r="13033">
          <cell r="P13033">
            <v>0</v>
          </cell>
        </row>
        <row r="13034">
          <cell r="P13034">
            <v>0</v>
          </cell>
        </row>
        <row r="13035">
          <cell r="P13035">
            <v>0</v>
          </cell>
        </row>
        <row r="13036">
          <cell r="P13036">
            <v>0</v>
          </cell>
        </row>
        <row r="13037">
          <cell r="P13037">
            <v>0</v>
          </cell>
        </row>
        <row r="13038">
          <cell r="P13038">
            <v>0</v>
          </cell>
        </row>
        <row r="13039">
          <cell r="P13039">
            <v>0</v>
          </cell>
        </row>
        <row r="13040">
          <cell r="P13040">
            <v>0</v>
          </cell>
        </row>
        <row r="13041">
          <cell r="P13041">
            <v>0</v>
          </cell>
        </row>
        <row r="13042">
          <cell r="P13042">
            <v>0</v>
          </cell>
        </row>
        <row r="13043">
          <cell r="P13043">
            <v>0</v>
          </cell>
        </row>
        <row r="13044">
          <cell r="P13044">
            <v>0</v>
          </cell>
        </row>
        <row r="13045">
          <cell r="P13045">
            <v>0</v>
          </cell>
        </row>
        <row r="13046">
          <cell r="P13046">
            <v>0</v>
          </cell>
        </row>
        <row r="13047">
          <cell r="P13047">
            <v>0</v>
          </cell>
        </row>
        <row r="13048">
          <cell r="P13048">
            <v>0</v>
          </cell>
        </row>
        <row r="13049">
          <cell r="P13049">
            <v>0</v>
          </cell>
        </row>
        <row r="13050">
          <cell r="P13050">
            <v>0</v>
          </cell>
        </row>
        <row r="13051">
          <cell r="P13051">
            <v>0</v>
          </cell>
        </row>
        <row r="13052">
          <cell r="P13052">
            <v>0</v>
          </cell>
        </row>
        <row r="13053">
          <cell r="P13053">
            <v>0</v>
          </cell>
        </row>
        <row r="13054">
          <cell r="P13054">
            <v>0</v>
          </cell>
        </row>
        <row r="13055">
          <cell r="P13055">
            <v>0</v>
          </cell>
        </row>
        <row r="13056">
          <cell r="P13056">
            <v>0</v>
          </cell>
        </row>
        <row r="13057">
          <cell r="P13057">
            <v>0</v>
          </cell>
        </row>
        <row r="13058">
          <cell r="P13058">
            <v>0</v>
          </cell>
        </row>
        <row r="13059">
          <cell r="P13059">
            <v>0</v>
          </cell>
        </row>
        <row r="13060">
          <cell r="P13060">
            <v>0</v>
          </cell>
        </row>
        <row r="13061">
          <cell r="P13061">
            <v>0</v>
          </cell>
        </row>
        <row r="13062">
          <cell r="P13062">
            <v>0</v>
          </cell>
        </row>
        <row r="13063">
          <cell r="P13063">
            <v>0</v>
          </cell>
        </row>
        <row r="13064">
          <cell r="P13064">
            <v>0</v>
          </cell>
        </row>
        <row r="13065">
          <cell r="P13065">
            <v>0</v>
          </cell>
        </row>
        <row r="13066">
          <cell r="P13066">
            <v>0</v>
          </cell>
        </row>
        <row r="13067">
          <cell r="P13067">
            <v>0</v>
          </cell>
        </row>
        <row r="13068">
          <cell r="P13068">
            <v>0</v>
          </cell>
        </row>
        <row r="13069">
          <cell r="P13069">
            <v>0</v>
          </cell>
        </row>
        <row r="13070">
          <cell r="P13070">
            <v>0</v>
          </cell>
        </row>
        <row r="13071">
          <cell r="P13071">
            <v>0</v>
          </cell>
        </row>
        <row r="13072">
          <cell r="P13072">
            <v>0</v>
          </cell>
        </row>
        <row r="13073">
          <cell r="P13073">
            <v>0</v>
          </cell>
        </row>
        <row r="13074">
          <cell r="P13074">
            <v>0</v>
          </cell>
        </row>
        <row r="13075">
          <cell r="P13075">
            <v>0</v>
          </cell>
        </row>
        <row r="13076">
          <cell r="P13076">
            <v>0</v>
          </cell>
        </row>
        <row r="13077">
          <cell r="P13077">
            <v>0</v>
          </cell>
        </row>
        <row r="13078">
          <cell r="P13078">
            <v>0</v>
          </cell>
        </row>
        <row r="13079">
          <cell r="P13079">
            <v>0</v>
          </cell>
        </row>
        <row r="13080">
          <cell r="P13080">
            <v>0</v>
          </cell>
        </row>
        <row r="13081">
          <cell r="P13081">
            <v>0</v>
          </cell>
        </row>
        <row r="13082">
          <cell r="P13082">
            <v>0</v>
          </cell>
        </row>
        <row r="13083">
          <cell r="P13083">
            <v>0</v>
          </cell>
        </row>
        <row r="13084">
          <cell r="P13084">
            <v>0</v>
          </cell>
        </row>
        <row r="13085">
          <cell r="P13085">
            <v>0</v>
          </cell>
        </row>
        <row r="13086">
          <cell r="P13086">
            <v>0</v>
          </cell>
        </row>
        <row r="13087">
          <cell r="P13087">
            <v>0</v>
          </cell>
        </row>
        <row r="13088">
          <cell r="P13088">
            <v>0</v>
          </cell>
        </row>
        <row r="13089">
          <cell r="P13089">
            <v>0</v>
          </cell>
        </row>
        <row r="13090">
          <cell r="P13090">
            <v>0</v>
          </cell>
        </row>
        <row r="13091">
          <cell r="P13091">
            <v>0</v>
          </cell>
        </row>
        <row r="13092">
          <cell r="P13092">
            <v>0</v>
          </cell>
        </row>
        <row r="13093">
          <cell r="P13093">
            <v>0</v>
          </cell>
        </row>
        <row r="13094">
          <cell r="P13094">
            <v>0</v>
          </cell>
        </row>
        <row r="13095">
          <cell r="P13095">
            <v>0</v>
          </cell>
        </row>
        <row r="13096">
          <cell r="P13096">
            <v>0</v>
          </cell>
        </row>
        <row r="13097">
          <cell r="P13097">
            <v>0</v>
          </cell>
        </row>
        <row r="13098">
          <cell r="P13098">
            <v>0</v>
          </cell>
        </row>
        <row r="13099">
          <cell r="P13099">
            <v>0</v>
          </cell>
        </row>
        <row r="13100">
          <cell r="P13100">
            <v>0</v>
          </cell>
        </row>
        <row r="13101">
          <cell r="P13101">
            <v>0</v>
          </cell>
        </row>
        <row r="13102">
          <cell r="P13102">
            <v>0</v>
          </cell>
        </row>
        <row r="13103">
          <cell r="P13103">
            <v>0</v>
          </cell>
        </row>
        <row r="13104">
          <cell r="P13104">
            <v>0</v>
          </cell>
        </row>
        <row r="13105">
          <cell r="P13105">
            <v>0</v>
          </cell>
        </row>
        <row r="13106">
          <cell r="P13106">
            <v>0</v>
          </cell>
        </row>
        <row r="13107">
          <cell r="P13107">
            <v>0</v>
          </cell>
        </row>
        <row r="13108">
          <cell r="P13108">
            <v>0</v>
          </cell>
        </row>
        <row r="13109">
          <cell r="P13109">
            <v>0</v>
          </cell>
        </row>
        <row r="13110">
          <cell r="P13110">
            <v>0</v>
          </cell>
        </row>
        <row r="13111">
          <cell r="P13111">
            <v>0</v>
          </cell>
        </row>
        <row r="13112">
          <cell r="P13112">
            <v>0</v>
          </cell>
        </row>
        <row r="13113">
          <cell r="P13113">
            <v>0</v>
          </cell>
        </row>
        <row r="13114">
          <cell r="P13114">
            <v>0</v>
          </cell>
        </row>
        <row r="13115">
          <cell r="P13115">
            <v>0</v>
          </cell>
        </row>
        <row r="13116">
          <cell r="P13116">
            <v>0</v>
          </cell>
        </row>
        <row r="13117">
          <cell r="P13117">
            <v>0</v>
          </cell>
        </row>
        <row r="13118">
          <cell r="P13118">
            <v>0</v>
          </cell>
        </row>
        <row r="13119">
          <cell r="P13119">
            <v>0</v>
          </cell>
        </row>
        <row r="13120">
          <cell r="P13120">
            <v>0</v>
          </cell>
        </row>
        <row r="13121">
          <cell r="P13121">
            <v>0</v>
          </cell>
        </row>
        <row r="13122">
          <cell r="P13122">
            <v>0</v>
          </cell>
        </row>
        <row r="13123">
          <cell r="P13123">
            <v>0</v>
          </cell>
        </row>
        <row r="13124">
          <cell r="P13124">
            <v>0</v>
          </cell>
        </row>
        <row r="13125">
          <cell r="P13125">
            <v>0</v>
          </cell>
        </row>
        <row r="13126">
          <cell r="P13126">
            <v>0</v>
          </cell>
        </row>
        <row r="13127">
          <cell r="P13127">
            <v>0</v>
          </cell>
        </row>
        <row r="13128">
          <cell r="P13128">
            <v>0</v>
          </cell>
        </row>
        <row r="13129">
          <cell r="P13129">
            <v>0</v>
          </cell>
        </row>
        <row r="13130">
          <cell r="P13130">
            <v>0</v>
          </cell>
        </row>
        <row r="13131">
          <cell r="P13131">
            <v>0</v>
          </cell>
        </row>
        <row r="13132">
          <cell r="P13132">
            <v>0</v>
          </cell>
        </row>
        <row r="13133">
          <cell r="P13133">
            <v>0</v>
          </cell>
        </row>
        <row r="13134">
          <cell r="P13134">
            <v>0</v>
          </cell>
        </row>
        <row r="13135">
          <cell r="P13135">
            <v>0</v>
          </cell>
        </row>
        <row r="13136">
          <cell r="P13136">
            <v>0</v>
          </cell>
        </row>
        <row r="13137">
          <cell r="P13137">
            <v>0</v>
          </cell>
        </row>
        <row r="13138">
          <cell r="P13138">
            <v>0</v>
          </cell>
        </row>
        <row r="13139">
          <cell r="P13139">
            <v>0</v>
          </cell>
        </row>
        <row r="13140">
          <cell r="P13140">
            <v>0</v>
          </cell>
        </row>
        <row r="13141">
          <cell r="P13141">
            <v>0</v>
          </cell>
        </row>
        <row r="13142">
          <cell r="P13142">
            <v>0</v>
          </cell>
        </row>
        <row r="13143">
          <cell r="P13143">
            <v>0</v>
          </cell>
        </row>
        <row r="13144">
          <cell r="P13144">
            <v>0</v>
          </cell>
        </row>
        <row r="13145">
          <cell r="P13145">
            <v>0</v>
          </cell>
        </row>
        <row r="13146">
          <cell r="P13146">
            <v>0</v>
          </cell>
        </row>
        <row r="13147">
          <cell r="P13147">
            <v>0</v>
          </cell>
        </row>
        <row r="13148">
          <cell r="P13148">
            <v>0</v>
          </cell>
        </row>
        <row r="13149">
          <cell r="P13149">
            <v>0</v>
          </cell>
        </row>
        <row r="13150">
          <cell r="P13150">
            <v>0</v>
          </cell>
        </row>
        <row r="13151">
          <cell r="P13151">
            <v>0</v>
          </cell>
        </row>
        <row r="13152">
          <cell r="P13152">
            <v>0</v>
          </cell>
        </row>
        <row r="13153">
          <cell r="P13153">
            <v>0</v>
          </cell>
        </row>
        <row r="13154">
          <cell r="P13154">
            <v>0</v>
          </cell>
        </row>
        <row r="13155">
          <cell r="P13155">
            <v>0</v>
          </cell>
        </row>
        <row r="13156">
          <cell r="P13156">
            <v>0</v>
          </cell>
        </row>
        <row r="13157">
          <cell r="P13157">
            <v>0</v>
          </cell>
        </row>
        <row r="13158">
          <cell r="P13158">
            <v>0</v>
          </cell>
        </row>
        <row r="13159">
          <cell r="P13159">
            <v>0</v>
          </cell>
        </row>
        <row r="13160">
          <cell r="P13160">
            <v>0</v>
          </cell>
        </row>
        <row r="13161">
          <cell r="P13161">
            <v>0</v>
          </cell>
        </row>
        <row r="13162">
          <cell r="P13162">
            <v>0</v>
          </cell>
        </row>
        <row r="13163">
          <cell r="P13163">
            <v>0</v>
          </cell>
        </row>
        <row r="13164">
          <cell r="P13164">
            <v>0</v>
          </cell>
        </row>
        <row r="13165">
          <cell r="P13165">
            <v>0</v>
          </cell>
        </row>
        <row r="13166">
          <cell r="P13166">
            <v>0</v>
          </cell>
        </row>
        <row r="13167">
          <cell r="P13167">
            <v>0</v>
          </cell>
        </row>
        <row r="13168">
          <cell r="P13168">
            <v>0</v>
          </cell>
        </row>
        <row r="13169">
          <cell r="P13169">
            <v>0</v>
          </cell>
        </row>
        <row r="13170">
          <cell r="P13170">
            <v>0</v>
          </cell>
        </row>
        <row r="13171">
          <cell r="P13171">
            <v>0</v>
          </cell>
        </row>
        <row r="13172">
          <cell r="P13172">
            <v>0</v>
          </cell>
        </row>
        <row r="13173">
          <cell r="P13173">
            <v>0</v>
          </cell>
        </row>
        <row r="13174">
          <cell r="P13174">
            <v>0</v>
          </cell>
        </row>
        <row r="13175">
          <cell r="P13175">
            <v>0</v>
          </cell>
        </row>
        <row r="13176">
          <cell r="P13176">
            <v>0</v>
          </cell>
        </row>
        <row r="13177">
          <cell r="P13177">
            <v>0</v>
          </cell>
        </row>
        <row r="13178">
          <cell r="P13178">
            <v>0</v>
          </cell>
        </row>
        <row r="13179">
          <cell r="P13179">
            <v>0</v>
          </cell>
        </row>
        <row r="13180">
          <cell r="P13180">
            <v>0</v>
          </cell>
        </row>
        <row r="13181">
          <cell r="P13181">
            <v>0</v>
          </cell>
        </row>
        <row r="13182">
          <cell r="P13182">
            <v>0</v>
          </cell>
        </row>
        <row r="13183">
          <cell r="P13183">
            <v>0</v>
          </cell>
        </row>
        <row r="13184">
          <cell r="P13184">
            <v>0</v>
          </cell>
        </row>
        <row r="13185">
          <cell r="P13185">
            <v>0</v>
          </cell>
        </row>
        <row r="13186">
          <cell r="P13186">
            <v>0</v>
          </cell>
        </row>
        <row r="13187">
          <cell r="P13187">
            <v>0</v>
          </cell>
        </row>
        <row r="13188">
          <cell r="P13188">
            <v>0</v>
          </cell>
        </row>
        <row r="13189">
          <cell r="P13189">
            <v>0</v>
          </cell>
        </row>
        <row r="13190">
          <cell r="P13190">
            <v>0</v>
          </cell>
        </row>
        <row r="13191">
          <cell r="P13191">
            <v>0</v>
          </cell>
        </row>
        <row r="13192">
          <cell r="P13192">
            <v>0</v>
          </cell>
        </row>
        <row r="13193">
          <cell r="P13193">
            <v>0</v>
          </cell>
        </row>
        <row r="13194">
          <cell r="P13194">
            <v>0</v>
          </cell>
        </row>
        <row r="13195">
          <cell r="P13195">
            <v>0</v>
          </cell>
        </row>
        <row r="13196">
          <cell r="P13196">
            <v>0</v>
          </cell>
        </row>
        <row r="13197">
          <cell r="P13197">
            <v>0</v>
          </cell>
        </row>
        <row r="13198">
          <cell r="P13198">
            <v>0</v>
          </cell>
        </row>
        <row r="13199">
          <cell r="P13199">
            <v>0</v>
          </cell>
        </row>
        <row r="13200">
          <cell r="P13200">
            <v>0</v>
          </cell>
        </row>
        <row r="13201">
          <cell r="P13201">
            <v>0</v>
          </cell>
        </row>
        <row r="13202">
          <cell r="P13202">
            <v>0</v>
          </cell>
        </row>
        <row r="13203">
          <cell r="P13203">
            <v>0</v>
          </cell>
        </row>
        <row r="13204">
          <cell r="P13204">
            <v>0</v>
          </cell>
        </row>
        <row r="13205">
          <cell r="P13205">
            <v>0</v>
          </cell>
        </row>
        <row r="13206">
          <cell r="P13206">
            <v>0</v>
          </cell>
        </row>
        <row r="13207">
          <cell r="P13207">
            <v>0</v>
          </cell>
        </row>
        <row r="13208">
          <cell r="P13208">
            <v>0</v>
          </cell>
        </row>
        <row r="13209">
          <cell r="P13209">
            <v>0</v>
          </cell>
        </row>
        <row r="13210">
          <cell r="P13210">
            <v>0</v>
          </cell>
        </row>
        <row r="13211">
          <cell r="P13211">
            <v>0</v>
          </cell>
        </row>
        <row r="13212">
          <cell r="P13212">
            <v>0</v>
          </cell>
        </row>
        <row r="13213">
          <cell r="P13213">
            <v>0</v>
          </cell>
        </row>
        <row r="13214">
          <cell r="P13214">
            <v>0</v>
          </cell>
        </row>
        <row r="13215">
          <cell r="P13215">
            <v>0</v>
          </cell>
        </row>
        <row r="13216">
          <cell r="P13216">
            <v>0</v>
          </cell>
        </row>
        <row r="13217">
          <cell r="P13217">
            <v>0</v>
          </cell>
        </row>
        <row r="13218">
          <cell r="P13218">
            <v>0</v>
          </cell>
        </row>
        <row r="13219">
          <cell r="P13219">
            <v>0</v>
          </cell>
        </row>
        <row r="13220">
          <cell r="P13220">
            <v>0</v>
          </cell>
        </row>
        <row r="13221">
          <cell r="P13221">
            <v>0</v>
          </cell>
        </row>
        <row r="13222">
          <cell r="P13222">
            <v>0</v>
          </cell>
        </row>
        <row r="13223">
          <cell r="P13223">
            <v>0</v>
          </cell>
        </row>
        <row r="13224">
          <cell r="P13224">
            <v>0</v>
          </cell>
        </row>
        <row r="13225">
          <cell r="P13225">
            <v>0</v>
          </cell>
        </row>
        <row r="13226">
          <cell r="P13226">
            <v>0</v>
          </cell>
        </row>
        <row r="13227">
          <cell r="P13227">
            <v>0</v>
          </cell>
        </row>
        <row r="13228">
          <cell r="P13228">
            <v>0</v>
          </cell>
        </row>
        <row r="13229">
          <cell r="P13229">
            <v>0</v>
          </cell>
        </row>
        <row r="13230">
          <cell r="P13230">
            <v>0</v>
          </cell>
        </row>
        <row r="13231">
          <cell r="P13231">
            <v>0</v>
          </cell>
        </row>
        <row r="13232">
          <cell r="P13232">
            <v>0</v>
          </cell>
        </row>
        <row r="13233">
          <cell r="P13233">
            <v>0</v>
          </cell>
        </row>
        <row r="13234">
          <cell r="P13234">
            <v>0</v>
          </cell>
        </row>
        <row r="13235">
          <cell r="P13235">
            <v>0</v>
          </cell>
        </row>
        <row r="13236">
          <cell r="P13236">
            <v>0</v>
          </cell>
        </row>
        <row r="13237">
          <cell r="P13237">
            <v>0</v>
          </cell>
        </row>
        <row r="13238">
          <cell r="P13238">
            <v>0</v>
          </cell>
        </row>
        <row r="13239">
          <cell r="P13239">
            <v>0</v>
          </cell>
        </row>
        <row r="13240">
          <cell r="P13240">
            <v>0</v>
          </cell>
        </row>
        <row r="13241">
          <cell r="P13241">
            <v>0</v>
          </cell>
        </row>
        <row r="13242">
          <cell r="P13242">
            <v>0</v>
          </cell>
        </row>
        <row r="13243">
          <cell r="P13243">
            <v>0</v>
          </cell>
        </row>
        <row r="13244">
          <cell r="P13244">
            <v>0</v>
          </cell>
        </row>
        <row r="13245">
          <cell r="P13245">
            <v>0</v>
          </cell>
        </row>
        <row r="13246">
          <cell r="P13246">
            <v>0</v>
          </cell>
        </row>
        <row r="13247">
          <cell r="P13247">
            <v>0</v>
          </cell>
        </row>
        <row r="13248">
          <cell r="P13248">
            <v>0</v>
          </cell>
        </row>
        <row r="13249">
          <cell r="P13249">
            <v>0</v>
          </cell>
        </row>
        <row r="13250">
          <cell r="P13250">
            <v>0</v>
          </cell>
        </row>
        <row r="13251">
          <cell r="P13251">
            <v>0</v>
          </cell>
        </row>
        <row r="13252">
          <cell r="P13252">
            <v>0</v>
          </cell>
        </row>
        <row r="13253">
          <cell r="P13253">
            <v>0</v>
          </cell>
        </row>
        <row r="13254">
          <cell r="P13254">
            <v>0</v>
          </cell>
        </row>
        <row r="13255">
          <cell r="P13255">
            <v>0</v>
          </cell>
        </row>
        <row r="13256">
          <cell r="P13256">
            <v>0</v>
          </cell>
        </row>
        <row r="13257">
          <cell r="P13257">
            <v>0</v>
          </cell>
        </row>
        <row r="13258">
          <cell r="P13258">
            <v>0</v>
          </cell>
        </row>
        <row r="13259">
          <cell r="P13259">
            <v>0</v>
          </cell>
        </row>
        <row r="13260">
          <cell r="P13260">
            <v>0</v>
          </cell>
        </row>
        <row r="13261">
          <cell r="P13261">
            <v>0</v>
          </cell>
        </row>
        <row r="13262">
          <cell r="P13262">
            <v>0</v>
          </cell>
        </row>
        <row r="13263">
          <cell r="P13263">
            <v>0</v>
          </cell>
        </row>
        <row r="13264">
          <cell r="P13264">
            <v>0</v>
          </cell>
        </row>
        <row r="13265">
          <cell r="P13265">
            <v>0</v>
          </cell>
        </row>
        <row r="13266">
          <cell r="P13266">
            <v>0</v>
          </cell>
        </row>
        <row r="13267">
          <cell r="P13267">
            <v>0</v>
          </cell>
        </row>
        <row r="13268">
          <cell r="P13268">
            <v>0</v>
          </cell>
        </row>
        <row r="13269">
          <cell r="P13269">
            <v>0</v>
          </cell>
        </row>
        <row r="13270">
          <cell r="P13270">
            <v>0</v>
          </cell>
        </row>
        <row r="13271">
          <cell r="P13271">
            <v>0</v>
          </cell>
        </row>
        <row r="13272">
          <cell r="P13272">
            <v>0</v>
          </cell>
        </row>
        <row r="13273">
          <cell r="P13273">
            <v>0</v>
          </cell>
        </row>
        <row r="13274">
          <cell r="P13274">
            <v>0</v>
          </cell>
        </row>
        <row r="13275">
          <cell r="P13275">
            <v>0</v>
          </cell>
        </row>
        <row r="13276">
          <cell r="P13276">
            <v>0</v>
          </cell>
        </row>
        <row r="13277">
          <cell r="P13277">
            <v>0</v>
          </cell>
        </row>
        <row r="13278">
          <cell r="P13278">
            <v>0</v>
          </cell>
        </row>
        <row r="13279">
          <cell r="P13279">
            <v>0</v>
          </cell>
        </row>
        <row r="13280">
          <cell r="P13280">
            <v>0</v>
          </cell>
        </row>
        <row r="13281">
          <cell r="P13281">
            <v>0</v>
          </cell>
        </row>
        <row r="13282">
          <cell r="P13282">
            <v>0</v>
          </cell>
        </row>
        <row r="13283">
          <cell r="P13283">
            <v>0</v>
          </cell>
        </row>
        <row r="13284">
          <cell r="P13284">
            <v>0</v>
          </cell>
        </row>
        <row r="13285">
          <cell r="P13285">
            <v>0</v>
          </cell>
        </row>
        <row r="13286">
          <cell r="P13286">
            <v>0</v>
          </cell>
        </row>
        <row r="13287">
          <cell r="P13287">
            <v>0</v>
          </cell>
        </row>
        <row r="13288">
          <cell r="P13288">
            <v>0</v>
          </cell>
        </row>
        <row r="13289">
          <cell r="P13289">
            <v>0</v>
          </cell>
        </row>
        <row r="13290">
          <cell r="P13290">
            <v>0</v>
          </cell>
        </row>
        <row r="13291">
          <cell r="P13291">
            <v>0</v>
          </cell>
        </row>
        <row r="13292">
          <cell r="P13292">
            <v>0</v>
          </cell>
        </row>
        <row r="13293">
          <cell r="P13293">
            <v>0</v>
          </cell>
        </row>
        <row r="13294">
          <cell r="P13294">
            <v>0</v>
          </cell>
        </row>
        <row r="13295">
          <cell r="P13295">
            <v>0</v>
          </cell>
        </row>
        <row r="13296">
          <cell r="P13296">
            <v>0</v>
          </cell>
        </row>
        <row r="13297">
          <cell r="P13297">
            <v>0</v>
          </cell>
        </row>
        <row r="13298">
          <cell r="P13298">
            <v>0</v>
          </cell>
        </row>
        <row r="13299">
          <cell r="P13299">
            <v>0</v>
          </cell>
        </row>
        <row r="13300">
          <cell r="P13300">
            <v>0</v>
          </cell>
        </row>
        <row r="13301">
          <cell r="P13301">
            <v>0</v>
          </cell>
        </row>
        <row r="13302">
          <cell r="P13302">
            <v>0</v>
          </cell>
        </row>
        <row r="13303">
          <cell r="P13303">
            <v>0</v>
          </cell>
        </row>
        <row r="13304">
          <cell r="P13304">
            <v>0</v>
          </cell>
        </row>
        <row r="13305">
          <cell r="P13305">
            <v>0</v>
          </cell>
        </row>
        <row r="13306">
          <cell r="P13306">
            <v>0</v>
          </cell>
        </row>
        <row r="13307">
          <cell r="P13307">
            <v>0</v>
          </cell>
        </row>
        <row r="13308">
          <cell r="P13308">
            <v>0</v>
          </cell>
        </row>
        <row r="13309">
          <cell r="P13309">
            <v>0</v>
          </cell>
        </row>
        <row r="13310">
          <cell r="P13310">
            <v>0</v>
          </cell>
        </row>
        <row r="13311">
          <cell r="P13311">
            <v>0</v>
          </cell>
        </row>
        <row r="13312">
          <cell r="P13312">
            <v>0</v>
          </cell>
        </row>
        <row r="13313">
          <cell r="P13313">
            <v>0</v>
          </cell>
        </row>
        <row r="13314">
          <cell r="P13314">
            <v>0</v>
          </cell>
        </row>
        <row r="13315">
          <cell r="P13315">
            <v>0</v>
          </cell>
        </row>
        <row r="13316">
          <cell r="P13316">
            <v>0</v>
          </cell>
        </row>
        <row r="13317">
          <cell r="P13317">
            <v>0</v>
          </cell>
        </row>
        <row r="13318">
          <cell r="P13318">
            <v>0</v>
          </cell>
        </row>
        <row r="13319">
          <cell r="P13319">
            <v>0</v>
          </cell>
        </row>
        <row r="13320">
          <cell r="P13320">
            <v>0</v>
          </cell>
        </row>
        <row r="13321">
          <cell r="P13321">
            <v>0</v>
          </cell>
        </row>
        <row r="13322">
          <cell r="P13322">
            <v>0</v>
          </cell>
        </row>
        <row r="13323">
          <cell r="P13323">
            <v>0</v>
          </cell>
        </row>
        <row r="13324">
          <cell r="P13324">
            <v>0</v>
          </cell>
        </row>
        <row r="13325">
          <cell r="P13325">
            <v>0</v>
          </cell>
        </row>
        <row r="13326">
          <cell r="P13326">
            <v>0</v>
          </cell>
        </row>
        <row r="13327">
          <cell r="P13327">
            <v>0</v>
          </cell>
        </row>
        <row r="13328">
          <cell r="P13328">
            <v>0</v>
          </cell>
        </row>
        <row r="13329">
          <cell r="P13329">
            <v>0</v>
          </cell>
        </row>
        <row r="13330">
          <cell r="P13330">
            <v>0</v>
          </cell>
        </row>
        <row r="13331">
          <cell r="P13331">
            <v>0</v>
          </cell>
        </row>
        <row r="13332">
          <cell r="P13332">
            <v>0</v>
          </cell>
        </row>
        <row r="13333">
          <cell r="P13333">
            <v>0</v>
          </cell>
        </row>
        <row r="13334">
          <cell r="P13334">
            <v>0</v>
          </cell>
        </row>
        <row r="13335">
          <cell r="P13335">
            <v>0</v>
          </cell>
        </row>
        <row r="13336">
          <cell r="P13336">
            <v>0</v>
          </cell>
        </row>
        <row r="13337">
          <cell r="P13337">
            <v>0</v>
          </cell>
        </row>
        <row r="13338">
          <cell r="P13338">
            <v>0</v>
          </cell>
        </row>
        <row r="13339">
          <cell r="P13339">
            <v>0</v>
          </cell>
        </row>
        <row r="13340">
          <cell r="P13340">
            <v>0</v>
          </cell>
        </row>
        <row r="13341">
          <cell r="P13341">
            <v>0</v>
          </cell>
        </row>
        <row r="13342">
          <cell r="P13342">
            <v>0</v>
          </cell>
        </row>
        <row r="13343">
          <cell r="P13343">
            <v>0</v>
          </cell>
        </row>
        <row r="13344">
          <cell r="P13344">
            <v>0</v>
          </cell>
        </row>
        <row r="13345">
          <cell r="P13345">
            <v>0</v>
          </cell>
        </row>
        <row r="13346">
          <cell r="P13346">
            <v>0</v>
          </cell>
        </row>
        <row r="13347">
          <cell r="P13347">
            <v>0</v>
          </cell>
        </row>
        <row r="13348">
          <cell r="P13348">
            <v>0</v>
          </cell>
        </row>
        <row r="13349">
          <cell r="P13349">
            <v>0</v>
          </cell>
        </row>
        <row r="13350">
          <cell r="P13350">
            <v>0</v>
          </cell>
        </row>
        <row r="13351">
          <cell r="P13351">
            <v>0</v>
          </cell>
        </row>
        <row r="13352">
          <cell r="P13352">
            <v>0</v>
          </cell>
        </row>
        <row r="13353">
          <cell r="P13353">
            <v>0</v>
          </cell>
        </row>
        <row r="13354">
          <cell r="P13354">
            <v>0</v>
          </cell>
        </row>
        <row r="13355">
          <cell r="P13355">
            <v>0</v>
          </cell>
        </row>
        <row r="13356">
          <cell r="P13356">
            <v>0</v>
          </cell>
        </row>
        <row r="13357">
          <cell r="P13357">
            <v>0</v>
          </cell>
        </row>
        <row r="13358">
          <cell r="P13358">
            <v>0</v>
          </cell>
        </row>
        <row r="13359">
          <cell r="P13359">
            <v>0</v>
          </cell>
        </row>
        <row r="13360">
          <cell r="P13360">
            <v>0</v>
          </cell>
        </row>
        <row r="13361">
          <cell r="P13361">
            <v>0</v>
          </cell>
        </row>
        <row r="13362">
          <cell r="P13362">
            <v>0</v>
          </cell>
        </row>
        <row r="13363">
          <cell r="P13363">
            <v>0</v>
          </cell>
        </row>
        <row r="13364">
          <cell r="P13364">
            <v>0</v>
          </cell>
        </row>
        <row r="13365">
          <cell r="P13365">
            <v>0</v>
          </cell>
        </row>
        <row r="13366">
          <cell r="P13366">
            <v>0</v>
          </cell>
        </row>
        <row r="13367">
          <cell r="P13367">
            <v>0</v>
          </cell>
        </row>
        <row r="13368">
          <cell r="P13368">
            <v>0</v>
          </cell>
        </row>
        <row r="13369">
          <cell r="P13369">
            <v>0</v>
          </cell>
        </row>
        <row r="13370">
          <cell r="P13370">
            <v>0</v>
          </cell>
        </row>
        <row r="13371">
          <cell r="P13371">
            <v>0</v>
          </cell>
        </row>
        <row r="13372">
          <cell r="P13372">
            <v>0</v>
          </cell>
        </row>
        <row r="13373">
          <cell r="P13373">
            <v>0</v>
          </cell>
        </row>
        <row r="13374">
          <cell r="P13374">
            <v>0</v>
          </cell>
        </row>
        <row r="13375">
          <cell r="P13375">
            <v>0</v>
          </cell>
        </row>
        <row r="13376">
          <cell r="P13376">
            <v>0</v>
          </cell>
        </row>
        <row r="13377">
          <cell r="P13377">
            <v>0</v>
          </cell>
        </row>
        <row r="13378">
          <cell r="P13378">
            <v>0</v>
          </cell>
        </row>
        <row r="13379">
          <cell r="P13379">
            <v>0</v>
          </cell>
        </row>
        <row r="13380">
          <cell r="P13380">
            <v>0</v>
          </cell>
        </row>
        <row r="13381">
          <cell r="P13381">
            <v>0</v>
          </cell>
        </row>
        <row r="13382">
          <cell r="P13382">
            <v>0</v>
          </cell>
        </row>
        <row r="13383">
          <cell r="P13383">
            <v>0</v>
          </cell>
        </row>
        <row r="13384">
          <cell r="P13384">
            <v>0</v>
          </cell>
        </row>
        <row r="13385">
          <cell r="P13385">
            <v>0</v>
          </cell>
        </row>
        <row r="13386">
          <cell r="P13386">
            <v>0</v>
          </cell>
        </row>
        <row r="13387">
          <cell r="P13387">
            <v>0</v>
          </cell>
        </row>
        <row r="13388">
          <cell r="P13388">
            <v>0</v>
          </cell>
        </row>
        <row r="13389">
          <cell r="P13389">
            <v>0</v>
          </cell>
        </row>
        <row r="13390">
          <cell r="P13390">
            <v>0</v>
          </cell>
        </row>
        <row r="13391">
          <cell r="P13391">
            <v>0</v>
          </cell>
        </row>
        <row r="13392">
          <cell r="P13392">
            <v>0</v>
          </cell>
        </row>
        <row r="13393">
          <cell r="P13393">
            <v>0</v>
          </cell>
        </row>
        <row r="13394">
          <cell r="P13394">
            <v>0</v>
          </cell>
        </row>
        <row r="13395">
          <cell r="P13395">
            <v>0</v>
          </cell>
        </row>
        <row r="13396">
          <cell r="P13396">
            <v>0</v>
          </cell>
        </row>
        <row r="13397">
          <cell r="P13397">
            <v>0</v>
          </cell>
        </row>
        <row r="13398">
          <cell r="P13398">
            <v>0</v>
          </cell>
        </row>
        <row r="13399">
          <cell r="P13399">
            <v>0</v>
          </cell>
        </row>
        <row r="13400">
          <cell r="P13400">
            <v>0</v>
          </cell>
        </row>
        <row r="13401">
          <cell r="P13401">
            <v>0</v>
          </cell>
        </row>
        <row r="13402">
          <cell r="P13402">
            <v>0</v>
          </cell>
        </row>
        <row r="13403">
          <cell r="P13403">
            <v>0</v>
          </cell>
        </row>
        <row r="13404">
          <cell r="P13404">
            <v>0</v>
          </cell>
        </row>
        <row r="13405">
          <cell r="P13405">
            <v>0</v>
          </cell>
        </row>
        <row r="13406">
          <cell r="P13406">
            <v>0</v>
          </cell>
        </row>
        <row r="13407">
          <cell r="P13407">
            <v>0</v>
          </cell>
        </row>
        <row r="13408">
          <cell r="P13408">
            <v>0</v>
          </cell>
        </row>
        <row r="13409">
          <cell r="P13409">
            <v>0</v>
          </cell>
        </row>
        <row r="13410">
          <cell r="P13410">
            <v>0</v>
          </cell>
        </row>
        <row r="13411">
          <cell r="P13411">
            <v>0</v>
          </cell>
        </row>
        <row r="13412">
          <cell r="P13412">
            <v>0</v>
          </cell>
        </row>
        <row r="13413">
          <cell r="P13413">
            <v>0</v>
          </cell>
        </row>
        <row r="13414">
          <cell r="P13414">
            <v>0</v>
          </cell>
        </row>
        <row r="13415">
          <cell r="P13415">
            <v>0</v>
          </cell>
        </row>
        <row r="13416">
          <cell r="P13416">
            <v>0</v>
          </cell>
        </row>
        <row r="13417">
          <cell r="P13417">
            <v>0</v>
          </cell>
        </row>
        <row r="13418">
          <cell r="P13418">
            <v>0</v>
          </cell>
        </row>
        <row r="13419">
          <cell r="P13419">
            <v>0</v>
          </cell>
        </row>
        <row r="13420">
          <cell r="P13420">
            <v>0</v>
          </cell>
        </row>
        <row r="13421">
          <cell r="P13421">
            <v>0</v>
          </cell>
        </row>
        <row r="13422">
          <cell r="P13422">
            <v>0</v>
          </cell>
        </row>
        <row r="13423">
          <cell r="P13423">
            <v>0</v>
          </cell>
        </row>
        <row r="13424">
          <cell r="P13424">
            <v>0</v>
          </cell>
        </row>
        <row r="13425">
          <cell r="P13425">
            <v>0</v>
          </cell>
        </row>
        <row r="13426">
          <cell r="P13426">
            <v>0</v>
          </cell>
        </row>
        <row r="13427">
          <cell r="P13427">
            <v>0</v>
          </cell>
        </row>
        <row r="13428">
          <cell r="P13428">
            <v>0</v>
          </cell>
        </row>
        <row r="13429">
          <cell r="P13429">
            <v>0</v>
          </cell>
        </row>
        <row r="13430">
          <cell r="P13430">
            <v>0</v>
          </cell>
        </row>
        <row r="13431">
          <cell r="P13431">
            <v>0</v>
          </cell>
        </row>
        <row r="13432">
          <cell r="P13432">
            <v>0</v>
          </cell>
        </row>
        <row r="13433">
          <cell r="P13433">
            <v>0</v>
          </cell>
        </row>
        <row r="13434">
          <cell r="P13434">
            <v>0</v>
          </cell>
        </row>
        <row r="13435">
          <cell r="P13435">
            <v>0</v>
          </cell>
        </row>
        <row r="13436">
          <cell r="P13436">
            <v>0</v>
          </cell>
        </row>
        <row r="13437">
          <cell r="P13437">
            <v>0</v>
          </cell>
        </row>
        <row r="13438">
          <cell r="P13438">
            <v>0</v>
          </cell>
        </row>
        <row r="13439">
          <cell r="P13439">
            <v>0</v>
          </cell>
        </row>
        <row r="13440">
          <cell r="P13440">
            <v>0</v>
          </cell>
        </row>
        <row r="13441">
          <cell r="P13441">
            <v>0</v>
          </cell>
        </row>
        <row r="13442">
          <cell r="P13442">
            <v>0</v>
          </cell>
        </row>
        <row r="13443">
          <cell r="P13443">
            <v>0</v>
          </cell>
        </row>
        <row r="13444">
          <cell r="P13444">
            <v>0</v>
          </cell>
        </row>
        <row r="13445">
          <cell r="P13445">
            <v>0</v>
          </cell>
        </row>
        <row r="13446">
          <cell r="P13446">
            <v>0</v>
          </cell>
        </row>
        <row r="13447">
          <cell r="P13447">
            <v>0</v>
          </cell>
        </row>
        <row r="13448">
          <cell r="P13448">
            <v>0</v>
          </cell>
        </row>
        <row r="13449">
          <cell r="P13449">
            <v>0</v>
          </cell>
        </row>
        <row r="13450">
          <cell r="P13450">
            <v>0</v>
          </cell>
        </row>
        <row r="13451">
          <cell r="P13451">
            <v>0</v>
          </cell>
        </row>
        <row r="13452">
          <cell r="P13452">
            <v>0</v>
          </cell>
        </row>
        <row r="13453">
          <cell r="P13453">
            <v>0</v>
          </cell>
        </row>
        <row r="13454">
          <cell r="P13454">
            <v>0</v>
          </cell>
        </row>
        <row r="13455">
          <cell r="P13455">
            <v>0</v>
          </cell>
        </row>
        <row r="13456">
          <cell r="P13456">
            <v>0</v>
          </cell>
        </row>
        <row r="13457">
          <cell r="P13457">
            <v>0</v>
          </cell>
        </row>
        <row r="13458">
          <cell r="P13458">
            <v>0</v>
          </cell>
        </row>
        <row r="13459">
          <cell r="P13459">
            <v>0</v>
          </cell>
        </row>
        <row r="13460">
          <cell r="P13460">
            <v>0</v>
          </cell>
        </row>
        <row r="13461">
          <cell r="P13461">
            <v>0</v>
          </cell>
        </row>
        <row r="13462">
          <cell r="P13462">
            <v>0</v>
          </cell>
        </row>
        <row r="13463">
          <cell r="P13463">
            <v>0</v>
          </cell>
        </row>
        <row r="13464">
          <cell r="P13464">
            <v>0</v>
          </cell>
        </row>
        <row r="13465">
          <cell r="P13465">
            <v>0</v>
          </cell>
        </row>
        <row r="13466">
          <cell r="P13466">
            <v>0</v>
          </cell>
        </row>
        <row r="13467">
          <cell r="P13467">
            <v>0</v>
          </cell>
        </row>
        <row r="13468">
          <cell r="P13468">
            <v>0</v>
          </cell>
        </row>
        <row r="13469">
          <cell r="P13469">
            <v>0</v>
          </cell>
        </row>
        <row r="13470">
          <cell r="P13470">
            <v>0</v>
          </cell>
        </row>
        <row r="13471">
          <cell r="P13471">
            <v>0</v>
          </cell>
        </row>
        <row r="13472">
          <cell r="P13472">
            <v>0</v>
          </cell>
        </row>
        <row r="13473">
          <cell r="P13473">
            <v>0</v>
          </cell>
        </row>
        <row r="13474">
          <cell r="P13474">
            <v>0</v>
          </cell>
        </row>
        <row r="13475">
          <cell r="P13475">
            <v>0</v>
          </cell>
        </row>
        <row r="13476">
          <cell r="P13476">
            <v>0</v>
          </cell>
        </row>
        <row r="13477">
          <cell r="P13477">
            <v>0</v>
          </cell>
        </row>
        <row r="13478">
          <cell r="P13478">
            <v>0</v>
          </cell>
        </row>
        <row r="13479">
          <cell r="P13479">
            <v>0</v>
          </cell>
        </row>
        <row r="13480">
          <cell r="P13480">
            <v>0</v>
          </cell>
        </row>
        <row r="13481">
          <cell r="P13481">
            <v>0</v>
          </cell>
        </row>
        <row r="13482">
          <cell r="P13482">
            <v>0</v>
          </cell>
        </row>
        <row r="13483">
          <cell r="P13483">
            <v>0</v>
          </cell>
        </row>
        <row r="13484">
          <cell r="P13484">
            <v>0</v>
          </cell>
        </row>
        <row r="13485">
          <cell r="P13485">
            <v>0</v>
          </cell>
        </row>
        <row r="13486">
          <cell r="P13486">
            <v>0</v>
          </cell>
        </row>
        <row r="13487">
          <cell r="P13487">
            <v>0</v>
          </cell>
        </row>
        <row r="13488">
          <cell r="P13488">
            <v>0</v>
          </cell>
        </row>
        <row r="13489">
          <cell r="P13489">
            <v>0</v>
          </cell>
        </row>
        <row r="13490">
          <cell r="P13490">
            <v>0</v>
          </cell>
        </row>
        <row r="13491">
          <cell r="P13491">
            <v>0</v>
          </cell>
        </row>
        <row r="13492">
          <cell r="P13492">
            <v>0</v>
          </cell>
        </row>
        <row r="13493">
          <cell r="P13493">
            <v>0</v>
          </cell>
        </row>
        <row r="13494">
          <cell r="P13494">
            <v>0</v>
          </cell>
        </row>
        <row r="13495">
          <cell r="P13495">
            <v>0</v>
          </cell>
        </row>
        <row r="13496">
          <cell r="P13496">
            <v>0</v>
          </cell>
        </row>
        <row r="13497">
          <cell r="P13497">
            <v>0</v>
          </cell>
        </row>
        <row r="13498">
          <cell r="P13498">
            <v>0</v>
          </cell>
        </row>
        <row r="13499">
          <cell r="P13499">
            <v>0</v>
          </cell>
        </row>
        <row r="13500">
          <cell r="P13500">
            <v>0</v>
          </cell>
        </row>
        <row r="13501">
          <cell r="P13501">
            <v>0</v>
          </cell>
        </row>
        <row r="13502">
          <cell r="P13502">
            <v>0</v>
          </cell>
        </row>
        <row r="13503">
          <cell r="P13503">
            <v>0</v>
          </cell>
        </row>
        <row r="13504">
          <cell r="P13504">
            <v>0</v>
          </cell>
        </row>
        <row r="13505">
          <cell r="P13505">
            <v>0</v>
          </cell>
        </row>
        <row r="13506">
          <cell r="P13506">
            <v>0</v>
          </cell>
        </row>
        <row r="13507">
          <cell r="P13507">
            <v>0</v>
          </cell>
        </row>
        <row r="13508">
          <cell r="P13508">
            <v>0</v>
          </cell>
        </row>
        <row r="13509">
          <cell r="P13509">
            <v>0</v>
          </cell>
        </row>
        <row r="13510">
          <cell r="P13510">
            <v>0</v>
          </cell>
        </row>
        <row r="13511">
          <cell r="P13511">
            <v>0</v>
          </cell>
        </row>
        <row r="13512">
          <cell r="P13512">
            <v>0</v>
          </cell>
        </row>
        <row r="13513">
          <cell r="P13513">
            <v>0</v>
          </cell>
        </row>
        <row r="13514">
          <cell r="P13514">
            <v>0</v>
          </cell>
        </row>
        <row r="13515">
          <cell r="P13515">
            <v>0</v>
          </cell>
        </row>
        <row r="13516">
          <cell r="P13516">
            <v>0</v>
          </cell>
        </row>
        <row r="13517">
          <cell r="P13517">
            <v>0</v>
          </cell>
        </row>
        <row r="13518">
          <cell r="P13518">
            <v>0</v>
          </cell>
        </row>
        <row r="13519">
          <cell r="P13519">
            <v>0</v>
          </cell>
        </row>
        <row r="13520">
          <cell r="P13520">
            <v>0</v>
          </cell>
        </row>
        <row r="13521">
          <cell r="P13521">
            <v>0</v>
          </cell>
        </row>
        <row r="13522">
          <cell r="P13522">
            <v>0</v>
          </cell>
        </row>
        <row r="13523">
          <cell r="P13523">
            <v>0</v>
          </cell>
        </row>
        <row r="13524">
          <cell r="P13524">
            <v>0</v>
          </cell>
        </row>
        <row r="13525">
          <cell r="P13525">
            <v>0</v>
          </cell>
        </row>
        <row r="13526">
          <cell r="P13526">
            <v>0</v>
          </cell>
        </row>
        <row r="13527">
          <cell r="P13527">
            <v>0</v>
          </cell>
        </row>
        <row r="13528">
          <cell r="P13528">
            <v>0</v>
          </cell>
        </row>
        <row r="13529">
          <cell r="P13529">
            <v>0</v>
          </cell>
        </row>
        <row r="13530">
          <cell r="P13530">
            <v>0</v>
          </cell>
        </row>
        <row r="13531">
          <cell r="P13531">
            <v>0</v>
          </cell>
        </row>
        <row r="13532">
          <cell r="P13532">
            <v>0</v>
          </cell>
        </row>
        <row r="13533">
          <cell r="P13533">
            <v>0</v>
          </cell>
        </row>
        <row r="13534">
          <cell r="P13534">
            <v>0</v>
          </cell>
        </row>
        <row r="13535">
          <cell r="P13535">
            <v>0</v>
          </cell>
        </row>
        <row r="13536">
          <cell r="P13536">
            <v>0</v>
          </cell>
        </row>
        <row r="13537">
          <cell r="P13537">
            <v>0</v>
          </cell>
        </row>
        <row r="13538">
          <cell r="P13538">
            <v>0</v>
          </cell>
        </row>
        <row r="13539">
          <cell r="P13539">
            <v>0</v>
          </cell>
        </row>
        <row r="13540">
          <cell r="P13540">
            <v>0</v>
          </cell>
        </row>
        <row r="13541">
          <cell r="P13541">
            <v>0</v>
          </cell>
        </row>
        <row r="13542">
          <cell r="P13542">
            <v>0</v>
          </cell>
        </row>
        <row r="13543">
          <cell r="P13543">
            <v>0</v>
          </cell>
        </row>
        <row r="13544">
          <cell r="P13544">
            <v>0</v>
          </cell>
        </row>
        <row r="13545">
          <cell r="P13545">
            <v>0</v>
          </cell>
        </row>
        <row r="13546">
          <cell r="P13546">
            <v>0</v>
          </cell>
        </row>
        <row r="13547">
          <cell r="P13547">
            <v>0</v>
          </cell>
        </row>
        <row r="13548">
          <cell r="P13548">
            <v>0</v>
          </cell>
        </row>
        <row r="13549">
          <cell r="P13549">
            <v>0</v>
          </cell>
        </row>
        <row r="13550">
          <cell r="P13550">
            <v>0</v>
          </cell>
        </row>
        <row r="13551">
          <cell r="P13551">
            <v>0</v>
          </cell>
        </row>
        <row r="13552">
          <cell r="P13552">
            <v>0</v>
          </cell>
        </row>
        <row r="13553">
          <cell r="P13553">
            <v>0</v>
          </cell>
        </row>
        <row r="13554">
          <cell r="P13554">
            <v>0</v>
          </cell>
        </row>
        <row r="13555">
          <cell r="P13555">
            <v>0</v>
          </cell>
        </row>
        <row r="13556">
          <cell r="P13556">
            <v>0</v>
          </cell>
        </row>
        <row r="13557">
          <cell r="P13557">
            <v>0</v>
          </cell>
        </row>
        <row r="13558">
          <cell r="P13558">
            <v>0</v>
          </cell>
        </row>
        <row r="13559">
          <cell r="P13559">
            <v>0</v>
          </cell>
        </row>
        <row r="13560">
          <cell r="P13560">
            <v>0</v>
          </cell>
        </row>
        <row r="13561">
          <cell r="P13561">
            <v>0</v>
          </cell>
        </row>
        <row r="13562">
          <cell r="P13562">
            <v>0</v>
          </cell>
        </row>
        <row r="13563">
          <cell r="P13563">
            <v>0</v>
          </cell>
        </row>
        <row r="13564">
          <cell r="P13564">
            <v>0</v>
          </cell>
        </row>
        <row r="13565">
          <cell r="P13565">
            <v>0</v>
          </cell>
        </row>
        <row r="13566">
          <cell r="P13566">
            <v>0</v>
          </cell>
        </row>
        <row r="13567">
          <cell r="P13567">
            <v>0</v>
          </cell>
        </row>
        <row r="13568">
          <cell r="P13568">
            <v>0</v>
          </cell>
        </row>
        <row r="13569">
          <cell r="P13569">
            <v>0</v>
          </cell>
        </row>
        <row r="13570">
          <cell r="P13570">
            <v>0</v>
          </cell>
        </row>
        <row r="13571">
          <cell r="P13571">
            <v>0</v>
          </cell>
        </row>
        <row r="13572">
          <cell r="P13572">
            <v>0</v>
          </cell>
        </row>
        <row r="13573">
          <cell r="P13573">
            <v>0</v>
          </cell>
        </row>
        <row r="13574">
          <cell r="P13574">
            <v>0</v>
          </cell>
        </row>
        <row r="13575">
          <cell r="P13575">
            <v>0</v>
          </cell>
        </row>
        <row r="13576">
          <cell r="P13576">
            <v>0</v>
          </cell>
        </row>
        <row r="13577">
          <cell r="P13577">
            <v>0</v>
          </cell>
        </row>
        <row r="13578">
          <cell r="P13578">
            <v>0</v>
          </cell>
        </row>
        <row r="13579">
          <cell r="P13579">
            <v>0</v>
          </cell>
        </row>
        <row r="13580">
          <cell r="P13580">
            <v>0</v>
          </cell>
        </row>
        <row r="13581">
          <cell r="P13581">
            <v>0</v>
          </cell>
        </row>
        <row r="13582">
          <cell r="P13582">
            <v>0</v>
          </cell>
        </row>
        <row r="13583">
          <cell r="P13583">
            <v>0</v>
          </cell>
        </row>
        <row r="13584">
          <cell r="P13584">
            <v>0</v>
          </cell>
        </row>
        <row r="13585">
          <cell r="P13585">
            <v>0</v>
          </cell>
        </row>
        <row r="13586">
          <cell r="P13586">
            <v>0</v>
          </cell>
        </row>
        <row r="13587">
          <cell r="P13587">
            <v>0</v>
          </cell>
        </row>
        <row r="13588">
          <cell r="P13588">
            <v>0</v>
          </cell>
        </row>
        <row r="13589">
          <cell r="P13589">
            <v>0</v>
          </cell>
        </row>
        <row r="13590">
          <cell r="P13590">
            <v>0</v>
          </cell>
        </row>
        <row r="13591">
          <cell r="P13591">
            <v>0</v>
          </cell>
        </row>
        <row r="13592">
          <cell r="P13592">
            <v>0</v>
          </cell>
        </row>
        <row r="13593">
          <cell r="P13593">
            <v>0</v>
          </cell>
        </row>
        <row r="13594">
          <cell r="P13594">
            <v>0</v>
          </cell>
        </row>
        <row r="13595">
          <cell r="P13595">
            <v>0</v>
          </cell>
        </row>
        <row r="13596">
          <cell r="P13596">
            <v>0</v>
          </cell>
        </row>
        <row r="13597">
          <cell r="P13597">
            <v>0</v>
          </cell>
        </row>
        <row r="13598">
          <cell r="P13598">
            <v>0</v>
          </cell>
        </row>
        <row r="13599">
          <cell r="P13599">
            <v>0</v>
          </cell>
        </row>
        <row r="13600">
          <cell r="P13600">
            <v>0</v>
          </cell>
        </row>
        <row r="13601">
          <cell r="P13601">
            <v>0</v>
          </cell>
        </row>
        <row r="13602">
          <cell r="P13602">
            <v>0</v>
          </cell>
        </row>
        <row r="13603">
          <cell r="P13603">
            <v>0</v>
          </cell>
        </row>
        <row r="13604">
          <cell r="P13604">
            <v>0</v>
          </cell>
        </row>
        <row r="13605">
          <cell r="P13605">
            <v>0</v>
          </cell>
        </row>
        <row r="13606">
          <cell r="P13606">
            <v>0</v>
          </cell>
        </row>
        <row r="13607">
          <cell r="P13607">
            <v>31.02</v>
          </cell>
        </row>
        <row r="13608">
          <cell r="P13608">
            <v>31.02</v>
          </cell>
        </row>
        <row r="13609">
          <cell r="P13609">
            <v>0.77550000000000008</v>
          </cell>
        </row>
        <row r="13610">
          <cell r="P13610">
            <v>31.02</v>
          </cell>
        </row>
        <row r="13611">
          <cell r="P13611">
            <v>15.51</v>
          </cell>
        </row>
        <row r="13612">
          <cell r="P13612">
            <v>0</v>
          </cell>
        </row>
        <row r="13613">
          <cell r="P13613">
            <v>0</v>
          </cell>
        </row>
        <row r="13614">
          <cell r="P13614">
            <v>0</v>
          </cell>
        </row>
        <row r="13615">
          <cell r="P13615">
            <v>0</v>
          </cell>
        </row>
        <row r="13616">
          <cell r="P13616">
            <v>0</v>
          </cell>
        </row>
        <row r="13617">
          <cell r="P13617">
            <v>0</v>
          </cell>
        </row>
        <row r="13618">
          <cell r="P13618">
            <v>0</v>
          </cell>
        </row>
        <row r="13619">
          <cell r="P13619">
            <v>0</v>
          </cell>
        </row>
        <row r="13620">
          <cell r="P13620">
            <v>0</v>
          </cell>
        </row>
        <row r="13621">
          <cell r="P13621">
            <v>0</v>
          </cell>
        </row>
        <row r="13622">
          <cell r="P13622">
            <v>0</v>
          </cell>
        </row>
        <row r="13623">
          <cell r="P13623">
            <v>0</v>
          </cell>
        </row>
        <row r="13624">
          <cell r="P13624">
            <v>0</v>
          </cell>
        </row>
        <row r="13625">
          <cell r="P13625">
            <v>0</v>
          </cell>
        </row>
        <row r="13626">
          <cell r="P13626">
            <v>0</v>
          </cell>
        </row>
        <row r="13627">
          <cell r="P13627">
            <v>0</v>
          </cell>
        </row>
        <row r="13628">
          <cell r="P13628">
            <v>0</v>
          </cell>
        </row>
        <row r="13629">
          <cell r="P13629">
            <v>0</v>
          </cell>
        </row>
        <row r="13630">
          <cell r="P13630">
            <v>0</v>
          </cell>
        </row>
        <row r="13631">
          <cell r="P13631">
            <v>0</v>
          </cell>
        </row>
        <row r="13632">
          <cell r="P13632">
            <v>0</v>
          </cell>
        </row>
        <row r="13633">
          <cell r="P13633">
            <v>0</v>
          </cell>
        </row>
        <row r="13634">
          <cell r="P13634">
            <v>0</v>
          </cell>
        </row>
        <row r="13635">
          <cell r="P13635">
            <v>0</v>
          </cell>
        </row>
        <row r="13636">
          <cell r="P13636">
            <v>0</v>
          </cell>
        </row>
        <row r="13637">
          <cell r="P13637">
            <v>0</v>
          </cell>
        </row>
        <row r="13638">
          <cell r="P13638">
            <v>0</v>
          </cell>
        </row>
        <row r="13639">
          <cell r="P13639">
            <v>0</v>
          </cell>
        </row>
        <row r="13640">
          <cell r="P13640">
            <v>0</v>
          </cell>
        </row>
        <row r="13641">
          <cell r="P13641">
            <v>0</v>
          </cell>
        </row>
        <row r="13642">
          <cell r="P13642">
            <v>0</v>
          </cell>
        </row>
        <row r="13643">
          <cell r="P13643">
            <v>0</v>
          </cell>
        </row>
        <row r="13644">
          <cell r="P13644">
            <v>0</v>
          </cell>
        </row>
        <row r="13645">
          <cell r="P13645">
            <v>0</v>
          </cell>
        </row>
        <row r="13646">
          <cell r="P13646">
            <v>0</v>
          </cell>
        </row>
        <row r="13647">
          <cell r="P13647">
            <v>0</v>
          </cell>
        </row>
        <row r="13648">
          <cell r="P13648">
            <v>0</v>
          </cell>
        </row>
        <row r="13649">
          <cell r="P13649">
            <v>0</v>
          </cell>
        </row>
        <row r="13650">
          <cell r="P13650">
            <v>0</v>
          </cell>
        </row>
        <row r="13651">
          <cell r="P13651">
            <v>0</v>
          </cell>
        </row>
        <row r="13652">
          <cell r="P13652">
            <v>0</v>
          </cell>
        </row>
        <row r="13653">
          <cell r="P13653">
            <v>0</v>
          </cell>
        </row>
        <row r="13654">
          <cell r="P13654">
            <v>0</v>
          </cell>
        </row>
        <row r="13655">
          <cell r="P13655">
            <v>0</v>
          </cell>
        </row>
        <row r="13656">
          <cell r="P13656">
            <v>0</v>
          </cell>
        </row>
        <row r="13657">
          <cell r="P13657">
            <v>0</v>
          </cell>
        </row>
        <row r="13658">
          <cell r="P13658">
            <v>0</v>
          </cell>
        </row>
        <row r="13659">
          <cell r="P13659">
            <v>0</v>
          </cell>
        </row>
        <row r="13660">
          <cell r="P13660">
            <v>0</v>
          </cell>
        </row>
        <row r="13661">
          <cell r="P13661">
            <v>0</v>
          </cell>
        </row>
        <row r="13662">
          <cell r="P13662">
            <v>0</v>
          </cell>
        </row>
        <row r="13663">
          <cell r="P13663">
            <v>0</v>
          </cell>
        </row>
        <row r="13664">
          <cell r="P13664">
            <v>0</v>
          </cell>
        </row>
        <row r="13665">
          <cell r="P13665">
            <v>0</v>
          </cell>
        </row>
        <row r="13666">
          <cell r="P13666">
            <v>0</v>
          </cell>
        </row>
        <row r="13667">
          <cell r="P13667">
            <v>0</v>
          </cell>
        </row>
        <row r="13668">
          <cell r="P13668">
            <v>0</v>
          </cell>
        </row>
        <row r="13669">
          <cell r="P13669">
            <v>0</v>
          </cell>
        </row>
        <row r="13670">
          <cell r="P13670">
            <v>0</v>
          </cell>
        </row>
        <row r="13671">
          <cell r="P13671">
            <v>0</v>
          </cell>
        </row>
        <row r="13672">
          <cell r="P13672">
            <v>0</v>
          </cell>
        </row>
        <row r="13673">
          <cell r="P13673">
            <v>0</v>
          </cell>
        </row>
        <row r="13674">
          <cell r="P13674">
            <v>0</v>
          </cell>
        </row>
        <row r="13675">
          <cell r="P13675">
            <v>0</v>
          </cell>
        </row>
        <row r="13676">
          <cell r="P13676">
            <v>0</v>
          </cell>
        </row>
        <row r="13677">
          <cell r="P13677">
            <v>0</v>
          </cell>
        </row>
        <row r="13678">
          <cell r="P13678">
            <v>0</v>
          </cell>
        </row>
        <row r="13679">
          <cell r="P13679">
            <v>0</v>
          </cell>
        </row>
        <row r="13680">
          <cell r="P13680">
            <v>0</v>
          </cell>
        </row>
        <row r="13681">
          <cell r="P13681">
            <v>0</v>
          </cell>
        </row>
        <row r="13682">
          <cell r="P13682">
            <v>0</v>
          </cell>
        </row>
        <row r="13683">
          <cell r="P13683">
            <v>0</v>
          </cell>
        </row>
        <row r="13684">
          <cell r="P13684">
            <v>0</v>
          </cell>
        </row>
        <row r="13685">
          <cell r="P13685">
            <v>0</v>
          </cell>
        </row>
        <row r="13686">
          <cell r="P13686">
            <v>0</v>
          </cell>
        </row>
        <row r="13687">
          <cell r="P13687">
            <v>0</v>
          </cell>
        </row>
        <row r="13688">
          <cell r="P13688">
            <v>0</v>
          </cell>
        </row>
        <row r="13689">
          <cell r="P13689">
            <v>0</v>
          </cell>
        </row>
        <row r="13690">
          <cell r="P13690">
            <v>0</v>
          </cell>
        </row>
        <row r="13691">
          <cell r="P13691">
            <v>0</v>
          </cell>
        </row>
        <row r="13692">
          <cell r="P13692">
            <v>0</v>
          </cell>
        </row>
        <row r="13693">
          <cell r="P13693">
            <v>0</v>
          </cell>
        </row>
        <row r="13694">
          <cell r="P13694">
            <v>0</v>
          </cell>
        </row>
        <row r="13695">
          <cell r="P13695">
            <v>0</v>
          </cell>
        </row>
        <row r="13696">
          <cell r="P13696">
            <v>0</v>
          </cell>
        </row>
        <row r="13697">
          <cell r="P13697">
            <v>0</v>
          </cell>
        </row>
        <row r="13698">
          <cell r="P13698">
            <v>0</v>
          </cell>
        </row>
        <row r="13699">
          <cell r="P13699">
            <v>0</v>
          </cell>
        </row>
        <row r="13700">
          <cell r="P13700">
            <v>0</v>
          </cell>
        </row>
        <row r="13701">
          <cell r="P13701">
            <v>0</v>
          </cell>
        </row>
        <row r="13702">
          <cell r="P13702">
            <v>0</v>
          </cell>
        </row>
        <row r="13703">
          <cell r="P13703">
            <v>0</v>
          </cell>
        </row>
        <row r="13704">
          <cell r="P13704">
            <v>0</v>
          </cell>
        </row>
        <row r="13705">
          <cell r="P13705">
            <v>0</v>
          </cell>
        </row>
        <row r="13706">
          <cell r="P13706">
            <v>0</v>
          </cell>
        </row>
        <row r="13707">
          <cell r="P13707">
            <v>0</v>
          </cell>
        </row>
        <row r="13708">
          <cell r="P13708">
            <v>0</v>
          </cell>
        </row>
        <row r="13709">
          <cell r="P13709">
            <v>0</v>
          </cell>
        </row>
        <row r="13710">
          <cell r="P13710">
            <v>0</v>
          </cell>
        </row>
        <row r="13711">
          <cell r="P13711">
            <v>0</v>
          </cell>
        </row>
        <row r="13712">
          <cell r="P13712">
            <v>0</v>
          </cell>
        </row>
        <row r="13713">
          <cell r="P13713">
            <v>0</v>
          </cell>
        </row>
        <row r="13714">
          <cell r="P13714">
            <v>0</v>
          </cell>
        </row>
        <row r="13715">
          <cell r="P13715">
            <v>0</v>
          </cell>
        </row>
        <row r="13716">
          <cell r="P13716">
            <v>0</v>
          </cell>
        </row>
        <row r="13717">
          <cell r="P13717">
            <v>0</v>
          </cell>
        </row>
        <row r="13718">
          <cell r="P13718">
            <v>0</v>
          </cell>
        </row>
        <row r="13719">
          <cell r="P13719">
            <v>0</v>
          </cell>
        </row>
        <row r="13720">
          <cell r="P13720">
            <v>0</v>
          </cell>
        </row>
        <row r="13721">
          <cell r="P13721">
            <v>0</v>
          </cell>
        </row>
        <row r="13722">
          <cell r="P13722">
            <v>0</v>
          </cell>
        </row>
        <row r="13723">
          <cell r="P13723">
            <v>0</v>
          </cell>
        </row>
        <row r="13724">
          <cell r="P13724">
            <v>0</v>
          </cell>
        </row>
        <row r="13725">
          <cell r="P13725">
            <v>0</v>
          </cell>
        </row>
        <row r="13726">
          <cell r="P13726">
            <v>0</v>
          </cell>
        </row>
        <row r="13727">
          <cell r="P13727">
            <v>0</v>
          </cell>
        </row>
        <row r="13728">
          <cell r="P13728">
            <v>0</v>
          </cell>
        </row>
        <row r="13729">
          <cell r="P13729">
            <v>0</v>
          </cell>
        </row>
        <row r="13730">
          <cell r="P13730">
            <v>0</v>
          </cell>
        </row>
        <row r="13731">
          <cell r="P13731">
            <v>0</v>
          </cell>
        </row>
        <row r="13732">
          <cell r="P13732">
            <v>0</v>
          </cell>
        </row>
        <row r="13733">
          <cell r="P13733">
            <v>0</v>
          </cell>
        </row>
        <row r="13734">
          <cell r="P13734">
            <v>0</v>
          </cell>
        </row>
        <row r="13735">
          <cell r="P13735">
            <v>0</v>
          </cell>
        </row>
        <row r="13736">
          <cell r="P13736">
            <v>0</v>
          </cell>
        </row>
        <row r="13737">
          <cell r="P13737">
            <v>0</v>
          </cell>
        </row>
        <row r="13738">
          <cell r="P13738">
            <v>0</v>
          </cell>
        </row>
        <row r="13739">
          <cell r="P13739">
            <v>0</v>
          </cell>
        </row>
        <row r="13740">
          <cell r="P13740">
            <v>0</v>
          </cell>
        </row>
        <row r="13741">
          <cell r="P13741">
            <v>0</v>
          </cell>
        </row>
        <row r="13742">
          <cell r="P13742">
            <v>0</v>
          </cell>
        </row>
        <row r="13743">
          <cell r="P13743">
            <v>0</v>
          </cell>
        </row>
        <row r="13744">
          <cell r="P13744">
            <v>0</v>
          </cell>
        </row>
        <row r="13745">
          <cell r="P13745">
            <v>0</v>
          </cell>
        </row>
        <row r="13746">
          <cell r="P13746">
            <v>0</v>
          </cell>
        </row>
        <row r="13747">
          <cell r="P13747">
            <v>0</v>
          </cell>
        </row>
        <row r="13748">
          <cell r="P13748">
            <v>0</v>
          </cell>
        </row>
        <row r="13749">
          <cell r="P13749">
            <v>0</v>
          </cell>
        </row>
        <row r="13750">
          <cell r="P13750">
            <v>0</v>
          </cell>
        </row>
        <row r="13751">
          <cell r="P13751">
            <v>0</v>
          </cell>
        </row>
        <row r="13752">
          <cell r="P13752">
            <v>0</v>
          </cell>
        </row>
        <row r="13753">
          <cell r="P13753">
            <v>0</v>
          </cell>
        </row>
        <row r="13754">
          <cell r="P13754">
            <v>0</v>
          </cell>
        </row>
        <row r="13755">
          <cell r="P13755">
            <v>0</v>
          </cell>
        </row>
        <row r="13756">
          <cell r="P13756">
            <v>0</v>
          </cell>
        </row>
        <row r="13757">
          <cell r="P13757">
            <v>0</v>
          </cell>
        </row>
        <row r="13758">
          <cell r="P13758">
            <v>0</v>
          </cell>
        </row>
        <row r="13759">
          <cell r="P13759">
            <v>0</v>
          </cell>
        </row>
        <row r="13760">
          <cell r="P13760">
            <v>0</v>
          </cell>
        </row>
        <row r="13761">
          <cell r="P13761">
            <v>0</v>
          </cell>
        </row>
        <row r="13762">
          <cell r="P13762">
            <v>0</v>
          </cell>
        </row>
        <row r="13763">
          <cell r="P13763">
            <v>0</v>
          </cell>
        </row>
        <row r="13764">
          <cell r="P13764">
            <v>0</v>
          </cell>
        </row>
        <row r="13765">
          <cell r="P13765">
            <v>0</v>
          </cell>
        </row>
        <row r="13766">
          <cell r="P13766">
            <v>0</v>
          </cell>
        </row>
        <row r="13767">
          <cell r="P13767">
            <v>0</v>
          </cell>
        </row>
        <row r="13768">
          <cell r="P13768">
            <v>0</v>
          </cell>
        </row>
        <row r="13769">
          <cell r="P13769">
            <v>0</v>
          </cell>
        </row>
        <row r="13770">
          <cell r="P13770">
            <v>0</v>
          </cell>
        </row>
        <row r="13771">
          <cell r="P13771">
            <v>0</v>
          </cell>
        </row>
        <row r="13772">
          <cell r="P13772">
            <v>0</v>
          </cell>
        </row>
        <row r="13773">
          <cell r="P13773">
            <v>0</v>
          </cell>
        </row>
        <row r="13774">
          <cell r="P13774">
            <v>0</v>
          </cell>
        </row>
        <row r="13775">
          <cell r="P13775">
            <v>0</v>
          </cell>
        </row>
        <row r="13776">
          <cell r="P13776">
            <v>0</v>
          </cell>
        </row>
        <row r="13777">
          <cell r="P13777">
            <v>0</v>
          </cell>
        </row>
        <row r="13778">
          <cell r="P13778">
            <v>4.1999999999999993</v>
          </cell>
        </row>
        <row r="13779">
          <cell r="P13779">
            <v>4.1999999999999993</v>
          </cell>
        </row>
        <row r="13780">
          <cell r="P13780">
            <v>3</v>
          </cell>
        </row>
        <row r="13781">
          <cell r="P13781">
            <v>2.82</v>
          </cell>
        </row>
        <row r="13782">
          <cell r="P13782">
            <v>0</v>
          </cell>
        </row>
        <row r="13783">
          <cell r="P13783">
            <v>0</v>
          </cell>
        </row>
        <row r="13784">
          <cell r="P13784">
            <v>0</v>
          </cell>
        </row>
        <row r="13785">
          <cell r="P13785">
            <v>0</v>
          </cell>
        </row>
        <row r="13786">
          <cell r="P13786">
            <v>0</v>
          </cell>
        </row>
        <row r="13787">
          <cell r="P13787">
            <v>0</v>
          </cell>
        </row>
        <row r="13788">
          <cell r="P13788">
            <v>0</v>
          </cell>
        </row>
        <row r="13789">
          <cell r="P13789">
            <v>0</v>
          </cell>
        </row>
        <row r="13790">
          <cell r="P13790">
            <v>0</v>
          </cell>
        </row>
        <row r="13791">
          <cell r="P13791">
            <v>0</v>
          </cell>
        </row>
        <row r="13792">
          <cell r="P13792">
            <v>0</v>
          </cell>
        </row>
        <row r="13793">
          <cell r="P13793">
            <v>0</v>
          </cell>
        </row>
        <row r="13794">
          <cell r="P13794">
            <v>0</v>
          </cell>
        </row>
        <row r="13795">
          <cell r="P13795">
            <v>0</v>
          </cell>
        </row>
        <row r="13796">
          <cell r="P13796">
            <v>0</v>
          </cell>
        </row>
        <row r="13797">
          <cell r="P13797">
            <v>0</v>
          </cell>
        </row>
        <row r="13798">
          <cell r="P13798">
            <v>0</v>
          </cell>
        </row>
        <row r="13799">
          <cell r="P13799">
            <v>0</v>
          </cell>
        </row>
        <row r="13800">
          <cell r="P13800">
            <v>0</v>
          </cell>
        </row>
        <row r="13801">
          <cell r="P13801">
            <v>0</v>
          </cell>
        </row>
        <row r="13802">
          <cell r="P13802">
            <v>0</v>
          </cell>
        </row>
        <row r="13803">
          <cell r="P13803">
            <v>0</v>
          </cell>
        </row>
        <row r="13804">
          <cell r="P13804">
            <v>0</v>
          </cell>
        </row>
        <row r="13805">
          <cell r="P13805">
            <v>0</v>
          </cell>
        </row>
        <row r="13806">
          <cell r="P13806">
            <v>0</v>
          </cell>
        </row>
        <row r="13807">
          <cell r="P13807">
            <v>0</v>
          </cell>
        </row>
        <row r="13808">
          <cell r="P13808">
            <v>0</v>
          </cell>
        </row>
        <row r="13809">
          <cell r="P13809">
            <v>0</v>
          </cell>
        </row>
        <row r="13810">
          <cell r="P13810">
            <v>0</v>
          </cell>
        </row>
        <row r="13811">
          <cell r="P13811">
            <v>0</v>
          </cell>
        </row>
        <row r="13812">
          <cell r="P13812">
            <v>0</v>
          </cell>
        </row>
        <row r="13813">
          <cell r="P13813">
            <v>0</v>
          </cell>
        </row>
        <row r="13814">
          <cell r="P13814">
            <v>0</v>
          </cell>
        </row>
        <row r="13815">
          <cell r="P13815">
            <v>0</v>
          </cell>
        </row>
        <row r="13816">
          <cell r="P13816">
            <v>0</v>
          </cell>
        </row>
        <row r="13817">
          <cell r="P13817">
            <v>0</v>
          </cell>
        </row>
        <row r="13818">
          <cell r="P13818">
            <v>0</v>
          </cell>
        </row>
        <row r="13819">
          <cell r="P13819">
            <v>0</v>
          </cell>
        </row>
        <row r="13820">
          <cell r="P13820">
            <v>0</v>
          </cell>
        </row>
        <row r="13821">
          <cell r="P13821">
            <v>0</v>
          </cell>
        </row>
        <row r="13822">
          <cell r="P13822">
            <v>0</v>
          </cell>
        </row>
        <row r="13823">
          <cell r="P13823">
            <v>0</v>
          </cell>
        </row>
        <row r="13824">
          <cell r="P13824">
            <v>0</v>
          </cell>
        </row>
        <row r="13825">
          <cell r="P13825">
            <v>0</v>
          </cell>
        </row>
        <row r="13826">
          <cell r="P13826">
            <v>0</v>
          </cell>
        </row>
        <row r="13827">
          <cell r="P13827">
            <v>0</v>
          </cell>
        </row>
        <row r="13828">
          <cell r="P13828">
            <v>0</v>
          </cell>
        </row>
        <row r="13829">
          <cell r="P13829">
            <v>0</v>
          </cell>
        </row>
        <row r="13830">
          <cell r="P13830">
            <v>0</v>
          </cell>
        </row>
        <row r="13831">
          <cell r="P13831">
            <v>0</v>
          </cell>
        </row>
        <row r="13832">
          <cell r="P13832">
            <v>0</v>
          </cell>
        </row>
        <row r="13833">
          <cell r="P13833">
            <v>0</v>
          </cell>
        </row>
        <row r="13834">
          <cell r="P13834">
            <v>0</v>
          </cell>
        </row>
        <row r="13835">
          <cell r="P13835">
            <v>0</v>
          </cell>
        </row>
        <row r="13836">
          <cell r="P13836">
            <v>0</v>
          </cell>
        </row>
        <row r="13837">
          <cell r="P13837">
            <v>0</v>
          </cell>
        </row>
        <row r="13838">
          <cell r="P13838">
            <v>0</v>
          </cell>
        </row>
        <row r="13839">
          <cell r="P13839">
            <v>0</v>
          </cell>
        </row>
        <row r="13840">
          <cell r="P13840">
            <v>0</v>
          </cell>
        </row>
        <row r="13841">
          <cell r="P13841">
            <v>0</v>
          </cell>
        </row>
        <row r="13842">
          <cell r="P13842">
            <v>0</v>
          </cell>
        </row>
        <row r="13843">
          <cell r="P13843">
            <v>0</v>
          </cell>
        </row>
        <row r="13844">
          <cell r="P13844">
            <v>0</v>
          </cell>
        </row>
        <row r="13845">
          <cell r="P13845">
            <v>0</v>
          </cell>
        </row>
        <row r="13846">
          <cell r="P13846">
            <v>0</v>
          </cell>
        </row>
        <row r="13847">
          <cell r="P13847">
            <v>0</v>
          </cell>
        </row>
        <row r="13848">
          <cell r="P13848">
            <v>0</v>
          </cell>
        </row>
        <row r="13849">
          <cell r="P13849">
            <v>0</v>
          </cell>
        </row>
        <row r="13850">
          <cell r="P13850">
            <v>0</v>
          </cell>
        </row>
        <row r="13851">
          <cell r="P13851">
            <v>0</v>
          </cell>
        </row>
        <row r="13852">
          <cell r="P13852">
            <v>0</v>
          </cell>
        </row>
        <row r="13853">
          <cell r="P13853">
            <v>0</v>
          </cell>
        </row>
        <row r="13854">
          <cell r="P13854">
            <v>0</v>
          </cell>
        </row>
        <row r="13855">
          <cell r="P13855">
            <v>0</v>
          </cell>
        </row>
        <row r="13856">
          <cell r="P13856">
            <v>0</v>
          </cell>
        </row>
        <row r="13857">
          <cell r="P13857">
            <v>0</v>
          </cell>
        </row>
        <row r="13858">
          <cell r="P13858">
            <v>0</v>
          </cell>
        </row>
        <row r="13859">
          <cell r="P13859">
            <v>0</v>
          </cell>
        </row>
        <row r="13860">
          <cell r="P13860">
            <v>0</v>
          </cell>
        </row>
        <row r="13861">
          <cell r="P13861">
            <v>0</v>
          </cell>
        </row>
        <row r="13862">
          <cell r="P13862">
            <v>0</v>
          </cell>
        </row>
        <row r="13863">
          <cell r="P13863">
            <v>0</v>
          </cell>
        </row>
        <row r="13864">
          <cell r="P13864">
            <v>0</v>
          </cell>
        </row>
        <row r="13865">
          <cell r="P13865">
            <v>0</v>
          </cell>
        </row>
        <row r="13866">
          <cell r="P13866">
            <v>0</v>
          </cell>
        </row>
        <row r="13867">
          <cell r="P13867">
            <v>0</v>
          </cell>
        </row>
        <row r="13868">
          <cell r="P13868">
            <v>0</v>
          </cell>
        </row>
        <row r="13869">
          <cell r="P13869">
            <v>0</v>
          </cell>
        </row>
        <row r="13870">
          <cell r="P13870">
            <v>0</v>
          </cell>
        </row>
        <row r="13871">
          <cell r="P13871">
            <v>0</v>
          </cell>
        </row>
        <row r="13872">
          <cell r="P13872">
            <v>0</v>
          </cell>
        </row>
        <row r="13873">
          <cell r="P13873">
            <v>0</v>
          </cell>
        </row>
        <row r="13874">
          <cell r="P13874">
            <v>0</v>
          </cell>
        </row>
        <row r="13875">
          <cell r="P13875">
            <v>0</v>
          </cell>
        </row>
        <row r="13876">
          <cell r="P13876">
            <v>0</v>
          </cell>
        </row>
        <row r="13877">
          <cell r="P13877">
            <v>0</v>
          </cell>
        </row>
        <row r="13878">
          <cell r="P13878">
            <v>0</v>
          </cell>
        </row>
        <row r="13879">
          <cell r="P13879">
            <v>0</v>
          </cell>
        </row>
        <row r="13880">
          <cell r="P13880">
            <v>0</v>
          </cell>
        </row>
        <row r="13881">
          <cell r="P13881">
            <v>0</v>
          </cell>
        </row>
        <row r="13882">
          <cell r="P13882">
            <v>0</v>
          </cell>
        </row>
        <row r="13883">
          <cell r="P13883">
            <v>0</v>
          </cell>
        </row>
        <row r="13884">
          <cell r="P13884">
            <v>0</v>
          </cell>
        </row>
        <row r="13885">
          <cell r="P13885">
            <v>0</v>
          </cell>
        </row>
        <row r="13886">
          <cell r="P13886">
            <v>0</v>
          </cell>
        </row>
        <row r="13887">
          <cell r="P13887">
            <v>0</v>
          </cell>
        </row>
        <row r="13888">
          <cell r="P13888">
            <v>0</v>
          </cell>
        </row>
        <row r="13889">
          <cell r="P13889">
            <v>0</v>
          </cell>
        </row>
        <row r="13890">
          <cell r="P13890">
            <v>0</v>
          </cell>
        </row>
        <row r="13891">
          <cell r="P13891">
            <v>0</v>
          </cell>
        </row>
        <row r="13892">
          <cell r="P13892">
            <v>0</v>
          </cell>
        </row>
        <row r="13893">
          <cell r="P13893">
            <v>0</v>
          </cell>
        </row>
        <row r="13894">
          <cell r="P13894">
            <v>0</v>
          </cell>
        </row>
        <row r="13895">
          <cell r="P13895">
            <v>0</v>
          </cell>
        </row>
        <row r="13896">
          <cell r="P13896">
            <v>0</v>
          </cell>
        </row>
        <row r="13897">
          <cell r="P13897">
            <v>0</v>
          </cell>
        </row>
        <row r="13898">
          <cell r="P13898">
            <v>0</v>
          </cell>
        </row>
        <row r="13899">
          <cell r="P13899">
            <v>0</v>
          </cell>
        </row>
        <row r="13900">
          <cell r="P13900">
            <v>0</v>
          </cell>
        </row>
        <row r="13901">
          <cell r="P13901">
            <v>1.5</v>
          </cell>
        </row>
        <row r="13902">
          <cell r="P13902">
            <v>1.5</v>
          </cell>
        </row>
        <row r="13903">
          <cell r="P13903">
            <v>1.5</v>
          </cell>
        </row>
        <row r="13904">
          <cell r="P13904">
            <v>3</v>
          </cell>
        </row>
        <row r="13905">
          <cell r="P13905">
            <v>0</v>
          </cell>
        </row>
        <row r="13906">
          <cell r="P13906">
            <v>0</v>
          </cell>
        </row>
        <row r="13907">
          <cell r="P13907">
            <v>0</v>
          </cell>
        </row>
        <row r="13908">
          <cell r="P13908">
            <v>0</v>
          </cell>
        </row>
        <row r="13909">
          <cell r="P13909">
            <v>0</v>
          </cell>
        </row>
        <row r="13910">
          <cell r="P13910">
            <v>0</v>
          </cell>
        </row>
        <row r="13911">
          <cell r="P13911">
            <v>0</v>
          </cell>
        </row>
        <row r="13912">
          <cell r="P13912">
            <v>0</v>
          </cell>
        </row>
        <row r="13913">
          <cell r="P13913">
            <v>0</v>
          </cell>
        </row>
        <row r="13914">
          <cell r="P13914">
            <v>0</v>
          </cell>
        </row>
        <row r="13915">
          <cell r="P13915">
            <v>0</v>
          </cell>
        </row>
        <row r="13916">
          <cell r="P13916">
            <v>0</v>
          </cell>
        </row>
        <row r="13917">
          <cell r="P13917">
            <v>0</v>
          </cell>
        </row>
        <row r="13918">
          <cell r="P13918">
            <v>0</v>
          </cell>
        </row>
        <row r="13919">
          <cell r="P13919">
            <v>0</v>
          </cell>
        </row>
        <row r="13920">
          <cell r="P13920">
            <v>0</v>
          </cell>
        </row>
        <row r="13921">
          <cell r="P13921">
            <v>0</v>
          </cell>
        </row>
        <row r="13922">
          <cell r="P13922">
            <v>0</v>
          </cell>
        </row>
        <row r="13923">
          <cell r="P13923">
            <v>0</v>
          </cell>
        </row>
        <row r="13924">
          <cell r="P13924">
            <v>0</v>
          </cell>
        </row>
        <row r="13925">
          <cell r="P13925">
            <v>0</v>
          </cell>
        </row>
        <row r="13926">
          <cell r="P13926">
            <v>0</v>
          </cell>
        </row>
        <row r="13927">
          <cell r="P13927">
            <v>0</v>
          </cell>
        </row>
        <row r="13928">
          <cell r="P13928">
            <v>0</v>
          </cell>
        </row>
        <row r="13929">
          <cell r="P13929">
            <v>0</v>
          </cell>
        </row>
        <row r="13930">
          <cell r="P13930">
            <v>0</v>
          </cell>
        </row>
        <row r="13931">
          <cell r="P13931">
            <v>0</v>
          </cell>
        </row>
        <row r="13932">
          <cell r="P13932">
            <v>0</v>
          </cell>
        </row>
        <row r="13933">
          <cell r="P13933">
            <v>0</v>
          </cell>
        </row>
        <row r="13934">
          <cell r="P13934">
            <v>0</v>
          </cell>
        </row>
        <row r="13935">
          <cell r="P13935">
            <v>0</v>
          </cell>
        </row>
        <row r="13936">
          <cell r="P13936">
            <v>0</v>
          </cell>
        </row>
        <row r="13937">
          <cell r="P13937">
            <v>0</v>
          </cell>
        </row>
        <row r="13938">
          <cell r="P13938">
            <v>0</v>
          </cell>
        </row>
        <row r="13939">
          <cell r="P13939">
            <v>0</v>
          </cell>
        </row>
        <row r="13940">
          <cell r="P13940">
            <v>0</v>
          </cell>
        </row>
        <row r="13941">
          <cell r="P13941">
            <v>0</v>
          </cell>
        </row>
        <row r="13942">
          <cell r="P13942">
            <v>0</v>
          </cell>
        </row>
        <row r="13943">
          <cell r="P13943">
            <v>0</v>
          </cell>
        </row>
        <row r="13944">
          <cell r="P13944">
            <v>0</v>
          </cell>
        </row>
        <row r="13945">
          <cell r="P13945">
            <v>0</v>
          </cell>
        </row>
        <row r="13946">
          <cell r="P13946">
            <v>0</v>
          </cell>
        </row>
        <row r="13947">
          <cell r="P13947">
            <v>0</v>
          </cell>
        </row>
        <row r="13948">
          <cell r="P13948">
            <v>0</v>
          </cell>
        </row>
        <row r="13949">
          <cell r="P13949">
            <v>0</v>
          </cell>
        </row>
        <row r="13950">
          <cell r="P13950">
            <v>0</v>
          </cell>
        </row>
        <row r="13951">
          <cell r="P13951">
            <v>0</v>
          </cell>
        </row>
        <row r="13952">
          <cell r="P13952">
            <v>0</v>
          </cell>
        </row>
        <row r="13953">
          <cell r="P13953">
            <v>0</v>
          </cell>
        </row>
        <row r="13954">
          <cell r="P13954">
            <v>0</v>
          </cell>
        </row>
        <row r="13955">
          <cell r="P13955">
            <v>0</v>
          </cell>
        </row>
        <row r="13956">
          <cell r="P13956">
            <v>0</v>
          </cell>
        </row>
        <row r="13957">
          <cell r="P13957">
            <v>0</v>
          </cell>
        </row>
        <row r="13958">
          <cell r="P13958">
            <v>0</v>
          </cell>
        </row>
        <row r="13959">
          <cell r="P13959">
            <v>0</v>
          </cell>
        </row>
        <row r="13960">
          <cell r="P13960">
            <v>0</v>
          </cell>
        </row>
        <row r="13961">
          <cell r="P13961">
            <v>0</v>
          </cell>
        </row>
        <row r="13962">
          <cell r="P13962">
            <v>0</v>
          </cell>
        </row>
        <row r="13963">
          <cell r="P13963">
            <v>0</v>
          </cell>
        </row>
        <row r="13964">
          <cell r="P13964">
            <v>0</v>
          </cell>
        </row>
        <row r="13965">
          <cell r="P13965">
            <v>0</v>
          </cell>
        </row>
        <row r="13966">
          <cell r="P13966">
            <v>0</v>
          </cell>
        </row>
        <row r="13967">
          <cell r="P13967">
            <v>0</v>
          </cell>
        </row>
        <row r="13968">
          <cell r="P13968">
            <v>0</v>
          </cell>
        </row>
        <row r="13969">
          <cell r="P13969">
            <v>0</v>
          </cell>
        </row>
        <row r="13970">
          <cell r="P13970">
            <v>0</v>
          </cell>
        </row>
        <row r="13971">
          <cell r="P13971">
            <v>0</v>
          </cell>
        </row>
        <row r="13972">
          <cell r="P13972">
            <v>0</v>
          </cell>
        </row>
        <row r="13973">
          <cell r="P13973">
            <v>0</v>
          </cell>
        </row>
        <row r="13974">
          <cell r="P13974">
            <v>0</v>
          </cell>
        </row>
        <row r="13975">
          <cell r="P13975">
            <v>0</v>
          </cell>
        </row>
        <row r="13976">
          <cell r="P13976">
            <v>0</v>
          </cell>
        </row>
        <row r="13977">
          <cell r="P13977">
            <v>0</v>
          </cell>
        </row>
        <row r="13978">
          <cell r="P13978">
            <v>0</v>
          </cell>
        </row>
        <row r="13979">
          <cell r="P13979">
            <v>0</v>
          </cell>
        </row>
        <row r="13980">
          <cell r="P13980">
            <v>0</v>
          </cell>
        </row>
        <row r="13981">
          <cell r="P13981">
            <v>0</v>
          </cell>
        </row>
        <row r="13982">
          <cell r="P13982">
            <v>0</v>
          </cell>
        </row>
        <row r="13983">
          <cell r="P13983">
            <v>0</v>
          </cell>
        </row>
        <row r="13984">
          <cell r="P13984">
            <v>0</v>
          </cell>
        </row>
        <row r="13985">
          <cell r="P13985">
            <v>0</v>
          </cell>
        </row>
        <row r="13986">
          <cell r="P13986">
            <v>0.89999999999999991</v>
          </cell>
        </row>
        <row r="13987">
          <cell r="P13987">
            <v>3</v>
          </cell>
        </row>
        <row r="13988">
          <cell r="P13988">
            <v>1.6800000000000002</v>
          </cell>
        </row>
        <row r="13989">
          <cell r="P13989">
            <v>0</v>
          </cell>
        </row>
        <row r="13990">
          <cell r="P13990">
            <v>0</v>
          </cell>
        </row>
        <row r="13991">
          <cell r="P13991">
            <v>0</v>
          </cell>
        </row>
        <row r="13992">
          <cell r="P13992">
            <v>0</v>
          </cell>
        </row>
        <row r="13993">
          <cell r="P13993">
            <v>0</v>
          </cell>
        </row>
        <row r="13994">
          <cell r="P13994">
            <v>0</v>
          </cell>
        </row>
        <row r="13995">
          <cell r="P13995">
            <v>0</v>
          </cell>
        </row>
        <row r="13996">
          <cell r="P13996">
            <v>0</v>
          </cell>
        </row>
        <row r="13997">
          <cell r="P13997">
            <v>0</v>
          </cell>
        </row>
        <row r="13998">
          <cell r="P13998">
            <v>0</v>
          </cell>
        </row>
        <row r="13999">
          <cell r="P13999">
            <v>0</v>
          </cell>
        </row>
        <row r="14000">
          <cell r="P14000">
            <v>0</v>
          </cell>
        </row>
        <row r="14001">
          <cell r="P14001">
            <v>0</v>
          </cell>
        </row>
        <row r="14002">
          <cell r="P14002">
            <v>0</v>
          </cell>
        </row>
        <row r="14003">
          <cell r="P14003">
            <v>0</v>
          </cell>
        </row>
        <row r="14004">
          <cell r="P14004">
            <v>0</v>
          </cell>
        </row>
        <row r="14005">
          <cell r="P14005">
            <v>0</v>
          </cell>
        </row>
        <row r="14006">
          <cell r="P14006">
            <v>0</v>
          </cell>
        </row>
        <row r="14007">
          <cell r="P14007">
            <v>0</v>
          </cell>
        </row>
        <row r="14008">
          <cell r="P14008">
            <v>0</v>
          </cell>
        </row>
        <row r="14009">
          <cell r="P14009">
            <v>0</v>
          </cell>
        </row>
        <row r="14010">
          <cell r="P14010">
            <v>0</v>
          </cell>
        </row>
        <row r="14011">
          <cell r="P14011">
            <v>1.5</v>
          </cell>
        </row>
        <row r="14012">
          <cell r="P14012">
            <v>1.5</v>
          </cell>
        </row>
        <row r="14013">
          <cell r="P14013">
            <v>3</v>
          </cell>
        </row>
        <row r="14014">
          <cell r="P14014">
            <v>1.5</v>
          </cell>
        </row>
        <row r="14015">
          <cell r="P14015">
            <v>0</v>
          </cell>
        </row>
        <row r="14016">
          <cell r="P14016">
            <v>0</v>
          </cell>
        </row>
        <row r="14017">
          <cell r="P14017">
            <v>0</v>
          </cell>
        </row>
        <row r="14018">
          <cell r="P14018">
            <v>0</v>
          </cell>
        </row>
        <row r="14019">
          <cell r="P14019">
            <v>0</v>
          </cell>
        </row>
        <row r="14020">
          <cell r="P14020">
            <v>0</v>
          </cell>
        </row>
        <row r="14021">
          <cell r="P14021">
            <v>0</v>
          </cell>
        </row>
        <row r="14022">
          <cell r="P14022">
            <v>0</v>
          </cell>
        </row>
        <row r="14023">
          <cell r="P14023">
            <v>0</v>
          </cell>
        </row>
        <row r="14024">
          <cell r="P14024">
            <v>0</v>
          </cell>
        </row>
        <row r="14025">
          <cell r="P14025">
            <v>0</v>
          </cell>
        </row>
        <row r="14026">
          <cell r="P14026">
            <v>0</v>
          </cell>
        </row>
        <row r="14027">
          <cell r="P14027">
            <v>0</v>
          </cell>
        </row>
        <row r="14028">
          <cell r="P14028">
            <v>0</v>
          </cell>
        </row>
        <row r="14029">
          <cell r="P14029">
            <v>0</v>
          </cell>
        </row>
        <row r="14030">
          <cell r="P14030">
            <v>0</v>
          </cell>
        </row>
        <row r="14031">
          <cell r="P14031">
            <v>0</v>
          </cell>
        </row>
        <row r="14032">
          <cell r="P14032">
            <v>0</v>
          </cell>
        </row>
        <row r="14033">
          <cell r="P14033">
            <v>0</v>
          </cell>
        </row>
        <row r="14034">
          <cell r="P14034">
            <v>0</v>
          </cell>
        </row>
        <row r="14035">
          <cell r="P14035">
            <v>0</v>
          </cell>
        </row>
        <row r="14036">
          <cell r="P14036">
            <v>0</v>
          </cell>
        </row>
        <row r="14037">
          <cell r="P14037">
            <v>0</v>
          </cell>
        </row>
        <row r="14038">
          <cell r="P14038">
            <v>0</v>
          </cell>
        </row>
        <row r="14039">
          <cell r="P14039">
            <v>0</v>
          </cell>
        </row>
        <row r="14040">
          <cell r="P14040">
            <v>0</v>
          </cell>
        </row>
        <row r="14041">
          <cell r="P14041">
            <v>0</v>
          </cell>
        </row>
        <row r="14042">
          <cell r="P14042">
            <v>0</v>
          </cell>
        </row>
        <row r="14043">
          <cell r="P14043">
            <v>0</v>
          </cell>
        </row>
        <row r="14044">
          <cell r="P14044">
            <v>0</v>
          </cell>
        </row>
        <row r="14045">
          <cell r="P14045">
            <v>0</v>
          </cell>
        </row>
        <row r="14046">
          <cell r="P14046">
            <v>0</v>
          </cell>
        </row>
        <row r="14047">
          <cell r="P14047">
            <v>0</v>
          </cell>
        </row>
        <row r="14048">
          <cell r="P14048">
            <v>0</v>
          </cell>
        </row>
        <row r="14049">
          <cell r="P14049">
            <v>0</v>
          </cell>
        </row>
        <row r="14050">
          <cell r="P14050">
            <v>0.30000000000000004</v>
          </cell>
        </row>
        <row r="14051">
          <cell r="P14051">
            <v>3</v>
          </cell>
        </row>
        <row r="14052">
          <cell r="P14052">
            <v>0</v>
          </cell>
        </row>
        <row r="14053">
          <cell r="P14053">
            <v>0</v>
          </cell>
        </row>
        <row r="14054">
          <cell r="P14054">
            <v>0</v>
          </cell>
        </row>
        <row r="14055">
          <cell r="P14055">
            <v>0</v>
          </cell>
        </row>
        <row r="14056">
          <cell r="P14056">
            <v>0</v>
          </cell>
        </row>
        <row r="14057">
          <cell r="P14057">
            <v>0</v>
          </cell>
        </row>
        <row r="14058">
          <cell r="P14058">
            <v>0</v>
          </cell>
        </row>
        <row r="14059">
          <cell r="P14059">
            <v>0</v>
          </cell>
        </row>
        <row r="14060">
          <cell r="P14060">
            <v>0</v>
          </cell>
        </row>
        <row r="14061">
          <cell r="P14061">
            <v>0</v>
          </cell>
        </row>
        <row r="14062">
          <cell r="P14062">
            <v>0</v>
          </cell>
        </row>
        <row r="14063">
          <cell r="P14063">
            <v>0</v>
          </cell>
        </row>
        <row r="14064">
          <cell r="P14064">
            <v>0</v>
          </cell>
        </row>
        <row r="14065">
          <cell r="P14065">
            <v>0</v>
          </cell>
        </row>
        <row r="14066">
          <cell r="P14066">
            <v>0</v>
          </cell>
        </row>
        <row r="14067">
          <cell r="P14067">
            <v>0</v>
          </cell>
        </row>
        <row r="14068">
          <cell r="P14068">
            <v>0</v>
          </cell>
        </row>
        <row r="14069">
          <cell r="P14069">
            <v>0</v>
          </cell>
        </row>
        <row r="14070">
          <cell r="P14070">
            <v>0</v>
          </cell>
        </row>
        <row r="14071">
          <cell r="P14071">
            <v>0</v>
          </cell>
        </row>
        <row r="14072">
          <cell r="P14072">
            <v>0</v>
          </cell>
        </row>
        <row r="14073">
          <cell r="P14073">
            <v>0</v>
          </cell>
        </row>
        <row r="14074">
          <cell r="P14074">
            <v>0</v>
          </cell>
        </row>
        <row r="14075">
          <cell r="P14075">
            <v>0</v>
          </cell>
        </row>
        <row r="14076">
          <cell r="P14076">
            <v>0</v>
          </cell>
        </row>
        <row r="14077">
          <cell r="P14077">
            <v>0</v>
          </cell>
        </row>
        <row r="14078">
          <cell r="P14078">
            <v>0</v>
          </cell>
        </row>
        <row r="14079">
          <cell r="P14079">
            <v>0</v>
          </cell>
        </row>
        <row r="14080">
          <cell r="P14080">
            <v>0</v>
          </cell>
        </row>
        <row r="14081">
          <cell r="P14081">
            <v>0</v>
          </cell>
        </row>
        <row r="14082">
          <cell r="P14082">
            <v>0</v>
          </cell>
        </row>
        <row r="14083">
          <cell r="P14083">
            <v>0</v>
          </cell>
        </row>
        <row r="14084">
          <cell r="P14084">
            <v>0</v>
          </cell>
        </row>
        <row r="14085">
          <cell r="P14085">
            <v>0</v>
          </cell>
        </row>
        <row r="14086">
          <cell r="P14086">
            <v>0</v>
          </cell>
        </row>
        <row r="14087">
          <cell r="P14087">
            <v>0</v>
          </cell>
        </row>
        <row r="14088">
          <cell r="P14088">
            <v>0</v>
          </cell>
        </row>
        <row r="14089">
          <cell r="P14089">
            <v>0</v>
          </cell>
        </row>
        <row r="14090">
          <cell r="P14090">
            <v>0</v>
          </cell>
        </row>
        <row r="14091">
          <cell r="P14091">
            <v>0</v>
          </cell>
        </row>
        <row r="14092">
          <cell r="P14092">
            <v>0</v>
          </cell>
        </row>
        <row r="14093">
          <cell r="P14093">
            <v>0</v>
          </cell>
        </row>
        <row r="14094">
          <cell r="P14094">
            <v>0</v>
          </cell>
        </row>
        <row r="14095">
          <cell r="P14095">
            <v>0</v>
          </cell>
        </row>
        <row r="14096">
          <cell r="P14096">
            <v>0</v>
          </cell>
        </row>
        <row r="14097">
          <cell r="P14097">
            <v>0</v>
          </cell>
        </row>
        <row r="14098">
          <cell r="P14098">
            <v>0</v>
          </cell>
        </row>
        <row r="14099">
          <cell r="P14099">
            <v>0</v>
          </cell>
        </row>
        <row r="14100">
          <cell r="P14100">
            <v>0</v>
          </cell>
        </row>
        <row r="14101">
          <cell r="P14101">
            <v>0</v>
          </cell>
        </row>
        <row r="14102">
          <cell r="P14102">
            <v>0</v>
          </cell>
        </row>
        <row r="14103">
          <cell r="P14103">
            <v>0</v>
          </cell>
        </row>
        <row r="14104">
          <cell r="P14104">
            <v>0</v>
          </cell>
        </row>
        <row r="14105">
          <cell r="P14105">
            <v>0</v>
          </cell>
        </row>
        <row r="14106">
          <cell r="P14106">
            <v>0</v>
          </cell>
        </row>
        <row r="14107">
          <cell r="P14107">
            <v>0</v>
          </cell>
        </row>
        <row r="14108">
          <cell r="P14108">
            <v>0</v>
          </cell>
        </row>
        <row r="14109">
          <cell r="P14109">
            <v>0</v>
          </cell>
        </row>
        <row r="14110">
          <cell r="P14110">
            <v>0</v>
          </cell>
        </row>
        <row r="14111">
          <cell r="P14111">
            <v>0</v>
          </cell>
        </row>
        <row r="14112">
          <cell r="P14112">
            <v>0</v>
          </cell>
        </row>
        <row r="14113">
          <cell r="P14113">
            <v>0</v>
          </cell>
        </row>
        <row r="14114">
          <cell r="P14114">
            <v>0</v>
          </cell>
        </row>
        <row r="14115">
          <cell r="P14115">
            <v>0</v>
          </cell>
        </row>
        <row r="14116">
          <cell r="P14116">
            <v>0</v>
          </cell>
        </row>
        <row r="14117">
          <cell r="P14117">
            <v>0</v>
          </cell>
        </row>
        <row r="14118">
          <cell r="P14118">
            <v>0</v>
          </cell>
        </row>
        <row r="14119">
          <cell r="P14119">
            <v>0</v>
          </cell>
        </row>
        <row r="14120">
          <cell r="P14120">
            <v>0</v>
          </cell>
        </row>
        <row r="14121">
          <cell r="P14121">
            <v>0</v>
          </cell>
        </row>
        <row r="14122">
          <cell r="P14122">
            <v>0</v>
          </cell>
        </row>
        <row r="14123">
          <cell r="P14123">
            <v>0</v>
          </cell>
        </row>
        <row r="14124">
          <cell r="P14124">
            <v>0</v>
          </cell>
        </row>
        <row r="14125">
          <cell r="P14125">
            <v>0</v>
          </cell>
        </row>
        <row r="14126">
          <cell r="P14126">
            <v>0</v>
          </cell>
        </row>
        <row r="14127">
          <cell r="P14127">
            <v>0</v>
          </cell>
        </row>
        <row r="14128">
          <cell r="P14128">
            <v>0</v>
          </cell>
        </row>
        <row r="14129">
          <cell r="P14129">
            <v>0</v>
          </cell>
        </row>
        <row r="14130">
          <cell r="P14130">
            <v>0</v>
          </cell>
        </row>
        <row r="14131">
          <cell r="P14131">
            <v>0</v>
          </cell>
        </row>
        <row r="14132">
          <cell r="P14132">
            <v>0</v>
          </cell>
        </row>
        <row r="14133">
          <cell r="P14133">
            <v>0</v>
          </cell>
        </row>
        <row r="14134">
          <cell r="P14134">
            <v>0</v>
          </cell>
        </row>
        <row r="14135">
          <cell r="P14135">
            <v>0</v>
          </cell>
        </row>
        <row r="14136">
          <cell r="P14136">
            <v>0</v>
          </cell>
        </row>
        <row r="14137">
          <cell r="P14137">
            <v>0</v>
          </cell>
        </row>
        <row r="14138">
          <cell r="P14138">
            <v>0</v>
          </cell>
        </row>
        <row r="14139">
          <cell r="P14139">
            <v>0</v>
          </cell>
        </row>
        <row r="14140">
          <cell r="P14140">
            <v>0</v>
          </cell>
        </row>
        <row r="14141">
          <cell r="P14141">
            <v>0</v>
          </cell>
        </row>
        <row r="14142">
          <cell r="P14142">
            <v>0</v>
          </cell>
        </row>
        <row r="14143">
          <cell r="P14143">
            <v>0</v>
          </cell>
        </row>
        <row r="14144">
          <cell r="P14144">
            <v>0</v>
          </cell>
        </row>
        <row r="14145">
          <cell r="P14145">
            <v>0</v>
          </cell>
        </row>
        <row r="14146">
          <cell r="P14146">
            <v>0</v>
          </cell>
        </row>
        <row r="14147">
          <cell r="P14147">
            <v>0</v>
          </cell>
        </row>
        <row r="14148">
          <cell r="P14148">
            <v>0</v>
          </cell>
        </row>
        <row r="14149">
          <cell r="P14149">
            <v>0</v>
          </cell>
        </row>
        <row r="14150">
          <cell r="P14150">
            <v>0</v>
          </cell>
        </row>
        <row r="14151">
          <cell r="P14151">
            <v>0</v>
          </cell>
        </row>
        <row r="14152">
          <cell r="P14152">
            <v>0</v>
          </cell>
        </row>
        <row r="14153">
          <cell r="P14153">
            <v>0</v>
          </cell>
        </row>
        <row r="14154">
          <cell r="P14154">
            <v>0</v>
          </cell>
        </row>
        <row r="14155">
          <cell r="P14155">
            <v>0</v>
          </cell>
        </row>
        <row r="14156">
          <cell r="P14156">
            <v>0</v>
          </cell>
        </row>
        <row r="14157">
          <cell r="P14157">
            <v>0</v>
          </cell>
        </row>
        <row r="14158">
          <cell r="P14158">
            <v>0</v>
          </cell>
        </row>
        <row r="14159">
          <cell r="P14159">
            <v>0</v>
          </cell>
        </row>
        <row r="14160">
          <cell r="P14160">
            <v>0</v>
          </cell>
        </row>
        <row r="14161">
          <cell r="P14161">
            <v>0</v>
          </cell>
        </row>
        <row r="14162">
          <cell r="P14162">
            <v>0</v>
          </cell>
        </row>
        <row r="14163">
          <cell r="P14163">
            <v>0</v>
          </cell>
        </row>
        <row r="14164">
          <cell r="P14164">
            <v>0</v>
          </cell>
        </row>
        <row r="14165">
          <cell r="P14165">
            <v>0</v>
          </cell>
        </row>
        <row r="14166">
          <cell r="P14166">
            <v>0</v>
          </cell>
        </row>
        <row r="14167">
          <cell r="P14167">
            <v>0</v>
          </cell>
        </row>
        <row r="14168">
          <cell r="P14168">
            <v>0</v>
          </cell>
        </row>
        <row r="14169">
          <cell r="P14169">
            <v>0</v>
          </cell>
        </row>
        <row r="14170">
          <cell r="P14170">
            <v>0</v>
          </cell>
        </row>
        <row r="14171">
          <cell r="P14171">
            <v>0</v>
          </cell>
        </row>
        <row r="14172">
          <cell r="P14172">
            <v>0</v>
          </cell>
        </row>
        <row r="14173">
          <cell r="P14173">
            <v>0</v>
          </cell>
        </row>
        <row r="14174">
          <cell r="P14174">
            <v>0</v>
          </cell>
        </row>
        <row r="14175">
          <cell r="P14175">
            <v>0</v>
          </cell>
        </row>
        <row r="14176">
          <cell r="P14176">
            <v>0</v>
          </cell>
        </row>
        <row r="14177">
          <cell r="P14177">
            <v>0</v>
          </cell>
        </row>
        <row r="14178">
          <cell r="P14178">
            <v>0</v>
          </cell>
        </row>
        <row r="14179">
          <cell r="P14179">
            <v>0</v>
          </cell>
        </row>
        <row r="14180">
          <cell r="P14180">
            <v>0</v>
          </cell>
        </row>
        <row r="14181">
          <cell r="P14181">
            <v>0</v>
          </cell>
        </row>
        <row r="14182">
          <cell r="P14182">
            <v>0</v>
          </cell>
        </row>
        <row r="14183">
          <cell r="P14183">
            <v>0</v>
          </cell>
        </row>
        <row r="14184">
          <cell r="P14184">
            <v>0</v>
          </cell>
        </row>
        <row r="14185">
          <cell r="P14185">
            <v>0</v>
          </cell>
        </row>
        <row r="14186">
          <cell r="P14186">
            <v>0</v>
          </cell>
        </row>
        <row r="14187">
          <cell r="P14187">
            <v>0</v>
          </cell>
        </row>
        <row r="14188">
          <cell r="P14188">
            <v>0</v>
          </cell>
        </row>
        <row r="14189">
          <cell r="P14189">
            <v>0</v>
          </cell>
        </row>
        <row r="14190">
          <cell r="P14190">
            <v>0</v>
          </cell>
        </row>
        <row r="14191">
          <cell r="P14191">
            <v>0</v>
          </cell>
        </row>
        <row r="14192">
          <cell r="P14192">
            <v>0</v>
          </cell>
        </row>
        <row r="14193">
          <cell r="P14193">
            <v>0</v>
          </cell>
        </row>
        <row r="14194">
          <cell r="P14194">
            <v>0</v>
          </cell>
        </row>
        <row r="14195">
          <cell r="P14195">
            <v>0</v>
          </cell>
        </row>
        <row r="14196">
          <cell r="P14196">
            <v>0</v>
          </cell>
        </row>
        <row r="14197">
          <cell r="P14197">
            <v>0</v>
          </cell>
        </row>
        <row r="14198">
          <cell r="P14198">
            <v>0</v>
          </cell>
        </row>
        <row r="14199">
          <cell r="P14199">
            <v>0</v>
          </cell>
        </row>
        <row r="14200">
          <cell r="P14200">
            <v>0</v>
          </cell>
        </row>
        <row r="14201">
          <cell r="P14201">
            <v>0</v>
          </cell>
        </row>
        <row r="14202">
          <cell r="P14202">
            <v>0</v>
          </cell>
        </row>
        <row r="14203">
          <cell r="P14203">
            <v>0</v>
          </cell>
        </row>
        <row r="14204">
          <cell r="P14204">
            <v>0</v>
          </cell>
        </row>
        <row r="14205">
          <cell r="P14205">
            <v>0</v>
          </cell>
        </row>
        <row r="14206">
          <cell r="P14206">
            <v>0</v>
          </cell>
        </row>
        <row r="14207">
          <cell r="P14207">
            <v>0</v>
          </cell>
        </row>
        <row r="14208">
          <cell r="P14208">
            <v>0</v>
          </cell>
        </row>
        <row r="14209">
          <cell r="P14209">
            <v>0</v>
          </cell>
        </row>
        <row r="14210">
          <cell r="P14210">
            <v>0</v>
          </cell>
        </row>
        <row r="14211">
          <cell r="P14211">
            <v>0</v>
          </cell>
        </row>
        <row r="14212">
          <cell r="P14212">
            <v>0</v>
          </cell>
        </row>
        <row r="14213">
          <cell r="P14213">
            <v>0</v>
          </cell>
        </row>
        <row r="14214">
          <cell r="P14214">
            <v>0</v>
          </cell>
        </row>
        <row r="14215">
          <cell r="P14215">
            <v>0</v>
          </cell>
        </row>
        <row r="14216">
          <cell r="P14216">
            <v>0</v>
          </cell>
        </row>
        <row r="14217">
          <cell r="P14217">
            <v>0</v>
          </cell>
        </row>
        <row r="14218">
          <cell r="P14218">
            <v>0</v>
          </cell>
        </row>
        <row r="14219">
          <cell r="P14219">
            <v>0</v>
          </cell>
        </row>
        <row r="14220">
          <cell r="P14220">
            <v>0</v>
          </cell>
        </row>
        <row r="14221">
          <cell r="P14221">
            <v>0</v>
          </cell>
        </row>
        <row r="14222">
          <cell r="P14222">
            <v>0</v>
          </cell>
        </row>
        <row r="14223">
          <cell r="P14223">
            <v>0</v>
          </cell>
        </row>
        <row r="14224">
          <cell r="P14224">
            <v>0</v>
          </cell>
        </row>
        <row r="14225">
          <cell r="P14225">
            <v>0</v>
          </cell>
        </row>
        <row r="14226">
          <cell r="P14226">
            <v>0</v>
          </cell>
        </row>
        <row r="14227">
          <cell r="P14227">
            <v>0</v>
          </cell>
        </row>
        <row r="14228">
          <cell r="P14228">
            <v>0</v>
          </cell>
        </row>
        <row r="14229">
          <cell r="P14229">
            <v>0</v>
          </cell>
        </row>
        <row r="14230">
          <cell r="P14230">
            <v>0</v>
          </cell>
        </row>
        <row r="14231">
          <cell r="P14231">
            <v>0</v>
          </cell>
        </row>
        <row r="14232">
          <cell r="P14232">
            <v>0</v>
          </cell>
        </row>
        <row r="14233">
          <cell r="P14233">
            <v>0</v>
          </cell>
        </row>
        <row r="14234">
          <cell r="P14234">
            <v>0</v>
          </cell>
        </row>
        <row r="14235">
          <cell r="P14235">
            <v>0</v>
          </cell>
        </row>
        <row r="14236">
          <cell r="P14236">
            <v>0</v>
          </cell>
        </row>
        <row r="14237">
          <cell r="P14237">
            <v>0</v>
          </cell>
        </row>
        <row r="14238">
          <cell r="P14238">
            <v>0</v>
          </cell>
        </row>
        <row r="14239">
          <cell r="P14239">
            <v>0</v>
          </cell>
        </row>
        <row r="14240">
          <cell r="P14240">
            <v>0</v>
          </cell>
        </row>
        <row r="14241">
          <cell r="P14241">
            <v>0</v>
          </cell>
        </row>
        <row r="14242">
          <cell r="P14242">
            <v>0</v>
          </cell>
        </row>
        <row r="14243">
          <cell r="P14243">
            <v>0</v>
          </cell>
        </row>
        <row r="14244">
          <cell r="P14244">
            <v>0</v>
          </cell>
        </row>
        <row r="14245">
          <cell r="P14245">
            <v>0</v>
          </cell>
        </row>
        <row r="14246">
          <cell r="P14246">
            <v>0</v>
          </cell>
        </row>
        <row r="14247">
          <cell r="P14247">
            <v>0</v>
          </cell>
        </row>
        <row r="14248">
          <cell r="P14248">
            <v>0</v>
          </cell>
        </row>
        <row r="14249">
          <cell r="P14249">
            <v>0</v>
          </cell>
        </row>
        <row r="14250">
          <cell r="P14250">
            <v>0</v>
          </cell>
        </row>
        <row r="14251">
          <cell r="P14251">
            <v>0</v>
          </cell>
        </row>
        <row r="14252">
          <cell r="P14252">
            <v>0</v>
          </cell>
        </row>
        <row r="14253">
          <cell r="P14253">
            <v>0</v>
          </cell>
        </row>
        <row r="14254">
          <cell r="P14254">
            <v>0</v>
          </cell>
        </row>
        <row r="14255">
          <cell r="P14255">
            <v>0</v>
          </cell>
        </row>
        <row r="14256">
          <cell r="P14256">
            <v>0</v>
          </cell>
        </row>
        <row r="14257">
          <cell r="P14257">
            <v>0</v>
          </cell>
        </row>
        <row r="14258">
          <cell r="P14258">
            <v>0</v>
          </cell>
        </row>
        <row r="14259">
          <cell r="P14259">
            <v>0</v>
          </cell>
        </row>
        <row r="14260">
          <cell r="P14260">
            <v>0</v>
          </cell>
        </row>
        <row r="14261">
          <cell r="P14261">
            <v>0</v>
          </cell>
        </row>
        <row r="14262">
          <cell r="P14262">
            <v>0</v>
          </cell>
        </row>
        <row r="14263">
          <cell r="P14263">
            <v>0</v>
          </cell>
        </row>
        <row r="14264">
          <cell r="P14264">
            <v>0</v>
          </cell>
        </row>
        <row r="14265">
          <cell r="P14265">
            <v>0</v>
          </cell>
        </row>
        <row r="14266">
          <cell r="P14266">
            <v>0</v>
          </cell>
        </row>
        <row r="14267">
          <cell r="P14267">
            <v>0</v>
          </cell>
        </row>
        <row r="14268">
          <cell r="P14268">
            <v>0</v>
          </cell>
        </row>
        <row r="14269">
          <cell r="P14269">
            <v>0</v>
          </cell>
        </row>
        <row r="14270">
          <cell r="P14270">
            <v>0</v>
          </cell>
        </row>
        <row r="14271">
          <cell r="P14271">
            <v>0</v>
          </cell>
        </row>
        <row r="14272">
          <cell r="P14272">
            <v>0</v>
          </cell>
        </row>
        <row r="14273">
          <cell r="P14273">
            <v>0</v>
          </cell>
        </row>
        <row r="14274">
          <cell r="P14274">
            <v>0</v>
          </cell>
        </row>
        <row r="14275">
          <cell r="P14275">
            <v>0</v>
          </cell>
        </row>
        <row r="14276">
          <cell r="P14276">
            <v>0</v>
          </cell>
        </row>
        <row r="14277">
          <cell r="P14277">
            <v>0</v>
          </cell>
        </row>
        <row r="14278">
          <cell r="P14278">
            <v>0</v>
          </cell>
        </row>
        <row r="14279">
          <cell r="P14279">
            <v>0</v>
          </cell>
        </row>
        <row r="14280">
          <cell r="P14280">
            <v>0</v>
          </cell>
        </row>
        <row r="14281">
          <cell r="P14281">
            <v>0</v>
          </cell>
        </row>
        <row r="14282">
          <cell r="P14282">
            <v>0</v>
          </cell>
        </row>
        <row r="14283">
          <cell r="P14283">
            <v>0</v>
          </cell>
        </row>
        <row r="14284">
          <cell r="P14284">
            <v>0</v>
          </cell>
        </row>
        <row r="14285">
          <cell r="P14285">
            <v>0</v>
          </cell>
        </row>
        <row r="14286">
          <cell r="P14286">
            <v>0</v>
          </cell>
        </row>
        <row r="14287">
          <cell r="P14287">
            <v>0</v>
          </cell>
        </row>
        <row r="14288">
          <cell r="P14288">
            <v>0</v>
          </cell>
        </row>
        <row r="14289">
          <cell r="P14289">
            <v>0</v>
          </cell>
        </row>
        <row r="14290">
          <cell r="P14290">
            <v>0</v>
          </cell>
        </row>
        <row r="14291">
          <cell r="P14291">
            <v>0</v>
          </cell>
        </row>
        <row r="14292">
          <cell r="P14292">
            <v>0</v>
          </cell>
        </row>
        <row r="14293">
          <cell r="P14293">
            <v>0</v>
          </cell>
        </row>
        <row r="14294">
          <cell r="P14294">
            <v>0</v>
          </cell>
        </row>
        <row r="14295">
          <cell r="P14295">
            <v>0</v>
          </cell>
        </row>
        <row r="14296">
          <cell r="P14296">
            <v>0</v>
          </cell>
        </row>
        <row r="14297">
          <cell r="P14297">
            <v>0</v>
          </cell>
        </row>
        <row r="14298">
          <cell r="P14298">
            <v>0</v>
          </cell>
        </row>
        <row r="14299">
          <cell r="P14299">
            <v>0</v>
          </cell>
        </row>
        <row r="14300">
          <cell r="P14300">
            <v>0</v>
          </cell>
        </row>
        <row r="14301">
          <cell r="P14301">
            <v>0</v>
          </cell>
        </row>
        <row r="14302">
          <cell r="P14302">
            <v>0</v>
          </cell>
        </row>
        <row r="14303">
          <cell r="P14303">
            <v>0</v>
          </cell>
        </row>
        <row r="14304">
          <cell r="P14304">
            <v>0</v>
          </cell>
        </row>
        <row r="14305">
          <cell r="P14305">
            <v>0</v>
          </cell>
        </row>
        <row r="14306">
          <cell r="P14306">
            <v>0</v>
          </cell>
        </row>
        <row r="14307">
          <cell r="P14307">
            <v>0</v>
          </cell>
        </row>
        <row r="14308">
          <cell r="P14308">
            <v>0</v>
          </cell>
        </row>
        <row r="14309">
          <cell r="P14309">
            <v>0</v>
          </cell>
        </row>
        <row r="14310">
          <cell r="P14310">
            <v>0</v>
          </cell>
        </row>
        <row r="14311">
          <cell r="P14311">
            <v>0</v>
          </cell>
        </row>
        <row r="14312">
          <cell r="P14312">
            <v>0</v>
          </cell>
        </row>
        <row r="14313">
          <cell r="P14313">
            <v>0</v>
          </cell>
        </row>
        <row r="14314">
          <cell r="P14314">
            <v>0</v>
          </cell>
        </row>
        <row r="14315">
          <cell r="P14315">
            <v>0</v>
          </cell>
        </row>
        <row r="14316">
          <cell r="P14316">
            <v>0</v>
          </cell>
        </row>
        <row r="14317">
          <cell r="P14317">
            <v>0</v>
          </cell>
        </row>
        <row r="14318">
          <cell r="P14318">
            <v>0</v>
          </cell>
        </row>
        <row r="14319">
          <cell r="P14319">
            <v>0</v>
          </cell>
        </row>
        <row r="14320">
          <cell r="P14320">
            <v>0</v>
          </cell>
        </row>
        <row r="14321">
          <cell r="P14321">
            <v>0</v>
          </cell>
        </row>
        <row r="14322">
          <cell r="P14322">
            <v>0</v>
          </cell>
        </row>
        <row r="14323">
          <cell r="P14323">
            <v>0</v>
          </cell>
        </row>
        <row r="14324">
          <cell r="P14324">
            <v>0</v>
          </cell>
        </row>
        <row r="14325">
          <cell r="P14325">
            <v>0</v>
          </cell>
        </row>
        <row r="14326">
          <cell r="P14326">
            <v>0</v>
          </cell>
        </row>
        <row r="14327">
          <cell r="P14327">
            <v>0</v>
          </cell>
        </row>
        <row r="14328">
          <cell r="P14328">
            <v>0</v>
          </cell>
        </row>
        <row r="14329">
          <cell r="P14329">
            <v>0</v>
          </cell>
        </row>
        <row r="14330">
          <cell r="P14330">
            <v>0</v>
          </cell>
        </row>
        <row r="14331">
          <cell r="P14331">
            <v>0</v>
          </cell>
        </row>
        <row r="14332">
          <cell r="P14332">
            <v>0</v>
          </cell>
        </row>
        <row r="14333">
          <cell r="P14333">
            <v>0</v>
          </cell>
        </row>
        <row r="14334">
          <cell r="P14334">
            <v>0</v>
          </cell>
        </row>
        <row r="14335">
          <cell r="P14335">
            <v>0</v>
          </cell>
        </row>
        <row r="14336">
          <cell r="P14336">
            <v>0</v>
          </cell>
        </row>
        <row r="14337">
          <cell r="P14337">
            <v>0</v>
          </cell>
        </row>
        <row r="14338">
          <cell r="P14338">
            <v>0</v>
          </cell>
        </row>
        <row r="14339">
          <cell r="P14339">
            <v>0</v>
          </cell>
        </row>
        <row r="14340">
          <cell r="P14340">
            <v>0</v>
          </cell>
        </row>
        <row r="14341">
          <cell r="P14341">
            <v>0</v>
          </cell>
        </row>
        <row r="14342">
          <cell r="P14342">
            <v>0</v>
          </cell>
        </row>
        <row r="14343">
          <cell r="P14343">
            <v>0</v>
          </cell>
        </row>
        <row r="14344">
          <cell r="P14344">
            <v>0</v>
          </cell>
        </row>
        <row r="14345">
          <cell r="P14345">
            <v>0</v>
          </cell>
        </row>
        <row r="14346">
          <cell r="P14346">
            <v>0</v>
          </cell>
        </row>
        <row r="14347">
          <cell r="P14347">
            <v>0</v>
          </cell>
        </row>
        <row r="14348">
          <cell r="P14348">
            <v>0</v>
          </cell>
        </row>
        <row r="14349">
          <cell r="P14349">
            <v>0</v>
          </cell>
        </row>
        <row r="14350">
          <cell r="P14350">
            <v>0</v>
          </cell>
        </row>
        <row r="14351">
          <cell r="P14351">
            <v>0</v>
          </cell>
        </row>
        <row r="14352">
          <cell r="P14352">
            <v>0</v>
          </cell>
        </row>
        <row r="14353">
          <cell r="P14353">
            <v>0</v>
          </cell>
        </row>
        <row r="14354">
          <cell r="P14354">
            <v>0</v>
          </cell>
        </row>
        <row r="14355">
          <cell r="P14355">
            <v>0</v>
          </cell>
        </row>
        <row r="14356">
          <cell r="P14356">
            <v>0</v>
          </cell>
        </row>
        <row r="14357">
          <cell r="P14357">
            <v>0</v>
          </cell>
        </row>
        <row r="14358">
          <cell r="P14358">
            <v>0</v>
          </cell>
        </row>
        <row r="14359">
          <cell r="P14359">
            <v>0</v>
          </cell>
        </row>
        <row r="14360">
          <cell r="P14360">
            <v>0</v>
          </cell>
        </row>
        <row r="14361">
          <cell r="P14361">
            <v>0</v>
          </cell>
        </row>
        <row r="14362">
          <cell r="P14362">
            <v>0</v>
          </cell>
        </row>
        <row r="14363">
          <cell r="P14363">
            <v>0</v>
          </cell>
        </row>
        <row r="14364">
          <cell r="P14364">
            <v>0</v>
          </cell>
        </row>
        <row r="14365">
          <cell r="P14365">
            <v>0</v>
          </cell>
        </row>
        <row r="14366">
          <cell r="P14366">
            <v>0</v>
          </cell>
        </row>
        <row r="14367">
          <cell r="P14367">
            <v>0</v>
          </cell>
        </row>
        <row r="14368">
          <cell r="P14368">
            <v>0</v>
          </cell>
        </row>
        <row r="14369">
          <cell r="P14369">
            <v>0</v>
          </cell>
        </row>
        <row r="14370">
          <cell r="P14370">
            <v>0</v>
          </cell>
        </row>
        <row r="14371">
          <cell r="P14371">
            <v>0</v>
          </cell>
        </row>
        <row r="14372">
          <cell r="P14372">
            <v>0</v>
          </cell>
        </row>
        <row r="14373">
          <cell r="P14373">
            <v>0</v>
          </cell>
        </row>
        <row r="14374">
          <cell r="P14374">
            <v>0</v>
          </cell>
        </row>
        <row r="14375">
          <cell r="P14375">
            <v>0</v>
          </cell>
        </row>
        <row r="14376">
          <cell r="P14376">
            <v>0</v>
          </cell>
        </row>
        <row r="14377">
          <cell r="P14377">
            <v>0</v>
          </cell>
        </row>
        <row r="14378">
          <cell r="P14378">
            <v>0</v>
          </cell>
        </row>
        <row r="14379">
          <cell r="P14379">
            <v>0</v>
          </cell>
        </row>
        <row r="14380">
          <cell r="P14380">
            <v>0</v>
          </cell>
        </row>
        <row r="14381">
          <cell r="P14381">
            <v>0</v>
          </cell>
        </row>
        <row r="14382">
          <cell r="P14382">
            <v>0</v>
          </cell>
        </row>
        <row r="14383">
          <cell r="P14383">
            <v>0</v>
          </cell>
        </row>
        <row r="14384">
          <cell r="P14384">
            <v>0</v>
          </cell>
        </row>
        <row r="14385">
          <cell r="P14385">
            <v>0</v>
          </cell>
        </row>
        <row r="14386">
          <cell r="P14386">
            <v>0</v>
          </cell>
        </row>
        <row r="14387">
          <cell r="P14387">
            <v>0</v>
          </cell>
        </row>
        <row r="14388">
          <cell r="P14388">
            <v>0</v>
          </cell>
        </row>
        <row r="14389">
          <cell r="P14389">
            <v>0</v>
          </cell>
        </row>
        <row r="14390">
          <cell r="P14390">
            <v>0</v>
          </cell>
        </row>
        <row r="14391">
          <cell r="P14391">
            <v>0</v>
          </cell>
        </row>
        <row r="14392">
          <cell r="P14392">
            <v>0</v>
          </cell>
        </row>
        <row r="14393">
          <cell r="P14393">
            <v>0</v>
          </cell>
        </row>
        <row r="14394">
          <cell r="P14394">
            <v>0</v>
          </cell>
        </row>
        <row r="14395">
          <cell r="P14395">
            <v>0</v>
          </cell>
        </row>
        <row r="14396">
          <cell r="P14396">
            <v>0</v>
          </cell>
        </row>
        <row r="14397">
          <cell r="P14397">
            <v>0</v>
          </cell>
        </row>
        <row r="14398">
          <cell r="P14398">
            <v>0</v>
          </cell>
        </row>
        <row r="14399">
          <cell r="P14399">
            <v>0</v>
          </cell>
        </row>
        <row r="14400">
          <cell r="P14400">
            <v>0</v>
          </cell>
        </row>
        <row r="14401">
          <cell r="P14401">
            <v>0</v>
          </cell>
        </row>
        <row r="14402">
          <cell r="P14402">
            <v>0</v>
          </cell>
        </row>
        <row r="14403">
          <cell r="P14403">
            <v>0</v>
          </cell>
        </row>
        <row r="14404">
          <cell r="P14404">
            <v>0</v>
          </cell>
        </row>
        <row r="14405">
          <cell r="P14405">
            <v>0</v>
          </cell>
        </row>
        <row r="14406">
          <cell r="P14406">
            <v>0</v>
          </cell>
        </row>
        <row r="14407">
          <cell r="P14407">
            <v>0</v>
          </cell>
        </row>
        <row r="14408">
          <cell r="P14408">
            <v>0</v>
          </cell>
        </row>
        <row r="14409">
          <cell r="P14409">
            <v>0</v>
          </cell>
        </row>
        <row r="14410">
          <cell r="P14410">
            <v>0</v>
          </cell>
        </row>
        <row r="14411">
          <cell r="P14411">
            <v>0</v>
          </cell>
        </row>
        <row r="14412">
          <cell r="P14412">
            <v>0</v>
          </cell>
        </row>
        <row r="14413">
          <cell r="P14413">
            <v>0</v>
          </cell>
        </row>
        <row r="14414">
          <cell r="P14414">
            <v>0</v>
          </cell>
        </row>
        <row r="14415">
          <cell r="P14415">
            <v>0</v>
          </cell>
        </row>
        <row r="14416">
          <cell r="P14416">
            <v>0</v>
          </cell>
        </row>
        <row r="14417">
          <cell r="P14417">
            <v>0</v>
          </cell>
        </row>
        <row r="14418">
          <cell r="P14418">
            <v>0</v>
          </cell>
        </row>
        <row r="14419">
          <cell r="P14419">
            <v>0</v>
          </cell>
        </row>
        <row r="14420">
          <cell r="P14420">
            <v>0</v>
          </cell>
        </row>
        <row r="14421">
          <cell r="P14421">
            <v>0</v>
          </cell>
        </row>
        <row r="14422">
          <cell r="P14422">
            <v>0</v>
          </cell>
        </row>
        <row r="14423">
          <cell r="P14423">
            <v>0</v>
          </cell>
        </row>
        <row r="14424">
          <cell r="P14424">
            <v>0</v>
          </cell>
        </row>
        <row r="14425">
          <cell r="P14425">
            <v>0</v>
          </cell>
        </row>
        <row r="14426">
          <cell r="P14426">
            <v>0</v>
          </cell>
        </row>
        <row r="14427">
          <cell r="P14427">
            <v>0</v>
          </cell>
        </row>
        <row r="14428">
          <cell r="P14428">
            <v>0</v>
          </cell>
        </row>
        <row r="14429">
          <cell r="P14429">
            <v>0</v>
          </cell>
        </row>
        <row r="14430">
          <cell r="P14430">
            <v>0</v>
          </cell>
        </row>
        <row r="14431">
          <cell r="P14431">
            <v>0</v>
          </cell>
        </row>
        <row r="14432">
          <cell r="P14432">
            <v>0</v>
          </cell>
        </row>
        <row r="14433">
          <cell r="P14433">
            <v>0</v>
          </cell>
        </row>
        <row r="14434">
          <cell r="P14434">
            <v>0</v>
          </cell>
        </row>
        <row r="14435">
          <cell r="P14435">
            <v>0</v>
          </cell>
        </row>
        <row r="14436">
          <cell r="P14436">
            <v>0</v>
          </cell>
        </row>
        <row r="14437">
          <cell r="P14437">
            <v>0</v>
          </cell>
        </row>
        <row r="14438">
          <cell r="P14438">
            <v>0</v>
          </cell>
        </row>
        <row r="14439">
          <cell r="P14439">
            <v>0</v>
          </cell>
        </row>
        <row r="14440">
          <cell r="P14440">
            <v>0</v>
          </cell>
        </row>
        <row r="14441">
          <cell r="P14441">
            <v>0</v>
          </cell>
        </row>
        <row r="14442">
          <cell r="P14442">
            <v>0</v>
          </cell>
        </row>
        <row r="14443">
          <cell r="P14443">
            <v>0</v>
          </cell>
        </row>
        <row r="14444">
          <cell r="P14444">
            <v>0</v>
          </cell>
        </row>
        <row r="14445">
          <cell r="P14445">
            <v>0</v>
          </cell>
        </row>
        <row r="14446">
          <cell r="P14446">
            <v>0</v>
          </cell>
        </row>
        <row r="14447">
          <cell r="P14447">
            <v>0</v>
          </cell>
        </row>
        <row r="14448">
          <cell r="P14448">
            <v>0</v>
          </cell>
        </row>
        <row r="14449">
          <cell r="P14449">
            <v>0</v>
          </cell>
        </row>
        <row r="14450">
          <cell r="P14450">
            <v>0</v>
          </cell>
        </row>
        <row r="14451">
          <cell r="P14451">
            <v>0</v>
          </cell>
        </row>
        <row r="14452">
          <cell r="P14452">
            <v>0</v>
          </cell>
        </row>
        <row r="14453">
          <cell r="P14453">
            <v>0</v>
          </cell>
        </row>
        <row r="14454">
          <cell r="P14454">
            <v>0</v>
          </cell>
        </row>
        <row r="14455">
          <cell r="P14455">
            <v>0</v>
          </cell>
        </row>
        <row r="14456">
          <cell r="P14456">
            <v>0</v>
          </cell>
        </row>
        <row r="14457">
          <cell r="P14457">
            <v>0</v>
          </cell>
        </row>
        <row r="14458">
          <cell r="P14458">
            <v>0</v>
          </cell>
        </row>
        <row r="14459">
          <cell r="P14459">
            <v>0</v>
          </cell>
        </row>
        <row r="14460">
          <cell r="P14460">
            <v>0</v>
          </cell>
        </row>
        <row r="14461">
          <cell r="P14461">
            <v>0</v>
          </cell>
        </row>
        <row r="14462">
          <cell r="P14462">
            <v>0</v>
          </cell>
        </row>
        <row r="14463">
          <cell r="P14463">
            <v>0</v>
          </cell>
        </row>
        <row r="14464">
          <cell r="P14464">
            <v>0</v>
          </cell>
        </row>
        <row r="14465">
          <cell r="P14465">
            <v>0</v>
          </cell>
        </row>
        <row r="14466">
          <cell r="P14466">
            <v>0</v>
          </cell>
        </row>
        <row r="14467">
          <cell r="P14467">
            <v>0</v>
          </cell>
        </row>
        <row r="14468">
          <cell r="P14468">
            <v>0</v>
          </cell>
        </row>
        <row r="14469">
          <cell r="P14469">
            <v>0</v>
          </cell>
        </row>
        <row r="14470">
          <cell r="P14470">
            <v>0</v>
          </cell>
        </row>
        <row r="14471">
          <cell r="P14471">
            <v>0</v>
          </cell>
        </row>
        <row r="14472">
          <cell r="P14472">
            <v>0</v>
          </cell>
        </row>
        <row r="14473">
          <cell r="P14473">
            <v>0</v>
          </cell>
        </row>
        <row r="14474">
          <cell r="P14474">
            <v>0</v>
          </cell>
        </row>
        <row r="14475">
          <cell r="P14475">
            <v>0</v>
          </cell>
        </row>
        <row r="14476">
          <cell r="P14476">
            <v>0</v>
          </cell>
        </row>
        <row r="14477">
          <cell r="P14477">
            <v>0</v>
          </cell>
        </row>
        <row r="14478">
          <cell r="P14478">
            <v>0</v>
          </cell>
        </row>
        <row r="14479">
          <cell r="P14479">
            <v>0</v>
          </cell>
        </row>
        <row r="14480">
          <cell r="P14480">
            <v>0</v>
          </cell>
        </row>
        <row r="14481">
          <cell r="P14481">
            <v>0</v>
          </cell>
        </row>
        <row r="14482">
          <cell r="P14482">
            <v>0</v>
          </cell>
        </row>
        <row r="14483">
          <cell r="P14483">
            <v>0</v>
          </cell>
        </row>
        <row r="14484">
          <cell r="P14484">
            <v>0</v>
          </cell>
        </row>
        <row r="14485">
          <cell r="P14485">
            <v>0</v>
          </cell>
        </row>
        <row r="14486">
          <cell r="P14486">
            <v>0</v>
          </cell>
        </row>
        <row r="14487">
          <cell r="P14487">
            <v>0</v>
          </cell>
        </row>
        <row r="14488">
          <cell r="P14488">
            <v>0</v>
          </cell>
        </row>
        <row r="14489">
          <cell r="P14489">
            <v>0</v>
          </cell>
        </row>
        <row r="14490">
          <cell r="P14490">
            <v>0</v>
          </cell>
        </row>
        <row r="14491">
          <cell r="P14491">
            <v>0</v>
          </cell>
        </row>
        <row r="14492">
          <cell r="P14492">
            <v>0</v>
          </cell>
        </row>
        <row r="14493">
          <cell r="P14493">
            <v>0</v>
          </cell>
        </row>
        <row r="14494">
          <cell r="P14494">
            <v>0</v>
          </cell>
        </row>
        <row r="14495">
          <cell r="P14495">
            <v>0</v>
          </cell>
        </row>
        <row r="14496">
          <cell r="P14496">
            <v>0</v>
          </cell>
        </row>
        <row r="14497">
          <cell r="P14497">
            <v>0</v>
          </cell>
        </row>
        <row r="14498">
          <cell r="P14498">
            <v>0</v>
          </cell>
        </row>
        <row r="14499">
          <cell r="P14499">
            <v>0</v>
          </cell>
        </row>
        <row r="14500">
          <cell r="P14500">
            <v>0</v>
          </cell>
        </row>
        <row r="14501">
          <cell r="P14501">
            <v>0</v>
          </cell>
        </row>
        <row r="14502">
          <cell r="P14502">
            <v>0</v>
          </cell>
        </row>
        <row r="14503">
          <cell r="P14503">
            <v>0</v>
          </cell>
        </row>
        <row r="14504">
          <cell r="P14504">
            <v>0</v>
          </cell>
        </row>
        <row r="14505">
          <cell r="P14505">
            <v>0</v>
          </cell>
        </row>
        <row r="14506">
          <cell r="P14506">
            <v>0</v>
          </cell>
        </row>
        <row r="14507">
          <cell r="P14507">
            <v>0</v>
          </cell>
        </row>
        <row r="14508">
          <cell r="P14508">
            <v>0</v>
          </cell>
        </row>
        <row r="14509">
          <cell r="P14509">
            <v>0</v>
          </cell>
        </row>
        <row r="14510">
          <cell r="P14510">
            <v>0</v>
          </cell>
        </row>
        <row r="14511">
          <cell r="P14511">
            <v>0</v>
          </cell>
        </row>
        <row r="14512">
          <cell r="P14512">
            <v>0</v>
          </cell>
        </row>
        <row r="14513">
          <cell r="P14513">
            <v>0</v>
          </cell>
        </row>
        <row r="14514">
          <cell r="P14514">
            <v>0</v>
          </cell>
        </row>
        <row r="14515">
          <cell r="P14515">
            <v>0</v>
          </cell>
        </row>
        <row r="14516">
          <cell r="P14516">
            <v>0</v>
          </cell>
        </row>
        <row r="14517">
          <cell r="P14517">
            <v>0</v>
          </cell>
        </row>
        <row r="14518">
          <cell r="P14518">
            <v>0</v>
          </cell>
        </row>
        <row r="14519">
          <cell r="P14519">
            <v>0</v>
          </cell>
        </row>
        <row r="14520">
          <cell r="P14520">
            <v>0</v>
          </cell>
        </row>
        <row r="14521">
          <cell r="P14521">
            <v>0</v>
          </cell>
        </row>
        <row r="14522">
          <cell r="P14522">
            <v>0</v>
          </cell>
        </row>
        <row r="14523">
          <cell r="P14523">
            <v>0</v>
          </cell>
        </row>
        <row r="14524">
          <cell r="P14524">
            <v>0</v>
          </cell>
        </row>
        <row r="14525">
          <cell r="P14525">
            <v>0</v>
          </cell>
        </row>
        <row r="14526">
          <cell r="P14526">
            <v>0</v>
          </cell>
        </row>
        <row r="14527">
          <cell r="P14527">
            <v>0</v>
          </cell>
        </row>
        <row r="14528">
          <cell r="P14528">
            <v>0</v>
          </cell>
        </row>
        <row r="14529">
          <cell r="P14529">
            <v>0</v>
          </cell>
        </row>
        <row r="14530">
          <cell r="P14530">
            <v>0</v>
          </cell>
        </row>
        <row r="14531">
          <cell r="P14531">
            <v>0</v>
          </cell>
        </row>
        <row r="14532">
          <cell r="P14532">
            <v>0</v>
          </cell>
        </row>
        <row r="14533">
          <cell r="P14533">
            <v>0</v>
          </cell>
        </row>
        <row r="14534">
          <cell r="P14534">
            <v>0</v>
          </cell>
        </row>
        <row r="14535">
          <cell r="P14535">
            <v>0</v>
          </cell>
        </row>
        <row r="14536">
          <cell r="P14536">
            <v>0</v>
          </cell>
        </row>
        <row r="14537">
          <cell r="P14537">
            <v>0</v>
          </cell>
        </row>
        <row r="14538">
          <cell r="P14538">
            <v>0</v>
          </cell>
        </row>
        <row r="14539">
          <cell r="P14539">
            <v>0</v>
          </cell>
        </row>
        <row r="14540">
          <cell r="P14540">
            <v>0</v>
          </cell>
        </row>
        <row r="14541">
          <cell r="P14541">
            <v>0</v>
          </cell>
        </row>
        <row r="14542">
          <cell r="P14542">
            <v>0</v>
          </cell>
        </row>
        <row r="14543">
          <cell r="P14543">
            <v>0</v>
          </cell>
        </row>
        <row r="14544">
          <cell r="P14544">
            <v>0</v>
          </cell>
        </row>
        <row r="14545">
          <cell r="P14545">
            <v>0</v>
          </cell>
        </row>
        <row r="14546">
          <cell r="P14546">
            <v>0</v>
          </cell>
        </row>
        <row r="14547">
          <cell r="P14547">
            <v>0</v>
          </cell>
        </row>
        <row r="14548">
          <cell r="P14548">
            <v>0</v>
          </cell>
        </row>
        <row r="14549">
          <cell r="P14549">
            <v>0</v>
          </cell>
        </row>
        <row r="14550">
          <cell r="P14550">
            <v>0</v>
          </cell>
        </row>
        <row r="14551">
          <cell r="P14551">
            <v>0</v>
          </cell>
        </row>
        <row r="14552">
          <cell r="P14552">
            <v>0</v>
          </cell>
        </row>
        <row r="14553">
          <cell r="P14553">
            <v>0</v>
          </cell>
        </row>
        <row r="14554">
          <cell r="P14554">
            <v>0</v>
          </cell>
        </row>
        <row r="14555">
          <cell r="P14555">
            <v>0</v>
          </cell>
        </row>
        <row r="14556">
          <cell r="P14556">
            <v>0</v>
          </cell>
        </row>
        <row r="14557">
          <cell r="P14557">
            <v>0</v>
          </cell>
        </row>
        <row r="14558">
          <cell r="P14558">
            <v>0</v>
          </cell>
        </row>
        <row r="14559">
          <cell r="P14559">
            <v>0</v>
          </cell>
        </row>
        <row r="14560">
          <cell r="P14560">
            <v>0</v>
          </cell>
        </row>
        <row r="14561">
          <cell r="P14561">
            <v>0</v>
          </cell>
        </row>
        <row r="14562">
          <cell r="P14562">
            <v>0</v>
          </cell>
        </row>
        <row r="14563">
          <cell r="P14563">
            <v>0</v>
          </cell>
        </row>
        <row r="14564">
          <cell r="P14564">
            <v>0</v>
          </cell>
        </row>
        <row r="14565">
          <cell r="P14565">
            <v>0</v>
          </cell>
        </row>
        <row r="14566">
          <cell r="P14566">
            <v>0</v>
          </cell>
        </row>
        <row r="14567">
          <cell r="P14567">
            <v>0</v>
          </cell>
        </row>
        <row r="14568">
          <cell r="P14568">
            <v>0</v>
          </cell>
        </row>
        <row r="14569">
          <cell r="P14569">
            <v>0</v>
          </cell>
        </row>
        <row r="14570">
          <cell r="P14570">
            <v>0</v>
          </cell>
        </row>
        <row r="14571">
          <cell r="P14571">
            <v>0</v>
          </cell>
        </row>
        <row r="14572">
          <cell r="P14572">
            <v>258</v>
          </cell>
        </row>
        <row r="14573">
          <cell r="P14573">
            <v>516</v>
          </cell>
        </row>
        <row r="14574">
          <cell r="P14574">
            <v>541.80000000000007</v>
          </cell>
        </row>
        <row r="14575">
          <cell r="P14575">
            <v>0</v>
          </cell>
        </row>
        <row r="14576">
          <cell r="P14576">
            <v>0</v>
          </cell>
        </row>
        <row r="14577">
          <cell r="P14577">
            <v>0</v>
          </cell>
        </row>
        <row r="14578">
          <cell r="P14578">
            <v>0</v>
          </cell>
        </row>
        <row r="14579">
          <cell r="P14579">
            <v>0</v>
          </cell>
        </row>
        <row r="14580">
          <cell r="P14580">
            <v>0</v>
          </cell>
        </row>
        <row r="14581">
          <cell r="P14581">
            <v>0</v>
          </cell>
        </row>
        <row r="14582">
          <cell r="P14582">
            <v>0</v>
          </cell>
        </row>
        <row r="14583">
          <cell r="P14583">
            <v>0</v>
          </cell>
        </row>
        <row r="14584">
          <cell r="P14584">
            <v>0</v>
          </cell>
        </row>
        <row r="14585">
          <cell r="P14585">
            <v>0</v>
          </cell>
        </row>
        <row r="14586">
          <cell r="P14586">
            <v>0</v>
          </cell>
        </row>
        <row r="14587">
          <cell r="P14587">
            <v>0</v>
          </cell>
        </row>
        <row r="14588">
          <cell r="P14588">
            <v>0</v>
          </cell>
        </row>
        <row r="14589">
          <cell r="P14589">
            <v>0</v>
          </cell>
        </row>
        <row r="14590">
          <cell r="P14590">
            <v>0</v>
          </cell>
        </row>
        <row r="14591">
          <cell r="P14591">
            <v>0</v>
          </cell>
        </row>
        <row r="14592">
          <cell r="P14592">
            <v>0</v>
          </cell>
        </row>
        <row r="14593">
          <cell r="P14593">
            <v>0</v>
          </cell>
        </row>
        <row r="14594">
          <cell r="P14594">
            <v>0</v>
          </cell>
        </row>
        <row r="14595">
          <cell r="P14595">
            <v>0</v>
          </cell>
        </row>
        <row r="14596">
          <cell r="P14596">
            <v>0</v>
          </cell>
        </row>
        <row r="14597">
          <cell r="P14597">
            <v>0</v>
          </cell>
        </row>
        <row r="14598">
          <cell r="P14598">
            <v>0</v>
          </cell>
        </row>
        <row r="14599">
          <cell r="P14599">
            <v>0</v>
          </cell>
        </row>
        <row r="14600">
          <cell r="P14600">
            <v>0</v>
          </cell>
        </row>
        <row r="14601">
          <cell r="P14601">
            <v>0</v>
          </cell>
        </row>
        <row r="14602">
          <cell r="P14602">
            <v>0</v>
          </cell>
        </row>
        <row r="14603">
          <cell r="P14603">
            <v>0</v>
          </cell>
        </row>
        <row r="14604">
          <cell r="P14604">
            <v>0</v>
          </cell>
        </row>
        <row r="14605">
          <cell r="P14605">
            <v>0</v>
          </cell>
        </row>
        <row r="14606">
          <cell r="P14606">
            <v>0</v>
          </cell>
        </row>
        <row r="14607">
          <cell r="P14607">
            <v>0</v>
          </cell>
        </row>
        <row r="14608">
          <cell r="P14608">
            <v>0</v>
          </cell>
        </row>
        <row r="14609">
          <cell r="P14609">
            <v>0</v>
          </cell>
        </row>
        <row r="14610">
          <cell r="P14610">
            <v>0</v>
          </cell>
        </row>
        <row r="14611">
          <cell r="P14611">
            <v>0</v>
          </cell>
        </row>
        <row r="14612">
          <cell r="P14612">
            <v>0</v>
          </cell>
        </row>
        <row r="14613">
          <cell r="P14613">
            <v>0</v>
          </cell>
        </row>
        <row r="14614">
          <cell r="P14614">
            <v>0</v>
          </cell>
        </row>
        <row r="14615">
          <cell r="P14615">
            <v>0</v>
          </cell>
        </row>
        <row r="14616">
          <cell r="P14616">
            <v>0</v>
          </cell>
        </row>
        <row r="14617">
          <cell r="P14617">
            <v>0</v>
          </cell>
        </row>
        <row r="14618">
          <cell r="P14618">
            <v>0</v>
          </cell>
        </row>
        <row r="14619">
          <cell r="P14619">
            <v>0</v>
          </cell>
        </row>
        <row r="14620">
          <cell r="P14620">
            <v>0</v>
          </cell>
        </row>
        <row r="14621">
          <cell r="P14621">
            <v>0</v>
          </cell>
        </row>
        <row r="14622">
          <cell r="P14622">
            <v>0</v>
          </cell>
        </row>
        <row r="14623">
          <cell r="P14623">
            <v>0</v>
          </cell>
        </row>
        <row r="14624">
          <cell r="P14624">
            <v>0</v>
          </cell>
        </row>
        <row r="14625">
          <cell r="P14625">
            <v>0</v>
          </cell>
        </row>
        <row r="14626">
          <cell r="P14626">
            <v>0</v>
          </cell>
        </row>
        <row r="14627">
          <cell r="P14627">
            <v>0</v>
          </cell>
        </row>
        <row r="14628">
          <cell r="P14628">
            <v>0</v>
          </cell>
        </row>
        <row r="14629">
          <cell r="P14629">
            <v>0</v>
          </cell>
        </row>
        <row r="14630">
          <cell r="P14630">
            <v>0</v>
          </cell>
        </row>
        <row r="14631">
          <cell r="P14631">
            <v>0</v>
          </cell>
        </row>
        <row r="14632">
          <cell r="P14632">
            <v>0</v>
          </cell>
        </row>
        <row r="14633">
          <cell r="P14633">
            <v>0</v>
          </cell>
        </row>
        <row r="14634">
          <cell r="P14634">
            <v>0</v>
          </cell>
        </row>
        <row r="14635">
          <cell r="P14635">
            <v>0</v>
          </cell>
        </row>
        <row r="14636">
          <cell r="P14636">
            <v>0</v>
          </cell>
        </row>
        <row r="14637">
          <cell r="P14637">
            <v>0</v>
          </cell>
        </row>
        <row r="14638">
          <cell r="P14638">
            <v>0</v>
          </cell>
        </row>
        <row r="14639">
          <cell r="P14639">
            <v>0</v>
          </cell>
        </row>
        <row r="14640">
          <cell r="P14640">
            <v>0</v>
          </cell>
        </row>
        <row r="14641">
          <cell r="P14641">
            <v>0</v>
          </cell>
        </row>
        <row r="14642">
          <cell r="P14642">
            <v>0</v>
          </cell>
        </row>
        <row r="14643">
          <cell r="P14643">
            <v>0</v>
          </cell>
        </row>
        <row r="14644">
          <cell r="P14644">
            <v>0</v>
          </cell>
        </row>
        <row r="14645">
          <cell r="P14645">
            <v>0</v>
          </cell>
        </row>
        <row r="14646">
          <cell r="P14646">
            <v>0</v>
          </cell>
        </row>
        <row r="14647">
          <cell r="P14647">
            <v>1118</v>
          </cell>
        </row>
        <row r="14648">
          <cell r="P14648">
            <v>1118</v>
          </cell>
        </row>
        <row r="14649">
          <cell r="P14649">
            <v>1290</v>
          </cell>
        </row>
        <row r="14650">
          <cell r="P14650">
            <v>685.93600000000004</v>
          </cell>
        </row>
        <row r="14651">
          <cell r="P14651">
            <v>0</v>
          </cell>
        </row>
        <row r="14652">
          <cell r="P14652">
            <v>0</v>
          </cell>
        </row>
        <row r="14653">
          <cell r="P14653">
            <v>0</v>
          </cell>
        </row>
        <row r="14654">
          <cell r="P14654">
            <v>0</v>
          </cell>
        </row>
        <row r="14655">
          <cell r="P14655">
            <v>0</v>
          </cell>
        </row>
        <row r="14656">
          <cell r="P14656">
            <v>0</v>
          </cell>
        </row>
        <row r="14657">
          <cell r="P14657">
            <v>0</v>
          </cell>
        </row>
        <row r="14658">
          <cell r="P14658">
            <v>0</v>
          </cell>
        </row>
        <row r="14659">
          <cell r="P14659">
            <v>0</v>
          </cell>
        </row>
        <row r="14660">
          <cell r="P14660">
            <v>0</v>
          </cell>
        </row>
        <row r="14661">
          <cell r="P14661">
            <v>0</v>
          </cell>
        </row>
        <row r="14662">
          <cell r="P14662">
            <v>0</v>
          </cell>
        </row>
        <row r="14663">
          <cell r="P14663">
            <v>0</v>
          </cell>
        </row>
        <row r="14664">
          <cell r="P14664">
            <v>0</v>
          </cell>
        </row>
        <row r="14665">
          <cell r="P14665">
            <v>0</v>
          </cell>
        </row>
        <row r="14666">
          <cell r="P14666">
            <v>0</v>
          </cell>
        </row>
        <row r="14667">
          <cell r="P14667">
            <v>0</v>
          </cell>
        </row>
        <row r="14668">
          <cell r="P14668">
            <v>0</v>
          </cell>
        </row>
        <row r="14669">
          <cell r="P14669">
            <v>0</v>
          </cell>
        </row>
        <row r="14670">
          <cell r="P14670">
            <v>0</v>
          </cell>
        </row>
        <row r="14671">
          <cell r="P14671">
            <v>0</v>
          </cell>
        </row>
        <row r="14672">
          <cell r="P14672">
            <v>0</v>
          </cell>
        </row>
        <row r="14673">
          <cell r="P14673">
            <v>0</v>
          </cell>
        </row>
        <row r="14674">
          <cell r="P14674">
            <v>0</v>
          </cell>
        </row>
        <row r="14675">
          <cell r="P14675">
            <v>0</v>
          </cell>
        </row>
        <row r="14676">
          <cell r="P14676">
            <v>0</v>
          </cell>
        </row>
        <row r="14677">
          <cell r="P14677">
            <v>0</v>
          </cell>
        </row>
        <row r="14678">
          <cell r="P14678">
            <v>0</v>
          </cell>
        </row>
        <row r="14679">
          <cell r="P14679">
            <v>0</v>
          </cell>
        </row>
        <row r="14680">
          <cell r="P14680">
            <v>0</v>
          </cell>
        </row>
        <row r="14681">
          <cell r="P14681">
            <v>0</v>
          </cell>
        </row>
        <row r="14682">
          <cell r="P14682">
            <v>1150</v>
          </cell>
        </row>
        <row r="14683">
          <cell r="P14683">
            <v>1150</v>
          </cell>
        </row>
        <row r="14684">
          <cell r="P14684">
            <v>598</v>
          </cell>
        </row>
        <row r="14685">
          <cell r="P14685">
            <v>1467.492</v>
          </cell>
        </row>
        <row r="14686">
          <cell r="P14686">
            <v>0</v>
          </cell>
        </row>
        <row r="14687">
          <cell r="P14687">
            <v>0</v>
          </cell>
        </row>
        <row r="14688">
          <cell r="P14688">
            <v>0</v>
          </cell>
        </row>
        <row r="14689">
          <cell r="P14689">
            <v>0</v>
          </cell>
        </row>
        <row r="14690">
          <cell r="P14690">
            <v>0</v>
          </cell>
        </row>
        <row r="14691">
          <cell r="P14691">
            <v>0</v>
          </cell>
        </row>
        <row r="14692">
          <cell r="P14692">
            <v>0</v>
          </cell>
        </row>
        <row r="14693">
          <cell r="P14693">
            <v>0</v>
          </cell>
        </row>
        <row r="14694">
          <cell r="P14694">
            <v>0</v>
          </cell>
        </row>
        <row r="14695">
          <cell r="P14695">
            <v>0</v>
          </cell>
        </row>
        <row r="14696">
          <cell r="P14696">
            <v>0</v>
          </cell>
        </row>
        <row r="14697">
          <cell r="P14697">
            <v>0</v>
          </cell>
        </row>
        <row r="14698">
          <cell r="P14698">
            <v>0</v>
          </cell>
        </row>
        <row r="14699">
          <cell r="P14699">
            <v>0</v>
          </cell>
        </row>
        <row r="14700">
          <cell r="P14700">
            <v>0</v>
          </cell>
        </row>
        <row r="14701">
          <cell r="P14701">
            <v>0</v>
          </cell>
        </row>
        <row r="14702">
          <cell r="P14702">
            <v>0</v>
          </cell>
        </row>
        <row r="14703">
          <cell r="P14703">
            <v>0</v>
          </cell>
        </row>
        <row r="14704">
          <cell r="P14704">
            <v>0</v>
          </cell>
        </row>
        <row r="14705">
          <cell r="P14705">
            <v>0</v>
          </cell>
        </row>
        <row r="14706">
          <cell r="P14706">
            <v>0</v>
          </cell>
        </row>
        <row r="14707">
          <cell r="P14707">
            <v>0</v>
          </cell>
        </row>
        <row r="14708">
          <cell r="P14708">
            <v>0</v>
          </cell>
        </row>
        <row r="14709">
          <cell r="P14709">
            <v>0</v>
          </cell>
        </row>
        <row r="14710">
          <cell r="P14710">
            <v>0</v>
          </cell>
        </row>
        <row r="14711">
          <cell r="P14711">
            <v>0</v>
          </cell>
        </row>
        <row r="14712">
          <cell r="P14712">
            <v>0</v>
          </cell>
        </row>
        <row r="14713">
          <cell r="P14713">
            <v>0</v>
          </cell>
        </row>
        <row r="14714">
          <cell r="P14714">
            <v>0</v>
          </cell>
        </row>
        <row r="14715">
          <cell r="P14715">
            <v>0</v>
          </cell>
        </row>
        <row r="14716">
          <cell r="P14716">
            <v>0</v>
          </cell>
        </row>
        <row r="14717">
          <cell r="P14717">
            <v>0</v>
          </cell>
        </row>
        <row r="14718">
          <cell r="P14718">
            <v>0</v>
          </cell>
        </row>
        <row r="14719">
          <cell r="P14719">
            <v>0</v>
          </cell>
        </row>
        <row r="14720">
          <cell r="P14720">
            <v>0</v>
          </cell>
        </row>
        <row r="14721">
          <cell r="P14721">
            <v>0</v>
          </cell>
        </row>
        <row r="14722">
          <cell r="P14722">
            <v>0</v>
          </cell>
        </row>
        <row r="14723">
          <cell r="P14723">
            <v>0</v>
          </cell>
        </row>
        <row r="14724">
          <cell r="P14724">
            <v>0</v>
          </cell>
        </row>
        <row r="14725">
          <cell r="P14725">
            <v>0</v>
          </cell>
        </row>
        <row r="14726">
          <cell r="P14726">
            <v>0</v>
          </cell>
        </row>
        <row r="14727">
          <cell r="P14727">
            <v>0</v>
          </cell>
        </row>
        <row r="14728">
          <cell r="P14728">
            <v>0</v>
          </cell>
        </row>
        <row r="14729">
          <cell r="P14729">
            <v>0</v>
          </cell>
        </row>
        <row r="14730">
          <cell r="P14730">
            <v>0</v>
          </cell>
        </row>
        <row r="14731">
          <cell r="P14731">
            <v>0</v>
          </cell>
        </row>
        <row r="14732">
          <cell r="P14732">
            <v>0</v>
          </cell>
        </row>
        <row r="14733">
          <cell r="P14733">
            <v>0</v>
          </cell>
        </row>
        <row r="14734">
          <cell r="P14734">
            <v>0</v>
          </cell>
        </row>
        <row r="14735">
          <cell r="P14735">
            <v>0</v>
          </cell>
        </row>
        <row r="14736">
          <cell r="P14736">
            <v>0</v>
          </cell>
        </row>
        <row r="14737">
          <cell r="P14737">
            <v>0</v>
          </cell>
        </row>
        <row r="14738">
          <cell r="P14738">
            <v>0</v>
          </cell>
        </row>
        <row r="14739">
          <cell r="P14739">
            <v>0</v>
          </cell>
        </row>
        <row r="14740">
          <cell r="P14740">
            <v>0</v>
          </cell>
        </row>
        <row r="14741">
          <cell r="P14741">
            <v>0</v>
          </cell>
        </row>
        <row r="14742">
          <cell r="P14742">
            <v>0</v>
          </cell>
        </row>
        <row r="14743">
          <cell r="P14743">
            <v>0</v>
          </cell>
        </row>
        <row r="14744">
          <cell r="P14744">
            <v>0</v>
          </cell>
        </row>
        <row r="14745">
          <cell r="P14745">
            <v>0</v>
          </cell>
        </row>
        <row r="14746">
          <cell r="P14746">
            <v>0</v>
          </cell>
        </row>
        <row r="14747">
          <cell r="P14747">
            <v>0</v>
          </cell>
        </row>
        <row r="14748">
          <cell r="P14748">
            <v>0</v>
          </cell>
        </row>
        <row r="14749">
          <cell r="P14749">
            <v>0</v>
          </cell>
        </row>
        <row r="14750">
          <cell r="P14750">
            <v>0</v>
          </cell>
        </row>
        <row r="14751">
          <cell r="P14751">
            <v>0</v>
          </cell>
        </row>
        <row r="14752">
          <cell r="P14752">
            <v>0</v>
          </cell>
        </row>
        <row r="14753">
          <cell r="P14753">
            <v>0</v>
          </cell>
        </row>
        <row r="14754">
          <cell r="P14754">
            <v>0</v>
          </cell>
        </row>
        <row r="14755">
          <cell r="P14755">
            <v>0</v>
          </cell>
        </row>
        <row r="14756">
          <cell r="P14756">
            <v>0</v>
          </cell>
        </row>
        <row r="14757">
          <cell r="P14757">
            <v>0</v>
          </cell>
        </row>
        <row r="14758">
          <cell r="P14758">
            <v>0</v>
          </cell>
        </row>
        <row r="14759">
          <cell r="P14759">
            <v>0</v>
          </cell>
        </row>
        <row r="14760">
          <cell r="P14760">
            <v>0</v>
          </cell>
        </row>
        <row r="14761">
          <cell r="P14761">
            <v>0</v>
          </cell>
        </row>
        <row r="14762">
          <cell r="P14762">
            <v>0</v>
          </cell>
        </row>
        <row r="14763">
          <cell r="P14763">
            <v>0</v>
          </cell>
        </row>
        <row r="14764">
          <cell r="P14764">
            <v>0</v>
          </cell>
        </row>
        <row r="14765">
          <cell r="P14765">
            <v>0</v>
          </cell>
        </row>
        <row r="14766">
          <cell r="P14766">
            <v>0</v>
          </cell>
        </row>
        <row r="14767">
          <cell r="P14767">
            <v>0</v>
          </cell>
        </row>
        <row r="14768">
          <cell r="P14768">
            <v>0</v>
          </cell>
        </row>
        <row r="14769">
          <cell r="P14769">
            <v>0</v>
          </cell>
        </row>
        <row r="14770">
          <cell r="P14770">
            <v>0</v>
          </cell>
        </row>
        <row r="14771">
          <cell r="P14771">
            <v>0</v>
          </cell>
        </row>
        <row r="14772">
          <cell r="P14772">
            <v>0</v>
          </cell>
        </row>
        <row r="14773">
          <cell r="P14773">
            <v>0</v>
          </cell>
        </row>
        <row r="14774">
          <cell r="P14774">
            <v>0</v>
          </cell>
        </row>
        <row r="14775">
          <cell r="P14775">
            <v>0</v>
          </cell>
        </row>
        <row r="14776">
          <cell r="P14776">
            <v>0</v>
          </cell>
        </row>
        <row r="14777">
          <cell r="P14777">
            <v>0</v>
          </cell>
        </row>
        <row r="14778">
          <cell r="P14778">
            <v>0</v>
          </cell>
        </row>
        <row r="14779">
          <cell r="P14779">
            <v>0</v>
          </cell>
        </row>
        <row r="14780">
          <cell r="P14780">
            <v>0</v>
          </cell>
        </row>
        <row r="14781">
          <cell r="P14781">
            <v>0</v>
          </cell>
        </row>
        <row r="14782">
          <cell r="P14782">
            <v>0</v>
          </cell>
        </row>
        <row r="14783">
          <cell r="P14783">
            <v>0</v>
          </cell>
        </row>
        <row r="14784">
          <cell r="P14784">
            <v>0</v>
          </cell>
        </row>
        <row r="14785">
          <cell r="P14785">
            <v>0</v>
          </cell>
        </row>
        <row r="14786">
          <cell r="P14786">
            <v>0</v>
          </cell>
        </row>
        <row r="14787">
          <cell r="P14787">
            <v>0</v>
          </cell>
        </row>
        <row r="14788">
          <cell r="P14788">
            <v>0</v>
          </cell>
        </row>
        <row r="14789">
          <cell r="P14789">
            <v>0</v>
          </cell>
        </row>
        <row r="14790">
          <cell r="P14790">
            <v>0</v>
          </cell>
        </row>
        <row r="14791">
          <cell r="P14791">
            <v>0</v>
          </cell>
        </row>
        <row r="14792">
          <cell r="P14792">
            <v>0</v>
          </cell>
        </row>
        <row r="14793">
          <cell r="P14793">
            <v>0</v>
          </cell>
        </row>
        <row r="14794">
          <cell r="P14794">
            <v>0</v>
          </cell>
        </row>
        <row r="14795">
          <cell r="P14795">
            <v>0</v>
          </cell>
        </row>
        <row r="14796">
          <cell r="P14796">
            <v>0</v>
          </cell>
        </row>
        <row r="14797">
          <cell r="P14797">
            <v>0</v>
          </cell>
        </row>
        <row r="14798">
          <cell r="P14798">
            <v>0</v>
          </cell>
        </row>
        <row r="14799">
          <cell r="P14799">
            <v>0</v>
          </cell>
        </row>
        <row r="14800">
          <cell r="P14800">
            <v>0</v>
          </cell>
        </row>
        <row r="14801">
          <cell r="P14801">
            <v>0</v>
          </cell>
        </row>
        <row r="14802">
          <cell r="P14802">
            <v>0</v>
          </cell>
        </row>
        <row r="14803">
          <cell r="P14803">
            <v>0</v>
          </cell>
        </row>
        <row r="14804">
          <cell r="P14804">
            <v>0</v>
          </cell>
        </row>
        <row r="14805">
          <cell r="P14805">
            <v>0</v>
          </cell>
        </row>
        <row r="14806">
          <cell r="P14806">
            <v>0</v>
          </cell>
        </row>
        <row r="14807">
          <cell r="P14807">
            <v>0</v>
          </cell>
        </row>
        <row r="14808">
          <cell r="P14808">
            <v>0</v>
          </cell>
        </row>
        <row r="14809">
          <cell r="P14809">
            <v>0</v>
          </cell>
        </row>
        <row r="14810">
          <cell r="P14810">
            <v>0</v>
          </cell>
        </row>
        <row r="14811">
          <cell r="P14811">
            <v>0</v>
          </cell>
        </row>
        <row r="14812">
          <cell r="P14812">
            <v>0</v>
          </cell>
        </row>
        <row r="14813">
          <cell r="P14813">
            <v>0</v>
          </cell>
        </row>
        <row r="14814">
          <cell r="P14814">
            <v>0</v>
          </cell>
        </row>
        <row r="14815">
          <cell r="P14815">
            <v>0</v>
          </cell>
        </row>
        <row r="14816">
          <cell r="P14816">
            <v>0</v>
          </cell>
        </row>
        <row r="14817">
          <cell r="P14817">
            <v>0</v>
          </cell>
        </row>
        <row r="14818">
          <cell r="P14818">
            <v>0</v>
          </cell>
        </row>
        <row r="14819">
          <cell r="P14819">
            <v>0</v>
          </cell>
        </row>
        <row r="14820">
          <cell r="P14820">
            <v>0</v>
          </cell>
        </row>
        <row r="14821">
          <cell r="P14821">
            <v>0</v>
          </cell>
        </row>
        <row r="14822">
          <cell r="P14822">
            <v>0</v>
          </cell>
        </row>
        <row r="14823">
          <cell r="P14823">
            <v>0</v>
          </cell>
        </row>
        <row r="14824">
          <cell r="P14824">
            <v>0</v>
          </cell>
        </row>
        <row r="14825">
          <cell r="P14825">
            <v>0</v>
          </cell>
        </row>
        <row r="14826">
          <cell r="P14826">
            <v>0</v>
          </cell>
        </row>
        <row r="14827">
          <cell r="P14827">
            <v>0</v>
          </cell>
        </row>
        <row r="14828">
          <cell r="P14828">
            <v>0</v>
          </cell>
        </row>
        <row r="14829">
          <cell r="P14829">
            <v>0</v>
          </cell>
        </row>
        <row r="14830">
          <cell r="P14830">
            <v>0</v>
          </cell>
        </row>
        <row r="14831">
          <cell r="P14831">
            <v>0</v>
          </cell>
        </row>
        <row r="14832">
          <cell r="P14832">
            <v>0</v>
          </cell>
        </row>
        <row r="14833">
          <cell r="P14833">
            <v>0</v>
          </cell>
        </row>
        <row r="14834">
          <cell r="P14834">
            <v>0</v>
          </cell>
        </row>
        <row r="14835">
          <cell r="P14835">
            <v>0</v>
          </cell>
        </row>
        <row r="14836">
          <cell r="P14836">
            <v>0</v>
          </cell>
        </row>
        <row r="14837">
          <cell r="P14837">
            <v>0</v>
          </cell>
        </row>
        <row r="14838">
          <cell r="P14838">
            <v>0</v>
          </cell>
        </row>
        <row r="14839">
          <cell r="P14839">
            <v>0</v>
          </cell>
        </row>
        <row r="14840">
          <cell r="P14840">
            <v>0</v>
          </cell>
        </row>
        <row r="14841">
          <cell r="P14841">
            <v>0</v>
          </cell>
        </row>
        <row r="14842">
          <cell r="P14842">
            <v>0</v>
          </cell>
        </row>
        <row r="14843">
          <cell r="P14843">
            <v>0</v>
          </cell>
        </row>
        <row r="14844">
          <cell r="P14844">
            <v>0</v>
          </cell>
        </row>
        <row r="14845">
          <cell r="P14845">
            <v>0</v>
          </cell>
        </row>
        <row r="14846">
          <cell r="P14846">
            <v>0</v>
          </cell>
        </row>
        <row r="14847">
          <cell r="P14847">
            <v>0</v>
          </cell>
        </row>
        <row r="14848">
          <cell r="P14848">
            <v>0</v>
          </cell>
        </row>
        <row r="14849">
          <cell r="P14849">
            <v>0</v>
          </cell>
        </row>
        <row r="14850">
          <cell r="P14850">
            <v>0</v>
          </cell>
        </row>
        <row r="14851">
          <cell r="P14851">
            <v>0</v>
          </cell>
        </row>
        <row r="14852">
          <cell r="P14852">
            <v>0</v>
          </cell>
        </row>
        <row r="14853">
          <cell r="P14853">
            <v>0</v>
          </cell>
        </row>
        <row r="14854">
          <cell r="P14854">
            <v>0</v>
          </cell>
        </row>
        <row r="14855">
          <cell r="P14855">
            <v>0</v>
          </cell>
        </row>
        <row r="14856">
          <cell r="P14856">
            <v>0</v>
          </cell>
        </row>
        <row r="14857">
          <cell r="P14857">
            <v>0</v>
          </cell>
        </row>
        <row r="14858">
          <cell r="P14858">
            <v>0</v>
          </cell>
        </row>
        <row r="14859">
          <cell r="P14859">
            <v>0</v>
          </cell>
        </row>
        <row r="14860">
          <cell r="P14860">
            <v>0</v>
          </cell>
        </row>
        <row r="14861">
          <cell r="P14861">
            <v>0</v>
          </cell>
        </row>
        <row r="14862">
          <cell r="P14862">
            <v>0</v>
          </cell>
        </row>
        <row r="14863">
          <cell r="P14863">
            <v>0</v>
          </cell>
        </row>
        <row r="14864">
          <cell r="P14864">
            <v>0</v>
          </cell>
        </row>
        <row r="14865">
          <cell r="P14865">
            <v>0</v>
          </cell>
        </row>
        <row r="14866">
          <cell r="P14866">
            <v>0</v>
          </cell>
        </row>
        <row r="14867">
          <cell r="P14867">
            <v>0</v>
          </cell>
        </row>
        <row r="14868">
          <cell r="P14868">
            <v>0</v>
          </cell>
        </row>
        <row r="14869">
          <cell r="P14869">
            <v>0</v>
          </cell>
        </row>
        <row r="14870">
          <cell r="P14870">
            <v>0</v>
          </cell>
        </row>
        <row r="14871">
          <cell r="P14871">
            <v>0</v>
          </cell>
        </row>
        <row r="14872">
          <cell r="P14872">
            <v>0</v>
          </cell>
        </row>
        <row r="14873">
          <cell r="P14873">
            <v>0</v>
          </cell>
        </row>
        <row r="14874">
          <cell r="P14874">
            <v>0</v>
          </cell>
        </row>
        <row r="14875">
          <cell r="P14875">
            <v>0</v>
          </cell>
        </row>
        <row r="14876">
          <cell r="P14876">
            <v>0</v>
          </cell>
        </row>
        <row r="14877">
          <cell r="P14877">
            <v>0</v>
          </cell>
        </row>
        <row r="14878">
          <cell r="P14878">
            <v>0</v>
          </cell>
        </row>
        <row r="14879">
          <cell r="P14879">
            <v>0</v>
          </cell>
        </row>
        <row r="14880">
          <cell r="P14880">
            <v>0</v>
          </cell>
        </row>
        <row r="14881">
          <cell r="P14881">
            <v>0</v>
          </cell>
        </row>
        <row r="14882">
          <cell r="P14882">
            <v>0</v>
          </cell>
        </row>
        <row r="14883">
          <cell r="P14883">
            <v>0</v>
          </cell>
        </row>
        <row r="14884">
          <cell r="P14884">
            <v>0</v>
          </cell>
        </row>
        <row r="14885">
          <cell r="P14885">
            <v>0</v>
          </cell>
        </row>
        <row r="14886">
          <cell r="P14886">
            <v>0</v>
          </cell>
        </row>
        <row r="14887">
          <cell r="P14887">
            <v>0</v>
          </cell>
        </row>
        <row r="14888">
          <cell r="P14888">
            <v>0</v>
          </cell>
        </row>
        <row r="14889">
          <cell r="P14889">
            <v>0</v>
          </cell>
        </row>
        <row r="14890">
          <cell r="P14890">
            <v>0</v>
          </cell>
        </row>
        <row r="14891">
          <cell r="P14891">
            <v>0</v>
          </cell>
        </row>
        <row r="14892">
          <cell r="P14892">
            <v>0</v>
          </cell>
        </row>
        <row r="14893">
          <cell r="P14893">
            <v>0</v>
          </cell>
        </row>
        <row r="14894">
          <cell r="P14894">
            <v>0</v>
          </cell>
        </row>
        <row r="14895">
          <cell r="P14895">
            <v>0</v>
          </cell>
        </row>
        <row r="14896">
          <cell r="P14896">
            <v>0</v>
          </cell>
        </row>
        <row r="14897">
          <cell r="P14897">
            <v>0</v>
          </cell>
        </row>
        <row r="14898">
          <cell r="P14898">
            <v>0</v>
          </cell>
        </row>
        <row r="14899">
          <cell r="P14899">
            <v>0</v>
          </cell>
        </row>
        <row r="14900">
          <cell r="P14900">
            <v>0</v>
          </cell>
        </row>
        <row r="14901">
          <cell r="P14901">
            <v>0</v>
          </cell>
        </row>
        <row r="14902">
          <cell r="P14902">
            <v>0</v>
          </cell>
        </row>
        <row r="14903">
          <cell r="P14903">
            <v>0</v>
          </cell>
        </row>
        <row r="14904">
          <cell r="P14904">
            <v>0</v>
          </cell>
        </row>
        <row r="14905">
          <cell r="P14905">
            <v>0</v>
          </cell>
        </row>
        <row r="14906">
          <cell r="P14906">
            <v>0</v>
          </cell>
        </row>
        <row r="14907">
          <cell r="P14907">
            <v>0</v>
          </cell>
        </row>
        <row r="14908">
          <cell r="P14908">
            <v>0</v>
          </cell>
        </row>
        <row r="14909">
          <cell r="P14909">
            <v>0</v>
          </cell>
        </row>
        <row r="14910">
          <cell r="P14910">
            <v>0</v>
          </cell>
        </row>
        <row r="14911">
          <cell r="P14911">
            <v>0</v>
          </cell>
        </row>
        <row r="14912">
          <cell r="P14912">
            <v>0</v>
          </cell>
        </row>
        <row r="14913">
          <cell r="P14913">
            <v>0</v>
          </cell>
        </row>
        <row r="14914">
          <cell r="P14914">
            <v>0</v>
          </cell>
        </row>
        <row r="14915">
          <cell r="P14915">
            <v>0</v>
          </cell>
        </row>
        <row r="14916">
          <cell r="P14916">
            <v>0</v>
          </cell>
        </row>
        <row r="14917">
          <cell r="P14917">
            <v>0</v>
          </cell>
        </row>
        <row r="14918">
          <cell r="P14918">
            <v>0</v>
          </cell>
        </row>
        <row r="14919">
          <cell r="P14919">
            <v>0</v>
          </cell>
        </row>
        <row r="14920">
          <cell r="P14920">
            <v>0</v>
          </cell>
        </row>
        <row r="14921">
          <cell r="P14921">
            <v>0</v>
          </cell>
        </row>
        <row r="14922">
          <cell r="P14922">
            <v>0</v>
          </cell>
        </row>
        <row r="14923">
          <cell r="P14923">
            <v>0</v>
          </cell>
        </row>
        <row r="14924">
          <cell r="P14924">
            <v>0</v>
          </cell>
        </row>
        <row r="14925">
          <cell r="P14925">
            <v>0</v>
          </cell>
        </row>
        <row r="14926">
          <cell r="P14926">
            <v>0</v>
          </cell>
        </row>
        <row r="14927">
          <cell r="P14927">
            <v>0</v>
          </cell>
        </row>
        <row r="14928">
          <cell r="P14928">
            <v>0</v>
          </cell>
        </row>
        <row r="14929">
          <cell r="P14929">
            <v>0</v>
          </cell>
        </row>
        <row r="14930">
          <cell r="P14930">
            <v>0</v>
          </cell>
        </row>
        <row r="14931">
          <cell r="P14931">
            <v>0</v>
          </cell>
        </row>
        <row r="14932">
          <cell r="P14932">
            <v>0</v>
          </cell>
        </row>
        <row r="14933">
          <cell r="P14933">
            <v>0</v>
          </cell>
        </row>
        <row r="14934">
          <cell r="P14934">
            <v>0</v>
          </cell>
        </row>
        <row r="14935">
          <cell r="P14935">
            <v>0</v>
          </cell>
        </row>
        <row r="14936">
          <cell r="P14936">
            <v>0</v>
          </cell>
        </row>
        <row r="14937">
          <cell r="P14937">
            <v>0</v>
          </cell>
        </row>
        <row r="14938">
          <cell r="P14938">
            <v>0</v>
          </cell>
        </row>
        <row r="14939">
          <cell r="P14939">
            <v>0</v>
          </cell>
        </row>
        <row r="14940">
          <cell r="P14940">
            <v>0</v>
          </cell>
        </row>
        <row r="14941">
          <cell r="P14941">
            <v>0</v>
          </cell>
        </row>
        <row r="14942">
          <cell r="P14942">
            <v>0</v>
          </cell>
        </row>
        <row r="14943">
          <cell r="P14943">
            <v>0</v>
          </cell>
        </row>
        <row r="14944">
          <cell r="P14944">
            <v>0</v>
          </cell>
        </row>
        <row r="14945">
          <cell r="P14945">
            <v>0</v>
          </cell>
        </row>
        <row r="14946">
          <cell r="P14946">
            <v>0</v>
          </cell>
        </row>
        <row r="14947">
          <cell r="P14947">
            <v>0</v>
          </cell>
        </row>
        <row r="14948">
          <cell r="P14948">
            <v>0</v>
          </cell>
        </row>
        <row r="14949">
          <cell r="P14949">
            <v>0</v>
          </cell>
        </row>
        <row r="14950">
          <cell r="P14950">
            <v>0</v>
          </cell>
        </row>
        <row r="14951">
          <cell r="P14951">
            <v>0</v>
          </cell>
        </row>
        <row r="14952">
          <cell r="P14952">
            <v>0</v>
          </cell>
        </row>
        <row r="14953">
          <cell r="P14953">
            <v>0</v>
          </cell>
        </row>
        <row r="14954">
          <cell r="P14954">
            <v>0</v>
          </cell>
        </row>
        <row r="14955">
          <cell r="P14955">
            <v>0</v>
          </cell>
        </row>
        <row r="14956">
          <cell r="P14956">
            <v>0</v>
          </cell>
        </row>
        <row r="14957">
          <cell r="P14957">
            <v>0</v>
          </cell>
        </row>
        <row r="14958">
          <cell r="P14958">
            <v>0</v>
          </cell>
        </row>
        <row r="14959">
          <cell r="P14959">
            <v>0</v>
          </cell>
        </row>
        <row r="14960">
          <cell r="P14960">
            <v>0</v>
          </cell>
        </row>
        <row r="14961">
          <cell r="P14961">
            <v>0</v>
          </cell>
        </row>
        <row r="14962">
          <cell r="P14962">
            <v>0</v>
          </cell>
        </row>
        <row r="14963">
          <cell r="P14963">
            <v>15.749999999999998</v>
          </cell>
        </row>
        <row r="14964">
          <cell r="P14964">
            <v>54</v>
          </cell>
        </row>
        <row r="14965">
          <cell r="P14965">
            <v>9.4500000000000001E-2</v>
          </cell>
        </row>
        <row r="14966">
          <cell r="P14966">
            <v>40.5</v>
          </cell>
        </row>
        <row r="14967">
          <cell r="P14967">
            <v>45</v>
          </cell>
        </row>
        <row r="14968">
          <cell r="P14968">
            <v>0</v>
          </cell>
        </row>
        <row r="14969">
          <cell r="P14969">
            <v>185.60000000000002</v>
          </cell>
        </row>
        <row r="14970">
          <cell r="P14970">
            <v>649.59999999999991</v>
          </cell>
        </row>
        <row r="14971">
          <cell r="P14971">
            <v>1.8095999999999999</v>
          </cell>
        </row>
        <row r="14972">
          <cell r="P14972">
            <v>772.56000000000006</v>
          </cell>
        </row>
        <row r="14973">
          <cell r="P14973">
            <v>464</v>
          </cell>
        </row>
        <row r="14974">
          <cell r="P14974">
            <v>0</v>
          </cell>
        </row>
        <row r="14975">
          <cell r="P14975">
            <v>0</v>
          </cell>
        </row>
        <row r="14976">
          <cell r="P14976">
            <v>0</v>
          </cell>
        </row>
        <row r="14977">
          <cell r="P14977">
            <v>0</v>
          </cell>
        </row>
        <row r="14978">
          <cell r="P14978">
            <v>0</v>
          </cell>
        </row>
        <row r="14979">
          <cell r="P14979">
            <v>0</v>
          </cell>
        </row>
        <row r="14980">
          <cell r="P14980">
            <v>0</v>
          </cell>
        </row>
        <row r="14981">
          <cell r="P14981">
            <v>0</v>
          </cell>
        </row>
        <row r="14982">
          <cell r="P14982">
            <v>203.7</v>
          </cell>
        </row>
        <row r="14983">
          <cell r="P14983">
            <v>523.80000000000007</v>
          </cell>
        </row>
        <row r="14984">
          <cell r="P14984">
            <v>1.746</v>
          </cell>
        </row>
        <row r="14985">
          <cell r="P14985">
            <v>746.41499999999996</v>
          </cell>
        </row>
        <row r="14986">
          <cell r="P14986">
            <v>291</v>
          </cell>
        </row>
        <row r="14987">
          <cell r="P14987">
            <v>7.2750000000000004</v>
          </cell>
        </row>
        <row r="14988">
          <cell r="P14988">
            <v>0</v>
          </cell>
        </row>
        <row r="14989">
          <cell r="P14989">
            <v>0</v>
          </cell>
        </row>
        <row r="14990">
          <cell r="P14990">
            <v>0</v>
          </cell>
        </row>
        <row r="14991">
          <cell r="P14991">
            <v>0</v>
          </cell>
        </row>
        <row r="14992">
          <cell r="P14992">
            <v>0</v>
          </cell>
        </row>
        <row r="14993">
          <cell r="P14993">
            <v>0</v>
          </cell>
        </row>
        <row r="14994">
          <cell r="P14994">
            <v>0</v>
          </cell>
        </row>
        <row r="14995">
          <cell r="P14995">
            <v>0</v>
          </cell>
        </row>
        <row r="14996">
          <cell r="P14996">
            <v>130</v>
          </cell>
        </row>
        <row r="14997">
          <cell r="P14997">
            <v>286</v>
          </cell>
        </row>
        <row r="14998">
          <cell r="P14998">
            <v>1.9370000000000001</v>
          </cell>
        </row>
        <row r="14999">
          <cell r="P14999">
            <v>830.69999999999993</v>
          </cell>
        </row>
        <row r="15000">
          <cell r="P15000">
            <v>130</v>
          </cell>
        </row>
        <row r="15001">
          <cell r="P15001">
            <v>6.5</v>
          </cell>
        </row>
        <row r="15002">
          <cell r="P15002">
            <v>0</v>
          </cell>
        </row>
        <row r="15003">
          <cell r="P15003">
            <v>0</v>
          </cell>
        </row>
        <row r="15004">
          <cell r="P15004">
            <v>0</v>
          </cell>
        </row>
        <row r="15005">
          <cell r="P15005">
            <v>0</v>
          </cell>
        </row>
        <row r="15006">
          <cell r="P15006">
            <v>0</v>
          </cell>
        </row>
        <row r="15007">
          <cell r="P15007">
            <v>0</v>
          </cell>
        </row>
        <row r="15008">
          <cell r="P15008">
            <v>0</v>
          </cell>
        </row>
        <row r="15009">
          <cell r="P15009">
            <v>0</v>
          </cell>
        </row>
        <row r="15010">
          <cell r="P15010">
            <v>0</v>
          </cell>
        </row>
        <row r="15011">
          <cell r="P15011">
            <v>0</v>
          </cell>
        </row>
        <row r="15012">
          <cell r="P15012">
            <v>0</v>
          </cell>
        </row>
        <row r="15013">
          <cell r="P15013">
            <v>0</v>
          </cell>
        </row>
        <row r="15014">
          <cell r="P15014">
            <v>0</v>
          </cell>
        </row>
        <row r="15015">
          <cell r="P15015">
            <v>0</v>
          </cell>
        </row>
        <row r="15016">
          <cell r="P15016">
            <v>0</v>
          </cell>
        </row>
        <row r="15017">
          <cell r="P15017">
            <v>0</v>
          </cell>
        </row>
        <row r="15018">
          <cell r="P15018">
            <v>0</v>
          </cell>
        </row>
        <row r="15019">
          <cell r="P15019">
            <v>0</v>
          </cell>
        </row>
        <row r="15020">
          <cell r="P15020">
            <v>0</v>
          </cell>
        </row>
        <row r="15021">
          <cell r="P15021">
            <v>0</v>
          </cell>
        </row>
        <row r="15022">
          <cell r="P15022">
            <v>0</v>
          </cell>
        </row>
        <row r="15023">
          <cell r="P15023">
            <v>0</v>
          </cell>
        </row>
        <row r="15024">
          <cell r="P15024">
            <v>0</v>
          </cell>
        </row>
        <row r="15025">
          <cell r="P15025">
            <v>0</v>
          </cell>
        </row>
        <row r="15026">
          <cell r="P15026">
            <v>0</v>
          </cell>
        </row>
        <row r="15027">
          <cell r="P15027">
            <v>0</v>
          </cell>
        </row>
        <row r="15028">
          <cell r="P15028">
            <v>0</v>
          </cell>
        </row>
        <row r="15029">
          <cell r="P15029">
            <v>0</v>
          </cell>
        </row>
        <row r="15030">
          <cell r="P15030">
            <v>0</v>
          </cell>
        </row>
        <row r="15031">
          <cell r="P15031">
            <v>0</v>
          </cell>
        </row>
        <row r="15032">
          <cell r="P15032">
            <v>0</v>
          </cell>
        </row>
        <row r="15033">
          <cell r="P15033">
            <v>0</v>
          </cell>
        </row>
        <row r="15034">
          <cell r="P15034">
            <v>0</v>
          </cell>
        </row>
        <row r="15035">
          <cell r="P15035">
            <v>0</v>
          </cell>
        </row>
        <row r="15036">
          <cell r="P15036">
            <v>0</v>
          </cell>
        </row>
        <row r="15037">
          <cell r="P15037">
            <v>0</v>
          </cell>
        </row>
        <row r="15038">
          <cell r="P15038">
            <v>0</v>
          </cell>
        </row>
        <row r="15039">
          <cell r="P15039">
            <v>0</v>
          </cell>
        </row>
        <row r="15040">
          <cell r="P15040">
            <v>0</v>
          </cell>
        </row>
        <row r="15041">
          <cell r="P15041">
            <v>0</v>
          </cell>
        </row>
        <row r="15042">
          <cell r="P15042">
            <v>0</v>
          </cell>
        </row>
        <row r="15043">
          <cell r="P15043">
            <v>0</v>
          </cell>
        </row>
        <row r="15044">
          <cell r="P15044">
            <v>0</v>
          </cell>
        </row>
        <row r="15045">
          <cell r="P15045">
            <v>0</v>
          </cell>
        </row>
        <row r="15046">
          <cell r="P15046">
            <v>0</v>
          </cell>
        </row>
        <row r="15047">
          <cell r="P15047">
            <v>0</v>
          </cell>
        </row>
        <row r="15048">
          <cell r="P15048">
            <v>0</v>
          </cell>
        </row>
        <row r="15049">
          <cell r="P15049">
            <v>0</v>
          </cell>
        </row>
        <row r="15050">
          <cell r="P15050">
            <v>0</v>
          </cell>
        </row>
        <row r="15051">
          <cell r="P15051">
            <v>0</v>
          </cell>
        </row>
        <row r="15052">
          <cell r="P15052">
            <v>0</v>
          </cell>
        </row>
        <row r="15053">
          <cell r="P15053">
            <v>0</v>
          </cell>
        </row>
        <row r="15054">
          <cell r="P15054">
            <v>0</v>
          </cell>
        </row>
        <row r="15055">
          <cell r="P15055">
            <v>0</v>
          </cell>
        </row>
        <row r="15056">
          <cell r="P15056">
            <v>0</v>
          </cell>
        </row>
        <row r="15057">
          <cell r="P15057">
            <v>0</v>
          </cell>
        </row>
        <row r="15058">
          <cell r="P15058">
            <v>0</v>
          </cell>
        </row>
        <row r="15059">
          <cell r="P15059">
            <v>0</v>
          </cell>
        </row>
        <row r="15060">
          <cell r="P15060">
            <v>0</v>
          </cell>
        </row>
        <row r="15061">
          <cell r="P15061">
            <v>0</v>
          </cell>
        </row>
        <row r="15062">
          <cell r="P15062">
            <v>0</v>
          </cell>
        </row>
        <row r="15063">
          <cell r="P15063">
            <v>0</v>
          </cell>
        </row>
        <row r="15064">
          <cell r="P15064">
            <v>0</v>
          </cell>
        </row>
        <row r="15065">
          <cell r="P15065">
            <v>0</v>
          </cell>
        </row>
        <row r="15066">
          <cell r="P15066">
            <v>0</v>
          </cell>
        </row>
        <row r="15067">
          <cell r="P15067">
            <v>0</v>
          </cell>
        </row>
        <row r="15068">
          <cell r="P15068">
            <v>0</v>
          </cell>
        </row>
        <row r="15069">
          <cell r="P15069">
            <v>0</v>
          </cell>
        </row>
        <row r="15070">
          <cell r="P15070">
            <v>0</v>
          </cell>
        </row>
        <row r="15071">
          <cell r="P15071">
            <v>0</v>
          </cell>
        </row>
        <row r="15072">
          <cell r="P15072">
            <v>0</v>
          </cell>
        </row>
        <row r="15073">
          <cell r="P15073">
            <v>0</v>
          </cell>
        </row>
        <row r="15074">
          <cell r="P15074">
            <v>0</v>
          </cell>
        </row>
        <row r="15075">
          <cell r="P15075">
            <v>0</v>
          </cell>
        </row>
        <row r="15076">
          <cell r="P15076">
            <v>0</v>
          </cell>
        </row>
        <row r="15077">
          <cell r="P15077">
            <v>0</v>
          </cell>
        </row>
        <row r="15078">
          <cell r="P15078">
            <v>0</v>
          </cell>
        </row>
        <row r="15079">
          <cell r="P15079">
            <v>0</v>
          </cell>
        </row>
        <row r="15080">
          <cell r="P15080">
            <v>0</v>
          </cell>
        </row>
        <row r="15081">
          <cell r="P15081">
            <v>0</v>
          </cell>
        </row>
        <row r="15082">
          <cell r="P15082">
            <v>0</v>
          </cell>
        </row>
        <row r="15083">
          <cell r="P15083">
            <v>0</v>
          </cell>
        </row>
        <row r="15084">
          <cell r="P15084">
            <v>0</v>
          </cell>
        </row>
        <row r="15085">
          <cell r="P15085">
            <v>0</v>
          </cell>
        </row>
        <row r="15086">
          <cell r="P15086">
            <v>0</v>
          </cell>
        </row>
        <row r="15087">
          <cell r="P15087">
            <v>0</v>
          </cell>
        </row>
        <row r="15088">
          <cell r="P15088">
            <v>0</v>
          </cell>
        </row>
        <row r="15089">
          <cell r="P15089">
            <v>0</v>
          </cell>
        </row>
        <row r="15090">
          <cell r="P15090">
            <v>0</v>
          </cell>
        </row>
        <row r="15091">
          <cell r="P15091">
            <v>0</v>
          </cell>
        </row>
        <row r="15092">
          <cell r="P15092">
            <v>0</v>
          </cell>
        </row>
        <row r="15093">
          <cell r="P15093">
            <v>0</v>
          </cell>
        </row>
        <row r="15094">
          <cell r="P15094">
            <v>0</v>
          </cell>
        </row>
        <row r="15095">
          <cell r="P15095">
            <v>0</v>
          </cell>
        </row>
        <row r="15096">
          <cell r="P15096">
            <v>0</v>
          </cell>
        </row>
        <row r="15097">
          <cell r="P15097">
            <v>0</v>
          </cell>
        </row>
        <row r="15098">
          <cell r="P15098">
            <v>0</v>
          </cell>
        </row>
        <row r="15099">
          <cell r="P15099">
            <v>0</v>
          </cell>
        </row>
        <row r="15100">
          <cell r="P15100">
            <v>0</v>
          </cell>
        </row>
        <row r="15101">
          <cell r="P15101">
            <v>0</v>
          </cell>
        </row>
        <row r="15102">
          <cell r="P15102">
            <v>0</v>
          </cell>
        </row>
        <row r="15103">
          <cell r="P15103">
            <v>0</v>
          </cell>
        </row>
        <row r="15104">
          <cell r="P15104">
            <v>0</v>
          </cell>
        </row>
        <row r="15105">
          <cell r="P15105">
            <v>0</v>
          </cell>
        </row>
        <row r="15106">
          <cell r="P15106">
            <v>0</v>
          </cell>
        </row>
        <row r="15107">
          <cell r="P15107">
            <v>0</v>
          </cell>
        </row>
        <row r="15108">
          <cell r="P15108">
            <v>0</v>
          </cell>
        </row>
        <row r="15109">
          <cell r="P15109">
            <v>0</v>
          </cell>
        </row>
        <row r="15110">
          <cell r="P15110">
            <v>0</v>
          </cell>
        </row>
        <row r="15111">
          <cell r="P15111">
            <v>0</v>
          </cell>
        </row>
        <row r="15112">
          <cell r="P15112">
            <v>0</v>
          </cell>
        </row>
        <row r="15113">
          <cell r="P15113">
            <v>0</v>
          </cell>
        </row>
        <row r="15114">
          <cell r="P15114">
            <v>0</v>
          </cell>
        </row>
        <row r="15115">
          <cell r="P15115">
            <v>0</v>
          </cell>
        </row>
        <row r="15116">
          <cell r="P15116">
            <v>0</v>
          </cell>
        </row>
        <row r="15117">
          <cell r="P15117">
            <v>0</v>
          </cell>
        </row>
        <row r="15118">
          <cell r="P15118">
            <v>0</v>
          </cell>
        </row>
        <row r="15119">
          <cell r="P15119">
            <v>0</v>
          </cell>
        </row>
        <row r="15120">
          <cell r="P15120">
            <v>0</v>
          </cell>
        </row>
        <row r="15121">
          <cell r="P15121">
            <v>0</v>
          </cell>
        </row>
        <row r="15122">
          <cell r="P15122">
            <v>0</v>
          </cell>
        </row>
        <row r="15123">
          <cell r="P15123">
            <v>0</v>
          </cell>
        </row>
        <row r="15124">
          <cell r="P15124">
            <v>0</v>
          </cell>
        </row>
        <row r="15125">
          <cell r="P15125">
            <v>0</v>
          </cell>
        </row>
        <row r="15126">
          <cell r="P15126">
            <v>0</v>
          </cell>
        </row>
        <row r="15127">
          <cell r="P15127">
            <v>0</v>
          </cell>
        </row>
        <row r="15128">
          <cell r="P15128">
            <v>0</v>
          </cell>
        </row>
        <row r="15129">
          <cell r="P15129">
            <v>0</v>
          </cell>
        </row>
        <row r="15130">
          <cell r="P15130">
            <v>0</v>
          </cell>
        </row>
        <row r="15131">
          <cell r="P15131">
            <v>0</v>
          </cell>
        </row>
        <row r="15132">
          <cell r="P15132">
            <v>0</v>
          </cell>
        </row>
        <row r="15133">
          <cell r="P15133">
            <v>0</v>
          </cell>
        </row>
        <row r="15134">
          <cell r="P15134">
            <v>0</v>
          </cell>
        </row>
        <row r="15135">
          <cell r="P15135">
            <v>0</v>
          </cell>
        </row>
        <row r="15136">
          <cell r="P15136">
            <v>0</v>
          </cell>
        </row>
        <row r="15137">
          <cell r="P15137">
            <v>0</v>
          </cell>
        </row>
        <row r="15138">
          <cell r="P15138">
            <v>0</v>
          </cell>
        </row>
        <row r="15139">
          <cell r="P15139">
            <v>0</v>
          </cell>
        </row>
        <row r="15140">
          <cell r="P15140">
            <v>0</v>
          </cell>
        </row>
        <row r="15141">
          <cell r="P15141">
            <v>0</v>
          </cell>
        </row>
        <row r="15142">
          <cell r="P15142">
            <v>0</v>
          </cell>
        </row>
        <row r="15143">
          <cell r="P15143">
            <v>0</v>
          </cell>
        </row>
        <row r="15144">
          <cell r="P15144">
            <v>0</v>
          </cell>
        </row>
        <row r="15145">
          <cell r="P15145">
            <v>0</v>
          </cell>
        </row>
        <row r="15146">
          <cell r="P15146">
            <v>0</v>
          </cell>
        </row>
        <row r="15147">
          <cell r="P15147">
            <v>0</v>
          </cell>
        </row>
        <row r="15148">
          <cell r="P15148">
            <v>0</v>
          </cell>
        </row>
        <row r="15149">
          <cell r="P15149">
            <v>0</v>
          </cell>
        </row>
        <row r="15150">
          <cell r="P15150">
            <v>0</v>
          </cell>
        </row>
        <row r="15151">
          <cell r="P15151">
            <v>0</v>
          </cell>
        </row>
        <row r="15152">
          <cell r="P15152">
            <v>0</v>
          </cell>
        </row>
        <row r="15153">
          <cell r="P15153">
            <v>0</v>
          </cell>
        </row>
        <row r="15154">
          <cell r="P15154">
            <v>0</v>
          </cell>
        </row>
        <row r="15155">
          <cell r="P15155">
            <v>0</v>
          </cell>
        </row>
        <row r="15156">
          <cell r="P15156">
            <v>0</v>
          </cell>
        </row>
        <row r="15157">
          <cell r="P15157">
            <v>0</v>
          </cell>
        </row>
        <row r="15158">
          <cell r="P15158">
            <v>0</v>
          </cell>
        </row>
        <row r="15159">
          <cell r="P15159">
            <v>0</v>
          </cell>
        </row>
        <row r="15160">
          <cell r="P15160">
            <v>0</v>
          </cell>
        </row>
        <row r="15161">
          <cell r="P15161">
            <v>0</v>
          </cell>
        </row>
        <row r="15162">
          <cell r="P15162">
            <v>0</v>
          </cell>
        </row>
        <row r="15163">
          <cell r="P15163">
            <v>0</v>
          </cell>
        </row>
        <row r="15164">
          <cell r="P15164">
            <v>0</v>
          </cell>
        </row>
        <row r="15165">
          <cell r="P15165">
            <v>0</v>
          </cell>
        </row>
        <row r="15166">
          <cell r="P15166">
            <v>0</v>
          </cell>
        </row>
        <row r="15167">
          <cell r="P15167">
            <v>0</v>
          </cell>
        </row>
        <row r="15168">
          <cell r="P15168">
            <v>0</v>
          </cell>
        </row>
        <row r="15169">
          <cell r="P15169">
            <v>0</v>
          </cell>
        </row>
        <row r="15170">
          <cell r="P15170">
            <v>0</v>
          </cell>
        </row>
        <row r="15171">
          <cell r="P15171">
            <v>0</v>
          </cell>
        </row>
        <row r="15172">
          <cell r="P15172">
            <v>0</v>
          </cell>
        </row>
        <row r="15173">
          <cell r="P15173">
            <v>0</v>
          </cell>
        </row>
        <row r="15174">
          <cell r="P15174">
            <v>0</v>
          </cell>
        </row>
        <row r="15175">
          <cell r="P15175">
            <v>0</v>
          </cell>
        </row>
        <row r="15176">
          <cell r="P15176">
            <v>0</v>
          </cell>
        </row>
        <row r="15177">
          <cell r="P15177">
            <v>0</v>
          </cell>
        </row>
        <row r="15178">
          <cell r="P15178">
            <v>0</v>
          </cell>
        </row>
        <row r="15179">
          <cell r="P15179">
            <v>0</v>
          </cell>
        </row>
        <row r="15180">
          <cell r="P15180">
            <v>0</v>
          </cell>
        </row>
        <row r="15181">
          <cell r="P15181">
            <v>0</v>
          </cell>
        </row>
        <row r="15182">
          <cell r="P15182">
            <v>0</v>
          </cell>
        </row>
        <row r="15183">
          <cell r="P15183">
            <v>0</v>
          </cell>
        </row>
        <row r="15184">
          <cell r="P15184">
            <v>0</v>
          </cell>
        </row>
        <row r="15185">
          <cell r="P15185">
            <v>0</v>
          </cell>
        </row>
        <row r="15186">
          <cell r="P15186">
            <v>0</v>
          </cell>
        </row>
        <row r="15187">
          <cell r="P15187">
            <v>0</v>
          </cell>
        </row>
        <row r="15188">
          <cell r="P15188">
            <v>0</v>
          </cell>
        </row>
        <row r="15189">
          <cell r="P15189">
            <v>0</v>
          </cell>
        </row>
        <row r="15190">
          <cell r="P15190">
            <v>0</v>
          </cell>
        </row>
        <row r="15191">
          <cell r="P15191">
            <v>0</v>
          </cell>
        </row>
        <row r="15192">
          <cell r="P15192">
            <v>0</v>
          </cell>
        </row>
        <row r="15193">
          <cell r="P15193">
            <v>0</v>
          </cell>
        </row>
        <row r="15194">
          <cell r="P15194">
            <v>0</v>
          </cell>
        </row>
        <row r="15195">
          <cell r="P15195">
            <v>0</v>
          </cell>
        </row>
        <row r="15196">
          <cell r="P15196">
            <v>0</v>
          </cell>
        </row>
        <row r="15197">
          <cell r="P15197">
            <v>0</v>
          </cell>
        </row>
        <row r="15198">
          <cell r="P15198">
            <v>0</v>
          </cell>
        </row>
        <row r="15199">
          <cell r="P15199">
            <v>0</v>
          </cell>
        </row>
        <row r="15200">
          <cell r="P15200">
            <v>0</v>
          </cell>
        </row>
        <row r="15201">
          <cell r="P15201">
            <v>0</v>
          </cell>
        </row>
        <row r="15202">
          <cell r="P15202">
            <v>0</v>
          </cell>
        </row>
        <row r="15203">
          <cell r="P15203">
            <v>0</v>
          </cell>
        </row>
        <row r="15204">
          <cell r="P15204">
            <v>0</v>
          </cell>
        </row>
        <row r="15205">
          <cell r="P15205">
            <v>0</v>
          </cell>
        </row>
        <row r="15206">
          <cell r="P15206">
            <v>0</v>
          </cell>
        </row>
        <row r="15207">
          <cell r="P15207">
            <v>0</v>
          </cell>
        </row>
        <row r="15208">
          <cell r="P15208">
            <v>0</v>
          </cell>
        </row>
        <row r="15209">
          <cell r="P15209">
            <v>0</v>
          </cell>
        </row>
        <row r="15210">
          <cell r="P15210">
            <v>0</v>
          </cell>
        </row>
        <row r="15211">
          <cell r="P15211">
            <v>0</v>
          </cell>
        </row>
        <row r="15212">
          <cell r="P15212">
            <v>0</v>
          </cell>
        </row>
        <row r="15213">
          <cell r="P15213">
            <v>0</v>
          </cell>
        </row>
        <row r="15214">
          <cell r="P15214">
            <v>0</v>
          </cell>
        </row>
        <row r="15215">
          <cell r="P15215">
            <v>0</v>
          </cell>
        </row>
        <row r="15216">
          <cell r="P15216">
            <v>0</v>
          </cell>
        </row>
        <row r="15217">
          <cell r="P15217">
            <v>0</v>
          </cell>
        </row>
        <row r="15218">
          <cell r="P15218">
            <v>0</v>
          </cell>
        </row>
        <row r="15219">
          <cell r="P15219">
            <v>0</v>
          </cell>
        </row>
        <row r="15220">
          <cell r="P15220">
            <v>0</v>
          </cell>
        </row>
        <row r="15221">
          <cell r="P15221">
            <v>0</v>
          </cell>
        </row>
        <row r="15222">
          <cell r="P15222">
            <v>0</v>
          </cell>
        </row>
        <row r="15223">
          <cell r="P15223">
            <v>0</v>
          </cell>
        </row>
        <row r="15224">
          <cell r="P15224">
            <v>0</v>
          </cell>
        </row>
        <row r="15225">
          <cell r="P15225">
            <v>0</v>
          </cell>
        </row>
        <row r="15226">
          <cell r="P15226">
            <v>0</v>
          </cell>
        </row>
        <row r="15227">
          <cell r="P15227">
            <v>0</v>
          </cell>
        </row>
        <row r="15228">
          <cell r="P15228">
            <v>0</v>
          </cell>
        </row>
        <row r="15229">
          <cell r="P15229">
            <v>0</v>
          </cell>
        </row>
        <row r="15230">
          <cell r="P15230">
            <v>0</v>
          </cell>
        </row>
        <row r="15231">
          <cell r="P15231">
            <v>0</v>
          </cell>
        </row>
        <row r="15232">
          <cell r="P15232">
            <v>0</v>
          </cell>
        </row>
        <row r="15233">
          <cell r="P15233">
            <v>0</v>
          </cell>
        </row>
        <row r="15234">
          <cell r="P15234">
            <v>0</v>
          </cell>
        </row>
        <row r="15235">
          <cell r="P15235">
            <v>0</v>
          </cell>
        </row>
        <row r="15236">
          <cell r="P15236">
            <v>0</v>
          </cell>
        </row>
        <row r="15237">
          <cell r="P15237">
            <v>0</v>
          </cell>
        </row>
        <row r="15238">
          <cell r="P15238">
            <v>0</v>
          </cell>
        </row>
        <row r="15239">
          <cell r="P15239">
            <v>0</v>
          </cell>
        </row>
        <row r="15240">
          <cell r="P15240">
            <v>0</v>
          </cell>
        </row>
        <row r="15241">
          <cell r="P15241">
            <v>0</v>
          </cell>
        </row>
        <row r="15242">
          <cell r="P15242">
            <v>0</v>
          </cell>
        </row>
        <row r="15243">
          <cell r="P15243">
            <v>0</v>
          </cell>
        </row>
        <row r="15244">
          <cell r="P15244">
            <v>0</v>
          </cell>
        </row>
        <row r="15245">
          <cell r="P15245">
            <v>0</v>
          </cell>
        </row>
        <row r="15246">
          <cell r="P15246">
            <v>0</v>
          </cell>
        </row>
        <row r="15247">
          <cell r="P15247">
            <v>0</v>
          </cell>
        </row>
        <row r="15248">
          <cell r="P15248">
            <v>0</v>
          </cell>
        </row>
        <row r="15249">
          <cell r="P15249">
            <v>0</v>
          </cell>
        </row>
        <row r="15250">
          <cell r="P15250">
            <v>0</v>
          </cell>
        </row>
        <row r="15251">
          <cell r="P15251">
            <v>0</v>
          </cell>
        </row>
        <row r="15252">
          <cell r="P15252">
            <v>0</v>
          </cell>
        </row>
        <row r="15253">
          <cell r="P15253">
            <v>0</v>
          </cell>
        </row>
        <row r="15254">
          <cell r="P15254">
            <v>0</v>
          </cell>
        </row>
        <row r="15255">
          <cell r="P15255">
            <v>0</v>
          </cell>
        </row>
        <row r="15256">
          <cell r="P15256">
            <v>0</v>
          </cell>
        </row>
        <row r="15257">
          <cell r="P15257">
            <v>0</v>
          </cell>
        </row>
        <row r="15258">
          <cell r="P15258">
            <v>0</v>
          </cell>
        </row>
        <row r="15259">
          <cell r="P15259">
            <v>0</v>
          </cell>
        </row>
        <row r="15260">
          <cell r="P15260">
            <v>0</v>
          </cell>
        </row>
        <row r="15261">
          <cell r="P15261">
            <v>0</v>
          </cell>
        </row>
        <row r="15262">
          <cell r="P15262">
            <v>0</v>
          </cell>
        </row>
        <row r="15263">
          <cell r="P15263">
            <v>0</v>
          </cell>
        </row>
        <row r="15264">
          <cell r="P15264">
            <v>0</v>
          </cell>
        </row>
        <row r="15265">
          <cell r="P15265">
            <v>0</v>
          </cell>
        </row>
        <row r="15266">
          <cell r="P15266">
            <v>0</v>
          </cell>
        </row>
        <row r="15267">
          <cell r="P15267">
            <v>0</v>
          </cell>
        </row>
        <row r="15268">
          <cell r="P15268">
            <v>0</v>
          </cell>
        </row>
        <row r="15269">
          <cell r="P15269">
            <v>0</v>
          </cell>
        </row>
        <row r="15270">
          <cell r="P15270">
            <v>0</v>
          </cell>
        </row>
        <row r="15271">
          <cell r="P15271">
            <v>0</v>
          </cell>
        </row>
        <row r="15272">
          <cell r="P15272">
            <v>0</v>
          </cell>
        </row>
        <row r="15273">
          <cell r="P15273">
            <v>0</v>
          </cell>
        </row>
        <row r="15274">
          <cell r="P15274">
            <v>0</v>
          </cell>
        </row>
        <row r="15275">
          <cell r="P15275">
            <v>0</v>
          </cell>
        </row>
        <row r="15276">
          <cell r="P15276">
            <v>0</v>
          </cell>
        </row>
        <row r="15277">
          <cell r="P15277">
            <v>0</v>
          </cell>
        </row>
        <row r="15278">
          <cell r="P15278">
            <v>0</v>
          </cell>
        </row>
        <row r="15279">
          <cell r="P15279">
            <v>0</v>
          </cell>
        </row>
        <row r="15280">
          <cell r="P15280">
            <v>0</v>
          </cell>
        </row>
        <row r="15281">
          <cell r="P15281">
            <v>0</v>
          </cell>
        </row>
        <row r="15282">
          <cell r="P15282">
            <v>0</v>
          </cell>
        </row>
        <row r="15283">
          <cell r="P15283">
            <v>0</v>
          </cell>
        </row>
        <row r="15284">
          <cell r="P15284">
            <v>0</v>
          </cell>
        </row>
        <row r="15285">
          <cell r="P15285">
            <v>0</v>
          </cell>
        </row>
        <row r="15286">
          <cell r="P15286">
            <v>0</v>
          </cell>
        </row>
        <row r="15287">
          <cell r="P15287">
            <v>0</v>
          </cell>
        </row>
        <row r="15288">
          <cell r="P15288">
            <v>0</v>
          </cell>
        </row>
        <row r="15289">
          <cell r="P15289">
            <v>0</v>
          </cell>
        </row>
        <row r="15290">
          <cell r="P15290">
            <v>0</v>
          </cell>
        </row>
        <row r="15291">
          <cell r="P15291">
            <v>0</v>
          </cell>
        </row>
        <row r="15292">
          <cell r="P15292">
            <v>0</v>
          </cell>
        </row>
        <row r="15293">
          <cell r="P15293">
            <v>0</v>
          </cell>
        </row>
        <row r="15294">
          <cell r="P15294">
            <v>0</v>
          </cell>
        </row>
        <row r="15295">
          <cell r="P15295">
            <v>0</v>
          </cell>
        </row>
        <row r="15296">
          <cell r="P15296">
            <v>0</v>
          </cell>
        </row>
        <row r="15297">
          <cell r="P15297">
            <v>0</v>
          </cell>
        </row>
        <row r="15298">
          <cell r="P15298">
            <v>0</v>
          </cell>
        </row>
        <row r="15299">
          <cell r="P15299">
            <v>0</v>
          </cell>
        </row>
        <row r="15300">
          <cell r="P15300">
            <v>0</v>
          </cell>
        </row>
        <row r="15301">
          <cell r="P15301">
            <v>0</v>
          </cell>
        </row>
        <row r="15302">
          <cell r="P15302">
            <v>0</v>
          </cell>
        </row>
        <row r="15303">
          <cell r="P15303">
            <v>0</v>
          </cell>
        </row>
        <row r="15304">
          <cell r="P15304">
            <v>0</v>
          </cell>
        </row>
        <row r="15305">
          <cell r="P15305">
            <v>0</v>
          </cell>
        </row>
        <row r="15306">
          <cell r="P15306">
            <v>0</v>
          </cell>
        </row>
        <row r="15307">
          <cell r="P15307">
            <v>0</v>
          </cell>
        </row>
        <row r="15308">
          <cell r="P15308">
            <v>0</v>
          </cell>
        </row>
        <row r="15309">
          <cell r="P15309">
            <v>0</v>
          </cell>
        </row>
        <row r="15310">
          <cell r="P15310">
            <v>0</v>
          </cell>
        </row>
        <row r="15311">
          <cell r="P15311">
            <v>0</v>
          </cell>
        </row>
        <row r="15312">
          <cell r="P15312">
            <v>0</v>
          </cell>
        </row>
        <row r="15313">
          <cell r="P15313">
            <v>0</v>
          </cell>
        </row>
        <row r="15314">
          <cell r="P15314">
            <v>0</v>
          </cell>
        </row>
        <row r="15315">
          <cell r="P15315">
            <v>0</v>
          </cell>
        </row>
        <row r="15316">
          <cell r="P15316">
            <v>0</v>
          </cell>
        </row>
        <row r="15317">
          <cell r="P15317">
            <v>0</v>
          </cell>
        </row>
        <row r="15318">
          <cell r="P15318">
            <v>0</v>
          </cell>
        </row>
        <row r="15319">
          <cell r="P15319">
            <v>0</v>
          </cell>
        </row>
        <row r="15320">
          <cell r="P15320">
            <v>0</v>
          </cell>
        </row>
        <row r="15321">
          <cell r="P15321">
            <v>0</v>
          </cell>
        </row>
        <row r="15322">
          <cell r="P15322">
            <v>0</v>
          </cell>
        </row>
        <row r="15323">
          <cell r="P15323">
            <v>0</v>
          </cell>
        </row>
        <row r="15324">
          <cell r="P15324">
            <v>0</v>
          </cell>
        </row>
        <row r="15325">
          <cell r="P15325">
            <v>0</v>
          </cell>
        </row>
        <row r="15326">
          <cell r="P15326">
            <v>0</v>
          </cell>
        </row>
        <row r="15327">
          <cell r="P15327">
            <v>0</v>
          </cell>
        </row>
        <row r="15328">
          <cell r="P15328">
            <v>0</v>
          </cell>
        </row>
        <row r="15329">
          <cell r="P15329">
            <v>0</v>
          </cell>
        </row>
        <row r="15330">
          <cell r="P15330">
            <v>0</v>
          </cell>
        </row>
        <row r="15331">
          <cell r="P15331">
            <v>0</v>
          </cell>
        </row>
        <row r="15332">
          <cell r="P15332">
            <v>0</v>
          </cell>
        </row>
        <row r="15333">
          <cell r="P15333">
            <v>0</v>
          </cell>
        </row>
        <row r="15334">
          <cell r="P15334">
            <v>0</v>
          </cell>
        </row>
        <row r="15335">
          <cell r="P15335">
            <v>0</v>
          </cell>
        </row>
        <row r="15336">
          <cell r="P15336">
            <v>0</v>
          </cell>
        </row>
        <row r="15337">
          <cell r="P15337">
            <v>0</v>
          </cell>
        </row>
        <row r="15338">
          <cell r="P15338">
            <v>0</v>
          </cell>
        </row>
        <row r="15339">
          <cell r="P15339">
            <v>0</v>
          </cell>
        </row>
        <row r="15340">
          <cell r="P15340">
            <v>0</v>
          </cell>
        </row>
        <row r="15341">
          <cell r="P15341">
            <v>0</v>
          </cell>
        </row>
        <row r="15342">
          <cell r="P15342">
            <v>0</v>
          </cell>
        </row>
        <row r="15343">
          <cell r="P15343">
            <v>0</v>
          </cell>
        </row>
        <row r="15344">
          <cell r="P15344">
            <v>0</v>
          </cell>
        </row>
        <row r="15345">
          <cell r="P15345">
            <v>0</v>
          </cell>
        </row>
        <row r="15346">
          <cell r="P15346">
            <v>0</v>
          </cell>
        </row>
        <row r="15347">
          <cell r="P15347">
            <v>0</v>
          </cell>
        </row>
        <row r="15348">
          <cell r="P15348">
            <v>0</v>
          </cell>
        </row>
        <row r="15349">
          <cell r="P15349">
            <v>0</v>
          </cell>
        </row>
        <row r="15350">
          <cell r="P15350">
            <v>0</v>
          </cell>
        </row>
        <row r="15351">
          <cell r="P15351">
            <v>0</v>
          </cell>
        </row>
        <row r="15352">
          <cell r="P15352">
            <v>0</v>
          </cell>
        </row>
        <row r="15353">
          <cell r="P15353">
            <v>0</v>
          </cell>
        </row>
        <row r="15354">
          <cell r="P15354">
            <v>0</v>
          </cell>
        </row>
        <row r="15355">
          <cell r="P15355">
            <v>0</v>
          </cell>
        </row>
        <row r="15356">
          <cell r="P15356">
            <v>0</v>
          </cell>
        </row>
        <row r="15357">
          <cell r="P15357">
            <v>0</v>
          </cell>
        </row>
        <row r="15358">
          <cell r="P15358">
            <v>0</v>
          </cell>
        </row>
        <row r="15359">
          <cell r="P15359">
            <v>0</v>
          </cell>
        </row>
        <row r="15360">
          <cell r="P15360">
            <v>0</v>
          </cell>
        </row>
        <row r="15361">
          <cell r="P15361">
            <v>0</v>
          </cell>
        </row>
        <row r="15362">
          <cell r="P15362">
            <v>0</v>
          </cell>
        </row>
        <row r="15363">
          <cell r="P15363">
            <v>0</v>
          </cell>
        </row>
        <row r="15364">
          <cell r="P15364">
            <v>0</v>
          </cell>
        </row>
        <row r="15365">
          <cell r="P15365">
            <v>0</v>
          </cell>
        </row>
        <row r="15366">
          <cell r="P15366">
            <v>0</v>
          </cell>
        </row>
        <row r="15367">
          <cell r="P15367">
            <v>0</v>
          </cell>
        </row>
        <row r="15368">
          <cell r="P15368">
            <v>0</v>
          </cell>
        </row>
        <row r="15369">
          <cell r="P15369">
            <v>0</v>
          </cell>
        </row>
        <row r="15370">
          <cell r="P15370">
            <v>0</v>
          </cell>
        </row>
        <row r="15371">
          <cell r="P15371">
            <v>0</v>
          </cell>
        </row>
        <row r="15372">
          <cell r="P15372">
            <v>0</v>
          </cell>
        </row>
        <row r="15373">
          <cell r="P15373">
            <v>0</v>
          </cell>
        </row>
        <row r="15374">
          <cell r="P15374">
            <v>0</v>
          </cell>
        </row>
        <row r="15375">
          <cell r="P15375">
            <v>0</v>
          </cell>
        </row>
        <row r="15376">
          <cell r="P15376">
            <v>0</v>
          </cell>
        </row>
        <row r="15377">
          <cell r="P15377">
            <v>0</v>
          </cell>
        </row>
        <row r="15378">
          <cell r="P15378">
            <v>0</v>
          </cell>
        </row>
        <row r="15379">
          <cell r="P15379">
            <v>0</v>
          </cell>
        </row>
        <row r="15380">
          <cell r="P15380">
            <v>0</v>
          </cell>
        </row>
        <row r="15381">
          <cell r="P15381">
            <v>0</v>
          </cell>
        </row>
        <row r="15382">
          <cell r="P15382">
            <v>0</v>
          </cell>
        </row>
        <row r="15383">
          <cell r="P15383">
            <v>0</v>
          </cell>
        </row>
        <row r="15384">
          <cell r="P15384">
            <v>0</v>
          </cell>
        </row>
        <row r="15385">
          <cell r="P15385">
            <v>0</v>
          </cell>
        </row>
        <row r="15386">
          <cell r="P15386">
            <v>0</v>
          </cell>
        </row>
        <row r="15387">
          <cell r="P15387">
            <v>0</v>
          </cell>
        </row>
        <row r="15388">
          <cell r="P15388">
            <v>0</v>
          </cell>
        </row>
        <row r="15389">
          <cell r="P15389">
            <v>0</v>
          </cell>
        </row>
        <row r="15390">
          <cell r="P15390">
            <v>0</v>
          </cell>
        </row>
        <row r="15391">
          <cell r="P15391">
            <v>0</v>
          </cell>
        </row>
        <row r="15392">
          <cell r="P15392">
            <v>0</v>
          </cell>
        </row>
        <row r="15393">
          <cell r="P15393">
            <v>0</v>
          </cell>
        </row>
        <row r="15394">
          <cell r="P15394">
            <v>0</v>
          </cell>
        </row>
        <row r="15395">
          <cell r="P15395">
            <v>0</v>
          </cell>
        </row>
        <row r="15396">
          <cell r="P15396">
            <v>0</v>
          </cell>
        </row>
        <row r="15397">
          <cell r="P15397">
            <v>0</v>
          </cell>
        </row>
        <row r="15398">
          <cell r="P15398">
            <v>0</v>
          </cell>
        </row>
        <row r="15399">
          <cell r="P15399">
            <v>0</v>
          </cell>
        </row>
        <row r="15400">
          <cell r="P15400">
            <v>0</v>
          </cell>
        </row>
        <row r="15401">
          <cell r="P15401">
            <v>0</v>
          </cell>
        </row>
        <row r="15402">
          <cell r="P15402">
            <v>0</v>
          </cell>
        </row>
        <row r="15403">
          <cell r="P15403">
            <v>0</v>
          </cell>
        </row>
        <row r="15404">
          <cell r="P15404">
            <v>0</v>
          </cell>
        </row>
        <row r="15405">
          <cell r="P15405">
            <v>0</v>
          </cell>
        </row>
        <row r="15406">
          <cell r="P15406">
            <v>0</v>
          </cell>
        </row>
        <row r="15407">
          <cell r="P15407">
            <v>0</v>
          </cell>
        </row>
        <row r="15408">
          <cell r="P15408">
            <v>0</v>
          </cell>
        </row>
        <row r="15409">
          <cell r="P15409">
            <v>0</v>
          </cell>
        </row>
        <row r="15410">
          <cell r="P15410">
            <v>0</v>
          </cell>
        </row>
        <row r="15411">
          <cell r="P15411">
            <v>0</v>
          </cell>
        </row>
        <row r="15412">
          <cell r="P15412">
            <v>0</v>
          </cell>
        </row>
        <row r="15413">
          <cell r="P15413">
            <v>0</v>
          </cell>
        </row>
        <row r="15414">
          <cell r="P15414">
            <v>0</v>
          </cell>
        </row>
        <row r="15415">
          <cell r="P15415">
            <v>0</v>
          </cell>
        </row>
        <row r="15416">
          <cell r="P15416">
            <v>0</v>
          </cell>
        </row>
        <row r="15417">
          <cell r="P15417">
            <v>0</v>
          </cell>
        </row>
        <row r="15418">
          <cell r="P15418">
            <v>0</v>
          </cell>
        </row>
        <row r="15419">
          <cell r="P15419">
            <v>0</v>
          </cell>
        </row>
        <row r="15420">
          <cell r="P15420">
            <v>0</v>
          </cell>
        </row>
        <row r="15421">
          <cell r="P15421">
            <v>0</v>
          </cell>
        </row>
        <row r="15422">
          <cell r="P15422">
            <v>0</v>
          </cell>
        </row>
        <row r="15423">
          <cell r="P15423">
            <v>0</v>
          </cell>
        </row>
        <row r="15424">
          <cell r="P15424">
            <v>0</v>
          </cell>
        </row>
        <row r="15425">
          <cell r="P15425">
            <v>0</v>
          </cell>
        </row>
        <row r="15426">
          <cell r="P15426">
            <v>0</v>
          </cell>
        </row>
        <row r="15427">
          <cell r="P15427">
            <v>0</v>
          </cell>
        </row>
        <row r="15428">
          <cell r="P15428">
            <v>0</v>
          </cell>
        </row>
        <row r="15429">
          <cell r="P15429">
            <v>0</v>
          </cell>
        </row>
        <row r="15430">
          <cell r="P15430">
            <v>0</v>
          </cell>
        </row>
        <row r="15431">
          <cell r="P15431">
            <v>0</v>
          </cell>
        </row>
        <row r="15432">
          <cell r="P15432">
            <v>0</v>
          </cell>
        </row>
        <row r="15433">
          <cell r="P15433">
            <v>0</v>
          </cell>
        </row>
        <row r="15434">
          <cell r="P15434">
            <v>0</v>
          </cell>
        </row>
        <row r="15435">
          <cell r="P15435">
            <v>0</v>
          </cell>
        </row>
        <row r="15436">
          <cell r="P15436">
            <v>0</v>
          </cell>
        </row>
        <row r="15437">
          <cell r="P15437">
            <v>0</v>
          </cell>
        </row>
        <row r="15438">
          <cell r="P15438">
            <v>0</v>
          </cell>
        </row>
        <row r="15439">
          <cell r="P15439">
            <v>0</v>
          </cell>
        </row>
        <row r="15440">
          <cell r="P15440">
            <v>0</v>
          </cell>
        </row>
        <row r="15441">
          <cell r="P15441">
            <v>0</v>
          </cell>
        </row>
        <row r="15442">
          <cell r="P15442">
            <v>0</v>
          </cell>
        </row>
        <row r="15443">
          <cell r="P15443">
            <v>0</v>
          </cell>
        </row>
        <row r="15444">
          <cell r="P15444">
            <v>0</v>
          </cell>
        </row>
        <row r="15445">
          <cell r="P15445">
            <v>0</v>
          </cell>
        </row>
        <row r="15446">
          <cell r="P15446">
            <v>0</v>
          </cell>
        </row>
        <row r="15447">
          <cell r="P15447">
            <v>0</v>
          </cell>
        </row>
        <row r="15448">
          <cell r="P15448">
            <v>0</v>
          </cell>
        </row>
        <row r="15449">
          <cell r="P15449">
            <v>0</v>
          </cell>
        </row>
        <row r="15450">
          <cell r="P15450">
            <v>0</v>
          </cell>
        </row>
        <row r="15451">
          <cell r="P15451">
            <v>0</v>
          </cell>
        </row>
        <row r="15452">
          <cell r="P15452">
            <v>0</v>
          </cell>
        </row>
        <row r="15453">
          <cell r="P15453">
            <v>0</v>
          </cell>
        </row>
        <row r="15454">
          <cell r="P15454">
            <v>0</v>
          </cell>
        </row>
        <row r="15455">
          <cell r="P15455">
            <v>0</v>
          </cell>
        </row>
        <row r="15456">
          <cell r="P15456">
            <v>0</v>
          </cell>
        </row>
        <row r="15457">
          <cell r="P15457">
            <v>0</v>
          </cell>
        </row>
        <row r="15458">
          <cell r="P15458">
            <v>0</v>
          </cell>
        </row>
        <row r="15459">
          <cell r="P15459">
            <v>0</v>
          </cell>
        </row>
        <row r="15460">
          <cell r="P15460">
            <v>0</v>
          </cell>
        </row>
        <row r="15461">
          <cell r="P15461">
            <v>0</v>
          </cell>
        </row>
        <row r="15462">
          <cell r="P15462">
            <v>0</v>
          </cell>
        </row>
        <row r="15463">
          <cell r="P15463">
            <v>0</v>
          </cell>
        </row>
        <row r="15464">
          <cell r="P15464">
            <v>0</v>
          </cell>
        </row>
        <row r="15465">
          <cell r="P15465">
            <v>0</v>
          </cell>
        </row>
        <row r="15466">
          <cell r="P15466">
            <v>0</v>
          </cell>
        </row>
        <row r="15467">
          <cell r="P15467">
            <v>0</v>
          </cell>
        </row>
        <row r="15468">
          <cell r="P15468">
            <v>0</v>
          </cell>
        </row>
        <row r="15469">
          <cell r="P15469">
            <v>0</v>
          </cell>
        </row>
        <row r="15470">
          <cell r="P15470">
            <v>0</v>
          </cell>
        </row>
        <row r="15471">
          <cell r="P15471">
            <v>0</v>
          </cell>
        </row>
        <row r="15472">
          <cell r="P15472">
            <v>0</v>
          </cell>
        </row>
        <row r="15473">
          <cell r="P15473">
            <v>0</v>
          </cell>
        </row>
        <row r="15474">
          <cell r="P15474">
            <v>0</v>
          </cell>
        </row>
        <row r="15475">
          <cell r="P15475">
            <v>0</v>
          </cell>
        </row>
        <row r="15476">
          <cell r="P15476">
            <v>0</v>
          </cell>
        </row>
        <row r="15477">
          <cell r="P15477">
            <v>0</v>
          </cell>
        </row>
        <row r="15478">
          <cell r="P15478">
            <v>0</v>
          </cell>
        </row>
        <row r="15479">
          <cell r="P15479">
            <v>0</v>
          </cell>
        </row>
        <row r="15480">
          <cell r="P15480">
            <v>0</v>
          </cell>
        </row>
        <row r="15481">
          <cell r="P15481">
            <v>0</v>
          </cell>
        </row>
        <row r="15482">
          <cell r="P15482">
            <v>0</v>
          </cell>
        </row>
        <row r="15483">
          <cell r="P15483">
            <v>0</v>
          </cell>
        </row>
        <row r="15484">
          <cell r="P15484">
            <v>0</v>
          </cell>
        </row>
        <row r="15485">
          <cell r="P15485">
            <v>0</v>
          </cell>
        </row>
        <row r="15486">
          <cell r="P15486">
            <v>0</v>
          </cell>
        </row>
        <row r="15487">
          <cell r="P15487">
            <v>0</v>
          </cell>
        </row>
        <row r="15488">
          <cell r="P15488">
            <v>0</v>
          </cell>
        </row>
        <row r="15489">
          <cell r="P15489">
            <v>0</v>
          </cell>
        </row>
        <row r="15490">
          <cell r="P15490">
            <v>0</v>
          </cell>
        </row>
        <row r="15491">
          <cell r="P15491">
            <v>0</v>
          </cell>
        </row>
        <row r="15492">
          <cell r="P15492">
            <v>0</v>
          </cell>
        </row>
        <row r="15493">
          <cell r="P15493">
            <v>0</v>
          </cell>
        </row>
        <row r="15494">
          <cell r="P15494">
            <v>0</v>
          </cell>
        </row>
        <row r="15495">
          <cell r="P15495">
            <v>0</v>
          </cell>
        </row>
        <row r="15496">
          <cell r="P15496">
            <v>0</v>
          </cell>
        </row>
        <row r="15497">
          <cell r="P15497">
            <v>0</v>
          </cell>
        </row>
        <row r="15498">
          <cell r="P15498">
            <v>0</v>
          </cell>
        </row>
        <row r="15499">
          <cell r="P15499">
            <v>0</v>
          </cell>
        </row>
        <row r="15500">
          <cell r="P15500">
            <v>0</v>
          </cell>
        </row>
        <row r="15501">
          <cell r="P15501">
            <v>0</v>
          </cell>
        </row>
        <row r="15502">
          <cell r="P15502">
            <v>0</v>
          </cell>
        </row>
        <row r="15503">
          <cell r="P15503">
            <v>0</v>
          </cell>
        </row>
        <row r="15504">
          <cell r="P15504">
            <v>0</v>
          </cell>
        </row>
        <row r="15505">
          <cell r="P15505">
            <v>0</v>
          </cell>
        </row>
        <row r="15506">
          <cell r="P15506">
            <v>0</v>
          </cell>
        </row>
        <row r="15507">
          <cell r="P15507">
            <v>0</v>
          </cell>
        </row>
        <row r="15508">
          <cell r="P15508">
            <v>0</v>
          </cell>
        </row>
        <row r="15509">
          <cell r="P15509">
            <v>0</v>
          </cell>
        </row>
        <row r="15510">
          <cell r="P15510">
            <v>0</v>
          </cell>
        </row>
        <row r="15511">
          <cell r="P15511">
            <v>0</v>
          </cell>
        </row>
        <row r="15512">
          <cell r="P15512">
            <v>0</v>
          </cell>
        </row>
        <row r="15513">
          <cell r="P15513">
            <v>0</v>
          </cell>
        </row>
        <row r="15514">
          <cell r="P15514">
            <v>0</v>
          </cell>
        </row>
        <row r="15515">
          <cell r="P15515">
            <v>0</v>
          </cell>
        </row>
        <row r="15516">
          <cell r="P15516">
            <v>0</v>
          </cell>
        </row>
        <row r="15517">
          <cell r="P15517">
            <v>0</v>
          </cell>
        </row>
        <row r="15518">
          <cell r="P15518">
            <v>0</v>
          </cell>
        </row>
        <row r="15519">
          <cell r="P15519">
            <v>0</v>
          </cell>
        </row>
        <row r="15520">
          <cell r="P15520">
            <v>0</v>
          </cell>
        </row>
        <row r="15521">
          <cell r="P15521">
            <v>0</v>
          </cell>
        </row>
        <row r="15522">
          <cell r="P15522">
            <v>0</v>
          </cell>
        </row>
        <row r="15523">
          <cell r="P15523">
            <v>0</v>
          </cell>
        </row>
        <row r="15524">
          <cell r="P15524">
            <v>0</v>
          </cell>
        </row>
        <row r="15525">
          <cell r="P15525">
            <v>0</v>
          </cell>
        </row>
        <row r="15526">
          <cell r="P15526">
            <v>0</v>
          </cell>
        </row>
        <row r="15527">
          <cell r="P15527">
            <v>0</v>
          </cell>
        </row>
        <row r="15528">
          <cell r="P15528">
            <v>0</v>
          </cell>
        </row>
        <row r="15529">
          <cell r="P15529">
            <v>0</v>
          </cell>
        </row>
        <row r="15530">
          <cell r="P15530">
            <v>0</v>
          </cell>
        </row>
        <row r="15531">
          <cell r="P15531">
            <v>0</v>
          </cell>
        </row>
        <row r="15532">
          <cell r="P15532">
            <v>0</v>
          </cell>
        </row>
        <row r="15533">
          <cell r="P15533">
            <v>0</v>
          </cell>
        </row>
        <row r="15534">
          <cell r="P15534">
            <v>0</v>
          </cell>
        </row>
        <row r="15535">
          <cell r="P15535">
            <v>0</v>
          </cell>
        </row>
        <row r="15536">
          <cell r="P15536">
            <v>0</v>
          </cell>
        </row>
        <row r="15537">
          <cell r="P15537">
            <v>0</v>
          </cell>
        </row>
        <row r="15538">
          <cell r="P15538">
            <v>0</v>
          </cell>
        </row>
        <row r="15539">
          <cell r="P15539">
            <v>0</v>
          </cell>
        </row>
        <row r="15540">
          <cell r="P15540">
            <v>0</v>
          </cell>
        </row>
        <row r="15541">
          <cell r="P15541">
            <v>0</v>
          </cell>
        </row>
        <row r="15542">
          <cell r="P15542">
            <v>0</v>
          </cell>
        </row>
        <row r="15543">
          <cell r="P15543">
            <v>0</v>
          </cell>
        </row>
        <row r="15544">
          <cell r="P15544">
            <v>0</v>
          </cell>
        </row>
        <row r="15545">
          <cell r="P15545">
            <v>0</v>
          </cell>
        </row>
        <row r="15546">
          <cell r="P15546">
            <v>0</v>
          </cell>
        </row>
        <row r="15547">
          <cell r="P15547">
            <v>0</v>
          </cell>
        </row>
        <row r="15548">
          <cell r="P15548">
            <v>0</v>
          </cell>
        </row>
        <row r="15549">
          <cell r="P15549">
            <v>0</v>
          </cell>
        </row>
        <row r="15550">
          <cell r="P15550">
            <v>0</v>
          </cell>
        </row>
        <row r="15551">
          <cell r="P15551">
            <v>0</v>
          </cell>
        </row>
        <row r="15552">
          <cell r="P15552">
            <v>0</v>
          </cell>
        </row>
        <row r="15553">
          <cell r="P15553">
            <v>0</v>
          </cell>
        </row>
        <row r="15554">
          <cell r="P15554">
            <v>0</v>
          </cell>
        </row>
        <row r="15555">
          <cell r="P15555">
            <v>0</v>
          </cell>
        </row>
        <row r="15556">
          <cell r="P15556">
            <v>0</v>
          </cell>
        </row>
        <row r="15557">
          <cell r="P15557">
            <v>0</v>
          </cell>
        </row>
        <row r="15558">
          <cell r="P15558">
            <v>0</v>
          </cell>
        </row>
        <row r="15559">
          <cell r="P15559">
            <v>0</v>
          </cell>
        </row>
        <row r="15560">
          <cell r="P15560">
            <v>0</v>
          </cell>
        </row>
        <row r="15561">
          <cell r="P15561">
            <v>0</v>
          </cell>
        </row>
        <row r="15562">
          <cell r="P15562">
            <v>0</v>
          </cell>
        </row>
        <row r="15563">
          <cell r="P15563">
            <v>0</v>
          </cell>
        </row>
        <row r="15564">
          <cell r="P15564">
            <v>0</v>
          </cell>
        </row>
        <row r="15565">
          <cell r="P15565">
            <v>0</v>
          </cell>
        </row>
        <row r="15566">
          <cell r="P15566">
            <v>0</v>
          </cell>
        </row>
        <row r="15567">
          <cell r="P15567">
            <v>0</v>
          </cell>
        </row>
        <row r="15568">
          <cell r="P15568">
            <v>0</v>
          </cell>
        </row>
        <row r="15569">
          <cell r="P15569">
            <v>0</v>
          </cell>
        </row>
        <row r="15570">
          <cell r="P15570">
            <v>0</v>
          </cell>
        </row>
        <row r="15571">
          <cell r="P15571">
            <v>0</v>
          </cell>
        </row>
        <row r="15572">
          <cell r="P15572">
            <v>0</v>
          </cell>
        </row>
        <row r="15573">
          <cell r="P15573">
            <v>0</v>
          </cell>
        </row>
        <row r="15574">
          <cell r="P15574">
            <v>0</v>
          </cell>
        </row>
        <row r="15575">
          <cell r="P15575">
            <v>0</v>
          </cell>
        </row>
        <row r="15576">
          <cell r="P15576">
            <v>0</v>
          </cell>
        </row>
        <row r="15577">
          <cell r="P15577">
            <v>0</v>
          </cell>
        </row>
        <row r="15578">
          <cell r="P15578">
            <v>0</v>
          </cell>
        </row>
        <row r="15579">
          <cell r="P15579">
            <v>0</v>
          </cell>
        </row>
        <row r="15580">
          <cell r="P15580">
            <v>0</v>
          </cell>
        </row>
        <row r="15581">
          <cell r="P15581">
            <v>0</v>
          </cell>
        </row>
        <row r="15582">
          <cell r="P15582">
            <v>0</v>
          </cell>
        </row>
        <row r="15583">
          <cell r="P15583">
            <v>0</v>
          </cell>
        </row>
        <row r="15584">
          <cell r="P15584">
            <v>0</v>
          </cell>
        </row>
        <row r="15585">
          <cell r="P15585">
            <v>0</v>
          </cell>
        </row>
        <row r="15586">
          <cell r="P15586">
            <v>0</v>
          </cell>
        </row>
        <row r="15587">
          <cell r="P15587">
            <v>0</v>
          </cell>
        </row>
        <row r="15588">
          <cell r="P15588">
            <v>0</v>
          </cell>
        </row>
        <row r="15589">
          <cell r="P15589">
            <v>0</v>
          </cell>
        </row>
        <row r="15590">
          <cell r="P15590">
            <v>0</v>
          </cell>
        </row>
        <row r="15591">
          <cell r="P15591">
            <v>0</v>
          </cell>
        </row>
        <row r="15592">
          <cell r="P15592">
            <v>0</v>
          </cell>
        </row>
        <row r="15593">
          <cell r="P15593">
            <v>0</v>
          </cell>
        </row>
        <row r="15594">
          <cell r="P15594">
            <v>0</v>
          </cell>
        </row>
        <row r="15595">
          <cell r="P15595">
            <v>0</v>
          </cell>
        </row>
        <row r="15596">
          <cell r="P15596">
            <v>0</v>
          </cell>
        </row>
        <row r="15597">
          <cell r="P15597">
            <v>0</v>
          </cell>
        </row>
        <row r="15598">
          <cell r="P15598">
            <v>0</v>
          </cell>
        </row>
        <row r="15599">
          <cell r="P15599">
            <v>0</v>
          </cell>
        </row>
        <row r="15600">
          <cell r="P15600">
            <v>0</v>
          </cell>
        </row>
        <row r="15601">
          <cell r="P15601">
            <v>0</v>
          </cell>
        </row>
        <row r="15602">
          <cell r="P15602">
            <v>0</v>
          </cell>
        </row>
        <row r="15603">
          <cell r="P15603">
            <v>0</v>
          </cell>
        </row>
        <row r="15604">
          <cell r="P15604">
            <v>0</v>
          </cell>
        </row>
        <row r="15605">
          <cell r="P15605">
            <v>0</v>
          </cell>
        </row>
        <row r="15606">
          <cell r="P15606">
            <v>0</v>
          </cell>
        </row>
        <row r="15607">
          <cell r="P15607">
            <v>0</v>
          </cell>
        </row>
        <row r="15608">
          <cell r="P15608">
            <v>0</v>
          </cell>
        </row>
        <row r="15609">
          <cell r="P15609">
            <v>0</v>
          </cell>
        </row>
        <row r="15610">
          <cell r="P15610">
            <v>0</v>
          </cell>
        </row>
        <row r="15611">
          <cell r="P15611">
            <v>0</v>
          </cell>
        </row>
        <row r="15612">
          <cell r="P15612">
            <v>0</v>
          </cell>
        </row>
        <row r="15613">
          <cell r="P15613">
            <v>0</v>
          </cell>
        </row>
        <row r="15614">
          <cell r="P15614">
            <v>0</v>
          </cell>
        </row>
        <row r="15615">
          <cell r="P15615">
            <v>0</v>
          </cell>
        </row>
        <row r="15616">
          <cell r="P15616">
            <v>0</v>
          </cell>
        </row>
        <row r="15617">
          <cell r="P15617">
            <v>0</v>
          </cell>
        </row>
        <row r="15618">
          <cell r="P15618">
            <v>0</v>
          </cell>
        </row>
        <row r="15619">
          <cell r="P15619">
            <v>0</v>
          </cell>
        </row>
        <row r="15620">
          <cell r="P15620">
            <v>0</v>
          </cell>
        </row>
        <row r="15621">
          <cell r="P15621">
            <v>0</v>
          </cell>
        </row>
        <row r="15622">
          <cell r="P15622">
            <v>0</v>
          </cell>
        </row>
        <row r="15623">
          <cell r="P15623">
            <v>0</v>
          </cell>
        </row>
        <row r="15624">
          <cell r="P15624">
            <v>0</v>
          </cell>
        </row>
        <row r="15625">
          <cell r="P15625">
            <v>0</v>
          </cell>
        </row>
        <row r="15626">
          <cell r="P15626">
            <v>0</v>
          </cell>
        </row>
        <row r="15627">
          <cell r="P15627">
            <v>0</v>
          </cell>
        </row>
        <row r="15628">
          <cell r="P15628">
            <v>0</v>
          </cell>
        </row>
        <row r="15629">
          <cell r="P15629">
            <v>0</v>
          </cell>
        </row>
        <row r="15630">
          <cell r="P15630">
            <v>0</v>
          </cell>
        </row>
        <row r="15631">
          <cell r="P15631">
            <v>0</v>
          </cell>
        </row>
        <row r="15632">
          <cell r="P15632">
            <v>0</v>
          </cell>
        </row>
        <row r="15633">
          <cell r="P15633">
            <v>0</v>
          </cell>
        </row>
        <row r="15634">
          <cell r="P15634">
            <v>0</v>
          </cell>
        </row>
        <row r="15635">
          <cell r="P15635">
            <v>0</v>
          </cell>
        </row>
        <row r="15636">
          <cell r="P15636">
            <v>0</v>
          </cell>
        </row>
        <row r="15637">
          <cell r="P15637">
            <v>0</v>
          </cell>
        </row>
        <row r="15638">
          <cell r="P15638">
            <v>0</v>
          </cell>
        </row>
        <row r="15639">
          <cell r="P15639">
            <v>0</v>
          </cell>
        </row>
        <row r="15640">
          <cell r="P15640">
            <v>0</v>
          </cell>
        </row>
        <row r="15641">
          <cell r="P15641">
            <v>0</v>
          </cell>
        </row>
        <row r="15642">
          <cell r="P15642">
            <v>0</v>
          </cell>
        </row>
        <row r="15643">
          <cell r="P15643">
            <v>0</v>
          </cell>
        </row>
        <row r="15644">
          <cell r="P15644">
            <v>0</v>
          </cell>
        </row>
        <row r="15645">
          <cell r="P15645">
            <v>0</v>
          </cell>
        </row>
        <row r="15646">
          <cell r="P15646">
            <v>0</v>
          </cell>
        </row>
        <row r="15647">
          <cell r="P15647">
            <v>0</v>
          </cell>
        </row>
        <row r="15648">
          <cell r="P15648">
            <v>0</v>
          </cell>
        </row>
        <row r="15649">
          <cell r="P15649">
            <v>0</v>
          </cell>
        </row>
        <row r="15650">
          <cell r="P15650">
            <v>0</v>
          </cell>
        </row>
        <row r="15651">
          <cell r="P15651">
            <v>0</v>
          </cell>
        </row>
        <row r="15652">
          <cell r="P15652">
            <v>0</v>
          </cell>
        </row>
        <row r="15653">
          <cell r="P15653">
            <v>0</v>
          </cell>
        </row>
        <row r="15654">
          <cell r="P15654">
            <v>0</v>
          </cell>
        </row>
        <row r="15655">
          <cell r="P15655">
            <v>0</v>
          </cell>
        </row>
        <row r="15656">
          <cell r="P15656">
            <v>0</v>
          </cell>
        </row>
        <row r="15657">
          <cell r="P15657">
            <v>0</v>
          </cell>
        </row>
        <row r="15658">
          <cell r="P15658">
            <v>0</v>
          </cell>
        </row>
        <row r="15659">
          <cell r="P15659">
            <v>0</v>
          </cell>
        </row>
        <row r="15660">
          <cell r="P15660">
            <v>0</v>
          </cell>
        </row>
        <row r="15661">
          <cell r="P15661">
            <v>0</v>
          </cell>
        </row>
        <row r="15662">
          <cell r="P15662">
            <v>0</v>
          </cell>
        </row>
        <row r="15663">
          <cell r="P15663">
            <v>0</v>
          </cell>
        </row>
        <row r="15664">
          <cell r="P15664">
            <v>0</v>
          </cell>
        </row>
        <row r="15665">
          <cell r="P15665">
            <v>0</v>
          </cell>
        </row>
        <row r="15666">
          <cell r="P15666">
            <v>0</v>
          </cell>
        </row>
        <row r="15667">
          <cell r="P15667">
            <v>0</v>
          </cell>
        </row>
        <row r="15668">
          <cell r="P15668">
            <v>0</v>
          </cell>
        </row>
        <row r="15669">
          <cell r="P15669">
            <v>0</v>
          </cell>
        </row>
        <row r="15670">
          <cell r="P15670">
            <v>0</v>
          </cell>
        </row>
        <row r="15671">
          <cell r="P15671">
            <v>0</v>
          </cell>
        </row>
        <row r="15672">
          <cell r="P15672">
            <v>0</v>
          </cell>
        </row>
        <row r="15673">
          <cell r="P15673">
            <v>0</v>
          </cell>
        </row>
        <row r="15674">
          <cell r="P15674">
            <v>0</v>
          </cell>
        </row>
        <row r="15675">
          <cell r="P15675">
            <v>0</v>
          </cell>
        </row>
        <row r="15676">
          <cell r="P15676">
            <v>0</v>
          </cell>
        </row>
        <row r="15677">
          <cell r="P15677">
            <v>0</v>
          </cell>
        </row>
        <row r="15678">
          <cell r="P15678">
            <v>0</v>
          </cell>
        </row>
        <row r="15679">
          <cell r="P15679">
            <v>0</v>
          </cell>
        </row>
        <row r="15680">
          <cell r="P15680">
            <v>0</v>
          </cell>
        </row>
        <row r="15681">
          <cell r="P15681">
            <v>0</v>
          </cell>
        </row>
        <row r="15682">
          <cell r="P15682">
            <v>0</v>
          </cell>
        </row>
        <row r="15683">
          <cell r="P15683">
            <v>0</v>
          </cell>
        </row>
        <row r="15684">
          <cell r="P15684">
            <v>0</v>
          </cell>
        </row>
        <row r="15685">
          <cell r="P15685">
            <v>0</v>
          </cell>
        </row>
        <row r="15686">
          <cell r="P15686">
            <v>0</v>
          </cell>
        </row>
        <row r="15687">
          <cell r="P15687">
            <v>0</v>
          </cell>
        </row>
        <row r="15688">
          <cell r="P15688">
            <v>0</v>
          </cell>
        </row>
        <row r="15689">
          <cell r="P15689">
            <v>0</v>
          </cell>
        </row>
        <row r="15690">
          <cell r="P15690">
            <v>0</v>
          </cell>
        </row>
        <row r="15691">
          <cell r="P15691">
            <v>0</v>
          </cell>
        </row>
        <row r="15692">
          <cell r="P15692">
            <v>0</v>
          </cell>
        </row>
        <row r="15693">
          <cell r="P15693">
            <v>0</v>
          </cell>
        </row>
        <row r="15694">
          <cell r="P15694">
            <v>0</v>
          </cell>
        </row>
        <row r="15695">
          <cell r="P15695">
            <v>0</v>
          </cell>
        </row>
        <row r="15696">
          <cell r="P15696">
            <v>0</v>
          </cell>
        </row>
        <row r="15697">
          <cell r="P15697">
            <v>0</v>
          </cell>
        </row>
        <row r="15698">
          <cell r="P15698">
            <v>0</v>
          </cell>
        </row>
        <row r="15699">
          <cell r="P15699">
            <v>0</v>
          </cell>
        </row>
        <row r="15700">
          <cell r="P15700">
            <v>0</v>
          </cell>
        </row>
        <row r="15701">
          <cell r="P15701">
            <v>0</v>
          </cell>
        </row>
        <row r="15702">
          <cell r="P15702">
            <v>0</v>
          </cell>
        </row>
        <row r="15703">
          <cell r="P15703">
            <v>0</v>
          </cell>
        </row>
        <row r="15704">
          <cell r="P15704">
            <v>0</v>
          </cell>
        </row>
        <row r="15705">
          <cell r="P15705">
            <v>0</v>
          </cell>
        </row>
        <row r="15706">
          <cell r="P15706">
            <v>0</v>
          </cell>
        </row>
        <row r="15707">
          <cell r="P15707">
            <v>0</v>
          </cell>
        </row>
        <row r="15708">
          <cell r="P15708">
            <v>0</v>
          </cell>
        </row>
        <row r="15709">
          <cell r="P15709">
            <v>0</v>
          </cell>
        </row>
        <row r="15710">
          <cell r="P15710">
            <v>0</v>
          </cell>
        </row>
        <row r="15711">
          <cell r="P15711">
            <v>0</v>
          </cell>
        </row>
        <row r="15712">
          <cell r="P15712">
            <v>0</v>
          </cell>
        </row>
        <row r="15713">
          <cell r="P15713">
            <v>0</v>
          </cell>
        </row>
        <row r="15714">
          <cell r="P15714">
            <v>0</v>
          </cell>
        </row>
        <row r="15715">
          <cell r="P15715">
            <v>0</v>
          </cell>
        </row>
        <row r="15716">
          <cell r="P15716">
            <v>0</v>
          </cell>
        </row>
        <row r="15717">
          <cell r="P15717">
            <v>0</v>
          </cell>
        </row>
        <row r="15718">
          <cell r="P15718">
            <v>0</v>
          </cell>
        </row>
        <row r="15719">
          <cell r="P15719">
            <v>0</v>
          </cell>
        </row>
        <row r="15720">
          <cell r="P15720">
            <v>0</v>
          </cell>
        </row>
        <row r="15721">
          <cell r="P15721">
            <v>0</v>
          </cell>
        </row>
        <row r="15722">
          <cell r="P15722">
            <v>0</v>
          </cell>
        </row>
        <row r="15723">
          <cell r="P15723">
            <v>0</v>
          </cell>
        </row>
        <row r="15724">
          <cell r="P15724">
            <v>0</v>
          </cell>
        </row>
        <row r="15725">
          <cell r="P15725">
            <v>0</v>
          </cell>
        </row>
        <row r="15726">
          <cell r="P15726">
            <v>0</v>
          </cell>
        </row>
        <row r="15727">
          <cell r="P15727">
            <v>0</v>
          </cell>
        </row>
        <row r="15728">
          <cell r="P15728">
            <v>0</v>
          </cell>
        </row>
        <row r="15729">
          <cell r="P15729">
            <v>0</v>
          </cell>
        </row>
        <row r="15730">
          <cell r="P15730">
            <v>0</v>
          </cell>
        </row>
        <row r="15731">
          <cell r="P15731">
            <v>0</v>
          </cell>
        </row>
        <row r="15732">
          <cell r="P15732">
            <v>0</v>
          </cell>
        </row>
        <row r="15733">
          <cell r="P15733">
            <v>0</v>
          </cell>
        </row>
        <row r="15734">
          <cell r="P15734">
            <v>0</v>
          </cell>
        </row>
        <row r="15735">
          <cell r="P15735">
            <v>0</v>
          </cell>
        </row>
        <row r="15736">
          <cell r="P15736">
            <v>0</v>
          </cell>
        </row>
        <row r="15737">
          <cell r="P15737">
            <v>0</v>
          </cell>
        </row>
        <row r="15738">
          <cell r="P15738">
            <v>0</v>
          </cell>
        </row>
        <row r="15739">
          <cell r="P15739">
            <v>0</v>
          </cell>
        </row>
        <row r="15740">
          <cell r="P15740">
            <v>0</v>
          </cell>
        </row>
        <row r="15741">
          <cell r="P15741">
            <v>0</v>
          </cell>
        </row>
        <row r="15742">
          <cell r="P15742">
            <v>0</v>
          </cell>
        </row>
        <row r="15743">
          <cell r="P15743">
            <v>0</v>
          </cell>
        </row>
        <row r="15744">
          <cell r="P15744">
            <v>0</v>
          </cell>
        </row>
        <row r="15745">
          <cell r="P15745">
            <v>0</v>
          </cell>
        </row>
        <row r="15746">
          <cell r="P15746">
            <v>0</v>
          </cell>
        </row>
        <row r="15747">
          <cell r="P15747">
            <v>0</v>
          </cell>
        </row>
        <row r="15748">
          <cell r="P15748">
            <v>0</v>
          </cell>
        </row>
        <row r="15749">
          <cell r="P15749">
            <v>0</v>
          </cell>
        </row>
        <row r="15750">
          <cell r="P15750">
            <v>0</v>
          </cell>
        </row>
        <row r="15751">
          <cell r="P15751">
            <v>0</v>
          </cell>
        </row>
        <row r="15752">
          <cell r="P15752">
            <v>0</v>
          </cell>
        </row>
        <row r="15753">
          <cell r="P15753">
            <v>0</v>
          </cell>
        </row>
        <row r="15754">
          <cell r="P15754">
            <v>0</v>
          </cell>
        </row>
        <row r="15755">
          <cell r="P15755">
            <v>0</v>
          </cell>
        </row>
        <row r="15756">
          <cell r="P15756">
            <v>0</v>
          </cell>
        </row>
        <row r="15757">
          <cell r="P15757">
            <v>0</v>
          </cell>
        </row>
        <row r="15758">
          <cell r="P15758">
            <v>0</v>
          </cell>
        </row>
        <row r="15759">
          <cell r="P15759">
            <v>0</v>
          </cell>
        </row>
        <row r="15760">
          <cell r="P15760">
            <v>0</v>
          </cell>
        </row>
        <row r="15761">
          <cell r="P15761">
            <v>0</v>
          </cell>
        </row>
        <row r="15762">
          <cell r="P15762">
            <v>0</v>
          </cell>
        </row>
        <row r="15763">
          <cell r="P15763">
            <v>0</v>
          </cell>
        </row>
        <row r="15764">
          <cell r="P15764">
            <v>0</v>
          </cell>
        </row>
        <row r="15765">
          <cell r="P15765">
            <v>0</v>
          </cell>
        </row>
        <row r="15766">
          <cell r="P15766">
            <v>0</v>
          </cell>
        </row>
        <row r="15767">
          <cell r="P15767">
            <v>0</v>
          </cell>
        </row>
        <row r="15768">
          <cell r="P15768">
            <v>0</v>
          </cell>
        </row>
        <row r="15769">
          <cell r="P15769">
            <v>0</v>
          </cell>
        </row>
        <row r="15770">
          <cell r="P15770">
            <v>0</v>
          </cell>
        </row>
        <row r="15771">
          <cell r="P15771">
            <v>0</v>
          </cell>
        </row>
        <row r="15772">
          <cell r="P15772">
            <v>0</v>
          </cell>
        </row>
        <row r="15773">
          <cell r="P15773">
            <v>0</v>
          </cell>
        </row>
        <row r="15774">
          <cell r="P15774">
            <v>0</v>
          </cell>
        </row>
        <row r="15775">
          <cell r="P15775">
            <v>0</v>
          </cell>
        </row>
        <row r="15776">
          <cell r="P15776">
            <v>0</v>
          </cell>
        </row>
        <row r="15777">
          <cell r="P15777">
            <v>0</v>
          </cell>
        </row>
        <row r="15778">
          <cell r="P15778">
            <v>0</v>
          </cell>
        </row>
        <row r="15779">
          <cell r="P15779">
            <v>0</v>
          </cell>
        </row>
        <row r="15780">
          <cell r="P15780">
            <v>0</v>
          </cell>
        </row>
        <row r="15781">
          <cell r="P15781">
            <v>0</v>
          </cell>
        </row>
        <row r="15782">
          <cell r="P15782">
            <v>0</v>
          </cell>
        </row>
        <row r="15783">
          <cell r="P15783">
            <v>0</v>
          </cell>
        </row>
        <row r="15784">
          <cell r="P15784">
            <v>0</v>
          </cell>
        </row>
        <row r="15785">
          <cell r="P15785">
            <v>0</v>
          </cell>
        </row>
        <row r="15786">
          <cell r="P15786">
            <v>0</v>
          </cell>
        </row>
        <row r="15787">
          <cell r="P15787">
            <v>0</v>
          </cell>
        </row>
        <row r="15788">
          <cell r="P15788">
            <v>0</v>
          </cell>
        </row>
        <row r="15789">
          <cell r="P15789">
            <v>0</v>
          </cell>
        </row>
        <row r="15790">
          <cell r="P15790">
            <v>0</v>
          </cell>
        </row>
        <row r="15791">
          <cell r="P15791">
            <v>0</v>
          </cell>
        </row>
        <row r="15792">
          <cell r="P15792">
            <v>0</v>
          </cell>
        </row>
        <row r="15793">
          <cell r="P15793">
            <v>0</v>
          </cell>
        </row>
        <row r="15794">
          <cell r="P15794">
            <v>0</v>
          </cell>
        </row>
        <row r="15795">
          <cell r="P15795">
            <v>0</v>
          </cell>
        </row>
        <row r="15796">
          <cell r="P15796">
            <v>0</v>
          </cell>
        </row>
        <row r="15797">
          <cell r="P15797">
            <v>0</v>
          </cell>
        </row>
        <row r="15798">
          <cell r="P15798">
            <v>0</v>
          </cell>
        </row>
        <row r="15799">
          <cell r="P15799">
            <v>0</v>
          </cell>
        </row>
        <row r="15800">
          <cell r="P15800">
            <v>0</v>
          </cell>
        </row>
        <row r="15801">
          <cell r="P15801">
            <v>0</v>
          </cell>
        </row>
        <row r="15802">
          <cell r="P15802">
            <v>0</v>
          </cell>
        </row>
        <row r="15803">
          <cell r="P15803">
            <v>0</v>
          </cell>
        </row>
        <row r="15804">
          <cell r="P15804">
            <v>0</v>
          </cell>
        </row>
        <row r="15805">
          <cell r="P15805">
            <v>0</v>
          </cell>
        </row>
        <row r="15806">
          <cell r="P15806">
            <v>0</v>
          </cell>
        </row>
        <row r="15807">
          <cell r="P15807">
            <v>0</v>
          </cell>
        </row>
        <row r="15808">
          <cell r="P15808">
            <v>0</v>
          </cell>
        </row>
        <row r="15809">
          <cell r="P15809">
            <v>0</v>
          </cell>
        </row>
        <row r="15810">
          <cell r="P15810">
            <v>0</v>
          </cell>
        </row>
        <row r="15811">
          <cell r="P15811">
            <v>0</v>
          </cell>
        </row>
        <row r="15812">
          <cell r="P15812">
            <v>0</v>
          </cell>
        </row>
        <row r="15813">
          <cell r="P15813">
            <v>0</v>
          </cell>
        </row>
        <row r="15814">
          <cell r="P15814">
            <v>0</v>
          </cell>
        </row>
        <row r="15815">
          <cell r="P15815">
            <v>0</v>
          </cell>
        </row>
        <row r="15816">
          <cell r="P15816">
            <v>0</v>
          </cell>
        </row>
        <row r="15817">
          <cell r="P15817">
            <v>0</v>
          </cell>
        </row>
        <row r="15818">
          <cell r="P15818">
            <v>0</v>
          </cell>
        </row>
        <row r="15819">
          <cell r="P15819">
            <v>0</v>
          </cell>
        </row>
        <row r="15820">
          <cell r="P15820">
            <v>0</v>
          </cell>
        </row>
        <row r="15821">
          <cell r="P15821">
            <v>0</v>
          </cell>
        </row>
        <row r="15822">
          <cell r="P15822">
            <v>0</v>
          </cell>
        </row>
        <row r="15823">
          <cell r="P15823">
            <v>0</v>
          </cell>
        </row>
        <row r="15824">
          <cell r="P15824">
            <v>0</v>
          </cell>
        </row>
        <row r="15825">
          <cell r="P15825">
            <v>0</v>
          </cell>
        </row>
        <row r="15826">
          <cell r="P15826">
            <v>0</v>
          </cell>
        </row>
        <row r="15827">
          <cell r="P15827">
            <v>0</v>
          </cell>
        </row>
        <row r="15828">
          <cell r="P15828">
            <v>0</v>
          </cell>
        </row>
        <row r="15829">
          <cell r="P15829">
            <v>0</v>
          </cell>
        </row>
        <row r="15830">
          <cell r="P15830">
            <v>0</v>
          </cell>
        </row>
        <row r="15831">
          <cell r="P15831">
            <v>0</v>
          </cell>
        </row>
        <row r="15832">
          <cell r="P15832">
            <v>0</v>
          </cell>
        </row>
        <row r="15833">
          <cell r="P15833">
            <v>0</v>
          </cell>
        </row>
        <row r="15834">
          <cell r="P15834">
            <v>0</v>
          </cell>
        </row>
        <row r="15835">
          <cell r="P15835">
            <v>0</v>
          </cell>
        </row>
        <row r="15836">
          <cell r="P15836">
            <v>0</v>
          </cell>
        </row>
        <row r="15837">
          <cell r="P15837">
            <v>0</v>
          </cell>
        </row>
        <row r="15838">
          <cell r="P15838">
            <v>0</v>
          </cell>
        </row>
        <row r="15839">
          <cell r="P15839">
            <v>0</v>
          </cell>
        </row>
        <row r="15840">
          <cell r="P15840">
            <v>0</v>
          </cell>
        </row>
        <row r="15841">
          <cell r="P15841">
            <v>0</v>
          </cell>
        </row>
        <row r="15842">
          <cell r="P15842">
            <v>0</v>
          </cell>
        </row>
        <row r="15843">
          <cell r="P15843">
            <v>0</v>
          </cell>
        </row>
        <row r="15844">
          <cell r="P15844">
            <v>0</v>
          </cell>
        </row>
        <row r="15845">
          <cell r="P15845">
            <v>0</v>
          </cell>
        </row>
        <row r="15846">
          <cell r="P15846">
            <v>0</v>
          </cell>
        </row>
        <row r="15847">
          <cell r="P15847">
            <v>0</v>
          </cell>
        </row>
        <row r="15848">
          <cell r="P15848">
            <v>0</v>
          </cell>
        </row>
        <row r="15849">
          <cell r="P15849">
            <v>0</v>
          </cell>
        </row>
        <row r="15850">
          <cell r="P15850">
            <v>0</v>
          </cell>
        </row>
        <row r="15851">
          <cell r="P15851">
            <v>0</v>
          </cell>
        </row>
        <row r="15852">
          <cell r="P15852">
            <v>0</v>
          </cell>
        </row>
        <row r="15853">
          <cell r="P15853">
            <v>0</v>
          </cell>
        </row>
        <row r="15854">
          <cell r="P15854">
            <v>0</v>
          </cell>
        </row>
        <row r="15855">
          <cell r="P15855">
            <v>0</v>
          </cell>
        </row>
        <row r="15856">
          <cell r="P15856">
            <v>0</v>
          </cell>
        </row>
        <row r="15857">
          <cell r="P15857">
            <v>0</v>
          </cell>
        </row>
        <row r="15858">
          <cell r="P15858">
            <v>0</v>
          </cell>
        </row>
        <row r="15859">
          <cell r="P15859">
            <v>0</v>
          </cell>
        </row>
        <row r="15860">
          <cell r="P15860">
            <v>0</v>
          </cell>
        </row>
        <row r="15861">
          <cell r="P15861">
            <v>0</v>
          </cell>
        </row>
        <row r="15862">
          <cell r="P15862">
            <v>0</v>
          </cell>
        </row>
        <row r="15863">
          <cell r="P15863">
            <v>0</v>
          </cell>
        </row>
        <row r="15864">
          <cell r="P15864">
            <v>0</v>
          </cell>
        </row>
        <row r="15865">
          <cell r="P15865">
            <v>0</v>
          </cell>
        </row>
        <row r="15866">
          <cell r="P15866">
            <v>0</v>
          </cell>
        </row>
        <row r="15867">
          <cell r="P15867">
            <v>0</v>
          </cell>
        </row>
        <row r="15868">
          <cell r="P15868">
            <v>0</v>
          </cell>
        </row>
        <row r="15869">
          <cell r="P15869">
            <v>0</v>
          </cell>
        </row>
        <row r="15870">
          <cell r="P15870">
            <v>0</v>
          </cell>
        </row>
        <row r="15871">
          <cell r="P15871">
            <v>0</v>
          </cell>
        </row>
        <row r="15872">
          <cell r="P15872">
            <v>0</v>
          </cell>
        </row>
        <row r="15873">
          <cell r="P15873">
            <v>0</v>
          </cell>
        </row>
        <row r="15874">
          <cell r="P15874">
            <v>0</v>
          </cell>
        </row>
        <row r="15875">
          <cell r="P15875">
            <v>0</v>
          </cell>
        </row>
        <row r="15876">
          <cell r="P15876">
            <v>0</v>
          </cell>
        </row>
        <row r="15877">
          <cell r="P15877">
            <v>0</v>
          </cell>
        </row>
        <row r="15878">
          <cell r="P15878">
            <v>0</v>
          </cell>
        </row>
        <row r="15879">
          <cell r="P15879">
            <v>0</v>
          </cell>
        </row>
        <row r="15880">
          <cell r="P15880">
            <v>0</v>
          </cell>
        </row>
        <row r="15881">
          <cell r="P15881">
            <v>0</v>
          </cell>
        </row>
        <row r="15882">
          <cell r="P15882">
            <v>0</v>
          </cell>
        </row>
        <row r="15883">
          <cell r="P15883">
            <v>0</v>
          </cell>
        </row>
        <row r="15884">
          <cell r="P15884">
            <v>0</v>
          </cell>
        </row>
        <row r="15885">
          <cell r="P15885">
            <v>0</v>
          </cell>
        </row>
        <row r="15886">
          <cell r="P15886">
            <v>0</v>
          </cell>
        </row>
        <row r="15887">
          <cell r="P15887">
            <v>0</v>
          </cell>
        </row>
        <row r="15888">
          <cell r="P15888">
            <v>0</v>
          </cell>
        </row>
        <row r="15889">
          <cell r="P15889">
            <v>0</v>
          </cell>
        </row>
        <row r="15890">
          <cell r="P15890">
            <v>0</v>
          </cell>
        </row>
        <row r="15891">
          <cell r="P15891">
            <v>0</v>
          </cell>
        </row>
        <row r="15892">
          <cell r="P15892">
            <v>0</v>
          </cell>
        </row>
        <row r="15893">
          <cell r="P15893">
            <v>0</v>
          </cell>
        </row>
        <row r="15894">
          <cell r="P15894">
            <v>0</v>
          </cell>
        </row>
        <row r="15895">
          <cell r="P15895">
            <v>0</v>
          </cell>
        </row>
        <row r="15896">
          <cell r="P15896">
            <v>0</v>
          </cell>
        </row>
        <row r="15897">
          <cell r="P15897">
            <v>0</v>
          </cell>
        </row>
        <row r="15898">
          <cell r="P15898">
            <v>0</v>
          </cell>
        </row>
        <row r="15899">
          <cell r="P15899">
            <v>0</v>
          </cell>
        </row>
        <row r="15900">
          <cell r="P15900">
            <v>0</v>
          </cell>
        </row>
        <row r="15901">
          <cell r="P15901">
            <v>0</v>
          </cell>
        </row>
        <row r="15902">
          <cell r="P15902">
            <v>0</v>
          </cell>
        </row>
        <row r="15903">
          <cell r="P15903">
            <v>0</v>
          </cell>
        </row>
        <row r="15904">
          <cell r="P15904">
            <v>0</v>
          </cell>
        </row>
        <row r="15905">
          <cell r="P15905">
            <v>0</v>
          </cell>
        </row>
        <row r="15906">
          <cell r="P15906">
            <v>0</v>
          </cell>
        </row>
        <row r="15907">
          <cell r="P15907">
            <v>0</v>
          </cell>
        </row>
        <row r="15908">
          <cell r="P15908">
            <v>0</v>
          </cell>
        </row>
        <row r="15909">
          <cell r="P15909">
            <v>0</v>
          </cell>
        </row>
        <row r="15910">
          <cell r="P15910">
            <v>0</v>
          </cell>
        </row>
        <row r="15911">
          <cell r="P15911">
            <v>0</v>
          </cell>
        </row>
        <row r="15912">
          <cell r="P15912">
            <v>0</v>
          </cell>
        </row>
        <row r="15913">
          <cell r="P15913">
            <v>0</v>
          </cell>
        </row>
        <row r="15914">
          <cell r="P15914">
            <v>0</v>
          </cell>
        </row>
        <row r="15915">
          <cell r="P15915">
            <v>0</v>
          </cell>
        </row>
        <row r="15916">
          <cell r="P15916">
            <v>0</v>
          </cell>
        </row>
        <row r="15917">
          <cell r="P15917">
            <v>0</v>
          </cell>
        </row>
        <row r="15918">
          <cell r="P15918">
            <v>0</v>
          </cell>
        </row>
        <row r="15919">
          <cell r="P15919">
            <v>0</v>
          </cell>
        </row>
        <row r="15920">
          <cell r="P15920">
            <v>0</v>
          </cell>
        </row>
        <row r="15921">
          <cell r="P15921">
            <v>0</v>
          </cell>
        </row>
        <row r="15922">
          <cell r="P15922">
            <v>0</v>
          </cell>
        </row>
        <row r="15923">
          <cell r="P15923">
            <v>0</v>
          </cell>
        </row>
        <row r="15924">
          <cell r="P15924">
            <v>0</v>
          </cell>
        </row>
        <row r="15925">
          <cell r="P15925">
            <v>0</v>
          </cell>
        </row>
        <row r="15926">
          <cell r="P15926">
            <v>0</v>
          </cell>
        </row>
        <row r="15927">
          <cell r="P15927">
            <v>0</v>
          </cell>
        </row>
        <row r="15928">
          <cell r="P15928">
            <v>0</v>
          </cell>
        </row>
        <row r="15929">
          <cell r="P15929">
            <v>0</v>
          </cell>
        </row>
        <row r="15930">
          <cell r="P15930">
            <v>0</v>
          </cell>
        </row>
        <row r="15931">
          <cell r="P15931">
            <v>0</v>
          </cell>
        </row>
        <row r="15932">
          <cell r="P15932">
            <v>0</v>
          </cell>
        </row>
        <row r="15933">
          <cell r="P15933">
            <v>0</v>
          </cell>
        </row>
        <row r="15934">
          <cell r="P15934">
            <v>0</v>
          </cell>
        </row>
        <row r="15935">
          <cell r="P15935">
            <v>0</v>
          </cell>
        </row>
        <row r="15936">
          <cell r="P15936">
            <v>0</v>
          </cell>
        </row>
        <row r="15937">
          <cell r="P15937">
            <v>0</v>
          </cell>
        </row>
        <row r="15938">
          <cell r="P15938">
            <v>0</v>
          </cell>
        </row>
        <row r="15939">
          <cell r="P15939">
            <v>0</v>
          </cell>
        </row>
        <row r="15940">
          <cell r="P15940">
            <v>0</v>
          </cell>
        </row>
        <row r="15941">
          <cell r="P15941">
            <v>0</v>
          </cell>
        </row>
        <row r="15942">
          <cell r="P15942">
            <v>0</v>
          </cell>
        </row>
        <row r="15943">
          <cell r="P15943">
            <v>0</v>
          </cell>
        </row>
        <row r="15944">
          <cell r="P15944">
            <v>0</v>
          </cell>
        </row>
        <row r="15945">
          <cell r="P15945">
            <v>0</v>
          </cell>
        </row>
        <row r="15946">
          <cell r="P15946">
            <v>0</v>
          </cell>
        </row>
        <row r="15947">
          <cell r="P15947">
            <v>0</v>
          </cell>
        </row>
        <row r="15948">
          <cell r="P15948">
            <v>0</v>
          </cell>
        </row>
        <row r="15949">
          <cell r="P15949">
            <v>0</v>
          </cell>
        </row>
        <row r="15950">
          <cell r="P15950">
            <v>0</v>
          </cell>
        </row>
        <row r="15951">
          <cell r="P15951">
            <v>0</v>
          </cell>
        </row>
        <row r="15952">
          <cell r="P15952">
            <v>0</v>
          </cell>
        </row>
        <row r="15953">
          <cell r="P15953">
            <v>0</v>
          </cell>
        </row>
        <row r="15954">
          <cell r="P15954">
            <v>0</v>
          </cell>
        </row>
        <row r="15955">
          <cell r="P15955">
            <v>0</v>
          </cell>
        </row>
        <row r="15956">
          <cell r="P15956">
            <v>0</v>
          </cell>
        </row>
        <row r="15957">
          <cell r="P15957">
            <v>0</v>
          </cell>
        </row>
        <row r="15958">
          <cell r="P15958">
            <v>0</v>
          </cell>
        </row>
        <row r="15959">
          <cell r="P15959">
            <v>0</v>
          </cell>
        </row>
        <row r="15960">
          <cell r="P15960">
            <v>0</v>
          </cell>
        </row>
        <row r="15961">
          <cell r="P15961">
            <v>0</v>
          </cell>
        </row>
        <row r="15962">
          <cell r="P15962">
            <v>0</v>
          </cell>
        </row>
        <row r="15963">
          <cell r="P15963">
            <v>0</v>
          </cell>
        </row>
        <row r="15964">
          <cell r="P15964">
            <v>0</v>
          </cell>
        </row>
        <row r="15965">
          <cell r="P15965">
            <v>0</v>
          </cell>
        </row>
        <row r="15966">
          <cell r="P15966">
            <v>0</v>
          </cell>
        </row>
        <row r="15967">
          <cell r="P15967">
            <v>0</v>
          </cell>
        </row>
        <row r="15968">
          <cell r="P15968">
            <v>0</v>
          </cell>
        </row>
        <row r="15969">
          <cell r="P15969">
            <v>0</v>
          </cell>
        </row>
        <row r="15970">
          <cell r="P15970">
            <v>0</v>
          </cell>
        </row>
        <row r="15971">
          <cell r="P15971">
            <v>0</v>
          </cell>
        </row>
        <row r="15972">
          <cell r="P15972">
            <v>0</v>
          </cell>
        </row>
        <row r="15973">
          <cell r="P15973">
            <v>0</v>
          </cell>
        </row>
        <row r="15974">
          <cell r="P15974">
            <v>0</v>
          </cell>
        </row>
        <row r="15975">
          <cell r="P15975">
            <v>0</v>
          </cell>
        </row>
        <row r="15976">
          <cell r="P15976">
            <v>0</v>
          </cell>
        </row>
        <row r="15977">
          <cell r="P15977">
            <v>0</v>
          </cell>
        </row>
        <row r="15978">
          <cell r="P15978">
            <v>0</v>
          </cell>
        </row>
        <row r="15979">
          <cell r="P15979">
            <v>0</v>
          </cell>
        </row>
        <row r="15980">
          <cell r="P15980">
            <v>0</v>
          </cell>
        </row>
        <row r="15981">
          <cell r="P15981">
            <v>0</v>
          </cell>
        </row>
        <row r="15982">
          <cell r="P15982">
            <v>0</v>
          </cell>
        </row>
        <row r="15983">
          <cell r="P15983">
            <v>0</v>
          </cell>
        </row>
        <row r="15984">
          <cell r="P15984">
            <v>0</v>
          </cell>
        </row>
        <row r="15985">
          <cell r="P15985">
            <v>0</v>
          </cell>
        </row>
        <row r="15986">
          <cell r="P15986">
            <v>0</v>
          </cell>
        </row>
        <row r="15987">
          <cell r="P15987">
            <v>0</v>
          </cell>
        </row>
        <row r="15988">
          <cell r="P15988">
            <v>0</v>
          </cell>
        </row>
        <row r="15989">
          <cell r="P15989">
            <v>0</v>
          </cell>
        </row>
        <row r="15990">
          <cell r="P15990">
            <v>0</v>
          </cell>
        </row>
        <row r="15991">
          <cell r="P15991">
            <v>0</v>
          </cell>
        </row>
        <row r="15992">
          <cell r="P15992">
            <v>0</v>
          </cell>
        </row>
        <row r="15993">
          <cell r="P15993">
            <v>0</v>
          </cell>
        </row>
        <row r="15994">
          <cell r="P15994">
            <v>0</v>
          </cell>
        </row>
        <row r="15995">
          <cell r="P15995">
            <v>0</v>
          </cell>
        </row>
        <row r="15996">
          <cell r="P15996">
            <v>0</v>
          </cell>
        </row>
        <row r="15997">
          <cell r="P15997">
            <v>0</v>
          </cell>
        </row>
        <row r="15998">
          <cell r="P15998">
            <v>0</v>
          </cell>
        </row>
        <row r="15999">
          <cell r="P15999">
            <v>0</v>
          </cell>
        </row>
        <row r="16000">
          <cell r="P16000">
            <v>0</v>
          </cell>
        </row>
        <row r="16001">
          <cell r="P16001">
            <v>0</v>
          </cell>
        </row>
        <row r="16002">
          <cell r="P16002">
            <v>0</v>
          </cell>
        </row>
        <row r="16003">
          <cell r="P16003">
            <v>0</v>
          </cell>
        </row>
        <row r="16004">
          <cell r="P16004">
            <v>0</v>
          </cell>
        </row>
        <row r="16005">
          <cell r="P16005">
            <v>0</v>
          </cell>
        </row>
        <row r="16006">
          <cell r="P16006">
            <v>0</v>
          </cell>
        </row>
        <row r="16007">
          <cell r="P16007">
            <v>0</v>
          </cell>
        </row>
        <row r="16008">
          <cell r="P16008">
            <v>0</v>
          </cell>
        </row>
        <row r="16009">
          <cell r="P16009">
            <v>0</v>
          </cell>
        </row>
        <row r="16010">
          <cell r="P16010">
            <v>0</v>
          </cell>
        </row>
        <row r="16011">
          <cell r="P16011">
            <v>0</v>
          </cell>
        </row>
        <row r="16012">
          <cell r="P16012">
            <v>0</v>
          </cell>
        </row>
        <row r="16013">
          <cell r="P16013">
            <v>0</v>
          </cell>
        </row>
        <row r="16014">
          <cell r="P16014">
            <v>0</v>
          </cell>
        </row>
        <row r="16015">
          <cell r="P16015">
            <v>0</v>
          </cell>
        </row>
        <row r="16016">
          <cell r="P16016">
            <v>0</v>
          </cell>
        </row>
        <row r="16017">
          <cell r="P16017">
            <v>0</v>
          </cell>
        </row>
        <row r="16018">
          <cell r="P16018">
            <v>0</v>
          </cell>
        </row>
        <row r="16019">
          <cell r="P16019">
            <v>0</v>
          </cell>
        </row>
        <row r="16020">
          <cell r="P16020">
            <v>0</v>
          </cell>
        </row>
        <row r="16021">
          <cell r="P16021">
            <v>0</v>
          </cell>
        </row>
        <row r="16022">
          <cell r="P16022">
            <v>0</v>
          </cell>
        </row>
        <row r="16023">
          <cell r="P16023">
            <v>0</v>
          </cell>
        </row>
        <row r="16024">
          <cell r="P16024">
            <v>0</v>
          </cell>
        </row>
        <row r="16025">
          <cell r="P16025">
            <v>0</v>
          </cell>
        </row>
        <row r="16026">
          <cell r="P16026">
            <v>0</v>
          </cell>
        </row>
        <row r="16027">
          <cell r="P16027">
            <v>0</v>
          </cell>
        </row>
        <row r="16028">
          <cell r="P16028">
            <v>0</v>
          </cell>
        </row>
        <row r="16029">
          <cell r="P16029">
            <v>0</v>
          </cell>
        </row>
        <row r="16030">
          <cell r="P16030">
            <v>0</v>
          </cell>
        </row>
        <row r="16031">
          <cell r="P16031">
            <v>0</v>
          </cell>
        </row>
        <row r="16032">
          <cell r="P16032">
            <v>0</v>
          </cell>
        </row>
        <row r="16033">
          <cell r="P16033">
            <v>0</v>
          </cell>
        </row>
        <row r="16034">
          <cell r="P16034">
            <v>0</v>
          </cell>
        </row>
        <row r="16035">
          <cell r="P16035">
            <v>0</v>
          </cell>
        </row>
        <row r="16036">
          <cell r="P16036">
            <v>0</v>
          </cell>
        </row>
        <row r="16037">
          <cell r="P16037">
            <v>0</v>
          </cell>
        </row>
        <row r="16038">
          <cell r="P16038">
            <v>0</v>
          </cell>
        </row>
        <row r="16039">
          <cell r="P16039">
            <v>0</v>
          </cell>
        </row>
        <row r="16040">
          <cell r="P16040">
            <v>0</v>
          </cell>
        </row>
        <row r="16041">
          <cell r="P16041">
            <v>0</v>
          </cell>
        </row>
        <row r="16042">
          <cell r="P16042">
            <v>0</v>
          </cell>
        </row>
        <row r="16043">
          <cell r="P16043">
            <v>0</v>
          </cell>
        </row>
        <row r="16044">
          <cell r="P16044">
            <v>0</v>
          </cell>
        </row>
        <row r="16045">
          <cell r="P16045">
            <v>0</v>
          </cell>
        </row>
        <row r="16046">
          <cell r="P16046">
            <v>0</v>
          </cell>
        </row>
        <row r="16047">
          <cell r="P16047">
            <v>0</v>
          </cell>
        </row>
        <row r="16048">
          <cell r="P16048">
            <v>0</v>
          </cell>
        </row>
        <row r="16049">
          <cell r="P16049">
            <v>0</v>
          </cell>
        </row>
        <row r="16050">
          <cell r="P16050">
            <v>0</v>
          </cell>
        </row>
        <row r="16051">
          <cell r="P16051">
            <v>0</v>
          </cell>
        </row>
        <row r="16052">
          <cell r="P16052">
            <v>0</v>
          </cell>
        </row>
        <row r="16053">
          <cell r="P16053">
            <v>0</v>
          </cell>
        </row>
        <row r="16054">
          <cell r="P16054">
            <v>0</v>
          </cell>
        </row>
        <row r="16055">
          <cell r="P16055">
            <v>0</v>
          </cell>
        </row>
        <row r="16056">
          <cell r="P16056">
            <v>0</v>
          </cell>
        </row>
        <row r="16057">
          <cell r="P16057">
            <v>0</v>
          </cell>
        </row>
        <row r="16058">
          <cell r="P16058">
            <v>0</v>
          </cell>
        </row>
        <row r="16059">
          <cell r="P16059">
            <v>0</v>
          </cell>
        </row>
        <row r="16060">
          <cell r="P16060">
            <v>0</v>
          </cell>
        </row>
        <row r="16061">
          <cell r="P16061">
            <v>0</v>
          </cell>
        </row>
        <row r="16062">
          <cell r="P16062">
            <v>0</v>
          </cell>
        </row>
        <row r="16063">
          <cell r="P16063">
            <v>0</v>
          </cell>
        </row>
        <row r="16064">
          <cell r="P16064">
            <v>0</v>
          </cell>
        </row>
        <row r="16065">
          <cell r="P16065">
            <v>0</v>
          </cell>
        </row>
        <row r="16066">
          <cell r="P16066">
            <v>0</v>
          </cell>
        </row>
        <row r="16067">
          <cell r="P16067">
            <v>0</v>
          </cell>
        </row>
        <row r="16068">
          <cell r="P16068">
            <v>0</v>
          </cell>
        </row>
        <row r="16069">
          <cell r="P16069">
            <v>0</v>
          </cell>
        </row>
        <row r="16070">
          <cell r="P16070">
            <v>0</v>
          </cell>
        </row>
        <row r="16071">
          <cell r="P16071">
            <v>0</v>
          </cell>
        </row>
        <row r="16072">
          <cell r="P16072">
            <v>0</v>
          </cell>
        </row>
        <row r="16073">
          <cell r="P16073">
            <v>0</v>
          </cell>
        </row>
        <row r="16074">
          <cell r="P16074">
            <v>0</v>
          </cell>
        </row>
        <row r="16075">
          <cell r="P16075">
            <v>0</v>
          </cell>
        </row>
        <row r="16076">
          <cell r="P16076">
            <v>0</v>
          </cell>
        </row>
        <row r="16077">
          <cell r="P16077">
            <v>0</v>
          </cell>
        </row>
        <row r="16078">
          <cell r="P16078">
            <v>0</v>
          </cell>
        </row>
        <row r="16079">
          <cell r="P16079">
            <v>0</v>
          </cell>
        </row>
        <row r="16080">
          <cell r="P16080">
            <v>0</v>
          </cell>
        </row>
        <row r="16081">
          <cell r="P16081">
            <v>0</v>
          </cell>
        </row>
        <row r="16082">
          <cell r="P16082">
            <v>0</v>
          </cell>
        </row>
        <row r="16083">
          <cell r="P16083">
            <v>0</v>
          </cell>
        </row>
        <row r="16084">
          <cell r="P16084">
            <v>0</v>
          </cell>
        </row>
        <row r="16085">
          <cell r="P16085">
            <v>0</v>
          </cell>
        </row>
        <row r="16086">
          <cell r="P16086">
            <v>0</v>
          </cell>
        </row>
        <row r="16087">
          <cell r="P16087">
            <v>0</v>
          </cell>
        </row>
        <row r="16088">
          <cell r="P16088">
            <v>0</v>
          </cell>
        </row>
        <row r="16089">
          <cell r="P16089">
            <v>0</v>
          </cell>
        </row>
        <row r="16090">
          <cell r="P16090">
            <v>0</v>
          </cell>
        </row>
        <row r="16091">
          <cell r="P16091">
            <v>0</v>
          </cell>
        </row>
        <row r="16092">
          <cell r="P16092">
            <v>0</v>
          </cell>
        </row>
        <row r="16093">
          <cell r="P16093">
            <v>0</v>
          </cell>
        </row>
        <row r="16094">
          <cell r="P16094">
            <v>0</v>
          </cell>
        </row>
        <row r="16095">
          <cell r="P16095">
            <v>0</v>
          </cell>
        </row>
        <row r="16096">
          <cell r="P16096">
            <v>0</v>
          </cell>
        </row>
        <row r="16097">
          <cell r="P16097">
            <v>0</v>
          </cell>
        </row>
        <row r="16098">
          <cell r="P16098">
            <v>0</v>
          </cell>
        </row>
        <row r="16099">
          <cell r="P16099">
            <v>0</v>
          </cell>
        </row>
        <row r="16100">
          <cell r="P16100">
            <v>0</v>
          </cell>
        </row>
        <row r="16101">
          <cell r="P16101">
            <v>0</v>
          </cell>
        </row>
        <row r="16102">
          <cell r="P16102">
            <v>0</v>
          </cell>
        </row>
        <row r="16103">
          <cell r="P16103">
            <v>0</v>
          </cell>
        </row>
        <row r="16104">
          <cell r="P16104">
            <v>0</v>
          </cell>
        </row>
        <row r="16105">
          <cell r="P16105">
            <v>0</v>
          </cell>
        </row>
        <row r="16106">
          <cell r="P16106">
            <v>0</v>
          </cell>
        </row>
        <row r="16107">
          <cell r="P16107">
            <v>0</v>
          </cell>
        </row>
        <row r="16108">
          <cell r="P16108">
            <v>0</v>
          </cell>
        </row>
        <row r="16109">
          <cell r="P16109">
            <v>0</v>
          </cell>
        </row>
        <row r="16110">
          <cell r="P16110">
            <v>0</v>
          </cell>
        </row>
        <row r="16111">
          <cell r="P16111">
            <v>0</v>
          </cell>
        </row>
        <row r="16112">
          <cell r="P16112">
            <v>0</v>
          </cell>
        </row>
        <row r="16113">
          <cell r="P16113">
            <v>0</v>
          </cell>
        </row>
        <row r="16114">
          <cell r="P16114">
            <v>0</v>
          </cell>
        </row>
        <row r="16115">
          <cell r="P16115">
            <v>0</v>
          </cell>
        </row>
        <row r="16116">
          <cell r="P16116">
            <v>0</v>
          </cell>
        </row>
        <row r="16117">
          <cell r="P16117">
            <v>0</v>
          </cell>
        </row>
        <row r="16118">
          <cell r="P16118">
            <v>0</v>
          </cell>
        </row>
        <row r="16119">
          <cell r="P16119">
            <v>0</v>
          </cell>
        </row>
        <row r="16120">
          <cell r="P16120">
            <v>0</v>
          </cell>
        </row>
        <row r="16121">
          <cell r="P16121">
            <v>0</v>
          </cell>
        </row>
        <row r="16122">
          <cell r="P16122">
            <v>0</v>
          </cell>
        </row>
        <row r="16123">
          <cell r="P16123">
            <v>0</v>
          </cell>
        </row>
        <row r="16124">
          <cell r="P16124">
            <v>0</v>
          </cell>
        </row>
        <row r="16125">
          <cell r="P16125">
            <v>0</v>
          </cell>
        </row>
        <row r="16126">
          <cell r="P16126">
            <v>0</v>
          </cell>
        </row>
        <row r="16127">
          <cell r="P16127">
            <v>0</v>
          </cell>
        </row>
        <row r="16128">
          <cell r="P16128">
            <v>0</v>
          </cell>
        </row>
        <row r="16129">
          <cell r="P16129">
            <v>0</v>
          </cell>
        </row>
        <row r="16130">
          <cell r="P16130">
            <v>0</v>
          </cell>
        </row>
        <row r="16131">
          <cell r="P16131">
            <v>0</v>
          </cell>
        </row>
        <row r="16132">
          <cell r="P16132">
            <v>0</v>
          </cell>
        </row>
        <row r="16133">
          <cell r="P16133">
            <v>0</v>
          </cell>
        </row>
        <row r="16134">
          <cell r="P16134">
            <v>0</v>
          </cell>
        </row>
        <row r="16135">
          <cell r="P16135">
            <v>0</v>
          </cell>
        </row>
        <row r="16136">
          <cell r="P16136">
            <v>0</v>
          </cell>
        </row>
        <row r="16137">
          <cell r="P16137">
            <v>0</v>
          </cell>
        </row>
        <row r="16138">
          <cell r="P16138">
            <v>0</v>
          </cell>
        </row>
        <row r="16139">
          <cell r="P16139">
            <v>0</v>
          </cell>
        </row>
        <row r="16140">
          <cell r="P16140">
            <v>0</v>
          </cell>
        </row>
        <row r="16141">
          <cell r="P16141">
            <v>0</v>
          </cell>
        </row>
        <row r="16142">
          <cell r="P16142">
            <v>0</v>
          </cell>
        </row>
        <row r="16143">
          <cell r="P16143">
            <v>0</v>
          </cell>
        </row>
        <row r="16144">
          <cell r="P16144">
            <v>0</v>
          </cell>
        </row>
        <row r="16145">
          <cell r="P16145">
            <v>0</v>
          </cell>
        </row>
        <row r="16146">
          <cell r="P16146">
            <v>0</v>
          </cell>
        </row>
        <row r="16147">
          <cell r="P16147">
            <v>0</v>
          </cell>
        </row>
        <row r="16148">
          <cell r="P16148">
            <v>0</v>
          </cell>
        </row>
        <row r="16149">
          <cell r="P16149">
            <v>0</v>
          </cell>
        </row>
        <row r="16150">
          <cell r="P16150">
            <v>0</v>
          </cell>
        </row>
        <row r="16151">
          <cell r="P16151">
            <v>0</v>
          </cell>
        </row>
        <row r="16152">
          <cell r="P16152">
            <v>0</v>
          </cell>
        </row>
        <row r="16153">
          <cell r="P16153">
            <v>0</v>
          </cell>
        </row>
        <row r="16154">
          <cell r="P16154">
            <v>0</v>
          </cell>
        </row>
        <row r="16155">
          <cell r="P16155">
            <v>0</v>
          </cell>
        </row>
        <row r="16156">
          <cell r="P16156">
            <v>0</v>
          </cell>
        </row>
        <row r="16157">
          <cell r="P16157">
            <v>0</v>
          </cell>
        </row>
        <row r="16158">
          <cell r="P16158">
            <v>0</v>
          </cell>
        </row>
        <row r="16159">
          <cell r="P16159">
            <v>0</v>
          </cell>
        </row>
        <row r="16160">
          <cell r="P16160">
            <v>0</v>
          </cell>
        </row>
        <row r="16161">
          <cell r="P16161">
            <v>0</v>
          </cell>
        </row>
        <row r="16162">
          <cell r="P16162">
            <v>0</v>
          </cell>
        </row>
        <row r="16163">
          <cell r="P16163">
            <v>0</v>
          </cell>
        </row>
        <row r="16164">
          <cell r="P16164">
            <v>0</v>
          </cell>
        </row>
        <row r="16165">
          <cell r="P16165">
            <v>0</v>
          </cell>
        </row>
        <row r="16166">
          <cell r="P16166">
            <v>0</v>
          </cell>
        </row>
        <row r="16167">
          <cell r="P16167">
            <v>0</v>
          </cell>
        </row>
        <row r="16168">
          <cell r="P16168">
            <v>0</v>
          </cell>
        </row>
        <row r="16169">
          <cell r="P16169">
            <v>0</v>
          </cell>
        </row>
        <row r="16170">
          <cell r="P16170">
            <v>0</v>
          </cell>
        </row>
        <row r="16171">
          <cell r="P16171">
            <v>0</v>
          </cell>
        </row>
        <row r="16172">
          <cell r="P16172">
            <v>0</v>
          </cell>
        </row>
        <row r="16173">
          <cell r="P16173">
            <v>0</v>
          </cell>
        </row>
        <row r="16174">
          <cell r="P16174">
            <v>0</v>
          </cell>
        </row>
        <row r="16175">
          <cell r="P16175">
            <v>0</v>
          </cell>
        </row>
        <row r="16176">
          <cell r="P16176">
            <v>0</v>
          </cell>
        </row>
        <row r="16177">
          <cell r="P16177">
            <v>0</v>
          </cell>
        </row>
        <row r="16178">
          <cell r="P16178">
            <v>0</v>
          </cell>
        </row>
        <row r="16179">
          <cell r="P16179">
            <v>0</v>
          </cell>
        </row>
        <row r="16180">
          <cell r="P16180">
            <v>0</v>
          </cell>
        </row>
        <row r="16181">
          <cell r="P16181">
            <v>0</v>
          </cell>
        </row>
        <row r="16182">
          <cell r="P16182">
            <v>0</v>
          </cell>
        </row>
        <row r="16183">
          <cell r="P16183">
            <v>0</v>
          </cell>
        </row>
        <row r="16184">
          <cell r="P16184">
            <v>0</v>
          </cell>
        </row>
        <row r="16185">
          <cell r="P16185">
            <v>0</v>
          </cell>
        </row>
        <row r="16186">
          <cell r="P16186">
            <v>0</v>
          </cell>
        </row>
        <row r="16187">
          <cell r="P16187">
            <v>0</v>
          </cell>
        </row>
        <row r="16188">
          <cell r="P16188">
            <v>0</v>
          </cell>
        </row>
        <row r="16189">
          <cell r="P16189">
            <v>0</v>
          </cell>
        </row>
        <row r="16190">
          <cell r="P16190">
            <v>0</v>
          </cell>
        </row>
        <row r="16191">
          <cell r="P16191">
            <v>0</v>
          </cell>
        </row>
        <row r="16192">
          <cell r="P16192">
            <v>0</v>
          </cell>
        </row>
        <row r="16193">
          <cell r="P16193">
            <v>0</v>
          </cell>
        </row>
        <row r="16194">
          <cell r="P16194">
            <v>0</v>
          </cell>
        </row>
        <row r="16195">
          <cell r="P16195">
            <v>0</v>
          </cell>
        </row>
        <row r="16196">
          <cell r="P16196">
            <v>0</v>
          </cell>
        </row>
        <row r="16197">
          <cell r="P16197">
            <v>0</v>
          </cell>
        </row>
        <row r="16198">
          <cell r="P16198">
            <v>0</v>
          </cell>
        </row>
        <row r="16199">
          <cell r="P16199">
            <v>0</v>
          </cell>
        </row>
        <row r="16200">
          <cell r="P16200">
            <v>0</v>
          </cell>
        </row>
        <row r="16201">
          <cell r="P16201">
            <v>0</v>
          </cell>
        </row>
        <row r="16202">
          <cell r="P16202">
            <v>0</v>
          </cell>
        </row>
        <row r="16203">
          <cell r="P16203">
            <v>0</v>
          </cell>
        </row>
        <row r="16204">
          <cell r="P16204">
            <v>0</v>
          </cell>
        </row>
        <row r="16205">
          <cell r="P16205">
            <v>0</v>
          </cell>
        </row>
        <row r="16206">
          <cell r="P16206">
            <v>0</v>
          </cell>
        </row>
        <row r="16207">
          <cell r="P16207">
            <v>0</v>
          </cell>
        </row>
        <row r="16208">
          <cell r="P16208">
            <v>0</v>
          </cell>
        </row>
        <row r="16209">
          <cell r="P16209">
            <v>0</v>
          </cell>
        </row>
        <row r="16210">
          <cell r="P16210">
            <v>0</v>
          </cell>
        </row>
        <row r="16211">
          <cell r="P16211">
            <v>0</v>
          </cell>
        </row>
        <row r="16212">
          <cell r="P16212">
            <v>0</v>
          </cell>
        </row>
        <row r="16213">
          <cell r="P16213">
            <v>0</v>
          </cell>
        </row>
        <row r="16214">
          <cell r="P16214">
            <v>0</v>
          </cell>
        </row>
        <row r="16215">
          <cell r="P16215">
            <v>0</v>
          </cell>
        </row>
        <row r="16216">
          <cell r="P16216">
            <v>0</v>
          </cell>
        </row>
        <row r="16217">
          <cell r="P16217">
            <v>0</v>
          </cell>
        </row>
        <row r="16218">
          <cell r="P16218">
            <v>0</v>
          </cell>
        </row>
        <row r="16219">
          <cell r="P16219">
            <v>0</v>
          </cell>
        </row>
        <row r="16220">
          <cell r="P16220">
            <v>0</v>
          </cell>
        </row>
        <row r="16221">
          <cell r="P16221">
            <v>0</v>
          </cell>
        </row>
        <row r="16222">
          <cell r="P16222">
            <v>0</v>
          </cell>
        </row>
        <row r="16223">
          <cell r="P16223">
            <v>0</v>
          </cell>
        </row>
        <row r="16224">
          <cell r="P16224">
            <v>0</v>
          </cell>
        </row>
        <row r="16225">
          <cell r="P16225">
            <v>0</v>
          </cell>
        </row>
        <row r="16226">
          <cell r="P16226">
            <v>0</v>
          </cell>
        </row>
        <row r="16227">
          <cell r="P16227">
            <v>0</v>
          </cell>
        </row>
        <row r="16228">
          <cell r="P16228">
            <v>0</v>
          </cell>
        </row>
        <row r="16229">
          <cell r="P16229">
            <v>0</v>
          </cell>
        </row>
        <row r="16230">
          <cell r="P16230">
            <v>0</v>
          </cell>
        </row>
        <row r="16231">
          <cell r="P16231">
            <v>0</v>
          </cell>
        </row>
        <row r="16232">
          <cell r="P16232">
            <v>0</v>
          </cell>
        </row>
        <row r="16233">
          <cell r="P16233">
            <v>0</v>
          </cell>
        </row>
        <row r="16234">
          <cell r="P16234">
            <v>0</v>
          </cell>
        </row>
        <row r="16235">
          <cell r="P16235">
            <v>0</v>
          </cell>
        </row>
        <row r="16236">
          <cell r="P16236">
            <v>0</v>
          </cell>
        </row>
        <row r="16237">
          <cell r="P16237">
            <v>0</v>
          </cell>
        </row>
        <row r="16238">
          <cell r="P16238">
            <v>0</v>
          </cell>
        </row>
        <row r="16239">
          <cell r="P16239">
            <v>0</v>
          </cell>
        </row>
        <row r="16240">
          <cell r="P16240">
            <v>0</v>
          </cell>
        </row>
        <row r="16241">
          <cell r="P16241">
            <v>0</v>
          </cell>
        </row>
        <row r="16242">
          <cell r="P16242">
            <v>0</v>
          </cell>
        </row>
        <row r="16243">
          <cell r="P16243">
            <v>0</v>
          </cell>
        </row>
        <row r="16244">
          <cell r="P16244">
            <v>0</v>
          </cell>
        </row>
        <row r="16245">
          <cell r="P16245">
            <v>0</v>
          </cell>
        </row>
        <row r="16246">
          <cell r="P16246">
            <v>0</v>
          </cell>
        </row>
        <row r="16247">
          <cell r="P16247">
            <v>0</v>
          </cell>
        </row>
        <row r="16248">
          <cell r="P16248">
            <v>0</v>
          </cell>
        </row>
        <row r="16249">
          <cell r="P16249">
            <v>0</v>
          </cell>
        </row>
        <row r="16250">
          <cell r="P16250">
            <v>0</v>
          </cell>
        </row>
        <row r="16251">
          <cell r="P16251">
            <v>0</v>
          </cell>
        </row>
        <row r="16252">
          <cell r="P16252">
            <v>0</v>
          </cell>
        </row>
        <row r="16253">
          <cell r="P16253">
            <v>0</v>
          </cell>
        </row>
        <row r="16254">
          <cell r="P16254">
            <v>0</v>
          </cell>
        </row>
        <row r="16255">
          <cell r="P16255">
            <v>0</v>
          </cell>
        </row>
        <row r="16256">
          <cell r="P16256">
            <v>0</v>
          </cell>
        </row>
        <row r="16257">
          <cell r="P16257">
            <v>0</v>
          </cell>
        </row>
        <row r="16258">
          <cell r="P16258">
            <v>0</v>
          </cell>
        </row>
        <row r="16259">
          <cell r="P16259">
            <v>0</v>
          </cell>
        </row>
        <row r="16260">
          <cell r="P16260">
            <v>0</v>
          </cell>
        </row>
        <row r="16261">
          <cell r="P16261">
            <v>0</v>
          </cell>
        </row>
        <row r="16262">
          <cell r="P16262">
            <v>0</v>
          </cell>
        </row>
        <row r="16263">
          <cell r="P16263">
            <v>0</v>
          </cell>
        </row>
        <row r="16264">
          <cell r="P16264">
            <v>0</v>
          </cell>
        </row>
        <row r="16265">
          <cell r="P16265">
            <v>0</v>
          </cell>
        </row>
        <row r="16266">
          <cell r="P16266">
            <v>0</v>
          </cell>
        </row>
        <row r="16267">
          <cell r="P16267">
            <v>0</v>
          </cell>
        </row>
        <row r="16268">
          <cell r="P16268">
            <v>0</v>
          </cell>
        </row>
        <row r="16269">
          <cell r="P16269">
            <v>0</v>
          </cell>
        </row>
        <row r="16270">
          <cell r="P16270">
            <v>0</v>
          </cell>
        </row>
        <row r="16271">
          <cell r="P16271">
            <v>0</v>
          </cell>
        </row>
        <row r="16272">
          <cell r="P16272">
            <v>0</v>
          </cell>
        </row>
        <row r="16273">
          <cell r="P16273">
            <v>0</v>
          </cell>
        </row>
        <row r="16274">
          <cell r="P16274">
            <v>0</v>
          </cell>
        </row>
        <row r="16275">
          <cell r="P16275">
            <v>0</v>
          </cell>
        </row>
        <row r="16276">
          <cell r="P16276">
            <v>0</v>
          </cell>
        </row>
        <row r="16277">
          <cell r="P16277">
            <v>0</v>
          </cell>
        </row>
        <row r="16278">
          <cell r="P16278">
            <v>0</v>
          </cell>
        </row>
        <row r="16279">
          <cell r="P16279">
            <v>0</v>
          </cell>
        </row>
        <row r="16280">
          <cell r="P16280">
            <v>0</v>
          </cell>
        </row>
        <row r="16281">
          <cell r="P16281">
            <v>0</v>
          </cell>
        </row>
        <row r="16282">
          <cell r="P16282">
            <v>0</v>
          </cell>
        </row>
        <row r="16283">
          <cell r="P16283">
            <v>0</v>
          </cell>
        </row>
        <row r="16284">
          <cell r="P16284">
            <v>0</v>
          </cell>
        </row>
        <row r="16285">
          <cell r="P16285">
            <v>0</v>
          </cell>
        </row>
        <row r="16286">
          <cell r="P16286">
            <v>0</v>
          </cell>
        </row>
        <row r="16287">
          <cell r="P16287">
            <v>0</v>
          </cell>
        </row>
        <row r="16288">
          <cell r="P16288">
            <v>0</v>
          </cell>
        </row>
        <row r="16289">
          <cell r="P16289">
            <v>0</v>
          </cell>
        </row>
        <row r="16290">
          <cell r="P16290">
            <v>0</v>
          </cell>
        </row>
        <row r="16291">
          <cell r="P16291">
            <v>0</v>
          </cell>
        </row>
        <row r="16292">
          <cell r="P16292">
            <v>0</v>
          </cell>
        </row>
        <row r="16293">
          <cell r="P16293">
            <v>0</v>
          </cell>
        </row>
        <row r="16294">
          <cell r="P16294">
            <v>0</v>
          </cell>
        </row>
        <row r="16295">
          <cell r="P16295">
            <v>0</v>
          </cell>
        </row>
        <row r="16296">
          <cell r="P16296">
            <v>0</v>
          </cell>
        </row>
        <row r="16297">
          <cell r="P16297">
            <v>0</v>
          </cell>
        </row>
        <row r="16298">
          <cell r="P16298">
            <v>0</v>
          </cell>
        </row>
        <row r="16299">
          <cell r="P16299">
            <v>0</v>
          </cell>
        </row>
        <row r="16300">
          <cell r="P16300">
            <v>0</v>
          </cell>
        </row>
        <row r="16301">
          <cell r="P16301">
            <v>0</v>
          </cell>
        </row>
        <row r="16302">
          <cell r="P16302">
            <v>0</v>
          </cell>
        </row>
        <row r="16303">
          <cell r="P16303">
            <v>0</v>
          </cell>
        </row>
        <row r="16304">
          <cell r="P16304">
            <v>0</v>
          </cell>
        </row>
        <row r="16305">
          <cell r="P16305">
            <v>0</v>
          </cell>
        </row>
        <row r="16306">
          <cell r="P16306">
            <v>0</v>
          </cell>
        </row>
        <row r="16307">
          <cell r="P16307">
            <v>0</v>
          </cell>
        </row>
        <row r="16308">
          <cell r="P16308">
            <v>0</v>
          </cell>
        </row>
        <row r="16309">
          <cell r="P16309">
            <v>0</v>
          </cell>
        </row>
        <row r="16310">
          <cell r="P16310">
            <v>0</v>
          </cell>
        </row>
        <row r="16311">
          <cell r="P16311">
            <v>0</v>
          </cell>
        </row>
        <row r="16312">
          <cell r="P16312">
            <v>0</v>
          </cell>
        </row>
        <row r="16313">
          <cell r="P16313">
            <v>0</v>
          </cell>
        </row>
        <row r="16314">
          <cell r="P16314">
            <v>0</v>
          </cell>
        </row>
        <row r="16315">
          <cell r="P16315">
            <v>0</v>
          </cell>
        </row>
        <row r="16316">
          <cell r="P16316">
            <v>0</v>
          </cell>
        </row>
        <row r="16317">
          <cell r="P16317">
            <v>0</v>
          </cell>
        </row>
        <row r="16318">
          <cell r="P16318">
            <v>0</v>
          </cell>
        </row>
        <row r="16319">
          <cell r="P16319">
            <v>0</v>
          </cell>
        </row>
        <row r="16320">
          <cell r="P16320">
            <v>0</v>
          </cell>
        </row>
        <row r="16321">
          <cell r="P16321">
            <v>0</v>
          </cell>
        </row>
        <row r="16322">
          <cell r="P16322">
            <v>0</v>
          </cell>
        </row>
        <row r="16323">
          <cell r="P16323">
            <v>0</v>
          </cell>
        </row>
        <row r="16324">
          <cell r="P16324">
            <v>0</v>
          </cell>
        </row>
        <row r="16325">
          <cell r="P16325">
            <v>0</v>
          </cell>
        </row>
        <row r="16326">
          <cell r="P16326">
            <v>0</v>
          </cell>
        </row>
        <row r="16327">
          <cell r="P16327">
            <v>0</v>
          </cell>
        </row>
        <row r="16328">
          <cell r="P16328">
            <v>0</v>
          </cell>
        </row>
        <row r="16329">
          <cell r="P16329">
            <v>0</v>
          </cell>
        </row>
        <row r="16330">
          <cell r="P16330">
            <v>0</v>
          </cell>
        </row>
        <row r="16331">
          <cell r="P16331">
            <v>0</v>
          </cell>
        </row>
        <row r="16332">
          <cell r="P16332">
            <v>0</v>
          </cell>
        </row>
        <row r="16333">
          <cell r="P16333">
            <v>0</v>
          </cell>
        </row>
        <row r="16334">
          <cell r="P16334">
            <v>0</v>
          </cell>
        </row>
        <row r="16335">
          <cell r="P16335">
            <v>0</v>
          </cell>
        </row>
        <row r="16336">
          <cell r="P16336">
            <v>0</v>
          </cell>
        </row>
        <row r="16337">
          <cell r="P16337">
            <v>0</v>
          </cell>
        </row>
        <row r="16338">
          <cell r="P16338">
            <v>0</v>
          </cell>
        </row>
        <row r="16339">
          <cell r="P16339">
            <v>0</v>
          </cell>
        </row>
        <row r="16340">
          <cell r="P16340">
            <v>0</v>
          </cell>
        </row>
        <row r="16341">
          <cell r="P16341">
            <v>0</v>
          </cell>
        </row>
        <row r="16342">
          <cell r="P16342">
            <v>0</v>
          </cell>
        </row>
        <row r="16343">
          <cell r="P16343">
            <v>0</v>
          </cell>
        </row>
        <row r="16344">
          <cell r="P16344">
            <v>0</v>
          </cell>
        </row>
        <row r="16345">
          <cell r="P16345">
            <v>0</v>
          </cell>
        </row>
        <row r="16346">
          <cell r="P16346">
            <v>0</v>
          </cell>
        </row>
        <row r="16347">
          <cell r="P16347">
            <v>0</v>
          </cell>
        </row>
        <row r="16348">
          <cell r="P16348">
            <v>0</v>
          </cell>
        </row>
        <row r="16349">
          <cell r="P16349">
            <v>0</v>
          </cell>
        </row>
        <row r="16350">
          <cell r="P16350">
            <v>0</v>
          </cell>
        </row>
        <row r="16351">
          <cell r="P16351">
            <v>0</v>
          </cell>
        </row>
        <row r="16352">
          <cell r="P16352">
            <v>0</v>
          </cell>
        </row>
        <row r="16353">
          <cell r="P16353">
            <v>0</v>
          </cell>
        </row>
        <row r="16354">
          <cell r="P16354">
            <v>0</v>
          </cell>
        </row>
        <row r="16355">
          <cell r="P16355">
            <v>0</v>
          </cell>
        </row>
        <row r="16356">
          <cell r="P16356">
            <v>0</v>
          </cell>
        </row>
        <row r="16357">
          <cell r="P16357">
            <v>0</v>
          </cell>
        </row>
        <row r="16358">
          <cell r="P16358">
            <v>0</v>
          </cell>
        </row>
        <row r="16359">
          <cell r="P16359">
            <v>0</v>
          </cell>
        </row>
        <row r="16360">
          <cell r="P16360">
            <v>0</v>
          </cell>
        </row>
        <row r="16361">
          <cell r="P16361">
            <v>0</v>
          </cell>
        </row>
        <row r="16362">
          <cell r="P16362">
            <v>0</v>
          </cell>
        </row>
        <row r="16363">
          <cell r="P16363">
            <v>0</v>
          </cell>
        </row>
        <row r="16364">
          <cell r="P16364">
            <v>0</v>
          </cell>
        </row>
        <row r="16365">
          <cell r="P16365">
            <v>0</v>
          </cell>
        </row>
        <row r="16366">
          <cell r="P16366">
            <v>0</v>
          </cell>
        </row>
        <row r="16367">
          <cell r="P16367">
            <v>0</v>
          </cell>
        </row>
        <row r="16368">
          <cell r="P16368">
            <v>0</v>
          </cell>
        </row>
        <row r="16369">
          <cell r="P16369">
            <v>0</v>
          </cell>
        </row>
        <row r="16370">
          <cell r="P16370">
            <v>0</v>
          </cell>
        </row>
        <row r="16371">
          <cell r="P16371">
            <v>0</v>
          </cell>
        </row>
        <row r="16372">
          <cell r="P16372">
            <v>0</v>
          </cell>
        </row>
        <row r="16373">
          <cell r="P16373">
            <v>0</v>
          </cell>
        </row>
        <row r="16374">
          <cell r="P16374">
            <v>0</v>
          </cell>
        </row>
        <row r="16375">
          <cell r="P16375">
            <v>0</v>
          </cell>
        </row>
        <row r="16376">
          <cell r="P16376">
            <v>0</v>
          </cell>
        </row>
        <row r="16377">
          <cell r="P16377">
            <v>0</v>
          </cell>
        </row>
        <row r="16378">
          <cell r="P16378">
            <v>0</v>
          </cell>
        </row>
        <row r="16379">
          <cell r="P16379">
            <v>0</v>
          </cell>
        </row>
        <row r="16380">
          <cell r="P16380">
            <v>0</v>
          </cell>
        </row>
        <row r="16381">
          <cell r="P16381">
            <v>0</v>
          </cell>
        </row>
        <row r="16382">
          <cell r="P16382">
            <v>0</v>
          </cell>
        </row>
        <row r="16383">
          <cell r="P16383">
            <v>0</v>
          </cell>
        </row>
        <row r="16384">
          <cell r="P16384">
            <v>0</v>
          </cell>
        </row>
        <row r="16385">
          <cell r="P16385">
            <v>0</v>
          </cell>
        </row>
        <row r="16386">
          <cell r="P16386">
            <v>0</v>
          </cell>
        </row>
        <row r="16387">
          <cell r="P16387">
            <v>0</v>
          </cell>
        </row>
        <row r="16388">
          <cell r="P16388">
            <v>0</v>
          </cell>
        </row>
        <row r="16389">
          <cell r="P16389">
            <v>0</v>
          </cell>
        </row>
        <row r="16390">
          <cell r="P16390">
            <v>0</v>
          </cell>
        </row>
        <row r="16391">
          <cell r="P16391">
            <v>0</v>
          </cell>
        </row>
        <row r="16392">
          <cell r="P16392">
            <v>0</v>
          </cell>
        </row>
        <row r="16393">
          <cell r="P16393">
            <v>0</v>
          </cell>
        </row>
        <row r="16394">
          <cell r="P16394">
            <v>0</v>
          </cell>
        </row>
        <row r="16395">
          <cell r="P16395">
            <v>0</v>
          </cell>
        </row>
        <row r="16396">
          <cell r="P16396">
            <v>0</v>
          </cell>
        </row>
        <row r="16397">
          <cell r="P16397">
            <v>0</v>
          </cell>
        </row>
        <row r="16398">
          <cell r="P16398">
            <v>0</v>
          </cell>
        </row>
        <row r="16399">
          <cell r="P16399">
            <v>0</v>
          </cell>
        </row>
        <row r="16400">
          <cell r="P16400">
            <v>0</v>
          </cell>
        </row>
        <row r="16401">
          <cell r="P16401">
            <v>0</v>
          </cell>
        </row>
        <row r="16402">
          <cell r="P16402">
            <v>0</v>
          </cell>
        </row>
        <row r="16403">
          <cell r="P16403">
            <v>0</v>
          </cell>
        </row>
        <row r="16404">
          <cell r="P16404">
            <v>0</v>
          </cell>
        </row>
        <row r="16405">
          <cell r="P16405">
            <v>0</v>
          </cell>
        </row>
        <row r="16406">
          <cell r="P16406">
            <v>0</v>
          </cell>
        </row>
        <row r="16407">
          <cell r="P16407">
            <v>0</v>
          </cell>
        </row>
        <row r="16408">
          <cell r="P16408">
            <v>0</v>
          </cell>
        </row>
        <row r="16409">
          <cell r="P16409">
            <v>0</v>
          </cell>
        </row>
        <row r="16410">
          <cell r="P16410">
            <v>0</v>
          </cell>
        </row>
        <row r="16411">
          <cell r="P16411">
            <v>0</v>
          </cell>
        </row>
        <row r="16412">
          <cell r="P16412">
            <v>0</v>
          </cell>
        </row>
        <row r="16413">
          <cell r="P16413">
            <v>0</v>
          </cell>
        </row>
        <row r="16414">
          <cell r="P16414">
            <v>0</v>
          </cell>
        </row>
        <row r="16415">
          <cell r="P16415">
            <v>0</v>
          </cell>
        </row>
        <row r="16416">
          <cell r="P16416">
            <v>0</v>
          </cell>
        </row>
        <row r="16417">
          <cell r="P16417">
            <v>0</v>
          </cell>
        </row>
        <row r="16418">
          <cell r="P16418">
            <v>0</v>
          </cell>
        </row>
        <row r="16419">
          <cell r="P16419">
            <v>0</v>
          </cell>
        </row>
        <row r="16420">
          <cell r="P16420">
            <v>0</v>
          </cell>
        </row>
        <row r="16421">
          <cell r="P16421">
            <v>0</v>
          </cell>
        </row>
        <row r="16422">
          <cell r="P16422">
            <v>0</v>
          </cell>
        </row>
        <row r="16423">
          <cell r="P16423">
            <v>0</v>
          </cell>
        </row>
        <row r="16424">
          <cell r="P16424">
            <v>0</v>
          </cell>
        </row>
        <row r="16425">
          <cell r="P16425">
            <v>0</v>
          </cell>
        </row>
        <row r="16426">
          <cell r="P16426">
            <v>0</v>
          </cell>
        </row>
        <row r="16427">
          <cell r="P16427">
            <v>0</v>
          </cell>
        </row>
        <row r="16428">
          <cell r="P16428">
            <v>0</v>
          </cell>
        </row>
        <row r="16429">
          <cell r="P16429">
            <v>0</v>
          </cell>
        </row>
        <row r="16430">
          <cell r="P16430">
            <v>0</v>
          </cell>
        </row>
        <row r="16431">
          <cell r="P16431">
            <v>0</v>
          </cell>
        </row>
        <row r="16432">
          <cell r="P16432">
            <v>0</v>
          </cell>
        </row>
        <row r="16433">
          <cell r="P16433">
            <v>0</v>
          </cell>
        </row>
        <row r="16434">
          <cell r="P16434">
            <v>0</v>
          </cell>
        </row>
        <row r="16435">
          <cell r="P16435">
            <v>0</v>
          </cell>
        </row>
        <row r="16436">
          <cell r="P16436">
            <v>0</v>
          </cell>
        </row>
        <row r="16437">
          <cell r="P16437">
            <v>0</v>
          </cell>
        </row>
        <row r="16438">
          <cell r="P16438">
            <v>0</v>
          </cell>
        </row>
        <row r="16439">
          <cell r="P16439">
            <v>0</v>
          </cell>
        </row>
        <row r="16440">
          <cell r="P16440">
            <v>0</v>
          </cell>
        </row>
        <row r="16441">
          <cell r="P16441">
            <v>0</v>
          </cell>
        </row>
        <row r="16442">
          <cell r="P16442">
            <v>0</v>
          </cell>
        </row>
        <row r="16443">
          <cell r="P16443">
            <v>0</v>
          </cell>
        </row>
        <row r="16444">
          <cell r="P16444">
            <v>0</v>
          </cell>
        </row>
        <row r="16445">
          <cell r="P16445">
            <v>0</v>
          </cell>
        </row>
        <row r="16446">
          <cell r="P16446">
            <v>0</v>
          </cell>
        </row>
        <row r="16447">
          <cell r="P16447">
            <v>0</v>
          </cell>
        </row>
        <row r="16448">
          <cell r="P16448">
            <v>0</v>
          </cell>
        </row>
        <row r="16449">
          <cell r="P16449">
            <v>0</v>
          </cell>
        </row>
        <row r="16450">
          <cell r="P16450">
            <v>0</v>
          </cell>
        </row>
        <row r="16451">
          <cell r="P16451">
            <v>0</v>
          </cell>
        </row>
        <row r="16452">
          <cell r="P16452">
            <v>0</v>
          </cell>
        </row>
        <row r="16453">
          <cell r="P16453">
            <v>0</v>
          </cell>
        </row>
        <row r="16454">
          <cell r="P16454">
            <v>0</v>
          </cell>
        </row>
        <row r="16455">
          <cell r="P16455">
            <v>0</v>
          </cell>
        </row>
        <row r="16456">
          <cell r="P16456">
            <v>0</v>
          </cell>
        </row>
        <row r="16457">
          <cell r="P16457">
            <v>0</v>
          </cell>
        </row>
        <row r="16458">
          <cell r="P16458">
            <v>0</v>
          </cell>
        </row>
        <row r="16459">
          <cell r="P16459">
            <v>0</v>
          </cell>
        </row>
        <row r="16460">
          <cell r="P16460">
            <v>0</v>
          </cell>
        </row>
        <row r="16461">
          <cell r="P16461">
            <v>0</v>
          </cell>
        </row>
        <row r="16462">
          <cell r="P16462">
            <v>0</v>
          </cell>
        </row>
        <row r="16463">
          <cell r="P16463">
            <v>0</v>
          </cell>
        </row>
        <row r="16464">
          <cell r="P16464">
            <v>0</v>
          </cell>
        </row>
        <row r="16465">
          <cell r="P16465">
            <v>0</v>
          </cell>
        </row>
        <row r="16466">
          <cell r="P16466">
            <v>0</v>
          </cell>
        </row>
        <row r="16467">
          <cell r="P16467">
            <v>0</v>
          </cell>
        </row>
        <row r="16468">
          <cell r="P16468">
            <v>0</v>
          </cell>
        </row>
        <row r="16469">
          <cell r="P16469">
            <v>0</v>
          </cell>
        </row>
        <row r="16470">
          <cell r="P16470">
            <v>0</v>
          </cell>
        </row>
        <row r="16471">
          <cell r="P16471">
            <v>0</v>
          </cell>
        </row>
        <row r="16472">
          <cell r="P16472">
            <v>0</v>
          </cell>
        </row>
        <row r="16473">
          <cell r="P16473">
            <v>8.1</v>
          </cell>
        </row>
        <row r="16474">
          <cell r="P16474">
            <v>8.1</v>
          </cell>
        </row>
        <row r="16475">
          <cell r="P16475">
            <v>21.599999999999998</v>
          </cell>
        </row>
        <row r="16476">
          <cell r="P16476">
            <v>18</v>
          </cell>
        </row>
        <row r="16477">
          <cell r="P16477">
            <v>0</v>
          </cell>
        </row>
        <row r="16478">
          <cell r="P16478">
            <v>0</v>
          </cell>
        </row>
        <row r="16479">
          <cell r="P16479">
            <v>0</v>
          </cell>
        </row>
        <row r="16480">
          <cell r="P16480">
            <v>0</v>
          </cell>
        </row>
        <row r="16481">
          <cell r="P16481">
            <v>0</v>
          </cell>
        </row>
        <row r="16482">
          <cell r="P16482">
            <v>0</v>
          </cell>
        </row>
        <row r="16483">
          <cell r="P16483">
            <v>0</v>
          </cell>
        </row>
        <row r="16484">
          <cell r="P16484">
            <v>0</v>
          </cell>
        </row>
        <row r="16485">
          <cell r="P16485">
            <v>0</v>
          </cell>
        </row>
        <row r="16486">
          <cell r="P16486">
            <v>0</v>
          </cell>
        </row>
        <row r="16487">
          <cell r="P16487">
            <v>0</v>
          </cell>
        </row>
        <row r="16488">
          <cell r="P16488">
            <v>0</v>
          </cell>
        </row>
        <row r="16489">
          <cell r="P16489">
            <v>0</v>
          </cell>
        </row>
        <row r="16490">
          <cell r="P16490">
            <v>0</v>
          </cell>
        </row>
        <row r="16491">
          <cell r="P16491">
            <v>0</v>
          </cell>
        </row>
        <row r="16492">
          <cell r="P16492">
            <v>0</v>
          </cell>
        </row>
        <row r="16493">
          <cell r="P16493">
            <v>0</v>
          </cell>
        </row>
        <row r="16494">
          <cell r="P16494">
            <v>0</v>
          </cell>
        </row>
        <row r="16495">
          <cell r="P16495">
            <v>0</v>
          </cell>
        </row>
        <row r="16496">
          <cell r="P16496">
            <v>0</v>
          </cell>
        </row>
        <row r="16497">
          <cell r="P16497">
            <v>0</v>
          </cell>
        </row>
        <row r="16498">
          <cell r="P16498">
            <v>0</v>
          </cell>
        </row>
        <row r="16499">
          <cell r="P16499">
            <v>0</v>
          </cell>
        </row>
        <row r="16500">
          <cell r="P16500">
            <v>0</v>
          </cell>
        </row>
        <row r="16501">
          <cell r="P16501">
            <v>0</v>
          </cell>
        </row>
        <row r="16502">
          <cell r="P16502">
            <v>0</v>
          </cell>
        </row>
        <row r="16503">
          <cell r="P16503">
            <v>0</v>
          </cell>
        </row>
        <row r="16504">
          <cell r="P16504">
            <v>0</v>
          </cell>
        </row>
        <row r="16505">
          <cell r="P16505">
            <v>0</v>
          </cell>
        </row>
        <row r="16506">
          <cell r="P16506">
            <v>0</v>
          </cell>
        </row>
        <row r="16507">
          <cell r="P16507">
            <v>0</v>
          </cell>
        </row>
        <row r="16508">
          <cell r="P16508">
            <v>0</v>
          </cell>
        </row>
        <row r="16509">
          <cell r="P16509">
            <v>0</v>
          </cell>
        </row>
        <row r="16510">
          <cell r="P16510">
            <v>0</v>
          </cell>
        </row>
        <row r="16511">
          <cell r="P16511">
            <v>0</v>
          </cell>
        </row>
        <row r="16512">
          <cell r="P16512">
            <v>0</v>
          </cell>
        </row>
        <row r="16513">
          <cell r="P16513">
            <v>0</v>
          </cell>
        </row>
        <row r="16514">
          <cell r="P16514">
            <v>0</v>
          </cell>
        </row>
        <row r="16515">
          <cell r="P16515">
            <v>0</v>
          </cell>
        </row>
        <row r="16516">
          <cell r="P16516">
            <v>0</v>
          </cell>
        </row>
        <row r="16517">
          <cell r="P16517">
            <v>0</v>
          </cell>
        </row>
        <row r="16518">
          <cell r="P16518">
            <v>0</v>
          </cell>
        </row>
        <row r="16519">
          <cell r="P16519">
            <v>0</v>
          </cell>
        </row>
        <row r="16520">
          <cell r="P16520">
            <v>0</v>
          </cell>
        </row>
        <row r="16521">
          <cell r="P16521">
            <v>0</v>
          </cell>
        </row>
        <row r="16522">
          <cell r="P16522">
            <v>0</v>
          </cell>
        </row>
        <row r="16523">
          <cell r="P16523">
            <v>0</v>
          </cell>
        </row>
        <row r="16524">
          <cell r="P16524">
            <v>0</v>
          </cell>
        </row>
        <row r="16525">
          <cell r="P16525">
            <v>0</v>
          </cell>
        </row>
        <row r="16526">
          <cell r="P16526">
            <v>0</v>
          </cell>
        </row>
        <row r="16527">
          <cell r="P16527">
            <v>0</v>
          </cell>
        </row>
        <row r="16528">
          <cell r="P16528">
            <v>0</v>
          </cell>
        </row>
        <row r="16529">
          <cell r="P16529">
            <v>0</v>
          </cell>
        </row>
        <row r="16530">
          <cell r="P16530">
            <v>0</v>
          </cell>
        </row>
        <row r="16531">
          <cell r="P16531">
            <v>0</v>
          </cell>
        </row>
        <row r="16532">
          <cell r="P16532">
            <v>0</v>
          </cell>
        </row>
        <row r="16533">
          <cell r="P16533">
            <v>0</v>
          </cell>
        </row>
        <row r="16534">
          <cell r="P16534">
            <v>0</v>
          </cell>
        </row>
        <row r="16535">
          <cell r="P16535">
            <v>0</v>
          </cell>
        </row>
        <row r="16536">
          <cell r="P16536">
            <v>0</v>
          </cell>
        </row>
        <row r="16537">
          <cell r="P16537">
            <v>0</v>
          </cell>
        </row>
        <row r="16538">
          <cell r="P16538">
            <v>0</v>
          </cell>
        </row>
        <row r="16539">
          <cell r="P16539">
            <v>0</v>
          </cell>
        </row>
        <row r="16540">
          <cell r="P16540">
            <v>0</v>
          </cell>
        </row>
        <row r="16541">
          <cell r="P16541">
            <v>0</v>
          </cell>
        </row>
        <row r="16542">
          <cell r="P16542">
            <v>0</v>
          </cell>
        </row>
        <row r="16543">
          <cell r="P16543">
            <v>0</v>
          </cell>
        </row>
        <row r="16544">
          <cell r="P16544">
            <v>0</v>
          </cell>
        </row>
        <row r="16545">
          <cell r="P16545">
            <v>0</v>
          </cell>
        </row>
        <row r="16546">
          <cell r="P16546">
            <v>0</v>
          </cell>
        </row>
        <row r="16547">
          <cell r="P16547">
            <v>0</v>
          </cell>
        </row>
        <row r="16548">
          <cell r="P16548">
            <v>0</v>
          </cell>
        </row>
        <row r="16549">
          <cell r="P16549">
            <v>0</v>
          </cell>
        </row>
        <row r="16550">
          <cell r="P16550">
            <v>0</v>
          </cell>
        </row>
        <row r="16551">
          <cell r="P16551">
            <v>0</v>
          </cell>
        </row>
        <row r="16552">
          <cell r="P16552">
            <v>0</v>
          </cell>
        </row>
        <row r="16553">
          <cell r="P16553">
            <v>0</v>
          </cell>
        </row>
        <row r="16554">
          <cell r="P16554">
            <v>0</v>
          </cell>
        </row>
        <row r="16555">
          <cell r="P16555">
            <v>0</v>
          </cell>
        </row>
        <row r="16556">
          <cell r="P16556">
            <v>0</v>
          </cell>
        </row>
        <row r="16557">
          <cell r="P16557">
            <v>0</v>
          </cell>
        </row>
        <row r="16558">
          <cell r="P16558">
            <v>0</v>
          </cell>
        </row>
        <row r="16559">
          <cell r="P16559">
            <v>0</v>
          </cell>
        </row>
        <row r="16560">
          <cell r="P16560">
            <v>0</v>
          </cell>
        </row>
        <row r="16561">
          <cell r="P16561">
            <v>0</v>
          </cell>
        </row>
        <row r="16562">
          <cell r="P16562">
            <v>0</v>
          </cell>
        </row>
        <row r="16563">
          <cell r="P16563">
            <v>0</v>
          </cell>
        </row>
        <row r="16564">
          <cell r="P16564">
            <v>0</v>
          </cell>
        </row>
        <row r="16565">
          <cell r="P16565">
            <v>0</v>
          </cell>
        </row>
        <row r="16566">
          <cell r="P16566">
            <v>0</v>
          </cell>
        </row>
        <row r="16567">
          <cell r="P16567">
            <v>0</v>
          </cell>
        </row>
        <row r="16568">
          <cell r="P16568">
            <v>0</v>
          </cell>
        </row>
        <row r="16569">
          <cell r="P16569">
            <v>0</v>
          </cell>
        </row>
        <row r="16570">
          <cell r="P16570">
            <v>0</v>
          </cell>
        </row>
        <row r="16571">
          <cell r="P16571">
            <v>0</v>
          </cell>
        </row>
        <row r="16572">
          <cell r="P16572">
            <v>0</v>
          </cell>
        </row>
        <row r="16573">
          <cell r="P16573">
            <v>0</v>
          </cell>
        </row>
        <row r="16574">
          <cell r="P16574">
            <v>0</v>
          </cell>
        </row>
        <row r="16575">
          <cell r="P16575">
            <v>0</v>
          </cell>
        </row>
        <row r="16576">
          <cell r="P16576">
            <v>0</v>
          </cell>
        </row>
        <row r="16577">
          <cell r="P16577">
            <v>0</v>
          </cell>
        </row>
        <row r="16578">
          <cell r="P16578">
            <v>0</v>
          </cell>
        </row>
        <row r="16579">
          <cell r="P16579">
            <v>0</v>
          </cell>
        </row>
        <row r="16580">
          <cell r="P16580">
            <v>0</v>
          </cell>
        </row>
        <row r="16581">
          <cell r="P16581">
            <v>0</v>
          </cell>
        </row>
        <row r="16582">
          <cell r="P16582">
            <v>0</v>
          </cell>
        </row>
        <row r="16583">
          <cell r="P16583">
            <v>0</v>
          </cell>
        </row>
        <row r="16584">
          <cell r="P16584">
            <v>0</v>
          </cell>
        </row>
        <row r="16585">
          <cell r="P16585">
            <v>0</v>
          </cell>
        </row>
        <row r="16586">
          <cell r="P16586">
            <v>0</v>
          </cell>
        </row>
        <row r="16587">
          <cell r="P16587">
            <v>0</v>
          </cell>
        </row>
        <row r="16588">
          <cell r="P16588">
            <v>0</v>
          </cell>
        </row>
        <row r="16589">
          <cell r="P16589">
            <v>0</v>
          </cell>
        </row>
        <row r="16590">
          <cell r="P16590">
            <v>0</v>
          </cell>
        </row>
        <row r="16591">
          <cell r="P16591">
            <v>0</v>
          </cell>
        </row>
        <row r="16592">
          <cell r="P16592">
            <v>0</v>
          </cell>
        </row>
        <row r="16593">
          <cell r="P16593">
            <v>0</v>
          </cell>
        </row>
        <row r="16594">
          <cell r="P16594">
            <v>0</v>
          </cell>
        </row>
        <row r="16595">
          <cell r="P16595">
            <v>0</v>
          </cell>
        </row>
        <row r="16596">
          <cell r="P16596">
            <v>0</v>
          </cell>
        </row>
        <row r="16597">
          <cell r="P16597">
            <v>0</v>
          </cell>
        </row>
        <row r="16598">
          <cell r="P16598">
            <v>0</v>
          </cell>
        </row>
        <row r="16599">
          <cell r="P16599">
            <v>0</v>
          </cell>
        </row>
        <row r="16600">
          <cell r="P16600">
            <v>0</v>
          </cell>
        </row>
        <row r="16601">
          <cell r="P16601">
            <v>0</v>
          </cell>
        </row>
        <row r="16602">
          <cell r="P16602">
            <v>0</v>
          </cell>
        </row>
        <row r="16603">
          <cell r="P16603">
            <v>0</v>
          </cell>
        </row>
        <row r="16604">
          <cell r="P16604">
            <v>0</v>
          </cell>
        </row>
        <row r="16605">
          <cell r="P16605">
            <v>0</v>
          </cell>
        </row>
        <row r="16606">
          <cell r="P16606">
            <v>0</v>
          </cell>
        </row>
        <row r="16607">
          <cell r="P16607">
            <v>0</v>
          </cell>
        </row>
        <row r="16608">
          <cell r="P16608">
            <v>0</v>
          </cell>
        </row>
        <row r="16609">
          <cell r="P16609">
            <v>0</v>
          </cell>
        </row>
        <row r="16610">
          <cell r="P16610">
            <v>0</v>
          </cell>
        </row>
        <row r="16611">
          <cell r="P16611">
            <v>0</v>
          </cell>
        </row>
        <row r="16612">
          <cell r="P16612">
            <v>0</v>
          </cell>
        </row>
        <row r="16613">
          <cell r="P16613">
            <v>0</v>
          </cell>
        </row>
        <row r="16614">
          <cell r="P16614">
            <v>0</v>
          </cell>
        </row>
        <row r="16615">
          <cell r="P16615">
            <v>0</v>
          </cell>
        </row>
        <row r="16616">
          <cell r="P16616">
            <v>0</v>
          </cell>
        </row>
        <row r="16617">
          <cell r="P16617">
            <v>0</v>
          </cell>
        </row>
        <row r="16618">
          <cell r="P16618">
            <v>0</v>
          </cell>
        </row>
        <row r="16619">
          <cell r="P16619">
            <v>0</v>
          </cell>
        </row>
        <row r="16620">
          <cell r="P16620">
            <v>0</v>
          </cell>
        </row>
        <row r="16621">
          <cell r="P16621">
            <v>0</v>
          </cell>
        </row>
        <row r="16622">
          <cell r="P16622">
            <v>0</v>
          </cell>
        </row>
        <row r="16623">
          <cell r="P16623">
            <v>0</v>
          </cell>
        </row>
        <row r="16624">
          <cell r="P16624">
            <v>0</v>
          </cell>
        </row>
        <row r="16625">
          <cell r="P16625">
            <v>0</v>
          </cell>
        </row>
        <row r="16626">
          <cell r="P16626">
            <v>0</v>
          </cell>
        </row>
        <row r="16627">
          <cell r="P16627">
            <v>0</v>
          </cell>
        </row>
        <row r="16628">
          <cell r="P16628">
            <v>0</v>
          </cell>
        </row>
        <row r="16629">
          <cell r="P16629">
            <v>0</v>
          </cell>
        </row>
        <row r="16630">
          <cell r="P16630">
            <v>0</v>
          </cell>
        </row>
        <row r="16631">
          <cell r="P16631">
            <v>0</v>
          </cell>
        </row>
        <row r="16632">
          <cell r="P16632">
            <v>0</v>
          </cell>
        </row>
        <row r="16633">
          <cell r="P16633">
            <v>0</v>
          </cell>
        </row>
        <row r="16634">
          <cell r="P16634">
            <v>0</v>
          </cell>
        </row>
        <row r="16635">
          <cell r="P16635">
            <v>0</v>
          </cell>
        </row>
        <row r="16636">
          <cell r="P16636">
            <v>0</v>
          </cell>
        </row>
        <row r="16637">
          <cell r="P16637">
            <v>0</v>
          </cell>
        </row>
        <row r="16638">
          <cell r="P16638">
            <v>0</v>
          </cell>
        </row>
        <row r="16639">
          <cell r="P16639">
            <v>0</v>
          </cell>
        </row>
        <row r="16640">
          <cell r="P16640">
            <v>0</v>
          </cell>
        </row>
        <row r="16641">
          <cell r="P16641">
            <v>0</v>
          </cell>
        </row>
        <row r="16642">
          <cell r="P16642">
            <v>0</v>
          </cell>
        </row>
        <row r="16643">
          <cell r="P16643">
            <v>0</v>
          </cell>
        </row>
        <row r="16644">
          <cell r="P16644">
            <v>0</v>
          </cell>
        </row>
        <row r="16645">
          <cell r="P16645">
            <v>0</v>
          </cell>
        </row>
        <row r="16646">
          <cell r="P16646">
            <v>0</v>
          </cell>
        </row>
        <row r="16647">
          <cell r="P16647">
            <v>0</v>
          </cell>
        </row>
        <row r="16648">
          <cell r="P16648">
            <v>0</v>
          </cell>
        </row>
        <row r="16649">
          <cell r="P16649">
            <v>0</v>
          </cell>
        </row>
        <row r="16650">
          <cell r="P16650">
            <v>0</v>
          </cell>
        </row>
        <row r="16651">
          <cell r="P16651">
            <v>0</v>
          </cell>
        </row>
        <row r="16652">
          <cell r="P16652">
            <v>0</v>
          </cell>
        </row>
        <row r="16653">
          <cell r="P16653">
            <v>0</v>
          </cell>
        </row>
        <row r="16654">
          <cell r="P16654">
            <v>0</v>
          </cell>
        </row>
        <row r="16655">
          <cell r="P16655">
            <v>0</v>
          </cell>
        </row>
        <row r="16656">
          <cell r="P16656">
            <v>0</v>
          </cell>
        </row>
        <row r="16657">
          <cell r="P16657">
            <v>0</v>
          </cell>
        </row>
        <row r="16658">
          <cell r="P16658">
            <v>0</v>
          </cell>
        </row>
        <row r="16659">
          <cell r="P16659">
            <v>0</v>
          </cell>
        </row>
        <row r="16660">
          <cell r="P16660">
            <v>0</v>
          </cell>
        </row>
        <row r="16661">
          <cell r="P16661">
            <v>0</v>
          </cell>
        </row>
        <row r="16662">
          <cell r="P16662">
            <v>0</v>
          </cell>
        </row>
        <row r="16663">
          <cell r="P16663">
            <v>0</v>
          </cell>
        </row>
        <row r="16664">
          <cell r="P16664">
            <v>0</v>
          </cell>
        </row>
        <row r="16665">
          <cell r="P16665">
            <v>0</v>
          </cell>
        </row>
        <row r="16666">
          <cell r="P16666">
            <v>0</v>
          </cell>
        </row>
        <row r="16667">
          <cell r="P16667">
            <v>0</v>
          </cell>
        </row>
        <row r="16668">
          <cell r="P16668">
            <v>0</v>
          </cell>
        </row>
        <row r="16669">
          <cell r="P16669">
            <v>0</v>
          </cell>
        </row>
        <row r="16670">
          <cell r="P16670">
            <v>0</v>
          </cell>
        </row>
        <row r="16671">
          <cell r="P16671">
            <v>0</v>
          </cell>
        </row>
        <row r="16672">
          <cell r="P16672">
            <v>0</v>
          </cell>
        </row>
        <row r="16673">
          <cell r="P16673">
            <v>0</v>
          </cell>
        </row>
        <row r="16674">
          <cell r="P16674">
            <v>0</v>
          </cell>
        </row>
        <row r="16675">
          <cell r="P16675">
            <v>0</v>
          </cell>
        </row>
        <row r="16676">
          <cell r="P16676">
            <v>0</v>
          </cell>
        </row>
        <row r="16677">
          <cell r="P16677">
            <v>0</v>
          </cell>
        </row>
        <row r="16678">
          <cell r="P16678">
            <v>0</v>
          </cell>
        </row>
        <row r="16679">
          <cell r="P16679">
            <v>0</v>
          </cell>
        </row>
        <row r="16680">
          <cell r="P16680">
            <v>0</v>
          </cell>
        </row>
        <row r="16681">
          <cell r="P16681">
            <v>0</v>
          </cell>
        </row>
        <row r="16682">
          <cell r="P16682">
            <v>0</v>
          </cell>
        </row>
        <row r="16683">
          <cell r="P16683">
            <v>0</v>
          </cell>
        </row>
        <row r="16684">
          <cell r="P16684">
            <v>0</v>
          </cell>
        </row>
        <row r="16685">
          <cell r="P16685">
            <v>0</v>
          </cell>
        </row>
        <row r="16686">
          <cell r="P16686">
            <v>0</v>
          </cell>
        </row>
        <row r="16687">
          <cell r="P16687">
            <v>0</v>
          </cell>
        </row>
        <row r="16688">
          <cell r="P16688">
            <v>0</v>
          </cell>
        </row>
        <row r="16689">
          <cell r="P16689">
            <v>0</v>
          </cell>
        </row>
        <row r="16690">
          <cell r="P16690">
            <v>0</v>
          </cell>
        </row>
        <row r="16691">
          <cell r="P16691">
            <v>0</v>
          </cell>
        </row>
        <row r="16692">
          <cell r="P16692">
            <v>0</v>
          </cell>
        </row>
        <row r="16693">
          <cell r="P16693">
            <v>0</v>
          </cell>
        </row>
        <row r="16694">
          <cell r="P16694">
            <v>0</v>
          </cell>
        </row>
        <row r="16695">
          <cell r="P16695">
            <v>0</v>
          </cell>
        </row>
        <row r="16696">
          <cell r="P16696">
            <v>0</v>
          </cell>
        </row>
        <row r="16697">
          <cell r="P16697">
            <v>0</v>
          </cell>
        </row>
        <row r="16698">
          <cell r="P16698">
            <v>0</v>
          </cell>
        </row>
        <row r="16699">
          <cell r="P16699">
            <v>0</v>
          </cell>
        </row>
        <row r="16700">
          <cell r="P16700">
            <v>0</v>
          </cell>
        </row>
        <row r="16701">
          <cell r="P16701">
            <v>0</v>
          </cell>
        </row>
        <row r="16702">
          <cell r="P16702">
            <v>0</v>
          </cell>
        </row>
        <row r="16703">
          <cell r="P16703">
            <v>0</v>
          </cell>
        </row>
        <row r="16704">
          <cell r="P16704">
            <v>0</v>
          </cell>
        </row>
        <row r="16705">
          <cell r="P16705">
            <v>0</v>
          </cell>
        </row>
        <row r="16706">
          <cell r="P16706">
            <v>0</v>
          </cell>
        </row>
        <row r="16707">
          <cell r="P16707">
            <v>0</v>
          </cell>
        </row>
        <row r="16708">
          <cell r="P16708">
            <v>0</v>
          </cell>
        </row>
        <row r="16709">
          <cell r="P16709">
            <v>0</v>
          </cell>
        </row>
        <row r="16710">
          <cell r="P16710">
            <v>0</v>
          </cell>
        </row>
        <row r="16711">
          <cell r="P16711">
            <v>0</v>
          </cell>
        </row>
        <row r="16712">
          <cell r="P16712">
            <v>0</v>
          </cell>
        </row>
        <row r="16713">
          <cell r="P16713">
            <v>0</v>
          </cell>
        </row>
        <row r="16714">
          <cell r="P16714">
            <v>0</v>
          </cell>
        </row>
        <row r="16715">
          <cell r="P16715">
            <v>0</v>
          </cell>
        </row>
        <row r="16716">
          <cell r="P16716">
            <v>0</v>
          </cell>
        </row>
        <row r="16717">
          <cell r="P16717">
            <v>0</v>
          </cell>
        </row>
        <row r="16718">
          <cell r="P16718">
            <v>0</v>
          </cell>
        </row>
        <row r="16719">
          <cell r="P16719">
            <v>0</v>
          </cell>
        </row>
        <row r="16720">
          <cell r="P16720">
            <v>0</v>
          </cell>
        </row>
        <row r="16721">
          <cell r="P16721">
            <v>0</v>
          </cell>
        </row>
        <row r="16722">
          <cell r="P16722">
            <v>0</v>
          </cell>
        </row>
        <row r="16723">
          <cell r="P16723">
            <v>0</v>
          </cell>
        </row>
        <row r="16724">
          <cell r="P16724">
            <v>0</v>
          </cell>
        </row>
        <row r="16725">
          <cell r="P16725">
            <v>0</v>
          </cell>
        </row>
        <row r="16726">
          <cell r="P16726">
            <v>0</v>
          </cell>
        </row>
        <row r="16727">
          <cell r="P16727">
            <v>0</v>
          </cell>
        </row>
        <row r="16728">
          <cell r="P16728">
            <v>0</v>
          </cell>
        </row>
        <row r="16729">
          <cell r="P16729">
            <v>0</v>
          </cell>
        </row>
        <row r="16730">
          <cell r="P16730">
            <v>0</v>
          </cell>
        </row>
        <row r="16731">
          <cell r="P16731">
            <v>0</v>
          </cell>
        </row>
        <row r="16732">
          <cell r="P16732">
            <v>0</v>
          </cell>
        </row>
        <row r="16733">
          <cell r="P16733">
            <v>0</v>
          </cell>
        </row>
        <row r="16734">
          <cell r="P16734">
            <v>0</v>
          </cell>
        </row>
        <row r="16735">
          <cell r="P16735">
            <v>0</v>
          </cell>
        </row>
        <row r="16736">
          <cell r="P16736">
            <v>0</v>
          </cell>
        </row>
        <row r="16737">
          <cell r="P16737">
            <v>0</v>
          </cell>
        </row>
        <row r="16738">
          <cell r="P16738">
            <v>0</v>
          </cell>
        </row>
        <row r="16739">
          <cell r="P16739">
            <v>0</v>
          </cell>
        </row>
        <row r="16740">
          <cell r="P16740">
            <v>0</v>
          </cell>
        </row>
        <row r="16741">
          <cell r="P16741">
            <v>0</v>
          </cell>
        </row>
        <row r="16742">
          <cell r="P16742">
            <v>0</v>
          </cell>
        </row>
        <row r="16743">
          <cell r="P16743">
            <v>0</v>
          </cell>
        </row>
        <row r="16744">
          <cell r="P16744">
            <v>0</v>
          </cell>
        </row>
        <row r="16745">
          <cell r="P16745">
            <v>0</v>
          </cell>
        </row>
        <row r="16746">
          <cell r="P16746">
            <v>0</v>
          </cell>
        </row>
        <row r="16747">
          <cell r="P16747">
            <v>0</v>
          </cell>
        </row>
        <row r="16748">
          <cell r="P16748">
            <v>0</v>
          </cell>
        </row>
        <row r="16749">
          <cell r="P16749">
            <v>0</v>
          </cell>
        </row>
        <row r="16750">
          <cell r="P16750">
            <v>0</v>
          </cell>
        </row>
        <row r="16751">
          <cell r="P16751">
            <v>0</v>
          </cell>
        </row>
        <row r="16752">
          <cell r="P16752">
            <v>0</v>
          </cell>
        </row>
        <row r="16753">
          <cell r="P16753">
            <v>0</v>
          </cell>
        </row>
        <row r="16754">
          <cell r="P16754">
            <v>0</v>
          </cell>
        </row>
        <row r="16755">
          <cell r="P16755">
            <v>0</v>
          </cell>
        </row>
        <row r="16756">
          <cell r="P16756">
            <v>0</v>
          </cell>
        </row>
        <row r="16757">
          <cell r="P16757">
            <v>0</v>
          </cell>
        </row>
        <row r="16758">
          <cell r="P16758">
            <v>0</v>
          </cell>
        </row>
        <row r="16759">
          <cell r="P16759">
            <v>0</v>
          </cell>
        </row>
        <row r="16760">
          <cell r="P16760">
            <v>0</v>
          </cell>
        </row>
        <row r="16761">
          <cell r="P16761">
            <v>0</v>
          </cell>
        </row>
        <row r="16762">
          <cell r="P16762">
            <v>0</v>
          </cell>
        </row>
        <row r="16763">
          <cell r="P16763">
            <v>0</v>
          </cell>
        </row>
        <row r="16764">
          <cell r="P16764">
            <v>0</v>
          </cell>
        </row>
        <row r="16765">
          <cell r="P16765">
            <v>0</v>
          </cell>
        </row>
        <row r="16766">
          <cell r="P16766">
            <v>0</v>
          </cell>
        </row>
        <row r="16767">
          <cell r="P16767">
            <v>0</v>
          </cell>
        </row>
        <row r="16768">
          <cell r="P16768">
            <v>0</v>
          </cell>
        </row>
        <row r="16769">
          <cell r="P16769">
            <v>0</v>
          </cell>
        </row>
        <row r="16770">
          <cell r="P16770">
            <v>0</v>
          </cell>
        </row>
        <row r="16771">
          <cell r="P16771">
            <v>0</v>
          </cell>
        </row>
        <row r="16772">
          <cell r="P16772">
            <v>0</v>
          </cell>
        </row>
        <row r="16773">
          <cell r="P16773">
            <v>0</v>
          </cell>
        </row>
        <row r="16774">
          <cell r="P16774">
            <v>0</v>
          </cell>
        </row>
        <row r="16775">
          <cell r="P16775">
            <v>0</v>
          </cell>
        </row>
        <row r="16776">
          <cell r="P16776">
            <v>0</v>
          </cell>
        </row>
        <row r="16777">
          <cell r="P16777">
            <v>0</v>
          </cell>
        </row>
        <row r="16778">
          <cell r="P16778">
            <v>0</v>
          </cell>
        </row>
        <row r="16779">
          <cell r="P16779">
            <v>0</v>
          </cell>
        </row>
        <row r="16780">
          <cell r="P16780">
            <v>0</v>
          </cell>
        </row>
        <row r="16781">
          <cell r="P16781">
            <v>0</v>
          </cell>
        </row>
        <row r="16782">
          <cell r="P16782">
            <v>0</v>
          </cell>
        </row>
        <row r="16783">
          <cell r="P16783">
            <v>0</v>
          </cell>
        </row>
        <row r="16784">
          <cell r="P16784">
            <v>0</v>
          </cell>
        </row>
        <row r="16785">
          <cell r="P16785">
            <v>0</v>
          </cell>
        </row>
        <row r="16786">
          <cell r="P16786">
            <v>0</v>
          </cell>
        </row>
        <row r="16787">
          <cell r="P16787">
            <v>0</v>
          </cell>
        </row>
        <row r="16788">
          <cell r="P16788">
            <v>0</v>
          </cell>
        </row>
        <row r="16789">
          <cell r="P16789">
            <v>0</v>
          </cell>
        </row>
        <row r="16790">
          <cell r="P16790">
            <v>0</v>
          </cell>
        </row>
        <row r="16791">
          <cell r="P16791">
            <v>0</v>
          </cell>
        </row>
        <row r="16792">
          <cell r="P16792">
            <v>0</v>
          </cell>
        </row>
        <row r="16793">
          <cell r="P16793">
            <v>0</v>
          </cell>
        </row>
        <row r="16794">
          <cell r="P16794">
            <v>0</v>
          </cell>
        </row>
        <row r="16795">
          <cell r="P16795">
            <v>0</v>
          </cell>
        </row>
        <row r="16796">
          <cell r="P16796">
            <v>0</v>
          </cell>
        </row>
        <row r="16797">
          <cell r="P16797">
            <v>0</v>
          </cell>
        </row>
        <row r="16798">
          <cell r="P16798">
            <v>0</v>
          </cell>
        </row>
        <row r="16799">
          <cell r="P16799">
            <v>0</v>
          </cell>
        </row>
        <row r="16800">
          <cell r="P16800">
            <v>0</v>
          </cell>
        </row>
        <row r="16801">
          <cell r="P16801">
            <v>0</v>
          </cell>
        </row>
        <row r="16802">
          <cell r="P16802">
            <v>0</v>
          </cell>
        </row>
        <row r="16803">
          <cell r="P16803">
            <v>0</v>
          </cell>
        </row>
        <row r="16804">
          <cell r="P16804">
            <v>0</v>
          </cell>
        </row>
        <row r="16805">
          <cell r="P16805">
            <v>0</v>
          </cell>
        </row>
        <row r="16806">
          <cell r="P16806">
            <v>0</v>
          </cell>
        </row>
        <row r="16807">
          <cell r="P16807">
            <v>0</v>
          </cell>
        </row>
        <row r="16808">
          <cell r="P16808">
            <v>0</v>
          </cell>
        </row>
        <row r="16809">
          <cell r="P16809">
            <v>0</v>
          </cell>
        </row>
        <row r="16810">
          <cell r="P16810">
            <v>0</v>
          </cell>
        </row>
        <row r="16811">
          <cell r="P16811">
            <v>0</v>
          </cell>
        </row>
        <row r="16812">
          <cell r="P16812">
            <v>0</v>
          </cell>
        </row>
        <row r="16813">
          <cell r="P16813">
            <v>0</v>
          </cell>
        </row>
        <row r="16814">
          <cell r="P16814">
            <v>0</v>
          </cell>
        </row>
        <row r="16815">
          <cell r="P16815">
            <v>0</v>
          </cell>
        </row>
        <row r="16816">
          <cell r="P16816">
            <v>0</v>
          </cell>
        </row>
        <row r="16817">
          <cell r="P16817">
            <v>0</v>
          </cell>
        </row>
        <row r="16818">
          <cell r="P16818">
            <v>0</v>
          </cell>
        </row>
        <row r="16819">
          <cell r="P16819">
            <v>0</v>
          </cell>
        </row>
        <row r="16820">
          <cell r="P16820">
            <v>0</v>
          </cell>
        </row>
        <row r="16821">
          <cell r="P16821">
            <v>0</v>
          </cell>
        </row>
        <row r="16822">
          <cell r="P16822">
            <v>0</v>
          </cell>
        </row>
        <row r="16823">
          <cell r="P16823">
            <v>0</v>
          </cell>
        </row>
        <row r="16824">
          <cell r="P16824">
            <v>0</v>
          </cell>
        </row>
        <row r="16825">
          <cell r="P16825">
            <v>0</v>
          </cell>
        </row>
        <row r="16826">
          <cell r="P16826">
            <v>0</v>
          </cell>
        </row>
        <row r="16827">
          <cell r="P16827">
            <v>0</v>
          </cell>
        </row>
        <row r="16828">
          <cell r="P16828">
            <v>0</v>
          </cell>
        </row>
        <row r="16829">
          <cell r="P16829">
            <v>0</v>
          </cell>
        </row>
        <row r="16830">
          <cell r="P16830">
            <v>0</v>
          </cell>
        </row>
        <row r="16831">
          <cell r="P16831">
            <v>0</v>
          </cell>
        </row>
        <row r="16832">
          <cell r="P16832">
            <v>0</v>
          </cell>
        </row>
        <row r="16833">
          <cell r="P16833">
            <v>0</v>
          </cell>
        </row>
        <row r="16834">
          <cell r="P16834">
            <v>0</v>
          </cell>
        </row>
        <row r="16835">
          <cell r="P16835">
            <v>0</v>
          </cell>
        </row>
        <row r="16836">
          <cell r="P16836">
            <v>0</v>
          </cell>
        </row>
        <row r="16837">
          <cell r="P16837">
            <v>0</v>
          </cell>
        </row>
        <row r="16838">
          <cell r="P16838">
            <v>0</v>
          </cell>
        </row>
        <row r="16839">
          <cell r="P16839">
            <v>0</v>
          </cell>
        </row>
        <row r="16840">
          <cell r="P16840">
            <v>0</v>
          </cell>
        </row>
        <row r="16841">
          <cell r="P16841">
            <v>0</v>
          </cell>
        </row>
        <row r="16842">
          <cell r="P16842">
            <v>0</v>
          </cell>
        </row>
        <row r="16843">
          <cell r="P16843">
            <v>0</v>
          </cell>
        </row>
        <row r="16844">
          <cell r="P16844">
            <v>0</v>
          </cell>
        </row>
        <row r="16845">
          <cell r="P16845">
            <v>0</v>
          </cell>
        </row>
        <row r="16846">
          <cell r="P16846">
            <v>0</v>
          </cell>
        </row>
        <row r="16847">
          <cell r="P16847">
            <v>0</v>
          </cell>
        </row>
        <row r="16848">
          <cell r="P16848">
            <v>0</v>
          </cell>
        </row>
        <row r="16849">
          <cell r="P16849">
            <v>0</v>
          </cell>
        </row>
        <row r="16850">
          <cell r="P16850">
            <v>0</v>
          </cell>
        </row>
        <row r="16851">
          <cell r="P16851">
            <v>0</v>
          </cell>
        </row>
        <row r="16852">
          <cell r="P16852">
            <v>0</v>
          </cell>
        </row>
        <row r="16853">
          <cell r="P16853">
            <v>0</v>
          </cell>
        </row>
        <row r="16854">
          <cell r="P16854">
            <v>0</v>
          </cell>
        </row>
        <row r="16855">
          <cell r="P16855">
            <v>0</v>
          </cell>
        </row>
        <row r="16856">
          <cell r="P16856">
            <v>0</v>
          </cell>
        </row>
        <row r="16857">
          <cell r="P16857">
            <v>0</v>
          </cell>
        </row>
        <row r="16858">
          <cell r="P16858">
            <v>0</v>
          </cell>
        </row>
        <row r="16859">
          <cell r="P16859">
            <v>0</v>
          </cell>
        </row>
        <row r="16860">
          <cell r="P16860">
            <v>0</v>
          </cell>
        </row>
        <row r="16861">
          <cell r="P16861">
            <v>0</v>
          </cell>
        </row>
        <row r="16862">
          <cell r="P16862">
            <v>0</v>
          </cell>
        </row>
        <row r="16863">
          <cell r="P16863">
            <v>0</v>
          </cell>
        </row>
        <row r="16864">
          <cell r="P16864">
            <v>0</v>
          </cell>
        </row>
        <row r="16865">
          <cell r="P16865">
            <v>0</v>
          </cell>
        </row>
        <row r="16866">
          <cell r="P16866">
            <v>0</v>
          </cell>
        </row>
        <row r="16867">
          <cell r="P16867">
            <v>0</v>
          </cell>
        </row>
        <row r="16868">
          <cell r="P16868">
            <v>0</v>
          </cell>
        </row>
        <row r="16869">
          <cell r="P16869">
            <v>0</v>
          </cell>
        </row>
        <row r="16870">
          <cell r="P16870">
            <v>0</v>
          </cell>
        </row>
        <row r="16871">
          <cell r="P16871">
            <v>0</v>
          </cell>
        </row>
        <row r="16872">
          <cell r="P16872">
            <v>0</v>
          </cell>
        </row>
        <row r="16873">
          <cell r="P16873">
            <v>0</v>
          </cell>
        </row>
        <row r="16874">
          <cell r="P16874">
            <v>0</v>
          </cell>
        </row>
        <row r="16875">
          <cell r="P16875">
            <v>0</v>
          </cell>
        </row>
        <row r="16876">
          <cell r="P16876">
            <v>0</v>
          </cell>
        </row>
        <row r="16877">
          <cell r="P16877">
            <v>0</v>
          </cell>
        </row>
        <row r="16878">
          <cell r="P16878">
            <v>0</v>
          </cell>
        </row>
        <row r="16879">
          <cell r="P16879">
            <v>0</v>
          </cell>
        </row>
        <row r="16880">
          <cell r="P16880">
            <v>0</v>
          </cell>
        </row>
        <row r="16881">
          <cell r="P16881">
            <v>0</v>
          </cell>
        </row>
        <row r="16882">
          <cell r="P16882">
            <v>0</v>
          </cell>
        </row>
        <row r="16883">
          <cell r="P16883">
            <v>0</v>
          </cell>
        </row>
        <row r="16884">
          <cell r="P16884">
            <v>0</v>
          </cell>
        </row>
        <row r="16885">
          <cell r="P16885">
            <v>0</v>
          </cell>
        </row>
        <row r="16886">
          <cell r="P16886">
            <v>0</v>
          </cell>
        </row>
        <row r="16887">
          <cell r="P16887">
            <v>0</v>
          </cell>
        </row>
        <row r="16888">
          <cell r="P16888">
            <v>0</v>
          </cell>
        </row>
        <row r="16889">
          <cell r="P16889">
            <v>0</v>
          </cell>
        </row>
        <row r="16890">
          <cell r="P16890">
            <v>0</v>
          </cell>
        </row>
        <row r="16891">
          <cell r="P16891">
            <v>0</v>
          </cell>
        </row>
        <row r="16892">
          <cell r="P16892">
            <v>0</v>
          </cell>
        </row>
        <row r="16893">
          <cell r="P16893">
            <v>0</v>
          </cell>
        </row>
        <row r="16894">
          <cell r="P16894">
            <v>0</v>
          </cell>
        </row>
        <row r="16895">
          <cell r="P16895">
            <v>0</v>
          </cell>
        </row>
        <row r="16896">
          <cell r="P16896">
            <v>0</v>
          </cell>
        </row>
        <row r="16897">
          <cell r="P16897">
            <v>0</v>
          </cell>
        </row>
        <row r="16898">
          <cell r="P16898">
            <v>0</v>
          </cell>
        </row>
        <row r="16899">
          <cell r="P16899">
            <v>0</v>
          </cell>
        </row>
        <row r="16900">
          <cell r="P16900">
            <v>0</v>
          </cell>
        </row>
        <row r="16901">
          <cell r="P16901">
            <v>0</v>
          </cell>
        </row>
        <row r="16902">
          <cell r="P16902">
            <v>0</v>
          </cell>
        </row>
        <row r="16903">
          <cell r="P16903">
            <v>0</v>
          </cell>
        </row>
        <row r="16904">
          <cell r="P16904">
            <v>0</v>
          </cell>
        </row>
        <row r="16905">
          <cell r="P16905">
            <v>0</v>
          </cell>
        </row>
        <row r="16906">
          <cell r="P16906">
            <v>0</v>
          </cell>
        </row>
        <row r="16907">
          <cell r="P16907">
            <v>0</v>
          </cell>
        </row>
        <row r="16908">
          <cell r="P16908">
            <v>0</v>
          </cell>
        </row>
        <row r="16909">
          <cell r="P16909">
            <v>0</v>
          </cell>
        </row>
        <row r="16910">
          <cell r="P16910">
            <v>0</v>
          </cell>
        </row>
        <row r="16911">
          <cell r="P16911">
            <v>0</v>
          </cell>
        </row>
        <row r="16912">
          <cell r="P16912">
            <v>0</v>
          </cell>
        </row>
        <row r="16913">
          <cell r="P16913">
            <v>0</v>
          </cell>
        </row>
        <row r="16914">
          <cell r="P16914">
            <v>0</v>
          </cell>
        </row>
        <row r="16915">
          <cell r="P16915">
            <v>0</v>
          </cell>
        </row>
        <row r="16916">
          <cell r="P16916">
            <v>0</v>
          </cell>
        </row>
        <row r="16917">
          <cell r="P16917">
            <v>0</v>
          </cell>
        </row>
        <row r="16918">
          <cell r="P16918">
            <v>0</v>
          </cell>
        </row>
        <row r="16919">
          <cell r="P16919">
            <v>0</v>
          </cell>
        </row>
        <row r="16920">
          <cell r="P16920">
            <v>0</v>
          </cell>
        </row>
        <row r="16921">
          <cell r="P16921">
            <v>0</v>
          </cell>
        </row>
        <row r="16922">
          <cell r="P16922">
            <v>0</v>
          </cell>
        </row>
        <row r="16923">
          <cell r="P16923">
            <v>0</v>
          </cell>
        </row>
        <row r="16924">
          <cell r="P16924">
            <v>0</v>
          </cell>
        </row>
        <row r="16925">
          <cell r="P16925">
            <v>0</v>
          </cell>
        </row>
        <row r="16926">
          <cell r="P16926">
            <v>0</v>
          </cell>
        </row>
        <row r="16927">
          <cell r="P16927">
            <v>0</v>
          </cell>
        </row>
        <row r="16928">
          <cell r="P16928">
            <v>0</v>
          </cell>
        </row>
        <row r="16929">
          <cell r="P16929">
            <v>0</v>
          </cell>
        </row>
        <row r="16930">
          <cell r="P16930">
            <v>0</v>
          </cell>
        </row>
        <row r="16931">
          <cell r="P16931">
            <v>0</v>
          </cell>
        </row>
        <row r="16932">
          <cell r="P16932">
            <v>0</v>
          </cell>
        </row>
        <row r="16933">
          <cell r="P16933">
            <v>0</v>
          </cell>
        </row>
        <row r="16934">
          <cell r="P16934">
            <v>0</v>
          </cell>
        </row>
        <row r="16935">
          <cell r="P16935">
            <v>0</v>
          </cell>
        </row>
        <row r="16936">
          <cell r="P16936">
            <v>0</v>
          </cell>
        </row>
        <row r="16937">
          <cell r="P16937">
            <v>0</v>
          </cell>
        </row>
        <row r="16938">
          <cell r="P16938">
            <v>0</v>
          </cell>
        </row>
        <row r="16939">
          <cell r="P16939">
            <v>0</v>
          </cell>
        </row>
        <row r="16940">
          <cell r="P16940">
            <v>0</v>
          </cell>
        </row>
        <row r="16941">
          <cell r="P16941">
            <v>0</v>
          </cell>
        </row>
        <row r="16942">
          <cell r="P16942">
            <v>0</v>
          </cell>
        </row>
        <row r="16943">
          <cell r="P16943">
            <v>0</v>
          </cell>
        </row>
        <row r="16944">
          <cell r="P16944">
            <v>0</v>
          </cell>
        </row>
        <row r="16945">
          <cell r="P16945">
            <v>0</v>
          </cell>
        </row>
        <row r="16946">
          <cell r="P16946">
            <v>0</v>
          </cell>
        </row>
        <row r="16947">
          <cell r="P16947">
            <v>0</v>
          </cell>
        </row>
        <row r="16948">
          <cell r="P16948">
            <v>0</v>
          </cell>
        </row>
        <row r="16949">
          <cell r="P16949">
            <v>0</v>
          </cell>
        </row>
        <row r="16950">
          <cell r="P16950">
            <v>0</v>
          </cell>
        </row>
        <row r="16951">
          <cell r="P16951">
            <v>0</v>
          </cell>
        </row>
        <row r="16952">
          <cell r="P16952">
            <v>0</v>
          </cell>
        </row>
        <row r="16953">
          <cell r="P16953">
            <v>0</v>
          </cell>
        </row>
        <row r="16954">
          <cell r="P16954">
            <v>0</v>
          </cell>
        </row>
        <row r="16955">
          <cell r="P16955">
            <v>0</v>
          </cell>
        </row>
        <row r="16956">
          <cell r="P16956">
            <v>0</v>
          </cell>
        </row>
        <row r="16957">
          <cell r="P16957">
            <v>0</v>
          </cell>
        </row>
        <row r="16958">
          <cell r="P16958">
            <v>0</v>
          </cell>
        </row>
        <row r="16959">
          <cell r="P16959">
            <v>0</v>
          </cell>
        </row>
        <row r="16960">
          <cell r="P16960">
            <v>0</v>
          </cell>
        </row>
        <row r="16961">
          <cell r="P16961">
            <v>0</v>
          </cell>
        </row>
        <row r="16962">
          <cell r="P16962">
            <v>0</v>
          </cell>
        </row>
        <row r="16963">
          <cell r="P16963">
            <v>0</v>
          </cell>
        </row>
        <row r="16964">
          <cell r="P16964">
            <v>0</v>
          </cell>
        </row>
        <row r="16965">
          <cell r="P16965">
            <v>0</v>
          </cell>
        </row>
        <row r="16966">
          <cell r="P16966">
            <v>0</v>
          </cell>
        </row>
        <row r="16967">
          <cell r="P16967">
            <v>0</v>
          </cell>
        </row>
        <row r="16968">
          <cell r="P16968">
            <v>0</v>
          </cell>
        </row>
        <row r="16969">
          <cell r="P16969">
            <v>0</v>
          </cell>
        </row>
        <row r="16970">
          <cell r="P16970">
            <v>0</v>
          </cell>
        </row>
        <row r="16971">
          <cell r="P16971">
            <v>0</v>
          </cell>
        </row>
        <row r="16972">
          <cell r="P16972">
            <v>0</v>
          </cell>
        </row>
        <row r="16973">
          <cell r="P16973">
            <v>0</v>
          </cell>
        </row>
        <row r="16974">
          <cell r="P16974">
            <v>0</v>
          </cell>
        </row>
        <row r="16975">
          <cell r="P16975">
            <v>0</v>
          </cell>
        </row>
        <row r="16976">
          <cell r="P16976">
            <v>0</v>
          </cell>
        </row>
        <row r="16977">
          <cell r="P16977">
            <v>0</v>
          </cell>
        </row>
        <row r="16978">
          <cell r="P16978">
            <v>0</v>
          </cell>
        </row>
        <row r="16979">
          <cell r="P16979">
            <v>0</v>
          </cell>
        </row>
        <row r="16980">
          <cell r="P16980">
            <v>0</v>
          </cell>
        </row>
        <row r="16981">
          <cell r="P16981">
            <v>0</v>
          </cell>
        </row>
        <row r="16982">
          <cell r="P16982">
            <v>0</v>
          </cell>
        </row>
        <row r="16983">
          <cell r="P16983">
            <v>0</v>
          </cell>
        </row>
        <row r="16984">
          <cell r="P16984">
            <v>0</v>
          </cell>
        </row>
        <row r="16985">
          <cell r="P16985">
            <v>0</v>
          </cell>
        </row>
        <row r="16986">
          <cell r="P16986">
            <v>0</v>
          </cell>
        </row>
        <row r="16987">
          <cell r="P16987">
            <v>0</v>
          </cell>
        </row>
        <row r="16988">
          <cell r="P16988">
            <v>0</v>
          </cell>
        </row>
        <row r="16989">
          <cell r="P16989">
            <v>0</v>
          </cell>
        </row>
        <row r="16990">
          <cell r="P16990">
            <v>0</v>
          </cell>
        </row>
        <row r="16991">
          <cell r="P16991">
            <v>0</v>
          </cell>
        </row>
        <row r="16992">
          <cell r="P16992">
            <v>0</v>
          </cell>
        </row>
        <row r="16993">
          <cell r="P16993">
            <v>0</v>
          </cell>
        </row>
        <row r="16994">
          <cell r="P16994">
            <v>0</v>
          </cell>
        </row>
        <row r="16995">
          <cell r="P16995">
            <v>0</v>
          </cell>
        </row>
        <row r="16996">
          <cell r="P16996">
            <v>0</v>
          </cell>
        </row>
        <row r="16997">
          <cell r="P16997">
            <v>0</v>
          </cell>
        </row>
        <row r="16998">
          <cell r="P16998">
            <v>0</v>
          </cell>
        </row>
        <row r="16999">
          <cell r="P16999">
            <v>0</v>
          </cell>
        </row>
        <row r="17000">
          <cell r="P17000">
            <v>0</v>
          </cell>
        </row>
        <row r="17001">
          <cell r="P17001">
            <v>0</v>
          </cell>
        </row>
        <row r="17002">
          <cell r="P17002">
            <v>0</v>
          </cell>
        </row>
        <row r="17003">
          <cell r="P17003">
            <v>0</v>
          </cell>
        </row>
        <row r="17004">
          <cell r="P17004">
            <v>0</v>
          </cell>
        </row>
        <row r="17005">
          <cell r="P17005">
            <v>0</v>
          </cell>
        </row>
        <row r="17006">
          <cell r="P17006">
            <v>0</v>
          </cell>
        </row>
        <row r="17007">
          <cell r="P17007">
            <v>0</v>
          </cell>
        </row>
        <row r="17008">
          <cell r="P17008">
            <v>0</v>
          </cell>
        </row>
        <row r="17009">
          <cell r="P17009">
            <v>0</v>
          </cell>
        </row>
        <row r="17010">
          <cell r="P17010">
            <v>0</v>
          </cell>
        </row>
        <row r="17011">
          <cell r="P17011">
            <v>0</v>
          </cell>
        </row>
        <row r="17012">
          <cell r="P17012">
            <v>0</v>
          </cell>
        </row>
        <row r="17013">
          <cell r="P17013">
            <v>0</v>
          </cell>
        </row>
        <row r="17014">
          <cell r="P17014">
            <v>0</v>
          </cell>
        </row>
        <row r="17015">
          <cell r="P17015">
            <v>0</v>
          </cell>
        </row>
        <row r="17016">
          <cell r="P17016">
            <v>0</v>
          </cell>
        </row>
        <row r="17017">
          <cell r="P17017">
            <v>0</v>
          </cell>
        </row>
        <row r="17018">
          <cell r="P17018">
            <v>0</v>
          </cell>
        </row>
        <row r="17019">
          <cell r="P17019">
            <v>0</v>
          </cell>
        </row>
        <row r="17020">
          <cell r="P17020">
            <v>0</v>
          </cell>
        </row>
        <row r="17021">
          <cell r="P17021">
            <v>0</v>
          </cell>
        </row>
        <row r="17022">
          <cell r="P17022">
            <v>0</v>
          </cell>
        </row>
        <row r="17023">
          <cell r="P17023">
            <v>0</v>
          </cell>
        </row>
        <row r="17024">
          <cell r="P17024">
            <v>0</v>
          </cell>
        </row>
        <row r="17025">
          <cell r="P17025">
            <v>0</v>
          </cell>
        </row>
        <row r="17026">
          <cell r="P17026">
            <v>0</v>
          </cell>
        </row>
        <row r="17027">
          <cell r="P17027">
            <v>0</v>
          </cell>
        </row>
        <row r="17028">
          <cell r="P17028">
            <v>0</v>
          </cell>
        </row>
        <row r="17029">
          <cell r="P17029">
            <v>0</v>
          </cell>
        </row>
        <row r="17030">
          <cell r="P17030">
            <v>0</v>
          </cell>
        </row>
        <row r="17031">
          <cell r="P17031">
            <v>0</v>
          </cell>
        </row>
        <row r="17032">
          <cell r="P17032">
            <v>0</v>
          </cell>
        </row>
        <row r="17033">
          <cell r="P17033">
            <v>0</v>
          </cell>
        </row>
        <row r="17034">
          <cell r="P17034">
            <v>0</v>
          </cell>
        </row>
        <row r="17035">
          <cell r="P17035">
            <v>0</v>
          </cell>
        </row>
        <row r="17036">
          <cell r="P17036">
            <v>0</v>
          </cell>
        </row>
        <row r="17037">
          <cell r="P17037">
            <v>0</v>
          </cell>
        </row>
        <row r="17038">
          <cell r="P17038">
            <v>0</v>
          </cell>
        </row>
        <row r="17039">
          <cell r="P17039">
            <v>0</v>
          </cell>
        </row>
        <row r="17040">
          <cell r="P17040">
            <v>0</v>
          </cell>
        </row>
        <row r="17041">
          <cell r="P17041">
            <v>0</v>
          </cell>
        </row>
        <row r="17042">
          <cell r="P17042">
            <v>0</v>
          </cell>
        </row>
        <row r="17043">
          <cell r="P17043">
            <v>0</v>
          </cell>
        </row>
        <row r="17044">
          <cell r="P17044">
            <v>0</v>
          </cell>
        </row>
        <row r="17045">
          <cell r="P17045">
            <v>0</v>
          </cell>
        </row>
        <row r="17046">
          <cell r="P17046">
            <v>0</v>
          </cell>
        </row>
        <row r="17047">
          <cell r="P17047">
            <v>0</v>
          </cell>
        </row>
        <row r="17048">
          <cell r="P17048">
            <v>0</v>
          </cell>
        </row>
        <row r="17049">
          <cell r="P17049">
            <v>0</v>
          </cell>
        </row>
        <row r="17050">
          <cell r="P17050">
            <v>0</v>
          </cell>
        </row>
        <row r="17051">
          <cell r="P17051">
            <v>0</v>
          </cell>
        </row>
        <row r="17052">
          <cell r="P17052">
            <v>0</v>
          </cell>
        </row>
        <row r="17053">
          <cell r="P17053">
            <v>0</v>
          </cell>
        </row>
        <row r="17054">
          <cell r="P17054">
            <v>0</v>
          </cell>
        </row>
        <row r="17055">
          <cell r="P17055">
            <v>0</v>
          </cell>
        </row>
        <row r="17056">
          <cell r="P17056">
            <v>0</v>
          </cell>
        </row>
        <row r="17057">
          <cell r="P17057">
            <v>0</v>
          </cell>
        </row>
        <row r="17058">
          <cell r="P17058">
            <v>0</v>
          </cell>
        </row>
        <row r="17059">
          <cell r="P17059">
            <v>0</v>
          </cell>
        </row>
        <row r="17060">
          <cell r="P17060">
            <v>0</v>
          </cell>
        </row>
        <row r="17061">
          <cell r="P17061">
            <v>0</v>
          </cell>
        </row>
        <row r="17062">
          <cell r="P17062">
            <v>0</v>
          </cell>
        </row>
        <row r="17063">
          <cell r="P17063">
            <v>0</v>
          </cell>
        </row>
        <row r="17064">
          <cell r="P17064">
            <v>0</v>
          </cell>
        </row>
        <row r="17065">
          <cell r="P17065">
            <v>0</v>
          </cell>
        </row>
        <row r="17066">
          <cell r="P17066">
            <v>0</v>
          </cell>
        </row>
        <row r="17067">
          <cell r="P17067">
            <v>0</v>
          </cell>
        </row>
        <row r="17068">
          <cell r="P17068">
            <v>0</v>
          </cell>
        </row>
        <row r="17069">
          <cell r="P17069">
            <v>0</v>
          </cell>
        </row>
        <row r="17070">
          <cell r="P17070">
            <v>0</v>
          </cell>
        </row>
        <row r="17071">
          <cell r="P17071">
            <v>0</v>
          </cell>
        </row>
        <row r="17072">
          <cell r="P17072">
            <v>0</v>
          </cell>
        </row>
        <row r="17073">
          <cell r="P17073">
            <v>0</v>
          </cell>
        </row>
        <row r="17074">
          <cell r="P17074">
            <v>0</v>
          </cell>
        </row>
        <row r="17075">
          <cell r="P17075">
            <v>0</v>
          </cell>
        </row>
        <row r="17076">
          <cell r="P17076">
            <v>0</v>
          </cell>
        </row>
        <row r="17077">
          <cell r="P17077">
            <v>0</v>
          </cell>
        </row>
        <row r="17078">
          <cell r="P17078">
            <v>0</v>
          </cell>
        </row>
        <row r="17079">
          <cell r="P17079">
            <v>0</v>
          </cell>
        </row>
        <row r="17080">
          <cell r="P17080">
            <v>0</v>
          </cell>
        </row>
        <row r="17081">
          <cell r="P17081">
            <v>0</v>
          </cell>
        </row>
        <row r="17082">
          <cell r="P17082">
            <v>0</v>
          </cell>
        </row>
        <row r="17083">
          <cell r="P17083">
            <v>0</v>
          </cell>
        </row>
        <row r="17084">
          <cell r="P17084">
            <v>0</v>
          </cell>
        </row>
        <row r="17085">
          <cell r="P17085">
            <v>0</v>
          </cell>
        </row>
        <row r="17086">
          <cell r="P17086">
            <v>0</v>
          </cell>
        </row>
        <row r="17087">
          <cell r="P17087">
            <v>0</v>
          </cell>
        </row>
        <row r="17088">
          <cell r="P17088">
            <v>0</v>
          </cell>
        </row>
        <row r="17089">
          <cell r="P17089">
            <v>0</v>
          </cell>
        </row>
        <row r="17090">
          <cell r="P17090">
            <v>0</v>
          </cell>
        </row>
        <row r="17091">
          <cell r="P17091">
            <v>0</v>
          </cell>
        </row>
        <row r="17092">
          <cell r="P17092">
            <v>0</v>
          </cell>
        </row>
        <row r="17093">
          <cell r="P17093">
            <v>0</v>
          </cell>
        </row>
        <row r="17094">
          <cell r="P17094">
            <v>0</v>
          </cell>
        </row>
        <row r="17095">
          <cell r="P17095">
            <v>0</v>
          </cell>
        </row>
        <row r="17096">
          <cell r="P17096">
            <v>0</v>
          </cell>
        </row>
        <row r="17097">
          <cell r="P17097">
            <v>0</v>
          </cell>
        </row>
        <row r="17098">
          <cell r="P17098">
            <v>0</v>
          </cell>
        </row>
        <row r="17099">
          <cell r="P17099">
            <v>0</v>
          </cell>
        </row>
        <row r="17100">
          <cell r="P17100">
            <v>0</v>
          </cell>
        </row>
        <row r="17101">
          <cell r="P17101">
            <v>0</v>
          </cell>
        </row>
        <row r="17102">
          <cell r="P17102">
            <v>0</v>
          </cell>
        </row>
        <row r="17103">
          <cell r="P17103">
            <v>0</v>
          </cell>
        </row>
        <row r="17104">
          <cell r="P17104">
            <v>0</v>
          </cell>
        </row>
        <row r="17105">
          <cell r="P17105">
            <v>0</v>
          </cell>
        </row>
        <row r="17106">
          <cell r="P17106">
            <v>0</v>
          </cell>
        </row>
        <row r="17107">
          <cell r="P17107">
            <v>0</v>
          </cell>
        </row>
        <row r="17108">
          <cell r="P17108">
            <v>0</v>
          </cell>
        </row>
        <row r="17109">
          <cell r="P17109">
            <v>0</v>
          </cell>
        </row>
        <row r="17110">
          <cell r="P17110">
            <v>0</v>
          </cell>
        </row>
        <row r="17111">
          <cell r="P17111">
            <v>0</v>
          </cell>
        </row>
        <row r="17112">
          <cell r="P17112">
            <v>0</v>
          </cell>
        </row>
        <row r="17113">
          <cell r="P17113">
            <v>0</v>
          </cell>
        </row>
        <row r="17114">
          <cell r="P17114">
            <v>0</v>
          </cell>
        </row>
        <row r="17115">
          <cell r="P17115">
            <v>0</v>
          </cell>
        </row>
        <row r="17116">
          <cell r="P17116">
            <v>0</v>
          </cell>
        </row>
        <row r="17117">
          <cell r="P17117">
            <v>0</v>
          </cell>
        </row>
        <row r="17118">
          <cell r="P17118">
            <v>0</v>
          </cell>
        </row>
        <row r="17119">
          <cell r="P17119">
            <v>0</v>
          </cell>
        </row>
        <row r="17120">
          <cell r="P17120">
            <v>0</v>
          </cell>
        </row>
        <row r="17121">
          <cell r="P17121">
            <v>0</v>
          </cell>
        </row>
        <row r="17122">
          <cell r="P17122">
            <v>0</v>
          </cell>
        </row>
        <row r="17123">
          <cell r="P17123">
            <v>0</v>
          </cell>
        </row>
        <row r="17124">
          <cell r="P17124">
            <v>0</v>
          </cell>
        </row>
        <row r="17125">
          <cell r="P17125">
            <v>0</v>
          </cell>
        </row>
        <row r="17126">
          <cell r="P17126">
            <v>0</v>
          </cell>
        </row>
        <row r="17127">
          <cell r="P17127">
            <v>0</v>
          </cell>
        </row>
        <row r="17128">
          <cell r="P17128">
            <v>0</v>
          </cell>
        </row>
        <row r="17129">
          <cell r="P17129">
            <v>0</v>
          </cell>
        </row>
        <row r="17130">
          <cell r="P17130">
            <v>0</v>
          </cell>
        </row>
        <row r="17131">
          <cell r="P17131">
            <v>0</v>
          </cell>
        </row>
        <row r="17132">
          <cell r="P17132">
            <v>0</v>
          </cell>
        </row>
        <row r="17133">
          <cell r="P17133">
            <v>0</v>
          </cell>
        </row>
        <row r="17134">
          <cell r="P17134">
            <v>0</v>
          </cell>
        </row>
        <row r="17135">
          <cell r="P17135">
            <v>0</v>
          </cell>
        </row>
        <row r="17136">
          <cell r="P17136">
            <v>0</v>
          </cell>
        </row>
        <row r="17137">
          <cell r="P17137">
            <v>0</v>
          </cell>
        </row>
        <row r="17138">
          <cell r="P17138">
            <v>0</v>
          </cell>
        </row>
        <row r="17139">
          <cell r="P17139">
            <v>0</v>
          </cell>
        </row>
        <row r="17140">
          <cell r="P17140">
            <v>0</v>
          </cell>
        </row>
        <row r="17141">
          <cell r="P17141">
            <v>0</v>
          </cell>
        </row>
        <row r="17142">
          <cell r="P17142">
            <v>0</v>
          </cell>
        </row>
        <row r="17143">
          <cell r="P17143">
            <v>0</v>
          </cell>
        </row>
        <row r="17144">
          <cell r="P17144">
            <v>0</v>
          </cell>
        </row>
        <row r="17145">
          <cell r="P17145">
            <v>0</v>
          </cell>
        </row>
        <row r="17146">
          <cell r="P17146">
            <v>0</v>
          </cell>
        </row>
        <row r="17147">
          <cell r="P17147">
            <v>0</v>
          </cell>
        </row>
        <row r="17148">
          <cell r="P17148">
            <v>0</v>
          </cell>
        </row>
        <row r="17149">
          <cell r="P17149">
            <v>0</v>
          </cell>
        </row>
        <row r="17150">
          <cell r="P17150">
            <v>0</v>
          </cell>
        </row>
        <row r="17151">
          <cell r="P17151">
            <v>0</v>
          </cell>
        </row>
        <row r="17152">
          <cell r="P17152">
            <v>0</v>
          </cell>
        </row>
        <row r="17153">
          <cell r="P17153">
            <v>0</v>
          </cell>
        </row>
        <row r="17154">
          <cell r="P17154">
            <v>0</v>
          </cell>
        </row>
        <row r="17155">
          <cell r="P17155">
            <v>0</v>
          </cell>
        </row>
        <row r="17156">
          <cell r="P17156">
            <v>0</v>
          </cell>
        </row>
        <row r="17157">
          <cell r="P17157">
            <v>0</v>
          </cell>
        </row>
        <row r="17158">
          <cell r="P17158">
            <v>0</v>
          </cell>
        </row>
        <row r="17159">
          <cell r="P17159">
            <v>0</v>
          </cell>
        </row>
        <row r="17160">
          <cell r="P17160">
            <v>0</v>
          </cell>
        </row>
        <row r="17161">
          <cell r="P17161">
            <v>0</v>
          </cell>
        </row>
        <row r="17162">
          <cell r="P17162">
            <v>0</v>
          </cell>
        </row>
        <row r="17163">
          <cell r="P17163">
            <v>0</v>
          </cell>
        </row>
        <row r="17164">
          <cell r="P17164">
            <v>0</v>
          </cell>
        </row>
        <row r="17165">
          <cell r="P17165">
            <v>0</v>
          </cell>
        </row>
        <row r="17166">
          <cell r="P17166">
            <v>0</v>
          </cell>
        </row>
        <row r="17167">
          <cell r="P17167">
            <v>0</v>
          </cell>
        </row>
        <row r="17168">
          <cell r="P17168">
            <v>0</v>
          </cell>
        </row>
        <row r="17169">
          <cell r="P17169">
            <v>0</v>
          </cell>
        </row>
        <row r="17170">
          <cell r="P17170">
            <v>0</v>
          </cell>
        </row>
        <row r="17171">
          <cell r="P17171">
            <v>0</v>
          </cell>
        </row>
        <row r="17172">
          <cell r="P17172">
            <v>0</v>
          </cell>
        </row>
        <row r="17173">
          <cell r="P17173">
            <v>0</v>
          </cell>
        </row>
        <row r="17174">
          <cell r="P17174">
            <v>0</v>
          </cell>
        </row>
        <row r="17175">
          <cell r="P17175">
            <v>0</v>
          </cell>
        </row>
        <row r="17176">
          <cell r="P17176">
            <v>0</v>
          </cell>
        </row>
        <row r="17177">
          <cell r="P17177">
            <v>0</v>
          </cell>
        </row>
        <row r="17178">
          <cell r="P17178">
            <v>0</v>
          </cell>
        </row>
        <row r="17179">
          <cell r="P17179">
            <v>0</v>
          </cell>
        </row>
        <row r="17180">
          <cell r="P17180">
            <v>0</v>
          </cell>
        </row>
        <row r="17181">
          <cell r="P17181">
            <v>0</v>
          </cell>
        </row>
        <row r="17182">
          <cell r="P17182">
            <v>0</v>
          </cell>
        </row>
        <row r="17183">
          <cell r="P17183">
            <v>0</v>
          </cell>
        </row>
        <row r="17184">
          <cell r="P17184">
            <v>0</v>
          </cell>
        </row>
        <row r="17185">
          <cell r="P17185">
            <v>0</v>
          </cell>
        </row>
        <row r="17186">
          <cell r="P17186">
            <v>0</v>
          </cell>
        </row>
        <row r="17187">
          <cell r="P17187">
            <v>0</v>
          </cell>
        </row>
        <row r="17188">
          <cell r="P17188">
            <v>0</v>
          </cell>
        </row>
        <row r="17189">
          <cell r="P17189">
            <v>0</v>
          </cell>
        </row>
        <row r="17190">
          <cell r="P17190">
            <v>0</v>
          </cell>
        </row>
        <row r="17191">
          <cell r="P17191">
            <v>0</v>
          </cell>
        </row>
        <row r="17192">
          <cell r="P17192">
            <v>0</v>
          </cell>
        </row>
        <row r="17193">
          <cell r="P17193">
            <v>0</v>
          </cell>
        </row>
        <row r="17194">
          <cell r="P17194">
            <v>0</v>
          </cell>
        </row>
        <row r="17195">
          <cell r="P17195">
            <v>0</v>
          </cell>
        </row>
        <row r="17196">
          <cell r="P17196">
            <v>0</v>
          </cell>
        </row>
        <row r="17197">
          <cell r="P17197">
            <v>0</v>
          </cell>
        </row>
        <row r="17198">
          <cell r="P17198">
            <v>0</v>
          </cell>
        </row>
        <row r="17199">
          <cell r="P17199">
            <v>0</v>
          </cell>
        </row>
        <row r="17200">
          <cell r="P17200">
            <v>0</v>
          </cell>
        </row>
        <row r="17201">
          <cell r="P17201">
            <v>0</v>
          </cell>
        </row>
        <row r="17202">
          <cell r="P17202">
            <v>0</v>
          </cell>
        </row>
        <row r="17203">
          <cell r="P17203">
            <v>0</v>
          </cell>
        </row>
        <row r="17204">
          <cell r="P17204">
            <v>0</v>
          </cell>
        </row>
        <row r="17205">
          <cell r="P17205">
            <v>0</v>
          </cell>
        </row>
        <row r="17206">
          <cell r="P17206">
            <v>0</v>
          </cell>
        </row>
        <row r="17207">
          <cell r="P17207">
            <v>0</v>
          </cell>
        </row>
        <row r="17208">
          <cell r="P17208">
            <v>0</v>
          </cell>
        </row>
        <row r="17209">
          <cell r="P17209">
            <v>0</v>
          </cell>
        </row>
        <row r="17210">
          <cell r="P17210">
            <v>0</v>
          </cell>
        </row>
        <row r="17211">
          <cell r="P17211">
            <v>0</v>
          </cell>
        </row>
        <row r="17212">
          <cell r="P17212">
            <v>0</v>
          </cell>
        </row>
        <row r="17213">
          <cell r="P17213">
            <v>0</v>
          </cell>
        </row>
        <row r="17214">
          <cell r="P17214">
            <v>0</v>
          </cell>
        </row>
        <row r="17215">
          <cell r="P17215">
            <v>0</v>
          </cell>
        </row>
        <row r="17216">
          <cell r="P17216">
            <v>0</v>
          </cell>
        </row>
        <row r="17217">
          <cell r="P17217">
            <v>0</v>
          </cell>
        </row>
        <row r="17218">
          <cell r="P17218">
            <v>0</v>
          </cell>
        </row>
        <row r="17219">
          <cell r="P17219">
            <v>0</v>
          </cell>
        </row>
        <row r="17220">
          <cell r="P17220">
            <v>0</v>
          </cell>
        </row>
        <row r="17221">
          <cell r="P17221">
            <v>0</v>
          </cell>
        </row>
        <row r="17222">
          <cell r="P17222">
            <v>0</v>
          </cell>
        </row>
        <row r="17223">
          <cell r="P17223">
            <v>0</v>
          </cell>
        </row>
        <row r="17224">
          <cell r="P17224">
            <v>0</v>
          </cell>
        </row>
        <row r="17225">
          <cell r="P17225">
            <v>0</v>
          </cell>
        </row>
        <row r="17226">
          <cell r="P17226">
            <v>0</v>
          </cell>
        </row>
        <row r="17227">
          <cell r="P17227">
            <v>0</v>
          </cell>
        </row>
        <row r="17228">
          <cell r="P17228">
            <v>0</v>
          </cell>
        </row>
        <row r="17229">
          <cell r="P17229">
            <v>0</v>
          </cell>
        </row>
        <row r="17230">
          <cell r="P17230">
            <v>0</v>
          </cell>
        </row>
        <row r="17231">
          <cell r="P17231">
            <v>0</v>
          </cell>
        </row>
        <row r="17232">
          <cell r="P17232">
            <v>0</v>
          </cell>
        </row>
        <row r="17233">
          <cell r="P17233">
            <v>0</v>
          </cell>
        </row>
        <row r="17234">
          <cell r="P17234">
            <v>0</v>
          </cell>
        </row>
        <row r="17235">
          <cell r="P17235">
            <v>0</v>
          </cell>
        </row>
        <row r="17236">
          <cell r="P17236">
            <v>0</v>
          </cell>
        </row>
        <row r="17237">
          <cell r="P17237">
            <v>0</v>
          </cell>
        </row>
        <row r="17238">
          <cell r="P17238">
            <v>0</v>
          </cell>
        </row>
        <row r="17239">
          <cell r="P17239">
            <v>0</v>
          </cell>
        </row>
        <row r="17240">
          <cell r="P17240">
            <v>0</v>
          </cell>
        </row>
        <row r="17241">
          <cell r="P17241">
            <v>0</v>
          </cell>
        </row>
        <row r="17242">
          <cell r="P17242">
            <v>0</v>
          </cell>
        </row>
        <row r="17243">
          <cell r="P17243">
            <v>0</v>
          </cell>
        </row>
        <row r="17244">
          <cell r="P17244">
            <v>0</v>
          </cell>
        </row>
        <row r="17245">
          <cell r="P17245">
            <v>0</v>
          </cell>
        </row>
        <row r="17246">
          <cell r="P17246">
            <v>0</v>
          </cell>
        </row>
        <row r="17247">
          <cell r="P17247">
            <v>0</v>
          </cell>
        </row>
        <row r="17248">
          <cell r="P17248">
            <v>0</v>
          </cell>
        </row>
        <row r="17249">
          <cell r="P17249">
            <v>0</v>
          </cell>
        </row>
        <row r="17250">
          <cell r="P17250">
            <v>0</v>
          </cell>
        </row>
        <row r="17251">
          <cell r="P17251">
            <v>0</v>
          </cell>
        </row>
        <row r="17252">
          <cell r="P17252">
            <v>0</v>
          </cell>
        </row>
        <row r="17253">
          <cell r="P17253">
            <v>0</v>
          </cell>
        </row>
        <row r="17254">
          <cell r="P17254">
            <v>0</v>
          </cell>
        </row>
        <row r="17255">
          <cell r="P17255">
            <v>0</v>
          </cell>
        </row>
        <row r="17256">
          <cell r="P17256">
            <v>0</v>
          </cell>
        </row>
        <row r="17257">
          <cell r="P17257">
            <v>0</v>
          </cell>
        </row>
        <row r="17258">
          <cell r="P17258">
            <v>0</v>
          </cell>
        </row>
        <row r="17259">
          <cell r="P17259">
            <v>0</v>
          </cell>
        </row>
        <row r="17260">
          <cell r="P17260">
            <v>0</v>
          </cell>
        </row>
        <row r="17261">
          <cell r="P17261">
            <v>0</v>
          </cell>
        </row>
        <row r="17262">
          <cell r="P17262">
            <v>0</v>
          </cell>
        </row>
        <row r="17263">
          <cell r="P17263">
            <v>0</v>
          </cell>
        </row>
        <row r="17264">
          <cell r="P17264">
            <v>0</v>
          </cell>
        </row>
        <row r="17265">
          <cell r="P17265">
            <v>0</v>
          </cell>
        </row>
        <row r="17266">
          <cell r="P17266">
            <v>0</v>
          </cell>
        </row>
        <row r="17267">
          <cell r="P17267">
            <v>0</v>
          </cell>
        </row>
        <row r="17268">
          <cell r="P17268">
            <v>0</v>
          </cell>
        </row>
        <row r="17269">
          <cell r="P17269">
            <v>0</v>
          </cell>
        </row>
        <row r="17270">
          <cell r="P17270">
            <v>0</v>
          </cell>
        </row>
        <row r="17271">
          <cell r="P17271">
            <v>0</v>
          </cell>
        </row>
        <row r="17272">
          <cell r="P17272">
            <v>0</v>
          </cell>
        </row>
        <row r="17273">
          <cell r="P17273">
            <v>0</v>
          </cell>
        </row>
        <row r="17274">
          <cell r="P17274">
            <v>0</v>
          </cell>
        </row>
        <row r="17275">
          <cell r="P17275">
            <v>0</v>
          </cell>
        </row>
        <row r="17276">
          <cell r="P17276">
            <v>0</v>
          </cell>
        </row>
        <row r="17277">
          <cell r="P17277">
            <v>0</v>
          </cell>
        </row>
        <row r="17278">
          <cell r="P17278">
            <v>0</v>
          </cell>
        </row>
        <row r="17279">
          <cell r="P17279">
            <v>0</v>
          </cell>
        </row>
        <row r="17280">
          <cell r="P17280">
            <v>0</v>
          </cell>
        </row>
        <row r="17281">
          <cell r="P17281">
            <v>0</v>
          </cell>
        </row>
        <row r="17282">
          <cell r="P17282">
            <v>0</v>
          </cell>
        </row>
        <row r="17283">
          <cell r="P17283">
            <v>0</v>
          </cell>
        </row>
        <row r="17284">
          <cell r="P17284">
            <v>0</v>
          </cell>
        </row>
        <row r="17285">
          <cell r="P17285">
            <v>0</v>
          </cell>
        </row>
        <row r="17286">
          <cell r="P17286">
            <v>0</v>
          </cell>
        </row>
        <row r="17287">
          <cell r="P17287">
            <v>0</v>
          </cell>
        </row>
        <row r="17288">
          <cell r="P17288">
            <v>0</v>
          </cell>
        </row>
        <row r="17289">
          <cell r="P17289">
            <v>0</v>
          </cell>
        </row>
        <row r="17290">
          <cell r="P17290">
            <v>0</v>
          </cell>
        </row>
        <row r="17291">
          <cell r="P17291">
            <v>0</v>
          </cell>
        </row>
        <row r="17292">
          <cell r="P17292">
            <v>0</v>
          </cell>
        </row>
        <row r="17293">
          <cell r="P17293">
            <v>0</v>
          </cell>
        </row>
        <row r="17294">
          <cell r="P17294">
            <v>0</v>
          </cell>
        </row>
        <row r="17295">
          <cell r="P17295">
            <v>0</v>
          </cell>
        </row>
        <row r="17296">
          <cell r="P17296">
            <v>0</v>
          </cell>
        </row>
        <row r="17297">
          <cell r="P17297">
            <v>0</v>
          </cell>
        </row>
        <row r="17298">
          <cell r="P17298">
            <v>0</v>
          </cell>
        </row>
        <row r="17299">
          <cell r="P17299">
            <v>0</v>
          </cell>
        </row>
        <row r="17300">
          <cell r="P17300">
            <v>0</v>
          </cell>
        </row>
        <row r="17301">
          <cell r="P17301">
            <v>0</v>
          </cell>
        </row>
        <row r="17302">
          <cell r="P17302">
            <v>0</v>
          </cell>
        </row>
        <row r="17303">
          <cell r="P17303">
            <v>0</v>
          </cell>
        </row>
        <row r="17304">
          <cell r="P17304">
            <v>0</v>
          </cell>
        </row>
        <row r="17305">
          <cell r="P17305">
            <v>0</v>
          </cell>
        </row>
        <row r="17306">
          <cell r="P17306">
            <v>0</v>
          </cell>
        </row>
        <row r="17307">
          <cell r="P17307">
            <v>0</v>
          </cell>
        </row>
        <row r="17308">
          <cell r="P17308">
            <v>0</v>
          </cell>
        </row>
        <row r="17309">
          <cell r="P17309">
            <v>0</v>
          </cell>
        </row>
        <row r="17310">
          <cell r="P17310">
            <v>0</v>
          </cell>
        </row>
        <row r="17311">
          <cell r="P17311">
            <v>0</v>
          </cell>
        </row>
        <row r="17312">
          <cell r="P17312">
            <v>0</v>
          </cell>
        </row>
        <row r="17313">
          <cell r="P17313">
            <v>0</v>
          </cell>
        </row>
        <row r="17314">
          <cell r="P17314">
            <v>0</v>
          </cell>
        </row>
        <row r="17315">
          <cell r="P17315">
            <v>0</v>
          </cell>
        </row>
        <row r="17316">
          <cell r="P17316">
            <v>0</v>
          </cell>
        </row>
        <row r="17317">
          <cell r="P17317">
            <v>0</v>
          </cell>
        </row>
        <row r="17318">
          <cell r="P17318">
            <v>0</v>
          </cell>
        </row>
        <row r="17319">
          <cell r="P17319">
            <v>0</v>
          </cell>
        </row>
        <row r="17320">
          <cell r="P17320">
            <v>0</v>
          </cell>
        </row>
        <row r="17321">
          <cell r="P17321">
            <v>0</v>
          </cell>
        </row>
        <row r="17322">
          <cell r="P17322">
            <v>0</v>
          </cell>
        </row>
        <row r="17323">
          <cell r="P17323">
            <v>0</v>
          </cell>
        </row>
        <row r="17324">
          <cell r="P17324">
            <v>0</v>
          </cell>
        </row>
        <row r="17325">
          <cell r="P17325">
            <v>0</v>
          </cell>
        </row>
        <row r="17326">
          <cell r="P17326">
            <v>0</v>
          </cell>
        </row>
        <row r="17327">
          <cell r="P17327">
            <v>0</v>
          </cell>
        </row>
        <row r="17328">
          <cell r="P17328">
            <v>0</v>
          </cell>
        </row>
        <row r="17329">
          <cell r="P17329">
            <v>0</v>
          </cell>
        </row>
        <row r="17330">
          <cell r="P17330">
            <v>0</v>
          </cell>
        </row>
        <row r="17331">
          <cell r="P17331">
            <v>0</v>
          </cell>
        </row>
        <row r="17332">
          <cell r="P17332">
            <v>0</v>
          </cell>
        </row>
        <row r="17333">
          <cell r="P17333">
            <v>0</v>
          </cell>
        </row>
        <row r="17334">
          <cell r="P17334">
            <v>0</v>
          </cell>
        </row>
        <row r="17335">
          <cell r="P17335">
            <v>0</v>
          </cell>
        </row>
        <row r="17336">
          <cell r="P17336">
            <v>0</v>
          </cell>
        </row>
        <row r="17337">
          <cell r="P17337">
            <v>0</v>
          </cell>
        </row>
        <row r="17338">
          <cell r="P17338">
            <v>0</v>
          </cell>
        </row>
        <row r="17339">
          <cell r="P17339">
            <v>0</v>
          </cell>
        </row>
        <row r="17340">
          <cell r="P17340">
            <v>0</v>
          </cell>
        </row>
        <row r="17341">
          <cell r="P17341">
            <v>0</v>
          </cell>
        </row>
        <row r="17342">
          <cell r="P17342">
            <v>0</v>
          </cell>
        </row>
        <row r="17343">
          <cell r="P17343">
            <v>0</v>
          </cell>
        </row>
        <row r="17344">
          <cell r="P17344">
            <v>0</v>
          </cell>
        </row>
        <row r="17345">
          <cell r="P17345">
            <v>0</v>
          </cell>
        </row>
        <row r="17346">
          <cell r="P17346">
            <v>0</v>
          </cell>
        </row>
        <row r="17347">
          <cell r="P17347">
            <v>0</v>
          </cell>
        </row>
        <row r="17348">
          <cell r="P17348">
            <v>0</v>
          </cell>
        </row>
        <row r="17349">
          <cell r="P17349">
            <v>0</v>
          </cell>
        </row>
        <row r="17350">
          <cell r="P17350">
            <v>0</v>
          </cell>
        </row>
        <row r="17351">
          <cell r="P17351">
            <v>0</v>
          </cell>
        </row>
        <row r="17352">
          <cell r="P17352">
            <v>0</v>
          </cell>
        </row>
        <row r="17353">
          <cell r="P17353">
            <v>0</v>
          </cell>
        </row>
        <row r="17354">
          <cell r="P17354">
            <v>0</v>
          </cell>
        </row>
        <row r="17355">
          <cell r="P17355">
            <v>0</v>
          </cell>
        </row>
        <row r="17356">
          <cell r="P17356">
            <v>0</v>
          </cell>
        </row>
        <row r="17357">
          <cell r="P17357">
            <v>0</v>
          </cell>
        </row>
        <row r="17358">
          <cell r="P17358">
            <v>0</v>
          </cell>
        </row>
        <row r="17359">
          <cell r="P17359">
            <v>0</v>
          </cell>
        </row>
        <row r="17360">
          <cell r="P17360">
            <v>0</v>
          </cell>
        </row>
        <row r="17361">
          <cell r="P17361">
            <v>0</v>
          </cell>
        </row>
        <row r="17362">
          <cell r="P17362">
            <v>0</v>
          </cell>
        </row>
        <row r="17363">
          <cell r="P17363">
            <v>0</v>
          </cell>
        </row>
        <row r="17364">
          <cell r="P17364">
            <v>0</v>
          </cell>
        </row>
        <row r="17365">
          <cell r="P17365">
            <v>0</v>
          </cell>
        </row>
        <row r="17366">
          <cell r="P17366">
            <v>0</v>
          </cell>
        </row>
        <row r="17367">
          <cell r="P17367">
            <v>0</v>
          </cell>
        </row>
        <row r="17368">
          <cell r="P17368">
            <v>0</v>
          </cell>
        </row>
        <row r="17369">
          <cell r="P17369">
            <v>0</v>
          </cell>
        </row>
        <row r="17370">
          <cell r="P17370">
            <v>0</v>
          </cell>
        </row>
        <row r="17371">
          <cell r="P17371">
            <v>0</v>
          </cell>
        </row>
        <row r="17372">
          <cell r="P17372">
            <v>0</v>
          </cell>
        </row>
        <row r="17373">
          <cell r="P17373">
            <v>0</v>
          </cell>
        </row>
        <row r="17374">
          <cell r="P17374">
            <v>0</v>
          </cell>
        </row>
        <row r="17375">
          <cell r="P17375">
            <v>0</v>
          </cell>
        </row>
        <row r="17376">
          <cell r="P17376">
            <v>0</v>
          </cell>
        </row>
        <row r="17377">
          <cell r="P17377">
            <v>0</v>
          </cell>
        </row>
        <row r="17378">
          <cell r="P17378">
            <v>0</v>
          </cell>
        </row>
        <row r="17379">
          <cell r="P17379">
            <v>0</v>
          </cell>
        </row>
        <row r="17380">
          <cell r="P17380">
            <v>0</v>
          </cell>
        </row>
        <row r="17381">
          <cell r="P17381">
            <v>0</v>
          </cell>
        </row>
        <row r="17382">
          <cell r="P17382">
            <v>0</v>
          </cell>
        </row>
        <row r="17383">
          <cell r="P17383">
            <v>0</v>
          </cell>
        </row>
        <row r="17384">
          <cell r="P17384">
            <v>0</v>
          </cell>
        </row>
        <row r="17385">
          <cell r="P17385">
            <v>0</v>
          </cell>
        </row>
        <row r="17386">
          <cell r="P17386">
            <v>0</v>
          </cell>
        </row>
        <row r="17387">
          <cell r="P17387">
            <v>0</v>
          </cell>
        </row>
        <row r="17388">
          <cell r="P17388">
            <v>0</v>
          </cell>
        </row>
        <row r="17389">
          <cell r="P17389">
            <v>0</v>
          </cell>
        </row>
        <row r="17390">
          <cell r="P17390">
            <v>0</v>
          </cell>
        </row>
        <row r="17391">
          <cell r="P17391">
            <v>0</v>
          </cell>
        </row>
        <row r="17392">
          <cell r="P17392">
            <v>0</v>
          </cell>
        </row>
        <row r="17393">
          <cell r="P17393">
            <v>0</v>
          </cell>
        </row>
        <row r="17394">
          <cell r="P17394">
            <v>0</v>
          </cell>
        </row>
        <row r="17395">
          <cell r="P17395">
            <v>0</v>
          </cell>
        </row>
        <row r="17396">
          <cell r="P17396">
            <v>0</v>
          </cell>
        </row>
        <row r="17397">
          <cell r="P17397">
            <v>0</v>
          </cell>
        </row>
        <row r="17398">
          <cell r="P17398">
            <v>0</v>
          </cell>
        </row>
        <row r="17399">
          <cell r="P17399">
            <v>0</v>
          </cell>
        </row>
        <row r="17400">
          <cell r="P17400">
            <v>0</v>
          </cell>
        </row>
        <row r="17401">
          <cell r="P17401">
            <v>0</v>
          </cell>
        </row>
        <row r="17402">
          <cell r="P17402">
            <v>0</v>
          </cell>
        </row>
        <row r="17403">
          <cell r="P17403">
            <v>0</v>
          </cell>
        </row>
        <row r="17404">
          <cell r="P17404">
            <v>0</v>
          </cell>
        </row>
        <row r="17405">
          <cell r="P17405">
            <v>0</v>
          </cell>
        </row>
        <row r="17406">
          <cell r="P17406">
            <v>0</v>
          </cell>
        </row>
        <row r="17407">
          <cell r="P17407">
            <v>0</v>
          </cell>
        </row>
        <row r="17408">
          <cell r="P17408">
            <v>0</v>
          </cell>
        </row>
        <row r="17409">
          <cell r="P17409">
            <v>0</v>
          </cell>
        </row>
        <row r="17410">
          <cell r="P17410">
            <v>0</v>
          </cell>
        </row>
        <row r="17411">
          <cell r="P17411">
            <v>0</v>
          </cell>
        </row>
        <row r="17412">
          <cell r="P17412">
            <v>0</v>
          </cell>
        </row>
        <row r="17413">
          <cell r="P17413">
            <v>0</v>
          </cell>
        </row>
        <row r="17414">
          <cell r="P17414">
            <v>0</v>
          </cell>
        </row>
        <row r="17415">
          <cell r="P17415">
            <v>0</v>
          </cell>
        </row>
        <row r="17416">
          <cell r="P17416">
            <v>0</v>
          </cell>
        </row>
        <row r="17417">
          <cell r="P17417">
            <v>0</v>
          </cell>
        </row>
        <row r="17418">
          <cell r="P17418">
            <v>0</v>
          </cell>
        </row>
        <row r="17419">
          <cell r="P17419">
            <v>0</v>
          </cell>
        </row>
        <row r="17420">
          <cell r="P17420">
            <v>0</v>
          </cell>
        </row>
        <row r="17421">
          <cell r="P17421">
            <v>0</v>
          </cell>
        </row>
        <row r="17422">
          <cell r="P17422">
            <v>0</v>
          </cell>
        </row>
        <row r="17423">
          <cell r="P17423">
            <v>0</v>
          </cell>
        </row>
        <row r="17424">
          <cell r="P17424">
            <v>0</v>
          </cell>
        </row>
        <row r="17425">
          <cell r="P17425">
            <v>0</v>
          </cell>
        </row>
        <row r="17426">
          <cell r="P17426">
            <v>0</v>
          </cell>
        </row>
        <row r="17427">
          <cell r="P17427">
            <v>0</v>
          </cell>
        </row>
        <row r="17428">
          <cell r="P17428">
            <v>0</v>
          </cell>
        </row>
        <row r="17429">
          <cell r="P17429">
            <v>0</v>
          </cell>
        </row>
        <row r="17430">
          <cell r="P17430">
            <v>63.44</v>
          </cell>
        </row>
        <row r="17431">
          <cell r="P17431">
            <v>63.44</v>
          </cell>
        </row>
        <row r="17432">
          <cell r="P17432">
            <v>2.90368</v>
          </cell>
        </row>
        <row r="17433">
          <cell r="P17433">
            <v>915.2</v>
          </cell>
        </row>
        <row r="17434">
          <cell r="P17434">
            <v>3.6524799999999997</v>
          </cell>
        </row>
        <row r="17435">
          <cell r="P17435">
            <v>208</v>
          </cell>
        </row>
        <row r="17436">
          <cell r="P17436">
            <v>62.4</v>
          </cell>
        </row>
        <row r="17437">
          <cell r="P17437">
            <v>1.04</v>
          </cell>
        </row>
        <row r="17438">
          <cell r="P17438">
            <v>0</v>
          </cell>
        </row>
        <row r="17439">
          <cell r="P17439">
            <v>0</v>
          </cell>
        </row>
        <row r="17440">
          <cell r="P17440">
            <v>0</v>
          </cell>
        </row>
        <row r="17441">
          <cell r="P17441">
            <v>0</v>
          </cell>
        </row>
        <row r="17442">
          <cell r="P17442">
            <v>0</v>
          </cell>
        </row>
        <row r="17443">
          <cell r="P17443">
            <v>0</v>
          </cell>
        </row>
        <row r="17444">
          <cell r="P17444">
            <v>0</v>
          </cell>
        </row>
        <row r="17445">
          <cell r="P17445">
            <v>0</v>
          </cell>
        </row>
        <row r="17446">
          <cell r="P17446">
            <v>0</v>
          </cell>
        </row>
        <row r="17447">
          <cell r="P17447">
            <v>0</v>
          </cell>
        </row>
        <row r="17448">
          <cell r="P17448">
            <v>0</v>
          </cell>
        </row>
        <row r="17449">
          <cell r="P17449">
            <v>0</v>
          </cell>
        </row>
        <row r="17450">
          <cell r="P17450">
            <v>0</v>
          </cell>
        </row>
        <row r="17451">
          <cell r="P17451">
            <v>0</v>
          </cell>
        </row>
        <row r="17452">
          <cell r="P17452">
            <v>0</v>
          </cell>
        </row>
        <row r="17453">
          <cell r="P17453">
            <v>0</v>
          </cell>
        </row>
        <row r="17454">
          <cell r="P17454">
            <v>0</v>
          </cell>
        </row>
        <row r="17455">
          <cell r="P17455">
            <v>0</v>
          </cell>
        </row>
        <row r="17456">
          <cell r="P17456">
            <v>0</v>
          </cell>
        </row>
        <row r="17457">
          <cell r="P17457">
            <v>0</v>
          </cell>
        </row>
        <row r="17458">
          <cell r="P17458">
            <v>0</v>
          </cell>
        </row>
        <row r="17459">
          <cell r="P17459">
            <v>0</v>
          </cell>
        </row>
        <row r="17460">
          <cell r="P17460">
            <v>0</v>
          </cell>
        </row>
        <row r="17461">
          <cell r="P17461">
            <v>0</v>
          </cell>
        </row>
        <row r="17462">
          <cell r="P17462">
            <v>0</v>
          </cell>
        </row>
        <row r="17463">
          <cell r="P17463">
            <v>0</v>
          </cell>
        </row>
        <row r="17464">
          <cell r="P17464">
            <v>0</v>
          </cell>
        </row>
        <row r="17465">
          <cell r="P17465">
            <v>0</v>
          </cell>
        </row>
        <row r="17466">
          <cell r="P17466">
            <v>0</v>
          </cell>
        </row>
        <row r="17467">
          <cell r="P17467">
            <v>0</v>
          </cell>
        </row>
        <row r="17468">
          <cell r="P17468">
            <v>0</v>
          </cell>
        </row>
        <row r="17469">
          <cell r="P17469">
            <v>0</v>
          </cell>
        </row>
        <row r="17470">
          <cell r="P17470">
            <v>0</v>
          </cell>
        </row>
        <row r="17471">
          <cell r="P17471">
            <v>0</v>
          </cell>
        </row>
        <row r="17472">
          <cell r="P17472">
            <v>0</v>
          </cell>
        </row>
        <row r="17473">
          <cell r="P17473">
            <v>0</v>
          </cell>
        </row>
        <row r="17474">
          <cell r="P17474">
            <v>0</v>
          </cell>
        </row>
        <row r="17475">
          <cell r="P17475">
            <v>0</v>
          </cell>
        </row>
        <row r="17476">
          <cell r="P17476">
            <v>0</v>
          </cell>
        </row>
        <row r="17477">
          <cell r="P17477">
            <v>0</v>
          </cell>
        </row>
        <row r="17478">
          <cell r="P17478">
            <v>0</v>
          </cell>
        </row>
        <row r="17479">
          <cell r="P17479">
            <v>0</v>
          </cell>
        </row>
        <row r="17480">
          <cell r="P17480">
            <v>0</v>
          </cell>
        </row>
        <row r="17481">
          <cell r="P17481">
            <v>0</v>
          </cell>
        </row>
        <row r="17482">
          <cell r="P17482">
            <v>0</v>
          </cell>
        </row>
        <row r="17483">
          <cell r="P17483">
            <v>0</v>
          </cell>
        </row>
        <row r="17484">
          <cell r="P17484">
            <v>0</v>
          </cell>
        </row>
        <row r="17485">
          <cell r="P17485">
            <v>0</v>
          </cell>
        </row>
        <row r="17486">
          <cell r="P17486">
            <v>0</v>
          </cell>
        </row>
        <row r="17487">
          <cell r="P17487">
            <v>0</v>
          </cell>
        </row>
        <row r="17488">
          <cell r="P17488">
            <v>0</v>
          </cell>
        </row>
        <row r="17489">
          <cell r="P17489">
            <v>0</v>
          </cell>
        </row>
        <row r="17490">
          <cell r="P17490">
            <v>0</v>
          </cell>
        </row>
        <row r="17491">
          <cell r="P17491">
            <v>0</v>
          </cell>
        </row>
        <row r="17492">
          <cell r="P17492">
            <v>0</v>
          </cell>
        </row>
        <row r="17493">
          <cell r="P17493">
            <v>0</v>
          </cell>
        </row>
        <row r="17494">
          <cell r="P17494">
            <v>0</v>
          </cell>
        </row>
        <row r="17495">
          <cell r="P17495">
            <v>0</v>
          </cell>
        </row>
        <row r="17496">
          <cell r="P17496">
            <v>0</v>
          </cell>
        </row>
        <row r="17497">
          <cell r="P17497">
            <v>0</v>
          </cell>
        </row>
        <row r="17498">
          <cell r="P17498">
            <v>0</v>
          </cell>
        </row>
        <row r="17499">
          <cell r="P17499">
            <v>0</v>
          </cell>
        </row>
        <row r="17500">
          <cell r="P17500">
            <v>0</v>
          </cell>
        </row>
        <row r="17501">
          <cell r="P17501">
            <v>0</v>
          </cell>
        </row>
        <row r="17502">
          <cell r="P17502">
            <v>0</v>
          </cell>
        </row>
        <row r="17503">
          <cell r="P17503">
            <v>0</v>
          </cell>
        </row>
        <row r="17504">
          <cell r="P17504">
            <v>0</v>
          </cell>
        </row>
        <row r="17505">
          <cell r="P17505">
            <v>0</v>
          </cell>
        </row>
        <row r="17506">
          <cell r="P17506">
            <v>0</v>
          </cell>
        </row>
        <row r="17507">
          <cell r="P17507">
            <v>0</v>
          </cell>
        </row>
        <row r="17508">
          <cell r="P17508">
            <v>0</v>
          </cell>
        </row>
        <row r="17509">
          <cell r="P17509">
            <v>0</v>
          </cell>
        </row>
        <row r="17510">
          <cell r="P17510">
            <v>0</v>
          </cell>
        </row>
        <row r="17511">
          <cell r="P17511">
            <v>0</v>
          </cell>
        </row>
        <row r="17512">
          <cell r="P17512">
            <v>0</v>
          </cell>
        </row>
        <row r="17513">
          <cell r="P17513">
            <v>0</v>
          </cell>
        </row>
        <row r="17514">
          <cell r="P17514">
            <v>0</v>
          </cell>
        </row>
        <row r="17515">
          <cell r="P17515">
            <v>0</v>
          </cell>
        </row>
        <row r="17516">
          <cell r="P17516">
            <v>0</v>
          </cell>
        </row>
        <row r="17517">
          <cell r="P17517">
            <v>0</v>
          </cell>
        </row>
        <row r="17518">
          <cell r="P17518">
            <v>0</v>
          </cell>
        </row>
        <row r="17519">
          <cell r="P17519">
            <v>0</v>
          </cell>
        </row>
        <row r="17520">
          <cell r="P17520">
            <v>0</v>
          </cell>
        </row>
        <row r="17521">
          <cell r="P17521">
            <v>0</v>
          </cell>
        </row>
        <row r="17522">
          <cell r="P17522">
            <v>0</v>
          </cell>
        </row>
        <row r="17523">
          <cell r="P17523">
            <v>0</v>
          </cell>
        </row>
        <row r="17524">
          <cell r="P17524">
            <v>0</v>
          </cell>
        </row>
        <row r="17525">
          <cell r="P17525">
            <v>0</v>
          </cell>
        </row>
        <row r="17526">
          <cell r="P17526">
            <v>0</v>
          </cell>
        </row>
        <row r="17527">
          <cell r="P17527">
            <v>0</v>
          </cell>
        </row>
        <row r="17528">
          <cell r="P17528">
            <v>0</v>
          </cell>
        </row>
        <row r="17529">
          <cell r="P17529">
            <v>0</v>
          </cell>
        </row>
        <row r="17530">
          <cell r="P17530">
            <v>0</v>
          </cell>
        </row>
        <row r="17531">
          <cell r="P17531">
            <v>0</v>
          </cell>
        </row>
        <row r="17532">
          <cell r="P17532">
            <v>0</v>
          </cell>
        </row>
        <row r="17533">
          <cell r="P17533">
            <v>0</v>
          </cell>
        </row>
        <row r="17534">
          <cell r="P17534">
            <v>0</v>
          </cell>
        </row>
        <row r="17535">
          <cell r="P17535">
            <v>0</v>
          </cell>
        </row>
        <row r="17536">
          <cell r="P17536">
            <v>0</v>
          </cell>
        </row>
        <row r="17537">
          <cell r="P17537">
            <v>0</v>
          </cell>
        </row>
        <row r="17538">
          <cell r="P17538">
            <v>0</v>
          </cell>
        </row>
        <row r="17539">
          <cell r="P17539">
            <v>0</v>
          </cell>
        </row>
        <row r="17540">
          <cell r="P17540">
            <v>0</v>
          </cell>
        </row>
        <row r="17541">
          <cell r="P17541">
            <v>0</v>
          </cell>
        </row>
        <row r="17542">
          <cell r="P17542">
            <v>0</v>
          </cell>
        </row>
        <row r="17543">
          <cell r="P17543">
            <v>0</v>
          </cell>
        </row>
        <row r="17544">
          <cell r="P17544">
            <v>0</v>
          </cell>
        </row>
        <row r="17545">
          <cell r="P17545">
            <v>0</v>
          </cell>
        </row>
        <row r="17546">
          <cell r="P17546">
            <v>0</v>
          </cell>
        </row>
        <row r="17547">
          <cell r="P17547">
            <v>0</v>
          </cell>
        </row>
        <row r="17548">
          <cell r="P17548">
            <v>0</v>
          </cell>
        </row>
        <row r="17549">
          <cell r="P17549">
            <v>0</v>
          </cell>
        </row>
        <row r="17550">
          <cell r="P17550">
            <v>0</v>
          </cell>
        </row>
        <row r="17551">
          <cell r="P17551">
            <v>0</v>
          </cell>
        </row>
        <row r="17552">
          <cell r="P17552">
            <v>0</v>
          </cell>
        </row>
        <row r="17553">
          <cell r="P17553">
            <v>0</v>
          </cell>
        </row>
        <row r="17554">
          <cell r="P17554">
            <v>0</v>
          </cell>
        </row>
        <row r="17555">
          <cell r="P17555">
            <v>0</v>
          </cell>
        </row>
        <row r="17556">
          <cell r="P17556">
            <v>0</v>
          </cell>
        </row>
        <row r="17557">
          <cell r="P17557">
            <v>0</v>
          </cell>
        </row>
        <row r="17558">
          <cell r="P17558">
            <v>0</v>
          </cell>
        </row>
        <row r="17559">
          <cell r="P17559">
            <v>0</v>
          </cell>
        </row>
        <row r="17560">
          <cell r="P17560">
            <v>0</v>
          </cell>
        </row>
        <row r="17561">
          <cell r="P17561">
            <v>0</v>
          </cell>
        </row>
        <row r="17562">
          <cell r="P17562">
            <v>0</v>
          </cell>
        </row>
        <row r="17563">
          <cell r="P17563">
            <v>0</v>
          </cell>
        </row>
        <row r="17564">
          <cell r="P17564">
            <v>0</v>
          </cell>
        </row>
        <row r="17565">
          <cell r="P17565">
            <v>0</v>
          </cell>
        </row>
        <row r="17566">
          <cell r="P17566">
            <v>0</v>
          </cell>
        </row>
        <row r="17567">
          <cell r="P17567">
            <v>0</v>
          </cell>
        </row>
        <row r="17568">
          <cell r="P17568">
            <v>0</v>
          </cell>
        </row>
        <row r="17569">
          <cell r="P17569">
            <v>0</v>
          </cell>
        </row>
        <row r="17570">
          <cell r="P17570">
            <v>0</v>
          </cell>
        </row>
        <row r="17571">
          <cell r="P17571">
            <v>0</v>
          </cell>
        </row>
        <row r="17572">
          <cell r="P17572">
            <v>0</v>
          </cell>
        </row>
        <row r="17573">
          <cell r="P17573">
            <v>0</v>
          </cell>
        </row>
        <row r="17574">
          <cell r="P17574">
            <v>0</v>
          </cell>
        </row>
        <row r="17575">
          <cell r="P17575">
            <v>0</v>
          </cell>
        </row>
        <row r="17576">
          <cell r="P17576">
            <v>0</v>
          </cell>
        </row>
        <row r="17577">
          <cell r="P17577">
            <v>0</v>
          </cell>
        </row>
        <row r="17578">
          <cell r="P17578">
            <v>0</v>
          </cell>
        </row>
        <row r="17579">
          <cell r="P17579">
            <v>0</v>
          </cell>
        </row>
        <row r="17580">
          <cell r="P17580">
            <v>0</v>
          </cell>
        </row>
        <row r="17581">
          <cell r="P17581">
            <v>0</v>
          </cell>
        </row>
        <row r="17582">
          <cell r="P17582">
            <v>0</v>
          </cell>
        </row>
        <row r="17583">
          <cell r="P17583">
            <v>0</v>
          </cell>
        </row>
        <row r="17584">
          <cell r="P17584">
            <v>0</v>
          </cell>
        </row>
        <row r="17585">
          <cell r="P17585">
            <v>0</v>
          </cell>
        </row>
        <row r="17586">
          <cell r="P17586">
            <v>0</v>
          </cell>
        </row>
        <row r="17587">
          <cell r="P17587">
            <v>0</v>
          </cell>
        </row>
        <row r="17588">
          <cell r="P17588">
            <v>0</v>
          </cell>
        </row>
        <row r="17589">
          <cell r="P17589">
            <v>0</v>
          </cell>
        </row>
        <row r="17590">
          <cell r="P17590">
            <v>0</v>
          </cell>
        </row>
        <row r="17591">
          <cell r="P17591">
            <v>0</v>
          </cell>
        </row>
        <row r="17592">
          <cell r="P17592">
            <v>0</v>
          </cell>
        </row>
        <row r="17593">
          <cell r="P17593">
            <v>0</v>
          </cell>
        </row>
        <row r="17594">
          <cell r="P17594">
            <v>0</v>
          </cell>
        </row>
        <row r="17595">
          <cell r="P17595">
            <v>0</v>
          </cell>
        </row>
        <row r="17596">
          <cell r="P17596">
            <v>0</v>
          </cell>
        </row>
        <row r="17597">
          <cell r="P17597">
            <v>0</v>
          </cell>
        </row>
        <row r="17598">
          <cell r="P17598">
            <v>0</v>
          </cell>
        </row>
        <row r="17599">
          <cell r="P17599">
            <v>0</v>
          </cell>
        </row>
        <row r="17600">
          <cell r="P17600">
            <v>0</v>
          </cell>
        </row>
        <row r="17601">
          <cell r="P17601">
            <v>0</v>
          </cell>
        </row>
        <row r="17602">
          <cell r="P17602">
            <v>0</v>
          </cell>
        </row>
        <row r="17603">
          <cell r="P17603">
            <v>0</v>
          </cell>
        </row>
        <row r="17604">
          <cell r="P17604">
            <v>0</v>
          </cell>
        </row>
        <row r="17605">
          <cell r="P17605">
            <v>0</v>
          </cell>
        </row>
        <row r="17606">
          <cell r="P17606">
            <v>0</v>
          </cell>
        </row>
        <row r="17607">
          <cell r="P17607">
            <v>0</v>
          </cell>
        </row>
        <row r="17608">
          <cell r="P17608">
            <v>0</v>
          </cell>
        </row>
        <row r="17609">
          <cell r="P17609">
            <v>0</v>
          </cell>
        </row>
        <row r="17610">
          <cell r="P17610">
            <v>0</v>
          </cell>
        </row>
        <row r="17611">
          <cell r="P17611">
            <v>0</v>
          </cell>
        </row>
        <row r="17612">
          <cell r="P17612">
            <v>0</v>
          </cell>
        </row>
        <row r="17613">
          <cell r="P17613">
            <v>0</v>
          </cell>
        </row>
        <row r="17614">
          <cell r="P17614">
            <v>0</v>
          </cell>
        </row>
        <row r="17615">
          <cell r="P17615">
            <v>0</v>
          </cell>
        </row>
        <row r="17616">
          <cell r="P17616">
            <v>0</v>
          </cell>
        </row>
        <row r="17617">
          <cell r="P17617">
            <v>0</v>
          </cell>
        </row>
        <row r="17618">
          <cell r="P17618">
            <v>0</v>
          </cell>
        </row>
        <row r="17619">
          <cell r="P17619">
            <v>0</v>
          </cell>
        </row>
        <row r="17620">
          <cell r="P17620">
            <v>0</v>
          </cell>
        </row>
        <row r="17621">
          <cell r="P17621">
            <v>0</v>
          </cell>
        </row>
        <row r="17622">
          <cell r="P17622">
            <v>0</v>
          </cell>
        </row>
        <row r="17623">
          <cell r="P17623">
            <v>0</v>
          </cell>
        </row>
        <row r="17624">
          <cell r="P17624">
            <v>0</v>
          </cell>
        </row>
        <row r="17625">
          <cell r="P17625">
            <v>0</v>
          </cell>
        </row>
        <row r="17626">
          <cell r="P17626">
            <v>0</v>
          </cell>
        </row>
        <row r="17627">
          <cell r="P17627">
            <v>0</v>
          </cell>
        </row>
        <row r="17628">
          <cell r="P17628">
            <v>0</v>
          </cell>
        </row>
        <row r="17629">
          <cell r="P17629">
            <v>0</v>
          </cell>
        </row>
        <row r="17630">
          <cell r="P17630">
            <v>0</v>
          </cell>
        </row>
        <row r="17631">
          <cell r="P17631">
            <v>0</v>
          </cell>
        </row>
        <row r="17632">
          <cell r="P17632">
            <v>0</v>
          </cell>
        </row>
        <row r="17633">
          <cell r="P17633">
            <v>0</v>
          </cell>
        </row>
        <row r="17634">
          <cell r="P17634">
            <v>0</v>
          </cell>
        </row>
        <row r="17635">
          <cell r="P17635">
            <v>0</v>
          </cell>
        </row>
        <row r="17636">
          <cell r="P17636">
            <v>0</v>
          </cell>
        </row>
        <row r="17637">
          <cell r="P17637">
            <v>0</v>
          </cell>
        </row>
        <row r="17638">
          <cell r="P17638">
            <v>0</v>
          </cell>
        </row>
        <row r="17639">
          <cell r="P17639">
            <v>0</v>
          </cell>
        </row>
        <row r="17640">
          <cell r="P17640">
            <v>0</v>
          </cell>
        </row>
        <row r="17641">
          <cell r="P17641">
            <v>0</v>
          </cell>
        </row>
        <row r="17642">
          <cell r="P17642">
            <v>0</v>
          </cell>
        </row>
        <row r="17643">
          <cell r="P17643">
            <v>0</v>
          </cell>
        </row>
        <row r="17644">
          <cell r="P17644">
            <v>0</v>
          </cell>
        </row>
        <row r="17645">
          <cell r="P17645">
            <v>0</v>
          </cell>
        </row>
        <row r="17646">
          <cell r="P17646">
            <v>0</v>
          </cell>
        </row>
        <row r="17647">
          <cell r="P17647">
            <v>0</v>
          </cell>
        </row>
        <row r="17648">
          <cell r="P17648">
            <v>0</v>
          </cell>
        </row>
        <row r="17649">
          <cell r="P17649">
            <v>0</v>
          </cell>
        </row>
        <row r="17650">
          <cell r="P17650">
            <v>0</v>
          </cell>
        </row>
        <row r="17651">
          <cell r="P17651">
            <v>0</v>
          </cell>
        </row>
        <row r="17652">
          <cell r="P17652">
            <v>0</v>
          </cell>
        </row>
        <row r="17653">
          <cell r="P17653">
            <v>0</v>
          </cell>
        </row>
        <row r="17654">
          <cell r="P17654">
            <v>0</v>
          </cell>
        </row>
        <row r="17655">
          <cell r="P17655">
            <v>0</v>
          </cell>
        </row>
        <row r="17656">
          <cell r="P17656">
            <v>0</v>
          </cell>
        </row>
        <row r="17657">
          <cell r="P17657">
            <v>0</v>
          </cell>
        </row>
        <row r="17658">
          <cell r="P17658">
            <v>0</v>
          </cell>
        </row>
        <row r="17659">
          <cell r="P17659">
            <v>0</v>
          </cell>
        </row>
        <row r="17660">
          <cell r="P17660">
            <v>0</v>
          </cell>
        </row>
        <row r="17661">
          <cell r="P17661">
            <v>0</v>
          </cell>
        </row>
        <row r="17662">
          <cell r="P17662">
            <v>0</v>
          </cell>
        </row>
        <row r="17663">
          <cell r="P17663">
            <v>0</v>
          </cell>
        </row>
        <row r="17664">
          <cell r="P17664">
            <v>0</v>
          </cell>
        </row>
        <row r="17665">
          <cell r="P17665">
            <v>0</v>
          </cell>
        </row>
        <row r="17666">
          <cell r="P17666">
            <v>0</v>
          </cell>
        </row>
        <row r="17667">
          <cell r="P17667">
            <v>0</v>
          </cell>
        </row>
        <row r="17668">
          <cell r="P17668">
            <v>0</v>
          </cell>
        </row>
        <row r="17669">
          <cell r="P17669">
            <v>0</v>
          </cell>
        </row>
        <row r="17670">
          <cell r="P17670">
            <v>0</v>
          </cell>
        </row>
        <row r="17671">
          <cell r="P17671">
            <v>0</v>
          </cell>
        </row>
        <row r="17672">
          <cell r="P17672">
            <v>0</v>
          </cell>
        </row>
        <row r="17673">
          <cell r="P17673">
            <v>0</v>
          </cell>
        </row>
        <row r="17674">
          <cell r="P17674">
            <v>0</v>
          </cell>
        </row>
        <row r="17675">
          <cell r="P17675">
            <v>0</v>
          </cell>
        </row>
        <row r="17676">
          <cell r="P17676">
            <v>0</v>
          </cell>
        </row>
        <row r="17677">
          <cell r="P17677">
            <v>0</v>
          </cell>
        </row>
        <row r="17678">
          <cell r="P17678">
            <v>0</v>
          </cell>
        </row>
        <row r="17679">
          <cell r="P17679">
            <v>0</v>
          </cell>
        </row>
        <row r="17680">
          <cell r="P17680">
            <v>0</v>
          </cell>
        </row>
        <row r="17681">
          <cell r="P17681">
            <v>0</v>
          </cell>
        </row>
        <row r="17682">
          <cell r="P17682">
            <v>0</v>
          </cell>
        </row>
        <row r="17683">
          <cell r="P17683">
            <v>0</v>
          </cell>
        </row>
        <row r="17684">
          <cell r="P17684">
            <v>0</v>
          </cell>
        </row>
        <row r="17685">
          <cell r="P17685">
            <v>0</v>
          </cell>
        </row>
        <row r="17686">
          <cell r="P17686">
            <v>0</v>
          </cell>
        </row>
        <row r="17687">
          <cell r="P17687">
            <v>0</v>
          </cell>
        </row>
        <row r="17688">
          <cell r="P17688">
            <v>0</v>
          </cell>
        </row>
        <row r="17689">
          <cell r="P17689">
            <v>0</v>
          </cell>
        </row>
        <row r="17690">
          <cell r="P17690">
            <v>0</v>
          </cell>
        </row>
        <row r="17691">
          <cell r="P17691">
            <v>0</v>
          </cell>
        </row>
        <row r="17692">
          <cell r="P17692">
            <v>0</v>
          </cell>
        </row>
        <row r="17693">
          <cell r="P17693">
            <v>0</v>
          </cell>
        </row>
        <row r="17694">
          <cell r="P17694">
            <v>0</v>
          </cell>
        </row>
        <row r="17695">
          <cell r="P17695">
            <v>0</v>
          </cell>
        </row>
        <row r="17696">
          <cell r="P17696">
            <v>0</v>
          </cell>
        </row>
        <row r="17697">
          <cell r="P17697">
            <v>0</v>
          </cell>
        </row>
        <row r="17698">
          <cell r="P17698">
            <v>0</v>
          </cell>
        </row>
        <row r="17699">
          <cell r="P17699">
            <v>0</v>
          </cell>
        </row>
        <row r="17700">
          <cell r="P17700">
            <v>31.5</v>
          </cell>
        </row>
        <row r="17701">
          <cell r="P17701">
            <v>31.5</v>
          </cell>
        </row>
        <row r="17702">
          <cell r="P17702">
            <v>36</v>
          </cell>
        </row>
        <row r="17703">
          <cell r="P17703">
            <v>9</v>
          </cell>
        </row>
        <row r="17704">
          <cell r="P17704">
            <v>0</v>
          </cell>
        </row>
        <row r="17705">
          <cell r="P17705">
            <v>0</v>
          </cell>
        </row>
        <row r="17706">
          <cell r="P17706">
            <v>0</v>
          </cell>
        </row>
        <row r="17707">
          <cell r="P17707">
            <v>0</v>
          </cell>
        </row>
        <row r="17708">
          <cell r="P17708">
            <v>0</v>
          </cell>
        </row>
        <row r="17709">
          <cell r="P17709">
            <v>4.5</v>
          </cell>
        </row>
        <row r="17710">
          <cell r="P17710">
            <v>4.5</v>
          </cell>
        </row>
        <row r="17711">
          <cell r="P17711">
            <v>15</v>
          </cell>
        </row>
        <row r="17712">
          <cell r="P17712">
            <v>0</v>
          </cell>
        </row>
        <row r="17713">
          <cell r="P17713">
            <v>0</v>
          </cell>
        </row>
        <row r="17714">
          <cell r="P17714">
            <v>0</v>
          </cell>
        </row>
        <row r="17715">
          <cell r="P17715">
            <v>0</v>
          </cell>
        </row>
        <row r="17716">
          <cell r="P17716">
            <v>0</v>
          </cell>
        </row>
        <row r="17717">
          <cell r="P17717">
            <v>1.8</v>
          </cell>
        </row>
        <row r="17718">
          <cell r="P17718">
            <v>1.8</v>
          </cell>
        </row>
        <row r="17719">
          <cell r="P17719">
            <v>18</v>
          </cell>
        </row>
        <row r="17720">
          <cell r="P17720">
            <v>0</v>
          </cell>
        </row>
        <row r="17721">
          <cell r="P17721">
            <v>0</v>
          </cell>
        </row>
        <row r="17722">
          <cell r="P17722">
            <v>0</v>
          </cell>
        </row>
        <row r="17723">
          <cell r="P17723">
            <v>0</v>
          </cell>
        </row>
        <row r="17724">
          <cell r="P17724">
            <v>0</v>
          </cell>
        </row>
        <row r="17725">
          <cell r="P17725">
            <v>0</v>
          </cell>
        </row>
        <row r="17726">
          <cell r="P17726">
            <v>0</v>
          </cell>
        </row>
        <row r="17727">
          <cell r="P17727">
            <v>0</v>
          </cell>
        </row>
        <row r="17728">
          <cell r="P17728">
            <v>0</v>
          </cell>
        </row>
        <row r="17729">
          <cell r="P17729">
            <v>0</v>
          </cell>
        </row>
        <row r="17730">
          <cell r="P17730">
            <v>0</v>
          </cell>
        </row>
        <row r="17731">
          <cell r="P17731">
            <v>0</v>
          </cell>
        </row>
        <row r="17732">
          <cell r="P17732">
            <v>0</v>
          </cell>
        </row>
        <row r="17733">
          <cell r="P17733">
            <v>0</v>
          </cell>
        </row>
        <row r="17734">
          <cell r="P17734">
            <v>0</v>
          </cell>
        </row>
        <row r="17735">
          <cell r="P17735">
            <v>0</v>
          </cell>
        </row>
        <row r="17736">
          <cell r="P17736">
            <v>0</v>
          </cell>
        </row>
        <row r="17737">
          <cell r="P17737">
            <v>0</v>
          </cell>
        </row>
        <row r="17738">
          <cell r="P17738">
            <v>0</v>
          </cell>
        </row>
        <row r="17739">
          <cell r="P17739">
            <v>0</v>
          </cell>
        </row>
        <row r="17740">
          <cell r="P17740">
            <v>0</v>
          </cell>
        </row>
        <row r="17741">
          <cell r="P17741">
            <v>0</v>
          </cell>
        </row>
        <row r="17742">
          <cell r="P17742">
            <v>0</v>
          </cell>
        </row>
        <row r="17743">
          <cell r="P17743">
            <v>0</v>
          </cell>
        </row>
        <row r="17744">
          <cell r="P17744">
            <v>0</v>
          </cell>
        </row>
        <row r="17745">
          <cell r="P17745">
            <v>0</v>
          </cell>
        </row>
        <row r="17746">
          <cell r="P17746">
            <v>0</v>
          </cell>
        </row>
        <row r="17747">
          <cell r="P17747">
            <v>0</v>
          </cell>
        </row>
        <row r="17748">
          <cell r="P17748">
            <v>0</v>
          </cell>
        </row>
        <row r="17749">
          <cell r="P17749">
            <v>0</v>
          </cell>
        </row>
        <row r="17750">
          <cell r="P17750">
            <v>0</v>
          </cell>
        </row>
        <row r="17751">
          <cell r="P17751">
            <v>0</v>
          </cell>
        </row>
        <row r="17752">
          <cell r="P17752">
            <v>0</v>
          </cell>
        </row>
        <row r="17753">
          <cell r="P17753">
            <v>0</v>
          </cell>
        </row>
        <row r="17754">
          <cell r="P17754">
            <v>0</v>
          </cell>
        </row>
        <row r="17755">
          <cell r="P17755">
            <v>0</v>
          </cell>
        </row>
        <row r="17756">
          <cell r="P17756">
            <v>0</v>
          </cell>
        </row>
        <row r="17757">
          <cell r="P17757">
            <v>0</v>
          </cell>
        </row>
        <row r="17758">
          <cell r="P17758">
            <v>0</v>
          </cell>
        </row>
        <row r="17759">
          <cell r="P17759">
            <v>0</v>
          </cell>
        </row>
        <row r="17760">
          <cell r="P17760">
            <v>0</v>
          </cell>
        </row>
        <row r="17761">
          <cell r="P17761">
            <v>0</v>
          </cell>
        </row>
        <row r="17762">
          <cell r="P17762">
            <v>0</v>
          </cell>
        </row>
        <row r="17763">
          <cell r="P17763">
            <v>0</v>
          </cell>
        </row>
        <row r="17764">
          <cell r="P17764">
            <v>0</v>
          </cell>
        </row>
        <row r="17765">
          <cell r="P17765">
            <v>0</v>
          </cell>
        </row>
        <row r="17766">
          <cell r="P17766">
            <v>0</v>
          </cell>
        </row>
        <row r="17767">
          <cell r="P17767">
            <v>0</v>
          </cell>
        </row>
        <row r="17768">
          <cell r="P17768">
            <v>0</v>
          </cell>
        </row>
        <row r="17769">
          <cell r="P17769">
            <v>0</v>
          </cell>
        </row>
        <row r="17770">
          <cell r="P17770">
            <v>0</v>
          </cell>
        </row>
        <row r="17771">
          <cell r="P17771">
            <v>0</v>
          </cell>
        </row>
        <row r="17772">
          <cell r="P17772">
            <v>0</v>
          </cell>
        </row>
        <row r="17773">
          <cell r="P17773">
            <v>0</v>
          </cell>
        </row>
        <row r="17774">
          <cell r="P17774">
            <v>0</v>
          </cell>
        </row>
        <row r="17775">
          <cell r="P17775">
            <v>0</v>
          </cell>
        </row>
        <row r="17776">
          <cell r="P17776">
            <v>0</v>
          </cell>
        </row>
        <row r="17777">
          <cell r="P17777">
            <v>0</v>
          </cell>
        </row>
        <row r="17778">
          <cell r="P17778">
            <v>0</v>
          </cell>
        </row>
        <row r="17779">
          <cell r="P17779">
            <v>0</v>
          </cell>
        </row>
        <row r="17780">
          <cell r="P17780">
            <v>0</v>
          </cell>
        </row>
        <row r="17781">
          <cell r="P17781">
            <v>0</v>
          </cell>
        </row>
        <row r="17782">
          <cell r="P17782">
            <v>0</v>
          </cell>
        </row>
        <row r="17783">
          <cell r="P17783">
            <v>0</v>
          </cell>
        </row>
        <row r="17784">
          <cell r="P17784">
            <v>0</v>
          </cell>
        </row>
        <row r="17785">
          <cell r="P17785">
            <v>0</v>
          </cell>
        </row>
        <row r="17786">
          <cell r="P17786">
            <v>0</v>
          </cell>
        </row>
        <row r="17787">
          <cell r="P17787">
            <v>0</v>
          </cell>
        </row>
        <row r="17788">
          <cell r="P17788">
            <v>0</v>
          </cell>
        </row>
        <row r="17789">
          <cell r="P17789">
            <v>0</v>
          </cell>
        </row>
        <row r="17790">
          <cell r="P17790">
            <v>0</v>
          </cell>
        </row>
        <row r="17791">
          <cell r="P17791">
            <v>0</v>
          </cell>
        </row>
        <row r="17792">
          <cell r="P17792">
            <v>0</v>
          </cell>
        </row>
        <row r="17793">
          <cell r="P17793">
            <v>0</v>
          </cell>
        </row>
        <row r="17794">
          <cell r="P17794">
            <v>0</v>
          </cell>
        </row>
        <row r="17795">
          <cell r="P17795">
            <v>0</v>
          </cell>
        </row>
        <row r="17796">
          <cell r="P17796">
            <v>0</v>
          </cell>
        </row>
        <row r="17797">
          <cell r="P17797">
            <v>0</v>
          </cell>
        </row>
        <row r="17798">
          <cell r="P17798">
            <v>0</v>
          </cell>
        </row>
        <row r="17799">
          <cell r="P17799">
            <v>0</v>
          </cell>
        </row>
        <row r="17800">
          <cell r="P17800">
            <v>0</v>
          </cell>
        </row>
        <row r="17801">
          <cell r="P17801">
            <v>0</v>
          </cell>
        </row>
        <row r="17802">
          <cell r="P17802">
            <v>0</v>
          </cell>
        </row>
        <row r="17803">
          <cell r="P17803">
            <v>0</v>
          </cell>
        </row>
        <row r="17804">
          <cell r="P17804">
            <v>0</v>
          </cell>
        </row>
        <row r="17805">
          <cell r="P17805">
            <v>0</v>
          </cell>
        </row>
        <row r="17806">
          <cell r="P17806">
            <v>0</v>
          </cell>
        </row>
        <row r="17807">
          <cell r="P17807">
            <v>0</v>
          </cell>
        </row>
        <row r="17808">
          <cell r="P17808">
            <v>0</v>
          </cell>
        </row>
        <row r="17809">
          <cell r="P17809">
            <v>0</v>
          </cell>
        </row>
        <row r="17810">
          <cell r="P17810">
            <v>0</v>
          </cell>
        </row>
        <row r="17811">
          <cell r="P17811">
            <v>0</v>
          </cell>
        </row>
        <row r="17812">
          <cell r="P17812">
            <v>0</v>
          </cell>
        </row>
        <row r="17813">
          <cell r="P17813">
            <v>0</v>
          </cell>
        </row>
        <row r="17814">
          <cell r="P17814">
            <v>0</v>
          </cell>
        </row>
        <row r="17815">
          <cell r="P17815">
            <v>0</v>
          </cell>
        </row>
        <row r="17816">
          <cell r="P17816">
            <v>0</v>
          </cell>
        </row>
        <row r="17817">
          <cell r="P17817">
            <v>0</v>
          </cell>
        </row>
        <row r="17818">
          <cell r="P17818">
            <v>0</v>
          </cell>
        </row>
        <row r="17819">
          <cell r="P17819">
            <v>0</v>
          </cell>
        </row>
        <row r="17820">
          <cell r="P17820">
            <v>0</v>
          </cell>
        </row>
        <row r="17821">
          <cell r="P17821">
            <v>0</v>
          </cell>
        </row>
        <row r="17822">
          <cell r="P17822">
            <v>0</v>
          </cell>
        </row>
        <row r="17823">
          <cell r="P17823">
            <v>0</v>
          </cell>
        </row>
        <row r="17824">
          <cell r="P17824">
            <v>0</v>
          </cell>
        </row>
        <row r="17825">
          <cell r="P17825">
            <v>0</v>
          </cell>
        </row>
        <row r="17826">
          <cell r="P17826">
            <v>0</v>
          </cell>
        </row>
        <row r="17827">
          <cell r="P17827">
            <v>0</v>
          </cell>
        </row>
        <row r="17828">
          <cell r="P17828">
            <v>0</v>
          </cell>
        </row>
        <row r="17829">
          <cell r="P17829">
            <v>0</v>
          </cell>
        </row>
        <row r="17830">
          <cell r="P17830">
            <v>0</v>
          </cell>
        </row>
        <row r="17831">
          <cell r="P17831">
            <v>0</v>
          </cell>
        </row>
        <row r="17832">
          <cell r="P17832">
            <v>0</v>
          </cell>
        </row>
        <row r="17833">
          <cell r="P17833">
            <v>0</v>
          </cell>
        </row>
        <row r="17834">
          <cell r="P17834">
            <v>71.5</v>
          </cell>
        </row>
        <row r="17835">
          <cell r="P17835">
            <v>143</v>
          </cell>
        </row>
        <row r="17836">
          <cell r="P17836">
            <v>85.8</v>
          </cell>
        </row>
        <row r="17837">
          <cell r="P17837">
            <v>286</v>
          </cell>
        </row>
        <row r="17838">
          <cell r="P17838">
            <v>0</v>
          </cell>
        </row>
        <row r="17839">
          <cell r="P17839">
            <v>0</v>
          </cell>
        </row>
        <row r="17840">
          <cell r="P17840">
            <v>0</v>
          </cell>
        </row>
        <row r="17841">
          <cell r="P17841">
            <v>0</v>
          </cell>
        </row>
        <row r="17842">
          <cell r="P17842">
            <v>0</v>
          </cell>
        </row>
        <row r="17843">
          <cell r="P17843">
            <v>0</v>
          </cell>
        </row>
        <row r="17844">
          <cell r="P17844">
            <v>0</v>
          </cell>
        </row>
        <row r="17845">
          <cell r="P17845">
            <v>0</v>
          </cell>
        </row>
        <row r="17846">
          <cell r="P17846">
            <v>0</v>
          </cell>
        </row>
        <row r="17847">
          <cell r="P17847">
            <v>0</v>
          </cell>
        </row>
        <row r="17848">
          <cell r="P17848">
            <v>0</v>
          </cell>
        </row>
        <row r="17849">
          <cell r="P17849">
            <v>0</v>
          </cell>
        </row>
        <row r="17850">
          <cell r="P17850">
            <v>0</v>
          </cell>
        </row>
        <row r="17851">
          <cell r="P17851">
            <v>0</v>
          </cell>
        </row>
        <row r="17852">
          <cell r="P17852">
            <v>0</v>
          </cell>
        </row>
        <row r="17853">
          <cell r="P17853">
            <v>0</v>
          </cell>
        </row>
        <row r="17854">
          <cell r="P17854">
            <v>0</v>
          </cell>
        </row>
        <row r="17855">
          <cell r="P17855">
            <v>0</v>
          </cell>
        </row>
        <row r="17856">
          <cell r="P17856">
            <v>0</v>
          </cell>
        </row>
        <row r="17857">
          <cell r="P17857">
            <v>0</v>
          </cell>
        </row>
        <row r="17858">
          <cell r="P17858">
            <v>0</v>
          </cell>
        </row>
        <row r="17859">
          <cell r="P17859">
            <v>0</v>
          </cell>
        </row>
        <row r="17860">
          <cell r="P17860">
            <v>0</v>
          </cell>
        </row>
        <row r="17861">
          <cell r="P17861">
            <v>0</v>
          </cell>
        </row>
        <row r="17862">
          <cell r="P17862">
            <v>0</v>
          </cell>
        </row>
        <row r="17863">
          <cell r="P17863">
            <v>0</v>
          </cell>
        </row>
        <row r="17864">
          <cell r="P17864">
            <v>0</v>
          </cell>
        </row>
        <row r="17865">
          <cell r="P17865">
            <v>0</v>
          </cell>
        </row>
        <row r="17866">
          <cell r="P17866">
            <v>0</v>
          </cell>
        </row>
        <row r="17867">
          <cell r="P17867">
            <v>0</v>
          </cell>
        </row>
        <row r="17868">
          <cell r="P17868">
            <v>0</v>
          </cell>
        </row>
        <row r="17869">
          <cell r="P17869">
            <v>0</v>
          </cell>
        </row>
        <row r="17870">
          <cell r="P17870">
            <v>0</v>
          </cell>
        </row>
        <row r="17871">
          <cell r="P17871">
            <v>0</v>
          </cell>
        </row>
        <row r="17872">
          <cell r="P17872">
            <v>0</v>
          </cell>
        </row>
        <row r="17873">
          <cell r="P17873">
            <v>4.5</v>
          </cell>
        </row>
        <row r="17874">
          <cell r="P17874">
            <v>4.5</v>
          </cell>
        </row>
        <row r="17875">
          <cell r="P17875">
            <v>15</v>
          </cell>
        </row>
        <row r="17876">
          <cell r="P17876">
            <v>0</v>
          </cell>
        </row>
        <row r="17877">
          <cell r="P17877">
            <v>0</v>
          </cell>
        </row>
        <row r="17878">
          <cell r="P17878">
            <v>0</v>
          </cell>
        </row>
        <row r="17879">
          <cell r="P17879">
            <v>0</v>
          </cell>
        </row>
        <row r="17880">
          <cell r="P17880">
            <v>0</v>
          </cell>
        </row>
        <row r="17881">
          <cell r="P17881">
            <v>0</v>
          </cell>
        </row>
        <row r="17882">
          <cell r="P17882">
            <v>0</v>
          </cell>
        </row>
        <row r="17883">
          <cell r="P17883">
            <v>0</v>
          </cell>
        </row>
        <row r="17884">
          <cell r="P17884">
            <v>0</v>
          </cell>
        </row>
        <row r="17885">
          <cell r="P17885">
            <v>18.8</v>
          </cell>
        </row>
        <row r="17886">
          <cell r="P17886">
            <v>9.4</v>
          </cell>
        </row>
        <row r="17887">
          <cell r="P17887">
            <v>47</v>
          </cell>
        </row>
        <row r="17888">
          <cell r="P17888">
            <v>0</v>
          </cell>
        </row>
        <row r="17889">
          <cell r="P17889">
            <v>1.2000000000000002</v>
          </cell>
        </row>
        <row r="17890">
          <cell r="P17890">
            <v>0.60000000000000009</v>
          </cell>
        </row>
        <row r="17891">
          <cell r="P17891">
            <v>3</v>
          </cell>
        </row>
        <row r="17892">
          <cell r="P17892">
            <v>0</v>
          </cell>
        </row>
        <row r="17893">
          <cell r="P17893">
            <v>0</v>
          </cell>
        </row>
        <row r="17894">
          <cell r="P17894">
            <v>0</v>
          </cell>
        </row>
        <row r="17895">
          <cell r="P17895">
            <v>0</v>
          </cell>
        </row>
        <row r="17896">
          <cell r="P17896">
            <v>0</v>
          </cell>
        </row>
        <row r="17897">
          <cell r="P17897">
            <v>0</v>
          </cell>
        </row>
        <row r="17898">
          <cell r="P17898">
            <v>0</v>
          </cell>
        </row>
        <row r="17899">
          <cell r="P17899">
            <v>0</v>
          </cell>
        </row>
        <row r="17900">
          <cell r="P17900">
            <v>0</v>
          </cell>
        </row>
        <row r="17901">
          <cell r="P17901">
            <v>0</v>
          </cell>
        </row>
        <row r="17902">
          <cell r="P17902">
            <v>0</v>
          </cell>
        </row>
        <row r="17903">
          <cell r="P17903">
            <v>0</v>
          </cell>
        </row>
        <row r="17904">
          <cell r="P17904">
            <v>0</v>
          </cell>
        </row>
        <row r="17905">
          <cell r="P17905">
            <v>0</v>
          </cell>
        </row>
        <row r="17906">
          <cell r="P17906">
            <v>0</v>
          </cell>
        </row>
        <row r="17907">
          <cell r="P17907">
            <v>0</v>
          </cell>
        </row>
        <row r="17908">
          <cell r="P17908">
            <v>0</v>
          </cell>
        </row>
        <row r="17909">
          <cell r="P17909">
            <v>0</v>
          </cell>
        </row>
        <row r="17910">
          <cell r="P17910">
            <v>0</v>
          </cell>
        </row>
        <row r="17911">
          <cell r="P17911">
            <v>0</v>
          </cell>
        </row>
        <row r="17912">
          <cell r="P17912">
            <v>0</v>
          </cell>
        </row>
        <row r="17913">
          <cell r="P17913">
            <v>0</v>
          </cell>
        </row>
        <row r="17914">
          <cell r="P17914">
            <v>0</v>
          </cell>
        </row>
        <row r="17915">
          <cell r="P17915">
            <v>0</v>
          </cell>
        </row>
        <row r="17916">
          <cell r="P17916">
            <v>0</v>
          </cell>
        </row>
        <row r="17917">
          <cell r="P17917">
            <v>0</v>
          </cell>
        </row>
        <row r="17918">
          <cell r="P17918">
            <v>0</v>
          </cell>
        </row>
        <row r="17919">
          <cell r="P17919">
            <v>0</v>
          </cell>
        </row>
        <row r="17920">
          <cell r="P17920">
            <v>0</v>
          </cell>
        </row>
        <row r="17921">
          <cell r="P17921">
            <v>0</v>
          </cell>
        </row>
        <row r="17922">
          <cell r="P17922">
            <v>0</v>
          </cell>
        </row>
        <row r="17923">
          <cell r="P17923">
            <v>0</v>
          </cell>
        </row>
        <row r="17924">
          <cell r="P17924">
            <v>0</v>
          </cell>
        </row>
        <row r="17925">
          <cell r="P17925">
            <v>0</v>
          </cell>
        </row>
        <row r="17926">
          <cell r="P17926">
            <v>0</v>
          </cell>
        </row>
        <row r="17927">
          <cell r="P17927">
            <v>0</v>
          </cell>
        </row>
        <row r="17928">
          <cell r="P17928">
            <v>0</v>
          </cell>
        </row>
        <row r="17929">
          <cell r="P17929">
            <v>0</v>
          </cell>
        </row>
        <row r="17930">
          <cell r="P17930">
            <v>0</v>
          </cell>
        </row>
        <row r="17931">
          <cell r="P17931">
            <v>0</v>
          </cell>
        </row>
        <row r="17932">
          <cell r="P17932">
            <v>0</v>
          </cell>
        </row>
        <row r="17933">
          <cell r="P17933">
            <v>0</v>
          </cell>
        </row>
        <row r="17934">
          <cell r="P17934">
            <v>14.7</v>
          </cell>
        </row>
        <row r="17935">
          <cell r="P17935">
            <v>21</v>
          </cell>
        </row>
        <row r="17936">
          <cell r="P17936">
            <v>0</v>
          </cell>
        </row>
        <row r="17937">
          <cell r="P17937">
            <v>0</v>
          </cell>
        </row>
        <row r="17938">
          <cell r="P17938">
            <v>0</v>
          </cell>
        </row>
        <row r="17939">
          <cell r="P17939">
            <v>0</v>
          </cell>
        </row>
        <row r="17940">
          <cell r="P17940">
            <v>0</v>
          </cell>
        </row>
        <row r="17941">
          <cell r="P17941">
            <v>0</v>
          </cell>
        </row>
        <row r="17942">
          <cell r="P17942">
            <v>0</v>
          </cell>
        </row>
        <row r="17943">
          <cell r="P17943">
            <v>0</v>
          </cell>
        </row>
        <row r="17944">
          <cell r="P17944">
            <v>0</v>
          </cell>
        </row>
        <row r="17945">
          <cell r="P17945">
            <v>14.7</v>
          </cell>
        </row>
        <row r="17946">
          <cell r="P17946">
            <v>21</v>
          </cell>
        </row>
        <row r="17947">
          <cell r="P17947">
            <v>0</v>
          </cell>
        </row>
        <row r="17948">
          <cell r="P17948">
            <v>5.6</v>
          </cell>
        </row>
        <row r="17949">
          <cell r="P17949">
            <v>8</v>
          </cell>
        </row>
        <row r="17950">
          <cell r="P17950">
            <v>0</v>
          </cell>
        </row>
        <row r="17951">
          <cell r="P17951">
            <v>0</v>
          </cell>
        </row>
        <row r="17952">
          <cell r="P17952">
            <v>0</v>
          </cell>
        </row>
        <row r="17953">
          <cell r="P17953">
            <v>0</v>
          </cell>
        </row>
        <row r="17954">
          <cell r="P17954">
            <v>0</v>
          </cell>
        </row>
        <row r="17955">
          <cell r="P17955">
            <v>0</v>
          </cell>
        </row>
        <row r="17956">
          <cell r="P17956">
            <v>0</v>
          </cell>
        </row>
        <row r="17957">
          <cell r="P17957">
            <v>0</v>
          </cell>
        </row>
        <row r="17958">
          <cell r="P17958">
            <v>0</v>
          </cell>
        </row>
        <row r="17959">
          <cell r="P17959">
            <v>0</v>
          </cell>
        </row>
        <row r="17960">
          <cell r="P17960">
            <v>0</v>
          </cell>
        </row>
        <row r="17961">
          <cell r="P17961">
            <v>0</v>
          </cell>
        </row>
        <row r="17962">
          <cell r="P17962">
            <v>0</v>
          </cell>
        </row>
        <row r="17963">
          <cell r="P17963">
            <v>0</v>
          </cell>
        </row>
        <row r="17964">
          <cell r="P17964">
            <v>0</v>
          </cell>
        </row>
        <row r="17965">
          <cell r="P17965">
            <v>0</v>
          </cell>
        </row>
        <row r="17966">
          <cell r="P17966">
            <v>0</v>
          </cell>
        </row>
        <row r="17967">
          <cell r="P17967">
            <v>0</v>
          </cell>
        </row>
        <row r="17968">
          <cell r="P17968">
            <v>0</v>
          </cell>
        </row>
        <row r="17969">
          <cell r="P17969">
            <v>0</v>
          </cell>
        </row>
        <row r="17970">
          <cell r="P17970">
            <v>0</v>
          </cell>
        </row>
        <row r="17971">
          <cell r="P17971">
            <v>0</v>
          </cell>
        </row>
        <row r="17972">
          <cell r="P17972">
            <v>0</v>
          </cell>
        </row>
        <row r="17973">
          <cell r="P17973">
            <v>0</v>
          </cell>
        </row>
        <row r="17974">
          <cell r="P17974">
            <v>0</v>
          </cell>
        </row>
        <row r="17975">
          <cell r="P17975">
            <v>0</v>
          </cell>
        </row>
        <row r="17976">
          <cell r="P17976">
            <v>0</v>
          </cell>
        </row>
        <row r="17977">
          <cell r="P17977">
            <v>0</v>
          </cell>
        </row>
        <row r="17978">
          <cell r="P17978">
            <v>0</v>
          </cell>
        </row>
        <row r="17979">
          <cell r="P17979">
            <v>0</v>
          </cell>
        </row>
        <row r="17980">
          <cell r="P17980">
            <v>0</v>
          </cell>
        </row>
        <row r="17981">
          <cell r="P17981">
            <v>0</v>
          </cell>
        </row>
        <row r="17982">
          <cell r="P17982">
            <v>0</v>
          </cell>
        </row>
        <row r="17983">
          <cell r="P17983">
            <v>0</v>
          </cell>
        </row>
        <row r="17984">
          <cell r="P17984">
            <v>0</v>
          </cell>
        </row>
        <row r="17985">
          <cell r="P17985">
            <v>0</v>
          </cell>
        </row>
        <row r="17986">
          <cell r="P17986">
            <v>0</v>
          </cell>
        </row>
        <row r="17987">
          <cell r="P17987">
            <v>0</v>
          </cell>
        </row>
        <row r="17988">
          <cell r="P17988">
            <v>0</v>
          </cell>
        </row>
        <row r="17989">
          <cell r="P17989">
            <v>0</v>
          </cell>
        </row>
        <row r="17990">
          <cell r="P17990">
            <v>0</v>
          </cell>
        </row>
        <row r="17991">
          <cell r="P17991">
            <v>0</v>
          </cell>
        </row>
        <row r="17992">
          <cell r="P17992">
            <v>0</v>
          </cell>
        </row>
        <row r="17993">
          <cell r="P17993">
            <v>0</v>
          </cell>
        </row>
        <row r="17994">
          <cell r="P17994">
            <v>0</v>
          </cell>
        </row>
        <row r="17995">
          <cell r="P17995">
            <v>0</v>
          </cell>
        </row>
        <row r="17996">
          <cell r="P17996">
            <v>0</v>
          </cell>
        </row>
        <row r="17997">
          <cell r="P17997">
            <v>0</v>
          </cell>
        </row>
        <row r="17998">
          <cell r="P17998">
            <v>0</v>
          </cell>
        </row>
        <row r="17999">
          <cell r="P17999">
            <v>0</v>
          </cell>
        </row>
        <row r="18000">
          <cell r="P18000">
            <v>0</v>
          </cell>
        </row>
        <row r="18001">
          <cell r="P18001">
            <v>0</v>
          </cell>
        </row>
        <row r="18002">
          <cell r="P18002">
            <v>0</v>
          </cell>
        </row>
        <row r="18003">
          <cell r="P18003">
            <v>0</v>
          </cell>
        </row>
        <row r="18004">
          <cell r="P18004">
            <v>0</v>
          </cell>
        </row>
        <row r="18005">
          <cell r="P18005">
            <v>0</v>
          </cell>
        </row>
        <row r="18006">
          <cell r="P18006">
            <v>0</v>
          </cell>
        </row>
        <row r="18007">
          <cell r="P18007">
            <v>0</v>
          </cell>
        </row>
        <row r="18008">
          <cell r="P18008">
            <v>0</v>
          </cell>
        </row>
        <row r="18009">
          <cell r="P18009">
            <v>0</v>
          </cell>
        </row>
        <row r="18010">
          <cell r="P18010">
            <v>0</v>
          </cell>
        </row>
        <row r="18011">
          <cell r="P18011">
            <v>0</v>
          </cell>
        </row>
        <row r="18012">
          <cell r="P18012">
            <v>0</v>
          </cell>
        </row>
        <row r="18013">
          <cell r="P18013">
            <v>0</v>
          </cell>
        </row>
        <row r="18014">
          <cell r="P18014">
            <v>0</v>
          </cell>
        </row>
        <row r="18015">
          <cell r="P18015">
            <v>0</v>
          </cell>
        </row>
        <row r="18016">
          <cell r="P18016">
            <v>0</v>
          </cell>
        </row>
        <row r="18017">
          <cell r="P18017">
            <v>0</v>
          </cell>
        </row>
        <row r="18018">
          <cell r="P18018">
            <v>0</v>
          </cell>
        </row>
        <row r="18019">
          <cell r="P18019">
            <v>0</v>
          </cell>
        </row>
        <row r="18020">
          <cell r="P18020">
            <v>0</v>
          </cell>
        </row>
        <row r="18021">
          <cell r="P18021">
            <v>0</v>
          </cell>
        </row>
        <row r="18022">
          <cell r="P18022">
            <v>0</v>
          </cell>
        </row>
        <row r="18023">
          <cell r="P18023">
            <v>0</v>
          </cell>
        </row>
        <row r="18024">
          <cell r="P18024">
            <v>0</v>
          </cell>
        </row>
        <row r="18025">
          <cell r="P18025">
            <v>0</v>
          </cell>
        </row>
        <row r="18026">
          <cell r="P18026">
            <v>0</v>
          </cell>
        </row>
        <row r="18027">
          <cell r="P18027">
            <v>0</v>
          </cell>
        </row>
        <row r="18028">
          <cell r="P18028">
            <v>0</v>
          </cell>
        </row>
        <row r="18029">
          <cell r="P18029">
            <v>0</v>
          </cell>
        </row>
        <row r="18030">
          <cell r="P18030">
            <v>0</v>
          </cell>
        </row>
        <row r="18031">
          <cell r="P18031">
            <v>0</v>
          </cell>
        </row>
        <row r="18032">
          <cell r="P18032">
            <v>0</v>
          </cell>
        </row>
        <row r="18033">
          <cell r="P18033">
            <v>0</v>
          </cell>
        </row>
        <row r="18034">
          <cell r="P18034">
            <v>0</v>
          </cell>
        </row>
        <row r="18035">
          <cell r="P18035">
            <v>0</v>
          </cell>
        </row>
        <row r="18036">
          <cell r="P18036">
            <v>0</v>
          </cell>
        </row>
        <row r="18037">
          <cell r="P18037">
            <v>0</v>
          </cell>
        </row>
        <row r="18038">
          <cell r="P18038">
            <v>0</v>
          </cell>
        </row>
        <row r="18039">
          <cell r="P18039">
            <v>0</v>
          </cell>
        </row>
        <row r="18040">
          <cell r="P18040">
            <v>0</v>
          </cell>
        </row>
        <row r="18041">
          <cell r="P18041">
            <v>0</v>
          </cell>
        </row>
        <row r="18042">
          <cell r="P18042">
            <v>0</v>
          </cell>
        </row>
        <row r="18043">
          <cell r="P18043">
            <v>0</v>
          </cell>
        </row>
        <row r="18044">
          <cell r="P18044">
            <v>0</v>
          </cell>
        </row>
        <row r="18045">
          <cell r="P18045">
            <v>0</v>
          </cell>
        </row>
        <row r="18046">
          <cell r="P18046">
            <v>0</v>
          </cell>
        </row>
        <row r="18047">
          <cell r="P18047">
            <v>0</v>
          </cell>
        </row>
        <row r="18048">
          <cell r="P18048">
            <v>0</v>
          </cell>
        </row>
        <row r="18049">
          <cell r="P18049">
            <v>0</v>
          </cell>
        </row>
        <row r="18050">
          <cell r="P18050">
            <v>0</v>
          </cell>
        </row>
        <row r="18051">
          <cell r="P18051">
            <v>0</v>
          </cell>
        </row>
        <row r="18052">
          <cell r="P18052">
            <v>0</v>
          </cell>
        </row>
        <row r="18053">
          <cell r="P18053">
            <v>0</v>
          </cell>
        </row>
        <row r="18054">
          <cell r="P18054">
            <v>0</v>
          </cell>
        </row>
        <row r="18055">
          <cell r="P18055">
            <v>0</v>
          </cell>
        </row>
        <row r="18056">
          <cell r="P18056">
            <v>0</v>
          </cell>
        </row>
        <row r="18057">
          <cell r="P18057">
            <v>0</v>
          </cell>
        </row>
        <row r="18058">
          <cell r="P18058">
            <v>0</v>
          </cell>
        </row>
        <row r="18059">
          <cell r="P18059">
            <v>0</v>
          </cell>
        </row>
        <row r="18060">
          <cell r="P18060">
            <v>0</v>
          </cell>
        </row>
        <row r="18061">
          <cell r="P18061">
            <v>0</v>
          </cell>
        </row>
        <row r="18062">
          <cell r="P18062">
            <v>0</v>
          </cell>
        </row>
        <row r="18063">
          <cell r="P18063">
            <v>0</v>
          </cell>
        </row>
        <row r="18064">
          <cell r="P18064">
            <v>0</v>
          </cell>
        </row>
        <row r="18065">
          <cell r="P18065">
            <v>0</v>
          </cell>
        </row>
        <row r="18066">
          <cell r="P18066">
            <v>0</v>
          </cell>
        </row>
        <row r="18067">
          <cell r="P18067">
            <v>0</v>
          </cell>
        </row>
        <row r="18068">
          <cell r="P18068">
            <v>0</v>
          </cell>
        </row>
        <row r="18069">
          <cell r="P18069">
            <v>0</v>
          </cell>
        </row>
        <row r="18070">
          <cell r="P18070">
            <v>0</v>
          </cell>
        </row>
        <row r="18071">
          <cell r="P18071">
            <v>0</v>
          </cell>
        </row>
        <row r="18072">
          <cell r="P18072">
            <v>0</v>
          </cell>
        </row>
        <row r="18073">
          <cell r="P18073">
            <v>0</v>
          </cell>
        </row>
        <row r="18074">
          <cell r="P18074">
            <v>0</v>
          </cell>
        </row>
        <row r="18075">
          <cell r="P18075">
            <v>0</v>
          </cell>
        </row>
        <row r="18076">
          <cell r="P18076">
            <v>0</v>
          </cell>
        </row>
        <row r="18077">
          <cell r="P18077">
            <v>0</v>
          </cell>
        </row>
        <row r="18078">
          <cell r="P18078">
            <v>0</v>
          </cell>
        </row>
        <row r="18079">
          <cell r="P18079">
            <v>0</v>
          </cell>
        </row>
        <row r="18080">
          <cell r="P18080">
            <v>0</v>
          </cell>
        </row>
        <row r="18081">
          <cell r="P18081">
            <v>0</v>
          </cell>
        </row>
        <row r="18082">
          <cell r="P18082">
            <v>0</v>
          </cell>
        </row>
        <row r="18083">
          <cell r="P18083">
            <v>0</v>
          </cell>
        </row>
        <row r="18084">
          <cell r="P18084">
            <v>0</v>
          </cell>
        </row>
        <row r="18085">
          <cell r="P18085">
            <v>0</v>
          </cell>
        </row>
        <row r="18086">
          <cell r="P18086">
            <v>0</v>
          </cell>
        </row>
        <row r="18087">
          <cell r="P18087">
            <v>0</v>
          </cell>
        </row>
        <row r="18088">
          <cell r="P18088">
            <v>0</v>
          </cell>
        </row>
        <row r="18089">
          <cell r="P18089">
            <v>0</v>
          </cell>
        </row>
        <row r="18090">
          <cell r="P18090">
            <v>0</v>
          </cell>
        </row>
        <row r="18091">
          <cell r="P18091">
            <v>0</v>
          </cell>
        </row>
        <row r="18092">
          <cell r="P18092">
            <v>0</v>
          </cell>
        </row>
        <row r="18093">
          <cell r="P18093">
            <v>0</v>
          </cell>
        </row>
        <row r="18094">
          <cell r="P18094">
            <v>0</v>
          </cell>
        </row>
        <row r="18095">
          <cell r="P18095">
            <v>0</v>
          </cell>
        </row>
        <row r="18096">
          <cell r="P18096">
            <v>0</v>
          </cell>
        </row>
        <row r="18097">
          <cell r="P18097">
            <v>0</v>
          </cell>
        </row>
        <row r="18098">
          <cell r="P18098">
            <v>0</v>
          </cell>
        </row>
        <row r="18099">
          <cell r="P18099">
            <v>0</v>
          </cell>
        </row>
        <row r="18100">
          <cell r="P18100">
            <v>0</v>
          </cell>
        </row>
        <row r="18101">
          <cell r="P18101">
            <v>0</v>
          </cell>
        </row>
        <row r="18102">
          <cell r="P18102">
            <v>0</v>
          </cell>
        </row>
        <row r="18103">
          <cell r="P18103">
            <v>0</v>
          </cell>
        </row>
        <row r="18104">
          <cell r="P18104">
            <v>0</v>
          </cell>
        </row>
        <row r="18105">
          <cell r="P18105">
            <v>0</v>
          </cell>
        </row>
        <row r="18106">
          <cell r="P18106">
            <v>0</v>
          </cell>
        </row>
        <row r="18107">
          <cell r="P18107">
            <v>0</v>
          </cell>
        </row>
        <row r="18108">
          <cell r="P18108">
            <v>0</v>
          </cell>
        </row>
        <row r="18109">
          <cell r="P18109">
            <v>0</v>
          </cell>
        </row>
        <row r="18110">
          <cell r="P18110">
            <v>0</v>
          </cell>
        </row>
        <row r="18111">
          <cell r="P18111">
            <v>0</v>
          </cell>
        </row>
        <row r="18112">
          <cell r="P18112">
            <v>0</v>
          </cell>
        </row>
        <row r="18113">
          <cell r="P18113">
            <v>0</v>
          </cell>
        </row>
        <row r="18114">
          <cell r="P18114">
            <v>0</v>
          </cell>
        </row>
        <row r="18115">
          <cell r="P18115">
            <v>0</v>
          </cell>
        </row>
        <row r="18116">
          <cell r="P18116">
            <v>0</v>
          </cell>
        </row>
        <row r="18117">
          <cell r="P18117">
            <v>0</v>
          </cell>
        </row>
        <row r="18118">
          <cell r="P18118">
            <v>0</v>
          </cell>
        </row>
        <row r="18119">
          <cell r="P18119">
            <v>0</v>
          </cell>
        </row>
        <row r="18120">
          <cell r="P18120">
            <v>0</v>
          </cell>
        </row>
        <row r="18121">
          <cell r="P18121">
            <v>0</v>
          </cell>
        </row>
        <row r="18122">
          <cell r="P18122">
            <v>0</v>
          </cell>
        </row>
        <row r="18123">
          <cell r="P18123">
            <v>0</v>
          </cell>
        </row>
        <row r="18124">
          <cell r="P18124">
            <v>0</v>
          </cell>
        </row>
        <row r="18125">
          <cell r="P18125">
            <v>0</v>
          </cell>
        </row>
        <row r="18126">
          <cell r="P18126">
            <v>0</v>
          </cell>
        </row>
        <row r="18127">
          <cell r="P18127">
            <v>0</v>
          </cell>
        </row>
        <row r="18128">
          <cell r="P18128">
            <v>0</v>
          </cell>
        </row>
        <row r="18129">
          <cell r="P18129">
            <v>0</v>
          </cell>
        </row>
        <row r="18130">
          <cell r="P18130">
            <v>0</v>
          </cell>
        </row>
        <row r="18131">
          <cell r="P18131">
            <v>0</v>
          </cell>
        </row>
        <row r="18132">
          <cell r="P18132">
            <v>0</v>
          </cell>
        </row>
        <row r="18133">
          <cell r="P18133">
            <v>0</v>
          </cell>
        </row>
        <row r="18134">
          <cell r="P18134">
            <v>0</v>
          </cell>
        </row>
        <row r="18135">
          <cell r="P18135">
            <v>0</v>
          </cell>
        </row>
        <row r="18136">
          <cell r="P18136">
            <v>0</v>
          </cell>
        </row>
        <row r="18137">
          <cell r="P18137">
            <v>0</v>
          </cell>
        </row>
        <row r="18138">
          <cell r="P18138">
            <v>0</v>
          </cell>
        </row>
        <row r="18139">
          <cell r="P18139">
            <v>0</v>
          </cell>
        </row>
        <row r="18140">
          <cell r="P18140">
            <v>0</v>
          </cell>
        </row>
        <row r="18141">
          <cell r="P18141">
            <v>0</v>
          </cell>
        </row>
        <row r="18142">
          <cell r="P18142">
            <v>0</v>
          </cell>
        </row>
        <row r="18143">
          <cell r="P18143">
            <v>0</v>
          </cell>
        </row>
        <row r="18144">
          <cell r="P18144">
            <v>0</v>
          </cell>
        </row>
        <row r="18145">
          <cell r="P18145">
            <v>0</v>
          </cell>
        </row>
        <row r="18146">
          <cell r="P18146">
            <v>0</v>
          </cell>
        </row>
        <row r="18147">
          <cell r="P18147">
            <v>0</v>
          </cell>
        </row>
        <row r="18148">
          <cell r="P18148">
            <v>0</v>
          </cell>
        </row>
        <row r="18149">
          <cell r="P18149">
            <v>0</v>
          </cell>
        </row>
        <row r="18150">
          <cell r="P18150">
            <v>0</v>
          </cell>
        </row>
        <row r="18151">
          <cell r="P18151">
            <v>0</v>
          </cell>
        </row>
        <row r="18152">
          <cell r="P18152">
            <v>0</v>
          </cell>
        </row>
        <row r="18153">
          <cell r="P18153">
            <v>0</v>
          </cell>
        </row>
        <row r="18154">
          <cell r="P18154">
            <v>0</v>
          </cell>
        </row>
        <row r="18155">
          <cell r="P18155">
            <v>0</v>
          </cell>
        </row>
        <row r="18156">
          <cell r="P18156">
            <v>0</v>
          </cell>
        </row>
        <row r="18157">
          <cell r="P18157">
            <v>0</v>
          </cell>
        </row>
        <row r="18158">
          <cell r="P18158">
            <v>0</v>
          </cell>
        </row>
        <row r="18159">
          <cell r="P18159">
            <v>0</v>
          </cell>
        </row>
        <row r="18160">
          <cell r="P18160">
            <v>0</v>
          </cell>
        </row>
        <row r="18161">
          <cell r="P18161">
            <v>0</v>
          </cell>
        </row>
        <row r="18162">
          <cell r="P18162">
            <v>0</v>
          </cell>
        </row>
        <row r="18163">
          <cell r="P18163">
            <v>0</v>
          </cell>
        </row>
        <row r="18164">
          <cell r="P18164">
            <v>0</v>
          </cell>
        </row>
        <row r="18165">
          <cell r="P18165">
            <v>0</v>
          </cell>
        </row>
        <row r="18166">
          <cell r="P18166">
            <v>0</v>
          </cell>
        </row>
        <row r="18167">
          <cell r="P18167">
            <v>0</v>
          </cell>
        </row>
        <row r="18168">
          <cell r="P18168">
            <v>0</v>
          </cell>
        </row>
        <row r="18169">
          <cell r="P18169">
            <v>0</v>
          </cell>
        </row>
        <row r="18170">
          <cell r="P18170">
            <v>0</v>
          </cell>
        </row>
        <row r="18171">
          <cell r="P18171">
            <v>0</v>
          </cell>
        </row>
        <row r="18172">
          <cell r="P18172">
            <v>0</v>
          </cell>
        </row>
        <row r="18173">
          <cell r="P18173">
            <v>0</v>
          </cell>
        </row>
        <row r="18174">
          <cell r="P18174">
            <v>0</v>
          </cell>
        </row>
        <row r="18175">
          <cell r="P18175">
            <v>0</v>
          </cell>
        </row>
        <row r="18176">
          <cell r="P18176">
            <v>0</v>
          </cell>
        </row>
        <row r="18177">
          <cell r="P18177">
            <v>0</v>
          </cell>
        </row>
        <row r="18178">
          <cell r="P18178">
            <v>0</v>
          </cell>
        </row>
        <row r="18179">
          <cell r="P18179">
            <v>0</v>
          </cell>
        </row>
        <row r="18180">
          <cell r="P18180">
            <v>0</v>
          </cell>
        </row>
        <row r="18181">
          <cell r="P18181">
            <v>0</v>
          </cell>
        </row>
        <row r="18182">
          <cell r="P18182">
            <v>0</v>
          </cell>
        </row>
        <row r="18183">
          <cell r="P18183">
            <v>0</v>
          </cell>
        </row>
        <row r="18184">
          <cell r="P18184">
            <v>0</v>
          </cell>
        </row>
        <row r="18185">
          <cell r="P18185">
            <v>0</v>
          </cell>
        </row>
        <row r="18186">
          <cell r="P18186">
            <v>0</v>
          </cell>
        </row>
        <row r="18187">
          <cell r="P18187">
            <v>0</v>
          </cell>
        </row>
        <row r="18188">
          <cell r="P18188">
            <v>0</v>
          </cell>
        </row>
        <row r="18189">
          <cell r="P18189">
            <v>0</v>
          </cell>
        </row>
        <row r="18190">
          <cell r="P18190">
            <v>0</v>
          </cell>
        </row>
        <row r="18191">
          <cell r="P18191">
            <v>0</v>
          </cell>
        </row>
        <row r="18192">
          <cell r="P18192">
            <v>0</v>
          </cell>
        </row>
        <row r="18193">
          <cell r="P18193">
            <v>0</v>
          </cell>
        </row>
        <row r="18194">
          <cell r="P18194">
            <v>0</v>
          </cell>
        </row>
        <row r="18195">
          <cell r="P18195">
            <v>0</v>
          </cell>
        </row>
        <row r="18196">
          <cell r="P18196">
            <v>0</v>
          </cell>
        </row>
        <row r="18197">
          <cell r="P18197">
            <v>0</v>
          </cell>
        </row>
        <row r="18198">
          <cell r="P18198">
            <v>0</v>
          </cell>
        </row>
        <row r="18199">
          <cell r="P18199">
            <v>0</v>
          </cell>
        </row>
        <row r="18200">
          <cell r="P18200">
            <v>0</v>
          </cell>
        </row>
        <row r="18201">
          <cell r="P18201">
            <v>0</v>
          </cell>
        </row>
        <row r="18202">
          <cell r="P18202">
            <v>0</v>
          </cell>
        </row>
        <row r="18203">
          <cell r="P18203">
            <v>0</v>
          </cell>
        </row>
        <row r="18204">
          <cell r="P18204">
            <v>0</v>
          </cell>
        </row>
        <row r="18205">
          <cell r="P18205">
            <v>0</v>
          </cell>
        </row>
        <row r="18206">
          <cell r="P18206">
            <v>0</v>
          </cell>
        </row>
        <row r="18207">
          <cell r="P18207">
            <v>0</v>
          </cell>
        </row>
        <row r="18208">
          <cell r="P18208">
            <v>0</v>
          </cell>
        </row>
        <row r="18209">
          <cell r="P18209">
            <v>0</v>
          </cell>
        </row>
        <row r="18210">
          <cell r="P18210">
            <v>0</v>
          </cell>
        </row>
        <row r="18211">
          <cell r="P18211">
            <v>0</v>
          </cell>
        </row>
        <row r="18212">
          <cell r="P18212">
            <v>0</v>
          </cell>
        </row>
        <row r="18213">
          <cell r="P18213">
            <v>0</v>
          </cell>
        </row>
        <row r="18214">
          <cell r="P18214">
            <v>0</v>
          </cell>
        </row>
        <row r="18215">
          <cell r="P18215">
            <v>0</v>
          </cell>
        </row>
        <row r="18216">
          <cell r="P18216">
            <v>0</v>
          </cell>
        </row>
        <row r="18217">
          <cell r="P18217">
            <v>0</v>
          </cell>
        </row>
        <row r="18218">
          <cell r="P18218">
            <v>0</v>
          </cell>
        </row>
        <row r="18219">
          <cell r="P18219">
            <v>0</v>
          </cell>
        </row>
        <row r="18220">
          <cell r="P18220">
            <v>0</v>
          </cell>
        </row>
        <row r="18221">
          <cell r="P18221">
            <v>0</v>
          </cell>
        </row>
        <row r="18222">
          <cell r="P18222">
            <v>0</v>
          </cell>
        </row>
        <row r="18223">
          <cell r="P18223">
            <v>0</v>
          </cell>
        </row>
        <row r="18224">
          <cell r="P18224">
            <v>0</v>
          </cell>
        </row>
        <row r="18225">
          <cell r="P18225">
            <v>0</v>
          </cell>
        </row>
        <row r="18226">
          <cell r="P18226">
            <v>0</v>
          </cell>
        </row>
        <row r="18227">
          <cell r="P18227">
            <v>0</v>
          </cell>
        </row>
        <row r="18228">
          <cell r="P18228">
            <v>0</v>
          </cell>
        </row>
        <row r="18229">
          <cell r="P18229">
            <v>0</v>
          </cell>
        </row>
        <row r="18230">
          <cell r="P18230">
            <v>0</v>
          </cell>
        </row>
        <row r="18231">
          <cell r="P18231">
            <v>0</v>
          </cell>
        </row>
        <row r="18232">
          <cell r="P18232">
            <v>0</v>
          </cell>
        </row>
        <row r="18233">
          <cell r="P18233">
            <v>0</v>
          </cell>
        </row>
        <row r="18234">
          <cell r="P18234">
            <v>0</v>
          </cell>
        </row>
        <row r="18235">
          <cell r="P18235">
            <v>0</v>
          </cell>
        </row>
        <row r="18236">
          <cell r="P18236">
            <v>0</v>
          </cell>
        </row>
        <row r="18237">
          <cell r="P18237">
            <v>0</v>
          </cell>
        </row>
        <row r="18238">
          <cell r="P18238">
            <v>0</v>
          </cell>
        </row>
        <row r="18239">
          <cell r="P18239">
            <v>0</v>
          </cell>
        </row>
        <row r="18240">
          <cell r="P18240">
            <v>0</v>
          </cell>
        </row>
        <row r="18241">
          <cell r="P18241">
            <v>0</v>
          </cell>
        </row>
        <row r="18242">
          <cell r="P18242">
            <v>0</v>
          </cell>
        </row>
        <row r="18243">
          <cell r="P18243">
            <v>0</v>
          </cell>
        </row>
        <row r="18244">
          <cell r="P18244">
            <v>0</v>
          </cell>
        </row>
        <row r="18245">
          <cell r="P18245">
            <v>0</v>
          </cell>
        </row>
        <row r="18246">
          <cell r="P18246">
            <v>0</v>
          </cell>
        </row>
        <row r="18247">
          <cell r="P18247">
            <v>0</v>
          </cell>
        </row>
        <row r="18248">
          <cell r="P18248">
            <v>0</v>
          </cell>
        </row>
        <row r="18249">
          <cell r="P18249">
            <v>0</v>
          </cell>
        </row>
        <row r="18250">
          <cell r="P18250">
            <v>0</v>
          </cell>
        </row>
        <row r="18251">
          <cell r="P18251">
            <v>0</v>
          </cell>
        </row>
        <row r="18252">
          <cell r="P18252">
            <v>0</v>
          </cell>
        </row>
        <row r="18253">
          <cell r="P18253">
            <v>0</v>
          </cell>
        </row>
        <row r="18254">
          <cell r="P18254">
            <v>0</v>
          </cell>
        </row>
        <row r="18255">
          <cell r="P18255">
            <v>0</v>
          </cell>
        </row>
        <row r="18256">
          <cell r="P18256">
            <v>0</v>
          </cell>
        </row>
        <row r="18257">
          <cell r="P18257">
            <v>0</v>
          </cell>
        </row>
        <row r="18258">
          <cell r="P18258">
            <v>0</v>
          </cell>
        </row>
        <row r="18259">
          <cell r="P18259">
            <v>0</v>
          </cell>
        </row>
        <row r="18260">
          <cell r="P18260">
            <v>0</v>
          </cell>
        </row>
        <row r="18261">
          <cell r="P18261">
            <v>0</v>
          </cell>
        </row>
        <row r="18262">
          <cell r="P18262">
            <v>0</v>
          </cell>
        </row>
        <row r="18263">
          <cell r="P18263">
            <v>0</v>
          </cell>
        </row>
        <row r="18264">
          <cell r="P18264">
            <v>0</v>
          </cell>
        </row>
        <row r="18265">
          <cell r="P18265">
            <v>0</v>
          </cell>
        </row>
        <row r="18266">
          <cell r="P18266">
            <v>0</v>
          </cell>
        </row>
        <row r="18267">
          <cell r="P18267">
            <v>0</v>
          </cell>
        </row>
        <row r="18268">
          <cell r="P18268">
            <v>0</v>
          </cell>
        </row>
        <row r="18269">
          <cell r="P18269">
            <v>0</v>
          </cell>
        </row>
        <row r="18270">
          <cell r="P18270">
            <v>0</v>
          </cell>
        </row>
        <row r="18271">
          <cell r="P18271">
            <v>0</v>
          </cell>
        </row>
        <row r="18272">
          <cell r="P18272">
            <v>0</v>
          </cell>
        </row>
        <row r="18273">
          <cell r="P18273">
            <v>0</v>
          </cell>
        </row>
        <row r="18274">
          <cell r="P18274">
            <v>0</v>
          </cell>
        </row>
        <row r="18275">
          <cell r="P18275">
            <v>0</v>
          </cell>
        </row>
        <row r="18276">
          <cell r="P18276">
            <v>0</v>
          </cell>
        </row>
        <row r="18277">
          <cell r="P18277">
            <v>0</v>
          </cell>
        </row>
        <row r="18278">
          <cell r="P18278">
            <v>0</v>
          </cell>
        </row>
        <row r="18279">
          <cell r="P18279">
            <v>0</v>
          </cell>
        </row>
        <row r="18280">
          <cell r="P18280">
            <v>0</v>
          </cell>
        </row>
        <row r="18281">
          <cell r="P18281">
            <v>0</v>
          </cell>
        </row>
        <row r="18282">
          <cell r="P18282">
            <v>0</v>
          </cell>
        </row>
        <row r="18283">
          <cell r="P18283">
            <v>0</v>
          </cell>
        </row>
        <row r="18284">
          <cell r="P18284">
            <v>0</v>
          </cell>
        </row>
        <row r="18285">
          <cell r="P18285">
            <v>0</v>
          </cell>
        </row>
        <row r="18286">
          <cell r="P18286">
            <v>0</v>
          </cell>
        </row>
        <row r="18287">
          <cell r="P18287">
            <v>0</v>
          </cell>
        </row>
        <row r="18288">
          <cell r="P18288">
            <v>0</v>
          </cell>
        </row>
        <row r="18289">
          <cell r="P18289">
            <v>0</v>
          </cell>
        </row>
        <row r="18290">
          <cell r="P18290">
            <v>0</v>
          </cell>
        </row>
        <row r="18291">
          <cell r="P18291">
            <v>0</v>
          </cell>
        </row>
        <row r="18292">
          <cell r="P18292">
            <v>0</v>
          </cell>
        </row>
        <row r="18293">
          <cell r="P18293">
            <v>0</v>
          </cell>
        </row>
        <row r="18294">
          <cell r="P18294">
            <v>0</v>
          </cell>
        </row>
        <row r="18295">
          <cell r="P18295">
            <v>0</v>
          </cell>
        </row>
        <row r="18296">
          <cell r="P18296">
            <v>0</v>
          </cell>
        </row>
        <row r="18297">
          <cell r="P18297">
            <v>0</v>
          </cell>
        </row>
        <row r="18298">
          <cell r="P18298">
            <v>0</v>
          </cell>
        </row>
        <row r="18299">
          <cell r="P18299">
            <v>0</v>
          </cell>
        </row>
        <row r="18300">
          <cell r="P18300">
            <v>0</v>
          </cell>
        </row>
        <row r="18301">
          <cell r="P18301">
            <v>0</v>
          </cell>
        </row>
        <row r="18302">
          <cell r="P18302">
            <v>0</v>
          </cell>
        </row>
        <row r="18303">
          <cell r="P18303">
            <v>0</v>
          </cell>
        </row>
        <row r="18304">
          <cell r="P18304">
            <v>0</v>
          </cell>
        </row>
        <row r="18305">
          <cell r="P18305">
            <v>0</v>
          </cell>
        </row>
        <row r="18306">
          <cell r="P18306">
            <v>0</v>
          </cell>
        </row>
        <row r="18307">
          <cell r="P18307">
            <v>0</v>
          </cell>
        </row>
        <row r="18308">
          <cell r="P18308">
            <v>0</v>
          </cell>
        </row>
        <row r="18309">
          <cell r="P18309">
            <v>0</v>
          </cell>
        </row>
        <row r="18310">
          <cell r="P18310">
            <v>0</v>
          </cell>
        </row>
        <row r="18311">
          <cell r="P18311">
            <v>0</v>
          </cell>
        </row>
        <row r="18312">
          <cell r="P18312">
            <v>0</v>
          </cell>
        </row>
        <row r="18313">
          <cell r="P18313">
            <v>0</v>
          </cell>
        </row>
        <row r="18314">
          <cell r="P18314">
            <v>0</v>
          </cell>
        </row>
        <row r="18315">
          <cell r="P18315">
            <v>0</v>
          </cell>
        </row>
        <row r="18316">
          <cell r="P18316">
            <v>0</v>
          </cell>
        </row>
        <row r="18317">
          <cell r="P18317">
            <v>0</v>
          </cell>
        </row>
        <row r="18318">
          <cell r="P18318">
            <v>0</v>
          </cell>
        </row>
        <row r="18319">
          <cell r="P18319">
            <v>0</v>
          </cell>
        </row>
        <row r="18320">
          <cell r="P18320">
            <v>0</v>
          </cell>
        </row>
        <row r="18321">
          <cell r="P18321">
            <v>0</v>
          </cell>
        </row>
        <row r="18322">
          <cell r="P18322">
            <v>0</v>
          </cell>
        </row>
        <row r="18323">
          <cell r="P18323">
            <v>0</v>
          </cell>
        </row>
        <row r="18324">
          <cell r="P18324">
            <v>0</v>
          </cell>
        </row>
        <row r="18325">
          <cell r="P18325">
            <v>0</v>
          </cell>
        </row>
        <row r="18326">
          <cell r="P18326">
            <v>0</v>
          </cell>
        </row>
        <row r="18327">
          <cell r="P18327">
            <v>0</v>
          </cell>
        </row>
        <row r="18328">
          <cell r="P18328">
            <v>0</v>
          </cell>
        </row>
        <row r="18329">
          <cell r="P18329">
            <v>0</v>
          </cell>
        </row>
        <row r="18330">
          <cell r="P18330">
            <v>0</v>
          </cell>
        </row>
        <row r="18331">
          <cell r="P18331">
            <v>0</v>
          </cell>
        </row>
        <row r="18332">
          <cell r="P18332">
            <v>0</v>
          </cell>
        </row>
        <row r="18333">
          <cell r="P18333">
            <v>0</v>
          </cell>
        </row>
        <row r="18334">
          <cell r="P18334">
            <v>0</v>
          </cell>
        </row>
        <row r="18335">
          <cell r="P18335">
            <v>0</v>
          </cell>
        </row>
        <row r="18336">
          <cell r="P18336">
            <v>0</v>
          </cell>
        </row>
        <row r="18337">
          <cell r="P18337">
            <v>0</v>
          </cell>
        </row>
        <row r="18338">
          <cell r="P18338">
            <v>0</v>
          </cell>
        </row>
        <row r="18339">
          <cell r="P18339">
            <v>0</v>
          </cell>
        </row>
        <row r="18340">
          <cell r="P18340">
            <v>0</v>
          </cell>
        </row>
        <row r="18341">
          <cell r="P18341">
            <v>0</v>
          </cell>
        </row>
        <row r="18342">
          <cell r="P18342">
            <v>0</v>
          </cell>
        </row>
        <row r="18343">
          <cell r="P18343">
            <v>0</v>
          </cell>
        </row>
        <row r="18344">
          <cell r="P18344">
            <v>0</v>
          </cell>
        </row>
        <row r="18345">
          <cell r="P18345">
            <v>0</v>
          </cell>
        </row>
        <row r="18346">
          <cell r="P18346">
            <v>0</v>
          </cell>
        </row>
        <row r="18347">
          <cell r="P18347">
            <v>0</v>
          </cell>
        </row>
        <row r="18348">
          <cell r="P18348">
            <v>0</v>
          </cell>
        </row>
        <row r="18349">
          <cell r="P18349">
            <v>0</v>
          </cell>
        </row>
        <row r="18350">
          <cell r="P18350">
            <v>0</v>
          </cell>
        </row>
        <row r="18351">
          <cell r="P18351">
            <v>0</v>
          </cell>
        </row>
        <row r="18352">
          <cell r="P18352">
            <v>0</v>
          </cell>
        </row>
        <row r="18353">
          <cell r="P18353">
            <v>0</v>
          </cell>
        </row>
        <row r="18354">
          <cell r="P18354">
            <v>0</v>
          </cell>
        </row>
        <row r="18355">
          <cell r="P18355">
            <v>0</v>
          </cell>
        </row>
        <row r="18356">
          <cell r="P18356">
            <v>0</v>
          </cell>
        </row>
        <row r="18357">
          <cell r="P18357">
            <v>0</v>
          </cell>
        </row>
        <row r="18358">
          <cell r="P18358">
            <v>0</v>
          </cell>
        </row>
        <row r="18359">
          <cell r="P18359">
            <v>0</v>
          </cell>
        </row>
        <row r="18360">
          <cell r="P18360">
            <v>0</v>
          </cell>
        </row>
        <row r="18361">
          <cell r="P18361">
            <v>0</v>
          </cell>
        </row>
        <row r="18362">
          <cell r="P18362">
            <v>0</v>
          </cell>
        </row>
        <row r="18363">
          <cell r="P18363">
            <v>0</v>
          </cell>
        </row>
        <row r="18364">
          <cell r="P18364">
            <v>0</v>
          </cell>
        </row>
        <row r="18365">
          <cell r="P18365">
            <v>0</v>
          </cell>
        </row>
        <row r="18366">
          <cell r="P18366">
            <v>0</v>
          </cell>
        </row>
        <row r="18367">
          <cell r="P18367">
            <v>0</v>
          </cell>
        </row>
        <row r="18368">
          <cell r="P18368">
            <v>0</v>
          </cell>
        </row>
        <row r="18369">
          <cell r="P18369">
            <v>0</v>
          </cell>
        </row>
        <row r="18370">
          <cell r="P18370">
            <v>0</v>
          </cell>
        </row>
        <row r="18371">
          <cell r="P18371">
            <v>0</v>
          </cell>
        </row>
        <row r="18372">
          <cell r="P18372">
            <v>0</v>
          </cell>
        </row>
        <row r="18373">
          <cell r="P18373">
            <v>0</v>
          </cell>
        </row>
        <row r="18374">
          <cell r="P18374">
            <v>0</v>
          </cell>
        </row>
        <row r="18375">
          <cell r="P18375">
            <v>0</v>
          </cell>
        </row>
        <row r="18376">
          <cell r="P18376">
            <v>0</v>
          </cell>
        </row>
        <row r="18377">
          <cell r="P18377">
            <v>0</v>
          </cell>
        </row>
        <row r="18378">
          <cell r="P18378">
            <v>0</v>
          </cell>
        </row>
        <row r="18379">
          <cell r="P18379">
            <v>0</v>
          </cell>
        </row>
        <row r="18380">
          <cell r="P18380">
            <v>0</v>
          </cell>
        </row>
        <row r="18381">
          <cell r="P18381">
            <v>0</v>
          </cell>
        </row>
        <row r="18382">
          <cell r="P18382">
            <v>0</v>
          </cell>
        </row>
        <row r="18383">
          <cell r="P18383">
            <v>0</v>
          </cell>
        </row>
        <row r="18384">
          <cell r="P18384">
            <v>0</v>
          </cell>
        </row>
        <row r="18385">
          <cell r="P18385">
            <v>0</v>
          </cell>
        </row>
        <row r="18386">
          <cell r="P18386">
            <v>0</v>
          </cell>
        </row>
        <row r="18387">
          <cell r="P18387">
            <v>0</v>
          </cell>
        </row>
        <row r="18388">
          <cell r="P18388">
            <v>0</v>
          </cell>
        </row>
        <row r="18389">
          <cell r="P18389">
            <v>0</v>
          </cell>
        </row>
        <row r="18390">
          <cell r="P18390">
            <v>0</v>
          </cell>
        </row>
        <row r="18391">
          <cell r="P18391">
            <v>0</v>
          </cell>
        </row>
        <row r="18392">
          <cell r="P18392">
            <v>0</v>
          </cell>
        </row>
        <row r="18393">
          <cell r="P18393">
            <v>0</v>
          </cell>
        </row>
        <row r="18394">
          <cell r="P18394">
            <v>0</v>
          </cell>
        </row>
        <row r="18395">
          <cell r="P18395">
            <v>0</v>
          </cell>
        </row>
        <row r="18396">
          <cell r="P18396">
            <v>0</v>
          </cell>
        </row>
        <row r="18397">
          <cell r="P18397">
            <v>0</v>
          </cell>
        </row>
        <row r="18398">
          <cell r="P18398">
            <v>0</v>
          </cell>
        </row>
        <row r="18399">
          <cell r="P18399">
            <v>0</v>
          </cell>
        </row>
        <row r="18400">
          <cell r="P18400">
            <v>0</v>
          </cell>
        </row>
        <row r="18401">
          <cell r="P18401">
            <v>0</v>
          </cell>
        </row>
        <row r="18402">
          <cell r="P18402">
            <v>0</v>
          </cell>
        </row>
        <row r="18403">
          <cell r="P18403">
            <v>0</v>
          </cell>
        </row>
        <row r="18404">
          <cell r="P18404">
            <v>0</v>
          </cell>
        </row>
        <row r="18405">
          <cell r="P18405">
            <v>0</v>
          </cell>
        </row>
        <row r="18406">
          <cell r="P18406">
            <v>0</v>
          </cell>
        </row>
        <row r="18407">
          <cell r="P18407">
            <v>0</v>
          </cell>
        </row>
        <row r="18408">
          <cell r="P18408">
            <v>0</v>
          </cell>
        </row>
        <row r="18409">
          <cell r="P18409">
            <v>0</v>
          </cell>
        </row>
        <row r="18410">
          <cell r="P18410">
            <v>0</v>
          </cell>
        </row>
        <row r="18411">
          <cell r="P18411">
            <v>0</v>
          </cell>
        </row>
        <row r="18412">
          <cell r="P18412">
            <v>0</v>
          </cell>
        </row>
        <row r="18413">
          <cell r="P18413">
            <v>0</v>
          </cell>
        </row>
        <row r="18414">
          <cell r="P18414">
            <v>0</v>
          </cell>
        </row>
        <row r="18415">
          <cell r="P18415">
            <v>0</v>
          </cell>
        </row>
        <row r="18416">
          <cell r="P18416">
            <v>0</v>
          </cell>
        </row>
        <row r="18417">
          <cell r="P18417">
            <v>0</v>
          </cell>
        </row>
        <row r="18418">
          <cell r="P18418">
            <v>0</v>
          </cell>
        </row>
        <row r="18419">
          <cell r="P18419">
            <v>0</v>
          </cell>
        </row>
        <row r="18420">
          <cell r="P18420">
            <v>0</v>
          </cell>
        </row>
        <row r="18421">
          <cell r="P18421">
            <v>0</v>
          </cell>
        </row>
        <row r="18422">
          <cell r="P18422">
            <v>0</v>
          </cell>
        </row>
        <row r="18423">
          <cell r="P18423">
            <v>0</v>
          </cell>
        </row>
        <row r="18424">
          <cell r="P18424">
            <v>0</v>
          </cell>
        </row>
        <row r="18425">
          <cell r="P18425">
            <v>0</v>
          </cell>
        </row>
        <row r="18426">
          <cell r="P18426">
            <v>0</v>
          </cell>
        </row>
        <row r="18427">
          <cell r="P18427">
            <v>0</v>
          </cell>
        </row>
        <row r="18428">
          <cell r="P18428">
            <v>0</v>
          </cell>
        </row>
        <row r="18429">
          <cell r="P18429">
            <v>0</v>
          </cell>
        </row>
        <row r="18430">
          <cell r="P18430">
            <v>0</v>
          </cell>
        </row>
        <row r="18431">
          <cell r="P18431">
            <v>0</v>
          </cell>
        </row>
        <row r="18432">
          <cell r="P18432">
            <v>0</v>
          </cell>
        </row>
        <row r="18433">
          <cell r="P18433">
            <v>0</v>
          </cell>
        </row>
        <row r="18434">
          <cell r="P18434">
            <v>0</v>
          </cell>
        </row>
        <row r="18435">
          <cell r="P18435">
            <v>0</v>
          </cell>
        </row>
        <row r="18436">
          <cell r="P18436">
            <v>0</v>
          </cell>
        </row>
        <row r="18437">
          <cell r="P18437">
            <v>0</v>
          </cell>
        </row>
        <row r="18438">
          <cell r="P18438">
            <v>0</v>
          </cell>
        </row>
        <row r="18439">
          <cell r="P18439">
            <v>0</v>
          </cell>
        </row>
        <row r="18440">
          <cell r="P18440">
            <v>0</v>
          </cell>
        </row>
        <row r="18441">
          <cell r="P18441">
            <v>0</v>
          </cell>
        </row>
        <row r="18442">
          <cell r="P18442">
            <v>0</v>
          </cell>
        </row>
        <row r="18443">
          <cell r="P18443">
            <v>0</v>
          </cell>
        </row>
        <row r="18444">
          <cell r="P18444">
            <v>0</v>
          </cell>
        </row>
        <row r="18445">
          <cell r="P18445">
            <v>0</v>
          </cell>
        </row>
        <row r="18446">
          <cell r="P18446">
            <v>0</v>
          </cell>
        </row>
        <row r="18447">
          <cell r="P18447">
            <v>0</v>
          </cell>
        </row>
        <row r="18448">
          <cell r="P18448">
            <v>0</v>
          </cell>
        </row>
        <row r="18449">
          <cell r="P18449">
            <v>0</v>
          </cell>
        </row>
        <row r="18450">
          <cell r="P18450">
            <v>0</v>
          </cell>
        </row>
        <row r="18451">
          <cell r="P18451">
            <v>0</v>
          </cell>
        </row>
        <row r="18452">
          <cell r="P18452">
            <v>0</v>
          </cell>
        </row>
        <row r="18453">
          <cell r="P18453">
            <v>0</v>
          </cell>
        </row>
        <row r="18454">
          <cell r="P18454">
            <v>0</v>
          </cell>
        </row>
        <row r="18455">
          <cell r="P18455">
            <v>0</v>
          </cell>
        </row>
        <row r="18456">
          <cell r="P18456">
            <v>0</v>
          </cell>
        </row>
        <row r="18457">
          <cell r="P18457">
            <v>0</v>
          </cell>
        </row>
        <row r="18458">
          <cell r="P18458">
            <v>0</v>
          </cell>
        </row>
        <row r="18459">
          <cell r="P18459">
            <v>0</v>
          </cell>
        </row>
        <row r="18460">
          <cell r="P18460">
            <v>0</v>
          </cell>
        </row>
        <row r="18461">
          <cell r="P18461">
            <v>0</v>
          </cell>
        </row>
        <row r="18462">
          <cell r="P18462">
            <v>0</v>
          </cell>
        </row>
        <row r="18463">
          <cell r="P18463">
            <v>0</v>
          </cell>
        </row>
        <row r="18464">
          <cell r="P18464">
            <v>0</v>
          </cell>
        </row>
        <row r="18465">
          <cell r="P18465">
            <v>0</v>
          </cell>
        </row>
        <row r="18466">
          <cell r="P18466">
            <v>0</v>
          </cell>
        </row>
        <row r="18467">
          <cell r="P18467">
            <v>0</v>
          </cell>
        </row>
        <row r="18468">
          <cell r="P18468">
            <v>0</v>
          </cell>
        </row>
        <row r="18469">
          <cell r="P18469">
            <v>0</v>
          </cell>
        </row>
        <row r="18470">
          <cell r="P18470">
            <v>0</v>
          </cell>
        </row>
        <row r="18471">
          <cell r="P18471">
            <v>0</v>
          </cell>
        </row>
        <row r="18472">
          <cell r="P18472">
            <v>0</v>
          </cell>
        </row>
        <row r="18473">
          <cell r="P18473">
            <v>0</v>
          </cell>
        </row>
        <row r="18474">
          <cell r="P18474">
            <v>0</v>
          </cell>
        </row>
        <row r="18475">
          <cell r="P18475">
            <v>0</v>
          </cell>
        </row>
        <row r="18476">
          <cell r="P18476">
            <v>0</v>
          </cell>
        </row>
        <row r="18477">
          <cell r="P18477">
            <v>0</v>
          </cell>
        </row>
        <row r="18478">
          <cell r="P18478">
            <v>0</v>
          </cell>
        </row>
        <row r="18479">
          <cell r="P18479">
            <v>0</v>
          </cell>
        </row>
        <row r="18480">
          <cell r="P18480">
            <v>0</v>
          </cell>
        </row>
        <row r="18481">
          <cell r="P18481">
            <v>0</v>
          </cell>
        </row>
        <row r="18482">
          <cell r="P18482">
            <v>0</v>
          </cell>
        </row>
        <row r="18483">
          <cell r="P18483">
            <v>0</v>
          </cell>
        </row>
        <row r="18484">
          <cell r="P18484">
            <v>0</v>
          </cell>
        </row>
        <row r="18485">
          <cell r="P18485">
            <v>0</v>
          </cell>
        </row>
        <row r="18486">
          <cell r="P18486">
            <v>0</v>
          </cell>
        </row>
        <row r="18487">
          <cell r="P18487">
            <v>0</v>
          </cell>
        </row>
        <row r="18488">
          <cell r="P18488">
            <v>0</v>
          </cell>
        </row>
        <row r="18489">
          <cell r="P18489">
            <v>0</v>
          </cell>
        </row>
        <row r="18490">
          <cell r="P18490">
            <v>0</v>
          </cell>
        </row>
        <row r="18491">
          <cell r="P18491">
            <v>0</v>
          </cell>
        </row>
        <row r="18492">
          <cell r="P18492">
            <v>0</v>
          </cell>
        </row>
        <row r="18493">
          <cell r="P18493">
            <v>0</v>
          </cell>
        </row>
        <row r="18494">
          <cell r="P18494">
            <v>0</v>
          </cell>
        </row>
        <row r="18495">
          <cell r="P18495">
            <v>0</v>
          </cell>
        </row>
        <row r="18496">
          <cell r="P18496">
            <v>0</v>
          </cell>
        </row>
        <row r="18497">
          <cell r="P18497">
            <v>0</v>
          </cell>
        </row>
        <row r="18498">
          <cell r="P18498">
            <v>0</v>
          </cell>
        </row>
        <row r="18499">
          <cell r="P18499">
            <v>0</v>
          </cell>
        </row>
        <row r="18500">
          <cell r="P18500">
            <v>0</v>
          </cell>
        </row>
        <row r="18501">
          <cell r="P18501">
            <v>0</v>
          </cell>
        </row>
        <row r="18502">
          <cell r="P18502">
            <v>0</v>
          </cell>
        </row>
        <row r="18503">
          <cell r="P18503">
            <v>0</v>
          </cell>
        </row>
        <row r="18504">
          <cell r="P18504">
            <v>0</v>
          </cell>
        </row>
        <row r="18505">
          <cell r="P18505">
            <v>0</v>
          </cell>
        </row>
        <row r="18506">
          <cell r="P18506">
            <v>0</v>
          </cell>
        </row>
        <row r="18507">
          <cell r="P18507">
            <v>0</v>
          </cell>
        </row>
        <row r="18508">
          <cell r="P18508">
            <v>0</v>
          </cell>
        </row>
        <row r="18509">
          <cell r="P18509">
            <v>0</v>
          </cell>
        </row>
        <row r="18510">
          <cell r="P18510">
            <v>0</v>
          </cell>
        </row>
        <row r="18511">
          <cell r="P18511">
            <v>0</v>
          </cell>
        </row>
        <row r="18512">
          <cell r="P18512">
            <v>0</v>
          </cell>
        </row>
        <row r="18513">
          <cell r="P18513">
            <v>0</v>
          </cell>
        </row>
        <row r="18514">
          <cell r="P18514">
            <v>0</v>
          </cell>
        </row>
        <row r="18515">
          <cell r="P18515">
            <v>0</v>
          </cell>
        </row>
        <row r="18516">
          <cell r="P18516">
            <v>0</v>
          </cell>
        </row>
        <row r="18517">
          <cell r="P18517">
            <v>0</v>
          </cell>
        </row>
        <row r="18518">
          <cell r="P18518">
            <v>0</v>
          </cell>
        </row>
        <row r="18519">
          <cell r="P18519">
            <v>0</v>
          </cell>
        </row>
        <row r="18520">
          <cell r="P18520">
            <v>0</v>
          </cell>
        </row>
        <row r="18521">
          <cell r="P18521">
            <v>0</v>
          </cell>
        </row>
        <row r="18522">
          <cell r="P18522">
            <v>0</v>
          </cell>
        </row>
        <row r="18523">
          <cell r="P18523">
            <v>0</v>
          </cell>
        </row>
        <row r="18524">
          <cell r="P18524">
            <v>0</v>
          </cell>
        </row>
        <row r="18525">
          <cell r="P18525">
            <v>0</v>
          </cell>
        </row>
        <row r="18526">
          <cell r="P18526">
            <v>0</v>
          </cell>
        </row>
        <row r="18527">
          <cell r="P18527">
            <v>0</v>
          </cell>
        </row>
        <row r="18528">
          <cell r="P18528">
            <v>0</v>
          </cell>
        </row>
        <row r="18529">
          <cell r="P18529">
            <v>0</v>
          </cell>
        </row>
        <row r="18530">
          <cell r="P18530">
            <v>0</v>
          </cell>
        </row>
        <row r="18531">
          <cell r="P18531">
            <v>0</v>
          </cell>
        </row>
        <row r="18532">
          <cell r="P18532">
            <v>0</v>
          </cell>
        </row>
        <row r="18533">
          <cell r="P18533">
            <v>0</v>
          </cell>
        </row>
        <row r="18534">
          <cell r="P18534">
            <v>0</v>
          </cell>
        </row>
        <row r="18535">
          <cell r="P18535">
            <v>0</v>
          </cell>
        </row>
        <row r="18536">
          <cell r="P18536">
            <v>0</v>
          </cell>
        </row>
        <row r="18537">
          <cell r="P18537">
            <v>0</v>
          </cell>
        </row>
        <row r="18538">
          <cell r="P18538">
            <v>0</v>
          </cell>
        </row>
        <row r="18539">
          <cell r="P18539">
            <v>0</v>
          </cell>
        </row>
        <row r="18540">
          <cell r="P18540">
            <v>0</v>
          </cell>
        </row>
        <row r="18541">
          <cell r="P18541">
            <v>0</v>
          </cell>
        </row>
        <row r="18542">
          <cell r="P18542">
            <v>0</v>
          </cell>
        </row>
        <row r="18543">
          <cell r="P18543">
            <v>0</v>
          </cell>
        </row>
        <row r="18544">
          <cell r="P18544">
            <v>0</v>
          </cell>
        </row>
        <row r="18545">
          <cell r="P18545">
            <v>0</v>
          </cell>
        </row>
        <row r="18546">
          <cell r="P18546">
            <v>0</v>
          </cell>
        </row>
        <row r="18547">
          <cell r="P18547">
            <v>0</v>
          </cell>
        </row>
        <row r="18548">
          <cell r="P18548">
            <v>0</v>
          </cell>
        </row>
        <row r="18549">
          <cell r="P18549">
            <v>0</v>
          </cell>
        </row>
        <row r="18550">
          <cell r="P18550">
            <v>0</v>
          </cell>
        </row>
        <row r="18551">
          <cell r="P18551">
            <v>0</v>
          </cell>
        </row>
        <row r="18552">
          <cell r="P18552">
            <v>0</v>
          </cell>
        </row>
        <row r="18553">
          <cell r="P18553">
            <v>0</v>
          </cell>
        </row>
        <row r="18554">
          <cell r="P18554">
            <v>0</v>
          </cell>
        </row>
        <row r="18555">
          <cell r="P18555">
            <v>0</v>
          </cell>
        </row>
        <row r="18556">
          <cell r="P18556">
            <v>0</v>
          </cell>
        </row>
        <row r="18557">
          <cell r="P18557">
            <v>0</v>
          </cell>
        </row>
        <row r="18558">
          <cell r="P18558">
            <v>0</v>
          </cell>
        </row>
        <row r="18559">
          <cell r="P18559">
            <v>0</v>
          </cell>
        </row>
        <row r="18560">
          <cell r="P18560">
            <v>0</v>
          </cell>
        </row>
        <row r="18561">
          <cell r="P18561">
            <v>0</v>
          </cell>
        </row>
        <row r="18562">
          <cell r="P18562">
            <v>0</v>
          </cell>
        </row>
        <row r="18563">
          <cell r="P18563">
            <v>0</v>
          </cell>
        </row>
        <row r="18564">
          <cell r="P18564">
            <v>0</v>
          </cell>
        </row>
        <row r="18565">
          <cell r="P18565">
            <v>0</v>
          </cell>
        </row>
        <row r="18566">
          <cell r="P18566">
            <v>0</v>
          </cell>
        </row>
        <row r="18567">
          <cell r="P18567">
            <v>0</v>
          </cell>
        </row>
        <row r="18568">
          <cell r="P18568">
            <v>0</v>
          </cell>
        </row>
        <row r="18569">
          <cell r="P18569">
            <v>0</v>
          </cell>
        </row>
        <row r="18570">
          <cell r="P18570">
            <v>0</v>
          </cell>
        </row>
        <row r="18571">
          <cell r="P18571">
            <v>0</v>
          </cell>
        </row>
        <row r="18572">
          <cell r="P18572">
            <v>0</v>
          </cell>
        </row>
        <row r="18573">
          <cell r="P18573">
            <v>0</v>
          </cell>
        </row>
        <row r="18574">
          <cell r="P18574">
            <v>0</v>
          </cell>
        </row>
        <row r="18575">
          <cell r="P18575">
            <v>0</v>
          </cell>
        </row>
        <row r="18576">
          <cell r="P18576">
            <v>0</v>
          </cell>
        </row>
        <row r="18577">
          <cell r="P18577">
            <v>0</v>
          </cell>
        </row>
        <row r="18578">
          <cell r="P18578">
            <v>0</v>
          </cell>
        </row>
        <row r="18579">
          <cell r="P18579">
            <v>0</v>
          </cell>
        </row>
        <row r="18580">
          <cell r="P18580">
            <v>0</v>
          </cell>
        </row>
        <row r="18581">
          <cell r="P18581">
            <v>0</v>
          </cell>
        </row>
        <row r="18582">
          <cell r="P18582">
            <v>0</v>
          </cell>
        </row>
        <row r="18583">
          <cell r="P18583">
            <v>0</v>
          </cell>
        </row>
        <row r="18584">
          <cell r="P18584">
            <v>0</v>
          </cell>
        </row>
        <row r="18585">
          <cell r="P18585">
            <v>0</v>
          </cell>
        </row>
        <row r="18586">
          <cell r="P18586">
            <v>0</v>
          </cell>
        </row>
        <row r="18587">
          <cell r="P18587">
            <v>0</v>
          </cell>
        </row>
        <row r="18588">
          <cell r="P18588">
            <v>0</v>
          </cell>
        </row>
        <row r="18589">
          <cell r="P18589">
            <v>0</v>
          </cell>
        </row>
        <row r="18590">
          <cell r="P18590">
            <v>0</v>
          </cell>
        </row>
        <row r="18591">
          <cell r="P18591">
            <v>0</v>
          </cell>
        </row>
        <row r="18592">
          <cell r="P18592">
            <v>0</v>
          </cell>
        </row>
        <row r="18593">
          <cell r="P18593">
            <v>0</v>
          </cell>
        </row>
        <row r="18594">
          <cell r="P18594">
            <v>0</v>
          </cell>
        </row>
        <row r="18595">
          <cell r="P18595">
            <v>0</v>
          </cell>
        </row>
        <row r="18596">
          <cell r="P18596">
            <v>0</v>
          </cell>
        </row>
        <row r="18597">
          <cell r="P18597">
            <v>0</v>
          </cell>
        </row>
        <row r="18598">
          <cell r="P18598">
            <v>0</v>
          </cell>
        </row>
        <row r="18599">
          <cell r="P18599">
            <v>0</v>
          </cell>
        </row>
        <row r="18600">
          <cell r="P18600">
            <v>0</v>
          </cell>
        </row>
        <row r="18601">
          <cell r="P18601">
            <v>0</v>
          </cell>
        </row>
        <row r="18602">
          <cell r="P18602">
            <v>0</v>
          </cell>
        </row>
        <row r="18603">
          <cell r="P18603">
            <v>0</v>
          </cell>
        </row>
        <row r="18604">
          <cell r="P18604">
            <v>0</v>
          </cell>
        </row>
        <row r="18605">
          <cell r="P18605">
            <v>0</v>
          </cell>
        </row>
        <row r="18606">
          <cell r="P18606">
            <v>0</v>
          </cell>
        </row>
        <row r="18607">
          <cell r="P18607">
            <v>0</v>
          </cell>
        </row>
        <row r="18608">
          <cell r="P18608">
            <v>0</v>
          </cell>
        </row>
        <row r="18609">
          <cell r="P18609">
            <v>0</v>
          </cell>
        </row>
        <row r="18610">
          <cell r="P18610">
            <v>0</v>
          </cell>
        </row>
        <row r="18611">
          <cell r="P18611">
            <v>0</v>
          </cell>
        </row>
        <row r="18612">
          <cell r="P18612">
            <v>0</v>
          </cell>
        </row>
        <row r="18613">
          <cell r="P18613">
            <v>0</v>
          </cell>
        </row>
        <row r="18614">
          <cell r="P18614">
            <v>0</v>
          </cell>
        </row>
        <row r="18615">
          <cell r="P18615">
            <v>0</v>
          </cell>
        </row>
        <row r="18616">
          <cell r="P18616">
            <v>0</v>
          </cell>
        </row>
        <row r="18617">
          <cell r="P18617">
            <v>0</v>
          </cell>
        </row>
        <row r="18618">
          <cell r="P18618">
            <v>0</v>
          </cell>
        </row>
        <row r="18619">
          <cell r="P18619">
            <v>0</v>
          </cell>
        </row>
        <row r="18620">
          <cell r="P18620">
            <v>0</v>
          </cell>
        </row>
        <row r="18621">
          <cell r="P18621">
            <v>0</v>
          </cell>
        </row>
        <row r="18622">
          <cell r="P18622">
            <v>0</v>
          </cell>
        </row>
        <row r="18623">
          <cell r="P18623">
            <v>0</v>
          </cell>
        </row>
        <row r="18624">
          <cell r="P18624">
            <v>0</v>
          </cell>
        </row>
        <row r="18625">
          <cell r="P18625">
            <v>0</v>
          </cell>
        </row>
        <row r="18626">
          <cell r="P18626">
            <v>0</v>
          </cell>
        </row>
        <row r="18627">
          <cell r="P18627">
            <v>0</v>
          </cell>
        </row>
        <row r="18628">
          <cell r="P18628">
            <v>0</v>
          </cell>
        </row>
        <row r="18629">
          <cell r="P18629">
            <v>0</v>
          </cell>
        </row>
        <row r="18630">
          <cell r="P18630">
            <v>0</v>
          </cell>
        </row>
        <row r="18631">
          <cell r="P18631">
            <v>0</v>
          </cell>
        </row>
        <row r="18632">
          <cell r="P18632">
            <v>0</v>
          </cell>
        </row>
        <row r="18633">
          <cell r="P18633">
            <v>0</v>
          </cell>
        </row>
        <row r="18634">
          <cell r="P18634">
            <v>0</v>
          </cell>
        </row>
        <row r="18635">
          <cell r="P18635">
            <v>0</v>
          </cell>
        </row>
        <row r="18636">
          <cell r="P18636">
            <v>0</v>
          </cell>
        </row>
        <row r="18637">
          <cell r="P18637">
            <v>0</v>
          </cell>
        </row>
        <row r="18638">
          <cell r="P18638">
            <v>0</v>
          </cell>
        </row>
        <row r="18639">
          <cell r="P18639">
            <v>0</v>
          </cell>
        </row>
        <row r="18640">
          <cell r="P18640">
            <v>0</v>
          </cell>
        </row>
        <row r="18641">
          <cell r="P18641">
            <v>0</v>
          </cell>
        </row>
        <row r="18642">
          <cell r="P18642">
            <v>0</v>
          </cell>
        </row>
        <row r="18643">
          <cell r="P18643">
            <v>0</v>
          </cell>
        </row>
        <row r="18644">
          <cell r="P18644">
            <v>0</v>
          </cell>
        </row>
        <row r="18645">
          <cell r="P18645">
            <v>0</v>
          </cell>
        </row>
        <row r="18646">
          <cell r="P18646">
            <v>0</v>
          </cell>
        </row>
        <row r="18647">
          <cell r="P18647">
            <v>0</v>
          </cell>
        </row>
        <row r="18648">
          <cell r="P18648">
            <v>0</v>
          </cell>
        </row>
        <row r="18649">
          <cell r="P18649">
            <v>0</v>
          </cell>
        </row>
        <row r="18650">
          <cell r="P18650">
            <v>0</v>
          </cell>
        </row>
        <row r="18651">
          <cell r="P18651">
            <v>0</v>
          </cell>
        </row>
        <row r="18652">
          <cell r="P18652">
            <v>0</v>
          </cell>
        </row>
        <row r="18653">
          <cell r="P18653">
            <v>0</v>
          </cell>
        </row>
        <row r="18654">
          <cell r="P18654">
            <v>0</v>
          </cell>
        </row>
        <row r="18655">
          <cell r="P18655">
            <v>0</v>
          </cell>
        </row>
        <row r="18656">
          <cell r="P18656">
            <v>0</v>
          </cell>
        </row>
        <row r="18657">
          <cell r="P18657">
            <v>0</v>
          </cell>
        </row>
        <row r="18658">
          <cell r="P18658">
            <v>0</v>
          </cell>
        </row>
        <row r="18659">
          <cell r="P18659">
            <v>0</v>
          </cell>
        </row>
        <row r="18660">
          <cell r="P18660">
            <v>0</v>
          </cell>
        </row>
        <row r="18661">
          <cell r="P18661">
            <v>0</v>
          </cell>
        </row>
        <row r="18662">
          <cell r="P18662">
            <v>0</v>
          </cell>
        </row>
        <row r="18663">
          <cell r="P18663">
            <v>0</v>
          </cell>
        </row>
        <row r="18664">
          <cell r="P18664">
            <v>0</v>
          </cell>
        </row>
        <row r="18665">
          <cell r="P18665">
            <v>0</v>
          </cell>
        </row>
        <row r="18666">
          <cell r="P18666">
            <v>0</v>
          </cell>
        </row>
        <row r="18667">
          <cell r="P18667">
            <v>0</v>
          </cell>
        </row>
        <row r="18668">
          <cell r="P18668">
            <v>0</v>
          </cell>
        </row>
        <row r="18669">
          <cell r="P18669">
            <v>0</v>
          </cell>
        </row>
        <row r="18670">
          <cell r="P18670">
            <v>0</v>
          </cell>
        </row>
        <row r="18671">
          <cell r="P18671">
            <v>0</v>
          </cell>
        </row>
        <row r="18672">
          <cell r="P18672">
            <v>0</v>
          </cell>
        </row>
        <row r="18673">
          <cell r="P18673">
            <v>0</v>
          </cell>
        </row>
        <row r="18674">
          <cell r="P18674">
            <v>0</v>
          </cell>
        </row>
        <row r="18675">
          <cell r="P18675">
            <v>0</v>
          </cell>
        </row>
        <row r="18676">
          <cell r="P18676">
            <v>0</v>
          </cell>
        </row>
        <row r="18677">
          <cell r="P18677">
            <v>0</v>
          </cell>
        </row>
        <row r="18678">
          <cell r="P18678">
            <v>0</v>
          </cell>
        </row>
        <row r="18679">
          <cell r="P18679">
            <v>0</v>
          </cell>
        </row>
        <row r="18680">
          <cell r="P18680">
            <v>0</v>
          </cell>
        </row>
        <row r="18681">
          <cell r="P18681">
            <v>0</v>
          </cell>
        </row>
        <row r="18682">
          <cell r="P18682">
            <v>0</v>
          </cell>
        </row>
        <row r="18683">
          <cell r="P18683">
            <v>0</v>
          </cell>
        </row>
        <row r="18684">
          <cell r="P18684">
            <v>0</v>
          </cell>
        </row>
        <row r="18685">
          <cell r="P18685">
            <v>0</v>
          </cell>
        </row>
        <row r="18686">
          <cell r="P18686">
            <v>0</v>
          </cell>
        </row>
        <row r="18687">
          <cell r="P18687">
            <v>0</v>
          </cell>
        </row>
        <row r="18688">
          <cell r="P18688">
            <v>0</v>
          </cell>
        </row>
        <row r="18689">
          <cell r="P18689">
            <v>0</v>
          </cell>
        </row>
        <row r="18690">
          <cell r="P18690">
            <v>0</v>
          </cell>
        </row>
        <row r="18691">
          <cell r="P18691">
            <v>0</v>
          </cell>
        </row>
        <row r="18692">
          <cell r="P18692">
            <v>0</v>
          </cell>
        </row>
        <row r="18693">
          <cell r="P18693">
            <v>0</v>
          </cell>
        </row>
        <row r="18694">
          <cell r="P18694">
            <v>0</v>
          </cell>
        </row>
        <row r="18695">
          <cell r="P18695">
            <v>0</v>
          </cell>
        </row>
        <row r="18696">
          <cell r="P18696">
            <v>0</v>
          </cell>
        </row>
        <row r="18697">
          <cell r="P18697">
            <v>0</v>
          </cell>
        </row>
        <row r="18698">
          <cell r="P18698">
            <v>0</v>
          </cell>
        </row>
        <row r="18699">
          <cell r="P18699">
            <v>0</v>
          </cell>
        </row>
        <row r="18700">
          <cell r="P18700">
            <v>0</v>
          </cell>
        </row>
        <row r="18701">
          <cell r="P18701">
            <v>0</v>
          </cell>
        </row>
        <row r="18702">
          <cell r="P18702">
            <v>0</v>
          </cell>
        </row>
        <row r="18703">
          <cell r="P18703">
            <v>0</v>
          </cell>
        </row>
        <row r="18704">
          <cell r="P18704">
            <v>0</v>
          </cell>
        </row>
        <row r="18705">
          <cell r="P18705">
            <v>0</v>
          </cell>
        </row>
        <row r="18706">
          <cell r="P18706">
            <v>0</v>
          </cell>
        </row>
        <row r="18707">
          <cell r="P18707">
            <v>0</v>
          </cell>
        </row>
        <row r="18708">
          <cell r="P18708">
            <v>0</v>
          </cell>
        </row>
        <row r="18709">
          <cell r="P18709">
            <v>0</v>
          </cell>
        </row>
        <row r="18710">
          <cell r="P18710">
            <v>0</v>
          </cell>
        </row>
        <row r="18711">
          <cell r="P18711">
            <v>0</v>
          </cell>
        </row>
        <row r="18712">
          <cell r="P18712">
            <v>0</v>
          </cell>
        </row>
        <row r="18713">
          <cell r="P18713">
            <v>0</v>
          </cell>
        </row>
        <row r="18714">
          <cell r="P18714">
            <v>0</v>
          </cell>
        </row>
        <row r="18715">
          <cell r="P18715">
            <v>0</v>
          </cell>
        </row>
        <row r="18716">
          <cell r="P18716">
            <v>0</v>
          </cell>
        </row>
        <row r="18717">
          <cell r="P18717">
            <v>0</v>
          </cell>
        </row>
        <row r="18718">
          <cell r="P18718">
            <v>0</v>
          </cell>
        </row>
        <row r="18719">
          <cell r="P18719">
            <v>0</v>
          </cell>
        </row>
        <row r="18720">
          <cell r="P18720">
            <v>0</v>
          </cell>
        </row>
        <row r="18721">
          <cell r="P18721">
            <v>0</v>
          </cell>
        </row>
        <row r="18722">
          <cell r="P18722">
            <v>0</v>
          </cell>
        </row>
        <row r="18723">
          <cell r="P18723">
            <v>0</v>
          </cell>
        </row>
        <row r="18724">
          <cell r="P18724">
            <v>0</v>
          </cell>
        </row>
        <row r="18725">
          <cell r="P18725">
            <v>0</v>
          </cell>
        </row>
        <row r="18726">
          <cell r="P18726">
            <v>0</v>
          </cell>
        </row>
        <row r="18727">
          <cell r="P18727">
            <v>0</v>
          </cell>
        </row>
        <row r="18728">
          <cell r="P18728">
            <v>0</v>
          </cell>
        </row>
        <row r="18729">
          <cell r="P18729">
            <v>0</v>
          </cell>
        </row>
        <row r="18730">
          <cell r="P18730">
            <v>0</v>
          </cell>
        </row>
        <row r="18731">
          <cell r="P18731">
            <v>0</v>
          </cell>
        </row>
        <row r="18732">
          <cell r="P18732">
            <v>0</v>
          </cell>
        </row>
        <row r="18733">
          <cell r="P18733">
            <v>0</v>
          </cell>
        </row>
        <row r="18734">
          <cell r="P18734">
            <v>0</v>
          </cell>
        </row>
        <row r="18735">
          <cell r="P18735">
            <v>0</v>
          </cell>
        </row>
        <row r="18736">
          <cell r="P18736">
            <v>0</v>
          </cell>
        </row>
        <row r="18737">
          <cell r="P18737">
            <v>0</v>
          </cell>
        </row>
        <row r="18738">
          <cell r="P18738">
            <v>0</v>
          </cell>
        </row>
        <row r="18739">
          <cell r="P18739">
            <v>0</v>
          </cell>
        </row>
        <row r="18740">
          <cell r="P18740">
            <v>0</v>
          </cell>
        </row>
        <row r="18741">
          <cell r="P18741">
            <v>0</v>
          </cell>
        </row>
        <row r="18742">
          <cell r="P18742">
            <v>0</v>
          </cell>
        </row>
        <row r="18743">
          <cell r="P18743">
            <v>0</v>
          </cell>
        </row>
        <row r="18744">
          <cell r="P18744">
            <v>0</v>
          </cell>
        </row>
        <row r="18745">
          <cell r="P18745">
            <v>0</v>
          </cell>
        </row>
        <row r="18746">
          <cell r="P18746">
            <v>0</v>
          </cell>
        </row>
        <row r="18747">
          <cell r="P18747">
            <v>0</v>
          </cell>
        </row>
        <row r="18748">
          <cell r="P18748">
            <v>0</v>
          </cell>
        </row>
        <row r="18749">
          <cell r="P18749">
            <v>0</v>
          </cell>
        </row>
        <row r="18750">
          <cell r="P18750">
            <v>0</v>
          </cell>
        </row>
        <row r="18751">
          <cell r="P18751">
            <v>0</v>
          </cell>
        </row>
        <row r="18752">
          <cell r="P18752">
            <v>0</v>
          </cell>
        </row>
        <row r="18753">
          <cell r="P18753">
            <v>0</v>
          </cell>
        </row>
        <row r="18754">
          <cell r="P18754">
            <v>0</v>
          </cell>
        </row>
        <row r="18755">
          <cell r="P18755">
            <v>0</v>
          </cell>
        </row>
        <row r="18756">
          <cell r="P18756">
            <v>0</v>
          </cell>
        </row>
        <row r="18757">
          <cell r="P18757">
            <v>0</v>
          </cell>
        </row>
        <row r="18758">
          <cell r="P18758">
            <v>0</v>
          </cell>
        </row>
        <row r="18759">
          <cell r="P18759">
            <v>0</v>
          </cell>
        </row>
        <row r="18760">
          <cell r="P18760">
            <v>0</v>
          </cell>
        </row>
        <row r="18761">
          <cell r="P18761">
            <v>0</v>
          </cell>
        </row>
        <row r="18762">
          <cell r="P18762">
            <v>0</v>
          </cell>
        </row>
        <row r="18763">
          <cell r="P18763">
            <v>0</v>
          </cell>
        </row>
        <row r="18764">
          <cell r="P18764">
            <v>0</v>
          </cell>
        </row>
        <row r="18765">
          <cell r="P18765">
            <v>0</v>
          </cell>
        </row>
        <row r="18766">
          <cell r="P18766">
            <v>0</v>
          </cell>
        </row>
        <row r="18767">
          <cell r="P18767">
            <v>0</v>
          </cell>
        </row>
        <row r="18768">
          <cell r="P18768">
            <v>0</v>
          </cell>
        </row>
        <row r="18769">
          <cell r="P18769">
            <v>0</v>
          </cell>
        </row>
        <row r="18770">
          <cell r="P18770">
            <v>0</v>
          </cell>
        </row>
        <row r="18771">
          <cell r="P18771">
            <v>0</v>
          </cell>
        </row>
        <row r="18772">
          <cell r="P18772">
            <v>0</v>
          </cell>
        </row>
        <row r="18773">
          <cell r="P18773">
            <v>0</v>
          </cell>
        </row>
        <row r="18774">
          <cell r="P18774">
            <v>0</v>
          </cell>
        </row>
        <row r="18775">
          <cell r="P18775">
            <v>0</v>
          </cell>
        </row>
        <row r="18776">
          <cell r="P18776">
            <v>0</v>
          </cell>
        </row>
        <row r="18777">
          <cell r="P18777">
            <v>0</v>
          </cell>
        </row>
        <row r="18778">
          <cell r="P18778">
            <v>0</v>
          </cell>
        </row>
        <row r="18779">
          <cell r="P18779">
            <v>0</v>
          </cell>
        </row>
        <row r="18780">
          <cell r="P18780">
            <v>0</v>
          </cell>
        </row>
        <row r="18781">
          <cell r="P18781">
            <v>0</v>
          </cell>
        </row>
        <row r="18782">
          <cell r="P18782">
            <v>0</v>
          </cell>
        </row>
        <row r="18783">
          <cell r="P18783">
            <v>0</v>
          </cell>
        </row>
        <row r="18784">
          <cell r="P18784">
            <v>0</v>
          </cell>
        </row>
        <row r="18785">
          <cell r="P18785">
            <v>0</v>
          </cell>
        </row>
        <row r="18786">
          <cell r="P18786">
            <v>0</v>
          </cell>
        </row>
        <row r="18787">
          <cell r="P18787">
            <v>0</v>
          </cell>
        </row>
        <row r="18788">
          <cell r="P18788">
            <v>0</v>
          </cell>
        </row>
        <row r="18789">
          <cell r="P18789">
            <v>0</v>
          </cell>
        </row>
        <row r="18790">
          <cell r="P18790">
            <v>0</v>
          </cell>
        </row>
        <row r="18791">
          <cell r="P18791">
            <v>0</v>
          </cell>
        </row>
        <row r="18792">
          <cell r="P18792">
            <v>0</v>
          </cell>
        </row>
        <row r="18793">
          <cell r="P18793">
            <v>0</v>
          </cell>
        </row>
        <row r="18794">
          <cell r="P18794">
            <v>0</v>
          </cell>
        </row>
        <row r="18795">
          <cell r="P18795">
            <v>0</v>
          </cell>
        </row>
        <row r="18796">
          <cell r="P18796">
            <v>0</v>
          </cell>
        </row>
        <row r="18797">
          <cell r="P18797">
            <v>0</v>
          </cell>
        </row>
        <row r="18798">
          <cell r="P18798">
            <v>0</v>
          </cell>
        </row>
        <row r="18799">
          <cell r="P18799">
            <v>0</v>
          </cell>
        </row>
        <row r="18800">
          <cell r="P18800">
            <v>0</v>
          </cell>
        </row>
        <row r="18801">
          <cell r="P18801">
            <v>0</v>
          </cell>
        </row>
        <row r="18802">
          <cell r="P18802">
            <v>0</v>
          </cell>
        </row>
        <row r="18803">
          <cell r="P18803">
            <v>0</v>
          </cell>
        </row>
        <row r="18804">
          <cell r="P18804">
            <v>0</v>
          </cell>
        </row>
        <row r="18805">
          <cell r="P18805">
            <v>0</v>
          </cell>
        </row>
        <row r="18806">
          <cell r="P18806">
            <v>0</v>
          </cell>
        </row>
        <row r="18807">
          <cell r="P18807">
            <v>0</v>
          </cell>
        </row>
        <row r="18808">
          <cell r="P18808">
            <v>0</v>
          </cell>
        </row>
        <row r="18809">
          <cell r="P18809">
            <v>0</v>
          </cell>
        </row>
        <row r="18810">
          <cell r="P18810">
            <v>0</v>
          </cell>
        </row>
        <row r="18811">
          <cell r="P18811">
            <v>0</v>
          </cell>
        </row>
        <row r="18812">
          <cell r="P18812">
            <v>0</v>
          </cell>
        </row>
        <row r="18813">
          <cell r="P18813">
            <v>0</v>
          </cell>
        </row>
        <row r="18814">
          <cell r="P18814">
            <v>0</v>
          </cell>
        </row>
        <row r="18815">
          <cell r="P18815">
            <v>0</v>
          </cell>
        </row>
        <row r="18816">
          <cell r="P18816">
            <v>0</v>
          </cell>
        </row>
        <row r="18817">
          <cell r="P18817">
            <v>0</v>
          </cell>
        </row>
        <row r="18818">
          <cell r="P18818">
            <v>0</v>
          </cell>
        </row>
        <row r="18819">
          <cell r="P18819">
            <v>0</v>
          </cell>
        </row>
        <row r="18820">
          <cell r="P18820">
            <v>0</v>
          </cell>
        </row>
        <row r="18821">
          <cell r="P18821">
            <v>0</v>
          </cell>
        </row>
        <row r="18822">
          <cell r="P18822">
            <v>0</v>
          </cell>
        </row>
        <row r="18823">
          <cell r="P18823">
            <v>0</v>
          </cell>
        </row>
        <row r="18824">
          <cell r="P18824">
            <v>0</v>
          </cell>
        </row>
        <row r="18825">
          <cell r="P18825">
            <v>0</v>
          </cell>
        </row>
        <row r="18826">
          <cell r="P18826">
            <v>0</v>
          </cell>
        </row>
        <row r="18827">
          <cell r="P18827">
            <v>0</v>
          </cell>
        </row>
        <row r="18828">
          <cell r="P18828">
            <v>0</v>
          </cell>
        </row>
        <row r="18829">
          <cell r="P18829">
            <v>0</v>
          </cell>
        </row>
        <row r="18830">
          <cell r="P18830">
            <v>0</v>
          </cell>
        </row>
        <row r="18831">
          <cell r="P18831">
            <v>0</v>
          </cell>
        </row>
        <row r="18832">
          <cell r="P18832">
            <v>0</v>
          </cell>
        </row>
        <row r="18833">
          <cell r="P18833">
            <v>0</v>
          </cell>
        </row>
        <row r="18834">
          <cell r="P18834">
            <v>0</v>
          </cell>
        </row>
        <row r="18835">
          <cell r="P18835">
            <v>0</v>
          </cell>
        </row>
        <row r="18836">
          <cell r="P18836">
            <v>0</v>
          </cell>
        </row>
        <row r="18837">
          <cell r="P18837">
            <v>0</v>
          </cell>
        </row>
        <row r="18838">
          <cell r="P18838">
            <v>0</v>
          </cell>
        </row>
        <row r="18839">
          <cell r="P18839">
            <v>0</v>
          </cell>
        </row>
        <row r="18840">
          <cell r="P18840">
            <v>0</v>
          </cell>
        </row>
        <row r="18841">
          <cell r="P18841">
            <v>0</v>
          </cell>
        </row>
        <row r="18842">
          <cell r="P18842">
            <v>0</v>
          </cell>
        </row>
        <row r="18843">
          <cell r="P18843">
            <v>0</v>
          </cell>
        </row>
        <row r="18844">
          <cell r="P18844">
            <v>0</v>
          </cell>
        </row>
        <row r="18845">
          <cell r="P18845">
            <v>0</v>
          </cell>
        </row>
        <row r="18846">
          <cell r="P18846">
            <v>0</v>
          </cell>
        </row>
        <row r="18847">
          <cell r="P18847">
            <v>0</v>
          </cell>
        </row>
        <row r="18848">
          <cell r="P18848">
            <v>0</v>
          </cell>
        </row>
        <row r="18849">
          <cell r="P18849">
            <v>0</v>
          </cell>
        </row>
        <row r="18850">
          <cell r="P18850">
            <v>0</v>
          </cell>
        </row>
        <row r="18851">
          <cell r="P18851">
            <v>0</v>
          </cell>
        </row>
        <row r="18852">
          <cell r="P18852">
            <v>0</v>
          </cell>
        </row>
        <row r="18853">
          <cell r="P18853">
            <v>0</v>
          </cell>
        </row>
        <row r="18854">
          <cell r="P18854">
            <v>0</v>
          </cell>
        </row>
        <row r="18855">
          <cell r="P18855">
            <v>0</v>
          </cell>
        </row>
        <row r="18856">
          <cell r="P18856">
            <v>0</v>
          </cell>
        </row>
        <row r="18857">
          <cell r="P18857">
            <v>0</v>
          </cell>
        </row>
        <row r="18858">
          <cell r="P18858">
            <v>0</v>
          </cell>
        </row>
        <row r="18859">
          <cell r="P18859">
            <v>0</v>
          </cell>
        </row>
        <row r="18860">
          <cell r="P18860">
            <v>0</v>
          </cell>
        </row>
        <row r="18861">
          <cell r="P18861">
            <v>0</v>
          </cell>
        </row>
        <row r="18862">
          <cell r="P18862">
            <v>0</v>
          </cell>
        </row>
        <row r="18863">
          <cell r="P18863">
            <v>0</v>
          </cell>
        </row>
        <row r="18864">
          <cell r="P18864">
            <v>0</v>
          </cell>
        </row>
        <row r="18865">
          <cell r="P18865">
            <v>0</v>
          </cell>
        </row>
        <row r="18866">
          <cell r="P18866">
            <v>0</v>
          </cell>
        </row>
        <row r="18867">
          <cell r="P18867">
            <v>0</v>
          </cell>
        </row>
        <row r="18868">
          <cell r="P18868">
            <v>0</v>
          </cell>
        </row>
        <row r="18869">
          <cell r="P18869">
            <v>0</v>
          </cell>
        </row>
        <row r="18870">
          <cell r="P18870">
            <v>0</v>
          </cell>
        </row>
        <row r="18871">
          <cell r="P18871">
            <v>0</v>
          </cell>
        </row>
        <row r="18872">
          <cell r="P18872">
            <v>0</v>
          </cell>
        </row>
        <row r="18873">
          <cell r="P18873">
            <v>0</v>
          </cell>
        </row>
        <row r="18874">
          <cell r="P18874">
            <v>0</v>
          </cell>
        </row>
        <row r="18875">
          <cell r="P18875">
            <v>0</v>
          </cell>
        </row>
        <row r="18876">
          <cell r="P18876">
            <v>0</v>
          </cell>
        </row>
        <row r="18877">
          <cell r="P18877">
            <v>0</v>
          </cell>
        </row>
        <row r="18878">
          <cell r="P18878">
            <v>0</v>
          </cell>
        </row>
        <row r="18879">
          <cell r="P18879">
            <v>0</v>
          </cell>
        </row>
        <row r="18880">
          <cell r="P18880">
            <v>0</v>
          </cell>
        </row>
        <row r="18881">
          <cell r="P18881">
            <v>0</v>
          </cell>
        </row>
        <row r="18882">
          <cell r="P18882">
            <v>0</v>
          </cell>
        </row>
        <row r="18883">
          <cell r="P18883">
            <v>0</v>
          </cell>
        </row>
        <row r="18884">
          <cell r="P18884">
            <v>0</v>
          </cell>
        </row>
        <row r="18885">
          <cell r="P18885">
            <v>0</v>
          </cell>
        </row>
        <row r="18886">
          <cell r="P18886">
            <v>0</v>
          </cell>
        </row>
        <row r="18887">
          <cell r="P18887">
            <v>0</v>
          </cell>
        </row>
        <row r="18888">
          <cell r="P18888">
            <v>0</v>
          </cell>
        </row>
        <row r="18889">
          <cell r="P18889">
            <v>0</v>
          </cell>
        </row>
        <row r="18890">
          <cell r="P18890">
            <v>0</v>
          </cell>
        </row>
        <row r="18891">
          <cell r="P18891">
            <v>0</v>
          </cell>
        </row>
        <row r="18892">
          <cell r="P18892">
            <v>0</v>
          </cell>
        </row>
        <row r="18893">
          <cell r="P18893">
            <v>0</v>
          </cell>
        </row>
        <row r="18894">
          <cell r="P18894">
            <v>0</v>
          </cell>
        </row>
        <row r="18895">
          <cell r="P18895">
            <v>0</v>
          </cell>
        </row>
        <row r="18896">
          <cell r="P18896">
            <v>0</v>
          </cell>
        </row>
        <row r="18897">
          <cell r="P18897">
            <v>0</v>
          </cell>
        </row>
        <row r="18898">
          <cell r="P18898">
            <v>0</v>
          </cell>
        </row>
        <row r="18899">
          <cell r="P18899">
            <v>0</v>
          </cell>
        </row>
        <row r="18900">
          <cell r="P18900">
            <v>0</v>
          </cell>
        </row>
        <row r="18901">
          <cell r="P18901">
            <v>0</v>
          </cell>
        </row>
        <row r="18902">
          <cell r="P18902">
            <v>0</v>
          </cell>
        </row>
        <row r="18903">
          <cell r="P18903">
            <v>0</v>
          </cell>
        </row>
        <row r="18904">
          <cell r="P18904">
            <v>0</v>
          </cell>
        </row>
        <row r="18905">
          <cell r="P18905">
            <v>0</v>
          </cell>
        </row>
        <row r="18906">
          <cell r="P18906">
            <v>0</v>
          </cell>
        </row>
        <row r="18907">
          <cell r="P18907">
            <v>0</v>
          </cell>
        </row>
        <row r="18908">
          <cell r="P18908">
            <v>0</v>
          </cell>
        </row>
        <row r="18909">
          <cell r="P18909">
            <v>0</v>
          </cell>
        </row>
        <row r="18910">
          <cell r="P18910">
            <v>0</v>
          </cell>
        </row>
        <row r="18911">
          <cell r="P18911">
            <v>0</v>
          </cell>
        </row>
        <row r="18912">
          <cell r="P18912">
            <v>0</v>
          </cell>
        </row>
        <row r="18913">
          <cell r="P18913">
            <v>0</v>
          </cell>
        </row>
        <row r="18914">
          <cell r="P18914">
            <v>0</v>
          </cell>
        </row>
        <row r="18915">
          <cell r="P18915">
            <v>0</v>
          </cell>
        </row>
        <row r="18916">
          <cell r="P18916">
            <v>0</v>
          </cell>
        </row>
        <row r="18917">
          <cell r="P18917">
            <v>0</v>
          </cell>
        </row>
        <row r="18918">
          <cell r="P18918">
            <v>0</v>
          </cell>
        </row>
        <row r="18919">
          <cell r="P18919">
            <v>0</v>
          </cell>
        </row>
        <row r="18920">
          <cell r="P18920">
            <v>0</v>
          </cell>
        </row>
        <row r="18921">
          <cell r="P18921">
            <v>0</v>
          </cell>
        </row>
        <row r="18922">
          <cell r="P18922">
            <v>0</v>
          </cell>
        </row>
        <row r="18923">
          <cell r="P18923">
            <v>0</v>
          </cell>
        </row>
        <row r="18924">
          <cell r="P18924">
            <v>0</v>
          </cell>
        </row>
        <row r="18925">
          <cell r="P18925">
            <v>0</v>
          </cell>
        </row>
        <row r="18926">
          <cell r="P18926">
            <v>0</v>
          </cell>
        </row>
        <row r="18927">
          <cell r="P18927">
            <v>0</v>
          </cell>
        </row>
        <row r="18928">
          <cell r="P18928">
            <v>0</v>
          </cell>
        </row>
        <row r="18929">
          <cell r="P18929">
            <v>0</v>
          </cell>
        </row>
        <row r="18930">
          <cell r="P18930">
            <v>0</v>
          </cell>
        </row>
        <row r="18931">
          <cell r="P18931">
            <v>0</v>
          </cell>
        </row>
        <row r="18932">
          <cell r="P18932">
            <v>0</v>
          </cell>
        </row>
        <row r="18933">
          <cell r="P18933">
            <v>0</v>
          </cell>
        </row>
        <row r="18934">
          <cell r="P18934">
            <v>0</v>
          </cell>
        </row>
        <row r="18935">
          <cell r="P18935">
            <v>0</v>
          </cell>
        </row>
        <row r="18936">
          <cell r="P18936">
            <v>0</v>
          </cell>
        </row>
        <row r="18937">
          <cell r="P18937">
            <v>0</v>
          </cell>
        </row>
        <row r="18938">
          <cell r="P18938">
            <v>0</v>
          </cell>
        </row>
        <row r="18939">
          <cell r="P18939">
            <v>0</v>
          </cell>
        </row>
        <row r="18940">
          <cell r="P18940">
            <v>0</v>
          </cell>
        </row>
        <row r="18941">
          <cell r="P18941">
            <v>0</v>
          </cell>
        </row>
        <row r="18942">
          <cell r="P18942">
            <v>0</v>
          </cell>
        </row>
        <row r="18943">
          <cell r="P18943">
            <v>0</v>
          </cell>
        </row>
        <row r="18944">
          <cell r="P18944">
            <v>0</v>
          </cell>
        </row>
        <row r="18945">
          <cell r="P18945">
            <v>0</v>
          </cell>
        </row>
        <row r="18946">
          <cell r="P18946">
            <v>0</v>
          </cell>
        </row>
        <row r="18947">
          <cell r="P18947">
            <v>0</v>
          </cell>
        </row>
        <row r="18948">
          <cell r="P18948">
            <v>0</v>
          </cell>
        </row>
        <row r="18949">
          <cell r="P18949">
            <v>0</v>
          </cell>
        </row>
        <row r="18950">
          <cell r="P18950">
            <v>0</v>
          </cell>
        </row>
        <row r="18951">
          <cell r="P18951">
            <v>0</v>
          </cell>
        </row>
        <row r="18952">
          <cell r="P18952">
            <v>0</v>
          </cell>
        </row>
        <row r="18953">
          <cell r="P18953">
            <v>0</v>
          </cell>
        </row>
        <row r="18954">
          <cell r="P18954">
            <v>0</v>
          </cell>
        </row>
        <row r="18955">
          <cell r="P18955">
            <v>0</v>
          </cell>
        </row>
        <row r="18956">
          <cell r="P18956">
            <v>0</v>
          </cell>
        </row>
        <row r="18957">
          <cell r="P18957">
            <v>0</v>
          </cell>
        </row>
        <row r="18958">
          <cell r="P18958">
            <v>0</v>
          </cell>
        </row>
        <row r="18959">
          <cell r="P18959">
            <v>0</v>
          </cell>
        </row>
        <row r="18960">
          <cell r="P18960">
            <v>0</v>
          </cell>
        </row>
        <row r="18961">
          <cell r="P18961">
            <v>0</v>
          </cell>
        </row>
        <row r="18962">
          <cell r="P18962">
            <v>0</v>
          </cell>
        </row>
        <row r="18963">
          <cell r="P18963">
            <v>0</v>
          </cell>
        </row>
        <row r="18964">
          <cell r="P18964">
            <v>0</v>
          </cell>
        </row>
        <row r="18965">
          <cell r="P18965">
            <v>0</v>
          </cell>
        </row>
        <row r="18966">
          <cell r="P18966">
            <v>0</v>
          </cell>
        </row>
        <row r="18967">
          <cell r="P18967">
            <v>0</v>
          </cell>
        </row>
        <row r="18968">
          <cell r="P18968">
            <v>0</v>
          </cell>
        </row>
        <row r="18969">
          <cell r="P18969">
            <v>0</v>
          </cell>
        </row>
        <row r="18970">
          <cell r="P18970">
            <v>0</v>
          </cell>
        </row>
        <row r="18971">
          <cell r="P18971">
            <v>0</v>
          </cell>
        </row>
        <row r="18972">
          <cell r="P18972">
            <v>0</v>
          </cell>
        </row>
        <row r="18973">
          <cell r="P18973">
            <v>0</v>
          </cell>
        </row>
        <row r="18974">
          <cell r="P18974">
            <v>0</v>
          </cell>
        </row>
        <row r="18975">
          <cell r="P18975">
            <v>0</v>
          </cell>
        </row>
        <row r="18976">
          <cell r="P18976">
            <v>0</v>
          </cell>
        </row>
        <row r="18977">
          <cell r="P18977">
            <v>0</v>
          </cell>
        </row>
        <row r="18978">
          <cell r="P18978">
            <v>0</v>
          </cell>
        </row>
        <row r="18979">
          <cell r="P18979">
            <v>0</v>
          </cell>
        </row>
        <row r="18980">
          <cell r="P18980">
            <v>0</v>
          </cell>
        </row>
        <row r="18981">
          <cell r="P18981">
            <v>0</v>
          </cell>
        </row>
        <row r="18982">
          <cell r="P18982">
            <v>0</v>
          </cell>
        </row>
        <row r="18983">
          <cell r="P18983">
            <v>0</v>
          </cell>
        </row>
        <row r="18984">
          <cell r="P18984">
            <v>0</v>
          </cell>
        </row>
        <row r="18985">
          <cell r="P18985">
            <v>0</v>
          </cell>
        </row>
        <row r="18986">
          <cell r="P18986">
            <v>0</v>
          </cell>
        </row>
        <row r="18987">
          <cell r="P18987">
            <v>0</v>
          </cell>
        </row>
        <row r="18988">
          <cell r="P18988">
            <v>0</v>
          </cell>
        </row>
        <row r="18989">
          <cell r="P18989">
            <v>0</v>
          </cell>
        </row>
        <row r="18990">
          <cell r="P18990">
            <v>0</v>
          </cell>
        </row>
        <row r="18991">
          <cell r="P18991">
            <v>0</v>
          </cell>
        </row>
        <row r="18992">
          <cell r="P18992">
            <v>0</v>
          </cell>
        </row>
        <row r="18993">
          <cell r="P18993">
            <v>0</v>
          </cell>
        </row>
        <row r="18994">
          <cell r="P18994">
            <v>0</v>
          </cell>
        </row>
        <row r="18995">
          <cell r="P18995">
            <v>0</v>
          </cell>
        </row>
        <row r="18996">
          <cell r="P18996">
            <v>0</v>
          </cell>
        </row>
        <row r="18997">
          <cell r="P18997">
            <v>0</v>
          </cell>
        </row>
        <row r="18998">
          <cell r="P18998">
            <v>0</v>
          </cell>
        </row>
        <row r="18999">
          <cell r="P18999">
            <v>0</v>
          </cell>
        </row>
        <row r="19000">
          <cell r="P19000">
            <v>0</v>
          </cell>
        </row>
        <row r="19001">
          <cell r="P19001">
            <v>0</v>
          </cell>
        </row>
        <row r="19002">
          <cell r="P19002">
            <v>0</v>
          </cell>
        </row>
        <row r="19003">
          <cell r="P19003">
            <v>0</v>
          </cell>
        </row>
        <row r="19004">
          <cell r="P19004">
            <v>0</v>
          </cell>
        </row>
        <row r="19005">
          <cell r="P19005">
            <v>0</v>
          </cell>
        </row>
        <row r="19006">
          <cell r="P19006">
            <v>0</v>
          </cell>
        </row>
        <row r="19007">
          <cell r="P19007">
            <v>0</v>
          </cell>
        </row>
        <row r="19008">
          <cell r="P19008">
            <v>0</v>
          </cell>
        </row>
        <row r="19009">
          <cell r="P19009">
            <v>0</v>
          </cell>
        </row>
        <row r="19010">
          <cell r="P19010">
            <v>0</v>
          </cell>
        </row>
        <row r="19011">
          <cell r="P19011">
            <v>0</v>
          </cell>
        </row>
        <row r="19012">
          <cell r="P19012">
            <v>0</v>
          </cell>
        </row>
        <row r="19013">
          <cell r="P19013">
            <v>0</v>
          </cell>
        </row>
        <row r="19014">
          <cell r="P19014">
            <v>0</v>
          </cell>
        </row>
        <row r="19015">
          <cell r="P19015">
            <v>0</v>
          </cell>
        </row>
        <row r="19016">
          <cell r="P19016">
            <v>0</v>
          </cell>
        </row>
        <row r="19017">
          <cell r="P19017">
            <v>0</v>
          </cell>
        </row>
        <row r="19018">
          <cell r="P19018">
            <v>0</v>
          </cell>
        </row>
        <row r="19019">
          <cell r="P19019">
            <v>0</v>
          </cell>
        </row>
        <row r="19020">
          <cell r="P19020">
            <v>0</v>
          </cell>
        </row>
        <row r="19021">
          <cell r="P19021">
            <v>0</v>
          </cell>
        </row>
        <row r="19022">
          <cell r="P19022">
            <v>0</v>
          </cell>
        </row>
        <row r="19023">
          <cell r="P19023">
            <v>0</v>
          </cell>
        </row>
        <row r="19024">
          <cell r="P19024">
            <v>0</v>
          </cell>
        </row>
        <row r="19025">
          <cell r="P19025">
            <v>0</v>
          </cell>
        </row>
        <row r="19026">
          <cell r="P19026">
            <v>0</v>
          </cell>
        </row>
        <row r="19027">
          <cell r="P19027">
            <v>0</v>
          </cell>
        </row>
        <row r="19028">
          <cell r="P19028">
            <v>0</v>
          </cell>
        </row>
        <row r="19029">
          <cell r="P19029">
            <v>0</v>
          </cell>
        </row>
        <row r="19030">
          <cell r="P19030">
            <v>0</v>
          </cell>
        </row>
        <row r="19031">
          <cell r="P19031">
            <v>0</v>
          </cell>
        </row>
        <row r="19032">
          <cell r="P19032">
            <v>0</v>
          </cell>
        </row>
        <row r="19033">
          <cell r="P19033">
            <v>0</v>
          </cell>
        </row>
        <row r="19034">
          <cell r="P19034">
            <v>0</v>
          </cell>
        </row>
        <row r="19035">
          <cell r="P19035">
            <v>0</v>
          </cell>
        </row>
        <row r="19036">
          <cell r="P19036">
            <v>0</v>
          </cell>
        </row>
        <row r="19037">
          <cell r="P19037">
            <v>0</v>
          </cell>
        </row>
        <row r="19038">
          <cell r="P19038">
            <v>0</v>
          </cell>
        </row>
        <row r="19039">
          <cell r="P19039">
            <v>0</v>
          </cell>
        </row>
        <row r="19040">
          <cell r="P19040">
            <v>0</v>
          </cell>
        </row>
        <row r="19041">
          <cell r="P19041">
            <v>0</v>
          </cell>
        </row>
        <row r="19042">
          <cell r="P19042">
            <v>0</v>
          </cell>
        </row>
        <row r="19043">
          <cell r="P19043">
            <v>0</v>
          </cell>
        </row>
        <row r="19044">
          <cell r="P19044">
            <v>0</v>
          </cell>
        </row>
        <row r="19045">
          <cell r="P19045">
            <v>0</v>
          </cell>
        </row>
        <row r="19046">
          <cell r="P19046">
            <v>0</v>
          </cell>
        </row>
        <row r="19047">
          <cell r="P19047">
            <v>0</v>
          </cell>
        </row>
        <row r="19048">
          <cell r="P19048">
            <v>0</v>
          </cell>
        </row>
        <row r="19049">
          <cell r="P19049">
            <v>0</v>
          </cell>
        </row>
        <row r="19050">
          <cell r="P19050">
            <v>0</v>
          </cell>
        </row>
        <row r="19051">
          <cell r="P19051">
            <v>0</v>
          </cell>
        </row>
        <row r="19052">
          <cell r="P19052">
            <v>0</v>
          </cell>
        </row>
        <row r="19053">
          <cell r="P19053">
            <v>0</v>
          </cell>
        </row>
        <row r="19054">
          <cell r="P19054">
            <v>0</v>
          </cell>
        </row>
        <row r="19055">
          <cell r="P19055">
            <v>0</v>
          </cell>
        </row>
        <row r="19056">
          <cell r="P19056">
            <v>0</v>
          </cell>
        </row>
        <row r="19057">
          <cell r="P19057">
            <v>0</v>
          </cell>
        </row>
        <row r="19058">
          <cell r="P19058">
            <v>0</v>
          </cell>
        </row>
        <row r="19059">
          <cell r="P19059">
            <v>0</v>
          </cell>
        </row>
        <row r="19060">
          <cell r="P19060">
            <v>0</v>
          </cell>
        </row>
        <row r="19061">
          <cell r="P19061">
            <v>0</v>
          </cell>
        </row>
        <row r="19062">
          <cell r="P19062">
            <v>0</v>
          </cell>
        </row>
        <row r="19063">
          <cell r="P19063">
            <v>0</v>
          </cell>
        </row>
        <row r="19064">
          <cell r="P19064">
            <v>0</v>
          </cell>
        </row>
        <row r="19065">
          <cell r="P19065">
            <v>0</v>
          </cell>
        </row>
        <row r="19066">
          <cell r="P19066">
            <v>0</v>
          </cell>
        </row>
        <row r="19067">
          <cell r="P19067">
            <v>0</v>
          </cell>
        </row>
        <row r="19068">
          <cell r="P19068">
            <v>0</v>
          </cell>
        </row>
        <row r="19069">
          <cell r="P19069">
            <v>0</v>
          </cell>
        </row>
        <row r="19070">
          <cell r="P19070">
            <v>0</v>
          </cell>
        </row>
        <row r="19071">
          <cell r="P19071">
            <v>0</v>
          </cell>
        </row>
        <row r="19072">
          <cell r="P19072">
            <v>0</v>
          </cell>
        </row>
        <row r="19073">
          <cell r="P19073">
            <v>0</v>
          </cell>
        </row>
        <row r="19074">
          <cell r="P19074">
            <v>0</v>
          </cell>
        </row>
        <row r="19075">
          <cell r="P19075">
            <v>0</v>
          </cell>
        </row>
        <row r="19076">
          <cell r="P19076">
            <v>0</v>
          </cell>
        </row>
        <row r="19077">
          <cell r="P19077">
            <v>0</v>
          </cell>
        </row>
        <row r="19078">
          <cell r="P19078">
            <v>0</v>
          </cell>
        </row>
        <row r="19079">
          <cell r="P19079">
            <v>0</v>
          </cell>
        </row>
        <row r="19080">
          <cell r="P19080">
            <v>0</v>
          </cell>
        </row>
        <row r="19081">
          <cell r="P19081">
            <v>0</v>
          </cell>
        </row>
        <row r="19082">
          <cell r="P19082">
            <v>0</v>
          </cell>
        </row>
        <row r="19083">
          <cell r="P19083">
            <v>0</v>
          </cell>
        </row>
        <row r="19084">
          <cell r="P19084">
            <v>0</v>
          </cell>
        </row>
        <row r="19085">
          <cell r="P19085">
            <v>0</v>
          </cell>
        </row>
        <row r="19086">
          <cell r="P19086">
            <v>0</v>
          </cell>
        </row>
        <row r="19087">
          <cell r="P19087">
            <v>0</v>
          </cell>
        </row>
        <row r="19088">
          <cell r="P19088">
            <v>0</v>
          </cell>
        </row>
        <row r="19089">
          <cell r="P19089">
            <v>0</v>
          </cell>
        </row>
        <row r="19090">
          <cell r="P19090">
            <v>0</v>
          </cell>
        </row>
        <row r="19091">
          <cell r="P19091">
            <v>0</v>
          </cell>
        </row>
        <row r="19092">
          <cell r="P19092">
            <v>0</v>
          </cell>
        </row>
        <row r="19093">
          <cell r="P19093">
            <v>0</v>
          </cell>
        </row>
        <row r="19094">
          <cell r="P19094">
            <v>0</v>
          </cell>
        </row>
        <row r="19095">
          <cell r="P19095">
            <v>0</v>
          </cell>
        </row>
        <row r="19096">
          <cell r="P19096">
            <v>0</v>
          </cell>
        </row>
        <row r="19097">
          <cell r="P19097">
            <v>0</v>
          </cell>
        </row>
        <row r="19098">
          <cell r="P19098">
            <v>0</v>
          </cell>
        </row>
        <row r="19099">
          <cell r="P19099">
            <v>0</v>
          </cell>
        </row>
        <row r="19100">
          <cell r="P19100">
            <v>0</v>
          </cell>
        </row>
        <row r="19101">
          <cell r="P19101">
            <v>0</v>
          </cell>
        </row>
        <row r="19102">
          <cell r="P19102">
            <v>0</v>
          </cell>
        </row>
        <row r="19103">
          <cell r="P19103">
            <v>0</v>
          </cell>
        </row>
        <row r="19104">
          <cell r="P19104">
            <v>0</v>
          </cell>
        </row>
        <row r="19105">
          <cell r="P19105">
            <v>0</v>
          </cell>
        </row>
        <row r="19106">
          <cell r="P19106">
            <v>0</v>
          </cell>
        </row>
        <row r="19107">
          <cell r="P19107">
            <v>0</v>
          </cell>
        </row>
        <row r="19108">
          <cell r="P19108">
            <v>0</v>
          </cell>
        </row>
        <row r="19109">
          <cell r="P19109">
            <v>0</v>
          </cell>
        </row>
        <row r="19110">
          <cell r="P19110">
            <v>0</v>
          </cell>
        </row>
        <row r="19111">
          <cell r="P19111">
            <v>0</v>
          </cell>
        </row>
        <row r="19112">
          <cell r="P19112">
            <v>0</v>
          </cell>
        </row>
        <row r="19113">
          <cell r="P19113">
            <v>0</v>
          </cell>
        </row>
        <row r="19114">
          <cell r="P19114">
            <v>0</v>
          </cell>
        </row>
        <row r="19115">
          <cell r="P19115">
            <v>0</v>
          </cell>
        </row>
        <row r="19116">
          <cell r="P19116">
            <v>0</v>
          </cell>
        </row>
        <row r="19117">
          <cell r="P19117">
            <v>0</v>
          </cell>
        </row>
        <row r="19118">
          <cell r="P19118">
            <v>0</v>
          </cell>
        </row>
        <row r="19119">
          <cell r="P19119">
            <v>0</v>
          </cell>
        </row>
        <row r="19120">
          <cell r="P19120">
            <v>0</v>
          </cell>
        </row>
        <row r="19121">
          <cell r="P19121">
            <v>0</v>
          </cell>
        </row>
        <row r="19122">
          <cell r="P19122">
            <v>0</v>
          </cell>
        </row>
        <row r="19123">
          <cell r="P19123">
            <v>0</v>
          </cell>
        </row>
        <row r="19124">
          <cell r="P19124">
            <v>0</v>
          </cell>
        </row>
        <row r="19125">
          <cell r="P19125">
            <v>0</v>
          </cell>
        </row>
        <row r="19126">
          <cell r="P19126">
            <v>0</v>
          </cell>
        </row>
        <row r="19127">
          <cell r="P19127">
            <v>0</v>
          </cell>
        </row>
        <row r="19128">
          <cell r="P19128">
            <v>0</v>
          </cell>
        </row>
        <row r="19129">
          <cell r="P19129">
            <v>0</v>
          </cell>
        </row>
        <row r="19130">
          <cell r="P19130">
            <v>0</v>
          </cell>
        </row>
        <row r="19131">
          <cell r="P19131">
            <v>0</v>
          </cell>
        </row>
        <row r="19132">
          <cell r="P19132">
            <v>0</v>
          </cell>
        </row>
        <row r="19133">
          <cell r="P19133">
            <v>0</v>
          </cell>
        </row>
        <row r="19134">
          <cell r="P19134">
            <v>0</v>
          </cell>
        </row>
        <row r="19135">
          <cell r="P19135">
            <v>0</v>
          </cell>
        </row>
        <row r="19136">
          <cell r="P19136">
            <v>0</v>
          </cell>
        </row>
        <row r="19137">
          <cell r="P19137">
            <v>0</v>
          </cell>
        </row>
        <row r="19138">
          <cell r="P19138">
            <v>0</v>
          </cell>
        </row>
        <row r="19139">
          <cell r="P19139">
            <v>0</v>
          </cell>
        </row>
        <row r="19140">
          <cell r="P19140">
            <v>0</v>
          </cell>
        </row>
        <row r="19141">
          <cell r="P19141">
            <v>0</v>
          </cell>
        </row>
        <row r="19142">
          <cell r="P19142">
            <v>0</v>
          </cell>
        </row>
        <row r="19143">
          <cell r="P19143">
            <v>0</v>
          </cell>
        </row>
        <row r="19144">
          <cell r="P19144">
            <v>0</v>
          </cell>
        </row>
        <row r="19145">
          <cell r="P19145">
            <v>0</v>
          </cell>
        </row>
        <row r="19146">
          <cell r="P19146">
            <v>0</v>
          </cell>
        </row>
        <row r="19147">
          <cell r="P19147">
            <v>0</v>
          </cell>
        </row>
        <row r="19148">
          <cell r="P19148">
            <v>0</v>
          </cell>
        </row>
        <row r="19149">
          <cell r="P19149">
            <v>0</v>
          </cell>
        </row>
        <row r="19150">
          <cell r="P19150">
            <v>0</v>
          </cell>
        </row>
        <row r="19151">
          <cell r="P19151">
            <v>0</v>
          </cell>
        </row>
        <row r="19152">
          <cell r="P19152">
            <v>0</v>
          </cell>
        </row>
        <row r="19153">
          <cell r="P19153">
            <v>0</v>
          </cell>
        </row>
        <row r="19154">
          <cell r="P19154">
            <v>0</v>
          </cell>
        </row>
        <row r="19155">
          <cell r="P19155">
            <v>0</v>
          </cell>
        </row>
        <row r="19156">
          <cell r="P19156">
            <v>0</v>
          </cell>
        </row>
        <row r="19157">
          <cell r="P19157">
            <v>0</v>
          </cell>
        </row>
        <row r="19158">
          <cell r="P19158">
            <v>0</v>
          </cell>
        </row>
        <row r="19159">
          <cell r="P19159">
            <v>0</v>
          </cell>
        </row>
        <row r="19160">
          <cell r="P19160">
            <v>0</v>
          </cell>
        </row>
        <row r="19161">
          <cell r="P19161">
            <v>0</v>
          </cell>
        </row>
        <row r="19162">
          <cell r="P19162">
            <v>0</v>
          </cell>
        </row>
        <row r="19163">
          <cell r="P19163">
            <v>0</v>
          </cell>
        </row>
        <row r="19164">
          <cell r="P19164">
            <v>0</v>
          </cell>
        </row>
        <row r="19165">
          <cell r="P19165">
            <v>0</v>
          </cell>
        </row>
        <row r="19166">
          <cell r="P19166">
            <v>0</v>
          </cell>
        </row>
        <row r="19167">
          <cell r="P19167">
            <v>0</v>
          </cell>
        </row>
        <row r="19168">
          <cell r="P19168">
            <v>0</v>
          </cell>
        </row>
        <row r="19169">
          <cell r="P19169">
            <v>0</v>
          </cell>
        </row>
        <row r="19170">
          <cell r="P19170">
            <v>0</v>
          </cell>
        </row>
        <row r="19171">
          <cell r="P19171">
            <v>0</v>
          </cell>
        </row>
        <row r="19172">
          <cell r="P19172">
            <v>0</v>
          </cell>
        </row>
        <row r="19173">
          <cell r="P19173">
            <v>0</v>
          </cell>
        </row>
        <row r="19174">
          <cell r="P19174">
            <v>0</v>
          </cell>
        </row>
        <row r="19175">
          <cell r="P19175">
            <v>0</v>
          </cell>
        </row>
        <row r="19176">
          <cell r="P19176">
            <v>0</v>
          </cell>
        </row>
        <row r="19177">
          <cell r="P19177">
            <v>0</v>
          </cell>
        </row>
        <row r="19178">
          <cell r="P19178">
            <v>0</v>
          </cell>
        </row>
        <row r="19179">
          <cell r="P19179">
            <v>0</v>
          </cell>
        </row>
        <row r="19180">
          <cell r="P19180">
            <v>0</v>
          </cell>
        </row>
        <row r="19181">
          <cell r="P19181">
            <v>0</v>
          </cell>
        </row>
        <row r="19182">
          <cell r="P19182">
            <v>0</v>
          </cell>
        </row>
        <row r="19183">
          <cell r="P19183">
            <v>0</v>
          </cell>
        </row>
        <row r="19184">
          <cell r="P19184">
            <v>0</v>
          </cell>
        </row>
        <row r="19185">
          <cell r="P19185">
            <v>0</v>
          </cell>
        </row>
        <row r="19186">
          <cell r="P19186">
            <v>0</v>
          </cell>
        </row>
        <row r="19187">
          <cell r="P19187">
            <v>0</v>
          </cell>
        </row>
        <row r="19188">
          <cell r="P19188">
            <v>0</v>
          </cell>
        </row>
        <row r="19189">
          <cell r="P19189">
            <v>0</v>
          </cell>
        </row>
        <row r="19190">
          <cell r="P19190">
            <v>0</v>
          </cell>
        </row>
        <row r="19191">
          <cell r="P19191">
            <v>0</v>
          </cell>
        </row>
        <row r="19192">
          <cell r="P19192">
            <v>0</v>
          </cell>
        </row>
        <row r="19193">
          <cell r="P19193">
            <v>0</v>
          </cell>
        </row>
        <row r="19194">
          <cell r="P19194">
            <v>0</v>
          </cell>
        </row>
        <row r="19195">
          <cell r="P19195">
            <v>0</v>
          </cell>
        </row>
        <row r="19196">
          <cell r="P19196">
            <v>0</v>
          </cell>
        </row>
        <row r="19197">
          <cell r="P19197">
            <v>0</v>
          </cell>
        </row>
        <row r="19198">
          <cell r="P19198">
            <v>0</v>
          </cell>
        </row>
        <row r="19199">
          <cell r="P19199">
            <v>0</v>
          </cell>
        </row>
        <row r="19200">
          <cell r="P19200">
            <v>0</v>
          </cell>
        </row>
        <row r="19201">
          <cell r="P19201">
            <v>0</v>
          </cell>
        </row>
        <row r="19202">
          <cell r="P19202">
            <v>0</v>
          </cell>
        </row>
        <row r="19203">
          <cell r="P19203">
            <v>0</v>
          </cell>
        </row>
        <row r="19204">
          <cell r="P19204">
            <v>0</v>
          </cell>
        </row>
        <row r="19205">
          <cell r="P19205">
            <v>0</v>
          </cell>
        </row>
        <row r="19206">
          <cell r="P19206">
            <v>0</v>
          </cell>
        </row>
        <row r="19207">
          <cell r="P19207">
            <v>0</v>
          </cell>
        </row>
        <row r="19208">
          <cell r="P19208">
            <v>0</v>
          </cell>
        </row>
        <row r="19209">
          <cell r="P19209">
            <v>0</v>
          </cell>
        </row>
        <row r="19210">
          <cell r="P19210">
            <v>0</v>
          </cell>
        </row>
        <row r="19211">
          <cell r="P19211">
            <v>0</v>
          </cell>
        </row>
        <row r="19212">
          <cell r="P19212">
            <v>0</v>
          </cell>
        </row>
        <row r="19213">
          <cell r="P19213">
            <v>0</v>
          </cell>
        </row>
        <row r="19214">
          <cell r="P19214">
            <v>0</v>
          </cell>
        </row>
        <row r="19215">
          <cell r="P19215">
            <v>0</v>
          </cell>
        </row>
        <row r="19216">
          <cell r="P19216">
            <v>0</v>
          </cell>
        </row>
        <row r="19217">
          <cell r="P19217">
            <v>0</v>
          </cell>
        </row>
        <row r="19218">
          <cell r="P19218">
            <v>0</v>
          </cell>
        </row>
        <row r="19219">
          <cell r="P19219">
            <v>0</v>
          </cell>
        </row>
        <row r="19220">
          <cell r="P19220">
            <v>0</v>
          </cell>
        </row>
        <row r="19221">
          <cell r="P19221">
            <v>0</v>
          </cell>
        </row>
        <row r="19222">
          <cell r="P19222">
            <v>0</v>
          </cell>
        </row>
        <row r="19223">
          <cell r="P19223">
            <v>0</v>
          </cell>
        </row>
        <row r="19224">
          <cell r="P19224">
            <v>0</v>
          </cell>
        </row>
        <row r="19225">
          <cell r="P19225">
            <v>0</v>
          </cell>
        </row>
        <row r="19226">
          <cell r="P19226">
            <v>0</v>
          </cell>
        </row>
        <row r="19227">
          <cell r="P19227">
            <v>0</v>
          </cell>
        </row>
        <row r="19228">
          <cell r="P19228">
            <v>0</v>
          </cell>
        </row>
        <row r="19229">
          <cell r="P19229">
            <v>0</v>
          </cell>
        </row>
        <row r="19230">
          <cell r="P19230">
            <v>0</v>
          </cell>
        </row>
        <row r="19231">
          <cell r="P19231">
            <v>0</v>
          </cell>
        </row>
        <row r="19232">
          <cell r="P19232">
            <v>0</v>
          </cell>
        </row>
        <row r="19233">
          <cell r="P19233">
            <v>0</v>
          </cell>
        </row>
        <row r="19234">
          <cell r="P19234">
            <v>0</v>
          </cell>
        </row>
        <row r="19235">
          <cell r="P19235">
            <v>0</v>
          </cell>
        </row>
        <row r="19236">
          <cell r="P19236">
            <v>0</v>
          </cell>
        </row>
        <row r="19237">
          <cell r="P19237">
            <v>0</v>
          </cell>
        </row>
        <row r="19238">
          <cell r="P19238">
            <v>0</v>
          </cell>
        </row>
        <row r="19239">
          <cell r="P19239">
            <v>0</v>
          </cell>
        </row>
        <row r="19240">
          <cell r="P19240">
            <v>0</v>
          </cell>
        </row>
        <row r="19241">
          <cell r="P19241">
            <v>0</v>
          </cell>
        </row>
        <row r="19242">
          <cell r="P19242">
            <v>0</v>
          </cell>
        </row>
        <row r="19243">
          <cell r="P19243">
            <v>0</v>
          </cell>
        </row>
        <row r="19244">
          <cell r="P19244">
            <v>0</v>
          </cell>
        </row>
        <row r="19245">
          <cell r="P19245">
            <v>0</v>
          </cell>
        </row>
        <row r="19246">
          <cell r="P19246">
            <v>0</v>
          </cell>
        </row>
        <row r="19247">
          <cell r="P19247">
            <v>0</v>
          </cell>
        </row>
        <row r="19248">
          <cell r="P19248">
            <v>0</v>
          </cell>
        </row>
        <row r="19249">
          <cell r="P19249">
            <v>0</v>
          </cell>
        </row>
        <row r="19250">
          <cell r="P19250">
            <v>0</v>
          </cell>
        </row>
        <row r="19251">
          <cell r="P19251">
            <v>0</v>
          </cell>
        </row>
        <row r="19252">
          <cell r="P19252">
            <v>0</v>
          </cell>
        </row>
        <row r="19253">
          <cell r="P19253">
            <v>0</v>
          </cell>
        </row>
        <row r="19254">
          <cell r="P19254">
            <v>0</v>
          </cell>
        </row>
        <row r="19255">
          <cell r="P19255">
            <v>0</v>
          </cell>
        </row>
        <row r="19256">
          <cell r="P19256">
            <v>0</v>
          </cell>
        </row>
        <row r="19257">
          <cell r="P19257">
            <v>0</v>
          </cell>
        </row>
        <row r="19258">
          <cell r="P19258">
            <v>0</v>
          </cell>
        </row>
        <row r="19259">
          <cell r="P19259">
            <v>0</v>
          </cell>
        </row>
        <row r="19260">
          <cell r="P19260">
            <v>0</v>
          </cell>
        </row>
        <row r="19261">
          <cell r="P19261">
            <v>0</v>
          </cell>
        </row>
        <row r="19262">
          <cell r="P19262">
            <v>0</v>
          </cell>
        </row>
        <row r="19263">
          <cell r="P19263">
            <v>0</v>
          </cell>
        </row>
        <row r="19264">
          <cell r="P19264">
            <v>0</v>
          </cell>
        </row>
        <row r="19265">
          <cell r="P19265">
            <v>0</v>
          </cell>
        </row>
        <row r="19266">
          <cell r="P19266">
            <v>0</v>
          </cell>
        </row>
        <row r="19267">
          <cell r="P19267">
            <v>0</v>
          </cell>
        </row>
        <row r="19268">
          <cell r="P19268">
            <v>0</v>
          </cell>
        </row>
        <row r="19269">
          <cell r="P19269">
            <v>0</v>
          </cell>
        </row>
        <row r="19270">
          <cell r="P19270">
            <v>0</v>
          </cell>
        </row>
        <row r="19271">
          <cell r="P19271">
            <v>0</v>
          </cell>
        </row>
        <row r="19272">
          <cell r="P19272">
            <v>0</v>
          </cell>
        </row>
        <row r="19273">
          <cell r="P19273">
            <v>0</v>
          </cell>
        </row>
        <row r="19274">
          <cell r="P19274">
            <v>0</v>
          </cell>
        </row>
        <row r="19275">
          <cell r="P19275">
            <v>0</v>
          </cell>
        </row>
        <row r="19276">
          <cell r="P19276">
            <v>0</v>
          </cell>
        </row>
        <row r="19277">
          <cell r="P19277">
            <v>0</v>
          </cell>
        </row>
        <row r="19278">
          <cell r="P19278">
            <v>0</v>
          </cell>
        </row>
        <row r="19279">
          <cell r="P19279">
            <v>0</v>
          </cell>
        </row>
        <row r="19280">
          <cell r="P19280">
            <v>0</v>
          </cell>
        </row>
        <row r="19281">
          <cell r="P19281">
            <v>0</v>
          </cell>
        </row>
        <row r="19282">
          <cell r="P19282">
            <v>0</v>
          </cell>
        </row>
        <row r="19283">
          <cell r="P19283">
            <v>0</v>
          </cell>
        </row>
        <row r="19284">
          <cell r="P19284">
            <v>0</v>
          </cell>
        </row>
        <row r="19285">
          <cell r="P19285">
            <v>0</v>
          </cell>
        </row>
        <row r="19286">
          <cell r="P19286">
            <v>0</v>
          </cell>
        </row>
        <row r="19287">
          <cell r="P19287">
            <v>0</v>
          </cell>
        </row>
        <row r="19288">
          <cell r="P19288">
            <v>0</v>
          </cell>
        </row>
        <row r="19289">
          <cell r="P19289">
            <v>0</v>
          </cell>
        </row>
        <row r="19290">
          <cell r="P19290">
            <v>0</v>
          </cell>
        </row>
        <row r="19291">
          <cell r="P19291">
            <v>0</v>
          </cell>
        </row>
        <row r="19292">
          <cell r="P19292">
            <v>0</v>
          </cell>
        </row>
        <row r="19293">
          <cell r="P19293">
            <v>0</v>
          </cell>
        </row>
        <row r="19294">
          <cell r="P19294">
            <v>0</v>
          </cell>
        </row>
        <row r="19295">
          <cell r="P19295">
            <v>0</v>
          </cell>
        </row>
        <row r="19296">
          <cell r="P19296">
            <v>0</v>
          </cell>
        </row>
        <row r="19297">
          <cell r="P19297">
            <v>0</v>
          </cell>
        </row>
        <row r="19298">
          <cell r="P19298">
            <v>7.6499999999999995</v>
          </cell>
        </row>
        <row r="19299">
          <cell r="P19299">
            <v>306</v>
          </cell>
        </row>
        <row r="19300">
          <cell r="P19300">
            <v>51</v>
          </cell>
        </row>
        <row r="19301">
          <cell r="P19301">
            <v>0</v>
          </cell>
        </row>
        <row r="19302">
          <cell r="P19302">
            <v>0</v>
          </cell>
        </row>
        <row r="19303">
          <cell r="P19303">
            <v>0</v>
          </cell>
        </row>
        <row r="19304">
          <cell r="P19304">
            <v>0</v>
          </cell>
        </row>
        <row r="19305">
          <cell r="P19305">
            <v>0</v>
          </cell>
        </row>
        <row r="19306">
          <cell r="P19306">
            <v>0</v>
          </cell>
        </row>
        <row r="19307">
          <cell r="P19307">
            <v>0</v>
          </cell>
        </row>
        <row r="19308">
          <cell r="P19308">
            <v>55.000000000000007</v>
          </cell>
        </row>
        <row r="19309">
          <cell r="P19309">
            <v>60</v>
          </cell>
        </row>
        <row r="19310">
          <cell r="P19310">
            <v>12</v>
          </cell>
        </row>
        <row r="19311">
          <cell r="P19311">
            <v>12.5</v>
          </cell>
        </row>
        <row r="19312">
          <cell r="P19312">
            <v>30</v>
          </cell>
        </row>
        <row r="19313">
          <cell r="P19313">
            <v>0</v>
          </cell>
        </row>
        <row r="19314">
          <cell r="P19314">
            <v>0</v>
          </cell>
        </row>
        <row r="19315">
          <cell r="P19315">
            <v>0</v>
          </cell>
        </row>
        <row r="19316">
          <cell r="P19316">
            <v>0</v>
          </cell>
        </row>
        <row r="19317">
          <cell r="P19317">
            <v>0</v>
          </cell>
        </row>
        <row r="19318">
          <cell r="P19318">
            <v>0</v>
          </cell>
        </row>
        <row r="19319">
          <cell r="P19319">
            <v>0</v>
          </cell>
        </row>
        <row r="19320">
          <cell r="P19320">
            <v>0</v>
          </cell>
        </row>
        <row r="19321">
          <cell r="P19321">
            <v>0</v>
          </cell>
        </row>
        <row r="19322">
          <cell r="P19322">
            <v>0</v>
          </cell>
        </row>
        <row r="19323">
          <cell r="P19323">
            <v>0</v>
          </cell>
        </row>
        <row r="19324">
          <cell r="P19324">
            <v>0</v>
          </cell>
        </row>
        <row r="19325">
          <cell r="P19325">
            <v>0</v>
          </cell>
        </row>
        <row r="19326">
          <cell r="P19326">
            <v>0</v>
          </cell>
        </row>
        <row r="19327">
          <cell r="P19327">
            <v>0</v>
          </cell>
        </row>
        <row r="19328">
          <cell r="P19328">
            <v>0</v>
          </cell>
        </row>
        <row r="19329">
          <cell r="P19329">
            <v>0</v>
          </cell>
        </row>
        <row r="19330">
          <cell r="P19330">
            <v>0</v>
          </cell>
        </row>
        <row r="19331">
          <cell r="P19331">
            <v>0</v>
          </cell>
        </row>
        <row r="19332">
          <cell r="P19332">
            <v>0</v>
          </cell>
        </row>
        <row r="19333">
          <cell r="P19333">
            <v>0</v>
          </cell>
        </row>
        <row r="19334">
          <cell r="P19334">
            <v>0</v>
          </cell>
        </row>
        <row r="19335">
          <cell r="P19335">
            <v>0</v>
          </cell>
        </row>
        <row r="19336">
          <cell r="P19336">
            <v>0</v>
          </cell>
        </row>
        <row r="19337">
          <cell r="P19337">
            <v>0</v>
          </cell>
        </row>
        <row r="19338">
          <cell r="P19338">
            <v>0</v>
          </cell>
        </row>
        <row r="19339">
          <cell r="P19339">
            <v>0</v>
          </cell>
        </row>
        <row r="19340">
          <cell r="P19340"/>
        </row>
        <row r="19341">
          <cell r="P19341">
            <v>0</v>
          </cell>
        </row>
        <row r="19342">
          <cell r="P19342">
            <v>0</v>
          </cell>
        </row>
        <row r="19343">
          <cell r="P19343">
            <v>0</v>
          </cell>
        </row>
        <row r="19344">
          <cell r="P19344">
            <v>0</v>
          </cell>
        </row>
        <row r="19345">
          <cell r="P19345">
            <v>0</v>
          </cell>
        </row>
        <row r="19346">
          <cell r="P19346">
            <v>0</v>
          </cell>
        </row>
        <row r="19347">
          <cell r="P19347">
            <v>0</v>
          </cell>
        </row>
        <row r="19348">
          <cell r="P19348">
            <v>0</v>
          </cell>
        </row>
        <row r="19349">
          <cell r="P19349">
            <v>0</v>
          </cell>
        </row>
        <row r="19350">
          <cell r="P19350">
            <v>0</v>
          </cell>
        </row>
        <row r="19351">
          <cell r="P19351">
            <v>0</v>
          </cell>
        </row>
        <row r="19352">
          <cell r="P19352">
            <v>0</v>
          </cell>
        </row>
        <row r="19353">
          <cell r="P19353">
            <v>0</v>
          </cell>
        </row>
        <row r="19354">
          <cell r="P19354">
            <v>0</v>
          </cell>
        </row>
        <row r="19355">
          <cell r="P19355"/>
        </row>
        <row r="19356">
          <cell r="P19356">
            <v>0</v>
          </cell>
        </row>
        <row r="19357">
          <cell r="P19357">
            <v>0</v>
          </cell>
        </row>
        <row r="19358">
          <cell r="P19358">
            <v>0</v>
          </cell>
        </row>
        <row r="19359">
          <cell r="P19359">
            <v>0</v>
          </cell>
        </row>
        <row r="19360">
          <cell r="P19360">
            <v>0</v>
          </cell>
        </row>
        <row r="19361">
          <cell r="P19361">
            <v>0</v>
          </cell>
        </row>
        <row r="19362">
          <cell r="P19362">
            <v>0</v>
          </cell>
        </row>
        <row r="19363">
          <cell r="P19363">
            <v>0</v>
          </cell>
        </row>
        <row r="19364">
          <cell r="P19364">
            <v>0</v>
          </cell>
        </row>
        <row r="19365">
          <cell r="P19365">
            <v>0</v>
          </cell>
        </row>
        <row r="19366">
          <cell r="P19366">
            <v>0</v>
          </cell>
        </row>
        <row r="19367">
          <cell r="P19367">
            <v>0</v>
          </cell>
        </row>
        <row r="19368">
          <cell r="P19368">
            <v>0</v>
          </cell>
        </row>
        <row r="19369">
          <cell r="P19369">
            <v>0</v>
          </cell>
        </row>
        <row r="19370">
          <cell r="P19370">
            <v>0</v>
          </cell>
        </row>
        <row r="19371">
          <cell r="P19371">
            <v>0</v>
          </cell>
        </row>
        <row r="19372">
          <cell r="P19372">
            <v>0</v>
          </cell>
        </row>
        <row r="19373">
          <cell r="P19373">
            <v>0</v>
          </cell>
        </row>
        <row r="19374">
          <cell r="P19374">
            <v>0</v>
          </cell>
        </row>
        <row r="19375">
          <cell r="P19375">
            <v>0</v>
          </cell>
        </row>
        <row r="19376">
          <cell r="P19376">
            <v>0</v>
          </cell>
        </row>
        <row r="19377">
          <cell r="P19377">
            <v>0</v>
          </cell>
        </row>
        <row r="19378">
          <cell r="P19378">
            <v>0</v>
          </cell>
        </row>
        <row r="19379">
          <cell r="P19379">
            <v>0</v>
          </cell>
        </row>
        <row r="19380">
          <cell r="P19380">
            <v>0</v>
          </cell>
        </row>
        <row r="19381">
          <cell r="P19381">
            <v>0</v>
          </cell>
        </row>
        <row r="19382">
          <cell r="P19382">
            <v>0</v>
          </cell>
        </row>
        <row r="19383">
          <cell r="P19383">
            <v>0</v>
          </cell>
        </row>
        <row r="19384">
          <cell r="P19384">
            <v>0</v>
          </cell>
        </row>
        <row r="19385">
          <cell r="P19385">
            <v>0</v>
          </cell>
        </row>
        <row r="19386">
          <cell r="P19386">
            <v>0</v>
          </cell>
        </row>
        <row r="19387">
          <cell r="P19387">
            <v>0</v>
          </cell>
        </row>
        <row r="19388">
          <cell r="P19388">
            <v>0</v>
          </cell>
        </row>
        <row r="19389">
          <cell r="P19389">
            <v>0</v>
          </cell>
        </row>
        <row r="19390">
          <cell r="P19390">
            <v>0</v>
          </cell>
        </row>
        <row r="19391">
          <cell r="P19391">
            <v>0</v>
          </cell>
        </row>
        <row r="19392">
          <cell r="P19392">
            <v>0</v>
          </cell>
        </row>
        <row r="19393">
          <cell r="P19393">
            <v>5</v>
          </cell>
        </row>
        <row r="19394">
          <cell r="P19394">
            <v>0</v>
          </cell>
        </row>
        <row r="19395">
          <cell r="P19395">
            <v>0</v>
          </cell>
        </row>
        <row r="19396">
          <cell r="P19396">
            <v>0</v>
          </cell>
        </row>
        <row r="19397">
          <cell r="P19397">
            <v>0</v>
          </cell>
        </row>
        <row r="19398">
          <cell r="P19398">
            <v>0</v>
          </cell>
        </row>
        <row r="19399">
          <cell r="P19399">
            <v>0</v>
          </cell>
        </row>
        <row r="19400">
          <cell r="P19400">
            <v>0</v>
          </cell>
        </row>
        <row r="19401">
          <cell r="P19401">
            <v>0</v>
          </cell>
        </row>
        <row r="19402">
          <cell r="P19402">
            <v>0</v>
          </cell>
        </row>
        <row r="19403">
          <cell r="P19403">
            <v>0</v>
          </cell>
        </row>
        <row r="19404">
          <cell r="P19404">
            <v>0</v>
          </cell>
        </row>
        <row r="19405">
          <cell r="P19405">
            <v>0</v>
          </cell>
        </row>
        <row r="19406">
          <cell r="P19406">
            <v>0</v>
          </cell>
        </row>
        <row r="19407">
          <cell r="P19407">
            <v>0</v>
          </cell>
        </row>
        <row r="19408">
          <cell r="P19408">
            <v>0</v>
          </cell>
        </row>
        <row r="19409">
          <cell r="P19409">
            <v>0</v>
          </cell>
        </row>
        <row r="19410">
          <cell r="P19410">
            <v>0</v>
          </cell>
        </row>
        <row r="19411">
          <cell r="P19411">
            <v>0</v>
          </cell>
        </row>
        <row r="19412">
          <cell r="P19412">
            <v>0</v>
          </cell>
        </row>
        <row r="19413">
          <cell r="P19413">
            <v>0</v>
          </cell>
        </row>
        <row r="19414">
          <cell r="P19414">
            <v>0</v>
          </cell>
        </row>
        <row r="19415">
          <cell r="P19415">
            <v>0</v>
          </cell>
        </row>
        <row r="19416">
          <cell r="P19416">
            <v>0</v>
          </cell>
        </row>
        <row r="19417">
          <cell r="P19417">
            <v>0</v>
          </cell>
        </row>
        <row r="19418">
          <cell r="P19418">
            <v>0</v>
          </cell>
        </row>
        <row r="19419">
          <cell r="P19419">
            <v>0</v>
          </cell>
        </row>
        <row r="19420">
          <cell r="P19420">
            <v>0</v>
          </cell>
        </row>
        <row r="19421">
          <cell r="P19421">
            <v>0</v>
          </cell>
        </row>
        <row r="19422">
          <cell r="P19422">
            <v>0</v>
          </cell>
        </row>
        <row r="19423">
          <cell r="P19423">
            <v>0</v>
          </cell>
        </row>
        <row r="19424">
          <cell r="P19424">
            <v>0</v>
          </cell>
        </row>
        <row r="19425">
          <cell r="P19425">
            <v>0</v>
          </cell>
        </row>
        <row r="19426">
          <cell r="P19426">
            <v>0</v>
          </cell>
        </row>
        <row r="19427">
          <cell r="P19427">
            <v>1342.95</v>
          </cell>
        </row>
        <row r="19428">
          <cell r="P19428"/>
        </row>
        <row r="19429">
          <cell r="P19429"/>
        </row>
        <row r="19430">
          <cell r="P19430"/>
        </row>
      </sheetData>
      <sheetData sheetId="4"/>
      <sheetData sheetId="5">
        <row r="5">
          <cell r="D5" t="str">
            <v>PPM_020-17-Cervejaria Petrópolis-Itapissuma-PE-Ampliação de fábrica-R00</v>
          </cell>
        </row>
        <row r="9">
          <cell r="J9">
            <v>1645022.8772601399</v>
          </cell>
        </row>
        <row r="10">
          <cell r="J10">
            <v>453152.51752648357</v>
          </cell>
        </row>
        <row r="37">
          <cell r="H37">
            <v>0.05</v>
          </cell>
        </row>
        <row r="38">
          <cell r="H38">
            <v>0</v>
          </cell>
        </row>
        <row r="40">
          <cell r="H40">
            <v>0.1</v>
          </cell>
          <cell r="J40">
            <v>505820.94897508225</v>
          </cell>
        </row>
        <row r="46">
          <cell r="M46">
            <v>10</v>
          </cell>
        </row>
        <row r="48">
          <cell r="J48">
            <v>5058209.4897508221</v>
          </cell>
          <cell r="M48">
            <v>1</v>
          </cell>
        </row>
      </sheetData>
      <sheetData sheetId="6">
        <row r="9">
          <cell r="K9">
            <v>0.7</v>
          </cell>
          <cell r="AD9">
            <v>3.3087995582760515E-2</v>
          </cell>
        </row>
        <row r="10">
          <cell r="K10">
            <v>0.7</v>
          </cell>
          <cell r="N10">
            <v>0</v>
          </cell>
        </row>
        <row r="11">
          <cell r="K11">
            <v>1</v>
          </cell>
        </row>
        <row r="12">
          <cell r="G12">
            <v>6</v>
          </cell>
          <cell r="AD12">
            <v>0</v>
          </cell>
        </row>
        <row r="13">
          <cell r="K13">
            <v>0</v>
          </cell>
          <cell r="Q13">
            <v>0</v>
          </cell>
        </row>
        <row r="14">
          <cell r="K14">
            <v>1</v>
          </cell>
        </row>
        <row r="15">
          <cell r="AD15">
            <v>6.6479803349312151E-3</v>
          </cell>
        </row>
        <row r="27">
          <cell r="L27">
            <v>1419.6</v>
          </cell>
        </row>
        <row r="107">
          <cell r="AD107">
            <v>659446.42901556217</v>
          </cell>
          <cell r="AG107">
            <v>15433.6853322034</v>
          </cell>
          <cell r="AH107">
            <v>0</v>
          </cell>
        </row>
        <row r="108">
          <cell r="AG108">
            <v>38656.911390538735</v>
          </cell>
          <cell r="AH108">
            <v>0</v>
          </cell>
        </row>
      </sheetData>
      <sheetData sheetId="7">
        <row r="9">
          <cell r="L9">
            <v>3.0652849926806319E-3</v>
          </cell>
        </row>
        <row r="15">
          <cell r="L15">
            <v>0</v>
          </cell>
        </row>
        <row r="272">
          <cell r="Q272">
            <v>6550</v>
          </cell>
        </row>
        <row r="287">
          <cell r="Q287">
            <v>4873.9887419896731</v>
          </cell>
        </row>
      </sheetData>
      <sheetData sheetId="8">
        <row r="9">
          <cell r="D9">
            <v>5.46</v>
          </cell>
        </row>
        <row r="10">
          <cell r="D10">
            <v>8.77</v>
          </cell>
          <cell r="G10">
            <v>15</v>
          </cell>
          <cell r="H10">
            <v>35</v>
          </cell>
          <cell r="I10">
            <v>30</v>
          </cell>
        </row>
        <row r="11">
          <cell r="D11">
            <v>5.46</v>
          </cell>
          <cell r="G11">
            <v>10</v>
          </cell>
          <cell r="H11">
            <v>0</v>
          </cell>
          <cell r="I11">
            <v>30</v>
          </cell>
        </row>
        <row r="12">
          <cell r="D12">
            <v>8.77</v>
          </cell>
          <cell r="G12">
            <v>0</v>
          </cell>
          <cell r="H12">
            <v>1</v>
          </cell>
          <cell r="I12">
            <v>200</v>
          </cell>
          <cell r="O12">
            <v>16.399999999999999</v>
          </cell>
        </row>
        <row r="13">
          <cell r="D13"/>
        </row>
        <row r="18">
          <cell r="O18">
            <v>207948.65999999997</v>
          </cell>
          <cell r="R18">
            <v>9.7316321640617875E-2</v>
          </cell>
        </row>
        <row r="70">
          <cell r="O70">
            <v>119492.10639650001</v>
          </cell>
          <cell r="R70">
            <v>5.5920207707021191E-2</v>
          </cell>
        </row>
      </sheetData>
      <sheetData sheetId="9">
        <row r="10">
          <cell r="D10">
            <v>0</v>
          </cell>
        </row>
        <row r="13">
          <cell r="G13">
            <v>7.2500627294729947E-2</v>
          </cell>
        </row>
        <row r="16">
          <cell r="D16">
            <v>5.1999999999999998E-3</v>
          </cell>
        </row>
      </sheetData>
      <sheetData sheetId="10">
        <row r="8">
          <cell r="AA8">
            <v>1.869</v>
          </cell>
        </row>
        <row r="38">
          <cell r="AG38">
            <v>75</v>
          </cell>
        </row>
        <row r="40">
          <cell r="AG40">
            <v>0.9375</v>
          </cell>
        </row>
      </sheetData>
      <sheetData sheetId="11">
        <row r="31">
          <cell r="F31">
            <v>0.1173</v>
          </cell>
        </row>
      </sheetData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가열로SW"/>
      <sheetName val="AKF-2"/>
      <sheetName val="환율-LIBOR"/>
      <sheetName val="Sheet5"/>
      <sheetName val="SENSOR LIST"/>
      <sheetName val="옥외"/>
      <sheetName val="상각율"/>
      <sheetName val="산근"/>
      <sheetName val="CAT_5"/>
      <sheetName val="배관BM(일반)"/>
      <sheetName val="WEIGHT LIST"/>
      <sheetName val="#REF"/>
      <sheetName val="POL6차-PIPING"/>
      <sheetName val="물량"/>
      <sheetName val="산#2-1 (2)"/>
      <sheetName val="산#3-1"/>
      <sheetName val="LOAD"/>
      <sheetName val="일위대가"/>
      <sheetName val="A LINE"/>
      <sheetName val="일위대가(가설)"/>
      <sheetName val="도"/>
      <sheetName val="설비비4"/>
      <sheetName val="단중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옥외"/>
      <sheetName val="상각율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근"/>
      <sheetName val="Factor"/>
      <sheetName val="PI"/>
    </sheetNames>
    <sheetDataSet>
      <sheetData sheetId="0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산근"/>
      <sheetName val="CAT_5"/>
    </sheetNames>
    <sheetDataSet>
      <sheetData sheetId="0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배관BM(일반)"/>
      <sheetName val="WEIGHT LIST"/>
      <sheetName val="#REF"/>
      <sheetName val="POL6차-PIPING"/>
      <sheetName val="물량"/>
      <sheetName val="산#2-1 (2)"/>
      <sheetName val="산#3-1"/>
      <sheetName val="LOAD"/>
      <sheetName val="일위대가"/>
      <sheetName val="A LINE"/>
      <sheetName val="일위대가(가설)"/>
      <sheetName val="가열로SW"/>
      <sheetName val="AKF-2"/>
      <sheetName val="환율-LIBOR"/>
      <sheetName val="Sheet5"/>
      <sheetName val="SENSOR LIST"/>
      <sheetName val="옥외"/>
      <sheetName val="상각율"/>
      <sheetName val="산근"/>
      <sheetName val="CAT_5"/>
      <sheetName val="도"/>
      <sheetName val="설비비4"/>
      <sheetName val="단중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"/>
      <sheetName val="도"/>
      <sheetName val="설비비4"/>
      <sheetName val="AKF-2"/>
      <sheetName val="단중표"/>
      <sheetName val="#REF"/>
      <sheetName val="물량"/>
      <sheetName val="가열로SW"/>
      <sheetName val="환율-LIBOR"/>
      <sheetName val="Sheet5"/>
      <sheetName val="SENSOR LIST"/>
      <sheetName val="옥외"/>
      <sheetName val="상각율"/>
      <sheetName val="산근"/>
      <sheetName val="CAT_5"/>
      <sheetName val="배관BM(일반)"/>
      <sheetName val="WEIGHT LIST"/>
      <sheetName val="POL6차-PIPING"/>
      <sheetName val="산#2-1 (2)"/>
      <sheetName val="산#3-1"/>
      <sheetName val="LOAD"/>
      <sheetName val="일위대가"/>
      <sheetName val="A LINE"/>
      <sheetName val="일위대가(가설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Bruno Henrique Guimaraes Goncalves" id="{1B493089-7A52-4C6C-A72B-E0F88D5B2F94}" userId="S::ra00171246@pucsp.edu.br::08c80ede-fab2-4e09-8115-706548193119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2" dT="2020-02-10T14:53:01.85" personId="{1B493089-7A52-4C6C-A72B-E0F88D5B2F94}" id="{70A57EE1-4D0F-47C2-83DF-14155DE0D4A6}">
    <text>"Sem quaisquer deduções"</text>
  </threadedComment>
  <threadedComment ref="J14" dT="2020-02-10T14:53:01.85" personId="{1B493089-7A52-4C6C-A72B-E0F88D5B2F94}" id="{51B00940-16EF-4E7F-A582-EA652F9271D5}">
    <text>"Sem quaisquer deduções"</text>
  </threadedComment>
  <threadedComment ref="J16" dT="2020-02-10T14:53:01.85" personId="{1B493089-7A52-4C6C-A72B-E0F88D5B2F94}" id="{A4D5C2BB-B44A-48CD-B87A-4A1EBD1A17C0}">
    <text>"Sem quaisquer deduções"</text>
  </threadedComment>
  <threadedComment ref="J17" dT="2020-02-10T14:53:01.85" personId="{1B493089-7A52-4C6C-A72B-E0F88D5B2F94}" id="{A9C917AC-9338-49A3-8B56-7DA8E53C311F}">
    <text>"Sem quaisquer deduções"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sobratema.org.br/CustoHorario/Tabela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2">
    <tabColor rgb="FF9FC6FF"/>
    <pageSetUpPr fitToPage="1"/>
  </sheetPr>
  <dimension ref="A2:Z137"/>
  <sheetViews>
    <sheetView showGridLines="0" tabSelected="1" topLeftCell="A31" zoomScale="70" zoomScaleNormal="70" zoomScaleSheetLayoutView="100" workbookViewId="0">
      <selection activeCell="N43" sqref="N43"/>
    </sheetView>
  </sheetViews>
  <sheetFormatPr defaultColWidth="9.109375" defaultRowHeight="13.2" outlineLevelRow="1"/>
  <cols>
    <col min="1" max="1" width="2.5546875" style="998" customWidth="1"/>
    <col min="2" max="2" width="2.44140625" style="998" customWidth="1"/>
    <col min="3" max="3" width="18.44140625" style="8" customWidth="1"/>
    <col min="4" max="4" width="17.88671875" style="8" customWidth="1"/>
    <col min="5" max="5" width="14.44140625" style="8" customWidth="1"/>
    <col min="6" max="6" width="11.5546875" style="3" customWidth="1"/>
    <col min="7" max="7" width="22.88671875" style="3" customWidth="1"/>
    <col min="8" max="8" width="16" style="3" customWidth="1"/>
    <col min="9" max="9" width="17" style="3" customWidth="1"/>
    <col min="10" max="10" width="23.44140625" style="3" customWidth="1"/>
    <col min="11" max="11" width="20.5546875" customWidth="1"/>
    <col min="12" max="12" width="17.5546875" style="3" customWidth="1"/>
    <col min="13" max="13" width="16.44140625" style="3" customWidth="1"/>
    <col min="14" max="14" width="6.5546875" style="3" customWidth="1"/>
    <col min="15" max="15" width="17.5546875" style="3" customWidth="1"/>
    <col min="16" max="16" width="24" style="3" customWidth="1"/>
    <col min="17" max="17" width="4.5546875" style="3" customWidth="1"/>
    <col min="18" max="18" width="13.44140625" style="3" bestFit="1" customWidth="1"/>
    <col min="19" max="19" width="8.44140625" style="3" customWidth="1"/>
    <col min="20" max="20" width="5.33203125" style="1009" customWidth="1"/>
    <col min="21" max="21" width="15.5546875" style="24" customWidth="1"/>
    <col min="22" max="22" width="7.6640625" style="1009" customWidth="1"/>
    <col min="23" max="23" width="5.109375" style="3" customWidth="1"/>
    <col min="24" max="24" width="22.33203125" style="3" customWidth="1"/>
    <col min="25" max="25" width="15.5546875" style="1274" customWidth="1"/>
    <col min="26" max="26" width="34.5546875" style="3" customWidth="1"/>
    <col min="27" max="29" width="15.5546875" style="3" customWidth="1"/>
    <col min="30" max="30" width="5.109375" style="3" customWidth="1"/>
    <col min="31" max="16384" width="9.109375" style="3"/>
  </cols>
  <sheetData>
    <row r="2" spans="1:25" s="1" customFormat="1" ht="15.75" customHeight="1">
      <c r="A2" s="1135"/>
      <c r="B2" s="1135"/>
      <c r="C2" s="1282"/>
      <c r="D2" s="1285" t="s">
        <v>143</v>
      </c>
      <c r="E2" s="1285"/>
      <c r="F2" s="1285"/>
      <c r="G2" s="1285"/>
      <c r="H2" s="1285"/>
      <c r="I2" s="1285"/>
      <c r="J2" s="1136"/>
      <c r="K2"/>
      <c r="L2" s="2"/>
      <c r="M2" s="2"/>
      <c r="N2" s="2"/>
      <c r="O2" s="2"/>
      <c r="P2" s="2"/>
      <c r="Q2" s="2"/>
      <c r="R2" s="2"/>
      <c r="S2" s="2"/>
      <c r="T2" s="1137"/>
      <c r="U2" s="1138"/>
      <c r="V2" s="1137"/>
      <c r="X2" s="3"/>
      <c r="Y2" s="1272"/>
    </row>
    <row r="3" spans="1:25" s="1" customFormat="1" ht="15.75" customHeight="1">
      <c r="A3" s="1135"/>
      <c r="B3" s="1135"/>
      <c r="C3" s="1283"/>
      <c r="F3" s="1139" t="s">
        <v>2100</v>
      </c>
      <c r="G3" s="1140"/>
      <c r="H3" s="1140"/>
      <c r="I3" s="1140"/>
      <c r="J3" s="1141"/>
      <c r="K3"/>
      <c r="L3" s="2"/>
      <c r="M3" s="2"/>
      <c r="N3" s="2"/>
      <c r="O3" s="2"/>
      <c r="P3" s="2"/>
      <c r="Q3" s="2"/>
      <c r="R3" s="2"/>
      <c r="S3" s="2"/>
      <c r="T3" s="1137"/>
      <c r="U3" s="1138"/>
      <c r="V3" s="1137"/>
      <c r="X3" s="3"/>
      <c r="Y3" s="1272"/>
    </row>
    <row r="4" spans="1:25" s="4" customFormat="1" ht="15.75" customHeight="1">
      <c r="A4" s="1142"/>
      <c r="B4" s="1142"/>
      <c r="C4" s="1284"/>
      <c r="D4" s="1143"/>
      <c r="E4" s="1143"/>
      <c r="F4" s="1144" t="s">
        <v>1449</v>
      </c>
      <c r="G4" s="1145"/>
      <c r="H4" s="1145"/>
      <c r="I4" s="1145"/>
      <c r="J4" s="1146"/>
      <c r="K4"/>
      <c r="L4" s="5"/>
      <c r="M4" s="5"/>
      <c r="N4" s="5"/>
      <c r="O4" s="5"/>
      <c r="Q4" s="5"/>
      <c r="X4" s="3"/>
      <c r="Y4" s="1273"/>
    </row>
    <row r="5" spans="1:25">
      <c r="C5" s="6"/>
      <c r="D5" s="6"/>
      <c r="E5" s="6"/>
      <c r="F5" s="7"/>
    </row>
    <row r="6" spans="1:25" ht="15.75" customHeight="1">
      <c r="C6" s="1132" t="s">
        <v>2003</v>
      </c>
      <c r="D6" s="1133" t="str">
        <f ca="1">MID(CELL("filename"),SEARCH("[",CELL("filename"))+1,SEARCH("]",CELL("filename"))-SEARCH("[",CELL("filename"))-1)</f>
        <v>BDI_747.xlsx</v>
      </c>
      <c r="E6" s="1134"/>
      <c r="F6" s="1134"/>
      <c r="G6" s="1153" t="str">
        <f>Indiretos!E12&amp;" meses"</f>
        <v>8 meses</v>
      </c>
      <c r="H6" s="1196">
        <f>108.68+1074.09+1013.97+855.37+1002.53+904.62+904.62+904.62+421.75+904.62+110.96+110.96</f>
        <v>8316.7899999999972</v>
      </c>
      <c r="I6" s="1130" t="s">
        <v>843</v>
      </c>
      <c r="J6" s="1131">
        <f ca="1">TODAY()</f>
        <v>46093</v>
      </c>
    </row>
    <row r="7" spans="1:25" ht="15" customHeight="1">
      <c r="C7" s="1127"/>
      <c r="D7" s="1128"/>
      <c r="E7" s="1128"/>
      <c r="F7" s="1129"/>
      <c r="G7" s="1128"/>
      <c r="H7" s="1128"/>
      <c r="I7" s="1128"/>
      <c r="J7" s="1129"/>
    </row>
    <row r="8" spans="1:25" ht="15.75" customHeight="1">
      <c r="C8" s="1192" t="s">
        <v>620</v>
      </c>
      <c r="D8" s="1074" t="s">
        <v>431</v>
      </c>
      <c r="E8" s="1068"/>
      <c r="F8" s="1068"/>
      <c r="G8" s="1068"/>
      <c r="H8" s="1068"/>
      <c r="I8" s="1091">
        <f ca="1">custo_direto/$H$6</f>
        <v>685.23399700526932</v>
      </c>
      <c r="J8" s="1070">
        <f ca="1">materiais+J13</f>
        <v>5698947.2539534522</v>
      </c>
    </row>
    <row r="9" spans="1:25" ht="15.75" customHeight="1">
      <c r="B9" s="987" t="s">
        <v>621</v>
      </c>
      <c r="C9" s="1123" t="s">
        <v>621</v>
      </c>
      <c r="D9" s="980" t="s">
        <v>370</v>
      </c>
      <c r="E9" s="980"/>
      <c r="F9" s="980"/>
      <c r="G9" s="1065"/>
      <c r="H9" s="967">
        <f ca="1">materiais/custo_direto</f>
        <v>0.57301331932600907</v>
      </c>
      <c r="I9" s="1104">
        <f>J9/$H$6</f>
        <v>392.64820713901798</v>
      </c>
      <c r="J9" s="1250">
        <v>3265572.6826517121</v>
      </c>
      <c r="L9" s="1124"/>
      <c r="M9" s="1125"/>
      <c r="O9" s="1126"/>
    </row>
    <row r="10" spans="1:25" ht="15.75" customHeight="1">
      <c r="B10" s="987" t="s">
        <v>622</v>
      </c>
      <c r="C10" s="1123" t="s">
        <v>622</v>
      </c>
      <c r="D10" s="1086" t="s">
        <v>646</v>
      </c>
      <c r="E10" s="980"/>
      <c r="F10" s="980"/>
      <c r="G10" s="980"/>
      <c r="H10" s="967"/>
      <c r="I10" s="1104">
        <f t="shared" ref="I10" si="0">J10/$H$6</f>
        <v>277.56353065176597</v>
      </c>
      <c r="J10" s="1195">
        <v>2308437.5960892998</v>
      </c>
      <c r="L10" s="1083" t="s">
        <v>1447</v>
      </c>
      <c r="M10" s="1084">
        <f ca="1">SUM(J11:J12)/mdo</f>
        <v>5.4121876815771325E-2</v>
      </c>
    </row>
    <row r="11" spans="1:25" ht="15.75" hidden="1" customHeight="1" outlineLevel="1">
      <c r="B11" s="987" t="s">
        <v>656</v>
      </c>
      <c r="C11" s="1078" t="s">
        <v>656</v>
      </c>
      <c r="D11" s="1079" t="s">
        <v>1854</v>
      </c>
      <c r="E11" s="1079"/>
      <c r="F11" s="1079"/>
      <c r="G11" s="1079"/>
      <c r="H11" s="1080">
        <f ca="1">J11/custo_direto</f>
        <v>0</v>
      </c>
      <c r="I11" s="1079"/>
      <c r="J11" s="1081">
        <f ca="1">hora_extra_mdo_direta</f>
        <v>0</v>
      </c>
      <c r="K11" s="934"/>
      <c r="L11" s="1082"/>
    </row>
    <row r="12" spans="1:25" s="897" customFormat="1" ht="15.75" hidden="1" customHeight="1" outlineLevel="1">
      <c r="B12" s="987" t="s">
        <v>657</v>
      </c>
      <c r="C12" s="1078" t="s">
        <v>657</v>
      </c>
      <c r="D12" s="1079" t="s">
        <v>1855</v>
      </c>
      <c r="E12" s="1079"/>
      <c r="F12" s="1079"/>
      <c r="G12" s="1079"/>
      <c r="H12" s="1080">
        <f ca="1">J12/custo_direto</f>
        <v>2.1922816556298106E-2</v>
      </c>
      <c r="I12" s="1079"/>
      <c r="J12" s="1081">
        <f ca="1">transf_diss_ocio_mdo_direta</f>
        <v>124936.97521244036</v>
      </c>
      <c r="K12" s="934"/>
      <c r="O12" s="1085"/>
      <c r="Y12" s="1275"/>
    </row>
    <row r="13" spans="1:25" s="897" customFormat="1" ht="15.75" customHeight="1" collapsed="1">
      <c r="B13" s="987" t="s">
        <v>623</v>
      </c>
      <c r="C13" s="979" t="s">
        <v>623</v>
      </c>
      <c r="D13" s="1086" t="s">
        <v>652</v>
      </c>
      <c r="E13" s="980"/>
      <c r="F13" s="980"/>
      <c r="G13" s="980"/>
      <c r="H13" s="967">
        <f ca="1">J13/custo_direto</f>
        <v>0.42698668067399093</v>
      </c>
      <c r="I13" s="980"/>
      <c r="J13" s="981">
        <f ca="1">SUM(J10:J12)</f>
        <v>2433374.5713017401</v>
      </c>
      <c r="K13"/>
      <c r="L13" s="1087"/>
      <c r="M13" s="1088"/>
      <c r="N13" s="1089"/>
      <c r="Q13" s="1089"/>
      <c r="Y13" s="1275"/>
    </row>
    <row r="14" spans="1:25" ht="15.75" customHeight="1">
      <c r="B14" s="987" t="s">
        <v>624</v>
      </c>
      <c r="C14" s="1192" t="s">
        <v>624</v>
      </c>
      <c r="D14" s="1074" t="s">
        <v>405</v>
      </c>
      <c r="E14" s="1068"/>
      <c r="F14" s="1068"/>
      <c r="G14" s="1068"/>
      <c r="H14" s="1090">
        <f ca="1">custo_indireto/custo_direto</f>
        <v>0.10368563560404806</v>
      </c>
      <c r="I14" s="1091">
        <f ca="1">custo_indireto/$H$6</f>
        <v>71.048922516993713</v>
      </c>
      <c r="J14" s="1070">
        <f ca="1">SUM($J$18:$J$25)</f>
        <v>590898.96830010798</v>
      </c>
      <c r="L14" s="1092"/>
      <c r="M14" s="1093"/>
    </row>
    <row r="15" spans="1:25" ht="15.75" hidden="1" customHeight="1" outlineLevel="1">
      <c r="B15" s="987" t="s">
        <v>658</v>
      </c>
      <c r="C15" s="1078" t="s">
        <v>658</v>
      </c>
      <c r="D15" s="1094" t="s">
        <v>531</v>
      </c>
      <c r="E15" s="1079"/>
      <c r="F15" s="1079"/>
      <c r="G15" s="1095"/>
      <c r="H15" s="1080">
        <f t="shared" ref="H15:H25" ca="1" si="1">J15/custo_direto</f>
        <v>3.603004628458182E-2</v>
      </c>
      <c r="I15" s="1095"/>
      <c r="J15" s="1096">
        <f ca="1">mdo_indireta_valor</f>
        <v>205333.33333333334</v>
      </c>
      <c r="K15" s="934"/>
      <c r="L15" s="1092"/>
      <c r="M15" s="1097"/>
      <c r="N15" s="1006"/>
      <c r="Q15" s="1006"/>
    </row>
    <row r="16" spans="1:25" s="468" customFormat="1" ht="15.75" hidden="1" customHeight="1" outlineLevel="1">
      <c r="B16" s="987" t="s">
        <v>659</v>
      </c>
      <c r="C16" s="1078" t="s">
        <v>659</v>
      </c>
      <c r="D16" s="1079" t="s">
        <v>1854</v>
      </c>
      <c r="E16" s="1079"/>
      <c r="F16" s="1079"/>
      <c r="G16" s="1095"/>
      <c r="H16" s="1080">
        <f t="shared" ca="1" si="1"/>
        <v>0</v>
      </c>
      <c r="I16" s="1095"/>
      <c r="J16" s="1096">
        <f ca="1">hora_extra_mdo_indireta</f>
        <v>0</v>
      </c>
      <c r="K16" s="934"/>
      <c r="L16" s="1098"/>
      <c r="M16"/>
      <c r="N16" s="1099"/>
      <c r="O16" s="1286" t="s">
        <v>2052</v>
      </c>
      <c r="P16" s="1287"/>
      <c r="Q16" s="1099"/>
      <c r="X16" s="897"/>
      <c r="Y16" s="1276"/>
    </row>
    <row r="17" spans="1:25" s="468" customFormat="1" ht="15.75" hidden="1" customHeight="1" outlineLevel="1">
      <c r="B17" s="987" t="s">
        <v>660</v>
      </c>
      <c r="C17" s="1078" t="s">
        <v>660</v>
      </c>
      <c r="D17" s="1079" t="s">
        <v>1855</v>
      </c>
      <c r="E17" s="1079"/>
      <c r="F17" s="1079"/>
      <c r="G17" s="1079"/>
      <c r="H17" s="1080">
        <f t="shared" ca="1" si="1"/>
        <v>1.3511267356718182E-3</v>
      </c>
      <c r="I17" s="1095"/>
      <c r="J17" s="1081">
        <f ca="1">transf_diss_ocio_mdo_indireta</f>
        <v>7700</v>
      </c>
      <c r="K17"/>
      <c r="L17" s="1100"/>
      <c r="M17"/>
      <c r="N17" s="897"/>
      <c r="O17" s="1101"/>
      <c r="P17" s="1102"/>
      <c r="Q17" s="897"/>
      <c r="X17" s="897"/>
      <c r="Y17" s="1276"/>
    </row>
    <row r="18" spans="1:25" s="9" customFormat="1" ht="15.75" customHeight="1" collapsed="1">
      <c r="A18" s="467"/>
      <c r="B18" s="987" t="s">
        <v>626</v>
      </c>
      <c r="C18" s="1103" t="str">
        <f>HYPERLINK("#"&amp;"'Indiretos'!D"&amp;MATCH(B18,Indiretos!D:D,0),B18)</f>
        <v>CI-01</v>
      </c>
      <c r="D18" s="980" t="s">
        <v>531</v>
      </c>
      <c r="E18" s="980"/>
      <c r="F18" s="980"/>
      <c r="G18" s="980"/>
      <c r="H18" s="967">
        <f t="shared" ca="1" si="1"/>
        <v>3.7381173020253636E-2</v>
      </c>
      <c r="I18" s="1104">
        <f ca="1">J18/$H$6</f>
        <v>25.614850601413938</v>
      </c>
      <c r="J18" s="981">
        <f ca="1">SUM(J15:J17)</f>
        <v>213033.33333333334</v>
      </c>
      <c r="K18"/>
      <c r="L18" s="1105" t="s">
        <v>802</v>
      </c>
      <c r="M18" s="1106"/>
      <c r="N18"/>
      <c r="O18" s="1107">
        <f>H28</f>
        <v>6.5000000000000006E-3</v>
      </c>
      <c r="P18" s="1108">
        <f t="shared" ref="P18:P23" ca="1" si="2">O18*valor_de_venda1*$H$57</f>
        <v>27019.291053947039</v>
      </c>
      <c r="Q18"/>
      <c r="X18" s="3"/>
      <c r="Y18" s="1277"/>
    </row>
    <row r="19" spans="1:25" s="9" customFormat="1" ht="15.75" customHeight="1">
      <c r="A19" s="467"/>
      <c r="B19" s="987" t="s">
        <v>627</v>
      </c>
      <c r="C19" s="1103" t="str">
        <f>HYPERLINK("#"&amp;"'Indiretos'!D"&amp;MATCH(B19,Indiretos!D:D,0),B19)</f>
        <v>CI-02</v>
      </c>
      <c r="D19" s="980" t="s">
        <v>842</v>
      </c>
      <c r="E19" s="980"/>
      <c r="F19" s="980"/>
      <c r="G19" s="980"/>
      <c r="H19" s="967">
        <f ca="1">J19/custo_direto</f>
        <v>2.8788474904078844E-2</v>
      </c>
      <c r="I19" s="1104">
        <f t="shared" ref="I19:I23" si="3">J19/$H$6</f>
        <v>19.726841726207834</v>
      </c>
      <c r="J19" s="981">
        <f>refeições_valor+transportes_valor+alojamentos_valor</f>
        <v>164064.000000108</v>
      </c>
      <c r="K19" s="1193"/>
      <c r="L19" s="1109" t="s">
        <v>406</v>
      </c>
      <c r="M19" s="1109" t="s">
        <v>2002</v>
      </c>
      <c r="N19"/>
      <c r="O19" s="1107">
        <f>H29</f>
        <v>0.03</v>
      </c>
      <c r="P19" s="1108">
        <f t="shared" ca="1" si="2"/>
        <v>124704.42024898631</v>
      </c>
      <c r="Q19"/>
      <c r="X19" s="3"/>
      <c r="Y19" s="1277"/>
    </row>
    <row r="20" spans="1:25" s="9" customFormat="1" ht="15.75" customHeight="1">
      <c r="A20" s="467"/>
      <c r="B20" s="987" t="s">
        <v>628</v>
      </c>
      <c r="C20" s="1103" t="str">
        <f>HYPERLINK("#"&amp;"'Indiretos'!D"&amp;MATCH(B20,Indiretos!D:D,0),B20)</f>
        <v>CI-03</v>
      </c>
      <c r="D20" s="1086" t="s">
        <v>197</v>
      </c>
      <c r="E20" s="1086"/>
      <c r="F20" s="1086"/>
      <c r="G20" s="1086"/>
      <c r="H20" s="1028">
        <f ca="1">J20/custo_direto</f>
        <v>6.3169561667773318E-3</v>
      </c>
      <c r="I20" s="1104">
        <f t="shared" si="3"/>
        <v>4.3285931230679155</v>
      </c>
      <c r="J20" s="1110">
        <f>canteiro_de_obras_valor</f>
        <v>36000</v>
      </c>
      <c r="K20"/>
      <c r="L20" s="1151">
        <v>40</v>
      </c>
      <c r="M20" s="1152">
        <v>40</v>
      </c>
      <c r="N20"/>
      <c r="O20" s="1107">
        <f t="shared" ref="O20:O23" si="4">H30</f>
        <v>1.2E-2</v>
      </c>
      <c r="P20" s="1108">
        <f t="shared" ca="1" si="2"/>
        <v>49881.768099594527</v>
      </c>
      <c r="Q20"/>
      <c r="X20" s="3"/>
      <c r="Y20" s="1277"/>
    </row>
    <row r="21" spans="1:25" s="9" customFormat="1" ht="15.75" customHeight="1">
      <c r="A21" s="467"/>
      <c r="B21" s="987" t="s">
        <v>629</v>
      </c>
      <c r="C21" s="1103" t="str">
        <f>HYPERLINK("#"&amp;"'Indiretos'!D"&amp;MATCH(B21,Indiretos!D:D,0),B21)</f>
        <v>CI-04</v>
      </c>
      <c r="D21" s="980" t="s">
        <v>850</v>
      </c>
      <c r="E21" s="980"/>
      <c r="F21" s="980"/>
      <c r="G21" s="980"/>
      <c r="H21" s="967">
        <f ca="1">J21/custo_direto</f>
        <v>0</v>
      </c>
      <c r="I21" s="1104">
        <f t="shared" si="3"/>
        <v>0</v>
      </c>
      <c r="J21" s="981">
        <f>despesas_administrativas_valor</f>
        <v>0</v>
      </c>
      <c r="K21"/>
      <c r="L21" s="1111" t="s">
        <v>1926</v>
      </c>
      <c r="N21"/>
      <c r="O21" s="1107">
        <f t="shared" si="4"/>
        <v>1.0800000000000001E-2</v>
      </c>
      <c r="P21" s="1108">
        <f t="shared" ca="1" si="2"/>
        <v>44893.591289635078</v>
      </c>
      <c r="Q21"/>
      <c r="X21" s="3"/>
      <c r="Y21" s="1277"/>
    </row>
    <row r="22" spans="1:25" s="9" customFormat="1" ht="15.75" customHeight="1">
      <c r="A22" s="467"/>
      <c r="B22" s="987" t="s">
        <v>630</v>
      </c>
      <c r="C22" s="1103" t="str">
        <f>HYPERLINK("#"&amp;"'Indiretos'!D"&amp;MATCH(B22,Indiretos!D:D,0),B22)</f>
        <v>CI-05</v>
      </c>
      <c r="D22" s="1086" t="s">
        <v>647</v>
      </c>
      <c r="E22" s="1086"/>
      <c r="F22" s="1086"/>
      <c r="G22" s="1086"/>
      <c r="H22" s="967">
        <f ca="1">J22/custo_direto</f>
        <v>1.8227799516469863E-2</v>
      </c>
      <c r="I22" s="1104">
        <f t="shared" si="3"/>
        <v>12.49030791928136</v>
      </c>
      <c r="J22" s="981">
        <f>ferramentas_valor+equipamentos_valor</f>
        <v>103879.26799999998</v>
      </c>
      <c r="K22" s="984"/>
      <c r="L22" s="1151">
        <v>3</v>
      </c>
      <c r="N22"/>
      <c r="O22" s="1107">
        <f t="shared" si="4"/>
        <v>0</v>
      </c>
      <c r="P22" s="1108">
        <f t="shared" ca="1" si="2"/>
        <v>0</v>
      </c>
      <c r="Q22"/>
      <c r="X22" s="3"/>
      <c r="Y22" s="1277"/>
    </row>
    <row r="23" spans="1:25" s="9" customFormat="1" ht="15.75" customHeight="1">
      <c r="A23" s="467"/>
      <c r="B23" s="987" t="s">
        <v>631</v>
      </c>
      <c r="C23" s="1103" t="str">
        <f>HYPERLINK("#"&amp;"'Indiretos'!D"&amp;MATCH(B23,Indiretos!D:D,0),B23)</f>
        <v>CI-06</v>
      </c>
      <c r="D23" s="980" t="s">
        <v>1474</v>
      </c>
      <c r="E23" s="980"/>
      <c r="F23" s="980"/>
      <c r="G23" s="980"/>
      <c r="H23" s="967">
        <f t="shared" ca="1" si="1"/>
        <v>1.2971231943827087E-2</v>
      </c>
      <c r="I23" s="1104">
        <f t="shared" si="3"/>
        <v>8.8883291109510658</v>
      </c>
      <c r="J23" s="981">
        <f>epi_valor+treinamentos_valor</f>
        <v>73922.366666666683</v>
      </c>
      <c r="K23" s="984"/>
      <c r="L23" s="1111" t="s">
        <v>238</v>
      </c>
      <c r="N23"/>
      <c r="O23" s="1107">
        <f t="shared" si="4"/>
        <v>0.05</v>
      </c>
      <c r="P23" s="1108">
        <f t="shared" ca="1" si="2"/>
        <v>207840.70041497721</v>
      </c>
      <c r="Q23"/>
      <c r="X23" s="3"/>
      <c r="Y23" s="1277"/>
    </row>
    <row r="24" spans="1:25" s="9" customFormat="1" ht="15.75" customHeight="1">
      <c r="A24" s="467" t="s">
        <v>189</v>
      </c>
      <c r="B24" s="987" t="s">
        <v>632</v>
      </c>
      <c r="C24" s="1103" t="str">
        <f>HYPERLINK("#"&amp;"'Indiretos'!D"&amp;MATCH(B24,Indiretos!D:D,0),B24)</f>
        <v>CI-07</v>
      </c>
      <c r="D24" s="980" t="s">
        <v>1473</v>
      </c>
      <c r="E24" s="980"/>
      <c r="F24" s="980"/>
      <c r="G24" s="980"/>
      <c r="H24" s="967">
        <f t="shared" ca="1" si="1"/>
        <v>0</v>
      </c>
      <c r="I24" s="1104"/>
      <c r="J24" s="1110">
        <f>mobilização_terceiros_valor+serviços_técnicos_valor+controle_técnológico_valor+projetos_valor</f>
        <v>0</v>
      </c>
      <c r="K24"/>
      <c r="L24" s="1152">
        <v>1</v>
      </c>
      <c r="N24"/>
      <c r="O24" s="1006"/>
      <c r="Q24"/>
      <c r="X24" s="3"/>
      <c r="Y24" s="1277"/>
    </row>
    <row r="25" spans="1:25" s="9" customFormat="1" ht="15.75" customHeight="1">
      <c r="A25" s="467"/>
      <c r="B25" s="987" t="s">
        <v>633</v>
      </c>
      <c r="C25" s="1103" t="str">
        <f>HYPERLINK("#"&amp;"'Despesas Financeiras'!D"&amp;MATCH(B25,'Despesas Financeiras'!B:B,0),B25)</f>
        <v>CI-08</v>
      </c>
      <c r="D25" s="980" t="s">
        <v>1997</v>
      </c>
      <c r="E25" s="980"/>
      <c r="F25" s="980"/>
      <c r="G25" s="980"/>
      <c r="H25" s="967">
        <f t="shared" ca="1" si="1"/>
        <v>5.264130138981108E-11</v>
      </c>
      <c r="I25" s="1104"/>
      <c r="J25" s="981">
        <f>montante_do_juros</f>
        <v>2.9999999999999992E-4</v>
      </c>
      <c r="K25"/>
      <c r="N25" s="1093"/>
      <c r="Q25" s="1093"/>
      <c r="X25" s="3"/>
      <c r="Y25" s="1277"/>
    </row>
    <row r="26" spans="1:25" s="9" customFormat="1" ht="15.75" customHeight="1">
      <c r="A26" s="467"/>
      <c r="B26" s="987" t="s">
        <v>625</v>
      </c>
      <c r="C26" s="1192" t="s">
        <v>625</v>
      </c>
      <c r="D26" s="1074" t="s">
        <v>1469</v>
      </c>
      <c r="E26" s="1068"/>
      <c r="F26" s="1068"/>
      <c r="G26" s="1068"/>
      <c r="H26" s="1090">
        <f ca="1">despesas_indiretas/custo_direto</f>
        <v>0.19759873463384842</v>
      </c>
      <c r="I26" s="1091">
        <f ca="1">despesas_indiretas/$H$6</f>
        <v>135.40137073633551</v>
      </c>
      <c r="J26" s="1070">
        <f ca="1">SUM($J$27:$J$39)</f>
        <v>1126104.7661262474</v>
      </c>
      <c r="L26" s="1293" t="s">
        <v>2044</v>
      </c>
      <c r="M26" s="1294"/>
      <c r="N26" s="1112"/>
      <c r="O26" s="1286" t="s">
        <v>2045</v>
      </c>
      <c r="P26" s="1287"/>
      <c r="Q26" s="1112"/>
      <c r="W26" s="3"/>
      <c r="X26" s="3"/>
      <c r="Y26" s="1277"/>
    </row>
    <row r="27" spans="1:25" s="9" customFormat="1" ht="15.75" customHeight="1">
      <c r="A27" s="467" t="s">
        <v>189</v>
      </c>
      <c r="B27" s="987" t="s">
        <v>634</v>
      </c>
      <c r="C27" s="1103" t="s">
        <v>634</v>
      </c>
      <c r="D27" s="980" t="s">
        <v>190</v>
      </c>
      <c r="E27" s="980"/>
      <c r="F27" s="980"/>
      <c r="G27" s="980"/>
      <c r="H27" s="1147">
        <f>adm_central</f>
        <v>0.04</v>
      </c>
      <c r="I27" s="980"/>
      <c r="J27" s="981">
        <f t="shared" ref="J27:J32" ca="1" si="5">H27*$J$45</f>
        <v>166272.56033198177</v>
      </c>
      <c r="L27" s="1101"/>
      <c r="M27" s="1102"/>
      <c r="N27" s="1006"/>
      <c r="O27" s="1101"/>
      <c r="P27" s="1102"/>
      <c r="Q27" s="1006"/>
      <c r="W27" s="3"/>
      <c r="X27" s="3"/>
      <c r="Y27" s="1277"/>
    </row>
    <row r="28" spans="1:25" s="9" customFormat="1" ht="15.75" customHeight="1">
      <c r="A28" s="467"/>
      <c r="B28" s="987" t="s">
        <v>635</v>
      </c>
      <c r="C28" s="979" t="s">
        <v>635</v>
      </c>
      <c r="D28" s="980" t="s">
        <v>134</v>
      </c>
      <c r="E28" s="980"/>
      <c r="F28" s="980"/>
      <c r="G28" s="980"/>
      <c r="H28" s="1148">
        <f>0.65%</f>
        <v>6.5000000000000006E-3</v>
      </c>
      <c r="I28" s="980"/>
      <c r="J28" s="981">
        <f t="shared" ca="1" si="5"/>
        <v>27019.291053947039</v>
      </c>
      <c r="K28" s="1113"/>
      <c r="L28" s="1107">
        <f>H28</f>
        <v>6.5000000000000006E-3</v>
      </c>
      <c r="M28" s="1108">
        <f ca="1">L28*$J$45</f>
        <v>27019.291053947039</v>
      </c>
      <c r="N28" s="1006"/>
      <c r="O28" s="1107">
        <f>H28</f>
        <v>6.5000000000000006E-3</v>
      </c>
      <c r="P28" s="1108">
        <f ca="1">O28*valor_de_venda2</f>
        <v>48750.000002830879</v>
      </c>
      <c r="Q28" s="1006"/>
      <c r="W28" s="3"/>
      <c r="X28" s="3"/>
      <c r="Y28" s="1277"/>
    </row>
    <row r="29" spans="1:25" s="9" customFormat="1" ht="15.75" customHeight="1">
      <c r="A29" s="467"/>
      <c r="B29" s="987" t="s">
        <v>636</v>
      </c>
      <c r="C29" s="979" t="s">
        <v>636</v>
      </c>
      <c r="D29" s="980" t="s">
        <v>136</v>
      </c>
      <c r="E29" s="980"/>
      <c r="F29" s="980"/>
      <c r="G29" s="1150">
        <f ca="1">SUM(J28:J33)</f>
        <v>454339.77110714011</v>
      </c>
      <c r="H29" s="1149">
        <f>3%</f>
        <v>0.03</v>
      </c>
      <c r="I29" s="980"/>
      <c r="J29" s="981">
        <f t="shared" ca="1" si="5"/>
        <v>124704.42024898631</v>
      </c>
      <c r="K29" s="1114"/>
      <c r="L29" s="1107">
        <f>H29</f>
        <v>0.03</v>
      </c>
      <c r="M29" s="1108">
        <f t="shared" ref="M29" ca="1" si="6">L29*$J$45</f>
        <v>124704.42024898631</v>
      </c>
      <c r="N29" s="1006"/>
      <c r="O29" s="1107">
        <f t="shared" ref="O29:O33" si="7">H29</f>
        <v>0.03</v>
      </c>
      <c r="P29" s="1108">
        <f t="shared" ref="P29:P33" ca="1" si="8">O29*valor_de_venda2</f>
        <v>225000.00001306555</v>
      </c>
      <c r="Q29" s="1006"/>
      <c r="W29" s="3"/>
      <c r="X29" s="3"/>
      <c r="Y29" s="1277"/>
    </row>
    <row r="30" spans="1:25" s="9" customFormat="1" ht="15.75" customHeight="1">
      <c r="A30" s="467"/>
      <c r="B30" s="987" t="s">
        <v>637</v>
      </c>
      <c r="C30" s="979" t="s">
        <v>637</v>
      </c>
      <c r="D30" s="980" t="s">
        <v>135</v>
      </c>
      <c r="E30" s="980"/>
      <c r="F30" s="980"/>
      <c r="G30" s="757"/>
      <c r="H30" s="1149">
        <f>1.2%</f>
        <v>1.2E-2</v>
      </c>
      <c r="I30" s="980"/>
      <c r="J30" s="981">
        <f t="shared" ca="1" si="5"/>
        <v>49881.768099594527</v>
      </c>
      <c r="L30" s="1107">
        <f>H30</f>
        <v>1.2E-2</v>
      </c>
      <c r="M30" s="1108">
        <f ca="1">L30*$J$45</f>
        <v>49881.768099594527</v>
      </c>
      <c r="N30" s="1006"/>
      <c r="O30" s="1107">
        <f t="shared" si="7"/>
        <v>1.2E-2</v>
      </c>
      <c r="P30" s="1108">
        <f t="shared" ca="1" si="8"/>
        <v>90000.000005226233</v>
      </c>
      <c r="Q30" s="1006"/>
      <c r="W30" s="3"/>
      <c r="X30" s="3"/>
      <c r="Y30" s="1277"/>
    </row>
    <row r="31" spans="1:25" s="9" customFormat="1" ht="15.75" customHeight="1">
      <c r="A31" s="467"/>
      <c r="B31" s="987" t="s">
        <v>638</v>
      </c>
      <c r="C31" s="979" t="s">
        <v>638</v>
      </c>
      <c r="D31" s="980" t="s">
        <v>137</v>
      </c>
      <c r="E31" s="980"/>
      <c r="F31" s="980"/>
      <c r="G31" s="1115"/>
      <c r="H31" s="1149">
        <f>1.08%</f>
        <v>1.0800000000000001E-2</v>
      </c>
      <c r="I31" s="980"/>
      <c r="J31" s="981">
        <f t="shared" ca="1" si="5"/>
        <v>44893.591289635078</v>
      </c>
      <c r="L31" s="1107">
        <f>H31</f>
        <v>1.0800000000000001E-2</v>
      </c>
      <c r="M31" s="1116">
        <f ca="1">L31*$J$45</f>
        <v>44893.591289635078</v>
      </c>
      <c r="N31" s="1006"/>
      <c r="O31" s="1107">
        <f t="shared" si="7"/>
        <v>1.0800000000000001E-2</v>
      </c>
      <c r="P31" s="1108">
        <f t="shared" ca="1" si="8"/>
        <v>81000.000004703616</v>
      </c>
      <c r="Q31" s="1006"/>
      <c r="W31" s="3"/>
      <c r="X31" s="3"/>
      <c r="Y31" s="1277"/>
    </row>
    <row r="32" spans="1:25" s="9" customFormat="1" ht="15.75" customHeight="1">
      <c r="A32" s="467"/>
      <c r="B32" s="987" t="s">
        <v>639</v>
      </c>
      <c r="C32" s="979" t="s">
        <v>639</v>
      </c>
      <c r="D32" s="980" t="s">
        <v>2035</v>
      </c>
      <c r="E32" s="980"/>
      <c r="F32" s="980"/>
      <c r="G32" s="980"/>
      <c r="H32" s="1252">
        <v>0</v>
      </c>
      <c r="I32" s="980"/>
      <c r="J32" s="981">
        <f t="shared" ca="1" si="5"/>
        <v>0</v>
      </c>
      <c r="K32" s="1114"/>
      <c r="L32" s="1107">
        <f>H32</f>
        <v>0</v>
      </c>
      <c r="M32" s="1117">
        <f ca="1">L32*$J$45</f>
        <v>0</v>
      </c>
      <c r="N32"/>
      <c r="O32" s="1107">
        <f t="shared" si="7"/>
        <v>0</v>
      </c>
      <c r="P32" s="1108">
        <f t="shared" ca="1" si="8"/>
        <v>0</v>
      </c>
      <c r="Q32"/>
      <c r="W32" s="3"/>
      <c r="X32" s="3"/>
      <c r="Y32" s="1277"/>
    </row>
    <row r="33" spans="1:25" s="9" customFormat="1" ht="15.75" customHeight="1">
      <c r="A33" s="467"/>
      <c r="B33" s="987" t="s">
        <v>640</v>
      </c>
      <c r="C33" s="979" t="s">
        <v>640</v>
      </c>
      <c r="D33" s="980" t="s">
        <v>192</v>
      </c>
      <c r="E33" s="980"/>
      <c r="F33" s="1118" t="s">
        <v>1993</v>
      </c>
      <c r="G33" s="974">
        <v>0</v>
      </c>
      <c r="H33" s="1194">
        <v>0.05</v>
      </c>
      <c r="I33" s="980"/>
      <c r="J33" s="981">
        <f ca="1">H33*$J$45*(1-$G$33)</f>
        <v>207840.70041497721</v>
      </c>
      <c r="K33" s="1119"/>
      <c r="L33" s="1107">
        <f t="shared" ref="L33" si="9">H33</f>
        <v>0.05</v>
      </c>
      <c r="M33" s="1116">
        <f ca="1">L33*$J$45</f>
        <v>207840.70041497721</v>
      </c>
      <c r="N33"/>
      <c r="O33" s="1107">
        <f t="shared" si="7"/>
        <v>0.05</v>
      </c>
      <c r="P33" s="1108">
        <f t="shared" ca="1" si="8"/>
        <v>375000.00002177595</v>
      </c>
      <c r="Q33"/>
      <c r="W33" s="3"/>
      <c r="X33" s="3"/>
      <c r="Y33" s="1277"/>
    </row>
    <row r="34" spans="1:25" s="9" customFormat="1" ht="15.75" customHeight="1">
      <c r="A34" s="467"/>
      <c r="B34" s="987" t="s">
        <v>641</v>
      </c>
      <c r="C34" s="979" t="s">
        <v>641</v>
      </c>
      <c r="D34" s="980" t="s">
        <v>2086</v>
      </c>
      <c r="E34" s="980"/>
      <c r="F34" s="980"/>
      <c r="G34" s="1065"/>
      <c r="H34" s="974">
        <v>0.05</v>
      </c>
      <c r="I34" s="980"/>
      <c r="J34" s="981">
        <f ca="1">$H$34*$J$45</f>
        <v>207840.70041497721</v>
      </c>
      <c r="K34"/>
      <c r="L34" s="1289" t="s">
        <v>1987</v>
      </c>
      <c r="M34" s="1290"/>
      <c r="N34"/>
      <c r="O34" s="1101"/>
      <c r="P34" s="1102"/>
      <c r="Q34"/>
      <c r="W34" s="3"/>
      <c r="X34" s="3"/>
      <c r="Y34" s="1277"/>
    </row>
    <row r="35" spans="1:25" s="9" customFormat="1" ht="15.75" customHeight="1">
      <c r="A35" s="467"/>
      <c r="B35" s="987" t="s">
        <v>642</v>
      </c>
      <c r="C35" s="979" t="s">
        <v>642</v>
      </c>
      <c r="D35" s="980" t="s">
        <v>559</v>
      </c>
      <c r="E35" s="980"/>
      <c r="F35" s="980"/>
      <c r="G35" s="980"/>
      <c r="H35" s="974">
        <v>0</v>
      </c>
      <c r="I35" s="980"/>
      <c r="J35" s="981">
        <f ca="1">$H$35*$J$45</f>
        <v>0</v>
      </c>
      <c r="K35" s="1120"/>
      <c r="L35" s="1291">
        <f>SUM(L28:L33)</f>
        <v>0.10930000000000001</v>
      </c>
      <c r="M35" s="1292"/>
      <c r="N35"/>
      <c r="O35" s="1121"/>
      <c r="P35" s="1122"/>
      <c r="Q35"/>
      <c r="W35" s="3"/>
      <c r="X35" s="3"/>
      <c r="Y35" s="1277"/>
    </row>
    <row r="36" spans="1:25" s="9" customFormat="1" ht="15.75" customHeight="1">
      <c r="A36" s="467"/>
      <c r="B36" s="987" t="s">
        <v>642</v>
      </c>
      <c r="C36" s="979" t="s">
        <v>2034</v>
      </c>
      <c r="D36" s="980" t="s">
        <v>2050</v>
      </c>
      <c r="E36" s="980"/>
      <c r="F36" s="980"/>
      <c r="G36" s="980"/>
      <c r="H36" s="972">
        <v>7.0000000000000001E-3</v>
      </c>
      <c r="I36" s="980"/>
      <c r="J36" s="981">
        <f ca="1">valor_de_venda1*H36</f>
        <v>29097.698058096808</v>
      </c>
      <c r="K36" s="1120"/>
      <c r="L36" s="1212" t="s">
        <v>2083</v>
      </c>
      <c r="M36" s="1213">
        <f>(1/(1-L35)-100%)</f>
        <v>0.12271247333557866</v>
      </c>
      <c r="N36" s="1006"/>
      <c r="O36" s="1006"/>
      <c r="P36" s="1006"/>
      <c r="Q36" s="1006"/>
      <c r="W36" s="3"/>
      <c r="X36" s="3"/>
      <c r="Y36" s="1277"/>
    </row>
    <row r="37" spans="1:25" s="9" customFormat="1" ht="15.75" customHeight="1">
      <c r="A37" s="467"/>
      <c r="B37" s="987" t="s">
        <v>139</v>
      </c>
      <c r="C37" s="1192" t="s">
        <v>139</v>
      </c>
      <c r="D37" s="1074" t="s">
        <v>419</v>
      </c>
      <c r="E37" s="1068"/>
      <c r="F37" s="1068"/>
      <c r="G37" s="1068"/>
      <c r="H37" s="1068"/>
      <c r="I37" s="1068"/>
      <c r="J37" s="1069"/>
      <c r="K37"/>
      <c r="L37" s="1006"/>
      <c r="M37" s="590"/>
      <c r="N37"/>
      <c r="O37"/>
      <c r="Q37"/>
      <c r="X37" s="3"/>
      <c r="Y37" s="1277"/>
    </row>
    <row r="38" spans="1:25" s="9" customFormat="1" ht="15.75" customHeight="1">
      <c r="A38" s="467"/>
      <c r="B38" s="987" t="s">
        <v>643</v>
      </c>
      <c r="C38" s="979" t="s">
        <v>643</v>
      </c>
      <c r="D38" s="980" t="s">
        <v>2094</v>
      </c>
      <c r="E38" s="980"/>
      <c r="F38" s="980"/>
      <c r="G38" s="980"/>
      <c r="H38" s="973">
        <v>6.4605737874692787E-2</v>
      </c>
      <c r="I38" s="980"/>
      <c r="J38" s="981">
        <f ca="1">lucro_liquido*$J$45</f>
        <v>268554.03621405136</v>
      </c>
      <c r="K38"/>
      <c r="L38" s="1006"/>
      <c r="N38"/>
      <c r="O38"/>
      <c r="Q38"/>
      <c r="X38" s="3"/>
      <c r="Y38" s="1277"/>
    </row>
    <row r="39" spans="1:25" s="9" customFormat="1" ht="15.75" customHeight="1">
      <c r="A39" s="467"/>
      <c r="B39" s="987" t="s">
        <v>644</v>
      </c>
      <c r="C39" s="979" t="s">
        <v>644</v>
      </c>
      <c r="D39" s="1061" t="s">
        <v>1994</v>
      </c>
      <c r="E39" s="1062"/>
      <c r="F39" s="1062"/>
      <c r="G39" s="1062"/>
      <c r="H39" s="971">
        <f>SUM($H$34:$H$38)+SUM($H$27:$H$32)+ISS*(1-$G$33)</f>
        <v>0.2709057378746928</v>
      </c>
      <c r="I39" s="1063"/>
      <c r="J39" s="981"/>
      <c r="K39"/>
      <c r="L39" s="1064"/>
      <c r="N39"/>
      <c r="O39"/>
      <c r="Q39"/>
      <c r="X39" s="3"/>
      <c r="Y39" s="1277"/>
    </row>
    <row r="40" spans="1:25" s="9" customFormat="1" ht="15.75" customHeight="1">
      <c r="A40" s="467"/>
      <c r="B40" s="987" t="s">
        <v>643</v>
      </c>
      <c r="C40" s="979" t="s">
        <v>2049</v>
      </c>
      <c r="D40" s="980" t="s">
        <v>2053</v>
      </c>
      <c r="E40" s="980"/>
      <c r="F40" s="980"/>
      <c r="G40" s="980"/>
      <c r="H40" s="971"/>
      <c r="I40" s="980"/>
      <c r="J40" s="981">
        <f ca="1">(H36*valor_de_venda2)</f>
        <v>52500.000003048634</v>
      </c>
      <c r="K40"/>
      <c r="L40" s="1006"/>
      <c r="N40"/>
      <c r="O40"/>
      <c r="Q40"/>
      <c r="X40" s="3"/>
      <c r="Y40" s="1277"/>
    </row>
    <row r="41" spans="1:25" s="9" customFormat="1" ht="15.75" hidden="1" customHeight="1">
      <c r="A41" s="467"/>
      <c r="B41" s="987" t="s">
        <v>643</v>
      </c>
      <c r="C41" s="979" t="s">
        <v>2054</v>
      </c>
      <c r="D41" s="980" t="s">
        <v>866</v>
      </c>
      <c r="E41" s="980"/>
      <c r="F41" s="980"/>
      <c r="G41" s="980"/>
      <c r="H41" s="975">
        <f ca="1">J41/valor_de_venda2</f>
        <v>6.4605737874692787E-2</v>
      </c>
      <c r="I41" s="980" t="s">
        <v>2056</v>
      </c>
      <c r="J41" s="981">
        <f ca="1">lucro_liquido*valor_de_venda2</f>
        <v>484543.0340883329</v>
      </c>
      <c r="K41"/>
      <c r="L41" s="1006"/>
      <c r="N41"/>
      <c r="O41"/>
      <c r="Q41"/>
      <c r="X41" s="3"/>
      <c r="Y41" s="1277"/>
    </row>
    <row r="42" spans="1:25" s="9" customFormat="1" ht="15.75" hidden="1" customHeight="1">
      <c r="A42" s="467"/>
      <c r="B42" s="987" t="s">
        <v>643</v>
      </c>
      <c r="C42" s="979" t="s">
        <v>2027</v>
      </c>
      <c r="D42" s="980" t="s">
        <v>2055</v>
      </c>
      <c r="E42" s="980"/>
      <c r="F42" s="980"/>
      <c r="G42" s="1065"/>
      <c r="H42" s="966">
        <f>lucro_liquido/meses_obra</f>
        <v>8.0757172343365984E-3</v>
      </c>
      <c r="I42" s="980"/>
      <c r="J42" s="981">
        <f ca="1">J38/meses_obra</f>
        <v>33569.25452675642</v>
      </c>
      <c r="K42"/>
      <c r="L42" s="1066"/>
      <c r="N42"/>
      <c r="O42"/>
      <c r="Q42"/>
      <c r="X42" s="3"/>
      <c r="Y42" s="1277"/>
    </row>
    <row r="43" spans="1:25" s="9" customFormat="1" ht="15.75" customHeight="1">
      <c r="A43" s="467"/>
      <c r="B43" s="987"/>
      <c r="C43" s="1192" t="s">
        <v>420</v>
      </c>
      <c r="D43" s="1067" t="s">
        <v>1995</v>
      </c>
      <c r="E43" s="1068"/>
      <c r="F43" s="1068"/>
      <c r="G43" s="1068"/>
      <c r="H43" s="1068"/>
      <c r="I43" s="1069"/>
      <c r="J43" s="1070">
        <f ca="1">custo_direto+custo_indireto-'F.D.'!H121-'Bdi CURVA ABC - MAT'!H210</f>
        <v>3030709.2421732964</v>
      </c>
      <c r="K43" s="993">
        <f ca="1">J43/H6</f>
        <v>364.4085328802696</v>
      </c>
      <c r="L43" s="1071"/>
      <c r="M43" s="1072"/>
      <c r="N43"/>
      <c r="P43" s="1072"/>
      <c r="Q43"/>
      <c r="X43" s="3"/>
      <c r="Y43" s="1277"/>
    </row>
    <row r="44" spans="1:25" customFormat="1" ht="15.75" customHeight="1" thickBot="1">
      <c r="L44" s="1160"/>
      <c r="Y44" s="1278"/>
    </row>
    <row r="45" spans="1:25" s="9" customFormat="1" ht="15.75" customHeight="1" thickBot="1">
      <c r="A45" s="467" t="s">
        <v>189</v>
      </c>
      <c r="B45" s="987" t="s">
        <v>650</v>
      </c>
      <c r="C45" s="1192" t="s">
        <v>1988</v>
      </c>
      <c r="D45" s="1074" t="s">
        <v>2059</v>
      </c>
      <c r="E45" s="1068"/>
      <c r="F45" s="1068"/>
      <c r="G45" s="990"/>
      <c r="H45" s="1068"/>
      <c r="I45" s="1068"/>
      <c r="J45" s="1060">
        <f ca="1">J43/(1-bdi)</f>
        <v>4156814.008299544</v>
      </c>
      <c r="K45" s="993">
        <f ca="1">valor_de_venda1/H6</f>
        <v>499.80990361660514</v>
      </c>
      <c r="M45" s="1073"/>
      <c r="N45" s="934"/>
      <c r="O45"/>
      <c r="P45" s="587"/>
      <c r="Q45" s="934"/>
      <c r="X45" s="3"/>
      <c r="Y45" s="1277"/>
    </row>
    <row r="46" spans="1:25" s="9" customFormat="1" ht="15.75" customHeight="1">
      <c r="A46" s="467"/>
      <c r="B46" s="978" t="s">
        <v>654</v>
      </c>
      <c r="C46" s="979" t="s">
        <v>650</v>
      </c>
      <c r="D46" s="980" t="s">
        <v>2106</v>
      </c>
      <c r="E46" s="980"/>
      <c r="F46" s="980"/>
      <c r="G46" s="1076"/>
      <c r="H46" s="976">
        <f ca="1">J46/valor_de_venda1</f>
        <v>0</v>
      </c>
      <c r="I46" s="1076"/>
      <c r="J46" s="1077">
        <f>'Bdi CURVA ABC - MAT'!H210</f>
        <v>0</v>
      </c>
      <c r="K46"/>
      <c r="L46" s="1224"/>
      <c r="M46" s="1075"/>
      <c r="N46"/>
      <c r="O46"/>
      <c r="P46" s="1170"/>
      <c r="Q46"/>
      <c r="X46" s="3"/>
      <c r="Y46" s="1277"/>
    </row>
    <row r="47" spans="1:25" s="9" customFormat="1" ht="15.75" customHeight="1" thickBot="1">
      <c r="A47" s="467"/>
      <c r="B47" s="978"/>
      <c r="C47" s="979" t="s">
        <v>651</v>
      </c>
      <c r="D47" s="980" t="s">
        <v>2107</v>
      </c>
      <c r="E47" s="980"/>
      <c r="F47" s="980"/>
      <c r="G47" s="980"/>
      <c r="H47" s="1251">
        <v>0</v>
      </c>
      <c r="I47" s="980"/>
      <c r="J47" s="1158">
        <f>(J46*H47)/(1-H47-$L$35)</f>
        <v>0</v>
      </c>
      <c r="K47"/>
      <c r="L47" s="1225"/>
      <c r="M47" s="1056"/>
      <c r="N47"/>
      <c r="O47"/>
      <c r="Q47"/>
      <c r="X47" s="3"/>
      <c r="Y47" s="1277"/>
    </row>
    <row r="48" spans="1:25" s="9" customFormat="1" ht="15.75" customHeight="1" thickBot="1">
      <c r="A48" s="467"/>
      <c r="B48" s="978" t="s">
        <v>654</v>
      </c>
      <c r="C48" s="979" t="s">
        <v>2084</v>
      </c>
      <c r="D48" s="980" t="s">
        <v>1451</v>
      </c>
      <c r="E48" s="980"/>
      <c r="F48" s="980"/>
      <c r="G48" s="980"/>
      <c r="H48" s="967">
        <f ca="1">J48/valor_de_venda1</f>
        <v>0.78404686222983089</v>
      </c>
      <c r="I48" s="980"/>
      <c r="J48" s="981">
        <f>'F.D.'!H121</f>
        <v>3259136.9800802637</v>
      </c>
      <c r="K48"/>
      <c r="L48" s="1247" t="s">
        <v>2103</v>
      </c>
      <c r="M48" s="1075"/>
      <c r="N48"/>
      <c r="O48"/>
      <c r="P48" s="1170"/>
      <c r="Q48"/>
      <c r="U48" s="1267">
        <v>2947125.2276550001</v>
      </c>
      <c r="V48" s="1263" t="s">
        <v>2118</v>
      </c>
      <c r="X48" s="3"/>
      <c r="Y48" s="1277"/>
    </row>
    <row r="49" spans="1:26" s="9" customFormat="1" ht="15.75" customHeight="1">
      <c r="A49" s="467"/>
      <c r="B49" s="978"/>
      <c r="C49" s="979" t="s">
        <v>1470</v>
      </c>
      <c r="D49" s="980" t="s">
        <v>2105</v>
      </c>
      <c r="E49" s="980"/>
      <c r="F49" s="980"/>
      <c r="G49" s="980"/>
      <c r="H49" s="1251">
        <v>0.02</v>
      </c>
      <c r="I49" s="980"/>
      <c r="J49" s="1158">
        <f>(J48*H49)/(1-H49-$L$35)</f>
        <v>74862.45503802145</v>
      </c>
      <c r="K49"/>
      <c r="L49" s="1248">
        <f ca="1">(J55-J48)*L35</f>
        <v>463526.32812482945</v>
      </c>
      <c r="M49" s="1056"/>
      <c r="N49"/>
      <c r="O49"/>
      <c r="Q49"/>
      <c r="U49" s="1267">
        <v>330666.50399999996</v>
      </c>
      <c r="V49" s="1263" t="s">
        <v>2117</v>
      </c>
      <c r="X49" s="1271">
        <v>25450540</v>
      </c>
      <c r="Y49" s="1277"/>
    </row>
    <row r="50" spans="1:26" s="9" customFormat="1" ht="15.75" customHeight="1">
      <c r="A50" s="467"/>
      <c r="B50" s="978"/>
      <c r="C50" s="979" t="s">
        <v>1471</v>
      </c>
      <c r="D50" s="980" t="s">
        <v>2104</v>
      </c>
      <c r="E50" s="980"/>
      <c r="F50" s="980"/>
      <c r="G50" s="980"/>
      <c r="H50" s="1246">
        <f>M36</f>
        <v>0.12271247333557866</v>
      </c>
      <c r="I50" s="980"/>
      <c r="J50" s="1158">
        <f>H50*J46</f>
        <v>0</v>
      </c>
      <c r="K50"/>
      <c r="L50" s="1249">
        <f ca="1">J50+G29+J51</f>
        <v>463526.32812482928</v>
      </c>
      <c r="M50" s="1056"/>
      <c r="N50"/>
      <c r="O50" s="1168"/>
      <c r="P50" s="1006"/>
      <c r="Q50"/>
      <c r="R50" s="1171"/>
      <c r="X50" s="3"/>
      <c r="Y50" s="1277"/>
    </row>
    <row r="51" spans="1:26" s="9" customFormat="1" ht="15.75" customHeight="1" thickBot="1">
      <c r="A51" s="467"/>
      <c r="B51" s="978"/>
      <c r="C51" s="979" t="s">
        <v>2101</v>
      </c>
      <c r="D51" s="980" t="s">
        <v>2102</v>
      </c>
      <c r="E51" s="980"/>
      <c r="F51" s="980"/>
      <c r="G51" s="980"/>
      <c r="H51" s="1246"/>
      <c r="I51" s="980"/>
      <c r="J51" s="1158">
        <f>((J49+J47))*M36</f>
        <v>9186.5570176891633</v>
      </c>
      <c r="K51"/>
      <c r="L51" s="1254" t="s">
        <v>2124</v>
      </c>
      <c r="M51" s="1254" t="s">
        <v>2119</v>
      </c>
      <c r="N51" s="1256"/>
      <c r="O51" s="1254" t="s">
        <v>2296</v>
      </c>
      <c r="P51" s="1254" t="s">
        <v>2119</v>
      </c>
      <c r="Q51" s="1256"/>
      <c r="R51" s="1254" t="s">
        <v>2124</v>
      </c>
      <c r="S51" s="1254" t="s">
        <v>2119</v>
      </c>
      <c r="U51" s="1254" t="s">
        <v>2124</v>
      </c>
      <c r="V51" s="1254" t="s">
        <v>2119</v>
      </c>
      <c r="X51" s="3" t="s">
        <v>2116</v>
      </c>
      <c r="Y51" s="1277"/>
    </row>
    <row r="52" spans="1:26" s="9" customFormat="1" ht="15.75" hidden="1" customHeight="1" thickBot="1">
      <c r="A52" s="467"/>
      <c r="B52" s="978"/>
      <c r="C52" s="979"/>
      <c r="D52" s="980"/>
      <c r="E52" s="980"/>
      <c r="F52" s="980"/>
      <c r="G52" s="980"/>
      <c r="H52" s="968"/>
      <c r="I52" s="980"/>
      <c r="J52" s="1058">
        <f ca="1">valor_de_venda1+J48+J46</f>
        <v>7415950.9883798081</v>
      </c>
      <c r="K52"/>
      <c r="L52" s="1159"/>
      <c r="M52" s="1159"/>
      <c r="N52"/>
      <c r="O52" s="1159"/>
      <c r="P52" s="1159"/>
      <c r="Q52"/>
      <c r="R52" s="1159"/>
      <c r="S52" s="1159"/>
      <c r="U52" s="1159"/>
      <c r="V52" s="1159"/>
      <c r="X52" s="3"/>
      <c r="Y52" s="1277"/>
    </row>
    <row r="53" spans="1:26" s="9" customFormat="1" ht="15.75" hidden="1" customHeight="1" thickBot="1">
      <c r="A53" s="467"/>
      <c r="B53" s="978"/>
      <c r="C53" s="988" t="s">
        <v>2095</v>
      </c>
      <c r="D53" s="989" t="s">
        <v>2061</v>
      </c>
      <c r="E53" s="989"/>
      <c r="F53" s="989"/>
      <c r="G53" s="990" t="s">
        <v>1454</v>
      </c>
      <c r="H53" s="1167">
        <f ca="1">valor_de_venda2/(custo_direto+custo_indireto)</f>
        <v>1.1923979912100902</v>
      </c>
      <c r="I53" s="1059"/>
      <c r="J53" s="1060">
        <f ca="1">J52+J49+J50+J51</f>
        <v>7500000.000435519</v>
      </c>
      <c r="K53" s="993">
        <f ca="1">valor_de_venda2/H6</f>
        <v>901.7902340248487</v>
      </c>
      <c r="L53" s="1253"/>
      <c r="M53" s="1253"/>
      <c r="N53" s="1161"/>
      <c r="O53" s="1253"/>
      <c r="P53" s="1253"/>
      <c r="Q53" s="1161"/>
      <c r="R53" s="1253"/>
      <c r="S53" s="1253"/>
      <c r="U53" s="1253"/>
      <c r="V53" s="1253"/>
      <c r="X53" s="3"/>
      <c r="Y53" s="1277"/>
    </row>
    <row r="54" spans="1:26" s="9" customFormat="1" ht="15.75" hidden="1" customHeight="1" thickBot="1">
      <c r="A54" s="467"/>
      <c r="B54" s="978"/>
      <c r="C54" s="988" t="s">
        <v>2065</v>
      </c>
      <c r="D54" s="989" t="s">
        <v>2066</v>
      </c>
      <c r="E54" s="989"/>
      <c r="F54" s="989"/>
      <c r="G54" s="990" t="s">
        <v>1454</v>
      </c>
      <c r="H54" s="1167">
        <f ca="1">J54/(custo_direto+custo_indireto)</f>
        <v>1.2490327099830942</v>
      </c>
      <c r="I54" s="1059"/>
      <c r="J54" s="1060">
        <f ca="1">valor_de_venda2+J48*L35</f>
        <v>7856223.6723582922</v>
      </c>
      <c r="K54" s="993">
        <f ca="1">J54/H6</f>
        <v>944.62210448481858</v>
      </c>
      <c r="L54" s="1255"/>
      <c r="M54" s="1255"/>
      <c r="N54" s="1161"/>
      <c r="O54" s="1255"/>
      <c r="P54" s="1255"/>
      <c r="Q54" s="1161"/>
      <c r="R54" s="1255"/>
      <c r="S54" s="1255"/>
      <c r="U54" s="1255"/>
      <c r="V54" s="1255"/>
      <c r="X54" s="3"/>
      <c r="Y54" s="1277"/>
    </row>
    <row r="55" spans="1:26" s="9" customFormat="1" ht="15.75" customHeight="1" thickBot="1">
      <c r="A55" s="467"/>
      <c r="B55" s="978"/>
      <c r="C55" s="988" t="s">
        <v>2096</v>
      </c>
      <c r="D55" s="989" t="s">
        <v>2093</v>
      </c>
      <c r="E55" s="989"/>
      <c r="F55" s="989"/>
      <c r="G55" s="990" t="s">
        <v>1454</v>
      </c>
      <c r="H55" s="1167">
        <f ca="1">J55/(custo_direto+custo_indireto)</f>
        <v>1.1923979912100902</v>
      </c>
      <c r="I55" s="1059"/>
      <c r="J55" s="1060">
        <f ca="1">J52+J49+J47+J50+J51</f>
        <v>7500000.000435519</v>
      </c>
      <c r="K55" s="993">
        <f ca="1">J55/H6</f>
        <v>901.7902340248487</v>
      </c>
      <c r="L55" s="1260">
        <v>0</v>
      </c>
      <c r="M55" s="1260">
        <v>1</v>
      </c>
      <c r="N55" s="1161"/>
      <c r="O55" s="1259">
        <v>2000000</v>
      </c>
      <c r="P55" s="1259">
        <v>1</v>
      </c>
      <c r="Q55" s="1161"/>
      <c r="R55" s="1261">
        <v>0</v>
      </c>
      <c r="S55" s="1261">
        <v>0</v>
      </c>
      <c r="U55" s="1262">
        <v>0</v>
      </c>
      <c r="V55" s="1262">
        <v>0</v>
      </c>
      <c r="X55" s="1060">
        <f ca="1">((L55*M55)+(O55*P55)+(R55*S55)+(U55*V55))+J55</f>
        <v>9500000.00043552</v>
      </c>
      <c r="Y55" s="1279"/>
      <c r="Z55" s="1271">
        <v>9500000</v>
      </c>
    </row>
    <row r="56" spans="1:26" s="9" customFormat="1" ht="15.75" customHeight="1" thickBot="1">
      <c r="A56" s="467"/>
      <c r="B56" s="978"/>
      <c r="C56" s="988" t="s">
        <v>2097</v>
      </c>
      <c r="D56" s="989" t="s">
        <v>2060</v>
      </c>
      <c r="E56" s="989"/>
      <c r="F56" s="989"/>
      <c r="G56" s="990" t="s">
        <v>1454</v>
      </c>
      <c r="H56" s="1167">
        <f>1/(1-bdi)</f>
        <v>1.3715647645957378</v>
      </c>
      <c r="I56" s="1059"/>
      <c r="J56" s="1060">
        <f ca="1">(custo_direto+custo_indireto)/(1-bdi)</f>
        <v>8626931.4531685952</v>
      </c>
      <c r="K56" s="993">
        <f ca="1">J56/H6</f>
        <v>1037.29100448233</v>
      </c>
      <c r="L56" s="1260">
        <v>0</v>
      </c>
      <c r="M56" s="1260">
        <v>1</v>
      </c>
      <c r="N56" s="1161"/>
      <c r="O56" s="1259">
        <f>(O55*P55)-O55</f>
        <v>0</v>
      </c>
      <c r="P56" s="1259">
        <v>0</v>
      </c>
      <c r="Q56" s="1161"/>
      <c r="R56" s="1261">
        <v>0</v>
      </c>
      <c r="S56" s="1261">
        <v>0</v>
      </c>
      <c r="U56" s="1262">
        <v>0</v>
      </c>
      <c r="V56" s="1262">
        <v>0</v>
      </c>
      <c r="X56" s="1060">
        <f ca="1">((L56*M56)+(O56*P56)+(R56*S56)+(U56*V56))+J56</f>
        <v>8626931.4531685952</v>
      </c>
      <c r="Y56" s="1277"/>
      <c r="Z56" s="1281">
        <f ca="1">X55-Z55</f>
        <v>4.3551996350288391E-4</v>
      </c>
    </row>
    <row r="57" spans="1:26" s="9" customFormat="1" ht="15.75" customHeight="1">
      <c r="A57" s="467"/>
      <c r="B57" s="978" t="s">
        <v>655</v>
      </c>
      <c r="C57" s="979" t="s">
        <v>2046</v>
      </c>
      <c r="D57" s="1057" t="s">
        <v>1452</v>
      </c>
      <c r="E57" s="1054"/>
      <c r="F57" s="1054"/>
      <c r="G57" s="1054"/>
      <c r="H57" s="974">
        <v>1</v>
      </c>
      <c r="I57" s="1054"/>
      <c r="J57" s="1055">
        <f ca="1">H57*J53</f>
        <v>7500000.000435519</v>
      </c>
      <c r="K57" s="984"/>
      <c r="L57" s="1056"/>
      <c r="M57" s="1175"/>
      <c r="N57" s="983"/>
      <c r="O57" s="982"/>
      <c r="Q57" s="983"/>
      <c r="S57" s="983"/>
      <c r="X57" s="3"/>
      <c r="Y57" s="1277"/>
    </row>
    <row r="58" spans="1:26" s="9" customFormat="1" ht="15.75" customHeight="1">
      <c r="A58" s="467"/>
      <c r="B58" s="978"/>
      <c r="C58" s="979" t="s">
        <v>2047</v>
      </c>
      <c r="D58" s="980" t="s">
        <v>2051</v>
      </c>
      <c r="E58" s="757"/>
      <c r="F58" s="757"/>
      <c r="G58" s="757"/>
      <c r="H58" s="969">
        <f ca="1">-$J$58/$J$45</f>
        <v>0</v>
      </c>
      <c r="I58" s="757"/>
      <c r="J58" s="981">
        <f ca="1">SUM(M28:M33)-SUM(P18:P23)</f>
        <v>0</v>
      </c>
      <c r="K58" s="1257"/>
      <c r="L58" s="1264"/>
      <c r="M58" s="1265"/>
      <c r="N58" s="983"/>
      <c r="P58" s="1288"/>
      <c r="Q58" s="1288"/>
      <c r="R58" s="1288"/>
      <c r="S58" s="1288"/>
      <c r="X58" s="3"/>
      <c r="Y58" s="1277"/>
    </row>
    <row r="59" spans="1:26" s="9" customFormat="1" ht="15.75" customHeight="1">
      <c r="A59" s="467"/>
      <c r="B59" s="978" t="s">
        <v>655</v>
      </c>
      <c r="C59" s="979" t="s">
        <v>2048</v>
      </c>
      <c r="D59" s="980" t="str">
        <f>"Valor a ser Faturado pela "&amp;$F$3</f>
        <v>Valor a ser Faturado pela FC ENGENHARIA E CONSULTORIA LTDA</v>
      </c>
      <c r="E59" s="757"/>
      <c r="F59" s="757"/>
      <c r="G59" s="757"/>
      <c r="H59" s="970">
        <f ca="1">1-($J$57/valor_de_venda2)</f>
        <v>0</v>
      </c>
      <c r="I59" s="757"/>
      <c r="J59" s="981">
        <f ca="1">valor_de_venda2-J57</f>
        <v>0</v>
      </c>
      <c r="K59" s="1258"/>
      <c r="L59" s="1266"/>
      <c r="M59" s="1265"/>
      <c r="N59" s="983"/>
      <c r="O59" s="1169"/>
      <c r="P59" s="1191"/>
      <c r="Q59" s="983"/>
      <c r="R59" s="985"/>
      <c r="S59" s="986"/>
      <c r="X59" s="3"/>
      <c r="Y59" s="1277"/>
    </row>
    <row r="60" spans="1:26" s="9" customFormat="1" ht="15.75" customHeight="1">
      <c r="A60" s="467"/>
      <c r="B60" s="987" t="s">
        <v>651</v>
      </c>
      <c r="C60" s="988" t="s">
        <v>2057</v>
      </c>
      <c r="D60" s="989" t="s">
        <v>2058</v>
      </c>
      <c r="E60" s="989"/>
      <c r="F60" s="989"/>
      <c r="G60" s="990" t="s">
        <v>1454</v>
      </c>
      <c r="H60" s="977">
        <f ca="1">J60/(custo_direto+custo_indireto)</f>
        <v>1.3715647645957378</v>
      </c>
      <c r="I60" s="991"/>
      <c r="J60" s="992">
        <f ca="1">J56-J58</f>
        <v>8626931.4531685952</v>
      </c>
      <c r="K60" s="993">
        <f ca="1">J60/H6</f>
        <v>1037.29100448233</v>
      </c>
      <c r="L60" s="982"/>
      <c r="M60"/>
      <c r="N60" s="983"/>
      <c r="O60" s="994"/>
      <c r="P60" s="1007"/>
      <c r="Q60" s="983"/>
      <c r="R60" s="996"/>
      <c r="S60" s="997"/>
      <c r="X60" s="3"/>
      <c r="Y60" s="1277"/>
    </row>
    <row r="61" spans="1:26" s="9" customFormat="1" ht="15.75" customHeight="1">
      <c r="A61" s="467"/>
      <c r="B61" s="998"/>
      <c r="C61" s="999"/>
      <c r="D61" s="999"/>
      <c r="E61" s="999"/>
      <c r="F61" s="999"/>
      <c r="G61" s="999"/>
      <c r="H61" s="999"/>
      <c r="I61" s="999"/>
      <c r="J61" s="993"/>
      <c r="K61"/>
      <c r="L61" s="982"/>
      <c r="M61"/>
      <c r="N61" s="983"/>
      <c r="O61"/>
      <c r="P61" s="1007"/>
      <c r="Q61" s="983"/>
      <c r="R61" s="996"/>
      <c r="S61" s="997"/>
      <c r="X61" s="3"/>
      <c r="Y61" s="1277"/>
    </row>
    <row r="62" spans="1:26" s="9" customFormat="1" ht="15.75" hidden="1" customHeight="1">
      <c r="A62" s="467"/>
      <c r="B62" s="998"/>
      <c r="C62" s="1000"/>
      <c r="D62" s="1000"/>
      <c r="E62" s="1000"/>
      <c r="F62" s="1000"/>
      <c r="G62" s="1000"/>
      <c r="H62" s="1000"/>
      <c r="I62" s="1000"/>
      <c r="J62" s="1000"/>
      <c r="K62" s="1001"/>
      <c r="L62" s="982"/>
      <c r="M62" s="982"/>
      <c r="N62"/>
      <c r="O62"/>
      <c r="P62" s="995"/>
      <c r="Q62"/>
      <c r="R62" s="996"/>
      <c r="S62" s="997"/>
      <c r="X62" s="3"/>
      <c r="Y62" s="1277"/>
    </row>
    <row r="63" spans="1:26" s="9" customFormat="1" ht="15.75" hidden="1" customHeight="1">
      <c r="A63" s="467"/>
      <c r="B63" s="998"/>
      <c r="C63" s="1002"/>
      <c r="D63" s="1003"/>
      <c r="E63" s="1004"/>
      <c r="F63" s="1004"/>
      <c r="G63" s="1002"/>
      <c r="H63" s="1003"/>
      <c r="J63" s="993"/>
      <c r="K63" s="1005"/>
      <c r="L63" s="984"/>
      <c r="M63" s="3"/>
      <c r="N63" s="1006"/>
      <c r="O63" s="1006"/>
      <c r="P63" s="995"/>
      <c r="Q63" s="1006"/>
      <c r="R63" s="996"/>
      <c r="S63" s="1007"/>
      <c r="X63" s="3"/>
      <c r="Y63" s="1277"/>
    </row>
    <row r="64" spans="1:26" ht="15.75" hidden="1" customHeight="1">
      <c r="C64" s="1002"/>
      <c r="D64" s="1003"/>
      <c r="E64" s="1004"/>
      <c r="G64" s="1002"/>
      <c r="H64" s="1003"/>
      <c r="J64" s="993"/>
      <c r="L64" s="984"/>
      <c r="M64" s="1008"/>
      <c r="P64" s="995"/>
      <c r="R64" s="996"/>
      <c r="S64" s="1007"/>
    </row>
    <row r="65" spans="1:25" ht="15.75" hidden="1" customHeight="1">
      <c r="C65" s="1002"/>
      <c r="D65" s="1003"/>
      <c r="E65" s="1004"/>
      <c r="G65" s="1002"/>
      <c r="H65" s="1003"/>
      <c r="J65" s="993"/>
      <c r="L65" s="984"/>
      <c r="M65" s="1008"/>
      <c r="P65" s="1010"/>
      <c r="R65" s="1011"/>
      <c r="S65" s="1007"/>
    </row>
    <row r="66" spans="1:25" ht="15.75" hidden="1" customHeight="1">
      <c r="C66" s="1012"/>
      <c r="D66" s="1003"/>
      <c r="E66" s="1004"/>
      <c r="G66" s="1012"/>
      <c r="H66" s="1003"/>
      <c r="J66" s="993"/>
      <c r="L66" s="984"/>
      <c r="M66" s="1008"/>
      <c r="P66" s="1010"/>
      <c r="R66" s="1011"/>
      <c r="S66" s="1007"/>
    </row>
    <row r="67" spans="1:25" ht="15.75" hidden="1" customHeight="1">
      <c r="C67" s="1013"/>
      <c r="D67" s="1013"/>
      <c r="E67" s="1013"/>
      <c r="G67" s="1009"/>
      <c r="I67" s="1014"/>
      <c r="J67" s="1014"/>
      <c r="L67" s="984"/>
      <c r="M67" s="1008"/>
      <c r="P67" s="1010"/>
      <c r="R67" s="1011"/>
      <c r="S67" s="1007"/>
    </row>
    <row r="68" spans="1:25" ht="15.75" hidden="1" customHeight="1">
      <c r="C68" s="1013"/>
      <c r="D68" s="1013"/>
      <c r="E68" s="1013"/>
      <c r="I68" s="1014"/>
      <c r="J68" s="1014"/>
      <c r="L68"/>
      <c r="M68" s="1008"/>
      <c r="P68" s="1010"/>
      <c r="R68" s="1011"/>
      <c r="S68" s="1007"/>
    </row>
    <row r="69" spans="1:25" s="9" customFormat="1" ht="15.75" customHeight="1">
      <c r="A69" s="467"/>
      <c r="B69" s="987" t="s">
        <v>139</v>
      </c>
      <c r="C69" s="1211" t="s">
        <v>2088</v>
      </c>
      <c r="D69" s="1226" t="s">
        <v>2098</v>
      </c>
      <c r="E69" s="1227"/>
      <c r="F69" s="1227"/>
      <c r="G69" s="1227"/>
      <c r="H69" s="1227"/>
      <c r="I69" s="1227"/>
      <c r="J69" s="1228"/>
      <c r="K69"/>
      <c r="L69" s="1006"/>
      <c r="M69" s="590"/>
      <c r="N69"/>
      <c r="O69"/>
      <c r="Q69"/>
      <c r="X69" s="3"/>
      <c r="Y69" s="1277"/>
    </row>
    <row r="70" spans="1:25" s="9" customFormat="1" ht="15.75" customHeight="1">
      <c r="A70" s="467"/>
      <c r="B70" s="987" t="s">
        <v>643</v>
      </c>
      <c r="C70" s="979" t="s">
        <v>2089</v>
      </c>
      <c r="D70" s="980" t="s">
        <v>849</v>
      </c>
      <c r="E70" s="980"/>
      <c r="F70" s="980"/>
      <c r="G70" s="980"/>
      <c r="H70" s="975">
        <f ca="1">J70/J55</f>
        <v>5.1407730434060231E-2</v>
      </c>
      <c r="I70" s="980"/>
      <c r="J70" s="981">
        <f ca="1">J71+(J71*M36)</f>
        <v>385557.97827784077</v>
      </c>
      <c r="K70"/>
      <c r="L70" s="1006"/>
      <c r="N70"/>
      <c r="O70"/>
      <c r="Q70"/>
      <c r="X70" s="3"/>
      <c r="Y70" s="1277"/>
    </row>
    <row r="71" spans="1:25" s="9" customFormat="1" ht="15.75" customHeight="1">
      <c r="A71" s="467"/>
      <c r="B71" s="987" t="s">
        <v>643</v>
      </c>
      <c r="C71" s="979" t="s">
        <v>2090</v>
      </c>
      <c r="D71" s="980" t="s">
        <v>866</v>
      </c>
      <c r="E71" s="980"/>
      <c r="F71" s="980"/>
      <c r="G71" s="980"/>
      <c r="H71" s="975">
        <f ca="1">J71/J55</f>
        <v>4.5788865497617452E-2</v>
      </c>
      <c r="I71" s="980" t="s">
        <v>2056</v>
      </c>
      <c r="J71" s="1234">
        <f ca="1">lucro_liquido_valor+J49+J47</f>
        <v>343416.4912520728</v>
      </c>
      <c r="K71"/>
      <c r="L71" s="1006"/>
      <c r="N71"/>
      <c r="O71"/>
      <c r="Q71"/>
      <c r="X71" s="3"/>
      <c r="Y71" s="1277"/>
    </row>
    <row r="72" spans="1:25" s="9" customFormat="1" ht="15.75" customHeight="1">
      <c r="A72" s="467"/>
      <c r="B72" s="987" t="s">
        <v>643</v>
      </c>
      <c r="C72" s="979" t="s">
        <v>2091</v>
      </c>
      <c r="D72" s="980" t="s">
        <v>2087</v>
      </c>
      <c r="E72" s="980"/>
      <c r="F72" s="980"/>
      <c r="G72" s="1065"/>
      <c r="H72" s="966">
        <f ca="1">J72/J55</f>
        <v>6.4259663042575289E-3</v>
      </c>
      <c r="I72" s="980"/>
      <c r="J72" s="981">
        <f ca="1">J70/meses_obra</f>
        <v>48194.747284730096</v>
      </c>
      <c r="K72" s="1280">
        <f ca="1">J72/J70</f>
        <v>0.125</v>
      </c>
      <c r="L72" s="1066"/>
      <c r="N72"/>
      <c r="O72"/>
      <c r="Q72"/>
      <c r="X72" s="3"/>
      <c r="Y72" s="1277"/>
    </row>
    <row r="73" spans="1:25" s="9" customFormat="1" ht="15.75" customHeight="1">
      <c r="A73" s="467"/>
      <c r="B73" s="987" t="s">
        <v>643</v>
      </c>
      <c r="C73" s="1229" t="s">
        <v>2092</v>
      </c>
      <c r="D73" s="1230" t="s">
        <v>2055</v>
      </c>
      <c r="E73" s="1230"/>
      <c r="F73" s="1230"/>
      <c r="G73" s="1231"/>
      <c r="H73" s="1232">
        <f ca="1">J73/J55</f>
        <v>5.7236081872021815E-3</v>
      </c>
      <c r="I73" s="1230"/>
      <c r="J73" s="1233">
        <f ca="1">J71/meses_obra</f>
        <v>42927.061406509099</v>
      </c>
      <c r="K73"/>
      <c r="L73" s="1066"/>
      <c r="N73"/>
      <c r="O73"/>
      <c r="Q73"/>
      <c r="X73" s="3"/>
      <c r="Y73" s="1277"/>
    </row>
    <row r="74" spans="1:25" ht="15.75" customHeight="1">
      <c r="C74" s="1013"/>
      <c r="D74" s="1013"/>
      <c r="E74" s="1013"/>
      <c r="I74" s="1014"/>
      <c r="J74" s="1014"/>
      <c r="L74"/>
      <c r="M74" s="1008"/>
      <c r="P74" s="1010"/>
      <c r="R74" s="1011"/>
      <c r="S74" s="1007"/>
    </row>
    <row r="75" spans="1:25" ht="15.75" customHeight="1">
      <c r="C75" s="1015" t="s">
        <v>144</v>
      </c>
      <c r="D75" s="1016" t="s">
        <v>194</v>
      </c>
      <c r="E75" s="1017"/>
      <c r="F75" s="1016"/>
      <c r="G75" s="1016"/>
      <c r="H75" s="1016"/>
      <c r="I75" s="1018" t="s">
        <v>367</v>
      </c>
      <c r="J75" s="1019">
        <f>J104+J114</f>
        <v>0.27090573787469274</v>
      </c>
      <c r="P75" s="1172"/>
      <c r="R75" s="1011"/>
      <c r="S75" s="1007"/>
    </row>
    <row r="76" spans="1:25" ht="15.75" customHeight="1">
      <c r="C76" s="1020" t="s">
        <v>133</v>
      </c>
      <c r="D76" s="1021" t="s">
        <v>431</v>
      </c>
      <c r="E76" s="1022"/>
      <c r="F76" s="754"/>
      <c r="G76" s="754"/>
      <c r="H76" s="754"/>
      <c r="I76" s="754"/>
      <c r="J76" s="1023">
        <f ca="1">SUM(J77:J80)</f>
        <v>1.0219228165562981</v>
      </c>
      <c r="L76"/>
      <c r="M76"/>
      <c r="P76" s="1007"/>
      <c r="R76" s="1011"/>
      <c r="S76" s="1007"/>
      <c r="X76" s="1024"/>
    </row>
    <row r="77" spans="1:25" ht="15.75" customHeight="1">
      <c r="C77" s="1025" t="s">
        <v>162</v>
      </c>
      <c r="D77" s="1026" t="s">
        <v>370</v>
      </c>
      <c r="E77" s="1022"/>
      <c r="F77" s="754"/>
      <c r="G77" s="754"/>
      <c r="H77" s="754"/>
      <c r="I77" s="754"/>
      <c r="J77" s="1027">
        <f ca="1">$J$9/custo_direto</f>
        <v>0.57301331932600907</v>
      </c>
      <c r="L77" s="1176"/>
      <c r="P77" s="1010"/>
      <c r="R77" s="1011"/>
      <c r="S77" s="1007"/>
      <c r="X77" s="1024"/>
    </row>
    <row r="78" spans="1:25" ht="15.75" customHeight="1">
      <c r="C78" s="1025" t="s">
        <v>163</v>
      </c>
      <c r="D78" s="1026" t="s">
        <v>410</v>
      </c>
      <c r="E78" s="1022"/>
      <c r="F78" s="754"/>
      <c r="G78" s="754"/>
      <c r="H78" s="754"/>
      <c r="I78" s="754"/>
      <c r="J78" s="1027">
        <f ca="1">H13</f>
        <v>0.42698668067399093</v>
      </c>
      <c r="L78" s="1177"/>
      <c r="P78" s="1010"/>
      <c r="R78" s="1011"/>
      <c r="S78" s="1007"/>
      <c r="X78" s="1024"/>
    </row>
    <row r="79" spans="1:25" ht="15.75" customHeight="1">
      <c r="C79" s="1025" t="s">
        <v>164</v>
      </c>
      <c r="D79" s="1026" t="s">
        <v>423</v>
      </c>
      <c r="E79" s="980"/>
      <c r="F79" s="980"/>
      <c r="G79" s="980"/>
      <c r="H79" s="1028"/>
      <c r="I79" s="980"/>
      <c r="J79" s="1029">
        <f ca="1">hora_extra_mdo_direta/custo_direto</f>
        <v>0</v>
      </c>
      <c r="L79"/>
      <c r="P79" s="1174"/>
      <c r="R79" s="1173"/>
      <c r="S79" s="1007"/>
      <c r="X79" s="1024"/>
    </row>
    <row r="80" spans="1:25" ht="15.75" customHeight="1">
      <c r="C80" s="1025" t="s">
        <v>165</v>
      </c>
      <c r="D80" s="1026" t="s">
        <v>424</v>
      </c>
      <c r="E80" s="980"/>
      <c r="F80" s="980"/>
      <c r="G80" s="980"/>
      <c r="H80" s="1028"/>
      <c r="I80" s="980"/>
      <c r="J80" s="1029">
        <f ca="1">transf_diss_ocio_mdo_direta/custo_direto</f>
        <v>2.1922816556298106E-2</v>
      </c>
      <c r="L80"/>
      <c r="M80" s="1006"/>
      <c r="P80" s="1010"/>
      <c r="R80" s="1011"/>
      <c r="S80" s="1007"/>
      <c r="X80" s="1024"/>
    </row>
    <row r="81" spans="3:24" ht="15.75" customHeight="1">
      <c r="C81" s="1020" t="s">
        <v>139</v>
      </c>
      <c r="D81" s="1030" t="s">
        <v>405</v>
      </c>
      <c r="E81" s="1031"/>
      <c r="F81" s="754"/>
      <c r="G81" s="754"/>
      <c r="H81" s="754"/>
      <c r="I81" s="754"/>
      <c r="J81" s="1023">
        <f ca="1">SUM($J$82:$J$103)</f>
        <v>0.10458839362275967</v>
      </c>
      <c r="L81"/>
      <c r="O81" s="1006"/>
      <c r="P81" s="1010"/>
      <c r="R81" s="1011"/>
      <c r="S81" s="1007"/>
      <c r="X81" s="1024"/>
    </row>
    <row r="82" spans="3:24" ht="15.75" customHeight="1">
      <c r="C82" s="1025" t="s">
        <v>166</v>
      </c>
      <c r="D82" s="1026" t="s">
        <v>59</v>
      </c>
      <c r="E82" s="1022"/>
      <c r="F82" s="754"/>
      <c r="G82" s="754"/>
      <c r="H82" s="754"/>
      <c r="I82" s="754"/>
      <c r="J82" s="1032">
        <f ca="1">$J$15/custo_direto</f>
        <v>3.603004628458182E-2</v>
      </c>
      <c r="L82"/>
      <c r="O82" s="1033"/>
      <c r="P82" s="1010"/>
      <c r="R82" s="1011"/>
      <c r="S82" s="1007"/>
      <c r="X82" s="1024"/>
    </row>
    <row r="83" spans="3:24" ht="15.75" customHeight="1">
      <c r="C83" s="1025" t="s">
        <v>167</v>
      </c>
      <c r="D83" s="1026" t="s">
        <v>196</v>
      </c>
      <c r="E83" s="1022"/>
      <c r="F83" s="754"/>
      <c r="G83" s="754"/>
      <c r="H83" s="754"/>
      <c r="I83" s="754"/>
      <c r="J83" s="1032">
        <f ca="1">medicina_e_segurança_do_trabalho</f>
        <v>0</v>
      </c>
      <c r="L83"/>
      <c r="P83" s="1010"/>
      <c r="R83" s="1011"/>
      <c r="S83" s="1007"/>
      <c r="X83" s="1024"/>
    </row>
    <row r="84" spans="3:24" ht="15.75" customHeight="1">
      <c r="C84" s="1025" t="s">
        <v>168</v>
      </c>
      <c r="D84" s="1026" t="s">
        <v>425</v>
      </c>
      <c r="E84" s="1022"/>
      <c r="F84" s="754"/>
      <c r="G84" s="754"/>
      <c r="H84" s="754"/>
      <c r="I84" s="754"/>
      <c r="J84" s="1032">
        <f ca="1">administração_local</f>
        <v>0</v>
      </c>
      <c r="L84"/>
      <c r="P84" s="1010"/>
      <c r="R84" s="1011"/>
      <c r="S84" s="1007"/>
      <c r="X84" s="1024"/>
    </row>
    <row r="85" spans="3:24" ht="15.75" customHeight="1">
      <c r="C85" s="1025" t="s">
        <v>169</v>
      </c>
      <c r="D85" s="1026" t="s">
        <v>428</v>
      </c>
      <c r="E85" s="1022"/>
      <c r="F85" s="754"/>
      <c r="G85" s="754"/>
      <c r="H85" s="754"/>
      <c r="I85" s="754"/>
      <c r="J85" s="1032">
        <f ca="1">topografia</f>
        <v>0</v>
      </c>
      <c r="L85"/>
      <c r="O85" s="1006"/>
      <c r="P85" s="1010"/>
      <c r="R85" s="1011"/>
      <c r="S85" s="1007"/>
      <c r="X85" s="1024"/>
    </row>
    <row r="86" spans="3:24" ht="15.75" customHeight="1">
      <c r="C86" s="1025" t="s">
        <v>170</v>
      </c>
      <c r="D86" s="1026" t="s">
        <v>426</v>
      </c>
      <c r="E86" s="757"/>
      <c r="F86" s="757"/>
      <c r="G86" s="757"/>
      <c r="H86" s="757"/>
      <c r="I86" s="757"/>
      <c r="J86" s="1032">
        <f ca="1">(hora_extra_mdo_indireta)/custo_direto</f>
        <v>0</v>
      </c>
      <c r="L86"/>
      <c r="O86" s="1006"/>
      <c r="P86" s="1010"/>
      <c r="R86" s="1011"/>
      <c r="S86" s="1007"/>
      <c r="X86" s="1024"/>
    </row>
    <row r="87" spans="3:24" ht="15" customHeight="1">
      <c r="C87" s="1025" t="s">
        <v>171</v>
      </c>
      <c r="D87" s="1026" t="s">
        <v>427</v>
      </c>
      <c r="E87" s="757"/>
      <c r="F87" s="757"/>
      <c r="G87" s="757"/>
      <c r="H87" s="757"/>
      <c r="I87" s="757"/>
      <c r="J87" s="1032">
        <f ca="1">(transf_diss_ocio_mdo_indireta)/custo_direto</f>
        <v>1.3511267356718182E-3</v>
      </c>
      <c r="L87"/>
      <c r="P87" s="1010"/>
      <c r="R87" s="1011"/>
      <c r="S87" s="1007"/>
      <c r="X87" s="1024"/>
    </row>
    <row r="88" spans="3:24" ht="15" customHeight="1">
      <c r="C88" s="1025" t="s">
        <v>172</v>
      </c>
      <c r="D88" s="1026" t="s">
        <v>197</v>
      </c>
      <c r="E88" s="1022"/>
      <c r="F88" s="754"/>
      <c r="G88" s="754"/>
      <c r="H88" s="754"/>
      <c r="I88" s="754"/>
      <c r="J88" s="1032">
        <f ca="1">canteiro_de_obras</f>
        <v>6.3169561667773318E-3</v>
      </c>
      <c r="L88"/>
      <c r="P88" s="1010"/>
      <c r="R88" s="1011"/>
      <c r="S88" s="1007"/>
      <c r="X88" s="1024"/>
    </row>
    <row r="89" spans="3:24" ht="15" customHeight="1">
      <c r="C89" s="1025" t="s">
        <v>174</v>
      </c>
      <c r="D89" s="1026" t="s">
        <v>645</v>
      </c>
      <c r="E89" s="1022"/>
      <c r="F89" s="754"/>
      <c r="G89" s="754"/>
      <c r="H89" s="754"/>
      <c r="I89" s="754"/>
      <c r="J89" s="1032">
        <f ca="1">transportes</f>
        <v>3.008410074304033E-3</v>
      </c>
      <c r="L89"/>
      <c r="P89" s="1010"/>
      <c r="R89" s="1011"/>
      <c r="S89" s="1007"/>
      <c r="X89" s="1024"/>
    </row>
    <row r="90" spans="3:24" ht="15" customHeight="1">
      <c r="C90" s="1025" t="s">
        <v>175</v>
      </c>
      <c r="D90" s="1026" t="s">
        <v>541</v>
      </c>
      <c r="E90" s="1022"/>
      <c r="F90" s="754"/>
      <c r="G90" s="754"/>
      <c r="H90" s="754"/>
      <c r="I90" s="754"/>
      <c r="J90" s="1032">
        <f ca="1">alojamentos</f>
        <v>1.8950868500331996E-14</v>
      </c>
      <c r="L90" s="1008"/>
      <c r="P90" s="1010"/>
      <c r="R90" s="1011"/>
      <c r="S90" s="1007"/>
      <c r="X90" s="1024"/>
    </row>
    <row r="91" spans="3:24" ht="15" customHeight="1">
      <c r="C91" s="1025" t="s">
        <v>176</v>
      </c>
      <c r="D91" s="1026" t="s">
        <v>540</v>
      </c>
      <c r="E91" s="1022"/>
      <c r="F91" s="754"/>
      <c r="G91" s="754"/>
      <c r="H91" s="754"/>
      <c r="I91" s="754"/>
      <c r="J91" s="1032">
        <f ca="1">refeições</f>
        <v>2.6682822848467447E-2</v>
      </c>
      <c r="L91" s="1008"/>
      <c r="P91" s="1010"/>
      <c r="R91" s="1011"/>
      <c r="S91" s="1007"/>
      <c r="X91" s="1024"/>
    </row>
    <row r="92" spans="3:24" ht="15" customHeight="1">
      <c r="C92" s="1025" t="s">
        <v>432</v>
      </c>
      <c r="D92" s="1026" t="s">
        <v>281</v>
      </c>
      <c r="E92" s="1022"/>
      <c r="F92" s="754"/>
      <c r="G92" s="754"/>
      <c r="H92" s="754"/>
      <c r="I92" s="754"/>
      <c r="J92" s="1032">
        <f ca="1">epi</f>
        <v>1.1945135999069914E-2</v>
      </c>
      <c r="L92" s="1034"/>
      <c r="P92" s="1010"/>
      <c r="R92" s="1011"/>
      <c r="S92" s="1007"/>
      <c r="X92" s="1024"/>
    </row>
    <row r="93" spans="3:24" ht="15" customHeight="1">
      <c r="C93" s="1025" t="s">
        <v>433</v>
      </c>
      <c r="D93" s="1026" t="s">
        <v>369</v>
      </c>
      <c r="E93" s="1022"/>
      <c r="F93" s="754"/>
      <c r="G93" s="754"/>
      <c r="H93" s="754"/>
      <c r="I93" s="754"/>
      <c r="J93" s="1032">
        <f ca="1">ferramentas</f>
        <v>4.4603444929879332E-3</v>
      </c>
      <c r="O93" s="1035"/>
      <c r="P93" s="1010"/>
      <c r="R93" s="1011"/>
      <c r="S93" s="1007"/>
      <c r="X93" s="1024"/>
    </row>
    <row r="94" spans="3:24" ht="15" customHeight="1">
      <c r="C94" s="1025" t="s">
        <v>434</v>
      </c>
      <c r="D94" s="1026" t="s">
        <v>361</v>
      </c>
      <c r="E94" s="1022"/>
      <c r="F94" s="754"/>
      <c r="G94" s="754"/>
      <c r="H94" s="754"/>
      <c r="I94" s="754"/>
      <c r="J94" s="1032">
        <f ca="1">equipamentos</f>
        <v>1.376745502348193E-2</v>
      </c>
      <c r="O94" s="1035"/>
      <c r="P94" s="1010"/>
      <c r="R94" s="1011"/>
      <c r="S94" s="1007"/>
      <c r="X94" s="1024"/>
    </row>
    <row r="95" spans="3:24" ht="15" customHeight="1">
      <c r="C95" s="1025" t="s">
        <v>435</v>
      </c>
      <c r="D95" s="1026" t="s">
        <v>128</v>
      </c>
      <c r="E95" s="1022"/>
      <c r="F95" s="754"/>
      <c r="G95" s="754"/>
      <c r="H95" s="754"/>
      <c r="I95" s="754"/>
      <c r="J95" s="1032">
        <f ca="1">segurança_patrimonial</f>
        <v>0</v>
      </c>
      <c r="O95" s="1035"/>
      <c r="P95" s="1010"/>
      <c r="R95" s="1011"/>
      <c r="S95" s="1007"/>
      <c r="X95" s="1024"/>
    </row>
    <row r="96" spans="3:24" ht="15" customHeight="1">
      <c r="C96" s="1025" t="s">
        <v>436</v>
      </c>
      <c r="D96" s="1026" t="s">
        <v>362</v>
      </c>
      <c r="E96" s="1022"/>
      <c r="F96" s="754"/>
      <c r="G96" s="754"/>
      <c r="H96" s="754"/>
      <c r="I96" s="754"/>
      <c r="J96" s="1032">
        <f ca="1">serviços_técnicos</f>
        <v>0</v>
      </c>
      <c r="O96" s="1035"/>
      <c r="P96" s="1010"/>
      <c r="R96" s="1011"/>
      <c r="S96" s="1007"/>
      <c r="X96" s="1024"/>
    </row>
    <row r="97" spans="3:24" ht="15" customHeight="1">
      <c r="C97" s="1025" t="s">
        <v>437</v>
      </c>
      <c r="D97" s="1026" t="s">
        <v>364</v>
      </c>
      <c r="E97" s="1022"/>
      <c r="F97" s="754"/>
      <c r="G97" s="754"/>
      <c r="H97" s="754"/>
      <c r="I97" s="754"/>
      <c r="J97" s="1032">
        <v>0</v>
      </c>
      <c r="O97"/>
      <c r="P97" s="1010"/>
      <c r="R97" s="1011"/>
      <c r="S97" s="1007"/>
      <c r="X97" s="1024"/>
    </row>
    <row r="98" spans="3:24" ht="15" customHeight="1">
      <c r="C98" s="1025" t="s">
        <v>438</v>
      </c>
      <c r="D98" s="1026" t="s">
        <v>255</v>
      </c>
      <c r="E98" s="1022"/>
      <c r="F98" s="754"/>
      <c r="G98" s="754"/>
      <c r="H98" s="754"/>
      <c r="I98" s="754"/>
      <c r="J98" s="1032">
        <f ca="1">controle_técnológico</f>
        <v>0</v>
      </c>
      <c r="O98"/>
      <c r="P98" s="1010"/>
      <c r="R98" s="1011"/>
      <c r="S98" s="1007"/>
      <c r="X98" s="1024"/>
    </row>
    <row r="99" spans="3:24" ht="15" customHeight="1">
      <c r="C99" s="1025" t="s">
        <v>439</v>
      </c>
      <c r="D99" s="1026" t="s">
        <v>847</v>
      </c>
      <c r="E99" s="1022"/>
      <c r="F99" s="754"/>
      <c r="G99" s="754"/>
      <c r="H99" s="754"/>
      <c r="I99" s="754"/>
      <c r="J99" s="1036">
        <f ca="1">treinamentos</f>
        <v>1.0260959447571734E-3</v>
      </c>
      <c r="O99" s="1037"/>
      <c r="P99" s="1010"/>
      <c r="R99" s="1011"/>
      <c r="S99" s="1007"/>
      <c r="X99" s="1024"/>
    </row>
    <row r="100" spans="3:24" ht="15" customHeight="1">
      <c r="C100" s="1025" t="s">
        <v>440</v>
      </c>
      <c r="D100" s="1026" t="s">
        <v>368</v>
      </c>
      <c r="E100" s="1022"/>
      <c r="F100" s="754"/>
      <c r="G100" s="754"/>
      <c r="H100" s="754"/>
      <c r="I100" s="754"/>
      <c r="J100" s="1032">
        <v>0</v>
      </c>
      <c r="O100"/>
      <c r="P100" s="1010"/>
      <c r="R100" s="1011"/>
      <c r="S100" s="1007"/>
      <c r="X100" s="1024"/>
    </row>
    <row r="101" spans="3:24" ht="15" customHeight="1">
      <c r="C101" s="1025" t="s">
        <v>441</v>
      </c>
      <c r="D101" s="1026" t="s">
        <v>193</v>
      </c>
      <c r="E101" s="1022"/>
      <c r="F101" s="754"/>
      <c r="G101" s="754"/>
      <c r="H101" s="754"/>
      <c r="I101" s="754"/>
      <c r="J101" s="1027">
        <v>0</v>
      </c>
      <c r="O101"/>
      <c r="P101" s="1010"/>
      <c r="R101" s="1011"/>
      <c r="S101" s="1007"/>
      <c r="X101" s="1024"/>
    </row>
    <row r="102" spans="3:24" ht="15" customHeight="1">
      <c r="C102" s="1025" t="s">
        <v>442</v>
      </c>
      <c r="D102" s="1026" t="s">
        <v>38</v>
      </c>
      <c r="E102" s="1022"/>
      <c r="F102" s="754"/>
      <c r="G102" s="754"/>
      <c r="H102" s="754"/>
      <c r="I102" s="754"/>
      <c r="J102" s="1032">
        <f ca="1">mobilização_terceiros</f>
        <v>0</v>
      </c>
      <c r="O102"/>
      <c r="P102" s="1010"/>
      <c r="R102" s="1011"/>
      <c r="S102" s="1007"/>
      <c r="X102" s="1024"/>
    </row>
    <row r="103" spans="3:24" ht="15" customHeight="1">
      <c r="C103" s="1025" t="s">
        <v>443</v>
      </c>
      <c r="D103" s="1026" t="s">
        <v>111</v>
      </c>
      <c r="E103" s="1038"/>
      <c r="F103" s="980"/>
      <c r="G103" s="980"/>
      <c r="H103" s="980"/>
      <c r="I103" s="980"/>
      <c r="J103" s="1039">
        <f ca="1">valor_total_financiamento</f>
        <v>5.264130138981108E-11</v>
      </c>
      <c r="M103" s="1006"/>
      <c r="O103"/>
      <c r="P103" s="1010"/>
      <c r="R103" s="1011"/>
      <c r="S103" s="1007"/>
      <c r="X103" s="1024"/>
    </row>
    <row r="104" spans="3:24" ht="15" customHeight="1">
      <c r="C104" s="1020" t="s">
        <v>140</v>
      </c>
      <c r="D104" s="1030" t="s">
        <v>409</v>
      </c>
      <c r="E104" s="1031"/>
      <c r="F104" s="754"/>
      <c r="G104" s="754"/>
      <c r="H104" s="754"/>
      <c r="I104" s="754"/>
      <c r="J104" s="1023">
        <f>SUM($J$105:$J$113)</f>
        <v>0.20629999999999998</v>
      </c>
      <c r="M104" s="1006"/>
      <c r="O104"/>
      <c r="P104" s="1011"/>
      <c r="R104" s="1040"/>
      <c r="S104" s="1041"/>
      <c r="X104" s="1024"/>
    </row>
    <row r="105" spans="3:24" ht="15" customHeight="1">
      <c r="C105" s="1025" t="s">
        <v>195</v>
      </c>
      <c r="D105" s="1026" t="s">
        <v>430</v>
      </c>
      <c r="E105" s="1022"/>
      <c r="F105" s="754"/>
      <c r="G105" s="754"/>
      <c r="H105" s="754"/>
      <c r="I105" s="754"/>
      <c r="J105" s="1032">
        <f>H27</f>
        <v>0.04</v>
      </c>
      <c r="L105" s="1042"/>
      <c r="M105" s="1006"/>
      <c r="O105"/>
      <c r="X105" s="1024"/>
    </row>
    <row r="106" spans="3:24" ht="15" customHeight="1">
      <c r="C106" s="1025" t="s">
        <v>411</v>
      </c>
      <c r="D106" s="1026" t="s">
        <v>134</v>
      </c>
      <c r="E106" s="1022"/>
      <c r="F106" s="754"/>
      <c r="G106" s="754"/>
      <c r="H106" s="754"/>
      <c r="I106" s="754"/>
      <c r="J106" s="1032">
        <f t="shared" ref="J106:J112" si="10">H28</f>
        <v>6.5000000000000006E-3</v>
      </c>
      <c r="K106" s="1043" t="s">
        <v>1504</v>
      </c>
      <c r="L106" s="1044"/>
      <c r="M106" s="1006"/>
      <c r="O106"/>
      <c r="X106" s="1024"/>
    </row>
    <row r="107" spans="3:24" ht="15" customHeight="1">
      <c r="C107" s="1025" t="s">
        <v>412</v>
      </c>
      <c r="D107" s="1026" t="s">
        <v>135</v>
      </c>
      <c r="E107" s="1022"/>
      <c r="F107" s="754"/>
      <c r="G107" s="754"/>
      <c r="H107" s="754"/>
      <c r="I107" s="754"/>
      <c r="J107" s="1032">
        <f t="shared" si="10"/>
        <v>0.03</v>
      </c>
      <c r="K107" s="1043" t="s">
        <v>1505</v>
      </c>
      <c r="L107" s="1044"/>
      <c r="M107" s="1006"/>
      <c r="O107"/>
      <c r="X107" s="1024"/>
    </row>
    <row r="108" spans="3:24" ht="15" customHeight="1">
      <c r="C108" s="1025" t="s">
        <v>413</v>
      </c>
      <c r="D108" s="1026" t="s">
        <v>136</v>
      </c>
      <c r="E108" s="1022"/>
      <c r="F108" s="754"/>
      <c r="G108" s="754"/>
      <c r="H108" s="754"/>
      <c r="I108" s="754"/>
      <c r="J108" s="1032">
        <f t="shared" si="10"/>
        <v>1.2E-2</v>
      </c>
      <c r="L108" s="1045"/>
      <c r="M108" s="1006"/>
      <c r="O108"/>
      <c r="X108" s="1024"/>
    </row>
    <row r="109" spans="3:24" ht="15" customHeight="1">
      <c r="C109" s="1025" t="s">
        <v>414</v>
      </c>
      <c r="D109" s="1026" t="s">
        <v>137</v>
      </c>
      <c r="E109" s="1022"/>
      <c r="F109" s="754"/>
      <c r="G109" s="754"/>
      <c r="H109" s="754"/>
      <c r="I109" s="754"/>
      <c r="J109" s="1032">
        <f t="shared" si="10"/>
        <v>1.0800000000000001E-2</v>
      </c>
      <c r="L109" s="1045"/>
      <c r="M109" s="1006"/>
      <c r="O109" s="1046"/>
      <c r="X109" s="1024"/>
    </row>
    <row r="110" spans="3:24" ht="15" customHeight="1">
      <c r="C110" s="1025" t="s">
        <v>415</v>
      </c>
      <c r="D110" s="1026" t="s">
        <v>138</v>
      </c>
      <c r="E110" s="1022"/>
      <c r="F110" s="754"/>
      <c r="G110" s="754"/>
      <c r="H110" s="754"/>
      <c r="I110" s="754"/>
      <c r="J110" s="1032">
        <f t="shared" si="10"/>
        <v>0</v>
      </c>
      <c r="L110" s="1045"/>
      <c r="M110" s="1006"/>
      <c r="O110" s="1046"/>
      <c r="X110" s="1024"/>
    </row>
    <row r="111" spans="3:24" ht="15" customHeight="1">
      <c r="C111" s="1025" t="s">
        <v>416</v>
      </c>
      <c r="D111" s="1026" t="s">
        <v>192</v>
      </c>
      <c r="E111" s="1022"/>
      <c r="F111" s="754"/>
      <c r="G111" s="754"/>
      <c r="H111" s="754"/>
      <c r="I111" s="754"/>
      <c r="J111" s="1032">
        <f t="shared" si="10"/>
        <v>0.05</v>
      </c>
      <c r="L111" s="1045"/>
      <c r="M111" s="1006"/>
      <c r="N111"/>
      <c r="O111" s="1047"/>
      <c r="Q111"/>
      <c r="X111" s="1024"/>
    </row>
    <row r="112" spans="3:24" ht="15" customHeight="1">
      <c r="C112" s="1025" t="s">
        <v>417</v>
      </c>
      <c r="D112" s="1026" t="s">
        <v>191</v>
      </c>
      <c r="E112" s="1022"/>
      <c r="F112" s="754"/>
      <c r="G112" s="754"/>
      <c r="H112" s="754"/>
      <c r="I112" s="754"/>
      <c r="J112" s="1032">
        <f t="shared" si="10"/>
        <v>0.05</v>
      </c>
      <c r="L112" s="1045"/>
      <c r="M112" s="1006"/>
      <c r="N112"/>
      <c r="O112"/>
      <c r="Q112"/>
      <c r="X112" s="1024"/>
    </row>
    <row r="113" spans="3:24" ht="15" customHeight="1">
      <c r="C113" s="1025" t="s">
        <v>418</v>
      </c>
      <c r="D113" s="1026" t="s">
        <v>470</v>
      </c>
      <c r="E113" s="1022"/>
      <c r="F113" s="754"/>
      <c r="G113" s="754"/>
      <c r="H113" s="754"/>
      <c r="I113" s="754"/>
      <c r="J113" s="1032">
        <f>$H$36</f>
        <v>7.0000000000000001E-3</v>
      </c>
      <c r="M113" s="1006"/>
      <c r="O113"/>
      <c r="X113" s="1024"/>
    </row>
    <row r="114" spans="3:24" ht="15" customHeight="1">
      <c r="C114" s="1020" t="s">
        <v>141</v>
      </c>
      <c r="D114" s="1030" t="s">
        <v>849</v>
      </c>
      <c r="E114" s="1031"/>
      <c r="F114" s="754"/>
      <c r="G114" s="754"/>
      <c r="H114" s="754"/>
      <c r="I114" s="754"/>
      <c r="J114" s="1048">
        <f>lucro_liquido</f>
        <v>6.4605737874692787E-2</v>
      </c>
      <c r="P114"/>
      <c r="X114" s="1024"/>
    </row>
    <row r="115" spans="3:24" ht="15" customHeight="1">
      <c r="C115" s="1049" t="s">
        <v>173</v>
      </c>
      <c r="D115" s="1050" t="s">
        <v>1448</v>
      </c>
      <c r="E115" s="1051"/>
      <c r="F115" s="1052"/>
      <c r="G115" s="1052"/>
      <c r="H115" s="1052"/>
      <c r="I115" s="1052"/>
      <c r="J115" s="1053">
        <f>lucro_liquido</f>
        <v>6.4605737874692787E-2</v>
      </c>
      <c r="M115"/>
      <c r="N115"/>
      <c r="Q115"/>
      <c r="X115" s="1024"/>
    </row>
    <row r="116" spans="3:24" ht="15" customHeight="1">
      <c r="M116"/>
      <c r="N116"/>
      <c r="O116"/>
      <c r="Q116"/>
      <c r="X116" s="1024"/>
    </row>
    <row r="117" spans="3:24" ht="15" customHeight="1">
      <c r="O117"/>
      <c r="X117" s="1024"/>
    </row>
    <row r="118" spans="3:24" ht="15" customHeight="1">
      <c r="X118" s="1024"/>
    </row>
    <row r="119" spans="3:24" ht="15" customHeight="1">
      <c r="X119" s="1024"/>
    </row>
    <row r="120" spans="3:24" ht="15.75" customHeight="1">
      <c r="X120" s="1024"/>
    </row>
    <row r="121" spans="3:24" ht="15.75" customHeight="1">
      <c r="X121" s="1024"/>
    </row>
    <row r="122" spans="3:24" ht="15.75" customHeight="1">
      <c r="X122" s="1024"/>
    </row>
    <row r="123" spans="3:24" ht="15.75" customHeight="1"/>
    <row r="124" spans="3:24" ht="15.75" customHeight="1"/>
    <row r="125" spans="3:24" ht="15.75" customHeight="1"/>
    <row r="126" spans="3:24" ht="15.75" customHeight="1"/>
    <row r="127" spans="3:24" ht="15.75" customHeight="1"/>
    <row r="128" spans="3:2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</sheetData>
  <sheetProtection formatCells="0" formatColumns="0" formatRows="0" insertColumns="0" insertRows="0" insertHyperlinks="0" deleteColumns="0" deleteRows="0" sort="0" autoFilter="0" pivotTables="0"/>
  <mergeCells count="8">
    <mergeCell ref="C2:C4"/>
    <mergeCell ref="D2:I2"/>
    <mergeCell ref="O26:P26"/>
    <mergeCell ref="P58:S58"/>
    <mergeCell ref="O16:P16"/>
    <mergeCell ref="L34:M34"/>
    <mergeCell ref="L35:M35"/>
    <mergeCell ref="L26:M26"/>
  </mergeCells>
  <phoneticPr fontId="48" type="noConversion"/>
  <conditionalFormatting sqref="H11:H13">
    <cfRule type="cellIs" dxfId="120" priority="28" operator="equal">
      <formula>0</formula>
    </cfRule>
  </conditionalFormatting>
  <conditionalFormatting sqref="H15:H17">
    <cfRule type="cellIs" dxfId="119" priority="74" operator="equal">
      <formula>0</formula>
    </cfRule>
  </conditionalFormatting>
  <conditionalFormatting sqref="H20">
    <cfRule type="cellIs" dxfId="118" priority="81" operator="equal">
      <formula>0</formula>
    </cfRule>
  </conditionalFormatting>
  <conditionalFormatting sqref="H41">
    <cfRule type="cellIs" dxfId="117" priority="7" operator="equal">
      <formula>0</formula>
    </cfRule>
  </conditionalFormatting>
  <conditionalFormatting sqref="H59">
    <cfRule type="expression" dxfId="116" priority="8">
      <formula>$J$45=0</formula>
    </cfRule>
  </conditionalFormatting>
  <conditionalFormatting sqref="H70:H71">
    <cfRule type="cellIs" dxfId="115" priority="4" operator="equal">
      <formula>0</formula>
    </cfRule>
  </conditionalFormatting>
  <conditionalFormatting sqref="H79:H80">
    <cfRule type="cellIs" dxfId="114" priority="61" operator="equal">
      <formula>0</formula>
    </cfRule>
  </conditionalFormatting>
  <conditionalFormatting sqref="J9:J13">
    <cfRule type="cellIs" dxfId="113" priority="27" operator="equal">
      <formula>0</formula>
    </cfRule>
  </conditionalFormatting>
  <conditionalFormatting sqref="J15:J25">
    <cfRule type="cellIs" dxfId="112" priority="16" operator="equal">
      <formula>0</formula>
    </cfRule>
  </conditionalFormatting>
  <conditionalFormatting sqref="J27:J36">
    <cfRule type="cellIs" dxfId="111" priority="11" operator="equal">
      <formula>0</formula>
    </cfRule>
  </conditionalFormatting>
  <conditionalFormatting sqref="J46">
    <cfRule type="cellIs" dxfId="110" priority="2" operator="greaterThan">
      <formula>$J$9</formula>
    </cfRule>
  </conditionalFormatting>
  <conditionalFormatting sqref="J48">
    <cfRule type="cellIs" dxfId="109" priority="1" operator="greaterThan">
      <formula>$J$9</formula>
    </cfRule>
  </conditionalFormatting>
  <conditionalFormatting sqref="J76:J115">
    <cfRule type="cellIs" dxfId="108" priority="22" operator="equal">
      <formula>0</formula>
    </cfRule>
  </conditionalFormatting>
  <conditionalFormatting sqref="M32 H38">
    <cfRule type="cellIs" dxfId="107" priority="128" operator="equal">
      <formula>0</formula>
    </cfRule>
  </conditionalFormatting>
  <hyperlinks>
    <hyperlink ref="C27" location="'Adm Central'!A1" display="DI-01" xr:uid="{00000000-0004-0000-0000-000000000000}"/>
  </hyperlinks>
  <pageMargins left="0.25" right="0.25" top="0.75" bottom="0.75" header="0.3" footer="0.3"/>
  <pageSetup paperSize="9" scale="70" fitToHeight="0" orientation="portrait" r:id="rId1"/>
  <rowBreaks count="1" manualBreakCount="1">
    <brk id="67" min="2" max="9" man="1"/>
  </rowBreaks>
  <ignoredErrors>
    <ignoredError sqref="H14" formula="1"/>
    <ignoredError sqref="H41" unlockedFormula="1"/>
  </ignoredError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3">
    <tabColor rgb="FF9FC6FF"/>
    <pageSetUpPr fitToPage="1"/>
  </sheetPr>
  <dimension ref="A2:AX596"/>
  <sheetViews>
    <sheetView showGridLines="0" topLeftCell="A11" zoomScale="60" zoomScaleNormal="60" zoomScaleSheetLayoutView="85" workbookViewId="0">
      <selection activeCell="U32" sqref="U32"/>
    </sheetView>
  </sheetViews>
  <sheetFormatPr defaultColWidth="9.109375" defaultRowHeight="13.2" outlineLevelRow="1"/>
  <cols>
    <col min="1" max="3" width="2.5546875" style="41" customWidth="1"/>
    <col min="4" max="5" width="15.88671875" style="36" customWidth="1"/>
    <col min="6" max="6" width="13.5546875" style="36" customWidth="1"/>
    <col min="7" max="7" width="27.5546875" style="36" customWidth="1"/>
    <col min="8" max="8" width="15.88671875" style="58" customWidth="1"/>
    <col min="9" max="20" width="15.88671875" style="36" customWidth="1"/>
    <col min="21" max="21" width="17.5546875" style="36" customWidth="1"/>
    <col min="22" max="22" width="16.5546875" style="36" customWidth="1"/>
    <col min="23" max="25" width="17.5546875" style="36" customWidth="1"/>
    <col min="26" max="29" width="15" style="36" customWidth="1"/>
    <col min="30" max="30" width="14.44140625" style="36" customWidth="1"/>
    <col min="31" max="36" width="10.44140625" style="36" customWidth="1"/>
    <col min="37" max="37" width="9.5546875" style="36" customWidth="1"/>
    <col min="38" max="43" width="10.44140625" style="36" customWidth="1"/>
    <col min="44" max="44" width="9.5546875" style="36" customWidth="1"/>
    <col min="45" max="45" width="18.44140625" style="36" customWidth="1"/>
    <col min="46" max="46" width="12.109375" style="36" customWidth="1"/>
    <col min="47" max="47" width="9.5546875" style="36" customWidth="1"/>
    <col min="48" max="50" width="12.44140625" style="36" customWidth="1"/>
    <col min="51" max="53" width="14.44140625" style="36" customWidth="1"/>
    <col min="54" max="16384" width="9.109375" style="36"/>
  </cols>
  <sheetData>
    <row r="2" spans="1:48" s="35" customFormat="1" ht="15.75" customHeight="1">
      <c r="A2" s="955"/>
      <c r="B2" s="955"/>
      <c r="C2" s="955"/>
      <c r="D2" s="611"/>
      <c r="E2" s="612"/>
      <c r="F2" s="1346" t="s">
        <v>689</v>
      </c>
      <c r="G2" s="1346"/>
      <c r="H2" s="1346"/>
      <c r="I2" s="1346"/>
      <c r="J2" s="1346"/>
      <c r="K2" s="1346"/>
      <c r="L2" s="1346"/>
      <c r="M2" s="1346"/>
      <c r="N2" s="1346"/>
      <c r="O2" s="1346"/>
      <c r="P2" s="1346"/>
      <c r="Q2" s="1346"/>
      <c r="R2" s="1346"/>
      <c r="S2" s="613"/>
      <c r="T2" s="592" t="s">
        <v>532</v>
      </c>
      <c r="U2" s="593">
        <f>materiais</f>
        <v>3265572.6826517121</v>
      </c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N2" s="36"/>
      <c r="AO2" s="36"/>
      <c r="AQ2" s="34"/>
      <c r="AR2" s="34"/>
      <c r="AS2" s="34"/>
      <c r="AT2" s="34"/>
      <c r="AU2" s="34"/>
      <c r="AV2" s="34"/>
    </row>
    <row r="3" spans="1:48" s="35" customFormat="1" ht="15.75" customHeight="1">
      <c r="A3" s="955"/>
      <c r="B3" s="955"/>
      <c r="C3" s="955"/>
      <c r="D3" s="151"/>
      <c r="E3" s="605"/>
      <c r="F3" s="1349" t="str">
        <f>BDI!F3</f>
        <v>FC ENGENHARIA E CONSULTORIA LTDA</v>
      </c>
      <c r="G3" s="1349"/>
      <c r="H3" s="1349"/>
      <c r="I3" s="1349"/>
      <c r="J3" s="1349"/>
      <c r="K3" s="1349"/>
      <c r="L3" s="1349"/>
      <c r="M3" s="1349"/>
      <c r="N3" s="1349"/>
      <c r="O3" s="1349"/>
      <c r="P3" s="1349"/>
      <c r="Q3" s="1349"/>
      <c r="R3" s="1349"/>
      <c r="S3" s="167"/>
      <c r="T3" s="156" t="s">
        <v>533</v>
      </c>
      <c r="U3" s="157">
        <f ca="1">mdo+hora_extra_mdo_direta+transf_diss_ocio_mdo_direta</f>
        <v>2433374.5713017401</v>
      </c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N3" s="36"/>
      <c r="AO3" s="36"/>
      <c r="AQ3" s="34"/>
      <c r="AR3" s="34"/>
      <c r="AS3" s="34"/>
      <c r="AT3" s="34"/>
      <c r="AU3" s="34"/>
      <c r="AV3" s="34"/>
    </row>
    <row r="4" spans="1:48" s="38" customFormat="1" ht="15.75" customHeight="1">
      <c r="A4" s="956"/>
      <c r="B4" s="956"/>
      <c r="C4" s="956"/>
      <c r="D4" s="152"/>
      <c r="E4" s="606"/>
      <c r="F4" s="1348" t="str">
        <f>BDI!F4</f>
        <v>julho/19 - Com desoneração da Folha de Pagamento</v>
      </c>
      <c r="G4" s="1348"/>
      <c r="H4" s="1348"/>
      <c r="I4" s="1348"/>
      <c r="J4" s="1348"/>
      <c r="K4" s="1348"/>
      <c r="L4" s="1348"/>
      <c r="M4" s="1348"/>
      <c r="N4" s="1348"/>
      <c r="O4" s="1348"/>
      <c r="P4" s="1348"/>
      <c r="Q4" s="1348"/>
      <c r="R4" s="1348"/>
      <c r="S4" s="435"/>
      <c r="T4" s="158" t="s">
        <v>534</v>
      </c>
      <c r="U4" s="594">
        <f ca="1">SUM(U2:U3)</f>
        <v>5698947.2539534522</v>
      </c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64"/>
      <c r="AK4" s="64"/>
      <c r="AL4" s="37"/>
      <c r="AN4" s="36"/>
      <c r="AO4" s="36"/>
      <c r="AQ4" s="37"/>
      <c r="AR4" s="37"/>
      <c r="AS4" s="37"/>
      <c r="AT4" s="64"/>
      <c r="AU4" s="64"/>
      <c r="AV4" s="64"/>
    </row>
    <row r="5" spans="1:48">
      <c r="D5" s="40"/>
      <c r="E5" s="40"/>
      <c r="F5" s="40"/>
      <c r="G5" s="40"/>
      <c r="H5" s="39"/>
      <c r="AG5" s="127"/>
      <c r="AH5" s="127"/>
      <c r="AI5" s="127"/>
      <c r="AJ5" s="127"/>
      <c r="AK5" s="127"/>
      <c r="AL5" s="127"/>
      <c r="AM5" s="127"/>
      <c r="AN5" s="127"/>
      <c r="AQ5" s="127"/>
      <c r="AR5" s="127"/>
      <c r="AS5" s="127"/>
      <c r="AT5" s="127"/>
      <c r="AU5" s="127"/>
      <c r="AV5" s="127"/>
    </row>
    <row r="6" spans="1:48" ht="15" customHeight="1">
      <c r="D6" s="160" t="s">
        <v>865</v>
      </c>
      <c r="E6" s="258" t="str">
        <f ca="1">nome_da_obra</f>
        <v>BDI_747.xlsx</v>
      </c>
      <c r="F6" s="258"/>
      <c r="G6" s="258"/>
      <c r="H6" s="258"/>
      <c r="I6" s="258"/>
      <c r="J6" s="258"/>
      <c r="K6" s="258"/>
      <c r="L6" s="258"/>
      <c r="M6" s="258"/>
      <c r="N6" s="258"/>
      <c r="O6" s="258"/>
      <c r="P6" s="258"/>
      <c r="Q6" s="258"/>
      <c r="R6" s="258"/>
      <c r="S6" s="258"/>
      <c r="T6" s="76" t="s">
        <v>132</v>
      </c>
      <c r="U6" s="259">
        <f ca="1">data_base_da_obra</f>
        <v>46093</v>
      </c>
      <c r="AG6" s="127"/>
      <c r="AH6" s="127"/>
      <c r="AI6" s="127"/>
      <c r="AJ6" s="127"/>
      <c r="AK6" s="127"/>
      <c r="AL6" s="127"/>
      <c r="AM6" s="127"/>
      <c r="AN6" s="127"/>
      <c r="AQ6" s="127"/>
      <c r="AR6" s="127"/>
      <c r="AS6" s="127"/>
      <c r="AT6" s="127"/>
      <c r="AU6" s="127"/>
      <c r="AV6" s="127"/>
    </row>
    <row r="7" spans="1:48" ht="15.75" customHeight="1" thickBot="1">
      <c r="D7" s="40"/>
      <c r="E7" s="40"/>
      <c r="F7" s="40"/>
      <c r="G7" s="40"/>
      <c r="H7" s="39"/>
      <c r="I7" s="40"/>
      <c r="J7" s="40"/>
      <c r="K7" s="40"/>
      <c r="L7" s="40"/>
      <c r="M7" s="40"/>
      <c r="N7" s="40"/>
      <c r="O7" s="40"/>
      <c r="P7" s="42"/>
      <c r="Q7" s="42"/>
      <c r="R7" s="42"/>
      <c r="S7" s="42"/>
      <c r="T7" s="40"/>
      <c r="Z7" s="1307" t="s">
        <v>2021</v>
      </c>
      <c r="AA7" s="1307"/>
      <c r="AB7" s="1307"/>
      <c r="AG7" s="127"/>
      <c r="AH7" s="127"/>
      <c r="AI7" s="127"/>
      <c r="AJ7" s="127"/>
      <c r="AK7" s="127"/>
      <c r="AL7" s="127"/>
      <c r="AM7" s="127"/>
      <c r="AN7" s="127"/>
      <c r="AQ7" s="127"/>
      <c r="AR7" s="127"/>
      <c r="AS7" s="127"/>
      <c r="AT7" s="127"/>
      <c r="AU7" s="127"/>
      <c r="AV7" s="127"/>
    </row>
    <row r="8" spans="1:48" ht="15.75" customHeight="1">
      <c r="D8" s="1334" t="s">
        <v>814</v>
      </c>
      <c r="E8" s="1336" t="s">
        <v>813</v>
      </c>
      <c r="F8" s="235"/>
      <c r="G8" s="235"/>
      <c r="H8" s="235"/>
      <c r="I8" s="235"/>
      <c r="J8" s="235"/>
      <c r="K8" s="235"/>
      <c r="L8" s="235"/>
      <c r="M8" s="235"/>
      <c r="N8" s="235"/>
      <c r="O8" s="235"/>
      <c r="P8" s="235"/>
      <c r="Q8" s="235"/>
      <c r="R8" s="235"/>
      <c r="S8" s="235"/>
      <c r="T8" s="235"/>
      <c r="U8" s="236"/>
      <c r="Z8" s="949" t="s">
        <v>2016</v>
      </c>
      <c r="AA8" s="950">
        <f>1/12</f>
        <v>8.3333333333333329E-2</v>
      </c>
      <c r="AB8" s="41" t="s">
        <v>2023</v>
      </c>
      <c r="AG8" s="127"/>
      <c r="AH8" s="127"/>
      <c r="AI8" s="127"/>
      <c r="AJ8" s="127"/>
      <c r="AK8" s="127"/>
      <c r="AL8" s="127"/>
      <c r="AM8" s="127"/>
      <c r="AN8" s="127"/>
      <c r="AQ8" s="127"/>
      <c r="AR8" s="127"/>
      <c r="AS8" s="127"/>
      <c r="AT8" s="127"/>
      <c r="AU8" s="127"/>
      <c r="AV8" s="127"/>
    </row>
    <row r="9" spans="1:48" ht="15.75" customHeight="1" thickBot="1">
      <c r="D9" s="1335"/>
      <c r="E9" s="1337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8"/>
      <c r="V9" s="260"/>
      <c r="W9" s="43"/>
      <c r="X9" s="43"/>
      <c r="Y9" s="43"/>
      <c r="Z9" s="949" t="s">
        <v>2017</v>
      </c>
      <c r="AA9" s="950">
        <f>(1+1/3)/12</f>
        <v>0.1111111111111111</v>
      </c>
      <c r="AB9" s="41" t="s">
        <v>2023</v>
      </c>
      <c r="AC9" s="43"/>
      <c r="AD9" s="43"/>
      <c r="AE9" s="43"/>
      <c r="AF9" s="43"/>
      <c r="AG9" s="127"/>
      <c r="AH9" s="127"/>
      <c r="AI9" s="127"/>
      <c r="AJ9" s="127"/>
      <c r="AK9" s="127"/>
      <c r="AL9" s="127"/>
      <c r="AM9" s="127"/>
      <c r="AN9" s="127"/>
      <c r="AQ9" s="127"/>
      <c r="AR9" s="127"/>
      <c r="AS9" s="127"/>
      <c r="AT9" s="127"/>
      <c r="AU9" s="127"/>
      <c r="AV9" s="127"/>
    </row>
    <row r="10" spans="1:48" ht="15.75" customHeight="1">
      <c r="D10" s="234"/>
      <c r="H10" s="57"/>
      <c r="I10" s="88"/>
      <c r="K10" s="54"/>
      <c r="L10" s="54"/>
      <c r="M10" s="55"/>
      <c r="N10" s="194"/>
      <c r="O10" s="41"/>
      <c r="P10" s="195" t="s">
        <v>365</v>
      </c>
      <c r="Q10" s="196"/>
      <c r="S10" s="261" t="s">
        <v>812</v>
      </c>
      <c r="T10" s="261"/>
      <c r="U10" s="200" t="s">
        <v>199</v>
      </c>
      <c r="V10" s="260"/>
      <c r="W10" s="41"/>
      <c r="X10" s="41"/>
      <c r="Y10" s="41"/>
      <c r="Z10" s="949" t="s">
        <v>2018</v>
      </c>
      <c r="AA10" s="950">
        <f>7/30/12</f>
        <v>1.9444444444444445E-2</v>
      </c>
      <c r="AB10" s="41" t="s">
        <v>2026</v>
      </c>
      <c r="AC10" s="41"/>
      <c r="AD10" s="41"/>
      <c r="AE10" s="41"/>
      <c r="AF10" s="127"/>
      <c r="AG10" s="127"/>
      <c r="AH10" s="127"/>
      <c r="AI10" s="127"/>
      <c r="AJ10" s="127"/>
      <c r="AK10" s="127"/>
      <c r="AL10" s="127"/>
      <c r="AM10" s="127"/>
      <c r="AQ10" s="127"/>
      <c r="AR10" s="127"/>
      <c r="AS10" s="127"/>
      <c r="AT10" s="127"/>
      <c r="AU10" s="127"/>
      <c r="AV10" s="127"/>
    </row>
    <row r="11" spans="1:48" ht="15.75" customHeight="1">
      <c r="D11" s="153" t="s">
        <v>224</v>
      </c>
      <c r="E11" s="391">
        <f ca="1">TODAY()+20</f>
        <v>46113</v>
      </c>
      <c r="F11" s="53"/>
      <c r="G11" s="44" t="s">
        <v>200</v>
      </c>
      <c r="H11" s="392">
        <v>0.6</v>
      </c>
      <c r="J11" s="44" t="s">
        <v>231</v>
      </c>
      <c r="K11" s="393">
        <v>22</v>
      </c>
      <c r="M11" s="44" t="s">
        <v>244</v>
      </c>
      <c r="N11" s="900">
        <v>0</v>
      </c>
      <c r="P11" s="57" t="s">
        <v>248</v>
      </c>
      <c r="Q11" s="392">
        <v>0.05</v>
      </c>
      <c r="S11" s="262" t="s">
        <v>373</v>
      </c>
      <c r="T11" s="263">
        <f>efetivo_médio_mes+média_supervisão+média_coordenação</f>
        <v>44</v>
      </c>
      <c r="U11" s="197" t="s">
        <v>807</v>
      </c>
      <c r="V11" s="260"/>
      <c r="W11" s="41"/>
      <c r="X11" s="41"/>
      <c r="Y11" s="41"/>
      <c r="Z11" s="949" t="s">
        <v>2019</v>
      </c>
      <c r="AA11" s="950">
        <v>0.08</v>
      </c>
      <c r="AB11" s="41" t="s">
        <v>2024</v>
      </c>
      <c r="AC11" s="41"/>
      <c r="AD11" s="41"/>
      <c r="AE11" s="41"/>
      <c r="AF11" s="127"/>
      <c r="AG11" s="127"/>
      <c r="AH11" s="127"/>
      <c r="AI11" s="127"/>
      <c r="AJ11" s="127"/>
      <c r="AK11" s="127"/>
      <c r="AL11" s="127"/>
      <c r="AM11" s="127"/>
      <c r="AQ11" s="127"/>
      <c r="AR11" s="127"/>
      <c r="AS11" s="127"/>
      <c r="AT11" s="127"/>
      <c r="AU11" s="127"/>
      <c r="AV11" s="127"/>
    </row>
    <row r="12" spans="1:48" ht="15.75" customHeight="1">
      <c r="D12" s="153" t="s">
        <v>223</v>
      </c>
      <c r="E12" s="394">
        <v>8</v>
      </c>
      <c r="F12" s="49" t="s">
        <v>225</v>
      </c>
      <c r="G12" s="57" t="s">
        <v>201</v>
      </c>
      <c r="H12" s="392">
        <v>0.6</v>
      </c>
      <c r="J12" s="44" t="s">
        <v>232</v>
      </c>
      <c r="K12" s="393">
        <v>0</v>
      </c>
      <c r="M12" s="57" t="s">
        <v>245</v>
      </c>
      <c r="N12" s="900">
        <v>0</v>
      </c>
      <c r="P12" s="57" t="s">
        <v>249</v>
      </c>
      <c r="Q12" s="392">
        <v>0</v>
      </c>
      <c r="S12" s="262" t="s">
        <v>326</v>
      </c>
      <c r="T12" s="264">
        <f>IF($T$11/20&lt;0,1,ROUNDUP(($T$11/20),0))</f>
        <v>3</v>
      </c>
      <c r="U12" s="174"/>
      <c r="V12" s="260"/>
      <c r="Z12" s="36" t="s">
        <v>2025</v>
      </c>
      <c r="AA12" s="325">
        <f>0.4*0.08</f>
        <v>3.2000000000000001E-2</v>
      </c>
      <c r="AB12" s="41" t="s">
        <v>2024</v>
      </c>
      <c r="AF12" s="127"/>
      <c r="AG12" s="127"/>
      <c r="AH12" s="127"/>
      <c r="AI12" s="127"/>
      <c r="AJ12" s="127"/>
      <c r="AK12" s="127"/>
      <c r="AL12" s="127"/>
      <c r="AM12" s="127"/>
      <c r="AQ12" s="127"/>
      <c r="AR12" s="127"/>
      <c r="AS12" s="127"/>
      <c r="AT12" s="127"/>
      <c r="AU12" s="127"/>
      <c r="AV12" s="127"/>
    </row>
    <row r="13" spans="1:48" ht="15.75" customHeight="1">
      <c r="D13" s="153" t="s">
        <v>221</v>
      </c>
      <c r="E13" s="395">
        <v>0</v>
      </c>
      <c r="F13" s="49" t="s">
        <v>225</v>
      </c>
      <c r="G13" s="57" t="s">
        <v>202</v>
      </c>
      <c r="H13" s="392">
        <v>1</v>
      </c>
      <c r="J13" s="44" t="s">
        <v>235</v>
      </c>
      <c r="K13" s="393">
        <v>0</v>
      </c>
      <c r="M13" s="57" t="s">
        <v>246</v>
      </c>
      <c r="N13" s="901">
        <v>0</v>
      </c>
      <c r="P13" s="57" t="s">
        <v>2014</v>
      </c>
      <c r="Q13" s="392">
        <v>0</v>
      </c>
      <c r="S13" s="262" t="s">
        <v>327</v>
      </c>
      <c r="T13" s="264">
        <f>IF($T$11/20&lt;0,1,ROUNDUP(($T$11/10),0))</f>
        <v>5</v>
      </c>
      <c r="U13" s="174"/>
      <c r="Z13" s="951" t="s">
        <v>2020</v>
      </c>
      <c r="AA13" s="952">
        <v>0.16831683168316799</v>
      </c>
      <c r="AB13" s="953" t="s">
        <v>2022</v>
      </c>
      <c r="AF13" s="127"/>
      <c r="AG13" s="127"/>
      <c r="AH13" s="127"/>
      <c r="AI13" s="127"/>
      <c r="AJ13" s="127"/>
      <c r="AK13" s="127"/>
      <c r="AL13" s="127"/>
      <c r="AM13" s="127"/>
      <c r="AQ13" s="127"/>
      <c r="AR13" s="127"/>
      <c r="AS13" s="127"/>
      <c r="AT13" s="127"/>
      <c r="AU13" s="127"/>
      <c r="AV13" s="127"/>
    </row>
    <row r="14" spans="1:48" ht="15.75" customHeight="1">
      <c r="D14" s="154" t="s">
        <v>222</v>
      </c>
      <c r="E14" s="390">
        <v>8</v>
      </c>
      <c r="F14" s="49" t="s">
        <v>225</v>
      </c>
      <c r="G14" s="57" t="s">
        <v>203</v>
      </c>
      <c r="H14" s="396">
        <v>0.2</v>
      </c>
      <c r="J14" s="44" t="s">
        <v>233</v>
      </c>
      <c r="K14" s="393">
        <v>0</v>
      </c>
      <c r="M14" s="57" t="s">
        <v>247</v>
      </c>
      <c r="N14" s="902">
        <v>0</v>
      </c>
      <c r="P14" s="67" t="s">
        <v>250</v>
      </c>
      <c r="Q14" s="392">
        <v>0</v>
      </c>
      <c r="S14" s="262" t="s">
        <v>328</v>
      </c>
      <c r="T14" s="265" t="s">
        <v>2042</v>
      </c>
      <c r="U14" s="175"/>
      <c r="V14" s="41"/>
      <c r="W14" s="41"/>
      <c r="X14" s="41"/>
      <c r="Y14" s="41"/>
      <c r="AA14" s="387">
        <f>SUM(AA8:AA13)</f>
        <v>0.49420572057205692</v>
      </c>
      <c r="AE14" s="41"/>
      <c r="AF14" s="127"/>
      <c r="AG14" s="127"/>
      <c r="AH14" s="127"/>
      <c r="AI14" s="127"/>
      <c r="AJ14" s="127"/>
      <c r="AK14" s="127"/>
      <c r="AL14" s="127"/>
      <c r="AM14" s="127"/>
      <c r="AQ14" s="127"/>
      <c r="AR14" s="127"/>
      <c r="AS14" s="127"/>
      <c r="AT14" s="127"/>
      <c r="AU14" s="127"/>
      <c r="AV14" s="127"/>
    </row>
    <row r="15" spans="1:48" ht="15.75" customHeight="1">
      <c r="D15" s="154" t="s">
        <v>226</v>
      </c>
      <c r="E15" s="397">
        <v>0.05</v>
      </c>
      <c r="F15" s="398">
        <v>46143</v>
      </c>
      <c r="G15" s="44" t="s">
        <v>227</v>
      </c>
      <c r="H15" s="266">
        <f ca="1">IF((E11-F15)&gt;0,0,IF((-(F15-E16)/30)&lt;0,0,ROUNDDOWN((-(F15-E16)/30),0)))</f>
        <v>7</v>
      </c>
      <c r="J15" s="44" t="s">
        <v>234</v>
      </c>
      <c r="K15" s="393">
        <v>0</v>
      </c>
      <c r="M15" s="44" t="s">
        <v>228</v>
      </c>
      <c r="N15" s="900">
        <v>0</v>
      </c>
      <c r="P15" s="68" t="s">
        <v>251</v>
      </c>
      <c r="Q15" s="392">
        <v>0</v>
      </c>
      <c r="S15" s="262" t="s">
        <v>809</v>
      </c>
      <c r="T15" s="265" t="s">
        <v>2080</v>
      </c>
      <c r="U15" s="198" t="s">
        <v>811</v>
      </c>
      <c r="V15" s="260"/>
      <c r="W15" s="41"/>
      <c r="X15" s="41"/>
      <c r="Y15" s="41"/>
      <c r="Z15" s="41"/>
      <c r="AA15" s="41"/>
      <c r="AB15" s="41"/>
      <c r="AC15" s="41"/>
      <c r="AD15" s="41"/>
      <c r="AE15" s="41"/>
      <c r="AF15" s="127"/>
      <c r="AG15" s="127"/>
      <c r="AH15" s="127"/>
      <c r="AI15" s="127"/>
      <c r="AJ15" s="127"/>
      <c r="AK15" s="127"/>
      <c r="AL15" s="127"/>
      <c r="AM15" s="127"/>
      <c r="AQ15" s="127"/>
      <c r="AR15" s="127"/>
      <c r="AS15" s="127"/>
      <c r="AT15" s="127"/>
      <c r="AU15" s="127"/>
      <c r="AV15" s="127"/>
    </row>
    <row r="16" spans="1:48" ht="15.75" customHeight="1">
      <c r="D16" s="153" t="s">
        <v>229</v>
      </c>
      <c r="E16" s="63">
        <f ca="1">EDATE(E11,+meses_obra)</f>
        <v>46357</v>
      </c>
      <c r="G16" s="44" t="s">
        <v>515</v>
      </c>
      <c r="H16" s="397">
        <v>1</v>
      </c>
      <c r="J16" s="44" t="s">
        <v>236</v>
      </c>
      <c r="K16" s="393">
        <v>0</v>
      </c>
      <c r="M16" s="44" t="s">
        <v>806</v>
      </c>
      <c r="N16" s="399">
        <v>1.1268768141556436</v>
      </c>
      <c r="P16" s="68" t="s">
        <v>2013</v>
      </c>
      <c r="Q16" s="392">
        <v>0</v>
      </c>
      <c r="S16" s="262" t="s">
        <v>808</v>
      </c>
      <c r="T16" s="265" t="s">
        <v>2042</v>
      </c>
      <c r="U16" s="198" t="s">
        <v>810</v>
      </c>
      <c r="V16" s="260"/>
      <c r="AF16" s="127"/>
      <c r="AG16" s="127"/>
      <c r="AH16" s="127"/>
      <c r="AI16" s="127"/>
      <c r="AJ16" s="127"/>
      <c r="AK16" s="127"/>
      <c r="AL16" s="127"/>
      <c r="AM16" s="127"/>
      <c r="AQ16" s="127"/>
      <c r="AR16" s="127"/>
      <c r="AS16" s="127"/>
      <c r="AT16" s="127"/>
      <c r="AU16" s="127"/>
      <c r="AV16" s="127"/>
    </row>
    <row r="17" spans="1:50" ht="15.75" customHeight="1">
      <c r="D17" s="45"/>
      <c r="E17" s="46"/>
      <c r="F17" s="46"/>
      <c r="G17" s="60"/>
      <c r="H17" s="70"/>
      <c r="I17" s="69"/>
      <c r="J17" s="60"/>
      <c r="K17" s="47"/>
      <c r="L17" s="47"/>
      <c r="M17" s="62"/>
      <c r="N17" s="62"/>
      <c r="O17" s="62"/>
      <c r="P17" s="61"/>
      <c r="Q17" s="71"/>
      <c r="R17" s="71"/>
      <c r="S17" s="71"/>
      <c r="T17" s="71"/>
      <c r="U17" s="176"/>
      <c r="V17" s="260"/>
      <c r="AF17" s="127"/>
      <c r="AG17" s="127"/>
      <c r="AH17" s="127"/>
      <c r="AI17" s="127"/>
      <c r="AJ17" s="127"/>
      <c r="AQ17" s="127"/>
      <c r="AR17" s="127"/>
      <c r="AS17" s="127"/>
      <c r="AT17" s="127"/>
      <c r="AU17" s="127"/>
      <c r="AV17" s="127"/>
    </row>
    <row r="18" spans="1:50" ht="15.75" customHeight="1">
      <c r="D18" s="40"/>
      <c r="E18" s="40"/>
      <c r="F18" s="40"/>
      <c r="G18" s="40"/>
      <c r="H18" s="181"/>
      <c r="I18" s="40"/>
      <c r="J18" s="180"/>
      <c r="K18" s="40"/>
      <c r="L18" s="181"/>
      <c r="M18" s="72"/>
      <c r="N18" s="40"/>
      <c r="O18" s="74"/>
      <c r="P18" s="75"/>
      <c r="Q18" s="52"/>
      <c r="R18" s="168"/>
      <c r="S18" s="169" t="s">
        <v>161</v>
      </c>
      <c r="T18" s="170"/>
      <c r="V18" s="82"/>
      <c r="AB18" s="260"/>
      <c r="AC18" s="260"/>
      <c r="AD18" s="260"/>
      <c r="AE18" s="260"/>
      <c r="AF18" s="260"/>
      <c r="AI18" s="65"/>
      <c r="AO18" s="36" t="s">
        <v>2012</v>
      </c>
      <c r="AQ18" s="65"/>
      <c r="AR18" s="65"/>
      <c r="AS18" s="65"/>
      <c r="AT18" s="65"/>
      <c r="AU18" s="65"/>
      <c r="AV18" s="65"/>
    </row>
    <row r="19" spans="1:50" s="49" customFormat="1" ht="18" customHeight="1">
      <c r="A19" s="322"/>
      <c r="B19" s="957"/>
      <c r="C19" s="957"/>
      <c r="D19" s="1340" t="s">
        <v>623</v>
      </c>
      <c r="E19" s="1371" t="s">
        <v>779</v>
      </c>
      <c r="F19" s="1372"/>
      <c r="G19" s="1372"/>
      <c r="H19" s="1373"/>
      <c r="I19" s="1352" t="s">
        <v>786</v>
      </c>
      <c r="J19" s="1329" t="s">
        <v>781</v>
      </c>
      <c r="K19" s="1350" t="s">
        <v>785</v>
      </c>
      <c r="L19" s="1354" t="s">
        <v>799</v>
      </c>
      <c r="M19" s="1329" t="s">
        <v>784</v>
      </c>
      <c r="N19" s="1352" t="s">
        <v>788</v>
      </c>
      <c r="O19" s="1342" t="s">
        <v>1571</v>
      </c>
      <c r="P19" s="1356" t="s">
        <v>2015</v>
      </c>
      <c r="Q19" s="1347" t="s">
        <v>791</v>
      </c>
      <c r="R19" s="1347"/>
      <c r="S19" s="1380" t="s">
        <v>792</v>
      </c>
      <c r="T19" s="1380"/>
      <c r="U19" s="1369" t="s">
        <v>776</v>
      </c>
      <c r="V19" s="1381">
        <f ca="1">$U$21/meses_obra</f>
        <v>372579.90822281421</v>
      </c>
      <c r="Z19" s="1383" t="s">
        <v>230</v>
      </c>
      <c r="AA19" s="1383"/>
      <c r="AB19" s="1383"/>
      <c r="AC19" s="1383"/>
      <c r="AE19" s="1377" t="s">
        <v>241</v>
      </c>
      <c r="AF19" s="1378"/>
      <c r="AG19" s="1378"/>
      <c r="AH19" s="1378" t="s">
        <v>240</v>
      </c>
      <c r="AI19" s="1378"/>
      <c r="AJ19" s="1379"/>
      <c r="AL19" s="182" t="s">
        <v>239</v>
      </c>
      <c r="AM19" s="183"/>
      <c r="AN19" s="241"/>
      <c r="AO19" s="242" t="s">
        <v>243</v>
      </c>
      <c r="AP19" s="183"/>
      <c r="AQ19" s="183"/>
      <c r="AV19" s="1367" t="s">
        <v>421</v>
      </c>
      <c r="AW19" s="1368"/>
      <c r="AX19" s="243" t="s">
        <v>1</v>
      </c>
    </row>
    <row r="20" spans="1:50" s="49" customFormat="1" ht="15.75" customHeight="1">
      <c r="A20" s="322"/>
      <c r="B20" s="957"/>
      <c r="C20" s="958"/>
      <c r="D20" s="1341"/>
      <c r="E20" s="1374"/>
      <c r="F20" s="1375"/>
      <c r="G20" s="1375"/>
      <c r="H20" s="1376"/>
      <c r="I20" s="1353"/>
      <c r="J20" s="1330"/>
      <c r="K20" s="1351"/>
      <c r="L20" s="1355"/>
      <c r="M20" s="1330"/>
      <c r="N20" s="1353"/>
      <c r="O20" s="1343"/>
      <c r="P20" s="1357"/>
      <c r="Q20" s="233">
        <f>$H$11</f>
        <v>0.6</v>
      </c>
      <c r="R20" s="233">
        <f>hora_extra_domingos</f>
        <v>1</v>
      </c>
      <c r="S20" s="233">
        <f>Q20</f>
        <v>0.6</v>
      </c>
      <c r="T20" s="233">
        <f>R20</f>
        <v>1</v>
      </c>
      <c r="U20" s="1370"/>
      <c r="V20" s="1382"/>
      <c r="Z20" s="1384"/>
      <c r="AA20" s="1384"/>
      <c r="AB20" s="1384"/>
      <c r="AC20" s="1384"/>
      <c r="AE20" s="184" t="s">
        <v>206</v>
      </c>
      <c r="AF20" s="184" t="s">
        <v>204</v>
      </c>
      <c r="AG20" s="185" t="s">
        <v>205</v>
      </c>
      <c r="AH20" s="184" t="s">
        <v>206</v>
      </c>
      <c r="AI20" s="184" t="s">
        <v>204</v>
      </c>
      <c r="AJ20" s="185" t="s">
        <v>205</v>
      </c>
      <c r="AL20" s="184" t="s">
        <v>206</v>
      </c>
      <c r="AM20" s="184" t="s">
        <v>204</v>
      </c>
      <c r="AN20" s="185" t="s">
        <v>205</v>
      </c>
      <c r="AO20" s="184" t="s">
        <v>206</v>
      </c>
      <c r="AP20" s="184" t="s">
        <v>204</v>
      </c>
      <c r="AQ20" s="185" t="s">
        <v>205</v>
      </c>
      <c r="AT20" s="36"/>
      <c r="AV20" s="206" t="s">
        <v>701</v>
      </c>
      <c r="AW20" s="207" t="s">
        <v>702</v>
      </c>
      <c r="AX20" s="205" t="s">
        <v>775</v>
      </c>
    </row>
    <row r="21" spans="1:50" s="49" customFormat="1" ht="15.75" customHeight="1" outlineLevel="1">
      <c r="A21" s="507"/>
      <c r="B21" s="498"/>
      <c r="C21" s="498"/>
      <c r="D21" s="215" t="s">
        <v>520</v>
      </c>
      <c r="E21" s="216" t="s">
        <v>217</v>
      </c>
      <c r="F21" s="216"/>
      <c r="G21" s="216"/>
      <c r="H21" s="217"/>
      <c r="I21" s="217"/>
      <c r="J21" s="218"/>
      <c r="K21" s="218"/>
      <c r="L21" s="219"/>
      <c r="M21" s="218"/>
      <c r="N21" s="218"/>
      <c r="O21" s="218" t="s">
        <v>789</v>
      </c>
      <c r="P21" s="219"/>
      <c r="Q21" s="220"/>
      <c r="R21" s="220"/>
      <c r="S21" s="220"/>
      <c r="T21" s="220"/>
      <c r="U21" s="141">
        <f ca="1">SUMIF(A:A,D21,U:U)</f>
        <v>2980639.2657825137</v>
      </c>
      <c r="W21" s="172"/>
      <c r="X21" s="172"/>
      <c r="Z21" s="775" t="s">
        <v>2008</v>
      </c>
      <c r="AA21" s="775" t="s">
        <v>2010</v>
      </c>
      <c r="AB21" s="775" t="s">
        <v>2011</v>
      </c>
      <c r="AC21" s="775" t="s">
        <v>2009</v>
      </c>
      <c r="AE21" s="775" t="s">
        <v>207</v>
      </c>
      <c r="AF21" s="775" t="s">
        <v>211</v>
      </c>
      <c r="AG21" s="775" t="s">
        <v>212</v>
      </c>
      <c r="AH21" s="775" t="s">
        <v>207</v>
      </c>
      <c r="AI21" s="775" t="s">
        <v>211</v>
      </c>
      <c r="AJ21" s="775" t="s">
        <v>212</v>
      </c>
      <c r="AL21" s="775" t="s">
        <v>209</v>
      </c>
      <c r="AM21" s="775" t="s">
        <v>208</v>
      </c>
      <c r="AN21" s="775" t="s">
        <v>210</v>
      </c>
      <c r="AO21" s="775" t="s">
        <v>209</v>
      </c>
      <c r="AP21" s="775" t="s">
        <v>208</v>
      </c>
      <c r="AQ21" s="775" t="s">
        <v>210</v>
      </c>
      <c r="AT21" s="36"/>
      <c r="AV21" s="203"/>
      <c r="AW21" s="203"/>
      <c r="AX21" s="208">
        <f ca="1">SUMIF(A:A,D21,AX:AX)</f>
        <v>2980639.2657825137</v>
      </c>
    </row>
    <row r="22" spans="1:50" ht="15.75" customHeight="1" outlineLevel="1">
      <c r="A22" s="507">
        <v>1</v>
      </c>
      <c r="B22" s="507"/>
      <c r="C22" s="507"/>
      <c r="D22" s="135" t="s">
        <v>615</v>
      </c>
      <c r="E22" s="1311" t="s">
        <v>517</v>
      </c>
      <c r="F22" s="1312"/>
      <c r="G22" s="1313"/>
      <c r="H22" s="136" t="s">
        <v>2</v>
      </c>
      <c r="I22" s="400" t="s">
        <v>199</v>
      </c>
      <c r="J22" s="177">
        <f>ROUND(((((mdo/(média_salarial_ponderada/220)/220)*0.5)/meses_obra)/(1+encargos_mensalista)),10)*percentual_de_mdo_local</f>
        <v>35.832925263299998</v>
      </c>
      <c r="K22" s="401"/>
      <c r="L22" s="408">
        <f>meses_obra</f>
        <v>8</v>
      </c>
      <c r="M22" s="1235">
        <f>(9.39*220)</f>
        <v>2065.8000000000002</v>
      </c>
      <c r="N22" s="403">
        <v>0</v>
      </c>
      <c r="O22" s="137" t="str">
        <f>IF(I22="CLT","N/A",(L22*(M22/12)*2))</f>
        <v>N/A</v>
      </c>
      <c r="P22" s="138">
        <f ca="1">AC22</f>
        <v>20.84512086613681</v>
      </c>
      <c r="Q22" s="138">
        <f>AE22+AF22</f>
        <v>0</v>
      </c>
      <c r="R22" s="138">
        <f>AG22</f>
        <v>0</v>
      </c>
      <c r="S22" s="171">
        <f>Q22*AL22</f>
        <v>0</v>
      </c>
      <c r="T22" s="138">
        <f>R22*AN22</f>
        <v>0</v>
      </c>
      <c r="U22" s="111">
        <f ca="1">AW22*L22*J22</f>
        <v>1314617.3182572946</v>
      </c>
      <c r="V22" s="172"/>
      <c r="X22" s="172"/>
      <c r="Z22" s="107">
        <f>IF(I22="CLT",(M22/220)*(1+encargos_mensalista),(M22/220))</f>
        <v>19.971373284921494</v>
      </c>
      <c r="AA22" s="107">
        <f>Z22*(1+K22)</f>
        <v>19.971373284921494</v>
      </c>
      <c r="AB22" s="108">
        <f ca="1">AA22*(1+((incidência_do_dissídio/meses_obra)*dissídio_coletivo))</f>
        <v>20.84512086613681</v>
      </c>
      <c r="AC22" s="108">
        <f ca="1">AB22*(1+(ociosidade_por_dia/9))</f>
        <v>20.84512086613681</v>
      </c>
      <c r="AE22" s="139">
        <f>IF(I22="contrato",0,$N$11*$Q$11*$K$11)</f>
        <v>0</v>
      </c>
      <c r="AF22" s="139">
        <f>IF(I22="contrato",0,$N$12*$Q$12*$K$12)</f>
        <v>0</v>
      </c>
      <c r="AG22" s="139">
        <f>IF(I22="contrato",0,$N$13*$Q$13*$K$13)</f>
        <v>0</v>
      </c>
      <c r="AH22" s="139">
        <f>IF(I22="contrato",0,$N$14*$Q$14*$K$14)</f>
        <v>0</v>
      </c>
      <c r="AI22" s="139">
        <f>IF(I22="contrato",0,$N$14*$Q$15*$K$15)</f>
        <v>0</v>
      </c>
      <c r="AJ22" s="139">
        <f>IF(I22="contrato",0,$N$14*$Q$16*$K$16)</f>
        <v>0</v>
      </c>
      <c r="AL22" s="107">
        <f>IF(I22="contrato",0,ROUNDUP((M22/220)*(1+$AA$14)*(1+hora_extra_dias_úteis),2))</f>
        <v>22.450000000000003</v>
      </c>
      <c r="AM22" s="107">
        <f>IF(I22="contrato",0,ROUNDUP((M22/220)*(1+$AA$14)*(1+hora_extra_sábados),2))</f>
        <v>22.450000000000003</v>
      </c>
      <c r="AN22" s="107">
        <f>IF(I22="contrato",0,ROUNDUP((M22/220)*(1+$AA$14)*(1+hora_extra_domingos),2))</f>
        <v>28.07</v>
      </c>
      <c r="AO22" s="107">
        <f>IF(I22="contrato",0,ROUNDUP(AL22*(1+adicional_noturno),2))</f>
        <v>26.94</v>
      </c>
      <c r="AP22" s="107">
        <f>IF(I22="contrato",0,ROUNDUP(AM22*(1+adicional_noturno),2))</f>
        <v>26.94</v>
      </c>
      <c r="AQ22" s="107">
        <f>IF(I22="contrato",0,ROUNDUP(AN22*(1+adicional_noturno),2))</f>
        <v>33.69</v>
      </c>
      <c r="AV22" s="204">
        <f ca="1">IF(I22="CLT",IF(L22=0,0,P22*220+N22),(P22*220+N22+(O22/meses_obra)))</f>
        <v>4585.9265905500979</v>
      </c>
      <c r="AW22" s="204">
        <f ca="1">IF(I22="CLT",IF(L22=0,0,((P22*220)+(AE22*AL22)+(AF22*AM22)+(AG22*AN22)+(AH22*AO22)+(AI22*AP22)+(AJ22*AQ22)+N22)),AV22)</f>
        <v>4585.9265905500979</v>
      </c>
      <c r="AX22" s="204">
        <f ca="1">AV22*L22*J22</f>
        <v>1314617.3182572946</v>
      </c>
    </row>
    <row r="23" spans="1:50" ht="15.75" customHeight="1" outlineLevel="1">
      <c r="A23" s="507">
        <v>1</v>
      </c>
      <c r="B23" s="507"/>
      <c r="C23" s="507"/>
      <c r="D23" s="102" t="s">
        <v>616</v>
      </c>
      <c r="E23" s="1308" t="s">
        <v>516</v>
      </c>
      <c r="F23" s="1309"/>
      <c r="G23" s="1310"/>
      <c r="H23" s="104" t="s">
        <v>2</v>
      </c>
      <c r="I23" s="400" t="s">
        <v>199</v>
      </c>
      <c r="J23" s="178">
        <f>ROUND(((((mdo/(média_salarial_ponderada/220)/220)*0.5)/meses_obra)/(1+encargos_mensalista)),10)*percentual_de_mdo_local</f>
        <v>35.832925263299998</v>
      </c>
      <c r="K23" s="404"/>
      <c r="L23" s="408">
        <f>meses_obra</f>
        <v>8</v>
      </c>
      <c r="M23" s="1236">
        <f>(11.9*220)</f>
        <v>2618</v>
      </c>
      <c r="N23" s="403">
        <v>0</v>
      </c>
      <c r="O23" s="106" t="str">
        <f>IF(I23="CLT","N/A",(L23*(M23/12)*2))</f>
        <v>N/A</v>
      </c>
      <c r="P23" s="138">
        <f ca="1">AC23</f>
        <v>26.417139329821939</v>
      </c>
      <c r="Q23" s="138">
        <f>AE23+AF23</f>
        <v>0</v>
      </c>
      <c r="R23" s="138">
        <f>AG23</f>
        <v>0</v>
      </c>
      <c r="S23" s="171">
        <f>Q23*AL23</f>
        <v>0</v>
      </c>
      <c r="T23" s="138">
        <f>R23*AN23</f>
        <v>0</v>
      </c>
      <c r="U23" s="111">
        <f ca="1">AW23*L23*J23</f>
        <v>1666021.9475252188</v>
      </c>
      <c r="V23" s="172"/>
      <c r="X23" s="172"/>
      <c r="Z23" s="107">
        <f>IF(I23="CLT",(M23/220)*(1+encargos_mensalista),(M23/220))</f>
        <v>25.30983408845216</v>
      </c>
      <c r="AA23" s="107">
        <f>Z23*(1+K23)</f>
        <v>25.30983408845216</v>
      </c>
      <c r="AB23" s="108">
        <f ca="1">AA23*(1+((incidência_do_dissídio/meses_obra)*dissídio_coletivo))</f>
        <v>26.417139329821939</v>
      </c>
      <c r="AC23" s="108">
        <f ca="1">AB23*(1+(ociosidade_por_dia/9))</f>
        <v>26.417139329821939</v>
      </c>
      <c r="AE23" s="109">
        <f>IF(I23="contrato",0,$N$11*$Q$11*$K$11)</f>
        <v>0</v>
      </c>
      <c r="AF23" s="109">
        <f>IF(I23="contrato",0,$N$12*$Q$12*$K$12)</f>
        <v>0</v>
      </c>
      <c r="AG23" s="109">
        <f>IF(I23="contrato",0,$N$13*$Q$13*$K$13)</f>
        <v>0</v>
      </c>
      <c r="AH23" s="109">
        <f>IF(I23="contrato",0,$N$14*$Q$14*$K$14)</f>
        <v>0</v>
      </c>
      <c r="AI23" s="109">
        <f>IF(I23="contrato",0,$N$14*$Q$15*$K$15)</f>
        <v>0</v>
      </c>
      <c r="AJ23" s="109">
        <f>IF(I23="contrato",0,$N$14*$Q$16*$K$16)</f>
        <v>0</v>
      </c>
      <c r="AL23" s="107">
        <f>IF(I23="contrato",0,ROUNDUP((M23/220)*(1+$AA$14)*(1+hora_extra_dias_úteis),2))</f>
        <v>28.450000000000003</v>
      </c>
      <c r="AM23" s="107">
        <f>IF(I23="contrato",0,ROUNDUP((M23/220)*(1+$AA$14)*(1+hora_extra_sábados),2))</f>
        <v>28.450000000000003</v>
      </c>
      <c r="AN23" s="107">
        <f>IF(I23="contrato",0,ROUNDUP((M23/220)*(1+$AA$14)*(1+hora_extra_domingos),2))</f>
        <v>35.57</v>
      </c>
      <c r="AO23" s="107">
        <f>IF(I23="contrato",0,ROUNDUP(AL23*(1+adicional_noturno),2))</f>
        <v>34.14</v>
      </c>
      <c r="AP23" s="107">
        <f>IF(I23="contrato",0,ROUNDUP(AM23*(1+adicional_noturno),2))</f>
        <v>34.14</v>
      </c>
      <c r="AQ23" s="107">
        <f>IF(I23="contrato",0,ROUNDUP(AN23*(1+adicional_noturno),2))</f>
        <v>42.69</v>
      </c>
      <c r="AV23" s="110">
        <f ca="1">IF(I23="CLT",IF(L23=0,0,P23*220+N23),(P23*220+N23+(O23/meses_obra)))</f>
        <v>5811.7706525608264</v>
      </c>
      <c r="AW23" s="110">
        <f ca="1">IF(I23="CLT",IF(L23=0,0,((P23*220)+(AE23*AL23)+(AF23*AM23)+(AG23*AN23)+(AH23*AO23)+(AI23*AP23)+(AJ23*AQ23)+N23)),AV23)</f>
        <v>5811.7706525608264</v>
      </c>
      <c r="AX23" s="110">
        <f ca="1">AV23*L23*J23</f>
        <v>1666021.9475252188</v>
      </c>
    </row>
    <row r="24" spans="1:50" ht="15.75" customHeight="1" outlineLevel="1">
      <c r="A24" s="507">
        <v>1</v>
      </c>
      <c r="B24" s="507"/>
      <c r="C24" s="507"/>
      <c r="D24" s="102" t="s">
        <v>617</v>
      </c>
      <c r="E24" s="1314" t="s">
        <v>772</v>
      </c>
      <c r="F24" s="1315"/>
      <c r="G24" s="1316"/>
      <c r="H24" s="104" t="s">
        <v>2</v>
      </c>
      <c r="I24" s="400" t="s">
        <v>199</v>
      </c>
      <c r="J24" s="178">
        <f>ROUND(((((mdo/(média_salarial_ponderada/220)/220)*0.4)/meses_obra)/(1+encargos_mensalista)),10)*(1-percentual_de_mdo_local)</f>
        <v>0</v>
      </c>
      <c r="K24" s="619"/>
      <c r="L24" s="408">
        <f>meses_obra</f>
        <v>8</v>
      </c>
      <c r="M24" s="1235">
        <f>M22</f>
        <v>2065.8000000000002</v>
      </c>
      <c r="N24" s="403">
        <v>0</v>
      </c>
      <c r="O24" s="106" t="str">
        <f>IF(I24="CLT","N/A",(L24*(M24/12)*2))</f>
        <v>N/A</v>
      </c>
      <c r="P24" s="138">
        <f ca="1">AC24</f>
        <v>20.84512086613681</v>
      </c>
      <c r="Q24" s="138">
        <f>AE24+AF24</f>
        <v>0</v>
      </c>
      <c r="R24" s="138">
        <f>AG24</f>
        <v>0</v>
      </c>
      <c r="S24" s="171">
        <f>Q24*AL24</f>
        <v>0</v>
      </c>
      <c r="T24" s="138">
        <f>R24*AN24</f>
        <v>0</v>
      </c>
      <c r="U24" s="111">
        <f ca="1">AW24*L24*J24</f>
        <v>0</v>
      </c>
      <c r="V24" s="945"/>
      <c r="X24" s="172"/>
      <c r="Z24" s="107">
        <f>IF(I24="CLT",(M24/220)*(1+encargos_mensalista),(M24/220))</f>
        <v>19.971373284921494</v>
      </c>
      <c r="AA24" s="107">
        <f>Z24*(1+K24)</f>
        <v>19.971373284921494</v>
      </c>
      <c r="AB24" s="108">
        <f ca="1">AA24*(1+((incidência_do_dissídio/meses_obra)*dissídio_coletivo))</f>
        <v>20.84512086613681</v>
      </c>
      <c r="AC24" s="108">
        <f ca="1">AB24*(1+(ociosidade_por_dia/9))</f>
        <v>20.84512086613681</v>
      </c>
      <c r="AE24" s="109">
        <f>IF(I24="contrato",0,$N$11*$Q$11*$K$11)</f>
        <v>0</v>
      </c>
      <c r="AF24" s="109">
        <f>IF(I24="contrato",0,$N$12*$Q$12*$K$12)</f>
        <v>0</v>
      </c>
      <c r="AG24" s="109">
        <f>IF(I24="contrato",0,$N$13*$Q$13*$K$13)</f>
        <v>0</v>
      </c>
      <c r="AH24" s="109">
        <f>IF(I24="contrato",0,$N$14*$Q$14*$K$14)</f>
        <v>0</v>
      </c>
      <c r="AI24" s="109">
        <f>IF(I24="contrato",0,$N$14*$Q$15*$K$15)</f>
        <v>0</v>
      </c>
      <c r="AJ24" s="109">
        <f>IF(I24="contrato",0,$N$14*$Q$16*$K$16)</f>
        <v>0</v>
      </c>
      <c r="AL24" s="107">
        <f>IF(I24="contrato",0,ROUNDUP((M24/220)*(1+$AA$14)*(1+hora_extra_dias_úteis),2))</f>
        <v>22.450000000000003</v>
      </c>
      <c r="AM24" s="107">
        <f>IF(I24="contrato",0,ROUNDUP((M24/220)*(1+$AA$14)*(1+hora_extra_sábados),2))</f>
        <v>22.450000000000003</v>
      </c>
      <c r="AN24" s="107">
        <f>IF(I24="contrato",0,ROUNDUP((M24/220)*(1+$AA$14)*(1+hora_extra_domingos),2))</f>
        <v>28.07</v>
      </c>
      <c r="AO24" s="107">
        <f>IF(I24="contrato",0,ROUNDUP(AL24*(1+adicional_noturno),2))</f>
        <v>26.94</v>
      </c>
      <c r="AP24" s="107">
        <f>IF(I24="contrato",0,ROUNDUP(AM24*(1+adicional_noturno),2))</f>
        <v>26.94</v>
      </c>
      <c r="AQ24" s="107">
        <f>IF(I24="contrato",0,ROUNDUP(AN24*(1+adicional_noturno),2))</f>
        <v>33.69</v>
      </c>
      <c r="AV24" s="110">
        <f ca="1">IF(I24="CLT",IF(L24=0,0,P24*220+N24),(P24*220+N24+(O24/meses_obra)))</f>
        <v>4585.9265905500979</v>
      </c>
      <c r="AW24" s="110">
        <f ca="1">IF(I24="CLT",IF(L24=0,0,((P24*220)+(AE24*AL24)+(AF24*AM24)+(AG24*AN24)+(AH24*AO24)+(AI24*AP24)+(AJ24*AQ24)+N24)),AV24)</f>
        <v>4585.9265905500979</v>
      </c>
      <c r="AX24" s="110">
        <f ca="1">AV24*L24*J24</f>
        <v>0</v>
      </c>
    </row>
    <row r="25" spans="1:50" ht="15.75" customHeight="1" outlineLevel="1">
      <c r="A25" s="507">
        <v>1</v>
      </c>
      <c r="B25" s="507"/>
      <c r="C25" s="507"/>
      <c r="D25" s="102" t="s">
        <v>618</v>
      </c>
      <c r="E25" s="1314" t="s">
        <v>773</v>
      </c>
      <c r="F25" s="1315"/>
      <c r="G25" s="1316"/>
      <c r="H25" s="104" t="s">
        <v>2</v>
      </c>
      <c r="I25" s="400" t="s">
        <v>199</v>
      </c>
      <c r="J25" s="178">
        <f>ROUND(((((mdo/(média_salarial_ponderada/220)/220)*0.6)/meses_obra)/(1+encargos_mensalista)),10)*(1-percentual_de_mdo_local)</f>
        <v>0</v>
      </c>
      <c r="K25" s="620"/>
      <c r="L25" s="408">
        <f>meses_obra</f>
        <v>8</v>
      </c>
      <c r="M25" s="1236">
        <f>M23</f>
        <v>2618</v>
      </c>
      <c r="N25" s="403">
        <v>0</v>
      </c>
      <c r="O25" s="106" t="str">
        <f>IF(I25="CLT","N/A",(L25*(M25/12)*2))</f>
        <v>N/A</v>
      </c>
      <c r="P25" s="138">
        <f ca="1">AC25</f>
        <v>26.417139329821939</v>
      </c>
      <c r="Q25" s="138">
        <f>AE25+AF25</f>
        <v>0</v>
      </c>
      <c r="R25" s="138">
        <f>AG25</f>
        <v>0</v>
      </c>
      <c r="S25" s="171">
        <f>Q25*AL25</f>
        <v>0</v>
      </c>
      <c r="T25" s="138">
        <f>R25*AN25</f>
        <v>0</v>
      </c>
      <c r="U25" s="111">
        <f ca="1">AW25*L25*J25</f>
        <v>0</v>
      </c>
      <c r="V25" s="172"/>
      <c r="X25" s="945"/>
      <c r="Z25" s="107">
        <f>IF(I25="CLT",(M25/220)*(1+encargos_mensalista),(M25/220))</f>
        <v>25.30983408845216</v>
      </c>
      <c r="AA25" s="107">
        <f>Z25*(1+K25)</f>
        <v>25.30983408845216</v>
      </c>
      <c r="AB25" s="108">
        <f ca="1">AA25*(1+((incidência_do_dissídio/meses_obra)*dissídio_coletivo))</f>
        <v>26.417139329821939</v>
      </c>
      <c r="AC25" s="108">
        <f ca="1">AB25*(1+(ociosidade_por_dia/9))</f>
        <v>26.417139329821939</v>
      </c>
      <c r="AE25" s="109">
        <f>IF(I25="contrato",0,$N$11*$Q$11*$K$11)</f>
        <v>0</v>
      </c>
      <c r="AF25" s="109">
        <f>IF(I25="contrato",0,$N$12*$Q$12*$K$12)</f>
        <v>0</v>
      </c>
      <c r="AG25" s="109">
        <f>IF(I25="contrato",0,$N$13*$Q$13*$K$13)</f>
        <v>0</v>
      </c>
      <c r="AH25" s="109">
        <f>IF(I25="contrato",0,$N$14*$Q$14*$K$14)</f>
        <v>0</v>
      </c>
      <c r="AI25" s="109">
        <f>IF(I25="contrato",0,$N$14*$Q$15*$K$15)</f>
        <v>0</v>
      </c>
      <c r="AJ25" s="109">
        <f>IF(I25="contrato",0,$N$14*$Q$16*$K$16)</f>
        <v>0</v>
      </c>
      <c r="AL25" s="107">
        <f>IF(I25="contrato",0,ROUNDUP((M25/220)*(1+$AA$14)*(1+hora_extra_dias_úteis),2))</f>
        <v>28.450000000000003</v>
      </c>
      <c r="AM25" s="107">
        <f>IF(I25="contrato",0,ROUNDUP((M25/220)*(1+$AA$14)*(1+hora_extra_sábados),2))</f>
        <v>28.450000000000003</v>
      </c>
      <c r="AN25" s="107">
        <f>IF(I25="contrato",0,ROUNDUP((M25/220)*(1+$AA$14)*(1+hora_extra_domingos),2))</f>
        <v>35.57</v>
      </c>
      <c r="AO25" s="107">
        <f>IF(I25="contrato",0,ROUNDUP(AL25*(1+adicional_noturno),2))</f>
        <v>34.14</v>
      </c>
      <c r="AP25" s="107">
        <f>IF(I25="contrato",0,ROUNDUP(AM25*(1+adicional_noturno),2))</f>
        <v>34.14</v>
      </c>
      <c r="AQ25" s="107">
        <f>IF(I25="contrato",0,ROUNDUP(AN25*(1+adicional_noturno),2))</f>
        <v>42.69</v>
      </c>
      <c r="AV25" s="110">
        <f ca="1">IF(I25="CLT",IF(L25=0,0,P25*220+N25),(P25*220+N25+(O25/meses_obra)))</f>
        <v>5811.7706525608264</v>
      </c>
      <c r="AW25" s="110">
        <f ca="1">IF(I25="CLT",IF(L25=0,0,((P25*220)+(AE25*AL25)+(AF25*AM25)+(AG25*AN25)+(AH25*AO25)+(AI25*AP25)+(AJ25*AQ25)+N25)),AV25)</f>
        <v>5811.7706525608264</v>
      </c>
      <c r="AX25" s="110">
        <f ca="1">AV25*L25*J25</f>
        <v>0</v>
      </c>
    </row>
    <row r="26" spans="1:50" ht="15.75" customHeight="1" outlineLevel="1">
      <c r="A26" s="507">
        <v>1</v>
      </c>
      <c r="B26" s="507"/>
      <c r="C26" s="507"/>
      <c r="D26" s="102" t="s">
        <v>619</v>
      </c>
      <c r="E26" s="1308"/>
      <c r="F26" s="1309"/>
      <c r="G26" s="1310"/>
      <c r="H26" s="104" t="s">
        <v>2</v>
      </c>
      <c r="I26" s="400" t="s">
        <v>199</v>
      </c>
      <c r="J26" s="179"/>
      <c r="K26" s="405"/>
      <c r="L26" s="408">
        <f>meses_obra</f>
        <v>8</v>
      </c>
      <c r="M26" s="406"/>
      <c r="N26" s="403">
        <v>0</v>
      </c>
      <c r="O26" s="106" t="str">
        <f>IF(I26="CLT","N/A",(L26*(M26/12)*2))</f>
        <v>N/A</v>
      </c>
      <c r="P26" s="138">
        <f ca="1">AC26</f>
        <v>0</v>
      </c>
      <c r="Q26" s="138">
        <f>AE26+AF26</f>
        <v>0</v>
      </c>
      <c r="R26" s="138">
        <f>AG26</f>
        <v>0</v>
      </c>
      <c r="S26" s="171">
        <f>Q26*AL26</f>
        <v>0</v>
      </c>
      <c r="T26" s="138">
        <f>R26*AN26</f>
        <v>0</v>
      </c>
      <c r="U26" s="111">
        <f ca="1">AW26*L26*J26</f>
        <v>0</v>
      </c>
      <c r="V26" s="172"/>
      <c r="W26" s="127"/>
      <c r="X26" s="127"/>
      <c r="Z26" s="120">
        <f>IF(I26="CLT",(M26/220)*(1+encargos_mensalista),(M26/220))</f>
        <v>0</v>
      </c>
      <c r="AA26" s="120">
        <f>Z26*(1+K26)</f>
        <v>0</v>
      </c>
      <c r="AB26" s="121">
        <f ca="1">AA26*(1+((incidência_do_dissídio/meses_obra)*dissídio_coletivo))</f>
        <v>0</v>
      </c>
      <c r="AC26" s="121">
        <f ca="1">AB26*(1+(ociosidade_por_dia/9))</f>
        <v>0</v>
      </c>
      <c r="AD26" s="127"/>
      <c r="AE26" s="122">
        <f>IF(I26="contrato",0,$N$11*$Q$11*$K$11)</f>
        <v>0</v>
      </c>
      <c r="AF26" s="122">
        <f>IF(I26="contrato",0,$N$12*$Q$12*$K$12)</f>
        <v>0</v>
      </c>
      <c r="AG26" s="122">
        <f>IF(I26="contrato",0,$N$13*$Q$13*$K$13)</f>
        <v>0</v>
      </c>
      <c r="AH26" s="122">
        <f>IF(I26="contrato",0,$N$14*$Q$14*$K$14)</f>
        <v>0</v>
      </c>
      <c r="AI26" s="122">
        <f>IF(I26="contrato",0,$N$14*$Q$15*$K$15)</f>
        <v>0</v>
      </c>
      <c r="AJ26" s="122">
        <f>IF(I26="contrato",0,$N$14*$Q$16*$K$16)</f>
        <v>0</v>
      </c>
      <c r="AL26" s="120">
        <f>IF(I26="contrato",0,ROUNDUP((M26/220)*(1+$AA$14)*(1+hora_extra_dias_úteis),2))</f>
        <v>0</v>
      </c>
      <c r="AM26" s="120">
        <f>IF(I26="contrato",0,ROUNDUP((M26/220)*(1+$AA$14)*(1+hora_extra_sábados),2))</f>
        <v>0</v>
      </c>
      <c r="AN26" s="120">
        <f>IF(I26="contrato",0,ROUNDUP((M26/220)*(1+$AA$14)*(1+hora_extra_domingos),2))</f>
        <v>0</v>
      </c>
      <c r="AO26" s="120">
        <f>IF(I26="contrato",0,ROUNDUP(AL26*(1+adicional_noturno),2))</f>
        <v>0</v>
      </c>
      <c r="AP26" s="120">
        <f>IF(I26="contrato",0,ROUNDUP(AM26*(1+adicional_noturno),2))</f>
        <v>0</v>
      </c>
      <c r="AQ26" s="120">
        <f>IF(I26="contrato",0,ROUNDUP(AN26*(1+adicional_noturno),2))</f>
        <v>0</v>
      </c>
      <c r="AV26" s="123">
        <f ca="1">IF(I26="CLT",IF(L26=0,0,P26*220+N26),(P26*220+N26+(O26/meses_obra)))</f>
        <v>0</v>
      </c>
      <c r="AW26" s="123">
        <f ca="1">IF(I26="CLT",IF(L26=0,0,((P26*220)+(AE26*AL26)+(AF26*AM26)+(AG26*AN26)+(AH26*AO26)+(AI26*AP26)+(AJ26*AQ26)+N26)),AV26)</f>
        <v>0</v>
      </c>
      <c r="AX26" s="123">
        <f ca="1">AV26*L26*J26</f>
        <v>0</v>
      </c>
    </row>
    <row r="27" spans="1:50" ht="15.75" customHeight="1" outlineLevel="1">
      <c r="A27" s="507"/>
      <c r="B27" s="507"/>
      <c r="C27" s="507"/>
      <c r="D27" s="267"/>
      <c r="E27" s="268"/>
      <c r="F27" s="268"/>
      <c r="G27" s="268"/>
      <c r="H27" s="268"/>
      <c r="I27" s="268"/>
      <c r="J27" s="268"/>
      <c r="K27" s="268"/>
      <c r="L27" s="948"/>
      <c r="M27" s="269"/>
      <c r="N27" s="268"/>
      <c r="O27" s="268"/>
      <c r="P27" s="268"/>
      <c r="Q27" s="268"/>
      <c r="R27" s="138"/>
      <c r="S27" s="138"/>
      <c r="T27" s="138"/>
      <c r="U27" s="111"/>
      <c r="V27" s="172"/>
      <c r="W27" s="127"/>
      <c r="X27" s="127"/>
      <c r="AD27" s="127"/>
      <c r="AE27" s="260"/>
      <c r="AF27" s="260"/>
      <c r="AG27" s="260"/>
      <c r="AH27" s="260"/>
      <c r="AI27" s="260"/>
      <c r="AJ27" s="260"/>
      <c r="AL27" s="127"/>
      <c r="AM27" s="127"/>
      <c r="AN27" s="127"/>
      <c r="AO27" s="127"/>
      <c r="AP27" s="127"/>
      <c r="AV27" s="260"/>
      <c r="AW27" s="260"/>
      <c r="AX27" s="260"/>
    </row>
    <row r="28" spans="1:50" ht="15.75" customHeight="1" outlineLevel="1">
      <c r="A28" s="507" t="s">
        <v>141</v>
      </c>
      <c r="B28" s="507"/>
      <c r="C28" s="507"/>
      <c r="D28" s="117"/>
      <c r="E28" s="118"/>
      <c r="F28" s="116"/>
      <c r="G28" s="116"/>
      <c r="H28" s="270"/>
      <c r="I28" s="271" t="s">
        <v>404</v>
      </c>
      <c r="J28" s="607">
        <v>1893.1</v>
      </c>
      <c r="K28" s="116"/>
      <c r="L28" s="272" t="s">
        <v>374</v>
      </c>
      <c r="M28" s="83">
        <f>AVERAGE(M22:M25)</f>
        <v>2341.9</v>
      </c>
      <c r="N28" s="270"/>
      <c r="O28" s="119"/>
      <c r="P28" s="121"/>
      <c r="Q28" s="121"/>
      <c r="R28" s="121"/>
      <c r="S28" s="121"/>
      <c r="T28" s="121"/>
      <c r="U28" s="189"/>
      <c r="V28" s="172"/>
      <c r="W28" s="127"/>
      <c r="X28" s="127"/>
      <c r="Y28" s="127"/>
      <c r="Z28" s="127"/>
      <c r="AA28" s="127"/>
      <c r="AB28" s="127"/>
      <c r="AC28" s="127"/>
      <c r="AD28" s="127"/>
      <c r="AE28" s="260"/>
      <c r="AF28" s="260"/>
      <c r="AG28" s="260"/>
      <c r="AH28" s="260"/>
      <c r="AI28" s="260"/>
      <c r="AJ28" s="260"/>
      <c r="AL28" s="260"/>
      <c r="AM28" s="260"/>
      <c r="AN28" s="260"/>
      <c r="AO28" s="127"/>
      <c r="AP28" s="127"/>
      <c r="AV28" s="260"/>
      <c r="AW28" s="260"/>
      <c r="AX28" s="260"/>
    </row>
    <row r="29" spans="1:50" ht="15.75" customHeight="1" outlineLevel="1">
      <c r="C29" s="959"/>
      <c r="D29" s="124"/>
      <c r="E29" s="249"/>
      <c r="F29" s="250"/>
      <c r="G29" s="250"/>
      <c r="H29" s="251"/>
      <c r="K29" s="252"/>
      <c r="L29" s="252"/>
      <c r="N29" s="250"/>
      <c r="O29" s="50"/>
      <c r="P29" s="50"/>
      <c r="Q29" s="273"/>
      <c r="R29" s="274"/>
      <c r="U29" s="275"/>
      <c r="V29" s="172"/>
      <c r="Y29" s="275"/>
      <c r="Z29" s="86"/>
      <c r="AA29" s="86"/>
      <c r="AB29" s="65"/>
      <c r="AC29" s="65"/>
      <c r="AD29" s="260"/>
      <c r="AE29" s="260"/>
      <c r="AF29" s="260"/>
      <c r="AG29" s="260"/>
      <c r="AH29" s="260"/>
      <c r="AL29" s="260"/>
      <c r="AM29" s="260"/>
      <c r="AN29" s="260"/>
      <c r="AP29" s="127"/>
      <c r="AQ29" s="260"/>
      <c r="AW29" s="127"/>
      <c r="AX29" s="127"/>
    </row>
    <row r="30" spans="1:50" s="49" customFormat="1" ht="18" customHeight="1">
      <c r="A30" s="960"/>
      <c r="B30" s="960"/>
      <c r="C30" s="960"/>
      <c r="D30" s="1340" t="s">
        <v>626</v>
      </c>
      <c r="E30" s="1371" t="s">
        <v>798</v>
      </c>
      <c r="F30" s="1372"/>
      <c r="G30" s="1372"/>
      <c r="H30" s="1373"/>
      <c r="I30" s="1352" t="s">
        <v>786</v>
      </c>
      <c r="J30" s="1329" t="s">
        <v>781</v>
      </c>
      <c r="K30" s="1350" t="s">
        <v>785</v>
      </c>
      <c r="L30" s="1354" t="s">
        <v>799</v>
      </c>
      <c r="M30" s="1329" t="s">
        <v>1427</v>
      </c>
      <c r="N30" s="1352" t="s">
        <v>788</v>
      </c>
      <c r="O30" s="1342" t="s">
        <v>790</v>
      </c>
      <c r="P30" s="1356" t="s">
        <v>787</v>
      </c>
      <c r="Q30" s="1347" t="s">
        <v>791</v>
      </c>
      <c r="R30" s="1347"/>
      <c r="S30" s="1380" t="s">
        <v>792</v>
      </c>
      <c r="T30" s="1380"/>
      <c r="U30" s="1369" t="s">
        <v>776</v>
      </c>
      <c r="V30" s="1381">
        <f ca="1">$U$32/meses_obra</f>
        <v>26629.166666666668</v>
      </c>
      <c r="W30" s="127"/>
      <c r="X30" s="127"/>
      <c r="AL30" s="260"/>
      <c r="AM30" s="260"/>
      <c r="AN30" s="260"/>
    </row>
    <row r="31" spans="1:50" s="49" customFormat="1" ht="15.75" customHeight="1">
      <c r="A31" s="322"/>
      <c r="B31" s="322"/>
      <c r="C31" s="498"/>
      <c r="D31" s="1341"/>
      <c r="E31" s="1374"/>
      <c r="F31" s="1375"/>
      <c r="G31" s="1375"/>
      <c r="H31" s="1376"/>
      <c r="I31" s="1353"/>
      <c r="J31" s="1330"/>
      <c r="K31" s="1351"/>
      <c r="L31" s="1355"/>
      <c r="M31" s="1330"/>
      <c r="N31" s="1353"/>
      <c r="O31" s="1343"/>
      <c r="P31" s="1357"/>
      <c r="Q31" s="233">
        <f>$H$11</f>
        <v>0.6</v>
      </c>
      <c r="R31" s="233">
        <f>hora_extra_domingos</f>
        <v>1</v>
      </c>
      <c r="S31" s="233">
        <f>Q31</f>
        <v>0.6</v>
      </c>
      <c r="T31" s="233">
        <f>R31</f>
        <v>1</v>
      </c>
      <c r="U31" s="1370"/>
      <c r="V31" s="1382"/>
      <c r="W31" s="127"/>
      <c r="X31" s="127"/>
      <c r="AL31" s="260"/>
      <c r="AM31" s="260"/>
      <c r="AN31" s="260"/>
    </row>
    <row r="32" spans="1:50" s="49" customFormat="1" ht="15.75" customHeight="1" outlineLevel="1">
      <c r="A32" s="507"/>
      <c r="B32" s="507"/>
      <c r="C32" s="507"/>
      <c r="D32" s="215"/>
      <c r="E32" s="276" t="s">
        <v>834</v>
      </c>
      <c r="F32" s="221"/>
      <c r="G32" s="221"/>
      <c r="H32" s="222"/>
      <c r="I32" s="222"/>
      <c r="J32" s="223"/>
      <c r="K32" s="223"/>
      <c r="L32" s="220"/>
      <c r="M32" s="223"/>
      <c r="N32" s="223"/>
      <c r="O32" s="218"/>
      <c r="P32" s="220"/>
      <c r="Q32" s="220"/>
      <c r="R32" s="220"/>
      <c r="S32" s="220"/>
      <c r="T32" s="220"/>
      <c r="U32" s="141">
        <f ca="1">SUMIF(A:A,"S",U:U)</f>
        <v>213033.33333333334</v>
      </c>
      <c r="V32" s="172"/>
      <c r="W32" s="36"/>
      <c r="X32" s="36"/>
      <c r="Z32" s="1383" t="s">
        <v>230</v>
      </c>
      <c r="AA32" s="1383"/>
      <c r="AB32" s="1383"/>
      <c r="AC32" s="1383"/>
      <c r="AD32" s="260"/>
      <c r="AE32" s="1377" t="s">
        <v>241</v>
      </c>
      <c r="AF32" s="1378"/>
      <c r="AG32" s="1378"/>
      <c r="AH32" s="1378" t="s">
        <v>240</v>
      </c>
      <c r="AI32" s="1378"/>
      <c r="AJ32" s="1379"/>
      <c r="AL32" s="182" t="s">
        <v>239</v>
      </c>
      <c r="AM32" s="183"/>
      <c r="AN32" s="241"/>
      <c r="AO32" s="242" t="s">
        <v>243</v>
      </c>
      <c r="AP32" s="183"/>
      <c r="AQ32" s="183"/>
      <c r="AS32" s="192" t="s">
        <v>422</v>
      </c>
      <c r="AT32" s="193"/>
      <c r="AV32" s="1367" t="s">
        <v>421</v>
      </c>
      <c r="AW32" s="1368"/>
      <c r="AX32" s="243" t="s">
        <v>1</v>
      </c>
    </row>
    <row r="33" spans="1:50" s="49" customFormat="1" ht="15.75" customHeight="1" outlineLevel="1">
      <c r="A33" s="507"/>
      <c r="B33" s="507"/>
      <c r="C33" s="507"/>
      <c r="D33" s="277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278"/>
      <c r="P33" s="278"/>
      <c r="Q33" s="278"/>
      <c r="R33" s="278"/>
      <c r="S33" s="278"/>
      <c r="T33" s="278"/>
      <c r="U33" s="279"/>
      <c r="V33" s="172"/>
      <c r="W33" s="36"/>
      <c r="X33" s="36"/>
      <c r="Z33" s="1384"/>
      <c r="AA33" s="1384"/>
      <c r="AB33" s="1384"/>
      <c r="AC33" s="1384"/>
      <c r="AD33" s="260"/>
      <c r="AE33" s="184" t="s">
        <v>206</v>
      </c>
      <c r="AF33" s="184" t="s">
        <v>204</v>
      </c>
      <c r="AG33" s="185" t="s">
        <v>205</v>
      </c>
      <c r="AH33" s="184" t="s">
        <v>206</v>
      </c>
      <c r="AI33" s="184" t="s">
        <v>204</v>
      </c>
      <c r="AJ33" s="185" t="s">
        <v>205</v>
      </c>
      <c r="AL33" s="184" t="str">
        <f t="shared" ref="AL33:AQ33" si="0">AE33</f>
        <v xml:space="preserve"> dia útil</v>
      </c>
      <c r="AM33" s="184" t="str">
        <f t="shared" si="0"/>
        <v xml:space="preserve">   sáb</v>
      </c>
      <c r="AN33" s="184" t="str">
        <f t="shared" si="0"/>
        <v xml:space="preserve">  dom</v>
      </c>
      <c r="AO33" s="184" t="str">
        <f t="shared" si="0"/>
        <v xml:space="preserve"> dia útil</v>
      </c>
      <c r="AP33" s="184" t="str">
        <f t="shared" si="0"/>
        <v xml:space="preserve">   sáb</v>
      </c>
      <c r="AQ33" s="184" t="str">
        <f t="shared" si="0"/>
        <v xml:space="preserve">  dom</v>
      </c>
      <c r="AS33" s="829" t="s">
        <v>1925</v>
      </c>
      <c r="AT33" s="184" t="s">
        <v>238</v>
      </c>
      <c r="AV33" s="206" t="s">
        <v>701</v>
      </c>
      <c r="AW33" s="207" t="s">
        <v>702</v>
      </c>
      <c r="AX33" s="205" t="s">
        <v>775</v>
      </c>
    </row>
    <row r="34" spans="1:50" s="49" customFormat="1" ht="15.75" customHeight="1" outlineLevel="1">
      <c r="A34" s="507" t="s">
        <v>189</v>
      </c>
      <c r="B34" s="507"/>
      <c r="C34" s="507"/>
      <c r="D34" s="215" t="s">
        <v>521</v>
      </c>
      <c r="E34" s="221" t="s">
        <v>1429</v>
      </c>
      <c r="F34" s="221"/>
      <c r="G34" s="221"/>
      <c r="H34" s="222"/>
      <c r="I34" s="222"/>
      <c r="J34" s="223"/>
      <c r="K34" s="223"/>
      <c r="L34" s="220"/>
      <c r="M34" s="223"/>
      <c r="N34" s="223"/>
      <c r="O34" s="218" t="s">
        <v>789</v>
      </c>
      <c r="P34" s="220"/>
      <c r="Q34" s="220"/>
      <c r="R34" s="220"/>
      <c r="S34" s="220"/>
      <c r="T34" s="220"/>
      <c r="U34" s="141">
        <f ca="1">SUMIF(A:A,D34,U:U)</f>
        <v>213033.33333333334</v>
      </c>
      <c r="V34" s="172"/>
      <c r="W34" s="36"/>
      <c r="X34" s="36"/>
      <c r="Z34" s="775" t="s">
        <v>2008</v>
      </c>
      <c r="AA34" s="775" t="s">
        <v>2010</v>
      </c>
      <c r="AB34" s="775" t="s">
        <v>2011</v>
      </c>
      <c r="AC34" s="775" t="s">
        <v>2009</v>
      </c>
      <c r="AE34" s="775" t="s">
        <v>207</v>
      </c>
      <c r="AF34" s="775" t="s">
        <v>211</v>
      </c>
      <c r="AG34" s="775" t="s">
        <v>212</v>
      </c>
      <c r="AH34" s="775" t="s">
        <v>207</v>
      </c>
      <c r="AI34" s="775" t="s">
        <v>211</v>
      </c>
      <c r="AJ34" s="775" t="s">
        <v>212</v>
      </c>
      <c r="AL34" s="775" t="s">
        <v>209</v>
      </c>
      <c r="AM34" s="775" t="s">
        <v>208</v>
      </c>
      <c r="AN34" s="775" t="s">
        <v>210</v>
      </c>
      <c r="AO34" s="775" t="s">
        <v>209</v>
      </c>
      <c r="AP34" s="775" t="s">
        <v>208</v>
      </c>
      <c r="AQ34" s="775" t="s">
        <v>210</v>
      </c>
      <c r="AR34" s="946"/>
      <c r="AS34" s="947"/>
      <c r="AT34" s="190"/>
      <c r="AV34" s="203"/>
      <c r="AW34" s="203"/>
      <c r="AX34" s="208">
        <f ca="1">SUMIF(A:A,D34,AX:AX)</f>
        <v>213033.33333333334</v>
      </c>
    </row>
    <row r="35" spans="1:50" ht="15.75" customHeight="1" outlineLevel="1">
      <c r="A35" s="507">
        <v>2</v>
      </c>
      <c r="B35" s="507"/>
      <c r="C35" s="507"/>
      <c r="D35" s="135" t="s">
        <v>560</v>
      </c>
      <c r="E35" s="1311" t="s">
        <v>70</v>
      </c>
      <c r="F35" s="1312"/>
      <c r="G35" s="1313"/>
      <c r="H35" s="136" t="s">
        <v>238</v>
      </c>
      <c r="I35" s="400" t="s">
        <v>807</v>
      </c>
      <c r="J35" s="407"/>
      <c r="K35" s="401"/>
      <c r="L35" s="408">
        <f t="shared" ref="L35:L57" si="1">meses_obra</f>
        <v>8</v>
      </c>
      <c r="M35" s="402">
        <v>16585</v>
      </c>
      <c r="N35" s="402">
        <v>0</v>
      </c>
      <c r="O35" s="137">
        <f t="shared" ref="O35:O57" si="2">IF(I35="CLT","N/A",(L35*(M35/12)*2))</f>
        <v>22113.333333333332</v>
      </c>
      <c r="P35" s="108">
        <f t="shared" ref="P35:P44" ca="1" si="3">IF(I35="contrato",AB35,AB35)</f>
        <v>78.684517045454541</v>
      </c>
      <c r="Q35" s="138">
        <f t="shared" ref="Q35:Q57" si="4">AE35+AF35</f>
        <v>0</v>
      </c>
      <c r="R35" s="138">
        <f t="shared" ref="R35:R57" si="5">AG35</f>
        <v>0</v>
      </c>
      <c r="S35" s="171">
        <f t="shared" ref="S35:S57" si="6">Q35*AL35</f>
        <v>0</v>
      </c>
      <c r="T35" s="138">
        <f t="shared" ref="T35:T57" si="7">R35*AN35</f>
        <v>0</v>
      </c>
      <c r="U35" s="111">
        <f t="shared" ref="U35:U57" ca="1" si="8">AW35*L35*J35</f>
        <v>0</v>
      </c>
      <c r="V35" s="172"/>
      <c r="W35" s="127"/>
      <c r="X35" s="127"/>
      <c r="Z35" s="107">
        <f t="shared" ref="Z35:Z57" si="9">IF(I35="CLT",(M35/220)*(1+encargos_mensalista),(M35/220))</f>
        <v>75.38636363636364</v>
      </c>
      <c r="AA35" s="107">
        <f>Z35*(1+K35)</f>
        <v>75.38636363636364</v>
      </c>
      <c r="AB35" s="108">
        <f t="shared" ref="AB35:AB57" ca="1" si="10">AA35*(1+((incidência_do_dissídio/meses_obra)*dissídio_coletivo))</f>
        <v>78.684517045454541</v>
      </c>
      <c r="AC35" s="108">
        <f t="shared" ref="AC35:AC57" ca="1" si="11">AB35*(1+(ociosidade_por_dia/9))</f>
        <v>78.684517045454541</v>
      </c>
      <c r="AD35" s="260"/>
      <c r="AE35" s="139">
        <f t="shared" ref="AE35:AE57" si="12">IF(I35="contrato",0,$N$11*$Q$11*$K$11)</f>
        <v>0</v>
      </c>
      <c r="AF35" s="139">
        <f t="shared" ref="AF35:AF57" si="13">IF(I35="contrato",0,$N$12*$Q$12*$K$12)</f>
        <v>0</v>
      </c>
      <c r="AG35" s="139">
        <f t="shared" ref="AG35:AG57" si="14">IF(I35="contrato",0,$N$13*$Q$13*$K$13)</f>
        <v>0</v>
      </c>
      <c r="AH35" s="139">
        <f t="shared" ref="AH35:AH57" si="15">IF(I35="contrato",0,$N$14*$Q$14*$K$14)</f>
        <v>0</v>
      </c>
      <c r="AI35" s="139">
        <f t="shared" ref="AI35:AI57" si="16">IF(I35="contrato",0,$N$14*$Q$15*$K$15)</f>
        <v>0</v>
      </c>
      <c r="AJ35" s="139">
        <f t="shared" ref="AJ35:AJ57" si="17">IF(I35="contrato",0,$N$14*$Q$16*$K$16)</f>
        <v>0</v>
      </c>
      <c r="AL35" s="107">
        <f t="shared" ref="AL35:AL57" si="18">IF(I35="contrato",0,ROUNDUP((M35/220)*(1+$AA$14)*(1+hora_extra_dias_úteis),2))</f>
        <v>0</v>
      </c>
      <c r="AM35" s="107">
        <f t="shared" ref="AM35:AM57" si="19">IF(I35="contrato",0,ROUNDUP((M35/220)*(1+$AA$14)*(1+hora_extra_sábados),2))</f>
        <v>0</v>
      </c>
      <c r="AN35" s="107">
        <f t="shared" ref="AN35:AN57" si="20">IF(I35="contrato",0,ROUNDUP((M35/220)*(1+$AA$14)*(1+hora_extra_domingos),2))</f>
        <v>0</v>
      </c>
      <c r="AO35" s="107">
        <f t="shared" ref="AO35:AO57" si="21">IF(I35="contrato",0,ROUNDUP(AL35*(1+adicional_noturno),2))</f>
        <v>0</v>
      </c>
      <c r="AP35" s="107">
        <f t="shared" ref="AP35:AP57" si="22">IF(I35="contrato",0,ROUNDUP(AM35*(1+adicional_noturno),2))</f>
        <v>0</v>
      </c>
      <c r="AQ35" s="107">
        <f t="shared" ref="AQ35:AQ57" si="23">IF(I35="contrato",0,ROUNDUP(AN35*(1+adicional_noturno),2))</f>
        <v>0</v>
      </c>
      <c r="AS35" s="147">
        <f>IF(H35="Coordenação",0,L35*J35)</f>
        <v>0</v>
      </c>
      <c r="AT35" s="614">
        <f>IF(H35="Coordenação",L35*J35,0)</f>
        <v>0</v>
      </c>
      <c r="AV35" s="110">
        <f t="shared" ref="AV35:AV57" ca="1" si="24">IF(I35="CLT",IF(L35=0,0,P35*220+N35),(P35*220+N35+(O35/meses_obra)))</f>
        <v>20074.760416666668</v>
      </c>
      <c r="AW35" s="110">
        <f t="shared" ref="AW35:AW57" ca="1" si="25">IF(I35="CLT",IF(L35=0,0,((P35*220)+(AE35*AL35)+(AF35*AM35)+(AG35*AN35)+(AH35*AO35)+(AI35*AP35)+(AJ35*AQ35)+N35)),AV35)</f>
        <v>20074.760416666668</v>
      </c>
      <c r="AX35" s="110">
        <f t="shared" ref="AX35:AX57" ca="1" si="26">AV35*L35*J35</f>
        <v>0</v>
      </c>
    </row>
    <row r="36" spans="1:50" ht="15.75" customHeight="1" outlineLevel="1">
      <c r="A36" s="507">
        <v>2</v>
      </c>
      <c r="B36" s="507"/>
      <c r="C36" s="507"/>
      <c r="D36" s="135" t="s">
        <v>561</v>
      </c>
      <c r="E36" s="1308" t="s">
        <v>97</v>
      </c>
      <c r="F36" s="1309"/>
      <c r="G36" s="1310"/>
      <c r="H36" s="104" t="s">
        <v>238</v>
      </c>
      <c r="I36" s="400" t="s">
        <v>807</v>
      </c>
      <c r="J36" s="409"/>
      <c r="K36" s="405"/>
      <c r="L36" s="408">
        <f t="shared" si="1"/>
        <v>8</v>
      </c>
      <c r="M36" s="403">
        <v>10000</v>
      </c>
      <c r="N36" s="403">
        <v>0</v>
      </c>
      <c r="O36" s="106">
        <f t="shared" si="2"/>
        <v>13333.333333333334</v>
      </c>
      <c r="P36" s="108">
        <f t="shared" ca="1" si="3"/>
        <v>47.443181818181813</v>
      </c>
      <c r="Q36" s="138">
        <f t="shared" si="4"/>
        <v>0</v>
      </c>
      <c r="R36" s="138">
        <f t="shared" si="5"/>
        <v>0</v>
      </c>
      <c r="S36" s="171">
        <f t="shared" si="6"/>
        <v>0</v>
      </c>
      <c r="T36" s="138">
        <f t="shared" si="7"/>
        <v>0</v>
      </c>
      <c r="U36" s="111">
        <f t="shared" ca="1" si="8"/>
        <v>0</v>
      </c>
      <c r="V36" s="172"/>
      <c r="W36" s="173"/>
      <c r="X36" s="127"/>
      <c r="Z36" s="107">
        <f t="shared" si="9"/>
        <v>45.454545454545453</v>
      </c>
      <c r="AA36" s="107">
        <f>Z36*(1+K36)</f>
        <v>45.454545454545453</v>
      </c>
      <c r="AB36" s="108">
        <f t="shared" ca="1" si="10"/>
        <v>47.443181818181813</v>
      </c>
      <c r="AC36" s="108">
        <f t="shared" ca="1" si="11"/>
        <v>47.443181818181813</v>
      </c>
      <c r="AD36" s="260"/>
      <c r="AE36" s="109">
        <f t="shared" si="12"/>
        <v>0</v>
      </c>
      <c r="AF36" s="109">
        <f t="shared" si="13"/>
        <v>0</v>
      </c>
      <c r="AG36" s="109">
        <f t="shared" si="14"/>
        <v>0</v>
      </c>
      <c r="AH36" s="109">
        <f t="shared" si="15"/>
        <v>0</v>
      </c>
      <c r="AI36" s="109">
        <f t="shared" si="16"/>
        <v>0</v>
      </c>
      <c r="AJ36" s="109">
        <f t="shared" si="17"/>
        <v>0</v>
      </c>
      <c r="AL36" s="107">
        <f t="shared" si="18"/>
        <v>0</v>
      </c>
      <c r="AM36" s="107">
        <f t="shared" si="19"/>
        <v>0</v>
      </c>
      <c r="AN36" s="107">
        <f t="shared" si="20"/>
        <v>0</v>
      </c>
      <c r="AO36" s="107">
        <f t="shared" si="21"/>
        <v>0</v>
      </c>
      <c r="AP36" s="107">
        <f t="shared" si="22"/>
        <v>0</v>
      </c>
      <c r="AQ36" s="107">
        <f t="shared" si="23"/>
        <v>0</v>
      </c>
      <c r="AS36" s="147">
        <f t="shared" ref="AS36:AS57" si="27">IF(H36="Coordenação",0,L36*J36)</f>
        <v>0</v>
      </c>
      <c r="AT36" s="614">
        <f t="shared" ref="AT36:AT57" si="28">IF(H36="Coordenação",L36*J36,0)</f>
        <v>0</v>
      </c>
      <c r="AV36" s="110">
        <f t="shared" ca="1" si="24"/>
        <v>12104.166666666664</v>
      </c>
      <c r="AW36" s="110">
        <f t="shared" ca="1" si="25"/>
        <v>12104.166666666664</v>
      </c>
      <c r="AX36" s="110">
        <f t="shared" ca="1" si="26"/>
        <v>0</v>
      </c>
    </row>
    <row r="37" spans="1:50" ht="15.75" customHeight="1" outlineLevel="1">
      <c r="A37" s="507">
        <v>2</v>
      </c>
      <c r="B37" s="507"/>
      <c r="C37" s="507"/>
      <c r="D37" s="135" t="s">
        <v>562</v>
      </c>
      <c r="E37" s="1308" t="s">
        <v>2063</v>
      </c>
      <c r="F37" s="1309"/>
      <c r="G37" s="1310"/>
      <c r="H37" s="104" t="s">
        <v>238</v>
      </c>
      <c r="I37" s="400" t="s">
        <v>807</v>
      </c>
      <c r="J37" s="309"/>
      <c r="K37" s="405"/>
      <c r="L37" s="408">
        <f t="shared" si="1"/>
        <v>8</v>
      </c>
      <c r="M37" s="403">
        <v>10000</v>
      </c>
      <c r="N37" s="403">
        <v>0</v>
      </c>
      <c r="O37" s="106">
        <f t="shared" si="2"/>
        <v>13333.333333333334</v>
      </c>
      <c r="P37" s="108">
        <f t="shared" ca="1" si="3"/>
        <v>47.443181818181813</v>
      </c>
      <c r="Q37" s="138">
        <f t="shared" si="4"/>
        <v>0</v>
      </c>
      <c r="R37" s="138">
        <f t="shared" si="5"/>
        <v>0</v>
      </c>
      <c r="S37" s="171">
        <f t="shared" si="6"/>
        <v>0</v>
      </c>
      <c r="T37" s="138">
        <f t="shared" si="7"/>
        <v>0</v>
      </c>
      <c r="U37" s="111">
        <f t="shared" ca="1" si="8"/>
        <v>0</v>
      </c>
      <c r="V37" s="172"/>
      <c r="W37" s="172"/>
      <c r="X37" s="49"/>
      <c r="Z37" s="107">
        <f t="shared" si="9"/>
        <v>45.454545454545453</v>
      </c>
      <c r="AA37" s="107">
        <f t="shared" ref="AA37:AA57" si="29">Z37*(1+K37)</f>
        <v>45.454545454545453</v>
      </c>
      <c r="AB37" s="108">
        <f t="shared" ca="1" si="10"/>
        <v>47.443181818181813</v>
      </c>
      <c r="AC37" s="108">
        <f t="shared" ca="1" si="11"/>
        <v>47.443181818181813</v>
      </c>
      <c r="AD37" s="260"/>
      <c r="AE37" s="109">
        <f t="shared" si="12"/>
        <v>0</v>
      </c>
      <c r="AF37" s="109">
        <f t="shared" si="13"/>
        <v>0</v>
      </c>
      <c r="AG37" s="109">
        <f t="shared" si="14"/>
        <v>0</v>
      </c>
      <c r="AH37" s="109">
        <f t="shared" si="15"/>
        <v>0</v>
      </c>
      <c r="AI37" s="109">
        <f t="shared" si="16"/>
        <v>0</v>
      </c>
      <c r="AJ37" s="109">
        <f t="shared" si="17"/>
        <v>0</v>
      </c>
      <c r="AL37" s="107">
        <f t="shared" si="18"/>
        <v>0</v>
      </c>
      <c r="AM37" s="107">
        <f t="shared" si="19"/>
        <v>0</v>
      </c>
      <c r="AN37" s="107">
        <f t="shared" si="20"/>
        <v>0</v>
      </c>
      <c r="AO37" s="107">
        <f t="shared" si="21"/>
        <v>0</v>
      </c>
      <c r="AP37" s="107">
        <f t="shared" si="22"/>
        <v>0</v>
      </c>
      <c r="AQ37" s="107">
        <f t="shared" si="23"/>
        <v>0</v>
      </c>
      <c r="AS37" s="147">
        <f t="shared" si="27"/>
        <v>0</v>
      </c>
      <c r="AT37" s="614">
        <f t="shared" si="28"/>
        <v>0</v>
      </c>
      <c r="AV37" s="110">
        <f t="shared" ca="1" si="24"/>
        <v>12104.166666666664</v>
      </c>
      <c r="AW37" s="110">
        <f t="shared" ca="1" si="25"/>
        <v>12104.166666666664</v>
      </c>
      <c r="AX37" s="110">
        <f t="shared" ca="1" si="26"/>
        <v>0</v>
      </c>
    </row>
    <row r="38" spans="1:50" ht="15.75" customHeight="1" outlineLevel="1">
      <c r="A38" s="507">
        <v>2</v>
      </c>
      <c r="B38" s="507"/>
      <c r="C38" s="507"/>
      <c r="D38" s="135" t="s">
        <v>563</v>
      </c>
      <c r="E38" s="1308" t="s">
        <v>95</v>
      </c>
      <c r="F38" s="1309"/>
      <c r="G38" s="1310"/>
      <c r="H38" s="104" t="s">
        <v>238</v>
      </c>
      <c r="I38" s="400" t="s">
        <v>807</v>
      </c>
      <c r="J38" s="341">
        <v>1</v>
      </c>
      <c r="K38" s="410"/>
      <c r="L38" s="408">
        <f t="shared" si="1"/>
        <v>8</v>
      </c>
      <c r="M38" s="403">
        <v>8000</v>
      </c>
      <c r="N38" s="403">
        <v>0</v>
      </c>
      <c r="O38" s="106">
        <f>IF(I38="CLT","N/A",(L38*(M38/12)*2))</f>
        <v>10666.666666666666</v>
      </c>
      <c r="P38" s="108">
        <f ca="1">IF(I38="contrato",AB38,AB38)</f>
        <v>37.954545454545453</v>
      </c>
      <c r="Q38" s="138">
        <f t="shared" si="4"/>
        <v>0</v>
      </c>
      <c r="R38" s="138">
        <f t="shared" si="5"/>
        <v>0</v>
      </c>
      <c r="S38" s="171">
        <f t="shared" si="6"/>
        <v>0</v>
      </c>
      <c r="T38" s="138">
        <f t="shared" si="7"/>
        <v>0</v>
      </c>
      <c r="U38" s="111">
        <f t="shared" ca="1" si="8"/>
        <v>77466.666666666672</v>
      </c>
      <c r="V38" s="172"/>
      <c r="W38" s="49"/>
      <c r="X38" s="49"/>
      <c r="Z38" s="107">
        <f t="shared" si="9"/>
        <v>36.363636363636367</v>
      </c>
      <c r="AA38" s="107">
        <f t="shared" si="29"/>
        <v>36.363636363636367</v>
      </c>
      <c r="AB38" s="108">
        <f t="shared" ca="1" si="10"/>
        <v>37.954545454545453</v>
      </c>
      <c r="AC38" s="108">
        <f t="shared" ca="1" si="11"/>
        <v>37.954545454545453</v>
      </c>
      <c r="AD38" s="280"/>
      <c r="AE38" s="109">
        <f t="shared" si="12"/>
        <v>0</v>
      </c>
      <c r="AF38" s="109">
        <f t="shared" si="13"/>
        <v>0</v>
      </c>
      <c r="AG38" s="109">
        <f t="shared" si="14"/>
        <v>0</v>
      </c>
      <c r="AH38" s="109">
        <f t="shared" si="15"/>
        <v>0</v>
      </c>
      <c r="AI38" s="109">
        <f t="shared" si="16"/>
        <v>0</v>
      </c>
      <c r="AJ38" s="109">
        <f t="shared" si="17"/>
        <v>0</v>
      </c>
      <c r="AL38" s="107">
        <f t="shared" si="18"/>
        <v>0</v>
      </c>
      <c r="AM38" s="107">
        <f t="shared" si="19"/>
        <v>0</v>
      </c>
      <c r="AN38" s="107">
        <f t="shared" si="20"/>
        <v>0</v>
      </c>
      <c r="AO38" s="107">
        <f t="shared" si="21"/>
        <v>0</v>
      </c>
      <c r="AP38" s="107">
        <f t="shared" si="22"/>
        <v>0</v>
      </c>
      <c r="AQ38" s="107">
        <f t="shared" si="23"/>
        <v>0</v>
      </c>
      <c r="AS38" s="147">
        <f t="shared" si="27"/>
        <v>0</v>
      </c>
      <c r="AT38" s="614">
        <f t="shared" si="28"/>
        <v>8</v>
      </c>
      <c r="AV38" s="110">
        <f t="shared" ca="1" si="24"/>
        <v>9683.3333333333339</v>
      </c>
      <c r="AW38" s="110">
        <f t="shared" ca="1" si="25"/>
        <v>9683.3333333333339</v>
      </c>
      <c r="AX38" s="110">
        <f t="shared" ca="1" si="26"/>
        <v>77466.666666666672</v>
      </c>
    </row>
    <row r="39" spans="1:50" ht="15.75" customHeight="1" outlineLevel="1">
      <c r="A39" s="507">
        <v>2</v>
      </c>
      <c r="B39" s="507"/>
      <c r="C39" s="507"/>
      <c r="D39" s="135" t="s">
        <v>564</v>
      </c>
      <c r="E39" s="1308" t="s">
        <v>96</v>
      </c>
      <c r="F39" s="1309"/>
      <c r="G39" s="1310"/>
      <c r="H39" s="104" t="s">
        <v>238</v>
      </c>
      <c r="I39" s="400" t="s">
        <v>807</v>
      </c>
      <c r="J39" s="341"/>
      <c r="K39" s="405"/>
      <c r="L39" s="408">
        <f t="shared" si="1"/>
        <v>8</v>
      </c>
      <c r="M39" s="403">
        <v>6000</v>
      </c>
      <c r="N39" s="403">
        <v>0</v>
      </c>
      <c r="O39" s="106">
        <f t="shared" si="2"/>
        <v>8000</v>
      </c>
      <c r="P39" s="108">
        <f t="shared" ca="1" si="3"/>
        <v>28.46590909090909</v>
      </c>
      <c r="Q39" s="138">
        <f t="shared" si="4"/>
        <v>0</v>
      </c>
      <c r="R39" s="138">
        <f t="shared" si="5"/>
        <v>0</v>
      </c>
      <c r="S39" s="171">
        <f t="shared" si="6"/>
        <v>0</v>
      </c>
      <c r="T39" s="138">
        <f t="shared" si="7"/>
        <v>0</v>
      </c>
      <c r="U39" s="111">
        <f t="shared" ca="1" si="8"/>
        <v>0</v>
      </c>
      <c r="V39" s="172"/>
      <c r="W39" s="49"/>
      <c r="X39" s="49"/>
      <c r="Z39" s="107">
        <f t="shared" si="9"/>
        <v>27.272727272727273</v>
      </c>
      <c r="AA39" s="107">
        <f t="shared" si="29"/>
        <v>27.272727272727273</v>
      </c>
      <c r="AB39" s="108">
        <f t="shared" ca="1" si="10"/>
        <v>28.46590909090909</v>
      </c>
      <c r="AC39" s="108">
        <f t="shared" ca="1" si="11"/>
        <v>28.46590909090909</v>
      </c>
      <c r="AD39" s="127"/>
      <c r="AE39" s="109">
        <f t="shared" si="12"/>
        <v>0</v>
      </c>
      <c r="AF39" s="109">
        <f t="shared" si="13"/>
        <v>0</v>
      </c>
      <c r="AG39" s="109">
        <f t="shared" si="14"/>
        <v>0</v>
      </c>
      <c r="AH39" s="109">
        <f t="shared" si="15"/>
        <v>0</v>
      </c>
      <c r="AI39" s="109">
        <f t="shared" si="16"/>
        <v>0</v>
      </c>
      <c r="AJ39" s="109">
        <f t="shared" si="17"/>
        <v>0</v>
      </c>
      <c r="AL39" s="107">
        <f t="shared" si="18"/>
        <v>0</v>
      </c>
      <c r="AM39" s="107">
        <f t="shared" si="19"/>
        <v>0</v>
      </c>
      <c r="AN39" s="107">
        <f t="shared" si="20"/>
        <v>0</v>
      </c>
      <c r="AO39" s="107">
        <f t="shared" si="21"/>
        <v>0</v>
      </c>
      <c r="AP39" s="107">
        <f t="shared" si="22"/>
        <v>0</v>
      </c>
      <c r="AQ39" s="107">
        <f t="shared" si="23"/>
        <v>0</v>
      </c>
      <c r="AS39" s="147">
        <f t="shared" si="27"/>
        <v>0</v>
      </c>
      <c r="AT39" s="614">
        <f t="shared" si="28"/>
        <v>0</v>
      </c>
      <c r="AV39" s="110">
        <f t="shared" ca="1" si="24"/>
        <v>7262.5</v>
      </c>
      <c r="AW39" s="110">
        <f t="shared" ca="1" si="25"/>
        <v>7262.5</v>
      </c>
      <c r="AX39" s="110">
        <f t="shared" ca="1" si="26"/>
        <v>0</v>
      </c>
    </row>
    <row r="40" spans="1:50" ht="15.75" customHeight="1" outlineLevel="1">
      <c r="A40" s="507">
        <v>2</v>
      </c>
      <c r="B40" s="507"/>
      <c r="C40" s="507"/>
      <c r="D40" s="135" t="s">
        <v>565</v>
      </c>
      <c r="E40" s="1308" t="s">
        <v>57</v>
      </c>
      <c r="F40" s="1309"/>
      <c r="G40" s="1310"/>
      <c r="H40" s="104" t="s">
        <v>238</v>
      </c>
      <c r="I40" s="400" t="s">
        <v>807</v>
      </c>
      <c r="J40" s="409"/>
      <c r="K40" s="405"/>
      <c r="L40" s="408">
        <f t="shared" si="1"/>
        <v>8</v>
      </c>
      <c r="M40" s="403">
        <v>16050.000000000002</v>
      </c>
      <c r="N40" s="403">
        <v>0</v>
      </c>
      <c r="O40" s="106">
        <f t="shared" si="2"/>
        <v>21400.000000000004</v>
      </c>
      <c r="P40" s="108">
        <f t="shared" ca="1" si="3"/>
        <v>76.146306818181827</v>
      </c>
      <c r="Q40" s="138">
        <f t="shared" si="4"/>
        <v>0</v>
      </c>
      <c r="R40" s="138">
        <f t="shared" si="5"/>
        <v>0</v>
      </c>
      <c r="S40" s="171">
        <f t="shared" si="6"/>
        <v>0</v>
      </c>
      <c r="T40" s="138">
        <f t="shared" si="7"/>
        <v>0</v>
      </c>
      <c r="U40" s="111">
        <f t="shared" ca="1" si="8"/>
        <v>0</v>
      </c>
      <c r="V40" s="172"/>
      <c r="W40" s="49"/>
      <c r="X40" s="49"/>
      <c r="Z40" s="107">
        <f t="shared" si="9"/>
        <v>72.954545454545467</v>
      </c>
      <c r="AA40" s="107">
        <f t="shared" si="29"/>
        <v>72.954545454545467</v>
      </c>
      <c r="AB40" s="108">
        <f t="shared" ca="1" si="10"/>
        <v>76.146306818181827</v>
      </c>
      <c r="AC40" s="108">
        <f t="shared" ca="1" si="11"/>
        <v>76.146306818181827</v>
      </c>
      <c r="AD40" s="127"/>
      <c r="AE40" s="109">
        <f t="shared" si="12"/>
        <v>0</v>
      </c>
      <c r="AF40" s="109">
        <f t="shared" si="13"/>
        <v>0</v>
      </c>
      <c r="AG40" s="109">
        <f t="shared" si="14"/>
        <v>0</v>
      </c>
      <c r="AH40" s="109">
        <f t="shared" si="15"/>
        <v>0</v>
      </c>
      <c r="AI40" s="109">
        <f t="shared" si="16"/>
        <v>0</v>
      </c>
      <c r="AJ40" s="109">
        <f t="shared" si="17"/>
        <v>0</v>
      </c>
      <c r="AL40" s="107">
        <f t="shared" si="18"/>
        <v>0</v>
      </c>
      <c r="AM40" s="107">
        <f t="shared" si="19"/>
        <v>0</v>
      </c>
      <c r="AN40" s="107">
        <f t="shared" si="20"/>
        <v>0</v>
      </c>
      <c r="AO40" s="107">
        <f t="shared" si="21"/>
        <v>0</v>
      </c>
      <c r="AP40" s="107">
        <f t="shared" si="22"/>
        <v>0</v>
      </c>
      <c r="AQ40" s="107">
        <f t="shared" si="23"/>
        <v>0</v>
      </c>
      <c r="AS40" s="147">
        <f t="shared" si="27"/>
        <v>0</v>
      </c>
      <c r="AT40" s="614">
        <f t="shared" si="28"/>
        <v>0</v>
      </c>
      <c r="AV40" s="110">
        <f t="shared" ca="1" si="24"/>
        <v>19427.187500000004</v>
      </c>
      <c r="AW40" s="110">
        <f t="shared" ca="1" si="25"/>
        <v>19427.187500000004</v>
      </c>
      <c r="AX40" s="110">
        <f t="shared" ca="1" si="26"/>
        <v>0</v>
      </c>
    </row>
    <row r="41" spans="1:50" ht="15.75" customHeight="1" outlineLevel="1">
      <c r="A41" s="507">
        <v>2</v>
      </c>
      <c r="B41" s="507"/>
      <c r="C41" s="507"/>
      <c r="D41" s="135" t="s">
        <v>566</v>
      </c>
      <c r="E41" s="1308" t="s">
        <v>42</v>
      </c>
      <c r="F41" s="1309"/>
      <c r="G41" s="1310"/>
      <c r="H41" s="104" t="s">
        <v>238</v>
      </c>
      <c r="I41" s="400" t="s">
        <v>807</v>
      </c>
      <c r="J41" s="409"/>
      <c r="K41" s="405"/>
      <c r="L41" s="408">
        <f t="shared" si="1"/>
        <v>8</v>
      </c>
      <c r="M41" s="403">
        <v>16050.000000000002</v>
      </c>
      <c r="N41" s="403">
        <v>0</v>
      </c>
      <c r="O41" s="106">
        <f t="shared" si="2"/>
        <v>21400.000000000004</v>
      </c>
      <c r="P41" s="108">
        <f t="shared" ca="1" si="3"/>
        <v>76.146306818181827</v>
      </c>
      <c r="Q41" s="138">
        <f t="shared" si="4"/>
        <v>0</v>
      </c>
      <c r="R41" s="138">
        <f t="shared" si="5"/>
        <v>0</v>
      </c>
      <c r="S41" s="171">
        <f t="shared" si="6"/>
        <v>0</v>
      </c>
      <c r="T41" s="138">
        <f t="shared" si="7"/>
        <v>0</v>
      </c>
      <c r="U41" s="111">
        <f t="shared" ca="1" si="8"/>
        <v>0</v>
      </c>
      <c r="V41" s="172"/>
      <c r="W41" s="49"/>
      <c r="X41" s="49"/>
      <c r="Z41" s="107">
        <f t="shared" si="9"/>
        <v>72.954545454545467</v>
      </c>
      <c r="AA41" s="107">
        <f t="shared" si="29"/>
        <v>72.954545454545467</v>
      </c>
      <c r="AB41" s="108">
        <f t="shared" ca="1" si="10"/>
        <v>76.146306818181827</v>
      </c>
      <c r="AC41" s="108">
        <f t="shared" ca="1" si="11"/>
        <v>76.146306818181827</v>
      </c>
      <c r="AD41" s="127"/>
      <c r="AE41" s="109">
        <f t="shared" si="12"/>
        <v>0</v>
      </c>
      <c r="AF41" s="109">
        <f t="shared" si="13"/>
        <v>0</v>
      </c>
      <c r="AG41" s="109">
        <f t="shared" si="14"/>
        <v>0</v>
      </c>
      <c r="AH41" s="109">
        <f t="shared" si="15"/>
        <v>0</v>
      </c>
      <c r="AI41" s="109">
        <f t="shared" si="16"/>
        <v>0</v>
      </c>
      <c r="AJ41" s="109">
        <f t="shared" si="17"/>
        <v>0</v>
      </c>
      <c r="AL41" s="107">
        <f t="shared" si="18"/>
        <v>0</v>
      </c>
      <c r="AM41" s="107">
        <f t="shared" si="19"/>
        <v>0</v>
      </c>
      <c r="AN41" s="107">
        <f t="shared" si="20"/>
        <v>0</v>
      </c>
      <c r="AO41" s="107">
        <f t="shared" si="21"/>
        <v>0</v>
      </c>
      <c r="AP41" s="107">
        <f t="shared" si="22"/>
        <v>0</v>
      </c>
      <c r="AQ41" s="107">
        <f t="shared" si="23"/>
        <v>0</v>
      </c>
      <c r="AS41" s="147">
        <f t="shared" si="27"/>
        <v>0</v>
      </c>
      <c r="AT41" s="614">
        <f t="shared" si="28"/>
        <v>0</v>
      </c>
      <c r="AV41" s="110">
        <f t="shared" ca="1" si="24"/>
        <v>19427.187500000004</v>
      </c>
      <c r="AW41" s="110">
        <f t="shared" ca="1" si="25"/>
        <v>19427.187500000004</v>
      </c>
      <c r="AX41" s="110">
        <f t="shared" ca="1" si="26"/>
        <v>0</v>
      </c>
    </row>
    <row r="42" spans="1:50" ht="15.75" customHeight="1" outlineLevel="1">
      <c r="A42" s="507">
        <v>2</v>
      </c>
      <c r="B42" s="507"/>
      <c r="C42" s="507"/>
      <c r="D42" s="135" t="s">
        <v>567</v>
      </c>
      <c r="E42" s="1308" t="s">
        <v>44</v>
      </c>
      <c r="F42" s="1309"/>
      <c r="G42" s="1310"/>
      <c r="H42" s="104" t="s">
        <v>237</v>
      </c>
      <c r="I42" s="400" t="s">
        <v>807</v>
      </c>
      <c r="J42" s="409"/>
      <c r="K42" s="405"/>
      <c r="L42" s="408">
        <f t="shared" si="1"/>
        <v>8</v>
      </c>
      <c r="M42" s="403">
        <v>12840</v>
      </c>
      <c r="N42" s="403">
        <v>0</v>
      </c>
      <c r="O42" s="106">
        <f t="shared" si="2"/>
        <v>17120</v>
      </c>
      <c r="P42" s="108">
        <f t="shared" ca="1" si="3"/>
        <v>60.917045454545452</v>
      </c>
      <c r="Q42" s="138">
        <f t="shared" si="4"/>
        <v>0</v>
      </c>
      <c r="R42" s="138">
        <f t="shared" si="5"/>
        <v>0</v>
      </c>
      <c r="S42" s="171">
        <f t="shared" si="6"/>
        <v>0</v>
      </c>
      <c r="T42" s="138">
        <f t="shared" si="7"/>
        <v>0</v>
      </c>
      <c r="U42" s="111">
        <f t="shared" ca="1" si="8"/>
        <v>0</v>
      </c>
      <c r="V42" s="172"/>
      <c r="W42" s="49"/>
      <c r="X42" s="49"/>
      <c r="Z42" s="107">
        <f t="shared" si="9"/>
        <v>58.363636363636367</v>
      </c>
      <c r="AA42" s="107">
        <f t="shared" si="29"/>
        <v>58.363636363636367</v>
      </c>
      <c r="AB42" s="108">
        <f t="shared" ca="1" si="10"/>
        <v>60.917045454545452</v>
      </c>
      <c r="AC42" s="108">
        <f t="shared" ca="1" si="11"/>
        <v>60.917045454545452</v>
      </c>
      <c r="AD42" s="127"/>
      <c r="AE42" s="109">
        <f t="shared" si="12"/>
        <v>0</v>
      </c>
      <c r="AF42" s="109">
        <f t="shared" si="13"/>
        <v>0</v>
      </c>
      <c r="AG42" s="109">
        <f t="shared" si="14"/>
        <v>0</v>
      </c>
      <c r="AH42" s="109">
        <f t="shared" si="15"/>
        <v>0</v>
      </c>
      <c r="AI42" s="109">
        <f t="shared" si="16"/>
        <v>0</v>
      </c>
      <c r="AJ42" s="109">
        <f t="shared" si="17"/>
        <v>0</v>
      </c>
      <c r="AL42" s="107">
        <f t="shared" si="18"/>
        <v>0</v>
      </c>
      <c r="AM42" s="107">
        <f t="shared" si="19"/>
        <v>0</v>
      </c>
      <c r="AN42" s="107">
        <f t="shared" si="20"/>
        <v>0</v>
      </c>
      <c r="AO42" s="107">
        <f t="shared" si="21"/>
        <v>0</v>
      </c>
      <c r="AP42" s="107">
        <f t="shared" si="22"/>
        <v>0</v>
      </c>
      <c r="AQ42" s="107">
        <f t="shared" si="23"/>
        <v>0</v>
      </c>
      <c r="AS42" s="147">
        <f t="shared" si="27"/>
        <v>0</v>
      </c>
      <c r="AT42" s="614">
        <f t="shared" si="28"/>
        <v>0</v>
      </c>
      <c r="AV42" s="110">
        <f t="shared" ca="1" si="24"/>
        <v>15541.75</v>
      </c>
      <c r="AW42" s="110">
        <f t="shared" ca="1" si="25"/>
        <v>15541.75</v>
      </c>
      <c r="AX42" s="110">
        <f t="shared" ca="1" si="26"/>
        <v>0</v>
      </c>
    </row>
    <row r="43" spans="1:50" ht="15.75" customHeight="1" outlineLevel="1">
      <c r="A43" s="507">
        <v>2</v>
      </c>
      <c r="B43" s="507"/>
      <c r="C43" s="507"/>
      <c r="D43" s="135" t="s">
        <v>568</v>
      </c>
      <c r="E43" s="1308" t="s">
        <v>45</v>
      </c>
      <c r="F43" s="1309"/>
      <c r="G43" s="1310"/>
      <c r="H43" s="104" t="s">
        <v>237</v>
      </c>
      <c r="I43" s="400" t="s">
        <v>807</v>
      </c>
      <c r="J43" s="409"/>
      <c r="K43" s="405"/>
      <c r="L43" s="408">
        <f t="shared" si="1"/>
        <v>8</v>
      </c>
      <c r="M43" s="403">
        <v>12840</v>
      </c>
      <c r="N43" s="403">
        <v>0</v>
      </c>
      <c r="O43" s="106">
        <f t="shared" si="2"/>
        <v>17120</v>
      </c>
      <c r="P43" s="108">
        <f t="shared" ca="1" si="3"/>
        <v>60.917045454545452</v>
      </c>
      <c r="Q43" s="138">
        <f t="shared" si="4"/>
        <v>0</v>
      </c>
      <c r="R43" s="138">
        <f t="shared" si="5"/>
        <v>0</v>
      </c>
      <c r="S43" s="171">
        <f t="shared" si="6"/>
        <v>0</v>
      </c>
      <c r="T43" s="138">
        <f t="shared" si="7"/>
        <v>0</v>
      </c>
      <c r="U43" s="111">
        <f t="shared" ca="1" si="8"/>
        <v>0</v>
      </c>
      <c r="V43" s="172"/>
      <c r="W43" s="49"/>
      <c r="X43" s="49"/>
      <c r="Z43" s="107">
        <f t="shared" si="9"/>
        <v>58.363636363636367</v>
      </c>
      <c r="AA43" s="107">
        <f t="shared" si="29"/>
        <v>58.363636363636367</v>
      </c>
      <c r="AB43" s="108">
        <f t="shared" ca="1" si="10"/>
        <v>60.917045454545452</v>
      </c>
      <c r="AC43" s="108">
        <f t="shared" ca="1" si="11"/>
        <v>60.917045454545452</v>
      </c>
      <c r="AD43" s="127"/>
      <c r="AE43" s="109">
        <f t="shared" si="12"/>
        <v>0</v>
      </c>
      <c r="AF43" s="109">
        <f t="shared" si="13"/>
        <v>0</v>
      </c>
      <c r="AG43" s="109">
        <f t="shared" si="14"/>
        <v>0</v>
      </c>
      <c r="AH43" s="109">
        <f t="shared" si="15"/>
        <v>0</v>
      </c>
      <c r="AI43" s="109">
        <f t="shared" si="16"/>
        <v>0</v>
      </c>
      <c r="AJ43" s="109">
        <f t="shared" si="17"/>
        <v>0</v>
      </c>
      <c r="AL43" s="107">
        <f t="shared" si="18"/>
        <v>0</v>
      </c>
      <c r="AM43" s="107">
        <f t="shared" si="19"/>
        <v>0</v>
      </c>
      <c r="AN43" s="107">
        <f t="shared" si="20"/>
        <v>0</v>
      </c>
      <c r="AO43" s="107">
        <f t="shared" si="21"/>
        <v>0</v>
      </c>
      <c r="AP43" s="107">
        <f t="shared" si="22"/>
        <v>0</v>
      </c>
      <c r="AQ43" s="107">
        <f t="shared" si="23"/>
        <v>0</v>
      </c>
      <c r="AS43" s="147">
        <f t="shared" si="27"/>
        <v>0</v>
      </c>
      <c r="AT43" s="614">
        <f t="shared" si="28"/>
        <v>0</v>
      </c>
      <c r="AV43" s="110">
        <f t="shared" ca="1" si="24"/>
        <v>15541.75</v>
      </c>
      <c r="AW43" s="110">
        <f t="shared" ca="1" si="25"/>
        <v>15541.75</v>
      </c>
      <c r="AX43" s="110">
        <f t="shared" ca="1" si="26"/>
        <v>0</v>
      </c>
    </row>
    <row r="44" spans="1:50" ht="15.75" customHeight="1" outlineLevel="1">
      <c r="A44" s="507">
        <v>2</v>
      </c>
      <c r="B44" s="507"/>
      <c r="C44" s="507"/>
      <c r="D44" s="135" t="s">
        <v>569</v>
      </c>
      <c r="E44" s="1308" t="s">
        <v>55</v>
      </c>
      <c r="F44" s="1309"/>
      <c r="G44" s="1310"/>
      <c r="H44" s="104" t="s">
        <v>237</v>
      </c>
      <c r="I44" s="400" t="s">
        <v>807</v>
      </c>
      <c r="J44" s="409"/>
      <c r="K44" s="405"/>
      <c r="L44" s="408">
        <f t="shared" si="1"/>
        <v>8</v>
      </c>
      <c r="M44" s="403">
        <v>12840</v>
      </c>
      <c r="N44" s="403">
        <v>0</v>
      </c>
      <c r="O44" s="106">
        <f t="shared" si="2"/>
        <v>17120</v>
      </c>
      <c r="P44" s="108">
        <f t="shared" ca="1" si="3"/>
        <v>60.917045454545452</v>
      </c>
      <c r="Q44" s="138">
        <f t="shared" si="4"/>
        <v>0</v>
      </c>
      <c r="R44" s="138">
        <f t="shared" si="5"/>
        <v>0</v>
      </c>
      <c r="S44" s="171">
        <f t="shared" si="6"/>
        <v>0</v>
      </c>
      <c r="T44" s="138">
        <f t="shared" si="7"/>
        <v>0</v>
      </c>
      <c r="U44" s="111">
        <f t="shared" ca="1" si="8"/>
        <v>0</v>
      </c>
      <c r="V44" s="172"/>
      <c r="W44" s="49"/>
      <c r="X44" s="49"/>
      <c r="Z44" s="107">
        <f t="shared" si="9"/>
        <v>58.363636363636367</v>
      </c>
      <c r="AA44" s="107">
        <f t="shared" si="29"/>
        <v>58.363636363636367</v>
      </c>
      <c r="AB44" s="108">
        <f t="shared" ca="1" si="10"/>
        <v>60.917045454545452</v>
      </c>
      <c r="AC44" s="108">
        <f t="shared" ca="1" si="11"/>
        <v>60.917045454545452</v>
      </c>
      <c r="AD44" s="127"/>
      <c r="AE44" s="109">
        <f t="shared" si="12"/>
        <v>0</v>
      </c>
      <c r="AF44" s="109">
        <f t="shared" si="13"/>
        <v>0</v>
      </c>
      <c r="AG44" s="109">
        <f t="shared" si="14"/>
        <v>0</v>
      </c>
      <c r="AH44" s="109">
        <f t="shared" si="15"/>
        <v>0</v>
      </c>
      <c r="AI44" s="109">
        <f t="shared" si="16"/>
        <v>0</v>
      </c>
      <c r="AJ44" s="109">
        <f t="shared" si="17"/>
        <v>0</v>
      </c>
      <c r="AL44" s="107">
        <f t="shared" si="18"/>
        <v>0</v>
      </c>
      <c r="AM44" s="107">
        <f t="shared" si="19"/>
        <v>0</v>
      </c>
      <c r="AN44" s="107">
        <f t="shared" si="20"/>
        <v>0</v>
      </c>
      <c r="AO44" s="107">
        <f t="shared" si="21"/>
        <v>0</v>
      </c>
      <c r="AP44" s="107">
        <f t="shared" si="22"/>
        <v>0</v>
      </c>
      <c r="AQ44" s="107">
        <f t="shared" si="23"/>
        <v>0</v>
      </c>
      <c r="AS44" s="147">
        <f t="shared" si="27"/>
        <v>0</v>
      </c>
      <c r="AT44" s="614">
        <f t="shared" si="28"/>
        <v>0</v>
      </c>
      <c r="AV44" s="110">
        <f t="shared" ca="1" si="24"/>
        <v>15541.75</v>
      </c>
      <c r="AW44" s="110">
        <f t="shared" ca="1" si="25"/>
        <v>15541.75</v>
      </c>
      <c r="AX44" s="110">
        <f t="shared" ca="1" si="26"/>
        <v>0</v>
      </c>
    </row>
    <row r="45" spans="1:50" ht="15.75" customHeight="1" outlineLevel="1">
      <c r="A45" s="507">
        <v>2</v>
      </c>
      <c r="B45" s="507"/>
      <c r="C45" s="507"/>
      <c r="D45" s="135" t="s">
        <v>570</v>
      </c>
      <c r="E45" s="1308" t="s">
        <v>46</v>
      </c>
      <c r="F45" s="1309"/>
      <c r="G45" s="1310"/>
      <c r="H45" s="104" t="s">
        <v>237</v>
      </c>
      <c r="I45" s="400" t="s">
        <v>807</v>
      </c>
      <c r="J45" s="409"/>
      <c r="K45" s="405"/>
      <c r="L45" s="408">
        <f t="shared" si="1"/>
        <v>8</v>
      </c>
      <c r="M45" s="403">
        <v>4000</v>
      </c>
      <c r="N45" s="403">
        <v>0</v>
      </c>
      <c r="O45" s="106">
        <f t="shared" si="2"/>
        <v>5333.333333333333</v>
      </c>
      <c r="P45" s="108">
        <f ca="1">IF(I45="contrato",AB45,AB45)</f>
        <v>18.977272727272727</v>
      </c>
      <c r="Q45" s="138">
        <f t="shared" si="4"/>
        <v>0</v>
      </c>
      <c r="R45" s="138">
        <f t="shared" si="5"/>
        <v>0</v>
      </c>
      <c r="S45" s="171">
        <f t="shared" si="6"/>
        <v>0</v>
      </c>
      <c r="T45" s="138">
        <f t="shared" si="7"/>
        <v>0</v>
      </c>
      <c r="U45" s="111">
        <f t="shared" ca="1" si="8"/>
        <v>0</v>
      </c>
      <c r="V45" s="172"/>
      <c r="W45" s="49"/>
      <c r="X45" s="49"/>
      <c r="Z45" s="107">
        <f t="shared" si="9"/>
        <v>18.181818181818183</v>
      </c>
      <c r="AA45" s="107">
        <f t="shared" si="29"/>
        <v>18.181818181818183</v>
      </c>
      <c r="AB45" s="108">
        <f t="shared" ca="1" si="10"/>
        <v>18.977272727272727</v>
      </c>
      <c r="AC45" s="108">
        <f t="shared" ca="1" si="11"/>
        <v>18.977272727272727</v>
      </c>
      <c r="AD45" s="127"/>
      <c r="AE45" s="109">
        <f t="shared" si="12"/>
        <v>0</v>
      </c>
      <c r="AF45" s="109">
        <f t="shared" si="13"/>
        <v>0</v>
      </c>
      <c r="AG45" s="109">
        <f t="shared" si="14"/>
        <v>0</v>
      </c>
      <c r="AH45" s="109">
        <f t="shared" si="15"/>
        <v>0</v>
      </c>
      <c r="AI45" s="109">
        <f t="shared" si="16"/>
        <v>0</v>
      </c>
      <c r="AJ45" s="109">
        <f t="shared" si="17"/>
        <v>0</v>
      </c>
      <c r="AL45" s="107">
        <f t="shared" si="18"/>
        <v>0</v>
      </c>
      <c r="AM45" s="107">
        <f t="shared" si="19"/>
        <v>0</v>
      </c>
      <c r="AN45" s="107">
        <f t="shared" si="20"/>
        <v>0</v>
      </c>
      <c r="AO45" s="107">
        <f t="shared" si="21"/>
        <v>0</v>
      </c>
      <c r="AP45" s="107">
        <f t="shared" si="22"/>
        <v>0</v>
      </c>
      <c r="AQ45" s="107">
        <f t="shared" si="23"/>
        <v>0</v>
      </c>
      <c r="AS45" s="147">
        <f t="shared" si="27"/>
        <v>0</v>
      </c>
      <c r="AT45" s="614">
        <f t="shared" si="28"/>
        <v>0</v>
      </c>
      <c r="AV45" s="110">
        <f t="shared" ca="1" si="24"/>
        <v>4841.666666666667</v>
      </c>
      <c r="AW45" s="110">
        <f t="shared" ca="1" si="25"/>
        <v>4841.666666666667</v>
      </c>
      <c r="AX45" s="110">
        <f t="shared" ca="1" si="26"/>
        <v>0</v>
      </c>
    </row>
    <row r="46" spans="1:50" ht="15.75" customHeight="1" outlineLevel="1">
      <c r="A46" s="507">
        <v>2</v>
      </c>
      <c r="B46" s="507"/>
      <c r="C46" s="507"/>
      <c r="D46" s="135" t="s">
        <v>571</v>
      </c>
      <c r="E46" s="1308" t="s">
        <v>47</v>
      </c>
      <c r="F46" s="1309"/>
      <c r="G46" s="1310"/>
      <c r="H46" s="104" t="s">
        <v>237</v>
      </c>
      <c r="I46" s="400" t="s">
        <v>199</v>
      </c>
      <c r="J46" s="409"/>
      <c r="K46" s="405"/>
      <c r="L46" s="408">
        <f t="shared" si="1"/>
        <v>8</v>
      </c>
      <c r="M46" s="403">
        <v>5885</v>
      </c>
      <c r="N46" s="403">
        <v>0</v>
      </c>
      <c r="O46" s="106" t="str">
        <f t="shared" si="2"/>
        <v>N/A</v>
      </c>
      <c r="P46" s="108">
        <f t="shared" ref="P46:P57" ca="1" si="30">IF(I46="contrato",AB46,AB46)</f>
        <v>59.383065300229987</v>
      </c>
      <c r="Q46" s="138">
        <f t="shared" si="4"/>
        <v>0</v>
      </c>
      <c r="R46" s="138">
        <f t="shared" si="5"/>
        <v>0</v>
      </c>
      <c r="S46" s="171">
        <f t="shared" si="6"/>
        <v>0</v>
      </c>
      <c r="T46" s="138">
        <f t="shared" si="7"/>
        <v>0</v>
      </c>
      <c r="U46" s="111">
        <f t="shared" ca="1" si="8"/>
        <v>0</v>
      </c>
      <c r="V46" s="172"/>
      <c r="W46" s="49"/>
      <c r="X46" s="49"/>
      <c r="Z46" s="107">
        <f t="shared" si="9"/>
        <v>56.893954778663463</v>
      </c>
      <c r="AA46" s="107">
        <f t="shared" si="29"/>
        <v>56.893954778663463</v>
      </c>
      <c r="AB46" s="108">
        <f t="shared" ca="1" si="10"/>
        <v>59.383065300229987</v>
      </c>
      <c r="AC46" s="108">
        <f t="shared" ca="1" si="11"/>
        <v>59.383065300229987</v>
      </c>
      <c r="AD46" s="127"/>
      <c r="AE46" s="109">
        <f t="shared" si="12"/>
        <v>0</v>
      </c>
      <c r="AF46" s="109">
        <f t="shared" si="13"/>
        <v>0</v>
      </c>
      <c r="AG46" s="109">
        <f t="shared" si="14"/>
        <v>0</v>
      </c>
      <c r="AH46" s="109">
        <f t="shared" si="15"/>
        <v>0</v>
      </c>
      <c r="AI46" s="109">
        <f t="shared" si="16"/>
        <v>0</v>
      </c>
      <c r="AJ46" s="109">
        <f t="shared" si="17"/>
        <v>0</v>
      </c>
      <c r="AL46" s="107">
        <f t="shared" si="18"/>
        <v>63.96</v>
      </c>
      <c r="AM46" s="107">
        <f t="shared" si="19"/>
        <v>63.96</v>
      </c>
      <c r="AN46" s="107">
        <f t="shared" si="20"/>
        <v>79.95</v>
      </c>
      <c r="AO46" s="107">
        <f t="shared" si="21"/>
        <v>76.760000000000005</v>
      </c>
      <c r="AP46" s="107">
        <f t="shared" si="22"/>
        <v>76.760000000000005</v>
      </c>
      <c r="AQ46" s="107">
        <f t="shared" si="23"/>
        <v>95.94</v>
      </c>
      <c r="AS46" s="147">
        <f t="shared" si="27"/>
        <v>0</v>
      </c>
      <c r="AT46" s="614">
        <f t="shared" si="28"/>
        <v>0</v>
      </c>
      <c r="AV46" s="110">
        <f t="shared" ca="1" si="24"/>
        <v>13064.274366050597</v>
      </c>
      <c r="AW46" s="110">
        <f t="shared" ca="1" si="25"/>
        <v>13064.274366050597</v>
      </c>
      <c r="AX46" s="110">
        <f t="shared" ca="1" si="26"/>
        <v>0</v>
      </c>
    </row>
    <row r="47" spans="1:50" ht="15.75" customHeight="1" outlineLevel="1">
      <c r="A47" s="507">
        <v>2</v>
      </c>
      <c r="B47" s="507"/>
      <c r="C47" s="507"/>
      <c r="D47" s="135" t="s">
        <v>572</v>
      </c>
      <c r="E47" s="1308" t="s">
        <v>56</v>
      </c>
      <c r="F47" s="1309"/>
      <c r="G47" s="1310"/>
      <c r="H47" s="104" t="s">
        <v>237</v>
      </c>
      <c r="I47" s="400" t="s">
        <v>199</v>
      </c>
      <c r="J47" s="409"/>
      <c r="K47" s="405"/>
      <c r="L47" s="408">
        <f t="shared" si="1"/>
        <v>8</v>
      </c>
      <c r="M47" s="403">
        <v>5885</v>
      </c>
      <c r="N47" s="403">
        <v>0</v>
      </c>
      <c r="O47" s="106" t="str">
        <f t="shared" si="2"/>
        <v>N/A</v>
      </c>
      <c r="P47" s="108">
        <f t="shared" ca="1" si="30"/>
        <v>59.383065300229987</v>
      </c>
      <c r="Q47" s="138">
        <f t="shared" si="4"/>
        <v>0</v>
      </c>
      <c r="R47" s="138">
        <f t="shared" si="5"/>
        <v>0</v>
      </c>
      <c r="S47" s="171">
        <f t="shared" si="6"/>
        <v>0</v>
      </c>
      <c r="T47" s="138">
        <f t="shared" si="7"/>
        <v>0</v>
      </c>
      <c r="U47" s="111">
        <f t="shared" ca="1" si="8"/>
        <v>0</v>
      </c>
      <c r="V47" s="172"/>
      <c r="W47" s="49"/>
      <c r="X47" s="49"/>
      <c r="Z47" s="107">
        <f t="shared" si="9"/>
        <v>56.893954778663463</v>
      </c>
      <c r="AA47" s="107">
        <f t="shared" si="29"/>
        <v>56.893954778663463</v>
      </c>
      <c r="AB47" s="108">
        <f t="shared" ca="1" si="10"/>
        <v>59.383065300229987</v>
      </c>
      <c r="AC47" s="108">
        <f t="shared" ca="1" si="11"/>
        <v>59.383065300229987</v>
      </c>
      <c r="AD47" s="127"/>
      <c r="AE47" s="109">
        <f t="shared" si="12"/>
        <v>0</v>
      </c>
      <c r="AF47" s="109">
        <f t="shared" si="13"/>
        <v>0</v>
      </c>
      <c r="AG47" s="109">
        <f t="shared" si="14"/>
        <v>0</v>
      </c>
      <c r="AH47" s="109">
        <f t="shared" si="15"/>
        <v>0</v>
      </c>
      <c r="AI47" s="109">
        <f t="shared" si="16"/>
        <v>0</v>
      </c>
      <c r="AJ47" s="109">
        <f t="shared" si="17"/>
        <v>0</v>
      </c>
      <c r="AL47" s="107">
        <f t="shared" si="18"/>
        <v>63.96</v>
      </c>
      <c r="AM47" s="107">
        <f t="shared" si="19"/>
        <v>63.96</v>
      </c>
      <c r="AN47" s="107">
        <f t="shared" si="20"/>
        <v>79.95</v>
      </c>
      <c r="AO47" s="107">
        <f t="shared" si="21"/>
        <v>76.760000000000005</v>
      </c>
      <c r="AP47" s="107">
        <f t="shared" si="22"/>
        <v>76.760000000000005</v>
      </c>
      <c r="AQ47" s="107">
        <f t="shared" si="23"/>
        <v>95.94</v>
      </c>
      <c r="AS47" s="147">
        <f t="shared" si="27"/>
        <v>0</v>
      </c>
      <c r="AT47" s="614">
        <f t="shared" si="28"/>
        <v>0</v>
      </c>
      <c r="AV47" s="110">
        <f t="shared" ca="1" si="24"/>
        <v>13064.274366050597</v>
      </c>
      <c r="AW47" s="110">
        <f t="shared" ca="1" si="25"/>
        <v>13064.274366050597</v>
      </c>
      <c r="AX47" s="110">
        <f t="shared" ca="1" si="26"/>
        <v>0</v>
      </c>
    </row>
    <row r="48" spans="1:50" ht="15.75" customHeight="1" outlineLevel="1">
      <c r="A48" s="507">
        <v>2</v>
      </c>
      <c r="B48" s="507"/>
      <c r="C48" s="507"/>
      <c r="D48" s="135" t="s">
        <v>573</v>
      </c>
      <c r="E48" s="1308" t="s">
        <v>1998</v>
      </c>
      <c r="F48" s="1309"/>
      <c r="G48" s="1310"/>
      <c r="H48" s="104" t="s">
        <v>237</v>
      </c>
      <c r="I48" s="400" t="s">
        <v>807</v>
      </c>
      <c r="J48" s="341">
        <v>1</v>
      </c>
      <c r="K48" s="405"/>
      <c r="L48" s="408">
        <f>meses_obra</f>
        <v>8</v>
      </c>
      <c r="M48" s="403">
        <v>4500</v>
      </c>
      <c r="N48" s="403">
        <v>0</v>
      </c>
      <c r="O48" s="106">
        <f t="shared" si="2"/>
        <v>6000</v>
      </c>
      <c r="P48" s="108">
        <f t="shared" ca="1" si="30"/>
        <v>21.349431818181817</v>
      </c>
      <c r="Q48" s="138">
        <f t="shared" si="4"/>
        <v>0</v>
      </c>
      <c r="R48" s="138">
        <f t="shared" si="5"/>
        <v>0</v>
      </c>
      <c r="S48" s="171">
        <f>Q48*AL48</f>
        <v>0</v>
      </c>
      <c r="T48" s="138">
        <f>R48*AN48</f>
        <v>0</v>
      </c>
      <c r="U48" s="111">
        <f ca="1">AW48*L48*J48</f>
        <v>43575</v>
      </c>
      <c r="V48" s="172"/>
      <c r="W48" s="49"/>
      <c r="X48" s="49"/>
      <c r="Z48" s="107">
        <f t="shared" si="9"/>
        <v>20.454545454545453</v>
      </c>
      <c r="AA48" s="107">
        <f t="shared" si="29"/>
        <v>20.454545454545453</v>
      </c>
      <c r="AB48" s="108">
        <f t="shared" ca="1" si="10"/>
        <v>21.349431818181817</v>
      </c>
      <c r="AC48" s="108">
        <f t="shared" ca="1" si="11"/>
        <v>21.349431818181817</v>
      </c>
      <c r="AD48" s="281"/>
      <c r="AE48" s="109">
        <f t="shared" si="12"/>
        <v>0</v>
      </c>
      <c r="AF48" s="109">
        <f t="shared" si="13"/>
        <v>0</v>
      </c>
      <c r="AG48" s="109">
        <f t="shared" si="14"/>
        <v>0</v>
      </c>
      <c r="AH48" s="109">
        <f t="shared" si="15"/>
        <v>0</v>
      </c>
      <c r="AI48" s="109">
        <f t="shared" si="16"/>
        <v>0</v>
      </c>
      <c r="AJ48" s="109">
        <f t="shared" si="17"/>
        <v>0</v>
      </c>
      <c r="AL48" s="107">
        <f t="shared" si="18"/>
        <v>0</v>
      </c>
      <c r="AM48" s="107">
        <f t="shared" si="19"/>
        <v>0</v>
      </c>
      <c r="AN48" s="107">
        <f t="shared" si="20"/>
        <v>0</v>
      </c>
      <c r="AO48" s="107">
        <f t="shared" si="21"/>
        <v>0</v>
      </c>
      <c r="AP48" s="107">
        <f t="shared" si="22"/>
        <v>0</v>
      </c>
      <c r="AQ48" s="107">
        <f t="shared" si="23"/>
        <v>0</v>
      </c>
      <c r="AS48" s="147">
        <f t="shared" si="27"/>
        <v>8</v>
      </c>
      <c r="AT48" s="614">
        <f t="shared" si="28"/>
        <v>0</v>
      </c>
      <c r="AV48" s="110">
        <f t="shared" ca="1" si="24"/>
        <v>5446.875</v>
      </c>
      <c r="AW48" s="110">
        <f t="shared" ca="1" si="25"/>
        <v>5446.875</v>
      </c>
      <c r="AX48" s="110">
        <f t="shared" ca="1" si="26"/>
        <v>43575</v>
      </c>
    </row>
    <row r="49" spans="1:50" ht="15.75" customHeight="1" outlineLevel="1">
      <c r="A49" s="507">
        <v>2</v>
      </c>
      <c r="B49" s="507"/>
      <c r="C49" s="507"/>
      <c r="D49" s="135" t="s">
        <v>574</v>
      </c>
      <c r="E49" s="1308" t="s">
        <v>98</v>
      </c>
      <c r="F49" s="1309"/>
      <c r="G49" s="1310"/>
      <c r="H49" s="104" t="s">
        <v>237</v>
      </c>
      <c r="I49" s="400" t="s">
        <v>199</v>
      </c>
      <c r="J49" s="409"/>
      <c r="K49" s="405"/>
      <c r="L49" s="408">
        <f t="shared" si="1"/>
        <v>8</v>
      </c>
      <c r="M49" s="403">
        <v>4606.3500000000004</v>
      </c>
      <c r="N49" s="403">
        <v>0</v>
      </c>
      <c r="O49" s="106" t="str">
        <f t="shared" si="2"/>
        <v>N/A</v>
      </c>
      <c r="P49" s="108">
        <f t="shared" ca="1" si="30"/>
        <v>46.480744748634571</v>
      </c>
      <c r="Q49" s="138">
        <f t="shared" si="4"/>
        <v>0</v>
      </c>
      <c r="R49" s="138">
        <f t="shared" si="5"/>
        <v>0</v>
      </c>
      <c r="S49" s="171">
        <f t="shared" si="6"/>
        <v>0</v>
      </c>
      <c r="T49" s="138">
        <f t="shared" si="7"/>
        <v>0</v>
      </c>
      <c r="U49" s="111">
        <f t="shared" ca="1" si="8"/>
        <v>0</v>
      </c>
      <c r="V49" s="172"/>
      <c r="W49" s="49"/>
      <c r="X49" s="49"/>
      <c r="Z49" s="107">
        <f t="shared" si="9"/>
        <v>44.532450058572046</v>
      </c>
      <c r="AA49" s="107">
        <f t="shared" si="29"/>
        <v>44.532450058572046</v>
      </c>
      <c r="AB49" s="108">
        <f t="shared" ca="1" si="10"/>
        <v>46.480744748634571</v>
      </c>
      <c r="AC49" s="108">
        <f t="shared" ca="1" si="11"/>
        <v>46.480744748634571</v>
      </c>
      <c r="AD49" s="281"/>
      <c r="AE49" s="109">
        <f t="shared" si="12"/>
        <v>0</v>
      </c>
      <c r="AF49" s="109">
        <f t="shared" si="13"/>
        <v>0</v>
      </c>
      <c r="AG49" s="109">
        <f t="shared" si="14"/>
        <v>0</v>
      </c>
      <c r="AH49" s="109">
        <f t="shared" si="15"/>
        <v>0</v>
      </c>
      <c r="AI49" s="109">
        <f t="shared" si="16"/>
        <v>0</v>
      </c>
      <c r="AJ49" s="109">
        <f t="shared" si="17"/>
        <v>0</v>
      </c>
      <c r="AL49" s="107">
        <f t="shared" si="18"/>
        <v>50.059999999999995</v>
      </c>
      <c r="AM49" s="107">
        <f t="shared" si="19"/>
        <v>50.059999999999995</v>
      </c>
      <c r="AN49" s="107">
        <f t="shared" si="20"/>
        <v>62.58</v>
      </c>
      <c r="AO49" s="107">
        <f t="shared" si="21"/>
        <v>60.08</v>
      </c>
      <c r="AP49" s="107">
        <f t="shared" si="22"/>
        <v>60.08</v>
      </c>
      <c r="AQ49" s="107">
        <f t="shared" si="23"/>
        <v>75.100000000000009</v>
      </c>
      <c r="AS49" s="147">
        <f t="shared" si="27"/>
        <v>0</v>
      </c>
      <c r="AT49" s="614">
        <f t="shared" si="28"/>
        <v>0</v>
      </c>
      <c r="AV49" s="110">
        <f t="shared" ca="1" si="24"/>
        <v>10225.763844699606</v>
      </c>
      <c r="AW49" s="110">
        <f t="shared" ca="1" si="25"/>
        <v>10225.763844699606</v>
      </c>
      <c r="AX49" s="110">
        <f t="shared" ca="1" si="26"/>
        <v>0</v>
      </c>
    </row>
    <row r="50" spans="1:50" ht="15.75" customHeight="1" outlineLevel="1">
      <c r="A50" s="507">
        <v>2</v>
      </c>
      <c r="B50" s="507"/>
      <c r="C50" s="507"/>
      <c r="D50" s="135" t="s">
        <v>575</v>
      </c>
      <c r="E50" s="1308" t="s">
        <v>98</v>
      </c>
      <c r="F50" s="1309"/>
      <c r="G50" s="1310"/>
      <c r="H50" s="104" t="s">
        <v>237</v>
      </c>
      <c r="I50" s="400" t="s">
        <v>199</v>
      </c>
      <c r="J50" s="409"/>
      <c r="K50" s="405"/>
      <c r="L50" s="408">
        <f t="shared" si="1"/>
        <v>8</v>
      </c>
      <c r="M50" s="403">
        <v>4606.3500000000004</v>
      </c>
      <c r="N50" s="403">
        <v>0</v>
      </c>
      <c r="O50" s="106" t="str">
        <f t="shared" si="2"/>
        <v>N/A</v>
      </c>
      <c r="P50" s="108">
        <f t="shared" ca="1" si="30"/>
        <v>46.480744748634571</v>
      </c>
      <c r="Q50" s="138">
        <f t="shared" si="4"/>
        <v>0</v>
      </c>
      <c r="R50" s="138">
        <f t="shared" si="5"/>
        <v>0</v>
      </c>
      <c r="S50" s="171">
        <f t="shared" si="6"/>
        <v>0</v>
      </c>
      <c r="T50" s="138">
        <f t="shared" si="7"/>
        <v>0</v>
      </c>
      <c r="U50" s="111">
        <f t="shared" ca="1" si="8"/>
        <v>0</v>
      </c>
      <c r="V50" s="172"/>
      <c r="W50" s="49"/>
      <c r="X50" s="49"/>
      <c r="Z50" s="107">
        <f t="shared" si="9"/>
        <v>44.532450058572046</v>
      </c>
      <c r="AA50" s="107">
        <f t="shared" si="29"/>
        <v>44.532450058572046</v>
      </c>
      <c r="AB50" s="108">
        <f t="shared" ca="1" si="10"/>
        <v>46.480744748634571</v>
      </c>
      <c r="AC50" s="108">
        <f t="shared" ca="1" si="11"/>
        <v>46.480744748634571</v>
      </c>
      <c r="AD50" s="281"/>
      <c r="AE50" s="109">
        <f t="shared" si="12"/>
        <v>0</v>
      </c>
      <c r="AF50" s="109">
        <f t="shared" si="13"/>
        <v>0</v>
      </c>
      <c r="AG50" s="109">
        <f t="shared" si="14"/>
        <v>0</v>
      </c>
      <c r="AH50" s="109">
        <f t="shared" si="15"/>
        <v>0</v>
      </c>
      <c r="AI50" s="109">
        <f t="shared" si="16"/>
        <v>0</v>
      </c>
      <c r="AJ50" s="109">
        <f t="shared" si="17"/>
        <v>0</v>
      </c>
      <c r="AL50" s="107">
        <f t="shared" si="18"/>
        <v>50.059999999999995</v>
      </c>
      <c r="AM50" s="107">
        <f t="shared" si="19"/>
        <v>50.059999999999995</v>
      </c>
      <c r="AN50" s="107">
        <f t="shared" si="20"/>
        <v>62.58</v>
      </c>
      <c r="AO50" s="107">
        <f t="shared" si="21"/>
        <v>60.08</v>
      </c>
      <c r="AP50" s="107">
        <f t="shared" si="22"/>
        <v>60.08</v>
      </c>
      <c r="AQ50" s="107">
        <f t="shared" si="23"/>
        <v>75.100000000000009</v>
      </c>
      <c r="AS50" s="147">
        <f t="shared" si="27"/>
        <v>0</v>
      </c>
      <c r="AT50" s="614">
        <f t="shared" si="28"/>
        <v>0</v>
      </c>
      <c r="AV50" s="110">
        <f t="shared" ca="1" si="24"/>
        <v>10225.763844699606</v>
      </c>
      <c r="AW50" s="110">
        <f t="shared" ca="1" si="25"/>
        <v>10225.763844699606</v>
      </c>
      <c r="AX50" s="110">
        <f t="shared" ca="1" si="26"/>
        <v>0</v>
      </c>
    </row>
    <row r="51" spans="1:50" ht="15.75" customHeight="1" outlineLevel="1">
      <c r="A51" s="507">
        <v>2</v>
      </c>
      <c r="B51" s="507"/>
      <c r="C51" s="507"/>
      <c r="D51" s="135" t="s">
        <v>576</v>
      </c>
      <c r="E51" s="1308" t="s">
        <v>99</v>
      </c>
      <c r="F51" s="1309"/>
      <c r="G51" s="1310"/>
      <c r="H51" s="104" t="s">
        <v>237</v>
      </c>
      <c r="I51" s="400" t="s">
        <v>199</v>
      </c>
      <c r="J51" s="409"/>
      <c r="K51" s="405"/>
      <c r="L51" s="408">
        <f t="shared" si="1"/>
        <v>8</v>
      </c>
      <c r="M51" s="403">
        <v>3531</v>
      </c>
      <c r="N51" s="403">
        <v>0</v>
      </c>
      <c r="O51" s="106" t="str">
        <f t="shared" si="2"/>
        <v>N/A</v>
      </c>
      <c r="P51" s="108">
        <f t="shared" ca="1" si="30"/>
        <v>35.629839180137999</v>
      </c>
      <c r="Q51" s="138">
        <f t="shared" si="4"/>
        <v>0</v>
      </c>
      <c r="R51" s="138">
        <f t="shared" si="5"/>
        <v>0</v>
      </c>
      <c r="S51" s="171">
        <f t="shared" si="6"/>
        <v>0</v>
      </c>
      <c r="T51" s="138">
        <f t="shared" si="7"/>
        <v>0</v>
      </c>
      <c r="U51" s="111">
        <f t="shared" ca="1" si="8"/>
        <v>0</v>
      </c>
      <c r="V51" s="172"/>
      <c r="W51" s="49"/>
      <c r="X51" s="49"/>
      <c r="Z51" s="107">
        <f t="shared" si="9"/>
        <v>34.136372867198084</v>
      </c>
      <c r="AA51" s="107">
        <f t="shared" si="29"/>
        <v>34.136372867198084</v>
      </c>
      <c r="AB51" s="108">
        <f t="shared" ca="1" si="10"/>
        <v>35.629839180137999</v>
      </c>
      <c r="AC51" s="108">
        <f t="shared" ca="1" si="11"/>
        <v>35.629839180137999</v>
      </c>
      <c r="AD51" s="127"/>
      <c r="AE51" s="109">
        <f t="shared" si="12"/>
        <v>0</v>
      </c>
      <c r="AF51" s="109">
        <f t="shared" si="13"/>
        <v>0</v>
      </c>
      <c r="AG51" s="109">
        <f t="shared" si="14"/>
        <v>0</v>
      </c>
      <c r="AH51" s="109">
        <f t="shared" si="15"/>
        <v>0</v>
      </c>
      <c r="AI51" s="109">
        <f t="shared" si="16"/>
        <v>0</v>
      </c>
      <c r="AJ51" s="109">
        <f t="shared" si="17"/>
        <v>0</v>
      </c>
      <c r="AL51" s="107">
        <f t="shared" si="18"/>
        <v>38.379999999999995</v>
      </c>
      <c r="AM51" s="107">
        <f t="shared" si="19"/>
        <v>38.379999999999995</v>
      </c>
      <c r="AN51" s="107">
        <f t="shared" si="20"/>
        <v>47.97</v>
      </c>
      <c r="AO51" s="107">
        <f t="shared" si="21"/>
        <v>46.059999999999995</v>
      </c>
      <c r="AP51" s="107">
        <f t="shared" si="22"/>
        <v>46.059999999999995</v>
      </c>
      <c r="AQ51" s="107">
        <f t="shared" si="23"/>
        <v>57.57</v>
      </c>
      <c r="AS51" s="147">
        <f t="shared" si="27"/>
        <v>0</v>
      </c>
      <c r="AT51" s="614">
        <f t="shared" si="28"/>
        <v>0</v>
      </c>
      <c r="AV51" s="110">
        <f t="shared" ca="1" si="24"/>
        <v>7838.5646196303596</v>
      </c>
      <c r="AW51" s="110">
        <f t="shared" ca="1" si="25"/>
        <v>7838.5646196303596</v>
      </c>
      <c r="AX51" s="110">
        <f t="shared" ca="1" si="26"/>
        <v>0</v>
      </c>
    </row>
    <row r="52" spans="1:50" ht="15.75" customHeight="1" outlineLevel="1">
      <c r="A52" s="507">
        <v>2</v>
      </c>
      <c r="B52" s="507"/>
      <c r="C52" s="507"/>
      <c r="D52" s="135" t="s">
        <v>577</v>
      </c>
      <c r="E52" s="1308" t="s">
        <v>100</v>
      </c>
      <c r="F52" s="1309"/>
      <c r="G52" s="1310"/>
      <c r="H52" s="104" t="s">
        <v>237</v>
      </c>
      <c r="I52" s="400" t="s">
        <v>199</v>
      </c>
      <c r="J52" s="409"/>
      <c r="K52" s="405"/>
      <c r="L52" s="408">
        <f t="shared" si="1"/>
        <v>8</v>
      </c>
      <c r="M52" s="403">
        <v>3531</v>
      </c>
      <c r="N52" s="403">
        <v>0</v>
      </c>
      <c r="O52" s="106" t="str">
        <f t="shared" si="2"/>
        <v>N/A</v>
      </c>
      <c r="P52" s="108">
        <f t="shared" ca="1" si="30"/>
        <v>35.629839180137999</v>
      </c>
      <c r="Q52" s="138">
        <f t="shared" si="4"/>
        <v>0</v>
      </c>
      <c r="R52" s="138">
        <f t="shared" si="5"/>
        <v>0</v>
      </c>
      <c r="S52" s="171">
        <f t="shared" si="6"/>
        <v>0</v>
      </c>
      <c r="T52" s="138">
        <f t="shared" si="7"/>
        <v>0</v>
      </c>
      <c r="U52" s="111">
        <f t="shared" ca="1" si="8"/>
        <v>0</v>
      </c>
      <c r="V52" s="172"/>
      <c r="W52" s="49"/>
      <c r="X52" s="49"/>
      <c r="Z52" s="107">
        <f t="shared" si="9"/>
        <v>34.136372867198084</v>
      </c>
      <c r="AA52" s="107">
        <f t="shared" si="29"/>
        <v>34.136372867198084</v>
      </c>
      <c r="AB52" s="108">
        <f t="shared" ca="1" si="10"/>
        <v>35.629839180137999</v>
      </c>
      <c r="AC52" s="108">
        <f t="shared" ca="1" si="11"/>
        <v>35.629839180137999</v>
      </c>
      <c r="AD52" s="127"/>
      <c r="AE52" s="109">
        <f t="shared" si="12"/>
        <v>0</v>
      </c>
      <c r="AF52" s="109">
        <f t="shared" si="13"/>
        <v>0</v>
      </c>
      <c r="AG52" s="109">
        <f t="shared" si="14"/>
        <v>0</v>
      </c>
      <c r="AH52" s="109">
        <f t="shared" si="15"/>
        <v>0</v>
      </c>
      <c r="AI52" s="109">
        <f t="shared" si="16"/>
        <v>0</v>
      </c>
      <c r="AJ52" s="109">
        <f t="shared" si="17"/>
        <v>0</v>
      </c>
      <c r="AL52" s="107">
        <f t="shared" si="18"/>
        <v>38.379999999999995</v>
      </c>
      <c r="AM52" s="107">
        <f t="shared" si="19"/>
        <v>38.379999999999995</v>
      </c>
      <c r="AN52" s="107">
        <f t="shared" si="20"/>
        <v>47.97</v>
      </c>
      <c r="AO52" s="107">
        <f t="shared" si="21"/>
        <v>46.059999999999995</v>
      </c>
      <c r="AP52" s="107">
        <f t="shared" si="22"/>
        <v>46.059999999999995</v>
      </c>
      <c r="AQ52" s="107">
        <f t="shared" si="23"/>
        <v>57.57</v>
      </c>
      <c r="AS52" s="147">
        <f t="shared" si="27"/>
        <v>0</v>
      </c>
      <c r="AT52" s="614">
        <f t="shared" si="28"/>
        <v>0</v>
      </c>
      <c r="AV52" s="110">
        <f t="shared" ca="1" si="24"/>
        <v>7838.5646196303596</v>
      </c>
      <c r="AW52" s="110">
        <f t="shared" ca="1" si="25"/>
        <v>7838.5646196303596</v>
      </c>
      <c r="AX52" s="110">
        <f t="shared" ca="1" si="26"/>
        <v>0</v>
      </c>
    </row>
    <row r="53" spans="1:50" ht="15.75" customHeight="1" outlineLevel="1">
      <c r="A53" s="507">
        <v>2</v>
      </c>
      <c r="B53" s="507"/>
      <c r="C53" s="507"/>
      <c r="D53" s="135" t="s">
        <v>578</v>
      </c>
      <c r="E53" s="1308" t="s">
        <v>101</v>
      </c>
      <c r="F53" s="1309"/>
      <c r="G53" s="1310"/>
      <c r="H53" s="104" t="s">
        <v>237</v>
      </c>
      <c r="I53" s="400" t="s">
        <v>807</v>
      </c>
      <c r="J53" s="341">
        <v>1</v>
      </c>
      <c r="K53" s="405"/>
      <c r="L53" s="408">
        <f t="shared" si="1"/>
        <v>8</v>
      </c>
      <c r="M53" s="403">
        <v>5500</v>
      </c>
      <c r="N53" s="403">
        <v>0</v>
      </c>
      <c r="O53" s="106">
        <f t="shared" si="2"/>
        <v>7333.333333333333</v>
      </c>
      <c r="P53" s="108">
        <f t="shared" ca="1" si="30"/>
        <v>26.09375</v>
      </c>
      <c r="Q53" s="138">
        <f t="shared" si="4"/>
        <v>0</v>
      </c>
      <c r="R53" s="138">
        <f t="shared" si="5"/>
        <v>0</v>
      </c>
      <c r="S53" s="171">
        <f t="shared" si="6"/>
        <v>0</v>
      </c>
      <c r="T53" s="138">
        <f t="shared" si="7"/>
        <v>0</v>
      </c>
      <c r="U53" s="111">
        <f t="shared" ca="1" si="8"/>
        <v>53258.333333333336</v>
      </c>
      <c r="V53" s="172"/>
      <c r="W53" s="49"/>
      <c r="X53" s="49"/>
      <c r="Z53" s="107">
        <f t="shared" si="9"/>
        <v>25</v>
      </c>
      <c r="AA53" s="107">
        <f t="shared" si="29"/>
        <v>25</v>
      </c>
      <c r="AB53" s="108">
        <f t="shared" ca="1" si="10"/>
        <v>26.09375</v>
      </c>
      <c r="AC53" s="108">
        <f t="shared" ca="1" si="11"/>
        <v>26.09375</v>
      </c>
      <c r="AD53" s="127"/>
      <c r="AE53" s="109">
        <f t="shared" si="12"/>
        <v>0</v>
      </c>
      <c r="AF53" s="109">
        <f t="shared" si="13"/>
        <v>0</v>
      </c>
      <c r="AG53" s="109">
        <f t="shared" si="14"/>
        <v>0</v>
      </c>
      <c r="AH53" s="109">
        <f t="shared" si="15"/>
        <v>0</v>
      </c>
      <c r="AI53" s="109">
        <f t="shared" si="16"/>
        <v>0</v>
      </c>
      <c r="AJ53" s="109">
        <f t="shared" si="17"/>
        <v>0</v>
      </c>
      <c r="AL53" s="107">
        <f t="shared" si="18"/>
        <v>0</v>
      </c>
      <c r="AM53" s="107">
        <f t="shared" si="19"/>
        <v>0</v>
      </c>
      <c r="AN53" s="107">
        <f t="shared" si="20"/>
        <v>0</v>
      </c>
      <c r="AO53" s="107">
        <f t="shared" si="21"/>
        <v>0</v>
      </c>
      <c r="AP53" s="107">
        <f t="shared" si="22"/>
        <v>0</v>
      </c>
      <c r="AQ53" s="107">
        <f t="shared" si="23"/>
        <v>0</v>
      </c>
      <c r="AS53" s="147">
        <f t="shared" si="27"/>
        <v>8</v>
      </c>
      <c r="AT53" s="614">
        <f t="shared" si="28"/>
        <v>0</v>
      </c>
      <c r="AV53" s="110">
        <f t="shared" ca="1" si="24"/>
        <v>6657.291666666667</v>
      </c>
      <c r="AW53" s="110">
        <f t="shared" ca="1" si="25"/>
        <v>6657.291666666667</v>
      </c>
      <c r="AX53" s="110">
        <f t="shared" ca="1" si="26"/>
        <v>53258.333333333336</v>
      </c>
    </row>
    <row r="54" spans="1:50" ht="15.75" customHeight="1" outlineLevel="1">
      <c r="A54" s="507">
        <v>2</v>
      </c>
      <c r="B54" s="507"/>
      <c r="C54" s="507"/>
      <c r="D54" s="135" t="s">
        <v>579</v>
      </c>
      <c r="E54" s="1308" t="s">
        <v>102</v>
      </c>
      <c r="F54" s="1309"/>
      <c r="G54" s="1310"/>
      <c r="H54" s="104" t="s">
        <v>237</v>
      </c>
      <c r="I54" s="400" t="s">
        <v>807</v>
      </c>
      <c r="J54" s="341">
        <v>1</v>
      </c>
      <c r="K54" s="405"/>
      <c r="L54" s="408">
        <f t="shared" si="1"/>
        <v>8</v>
      </c>
      <c r="M54" s="403">
        <v>4000</v>
      </c>
      <c r="N54" s="403">
        <v>0</v>
      </c>
      <c r="O54" s="106">
        <f t="shared" si="2"/>
        <v>5333.333333333333</v>
      </c>
      <c r="P54" s="108">
        <f t="shared" ca="1" si="30"/>
        <v>18.977272727272727</v>
      </c>
      <c r="Q54" s="138">
        <f t="shared" si="4"/>
        <v>0</v>
      </c>
      <c r="R54" s="138">
        <f t="shared" si="5"/>
        <v>0</v>
      </c>
      <c r="S54" s="171">
        <f t="shared" si="6"/>
        <v>0</v>
      </c>
      <c r="T54" s="138">
        <f t="shared" si="7"/>
        <v>0</v>
      </c>
      <c r="U54" s="111">
        <f t="shared" ca="1" si="8"/>
        <v>38733.333333333336</v>
      </c>
      <c r="V54" s="172"/>
      <c r="W54" s="49"/>
      <c r="X54" s="49"/>
      <c r="Z54" s="107">
        <f t="shared" si="9"/>
        <v>18.181818181818183</v>
      </c>
      <c r="AA54" s="107">
        <f t="shared" si="29"/>
        <v>18.181818181818183</v>
      </c>
      <c r="AB54" s="108">
        <f t="shared" ca="1" si="10"/>
        <v>18.977272727272727</v>
      </c>
      <c r="AC54" s="108">
        <f t="shared" ca="1" si="11"/>
        <v>18.977272727272727</v>
      </c>
      <c r="AD54" s="127"/>
      <c r="AE54" s="109">
        <f t="shared" si="12"/>
        <v>0</v>
      </c>
      <c r="AF54" s="109">
        <f t="shared" si="13"/>
        <v>0</v>
      </c>
      <c r="AG54" s="109">
        <f t="shared" si="14"/>
        <v>0</v>
      </c>
      <c r="AH54" s="109">
        <f t="shared" si="15"/>
        <v>0</v>
      </c>
      <c r="AI54" s="109">
        <f t="shared" si="16"/>
        <v>0</v>
      </c>
      <c r="AJ54" s="109">
        <f t="shared" si="17"/>
        <v>0</v>
      </c>
      <c r="AL54" s="107">
        <f t="shared" si="18"/>
        <v>0</v>
      </c>
      <c r="AM54" s="107">
        <f t="shared" si="19"/>
        <v>0</v>
      </c>
      <c r="AN54" s="107">
        <f t="shared" si="20"/>
        <v>0</v>
      </c>
      <c r="AO54" s="107">
        <f t="shared" si="21"/>
        <v>0</v>
      </c>
      <c r="AP54" s="107">
        <f t="shared" si="22"/>
        <v>0</v>
      </c>
      <c r="AQ54" s="107">
        <f t="shared" si="23"/>
        <v>0</v>
      </c>
      <c r="AS54" s="147">
        <f t="shared" si="27"/>
        <v>8</v>
      </c>
      <c r="AT54" s="614">
        <f t="shared" si="28"/>
        <v>0</v>
      </c>
      <c r="AV54" s="110">
        <f t="shared" ca="1" si="24"/>
        <v>4841.666666666667</v>
      </c>
      <c r="AW54" s="110">
        <f t="shared" ca="1" si="25"/>
        <v>4841.666666666667</v>
      </c>
      <c r="AX54" s="110">
        <f t="shared" ca="1" si="26"/>
        <v>38733.333333333336</v>
      </c>
    </row>
    <row r="55" spans="1:50" ht="15.75" customHeight="1" outlineLevel="1">
      <c r="A55" s="507">
        <v>2</v>
      </c>
      <c r="B55" s="507"/>
      <c r="C55" s="507"/>
      <c r="D55" s="135" t="s">
        <v>580</v>
      </c>
      <c r="E55" s="1308" t="s">
        <v>219</v>
      </c>
      <c r="F55" s="1309"/>
      <c r="G55" s="1310"/>
      <c r="H55" s="104" t="s">
        <v>1922</v>
      </c>
      <c r="I55" s="400" t="s">
        <v>199</v>
      </c>
      <c r="J55" s="409"/>
      <c r="K55" s="405"/>
      <c r="L55" s="408">
        <f t="shared" si="1"/>
        <v>8</v>
      </c>
      <c r="M55" s="403">
        <v>3707.55</v>
      </c>
      <c r="N55" s="403">
        <v>0</v>
      </c>
      <c r="O55" s="106" t="str">
        <f t="shared" si="2"/>
        <v>N/A</v>
      </c>
      <c r="P55" s="108">
        <f t="shared" ca="1" si="30"/>
        <v>37.411331139144892</v>
      </c>
      <c r="Q55" s="138">
        <f t="shared" si="4"/>
        <v>0</v>
      </c>
      <c r="R55" s="138">
        <f t="shared" si="5"/>
        <v>0</v>
      </c>
      <c r="S55" s="171">
        <f t="shared" si="6"/>
        <v>0</v>
      </c>
      <c r="T55" s="138">
        <f t="shared" si="7"/>
        <v>0</v>
      </c>
      <c r="U55" s="111">
        <f t="shared" ca="1" si="8"/>
        <v>0</v>
      </c>
      <c r="V55" s="172"/>
      <c r="W55" s="49"/>
      <c r="X55" s="49"/>
      <c r="Z55" s="107">
        <f t="shared" si="9"/>
        <v>35.843191510557979</v>
      </c>
      <c r="AA55" s="107">
        <f t="shared" si="29"/>
        <v>35.843191510557979</v>
      </c>
      <c r="AB55" s="108">
        <f t="shared" ca="1" si="10"/>
        <v>37.411331139144892</v>
      </c>
      <c r="AC55" s="108">
        <f t="shared" ca="1" si="11"/>
        <v>37.411331139144892</v>
      </c>
      <c r="AD55" s="127"/>
      <c r="AE55" s="109">
        <f t="shared" si="12"/>
        <v>0</v>
      </c>
      <c r="AF55" s="109">
        <f t="shared" si="13"/>
        <v>0</v>
      </c>
      <c r="AG55" s="109">
        <f t="shared" si="14"/>
        <v>0</v>
      </c>
      <c r="AH55" s="109">
        <f t="shared" si="15"/>
        <v>0</v>
      </c>
      <c r="AI55" s="109">
        <f t="shared" si="16"/>
        <v>0</v>
      </c>
      <c r="AJ55" s="109">
        <f t="shared" si="17"/>
        <v>0</v>
      </c>
      <c r="AL55" s="107">
        <f t="shared" si="18"/>
        <v>40.29</v>
      </c>
      <c r="AM55" s="107">
        <f t="shared" si="19"/>
        <v>40.29</v>
      </c>
      <c r="AN55" s="107">
        <f t="shared" si="20"/>
        <v>50.37</v>
      </c>
      <c r="AO55" s="107">
        <f t="shared" si="21"/>
        <v>48.35</v>
      </c>
      <c r="AP55" s="107">
        <f t="shared" si="22"/>
        <v>48.35</v>
      </c>
      <c r="AQ55" s="107">
        <f t="shared" si="23"/>
        <v>60.449999999999996</v>
      </c>
      <c r="AS55" s="147">
        <f t="shared" si="27"/>
        <v>0</v>
      </c>
      <c r="AT55" s="614">
        <f t="shared" si="28"/>
        <v>0</v>
      </c>
      <c r="AV55" s="110">
        <f t="shared" ca="1" si="24"/>
        <v>8230.4928506118758</v>
      </c>
      <c r="AW55" s="110">
        <f t="shared" ca="1" si="25"/>
        <v>8230.4928506118758</v>
      </c>
      <c r="AX55" s="110">
        <f t="shared" ca="1" si="26"/>
        <v>0</v>
      </c>
    </row>
    <row r="56" spans="1:50" ht="15.75" customHeight="1" outlineLevel="1">
      <c r="A56" s="507">
        <v>2</v>
      </c>
      <c r="B56" s="507"/>
      <c r="C56" s="507"/>
      <c r="D56" s="135" t="s">
        <v>581</v>
      </c>
      <c r="E56" s="1308" t="s">
        <v>1453</v>
      </c>
      <c r="F56" s="1309"/>
      <c r="G56" s="1310"/>
      <c r="H56" s="104" t="s">
        <v>1922</v>
      </c>
      <c r="I56" s="400" t="s">
        <v>807</v>
      </c>
      <c r="J56" s="409"/>
      <c r="K56" s="405"/>
      <c r="L56" s="408">
        <f t="shared" si="1"/>
        <v>8</v>
      </c>
      <c r="M56" s="403">
        <v>1200</v>
      </c>
      <c r="N56" s="403">
        <v>0</v>
      </c>
      <c r="O56" s="106">
        <f t="shared" si="2"/>
        <v>1600</v>
      </c>
      <c r="P56" s="108">
        <f t="shared" ca="1" si="30"/>
        <v>5.6931818181818175</v>
      </c>
      <c r="Q56" s="138">
        <f t="shared" si="4"/>
        <v>0</v>
      </c>
      <c r="R56" s="138">
        <f t="shared" si="5"/>
        <v>0</v>
      </c>
      <c r="S56" s="171">
        <f t="shared" si="6"/>
        <v>0</v>
      </c>
      <c r="T56" s="138">
        <f t="shared" si="7"/>
        <v>0</v>
      </c>
      <c r="U56" s="111">
        <f t="shared" ca="1" si="8"/>
        <v>0</v>
      </c>
      <c r="V56" s="172"/>
      <c r="W56" s="49"/>
      <c r="X56" s="49"/>
      <c r="Z56" s="107">
        <f t="shared" si="9"/>
        <v>5.4545454545454541</v>
      </c>
      <c r="AA56" s="107">
        <f t="shared" si="29"/>
        <v>5.4545454545454541</v>
      </c>
      <c r="AB56" s="108">
        <f t="shared" ca="1" si="10"/>
        <v>5.6931818181818175</v>
      </c>
      <c r="AC56" s="108">
        <f t="shared" ca="1" si="11"/>
        <v>5.6931818181818175</v>
      </c>
      <c r="AD56" s="127"/>
      <c r="AE56" s="109">
        <f t="shared" si="12"/>
        <v>0</v>
      </c>
      <c r="AF56" s="109">
        <f t="shared" si="13"/>
        <v>0</v>
      </c>
      <c r="AG56" s="109">
        <f t="shared" si="14"/>
        <v>0</v>
      </c>
      <c r="AH56" s="109">
        <f t="shared" si="15"/>
        <v>0</v>
      </c>
      <c r="AI56" s="109">
        <f t="shared" si="16"/>
        <v>0</v>
      </c>
      <c r="AJ56" s="109">
        <f t="shared" si="17"/>
        <v>0</v>
      </c>
      <c r="AL56" s="107">
        <f t="shared" si="18"/>
        <v>0</v>
      </c>
      <c r="AM56" s="107">
        <f t="shared" si="19"/>
        <v>0</v>
      </c>
      <c r="AN56" s="107">
        <f t="shared" si="20"/>
        <v>0</v>
      </c>
      <c r="AO56" s="107">
        <f t="shared" si="21"/>
        <v>0</v>
      </c>
      <c r="AP56" s="107">
        <f t="shared" si="22"/>
        <v>0</v>
      </c>
      <c r="AQ56" s="107">
        <f t="shared" si="23"/>
        <v>0</v>
      </c>
      <c r="AS56" s="147">
        <f t="shared" si="27"/>
        <v>0</v>
      </c>
      <c r="AT56" s="614">
        <f t="shared" si="28"/>
        <v>0</v>
      </c>
      <c r="AV56" s="110">
        <f t="shared" ca="1" si="24"/>
        <v>1452.4999999999998</v>
      </c>
      <c r="AW56" s="110">
        <f t="shared" ca="1" si="25"/>
        <v>1452.4999999999998</v>
      </c>
      <c r="AX56" s="110">
        <f t="shared" ca="1" si="26"/>
        <v>0</v>
      </c>
    </row>
    <row r="57" spans="1:50" ht="15.75" customHeight="1" outlineLevel="1">
      <c r="A57" s="507">
        <v>2</v>
      </c>
      <c r="B57" s="507"/>
      <c r="C57" s="507"/>
      <c r="D57" s="135" t="s">
        <v>1927</v>
      </c>
      <c r="E57" s="1304"/>
      <c r="F57" s="1305"/>
      <c r="G57" s="1306"/>
      <c r="H57" s="104"/>
      <c r="I57" s="411"/>
      <c r="J57" s="412"/>
      <c r="K57" s="405"/>
      <c r="L57" s="408">
        <f t="shared" si="1"/>
        <v>8</v>
      </c>
      <c r="M57" s="403"/>
      <c r="N57" s="403"/>
      <c r="O57" s="106">
        <f t="shared" si="2"/>
        <v>0</v>
      </c>
      <c r="P57" s="108">
        <f t="shared" ca="1" si="30"/>
        <v>0</v>
      </c>
      <c r="Q57" s="138">
        <f t="shared" si="4"/>
        <v>0</v>
      </c>
      <c r="R57" s="138">
        <f t="shared" si="5"/>
        <v>0</v>
      </c>
      <c r="S57" s="171">
        <f t="shared" si="6"/>
        <v>0</v>
      </c>
      <c r="T57" s="138">
        <f t="shared" si="7"/>
        <v>0</v>
      </c>
      <c r="U57" s="111">
        <f t="shared" ca="1" si="8"/>
        <v>0</v>
      </c>
      <c r="V57" s="172"/>
      <c r="W57" s="49"/>
      <c r="X57" s="49"/>
      <c r="Z57" s="107">
        <f t="shared" si="9"/>
        <v>0</v>
      </c>
      <c r="AA57" s="107">
        <f t="shared" si="29"/>
        <v>0</v>
      </c>
      <c r="AB57" s="108">
        <f t="shared" ca="1" si="10"/>
        <v>0</v>
      </c>
      <c r="AC57" s="108">
        <f t="shared" ca="1" si="11"/>
        <v>0</v>
      </c>
      <c r="AD57" s="281"/>
      <c r="AE57" s="109">
        <f t="shared" si="12"/>
        <v>0</v>
      </c>
      <c r="AF57" s="109">
        <f t="shared" si="13"/>
        <v>0</v>
      </c>
      <c r="AG57" s="109">
        <f t="shared" si="14"/>
        <v>0</v>
      </c>
      <c r="AH57" s="109">
        <f t="shared" si="15"/>
        <v>0</v>
      </c>
      <c r="AI57" s="109">
        <f t="shared" si="16"/>
        <v>0</v>
      </c>
      <c r="AJ57" s="109">
        <f t="shared" si="17"/>
        <v>0</v>
      </c>
      <c r="AL57" s="107">
        <f t="shared" si="18"/>
        <v>0</v>
      </c>
      <c r="AM57" s="107">
        <f t="shared" si="19"/>
        <v>0</v>
      </c>
      <c r="AN57" s="107">
        <f t="shared" si="20"/>
        <v>0</v>
      </c>
      <c r="AO57" s="107">
        <f t="shared" si="21"/>
        <v>0</v>
      </c>
      <c r="AP57" s="107">
        <f t="shared" si="22"/>
        <v>0</v>
      </c>
      <c r="AQ57" s="107">
        <f t="shared" si="23"/>
        <v>0</v>
      </c>
      <c r="AS57" s="147">
        <f t="shared" si="27"/>
        <v>0</v>
      </c>
      <c r="AT57" s="614">
        <f t="shared" si="28"/>
        <v>0</v>
      </c>
      <c r="AV57" s="110">
        <f t="shared" ca="1" si="24"/>
        <v>0</v>
      </c>
      <c r="AW57" s="110">
        <f t="shared" ca="1" si="25"/>
        <v>0</v>
      </c>
      <c r="AX57" s="110">
        <f t="shared" ca="1" si="26"/>
        <v>0</v>
      </c>
    </row>
    <row r="58" spans="1:50" ht="15.75" customHeight="1" outlineLevel="1">
      <c r="A58" s="507"/>
      <c r="B58" s="507"/>
      <c r="C58" s="507"/>
      <c r="D58" s="128"/>
      <c r="E58" s="129"/>
      <c r="F58" s="130"/>
      <c r="G58" s="130"/>
      <c r="H58" s="131"/>
      <c r="I58" s="130"/>
      <c r="J58" s="132"/>
      <c r="K58" s="130"/>
      <c r="L58" s="132"/>
      <c r="M58" s="130"/>
      <c r="N58" s="130"/>
      <c r="O58" s="130"/>
      <c r="P58" s="130"/>
      <c r="Q58" s="130"/>
      <c r="R58" s="130"/>
      <c r="S58" s="130"/>
      <c r="T58" s="130"/>
      <c r="U58" s="140"/>
      <c r="V58" s="172"/>
      <c r="Z58" s="130"/>
      <c r="AA58" s="130"/>
      <c r="AB58" s="130"/>
      <c r="AC58" s="130"/>
      <c r="AD58" s="282"/>
      <c r="AE58" s="133"/>
      <c r="AF58" s="133"/>
      <c r="AG58" s="133"/>
      <c r="AH58" s="133"/>
      <c r="AI58" s="133"/>
      <c r="AJ58" s="133"/>
      <c r="AL58" s="155"/>
      <c r="AM58" s="155"/>
      <c r="AN58" s="155"/>
      <c r="AO58" s="155"/>
      <c r="AP58" s="155"/>
      <c r="AQ58" s="155"/>
      <c r="AS58" s="105"/>
      <c r="AT58" s="615"/>
      <c r="AV58" s="130"/>
      <c r="AW58" s="130"/>
      <c r="AX58" s="134"/>
    </row>
    <row r="59" spans="1:50" s="49" customFormat="1" ht="15.75" customHeight="1" outlineLevel="1">
      <c r="A59" s="507" t="s">
        <v>189</v>
      </c>
      <c r="B59" s="507"/>
      <c r="C59" s="507"/>
      <c r="D59" s="215" t="s">
        <v>519</v>
      </c>
      <c r="E59" s="221" t="s">
        <v>429</v>
      </c>
      <c r="F59" s="221"/>
      <c r="G59" s="221"/>
      <c r="H59" s="222"/>
      <c r="I59" s="222"/>
      <c r="J59" s="224" t="s">
        <v>154</v>
      </c>
      <c r="K59" s="223" t="s">
        <v>803</v>
      </c>
      <c r="L59" s="219" t="s">
        <v>795</v>
      </c>
      <c r="M59" s="223" t="s">
        <v>122</v>
      </c>
      <c r="N59" s="223" t="s">
        <v>242</v>
      </c>
      <c r="O59" s="209"/>
      <c r="P59" s="225"/>
      <c r="Q59" s="225"/>
      <c r="R59" s="225"/>
      <c r="S59" s="225"/>
      <c r="T59" s="225"/>
      <c r="U59" s="141">
        <f ca="1">SUMIF(A:A,D59,U:U)</f>
        <v>0</v>
      </c>
      <c r="V59" s="172"/>
      <c r="W59" s="36"/>
      <c r="X59" s="36"/>
      <c r="Z59" s="775" t="s">
        <v>2008</v>
      </c>
      <c r="AA59" s="775" t="s">
        <v>2010</v>
      </c>
      <c r="AB59" s="775" t="s">
        <v>2011</v>
      </c>
      <c r="AC59" s="775" t="s">
        <v>2009</v>
      </c>
      <c r="AE59" s="775" t="s">
        <v>207</v>
      </c>
      <c r="AF59" s="775" t="s">
        <v>211</v>
      </c>
      <c r="AG59" s="775" t="s">
        <v>212</v>
      </c>
      <c r="AH59" s="775" t="s">
        <v>207</v>
      </c>
      <c r="AI59" s="775" t="s">
        <v>211</v>
      </c>
      <c r="AJ59" s="775" t="s">
        <v>212</v>
      </c>
      <c r="AL59" s="775" t="s">
        <v>209</v>
      </c>
      <c r="AM59" s="775" t="s">
        <v>208</v>
      </c>
      <c r="AN59" s="775" t="s">
        <v>210</v>
      </c>
      <c r="AO59" s="775" t="s">
        <v>209</v>
      </c>
      <c r="AP59" s="775" t="s">
        <v>208</v>
      </c>
      <c r="AQ59" s="775" t="s">
        <v>210</v>
      </c>
      <c r="AS59" s="191" t="s">
        <v>237</v>
      </c>
      <c r="AT59" s="191" t="s">
        <v>238</v>
      </c>
      <c r="AV59" s="191"/>
      <c r="AW59" s="191"/>
      <c r="AX59" s="208">
        <f ca="1">SUMIF(A:A,D59,AX:AX)</f>
        <v>0</v>
      </c>
    </row>
    <row r="60" spans="1:50" ht="15.75" customHeight="1" outlineLevel="1">
      <c r="A60" s="507">
        <v>3</v>
      </c>
      <c r="B60" s="507"/>
      <c r="C60" s="507"/>
      <c r="D60" s="135" t="s">
        <v>582</v>
      </c>
      <c r="E60" s="1311" t="s">
        <v>468</v>
      </c>
      <c r="F60" s="1312"/>
      <c r="G60" s="1313"/>
      <c r="H60" s="104" t="s">
        <v>1922</v>
      </c>
      <c r="I60" s="400" t="s">
        <v>199</v>
      </c>
      <c r="J60" s="407"/>
      <c r="K60" s="413"/>
      <c r="L60" s="414">
        <f t="shared" ref="L60:L65" si="31">meses_obra</f>
        <v>8</v>
      </c>
      <c r="M60" s="402">
        <v>4785</v>
      </c>
      <c r="N60" s="402">
        <v>0</v>
      </c>
      <c r="O60" s="137" t="str">
        <f t="shared" ref="O60:O65" si="32">IF(I60="CLT","N/A",(L60*(M60/12)*2))</f>
        <v>N/A</v>
      </c>
      <c r="P60" s="108">
        <f t="shared" ref="P60:P65" ca="1" si="33">IF(I60="contrato",AB60,AB60)</f>
        <v>48.283426926355226</v>
      </c>
      <c r="Q60" s="138">
        <f t="shared" ref="Q60:Q65" si="34">AE60+AF60</f>
        <v>0</v>
      </c>
      <c r="R60" s="138">
        <f t="shared" ref="R60:R65" si="35">AG60</f>
        <v>0</v>
      </c>
      <c r="S60" s="171">
        <f t="shared" ref="S60:S65" si="36">Q60*AL60</f>
        <v>0</v>
      </c>
      <c r="T60" s="138">
        <f t="shared" ref="T60:T65" si="37">R60*AN60</f>
        <v>0</v>
      </c>
      <c r="U60" s="111">
        <f t="shared" ref="U60:U65" ca="1" si="38">AW60*L60*J60</f>
        <v>0</v>
      </c>
      <c r="V60" s="172"/>
      <c r="W60" s="49"/>
      <c r="X60" s="49"/>
      <c r="Z60" s="107">
        <f t="shared" ref="Z60:Z65" si="39">IF(I60="CLT",(M60/220)*(1+encargos_mensalista),(M60/220))</f>
        <v>46.259570707885246</v>
      </c>
      <c r="AA60" s="107">
        <f t="shared" ref="AA60:AA65" si="40">Z60*(1+K60)</f>
        <v>46.259570707885246</v>
      </c>
      <c r="AB60" s="108">
        <f t="shared" ref="AB60:AB65" ca="1" si="41">AA60*(1+((incidência_do_dissídio/meses_obra)*dissídio_coletivo))</f>
        <v>48.283426926355226</v>
      </c>
      <c r="AC60" s="108">
        <f t="shared" ref="AC60:AC65" ca="1" si="42">AB60*(1+(ociosidade_por_dia/9))</f>
        <v>48.283426926355226</v>
      </c>
      <c r="AD60" s="127"/>
      <c r="AE60" s="139">
        <f t="shared" ref="AE60:AE65" si="43">IF(I60="contrato",0,$N$11*$Q$11*$K$11)</f>
        <v>0</v>
      </c>
      <c r="AF60" s="139">
        <f t="shared" ref="AF60:AF65" si="44">IF(I60="contrato",0,$N$12*$Q$12*$K$12)</f>
        <v>0</v>
      </c>
      <c r="AG60" s="139">
        <f t="shared" ref="AG60:AG65" si="45">IF(I60="contrato",0,$N$13*$Q$13*$K$13)</f>
        <v>0</v>
      </c>
      <c r="AH60" s="139">
        <f t="shared" ref="AH60:AH65" si="46">IF(I60="contrato",0,$N$14*$Q$14*$K$14)</f>
        <v>0</v>
      </c>
      <c r="AI60" s="139">
        <f t="shared" ref="AI60:AI65" si="47">IF(I60="contrato",0,$N$14*$Q$15*$K$15)</f>
        <v>0</v>
      </c>
      <c r="AJ60" s="139">
        <f t="shared" ref="AJ60:AJ65" si="48">IF(I60="contrato",0,$N$14*$Q$16*$K$16)</f>
        <v>0</v>
      </c>
      <c r="AL60" s="107">
        <f t="shared" ref="AL60:AL65" si="49">IF(I60="contrato",0,ROUNDUP((M60/220)*(1+$AA$14)*(1+hora_extra_dias_úteis),2))</f>
        <v>52</v>
      </c>
      <c r="AM60" s="107">
        <f t="shared" ref="AM60:AM65" si="50">IF(I60="contrato",0,ROUNDUP((M60/220)*(1+$AA$14)*(1+hora_extra_sábados),2))</f>
        <v>52</v>
      </c>
      <c r="AN60" s="107">
        <f t="shared" ref="AN60:AN65" si="51">IF(I60="contrato",0,ROUNDUP((M60/220)*(1+$AA$14)*(1+hora_extra_domingos),2))</f>
        <v>65</v>
      </c>
      <c r="AO60" s="107">
        <f t="shared" ref="AO60:AO65" si="52">IF(I60="contrato",0,ROUNDUP(AL60*(1+adicional_noturno),2))</f>
        <v>62.4</v>
      </c>
      <c r="AP60" s="107">
        <f t="shared" ref="AP60:AP65" si="53">IF(I60="contrato",0,ROUNDUP(AM60*(1+adicional_noturno),2))</f>
        <v>62.4</v>
      </c>
      <c r="AQ60" s="107">
        <f t="shared" ref="AQ60:AQ65" si="54">IF(I60="contrato",0,ROUNDUP(AN60*(1+adicional_noturno),2))</f>
        <v>78</v>
      </c>
      <c r="AS60" s="147">
        <f t="shared" ref="AS60:AS65" si="55">IF(H60="Coordenação",0,L60*J60)</f>
        <v>0</v>
      </c>
      <c r="AT60" s="614">
        <f t="shared" ref="AT60:AT65" si="56">IF(H60="Coordenação",L60*J60,0)</f>
        <v>0</v>
      </c>
      <c r="AV60" s="204">
        <f t="shared" ref="AV60:AV65" ca="1" si="57">IF(I60="CLT",IF(L60=0,0,P60*220+N60),(P60*220+N60+(O60/meses_obra)))</f>
        <v>10622.353923798149</v>
      </c>
      <c r="AW60" s="204">
        <f t="shared" ref="AW60:AW65" ca="1" si="58">IF(I60="CLT",IF(L60=0,0,((P60*220)+(AE60*AL60)+(AF60*AM60)+(AG60*AN60)+(AH60*AO60)+(AI60*AP60)+(AJ60*AQ60)+N60)),AV60)</f>
        <v>10622.353923798149</v>
      </c>
      <c r="AX60" s="204">
        <f t="shared" ref="AX60:AX65" ca="1" si="59">AV60*L60*J60</f>
        <v>0</v>
      </c>
    </row>
    <row r="61" spans="1:50" ht="15.75" customHeight="1" outlineLevel="1">
      <c r="A61" s="507">
        <v>3</v>
      </c>
      <c r="B61" s="507"/>
      <c r="C61" s="507"/>
      <c r="D61" s="135" t="s">
        <v>583</v>
      </c>
      <c r="E61" s="1308" t="s">
        <v>104</v>
      </c>
      <c r="F61" s="1309"/>
      <c r="G61" s="1310"/>
      <c r="H61" s="104" t="s">
        <v>1922</v>
      </c>
      <c r="I61" s="400" t="s">
        <v>199</v>
      </c>
      <c r="J61" s="409"/>
      <c r="K61" s="405"/>
      <c r="L61" s="408">
        <f t="shared" si="31"/>
        <v>8</v>
      </c>
      <c r="M61" s="402">
        <v>3500</v>
      </c>
      <c r="N61" s="403">
        <v>0</v>
      </c>
      <c r="O61" s="106" t="str">
        <f t="shared" si="32"/>
        <v>N/A</v>
      </c>
      <c r="P61" s="108">
        <f t="shared" ca="1" si="33"/>
        <v>35.317031189601515</v>
      </c>
      <c r="Q61" s="138">
        <f t="shared" si="34"/>
        <v>0</v>
      </c>
      <c r="R61" s="138">
        <f t="shared" si="35"/>
        <v>0</v>
      </c>
      <c r="S61" s="171">
        <f t="shared" si="36"/>
        <v>0</v>
      </c>
      <c r="T61" s="138">
        <f t="shared" si="37"/>
        <v>0</v>
      </c>
      <c r="U61" s="111">
        <f t="shared" ca="1" si="38"/>
        <v>0</v>
      </c>
      <c r="V61" s="172"/>
      <c r="W61" s="49"/>
      <c r="X61" s="49"/>
      <c r="Z61" s="107">
        <f t="shared" si="39"/>
        <v>33.836676588839779</v>
      </c>
      <c r="AA61" s="107">
        <f t="shared" si="40"/>
        <v>33.836676588839779</v>
      </c>
      <c r="AB61" s="108">
        <f t="shared" ca="1" si="41"/>
        <v>35.317031189601515</v>
      </c>
      <c r="AC61" s="108">
        <f t="shared" ca="1" si="42"/>
        <v>35.317031189601515</v>
      </c>
      <c r="AD61" s="127"/>
      <c r="AE61" s="109">
        <f t="shared" si="43"/>
        <v>0</v>
      </c>
      <c r="AF61" s="109">
        <f t="shared" si="44"/>
        <v>0</v>
      </c>
      <c r="AG61" s="109">
        <f t="shared" si="45"/>
        <v>0</v>
      </c>
      <c r="AH61" s="109">
        <f t="shared" si="46"/>
        <v>0</v>
      </c>
      <c r="AI61" s="109">
        <f t="shared" si="47"/>
        <v>0</v>
      </c>
      <c r="AJ61" s="109">
        <f t="shared" si="48"/>
        <v>0</v>
      </c>
      <c r="AL61" s="107">
        <f t="shared" si="49"/>
        <v>38.04</v>
      </c>
      <c r="AM61" s="107">
        <f t="shared" si="50"/>
        <v>38.04</v>
      </c>
      <c r="AN61" s="107">
        <f t="shared" si="51"/>
        <v>47.55</v>
      </c>
      <c r="AO61" s="107">
        <f t="shared" si="52"/>
        <v>45.65</v>
      </c>
      <c r="AP61" s="107">
        <f t="shared" si="53"/>
        <v>45.65</v>
      </c>
      <c r="AQ61" s="107">
        <f t="shared" si="54"/>
        <v>57.06</v>
      </c>
      <c r="AS61" s="147">
        <f t="shared" si="55"/>
        <v>0</v>
      </c>
      <c r="AT61" s="614">
        <f t="shared" si="56"/>
        <v>0</v>
      </c>
      <c r="AV61" s="110">
        <f t="shared" ca="1" si="57"/>
        <v>7769.7468617123332</v>
      </c>
      <c r="AW61" s="110">
        <f t="shared" ca="1" si="58"/>
        <v>7769.7468617123332</v>
      </c>
      <c r="AX61" s="110">
        <f t="shared" ca="1" si="59"/>
        <v>0</v>
      </c>
    </row>
    <row r="62" spans="1:50" ht="15.75" customHeight="1" outlineLevel="1">
      <c r="A62" s="507">
        <v>3</v>
      </c>
      <c r="B62" s="507"/>
      <c r="C62" s="507"/>
      <c r="D62" s="135" t="s">
        <v>584</v>
      </c>
      <c r="E62" s="1308" t="s">
        <v>467</v>
      </c>
      <c r="F62" s="1309"/>
      <c r="G62" s="1310"/>
      <c r="H62" s="104" t="s">
        <v>1922</v>
      </c>
      <c r="I62" s="400" t="s">
        <v>199</v>
      </c>
      <c r="J62" s="409"/>
      <c r="K62" s="405"/>
      <c r="L62" s="408">
        <f t="shared" si="31"/>
        <v>8</v>
      </c>
      <c r="M62" s="403">
        <v>2500</v>
      </c>
      <c r="N62" s="403"/>
      <c r="O62" s="106" t="str">
        <f t="shared" si="32"/>
        <v>N/A</v>
      </c>
      <c r="P62" s="108">
        <f t="shared" ca="1" si="33"/>
        <v>25.226450849715373</v>
      </c>
      <c r="Q62" s="138">
        <f t="shared" si="34"/>
        <v>0</v>
      </c>
      <c r="R62" s="138">
        <f t="shared" si="35"/>
        <v>0</v>
      </c>
      <c r="S62" s="171">
        <f t="shared" si="36"/>
        <v>0</v>
      </c>
      <c r="T62" s="138">
        <f t="shared" si="37"/>
        <v>0</v>
      </c>
      <c r="U62" s="111">
        <f t="shared" ca="1" si="38"/>
        <v>0</v>
      </c>
      <c r="V62" s="172"/>
      <c r="W62" s="49"/>
      <c r="X62" s="49"/>
      <c r="Z62" s="107">
        <f t="shared" si="39"/>
        <v>24.169054706314132</v>
      </c>
      <c r="AA62" s="107">
        <f t="shared" si="40"/>
        <v>24.169054706314132</v>
      </c>
      <c r="AB62" s="108">
        <f t="shared" ca="1" si="41"/>
        <v>25.226450849715373</v>
      </c>
      <c r="AC62" s="108">
        <f t="shared" ca="1" si="42"/>
        <v>25.226450849715373</v>
      </c>
      <c r="AD62" s="127"/>
      <c r="AE62" s="109">
        <f t="shared" si="43"/>
        <v>0</v>
      </c>
      <c r="AF62" s="109">
        <f t="shared" si="44"/>
        <v>0</v>
      </c>
      <c r="AG62" s="109">
        <f t="shared" si="45"/>
        <v>0</v>
      </c>
      <c r="AH62" s="109">
        <f t="shared" si="46"/>
        <v>0</v>
      </c>
      <c r="AI62" s="109">
        <f t="shared" si="47"/>
        <v>0</v>
      </c>
      <c r="AJ62" s="109">
        <f t="shared" si="48"/>
        <v>0</v>
      </c>
      <c r="AL62" s="107">
        <f t="shared" si="49"/>
        <v>27.17</v>
      </c>
      <c r="AM62" s="107">
        <f t="shared" si="50"/>
        <v>27.17</v>
      </c>
      <c r="AN62" s="107">
        <f t="shared" si="51"/>
        <v>33.96</v>
      </c>
      <c r="AO62" s="107">
        <f t="shared" si="52"/>
        <v>32.61</v>
      </c>
      <c r="AP62" s="107">
        <f t="shared" si="53"/>
        <v>32.61</v>
      </c>
      <c r="AQ62" s="107">
        <f t="shared" si="54"/>
        <v>40.76</v>
      </c>
      <c r="AS62" s="147">
        <f t="shared" si="55"/>
        <v>0</v>
      </c>
      <c r="AT62" s="614">
        <f t="shared" si="56"/>
        <v>0</v>
      </c>
      <c r="AV62" s="110">
        <f t="shared" ca="1" si="57"/>
        <v>5549.8191869373823</v>
      </c>
      <c r="AW62" s="110">
        <f t="shared" ca="1" si="58"/>
        <v>5549.8191869373823</v>
      </c>
      <c r="AX62" s="110">
        <f t="shared" ca="1" si="59"/>
        <v>0</v>
      </c>
    </row>
    <row r="63" spans="1:50" ht="15.75" customHeight="1" outlineLevel="1">
      <c r="A63" s="507">
        <v>3</v>
      </c>
      <c r="B63" s="507"/>
      <c r="C63" s="507"/>
      <c r="D63" s="135" t="s">
        <v>585</v>
      </c>
      <c r="E63" s="1308" t="s">
        <v>105</v>
      </c>
      <c r="F63" s="1309"/>
      <c r="G63" s="1310"/>
      <c r="H63" s="104" t="s">
        <v>1922</v>
      </c>
      <c r="I63" s="400" t="s">
        <v>199</v>
      </c>
      <c r="J63" s="409"/>
      <c r="K63" s="405"/>
      <c r="L63" s="408">
        <f t="shared" si="31"/>
        <v>8</v>
      </c>
      <c r="M63" s="403">
        <v>1957.32</v>
      </c>
      <c r="N63" s="403"/>
      <c r="O63" s="106" t="str">
        <f t="shared" si="32"/>
        <v>N/A</v>
      </c>
      <c r="P63" s="108">
        <f t="shared" ca="1" si="33"/>
        <v>19.750494710865958</v>
      </c>
      <c r="Q63" s="138">
        <f t="shared" si="34"/>
        <v>0</v>
      </c>
      <c r="R63" s="138">
        <f t="shared" si="35"/>
        <v>0</v>
      </c>
      <c r="S63" s="171">
        <f t="shared" si="36"/>
        <v>0</v>
      </c>
      <c r="T63" s="138">
        <f t="shared" si="37"/>
        <v>0</v>
      </c>
      <c r="U63" s="111">
        <f t="shared" ca="1" si="38"/>
        <v>0</v>
      </c>
      <c r="V63" s="172"/>
      <c r="W63" s="49"/>
      <c r="X63" s="49"/>
      <c r="Z63" s="107">
        <f t="shared" si="39"/>
        <v>18.922629663105109</v>
      </c>
      <c r="AA63" s="107">
        <f t="shared" si="40"/>
        <v>18.922629663105109</v>
      </c>
      <c r="AB63" s="108">
        <f t="shared" ca="1" si="41"/>
        <v>19.750494710865958</v>
      </c>
      <c r="AC63" s="108">
        <f t="shared" ca="1" si="42"/>
        <v>19.750494710865958</v>
      </c>
      <c r="AD63" s="127"/>
      <c r="AE63" s="109">
        <f t="shared" si="43"/>
        <v>0</v>
      </c>
      <c r="AF63" s="109">
        <f t="shared" si="44"/>
        <v>0</v>
      </c>
      <c r="AG63" s="109">
        <f t="shared" si="45"/>
        <v>0</v>
      </c>
      <c r="AH63" s="109">
        <f t="shared" si="46"/>
        <v>0</v>
      </c>
      <c r="AI63" s="109">
        <f t="shared" si="47"/>
        <v>0</v>
      </c>
      <c r="AJ63" s="109">
        <f t="shared" si="48"/>
        <v>0</v>
      </c>
      <c r="AL63" s="107">
        <f t="shared" si="49"/>
        <v>21.28</v>
      </c>
      <c r="AM63" s="107">
        <f t="shared" si="50"/>
        <v>21.28</v>
      </c>
      <c r="AN63" s="107">
        <f t="shared" si="51"/>
        <v>26.59</v>
      </c>
      <c r="AO63" s="107">
        <f t="shared" si="52"/>
        <v>25.540000000000003</v>
      </c>
      <c r="AP63" s="107">
        <f t="shared" si="53"/>
        <v>25.540000000000003</v>
      </c>
      <c r="AQ63" s="107">
        <f t="shared" si="54"/>
        <v>31.91</v>
      </c>
      <c r="AS63" s="147">
        <f t="shared" si="55"/>
        <v>0</v>
      </c>
      <c r="AT63" s="614">
        <f t="shared" si="56"/>
        <v>0</v>
      </c>
      <c r="AV63" s="110">
        <f t="shared" ca="1" si="57"/>
        <v>4345.108836390511</v>
      </c>
      <c r="AW63" s="110">
        <f t="shared" ca="1" si="58"/>
        <v>4345.108836390511</v>
      </c>
      <c r="AX63" s="110">
        <f t="shared" ca="1" si="59"/>
        <v>0</v>
      </c>
    </row>
    <row r="64" spans="1:50" ht="15.75" customHeight="1" outlineLevel="1">
      <c r="A64" s="507">
        <v>3</v>
      </c>
      <c r="B64" s="507"/>
      <c r="C64" s="507"/>
      <c r="D64" s="135" t="s">
        <v>586</v>
      </c>
      <c r="E64" s="1308" t="s">
        <v>469</v>
      </c>
      <c r="F64" s="1309"/>
      <c r="G64" s="1310"/>
      <c r="H64" s="104" t="s">
        <v>1922</v>
      </c>
      <c r="I64" s="400" t="s">
        <v>199</v>
      </c>
      <c r="J64" s="409"/>
      <c r="K64" s="410"/>
      <c r="L64" s="408">
        <f t="shared" si="31"/>
        <v>8</v>
      </c>
      <c r="M64" s="403">
        <v>1957.32</v>
      </c>
      <c r="N64" s="403"/>
      <c r="O64" s="106" t="str">
        <f t="shared" si="32"/>
        <v>N/A</v>
      </c>
      <c r="P64" s="108">
        <f t="shared" ca="1" si="33"/>
        <v>19.750494710865958</v>
      </c>
      <c r="Q64" s="138">
        <f t="shared" si="34"/>
        <v>0</v>
      </c>
      <c r="R64" s="138">
        <f t="shared" si="35"/>
        <v>0</v>
      </c>
      <c r="S64" s="171">
        <f t="shared" si="36"/>
        <v>0</v>
      </c>
      <c r="T64" s="138">
        <f t="shared" si="37"/>
        <v>0</v>
      </c>
      <c r="U64" s="111">
        <f t="shared" ca="1" si="38"/>
        <v>0</v>
      </c>
      <c r="V64" s="172"/>
      <c r="W64" s="49"/>
      <c r="X64" s="49"/>
      <c r="Z64" s="107">
        <f t="shared" si="39"/>
        <v>18.922629663105109</v>
      </c>
      <c r="AA64" s="107">
        <f t="shared" si="40"/>
        <v>18.922629663105109</v>
      </c>
      <c r="AB64" s="108">
        <f t="shared" ca="1" si="41"/>
        <v>19.750494710865958</v>
      </c>
      <c r="AC64" s="108">
        <f t="shared" ca="1" si="42"/>
        <v>19.750494710865958</v>
      </c>
      <c r="AD64" s="127"/>
      <c r="AE64" s="109">
        <f t="shared" si="43"/>
        <v>0</v>
      </c>
      <c r="AF64" s="109">
        <f t="shared" si="44"/>
        <v>0</v>
      </c>
      <c r="AG64" s="109">
        <f t="shared" si="45"/>
        <v>0</v>
      </c>
      <c r="AH64" s="109">
        <f t="shared" si="46"/>
        <v>0</v>
      </c>
      <c r="AI64" s="109">
        <f t="shared" si="47"/>
        <v>0</v>
      </c>
      <c r="AJ64" s="109">
        <f t="shared" si="48"/>
        <v>0</v>
      </c>
      <c r="AL64" s="107">
        <f t="shared" si="49"/>
        <v>21.28</v>
      </c>
      <c r="AM64" s="107">
        <f t="shared" si="50"/>
        <v>21.28</v>
      </c>
      <c r="AN64" s="107">
        <f t="shared" si="51"/>
        <v>26.59</v>
      </c>
      <c r="AO64" s="107">
        <f t="shared" si="52"/>
        <v>25.540000000000003</v>
      </c>
      <c r="AP64" s="107">
        <f t="shared" si="53"/>
        <v>25.540000000000003</v>
      </c>
      <c r="AQ64" s="107">
        <f t="shared" si="54"/>
        <v>31.91</v>
      </c>
      <c r="AS64" s="147">
        <f t="shared" si="55"/>
        <v>0</v>
      </c>
      <c r="AT64" s="614">
        <f t="shared" si="56"/>
        <v>0</v>
      </c>
      <c r="AV64" s="110">
        <f t="shared" ca="1" si="57"/>
        <v>4345.108836390511</v>
      </c>
      <c r="AW64" s="110">
        <f t="shared" ca="1" si="58"/>
        <v>4345.108836390511</v>
      </c>
      <c r="AX64" s="110">
        <f t="shared" ca="1" si="59"/>
        <v>0</v>
      </c>
    </row>
    <row r="65" spans="1:50" ht="15.75" customHeight="1" outlineLevel="1">
      <c r="A65" s="507">
        <v>3</v>
      </c>
      <c r="B65" s="507"/>
      <c r="C65" s="507"/>
      <c r="D65" s="135" t="s">
        <v>587</v>
      </c>
      <c r="E65" s="1304"/>
      <c r="F65" s="1305"/>
      <c r="G65" s="1306"/>
      <c r="H65" s="104"/>
      <c r="I65" s="400" t="s">
        <v>199</v>
      </c>
      <c r="J65" s="412"/>
      <c r="K65" s="411"/>
      <c r="L65" s="408">
        <f t="shared" si="31"/>
        <v>8</v>
      </c>
      <c r="M65" s="403"/>
      <c r="N65" s="403"/>
      <c r="O65" s="106" t="str">
        <f t="shared" si="32"/>
        <v>N/A</v>
      </c>
      <c r="P65" s="108">
        <f t="shared" ca="1" si="33"/>
        <v>0</v>
      </c>
      <c r="Q65" s="138">
        <f t="shared" si="34"/>
        <v>0</v>
      </c>
      <c r="R65" s="138">
        <f t="shared" si="35"/>
        <v>0</v>
      </c>
      <c r="S65" s="171">
        <f t="shared" si="36"/>
        <v>0</v>
      </c>
      <c r="T65" s="138">
        <f t="shared" si="37"/>
        <v>0</v>
      </c>
      <c r="U65" s="111">
        <f t="shared" ca="1" si="38"/>
        <v>0</v>
      </c>
      <c r="V65" s="172"/>
      <c r="W65" s="49"/>
      <c r="X65" s="49"/>
      <c r="Z65" s="107">
        <f t="shared" si="39"/>
        <v>0</v>
      </c>
      <c r="AA65" s="107">
        <f t="shared" si="40"/>
        <v>0</v>
      </c>
      <c r="AB65" s="108">
        <f t="shared" ca="1" si="41"/>
        <v>0</v>
      </c>
      <c r="AC65" s="108">
        <f t="shared" ca="1" si="42"/>
        <v>0</v>
      </c>
      <c r="AD65" s="127"/>
      <c r="AE65" s="109">
        <f t="shared" si="43"/>
        <v>0</v>
      </c>
      <c r="AF65" s="109">
        <f t="shared" si="44"/>
        <v>0</v>
      </c>
      <c r="AG65" s="109">
        <f t="shared" si="45"/>
        <v>0</v>
      </c>
      <c r="AH65" s="109">
        <f t="shared" si="46"/>
        <v>0</v>
      </c>
      <c r="AI65" s="109">
        <f t="shared" si="47"/>
        <v>0</v>
      </c>
      <c r="AJ65" s="109">
        <f t="shared" si="48"/>
        <v>0</v>
      </c>
      <c r="AL65" s="107">
        <f t="shared" si="49"/>
        <v>0</v>
      </c>
      <c r="AM65" s="107">
        <f t="shared" si="50"/>
        <v>0</v>
      </c>
      <c r="AN65" s="107">
        <f t="shared" si="51"/>
        <v>0</v>
      </c>
      <c r="AO65" s="107">
        <f t="shared" si="52"/>
        <v>0</v>
      </c>
      <c r="AP65" s="107">
        <f t="shared" si="53"/>
        <v>0</v>
      </c>
      <c r="AQ65" s="107">
        <f t="shared" si="54"/>
        <v>0</v>
      </c>
      <c r="AS65" s="147">
        <f t="shared" si="55"/>
        <v>0</v>
      </c>
      <c r="AT65" s="614">
        <f t="shared" si="56"/>
        <v>0</v>
      </c>
      <c r="AV65" s="110">
        <f t="shared" ca="1" si="57"/>
        <v>0</v>
      </c>
      <c r="AW65" s="110">
        <f t="shared" ca="1" si="58"/>
        <v>0</v>
      </c>
      <c r="AX65" s="110">
        <f t="shared" ca="1" si="59"/>
        <v>0</v>
      </c>
    </row>
    <row r="66" spans="1:50" ht="15.75" customHeight="1" outlineLevel="1">
      <c r="A66" s="507"/>
      <c r="B66" s="507"/>
      <c r="C66" s="507"/>
      <c r="D66" s="128"/>
      <c r="E66" s="129"/>
      <c r="F66" s="130"/>
      <c r="G66" s="130"/>
      <c r="H66" s="131"/>
      <c r="I66" s="130"/>
      <c r="J66" s="132"/>
      <c r="K66" s="130"/>
      <c r="L66" s="132"/>
      <c r="M66" s="130"/>
      <c r="N66" s="130"/>
      <c r="O66" s="130"/>
      <c r="P66" s="130"/>
      <c r="Q66" s="130"/>
      <c r="R66" s="130"/>
      <c r="S66" s="130"/>
      <c r="T66" s="130"/>
      <c r="U66" s="140"/>
      <c r="V66" s="172"/>
      <c r="Z66" s="130"/>
      <c r="AA66" s="130"/>
      <c r="AB66" s="130"/>
      <c r="AC66" s="130"/>
      <c r="AD66" s="282"/>
      <c r="AE66" s="133"/>
      <c r="AF66" s="133"/>
      <c r="AG66" s="133"/>
      <c r="AH66" s="133"/>
      <c r="AI66" s="133"/>
      <c r="AJ66" s="133"/>
      <c r="AL66" s="155"/>
      <c r="AM66" s="155"/>
      <c r="AN66" s="155"/>
      <c r="AO66" s="155"/>
      <c r="AP66" s="155"/>
      <c r="AQ66" s="155"/>
      <c r="AS66" s="105"/>
      <c r="AT66" s="615"/>
      <c r="AV66" s="130"/>
      <c r="AW66" s="130"/>
      <c r="AX66" s="134"/>
    </row>
    <row r="67" spans="1:50" s="49" customFormat="1" ht="15.75" customHeight="1" outlineLevel="1">
      <c r="A67" s="507" t="s">
        <v>189</v>
      </c>
      <c r="B67" s="507"/>
      <c r="C67" s="507"/>
      <c r="D67" s="215" t="s">
        <v>522</v>
      </c>
      <c r="E67" s="221" t="s">
        <v>1428</v>
      </c>
      <c r="F67" s="221"/>
      <c r="G67" s="221"/>
      <c r="H67" s="222"/>
      <c r="I67" s="222"/>
      <c r="J67" s="224" t="s">
        <v>154</v>
      </c>
      <c r="K67" s="223" t="s">
        <v>803</v>
      </c>
      <c r="L67" s="219" t="s">
        <v>795</v>
      </c>
      <c r="M67" s="223" t="s">
        <v>122</v>
      </c>
      <c r="N67" s="223" t="s">
        <v>242</v>
      </c>
      <c r="O67" s="209"/>
      <c r="P67" s="225"/>
      <c r="Q67" s="225"/>
      <c r="R67" s="225"/>
      <c r="S67" s="225"/>
      <c r="T67" s="225"/>
      <c r="U67" s="141">
        <f ca="1">SUMIF(A:A,D67,U:U)</f>
        <v>0</v>
      </c>
      <c r="V67" s="56">
        <f ca="1">($AX$59+$AX$67)/custo_direto</f>
        <v>0</v>
      </c>
      <c r="X67" s="36"/>
      <c r="Z67" s="775" t="s">
        <v>2008</v>
      </c>
      <c r="AA67" s="775" t="s">
        <v>2010</v>
      </c>
      <c r="AB67" s="775" t="s">
        <v>2011</v>
      </c>
      <c r="AC67" s="775" t="s">
        <v>2009</v>
      </c>
      <c r="AE67" s="775" t="s">
        <v>207</v>
      </c>
      <c r="AF67" s="775" t="s">
        <v>211</v>
      </c>
      <c r="AG67" s="775" t="s">
        <v>212</v>
      </c>
      <c r="AH67" s="775" t="s">
        <v>207</v>
      </c>
      <c r="AI67" s="775" t="s">
        <v>211</v>
      </c>
      <c r="AJ67" s="775" t="s">
        <v>212</v>
      </c>
      <c r="AL67" s="775" t="s">
        <v>209</v>
      </c>
      <c r="AM67" s="775" t="s">
        <v>208</v>
      </c>
      <c r="AN67" s="775" t="s">
        <v>210</v>
      </c>
      <c r="AO67" s="775" t="s">
        <v>209</v>
      </c>
      <c r="AP67" s="775" t="s">
        <v>208</v>
      </c>
      <c r="AQ67" s="775" t="s">
        <v>210</v>
      </c>
      <c r="AS67" s="191" t="s">
        <v>237</v>
      </c>
      <c r="AT67" s="191" t="s">
        <v>238</v>
      </c>
      <c r="AV67" s="191"/>
      <c r="AW67" s="191"/>
      <c r="AX67" s="208">
        <f ca="1">SUMIF(A:A,D67,AX:AX)</f>
        <v>0</v>
      </c>
    </row>
    <row r="68" spans="1:50" ht="15.75" customHeight="1" outlineLevel="1">
      <c r="A68" s="507">
        <v>4</v>
      </c>
      <c r="B68" s="507"/>
      <c r="C68" s="507"/>
      <c r="D68" s="135" t="s">
        <v>588</v>
      </c>
      <c r="E68" s="1311" t="s">
        <v>43</v>
      </c>
      <c r="F68" s="1312"/>
      <c r="G68" s="1313"/>
      <c r="H68" s="104" t="s">
        <v>1922</v>
      </c>
      <c r="I68" s="400" t="s">
        <v>807</v>
      </c>
      <c r="J68" s="407"/>
      <c r="K68" s="401"/>
      <c r="L68" s="408">
        <f t="shared" ref="L68:L83" si="60">meses_obra</f>
        <v>8</v>
      </c>
      <c r="M68" s="402">
        <v>3000</v>
      </c>
      <c r="N68" s="402"/>
      <c r="O68" s="137">
        <f t="shared" ref="O68:O83" si="61">IF(I68="CLT","N/A",(L68*(M68/12)*2))</f>
        <v>4000</v>
      </c>
      <c r="P68" s="108">
        <f t="shared" ref="P68:P83" ca="1" si="62">IF(I68="contrato",AB68,AB68)</f>
        <v>14.232954545454545</v>
      </c>
      <c r="Q68" s="138">
        <f t="shared" ref="Q68:Q83" si="63">AE68+AF68</f>
        <v>0</v>
      </c>
      <c r="R68" s="138">
        <f t="shared" ref="R68:R83" si="64">AG68</f>
        <v>0</v>
      </c>
      <c r="S68" s="171">
        <f t="shared" ref="S68:S83" si="65">Q68*AL68</f>
        <v>0</v>
      </c>
      <c r="T68" s="138">
        <f t="shared" ref="T68:T83" si="66">R68*AN68</f>
        <v>0</v>
      </c>
      <c r="U68" s="111">
        <f t="shared" ref="U68:U83" ca="1" si="67">AW68*L68*J68</f>
        <v>0</v>
      </c>
      <c r="V68" s="172"/>
      <c r="W68" s="49"/>
      <c r="X68" s="49"/>
      <c r="Z68" s="107">
        <f t="shared" ref="Z68:Z83" si="68">IF(I68="CLT",(M68/220)*(1+encargos_mensalista),(M68/220))</f>
        <v>13.636363636363637</v>
      </c>
      <c r="AA68" s="107">
        <f t="shared" ref="AA68:AA83" si="69">Z68*(1+K68)</f>
        <v>13.636363636363637</v>
      </c>
      <c r="AB68" s="108">
        <f t="shared" ref="AB68:AB83" ca="1" si="70">AA68*(1+((incidência_do_dissídio/meses_obra)*dissídio_coletivo))</f>
        <v>14.232954545454545</v>
      </c>
      <c r="AC68" s="108">
        <f t="shared" ref="AC68:AC83" ca="1" si="71">AB68*(1+(ociosidade_por_dia/9))</f>
        <v>14.232954545454545</v>
      </c>
      <c r="AD68" s="127"/>
      <c r="AE68" s="139">
        <f t="shared" ref="AE68:AE83" si="72">IF(I68="contrato",0,$N$11*$Q$11*$K$11)</f>
        <v>0</v>
      </c>
      <c r="AF68" s="139">
        <f t="shared" ref="AF68:AF83" si="73">IF(I68="contrato",0,$N$12*$Q$12*$K$12)</f>
        <v>0</v>
      </c>
      <c r="AG68" s="139">
        <f t="shared" ref="AG68:AG83" si="74">IF(I68="contrato",0,$N$13*$Q$13*$K$13)</f>
        <v>0</v>
      </c>
      <c r="AH68" s="139">
        <f t="shared" ref="AH68:AH83" si="75">IF(I68="contrato",0,$N$14*$Q$14*$K$14)</f>
        <v>0</v>
      </c>
      <c r="AI68" s="139">
        <f t="shared" ref="AI68:AI83" si="76">IF(I68="contrato",0,$N$14*$Q$15*$K$15)</f>
        <v>0</v>
      </c>
      <c r="AJ68" s="139">
        <f t="shared" ref="AJ68:AJ83" si="77">IF(I68="contrato",0,$N$14*$Q$16*$K$16)</f>
        <v>0</v>
      </c>
      <c r="AL68" s="107">
        <f t="shared" ref="AL68:AL83" si="78">IF(I68="contrato",0,ROUNDUP((M68/220)*(1+$AA$14)*(1+hora_extra_dias_úteis),2))</f>
        <v>0</v>
      </c>
      <c r="AM68" s="107">
        <f t="shared" ref="AM68:AM83" si="79">IF(I68="contrato",0,ROUNDUP((M68/220)*(1+$AA$14)*(1+hora_extra_sábados),2))</f>
        <v>0</v>
      </c>
      <c r="AN68" s="107">
        <f t="shared" ref="AN68:AN83" si="80">IF(I68="contrato",0,ROUNDUP((M68/220)*(1+$AA$14)*(1+hora_extra_domingos),2))</f>
        <v>0</v>
      </c>
      <c r="AO68" s="107">
        <f t="shared" ref="AO68:AO83" si="81">IF(I68="contrato",0,ROUNDUP(AL68*(1+adicional_noturno),2))</f>
        <v>0</v>
      </c>
      <c r="AP68" s="107">
        <f t="shared" ref="AP68:AP83" si="82">IF(I68="contrato",0,ROUNDUP(AM68*(1+adicional_noturno),2))</f>
        <v>0</v>
      </c>
      <c r="AQ68" s="107">
        <f t="shared" ref="AQ68:AQ83" si="83">IF(I68="contrato",0,ROUNDUP(AN68*(1+adicional_noturno),2))</f>
        <v>0</v>
      </c>
      <c r="AS68" s="147">
        <f t="shared" ref="AS68:AS83" si="84">IF(H68="Coordenação",0,L68*J68)</f>
        <v>0</v>
      </c>
      <c r="AT68" s="614">
        <f t="shared" ref="AT68:AT83" si="85">IF(H68="Coordenação",L68*J68,0)</f>
        <v>0</v>
      </c>
      <c r="AV68" s="204">
        <f t="shared" ref="AV68:AV83" ca="1" si="86">IF(I68="CLT",IF(L68=0,0,P68*220+N68),(P68*220+N68+(O68/meses_obra)))</f>
        <v>3631.25</v>
      </c>
      <c r="AW68" s="204">
        <f t="shared" ref="AW68:AW83" ca="1" si="87">IF(I68="CLT",IF(L68=0,0,((P68*220)+(AE68*AL68)+(AF68*AM68)+(AG68*AN68)+(AH68*AO68)+(AI68*AP68)+(AJ68*AQ68)+N68)),AV68)</f>
        <v>3631.25</v>
      </c>
      <c r="AX68" s="204">
        <f t="shared" ref="AX68:AX83" ca="1" si="88">AV68*L68*J68</f>
        <v>0</v>
      </c>
    </row>
    <row r="69" spans="1:50" ht="15.75" customHeight="1" outlineLevel="1">
      <c r="A69" s="507">
        <v>4</v>
      </c>
      <c r="B69" s="507"/>
      <c r="C69" s="507"/>
      <c r="D69" s="135" t="s">
        <v>589</v>
      </c>
      <c r="E69" s="1308" t="s">
        <v>51</v>
      </c>
      <c r="F69" s="1309"/>
      <c r="G69" s="1310"/>
      <c r="H69" s="104" t="s">
        <v>1922</v>
      </c>
      <c r="I69" s="400" t="s">
        <v>199</v>
      </c>
      <c r="J69" s="409"/>
      <c r="K69" s="405"/>
      <c r="L69" s="408">
        <f t="shared" si="60"/>
        <v>8</v>
      </c>
      <c r="M69" s="403">
        <v>1600</v>
      </c>
      <c r="N69" s="403"/>
      <c r="O69" s="106" t="str">
        <f t="shared" si="61"/>
        <v>N/A</v>
      </c>
      <c r="P69" s="108">
        <f t="shared" ca="1" si="62"/>
        <v>16.144928543817837</v>
      </c>
      <c r="Q69" s="138">
        <f t="shared" si="63"/>
        <v>0</v>
      </c>
      <c r="R69" s="138">
        <f t="shared" si="64"/>
        <v>0</v>
      </c>
      <c r="S69" s="171">
        <f t="shared" si="65"/>
        <v>0</v>
      </c>
      <c r="T69" s="138">
        <f t="shared" si="66"/>
        <v>0</v>
      </c>
      <c r="U69" s="111">
        <f t="shared" ca="1" si="67"/>
        <v>0</v>
      </c>
      <c r="V69" s="172"/>
      <c r="W69" s="49"/>
      <c r="X69" s="49"/>
      <c r="Z69" s="107">
        <f t="shared" si="68"/>
        <v>15.468195012041043</v>
      </c>
      <c r="AA69" s="107">
        <f t="shared" si="69"/>
        <v>15.468195012041043</v>
      </c>
      <c r="AB69" s="108">
        <f t="shared" ca="1" si="70"/>
        <v>16.144928543817837</v>
      </c>
      <c r="AC69" s="108">
        <f t="shared" ca="1" si="71"/>
        <v>16.144928543817837</v>
      </c>
      <c r="AD69" s="127"/>
      <c r="AE69" s="109">
        <f t="shared" si="72"/>
        <v>0</v>
      </c>
      <c r="AF69" s="109">
        <f t="shared" si="73"/>
        <v>0</v>
      </c>
      <c r="AG69" s="109">
        <f t="shared" si="74"/>
        <v>0</v>
      </c>
      <c r="AH69" s="109">
        <f t="shared" si="75"/>
        <v>0</v>
      </c>
      <c r="AI69" s="109">
        <f t="shared" si="76"/>
        <v>0</v>
      </c>
      <c r="AJ69" s="109">
        <f t="shared" si="77"/>
        <v>0</v>
      </c>
      <c r="AL69" s="107">
        <f t="shared" si="78"/>
        <v>17.39</v>
      </c>
      <c r="AM69" s="107">
        <f t="shared" si="79"/>
        <v>17.39</v>
      </c>
      <c r="AN69" s="107">
        <f t="shared" si="80"/>
        <v>21.740000000000002</v>
      </c>
      <c r="AO69" s="107">
        <f t="shared" si="81"/>
        <v>20.87</v>
      </c>
      <c r="AP69" s="107">
        <f t="shared" si="82"/>
        <v>20.87</v>
      </c>
      <c r="AQ69" s="107">
        <f t="shared" si="83"/>
        <v>26.09</v>
      </c>
      <c r="AS69" s="147">
        <f t="shared" si="84"/>
        <v>0</v>
      </c>
      <c r="AT69" s="614">
        <f t="shared" si="85"/>
        <v>0</v>
      </c>
      <c r="AV69" s="110">
        <f t="shared" ca="1" si="86"/>
        <v>3551.884279639924</v>
      </c>
      <c r="AW69" s="110">
        <f t="shared" ca="1" si="87"/>
        <v>3551.884279639924</v>
      </c>
      <c r="AX69" s="110">
        <f t="shared" ca="1" si="88"/>
        <v>0</v>
      </c>
    </row>
    <row r="70" spans="1:50" ht="15.75" customHeight="1" outlineLevel="1">
      <c r="A70" s="507">
        <v>4</v>
      </c>
      <c r="B70" s="507"/>
      <c r="C70" s="507"/>
      <c r="D70" s="135" t="s">
        <v>590</v>
      </c>
      <c r="E70" s="1308" t="s">
        <v>53</v>
      </c>
      <c r="F70" s="1309"/>
      <c r="G70" s="1310"/>
      <c r="H70" s="104" t="s">
        <v>1922</v>
      </c>
      <c r="I70" s="400" t="s">
        <v>199</v>
      </c>
      <c r="J70" s="409"/>
      <c r="K70" s="405"/>
      <c r="L70" s="408">
        <f t="shared" si="60"/>
        <v>8</v>
      </c>
      <c r="M70" s="403">
        <v>1100</v>
      </c>
      <c r="N70" s="403"/>
      <c r="O70" s="106" t="str">
        <f t="shared" si="61"/>
        <v>N/A</v>
      </c>
      <c r="P70" s="108">
        <f t="shared" ca="1" si="62"/>
        <v>11.099638373874765</v>
      </c>
      <c r="Q70" s="138">
        <f t="shared" si="63"/>
        <v>0</v>
      </c>
      <c r="R70" s="138">
        <f t="shared" si="64"/>
        <v>0</v>
      </c>
      <c r="S70" s="171">
        <f t="shared" si="65"/>
        <v>0</v>
      </c>
      <c r="T70" s="138">
        <f t="shared" si="66"/>
        <v>0</v>
      </c>
      <c r="U70" s="111">
        <f t="shared" ca="1" si="67"/>
        <v>0</v>
      </c>
      <c r="V70" s="172"/>
      <c r="W70" s="49"/>
      <c r="X70" s="49"/>
      <c r="Z70" s="107">
        <f t="shared" si="68"/>
        <v>10.634384070778218</v>
      </c>
      <c r="AA70" s="107">
        <f t="shared" si="69"/>
        <v>10.634384070778218</v>
      </c>
      <c r="AB70" s="108">
        <f t="shared" ca="1" si="70"/>
        <v>11.099638373874765</v>
      </c>
      <c r="AC70" s="108">
        <f t="shared" ca="1" si="71"/>
        <v>11.099638373874765</v>
      </c>
      <c r="AD70" s="127"/>
      <c r="AE70" s="109">
        <f t="shared" si="72"/>
        <v>0</v>
      </c>
      <c r="AF70" s="109">
        <f t="shared" si="73"/>
        <v>0</v>
      </c>
      <c r="AG70" s="109">
        <f t="shared" si="74"/>
        <v>0</v>
      </c>
      <c r="AH70" s="109">
        <f t="shared" si="75"/>
        <v>0</v>
      </c>
      <c r="AI70" s="109">
        <f t="shared" si="76"/>
        <v>0</v>
      </c>
      <c r="AJ70" s="109">
        <f t="shared" si="77"/>
        <v>0</v>
      </c>
      <c r="AL70" s="107">
        <f t="shared" si="78"/>
        <v>11.959999999999999</v>
      </c>
      <c r="AM70" s="107">
        <f t="shared" si="79"/>
        <v>11.959999999999999</v>
      </c>
      <c r="AN70" s="107">
        <f t="shared" si="80"/>
        <v>14.95</v>
      </c>
      <c r="AO70" s="107">
        <f t="shared" si="81"/>
        <v>14.36</v>
      </c>
      <c r="AP70" s="107">
        <f t="shared" si="82"/>
        <v>14.36</v>
      </c>
      <c r="AQ70" s="107">
        <f t="shared" si="83"/>
        <v>17.940000000000001</v>
      </c>
      <c r="AS70" s="147">
        <f t="shared" si="84"/>
        <v>0</v>
      </c>
      <c r="AT70" s="614">
        <f t="shared" si="85"/>
        <v>0</v>
      </c>
      <c r="AV70" s="110">
        <f t="shared" ca="1" si="86"/>
        <v>2441.9204422524481</v>
      </c>
      <c r="AW70" s="110">
        <f t="shared" ca="1" si="87"/>
        <v>2441.9204422524481</v>
      </c>
      <c r="AX70" s="110">
        <f t="shared" ca="1" si="88"/>
        <v>0</v>
      </c>
    </row>
    <row r="71" spans="1:50" ht="15.75" customHeight="1" outlineLevel="1">
      <c r="A71" s="507">
        <v>4</v>
      </c>
      <c r="B71" s="507"/>
      <c r="C71" s="507"/>
      <c r="D71" s="135" t="s">
        <v>591</v>
      </c>
      <c r="E71" s="1308" t="s">
        <v>54</v>
      </c>
      <c r="F71" s="1309"/>
      <c r="G71" s="1310"/>
      <c r="H71" s="104" t="s">
        <v>1922</v>
      </c>
      <c r="I71" s="400" t="s">
        <v>199</v>
      </c>
      <c r="J71" s="409"/>
      <c r="K71" s="410"/>
      <c r="L71" s="408">
        <f t="shared" si="60"/>
        <v>8</v>
      </c>
      <c r="M71" s="403">
        <v>1400</v>
      </c>
      <c r="N71" s="403"/>
      <c r="O71" s="106" t="str">
        <f t="shared" si="61"/>
        <v>N/A</v>
      </c>
      <c r="P71" s="108">
        <f t="shared" ca="1" si="62"/>
        <v>14.126812475840607</v>
      </c>
      <c r="Q71" s="138">
        <f t="shared" si="63"/>
        <v>0</v>
      </c>
      <c r="R71" s="138">
        <f t="shared" si="64"/>
        <v>0</v>
      </c>
      <c r="S71" s="171">
        <f t="shared" si="65"/>
        <v>0</v>
      </c>
      <c r="T71" s="138">
        <f t="shared" si="66"/>
        <v>0</v>
      </c>
      <c r="U71" s="111">
        <f t="shared" ca="1" si="67"/>
        <v>0</v>
      </c>
      <c r="V71" s="172"/>
      <c r="W71" s="49"/>
      <c r="X71" s="49"/>
      <c r="Z71" s="107">
        <f t="shared" si="68"/>
        <v>13.534670635535912</v>
      </c>
      <c r="AA71" s="107">
        <f t="shared" si="69"/>
        <v>13.534670635535912</v>
      </c>
      <c r="AB71" s="108">
        <f t="shared" ca="1" si="70"/>
        <v>14.126812475840607</v>
      </c>
      <c r="AC71" s="108">
        <f t="shared" ca="1" si="71"/>
        <v>14.126812475840607</v>
      </c>
      <c r="AD71" s="127"/>
      <c r="AE71" s="109">
        <f t="shared" si="72"/>
        <v>0</v>
      </c>
      <c r="AF71" s="109">
        <f t="shared" si="73"/>
        <v>0</v>
      </c>
      <c r="AG71" s="109">
        <f t="shared" si="74"/>
        <v>0</v>
      </c>
      <c r="AH71" s="109">
        <f t="shared" si="75"/>
        <v>0</v>
      </c>
      <c r="AI71" s="109">
        <f t="shared" si="76"/>
        <v>0</v>
      </c>
      <c r="AJ71" s="109">
        <f t="shared" si="77"/>
        <v>0</v>
      </c>
      <c r="AL71" s="107">
        <f t="shared" si="78"/>
        <v>15.22</v>
      </c>
      <c r="AM71" s="107">
        <f t="shared" si="79"/>
        <v>15.22</v>
      </c>
      <c r="AN71" s="107">
        <f t="shared" si="80"/>
        <v>19.020000000000003</v>
      </c>
      <c r="AO71" s="107">
        <f t="shared" si="81"/>
        <v>18.270000000000003</v>
      </c>
      <c r="AP71" s="107">
        <f t="shared" si="82"/>
        <v>18.270000000000003</v>
      </c>
      <c r="AQ71" s="107">
        <f t="shared" si="83"/>
        <v>22.830000000000002</v>
      </c>
      <c r="AS71" s="147">
        <f t="shared" si="84"/>
        <v>0</v>
      </c>
      <c r="AT71" s="614">
        <f t="shared" si="85"/>
        <v>0</v>
      </c>
      <c r="AV71" s="110">
        <f t="shared" ca="1" si="86"/>
        <v>3107.8987446849337</v>
      </c>
      <c r="AW71" s="110">
        <f t="shared" ca="1" si="87"/>
        <v>3107.8987446849337</v>
      </c>
      <c r="AX71" s="110">
        <f t="shared" ca="1" si="88"/>
        <v>0</v>
      </c>
    </row>
    <row r="72" spans="1:50" ht="15.75" customHeight="1" outlineLevel="1">
      <c r="A72" s="507">
        <v>4</v>
      </c>
      <c r="B72" s="507"/>
      <c r="C72" s="507"/>
      <c r="D72" s="135" t="s">
        <v>592</v>
      </c>
      <c r="E72" s="1308" t="s">
        <v>93</v>
      </c>
      <c r="F72" s="1309"/>
      <c r="G72" s="1310"/>
      <c r="H72" s="104" t="s">
        <v>1922</v>
      </c>
      <c r="I72" s="400" t="s">
        <v>199</v>
      </c>
      <c r="J72" s="409"/>
      <c r="K72" s="405"/>
      <c r="L72" s="408">
        <f t="shared" si="60"/>
        <v>8</v>
      </c>
      <c r="M72" s="403">
        <v>2000</v>
      </c>
      <c r="N72" s="403"/>
      <c r="O72" s="106" t="str">
        <f t="shared" si="61"/>
        <v>N/A</v>
      </c>
      <c r="P72" s="108">
        <f t="shared" ca="1" si="62"/>
        <v>20.181160679772301</v>
      </c>
      <c r="Q72" s="138">
        <f t="shared" si="63"/>
        <v>0</v>
      </c>
      <c r="R72" s="138">
        <f t="shared" si="64"/>
        <v>0</v>
      </c>
      <c r="S72" s="171">
        <f t="shared" si="65"/>
        <v>0</v>
      </c>
      <c r="T72" s="138">
        <f t="shared" si="66"/>
        <v>0</v>
      </c>
      <c r="U72" s="111">
        <f t="shared" ca="1" si="67"/>
        <v>0</v>
      </c>
      <c r="V72" s="172"/>
      <c r="W72" s="49"/>
      <c r="X72" s="49"/>
      <c r="Z72" s="107">
        <f t="shared" si="68"/>
        <v>19.335243765051306</v>
      </c>
      <c r="AA72" s="107">
        <f t="shared" si="69"/>
        <v>19.335243765051306</v>
      </c>
      <c r="AB72" s="108">
        <f t="shared" ca="1" si="70"/>
        <v>20.181160679772301</v>
      </c>
      <c r="AC72" s="108">
        <f t="shared" ca="1" si="71"/>
        <v>20.181160679772301</v>
      </c>
      <c r="AD72" s="127"/>
      <c r="AE72" s="109">
        <f t="shared" si="72"/>
        <v>0</v>
      </c>
      <c r="AF72" s="109">
        <f t="shared" si="73"/>
        <v>0</v>
      </c>
      <c r="AG72" s="109">
        <f t="shared" si="74"/>
        <v>0</v>
      </c>
      <c r="AH72" s="109">
        <f t="shared" si="75"/>
        <v>0</v>
      </c>
      <c r="AI72" s="109">
        <f t="shared" si="76"/>
        <v>0</v>
      </c>
      <c r="AJ72" s="109">
        <f t="shared" si="77"/>
        <v>0</v>
      </c>
      <c r="AL72" s="107">
        <f t="shared" si="78"/>
        <v>21.740000000000002</v>
      </c>
      <c r="AM72" s="107">
        <f t="shared" si="79"/>
        <v>21.740000000000002</v>
      </c>
      <c r="AN72" s="107">
        <f t="shared" si="80"/>
        <v>27.17</v>
      </c>
      <c r="AO72" s="107">
        <f t="shared" si="81"/>
        <v>26.09</v>
      </c>
      <c r="AP72" s="107">
        <f t="shared" si="82"/>
        <v>26.09</v>
      </c>
      <c r="AQ72" s="107">
        <f t="shared" si="83"/>
        <v>32.61</v>
      </c>
      <c r="AS72" s="147">
        <f t="shared" si="84"/>
        <v>0</v>
      </c>
      <c r="AT72" s="614">
        <f t="shared" si="85"/>
        <v>0</v>
      </c>
      <c r="AV72" s="110">
        <f t="shared" ca="1" si="86"/>
        <v>4439.8553495499064</v>
      </c>
      <c r="AW72" s="110">
        <f t="shared" ca="1" si="87"/>
        <v>4439.8553495499064</v>
      </c>
      <c r="AX72" s="110">
        <f t="shared" ca="1" si="88"/>
        <v>0</v>
      </c>
    </row>
    <row r="73" spans="1:50" ht="15.75" customHeight="1" outlineLevel="1">
      <c r="A73" s="507">
        <v>4</v>
      </c>
      <c r="B73" s="507"/>
      <c r="C73" s="507"/>
      <c r="D73" s="135" t="s">
        <v>593</v>
      </c>
      <c r="E73" s="1308" t="s">
        <v>94</v>
      </c>
      <c r="F73" s="1309"/>
      <c r="G73" s="1310"/>
      <c r="H73" s="104" t="s">
        <v>1922</v>
      </c>
      <c r="I73" s="400" t="s">
        <v>199</v>
      </c>
      <c r="J73" s="409"/>
      <c r="K73" s="405"/>
      <c r="L73" s="408">
        <f t="shared" si="60"/>
        <v>8</v>
      </c>
      <c r="M73" s="403">
        <v>1900</v>
      </c>
      <c r="N73" s="403"/>
      <c r="O73" s="106" t="str">
        <f t="shared" si="61"/>
        <v>N/A</v>
      </c>
      <c r="P73" s="108">
        <f t="shared" ca="1" si="62"/>
        <v>19.172102645783685</v>
      </c>
      <c r="Q73" s="138">
        <f t="shared" si="63"/>
        <v>0</v>
      </c>
      <c r="R73" s="138">
        <f t="shared" si="64"/>
        <v>0</v>
      </c>
      <c r="S73" s="171">
        <f t="shared" si="65"/>
        <v>0</v>
      </c>
      <c r="T73" s="138">
        <f t="shared" si="66"/>
        <v>0</v>
      </c>
      <c r="U73" s="111">
        <f t="shared" ca="1" si="67"/>
        <v>0</v>
      </c>
      <c r="V73" s="172"/>
      <c r="W73" s="49"/>
      <c r="X73" s="49"/>
      <c r="Z73" s="107">
        <f t="shared" si="68"/>
        <v>18.368481576798739</v>
      </c>
      <c r="AA73" s="107">
        <f t="shared" si="69"/>
        <v>18.368481576798739</v>
      </c>
      <c r="AB73" s="108">
        <f t="shared" ca="1" si="70"/>
        <v>19.172102645783685</v>
      </c>
      <c r="AC73" s="108">
        <f t="shared" ca="1" si="71"/>
        <v>19.172102645783685</v>
      </c>
      <c r="AD73" s="127"/>
      <c r="AE73" s="109">
        <f t="shared" si="72"/>
        <v>0</v>
      </c>
      <c r="AF73" s="109">
        <f t="shared" si="73"/>
        <v>0</v>
      </c>
      <c r="AG73" s="109">
        <f t="shared" si="74"/>
        <v>0</v>
      </c>
      <c r="AH73" s="109">
        <f t="shared" si="75"/>
        <v>0</v>
      </c>
      <c r="AI73" s="109">
        <f t="shared" si="76"/>
        <v>0</v>
      </c>
      <c r="AJ73" s="109">
        <f t="shared" si="77"/>
        <v>0</v>
      </c>
      <c r="AL73" s="107">
        <f t="shared" si="78"/>
        <v>20.650000000000002</v>
      </c>
      <c r="AM73" s="107">
        <f t="shared" si="79"/>
        <v>20.650000000000002</v>
      </c>
      <c r="AN73" s="107">
        <f t="shared" si="80"/>
        <v>25.810000000000002</v>
      </c>
      <c r="AO73" s="107">
        <f t="shared" si="81"/>
        <v>24.78</v>
      </c>
      <c r="AP73" s="107">
        <f t="shared" si="82"/>
        <v>24.78</v>
      </c>
      <c r="AQ73" s="107">
        <f t="shared" si="83"/>
        <v>30.98</v>
      </c>
      <c r="AS73" s="147">
        <f t="shared" si="84"/>
        <v>0</v>
      </c>
      <c r="AT73" s="614">
        <f t="shared" si="85"/>
        <v>0</v>
      </c>
      <c r="AV73" s="110">
        <f t="shared" ca="1" si="86"/>
        <v>4217.862582072411</v>
      </c>
      <c r="AW73" s="110">
        <f t="shared" ca="1" si="87"/>
        <v>4217.862582072411</v>
      </c>
      <c r="AX73" s="110">
        <f t="shared" ca="1" si="88"/>
        <v>0</v>
      </c>
    </row>
    <row r="74" spans="1:50" ht="15.75" customHeight="1" outlineLevel="1">
      <c r="A74" s="507">
        <v>4</v>
      </c>
      <c r="B74" s="507"/>
      <c r="C74" s="507"/>
      <c r="D74" s="135" t="s">
        <v>594</v>
      </c>
      <c r="E74" s="1308" t="s">
        <v>58</v>
      </c>
      <c r="F74" s="1309"/>
      <c r="G74" s="1310"/>
      <c r="H74" s="104" t="s">
        <v>1922</v>
      </c>
      <c r="I74" s="400" t="s">
        <v>199</v>
      </c>
      <c r="J74" s="409"/>
      <c r="K74" s="405"/>
      <c r="L74" s="408">
        <f t="shared" si="60"/>
        <v>8</v>
      </c>
      <c r="M74" s="403">
        <v>1900</v>
      </c>
      <c r="N74" s="403"/>
      <c r="O74" s="106" t="str">
        <f t="shared" si="61"/>
        <v>N/A</v>
      </c>
      <c r="P74" s="108">
        <f t="shared" ca="1" si="62"/>
        <v>19.172102645783685</v>
      </c>
      <c r="Q74" s="138">
        <f t="shared" si="63"/>
        <v>0</v>
      </c>
      <c r="R74" s="138">
        <f t="shared" si="64"/>
        <v>0</v>
      </c>
      <c r="S74" s="171">
        <f t="shared" si="65"/>
        <v>0</v>
      </c>
      <c r="T74" s="138">
        <f t="shared" si="66"/>
        <v>0</v>
      </c>
      <c r="U74" s="111">
        <f t="shared" ca="1" si="67"/>
        <v>0</v>
      </c>
      <c r="V74" s="172"/>
      <c r="W74" s="49"/>
      <c r="X74" s="49"/>
      <c r="Z74" s="107">
        <f t="shared" si="68"/>
        <v>18.368481576798739</v>
      </c>
      <c r="AA74" s="107">
        <f t="shared" si="69"/>
        <v>18.368481576798739</v>
      </c>
      <c r="AB74" s="108">
        <f t="shared" ca="1" si="70"/>
        <v>19.172102645783685</v>
      </c>
      <c r="AC74" s="108">
        <f t="shared" ca="1" si="71"/>
        <v>19.172102645783685</v>
      </c>
      <c r="AD74" s="127"/>
      <c r="AE74" s="109">
        <f t="shared" si="72"/>
        <v>0</v>
      </c>
      <c r="AF74" s="109">
        <f t="shared" si="73"/>
        <v>0</v>
      </c>
      <c r="AG74" s="109">
        <f t="shared" si="74"/>
        <v>0</v>
      </c>
      <c r="AH74" s="109">
        <f t="shared" si="75"/>
        <v>0</v>
      </c>
      <c r="AI74" s="109">
        <f t="shared" si="76"/>
        <v>0</v>
      </c>
      <c r="AJ74" s="109">
        <f t="shared" si="77"/>
        <v>0</v>
      </c>
      <c r="AL74" s="107">
        <f t="shared" si="78"/>
        <v>20.650000000000002</v>
      </c>
      <c r="AM74" s="107">
        <f t="shared" si="79"/>
        <v>20.650000000000002</v>
      </c>
      <c r="AN74" s="107">
        <f t="shared" si="80"/>
        <v>25.810000000000002</v>
      </c>
      <c r="AO74" s="107">
        <f t="shared" si="81"/>
        <v>24.78</v>
      </c>
      <c r="AP74" s="107">
        <f t="shared" si="82"/>
        <v>24.78</v>
      </c>
      <c r="AQ74" s="107">
        <f t="shared" si="83"/>
        <v>30.98</v>
      </c>
      <c r="AS74" s="147">
        <f t="shared" si="84"/>
        <v>0</v>
      </c>
      <c r="AT74" s="614">
        <f t="shared" si="85"/>
        <v>0</v>
      </c>
      <c r="AV74" s="110">
        <f t="shared" ca="1" si="86"/>
        <v>4217.862582072411</v>
      </c>
      <c r="AW74" s="110">
        <f t="shared" ca="1" si="87"/>
        <v>4217.862582072411</v>
      </c>
      <c r="AX74" s="110">
        <f t="shared" ca="1" si="88"/>
        <v>0</v>
      </c>
    </row>
    <row r="75" spans="1:50" ht="15.75" customHeight="1" outlineLevel="1">
      <c r="A75" s="507">
        <v>4</v>
      </c>
      <c r="B75" s="507"/>
      <c r="C75" s="507"/>
      <c r="D75" s="135" t="s">
        <v>595</v>
      </c>
      <c r="E75" s="1308" t="s">
        <v>90</v>
      </c>
      <c r="F75" s="1309"/>
      <c r="G75" s="1310"/>
      <c r="H75" s="104" t="s">
        <v>1922</v>
      </c>
      <c r="I75" s="400" t="s">
        <v>199</v>
      </c>
      <c r="J75" s="409"/>
      <c r="K75" s="405"/>
      <c r="L75" s="408">
        <f t="shared" si="60"/>
        <v>8</v>
      </c>
      <c r="M75" s="403">
        <v>1364</v>
      </c>
      <c r="N75" s="403"/>
      <c r="O75" s="106" t="str">
        <f t="shared" si="61"/>
        <v>N/A</v>
      </c>
      <c r="P75" s="108">
        <f t="shared" ca="1" si="62"/>
        <v>13.763551583604709</v>
      </c>
      <c r="Q75" s="138">
        <f t="shared" si="63"/>
        <v>0</v>
      </c>
      <c r="R75" s="138">
        <f t="shared" si="64"/>
        <v>0</v>
      </c>
      <c r="S75" s="171">
        <f t="shared" si="65"/>
        <v>0</v>
      </c>
      <c r="T75" s="138">
        <f t="shared" si="66"/>
        <v>0</v>
      </c>
      <c r="U75" s="111">
        <f t="shared" ca="1" si="67"/>
        <v>0</v>
      </c>
      <c r="V75" s="172"/>
      <c r="W75" s="49"/>
      <c r="X75" s="49"/>
      <c r="Z75" s="107">
        <f t="shared" si="68"/>
        <v>13.186636247764991</v>
      </c>
      <c r="AA75" s="107">
        <f t="shared" si="69"/>
        <v>13.186636247764991</v>
      </c>
      <c r="AB75" s="108">
        <f t="shared" ca="1" si="70"/>
        <v>13.763551583604709</v>
      </c>
      <c r="AC75" s="108">
        <f t="shared" ca="1" si="71"/>
        <v>13.763551583604709</v>
      </c>
      <c r="AD75" s="127"/>
      <c r="AE75" s="109">
        <f t="shared" si="72"/>
        <v>0</v>
      </c>
      <c r="AF75" s="109">
        <f t="shared" si="73"/>
        <v>0</v>
      </c>
      <c r="AG75" s="109">
        <f t="shared" si="74"/>
        <v>0</v>
      </c>
      <c r="AH75" s="109">
        <f t="shared" si="75"/>
        <v>0</v>
      </c>
      <c r="AI75" s="109">
        <f t="shared" si="76"/>
        <v>0</v>
      </c>
      <c r="AJ75" s="109">
        <f t="shared" si="77"/>
        <v>0</v>
      </c>
      <c r="AL75" s="107">
        <f t="shared" si="78"/>
        <v>14.83</v>
      </c>
      <c r="AM75" s="107">
        <f t="shared" si="79"/>
        <v>14.83</v>
      </c>
      <c r="AN75" s="107">
        <f t="shared" si="80"/>
        <v>18.53</v>
      </c>
      <c r="AO75" s="107">
        <f t="shared" si="81"/>
        <v>17.8</v>
      </c>
      <c r="AP75" s="107">
        <f t="shared" si="82"/>
        <v>17.8</v>
      </c>
      <c r="AQ75" s="107">
        <f t="shared" si="83"/>
        <v>22.240000000000002</v>
      </c>
      <c r="AS75" s="147">
        <f t="shared" si="84"/>
        <v>0</v>
      </c>
      <c r="AT75" s="614">
        <f t="shared" si="85"/>
        <v>0</v>
      </c>
      <c r="AV75" s="110">
        <f t="shared" ca="1" si="86"/>
        <v>3027.9813483930361</v>
      </c>
      <c r="AW75" s="110">
        <f t="shared" ca="1" si="87"/>
        <v>3027.9813483930361</v>
      </c>
      <c r="AX75" s="110">
        <f t="shared" ca="1" si="88"/>
        <v>0</v>
      </c>
    </row>
    <row r="76" spans="1:50" ht="15.75" customHeight="1" outlineLevel="1">
      <c r="A76" s="507">
        <v>4</v>
      </c>
      <c r="B76" s="507"/>
      <c r="C76" s="507"/>
      <c r="D76" s="135" t="s">
        <v>596</v>
      </c>
      <c r="E76" s="1308" t="s">
        <v>92</v>
      </c>
      <c r="F76" s="1309"/>
      <c r="G76" s="1310"/>
      <c r="H76" s="104" t="s">
        <v>1922</v>
      </c>
      <c r="I76" s="400" t="s">
        <v>199</v>
      </c>
      <c r="J76" s="409"/>
      <c r="K76" s="405"/>
      <c r="L76" s="408">
        <f t="shared" si="60"/>
        <v>8</v>
      </c>
      <c r="M76" s="403">
        <v>1364</v>
      </c>
      <c r="N76" s="403"/>
      <c r="O76" s="106" t="str">
        <f t="shared" si="61"/>
        <v>N/A</v>
      </c>
      <c r="P76" s="108">
        <f t="shared" ca="1" si="62"/>
        <v>13.763551583604709</v>
      </c>
      <c r="Q76" s="138">
        <f t="shared" si="63"/>
        <v>0</v>
      </c>
      <c r="R76" s="138">
        <f t="shared" si="64"/>
        <v>0</v>
      </c>
      <c r="S76" s="171">
        <f t="shared" si="65"/>
        <v>0</v>
      </c>
      <c r="T76" s="138">
        <f t="shared" si="66"/>
        <v>0</v>
      </c>
      <c r="U76" s="111">
        <f t="shared" ca="1" si="67"/>
        <v>0</v>
      </c>
      <c r="V76" s="172"/>
      <c r="W76" s="49"/>
      <c r="X76" s="49"/>
      <c r="Z76" s="107">
        <f t="shared" si="68"/>
        <v>13.186636247764991</v>
      </c>
      <c r="AA76" s="107">
        <f t="shared" si="69"/>
        <v>13.186636247764991</v>
      </c>
      <c r="AB76" s="108">
        <f t="shared" ca="1" si="70"/>
        <v>13.763551583604709</v>
      </c>
      <c r="AC76" s="108">
        <f t="shared" ca="1" si="71"/>
        <v>13.763551583604709</v>
      </c>
      <c r="AD76" s="127"/>
      <c r="AE76" s="109">
        <f t="shared" si="72"/>
        <v>0</v>
      </c>
      <c r="AF76" s="109">
        <f t="shared" si="73"/>
        <v>0</v>
      </c>
      <c r="AG76" s="109">
        <f t="shared" si="74"/>
        <v>0</v>
      </c>
      <c r="AH76" s="109">
        <f t="shared" si="75"/>
        <v>0</v>
      </c>
      <c r="AI76" s="109">
        <f t="shared" si="76"/>
        <v>0</v>
      </c>
      <c r="AJ76" s="109">
        <f t="shared" si="77"/>
        <v>0</v>
      </c>
      <c r="AL76" s="107">
        <f t="shared" si="78"/>
        <v>14.83</v>
      </c>
      <c r="AM76" s="107">
        <f t="shared" si="79"/>
        <v>14.83</v>
      </c>
      <c r="AN76" s="107">
        <f t="shared" si="80"/>
        <v>18.53</v>
      </c>
      <c r="AO76" s="107">
        <f t="shared" si="81"/>
        <v>17.8</v>
      </c>
      <c r="AP76" s="107">
        <f t="shared" si="82"/>
        <v>17.8</v>
      </c>
      <c r="AQ76" s="107">
        <f t="shared" si="83"/>
        <v>22.240000000000002</v>
      </c>
      <c r="AS76" s="147">
        <f t="shared" si="84"/>
        <v>0</v>
      </c>
      <c r="AT76" s="614">
        <f t="shared" si="85"/>
        <v>0</v>
      </c>
      <c r="AV76" s="110">
        <f t="shared" ca="1" si="86"/>
        <v>3027.9813483930361</v>
      </c>
      <c r="AW76" s="110">
        <f t="shared" ca="1" si="87"/>
        <v>3027.9813483930361</v>
      </c>
      <c r="AX76" s="110">
        <f t="shared" ca="1" si="88"/>
        <v>0</v>
      </c>
    </row>
    <row r="77" spans="1:50" ht="15.75" customHeight="1" outlineLevel="1">
      <c r="A77" s="507">
        <v>4</v>
      </c>
      <c r="B77" s="507"/>
      <c r="C77" s="507"/>
      <c r="D77" s="135" t="s">
        <v>597</v>
      </c>
      <c r="E77" s="1308" t="s">
        <v>91</v>
      </c>
      <c r="F77" s="1309"/>
      <c r="G77" s="1310"/>
      <c r="H77" s="104" t="s">
        <v>1922</v>
      </c>
      <c r="I77" s="400" t="s">
        <v>199</v>
      </c>
      <c r="J77" s="409"/>
      <c r="K77" s="405"/>
      <c r="L77" s="408">
        <f t="shared" si="60"/>
        <v>8</v>
      </c>
      <c r="M77" s="403">
        <v>1364</v>
      </c>
      <c r="N77" s="403"/>
      <c r="O77" s="106" t="str">
        <f t="shared" si="61"/>
        <v>N/A</v>
      </c>
      <c r="P77" s="108">
        <f t="shared" ca="1" si="62"/>
        <v>13.763551583604709</v>
      </c>
      <c r="Q77" s="138">
        <f t="shared" si="63"/>
        <v>0</v>
      </c>
      <c r="R77" s="138">
        <f t="shared" si="64"/>
        <v>0</v>
      </c>
      <c r="S77" s="171">
        <f t="shared" si="65"/>
        <v>0</v>
      </c>
      <c r="T77" s="138">
        <f t="shared" si="66"/>
        <v>0</v>
      </c>
      <c r="U77" s="111">
        <f t="shared" ca="1" si="67"/>
        <v>0</v>
      </c>
      <c r="V77" s="172"/>
      <c r="W77" s="49"/>
      <c r="X77" s="49"/>
      <c r="Z77" s="107">
        <f t="shared" si="68"/>
        <v>13.186636247764991</v>
      </c>
      <c r="AA77" s="107">
        <f t="shared" si="69"/>
        <v>13.186636247764991</v>
      </c>
      <c r="AB77" s="108">
        <f t="shared" ca="1" si="70"/>
        <v>13.763551583604709</v>
      </c>
      <c r="AC77" s="108">
        <f t="shared" ca="1" si="71"/>
        <v>13.763551583604709</v>
      </c>
      <c r="AD77" s="127"/>
      <c r="AE77" s="109">
        <f t="shared" si="72"/>
        <v>0</v>
      </c>
      <c r="AF77" s="109">
        <f t="shared" si="73"/>
        <v>0</v>
      </c>
      <c r="AG77" s="109">
        <f t="shared" si="74"/>
        <v>0</v>
      </c>
      <c r="AH77" s="109">
        <f t="shared" si="75"/>
        <v>0</v>
      </c>
      <c r="AI77" s="109">
        <f t="shared" si="76"/>
        <v>0</v>
      </c>
      <c r="AJ77" s="109">
        <f t="shared" si="77"/>
        <v>0</v>
      </c>
      <c r="AL77" s="107">
        <f t="shared" si="78"/>
        <v>14.83</v>
      </c>
      <c r="AM77" s="107">
        <f t="shared" si="79"/>
        <v>14.83</v>
      </c>
      <c r="AN77" s="107">
        <f t="shared" si="80"/>
        <v>18.53</v>
      </c>
      <c r="AO77" s="107">
        <f t="shared" si="81"/>
        <v>17.8</v>
      </c>
      <c r="AP77" s="107">
        <f t="shared" si="82"/>
        <v>17.8</v>
      </c>
      <c r="AQ77" s="107">
        <f t="shared" si="83"/>
        <v>22.240000000000002</v>
      </c>
      <c r="AS77" s="147">
        <f t="shared" si="84"/>
        <v>0</v>
      </c>
      <c r="AT77" s="614">
        <f t="shared" si="85"/>
        <v>0</v>
      </c>
      <c r="AV77" s="110">
        <f t="shared" ca="1" si="86"/>
        <v>3027.9813483930361</v>
      </c>
      <c r="AW77" s="110">
        <f t="shared" ca="1" si="87"/>
        <v>3027.9813483930361</v>
      </c>
      <c r="AX77" s="110">
        <f t="shared" ca="1" si="88"/>
        <v>0</v>
      </c>
    </row>
    <row r="78" spans="1:50" ht="15.75" customHeight="1" outlineLevel="1">
      <c r="A78" s="507">
        <v>4</v>
      </c>
      <c r="B78" s="507"/>
      <c r="C78" s="507"/>
      <c r="D78" s="135" t="s">
        <v>598</v>
      </c>
      <c r="E78" s="1308" t="s">
        <v>68</v>
      </c>
      <c r="F78" s="1309"/>
      <c r="G78" s="1310"/>
      <c r="H78" s="104" t="s">
        <v>1922</v>
      </c>
      <c r="I78" s="400" t="s">
        <v>199</v>
      </c>
      <c r="J78" s="409"/>
      <c r="K78" s="410"/>
      <c r="L78" s="408">
        <f t="shared" si="60"/>
        <v>8</v>
      </c>
      <c r="M78" s="403">
        <v>1364</v>
      </c>
      <c r="N78" s="403"/>
      <c r="O78" s="106" t="str">
        <f t="shared" si="61"/>
        <v>N/A</v>
      </c>
      <c r="P78" s="108">
        <f t="shared" ca="1" si="62"/>
        <v>13.763551583604709</v>
      </c>
      <c r="Q78" s="138">
        <f t="shared" si="63"/>
        <v>0</v>
      </c>
      <c r="R78" s="138">
        <f t="shared" si="64"/>
        <v>0</v>
      </c>
      <c r="S78" s="171">
        <f t="shared" si="65"/>
        <v>0</v>
      </c>
      <c r="T78" s="138">
        <f t="shared" si="66"/>
        <v>0</v>
      </c>
      <c r="U78" s="111">
        <f t="shared" ca="1" si="67"/>
        <v>0</v>
      </c>
      <c r="V78" s="172"/>
      <c r="W78" s="49"/>
      <c r="X78" s="49"/>
      <c r="Z78" s="107">
        <f t="shared" si="68"/>
        <v>13.186636247764991</v>
      </c>
      <c r="AA78" s="107">
        <f t="shared" si="69"/>
        <v>13.186636247764991</v>
      </c>
      <c r="AB78" s="108">
        <f t="shared" ca="1" si="70"/>
        <v>13.763551583604709</v>
      </c>
      <c r="AC78" s="108">
        <f t="shared" ca="1" si="71"/>
        <v>13.763551583604709</v>
      </c>
      <c r="AD78" s="127"/>
      <c r="AE78" s="109">
        <f t="shared" si="72"/>
        <v>0</v>
      </c>
      <c r="AF78" s="109">
        <f t="shared" si="73"/>
        <v>0</v>
      </c>
      <c r="AG78" s="109">
        <f t="shared" si="74"/>
        <v>0</v>
      </c>
      <c r="AH78" s="109">
        <f t="shared" si="75"/>
        <v>0</v>
      </c>
      <c r="AI78" s="109">
        <f t="shared" si="76"/>
        <v>0</v>
      </c>
      <c r="AJ78" s="109">
        <f t="shared" si="77"/>
        <v>0</v>
      </c>
      <c r="AL78" s="107">
        <f t="shared" si="78"/>
        <v>14.83</v>
      </c>
      <c r="AM78" s="107">
        <f t="shared" si="79"/>
        <v>14.83</v>
      </c>
      <c r="AN78" s="107">
        <f t="shared" si="80"/>
        <v>18.53</v>
      </c>
      <c r="AO78" s="107">
        <f t="shared" si="81"/>
        <v>17.8</v>
      </c>
      <c r="AP78" s="107">
        <f t="shared" si="82"/>
        <v>17.8</v>
      </c>
      <c r="AQ78" s="107">
        <f t="shared" si="83"/>
        <v>22.240000000000002</v>
      </c>
      <c r="AS78" s="147">
        <f t="shared" si="84"/>
        <v>0</v>
      </c>
      <c r="AT78" s="614">
        <f t="shared" si="85"/>
        <v>0</v>
      </c>
      <c r="AV78" s="110">
        <f t="shared" ca="1" si="86"/>
        <v>3027.9813483930361</v>
      </c>
      <c r="AW78" s="110">
        <f t="shared" ca="1" si="87"/>
        <v>3027.9813483930361</v>
      </c>
      <c r="AX78" s="110">
        <f t="shared" ca="1" si="88"/>
        <v>0</v>
      </c>
    </row>
    <row r="79" spans="1:50" ht="15.75" customHeight="1" outlineLevel="1">
      <c r="A79" s="507">
        <v>4</v>
      </c>
      <c r="B79" s="507"/>
      <c r="C79" s="507"/>
      <c r="D79" s="135" t="s">
        <v>599</v>
      </c>
      <c r="E79" s="1308" t="s">
        <v>49</v>
      </c>
      <c r="F79" s="1309"/>
      <c r="G79" s="1310"/>
      <c r="H79" s="104" t="s">
        <v>1922</v>
      </c>
      <c r="I79" s="400" t="s">
        <v>199</v>
      </c>
      <c r="J79" s="409"/>
      <c r="K79" s="405"/>
      <c r="L79" s="408">
        <f t="shared" si="60"/>
        <v>8</v>
      </c>
      <c r="M79" s="403">
        <v>2500</v>
      </c>
      <c r="N79" s="403">
        <v>0</v>
      </c>
      <c r="O79" s="106" t="str">
        <f t="shared" si="61"/>
        <v>N/A</v>
      </c>
      <c r="P79" s="108">
        <f t="shared" ca="1" si="62"/>
        <v>25.226450849715373</v>
      </c>
      <c r="Q79" s="138">
        <f t="shared" si="63"/>
        <v>0</v>
      </c>
      <c r="R79" s="138">
        <f t="shared" si="64"/>
        <v>0</v>
      </c>
      <c r="S79" s="171">
        <f t="shared" si="65"/>
        <v>0</v>
      </c>
      <c r="T79" s="138">
        <f t="shared" si="66"/>
        <v>0</v>
      </c>
      <c r="U79" s="111">
        <f t="shared" ca="1" si="67"/>
        <v>0</v>
      </c>
      <c r="V79" s="172"/>
      <c r="W79" s="49"/>
      <c r="X79" s="49"/>
      <c r="Z79" s="107">
        <f t="shared" si="68"/>
        <v>24.169054706314132</v>
      </c>
      <c r="AA79" s="107">
        <f t="shared" si="69"/>
        <v>24.169054706314132</v>
      </c>
      <c r="AB79" s="108">
        <f t="shared" ca="1" si="70"/>
        <v>25.226450849715373</v>
      </c>
      <c r="AC79" s="108">
        <f t="shared" ca="1" si="71"/>
        <v>25.226450849715373</v>
      </c>
      <c r="AD79" s="127"/>
      <c r="AE79" s="109">
        <f t="shared" si="72"/>
        <v>0</v>
      </c>
      <c r="AF79" s="109">
        <f t="shared" si="73"/>
        <v>0</v>
      </c>
      <c r="AG79" s="109">
        <f t="shared" si="74"/>
        <v>0</v>
      </c>
      <c r="AH79" s="109">
        <f t="shared" si="75"/>
        <v>0</v>
      </c>
      <c r="AI79" s="109">
        <f t="shared" si="76"/>
        <v>0</v>
      </c>
      <c r="AJ79" s="109">
        <f t="shared" si="77"/>
        <v>0</v>
      </c>
      <c r="AL79" s="107">
        <f t="shared" si="78"/>
        <v>27.17</v>
      </c>
      <c r="AM79" s="107">
        <f t="shared" si="79"/>
        <v>27.17</v>
      </c>
      <c r="AN79" s="107">
        <f t="shared" si="80"/>
        <v>33.96</v>
      </c>
      <c r="AO79" s="107">
        <f t="shared" si="81"/>
        <v>32.61</v>
      </c>
      <c r="AP79" s="107">
        <f t="shared" si="82"/>
        <v>32.61</v>
      </c>
      <c r="AQ79" s="107">
        <f t="shared" si="83"/>
        <v>40.76</v>
      </c>
      <c r="AS79" s="147">
        <f t="shared" si="84"/>
        <v>0</v>
      </c>
      <c r="AT79" s="614">
        <f t="shared" si="85"/>
        <v>0</v>
      </c>
      <c r="AV79" s="110">
        <f t="shared" ca="1" si="86"/>
        <v>5549.8191869373823</v>
      </c>
      <c r="AW79" s="110">
        <f t="shared" ca="1" si="87"/>
        <v>5549.8191869373823</v>
      </c>
      <c r="AX79" s="110">
        <f t="shared" ca="1" si="88"/>
        <v>0</v>
      </c>
    </row>
    <row r="80" spans="1:50" ht="15.75" customHeight="1" outlineLevel="1">
      <c r="A80" s="507">
        <v>4</v>
      </c>
      <c r="B80" s="507"/>
      <c r="C80" s="507"/>
      <c r="D80" s="135" t="s">
        <v>690</v>
      </c>
      <c r="E80" s="1308" t="s">
        <v>50</v>
      </c>
      <c r="F80" s="1309"/>
      <c r="G80" s="1310"/>
      <c r="H80" s="104" t="s">
        <v>1922</v>
      </c>
      <c r="I80" s="400" t="s">
        <v>199</v>
      </c>
      <c r="J80" s="409"/>
      <c r="K80" s="405"/>
      <c r="L80" s="408">
        <f t="shared" si="60"/>
        <v>8</v>
      </c>
      <c r="M80" s="403">
        <v>2500</v>
      </c>
      <c r="N80" s="403">
        <v>0</v>
      </c>
      <c r="O80" s="106" t="str">
        <f t="shared" si="61"/>
        <v>N/A</v>
      </c>
      <c r="P80" s="108">
        <f t="shared" ca="1" si="62"/>
        <v>25.226450849715373</v>
      </c>
      <c r="Q80" s="138">
        <f t="shared" si="63"/>
        <v>0</v>
      </c>
      <c r="R80" s="138">
        <f t="shared" si="64"/>
        <v>0</v>
      </c>
      <c r="S80" s="171">
        <f t="shared" si="65"/>
        <v>0</v>
      </c>
      <c r="T80" s="138">
        <f t="shared" si="66"/>
        <v>0</v>
      </c>
      <c r="U80" s="111">
        <f t="shared" ca="1" si="67"/>
        <v>0</v>
      </c>
      <c r="V80" s="172"/>
      <c r="W80" s="49"/>
      <c r="X80" s="49"/>
      <c r="Z80" s="107">
        <f t="shared" si="68"/>
        <v>24.169054706314132</v>
      </c>
      <c r="AA80" s="107">
        <f t="shared" si="69"/>
        <v>24.169054706314132</v>
      </c>
      <c r="AB80" s="108">
        <f t="shared" ca="1" si="70"/>
        <v>25.226450849715373</v>
      </c>
      <c r="AC80" s="108">
        <f t="shared" ca="1" si="71"/>
        <v>25.226450849715373</v>
      </c>
      <c r="AD80" s="127"/>
      <c r="AE80" s="109">
        <f t="shared" si="72"/>
        <v>0</v>
      </c>
      <c r="AF80" s="109">
        <f t="shared" si="73"/>
        <v>0</v>
      </c>
      <c r="AG80" s="109">
        <f t="shared" si="74"/>
        <v>0</v>
      </c>
      <c r="AH80" s="109">
        <f t="shared" si="75"/>
        <v>0</v>
      </c>
      <c r="AI80" s="109">
        <f t="shared" si="76"/>
        <v>0</v>
      </c>
      <c r="AJ80" s="109">
        <f t="shared" si="77"/>
        <v>0</v>
      </c>
      <c r="AL80" s="107">
        <f t="shared" si="78"/>
        <v>27.17</v>
      </c>
      <c r="AM80" s="107">
        <f t="shared" si="79"/>
        <v>27.17</v>
      </c>
      <c r="AN80" s="107">
        <f t="shared" si="80"/>
        <v>33.96</v>
      </c>
      <c r="AO80" s="107">
        <f t="shared" si="81"/>
        <v>32.61</v>
      </c>
      <c r="AP80" s="107">
        <f t="shared" si="82"/>
        <v>32.61</v>
      </c>
      <c r="AQ80" s="107">
        <f t="shared" si="83"/>
        <v>40.76</v>
      </c>
      <c r="AS80" s="147">
        <f t="shared" si="84"/>
        <v>0</v>
      </c>
      <c r="AT80" s="614">
        <f t="shared" si="85"/>
        <v>0</v>
      </c>
      <c r="AV80" s="110">
        <f t="shared" ca="1" si="86"/>
        <v>5549.8191869373823</v>
      </c>
      <c r="AW80" s="110">
        <f t="shared" ca="1" si="87"/>
        <v>5549.8191869373823</v>
      </c>
      <c r="AX80" s="110">
        <f t="shared" ca="1" si="88"/>
        <v>0</v>
      </c>
    </row>
    <row r="81" spans="1:50" ht="15.75" customHeight="1" outlineLevel="1">
      <c r="A81" s="507">
        <v>4</v>
      </c>
      <c r="B81" s="507"/>
      <c r="C81" s="507"/>
      <c r="D81" s="135" t="s">
        <v>691</v>
      </c>
      <c r="E81" s="1304" t="s">
        <v>39</v>
      </c>
      <c r="F81" s="1305"/>
      <c r="G81" s="1306"/>
      <c r="H81" s="104" t="s">
        <v>1922</v>
      </c>
      <c r="I81" s="400" t="s">
        <v>199</v>
      </c>
      <c r="J81" s="412"/>
      <c r="K81" s="411"/>
      <c r="L81" s="408">
        <f t="shared" si="60"/>
        <v>8</v>
      </c>
      <c r="M81" s="403"/>
      <c r="N81" s="403"/>
      <c r="O81" s="106" t="str">
        <f t="shared" si="61"/>
        <v>N/A</v>
      </c>
      <c r="P81" s="108">
        <f t="shared" ca="1" si="62"/>
        <v>0</v>
      </c>
      <c r="Q81" s="138">
        <f t="shared" si="63"/>
        <v>0</v>
      </c>
      <c r="R81" s="138">
        <f t="shared" si="64"/>
        <v>0</v>
      </c>
      <c r="S81" s="171">
        <f t="shared" si="65"/>
        <v>0</v>
      </c>
      <c r="T81" s="138">
        <f t="shared" si="66"/>
        <v>0</v>
      </c>
      <c r="U81" s="111">
        <f t="shared" ca="1" si="67"/>
        <v>0</v>
      </c>
      <c r="V81" s="172"/>
      <c r="W81" s="49"/>
      <c r="X81" s="49"/>
      <c r="Z81" s="107">
        <f t="shared" si="68"/>
        <v>0</v>
      </c>
      <c r="AA81" s="107">
        <f t="shared" si="69"/>
        <v>0</v>
      </c>
      <c r="AB81" s="108">
        <f t="shared" ca="1" si="70"/>
        <v>0</v>
      </c>
      <c r="AC81" s="108">
        <f t="shared" ca="1" si="71"/>
        <v>0</v>
      </c>
      <c r="AD81" s="127"/>
      <c r="AE81" s="109">
        <f t="shared" si="72"/>
        <v>0</v>
      </c>
      <c r="AF81" s="109">
        <f t="shared" si="73"/>
        <v>0</v>
      </c>
      <c r="AG81" s="109">
        <f t="shared" si="74"/>
        <v>0</v>
      </c>
      <c r="AH81" s="109">
        <f t="shared" si="75"/>
        <v>0</v>
      </c>
      <c r="AI81" s="109">
        <f t="shared" si="76"/>
        <v>0</v>
      </c>
      <c r="AJ81" s="109">
        <f t="shared" si="77"/>
        <v>0</v>
      </c>
      <c r="AL81" s="107">
        <f t="shared" si="78"/>
        <v>0</v>
      </c>
      <c r="AM81" s="107">
        <f t="shared" si="79"/>
        <v>0</v>
      </c>
      <c r="AN81" s="107">
        <f t="shared" si="80"/>
        <v>0</v>
      </c>
      <c r="AO81" s="107">
        <f t="shared" si="81"/>
        <v>0</v>
      </c>
      <c r="AP81" s="107">
        <f t="shared" si="82"/>
        <v>0</v>
      </c>
      <c r="AQ81" s="107">
        <f t="shared" si="83"/>
        <v>0</v>
      </c>
      <c r="AS81" s="147">
        <f t="shared" si="84"/>
        <v>0</v>
      </c>
      <c r="AT81" s="614">
        <f t="shared" si="85"/>
        <v>0</v>
      </c>
      <c r="AV81" s="110">
        <f t="shared" ca="1" si="86"/>
        <v>0</v>
      </c>
      <c r="AW81" s="110">
        <f t="shared" ca="1" si="87"/>
        <v>0</v>
      </c>
      <c r="AX81" s="110">
        <f t="shared" ca="1" si="88"/>
        <v>0</v>
      </c>
    </row>
    <row r="82" spans="1:50" ht="15.75" customHeight="1" outlineLevel="1">
      <c r="A82" s="507">
        <v>4</v>
      </c>
      <c r="B82" s="507"/>
      <c r="C82" s="507"/>
      <c r="D82" s="135" t="s">
        <v>1928</v>
      </c>
      <c r="E82" s="1304" t="s">
        <v>52</v>
      </c>
      <c r="F82" s="1305"/>
      <c r="G82" s="1306"/>
      <c r="H82" s="104" t="s">
        <v>1922</v>
      </c>
      <c r="I82" s="400" t="s">
        <v>199</v>
      </c>
      <c r="J82" s="412"/>
      <c r="K82" s="411"/>
      <c r="L82" s="408">
        <f t="shared" si="60"/>
        <v>8</v>
      </c>
      <c r="M82" s="403"/>
      <c r="N82" s="403"/>
      <c r="O82" s="106" t="str">
        <f t="shared" ref="O82" si="89">IF(I82="CLT","N/A",(L82*(M82/12)*2))</f>
        <v>N/A</v>
      </c>
      <c r="P82" s="108">
        <f t="shared" ref="P82" ca="1" si="90">IF(I82="contrato",AB82,AB82)</f>
        <v>0</v>
      </c>
      <c r="Q82" s="138">
        <f t="shared" ref="Q82" si="91">AE82+AF82</f>
        <v>0</v>
      </c>
      <c r="R82" s="138">
        <f t="shared" ref="R82" si="92">AG82</f>
        <v>0</v>
      </c>
      <c r="S82" s="171">
        <f t="shared" ref="S82" si="93">Q82*AL82</f>
        <v>0</v>
      </c>
      <c r="T82" s="138">
        <f t="shared" ref="T82" si="94">R82*AN82</f>
        <v>0</v>
      </c>
      <c r="U82" s="111">
        <f t="shared" ref="U82" ca="1" si="95">AW82*L82*J82</f>
        <v>0</v>
      </c>
      <c r="V82" s="172"/>
      <c r="W82" s="49"/>
      <c r="X82" s="49"/>
      <c r="Z82" s="107">
        <f t="shared" si="68"/>
        <v>0</v>
      </c>
      <c r="AA82" s="107">
        <f t="shared" si="69"/>
        <v>0</v>
      </c>
      <c r="AB82" s="108">
        <f t="shared" ca="1" si="70"/>
        <v>0</v>
      </c>
      <c r="AC82" s="108">
        <f t="shared" ca="1" si="71"/>
        <v>0</v>
      </c>
      <c r="AD82" s="127"/>
      <c r="AE82" s="109">
        <f t="shared" ref="AE82" si="96">IF(I82="contrato",0,$N$11*$Q$11*$K$11)</f>
        <v>0</v>
      </c>
      <c r="AF82" s="109">
        <f t="shared" ref="AF82" si="97">IF(I82="contrato",0,$N$12*$Q$12*$K$12)</f>
        <v>0</v>
      </c>
      <c r="AG82" s="109">
        <f t="shared" ref="AG82" si="98">IF(I82="contrato",0,$N$13*$Q$13*$K$13)</f>
        <v>0</v>
      </c>
      <c r="AH82" s="109">
        <f t="shared" ref="AH82" si="99">IF(I82="contrato",0,$N$14*$Q$14*$K$14)</f>
        <v>0</v>
      </c>
      <c r="AI82" s="109">
        <f t="shared" ref="AI82" si="100">IF(I82="contrato",0,$N$14*$Q$15*$K$15)</f>
        <v>0</v>
      </c>
      <c r="AJ82" s="109">
        <f t="shared" ref="AJ82" si="101">IF(I82="contrato",0,$N$14*$Q$16*$K$16)</f>
        <v>0</v>
      </c>
      <c r="AL82" s="107">
        <f t="shared" si="78"/>
        <v>0</v>
      </c>
      <c r="AM82" s="107">
        <f t="shared" si="79"/>
        <v>0</v>
      </c>
      <c r="AN82" s="107">
        <f t="shared" si="80"/>
        <v>0</v>
      </c>
      <c r="AO82" s="107">
        <f t="shared" si="81"/>
        <v>0</v>
      </c>
      <c r="AP82" s="107">
        <f t="shared" si="82"/>
        <v>0</v>
      </c>
      <c r="AQ82" s="107">
        <f t="shared" si="83"/>
        <v>0</v>
      </c>
      <c r="AS82" s="147">
        <f t="shared" si="84"/>
        <v>0</v>
      </c>
      <c r="AT82" s="614">
        <f t="shared" si="85"/>
        <v>0</v>
      </c>
      <c r="AV82" s="110">
        <f t="shared" ref="AV82" ca="1" si="102">IF(I82="CLT",IF(L82=0,0,P82*220+N82),(P82*220+N82+(O82/meses_obra)))</f>
        <v>0</v>
      </c>
      <c r="AW82" s="110">
        <f t="shared" ref="AW82" ca="1" si="103">IF(I82="CLT",IF(L82=0,0,((P82*220)+(AE82*AL82)+(AF82*AM82)+(AG82*AN82)+(AH82*AO82)+(AI82*AP82)+(AJ82*AQ82)+N82)),AV82)</f>
        <v>0</v>
      </c>
      <c r="AX82" s="110">
        <f t="shared" ref="AX82" ca="1" si="104">AV82*L82*J82</f>
        <v>0</v>
      </c>
    </row>
    <row r="83" spans="1:50" ht="15.75" customHeight="1" outlineLevel="1">
      <c r="A83" s="507">
        <v>4</v>
      </c>
      <c r="B83" s="507"/>
      <c r="C83" s="507"/>
      <c r="D83" s="135" t="s">
        <v>1929</v>
      </c>
      <c r="E83" s="1304"/>
      <c r="F83" s="1305"/>
      <c r="G83" s="1306"/>
      <c r="H83" s="104"/>
      <c r="I83" s="400" t="s">
        <v>199</v>
      </c>
      <c r="J83" s="412"/>
      <c r="K83" s="411"/>
      <c r="L83" s="408">
        <f t="shared" si="60"/>
        <v>8</v>
      </c>
      <c r="M83" s="403"/>
      <c r="N83" s="403"/>
      <c r="O83" s="106" t="str">
        <f t="shared" si="61"/>
        <v>N/A</v>
      </c>
      <c r="P83" s="108">
        <f t="shared" ca="1" si="62"/>
        <v>0</v>
      </c>
      <c r="Q83" s="138">
        <f t="shared" si="63"/>
        <v>0</v>
      </c>
      <c r="R83" s="138">
        <f t="shared" si="64"/>
        <v>0</v>
      </c>
      <c r="S83" s="171">
        <f t="shared" si="65"/>
        <v>0</v>
      </c>
      <c r="T83" s="138">
        <f t="shared" si="66"/>
        <v>0</v>
      </c>
      <c r="U83" s="111">
        <f t="shared" ca="1" si="67"/>
        <v>0</v>
      </c>
      <c r="V83" s="172"/>
      <c r="W83" s="49"/>
      <c r="X83" s="49"/>
      <c r="Z83" s="107">
        <f t="shared" si="68"/>
        <v>0</v>
      </c>
      <c r="AA83" s="107">
        <f t="shared" si="69"/>
        <v>0</v>
      </c>
      <c r="AB83" s="108">
        <f t="shared" ca="1" si="70"/>
        <v>0</v>
      </c>
      <c r="AC83" s="108">
        <f t="shared" ca="1" si="71"/>
        <v>0</v>
      </c>
      <c r="AD83" s="127"/>
      <c r="AE83" s="109">
        <f t="shared" si="72"/>
        <v>0</v>
      </c>
      <c r="AF83" s="109">
        <f t="shared" si="73"/>
        <v>0</v>
      </c>
      <c r="AG83" s="109">
        <f t="shared" si="74"/>
        <v>0</v>
      </c>
      <c r="AH83" s="109">
        <f t="shared" si="75"/>
        <v>0</v>
      </c>
      <c r="AI83" s="109">
        <f t="shared" si="76"/>
        <v>0</v>
      </c>
      <c r="AJ83" s="109">
        <f t="shared" si="77"/>
        <v>0</v>
      </c>
      <c r="AL83" s="107">
        <f t="shared" si="78"/>
        <v>0</v>
      </c>
      <c r="AM83" s="107">
        <f t="shared" si="79"/>
        <v>0</v>
      </c>
      <c r="AN83" s="107">
        <f t="shared" si="80"/>
        <v>0</v>
      </c>
      <c r="AO83" s="107">
        <f t="shared" si="81"/>
        <v>0</v>
      </c>
      <c r="AP83" s="107">
        <f t="shared" si="82"/>
        <v>0</v>
      </c>
      <c r="AQ83" s="107">
        <f t="shared" si="83"/>
        <v>0</v>
      </c>
      <c r="AS83" s="147">
        <f t="shared" si="84"/>
        <v>0</v>
      </c>
      <c r="AT83" s="614">
        <f t="shared" si="85"/>
        <v>0</v>
      </c>
      <c r="AV83" s="110">
        <f t="shared" ca="1" si="86"/>
        <v>0</v>
      </c>
      <c r="AW83" s="110">
        <f t="shared" ca="1" si="87"/>
        <v>0</v>
      </c>
      <c r="AX83" s="110">
        <f t="shared" ca="1" si="88"/>
        <v>0</v>
      </c>
    </row>
    <row r="84" spans="1:50" ht="15.75" customHeight="1" outlineLevel="1">
      <c r="A84" s="507"/>
      <c r="B84" s="507"/>
      <c r="C84" s="507"/>
      <c r="D84" s="128"/>
      <c r="E84" s="129"/>
      <c r="F84" s="130"/>
      <c r="G84" s="130"/>
      <c r="H84" s="131"/>
      <c r="I84" s="130"/>
      <c r="J84" s="132"/>
      <c r="K84" s="130"/>
      <c r="L84" s="132"/>
      <c r="M84" s="130"/>
      <c r="N84" s="130"/>
      <c r="O84" s="130"/>
      <c r="P84" s="130"/>
      <c r="Q84" s="130"/>
      <c r="R84" s="130"/>
      <c r="S84" s="130"/>
      <c r="T84" s="130"/>
      <c r="U84" s="140"/>
      <c r="V84" s="172"/>
      <c r="Z84" s="130"/>
      <c r="AA84" s="130"/>
      <c r="AB84" s="130"/>
      <c r="AC84" s="130"/>
      <c r="AD84" s="282"/>
      <c r="AE84" s="133"/>
      <c r="AF84" s="133"/>
      <c r="AG84" s="133"/>
      <c r="AH84" s="133"/>
      <c r="AI84" s="133"/>
      <c r="AJ84" s="133"/>
      <c r="AL84" s="155"/>
      <c r="AM84" s="155"/>
      <c r="AN84" s="155"/>
      <c r="AO84" s="155"/>
      <c r="AP84" s="155"/>
      <c r="AQ84" s="155"/>
      <c r="AS84" s="105"/>
      <c r="AT84" s="105"/>
      <c r="AV84" s="130"/>
      <c r="AW84" s="130"/>
      <c r="AX84" s="134"/>
    </row>
    <row r="85" spans="1:50" s="49" customFormat="1" ht="15.75" customHeight="1" outlineLevel="1">
      <c r="A85" s="507" t="s">
        <v>189</v>
      </c>
      <c r="B85" s="507"/>
      <c r="C85" s="507"/>
      <c r="D85" s="215" t="s">
        <v>523</v>
      </c>
      <c r="E85" s="221" t="s">
        <v>196</v>
      </c>
      <c r="F85" s="221"/>
      <c r="G85" s="221"/>
      <c r="H85" s="222"/>
      <c r="I85" s="222"/>
      <c r="J85" s="224" t="s">
        <v>154</v>
      </c>
      <c r="K85" s="223" t="s">
        <v>803</v>
      </c>
      <c r="L85" s="219" t="s">
        <v>795</v>
      </c>
      <c r="M85" s="223" t="s">
        <v>122</v>
      </c>
      <c r="N85" s="223" t="s">
        <v>242</v>
      </c>
      <c r="O85" s="209"/>
      <c r="P85" s="225"/>
      <c r="Q85" s="225"/>
      <c r="R85" s="225"/>
      <c r="S85" s="225"/>
      <c r="T85" s="225"/>
      <c r="U85" s="141">
        <f ca="1">SUMIF(A:A,D85,U:U)</f>
        <v>0</v>
      </c>
      <c r="V85" s="56">
        <f ca="1">$AX$85/custo_direto</f>
        <v>0</v>
      </c>
      <c r="X85" s="36"/>
      <c r="Z85" s="775" t="s">
        <v>2008</v>
      </c>
      <c r="AA85" s="775" t="s">
        <v>2010</v>
      </c>
      <c r="AB85" s="775" t="s">
        <v>2011</v>
      </c>
      <c r="AC85" s="775" t="s">
        <v>2009</v>
      </c>
      <c r="AE85" s="775" t="s">
        <v>207</v>
      </c>
      <c r="AF85" s="775" t="s">
        <v>211</v>
      </c>
      <c r="AG85" s="775" t="s">
        <v>212</v>
      </c>
      <c r="AH85" s="775" t="s">
        <v>207</v>
      </c>
      <c r="AI85" s="775" t="s">
        <v>211</v>
      </c>
      <c r="AJ85" s="775" t="s">
        <v>212</v>
      </c>
      <c r="AL85" s="775" t="s">
        <v>209</v>
      </c>
      <c r="AM85" s="775" t="s">
        <v>208</v>
      </c>
      <c r="AN85" s="775" t="s">
        <v>210</v>
      </c>
      <c r="AO85" s="775" t="s">
        <v>209</v>
      </c>
      <c r="AP85" s="775" t="s">
        <v>208</v>
      </c>
      <c r="AQ85" s="775" t="s">
        <v>210</v>
      </c>
      <c r="AS85" s="191" t="s">
        <v>237</v>
      </c>
      <c r="AT85" s="191" t="s">
        <v>238</v>
      </c>
      <c r="AV85" s="191"/>
      <c r="AW85" s="191"/>
      <c r="AX85" s="208">
        <f ca="1">SUMIF(A:A,D85,AX:AX)</f>
        <v>0</v>
      </c>
    </row>
    <row r="86" spans="1:50" ht="15.75" customHeight="1" outlineLevel="1">
      <c r="A86" s="507">
        <v>5</v>
      </c>
      <c r="B86" s="507"/>
      <c r="C86" s="507"/>
      <c r="D86" s="135" t="s">
        <v>600</v>
      </c>
      <c r="E86" s="1311" t="s">
        <v>27</v>
      </c>
      <c r="F86" s="1312"/>
      <c r="G86" s="1313"/>
      <c r="H86" s="104" t="s">
        <v>238</v>
      </c>
      <c r="I86" s="400" t="s">
        <v>807</v>
      </c>
      <c r="J86" s="407"/>
      <c r="K86" s="413"/>
      <c r="L86" s="408">
        <f t="shared" ref="L86:L92" si="105">meses_obra</f>
        <v>8</v>
      </c>
      <c r="M86" s="402">
        <v>8500</v>
      </c>
      <c r="N86" s="402">
        <v>2000</v>
      </c>
      <c r="O86" s="137">
        <f t="shared" ref="O86:O92" si="106">IF(I86="CLT","N/A",(L86*(M86/12)*2))</f>
        <v>11333.333333333334</v>
      </c>
      <c r="P86" s="108">
        <f t="shared" ref="P86:P92" ca="1" si="107">IF(I86="contrato",AB86,AB86)</f>
        <v>40.32670454545454</v>
      </c>
      <c r="Q86" s="138">
        <f t="shared" ref="Q86:Q92" si="108">AE86+AF86</f>
        <v>0</v>
      </c>
      <c r="R86" s="138">
        <f t="shared" ref="R86:R92" si="109">AG86</f>
        <v>0</v>
      </c>
      <c r="S86" s="171">
        <f t="shared" ref="S86:S92" si="110">Q86*AL86</f>
        <v>0</v>
      </c>
      <c r="T86" s="138">
        <f t="shared" ref="T86:T92" si="111">R86*AN86</f>
        <v>0</v>
      </c>
      <c r="U86" s="111">
        <f t="shared" ref="U86:U92" ca="1" si="112">AW86*L86*J86</f>
        <v>0</v>
      </c>
      <c r="V86" s="172"/>
      <c r="W86" s="127"/>
      <c r="X86" s="127"/>
      <c r="Z86" s="107">
        <f t="shared" ref="Z86:Z92" si="113">IF(I86="CLT",(M86/220)*(1+encargos_mensalista),(M86/220))</f>
        <v>38.636363636363633</v>
      </c>
      <c r="AA86" s="107">
        <f t="shared" ref="AA86:AA92" si="114">Z86*(1+K86)</f>
        <v>38.636363636363633</v>
      </c>
      <c r="AB86" s="108">
        <f t="shared" ref="AB86:AB92" ca="1" si="115">AA86*(1+((incidência_do_dissídio/meses_obra)*dissídio_coletivo))</f>
        <v>40.32670454545454</v>
      </c>
      <c r="AC86" s="108">
        <f t="shared" ref="AC86:AC92" ca="1" si="116">AB86*(1+(ociosidade_por_dia/9))</f>
        <v>40.32670454545454</v>
      </c>
      <c r="AD86" s="127"/>
      <c r="AE86" s="139">
        <f t="shared" ref="AE86:AE92" si="117">IF(I86="contrato",0,$N$11*$Q$11*$K$11)</f>
        <v>0</v>
      </c>
      <c r="AF86" s="139">
        <f t="shared" ref="AF86:AF92" si="118">IF(I86="contrato",0,$N$12*$Q$12*$K$12)</f>
        <v>0</v>
      </c>
      <c r="AG86" s="139">
        <f t="shared" ref="AG86:AG92" si="119">IF(I86="contrato",0,$N$13*$Q$13*$K$13)</f>
        <v>0</v>
      </c>
      <c r="AH86" s="139">
        <f t="shared" ref="AH86:AH92" si="120">IF(I86="contrato",0,$N$14*$Q$14*$K$14)</f>
        <v>0</v>
      </c>
      <c r="AI86" s="139">
        <f t="shared" ref="AI86:AI92" si="121">IF(I86="contrato",0,$N$14*$Q$15*$K$15)</f>
        <v>0</v>
      </c>
      <c r="AJ86" s="139">
        <f t="shared" ref="AJ86:AJ92" si="122">IF(I86="contrato",0,$N$14*$Q$16*$K$16)</f>
        <v>0</v>
      </c>
      <c r="AL86" s="107">
        <f t="shared" ref="AL86:AL92" si="123">IF(I86="contrato",0,ROUNDUP((M86/220)*(1+$AA$14)*(1+hora_extra_dias_úteis),2))</f>
        <v>0</v>
      </c>
      <c r="AM86" s="107">
        <f t="shared" ref="AM86:AM92" si="124">IF(I86="contrato",0,ROUNDUP((M86/220)*(1+$AA$14)*(1+hora_extra_sábados),2))</f>
        <v>0</v>
      </c>
      <c r="AN86" s="107">
        <f t="shared" ref="AN86:AN92" si="125">IF(I86="contrato",0,ROUNDUP((M86/220)*(1+$AA$14)*(1+hora_extra_domingos),2))</f>
        <v>0</v>
      </c>
      <c r="AO86" s="107">
        <f t="shared" ref="AO86:AO92" si="126">IF(I86="contrato",0,ROUNDUP(AL86*(1+adicional_noturno),2))</f>
        <v>0</v>
      </c>
      <c r="AP86" s="107">
        <f t="shared" ref="AP86:AP92" si="127">IF(I86="contrato",0,ROUNDUP(AM86*(1+adicional_noturno),2))</f>
        <v>0</v>
      </c>
      <c r="AQ86" s="107">
        <f t="shared" ref="AQ86:AQ92" si="128">IF(I86="contrato",0,ROUNDUP(AN86*(1+adicional_noturno),2))</f>
        <v>0</v>
      </c>
      <c r="AS86" s="147">
        <f t="shared" ref="AS86:AS92" si="129">IF(H86="Coordenação",0,L86*J86)</f>
        <v>0</v>
      </c>
      <c r="AT86" s="614">
        <f t="shared" ref="AT86:AT92" si="130">IF(H86="Coordenação",L86*J86,0)</f>
        <v>0</v>
      </c>
      <c r="AV86" s="204">
        <f t="shared" ref="AV86:AV92" ca="1" si="131">IF(I86="CLT",IF(L86=0,0,P86*220+N86),(P86*220+N86+(O86/meses_obra)))</f>
        <v>12288.541666666664</v>
      </c>
      <c r="AW86" s="204">
        <f t="shared" ref="AW86:AW92" ca="1" si="132">IF(I86="CLT",IF(L86=0,0,((P86*220)+(AE86*AL86)+(AF86*AM86)+(AG86*AN86)+(AH86*AO86)+(AI86*AP86)+(AJ86*AQ86)+N86)),AV86)</f>
        <v>12288.541666666664</v>
      </c>
      <c r="AX86" s="204">
        <f t="shared" ref="AX86:AX92" ca="1" si="133">AV86*L86*J86</f>
        <v>0</v>
      </c>
    </row>
    <row r="87" spans="1:50" ht="15.75" customHeight="1" outlineLevel="1">
      <c r="A87" s="507">
        <v>5</v>
      </c>
      <c r="B87" s="507"/>
      <c r="C87" s="507"/>
      <c r="D87" s="135" t="s">
        <v>601</v>
      </c>
      <c r="E87" s="1308" t="s">
        <v>48</v>
      </c>
      <c r="F87" s="1309"/>
      <c r="G87" s="1310"/>
      <c r="H87" s="104" t="s">
        <v>1924</v>
      </c>
      <c r="I87" s="400" t="s">
        <v>807</v>
      </c>
      <c r="J87" s="409"/>
      <c r="K87" s="405"/>
      <c r="L87" s="408">
        <f t="shared" si="105"/>
        <v>8</v>
      </c>
      <c r="M87" s="403">
        <v>6000</v>
      </c>
      <c r="N87" s="403">
        <v>2000</v>
      </c>
      <c r="O87" s="106">
        <f t="shared" si="106"/>
        <v>8000</v>
      </c>
      <c r="P87" s="108">
        <f t="shared" ca="1" si="107"/>
        <v>28.46590909090909</v>
      </c>
      <c r="Q87" s="138">
        <f t="shared" si="108"/>
        <v>0</v>
      </c>
      <c r="R87" s="138">
        <f t="shared" si="109"/>
        <v>0</v>
      </c>
      <c r="S87" s="171">
        <f t="shared" si="110"/>
        <v>0</v>
      </c>
      <c r="T87" s="138">
        <f t="shared" si="111"/>
        <v>0</v>
      </c>
      <c r="U87" s="111">
        <f t="shared" ca="1" si="112"/>
        <v>0</v>
      </c>
      <c r="V87" s="172"/>
      <c r="W87" s="49"/>
      <c r="X87" s="49"/>
      <c r="Z87" s="107">
        <f t="shared" si="113"/>
        <v>27.272727272727273</v>
      </c>
      <c r="AA87" s="107">
        <f t="shared" si="114"/>
        <v>27.272727272727273</v>
      </c>
      <c r="AB87" s="108">
        <f t="shared" ca="1" si="115"/>
        <v>28.46590909090909</v>
      </c>
      <c r="AC87" s="108">
        <f t="shared" ca="1" si="116"/>
        <v>28.46590909090909</v>
      </c>
      <c r="AD87" s="127"/>
      <c r="AE87" s="109">
        <f t="shared" si="117"/>
        <v>0</v>
      </c>
      <c r="AF87" s="109">
        <f t="shared" si="118"/>
        <v>0</v>
      </c>
      <c r="AG87" s="109">
        <f t="shared" si="119"/>
        <v>0</v>
      </c>
      <c r="AH87" s="109">
        <f t="shared" si="120"/>
        <v>0</v>
      </c>
      <c r="AI87" s="109">
        <f t="shared" si="121"/>
        <v>0</v>
      </c>
      <c r="AJ87" s="109">
        <f t="shared" si="122"/>
        <v>0</v>
      </c>
      <c r="AL87" s="107">
        <f t="shared" si="123"/>
        <v>0</v>
      </c>
      <c r="AM87" s="107">
        <f t="shared" si="124"/>
        <v>0</v>
      </c>
      <c r="AN87" s="107">
        <f t="shared" si="125"/>
        <v>0</v>
      </c>
      <c r="AO87" s="107">
        <f t="shared" si="126"/>
        <v>0</v>
      </c>
      <c r="AP87" s="107">
        <f t="shared" si="127"/>
        <v>0</v>
      </c>
      <c r="AQ87" s="107">
        <f t="shared" si="128"/>
        <v>0</v>
      </c>
      <c r="AS87" s="147">
        <f t="shared" si="129"/>
        <v>0</v>
      </c>
      <c r="AT87" s="614">
        <f t="shared" si="130"/>
        <v>0</v>
      </c>
      <c r="AV87" s="110">
        <f t="shared" ca="1" si="131"/>
        <v>9262.5</v>
      </c>
      <c r="AW87" s="110">
        <f t="shared" ca="1" si="132"/>
        <v>9262.5</v>
      </c>
      <c r="AX87" s="110">
        <f t="shared" ca="1" si="133"/>
        <v>0</v>
      </c>
    </row>
    <row r="88" spans="1:50" ht="15.75" customHeight="1" outlineLevel="1">
      <c r="A88" s="507">
        <v>5</v>
      </c>
      <c r="B88" s="507"/>
      <c r="C88" s="507"/>
      <c r="D88" s="135" t="s">
        <v>602</v>
      </c>
      <c r="E88" s="1308" t="s">
        <v>103</v>
      </c>
      <c r="F88" s="1309"/>
      <c r="G88" s="1310"/>
      <c r="H88" s="104" t="s">
        <v>1924</v>
      </c>
      <c r="I88" s="400" t="s">
        <v>807</v>
      </c>
      <c r="J88" s="341"/>
      <c r="K88" s="405"/>
      <c r="L88" s="408">
        <f t="shared" si="105"/>
        <v>8</v>
      </c>
      <c r="M88" s="403">
        <v>5000</v>
      </c>
      <c r="N88" s="403">
        <v>2000</v>
      </c>
      <c r="O88" s="106">
        <f>IF(I88="CLT","N/A",(L88*(M88/12)*2))</f>
        <v>6666.666666666667</v>
      </c>
      <c r="P88" s="108">
        <f t="shared" ca="1" si="107"/>
        <v>23.721590909090907</v>
      </c>
      <c r="Q88" s="138">
        <f t="shared" si="108"/>
        <v>0</v>
      </c>
      <c r="R88" s="138">
        <f t="shared" si="109"/>
        <v>0</v>
      </c>
      <c r="S88" s="171">
        <f t="shared" si="110"/>
        <v>0</v>
      </c>
      <c r="T88" s="138">
        <f t="shared" si="111"/>
        <v>0</v>
      </c>
      <c r="U88" s="111">
        <f ca="1">AW88*L88*J88</f>
        <v>0</v>
      </c>
      <c r="V88" s="172"/>
      <c r="W88" s="49"/>
      <c r="X88" s="49"/>
      <c r="Z88" s="107">
        <f t="shared" si="113"/>
        <v>22.727272727272727</v>
      </c>
      <c r="AA88" s="107">
        <f t="shared" si="114"/>
        <v>22.727272727272727</v>
      </c>
      <c r="AB88" s="108">
        <f t="shared" ca="1" si="115"/>
        <v>23.721590909090907</v>
      </c>
      <c r="AC88" s="108">
        <f t="shared" ca="1" si="116"/>
        <v>23.721590909090907</v>
      </c>
      <c r="AD88" s="127"/>
      <c r="AE88" s="109">
        <f t="shared" si="117"/>
        <v>0</v>
      </c>
      <c r="AF88" s="109">
        <f t="shared" si="118"/>
        <v>0</v>
      </c>
      <c r="AG88" s="109">
        <f t="shared" si="119"/>
        <v>0</v>
      </c>
      <c r="AH88" s="109">
        <f t="shared" si="120"/>
        <v>0</v>
      </c>
      <c r="AI88" s="109">
        <f t="shared" si="121"/>
        <v>0</v>
      </c>
      <c r="AJ88" s="109">
        <f t="shared" si="122"/>
        <v>0</v>
      </c>
      <c r="AL88" s="107">
        <f t="shared" si="123"/>
        <v>0</v>
      </c>
      <c r="AM88" s="107">
        <f t="shared" si="124"/>
        <v>0</v>
      </c>
      <c r="AN88" s="107">
        <f t="shared" si="125"/>
        <v>0</v>
      </c>
      <c r="AO88" s="107">
        <f t="shared" si="126"/>
        <v>0</v>
      </c>
      <c r="AP88" s="107">
        <f t="shared" si="127"/>
        <v>0</v>
      </c>
      <c r="AQ88" s="107">
        <f t="shared" si="128"/>
        <v>0</v>
      </c>
      <c r="AS88" s="147">
        <f t="shared" si="129"/>
        <v>0</v>
      </c>
      <c r="AT88" s="614">
        <f t="shared" si="130"/>
        <v>0</v>
      </c>
      <c r="AV88" s="110">
        <f ca="1">IF(I88="CLT",IF(L88=0,0,P88*220+N88),(P88*220+N88+(O88/meses_obra)))</f>
        <v>8052.0833333333321</v>
      </c>
      <c r="AW88" s="110">
        <f ca="1">IF(I88="CLT",IF(L88=0,0,((P88*220)+(AE88*AL88)+(AF88*AM88)+(AG88*AN88)+(AH88*AO88)+(AI88*AP88)+(AJ88*AQ88)+N88)),AV88)</f>
        <v>8052.0833333333321</v>
      </c>
      <c r="AX88" s="110">
        <f ca="1">AV88*L88*J88</f>
        <v>0</v>
      </c>
    </row>
    <row r="89" spans="1:50" ht="15.75" customHeight="1" outlineLevel="1">
      <c r="A89" s="507">
        <v>5</v>
      </c>
      <c r="B89" s="507"/>
      <c r="C89" s="507"/>
      <c r="D89" s="135" t="s">
        <v>603</v>
      </c>
      <c r="E89" s="1308" t="s">
        <v>2079</v>
      </c>
      <c r="F89" s="1309"/>
      <c r="G89" s="1310"/>
      <c r="H89" s="104" t="s">
        <v>1924</v>
      </c>
      <c r="I89" s="400" t="s">
        <v>807</v>
      </c>
      <c r="J89" s="409"/>
      <c r="K89" s="405"/>
      <c r="L89" s="408">
        <f t="shared" si="105"/>
        <v>8</v>
      </c>
      <c r="M89" s="403">
        <v>4000</v>
      </c>
      <c r="N89" s="403"/>
      <c r="O89" s="106">
        <f t="shared" si="106"/>
        <v>5333.333333333333</v>
      </c>
      <c r="P89" s="108">
        <f t="shared" ca="1" si="107"/>
        <v>18.977272727272727</v>
      </c>
      <c r="Q89" s="138">
        <f t="shared" si="108"/>
        <v>0</v>
      </c>
      <c r="R89" s="138">
        <f t="shared" si="109"/>
        <v>0</v>
      </c>
      <c r="S89" s="171">
        <f t="shared" si="110"/>
        <v>0</v>
      </c>
      <c r="T89" s="138">
        <f t="shared" si="111"/>
        <v>0</v>
      </c>
      <c r="U89" s="111">
        <f t="shared" ca="1" si="112"/>
        <v>0</v>
      </c>
      <c r="V89" s="172"/>
      <c r="W89" s="49"/>
      <c r="X89" s="49"/>
      <c r="Z89" s="107">
        <f t="shared" si="113"/>
        <v>18.181818181818183</v>
      </c>
      <c r="AA89" s="107">
        <f t="shared" si="114"/>
        <v>18.181818181818183</v>
      </c>
      <c r="AB89" s="108">
        <f t="shared" ca="1" si="115"/>
        <v>18.977272727272727</v>
      </c>
      <c r="AC89" s="108">
        <f t="shared" ca="1" si="116"/>
        <v>18.977272727272727</v>
      </c>
      <c r="AD89" s="127"/>
      <c r="AE89" s="109">
        <f t="shared" si="117"/>
        <v>0</v>
      </c>
      <c r="AF89" s="109">
        <f t="shared" si="118"/>
        <v>0</v>
      </c>
      <c r="AG89" s="109">
        <f t="shared" si="119"/>
        <v>0</v>
      </c>
      <c r="AH89" s="109">
        <f t="shared" si="120"/>
        <v>0</v>
      </c>
      <c r="AI89" s="109">
        <f t="shared" si="121"/>
        <v>0</v>
      </c>
      <c r="AJ89" s="109">
        <f t="shared" si="122"/>
        <v>0</v>
      </c>
      <c r="AL89" s="107">
        <f t="shared" si="123"/>
        <v>0</v>
      </c>
      <c r="AM89" s="107">
        <f t="shared" si="124"/>
        <v>0</v>
      </c>
      <c r="AN89" s="107">
        <f t="shared" si="125"/>
        <v>0</v>
      </c>
      <c r="AO89" s="107">
        <f t="shared" si="126"/>
        <v>0</v>
      </c>
      <c r="AP89" s="107">
        <f t="shared" si="127"/>
        <v>0</v>
      </c>
      <c r="AQ89" s="107">
        <f t="shared" si="128"/>
        <v>0</v>
      </c>
      <c r="AS89" s="147">
        <f t="shared" si="129"/>
        <v>0</v>
      </c>
      <c r="AT89" s="614">
        <f t="shared" si="130"/>
        <v>0</v>
      </c>
      <c r="AV89" s="110">
        <f t="shared" ca="1" si="131"/>
        <v>4841.666666666667</v>
      </c>
      <c r="AW89" s="110">
        <f t="shared" ca="1" si="132"/>
        <v>4841.666666666667</v>
      </c>
      <c r="AX89" s="110">
        <f t="shared" ca="1" si="133"/>
        <v>0</v>
      </c>
    </row>
    <row r="90" spans="1:50" ht="15.75" customHeight="1" outlineLevel="1">
      <c r="A90" s="507">
        <v>5</v>
      </c>
      <c r="B90" s="507"/>
      <c r="C90" s="507"/>
      <c r="D90" s="135" t="s">
        <v>604</v>
      </c>
      <c r="E90" s="1308" t="s">
        <v>28</v>
      </c>
      <c r="F90" s="1309"/>
      <c r="G90" s="1310"/>
      <c r="H90" s="104" t="s">
        <v>1924</v>
      </c>
      <c r="I90" s="400" t="s">
        <v>199</v>
      </c>
      <c r="J90" s="409"/>
      <c r="K90" s="410"/>
      <c r="L90" s="408">
        <f t="shared" si="105"/>
        <v>8</v>
      </c>
      <c r="M90" s="403">
        <v>1600</v>
      </c>
      <c r="N90" s="403"/>
      <c r="O90" s="106" t="str">
        <f t="shared" si="106"/>
        <v>N/A</v>
      </c>
      <c r="P90" s="108">
        <f t="shared" ca="1" si="107"/>
        <v>16.144928543817837</v>
      </c>
      <c r="Q90" s="138">
        <f t="shared" si="108"/>
        <v>0</v>
      </c>
      <c r="R90" s="138">
        <f t="shared" si="109"/>
        <v>0</v>
      </c>
      <c r="S90" s="171">
        <f t="shared" si="110"/>
        <v>0</v>
      </c>
      <c r="T90" s="138">
        <f t="shared" si="111"/>
        <v>0</v>
      </c>
      <c r="U90" s="111">
        <f t="shared" ca="1" si="112"/>
        <v>0</v>
      </c>
      <c r="V90" s="172"/>
      <c r="W90" s="49"/>
      <c r="X90" s="49"/>
      <c r="Z90" s="107">
        <f t="shared" si="113"/>
        <v>15.468195012041043</v>
      </c>
      <c r="AA90" s="107">
        <f t="shared" si="114"/>
        <v>15.468195012041043</v>
      </c>
      <c r="AB90" s="108">
        <f t="shared" ca="1" si="115"/>
        <v>16.144928543817837</v>
      </c>
      <c r="AC90" s="108">
        <f t="shared" ca="1" si="116"/>
        <v>16.144928543817837</v>
      </c>
      <c r="AD90" s="127"/>
      <c r="AE90" s="109">
        <f t="shared" si="117"/>
        <v>0</v>
      </c>
      <c r="AF90" s="109">
        <f t="shared" si="118"/>
        <v>0</v>
      </c>
      <c r="AG90" s="109">
        <f t="shared" si="119"/>
        <v>0</v>
      </c>
      <c r="AH90" s="109">
        <f t="shared" si="120"/>
        <v>0</v>
      </c>
      <c r="AI90" s="109">
        <f t="shared" si="121"/>
        <v>0</v>
      </c>
      <c r="AJ90" s="109">
        <f t="shared" si="122"/>
        <v>0</v>
      </c>
      <c r="AL90" s="107">
        <f t="shared" si="123"/>
        <v>17.39</v>
      </c>
      <c r="AM90" s="107">
        <f t="shared" si="124"/>
        <v>17.39</v>
      </c>
      <c r="AN90" s="107">
        <f t="shared" si="125"/>
        <v>21.740000000000002</v>
      </c>
      <c r="AO90" s="107">
        <f t="shared" si="126"/>
        <v>20.87</v>
      </c>
      <c r="AP90" s="107">
        <f t="shared" si="127"/>
        <v>20.87</v>
      </c>
      <c r="AQ90" s="107">
        <f t="shared" si="128"/>
        <v>26.09</v>
      </c>
      <c r="AS90" s="147">
        <f t="shared" si="129"/>
        <v>0</v>
      </c>
      <c r="AT90" s="614">
        <f t="shared" si="130"/>
        <v>0</v>
      </c>
      <c r="AV90" s="110">
        <f t="shared" ca="1" si="131"/>
        <v>3551.884279639924</v>
      </c>
      <c r="AW90" s="110">
        <f t="shared" ca="1" si="132"/>
        <v>3551.884279639924</v>
      </c>
      <c r="AX90" s="110">
        <f t="shared" ca="1" si="133"/>
        <v>0</v>
      </c>
    </row>
    <row r="91" spans="1:50" ht="15.75" customHeight="1" outlineLevel="1">
      <c r="A91" s="507">
        <v>5</v>
      </c>
      <c r="B91" s="507"/>
      <c r="C91" s="507"/>
      <c r="D91" s="135" t="s">
        <v>605</v>
      </c>
      <c r="E91" s="1308" t="s">
        <v>2037</v>
      </c>
      <c r="F91" s="1309"/>
      <c r="G91" s="1310"/>
      <c r="H91" s="104" t="s">
        <v>1924</v>
      </c>
      <c r="I91" s="400" t="s">
        <v>199</v>
      </c>
      <c r="J91" s="409"/>
      <c r="K91" s="405"/>
      <c r="L91" s="408">
        <f t="shared" si="105"/>
        <v>8</v>
      </c>
      <c r="M91" s="403">
        <v>3000</v>
      </c>
      <c r="N91" s="403"/>
      <c r="O91" s="106" t="str">
        <f t="shared" si="106"/>
        <v>N/A</v>
      </c>
      <c r="P91" s="108">
        <f t="shared" ca="1" si="107"/>
        <v>30.27174101965845</v>
      </c>
      <c r="Q91" s="138">
        <f t="shared" si="108"/>
        <v>0</v>
      </c>
      <c r="R91" s="138">
        <f t="shared" si="109"/>
        <v>0</v>
      </c>
      <c r="S91" s="171">
        <f t="shared" si="110"/>
        <v>0</v>
      </c>
      <c r="T91" s="138">
        <f t="shared" si="111"/>
        <v>0</v>
      </c>
      <c r="U91" s="111">
        <f t="shared" ca="1" si="112"/>
        <v>0</v>
      </c>
      <c r="V91" s="172"/>
      <c r="W91" s="49"/>
      <c r="X91" s="49"/>
      <c r="Z91" s="107">
        <f t="shared" si="113"/>
        <v>29.002865647576957</v>
      </c>
      <c r="AA91" s="107">
        <f t="shared" si="114"/>
        <v>29.002865647576957</v>
      </c>
      <c r="AB91" s="108">
        <f t="shared" ca="1" si="115"/>
        <v>30.27174101965845</v>
      </c>
      <c r="AC91" s="108">
        <f t="shared" ca="1" si="116"/>
        <v>30.27174101965845</v>
      </c>
      <c r="AD91" s="127"/>
      <c r="AE91" s="109">
        <f t="shared" si="117"/>
        <v>0</v>
      </c>
      <c r="AF91" s="109">
        <f t="shared" si="118"/>
        <v>0</v>
      </c>
      <c r="AG91" s="109">
        <f t="shared" si="119"/>
        <v>0</v>
      </c>
      <c r="AH91" s="109">
        <f t="shared" si="120"/>
        <v>0</v>
      </c>
      <c r="AI91" s="109">
        <f t="shared" si="121"/>
        <v>0</v>
      </c>
      <c r="AJ91" s="109">
        <f t="shared" si="122"/>
        <v>0</v>
      </c>
      <c r="AL91" s="107">
        <f t="shared" si="123"/>
        <v>32.61</v>
      </c>
      <c r="AM91" s="107">
        <f t="shared" si="124"/>
        <v>32.61</v>
      </c>
      <c r="AN91" s="107">
        <f t="shared" si="125"/>
        <v>40.76</v>
      </c>
      <c r="AO91" s="107">
        <f t="shared" si="126"/>
        <v>39.14</v>
      </c>
      <c r="AP91" s="107">
        <f t="shared" si="127"/>
        <v>39.14</v>
      </c>
      <c r="AQ91" s="107">
        <f t="shared" si="128"/>
        <v>48.919999999999995</v>
      </c>
      <c r="AS91" s="147">
        <f t="shared" si="129"/>
        <v>0</v>
      </c>
      <c r="AT91" s="614">
        <f t="shared" si="130"/>
        <v>0</v>
      </c>
      <c r="AV91" s="110">
        <f t="shared" ca="1" si="131"/>
        <v>6659.7830243248591</v>
      </c>
      <c r="AW91" s="110">
        <f t="shared" ca="1" si="132"/>
        <v>6659.7830243248591</v>
      </c>
      <c r="AX91" s="110">
        <f t="shared" ca="1" si="133"/>
        <v>0</v>
      </c>
    </row>
    <row r="92" spans="1:50" ht="15.75" customHeight="1" outlineLevel="1">
      <c r="A92" s="507">
        <v>5</v>
      </c>
      <c r="B92" s="507"/>
      <c r="C92" s="507"/>
      <c r="D92" s="135" t="s">
        <v>606</v>
      </c>
      <c r="E92" s="1304" t="s">
        <v>2036</v>
      </c>
      <c r="F92" s="1305"/>
      <c r="G92" s="1306"/>
      <c r="H92" s="104" t="s">
        <v>1924</v>
      </c>
      <c r="I92" s="400" t="s">
        <v>199</v>
      </c>
      <c r="J92" s="412"/>
      <c r="K92" s="411"/>
      <c r="L92" s="408">
        <f t="shared" si="105"/>
        <v>8</v>
      </c>
      <c r="M92" s="403">
        <v>3500</v>
      </c>
      <c r="N92" s="403"/>
      <c r="O92" s="106" t="str">
        <f t="shared" si="106"/>
        <v>N/A</v>
      </c>
      <c r="P92" s="108">
        <f t="shared" ca="1" si="107"/>
        <v>35.317031189601515</v>
      </c>
      <c r="Q92" s="138">
        <f t="shared" si="108"/>
        <v>0</v>
      </c>
      <c r="R92" s="138">
        <f t="shared" si="109"/>
        <v>0</v>
      </c>
      <c r="S92" s="171">
        <f t="shared" si="110"/>
        <v>0</v>
      </c>
      <c r="T92" s="138">
        <f t="shared" si="111"/>
        <v>0</v>
      </c>
      <c r="U92" s="111">
        <f t="shared" ca="1" si="112"/>
        <v>0</v>
      </c>
      <c r="V92" s="172"/>
      <c r="W92" s="49"/>
      <c r="X92" s="49"/>
      <c r="Z92" s="107">
        <f t="shared" si="113"/>
        <v>33.836676588839779</v>
      </c>
      <c r="AA92" s="107">
        <f t="shared" si="114"/>
        <v>33.836676588839779</v>
      </c>
      <c r="AB92" s="108">
        <f t="shared" ca="1" si="115"/>
        <v>35.317031189601515</v>
      </c>
      <c r="AC92" s="108">
        <f t="shared" ca="1" si="116"/>
        <v>35.317031189601515</v>
      </c>
      <c r="AD92" s="127"/>
      <c r="AE92" s="109">
        <f t="shared" si="117"/>
        <v>0</v>
      </c>
      <c r="AF92" s="109">
        <f t="shared" si="118"/>
        <v>0</v>
      </c>
      <c r="AG92" s="109">
        <f t="shared" si="119"/>
        <v>0</v>
      </c>
      <c r="AH92" s="109">
        <f t="shared" si="120"/>
        <v>0</v>
      </c>
      <c r="AI92" s="109">
        <f t="shared" si="121"/>
        <v>0</v>
      </c>
      <c r="AJ92" s="109">
        <f t="shared" si="122"/>
        <v>0</v>
      </c>
      <c r="AL92" s="107">
        <f t="shared" si="123"/>
        <v>38.04</v>
      </c>
      <c r="AM92" s="107">
        <f t="shared" si="124"/>
        <v>38.04</v>
      </c>
      <c r="AN92" s="107">
        <f t="shared" si="125"/>
        <v>47.55</v>
      </c>
      <c r="AO92" s="107">
        <f t="shared" si="126"/>
        <v>45.65</v>
      </c>
      <c r="AP92" s="107">
        <f t="shared" si="127"/>
        <v>45.65</v>
      </c>
      <c r="AQ92" s="107">
        <f t="shared" si="128"/>
        <v>57.06</v>
      </c>
      <c r="AS92" s="147">
        <f t="shared" si="129"/>
        <v>0</v>
      </c>
      <c r="AT92" s="614">
        <f t="shared" si="130"/>
        <v>0</v>
      </c>
      <c r="AV92" s="110">
        <f t="shared" ca="1" si="131"/>
        <v>7769.7468617123332</v>
      </c>
      <c r="AW92" s="110">
        <f t="shared" ca="1" si="132"/>
        <v>7769.7468617123332</v>
      </c>
      <c r="AX92" s="110">
        <f t="shared" ca="1" si="133"/>
        <v>0</v>
      </c>
    </row>
    <row r="93" spans="1:50" ht="15.75" customHeight="1" outlineLevel="1">
      <c r="A93" s="507"/>
      <c r="B93" s="507"/>
      <c r="C93" s="507"/>
      <c r="D93" s="128"/>
      <c r="E93" s="129"/>
      <c r="F93" s="130"/>
      <c r="G93" s="130"/>
      <c r="H93" s="131"/>
      <c r="I93" s="130"/>
      <c r="J93" s="132"/>
      <c r="K93" s="130"/>
      <c r="L93" s="132"/>
      <c r="M93" s="130"/>
      <c r="N93" s="130"/>
      <c r="O93" s="130"/>
      <c r="P93" s="130"/>
      <c r="Q93" s="138"/>
      <c r="R93" s="138"/>
      <c r="S93" s="171"/>
      <c r="T93" s="138"/>
      <c r="U93" s="140"/>
      <c r="V93" s="172"/>
      <c r="Z93" s="130"/>
      <c r="AA93" s="130"/>
      <c r="AB93" s="130"/>
      <c r="AC93" s="130"/>
      <c r="AD93" s="282"/>
      <c r="AE93" s="133"/>
      <c r="AF93" s="133"/>
      <c r="AG93" s="133"/>
      <c r="AH93" s="133"/>
      <c r="AI93" s="133"/>
      <c r="AJ93" s="133"/>
      <c r="AL93" s="155"/>
      <c r="AM93" s="155"/>
      <c r="AN93" s="155"/>
      <c r="AO93" s="155"/>
      <c r="AP93" s="155"/>
      <c r="AQ93" s="155"/>
      <c r="AS93" s="105"/>
      <c r="AT93" s="105"/>
      <c r="AV93" s="130"/>
      <c r="AW93" s="130"/>
      <c r="AX93" s="134"/>
    </row>
    <row r="94" spans="1:50" s="49" customFormat="1" ht="15.75" customHeight="1" outlineLevel="1">
      <c r="A94" s="507" t="s">
        <v>189</v>
      </c>
      <c r="B94" s="507"/>
      <c r="C94" s="507"/>
      <c r="D94" s="215" t="s">
        <v>524</v>
      </c>
      <c r="E94" s="221" t="s">
        <v>128</v>
      </c>
      <c r="F94" s="221"/>
      <c r="G94" s="221"/>
      <c r="H94" s="222"/>
      <c r="I94" s="222"/>
      <c r="J94" s="224" t="s">
        <v>154</v>
      </c>
      <c r="K94" s="223" t="s">
        <v>803</v>
      </c>
      <c r="L94" s="219" t="s">
        <v>795</v>
      </c>
      <c r="M94" s="223" t="s">
        <v>122</v>
      </c>
      <c r="N94" s="223" t="s">
        <v>242</v>
      </c>
      <c r="O94" s="209"/>
      <c r="P94" s="225"/>
      <c r="Q94" s="225"/>
      <c r="R94" s="225"/>
      <c r="S94" s="225"/>
      <c r="T94" s="225"/>
      <c r="U94" s="141">
        <f ca="1">SUMIF(A:A,D94,U:U)</f>
        <v>0</v>
      </c>
      <c r="V94" s="56">
        <f ca="1">$AX$94/custo_direto</f>
        <v>0</v>
      </c>
      <c r="X94" s="36"/>
      <c r="Z94" s="775" t="s">
        <v>2008</v>
      </c>
      <c r="AA94" s="775" t="s">
        <v>2010</v>
      </c>
      <c r="AB94" s="775" t="s">
        <v>2011</v>
      </c>
      <c r="AC94" s="775" t="s">
        <v>2009</v>
      </c>
      <c r="AE94" s="775" t="s">
        <v>207</v>
      </c>
      <c r="AF94" s="775" t="s">
        <v>211</v>
      </c>
      <c r="AG94" s="775" t="s">
        <v>212</v>
      </c>
      <c r="AH94" s="775" t="s">
        <v>207</v>
      </c>
      <c r="AI94" s="775" t="s">
        <v>211</v>
      </c>
      <c r="AJ94" s="775" t="s">
        <v>212</v>
      </c>
      <c r="AL94" s="775" t="s">
        <v>209</v>
      </c>
      <c r="AM94" s="775" t="s">
        <v>208</v>
      </c>
      <c r="AN94" s="775" t="s">
        <v>210</v>
      </c>
      <c r="AO94" s="775" t="s">
        <v>209</v>
      </c>
      <c r="AP94" s="775" t="s">
        <v>208</v>
      </c>
      <c r="AQ94" s="775" t="s">
        <v>210</v>
      </c>
      <c r="AS94" s="191" t="s">
        <v>237</v>
      </c>
      <c r="AT94" s="191" t="s">
        <v>238</v>
      </c>
      <c r="AV94" s="191"/>
      <c r="AW94" s="191"/>
      <c r="AX94" s="208">
        <f ca="1">SUMIF(A:A,D94,AX:AX)</f>
        <v>0</v>
      </c>
    </row>
    <row r="95" spans="1:50" ht="15.75" customHeight="1" outlineLevel="1">
      <c r="A95" s="507">
        <v>6</v>
      </c>
      <c r="B95" s="507"/>
      <c r="C95" s="507"/>
      <c r="D95" s="135" t="s">
        <v>607</v>
      </c>
      <c r="E95" s="1311" t="s">
        <v>213</v>
      </c>
      <c r="F95" s="1312"/>
      <c r="G95" s="1313"/>
      <c r="H95" s="136" t="s">
        <v>1923</v>
      </c>
      <c r="I95" s="400" t="s">
        <v>807</v>
      </c>
      <c r="J95" s="407"/>
      <c r="K95" s="413"/>
      <c r="L95" s="408">
        <f>meses_obra</f>
        <v>8</v>
      </c>
      <c r="M95" s="402">
        <v>19000</v>
      </c>
      <c r="N95" s="402"/>
      <c r="O95" s="137">
        <f>IF(I95="CLT","N/A",(L95*(M95/12)*2))</f>
        <v>25333.333333333332</v>
      </c>
      <c r="P95" s="108">
        <f ca="1">IF(I95="contrato",AB95,AB95)</f>
        <v>90.142045454545453</v>
      </c>
      <c r="Q95" s="138">
        <f>AE95+AF95</f>
        <v>0</v>
      </c>
      <c r="R95" s="138">
        <f>AG95</f>
        <v>0</v>
      </c>
      <c r="S95" s="171">
        <f>Q95*AL95</f>
        <v>0</v>
      </c>
      <c r="T95" s="138">
        <f>R95*AN95</f>
        <v>0</v>
      </c>
      <c r="U95" s="111">
        <f ca="1">AW95*L95*J95</f>
        <v>0</v>
      </c>
      <c r="V95" s="172"/>
      <c r="W95" s="49"/>
      <c r="X95" s="49"/>
      <c r="Z95" s="107">
        <f>IF(I95="CLT",(M95/220)*(1+encargos_mensalista),(M95/220))</f>
        <v>86.36363636363636</v>
      </c>
      <c r="AA95" s="107">
        <f t="shared" ref="AA95:AA99" si="134">Z95*(1+K95)</f>
        <v>86.36363636363636</v>
      </c>
      <c r="AB95" s="108">
        <f ca="1">AA95*(1+((incidência_do_dissídio/meses_obra)*dissídio_coletivo))</f>
        <v>90.142045454545453</v>
      </c>
      <c r="AC95" s="108">
        <f ca="1">AB95*(1+(ociosidade_por_dia/9))</f>
        <v>90.142045454545453</v>
      </c>
      <c r="AD95" s="127"/>
      <c r="AE95" s="139">
        <f>IF(I95="contrato",0,$N$11*$Q$11*$K$11)</f>
        <v>0</v>
      </c>
      <c r="AF95" s="139">
        <f>IF(I95="contrato",0,$N$12*$Q$12*$K$12)</f>
        <v>0</v>
      </c>
      <c r="AG95" s="139">
        <f>IF(I95="contrato",0,$N$13*$Q$13*$K$13)</f>
        <v>0</v>
      </c>
      <c r="AH95" s="139">
        <f>IF(I95="contrato",0,$N$14*$Q$14*$K$14)</f>
        <v>0</v>
      </c>
      <c r="AI95" s="139">
        <f>IF(I95="contrato",0,$N$14*$Q$15*$K$15)</f>
        <v>0</v>
      </c>
      <c r="AJ95" s="139">
        <f>IF(I95="contrato",0,$N$14*$Q$16*$K$16)</f>
        <v>0</v>
      </c>
      <c r="AL95" s="107">
        <f>IF(I95="contrato",0,ROUNDUP((M95/220)*(1+$AA$14)*(1+hora_extra_dias_úteis),2))</f>
        <v>0</v>
      </c>
      <c r="AM95" s="107">
        <f>IF(I95="contrato",0,ROUNDUP((M95/220)*(1+$AA$14)*(1+hora_extra_sábados),2))</f>
        <v>0</v>
      </c>
      <c r="AN95" s="107">
        <f>IF(I95="contrato",0,ROUNDUP((M95/220)*(1+$AA$14)*(1+hora_extra_domingos),2))</f>
        <v>0</v>
      </c>
      <c r="AO95" s="107">
        <f>IF(I95="contrato",0,ROUNDUP(AL95*(1+adicional_noturno),2))</f>
        <v>0</v>
      </c>
      <c r="AP95" s="107">
        <f>IF(I95="contrato",0,ROUNDUP(AM95*(1+adicional_noturno),2))</f>
        <v>0</v>
      </c>
      <c r="AQ95" s="107">
        <f>IF(I95="contrato",0,ROUNDUP(AN95*(1+adicional_noturno),2))</f>
        <v>0</v>
      </c>
      <c r="AS95" s="147">
        <f t="shared" ref="AS95:AS99" si="135">IF(H95="Coordenação",0,L95*J95)</f>
        <v>0</v>
      </c>
      <c r="AT95" s="614">
        <f t="shared" ref="AT95:AT99" si="136">IF(H95="Coordenação",L95*J95,0)</f>
        <v>0</v>
      </c>
      <c r="AV95" s="204">
        <f ca="1">IF(I95="CLT",IF(L95=0,0,P95*220+N95),(P95*220+N95+(O95/meses_obra)))</f>
        <v>22997.916666666668</v>
      </c>
      <c r="AW95" s="204">
        <f ca="1">IF(I95="CLT",IF(L95=0,0,((P95*220)+(AE95*AL95)+(AF95*AM95)+(AG95*AN95)+(AH95*AO95)+(AI95*AP95)+(AJ95*AQ95)+N95)),AV95)</f>
        <v>22997.916666666668</v>
      </c>
      <c r="AX95" s="204">
        <f ca="1">AV95*L95*J95</f>
        <v>0</v>
      </c>
    </row>
    <row r="96" spans="1:50" ht="15.75" customHeight="1" outlineLevel="1">
      <c r="A96" s="507">
        <v>6</v>
      </c>
      <c r="B96" s="507"/>
      <c r="C96" s="507"/>
      <c r="D96" s="135" t="s">
        <v>608</v>
      </c>
      <c r="E96" s="1308" t="s">
        <v>214</v>
      </c>
      <c r="F96" s="1309"/>
      <c r="G96" s="1310"/>
      <c r="H96" s="136" t="s">
        <v>1923</v>
      </c>
      <c r="I96" s="400" t="s">
        <v>807</v>
      </c>
      <c r="J96" s="409"/>
      <c r="K96" s="405"/>
      <c r="L96" s="408">
        <f>meses_obra</f>
        <v>8</v>
      </c>
      <c r="M96" s="403">
        <v>1816.32</v>
      </c>
      <c r="N96" s="403"/>
      <c r="O96" s="106">
        <f>IF(I96="CLT","N/A",(L96*(M96/12)*2))</f>
        <v>2421.7599999999998</v>
      </c>
      <c r="P96" s="108">
        <f ca="1">IF(I96="contrato",AB96,AB96)</f>
        <v>8.6172000000000004</v>
      </c>
      <c r="Q96" s="138">
        <f>AE96+AF96</f>
        <v>0</v>
      </c>
      <c r="R96" s="138">
        <f>AG96</f>
        <v>0</v>
      </c>
      <c r="S96" s="171">
        <f>Q96*AL96</f>
        <v>0</v>
      </c>
      <c r="T96" s="138">
        <f>R96*AN96</f>
        <v>0</v>
      </c>
      <c r="U96" s="111">
        <f ca="1">AW96*L96*J96</f>
        <v>0</v>
      </c>
      <c r="V96" s="172"/>
      <c r="W96" s="49"/>
      <c r="X96" s="49"/>
      <c r="Z96" s="107">
        <f>IF(I96="CLT",(M96/220)*(1+encargos_mensalista),(M96/220))</f>
        <v>8.2560000000000002</v>
      </c>
      <c r="AA96" s="107">
        <f t="shared" si="134"/>
        <v>8.2560000000000002</v>
      </c>
      <c r="AB96" s="108">
        <f ca="1">AA96*(1+((incidência_do_dissídio/meses_obra)*dissídio_coletivo))</f>
        <v>8.6172000000000004</v>
      </c>
      <c r="AC96" s="108">
        <f ca="1">AB96*(1+(ociosidade_por_dia/9))</f>
        <v>8.6172000000000004</v>
      </c>
      <c r="AD96" s="127"/>
      <c r="AE96" s="109">
        <f>IF(I96="contrato",0,$N$11*$Q$11*$K$11)</f>
        <v>0</v>
      </c>
      <c r="AF96" s="109">
        <f>IF(I96="contrato",0,$N$12*$Q$12*$K$12)</f>
        <v>0</v>
      </c>
      <c r="AG96" s="109">
        <f>IF(I96="contrato",0,$N$13*$Q$13*$K$13)</f>
        <v>0</v>
      </c>
      <c r="AH96" s="109">
        <f>IF(I96="contrato",0,$N$14*$Q$14*$K$14)</f>
        <v>0</v>
      </c>
      <c r="AI96" s="109">
        <f>IF(I96="contrato",0,$N$14*$Q$15*$K$15)</f>
        <v>0</v>
      </c>
      <c r="AJ96" s="109">
        <f>IF(I96="contrato",0,$N$14*$Q$16*$K$16)</f>
        <v>0</v>
      </c>
      <c r="AL96" s="107">
        <f>IF(I96="contrato",0,ROUNDUP((M96/220)*(1+$AA$14)*(1+hora_extra_dias_úteis),2))</f>
        <v>0</v>
      </c>
      <c r="AM96" s="107">
        <f>IF(I96="contrato",0,ROUNDUP((M96/220)*(1+$AA$14)*(1+hora_extra_sábados),2))</f>
        <v>0</v>
      </c>
      <c r="AN96" s="107">
        <f>IF(I96="contrato",0,ROUNDUP((M96/220)*(1+$AA$14)*(1+hora_extra_domingos),2))</f>
        <v>0</v>
      </c>
      <c r="AO96" s="107">
        <f>IF(I96="contrato",0,ROUNDUP(AL96*(1+adicional_noturno),2))</f>
        <v>0</v>
      </c>
      <c r="AP96" s="107">
        <f>IF(I96="contrato",0,ROUNDUP(AM96*(1+adicional_noturno),2))</f>
        <v>0</v>
      </c>
      <c r="AQ96" s="107">
        <f>IF(I96="contrato",0,ROUNDUP(AN96*(1+adicional_noturno),2))</f>
        <v>0</v>
      </c>
      <c r="AS96" s="147">
        <f t="shared" si="135"/>
        <v>0</v>
      </c>
      <c r="AT96" s="614">
        <f t="shared" si="136"/>
        <v>0</v>
      </c>
      <c r="AV96" s="110">
        <f ca="1">IF(I96="CLT",IF(L96=0,0,P96*220+N96),(P96*220+N96+(O96/meses_obra)))</f>
        <v>2198.5039999999999</v>
      </c>
      <c r="AW96" s="110">
        <f ca="1">IF(I96="CLT",IF(L96=0,0,((P96*220)+(AE96*AL96)+(AF96*AM96)+(AG96*AN96)+(AH96*AO96)+(AI96*AP96)+(AJ96*AQ96)+N96)),AV96)</f>
        <v>2198.5039999999999</v>
      </c>
      <c r="AX96" s="110">
        <f ca="1">AV96*L96*J96</f>
        <v>0</v>
      </c>
    </row>
    <row r="97" spans="1:50" ht="15.75" customHeight="1" outlineLevel="1">
      <c r="A97" s="507">
        <v>6</v>
      </c>
      <c r="B97" s="507"/>
      <c r="C97" s="507"/>
      <c r="D97" s="135" t="s">
        <v>609</v>
      </c>
      <c r="E97" s="1308" t="s">
        <v>215</v>
      </c>
      <c r="F97" s="1309"/>
      <c r="G97" s="1310"/>
      <c r="H97" s="136" t="s">
        <v>1923</v>
      </c>
      <c r="I97" s="400" t="s">
        <v>807</v>
      </c>
      <c r="J97" s="409"/>
      <c r="K97" s="405"/>
      <c r="L97" s="408">
        <f>meses_obra</f>
        <v>8</v>
      </c>
      <c r="M97" s="403">
        <v>1900</v>
      </c>
      <c r="N97" s="403"/>
      <c r="O97" s="106">
        <f>IF(I97="CLT","N/A",(L97*(M97/12)*2))</f>
        <v>2533.3333333333335</v>
      </c>
      <c r="P97" s="108">
        <f ca="1">IF(I97="contrato",AB97,AB97)</f>
        <v>9.014204545454545</v>
      </c>
      <c r="Q97" s="138">
        <f>AE97+AF97</f>
        <v>0</v>
      </c>
      <c r="R97" s="138">
        <f>AG97</f>
        <v>0</v>
      </c>
      <c r="S97" s="171">
        <f>Q97*AL97</f>
        <v>0</v>
      </c>
      <c r="T97" s="138">
        <f>R97*AN97</f>
        <v>0</v>
      </c>
      <c r="U97" s="111">
        <f ca="1">AW97*L97*J97</f>
        <v>0</v>
      </c>
      <c r="V97" s="172"/>
      <c r="W97" s="49"/>
      <c r="X97" s="49"/>
      <c r="Z97" s="107">
        <f>IF(I97="CLT",(M97/220)*(1+encargos_mensalista),(M97/220))</f>
        <v>8.6363636363636367</v>
      </c>
      <c r="AA97" s="107">
        <f t="shared" si="134"/>
        <v>8.6363636363636367</v>
      </c>
      <c r="AB97" s="108">
        <f ca="1">AA97*(1+((incidência_do_dissídio/meses_obra)*dissídio_coletivo))</f>
        <v>9.014204545454545</v>
      </c>
      <c r="AC97" s="108">
        <f ca="1">AB97*(1+(ociosidade_por_dia/9))</f>
        <v>9.014204545454545</v>
      </c>
      <c r="AD97" s="127"/>
      <c r="AE97" s="109">
        <f>IF(I97="contrato",0,$N$11*$Q$11*$K$11)</f>
        <v>0</v>
      </c>
      <c r="AF97" s="109">
        <f>IF(I97="contrato",0,$N$12*$Q$12*$K$12)</f>
        <v>0</v>
      </c>
      <c r="AG97" s="109">
        <f>IF(I97="contrato",0,$N$13*$Q$13*$K$13)</f>
        <v>0</v>
      </c>
      <c r="AH97" s="109">
        <f>IF(I97="contrato",0,$N$14*$Q$14*$K$14)</f>
        <v>0</v>
      </c>
      <c r="AI97" s="109">
        <f>IF(I97="contrato",0,$N$14*$Q$15*$K$15)</f>
        <v>0</v>
      </c>
      <c r="AJ97" s="109">
        <f>IF(I97="contrato",0,$N$14*$Q$16*$K$16)</f>
        <v>0</v>
      </c>
      <c r="AL97" s="107">
        <f>IF(I97="contrato",0,ROUNDUP((M97/220)*(1+$AA$14)*(1+hora_extra_dias_úteis),2))</f>
        <v>0</v>
      </c>
      <c r="AM97" s="107">
        <f>IF(I97="contrato",0,ROUNDUP((M97/220)*(1+$AA$14)*(1+hora_extra_sábados),2))</f>
        <v>0</v>
      </c>
      <c r="AN97" s="107">
        <f>IF(I97="contrato",0,ROUNDUP((M97/220)*(1+$AA$14)*(1+hora_extra_domingos),2))</f>
        <v>0</v>
      </c>
      <c r="AO97" s="107">
        <f>IF(I97="contrato",0,ROUNDUP(AL97*(1+adicional_noturno),2))</f>
        <v>0</v>
      </c>
      <c r="AP97" s="107">
        <f>IF(I97="contrato",0,ROUNDUP(AM97*(1+adicional_noturno),2))</f>
        <v>0</v>
      </c>
      <c r="AQ97" s="107">
        <f>IF(I97="contrato",0,ROUNDUP(AN97*(1+adicional_noturno),2))</f>
        <v>0</v>
      </c>
      <c r="AS97" s="147">
        <f t="shared" si="135"/>
        <v>0</v>
      </c>
      <c r="AT97" s="614">
        <f t="shared" si="136"/>
        <v>0</v>
      </c>
      <c r="AV97" s="110">
        <f ca="1">IF(I97="CLT",IF(L97=0,0,P97*220+N97),(P97*220+N97+(O97/meses_obra)))</f>
        <v>2299.7916666666665</v>
      </c>
      <c r="AW97" s="110">
        <f ca="1">IF(I97="CLT",IF(L97=0,0,((P97*220)+(AE97*AL97)+(AF97*AM97)+(AG97*AN97)+(AH97*AO97)+(AI97*AP97)+(AJ97*AQ97)+N97)),AV97)</f>
        <v>2299.7916666666665</v>
      </c>
      <c r="AX97" s="110">
        <f ca="1">AV97*L97*J97</f>
        <v>0</v>
      </c>
    </row>
    <row r="98" spans="1:50" ht="15.75" customHeight="1" outlineLevel="1">
      <c r="A98" s="507">
        <v>6</v>
      </c>
      <c r="B98" s="507"/>
      <c r="C98" s="507"/>
      <c r="D98" s="135" t="s">
        <v>610</v>
      </c>
      <c r="E98" s="1308" t="s">
        <v>216</v>
      </c>
      <c r="F98" s="1309"/>
      <c r="G98" s="1310"/>
      <c r="H98" s="136" t="s">
        <v>1923</v>
      </c>
      <c r="I98" s="400" t="s">
        <v>807</v>
      </c>
      <c r="J98" s="409"/>
      <c r="K98" s="405"/>
      <c r="L98" s="408">
        <f>meses_obra</f>
        <v>8</v>
      </c>
      <c r="M98" s="403">
        <v>1900</v>
      </c>
      <c r="N98" s="403"/>
      <c r="O98" s="106">
        <f>IF(I98="CLT","N/A",(L98*(M98/12)*2))</f>
        <v>2533.3333333333335</v>
      </c>
      <c r="P98" s="108">
        <f ca="1">IF(I98="contrato",AB98,AB98)</f>
        <v>9.014204545454545</v>
      </c>
      <c r="Q98" s="138">
        <f>AE98+AF98</f>
        <v>0</v>
      </c>
      <c r="R98" s="138">
        <f>AG98</f>
        <v>0</v>
      </c>
      <c r="S98" s="171">
        <f>Q98*AL98</f>
        <v>0</v>
      </c>
      <c r="T98" s="138">
        <f>R98*AN98</f>
        <v>0</v>
      </c>
      <c r="U98" s="111">
        <f ca="1">AW98*L98*J98</f>
        <v>0</v>
      </c>
      <c r="V98" s="172"/>
      <c r="W98" s="49"/>
      <c r="X98" s="49"/>
      <c r="Z98" s="107">
        <f>IF(I98="CLT",(M98/220)*(1+encargos_mensalista),(M98/220))</f>
        <v>8.6363636363636367</v>
      </c>
      <c r="AA98" s="107">
        <f t="shared" si="134"/>
        <v>8.6363636363636367</v>
      </c>
      <c r="AB98" s="108">
        <f ca="1">AA98*(1+((incidência_do_dissídio/meses_obra)*dissídio_coletivo))</f>
        <v>9.014204545454545</v>
      </c>
      <c r="AC98" s="108">
        <f ca="1">AB98*(1+(ociosidade_por_dia/9))</f>
        <v>9.014204545454545</v>
      </c>
      <c r="AD98" s="127"/>
      <c r="AE98" s="109">
        <f>IF(I98="contrato",0,$N$11*$Q$11*$K$11)</f>
        <v>0</v>
      </c>
      <c r="AF98" s="109">
        <f>IF(I98="contrato",0,$N$12*$Q$12*$K$12)</f>
        <v>0</v>
      </c>
      <c r="AG98" s="109">
        <f>IF(I98="contrato",0,$N$13*$Q$13*$K$13)</f>
        <v>0</v>
      </c>
      <c r="AH98" s="109">
        <f>IF(I98="contrato",0,$N$14*$Q$14*$K$14)</f>
        <v>0</v>
      </c>
      <c r="AI98" s="109">
        <f>IF(I98="contrato",0,$N$14*$Q$15*$K$15)</f>
        <v>0</v>
      </c>
      <c r="AJ98" s="109">
        <f>IF(I98="contrato",0,$N$14*$Q$16*$K$16)</f>
        <v>0</v>
      </c>
      <c r="AL98" s="107">
        <f>IF(I98="contrato",0,ROUNDUP((M98/220)*(1+$AA$14)*(1+hora_extra_dias_úteis),2))</f>
        <v>0</v>
      </c>
      <c r="AM98" s="107">
        <f>IF(I98="contrato",0,ROUNDUP((M98/220)*(1+$AA$14)*(1+hora_extra_sábados),2))</f>
        <v>0</v>
      </c>
      <c r="AN98" s="107">
        <f>IF(I98="contrato",0,ROUNDUP((M98/220)*(1+$AA$14)*(1+hora_extra_domingos),2))</f>
        <v>0</v>
      </c>
      <c r="AO98" s="107">
        <f>IF(I98="contrato",0,ROUNDUP(AL98*(1+adicional_noturno),2))</f>
        <v>0</v>
      </c>
      <c r="AP98" s="107">
        <f>IF(I98="contrato",0,ROUNDUP(AM98*(1+adicional_noturno),2))</f>
        <v>0</v>
      </c>
      <c r="AQ98" s="107">
        <f>IF(I98="contrato",0,ROUNDUP(AN98*(1+adicional_noturno),2))</f>
        <v>0</v>
      </c>
      <c r="AS98" s="147">
        <f t="shared" si="135"/>
        <v>0</v>
      </c>
      <c r="AT98" s="614">
        <f t="shared" si="136"/>
        <v>0</v>
      </c>
      <c r="AV98" s="110">
        <f ca="1">IF(I98="CLT",IF(L98=0,0,P98*220+N98),(P98*220+N98+(O98/meses_obra)))</f>
        <v>2299.7916666666665</v>
      </c>
      <c r="AW98" s="110">
        <f ca="1">IF(I98="CLT",IF(L98=0,0,((P98*220)+(AE98*AL98)+(AF98*AM98)+(AG98*AN98)+(AH98*AO98)+(AI98*AP98)+(AJ98*AQ98)+N98)),AV98)</f>
        <v>2299.7916666666665</v>
      </c>
      <c r="AX98" s="110">
        <f ca="1">AV98*L98*J98</f>
        <v>0</v>
      </c>
    </row>
    <row r="99" spans="1:50" ht="15.75" customHeight="1" outlineLevel="1">
      <c r="A99" s="507">
        <v>6</v>
      </c>
      <c r="B99" s="507"/>
      <c r="C99" s="507"/>
      <c r="D99" s="135" t="s">
        <v>611</v>
      </c>
      <c r="E99" s="1308"/>
      <c r="F99" s="1309"/>
      <c r="G99" s="1310"/>
      <c r="H99" s="136" t="s">
        <v>1923</v>
      </c>
      <c r="I99" s="400" t="s">
        <v>807</v>
      </c>
      <c r="J99" s="409"/>
      <c r="K99" s="405"/>
      <c r="L99" s="408">
        <f>meses_obra</f>
        <v>8</v>
      </c>
      <c r="M99" s="403">
        <v>1364</v>
      </c>
      <c r="N99" s="403"/>
      <c r="O99" s="106">
        <f>IF(I99="CLT","N/A",(L99*(M99/12)*2))</f>
        <v>1818.6666666666667</v>
      </c>
      <c r="P99" s="108">
        <f ca="1">IF(I99="contrato",AB99,AB99)</f>
        <v>6.4712499999999995</v>
      </c>
      <c r="Q99" s="138">
        <f>AE99+AF99</f>
        <v>0</v>
      </c>
      <c r="R99" s="138">
        <f>AG99</f>
        <v>0</v>
      </c>
      <c r="S99" s="171">
        <f>Q99*AL99</f>
        <v>0</v>
      </c>
      <c r="T99" s="138">
        <f>R99*AN99</f>
        <v>0</v>
      </c>
      <c r="U99" s="111">
        <f ca="1">AW99*L99*J99</f>
        <v>0</v>
      </c>
      <c r="V99" s="172"/>
      <c r="W99" s="49"/>
      <c r="X99" s="49"/>
      <c r="Z99" s="107">
        <f>IF(I99="CLT",(M99/220)*(1+encargos_mensalista),(M99/220))</f>
        <v>6.2</v>
      </c>
      <c r="AA99" s="107">
        <f t="shared" si="134"/>
        <v>6.2</v>
      </c>
      <c r="AB99" s="108">
        <f ca="1">AA99*(1+((incidência_do_dissídio/meses_obra)*dissídio_coletivo))</f>
        <v>6.4712499999999995</v>
      </c>
      <c r="AC99" s="108">
        <f ca="1">AB99*(1+(ociosidade_por_dia/9))</f>
        <v>6.4712499999999995</v>
      </c>
      <c r="AD99" s="127"/>
      <c r="AE99" s="109">
        <f>IF(I99="contrato",0,$N$11*$Q$11*$K$11)</f>
        <v>0</v>
      </c>
      <c r="AF99" s="109">
        <f>IF(I99="contrato",0,$N$12*$Q$12*$K$12)</f>
        <v>0</v>
      </c>
      <c r="AG99" s="109">
        <f>IF(I99="contrato",0,$N$13*$Q$13*$K$13)</f>
        <v>0</v>
      </c>
      <c r="AH99" s="109">
        <f>IF(I99="contrato",0,$N$14*$Q$14*$K$14)</f>
        <v>0</v>
      </c>
      <c r="AI99" s="109">
        <f>IF(I99="contrato",0,$N$14*$Q$15*$K$15)</f>
        <v>0</v>
      </c>
      <c r="AJ99" s="109">
        <f>IF(I99="contrato",0,$N$14*$Q$16*$K$16)</f>
        <v>0</v>
      </c>
      <c r="AL99" s="107">
        <f>IF(I99="contrato",0,ROUNDUP((M99/220)*(1+$AA$14)*(1+hora_extra_dias_úteis),2))</f>
        <v>0</v>
      </c>
      <c r="AM99" s="107">
        <f>IF(I99="contrato",0,ROUNDUP((M99/220)*(1+$AA$14)*(1+hora_extra_sábados),2))</f>
        <v>0</v>
      </c>
      <c r="AN99" s="107">
        <f>IF(I99="contrato",0,ROUNDUP((M99/220)*(1+$AA$14)*(1+hora_extra_domingos),2))</f>
        <v>0</v>
      </c>
      <c r="AO99" s="107">
        <f>IF(I99="contrato",0,ROUNDUP(AL99*(1+adicional_noturno),2))</f>
        <v>0</v>
      </c>
      <c r="AP99" s="107">
        <f>IF(I99="contrato",0,ROUNDUP(AM99*(1+adicional_noturno),2))</f>
        <v>0</v>
      </c>
      <c r="AQ99" s="107">
        <f>IF(I99="contrato",0,ROUNDUP(AN99*(1+adicional_noturno),2))</f>
        <v>0</v>
      </c>
      <c r="AS99" s="147">
        <f t="shared" si="135"/>
        <v>0</v>
      </c>
      <c r="AT99" s="614">
        <f t="shared" si="136"/>
        <v>0</v>
      </c>
      <c r="AV99" s="110">
        <f ca="1">IF(I99="CLT",IF(L99=0,0,P99*220+N99),(P99*220+N99+(O99/meses_obra)))</f>
        <v>1651.0083333333332</v>
      </c>
      <c r="AW99" s="110">
        <f ca="1">IF(I99="CLT",IF(L99=0,0,((P99*220)+(AE99*AL99)+(AF99*AM99)+(AG99*AN99)+(AH99*AO99)+(AI99*AP99)+(AJ99*AQ99)+N99)),AV99)</f>
        <v>1651.0083333333332</v>
      </c>
      <c r="AX99" s="110">
        <f ca="1">AV99*L99*J99</f>
        <v>0</v>
      </c>
    </row>
    <row r="100" spans="1:50" ht="15.75" customHeight="1" outlineLevel="1">
      <c r="A100" s="507"/>
      <c r="B100" s="507"/>
      <c r="C100" s="507"/>
      <c r="D100" s="128"/>
      <c r="E100" s="129"/>
      <c r="F100" s="130"/>
      <c r="G100" s="130"/>
      <c r="H100" s="131"/>
      <c r="I100" s="130"/>
      <c r="J100" s="132"/>
      <c r="K100" s="130"/>
      <c r="L100" s="132"/>
      <c r="M100" s="130"/>
      <c r="N100" s="130"/>
      <c r="O100" s="130"/>
      <c r="P100" s="130"/>
      <c r="Q100" s="130"/>
      <c r="R100" s="130"/>
      <c r="S100" s="130"/>
      <c r="T100" s="130"/>
      <c r="U100" s="140"/>
      <c r="V100" s="172"/>
      <c r="Z100" s="130"/>
      <c r="AA100" s="130"/>
      <c r="AB100" s="130"/>
      <c r="AC100" s="130"/>
      <c r="AD100" s="282"/>
      <c r="AE100" s="133"/>
      <c r="AF100" s="133"/>
      <c r="AG100" s="133"/>
      <c r="AH100" s="133"/>
      <c r="AI100" s="133"/>
      <c r="AJ100" s="133"/>
      <c r="AL100" s="155"/>
      <c r="AM100" s="155"/>
      <c r="AN100" s="155"/>
      <c r="AO100" s="155"/>
      <c r="AP100" s="155"/>
      <c r="AQ100" s="155"/>
      <c r="AS100" s="147"/>
      <c r="AT100" s="105"/>
      <c r="AV100" s="130"/>
      <c r="AW100" s="130"/>
      <c r="AX100" s="134"/>
    </row>
    <row r="101" spans="1:50" s="49" customFormat="1" ht="15.75" customHeight="1" outlineLevel="1">
      <c r="A101" s="507" t="s">
        <v>189</v>
      </c>
      <c r="B101" s="507"/>
      <c r="C101" s="498"/>
      <c r="D101" s="215" t="s">
        <v>525</v>
      </c>
      <c r="E101" s="221" t="s">
        <v>1932</v>
      </c>
      <c r="F101" s="221"/>
      <c r="G101" s="221"/>
      <c r="H101" s="222"/>
      <c r="I101" s="222"/>
      <c r="J101" s="224" t="s">
        <v>154</v>
      </c>
      <c r="K101" s="223" t="s">
        <v>803</v>
      </c>
      <c r="L101" s="219" t="s">
        <v>795</v>
      </c>
      <c r="M101" s="223" t="s">
        <v>122</v>
      </c>
      <c r="N101" s="223" t="s">
        <v>242</v>
      </c>
      <c r="O101" s="209"/>
      <c r="P101" s="225"/>
      <c r="Q101" s="225"/>
      <c r="R101" s="225"/>
      <c r="S101" s="225"/>
      <c r="T101" s="225"/>
      <c r="U101" s="141">
        <f ca="1">SUMIF(A:A,D101,U:U)</f>
        <v>0</v>
      </c>
      <c r="V101" s="56">
        <f ca="1">$AX$101/custo_direto</f>
        <v>0</v>
      </c>
      <c r="X101" s="127"/>
      <c r="Z101" s="775" t="s">
        <v>2008</v>
      </c>
      <c r="AA101" s="775" t="s">
        <v>2010</v>
      </c>
      <c r="AB101" s="775" t="s">
        <v>2011</v>
      </c>
      <c r="AC101" s="775" t="s">
        <v>2009</v>
      </c>
      <c r="AE101" s="775" t="s">
        <v>207</v>
      </c>
      <c r="AF101" s="775" t="s">
        <v>211</v>
      </c>
      <c r="AG101" s="775" t="s">
        <v>212</v>
      </c>
      <c r="AH101" s="775" t="s">
        <v>207</v>
      </c>
      <c r="AI101" s="775" t="s">
        <v>211</v>
      </c>
      <c r="AJ101" s="775" t="s">
        <v>212</v>
      </c>
      <c r="AL101" s="775" t="s">
        <v>209</v>
      </c>
      <c r="AM101" s="775" t="s">
        <v>208</v>
      </c>
      <c r="AN101" s="775" t="s">
        <v>210</v>
      </c>
      <c r="AO101" s="775" t="s">
        <v>209</v>
      </c>
      <c r="AP101" s="775" t="s">
        <v>208</v>
      </c>
      <c r="AQ101" s="775" t="s">
        <v>210</v>
      </c>
      <c r="AS101" s="191" t="s">
        <v>237</v>
      </c>
      <c r="AT101" s="191" t="s">
        <v>238</v>
      </c>
      <c r="AV101" s="191"/>
      <c r="AW101" s="191"/>
      <c r="AX101" s="208">
        <f ca="1">SUMIF(A:A,D101,AX:AX)</f>
        <v>0</v>
      </c>
    </row>
    <row r="102" spans="1:50" ht="15.75" customHeight="1" outlineLevel="1">
      <c r="A102" s="507">
        <v>7</v>
      </c>
      <c r="B102" s="507"/>
      <c r="C102" s="507"/>
      <c r="D102" s="135" t="s">
        <v>612</v>
      </c>
      <c r="E102" s="1311" t="s">
        <v>106</v>
      </c>
      <c r="F102" s="1312"/>
      <c r="G102" s="1313"/>
      <c r="H102" s="136" t="s">
        <v>2</v>
      </c>
      <c r="I102" s="400" t="s">
        <v>807</v>
      </c>
      <c r="J102" s="415"/>
      <c r="K102" s="413"/>
      <c r="L102" s="408">
        <f>meses_obra</f>
        <v>8</v>
      </c>
      <c r="M102" s="402">
        <v>20000</v>
      </c>
      <c r="N102" s="402"/>
      <c r="O102" s="137">
        <f>IF(I102="CLT","N/A",(L102*(M102/12)*2))</f>
        <v>26666.666666666668</v>
      </c>
      <c r="P102" s="108">
        <f ca="1">IF(I102="contrato",AB102,AB102)</f>
        <v>94.886363636363626</v>
      </c>
      <c r="Q102" s="138">
        <f>AE102+AF102</f>
        <v>0</v>
      </c>
      <c r="R102" s="138">
        <f>AG102</f>
        <v>0</v>
      </c>
      <c r="S102" s="171">
        <f>Q102*AL102</f>
        <v>0</v>
      </c>
      <c r="T102" s="138">
        <f>R102*AN102</f>
        <v>0</v>
      </c>
      <c r="U102" s="111">
        <f ca="1">AW102*L102*J102</f>
        <v>0</v>
      </c>
      <c r="V102" s="172"/>
      <c r="W102" s="49"/>
      <c r="X102" s="49"/>
      <c r="Z102" s="107">
        <f>IF(I102="CLT",(M102/220)*(1+encargos_mensalista),(M102/220))</f>
        <v>90.909090909090907</v>
      </c>
      <c r="AA102" s="107">
        <f t="shared" ref="AA102:AA105" si="137">Z102*(1+K102)</f>
        <v>90.909090909090907</v>
      </c>
      <c r="AB102" s="108">
        <f ca="1">AA102*(1+((incidência_do_dissídio/meses_obra)*dissídio_coletivo))</f>
        <v>94.886363636363626</v>
      </c>
      <c r="AC102" s="108">
        <f ca="1">AB102*(1+(ociosidade_por_dia/9))</f>
        <v>94.886363636363626</v>
      </c>
      <c r="AD102" s="127"/>
      <c r="AE102" s="139">
        <f>IF(I102="contrato",0,$N$11*$Q$11*$K$11)</f>
        <v>0</v>
      </c>
      <c r="AF102" s="139">
        <f>IF(I102="contrato",0,$N$12*$Q$12*$K$12)</f>
        <v>0</v>
      </c>
      <c r="AG102" s="139">
        <f>IF(I102="contrato",0,$N$13*$Q$13*$K$13)</f>
        <v>0</v>
      </c>
      <c r="AH102" s="139">
        <f>IF(I102="contrato",0,$N$14*$Q$14*$K$14)</f>
        <v>0</v>
      </c>
      <c r="AI102" s="139">
        <f>IF(I102="contrato",0,$N$14*$Q$15*$K$15)</f>
        <v>0</v>
      </c>
      <c r="AJ102" s="139">
        <f>IF(I102="contrato",0,$N$14*$Q$16*$K$16)</f>
        <v>0</v>
      </c>
      <c r="AL102" s="107">
        <f>IF(I102="contrato",0,ROUNDUP((M102/220)*(1+$AA$14)*(1+hora_extra_dias_úteis),2))</f>
        <v>0</v>
      </c>
      <c r="AM102" s="107">
        <f>IF(I102="contrato",0,ROUNDUP((M102/220)*(1+$AA$14)*(1+hora_extra_sábados),2))</f>
        <v>0</v>
      </c>
      <c r="AN102" s="107">
        <f>IF(I102="contrato",0,ROUNDUP((M102/220)*(1+$AA$14)*(1+hora_extra_domingos),2))</f>
        <v>0</v>
      </c>
      <c r="AO102" s="107">
        <f>IF(I102="contrato",0,ROUNDUP(AL102*(1+adicional_noturno),2))</f>
        <v>0</v>
      </c>
      <c r="AP102" s="107">
        <f>IF(I102="contrato",0,ROUNDUP(AM102*(1+adicional_noturno),2))</f>
        <v>0</v>
      </c>
      <c r="AQ102" s="107">
        <f>IF(I102="contrato",0,ROUNDUP(AN102*(1+adicional_noturno),2))</f>
        <v>0</v>
      </c>
      <c r="AS102" s="147">
        <f t="shared" ref="AS102:AS105" si="138">IF(H102="Coordenação",0,L102*J102)</f>
        <v>0</v>
      </c>
      <c r="AT102" s="614">
        <f t="shared" ref="AT102:AT105" si="139">IF(H102="Coordenação",L102*J102,0)</f>
        <v>0</v>
      </c>
      <c r="AV102" s="204">
        <f ca="1">IF(I102="CLT",IF(L102=0,0,P102*220+N102),(P102*220+N102+(O102/meses_obra)))</f>
        <v>24208.333333333328</v>
      </c>
      <c r="AW102" s="204">
        <f ca="1">IF(I102="CLT",IF(L102=0,0,((P102*220)+(AE102*AL102)+(AF102*AM102)+(AG102*AN102)+(AH102*AO102)+(AI102*AP102)+(AJ102*AQ102)+N102)),AV102)</f>
        <v>24208.333333333328</v>
      </c>
      <c r="AX102" s="204">
        <f ca="1">AV102*L102*J102</f>
        <v>0</v>
      </c>
    </row>
    <row r="103" spans="1:50" ht="15.75" customHeight="1" outlineLevel="1">
      <c r="A103" s="507">
        <v>7</v>
      </c>
      <c r="B103" s="507"/>
      <c r="C103" s="507"/>
      <c r="D103" s="135" t="s">
        <v>613</v>
      </c>
      <c r="E103" s="1308" t="s">
        <v>276</v>
      </c>
      <c r="F103" s="1309"/>
      <c r="G103" s="1310"/>
      <c r="H103" s="104" t="s">
        <v>2</v>
      </c>
      <c r="I103" s="400" t="s">
        <v>807</v>
      </c>
      <c r="J103" s="409"/>
      <c r="K103" s="405"/>
      <c r="L103" s="408">
        <f>meses_obra</f>
        <v>8</v>
      </c>
      <c r="M103" s="403">
        <v>1364</v>
      </c>
      <c r="N103" s="403"/>
      <c r="O103" s="106">
        <f>IF(I103="CLT","N/A",(L103*(M103/12)*2))</f>
        <v>1818.6666666666667</v>
      </c>
      <c r="P103" s="108">
        <f ca="1">IF(I103="contrato",AB103,AB103)</f>
        <v>6.4712499999999995</v>
      </c>
      <c r="Q103" s="138">
        <f>AE103+AF103</f>
        <v>0</v>
      </c>
      <c r="R103" s="138">
        <f>AG103</f>
        <v>0</v>
      </c>
      <c r="S103" s="171">
        <f>Q103*AL103</f>
        <v>0</v>
      </c>
      <c r="T103" s="138">
        <f>R103*AN103</f>
        <v>0</v>
      </c>
      <c r="U103" s="111">
        <f ca="1">AW103*L103*J103</f>
        <v>0</v>
      </c>
      <c r="V103" s="172"/>
      <c r="W103" s="49"/>
      <c r="X103" s="49"/>
      <c r="Z103" s="107">
        <f>IF(I103="CLT",(M103/220)*(1+encargos_mensalista),(M103/220))</f>
        <v>6.2</v>
      </c>
      <c r="AA103" s="107">
        <f t="shared" si="137"/>
        <v>6.2</v>
      </c>
      <c r="AB103" s="108">
        <f ca="1">AA103*(1+((incidência_do_dissídio/meses_obra)*dissídio_coletivo))</f>
        <v>6.4712499999999995</v>
      </c>
      <c r="AC103" s="108">
        <f ca="1">AB103*(1+(ociosidade_por_dia/9))</f>
        <v>6.4712499999999995</v>
      </c>
      <c r="AD103" s="127"/>
      <c r="AE103" s="109">
        <f>IF(I103="contrato",0,$N$11*$Q$11*$K$11)</f>
        <v>0</v>
      </c>
      <c r="AF103" s="109">
        <f>IF(I103="contrato",0,$N$12*$Q$12*$K$12)</f>
        <v>0</v>
      </c>
      <c r="AG103" s="109">
        <f>IF(I103="contrato",0,$N$13*$Q$13*$K$13)</f>
        <v>0</v>
      </c>
      <c r="AH103" s="109">
        <f>IF(I103="contrato",0,$N$14*$Q$14*$K$14)</f>
        <v>0</v>
      </c>
      <c r="AI103" s="109">
        <f>IF(I103="contrato",0,$N$14*$Q$15*$K$15)</f>
        <v>0</v>
      </c>
      <c r="AJ103" s="109">
        <f>IF(I103="contrato",0,$N$14*$Q$16*$K$16)</f>
        <v>0</v>
      </c>
      <c r="AL103" s="107">
        <f>IF(I103="contrato",0,ROUNDUP((M103/220)*(1+$AA$14)*(1+hora_extra_dias_úteis),2))</f>
        <v>0</v>
      </c>
      <c r="AM103" s="107">
        <f>IF(I103="contrato",0,ROUNDUP((M103/220)*(1+$AA$14)*(1+hora_extra_sábados),2))</f>
        <v>0</v>
      </c>
      <c r="AN103" s="107">
        <f>IF(I103="contrato",0,ROUNDUP((M103/220)*(1+$AA$14)*(1+hora_extra_domingos),2))</f>
        <v>0</v>
      </c>
      <c r="AO103" s="107">
        <f>IF(I103="contrato",0,ROUNDUP(AL103*(1+adicional_noturno),2))</f>
        <v>0</v>
      </c>
      <c r="AP103" s="107">
        <f>IF(I103="contrato",0,ROUNDUP(AM103*(1+adicional_noturno),2))</f>
        <v>0</v>
      </c>
      <c r="AQ103" s="107">
        <f>IF(I103="contrato",0,ROUNDUP(AN103*(1+adicional_noturno),2))</f>
        <v>0</v>
      </c>
      <c r="AS103" s="147">
        <f t="shared" si="138"/>
        <v>0</v>
      </c>
      <c r="AT103" s="614">
        <f t="shared" si="139"/>
        <v>0</v>
      </c>
      <c r="AV103" s="110">
        <f ca="1">IF(I103="CLT",IF(L103=0,0,P103*220+N103),(P103*220+N103+(O103/meses_obra)))</f>
        <v>1651.0083333333332</v>
      </c>
      <c r="AW103" s="110">
        <f ca="1">IF(I103="CLT",IF(L103=0,0,((P103*220)+(AE103*AL103)+(AF103*AM103)+(AG103*AN103)+(AH103*AO103)+(AI103*AP103)+(AJ103*AQ103)+N103)),AV103)</f>
        <v>1651.0083333333332</v>
      </c>
      <c r="AX103" s="110">
        <f ca="1">AV103*L103*J103</f>
        <v>0</v>
      </c>
    </row>
    <row r="104" spans="1:50" ht="15.75" customHeight="1" outlineLevel="1">
      <c r="A104" s="507">
        <v>7</v>
      </c>
      <c r="B104" s="507"/>
      <c r="C104" s="507"/>
      <c r="D104" s="135" t="s">
        <v>614</v>
      </c>
      <c r="E104" s="1308" t="s">
        <v>1931</v>
      </c>
      <c r="F104" s="1309"/>
      <c r="G104" s="1310"/>
      <c r="H104" s="104" t="s">
        <v>2</v>
      </c>
      <c r="I104" s="400" t="s">
        <v>807</v>
      </c>
      <c r="J104" s="409"/>
      <c r="K104" s="405"/>
      <c r="L104" s="408">
        <f>meses_obra</f>
        <v>8</v>
      </c>
      <c r="M104" s="403"/>
      <c r="N104" s="403"/>
      <c r="O104" s="106">
        <f>IF(I104="CLT","N/A",(L104*(M104/12)*2))</f>
        <v>0</v>
      </c>
      <c r="P104" s="108">
        <f ca="1">IF(I104="contrato",AB104,AB104)</f>
        <v>0</v>
      </c>
      <c r="Q104" s="138">
        <f>AE104+AF104</f>
        <v>0</v>
      </c>
      <c r="R104" s="138">
        <f>AG104</f>
        <v>0</v>
      </c>
      <c r="S104" s="171">
        <f>Q104*AL104</f>
        <v>0</v>
      </c>
      <c r="T104" s="138">
        <f>R104*AN104</f>
        <v>0</v>
      </c>
      <c r="U104" s="111">
        <f ca="1">AW104*L104*J104</f>
        <v>0</v>
      </c>
      <c r="V104" s="172"/>
      <c r="W104" s="49"/>
      <c r="X104" s="49"/>
      <c r="Z104" s="107">
        <f>IF(I104="CLT",(M104/220)*(1+encargos_mensalista),(M104/220))</f>
        <v>0</v>
      </c>
      <c r="AA104" s="107">
        <f t="shared" si="137"/>
        <v>0</v>
      </c>
      <c r="AB104" s="108">
        <f ca="1">AA104*(1+((incidência_do_dissídio/meses_obra)*dissídio_coletivo))</f>
        <v>0</v>
      </c>
      <c r="AC104" s="108">
        <f ca="1">AB104*(1+(ociosidade_por_dia/9))</f>
        <v>0</v>
      </c>
      <c r="AD104" s="127"/>
      <c r="AE104" s="109">
        <f>IF(I104="contrato",0,$N$11*$Q$11*$K$11)</f>
        <v>0</v>
      </c>
      <c r="AF104" s="109">
        <f>IF(I104="contrato",0,$N$12*$Q$12*$K$12)</f>
        <v>0</v>
      </c>
      <c r="AG104" s="109">
        <f>IF(I104="contrato",0,$N$13*$Q$13*$K$13)</f>
        <v>0</v>
      </c>
      <c r="AH104" s="109">
        <f>IF(I104="contrato",0,$N$14*$Q$14*$K$14)</f>
        <v>0</v>
      </c>
      <c r="AI104" s="109">
        <f>IF(I104="contrato",0,$N$14*$Q$15*$K$15)</f>
        <v>0</v>
      </c>
      <c r="AJ104" s="109">
        <f>IF(I104="contrato",0,$N$14*$Q$16*$K$16)</f>
        <v>0</v>
      </c>
      <c r="AL104" s="107">
        <f>IF(I104="contrato",0,ROUNDUP((M104/220)*(1+$AA$14)*(1+hora_extra_dias_úteis),2))</f>
        <v>0</v>
      </c>
      <c r="AM104" s="107">
        <f>IF(I104="contrato",0,ROUNDUP((M104/220)*(1+$AA$14)*(1+hora_extra_sábados),2))</f>
        <v>0</v>
      </c>
      <c r="AN104" s="107">
        <f>IF(I104="contrato",0,ROUNDUP((M104/220)*(1+$AA$14)*(1+hora_extra_domingos),2))</f>
        <v>0</v>
      </c>
      <c r="AO104" s="107">
        <f>IF(I104="contrato",0,ROUNDUP(AL104*(1+adicional_noturno),2))</f>
        <v>0</v>
      </c>
      <c r="AP104" s="107">
        <f>IF(I104="contrato",0,ROUNDUP(AM104*(1+adicional_noturno),2))</f>
        <v>0</v>
      </c>
      <c r="AQ104" s="107">
        <f>IF(I104="contrato",0,ROUNDUP(AN104*(1+adicional_noturno),2))</f>
        <v>0</v>
      </c>
      <c r="AS104" s="147">
        <f t="shared" si="138"/>
        <v>0</v>
      </c>
      <c r="AT104" s="614">
        <f t="shared" si="139"/>
        <v>0</v>
      </c>
      <c r="AV104" s="110">
        <f ca="1">IF(I104="CLT",IF(L104=0,0,P104*220+N104),(P104*220+N104+(O104/meses_obra)))</f>
        <v>0</v>
      </c>
      <c r="AW104" s="110">
        <f ca="1">IF(I104="CLT",IF(L104=0,0,((P104*220)+(AE104*AL104)+(AF104*AM104)+(AG104*AN104)+(AH104*AO104)+(AI104*AP104)+(AJ104*AQ104)+N104)),AV104)</f>
        <v>0</v>
      </c>
      <c r="AX104" s="110">
        <f ca="1">AV104*L104*J104</f>
        <v>0</v>
      </c>
    </row>
    <row r="105" spans="1:50" ht="15.75" customHeight="1" outlineLevel="1">
      <c r="A105" s="507">
        <v>7</v>
      </c>
      <c r="B105" s="507"/>
      <c r="C105" s="507"/>
      <c r="D105" s="135" t="s">
        <v>1930</v>
      </c>
      <c r="E105" s="1304"/>
      <c r="F105" s="1305"/>
      <c r="G105" s="1306"/>
      <c r="H105" s="104"/>
      <c r="I105" s="400"/>
      <c r="J105" s="412"/>
      <c r="K105" s="411"/>
      <c r="L105" s="408">
        <f>meses_obra</f>
        <v>8</v>
      </c>
      <c r="M105" s="403"/>
      <c r="N105" s="403"/>
      <c r="O105" s="106">
        <f>IF(I105="CLT","N/A",(L105*(M105/12)*2))</f>
        <v>0</v>
      </c>
      <c r="P105" s="108">
        <f ca="1">IF(I105="contrato",AB105,AB105)</f>
        <v>0</v>
      </c>
      <c r="Q105" s="138">
        <f>AE105+AF105</f>
        <v>0</v>
      </c>
      <c r="R105" s="138">
        <f>AG105</f>
        <v>0</v>
      </c>
      <c r="S105" s="171">
        <f>Q105*AL105</f>
        <v>0</v>
      </c>
      <c r="T105" s="138">
        <f>R105*AN105</f>
        <v>0</v>
      </c>
      <c r="U105" s="111">
        <f ca="1">AW105*L105*J105</f>
        <v>0</v>
      </c>
      <c r="V105" s="172"/>
      <c r="W105" s="49"/>
      <c r="X105" s="127"/>
      <c r="Z105" s="107">
        <f>IF(I105="CLT",(M105/220)*(1+encargos_mensalista),(M105/220))</f>
        <v>0</v>
      </c>
      <c r="AA105" s="107">
        <f t="shared" si="137"/>
        <v>0</v>
      </c>
      <c r="AB105" s="108">
        <f ca="1">AA105*(1+((incidência_do_dissídio/meses_obra)*dissídio_coletivo))</f>
        <v>0</v>
      </c>
      <c r="AC105" s="108">
        <f ca="1">AB105*(1+(ociosidade_por_dia/9))</f>
        <v>0</v>
      </c>
      <c r="AD105" s="127"/>
      <c r="AE105" s="109">
        <f>IF(I105="contrato",0,$N$11*$Q$11*$K$11)</f>
        <v>0</v>
      </c>
      <c r="AF105" s="109">
        <f>IF(I105="contrato",0,$N$12*$Q$12*$K$12)</f>
        <v>0</v>
      </c>
      <c r="AG105" s="109">
        <f>IF(I105="contrato",0,$N$13*$Q$13*$K$13)</f>
        <v>0</v>
      </c>
      <c r="AH105" s="109">
        <f>IF(I105="contrato",0,$N$14*$Q$14*$K$14)</f>
        <v>0</v>
      </c>
      <c r="AI105" s="109">
        <f>IF(I105="contrato",0,$N$14*$Q$15*$K$15)</f>
        <v>0</v>
      </c>
      <c r="AJ105" s="109">
        <f>IF(I105="contrato",0,$N$14*$Q$16*$K$16)</f>
        <v>0</v>
      </c>
      <c r="AL105" s="107">
        <f>IF(I105="contrato",0,ROUNDUP((M105/220)*(1+$AA$14)*(1+hora_extra_dias_úteis),2))</f>
        <v>0</v>
      </c>
      <c r="AM105" s="107">
        <f>IF(I105="contrato",0,ROUNDUP((M105/220)*(1+$AA$14)*(1+hora_extra_sábados),2))</f>
        <v>0</v>
      </c>
      <c r="AN105" s="107">
        <f>IF(I105="contrato",0,ROUNDUP((M105/220)*(1+$AA$14)*(1+hora_extra_domingos),2))</f>
        <v>0</v>
      </c>
      <c r="AO105" s="107">
        <f>IF(I105="contrato",0,ROUNDUP(AL105*(1+adicional_noturno),2))</f>
        <v>0</v>
      </c>
      <c r="AP105" s="107">
        <f>IF(I105="contrato",0,ROUNDUP(AM105*(1+adicional_noturno),2))</f>
        <v>0</v>
      </c>
      <c r="AQ105" s="107">
        <f>IF(I105="contrato",0,ROUNDUP(AN105*(1+adicional_noturno),2))</f>
        <v>0</v>
      </c>
      <c r="AS105" s="147">
        <f t="shared" si="138"/>
        <v>0</v>
      </c>
      <c r="AT105" s="614">
        <f t="shared" si="139"/>
        <v>0</v>
      </c>
      <c r="AV105" s="110">
        <f ca="1">IF(I105="CLT",IF(L105=0,0,P105*220+N105),(P105*220+N105+(O105/meses_obra)))</f>
        <v>0</v>
      </c>
      <c r="AW105" s="110">
        <f ca="1">IF(I105="CLT",IF(L105=0,0,((P105*220)+(AE105*AL105)+(AF105*AM105)+(AG105*AN105)+(AH105*AO105)+(AI105*AP105)+(AJ105*AQ105)+N105)),AV105)</f>
        <v>0</v>
      </c>
      <c r="AX105" s="110">
        <f ca="1">AV105*L105*J105</f>
        <v>0</v>
      </c>
    </row>
    <row r="106" spans="1:50" ht="15.75" customHeight="1" outlineLevel="1">
      <c r="A106" s="507"/>
      <c r="B106" s="507"/>
      <c r="C106" s="507"/>
      <c r="D106" s="117"/>
      <c r="E106" s="112"/>
      <c r="F106" s="113"/>
      <c r="G106" s="113"/>
      <c r="H106" s="114"/>
      <c r="I106" s="113"/>
      <c r="J106" s="115"/>
      <c r="K106" s="113"/>
      <c r="L106" s="115"/>
      <c r="M106" s="113"/>
      <c r="N106" s="113"/>
      <c r="O106" s="113"/>
      <c r="P106" s="113"/>
      <c r="Q106" s="113"/>
      <c r="R106" s="113"/>
      <c r="S106" s="113"/>
      <c r="T106" s="113"/>
      <c r="U106" s="142"/>
      <c r="Z106" s="120"/>
      <c r="AA106" s="120"/>
      <c r="AB106" s="121"/>
      <c r="AC106" s="121"/>
      <c r="AD106" s="127"/>
      <c r="AE106" s="122"/>
      <c r="AF106" s="122"/>
      <c r="AG106" s="122"/>
      <c r="AH106" s="122"/>
      <c r="AI106" s="122"/>
      <c r="AJ106" s="122"/>
      <c r="AL106" s="120"/>
      <c r="AM106" s="120"/>
      <c r="AN106" s="120"/>
      <c r="AO106" s="120"/>
      <c r="AP106" s="120"/>
      <c r="AQ106" s="120"/>
      <c r="AS106" s="116"/>
      <c r="AT106" s="116"/>
      <c r="AV106" s="130"/>
      <c r="AW106" s="130"/>
      <c r="AX106" s="134"/>
    </row>
    <row r="107" spans="1:50" ht="15.75" customHeight="1" outlineLevel="1">
      <c r="A107" s="507"/>
      <c r="B107" s="498"/>
      <c r="C107" s="322"/>
      <c r="D107" s="125"/>
      <c r="E107" s="89" t="s">
        <v>220</v>
      </c>
      <c r="F107" s="91"/>
      <c r="G107" s="91"/>
      <c r="H107" s="92"/>
      <c r="I107" s="240" t="s">
        <v>366</v>
      </c>
      <c r="J107" s="239">
        <f>SUM(J35:J106)</f>
        <v>4</v>
      </c>
      <c r="K107" s="90"/>
      <c r="L107" s="90"/>
      <c r="M107" s="90"/>
      <c r="N107" s="90"/>
      <c r="O107" s="90"/>
      <c r="P107" s="90"/>
      <c r="Q107" s="91"/>
      <c r="R107" s="91"/>
      <c r="S107" s="93" t="s">
        <v>407</v>
      </c>
      <c r="T107" s="94">
        <f ca="1">SUMPRODUCT(AB35:AB105,J35:J105,L35:L105)*220-SUMPRODUCT(Z35:Z105,J35:J105,L35:L105)*220</f>
        <v>7700</v>
      </c>
      <c r="U107" s="95">
        <f ca="1">SUMIF(A:A,"S",U:U)</f>
        <v>213033.33333333334</v>
      </c>
      <c r="V107" s="56">
        <f ca="1">((mdo_indireta_valor)/custo_direto)</f>
        <v>3.603004628458182E-2</v>
      </c>
      <c r="X107" s="127"/>
      <c r="AE107" s="260"/>
      <c r="AF107" s="260"/>
      <c r="AG107" s="260"/>
      <c r="AO107" s="260"/>
      <c r="AP107" s="260"/>
      <c r="AQ107" s="260"/>
      <c r="AV107" s="210">
        <f ca="1">U107-AX107</f>
        <v>0</v>
      </c>
      <c r="AW107" s="210">
        <f ca="1">$AX$107-transf_diss_ocio_mdo_indireta</f>
        <v>205333.33333333334</v>
      </c>
      <c r="AX107" s="210">
        <f ca="1">SUMIF(A:A,"S",AX:AX)</f>
        <v>213033.33333333334</v>
      </c>
    </row>
    <row r="108" spans="1:50" ht="15.75" customHeight="1" outlineLevel="1">
      <c r="A108" s="507"/>
      <c r="B108" s="507"/>
      <c r="C108" s="507"/>
      <c r="D108" s="126"/>
      <c r="E108" s="40"/>
      <c r="F108" s="40"/>
      <c r="G108" s="40"/>
      <c r="H108" s="48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78" t="s">
        <v>408</v>
      </c>
      <c r="T108" s="79">
        <f ca="1">IF((SUMPRODUCT(J22:J26,L22:L26,AC22:AC26)*220-SUMPRODUCT(J22:J26,L22:L26,Z22:Z26)*220)&lt;1000,0,(SUMPRODUCT(J22:J26,L22:L26,AC22:AC26)*220-SUMPRODUCT(J22:J26,L22:L26,Z22:Z26)*220))</f>
        <v>124936.97521244036</v>
      </c>
      <c r="U108" s="85">
        <f ca="1">$U$21</f>
        <v>2980639.2657825137</v>
      </c>
      <c r="W108" s="79"/>
      <c r="X108" s="127"/>
      <c r="AE108" s="260"/>
      <c r="AF108" s="260"/>
      <c r="AN108" s="260"/>
      <c r="AO108" s="260"/>
      <c r="AP108" s="260"/>
      <c r="AQ108" s="260"/>
      <c r="AV108" s="211">
        <f ca="1">U108-AX108</f>
        <v>0</v>
      </c>
      <c r="AW108" s="212"/>
      <c r="AX108" s="211">
        <f ca="1">$AX$21</f>
        <v>2980639.2657825137</v>
      </c>
    </row>
    <row r="109" spans="1:50" ht="15.75" customHeight="1" outlineLevel="1">
      <c r="D109" s="96"/>
      <c r="E109" s="97"/>
      <c r="F109" s="97"/>
      <c r="G109" s="97"/>
      <c r="H109" s="98"/>
      <c r="I109" s="97"/>
      <c r="J109" s="97"/>
      <c r="K109" s="97"/>
      <c r="L109" s="97"/>
      <c r="M109" s="97"/>
      <c r="N109" s="97"/>
      <c r="O109" s="97"/>
      <c r="P109" s="97"/>
      <c r="Q109" s="97"/>
      <c r="R109" s="97"/>
      <c r="S109" s="99" t="s">
        <v>366</v>
      </c>
      <c r="T109" s="100">
        <f ca="1">SUM(T107:T108)</f>
        <v>132636.97521244036</v>
      </c>
      <c r="U109" s="101">
        <f ca="1">$U$108+$U$107</f>
        <v>3193672.5991158471</v>
      </c>
      <c r="V109" s="56">
        <f ca="1">($AV$109+T109)/custo_direto</f>
        <v>2.3273943291969922E-2</v>
      </c>
      <c r="AE109" s="260"/>
      <c r="AF109" s="260"/>
      <c r="AN109" s="260"/>
      <c r="AO109" s="260"/>
      <c r="AP109" s="260"/>
      <c r="AQ109" s="260"/>
      <c r="AV109" s="213">
        <f ca="1">SUM(AV107:AV108)</f>
        <v>0</v>
      </c>
      <c r="AW109" s="214"/>
      <c r="AX109" s="213">
        <f ca="1">$AX$108+$AX$107</f>
        <v>3193672.5991158471</v>
      </c>
    </row>
    <row r="110" spans="1:50" ht="15.75" customHeight="1" thickBot="1">
      <c r="P110" s="51"/>
    </row>
    <row r="111" spans="1:50" ht="15.75" customHeight="1">
      <c r="D111" s="1334" t="s">
        <v>815</v>
      </c>
      <c r="E111" s="1338" t="s">
        <v>816</v>
      </c>
      <c r="F111" s="1338"/>
      <c r="G111" s="1338"/>
      <c r="H111" s="1338"/>
      <c r="I111" s="1338"/>
      <c r="J111" s="1338"/>
      <c r="K111" s="1338"/>
      <c r="L111" s="1338"/>
      <c r="M111" s="1338"/>
      <c r="N111" s="235"/>
      <c r="O111" s="235"/>
      <c r="P111" s="235"/>
      <c r="Q111" s="235"/>
      <c r="R111" s="235"/>
      <c r="S111" s="235"/>
      <c r="T111" s="235"/>
      <c r="U111" s="236"/>
      <c r="AG111" s="127"/>
      <c r="AH111" s="127"/>
      <c r="AI111" s="127"/>
      <c r="AJ111" s="127"/>
      <c r="AK111" s="127"/>
      <c r="AL111" s="127"/>
      <c r="AM111" s="127"/>
      <c r="AN111" s="127"/>
      <c r="AQ111" s="127"/>
      <c r="AR111" s="127"/>
      <c r="AS111" s="127"/>
      <c r="AT111" s="127"/>
      <c r="AU111" s="127"/>
      <c r="AV111" s="127"/>
    </row>
    <row r="112" spans="1:50" ht="15.75" customHeight="1" thickBot="1">
      <c r="D112" s="1335"/>
      <c r="E112" s="1339"/>
      <c r="F112" s="1339"/>
      <c r="G112" s="1339"/>
      <c r="H112" s="1339"/>
      <c r="I112" s="1339"/>
      <c r="J112" s="1339"/>
      <c r="K112" s="1339"/>
      <c r="L112" s="1339"/>
      <c r="M112" s="1339"/>
      <c r="N112" s="237"/>
      <c r="O112" s="237"/>
      <c r="P112" s="237"/>
      <c r="Q112" s="237"/>
      <c r="R112" s="237"/>
      <c r="S112" s="237"/>
      <c r="T112" s="237"/>
      <c r="U112" s="238"/>
      <c r="V112" s="43"/>
      <c r="W112" s="43"/>
      <c r="X112" s="43"/>
      <c r="Y112" s="43"/>
      <c r="Z112" s="43"/>
      <c r="AA112" s="43"/>
      <c r="AB112" s="43"/>
      <c r="AC112" s="43"/>
      <c r="AD112" s="43"/>
      <c r="AE112" s="43"/>
      <c r="AF112" s="43"/>
      <c r="AG112" s="127"/>
      <c r="AH112" s="127"/>
      <c r="AI112" s="127"/>
      <c r="AJ112" s="127"/>
      <c r="AK112" s="127"/>
      <c r="AL112" s="127"/>
      <c r="AM112" s="127"/>
      <c r="AN112" s="127"/>
      <c r="AQ112" s="127"/>
      <c r="AR112" s="127"/>
      <c r="AS112" s="127"/>
      <c r="AT112" s="127"/>
      <c r="AU112" s="127"/>
      <c r="AV112" s="127"/>
    </row>
    <row r="113" spans="1:48" ht="15.75" customHeight="1">
      <c r="C113" s="961"/>
      <c r="D113" s="283"/>
      <c r="E113" s="260"/>
      <c r="F113" s="260"/>
      <c r="G113" s="260"/>
      <c r="H113" s="260"/>
      <c r="I113" s="260"/>
      <c r="J113" s="260"/>
      <c r="K113" s="284" t="s">
        <v>839</v>
      </c>
      <c r="L113" s="260"/>
      <c r="M113" s="260"/>
      <c r="N113" s="284" t="s">
        <v>1446</v>
      </c>
      <c r="O113" s="260"/>
      <c r="P113" s="260"/>
      <c r="Q113" s="260"/>
      <c r="R113" s="260"/>
      <c r="S113" s="260"/>
      <c r="T113" s="260"/>
      <c r="U113" s="285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  <c r="AF113" s="43"/>
      <c r="AG113" s="127"/>
      <c r="AH113" s="127"/>
      <c r="AI113" s="127"/>
      <c r="AJ113" s="127"/>
      <c r="AK113" s="127"/>
      <c r="AL113" s="127"/>
      <c r="AM113" s="127"/>
      <c r="AN113" s="127"/>
      <c r="AQ113" s="127"/>
      <c r="AR113" s="127"/>
      <c r="AS113" s="127"/>
      <c r="AT113" s="127"/>
      <c r="AU113" s="127"/>
      <c r="AV113" s="127"/>
    </row>
    <row r="114" spans="1:48" ht="15.75" customHeight="1">
      <c r="C114" s="961"/>
      <c r="D114" s="286" t="s">
        <v>156</v>
      </c>
      <c r="E114" s="416">
        <v>7</v>
      </c>
      <c r="G114" s="287" t="s">
        <v>178</v>
      </c>
      <c r="H114" s="417">
        <v>6</v>
      </c>
      <c r="J114" s="288" t="s">
        <v>664</v>
      </c>
      <c r="K114" s="418">
        <v>35</v>
      </c>
      <c r="L114" s="201" t="s">
        <v>662</v>
      </c>
      <c r="M114" s="288" t="s">
        <v>664</v>
      </c>
      <c r="N114" s="289">
        <f>(Indiretos!$P$174+Indiretos!$P$148)/((Indiretos!$J$148+Indiretos!$J$174)*meses_obra)</f>
        <v>0</v>
      </c>
      <c r="O114" s="1387" t="s">
        <v>1423</v>
      </c>
      <c r="P114" s="54"/>
      <c r="Q114" s="53" t="s">
        <v>804</v>
      </c>
      <c r="R114" s="290" t="s">
        <v>544</v>
      </c>
      <c r="S114" s="290" t="s">
        <v>545</v>
      </c>
      <c r="U114" s="285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  <c r="AF114" s="43"/>
      <c r="AG114" s="127"/>
      <c r="AH114" s="127"/>
      <c r="AI114" s="127"/>
      <c r="AJ114" s="127"/>
      <c r="AK114" s="127"/>
      <c r="AL114" s="127"/>
      <c r="AM114" s="127"/>
      <c r="AN114" s="127"/>
      <c r="AQ114" s="127"/>
      <c r="AR114" s="127"/>
      <c r="AS114" s="127"/>
      <c r="AT114" s="127"/>
      <c r="AU114" s="127"/>
      <c r="AV114" s="127"/>
    </row>
    <row r="115" spans="1:48" ht="15.75" customHeight="1">
      <c r="C115" s="961"/>
      <c r="D115" s="291" t="s">
        <v>157</v>
      </c>
      <c r="E115" s="416">
        <v>20</v>
      </c>
      <c r="G115" s="44" t="s">
        <v>840</v>
      </c>
      <c r="H115" s="416">
        <v>4.2</v>
      </c>
      <c r="J115" s="288" t="s">
        <v>538</v>
      </c>
      <c r="K115" s="418">
        <v>180</v>
      </c>
      <c r="L115" s="201" t="s">
        <v>662</v>
      </c>
      <c r="M115" s="288" t="s">
        <v>672</v>
      </c>
      <c r="N115" s="289">
        <f>(Indiretos!$P$183+Indiretos!$P$156)/((Indiretos!$J$156+Indiretos!$J$183)*meses_obra)</f>
        <v>0</v>
      </c>
      <c r="O115" s="1387"/>
      <c r="P115" s="292" t="s">
        <v>805</v>
      </c>
      <c r="Q115" s="419">
        <v>0</v>
      </c>
      <c r="R115" s="293">
        <f>ROUNDUP((efetivo_médio_mes*Q115),0)*(1-$F$118)</f>
        <v>0</v>
      </c>
      <c r="S115" s="293">
        <f>ROUNDUP((efetivo_médio_mes*(1-$Q$115)),0)*(1-$F$118)</f>
        <v>28</v>
      </c>
      <c r="U115" s="285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  <c r="AF115" s="43"/>
      <c r="AG115" s="127"/>
      <c r="AH115" s="127"/>
      <c r="AI115" s="127"/>
      <c r="AJ115" s="127"/>
      <c r="AK115" s="127"/>
      <c r="AL115" s="127"/>
      <c r="AM115" s="127"/>
      <c r="AN115" s="127"/>
      <c r="AQ115" s="127"/>
      <c r="AR115" s="127"/>
      <c r="AS115" s="127"/>
      <c r="AT115" s="127"/>
      <c r="AU115" s="127"/>
      <c r="AV115" s="127"/>
    </row>
    <row r="116" spans="1:48" ht="15.75" customHeight="1">
      <c r="C116" s="961"/>
      <c r="D116" s="291" t="s">
        <v>158</v>
      </c>
      <c r="E116" s="416"/>
      <c r="G116" s="57" t="s">
        <v>661</v>
      </c>
      <c r="H116" s="392">
        <v>0</v>
      </c>
      <c r="J116" s="288" t="s">
        <v>539</v>
      </c>
      <c r="K116" s="418">
        <v>180</v>
      </c>
      <c r="L116" s="201" t="s">
        <v>662</v>
      </c>
      <c r="M116" s="288" t="s">
        <v>539</v>
      </c>
      <c r="N116" s="289">
        <f>IFERROR((Indiretos!$P$191+Indiretos!$P$164)/((Indiretos!$J$164+Indiretos!$J$191)*meses_obra),"N/A")</f>
        <v>0</v>
      </c>
      <c r="O116" s="1387"/>
      <c r="P116" s="292" t="s">
        <v>538</v>
      </c>
      <c r="Q116" s="419">
        <v>0</v>
      </c>
      <c r="R116" s="293">
        <f>ROUNDUP((média_supervisão*Q116),0)</f>
        <v>0</v>
      </c>
      <c r="S116" s="293">
        <f>ROUNDUP((média_supervisão*(1-$Q$116)),0)</f>
        <v>3</v>
      </c>
      <c r="U116" s="285"/>
      <c r="V116" s="43"/>
      <c r="W116" s="43"/>
      <c r="X116" s="43"/>
      <c r="Y116" s="43"/>
      <c r="Z116" s="43"/>
      <c r="AA116" s="43"/>
      <c r="AB116" s="43"/>
      <c r="AC116" s="43"/>
      <c r="AD116" s="43"/>
      <c r="AE116" s="43"/>
      <c r="AF116" s="43"/>
      <c r="AG116" s="127"/>
      <c r="AH116" s="127"/>
      <c r="AI116" s="127"/>
      <c r="AJ116" s="127"/>
      <c r="AK116" s="127"/>
      <c r="AL116" s="127"/>
      <c r="AM116" s="127"/>
      <c r="AN116" s="127"/>
      <c r="AQ116" s="127"/>
      <c r="AR116" s="127"/>
      <c r="AS116" s="127"/>
      <c r="AT116" s="127"/>
      <c r="AU116" s="127"/>
      <c r="AV116" s="127"/>
    </row>
    <row r="117" spans="1:48" ht="15.75" customHeight="1">
      <c r="C117" s="961"/>
      <c r="D117" s="291" t="s">
        <v>159</v>
      </c>
      <c r="E117" s="416"/>
      <c r="F117" s="43" t="s">
        <v>1996</v>
      </c>
      <c r="G117" s="44" t="s">
        <v>841</v>
      </c>
      <c r="H117" s="416">
        <v>6.5</v>
      </c>
      <c r="J117" s="288" t="s">
        <v>664</v>
      </c>
      <c r="K117" s="294">
        <f>IFERROR(SUM(Indiretos!$P$203:$P$210)/(média_mdo_direta_alojada*30*meses_obra),0)</f>
        <v>0</v>
      </c>
      <c r="L117" s="202" t="s">
        <v>663</v>
      </c>
      <c r="M117" s="288" t="s">
        <v>664</v>
      </c>
      <c r="N117" s="289">
        <f>(SUM(Indiretos!$P$149:$P$154)+SUM(Indiretos!$P$175:$P$181))/((Indiretos!$J$148+Indiretos!$J$174)*meses_obra)</f>
        <v>2.4350649350649349</v>
      </c>
      <c r="O117" s="1387" t="s">
        <v>1424</v>
      </c>
      <c r="P117" s="292" t="s">
        <v>539</v>
      </c>
      <c r="Q117" s="419">
        <v>0</v>
      </c>
      <c r="R117" s="293">
        <f>ROUNDUP((média_coordenação*Q117),0)</f>
        <v>0</v>
      </c>
      <c r="S117" s="293">
        <f>ROUNDUP((média_coordenação*(1-$Q$117)),0)</f>
        <v>1</v>
      </c>
      <c r="U117" s="285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127"/>
      <c r="AH117" s="127"/>
      <c r="AI117" s="127"/>
      <c r="AJ117" s="127"/>
      <c r="AK117" s="127"/>
      <c r="AL117" s="127"/>
      <c r="AM117" s="127"/>
      <c r="AN117" s="127"/>
      <c r="AQ117" s="127"/>
      <c r="AR117" s="127"/>
      <c r="AS117" s="127"/>
      <c r="AT117" s="127"/>
      <c r="AU117" s="127"/>
      <c r="AV117" s="127"/>
    </row>
    <row r="118" spans="1:48" ht="15.75" customHeight="1">
      <c r="C118" s="961"/>
      <c r="D118" s="286" t="s">
        <v>160</v>
      </c>
      <c r="E118" s="416">
        <v>0</v>
      </c>
      <c r="F118" s="397">
        <v>0.3</v>
      </c>
      <c r="G118" s="57" t="s">
        <v>661</v>
      </c>
      <c r="H118" s="392">
        <v>0</v>
      </c>
      <c r="J118" s="288" t="s">
        <v>538</v>
      </c>
      <c r="K118" s="294">
        <f>IFERROR(SUM(Indiretos!$P$213:$P$220)/(média_mdo_supervisão_alojada*30*meses_obra),0)</f>
        <v>0</v>
      </c>
      <c r="L118" s="202" t="s">
        <v>663</v>
      </c>
      <c r="M118" s="288" t="s">
        <v>672</v>
      </c>
      <c r="N118" s="289">
        <f>(SUM(Indiretos!$P$157:$P$162)+SUM(Indiretos!$P$184:$P$189))/((Indiretos!$J$156+Indiretos!$J$183)*meses_obra)</f>
        <v>0</v>
      </c>
      <c r="O118" s="1387"/>
      <c r="P118" s="260"/>
      <c r="Q118" s="260"/>
      <c r="R118" s="260"/>
      <c r="S118" s="260"/>
      <c r="T118" s="260"/>
      <c r="U118" s="285"/>
      <c r="V118" s="43"/>
      <c r="W118" s="43"/>
      <c r="X118" s="43"/>
      <c r="Y118" s="43"/>
      <c r="Z118" s="43"/>
      <c r="AA118" s="43"/>
      <c r="AB118" s="43"/>
      <c r="AC118" s="43"/>
      <c r="AD118" s="43"/>
      <c r="AE118" s="43"/>
      <c r="AF118" s="43"/>
      <c r="AG118" s="127"/>
      <c r="AH118" s="127"/>
      <c r="AI118" s="127"/>
      <c r="AJ118" s="127"/>
      <c r="AK118" s="127"/>
      <c r="AL118" s="127"/>
      <c r="AM118" s="127"/>
      <c r="AN118" s="127"/>
      <c r="AQ118" s="127"/>
      <c r="AR118" s="127"/>
      <c r="AS118" s="127"/>
      <c r="AT118" s="127"/>
      <c r="AU118" s="127"/>
      <c r="AV118" s="127"/>
    </row>
    <row r="119" spans="1:48" ht="15.75" customHeight="1">
      <c r="C119" s="961"/>
      <c r="D119" s="286" t="s">
        <v>543</v>
      </c>
      <c r="E119" s="416"/>
      <c r="G119" s="44" t="s">
        <v>546</v>
      </c>
      <c r="H119" s="199">
        <f>SUM($H$115*$H$116+$H$117*$H$118)*2</f>
        <v>0</v>
      </c>
      <c r="J119" s="288" t="s">
        <v>539</v>
      </c>
      <c r="K119" s="294">
        <f>IFERROR(SUM(Indiretos!$P$223:$P$230)/(média_coordenação_alojada*30*meses_obra),0)</f>
        <v>0</v>
      </c>
      <c r="L119" s="202" t="s">
        <v>663</v>
      </c>
      <c r="M119" s="288" t="s">
        <v>539</v>
      </c>
      <c r="N119" s="289">
        <f>IFERROR((SUM(Indiretos!$P$165:$P$170)+SUM(Indiretos!$P$192:$P$198))/((Indiretos!$J$164+Indiretos!$J$191)*meses_obra),"N/A")</f>
        <v>0</v>
      </c>
      <c r="O119" s="1387"/>
      <c r="P119" s="260"/>
      <c r="Q119" s="260"/>
      <c r="R119" s="260"/>
      <c r="S119" s="260"/>
      <c r="T119" s="260"/>
      <c r="U119" s="285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127"/>
      <c r="AH119" s="127"/>
      <c r="AI119" s="127"/>
      <c r="AJ119" s="127"/>
      <c r="AK119" s="127"/>
      <c r="AL119" s="127"/>
      <c r="AM119" s="127"/>
      <c r="AN119" s="127"/>
      <c r="AQ119" s="127"/>
      <c r="AR119" s="127"/>
      <c r="AS119" s="127"/>
      <c r="AT119" s="127"/>
      <c r="AU119" s="127"/>
      <c r="AV119" s="127"/>
    </row>
    <row r="120" spans="1:48" ht="15.75" customHeight="1">
      <c r="C120" s="961"/>
      <c r="D120" s="295"/>
      <c r="E120" s="296"/>
      <c r="F120" s="296"/>
      <c r="G120" s="296"/>
      <c r="H120" s="296"/>
      <c r="I120" s="296"/>
      <c r="J120" s="297"/>
      <c r="K120" s="297"/>
      <c r="L120" s="297"/>
      <c r="M120" s="297"/>
      <c r="N120" s="297"/>
      <c r="O120" s="297"/>
      <c r="P120" s="297"/>
      <c r="Q120" s="297"/>
      <c r="R120" s="297"/>
      <c r="S120" s="297"/>
      <c r="T120" s="297"/>
      <c r="U120" s="298"/>
      <c r="V120" s="43"/>
      <c r="W120" s="43"/>
      <c r="X120" s="43"/>
      <c r="Y120" s="43"/>
      <c r="Z120" s="43"/>
      <c r="AA120" s="43"/>
      <c r="AB120" s="43"/>
      <c r="AC120" s="43"/>
      <c r="AD120" s="43"/>
      <c r="AE120" s="43"/>
      <c r="AF120" s="43"/>
      <c r="AG120" s="127"/>
      <c r="AH120" s="127"/>
      <c r="AI120" s="127"/>
      <c r="AJ120" s="127"/>
      <c r="AK120" s="127"/>
      <c r="AL120" s="127"/>
      <c r="AM120" s="127"/>
      <c r="AN120" s="127"/>
      <c r="AQ120" s="127"/>
      <c r="AR120" s="127"/>
      <c r="AS120" s="127"/>
      <c r="AT120" s="127"/>
      <c r="AU120" s="127"/>
      <c r="AV120" s="127"/>
    </row>
    <row r="121" spans="1:48" ht="15.75" customHeight="1">
      <c r="P121" s="51"/>
    </row>
    <row r="122" spans="1:48" s="187" customFormat="1" ht="15.75" customHeight="1">
      <c r="A122" s="957"/>
      <c r="B122" s="957"/>
      <c r="C122" s="957"/>
      <c r="D122" s="1340" t="s">
        <v>627</v>
      </c>
      <c r="E122" s="1323" t="s">
        <v>796</v>
      </c>
      <c r="F122" s="1324"/>
      <c r="G122" s="1324"/>
      <c r="H122" s="1325"/>
      <c r="I122" s="1329" t="s">
        <v>780</v>
      </c>
      <c r="J122" s="1329" t="s">
        <v>781</v>
      </c>
      <c r="K122" s="1329" t="s">
        <v>782</v>
      </c>
      <c r="L122" s="1329" t="s">
        <v>799</v>
      </c>
      <c r="M122" s="1329" t="s">
        <v>15</v>
      </c>
      <c r="N122" s="1329" t="s">
        <v>783</v>
      </c>
      <c r="O122" s="1329" t="s">
        <v>784</v>
      </c>
      <c r="P122" s="1344" t="s">
        <v>1</v>
      </c>
      <c r="Q122" s="1381">
        <f>$P$124/meses_obra</f>
        <v>20508.000000013501</v>
      </c>
    </row>
    <row r="123" spans="1:48" s="187" customFormat="1" ht="15.75" customHeight="1">
      <c r="A123" s="957"/>
      <c r="B123" s="957"/>
      <c r="C123" s="958"/>
      <c r="D123" s="1341"/>
      <c r="E123" s="1326"/>
      <c r="F123" s="1327"/>
      <c r="G123" s="1327"/>
      <c r="H123" s="1328"/>
      <c r="I123" s="1330"/>
      <c r="J123" s="1330"/>
      <c r="K123" s="1330"/>
      <c r="L123" s="1330"/>
      <c r="M123" s="1330"/>
      <c r="N123" s="1330"/>
      <c r="O123" s="1330"/>
      <c r="P123" s="1345"/>
      <c r="Q123" s="1382"/>
      <c r="R123" s="299"/>
      <c r="V123" s="188"/>
      <c r="W123" s="188"/>
      <c r="Y123" s="299"/>
      <c r="Z123" s="299"/>
      <c r="AA123" s="299"/>
      <c r="AB123" s="299"/>
      <c r="AC123" s="299"/>
      <c r="AD123" s="299"/>
    </row>
    <row r="124" spans="1:48" ht="15.75" customHeight="1">
      <c r="B124" s="127"/>
      <c r="C124" s="127"/>
      <c r="D124" s="226"/>
      <c r="E124" s="276" t="s">
        <v>833</v>
      </c>
      <c r="F124" s="276"/>
      <c r="G124" s="276"/>
      <c r="H124" s="276"/>
      <c r="I124" s="300"/>
      <c r="J124" s="300"/>
      <c r="K124" s="300"/>
      <c r="L124" s="300"/>
      <c r="M124" s="300"/>
      <c r="N124" s="300"/>
      <c r="O124" s="301" t="s">
        <v>832</v>
      </c>
      <c r="P124" s="302">
        <f>SUMIF(B$125:B$200,"S",P$125:P$200)</f>
        <v>164064.000000108</v>
      </c>
      <c r="Q124" s="81">
        <f ca="1">$P$124/custo_direto</f>
        <v>2.8788474904078844E-2</v>
      </c>
      <c r="U124" s="40"/>
    </row>
    <row r="125" spans="1:48" ht="15.75" customHeight="1">
      <c r="B125" s="127" t="s">
        <v>189</v>
      </c>
      <c r="C125" s="127"/>
      <c r="D125" s="303" t="s">
        <v>526</v>
      </c>
      <c r="E125" s="304" t="s">
        <v>535</v>
      </c>
      <c r="F125" s="304"/>
      <c r="G125" s="304"/>
      <c r="H125" s="304"/>
      <c r="I125" s="305"/>
      <c r="J125" s="305"/>
      <c r="K125" s="305"/>
      <c r="L125" s="305"/>
      <c r="M125" s="305"/>
      <c r="N125" s="305"/>
      <c r="O125" s="306"/>
      <c r="P125" s="302">
        <f>SUM(P126:P144)</f>
        <v>152064</v>
      </c>
      <c r="Q125" s="81">
        <f ca="1">refeições_valor/custo_direto</f>
        <v>2.6682822848467447E-2</v>
      </c>
      <c r="S125" s="260"/>
      <c r="T125" s="260"/>
      <c r="U125" s="284"/>
      <c r="V125" s="284"/>
      <c r="W125" s="284"/>
      <c r="X125" s="307"/>
    </row>
    <row r="126" spans="1:48" ht="15.75" customHeight="1" outlineLevel="1">
      <c r="B126" s="127"/>
      <c r="C126" s="127"/>
      <c r="D126" s="803" t="s">
        <v>673</v>
      </c>
      <c r="E126" s="793" t="s">
        <v>149</v>
      </c>
      <c r="F126" s="793"/>
      <c r="G126" s="793"/>
      <c r="H126" s="793"/>
      <c r="I126" s="794"/>
      <c r="J126" s="794"/>
      <c r="K126" s="804"/>
      <c r="L126" s="804"/>
      <c r="M126" s="794"/>
      <c r="N126" s="805"/>
      <c r="O126" s="794"/>
      <c r="P126" s="806"/>
      <c r="R126" s="260"/>
      <c r="S126" s="260"/>
      <c r="T126" s="260"/>
      <c r="X126" s="307"/>
    </row>
    <row r="127" spans="1:48" ht="15.75" customHeight="1" outlineLevel="1">
      <c r="B127" s="127"/>
      <c r="C127" s="127"/>
      <c r="D127" s="144" t="s">
        <v>1579</v>
      </c>
      <c r="E127" s="1308" t="s">
        <v>152</v>
      </c>
      <c r="F127" s="1309"/>
      <c r="G127" s="1309"/>
      <c r="H127" s="1310"/>
      <c r="I127" s="104" t="s">
        <v>11</v>
      </c>
      <c r="J127" s="264">
        <f>ROUNDUP(((efetivo_médio_mes*1)*SUM(dias_úteis_trabalhados+sábados_trabalhados+domingos_trabalhados))*(1-$F$118),0)</f>
        <v>616</v>
      </c>
      <c r="K127" s="308">
        <f>meses_obra</f>
        <v>8</v>
      </c>
      <c r="L127" s="338" t="s">
        <v>142</v>
      </c>
      <c r="M127" s="310">
        <f>IFERROR(IF((L127/K127)=0,100%,L127/K127),100%)</f>
        <v>1</v>
      </c>
      <c r="N127" s="308">
        <f>meses_obra</f>
        <v>8</v>
      </c>
      <c r="O127" s="311">
        <f>valor_café_da_manha</f>
        <v>7</v>
      </c>
      <c r="P127" s="312">
        <f>J127*M127*N127*O127</f>
        <v>34496</v>
      </c>
      <c r="R127" s="41"/>
      <c r="S127" s="41"/>
      <c r="W127" s="261"/>
      <c r="X127" s="307"/>
    </row>
    <row r="128" spans="1:48" ht="15.75" customHeight="1" outlineLevel="1">
      <c r="B128" s="127"/>
      <c r="C128" s="127"/>
      <c r="D128" s="144" t="s">
        <v>1580</v>
      </c>
      <c r="E128" s="1308" t="s">
        <v>146</v>
      </c>
      <c r="F128" s="1309"/>
      <c r="G128" s="1309"/>
      <c r="H128" s="1310"/>
      <c r="I128" s="104" t="s">
        <v>11</v>
      </c>
      <c r="J128" s="264">
        <f>ROUNDUP(((efetivo_médio_mes*1)*SUM(dias_úteis_trabalhados+sábados_trabalhados+domingos_trabalhados))*(1-$F$118),0)</f>
        <v>616</v>
      </c>
      <c r="K128" s="308">
        <f>meses_obra</f>
        <v>8</v>
      </c>
      <c r="L128" s="338" t="s">
        <v>142</v>
      </c>
      <c r="M128" s="310">
        <f>IFERROR(IF((L128/K128)=0,100%,L128/K128),100%)</f>
        <v>1</v>
      </c>
      <c r="N128" s="308">
        <f>meses_obra</f>
        <v>8</v>
      </c>
      <c r="O128" s="311">
        <f>valor_almoço</f>
        <v>20</v>
      </c>
      <c r="P128" s="312">
        <f>J128*M128*N128*O128</f>
        <v>98560</v>
      </c>
      <c r="R128" s="41"/>
      <c r="S128" s="41"/>
      <c r="X128" s="307"/>
    </row>
    <row r="129" spans="1:29" ht="15.75" customHeight="1" outlineLevel="1">
      <c r="B129" s="127"/>
      <c r="C129" s="127"/>
      <c r="D129" s="144" t="s">
        <v>1581</v>
      </c>
      <c r="E129" s="1308" t="s">
        <v>153</v>
      </c>
      <c r="F129" s="1309"/>
      <c r="G129" s="1309"/>
      <c r="H129" s="1310"/>
      <c r="I129" s="104" t="s">
        <v>11</v>
      </c>
      <c r="J129" s="264">
        <f>ROUNDUP(((efetivo_médio_mes*1)*SUM(dias_úteis_trabalhados+sábados_trabalhados+domingos_trabalhados))*(1-$F$118),0)</f>
        <v>616</v>
      </c>
      <c r="K129" s="308">
        <f>meses_obra</f>
        <v>8</v>
      </c>
      <c r="L129" s="338" t="s">
        <v>142</v>
      </c>
      <c r="M129" s="310">
        <f>IFERROR(IF((L129/K129)=0,100%,L129/K129),100%)</f>
        <v>1</v>
      </c>
      <c r="N129" s="308">
        <f>meses_obra</f>
        <v>8</v>
      </c>
      <c r="O129" s="311">
        <f>valor_lanche_da_tarde</f>
        <v>0</v>
      </c>
      <c r="P129" s="312">
        <f>J129*M129*N129*O129</f>
        <v>0</v>
      </c>
      <c r="W129" s="49"/>
    </row>
    <row r="130" spans="1:29" s="49" customFormat="1" ht="15.75" customHeight="1" outlineLevel="1">
      <c r="A130" s="322"/>
      <c r="B130" s="127"/>
      <c r="C130" s="127"/>
      <c r="D130" s="144" t="s">
        <v>1582</v>
      </c>
      <c r="E130" s="1308" t="s">
        <v>665</v>
      </c>
      <c r="F130" s="1309"/>
      <c r="G130" s="1309"/>
      <c r="H130" s="1310"/>
      <c r="I130" s="104" t="s">
        <v>11</v>
      </c>
      <c r="J130" s="308">
        <f>ROUNDUP((média_mdo_direta_alojada*1)*30*(1-$F$118),0)</f>
        <v>0</v>
      </c>
      <c r="K130" s="308">
        <f>meses_obra</f>
        <v>8</v>
      </c>
      <c r="L130" s="338" t="s">
        <v>142</v>
      </c>
      <c r="M130" s="310">
        <f>IFERROR(IF((L130/K130)=0,100%,L130/K130),100%)</f>
        <v>1</v>
      </c>
      <c r="N130" s="308">
        <f>meses_obra</f>
        <v>8</v>
      </c>
      <c r="O130" s="311">
        <f>valor_janta</f>
        <v>0</v>
      </c>
      <c r="P130" s="312">
        <f>J130*M130*N130*O130</f>
        <v>0</v>
      </c>
      <c r="Q130" s="48"/>
      <c r="W130" s="36"/>
      <c r="X130" s="307"/>
    </row>
    <row r="131" spans="1:29" s="49" customFormat="1" ht="15.75" customHeight="1" outlineLevel="1">
      <c r="A131" s="322"/>
      <c r="B131" s="127"/>
      <c r="C131" s="127"/>
      <c r="D131" s="144" t="s">
        <v>1583</v>
      </c>
      <c r="E131" s="1308" t="s">
        <v>666</v>
      </c>
      <c r="F131" s="1309"/>
      <c r="G131" s="1309"/>
      <c r="H131" s="1310"/>
      <c r="I131" s="104" t="s">
        <v>11</v>
      </c>
      <c r="J131" s="308">
        <f>ROUNDUP(((efetivo_médio_mes*1)*SUM(dias_úteis_trabalhados+sábados_trabalhados+domingos_trabalhados))*(1-$F$118),0)</f>
        <v>616</v>
      </c>
      <c r="K131" s="308">
        <f>meses_obra</f>
        <v>8</v>
      </c>
      <c r="L131" s="338" t="s">
        <v>142</v>
      </c>
      <c r="M131" s="310">
        <f>IFERROR(IF((L131/K131)=0,100%,L131/K131),100%)</f>
        <v>1</v>
      </c>
      <c r="N131" s="308">
        <f>meses_obra</f>
        <v>8</v>
      </c>
      <c r="O131" s="311">
        <f>valor_cesta_básica</f>
        <v>0</v>
      </c>
      <c r="P131" s="312">
        <f>J131*M131*N131*O131</f>
        <v>0</v>
      </c>
      <c r="Q131" s="36"/>
      <c r="R131" s="36"/>
      <c r="S131" s="36"/>
      <c r="T131" s="260"/>
      <c r="X131" s="307"/>
    </row>
    <row r="132" spans="1:29" s="49" customFormat="1" ht="15.75" customHeight="1" outlineLevel="1">
      <c r="A132" s="322"/>
      <c r="B132" s="127"/>
      <c r="C132" s="127"/>
      <c r="D132" s="807" t="s">
        <v>674</v>
      </c>
      <c r="E132" s="793" t="s">
        <v>150</v>
      </c>
      <c r="F132" s="793"/>
      <c r="G132" s="793"/>
      <c r="H132" s="793"/>
      <c r="I132" s="794"/>
      <c r="J132" s="794"/>
      <c r="K132" s="804"/>
      <c r="L132" s="804"/>
      <c r="M132" s="794"/>
      <c r="N132" s="805"/>
      <c r="O132" s="794"/>
      <c r="P132" s="806"/>
      <c r="Q132" s="36"/>
      <c r="T132" s="260"/>
      <c r="U132" s="260"/>
      <c r="V132" s="260"/>
      <c r="W132" s="260"/>
      <c r="X132" s="313"/>
      <c r="Y132" s="307"/>
    </row>
    <row r="133" spans="1:29" ht="15.75" customHeight="1" outlineLevel="1">
      <c r="B133" s="127"/>
      <c r="C133" s="127"/>
      <c r="D133" s="144" t="s">
        <v>1584</v>
      </c>
      <c r="E133" s="1308" t="s">
        <v>152</v>
      </c>
      <c r="F133" s="1309"/>
      <c r="G133" s="1309"/>
      <c r="H133" s="1310"/>
      <c r="I133" s="104" t="s">
        <v>11</v>
      </c>
      <c r="J133" s="264">
        <f>ROUNDUP(((média_supervisão))*SUM(dias_úteis_trabalhados+sábados_trabalhados+domingos_trabalhados),0)</f>
        <v>66</v>
      </c>
      <c r="K133" s="308">
        <f>meses_obra</f>
        <v>8</v>
      </c>
      <c r="L133" s="338" t="s">
        <v>142</v>
      </c>
      <c r="M133" s="310">
        <f>IFERROR(IF((L133/K133)=0,100%,L133/K133),100%)</f>
        <v>1</v>
      </c>
      <c r="N133" s="308">
        <f>meses_obra</f>
        <v>8</v>
      </c>
      <c r="O133" s="311">
        <f>valor_café_da_manha</f>
        <v>7</v>
      </c>
      <c r="P133" s="312">
        <f>J133*M133*N133*O133</f>
        <v>3696</v>
      </c>
      <c r="T133" s="260"/>
      <c r="U133" s="260"/>
      <c r="V133" s="260"/>
      <c r="W133" s="260"/>
    </row>
    <row r="134" spans="1:29" ht="15.75" customHeight="1" outlineLevel="1">
      <c r="B134" s="127"/>
      <c r="C134" s="127"/>
      <c r="D134" s="144" t="s">
        <v>1585</v>
      </c>
      <c r="E134" s="1308" t="s">
        <v>146</v>
      </c>
      <c r="F134" s="1309"/>
      <c r="G134" s="1309"/>
      <c r="H134" s="1310"/>
      <c r="I134" s="104" t="s">
        <v>11</v>
      </c>
      <c r="J134" s="199">
        <f>ROUNDUP(((média_supervisão))*SUM(dias_úteis_trabalhados+sábados_trabalhados+domingos_trabalhados),0)</f>
        <v>66</v>
      </c>
      <c r="K134" s="308">
        <f>meses_obra</f>
        <v>8</v>
      </c>
      <c r="L134" s="338" t="s">
        <v>142</v>
      </c>
      <c r="M134" s="310">
        <f>IFERROR(IF((L134/K134)=0,100%,L134/K134),100%)</f>
        <v>1</v>
      </c>
      <c r="N134" s="308">
        <f>meses_obra</f>
        <v>8</v>
      </c>
      <c r="O134" s="311">
        <f>valor_almoço</f>
        <v>20</v>
      </c>
      <c r="P134" s="312">
        <f>J134*M134*N134*O134</f>
        <v>10560</v>
      </c>
      <c r="T134" s="260"/>
      <c r="U134" s="260"/>
      <c r="V134" s="260"/>
      <c r="W134" s="260"/>
    </row>
    <row r="135" spans="1:29" ht="15.75" customHeight="1" outlineLevel="1">
      <c r="B135" s="127"/>
      <c r="C135" s="127"/>
      <c r="D135" s="144" t="s">
        <v>1586</v>
      </c>
      <c r="E135" s="1308" t="s">
        <v>153</v>
      </c>
      <c r="F135" s="1309"/>
      <c r="G135" s="1309"/>
      <c r="H135" s="1310"/>
      <c r="I135" s="104" t="s">
        <v>11</v>
      </c>
      <c r="J135" s="199">
        <f>ROUNDUP(((média_supervisão))*SUM(dias_úteis_trabalhados+sábados_trabalhados+domingos_trabalhados),0)</f>
        <v>66</v>
      </c>
      <c r="K135" s="308">
        <f>meses_obra</f>
        <v>8</v>
      </c>
      <c r="L135" s="338" t="s">
        <v>142</v>
      </c>
      <c r="M135" s="310">
        <f>IFERROR(IF((L135/K135)=0,100%,L135/K135),100%)</f>
        <v>1</v>
      </c>
      <c r="N135" s="308">
        <f>meses_obra</f>
        <v>8</v>
      </c>
      <c r="O135" s="311">
        <f>valor_lanche_da_tarde</f>
        <v>0</v>
      </c>
      <c r="P135" s="312">
        <f>J135*M135*N135*O135</f>
        <v>0</v>
      </c>
      <c r="R135" s="260"/>
      <c r="S135" s="260"/>
      <c r="T135" s="260"/>
      <c r="U135" s="260"/>
      <c r="V135" s="260"/>
      <c r="W135" s="260"/>
      <c r="X135" s="260"/>
      <c r="Y135" s="260"/>
      <c r="Z135" s="260"/>
      <c r="AA135" s="260"/>
      <c r="AB135" s="260"/>
      <c r="AC135" s="260"/>
    </row>
    <row r="136" spans="1:29" ht="15.75" customHeight="1" outlineLevel="1">
      <c r="B136" s="127"/>
      <c r="C136" s="127"/>
      <c r="D136" s="144" t="s">
        <v>1587</v>
      </c>
      <c r="E136" s="1308" t="s">
        <v>665</v>
      </c>
      <c r="F136" s="1309"/>
      <c r="G136" s="1309"/>
      <c r="H136" s="1310"/>
      <c r="I136" s="104" t="s">
        <v>11</v>
      </c>
      <c r="J136" s="308">
        <f>ROUNDUP(((média_mdo_supervisão_alojada)*30),0)</f>
        <v>0</v>
      </c>
      <c r="K136" s="308">
        <f>meses_obra</f>
        <v>8</v>
      </c>
      <c r="L136" s="338" t="s">
        <v>142</v>
      </c>
      <c r="M136" s="310">
        <f>IFERROR(IF((L136/K136)=0,100%,L136/K136),100%)</f>
        <v>1</v>
      </c>
      <c r="N136" s="308">
        <f>meses_obra</f>
        <v>8</v>
      </c>
      <c r="O136" s="311">
        <f>valor_janta</f>
        <v>0</v>
      </c>
      <c r="P136" s="312">
        <f>J136*M136*N136*O136</f>
        <v>0</v>
      </c>
      <c r="R136" s="260"/>
      <c r="S136" s="260"/>
      <c r="T136" s="260"/>
      <c r="U136" s="260"/>
      <c r="V136" s="260"/>
      <c r="W136" s="260"/>
      <c r="X136" s="260"/>
      <c r="Y136" s="260"/>
      <c r="Z136" s="260"/>
      <c r="AA136" s="260"/>
      <c r="AB136" s="260"/>
      <c r="AC136" s="260"/>
    </row>
    <row r="137" spans="1:29" ht="15.75" customHeight="1" outlineLevel="1">
      <c r="B137" s="127"/>
      <c r="C137" s="127"/>
      <c r="D137" s="144" t="s">
        <v>1588</v>
      </c>
      <c r="E137" s="1308" t="s">
        <v>666</v>
      </c>
      <c r="F137" s="1309"/>
      <c r="G137" s="1309"/>
      <c r="H137" s="1310"/>
      <c r="I137" s="104" t="s">
        <v>11</v>
      </c>
      <c r="J137" s="308">
        <f>ROUNDUP(((média_mdo_supervisão_nao_alojada)*30),0)</f>
        <v>90</v>
      </c>
      <c r="K137" s="308">
        <f>meses_obra</f>
        <v>8</v>
      </c>
      <c r="L137" s="338" t="s">
        <v>142</v>
      </c>
      <c r="M137" s="310">
        <f>IFERROR(IF((L137/K137)=0,100%,L137/K137),100%)</f>
        <v>1</v>
      </c>
      <c r="N137" s="308">
        <f>meses_obra</f>
        <v>8</v>
      </c>
      <c r="O137" s="311">
        <f>valor_cesta_básica</f>
        <v>0</v>
      </c>
      <c r="P137" s="312">
        <f>J137*M137*N137*O137</f>
        <v>0</v>
      </c>
      <c r="R137" s="260"/>
      <c r="S137" s="260"/>
      <c r="T137" s="260"/>
      <c r="U137" s="260"/>
      <c r="V137" s="260"/>
      <c r="W137" s="260"/>
      <c r="X137" s="260"/>
      <c r="Y137" s="260"/>
      <c r="Z137" s="260"/>
      <c r="AA137" s="260"/>
      <c r="AB137" s="260"/>
      <c r="AC137" s="260"/>
    </row>
    <row r="138" spans="1:29" ht="15.75" customHeight="1" outlineLevel="1">
      <c r="B138" s="127"/>
      <c r="C138" s="127"/>
      <c r="D138" s="807" t="s">
        <v>675</v>
      </c>
      <c r="E138" s="793" t="s">
        <v>151</v>
      </c>
      <c r="F138" s="793"/>
      <c r="G138" s="793"/>
      <c r="H138" s="793"/>
      <c r="I138" s="794"/>
      <c r="J138" s="794"/>
      <c r="K138" s="804"/>
      <c r="L138" s="804"/>
      <c r="M138" s="794"/>
      <c r="N138" s="805"/>
      <c r="O138" s="794"/>
      <c r="P138" s="806"/>
      <c r="R138" s="260"/>
      <c r="S138" s="260"/>
      <c r="T138" s="260"/>
      <c r="U138" s="260"/>
      <c r="V138" s="260"/>
      <c r="W138" s="260"/>
      <c r="X138" s="260"/>
      <c r="Y138" s="260"/>
      <c r="Z138" s="260"/>
      <c r="AA138" s="260"/>
      <c r="AB138" s="260"/>
      <c r="AC138" s="260"/>
    </row>
    <row r="139" spans="1:29" ht="15.75" customHeight="1" outlineLevel="1">
      <c r="B139" s="127"/>
      <c r="C139" s="127"/>
      <c r="D139" s="144" t="s">
        <v>1589</v>
      </c>
      <c r="E139" s="1308" t="s">
        <v>152</v>
      </c>
      <c r="F139" s="1309"/>
      <c r="G139" s="1309"/>
      <c r="H139" s="1310"/>
      <c r="I139" s="104" t="s">
        <v>11</v>
      </c>
      <c r="J139" s="264">
        <f>ROUNDUP(((média_coordenação))*SUM(dias_úteis_trabalhados+sábados_trabalhados+domingos_trabalhados),0)</f>
        <v>22</v>
      </c>
      <c r="K139" s="308">
        <f>meses_obra</f>
        <v>8</v>
      </c>
      <c r="L139" s="338" t="s">
        <v>142</v>
      </c>
      <c r="M139" s="310">
        <f>IFERROR(IF((L139/K139)=0,100%,L139/K139),100%)</f>
        <v>1</v>
      </c>
      <c r="N139" s="308">
        <f>meses_obra</f>
        <v>8</v>
      </c>
      <c r="O139" s="311">
        <f>valor_café_da_manha</f>
        <v>7</v>
      </c>
      <c r="P139" s="312">
        <f>J139*M139*N139*O139</f>
        <v>1232</v>
      </c>
      <c r="R139" s="260"/>
      <c r="S139" s="260"/>
      <c r="T139" s="260"/>
      <c r="U139" s="260"/>
      <c r="V139" s="260"/>
      <c r="W139" s="260"/>
      <c r="X139" s="260"/>
      <c r="Y139" s="260"/>
      <c r="Z139" s="260"/>
      <c r="AA139" s="260"/>
      <c r="AB139" s="260"/>
      <c r="AC139" s="260"/>
    </row>
    <row r="140" spans="1:29" s="49" customFormat="1" ht="15.75" customHeight="1" outlineLevel="1">
      <c r="A140" s="322"/>
      <c r="B140" s="127"/>
      <c r="C140" s="127"/>
      <c r="D140" s="144" t="s">
        <v>1590</v>
      </c>
      <c r="E140" s="1308" t="s">
        <v>146</v>
      </c>
      <c r="F140" s="1309"/>
      <c r="G140" s="1309"/>
      <c r="H140" s="1310"/>
      <c r="I140" s="104" t="s">
        <v>11</v>
      </c>
      <c r="J140" s="199">
        <f>ROUNDUP(((média_coordenação))*SUM(dias_úteis_trabalhados+sábados_trabalhados+domingos_trabalhados),0)</f>
        <v>22</v>
      </c>
      <c r="K140" s="308">
        <f>meses_obra</f>
        <v>8</v>
      </c>
      <c r="L140" s="338" t="s">
        <v>142</v>
      </c>
      <c r="M140" s="310">
        <f>IFERROR(IF((L140/K140)=0,100%,L140/K140),100%)</f>
        <v>1</v>
      </c>
      <c r="N140" s="308">
        <f>meses_obra</f>
        <v>8</v>
      </c>
      <c r="O140" s="311">
        <f>valor_almoço</f>
        <v>20</v>
      </c>
      <c r="P140" s="312">
        <f>J140*M140*N140*O140</f>
        <v>3520</v>
      </c>
      <c r="Q140" s="36"/>
      <c r="R140" s="36"/>
      <c r="S140" s="36"/>
      <c r="T140" s="36"/>
      <c r="U140" s="36"/>
      <c r="V140" s="260"/>
    </row>
    <row r="141" spans="1:29" ht="15.75" customHeight="1" outlineLevel="1">
      <c r="B141" s="127"/>
      <c r="C141" s="127"/>
      <c r="D141" s="144" t="s">
        <v>1591</v>
      </c>
      <c r="E141" s="1308" t="s">
        <v>153</v>
      </c>
      <c r="F141" s="1309"/>
      <c r="G141" s="1309"/>
      <c r="H141" s="1310"/>
      <c r="I141" s="104" t="s">
        <v>11</v>
      </c>
      <c r="J141" s="199">
        <f>ROUNDUP(((média_coordenação))*SUM(dias_úteis_trabalhados+sábados_trabalhados+domingos_trabalhados),0)</f>
        <v>22</v>
      </c>
      <c r="K141" s="308">
        <f>meses_obra</f>
        <v>8</v>
      </c>
      <c r="L141" s="338" t="s">
        <v>142</v>
      </c>
      <c r="M141" s="310">
        <f>IFERROR(IF((L141/K141)=0,100%,L141/K141),100%)</f>
        <v>1</v>
      </c>
      <c r="N141" s="308">
        <f>meses_obra</f>
        <v>8</v>
      </c>
      <c r="O141" s="311">
        <f>valor_lanche_da_tarde</f>
        <v>0</v>
      </c>
      <c r="P141" s="312">
        <f>J141*M141*N141*O141</f>
        <v>0</v>
      </c>
      <c r="T141" s="260"/>
      <c r="U141" s="260"/>
      <c r="V141" s="260"/>
      <c r="W141" s="260"/>
    </row>
    <row r="142" spans="1:29" ht="15.75" customHeight="1" outlineLevel="1">
      <c r="B142" s="127"/>
      <c r="C142" s="127"/>
      <c r="D142" s="144" t="s">
        <v>1592</v>
      </c>
      <c r="E142" s="1308" t="s">
        <v>665</v>
      </c>
      <c r="F142" s="1309"/>
      <c r="G142" s="1309"/>
      <c r="H142" s="1310"/>
      <c r="I142" s="104" t="s">
        <v>11</v>
      </c>
      <c r="J142" s="308">
        <f>ROUNDUP(((média_coordenação_alojada)*30),0)</f>
        <v>0</v>
      </c>
      <c r="K142" s="308">
        <f>meses_obra</f>
        <v>8</v>
      </c>
      <c r="L142" s="338" t="s">
        <v>142</v>
      </c>
      <c r="M142" s="310">
        <f>IFERROR(IF((L142/K142)=0,100%,L142/K142),100%)</f>
        <v>1</v>
      </c>
      <c r="N142" s="308">
        <f>meses_obra</f>
        <v>8</v>
      </c>
      <c r="O142" s="311">
        <f>valor_janta</f>
        <v>0</v>
      </c>
      <c r="P142" s="312">
        <f>J142*M142*N142*O142</f>
        <v>0</v>
      </c>
      <c r="T142" s="260"/>
      <c r="U142" s="260"/>
      <c r="V142" s="260"/>
      <c r="W142" s="260"/>
    </row>
    <row r="143" spans="1:29" ht="15.75" customHeight="1" outlineLevel="1">
      <c r="B143" s="127"/>
      <c r="C143" s="127"/>
      <c r="D143" s="144" t="s">
        <v>1593</v>
      </c>
      <c r="E143" s="1308" t="s">
        <v>666</v>
      </c>
      <c r="F143" s="1309"/>
      <c r="G143" s="1309"/>
      <c r="H143" s="1310"/>
      <c r="I143" s="104" t="s">
        <v>11</v>
      </c>
      <c r="J143" s="308">
        <f>ROUNDUP(((média_coordenação_não_alojada)*30),0)</f>
        <v>30</v>
      </c>
      <c r="K143" s="308">
        <f>meses_obra</f>
        <v>8</v>
      </c>
      <c r="L143" s="338" t="s">
        <v>142</v>
      </c>
      <c r="M143" s="310">
        <f>IFERROR(IF((L143/K143)=0,100%,L143/K143),100%)</f>
        <v>1</v>
      </c>
      <c r="N143" s="308">
        <f>meses_obra</f>
        <v>8</v>
      </c>
      <c r="O143" s="311">
        <f>valor_cesta_básica</f>
        <v>0</v>
      </c>
      <c r="P143" s="312">
        <f>J143*M143*N143*O143</f>
        <v>0</v>
      </c>
      <c r="T143" s="260"/>
      <c r="U143" s="260"/>
      <c r="V143" s="260"/>
      <c r="W143" s="260"/>
    </row>
    <row r="144" spans="1:29" ht="15.75" customHeight="1" outlineLevel="1">
      <c r="B144" s="127"/>
      <c r="C144" s="127"/>
      <c r="D144" s="346"/>
      <c r="E144" s="903"/>
      <c r="F144" s="903"/>
      <c r="G144" s="903"/>
      <c r="H144" s="903"/>
      <c r="I144" s="904"/>
      <c r="J144" s="905"/>
      <c r="K144" s="905"/>
      <c r="L144" s="906"/>
      <c r="M144" s="907"/>
      <c r="N144" s="905"/>
      <c r="O144" s="908"/>
      <c r="P144" s="909"/>
      <c r="T144" s="260"/>
      <c r="U144" s="260"/>
      <c r="V144" s="260"/>
      <c r="W144" s="260"/>
    </row>
    <row r="145" spans="1:33" ht="15.75" customHeight="1">
      <c r="B145" s="127" t="s">
        <v>189</v>
      </c>
      <c r="C145" s="127"/>
      <c r="D145" s="303" t="s">
        <v>527</v>
      </c>
      <c r="E145" s="304" t="s">
        <v>653</v>
      </c>
      <c r="F145" s="304"/>
      <c r="G145" s="304"/>
      <c r="H145" s="304"/>
      <c r="I145" s="777"/>
      <c r="J145" s="305"/>
      <c r="K145" s="305"/>
      <c r="L145" s="305"/>
      <c r="M145" s="305"/>
      <c r="N145" s="305"/>
      <c r="O145" s="320" t="s">
        <v>547</v>
      </c>
      <c r="P145" s="631">
        <f>P147+P155+P163+P173+P182+P190</f>
        <v>12000</v>
      </c>
      <c r="Q145" s="81">
        <f ca="1">(($P$147+$P$155+$P$163+$P$173+$P$182+$P$190)-(média_salarial_ponderada*0.06*efetivo_médio_mes))/custo_direto+0.17%</f>
        <v>3.008410074304033E-3</v>
      </c>
      <c r="U145" s="260"/>
      <c r="V145" s="260"/>
      <c r="W145" s="260"/>
      <c r="X145" s="260"/>
      <c r="Y145" s="260"/>
      <c r="Z145" s="260"/>
      <c r="AA145" s="260"/>
      <c r="AB145" s="260"/>
      <c r="AC145" s="260"/>
      <c r="AD145" s="260"/>
      <c r="AE145" s="260"/>
      <c r="AF145" s="260"/>
      <c r="AG145" s="260"/>
    </row>
    <row r="146" spans="1:33" ht="15.75" customHeight="1" outlineLevel="1">
      <c r="B146" s="127"/>
      <c r="C146" s="127"/>
      <c r="D146" s="830" t="s">
        <v>676</v>
      </c>
      <c r="E146" s="778" t="s">
        <v>670</v>
      </c>
      <c r="F146" s="779"/>
      <c r="G146" s="779"/>
      <c r="H146" s="779"/>
      <c r="I146" s="780"/>
      <c r="J146" s="780"/>
      <c r="K146" s="781" t="s">
        <v>155</v>
      </c>
      <c r="L146" s="782" t="s">
        <v>795</v>
      </c>
      <c r="M146" s="783" t="s">
        <v>15</v>
      </c>
      <c r="N146" s="781" t="s">
        <v>123</v>
      </c>
      <c r="O146" s="783" t="s">
        <v>188</v>
      </c>
      <c r="P146" s="784"/>
      <c r="Q146" s="41"/>
      <c r="R146" s="49"/>
      <c r="U146" s="260"/>
      <c r="V146" s="260"/>
      <c r="W146" s="260"/>
      <c r="X146" s="260"/>
      <c r="Y146" s="260"/>
      <c r="Z146" s="260"/>
      <c r="AA146" s="260"/>
      <c r="AB146" s="260"/>
      <c r="AC146" s="260"/>
      <c r="AD146" s="260"/>
      <c r="AE146" s="260"/>
      <c r="AF146" s="260"/>
      <c r="AG146" s="260"/>
    </row>
    <row r="147" spans="1:33" ht="15.75" customHeight="1" outlineLevel="1">
      <c r="B147" s="127"/>
      <c r="C147" s="127"/>
      <c r="D147" s="785" t="s">
        <v>1594</v>
      </c>
      <c r="E147" s="792" t="s">
        <v>667</v>
      </c>
      <c r="F147" s="793"/>
      <c r="G147" s="793"/>
      <c r="H147" s="793"/>
      <c r="I147" s="794"/>
      <c r="J147" s="794"/>
      <c r="K147" s="788"/>
      <c r="L147" s="788"/>
      <c r="M147" s="789"/>
      <c r="N147" s="788"/>
      <c r="O147" s="789"/>
      <c r="P147" s="790">
        <f>IF(OR(SUM(P149:P154)=0,P148=0),SUM(P148:P154),MIN(SUM(P149:P154),P148))</f>
        <v>12000</v>
      </c>
      <c r="Q147" s="41"/>
      <c r="R147" s="321" t="s">
        <v>542</v>
      </c>
      <c r="U147" s="260"/>
      <c r="V147" s="260"/>
      <c r="W147" s="260"/>
      <c r="X147" s="260"/>
      <c r="Y147" s="260"/>
      <c r="Z147" s="260"/>
      <c r="AA147" s="260"/>
      <c r="AB147" s="260"/>
      <c r="AC147" s="260"/>
      <c r="AD147" s="260"/>
      <c r="AE147" s="260"/>
      <c r="AF147" s="260"/>
      <c r="AG147" s="260"/>
    </row>
    <row r="148" spans="1:33" ht="15.75" customHeight="1" outlineLevel="1">
      <c r="B148" s="127"/>
      <c r="C148" s="127"/>
      <c r="D148" s="146" t="s">
        <v>1878</v>
      </c>
      <c r="E148" s="1361" t="s">
        <v>537</v>
      </c>
      <c r="F148" s="1362"/>
      <c r="G148" s="1362"/>
      <c r="H148" s="1363"/>
      <c r="I148" s="104" t="s">
        <v>0</v>
      </c>
      <c r="J148" s="199">
        <f>ROUNDUP(((média_mdo_direta_nao_alojada)*SUM(dias_úteis_trabalhados+sábados_trabalhados+domingos_trabalhados))*1,0)</f>
        <v>616</v>
      </c>
      <c r="K148" s="308">
        <f t="shared" ref="K148:K154" si="140">meses_obra</f>
        <v>8</v>
      </c>
      <c r="L148" s="309"/>
      <c r="M148" s="310">
        <f t="shared" ref="M148:M154" si="141">IFERROR(IF((L148/K148)=0,100%,L148/K148),100%)</f>
        <v>1</v>
      </c>
      <c r="N148" s="308">
        <f t="shared" ref="N148:N154" si="142">meses_obra</f>
        <v>8</v>
      </c>
      <c r="O148" s="421"/>
      <c r="P148" s="312">
        <f>J148*M148*N148*O148</f>
        <v>0</v>
      </c>
      <c r="Q148" s="41"/>
      <c r="R148" s="41"/>
      <c r="T148" s="260"/>
      <c r="U148" s="260"/>
      <c r="V148" s="260"/>
      <c r="W148" s="260"/>
      <c r="X148" s="260"/>
      <c r="Y148" s="260"/>
      <c r="Z148" s="260"/>
      <c r="AA148" s="260"/>
      <c r="AB148" s="260"/>
      <c r="AC148" s="260"/>
      <c r="AD148" s="260"/>
      <c r="AE148" s="260"/>
      <c r="AF148" s="260"/>
      <c r="AG148" s="260"/>
    </row>
    <row r="149" spans="1:33" s="49" customFormat="1" ht="15.75" customHeight="1" outlineLevel="1">
      <c r="A149" s="322"/>
      <c r="B149" s="127"/>
      <c r="C149" s="127"/>
      <c r="D149" s="146" t="s">
        <v>1879</v>
      </c>
      <c r="E149" s="1308" t="s">
        <v>184</v>
      </c>
      <c r="F149" s="1309"/>
      <c r="G149" s="1309"/>
      <c r="H149" s="1310"/>
      <c r="I149" s="104" t="s">
        <v>125</v>
      </c>
      <c r="J149" s="308">
        <v>2</v>
      </c>
      <c r="K149" s="308">
        <f t="shared" si="140"/>
        <v>8</v>
      </c>
      <c r="L149" s="309"/>
      <c r="M149" s="310">
        <f t="shared" si="141"/>
        <v>1</v>
      </c>
      <c r="N149" s="308">
        <f t="shared" si="142"/>
        <v>8</v>
      </c>
      <c r="O149" s="421"/>
      <c r="P149" s="312">
        <f t="shared" ref="P149:P154" si="143">J149*M149*N149*O149</f>
        <v>0</v>
      </c>
      <c r="Q149" s="322"/>
      <c r="R149" s="318"/>
      <c r="S149" s="322"/>
      <c r="T149" s="260"/>
      <c r="U149" s="260"/>
      <c r="V149" s="260"/>
      <c r="W149" s="260"/>
      <c r="X149" s="260"/>
      <c r="Y149" s="260"/>
      <c r="Z149" s="260"/>
      <c r="AA149" s="260"/>
      <c r="AB149" s="260"/>
      <c r="AC149" s="260"/>
      <c r="AD149" s="260"/>
      <c r="AE149" s="260"/>
      <c r="AF149" s="260"/>
      <c r="AG149" s="260"/>
    </row>
    <row r="150" spans="1:33" ht="15.75" customHeight="1" outlineLevel="1">
      <c r="B150" s="127"/>
      <c r="C150" s="127"/>
      <c r="D150" s="146" t="s">
        <v>1880</v>
      </c>
      <c r="E150" s="1364" t="s">
        <v>1426</v>
      </c>
      <c r="F150" s="1365"/>
      <c r="G150" s="1365"/>
      <c r="H150" s="1366"/>
      <c r="I150" s="104" t="s">
        <v>125</v>
      </c>
      <c r="J150" s="308">
        <v>1</v>
      </c>
      <c r="K150" s="308">
        <f t="shared" si="140"/>
        <v>8</v>
      </c>
      <c r="L150" s="309"/>
      <c r="M150" s="310">
        <f t="shared" si="141"/>
        <v>1</v>
      </c>
      <c r="N150" s="308">
        <f t="shared" si="142"/>
        <v>8</v>
      </c>
      <c r="O150" s="421">
        <v>1500</v>
      </c>
      <c r="P150" s="312">
        <f t="shared" si="143"/>
        <v>12000</v>
      </c>
      <c r="Q150" s="40"/>
      <c r="R150" s="80"/>
      <c r="T150" s="260"/>
      <c r="U150" s="260"/>
      <c r="V150" s="260"/>
      <c r="W150" s="260"/>
      <c r="X150" s="260"/>
      <c r="Y150" s="260"/>
      <c r="Z150" s="260"/>
      <c r="AA150" s="260"/>
      <c r="AB150" s="260"/>
      <c r="AC150" s="260"/>
      <c r="AD150" s="260"/>
      <c r="AE150" s="260"/>
      <c r="AF150" s="260"/>
      <c r="AG150" s="260"/>
    </row>
    <row r="151" spans="1:33" ht="15.75" customHeight="1" outlineLevel="1">
      <c r="B151" s="127"/>
      <c r="C151" s="127"/>
      <c r="D151" s="146" t="s">
        <v>1881</v>
      </c>
      <c r="E151" s="1308" t="s">
        <v>1425</v>
      </c>
      <c r="F151" s="1309"/>
      <c r="G151" s="1309"/>
      <c r="H151" s="1310"/>
      <c r="I151" s="104" t="s">
        <v>125</v>
      </c>
      <c r="J151" s="308">
        <f>IF(média_mdo_direta_nao_alojada=0,0,IF(AND(MOD(média_mdo_direta_nao_alojada,30)&gt;=9,(MOD(média_mdo_direta_nao_alojada,30)&lt;=15)),1,IF(AND(média_mdo_direta_nao_alojada&gt;=9,média_mdo_direta_nao_alojada&lt;=15),1,0)))</f>
        <v>0</v>
      </c>
      <c r="K151" s="308">
        <f t="shared" si="140"/>
        <v>8</v>
      </c>
      <c r="L151" s="309"/>
      <c r="M151" s="310">
        <f t="shared" si="141"/>
        <v>1</v>
      </c>
      <c r="N151" s="308">
        <f t="shared" si="142"/>
        <v>8</v>
      </c>
      <c r="O151" s="421">
        <v>0</v>
      </c>
      <c r="P151" s="312">
        <f t="shared" si="143"/>
        <v>0</v>
      </c>
      <c r="Q151" s="40"/>
      <c r="T151" s="260"/>
      <c r="U151" s="260"/>
      <c r="V151" s="260"/>
      <c r="W151" s="260"/>
      <c r="X151" s="260"/>
      <c r="Y151" s="260"/>
      <c r="Z151" s="260"/>
      <c r="AA151" s="260"/>
      <c r="AB151" s="260"/>
      <c r="AC151" s="260"/>
      <c r="AD151" s="260"/>
      <c r="AE151" s="260"/>
      <c r="AF151" s="260"/>
      <c r="AG151" s="260"/>
    </row>
    <row r="152" spans="1:33" ht="15.75" customHeight="1" outlineLevel="1">
      <c r="B152" s="127"/>
      <c r="C152" s="127"/>
      <c r="D152" s="146" t="s">
        <v>1882</v>
      </c>
      <c r="E152" s="1308" t="s">
        <v>514</v>
      </c>
      <c r="F152" s="1309"/>
      <c r="G152" s="1309"/>
      <c r="H152" s="1310"/>
      <c r="I152" s="104" t="s">
        <v>125</v>
      </c>
      <c r="J152" s="308">
        <f>IF(média_mdo_direta_nao_alojada=0,0,IF(AND(MOD(média_mdo_direta_nao_alojada,30)&gt;=16,(MOD(média_mdo_direta_nao_alojada,30)&lt;=30)),1,IF(AND(média_mdo_direta_nao_alojada&gt;=16,média_mdo_direta_nao_alojada&lt;=30),1,0)))</f>
        <v>1</v>
      </c>
      <c r="K152" s="308">
        <f t="shared" si="140"/>
        <v>8</v>
      </c>
      <c r="L152" s="309"/>
      <c r="M152" s="310">
        <f t="shared" si="141"/>
        <v>1</v>
      </c>
      <c r="N152" s="308">
        <f t="shared" si="142"/>
        <v>8</v>
      </c>
      <c r="O152" s="421">
        <v>0</v>
      </c>
      <c r="P152" s="312">
        <f t="shared" si="143"/>
        <v>0</v>
      </c>
      <c r="Q152" s="40"/>
      <c r="R152" s="80"/>
      <c r="T152" s="260"/>
      <c r="U152" s="260"/>
      <c r="V152" s="260"/>
      <c r="W152" s="260"/>
      <c r="X152" s="260"/>
      <c r="Y152" s="260"/>
      <c r="Z152" s="260"/>
      <c r="AA152" s="260"/>
      <c r="AB152" s="260"/>
      <c r="AC152" s="260"/>
      <c r="AD152" s="260"/>
      <c r="AE152" s="260"/>
      <c r="AF152" s="260"/>
      <c r="AG152" s="260"/>
    </row>
    <row r="153" spans="1:33" ht="15.75" customHeight="1" outlineLevel="1">
      <c r="B153" s="127"/>
      <c r="C153" s="127"/>
      <c r="D153" s="146" t="s">
        <v>1883</v>
      </c>
      <c r="E153" s="1308" t="s">
        <v>186</v>
      </c>
      <c r="F153" s="1309"/>
      <c r="G153" s="1309"/>
      <c r="H153" s="1310"/>
      <c r="I153" s="104" t="s">
        <v>125</v>
      </c>
      <c r="J153" s="308">
        <f>IF(média_mdo_direta_nao_alojada=0,0,ROUNDDOWN(IF(AND(média_mdo_direta_nao_alojada&gt;=31),média_mdo_direta_nao_alojada/30,0),0))</f>
        <v>0</v>
      </c>
      <c r="K153" s="308">
        <f t="shared" si="140"/>
        <v>8</v>
      </c>
      <c r="L153" s="309"/>
      <c r="M153" s="310">
        <f t="shared" si="141"/>
        <v>1</v>
      </c>
      <c r="N153" s="308">
        <f t="shared" si="142"/>
        <v>8</v>
      </c>
      <c r="O153" s="421">
        <v>0</v>
      </c>
      <c r="P153" s="312">
        <f t="shared" si="143"/>
        <v>0</v>
      </c>
      <c r="Q153" s="40"/>
      <c r="T153" s="260"/>
      <c r="U153" s="260"/>
      <c r="V153" s="260"/>
      <c r="W153" s="260"/>
      <c r="X153" s="260"/>
      <c r="Y153" s="260"/>
      <c r="Z153" s="260"/>
      <c r="AA153" s="260"/>
      <c r="AB153" s="260"/>
      <c r="AC153" s="260"/>
      <c r="AD153" s="260"/>
      <c r="AE153" s="260"/>
      <c r="AF153" s="260"/>
      <c r="AG153" s="260"/>
    </row>
    <row r="154" spans="1:33" ht="15.75" customHeight="1" outlineLevel="1">
      <c r="B154" s="127"/>
      <c r="C154" s="127"/>
      <c r="D154" s="146" t="s">
        <v>1884</v>
      </c>
      <c r="E154" s="1308" t="s">
        <v>177</v>
      </c>
      <c r="F154" s="1309"/>
      <c r="G154" s="1309"/>
      <c r="H154" s="1310"/>
      <c r="I154" s="104" t="s">
        <v>125</v>
      </c>
      <c r="J154" s="199">
        <v>0</v>
      </c>
      <c r="K154" s="308">
        <f t="shared" si="140"/>
        <v>8</v>
      </c>
      <c r="L154" s="309"/>
      <c r="M154" s="310">
        <f t="shared" si="141"/>
        <v>1</v>
      </c>
      <c r="N154" s="308">
        <f t="shared" si="142"/>
        <v>8</v>
      </c>
      <c r="O154" s="421">
        <v>0</v>
      </c>
      <c r="P154" s="312">
        <f t="shared" si="143"/>
        <v>0</v>
      </c>
      <c r="Q154" s="40"/>
      <c r="T154" s="260"/>
      <c r="U154" s="260"/>
      <c r="V154" s="260"/>
      <c r="W154" s="260"/>
      <c r="X154" s="260"/>
      <c r="Y154" s="260"/>
      <c r="Z154" s="260"/>
      <c r="AA154" s="260"/>
      <c r="AB154" s="260"/>
      <c r="AC154" s="260"/>
      <c r="AD154" s="260"/>
      <c r="AE154" s="260"/>
      <c r="AF154" s="260"/>
      <c r="AG154" s="260"/>
    </row>
    <row r="155" spans="1:33" ht="15.75" customHeight="1" outlineLevel="1">
      <c r="B155" s="127"/>
      <c r="C155" s="127"/>
      <c r="D155" s="785" t="s">
        <v>1595</v>
      </c>
      <c r="E155" s="786" t="s">
        <v>668</v>
      </c>
      <c r="F155" s="786"/>
      <c r="G155" s="786"/>
      <c r="H155" s="786"/>
      <c r="I155" s="787"/>
      <c r="J155" s="787"/>
      <c r="K155" s="788"/>
      <c r="L155" s="788"/>
      <c r="M155" s="789"/>
      <c r="N155" s="788"/>
      <c r="O155" s="789"/>
      <c r="P155" s="790">
        <f>IF(OR(SUM(P157:P162)=0,P156=0),SUM(P156:P162),MIN(SUM(P157:P162),P156))</f>
        <v>0</v>
      </c>
      <c r="Q155" s="40"/>
      <c r="X155" s="260"/>
      <c r="Y155" s="260"/>
      <c r="Z155" s="260"/>
      <c r="AA155" s="260"/>
      <c r="AB155" s="260"/>
      <c r="AC155" s="260"/>
    </row>
    <row r="156" spans="1:33" ht="15.75" customHeight="1" outlineLevel="1">
      <c r="B156" s="127"/>
      <c r="C156" s="127"/>
      <c r="D156" s="146" t="s">
        <v>1885</v>
      </c>
      <c r="E156" s="1361" t="s">
        <v>537</v>
      </c>
      <c r="F156" s="1362"/>
      <c r="G156" s="1362"/>
      <c r="H156" s="1363"/>
      <c r="I156" s="104" t="s">
        <v>0</v>
      </c>
      <c r="J156" s="199">
        <f>IF(média_mdo_supervisão_nao_alojada=0,0,ROUNDUP(((média_mdo_supervisão_nao_alojada)*SUM(dias_úteis_trabalhados+sábados_trabalhados+domingos_trabalhados))*2,0))</f>
        <v>132</v>
      </c>
      <c r="K156" s="308">
        <f t="shared" ref="K156:K162" si="144">meses_obra</f>
        <v>8</v>
      </c>
      <c r="L156" s="309"/>
      <c r="M156" s="310">
        <f t="shared" ref="M156:M162" si="145">IFERROR(IF((L156/K156)=0,100%,L156/K156),100%)</f>
        <v>1</v>
      </c>
      <c r="N156" s="308">
        <f t="shared" ref="N156:N162" si="146">meses_obra</f>
        <v>8</v>
      </c>
      <c r="O156" s="421">
        <v>0</v>
      </c>
      <c r="P156" s="312">
        <f t="shared" ref="P156:P162" si="147">J156*M156*N156*O156</f>
        <v>0</v>
      </c>
      <c r="Q156" s="40"/>
      <c r="X156" s="260"/>
      <c r="Y156" s="260"/>
      <c r="Z156" s="260"/>
      <c r="AA156" s="260"/>
      <c r="AB156" s="260"/>
      <c r="AC156" s="260"/>
    </row>
    <row r="157" spans="1:33" ht="15.75" customHeight="1" outlineLevel="1">
      <c r="B157" s="127"/>
      <c r="C157" s="127"/>
      <c r="D157" s="146" t="s">
        <v>1886</v>
      </c>
      <c r="E157" s="1308" t="s">
        <v>185</v>
      </c>
      <c r="F157" s="1309"/>
      <c r="G157" s="1309"/>
      <c r="H157" s="1310"/>
      <c r="I157" s="104" t="s">
        <v>125</v>
      </c>
      <c r="J157" s="308">
        <v>0</v>
      </c>
      <c r="K157" s="308">
        <f t="shared" si="144"/>
        <v>8</v>
      </c>
      <c r="L157" s="309"/>
      <c r="M157" s="310">
        <v>1</v>
      </c>
      <c r="N157" s="308">
        <f t="shared" si="146"/>
        <v>8</v>
      </c>
      <c r="O157" s="421">
        <v>1200</v>
      </c>
      <c r="P157" s="312">
        <f t="shared" si="147"/>
        <v>0</v>
      </c>
      <c r="Q157" s="40"/>
      <c r="X157" s="260"/>
      <c r="Y157" s="260"/>
      <c r="Z157" s="260"/>
      <c r="AA157" s="260"/>
      <c r="AB157" s="260"/>
      <c r="AC157" s="260"/>
    </row>
    <row r="158" spans="1:33" ht="15.75" customHeight="1" outlineLevel="1">
      <c r="B158" s="127"/>
      <c r="C158" s="127"/>
      <c r="D158" s="146" t="s">
        <v>1887</v>
      </c>
      <c r="E158" s="1364" t="s">
        <v>1426</v>
      </c>
      <c r="F158" s="1365"/>
      <c r="G158" s="1365"/>
      <c r="H158" s="1366"/>
      <c r="I158" s="104" t="s">
        <v>125</v>
      </c>
      <c r="J158" s="308">
        <v>2</v>
      </c>
      <c r="K158" s="308">
        <f t="shared" si="144"/>
        <v>8</v>
      </c>
      <c r="L158" s="309"/>
      <c r="M158" s="310">
        <f t="shared" si="145"/>
        <v>1</v>
      </c>
      <c r="N158" s="308">
        <f t="shared" si="146"/>
        <v>8</v>
      </c>
      <c r="O158" s="421">
        <v>0</v>
      </c>
      <c r="P158" s="312">
        <f t="shared" si="147"/>
        <v>0</v>
      </c>
      <c r="Q158" s="40"/>
      <c r="X158" s="260"/>
      <c r="Y158" s="260"/>
      <c r="Z158" s="260"/>
      <c r="AA158" s="260"/>
      <c r="AB158" s="260"/>
      <c r="AC158" s="260"/>
    </row>
    <row r="159" spans="1:33" ht="15.75" customHeight="1" outlineLevel="1">
      <c r="B159" s="127"/>
      <c r="C159" s="127"/>
      <c r="D159" s="146" t="s">
        <v>1888</v>
      </c>
      <c r="E159" s="1308" t="s">
        <v>1425</v>
      </c>
      <c r="F159" s="1309"/>
      <c r="G159" s="1309"/>
      <c r="H159" s="1310"/>
      <c r="I159" s="104" t="s">
        <v>125</v>
      </c>
      <c r="J159" s="308">
        <f>IF(média_mdo_supervisão_nao_alojada=0,0,IF(AND(MOD(média_mdo_supervisão_nao_alojada,30)&gt;=9,(MOD(média_mdo_supervisão_nao_alojada,30)&lt;=15)),1,IF(AND(média_mdo_supervisão_nao_alojada&gt;=9,média_mdo_supervisão_nao_alojada&lt;=15),1,0)))</f>
        <v>0</v>
      </c>
      <c r="K159" s="308">
        <f t="shared" si="144"/>
        <v>8</v>
      </c>
      <c r="L159" s="309"/>
      <c r="M159" s="310">
        <f t="shared" si="145"/>
        <v>1</v>
      </c>
      <c r="N159" s="308">
        <f t="shared" si="146"/>
        <v>8</v>
      </c>
      <c r="O159" s="421">
        <v>0</v>
      </c>
      <c r="P159" s="312">
        <f t="shared" si="147"/>
        <v>0</v>
      </c>
      <c r="Q159" s="40"/>
      <c r="T159" s="260"/>
      <c r="U159" s="260"/>
      <c r="X159" s="260"/>
      <c r="Y159" s="260"/>
      <c r="Z159" s="260"/>
      <c r="AA159" s="260"/>
      <c r="AB159" s="260"/>
      <c r="AC159" s="260"/>
    </row>
    <row r="160" spans="1:33" ht="15.75" customHeight="1" outlineLevel="1">
      <c r="B160" s="127"/>
      <c r="C160" s="127"/>
      <c r="D160" s="146" t="s">
        <v>1889</v>
      </c>
      <c r="E160" s="1308" t="s">
        <v>514</v>
      </c>
      <c r="F160" s="1309"/>
      <c r="G160" s="1309"/>
      <c r="H160" s="1310"/>
      <c r="I160" s="104" t="s">
        <v>125</v>
      </c>
      <c r="J160" s="308">
        <f>IF(média_mdo_supervisão_nao_alojada=0,0,IF(AND(MOD(média_mdo_supervisão_nao_alojada,30)&gt;=16,(MOD(média_mdo_supervisão_nao_alojada,30)&lt;=30)),1,IF(AND(média_mdo_supervisão_nao_alojada&gt;=16,média_mdo_supervisão_nao_alojada&lt;=30),1,0)))</f>
        <v>0</v>
      </c>
      <c r="K160" s="308">
        <f t="shared" si="144"/>
        <v>8</v>
      </c>
      <c r="L160" s="309"/>
      <c r="M160" s="310">
        <f t="shared" si="145"/>
        <v>1</v>
      </c>
      <c r="N160" s="308">
        <f t="shared" si="146"/>
        <v>8</v>
      </c>
      <c r="O160" s="421">
        <v>0</v>
      </c>
      <c r="P160" s="312">
        <f t="shared" si="147"/>
        <v>0</v>
      </c>
      <c r="Q160" s="40"/>
      <c r="T160" s="260"/>
      <c r="U160" s="260"/>
    </row>
    <row r="161" spans="1:33" s="49" customFormat="1" ht="15.75" customHeight="1" outlineLevel="1">
      <c r="A161" s="322"/>
      <c r="B161" s="127"/>
      <c r="C161" s="127"/>
      <c r="D161" s="146" t="s">
        <v>1890</v>
      </c>
      <c r="E161" s="1308" t="s">
        <v>186</v>
      </c>
      <c r="F161" s="1309"/>
      <c r="G161" s="1309"/>
      <c r="H161" s="1310"/>
      <c r="I161" s="104" t="s">
        <v>125</v>
      </c>
      <c r="J161" s="308">
        <f>IF(média_mdo_supervisão_nao_alojada=0,0,ROUNDDOWN(IF(AND(média_mdo_supervisão_nao_alojada&gt;=31),média_mdo_supervisão_nao_alojada/30,0),0))</f>
        <v>0</v>
      </c>
      <c r="K161" s="308">
        <f t="shared" si="144"/>
        <v>8</v>
      </c>
      <c r="L161" s="309"/>
      <c r="M161" s="310">
        <f t="shared" si="145"/>
        <v>1</v>
      </c>
      <c r="N161" s="308">
        <f t="shared" si="146"/>
        <v>8</v>
      </c>
      <c r="O161" s="421">
        <v>0</v>
      </c>
      <c r="P161" s="312">
        <f t="shared" si="147"/>
        <v>0</v>
      </c>
      <c r="Q161" s="48"/>
      <c r="T161" s="260"/>
      <c r="U161" s="260"/>
      <c r="V161" s="260"/>
      <c r="W161" s="260"/>
      <c r="X161" s="36"/>
      <c r="Y161" s="36"/>
      <c r="Z161" s="36"/>
      <c r="AA161" s="36"/>
    </row>
    <row r="162" spans="1:33" ht="15.75" customHeight="1" outlineLevel="1">
      <c r="B162" s="127"/>
      <c r="C162" s="127"/>
      <c r="D162" s="146" t="s">
        <v>1891</v>
      </c>
      <c r="E162" s="1308" t="s">
        <v>177</v>
      </c>
      <c r="F162" s="1309"/>
      <c r="G162" s="1309"/>
      <c r="H162" s="1310"/>
      <c r="I162" s="104" t="s">
        <v>125</v>
      </c>
      <c r="J162" s="199">
        <v>0</v>
      </c>
      <c r="K162" s="308">
        <f t="shared" si="144"/>
        <v>8</v>
      </c>
      <c r="L162" s="309"/>
      <c r="M162" s="310">
        <f t="shared" si="145"/>
        <v>1</v>
      </c>
      <c r="N162" s="308">
        <f t="shared" si="146"/>
        <v>8</v>
      </c>
      <c r="O162" s="421">
        <v>0</v>
      </c>
      <c r="P162" s="312">
        <f t="shared" si="147"/>
        <v>0</v>
      </c>
      <c r="Q162" s="40"/>
      <c r="V162" s="260"/>
      <c r="W162" s="260"/>
    </row>
    <row r="163" spans="1:33" ht="15.75" customHeight="1" outlineLevel="1">
      <c r="B163" s="127"/>
      <c r="C163" s="127"/>
      <c r="D163" s="785" t="s">
        <v>1596</v>
      </c>
      <c r="E163" s="791" t="s">
        <v>238</v>
      </c>
      <c r="F163" s="791"/>
      <c r="G163" s="791"/>
      <c r="H163" s="791"/>
      <c r="I163" s="787"/>
      <c r="J163" s="787"/>
      <c r="K163" s="788"/>
      <c r="L163" s="788"/>
      <c r="M163" s="789"/>
      <c r="N163" s="788"/>
      <c r="O163" s="789"/>
      <c r="P163" s="790">
        <f>IF(OR(SUM(P165:P170)=0,P164=0),SUM(P164:P170),MIN(SUM(P165:P170),P164))</f>
        <v>0</v>
      </c>
      <c r="Q163" s="40"/>
      <c r="V163" s="260"/>
      <c r="W163" s="260"/>
    </row>
    <row r="164" spans="1:33" ht="15.75" customHeight="1" outlineLevel="1">
      <c r="B164" s="127"/>
      <c r="C164" s="127"/>
      <c r="D164" s="146" t="s">
        <v>1892</v>
      </c>
      <c r="E164" s="1361" t="s">
        <v>537</v>
      </c>
      <c r="F164" s="1362"/>
      <c r="G164" s="1362"/>
      <c r="H164" s="1363"/>
      <c r="I164" s="104" t="s">
        <v>0</v>
      </c>
      <c r="J164" s="199">
        <f>IF(média_coordenação_não_alojada=0,0,ROUNDUP(((média_coordenação_não_alojada)*SUM(dias_úteis_trabalhados+sábados_trabalhados+domingos_trabalhados))*2,0))</f>
        <v>44</v>
      </c>
      <c r="K164" s="308">
        <f t="shared" ref="K164:K170" si="148">meses_obra</f>
        <v>8</v>
      </c>
      <c r="L164" s="309"/>
      <c r="M164" s="310">
        <f t="shared" ref="M164:M170" si="149">IFERROR(IF((L164/K164)=0,100%,L164/K164),100%)</f>
        <v>1</v>
      </c>
      <c r="N164" s="308">
        <f t="shared" ref="N164:N170" si="150">meses_obra</f>
        <v>8</v>
      </c>
      <c r="O164" s="421">
        <f>tarifa_media_vt</f>
        <v>0</v>
      </c>
      <c r="P164" s="312">
        <f t="shared" ref="P164:P170" si="151">J164*M164*N164*O164</f>
        <v>0</v>
      </c>
      <c r="Q164" s="40"/>
      <c r="W164" s="260"/>
    </row>
    <row r="165" spans="1:33" ht="15.75" customHeight="1" outlineLevel="1">
      <c r="B165" s="127"/>
      <c r="C165" s="127"/>
      <c r="D165" s="146" t="s">
        <v>1893</v>
      </c>
      <c r="E165" s="1308" t="s">
        <v>185</v>
      </c>
      <c r="F165" s="1309"/>
      <c r="G165" s="1309"/>
      <c r="H165" s="1310"/>
      <c r="I165" s="104" t="s">
        <v>125</v>
      </c>
      <c r="J165" s="308">
        <f>IF(média_coordenação_não_alojada=0,0,IF(AND(MOD(média_coordenação_não_alojada,30)&gt;=1,(MOD(média_coordenação_não_alojada,30)&lt;=3)),1,IF(AND(média_coordenação_não_alojada&gt;=1,média_coordenação_não_alojada&lt;=3),1,0)))</f>
        <v>1</v>
      </c>
      <c r="K165" s="308">
        <f t="shared" si="148"/>
        <v>8</v>
      </c>
      <c r="L165" s="309"/>
      <c r="M165" s="310">
        <f t="shared" si="149"/>
        <v>1</v>
      </c>
      <c r="N165" s="308">
        <f t="shared" si="150"/>
        <v>8</v>
      </c>
      <c r="O165" s="421">
        <v>0</v>
      </c>
      <c r="P165" s="312">
        <f t="shared" si="151"/>
        <v>0</v>
      </c>
      <c r="Q165" s="40"/>
      <c r="W165" s="260"/>
    </row>
    <row r="166" spans="1:33" ht="15.75" customHeight="1" outlineLevel="1">
      <c r="B166" s="127"/>
      <c r="C166" s="127"/>
      <c r="D166" s="146" t="s">
        <v>1894</v>
      </c>
      <c r="E166" s="1364" t="s">
        <v>1426</v>
      </c>
      <c r="F166" s="1365"/>
      <c r="G166" s="1365"/>
      <c r="H166" s="1366"/>
      <c r="I166" s="104" t="s">
        <v>125</v>
      </c>
      <c r="J166" s="308">
        <f>IF(média_coordenação_não_alojada=0,0,IF(AND(MOD(média_coordenação_não_alojada,30)&gt;=4,(MOD(média_coordenação_não_alojada,30)&lt;=8)),1,IF(AND(média_coordenação_não_alojada&gt;=4,média_coordenação_não_alojada&lt;=8),1,0)))</f>
        <v>0</v>
      </c>
      <c r="K166" s="308">
        <f t="shared" si="148"/>
        <v>8</v>
      </c>
      <c r="L166" s="309"/>
      <c r="M166" s="310">
        <f t="shared" si="149"/>
        <v>1</v>
      </c>
      <c r="N166" s="308">
        <f t="shared" si="150"/>
        <v>8</v>
      </c>
      <c r="O166" s="421">
        <v>2533.5593460833329</v>
      </c>
      <c r="P166" s="312">
        <f t="shared" si="151"/>
        <v>0</v>
      </c>
      <c r="Q166" s="40"/>
      <c r="W166" s="260"/>
    </row>
    <row r="167" spans="1:33" ht="15.75" customHeight="1" outlineLevel="1">
      <c r="B167" s="127"/>
      <c r="C167" s="127"/>
      <c r="D167" s="146" t="s">
        <v>1895</v>
      </c>
      <c r="E167" s="1308" t="s">
        <v>1425</v>
      </c>
      <c r="F167" s="1309"/>
      <c r="G167" s="1309"/>
      <c r="H167" s="1310"/>
      <c r="I167" s="104" t="s">
        <v>125</v>
      </c>
      <c r="J167" s="308">
        <f>IF(média_coordenação_não_alojada=0,0,IF(AND(MOD(média_coordenação_não_alojada,30)&gt;=9,(MOD(média_coordenação_não_alojada,30)&lt;=15)),1,IF(AND(média_coordenação_não_alojada&gt;=9,média_coordenação_não_alojada&lt;=15),1,0)))</f>
        <v>0</v>
      </c>
      <c r="K167" s="308">
        <f t="shared" si="148"/>
        <v>8</v>
      </c>
      <c r="L167" s="309"/>
      <c r="M167" s="310">
        <f t="shared" si="149"/>
        <v>1</v>
      </c>
      <c r="N167" s="308">
        <f t="shared" si="150"/>
        <v>8</v>
      </c>
      <c r="O167" s="421">
        <v>4000</v>
      </c>
      <c r="P167" s="312">
        <f t="shared" si="151"/>
        <v>0</v>
      </c>
      <c r="Q167" s="40"/>
      <c r="W167" s="260"/>
    </row>
    <row r="168" spans="1:33" ht="15.75" customHeight="1" outlineLevel="1">
      <c r="B168" s="127"/>
      <c r="C168" s="127"/>
      <c r="D168" s="146" t="s">
        <v>1896</v>
      </c>
      <c r="E168" s="1308" t="s">
        <v>514</v>
      </c>
      <c r="F168" s="1309"/>
      <c r="G168" s="1309"/>
      <c r="H168" s="1310"/>
      <c r="I168" s="104" t="s">
        <v>125</v>
      </c>
      <c r="J168" s="308">
        <f>IF(média_coordenação_não_alojada=0,0,IF(AND(MOD(média_coordenação_não_alojada,30)&gt;=16,(MOD(média_coordenação_não_alojada,30)&lt;=30)),1,IF(AND(média_coordenação_não_alojada&gt;=16,média_coordenação_não_alojada&lt;=30),1,0)))</f>
        <v>0</v>
      </c>
      <c r="K168" s="308">
        <f t="shared" si="148"/>
        <v>8</v>
      </c>
      <c r="L168" s="309"/>
      <c r="M168" s="310">
        <f t="shared" si="149"/>
        <v>1</v>
      </c>
      <c r="N168" s="308">
        <f t="shared" si="150"/>
        <v>8</v>
      </c>
      <c r="O168" s="421">
        <v>6000</v>
      </c>
      <c r="P168" s="312">
        <f t="shared" si="151"/>
        <v>0</v>
      </c>
      <c r="Q168" s="40"/>
      <c r="W168" s="260"/>
    </row>
    <row r="169" spans="1:33" ht="15.75" customHeight="1" outlineLevel="1">
      <c r="B169" s="127"/>
      <c r="C169" s="127"/>
      <c r="D169" s="146" t="s">
        <v>1897</v>
      </c>
      <c r="E169" s="1308" t="s">
        <v>186</v>
      </c>
      <c r="F169" s="1309"/>
      <c r="G169" s="1309"/>
      <c r="H169" s="1310"/>
      <c r="I169" s="104" t="s">
        <v>125</v>
      </c>
      <c r="J169" s="308">
        <f>IF(média_coordenação_não_alojada=0,0,ROUNDDOWN(IF(AND(média_coordenação_não_alojada&gt;=31),média_coordenação_não_alojada/30,0),0))</f>
        <v>0</v>
      </c>
      <c r="K169" s="308">
        <f t="shared" si="148"/>
        <v>8</v>
      </c>
      <c r="L169" s="309"/>
      <c r="M169" s="310">
        <f t="shared" si="149"/>
        <v>1</v>
      </c>
      <c r="N169" s="308">
        <f t="shared" si="150"/>
        <v>8</v>
      </c>
      <c r="O169" s="421">
        <v>6000</v>
      </c>
      <c r="P169" s="312">
        <f t="shared" si="151"/>
        <v>0</v>
      </c>
      <c r="Q169" s="40"/>
      <c r="W169" s="260"/>
      <c r="X169" s="260"/>
    </row>
    <row r="170" spans="1:33" ht="15.75" customHeight="1" outlineLevel="1">
      <c r="B170" s="127"/>
      <c r="C170" s="127"/>
      <c r="D170" s="146" t="s">
        <v>1898</v>
      </c>
      <c r="E170" s="1308" t="s">
        <v>177</v>
      </c>
      <c r="F170" s="1309"/>
      <c r="G170" s="1309"/>
      <c r="H170" s="1310"/>
      <c r="I170" s="104" t="s">
        <v>125</v>
      </c>
      <c r="J170" s="199">
        <v>0</v>
      </c>
      <c r="K170" s="308">
        <f t="shared" si="148"/>
        <v>8</v>
      </c>
      <c r="L170" s="309"/>
      <c r="M170" s="310">
        <f t="shared" si="149"/>
        <v>1</v>
      </c>
      <c r="N170" s="308">
        <f t="shared" si="150"/>
        <v>8</v>
      </c>
      <c r="O170" s="421">
        <v>0</v>
      </c>
      <c r="P170" s="312">
        <f t="shared" si="151"/>
        <v>0</v>
      </c>
      <c r="Q170" s="40"/>
      <c r="T170" s="49"/>
      <c r="U170" s="49"/>
      <c r="W170" s="260"/>
      <c r="X170" s="260"/>
    </row>
    <row r="171" spans="1:33" ht="15.75" customHeight="1" outlineLevel="1">
      <c r="B171" s="127"/>
      <c r="C171" s="127"/>
      <c r="D171" s="332"/>
      <c r="E171" s="116"/>
      <c r="F171" s="116"/>
      <c r="G171" s="116"/>
      <c r="H171" s="116"/>
      <c r="I171" s="116"/>
      <c r="J171" s="116"/>
      <c r="K171" s="116"/>
      <c r="L171" s="116"/>
      <c r="M171" s="116"/>
      <c r="N171" s="116"/>
      <c r="O171" s="116"/>
      <c r="P171" s="333"/>
      <c r="Q171" s="40"/>
    </row>
    <row r="172" spans="1:33" ht="15.75" customHeight="1" outlineLevel="1">
      <c r="B172" s="127"/>
      <c r="C172" s="127"/>
      <c r="D172" s="831" t="s">
        <v>677</v>
      </c>
      <c r="E172" s="772" t="s">
        <v>669</v>
      </c>
      <c r="F172" s="773"/>
      <c r="G172" s="773"/>
      <c r="H172" s="773"/>
      <c r="I172" s="774"/>
      <c r="J172" s="774"/>
      <c r="K172" s="775" t="s">
        <v>155</v>
      </c>
      <c r="L172" s="186" t="s">
        <v>795</v>
      </c>
      <c r="M172" s="191" t="s">
        <v>15</v>
      </c>
      <c r="N172" s="775" t="s">
        <v>123</v>
      </c>
      <c r="O172" s="191" t="s">
        <v>188</v>
      </c>
      <c r="P172" s="776"/>
      <c r="Q172" s="41"/>
      <c r="R172" s="49"/>
      <c r="U172" s="260"/>
      <c r="V172" s="260"/>
      <c r="W172" s="260"/>
      <c r="X172" s="260"/>
      <c r="Y172" s="260"/>
      <c r="Z172" s="260"/>
      <c r="AA172" s="260"/>
      <c r="AB172" s="260"/>
      <c r="AC172" s="260"/>
      <c r="AD172" s="260"/>
      <c r="AE172" s="260"/>
      <c r="AF172" s="260"/>
      <c r="AG172" s="260"/>
    </row>
    <row r="173" spans="1:33" ht="15.75" customHeight="1" outlineLevel="1">
      <c r="B173" s="127"/>
      <c r="C173" s="127"/>
      <c r="D173" s="785" t="s">
        <v>1597</v>
      </c>
      <c r="E173" s="792" t="s">
        <v>667</v>
      </c>
      <c r="F173" s="793"/>
      <c r="G173" s="793"/>
      <c r="H173" s="793"/>
      <c r="I173" s="789"/>
      <c r="J173" s="789"/>
      <c r="K173" s="788"/>
      <c r="L173" s="788"/>
      <c r="M173" s="789"/>
      <c r="N173" s="788"/>
      <c r="O173" s="789"/>
      <c r="P173" s="790">
        <f>IF(OR(SUM(P175:P181)=0,P174=0),SUM(P174:P181),MIN(SUM(P175:P181),P174))</f>
        <v>0</v>
      </c>
      <c r="Q173" s="40"/>
      <c r="T173" s="323"/>
      <c r="U173" s="49"/>
      <c r="W173" s="260"/>
      <c r="X173" s="260"/>
      <c r="Y173" s="260"/>
    </row>
    <row r="174" spans="1:33" ht="15.75" customHeight="1" outlineLevel="1">
      <c r="B174" s="127"/>
      <c r="C174" s="127"/>
      <c r="D174" s="146" t="s">
        <v>1899</v>
      </c>
      <c r="E174" s="1361" t="s">
        <v>537</v>
      </c>
      <c r="F174" s="1362"/>
      <c r="G174" s="1362"/>
      <c r="H174" s="1363"/>
      <c r="I174" s="104" t="s">
        <v>0</v>
      </c>
      <c r="J174" s="199">
        <f>IF(média_mdo_direta_alojada=0,0,ROUNDUP(((média_mdo_direta_alojada)*SUM(dias_úteis_trabalhados+sábados_trabalhados+domingos_trabalhados))*2*(1-$F$118),0))</f>
        <v>0</v>
      </c>
      <c r="K174" s="308">
        <f t="shared" ref="K174:K181" si="152">meses_obra</f>
        <v>8</v>
      </c>
      <c r="L174" s="309"/>
      <c r="M174" s="310">
        <f t="shared" ref="M174:M181" si="153">IFERROR(IF((L174/K174)=0,100%,L174/K174),100%)</f>
        <v>1</v>
      </c>
      <c r="N174" s="308">
        <f t="shared" ref="N174:N181" si="154">meses_obra</f>
        <v>8</v>
      </c>
      <c r="O174" s="421">
        <f>tarifa_media_vt</f>
        <v>0</v>
      </c>
      <c r="P174" s="312">
        <f t="shared" ref="P174:P181" si="155">J174*M174*N174*O174</f>
        <v>0</v>
      </c>
      <c r="Q174" s="40"/>
      <c r="S174" s="260"/>
      <c r="T174" s="172"/>
      <c r="U174" s="324"/>
      <c r="V174" s="49"/>
      <c r="W174" s="260"/>
      <c r="X174" s="260"/>
      <c r="Y174" s="260"/>
    </row>
    <row r="175" spans="1:33" ht="15.75" customHeight="1" outlineLevel="1">
      <c r="B175" s="127"/>
      <c r="C175" s="127"/>
      <c r="D175" s="146" t="s">
        <v>1900</v>
      </c>
      <c r="E175" s="1308" t="s">
        <v>184</v>
      </c>
      <c r="F175" s="1309"/>
      <c r="G175" s="1309"/>
      <c r="H175" s="1310"/>
      <c r="I175" s="104" t="s">
        <v>125</v>
      </c>
      <c r="J175" s="308">
        <f>IF(média_mdo_direta_alojada=0,0,IF(AND(MOD(média_mdo_direta_alojada,30)&gt;=1,(MOD(média_mdo_direta_alojada,30)&lt;=3)),1,IF(AND(média_mdo_direta_alojada&gt;=1,média_mdo_direta_alojada&lt;=3),1,0)))</f>
        <v>0</v>
      </c>
      <c r="K175" s="308">
        <f t="shared" si="152"/>
        <v>8</v>
      </c>
      <c r="L175" s="309"/>
      <c r="M175" s="310">
        <f t="shared" si="153"/>
        <v>1</v>
      </c>
      <c r="N175" s="308">
        <f t="shared" si="154"/>
        <v>8</v>
      </c>
      <c r="O175" s="421">
        <v>0</v>
      </c>
      <c r="P175" s="312">
        <f t="shared" si="155"/>
        <v>0</v>
      </c>
      <c r="T175" s="49"/>
      <c r="V175" s="49"/>
      <c r="W175" s="49"/>
      <c r="X175" s="260"/>
      <c r="Y175" s="260"/>
      <c r="Z175" s="260"/>
      <c r="AA175" s="260"/>
      <c r="AB175" s="260"/>
      <c r="AC175" s="260"/>
    </row>
    <row r="176" spans="1:33" ht="15.75" customHeight="1" outlineLevel="1">
      <c r="B176" s="127"/>
      <c r="C176" s="127"/>
      <c r="D176" s="146" t="s">
        <v>1901</v>
      </c>
      <c r="E176" s="1364" t="s">
        <v>1426</v>
      </c>
      <c r="F176" s="1365"/>
      <c r="G176" s="1365"/>
      <c r="H176" s="1366"/>
      <c r="I176" s="104" t="s">
        <v>125</v>
      </c>
      <c r="J176" s="308">
        <f>IF(média_mdo_direta_alojada=0,0,IF(AND(MOD(média_mdo_direta_alojada,30)&gt;=4,(MOD(média_mdo_direta_alojada,30)&lt;=8)),1,IF(AND(média_mdo_direta_alojada&gt;=4,média_mdo_direta_alojada&lt;=8),1,0)))</f>
        <v>0</v>
      </c>
      <c r="K176" s="308">
        <f t="shared" si="152"/>
        <v>8</v>
      </c>
      <c r="L176" s="309"/>
      <c r="M176" s="310">
        <f t="shared" si="153"/>
        <v>1</v>
      </c>
      <c r="N176" s="308">
        <f t="shared" si="154"/>
        <v>8</v>
      </c>
      <c r="O176" s="421">
        <v>0</v>
      </c>
      <c r="P176" s="312">
        <f t="shared" si="155"/>
        <v>0</v>
      </c>
      <c r="R176" s="326"/>
      <c r="S176" s="326"/>
      <c r="T176" s="327"/>
      <c r="X176" s="260"/>
      <c r="Y176" s="260"/>
      <c r="Z176" s="260"/>
      <c r="AA176" s="260"/>
      <c r="AB176" s="260"/>
      <c r="AC176" s="260"/>
    </row>
    <row r="177" spans="1:29" ht="15.75" customHeight="1" outlineLevel="1">
      <c r="B177" s="127"/>
      <c r="C177" s="127"/>
      <c r="D177" s="146" t="s">
        <v>1902</v>
      </c>
      <c r="E177" s="1308" t="s">
        <v>1425</v>
      </c>
      <c r="F177" s="1309"/>
      <c r="G177" s="1309"/>
      <c r="H177" s="1310"/>
      <c r="I177" s="104" t="s">
        <v>125</v>
      </c>
      <c r="J177" s="308">
        <f>IF(média_mdo_direta_alojada=0,0,IF(AND(MOD(média_mdo_direta_alojada,30)&gt;=9,(MOD(média_mdo_direta_alojada,30)&lt;=15)),1,IF(AND(média_mdo_direta_alojada&gt;=9,média_mdo_direta_alojada&lt;=15),1,0)))</f>
        <v>0</v>
      </c>
      <c r="K177" s="308">
        <f t="shared" si="152"/>
        <v>8</v>
      </c>
      <c r="L177" s="309"/>
      <c r="M177" s="310">
        <f t="shared" si="153"/>
        <v>1</v>
      </c>
      <c r="N177" s="308">
        <f t="shared" si="154"/>
        <v>8</v>
      </c>
      <c r="O177" s="421">
        <v>6000</v>
      </c>
      <c r="P177" s="312">
        <f>J177*M177*N177*O177</f>
        <v>0</v>
      </c>
      <c r="R177" s="325"/>
      <c r="S177" s="325"/>
      <c r="X177" s="260"/>
      <c r="Y177" s="260"/>
      <c r="Z177" s="260"/>
      <c r="AA177" s="260"/>
      <c r="AB177" s="260"/>
      <c r="AC177" s="260"/>
    </row>
    <row r="178" spans="1:29" ht="15.75" customHeight="1" outlineLevel="1">
      <c r="B178" s="127"/>
      <c r="C178" s="127"/>
      <c r="D178" s="146" t="s">
        <v>1903</v>
      </c>
      <c r="E178" s="1308" t="s">
        <v>514</v>
      </c>
      <c r="F178" s="1309"/>
      <c r="G178" s="1309"/>
      <c r="H178" s="1310"/>
      <c r="I178" s="104" t="s">
        <v>125</v>
      </c>
      <c r="J178" s="308">
        <f>IF(média_mdo_direta_alojada=0,0,IF(AND(MOD(média_mdo_direta_alojada,30)&gt;=16,(MOD(média_mdo_direta_alojada,30)&lt;=30)),1,IF(AND(média_mdo_direta_alojada&gt;=16,média_mdo_direta_alojada&lt;=30),1,0)))</f>
        <v>0</v>
      </c>
      <c r="K178" s="308">
        <f t="shared" si="152"/>
        <v>8</v>
      </c>
      <c r="L178" s="309"/>
      <c r="M178" s="310">
        <f t="shared" si="153"/>
        <v>1</v>
      </c>
      <c r="N178" s="308">
        <f t="shared" si="154"/>
        <v>8</v>
      </c>
      <c r="O178" s="421">
        <v>0</v>
      </c>
      <c r="P178" s="312">
        <f t="shared" si="155"/>
        <v>0</v>
      </c>
      <c r="X178" s="260"/>
      <c r="Y178" s="260"/>
      <c r="Z178" s="260"/>
      <c r="AA178" s="260"/>
      <c r="AB178" s="260"/>
      <c r="AC178" s="260"/>
    </row>
    <row r="179" spans="1:29" ht="15.75" customHeight="1" outlineLevel="1">
      <c r="B179" s="127"/>
      <c r="C179" s="127"/>
      <c r="D179" s="146" t="s">
        <v>1904</v>
      </c>
      <c r="E179" s="1308" t="s">
        <v>186</v>
      </c>
      <c r="F179" s="1309"/>
      <c r="G179" s="1309"/>
      <c r="H179" s="1310"/>
      <c r="I179" s="104" t="s">
        <v>125</v>
      </c>
      <c r="J179" s="308">
        <f>IF(média_mdo_direta_alojada=0,0,ROUNDDOWN(IF(AND(média_mdo_direta_alojada&gt;=31),média_mdo_direta_alojada/30,0),0))</f>
        <v>0</v>
      </c>
      <c r="K179" s="308">
        <f t="shared" si="152"/>
        <v>8</v>
      </c>
      <c r="L179" s="309"/>
      <c r="M179" s="310">
        <f t="shared" si="153"/>
        <v>1</v>
      </c>
      <c r="N179" s="308">
        <f t="shared" si="154"/>
        <v>8</v>
      </c>
      <c r="O179" s="421">
        <v>0</v>
      </c>
      <c r="P179" s="312">
        <f t="shared" si="155"/>
        <v>0</v>
      </c>
      <c r="R179" s="41"/>
      <c r="S179" s="41"/>
      <c r="X179" s="260"/>
      <c r="Y179" s="260"/>
      <c r="Z179" s="260"/>
      <c r="AA179" s="260"/>
      <c r="AB179" s="260"/>
      <c r="AC179" s="260"/>
    </row>
    <row r="180" spans="1:29" ht="15.75" customHeight="1" outlineLevel="1">
      <c r="B180" s="127"/>
      <c r="C180" s="127"/>
      <c r="D180" s="146" t="s">
        <v>1905</v>
      </c>
      <c r="E180" s="1308" t="s">
        <v>185</v>
      </c>
      <c r="F180" s="1309"/>
      <c r="G180" s="1309"/>
      <c r="H180" s="1310"/>
      <c r="I180" s="104" t="s">
        <v>125</v>
      </c>
      <c r="J180" s="308">
        <f>IF(média_mdo_direta_alojada=0,0,IF(média_mdo_direta_alojada&lt;5,1,0))</f>
        <v>0</v>
      </c>
      <c r="K180" s="308">
        <f t="shared" si="152"/>
        <v>8</v>
      </c>
      <c r="L180" s="309"/>
      <c r="M180" s="310">
        <f t="shared" si="153"/>
        <v>1</v>
      </c>
      <c r="N180" s="308">
        <f t="shared" si="154"/>
        <v>8</v>
      </c>
      <c r="O180" s="421">
        <v>0</v>
      </c>
      <c r="P180" s="312">
        <f t="shared" si="155"/>
        <v>0</v>
      </c>
      <c r="R180" s="41"/>
      <c r="S180" s="41"/>
      <c r="U180" s="40"/>
      <c r="X180" s="260"/>
      <c r="Y180" s="260"/>
      <c r="Z180" s="260"/>
      <c r="AA180" s="260"/>
      <c r="AB180" s="260"/>
      <c r="AC180" s="260"/>
    </row>
    <row r="181" spans="1:29" ht="15.75" customHeight="1" outlineLevel="1">
      <c r="B181" s="127"/>
      <c r="C181" s="127"/>
      <c r="D181" s="146" t="s">
        <v>1906</v>
      </c>
      <c r="E181" s="1308" t="s">
        <v>177</v>
      </c>
      <c r="F181" s="1309"/>
      <c r="G181" s="1309"/>
      <c r="H181" s="1310"/>
      <c r="I181" s="104" t="s">
        <v>125</v>
      </c>
      <c r="J181" s="199">
        <v>0</v>
      </c>
      <c r="K181" s="308">
        <f t="shared" si="152"/>
        <v>8</v>
      </c>
      <c r="L181" s="309"/>
      <c r="M181" s="310">
        <f t="shared" si="153"/>
        <v>1</v>
      </c>
      <c r="N181" s="308">
        <f t="shared" si="154"/>
        <v>8</v>
      </c>
      <c r="O181" s="421">
        <v>0</v>
      </c>
      <c r="P181" s="312">
        <f t="shared" si="155"/>
        <v>0</v>
      </c>
      <c r="R181" s="41"/>
      <c r="S181" s="41"/>
      <c r="X181" s="260"/>
      <c r="Y181" s="260"/>
      <c r="Z181" s="260"/>
      <c r="AA181" s="260"/>
      <c r="AB181" s="260"/>
      <c r="AC181" s="260"/>
    </row>
    <row r="182" spans="1:29" ht="15.75" customHeight="1" outlineLevel="1">
      <c r="B182" s="127"/>
      <c r="C182" s="127"/>
      <c r="D182" s="785" t="s">
        <v>1598</v>
      </c>
      <c r="E182" s="786" t="s">
        <v>237</v>
      </c>
      <c r="F182" s="786"/>
      <c r="G182" s="786"/>
      <c r="H182" s="786"/>
      <c r="I182" s="787"/>
      <c r="J182" s="787"/>
      <c r="K182" s="788"/>
      <c r="L182" s="788"/>
      <c r="M182" s="789"/>
      <c r="N182" s="788"/>
      <c r="O182" s="789"/>
      <c r="P182" s="790">
        <f>IF(OR(SUM(P184:P189)=0,P183=0),SUM(P183:P189),MIN(SUM(P184:P189),P183))</f>
        <v>0</v>
      </c>
      <c r="Q182" s="328"/>
      <c r="R182" s="41"/>
      <c r="S182" s="41"/>
      <c r="X182" s="260"/>
      <c r="Y182" s="260"/>
      <c r="Z182" s="260"/>
      <c r="AA182" s="260"/>
      <c r="AB182" s="260"/>
      <c r="AC182" s="260"/>
    </row>
    <row r="183" spans="1:29" ht="15.75" customHeight="1" outlineLevel="1">
      <c r="B183" s="127"/>
      <c r="C183" s="127"/>
      <c r="D183" s="146" t="s">
        <v>1907</v>
      </c>
      <c r="E183" s="1361" t="s">
        <v>537</v>
      </c>
      <c r="F183" s="1362"/>
      <c r="G183" s="1362"/>
      <c r="H183" s="1363"/>
      <c r="I183" s="104" t="s">
        <v>0</v>
      </c>
      <c r="J183" s="199">
        <f>IF(média_mdo_supervisão_alojada=0,0,ROUNDUP(((média_mdo_supervisão_alojada)*SUM(dias_úteis_trabalhados+sábados_trabalhados+domingos_trabalhados))*2,0))</f>
        <v>0</v>
      </c>
      <c r="K183" s="308">
        <f t="shared" ref="K183:K189" si="156">meses_obra</f>
        <v>8</v>
      </c>
      <c r="L183" s="309"/>
      <c r="M183" s="310">
        <f t="shared" ref="M183:M189" si="157">IFERROR(IF((L183/K183)=0,100%,L183/K183),100%)</f>
        <v>1</v>
      </c>
      <c r="N183" s="308">
        <f t="shared" ref="N183:N189" si="158">meses_obra</f>
        <v>8</v>
      </c>
      <c r="O183" s="421"/>
      <c r="P183" s="312">
        <f t="shared" ref="P183:P189" si="159">J183*M183*N183*O183</f>
        <v>0</v>
      </c>
      <c r="X183" s="49"/>
      <c r="Y183" s="49"/>
      <c r="Z183" s="260"/>
      <c r="AA183" s="260"/>
      <c r="AB183" s="260"/>
      <c r="AC183" s="260"/>
    </row>
    <row r="184" spans="1:29" ht="15.75" customHeight="1" outlineLevel="1">
      <c r="B184" s="127"/>
      <c r="C184" s="127"/>
      <c r="D184" s="146" t="s">
        <v>1908</v>
      </c>
      <c r="E184" s="1308" t="s">
        <v>1444</v>
      </c>
      <c r="F184" s="1309"/>
      <c r="G184" s="1309"/>
      <c r="H184" s="1310"/>
      <c r="I184" s="104" t="s">
        <v>125</v>
      </c>
      <c r="J184" s="308">
        <f>IF(média_mdo_supervisão_alojada=0,0,IF(AND(MOD(média_mdo_supervisão_alojada,30)&gt;=1,(MOD(média_mdo_supervisão_alojada,30)&lt;=3)),1,IF(AND(média_mdo_supervisão_alojada&gt;=1,média_mdo_supervisão_alojada&lt;=3),1,0)))</f>
        <v>0</v>
      </c>
      <c r="K184" s="308">
        <f t="shared" si="156"/>
        <v>8</v>
      </c>
      <c r="L184" s="309"/>
      <c r="M184" s="310">
        <f t="shared" si="157"/>
        <v>1</v>
      </c>
      <c r="N184" s="308">
        <f t="shared" si="158"/>
        <v>8</v>
      </c>
      <c r="O184" s="421">
        <v>2533.5593460833302</v>
      </c>
      <c r="P184" s="312">
        <f>J184*M184*N184*O184</f>
        <v>0</v>
      </c>
      <c r="Q184" s="260"/>
      <c r="Z184" s="260"/>
      <c r="AA184" s="260"/>
      <c r="AB184" s="260"/>
      <c r="AC184" s="260"/>
    </row>
    <row r="185" spans="1:29" s="49" customFormat="1" ht="15.75" customHeight="1" outlineLevel="1">
      <c r="A185" s="322"/>
      <c r="B185" s="127"/>
      <c r="C185" s="127"/>
      <c r="D185" s="146" t="s">
        <v>1909</v>
      </c>
      <c r="E185" s="1364" t="s">
        <v>1426</v>
      </c>
      <c r="F185" s="1365"/>
      <c r="G185" s="1365"/>
      <c r="H185" s="1366"/>
      <c r="I185" s="104" t="s">
        <v>125</v>
      </c>
      <c r="J185" s="308">
        <f>IF(média_mdo_supervisão_alojada=0,0,IF(AND(MOD(média_mdo_supervisão_alojada,30)&gt;=9,(MOD(média_mdo_supervisão_alojada,30)&lt;=15)),1,IF(AND(média_mdo_supervisão_alojada&gt;=9,média_mdo_supervisão_alojada&lt;=15),1,0)))</f>
        <v>0</v>
      </c>
      <c r="K185" s="308">
        <f t="shared" si="156"/>
        <v>8</v>
      </c>
      <c r="L185" s="309"/>
      <c r="M185" s="310">
        <f t="shared" si="157"/>
        <v>1</v>
      </c>
      <c r="N185" s="308">
        <f t="shared" si="158"/>
        <v>8</v>
      </c>
      <c r="O185" s="421">
        <v>2533.5593460833302</v>
      </c>
      <c r="P185" s="312">
        <f t="shared" si="159"/>
        <v>0</v>
      </c>
      <c r="Q185" s="48"/>
      <c r="R185" s="172"/>
      <c r="S185" s="172"/>
      <c r="U185" s="36"/>
      <c r="V185" s="36"/>
      <c r="W185" s="36"/>
      <c r="X185" s="36"/>
      <c r="Y185" s="36"/>
    </row>
    <row r="186" spans="1:29" s="49" customFormat="1" ht="15.75" customHeight="1" outlineLevel="1">
      <c r="A186" s="322"/>
      <c r="B186" s="127"/>
      <c r="C186" s="127"/>
      <c r="D186" s="146" t="s">
        <v>1910</v>
      </c>
      <c r="E186" s="1308" t="s">
        <v>1425</v>
      </c>
      <c r="F186" s="1309"/>
      <c r="G186" s="1309"/>
      <c r="H186" s="1310"/>
      <c r="I186" s="104" t="s">
        <v>125</v>
      </c>
      <c r="J186" s="308">
        <f>IF(média_mdo_supervisão_alojada=0,0,IF(AND(MOD(média_mdo_supervisão_alojada,30)&gt;=9,(MOD(média_mdo_supervisão_alojada,30)&lt;=15)),1,IF(AND(média_mdo_supervisão_alojada&gt;=9,média_mdo_supervisão_alojada&lt;=15),1,0)))</f>
        <v>0</v>
      </c>
      <c r="K186" s="308">
        <f t="shared" si="156"/>
        <v>8</v>
      </c>
      <c r="L186" s="309"/>
      <c r="M186" s="310">
        <f t="shared" si="157"/>
        <v>1</v>
      </c>
      <c r="N186" s="308">
        <f t="shared" si="158"/>
        <v>8</v>
      </c>
      <c r="O186" s="421">
        <v>4000</v>
      </c>
      <c r="P186" s="312">
        <f t="shared" si="159"/>
        <v>0</v>
      </c>
      <c r="Q186" s="48"/>
      <c r="T186" s="36"/>
      <c r="U186" s="36"/>
      <c r="V186" s="36"/>
      <c r="W186" s="36"/>
      <c r="X186" s="36"/>
      <c r="Y186" s="36"/>
      <c r="Z186" s="36"/>
      <c r="AA186" s="36"/>
    </row>
    <row r="187" spans="1:29" s="49" customFormat="1" ht="15.75" customHeight="1" outlineLevel="1">
      <c r="A187" s="322"/>
      <c r="B187" s="127"/>
      <c r="C187" s="127"/>
      <c r="D187" s="146" t="s">
        <v>1911</v>
      </c>
      <c r="E187" s="1308" t="s">
        <v>514</v>
      </c>
      <c r="F187" s="1309"/>
      <c r="G187" s="1309"/>
      <c r="H187" s="1310"/>
      <c r="I187" s="104" t="s">
        <v>125</v>
      </c>
      <c r="J187" s="308">
        <f>IF(média_mdo_supervisão_alojada=0,0,IF(AND(MOD(média_mdo_supervisão_alojada,30)&gt;=16,(MOD(média_mdo_supervisão_alojada,30)&lt;=30)),1,IF(AND(média_mdo_supervisão_alojada&gt;=16,média_mdo_supervisão_alojada&lt;=30),1,0)))</f>
        <v>0</v>
      </c>
      <c r="K187" s="308">
        <f t="shared" si="156"/>
        <v>8</v>
      </c>
      <c r="L187" s="309"/>
      <c r="M187" s="310">
        <f t="shared" si="157"/>
        <v>1</v>
      </c>
      <c r="N187" s="308">
        <f t="shared" si="158"/>
        <v>8</v>
      </c>
      <c r="O187" s="421">
        <v>6000</v>
      </c>
      <c r="P187" s="312">
        <f t="shared" si="159"/>
        <v>0</v>
      </c>
      <c r="Q187" s="48"/>
      <c r="T187" s="36"/>
      <c r="U187" s="36"/>
      <c r="V187" s="36"/>
      <c r="W187" s="36"/>
      <c r="X187" s="36"/>
      <c r="Y187" s="36"/>
      <c r="Z187" s="36"/>
      <c r="AA187" s="36"/>
    </row>
    <row r="188" spans="1:29" ht="15.75" customHeight="1" outlineLevel="1">
      <c r="B188" s="127"/>
      <c r="C188" s="127"/>
      <c r="D188" s="146" t="s">
        <v>1912</v>
      </c>
      <c r="E188" s="1308" t="s">
        <v>186</v>
      </c>
      <c r="F188" s="1309"/>
      <c r="G188" s="1309"/>
      <c r="H188" s="1310"/>
      <c r="I188" s="104" t="s">
        <v>125</v>
      </c>
      <c r="J188" s="308">
        <f>IF(média_mdo_supervisão_alojada=0,0,ROUNDDOWN(IF(AND(média_mdo_supervisão_alojada&gt;=31),média_mdo_supervisão_alojada/30,0),0))</f>
        <v>0</v>
      </c>
      <c r="K188" s="308">
        <f t="shared" si="156"/>
        <v>8</v>
      </c>
      <c r="L188" s="309"/>
      <c r="M188" s="310">
        <f t="shared" si="157"/>
        <v>1</v>
      </c>
      <c r="N188" s="308">
        <f t="shared" si="158"/>
        <v>8</v>
      </c>
      <c r="O188" s="421">
        <v>6000</v>
      </c>
      <c r="P188" s="312">
        <f t="shared" si="159"/>
        <v>0</v>
      </c>
      <c r="Q188" s="40"/>
      <c r="R188" s="329"/>
      <c r="S188" s="329"/>
    </row>
    <row r="189" spans="1:29" ht="15.75" customHeight="1" outlineLevel="1">
      <c r="B189" s="127"/>
      <c r="C189" s="127"/>
      <c r="D189" s="146" t="s">
        <v>1913</v>
      </c>
      <c r="E189" s="1308" t="s">
        <v>177</v>
      </c>
      <c r="F189" s="1309"/>
      <c r="G189" s="1309"/>
      <c r="H189" s="1310"/>
      <c r="I189" s="104" t="s">
        <v>125</v>
      </c>
      <c r="J189" s="199">
        <v>0</v>
      </c>
      <c r="K189" s="308">
        <f t="shared" si="156"/>
        <v>8</v>
      </c>
      <c r="L189" s="309"/>
      <c r="M189" s="310">
        <f t="shared" si="157"/>
        <v>1</v>
      </c>
      <c r="N189" s="308">
        <f t="shared" si="158"/>
        <v>8</v>
      </c>
      <c r="O189" s="421">
        <v>0</v>
      </c>
      <c r="P189" s="312">
        <f t="shared" si="159"/>
        <v>0</v>
      </c>
      <c r="Q189" s="40"/>
    </row>
    <row r="190" spans="1:29" ht="15.75" customHeight="1" outlineLevel="1">
      <c r="B190" s="127"/>
      <c r="C190" s="127"/>
      <c r="D190" s="785" t="s">
        <v>1599</v>
      </c>
      <c r="E190" s="791" t="s">
        <v>238</v>
      </c>
      <c r="F190" s="791"/>
      <c r="G190" s="791"/>
      <c r="H190" s="791"/>
      <c r="I190" s="787"/>
      <c r="J190" s="787"/>
      <c r="K190" s="788"/>
      <c r="L190" s="788"/>
      <c r="M190" s="789"/>
      <c r="N190" s="788"/>
      <c r="O190" s="789"/>
      <c r="P190" s="790">
        <f>IF(OR(SUM(P192:P198)=0,P191=0),SUM(P191:P198),MIN(SUM(P192:P198),P191))</f>
        <v>0</v>
      </c>
      <c r="Q190" s="40"/>
      <c r="U190" s="40"/>
    </row>
    <row r="191" spans="1:29" ht="15.75" customHeight="1" outlineLevel="1">
      <c r="B191" s="127"/>
      <c r="C191" s="127"/>
      <c r="D191" s="146" t="s">
        <v>1914</v>
      </c>
      <c r="E191" s="1361" t="s">
        <v>537</v>
      </c>
      <c r="F191" s="1362"/>
      <c r="G191" s="1362"/>
      <c r="H191" s="1363"/>
      <c r="I191" s="104" t="s">
        <v>0</v>
      </c>
      <c r="J191" s="199">
        <f>IF(média_coordenação_alojada=0,0,ROUNDUP(((média_coordenação_alojada)*SUM(dias_úteis_trabalhados+sábados_trabalhados+domingos_trabalhados))*2,0))</f>
        <v>0</v>
      </c>
      <c r="K191" s="308">
        <f t="shared" ref="K191:K198" si="160">meses_obra</f>
        <v>8</v>
      </c>
      <c r="L191" s="309"/>
      <c r="M191" s="310">
        <f t="shared" ref="M191:M198" si="161">IFERROR(IF((L191/K191)=0,100%,L191/K191),100%)</f>
        <v>1</v>
      </c>
      <c r="N191" s="308">
        <f t="shared" ref="N191:N198" si="162">meses_obra</f>
        <v>8</v>
      </c>
      <c r="O191" s="421">
        <f>tarifa_media_vt</f>
        <v>0</v>
      </c>
      <c r="P191" s="312">
        <f t="shared" ref="P191:P198" si="163">J191*M191*N191*O191</f>
        <v>0</v>
      </c>
      <c r="Q191" s="40"/>
    </row>
    <row r="192" spans="1:29" ht="15.75" customHeight="1" outlineLevel="1">
      <c r="B192" s="127"/>
      <c r="C192" s="127"/>
      <c r="D192" s="146" t="s">
        <v>1915</v>
      </c>
      <c r="E192" s="1308" t="s">
        <v>184</v>
      </c>
      <c r="F192" s="1309"/>
      <c r="G192" s="1309"/>
      <c r="H192" s="1310"/>
      <c r="I192" s="104" t="s">
        <v>125</v>
      </c>
      <c r="J192" s="308">
        <f>IF(média_coordenação_alojada=0,0,IF(AND(MOD(média_coordenação_alojada,30)&gt;=1,(MOD(média_coordenação_alojada,30)&lt;=3)),1,IF(AND(média_coordenação_alojada&gt;=1,média_coordenação_alojada&lt;=3),1,0)))</f>
        <v>0</v>
      </c>
      <c r="K192" s="308">
        <f t="shared" si="160"/>
        <v>8</v>
      </c>
      <c r="L192" s="309"/>
      <c r="M192" s="310">
        <f t="shared" si="161"/>
        <v>1</v>
      </c>
      <c r="N192" s="308">
        <f t="shared" si="162"/>
        <v>8</v>
      </c>
      <c r="O192" s="421">
        <v>2533.5593460833302</v>
      </c>
      <c r="P192" s="312">
        <f t="shared" si="163"/>
        <v>0</v>
      </c>
    </row>
    <row r="193" spans="1:27" ht="15.75" customHeight="1" outlineLevel="1">
      <c r="B193" s="127"/>
      <c r="C193" s="127"/>
      <c r="D193" s="146" t="s">
        <v>1916</v>
      </c>
      <c r="E193" s="1364" t="s">
        <v>1426</v>
      </c>
      <c r="F193" s="1365"/>
      <c r="G193" s="1365"/>
      <c r="H193" s="1366"/>
      <c r="I193" s="104" t="s">
        <v>125</v>
      </c>
      <c r="J193" s="308">
        <f>IF(média_coordenação_alojada=0,0,IF(AND(MOD(média_coordenação_alojada,30)&gt;=4,(MOD(média_coordenação_alojada,30)&lt;=8)),1,IF(AND(média_coordenação_alojada&gt;=4,média_coordenação_alojada&lt;=8),1,0)))</f>
        <v>0</v>
      </c>
      <c r="K193" s="308">
        <f t="shared" si="160"/>
        <v>8</v>
      </c>
      <c r="L193" s="309"/>
      <c r="M193" s="310">
        <f t="shared" si="161"/>
        <v>1</v>
      </c>
      <c r="N193" s="308">
        <f t="shared" si="162"/>
        <v>8</v>
      </c>
      <c r="O193" s="421">
        <v>2533.5593460833329</v>
      </c>
      <c r="P193" s="312">
        <f t="shared" si="163"/>
        <v>0</v>
      </c>
      <c r="Q193" s="40"/>
    </row>
    <row r="194" spans="1:27" ht="15.75" customHeight="1" outlineLevel="1">
      <c r="B194" s="127"/>
      <c r="C194" s="127"/>
      <c r="D194" s="146" t="s">
        <v>1917</v>
      </c>
      <c r="E194" s="1308" t="s">
        <v>1425</v>
      </c>
      <c r="F194" s="1309"/>
      <c r="G194" s="1309"/>
      <c r="H194" s="1310"/>
      <c r="I194" s="104" t="s">
        <v>125</v>
      </c>
      <c r="J194" s="308">
        <f>IF(média_coordenação_alojada=0,0,IF(AND(MOD(média_coordenação_alojada,30)&gt;=9,(MOD(média_coordenação_alojada,30)&lt;=15)),1,IF(AND(média_coordenação_alojada&gt;=9,média_coordenação_alojada&lt;=15),1,0)))</f>
        <v>0</v>
      </c>
      <c r="K194" s="308">
        <f t="shared" si="160"/>
        <v>8</v>
      </c>
      <c r="L194" s="309"/>
      <c r="M194" s="310">
        <f t="shared" si="161"/>
        <v>1</v>
      </c>
      <c r="N194" s="308">
        <f t="shared" si="162"/>
        <v>8</v>
      </c>
      <c r="O194" s="421">
        <v>4000</v>
      </c>
      <c r="P194" s="312">
        <f t="shared" si="163"/>
        <v>0</v>
      </c>
      <c r="Q194" s="40"/>
    </row>
    <row r="195" spans="1:27" ht="15.75" customHeight="1" outlineLevel="1">
      <c r="B195" s="127"/>
      <c r="C195" s="127"/>
      <c r="D195" s="146" t="s">
        <v>1918</v>
      </c>
      <c r="E195" s="1308" t="s">
        <v>514</v>
      </c>
      <c r="F195" s="1309"/>
      <c r="G195" s="1309"/>
      <c r="H195" s="1310"/>
      <c r="I195" s="104" t="s">
        <v>125</v>
      </c>
      <c r="J195" s="308">
        <f>IF(média_coordenação_alojada=0,0,IF(AND(MOD(média_coordenação_alojada,30)&gt;=16,(MOD(média_coordenação_alojada,30)&lt;=30)),1,IF(AND(média_coordenação_alojada&gt;=16,média_coordenação_alojada&lt;=30),1,0)))</f>
        <v>0</v>
      </c>
      <c r="K195" s="308">
        <f t="shared" si="160"/>
        <v>8</v>
      </c>
      <c r="L195" s="309"/>
      <c r="M195" s="310">
        <f t="shared" si="161"/>
        <v>1</v>
      </c>
      <c r="N195" s="308">
        <f t="shared" si="162"/>
        <v>8</v>
      </c>
      <c r="O195" s="421">
        <v>6000</v>
      </c>
      <c r="P195" s="312">
        <f t="shared" si="163"/>
        <v>0</v>
      </c>
      <c r="Q195" s="40"/>
      <c r="T195" s="49"/>
    </row>
    <row r="196" spans="1:27" ht="15.75" customHeight="1" outlineLevel="1">
      <c r="B196" s="127"/>
      <c r="C196" s="127"/>
      <c r="D196" s="146" t="s">
        <v>1919</v>
      </c>
      <c r="E196" s="1308" t="s">
        <v>186</v>
      </c>
      <c r="F196" s="1309"/>
      <c r="G196" s="1309"/>
      <c r="H196" s="1310"/>
      <c r="I196" s="104" t="s">
        <v>125</v>
      </c>
      <c r="J196" s="308">
        <f>IF(média_coordenação_alojada=0,0,ROUNDDOWN(IF(AND(média_coordenação_alojada&gt;=31),média_coordenação_alojada/30,0),0))</f>
        <v>0</v>
      </c>
      <c r="K196" s="308">
        <f t="shared" si="160"/>
        <v>8</v>
      </c>
      <c r="L196" s="309"/>
      <c r="M196" s="310">
        <f t="shared" si="161"/>
        <v>1</v>
      </c>
      <c r="N196" s="308">
        <f t="shared" si="162"/>
        <v>8</v>
      </c>
      <c r="O196" s="421">
        <v>6000</v>
      </c>
      <c r="P196" s="312">
        <f t="shared" si="163"/>
        <v>0</v>
      </c>
      <c r="Q196" s="40"/>
      <c r="T196" s="330"/>
    </row>
    <row r="197" spans="1:27" s="49" customFormat="1" ht="15.75" customHeight="1" outlineLevel="1">
      <c r="A197" s="322"/>
      <c r="B197" s="127"/>
      <c r="C197" s="127"/>
      <c r="D197" s="146" t="s">
        <v>1920</v>
      </c>
      <c r="E197" s="1308" t="s">
        <v>185</v>
      </c>
      <c r="F197" s="1309"/>
      <c r="G197" s="1309"/>
      <c r="H197" s="1310"/>
      <c r="I197" s="104" t="s">
        <v>125</v>
      </c>
      <c r="J197" s="308">
        <v>0</v>
      </c>
      <c r="K197" s="308">
        <f t="shared" si="160"/>
        <v>8</v>
      </c>
      <c r="L197" s="309"/>
      <c r="M197" s="310">
        <f t="shared" si="161"/>
        <v>1</v>
      </c>
      <c r="N197" s="308">
        <f t="shared" si="162"/>
        <v>8</v>
      </c>
      <c r="O197" s="421">
        <v>2169.4228800000001</v>
      </c>
      <c r="P197" s="312">
        <f t="shared" si="163"/>
        <v>0</v>
      </c>
      <c r="Q197" s="48"/>
      <c r="T197" s="331"/>
      <c r="U197" s="36"/>
      <c r="V197" s="36"/>
      <c r="W197" s="36"/>
      <c r="X197" s="36"/>
      <c r="Y197" s="36"/>
      <c r="Z197" s="36"/>
      <c r="AA197" s="36"/>
    </row>
    <row r="198" spans="1:27" ht="15.75" customHeight="1" outlineLevel="1">
      <c r="B198" s="127"/>
      <c r="C198" s="127"/>
      <c r="D198" s="146" t="s">
        <v>1921</v>
      </c>
      <c r="E198" s="1308" t="s">
        <v>177</v>
      </c>
      <c r="F198" s="1309"/>
      <c r="G198" s="1309"/>
      <c r="H198" s="1310"/>
      <c r="I198" s="104" t="s">
        <v>125</v>
      </c>
      <c r="J198" s="199">
        <v>0</v>
      </c>
      <c r="K198" s="308">
        <f t="shared" si="160"/>
        <v>8</v>
      </c>
      <c r="L198" s="309"/>
      <c r="M198" s="310">
        <f t="shared" si="161"/>
        <v>1</v>
      </c>
      <c r="N198" s="308">
        <f t="shared" si="162"/>
        <v>8</v>
      </c>
      <c r="O198" s="421">
        <v>0</v>
      </c>
      <c r="P198" s="312">
        <f t="shared" si="163"/>
        <v>0</v>
      </c>
      <c r="Q198" s="40"/>
    </row>
    <row r="199" spans="1:27" ht="15.75" customHeight="1" outlineLevel="1">
      <c r="B199" s="127"/>
      <c r="C199" s="127"/>
      <c r="D199" s="332"/>
      <c r="E199" s="116"/>
      <c r="F199" s="116"/>
      <c r="G199" s="116"/>
      <c r="H199" s="116"/>
      <c r="I199" s="116"/>
      <c r="J199" s="116"/>
      <c r="K199" s="116"/>
      <c r="L199" s="116"/>
      <c r="M199" s="116"/>
      <c r="N199" s="116"/>
      <c r="O199" s="116"/>
      <c r="P199" s="333"/>
      <c r="Q199" s="40"/>
    </row>
    <row r="200" spans="1:27" ht="15.75" customHeight="1">
      <c r="B200" s="127" t="s">
        <v>189</v>
      </c>
      <c r="C200" s="127"/>
      <c r="D200" s="303" t="s">
        <v>528</v>
      </c>
      <c r="E200" s="304" t="s">
        <v>536</v>
      </c>
      <c r="F200" s="304"/>
      <c r="G200" s="304"/>
      <c r="H200" s="304"/>
      <c r="I200" s="305"/>
      <c r="J200" s="305"/>
      <c r="K200" s="305"/>
      <c r="L200" s="305"/>
      <c r="M200" s="305"/>
      <c r="N200" s="305"/>
      <c r="O200" s="257"/>
      <c r="P200" s="314">
        <f>$P$201+$P$211+$P$221</f>
        <v>1.08E-7</v>
      </c>
      <c r="Q200" s="81">
        <f ca="1">(alojamentos_valor)/custo_direto</f>
        <v>1.8950868500331996E-14</v>
      </c>
      <c r="S200" s="260"/>
      <c r="T200" s="260"/>
      <c r="U200" s="260"/>
      <c r="V200" s="260"/>
      <c r="W200" s="260"/>
    </row>
    <row r="201" spans="1:27" ht="15.75" customHeight="1" outlineLevel="1">
      <c r="B201" s="127"/>
      <c r="C201" s="127"/>
      <c r="D201" s="795" t="s">
        <v>703</v>
      </c>
      <c r="E201" s="796" t="s">
        <v>671</v>
      </c>
      <c r="F201" s="797"/>
      <c r="G201" s="797"/>
      <c r="H201" s="797"/>
      <c r="I201" s="798"/>
      <c r="J201" s="798"/>
      <c r="K201" s="788" t="s">
        <v>155</v>
      </c>
      <c r="L201" s="771" t="s">
        <v>795</v>
      </c>
      <c r="M201" s="789" t="s">
        <v>15</v>
      </c>
      <c r="N201" s="788" t="s">
        <v>123</v>
      </c>
      <c r="O201" s="789" t="s">
        <v>188</v>
      </c>
      <c r="P201" s="799">
        <f>IF(OR(SUM(P203:P210)=0,P202=0),SUM(P202:P210),MIN(SUM(P203:P210),P202))</f>
        <v>0</v>
      </c>
      <c r="Q201" s="383"/>
      <c r="T201" s="260"/>
      <c r="U201" s="260"/>
      <c r="V201" s="260"/>
      <c r="W201" s="260"/>
      <c r="X201" s="260"/>
    </row>
    <row r="202" spans="1:27" ht="15.75" customHeight="1" outlineLevel="1">
      <c r="B202" s="127"/>
      <c r="C202" s="127"/>
      <c r="D202" s="145" t="s">
        <v>1600</v>
      </c>
      <c r="E202" s="1304" t="s">
        <v>482</v>
      </c>
      <c r="F202" s="1305"/>
      <c r="G202" s="1305"/>
      <c r="H202" s="1306"/>
      <c r="I202" s="104" t="s">
        <v>11</v>
      </c>
      <c r="J202" s="199">
        <f>ROUNDUP(((média_mdo_direta_alojada*1)*30*(1-$F$118)),0)*1</f>
        <v>0</v>
      </c>
      <c r="K202" s="308">
        <f t="shared" ref="K202:K210" si="164">meses_obra</f>
        <v>8</v>
      </c>
      <c r="L202" s="420"/>
      <c r="M202" s="310">
        <f t="shared" ref="M202:M210" si="165">IFERROR(IF((L202/K202)=0,100%,L202/K202),100%)</f>
        <v>1</v>
      </c>
      <c r="N202" s="308">
        <f>meses_obra</f>
        <v>8</v>
      </c>
      <c r="O202" s="315">
        <f>valor_diária_pensão</f>
        <v>35</v>
      </c>
      <c r="P202" s="312">
        <f t="shared" ref="P202:P210" si="166">J202*M202*N202*O202</f>
        <v>0</v>
      </c>
      <c r="T202" s="260"/>
      <c r="U202" s="260"/>
      <c r="V202" s="260"/>
      <c r="W202" s="260"/>
      <c r="X202" s="260"/>
      <c r="Y202" s="49"/>
      <c r="Z202" s="49"/>
      <c r="AA202" s="49"/>
    </row>
    <row r="203" spans="1:27" s="49" customFormat="1" ht="15.75" customHeight="1" outlineLevel="1">
      <c r="A203" s="322"/>
      <c r="B203" s="127"/>
      <c r="C203" s="127"/>
      <c r="D203" s="145" t="s">
        <v>1601</v>
      </c>
      <c r="E203" s="1308" t="s">
        <v>124</v>
      </c>
      <c r="F203" s="1309"/>
      <c r="G203" s="1309"/>
      <c r="H203" s="1310"/>
      <c r="I203" s="104" t="s">
        <v>125</v>
      </c>
      <c r="J203" s="199">
        <v>4</v>
      </c>
      <c r="K203" s="308">
        <f t="shared" si="164"/>
        <v>8</v>
      </c>
      <c r="L203" s="309"/>
      <c r="M203" s="310">
        <f t="shared" si="165"/>
        <v>1</v>
      </c>
      <c r="N203" s="308">
        <f>meses_obra</f>
        <v>8</v>
      </c>
      <c r="O203" s="421">
        <v>0</v>
      </c>
      <c r="P203" s="312">
        <f t="shared" si="166"/>
        <v>0</v>
      </c>
      <c r="Q203" s="36"/>
      <c r="R203" s="36"/>
      <c r="S203" s="36"/>
      <c r="T203" s="260"/>
      <c r="U203" s="260"/>
      <c r="V203" s="260"/>
      <c r="W203" s="260"/>
      <c r="X203" s="260"/>
      <c r="Y203" s="36"/>
      <c r="Z203" s="36"/>
      <c r="AA203" s="36"/>
    </row>
    <row r="204" spans="1:27" ht="15.75" customHeight="1" outlineLevel="1">
      <c r="B204" s="127"/>
      <c r="C204" s="127"/>
      <c r="D204" s="145" t="s">
        <v>1602</v>
      </c>
      <c r="E204" s="1308" t="s">
        <v>126</v>
      </c>
      <c r="F204" s="1309"/>
      <c r="G204" s="1309"/>
      <c r="H204" s="1310"/>
      <c r="I204" s="104" t="s">
        <v>125</v>
      </c>
      <c r="J204" s="199">
        <v>4</v>
      </c>
      <c r="K204" s="308">
        <f t="shared" si="164"/>
        <v>8</v>
      </c>
      <c r="L204" s="309"/>
      <c r="M204" s="310">
        <f t="shared" si="165"/>
        <v>1</v>
      </c>
      <c r="N204" s="308">
        <f>meses_obra</f>
        <v>8</v>
      </c>
      <c r="O204" s="421">
        <v>0</v>
      </c>
      <c r="P204" s="312">
        <f t="shared" si="166"/>
        <v>0</v>
      </c>
      <c r="T204" s="260"/>
      <c r="U204" s="260"/>
      <c r="V204" s="260"/>
      <c r="W204" s="260"/>
      <c r="X204" s="260"/>
    </row>
    <row r="205" spans="1:27" ht="15.75" customHeight="1" outlineLevel="1">
      <c r="B205" s="127"/>
      <c r="C205" s="127"/>
      <c r="D205" s="145" t="s">
        <v>1856</v>
      </c>
      <c r="E205" s="1308" t="s">
        <v>127</v>
      </c>
      <c r="F205" s="1309"/>
      <c r="G205" s="1309"/>
      <c r="H205" s="1310"/>
      <c r="I205" s="104" t="s">
        <v>125</v>
      </c>
      <c r="J205" s="199">
        <v>4</v>
      </c>
      <c r="K205" s="308">
        <f t="shared" si="164"/>
        <v>8</v>
      </c>
      <c r="L205" s="309"/>
      <c r="M205" s="310">
        <f t="shared" si="165"/>
        <v>1</v>
      </c>
      <c r="N205" s="308">
        <f>meses_obra</f>
        <v>8</v>
      </c>
      <c r="O205" s="421">
        <v>0</v>
      </c>
      <c r="P205" s="312">
        <f t="shared" si="166"/>
        <v>0</v>
      </c>
      <c r="X205" s="260"/>
    </row>
    <row r="206" spans="1:27" ht="15.75" customHeight="1" outlineLevel="1">
      <c r="B206" s="127"/>
      <c r="C206" s="127"/>
      <c r="D206" s="145" t="s">
        <v>1857</v>
      </c>
      <c r="E206" s="1308" t="s">
        <v>548</v>
      </c>
      <c r="F206" s="1309"/>
      <c r="G206" s="1309"/>
      <c r="H206" s="1310"/>
      <c r="I206" s="104" t="s">
        <v>11</v>
      </c>
      <c r="J206" s="264">
        <v>4</v>
      </c>
      <c r="K206" s="308">
        <f t="shared" si="164"/>
        <v>8</v>
      </c>
      <c r="L206" s="309"/>
      <c r="M206" s="310">
        <f t="shared" si="165"/>
        <v>1</v>
      </c>
      <c r="N206" s="308">
        <v>1</v>
      </c>
      <c r="O206" s="421">
        <v>0</v>
      </c>
      <c r="P206" s="312">
        <f t="shared" si="166"/>
        <v>0</v>
      </c>
      <c r="V206" s="49"/>
      <c r="W206" s="49"/>
      <c r="X206" s="260"/>
    </row>
    <row r="207" spans="1:27" ht="15.75" customHeight="1" outlineLevel="1">
      <c r="B207" s="127"/>
      <c r="C207" s="127"/>
      <c r="D207" s="145" t="s">
        <v>1858</v>
      </c>
      <c r="E207" s="1308" t="s">
        <v>131</v>
      </c>
      <c r="F207" s="1309"/>
      <c r="G207" s="1309"/>
      <c r="H207" s="1310"/>
      <c r="I207" s="104" t="s">
        <v>11</v>
      </c>
      <c r="J207" s="264">
        <v>70</v>
      </c>
      <c r="K207" s="308">
        <f t="shared" si="164"/>
        <v>8</v>
      </c>
      <c r="L207" s="309"/>
      <c r="M207" s="310">
        <f t="shared" si="165"/>
        <v>1</v>
      </c>
      <c r="N207" s="308">
        <v>1</v>
      </c>
      <c r="O207" s="421">
        <v>0</v>
      </c>
      <c r="P207" s="312">
        <f t="shared" si="166"/>
        <v>0</v>
      </c>
      <c r="Q207" s="40"/>
      <c r="U207" s="49"/>
      <c r="V207" s="49"/>
      <c r="W207" s="49"/>
      <c r="X207" s="260"/>
    </row>
    <row r="208" spans="1:27" ht="15.75" customHeight="1" outlineLevel="1">
      <c r="B208" s="127"/>
      <c r="C208" s="127"/>
      <c r="D208" s="145" t="s">
        <v>1859</v>
      </c>
      <c r="E208" s="1308" t="s">
        <v>549</v>
      </c>
      <c r="F208" s="1309"/>
      <c r="G208" s="1309"/>
      <c r="H208" s="1310"/>
      <c r="I208" s="104" t="s">
        <v>0</v>
      </c>
      <c r="J208" s="199">
        <v>1</v>
      </c>
      <c r="K208" s="308">
        <f t="shared" si="164"/>
        <v>8</v>
      </c>
      <c r="L208" s="309"/>
      <c r="M208" s="310">
        <f t="shared" si="165"/>
        <v>1</v>
      </c>
      <c r="N208" s="308">
        <v>1</v>
      </c>
      <c r="O208" s="421">
        <v>0</v>
      </c>
      <c r="P208" s="312">
        <f t="shared" si="166"/>
        <v>0</v>
      </c>
      <c r="Q208" s="40"/>
      <c r="V208" s="49"/>
      <c r="W208" s="49"/>
      <c r="X208" s="260"/>
    </row>
    <row r="209" spans="1:27" ht="15.75" customHeight="1" outlineLevel="1">
      <c r="B209" s="127"/>
      <c r="C209" s="127"/>
      <c r="D209" s="145" t="s">
        <v>1860</v>
      </c>
      <c r="E209" s="1308" t="s">
        <v>550</v>
      </c>
      <c r="F209" s="1309"/>
      <c r="G209" s="1309"/>
      <c r="H209" s="1310"/>
      <c r="I209" s="104" t="s">
        <v>125</v>
      </c>
      <c r="J209" s="199">
        <f>$J$203</f>
        <v>4</v>
      </c>
      <c r="K209" s="308">
        <f t="shared" si="164"/>
        <v>8</v>
      </c>
      <c r="L209" s="309"/>
      <c r="M209" s="310">
        <f t="shared" si="165"/>
        <v>1</v>
      </c>
      <c r="N209" s="308">
        <f>meses_obra</f>
        <v>8</v>
      </c>
      <c r="O209" s="421">
        <v>0</v>
      </c>
      <c r="P209" s="312">
        <f t="shared" si="166"/>
        <v>0</v>
      </c>
      <c r="V209" s="49"/>
      <c r="W209" s="49"/>
      <c r="X209" s="260"/>
    </row>
    <row r="210" spans="1:27" ht="15.75" customHeight="1" outlineLevel="1">
      <c r="B210" s="127"/>
      <c r="C210" s="127"/>
      <c r="D210" s="145" t="s">
        <v>1861</v>
      </c>
      <c r="E210" s="1308" t="s">
        <v>551</v>
      </c>
      <c r="F210" s="1309"/>
      <c r="G210" s="1309"/>
      <c r="H210" s="1310"/>
      <c r="I210" s="104" t="s">
        <v>0</v>
      </c>
      <c r="J210" s="199">
        <f>$J$203</f>
        <v>4</v>
      </c>
      <c r="K210" s="308">
        <f t="shared" si="164"/>
        <v>8</v>
      </c>
      <c r="L210" s="309"/>
      <c r="M210" s="310">
        <f t="shared" si="165"/>
        <v>1</v>
      </c>
      <c r="N210" s="308">
        <v>1</v>
      </c>
      <c r="O210" s="421">
        <v>0</v>
      </c>
      <c r="P210" s="312">
        <f t="shared" si="166"/>
        <v>0</v>
      </c>
      <c r="V210" s="49"/>
      <c r="W210" s="49"/>
      <c r="X210" s="49"/>
    </row>
    <row r="211" spans="1:27" ht="15.75" customHeight="1" outlineLevel="1">
      <c r="B211" s="127"/>
      <c r="C211" s="127"/>
      <c r="D211" s="800" t="s">
        <v>704</v>
      </c>
      <c r="E211" s="801" t="s">
        <v>237</v>
      </c>
      <c r="F211" s="801"/>
      <c r="G211" s="801"/>
      <c r="H211" s="801"/>
      <c r="I211" s="789" t="s">
        <v>129</v>
      </c>
      <c r="J211" s="789" t="s">
        <v>130</v>
      </c>
      <c r="K211" s="788" t="s">
        <v>155</v>
      </c>
      <c r="L211" s="802" t="s">
        <v>795</v>
      </c>
      <c r="M211" s="789" t="s">
        <v>15</v>
      </c>
      <c r="N211" s="788" t="s">
        <v>123</v>
      </c>
      <c r="O211" s="789" t="s">
        <v>188</v>
      </c>
      <c r="P211" s="790">
        <f>IF(OR(SUM(P213:P220)=0,P212=0),SUM(P212:P220),MIN(SUM(P213:P220),P212))</f>
        <v>0</v>
      </c>
      <c r="Q211" s="383"/>
      <c r="U211" s="49"/>
      <c r="V211" s="49"/>
      <c r="W211" s="49"/>
      <c r="X211" s="49"/>
      <c r="Y211" s="49"/>
      <c r="Z211" s="49"/>
      <c r="AA211" s="49"/>
    </row>
    <row r="212" spans="1:27" ht="15.75" customHeight="1" outlineLevel="1">
      <c r="B212" s="127"/>
      <c r="C212" s="127"/>
      <c r="D212" s="145" t="s">
        <v>1603</v>
      </c>
      <c r="E212" s="1304" t="s">
        <v>187</v>
      </c>
      <c r="F212" s="1305"/>
      <c r="G212" s="1305"/>
      <c r="H212" s="1306"/>
      <c r="I212" s="104" t="s">
        <v>125</v>
      </c>
      <c r="J212" s="199">
        <f>ROUNDUP(((média_mdo_supervisão_alojada*1.05)*30),0)</f>
        <v>0</v>
      </c>
      <c r="K212" s="308">
        <f t="shared" ref="K212:K220" si="167">meses_obra</f>
        <v>8</v>
      </c>
      <c r="L212" s="309">
        <f>(2/22)*meses_obra</f>
        <v>0.72727272727272729</v>
      </c>
      <c r="M212" s="310">
        <f t="shared" ref="M212:M220" si="168">IFERROR(IF((L212/K212)=0,100%,L212/K212),100%)</f>
        <v>9.0909090909090912E-2</v>
      </c>
      <c r="N212" s="308">
        <f>meses_obra</f>
        <v>8</v>
      </c>
      <c r="O212" s="315">
        <f>valor_diária_hotel</f>
        <v>180</v>
      </c>
      <c r="P212" s="312">
        <f>J212*M212*N212*O212</f>
        <v>0</v>
      </c>
      <c r="R212" s="43"/>
      <c r="S212" s="43"/>
      <c r="U212" s="49"/>
      <c r="V212" s="49"/>
      <c r="W212" s="49"/>
      <c r="X212" s="49"/>
      <c r="Y212" s="49"/>
      <c r="Z212" s="49"/>
      <c r="AA212" s="49"/>
    </row>
    <row r="213" spans="1:27" ht="15.75" customHeight="1" outlineLevel="1">
      <c r="B213" s="127"/>
      <c r="C213" s="127"/>
      <c r="D213" s="145" t="s">
        <v>1604</v>
      </c>
      <c r="E213" s="1308" t="s">
        <v>124</v>
      </c>
      <c r="F213" s="1309"/>
      <c r="G213" s="1309"/>
      <c r="H213" s="1310"/>
      <c r="I213" s="104" t="s">
        <v>125</v>
      </c>
      <c r="J213" s="199">
        <v>0</v>
      </c>
      <c r="K213" s="308">
        <f t="shared" si="167"/>
        <v>8</v>
      </c>
      <c r="L213" s="309"/>
      <c r="M213" s="310">
        <f t="shared" si="168"/>
        <v>1</v>
      </c>
      <c r="N213" s="308">
        <f>meses_obra</f>
        <v>8</v>
      </c>
      <c r="O213" s="421">
        <v>1000</v>
      </c>
      <c r="P213" s="312">
        <f t="shared" ref="P213:P220" si="169">J213*M213*N213*O213</f>
        <v>0</v>
      </c>
      <c r="Q213" s="41"/>
      <c r="R213" s="41"/>
      <c r="S213" s="41"/>
      <c r="T213" s="49"/>
      <c r="U213" s="49"/>
      <c r="V213" s="49"/>
      <c r="W213" s="49"/>
      <c r="X213" s="49"/>
      <c r="Y213" s="49"/>
      <c r="Z213" s="49"/>
      <c r="AA213" s="49"/>
    </row>
    <row r="214" spans="1:27" ht="15.75" customHeight="1" outlineLevel="1">
      <c r="B214" s="127"/>
      <c r="C214" s="127"/>
      <c r="D214" s="145" t="s">
        <v>1605</v>
      </c>
      <c r="E214" s="1308" t="s">
        <v>126</v>
      </c>
      <c r="F214" s="1309"/>
      <c r="G214" s="1309"/>
      <c r="H214" s="1310"/>
      <c r="I214" s="104" t="s">
        <v>125</v>
      </c>
      <c r="J214" s="199">
        <f>IF((mdo_supervisão_alojada/Indiretos!$H$114)=0,0,ROUNDUP(mdo_supervisão_alojada/Indiretos!$H$114,0))</f>
        <v>0</v>
      </c>
      <c r="K214" s="308">
        <f t="shared" si="167"/>
        <v>8</v>
      </c>
      <c r="L214" s="309"/>
      <c r="M214" s="310">
        <f t="shared" si="168"/>
        <v>1</v>
      </c>
      <c r="N214" s="308">
        <f>meses_obra</f>
        <v>8</v>
      </c>
      <c r="O214" s="421">
        <v>0</v>
      </c>
      <c r="P214" s="312">
        <f t="shared" si="169"/>
        <v>0</v>
      </c>
      <c r="T214" s="49"/>
      <c r="X214" s="49"/>
      <c r="Y214" s="49"/>
      <c r="Z214" s="49"/>
      <c r="AA214" s="49"/>
    </row>
    <row r="215" spans="1:27" ht="15.75" customHeight="1" outlineLevel="1">
      <c r="B215" s="127"/>
      <c r="C215" s="127"/>
      <c r="D215" s="145" t="s">
        <v>1862</v>
      </c>
      <c r="E215" s="1308" t="s">
        <v>127</v>
      </c>
      <c r="F215" s="1309"/>
      <c r="G215" s="1309"/>
      <c r="H215" s="1310"/>
      <c r="I215" s="104" t="s">
        <v>125</v>
      </c>
      <c r="J215" s="199">
        <v>0</v>
      </c>
      <c r="K215" s="308">
        <f t="shared" si="167"/>
        <v>8</v>
      </c>
      <c r="L215" s="309"/>
      <c r="M215" s="310">
        <f t="shared" si="168"/>
        <v>1</v>
      </c>
      <c r="N215" s="308">
        <f>meses_obra</f>
        <v>8</v>
      </c>
      <c r="O215" s="421">
        <v>40</v>
      </c>
      <c r="P215" s="312">
        <f t="shared" si="169"/>
        <v>0</v>
      </c>
      <c r="T215" s="49"/>
      <c r="X215" s="49"/>
      <c r="Y215" s="49"/>
      <c r="Z215" s="49"/>
      <c r="AA215" s="49"/>
    </row>
    <row r="216" spans="1:27" ht="15.75" customHeight="1" outlineLevel="1">
      <c r="B216" s="127"/>
      <c r="C216" s="127"/>
      <c r="D216" s="145" t="s">
        <v>1863</v>
      </c>
      <c r="E216" s="1308" t="s">
        <v>548</v>
      </c>
      <c r="F216" s="1309"/>
      <c r="G216" s="1309"/>
      <c r="H216" s="1310"/>
      <c r="I216" s="104" t="s">
        <v>11</v>
      </c>
      <c r="J216" s="264">
        <f>ROUNDUP((média_mdo_supervisão_alojada*1.05),0)</f>
        <v>0</v>
      </c>
      <c r="K216" s="308">
        <f t="shared" si="167"/>
        <v>8</v>
      </c>
      <c r="L216" s="309"/>
      <c r="M216" s="310">
        <f t="shared" si="168"/>
        <v>1</v>
      </c>
      <c r="N216" s="308">
        <v>1</v>
      </c>
      <c r="O216" s="421">
        <v>0</v>
      </c>
      <c r="P216" s="312">
        <f t="shared" si="169"/>
        <v>0</v>
      </c>
      <c r="X216" s="49"/>
      <c r="Y216" s="49"/>
      <c r="Z216" s="49"/>
      <c r="AA216" s="49"/>
    </row>
    <row r="217" spans="1:27" ht="15.75" customHeight="1" outlineLevel="1">
      <c r="B217" s="127"/>
      <c r="C217" s="127"/>
      <c r="D217" s="145" t="s">
        <v>1864</v>
      </c>
      <c r="E217" s="1308" t="s">
        <v>131</v>
      </c>
      <c r="F217" s="1309"/>
      <c r="G217" s="1309"/>
      <c r="H217" s="1310"/>
      <c r="I217" s="104" t="s">
        <v>125</v>
      </c>
      <c r="J217" s="264">
        <f>ROUNDUP((média_mdo_supervisão_alojada*1.05),0)</f>
        <v>0</v>
      </c>
      <c r="K217" s="308">
        <f t="shared" si="167"/>
        <v>8</v>
      </c>
      <c r="L217" s="309"/>
      <c r="M217" s="310">
        <f t="shared" si="168"/>
        <v>1</v>
      </c>
      <c r="N217" s="308">
        <v>1</v>
      </c>
      <c r="O217" s="421">
        <v>0</v>
      </c>
      <c r="P217" s="312">
        <f t="shared" si="169"/>
        <v>0</v>
      </c>
      <c r="R217" s="41"/>
      <c r="S217" s="41"/>
      <c r="X217" s="49"/>
      <c r="Y217" s="49"/>
      <c r="Z217" s="49"/>
      <c r="AA217" s="49"/>
    </row>
    <row r="218" spans="1:27" ht="15.75" customHeight="1" outlineLevel="1">
      <c r="B218" s="127"/>
      <c r="C218" s="127"/>
      <c r="D218" s="145" t="s">
        <v>1865</v>
      </c>
      <c r="E218" s="1308" t="s">
        <v>549</v>
      </c>
      <c r="F218" s="1309"/>
      <c r="G218" s="1309"/>
      <c r="H218" s="1310"/>
      <c r="I218" s="104" t="s">
        <v>125</v>
      </c>
      <c r="J218" s="199">
        <f>$J$213</f>
        <v>0</v>
      </c>
      <c r="K218" s="308">
        <f t="shared" si="167"/>
        <v>8</v>
      </c>
      <c r="L218" s="309"/>
      <c r="M218" s="310">
        <f t="shared" si="168"/>
        <v>1</v>
      </c>
      <c r="N218" s="308">
        <v>1</v>
      </c>
      <c r="O218" s="421">
        <v>0</v>
      </c>
      <c r="P218" s="312">
        <f t="shared" si="169"/>
        <v>0</v>
      </c>
      <c r="X218" s="49"/>
      <c r="Y218" s="49"/>
      <c r="Z218" s="49"/>
      <c r="AA218" s="49"/>
    </row>
    <row r="219" spans="1:27" ht="15.75" customHeight="1" outlineLevel="1">
      <c r="B219" s="127"/>
      <c r="C219" s="127"/>
      <c r="D219" s="145" t="s">
        <v>1866</v>
      </c>
      <c r="E219" s="1308" t="s">
        <v>550</v>
      </c>
      <c r="F219" s="1309"/>
      <c r="G219" s="1309"/>
      <c r="H219" s="1310"/>
      <c r="I219" s="104" t="s">
        <v>125</v>
      </c>
      <c r="J219" s="199">
        <f>$J$213</f>
        <v>0</v>
      </c>
      <c r="K219" s="308">
        <f t="shared" si="167"/>
        <v>8</v>
      </c>
      <c r="L219" s="309"/>
      <c r="M219" s="310">
        <f t="shared" si="168"/>
        <v>1</v>
      </c>
      <c r="N219" s="308">
        <f>meses_obra</f>
        <v>8</v>
      </c>
      <c r="O219" s="421">
        <v>0</v>
      </c>
      <c r="P219" s="312">
        <f t="shared" si="169"/>
        <v>0</v>
      </c>
      <c r="R219" s="41"/>
      <c r="S219" s="41"/>
      <c r="X219" s="49"/>
      <c r="Y219" s="49"/>
      <c r="Z219" s="49"/>
      <c r="AA219" s="49"/>
    </row>
    <row r="220" spans="1:27" ht="15.75" customHeight="1" outlineLevel="1">
      <c r="B220" s="127"/>
      <c r="C220" s="127"/>
      <c r="D220" s="145" t="s">
        <v>1867</v>
      </c>
      <c r="E220" s="1308" t="s">
        <v>551</v>
      </c>
      <c r="F220" s="1309"/>
      <c r="G220" s="1309"/>
      <c r="H220" s="1310"/>
      <c r="I220" s="104" t="s">
        <v>0</v>
      </c>
      <c r="J220" s="199">
        <f>$J$213</f>
        <v>0</v>
      </c>
      <c r="K220" s="308">
        <f t="shared" si="167"/>
        <v>8</v>
      </c>
      <c r="L220" s="309"/>
      <c r="M220" s="310">
        <f t="shared" si="168"/>
        <v>1</v>
      </c>
      <c r="N220" s="308">
        <v>1</v>
      </c>
      <c r="O220" s="421">
        <v>0</v>
      </c>
      <c r="P220" s="312">
        <f t="shared" si="169"/>
        <v>0</v>
      </c>
      <c r="Q220" s="260"/>
      <c r="X220" s="49"/>
      <c r="Y220" s="49"/>
      <c r="Z220" s="49"/>
      <c r="AA220" s="49"/>
    </row>
    <row r="221" spans="1:27" s="49" customFormat="1" ht="15.75" customHeight="1" outlineLevel="1">
      <c r="A221" s="322"/>
      <c r="B221" s="127"/>
      <c r="C221" s="127"/>
      <c r="D221" s="800" t="s">
        <v>1868</v>
      </c>
      <c r="E221" s="801" t="s">
        <v>238</v>
      </c>
      <c r="F221" s="801"/>
      <c r="G221" s="801"/>
      <c r="H221" s="801"/>
      <c r="I221" s="789" t="s">
        <v>129</v>
      </c>
      <c r="J221" s="789" t="s">
        <v>130</v>
      </c>
      <c r="K221" s="788" t="s">
        <v>155</v>
      </c>
      <c r="L221" s="802" t="s">
        <v>795</v>
      </c>
      <c r="M221" s="789" t="s">
        <v>15</v>
      </c>
      <c r="N221" s="788" t="s">
        <v>123</v>
      </c>
      <c r="O221" s="789" t="s">
        <v>188</v>
      </c>
      <c r="P221" s="790">
        <f>IF(OR(SUM(P223:P230)=0,P222=0),SUM(P222:P230),MIN(SUM(P223:P230),P222))</f>
        <v>1.08E-7</v>
      </c>
      <c r="Q221" s="383"/>
      <c r="T221" s="36"/>
      <c r="U221" s="36"/>
      <c r="V221" s="36"/>
      <c r="W221" s="36"/>
    </row>
    <row r="222" spans="1:27" s="49" customFormat="1" ht="15.75" customHeight="1" outlineLevel="1">
      <c r="A222" s="322"/>
      <c r="B222" s="127"/>
      <c r="C222" s="127"/>
      <c r="D222" s="145" t="s">
        <v>1869</v>
      </c>
      <c r="E222" s="1304" t="s">
        <v>187</v>
      </c>
      <c r="F222" s="1305"/>
      <c r="G222" s="1305"/>
      <c r="H222" s="1306"/>
      <c r="I222" s="104" t="s">
        <v>125</v>
      </c>
      <c r="J222" s="199">
        <v>6</v>
      </c>
      <c r="K222" s="308">
        <f t="shared" ref="K222:K230" si="170">meses_obra</f>
        <v>8</v>
      </c>
      <c r="L222" s="309">
        <v>1E-10</v>
      </c>
      <c r="M222" s="310">
        <f t="shared" ref="M222:M230" si="171">IFERROR(IF((L222/K222)=0,100%,L222/K222),100%)</f>
        <v>1.25E-11</v>
      </c>
      <c r="N222" s="308">
        <f>meses_obra</f>
        <v>8</v>
      </c>
      <c r="O222" s="315">
        <f>valor_diária_coordenação</f>
        <v>180</v>
      </c>
      <c r="P222" s="312">
        <f t="shared" ref="P222:P230" si="172">J222*M222*N222*O222</f>
        <v>1.08E-7</v>
      </c>
      <c r="Q222" s="48"/>
      <c r="T222" s="36"/>
      <c r="U222" s="36"/>
      <c r="V222" s="36"/>
      <c r="W222" s="36"/>
      <c r="X222" s="36"/>
      <c r="Y222" s="36"/>
      <c r="Z222" s="36"/>
      <c r="AA222" s="36"/>
    </row>
    <row r="223" spans="1:27" s="49" customFormat="1" ht="15.75" customHeight="1" outlineLevel="1">
      <c r="A223" s="322"/>
      <c r="B223" s="127"/>
      <c r="C223" s="127"/>
      <c r="D223" s="145" t="s">
        <v>1870</v>
      </c>
      <c r="E223" s="1308" t="s">
        <v>124</v>
      </c>
      <c r="F223" s="1309"/>
      <c r="G223" s="1309"/>
      <c r="H223" s="1310"/>
      <c r="I223" s="104" t="s">
        <v>125</v>
      </c>
      <c r="J223" s="199">
        <f>IF((média_coordenação_alojada/Indiretos!$H$114)=0,0,ROUNDUP(média_coordenação_alojada/Indiretos!$H$114,0))</f>
        <v>0</v>
      </c>
      <c r="K223" s="308">
        <f t="shared" si="170"/>
        <v>8</v>
      </c>
      <c r="L223" s="309"/>
      <c r="M223" s="310">
        <f t="shared" si="171"/>
        <v>1</v>
      </c>
      <c r="N223" s="308">
        <f>meses_obra</f>
        <v>8</v>
      </c>
      <c r="O223" s="421"/>
      <c r="P223" s="312">
        <f t="shared" si="172"/>
        <v>0</v>
      </c>
      <c r="Q223" s="48"/>
      <c r="T223" s="260"/>
      <c r="U223" s="260"/>
      <c r="V223" s="260"/>
      <c r="W223" s="260"/>
      <c r="X223" s="36"/>
      <c r="Y223" s="36"/>
      <c r="Z223" s="36"/>
      <c r="AA223" s="36"/>
    </row>
    <row r="224" spans="1:27" ht="15.75" customHeight="1" outlineLevel="1">
      <c r="B224" s="127"/>
      <c r="C224" s="127"/>
      <c r="D224" s="145" t="s">
        <v>1871</v>
      </c>
      <c r="E224" s="1308" t="s">
        <v>126</v>
      </c>
      <c r="F224" s="1309"/>
      <c r="G224" s="1309"/>
      <c r="H224" s="1310"/>
      <c r="I224" s="104" t="s">
        <v>125</v>
      </c>
      <c r="J224" s="199">
        <f>IF((média_coordenação_alojada/Indiretos!$H$114)=0,0,ROUNDUP(média_coordenação_alojada/Indiretos!$H$114,0))</f>
        <v>0</v>
      </c>
      <c r="K224" s="308">
        <f t="shared" si="170"/>
        <v>8</v>
      </c>
      <c r="L224" s="309"/>
      <c r="M224" s="310">
        <f t="shared" si="171"/>
        <v>1</v>
      </c>
      <c r="N224" s="308">
        <f>meses_obra</f>
        <v>8</v>
      </c>
      <c r="O224" s="421"/>
      <c r="P224" s="312">
        <f t="shared" si="172"/>
        <v>0</v>
      </c>
      <c r="Q224" s="41"/>
      <c r="R224" s="316"/>
      <c r="S224" s="317"/>
      <c r="T224" s="260"/>
      <c r="U224" s="260"/>
      <c r="V224" s="260"/>
      <c r="W224" s="260"/>
    </row>
    <row r="225" spans="1:30" ht="15.75" customHeight="1" outlineLevel="1">
      <c r="B225" s="127"/>
      <c r="C225" s="127"/>
      <c r="D225" s="145" t="s">
        <v>1872</v>
      </c>
      <c r="E225" s="1308" t="s">
        <v>127</v>
      </c>
      <c r="F225" s="1309"/>
      <c r="G225" s="1309"/>
      <c r="H225" s="1310"/>
      <c r="I225" s="104" t="s">
        <v>125</v>
      </c>
      <c r="J225" s="199">
        <f>IF((média_coordenação_alojada/Indiretos!$H$114)=0,0,ROUNDUP(média_coordenação_alojada/Indiretos!$H$114,0))</f>
        <v>0</v>
      </c>
      <c r="K225" s="308">
        <f t="shared" si="170"/>
        <v>8</v>
      </c>
      <c r="L225" s="309"/>
      <c r="M225" s="310">
        <f t="shared" si="171"/>
        <v>1</v>
      </c>
      <c r="N225" s="308">
        <f>meses_obra</f>
        <v>8</v>
      </c>
      <c r="O225" s="421"/>
      <c r="P225" s="312">
        <f t="shared" si="172"/>
        <v>0</v>
      </c>
      <c r="Q225" s="41"/>
      <c r="R225" s="318"/>
      <c r="S225" s="319"/>
      <c r="T225" s="260"/>
      <c r="U225" s="260"/>
      <c r="V225" s="260"/>
      <c r="W225" s="260"/>
    </row>
    <row r="226" spans="1:30" ht="15.75" customHeight="1" outlineLevel="1">
      <c r="B226" s="127"/>
      <c r="C226" s="127"/>
      <c r="D226" s="145" t="s">
        <v>1873</v>
      </c>
      <c r="E226" s="1308" t="s">
        <v>548</v>
      </c>
      <c r="F226" s="1309"/>
      <c r="G226" s="1309"/>
      <c r="H226" s="1310"/>
      <c r="I226" s="104" t="s">
        <v>11</v>
      </c>
      <c r="J226" s="264">
        <f>ROUNDUP((média_coordenação_alojada*1.05),0)</f>
        <v>0</v>
      </c>
      <c r="K226" s="308">
        <f t="shared" si="170"/>
        <v>8</v>
      </c>
      <c r="L226" s="309"/>
      <c r="M226" s="310">
        <f t="shared" si="171"/>
        <v>1</v>
      </c>
      <c r="N226" s="308">
        <v>1</v>
      </c>
      <c r="O226" s="421"/>
      <c r="P226" s="312">
        <f t="shared" si="172"/>
        <v>0</v>
      </c>
      <c r="Q226" s="41"/>
      <c r="R226" s="319"/>
      <c r="S226" s="319"/>
      <c r="T226" s="260"/>
      <c r="U226" s="260"/>
      <c r="V226" s="260"/>
      <c r="W226" s="260"/>
    </row>
    <row r="227" spans="1:30" ht="15.75" customHeight="1" outlineLevel="1">
      <c r="B227" s="127"/>
      <c r="C227" s="127"/>
      <c r="D227" s="145" t="s">
        <v>1874</v>
      </c>
      <c r="E227" s="1308" t="s">
        <v>131</v>
      </c>
      <c r="F227" s="1309"/>
      <c r="G227" s="1309"/>
      <c r="H227" s="1310"/>
      <c r="I227" s="104" t="s">
        <v>125</v>
      </c>
      <c r="J227" s="264">
        <f>ROUNDUP((média_coordenação_alojada*1.05),0)</f>
        <v>0</v>
      </c>
      <c r="K227" s="308">
        <f t="shared" si="170"/>
        <v>8</v>
      </c>
      <c r="L227" s="309"/>
      <c r="M227" s="310">
        <f t="shared" si="171"/>
        <v>1</v>
      </c>
      <c r="N227" s="308">
        <v>1</v>
      </c>
      <c r="O227" s="421"/>
      <c r="P227" s="312">
        <f t="shared" si="172"/>
        <v>0</v>
      </c>
      <c r="Q227" s="41"/>
      <c r="S227" s="319"/>
      <c r="T227" s="260"/>
      <c r="U227" s="260"/>
      <c r="V227" s="260"/>
      <c r="W227" s="260"/>
    </row>
    <row r="228" spans="1:30" ht="15.75" customHeight="1" outlineLevel="1">
      <c r="B228" s="127"/>
      <c r="C228" s="127"/>
      <c r="D228" s="145" t="s">
        <v>1875</v>
      </c>
      <c r="E228" s="1308" t="s">
        <v>549</v>
      </c>
      <c r="F228" s="1309"/>
      <c r="G228" s="1309"/>
      <c r="H228" s="1310"/>
      <c r="I228" s="104" t="s">
        <v>125</v>
      </c>
      <c r="J228" s="199">
        <f>$J$213</f>
        <v>0</v>
      </c>
      <c r="K228" s="308">
        <f t="shared" si="170"/>
        <v>8</v>
      </c>
      <c r="L228" s="309"/>
      <c r="M228" s="310">
        <f t="shared" si="171"/>
        <v>1</v>
      </c>
      <c r="N228" s="308">
        <v>1</v>
      </c>
      <c r="O228" s="421"/>
      <c r="P228" s="312">
        <f t="shared" si="172"/>
        <v>0</v>
      </c>
      <c r="Q228" s="41"/>
      <c r="R228" s="319"/>
      <c r="S228" s="319"/>
      <c r="T228" s="260"/>
      <c r="U228" s="260"/>
      <c r="V228" s="260"/>
      <c r="W228" s="260"/>
      <c r="X228" s="260"/>
      <c r="Y228" s="260"/>
      <c r="Z228" s="260"/>
      <c r="AA228" s="260"/>
      <c r="AB228" s="260"/>
      <c r="AC228" s="260"/>
    </row>
    <row r="229" spans="1:30" ht="15.75" customHeight="1" outlineLevel="1">
      <c r="B229" s="127"/>
      <c r="C229" s="127"/>
      <c r="D229" s="145" t="s">
        <v>1876</v>
      </c>
      <c r="E229" s="1308" t="s">
        <v>550</v>
      </c>
      <c r="F229" s="1309"/>
      <c r="G229" s="1309"/>
      <c r="H229" s="1310"/>
      <c r="I229" s="104" t="s">
        <v>125</v>
      </c>
      <c r="J229" s="199">
        <f>$J$213</f>
        <v>0</v>
      </c>
      <c r="K229" s="308">
        <f t="shared" si="170"/>
        <v>8</v>
      </c>
      <c r="L229" s="309"/>
      <c r="M229" s="310">
        <f t="shared" si="171"/>
        <v>1</v>
      </c>
      <c r="N229" s="308">
        <f>meses_obra</f>
        <v>8</v>
      </c>
      <c r="O229" s="421"/>
      <c r="P229" s="312">
        <f t="shared" si="172"/>
        <v>0</v>
      </c>
      <c r="Q229" s="41"/>
      <c r="R229" s="319"/>
      <c r="S229" s="319"/>
      <c r="T229" s="260"/>
      <c r="U229" s="260"/>
      <c r="V229" s="260"/>
      <c r="W229" s="260"/>
      <c r="X229" s="260"/>
      <c r="Y229" s="260"/>
      <c r="Z229" s="260"/>
      <c r="AA229" s="260"/>
      <c r="AB229" s="260"/>
      <c r="AC229" s="260"/>
    </row>
    <row r="230" spans="1:30" ht="15.75" customHeight="1" outlineLevel="1">
      <c r="B230" s="127"/>
      <c r="C230" s="127"/>
      <c r="D230" s="145" t="s">
        <v>1877</v>
      </c>
      <c r="E230" s="1308" t="s">
        <v>551</v>
      </c>
      <c r="F230" s="1309"/>
      <c r="G230" s="1309"/>
      <c r="H230" s="1310"/>
      <c r="I230" s="104" t="s">
        <v>0</v>
      </c>
      <c r="J230" s="199">
        <f>$J$213</f>
        <v>0</v>
      </c>
      <c r="K230" s="308">
        <f t="shared" si="170"/>
        <v>8</v>
      </c>
      <c r="L230" s="309"/>
      <c r="M230" s="310">
        <f t="shared" si="171"/>
        <v>1</v>
      </c>
      <c r="N230" s="308">
        <v>1</v>
      </c>
      <c r="O230" s="421"/>
      <c r="P230" s="312">
        <f t="shared" si="172"/>
        <v>0</v>
      </c>
      <c r="Q230" s="41"/>
      <c r="R230" s="319"/>
      <c r="S230" s="319"/>
      <c r="T230" s="260"/>
      <c r="U230" s="260"/>
      <c r="V230" s="260"/>
      <c r="W230" s="260"/>
      <c r="X230" s="260"/>
      <c r="Y230" s="260"/>
      <c r="Z230" s="260"/>
      <c r="AA230" s="260"/>
      <c r="AB230" s="260"/>
      <c r="AC230" s="260"/>
    </row>
    <row r="231" spans="1:30" ht="15.75" customHeight="1" outlineLevel="1">
      <c r="B231" s="127"/>
      <c r="C231" s="127"/>
      <c r="D231" s="630"/>
      <c r="E231" s="910"/>
      <c r="F231" s="910"/>
      <c r="G231" s="910"/>
      <c r="H231" s="910"/>
      <c r="I231" s="910"/>
      <c r="J231" s="910"/>
      <c r="K231" s="910"/>
      <c r="L231" s="910"/>
      <c r="M231" s="910"/>
      <c r="N231" s="910"/>
      <c r="O231" s="910"/>
      <c r="P231" s="911"/>
      <c r="Q231" s="41"/>
      <c r="R231" s="319"/>
      <c r="S231" s="319"/>
      <c r="T231" s="260"/>
      <c r="U231" s="260"/>
      <c r="V231" s="260"/>
      <c r="W231" s="260"/>
      <c r="X231" s="260"/>
      <c r="Y231" s="260"/>
      <c r="Z231" s="260"/>
      <c r="AA231" s="260"/>
      <c r="AB231" s="260"/>
      <c r="AC231" s="260"/>
    </row>
    <row r="232" spans="1:30" s="187" customFormat="1" ht="15.75" customHeight="1">
      <c r="A232" s="957"/>
      <c r="B232" s="957"/>
      <c r="C232" s="957"/>
      <c r="D232" s="1340" t="s">
        <v>628</v>
      </c>
      <c r="E232" s="1323" t="s">
        <v>778</v>
      </c>
      <c r="F232" s="1324"/>
      <c r="G232" s="1324"/>
      <c r="H232" s="1325"/>
      <c r="I232" s="1329" t="s">
        <v>780</v>
      </c>
      <c r="J232" s="1329" t="s">
        <v>781</v>
      </c>
      <c r="K232" s="1329" t="s">
        <v>782</v>
      </c>
      <c r="L232" s="1329" t="s">
        <v>799</v>
      </c>
      <c r="M232" s="1329" t="s">
        <v>15</v>
      </c>
      <c r="N232" s="1329" t="s">
        <v>783</v>
      </c>
      <c r="O232" s="1329" t="s">
        <v>784</v>
      </c>
      <c r="P232" s="1344" t="s">
        <v>1</v>
      </c>
      <c r="Q232" s="1381">
        <f>$P$234/meses_obra</f>
        <v>4500</v>
      </c>
    </row>
    <row r="233" spans="1:30" s="187" customFormat="1" ht="15.75" customHeight="1">
      <c r="A233" s="957"/>
      <c r="B233" s="957"/>
      <c r="C233" s="958"/>
      <c r="D233" s="1341"/>
      <c r="E233" s="1326"/>
      <c r="F233" s="1327"/>
      <c r="G233" s="1327"/>
      <c r="H233" s="1328"/>
      <c r="I233" s="1330"/>
      <c r="J233" s="1330"/>
      <c r="K233" s="1330"/>
      <c r="L233" s="1330"/>
      <c r="M233" s="1330"/>
      <c r="N233" s="1330"/>
      <c r="O233" s="1330"/>
      <c r="P233" s="1345"/>
      <c r="Q233" s="1382"/>
      <c r="R233" s="299"/>
      <c r="V233" s="188"/>
      <c r="W233" s="188"/>
      <c r="Y233" s="299"/>
      <c r="Z233" s="299"/>
      <c r="AA233" s="299"/>
      <c r="AB233" s="299"/>
      <c r="AC233" s="299"/>
      <c r="AD233" s="299"/>
    </row>
    <row r="234" spans="1:30" ht="15.75" customHeight="1" outlineLevel="1">
      <c r="C234" s="507" t="str">
        <f>D234</f>
        <v>11</v>
      </c>
      <c r="D234" s="215" t="s">
        <v>529</v>
      </c>
      <c r="E234" s="334" t="s">
        <v>315</v>
      </c>
      <c r="F234" s="334"/>
      <c r="G234" s="334"/>
      <c r="H234" s="335"/>
      <c r="I234" s="335"/>
      <c r="J234" s="335"/>
      <c r="K234" s="335"/>
      <c r="L234" s="335"/>
      <c r="M234" s="335"/>
      <c r="N234" s="335"/>
      <c r="O234" s="336" t="s">
        <v>366</v>
      </c>
      <c r="P234" s="314">
        <f>SUM(P235:P306)</f>
        <v>36000</v>
      </c>
      <c r="Q234" s="56">
        <f ca="1">$P$234/custo_direto</f>
        <v>6.3169561667773318E-3</v>
      </c>
      <c r="U234" s="260"/>
      <c r="V234" s="260"/>
      <c r="W234" s="284"/>
      <c r="X234" s="284"/>
      <c r="Y234" s="284"/>
      <c r="Z234" s="307"/>
      <c r="AA234" s="307"/>
    </row>
    <row r="235" spans="1:30" s="49" customFormat="1" ht="15.75" customHeight="1" outlineLevel="1">
      <c r="A235" s="322"/>
      <c r="B235" s="322"/>
      <c r="C235" s="507" t="str">
        <f t="shared" ref="C235:C267" ca="1" si="173">IF(OFFSET(C235,-1,0)&gt;="01",CONCATENATE(,OFFSET(C235,-1,0)+1),CONCATENATE((SUM(OFFSET(C235,-1,0)+1-(OFFSET(C235,-1,0))))))</f>
        <v>12</v>
      </c>
      <c r="D235" s="808" t="s">
        <v>705</v>
      </c>
      <c r="E235" s="809" t="s">
        <v>829</v>
      </c>
      <c r="F235" s="797"/>
      <c r="G235" s="797"/>
      <c r="H235" s="797"/>
      <c r="I235" s="810"/>
      <c r="J235" s="810"/>
      <c r="K235" s="811"/>
      <c r="L235" s="811"/>
      <c r="M235" s="812"/>
      <c r="N235" s="811"/>
      <c r="O235" s="813"/>
      <c r="P235" s="814"/>
      <c r="Q235" s="337"/>
      <c r="R235" s="260"/>
      <c r="S235" s="260"/>
      <c r="T235" s="260"/>
      <c r="U235" s="260"/>
      <c r="V235" s="260"/>
      <c r="W235" s="260"/>
      <c r="X235" s="260"/>
      <c r="Y235" s="36"/>
    </row>
    <row r="236" spans="1:30" ht="15.75" customHeight="1" outlineLevel="1">
      <c r="C236" s="507" t="str">
        <f t="shared" ca="1" si="173"/>
        <v>13</v>
      </c>
      <c r="D236" s="135" t="s">
        <v>1606</v>
      </c>
      <c r="E236" s="1308" t="s">
        <v>313</v>
      </c>
      <c r="F236" s="1309"/>
      <c r="G236" s="1309"/>
      <c r="H236" s="1310"/>
      <c r="I236" s="104" t="s">
        <v>11</v>
      </c>
      <c r="J236" s="422">
        <v>0</v>
      </c>
      <c r="K236" s="308">
        <f t="shared" ref="K236:K250" si="174">meses_obra</f>
        <v>8</v>
      </c>
      <c r="L236" s="309"/>
      <c r="M236" s="310">
        <f t="shared" ref="M236:M249" si="175">IFERROR(IF((L236/K236)=0,100%,L236/K236),100%)</f>
        <v>1</v>
      </c>
      <c r="N236" s="338" t="s">
        <v>142</v>
      </c>
      <c r="O236" s="421">
        <f>189.84+109.67</f>
        <v>299.51</v>
      </c>
      <c r="P236" s="339">
        <f>J236*M236*O236</f>
        <v>0</v>
      </c>
      <c r="Q236" s="337"/>
      <c r="R236" s="260"/>
      <c r="S236" s="260"/>
      <c r="T236" s="260"/>
      <c r="U236" s="260"/>
      <c r="V236" s="260"/>
      <c r="W236" s="260"/>
      <c r="X236" s="260"/>
    </row>
    <row r="237" spans="1:30" ht="15.75" customHeight="1" outlineLevel="1">
      <c r="C237" s="507" t="str">
        <f t="shared" ca="1" si="173"/>
        <v>14</v>
      </c>
      <c r="D237" s="135" t="s">
        <v>1607</v>
      </c>
      <c r="E237" s="1308" t="s">
        <v>314</v>
      </c>
      <c r="F237" s="1309"/>
      <c r="G237" s="1309"/>
      <c r="H237" s="1310"/>
      <c r="I237" s="104" t="s">
        <v>11</v>
      </c>
      <c r="J237" s="422">
        <v>0</v>
      </c>
      <c r="K237" s="308">
        <f t="shared" si="174"/>
        <v>8</v>
      </c>
      <c r="L237" s="309"/>
      <c r="M237" s="310">
        <f t="shared" si="175"/>
        <v>1</v>
      </c>
      <c r="N237" s="338" t="s">
        <v>142</v>
      </c>
      <c r="O237" s="421">
        <f>189.84+109.67</f>
        <v>299.51</v>
      </c>
      <c r="P237" s="339">
        <f t="shared" ref="P237:P249" si="176">J237*M237*O237</f>
        <v>0</v>
      </c>
      <c r="Q237" s="337"/>
      <c r="R237" s="260"/>
      <c r="S237" s="260"/>
      <c r="T237" s="260"/>
      <c r="U237" s="260"/>
      <c r="V237" s="260"/>
      <c r="W237" s="260"/>
      <c r="X237" s="260"/>
    </row>
    <row r="238" spans="1:30" ht="15.75" customHeight="1" outlineLevel="1">
      <c r="C238" s="507" t="str">
        <f t="shared" ca="1" si="173"/>
        <v>15</v>
      </c>
      <c r="D238" s="135" t="s">
        <v>1608</v>
      </c>
      <c r="E238" s="1308" t="s">
        <v>339</v>
      </c>
      <c r="F238" s="1309"/>
      <c r="G238" s="1309"/>
      <c r="H238" s="1310"/>
      <c r="I238" s="104" t="s">
        <v>11</v>
      </c>
      <c r="J238" s="422">
        <v>0</v>
      </c>
      <c r="K238" s="308">
        <f t="shared" si="174"/>
        <v>8</v>
      </c>
      <c r="L238" s="309"/>
      <c r="M238" s="310">
        <f t="shared" si="175"/>
        <v>1</v>
      </c>
      <c r="N238" s="338" t="s">
        <v>142</v>
      </c>
      <c r="O238" s="421">
        <f t="shared" ref="O238:O239" si="177">189.84+109.67</f>
        <v>299.51</v>
      </c>
      <c r="P238" s="339">
        <f t="shared" si="176"/>
        <v>0</v>
      </c>
      <c r="Q238" s="337"/>
      <c r="R238" s="260"/>
      <c r="S238" s="260"/>
      <c r="T238" s="260"/>
      <c r="U238" s="260"/>
      <c r="V238" s="260"/>
      <c r="W238" s="260"/>
      <c r="X238" s="260"/>
    </row>
    <row r="239" spans="1:30" ht="15.75" customHeight="1" outlineLevel="1">
      <c r="C239" s="507" t="str">
        <f t="shared" ca="1" si="173"/>
        <v>16</v>
      </c>
      <c r="D239" s="135" t="s">
        <v>1609</v>
      </c>
      <c r="E239" s="1308" t="s">
        <v>320</v>
      </c>
      <c r="F239" s="1309"/>
      <c r="G239" s="1309"/>
      <c r="H239" s="1310"/>
      <c r="I239" s="104" t="s">
        <v>11</v>
      </c>
      <c r="J239" s="422">
        <v>0</v>
      </c>
      <c r="K239" s="308">
        <f t="shared" si="174"/>
        <v>8</v>
      </c>
      <c r="L239" s="309"/>
      <c r="M239" s="310">
        <f t="shared" si="175"/>
        <v>1</v>
      </c>
      <c r="N239" s="338" t="s">
        <v>142</v>
      </c>
      <c r="O239" s="421">
        <f t="shared" si="177"/>
        <v>299.51</v>
      </c>
      <c r="P239" s="339">
        <f t="shared" si="176"/>
        <v>0</v>
      </c>
      <c r="Q239" s="337"/>
      <c r="R239" s="260"/>
      <c r="S239" s="260"/>
      <c r="T239" s="260"/>
      <c r="U239" s="260"/>
      <c r="V239" s="260"/>
      <c r="W239" s="260"/>
      <c r="X239" s="260"/>
    </row>
    <row r="240" spans="1:30" ht="15.75" customHeight="1" outlineLevel="1">
      <c r="C240" s="507" t="str">
        <f t="shared" ca="1" si="173"/>
        <v>17</v>
      </c>
      <c r="D240" s="135" t="s">
        <v>1610</v>
      </c>
      <c r="E240" s="1308" t="s">
        <v>329</v>
      </c>
      <c r="F240" s="1309"/>
      <c r="G240" s="1309"/>
      <c r="H240" s="1310"/>
      <c r="I240" s="104" t="s">
        <v>11</v>
      </c>
      <c r="J240" s="422">
        <v>0</v>
      </c>
      <c r="K240" s="308">
        <f t="shared" si="174"/>
        <v>8</v>
      </c>
      <c r="L240" s="309"/>
      <c r="M240" s="310">
        <f t="shared" si="175"/>
        <v>1</v>
      </c>
      <c r="N240" s="338" t="s">
        <v>142</v>
      </c>
      <c r="O240" s="421">
        <f>189.84+109.67</f>
        <v>299.51</v>
      </c>
      <c r="P240" s="339">
        <f t="shared" si="176"/>
        <v>0</v>
      </c>
      <c r="Q240" s="337"/>
      <c r="R240" s="260"/>
      <c r="S240" s="260"/>
      <c r="T240" s="260"/>
      <c r="U240" s="260"/>
      <c r="V240" s="260"/>
      <c r="W240" s="260"/>
      <c r="X240" s="260"/>
    </row>
    <row r="241" spans="1:25" ht="15.75" customHeight="1" outlineLevel="1">
      <c r="C241" s="507" t="str">
        <f t="shared" ca="1" si="173"/>
        <v>18</v>
      </c>
      <c r="D241" s="135" t="s">
        <v>1611</v>
      </c>
      <c r="E241" s="1308" t="s">
        <v>321</v>
      </c>
      <c r="F241" s="1309"/>
      <c r="G241" s="1309"/>
      <c r="H241" s="1310"/>
      <c r="I241" s="104" t="s">
        <v>11</v>
      </c>
      <c r="J241" s="422">
        <v>0</v>
      </c>
      <c r="K241" s="308">
        <f t="shared" si="174"/>
        <v>8</v>
      </c>
      <c r="L241" s="309"/>
      <c r="M241" s="310">
        <f t="shared" si="175"/>
        <v>1</v>
      </c>
      <c r="N241" s="338" t="s">
        <v>142</v>
      </c>
      <c r="O241" s="421">
        <f t="shared" ref="O241:O248" si="178">189.84+109.67</f>
        <v>299.51</v>
      </c>
      <c r="P241" s="339">
        <f t="shared" si="176"/>
        <v>0</v>
      </c>
      <c r="Q241" s="337"/>
      <c r="R241" s="260"/>
      <c r="S241" s="260"/>
      <c r="T241" s="260"/>
      <c r="U241" s="260"/>
      <c r="V241" s="260"/>
      <c r="W241" s="260"/>
      <c r="X241" s="260"/>
    </row>
    <row r="242" spans="1:25" ht="15.75" customHeight="1" outlineLevel="1">
      <c r="C242" s="507" t="str">
        <f t="shared" ca="1" si="173"/>
        <v>19</v>
      </c>
      <c r="D242" s="135" t="s">
        <v>1612</v>
      </c>
      <c r="E242" s="1308" t="s">
        <v>322</v>
      </c>
      <c r="F242" s="1309"/>
      <c r="G242" s="1309"/>
      <c r="H242" s="1310"/>
      <c r="I242" s="104" t="s">
        <v>11</v>
      </c>
      <c r="J242" s="422">
        <v>0</v>
      </c>
      <c r="K242" s="308">
        <f t="shared" si="174"/>
        <v>8</v>
      </c>
      <c r="L242" s="309"/>
      <c r="M242" s="310">
        <f t="shared" si="175"/>
        <v>1</v>
      </c>
      <c r="N242" s="338" t="s">
        <v>142</v>
      </c>
      <c r="O242" s="421">
        <f t="shared" si="178"/>
        <v>299.51</v>
      </c>
      <c r="P242" s="339">
        <f t="shared" si="176"/>
        <v>0</v>
      </c>
      <c r="Q242" s="337"/>
      <c r="R242" s="260"/>
      <c r="S242" s="260"/>
      <c r="T242" s="260"/>
      <c r="U242" s="260"/>
      <c r="V242" s="260"/>
      <c r="W242" s="260"/>
      <c r="X242" s="260"/>
    </row>
    <row r="243" spans="1:25" ht="15.75" customHeight="1" outlineLevel="1">
      <c r="C243" s="507" t="str">
        <f t="shared" ca="1" si="173"/>
        <v>20</v>
      </c>
      <c r="D243" s="135" t="s">
        <v>1613</v>
      </c>
      <c r="E243" s="1308" t="s">
        <v>830</v>
      </c>
      <c r="F243" s="1309"/>
      <c r="G243" s="1309"/>
      <c r="H243" s="1310"/>
      <c r="I243" s="104" t="s">
        <v>11</v>
      </c>
      <c r="J243" s="422">
        <v>0</v>
      </c>
      <c r="K243" s="308">
        <f t="shared" si="174"/>
        <v>8</v>
      </c>
      <c r="L243" s="309"/>
      <c r="M243" s="310">
        <f t="shared" si="175"/>
        <v>1</v>
      </c>
      <c r="N243" s="338" t="s">
        <v>142</v>
      </c>
      <c r="O243" s="421">
        <f t="shared" si="178"/>
        <v>299.51</v>
      </c>
      <c r="P243" s="339">
        <f t="shared" si="176"/>
        <v>0</v>
      </c>
      <c r="Q243" s="337"/>
      <c r="R243" s="260"/>
      <c r="S243" s="260"/>
      <c r="T243" s="260"/>
      <c r="U243" s="260"/>
      <c r="V243" s="260"/>
      <c r="W243" s="260"/>
      <c r="X243" s="260"/>
    </row>
    <row r="244" spans="1:25" ht="15.75" customHeight="1" outlineLevel="1">
      <c r="C244" s="507" t="str">
        <f t="shared" ca="1" si="173"/>
        <v>21</v>
      </c>
      <c r="D244" s="135" t="s">
        <v>1614</v>
      </c>
      <c r="E244" s="1308" t="s">
        <v>319</v>
      </c>
      <c r="F244" s="1309"/>
      <c r="G244" s="1309"/>
      <c r="H244" s="1310"/>
      <c r="I244" s="104" t="s">
        <v>11</v>
      </c>
      <c r="J244" s="422">
        <v>0</v>
      </c>
      <c r="K244" s="308">
        <f t="shared" si="174"/>
        <v>8</v>
      </c>
      <c r="L244" s="309"/>
      <c r="M244" s="310">
        <f t="shared" si="175"/>
        <v>1</v>
      </c>
      <c r="N244" s="338" t="s">
        <v>142</v>
      </c>
      <c r="O244" s="421">
        <f t="shared" si="178"/>
        <v>299.51</v>
      </c>
      <c r="P244" s="339">
        <f t="shared" si="176"/>
        <v>0</v>
      </c>
      <c r="Q244" s="337"/>
      <c r="R244" s="260"/>
      <c r="S244" s="260"/>
      <c r="T244" s="260"/>
      <c r="U244" s="260"/>
      <c r="V244" s="260"/>
      <c r="W244" s="260"/>
      <c r="X244" s="260"/>
    </row>
    <row r="245" spans="1:25" ht="15.75" customHeight="1" outlineLevel="1">
      <c r="C245" s="507" t="str">
        <f t="shared" ca="1" si="173"/>
        <v>22</v>
      </c>
      <c r="D245" s="135" t="s">
        <v>1615</v>
      </c>
      <c r="E245" s="1304" t="s">
        <v>340</v>
      </c>
      <c r="F245" s="1305"/>
      <c r="G245" s="1305"/>
      <c r="H245" s="1306"/>
      <c r="I245" s="104" t="s">
        <v>11</v>
      </c>
      <c r="J245" s="422">
        <v>0</v>
      </c>
      <c r="K245" s="308">
        <f t="shared" si="174"/>
        <v>8</v>
      </c>
      <c r="L245" s="309"/>
      <c r="M245" s="310">
        <f t="shared" si="175"/>
        <v>1</v>
      </c>
      <c r="N245" s="338" t="s">
        <v>142</v>
      </c>
      <c r="O245" s="421">
        <f t="shared" si="178"/>
        <v>299.51</v>
      </c>
      <c r="P245" s="339">
        <f t="shared" si="176"/>
        <v>0</v>
      </c>
      <c r="Q245" s="337"/>
      <c r="W245" s="260"/>
    </row>
    <row r="246" spans="1:25" ht="15.75" customHeight="1" outlineLevel="1">
      <c r="C246" s="507" t="str">
        <f t="shared" ca="1" si="173"/>
        <v>23</v>
      </c>
      <c r="D246" s="135" t="s">
        <v>1616</v>
      </c>
      <c r="E246" s="1304" t="s">
        <v>323</v>
      </c>
      <c r="F246" s="1305"/>
      <c r="G246" s="1305"/>
      <c r="H246" s="1306"/>
      <c r="I246" s="104" t="s">
        <v>11</v>
      </c>
      <c r="J246" s="422">
        <v>0</v>
      </c>
      <c r="K246" s="308">
        <f t="shared" si="174"/>
        <v>8</v>
      </c>
      <c r="L246" s="309"/>
      <c r="M246" s="310">
        <f t="shared" si="175"/>
        <v>1</v>
      </c>
      <c r="N246" s="338" t="s">
        <v>142</v>
      </c>
      <c r="O246" s="421">
        <f t="shared" si="178"/>
        <v>299.51</v>
      </c>
      <c r="P246" s="339">
        <f t="shared" si="176"/>
        <v>0</v>
      </c>
      <c r="Q246" s="337"/>
    </row>
    <row r="247" spans="1:25" ht="15.75" customHeight="1" outlineLevel="1">
      <c r="C247" s="507" t="str">
        <f t="shared" ca="1" si="173"/>
        <v>24</v>
      </c>
      <c r="D247" s="135" t="s">
        <v>1617</v>
      </c>
      <c r="E247" s="1304" t="s">
        <v>324</v>
      </c>
      <c r="F247" s="1305"/>
      <c r="G247" s="1305"/>
      <c r="H247" s="1306"/>
      <c r="I247" s="104" t="s">
        <v>11</v>
      </c>
      <c r="J247" s="422">
        <v>0</v>
      </c>
      <c r="K247" s="308">
        <f t="shared" si="174"/>
        <v>8</v>
      </c>
      <c r="L247" s="309"/>
      <c r="M247" s="310">
        <f t="shared" si="175"/>
        <v>1</v>
      </c>
      <c r="N247" s="338" t="s">
        <v>142</v>
      </c>
      <c r="O247" s="421">
        <f t="shared" si="178"/>
        <v>299.51</v>
      </c>
      <c r="P247" s="339">
        <f t="shared" si="176"/>
        <v>0</v>
      </c>
      <c r="Q247" s="337"/>
    </row>
    <row r="248" spans="1:25" ht="15.75" customHeight="1" outlineLevel="1">
      <c r="C248" s="507" t="str">
        <f t="shared" ca="1" si="173"/>
        <v>25</v>
      </c>
      <c r="D248" s="135" t="s">
        <v>1618</v>
      </c>
      <c r="E248" s="1304" t="s">
        <v>338</v>
      </c>
      <c r="F248" s="1305"/>
      <c r="G248" s="1305"/>
      <c r="H248" s="1306"/>
      <c r="I248" s="104" t="s">
        <v>11</v>
      </c>
      <c r="J248" s="422">
        <v>0</v>
      </c>
      <c r="K248" s="308">
        <f t="shared" si="174"/>
        <v>8</v>
      </c>
      <c r="L248" s="309"/>
      <c r="M248" s="310">
        <f t="shared" si="175"/>
        <v>1</v>
      </c>
      <c r="N248" s="338" t="s">
        <v>142</v>
      </c>
      <c r="O248" s="421">
        <f t="shared" si="178"/>
        <v>299.51</v>
      </c>
      <c r="P248" s="339">
        <f t="shared" si="176"/>
        <v>0</v>
      </c>
      <c r="Q248" s="337"/>
    </row>
    <row r="249" spans="1:25" ht="15.75" customHeight="1" outlineLevel="1">
      <c r="C249" s="507" t="str">
        <f t="shared" ca="1" si="173"/>
        <v>26</v>
      </c>
      <c r="D249" s="135" t="s">
        <v>1619</v>
      </c>
      <c r="E249" s="1304" t="s">
        <v>777</v>
      </c>
      <c r="F249" s="1305"/>
      <c r="G249" s="1305"/>
      <c r="H249" s="1306"/>
      <c r="I249" s="104" t="s">
        <v>11</v>
      </c>
      <c r="J249" s="422">
        <v>0</v>
      </c>
      <c r="K249" s="308">
        <f t="shared" si="174"/>
        <v>8</v>
      </c>
      <c r="L249" s="309"/>
      <c r="M249" s="310">
        <f t="shared" si="175"/>
        <v>1</v>
      </c>
      <c r="N249" s="338" t="s">
        <v>142</v>
      </c>
      <c r="O249" s="421">
        <f>158.2+91.39</f>
        <v>249.58999999999997</v>
      </c>
      <c r="P249" s="339">
        <f t="shared" si="176"/>
        <v>0</v>
      </c>
      <c r="Q249" s="337"/>
    </row>
    <row r="250" spans="1:25" ht="15.75" customHeight="1" outlineLevel="1">
      <c r="C250" s="507" t="str">
        <f t="shared" ref="C250" ca="1" si="179">IF(OFFSET(C250,-1,0)&gt;="01",CONCATENATE(,OFFSET(C250,-1,0)+1),CONCATENATE((SUM(OFFSET(C250,-1,0)+1-(OFFSET(C250,-1,0))))))</f>
        <v>27</v>
      </c>
      <c r="D250" s="135" t="s">
        <v>1764</v>
      </c>
      <c r="E250" s="1308" t="s">
        <v>1763</v>
      </c>
      <c r="F250" s="1309"/>
      <c r="G250" s="1309"/>
      <c r="H250" s="1310"/>
      <c r="I250" s="104" t="s">
        <v>11</v>
      </c>
      <c r="J250" s="423"/>
      <c r="K250" s="308">
        <f t="shared" si="174"/>
        <v>8</v>
      </c>
      <c r="L250" s="309"/>
      <c r="M250" s="310">
        <v>1</v>
      </c>
      <c r="N250" s="308">
        <v>1</v>
      </c>
      <c r="O250" s="421"/>
      <c r="P250" s="339">
        <f>J250*M250*N250*O250</f>
        <v>0</v>
      </c>
      <c r="Q250" s="337"/>
    </row>
    <row r="251" spans="1:25" s="49" customFormat="1" ht="15.75" customHeight="1" outlineLevel="1">
      <c r="A251" s="322"/>
      <c r="B251" s="322"/>
      <c r="C251" s="507" t="str">
        <f t="shared" ca="1" si="173"/>
        <v>28</v>
      </c>
      <c r="D251" s="808" t="s">
        <v>706</v>
      </c>
      <c r="E251" s="792" t="s">
        <v>332</v>
      </c>
      <c r="F251" s="793"/>
      <c r="G251" s="793"/>
      <c r="H251" s="793"/>
      <c r="I251" s="789"/>
      <c r="J251" s="789"/>
      <c r="K251" s="788"/>
      <c r="L251" s="788"/>
      <c r="M251" s="815"/>
      <c r="N251" s="788"/>
      <c r="O251" s="816"/>
      <c r="P251" s="817"/>
      <c r="Q251" s="337"/>
      <c r="R251" s="36"/>
      <c r="S251" s="36"/>
      <c r="T251" s="36"/>
      <c r="U251" s="36"/>
      <c r="V251" s="36"/>
      <c r="W251" s="36"/>
      <c r="X251" s="36"/>
      <c r="Y251" s="36"/>
    </row>
    <row r="252" spans="1:25" ht="15.75" customHeight="1" outlineLevel="1">
      <c r="C252" s="507" t="str">
        <f t="shared" ca="1" si="173"/>
        <v>29</v>
      </c>
      <c r="D252" s="135" t="s">
        <v>1621</v>
      </c>
      <c r="E252" s="1308" t="s">
        <v>69</v>
      </c>
      <c r="F252" s="1309"/>
      <c r="G252" s="1309"/>
      <c r="H252" s="1310"/>
      <c r="I252" s="104" t="s">
        <v>11</v>
      </c>
      <c r="J252" s="423">
        <v>0</v>
      </c>
      <c r="K252" s="308">
        <v>1</v>
      </c>
      <c r="L252" s="309"/>
      <c r="M252" s="310">
        <f t="shared" ref="M252:M269" si="180">IFERROR(IF((L252/K252)=0,100%,L252/K252),100%)</f>
        <v>1</v>
      </c>
      <c r="N252" s="338" t="s">
        <v>142</v>
      </c>
      <c r="O252" s="421">
        <v>1000</v>
      </c>
      <c r="P252" s="339">
        <f>J252*M252*O252</f>
        <v>0</v>
      </c>
      <c r="Q252" s="337"/>
    </row>
    <row r="253" spans="1:25" ht="15.75" customHeight="1" outlineLevel="1">
      <c r="C253" s="507" t="str">
        <f t="shared" ca="1" si="173"/>
        <v>30</v>
      </c>
      <c r="D253" s="135" t="s">
        <v>1620</v>
      </c>
      <c r="E253" s="1308" t="s">
        <v>60</v>
      </c>
      <c r="F253" s="1309"/>
      <c r="G253" s="1309"/>
      <c r="H253" s="1310"/>
      <c r="I253" s="104" t="s">
        <v>11</v>
      </c>
      <c r="J253" s="423">
        <v>0</v>
      </c>
      <c r="K253" s="308">
        <f t="shared" ref="K253:K273" si="181">meses_obra</f>
        <v>8</v>
      </c>
      <c r="L253" s="309"/>
      <c r="M253" s="310">
        <f t="shared" si="180"/>
        <v>1</v>
      </c>
      <c r="N253" s="338" t="s">
        <v>142</v>
      </c>
      <c r="O253" s="421">
        <v>400</v>
      </c>
      <c r="P253" s="339">
        <f>J253*M253*O253</f>
        <v>0</v>
      </c>
      <c r="Q253" s="337"/>
    </row>
    <row r="254" spans="1:25" ht="15.75" customHeight="1" outlineLevel="1">
      <c r="C254" s="507" t="str">
        <f t="shared" ca="1" si="173"/>
        <v>31</v>
      </c>
      <c r="D254" s="135" t="s">
        <v>1622</v>
      </c>
      <c r="E254" s="1308" t="s">
        <v>61</v>
      </c>
      <c r="F254" s="1309"/>
      <c r="G254" s="1309"/>
      <c r="H254" s="1310"/>
      <c r="I254" s="104" t="s">
        <v>11</v>
      </c>
      <c r="J254" s="423">
        <v>0</v>
      </c>
      <c r="K254" s="308">
        <f t="shared" si="181"/>
        <v>8</v>
      </c>
      <c r="L254" s="309"/>
      <c r="M254" s="310">
        <f t="shared" si="180"/>
        <v>1</v>
      </c>
      <c r="N254" s="338" t="s">
        <v>142</v>
      </c>
      <c r="O254" s="421">
        <v>500</v>
      </c>
      <c r="P254" s="339">
        <f>J254*M254*O254</f>
        <v>0</v>
      </c>
      <c r="Q254" s="337"/>
      <c r="T254" s="49"/>
    </row>
    <row r="255" spans="1:25" ht="15.75" customHeight="1" outlineLevel="1">
      <c r="C255" s="507" t="str">
        <f t="shared" ca="1" si="173"/>
        <v>32</v>
      </c>
      <c r="D255" s="135" t="s">
        <v>1623</v>
      </c>
      <c r="E255" s="1304" t="s">
        <v>444</v>
      </c>
      <c r="F255" s="1305"/>
      <c r="G255" s="1305"/>
      <c r="H255" s="1306"/>
      <c r="I255" s="104" t="s">
        <v>11</v>
      </c>
      <c r="J255" s="423">
        <v>0</v>
      </c>
      <c r="K255" s="308">
        <f t="shared" si="181"/>
        <v>8</v>
      </c>
      <c r="L255" s="309"/>
      <c r="M255" s="310">
        <f t="shared" si="180"/>
        <v>1</v>
      </c>
      <c r="N255" s="308">
        <f t="shared" ref="N255:N270" si="182">meses_obra</f>
        <v>8</v>
      </c>
      <c r="O255" s="421">
        <v>900</v>
      </c>
      <c r="P255" s="339">
        <f t="shared" ref="P255:P270" si="183">J255*M255*N255*O255</f>
        <v>0</v>
      </c>
      <c r="Q255" s="337"/>
    </row>
    <row r="256" spans="1:25" ht="15.75" customHeight="1" outlineLevel="1">
      <c r="C256" s="507" t="str">
        <f t="shared" ca="1" si="173"/>
        <v>33</v>
      </c>
      <c r="D256" s="135" t="s">
        <v>1624</v>
      </c>
      <c r="E256" s="1304" t="s">
        <v>445</v>
      </c>
      <c r="F256" s="1305"/>
      <c r="G256" s="1305"/>
      <c r="H256" s="1306"/>
      <c r="I256" s="104" t="s">
        <v>11</v>
      </c>
      <c r="J256" s="423">
        <v>0</v>
      </c>
      <c r="K256" s="308">
        <f t="shared" si="181"/>
        <v>8</v>
      </c>
      <c r="L256" s="309"/>
      <c r="M256" s="310">
        <f t="shared" si="180"/>
        <v>1</v>
      </c>
      <c r="N256" s="308">
        <f t="shared" si="182"/>
        <v>8</v>
      </c>
      <c r="O256" s="421">
        <v>900</v>
      </c>
      <c r="P256" s="339">
        <f t="shared" si="183"/>
        <v>0</v>
      </c>
      <c r="Q256" s="337"/>
    </row>
    <row r="257" spans="3:20" ht="15.75" customHeight="1" outlineLevel="1">
      <c r="C257" s="507" t="str">
        <f t="shared" ca="1" si="173"/>
        <v>34</v>
      </c>
      <c r="D257" s="135" t="s">
        <v>1625</v>
      </c>
      <c r="E257" s="1304" t="s">
        <v>446</v>
      </c>
      <c r="F257" s="1305"/>
      <c r="G257" s="1305"/>
      <c r="H257" s="1306"/>
      <c r="I257" s="104" t="s">
        <v>11</v>
      </c>
      <c r="J257" s="411">
        <v>0</v>
      </c>
      <c r="K257" s="308">
        <f t="shared" si="181"/>
        <v>8</v>
      </c>
      <c r="L257" s="309"/>
      <c r="M257" s="310">
        <f t="shared" si="180"/>
        <v>1</v>
      </c>
      <c r="N257" s="308">
        <f t="shared" si="182"/>
        <v>8</v>
      </c>
      <c r="O257" s="421">
        <v>900</v>
      </c>
      <c r="P257" s="339">
        <f t="shared" si="183"/>
        <v>0</v>
      </c>
      <c r="Q257" s="337"/>
    </row>
    <row r="258" spans="3:20" ht="15.75" customHeight="1" outlineLevel="1">
      <c r="C258" s="507" t="str">
        <f t="shared" ca="1" si="173"/>
        <v>35</v>
      </c>
      <c r="D258" s="135" t="s">
        <v>1626</v>
      </c>
      <c r="E258" s="1304" t="s">
        <v>447</v>
      </c>
      <c r="F258" s="1305"/>
      <c r="G258" s="1305"/>
      <c r="H258" s="1306"/>
      <c r="I258" s="104" t="s">
        <v>11</v>
      </c>
      <c r="J258" s="423">
        <v>0</v>
      </c>
      <c r="K258" s="308">
        <f t="shared" si="181"/>
        <v>8</v>
      </c>
      <c r="L258" s="309"/>
      <c r="M258" s="310">
        <f t="shared" si="180"/>
        <v>1</v>
      </c>
      <c r="N258" s="308">
        <f t="shared" si="182"/>
        <v>8</v>
      </c>
      <c r="O258" s="421">
        <v>900</v>
      </c>
      <c r="P258" s="339">
        <f t="shared" si="183"/>
        <v>0</v>
      </c>
      <c r="Q258" s="337"/>
    </row>
    <row r="259" spans="3:20" ht="15.75" customHeight="1" outlineLevel="1">
      <c r="C259" s="507" t="str">
        <f t="shared" ca="1" si="173"/>
        <v>36</v>
      </c>
      <c r="D259" s="135" t="s">
        <v>1627</v>
      </c>
      <c r="E259" s="1304" t="s">
        <v>448</v>
      </c>
      <c r="F259" s="1305"/>
      <c r="G259" s="1305"/>
      <c r="H259" s="1306"/>
      <c r="I259" s="104" t="s">
        <v>11</v>
      </c>
      <c r="J259" s="423">
        <v>0</v>
      </c>
      <c r="K259" s="308">
        <f t="shared" si="181"/>
        <v>8</v>
      </c>
      <c r="L259" s="309"/>
      <c r="M259" s="310">
        <f t="shared" si="180"/>
        <v>1</v>
      </c>
      <c r="N259" s="308">
        <f t="shared" si="182"/>
        <v>8</v>
      </c>
      <c r="O259" s="421">
        <v>900</v>
      </c>
      <c r="P259" s="339">
        <f t="shared" si="183"/>
        <v>0</v>
      </c>
      <c r="Q259" s="337"/>
    </row>
    <row r="260" spans="3:20" ht="15.75" customHeight="1" outlineLevel="1">
      <c r="C260" s="507" t="str">
        <f t="shared" ca="1" si="173"/>
        <v>37</v>
      </c>
      <c r="D260" s="135" t="s">
        <v>1628</v>
      </c>
      <c r="E260" s="1304" t="s">
        <v>449</v>
      </c>
      <c r="F260" s="1305"/>
      <c r="G260" s="1305"/>
      <c r="H260" s="1306"/>
      <c r="I260" s="104" t="s">
        <v>11</v>
      </c>
      <c r="J260" s="423">
        <v>0</v>
      </c>
      <c r="K260" s="308">
        <f t="shared" si="181"/>
        <v>8</v>
      </c>
      <c r="L260" s="309"/>
      <c r="M260" s="310">
        <f t="shared" si="180"/>
        <v>1</v>
      </c>
      <c r="N260" s="308">
        <f t="shared" si="182"/>
        <v>8</v>
      </c>
      <c r="O260" s="421">
        <v>1200</v>
      </c>
      <c r="P260" s="339">
        <f t="shared" si="183"/>
        <v>0</v>
      </c>
      <c r="Q260" s="337"/>
    </row>
    <row r="261" spans="3:20" ht="15.75" customHeight="1" outlineLevel="1">
      <c r="C261" s="507" t="str">
        <f t="shared" ca="1" si="173"/>
        <v>38</v>
      </c>
      <c r="D261" s="135" t="s">
        <v>1629</v>
      </c>
      <c r="E261" s="1304" t="s">
        <v>450</v>
      </c>
      <c r="F261" s="1305"/>
      <c r="G261" s="1305"/>
      <c r="H261" s="1306"/>
      <c r="I261" s="104" t="s">
        <v>11</v>
      </c>
      <c r="J261" s="423">
        <v>0</v>
      </c>
      <c r="K261" s="308">
        <f t="shared" si="181"/>
        <v>8</v>
      </c>
      <c r="L261" s="309"/>
      <c r="M261" s="310">
        <f t="shared" si="180"/>
        <v>1</v>
      </c>
      <c r="N261" s="308">
        <f t="shared" si="182"/>
        <v>8</v>
      </c>
      <c r="O261" s="421">
        <v>900</v>
      </c>
      <c r="P261" s="339">
        <f t="shared" si="183"/>
        <v>0</v>
      </c>
      <c r="Q261" s="337"/>
    </row>
    <row r="262" spans="3:20" ht="15.75" customHeight="1" outlineLevel="1">
      <c r="C262" s="507" t="str">
        <f t="shared" ca="1" si="173"/>
        <v>39</v>
      </c>
      <c r="D262" s="135" t="s">
        <v>1630</v>
      </c>
      <c r="E262" s="1304" t="s">
        <v>451</v>
      </c>
      <c r="F262" s="1305"/>
      <c r="G262" s="1305"/>
      <c r="H262" s="1306"/>
      <c r="I262" s="104" t="s">
        <v>11</v>
      </c>
      <c r="J262" s="423">
        <v>0</v>
      </c>
      <c r="K262" s="308">
        <f t="shared" si="181"/>
        <v>8</v>
      </c>
      <c r="L262" s="309"/>
      <c r="M262" s="310">
        <f t="shared" si="180"/>
        <v>1</v>
      </c>
      <c r="N262" s="308">
        <f t="shared" si="182"/>
        <v>8</v>
      </c>
      <c r="O262" s="421">
        <v>1600</v>
      </c>
      <c r="P262" s="339">
        <f t="shared" si="183"/>
        <v>0</v>
      </c>
      <c r="Q262" s="337"/>
    </row>
    <row r="263" spans="3:20" ht="15.75" customHeight="1" outlineLevel="1">
      <c r="C263" s="507" t="str">
        <f t="shared" ca="1" si="173"/>
        <v>40</v>
      </c>
      <c r="D263" s="135" t="s">
        <v>1631</v>
      </c>
      <c r="E263" s="1304" t="s">
        <v>453</v>
      </c>
      <c r="F263" s="1305"/>
      <c r="G263" s="1305"/>
      <c r="H263" s="1306"/>
      <c r="I263" s="104" t="s">
        <v>11</v>
      </c>
      <c r="J263" s="423">
        <v>0</v>
      </c>
      <c r="K263" s="308">
        <f t="shared" si="181"/>
        <v>8</v>
      </c>
      <c r="L263" s="309"/>
      <c r="M263" s="310">
        <f t="shared" si="180"/>
        <v>1</v>
      </c>
      <c r="N263" s="308">
        <f t="shared" si="182"/>
        <v>8</v>
      </c>
      <c r="O263" s="421">
        <v>800</v>
      </c>
      <c r="P263" s="339">
        <f t="shared" si="183"/>
        <v>0</v>
      </c>
      <c r="Q263" s="337"/>
    </row>
    <row r="264" spans="3:20" ht="15.75" customHeight="1" outlineLevel="1">
      <c r="C264" s="507" t="str">
        <f t="shared" ca="1" si="173"/>
        <v>41</v>
      </c>
      <c r="D264" s="135" t="s">
        <v>1632</v>
      </c>
      <c r="E264" s="1304" t="s">
        <v>831</v>
      </c>
      <c r="F264" s="1305"/>
      <c r="G264" s="1305"/>
      <c r="H264" s="1306"/>
      <c r="I264" s="104" t="s">
        <v>11</v>
      </c>
      <c r="J264" s="411">
        <v>0</v>
      </c>
      <c r="K264" s="308">
        <f t="shared" si="181"/>
        <v>8</v>
      </c>
      <c r="L264" s="309"/>
      <c r="M264" s="310">
        <f t="shared" si="180"/>
        <v>1</v>
      </c>
      <c r="N264" s="308">
        <f t="shared" si="182"/>
        <v>8</v>
      </c>
      <c r="O264" s="421">
        <v>500</v>
      </c>
      <c r="P264" s="339">
        <f t="shared" si="183"/>
        <v>0</v>
      </c>
      <c r="Q264" s="337"/>
    </row>
    <row r="265" spans="3:20" ht="15.75" customHeight="1" outlineLevel="1">
      <c r="C265" s="507" t="str">
        <f t="shared" ca="1" si="173"/>
        <v>42</v>
      </c>
      <c r="D265" s="135" t="s">
        <v>1633</v>
      </c>
      <c r="E265" s="1308" t="s">
        <v>330</v>
      </c>
      <c r="F265" s="1309"/>
      <c r="G265" s="1309"/>
      <c r="H265" s="1310"/>
      <c r="I265" s="104" t="s">
        <v>11</v>
      </c>
      <c r="J265" s="411">
        <v>0</v>
      </c>
      <c r="K265" s="308">
        <f t="shared" si="181"/>
        <v>8</v>
      </c>
      <c r="L265" s="309"/>
      <c r="M265" s="310">
        <f t="shared" si="180"/>
        <v>1</v>
      </c>
      <c r="N265" s="308">
        <f t="shared" si="182"/>
        <v>8</v>
      </c>
      <c r="O265" s="421">
        <v>500</v>
      </c>
      <c r="P265" s="339">
        <f t="shared" si="183"/>
        <v>0</v>
      </c>
      <c r="Q265" s="337"/>
    </row>
    <row r="266" spans="3:20" ht="15.75" customHeight="1" outlineLevel="1">
      <c r="C266" s="507" t="str">
        <f t="shared" ca="1" si="173"/>
        <v>43</v>
      </c>
      <c r="D266" s="135" t="s">
        <v>1634</v>
      </c>
      <c r="E266" s="1304" t="s">
        <v>337</v>
      </c>
      <c r="F266" s="1305"/>
      <c r="G266" s="1305"/>
      <c r="H266" s="1306"/>
      <c r="I266" s="104" t="s">
        <v>11</v>
      </c>
      <c r="J266" s="411">
        <v>0</v>
      </c>
      <c r="K266" s="308">
        <f t="shared" si="181"/>
        <v>8</v>
      </c>
      <c r="L266" s="309"/>
      <c r="M266" s="310">
        <f t="shared" si="180"/>
        <v>1</v>
      </c>
      <c r="N266" s="308">
        <v>2</v>
      </c>
      <c r="O266" s="421">
        <v>1400</v>
      </c>
      <c r="P266" s="339">
        <f t="shared" si="183"/>
        <v>0</v>
      </c>
      <c r="Q266" s="337"/>
    </row>
    <row r="267" spans="3:20" ht="15.75" customHeight="1" outlineLevel="1">
      <c r="C267" s="507" t="str">
        <f t="shared" ca="1" si="173"/>
        <v>44</v>
      </c>
      <c r="D267" s="135" t="s">
        <v>1635</v>
      </c>
      <c r="E267" s="1304" t="s">
        <v>331</v>
      </c>
      <c r="F267" s="1305"/>
      <c r="G267" s="1305"/>
      <c r="H267" s="1306"/>
      <c r="I267" s="104" t="s">
        <v>11</v>
      </c>
      <c r="J267" s="423">
        <v>0</v>
      </c>
      <c r="K267" s="308">
        <f t="shared" si="181"/>
        <v>8</v>
      </c>
      <c r="L267" s="309"/>
      <c r="M267" s="310">
        <f t="shared" si="180"/>
        <v>1</v>
      </c>
      <c r="N267" s="308">
        <f t="shared" si="182"/>
        <v>8</v>
      </c>
      <c r="O267" s="421">
        <v>400</v>
      </c>
      <c r="P267" s="339">
        <f t="shared" si="183"/>
        <v>0</v>
      </c>
      <c r="Q267" s="337"/>
    </row>
    <row r="268" spans="3:20" ht="15.75" customHeight="1" outlineLevel="1">
      <c r="C268" s="507" t="str">
        <f t="shared" ref="C268:C320" ca="1" si="184">IF(OFFSET(C268,-1,0)&gt;="01",CONCATENATE(,OFFSET(C268,-1,0)+1),CONCATENATE((SUM(OFFSET(C268,-1,0)+1-(OFFSET(C268,-1,0))))))</f>
        <v>45</v>
      </c>
      <c r="D268" s="135" t="s">
        <v>1636</v>
      </c>
      <c r="E268" s="1304" t="s">
        <v>506</v>
      </c>
      <c r="F268" s="1305"/>
      <c r="G268" s="1305"/>
      <c r="H268" s="1306"/>
      <c r="I268" s="104" t="s">
        <v>11</v>
      </c>
      <c r="J268" s="423">
        <v>0</v>
      </c>
      <c r="K268" s="308">
        <f t="shared" si="181"/>
        <v>8</v>
      </c>
      <c r="L268" s="309"/>
      <c r="M268" s="310">
        <f t="shared" si="180"/>
        <v>1</v>
      </c>
      <c r="N268" s="308">
        <f t="shared" si="182"/>
        <v>8</v>
      </c>
      <c r="O268" s="421">
        <v>1700</v>
      </c>
      <c r="P268" s="339">
        <f t="shared" si="183"/>
        <v>0</v>
      </c>
      <c r="Q268" s="337"/>
    </row>
    <row r="269" spans="3:20" ht="15.75" customHeight="1" outlineLevel="1">
      <c r="C269" s="507" t="str">
        <f t="shared" ca="1" si="184"/>
        <v>46</v>
      </c>
      <c r="D269" s="135" t="s">
        <v>1637</v>
      </c>
      <c r="E269" s="1304" t="s">
        <v>507</v>
      </c>
      <c r="F269" s="1305"/>
      <c r="G269" s="1305"/>
      <c r="H269" s="1306"/>
      <c r="I269" s="104" t="s">
        <v>11</v>
      </c>
      <c r="J269" s="423">
        <v>0</v>
      </c>
      <c r="K269" s="308">
        <f t="shared" si="181"/>
        <v>8</v>
      </c>
      <c r="L269" s="309"/>
      <c r="M269" s="310">
        <f t="shared" si="180"/>
        <v>1</v>
      </c>
      <c r="N269" s="308">
        <f t="shared" si="182"/>
        <v>8</v>
      </c>
      <c r="O269" s="421">
        <v>600</v>
      </c>
      <c r="P269" s="339">
        <f t="shared" si="183"/>
        <v>0</v>
      </c>
      <c r="Q269" s="337"/>
    </row>
    <row r="270" spans="3:20" ht="15.75" customHeight="1" outlineLevel="1">
      <c r="C270" s="507" t="str">
        <f t="shared" ca="1" si="184"/>
        <v>47</v>
      </c>
      <c r="D270" s="135" t="s">
        <v>1638</v>
      </c>
      <c r="E270" s="1308" t="s">
        <v>341</v>
      </c>
      <c r="F270" s="1309"/>
      <c r="G270" s="1309"/>
      <c r="H270" s="1310"/>
      <c r="I270" s="104" t="s">
        <v>11</v>
      </c>
      <c r="J270" s="423">
        <v>0</v>
      </c>
      <c r="K270" s="308">
        <f t="shared" si="181"/>
        <v>8</v>
      </c>
      <c r="L270" s="309">
        <v>0</v>
      </c>
      <c r="M270" s="310">
        <f t="shared" ref="M270:M273" si="185">IF(L270=0,0,IFERROR(IF((L270/K270)=0,100%,L270/K270),100%))</f>
        <v>0</v>
      </c>
      <c r="N270" s="308">
        <f t="shared" si="182"/>
        <v>8</v>
      </c>
      <c r="O270" s="421">
        <v>250</v>
      </c>
      <c r="P270" s="339">
        <f t="shared" si="183"/>
        <v>0</v>
      </c>
      <c r="Q270" s="337"/>
    </row>
    <row r="271" spans="3:20" ht="15.75" customHeight="1" outlineLevel="1">
      <c r="C271" s="507" t="str">
        <f t="shared" ca="1" si="184"/>
        <v>48</v>
      </c>
      <c r="D271" s="135" t="s">
        <v>1639</v>
      </c>
      <c r="E271" s="1308" t="s">
        <v>63</v>
      </c>
      <c r="F271" s="1309"/>
      <c r="G271" s="1309"/>
      <c r="H271" s="1310"/>
      <c r="I271" s="104" t="s">
        <v>11</v>
      </c>
      <c r="J271" s="423">
        <v>0</v>
      </c>
      <c r="K271" s="308">
        <f t="shared" si="181"/>
        <v>8</v>
      </c>
      <c r="L271" s="309">
        <v>0</v>
      </c>
      <c r="M271" s="310">
        <f t="shared" si="185"/>
        <v>0</v>
      </c>
      <c r="N271" s="338" t="s">
        <v>142</v>
      </c>
      <c r="O271" s="421">
        <v>29.9</v>
      </c>
      <c r="P271" s="339">
        <f>J271*M271*O271</f>
        <v>0</v>
      </c>
      <c r="Q271" s="337"/>
      <c r="T271" s="49"/>
    </row>
    <row r="272" spans="3:20" ht="15.75" customHeight="1" outlineLevel="1">
      <c r="C272" s="507" t="str">
        <f t="shared" ca="1" si="184"/>
        <v>49</v>
      </c>
      <c r="D272" s="135" t="s">
        <v>1640</v>
      </c>
      <c r="E272" s="1308" t="s">
        <v>303</v>
      </c>
      <c r="F272" s="1309"/>
      <c r="G272" s="1309"/>
      <c r="H272" s="1310"/>
      <c r="I272" s="104" t="s">
        <v>11</v>
      </c>
      <c r="J272" s="423">
        <v>0</v>
      </c>
      <c r="K272" s="308">
        <f t="shared" si="181"/>
        <v>8</v>
      </c>
      <c r="L272" s="309">
        <v>0</v>
      </c>
      <c r="M272" s="310">
        <f t="shared" si="185"/>
        <v>0</v>
      </c>
      <c r="N272" s="338" t="s">
        <v>142</v>
      </c>
      <c r="O272" s="421">
        <v>29.9</v>
      </c>
      <c r="P272" s="339">
        <f>J272*M272*O272</f>
        <v>0</v>
      </c>
      <c r="Q272" s="337"/>
    </row>
    <row r="273" spans="1:25" ht="15.75" customHeight="1" outlineLevel="1">
      <c r="C273" s="507" t="str">
        <f t="shared" ca="1" si="184"/>
        <v>50</v>
      </c>
      <c r="D273" s="135" t="s">
        <v>1641</v>
      </c>
      <c r="E273" s="1308" t="s">
        <v>304</v>
      </c>
      <c r="F273" s="1309"/>
      <c r="G273" s="1309"/>
      <c r="H273" s="1310"/>
      <c r="I273" s="104" t="s">
        <v>11</v>
      </c>
      <c r="J273" s="341">
        <v>0</v>
      </c>
      <c r="K273" s="308">
        <f t="shared" si="181"/>
        <v>8</v>
      </c>
      <c r="L273" s="309">
        <v>0</v>
      </c>
      <c r="M273" s="310">
        <f t="shared" si="185"/>
        <v>0</v>
      </c>
      <c r="N273" s="338" t="s">
        <v>142</v>
      </c>
      <c r="O273" s="421">
        <v>29.9</v>
      </c>
      <c r="P273" s="339">
        <f>J273*M273*O273</f>
        <v>0</v>
      </c>
      <c r="Q273" s="337"/>
    </row>
    <row r="274" spans="1:25" s="49" customFormat="1" ht="15.75" customHeight="1" outlineLevel="1">
      <c r="A274" s="322"/>
      <c r="B274" s="322"/>
      <c r="C274" s="507" t="str">
        <f t="shared" ca="1" si="184"/>
        <v>51</v>
      </c>
      <c r="D274" s="808" t="s">
        <v>707</v>
      </c>
      <c r="E274" s="792" t="s">
        <v>336</v>
      </c>
      <c r="F274" s="793"/>
      <c r="G274" s="793"/>
      <c r="H274" s="818"/>
      <c r="I274" s="789"/>
      <c r="J274" s="819"/>
      <c r="K274" s="788"/>
      <c r="L274" s="819"/>
      <c r="M274" s="820"/>
      <c r="N274" s="819"/>
      <c r="O274" s="819"/>
      <c r="P274" s="821"/>
      <c r="Q274" s="337"/>
      <c r="R274" s="36"/>
      <c r="S274" s="36"/>
      <c r="U274" s="36"/>
      <c r="V274" s="36"/>
      <c r="W274" s="36"/>
      <c r="X274" s="36"/>
      <c r="Y274" s="36"/>
    </row>
    <row r="275" spans="1:25" ht="15.75" customHeight="1" outlineLevel="1">
      <c r="C275" s="507" t="str">
        <f t="shared" ca="1" si="184"/>
        <v>52</v>
      </c>
      <c r="D275" s="135" t="s">
        <v>1642</v>
      </c>
      <c r="E275" s="1308" t="s">
        <v>309</v>
      </c>
      <c r="F275" s="1309"/>
      <c r="G275" s="1309"/>
      <c r="H275" s="1310"/>
      <c r="I275" s="104" t="s">
        <v>11</v>
      </c>
      <c r="J275" s="424">
        <v>0</v>
      </c>
      <c r="K275" s="308">
        <f t="shared" ref="K275:K299" si="186">meses_obra</f>
        <v>8</v>
      </c>
      <c r="L275" s="309"/>
      <c r="M275" s="310">
        <f t="shared" ref="M275:M280" si="187">IFERROR(IF((L275/K275)=0,100%,L275/K275),100%)</f>
        <v>1</v>
      </c>
      <c r="N275" s="338" t="s">
        <v>142</v>
      </c>
      <c r="O275" s="421">
        <f t="shared" ref="O275:O280" si="188">158.2</f>
        <v>158.19999999999999</v>
      </c>
      <c r="P275" s="339">
        <f t="shared" ref="P275:P280" si="189">J275*M275*O275</f>
        <v>0</v>
      </c>
      <c r="Q275" s="337"/>
    </row>
    <row r="276" spans="1:25" ht="15.75" customHeight="1" outlineLevel="1">
      <c r="C276" s="507" t="str">
        <f t="shared" ca="1" si="184"/>
        <v>53</v>
      </c>
      <c r="D276" s="135" t="s">
        <v>1643</v>
      </c>
      <c r="E276" s="1308" t="s">
        <v>310</v>
      </c>
      <c r="F276" s="1309"/>
      <c r="G276" s="1309"/>
      <c r="H276" s="1310"/>
      <c r="I276" s="104" t="s">
        <v>11</v>
      </c>
      <c r="J276" s="424">
        <v>0</v>
      </c>
      <c r="K276" s="308">
        <f t="shared" si="186"/>
        <v>8</v>
      </c>
      <c r="L276" s="309"/>
      <c r="M276" s="310">
        <f t="shared" si="187"/>
        <v>1</v>
      </c>
      <c r="N276" s="338" t="s">
        <v>142</v>
      </c>
      <c r="O276" s="421">
        <f t="shared" si="188"/>
        <v>158.19999999999999</v>
      </c>
      <c r="P276" s="339">
        <f t="shared" si="189"/>
        <v>0</v>
      </c>
      <c r="Q276" s="337"/>
    </row>
    <row r="277" spans="1:25" ht="15.75" customHeight="1" outlineLevel="1">
      <c r="C277" s="507" t="str">
        <f t="shared" ca="1" si="184"/>
        <v>54</v>
      </c>
      <c r="D277" s="135" t="s">
        <v>1644</v>
      </c>
      <c r="E277" s="1308" t="s">
        <v>311</v>
      </c>
      <c r="F277" s="1309"/>
      <c r="G277" s="1309"/>
      <c r="H277" s="1310"/>
      <c r="I277" s="104" t="s">
        <v>11</v>
      </c>
      <c r="J277" s="424">
        <v>0</v>
      </c>
      <c r="K277" s="308">
        <f t="shared" si="186"/>
        <v>8</v>
      </c>
      <c r="L277" s="309"/>
      <c r="M277" s="310">
        <f t="shared" si="187"/>
        <v>1</v>
      </c>
      <c r="N277" s="338" t="s">
        <v>142</v>
      </c>
      <c r="O277" s="421">
        <f t="shared" si="188"/>
        <v>158.19999999999999</v>
      </c>
      <c r="P277" s="339">
        <f t="shared" si="189"/>
        <v>0</v>
      </c>
      <c r="Q277" s="337"/>
    </row>
    <row r="278" spans="1:25" ht="15.75" customHeight="1" outlineLevel="1">
      <c r="C278" s="507" t="str">
        <f t="shared" ca="1" si="184"/>
        <v>55</v>
      </c>
      <c r="D278" s="135" t="s">
        <v>1645</v>
      </c>
      <c r="E278" s="1308" t="s">
        <v>312</v>
      </c>
      <c r="F278" s="1309"/>
      <c r="G278" s="1309"/>
      <c r="H278" s="1310"/>
      <c r="I278" s="104" t="s">
        <v>11</v>
      </c>
      <c r="J278" s="424">
        <v>0</v>
      </c>
      <c r="K278" s="308">
        <f t="shared" si="186"/>
        <v>8</v>
      </c>
      <c r="L278" s="309"/>
      <c r="M278" s="310">
        <f t="shared" si="187"/>
        <v>1</v>
      </c>
      <c r="N278" s="338" t="s">
        <v>142</v>
      </c>
      <c r="O278" s="421">
        <f t="shared" si="188"/>
        <v>158.19999999999999</v>
      </c>
      <c r="P278" s="339">
        <f t="shared" si="189"/>
        <v>0</v>
      </c>
      <c r="Q278" s="337"/>
    </row>
    <row r="279" spans="1:25" ht="15.75" customHeight="1" outlineLevel="1">
      <c r="C279" s="507" t="str">
        <f t="shared" ca="1" si="184"/>
        <v>56</v>
      </c>
      <c r="D279" s="135" t="s">
        <v>1646</v>
      </c>
      <c r="E279" s="1308" t="s">
        <v>62</v>
      </c>
      <c r="F279" s="1309"/>
      <c r="G279" s="1309"/>
      <c r="H279" s="1310"/>
      <c r="I279" s="104" t="s">
        <v>11</v>
      </c>
      <c r="J279" s="340">
        <v>0</v>
      </c>
      <c r="K279" s="308">
        <f t="shared" si="186"/>
        <v>8</v>
      </c>
      <c r="L279" s="309"/>
      <c r="M279" s="310">
        <f t="shared" si="187"/>
        <v>1</v>
      </c>
      <c r="N279" s="338" t="s">
        <v>142</v>
      </c>
      <c r="O279" s="421">
        <f t="shared" si="188"/>
        <v>158.19999999999999</v>
      </c>
      <c r="P279" s="339">
        <f t="shared" si="189"/>
        <v>0</v>
      </c>
      <c r="Q279" s="337"/>
    </row>
    <row r="280" spans="1:25" ht="15.75" customHeight="1" outlineLevel="1">
      <c r="C280" s="507" t="str">
        <f t="shared" ca="1" si="184"/>
        <v>57</v>
      </c>
      <c r="D280" s="135" t="s">
        <v>1647</v>
      </c>
      <c r="E280" s="1308" t="s">
        <v>699</v>
      </c>
      <c r="F280" s="1309"/>
      <c r="G280" s="1309"/>
      <c r="H280" s="1310"/>
      <c r="I280" s="104" t="s">
        <v>11</v>
      </c>
      <c r="J280" s="424">
        <v>0</v>
      </c>
      <c r="K280" s="308">
        <f t="shared" si="186"/>
        <v>8</v>
      </c>
      <c r="L280" s="309"/>
      <c r="M280" s="310">
        <f t="shared" si="187"/>
        <v>1</v>
      </c>
      <c r="N280" s="338" t="s">
        <v>142</v>
      </c>
      <c r="O280" s="421">
        <f t="shared" si="188"/>
        <v>158.19999999999999</v>
      </c>
      <c r="P280" s="339">
        <f t="shared" si="189"/>
        <v>0</v>
      </c>
      <c r="Q280" s="337"/>
    </row>
    <row r="281" spans="1:25" ht="15.75" customHeight="1" outlineLevel="1">
      <c r="C281" s="507" t="str">
        <f t="shared" ca="1" si="184"/>
        <v>58</v>
      </c>
      <c r="D281" s="135" t="s">
        <v>1765</v>
      </c>
      <c r="E281" s="1308" t="s">
        <v>1999</v>
      </c>
      <c r="F281" s="1309"/>
      <c r="G281" s="1309"/>
      <c r="H281" s="1310"/>
      <c r="I281" s="104" t="s">
        <v>11</v>
      </c>
      <c r="J281" s="423">
        <v>0</v>
      </c>
      <c r="K281" s="308">
        <f t="shared" si="186"/>
        <v>8</v>
      </c>
      <c r="L281" s="309"/>
      <c r="M281" s="310">
        <v>1</v>
      </c>
      <c r="N281" s="308">
        <v>1</v>
      </c>
      <c r="O281" s="421">
        <v>1200</v>
      </c>
      <c r="P281" s="339">
        <f>J281*M281*N281*O281</f>
        <v>0</v>
      </c>
      <c r="Q281" s="337"/>
    </row>
    <row r="282" spans="1:25" s="49" customFormat="1" ht="15.75" customHeight="1" outlineLevel="1">
      <c r="A282" s="322"/>
      <c r="B282" s="322"/>
      <c r="C282" s="507" t="str">
        <f t="shared" ca="1" si="184"/>
        <v>59</v>
      </c>
      <c r="D282" s="808" t="s">
        <v>708</v>
      </c>
      <c r="E282" s="792" t="s">
        <v>335</v>
      </c>
      <c r="F282" s="793"/>
      <c r="G282" s="793"/>
      <c r="H282" s="793"/>
      <c r="I282" s="789"/>
      <c r="J282" s="789"/>
      <c r="K282" s="788"/>
      <c r="L282" s="788"/>
      <c r="M282" s="815"/>
      <c r="N282" s="788"/>
      <c r="O282" s="816"/>
      <c r="P282" s="817"/>
      <c r="Q282" s="337"/>
      <c r="R282" s="36"/>
      <c r="S282" s="36"/>
      <c r="T282" s="36"/>
      <c r="U282" s="36"/>
      <c r="V282" s="40"/>
    </row>
    <row r="283" spans="1:25" ht="15.75" customHeight="1" outlineLevel="1">
      <c r="C283" s="507" t="str">
        <f t="shared" ca="1" si="184"/>
        <v>60</v>
      </c>
      <c r="D283" s="135" t="s">
        <v>1648</v>
      </c>
      <c r="E283" s="1308" t="s">
        <v>844</v>
      </c>
      <c r="F283" s="1309"/>
      <c r="G283" s="1309"/>
      <c r="H283" s="1310"/>
      <c r="I283" s="104" t="s">
        <v>254</v>
      </c>
      <c r="J283" s="411">
        <v>0</v>
      </c>
      <c r="K283" s="308">
        <f t="shared" si="186"/>
        <v>8</v>
      </c>
      <c r="L283" s="309"/>
      <c r="M283" s="310">
        <f t="shared" ref="M283:M289" si="190">IFERROR(IF((L283/K283)=0,100%,L283/K283),100%)</f>
        <v>1</v>
      </c>
      <c r="N283" s="338" t="s">
        <v>142</v>
      </c>
      <c r="O283" s="421">
        <v>3.65</v>
      </c>
      <c r="P283" s="339">
        <f t="shared" ref="P283:P289" si="191">J283*M283*O283</f>
        <v>0</v>
      </c>
      <c r="Q283" s="337"/>
    </row>
    <row r="284" spans="1:25" ht="15.75" customHeight="1" outlineLevel="1">
      <c r="C284" s="507" t="str">
        <f t="shared" ca="1" si="184"/>
        <v>61</v>
      </c>
      <c r="D284" s="135" t="s">
        <v>1649</v>
      </c>
      <c r="E284" s="1308" t="s">
        <v>333</v>
      </c>
      <c r="F284" s="1309"/>
      <c r="G284" s="1309"/>
      <c r="H284" s="1310"/>
      <c r="I284" s="104" t="s">
        <v>253</v>
      </c>
      <c r="J284" s="341">
        <v>0</v>
      </c>
      <c r="K284" s="308">
        <f t="shared" si="186"/>
        <v>8</v>
      </c>
      <c r="L284" s="309"/>
      <c r="M284" s="310">
        <f t="shared" si="190"/>
        <v>1</v>
      </c>
      <c r="N284" s="338" t="s">
        <v>142</v>
      </c>
      <c r="O284" s="421">
        <v>85.822000000000003</v>
      </c>
      <c r="P284" s="339">
        <f t="shared" si="191"/>
        <v>0</v>
      </c>
      <c r="Q284" s="337"/>
    </row>
    <row r="285" spans="1:25" ht="15.75" customHeight="1" outlineLevel="1">
      <c r="C285" s="507" t="str">
        <f t="shared" ca="1" si="184"/>
        <v>62</v>
      </c>
      <c r="D285" s="135" t="s">
        <v>1650</v>
      </c>
      <c r="E285" s="1308" t="str">
        <f>"Tapume fixo em painel OSB #12 mm, pintado padrão "&amp;LEFT(F3,9)</f>
        <v>Tapume fixo em painel OSB #12 mm, pintado padrão FC ENGENH</v>
      </c>
      <c r="F285" s="1309"/>
      <c r="G285" s="1309"/>
      <c r="H285" s="1310"/>
      <c r="I285" s="104" t="s">
        <v>253</v>
      </c>
      <c r="J285" s="341">
        <v>0</v>
      </c>
      <c r="K285" s="308">
        <f t="shared" si="186"/>
        <v>8</v>
      </c>
      <c r="L285" s="309"/>
      <c r="M285" s="310">
        <f t="shared" si="190"/>
        <v>1</v>
      </c>
      <c r="N285" s="338" t="s">
        <v>142</v>
      </c>
      <c r="O285" s="421">
        <v>113.74</v>
      </c>
      <c r="P285" s="339">
        <f t="shared" si="191"/>
        <v>0</v>
      </c>
      <c r="Q285" s="337"/>
    </row>
    <row r="286" spans="1:25" ht="15.75" customHeight="1" outlineLevel="1">
      <c r="C286" s="507" t="str">
        <f t="shared" ca="1" si="184"/>
        <v>63</v>
      </c>
      <c r="D286" s="135" t="s">
        <v>1651</v>
      </c>
      <c r="E286" s="1308" t="s">
        <v>700</v>
      </c>
      <c r="F286" s="1309"/>
      <c r="G286" s="1309"/>
      <c r="H286" s="1310"/>
      <c r="I286" s="104" t="s">
        <v>254</v>
      </c>
      <c r="J286" s="341">
        <v>0</v>
      </c>
      <c r="K286" s="308">
        <f t="shared" si="186"/>
        <v>8</v>
      </c>
      <c r="L286" s="309"/>
      <c r="M286" s="310">
        <f t="shared" si="190"/>
        <v>1</v>
      </c>
      <c r="N286" s="338" t="s">
        <v>142</v>
      </c>
      <c r="O286" s="421">
        <v>113.74</v>
      </c>
      <c r="P286" s="339">
        <f t="shared" si="191"/>
        <v>0</v>
      </c>
      <c r="Q286" s="337"/>
    </row>
    <row r="287" spans="1:25" ht="15.75" customHeight="1" outlineLevel="1">
      <c r="C287" s="507" t="str">
        <f t="shared" ca="1" si="184"/>
        <v>64</v>
      </c>
      <c r="D287" s="135" t="s">
        <v>1652</v>
      </c>
      <c r="E287" s="1308" t="s">
        <v>334</v>
      </c>
      <c r="F287" s="1309"/>
      <c r="G287" s="1309"/>
      <c r="H287" s="1310"/>
      <c r="I287" s="104" t="s">
        <v>254</v>
      </c>
      <c r="J287" s="341">
        <v>0</v>
      </c>
      <c r="K287" s="308">
        <f t="shared" si="186"/>
        <v>8</v>
      </c>
      <c r="L287" s="309"/>
      <c r="M287" s="310">
        <f t="shared" si="190"/>
        <v>1</v>
      </c>
      <c r="N287" s="338" t="s">
        <v>142</v>
      </c>
      <c r="O287" s="421">
        <v>144.28</v>
      </c>
      <c r="P287" s="339">
        <f t="shared" si="191"/>
        <v>0</v>
      </c>
      <c r="Q287" s="337"/>
    </row>
    <row r="288" spans="1:25" ht="15.75" customHeight="1" outlineLevel="1">
      <c r="C288" s="507" t="str">
        <f t="shared" ca="1" si="184"/>
        <v>65</v>
      </c>
      <c r="D288" s="135" t="s">
        <v>1653</v>
      </c>
      <c r="E288" s="1308" t="s">
        <v>65</v>
      </c>
      <c r="F288" s="1309"/>
      <c r="G288" s="1309"/>
      <c r="H288" s="1310"/>
      <c r="I288" s="104" t="s">
        <v>253</v>
      </c>
      <c r="J288" s="341">
        <v>0</v>
      </c>
      <c r="K288" s="308">
        <f t="shared" si="186"/>
        <v>8</v>
      </c>
      <c r="L288" s="309"/>
      <c r="M288" s="310">
        <f t="shared" si="190"/>
        <v>1</v>
      </c>
      <c r="N288" s="338" t="s">
        <v>142</v>
      </c>
      <c r="O288" s="421">
        <v>18</v>
      </c>
      <c r="P288" s="339">
        <f t="shared" si="191"/>
        <v>0</v>
      </c>
      <c r="Q288" s="337"/>
    </row>
    <row r="289" spans="1:22" ht="15.75" customHeight="1" outlineLevel="1">
      <c r="C289" s="507" t="str">
        <f t="shared" ca="1" si="184"/>
        <v>66</v>
      </c>
      <c r="D289" s="135" t="s">
        <v>1791</v>
      </c>
      <c r="E289" s="1308" t="s">
        <v>265</v>
      </c>
      <c r="F289" s="1309"/>
      <c r="G289" s="1309"/>
      <c r="H289" s="1310"/>
      <c r="I289" s="104" t="s">
        <v>11</v>
      </c>
      <c r="J289" s="341">
        <v>0</v>
      </c>
      <c r="K289" s="308">
        <f t="shared" si="186"/>
        <v>8</v>
      </c>
      <c r="L289" s="309"/>
      <c r="M289" s="310">
        <f t="shared" si="190"/>
        <v>1</v>
      </c>
      <c r="N289" s="338" t="s">
        <v>142</v>
      </c>
      <c r="O289" s="421">
        <v>22.6</v>
      </c>
      <c r="P289" s="339">
        <f t="shared" si="191"/>
        <v>0</v>
      </c>
      <c r="Q289" s="337"/>
    </row>
    <row r="290" spans="1:22" ht="15.75" customHeight="1" outlineLevel="1">
      <c r="C290" s="507" t="str">
        <f t="shared" ca="1" si="184"/>
        <v>67</v>
      </c>
      <c r="D290" s="135" t="s">
        <v>1792</v>
      </c>
      <c r="E290" s="1308" t="s">
        <v>256</v>
      </c>
      <c r="F290" s="1309"/>
      <c r="G290" s="1309"/>
      <c r="H290" s="1310"/>
      <c r="I290" s="104" t="s">
        <v>11</v>
      </c>
      <c r="J290" s="341">
        <v>0</v>
      </c>
      <c r="K290" s="308">
        <f t="shared" si="186"/>
        <v>8</v>
      </c>
      <c r="L290" s="309"/>
      <c r="M290" s="310">
        <f t="shared" ref="M290" si="192">IFERROR(IF((L290/K290)=0,100%,L290/K290),100%)</f>
        <v>1</v>
      </c>
      <c r="N290" s="338" t="s">
        <v>142</v>
      </c>
      <c r="O290" s="421">
        <v>13</v>
      </c>
      <c r="P290" s="339">
        <f t="shared" ref="P290" si="193">J290*M290*O290</f>
        <v>0</v>
      </c>
      <c r="Q290" s="337"/>
    </row>
    <row r="291" spans="1:22" s="49" customFormat="1" ht="15.75" customHeight="1" outlineLevel="1">
      <c r="A291" s="322"/>
      <c r="B291" s="322"/>
      <c r="C291" s="507" t="str">
        <f ca="1">IF(OFFSET(C291,-1,0)&gt;="01",CONCATENATE(,OFFSET(C291,-1,0)+1),CONCATENATE((SUM(OFFSET(C291,-1,0)+1-(OFFSET(C291,-1,0))))))</f>
        <v>68</v>
      </c>
      <c r="D291" s="808" t="s">
        <v>709</v>
      </c>
      <c r="E291" s="792" t="s">
        <v>454</v>
      </c>
      <c r="F291" s="793"/>
      <c r="G291" s="793"/>
      <c r="H291" s="793"/>
      <c r="I291" s="789"/>
      <c r="J291" s="789"/>
      <c r="K291" s="788"/>
      <c r="L291" s="788"/>
      <c r="M291" s="815"/>
      <c r="N291" s="788"/>
      <c r="O291" s="816"/>
      <c r="P291" s="817"/>
      <c r="Q291" s="337"/>
      <c r="R291" s="36"/>
      <c r="S291" s="36"/>
      <c r="T291" s="36"/>
      <c r="U291" s="36"/>
      <c r="V291" s="40"/>
    </row>
    <row r="292" spans="1:22" ht="15.75" customHeight="1" outlineLevel="1">
      <c r="C292" s="507" t="str">
        <f ca="1">IF(OFFSET(C292,-1,0)&gt;="01",CONCATENATE(,OFFSET(C292,-1,0)+1),CONCATENATE((SUM(OFFSET(C292,-1,0)+1-(OFFSET(C292,-1,0))))))</f>
        <v>69</v>
      </c>
      <c r="D292" s="135" t="s">
        <v>1654</v>
      </c>
      <c r="E292" s="1331" t="s">
        <v>278</v>
      </c>
      <c r="F292" s="1332"/>
      <c r="G292" s="1332"/>
      <c r="H292" s="1333"/>
      <c r="I292" s="104" t="s">
        <v>11</v>
      </c>
      <c r="J292" s="341">
        <v>0</v>
      </c>
      <c r="K292" s="308">
        <f t="shared" si="186"/>
        <v>8</v>
      </c>
      <c r="L292" s="309"/>
      <c r="M292" s="310">
        <f t="shared" ref="M292:M298" si="194">IFERROR(IF((L292/K292)=0,100%,L292/K292),100%)</f>
        <v>1</v>
      </c>
      <c r="N292" s="338" t="s">
        <v>142</v>
      </c>
      <c r="O292" s="421"/>
      <c r="P292" s="339">
        <f t="shared" ref="P292:P298" si="195">J292*M292*O292</f>
        <v>0</v>
      </c>
      <c r="Q292" s="337"/>
    </row>
    <row r="293" spans="1:22" ht="15.75" customHeight="1" outlineLevel="1">
      <c r="C293" s="507" t="str">
        <f t="shared" ref="C293:C305" ca="1" si="196">IF(OFFSET(C293,-1,0)&gt;="01",CONCATENATE(,OFFSET(C293,-1,0)+1),CONCATENATE((SUM(OFFSET(C293,-1,0)+1-(OFFSET(C293,-1,0))))))</f>
        <v>70</v>
      </c>
      <c r="D293" s="135" t="s">
        <v>1655</v>
      </c>
      <c r="E293" s="1331" t="s">
        <v>649</v>
      </c>
      <c r="F293" s="1332"/>
      <c r="G293" s="1332"/>
      <c r="H293" s="1333"/>
      <c r="I293" s="104" t="s">
        <v>253</v>
      </c>
      <c r="J293" s="341">
        <v>0</v>
      </c>
      <c r="K293" s="308">
        <f t="shared" si="186"/>
        <v>8</v>
      </c>
      <c r="L293" s="309"/>
      <c r="M293" s="310">
        <f t="shared" si="194"/>
        <v>1</v>
      </c>
      <c r="N293" s="338" t="s">
        <v>142</v>
      </c>
      <c r="O293" s="421">
        <v>25</v>
      </c>
      <c r="P293" s="339">
        <f t="shared" si="195"/>
        <v>0</v>
      </c>
      <c r="Q293" s="342"/>
    </row>
    <row r="294" spans="1:22" ht="15.75" customHeight="1" outlineLevel="1">
      <c r="C294" s="507" t="str">
        <f t="shared" ca="1" si="196"/>
        <v>71</v>
      </c>
      <c r="D294" s="135" t="s">
        <v>1656</v>
      </c>
      <c r="E294" s="1308" t="s">
        <v>66</v>
      </c>
      <c r="F294" s="1309"/>
      <c r="G294" s="1309"/>
      <c r="H294" s="1310"/>
      <c r="I294" s="104" t="s">
        <v>11</v>
      </c>
      <c r="J294" s="341">
        <v>0</v>
      </c>
      <c r="K294" s="308">
        <f t="shared" si="186"/>
        <v>8</v>
      </c>
      <c r="L294" s="309"/>
      <c r="M294" s="310">
        <f t="shared" si="194"/>
        <v>1</v>
      </c>
      <c r="N294" s="338" t="s">
        <v>142</v>
      </c>
      <c r="O294" s="421"/>
      <c r="P294" s="339">
        <f t="shared" si="195"/>
        <v>0</v>
      </c>
      <c r="Q294" s="342"/>
    </row>
    <row r="295" spans="1:22" ht="15.75" customHeight="1" outlineLevel="1">
      <c r="C295" s="507" t="str">
        <f t="shared" ca="1" si="196"/>
        <v>72</v>
      </c>
      <c r="D295" s="135" t="s">
        <v>1657</v>
      </c>
      <c r="E295" s="1308" t="s">
        <v>67</v>
      </c>
      <c r="F295" s="1309"/>
      <c r="G295" s="1309"/>
      <c r="H295" s="1310"/>
      <c r="I295" s="104" t="s">
        <v>11</v>
      </c>
      <c r="J295" s="341">
        <v>0</v>
      </c>
      <c r="K295" s="308">
        <f t="shared" si="186"/>
        <v>8</v>
      </c>
      <c r="L295" s="309"/>
      <c r="M295" s="310">
        <f t="shared" si="194"/>
        <v>1</v>
      </c>
      <c r="N295" s="338" t="s">
        <v>142</v>
      </c>
      <c r="O295" s="421"/>
      <c r="P295" s="339">
        <f t="shared" si="195"/>
        <v>0</v>
      </c>
      <c r="Q295" s="342"/>
    </row>
    <row r="296" spans="1:22" ht="15.75" customHeight="1" outlineLevel="1">
      <c r="C296" s="507" t="str">
        <f t="shared" ca="1" si="196"/>
        <v>73</v>
      </c>
      <c r="D296" s="135" t="s">
        <v>1658</v>
      </c>
      <c r="E296" s="1331" t="s">
        <v>556</v>
      </c>
      <c r="F296" s="1332"/>
      <c r="G296" s="1332"/>
      <c r="H296" s="1333"/>
      <c r="I296" s="104" t="s">
        <v>11</v>
      </c>
      <c r="J296" s="341">
        <v>0</v>
      </c>
      <c r="K296" s="308">
        <f t="shared" si="186"/>
        <v>8</v>
      </c>
      <c r="L296" s="309"/>
      <c r="M296" s="310">
        <f t="shared" si="194"/>
        <v>1</v>
      </c>
      <c r="N296" s="338" t="s">
        <v>142</v>
      </c>
      <c r="O296" s="421"/>
      <c r="P296" s="339">
        <f t="shared" si="195"/>
        <v>0</v>
      </c>
      <c r="Q296" s="342"/>
    </row>
    <row r="297" spans="1:22" ht="15.75" customHeight="1" outlineLevel="1">
      <c r="C297" s="507" t="str">
        <f t="shared" ca="1" si="196"/>
        <v>74</v>
      </c>
      <c r="D297" s="135" t="s">
        <v>1659</v>
      </c>
      <c r="E297" s="1308" t="s">
        <v>89</v>
      </c>
      <c r="F297" s="1309"/>
      <c r="G297" s="1309"/>
      <c r="H297" s="1310"/>
      <c r="I297" s="104" t="s">
        <v>11</v>
      </c>
      <c r="J297" s="341">
        <v>0</v>
      </c>
      <c r="K297" s="308">
        <f t="shared" si="186"/>
        <v>8</v>
      </c>
      <c r="L297" s="309"/>
      <c r="M297" s="310">
        <f t="shared" si="194"/>
        <v>1</v>
      </c>
      <c r="N297" s="338" t="s">
        <v>142</v>
      </c>
      <c r="O297" s="421">
        <v>1500</v>
      </c>
      <c r="P297" s="339">
        <f t="shared" si="195"/>
        <v>0</v>
      </c>
      <c r="Q297" s="342"/>
    </row>
    <row r="298" spans="1:22" ht="15.75" customHeight="1" outlineLevel="1">
      <c r="C298" s="507" t="str">
        <f t="shared" ca="1" si="196"/>
        <v>75</v>
      </c>
      <c r="D298" s="135" t="s">
        <v>1660</v>
      </c>
      <c r="E298" s="1308" t="s">
        <v>325</v>
      </c>
      <c r="F298" s="1309"/>
      <c r="G298" s="1309"/>
      <c r="H298" s="1310"/>
      <c r="I298" s="104" t="s">
        <v>11</v>
      </c>
      <c r="J298" s="341">
        <v>0</v>
      </c>
      <c r="K298" s="308">
        <f t="shared" si="186"/>
        <v>8</v>
      </c>
      <c r="L298" s="309"/>
      <c r="M298" s="310">
        <f t="shared" si="194"/>
        <v>1</v>
      </c>
      <c r="N298" s="338" t="s">
        <v>142</v>
      </c>
      <c r="O298" s="421">
        <v>105.2</v>
      </c>
      <c r="P298" s="339">
        <f t="shared" si="195"/>
        <v>0</v>
      </c>
      <c r="Q298" s="342"/>
    </row>
    <row r="299" spans="1:22" ht="15.75" customHeight="1" outlineLevel="1">
      <c r="C299" s="507" t="str">
        <f t="shared" ca="1" si="196"/>
        <v>76</v>
      </c>
      <c r="D299" s="135" t="s">
        <v>1661</v>
      </c>
      <c r="E299" s="1331" t="s">
        <v>648</v>
      </c>
      <c r="F299" s="1332"/>
      <c r="G299" s="1332"/>
      <c r="H299" s="1333"/>
      <c r="I299" s="104" t="s">
        <v>11</v>
      </c>
      <c r="J299" s="341">
        <f>meses_obra</f>
        <v>8</v>
      </c>
      <c r="K299" s="308">
        <f t="shared" si="186"/>
        <v>8</v>
      </c>
      <c r="L299" s="309"/>
      <c r="M299" s="310">
        <f t="shared" ref="M299" si="197">IFERROR(IF((L299/K299)=0,100%,L299/K299),100%)</f>
        <v>1</v>
      </c>
      <c r="N299" s="338" t="s">
        <v>142</v>
      </c>
      <c r="O299" s="421">
        <v>4500</v>
      </c>
      <c r="P299" s="339">
        <f>J299*M299*O299</f>
        <v>36000</v>
      </c>
      <c r="Q299" s="342"/>
    </row>
    <row r="300" spans="1:22" s="49" customFormat="1" ht="15.75" customHeight="1" outlineLevel="1">
      <c r="A300" s="322"/>
      <c r="B300" s="322"/>
      <c r="C300" s="507" t="str">
        <f t="shared" ca="1" si="196"/>
        <v>77</v>
      </c>
      <c r="D300" s="808" t="s">
        <v>710</v>
      </c>
      <c r="E300" s="792" t="s">
        <v>455</v>
      </c>
      <c r="F300" s="793"/>
      <c r="G300" s="793"/>
      <c r="H300" s="793"/>
      <c r="I300" s="789"/>
      <c r="J300" s="789"/>
      <c r="K300" s="788"/>
      <c r="L300" s="788"/>
      <c r="M300" s="815"/>
      <c r="N300" s="788"/>
      <c r="O300" s="816"/>
      <c r="P300" s="817"/>
      <c r="Q300" s="337"/>
      <c r="R300" s="1388" t="s">
        <v>359</v>
      </c>
      <c r="S300" s="1389"/>
      <c r="T300" s="1389"/>
      <c r="U300" s="1389"/>
      <c r="V300" s="1390"/>
    </row>
    <row r="301" spans="1:22" ht="15.75" customHeight="1" outlineLevel="1">
      <c r="C301" s="507" t="str">
        <f t="shared" ca="1" si="196"/>
        <v>78</v>
      </c>
      <c r="D301" s="135" t="s">
        <v>1662</v>
      </c>
      <c r="E301" s="1308" t="s">
        <v>452</v>
      </c>
      <c r="F301" s="1309"/>
      <c r="G301" s="1309"/>
      <c r="H301" s="1310"/>
      <c r="I301" s="104" t="s">
        <v>11</v>
      </c>
      <c r="J301" s="341">
        <v>0</v>
      </c>
      <c r="K301" s="308">
        <f>meses_obra</f>
        <v>8</v>
      </c>
      <c r="L301" s="309"/>
      <c r="M301" s="310">
        <f>IFERROR(IF((L301/K301)=0,100%,L301/K301),100%)</f>
        <v>1</v>
      </c>
      <c r="N301" s="338" t="s">
        <v>142</v>
      </c>
      <c r="O301" s="421">
        <v>0</v>
      </c>
      <c r="P301" s="339">
        <f>J301*M301*O301</f>
        <v>0</v>
      </c>
      <c r="Q301" s="337"/>
      <c r="R301" s="343" t="s">
        <v>349</v>
      </c>
      <c r="S301" s="344" t="s">
        <v>352</v>
      </c>
      <c r="T301" s="344" t="s">
        <v>353</v>
      </c>
      <c r="U301" s="344" t="s">
        <v>350</v>
      </c>
      <c r="V301" s="345" t="s">
        <v>351</v>
      </c>
    </row>
    <row r="302" spans="1:22" ht="15.75" customHeight="1" outlineLevel="1">
      <c r="C302" s="507" t="str">
        <f t="shared" ca="1" si="196"/>
        <v>79</v>
      </c>
      <c r="D302" s="135" t="s">
        <v>1663</v>
      </c>
      <c r="E302" s="1308" t="s">
        <v>279</v>
      </c>
      <c r="F302" s="1309"/>
      <c r="G302" s="1309"/>
      <c r="H302" s="1310"/>
      <c r="I302" s="104" t="s">
        <v>253</v>
      </c>
      <c r="J302" s="341">
        <v>0</v>
      </c>
      <c r="K302" s="308">
        <f>meses_obra</f>
        <v>8</v>
      </c>
      <c r="L302" s="309"/>
      <c r="M302" s="310">
        <f>IFERROR(IF((L302/K302)=0,100%,L302/K302),100%)</f>
        <v>1</v>
      </c>
      <c r="N302" s="338" t="s">
        <v>142</v>
      </c>
      <c r="O302" s="421">
        <f>(55.9/6)*1.3</f>
        <v>12.111666666666666</v>
      </c>
      <c r="P302" s="339">
        <f>J302*M302*O302</f>
        <v>0</v>
      </c>
      <c r="Q302" s="337"/>
      <c r="R302" s="346" t="s">
        <v>354</v>
      </c>
      <c r="S302" s="327">
        <v>1.3</v>
      </c>
      <c r="T302" s="327">
        <v>1.21</v>
      </c>
      <c r="U302" s="327">
        <v>1.5</v>
      </c>
      <c r="V302" s="347">
        <v>1724</v>
      </c>
    </row>
    <row r="303" spans="1:22" ht="15.75" customHeight="1" outlineLevel="1">
      <c r="C303" s="507" t="str">
        <f t="shared" ca="1" si="196"/>
        <v>80</v>
      </c>
      <c r="D303" s="135" t="s">
        <v>1664</v>
      </c>
      <c r="E303" s="1308" t="s">
        <v>280</v>
      </c>
      <c r="F303" s="1309"/>
      <c r="G303" s="1309"/>
      <c r="H303" s="1310"/>
      <c r="I303" s="104" t="s">
        <v>11</v>
      </c>
      <c r="J303" s="341">
        <v>0</v>
      </c>
      <c r="K303" s="308">
        <f>meses_obra</f>
        <v>8</v>
      </c>
      <c r="L303" s="309"/>
      <c r="M303" s="310">
        <f>IFERROR(IF((L303/K303)=0,100%,L303/K303),100%)</f>
        <v>1</v>
      </c>
      <c r="N303" s="338" t="s">
        <v>142</v>
      </c>
      <c r="O303" s="421">
        <v>400</v>
      </c>
      <c r="P303" s="339">
        <f>J303*M303*O303</f>
        <v>0</v>
      </c>
      <c r="Q303" s="337"/>
      <c r="R303" s="346" t="s">
        <v>355</v>
      </c>
      <c r="S303" s="327">
        <v>1.5</v>
      </c>
      <c r="T303" s="327">
        <v>1.41</v>
      </c>
      <c r="U303" s="327">
        <v>1.5</v>
      </c>
      <c r="V303" s="347">
        <v>2341</v>
      </c>
    </row>
    <row r="304" spans="1:22" ht="15.75" customHeight="1" outlineLevel="1">
      <c r="C304" s="507" t="str">
        <f t="shared" ca="1" si="196"/>
        <v>81</v>
      </c>
      <c r="D304" s="135" t="s">
        <v>1665</v>
      </c>
      <c r="E304" s="1308" t="s">
        <v>2072</v>
      </c>
      <c r="F304" s="1309"/>
      <c r="G304" s="1309"/>
      <c r="H304" s="1310"/>
      <c r="I304" s="104" t="s">
        <v>11</v>
      </c>
      <c r="J304" s="411">
        <v>0</v>
      </c>
      <c r="K304" s="308">
        <f>meses_obra</f>
        <v>8</v>
      </c>
      <c r="L304" s="309"/>
      <c r="M304" s="310">
        <f>IFERROR(IF((L304/K304)=0,100%,L304/K304),100%)</f>
        <v>1</v>
      </c>
      <c r="N304" s="338" t="s">
        <v>142</v>
      </c>
      <c r="O304" s="421">
        <v>2329</v>
      </c>
      <c r="P304" s="339">
        <f>J304*M304*O304</f>
        <v>0</v>
      </c>
      <c r="Q304" s="337"/>
      <c r="R304" s="346" t="s">
        <v>356</v>
      </c>
      <c r="S304" s="327">
        <v>1.5</v>
      </c>
      <c r="T304" s="327">
        <v>1.41</v>
      </c>
      <c r="U304" s="327">
        <v>1.5</v>
      </c>
      <c r="V304" s="347">
        <v>3121</v>
      </c>
    </row>
    <row r="305" spans="1:30" ht="15.75" customHeight="1" outlineLevel="1">
      <c r="C305" s="507" t="str">
        <f t="shared" ca="1" si="196"/>
        <v>82</v>
      </c>
      <c r="D305" s="135" t="s">
        <v>1666</v>
      </c>
      <c r="E305" s="1308" t="s">
        <v>40</v>
      </c>
      <c r="F305" s="1309"/>
      <c r="G305" s="1309"/>
      <c r="H305" s="1310"/>
      <c r="I305" s="104" t="s">
        <v>11</v>
      </c>
      <c r="J305" s="423">
        <v>0</v>
      </c>
      <c r="K305" s="308">
        <f>meses_obra</f>
        <v>8</v>
      </c>
      <c r="L305" s="309">
        <v>0</v>
      </c>
      <c r="M305" s="310">
        <f>IFERROR(IF((L305/K305)=0,100%,L305/K305),100%)</f>
        <v>1</v>
      </c>
      <c r="N305" s="338" t="s">
        <v>142</v>
      </c>
      <c r="O305" s="425">
        <v>350</v>
      </c>
      <c r="P305" s="339">
        <f>J305*M305*O305</f>
        <v>0</v>
      </c>
      <c r="Q305" s="337"/>
      <c r="R305" s="346" t="s">
        <v>357</v>
      </c>
      <c r="S305" s="327">
        <v>1.5</v>
      </c>
      <c r="T305" s="327">
        <v>1.41</v>
      </c>
      <c r="U305" s="327">
        <v>2.5</v>
      </c>
      <c r="V305" s="347">
        <v>3901</v>
      </c>
    </row>
    <row r="306" spans="1:30" ht="15.75" customHeight="1" outlineLevel="1">
      <c r="C306" s="507"/>
      <c r="D306" s="349"/>
      <c r="E306" s="112"/>
      <c r="F306" s="113"/>
      <c r="G306" s="113"/>
      <c r="H306" s="116"/>
      <c r="I306" s="113"/>
      <c r="J306" s="113"/>
      <c r="K306" s="113"/>
      <c r="L306" s="113"/>
      <c r="M306" s="350"/>
      <c r="N306" s="113"/>
      <c r="O306" s="351"/>
      <c r="P306" s="142"/>
      <c r="Q306" s="337"/>
      <c r="R306" s="352" t="s">
        <v>358</v>
      </c>
      <c r="S306" s="353">
        <v>1.5</v>
      </c>
      <c r="T306" s="353">
        <v>1.41</v>
      </c>
      <c r="U306" s="353">
        <v>3</v>
      </c>
      <c r="V306" s="354">
        <v>4681</v>
      </c>
      <c r="W306" s="49"/>
      <c r="X306" s="49"/>
      <c r="Y306" s="49"/>
    </row>
    <row r="307" spans="1:30" s="187" customFormat="1" ht="15.75" customHeight="1">
      <c r="A307" s="957"/>
      <c r="B307" s="957"/>
      <c r="C307" s="957"/>
      <c r="D307" s="1340" t="s">
        <v>629</v>
      </c>
      <c r="E307" s="1323" t="s">
        <v>793</v>
      </c>
      <c r="F307" s="1324"/>
      <c r="G307" s="1324"/>
      <c r="H307" s="1325"/>
      <c r="I307" s="1329" t="s">
        <v>780</v>
      </c>
      <c r="J307" s="1329" t="s">
        <v>781</v>
      </c>
      <c r="K307" s="1329" t="s">
        <v>782</v>
      </c>
      <c r="L307" s="1329" t="s">
        <v>799</v>
      </c>
      <c r="M307" s="1385" t="s">
        <v>15</v>
      </c>
      <c r="N307" s="1329" t="s">
        <v>783</v>
      </c>
      <c r="O307" s="1329" t="s">
        <v>784</v>
      </c>
      <c r="P307" s="1344" t="s">
        <v>1</v>
      </c>
      <c r="Q307" s="1381">
        <f>$P$309/meses_obra</f>
        <v>0</v>
      </c>
    </row>
    <row r="308" spans="1:30" s="187" customFormat="1" ht="15.75" customHeight="1">
      <c r="A308" s="957"/>
      <c r="B308" s="957"/>
      <c r="C308" s="958"/>
      <c r="D308" s="1341"/>
      <c r="E308" s="1326"/>
      <c r="F308" s="1327"/>
      <c r="G308" s="1327"/>
      <c r="H308" s="1328"/>
      <c r="I308" s="1330"/>
      <c r="J308" s="1330"/>
      <c r="K308" s="1330"/>
      <c r="L308" s="1330"/>
      <c r="M308" s="1386"/>
      <c r="N308" s="1330"/>
      <c r="O308" s="1330"/>
      <c r="P308" s="1345"/>
      <c r="Q308" s="1382"/>
      <c r="R308" s="299"/>
      <c r="V308" s="188"/>
      <c r="W308" s="188"/>
      <c r="Y308" s="299"/>
      <c r="Z308" s="299"/>
      <c r="AA308" s="299"/>
      <c r="AB308" s="299"/>
      <c r="AC308" s="299"/>
      <c r="AD308" s="299"/>
    </row>
    <row r="309" spans="1:30" ht="15.75" customHeight="1" outlineLevel="1">
      <c r="C309" s="507" t="str">
        <f>D309</f>
        <v>12</v>
      </c>
      <c r="D309" s="215" t="s">
        <v>530</v>
      </c>
      <c r="E309" s="334" t="s">
        <v>1472</v>
      </c>
      <c r="F309" s="334"/>
      <c r="G309" s="334"/>
      <c r="H309" s="335"/>
      <c r="I309" s="335"/>
      <c r="J309" s="335"/>
      <c r="K309" s="335"/>
      <c r="L309" s="335"/>
      <c r="M309" s="335"/>
      <c r="N309" s="335"/>
      <c r="O309" s="336" t="s">
        <v>366</v>
      </c>
      <c r="P309" s="314">
        <f>SUM(P310:P353)</f>
        <v>0</v>
      </c>
      <c r="Q309" s="56">
        <f ca="1">despesas_administrativas_valor/custo_direto</f>
        <v>0</v>
      </c>
      <c r="U309" s="260"/>
      <c r="V309" s="260"/>
      <c r="W309" s="284"/>
      <c r="X309" s="284"/>
      <c r="Y309" s="284"/>
      <c r="Z309" s="307"/>
      <c r="AA309" s="307"/>
    </row>
    <row r="310" spans="1:30" s="49" customFormat="1" ht="15.75" customHeight="1" outlineLevel="1">
      <c r="A310" s="322"/>
      <c r="B310" s="322"/>
      <c r="C310" s="507" t="str">
        <f t="shared" ca="1" si="184"/>
        <v>13</v>
      </c>
      <c r="D310" s="808" t="s">
        <v>711</v>
      </c>
      <c r="E310" s="792" t="s">
        <v>508</v>
      </c>
      <c r="F310" s="793"/>
      <c r="G310" s="793"/>
      <c r="H310" s="818"/>
      <c r="I310" s="789"/>
      <c r="J310" s="822"/>
      <c r="K310" s="822"/>
      <c r="L310" s="822"/>
      <c r="M310" s="815"/>
      <c r="N310" s="788"/>
      <c r="O310" s="822"/>
      <c r="P310" s="817"/>
      <c r="Q310" s="337"/>
      <c r="R310" s="36"/>
      <c r="S310" s="36"/>
      <c r="U310" s="36"/>
      <c r="V310" s="36"/>
      <c r="W310" s="36"/>
      <c r="X310" s="36"/>
      <c r="Y310" s="36"/>
    </row>
    <row r="311" spans="1:30" ht="15.75" customHeight="1" outlineLevel="1">
      <c r="C311" s="507" t="str">
        <f t="shared" ca="1" si="184"/>
        <v>14</v>
      </c>
      <c r="D311" s="135" t="s">
        <v>1667</v>
      </c>
      <c r="E311" s="1308" t="s">
        <v>84</v>
      </c>
      <c r="F311" s="1309"/>
      <c r="G311" s="1309"/>
      <c r="H311" s="1310"/>
      <c r="I311" s="104" t="s">
        <v>11</v>
      </c>
      <c r="J311" s="341">
        <v>0</v>
      </c>
      <c r="K311" s="308">
        <f t="shared" ref="K311:K337" si="198">meses_obra</f>
        <v>8</v>
      </c>
      <c r="L311" s="309">
        <v>6</v>
      </c>
      <c r="M311" s="310">
        <f t="shared" ref="M311:M333" si="199">IF(L311=0,0,IFERROR(IF((L311/K311)=0,100%,L311/K311),100%))</f>
        <v>0.75</v>
      </c>
      <c r="N311" s="308">
        <f>meses_obra</f>
        <v>8</v>
      </c>
      <c r="O311" s="421">
        <v>300</v>
      </c>
      <c r="P311" s="339">
        <f t="shared" ref="P311:P333" si="200">J311*M311*N311*O311</f>
        <v>0</v>
      </c>
      <c r="Q311" s="337"/>
    </row>
    <row r="312" spans="1:30" ht="15.75" customHeight="1" outlineLevel="1">
      <c r="C312" s="507" t="str">
        <f t="shared" ca="1" si="184"/>
        <v>15</v>
      </c>
      <c r="D312" s="135" t="s">
        <v>1668</v>
      </c>
      <c r="E312" s="1308" t="s">
        <v>19</v>
      </c>
      <c r="F312" s="1309"/>
      <c r="G312" s="1309"/>
      <c r="H312" s="1310"/>
      <c r="I312" s="104" t="s">
        <v>11</v>
      </c>
      <c r="J312" s="341">
        <v>0</v>
      </c>
      <c r="K312" s="308">
        <f t="shared" si="198"/>
        <v>8</v>
      </c>
      <c r="L312" s="309"/>
      <c r="M312" s="310">
        <f t="shared" si="199"/>
        <v>0</v>
      </c>
      <c r="N312" s="308">
        <f>meses_obra</f>
        <v>8</v>
      </c>
      <c r="O312" s="421">
        <v>100</v>
      </c>
      <c r="P312" s="339">
        <f t="shared" si="200"/>
        <v>0</v>
      </c>
      <c r="Q312" s="337"/>
    </row>
    <row r="313" spans="1:30" ht="15.75" customHeight="1" outlineLevel="1">
      <c r="C313" s="507" t="str">
        <f t="shared" ca="1" si="184"/>
        <v>16</v>
      </c>
      <c r="D313" s="135" t="s">
        <v>1669</v>
      </c>
      <c r="E313" s="1308" t="s">
        <v>342</v>
      </c>
      <c r="F313" s="1309"/>
      <c r="G313" s="1309"/>
      <c r="H313" s="1310"/>
      <c r="I313" s="104" t="s">
        <v>11</v>
      </c>
      <c r="J313" s="341">
        <v>0</v>
      </c>
      <c r="K313" s="308">
        <f t="shared" si="198"/>
        <v>8</v>
      </c>
      <c r="L313" s="309">
        <v>6</v>
      </c>
      <c r="M313" s="310">
        <f t="shared" si="199"/>
        <v>0.75</v>
      </c>
      <c r="N313" s="308">
        <v>1</v>
      </c>
      <c r="O313" s="421">
        <v>150</v>
      </c>
      <c r="P313" s="339">
        <f t="shared" si="200"/>
        <v>0</v>
      </c>
      <c r="Q313" s="337"/>
    </row>
    <row r="314" spans="1:30" ht="15.75" customHeight="1" outlineLevel="1">
      <c r="C314" s="507" t="str">
        <f t="shared" ca="1" si="184"/>
        <v>17</v>
      </c>
      <c r="D314" s="135" t="s">
        <v>1670</v>
      </c>
      <c r="E314" s="1308" t="s">
        <v>86</v>
      </c>
      <c r="F314" s="1309"/>
      <c r="G314" s="1309"/>
      <c r="H314" s="1310"/>
      <c r="I314" s="104" t="s">
        <v>11</v>
      </c>
      <c r="J314" s="341">
        <v>0</v>
      </c>
      <c r="K314" s="308">
        <f t="shared" si="198"/>
        <v>8</v>
      </c>
      <c r="L314" s="309"/>
      <c r="M314" s="310">
        <f t="shared" si="199"/>
        <v>0</v>
      </c>
      <c r="N314" s="308">
        <f>meses_obra</f>
        <v>8</v>
      </c>
      <c r="O314" s="421">
        <v>25</v>
      </c>
      <c r="P314" s="339">
        <f t="shared" si="200"/>
        <v>0</v>
      </c>
      <c r="Q314" s="337"/>
    </row>
    <row r="315" spans="1:30" ht="15.75" customHeight="1" outlineLevel="1">
      <c r="C315" s="507" t="str">
        <f t="shared" ca="1" si="184"/>
        <v>18</v>
      </c>
      <c r="D315" s="135" t="s">
        <v>1671</v>
      </c>
      <c r="E315" s="1308" t="s">
        <v>343</v>
      </c>
      <c r="F315" s="1309"/>
      <c r="G315" s="1309"/>
      <c r="H315" s="1310"/>
      <c r="I315" s="104" t="s">
        <v>0</v>
      </c>
      <c r="J315" s="341">
        <v>0</v>
      </c>
      <c r="K315" s="308">
        <f t="shared" si="198"/>
        <v>8</v>
      </c>
      <c r="L315" s="309">
        <v>4</v>
      </c>
      <c r="M315" s="310">
        <f t="shared" si="199"/>
        <v>0.5</v>
      </c>
      <c r="N315" s="308">
        <v>1</v>
      </c>
      <c r="O315" s="421">
        <v>15.5</v>
      </c>
      <c r="P315" s="339">
        <f t="shared" si="200"/>
        <v>0</v>
      </c>
      <c r="Q315" s="337"/>
    </row>
    <row r="316" spans="1:30" ht="15.75" customHeight="1" outlineLevel="1">
      <c r="C316" s="507" t="str">
        <f t="shared" ca="1" si="184"/>
        <v>19</v>
      </c>
      <c r="D316" s="135" t="s">
        <v>1672</v>
      </c>
      <c r="E316" s="1308" t="s">
        <v>344</v>
      </c>
      <c r="F316" s="1309"/>
      <c r="G316" s="1309"/>
      <c r="H316" s="1310"/>
      <c r="I316" s="104" t="s">
        <v>11</v>
      </c>
      <c r="J316" s="341">
        <v>0</v>
      </c>
      <c r="K316" s="308">
        <f t="shared" si="198"/>
        <v>8</v>
      </c>
      <c r="L316" s="309"/>
      <c r="M316" s="310">
        <f t="shared" si="199"/>
        <v>0</v>
      </c>
      <c r="N316" s="308">
        <v>1</v>
      </c>
      <c r="O316" s="421">
        <v>419.9</v>
      </c>
      <c r="P316" s="339">
        <f t="shared" si="200"/>
        <v>0</v>
      </c>
      <c r="Q316" s="337"/>
    </row>
    <row r="317" spans="1:30" ht="15.75" customHeight="1" outlineLevel="1">
      <c r="C317" s="507" t="str">
        <f t="shared" ca="1" si="184"/>
        <v>20</v>
      </c>
      <c r="D317" s="135" t="s">
        <v>1673</v>
      </c>
      <c r="E317" s="1308" t="s">
        <v>18</v>
      </c>
      <c r="F317" s="1309"/>
      <c r="G317" s="1309"/>
      <c r="H317" s="1310"/>
      <c r="I317" s="104" t="s">
        <v>11</v>
      </c>
      <c r="J317" s="341">
        <v>0</v>
      </c>
      <c r="K317" s="308">
        <f t="shared" si="198"/>
        <v>8</v>
      </c>
      <c r="L317" s="309"/>
      <c r="M317" s="310">
        <f t="shared" si="199"/>
        <v>0</v>
      </c>
      <c r="N317" s="308">
        <f>meses_obra</f>
        <v>8</v>
      </c>
      <c r="O317" s="421">
        <v>75</v>
      </c>
      <c r="P317" s="339">
        <f t="shared" si="200"/>
        <v>0</v>
      </c>
      <c r="Q317" s="337"/>
    </row>
    <row r="318" spans="1:30" ht="15.75" customHeight="1" outlineLevel="1">
      <c r="C318" s="507" t="str">
        <f t="shared" ca="1" si="184"/>
        <v>21</v>
      </c>
      <c r="D318" s="135" t="s">
        <v>1674</v>
      </c>
      <c r="E318" s="1308" t="s">
        <v>345</v>
      </c>
      <c r="F318" s="1309"/>
      <c r="G318" s="1309"/>
      <c r="H318" s="1310"/>
      <c r="I318" s="104" t="s">
        <v>11</v>
      </c>
      <c r="J318" s="341">
        <v>0</v>
      </c>
      <c r="K318" s="308">
        <f t="shared" si="198"/>
        <v>8</v>
      </c>
      <c r="L318" s="309"/>
      <c r="M318" s="310">
        <f t="shared" si="199"/>
        <v>0</v>
      </c>
      <c r="N318" s="308">
        <v>1</v>
      </c>
      <c r="O318" s="421">
        <v>160</v>
      </c>
      <c r="P318" s="339">
        <f t="shared" si="200"/>
        <v>0</v>
      </c>
      <c r="Q318" s="337"/>
    </row>
    <row r="319" spans="1:30" ht="15.75" customHeight="1" outlineLevel="1">
      <c r="C319" s="507" t="str">
        <f t="shared" ca="1" si="184"/>
        <v>22</v>
      </c>
      <c r="D319" s="135" t="s">
        <v>1675</v>
      </c>
      <c r="E319" s="1308" t="s">
        <v>346</v>
      </c>
      <c r="F319" s="1309"/>
      <c r="G319" s="1309"/>
      <c r="H319" s="1310"/>
      <c r="I319" s="104" t="s">
        <v>11</v>
      </c>
      <c r="J319" s="341">
        <v>0</v>
      </c>
      <c r="K319" s="308">
        <f t="shared" si="198"/>
        <v>8</v>
      </c>
      <c r="L319" s="309"/>
      <c r="M319" s="310">
        <f t="shared" si="199"/>
        <v>0</v>
      </c>
      <c r="N319" s="308">
        <v>1</v>
      </c>
      <c r="O319" s="421">
        <v>98.54</v>
      </c>
      <c r="P319" s="339">
        <f t="shared" si="200"/>
        <v>0</v>
      </c>
      <c r="Q319" s="337"/>
    </row>
    <row r="320" spans="1:30" ht="15.75" customHeight="1" outlineLevel="1">
      <c r="C320" s="507" t="str">
        <f t="shared" ca="1" si="184"/>
        <v>23</v>
      </c>
      <c r="D320" s="135" t="s">
        <v>1676</v>
      </c>
      <c r="E320" s="1308" t="s">
        <v>71</v>
      </c>
      <c r="F320" s="1309"/>
      <c r="G320" s="1309"/>
      <c r="H320" s="1310"/>
      <c r="I320" s="104" t="s">
        <v>11</v>
      </c>
      <c r="J320" s="423">
        <v>0</v>
      </c>
      <c r="K320" s="308">
        <f t="shared" si="198"/>
        <v>8</v>
      </c>
      <c r="L320" s="309">
        <v>4</v>
      </c>
      <c r="M320" s="310">
        <f t="shared" si="199"/>
        <v>0.5</v>
      </c>
      <c r="N320" s="308">
        <f t="shared" ref="N320:N332" si="201">meses_obra</f>
        <v>8</v>
      </c>
      <c r="O320" s="421">
        <v>30</v>
      </c>
      <c r="P320" s="339">
        <f t="shared" si="200"/>
        <v>0</v>
      </c>
      <c r="Q320" s="337"/>
    </row>
    <row r="321" spans="1:25" ht="15.75" customHeight="1" outlineLevel="1">
      <c r="C321" s="507" t="str">
        <f t="shared" ref="C321:C352" ca="1" si="202">IF(OFFSET(C321,-1,0)&gt;="01",CONCATENATE(,OFFSET(C321,-1,0)+1),CONCATENATE((SUM(OFFSET(C321,-1,0)+1-(OFFSET(C321,-1,0))))))</f>
        <v>24</v>
      </c>
      <c r="D321" s="135" t="s">
        <v>1677</v>
      </c>
      <c r="E321" s="1308" t="s">
        <v>72</v>
      </c>
      <c r="F321" s="1309"/>
      <c r="G321" s="1309"/>
      <c r="H321" s="1310"/>
      <c r="I321" s="104" t="s">
        <v>11</v>
      </c>
      <c r="J321" s="341">
        <v>0</v>
      </c>
      <c r="K321" s="308">
        <f t="shared" si="198"/>
        <v>8</v>
      </c>
      <c r="L321" s="309">
        <v>6</v>
      </c>
      <c r="M321" s="310">
        <f t="shared" si="199"/>
        <v>0.75</v>
      </c>
      <c r="N321" s="308">
        <f t="shared" si="201"/>
        <v>8</v>
      </c>
      <c r="O321" s="421">
        <v>20</v>
      </c>
      <c r="P321" s="339">
        <f t="shared" si="200"/>
        <v>0</v>
      </c>
      <c r="Q321" s="337"/>
    </row>
    <row r="322" spans="1:25" ht="15.75" customHeight="1" outlineLevel="1">
      <c r="C322" s="507" t="str">
        <f t="shared" ca="1" si="202"/>
        <v>25</v>
      </c>
      <c r="D322" s="135" t="s">
        <v>1678</v>
      </c>
      <c r="E322" s="1308" t="s">
        <v>83</v>
      </c>
      <c r="F322" s="1309"/>
      <c r="G322" s="1309"/>
      <c r="H322" s="1310"/>
      <c r="I322" s="104" t="s">
        <v>11</v>
      </c>
      <c r="J322" s="341">
        <v>0</v>
      </c>
      <c r="K322" s="308">
        <f t="shared" si="198"/>
        <v>8</v>
      </c>
      <c r="L322" s="309"/>
      <c r="M322" s="310">
        <f t="shared" si="199"/>
        <v>0</v>
      </c>
      <c r="N322" s="308">
        <v>1</v>
      </c>
      <c r="O322" s="421">
        <v>225</v>
      </c>
      <c r="P322" s="339">
        <f t="shared" si="200"/>
        <v>0</v>
      </c>
      <c r="Q322" s="337"/>
    </row>
    <row r="323" spans="1:25" ht="15.75" customHeight="1" outlineLevel="1">
      <c r="C323" s="507" t="str">
        <f t="shared" ca="1" si="202"/>
        <v>26</v>
      </c>
      <c r="D323" s="135" t="s">
        <v>1679</v>
      </c>
      <c r="E323" s="1308" t="s">
        <v>73</v>
      </c>
      <c r="F323" s="1309"/>
      <c r="G323" s="1309"/>
      <c r="H323" s="1310"/>
      <c r="I323" s="104" t="s">
        <v>11</v>
      </c>
      <c r="J323" s="341">
        <v>0</v>
      </c>
      <c r="K323" s="308">
        <f t="shared" si="198"/>
        <v>8</v>
      </c>
      <c r="L323" s="309"/>
      <c r="M323" s="310">
        <f t="shared" si="199"/>
        <v>0</v>
      </c>
      <c r="N323" s="308">
        <f t="shared" si="201"/>
        <v>8</v>
      </c>
      <c r="O323" s="421">
        <v>12</v>
      </c>
      <c r="P323" s="339">
        <f t="shared" si="200"/>
        <v>0</v>
      </c>
      <c r="Q323" s="337"/>
    </row>
    <row r="324" spans="1:25" ht="15.75" customHeight="1" outlineLevel="1">
      <c r="C324" s="507" t="str">
        <f t="shared" ca="1" si="202"/>
        <v>27</v>
      </c>
      <c r="D324" s="135" t="s">
        <v>1680</v>
      </c>
      <c r="E324" s="1308" t="s">
        <v>510</v>
      </c>
      <c r="F324" s="1309"/>
      <c r="G324" s="1309"/>
      <c r="H324" s="1310"/>
      <c r="I324" s="104" t="s">
        <v>252</v>
      </c>
      <c r="J324" s="341">
        <v>0</v>
      </c>
      <c r="K324" s="308">
        <f t="shared" si="198"/>
        <v>8</v>
      </c>
      <c r="L324" s="309"/>
      <c r="M324" s="310">
        <f t="shared" si="199"/>
        <v>0</v>
      </c>
      <c r="N324" s="308">
        <f t="shared" si="201"/>
        <v>8</v>
      </c>
      <c r="O324" s="421">
        <v>0</v>
      </c>
      <c r="P324" s="339">
        <f>J324*M324*N324*O324</f>
        <v>0</v>
      </c>
      <c r="Q324" s="337"/>
    </row>
    <row r="325" spans="1:25" ht="15.75" customHeight="1" outlineLevel="1">
      <c r="C325" s="507" t="str">
        <f t="shared" ca="1" si="202"/>
        <v>28</v>
      </c>
      <c r="D325" s="135" t="s">
        <v>1681</v>
      </c>
      <c r="E325" s="1308" t="s">
        <v>74</v>
      </c>
      <c r="F325" s="1309"/>
      <c r="G325" s="1309"/>
      <c r="H325" s="1310"/>
      <c r="I325" s="104" t="s">
        <v>252</v>
      </c>
      <c r="J325" s="411">
        <v>0</v>
      </c>
      <c r="K325" s="308">
        <f t="shared" si="198"/>
        <v>8</v>
      </c>
      <c r="L325" s="309"/>
      <c r="M325" s="310">
        <f t="shared" si="199"/>
        <v>0</v>
      </c>
      <c r="N325" s="308">
        <f t="shared" si="201"/>
        <v>8</v>
      </c>
      <c r="O325" s="421"/>
      <c r="P325" s="339">
        <f t="shared" si="200"/>
        <v>0</v>
      </c>
      <c r="Q325" s="337"/>
    </row>
    <row r="326" spans="1:25" ht="15.75" customHeight="1" outlineLevel="1">
      <c r="C326" s="507" t="str">
        <f t="shared" ca="1" si="202"/>
        <v>29</v>
      </c>
      <c r="D326" s="135" t="s">
        <v>1682</v>
      </c>
      <c r="E326" s="1308" t="s">
        <v>76</v>
      </c>
      <c r="F326" s="1309"/>
      <c r="G326" s="1309"/>
      <c r="H326" s="1310"/>
      <c r="I326" s="104" t="s">
        <v>0</v>
      </c>
      <c r="J326" s="341">
        <v>0</v>
      </c>
      <c r="K326" s="308">
        <f t="shared" si="198"/>
        <v>8</v>
      </c>
      <c r="L326" s="309"/>
      <c r="M326" s="310">
        <f t="shared" si="199"/>
        <v>0</v>
      </c>
      <c r="N326" s="308">
        <f t="shared" si="201"/>
        <v>8</v>
      </c>
      <c r="O326" s="421">
        <v>100</v>
      </c>
      <c r="P326" s="339">
        <f t="shared" si="200"/>
        <v>0</v>
      </c>
      <c r="Q326" s="337"/>
    </row>
    <row r="327" spans="1:25" ht="15.75" customHeight="1" outlineLevel="1">
      <c r="C327" s="507" t="str">
        <f t="shared" ca="1" si="202"/>
        <v>30</v>
      </c>
      <c r="D327" s="135" t="s">
        <v>1683</v>
      </c>
      <c r="E327" s="1308" t="s">
        <v>75</v>
      </c>
      <c r="F327" s="1309"/>
      <c r="G327" s="1309"/>
      <c r="H327" s="1310"/>
      <c r="I327" s="104" t="s">
        <v>11</v>
      </c>
      <c r="J327" s="341">
        <v>0</v>
      </c>
      <c r="K327" s="308">
        <f t="shared" si="198"/>
        <v>8</v>
      </c>
      <c r="L327" s="309"/>
      <c r="M327" s="310">
        <f t="shared" si="199"/>
        <v>0</v>
      </c>
      <c r="N327" s="308">
        <f t="shared" si="201"/>
        <v>8</v>
      </c>
      <c r="O327" s="421">
        <v>30</v>
      </c>
      <c r="P327" s="339">
        <f t="shared" si="200"/>
        <v>0</v>
      </c>
      <c r="Q327" s="337"/>
    </row>
    <row r="328" spans="1:25" ht="15.75" customHeight="1" outlineLevel="1">
      <c r="C328" s="507" t="str">
        <f t="shared" ca="1" si="202"/>
        <v>31</v>
      </c>
      <c r="D328" s="135" t="s">
        <v>1684</v>
      </c>
      <c r="E328" s="1308" t="s">
        <v>7</v>
      </c>
      <c r="F328" s="1309"/>
      <c r="G328" s="1309"/>
      <c r="H328" s="1310"/>
      <c r="I328" s="104" t="s">
        <v>0</v>
      </c>
      <c r="J328" s="341">
        <v>0</v>
      </c>
      <c r="K328" s="308">
        <f t="shared" si="198"/>
        <v>8</v>
      </c>
      <c r="L328" s="309"/>
      <c r="M328" s="310">
        <f t="shared" si="199"/>
        <v>0</v>
      </c>
      <c r="N328" s="308">
        <f t="shared" si="201"/>
        <v>8</v>
      </c>
      <c r="O328" s="421">
        <v>0</v>
      </c>
      <c r="P328" s="339">
        <f t="shared" si="200"/>
        <v>0</v>
      </c>
      <c r="Q328" s="337"/>
    </row>
    <row r="329" spans="1:25" ht="15.75" customHeight="1" outlineLevel="1">
      <c r="C329" s="507" t="str">
        <f t="shared" ca="1" si="202"/>
        <v>32</v>
      </c>
      <c r="D329" s="135" t="s">
        <v>1685</v>
      </c>
      <c r="E329" s="1314" t="s">
        <v>85</v>
      </c>
      <c r="F329" s="1315"/>
      <c r="G329" s="1315"/>
      <c r="H329" s="1316"/>
      <c r="I329" s="104" t="s">
        <v>0</v>
      </c>
      <c r="J329" s="411">
        <v>0</v>
      </c>
      <c r="K329" s="308">
        <f t="shared" si="198"/>
        <v>8</v>
      </c>
      <c r="L329" s="309">
        <v>6</v>
      </c>
      <c r="M329" s="310">
        <f t="shared" si="199"/>
        <v>0.75</v>
      </c>
      <c r="N329" s="308">
        <f t="shared" si="201"/>
        <v>8</v>
      </c>
      <c r="O329" s="421">
        <v>1115.5651399999999</v>
      </c>
      <c r="P329" s="339">
        <f>J329*M329*N329*O329</f>
        <v>0</v>
      </c>
      <c r="Q329" s="337"/>
    </row>
    <row r="330" spans="1:25" ht="15.75" customHeight="1" outlineLevel="1">
      <c r="C330" s="507" t="str">
        <f t="shared" ca="1" si="202"/>
        <v>33</v>
      </c>
      <c r="D330" s="135" t="s">
        <v>1686</v>
      </c>
      <c r="E330" s="1308" t="s">
        <v>87</v>
      </c>
      <c r="F330" s="1309"/>
      <c r="G330" s="1309"/>
      <c r="H330" s="1310"/>
      <c r="I330" s="104" t="s">
        <v>0</v>
      </c>
      <c r="J330" s="341">
        <v>0</v>
      </c>
      <c r="K330" s="308">
        <f t="shared" si="198"/>
        <v>8</v>
      </c>
      <c r="L330" s="309"/>
      <c r="M330" s="310">
        <f t="shared" si="199"/>
        <v>0</v>
      </c>
      <c r="N330" s="308">
        <f t="shared" si="201"/>
        <v>8</v>
      </c>
      <c r="O330" s="421">
        <v>199</v>
      </c>
      <c r="P330" s="339">
        <f t="shared" si="200"/>
        <v>0</v>
      </c>
      <c r="Q330" s="337"/>
    </row>
    <row r="331" spans="1:25" ht="15.75" customHeight="1" outlineLevel="1">
      <c r="C331" s="507" t="str">
        <f t="shared" ca="1" si="202"/>
        <v>34</v>
      </c>
      <c r="D331" s="135" t="s">
        <v>1687</v>
      </c>
      <c r="E331" s="1308" t="s">
        <v>88</v>
      </c>
      <c r="F331" s="1309"/>
      <c r="G331" s="1309"/>
      <c r="H331" s="1310"/>
      <c r="I331" s="104" t="s">
        <v>0</v>
      </c>
      <c r="J331" s="341">
        <v>0</v>
      </c>
      <c r="K331" s="308">
        <f t="shared" si="198"/>
        <v>8</v>
      </c>
      <c r="L331" s="309"/>
      <c r="M331" s="310">
        <f t="shared" si="199"/>
        <v>0</v>
      </c>
      <c r="N331" s="308">
        <f t="shared" si="201"/>
        <v>8</v>
      </c>
      <c r="O331" s="421"/>
      <c r="P331" s="339">
        <f t="shared" si="200"/>
        <v>0</v>
      </c>
      <c r="Q331" s="337"/>
    </row>
    <row r="332" spans="1:25" ht="15.75" customHeight="1" outlineLevel="1">
      <c r="C332" s="507" t="str">
        <f t="shared" ca="1" si="202"/>
        <v>35</v>
      </c>
      <c r="D332" s="135" t="s">
        <v>1688</v>
      </c>
      <c r="E332" s="1308" t="s">
        <v>14</v>
      </c>
      <c r="F332" s="1309"/>
      <c r="G332" s="1309"/>
      <c r="H332" s="1310"/>
      <c r="I332" s="104" t="s">
        <v>11</v>
      </c>
      <c r="J332" s="341">
        <v>0</v>
      </c>
      <c r="K332" s="308">
        <f t="shared" si="198"/>
        <v>8</v>
      </c>
      <c r="L332" s="309"/>
      <c r="M332" s="310">
        <f t="shared" si="199"/>
        <v>0</v>
      </c>
      <c r="N332" s="308">
        <f t="shared" si="201"/>
        <v>8</v>
      </c>
      <c r="O332" s="421">
        <v>75</v>
      </c>
      <c r="P332" s="339">
        <f t="shared" si="200"/>
        <v>0</v>
      </c>
      <c r="Q332" s="337"/>
    </row>
    <row r="333" spans="1:25" ht="15.75" customHeight="1" outlineLevel="1">
      <c r="C333" s="507" t="str">
        <f t="shared" ca="1" si="202"/>
        <v>36</v>
      </c>
      <c r="D333" s="135" t="s">
        <v>1689</v>
      </c>
      <c r="E333" s="1308" t="s">
        <v>456</v>
      </c>
      <c r="F333" s="1309"/>
      <c r="G333" s="1309"/>
      <c r="H333" s="1310"/>
      <c r="I333" s="104" t="s">
        <v>11</v>
      </c>
      <c r="J333" s="341">
        <v>0</v>
      </c>
      <c r="K333" s="308">
        <f t="shared" si="198"/>
        <v>8</v>
      </c>
      <c r="L333" s="309">
        <v>6</v>
      </c>
      <c r="M333" s="310">
        <f t="shared" si="199"/>
        <v>0.75</v>
      </c>
      <c r="N333" s="308">
        <v>1</v>
      </c>
      <c r="O333" s="421">
        <v>2500</v>
      </c>
      <c r="P333" s="339">
        <f t="shared" si="200"/>
        <v>0</v>
      </c>
      <c r="Q333" s="337"/>
    </row>
    <row r="334" spans="1:25" s="49" customFormat="1" ht="15.75" customHeight="1" outlineLevel="1">
      <c r="A334" s="322"/>
      <c r="B334" s="322"/>
      <c r="C334" s="507" t="str">
        <f t="shared" ca="1" si="202"/>
        <v>37</v>
      </c>
      <c r="D334" s="808" t="s">
        <v>712</v>
      </c>
      <c r="E334" s="792" t="s">
        <v>1430</v>
      </c>
      <c r="F334" s="793"/>
      <c r="G334" s="793"/>
      <c r="H334" s="818"/>
      <c r="I334" s="789"/>
      <c r="J334" s="822"/>
      <c r="K334" s="822"/>
      <c r="L334" s="822"/>
      <c r="M334" s="815"/>
      <c r="N334" s="788"/>
      <c r="O334" s="822"/>
      <c r="P334" s="817"/>
      <c r="Q334" s="337"/>
      <c r="R334" s="36"/>
      <c r="S334" s="36"/>
      <c r="U334" s="36"/>
      <c r="V334" s="36"/>
      <c r="W334" s="36"/>
      <c r="X334" s="36"/>
      <c r="Y334" s="36"/>
    </row>
    <row r="335" spans="1:25" ht="15.75" customHeight="1" outlineLevel="1">
      <c r="C335" s="507" t="str">
        <f t="shared" ca="1" si="202"/>
        <v>38</v>
      </c>
      <c r="D335" s="135" t="s">
        <v>1690</v>
      </c>
      <c r="E335" s="1308" t="s">
        <v>1431</v>
      </c>
      <c r="F335" s="1309"/>
      <c r="G335" s="1309"/>
      <c r="H335" s="1310"/>
      <c r="I335" s="104" t="s">
        <v>11</v>
      </c>
      <c r="J335" s="411">
        <v>0</v>
      </c>
      <c r="K335" s="308">
        <f t="shared" si="198"/>
        <v>8</v>
      </c>
      <c r="L335" s="309"/>
      <c r="M335" s="310">
        <f>IFERROR(IF((L335/K335)=0,100%,L335/K335),100%)</f>
        <v>1</v>
      </c>
      <c r="N335" s="308">
        <v>1</v>
      </c>
      <c r="O335" s="421">
        <v>0</v>
      </c>
      <c r="P335" s="339">
        <f>J335*M335*N335*O335</f>
        <v>0</v>
      </c>
      <c r="Q335" s="337"/>
    </row>
    <row r="336" spans="1:25" ht="15.75" customHeight="1" outlineLevel="1">
      <c r="C336" s="507" t="str">
        <f t="shared" ca="1" si="202"/>
        <v>39</v>
      </c>
      <c r="D336" s="135" t="s">
        <v>1691</v>
      </c>
      <c r="E336" s="1308" t="s">
        <v>1432</v>
      </c>
      <c r="F336" s="1309"/>
      <c r="G336" s="1309"/>
      <c r="H336" s="1310"/>
      <c r="I336" s="104" t="s">
        <v>11</v>
      </c>
      <c r="J336" s="411">
        <v>0</v>
      </c>
      <c r="K336" s="308">
        <f t="shared" si="198"/>
        <v>8</v>
      </c>
      <c r="L336" s="309"/>
      <c r="M336" s="310">
        <f>IFERROR(IF((L336/K336)=0,100%,L336/K336),100%)</f>
        <v>1</v>
      </c>
      <c r="N336" s="308">
        <v>1</v>
      </c>
      <c r="O336" s="421">
        <v>8361</v>
      </c>
      <c r="P336" s="339">
        <f>J336*M336*N336*O336</f>
        <v>0</v>
      </c>
      <c r="Q336" s="337"/>
    </row>
    <row r="337" spans="1:25" ht="15.75" customHeight="1" outlineLevel="1">
      <c r="C337" s="507" t="str">
        <f t="shared" ca="1" si="202"/>
        <v>40</v>
      </c>
      <c r="D337" s="135" t="s">
        <v>1692</v>
      </c>
      <c r="E337" s="1308" t="s">
        <v>1433</v>
      </c>
      <c r="F337" s="1309"/>
      <c r="G337" s="1309"/>
      <c r="H337" s="1310"/>
      <c r="I337" s="104" t="s">
        <v>11</v>
      </c>
      <c r="J337" s="411">
        <v>0</v>
      </c>
      <c r="K337" s="308">
        <f t="shared" si="198"/>
        <v>8</v>
      </c>
      <c r="L337" s="309"/>
      <c r="M337" s="310">
        <f>IFERROR(IF((L337/K337)=0,100%,L337/K337),100%)</f>
        <v>1</v>
      </c>
      <c r="N337" s="308">
        <v>1</v>
      </c>
      <c r="O337" s="421">
        <v>0</v>
      </c>
      <c r="P337" s="339">
        <f>J337*M337*N337*O337</f>
        <v>0</v>
      </c>
      <c r="Q337" s="337"/>
    </row>
    <row r="338" spans="1:25" s="49" customFormat="1" ht="15.75" customHeight="1" outlineLevel="1">
      <c r="A338" s="322"/>
      <c r="B338" s="322"/>
      <c r="C338" s="507" t="str">
        <f t="shared" ca="1" si="202"/>
        <v>41</v>
      </c>
      <c r="D338" s="808" t="s">
        <v>713</v>
      </c>
      <c r="E338" s="792" t="s">
        <v>348</v>
      </c>
      <c r="F338" s="793"/>
      <c r="G338" s="793"/>
      <c r="H338" s="818"/>
      <c r="I338" s="789"/>
      <c r="J338" s="823"/>
      <c r="K338" s="823"/>
      <c r="L338" s="823"/>
      <c r="M338" s="815"/>
      <c r="N338" s="788"/>
      <c r="O338" s="823"/>
      <c r="P338" s="817"/>
      <c r="Q338" s="337"/>
      <c r="R338" s="36"/>
      <c r="S338" s="36"/>
      <c r="T338" s="36"/>
      <c r="U338" s="36"/>
      <c r="V338" s="36"/>
      <c r="W338" s="36"/>
      <c r="X338" s="36"/>
      <c r="Y338" s="36"/>
    </row>
    <row r="339" spans="1:25" ht="15.75" customHeight="1" outlineLevel="1">
      <c r="C339" s="507" t="str">
        <f t="shared" ca="1" si="202"/>
        <v>42</v>
      </c>
      <c r="D339" s="135" t="s">
        <v>1693</v>
      </c>
      <c r="E339" s="1308" t="s">
        <v>64</v>
      </c>
      <c r="F339" s="1309"/>
      <c r="G339" s="1309"/>
      <c r="H339" s="1310"/>
      <c r="I339" s="104" t="s">
        <v>253</v>
      </c>
      <c r="J339" s="411">
        <v>0</v>
      </c>
      <c r="K339" s="308">
        <f t="shared" ref="K339:L352" si="203">meses_obra</f>
        <v>8</v>
      </c>
      <c r="L339" s="309">
        <f>meses_obra</f>
        <v>8</v>
      </c>
      <c r="M339" s="310">
        <f>IF(L339=0,0,IFERROR(IF((L339/K339)=0,100%,L339/K339),100%))</f>
        <v>1</v>
      </c>
      <c r="N339" s="308">
        <v>1</v>
      </c>
      <c r="O339" s="421">
        <v>80</v>
      </c>
      <c r="P339" s="339">
        <f t="shared" ref="P339:P344" si="204">J339*M339*N339*O339</f>
        <v>0</v>
      </c>
      <c r="Q339" s="337"/>
      <c r="T339" s="260"/>
    </row>
    <row r="340" spans="1:25" ht="15.75" customHeight="1" outlineLevel="1">
      <c r="C340" s="507" t="str">
        <f t="shared" ca="1" si="202"/>
        <v>43</v>
      </c>
      <c r="D340" s="135" t="s">
        <v>1694</v>
      </c>
      <c r="E340" s="1308" t="s">
        <v>845</v>
      </c>
      <c r="F340" s="1309"/>
      <c r="G340" s="1309"/>
      <c r="H340" s="1310"/>
      <c r="I340" s="104" t="s">
        <v>11</v>
      </c>
      <c r="J340" s="411">
        <v>0</v>
      </c>
      <c r="K340" s="308">
        <f t="shared" si="203"/>
        <v>8</v>
      </c>
      <c r="L340" s="309">
        <f t="shared" si="203"/>
        <v>8</v>
      </c>
      <c r="M340" s="310">
        <f t="shared" ref="M340:M352" si="205">IF(L340=0,0,IFERROR(IF((L340/K340)=0,100%,L340/K340),100%))</f>
        <v>1</v>
      </c>
      <c r="N340" s="308">
        <v>1</v>
      </c>
      <c r="O340" s="421">
        <v>300</v>
      </c>
      <c r="P340" s="339">
        <f t="shared" si="204"/>
        <v>0</v>
      </c>
      <c r="Q340" s="337"/>
      <c r="T340" s="260"/>
    </row>
    <row r="341" spans="1:25" ht="15.75" customHeight="1" outlineLevel="1">
      <c r="C341" s="507" t="str">
        <f t="shared" ca="1" si="202"/>
        <v>44</v>
      </c>
      <c r="D341" s="135" t="s">
        <v>1695</v>
      </c>
      <c r="E341" s="1308" t="s">
        <v>81</v>
      </c>
      <c r="F341" s="1309"/>
      <c r="G341" s="1309"/>
      <c r="H341" s="1310"/>
      <c r="I341" s="104" t="s">
        <v>11</v>
      </c>
      <c r="J341" s="411">
        <v>0</v>
      </c>
      <c r="K341" s="308">
        <f t="shared" si="203"/>
        <v>8</v>
      </c>
      <c r="L341" s="309">
        <f t="shared" si="203"/>
        <v>8</v>
      </c>
      <c r="M341" s="310">
        <f t="shared" si="205"/>
        <v>1</v>
      </c>
      <c r="N341" s="308">
        <v>1</v>
      </c>
      <c r="O341" s="421">
        <v>506.15</v>
      </c>
      <c r="P341" s="339">
        <f t="shared" si="204"/>
        <v>0</v>
      </c>
      <c r="Q341" s="337"/>
      <c r="R341" s="260"/>
      <c r="S341" s="260"/>
      <c r="T341" s="260"/>
    </row>
    <row r="342" spans="1:25" ht="15.75" customHeight="1" outlineLevel="1">
      <c r="C342" s="507" t="str">
        <f t="shared" ca="1" si="202"/>
        <v>45</v>
      </c>
      <c r="D342" s="135" t="s">
        <v>1696</v>
      </c>
      <c r="E342" s="1308" t="s">
        <v>82</v>
      </c>
      <c r="F342" s="1309"/>
      <c r="G342" s="1309"/>
      <c r="H342" s="1310"/>
      <c r="I342" s="104" t="s">
        <v>11</v>
      </c>
      <c r="J342" s="411">
        <v>0</v>
      </c>
      <c r="K342" s="308">
        <f t="shared" si="203"/>
        <v>8</v>
      </c>
      <c r="L342" s="309">
        <f t="shared" si="203"/>
        <v>8</v>
      </c>
      <c r="M342" s="310">
        <f t="shared" si="205"/>
        <v>1</v>
      </c>
      <c r="N342" s="308">
        <v>1</v>
      </c>
      <c r="O342" s="421">
        <v>634.76</v>
      </c>
      <c r="P342" s="339">
        <f t="shared" si="204"/>
        <v>0</v>
      </c>
      <c r="Q342" s="337"/>
      <c r="R342" s="260"/>
      <c r="S342" s="260"/>
      <c r="T342" s="260"/>
    </row>
    <row r="343" spans="1:25" ht="15.75" customHeight="1" outlineLevel="1">
      <c r="C343" s="507" t="str">
        <f t="shared" ca="1" si="202"/>
        <v>46</v>
      </c>
      <c r="D343" s="135" t="s">
        <v>1697</v>
      </c>
      <c r="E343" s="1308" t="s">
        <v>308</v>
      </c>
      <c r="F343" s="1309"/>
      <c r="G343" s="1309"/>
      <c r="H343" s="1310"/>
      <c r="I343" s="104" t="s">
        <v>11</v>
      </c>
      <c r="J343" s="411">
        <v>0</v>
      </c>
      <c r="K343" s="308">
        <f t="shared" si="203"/>
        <v>8</v>
      </c>
      <c r="L343" s="309">
        <f t="shared" si="203"/>
        <v>8</v>
      </c>
      <c r="M343" s="310">
        <f t="shared" si="205"/>
        <v>1</v>
      </c>
      <c r="N343" s="308">
        <v>1</v>
      </c>
      <c r="O343" s="421">
        <v>59.99</v>
      </c>
      <c r="P343" s="339">
        <f t="shared" si="204"/>
        <v>0</v>
      </c>
      <c r="Q343" s="337"/>
      <c r="R343" s="260"/>
      <c r="S343" s="260"/>
      <c r="T343" s="49"/>
    </row>
    <row r="344" spans="1:25" ht="15.75" customHeight="1" outlineLevel="1">
      <c r="C344" s="507" t="str">
        <f t="shared" ca="1" si="202"/>
        <v>47</v>
      </c>
      <c r="D344" s="135" t="s">
        <v>1698</v>
      </c>
      <c r="E344" s="1304" t="s">
        <v>307</v>
      </c>
      <c r="F344" s="1305"/>
      <c r="G344" s="1305"/>
      <c r="H344" s="1306"/>
      <c r="I344" s="104" t="s">
        <v>11</v>
      </c>
      <c r="J344" s="411">
        <v>0</v>
      </c>
      <c r="K344" s="308">
        <f t="shared" si="203"/>
        <v>8</v>
      </c>
      <c r="L344" s="309">
        <f t="shared" si="203"/>
        <v>8</v>
      </c>
      <c r="M344" s="310">
        <f t="shared" si="205"/>
        <v>1</v>
      </c>
      <c r="N344" s="308">
        <v>1</v>
      </c>
      <c r="O344" s="421">
        <v>63</v>
      </c>
      <c r="P344" s="339">
        <f t="shared" si="204"/>
        <v>0</v>
      </c>
      <c r="Q344" s="337"/>
      <c r="R344" s="260"/>
      <c r="S344" s="260"/>
      <c r="T344" s="49"/>
    </row>
    <row r="345" spans="1:25" ht="15.75" customHeight="1" outlineLevel="1">
      <c r="C345" s="507" t="str">
        <f t="shared" ca="1" si="202"/>
        <v>48</v>
      </c>
      <c r="D345" s="135" t="s">
        <v>1699</v>
      </c>
      <c r="E345" s="1308" t="s">
        <v>77</v>
      </c>
      <c r="F345" s="1309"/>
      <c r="G345" s="1309"/>
      <c r="H345" s="1310"/>
      <c r="I345" s="104" t="s">
        <v>11</v>
      </c>
      <c r="J345" s="411">
        <v>0</v>
      </c>
      <c r="K345" s="308">
        <f t="shared" si="203"/>
        <v>8</v>
      </c>
      <c r="L345" s="309">
        <f t="shared" si="203"/>
        <v>8</v>
      </c>
      <c r="M345" s="310">
        <f t="shared" si="205"/>
        <v>1</v>
      </c>
      <c r="N345" s="308">
        <v>1</v>
      </c>
      <c r="O345" s="421">
        <v>200</v>
      </c>
      <c r="P345" s="339">
        <f t="shared" ref="P345:P351" si="206">J345*M345*N345*O345</f>
        <v>0</v>
      </c>
      <c r="Q345" s="337"/>
    </row>
    <row r="346" spans="1:25" ht="15.75" customHeight="1" outlineLevel="1">
      <c r="C346" s="507" t="str">
        <f t="shared" ca="1" si="202"/>
        <v>49</v>
      </c>
      <c r="D346" s="135" t="s">
        <v>1700</v>
      </c>
      <c r="E346" s="1308" t="s">
        <v>78</v>
      </c>
      <c r="F346" s="1309"/>
      <c r="G346" s="1309"/>
      <c r="H346" s="1310"/>
      <c r="I346" s="104" t="s">
        <v>11</v>
      </c>
      <c r="J346" s="411">
        <v>0</v>
      </c>
      <c r="K346" s="308">
        <f t="shared" si="203"/>
        <v>8</v>
      </c>
      <c r="L346" s="309">
        <f t="shared" si="203"/>
        <v>8</v>
      </c>
      <c r="M346" s="310">
        <f t="shared" si="205"/>
        <v>1</v>
      </c>
      <c r="N346" s="308">
        <v>1</v>
      </c>
      <c r="O346" s="421">
        <v>300</v>
      </c>
      <c r="P346" s="339">
        <f t="shared" si="206"/>
        <v>0</v>
      </c>
      <c r="Q346" s="337"/>
    </row>
    <row r="347" spans="1:25" ht="15.75" customHeight="1" outlineLevel="1">
      <c r="C347" s="507" t="str">
        <f t="shared" ca="1" si="202"/>
        <v>50</v>
      </c>
      <c r="D347" s="135" t="s">
        <v>1701</v>
      </c>
      <c r="E347" s="1308" t="s">
        <v>302</v>
      </c>
      <c r="F347" s="1309"/>
      <c r="G347" s="1309"/>
      <c r="H347" s="1310"/>
      <c r="I347" s="104" t="s">
        <v>11</v>
      </c>
      <c r="J347" s="411">
        <v>0</v>
      </c>
      <c r="K347" s="308">
        <f t="shared" si="203"/>
        <v>8</v>
      </c>
      <c r="L347" s="309">
        <f t="shared" si="203"/>
        <v>8</v>
      </c>
      <c r="M347" s="310">
        <f t="shared" si="205"/>
        <v>1</v>
      </c>
      <c r="N347" s="308">
        <v>1</v>
      </c>
      <c r="O347" s="421">
        <v>30</v>
      </c>
      <c r="P347" s="339">
        <f t="shared" si="206"/>
        <v>0</v>
      </c>
      <c r="Q347" s="337"/>
    </row>
    <row r="348" spans="1:25" ht="15.75" customHeight="1" outlineLevel="1">
      <c r="C348" s="507" t="str">
        <f t="shared" ca="1" si="202"/>
        <v>51</v>
      </c>
      <c r="D348" s="135" t="s">
        <v>1702</v>
      </c>
      <c r="E348" s="1308" t="s">
        <v>79</v>
      </c>
      <c r="F348" s="1309"/>
      <c r="G348" s="1309"/>
      <c r="H348" s="1310"/>
      <c r="I348" s="104" t="s">
        <v>11</v>
      </c>
      <c r="J348" s="411">
        <v>0</v>
      </c>
      <c r="K348" s="308">
        <f t="shared" si="203"/>
        <v>8</v>
      </c>
      <c r="L348" s="309">
        <f t="shared" si="203"/>
        <v>8</v>
      </c>
      <c r="M348" s="310">
        <f t="shared" si="205"/>
        <v>1</v>
      </c>
      <c r="N348" s="308">
        <v>1</v>
      </c>
      <c r="O348" s="421">
        <v>300</v>
      </c>
      <c r="P348" s="339">
        <f t="shared" si="206"/>
        <v>0</v>
      </c>
      <c r="Q348" s="337"/>
    </row>
    <row r="349" spans="1:25" ht="15.75" customHeight="1" outlineLevel="1">
      <c r="C349" s="507" t="str">
        <f t="shared" ca="1" si="202"/>
        <v>52</v>
      </c>
      <c r="D349" s="135" t="s">
        <v>1703</v>
      </c>
      <c r="E349" s="1308" t="s">
        <v>80</v>
      </c>
      <c r="F349" s="1309"/>
      <c r="G349" s="1309"/>
      <c r="H349" s="1310"/>
      <c r="I349" s="104" t="s">
        <v>11</v>
      </c>
      <c r="J349" s="411">
        <v>0</v>
      </c>
      <c r="K349" s="308">
        <f t="shared" si="203"/>
        <v>8</v>
      </c>
      <c r="L349" s="309">
        <f t="shared" si="203"/>
        <v>8</v>
      </c>
      <c r="M349" s="310">
        <f t="shared" si="205"/>
        <v>1</v>
      </c>
      <c r="N349" s="308">
        <v>1</v>
      </c>
      <c r="O349" s="421">
        <v>365.47</v>
      </c>
      <c r="P349" s="339">
        <f t="shared" si="206"/>
        <v>0</v>
      </c>
      <c r="Q349" s="337"/>
    </row>
    <row r="350" spans="1:25" ht="15.75" customHeight="1" outlineLevel="1">
      <c r="C350" s="507" t="str">
        <f t="shared" ca="1" si="202"/>
        <v>53</v>
      </c>
      <c r="D350" s="135" t="s">
        <v>1704</v>
      </c>
      <c r="E350" s="1308" t="s">
        <v>305</v>
      </c>
      <c r="F350" s="1309"/>
      <c r="G350" s="1309"/>
      <c r="H350" s="1310"/>
      <c r="I350" s="104" t="s">
        <v>11</v>
      </c>
      <c r="J350" s="411">
        <v>0</v>
      </c>
      <c r="K350" s="308">
        <f t="shared" si="203"/>
        <v>8</v>
      </c>
      <c r="L350" s="309">
        <f t="shared" si="203"/>
        <v>8</v>
      </c>
      <c r="M350" s="310">
        <f t="shared" si="205"/>
        <v>1</v>
      </c>
      <c r="N350" s="308">
        <v>1</v>
      </c>
      <c r="O350" s="421">
        <v>89.9</v>
      </c>
      <c r="P350" s="339">
        <f>J350*M350*N350*O350</f>
        <v>0</v>
      </c>
      <c r="Q350" s="337"/>
    </row>
    <row r="351" spans="1:25" ht="15.75" customHeight="1" outlineLevel="1">
      <c r="C351" s="507" t="str">
        <f t="shared" ca="1" si="202"/>
        <v>54</v>
      </c>
      <c r="D351" s="135" t="s">
        <v>1705</v>
      </c>
      <c r="E351" s="1308" t="s">
        <v>306</v>
      </c>
      <c r="F351" s="1309"/>
      <c r="G351" s="1309"/>
      <c r="H351" s="1310"/>
      <c r="I351" s="104" t="s">
        <v>11</v>
      </c>
      <c r="J351" s="411">
        <v>0</v>
      </c>
      <c r="K351" s="308">
        <f t="shared" si="203"/>
        <v>8</v>
      </c>
      <c r="L351" s="309">
        <f t="shared" si="203"/>
        <v>8</v>
      </c>
      <c r="M351" s="310">
        <f t="shared" si="205"/>
        <v>1</v>
      </c>
      <c r="N351" s="308">
        <v>1</v>
      </c>
      <c r="O351" s="421">
        <v>30</v>
      </c>
      <c r="P351" s="339">
        <f t="shared" si="206"/>
        <v>0</v>
      </c>
      <c r="Q351" s="337"/>
    </row>
    <row r="352" spans="1:25" ht="15.75" customHeight="1" outlineLevel="1">
      <c r="C352" s="507" t="str">
        <f t="shared" ca="1" si="202"/>
        <v>55</v>
      </c>
      <c r="D352" s="135" t="s">
        <v>1706</v>
      </c>
      <c r="E352" s="1358" t="s">
        <v>1763</v>
      </c>
      <c r="F352" s="1359"/>
      <c r="G352" s="1359"/>
      <c r="H352" s="1360"/>
      <c r="I352" s="104" t="s">
        <v>11</v>
      </c>
      <c r="J352" s="411">
        <v>0</v>
      </c>
      <c r="K352" s="308">
        <f t="shared" si="203"/>
        <v>8</v>
      </c>
      <c r="L352" s="309">
        <f t="shared" si="203"/>
        <v>8</v>
      </c>
      <c r="M352" s="310">
        <f t="shared" si="205"/>
        <v>1</v>
      </c>
      <c r="N352" s="308">
        <v>1</v>
      </c>
      <c r="O352" s="421">
        <v>1200</v>
      </c>
      <c r="P352" s="339">
        <f>J352*M352*N352*O352</f>
        <v>0</v>
      </c>
      <c r="Q352" s="337"/>
    </row>
    <row r="353" spans="1:30" ht="15.75" customHeight="1" outlineLevel="1">
      <c r="C353" s="507"/>
      <c r="D353" s="349"/>
      <c r="E353" s="112"/>
      <c r="F353" s="113"/>
      <c r="G353" s="113"/>
      <c r="H353" s="116"/>
      <c r="I353" s="113"/>
      <c r="J353" s="113"/>
      <c r="K353" s="113"/>
      <c r="L353" s="113"/>
      <c r="M353" s="350"/>
      <c r="N353" s="113"/>
      <c r="O353" s="351"/>
      <c r="P353" s="142"/>
      <c r="Q353" s="337"/>
      <c r="U353" s="49"/>
      <c r="V353" s="49"/>
      <c r="W353" s="49"/>
      <c r="X353" s="49"/>
      <c r="Y353" s="49"/>
    </row>
    <row r="354" spans="1:30" s="187" customFormat="1" ht="15.75" customHeight="1">
      <c r="A354" s="957"/>
      <c r="B354" s="957"/>
      <c r="C354" s="957"/>
      <c r="D354" s="1340" t="s">
        <v>630</v>
      </c>
      <c r="E354" s="1323" t="s">
        <v>794</v>
      </c>
      <c r="F354" s="1324"/>
      <c r="G354" s="1324"/>
      <c r="H354" s="1325"/>
      <c r="I354" s="1329" t="s">
        <v>780</v>
      </c>
      <c r="J354" s="1329" t="s">
        <v>781</v>
      </c>
      <c r="K354" s="1329" t="s">
        <v>782</v>
      </c>
      <c r="L354" s="1329" t="s">
        <v>799</v>
      </c>
      <c r="M354" s="1329" t="s">
        <v>15</v>
      </c>
      <c r="N354" s="1329" t="s">
        <v>783</v>
      </c>
      <c r="O354" s="1329" t="s">
        <v>784</v>
      </c>
      <c r="P354" s="1344" t="s">
        <v>1</v>
      </c>
      <c r="Q354" s="1381">
        <f>$P$356/meses_obra</f>
        <v>12984.908499999998</v>
      </c>
    </row>
    <row r="355" spans="1:30" s="187" customFormat="1" ht="15.75" customHeight="1">
      <c r="A355" s="957"/>
      <c r="B355" s="957"/>
      <c r="C355" s="958"/>
      <c r="D355" s="1341"/>
      <c r="E355" s="1326"/>
      <c r="F355" s="1327"/>
      <c r="G355" s="1327"/>
      <c r="H355" s="1328"/>
      <c r="I355" s="1330"/>
      <c r="J355" s="1330"/>
      <c r="K355" s="1330"/>
      <c r="L355" s="1330"/>
      <c r="M355" s="1330"/>
      <c r="N355" s="1330"/>
      <c r="O355" s="1330"/>
      <c r="P355" s="1345"/>
      <c r="Q355" s="1382"/>
      <c r="R355" s="299"/>
      <c r="V355" s="188"/>
      <c r="W355" s="188"/>
      <c r="Y355" s="299"/>
      <c r="Z355" s="299"/>
      <c r="AA355" s="299"/>
      <c r="AB355" s="299"/>
      <c r="AC355" s="299"/>
      <c r="AD355" s="299"/>
    </row>
    <row r="356" spans="1:30" s="49" customFormat="1" ht="15.75" customHeight="1" outlineLevel="1">
      <c r="A356" s="322"/>
      <c r="B356" s="322"/>
      <c r="C356" s="507">
        <f>D356</f>
        <v>0</v>
      </c>
      <c r="D356" s="215"/>
      <c r="E356" s="227" t="s">
        <v>835</v>
      </c>
      <c r="F356" s="227"/>
      <c r="G356" s="227"/>
      <c r="H356" s="227"/>
      <c r="I356" s="228"/>
      <c r="J356" s="228"/>
      <c r="K356" s="229"/>
      <c r="L356" s="219"/>
      <c r="M356" s="230"/>
      <c r="N356" s="231"/>
      <c r="O356" s="336" t="s">
        <v>366</v>
      </c>
      <c r="P356" s="314">
        <f>equipamentos_valor+ferramentas_valor</f>
        <v>103879.26799999998</v>
      </c>
      <c r="Q356" s="56">
        <f ca="1">$P$356/custo_direto</f>
        <v>1.8227799516469863E-2</v>
      </c>
      <c r="R356" s="260"/>
      <c r="S356" s="260"/>
      <c r="T356" s="260"/>
      <c r="U356" s="36"/>
      <c r="V356" s="40"/>
    </row>
    <row r="357" spans="1:30" s="49" customFormat="1" ht="15.75" customHeight="1" outlineLevel="1">
      <c r="A357" s="127"/>
      <c r="B357" s="127"/>
      <c r="C357" s="127"/>
      <c r="D357" s="277"/>
      <c r="E357" s="260"/>
      <c r="F357" s="260"/>
      <c r="G357" s="260"/>
      <c r="H357" s="260"/>
      <c r="I357" s="260"/>
      <c r="J357" s="260"/>
      <c r="K357" s="260"/>
      <c r="L357" s="260"/>
      <c r="M357" s="260"/>
      <c r="N357" s="260"/>
      <c r="O357" s="260"/>
      <c r="P357" s="279"/>
      <c r="Q357" s="260"/>
      <c r="R357" s="260"/>
      <c r="S357" s="260"/>
      <c r="T357" s="260"/>
      <c r="U357" s="36"/>
      <c r="V357" s="40"/>
    </row>
    <row r="358" spans="1:30" s="49" customFormat="1" ht="15.75" customHeight="1" outlineLevel="1">
      <c r="A358" s="322"/>
      <c r="B358" s="322"/>
      <c r="C358" s="507" t="str">
        <f>D358</f>
        <v>13</v>
      </c>
      <c r="D358" s="215" t="s">
        <v>552</v>
      </c>
      <c r="E358" s="227" t="s">
        <v>361</v>
      </c>
      <c r="F358" s="227"/>
      <c r="G358" s="227"/>
      <c r="H358" s="227"/>
      <c r="I358" s="228" t="s">
        <v>11</v>
      </c>
      <c r="J358" s="228" t="s">
        <v>154</v>
      </c>
      <c r="K358" s="229" t="s">
        <v>155</v>
      </c>
      <c r="L358" s="219" t="s">
        <v>795</v>
      </c>
      <c r="M358" s="230" t="s">
        <v>15</v>
      </c>
      <c r="N358" s="231" t="s">
        <v>123</v>
      </c>
      <c r="O358" s="306"/>
      <c r="P358" s="314">
        <f>SUM(P359:P418)</f>
        <v>78460</v>
      </c>
      <c r="Q358" s="56">
        <f ca="1">$P$358/custo_direto</f>
        <v>1.376745502348193E-2</v>
      </c>
      <c r="U358" s="36"/>
      <c r="V358" s="40"/>
    </row>
    <row r="359" spans="1:30" s="49" customFormat="1" ht="15.75" customHeight="1" outlineLevel="1">
      <c r="A359" s="322"/>
      <c r="B359" s="322"/>
      <c r="C359" s="507" t="str">
        <f t="shared" ref="C359:C391" ca="1" si="207">IF(OFFSET(C359,-1,0)&gt;="01",CONCATENATE(,OFFSET(C359,-1,0)+1),CONCATENATE((SUM(OFFSET(C359,-1,0)+1-(OFFSET(C359,-1,0))))))</f>
        <v>14</v>
      </c>
      <c r="D359" s="808" t="s">
        <v>731</v>
      </c>
      <c r="E359" s="824" t="s">
        <v>378</v>
      </c>
      <c r="F359" s="825"/>
      <c r="G359" s="825"/>
      <c r="H359" s="825"/>
      <c r="I359" s="825"/>
      <c r="J359" s="825"/>
      <c r="K359" s="825"/>
      <c r="L359" s="825"/>
      <c r="M359" s="825"/>
      <c r="N359" s="825"/>
      <c r="O359" s="825"/>
      <c r="P359" s="826"/>
      <c r="Q359" s="337"/>
      <c r="T359" s="36"/>
      <c r="U359" s="36"/>
    </row>
    <row r="360" spans="1:30" ht="15.75" customHeight="1" outlineLevel="1">
      <c r="C360" s="507" t="str">
        <f t="shared" ca="1" si="207"/>
        <v>15</v>
      </c>
      <c r="D360" s="135" t="s">
        <v>1707</v>
      </c>
      <c r="E360" s="1308" t="s">
        <v>384</v>
      </c>
      <c r="F360" s="1309"/>
      <c r="G360" s="1309"/>
      <c r="H360" s="1310"/>
      <c r="I360" s="104" t="s">
        <v>253</v>
      </c>
      <c r="J360" s="423">
        <v>0</v>
      </c>
      <c r="K360" s="308">
        <f t="shared" ref="K360:K417" si="208">meses_obra</f>
        <v>8</v>
      </c>
      <c r="L360" s="309">
        <v>2</v>
      </c>
      <c r="M360" s="310">
        <f t="shared" ref="M360:M417" si="209">IFERROR(IF((L360/K360)=0,100%,L360/K360),100%)</f>
        <v>0.25</v>
      </c>
      <c r="N360" s="308">
        <f t="shared" ref="N360:N367" si="210">meses_obra</f>
        <v>8</v>
      </c>
      <c r="O360" s="421">
        <v>98</v>
      </c>
      <c r="P360" s="339">
        <f t="shared" ref="P360:P367" si="211">J360*M360*N360*O360</f>
        <v>0</v>
      </c>
      <c r="Q360" s="337"/>
      <c r="V360" s="40"/>
    </row>
    <row r="361" spans="1:30" ht="15.75" customHeight="1" outlineLevel="1">
      <c r="C361" s="507" t="str">
        <f t="shared" ca="1" si="207"/>
        <v>16</v>
      </c>
      <c r="D361" s="135" t="s">
        <v>1708</v>
      </c>
      <c r="E361" s="1308" t="s">
        <v>385</v>
      </c>
      <c r="F361" s="1309"/>
      <c r="G361" s="1309"/>
      <c r="H361" s="1310"/>
      <c r="I361" s="104" t="s">
        <v>253</v>
      </c>
      <c r="J361" s="423">
        <v>30</v>
      </c>
      <c r="K361" s="308">
        <f t="shared" si="208"/>
        <v>8</v>
      </c>
      <c r="L361" s="309"/>
      <c r="M361" s="310">
        <f t="shared" si="209"/>
        <v>1</v>
      </c>
      <c r="N361" s="308">
        <f t="shared" si="210"/>
        <v>8</v>
      </c>
      <c r="O361" s="421">
        <v>98</v>
      </c>
      <c r="P361" s="339">
        <f>J361*M361*N361*O361</f>
        <v>23520</v>
      </c>
      <c r="Q361" s="337"/>
      <c r="V361" s="40"/>
    </row>
    <row r="362" spans="1:30" ht="15.75" customHeight="1" outlineLevel="1">
      <c r="C362" s="507" t="str">
        <f t="shared" ca="1" si="207"/>
        <v>17</v>
      </c>
      <c r="D362" s="135" t="s">
        <v>1709</v>
      </c>
      <c r="E362" s="1304" t="s">
        <v>31</v>
      </c>
      <c r="F362" s="1305"/>
      <c r="G362" s="1305"/>
      <c r="H362" s="1306"/>
      <c r="I362" s="104" t="s">
        <v>11</v>
      </c>
      <c r="J362" s="423">
        <v>0</v>
      </c>
      <c r="K362" s="308">
        <f t="shared" si="208"/>
        <v>8</v>
      </c>
      <c r="L362" s="309"/>
      <c r="M362" s="310">
        <f t="shared" si="209"/>
        <v>1</v>
      </c>
      <c r="N362" s="308">
        <f t="shared" si="210"/>
        <v>8</v>
      </c>
      <c r="O362" s="421"/>
      <c r="P362" s="339">
        <f t="shared" si="211"/>
        <v>0</v>
      </c>
      <c r="Q362" s="337"/>
    </row>
    <row r="363" spans="1:30" ht="15.75" customHeight="1" outlineLevel="1">
      <c r="C363" s="507" t="str">
        <f t="shared" ca="1" si="207"/>
        <v>18</v>
      </c>
      <c r="D363" s="135" t="s">
        <v>1710</v>
      </c>
      <c r="E363" s="1304" t="s">
        <v>2082</v>
      </c>
      <c r="F363" s="1305"/>
      <c r="G363" s="1305"/>
      <c r="H363" s="1306"/>
      <c r="I363" s="104" t="s">
        <v>11</v>
      </c>
      <c r="J363" s="423">
        <v>0</v>
      </c>
      <c r="K363" s="308">
        <f t="shared" si="208"/>
        <v>8</v>
      </c>
      <c r="L363" s="309"/>
      <c r="M363" s="310">
        <f t="shared" si="209"/>
        <v>1</v>
      </c>
      <c r="N363" s="308">
        <v>3</v>
      </c>
      <c r="O363" s="421">
        <v>30000</v>
      </c>
      <c r="P363" s="339">
        <f t="shared" si="211"/>
        <v>0</v>
      </c>
      <c r="Q363" s="337"/>
    </row>
    <row r="364" spans="1:30" ht="15.75" customHeight="1" outlineLevel="1">
      <c r="C364" s="507" t="str">
        <f t="shared" ca="1" si="207"/>
        <v>19</v>
      </c>
      <c r="D364" s="135" t="s">
        <v>1711</v>
      </c>
      <c r="E364" s="1308" t="s">
        <v>41</v>
      </c>
      <c r="F364" s="1309"/>
      <c r="G364" s="1309"/>
      <c r="H364" s="1310"/>
      <c r="I364" s="104" t="s">
        <v>11</v>
      </c>
      <c r="J364" s="423">
        <v>0</v>
      </c>
      <c r="K364" s="308">
        <f t="shared" si="208"/>
        <v>8</v>
      </c>
      <c r="L364" s="309"/>
      <c r="M364" s="310">
        <f t="shared" si="209"/>
        <v>1</v>
      </c>
      <c r="N364" s="308">
        <f t="shared" si="210"/>
        <v>8</v>
      </c>
      <c r="O364" s="421"/>
      <c r="P364" s="339">
        <f t="shared" si="211"/>
        <v>0</v>
      </c>
      <c r="Q364" s="337"/>
      <c r="V364" s="40"/>
    </row>
    <row r="365" spans="1:30" ht="15.75" customHeight="1" outlineLevel="1">
      <c r="C365" s="507" t="str">
        <f t="shared" ca="1" si="207"/>
        <v>20</v>
      </c>
      <c r="D365" s="135" t="s">
        <v>1712</v>
      </c>
      <c r="E365" s="1308" t="s">
        <v>386</v>
      </c>
      <c r="F365" s="1309"/>
      <c r="G365" s="1309"/>
      <c r="H365" s="1310"/>
      <c r="I365" s="104" t="s">
        <v>11</v>
      </c>
      <c r="J365" s="423">
        <v>0</v>
      </c>
      <c r="K365" s="308">
        <f t="shared" si="208"/>
        <v>8</v>
      </c>
      <c r="L365" s="309"/>
      <c r="M365" s="310">
        <f t="shared" si="209"/>
        <v>1</v>
      </c>
      <c r="N365" s="308">
        <f t="shared" si="210"/>
        <v>8</v>
      </c>
      <c r="O365" s="421"/>
      <c r="P365" s="339">
        <f t="shared" si="211"/>
        <v>0</v>
      </c>
      <c r="Q365" s="337"/>
      <c r="V365" s="40"/>
    </row>
    <row r="366" spans="1:30" ht="15.75" customHeight="1" outlineLevel="1">
      <c r="C366" s="507" t="str">
        <f t="shared" ca="1" si="207"/>
        <v>21</v>
      </c>
      <c r="D366" s="135" t="s">
        <v>1713</v>
      </c>
      <c r="E366" s="1308" t="s">
        <v>387</v>
      </c>
      <c r="F366" s="1309"/>
      <c r="G366" s="1309"/>
      <c r="H366" s="1310"/>
      <c r="I366" s="104" t="s">
        <v>11</v>
      </c>
      <c r="J366" s="423">
        <v>0</v>
      </c>
      <c r="K366" s="308">
        <f t="shared" si="208"/>
        <v>8</v>
      </c>
      <c r="L366" s="309"/>
      <c r="M366" s="310">
        <f t="shared" ref="M366" si="212">IFERROR(IF((L366/K366)=0,100%,L366/K366),100%)</f>
        <v>1</v>
      </c>
      <c r="N366" s="308">
        <f t="shared" si="210"/>
        <v>8</v>
      </c>
      <c r="O366" s="421"/>
      <c r="P366" s="339">
        <f t="shared" ref="P366" si="213">J366*M366*N366*O366</f>
        <v>0</v>
      </c>
      <c r="Q366" s="337"/>
      <c r="V366" s="40"/>
    </row>
    <row r="367" spans="1:30" ht="15.75" customHeight="1" outlineLevel="1">
      <c r="C367" s="507" t="str">
        <f t="shared" ca="1" si="207"/>
        <v>22</v>
      </c>
      <c r="D367" s="135" t="s">
        <v>2122</v>
      </c>
      <c r="E367" s="1308" t="s">
        <v>2123</v>
      </c>
      <c r="F367" s="1309"/>
      <c r="G367" s="1309"/>
      <c r="H367" s="1310"/>
      <c r="I367" s="104" t="s">
        <v>11</v>
      </c>
      <c r="J367" s="423">
        <v>1</v>
      </c>
      <c r="K367" s="308">
        <f t="shared" si="208"/>
        <v>8</v>
      </c>
      <c r="L367" s="309"/>
      <c r="M367" s="310">
        <f t="shared" si="209"/>
        <v>1</v>
      </c>
      <c r="N367" s="308">
        <f t="shared" si="210"/>
        <v>8</v>
      </c>
      <c r="O367" s="421">
        <v>2500</v>
      </c>
      <c r="P367" s="339">
        <f t="shared" si="211"/>
        <v>20000</v>
      </c>
      <c r="Q367" s="337"/>
      <c r="V367" s="40"/>
    </row>
    <row r="368" spans="1:30" s="49" customFormat="1" ht="15.75" customHeight="1" outlineLevel="1">
      <c r="A368" s="322"/>
      <c r="B368" s="322"/>
      <c r="C368" s="507" t="str">
        <f t="shared" ca="1" si="207"/>
        <v>23</v>
      </c>
      <c r="D368" s="808" t="s">
        <v>732</v>
      </c>
      <c r="E368" s="827" t="s">
        <v>485</v>
      </c>
      <c r="F368" s="801"/>
      <c r="G368" s="801"/>
      <c r="H368" s="801"/>
      <c r="I368" s="801"/>
      <c r="J368" s="801"/>
      <c r="K368" s="801"/>
      <c r="L368" s="801"/>
      <c r="M368" s="801"/>
      <c r="N368" s="801"/>
      <c r="O368" s="801"/>
      <c r="P368" s="828"/>
      <c r="Q368" s="337"/>
      <c r="T368" s="36"/>
      <c r="U368" s="36"/>
    </row>
    <row r="369" spans="1:22" ht="15.75" customHeight="1" outlineLevel="1">
      <c r="C369" s="507" t="str">
        <f t="shared" ca="1" si="207"/>
        <v>24</v>
      </c>
      <c r="D369" s="135" t="s">
        <v>1714</v>
      </c>
      <c r="E369" s="1308" t="s">
        <v>182</v>
      </c>
      <c r="F369" s="1309"/>
      <c r="G369" s="1309"/>
      <c r="H369" s="1310"/>
      <c r="I369" s="104" t="s">
        <v>11</v>
      </c>
      <c r="J369" s="423">
        <v>0</v>
      </c>
      <c r="K369" s="308">
        <f t="shared" si="208"/>
        <v>8</v>
      </c>
      <c r="L369" s="309"/>
      <c r="M369" s="310">
        <f t="shared" si="209"/>
        <v>1</v>
      </c>
      <c r="N369" s="308">
        <f t="shared" ref="N369:N377" si="214">meses_obra</f>
        <v>8</v>
      </c>
      <c r="O369" s="421">
        <v>1500</v>
      </c>
      <c r="P369" s="339">
        <f t="shared" ref="P369:P379" si="215">J369*M369*N369*O369</f>
        <v>0</v>
      </c>
      <c r="Q369" s="337"/>
    </row>
    <row r="370" spans="1:22" ht="15.75" customHeight="1" outlineLevel="1">
      <c r="C370" s="507" t="str">
        <f t="shared" ca="1" si="207"/>
        <v>25</v>
      </c>
      <c r="D370" s="135" t="s">
        <v>1715</v>
      </c>
      <c r="E370" s="1308" t="s">
        <v>466</v>
      </c>
      <c r="F370" s="1309"/>
      <c r="G370" s="1309"/>
      <c r="H370" s="1310"/>
      <c r="I370" s="104" t="s">
        <v>11</v>
      </c>
      <c r="J370" s="423">
        <v>0</v>
      </c>
      <c r="K370" s="308">
        <f t="shared" si="208"/>
        <v>8</v>
      </c>
      <c r="L370" s="309"/>
      <c r="M370" s="310">
        <f t="shared" si="209"/>
        <v>1</v>
      </c>
      <c r="N370" s="308">
        <f t="shared" si="214"/>
        <v>8</v>
      </c>
      <c r="O370" s="421"/>
      <c r="P370" s="339">
        <f t="shared" si="215"/>
        <v>0</v>
      </c>
      <c r="Q370" s="337"/>
      <c r="V370" s="40"/>
    </row>
    <row r="371" spans="1:22" ht="15.75" customHeight="1" outlineLevel="1">
      <c r="C371" s="507" t="str">
        <f t="shared" ca="1" si="207"/>
        <v>26</v>
      </c>
      <c r="D371" s="135" t="s">
        <v>1716</v>
      </c>
      <c r="E371" s="1308" t="s">
        <v>181</v>
      </c>
      <c r="F371" s="1309"/>
      <c r="G371" s="1309"/>
      <c r="H371" s="1310"/>
      <c r="I371" s="104" t="s">
        <v>11</v>
      </c>
      <c r="J371" s="423">
        <v>0</v>
      </c>
      <c r="K371" s="308">
        <f t="shared" si="208"/>
        <v>8</v>
      </c>
      <c r="L371" s="309"/>
      <c r="M371" s="310">
        <f t="shared" si="209"/>
        <v>1</v>
      </c>
      <c r="N371" s="308">
        <f t="shared" si="214"/>
        <v>8</v>
      </c>
      <c r="O371" s="421">
        <v>2500</v>
      </c>
      <c r="P371" s="339">
        <f t="shared" si="215"/>
        <v>0</v>
      </c>
      <c r="Q371" s="337"/>
      <c r="V371" s="40"/>
    </row>
    <row r="372" spans="1:22" ht="15.75" customHeight="1" outlineLevel="1">
      <c r="C372" s="507" t="str">
        <f t="shared" ca="1" si="207"/>
        <v>27</v>
      </c>
      <c r="D372" s="135" t="s">
        <v>1717</v>
      </c>
      <c r="E372" s="1308" t="s">
        <v>180</v>
      </c>
      <c r="F372" s="1309"/>
      <c r="G372" s="1309"/>
      <c r="H372" s="1310"/>
      <c r="I372" s="104" t="s">
        <v>11</v>
      </c>
      <c r="J372" s="423">
        <v>0</v>
      </c>
      <c r="K372" s="308">
        <f t="shared" si="208"/>
        <v>8</v>
      </c>
      <c r="L372" s="309"/>
      <c r="M372" s="310">
        <f t="shared" si="209"/>
        <v>1</v>
      </c>
      <c r="N372" s="308">
        <f t="shared" si="214"/>
        <v>8</v>
      </c>
      <c r="O372" s="421"/>
      <c r="P372" s="339">
        <f t="shared" si="215"/>
        <v>0</v>
      </c>
      <c r="Q372" s="337"/>
      <c r="V372" s="40"/>
    </row>
    <row r="373" spans="1:22" ht="15.75" customHeight="1" outlineLevel="1">
      <c r="C373" s="507" t="str">
        <f t="shared" ca="1" si="207"/>
        <v>28</v>
      </c>
      <c r="D373" s="135" t="s">
        <v>1718</v>
      </c>
      <c r="E373" s="1308" t="s">
        <v>179</v>
      </c>
      <c r="F373" s="1309"/>
      <c r="G373" s="1309"/>
      <c r="H373" s="1310"/>
      <c r="I373" s="104" t="s">
        <v>11</v>
      </c>
      <c r="J373" s="423">
        <v>0</v>
      </c>
      <c r="K373" s="308">
        <f t="shared" si="208"/>
        <v>8</v>
      </c>
      <c r="L373" s="309"/>
      <c r="M373" s="310">
        <f t="shared" si="209"/>
        <v>1</v>
      </c>
      <c r="N373" s="308">
        <f t="shared" si="214"/>
        <v>8</v>
      </c>
      <c r="O373" s="421"/>
      <c r="P373" s="339">
        <f t="shared" si="215"/>
        <v>0</v>
      </c>
      <c r="Q373" s="337"/>
    </row>
    <row r="374" spans="1:22" ht="15.75" customHeight="1" outlineLevel="1">
      <c r="C374" s="507" t="str">
        <f t="shared" ca="1" si="207"/>
        <v>29</v>
      </c>
      <c r="D374" s="135" t="s">
        <v>1719</v>
      </c>
      <c r="E374" s="1304" t="s">
        <v>511</v>
      </c>
      <c r="F374" s="1305"/>
      <c r="G374" s="1305"/>
      <c r="H374" s="1306"/>
      <c r="I374" s="104" t="s">
        <v>11</v>
      </c>
      <c r="J374" s="423">
        <v>0</v>
      </c>
      <c r="K374" s="308">
        <f t="shared" si="208"/>
        <v>8</v>
      </c>
      <c r="L374" s="309"/>
      <c r="M374" s="310">
        <f t="shared" si="209"/>
        <v>1</v>
      </c>
      <c r="N374" s="308">
        <f t="shared" si="214"/>
        <v>8</v>
      </c>
      <c r="O374" s="421">
        <v>1800</v>
      </c>
      <c r="P374" s="339">
        <f t="shared" si="215"/>
        <v>0</v>
      </c>
      <c r="Q374" s="337"/>
    </row>
    <row r="375" spans="1:22" ht="15.75" customHeight="1" outlineLevel="1">
      <c r="C375" s="507" t="str">
        <f t="shared" ca="1" si="207"/>
        <v>30</v>
      </c>
      <c r="D375" s="135" t="s">
        <v>1720</v>
      </c>
      <c r="E375" s="1304" t="s">
        <v>282</v>
      </c>
      <c r="F375" s="1305"/>
      <c r="G375" s="1305"/>
      <c r="H375" s="1306"/>
      <c r="I375" s="104" t="s">
        <v>11</v>
      </c>
      <c r="J375" s="423">
        <v>0</v>
      </c>
      <c r="K375" s="308">
        <f t="shared" si="208"/>
        <v>8</v>
      </c>
      <c r="L375" s="309"/>
      <c r="M375" s="310">
        <f t="shared" si="209"/>
        <v>1</v>
      </c>
      <c r="N375" s="411">
        <v>1</v>
      </c>
      <c r="O375" s="421">
        <v>1500</v>
      </c>
      <c r="P375" s="339">
        <f>J375*M375*N375*O375</f>
        <v>0</v>
      </c>
      <c r="Q375" s="337"/>
    </row>
    <row r="376" spans="1:22" ht="15.75" customHeight="1" outlineLevel="1">
      <c r="C376" s="507" t="str">
        <f t="shared" ca="1" si="207"/>
        <v>31</v>
      </c>
      <c r="D376" s="135" t="s">
        <v>1721</v>
      </c>
      <c r="E376" s="1308" t="s">
        <v>512</v>
      </c>
      <c r="F376" s="1309"/>
      <c r="G376" s="1309"/>
      <c r="H376" s="1310"/>
      <c r="I376" s="104" t="s">
        <v>11</v>
      </c>
      <c r="J376" s="423">
        <v>0</v>
      </c>
      <c r="K376" s="308">
        <f t="shared" si="208"/>
        <v>8</v>
      </c>
      <c r="L376" s="309"/>
      <c r="M376" s="310">
        <f t="shared" si="209"/>
        <v>1</v>
      </c>
      <c r="N376" s="308">
        <f t="shared" si="214"/>
        <v>8</v>
      </c>
      <c r="O376" s="421"/>
      <c r="P376" s="339">
        <f t="shared" si="215"/>
        <v>0</v>
      </c>
      <c r="Q376" s="337"/>
      <c r="V376" s="40"/>
    </row>
    <row r="377" spans="1:22" ht="15.75" customHeight="1" outlineLevel="1">
      <c r="C377" s="507" t="str">
        <f t="shared" ca="1" si="207"/>
        <v>32</v>
      </c>
      <c r="D377" s="135" t="s">
        <v>1722</v>
      </c>
      <c r="E377" s="1308" t="s">
        <v>513</v>
      </c>
      <c r="F377" s="1309"/>
      <c r="G377" s="1309"/>
      <c r="H377" s="1310"/>
      <c r="I377" s="104" t="s">
        <v>11</v>
      </c>
      <c r="J377" s="423">
        <v>0</v>
      </c>
      <c r="K377" s="308">
        <f t="shared" si="208"/>
        <v>8</v>
      </c>
      <c r="L377" s="309"/>
      <c r="M377" s="310">
        <f t="shared" si="209"/>
        <v>1</v>
      </c>
      <c r="N377" s="308">
        <f t="shared" si="214"/>
        <v>8</v>
      </c>
      <c r="O377" s="421"/>
      <c r="P377" s="339">
        <f t="shared" si="215"/>
        <v>0</v>
      </c>
      <c r="Q377" s="337"/>
      <c r="V377" s="40"/>
    </row>
    <row r="378" spans="1:22" s="49" customFormat="1" ht="15.75" customHeight="1" outlineLevel="1">
      <c r="A378" s="322"/>
      <c r="B378" s="322"/>
      <c r="C378" s="507" t="str">
        <f t="shared" ca="1" si="207"/>
        <v>33</v>
      </c>
      <c r="D378" s="808" t="s">
        <v>733</v>
      </c>
      <c r="E378" s="827" t="s">
        <v>509</v>
      </c>
      <c r="F378" s="801"/>
      <c r="G378" s="801"/>
      <c r="H378" s="801"/>
      <c r="I378" s="801"/>
      <c r="J378" s="801"/>
      <c r="K378" s="801"/>
      <c r="L378" s="801"/>
      <c r="M378" s="801"/>
      <c r="N378" s="801"/>
      <c r="O378" s="801"/>
      <c r="P378" s="828"/>
      <c r="Q378" s="337"/>
      <c r="T378" s="36"/>
      <c r="U378" s="36"/>
    </row>
    <row r="379" spans="1:22" ht="15.75" customHeight="1" outlineLevel="1">
      <c r="C379" s="507" t="str">
        <f t="shared" ca="1" si="207"/>
        <v>34</v>
      </c>
      <c r="D379" s="135" t="s">
        <v>1723</v>
      </c>
      <c r="E379" s="1308" t="s">
        <v>6</v>
      </c>
      <c r="F379" s="1309"/>
      <c r="G379" s="1309"/>
      <c r="H379" s="1310"/>
      <c r="I379" s="104" t="s">
        <v>11</v>
      </c>
      <c r="J379" s="423">
        <v>5</v>
      </c>
      <c r="K379" s="308">
        <f t="shared" si="208"/>
        <v>8</v>
      </c>
      <c r="L379" s="309"/>
      <c r="M379" s="310">
        <f t="shared" si="209"/>
        <v>1</v>
      </c>
      <c r="N379" s="308">
        <f>meses_obra</f>
        <v>8</v>
      </c>
      <c r="O379" s="421">
        <v>250</v>
      </c>
      <c r="P379" s="339">
        <f t="shared" si="215"/>
        <v>10000</v>
      </c>
      <c r="Q379" s="337"/>
    </row>
    <row r="380" spans="1:22" ht="15.75" customHeight="1" outlineLevel="1">
      <c r="C380" s="507" t="str">
        <f t="shared" ca="1" si="207"/>
        <v>35</v>
      </c>
      <c r="D380" s="135" t="s">
        <v>1724</v>
      </c>
      <c r="E380" s="1308" t="s">
        <v>20</v>
      </c>
      <c r="F380" s="1309"/>
      <c r="G380" s="1309"/>
      <c r="H380" s="1310"/>
      <c r="I380" s="104" t="s">
        <v>11</v>
      </c>
      <c r="J380" s="423">
        <v>1</v>
      </c>
      <c r="K380" s="308">
        <f t="shared" si="208"/>
        <v>8</v>
      </c>
      <c r="L380" s="309">
        <v>2</v>
      </c>
      <c r="M380" s="310">
        <f t="shared" si="209"/>
        <v>0.25</v>
      </c>
      <c r="N380" s="308">
        <f>meses_obra</f>
        <v>8</v>
      </c>
      <c r="O380" s="421">
        <v>520</v>
      </c>
      <c r="P380" s="339">
        <f>J380*M380*N380*O380</f>
        <v>1040</v>
      </c>
      <c r="Q380" s="337"/>
      <c r="V380" s="40"/>
    </row>
    <row r="381" spans="1:22" ht="15.75" customHeight="1" outlineLevel="1">
      <c r="C381" s="507" t="str">
        <f t="shared" ca="1" si="207"/>
        <v>36</v>
      </c>
      <c r="D381" s="135" t="s">
        <v>1725</v>
      </c>
      <c r="E381" s="1308" t="s">
        <v>21</v>
      </c>
      <c r="F381" s="1309"/>
      <c r="G381" s="1309"/>
      <c r="H381" s="1310"/>
      <c r="I381" s="104" t="s">
        <v>11</v>
      </c>
      <c r="J381" s="423">
        <v>1</v>
      </c>
      <c r="K381" s="308">
        <f t="shared" si="208"/>
        <v>8</v>
      </c>
      <c r="L381" s="309">
        <v>1</v>
      </c>
      <c r="M381" s="310">
        <f t="shared" si="209"/>
        <v>0.125</v>
      </c>
      <c r="N381" s="308">
        <f>meses_obra</f>
        <v>8</v>
      </c>
      <c r="O381" s="421">
        <v>750</v>
      </c>
      <c r="P381" s="339">
        <f>J381*M381*N381*O381</f>
        <v>750</v>
      </c>
      <c r="Q381" s="337"/>
    </row>
    <row r="382" spans="1:22" ht="15.75" customHeight="1" outlineLevel="1">
      <c r="C382" s="507" t="str">
        <f t="shared" ca="1" si="207"/>
        <v>37</v>
      </c>
      <c r="D382" s="135" t="s">
        <v>1726</v>
      </c>
      <c r="E382" s="1304" t="s">
        <v>32</v>
      </c>
      <c r="F382" s="1305"/>
      <c r="G382" s="1305"/>
      <c r="H382" s="1306"/>
      <c r="I382" s="104" t="s">
        <v>11</v>
      </c>
      <c r="J382" s="423">
        <v>0</v>
      </c>
      <c r="K382" s="308">
        <f t="shared" si="208"/>
        <v>8</v>
      </c>
      <c r="L382" s="309"/>
      <c r="M382" s="310">
        <f t="shared" si="209"/>
        <v>1</v>
      </c>
      <c r="N382" s="308">
        <f>meses_obra</f>
        <v>8</v>
      </c>
      <c r="O382" s="421"/>
      <c r="P382" s="339">
        <f>J382*M382*N382*O382</f>
        <v>0</v>
      </c>
      <c r="Q382" s="337"/>
    </row>
    <row r="383" spans="1:22" s="49" customFormat="1" ht="15.75" customHeight="1" outlineLevel="1">
      <c r="A383" s="322"/>
      <c r="B383" s="322"/>
      <c r="C383" s="507" t="str">
        <f t="shared" ca="1" si="207"/>
        <v>38</v>
      </c>
      <c r="D383" s="808" t="s">
        <v>734</v>
      </c>
      <c r="E383" s="827" t="s">
        <v>381</v>
      </c>
      <c r="F383" s="801"/>
      <c r="G383" s="801"/>
      <c r="H383" s="801"/>
      <c r="I383" s="801"/>
      <c r="J383" s="801"/>
      <c r="K383" s="801"/>
      <c r="L383" s="801"/>
      <c r="M383" s="801"/>
      <c r="N383" s="801"/>
      <c r="O383" s="801"/>
      <c r="P383" s="828"/>
      <c r="Q383" s="337"/>
      <c r="T383" s="36"/>
      <c r="U383" s="36"/>
    </row>
    <row r="384" spans="1:22" ht="15.75" customHeight="1" outlineLevel="1">
      <c r="C384" s="507" t="str">
        <f t="shared" ca="1" si="207"/>
        <v>39</v>
      </c>
      <c r="D384" s="135" t="s">
        <v>1727</v>
      </c>
      <c r="E384" s="1308" t="s">
        <v>3</v>
      </c>
      <c r="F384" s="1309"/>
      <c r="G384" s="1309"/>
      <c r="H384" s="1310"/>
      <c r="I384" s="104" t="s">
        <v>11</v>
      </c>
      <c r="J384" s="423">
        <v>2</v>
      </c>
      <c r="K384" s="308">
        <f t="shared" si="208"/>
        <v>8</v>
      </c>
      <c r="L384" s="309"/>
      <c r="M384" s="310">
        <f t="shared" si="209"/>
        <v>1</v>
      </c>
      <c r="N384" s="308">
        <f>meses_obra</f>
        <v>8</v>
      </c>
      <c r="O384" s="421">
        <v>400</v>
      </c>
      <c r="P384" s="339">
        <f>J384*M384*N384*O384</f>
        <v>6400</v>
      </c>
      <c r="Q384" s="337"/>
      <c r="V384" s="40"/>
    </row>
    <row r="385" spans="1:22" ht="15.75" customHeight="1" outlineLevel="1">
      <c r="C385" s="507" t="str">
        <f t="shared" ca="1" si="207"/>
        <v>40</v>
      </c>
      <c r="D385" s="135" t="s">
        <v>1728</v>
      </c>
      <c r="E385" s="1308" t="s">
        <v>17</v>
      </c>
      <c r="F385" s="1309"/>
      <c r="G385" s="1309"/>
      <c r="H385" s="1310"/>
      <c r="I385" s="104" t="s">
        <v>11</v>
      </c>
      <c r="J385" s="423">
        <v>0</v>
      </c>
      <c r="K385" s="308">
        <f t="shared" si="208"/>
        <v>8</v>
      </c>
      <c r="L385" s="309"/>
      <c r="M385" s="310">
        <f t="shared" si="209"/>
        <v>1</v>
      </c>
      <c r="N385" s="308">
        <f>meses_obra</f>
        <v>8</v>
      </c>
      <c r="O385" s="421"/>
      <c r="P385" s="339">
        <f>J385*M385*N385*O385</f>
        <v>0</v>
      </c>
      <c r="Q385" s="337"/>
    </row>
    <row r="386" spans="1:22" s="49" customFormat="1" ht="15.75" customHeight="1" outlineLevel="1">
      <c r="A386" s="322"/>
      <c r="B386" s="322"/>
      <c r="C386" s="507" t="str">
        <f t="shared" ca="1" si="207"/>
        <v>41</v>
      </c>
      <c r="D386" s="808" t="s">
        <v>1729</v>
      </c>
      <c r="E386" s="827" t="s">
        <v>483</v>
      </c>
      <c r="F386" s="801"/>
      <c r="G386" s="801"/>
      <c r="H386" s="801"/>
      <c r="I386" s="801"/>
      <c r="J386" s="801"/>
      <c r="K386" s="801"/>
      <c r="L386" s="801"/>
      <c r="M386" s="801"/>
      <c r="N386" s="801"/>
      <c r="O386" s="801"/>
      <c r="P386" s="828"/>
      <c r="Q386" s="337"/>
      <c r="T386" s="36"/>
      <c r="U386" s="36"/>
    </row>
    <row r="387" spans="1:22" ht="15.75" customHeight="1" outlineLevel="1">
      <c r="C387" s="507" t="str">
        <f t="shared" ca="1" si="207"/>
        <v>42</v>
      </c>
      <c r="D387" s="135" t="s">
        <v>1730</v>
      </c>
      <c r="E387" s="1304" t="s">
        <v>12</v>
      </c>
      <c r="F387" s="1305"/>
      <c r="G387" s="1305"/>
      <c r="H387" s="1306"/>
      <c r="I387" s="104" t="s">
        <v>11</v>
      </c>
      <c r="J387" s="423">
        <v>0</v>
      </c>
      <c r="K387" s="308">
        <f t="shared" si="208"/>
        <v>8</v>
      </c>
      <c r="L387" s="309">
        <v>2</v>
      </c>
      <c r="M387" s="310">
        <f t="shared" si="209"/>
        <v>0.25</v>
      </c>
      <c r="N387" s="308">
        <f>meses_obra</f>
        <v>8</v>
      </c>
      <c r="O387" s="421">
        <v>700</v>
      </c>
      <c r="P387" s="339">
        <f>J387*M387*N387*O387</f>
        <v>0</v>
      </c>
      <c r="Q387" s="337"/>
    </row>
    <row r="388" spans="1:22" ht="15.75" customHeight="1" outlineLevel="1">
      <c r="C388" s="507" t="str">
        <f t="shared" ca="1" si="207"/>
        <v>43</v>
      </c>
      <c r="D388" s="135" t="s">
        <v>1731</v>
      </c>
      <c r="E388" s="1304" t="s">
        <v>393</v>
      </c>
      <c r="F388" s="1305"/>
      <c r="G388" s="1305"/>
      <c r="H388" s="1306"/>
      <c r="I388" s="104" t="s">
        <v>391</v>
      </c>
      <c r="J388" s="423">
        <v>0</v>
      </c>
      <c r="K388" s="308">
        <f t="shared" si="208"/>
        <v>8</v>
      </c>
      <c r="L388" s="309">
        <v>0</v>
      </c>
      <c r="M388" s="310">
        <f t="shared" si="209"/>
        <v>1</v>
      </c>
      <c r="N388" s="308">
        <f>meses_obra</f>
        <v>8</v>
      </c>
      <c r="O388" s="421">
        <v>250</v>
      </c>
      <c r="P388" s="339">
        <f>J388*M388*N388*O388</f>
        <v>0</v>
      </c>
      <c r="Q388" s="337"/>
    </row>
    <row r="389" spans="1:22" ht="15.75" customHeight="1" outlineLevel="1">
      <c r="C389" s="507" t="str">
        <f t="shared" ca="1" si="207"/>
        <v>44</v>
      </c>
      <c r="D389" s="135" t="s">
        <v>1732</v>
      </c>
      <c r="E389" s="1304" t="s">
        <v>383</v>
      </c>
      <c r="F389" s="1305"/>
      <c r="G389" s="1305"/>
      <c r="H389" s="1306"/>
      <c r="I389" s="104" t="s">
        <v>11</v>
      </c>
      <c r="J389" s="423">
        <v>0</v>
      </c>
      <c r="K389" s="308">
        <f t="shared" si="208"/>
        <v>8</v>
      </c>
      <c r="L389" s="309"/>
      <c r="M389" s="310">
        <f t="shared" si="209"/>
        <v>1</v>
      </c>
      <c r="N389" s="308">
        <f>meses_obra</f>
        <v>8</v>
      </c>
      <c r="O389" s="421">
        <v>300</v>
      </c>
      <c r="P389" s="339">
        <f>J389*M389*N389*O389</f>
        <v>0</v>
      </c>
      <c r="Q389" s="337"/>
    </row>
    <row r="390" spans="1:22" s="49" customFormat="1" ht="15.75" customHeight="1" outlineLevel="1">
      <c r="A390" s="322"/>
      <c r="B390" s="322"/>
      <c r="C390" s="507" t="str">
        <f t="shared" ca="1" si="207"/>
        <v>45</v>
      </c>
      <c r="D390" s="808" t="s">
        <v>1733</v>
      </c>
      <c r="E390" s="827" t="s">
        <v>375</v>
      </c>
      <c r="F390" s="801"/>
      <c r="G390" s="801"/>
      <c r="H390" s="801"/>
      <c r="I390" s="801"/>
      <c r="J390" s="801"/>
      <c r="K390" s="801"/>
      <c r="L390" s="801"/>
      <c r="M390" s="801"/>
      <c r="N390" s="801"/>
      <c r="O390" s="801"/>
      <c r="P390" s="828"/>
      <c r="Q390" s="337"/>
      <c r="T390" s="36"/>
      <c r="U390" s="36"/>
    </row>
    <row r="391" spans="1:22" ht="15.75" customHeight="1" outlineLevel="1">
      <c r="C391" s="507" t="str">
        <f t="shared" ca="1" si="207"/>
        <v>46</v>
      </c>
      <c r="D391" s="135" t="s">
        <v>1734</v>
      </c>
      <c r="E391" s="1308" t="s">
        <v>16</v>
      </c>
      <c r="F391" s="1309"/>
      <c r="G391" s="1309"/>
      <c r="H391" s="1310"/>
      <c r="I391" s="104" t="s">
        <v>11</v>
      </c>
      <c r="J391" s="423">
        <v>0</v>
      </c>
      <c r="K391" s="308">
        <f t="shared" si="208"/>
        <v>8</v>
      </c>
      <c r="L391" s="309"/>
      <c r="M391" s="310">
        <f t="shared" si="209"/>
        <v>1</v>
      </c>
      <c r="N391" s="308">
        <f>meses_obra</f>
        <v>8</v>
      </c>
      <c r="O391" s="421">
        <v>2500</v>
      </c>
      <c r="P391" s="339">
        <f>J391*M391*N391*O391</f>
        <v>0</v>
      </c>
      <c r="Q391" s="337"/>
      <c r="V391" s="40"/>
    </row>
    <row r="392" spans="1:22" ht="15.75" customHeight="1" outlineLevel="1">
      <c r="C392" s="507" t="str">
        <f t="shared" ref="C392:C417" ca="1" si="216">IF(OFFSET(C392,-1,0)&gt;="01",CONCATENATE(,OFFSET(C392,-1,0)+1),CONCATENATE((SUM(OFFSET(C392,-1,0)+1-(OFFSET(C392,-1,0))))))</f>
        <v>47</v>
      </c>
      <c r="D392" s="135" t="s">
        <v>1735</v>
      </c>
      <c r="E392" s="1304" t="s">
        <v>5</v>
      </c>
      <c r="F392" s="1305"/>
      <c r="G392" s="1305"/>
      <c r="H392" s="1306"/>
      <c r="I392" s="104" t="s">
        <v>11</v>
      </c>
      <c r="J392" s="423">
        <v>0</v>
      </c>
      <c r="K392" s="308">
        <f t="shared" si="208"/>
        <v>8</v>
      </c>
      <c r="L392" s="309"/>
      <c r="M392" s="310">
        <f t="shared" si="209"/>
        <v>1</v>
      </c>
      <c r="N392" s="308">
        <f>meses_obra</f>
        <v>8</v>
      </c>
      <c r="O392" s="421"/>
      <c r="P392" s="339">
        <f>J392*M392*N392*O392</f>
        <v>0</v>
      </c>
      <c r="Q392" s="337"/>
    </row>
    <row r="393" spans="1:22" ht="15.75" customHeight="1" outlineLevel="1">
      <c r="C393" s="507" t="str">
        <f t="shared" ca="1" si="216"/>
        <v>48</v>
      </c>
      <c r="D393" s="135" t="s">
        <v>1736</v>
      </c>
      <c r="E393" s="1304" t="s">
        <v>502</v>
      </c>
      <c r="F393" s="1305"/>
      <c r="G393" s="1305"/>
      <c r="H393" s="1306"/>
      <c r="I393" s="104" t="s">
        <v>388</v>
      </c>
      <c r="J393" s="423">
        <v>0</v>
      </c>
      <c r="K393" s="308">
        <f t="shared" si="208"/>
        <v>8</v>
      </c>
      <c r="L393" s="309"/>
      <c r="M393" s="310">
        <f t="shared" si="209"/>
        <v>1</v>
      </c>
      <c r="N393" s="308">
        <f>meses_obra</f>
        <v>8</v>
      </c>
      <c r="O393" s="421"/>
      <c r="P393" s="339">
        <f>J393*M393*N393*O393</f>
        <v>0</v>
      </c>
      <c r="Q393" s="337"/>
    </row>
    <row r="394" spans="1:22" s="49" customFormat="1" ht="15.75" customHeight="1" outlineLevel="1">
      <c r="A394" s="322"/>
      <c r="B394" s="322"/>
      <c r="C394" s="507" t="str">
        <f t="shared" ca="1" si="216"/>
        <v>49</v>
      </c>
      <c r="D394" s="808" t="s">
        <v>1737</v>
      </c>
      <c r="E394" s="827" t="s">
        <v>376</v>
      </c>
      <c r="F394" s="801"/>
      <c r="G394" s="801"/>
      <c r="H394" s="801"/>
      <c r="I394" s="801"/>
      <c r="J394" s="801"/>
      <c r="K394" s="801"/>
      <c r="L394" s="801"/>
      <c r="M394" s="801"/>
      <c r="N394" s="801"/>
      <c r="O394" s="801"/>
      <c r="P394" s="828"/>
      <c r="Q394" s="337"/>
      <c r="T394" s="36"/>
      <c r="U394" s="36"/>
    </row>
    <row r="395" spans="1:22" ht="15.75" customHeight="1" outlineLevel="1">
      <c r="C395" s="507" t="str">
        <f t="shared" ca="1" si="216"/>
        <v>50</v>
      </c>
      <c r="D395" s="135" t="s">
        <v>1738</v>
      </c>
      <c r="E395" s="1308" t="s">
        <v>9</v>
      </c>
      <c r="F395" s="1309"/>
      <c r="G395" s="1309"/>
      <c r="H395" s="1310"/>
      <c r="I395" s="104" t="s">
        <v>11</v>
      </c>
      <c r="J395" s="423">
        <v>4</v>
      </c>
      <c r="K395" s="308">
        <f t="shared" si="208"/>
        <v>8</v>
      </c>
      <c r="L395" s="309"/>
      <c r="M395" s="310">
        <f t="shared" si="209"/>
        <v>1</v>
      </c>
      <c r="N395" s="308">
        <f>meses_obra</f>
        <v>8</v>
      </c>
      <c r="O395" s="421">
        <v>250</v>
      </c>
      <c r="P395" s="339">
        <f>J395*M395*N395*O395</f>
        <v>8000</v>
      </c>
      <c r="Q395" s="337"/>
      <c r="V395" s="40"/>
    </row>
    <row r="396" spans="1:22" ht="15.75" customHeight="1" outlineLevel="1">
      <c r="C396" s="507" t="str">
        <f t="shared" ca="1" si="216"/>
        <v>51</v>
      </c>
      <c r="D396" s="135" t="s">
        <v>1739</v>
      </c>
      <c r="E396" s="1308" t="s">
        <v>8</v>
      </c>
      <c r="F396" s="1309"/>
      <c r="G396" s="1309"/>
      <c r="H396" s="1310"/>
      <c r="I396" s="104" t="s">
        <v>11</v>
      </c>
      <c r="J396" s="423">
        <v>0</v>
      </c>
      <c r="K396" s="308">
        <f t="shared" si="208"/>
        <v>8</v>
      </c>
      <c r="L396" s="309"/>
      <c r="M396" s="310">
        <f t="shared" si="209"/>
        <v>1</v>
      </c>
      <c r="N396" s="308">
        <f>meses_obra</f>
        <v>8</v>
      </c>
      <c r="O396" s="421">
        <v>120</v>
      </c>
      <c r="P396" s="339">
        <f>J396*M396*N396*O396</f>
        <v>0</v>
      </c>
      <c r="Q396" s="337"/>
      <c r="V396" s="40"/>
    </row>
    <row r="397" spans="1:22" ht="15.75" customHeight="1" outlineLevel="1">
      <c r="C397" s="507" t="str">
        <f t="shared" ca="1" si="216"/>
        <v>52</v>
      </c>
      <c r="D397" s="135" t="s">
        <v>1740</v>
      </c>
      <c r="E397" s="1308" t="s">
        <v>10</v>
      </c>
      <c r="F397" s="1309"/>
      <c r="G397" s="1309"/>
      <c r="H397" s="1310"/>
      <c r="I397" s="104" t="s">
        <v>11</v>
      </c>
      <c r="J397" s="423">
        <v>0</v>
      </c>
      <c r="K397" s="308">
        <f t="shared" si="208"/>
        <v>8</v>
      </c>
      <c r="L397" s="309"/>
      <c r="M397" s="310">
        <f t="shared" si="209"/>
        <v>1</v>
      </c>
      <c r="N397" s="308">
        <f>meses_obra</f>
        <v>8</v>
      </c>
      <c r="O397" s="421">
        <v>550</v>
      </c>
      <c r="P397" s="339">
        <f>J397*M397*N397*O397</f>
        <v>0</v>
      </c>
      <c r="Q397" s="337"/>
      <c r="V397" s="40"/>
    </row>
    <row r="398" spans="1:22" ht="15.75" customHeight="1" outlineLevel="1">
      <c r="C398" s="507" t="str">
        <f t="shared" ca="1" si="216"/>
        <v>53</v>
      </c>
      <c r="D398" s="135" t="s">
        <v>1741</v>
      </c>
      <c r="E398" s="1308" t="s">
        <v>392</v>
      </c>
      <c r="F398" s="1309"/>
      <c r="G398" s="1309"/>
      <c r="H398" s="1310"/>
      <c r="I398" s="104" t="s">
        <v>391</v>
      </c>
      <c r="J398" s="423">
        <v>0</v>
      </c>
      <c r="K398" s="308">
        <f t="shared" si="208"/>
        <v>8</v>
      </c>
      <c r="L398" s="309"/>
      <c r="M398" s="310">
        <f t="shared" si="209"/>
        <v>1</v>
      </c>
      <c r="N398" s="308">
        <f>meses_obra</f>
        <v>8</v>
      </c>
      <c r="O398" s="421"/>
      <c r="P398" s="339">
        <f>J398*M398*N398*O398</f>
        <v>0</v>
      </c>
      <c r="Q398" s="337"/>
      <c r="V398" s="40"/>
    </row>
    <row r="399" spans="1:22" s="49" customFormat="1" ht="15.75" customHeight="1" outlineLevel="1">
      <c r="A399" s="322"/>
      <c r="B399" s="322"/>
      <c r="C399" s="507" t="str">
        <f t="shared" ca="1" si="216"/>
        <v>54</v>
      </c>
      <c r="D399" s="808" t="s">
        <v>1742</v>
      </c>
      <c r="E399" s="827" t="s">
        <v>380</v>
      </c>
      <c r="F399" s="801"/>
      <c r="G399" s="801"/>
      <c r="H399" s="801"/>
      <c r="I399" s="801"/>
      <c r="J399" s="801"/>
      <c r="K399" s="801"/>
      <c r="L399" s="801"/>
      <c r="M399" s="801"/>
      <c r="N399" s="801"/>
      <c r="O399" s="801"/>
      <c r="P399" s="828"/>
      <c r="Q399" s="337"/>
      <c r="T399" s="36"/>
      <c r="U399" s="36"/>
    </row>
    <row r="400" spans="1:22" ht="15.75" customHeight="1" outlineLevel="1">
      <c r="C400" s="507" t="str">
        <f t="shared" ca="1" si="216"/>
        <v>55</v>
      </c>
      <c r="D400" s="135" t="s">
        <v>1743</v>
      </c>
      <c r="E400" s="1308" t="s">
        <v>1745</v>
      </c>
      <c r="F400" s="1309"/>
      <c r="G400" s="1309"/>
      <c r="H400" s="1310"/>
      <c r="I400" s="104" t="s">
        <v>11</v>
      </c>
      <c r="J400" s="423">
        <v>2</v>
      </c>
      <c r="K400" s="308">
        <f t="shared" si="208"/>
        <v>8</v>
      </c>
      <c r="L400" s="309"/>
      <c r="M400" s="310">
        <f t="shared" si="209"/>
        <v>1</v>
      </c>
      <c r="N400" s="308">
        <f t="shared" ref="N400:N406" si="217">meses_obra</f>
        <v>8</v>
      </c>
      <c r="O400" s="421">
        <v>400</v>
      </c>
      <c r="P400" s="339">
        <f t="shared" ref="P400:P406" si="218">J400*M400*N400*O400</f>
        <v>6400</v>
      </c>
      <c r="Q400" s="337"/>
      <c r="V400" s="40"/>
    </row>
    <row r="401" spans="1:22" ht="15.75" customHeight="1" outlineLevel="1">
      <c r="C401" s="507" t="str">
        <f t="shared" ca="1" si="216"/>
        <v>56</v>
      </c>
      <c r="D401" s="135" t="s">
        <v>1744</v>
      </c>
      <c r="E401" s="1308" t="s">
        <v>1746</v>
      </c>
      <c r="F401" s="1309"/>
      <c r="G401" s="1309"/>
      <c r="H401" s="1310"/>
      <c r="I401" s="104" t="s">
        <v>11</v>
      </c>
      <c r="J401" s="423">
        <v>0</v>
      </c>
      <c r="K401" s="308">
        <f t="shared" si="208"/>
        <v>8</v>
      </c>
      <c r="L401" s="309"/>
      <c r="M401" s="310">
        <f t="shared" ref="M401" si="219">IFERROR(IF((L401/K401)=0,100%,L401/K401),100%)</f>
        <v>1</v>
      </c>
      <c r="N401" s="308">
        <f t="shared" si="217"/>
        <v>8</v>
      </c>
      <c r="O401" s="421">
        <v>450</v>
      </c>
      <c r="P401" s="339">
        <f t="shared" si="218"/>
        <v>0</v>
      </c>
      <c r="Q401" s="337"/>
      <c r="V401" s="40"/>
    </row>
    <row r="402" spans="1:22" ht="15.75" customHeight="1" outlineLevel="1">
      <c r="C402" s="507" t="str">
        <f t="shared" ca="1" si="216"/>
        <v>57</v>
      </c>
      <c r="D402" s="135" t="s">
        <v>1747</v>
      </c>
      <c r="E402" s="1308" t="s">
        <v>13</v>
      </c>
      <c r="F402" s="1309"/>
      <c r="G402" s="1309"/>
      <c r="H402" s="1310"/>
      <c r="I402" s="104" t="s">
        <v>11</v>
      </c>
      <c r="J402" s="423">
        <v>0</v>
      </c>
      <c r="K402" s="308">
        <f t="shared" si="208"/>
        <v>8</v>
      </c>
      <c r="L402" s="309"/>
      <c r="M402" s="310">
        <f t="shared" si="209"/>
        <v>1</v>
      </c>
      <c r="N402" s="308">
        <f t="shared" si="217"/>
        <v>8</v>
      </c>
      <c r="O402" s="421">
        <v>400</v>
      </c>
      <c r="P402" s="339">
        <f t="shared" si="218"/>
        <v>0</v>
      </c>
      <c r="Q402" s="337"/>
      <c r="V402" s="40"/>
    </row>
    <row r="403" spans="1:22" ht="15.75" customHeight="1" outlineLevel="1">
      <c r="C403" s="507" t="str">
        <f t="shared" ca="1" si="216"/>
        <v>58</v>
      </c>
      <c r="D403" s="135" t="s">
        <v>1748</v>
      </c>
      <c r="E403" s="1308" t="s">
        <v>382</v>
      </c>
      <c r="F403" s="1309"/>
      <c r="G403" s="1309"/>
      <c r="H403" s="1310"/>
      <c r="I403" s="104" t="s">
        <v>11</v>
      </c>
      <c r="J403" s="423">
        <v>0</v>
      </c>
      <c r="K403" s="308">
        <f t="shared" si="208"/>
        <v>8</v>
      </c>
      <c r="L403" s="309"/>
      <c r="M403" s="310">
        <f t="shared" si="209"/>
        <v>1</v>
      </c>
      <c r="N403" s="308">
        <f t="shared" si="217"/>
        <v>8</v>
      </c>
      <c r="O403" s="421">
        <v>120</v>
      </c>
      <c r="P403" s="339">
        <f t="shared" si="218"/>
        <v>0</v>
      </c>
      <c r="Q403" s="337"/>
    </row>
    <row r="404" spans="1:22" ht="15.75" customHeight="1" outlineLevel="1">
      <c r="C404" s="507" t="str">
        <f t="shared" ca="1" si="216"/>
        <v>59</v>
      </c>
      <c r="D404" s="135" t="s">
        <v>1749</v>
      </c>
      <c r="E404" s="1304" t="s">
        <v>33</v>
      </c>
      <c r="F404" s="1305"/>
      <c r="G404" s="1305"/>
      <c r="H404" s="1306"/>
      <c r="I404" s="104" t="s">
        <v>11</v>
      </c>
      <c r="J404" s="423">
        <v>0</v>
      </c>
      <c r="K404" s="308">
        <f t="shared" si="208"/>
        <v>8</v>
      </c>
      <c r="L404" s="309"/>
      <c r="M404" s="310">
        <f t="shared" si="209"/>
        <v>1</v>
      </c>
      <c r="N404" s="308">
        <f t="shared" si="217"/>
        <v>8</v>
      </c>
      <c r="O404" s="421">
        <v>250</v>
      </c>
      <c r="P404" s="339">
        <f t="shared" si="218"/>
        <v>0</v>
      </c>
      <c r="Q404" s="337"/>
    </row>
    <row r="405" spans="1:22" ht="15.75" customHeight="1" outlineLevel="1">
      <c r="C405" s="507" t="str">
        <f t="shared" ca="1" si="216"/>
        <v>60</v>
      </c>
      <c r="D405" s="135" t="s">
        <v>1750</v>
      </c>
      <c r="E405" s="1308" t="s">
        <v>4</v>
      </c>
      <c r="F405" s="1309"/>
      <c r="G405" s="1309"/>
      <c r="H405" s="1310"/>
      <c r="I405" s="104" t="s">
        <v>11</v>
      </c>
      <c r="J405" s="423">
        <v>0</v>
      </c>
      <c r="K405" s="308">
        <f t="shared" si="208"/>
        <v>8</v>
      </c>
      <c r="L405" s="309"/>
      <c r="M405" s="310">
        <f t="shared" ref="M405" si="220">IFERROR(IF((L405/K405)=0,100%,L405/K405),100%)</f>
        <v>1</v>
      </c>
      <c r="N405" s="308">
        <f t="shared" si="217"/>
        <v>8</v>
      </c>
      <c r="O405" s="421">
        <v>350</v>
      </c>
      <c r="P405" s="339">
        <f t="shared" si="218"/>
        <v>0</v>
      </c>
      <c r="Q405" s="337"/>
      <c r="V405" s="40"/>
    </row>
    <row r="406" spans="1:22" ht="15.75" customHeight="1" outlineLevel="1">
      <c r="C406" s="507" t="str">
        <f t="shared" ca="1" si="216"/>
        <v>61</v>
      </c>
      <c r="D406" s="135" t="s">
        <v>1751</v>
      </c>
      <c r="E406" s="1308" t="s">
        <v>22</v>
      </c>
      <c r="F406" s="1309"/>
      <c r="G406" s="1309"/>
      <c r="H406" s="1310"/>
      <c r="I406" s="104" t="s">
        <v>11</v>
      </c>
      <c r="J406" s="423">
        <v>0</v>
      </c>
      <c r="K406" s="308">
        <f t="shared" si="208"/>
        <v>8</v>
      </c>
      <c r="L406" s="309"/>
      <c r="M406" s="310">
        <f t="shared" si="209"/>
        <v>1</v>
      </c>
      <c r="N406" s="308">
        <f t="shared" si="217"/>
        <v>8</v>
      </c>
      <c r="O406" s="421"/>
      <c r="P406" s="339">
        <f t="shared" si="218"/>
        <v>0</v>
      </c>
      <c r="Q406" s="337"/>
      <c r="V406" s="40"/>
    </row>
    <row r="407" spans="1:22" s="49" customFormat="1" ht="15.75" customHeight="1" outlineLevel="1">
      <c r="A407" s="322"/>
      <c r="B407" s="322"/>
      <c r="C407" s="507" t="str">
        <f t="shared" ca="1" si="216"/>
        <v>62</v>
      </c>
      <c r="D407" s="808" t="s">
        <v>1752</v>
      </c>
      <c r="E407" s="827" t="s">
        <v>379</v>
      </c>
      <c r="F407" s="801"/>
      <c r="G407" s="801"/>
      <c r="H407" s="801"/>
      <c r="I407" s="801"/>
      <c r="J407" s="801"/>
      <c r="K407" s="801"/>
      <c r="L407" s="801"/>
      <c r="M407" s="801"/>
      <c r="N407" s="801"/>
      <c r="O407" s="801"/>
      <c r="P407" s="828"/>
      <c r="Q407" s="337"/>
      <c r="T407" s="36"/>
      <c r="U407" s="36"/>
    </row>
    <row r="408" spans="1:22" ht="15.75" customHeight="1" outlineLevel="1">
      <c r="C408" s="507" t="str">
        <f t="shared" ca="1" si="216"/>
        <v>63</v>
      </c>
      <c r="D408" s="135" t="s">
        <v>1753</v>
      </c>
      <c r="E408" s="1314" t="s">
        <v>1445</v>
      </c>
      <c r="F408" s="1315"/>
      <c r="G408" s="1315"/>
      <c r="H408" s="1316"/>
      <c r="I408" s="104" t="s">
        <v>11</v>
      </c>
      <c r="J408" s="423">
        <v>0</v>
      </c>
      <c r="K408" s="308">
        <f t="shared" si="208"/>
        <v>8</v>
      </c>
      <c r="L408" s="309"/>
      <c r="M408" s="310">
        <f t="shared" si="209"/>
        <v>1</v>
      </c>
      <c r="N408" s="308">
        <v>1</v>
      </c>
      <c r="O408" s="421">
        <v>11500</v>
      </c>
      <c r="P408" s="339">
        <f>J408*M408*N408*O408</f>
        <v>0</v>
      </c>
      <c r="Q408" s="337"/>
    </row>
    <row r="409" spans="1:22" ht="15.75" customHeight="1" outlineLevel="1">
      <c r="C409" s="507" t="str">
        <f t="shared" ca="1" si="216"/>
        <v>64</v>
      </c>
      <c r="D409" s="135" t="s">
        <v>1754</v>
      </c>
      <c r="E409" s="1304" t="s">
        <v>1450</v>
      </c>
      <c r="F409" s="1305"/>
      <c r="G409" s="1305"/>
      <c r="H409" s="1306"/>
      <c r="I409" s="104" t="s">
        <v>11</v>
      </c>
      <c r="J409" s="423">
        <v>0</v>
      </c>
      <c r="K409" s="308">
        <f t="shared" si="208"/>
        <v>8</v>
      </c>
      <c r="L409" s="309"/>
      <c r="M409" s="310">
        <f t="shared" si="209"/>
        <v>1</v>
      </c>
      <c r="N409" s="308">
        <f>meses_obra</f>
        <v>8</v>
      </c>
      <c r="O409" s="421">
        <v>300</v>
      </c>
      <c r="P409" s="339">
        <f>J409*M409*N409*O409</f>
        <v>0</v>
      </c>
      <c r="Q409" s="337"/>
    </row>
    <row r="410" spans="1:22" ht="27.75" customHeight="1" outlineLevel="1">
      <c r="C410" s="507" t="str">
        <f t="shared" ca="1" si="216"/>
        <v>65</v>
      </c>
      <c r="D410" s="135" t="s">
        <v>1755</v>
      </c>
      <c r="E410" s="1331" t="s">
        <v>503</v>
      </c>
      <c r="F410" s="1332"/>
      <c r="G410" s="1332"/>
      <c r="H410" s="1333"/>
      <c r="I410" s="104" t="s">
        <v>389</v>
      </c>
      <c r="J410" s="423">
        <v>0</v>
      </c>
      <c r="K410" s="308">
        <f t="shared" si="208"/>
        <v>8</v>
      </c>
      <c r="L410" s="309"/>
      <c r="M410" s="310">
        <f t="shared" si="209"/>
        <v>1</v>
      </c>
      <c r="N410" s="308">
        <f>meses_obra</f>
        <v>8</v>
      </c>
      <c r="O410" s="421"/>
      <c r="P410" s="339">
        <f>J410*M410*N410*O410</f>
        <v>0</v>
      </c>
      <c r="Q410" s="337"/>
    </row>
    <row r="411" spans="1:22" s="49" customFormat="1" ht="15.75" customHeight="1" outlineLevel="1">
      <c r="A411" s="322"/>
      <c r="B411" s="322"/>
      <c r="C411" s="507" t="str">
        <f t="shared" ca="1" si="216"/>
        <v>66</v>
      </c>
      <c r="D411" s="808" t="s">
        <v>1756</v>
      </c>
      <c r="E411" s="827" t="s">
        <v>377</v>
      </c>
      <c r="F411" s="801"/>
      <c r="G411" s="801"/>
      <c r="H411" s="801"/>
      <c r="I411" s="801"/>
      <c r="J411" s="801"/>
      <c r="K411" s="801"/>
      <c r="L411" s="801"/>
      <c r="M411" s="801"/>
      <c r="N411" s="801"/>
      <c r="O411" s="801"/>
      <c r="P411" s="828"/>
      <c r="Q411" s="337"/>
      <c r="T411" s="36"/>
      <c r="U411" s="36"/>
    </row>
    <row r="412" spans="1:22" ht="15.75" customHeight="1" outlineLevel="1">
      <c r="C412" s="507" t="str">
        <f t="shared" ca="1" si="216"/>
        <v>67</v>
      </c>
      <c r="D412" s="135" t="s">
        <v>1757</v>
      </c>
      <c r="E412" s="1304" t="s">
        <v>23</v>
      </c>
      <c r="F412" s="1305"/>
      <c r="G412" s="1305"/>
      <c r="H412" s="1306"/>
      <c r="I412" s="104" t="s">
        <v>11</v>
      </c>
      <c r="J412" s="423">
        <v>0</v>
      </c>
      <c r="K412" s="308">
        <f t="shared" si="208"/>
        <v>8</v>
      </c>
      <c r="L412" s="309"/>
      <c r="M412" s="310">
        <f t="shared" si="209"/>
        <v>1</v>
      </c>
      <c r="N412" s="308">
        <f>meses_obra</f>
        <v>8</v>
      </c>
      <c r="O412" s="421"/>
      <c r="P412" s="339">
        <f>J412*M412*N412*O412</f>
        <v>0</v>
      </c>
      <c r="Q412" s="337"/>
    </row>
    <row r="413" spans="1:22" ht="15.75" customHeight="1" outlineLevel="1">
      <c r="C413" s="507" t="str">
        <f t="shared" ca="1" si="216"/>
        <v>68</v>
      </c>
      <c r="D413" s="135" t="s">
        <v>1758</v>
      </c>
      <c r="E413" s="1304" t="s">
        <v>24</v>
      </c>
      <c r="F413" s="1305"/>
      <c r="G413" s="1305"/>
      <c r="H413" s="1306"/>
      <c r="I413" s="104" t="s">
        <v>11</v>
      </c>
      <c r="J413" s="423">
        <v>0</v>
      </c>
      <c r="K413" s="308">
        <f t="shared" si="208"/>
        <v>8</v>
      </c>
      <c r="L413" s="309">
        <v>2</v>
      </c>
      <c r="M413" s="310">
        <f t="shared" si="209"/>
        <v>0.25</v>
      </c>
      <c r="N413" s="308">
        <f>meses_obra</f>
        <v>8</v>
      </c>
      <c r="O413" s="421">
        <v>150</v>
      </c>
      <c r="P413" s="339">
        <f>J413*M413*N413*O413</f>
        <v>0</v>
      </c>
      <c r="Q413" s="337"/>
    </row>
    <row r="414" spans="1:22" s="49" customFormat="1" ht="15.75" customHeight="1" outlineLevel="1">
      <c r="A414" s="322"/>
      <c r="B414" s="322"/>
      <c r="C414" s="507" t="str">
        <f t="shared" ca="1" si="216"/>
        <v>69</v>
      </c>
      <c r="D414" s="808" t="s">
        <v>1759</v>
      </c>
      <c r="E414" s="827" t="s">
        <v>1766</v>
      </c>
      <c r="F414" s="801"/>
      <c r="G414" s="801"/>
      <c r="H414" s="801"/>
      <c r="I414" s="801"/>
      <c r="J414" s="801"/>
      <c r="K414" s="801"/>
      <c r="L414" s="801"/>
      <c r="M414" s="801"/>
      <c r="N414" s="801"/>
      <c r="O414" s="801"/>
      <c r="P414" s="828"/>
      <c r="Q414" s="337"/>
      <c r="T414" s="36"/>
      <c r="U414" s="36"/>
    </row>
    <row r="415" spans="1:22" ht="15.75" customHeight="1" outlineLevel="1">
      <c r="C415" s="507" t="str">
        <f t="shared" ca="1" si="216"/>
        <v>70</v>
      </c>
      <c r="D415" s="135" t="s">
        <v>1760</v>
      </c>
      <c r="E415" s="1308" t="s">
        <v>30</v>
      </c>
      <c r="F415" s="1309"/>
      <c r="G415" s="1309"/>
      <c r="H415" s="1310"/>
      <c r="I415" s="104" t="s">
        <v>11</v>
      </c>
      <c r="J415" s="423">
        <v>1</v>
      </c>
      <c r="K415" s="308">
        <f t="shared" si="208"/>
        <v>8</v>
      </c>
      <c r="L415" s="309"/>
      <c r="M415" s="310">
        <f t="shared" si="209"/>
        <v>1</v>
      </c>
      <c r="N415" s="308">
        <f>meses_obra</f>
        <v>8</v>
      </c>
      <c r="O415" s="421">
        <v>250</v>
      </c>
      <c r="P415" s="339">
        <f>J415*M415*N415*O415</f>
        <v>2000</v>
      </c>
      <c r="Q415" s="337"/>
      <c r="V415" s="40"/>
    </row>
    <row r="416" spans="1:22" ht="15.75" customHeight="1" outlineLevel="1">
      <c r="C416" s="507" t="str">
        <f t="shared" ca="1" si="216"/>
        <v>71</v>
      </c>
      <c r="D416" s="135" t="s">
        <v>1761</v>
      </c>
      <c r="E416" s="1308" t="s">
        <v>390</v>
      </c>
      <c r="F416" s="1309"/>
      <c r="G416" s="1309"/>
      <c r="H416" s="1310"/>
      <c r="I416" s="104" t="s">
        <v>391</v>
      </c>
      <c r="J416" s="423">
        <v>1</v>
      </c>
      <c r="K416" s="308">
        <f t="shared" si="208"/>
        <v>8</v>
      </c>
      <c r="L416" s="309">
        <v>1</v>
      </c>
      <c r="M416" s="310">
        <f t="shared" si="209"/>
        <v>0.125</v>
      </c>
      <c r="N416" s="308">
        <f>meses_obra</f>
        <v>8</v>
      </c>
      <c r="O416" s="421">
        <v>350</v>
      </c>
      <c r="P416" s="339">
        <f>J416*M416*N416*O416</f>
        <v>350</v>
      </c>
      <c r="Q416" s="337"/>
      <c r="V416" s="40"/>
    </row>
    <row r="417" spans="1:24" ht="15.75" customHeight="1" outlineLevel="1">
      <c r="C417" s="507" t="str">
        <f t="shared" ca="1" si="216"/>
        <v>72</v>
      </c>
      <c r="D417" s="135" t="s">
        <v>1762</v>
      </c>
      <c r="E417" s="1314" t="s">
        <v>2108</v>
      </c>
      <c r="F417" s="1315"/>
      <c r="G417" s="1315"/>
      <c r="H417" s="1316"/>
      <c r="I417" s="104" t="s">
        <v>11</v>
      </c>
      <c r="J417" s="423">
        <v>0</v>
      </c>
      <c r="K417" s="308">
        <f t="shared" si="208"/>
        <v>8</v>
      </c>
      <c r="L417" s="309">
        <v>3</v>
      </c>
      <c r="M417" s="310">
        <f t="shared" si="209"/>
        <v>0.375</v>
      </c>
      <c r="N417" s="308">
        <f>meses_obra</f>
        <v>8</v>
      </c>
      <c r="O417" s="421">
        <v>510</v>
      </c>
      <c r="P417" s="339">
        <f>J417*M417*N417*O417</f>
        <v>0</v>
      </c>
      <c r="Q417" s="337"/>
      <c r="R417"/>
      <c r="S417"/>
      <c r="T417"/>
    </row>
    <row r="418" spans="1:24" ht="15.75" customHeight="1" outlineLevel="1">
      <c r="C418" s="962"/>
      <c r="D418"/>
      <c r="E418" s="627"/>
      <c r="F418" s="627"/>
      <c r="G418" s="627"/>
      <c r="H418" s="627"/>
      <c r="I418" s="627"/>
      <c r="J418" s="627"/>
      <c r="K418" s="627"/>
      <c r="L418" s="627"/>
      <c r="M418" s="627"/>
      <c r="N418" s="627"/>
      <c r="O418" s="627"/>
      <c r="P418" s="628"/>
      <c r="Q418" s="337"/>
      <c r="R418"/>
      <c r="S418"/>
      <c r="T418"/>
    </row>
    <row r="419" spans="1:24" s="49" customFormat="1" ht="15.75" customHeight="1" outlineLevel="1">
      <c r="A419" s="322"/>
      <c r="B419" s="322"/>
      <c r="C419" s="507" t="str">
        <f>D419</f>
        <v>14</v>
      </c>
      <c r="D419" s="215" t="s">
        <v>553</v>
      </c>
      <c r="E419" s="227" t="s">
        <v>360</v>
      </c>
      <c r="F419" s="227"/>
      <c r="G419" s="832"/>
      <c r="H419" s="833" t="s">
        <v>1803</v>
      </c>
      <c r="I419" s="228" t="s">
        <v>1787</v>
      </c>
      <c r="J419" s="228" t="s">
        <v>1800</v>
      </c>
      <c r="K419" s="229" t="s">
        <v>1801</v>
      </c>
      <c r="L419" s="231" t="s">
        <v>1802</v>
      </c>
      <c r="M419" s="228" t="s">
        <v>1811</v>
      </c>
      <c r="N419" s="230" t="s">
        <v>1810</v>
      </c>
      <c r="O419" s="336"/>
      <c r="P419" s="835">
        <f>SUM(P420:P450)</f>
        <v>25419.267999999985</v>
      </c>
      <c r="Q419" s="56">
        <f ca="1">$P$419/custo_direto</f>
        <v>4.4603444929879332E-3</v>
      </c>
      <c r="R419"/>
      <c r="S419"/>
      <c r="T419"/>
      <c r="U419" s="260"/>
      <c r="W419" s="260"/>
      <c r="X419" s="260"/>
    </row>
    <row r="420" spans="1:24" ht="15.75" customHeight="1" outlineLevel="1">
      <c r="C420" s="507" t="str">
        <f t="shared" ref="C420:C449" ca="1" si="221">IF(OFFSET(C420,-1,0)&gt;="01",CONCATENATE(,OFFSET(C420,-1,0)+1),CONCATENATE((SUM(OFFSET(C420,-1,0)+1-(OFFSET(C420,-1,0))))))</f>
        <v>15</v>
      </c>
      <c r="D420" s="135" t="s">
        <v>735</v>
      </c>
      <c r="E420" s="1311" t="s">
        <v>1806</v>
      </c>
      <c r="F420" s="1312"/>
      <c r="G420" s="1312"/>
      <c r="H420" s="1313"/>
      <c r="I420" s="355" t="s">
        <v>1788</v>
      </c>
      <c r="J420" s="199">
        <f>$J$22+$J$24</f>
        <v>35.832925263299998</v>
      </c>
      <c r="K420" s="356">
        <v>12</v>
      </c>
      <c r="L420" s="308">
        <f t="shared" ref="L420:L449" si="222">meses_obra</f>
        <v>8</v>
      </c>
      <c r="M420" s="836">
        <f t="shared" ref="M420:M449" si="223">ROUNDUP(L420/K420*J420,0)</f>
        <v>24</v>
      </c>
      <c r="N420" s="837">
        <f>1-$F$118</f>
        <v>0.7</v>
      </c>
      <c r="O420" s="426">
        <v>6.7</v>
      </c>
      <c r="P420" s="834">
        <f t="shared" ref="P420:P449" si="224">M420*N420*O420</f>
        <v>112.55999999999999</v>
      </c>
      <c r="Q420" s="337"/>
      <c r="R420"/>
      <c r="S420"/>
      <c r="T420"/>
      <c r="U420" s="260"/>
      <c r="V420" s="260"/>
      <c r="W420" s="260"/>
      <c r="X420" s="260"/>
    </row>
    <row r="421" spans="1:24" ht="15.75" customHeight="1" outlineLevel="1">
      <c r="C421" s="507" t="str">
        <f t="shared" ca="1" si="221"/>
        <v>16</v>
      </c>
      <c r="D421" s="135" t="s">
        <v>736</v>
      </c>
      <c r="E421" s="1308" t="s">
        <v>1807</v>
      </c>
      <c r="F421" s="1309"/>
      <c r="G421" s="1309"/>
      <c r="H421" s="1310"/>
      <c r="I421" s="104" t="s">
        <v>1788</v>
      </c>
      <c r="J421" s="199">
        <f t="shared" ref="J421:J424" si="225">$J$22+$J$24</f>
        <v>35.832925263299998</v>
      </c>
      <c r="K421" s="341">
        <v>6</v>
      </c>
      <c r="L421" s="308">
        <f t="shared" si="222"/>
        <v>8</v>
      </c>
      <c r="M421" s="836">
        <f t="shared" si="223"/>
        <v>48</v>
      </c>
      <c r="N421" s="405">
        <f t="shared" ref="N421:N449" si="226">$N$420</f>
        <v>0.7</v>
      </c>
      <c r="O421" s="421">
        <v>24.9</v>
      </c>
      <c r="P421" s="834">
        <f t="shared" si="224"/>
        <v>836.63999999999976</v>
      </c>
      <c r="Q421" s="337"/>
      <c r="R421"/>
      <c r="S421"/>
      <c r="T421"/>
    </row>
    <row r="422" spans="1:24" ht="15.75" customHeight="1" outlineLevel="1">
      <c r="C422" s="507" t="str">
        <f t="shared" ca="1" si="221"/>
        <v>17</v>
      </c>
      <c r="D422" s="135" t="s">
        <v>737</v>
      </c>
      <c r="E422" s="1308" t="s">
        <v>261</v>
      </c>
      <c r="F422" s="1309"/>
      <c r="G422" s="1309"/>
      <c r="H422" s="1310"/>
      <c r="I422" s="104" t="s">
        <v>1788</v>
      </c>
      <c r="J422" s="199">
        <f t="shared" si="225"/>
        <v>35.832925263299998</v>
      </c>
      <c r="K422" s="341">
        <v>6</v>
      </c>
      <c r="L422" s="308">
        <f t="shared" si="222"/>
        <v>8</v>
      </c>
      <c r="M422" s="836">
        <f t="shared" si="223"/>
        <v>48</v>
      </c>
      <c r="N422" s="405">
        <f t="shared" si="226"/>
        <v>0.7</v>
      </c>
      <c r="O422" s="421">
        <v>107</v>
      </c>
      <c r="P422" s="834">
        <f t="shared" si="224"/>
        <v>3595.1999999999994</v>
      </c>
      <c r="Q422" s="337"/>
      <c r="R422"/>
      <c r="S422"/>
      <c r="T422"/>
      <c r="U422" s="260"/>
      <c r="V422" s="260"/>
      <c r="W422" s="260"/>
      <c r="X422" s="260"/>
    </row>
    <row r="423" spans="1:24" ht="15.75" customHeight="1" outlineLevel="1">
      <c r="C423" s="507" t="str">
        <f t="shared" ca="1" si="221"/>
        <v>18</v>
      </c>
      <c r="D423" s="135" t="s">
        <v>738</v>
      </c>
      <c r="E423" s="1308" t="s">
        <v>1804</v>
      </c>
      <c r="F423" s="1309"/>
      <c r="G423" s="1309"/>
      <c r="H423" s="1310"/>
      <c r="I423" s="104" t="s">
        <v>1788</v>
      </c>
      <c r="J423" s="199">
        <f t="shared" si="225"/>
        <v>35.832925263299998</v>
      </c>
      <c r="K423" s="341">
        <v>2</v>
      </c>
      <c r="L423" s="308">
        <f t="shared" si="222"/>
        <v>8</v>
      </c>
      <c r="M423" s="836">
        <f t="shared" si="223"/>
        <v>144</v>
      </c>
      <c r="N423" s="405">
        <f t="shared" si="226"/>
        <v>0.7</v>
      </c>
      <c r="O423" s="421">
        <v>18.100000000000001</v>
      </c>
      <c r="P423" s="834">
        <f t="shared" si="224"/>
        <v>1824.48</v>
      </c>
      <c r="Q423" s="337"/>
      <c r="R423"/>
      <c r="S423"/>
      <c r="T423"/>
      <c r="U423" s="260"/>
      <c r="V423" s="260"/>
      <c r="W423" s="260"/>
      <c r="X423" s="260"/>
    </row>
    <row r="424" spans="1:24" ht="15.75" customHeight="1" outlineLevel="1">
      <c r="C424" s="507" t="str">
        <f t="shared" ca="1" si="221"/>
        <v>19</v>
      </c>
      <c r="D424" s="135" t="s">
        <v>739</v>
      </c>
      <c r="E424" s="1308" t="s">
        <v>1805</v>
      </c>
      <c r="F424" s="1309"/>
      <c r="G424" s="1309"/>
      <c r="H424" s="1310"/>
      <c r="I424" s="104" t="s">
        <v>1788</v>
      </c>
      <c r="J424" s="199">
        <f t="shared" si="225"/>
        <v>35.832925263299998</v>
      </c>
      <c r="K424" s="341">
        <v>36</v>
      </c>
      <c r="L424" s="308">
        <f t="shared" si="222"/>
        <v>8</v>
      </c>
      <c r="M424" s="836">
        <f t="shared" si="223"/>
        <v>8</v>
      </c>
      <c r="N424" s="405">
        <f t="shared" si="226"/>
        <v>0.7</v>
      </c>
      <c r="O424" s="421">
        <v>36.590000000000003</v>
      </c>
      <c r="P424" s="834">
        <f t="shared" si="224"/>
        <v>204.904</v>
      </c>
      <c r="Q424" s="337"/>
      <c r="R424"/>
      <c r="S424"/>
      <c r="T424"/>
      <c r="U424" s="260"/>
      <c r="V424" s="260"/>
      <c r="W424" s="260"/>
      <c r="X424" s="260"/>
    </row>
    <row r="425" spans="1:24" ht="15.75" customHeight="1" outlineLevel="1">
      <c r="C425" s="507" t="str">
        <f t="shared" ca="1" si="221"/>
        <v>20</v>
      </c>
      <c r="D425" s="135" t="s">
        <v>740</v>
      </c>
      <c r="E425" s="1308" t="s">
        <v>262</v>
      </c>
      <c r="F425" s="1309"/>
      <c r="G425" s="1309"/>
      <c r="H425" s="1310"/>
      <c r="I425" s="104" t="s">
        <v>1790</v>
      </c>
      <c r="J425" s="199">
        <f>$J$23+$J$25</f>
        <v>35.832925263299998</v>
      </c>
      <c r="K425" s="341">
        <v>12</v>
      </c>
      <c r="L425" s="308">
        <f t="shared" si="222"/>
        <v>8</v>
      </c>
      <c r="M425" s="836">
        <f t="shared" si="223"/>
        <v>24</v>
      </c>
      <c r="N425" s="405">
        <f t="shared" si="226"/>
        <v>0.7</v>
      </c>
      <c r="O425" s="421">
        <v>5.51</v>
      </c>
      <c r="P425" s="834">
        <f t="shared" si="224"/>
        <v>92.567999999999984</v>
      </c>
      <c r="Q425" s="337"/>
      <c r="R425"/>
      <c r="S425"/>
      <c r="T425"/>
    </row>
    <row r="426" spans="1:24" ht="15.75" customHeight="1" outlineLevel="1">
      <c r="C426" s="507" t="str">
        <f t="shared" ca="1" si="221"/>
        <v>21</v>
      </c>
      <c r="D426" s="135" t="s">
        <v>741</v>
      </c>
      <c r="E426" s="1308" t="s">
        <v>263</v>
      </c>
      <c r="F426" s="1309"/>
      <c r="G426" s="1309"/>
      <c r="H426" s="1310"/>
      <c r="I426" s="104" t="s">
        <v>1790</v>
      </c>
      <c r="J426" s="199">
        <f t="shared" ref="J426:J430" si="227">$J$23+$J$25</f>
        <v>35.832925263299998</v>
      </c>
      <c r="K426" s="341">
        <v>12</v>
      </c>
      <c r="L426" s="308">
        <f t="shared" si="222"/>
        <v>8</v>
      </c>
      <c r="M426" s="836">
        <f t="shared" si="223"/>
        <v>24</v>
      </c>
      <c r="N426" s="405">
        <f t="shared" si="226"/>
        <v>0.7</v>
      </c>
      <c r="O426" s="421">
        <v>16.899999999999999</v>
      </c>
      <c r="P426" s="834">
        <f t="shared" si="224"/>
        <v>283.9199999999999</v>
      </c>
      <c r="Q426" s="337"/>
      <c r="R426"/>
      <c r="S426"/>
      <c r="T426"/>
    </row>
    <row r="427" spans="1:24" ht="15.75" customHeight="1" outlineLevel="1">
      <c r="C427" s="507" t="str">
        <f t="shared" ca="1" si="221"/>
        <v>22</v>
      </c>
      <c r="D427" s="135" t="s">
        <v>800</v>
      </c>
      <c r="E427" s="1308" t="s">
        <v>264</v>
      </c>
      <c r="F427" s="1309"/>
      <c r="G427" s="1309"/>
      <c r="H427" s="1310"/>
      <c r="I427" s="104" t="s">
        <v>1790</v>
      </c>
      <c r="J427" s="199">
        <f t="shared" si="227"/>
        <v>35.832925263299998</v>
      </c>
      <c r="K427" s="341">
        <v>12</v>
      </c>
      <c r="L427" s="308">
        <f t="shared" si="222"/>
        <v>8</v>
      </c>
      <c r="M427" s="836">
        <f t="shared" si="223"/>
        <v>24</v>
      </c>
      <c r="N427" s="405">
        <f t="shared" si="226"/>
        <v>0.7</v>
      </c>
      <c r="O427" s="421">
        <v>27.1</v>
      </c>
      <c r="P427" s="834">
        <f t="shared" si="224"/>
        <v>455.28</v>
      </c>
      <c r="Q427" s="337"/>
      <c r="R427"/>
      <c r="S427"/>
      <c r="T427"/>
      <c r="U427" s="260"/>
      <c r="V427" s="260"/>
      <c r="W427" s="260"/>
      <c r="X427" s="260"/>
    </row>
    <row r="428" spans="1:24" ht="15.75" customHeight="1" outlineLevel="1">
      <c r="C428" s="507" t="str">
        <f t="shared" ca="1" si="221"/>
        <v>23</v>
      </c>
      <c r="D428" s="135" t="s">
        <v>801</v>
      </c>
      <c r="E428" s="1308" t="s">
        <v>257</v>
      </c>
      <c r="F428" s="1309"/>
      <c r="G428" s="1309"/>
      <c r="H428" s="1310"/>
      <c r="I428" s="104" t="s">
        <v>1790</v>
      </c>
      <c r="J428" s="199">
        <f t="shared" si="227"/>
        <v>35.832925263299998</v>
      </c>
      <c r="K428" s="341">
        <v>6</v>
      </c>
      <c r="L428" s="308">
        <f t="shared" si="222"/>
        <v>8</v>
      </c>
      <c r="M428" s="836">
        <f t="shared" si="223"/>
        <v>48</v>
      </c>
      <c r="N428" s="405">
        <f t="shared" si="226"/>
        <v>0.7</v>
      </c>
      <c r="O428" s="421">
        <v>20.21</v>
      </c>
      <c r="P428" s="834">
        <f t="shared" si="224"/>
        <v>679.05599999999993</v>
      </c>
      <c r="Q428" s="337"/>
      <c r="R428"/>
      <c r="S428"/>
      <c r="T428"/>
    </row>
    <row r="429" spans="1:24" ht="15.75" customHeight="1" outlineLevel="1">
      <c r="C429" s="507" t="str">
        <f t="shared" ca="1" si="221"/>
        <v>24</v>
      </c>
      <c r="D429" s="135" t="s">
        <v>1767</v>
      </c>
      <c r="E429" s="1308" t="s">
        <v>1793</v>
      </c>
      <c r="F429" s="1309"/>
      <c r="G429" s="1309"/>
      <c r="H429" s="1310"/>
      <c r="I429" s="104" t="s">
        <v>1790</v>
      </c>
      <c r="J429" s="199">
        <f t="shared" si="227"/>
        <v>35.832925263299998</v>
      </c>
      <c r="K429" s="341">
        <v>6</v>
      </c>
      <c r="L429" s="308">
        <f t="shared" si="222"/>
        <v>8</v>
      </c>
      <c r="M429" s="836">
        <f t="shared" si="223"/>
        <v>48</v>
      </c>
      <c r="N429" s="405">
        <f t="shared" si="226"/>
        <v>0.7</v>
      </c>
      <c r="O429" s="421">
        <v>11.34</v>
      </c>
      <c r="P429" s="834">
        <f t="shared" si="224"/>
        <v>381.02399999999994</v>
      </c>
      <c r="Q429" s="337"/>
      <c r="R429"/>
      <c r="S429"/>
      <c r="T429"/>
      <c r="U429" s="260"/>
      <c r="V429" s="260"/>
      <c r="W429" s="260"/>
      <c r="X429" s="260"/>
    </row>
    <row r="430" spans="1:24" ht="15.75" customHeight="1" outlineLevel="1">
      <c r="C430" s="507" t="str">
        <f t="shared" ca="1" si="221"/>
        <v>25</v>
      </c>
      <c r="D430" s="135" t="s">
        <v>1768</v>
      </c>
      <c r="E430" s="1308" t="s">
        <v>1808</v>
      </c>
      <c r="F430" s="1309"/>
      <c r="G430" s="1309"/>
      <c r="H430" s="1310"/>
      <c r="I430" s="104" t="s">
        <v>1790</v>
      </c>
      <c r="J430" s="199">
        <f t="shared" si="227"/>
        <v>35.832925263299998</v>
      </c>
      <c r="K430" s="341">
        <v>36</v>
      </c>
      <c r="L430" s="308">
        <f t="shared" si="222"/>
        <v>8</v>
      </c>
      <c r="M430" s="836">
        <f t="shared" si="223"/>
        <v>8</v>
      </c>
      <c r="N430" s="405">
        <f t="shared" si="226"/>
        <v>0.7</v>
      </c>
      <c r="O430" s="421">
        <v>62.79</v>
      </c>
      <c r="P430" s="834">
        <f t="shared" si="224"/>
        <v>351.62399999999997</v>
      </c>
      <c r="Q430" s="337"/>
      <c r="R430"/>
      <c r="S430"/>
      <c r="T430"/>
      <c r="U430" s="260"/>
      <c r="V430" s="260"/>
      <c r="W430" s="260"/>
      <c r="X430" s="260"/>
    </row>
    <row r="431" spans="1:24" ht="15.75" customHeight="1" outlineLevel="1">
      <c r="C431" s="507" t="str">
        <f t="shared" ca="1" si="221"/>
        <v>26</v>
      </c>
      <c r="D431" s="135" t="s">
        <v>1769</v>
      </c>
      <c r="E431" s="1308" t="s">
        <v>266</v>
      </c>
      <c r="F431" s="1309"/>
      <c r="G431" s="1309"/>
      <c r="H431" s="1310"/>
      <c r="I431" s="104" t="s">
        <v>1789</v>
      </c>
      <c r="J431" s="199">
        <f>$J$23+$J$25</f>
        <v>35.832925263299998</v>
      </c>
      <c r="K431" s="341">
        <v>6</v>
      </c>
      <c r="L431" s="308">
        <f t="shared" si="222"/>
        <v>8</v>
      </c>
      <c r="M431" s="836">
        <f t="shared" si="223"/>
        <v>48</v>
      </c>
      <c r="N431" s="405">
        <f t="shared" si="226"/>
        <v>0.7</v>
      </c>
      <c r="O431" s="421">
        <v>9.89</v>
      </c>
      <c r="P431" s="834">
        <f t="shared" si="224"/>
        <v>332.30399999999997</v>
      </c>
      <c r="Q431" s="337"/>
      <c r="R431"/>
      <c r="S431"/>
      <c r="T431"/>
    </row>
    <row r="432" spans="1:24" ht="15.75" customHeight="1" outlineLevel="1">
      <c r="C432" s="507" t="str">
        <f t="shared" ca="1" si="221"/>
        <v>27</v>
      </c>
      <c r="D432" s="135" t="s">
        <v>1770</v>
      </c>
      <c r="E432" s="1308" t="s">
        <v>258</v>
      </c>
      <c r="F432" s="1309"/>
      <c r="G432" s="1309"/>
      <c r="H432" s="1310"/>
      <c r="I432" s="104" t="s">
        <v>1794</v>
      </c>
      <c r="J432" s="199">
        <f t="shared" ref="J432:J434" si="228">$J$23+$J$25</f>
        <v>35.832925263299998</v>
      </c>
      <c r="K432" s="341">
        <v>6</v>
      </c>
      <c r="L432" s="308">
        <f t="shared" si="222"/>
        <v>8</v>
      </c>
      <c r="M432" s="836">
        <f t="shared" si="223"/>
        <v>48</v>
      </c>
      <c r="N432" s="405">
        <f t="shared" si="226"/>
        <v>0.7</v>
      </c>
      <c r="O432" s="421">
        <v>26.57</v>
      </c>
      <c r="P432" s="834">
        <f t="shared" si="224"/>
        <v>892.75199999999984</v>
      </c>
      <c r="Q432" s="337"/>
      <c r="R432"/>
      <c r="S432"/>
      <c r="T432"/>
    </row>
    <row r="433" spans="3:24" ht="15.75" customHeight="1" outlineLevel="1">
      <c r="C433" s="507" t="str">
        <f t="shared" ca="1" si="221"/>
        <v>28</v>
      </c>
      <c r="D433" s="135" t="s">
        <v>1771</v>
      </c>
      <c r="E433" s="1308" t="s">
        <v>1809</v>
      </c>
      <c r="F433" s="1309"/>
      <c r="G433" s="1309"/>
      <c r="H433" s="1310"/>
      <c r="I433" s="104" t="s">
        <v>1790</v>
      </c>
      <c r="J433" s="199">
        <f>$J$23+$J$25</f>
        <v>35.832925263299998</v>
      </c>
      <c r="K433" s="341">
        <v>6</v>
      </c>
      <c r="L433" s="308">
        <f t="shared" si="222"/>
        <v>8</v>
      </c>
      <c r="M433" s="836">
        <f t="shared" si="223"/>
        <v>48</v>
      </c>
      <c r="N433" s="405">
        <f t="shared" si="226"/>
        <v>0.7</v>
      </c>
      <c r="O433" s="421">
        <v>13.9</v>
      </c>
      <c r="P433" s="834">
        <f t="shared" si="224"/>
        <v>467.03999999999991</v>
      </c>
      <c r="Q433" s="337"/>
      <c r="R433"/>
      <c r="S433"/>
      <c r="T433"/>
    </row>
    <row r="434" spans="3:24" ht="15.75" customHeight="1" outlineLevel="1">
      <c r="C434" s="507" t="str">
        <f t="shared" ca="1" si="221"/>
        <v>29</v>
      </c>
      <c r="D434" s="135" t="s">
        <v>1772</v>
      </c>
      <c r="E434" s="1308" t="s">
        <v>267</v>
      </c>
      <c r="F434" s="1309"/>
      <c r="G434" s="1309"/>
      <c r="H434" s="1310"/>
      <c r="I434" s="104" t="s">
        <v>1794</v>
      </c>
      <c r="J434" s="199">
        <f t="shared" si="228"/>
        <v>35.832925263299998</v>
      </c>
      <c r="K434" s="341">
        <v>12</v>
      </c>
      <c r="L434" s="308">
        <f t="shared" si="222"/>
        <v>8</v>
      </c>
      <c r="M434" s="836">
        <f t="shared" si="223"/>
        <v>24</v>
      </c>
      <c r="N434" s="405">
        <f t="shared" si="226"/>
        <v>0.7</v>
      </c>
      <c r="O434" s="421">
        <v>19.809999999999999</v>
      </c>
      <c r="P434" s="834">
        <f t="shared" si="224"/>
        <v>332.80799999999994</v>
      </c>
      <c r="Q434" s="337"/>
      <c r="R434"/>
      <c r="S434"/>
      <c r="T434"/>
      <c r="U434" s="260"/>
      <c r="V434" s="260"/>
      <c r="W434" s="260"/>
      <c r="X434" s="260"/>
    </row>
    <row r="435" spans="3:24" ht="15.75" customHeight="1" outlineLevel="1">
      <c r="C435" s="507" t="str">
        <f t="shared" ca="1" si="221"/>
        <v>30</v>
      </c>
      <c r="D435" s="135" t="s">
        <v>1773</v>
      </c>
      <c r="E435" s="1308" t="s">
        <v>1795</v>
      </c>
      <c r="F435" s="1309"/>
      <c r="G435" s="1309"/>
      <c r="H435" s="1310"/>
      <c r="I435" s="104" t="s">
        <v>1789</v>
      </c>
      <c r="J435" s="199">
        <f>$J$23+$J$25</f>
        <v>35.832925263299998</v>
      </c>
      <c r="K435" s="341">
        <v>6</v>
      </c>
      <c r="L435" s="308">
        <f t="shared" si="222"/>
        <v>8</v>
      </c>
      <c r="M435" s="836">
        <f t="shared" si="223"/>
        <v>48</v>
      </c>
      <c r="N435" s="405">
        <f t="shared" si="226"/>
        <v>0.7</v>
      </c>
      <c r="O435" s="421">
        <v>28</v>
      </c>
      <c r="P435" s="834">
        <f t="shared" si="224"/>
        <v>940.79999999999984</v>
      </c>
      <c r="Q435" s="337"/>
      <c r="R435"/>
      <c r="S435"/>
      <c r="T435"/>
      <c r="U435" s="260"/>
      <c r="V435" s="260"/>
      <c r="W435" s="260"/>
      <c r="X435" s="260"/>
    </row>
    <row r="436" spans="3:24" ht="15.75" customHeight="1" outlineLevel="1">
      <c r="C436" s="507" t="str">
        <f t="shared" ca="1" si="221"/>
        <v>31</v>
      </c>
      <c r="D436" s="135" t="s">
        <v>1774</v>
      </c>
      <c r="E436" s="1308" t="s">
        <v>268</v>
      </c>
      <c r="F436" s="1309"/>
      <c r="G436" s="1309"/>
      <c r="H436" s="1310"/>
      <c r="I436" s="104" t="s">
        <v>1790</v>
      </c>
      <c r="J436" s="199">
        <f>$J$23+$J$25</f>
        <v>35.832925263299998</v>
      </c>
      <c r="K436" s="341">
        <v>0.5</v>
      </c>
      <c r="L436" s="308">
        <f t="shared" si="222"/>
        <v>8</v>
      </c>
      <c r="M436" s="836">
        <f t="shared" si="223"/>
        <v>574</v>
      </c>
      <c r="N436" s="405">
        <f t="shared" si="226"/>
        <v>0.7</v>
      </c>
      <c r="O436" s="421">
        <v>1.86</v>
      </c>
      <c r="P436" s="834">
        <f t="shared" si="224"/>
        <v>747.34799999999996</v>
      </c>
      <c r="Q436" s="337"/>
      <c r="R436"/>
      <c r="S436"/>
      <c r="T436"/>
      <c r="U436" s="260"/>
      <c r="V436" s="260"/>
      <c r="W436" s="260"/>
      <c r="X436" s="260"/>
    </row>
    <row r="437" spans="3:24" ht="15.75" customHeight="1" outlineLevel="1">
      <c r="C437" s="507" t="str">
        <f t="shared" ca="1" si="221"/>
        <v>32</v>
      </c>
      <c r="D437" s="135" t="s">
        <v>1775</v>
      </c>
      <c r="E437" s="1308" t="s">
        <v>269</v>
      </c>
      <c r="F437" s="1309"/>
      <c r="G437" s="1309"/>
      <c r="H437" s="1310"/>
      <c r="I437" s="104" t="s">
        <v>1789</v>
      </c>
      <c r="J437" s="199">
        <f t="shared" ref="J437:J441" si="229">$J$23+$J$25</f>
        <v>35.832925263299998</v>
      </c>
      <c r="K437" s="341">
        <v>3</v>
      </c>
      <c r="L437" s="308">
        <f t="shared" si="222"/>
        <v>8</v>
      </c>
      <c r="M437" s="836">
        <f t="shared" si="223"/>
        <v>96</v>
      </c>
      <c r="N437" s="405">
        <f t="shared" si="226"/>
        <v>0.7</v>
      </c>
      <c r="O437" s="421">
        <v>9.25</v>
      </c>
      <c r="P437" s="834">
        <f t="shared" si="224"/>
        <v>621.59999999999991</v>
      </c>
      <c r="Q437" s="337"/>
      <c r="R437"/>
      <c r="S437"/>
      <c r="T437"/>
    </row>
    <row r="438" spans="3:24" ht="15.75" customHeight="1" outlineLevel="1">
      <c r="C438" s="507" t="str">
        <f t="shared" ca="1" si="221"/>
        <v>33</v>
      </c>
      <c r="D438" s="135" t="s">
        <v>1776</v>
      </c>
      <c r="E438" s="1308" t="s">
        <v>270</v>
      </c>
      <c r="F438" s="1309"/>
      <c r="G438" s="1309"/>
      <c r="H438" s="1310"/>
      <c r="I438" s="104" t="s">
        <v>1789</v>
      </c>
      <c r="J438" s="199">
        <f t="shared" si="229"/>
        <v>35.832925263299998</v>
      </c>
      <c r="K438" s="341">
        <v>3</v>
      </c>
      <c r="L438" s="308">
        <f t="shared" si="222"/>
        <v>8</v>
      </c>
      <c r="M438" s="836">
        <f t="shared" si="223"/>
        <v>96</v>
      </c>
      <c r="N438" s="405">
        <f t="shared" si="226"/>
        <v>0.7</v>
      </c>
      <c r="O438" s="421">
        <v>8.6999999999999993</v>
      </c>
      <c r="P438" s="834">
        <f t="shared" si="224"/>
        <v>584.63999999999987</v>
      </c>
      <c r="Q438" s="337"/>
      <c r="R438"/>
      <c r="S438"/>
      <c r="T438"/>
    </row>
    <row r="439" spans="3:24" ht="15.75" customHeight="1" outlineLevel="1">
      <c r="C439" s="507" t="str">
        <f t="shared" ca="1" si="221"/>
        <v>34</v>
      </c>
      <c r="D439" s="135" t="s">
        <v>1777</v>
      </c>
      <c r="E439" s="1308" t="s">
        <v>271</v>
      </c>
      <c r="F439" s="1309"/>
      <c r="G439" s="1309"/>
      <c r="H439" s="1310"/>
      <c r="I439" s="104" t="s">
        <v>1789</v>
      </c>
      <c r="J439" s="199">
        <f t="shared" si="229"/>
        <v>35.832925263299998</v>
      </c>
      <c r="K439" s="341">
        <v>3</v>
      </c>
      <c r="L439" s="308">
        <f t="shared" si="222"/>
        <v>8</v>
      </c>
      <c r="M439" s="836">
        <f t="shared" si="223"/>
        <v>96</v>
      </c>
      <c r="N439" s="405">
        <f t="shared" si="226"/>
        <v>0.7</v>
      </c>
      <c r="O439" s="421">
        <v>8.6999999999999993</v>
      </c>
      <c r="P439" s="834">
        <f t="shared" si="224"/>
        <v>584.63999999999987</v>
      </c>
      <c r="Q439" s="337"/>
      <c r="R439"/>
      <c r="S439"/>
      <c r="T439"/>
    </row>
    <row r="440" spans="3:24" ht="15.75" customHeight="1" outlineLevel="1">
      <c r="C440" s="507" t="str">
        <f t="shared" ca="1" si="221"/>
        <v>35</v>
      </c>
      <c r="D440" s="135" t="s">
        <v>1778</v>
      </c>
      <c r="E440" s="1308" t="s">
        <v>272</v>
      </c>
      <c r="F440" s="1309"/>
      <c r="G440" s="1309"/>
      <c r="H440" s="1310"/>
      <c r="I440" s="104" t="s">
        <v>1790</v>
      </c>
      <c r="J440" s="199">
        <f t="shared" si="229"/>
        <v>35.832925263299998</v>
      </c>
      <c r="K440" s="341">
        <v>12</v>
      </c>
      <c r="L440" s="308">
        <f t="shared" si="222"/>
        <v>8</v>
      </c>
      <c r="M440" s="836">
        <f t="shared" si="223"/>
        <v>24</v>
      </c>
      <c r="N440" s="405">
        <f t="shared" si="226"/>
        <v>0.7</v>
      </c>
      <c r="O440" s="421">
        <v>18.91</v>
      </c>
      <c r="P440" s="834">
        <f t="shared" si="224"/>
        <v>317.68799999999993</v>
      </c>
      <c r="Q440" s="337"/>
      <c r="R440"/>
      <c r="S440"/>
      <c r="T440"/>
      <c r="U440" s="260"/>
      <c r="V440" s="260"/>
      <c r="W440" s="260"/>
      <c r="X440" s="260"/>
    </row>
    <row r="441" spans="3:24" ht="15.75" customHeight="1" outlineLevel="1">
      <c r="C441" s="507" t="str">
        <f t="shared" ca="1" si="221"/>
        <v>36</v>
      </c>
      <c r="D441" s="135" t="s">
        <v>1779</v>
      </c>
      <c r="E441" s="1308" t="s">
        <v>1796</v>
      </c>
      <c r="F441" s="1309"/>
      <c r="G441" s="1309"/>
      <c r="H441" s="1310"/>
      <c r="I441" s="104" t="s">
        <v>1789</v>
      </c>
      <c r="J441" s="199">
        <f t="shared" si="229"/>
        <v>35.832925263299998</v>
      </c>
      <c r="K441" s="341">
        <v>3</v>
      </c>
      <c r="L441" s="308">
        <f t="shared" si="222"/>
        <v>8</v>
      </c>
      <c r="M441" s="836">
        <f t="shared" si="223"/>
        <v>96</v>
      </c>
      <c r="N441" s="405">
        <f t="shared" si="226"/>
        <v>0.7</v>
      </c>
      <c r="O441" s="421">
        <v>12.33</v>
      </c>
      <c r="P441" s="834">
        <f t="shared" si="224"/>
        <v>828.57599999999991</v>
      </c>
      <c r="Q441" s="337"/>
      <c r="R441"/>
      <c r="S441"/>
      <c r="T441"/>
    </row>
    <row r="442" spans="3:24" ht="15.75" customHeight="1" outlineLevel="1">
      <c r="C442" s="507" t="str">
        <f t="shared" ca="1" si="221"/>
        <v>37</v>
      </c>
      <c r="D442" s="135" t="s">
        <v>1780</v>
      </c>
      <c r="E442" s="1308" t="s">
        <v>1797</v>
      </c>
      <c r="F442" s="1309"/>
      <c r="G442" s="1309"/>
      <c r="H442" s="1310"/>
      <c r="I442" s="104" t="s">
        <v>1788</v>
      </c>
      <c r="J442" s="199">
        <f t="shared" ref="J442:J443" si="230">$J$22+$J$24</f>
        <v>35.832925263299998</v>
      </c>
      <c r="K442" s="341">
        <v>3</v>
      </c>
      <c r="L442" s="308">
        <f t="shared" si="222"/>
        <v>8</v>
      </c>
      <c r="M442" s="836">
        <f t="shared" si="223"/>
        <v>96</v>
      </c>
      <c r="N442" s="405">
        <f t="shared" si="226"/>
        <v>0.7</v>
      </c>
      <c r="O442" s="421">
        <v>22.71</v>
      </c>
      <c r="P442" s="834">
        <f t="shared" si="224"/>
        <v>1526.1119999999999</v>
      </c>
      <c r="Q442" s="337"/>
      <c r="R442"/>
      <c r="S442"/>
      <c r="T442"/>
    </row>
    <row r="443" spans="3:24" ht="15.75" customHeight="1" outlineLevel="1">
      <c r="C443" s="507" t="str">
        <f t="shared" ca="1" si="221"/>
        <v>38</v>
      </c>
      <c r="D443" s="135" t="s">
        <v>1781</v>
      </c>
      <c r="E443" s="1308" t="s">
        <v>1798</v>
      </c>
      <c r="F443" s="1309"/>
      <c r="G443" s="1309"/>
      <c r="H443" s="1310"/>
      <c r="I443" s="104" t="s">
        <v>1788</v>
      </c>
      <c r="J443" s="199">
        <f t="shared" si="230"/>
        <v>35.832925263299998</v>
      </c>
      <c r="K443" s="341">
        <v>3</v>
      </c>
      <c r="L443" s="308">
        <f t="shared" si="222"/>
        <v>8</v>
      </c>
      <c r="M443" s="836">
        <f t="shared" si="223"/>
        <v>96</v>
      </c>
      <c r="N443" s="405">
        <f t="shared" si="226"/>
        <v>0.7</v>
      </c>
      <c r="O443" s="421">
        <v>66.41</v>
      </c>
      <c r="P443" s="834">
        <f t="shared" si="224"/>
        <v>4462.7519999999986</v>
      </c>
      <c r="Q443" s="337"/>
      <c r="R443"/>
      <c r="S443"/>
      <c r="T443"/>
    </row>
    <row r="444" spans="3:24" ht="15.75" customHeight="1" outlineLevel="1">
      <c r="C444" s="507" t="str">
        <f t="shared" ca="1" si="221"/>
        <v>39</v>
      </c>
      <c r="D444" s="135" t="s">
        <v>1782</v>
      </c>
      <c r="E444" s="1308" t="s">
        <v>848</v>
      </c>
      <c r="F444" s="1309"/>
      <c r="G444" s="1309"/>
      <c r="H444" s="1310"/>
      <c r="I444" s="104" t="s">
        <v>1799</v>
      </c>
      <c r="J444" s="199">
        <f t="shared" ref="J444:J445" si="231">$J$23+$J$25</f>
        <v>35.832925263299998</v>
      </c>
      <c r="K444" s="341">
        <v>3</v>
      </c>
      <c r="L444" s="308">
        <f t="shared" si="222"/>
        <v>8</v>
      </c>
      <c r="M444" s="836">
        <f t="shared" si="223"/>
        <v>96</v>
      </c>
      <c r="N444" s="405">
        <f t="shared" si="226"/>
        <v>0.7</v>
      </c>
      <c r="O444" s="421">
        <v>24.9</v>
      </c>
      <c r="P444" s="834">
        <f t="shared" si="224"/>
        <v>1673.2799999999995</v>
      </c>
      <c r="Q444" s="337"/>
      <c r="R444"/>
      <c r="S444"/>
      <c r="T444"/>
    </row>
    <row r="445" spans="3:24" ht="15.75" customHeight="1" outlineLevel="1">
      <c r="C445" s="507" t="str">
        <f t="shared" ca="1" si="221"/>
        <v>40</v>
      </c>
      <c r="D445" s="135" t="s">
        <v>1783</v>
      </c>
      <c r="E445" s="1308" t="s">
        <v>273</v>
      </c>
      <c r="F445" s="1309"/>
      <c r="G445" s="1309"/>
      <c r="H445" s="1310"/>
      <c r="I445" s="104" t="s">
        <v>1799</v>
      </c>
      <c r="J445" s="199">
        <f t="shared" si="231"/>
        <v>35.832925263299998</v>
      </c>
      <c r="K445" s="341">
        <v>2</v>
      </c>
      <c r="L445" s="308">
        <f t="shared" si="222"/>
        <v>8</v>
      </c>
      <c r="M445" s="836">
        <f t="shared" si="223"/>
        <v>144</v>
      </c>
      <c r="N445" s="405">
        <f t="shared" si="226"/>
        <v>0.7</v>
      </c>
      <c r="O445" s="421">
        <v>5.33</v>
      </c>
      <c r="P445" s="834">
        <f t="shared" si="224"/>
        <v>537.26400000000001</v>
      </c>
      <c r="Q445" s="337"/>
      <c r="R445"/>
      <c r="S445"/>
      <c r="T445"/>
      <c r="U445" s="260"/>
      <c r="V445" s="260"/>
      <c r="W445" s="260"/>
      <c r="X445" s="260"/>
    </row>
    <row r="446" spans="3:24" ht="15.75" customHeight="1" outlineLevel="1">
      <c r="C446" s="507" t="str">
        <f t="shared" ca="1" si="221"/>
        <v>41</v>
      </c>
      <c r="D446" s="135" t="s">
        <v>1784</v>
      </c>
      <c r="E446" s="1308" t="s">
        <v>259</v>
      </c>
      <c r="F446" s="1309"/>
      <c r="G446" s="1309"/>
      <c r="H446" s="1310"/>
      <c r="I446" s="104" t="s">
        <v>1788</v>
      </c>
      <c r="J446" s="199">
        <f t="shared" ref="J446:J447" si="232">$J$22+$J$24</f>
        <v>35.832925263299998</v>
      </c>
      <c r="K446" s="341">
        <v>12</v>
      </c>
      <c r="L446" s="308">
        <f t="shared" si="222"/>
        <v>8</v>
      </c>
      <c r="M446" s="836">
        <f t="shared" si="223"/>
        <v>24</v>
      </c>
      <c r="N446" s="405">
        <f t="shared" si="226"/>
        <v>0.7</v>
      </c>
      <c r="O446" s="421">
        <v>15.41</v>
      </c>
      <c r="P446" s="834">
        <f t="shared" si="224"/>
        <v>258.88799999999998</v>
      </c>
      <c r="Q446" s="337"/>
      <c r="R446"/>
      <c r="S446"/>
      <c r="T446"/>
    </row>
    <row r="447" spans="3:24" ht="15.75" customHeight="1" outlineLevel="1">
      <c r="C447" s="507" t="str">
        <f t="shared" ca="1" si="221"/>
        <v>42</v>
      </c>
      <c r="D447" s="135" t="s">
        <v>1785</v>
      </c>
      <c r="E447" s="1308" t="s">
        <v>260</v>
      </c>
      <c r="F447" s="1309"/>
      <c r="G447" s="1309"/>
      <c r="H447" s="1310"/>
      <c r="I447" s="104" t="s">
        <v>1788</v>
      </c>
      <c r="J447" s="199">
        <f t="shared" si="232"/>
        <v>35.832925263299998</v>
      </c>
      <c r="K447" s="341">
        <v>12</v>
      </c>
      <c r="L447" s="308">
        <f t="shared" si="222"/>
        <v>8</v>
      </c>
      <c r="M447" s="836">
        <f t="shared" si="223"/>
        <v>24</v>
      </c>
      <c r="N447" s="405">
        <f t="shared" si="226"/>
        <v>0.7</v>
      </c>
      <c r="O447" s="421">
        <v>29.9</v>
      </c>
      <c r="P447" s="834">
        <f t="shared" si="224"/>
        <v>502.31999999999988</v>
      </c>
      <c r="Q447" s="337"/>
      <c r="R447"/>
      <c r="S447"/>
      <c r="T447"/>
    </row>
    <row r="448" spans="3:24" ht="15.75" customHeight="1" outlineLevel="1">
      <c r="C448" s="507" t="str">
        <f t="shared" ca="1" si="221"/>
        <v>43</v>
      </c>
      <c r="D448" s="135" t="s">
        <v>1786</v>
      </c>
      <c r="E448" s="1308" t="s">
        <v>274</v>
      </c>
      <c r="F448" s="1309"/>
      <c r="G448" s="1309"/>
      <c r="H448" s="1310"/>
      <c r="I448" s="104" t="s">
        <v>1789</v>
      </c>
      <c r="J448" s="199">
        <f t="shared" ref="J448:J449" si="233">$J$23+$J$25</f>
        <v>35.832925263299998</v>
      </c>
      <c r="K448" s="341">
        <v>12</v>
      </c>
      <c r="L448" s="308">
        <f t="shared" si="222"/>
        <v>8</v>
      </c>
      <c r="M448" s="836">
        <f t="shared" si="223"/>
        <v>24</v>
      </c>
      <c r="N448" s="405">
        <f t="shared" si="226"/>
        <v>0.7</v>
      </c>
      <c r="O448" s="421">
        <v>29.5</v>
      </c>
      <c r="P448" s="834">
        <f t="shared" si="224"/>
        <v>495.59999999999991</v>
      </c>
      <c r="Q448" s="337"/>
      <c r="R448"/>
      <c r="S448"/>
      <c r="T448"/>
    </row>
    <row r="449" spans="1:30" ht="15.75" customHeight="1" outlineLevel="1">
      <c r="C449" s="507" t="str">
        <f t="shared" ca="1" si="221"/>
        <v>44</v>
      </c>
      <c r="D449" s="135" t="s">
        <v>1812</v>
      </c>
      <c r="E449" s="1308" t="s">
        <v>275</v>
      </c>
      <c r="F449" s="1309"/>
      <c r="G449" s="1309"/>
      <c r="H449" s="1310"/>
      <c r="I449" s="104" t="s">
        <v>1789</v>
      </c>
      <c r="J449" s="199">
        <f t="shared" si="233"/>
        <v>35.832925263299998</v>
      </c>
      <c r="K449" s="341">
        <v>12</v>
      </c>
      <c r="L449" s="308">
        <f t="shared" si="222"/>
        <v>8</v>
      </c>
      <c r="M449" s="836">
        <f t="shared" si="223"/>
        <v>24</v>
      </c>
      <c r="N449" s="405">
        <f t="shared" si="226"/>
        <v>0.7</v>
      </c>
      <c r="O449" s="421">
        <v>29.5</v>
      </c>
      <c r="P449" s="834">
        <f t="shared" si="224"/>
        <v>495.59999999999991</v>
      </c>
      <c r="Q449" s="337"/>
      <c r="R449"/>
      <c r="S449"/>
      <c r="T449"/>
      <c r="U449" s="260"/>
      <c r="V449" s="260"/>
      <c r="W449" s="260"/>
      <c r="X449" s="260"/>
    </row>
    <row r="450" spans="1:30" ht="15.75" customHeight="1" outlineLevel="1">
      <c r="C450" s="507"/>
      <c r="D450" s="349"/>
      <c r="E450" s="112"/>
      <c r="F450" s="113"/>
      <c r="G450" s="113"/>
      <c r="H450" s="116"/>
      <c r="I450" s="113"/>
      <c r="J450" s="113"/>
      <c r="K450" s="113"/>
      <c r="L450" s="113"/>
      <c r="M450" s="350"/>
      <c r="N450" s="113"/>
      <c r="O450" s="351"/>
      <c r="P450" s="142"/>
      <c r="Q450" s="337"/>
      <c r="U450" s="49"/>
      <c r="V450" s="49"/>
      <c r="W450" s="49"/>
      <c r="X450" s="49"/>
      <c r="Y450" s="49"/>
    </row>
    <row r="451" spans="1:30" s="187" customFormat="1" ht="15.75" customHeight="1">
      <c r="A451" s="957"/>
      <c r="B451" s="957"/>
      <c r="C451" s="957"/>
      <c r="D451" s="1340" t="s">
        <v>631</v>
      </c>
      <c r="E451" s="1323" t="s">
        <v>797</v>
      </c>
      <c r="F451" s="1324"/>
      <c r="G451" s="1324"/>
      <c r="H451" s="1325"/>
      <c r="I451" s="1329" t="s">
        <v>780</v>
      </c>
      <c r="J451" s="1329" t="s">
        <v>781</v>
      </c>
      <c r="K451" s="1329" t="s">
        <v>782</v>
      </c>
      <c r="L451" s="1329" t="s">
        <v>799</v>
      </c>
      <c r="M451" s="1329" t="s">
        <v>15</v>
      </c>
      <c r="N451" s="1329" t="s">
        <v>783</v>
      </c>
      <c r="O451" s="1329" t="s">
        <v>784</v>
      </c>
      <c r="P451" s="1344" t="s">
        <v>1</v>
      </c>
      <c r="Q451" s="1381">
        <f>$P$453/meses_obra</f>
        <v>9240.2958333333354</v>
      </c>
    </row>
    <row r="452" spans="1:30" s="187" customFormat="1" ht="15.75" customHeight="1">
      <c r="A452" s="957"/>
      <c r="B452" s="957"/>
      <c r="C452" s="958"/>
      <c r="D452" s="1341"/>
      <c r="E452" s="1326"/>
      <c r="F452" s="1327"/>
      <c r="G452" s="1327"/>
      <c r="H452" s="1328"/>
      <c r="I452" s="1330"/>
      <c r="J452" s="1330"/>
      <c r="K452" s="1330"/>
      <c r="L452" s="1330"/>
      <c r="M452" s="1330"/>
      <c r="N452" s="1330"/>
      <c r="O452" s="1330"/>
      <c r="P452" s="1345"/>
      <c r="Q452" s="1382"/>
      <c r="R452" s="299"/>
      <c r="Z452" s="299"/>
      <c r="AA452" s="299"/>
      <c r="AB452" s="299"/>
      <c r="AC452" s="299"/>
      <c r="AD452" s="299"/>
    </row>
    <row r="453" spans="1:30" s="49" customFormat="1" ht="15.75" customHeight="1" outlineLevel="1">
      <c r="A453" s="322"/>
      <c r="B453" s="322"/>
      <c r="C453" s="507">
        <f>D453</f>
        <v>0</v>
      </c>
      <c r="D453" s="215"/>
      <c r="E453" s="227" t="s">
        <v>363</v>
      </c>
      <c r="F453" s="227"/>
      <c r="G453" s="227"/>
      <c r="H453" s="227"/>
      <c r="I453" s="228"/>
      <c r="J453" s="228"/>
      <c r="K453" s="231"/>
      <c r="L453" s="219"/>
      <c r="M453" s="230"/>
      <c r="N453" s="231"/>
      <c r="O453" s="336" t="s">
        <v>366</v>
      </c>
      <c r="P453" s="314">
        <f>epi_valor+treinamentos_valor</f>
        <v>73922.366666666683</v>
      </c>
      <c r="Q453" s="56">
        <f ca="1">$P$453/custo_direto</f>
        <v>1.2971231943827087E-2</v>
      </c>
      <c r="R453" s="260"/>
      <c r="S453" s="260"/>
      <c r="T453" s="260"/>
      <c r="U453" s="260"/>
      <c r="V453" s="260"/>
      <c r="W453" s="260"/>
      <c r="X453" s="260"/>
      <c r="Y453" s="260"/>
    </row>
    <row r="454" spans="1:30" s="49" customFormat="1" ht="15.75" customHeight="1" outlineLevel="1">
      <c r="A454" s="322"/>
      <c r="B454" s="322"/>
      <c r="C454" s="507"/>
      <c r="D454" s="358"/>
      <c r="E454" s="359"/>
      <c r="F454" s="359"/>
      <c r="G454" s="359"/>
      <c r="H454" s="359"/>
      <c r="I454" s="359"/>
      <c r="J454" s="359"/>
      <c r="K454" s="359"/>
      <c r="L454" s="359"/>
      <c r="M454" s="359"/>
      <c r="N454" s="359"/>
      <c r="O454" s="359"/>
      <c r="P454" s="360"/>
      <c r="Q454" s="260"/>
      <c r="R454" s="260"/>
      <c r="S454" s="260"/>
      <c r="T454" s="260"/>
      <c r="U454" s="260"/>
      <c r="V454" s="260"/>
      <c r="W454" s="260"/>
      <c r="X454" s="260"/>
      <c r="Y454" s="260"/>
    </row>
    <row r="455" spans="1:30" s="49" customFormat="1" ht="15.75" customHeight="1" outlineLevel="1">
      <c r="A455" s="322"/>
      <c r="B455" s="322"/>
      <c r="C455" s="507" t="str">
        <f>D455</f>
        <v>13</v>
      </c>
      <c r="D455" s="215" t="s">
        <v>552</v>
      </c>
      <c r="E455" s="227" t="s">
        <v>363</v>
      </c>
      <c r="F455" s="227"/>
      <c r="G455" s="227"/>
      <c r="H455" s="227"/>
      <c r="I455" s="228" t="s">
        <v>11</v>
      </c>
      <c r="J455" s="228" t="s">
        <v>154</v>
      </c>
      <c r="K455" s="231" t="s">
        <v>155</v>
      </c>
      <c r="L455" s="219" t="s">
        <v>795</v>
      </c>
      <c r="M455" s="230" t="s">
        <v>15</v>
      </c>
      <c r="N455" s="231" t="s">
        <v>123</v>
      </c>
      <c r="O455" s="306"/>
      <c r="P455" s="314">
        <f>SUM(P456:P464)</f>
        <v>68074.700000000012</v>
      </c>
      <c r="Q455" s="56">
        <f ca="1">$P$455/custo_direto</f>
        <v>1.1945135999069914E-2</v>
      </c>
      <c r="S455" s="36"/>
      <c r="U455" s="361" t="s">
        <v>822</v>
      </c>
      <c r="V455" s="362"/>
      <c r="W455" s="362"/>
      <c r="X455" s="362"/>
      <c r="Y455" s="363"/>
    </row>
    <row r="456" spans="1:30" ht="15.75" customHeight="1" outlineLevel="1">
      <c r="C456" s="507" t="str">
        <f t="shared" ref="C456:C463" ca="1" si="234">IF(OFFSET(C456,-1,0)&gt;="01",CONCATENATE(,OFFSET(C456,-1,0)+1),CONCATENATE((SUM(OFFSET(C456,-1,0)+1-(OFFSET(C456,-1,0))))))</f>
        <v>14</v>
      </c>
      <c r="D456" s="135" t="s">
        <v>731</v>
      </c>
      <c r="E456" s="1320" t="s">
        <v>838</v>
      </c>
      <c r="F456" s="1321"/>
      <c r="G456" s="1321"/>
      <c r="H456" s="1322"/>
      <c r="I456" s="355" t="s">
        <v>0</v>
      </c>
      <c r="J456" s="364">
        <f>ROUNDUP(((efetivo_médio_mes))*(1-$F$118),0)</f>
        <v>28</v>
      </c>
      <c r="K456" s="308">
        <f>meses_obra</f>
        <v>8</v>
      </c>
      <c r="L456" s="309"/>
      <c r="M456" s="310">
        <f t="shared" ref="M456:M463" si="235">IFERROR(IF((L456/K456)=0,100%,L456/K456),100%)</f>
        <v>1</v>
      </c>
      <c r="N456" s="1200">
        <f t="shared" ref="N456:N463" si="236">meses_obra</f>
        <v>8</v>
      </c>
      <c r="O456" s="426">
        <v>285.8</v>
      </c>
      <c r="P456" s="357">
        <f>J456*M456*N456*O456</f>
        <v>64019.200000000004</v>
      </c>
      <c r="Q456" s="944">
        <v>0.33</v>
      </c>
      <c r="R456" s="434"/>
      <c r="U456" s="365" t="s">
        <v>145</v>
      </c>
      <c r="V456" s="366" t="s">
        <v>495</v>
      </c>
      <c r="W456" s="366"/>
      <c r="X456" s="366" t="s">
        <v>496</v>
      </c>
      <c r="Y456" s="367" t="s">
        <v>487</v>
      </c>
    </row>
    <row r="457" spans="1:30" ht="15.75" customHeight="1" outlineLevel="1">
      <c r="C457" s="507" t="str">
        <f t="shared" ca="1" si="234"/>
        <v>15</v>
      </c>
      <c r="D457" s="135" t="s">
        <v>732</v>
      </c>
      <c r="E457" s="1304" t="s">
        <v>1443</v>
      </c>
      <c r="F457" s="1305"/>
      <c r="G457" s="1305"/>
      <c r="H457" s="1306"/>
      <c r="I457" s="104" t="s">
        <v>11</v>
      </c>
      <c r="J457" s="341">
        <v>0</v>
      </c>
      <c r="K457" s="411">
        <v>12</v>
      </c>
      <c r="L457" s="309"/>
      <c r="M457" s="310">
        <f t="shared" si="235"/>
        <v>1</v>
      </c>
      <c r="N457" s="1201">
        <f t="shared" si="236"/>
        <v>8</v>
      </c>
      <c r="O457" s="421">
        <f>170.96+597.8</f>
        <v>768.76</v>
      </c>
      <c r="P457" s="339">
        <f>J457*M457*O457</f>
        <v>0</v>
      </c>
      <c r="Q457" s="337"/>
      <c r="R457"/>
      <c r="U457" s="1298" t="s">
        <v>823</v>
      </c>
      <c r="V457" s="1299"/>
      <c r="W457" s="1299"/>
      <c r="X457" s="1299"/>
      <c r="Y457" s="1300"/>
    </row>
    <row r="458" spans="1:30" ht="15.75" customHeight="1" outlineLevel="1">
      <c r="C458" s="507" t="str">
        <f t="shared" ca="1" si="234"/>
        <v>16</v>
      </c>
      <c r="D458" s="135" t="s">
        <v>733</v>
      </c>
      <c r="E458" s="1304" t="s">
        <v>1442</v>
      </c>
      <c r="F458" s="1305"/>
      <c r="G458" s="1305"/>
      <c r="H458" s="1306"/>
      <c r="I458" s="1197" t="s">
        <v>11</v>
      </c>
      <c r="J458" s="1198">
        <v>0</v>
      </c>
      <c r="K458" s="308">
        <f>meses_obra</f>
        <v>8</v>
      </c>
      <c r="L458" s="309"/>
      <c r="M458" s="310">
        <f t="shared" si="235"/>
        <v>1</v>
      </c>
      <c r="N458" s="308">
        <f t="shared" si="236"/>
        <v>8</v>
      </c>
      <c r="O458" s="425">
        <v>137.4</v>
      </c>
      <c r="P458" s="348">
        <f>J458*M458*O458</f>
        <v>0</v>
      </c>
      <c r="Q458" s="623"/>
      <c r="R458"/>
      <c r="U458" s="368" t="s">
        <v>694</v>
      </c>
      <c r="V458" s="369">
        <v>85</v>
      </c>
      <c r="W458" s="44" t="s">
        <v>490</v>
      </c>
      <c r="X458" s="621">
        <v>6</v>
      </c>
      <c r="Y458" s="371">
        <f t="shared" ref="Y458:Y486" si="237">IFERROR(V458/X458,0)</f>
        <v>14.166666666666666</v>
      </c>
    </row>
    <row r="459" spans="1:30" ht="15.75" customHeight="1" outlineLevel="1">
      <c r="C459" s="507" t="str">
        <f t="shared" ca="1" si="234"/>
        <v>17</v>
      </c>
      <c r="D459" s="135" t="s">
        <v>731</v>
      </c>
      <c r="E459" s="1301" t="s">
        <v>2076</v>
      </c>
      <c r="F459" s="1302"/>
      <c r="G459" s="1302"/>
      <c r="H459" s="1303"/>
      <c r="I459" s="1197" t="s">
        <v>11</v>
      </c>
      <c r="J459" s="1199">
        <v>10</v>
      </c>
      <c r="K459" s="308">
        <f>meses_obra</f>
        <v>8</v>
      </c>
      <c r="L459" s="309"/>
      <c r="M459" s="310">
        <f t="shared" si="235"/>
        <v>1</v>
      </c>
      <c r="N459" s="308">
        <f t="shared" si="236"/>
        <v>8</v>
      </c>
      <c r="O459" s="425">
        <v>35</v>
      </c>
      <c r="P459" s="348">
        <f>J459*M459*N459*O459</f>
        <v>2800</v>
      </c>
      <c r="Q459" s="944">
        <v>0.33</v>
      </c>
      <c r="R459" s="434"/>
      <c r="U459" s="365" t="s">
        <v>145</v>
      </c>
      <c r="V459" s="366" t="s">
        <v>495</v>
      </c>
      <c r="W459" s="366"/>
      <c r="X459" s="366" t="s">
        <v>496</v>
      </c>
      <c r="Y459" s="367" t="s">
        <v>487</v>
      </c>
    </row>
    <row r="460" spans="1:30" ht="15.75" customHeight="1" outlineLevel="1" thickBot="1">
      <c r="C460" s="507" t="str">
        <f t="shared" ca="1" si="234"/>
        <v>18</v>
      </c>
      <c r="D460" s="135" t="s">
        <v>731</v>
      </c>
      <c r="E460" s="1304" t="s">
        <v>2073</v>
      </c>
      <c r="F460" s="1305"/>
      <c r="G460" s="1305"/>
      <c r="H460" s="1306"/>
      <c r="I460" s="104" t="s">
        <v>11</v>
      </c>
      <c r="J460" s="264">
        <v>10</v>
      </c>
      <c r="K460" s="308">
        <f>meses_obra</f>
        <v>8</v>
      </c>
      <c r="L460" s="309"/>
      <c r="M460" s="310">
        <f t="shared" si="235"/>
        <v>1</v>
      </c>
      <c r="N460" s="308">
        <f t="shared" si="236"/>
        <v>8</v>
      </c>
      <c r="O460" s="421">
        <v>13.24</v>
      </c>
      <c r="P460" s="339">
        <f>J460*M460*N460*O460</f>
        <v>1059.2</v>
      </c>
      <c r="Q460" s="944">
        <v>0.33</v>
      </c>
      <c r="R460" s="434"/>
      <c r="U460" s="365" t="s">
        <v>145</v>
      </c>
      <c r="V460" s="366" t="s">
        <v>495</v>
      </c>
      <c r="W460" s="366"/>
      <c r="X460" s="366" t="s">
        <v>496</v>
      </c>
      <c r="Y460" s="367" t="s">
        <v>487</v>
      </c>
    </row>
    <row r="461" spans="1:30" ht="15.75" customHeight="1" outlineLevel="1" thickBot="1">
      <c r="C461" s="507" t="str">
        <f t="shared" ca="1" si="234"/>
        <v>19</v>
      </c>
      <c r="D461" s="135" t="s">
        <v>732</v>
      </c>
      <c r="E461" s="1304" t="s">
        <v>2077</v>
      </c>
      <c r="F461" s="1305"/>
      <c r="G461" s="1305"/>
      <c r="H461" s="1306"/>
      <c r="I461" s="104" t="s">
        <v>11</v>
      </c>
      <c r="J461" s="341">
        <v>10</v>
      </c>
      <c r="K461" s="411">
        <v>12</v>
      </c>
      <c r="L461" s="309"/>
      <c r="M461" s="310">
        <f t="shared" si="235"/>
        <v>1</v>
      </c>
      <c r="N461" s="1203">
        <f t="shared" si="236"/>
        <v>8</v>
      </c>
      <c r="O461" s="421">
        <v>1.73</v>
      </c>
      <c r="P461" s="339">
        <f>J461*M461*O461</f>
        <v>17.3</v>
      </c>
      <c r="Q461" s="337"/>
      <c r="R461"/>
      <c r="U461" s="1298" t="s">
        <v>823</v>
      </c>
      <c r="V461" s="1299"/>
      <c r="W461" s="1299"/>
      <c r="X461" s="1299"/>
      <c r="Y461" s="1300"/>
      <c r="AA461" s="1295" t="s">
        <v>2099</v>
      </c>
      <c r="AB461" s="1296"/>
      <c r="AC461" s="1296"/>
      <c r="AD461" s="1297"/>
    </row>
    <row r="462" spans="1:30" ht="15.75" customHeight="1" outlineLevel="1">
      <c r="C462" s="507" t="str">
        <f t="shared" ca="1" si="234"/>
        <v>20</v>
      </c>
      <c r="D462" s="135" t="s">
        <v>732</v>
      </c>
      <c r="E462" s="1304" t="s">
        <v>2074</v>
      </c>
      <c r="F462" s="1305"/>
      <c r="G462" s="1305"/>
      <c r="H462" s="1306"/>
      <c r="I462" s="104" t="s">
        <v>11</v>
      </c>
      <c r="J462" s="341">
        <v>10</v>
      </c>
      <c r="K462" s="411">
        <v>12</v>
      </c>
      <c r="L462" s="309"/>
      <c r="M462" s="310">
        <f t="shared" si="235"/>
        <v>1</v>
      </c>
      <c r="N462" s="308">
        <f t="shared" si="236"/>
        <v>8</v>
      </c>
      <c r="O462" s="421">
        <v>17.899999999999999</v>
      </c>
      <c r="P462" s="339">
        <f>J462*M462*O462</f>
        <v>179</v>
      </c>
      <c r="Q462" s="337"/>
      <c r="R462"/>
      <c r="U462" s="1298" t="s">
        <v>823</v>
      </c>
      <c r="V462" s="1299"/>
      <c r="W462" s="1299"/>
      <c r="X462" s="1299"/>
      <c r="Y462" s="1300"/>
      <c r="AA462" s="1237" t="s">
        <v>694</v>
      </c>
      <c r="AB462" s="369"/>
      <c r="AC462" s="44" t="s">
        <v>490</v>
      </c>
      <c r="AD462" s="1238"/>
    </row>
    <row r="463" spans="1:30" ht="15.75" customHeight="1" outlineLevel="1">
      <c r="C463" s="507" t="str">
        <f t="shared" ca="1" si="234"/>
        <v>21</v>
      </c>
      <c r="D463" s="135" t="s">
        <v>734</v>
      </c>
      <c r="E463" s="1304" t="s">
        <v>2075</v>
      </c>
      <c r="F463" s="1305"/>
      <c r="G463" s="1305"/>
      <c r="H463" s="1306"/>
      <c r="I463" s="104" t="s">
        <v>11</v>
      </c>
      <c r="J463" s="308">
        <v>0</v>
      </c>
      <c r="K463" s="308">
        <f>meses_obra</f>
        <v>8</v>
      </c>
      <c r="L463" s="309"/>
      <c r="M463" s="310">
        <f t="shared" si="235"/>
        <v>1</v>
      </c>
      <c r="N463" s="1202">
        <f t="shared" si="236"/>
        <v>8</v>
      </c>
      <c r="O463" s="421">
        <v>24</v>
      </c>
      <c r="P463" s="339">
        <f>J463*M463*N463*O463</f>
        <v>0</v>
      </c>
      <c r="Q463" s="337"/>
      <c r="U463" s="368" t="s">
        <v>695</v>
      </c>
      <c r="V463" s="369">
        <v>85</v>
      </c>
      <c r="W463" s="44" t="s">
        <v>491</v>
      </c>
      <c r="X463" s="622">
        <v>12</v>
      </c>
      <c r="Y463" s="371">
        <f t="shared" si="237"/>
        <v>7.083333333333333</v>
      </c>
      <c r="AA463" s="1237" t="s">
        <v>695</v>
      </c>
      <c r="AB463" s="369">
        <v>233</v>
      </c>
      <c r="AC463" s="44" t="s">
        <v>491</v>
      </c>
      <c r="AD463" s="1239">
        <v>6</v>
      </c>
    </row>
    <row r="464" spans="1:30" ht="15.75" customHeight="1" outlineLevel="1">
      <c r="C464" s="507"/>
      <c r="D464" s="349"/>
      <c r="E464" s="112"/>
      <c r="F464" s="113"/>
      <c r="G464" s="113"/>
      <c r="H464" s="116"/>
      <c r="I464" s="113"/>
      <c r="J464" s="113"/>
      <c r="K464" s="113"/>
      <c r="L464" s="113"/>
      <c r="M464" s="350"/>
      <c r="N464" s="113"/>
      <c r="O464" s="351"/>
      <c r="P464" s="142"/>
      <c r="Q464" s="337"/>
      <c r="U464" s="368" t="s">
        <v>1572</v>
      </c>
      <c r="V464" s="369">
        <v>1.07</v>
      </c>
      <c r="W464" s="44" t="s">
        <v>491</v>
      </c>
      <c r="X464" s="622">
        <v>0.25</v>
      </c>
      <c r="Y464" s="371">
        <f>IFERROR(V464/X464,0)</f>
        <v>4.28</v>
      </c>
      <c r="AA464" s="1237" t="s">
        <v>1572</v>
      </c>
      <c r="AB464" s="369">
        <v>1.2</v>
      </c>
      <c r="AC464" s="44" t="s">
        <v>491</v>
      </c>
      <c r="AD464" s="1239">
        <v>0.25</v>
      </c>
    </row>
    <row r="465" spans="1:30" s="49" customFormat="1" ht="15.75" customHeight="1" outlineLevel="1">
      <c r="A465" s="322"/>
      <c r="B465" s="322"/>
      <c r="C465" s="507" t="str">
        <f>D465</f>
        <v>14</v>
      </c>
      <c r="D465" s="215" t="s">
        <v>553</v>
      </c>
      <c r="E465" s="227" t="s">
        <v>465</v>
      </c>
      <c r="F465" s="227"/>
      <c r="G465" s="227"/>
      <c r="H465" s="227"/>
      <c r="I465" s="228" t="s">
        <v>11</v>
      </c>
      <c r="J465" s="228" t="s">
        <v>154</v>
      </c>
      <c r="K465" s="231" t="s">
        <v>155</v>
      </c>
      <c r="L465" s="219" t="s">
        <v>795</v>
      </c>
      <c r="M465" s="230" t="s">
        <v>15</v>
      </c>
      <c r="N465" s="231" t="s">
        <v>142</v>
      </c>
      <c r="O465" s="336"/>
      <c r="P465" s="314">
        <f>SUM(P466:P480)</f>
        <v>5847.666666666667</v>
      </c>
      <c r="Q465" s="56">
        <f ca="1">$P$465/custo_direto</f>
        <v>1.0260959447571734E-3</v>
      </c>
      <c r="S465" s="36"/>
      <c r="U465" s="368" t="s">
        <v>820</v>
      </c>
      <c r="V465" s="372">
        <v>0</v>
      </c>
      <c r="W465" s="44" t="s">
        <v>491</v>
      </c>
      <c r="X465" s="622" t="s">
        <v>142</v>
      </c>
      <c r="Y465" s="371">
        <f t="shared" si="237"/>
        <v>0</v>
      </c>
      <c r="AA465" s="1240" t="s">
        <v>820</v>
      </c>
      <c r="AB465" s="372">
        <v>0</v>
      </c>
      <c r="AC465" s="44" t="s">
        <v>491</v>
      </c>
      <c r="AD465" s="1239" t="s">
        <v>142</v>
      </c>
    </row>
    <row r="466" spans="1:30" ht="15.75" customHeight="1" outlineLevel="1">
      <c r="C466" s="507" t="str">
        <f t="shared" ref="C466:C479" ca="1" si="238">IF(OFFSET(C466,-1,0)&gt;="01",CONCATENATE(,OFFSET(C466,-1,0)+1),CONCATENATE((SUM(OFFSET(C466,-1,0)+1-(OFFSET(C466,-1,0))))))</f>
        <v>15</v>
      </c>
      <c r="D466" s="135" t="s">
        <v>735</v>
      </c>
      <c r="E466" s="1311" t="s">
        <v>499</v>
      </c>
      <c r="F466" s="1312"/>
      <c r="G466" s="1312"/>
      <c r="H466" s="1313"/>
      <c r="I466" s="355" t="s">
        <v>11</v>
      </c>
      <c r="J466" s="356">
        <v>10</v>
      </c>
      <c r="K466" s="308">
        <f t="shared" ref="K466:L479" si="239">meses_obra</f>
        <v>8</v>
      </c>
      <c r="L466" s="309">
        <f t="shared" si="239"/>
        <v>8</v>
      </c>
      <c r="M466" s="310">
        <f t="shared" ref="M466:M476" si="240">IFERROR(IF((L466/K466)=0,100%,L466/K466),100%)</f>
        <v>1</v>
      </c>
      <c r="N466" s="338" t="s">
        <v>142</v>
      </c>
      <c r="O466" s="426">
        <v>80</v>
      </c>
      <c r="P466" s="357">
        <f t="shared" ref="P466:P479" si="241">J466*M466*O466</f>
        <v>800</v>
      </c>
      <c r="Q466" s="337"/>
      <c r="U466" s="368" t="s">
        <v>818</v>
      </c>
      <c r="V466" s="372">
        <v>0</v>
      </c>
      <c r="W466" s="44" t="s">
        <v>491</v>
      </c>
      <c r="X466" s="622">
        <v>3</v>
      </c>
      <c r="Y466" s="371">
        <f t="shared" si="237"/>
        <v>0</v>
      </c>
      <c r="AA466" s="1237" t="s">
        <v>818</v>
      </c>
      <c r="AB466" s="372">
        <v>28</v>
      </c>
      <c r="AC466" s="44" t="s">
        <v>491</v>
      </c>
      <c r="AD466" s="1239">
        <v>6</v>
      </c>
    </row>
    <row r="467" spans="1:30" ht="15.75" customHeight="1" outlineLevel="1">
      <c r="C467" s="507" t="str">
        <f t="shared" ca="1" si="238"/>
        <v>16</v>
      </c>
      <c r="D467" s="135" t="s">
        <v>736</v>
      </c>
      <c r="E467" s="1308" t="s">
        <v>501</v>
      </c>
      <c r="F467" s="1309"/>
      <c r="G467" s="1309"/>
      <c r="H467" s="1310"/>
      <c r="I467" s="104" t="s">
        <v>11</v>
      </c>
      <c r="J467" s="341">
        <v>1</v>
      </c>
      <c r="K467" s="308">
        <f t="shared" si="239"/>
        <v>8</v>
      </c>
      <c r="L467" s="309">
        <f t="shared" si="239"/>
        <v>8</v>
      </c>
      <c r="M467" s="310">
        <f t="shared" si="240"/>
        <v>1</v>
      </c>
      <c r="N467" s="338" t="s">
        <v>142</v>
      </c>
      <c r="O467" s="421">
        <v>261</v>
      </c>
      <c r="P467" s="339">
        <f t="shared" si="241"/>
        <v>261</v>
      </c>
      <c r="Q467" s="337"/>
      <c r="U467" s="368" t="s">
        <v>696</v>
      </c>
      <c r="V467" s="372">
        <v>2.8</v>
      </c>
      <c r="W467" s="44" t="s">
        <v>491</v>
      </c>
      <c r="X467" s="622">
        <v>2</v>
      </c>
      <c r="Y467" s="371">
        <f t="shared" si="237"/>
        <v>1.4</v>
      </c>
      <c r="AA467" s="1237" t="s">
        <v>696</v>
      </c>
      <c r="AB467" s="372">
        <v>3.3</v>
      </c>
      <c r="AC467" s="44" t="s">
        <v>491</v>
      </c>
      <c r="AD467" s="1239">
        <v>2</v>
      </c>
    </row>
    <row r="468" spans="1:30" ht="15.75" customHeight="1" outlineLevel="1">
      <c r="C468" s="507" t="str">
        <f t="shared" ca="1" si="238"/>
        <v>17</v>
      </c>
      <c r="D468" s="135" t="s">
        <v>737</v>
      </c>
      <c r="E468" s="1308" t="s">
        <v>1578</v>
      </c>
      <c r="F468" s="1309"/>
      <c r="G468" s="1309"/>
      <c r="H468" s="1310"/>
      <c r="I468" s="104" t="s">
        <v>11</v>
      </c>
      <c r="J468" s="341">
        <f t="shared" ref="J468:J475" si="242">ROUNDUP(((efetivo_médio_mes))*(1-$F$118),0)</f>
        <v>28</v>
      </c>
      <c r="K468" s="411">
        <v>12</v>
      </c>
      <c r="L468" s="309">
        <f t="shared" ref="L468:L476" si="243">meses_obra</f>
        <v>8</v>
      </c>
      <c r="M468" s="310">
        <f>IFERROR(IF((L468/K468)=0,100%,L468/K468),100%)</f>
        <v>0.66666666666666663</v>
      </c>
      <c r="N468" s="338" t="s">
        <v>142</v>
      </c>
      <c r="O468" s="421">
        <v>40</v>
      </c>
      <c r="P468" s="339">
        <f>J468*M468*O468</f>
        <v>746.66666666666652</v>
      </c>
      <c r="Q468" s="337"/>
      <c r="U468" s="368" t="s">
        <v>697</v>
      </c>
      <c r="V468" s="372">
        <v>9.26</v>
      </c>
      <c r="W468" s="44" t="s">
        <v>491</v>
      </c>
      <c r="X468" s="622">
        <v>0.25</v>
      </c>
      <c r="Y468" s="371">
        <f t="shared" si="237"/>
        <v>37.04</v>
      </c>
      <c r="AA468" s="1237" t="s">
        <v>697</v>
      </c>
      <c r="AB468" s="372">
        <v>12.6</v>
      </c>
      <c r="AC468" s="44" t="s">
        <v>491</v>
      </c>
      <c r="AD468" s="1239">
        <v>2</v>
      </c>
    </row>
    <row r="469" spans="1:30" ht="15.75" customHeight="1" outlineLevel="1">
      <c r="C469" s="507" t="str">
        <f t="shared" ca="1" si="238"/>
        <v>18</v>
      </c>
      <c r="D469" s="135" t="s">
        <v>738</v>
      </c>
      <c r="E469" s="1304" t="s">
        <v>1574</v>
      </c>
      <c r="F469" s="1305"/>
      <c r="G469" s="1305"/>
      <c r="H469" s="1306"/>
      <c r="I469" s="104" t="s">
        <v>11</v>
      </c>
      <c r="J469" s="341">
        <f t="shared" si="242"/>
        <v>28</v>
      </c>
      <c r="K469" s="411">
        <v>12</v>
      </c>
      <c r="L469" s="309">
        <f t="shared" si="243"/>
        <v>8</v>
      </c>
      <c r="M469" s="310">
        <f t="shared" si="240"/>
        <v>0.66666666666666663</v>
      </c>
      <c r="N469" s="338" t="s">
        <v>142</v>
      </c>
      <c r="O469" s="421">
        <v>30</v>
      </c>
      <c r="P469" s="339">
        <f t="shared" si="241"/>
        <v>559.99999999999989</v>
      </c>
      <c r="Q469" s="337"/>
      <c r="U469" s="368" t="s">
        <v>825</v>
      </c>
      <c r="V469" s="372">
        <v>0</v>
      </c>
      <c r="W469" s="44" t="s">
        <v>491</v>
      </c>
      <c r="X469" s="622" t="s">
        <v>142</v>
      </c>
      <c r="Y469" s="371">
        <f t="shared" si="237"/>
        <v>0</v>
      </c>
      <c r="AA469" s="1237" t="s">
        <v>825</v>
      </c>
      <c r="AB469" s="372">
        <v>0</v>
      </c>
      <c r="AC469" s="44" t="s">
        <v>491</v>
      </c>
      <c r="AD469" s="1239" t="s">
        <v>142</v>
      </c>
    </row>
    <row r="470" spans="1:30" ht="15.75" customHeight="1" outlineLevel="1">
      <c r="C470" s="507" t="str">
        <f t="shared" ca="1" si="238"/>
        <v>19</v>
      </c>
      <c r="D470" s="135" t="s">
        <v>739</v>
      </c>
      <c r="E470" s="1304" t="s">
        <v>1575</v>
      </c>
      <c r="F470" s="1305"/>
      <c r="G470" s="1305"/>
      <c r="H470" s="1306"/>
      <c r="I470" s="104" t="s">
        <v>11</v>
      </c>
      <c r="J470" s="341">
        <f t="shared" si="242"/>
        <v>28</v>
      </c>
      <c r="K470" s="411">
        <v>12</v>
      </c>
      <c r="L470" s="309">
        <f t="shared" si="243"/>
        <v>8</v>
      </c>
      <c r="M470" s="310">
        <f t="shared" si="240"/>
        <v>0.66666666666666663</v>
      </c>
      <c r="N470" s="338" t="s">
        <v>142</v>
      </c>
      <c r="O470" s="421">
        <v>45</v>
      </c>
      <c r="P470" s="339">
        <f t="shared" si="241"/>
        <v>839.99999999999989</v>
      </c>
      <c r="Q470" s="337"/>
      <c r="U470" s="368" t="s">
        <v>1573</v>
      </c>
      <c r="V470" s="372">
        <v>7.3</v>
      </c>
      <c r="W470" s="44" t="s">
        <v>491</v>
      </c>
      <c r="X470" s="622" t="s">
        <v>142</v>
      </c>
      <c r="Y470" s="371">
        <f t="shared" si="237"/>
        <v>0</v>
      </c>
      <c r="AA470" s="1237" t="s">
        <v>1573</v>
      </c>
      <c r="AB470" s="372">
        <v>17.8</v>
      </c>
      <c r="AC470" s="44" t="s">
        <v>491</v>
      </c>
      <c r="AD470" s="1239">
        <v>2</v>
      </c>
    </row>
    <row r="471" spans="1:30" ht="15.75" customHeight="1" outlineLevel="1">
      <c r="C471" s="507" t="str">
        <f t="shared" ca="1" si="238"/>
        <v>20</v>
      </c>
      <c r="D471" s="135" t="s">
        <v>740</v>
      </c>
      <c r="E471" s="1304" t="s">
        <v>1576</v>
      </c>
      <c r="F471" s="1305"/>
      <c r="G471" s="1305"/>
      <c r="H471" s="1306"/>
      <c r="I471" s="104" t="s">
        <v>11</v>
      </c>
      <c r="J471" s="341">
        <f t="shared" si="242"/>
        <v>28</v>
      </c>
      <c r="K471" s="411">
        <v>12</v>
      </c>
      <c r="L471" s="309">
        <f t="shared" si="243"/>
        <v>8</v>
      </c>
      <c r="M471" s="310">
        <f t="shared" si="240"/>
        <v>0.66666666666666663</v>
      </c>
      <c r="N471" s="338" t="s">
        <v>142</v>
      </c>
      <c r="O471" s="421">
        <v>40</v>
      </c>
      <c r="P471" s="339">
        <f t="shared" si="241"/>
        <v>746.66666666666652</v>
      </c>
      <c r="Q471" s="337"/>
      <c r="U471" s="368" t="s">
        <v>824</v>
      </c>
      <c r="V471" s="372">
        <v>2.5</v>
      </c>
      <c r="W471" s="44" t="s">
        <v>491</v>
      </c>
      <c r="X471" s="622">
        <v>7.0000000000000007E-2</v>
      </c>
      <c r="Y471" s="371">
        <f t="shared" si="237"/>
        <v>35.714285714285708</v>
      </c>
      <c r="AA471" s="1237" t="s">
        <v>824</v>
      </c>
      <c r="AB471" s="372">
        <v>2.5</v>
      </c>
      <c r="AC471" s="44" t="s">
        <v>491</v>
      </c>
      <c r="AD471" s="1239">
        <v>2</v>
      </c>
    </row>
    <row r="472" spans="1:30" ht="15.75" customHeight="1" outlineLevel="1">
      <c r="C472" s="507" t="str">
        <f t="shared" ca="1" si="238"/>
        <v>21</v>
      </c>
      <c r="D472" s="135" t="s">
        <v>741</v>
      </c>
      <c r="E472" s="1304" t="s">
        <v>1577</v>
      </c>
      <c r="F472" s="1305"/>
      <c r="G472" s="1305"/>
      <c r="H472" s="1306"/>
      <c r="I472" s="104" t="s">
        <v>11</v>
      </c>
      <c r="J472" s="341">
        <f t="shared" si="242"/>
        <v>28</v>
      </c>
      <c r="K472" s="411">
        <v>12</v>
      </c>
      <c r="L472" s="309">
        <f t="shared" si="243"/>
        <v>8</v>
      </c>
      <c r="M472" s="310">
        <f t="shared" ref="M472:M475" si="244">IFERROR(IF((L472/K472)=0,100%,L472/K472),100%)</f>
        <v>0.66666666666666663</v>
      </c>
      <c r="N472" s="338" t="s">
        <v>142</v>
      </c>
      <c r="O472" s="421">
        <v>40</v>
      </c>
      <c r="P472" s="339">
        <f t="shared" si="241"/>
        <v>746.66666666666652</v>
      </c>
      <c r="Q472" s="337"/>
      <c r="U472" s="368" t="s">
        <v>2038</v>
      </c>
      <c r="V472" s="372">
        <v>0</v>
      </c>
      <c r="W472" s="44" t="s">
        <v>491</v>
      </c>
      <c r="X472" s="622" t="s">
        <v>142</v>
      </c>
      <c r="Y472" s="371">
        <f t="shared" si="237"/>
        <v>0</v>
      </c>
      <c r="AA472" s="1237" t="s">
        <v>2038</v>
      </c>
      <c r="AB472" s="372">
        <v>0</v>
      </c>
      <c r="AC472" s="44" t="s">
        <v>491</v>
      </c>
      <c r="AD472" s="1239" t="s">
        <v>142</v>
      </c>
    </row>
    <row r="473" spans="1:30" ht="15.75" customHeight="1" outlineLevel="1">
      <c r="C473" s="507" t="str">
        <f t="shared" ca="1" si="238"/>
        <v>22</v>
      </c>
      <c r="D473" s="135" t="s">
        <v>800</v>
      </c>
      <c r="E473" s="1304" t="s">
        <v>2004</v>
      </c>
      <c r="F473" s="1305"/>
      <c r="G473" s="1305"/>
      <c r="H473" s="1306"/>
      <c r="I473" s="104" t="s">
        <v>11</v>
      </c>
      <c r="J473" s="341">
        <f t="shared" si="242"/>
        <v>28</v>
      </c>
      <c r="K473" s="411">
        <v>12</v>
      </c>
      <c r="L473" s="309">
        <f t="shared" si="243"/>
        <v>8</v>
      </c>
      <c r="M473" s="310">
        <f t="shared" ref="M473" si="245">IFERROR(IF((L473/K473)=0,100%,L473/K473),100%)</f>
        <v>0.66666666666666663</v>
      </c>
      <c r="N473" s="338" t="s">
        <v>142</v>
      </c>
      <c r="O473" s="421">
        <v>10</v>
      </c>
      <c r="P473" s="339">
        <f t="shared" ref="P473" si="246">J473*M473*O473</f>
        <v>186.66666666666663</v>
      </c>
      <c r="Q473" s="337"/>
      <c r="U473" s="368" t="s">
        <v>2039</v>
      </c>
      <c r="V473" s="372">
        <v>0</v>
      </c>
      <c r="W473" s="44" t="s">
        <v>491</v>
      </c>
      <c r="X473" s="622" t="s">
        <v>142</v>
      </c>
      <c r="Y473" s="371">
        <f t="shared" ref="Y473" si="247">IFERROR(V473/X473,0)</f>
        <v>0</v>
      </c>
      <c r="AA473" s="1237" t="s">
        <v>2039</v>
      </c>
      <c r="AB473" s="372">
        <v>6.9</v>
      </c>
      <c r="AC473" s="44" t="s">
        <v>491</v>
      </c>
      <c r="AD473" s="1239">
        <v>3</v>
      </c>
    </row>
    <row r="474" spans="1:30" ht="15.75" customHeight="1" outlineLevel="1">
      <c r="C474" s="507" t="str">
        <f t="shared" ca="1" si="238"/>
        <v>23</v>
      </c>
      <c r="D474" s="135" t="s">
        <v>801</v>
      </c>
      <c r="E474" s="1304" t="s">
        <v>2005</v>
      </c>
      <c r="F474" s="1305"/>
      <c r="G474" s="1305"/>
      <c r="H474" s="1306"/>
      <c r="I474" s="104" t="s">
        <v>11</v>
      </c>
      <c r="J474" s="341">
        <f t="shared" si="242"/>
        <v>28</v>
      </c>
      <c r="K474" s="411">
        <v>12</v>
      </c>
      <c r="L474" s="309">
        <f t="shared" si="243"/>
        <v>8</v>
      </c>
      <c r="M474" s="310">
        <f t="shared" si="244"/>
        <v>0.66666666666666663</v>
      </c>
      <c r="N474" s="338" t="s">
        <v>142</v>
      </c>
      <c r="O474" s="421">
        <v>10</v>
      </c>
      <c r="P474" s="339">
        <f t="shared" si="241"/>
        <v>186.66666666666663</v>
      </c>
      <c r="Q474" s="337"/>
      <c r="U474" s="368" t="s">
        <v>698</v>
      </c>
      <c r="V474" s="372">
        <v>0</v>
      </c>
      <c r="W474" s="44" t="s">
        <v>491</v>
      </c>
      <c r="X474" s="622" t="s">
        <v>142</v>
      </c>
      <c r="Y474" s="371">
        <f t="shared" si="237"/>
        <v>0</v>
      </c>
      <c r="AA474" s="1237" t="s">
        <v>698</v>
      </c>
      <c r="AB474" s="372">
        <v>3.2</v>
      </c>
      <c r="AC474" s="44" t="s">
        <v>491</v>
      </c>
      <c r="AD474" s="1239">
        <v>2</v>
      </c>
    </row>
    <row r="475" spans="1:30" ht="15.75" customHeight="1" outlineLevel="1">
      <c r="C475" s="507" t="str">
        <f t="shared" ca="1" si="238"/>
        <v>24</v>
      </c>
      <c r="D475" s="135" t="s">
        <v>1767</v>
      </c>
      <c r="E475" s="1304" t="s">
        <v>2006</v>
      </c>
      <c r="F475" s="1305"/>
      <c r="G475" s="1305"/>
      <c r="H475" s="1306"/>
      <c r="I475" s="104" t="s">
        <v>11</v>
      </c>
      <c r="J475" s="341">
        <f t="shared" si="242"/>
        <v>28</v>
      </c>
      <c r="K475" s="411">
        <v>12</v>
      </c>
      <c r="L475" s="309">
        <f t="shared" si="243"/>
        <v>8</v>
      </c>
      <c r="M475" s="310">
        <f t="shared" si="244"/>
        <v>0.66666666666666663</v>
      </c>
      <c r="N475" s="338" t="s">
        <v>142</v>
      </c>
      <c r="O475" s="421">
        <v>20</v>
      </c>
      <c r="P475" s="339">
        <f t="shared" si="241"/>
        <v>373.33333333333326</v>
      </c>
      <c r="Q475" s="337"/>
      <c r="U475" s="368" t="s">
        <v>698</v>
      </c>
      <c r="V475" s="372">
        <v>0</v>
      </c>
      <c r="W475" s="44" t="s">
        <v>491</v>
      </c>
      <c r="X475" s="622" t="s">
        <v>142</v>
      </c>
      <c r="Y475" s="371">
        <f t="shared" si="237"/>
        <v>0</v>
      </c>
      <c r="AA475" s="1237" t="s">
        <v>698</v>
      </c>
      <c r="AB475" s="372">
        <v>0</v>
      </c>
      <c r="AC475" s="44" t="s">
        <v>491</v>
      </c>
      <c r="AD475" s="1239" t="s">
        <v>142</v>
      </c>
    </row>
    <row r="476" spans="1:30" ht="15.75" customHeight="1" outlineLevel="1">
      <c r="C476" s="507" t="str">
        <f t="shared" ca="1" si="238"/>
        <v>25</v>
      </c>
      <c r="D476" s="135" t="s">
        <v>1768</v>
      </c>
      <c r="E476" s="1304" t="s">
        <v>2078</v>
      </c>
      <c r="F476" s="1305"/>
      <c r="G476" s="1305"/>
      <c r="H476" s="1306"/>
      <c r="I476" s="104" t="s">
        <v>11</v>
      </c>
      <c r="J476" s="341">
        <v>0</v>
      </c>
      <c r="K476" s="411">
        <v>12</v>
      </c>
      <c r="L476" s="309">
        <f t="shared" si="243"/>
        <v>8</v>
      </c>
      <c r="M476" s="310">
        <f t="shared" si="240"/>
        <v>0.66666666666666663</v>
      </c>
      <c r="N476" s="338" t="s">
        <v>142</v>
      </c>
      <c r="O476" s="421">
        <v>43.05</v>
      </c>
      <c r="P476" s="339">
        <f t="shared" ref="P476" si="248">J476*M476*O476</f>
        <v>0</v>
      </c>
      <c r="Q476" s="337"/>
      <c r="U476" s="368" t="s">
        <v>698</v>
      </c>
      <c r="V476" s="372">
        <v>0</v>
      </c>
      <c r="W476" s="44" t="s">
        <v>491</v>
      </c>
      <c r="X476" s="622" t="s">
        <v>142</v>
      </c>
      <c r="Y476" s="371">
        <f t="shared" ref="Y476" si="249">IFERROR(V476/X476,0)</f>
        <v>0</v>
      </c>
      <c r="AA476" s="1237" t="s">
        <v>698</v>
      </c>
      <c r="AB476" s="372">
        <v>0</v>
      </c>
      <c r="AC476" s="44" t="s">
        <v>491</v>
      </c>
      <c r="AD476" s="1239" t="s">
        <v>142</v>
      </c>
    </row>
    <row r="477" spans="1:30" ht="15.75" customHeight="1" outlineLevel="1">
      <c r="C477" s="507" t="str">
        <f t="shared" ca="1" si="238"/>
        <v>26</v>
      </c>
      <c r="D477" s="135" t="s">
        <v>1769</v>
      </c>
      <c r="E477" s="1304" t="s">
        <v>316</v>
      </c>
      <c r="F477" s="1305"/>
      <c r="G477" s="1305"/>
      <c r="H477" s="1306"/>
      <c r="I477" s="104" t="s">
        <v>11</v>
      </c>
      <c r="J477" s="341">
        <v>1</v>
      </c>
      <c r="K477" s="308">
        <f t="shared" si="239"/>
        <v>8</v>
      </c>
      <c r="L477" s="309"/>
      <c r="M477" s="310">
        <f t="shared" ref="M477:M479" si="250">IFERROR(IF((L477/K477)=0,100%,L477/K477),100%)</f>
        <v>1</v>
      </c>
      <c r="N477" s="338" t="s">
        <v>142</v>
      </c>
      <c r="O477" s="421">
        <v>400</v>
      </c>
      <c r="P477" s="339">
        <f t="shared" si="241"/>
        <v>400</v>
      </c>
      <c r="Q477" s="337"/>
      <c r="U477" s="368" t="s">
        <v>698</v>
      </c>
      <c r="V477" s="372">
        <v>0</v>
      </c>
      <c r="W477" s="44" t="s">
        <v>491</v>
      </c>
      <c r="X477" s="622" t="s">
        <v>142</v>
      </c>
      <c r="Y477" s="371">
        <f t="shared" si="237"/>
        <v>0</v>
      </c>
      <c r="AA477" s="1237" t="s">
        <v>698</v>
      </c>
      <c r="AB477" s="372">
        <v>0</v>
      </c>
      <c r="AC477" s="44" t="s">
        <v>491</v>
      </c>
      <c r="AD477" s="1239" t="s">
        <v>142</v>
      </c>
    </row>
    <row r="478" spans="1:30" ht="15.75" customHeight="1" outlineLevel="1">
      <c r="C478" s="507" t="str">
        <f t="shared" ca="1" si="238"/>
        <v>27</v>
      </c>
      <c r="D478" s="135" t="s">
        <v>1770</v>
      </c>
      <c r="E478" s="1304" t="s">
        <v>318</v>
      </c>
      <c r="F478" s="1305"/>
      <c r="G478" s="1305"/>
      <c r="H478" s="1306"/>
      <c r="I478" s="104" t="s">
        <v>11</v>
      </c>
      <c r="J478" s="341">
        <v>0</v>
      </c>
      <c r="K478" s="308">
        <f t="shared" si="239"/>
        <v>8</v>
      </c>
      <c r="L478" s="309"/>
      <c r="M478" s="310">
        <f t="shared" si="250"/>
        <v>1</v>
      </c>
      <c r="N478" s="338" t="s">
        <v>142</v>
      </c>
      <c r="O478" s="421">
        <v>800</v>
      </c>
      <c r="P478" s="339">
        <f t="shared" si="241"/>
        <v>0</v>
      </c>
      <c r="Q478" s="337"/>
      <c r="U478" s="368" t="s">
        <v>819</v>
      </c>
      <c r="V478" s="372">
        <v>0</v>
      </c>
      <c r="W478" s="44" t="s">
        <v>491</v>
      </c>
      <c r="X478" s="622" t="s">
        <v>142</v>
      </c>
      <c r="Y478" s="371">
        <f t="shared" si="237"/>
        <v>0</v>
      </c>
      <c r="AA478" s="1237" t="s">
        <v>819</v>
      </c>
      <c r="AB478" s="372">
        <v>0</v>
      </c>
      <c r="AC478" s="44" t="s">
        <v>491</v>
      </c>
      <c r="AD478" s="1239" t="s">
        <v>142</v>
      </c>
    </row>
    <row r="479" spans="1:30" ht="15.75" customHeight="1" outlineLevel="1">
      <c r="C479" s="507" t="str">
        <f t="shared" ca="1" si="238"/>
        <v>28</v>
      </c>
      <c r="D479" s="135" t="s">
        <v>1771</v>
      </c>
      <c r="E479" s="1304" t="s">
        <v>317</v>
      </c>
      <c r="F479" s="1305"/>
      <c r="G479" s="1305"/>
      <c r="H479" s="1306"/>
      <c r="I479" s="104" t="s">
        <v>11</v>
      </c>
      <c r="J479" s="341">
        <v>0</v>
      </c>
      <c r="K479" s="308">
        <f t="shared" si="239"/>
        <v>8</v>
      </c>
      <c r="L479" s="309"/>
      <c r="M479" s="310">
        <f t="shared" si="250"/>
        <v>1</v>
      </c>
      <c r="N479" s="338" t="s">
        <v>142</v>
      </c>
      <c r="O479" s="421">
        <v>250</v>
      </c>
      <c r="P479" s="339">
        <f t="shared" si="241"/>
        <v>0</v>
      </c>
      <c r="Q479" s="337"/>
      <c r="U479" s="368" t="s">
        <v>821</v>
      </c>
      <c r="V479" s="372">
        <v>0</v>
      </c>
      <c r="W479" s="44" t="s">
        <v>491</v>
      </c>
      <c r="X479" s="622" t="s">
        <v>142</v>
      </c>
      <c r="Y479" s="371">
        <f t="shared" si="237"/>
        <v>0</v>
      </c>
      <c r="AA479" s="1237" t="s">
        <v>821</v>
      </c>
      <c r="AB479" s="372">
        <v>0</v>
      </c>
      <c r="AC479" s="44" t="s">
        <v>491</v>
      </c>
      <c r="AD479" s="1239" t="s">
        <v>142</v>
      </c>
    </row>
    <row r="480" spans="1:30" ht="15.75" customHeight="1" outlineLevel="1">
      <c r="C480" s="507"/>
      <c r="D480" s="349"/>
      <c r="E480" s="112"/>
      <c r="F480" s="113"/>
      <c r="G480" s="113"/>
      <c r="H480" s="116"/>
      <c r="I480" s="113"/>
      <c r="J480" s="113"/>
      <c r="K480" s="113"/>
      <c r="L480" s="113"/>
      <c r="M480" s="350"/>
      <c r="N480" s="113"/>
      <c r="O480" s="351"/>
      <c r="P480" s="142"/>
      <c r="Q480" s="337"/>
      <c r="U480" s="368" t="s">
        <v>827</v>
      </c>
      <c r="V480" s="372">
        <v>0</v>
      </c>
      <c r="W480" s="44" t="s">
        <v>491</v>
      </c>
      <c r="X480" s="622" t="s">
        <v>142</v>
      </c>
      <c r="Y480" s="371">
        <f t="shared" si="237"/>
        <v>0</v>
      </c>
      <c r="AA480" s="1237" t="s">
        <v>827</v>
      </c>
      <c r="AB480" s="372">
        <v>28.35</v>
      </c>
      <c r="AC480" s="44" t="s">
        <v>491</v>
      </c>
      <c r="AD480" s="1239">
        <v>6</v>
      </c>
    </row>
    <row r="481" spans="1:30" s="187" customFormat="1" ht="15.75" customHeight="1">
      <c r="A481" s="957"/>
      <c r="B481" s="957"/>
      <c r="C481" s="957"/>
      <c r="D481" s="1340" t="s">
        <v>632</v>
      </c>
      <c r="E481" s="1323" t="s">
        <v>836</v>
      </c>
      <c r="F481" s="1324"/>
      <c r="G481" s="1324"/>
      <c r="H481" s="1325"/>
      <c r="I481" s="1329" t="s">
        <v>780</v>
      </c>
      <c r="J481" s="1329" t="s">
        <v>781</v>
      </c>
      <c r="K481" s="1329" t="s">
        <v>782</v>
      </c>
      <c r="L481" s="1329" t="s">
        <v>799</v>
      </c>
      <c r="M481" s="1329" t="s">
        <v>15</v>
      </c>
      <c r="N481" s="1329" t="s">
        <v>783</v>
      </c>
      <c r="O481" s="1329" t="s">
        <v>784</v>
      </c>
      <c r="P481" s="1344" t="s">
        <v>1</v>
      </c>
      <c r="Q481" s="1381">
        <f>$P$483/meses_obra</f>
        <v>0</v>
      </c>
      <c r="U481" s="368" t="s">
        <v>488</v>
      </c>
      <c r="V481" s="372">
        <v>0.8</v>
      </c>
      <c r="W481" s="44" t="s">
        <v>492</v>
      </c>
      <c r="X481" s="622">
        <v>2</v>
      </c>
      <c r="Y481" s="371">
        <f t="shared" si="237"/>
        <v>0.4</v>
      </c>
      <c r="AA481" s="1241" t="s">
        <v>488</v>
      </c>
      <c r="AB481" s="372">
        <v>0.9</v>
      </c>
      <c r="AC481" s="44" t="s">
        <v>492</v>
      </c>
      <c r="AD481" s="1239">
        <v>1</v>
      </c>
    </row>
    <row r="482" spans="1:30" s="187" customFormat="1" ht="15.75" customHeight="1">
      <c r="A482" s="957"/>
      <c r="B482" s="957"/>
      <c r="C482" s="958"/>
      <c r="D482" s="1341"/>
      <c r="E482" s="1326"/>
      <c r="F482" s="1327"/>
      <c r="G482" s="1327"/>
      <c r="H482" s="1328"/>
      <c r="I482" s="1330"/>
      <c r="J482" s="1330"/>
      <c r="K482" s="1330"/>
      <c r="L482" s="1330"/>
      <c r="M482" s="1330"/>
      <c r="N482" s="1330"/>
      <c r="O482" s="1330"/>
      <c r="P482" s="1345"/>
      <c r="Q482" s="1382"/>
      <c r="R482" s="299"/>
      <c r="U482" s="373" t="s">
        <v>817</v>
      </c>
      <c r="V482" s="372">
        <v>9.75</v>
      </c>
      <c r="W482" s="44" t="s">
        <v>493</v>
      </c>
      <c r="X482" s="622">
        <v>1</v>
      </c>
      <c r="Y482" s="371">
        <f t="shared" si="237"/>
        <v>9.75</v>
      </c>
      <c r="Z482" s="299"/>
      <c r="AA482" s="1242" t="s">
        <v>817</v>
      </c>
      <c r="AB482" s="372">
        <v>16.899999999999999</v>
      </c>
      <c r="AC482" s="44" t="s">
        <v>493</v>
      </c>
      <c r="AD482" s="1239">
        <v>2</v>
      </c>
    </row>
    <row r="483" spans="1:30" s="187" customFormat="1" ht="15.75" customHeight="1" outlineLevel="1">
      <c r="A483" s="957"/>
      <c r="B483" s="957"/>
      <c r="C483" s="958"/>
      <c r="D483" s="215"/>
      <c r="E483" s="227" t="s">
        <v>837</v>
      </c>
      <c r="F483" s="227"/>
      <c r="G483" s="227"/>
      <c r="H483" s="227"/>
      <c r="I483" s="228"/>
      <c r="J483" s="228"/>
      <c r="K483" s="231"/>
      <c r="L483" s="219"/>
      <c r="M483" s="230"/>
      <c r="N483" s="231"/>
      <c r="O483" s="336" t="s">
        <v>366</v>
      </c>
      <c r="P483" s="314">
        <f>mobilização_terceiros_valor+controle_técnológico_valor+serviços_técnicos_valor+projetos_valor</f>
        <v>0</v>
      </c>
      <c r="Q483" s="56">
        <f ca="1">$P$483/custo_direto</f>
        <v>0</v>
      </c>
      <c r="R483" s="299"/>
      <c r="U483" s="373" t="s">
        <v>489</v>
      </c>
      <c r="V483" s="372">
        <v>9.2100000000000009</v>
      </c>
      <c r="W483" s="44" t="s">
        <v>493</v>
      </c>
      <c r="X483" s="622">
        <v>12</v>
      </c>
      <c r="Y483" s="371">
        <f t="shared" si="237"/>
        <v>0.76750000000000007</v>
      </c>
      <c r="Z483" s="299"/>
      <c r="AA483" s="1242" t="s">
        <v>489</v>
      </c>
      <c r="AB483" s="372">
        <v>17.899999999999999</v>
      </c>
      <c r="AC483" s="44" t="s">
        <v>493</v>
      </c>
      <c r="AD483" s="1239">
        <v>12</v>
      </c>
    </row>
    <row r="484" spans="1:30" s="187" customFormat="1" ht="15.75" customHeight="1" outlineLevel="1">
      <c r="A484" s="957"/>
      <c r="B484" s="957"/>
      <c r="C484" s="958"/>
      <c r="D484" s="277"/>
      <c r="E484" s="278"/>
      <c r="F484" s="278"/>
      <c r="G484" s="278"/>
      <c r="H484" s="278"/>
      <c r="I484" s="278"/>
      <c r="J484" s="278"/>
      <c r="K484" s="278"/>
      <c r="L484" s="278"/>
      <c r="M484" s="278"/>
      <c r="N484" s="278"/>
      <c r="O484" s="278"/>
      <c r="P484" s="279"/>
      <c r="Q484" s="299"/>
      <c r="R484" s="299"/>
      <c r="U484" s="633" t="s">
        <v>1440</v>
      </c>
      <c r="V484" s="372">
        <v>15</v>
      </c>
      <c r="W484" s="44" t="s">
        <v>494</v>
      </c>
      <c r="X484" s="622" t="s">
        <v>142</v>
      </c>
      <c r="Y484" s="371">
        <f t="shared" si="237"/>
        <v>0</v>
      </c>
      <c r="Z484" s="299"/>
      <c r="AA484" s="1242" t="s">
        <v>1440</v>
      </c>
      <c r="AB484" s="372">
        <v>62.3</v>
      </c>
      <c r="AC484" s="44" t="s">
        <v>494</v>
      </c>
      <c r="AD484" s="1239">
        <v>6</v>
      </c>
    </row>
    <row r="485" spans="1:30" s="49" customFormat="1" ht="15.75" customHeight="1" outlineLevel="1">
      <c r="A485" s="322"/>
      <c r="B485" s="322"/>
      <c r="C485" s="507" t="str">
        <f>D485</f>
        <v>15</v>
      </c>
      <c r="D485" s="244" t="s">
        <v>554</v>
      </c>
      <c r="E485" s="245" t="s">
        <v>38</v>
      </c>
      <c r="F485" s="245"/>
      <c r="G485" s="245"/>
      <c r="H485" s="245"/>
      <c r="I485" s="246" t="s">
        <v>11</v>
      </c>
      <c r="J485" s="246" t="s">
        <v>154</v>
      </c>
      <c r="K485" s="247" t="s">
        <v>277</v>
      </c>
      <c r="L485" s="247" t="s">
        <v>795</v>
      </c>
      <c r="M485" s="248" t="s">
        <v>15</v>
      </c>
      <c r="N485" s="247" t="s">
        <v>142</v>
      </c>
      <c r="O485" s="336"/>
      <c r="P485" s="374">
        <f>SUM(P486:P498)</f>
        <v>0</v>
      </c>
      <c r="Q485" s="56">
        <f ca="1">$P$485/custo_direto</f>
        <v>0</v>
      </c>
      <c r="S485" s="260"/>
      <c r="T485" s="260"/>
      <c r="U485" s="633" t="s">
        <v>828</v>
      </c>
      <c r="V485" s="370">
        <v>41.5</v>
      </c>
      <c r="W485" s="44" t="s">
        <v>494</v>
      </c>
      <c r="X485" s="622">
        <v>6</v>
      </c>
      <c r="Y485" s="371">
        <f t="shared" si="237"/>
        <v>6.916666666666667</v>
      </c>
      <c r="AA485" s="1240" t="s">
        <v>828</v>
      </c>
      <c r="AB485" s="370">
        <v>298.70999999999998</v>
      </c>
      <c r="AC485" s="44" t="s">
        <v>494</v>
      </c>
      <c r="AD485" s="1239">
        <v>6</v>
      </c>
    </row>
    <row r="486" spans="1:30" ht="15.75" customHeight="1" outlineLevel="1">
      <c r="C486" s="507" t="str">
        <f t="shared" ref="C486:C497" ca="1" si="251">IF(OFFSET(C486,-1,0)&gt;="01",CONCATENATE(,OFFSET(C486,-1,0)+1),CONCATENATE((SUM(OFFSET(C486,-1,0)+1-(OFFSET(C486,-1,0))))))</f>
        <v>16</v>
      </c>
      <c r="D486" s="135" t="s">
        <v>742</v>
      </c>
      <c r="E486" s="1311" t="s">
        <v>29</v>
      </c>
      <c r="F486" s="1312"/>
      <c r="G486" s="1312"/>
      <c r="H486" s="1313"/>
      <c r="I486" s="355" t="s">
        <v>0</v>
      </c>
      <c r="J486" s="427"/>
      <c r="K486" s="308">
        <f t="shared" ref="K486:K497" si="252">meses_obra</f>
        <v>8</v>
      </c>
      <c r="L486" s="309"/>
      <c r="M486" s="310">
        <f t="shared" ref="M486:M497" si="253">IFERROR(IF((L486/K486)=0,100%,L486/K486),100%)</f>
        <v>1</v>
      </c>
      <c r="N486" s="338" t="s">
        <v>142</v>
      </c>
      <c r="O486" s="426">
        <v>0</v>
      </c>
      <c r="P486" s="357">
        <f t="shared" ref="P486:P497" si="254">J486*M486*O486</f>
        <v>0</v>
      </c>
      <c r="Q486" s="337"/>
      <c r="U486" s="368" t="s">
        <v>1441</v>
      </c>
      <c r="V486" s="370">
        <v>27.9</v>
      </c>
      <c r="W486" s="44" t="s">
        <v>494</v>
      </c>
      <c r="X486" s="622" t="s">
        <v>142</v>
      </c>
      <c r="Y486" s="371">
        <f t="shared" si="237"/>
        <v>0</v>
      </c>
      <c r="AA486" s="1237" t="s">
        <v>1441</v>
      </c>
      <c r="AB486" s="370">
        <v>58.9</v>
      </c>
      <c r="AC486" s="44" t="s">
        <v>494</v>
      </c>
      <c r="AD486" s="1239">
        <v>6</v>
      </c>
    </row>
    <row r="487" spans="1:30" ht="15.75" customHeight="1" outlineLevel="1">
      <c r="C487" s="507" t="str">
        <f t="shared" ca="1" si="251"/>
        <v>17</v>
      </c>
      <c r="D487" s="135" t="s">
        <v>743</v>
      </c>
      <c r="E487" s="1308" t="s">
        <v>2040</v>
      </c>
      <c r="F487" s="1309"/>
      <c r="G487" s="1309"/>
      <c r="H487" s="1310"/>
      <c r="I487" s="104" t="s">
        <v>0</v>
      </c>
      <c r="J487" s="409"/>
      <c r="K487" s="308">
        <f t="shared" si="252"/>
        <v>8</v>
      </c>
      <c r="L487" s="309"/>
      <c r="M487" s="310">
        <f t="shared" si="253"/>
        <v>1</v>
      </c>
      <c r="N487" s="338" t="s">
        <v>142</v>
      </c>
      <c r="O487" s="421">
        <v>0</v>
      </c>
      <c r="P487" s="339">
        <f t="shared" si="254"/>
        <v>0</v>
      </c>
      <c r="Q487" s="337"/>
      <c r="U487" s="368" t="s">
        <v>497</v>
      </c>
      <c r="V487" s="375">
        <f>média_salarial_ponderada</f>
        <v>1893.1</v>
      </c>
      <c r="X487" s="376" t="s">
        <v>498</v>
      </c>
      <c r="Y487" s="377">
        <f>SUM(Y458:Y486)</f>
        <v>117.51845238095238</v>
      </c>
    </row>
    <row r="488" spans="1:30" ht="15.75" customHeight="1" outlineLevel="1">
      <c r="C488" s="507" t="str">
        <f t="shared" ca="1" si="251"/>
        <v>18</v>
      </c>
      <c r="D488" s="135" t="s">
        <v>744</v>
      </c>
      <c r="E488" s="1308" t="s">
        <v>2041</v>
      </c>
      <c r="F488" s="1309"/>
      <c r="G488" s="1309"/>
      <c r="H488" s="1310"/>
      <c r="I488" s="104" t="s">
        <v>0</v>
      </c>
      <c r="J488" s="409"/>
      <c r="K488" s="308">
        <f t="shared" si="252"/>
        <v>8</v>
      </c>
      <c r="L488" s="309"/>
      <c r="M488" s="310">
        <f t="shared" si="253"/>
        <v>1</v>
      </c>
      <c r="N488" s="338" t="s">
        <v>142</v>
      </c>
      <c r="O488" s="421">
        <v>0</v>
      </c>
      <c r="P488" s="339">
        <f t="shared" si="254"/>
        <v>0</v>
      </c>
      <c r="Q488" s="337"/>
      <c r="U488" s="234"/>
      <c r="Y488" s="59"/>
    </row>
    <row r="489" spans="1:30" ht="15.75" customHeight="1" outlineLevel="1">
      <c r="C489" s="507" t="str">
        <f t="shared" ca="1" si="251"/>
        <v>19</v>
      </c>
      <c r="D489" s="135" t="s">
        <v>745</v>
      </c>
      <c r="E489" s="1308" t="s">
        <v>37</v>
      </c>
      <c r="F489" s="1309"/>
      <c r="G489" s="1309"/>
      <c r="H489" s="1310"/>
      <c r="I489" s="104" t="s">
        <v>0</v>
      </c>
      <c r="J489" s="409"/>
      <c r="K489" s="308">
        <f t="shared" si="252"/>
        <v>8</v>
      </c>
      <c r="L489" s="309"/>
      <c r="M489" s="310">
        <f t="shared" si="253"/>
        <v>1</v>
      </c>
      <c r="N489" s="338" t="s">
        <v>142</v>
      </c>
      <c r="O489" s="421">
        <v>0</v>
      </c>
      <c r="P489" s="339">
        <f t="shared" si="254"/>
        <v>0</v>
      </c>
      <c r="Q489" s="337"/>
      <c r="U489" s="234"/>
      <c r="Y489" s="59"/>
    </row>
    <row r="490" spans="1:30" ht="15.75" customHeight="1" outlineLevel="1">
      <c r="C490" s="507" t="str">
        <f t="shared" ca="1" si="251"/>
        <v>20</v>
      </c>
      <c r="D490" s="135" t="s">
        <v>746</v>
      </c>
      <c r="E490" s="1308" t="s">
        <v>1434</v>
      </c>
      <c r="F490" s="1309"/>
      <c r="G490" s="1309"/>
      <c r="H490" s="1310"/>
      <c r="I490" s="104" t="s">
        <v>0</v>
      </c>
      <c r="J490" s="624"/>
      <c r="K490" s="308">
        <f t="shared" si="252"/>
        <v>8</v>
      </c>
      <c r="L490" s="309"/>
      <c r="M490" s="310">
        <f t="shared" si="253"/>
        <v>1</v>
      </c>
      <c r="N490" s="338" t="s">
        <v>142</v>
      </c>
      <c r="O490" s="421">
        <v>0</v>
      </c>
      <c r="P490" s="339">
        <f>J490*M490*O490</f>
        <v>0</v>
      </c>
      <c r="Q490" s="337"/>
      <c r="U490" s="378"/>
      <c r="V490" s="71"/>
      <c r="W490" s="71"/>
      <c r="X490" s="71"/>
      <c r="Y490" s="379"/>
    </row>
    <row r="491" spans="1:30" ht="15.75" customHeight="1" outlineLevel="1">
      <c r="C491" s="507" t="str">
        <f t="shared" ca="1" si="251"/>
        <v>21</v>
      </c>
      <c r="D491" s="135" t="s">
        <v>747</v>
      </c>
      <c r="E491" s="1308" t="s">
        <v>25</v>
      </c>
      <c r="F491" s="1309"/>
      <c r="G491" s="1309"/>
      <c r="H491" s="1310"/>
      <c r="I491" s="104" t="s">
        <v>0</v>
      </c>
      <c r="J491" s="409"/>
      <c r="K491" s="308">
        <f t="shared" si="252"/>
        <v>8</v>
      </c>
      <c r="L491" s="309"/>
      <c r="M491" s="310">
        <f t="shared" si="253"/>
        <v>1</v>
      </c>
      <c r="N491" s="338" t="s">
        <v>142</v>
      </c>
      <c r="O491" s="421">
        <v>0</v>
      </c>
      <c r="P491" s="339">
        <f t="shared" si="254"/>
        <v>0</v>
      </c>
      <c r="Q491" s="337"/>
      <c r="U491" s="1298" t="s">
        <v>218</v>
      </c>
      <c r="V491" s="1299"/>
      <c r="W491" s="1299"/>
      <c r="X491" s="1299"/>
      <c r="Y491" s="1300"/>
    </row>
    <row r="492" spans="1:30" ht="15.75" customHeight="1" outlineLevel="1">
      <c r="C492" s="507" t="str">
        <f t="shared" ca="1" si="251"/>
        <v>22</v>
      </c>
      <c r="D492" s="135" t="s">
        <v>748</v>
      </c>
      <c r="E492" s="1308" t="s">
        <v>34</v>
      </c>
      <c r="F492" s="1309"/>
      <c r="G492" s="1309"/>
      <c r="H492" s="1310"/>
      <c r="I492" s="104" t="s">
        <v>0</v>
      </c>
      <c r="J492" s="409"/>
      <c r="K492" s="308">
        <f t="shared" si="252"/>
        <v>8</v>
      </c>
      <c r="L492" s="309"/>
      <c r="M492" s="310">
        <f t="shared" si="253"/>
        <v>1</v>
      </c>
      <c r="N492" s="338" t="s">
        <v>142</v>
      </c>
      <c r="O492" s="421">
        <v>0</v>
      </c>
      <c r="P492" s="339">
        <f t="shared" si="254"/>
        <v>0</v>
      </c>
      <c r="Q492" s="337"/>
      <c r="U492" s="365" t="s">
        <v>145</v>
      </c>
      <c r="V492" s="366" t="s">
        <v>495</v>
      </c>
      <c r="W492" s="366"/>
      <c r="X492" s="366" t="s">
        <v>496</v>
      </c>
      <c r="Y492" s="367" t="s">
        <v>487</v>
      </c>
    </row>
    <row r="493" spans="1:30" ht="15.75" customHeight="1" outlineLevel="1">
      <c r="C493" s="507" t="str">
        <f t="shared" ca="1" si="251"/>
        <v>23</v>
      </c>
      <c r="D493" s="135" t="s">
        <v>749</v>
      </c>
      <c r="E493" s="1308" t="s">
        <v>35</v>
      </c>
      <c r="F493" s="1309"/>
      <c r="G493" s="1309"/>
      <c r="H493" s="1310"/>
      <c r="I493" s="104" t="s">
        <v>0</v>
      </c>
      <c r="J493" s="409"/>
      <c r="K493" s="308">
        <f t="shared" si="252"/>
        <v>8</v>
      </c>
      <c r="L493" s="309"/>
      <c r="M493" s="310">
        <f t="shared" si="253"/>
        <v>1</v>
      </c>
      <c r="N493" s="338" t="s">
        <v>142</v>
      </c>
      <c r="O493" s="421">
        <v>0</v>
      </c>
      <c r="P493" s="339">
        <f t="shared" si="254"/>
        <v>0</v>
      </c>
      <c r="Q493" s="337"/>
      <c r="U493" s="368" t="s">
        <v>694</v>
      </c>
      <c r="V493" s="370">
        <v>85</v>
      </c>
      <c r="W493" s="44" t="s">
        <v>490</v>
      </c>
      <c r="X493" s="370">
        <v>6</v>
      </c>
      <c r="Y493" s="371">
        <f t="shared" ref="Y493:Y512" si="255">IFERROR(V493/X493,0)</f>
        <v>14.166666666666666</v>
      </c>
    </row>
    <row r="494" spans="1:30" ht="15.75" customHeight="1" outlineLevel="1">
      <c r="C494" s="507" t="str">
        <f t="shared" ca="1" si="251"/>
        <v>24</v>
      </c>
      <c r="D494" s="135" t="s">
        <v>750</v>
      </c>
      <c r="E494" s="1308" t="s">
        <v>36</v>
      </c>
      <c r="F494" s="1309"/>
      <c r="G494" s="1309"/>
      <c r="H494" s="1310"/>
      <c r="I494" s="104" t="s">
        <v>0</v>
      </c>
      <c r="J494" s="409"/>
      <c r="K494" s="308">
        <f t="shared" si="252"/>
        <v>8</v>
      </c>
      <c r="L494" s="309"/>
      <c r="M494" s="310">
        <f t="shared" si="253"/>
        <v>1</v>
      </c>
      <c r="N494" s="338" t="s">
        <v>142</v>
      </c>
      <c r="O494" s="421">
        <v>0</v>
      </c>
      <c r="P494" s="339">
        <f t="shared" si="254"/>
        <v>0</v>
      </c>
      <c r="Q494" s="337"/>
      <c r="U494" s="368" t="s">
        <v>695</v>
      </c>
      <c r="V494" s="372">
        <v>85</v>
      </c>
      <c r="W494" s="44" t="s">
        <v>491</v>
      </c>
      <c r="X494" s="372">
        <v>12</v>
      </c>
      <c r="Y494" s="371">
        <f t="shared" si="255"/>
        <v>7.083333333333333</v>
      </c>
    </row>
    <row r="495" spans="1:30" ht="15.75" customHeight="1" outlineLevel="1">
      <c r="C495" s="507" t="str">
        <f t="shared" ca="1" si="251"/>
        <v>25</v>
      </c>
      <c r="D495" s="135" t="s">
        <v>751</v>
      </c>
      <c r="E495" s="1308" t="s">
        <v>26</v>
      </c>
      <c r="F495" s="1309"/>
      <c r="G495" s="1309"/>
      <c r="H495" s="1310"/>
      <c r="I495" s="104" t="s">
        <v>0</v>
      </c>
      <c r="J495" s="409"/>
      <c r="K495" s="308">
        <f t="shared" si="252"/>
        <v>8</v>
      </c>
      <c r="L495" s="309"/>
      <c r="M495" s="310">
        <f t="shared" si="253"/>
        <v>1</v>
      </c>
      <c r="N495" s="338" t="s">
        <v>142</v>
      </c>
      <c r="O495" s="421">
        <v>0</v>
      </c>
      <c r="P495" s="339">
        <f t="shared" si="254"/>
        <v>0</v>
      </c>
      <c r="Q495" s="337"/>
      <c r="U495" s="368" t="s">
        <v>1572</v>
      </c>
      <c r="V495" s="369">
        <v>1.07</v>
      </c>
      <c r="W495" s="44" t="s">
        <v>491</v>
      </c>
      <c r="X495" s="372">
        <v>0.25</v>
      </c>
      <c r="Y495" s="371">
        <f t="shared" si="255"/>
        <v>4.28</v>
      </c>
    </row>
    <row r="496" spans="1:30" ht="15.75" customHeight="1" outlineLevel="1">
      <c r="C496" s="507" t="str">
        <f t="shared" ca="1" si="251"/>
        <v>26</v>
      </c>
      <c r="D496" s="135" t="s">
        <v>752</v>
      </c>
      <c r="E496" s="1308" t="s">
        <v>484</v>
      </c>
      <c r="F496" s="1309"/>
      <c r="G496" s="1309"/>
      <c r="H496" s="1310"/>
      <c r="I496" s="104" t="s">
        <v>0</v>
      </c>
      <c r="J496" s="409"/>
      <c r="K496" s="308">
        <f t="shared" si="252"/>
        <v>8</v>
      </c>
      <c r="L496" s="309"/>
      <c r="M496" s="310">
        <f t="shared" si="253"/>
        <v>1</v>
      </c>
      <c r="N496" s="338" t="s">
        <v>142</v>
      </c>
      <c r="O496" s="421">
        <v>0</v>
      </c>
      <c r="P496" s="339">
        <f t="shared" si="254"/>
        <v>0</v>
      </c>
      <c r="Q496" s="337"/>
      <c r="U496" s="368" t="s">
        <v>820</v>
      </c>
      <c r="V496" s="372">
        <v>0</v>
      </c>
      <c r="W496" s="44" t="s">
        <v>491</v>
      </c>
      <c r="X496" s="372" t="s">
        <v>142</v>
      </c>
      <c r="Y496" s="371">
        <f t="shared" si="255"/>
        <v>0</v>
      </c>
    </row>
    <row r="497" spans="1:25" ht="15.75" customHeight="1" outlineLevel="1">
      <c r="C497" s="507" t="str">
        <f t="shared" ca="1" si="251"/>
        <v>27</v>
      </c>
      <c r="D497" s="135" t="s">
        <v>753</v>
      </c>
      <c r="E497" s="1304" t="s">
        <v>1435</v>
      </c>
      <c r="F497" s="1305"/>
      <c r="G497" s="1305"/>
      <c r="H497" s="1306"/>
      <c r="I497" s="104" t="s">
        <v>1455</v>
      </c>
      <c r="J497" s="409"/>
      <c r="K497" s="308">
        <f t="shared" si="252"/>
        <v>8</v>
      </c>
      <c r="L497" s="309"/>
      <c r="M497" s="310">
        <f t="shared" si="253"/>
        <v>1</v>
      </c>
      <c r="N497" s="338" t="s">
        <v>142</v>
      </c>
      <c r="O497" s="421">
        <v>0</v>
      </c>
      <c r="P497" s="339">
        <f t="shared" si="254"/>
        <v>0</v>
      </c>
      <c r="Q497" s="337"/>
      <c r="U497" s="368" t="s">
        <v>818</v>
      </c>
      <c r="V497" s="372">
        <v>19</v>
      </c>
      <c r="W497" s="44" t="s">
        <v>491</v>
      </c>
      <c r="X497" s="372">
        <v>3</v>
      </c>
      <c r="Y497" s="371">
        <f t="shared" si="255"/>
        <v>6.333333333333333</v>
      </c>
    </row>
    <row r="498" spans="1:25" ht="15.75" customHeight="1" outlineLevel="1">
      <c r="C498" s="507"/>
      <c r="D498" s="349"/>
      <c r="E498" s="112"/>
      <c r="F498" s="113"/>
      <c r="G498" s="113"/>
      <c r="H498" s="116"/>
      <c r="I498" s="113"/>
      <c r="J498" s="113"/>
      <c r="K498" s="113"/>
      <c r="L498" s="113"/>
      <c r="M498" s="350"/>
      <c r="N498" s="113"/>
      <c r="O498" s="351"/>
      <c r="P498" s="142"/>
      <c r="Q498" s="337"/>
      <c r="U498" s="368" t="s">
        <v>696</v>
      </c>
      <c r="V498" s="372">
        <v>2.8</v>
      </c>
      <c r="W498" s="44" t="s">
        <v>491</v>
      </c>
      <c r="X498" s="372">
        <v>2</v>
      </c>
      <c r="Y498" s="371">
        <f t="shared" si="255"/>
        <v>1.4</v>
      </c>
    </row>
    <row r="499" spans="1:25" s="49" customFormat="1" ht="15.75" customHeight="1" outlineLevel="1">
      <c r="A499" s="322"/>
      <c r="B499" s="322"/>
      <c r="C499" s="507" t="str">
        <f>D499</f>
        <v>16</v>
      </c>
      <c r="D499" s="215" t="s">
        <v>555</v>
      </c>
      <c r="E499" s="227" t="s">
        <v>464</v>
      </c>
      <c r="F499" s="227"/>
      <c r="G499" s="227"/>
      <c r="H499" s="227"/>
      <c r="I499" s="228" t="s">
        <v>11</v>
      </c>
      <c r="J499" s="228" t="s">
        <v>154</v>
      </c>
      <c r="K499" s="231" t="s">
        <v>277</v>
      </c>
      <c r="L499" s="219" t="s">
        <v>795</v>
      </c>
      <c r="M499" s="230" t="s">
        <v>15</v>
      </c>
      <c r="N499" s="231" t="s">
        <v>123</v>
      </c>
      <c r="O499" s="336"/>
      <c r="P499" s="314">
        <f>SUM(P500:P518)</f>
        <v>0</v>
      </c>
      <c r="Q499" s="56">
        <f ca="1">$P$499/custo_direto</f>
        <v>0</v>
      </c>
      <c r="S499" s="380"/>
      <c r="U499" s="368" t="s">
        <v>697</v>
      </c>
      <c r="V499" s="372">
        <v>9.26</v>
      </c>
      <c r="W499" s="44" t="s">
        <v>491</v>
      </c>
      <c r="X499" s="372" t="s">
        <v>142</v>
      </c>
      <c r="Y499" s="371">
        <f t="shared" si="255"/>
        <v>0</v>
      </c>
    </row>
    <row r="500" spans="1:25" s="49" customFormat="1" ht="15.75" customHeight="1" outlineLevel="1">
      <c r="A500" s="322"/>
      <c r="B500" s="322"/>
      <c r="C500" s="507" t="str">
        <f t="shared" ref="C500:C517" ca="1" si="256">IF(OFFSET(C500,-1,0)&gt;="01",CONCATENATE(,OFFSET(C500,-1,0)+1),CONCATENATE((SUM(OFFSET(C500,-1,0)+1-(OFFSET(C500,-1,0))))))</f>
        <v>17</v>
      </c>
      <c r="D500" s="808" t="s">
        <v>754</v>
      </c>
      <c r="E500" s="824" t="s">
        <v>463</v>
      </c>
      <c r="F500" s="825"/>
      <c r="G500" s="825"/>
      <c r="H500" s="825"/>
      <c r="I500" s="825"/>
      <c r="J500" s="825"/>
      <c r="K500" s="825"/>
      <c r="L500" s="825"/>
      <c r="M500" s="825"/>
      <c r="N500" s="825"/>
      <c r="O500" s="825"/>
      <c r="P500" s="826"/>
      <c r="Q500" s="337"/>
      <c r="U500" s="368" t="s">
        <v>825</v>
      </c>
      <c r="V500" s="372">
        <v>0</v>
      </c>
      <c r="W500" s="44" t="s">
        <v>491</v>
      </c>
      <c r="X500" s="372" t="s">
        <v>142</v>
      </c>
      <c r="Y500" s="371">
        <f t="shared" si="255"/>
        <v>0</v>
      </c>
    </row>
    <row r="501" spans="1:25" ht="15.75" customHeight="1" outlineLevel="1">
      <c r="C501" s="507" t="str">
        <f t="shared" ca="1" si="256"/>
        <v>18</v>
      </c>
      <c r="D501" s="135" t="s">
        <v>755</v>
      </c>
      <c r="E501" s="1308" t="s">
        <v>1467</v>
      </c>
      <c r="F501" s="1309"/>
      <c r="G501" s="1309"/>
      <c r="H501" s="1310"/>
      <c r="I501" s="104" t="s">
        <v>11</v>
      </c>
      <c r="J501" s="409">
        <v>0</v>
      </c>
      <c r="K501" s="308">
        <f t="shared" ref="K501:K517" si="257">meses_obra</f>
        <v>8</v>
      </c>
      <c r="L501" s="309"/>
      <c r="M501" s="310">
        <f t="shared" ref="M501:M517" si="258">IFERROR(IF((L501/K501)=0,100%,L501/K501),100%)</f>
        <v>1</v>
      </c>
      <c r="N501" s="308">
        <v>1</v>
      </c>
      <c r="O501" s="421">
        <v>22</v>
      </c>
      <c r="P501" s="339">
        <f>J501*M501*N501*O501</f>
        <v>0</v>
      </c>
      <c r="Q501" s="337"/>
      <c r="U501" s="368" t="s">
        <v>1573</v>
      </c>
      <c r="V501" s="372">
        <v>7.5</v>
      </c>
      <c r="W501" s="44" t="s">
        <v>491</v>
      </c>
      <c r="X501" s="372" t="s">
        <v>142</v>
      </c>
      <c r="Y501" s="371">
        <f t="shared" si="255"/>
        <v>0</v>
      </c>
    </row>
    <row r="502" spans="1:25" ht="15.75" customHeight="1" outlineLevel="1">
      <c r="C502" s="507" t="str">
        <f t="shared" ca="1" si="256"/>
        <v>19</v>
      </c>
      <c r="D502" s="135" t="s">
        <v>756</v>
      </c>
      <c r="E502" s="1308" t="s">
        <v>486</v>
      </c>
      <c r="F502" s="1309"/>
      <c r="G502" s="1309"/>
      <c r="H502" s="1310"/>
      <c r="I502" s="104" t="s">
        <v>518</v>
      </c>
      <c r="J502" s="409"/>
      <c r="K502" s="308">
        <f t="shared" si="257"/>
        <v>8</v>
      </c>
      <c r="L502" s="309"/>
      <c r="M502" s="310">
        <f t="shared" si="258"/>
        <v>1</v>
      </c>
      <c r="N502" s="308">
        <v>1</v>
      </c>
      <c r="O502" s="421">
        <v>0</v>
      </c>
      <c r="P502" s="339">
        <f>J502*M502*N502*O502</f>
        <v>0</v>
      </c>
      <c r="Q502" s="337"/>
      <c r="U502" s="368" t="s">
        <v>824</v>
      </c>
      <c r="V502" s="372">
        <v>2.5</v>
      </c>
      <c r="W502" s="44" t="s">
        <v>491</v>
      </c>
      <c r="X502" s="372" t="s">
        <v>142</v>
      </c>
      <c r="Y502" s="371">
        <f t="shared" si="255"/>
        <v>0</v>
      </c>
    </row>
    <row r="503" spans="1:25" s="49" customFormat="1" ht="15.75" customHeight="1" outlineLevel="1">
      <c r="A503" s="322"/>
      <c r="B503" s="322"/>
      <c r="C503" s="507" t="str">
        <f t="shared" ca="1" si="256"/>
        <v>20</v>
      </c>
      <c r="D503" s="808" t="s">
        <v>757</v>
      </c>
      <c r="E503" s="827" t="s">
        <v>372</v>
      </c>
      <c r="F503" s="801"/>
      <c r="G503" s="801"/>
      <c r="H503" s="801"/>
      <c r="I503" s="801"/>
      <c r="J503" s="801"/>
      <c r="K503" s="801"/>
      <c r="L503" s="801"/>
      <c r="M503" s="801"/>
      <c r="N503" s="801"/>
      <c r="O503" s="801"/>
      <c r="P503" s="828"/>
      <c r="Q503" s="337"/>
      <c r="U503" s="368" t="s">
        <v>698</v>
      </c>
      <c r="V503" s="372">
        <v>2.2000000000000002</v>
      </c>
      <c r="W503" s="44" t="s">
        <v>491</v>
      </c>
      <c r="X503" s="372">
        <v>0.25</v>
      </c>
      <c r="Y503" s="371">
        <f t="shared" si="255"/>
        <v>8.8000000000000007</v>
      </c>
    </row>
    <row r="504" spans="1:25" ht="15.75" customHeight="1" outlineLevel="1">
      <c r="C504" s="507" t="str">
        <f t="shared" ca="1" si="256"/>
        <v>21</v>
      </c>
      <c r="D504" s="135" t="s">
        <v>758</v>
      </c>
      <c r="E504" s="1331" t="s">
        <v>394</v>
      </c>
      <c r="F504" s="1332"/>
      <c r="G504" s="1332"/>
      <c r="H504" s="1333"/>
      <c r="I504" s="104" t="s">
        <v>395</v>
      </c>
      <c r="J504" s="409"/>
      <c r="K504" s="308">
        <f t="shared" si="257"/>
        <v>8</v>
      </c>
      <c r="L504" s="309"/>
      <c r="M504" s="310">
        <f t="shared" si="258"/>
        <v>1</v>
      </c>
      <c r="N504" s="308"/>
      <c r="O504" s="421"/>
      <c r="P504" s="339">
        <f>J504*M504*N504*O504</f>
        <v>0</v>
      </c>
      <c r="Q504" s="337"/>
      <c r="U504" s="368" t="s">
        <v>819</v>
      </c>
      <c r="V504" s="372">
        <v>0</v>
      </c>
      <c r="W504" s="44" t="s">
        <v>491</v>
      </c>
      <c r="X504" s="372" t="s">
        <v>142</v>
      </c>
      <c r="Y504" s="371">
        <f t="shared" si="255"/>
        <v>0</v>
      </c>
    </row>
    <row r="505" spans="1:25" ht="15.75" customHeight="1" outlineLevel="1">
      <c r="C505" s="507" t="str">
        <f t="shared" ca="1" si="256"/>
        <v>22</v>
      </c>
      <c r="D505" s="135" t="s">
        <v>759</v>
      </c>
      <c r="E505" s="1308" t="s">
        <v>457</v>
      </c>
      <c r="F505" s="1309"/>
      <c r="G505" s="1309"/>
      <c r="H505" s="1310"/>
      <c r="I505" s="104" t="s">
        <v>0</v>
      </c>
      <c r="J505" s="409"/>
      <c r="K505" s="308">
        <f t="shared" si="257"/>
        <v>8</v>
      </c>
      <c r="L505" s="309"/>
      <c r="M505" s="310">
        <f t="shared" si="258"/>
        <v>1</v>
      </c>
      <c r="N505" s="308">
        <v>1</v>
      </c>
      <c r="O505" s="421">
        <v>0</v>
      </c>
      <c r="P505" s="339">
        <f>J505*M505*N505*O505</f>
        <v>0</v>
      </c>
      <c r="Q505" s="337"/>
      <c r="U505" s="368" t="s">
        <v>821</v>
      </c>
      <c r="V505" s="372">
        <v>0</v>
      </c>
      <c r="W505" s="44" t="s">
        <v>491</v>
      </c>
      <c r="X505" s="372" t="s">
        <v>142</v>
      </c>
      <c r="Y505" s="371">
        <f t="shared" si="255"/>
        <v>0</v>
      </c>
    </row>
    <row r="506" spans="1:25" s="49" customFormat="1" ht="15.75" customHeight="1" outlineLevel="1">
      <c r="A506" s="322"/>
      <c r="B506" s="322"/>
      <c r="C506" s="507" t="str">
        <f t="shared" ca="1" si="256"/>
        <v>23</v>
      </c>
      <c r="D506" s="808" t="s">
        <v>760</v>
      </c>
      <c r="E506" s="827" t="s">
        <v>396</v>
      </c>
      <c r="F506" s="801"/>
      <c r="G506" s="801"/>
      <c r="H506" s="801"/>
      <c r="I506" s="801"/>
      <c r="J506" s="801"/>
      <c r="K506" s="801"/>
      <c r="L506" s="801"/>
      <c r="M506" s="801"/>
      <c r="N506" s="801"/>
      <c r="O506" s="801"/>
      <c r="P506" s="828"/>
      <c r="Q506" s="337"/>
      <c r="U506" s="368" t="s">
        <v>827</v>
      </c>
      <c r="V506" s="372">
        <v>0</v>
      </c>
      <c r="W506" s="44" t="s">
        <v>491</v>
      </c>
      <c r="X506" s="372" t="s">
        <v>142</v>
      </c>
      <c r="Y506" s="371">
        <f t="shared" si="255"/>
        <v>0</v>
      </c>
    </row>
    <row r="507" spans="1:25" ht="15.75" customHeight="1" outlineLevel="1">
      <c r="C507" s="507" t="str">
        <f t="shared" ca="1" si="256"/>
        <v>24</v>
      </c>
      <c r="D507" s="135" t="s">
        <v>761</v>
      </c>
      <c r="E507" s="1308" t="s">
        <v>458</v>
      </c>
      <c r="F507" s="1309"/>
      <c r="G507" s="1309"/>
      <c r="H507" s="1310"/>
      <c r="I507" s="104" t="s">
        <v>0</v>
      </c>
      <c r="J507" s="409"/>
      <c r="K507" s="308">
        <f t="shared" si="257"/>
        <v>8</v>
      </c>
      <c r="L507" s="309"/>
      <c r="M507" s="310">
        <f t="shared" si="258"/>
        <v>1</v>
      </c>
      <c r="N507" s="308"/>
      <c r="O507" s="421"/>
      <c r="P507" s="339">
        <f>J507*M507*N507*O507</f>
        <v>0</v>
      </c>
      <c r="Q507" s="337"/>
      <c r="U507" s="368" t="s">
        <v>488</v>
      </c>
      <c r="V507" s="372">
        <v>0.8</v>
      </c>
      <c r="W507" s="44" t="s">
        <v>492</v>
      </c>
      <c r="X507" s="372">
        <v>2</v>
      </c>
      <c r="Y507" s="371">
        <f t="shared" si="255"/>
        <v>0.4</v>
      </c>
    </row>
    <row r="508" spans="1:25" ht="15.75" customHeight="1" outlineLevel="1">
      <c r="C508" s="507" t="str">
        <f t="shared" ca="1" si="256"/>
        <v>25</v>
      </c>
      <c r="D508" s="135" t="s">
        <v>762</v>
      </c>
      <c r="E508" s="1308" t="s">
        <v>459</v>
      </c>
      <c r="F508" s="1309"/>
      <c r="G508" s="1309"/>
      <c r="H508" s="1310"/>
      <c r="I508" s="104" t="s">
        <v>0</v>
      </c>
      <c r="J508" s="409"/>
      <c r="K508" s="308">
        <f t="shared" si="257"/>
        <v>8</v>
      </c>
      <c r="L508" s="309"/>
      <c r="M508" s="310">
        <f t="shared" si="258"/>
        <v>1</v>
      </c>
      <c r="N508" s="308"/>
      <c r="O508" s="421"/>
      <c r="P508" s="339">
        <f>J508*M508*N508*O508</f>
        <v>0</v>
      </c>
      <c r="Q508" s="337"/>
      <c r="U508" s="373" t="s">
        <v>817</v>
      </c>
      <c r="V508" s="372">
        <v>15</v>
      </c>
      <c r="W508" s="44" t="s">
        <v>493</v>
      </c>
      <c r="X508" s="372">
        <v>1</v>
      </c>
      <c r="Y508" s="371">
        <f t="shared" si="255"/>
        <v>15</v>
      </c>
    </row>
    <row r="509" spans="1:25" s="49" customFormat="1" ht="15.75" customHeight="1" outlineLevel="1">
      <c r="A509" s="322"/>
      <c r="B509" s="322"/>
      <c r="C509" s="507" t="str">
        <f t="shared" ca="1" si="256"/>
        <v>26</v>
      </c>
      <c r="D509" s="808" t="s">
        <v>763</v>
      </c>
      <c r="E509" s="827" t="s">
        <v>397</v>
      </c>
      <c r="F509" s="801"/>
      <c r="G509" s="801"/>
      <c r="H509" s="801"/>
      <c r="I509" s="801"/>
      <c r="J509" s="801"/>
      <c r="K509" s="801"/>
      <c r="L509" s="801"/>
      <c r="M509" s="801"/>
      <c r="N509" s="801"/>
      <c r="O509" s="801"/>
      <c r="P509" s="828"/>
      <c r="Q509" s="337"/>
      <c r="U509" s="373" t="s">
        <v>489</v>
      </c>
      <c r="V509" s="372">
        <v>7.55</v>
      </c>
      <c r="W509" s="44" t="s">
        <v>493</v>
      </c>
      <c r="X509" s="372">
        <v>12</v>
      </c>
      <c r="Y509" s="371">
        <f t="shared" si="255"/>
        <v>0.62916666666666665</v>
      </c>
    </row>
    <row r="510" spans="1:25" ht="15.75" customHeight="1" outlineLevel="1">
      <c r="C510" s="507" t="str">
        <f t="shared" ca="1" si="256"/>
        <v>27</v>
      </c>
      <c r="D510" s="135" t="s">
        <v>764</v>
      </c>
      <c r="E510" s="1308" t="s">
        <v>460</v>
      </c>
      <c r="F510" s="1309"/>
      <c r="G510" s="1309"/>
      <c r="H510" s="1310"/>
      <c r="I510" s="104" t="s">
        <v>0</v>
      </c>
      <c r="J510" s="409"/>
      <c r="K510" s="308">
        <f t="shared" si="257"/>
        <v>8</v>
      </c>
      <c r="L510" s="309"/>
      <c r="M510" s="310">
        <f t="shared" si="258"/>
        <v>1</v>
      </c>
      <c r="N510" s="308"/>
      <c r="O510" s="421"/>
      <c r="P510" s="339">
        <f>J510*M510*N510*O510</f>
        <v>0</v>
      </c>
      <c r="Q510" s="337"/>
      <c r="U510" s="633" t="s">
        <v>1440</v>
      </c>
      <c r="V510" s="372">
        <v>15</v>
      </c>
      <c r="W510" s="44" t="s">
        <v>494</v>
      </c>
      <c r="X510" s="372" t="s">
        <v>142</v>
      </c>
      <c r="Y510" s="371">
        <f t="shared" si="255"/>
        <v>0</v>
      </c>
    </row>
    <row r="511" spans="1:25" s="49" customFormat="1" ht="15.75" customHeight="1" outlineLevel="1">
      <c r="A511" s="322"/>
      <c r="B511" s="322"/>
      <c r="C511" s="507" t="str">
        <f t="shared" ca="1" si="256"/>
        <v>28</v>
      </c>
      <c r="D511" s="808" t="s">
        <v>765</v>
      </c>
      <c r="E511" s="827" t="s">
        <v>398</v>
      </c>
      <c r="F511" s="801"/>
      <c r="G511" s="801"/>
      <c r="H511" s="801"/>
      <c r="I511" s="801"/>
      <c r="J511" s="801"/>
      <c r="K511" s="801"/>
      <c r="L511" s="801"/>
      <c r="M511" s="801"/>
      <c r="N511" s="801"/>
      <c r="O511" s="801"/>
      <c r="P511" s="828"/>
      <c r="Q511" s="337"/>
      <c r="U511" s="633" t="s">
        <v>828</v>
      </c>
      <c r="V511" s="372">
        <v>39.9</v>
      </c>
      <c r="W511" s="44" t="s">
        <v>494</v>
      </c>
      <c r="X511" s="372">
        <v>6</v>
      </c>
      <c r="Y511" s="371">
        <f t="shared" si="255"/>
        <v>6.6499999999999995</v>
      </c>
    </row>
    <row r="512" spans="1:25" ht="15.75" customHeight="1" outlineLevel="1">
      <c r="C512" s="507" t="str">
        <f t="shared" ca="1" si="256"/>
        <v>29</v>
      </c>
      <c r="D512" s="135" t="s">
        <v>766</v>
      </c>
      <c r="E512" s="1308" t="s">
        <v>461</v>
      </c>
      <c r="F512" s="1309"/>
      <c r="G512" s="1309"/>
      <c r="H512" s="1310"/>
      <c r="I512" s="104" t="s">
        <v>0</v>
      </c>
      <c r="J512" s="409"/>
      <c r="K512" s="308">
        <f t="shared" si="257"/>
        <v>8</v>
      </c>
      <c r="L512" s="309"/>
      <c r="M512" s="310">
        <f t="shared" si="258"/>
        <v>1</v>
      </c>
      <c r="N512" s="308"/>
      <c r="O512" s="421">
        <v>1179.7</v>
      </c>
      <c r="P512" s="339">
        <f>J512*M512*N512*O512</f>
        <v>0</v>
      </c>
      <c r="Q512" s="337"/>
      <c r="U512" s="368" t="s">
        <v>1441</v>
      </c>
      <c r="V512" s="370">
        <v>23.9</v>
      </c>
      <c r="W512" s="44" t="s">
        <v>494</v>
      </c>
      <c r="X512" s="622" t="s">
        <v>142</v>
      </c>
      <c r="Y512" s="371">
        <f t="shared" si="255"/>
        <v>0</v>
      </c>
    </row>
    <row r="513" spans="1:25" ht="15.75" customHeight="1" outlineLevel="1">
      <c r="C513" s="507" t="str">
        <f t="shared" ca="1" si="256"/>
        <v>30</v>
      </c>
      <c r="D513" s="135" t="s">
        <v>767</v>
      </c>
      <c r="E513" s="1308" t="s">
        <v>462</v>
      </c>
      <c r="F513" s="1309"/>
      <c r="G513" s="1309"/>
      <c r="H513" s="1310"/>
      <c r="I513" s="104" t="s">
        <v>0</v>
      </c>
      <c r="J513" s="409"/>
      <c r="K513" s="308">
        <f t="shared" si="257"/>
        <v>8</v>
      </c>
      <c r="L513" s="309"/>
      <c r="M513" s="310">
        <f t="shared" si="258"/>
        <v>1</v>
      </c>
      <c r="N513" s="308"/>
      <c r="O513" s="421">
        <v>1530</v>
      </c>
      <c r="P513" s="339">
        <f>J513*M513*N513*O513</f>
        <v>0</v>
      </c>
      <c r="Q513" s="337"/>
      <c r="U513" s="368" t="s">
        <v>497</v>
      </c>
      <c r="V513" s="375">
        <f>média_salarial_ponderada</f>
        <v>1893.1</v>
      </c>
      <c r="X513" s="376" t="s">
        <v>498</v>
      </c>
      <c r="Y513" s="377">
        <f>SUM(Y493:Y512)</f>
        <v>64.742500000000007</v>
      </c>
    </row>
    <row r="514" spans="1:25" s="49" customFormat="1" ht="15.75" customHeight="1" outlineLevel="1">
      <c r="A514" s="322"/>
      <c r="B514" s="322"/>
      <c r="C514" s="507" t="str">
        <f t="shared" ca="1" si="256"/>
        <v>31</v>
      </c>
      <c r="D514" s="808" t="s">
        <v>768</v>
      </c>
      <c r="E514" s="827" t="s">
        <v>399</v>
      </c>
      <c r="F514" s="801"/>
      <c r="G514" s="801"/>
      <c r="H514" s="801"/>
      <c r="I514" s="801"/>
      <c r="J514" s="801"/>
      <c r="K514" s="801"/>
      <c r="L514" s="801"/>
      <c r="M514" s="801"/>
      <c r="N514" s="801"/>
      <c r="O514" s="801"/>
      <c r="P514" s="828"/>
      <c r="Q514" s="337"/>
      <c r="T514" s="36"/>
      <c r="U514" s="234"/>
      <c r="V514" s="36"/>
      <c r="W514" s="36"/>
      <c r="X514" s="36"/>
      <c r="Y514" s="59"/>
    </row>
    <row r="515" spans="1:25" ht="15.75" customHeight="1" outlineLevel="1">
      <c r="C515" s="507" t="str">
        <f t="shared" ca="1" si="256"/>
        <v>32</v>
      </c>
      <c r="D515" s="135" t="s">
        <v>769</v>
      </c>
      <c r="E515" s="1308" t="s">
        <v>400</v>
      </c>
      <c r="F515" s="1309"/>
      <c r="G515" s="1309"/>
      <c r="H515" s="1310"/>
      <c r="I515" s="104" t="s">
        <v>0</v>
      </c>
      <c r="J515" s="409"/>
      <c r="K515" s="308">
        <f t="shared" si="257"/>
        <v>8</v>
      </c>
      <c r="L515" s="309"/>
      <c r="M515" s="310">
        <f t="shared" si="258"/>
        <v>1</v>
      </c>
      <c r="N515" s="308"/>
      <c r="O515" s="421" t="s">
        <v>402</v>
      </c>
      <c r="P515" s="339">
        <f>J515*M515*N515*O515</f>
        <v>0</v>
      </c>
      <c r="Q515" s="337"/>
      <c r="U515" s="1298" t="s">
        <v>347</v>
      </c>
      <c r="V515" s="1299"/>
      <c r="W515" s="1299"/>
      <c r="X515" s="1299"/>
      <c r="Y515" s="1300"/>
    </row>
    <row r="516" spans="1:25" ht="15.75" customHeight="1" outlineLevel="1">
      <c r="C516" s="507" t="str">
        <f t="shared" ca="1" si="256"/>
        <v>33</v>
      </c>
      <c r="D516" s="135" t="s">
        <v>770</v>
      </c>
      <c r="E516" s="1308" t="s">
        <v>401</v>
      </c>
      <c r="F516" s="1309"/>
      <c r="G516" s="1309"/>
      <c r="H516" s="1310"/>
      <c r="I516" s="104" t="s">
        <v>0</v>
      </c>
      <c r="J516" s="409"/>
      <c r="K516" s="308">
        <f t="shared" si="257"/>
        <v>8</v>
      </c>
      <c r="L516" s="309"/>
      <c r="M516" s="310">
        <f t="shared" si="258"/>
        <v>1</v>
      </c>
      <c r="N516" s="308"/>
      <c r="O516" s="421" t="s">
        <v>403</v>
      </c>
      <c r="P516" s="339">
        <f>J516*M516*N516*O516</f>
        <v>0</v>
      </c>
      <c r="Q516" s="337"/>
      <c r="U516" s="365" t="s">
        <v>145</v>
      </c>
      <c r="V516" s="366" t="s">
        <v>495</v>
      </c>
      <c r="W516" s="366"/>
      <c r="X516" s="366" t="s">
        <v>496</v>
      </c>
      <c r="Y516" s="367" t="s">
        <v>487</v>
      </c>
    </row>
    <row r="517" spans="1:25" ht="15.75" customHeight="1" outlineLevel="1">
      <c r="C517" s="963" t="str">
        <f t="shared" ca="1" si="256"/>
        <v>34</v>
      </c>
      <c r="D517" s="629" t="s">
        <v>771</v>
      </c>
      <c r="E517" s="1308" t="s">
        <v>500</v>
      </c>
      <c r="F517" s="1309"/>
      <c r="G517" s="1309"/>
      <c r="H517" s="1310"/>
      <c r="I517" s="104" t="s">
        <v>0</v>
      </c>
      <c r="J517" s="409"/>
      <c r="K517" s="308">
        <f t="shared" si="257"/>
        <v>8</v>
      </c>
      <c r="L517" s="309"/>
      <c r="M517" s="310">
        <f t="shared" si="258"/>
        <v>1</v>
      </c>
      <c r="N517" s="308"/>
      <c r="O517" s="421">
        <v>22225.91</v>
      </c>
      <c r="P517" s="339">
        <f>J517*M517*N517*O517</f>
        <v>0</v>
      </c>
      <c r="Q517" s="337"/>
      <c r="U517" s="368" t="s">
        <v>694</v>
      </c>
      <c r="V517" s="370">
        <v>85</v>
      </c>
      <c r="W517" s="44" t="s">
        <v>490</v>
      </c>
      <c r="X517" s="370">
        <v>6</v>
      </c>
      <c r="Y517" s="371">
        <f t="shared" ref="Y517:Y534" si="259">IFERROR(V517/X517,0)</f>
        <v>14.166666666666666</v>
      </c>
    </row>
    <row r="518" spans="1:25" ht="15.75" customHeight="1" outlineLevel="1">
      <c r="B518" s="934"/>
      <c r="C518" s="962"/>
      <c r="D518" s="630"/>
      <c r="E518" s="112"/>
      <c r="F518" s="113"/>
      <c r="G518" s="113"/>
      <c r="H518" s="116"/>
      <c r="I518" s="113"/>
      <c r="J518" s="113"/>
      <c r="K518" s="113"/>
      <c r="L518" s="113"/>
      <c r="M518" s="350"/>
      <c r="N518" s="113"/>
      <c r="O518" s="351"/>
      <c r="P518" s="142"/>
      <c r="Q518" s="337"/>
      <c r="U518" s="368" t="s">
        <v>695</v>
      </c>
      <c r="V518" s="372">
        <v>85</v>
      </c>
      <c r="W518" s="44" t="s">
        <v>491</v>
      </c>
      <c r="X518" s="372">
        <v>12</v>
      </c>
      <c r="Y518" s="371">
        <f t="shared" si="259"/>
        <v>7.083333333333333</v>
      </c>
    </row>
    <row r="519" spans="1:25" s="49" customFormat="1" ht="15.75" customHeight="1" outlineLevel="1">
      <c r="A519" s="322"/>
      <c r="B519" s="322"/>
      <c r="C519" s="963" t="str">
        <f>D519</f>
        <v>12</v>
      </c>
      <c r="D519" s="244" t="s">
        <v>530</v>
      </c>
      <c r="E519" s="227" t="s">
        <v>283</v>
      </c>
      <c r="F519" s="227"/>
      <c r="G519" s="227"/>
      <c r="H519" s="227"/>
      <c r="I519" s="228" t="s">
        <v>11</v>
      </c>
      <c r="J519" s="228" t="s">
        <v>154</v>
      </c>
      <c r="K519" s="231" t="s">
        <v>155</v>
      </c>
      <c r="L519" s="219" t="s">
        <v>795</v>
      </c>
      <c r="M519" s="230" t="s">
        <v>15</v>
      </c>
      <c r="N519" s="231" t="s">
        <v>142</v>
      </c>
      <c r="O519" s="336"/>
      <c r="P519" s="314">
        <f>SUM(P520:P540)</f>
        <v>0</v>
      </c>
      <c r="Q519" s="56">
        <f ca="1">$P$519/custo_direto</f>
        <v>0</v>
      </c>
      <c r="S519" s="36"/>
      <c r="U519" s="368" t="s">
        <v>1572</v>
      </c>
      <c r="V519" s="372">
        <v>1.07</v>
      </c>
      <c r="W519" s="44" t="s">
        <v>491</v>
      </c>
      <c r="X519" s="372">
        <v>0.25</v>
      </c>
      <c r="Y519" s="371">
        <f t="shared" si="259"/>
        <v>4.28</v>
      </c>
    </row>
    <row r="520" spans="1:25" s="41" customFormat="1" ht="15.75" customHeight="1" outlineLevel="1">
      <c r="C520" s="507" t="str">
        <f t="shared" ref="C520:C539" ca="1" si="260">IF(OFFSET(C520,-1,0)&gt;="01",CONCATENATE(,OFFSET(C520,-1,0)+1),CONCATENATE((SUM(OFFSET(C520,-1,0)+1-(OFFSET(C520,-1,0))))))</f>
        <v>13</v>
      </c>
      <c r="D520" s="135" t="s">
        <v>711</v>
      </c>
      <c r="E520" s="1317" t="s">
        <v>297</v>
      </c>
      <c r="F520" s="1318"/>
      <c r="G520" s="1318"/>
      <c r="H520" s="1319"/>
      <c r="I520" s="104" t="s">
        <v>11</v>
      </c>
      <c r="J520" s="423"/>
      <c r="K520" s="308">
        <f t="shared" ref="K520:K539" si="261">meses_obra</f>
        <v>8</v>
      </c>
      <c r="L520" s="309"/>
      <c r="M520" s="310">
        <f t="shared" ref="M520:M538" si="262">IFERROR(IF((L520/K520)=0,100%,L520/K520),100%)</f>
        <v>1</v>
      </c>
      <c r="N520" s="338" t="s">
        <v>142</v>
      </c>
      <c r="O520" s="428">
        <v>250</v>
      </c>
      <c r="P520" s="339">
        <f t="shared" ref="P520:P539" si="263">J520*M520*O520</f>
        <v>0</v>
      </c>
      <c r="Q520" s="337"/>
      <c r="U520" s="368" t="s">
        <v>820</v>
      </c>
      <c r="V520" s="372">
        <v>0</v>
      </c>
      <c r="W520" s="44" t="s">
        <v>491</v>
      </c>
      <c r="X520" s="372" t="s">
        <v>142</v>
      </c>
      <c r="Y520" s="371">
        <f t="shared" si="259"/>
        <v>0</v>
      </c>
    </row>
    <row r="521" spans="1:25" s="41" customFormat="1" ht="15.75" customHeight="1" outlineLevel="1">
      <c r="C521" s="507" t="str">
        <f t="shared" ca="1" si="260"/>
        <v>14</v>
      </c>
      <c r="D521" s="135" t="s">
        <v>712</v>
      </c>
      <c r="E521" s="1314" t="s">
        <v>298</v>
      </c>
      <c r="F521" s="1315"/>
      <c r="G521" s="1315"/>
      <c r="H521" s="1316"/>
      <c r="I521" s="104" t="s">
        <v>11</v>
      </c>
      <c r="J521" s="423"/>
      <c r="K521" s="308">
        <f t="shared" si="261"/>
        <v>8</v>
      </c>
      <c r="L521" s="309"/>
      <c r="M521" s="310">
        <f t="shared" si="262"/>
        <v>1</v>
      </c>
      <c r="N521" s="338" t="s">
        <v>142</v>
      </c>
      <c r="O521" s="428">
        <v>250</v>
      </c>
      <c r="P521" s="339">
        <f t="shared" si="263"/>
        <v>0</v>
      </c>
      <c r="Q521" s="337"/>
      <c r="U521" s="368" t="s">
        <v>818</v>
      </c>
      <c r="V521" s="372">
        <v>19</v>
      </c>
      <c r="W521" s="44" t="s">
        <v>491</v>
      </c>
      <c r="X521" s="372">
        <v>3</v>
      </c>
      <c r="Y521" s="371">
        <f t="shared" si="259"/>
        <v>6.333333333333333</v>
      </c>
    </row>
    <row r="522" spans="1:25" s="41" customFormat="1" ht="15.75" customHeight="1" outlineLevel="1">
      <c r="C522" s="507" t="str">
        <f t="shared" ca="1" si="260"/>
        <v>15</v>
      </c>
      <c r="D522" s="135" t="s">
        <v>713</v>
      </c>
      <c r="E522" s="1314" t="s">
        <v>299</v>
      </c>
      <c r="F522" s="1315"/>
      <c r="G522" s="1315"/>
      <c r="H522" s="1316"/>
      <c r="I522" s="104" t="s">
        <v>11</v>
      </c>
      <c r="J522" s="423"/>
      <c r="K522" s="308">
        <f t="shared" si="261"/>
        <v>8</v>
      </c>
      <c r="L522" s="309"/>
      <c r="M522" s="310">
        <f t="shared" si="262"/>
        <v>1</v>
      </c>
      <c r="N522" s="338" t="s">
        <v>142</v>
      </c>
      <c r="O522" s="428">
        <v>400</v>
      </c>
      <c r="P522" s="339">
        <f t="shared" si="263"/>
        <v>0</v>
      </c>
      <c r="Q522" s="337"/>
      <c r="U522" s="368" t="s">
        <v>696</v>
      </c>
      <c r="V522" s="372">
        <v>2.8</v>
      </c>
      <c r="W522" s="44" t="s">
        <v>491</v>
      </c>
      <c r="X522" s="372">
        <v>2</v>
      </c>
      <c r="Y522" s="371">
        <f t="shared" si="259"/>
        <v>1.4</v>
      </c>
    </row>
    <row r="523" spans="1:25" s="41" customFormat="1" ht="15.75" customHeight="1" outlineLevel="1">
      <c r="C523" s="507" t="str">
        <f t="shared" ca="1" si="260"/>
        <v>16</v>
      </c>
      <c r="D523" s="135" t="s">
        <v>714</v>
      </c>
      <c r="E523" s="1314" t="s">
        <v>1436</v>
      </c>
      <c r="F523" s="1315"/>
      <c r="G523" s="1315"/>
      <c r="H523" s="1316"/>
      <c r="I523" s="104" t="s">
        <v>11</v>
      </c>
      <c r="J523" s="423"/>
      <c r="K523" s="308">
        <f t="shared" si="261"/>
        <v>8</v>
      </c>
      <c r="L523" s="309"/>
      <c r="M523" s="310">
        <f t="shared" si="262"/>
        <v>1</v>
      </c>
      <c r="N523" s="338" t="s">
        <v>142</v>
      </c>
      <c r="O523" s="428">
        <v>100</v>
      </c>
      <c r="P523" s="339">
        <f t="shared" si="263"/>
        <v>0</v>
      </c>
      <c r="Q523" s="337"/>
      <c r="U523" s="368" t="s">
        <v>697</v>
      </c>
      <c r="V523" s="372">
        <v>9.26</v>
      </c>
      <c r="W523" s="44" t="s">
        <v>491</v>
      </c>
      <c r="X523" s="372" t="s">
        <v>142</v>
      </c>
      <c r="Y523" s="371">
        <f t="shared" si="259"/>
        <v>0</v>
      </c>
    </row>
    <row r="524" spans="1:25" s="41" customFormat="1" ht="15.75" customHeight="1" outlineLevel="1">
      <c r="C524" s="507" t="str">
        <f t="shared" ca="1" si="260"/>
        <v>17</v>
      </c>
      <c r="D524" s="135" t="s">
        <v>715</v>
      </c>
      <c r="E524" s="1314" t="s">
        <v>300</v>
      </c>
      <c r="F524" s="1315"/>
      <c r="G524" s="1315"/>
      <c r="H524" s="1316"/>
      <c r="I524" s="104" t="s">
        <v>11</v>
      </c>
      <c r="J524" s="423"/>
      <c r="K524" s="308">
        <f t="shared" si="261"/>
        <v>8</v>
      </c>
      <c r="L524" s="309"/>
      <c r="M524" s="310">
        <f t="shared" si="262"/>
        <v>1</v>
      </c>
      <c r="N524" s="338" t="s">
        <v>142</v>
      </c>
      <c r="O524" s="428">
        <v>150</v>
      </c>
      <c r="P524" s="339">
        <f t="shared" si="263"/>
        <v>0</v>
      </c>
      <c r="Q524" s="337"/>
      <c r="U524" s="368" t="s">
        <v>825</v>
      </c>
      <c r="V524" s="372">
        <v>0</v>
      </c>
      <c r="W524" s="44" t="s">
        <v>491</v>
      </c>
      <c r="X524" s="372" t="s">
        <v>142</v>
      </c>
      <c r="Y524" s="371">
        <f t="shared" si="259"/>
        <v>0</v>
      </c>
    </row>
    <row r="525" spans="1:25" s="41" customFormat="1" ht="15.75" customHeight="1" outlineLevel="1">
      <c r="C525" s="507" t="str">
        <f t="shared" ca="1" si="260"/>
        <v>18</v>
      </c>
      <c r="D525" s="135" t="s">
        <v>716</v>
      </c>
      <c r="E525" s="1314" t="s">
        <v>301</v>
      </c>
      <c r="F525" s="1315"/>
      <c r="G525" s="1315"/>
      <c r="H525" s="1316"/>
      <c r="I525" s="104" t="s">
        <v>11</v>
      </c>
      <c r="J525" s="423"/>
      <c r="K525" s="308">
        <f t="shared" si="261"/>
        <v>8</v>
      </c>
      <c r="L525" s="309"/>
      <c r="M525" s="310">
        <f t="shared" si="262"/>
        <v>1</v>
      </c>
      <c r="N525" s="338" t="s">
        <v>142</v>
      </c>
      <c r="O525" s="428">
        <v>2500</v>
      </c>
      <c r="P525" s="339">
        <f t="shared" si="263"/>
        <v>0</v>
      </c>
      <c r="Q525" s="337"/>
      <c r="U525" s="368" t="s">
        <v>1573</v>
      </c>
      <c r="V525" s="372">
        <v>7.5</v>
      </c>
      <c r="W525" s="44" t="s">
        <v>491</v>
      </c>
      <c r="X525" s="372">
        <v>0.25</v>
      </c>
      <c r="Y525" s="371">
        <f t="shared" si="259"/>
        <v>30</v>
      </c>
    </row>
    <row r="526" spans="1:25" ht="15.75" customHeight="1" outlineLevel="1">
      <c r="C526" s="507" t="str">
        <f t="shared" ca="1" si="260"/>
        <v>19</v>
      </c>
      <c r="D526" s="135" t="s">
        <v>717</v>
      </c>
      <c r="E526" s="1308" t="s">
        <v>284</v>
      </c>
      <c r="F526" s="1309"/>
      <c r="G526" s="1309"/>
      <c r="H526" s="1310"/>
      <c r="I526" s="104" t="s">
        <v>11</v>
      </c>
      <c r="J526" s="423"/>
      <c r="K526" s="308">
        <f t="shared" si="261"/>
        <v>8</v>
      </c>
      <c r="L526" s="309"/>
      <c r="M526" s="310">
        <f t="shared" si="262"/>
        <v>1</v>
      </c>
      <c r="N526" s="338" t="s">
        <v>142</v>
      </c>
      <c r="O526" s="421">
        <v>1000</v>
      </c>
      <c r="P526" s="339">
        <f t="shared" si="263"/>
        <v>0</v>
      </c>
      <c r="Q526" s="337"/>
      <c r="U526" s="368" t="s">
        <v>824</v>
      </c>
      <c r="V526" s="372">
        <v>2.5</v>
      </c>
      <c r="W526" s="44" t="s">
        <v>491</v>
      </c>
      <c r="X526" s="372" t="s">
        <v>142</v>
      </c>
      <c r="Y526" s="371">
        <f t="shared" si="259"/>
        <v>0</v>
      </c>
    </row>
    <row r="527" spans="1:25" ht="15.75" customHeight="1" outlineLevel="1">
      <c r="C527" s="507" t="str">
        <f t="shared" ca="1" si="260"/>
        <v>20</v>
      </c>
      <c r="D527" s="135" t="s">
        <v>718</v>
      </c>
      <c r="E527" s="1308" t="s">
        <v>285</v>
      </c>
      <c r="F527" s="1309"/>
      <c r="G527" s="1309"/>
      <c r="H527" s="1310"/>
      <c r="I527" s="104" t="s">
        <v>11</v>
      </c>
      <c r="J527" s="423"/>
      <c r="K527" s="308">
        <f t="shared" si="261"/>
        <v>8</v>
      </c>
      <c r="L527" s="309"/>
      <c r="M527" s="310">
        <f t="shared" si="262"/>
        <v>1</v>
      </c>
      <c r="N527" s="338" t="s">
        <v>142</v>
      </c>
      <c r="O527" s="421">
        <v>1000</v>
      </c>
      <c r="P527" s="339">
        <f t="shared" si="263"/>
        <v>0</v>
      </c>
      <c r="Q527" s="337"/>
      <c r="U527" s="368" t="s">
        <v>698</v>
      </c>
      <c r="V527" s="372">
        <v>0</v>
      </c>
      <c r="W527" s="44" t="s">
        <v>491</v>
      </c>
      <c r="X527" s="372" t="s">
        <v>142</v>
      </c>
      <c r="Y527" s="371">
        <f t="shared" si="259"/>
        <v>0</v>
      </c>
    </row>
    <row r="528" spans="1:25" ht="15.75" customHeight="1" outlineLevel="1">
      <c r="C528" s="507" t="str">
        <f t="shared" ca="1" si="260"/>
        <v>21</v>
      </c>
      <c r="D528" s="135" t="s">
        <v>719</v>
      </c>
      <c r="E528" s="1304" t="s">
        <v>295</v>
      </c>
      <c r="F528" s="1305"/>
      <c r="G528" s="1305"/>
      <c r="H528" s="1306"/>
      <c r="I528" s="104" t="s">
        <v>11</v>
      </c>
      <c r="J528" s="423"/>
      <c r="K528" s="308">
        <f t="shared" si="261"/>
        <v>8</v>
      </c>
      <c r="L528" s="309"/>
      <c r="M528" s="310">
        <f t="shared" si="262"/>
        <v>1</v>
      </c>
      <c r="N528" s="338" t="s">
        <v>142</v>
      </c>
      <c r="O528" s="421">
        <v>1000</v>
      </c>
      <c r="P528" s="339">
        <f t="shared" si="263"/>
        <v>0</v>
      </c>
      <c r="Q528" s="337"/>
      <c r="U528" s="368" t="s">
        <v>819</v>
      </c>
      <c r="V528" s="372">
        <v>0</v>
      </c>
      <c r="W528" s="44" t="s">
        <v>491</v>
      </c>
      <c r="X528" s="372" t="s">
        <v>142</v>
      </c>
      <c r="Y528" s="371">
        <f t="shared" si="259"/>
        <v>0</v>
      </c>
    </row>
    <row r="529" spans="1:25" ht="15.75" customHeight="1" outlineLevel="1">
      <c r="C529" s="507" t="str">
        <f t="shared" ca="1" si="260"/>
        <v>22</v>
      </c>
      <c r="D529" s="135" t="s">
        <v>720</v>
      </c>
      <c r="E529" s="1304" t="s">
        <v>296</v>
      </c>
      <c r="F529" s="1305"/>
      <c r="G529" s="1305"/>
      <c r="H529" s="1306"/>
      <c r="I529" s="104" t="s">
        <v>11</v>
      </c>
      <c r="J529" s="423"/>
      <c r="K529" s="308">
        <f t="shared" si="261"/>
        <v>8</v>
      </c>
      <c r="L529" s="309"/>
      <c r="M529" s="310">
        <f t="shared" si="262"/>
        <v>1</v>
      </c>
      <c r="N529" s="338" t="s">
        <v>142</v>
      </c>
      <c r="O529" s="421">
        <v>1000</v>
      </c>
      <c r="P529" s="339">
        <f t="shared" si="263"/>
        <v>0</v>
      </c>
      <c r="Q529" s="337"/>
      <c r="U529" s="368" t="s">
        <v>821</v>
      </c>
      <c r="V529" s="372">
        <v>0</v>
      </c>
      <c r="W529" s="44" t="s">
        <v>491</v>
      </c>
      <c r="X529" s="372" t="s">
        <v>142</v>
      </c>
      <c r="Y529" s="371">
        <f t="shared" si="259"/>
        <v>0</v>
      </c>
    </row>
    <row r="530" spans="1:25" ht="15.75" customHeight="1" outlineLevel="1">
      <c r="C530" s="507" t="str">
        <f t="shared" ca="1" si="260"/>
        <v>23</v>
      </c>
      <c r="D530" s="135" t="s">
        <v>721</v>
      </c>
      <c r="E530" s="1308" t="s">
        <v>287</v>
      </c>
      <c r="F530" s="1309"/>
      <c r="G530" s="1309"/>
      <c r="H530" s="1310"/>
      <c r="I530" s="104" t="s">
        <v>11</v>
      </c>
      <c r="J530" s="423"/>
      <c r="K530" s="308">
        <f t="shared" si="261"/>
        <v>8</v>
      </c>
      <c r="L530" s="309"/>
      <c r="M530" s="310">
        <f t="shared" si="262"/>
        <v>1</v>
      </c>
      <c r="N530" s="338" t="s">
        <v>142</v>
      </c>
      <c r="O530" s="421">
        <v>1000</v>
      </c>
      <c r="P530" s="339">
        <f t="shared" si="263"/>
        <v>0</v>
      </c>
      <c r="Q530" s="337"/>
      <c r="U530" s="368" t="s">
        <v>827</v>
      </c>
      <c r="V530" s="372">
        <v>0.8</v>
      </c>
      <c r="W530" s="44" t="s">
        <v>492</v>
      </c>
      <c r="X530" s="372">
        <v>2</v>
      </c>
      <c r="Y530" s="371">
        <f t="shared" si="259"/>
        <v>0.4</v>
      </c>
    </row>
    <row r="531" spans="1:25" ht="15.75" customHeight="1" outlineLevel="1">
      <c r="C531" s="507" t="str">
        <f t="shared" ca="1" si="260"/>
        <v>24</v>
      </c>
      <c r="D531" s="135" t="s">
        <v>722</v>
      </c>
      <c r="E531" s="1304" t="s">
        <v>288</v>
      </c>
      <c r="F531" s="1305"/>
      <c r="G531" s="1305"/>
      <c r="H531" s="1306"/>
      <c r="I531" s="104" t="s">
        <v>11</v>
      </c>
      <c r="J531" s="423"/>
      <c r="K531" s="308">
        <f t="shared" si="261"/>
        <v>8</v>
      </c>
      <c r="L531" s="309"/>
      <c r="M531" s="310">
        <f t="shared" si="262"/>
        <v>1</v>
      </c>
      <c r="N531" s="338" t="s">
        <v>142</v>
      </c>
      <c r="O531" s="421">
        <v>1000</v>
      </c>
      <c r="P531" s="339">
        <f t="shared" si="263"/>
        <v>0</v>
      </c>
      <c r="Q531" s="337"/>
      <c r="S531" s="260"/>
      <c r="U531" s="368" t="s">
        <v>488</v>
      </c>
      <c r="V531" s="372">
        <v>22</v>
      </c>
      <c r="W531" s="44" t="s">
        <v>492</v>
      </c>
      <c r="X531" s="372">
        <v>8</v>
      </c>
      <c r="Y531" s="371">
        <f t="shared" si="259"/>
        <v>2.75</v>
      </c>
    </row>
    <row r="532" spans="1:25" ht="15.75" customHeight="1" outlineLevel="1">
      <c r="C532" s="507" t="str">
        <f t="shared" ca="1" si="260"/>
        <v>25</v>
      </c>
      <c r="D532" s="135" t="s">
        <v>723</v>
      </c>
      <c r="E532" s="1304" t="s">
        <v>289</v>
      </c>
      <c r="F532" s="1305"/>
      <c r="G532" s="1305"/>
      <c r="H532" s="1306"/>
      <c r="I532" s="104" t="s">
        <v>11</v>
      </c>
      <c r="J532" s="423"/>
      <c r="K532" s="308">
        <f t="shared" si="261"/>
        <v>8</v>
      </c>
      <c r="L532" s="309"/>
      <c r="M532" s="310">
        <f t="shared" si="262"/>
        <v>1</v>
      </c>
      <c r="N532" s="338" t="s">
        <v>142</v>
      </c>
      <c r="O532" s="421">
        <v>1000</v>
      </c>
      <c r="P532" s="339">
        <f t="shared" si="263"/>
        <v>0</v>
      </c>
      <c r="Q532" s="337"/>
      <c r="U532" s="373" t="s">
        <v>817</v>
      </c>
      <c r="V532" s="372">
        <v>15</v>
      </c>
      <c r="W532" s="44" t="s">
        <v>493</v>
      </c>
      <c r="X532" s="372">
        <v>1</v>
      </c>
      <c r="Y532" s="371">
        <f t="shared" si="259"/>
        <v>15</v>
      </c>
    </row>
    <row r="533" spans="1:25" ht="15.75" customHeight="1" outlineLevel="1">
      <c r="C533" s="507" t="str">
        <f t="shared" ca="1" si="260"/>
        <v>26</v>
      </c>
      <c r="D533" s="135" t="s">
        <v>724</v>
      </c>
      <c r="E533" s="1308" t="s">
        <v>290</v>
      </c>
      <c r="F533" s="1309"/>
      <c r="G533" s="1309"/>
      <c r="H533" s="1310"/>
      <c r="I533" s="104" t="s">
        <v>11</v>
      </c>
      <c r="J533" s="423"/>
      <c r="K533" s="308">
        <f t="shared" si="261"/>
        <v>8</v>
      </c>
      <c r="L533" s="309"/>
      <c r="M533" s="310">
        <f t="shared" si="262"/>
        <v>1</v>
      </c>
      <c r="N533" s="338" t="s">
        <v>142</v>
      </c>
      <c r="O533" s="421">
        <v>1000</v>
      </c>
      <c r="P533" s="339">
        <f t="shared" si="263"/>
        <v>0</v>
      </c>
      <c r="Q533" s="337"/>
      <c r="U533" s="373" t="s">
        <v>489</v>
      </c>
      <c r="V533" s="372">
        <v>7.55</v>
      </c>
      <c r="W533" s="44" t="s">
        <v>493</v>
      </c>
      <c r="X533" s="372">
        <v>12</v>
      </c>
      <c r="Y533" s="371">
        <f t="shared" si="259"/>
        <v>0.62916666666666665</v>
      </c>
    </row>
    <row r="534" spans="1:25" ht="15.75" customHeight="1" outlineLevel="1">
      <c r="C534" s="507" t="str">
        <f t="shared" ca="1" si="260"/>
        <v>27</v>
      </c>
      <c r="D534" s="135" t="s">
        <v>725</v>
      </c>
      <c r="E534" s="1308" t="s">
        <v>291</v>
      </c>
      <c r="F534" s="1309"/>
      <c r="G534" s="1309"/>
      <c r="H534" s="1310"/>
      <c r="I534" s="104" t="s">
        <v>11</v>
      </c>
      <c r="J534" s="423"/>
      <c r="K534" s="308">
        <f t="shared" si="261"/>
        <v>8</v>
      </c>
      <c r="L534" s="309"/>
      <c r="M534" s="310">
        <f t="shared" si="262"/>
        <v>1</v>
      </c>
      <c r="N534" s="338" t="s">
        <v>142</v>
      </c>
      <c r="O534" s="421">
        <v>1000</v>
      </c>
      <c r="P534" s="339">
        <f t="shared" si="263"/>
        <v>0</v>
      </c>
      <c r="Q534" s="337"/>
      <c r="U534" s="633" t="s">
        <v>1440</v>
      </c>
      <c r="V534" s="372">
        <v>15</v>
      </c>
      <c r="W534" s="44" t="s">
        <v>494</v>
      </c>
      <c r="X534" s="372" t="s">
        <v>142</v>
      </c>
      <c r="Y534" s="371">
        <f t="shared" si="259"/>
        <v>0</v>
      </c>
    </row>
    <row r="535" spans="1:25" ht="15.75" customHeight="1" outlineLevel="1">
      <c r="C535" s="507" t="str">
        <f t="shared" ca="1" si="260"/>
        <v>28</v>
      </c>
      <c r="D535" s="135" t="s">
        <v>726</v>
      </c>
      <c r="E535" s="1308" t="s">
        <v>286</v>
      </c>
      <c r="F535" s="1309"/>
      <c r="G535" s="1309"/>
      <c r="H535" s="1310"/>
      <c r="I535" s="104" t="s">
        <v>11</v>
      </c>
      <c r="J535" s="423"/>
      <c r="K535" s="308">
        <f t="shared" si="261"/>
        <v>8</v>
      </c>
      <c r="L535" s="309"/>
      <c r="M535" s="310">
        <f t="shared" si="262"/>
        <v>1</v>
      </c>
      <c r="N535" s="338" t="s">
        <v>142</v>
      </c>
      <c r="O535" s="421">
        <v>1000</v>
      </c>
      <c r="P535" s="339">
        <f t="shared" si="263"/>
        <v>0</v>
      </c>
      <c r="Q535" s="337"/>
      <c r="U535" s="633" t="s">
        <v>828</v>
      </c>
      <c r="V535" s="372">
        <v>39.9</v>
      </c>
      <c r="W535" s="44" t="s">
        <v>494</v>
      </c>
      <c r="X535" s="372"/>
      <c r="Y535" s="371">
        <f>IFERROR(V535/X535,0)</f>
        <v>0</v>
      </c>
    </row>
    <row r="536" spans="1:25" ht="15.75" customHeight="1" outlineLevel="1">
      <c r="C536" s="507" t="str">
        <f t="shared" ca="1" si="260"/>
        <v>29</v>
      </c>
      <c r="D536" s="135" t="s">
        <v>727</v>
      </c>
      <c r="E536" s="1308" t="s">
        <v>292</v>
      </c>
      <c r="F536" s="1309"/>
      <c r="G536" s="1309"/>
      <c r="H536" s="1310"/>
      <c r="I536" s="104" t="s">
        <v>11</v>
      </c>
      <c r="J536" s="423"/>
      <c r="K536" s="308">
        <f t="shared" si="261"/>
        <v>8</v>
      </c>
      <c r="L536" s="309"/>
      <c r="M536" s="310">
        <f t="shared" si="262"/>
        <v>1</v>
      </c>
      <c r="N536" s="338" t="s">
        <v>142</v>
      </c>
      <c r="O536" s="421">
        <v>1000</v>
      </c>
      <c r="P536" s="339">
        <f t="shared" si="263"/>
        <v>0</v>
      </c>
      <c r="Q536" s="337"/>
      <c r="U536" s="368" t="s">
        <v>1441</v>
      </c>
      <c r="V536" s="370">
        <v>23.9</v>
      </c>
      <c r="W536" s="44" t="s">
        <v>494</v>
      </c>
      <c r="X536" s="622">
        <v>6</v>
      </c>
      <c r="Y536" s="371">
        <f t="shared" ref="Y536" si="264">IFERROR(V536/X536,0)</f>
        <v>3.9833333333333329</v>
      </c>
    </row>
    <row r="537" spans="1:25" ht="15.75" customHeight="1" outlineLevel="1">
      <c r="C537" s="507" t="str">
        <f t="shared" ca="1" si="260"/>
        <v>30</v>
      </c>
      <c r="D537" s="135" t="s">
        <v>728</v>
      </c>
      <c r="E537" s="1308" t="s">
        <v>293</v>
      </c>
      <c r="F537" s="1309"/>
      <c r="G537" s="1309"/>
      <c r="H537" s="1310"/>
      <c r="I537" s="104" t="s">
        <v>11</v>
      </c>
      <c r="J537" s="423"/>
      <c r="K537" s="308">
        <f t="shared" si="261"/>
        <v>8</v>
      </c>
      <c r="L537" s="309"/>
      <c r="M537" s="310">
        <f t="shared" si="262"/>
        <v>1</v>
      </c>
      <c r="N537" s="338" t="s">
        <v>142</v>
      </c>
      <c r="O537" s="421">
        <v>1000</v>
      </c>
      <c r="P537" s="339">
        <f t="shared" si="263"/>
        <v>0</v>
      </c>
      <c r="Q537" s="337"/>
      <c r="U537" s="368" t="s">
        <v>497</v>
      </c>
      <c r="V537" s="375">
        <f>média_salarial_ponderada</f>
        <v>1893.1</v>
      </c>
      <c r="X537" s="376" t="s">
        <v>498</v>
      </c>
      <c r="Y537" s="377">
        <f>SUM(Y517:Y536)</f>
        <v>86.025833333333324</v>
      </c>
    </row>
    <row r="538" spans="1:25" ht="15.75" customHeight="1" outlineLevel="1">
      <c r="C538" s="507" t="str">
        <f t="shared" ca="1" si="260"/>
        <v>31</v>
      </c>
      <c r="D538" s="135" t="s">
        <v>729</v>
      </c>
      <c r="E538" s="1304" t="s">
        <v>294</v>
      </c>
      <c r="F538" s="1305"/>
      <c r="G538" s="1305"/>
      <c r="H538" s="1306"/>
      <c r="I538" s="104" t="s">
        <v>11</v>
      </c>
      <c r="J538" s="423"/>
      <c r="K538" s="308">
        <f t="shared" si="261"/>
        <v>8</v>
      </c>
      <c r="L538" s="309"/>
      <c r="M538" s="310">
        <f t="shared" si="262"/>
        <v>1</v>
      </c>
      <c r="N538" s="338" t="s">
        <v>142</v>
      </c>
      <c r="O538" s="421">
        <v>1000</v>
      </c>
      <c r="P538" s="339">
        <f t="shared" si="263"/>
        <v>0</v>
      </c>
      <c r="Q538" s="337"/>
      <c r="R538" s="260"/>
      <c r="U538" s="234"/>
      <c r="Y538" s="59"/>
    </row>
    <row r="539" spans="1:25" ht="15.75" customHeight="1" outlineLevel="1">
      <c r="C539" s="507" t="str">
        <f t="shared" ca="1" si="260"/>
        <v>32</v>
      </c>
      <c r="D539" s="135" t="s">
        <v>730</v>
      </c>
      <c r="E539" s="1304"/>
      <c r="F539" s="1305"/>
      <c r="G539" s="1305"/>
      <c r="H539" s="1306"/>
      <c r="I539" s="104" t="s">
        <v>11</v>
      </c>
      <c r="J539" s="411"/>
      <c r="K539" s="308">
        <f t="shared" si="261"/>
        <v>8</v>
      </c>
      <c r="L539" s="309"/>
      <c r="M539" s="310">
        <f>IFERROR(IF((L539/K539)=0,100%,L539/K539),100%)</f>
        <v>1</v>
      </c>
      <c r="N539" s="338" t="s">
        <v>142</v>
      </c>
      <c r="O539" s="421">
        <v>1000</v>
      </c>
      <c r="P539" s="339">
        <f t="shared" si="263"/>
        <v>0</v>
      </c>
      <c r="Q539" s="337"/>
      <c r="T539" s="260"/>
      <c r="U539" s="1298" t="s">
        <v>826</v>
      </c>
      <c r="V539" s="1299"/>
      <c r="W539" s="1299"/>
      <c r="X539" s="1299"/>
      <c r="Y539" s="1300"/>
    </row>
    <row r="540" spans="1:25" ht="15.75" customHeight="1" outlineLevel="1">
      <c r="C540" s="507"/>
      <c r="D540" s="349"/>
      <c r="E540" s="112"/>
      <c r="F540" s="113"/>
      <c r="G540" s="113"/>
      <c r="H540" s="116"/>
      <c r="I540" s="113"/>
      <c r="J540" s="113"/>
      <c r="K540" s="113"/>
      <c r="L540" s="113"/>
      <c r="M540" s="350"/>
      <c r="N540" s="113"/>
      <c r="O540" s="351"/>
      <c r="P540" s="142"/>
      <c r="Q540" s="337"/>
      <c r="T540" s="260"/>
      <c r="U540" s="365" t="s">
        <v>145</v>
      </c>
      <c r="V540" s="366" t="s">
        <v>495</v>
      </c>
      <c r="W540" s="366"/>
      <c r="X540" s="366" t="s">
        <v>496</v>
      </c>
      <c r="Y540" s="367" t="s">
        <v>487</v>
      </c>
    </row>
    <row r="541" spans="1:25" s="49" customFormat="1" ht="15.75" customHeight="1" outlineLevel="1">
      <c r="A541" s="322"/>
      <c r="B541" s="322"/>
      <c r="C541" s="507" t="str">
        <f>D541</f>
        <v>09</v>
      </c>
      <c r="D541" s="215" t="s">
        <v>527</v>
      </c>
      <c r="E541" s="227" t="s">
        <v>371</v>
      </c>
      <c r="F541" s="227"/>
      <c r="G541" s="227"/>
      <c r="H541" s="227"/>
      <c r="I541" s="228" t="s">
        <v>11</v>
      </c>
      <c r="J541" s="228" t="s">
        <v>154</v>
      </c>
      <c r="K541" s="231" t="s">
        <v>155</v>
      </c>
      <c r="L541" s="219" t="s">
        <v>795</v>
      </c>
      <c r="M541" s="230" t="s">
        <v>15</v>
      </c>
      <c r="N541" s="231" t="s">
        <v>123</v>
      </c>
      <c r="O541" s="257"/>
      <c r="P541" s="314">
        <f>SUM(P542:P555)</f>
        <v>0</v>
      </c>
      <c r="Q541" s="56">
        <f ca="1">$P$541/custo_direto</f>
        <v>0</v>
      </c>
      <c r="S541" s="260"/>
      <c r="T541" s="260"/>
      <c r="U541" s="368" t="s">
        <v>694</v>
      </c>
      <c r="V541" s="370">
        <v>85</v>
      </c>
      <c r="W541" s="44" t="s">
        <v>490</v>
      </c>
      <c r="X541" s="370">
        <v>6</v>
      </c>
      <c r="Y541" s="371">
        <f t="shared" ref="Y541:Y560" si="265">IFERROR(V541/X541,0)</f>
        <v>14.166666666666666</v>
      </c>
    </row>
    <row r="542" spans="1:25" ht="15.75" customHeight="1" outlineLevel="1">
      <c r="C542" s="507" t="str">
        <f t="shared" ref="C542:C554" ca="1" si="266">IF(OFFSET(C542,-1,0)&gt;="01",CONCATENATE(,OFFSET(C542,-1,0)+1),CONCATENATE((SUM(OFFSET(C542,-1,0)+1-(OFFSET(C542,-1,0))))))</f>
        <v>10</v>
      </c>
      <c r="D542" s="135" t="s">
        <v>676</v>
      </c>
      <c r="E542" s="1311" t="s">
        <v>471</v>
      </c>
      <c r="F542" s="1312"/>
      <c r="G542" s="1312"/>
      <c r="H542" s="1313"/>
      <c r="I542" s="355" t="s">
        <v>0</v>
      </c>
      <c r="J542" s="427"/>
      <c r="K542" s="308">
        <f t="shared" ref="K542:K554" si="267">meses_obra</f>
        <v>8</v>
      </c>
      <c r="L542" s="309"/>
      <c r="M542" s="310">
        <f t="shared" ref="M542:M554" si="268">IFERROR(IF((L542/K542)=0,100%,L542/K542),100%)</f>
        <v>1</v>
      </c>
      <c r="N542" s="338" t="s">
        <v>142</v>
      </c>
      <c r="O542" s="426">
        <v>0</v>
      </c>
      <c r="P542" s="357">
        <f t="shared" ref="P542:P554" si="269">J542*M542*O542</f>
        <v>0</v>
      </c>
      <c r="Q542" s="337"/>
      <c r="T542" s="260"/>
      <c r="U542" s="368" t="s">
        <v>695</v>
      </c>
      <c r="V542" s="372">
        <v>85</v>
      </c>
      <c r="W542" s="44" t="s">
        <v>491</v>
      </c>
      <c r="X542" s="372">
        <v>12</v>
      </c>
      <c r="Y542" s="371">
        <f t="shared" si="265"/>
        <v>7.083333333333333</v>
      </c>
    </row>
    <row r="543" spans="1:25" ht="15.75" customHeight="1" outlineLevel="1">
      <c r="C543" s="507" t="str">
        <f t="shared" ca="1" si="266"/>
        <v>11</v>
      </c>
      <c r="D543" s="135" t="s">
        <v>677</v>
      </c>
      <c r="E543" s="1308" t="s">
        <v>472</v>
      </c>
      <c r="F543" s="1309"/>
      <c r="G543" s="1309"/>
      <c r="H543" s="1310"/>
      <c r="I543" s="104" t="s">
        <v>0</v>
      </c>
      <c r="J543" s="409"/>
      <c r="K543" s="308">
        <f t="shared" si="267"/>
        <v>8</v>
      </c>
      <c r="L543" s="309"/>
      <c r="M543" s="310">
        <f t="shared" si="268"/>
        <v>1</v>
      </c>
      <c r="N543" s="338" t="s">
        <v>142</v>
      </c>
      <c r="O543" s="421">
        <v>0</v>
      </c>
      <c r="P543" s="339">
        <f t="shared" si="269"/>
        <v>0</v>
      </c>
      <c r="Q543" s="337"/>
      <c r="T543" s="260"/>
      <c r="U543" s="368" t="s">
        <v>1572</v>
      </c>
      <c r="V543" s="372">
        <v>1.07</v>
      </c>
      <c r="W543" s="44" t="s">
        <v>491</v>
      </c>
      <c r="X543" s="372">
        <v>0.5</v>
      </c>
      <c r="Y543" s="371">
        <f t="shared" si="265"/>
        <v>2.14</v>
      </c>
    </row>
    <row r="544" spans="1:25" ht="15.75" customHeight="1" outlineLevel="1">
      <c r="C544" s="507" t="str">
        <f t="shared" ca="1" si="266"/>
        <v>12</v>
      </c>
      <c r="D544" s="135" t="s">
        <v>678</v>
      </c>
      <c r="E544" s="1308" t="s">
        <v>473</v>
      </c>
      <c r="F544" s="1309"/>
      <c r="G544" s="1309"/>
      <c r="H544" s="1310"/>
      <c r="I544" s="104" t="s">
        <v>0</v>
      </c>
      <c r="J544" s="409"/>
      <c r="K544" s="308">
        <f t="shared" si="267"/>
        <v>8</v>
      </c>
      <c r="L544" s="309"/>
      <c r="M544" s="310">
        <f t="shared" si="268"/>
        <v>1</v>
      </c>
      <c r="N544" s="338" t="s">
        <v>142</v>
      </c>
      <c r="O544" s="421">
        <v>0</v>
      </c>
      <c r="P544" s="339">
        <f t="shared" si="269"/>
        <v>0</v>
      </c>
      <c r="Q544" s="337"/>
      <c r="T544" s="260"/>
      <c r="U544" s="368" t="s">
        <v>820</v>
      </c>
      <c r="V544" s="372">
        <v>0</v>
      </c>
      <c r="W544" s="44" t="s">
        <v>491</v>
      </c>
      <c r="X544" s="372" t="s">
        <v>142</v>
      </c>
      <c r="Y544" s="371">
        <f t="shared" si="265"/>
        <v>0</v>
      </c>
    </row>
    <row r="545" spans="3:30" ht="15.75" customHeight="1" outlineLevel="1">
      <c r="C545" s="507" t="str">
        <f t="shared" ca="1" si="266"/>
        <v>13</v>
      </c>
      <c r="D545" s="135" t="s">
        <v>679</v>
      </c>
      <c r="E545" s="1308" t="s">
        <v>474</v>
      </c>
      <c r="F545" s="1309"/>
      <c r="G545" s="1309"/>
      <c r="H545" s="1310"/>
      <c r="I545" s="104" t="s">
        <v>0</v>
      </c>
      <c r="J545" s="409"/>
      <c r="K545" s="308">
        <f t="shared" si="267"/>
        <v>8</v>
      </c>
      <c r="L545" s="309"/>
      <c r="M545" s="310">
        <f t="shared" si="268"/>
        <v>1</v>
      </c>
      <c r="N545" s="338" t="s">
        <v>142</v>
      </c>
      <c r="O545" s="421">
        <v>0</v>
      </c>
      <c r="P545" s="339">
        <f t="shared" si="269"/>
        <v>0</v>
      </c>
      <c r="Q545" s="337"/>
      <c r="T545" s="260"/>
      <c r="U545" s="368" t="s">
        <v>818</v>
      </c>
      <c r="V545" s="372">
        <v>19</v>
      </c>
      <c r="W545" s="44" t="s">
        <v>491</v>
      </c>
      <c r="X545" s="372">
        <v>3</v>
      </c>
      <c r="Y545" s="371">
        <f t="shared" si="265"/>
        <v>6.333333333333333</v>
      </c>
    </row>
    <row r="546" spans="3:30" ht="15.75" customHeight="1" outlineLevel="1">
      <c r="C546" s="507" t="str">
        <f t="shared" ca="1" si="266"/>
        <v>14</v>
      </c>
      <c r="D546" s="135" t="s">
        <v>680</v>
      </c>
      <c r="E546" s="1308" t="s">
        <v>475</v>
      </c>
      <c r="F546" s="1309"/>
      <c r="G546" s="1309"/>
      <c r="H546" s="1310"/>
      <c r="I546" s="104" t="s">
        <v>0</v>
      </c>
      <c r="J546" s="409"/>
      <c r="K546" s="308">
        <f t="shared" si="267"/>
        <v>8</v>
      </c>
      <c r="L546" s="309"/>
      <c r="M546" s="310">
        <f t="shared" si="268"/>
        <v>1</v>
      </c>
      <c r="N546" s="338" t="s">
        <v>142</v>
      </c>
      <c r="O546" s="421">
        <v>0</v>
      </c>
      <c r="P546" s="339">
        <f t="shared" si="269"/>
        <v>0</v>
      </c>
      <c r="Q546" s="337"/>
      <c r="T546" s="260"/>
      <c r="U546" s="368" t="s">
        <v>696</v>
      </c>
      <c r="V546" s="372">
        <v>2.8</v>
      </c>
      <c r="W546" s="44" t="s">
        <v>491</v>
      </c>
      <c r="X546" s="372">
        <v>2</v>
      </c>
      <c r="Y546" s="371">
        <f t="shared" si="265"/>
        <v>1.4</v>
      </c>
    </row>
    <row r="547" spans="3:30" ht="15.75" customHeight="1" outlineLevel="1">
      <c r="C547" s="507" t="str">
        <f t="shared" ca="1" si="266"/>
        <v>15</v>
      </c>
      <c r="D547" s="135" t="s">
        <v>681</v>
      </c>
      <c r="E547" s="1308" t="s">
        <v>476</v>
      </c>
      <c r="F547" s="1309"/>
      <c r="G547" s="1309"/>
      <c r="H547" s="1310"/>
      <c r="I547" s="104" t="s">
        <v>0</v>
      </c>
      <c r="J547" s="409"/>
      <c r="K547" s="308">
        <f t="shared" si="267"/>
        <v>8</v>
      </c>
      <c r="L547" s="309"/>
      <c r="M547" s="310">
        <f t="shared" si="268"/>
        <v>1</v>
      </c>
      <c r="N547" s="338" t="s">
        <v>142</v>
      </c>
      <c r="O547" s="421">
        <v>0</v>
      </c>
      <c r="P547" s="339">
        <f t="shared" si="269"/>
        <v>0</v>
      </c>
      <c r="Q547" s="337"/>
      <c r="T547" s="260"/>
      <c r="U547" s="368" t="s">
        <v>697</v>
      </c>
      <c r="V547" s="372">
        <v>9.26</v>
      </c>
      <c r="W547" s="44" t="s">
        <v>491</v>
      </c>
      <c r="X547" s="372">
        <v>0.25</v>
      </c>
      <c r="Y547" s="371">
        <f t="shared" si="265"/>
        <v>37.04</v>
      </c>
    </row>
    <row r="548" spans="3:30" ht="15.75" customHeight="1" outlineLevel="1">
      <c r="C548" s="507" t="str">
        <f t="shared" ca="1" si="266"/>
        <v>16</v>
      </c>
      <c r="D548" s="135" t="s">
        <v>682</v>
      </c>
      <c r="E548" s="1308" t="s">
        <v>477</v>
      </c>
      <c r="F548" s="1309"/>
      <c r="G548" s="1309"/>
      <c r="H548" s="1310"/>
      <c r="I548" s="104" t="s">
        <v>0</v>
      </c>
      <c r="J548" s="409"/>
      <c r="K548" s="308">
        <f t="shared" si="267"/>
        <v>8</v>
      </c>
      <c r="L548" s="309"/>
      <c r="M548" s="310">
        <f t="shared" si="268"/>
        <v>1</v>
      </c>
      <c r="N548" s="338" t="s">
        <v>142</v>
      </c>
      <c r="O548" s="421">
        <v>0</v>
      </c>
      <c r="P548" s="339">
        <f t="shared" si="269"/>
        <v>0</v>
      </c>
      <c r="Q548" s="337"/>
      <c r="T548" s="260"/>
      <c r="U548" s="368" t="s">
        <v>825</v>
      </c>
      <c r="V548" s="372">
        <v>0</v>
      </c>
      <c r="W548" s="44" t="s">
        <v>491</v>
      </c>
      <c r="X548" s="372" t="s">
        <v>142</v>
      </c>
      <c r="Y548" s="371">
        <f t="shared" si="265"/>
        <v>0</v>
      </c>
    </row>
    <row r="549" spans="3:30" ht="15.75" customHeight="1" outlineLevel="1">
      <c r="C549" s="507" t="str">
        <f t="shared" ca="1" si="266"/>
        <v>17</v>
      </c>
      <c r="D549" s="135" t="s">
        <v>683</v>
      </c>
      <c r="E549" s="1308" t="s">
        <v>1468</v>
      </c>
      <c r="F549" s="1309"/>
      <c r="G549" s="1309"/>
      <c r="H549" s="1310"/>
      <c r="I549" s="104" t="s">
        <v>0</v>
      </c>
      <c r="J549" s="409"/>
      <c r="K549" s="308">
        <f t="shared" si="267"/>
        <v>8</v>
      </c>
      <c r="L549" s="309"/>
      <c r="M549" s="310">
        <f t="shared" si="268"/>
        <v>1</v>
      </c>
      <c r="N549" s="338" t="s">
        <v>142</v>
      </c>
      <c r="O549" s="421">
        <v>0</v>
      </c>
      <c r="P549" s="339">
        <f t="shared" si="269"/>
        <v>0</v>
      </c>
      <c r="Q549" s="337"/>
      <c r="T549" s="260"/>
      <c r="U549" s="368" t="s">
        <v>1573</v>
      </c>
      <c r="V549" s="372">
        <v>7.5</v>
      </c>
      <c r="W549" s="44" t="s">
        <v>491</v>
      </c>
      <c r="X549" s="372" t="s">
        <v>142</v>
      </c>
      <c r="Y549" s="371">
        <f t="shared" si="265"/>
        <v>0</v>
      </c>
    </row>
    <row r="550" spans="3:30" ht="15.75" customHeight="1" outlineLevel="1">
      <c r="C550" s="507" t="str">
        <f t="shared" ca="1" si="266"/>
        <v>18</v>
      </c>
      <c r="D550" s="135" t="s">
        <v>684</v>
      </c>
      <c r="E550" s="1308" t="s">
        <v>478</v>
      </c>
      <c r="F550" s="1309"/>
      <c r="G550" s="1309"/>
      <c r="H550" s="1310"/>
      <c r="I550" s="104" t="s">
        <v>0</v>
      </c>
      <c r="J550" s="409"/>
      <c r="K550" s="308">
        <f t="shared" si="267"/>
        <v>8</v>
      </c>
      <c r="L550" s="309"/>
      <c r="M550" s="310">
        <f t="shared" si="268"/>
        <v>1</v>
      </c>
      <c r="N550" s="338" t="s">
        <v>142</v>
      </c>
      <c r="O550" s="421">
        <v>0</v>
      </c>
      <c r="P550" s="339">
        <f t="shared" si="269"/>
        <v>0</v>
      </c>
      <c r="Q550" s="337"/>
      <c r="T550" s="260"/>
      <c r="U550" s="368" t="s">
        <v>824</v>
      </c>
      <c r="V550" s="372">
        <v>2.5</v>
      </c>
      <c r="W550" s="44" t="s">
        <v>491</v>
      </c>
      <c r="X550" s="372" t="s">
        <v>142</v>
      </c>
      <c r="Y550" s="371">
        <f t="shared" si="265"/>
        <v>0</v>
      </c>
    </row>
    <row r="551" spans="3:30" ht="15.75" customHeight="1" outlineLevel="1">
      <c r="C551" s="507" t="str">
        <f t="shared" ca="1" si="266"/>
        <v>19</v>
      </c>
      <c r="D551" s="135" t="s">
        <v>685</v>
      </c>
      <c r="E551" s="1308" t="s">
        <v>479</v>
      </c>
      <c r="F551" s="1309"/>
      <c r="G551" s="1309"/>
      <c r="H551" s="1310"/>
      <c r="I551" s="104" t="s">
        <v>0</v>
      </c>
      <c r="J551" s="409"/>
      <c r="K551" s="308">
        <f t="shared" si="267"/>
        <v>8</v>
      </c>
      <c r="L551" s="309"/>
      <c r="M551" s="310">
        <f t="shared" si="268"/>
        <v>1</v>
      </c>
      <c r="N551" s="338" t="s">
        <v>142</v>
      </c>
      <c r="O551" s="421">
        <v>0</v>
      </c>
      <c r="P551" s="339">
        <f t="shared" si="269"/>
        <v>0</v>
      </c>
      <c r="Q551" s="337"/>
      <c r="T551" s="260"/>
      <c r="U551" s="368" t="s">
        <v>698</v>
      </c>
      <c r="V551" s="372">
        <v>0</v>
      </c>
      <c r="W551" s="44" t="s">
        <v>491</v>
      </c>
      <c r="X551" s="372" t="s">
        <v>142</v>
      </c>
      <c r="Y551" s="371">
        <f t="shared" si="265"/>
        <v>0</v>
      </c>
    </row>
    <row r="552" spans="3:30" ht="15.75" customHeight="1" outlineLevel="1">
      <c r="C552" s="507" t="str">
        <f t="shared" ca="1" si="266"/>
        <v>20</v>
      </c>
      <c r="D552" s="135" t="s">
        <v>686</v>
      </c>
      <c r="E552" s="1308" t="s">
        <v>480</v>
      </c>
      <c r="F552" s="1309"/>
      <c r="G552" s="1309"/>
      <c r="H552" s="1310"/>
      <c r="I552" s="104" t="s">
        <v>0</v>
      </c>
      <c r="J552" s="409"/>
      <c r="K552" s="308">
        <f t="shared" si="267"/>
        <v>8</v>
      </c>
      <c r="L552" s="309"/>
      <c r="M552" s="310">
        <f t="shared" si="268"/>
        <v>1</v>
      </c>
      <c r="N552" s="338" t="s">
        <v>142</v>
      </c>
      <c r="O552" s="421">
        <v>0</v>
      </c>
      <c r="P552" s="339">
        <f t="shared" si="269"/>
        <v>0</v>
      </c>
      <c r="Q552" s="337"/>
      <c r="T552" s="260"/>
      <c r="U552" s="368" t="s">
        <v>819</v>
      </c>
      <c r="V552" s="372">
        <v>0</v>
      </c>
      <c r="W552" s="44" t="s">
        <v>491</v>
      </c>
      <c r="X552" s="372" t="s">
        <v>142</v>
      </c>
      <c r="Y552" s="371">
        <f t="shared" si="265"/>
        <v>0</v>
      </c>
    </row>
    <row r="553" spans="3:30" ht="15.75" customHeight="1" outlineLevel="1">
      <c r="C553" s="507" t="str">
        <f t="shared" ca="1" si="266"/>
        <v>21</v>
      </c>
      <c r="D553" s="135" t="s">
        <v>687</v>
      </c>
      <c r="E553" s="1308" t="s">
        <v>481</v>
      </c>
      <c r="F553" s="1309"/>
      <c r="G553" s="1309"/>
      <c r="H553" s="1310"/>
      <c r="I553" s="104" t="s">
        <v>0</v>
      </c>
      <c r="J553" s="409"/>
      <c r="K553" s="308">
        <f t="shared" si="267"/>
        <v>8</v>
      </c>
      <c r="L553" s="309"/>
      <c r="M553" s="310">
        <f t="shared" si="268"/>
        <v>1</v>
      </c>
      <c r="N553" s="338" t="s">
        <v>142</v>
      </c>
      <c r="O553" s="421">
        <v>0</v>
      </c>
      <c r="P553" s="339">
        <f t="shared" si="269"/>
        <v>0</v>
      </c>
      <c r="Q553" s="337"/>
      <c r="T553" s="260"/>
      <c r="U553" s="368" t="s">
        <v>821</v>
      </c>
      <c r="V553" s="372">
        <v>0</v>
      </c>
      <c r="W553" s="44" t="s">
        <v>491</v>
      </c>
      <c r="X553" s="372" t="s">
        <v>142</v>
      </c>
      <c r="Y553" s="371">
        <f t="shared" si="265"/>
        <v>0</v>
      </c>
    </row>
    <row r="554" spans="3:30" ht="15.75" customHeight="1" outlineLevel="1">
      <c r="C554" s="507" t="str">
        <f t="shared" ca="1" si="266"/>
        <v>22</v>
      </c>
      <c r="D554" s="135" t="s">
        <v>688</v>
      </c>
      <c r="E554" s="1304" t="s">
        <v>1456</v>
      </c>
      <c r="F554" s="1305"/>
      <c r="G554" s="1305"/>
      <c r="H554" s="1306"/>
      <c r="I554" s="104" t="s">
        <v>0</v>
      </c>
      <c r="J554" s="409"/>
      <c r="K554" s="308">
        <f t="shared" si="267"/>
        <v>8</v>
      </c>
      <c r="L554" s="309"/>
      <c r="M554" s="310">
        <f t="shared" si="268"/>
        <v>1</v>
      </c>
      <c r="N554" s="338" t="s">
        <v>142</v>
      </c>
      <c r="O554" s="421">
        <v>0</v>
      </c>
      <c r="P554" s="339">
        <f t="shared" si="269"/>
        <v>0</v>
      </c>
      <c r="Q554" s="337"/>
      <c r="T554" s="260"/>
      <c r="U554" s="368" t="s">
        <v>827</v>
      </c>
      <c r="V554" s="372">
        <v>0</v>
      </c>
      <c r="W554" s="44" t="s">
        <v>491</v>
      </c>
      <c r="X554" s="372" t="s">
        <v>142</v>
      </c>
      <c r="Y554" s="371">
        <f t="shared" si="265"/>
        <v>0</v>
      </c>
    </row>
    <row r="555" spans="3:30" ht="15.75" customHeight="1" outlineLevel="1">
      <c r="C555" s="507"/>
      <c r="D555" s="349"/>
      <c r="E555" s="112"/>
      <c r="F555" s="113"/>
      <c r="G555" s="113"/>
      <c r="H555" s="116"/>
      <c r="I555" s="113"/>
      <c r="J555" s="113"/>
      <c r="K555" s="113"/>
      <c r="L555" s="113"/>
      <c r="M555" s="350"/>
      <c r="N555" s="113"/>
      <c r="O555" s="351"/>
      <c r="P555" s="142"/>
      <c r="Q555" s="337"/>
      <c r="T555" s="260"/>
      <c r="U555" s="368" t="s">
        <v>488</v>
      </c>
      <c r="V555" s="372">
        <v>0.8</v>
      </c>
      <c r="W555" s="44" t="s">
        <v>492</v>
      </c>
      <c r="X555" s="372">
        <v>2</v>
      </c>
      <c r="Y555" s="371">
        <f t="shared" si="265"/>
        <v>0.4</v>
      </c>
    </row>
    <row r="556" spans="3:30" ht="15.75" customHeight="1" outlineLevel="1">
      <c r="C556" s="964"/>
      <c r="D556" s="381"/>
      <c r="E556" s="260"/>
      <c r="F556" s="260"/>
      <c r="G556" s="260"/>
      <c r="H556" s="260"/>
      <c r="I556" s="260"/>
      <c r="J556" s="260"/>
      <c r="K556" s="260"/>
      <c r="L556" s="382"/>
      <c r="M556" s="260"/>
      <c r="N556" s="260"/>
      <c r="O556" s="383"/>
      <c r="P556" s="260"/>
      <c r="Q556" s="260"/>
      <c r="R556" s="260"/>
      <c r="U556" s="373" t="s">
        <v>817</v>
      </c>
      <c r="V556" s="372">
        <v>15</v>
      </c>
      <c r="W556" s="44" t="s">
        <v>493</v>
      </c>
      <c r="X556" s="372">
        <v>1</v>
      </c>
      <c r="Y556" s="371">
        <f t="shared" si="265"/>
        <v>15</v>
      </c>
    </row>
    <row r="557" spans="3:30" ht="15.75" customHeight="1" outlineLevel="1">
      <c r="C557" s="507"/>
      <c r="D557" s="232"/>
      <c r="E557" s="276" t="s">
        <v>692</v>
      </c>
      <c r="F557" s="300"/>
      <c r="G557" s="300"/>
      <c r="H557" s="300"/>
      <c r="I557" s="300"/>
      <c r="J557" s="300"/>
      <c r="K557" s="300"/>
      <c r="L557" s="384"/>
      <c r="M557" s="300"/>
      <c r="N557" s="300"/>
      <c r="O557" s="385"/>
      <c r="P557" s="314">
        <f>controle_técnológico_valor+mobilização_terceiros_valor+treinamentos_valor+epi_valor+serviços_técnicos_valor+ferramentas_valor+equipamentos_valor+P541+canteiro_de_obras_valor+despesas_administrativas_valor+transportes_valor+alojamentos_valor+refeições_valor</f>
        <v>377865.63466677465</v>
      </c>
      <c r="Q557" s="56">
        <f ca="1">$P$557/custo_direto</f>
        <v>6.630446253115313E-2</v>
      </c>
      <c r="R557" s="260"/>
      <c r="U557" s="373" t="s">
        <v>489</v>
      </c>
      <c r="V557" s="372">
        <v>7.55</v>
      </c>
      <c r="W557" s="44" t="s">
        <v>493</v>
      </c>
      <c r="X557" s="372">
        <v>12</v>
      </c>
      <c r="Y557" s="371">
        <f t="shared" si="265"/>
        <v>0.62916666666666665</v>
      </c>
    </row>
    <row r="558" spans="3:30" ht="15.75" customHeight="1">
      <c r="C558" s="322"/>
      <c r="D558" s="49"/>
      <c r="H558" s="36"/>
      <c r="L558" s="386"/>
      <c r="M558" s="51"/>
      <c r="N558" s="51"/>
      <c r="O558" s="80"/>
      <c r="Q558" s="387"/>
      <c r="U558" s="633" t="s">
        <v>1440</v>
      </c>
      <c r="V558" s="372">
        <v>15</v>
      </c>
      <c r="W558" s="44" t="s">
        <v>494</v>
      </c>
      <c r="X558" s="372" t="s">
        <v>142</v>
      </c>
      <c r="Y558" s="371">
        <f t="shared" si="265"/>
        <v>0</v>
      </c>
    </row>
    <row r="559" spans="3:30" ht="15.75" customHeight="1">
      <c r="C559" s="322"/>
      <c r="D559" s="36" t="s">
        <v>183</v>
      </c>
      <c r="H559" s="36"/>
      <c r="L559" s="386"/>
      <c r="O559" s="80"/>
      <c r="Q559" s="387"/>
      <c r="U559" s="633" t="s">
        <v>828</v>
      </c>
      <c r="V559" s="372">
        <v>39.9</v>
      </c>
      <c r="W559" s="44" t="s">
        <v>494</v>
      </c>
      <c r="X559" s="372">
        <v>6</v>
      </c>
      <c r="Y559" s="371">
        <f t="shared" si="265"/>
        <v>6.6499999999999995</v>
      </c>
    </row>
    <row r="560" spans="3:30" ht="15.75" customHeight="1">
      <c r="D560" s="143"/>
      <c r="E560" s="143"/>
      <c r="H560" s="36"/>
      <c r="J560" s="58"/>
      <c r="U560" s="368" t="s">
        <v>1441</v>
      </c>
      <c r="V560" s="370">
        <v>23.9</v>
      </c>
      <c r="W560" s="44" t="s">
        <v>494</v>
      </c>
      <c r="X560" s="622" t="s">
        <v>142</v>
      </c>
      <c r="Y560" s="371">
        <f t="shared" si="265"/>
        <v>0</v>
      </c>
      <c r="AB560" s="80"/>
      <c r="AC560" s="80"/>
      <c r="AD560" s="80"/>
    </row>
    <row r="561" spans="4:43" ht="15.75" customHeight="1">
      <c r="D561" s="143"/>
      <c r="E561" s="143"/>
      <c r="H561" s="36"/>
      <c r="J561" s="58"/>
      <c r="U561" s="368" t="s">
        <v>497</v>
      </c>
      <c r="V561" s="375">
        <f>média_salarial_ponderada</f>
        <v>1893.1</v>
      </c>
      <c r="X561" s="376" t="s">
        <v>498</v>
      </c>
      <c r="Y561" s="377">
        <f>SUM(Y541:Y560)</f>
        <v>90.842500000000001</v>
      </c>
      <c r="AB561" s="127"/>
      <c r="AC561" s="127"/>
      <c r="AD561" s="173"/>
      <c r="AE561" s="127"/>
      <c r="AF561" s="127"/>
      <c r="AG561" s="127"/>
      <c r="AH561" s="127"/>
      <c r="AI561" s="127"/>
      <c r="AQ561" s="127"/>
    </row>
    <row r="562" spans="4:43" ht="15.75" customHeight="1">
      <c r="U562" s="378"/>
      <c r="V562" s="71"/>
      <c r="W562" s="71"/>
      <c r="X562" s="71"/>
      <c r="Y562" s="379"/>
    </row>
    <row r="563" spans="4:43" ht="15.75" customHeight="1">
      <c r="W563" s="40"/>
    </row>
    <row r="569" spans="4:43">
      <c r="W569" s="40"/>
    </row>
    <row r="570" spans="4:43">
      <c r="W570" s="40"/>
    </row>
    <row r="577" spans="22:27">
      <c r="V577" s="260"/>
      <c r="W577" s="49"/>
    </row>
    <row r="588" spans="22:27">
      <c r="Z588" s="49"/>
      <c r="AA588" s="49"/>
    </row>
    <row r="589" spans="22:27" ht="15">
      <c r="Z589" s="187"/>
      <c r="AA589" s="187"/>
    </row>
    <row r="590" spans="22:27" ht="15">
      <c r="Z590" s="299"/>
      <c r="AA590" s="299"/>
    </row>
    <row r="591" spans="22:27">
      <c r="V591" s="49"/>
      <c r="W591" s="49"/>
      <c r="X591" s="49"/>
      <c r="Y591" s="49"/>
    </row>
    <row r="592" spans="22:27" ht="15">
      <c r="V592" s="187"/>
      <c r="W592" s="187"/>
      <c r="X592" s="187"/>
      <c r="Y592" s="187"/>
    </row>
    <row r="593" spans="22:27" ht="15">
      <c r="V593" s="187"/>
      <c r="W593" s="188"/>
      <c r="X593" s="188"/>
      <c r="Y593" s="187"/>
    </row>
    <row r="594" spans="22:27">
      <c r="Z594" s="127"/>
      <c r="AA594" s="127"/>
    </row>
    <row r="596" spans="22:27">
      <c r="V596" s="87"/>
      <c r="W596" s="80"/>
    </row>
  </sheetData>
  <sheetProtection formatCells="0" formatColumns="0" formatRows="0" insertColumns="0" insertRows="0" deleteColumns="0" deleteRows="0"/>
  <dataConsolidate/>
  <mergeCells count="534">
    <mergeCell ref="Q307:Q308"/>
    <mergeCell ref="Q354:Q355"/>
    <mergeCell ref="Q451:Q452"/>
    <mergeCell ref="R300:V300"/>
    <mergeCell ref="E184:H184"/>
    <mergeCell ref="E183:H183"/>
    <mergeCell ref="E158:H158"/>
    <mergeCell ref="E157:H157"/>
    <mergeCell ref="E156:H156"/>
    <mergeCell ref="E230:H230"/>
    <mergeCell ref="E229:H229"/>
    <mergeCell ref="E176:H176"/>
    <mergeCell ref="E175:H175"/>
    <mergeCell ref="E174:H174"/>
    <mergeCell ref="E170:H170"/>
    <mergeCell ref="E228:H228"/>
    <mergeCell ref="E227:H227"/>
    <mergeCell ref="E299:H299"/>
    <mergeCell ref="E185:H185"/>
    <mergeCell ref="I307:I308"/>
    <mergeCell ref="J307:J308"/>
    <mergeCell ref="N307:N308"/>
    <mergeCell ref="O307:O308"/>
    <mergeCell ref="P307:P308"/>
    <mergeCell ref="Q232:Q233"/>
    <mergeCell ref="E154:H154"/>
    <mergeCell ref="E153:H153"/>
    <mergeCell ref="E152:H152"/>
    <mergeCell ref="E151:H151"/>
    <mergeCell ref="E92:G92"/>
    <mergeCell ref="E148:H148"/>
    <mergeCell ref="E143:H143"/>
    <mergeCell ref="E82:G82"/>
    <mergeCell ref="E150:H150"/>
    <mergeCell ref="E212:H212"/>
    <mergeCell ref="E210:H210"/>
    <mergeCell ref="E209:H209"/>
    <mergeCell ref="E208:H208"/>
    <mergeCell ref="E207:H207"/>
    <mergeCell ref="E206:H206"/>
    <mergeCell ref="O114:O116"/>
    <mergeCell ref="O117:O119"/>
    <mergeCell ref="E213:H213"/>
    <mergeCell ref="E142:H142"/>
    <mergeCell ref="E223:H223"/>
    <mergeCell ref="E222:H222"/>
    <mergeCell ref="E220:H220"/>
    <mergeCell ref="E219:H219"/>
    <mergeCell ref="E218:H218"/>
    <mergeCell ref="E217:H217"/>
    <mergeCell ref="E215:H215"/>
    <mergeCell ref="E214:H214"/>
    <mergeCell ref="V30:V31"/>
    <mergeCell ref="E81:G81"/>
    <mergeCell ref="E64:G64"/>
    <mergeCell ref="E63:G63"/>
    <mergeCell ref="E86:G86"/>
    <mergeCell ref="E65:G65"/>
    <mergeCell ref="E91:G91"/>
    <mergeCell ref="E90:G90"/>
    <mergeCell ref="E71:G71"/>
    <mergeCell ref="E70:G70"/>
    <mergeCell ref="E69:G69"/>
    <mergeCell ref="E68:G68"/>
    <mergeCell ref="E55:G55"/>
    <mergeCell ref="E54:G54"/>
    <mergeCell ref="E53:G53"/>
    <mergeCell ref="E52:G52"/>
    <mergeCell ref="E51:G51"/>
    <mergeCell ref="E50:G50"/>
    <mergeCell ref="E72:G72"/>
    <mergeCell ref="E105:G105"/>
    <mergeCell ref="Q481:Q482"/>
    <mergeCell ref="Q122:Q123"/>
    <mergeCell ref="E169:H169"/>
    <mergeCell ref="E168:H168"/>
    <mergeCell ref="E167:H167"/>
    <mergeCell ref="E166:H166"/>
    <mergeCell ref="E165:H165"/>
    <mergeCell ref="E164:H164"/>
    <mergeCell ref="E162:H162"/>
    <mergeCell ref="E161:H161"/>
    <mergeCell ref="E160:H160"/>
    <mergeCell ref="E181:H181"/>
    <mergeCell ref="E180:H180"/>
    <mergeCell ref="E179:H179"/>
    <mergeCell ref="E178:H178"/>
    <mergeCell ref="E177:H177"/>
    <mergeCell ref="K307:K308"/>
    <mergeCell ref="L307:L308"/>
    <mergeCell ref="M307:M308"/>
    <mergeCell ref="E216:H216"/>
    <mergeCell ref="K232:K233"/>
    <mergeCell ref="L232:L233"/>
    <mergeCell ref="E246:H246"/>
    <mergeCell ref="E245:H245"/>
    <mergeCell ref="E104:G104"/>
    <mergeCell ref="E103:G103"/>
    <mergeCell ref="E102:G102"/>
    <mergeCell ref="E99:G99"/>
    <mergeCell ref="E98:G98"/>
    <mergeCell ref="E97:G97"/>
    <mergeCell ref="E74:G74"/>
    <mergeCell ref="E73:G73"/>
    <mergeCell ref="E96:G96"/>
    <mergeCell ref="E95:G95"/>
    <mergeCell ref="E62:G62"/>
    <mergeCell ref="E61:G61"/>
    <mergeCell ref="E60:G60"/>
    <mergeCell ref="E89:G89"/>
    <mergeCell ref="E88:G88"/>
    <mergeCell ref="E87:G87"/>
    <mergeCell ref="E83:G83"/>
    <mergeCell ref="E80:G80"/>
    <mergeCell ref="E79:G79"/>
    <mergeCell ref="E78:G78"/>
    <mergeCell ref="E77:G77"/>
    <mergeCell ref="E76:G76"/>
    <mergeCell ref="E75:G75"/>
    <mergeCell ref="E57:G57"/>
    <mergeCell ref="E56:G56"/>
    <mergeCell ref="AV19:AW19"/>
    <mergeCell ref="AV32:AW32"/>
    <mergeCell ref="U19:U20"/>
    <mergeCell ref="U30:U31"/>
    <mergeCell ref="E19:H20"/>
    <mergeCell ref="E30:H31"/>
    <mergeCell ref="AE32:AG32"/>
    <mergeCell ref="AH32:AJ32"/>
    <mergeCell ref="AE19:AG19"/>
    <mergeCell ref="S30:T30"/>
    <mergeCell ref="I30:I31"/>
    <mergeCell ref="J30:J31"/>
    <mergeCell ref="K30:K31"/>
    <mergeCell ref="L30:L31"/>
    <mergeCell ref="E26:G26"/>
    <mergeCell ref="V19:V20"/>
    <mergeCell ref="AH19:AJ19"/>
    <mergeCell ref="Z19:AC20"/>
    <mergeCell ref="Z32:AC33"/>
    <mergeCell ref="S19:T19"/>
    <mergeCell ref="E25:G25"/>
    <mergeCell ref="E24:G24"/>
    <mergeCell ref="E23:G23"/>
    <mergeCell ref="E22:G22"/>
    <mergeCell ref="Q30:R30"/>
    <mergeCell ref="N30:N31"/>
    <mergeCell ref="E49:G49"/>
    <mergeCell ref="E48:G48"/>
    <mergeCell ref="E43:G43"/>
    <mergeCell ref="E42:G42"/>
    <mergeCell ref="E36:G36"/>
    <mergeCell ref="E35:G35"/>
    <mergeCell ref="E37:G37"/>
    <mergeCell ref="E47:G47"/>
    <mergeCell ref="E46:G46"/>
    <mergeCell ref="E45:G45"/>
    <mergeCell ref="E44:G44"/>
    <mergeCell ref="E41:G41"/>
    <mergeCell ref="E40:G40"/>
    <mergeCell ref="E39:G39"/>
    <mergeCell ref="E38:G38"/>
    <mergeCell ref="E236:H236"/>
    <mergeCell ref="E273:H273"/>
    <mergeCell ref="E272:H272"/>
    <mergeCell ref="E271:H271"/>
    <mergeCell ref="E270:H270"/>
    <mergeCell ref="E269:H269"/>
    <mergeCell ref="E268:H268"/>
    <mergeCell ref="E267:H267"/>
    <mergeCell ref="E266:H266"/>
    <mergeCell ref="E237:H237"/>
    <mergeCell ref="E248:H248"/>
    <mergeCell ref="E247:H247"/>
    <mergeCell ref="E288:H288"/>
    <mergeCell ref="E287:H287"/>
    <mergeCell ref="E286:H286"/>
    <mergeCell ref="E285:H285"/>
    <mergeCell ref="E333:H333"/>
    <mergeCell ref="E332:H332"/>
    <mergeCell ref="E331:H331"/>
    <mergeCell ref="E330:H330"/>
    <mergeCell ref="E329:H329"/>
    <mergeCell ref="E328:H328"/>
    <mergeCell ref="E302:H302"/>
    <mergeCell ref="E301:H301"/>
    <mergeCell ref="E322:H322"/>
    <mergeCell ref="E321:H321"/>
    <mergeCell ref="E320:H320"/>
    <mergeCell ref="E319:H319"/>
    <mergeCell ref="E318:H318"/>
    <mergeCell ref="E317:H317"/>
    <mergeCell ref="E316:H316"/>
    <mergeCell ref="E315:H315"/>
    <mergeCell ref="E314:H314"/>
    <mergeCell ref="E313:H313"/>
    <mergeCell ref="E312:H312"/>
    <mergeCell ref="E311:H311"/>
    <mergeCell ref="E337:H337"/>
    <mergeCell ref="E159:H159"/>
    <mergeCell ref="E149:H149"/>
    <mergeCell ref="E198:H198"/>
    <mergeCell ref="E197:H197"/>
    <mergeCell ref="E196:H196"/>
    <mergeCell ref="E195:H195"/>
    <mergeCell ref="E194:H194"/>
    <mergeCell ref="E193:H193"/>
    <mergeCell ref="E265:H265"/>
    <mergeCell ref="E264:H264"/>
    <mergeCell ref="E205:H205"/>
    <mergeCell ref="E204:H204"/>
    <mergeCell ref="E203:H203"/>
    <mergeCell ref="E202:H202"/>
    <mergeCell ref="E226:H226"/>
    <mergeCell ref="E225:H225"/>
    <mergeCell ref="E224:H224"/>
    <mergeCell ref="E284:H284"/>
    <mergeCell ref="E283:H283"/>
    <mergeCell ref="E280:H280"/>
    <mergeCell ref="E279:H279"/>
    <mergeCell ref="E278:H278"/>
    <mergeCell ref="E277:H277"/>
    <mergeCell ref="P481:P482"/>
    <mergeCell ref="K354:K355"/>
    <mergeCell ref="L354:L355"/>
    <mergeCell ref="P30:P31"/>
    <mergeCell ref="E192:H192"/>
    <mergeCell ref="E191:H191"/>
    <mergeCell ref="E189:H189"/>
    <mergeCell ref="E188:H188"/>
    <mergeCell ref="E187:H187"/>
    <mergeCell ref="K122:K123"/>
    <mergeCell ref="L122:L123"/>
    <mergeCell ref="M122:M123"/>
    <mergeCell ref="E232:H233"/>
    <mergeCell ref="I232:I233"/>
    <mergeCell ref="J232:J233"/>
    <mergeCell ref="N122:N123"/>
    <mergeCell ref="E141:H141"/>
    <mergeCell ref="M30:M31"/>
    <mergeCell ref="M232:M233"/>
    <mergeCell ref="P232:P233"/>
    <mergeCell ref="O232:O233"/>
    <mergeCell ref="O122:O123"/>
    <mergeCell ref="P122:P123"/>
    <mergeCell ref="E186:H186"/>
    <mergeCell ref="D307:D308"/>
    <mergeCell ref="D451:D452"/>
    <mergeCell ref="E451:H452"/>
    <mergeCell ref="I451:I452"/>
    <mergeCell ref="J451:J452"/>
    <mergeCell ref="D354:D355"/>
    <mergeCell ref="E354:H355"/>
    <mergeCell ref="I354:I355"/>
    <mergeCell ref="J354:J355"/>
    <mergeCell ref="E326:H326"/>
    <mergeCell ref="E325:H325"/>
    <mergeCell ref="E324:H324"/>
    <mergeCell ref="E323:H323"/>
    <mergeCell ref="E352:H352"/>
    <mergeCell ref="E351:H351"/>
    <mergeCell ref="E350:H350"/>
    <mergeCell ref="E349:H349"/>
    <mergeCell ref="E348:H348"/>
    <mergeCell ref="E347:H347"/>
    <mergeCell ref="E346:H346"/>
    <mergeCell ref="E345:H345"/>
    <mergeCell ref="E344:H344"/>
    <mergeCell ref="E343:H343"/>
    <mergeCell ref="E342:H342"/>
    <mergeCell ref="D122:D123"/>
    <mergeCell ref="E122:H123"/>
    <mergeCell ref="I122:I123"/>
    <mergeCell ref="J122:J123"/>
    <mergeCell ref="D481:D482"/>
    <mergeCell ref="E481:H482"/>
    <mergeCell ref="I481:I482"/>
    <mergeCell ref="J481:J482"/>
    <mergeCell ref="N232:N233"/>
    <mergeCell ref="D232:D233"/>
    <mergeCell ref="E127:H127"/>
    <mergeCell ref="E128:H128"/>
    <mergeCell ref="E129:H129"/>
    <mergeCell ref="E130:H130"/>
    <mergeCell ref="E131:H131"/>
    <mergeCell ref="E133:H133"/>
    <mergeCell ref="E134:H134"/>
    <mergeCell ref="E135:H135"/>
    <mergeCell ref="E136:H136"/>
    <mergeCell ref="E137:H137"/>
    <mergeCell ref="E139:H139"/>
    <mergeCell ref="E140:H140"/>
    <mergeCell ref="E244:H244"/>
    <mergeCell ref="E243:H243"/>
    <mergeCell ref="F2:R2"/>
    <mergeCell ref="O19:O20"/>
    <mergeCell ref="Q19:R19"/>
    <mergeCell ref="F4:R4"/>
    <mergeCell ref="F3:R3"/>
    <mergeCell ref="K19:K20"/>
    <mergeCell ref="J19:J20"/>
    <mergeCell ref="I19:I20"/>
    <mergeCell ref="L19:L20"/>
    <mergeCell ref="M19:M20"/>
    <mergeCell ref="N19:N20"/>
    <mergeCell ref="P19:P20"/>
    <mergeCell ref="U457:Y457"/>
    <mergeCell ref="U515:Y515"/>
    <mergeCell ref="U539:Y539"/>
    <mergeCell ref="U491:Y491"/>
    <mergeCell ref="D8:D9"/>
    <mergeCell ref="E8:E9"/>
    <mergeCell ref="D111:D112"/>
    <mergeCell ref="E111:M112"/>
    <mergeCell ref="D19:D20"/>
    <mergeCell ref="O30:O31"/>
    <mergeCell ref="D30:D31"/>
    <mergeCell ref="E504:H504"/>
    <mergeCell ref="E410:H410"/>
    <mergeCell ref="M354:M355"/>
    <mergeCell ref="N451:N452"/>
    <mergeCell ref="O451:O452"/>
    <mergeCell ref="P451:P452"/>
    <mergeCell ref="N354:N355"/>
    <mergeCell ref="O354:O355"/>
    <mergeCell ref="P354:P355"/>
    <mergeCell ref="K451:K452"/>
    <mergeCell ref="E240:H240"/>
    <mergeCell ref="E239:H239"/>
    <mergeCell ref="E238:H238"/>
    <mergeCell ref="E276:H276"/>
    <mergeCell ref="E275:H275"/>
    <mergeCell ref="E249:H249"/>
    <mergeCell ref="E250:H250"/>
    <mergeCell ref="E281:H281"/>
    <mergeCell ref="E260:H260"/>
    <mergeCell ref="E259:H259"/>
    <mergeCell ref="E258:H258"/>
    <mergeCell ref="E257:H257"/>
    <mergeCell ref="E256:H256"/>
    <mergeCell ref="E255:H255"/>
    <mergeCell ref="E263:H263"/>
    <mergeCell ref="E262:H262"/>
    <mergeCell ref="E261:H261"/>
    <mergeCell ref="O481:O482"/>
    <mergeCell ref="E242:H242"/>
    <mergeCell ref="E241:H241"/>
    <mergeCell ref="E296:H296"/>
    <mergeCell ref="E292:H292"/>
    <mergeCell ref="E293:H293"/>
    <mergeCell ref="N481:N482"/>
    <mergeCell ref="L451:L452"/>
    <mergeCell ref="M451:M452"/>
    <mergeCell ref="K481:K482"/>
    <mergeCell ref="L481:L482"/>
    <mergeCell ref="M481:M482"/>
    <mergeCell ref="E298:H298"/>
    <mergeCell ref="E297:H297"/>
    <mergeCell ref="E295:H295"/>
    <mergeCell ref="E294:H294"/>
    <mergeCell ref="E341:H341"/>
    <mergeCell ref="E340:H340"/>
    <mergeCell ref="E254:H254"/>
    <mergeCell ref="E253:H253"/>
    <mergeCell ref="E252:H252"/>
    <mergeCell ref="E305:H305"/>
    <mergeCell ref="E304:H304"/>
    <mergeCell ref="E303:H303"/>
    <mergeCell ref="E307:H308"/>
    <mergeCell ref="E335:H335"/>
    <mergeCell ref="E374:H374"/>
    <mergeCell ref="E373:H373"/>
    <mergeCell ref="E372:H372"/>
    <mergeCell ref="E405:H405"/>
    <mergeCell ref="E327:H327"/>
    <mergeCell ref="E398:H398"/>
    <mergeCell ref="E397:H397"/>
    <mergeCell ref="E396:H396"/>
    <mergeCell ref="E395:H395"/>
    <mergeCell ref="E393:H393"/>
    <mergeCell ref="E392:H392"/>
    <mergeCell ref="E391:H391"/>
    <mergeCell ref="E389:H389"/>
    <mergeCell ref="E388:H388"/>
    <mergeCell ref="E371:H371"/>
    <mergeCell ref="E370:H370"/>
    <mergeCell ref="E369:H369"/>
    <mergeCell ref="E367:H367"/>
    <mergeCell ref="E365:H365"/>
    <mergeCell ref="E387:H387"/>
    <mergeCell ref="E385:H385"/>
    <mergeCell ref="E384:H384"/>
    <mergeCell ref="E339:H339"/>
    <mergeCell ref="E409:H409"/>
    <mergeCell ref="E408:H408"/>
    <mergeCell ref="E406:H406"/>
    <mergeCell ref="E404:H404"/>
    <mergeCell ref="E403:H403"/>
    <mergeCell ref="E402:H402"/>
    <mergeCell ref="E400:H400"/>
    <mergeCell ref="E401:H401"/>
    <mergeCell ref="E366:H366"/>
    <mergeCell ref="E336:H336"/>
    <mergeCell ref="E379:H379"/>
    <mergeCell ref="E377:H377"/>
    <mergeCell ref="E376:H376"/>
    <mergeCell ref="E382:H382"/>
    <mergeCell ref="E381:H381"/>
    <mergeCell ref="E466:H466"/>
    <mergeCell ref="E428:H428"/>
    <mergeCell ref="E429:H429"/>
    <mergeCell ref="E427:H427"/>
    <mergeCell ref="E426:H426"/>
    <mergeCell ref="E425:H425"/>
    <mergeCell ref="E449:H449"/>
    <mergeCell ref="E448:H448"/>
    <mergeCell ref="E447:H447"/>
    <mergeCell ref="E446:H446"/>
    <mergeCell ref="E445:H445"/>
    <mergeCell ref="E444:H444"/>
    <mergeCell ref="E441:H441"/>
    <mergeCell ref="E440:H440"/>
    <mergeCell ref="E442:H442"/>
    <mergeCell ref="E443:H443"/>
    <mergeCell ref="E463:H463"/>
    <mergeCell ref="E458:H458"/>
    <mergeCell ref="E436:H436"/>
    <mergeCell ref="E434:H434"/>
    <mergeCell ref="E432:H432"/>
    <mergeCell ref="E486:H486"/>
    <mergeCell ref="E479:H479"/>
    <mergeCell ref="E478:H478"/>
    <mergeCell ref="E477:H477"/>
    <mergeCell ref="E471:H471"/>
    <mergeCell ref="E470:H470"/>
    <mergeCell ref="E469:H469"/>
    <mergeCell ref="E468:H468"/>
    <mergeCell ref="E467:H467"/>
    <mergeCell ref="E476:H476"/>
    <mergeCell ref="E472:H472"/>
    <mergeCell ref="E474:H474"/>
    <mergeCell ref="E473:H473"/>
    <mergeCell ref="E475:H475"/>
    <mergeCell ref="E460:H460"/>
    <mergeCell ref="E462:H462"/>
    <mergeCell ref="E492:H492"/>
    <mergeCell ref="E491:H491"/>
    <mergeCell ref="E490:H490"/>
    <mergeCell ref="E489:H489"/>
    <mergeCell ref="E488:H488"/>
    <mergeCell ref="E487:H487"/>
    <mergeCell ref="E439:H439"/>
    <mergeCell ref="E438:H438"/>
    <mergeCell ref="E437:H437"/>
    <mergeCell ref="E554:H554"/>
    <mergeCell ref="E553:H553"/>
    <mergeCell ref="E552:H552"/>
    <mergeCell ref="E551:H551"/>
    <mergeCell ref="E550:H550"/>
    <mergeCell ref="E549:H549"/>
    <mergeCell ref="E548:H548"/>
    <mergeCell ref="E547:H547"/>
    <mergeCell ref="E546:H546"/>
    <mergeCell ref="E493:H493"/>
    <mergeCell ref="E545:H545"/>
    <mergeCell ref="E544:H544"/>
    <mergeCell ref="E543:H543"/>
    <mergeCell ref="E542:H542"/>
    <mergeCell ref="E529:H529"/>
    <mergeCell ref="E528:H528"/>
    <mergeCell ref="E527:H527"/>
    <mergeCell ref="E526:H526"/>
    <mergeCell ref="E525:H525"/>
    <mergeCell ref="E524:H524"/>
    <mergeCell ref="E523:H523"/>
    <mergeCell ref="E522:H522"/>
    <mergeCell ref="E539:H539"/>
    <mergeCell ref="E537:H537"/>
    <mergeCell ref="E536:H536"/>
    <mergeCell ref="E535:H535"/>
    <mergeCell ref="E534:H534"/>
    <mergeCell ref="E533:H533"/>
    <mergeCell ref="E532:H532"/>
    <mergeCell ref="E531:H531"/>
    <mergeCell ref="E530:H530"/>
    <mergeCell ref="E538:H538"/>
    <mergeCell ref="E415:H415"/>
    <mergeCell ref="E413:H413"/>
    <mergeCell ref="E412:H412"/>
    <mergeCell ref="E375:H375"/>
    <mergeCell ref="E380:H380"/>
    <mergeCell ref="E521:H521"/>
    <mergeCell ref="E520:H520"/>
    <mergeCell ref="E517:H517"/>
    <mergeCell ref="E516:H516"/>
    <mergeCell ref="E515:H515"/>
    <mergeCell ref="E513:H513"/>
    <mergeCell ref="E512:H512"/>
    <mergeCell ref="E510:H510"/>
    <mergeCell ref="E508:H508"/>
    <mergeCell ref="E507:H507"/>
    <mergeCell ref="E505:H505"/>
    <mergeCell ref="E502:H502"/>
    <mergeCell ref="E501:H501"/>
    <mergeCell ref="E457:H457"/>
    <mergeCell ref="E456:H456"/>
    <mergeCell ref="E497:H497"/>
    <mergeCell ref="E496:H496"/>
    <mergeCell ref="E495:H495"/>
    <mergeCell ref="E494:H494"/>
    <mergeCell ref="AA461:AD461"/>
    <mergeCell ref="U462:Y462"/>
    <mergeCell ref="E459:H459"/>
    <mergeCell ref="E461:H461"/>
    <mergeCell ref="U461:Y461"/>
    <mergeCell ref="Z7:AB7"/>
    <mergeCell ref="E290:H290"/>
    <mergeCell ref="E289:H289"/>
    <mergeCell ref="E435:H435"/>
    <mergeCell ref="E424:H424"/>
    <mergeCell ref="E423:H423"/>
    <mergeCell ref="E421:H421"/>
    <mergeCell ref="E433:H433"/>
    <mergeCell ref="E422:H422"/>
    <mergeCell ref="E420:H420"/>
    <mergeCell ref="E431:H431"/>
    <mergeCell ref="E430:H430"/>
    <mergeCell ref="E364:H364"/>
    <mergeCell ref="E363:H363"/>
    <mergeCell ref="E362:H362"/>
    <mergeCell ref="E361:H361"/>
    <mergeCell ref="E360:H360"/>
    <mergeCell ref="E417:H417"/>
    <mergeCell ref="E416:H416"/>
  </mergeCells>
  <phoneticPr fontId="48" type="noConversion"/>
  <conditionalFormatting sqref="E57">
    <cfRule type="cellIs" dxfId="106" priority="439" operator="equal">
      <formula>"para inserir linha: copie a linha acima"</formula>
    </cfRule>
  </conditionalFormatting>
  <conditionalFormatting sqref="E65">
    <cfRule type="cellIs" dxfId="105" priority="415" operator="equal">
      <formula>"para inserir linha: copie a linha acima"</formula>
    </cfRule>
  </conditionalFormatting>
  <conditionalFormatting sqref="E81:E83">
    <cfRule type="cellIs" dxfId="104" priority="25" operator="equal">
      <formula>"para inserir linha: copie a linha acima"</formula>
    </cfRule>
  </conditionalFormatting>
  <conditionalFormatting sqref="E92">
    <cfRule type="cellIs" dxfId="103" priority="425" operator="equal">
      <formula>"para inserir linha: copie a linha acima"</formula>
    </cfRule>
  </conditionalFormatting>
  <conditionalFormatting sqref="E105">
    <cfRule type="cellIs" dxfId="102" priority="313" operator="equal">
      <formula>"para inserir linha: copie a linha acima"</formula>
    </cfRule>
  </conditionalFormatting>
  <conditionalFormatting sqref="E202">
    <cfRule type="cellIs" dxfId="101" priority="94" operator="equal">
      <formula>"para inserir linha: copie a linha acima"</formula>
    </cfRule>
  </conditionalFormatting>
  <conditionalFormatting sqref="E212">
    <cfRule type="cellIs" dxfId="100" priority="93" operator="equal">
      <formula>"para inserir linha: copie a linha acima"</formula>
    </cfRule>
  </conditionalFormatting>
  <conditionalFormatting sqref="E222">
    <cfRule type="cellIs" dxfId="99" priority="92" operator="equal">
      <formula>"para inserir linha: copie a linha acima"</formula>
    </cfRule>
  </conditionalFormatting>
  <conditionalFormatting sqref="E344">
    <cfRule type="cellIs" dxfId="98" priority="238" operator="equal">
      <formula>"para inserir linha: copie a linha acima"</formula>
    </cfRule>
  </conditionalFormatting>
  <conditionalFormatting sqref="E362:E363">
    <cfRule type="cellIs" dxfId="97" priority="173" operator="equal">
      <formula>"para inserir linha: copie a linha acima"</formula>
    </cfRule>
  </conditionalFormatting>
  <conditionalFormatting sqref="E374:E375">
    <cfRule type="cellIs" dxfId="96" priority="152" operator="equal">
      <formula>"para inserir linha: copie a linha acima"</formula>
    </cfRule>
  </conditionalFormatting>
  <conditionalFormatting sqref="E382">
    <cfRule type="cellIs" dxfId="95" priority="194" operator="equal">
      <formula>"para inserir linha: copie a linha acima"</formula>
    </cfRule>
  </conditionalFormatting>
  <conditionalFormatting sqref="E387:E389">
    <cfRule type="cellIs" dxfId="94" priority="181" operator="equal">
      <formula>"para inserir linha: copie a linha acima"</formula>
    </cfRule>
  </conditionalFormatting>
  <conditionalFormatting sqref="E392:E393">
    <cfRule type="cellIs" dxfId="93" priority="171" operator="equal">
      <formula>"para inserir linha: copie a linha acima"</formula>
    </cfRule>
  </conditionalFormatting>
  <conditionalFormatting sqref="E404">
    <cfRule type="cellIs" dxfId="92" priority="184" operator="equal">
      <formula>"para inserir linha: copie a linha acima"</formula>
    </cfRule>
  </conditionalFormatting>
  <conditionalFormatting sqref="E408:E409">
    <cfRule type="cellIs" dxfId="91" priority="249" operator="equal">
      <formula>"para inserir linha: copie a linha acima"</formula>
    </cfRule>
  </conditionalFormatting>
  <conditionalFormatting sqref="E412:E413">
    <cfRule type="cellIs" dxfId="90" priority="177" operator="equal">
      <formula>"para inserir linha: copie a linha acima"</formula>
    </cfRule>
  </conditionalFormatting>
  <conditionalFormatting sqref="E417">
    <cfRule type="cellIs" dxfId="89" priority="252" operator="equal">
      <formula>"para inserir linha: copie a linha acima"</formula>
    </cfRule>
  </conditionalFormatting>
  <conditionalFormatting sqref="E456:E463">
    <cfRule type="cellIs" dxfId="88" priority="2" operator="equal">
      <formula>"para inserir linha: copie a linha acima"</formula>
    </cfRule>
  </conditionalFormatting>
  <conditionalFormatting sqref="E469:E479">
    <cfRule type="cellIs" dxfId="87" priority="14" operator="equal">
      <formula>"para inserir linha: copie a linha acima"</formula>
    </cfRule>
  </conditionalFormatting>
  <conditionalFormatting sqref="E497">
    <cfRule type="cellIs" dxfId="86" priority="256" operator="equal">
      <formula>"para inserir linha: copie a linha acima"</formula>
    </cfRule>
  </conditionalFormatting>
  <conditionalFormatting sqref="E528:E529">
    <cfRule type="cellIs" dxfId="85" priority="159" operator="equal">
      <formula>"para inserir linha: copie a linha acima"</formula>
    </cfRule>
  </conditionalFormatting>
  <conditionalFormatting sqref="E531:E532">
    <cfRule type="cellIs" dxfId="84" priority="245" operator="equal">
      <formula>"para inserir linha: copie a linha acima"</formula>
    </cfRule>
  </conditionalFormatting>
  <conditionalFormatting sqref="E538:E539">
    <cfRule type="cellIs" dxfId="83" priority="247" operator="equal">
      <formula>"para inserir linha: copie a linha acima"</formula>
    </cfRule>
  </conditionalFormatting>
  <conditionalFormatting sqref="E554">
    <cfRule type="cellIs" dxfId="82" priority="158" operator="equal">
      <formula>"para inserir linha: copie a linha acima"</formula>
    </cfRule>
  </conditionalFormatting>
  <conditionalFormatting sqref="F28:G28">
    <cfRule type="cellIs" dxfId="81" priority="511" operator="equal">
      <formula>"para inserir linha: copie a linha acima"</formula>
    </cfRule>
  </conditionalFormatting>
  <conditionalFormatting sqref="L22:L26 L60:L65 L86:L92">
    <cfRule type="cellIs" dxfId="80" priority="340" operator="greaterThan">
      <formula>$E$14</formula>
    </cfRule>
  </conditionalFormatting>
  <conditionalFormatting sqref="L35:L57">
    <cfRule type="cellIs" dxfId="79" priority="127" operator="greaterThan">
      <formula>$E$14</formula>
    </cfRule>
  </conditionalFormatting>
  <conditionalFormatting sqref="L68:L83">
    <cfRule type="cellIs" dxfId="78" priority="22" operator="greaterThan">
      <formula>$E$14</formula>
    </cfRule>
  </conditionalFormatting>
  <conditionalFormatting sqref="L95:L99">
    <cfRule type="cellIs" dxfId="77" priority="68" operator="greaterThan">
      <formula>$E$14</formula>
    </cfRule>
  </conditionalFormatting>
  <conditionalFormatting sqref="L102:L105">
    <cfRule type="cellIs" dxfId="76" priority="67" operator="greaterThan">
      <formula>$E$14</formula>
    </cfRule>
  </conditionalFormatting>
  <conditionalFormatting sqref="P148 P174">
    <cfRule type="expression" dxfId="75" priority="5559">
      <formula>$N$114&lt;$N$117</formula>
    </cfRule>
    <cfRule type="expression" dxfId="74" priority="5558">
      <formula>$N$114&gt;$N$117</formula>
    </cfRule>
  </conditionalFormatting>
  <conditionalFormatting sqref="P149:P154 P175:P181">
    <cfRule type="expression" dxfId="73" priority="5562">
      <formula>$N$114&gt;$N$117</formula>
    </cfRule>
    <cfRule type="expression" dxfId="72" priority="5563">
      <formula>N$114&lt;$N$117</formula>
    </cfRule>
  </conditionalFormatting>
  <conditionalFormatting sqref="P156 P183">
    <cfRule type="expression" dxfId="71" priority="5570">
      <formula>$N$115&gt;$N$118</formula>
    </cfRule>
    <cfRule type="expression" dxfId="70" priority="5571">
      <formula>$N$115&lt;$N$118</formula>
    </cfRule>
  </conditionalFormatting>
  <conditionalFormatting sqref="P157:P162 P184:P189">
    <cfRule type="expression" dxfId="69" priority="5566">
      <formula>$N$115&gt;$N$118</formula>
    </cfRule>
    <cfRule type="expression" dxfId="68" priority="5567">
      <formula>N$115&lt;$N$118</formula>
    </cfRule>
  </conditionalFormatting>
  <conditionalFormatting sqref="P164 P191">
    <cfRule type="expression" dxfId="67" priority="5575">
      <formula>#REF!&lt;$N$119</formula>
    </cfRule>
    <cfRule type="expression" dxfId="66" priority="5574">
      <formula>$N$116&gt;$N$119</formula>
    </cfRule>
  </conditionalFormatting>
  <conditionalFormatting sqref="P165:P170 P192:P198">
    <cfRule type="expression" dxfId="65" priority="5554">
      <formula>$N$116&gt;$N$119</formula>
    </cfRule>
    <cfRule type="expression" dxfId="64" priority="5555">
      <formula>N$116&lt;$N$119</formula>
    </cfRule>
  </conditionalFormatting>
  <conditionalFormatting sqref="P202">
    <cfRule type="expression" dxfId="63" priority="5549">
      <formula>$K$114&lt;$K$117</formula>
    </cfRule>
    <cfRule type="expression" dxfId="62" priority="5548">
      <formula>$K$114&gt;$K$117</formula>
    </cfRule>
  </conditionalFormatting>
  <conditionalFormatting sqref="P203:P210">
    <cfRule type="expression" dxfId="61" priority="5550">
      <formula>$K$114&gt;$K$117</formula>
    </cfRule>
    <cfRule type="expression" dxfId="60" priority="5551">
      <formula>K$114&lt;$K$117</formula>
    </cfRule>
  </conditionalFormatting>
  <conditionalFormatting sqref="P212">
    <cfRule type="expression" dxfId="59" priority="5544">
      <formula>$K$115&gt;$K$118</formula>
    </cfRule>
    <cfRule type="expression" dxfId="58" priority="5545">
      <formula>$K$115&lt;$K$118</formula>
    </cfRule>
  </conditionalFormatting>
  <conditionalFormatting sqref="P213:P220">
    <cfRule type="expression" dxfId="57" priority="5552">
      <formula>$K$115&gt;$K$118</formula>
    </cfRule>
    <cfRule type="expression" dxfId="56" priority="5553">
      <formula>$K$115&lt;$K$118</formula>
    </cfRule>
  </conditionalFormatting>
  <conditionalFormatting sqref="P222">
    <cfRule type="expression" dxfId="55" priority="5543">
      <formula>$K$116&lt;$K$119</formula>
    </cfRule>
    <cfRule type="expression" dxfId="54" priority="5542">
      <formula>$K$116&gt;$K$119</formula>
    </cfRule>
  </conditionalFormatting>
  <conditionalFormatting sqref="P223:P230">
    <cfRule type="expression" dxfId="53" priority="5546">
      <formula>$K$116&gt;$K$119</formula>
    </cfRule>
    <cfRule type="expression" dxfId="52" priority="5547">
      <formula>K$116&lt;$K$119</formula>
    </cfRule>
  </conditionalFormatting>
  <conditionalFormatting sqref="P236:P305">
    <cfRule type="cellIs" dxfId="51" priority="39" operator="equal">
      <formula>0</formula>
    </cfRule>
  </conditionalFormatting>
  <conditionalFormatting sqref="P310:P352">
    <cfRule type="cellIs" dxfId="50" priority="59" operator="equal">
      <formula>0</formula>
    </cfRule>
  </conditionalFormatting>
  <conditionalFormatting sqref="P360:P367">
    <cfRule type="cellIs" dxfId="49" priority="172" operator="equal">
      <formula>0</formula>
    </cfRule>
  </conditionalFormatting>
  <conditionalFormatting sqref="P369:P377">
    <cfRule type="cellIs" dxfId="48" priority="140" operator="equal">
      <formula>0</formula>
    </cfRule>
  </conditionalFormatting>
  <conditionalFormatting sqref="P379:P382">
    <cfRule type="cellIs" dxfId="47" priority="11" operator="equal">
      <formula>0</formula>
    </cfRule>
  </conditionalFormatting>
  <conditionalFormatting sqref="P384:P385">
    <cfRule type="cellIs" dxfId="46" priority="188" operator="equal">
      <formula>0</formula>
    </cfRule>
  </conditionalFormatting>
  <conditionalFormatting sqref="P387:P389">
    <cfRule type="cellIs" dxfId="45" priority="180" operator="equal">
      <formula>0</formula>
    </cfRule>
  </conditionalFormatting>
  <conditionalFormatting sqref="P391:P393">
    <cfRule type="cellIs" dxfId="44" priority="170" operator="equal">
      <formula>0</formula>
    </cfRule>
  </conditionalFormatting>
  <conditionalFormatting sqref="P395:P398">
    <cfRule type="cellIs" dxfId="43" priority="169" operator="equal">
      <formula>0</formula>
    </cfRule>
  </conditionalFormatting>
  <conditionalFormatting sqref="P400:P406">
    <cfRule type="cellIs" dxfId="42" priority="43" operator="equal">
      <formula>0</formula>
    </cfRule>
  </conditionalFormatting>
  <conditionalFormatting sqref="P408:P410">
    <cfRule type="cellIs" dxfId="41" priority="204" operator="equal">
      <formula>0</formula>
    </cfRule>
  </conditionalFormatting>
  <conditionalFormatting sqref="P412:P413">
    <cfRule type="cellIs" dxfId="40" priority="176" operator="equal">
      <formula>0</formula>
    </cfRule>
  </conditionalFormatting>
  <conditionalFormatting sqref="P415:P417">
    <cfRule type="cellIs" dxfId="39" priority="205" operator="equal">
      <formula>0</formula>
    </cfRule>
  </conditionalFormatting>
  <conditionalFormatting sqref="P420:P449">
    <cfRule type="cellIs" dxfId="38" priority="30" operator="equal">
      <formula>0</formula>
    </cfRule>
  </conditionalFormatting>
  <conditionalFormatting sqref="P456:P463">
    <cfRule type="cellIs" dxfId="37" priority="1" operator="equal">
      <formula>0</formula>
    </cfRule>
  </conditionalFormatting>
  <conditionalFormatting sqref="P466:P479">
    <cfRule type="cellIs" dxfId="36" priority="15" operator="equal">
      <formula>0</formula>
    </cfRule>
  </conditionalFormatting>
  <conditionalFormatting sqref="P486:P497">
    <cfRule type="cellIs" dxfId="35" priority="142" operator="equal">
      <formula>0</formula>
    </cfRule>
  </conditionalFormatting>
  <conditionalFormatting sqref="P501:P502 P504:P505 P507:P508 P510 P512:P513 P515:P517">
    <cfRule type="cellIs" dxfId="34" priority="139" operator="equal">
      <formula>0</formula>
    </cfRule>
  </conditionalFormatting>
  <conditionalFormatting sqref="P520:P539">
    <cfRule type="cellIs" dxfId="33" priority="133" operator="equal">
      <formula>0</formula>
    </cfRule>
  </conditionalFormatting>
  <conditionalFormatting sqref="P542:P554 P556">
    <cfRule type="cellIs" dxfId="32" priority="233" operator="equal">
      <formula>0</formula>
    </cfRule>
  </conditionalFormatting>
  <conditionalFormatting sqref="Q182">
    <cfRule type="cellIs" dxfId="31" priority="90" operator="greaterThan">
      <formula>0</formula>
    </cfRule>
    <cfRule type="cellIs" dxfId="30" priority="91" operator="lessThan">
      <formula>0</formula>
    </cfRule>
  </conditionalFormatting>
  <conditionalFormatting sqref="U356:U358">
    <cfRule type="cellIs" dxfId="29" priority="63" operator="equal">
      <formula>"para inserir linha: Copie a linha acima"</formula>
    </cfRule>
  </conditionalFormatting>
  <conditionalFormatting sqref="U360:U361">
    <cfRule type="cellIs" dxfId="28" priority="175" operator="equal">
      <formula>"para inserir linha: Copie a linha acima"</formula>
    </cfRule>
  </conditionalFormatting>
  <conditionalFormatting sqref="W37:X57">
    <cfRule type="cellIs" dxfId="27" priority="128" operator="equal">
      <formula>0</formula>
    </cfRule>
  </conditionalFormatting>
  <conditionalFormatting sqref="W68:X83">
    <cfRule type="cellIs" dxfId="26" priority="24" operator="equal">
      <formula>0</formula>
    </cfRule>
  </conditionalFormatting>
  <conditionalFormatting sqref="W95:X99">
    <cfRule type="cellIs" dxfId="25" priority="341" operator="equal">
      <formula>0</formula>
    </cfRule>
  </conditionalFormatting>
  <conditionalFormatting sqref="AE22:AJ26">
    <cfRule type="cellIs" dxfId="24" priority="286" operator="equal">
      <formula>0</formula>
    </cfRule>
  </conditionalFormatting>
  <conditionalFormatting sqref="AE35:AJ58">
    <cfRule type="cellIs" dxfId="23" priority="126" operator="equal">
      <formula>0</formula>
    </cfRule>
  </conditionalFormatting>
  <conditionalFormatting sqref="AE60:AJ66">
    <cfRule type="cellIs" dxfId="22" priority="282" operator="equal">
      <formula>0</formula>
    </cfRule>
  </conditionalFormatting>
  <conditionalFormatting sqref="AE68:AJ84">
    <cfRule type="cellIs" dxfId="21" priority="23" operator="equal">
      <formula>0</formula>
    </cfRule>
  </conditionalFormatting>
  <conditionalFormatting sqref="AE86:AJ93">
    <cfRule type="cellIs" dxfId="20" priority="284" operator="equal">
      <formula>0</formula>
    </cfRule>
  </conditionalFormatting>
  <conditionalFormatting sqref="AE95:AJ100">
    <cfRule type="cellIs" dxfId="19" priority="320" operator="equal">
      <formula>0</formula>
    </cfRule>
  </conditionalFormatting>
  <conditionalFormatting sqref="AE102:AJ106">
    <cfRule type="cellIs" dxfId="18" priority="280" operator="equal">
      <formula>0</formula>
    </cfRule>
  </conditionalFormatting>
  <conditionalFormatting sqref="AF122">
    <cfRule type="cellIs" dxfId="17" priority="89" operator="equal">
      <formula>"para inserir linha: Copie a linha acima"</formula>
    </cfRule>
  </conditionalFormatting>
  <conditionalFormatting sqref="AF307">
    <cfRule type="cellIs" dxfId="16" priority="122" operator="equal">
      <formula>"para inserir linha: Copie a linha acima"</formula>
    </cfRule>
  </conditionalFormatting>
  <conditionalFormatting sqref="AF354">
    <cfRule type="cellIs" dxfId="15" priority="124" operator="equal">
      <formula>"para inserir linha: Copie a linha acima"</formula>
    </cfRule>
  </conditionalFormatting>
  <conditionalFormatting sqref="AF451">
    <cfRule type="cellIs" dxfId="14" priority="123" operator="equal">
      <formula>"para inserir linha: Copie a linha acima"</formula>
    </cfRule>
  </conditionalFormatting>
  <conditionalFormatting sqref="AF481">
    <cfRule type="cellIs" dxfId="13" priority="120" operator="equal">
      <formula>"para inserir linha: Copie a linha acima"</formula>
    </cfRule>
  </conditionalFormatting>
  <conditionalFormatting sqref="AG110 AF232">
    <cfRule type="cellIs" dxfId="12" priority="405" operator="equal">
      <formula>"para inserir linha: Copie a linha acima"</formula>
    </cfRule>
  </conditionalFormatting>
  <conditionalFormatting sqref="AG121 AI560">
    <cfRule type="cellIs" dxfId="11" priority="428" operator="equal">
      <formula>"para inserir linha: Copie a linha acima"</formula>
    </cfRule>
  </conditionalFormatting>
  <conditionalFormatting sqref="AS100">
    <cfRule type="cellIs" dxfId="10" priority="58" operator="equal">
      <formula>0</formula>
    </cfRule>
  </conditionalFormatting>
  <conditionalFormatting sqref="AS35:AT57 W60:X65 AS60:AT65 AS86:AT92 W87:X92 W102:X104 AS102:AT105 W105">
    <cfRule type="cellIs" dxfId="9" priority="345" operator="equal">
      <formula>0</formula>
    </cfRule>
  </conditionalFormatting>
  <conditionalFormatting sqref="AS68:AT83">
    <cfRule type="cellIs" dxfId="8" priority="21" operator="equal">
      <formula>0</formula>
    </cfRule>
  </conditionalFormatting>
  <conditionalFormatting sqref="AS95:AT99">
    <cfRule type="cellIs" dxfId="7" priority="20" operator="equal">
      <formula>0</formula>
    </cfRule>
  </conditionalFormatting>
  <dataValidations count="2">
    <dataValidation type="decimal" errorStyle="warning" allowBlank="1" showInputMessage="1" showErrorMessage="1" errorTitle="SOBRECARGA DE VALOR" error="TEMPO PREVISO MAIOR DO QUE O PRAZO DA OBRA" sqref="L60:L65 L35:L57 L22:L26 L95:L99 L102:L105 L68:L83 L86:L92" xr:uid="{00000000-0002-0000-0100-000000000000}">
      <formula1>0</formula1>
      <formula2>$E$14</formula2>
    </dataValidation>
    <dataValidation type="list" errorStyle="warning" allowBlank="1" showInputMessage="1" showErrorMessage="1" errorTitle="MODALIDADE NÃO CADASTRADA" error="ESCOLHA UMA MODALIDADE CADASTRADA" sqref="I22:I26 I102:I105 I35:I56 I60:I65 I95:I99 I68:I83 I86:I92" xr:uid="{00000000-0002-0000-0100-000001000000}">
      <formula1>$U$10:$U$12</formula1>
    </dataValidation>
  </dataValidations>
  <pageMargins left="0.23622047244094491" right="0.23622047244094491" top="0.74803149606299213" bottom="0.74803149606299213" header="0.31496062992125984" footer="0.31496062992125984"/>
  <pageSetup paperSize="9" scale="4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4687-0426-47F1-AEDA-1FA3206ED21B}">
  <sheetPr>
    <tabColor rgb="FF9FC6FF"/>
  </sheetPr>
  <dimension ref="B1:L131"/>
  <sheetViews>
    <sheetView topLeftCell="A91" zoomScale="80" zoomScaleNormal="80" workbookViewId="0">
      <selection activeCell="G124" sqref="G124"/>
    </sheetView>
  </sheetViews>
  <sheetFormatPr defaultRowHeight="13.2"/>
  <cols>
    <col min="2" max="2" width="14.44140625" customWidth="1"/>
    <col min="3" max="3" width="104.44140625" customWidth="1"/>
    <col min="4" max="4" width="22" customWidth="1"/>
    <col min="5" max="6" width="26.5546875" customWidth="1"/>
    <col min="7" max="7" width="18.44140625" bestFit="1" customWidth="1"/>
    <col min="8" max="8" width="30.44140625" bestFit="1" customWidth="1"/>
    <col min="9" max="9" width="32.109375" bestFit="1" customWidth="1"/>
    <col min="11" max="11" width="19.109375" bestFit="1" customWidth="1"/>
    <col min="12" max="12" width="20.44140625" customWidth="1"/>
  </cols>
  <sheetData>
    <row r="1" spans="2:12" ht="13.8" thickBot="1"/>
    <row r="2" spans="2:12" ht="14.4" customHeight="1">
      <c r="B2" s="1395" t="s">
        <v>2043</v>
      </c>
      <c r="C2" s="1396"/>
      <c r="D2" s="1396"/>
      <c r="E2" s="1396"/>
      <c r="F2" s="1396"/>
      <c r="G2" s="1396"/>
      <c r="H2" s="1397"/>
      <c r="K2" s="1391" t="s">
        <v>2081</v>
      </c>
      <c r="L2" s="1392"/>
    </row>
    <row r="3" spans="2:12" ht="14.1" customHeight="1" thickBot="1">
      <c r="B3" s="1398"/>
      <c r="C3" s="1399"/>
      <c r="D3" s="1399"/>
      <c r="E3" s="1399"/>
      <c r="F3" s="1399"/>
      <c r="G3" s="1399"/>
      <c r="H3" s="1400"/>
      <c r="K3" s="1393"/>
      <c r="L3" s="1394"/>
    </row>
    <row r="4" spans="2:12" ht="13.8">
      <c r="B4" s="1180" t="s">
        <v>2067</v>
      </c>
      <c r="C4" s="1208" t="s">
        <v>145</v>
      </c>
      <c r="D4" s="1179" t="s">
        <v>129</v>
      </c>
      <c r="E4" s="1179" t="s">
        <v>2068</v>
      </c>
      <c r="F4" s="1179" t="s">
        <v>2069</v>
      </c>
      <c r="G4" s="1178" t="s">
        <v>2070</v>
      </c>
      <c r="H4" s="1181" t="s">
        <v>2071</v>
      </c>
      <c r="K4" s="1163" t="s">
        <v>2064</v>
      </c>
      <c r="L4" s="1164" t="s">
        <v>1</v>
      </c>
    </row>
    <row r="5" spans="2:12" ht="14.1" customHeight="1">
      <c r="B5" s="1162"/>
      <c r="C5" s="1268"/>
      <c r="D5" s="1162"/>
      <c r="E5" s="1269"/>
      <c r="F5" s="1270"/>
      <c r="G5" s="1270"/>
      <c r="H5" s="1219"/>
      <c r="I5" s="1210"/>
      <c r="K5" s="1165"/>
      <c r="L5" s="1166"/>
    </row>
    <row r="6" spans="2:12">
      <c r="B6" s="1162"/>
      <c r="C6" s="1268"/>
      <c r="D6" s="1162"/>
      <c r="E6" s="1269"/>
      <c r="F6" s="1270"/>
      <c r="G6" s="1270"/>
      <c r="H6" s="1219"/>
      <c r="I6" s="1100"/>
      <c r="K6" s="1165"/>
      <c r="L6" s="1166">
        <f>SUMIF($H$119:$H$170,K6,$G$119:$G$170)</f>
        <v>0</v>
      </c>
    </row>
    <row r="7" spans="2:12" ht="15.75" customHeight="1">
      <c r="B7" s="1162" t="s">
        <v>2153</v>
      </c>
      <c r="C7" s="1268" t="s">
        <v>2154</v>
      </c>
      <c r="D7" s="1162" t="s">
        <v>254</v>
      </c>
      <c r="E7" s="1269">
        <v>5303.0209999999997</v>
      </c>
      <c r="F7" s="1270">
        <v>60</v>
      </c>
      <c r="G7" s="1270">
        <v>318181.26</v>
      </c>
      <c r="H7" s="1219"/>
      <c r="I7" s="1100"/>
      <c r="K7" s="1165"/>
      <c r="L7" s="1166">
        <f>SUMIF($H$119:$H$170,K7,$G$119:$G$170)</f>
        <v>0</v>
      </c>
    </row>
    <row r="8" spans="2:12" ht="15.75" customHeight="1">
      <c r="B8" s="1162" t="s">
        <v>2155</v>
      </c>
      <c r="C8" s="1268" t="s">
        <v>2156</v>
      </c>
      <c r="D8" s="1162" t="s">
        <v>254</v>
      </c>
      <c r="E8" s="1269">
        <v>5215.0560000000005</v>
      </c>
      <c r="F8" s="1270">
        <v>60</v>
      </c>
      <c r="G8" s="1270">
        <v>312903.36000000004</v>
      </c>
      <c r="H8" s="1217"/>
      <c r="I8" s="1100"/>
      <c r="K8" s="1165"/>
      <c r="L8" s="1166">
        <f>SUMIF($H$119:$H$170,K8,$G$119:$G$170)</f>
        <v>0</v>
      </c>
    </row>
    <row r="9" spans="2:12" ht="15.75" customHeight="1">
      <c r="B9" s="1162"/>
      <c r="C9" s="1268"/>
      <c r="D9" s="1162"/>
      <c r="E9" s="1269"/>
      <c r="F9" s="1270"/>
      <c r="G9" s="1270"/>
      <c r="H9" s="1217"/>
      <c r="I9" s="1100"/>
      <c r="K9" s="1165"/>
      <c r="L9" s="1166">
        <f>SUMIF($H$119:$H$170,K9,$G$119:$G$170)</f>
        <v>0</v>
      </c>
    </row>
    <row r="10" spans="2:12" ht="15.75" customHeight="1">
      <c r="B10" s="1162"/>
      <c r="C10" s="1268"/>
      <c r="D10" s="1162"/>
      <c r="E10" s="1269"/>
      <c r="F10" s="1270"/>
      <c r="G10" s="1270"/>
      <c r="H10" s="1219"/>
      <c r="I10" s="1100"/>
      <c r="K10" s="1165"/>
      <c r="L10" s="1166">
        <f>SUMIF($H$119:$H$170,K10,$G$119:$G$170)</f>
        <v>0</v>
      </c>
    </row>
    <row r="11" spans="2:12" ht="15.75" customHeight="1">
      <c r="B11" s="1162" t="s">
        <v>2157</v>
      </c>
      <c r="C11" s="1268" t="s">
        <v>2158</v>
      </c>
      <c r="D11" s="1162" t="s">
        <v>254</v>
      </c>
      <c r="E11" s="1269">
        <v>805.75199999999984</v>
      </c>
      <c r="F11" s="1270">
        <v>266.47499999999997</v>
      </c>
      <c r="G11" s="1270">
        <v>214712.76419999992</v>
      </c>
      <c r="H11" s="1219"/>
      <c r="I11" s="1100"/>
      <c r="K11" s="1165"/>
      <c r="L11" s="1166"/>
    </row>
    <row r="12" spans="2:12" ht="15.75" customHeight="1">
      <c r="B12" s="1162" t="s">
        <v>2159</v>
      </c>
      <c r="C12" s="1268" t="s">
        <v>2160</v>
      </c>
      <c r="D12" s="1162" t="s">
        <v>2111</v>
      </c>
      <c r="E12" s="1269">
        <v>184062.91349999997</v>
      </c>
      <c r="F12" s="1270">
        <v>0.95974999999999999</v>
      </c>
      <c r="G12" s="1270">
        <v>176654.38123162495</v>
      </c>
      <c r="H12" s="1219"/>
      <c r="I12" s="1100"/>
      <c r="K12" s="1165"/>
      <c r="L12" s="1166">
        <f t="shared" ref="L12:L58" si="0">SUMIF($H$119:$H$170,K12,$G$119:$G$170)</f>
        <v>0</v>
      </c>
    </row>
    <row r="13" spans="2:12" ht="15.75" customHeight="1">
      <c r="B13" s="1162"/>
      <c r="C13" s="1268"/>
      <c r="D13" s="1162"/>
      <c r="E13" s="1269"/>
      <c r="F13" s="1270"/>
      <c r="G13" s="1270"/>
      <c r="H13" s="1217"/>
      <c r="I13" s="1100"/>
      <c r="K13" s="1165"/>
      <c r="L13" s="1166">
        <f t="shared" si="0"/>
        <v>0</v>
      </c>
    </row>
    <row r="14" spans="2:12" ht="15.75" customHeight="1">
      <c r="B14" s="1162" t="s">
        <v>2161</v>
      </c>
      <c r="C14" s="1268" t="s">
        <v>2162</v>
      </c>
      <c r="D14" s="1162" t="s">
        <v>254</v>
      </c>
      <c r="E14" s="1269">
        <v>328.428</v>
      </c>
      <c r="F14" s="1270">
        <v>504.68153999999998</v>
      </c>
      <c r="G14" s="1270">
        <v>165751.54881911998</v>
      </c>
      <c r="H14" s="1217"/>
      <c r="I14" s="1100"/>
      <c r="K14" s="1165"/>
      <c r="L14" s="1166">
        <f t="shared" si="0"/>
        <v>0</v>
      </c>
    </row>
    <row r="15" spans="2:12" ht="15.75" customHeight="1">
      <c r="B15" s="1162"/>
      <c r="C15" s="1268"/>
      <c r="D15" s="1162"/>
      <c r="E15" s="1269"/>
      <c r="F15" s="1270"/>
      <c r="G15" s="1270"/>
      <c r="H15" s="1205"/>
      <c r="I15" s="1100"/>
      <c r="K15" s="1165"/>
      <c r="L15" s="1166">
        <f t="shared" si="0"/>
        <v>0</v>
      </c>
    </row>
    <row r="16" spans="2:12" ht="15.75" customHeight="1">
      <c r="B16" s="1162" t="s">
        <v>2163</v>
      </c>
      <c r="C16" s="1268" t="s">
        <v>2164</v>
      </c>
      <c r="D16" s="1162" t="s">
        <v>11</v>
      </c>
      <c r="E16" s="1269">
        <v>220</v>
      </c>
      <c r="F16" s="1270">
        <v>620.9</v>
      </c>
      <c r="G16" s="1270">
        <v>136598</v>
      </c>
      <c r="H16" s="1162"/>
      <c r="I16" s="1100"/>
      <c r="K16" s="1165"/>
      <c r="L16" s="1166">
        <f t="shared" si="0"/>
        <v>0</v>
      </c>
    </row>
    <row r="17" spans="2:12" ht="15.75" customHeight="1">
      <c r="B17" s="1162"/>
      <c r="C17" s="1268"/>
      <c r="D17" s="1162"/>
      <c r="E17" s="1269"/>
      <c r="F17" s="1270"/>
      <c r="G17" s="1270"/>
      <c r="H17" s="1162"/>
      <c r="I17" s="1100"/>
      <c r="K17" s="1165"/>
      <c r="L17" s="1166">
        <f t="shared" si="0"/>
        <v>0</v>
      </c>
    </row>
    <row r="18" spans="2:12" ht="15.75" customHeight="1">
      <c r="B18" s="1162" t="s">
        <v>2112</v>
      </c>
      <c r="C18" s="1268" t="s">
        <v>2113</v>
      </c>
      <c r="D18" s="1162" t="s">
        <v>252</v>
      </c>
      <c r="E18" s="1269">
        <v>951.84031863645009</v>
      </c>
      <c r="F18" s="1270">
        <v>96</v>
      </c>
      <c r="G18" s="1270">
        <v>91376.670589099202</v>
      </c>
      <c r="H18" s="1217"/>
      <c r="I18" s="1100"/>
      <c r="K18" s="1165"/>
      <c r="L18" s="1166">
        <f t="shared" si="0"/>
        <v>0</v>
      </c>
    </row>
    <row r="19" spans="2:12" ht="15.75" customHeight="1">
      <c r="B19" s="1162" t="s">
        <v>2165</v>
      </c>
      <c r="C19" s="1268" t="s">
        <v>2166</v>
      </c>
      <c r="D19" s="1162" t="s">
        <v>11</v>
      </c>
      <c r="E19" s="1269">
        <v>194822</v>
      </c>
      <c r="F19" s="1270">
        <v>0.46</v>
      </c>
      <c r="G19" s="1270">
        <v>89618.12000000001</v>
      </c>
      <c r="H19" s="1217"/>
      <c r="I19" s="1100"/>
      <c r="K19" s="1165"/>
      <c r="L19" s="1166">
        <f t="shared" si="0"/>
        <v>0</v>
      </c>
    </row>
    <row r="20" spans="2:12" ht="15.75" customHeight="1">
      <c r="B20" s="1162" t="s">
        <v>2109</v>
      </c>
      <c r="C20" s="1268" t="s">
        <v>2110</v>
      </c>
      <c r="D20" s="1162" t="s">
        <v>2111</v>
      </c>
      <c r="E20" s="1269">
        <v>145495.36025184614</v>
      </c>
      <c r="F20" s="1270">
        <v>0.61</v>
      </c>
      <c r="G20" s="1270">
        <v>88752.169753626149</v>
      </c>
      <c r="H20" s="1217"/>
      <c r="I20" s="1100"/>
      <c r="K20" s="1165"/>
      <c r="L20" s="1166">
        <f t="shared" si="0"/>
        <v>0</v>
      </c>
    </row>
    <row r="21" spans="2:12" ht="15.75" customHeight="1">
      <c r="B21" s="1162" t="s">
        <v>2167</v>
      </c>
      <c r="C21" s="1268" t="s">
        <v>2168</v>
      </c>
      <c r="D21" s="1162" t="s">
        <v>2142</v>
      </c>
      <c r="E21" s="1269">
        <v>4364.6074999999992</v>
      </c>
      <c r="F21" s="1270">
        <v>18.327777777777776</v>
      </c>
      <c r="G21" s="1270">
        <v>79993.556347222198</v>
      </c>
      <c r="H21" s="1217"/>
      <c r="I21" s="1100"/>
      <c r="K21" s="1165"/>
      <c r="L21" s="1166">
        <f t="shared" si="0"/>
        <v>0</v>
      </c>
    </row>
    <row r="22" spans="2:12" ht="15.75" customHeight="1">
      <c r="B22" s="1162" t="s">
        <v>2169</v>
      </c>
      <c r="C22" s="1268" t="s">
        <v>2170</v>
      </c>
      <c r="D22" s="1162" t="s">
        <v>11</v>
      </c>
      <c r="E22" s="1269">
        <v>220</v>
      </c>
      <c r="F22" s="1270">
        <v>359.91</v>
      </c>
      <c r="G22" s="1270">
        <v>79180.200000000012</v>
      </c>
      <c r="H22" s="1217"/>
      <c r="I22" s="1100"/>
      <c r="K22" s="1165"/>
      <c r="L22" s="1166">
        <f t="shared" si="0"/>
        <v>0</v>
      </c>
    </row>
    <row r="23" spans="2:12" ht="15.75" customHeight="1">
      <c r="B23" s="1162"/>
      <c r="C23" s="1268"/>
      <c r="D23" s="1162"/>
      <c r="E23" s="1269"/>
      <c r="F23" s="1270"/>
      <c r="G23" s="1270"/>
      <c r="H23" s="1217"/>
      <c r="I23" s="1100"/>
      <c r="K23" s="1165"/>
      <c r="L23" s="1166">
        <f t="shared" si="0"/>
        <v>0</v>
      </c>
    </row>
    <row r="24" spans="2:12" ht="15.75" customHeight="1">
      <c r="B24" s="1162"/>
      <c r="C24" s="1268"/>
      <c r="D24" s="1162"/>
      <c r="E24" s="1269"/>
      <c r="F24" s="1270"/>
      <c r="G24" s="1270"/>
      <c r="H24" s="1217"/>
      <c r="I24" s="1100"/>
      <c r="K24" s="1165"/>
      <c r="L24" s="1166">
        <f t="shared" si="0"/>
        <v>0</v>
      </c>
    </row>
    <row r="25" spans="2:12" ht="15.75" customHeight="1">
      <c r="B25" s="1162" t="s">
        <v>2171</v>
      </c>
      <c r="C25" s="1268" t="s">
        <v>2172</v>
      </c>
      <c r="D25" s="1162" t="s">
        <v>11</v>
      </c>
      <c r="E25" s="1269">
        <v>245</v>
      </c>
      <c r="F25" s="1270">
        <v>270</v>
      </c>
      <c r="G25" s="1270">
        <v>66150</v>
      </c>
      <c r="H25" s="1217"/>
      <c r="I25" s="1100"/>
      <c r="K25" s="1165"/>
      <c r="L25" s="1166">
        <f t="shared" si="0"/>
        <v>0</v>
      </c>
    </row>
    <row r="26" spans="2:12" ht="15.75" customHeight="1">
      <c r="B26" s="1162" t="s">
        <v>2173</v>
      </c>
      <c r="C26" s="1268" t="s">
        <v>2174</v>
      </c>
      <c r="D26" s="1162" t="s">
        <v>11</v>
      </c>
      <c r="E26" s="1269">
        <v>264</v>
      </c>
      <c r="F26" s="1270">
        <v>250</v>
      </c>
      <c r="G26" s="1270">
        <v>66000</v>
      </c>
      <c r="H26" s="1217"/>
      <c r="I26" s="1100"/>
      <c r="K26" s="1165"/>
      <c r="L26" s="1166">
        <f t="shared" si="0"/>
        <v>0</v>
      </c>
    </row>
    <row r="27" spans="2:12" ht="15.75" customHeight="1">
      <c r="B27" s="1162" t="s">
        <v>2175</v>
      </c>
      <c r="C27" s="1268" t="s">
        <v>2176</v>
      </c>
      <c r="D27" s="1162" t="s">
        <v>2111</v>
      </c>
      <c r="E27" s="1269">
        <v>26075.279999999999</v>
      </c>
      <c r="F27" s="1270">
        <v>2.4500000000000002</v>
      </c>
      <c r="G27" s="1270">
        <v>63884.436000000002</v>
      </c>
      <c r="H27" s="1217"/>
      <c r="I27" s="1100"/>
      <c r="K27" s="1165"/>
      <c r="L27" s="1166">
        <f t="shared" si="0"/>
        <v>0</v>
      </c>
    </row>
    <row r="28" spans="2:12" ht="15.75" customHeight="1">
      <c r="B28" s="1162" t="s">
        <v>2126</v>
      </c>
      <c r="C28" s="1268" t="s">
        <v>2127</v>
      </c>
      <c r="D28" s="1162" t="s">
        <v>254</v>
      </c>
      <c r="E28" s="1269">
        <v>5435.72</v>
      </c>
      <c r="F28" s="1270">
        <v>11</v>
      </c>
      <c r="G28" s="1270">
        <v>59792.920000000006</v>
      </c>
      <c r="H28" s="1217"/>
      <c r="I28" s="1100"/>
      <c r="K28" s="1165"/>
      <c r="L28" s="1166">
        <f t="shared" si="0"/>
        <v>0</v>
      </c>
    </row>
    <row r="29" spans="2:12" ht="15.75" customHeight="1">
      <c r="B29" s="1162" t="s">
        <v>2177</v>
      </c>
      <c r="C29" s="1268" t="s">
        <v>2178</v>
      </c>
      <c r="D29" s="1162" t="s">
        <v>2111</v>
      </c>
      <c r="E29" s="1269">
        <v>8834.9333333333307</v>
      </c>
      <c r="F29" s="1270">
        <v>6.76</v>
      </c>
      <c r="G29" s="1270">
        <v>59724.149333333313</v>
      </c>
      <c r="H29" s="1217"/>
      <c r="I29" s="1100"/>
      <c r="K29" s="1165"/>
      <c r="L29" s="1166">
        <f t="shared" si="0"/>
        <v>0</v>
      </c>
    </row>
    <row r="30" spans="2:12" ht="15.75" customHeight="1">
      <c r="B30" s="1162" t="s">
        <v>2179</v>
      </c>
      <c r="C30" s="1268" t="s">
        <v>2180</v>
      </c>
      <c r="D30" s="1162" t="s">
        <v>254</v>
      </c>
      <c r="E30" s="1269">
        <v>2229.6689999999994</v>
      </c>
      <c r="F30" s="1270">
        <v>26.347222222222221</v>
      </c>
      <c r="G30" s="1270">
        <v>58745.584624999981</v>
      </c>
      <c r="H30" s="1217"/>
      <c r="I30" s="1100"/>
      <c r="K30" s="1165"/>
      <c r="L30" s="1166">
        <f t="shared" si="0"/>
        <v>0</v>
      </c>
    </row>
    <row r="31" spans="2:12" ht="15.75" customHeight="1">
      <c r="B31" s="1162" t="s">
        <v>2181</v>
      </c>
      <c r="C31" s="1268" t="s">
        <v>2182</v>
      </c>
      <c r="D31" s="1162" t="s">
        <v>254</v>
      </c>
      <c r="E31" s="1269">
        <v>119.97439999999999</v>
      </c>
      <c r="F31" s="1270">
        <v>482.22</v>
      </c>
      <c r="G31" s="1270">
        <v>57854.055167999999</v>
      </c>
      <c r="H31" s="1219"/>
      <c r="I31" s="1100"/>
      <c r="K31" s="1165"/>
      <c r="L31" s="1166">
        <f t="shared" si="0"/>
        <v>0</v>
      </c>
    </row>
    <row r="32" spans="2:12" ht="15.75" customHeight="1">
      <c r="B32" s="1162" t="s">
        <v>2183</v>
      </c>
      <c r="C32" s="1268" t="s">
        <v>2184</v>
      </c>
      <c r="D32" s="1162" t="s">
        <v>11</v>
      </c>
      <c r="E32" s="1269">
        <v>228</v>
      </c>
      <c r="F32" s="1270">
        <v>240</v>
      </c>
      <c r="G32" s="1270">
        <v>54720</v>
      </c>
      <c r="H32" s="1219"/>
      <c r="I32" s="1100"/>
      <c r="K32" s="1165"/>
      <c r="L32" s="1166">
        <f t="shared" si="0"/>
        <v>0</v>
      </c>
    </row>
    <row r="33" spans="2:12" ht="15.75" customHeight="1">
      <c r="B33" s="1162" t="s">
        <v>2185</v>
      </c>
      <c r="C33" s="1268" t="s">
        <v>2186</v>
      </c>
      <c r="D33" s="1162" t="s">
        <v>11</v>
      </c>
      <c r="E33" s="1269">
        <v>228</v>
      </c>
      <c r="F33" s="1270">
        <v>240</v>
      </c>
      <c r="G33" s="1270">
        <v>54720</v>
      </c>
      <c r="H33" s="1219"/>
      <c r="I33" s="1100"/>
      <c r="K33" s="1165"/>
      <c r="L33" s="1166">
        <f t="shared" si="0"/>
        <v>0</v>
      </c>
    </row>
    <row r="34" spans="2:12" ht="15.75" customHeight="1">
      <c r="B34" s="1162" t="s">
        <v>2187</v>
      </c>
      <c r="C34" s="1268" t="s">
        <v>2188</v>
      </c>
      <c r="D34" s="1162" t="s">
        <v>254</v>
      </c>
      <c r="E34" s="1269">
        <v>138.19999999999999</v>
      </c>
      <c r="F34" s="1270">
        <v>387.52</v>
      </c>
      <c r="G34" s="1270">
        <v>53555.263999999996</v>
      </c>
      <c r="H34" s="1219"/>
      <c r="I34" s="1100"/>
      <c r="K34" s="1165"/>
      <c r="L34" s="1166">
        <f t="shared" si="0"/>
        <v>0</v>
      </c>
    </row>
    <row r="35" spans="2:12" ht="15.75" customHeight="1">
      <c r="B35" s="1162" t="s">
        <v>2189</v>
      </c>
      <c r="C35" s="1268" t="s">
        <v>2190</v>
      </c>
      <c r="D35" s="1162" t="s">
        <v>2111</v>
      </c>
      <c r="E35" s="1269">
        <v>14946.64</v>
      </c>
      <c r="F35" s="1270">
        <v>3.4772222222222222</v>
      </c>
      <c r="G35" s="1270">
        <v>51972.78875555555</v>
      </c>
      <c r="H35" s="1219"/>
      <c r="I35" s="1100"/>
      <c r="K35" s="1165"/>
      <c r="L35" s="1166">
        <f t="shared" si="0"/>
        <v>0</v>
      </c>
    </row>
    <row r="36" spans="2:12" ht="15.75" customHeight="1">
      <c r="B36" s="1162" t="s">
        <v>2191</v>
      </c>
      <c r="C36" s="1268" t="s">
        <v>2192</v>
      </c>
      <c r="D36" s="1162" t="s">
        <v>11</v>
      </c>
      <c r="E36" s="1269">
        <v>222</v>
      </c>
      <c r="F36" s="1270">
        <v>202.45</v>
      </c>
      <c r="G36" s="1270">
        <v>44943.899999999994</v>
      </c>
      <c r="H36" s="1219"/>
      <c r="I36" s="1100"/>
      <c r="K36" s="1165"/>
      <c r="L36" s="1166">
        <f t="shared" si="0"/>
        <v>0</v>
      </c>
    </row>
    <row r="37" spans="2:12" ht="15.75" customHeight="1">
      <c r="B37" s="1162" t="s">
        <v>2193</v>
      </c>
      <c r="C37" s="1268" t="s">
        <v>2194</v>
      </c>
      <c r="D37" s="1162" t="s">
        <v>2195</v>
      </c>
      <c r="E37" s="1269">
        <v>243</v>
      </c>
      <c r="F37" s="1270">
        <v>181</v>
      </c>
      <c r="G37" s="1270">
        <v>43983</v>
      </c>
      <c r="H37" s="1219"/>
      <c r="I37" s="1100"/>
      <c r="K37" s="1165"/>
      <c r="L37" s="1166">
        <f t="shared" si="0"/>
        <v>0</v>
      </c>
    </row>
    <row r="38" spans="2:12" ht="15.75" customHeight="1">
      <c r="B38" s="1162" t="s">
        <v>2196</v>
      </c>
      <c r="C38" s="1268" t="s">
        <v>2197</v>
      </c>
      <c r="D38" s="1162" t="s">
        <v>11</v>
      </c>
      <c r="E38" s="1269">
        <v>235</v>
      </c>
      <c r="F38" s="1270">
        <v>187</v>
      </c>
      <c r="G38" s="1270">
        <v>43945</v>
      </c>
      <c r="H38" s="1219"/>
      <c r="I38" s="1100"/>
      <c r="K38" s="1165"/>
      <c r="L38" s="1166">
        <f t="shared" si="0"/>
        <v>0</v>
      </c>
    </row>
    <row r="39" spans="2:12" ht="15.75" customHeight="1">
      <c r="B39" s="1162"/>
      <c r="C39" s="1268"/>
      <c r="D39" s="1162"/>
      <c r="E39" s="1269"/>
      <c r="F39" s="1270"/>
      <c r="G39" s="1270"/>
      <c r="H39" s="1219"/>
      <c r="I39" s="1100"/>
      <c r="K39" s="1165"/>
      <c r="L39" s="1166">
        <f t="shared" si="0"/>
        <v>0</v>
      </c>
    </row>
    <row r="40" spans="2:12" ht="15.75" customHeight="1">
      <c r="B40" s="1162" t="s">
        <v>2198</v>
      </c>
      <c r="C40" s="1268" t="s">
        <v>2199</v>
      </c>
      <c r="D40" s="1162" t="s">
        <v>11</v>
      </c>
      <c r="E40" s="1269">
        <v>984</v>
      </c>
      <c r="F40" s="1270">
        <v>39.9</v>
      </c>
      <c r="G40" s="1270">
        <v>39261.599999999999</v>
      </c>
      <c r="H40" s="1217"/>
      <c r="I40" s="1100"/>
      <c r="K40" s="1165"/>
      <c r="L40" s="1166">
        <f t="shared" si="0"/>
        <v>0</v>
      </c>
    </row>
    <row r="41" spans="2:12" ht="15.75" customHeight="1">
      <c r="B41" s="1162" t="s">
        <v>2114</v>
      </c>
      <c r="C41" s="1268" t="s">
        <v>2115</v>
      </c>
      <c r="D41" s="1162" t="s">
        <v>11</v>
      </c>
      <c r="E41" s="1269">
        <v>25538.011695906429</v>
      </c>
      <c r="F41" s="1270">
        <v>1.49</v>
      </c>
      <c r="G41" s="1270">
        <v>38051.637426900576</v>
      </c>
      <c r="H41" s="1217"/>
      <c r="I41" s="1100"/>
      <c r="K41" s="1165"/>
      <c r="L41" s="1166">
        <f t="shared" si="0"/>
        <v>0</v>
      </c>
    </row>
    <row r="42" spans="2:12" ht="15.75" customHeight="1">
      <c r="B42" s="1162" t="s">
        <v>2200</v>
      </c>
      <c r="C42" s="1268" t="s">
        <v>2201</v>
      </c>
      <c r="D42" s="1162" t="s">
        <v>11</v>
      </c>
      <c r="E42" s="1269">
        <v>222</v>
      </c>
      <c r="F42" s="1270">
        <v>170.91</v>
      </c>
      <c r="G42" s="1270">
        <v>37942.019999999997</v>
      </c>
      <c r="H42" s="1217"/>
      <c r="I42" s="1100"/>
      <c r="K42" s="1165"/>
      <c r="L42" s="1166">
        <f t="shared" si="0"/>
        <v>0</v>
      </c>
    </row>
    <row r="43" spans="2:12" ht="15.75" customHeight="1">
      <c r="B43" s="1162" t="s">
        <v>2202</v>
      </c>
      <c r="C43" s="1268" t="s">
        <v>2203</v>
      </c>
      <c r="D43" s="1162" t="s">
        <v>254</v>
      </c>
      <c r="E43" s="1269">
        <v>71.688000000000017</v>
      </c>
      <c r="F43" s="1270">
        <v>480</v>
      </c>
      <c r="G43" s="1270">
        <v>34410.240000000005</v>
      </c>
      <c r="H43" s="1219"/>
      <c r="I43" s="1100"/>
      <c r="K43" s="1165"/>
      <c r="L43" s="1166">
        <f t="shared" si="0"/>
        <v>0</v>
      </c>
    </row>
    <row r="44" spans="2:12" ht="15.75" customHeight="1">
      <c r="B44" s="1162"/>
      <c r="C44" s="1268"/>
      <c r="D44" s="1162"/>
      <c r="E44" s="1269"/>
      <c r="F44" s="1270"/>
      <c r="G44" s="1270"/>
      <c r="H44" s="1205"/>
      <c r="I44" s="1100"/>
      <c r="K44" s="1165"/>
      <c r="L44" s="1166">
        <f t="shared" si="0"/>
        <v>0</v>
      </c>
    </row>
    <row r="45" spans="2:12" ht="15.75" customHeight="1">
      <c r="B45" s="1162" t="s">
        <v>2204</v>
      </c>
      <c r="C45" s="1268" t="s">
        <v>2205</v>
      </c>
      <c r="D45" s="1162" t="s">
        <v>253</v>
      </c>
      <c r="E45" s="1269">
        <v>3507.46</v>
      </c>
      <c r="F45" s="1270">
        <v>8.5633333333333344</v>
      </c>
      <c r="G45" s="1270">
        <v>30035.549133333338</v>
      </c>
      <c r="H45" s="1205"/>
      <c r="I45" s="1100"/>
      <c r="K45" s="1165"/>
      <c r="L45" s="1166">
        <f t="shared" si="0"/>
        <v>0</v>
      </c>
    </row>
    <row r="46" spans="2:12" ht="15.75" customHeight="1">
      <c r="B46" s="1162" t="s">
        <v>2206</v>
      </c>
      <c r="C46" s="1268" t="s">
        <v>2207</v>
      </c>
      <c r="D46" s="1162" t="s">
        <v>2111</v>
      </c>
      <c r="E46" s="1269">
        <v>3719.8701560000004</v>
      </c>
      <c r="F46" s="1270">
        <v>7.99</v>
      </c>
      <c r="G46" s="1270">
        <v>29721.762546440004</v>
      </c>
      <c r="H46" s="1205"/>
      <c r="I46" s="1100"/>
      <c r="K46" s="1165"/>
      <c r="L46" s="1166">
        <f t="shared" si="0"/>
        <v>0</v>
      </c>
    </row>
    <row r="47" spans="2:12" ht="15.75" customHeight="1">
      <c r="B47" s="1162" t="s">
        <v>2208</v>
      </c>
      <c r="C47" s="1268" t="s">
        <v>2209</v>
      </c>
      <c r="D47" s="1162" t="s">
        <v>11</v>
      </c>
      <c r="E47" s="1269">
        <v>18</v>
      </c>
      <c r="F47" s="1270">
        <v>1609.07</v>
      </c>
      <c r="G47" s="1270">
        <v>28963.26</v>
      </c>
      <c r="H47" s="1205"/>
      <c r="I47" s="1100"/>
      <c r="K47" s="1165"/>
      <c r="L47" s="1166">
        <f t="shared" si="0"/>
        <v>0</v>
      </c>
    </row>
    <row r="48" spans="2:12" ht="15.75" customHeight="1">
      <c r="B48" s="1162"/>
      <c r="C48" s="1268"/>
      <c r="D48" s="1162"/>
      <c r="E48" s="1269"/>
      <c r="F48" s="1270"/>
      <c r="G48" s="1270"/>
      <c r="H48" s="1162"/>
      <c r="I48" s="1100"/>
      <c r="K48" s="1165"/>
      <c r="L48" s="1166">
        <f t="shared" si="0"/>
        <v>0</v>
      </c>
    </row>
    <row r="49" spans="2:12" ht="15.75" customHeight="1">
      <c r="B49" s="1162" t="s">
        <v>2210</v>
      </c>
      <c r="C49" s="1268" t="s">
        <v>2211</v>
      </c>
      <c r="D49" s="1162" t="s">
        <v>2111</v>
      </c>
      <c r="E49" s="1269">
        <v>23561.449999999997</v>
      </c>
      <c r="F49" s="1270">
        <v>1.1499999999999999</v>
      </c>
      <c r="G49" s="1270">
        <v>27095.667499999996</v>
      </c>
      <c r="H49" s="1162"/>
      <c r="I49" s="1100"/>
      <c r="K49" s="1165"/>
      <c r="L49" s="1166">
        <f t="shared" si="0"/>
        <v>0</v>
      </c>
    </row>
    <row r="50" spans="2:12" ht="15.75" customHeight="1">
      <c r="B50" s="1162" t="s">
        <v>2212</v>
      </c>
      <c r="C50" s="1268" t="s">
        <v>2213</v>
      </c>
      <c r="D50" s="1162" t="s">
        <v>11</v>
      </c>
      <c r="E50" s="1269">
        <v>231</v>
      </c>
      <c r="F50" s="1270">
        <v>109.25</v>
      </c>
      <c r="G50" s="1270">
        <v>25236.75</v>
      </c>
      <c r="H50" s="1219"/>
      <c r="I50" s="1100"/>
      <c r="K50" s="1165"/>
      <c r="L50" s="1166">
        <f t="shared" si="0"/>
        <v>0</v>
      </c>
    </row>
    <row r="51" spans="2:12" ht="15.75" customHeight="1">
      <c r="B51" s="1162" t="s">
        <v>2214</v>
      </c>
      <c r="C51" s="1268" t="s">
        <v>2215</v>
      </c>
      <c r="D51" s="1162" t="s">
        <v>2142</v>
      </c>
      <c r="E51" s="1269">
        <v>2793.3487999999998</v>
      </c>
      <c r="F51" s="1270">
        <v>8.8833333333333329</v>
      </c>
      <c r="G51" s="1270">
        <v>24814.248506666663</v>
      </c>
      <c r="H51" s="1219"/>
      <c r="I51" s="1100"/>
      <c r="K51" s="1165"/>
      <c r="L51" s="1166">
        <f t="shared" si="0"/>
        <v>0</v>
      </c>
    </row>
    <row r="52" spans="2:12" ht="15.75" customHeight="1">
      <c r="B52" s="1162" t="s">
        <v>2216</v>
      </c>
      <c r="C52" s="1268" t="s">
        <v>2217</v>
      </c>
      <c r="D52" s="1162" t="s">
        <v>11</v>
      </c>
      <c r="E52" s="1269">
        <v>222</v>
      </c>
      <c r="F52" s="1270">
        <v>109.9</v>
      </c>
      <c r="G52" s="1270">
        <v>24397.800000000003</v>
      </c>
      <c r="H52" s="1217"/>
      <c r="I52" s="1100"/>
      <c r="K52" s="1165"/>
      <c r="L52" s="1166">
        <f t="shared" si="0"/>
        <v>0</v>
      </c>
    </row>
    <row r="53" spans="2:12" ht="15.75" customHeight="1">
      <c r="B53" s="1162"/>
      <c r="C53" s="1268"/>
      <c r="D53" s="1162"/>
      <c r="E53" s="1269"/>
      <c r="F53" s="1270"/>
      <c r="G53" s="1270"/>
      <c r="H53" s="1217"/>
      <c r="I53" s="1100"/>
      <c r="K53" s="1165"/>
      <c r="L53" s="1166">
        <f t="shared" si="0"/>
        <v>0</v>
      </c>
    </row>
    <row r="54" spans="2:12" ht="15.75" customHeight="1">
      <c r="B54" s="1162" t="s">
        <v>2218</v>
      </c>
      <c r="C54" s="1268" t="s">
        <v>2219</v>
      </c>
      <c r="D54" s="1162" t="s">
        <v>11</v>
      </c>
      <c r="E54" s="1269">
        <v>492</v>
      </c>
      <c r="F54" s="1270">
        <v>46.51</v>
      </c>
      <c r="G54" s="1270">
        <v>22882.92</v>
      </c>
      <c r="H54" s="1217"/>
      <c r="I54" s="1100"/>
      <c r="K54" s="1165"/>
      <c r="L54" s="1166">
        <f t="shared" si="0"/>
        <v>0</v>
      </c>
    </row>
    <row r="55" spans="2:12" ht="15.75" customHeight="1">
      <c r="B55" s="1162" t="s">
        <v>2120</v>
      </c>
      <c r="C55" s="1268" t="s">
        <v>2121</v>
      </c>
      <c r="D55" s="1162" t="s">
        <v>253</v>
      </c>
      <c r="E55" s="1269">
        <v>371.79</v>
      </c>
      <c r="F55" s="1270">
        <v>58.36</v>
      </c>
      <c r="G55" s="1270">
        <v>21697.664400000001</v>
      </c>
      <c r="H55" s="1217"/>
      <c r="I55" s="1100"/>
      <c r="K55" s="1165"/>
      <c r="L55" s="1166">
        <f t="shared" si="0"/>
        <v>0</v>
      </c>
    </row>
    <row r="56" spans="2:12" ht="15.75" customHeight="1">
      <c r="B56" s="1162" t="s">
        <v>2220</v>
      </c>
      <c r="C56" s="1268" t="s">
        <v>2221</v>
      </c>
      <c r="D56" s="1162" t="s">
        <v>11</v>
      </c>
      <c r="E56" s="1269">
        <v>417</v>
      </c>
      <c r="F56" s="1270">
        <v>49.9</v>
      </c>
      <c r="G56" s="1270">
        <v>20808.3</v>
      </c>
      <c r="H56" s="1217"/>
      <c r="I56" s="1100"/>
      <c r="K56" s="1165"/>
      <c r="L56" s="1166">
        <f t="shared" si="0"/>
        <v>0</v>
      </c>
    </row>
    <row r="57" spans="2:12" ht="15.75" customHeight="1">
      <c r="B57" s="1162" t="s">
        <v>2222</v>
      </c>
      <c r="C57" s="1268" t="s">
        <v>2223</v>
      </c>
      <c r="D57" s="1162" t="s">
        <v>11</v>
      </c>
      <c r="E57" s="1269">
        <v>905.20749999999987</v>
      </c>
      <c r="F57" s="1270">
        <v>21.98</v>
      </c>
      <c r="G57" s="1270">
        <v>19896.460849999996</v>
      </c>
      <c r="H57" s="1217"/>
      <c r="I57" s="1100"/>
      <c r="K57" s="1165"/>
      <c r="L57" s="1166">
        <f t="shared" si="0"/>
        <v>0</v>
      </c>
    </row>
    <row r="58" spans="2:12" ht="15.75" customHeight="1">
      <c r="B58" s="1162"/>
      <c r="C58" s="1268"/>
      <c r="D58" s="1162"/>
      <c r="E58" s="1269"/>
      <c r="F58" s="1270"/>
      <c r="G58" s="1270"/>
      <c r="H58" s="1217"/>
      <c r="I58" s="1100"/>
      <c r="K58" s="1165"/>
      <c r="L58" s="1166">
        <f t="shared" si="0"/>
        <v>0</v>
      </c>
    </row>
    <row r="59" spans="2:12" ht="15.75" customHeight="1">
      <c r="B59" s="1162" t="s">
        <v>2125</v>
      </c>
      <c r="C59" s="1268" t="s">
        <v>1937</v>
      </c>
      <c r="D59" s="1162" t="s">
        <v>391</v>
      </c>
      <c r="E59" s="1269">
        <v>1686.7584000000015</v>
      </c>
      <c r="F59" s="1270">
        <v>11.642669999999999</v>
      </c>
      <c r="G59" s="1270">
        <v>19638.371420928015</v>
      </c>
      <c r="H59" s="1219"/>
      <c r="I59" s="1210"/>
      <c r="K59" s="1165"/>
      <c r="L59" s="1166"/>
    </row>
    <row r="60" spans="2:12" ht="15.75" customHeight="1">
      <c r="B60" s="1162"/>
      <c r="C60" s="1268"/>
      <c r="D60" s="1162"/>
      <c r="E60" s="1269"/>
      <c r="F60" s="1270"/>
      <c r="G60" s="1270"/>
      <c r="H60" s="1219"/>
      <c r="I60" s="1100"/>
      <c r="K60" s="1165"/>
      <c r="L60" s="1166">
        <f>SUMIF($H$119:$H$170,K60,$G$119:$G$170)</f>
        <v>0</v>
      </c>
    </row>
    <row r="61" spans="2:12" ht="15.75" customHeight="1">
      <c r="B61" s="1162" t="s">
        <v>2224</v>
      </c>
      <c r="C61" s="1268" t="s">
        <v>2225</v>
      </c>
      <c r="D61" s="1162" t="s">
        <v>11</v>
      </c>
      <c r="E61" s="1269">
        <v>454</v>
      </c>
      <c r="F61" s="1270">
        <v>39.9</v>
      </c>
      <c r="G61" s="1270">
        <v>18114.599999999999</v>
      </c>
      <c r="H61" s="1219"/>
      <c r="I61" s="1100"/>
      <c r="K61" s="1165"/>
      <c r="L61" s="1166">
        <f>SUMIF($H$119:$H$170,K61,$G$119:$G$170)</f>
        <v>0</v>
      </c>
    </row>
    <row r="62" spans="2:12" ht="15.75" customHeight="1">
      <c r="B62" s="1162" t="s">
        <v>2226</v>
      </c>
      <c r="C62" s="1268" t="s">
        <v>2227</v>
      </c>
      <c r="D62" s="1162" t="s">
        <v>11</v>
      </c>
      <c r="E62" s="1269">
        <v>892</v>
      </c>
      <c r="F62" s="1270">
        <v>19.89</v>
      </c>
      <c r="G62" s="1270">
        <v>17741.88</v>
      </c>
      <c r="H62" s="1217"/>
      <c r="I62" s="1100"/>
      <c r="K62" s="1165"/>
      <c r="L62" s="1166">
        <f>SUMIF($H$119:$H$170,K62,$G$119:$G$170)</f>
        <v>0</v>
      </c>
    </row>
    <row r="63" spans="2:12" ht="15.75" customHeight="1">
      <c r="B63" s="1162" t="s">
        <v>2228</v>
      </c>
      <c r="C63" s="1268" t="s">
        <v>2229</v>
      </c>
      <c r="D63" s="1162" t="s">
        <v>11</v>
      </c>
      <c r="E63" s="1269">
        <v>222</v>
      </c>
      <c r="F63" s="1270">
        <v>77.900000000000006</v>
      </c>
      <c r="G63" s="1270">
        <v>17293.800000000003</v>
      </c>
      <c r="H63" s="1217"/>
      <c r="I63" s="1100"/>
      <c r="K63" s="1165"/>
      <c r="L63" s="1166">
        <f>SUMIF($H$119:$H$170,K63,$G$119:$G$170)</f>
        <v>0</v>
      </c>
    </row>
    <row r="64" spans="2:12" ht="15.75" customHeight="1">
      <c r="B64" s="1162" t="s">
        <v>2230</v>
      </c>
      <c r="C64" s="1268" t="s">
        <v>2231</v>
      </c>
      <c r="D64" s="1162" t="s">
        <v>11</v>
      </c>
      <c r="E64" s="1269">
        <v>132</v>
      </c>
      <c r="F64" s="1270">
        <v>129.9</v>
      </c>
      <c r="G64" s="1270">
        <v>17146.8</v>
      </c>
      <c r="H64" s="1219"/>
      <c r="I64" s="1100"/>
      <c r="K64" s="1165"/>
      <c r="L64" s="1166">
        <f>SUMIF($H$119:$H$170,K64,$G$119:$G$170)</f>
        <v>0</v>
      </c>
    </row>
    <row r="65" spans="2:12" ht="15.75" customHeight="1">
      <c r="B65" s="1162" t="s">
        <v>2232</v>
      </c>
      <c r="C65" s="1268" t="s">
        <v>2233</v>
      </c>
      <c r="D65" s="1162" t="s">
        <v>253</v>
      </c>
      <c r="E65" s="1269">
        <v>179.6</v>
      </c>
      <c r="F65" s="1270">
        <v>81.540000000000006</v>
      </c>
      <c r="G65" s="1270">
        <v>14644.584000000001</v>
      </c>
      <c r="H65" s="1219"/>
      <c r="I65" s="1100"/>
      <c r="K65" s="1165"/>
      <c r="L65" s="1166"/>
    </row>
    <row r="66" spans="2:12" ht="15.75" customHeight="1">
      <c r="B66" s="1162" t="s">
        <v>2234</v>
      </c>
      <c r="C66" s="1268" t="s">
        <v>2235</v>
      </c>
      <c r="D66" s="1162" t="s">
        <v>2111</v>
      </c>
      <c r="E66" s="1269">
        <v>829.28699999999992</v>
      </c>
      <c r="F66" s="1270">
        <v>16.938888888888886</v>
      </c>
      <c r="G66" s="1270">
        <v>14047.200349999997</v>
      </c>
      <c r="H66" s="1219"/>
      <c r="I66" s="1100"/>
      <c r="K66" s="1165"/>
      <c r="L66" s="1166">
        <f t="shared" ref="L66:L112" si="1">SUMIF($H$119:$H$170,K66,$G$119:$G$170)</f>
        <v>0</v>
      </c>
    </row>
    <row r="67" spans="2:12" ht="15.75" customHeight="1">
      <c r="B67" s="1162"/>
      <c r="C67" s="1268"/>
      <c r="D67" s="1162"/>
      <c r="E67" s="1269"/>
      <c r="F67" s="1270"/>
      <c r="G67" s="1270"/>
      <c r="H67" s="1217"/>
      <c r="I67" s="1100"/>
      <c r="K67" s="1165"/>
      <c r="L67" s="1166">
        <f t="shared" si="1"/>
        <v>0</v>
      </c>
    </row>
    <row r="68" spans="2:12" ht="15.75" customHeight="1">
      <c r="B68" s="1162" t="s">
        <v>2236</v>
      </c>
      <c r="C68" s="1268" t="s">
        <v>2237</v>
      </c>
      <c r="D68" s="1162" t="s">
        <v>11</v>
      </c>
      <c r="E68" s="1269">
        <v>446</v>
      </c>
      <c r="F68" s="1270">
        <v>28.650000000000002</v>
      </c>
      <c r="G68" s="1270">
        <v>12777.900000000001</v>
      </c>
      <c r="H68" s="1217"/>
      <c r="I68" s="1100"/>
      <c r="K68" s="1165"/>
      <c r="L68" s="1166">
        <f t="shared" si="1"/>
        <v>0</v>
      </c>
    </row>
    <row r="69" spans="2:12" ht="15.75" customHeight="1">
      <c r="B69" s="1162" t="s">
        <v>2238</v>
      </c>
      <c r="C69" s="1268" t="s">
        <v>2239</v>
      </c>
      <c r="D69" s="1162" t="s">
        <v>11</v>
      </c>
      <c r="E69" s="1269">
        <v>19482.199999999997</v>
      </c>
      <c r="F69" s="1270">
        <v>0.64</v>
      </c>
      <c r="G69" s="1270">
        <v>12468.607999999998</v>
      </c>
      <c r="H69" s="1205"/>
      <c r="I69" s="1100"/>
      <c r="K69" s="1165"/>
      <c r="L69" s="1166">
        <f t="shared" si="1"/>
        <v>0</v>
      </c>
    </row>
    <row r="70" spans="2:12" ht="15.75" customHeight="1">
      <c r="B70" s="1162" t="s">
        <v>2240</v>
      </c>
      <c r="C70" s="1268" t="s">
        <v>2241</v>
      </c>
      <c r="D70" s="1162" t="s">
        <v>11</v>
      </c>
      <c r="E70" s="1269">
        <v>695.09799999999996</v>
      </c>
      <c r="F70" s="1270">
        <v>15.5</v>
      </c>
      <c r="G70" s="1270">
        <v>10774.019</v>
      </c>
      <c r="H70" s="1162"/>
      <c r="I70" s="1100"/>
      <c r="K70" s="1165"/>
      <c r="L70" s="1166">
        <f t="shared" si="1"/>
        <v>0</v>
      </c>
    </row>
    <row r="71" spans="2:12" ht="15.75" customHeight="1">
      <c r="B71" s="1162"/>
      <c r="C71" s="1268"/>
      <c r="D71" s="1162"/>
      <c r="E71" s="1269"/>
      <c r="F71" s="1270"/>
      <c r="G71" s="1270"/>
      <c r="H71" s="1162"/>
      <c r="I71" s="1100"/>
      <c r="K71" s="1165"/>
      <c r="L71" s="1166">
        <f t="shared" si="1"/>
        <v>0</v>
      </c>
    </row>
    <row r="72" spans="2:12" ht="15.75" customHeight="1">
      <c r="B72" s="1162" t="s">
        <v>2242</v>
      </c>
      <c r="C72" s="1268" t="s">
        <v>2243</v>
      </c>
      <c r="D72" s="1162" t="s">
        <v>253</v>
      </c>
      <c r="E72" s="1269">
        <v>84</v>
      </c>
      <c r="F72" s="1270">
        <v>119</v>
      </c>
      <c r="G72" s="1270">
        <v>9996</v>
      </c>
      <c r="H72" s="1217"/>
      <c r="I72" s="1100"/>
      <c r="K72" s="1165"/>
      <c r="L72" s="1166">
        <f t="shared" si="1"/>
        <v>0</v>
      </c>
    </row>
    <row r="73" spans="2:12" ht="15.75" customHeight="1">
      <c r="B73" s="1162" t="s">
        <v>2244</v>
      </c>
      <c r="C73" s="1268" t="s">
        <v>2245</v>
      </c>
      <c r="D73" s="1162" t="s">
        <v>11</v>
      </c>
      <c r="E73" s="1269">
        <v>7</v>
      </c>
      <c r="F73" s="1270">
        <v>1424.9</v>
      </c>
      <c r="G73" s="1270">
        <v>9974.3000000000011</v>
      </c>
      <c r="H73" s="1217"/>
      <c r="I73" s="1100"/>
      <c r="K73" s="1165"/>
      <c r="L73" s="1166">
        <f t="shared" si="1"/>
        <v>0</v>
      </c>
    </row>
    <row r="74" spans="2:12" ht="15.75" customHeight="1">
      <c r="B74" s="1162" t="s">
        <v>2246</v>
      </c>
      <c r="C74" s="1268" t="s">
        <v>2247</v>
      </c>
      <c r="D74" s="1162" t="s">
        <v>11</v>
      </c>
      <c r="E74" s="1269">
        <v>227</v>
      </c>
      <c r="F74" s="1270">
        <v>35.9</v>
      </c>
      <c r="G74" s="1270">
        <v>8149.2999999999993</v>
      </c>
      <c r="H74" s="1217"/>
      <c r="I74" s="1100"/>
      <c r="K74" s="1165"/>
      <c r="L74" s="1166">
        <f t="shared" si="1"/>
        <v>0</v>
      </c>
    </row>
    <row r="75" spans="2:12" ht="15.75" customHeight="1">
      <c r="B75" s="1162"/>
      <c r="C75" s="1268"/>
      <c r="D75" s="1162"/>
      <c r="E75" s="1269"/>
      <c r="F75" s="1270"/>
      <c r="G75" s="1270"/>
      <c r="H75" s="1217"/>
      <c r="I75" s="1100"/>
      <c r="K75" s="1165"/>
      <c r="L75" s="1166">
        <f t="shared" si="1"/>
        <v>0</v>
      </c>
    </row>
    <row r="76" spans="2:12" ht="15.75" customHeight="1">
      <c r="B76" s="1162"/>
      <c r="C76" s="1268"/>
      <c r="D76" s="1162"/>
      <c r="E76" s="1269"/>
      <c r="F76" s="1270"/>
      <c r="G76" s="1270"/>
      <c r="H76" s="1217"/>
      <c r="I76" s="1100"/>
      <c r="K76" s="1165"/>
      <c r="L76" s="1166">
        <f t="shared" si="1"/>
        <v>0</v>
      </c>
    </row>
    <row r="77" spans="2:12" ht="15.75" customHeight="1">
      <c r="B77" s="1162" t="s">
        <v>2128</v>
      </c>
      <c r="C77" s="1268" t="s">
        <v>2129</v>
      </c>
      <c r="D77" s="1162" t="s">
        <v>252</v>
      </c>
      <c r="E77" s="1269">
        <v>68.089360000000042</v>
      </c>
      <c r="F77" s="1270">
        <v>100</v>
      </c>
      <c r="G77" s="1270">
        <v>6808.9360000000042</v>
      </c>
      <c r="H77" s="1217"/>
      <c r="I77" s="1100"/>
      <c r="K77" s="1165"/>
      <c r="L77" s="1166">
        <f t="shared" si="1"/>
        <v>0</v>
      </c>
    </row>
    <row r="78" spans="2:12" ht="15.75" customHeight="1">
      <c r="B78" s="1162" t="s">
        <v>2250</v>
      </c>
      <c r="C78" s="1268" t="s">
        <v>2251</v>
      </c>
      <c r="D78" s="1162" t="s">
        <v>11</v>
      </c>
      <c r="E78" s="1269">
        <v>227</v>
      </c>
      <c r="F78" s="1270">
        <v>29</v>
      </c>
      <c r="G78" s="1270">
        <v>6583</v>
      </c>
      <c r="H78" s="1217"/>
      <c r="I78" s="1100"/>
      <c r="K78" s="1165"/>
      <c r="L78" s="1166">
        <f t="shared" si="1"/>
        <v>0</v>
      </c>
    </row>
    <row r="79" spans="2:12" ht="15.75" customHeight="1">
      <c r="B79" s="1162" t="s">
        <v>2252</v>
      </c>
      <c r="C79" s="1268" t="s">
        <v>2253</v>
      </c>
      <c r="D79" s="1162" t="s">
        <v>11</v>
      </c>
      <c r="E79" s="1269">
        <v>227</v>
      </c>
      <c r="F79" s="1270">
        <v>28.45</v>
      </c>
      <c r="G79" s="1270">
        <v>6458.15</v>
      </c>
      <c r="H79" s="1217"/>
      <c r="I79" s="1100"/>
      <c r="K79" s="1165"/>
      <c r="L79" s="1166">
        <f t="shared" si="1"/>
        <v>0</v>
      </c>
    </row>
    <row r="80" spans="2:12" ht="15.75" customHeight="1">
      <c r="B80" s="1162" t="s">
        <v>2248</v>
      </c>
      <c r="C80" s="1268" t="s">
        <v>2249</v>
      </c>
      <c r="D80" s="1162" t="s">
        <v>11</v>
      </c>
      <c r="E80" s="1269">
        <v>492</v>
      </c>
      <c r="F80" s="1270">
        <v>12.9</v>
      </c>
      <c r="G80" s="1270">
        <v>6346.8</v>
      </c>
      <c r="H80" s="1217"/>
      <c r="I80" s="1100"/>
      <c r="K80" s="1165"/>
      <c r="L80" s="1166">
        <f t="shared" si="1"/>
        <v>0</v>
      </c>
    </row>
    <row r="81" spans="2:12" ht="15.75" customHeight="1">
      <c r="B81" s="1162" t="s">
        <v>2130</v>
      </c>
      <c r="C81" s="1268" t="s">
        <v>2131</v>
      </c>
      <c r="D81" s="1162" t="s">
        <v>391</v>
      </c>
      <c r="E81" s="1269">
        <v>2051.6404400000001</v>
      </c>
      <c r="F81" s="1270">
        <v>2.9545454545454546</v>
      </c>
      <c r="G81" s="1270">
        <v>6061.664936363637</v>
      </c>
      <c r="H81" s="1217"/>
      <c r="I81" s="1100"/>
      <c r="K81" s="1165"/>
      <c r="L81" s="1166">
        <f t="shared" si="1"/>
        <v>0</v>
      </c>
    </row>
    <row r="82" spans="2:12" ht="15.75" customHeight="1">
      <c r="B82" s="1162" t="s">
        <v>2254</v>
      </c>
      <c r="C82" s="1268" t="s">
        <v>2255</v>
      </c>
      <c r="D82" s="1162" t="s">
        <v>11</v>
      </c>
      <c r="E82" s="1269">
        <v>7</v>
      </c>
      <c r="F82" s="1270">
        <v>850.78</v>
      </c>
      <c r="G82" s="1270">
        <v>5955.46</v>
      </c>
      <c r="H82" s="1217"/>
      <c r="I82" s="1100"/>
      <c r="K82" s="1165"/>
      <c r="L82" s="1166">
        <f t="shared" si="1"/>
        <v>0</v>
      </c>
    </row>
    <row r="83" spans="2:12" ht="15.75" customHeight="1">
      <c r="B83" s="1162"/>
      <c r="C83" s="1268"/>
      <c r="D83" s="1162"/>
      <c r="E83" s="1269"/>
      <c r="F83" s="1270"/>
      <c r="G83" s="1270"/>
      <c r="H83" s="1217"/>
      <c r="I83" s="1100"/>
      <c r="K83" s="1165"/>
      <c r="L83" s="1166">
        <f t="shared" si="1"/>
        <v>0</v>
      </c>
    </row>
    <row r="84" spans="2:12" ht="15.75" customHeight="1">
      <c r="B84" s="1162" t="s">
        <v>2256</v>
      </c>
      <c r="C84" s="1268" t="s">
        <v>2257</v>
      </c>
      <c r="D84" s="1162" t="s">
        <v>253</v>
      </c>
      <c r="E84" s="1269">
        <v>398.16</v>
      </c>
      <c r="F84" s="1270">
        <v>12.5</v>
      </c>
      <c r="G84" s="1270">
        <v>4977</v>
      </c>
      <c r="H84" s="1217"/>
      <c r="I84" s="1100"/>
      <c r="K84" s="1165"/>
      <c r="L84" s="1166">
        <f t="shared" si="1"/>
        <v>0</v>
      </c>
    </row>
    <row r="85" spans="2:12" ht="15.75" customHeight="1">
      <c r="B85" s="1162" t="s">
        <v>2258</v>
      </c>
      <c r="C85" s="1268" t="s">
        <v>2259</v>
      </c>
      <c r="D85" s="1162" t="s">
        <v>2111</v>
      </c>
      <c r="E85" s="1269">
        <v>1383.0433333333333</v>
      </c>
      <c r="F85" s="1270">
        <v>3.3560000000000003</v>
      </c>
      <c r="G85" s="1270">
        <v>4641.4934266666669</v>
      </c>
      <c r="H85" s="1219"/>
      <c r="I85" s="1100"/>
      <c r="K85" s="1165"/>
      <c r="L85" s="1166">
        <f t="shared" si="1"/>
        <v>0</v>
      </c>
    </row>
    <row r="86" spans="2:12" ht="15.75" customHeight="1">
      <c r="B86" s="1162" t="s">
        <v>2149</v>
      </c>
      <c r="C86" s="1268" t="s">
        <v>2150</v>
      </c>
      <c r="D86" s="1162" t="s">
        <v>11</v>
      </c>
      <c r="E86" s="1269">
        <v>51.267267999999987</v>
      </c>
      <c r="F86" s="1270">
        <v>83.03</v>
      </c>
      <c r="G86" s="1270">
        <v>4256.7212620399987</v>
      </c>
      <c r="H86" s="1219"/>
      <c r="I86" s="1100"/>
      <c r="K86" s="1165"/>
      <c r="L86" s="1166">
        <f t="shared" si="1"/>
        <v>0</v>
      </c>
    </row>
    <row r="87" spans="2:12" ht="15.75" customHeight="1">
      <c r="B87" s="1162" t="s">
        <v>2260</v>
      </c>
      <c r="C87" s="1268" t="s">
        <v>2261</v>
      </c>
      <c r="D87" s="1162" t="s">
        <v>254</v>
      </c>
      <c r="E87" s="1269">
        <v>13.200000000000001</v>
      </c>
      <c r="F87" s="1270">
        <v>320</v>
      </c>
      <c r="G87" s="1270">
        <v>4224</v>
      </c>
      <c r="H87" s="1219"/>
      <c r="I87" s="1100"/>
      <c r="K87" s="1165"/>
      <c r="L87" s="1166">
        <f t="shared" si="1"/>
        <v>0</v>
      </c>
    </row>
    <row r="88" spans="2:12" ht="15.75" customHeight="1">
      <c r="B88" s="1162" t="s">
        <v>2262</v>
      </c>
      <c r="C88" s="1268" t="s">
        <v>2263</v>
      </c>
      <c r="D88" s="1162" t="s">
        <v>11</v>
      </c>
      <c r="E88" s="1269">
        <v>13</v>
      </c>
      <c r="F88" s="1270">
        <v>290</v>
      </c>
      <c r="G88" s="1270">
        <v>3770</v>
      </c>
      <c r="H88" s="1219"/>
      <c r="I88" s="1100"/>
      <c r="K88" s="1165"/>
      <c r="L88" s="1166">
        <f t="shared" si="1"/>
        <v>0</v>
      </c>
    </row>
    <row r="89" spans="2:12" ht="15.75" customHeight="1">
      <c r="B89" s="1162" t="s">
        <v>2132</v>
      </c>
      <c r="C89" s="1268" t="s">
        <v>2133</v>
      </c>
      <c r="D89" s="1162" t="s">
        <v>254</v>
      </c>
      <c r="E89" s="1269">
        <v>136.31716799999998</v>
      </c>
      <c r="F89" s="1270">
        <v>25.843750000000004</v>
      </c>
      <c r="G89" s="1270">
        <v>3522.9468105000001</v>
      </c>
      <c r="H89" s="1219"/>
      <c r="I89" s="1100"/>
      <c r="K89" s="1165"/>
      <c r="L89" s="1166">
        <f t="shared" si="1"/>
        <v>0</v>
      </c>
    </row>
    <row r="90" spans="2:12" ht="15.75" customHeight="1">
      <c r="B90" s="1162" t="s">
        <v>2140</v>
      </c>
      <c r="C90" s="1268" t="s">
        <v>2141</v>
      </c>
      <c r="D90" s="1162" t="s">
        <v>2142</v>
      </c>
      <c r="E90" s="1269">
        <v>62.378999999999998</v>
      </c>
      <c r="F90" s="1270">
        <v>55.555555555555557</v>
      </c>
      <c r="G90" s="1270">
        <v>3465.5</v>
      </c>
      <c r="H90" s="1219"/>
      <c r="I90" s="1100"/>
      <c r="K90" s="1165"/>
      <c r="L90" s="1166">
        <f t="shared" si="1"/>
        <v>0</v>
      </c>
    </row>
    <row r="91" spans="2:12" ht="15.75" customHeight="1">
      <c r="B91" s="1162" t="s">
        <v>2264</v>
      </c>
      <c r="C91" s="1268" t="s">
        <v>2265</v>
      </c>
      <c r="D91" s="1162" t="s">
        <v>11</v>
      </c>
      <c r="E91" s="1269">
        <v>2000.9849999999997</v>
      </c>
      <c r="F91" s="1270">
        <v>1.69</v>
      </c>
      <c r="G91" s="1270">
        <v>3381.6646499999993</v>
      </c>
      <c r="H91" s="1219"/>
      <c r="I91" s="1100"/>
      <c r="K91" s="1165"/>
      <c r="L91" s="1166">
        <f t="shared" si="1"/>
        <v>0</v>
      </c>
    </row>
    <row r="92" spans="2:12" ht="15.75" customHeight="1">
      <c r="B92" s="1162" t="s">
        <v>2151</v>
      </c>
      <c r="C92" s="1268" t="s">
        <v>2152</v>
      </c>
      <c r="D92" s="1162" t="s">
        <v>11</v>
      </c>
      <c r="E92" s="1269">
        <v>51.267267999999987</v>
      </c>
      <c r="F92" s="1270">
        <v>60.21</v>
      </c>
      <c r="G92" s="1270">
        <v>3086.8022062799992</v>
      </c>
      <c r="H92" s="1219"/>
      <c r="I92" s="1100"/>
      <c r="K92" s="1165"/>
      <c r="L92" s="1166">
        <f t="shared" si="1"/>
        <v>0</v>
      </c>
    </row>
    <row r="93" spans="2:12" ht="15.75" customHeight="1">
      <c r="B93" s="1162" t="s">
        <v>2134</v>
      </c>
      <c r="C93" s="1268" t="s">
        <v>2135</v>
      </c>
      <c r="D93" s="1162" t="s">
        <v>11</v>
      </c>
      <c r="E93" s="1269">
        <v>79.669285714285721</v>
      </c>
      <c r="F93" s="1270">
        <v>38.5</v>
      </c>
      <c r="G93" s="1270">
        <v>3067.2675000000004</v>
      </c>
      <c r="H93" s="1219"/>
      <c r="I93" s="1100"/>
      <c r="K93" s="1165"/>
      <c r="L93" s="1166">
        <f t="shared" si="1"/>
        <v>0</v>
      </c>
    </row>
    <row r="94" spans="2:12" ht="15.75" customHeight="1">
      <c r="B94" s="1162" t="s">
        <v>2136</v>
      </c>
      <c r="C94" s="1268" t="s">
        <v>2137</v>
      </c>
      <c r="D94" s="1162" t="s">
        <v>253</v>
      </c>
      <c r="E94" s="1269">
        <v>371.79</v>
      </c>
      <c r="F94" s="1270">
        <v>8.11</v>
      </c>
      <c r="G94" s="1270">
        <v>3015.2168999999999</v>
      </c>
      <c r="H94" s="1217"/>
      <c r="I94" s="1100"/>
      <c r="K94" s="1165"/>
      <c r="L94" s="1166">
        <f t="shared" si="1"/>
        <v>0</v>
      </c>
    </row>
    <row r="95" spans="2:12" ht="15.75" customHeight="1">
      <c r="B95" s="1162" t="s">
        <v>2138</v>
      </c>
      <c r="C95" s="1268" t="s">
        <v>2139</v>
      </c>
      <c r="D95" s="1162" t="s">
        <v>253</v>
      </c>
      <c r="E95" s="1269">
        <v>257.74042319999995</v>
      </c>
      <c r="F95" s="1270">
        <v>11.576666666666666</v>
      </c>
      <c r="G95" s="1270">
        <v>2983.7749659119995</v>
      </c>
      <c r="H95" s="1217"/>
      <c r="I95" s="1100"/>
      <c r="K95" s="1165"/>
      <c r="L95" s="1166">
        <f t="shared" si="1"/>
        <v>0</v>
      </c>
    </row>
    <row r="96" spans="2:12" ht="15.75" customHeight="1">
      <c r="B96" s="1162" t="s">
        <v>2266</v>
      </c>
      <c r="C96" s="1268" t="s">
        <v>2267</v>
      </c>
      <c r="D96" s="1162" t="s">
        <v>11</v>
      </c>
      <c r="E96" s="1269">
        <v>3</v>
      </c>
      <c r="F96" s="1270">
        <v>943.29</v>
      </c>
      <c r="G96" s="1270">
        <v>2829.87</v>
      </c>
      <c r="H96" s="1217"/>
      <c r="I96" s="1100"/>
      <c r="K96" s="1165"/>
      <c r="L96" s="1166">
        <f t="shared" si="1"/>
        <v>0</v>
      </c>
    </row>
    <row r="97" spans="2:12" ht="15.75" customHeight="1">
      <c r="B97" s="1162" t="s">
        <v>2268</v>
      </c>
      <c r="C97" s="1268" t="s">
        <v>2269</v>
      </c>
      <c r="D97" s="1162" t="s">
        <v>11</v>
      </c>
      <c r="E97" s="1269">
        <v>2000.9849999999997</v>
      </c>
      <c r="F97" s="1270">
        <v>1.4</v>
      </c>
      <c r="G97" s="1270">
        <v>2801.3789999999995</v>
      </c>
      <c r="H97" s="1219"/>
      <c r="I97" s="1100"/>
      <c r="K97" s="1165"/>
      <c r="L97" s="1166">
        <f t="shared" si="1"/>
        <v>0</v>
      </c>
    </row>
    <row r="98" spans="2:12" ht="15.75" customHeight="1">
      <c r="B98" s="1162" t="s">
        <v>2270</v>
      </c>
      <c r="C98" s="1268" t="s">
        <v>2271</v>
      </c>
      <c r="D98" s="1162" t="s">
        <v>2111</v>
      </c>
      <c r="E98" s="1269">
        <v>1535.7166666666667</v>
      </c>
      <c r="F98" s="1270">
        <v>1.8155000000000001</v>
      </c>
      <c r="G98" s="1270">
        <v>2788.0936083333336</v>
      </c>
      <c r="H98" s="1205"/>
      <c r="I98" s="1100"/>
      <c r="K98" s="1165"/>
      <c r="L98" s="1166">
        <f t="shared" si="1"/>
        <v>0</v>
      </c>
    </row>
    <row r="99" spans="2:12" ht="15.75" customHeight="1">
      <c r="B99" s="1162" t="s">
        <v>2272</v>
      </c>
      <c r="C99" s="1268" t="s">
        <v>2273</v>
      </c>
      <c r="D99" s="1162" t="s">
        <v>2111</v>
      </c>
      <c r="E99" s="1269">
        <v>2682.4050000000002</v>
      </c>
      <c r="F99" s="1270">
        <v>0.94</v>
      </c>
      <c r="G99" s="1270">
        <v>2521.4607000000001</v>
      </c>
      <c r="H99" s="1205"/>
      <c r="I99" s="1100"/>
      <c r="K99" s="1165"/>
      <c r="L99" s="1166">
        <f t="shared" si="1"/>
        <v>0</v>
      </c>
    </row>
    <row r="100" spans="2:12" ht="15.75" customHeight="1">
      <c r="B100" s="1162" t="s">
        <v>2274</v>
      </c>
      <c r="C100" s="1268" t="s">
        <v>2275</v>
      </c>
      <c r="D100" s="1162" t="s">
        <v>11</v>
      </c>
      <c r="E100" s="1269">
        <v>11867.371666666666</v>
      </c>
      <c r="F100" s="1270">
        <v>0.21</v>
      </c>
      <c r="G100" s="1270">
        <v>2492.1480499999998</v>
      </c>
      <c r="H100" s="1205"/>
      <c r="I100" s="1100"/>
      <c r="K100" s="1165"/>
      <c r="L100" s="1166">
        <f t="shared" si="1"/>
        <v>0</v>
      </c>
    </row>
    <row r="101" spans="2:12" ht="15.75" customHeight="1">
      <c r="B101" s="1162" t="s">
        <v>2276</v>
      </c>
      <c r="C101" s="1268" t="s">
        <v>2277</v>
      </c>
      <c r="D101" s="1162" t="s">
        <v>2195</v>
      </c>
      <c r="E101" s="1269">
        <v>21</v>
      </c>
      <c r="F101" s="1270">
        <v>115.7</v>
      </c>
      <c r="G101" s="1270">
        <v>2429.7000000000003</v>
      </c>
      <c r="H101" s="1205"/>
      <c r="I101" s="1100"/>
      <c r="K101" s="1165"/>
      <c r="L101" s="1166">
        <f t="shared" si="1"/>
        <v>0</v>
      </c>
    </row>
    <row r="102" spans="2:12" ht="15.75" customHeight="1">
      <c r="B102" s="1162" t="s">
        <v>2278</v>
      </c>
      <c r="C102" s="1268" t="s">
        <v>2279</v>
      </c>
      <c r="D102" s="1162" t="s">
        <v>2111</v>
      </c>
      <c r="E102" s="1269">
        <v>98.4</v>
      </c>
      <c r="F102" s="1270">
        <v>21</v>
      </c>
      <c r="G102" s="1270">
        <v>2066.4</v>
      </c>
      <c r="H102" s="1162"/>
      <c r="I102" s="1100"/>
      <c r="K102" s="1165"/>
      <c r="L102" s="1166">
        <f t="shared" si="1"/>
        <v>0</v>
      </c>
    </row>
    <row r="103" spans="2:12" ht="15.75" customHeight="1">
      <c r="B103" s="1162" t="s">
        <v>2280</v>
      </c>
      <c r="C103" s="1268" t="s">
        <v>2281</v>
      </c>
      <c r="D103" s="1162" t="s">
        <v>11</v>
      </c>
      <c r="E103" s="1269">
        <v>15</v>
      </c>
      <c r="F103" s="1270">
        <v>133.9</v>
      </c>
      <c r="G103" s="1270">
        <v>2008.5</v>
      </c>
      <c r="H103" s="1162"/>
      <c r="I103" s="1100"/>
      <c r="K103" s="1165"/>
      <c r="L103" s="1166">
        <f t="shared" si="1"/>
        <v>0</v>
      </c>
    </row>
    <row r="104" spans="2:12" ht="15.75" customHeight="1">
      <c r="B104" s="1162" t="s">
        <v>2282</v>
      </c>
      <c r="C104" s="1268" t="s">
        <v>2283</v>
      </c>
      <c r="D104" s="1162" t="s">
        <v>2111</v>
      </c>
      <c r="E104" s="1269">
        <v>110.5</v>
      </c>
      <c r="F104" s="1270">
        <v>17.47</v>
      </c>
      <c r="G104" s="1270">
        <v>1930.4349999999999</v>
      </c>
      <c r="H104" s="1219"/>
      <c r="I104" s="1100"/>
      <c r="K104" s="1165"/>
      <c r="L104" s="1166">
        <f t="shared" si="1"/>
        <v>0</v>
      </c>
    </row>
    <row r="105" spans="2:12" ht="15.75" customHeight="1">
      <c r="B105" s="1162" t="s">
        <v>2284</v>
      </c>
      <c r="C105" s="1268" t="s">
        <v>2285</v>
      </c>
      <c r="D105" s="1162" t="s">
        <v>2111</v>
      </c>
      <c r="E105" s="1269">
        <v>38.610293999999996</v>
      </c>
      <c r="F105" s="1270">
        <v>46.9</v>
      </c>
      <c r="G105" s="1270">
        <v>1810.8227885999997</v>
      </c>
      <c r="H105" s="1219"/>
      <c r="I105" s="1100"/>
      <c r="K105" s="1165"/>
      <c r="L105" s="1166">
        <f t="shared" si="1"/>
        <v>0</v>
      </c>
    </row>
    <row r="106" spans="2:12" ht="15.75" customHeight="1">
      <c r="B106" s="1162" t="s">
        <v>2286</v>
      </c>
      <c r="C106" s="1268" t="s">
        <v>2287</v>
      </c>
      <c r="D106" s="1162" t="s">
        <v>11</v>
      </c>
      <c r="E106" s="1269">
        <v>6</v>
      </c>
      <c r="F106" s="1270">
        <v>290</v>
      </c>
      <c r="G106" s="1270">
        <v>1740</v>
      </c>
      <c r="H106" s="1217"/>
      <c r="I106" s="1100"/>
      <c r="K106" s="1165"/>
      <c r="L106" s="1166">
        <f t="shared" si="1"/>
        <v>0</v>
      </c>
    </row>
    <row r="107" spans="2:12" ht="15.75" customHeight="1">
      <c r="B107" s="1162" t="s">
        <v>2288</v>
      </c>
      <c r="C107" s="1268" t="s">
        <v>2289</v>
      </c>
      <c r="D107" s="1162" t="s">
        <v>254</v>
      </c>
      <c r="E107" s="1269">
        <v>3.5280000000000005</v>
      </c>
      <c r="F107" s="1270">
        <v>475</v>
      </c>
      <c r="G107" s="1270">
        <v>1675.8000000000002</v>
      </c>
      <c r="H107" s="1217"/>
      <c r="I107" s="1100"/>
      <c r="K107" s="1165"/>
      <c r="L107" s="1166">
        <f t="shared" si="1"/>
        <v>0</v>
      </c>
    </row>
    <row r="108" spans="2:12" ht="15.75" customHeight="1">
      <c r="B108" s="1162" t="s">
        <v>2290</v>
      </c>
      <c r="C108" s="1268" t="s">
        <v>2291</v>
      </c>
      <c r="D108" s="1162" t="s">
        <v>254</v>
      </c>
      <c r="E108" s="1269">
        <v>3.3600000000000003</v>
      </c>
      <c r="F108" s="1270">
        <v>444.35</v>
      </c>
      <c r="G108" s="1270">
        <v>1493.0160000000003</v>
      </c>
      <c r="H108" s="1217"/>
      <c r="I108" s="1100"/>
      <c r="K108" s="1165"/>
      <c r="L108" s="1166">
        <f t="shared" si="1"/>
        <v>0</v>
      </c>
    </row>
    <row r="109" spans="2:12" ht="15.75" customHeight="1">
      <c r="B109" s="1162" t="s">
        <v>2292</v>
      </c>
      <c r="C109" s="1268" t="s">
        <v>2293</v>
      </c>
      <c r="D109" s="1162" t="s">
        <v>253</v>
      </c>
      <c r="E109" s="1269">
        <v>36</v>
      </c>
      <c r="F109" s="1270">
        <v>40.314999999999998</v>
      </c>
      <c r="G109" s="1270">
        <v>1451.34</v>
      </c>
      <c r="H109" s="1217"/>
      <c r="I109" s="1100"/>
      <c r="K109" s="1165"/>
      <c r="L109" s="1166">
        <f t="shared" si="1"/>
        <v>0</v>
      </c>
    </row>
    <row r="110" spans="2:12" ht="15.75" customHeight="1">
      <c r="B110" s="1162" t="s">
        <v>2294</v>
      </c>
      <c r="C110" s="1268" t="s">
        <v>2295</v>
      </c>
      <c r="D110" s="1162" t="s">
        <v>2111</v>
      </c>
      <c r="E110" s="1269">
        <v>56.75</v>
      </c>
      <c r="F110" s="1270">
        <v>25</v>
      </c>
      <c r="G110" s="1270">
        <v>1418.75</v>
      </c>
      <c r="H110" s="1217"/>
      <c r="I110" s="1100"/>
      <c r="K110" s="1165"/>
      <c r="L110" s="1166">
        <f t="shared" si="1"/>
        <v>0</v>
      </c>
    </row>
    <row r="111" spans="2:12" ht="15.75" customHeight="1">
      <c r="B111" s="1162" t="s">
        <v>2143</v>
      </c>
      <c r="C111" s="1268" t="s">
        <v>2144</v>
      </c>
      <c r="D111" s="1162" t="s">
        <v>11</v>
      </c>
      <c r="E111" s="1269">
        <v>35.408571428571427</v>
      </c>
      <c r="F111" s="1270">
        <v>34.859999999999992</v>
      </c>
      <c r="G111" s="1270">
        <v>1234.3427999999997</v>
      </c>
      <c r="H111" s="1217"/>
      <c r="I111" s="1100"/>
      <c r="K111" s="1165"/>
      <c r="L111" s="1166">
        <f t="shared" si="1"/>
        <v>0</v>
      </c>
    </row>
    <row r="112" spans="2:12" ht="15.75" customHeight="1">
      <c r="B112" s="1162" t="s">
        <v>2147</v>
      </c>
      <c r="C112" s="1268" t="s">
        <v>2148</v>
      </c>
      <c r="D112" s="1162" t="s">
        <v>2111</v>
      </c>
      <c r="E112" s="1269">
        <v>119.49656912769231</v>
      </c>
      <c r="F112" s="1270">
        <v>9.1111111111111107</v>
      </c>
      <c r="G112" s="1270">
        <v>1088.7465187189744</v>
      </c>
      <c r="H112" s="1217"/>
      <c r="I112" s="1100"/>
      <c r="K112" s="1165"/>
      <c r="L112" s="1166">
        <f t="shared" si="1"/>
        <v>0</v>
      </c>
    </row>
    <row r="113" spans="2:12" ht="15.75" customHeight="1">
      <c r="B113" s="1162" t="s">
        <v>2145</v>
      </c>
      <c r="C113" s="1268" t="s">
        <v>2146</v>
      </c>
      <c r="D113" s="1162" t="s">
        <v>11</v>
      </c>
      <c r="E113" s="1269">
        <v>123.93</v>
      </c>
      <c r="F113" s="1270">
        <v>8.5</v>
      </c>
      <c r="G113" s="1270">
        <v>1053.405</v>
      </c>
      <c r="H113" s="1219"/>
      <c r="I113" s="1210"/>
      <c r="K113" s="1165"/>
      <c r="L113" s="1166"/>
    </row>
    <row r="114" spans="2:12" ht="15.75" customHeight="1">
      <c r="B114" s="1162"/>
      <c r="C114" s="1268"/>
      <c r="D114" s="1162"/>
      <c r="E114" s="1269"/>
      <c r="F114" s="1270"/>
      <c r="G114" s="1270"/>
      <c r="H114" s="1219"/>
      <c r="I114" s="1100"/>
      <c r="K114" s="1165"/>
      <c r="L114" s="1166">
        <f t="shared" ref="L114:L130" si="2">SUMIF($H$119:$H$170,K114,$G$119:$G$170)</f>
        <v>0</v>
      </c>
    </row>
    <row r="115" spans="2:12" ht="15.75" customHeight="1">
      <c r="B115" s="1162"/>
      <c r="C115" s="1268"/>
      <c r="D115" s="1162"/>
      <c r="E115" s="1269"/>
      <c r="F115" s="1270"/>
      <c r="G115" s="1270"/>
      <c r="H115" s="1219"/>
      <c r="I115" s="1100"/>
      <c r="K115" s="1165"/>
      <c r="L115" s="1166">
        <f t="shared" si="2"/>
        <v>0</v>
      </c>
    </row>
    <row r="116" spans="2:12" ht="15.75" customHeight="1">
      <c r="B116" s="1162"/>
      <c r="C116" s="1268"/>
      <c r="D116" s="1162"/>
      <c r="E116" s="1269"/>
      <c r="F116" s="1270"/>
      <c r="G116" s="1270"/>
      <c r="H116" s="1217"/>
      <c r="I116" s="1100"/>
      <c r="K116" s="1165"/>
      <c r="L116" s="1166">
        <f t="shared" si="2"/>
        <v>0</v>
      </c>
    </row>
    <row r="117" spans="2:12" ht="15.75" customHeight="1">
      <c r="B117" s="1162"/>
      <c r="C117" s="1268"/>
      <c r="D117" s="1162"/>
      <c r="E117" s="1269"/>
      <c r="F117" s="1270"/>
      <c r="G117" s="1270"/>
      <c r="H117" s="1217"/>
      <c r="I117" s="1100"/>
      <c r="K117" s="1165"/>
      <c r="L117" s="1166">
        <f t="shared" si="2"/>
        <v>0</v>
      </c>
    </row>
    <row r="118" spans="2:12" ht="15.75" customHeight="1">
      <c r="B118" s="1162"/>
      <c r="C118" s="1268"/>
      <c r="D118" s="1162"/>
      <c r="E118" s="1269"/>
      <c r="F118" s="1270"/>
      <c r="G118" s="1270"/>
      <c r="H118" s="1219"/>
      <c r="I118" s="1100"/>
      <c r="K118" s="1165"/>
      <c r="L118" s="1166">
        <f t="shared" si="2"/>
        <v>0</v>
      </c>
    </row>
    <row r="119" spans="2:12" ht="13.8">
      <c r="B119" s="1206"/>
      <c r="C119" s="1215"/>
      <c r="D119" s="1216"/>
      <c r="E119" s="1217"/>
      <c r="F119" s="1218"/>
      <c r="G119" s="1218"/>
      <c r="H119" s="1219"/>
      <c r="I119" s="1100"/>
      <c r="K119" s="1165"/>
      <c r="L119" s="1166">
        <f t="shared" si="2"/>
        <v>0</v>
      </c>
    </row>
    <row r="120" spans="2:12" ht="14.4" thickBot="1">
      <c r="B120" s="1183"/>
      <c r="C120" s="1209"/>
      <c r="D120" s="1184"/>
      <c r="E120" s="1185"/>
      <c r="F120" s="1186"/>
      <c r="G120" s="1186"/>
      <c r="H120" s="1187"/>
      <c r="I120" s="1100"/>
      <c r="K120" s="1165"/>
      <c r="L120" s="1166">
        <f t="shared" si="2"/>
        <v>0</v>
      </c>
    </row>
    <row r="121" spans="2:12" ht="14.4" thickBot="1">
      <c r="B121" s="1401" t="s">
        <v>1</v>
      </c>
      <c r="C121" s="1402"/>
      <c r="D121" s="1402"/>
      <c r="E121" s="1402"/>
      <c r="F121" s="1402"/>
      <c r="G121" s="1402"/>
      <c r="H121" s="1188">
        <f>SUM(G4:G120)</f>
        <v>3259136.9800802637</v>
      </c>
      <c r="I121" s="1100"/>
      <c r="K121" s="1165"/>
      <c r="L121" s="1166">
        <f t="shared" si="2"/>
        <v>0</v>
      </c>
    </row>
    <row r="122" spans="2:12">
      <c r="I122" s="1100"/>
      <c r="K122" s="1165"/>
      <c r="L122" s="1166">
        <f t="shared" si="2"/>
        <v>0</v>
      </c>
    </row>
    <row r="123" spans="2:12">
      <c r="I123" s="1100"/>
      <c r="K123" s="1165"/>
      <c r="L123" s="1166">
        <f t="shared" si="2"/>
        <v>0</v>
      </c>
    </row>
    <row r="124" spans="2:12">
      <c r="I124" s="1100"/>
      <c r="K124" s="1165"/>
      <c r="L124" s="1166">
        <f t="shared" si="2"/>
        <v>0</v>
      </c>
    </row>
    <row r="125" spans="2:12">
      <c r="I125" s="1100"/>
      <c r="K125" s="1165"/>
      <c r="L125" s="1166">
        <f t="shared" si="2"/>
        <v>0</v>
      </c>
    </row>
    <row r="126" spans="2:12">
      <c r="I126" s="1100"/>
      <c r="K126" s="1165"/>
      <c r="L126" s="1166">
        <f t="shared" si="2"/>
        <v>0</v>
      </c>
    </row>
    <row r="127" spans="2:12">
      <c r="I127" s="1100"/>
      <c r="K127" s="1165"/>
      <c r="L127" s="1166">
        <f t="shared" si="2"/>
        <v>0</v>
      </c>
    </row>
    <row r="128" spans="2:12">
      <c r="I128" s="1035"/>
      <c r="K128" s="1165"/>
      <c r="L128" s="1166">
        <f t="shared" si="2"/>
        <v>0</v>
      </c>
    </row>
    <row r="129" spans="9:12">
      <c r="I129" s="1035"/>
      <c r="K129" s="1165"/>
      <c r="L129" s="1166">
        <f t="shared" si="2"/>
        <v>0</v>
      </c>
    </row>
    <row r="130" spans="9:12" ht="13.8" thickBot="1">
      <c r="I130" s="1035"/>
      <c r="K130" s="1165"/>
      <c r="L130" s="1166">
        <f t="shared" si="2"/>
        <v>0</v>
      </c>
    </row>
    <row r="131" spans="9:12" ht="27.6" customHeight="1" thickBot="1">
      <c r="K131" s="1189" t="s">
        <v>1</v>
      </c>
      <c r="L131" s="1190">
        <f>SUM(L119:L128)</f>
        <v>0</v>
      </c>
    </row>
  </sheetData>
  <autoFilter ref="B4:H119" xr:uid="{2F08ED30-A3E0-45CA-999D-D76346902686}"/>
  <sortState xmlns:xlrd2="http://schemas.microsoft.com/office/spreadsheetml/2017/richdata2" ref="B119:H120">
    <sortCondition ref="H119:H120"/>
  </sortState>
  <mergeCells count="3">
    <mergeCell ref="K2:L3"/>
    <mergeCell ref="B2:H3"/>
    <mergeCell ref="B121:G12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FEA22-D460-4EDA-AC22-71E660754C8A}">
  <sheetPr>
    <tabColor rgb="FF9FC6FF"/>
  </sheetPr>
  <dimension ref="B1:L220"/>
  <sheetViews>
    <sheetView zoomScale="70" zoomScaleNormal="70" workbookViewId="0">
      <selection activeCell="C226" sqref="C226"/>
    </sheetView>
  </sheetViews>
  <sheetFormatPr defaultRowHeight="13.2"/>
  <cols>
    <col min="2" max="2" width="14.44140625" customWidth="1"/>
    <col min="3" max="3" width="104.44140625" customWidth="1"/>
    <col min="4" max="4" width="22" customWidth="1"/>
    <col min="5" max="6" width="26.5546875" customWidth="1"/>
    <col min="7" max="7" width="17.88671875" customWidth="1"/>
    <col min="8" max="8" width="30.44140625" bestFit="1" customWidth="1"/>
    <col min="9" max="9" width="32.109375" bestFit="1" customWidth="1"/>
    <col min="11" max="11" width="19.109375" bestFit="1" customWidth="1"/>
    <col min="12" max="12" width="20.44140625" customWidth="1"/>
  </cols>
  <sheetData>
    <row r="1" spans="2:12" ht="13.8" thickBot="1"/>
    <row r="2" spans="2:12" ht="14.4" customHeight="1">
      <c r="B2" s="1395" t="s">
        <v>2085</v>
      </c>
      <c r="C2" s="1396"/>
      <c r="D2" s="1396"/>
      <c r="E2" s="1396"/>
      <c r="F2" s="1396"/>
      <c r="G2" s="1396"/>
      <c r="H2" s="1397"/>
      <c r="K2" s="1391" t="s">
        <v>2081</v>
      </c>
      <c r="L2" s="1392"/>
    </row>
    <row r="3" spans="2:12" ht="14.1" customHeight="1" thickBot="1">
      <c r="B3" s="1398"/>
      <c r="C3" s="1399"/>
      <c r="D3" s="1399"/>
      <c r="E3" s="1399"/>
      <c r="F3" s="1399"/>
      <c r="G3" s="1399"/>
      <c r="H3" s="1400"/>
      <c r="K3" s="1393"/>
      <c r="L3" s="1394"/>
    </row>
    <row r="4" spans="2:12" ht="13.8">
      <c r="B4" s="1180" t="s">
        <v>2067</v>
      </c>
      <c r="C4" s="1208" t="s">
        <v>145</v>
      </c>
      <c r="D4" s="1179" t="s">
        <v>129</v>
      </c>
      <c r="E4" s="1179" t="s">
        <v>2068</v>
      </c>
      <c r="F4" s="1179" t="s">
        <v>2069</v>
      </c>
      <c r="G4" s="1178" t="s">
        <v>2070</v>
      </c>
      <c r="H4" s="1181" t="s">
        <v>2071</v>
      </c>
      <c r="K4" s="1163" t="s">
        <v>2064</v>
      </c>
      <c r="L4" s="1164" t="s">
        <v>1</v>
      </c>
    </row>
    <row r="5" spans="2:12" ht="14.1" customHeight="1">
      <c r="B5" s="1220"/>
      <c r="C5" s="1221"/>
      <c r="D5" s="1222"/>
      <c r="E5" s="1217"/>
      <c r="F5" s="1218"/>
      <c r="G5" s="1218"/>
      <c r="H5" s="1219"/>
      <c r="I5" s="1210"/>
      <c r="K5" s="1165" cm="1">
        <f t="array" ref="K5">IFERROR(_xlfn.UNIQUE(H5:H209),"")</f>
        <v>0</v>
      </c>
      <c r="L5" s="1166">
        <f t="shared" ref="L5:L36" si="0">SUMIF($H$5:$H$259,K5,$G$5:$G$259)</f>
        <v>0</v>
      </c>
    </row>
    <row r="6" spans="2:12" ht="15" customHeight="1">
      <c r="B6" s="1206"/>
      <c r="C6" s="1215"/>
      <c r="D6" s="1216"/>
      <c r="E6" s="1217"/>
      <c r="F6" s="1218"/>
      <c r="G6" s="1218"/>
      <c r="H6" s="1217"/>
      <c r="I6" s="1214"/>
      <c r="K6" s="1165"/>
      <c r="L6" s="1166">
        <f t="shared" si="0"/>
        <v>0</v>
      </c>
    </row>
    <row r="7" spans="2:12" ht="13.8">
      <c r="B7" s="1206"/>
      <c r="C7" s="1215"/>
      <c r="D7" s="1216"/>
      <c r="E7" s="1217"/>
      <c r="F7" s="1218"/>
      <c r="G7" s="1218"/>
      <c r="H7" s="1217"/>
      <c r="I7" s="1210"/>
      <c r="K7" s="1165"/>
      <c r="L7" s="1166">
        <f t="shared" si="0"/>
        <v>0</v>
      </c>
    </row>
    <row r="8" spans="2:12" ht="13.8">
      <c r="B8" s="1206"/>
      <c r="C8" s="1215"/>
      <c r="D8" s="1216"/>
      <c r="E8" s="1217"/>
      <c r="F8" s="1218"/>
      <c r="G8" s="1218"/>
      <c r="H8" s="1217"/>
      <c r="I8" s="1100"/>
      <c r="K8" s="1165"/>
      <c r="L8" s="1166">
        <f t="shared" si="0"/>
        <v>0</v>
      </c>
    </row>
    <row r="9" spans="2:12" ht="13.8">
      <c r="B9" s="1206"/>
      <c r="C9" s="1215"/>
      <c r="D9" s="1216"/>
      <c r="E9" s="1217"/>
      <c r="F9" s="1218"/>
      <c r="G9" s="1218"/>
      <c r="H9" s="1217"/>
      <c r="I9" s="1100"/>
      <c r="K9" s="1165"/>
      <c r="L9" s="1166">
        <f t="shared" si="0"/>
        <v>0</v>
      </c>
    </row>
    <row r="10" spans="2:12" ht="13.8">
      <c r="B10" s="1206"/>
      <c r="C10" s="1215"/>
      <c r="D10" s="1216"/>
      <c r="E10" s="1217"/>
      <c r="F10" s="1218"/>
      <c r="G10" s="1218"/>
      <c r="H10" s="1217"/>
      <c r="I10" s="1100"/>
      <c r="K10" s="1165"/>
      <c r="L10" s="1166">
        <f t="shared" si="0"/>
        <v>0</v>
      </c>
    </row>
    <row r="11" spans="2:12" ht="13.8">
      <c r="B11" s="1206"/>
      <c r="C11" s="1215"/>
      <c r="D11" s="1216"/>
      <c r="E11" s="1217"/>
      <c r="F11" s="1218"/>
      <c r="G11" s="1218"/>
      <c r="H11" s="1217"/>
      <c r="I11" s="1100"/>
      <c r="K11" s="1165"/>
      <c r="L11" s="1166">
        <f t="shared" si="0"/>
        <v>0</v>
      </c>
    </row>
    <row r="12" spans="2:12" ht="13.8">
      <c r="B12" s="1206"/>
      <c r="C12" s="1215"/>
      <c r="D12" s="1216"/>
      <c r="E12" s="1217"/>
      <c r="F12" s="1218"/>
      <c r="G12" s="1218"/>
      <c r="H12" s="1217"/>
      <c r="I12" s="1100"/>
      <c r="K12" s="1165"/>
      <c r="L12" s="1166">
        <f t="shared" si="0"/>
        <v>0</v>
      </c>
    </row>
    <row r="13" spans="2:12" ht="13.8">
      <c r="B13" s="1206"/>
      <c r="C13" s="1215"/>
      <c r="D13" s="1216"/>
      <c r="E13" s="1217"/>
      <c r="F13" s="1218"/>
      <c r="G13" s="1218"/>
      <c r="H13" s="1217"/>
      <c r="I13" s="1100"/>
      <c r="K13" s="1165"/>
      <c r="L13" s="1166">
        <f t="shared" si="0"/>
        <v>0</v>
      </c>
    </row>
    <row r="14" spans="2:12" ht="13.8">
      <c r="B14" s="1206"/>
      <c r="C14" s="1215"/>
      <c r="D14" s="1216"/>
      <c r="E14" s="1217"/>
      <c r="F14" s="1218"/>
      <c r="G14" s="1218"/>
      <c r="H14" s="1217"/>
      <c r="I14" s="1100"/>
      <c r="K14" s="1165"/>
      <c r="L14" s="1166">
        <f t="shared" si="0"/>
        <v>0</v>
      </c>
    </row>
    <row r="15" spans="2:12" ht="13.8">
      <c r="B15" s="1206"/>
      <c r="C15" s="1215"/>
      <c r="D15" s="1216"/>
      <c r="E15" s="1217"/>
      <c r="F15" s="1218"/>
      <c r="G15" s="1218"/>
      <c r="H15" s="1217"/>
      <c r="I15" s="1100"/>
      <c r="K15" s="1165"/>
      <c r="L15" s="1166">
        <f t="shared" si="0"/>
        <v>0</v>
      </c>
    </row>
    <row r="16" spans="2:12" ht="13.8">
      <c r="B16" s="1206"/>
      <c r="C16" s="1215"/>
      <c r="D16" s="1216"/>
      <c r="E16" s="1217"/>
      <c r="F16" s="1218"/>
      <c r="G16" s="1218"/>
      <c r="H16" s="1217"/>
      <c r="I16" s="1100"/>
      <c r="K16" s="1165"/>
      <c r="L16" s="1166">
        <f t="shared" si="0"/>
        <v>0</v>
      </c>
    </row>
    <row r="17" spans="2:12" ht="13.8">
      <c r="B17" s="1206"/>
      <c r="C17" s="1215"/>
      <c r="D17" s="1216"/>
      <c r="E17" s="1217"/>
      <c r="F17" s="1218"/>
      <c r="G17" s="1218"/>
      <c r="H17" s="1217"/>
      <c r="I17" s="1100"/>
      <c r="K17" s="1165"/>
      <c r="L17" s="1166">
        <f t="shared" si="0"/>
        <v>0</v>
      </c>
    </row>
    <row r="18" spans="2:12" ht="13.8">
      <c r="B18" s="1206"/>
      <c r="C18" s="1215"/>
      <c r="D18" s="1216"/>
      <c r="E18" s="1217"/>
      <c r="F18" s="1218"/>
      <c r="G18" s="1218"/>
      <c r="H18" s="1217"/>
      <c r="I18" s="1100"/>
      <c r="K18" s="1165"/>
      <c r="L18" s="1166">
        <f t="shared" si="0"/>
        <v>0</v>
      </c>
    </row>
    <row r="19" spans="2:12" ht="13.8">
      <c r="B19" s="1206"/>
      <c r="C19" s="1215"/>
      <c r="D19" s="1216"/>
      <c r="E19" s="1217"/>
      <c r="F19" s="1218"/>
      <c r="G19" s="1218"/>
      <c r="H19" s="1217"/>
      <c r="I19" s="1100"/>
      <c r="K19" s="1165"/>
      <c r="L19" s="1166">
        <f t="shared" si="0"/>
        <v>0</v>
      </c>
    </row>
    <row r="20" spans="2:12" ht="13.8">
      <c r="B20" s="1206"/>
      <c r="C20" s="1215"/>
      <c r="D20" s="1216"/>
      <c r="E20" s="1217"/>
      <c r="F20" s="1218"/>
      <c r="G20" s="1218"/>
      <c r="H20" s="1217"/>
      <c r="I20" s="1100"/>
      <c r="K20" s="1165"/>
      <c r="L20" s="1166">
        <f t="shared" si="0"/>
        <v>0</v>
      </c>
    </row>
    <row r="21" spans="2:12" ht="13.8">
      <c r="B21" s="1206"/>
      <c r="C21" s="1215"/>
      <c r="D21" s="1216"/>
      <c r="E21" s="1217"/>
      <c r="F21" s="1218"/>
      <c r="G21" s="1218"/>
      <c r="H21" s="1217"/>
      <c r="I21" s="1100"/>
      <c r="K21" s="1165"/>
      <c r="L21" s="1166">
        <f t="shared" si="0"/>
        <v>0</v>
      </c>
    </row>
    <row r="22" spans="2:12" ht="13.8">
      <c r="B22" s="1206"/>
      <c r="C22" s="1215"/>
      <c r="D22" s="1216"/>
      <c r="E22" s="1217"/>
      <c r="F22" s="1218"/>
      <c r="G22" s="1218"/>
      <c r="H22" s="1217"/>
      <c r="I22" s="1100"/>
      <c r="K22" s="1165"/>
      <c r="L22" s="1166">
        <f t="shared" si="0"/>
        <v>0</v>
      </c>
    </row>
    <row r="23" spans="2:12" ht="13.8">
      <c r="B23" s="1206"/>
      <c r="C23" s="1215"/>
      <c r="D23" s="1216"/>
      <c r="E23" s="1217"/>
      <c r="F23" s="1218"/>
      <c r="G23" s="1218"/>
      <c r="H23" s="1217"/>
      <c r="I23" s="1100"/>
      <c r="K23" s="1165"/>
      <c r="L23" s="1166">
        <f t="shared" si="0"/>
        <v>0</v>
      </c>
    </row>
    <row r="24" spans="2:12" ht="13.8">
      <c r="B24" s="1206"/>
      <c r="C24" s="1215"/>
      <c r="D24" s="1216"/>
      <c r="E24" s="1217"/>
      <c r="F24" s="1218"/>
      <c r="G24" s="1218"/>
      <c r="H24" s="1217"/>
      <c r="I24" s="1100"/>
      <c r="K24" s="1165"/>
      <c r="L24" s="1166">
        <f t="shared" si="0"/>
        <v>0</v>
      </c>
    </row>
    <row r="25" spans="2:12" ht="13.8">
      <c r="B25" s="1206"/>
      <c r="C25" s="1215"/>
      <c r="D25" s="1216"/>
      <c r="E25" s="1217"/>
      <c r="F25" s="1218"/>
      <c r="G25" s="1218"/>
      <c r="H25" s="1217"/>
      <c r="I25" s="1100"/>
      <c r="K25" s="1165"/>
      <c r="L25" s="1166">
        <f t="shared" si="0"/>
        <v>0</v>
      </c>
    </row>
    <row r="26" spans="2:12" ht="13.8">
      <c r="B26" s="1206"/>
      <c r="C26" s="1215"/>
      <c r="D26" s="1216"/>
      <c r="E26" s="1217"/>
      <c r="F26" s="1218"/>
      <c r="G26" s="1218"/>
      <c r="H26" s="1217"/>
      <c r="I26" s="1100"/>
      <c r="K26" s="1165"/>
      <c r="L26" s="1166">
        <f t="shared" si="0"/>
        <v>0</v>
      </c>
    </row>
    <row r="27" spans="2:12" ht="13.8">
      <c r="B27" s="1206"/>
      <c r="C27" s="1215"/>
      <c r="D27" s="1216"/>
      <c r="E27" s="1217"/>
      <c r="F27" s="1218"/>
      <c r="G27" s="1218"/>
      <c r="H27" s="1217"/>
      <c r="I27" s="1100"/>
      <c r="K27" s="1165"/>
      <c r="L27" s="1166">
        <f t="shared" si="0"/>
        <v>0</v>
      </c>
    </row>
    <row r="28" spans="2:12" ht="13.8">
      <c r="B28" s="1206"/>
      <c r="C28" s="1215"/>
      <c r="D28" s="1216"/>
      <c r="E28" s="1217"/>
      <c r="F28" s="1218"/>
      <c r="G28" s="1218"/>
      <c r="H28" s="1217"/>
      <c r="I28" s="1100"/>
      <c r="K28" s="1165"/>
      <c r="L28" s="1166">
        <f t="shared" si="0"/>
        <v>0</v>
      </c>
    </row>
    <row r="29" spans="2:12" ht="13.8">
      <c r="B29" s="1206"/>
      <c r="C29" s="1215"/>
      <c r="D29" s="1216"/>
      <c r="E29" s="1217"/>
      <c r="F29" s="1218"/>
      <c r="G29" s="1218"/>
      <c r="H29" s="1217"/>
      <c r="I29" s="1100"/>
      <c r="K29" s="1165"/>
      <c r="L29" s="1166">
        <f t="shared" si="0"/>
        <v>0</v>
      </c>
    </row>
    <row r="30" spans="2:12" ht="13.8">
      <c r="B30" s="1206"/>
      <c r="C30" s="1215"/>
      <c r="D30" s="1216"/>
      <c r="E30" s="1217"/>
      <c r="F30" s="1218"/>
      <c r="G30" s="1218"/>
      <c r="H30" s="1217"/>
      <c r="I30" s="1100"/>
      <c r="K30" s="1165"/>
      <c r="L30" s="1166">
        <f t="shared" si="0"/>
        <v>0</v>
      </c>
    </row>
    <row r="31" spans="2:12" ht="13.8">
      <c r="B31" s="1206"/>
      <c r="C31" s="1215"/>
      <c r="D31" s="1216"/>
      <c r="E31" s="1217"/>
      <c r="F31" s="1218"/>
      <c r="G31" s="1218"/>
      <c r="H31" s="1217"/>
      <c r="I31" s="1100"/>
      <c r="K31" s="1165"/>
      <c r="L31" s="1166">
        <f t="shared" si="0"/>
        <v>0</v>
      </c>
    </row>
    <row r="32" spans="2:12" ht="13.8">
      <c r="B32" s="1206"/>
      <c r="C32" s="1215"/>
      <c r="D32" s="1216"/>
      <c r="E32" s="1217"/>
      <c r="F32" s="1218"/>
      <c r="G32" s="1218"/>
      <c r="H32" s="1217"/>
      <c r="I32" s="1100"/>
      <c r="K32" s="1165"/>
      <c r="L32" s="1166">
        <f t="shared" si="0"/>
        <v>0</v>
      </c>
    </row>
    <row r="33" spans="2:12" ht="13.8">
      <c r="B33" s="1206"/>
      <c r="C33" s="1215"/>
      <c r="D33" s="1216"/>
      <c r="E33" s="1217"/>
      <c r="F33" s="1218"/>
      <c r="G33" s="1218"/>
      <c r="H33" s="1217"/>
      <c r="I33" s="1100"/>
      <c r="K33" s="1165"/>
      <c r="L33" s="1166">
        <f t="shared" si="0"/>
        <v>0</v>
      </c>
    </row>
    <row r="34" spans="2:12" ht="13.8">
      <c r="B34" s="1220"/>
      <c r="C34" s="1221"/>
      <c r="D34" s="1222"/>
      <c r="E34" s="1217"/>
      <c r="F34" s="1218"/>
      <c r="G34" s="1218"/>
      <c r="H34" s="1219"/>
      <c r="I34" s="1100"/>
      <c r="K34" s="1165"/>
      <c r="L34" s="1166">
        <f t="shared" si="0"/>
        <v>0</v>
      </c>
    </row>
    <row r="35" spans="2:12" ht="13.8">
      <c r="B35" s="1206"/>
      <c r="C35" s="1215"/>
      <c r="D35" s="1216"/>
      <c r="E35" s="1217"/>
      <c r="F35" s="1218"/>
      <c r="G35" s="1218"/>
      <c r="H35" s="1219"/>
      <c r="I35" s="1100"/>
      <c r="K35" s="1165"/>
      <c r="L35" s="1166">
        <f t="shared" si="0"/>
        <v>0</v>
      </c>
    </row>
    <row r="36" spans="2:12" ht="13.8">
      <c r="B36" s="1206"/>
      <c r="C36" s="1215"/>
      <c r="D36" s="1216"/>
      <c r="E36" s="1217"/>
      <c r="F36" s="1218"/>
      <c r="G36" s="1218"/>
      <c r="H36" s="1219"/>
      <c r="I36" s="1100"/>
      <c r="K36" s="1165"/>
      <c r="L36" s="1166">
        <f t="shared" si="0"/>
        <v>0</v>
      </c>
    </row>
    <row r="37" spans="2:12" ht="13.8">
      <c r="B37" s="1206"/>
      <c r="C37" s="1215"/>
      <c r="D37" s="1216"/>
      <c r="E37" s="1217"/>
      <c r="F37" s="1218"/>
      <c r="G37" s="1218"/>
      <c r="H37" s="1219"/>
      <c r="I37" s="1100"/>
      <c r="K37" s="1165"/>
      <c r="L37" s="1166">
        <f t="shared" ref="L37:L68" si="1">SUMIF($H$5:$H$259,K37,$G$5:$G$259)</f>
        <v>0</v>
      </c>
    </row>
    <row r="38" spans="2:12" ht="13.8">
      <c r="B38" s="1206"/>
      <c r="C38" s="1215"/>
      <c r="D38" s="1216"/>
      <c r="E38" s="1217"/>
      <c r="F38" s="1218"/>
      <c r="G38" s="1218"/>
      <c r="H38" s="1219"/>
      <c r="I38" s="1100"/>
      <c r="K38" s="1165"/>
      <c r="L38" s="1166">
        <f t="shared" si="1"/>
        <v>0</v>
      </c>
    </row>
    <row r="39" spans="2:12" ht="13.8">
      <c r="B39" s="1206"/>
      <c r="C39" s="1215"/>
      <c r="D39" s="1216"/>
      <c r="E39" s="1217"/>
      <c r="F39" s="1218"/>
      <c r="G39" s="1218"/>
      <c r="H39" s="1219"/>
      <c r="I39" s="1100"/>
      <c r="K39" s="1165"/>
      <c r="L39" s="1166">
        <f t="shared" si="1"/>
        <v>0</v>
      </c>
    </row>
    <row r="40" spans="2:12" ht="13.8">
      <c r="B40" s="1206"/>
      <c r="C40" s="1215"/>
      <c r="D40" s="1216"/>
      <c r="E40" s="1217"/>
      <c r="F40" s="1218"/>
      <c r="G40" s="1218"/>
      <c r="H40" s="1219"/>
      <c r="I40" s="1100"/>
      <c r="K40" s="1165"/>
      <c r="L40" s="1166">
        <f t="shared" si="1"/>
        <v>0</v>
      </c>
    </row>
    <row r="41" spans="2:12" ht="13.8">
      <c r="B41" s="1206"/>
      <c r="C41" s="1215"/>
      <c r="D41" s="1216"/>
      <c r="E41" s="1217"/>
      <c r="F41" s="1218"/>
      <c r="G41" s="1218"/>
      <c r="H41" s="1219"/>
      <c r="I41" s="1100"/>
      <c r="K41" s="1165"/>
      <c r="L41" s="1166">
        <f t="shared" si="1"/>
        <v>0</v>
      </c>
    </row>
    <row r="42" spans="2:12" ht="13.8">
      <c r="B42" s="1206"/>
      <c r="C42" s="1215"/>
      <c r="D42" s="1216"/>
      <c r="E42" s="1217"/>
      <c r="F42" s="1218"/>
      <c r="G42" s="1218"/>
      <c r="H42" s="1243"/>
      <c r="I42" s="1100"/>
      <c r="K42" s="1165"/>
      <c r="L42" s="1166">
        <f t="shared" si="1"/>
        <v>0</v>
      </c>
    </row>
    <row r="43" spans="2:12" ht="13.8">
      <c r="B43" s="1206"/>
      <c r="C43" s="1215"/>
      <c r="D43" s="1216"/>
      <c r="E43" s="1217"/>
      <c r="F43" s="1218"/>
      <c r="G43" s="1218"/>
      <c r="H43" s="1244"/>
      <c r="I43" s="1100"/>
      <c r="K43" s="1165"/>
      <c r="L43" s="1166">
        <f t="shared" si="1"/>
        <v>0</v>
      </c>
    </row>
    <row r="44" spans="2:12" ht="13.8">
      <c r="B44" s="1206"/>
      <c r="C44" s="1215"/>
      <c r="D44" s="1216"/>
      <c r="E44" s="1217"/>
      <c r="F44" s="1218"/>
      <c r="G44" s="1218"/>
      <c r="H44" s="1244"/>
      <c r="I44" s="1100"/>
      <c r="K44" s="1165"/>
      <c r="L44" s="1166">
        <f t="shared" si="1"/>
        <v>0</v>
      </c>
    </row>
    <row r="45" spans="2:12" ht="13.8">
      <c r="B45" s="1206"/>
      <c r="C45" s="1215"/>
      <c r="D45" s="1216"/>
      <c r="E45" s="1217"/>
      <c r="F45" s="1218"/>
      <c r="G45" s="1218"/>
      <c r="H45" s="1244"/>
      <c r="I45" s="1100"/>
      <c r="K45" s="1165"/>
      <c r="L45" s="1166">
        <f t="shared" si="1"/>
        <v>0</v>
      </c>
    </row>
    <row r="46" spans="2:12" ht="13.8">
      <c r="B46" s="1206"/>
      <c r="C46" s="1215"/>
      <c r="D46" s="1216"/>
      <c r="E46" s="1217"/>
      <c r="F46" s="1218"/>
      <c r="G46" s="1218"/>
      <c r="H46" s="1217"/>
      <c r="I46" s="1210"/>
      <c r="K46" s="1165"/>
      <c r="L46" s="1166">
        <f t="shared" si="1"/>
        <v>0</v>
      </c>
    </row>
    <row r="47" spans="2:12" ht="13.8">
      <c r="B47" s="1206"/>
      <c r="C47" s="1215"/>
      <c r="D47" s="1216"/>
      <c r="E47" s="1217"/>
      <c r="F47" s="1218"/>
      <c r="G47" s="1218"/>
      <c r="H47" s="1217"/>
      <c r="I47" s="1100"/>
      <c r="K47" s="1165"/>
      <c r="L47" s="1166">
        <f t="shared" si="1"/>
        <v>0</v>
      </c>
    </row>
    <row r="48" spans="2:12" ht="13.8">
      <c r="B48" s="1206"/>
      <c r="C48" s="1204"/>
      <c r="D48" s="1216"/>
      <c r="E48" s="1162"/>
      <c r="F48" s="1223"/>
      <c r="G48" s="1223"/>
      <c r="H48" s="1217"/>
      <c r="I48" s="1100"/>
      <c r="K48" s="1165"/>
      <c r="L48" s="1166">
        <f t="shared" si="1"/>
        <v>0</v>
      </c>
    </row>
    <row r="49" spans="2:12" ht="13.8">
      <c r="B49" s="1206"/>
      <c r="C49" s="1204"/>
      <c r="D49" s="965"/>
      <c r="E49" s="1162"/>
      <c r="F49" s="1182"/>
      <c r="G49" s="1182"/>
      <c r="H49" s="1217"/>
      <c r="I49" s="1100"/>
      <c r="K49" s="1165"/>
      <c r="L49" s="1166">
        <f t="shared" si="1"/>
        <v>0</v>
      </c>
    </row>
    <row r="50" spans="2:12" ht="13.8">
      <c r="B50" s="1206"/>
      <c r="C50" s="1204"/>
      <c r="D50" s="965"/>
      <c r="E50" s="1162"/>
      <c r="F50" s="1182"/>
      <c r="G50" s="1182"/>
      <c r="H50" s="1217"/>
      <c r="I50" s="1100"/>
      <c r="K50" s="1165"/>
      <c r="L50" s="1166">
        <f t="shared" si="1"/>
        <v>0</v>
      </c>
    </row>
    <row r="51" spans="2:12" ht="13.8">
      <c r="B51" s="1206"/>
      <c r="C51" s="1204"/>
      <c r="D51" s="965"/>
      <c r="E51" s="1162"/>
      <c r="F51" s="1182"/>
      <c r="G51" s="1182"/>
      <c r="H51" s="1217"/>
      <c r="I51" s="1100"/>
      <c r="K51" s="1165"/>
      <c r="L51" s="1166">
        <f t="shared" si="1"/>
        <v>0</v>
      </c>
    </row>
    <row r="52" spans="2:12" ht="13.8">
      <c r="B52" s="1206"/>
      <c r="C52" s="1204"/>
      <c r="D52" s="965"/>
      <c r="E52" s="1162"/>
      <c r="F52" s="1182"/>
      <c r="G52" s="1182"/>
      <c r="H52" s="1217"/>
      <c r="I52" s="1100"/>
      <c r="K52" s="1165"/>
      <c r="L52" s="1166">
        <f t="shared" si="1"/>
        <v>0</v>
      </c>
    </row>
    <row r="53" spans="2:12" ht="13.8">
      <c r="B53" s="1206"/>
      <c r="C53" s="1204"/>
      <c r="D53" s="965"/>
      <c r="E53" s="1207"/>
      <c r="F53" s="1182"/>
      <c r="G53" s="965"/>
      <c r="H53" s="1217"/>
      <c r="I53" s="1100"/>
      <c r="K53" s="1165"/>
      <c r="L53" s="1166">
        <f t="shared" si="1"/>
        <v>0</v>
      </c>
    </row>
    <row r="54" spans="2:12" ht="13.8">
      <c r="B54" s="1206"/>
      <c r="C54" s="1215"/>
      <c r="D54" s="1216"/>
      <c r="E54" s="1217"/>
      <c r="F54" s="1218"/>
      <c r="G54" s="1218"/>
      <c r="H54" s="1217"/>
      <c r="I54" s="1100"/>
      <c r="K54" s="1165"/>
      <c r="L54" s="1166">
        <f t="shared" si="1"/>
        <v>0</v>
      </c>
    </row>
    <row r="55" spans="2:12" ht="13.8">
      <c r="B55" s="1206"/>
      <c r="C55" s="1215"/>
      <c r="D55" s="1216"/>
      <c r="E55" s="1217"/>
      <c r="F55" s="1218"/>
      <c r="G55" s="1218"/>
      <c r="H55" s="1217"/>
      <c r="I55" s="1100"/>
      <c r="K55" s="1165"/>
      <c r="L55" s="1166">
        <f t="shared" si="1"/>
        <v>0</v>
      </c>
    </row>
    <row r="56" spans="2:12" ht="13.8">
      <c r="B56" s="1206"/>
      <c r="C56" s="1215"/>
      <c r="D56" s="1216"/>
      <c r="E56" s="1217"/>
      <c r="F56" s="1218"/>
      <c r="G56" s="1218"/>
      <c r="H56" s="1217"/>
      <c r="I56" s="1100"/>
      <c r="K56" s="1165"/>
      <c r="L56" s="1166">
        <f t="shared" si="1"/>
        <v>0</v>
      </c>
    </row>
    <row r="57" spans="2:12" ht="13.8">
      <c r="B57" s="1206"/>
      <c r="C57" s="1215"/>
      <c r="D57" s="1216"/>
      <c r="E57" s="1217"/>
      <c r="F57" s="1218"/>
      <c r="G57" s="1218"/>
      <c r="H57" s="1217"/>
      <c r="I57" s="1100"/>
      <c r="K57" s="1165"/>
      <c r="L57" s="1166">
        <f t="shared" si="1"/>
        <v>0</v>
      </c>
    </row>
    <row r="58" spans="2:12" ht="13.8">
      <c r="B58" s="1206"/>
      <c r="C58" s="1215"/>
      <c r="D58" s="1216"/>
      <c r="E58" s="1217"/>
      <c r="F58" s="1218"/>
      <c r="G58" s="1218"/>
      <c r="H58" s="1217"/>
      <c r="I58" s="1100"/>
      <c r="K58" s="1165"/>
      <c r="L58" s="1166">
        <f t="shared" si="1"/>
        <v>0</v>
      </c>
    </row>
    <row r="59" spans="2:12" ht="13.8">
      <c r="B59" s="1206"/>
      <c r="C59" s="1215"/>
      <c r="D59" s="1216"/>
      <c r="E59" s="1217"/>
      <c r="F59" s="1218"/>
      <c r="G59" s="1218"/>
      <c r="H59" s="1217"/>
      <c r="I59" s="1100"/>
      <c r="K59" s="1165"/>
      <c r="L59" s="1166">
        <f t="shared" si="1"/>
        <v>0</v>
      </c>
    </row>
    <row r="60" spans="2:12" ht="13.8">
      <c r="B60" s="1206"/>
      <c r="C60" s="1215"/>
      <c r="D60" s="1216"/>
      <c r="E60" s="1217"/>
      <c r="F60" s="1218"/>
      <c r="G60" s="1218"/>
      <c r="H60" s="1217"/>
      <c r="I60" s="1100"/>
      <c r="K60" s="1165"/>
      <c r="L60" s="1166">
        <f t="shared" si="1"/>
        <v>0</v>
      </c>
    </row>
    <row r="61" spans="2:12" ht="13.8">
      <c r="B61" s="1206"/>
      <c r="C61" s="1215"/>
      <c r="D61" s="1216"/>
      <c r="E61" s="1217"/>
      <c r="F61" s="1218"/>
      <c r="G61" s="1218"/>
      <c r="H61" s="1217"/>
      <c r="I61" s="1100"/>
      <c r="K61" s="1165"/>
      <c r="L61" s="1166">
        <f t="shared" si="1"/>
        <v>0</v>
      </c>
    </row>
    <row r="62" spans="2:12" ht="13.8">
      <c r="B62" s="1206"/>
      <c r="C62" s="1215"/>
      <c r="D62" s="1216"/>
      <c r="E62" s="1217"/>
      <c r="F62" s="1218"/>
      <c r="G62" s="1218"/>
      <c r="H62" s="1217"/>
      <c r="I62" s="1100"/>
      <c r="K62" s="1165"/>
      <c r="L62" s="1166">
        <f t="shared" si="1"/>
        <v>0</v>
      </c>
    </row>
    <row r="63" spans="2:12" ht="13.8">
      <c r="B63" s="1206"/>
      <c r="C63" s="1215"/>
      <c r="D63" s="1216"/>
      <c r="E63" s="1217"/>
      <c r="F63" s="1218"/>
      <c r="G63" s="1218"/>
      <c r="H63" s="1217"/>
      <c r="I63" s="1100"/>
      <c r="K63" s="1165"/>
      <c r="L63" s="1166">
        <f t="shared" si="1"/>
        <v>0</v>
      </c>
    </row>
    <row r="64" spans="2:12" ht="13.8">
      <c r="B64" s="1206"/>
      <c r="C64" s="1215"/>
      <c r="D64" s="1216"/>
      <c r="E64" s="1217"/>
      <c r="F64" s="1218"/>
      <c r="G64" s="1218"/>
      <c r="H64" s="1217"/>
      <c r="I64" s="1100"/>
      <c r="K64" s="1165"/>
      <c r="L64" s="1166">
        <f t="shared" si="1"/>
        <v>0</v>
      </c>
    </row>
    <row r="65" spans="2:12" ht="13.8">
      <c r="B65" s="1206"/>
      <c r="C65" s="1215"/>
      <c r="D65" s="1216"/>
      <c r="E65" s="1217"/>
      <c r="F65" s="1218"/>
      <c r="G65" s="1218"/>
      <c r="H65" s="1217"/>
      <c r="I65" s="1100"/>
      <c r="K65" s="1165"/>
      <c r="L65" s="1166">
        <f t="shared" si="1"/>
        <v>0</v>
      </c>
    </row>
    <row r="66" spans="2:12" ht="13.8">
      <c r="B66" s="1206"/>
      <c r="C66" s="1215"/>
      <c r="D66" s="1216"/>
      <c r="E66" s="1217"/>
      <c r="F66" s="1218"/>
      <c r="G66" s="1218"/>
      <c r="H66" s="1217"/>
      <c r="I66" s="1100"/>
      <c r="K66" s="1165"/>
      <c r="L66" s="1166">
        <f t="shared" si="1"/>
        <v>0</v>
      </c>
    </row>
    <row r="67" spans="2:12" ht="13.8">
      <c r="B67" s="1206"/>
      <c r="C67" s="1215"/>
      <c r="D67" s="1216"/>
      <c r="E67" s="1217"/>
      <c r="F67" s="1218"/>
      <c r="G67" s="1218"/>
      <c r="H67" s="1217"/>
      <c r="I67" s="1100"/>
      <c r="K67" s="1165"/>
      <c r="L67" s="1166">
        <f t="shared" si="1"/>
        <v>0</v>
      </c>
    </row>
    <row r="68" spans="2:12" ht="13.8">
      <c r="B68" s="1206"/>
      <c r="C68" s="1215"/>
      <c r="D68" s="1216"/>
      <c r="E68" s="1217"/>
      <c r="F68" s="1218"/>
      <c r="G68" s="1218"/>
      <c r="H68" s="1217"/>
      <c r="I68" s="1100"/>
      <c r="K68" s="1165"/>
      <c r="L68" s="1166">
        <f t="shared" si="1"/>
        <v>0</v>
      </c>
    </row>
    <row r="69" spans="2:12" ht="13.8">
      <c r="B69" s="1206"/>
      <c r="C69" s="1215"/>
      <c r="D69" s="1216"/>
      <c r="E69" s="1217"/>
      <c r="F69" s="1218"/>
      <c r="G69" s="1218"/>
      <c r="H69" s="1217"/>
      <c r="I69" s="1100"/>
      <c r="K69" s="1165"/>
      <c r="L69" s="1166">
        <f t="shared" ref="L69:L100" si="2">SUMIF($H$5:$H$259,K69,$G$5:$G$259)</f>
        <v>0</v>
      </c>
    </row>
    <row r="70" spans="2:12" ht="13.8">
      <c r="B70" s="1206"/>
      <c r="C70" s="1215"/>
      <c r="D70" s="1216"/>
      <c r="E70" s="1217"/>
      <c r="F70" s="1218"/>
      <c r="G70" s="1218"/>
      <c r="H70" s="1217"/>
      <c r="I70" s="1100"/>
      <c r="K70" s="1165"/>
      <c r="L70" s="1166">
        <f t="shared" si="2"/>
        <v>0</v>
      </c>
    </row>
    <row r="71" spans="2:12" ht="13.8">
      <c r="B71" s="1206"/>
      <c r="C71" s="1215"/>
      <c r="D71" s="1216"/>
      <c r="E71" s="1217"/>
      <c r="F71" s="1218"/>
      <c r="G71" s="1218"/>
      <c r="H71" s="1217"/>
      <c r="I71" s="1100"/>
      <c r="K71" s="1165"/>
      <c r="L71" s="1166">
        <f t="shared" si="2"/>
        <v>0</v>
      </c>
    </row>
    <row r="72" spans="2:12" ht="13.8">
      <c r="B72" s="1206"/>
      <c r="C72" s="1215"/>
      <c r="D72" s="1216"/>
      <c r="E72" s="1217"/>
      <c r="F72" s="1218"/>
      <c r="G72" s="1218"/>
      <c r="H72" s="1217"/>
      <c r="I72" s="1100"/>
      <c r="K72" s="1165"/>
      <c r="L72" s="1166">
        <f t="shared" si="2"/>
        <v>0</v>
      </c>
    </row>
    <row r="73" spans="2:12" ht="13.8">
      <c r="B73" s="1220"/>
      <c r="C73" s="1221"/>
      <c r="D73" s="1222"/>
      <c r="E73" s="1217"/>
      <c r="F73" s="1218"/>
      <c r="G73" s="1218"/>
      <c r="H73" s="1219"/>
      <c r="I73" s="1100"/>
      <c r="K73" s="1165"/>
      <c r="L73" s="1166">
        <f t="shared" si="2"/>
        <v>0</v>
      </c>
    </row>
    <row r="74" spans="2:12" ht="13.8">
      <c r="B74" s="1206"/>
      <c r="C74" s="1215"/>
      <c r="D74" s="1216"/>
      <c r="E74" s="1217"/>
      <c r="F74" s="1218"/>
      <c r="G74" s="1218"/>
      <c r="H74" s="1219"/>
      <c r="I74" s="1100"/>
      <c r="K74" s="1165"/>
      <c r="L74" s="1166">
        <f t="shared" si="2"/>
        <v>0</v>
      </c>
    </row>
    <row r="75" spans="2:12" ht="13.8">
      <c r="B75" s="1206"/>
      <c r="C75" s="1215"/>
      <c r="D75" s="1216"/>
      <c r="E75" s="1217"/>
      <c r="F75" s="1218"/>
      <c r="G75" s="1218"/>
      <c r="H75" s="1219"/>
      <c r="I75" s="1100"/>
      <c r="K75" s="1165"/>
      <c r="L75" s="1166">
        <f t="shared" si="2"/>
        <v>0</v>
      </c>
    </row>
    <row r="76" spans="2:12" ht="13.8">
      <c r="B76" s="1206"/>
      <c r="C76" s="1215"/>
      <c r="D76" s="1216"/>
      <c r="E76" s="1217"/>
      <c r="F76" s="1218"/>
      <c r="G76" s="1218"/>
      <c r="H76" s="1219"/>
      <c r="I76" s="1100"/>
      <c r="K76" s="1165"/>
      <c r="L76" s="1166">
        <f t="shared" si="2"/>
        <v>0</v>
      </c>
    </row>
    <row r="77" spans="2:12" ht="13.8">
      <c r="B77" s="1206"/>
      <c r="C77" s="1215"/>
      <c r="D77" s="1216"/>
      <c r="E77" s="1217"/>
      <c r="F77" s="1218"/>
      <c r="G77" s="1218"/>
      <c r="H77" s="1219"/>
      <c r="I77" s="1100"/>
      <c r="K77" s="1165"/>
      <c r="L77" s="1166">
        <f t="shared" si="2"/>
        <v>0</v>
      </c>
    </row>
    <row r="78" spans="2:12" ht="13.8">
      <c r="B78" s="1206"/>
      <c r="C78" s="1215"/>
      <c r="D78" s="1216"/>
      <c r="E78" s="1217"/>
      <c r="F78" s="1218"/>
      <c r="G78" s="1218"/>
      <c r="H78" s="1219"/>
      <c r="I78" s="1100"/>
      <c r="K78" s="1165"/>
      <c r="L78" s="1166">
        <f t="shared" si="2"/>
        <v>0</v>
      </c>
    </row>
    <row r="79" spans="2:12" ht="13.8">
      <c r="B79" s="1206"/>
      <c r="C79" s="1215"/>
      <c r="D79" s="1216"/>
      <c r="E79" s="1217"/>
      <c r="F79" s="1218"/>
      <c r="G79" s="1218"/>
      <c r="H79" s="1219"/>
      <c r="I79" s="1100"/>
      <c r="K79" s="1165"/>
      <c r="L79" s="1166">
        <f t="shared" si="2"/>
        <v>0</v>
      </c>
    </row>
    <row r="80" spans="2:12" ht="13.8">
      <c r="B80" s="1206"/>
      <c r="C80" s="1215"/>
      <c r="D80" s="1216"/>
      <c r="E80" s="1217"/>
      <c r="F80" s="1218"/>
      <c r="G80" s="1218"/>
      <c r="H80" s="1219"/>
      <c r="I80" s="1100"/>
      <c r="K80" s="1165"/>
      <c r="L80" s="1166">
        <f t="shared" si="2"/>
        <v>0</v>
      </c>
    </row>
    <row r="81" spans="2:12" ht="13.8">
      <c r="B81" s="1206"/>
      <c r="C81" s="1215"/>
      <c r="D81" s="1216"/>
      <c r="E81" s="1217"/>
      <c r="F81" s="1218"/>
      <c r="G81" s="1218"/>
      <c r="H81" s="1243"/>
      <c r="I81" s="1100"/>
      <c r="K81" s="1165"/>
      <c r="L81" s="1166">
        <f t="shared" si="2"/>
        <v>0</v>
      </c>
    </row>
    <row r="82" spans="2:12" ht="13.8">
      <c r="B82" s="1206"/>
      <c r="C82" s="1215"/>
      <c r="D82" s="1216"/>
      <c r="E82" s="1217"/>
      <c r="F82" s="1218"/>
      <c r="G82" s="1218"/>
      <c r="H82" s="1244"/>
      <c r="I82" s="1100"/>
      <c r="K82" s="1165"/>
      <c r="L82" s="1166">
        <f t="shared" si="2"/>
        <v>0</v>
      </c>
    </row>
    <row r="83" spans="2:12" ht="13.8">
      <c r="B83" s="1206"/>
      <c r="C83" s="1215"/>
      <c r="D83" s="1216"/>
      <c r="E83" s="1217"/>
      <c r="F83" s="1218"/>
      <c r="G83" s="1218"/>
      <c r="H83" s="1244"/>
      <c r="I83" s="1100"/>
      <c r="K83" s="1165"/>
      <c r="L83" s="1166">
        <f t="shared" si="2"/>
        <v>0</v>
      </c>
    </row>
    <row r="84" spans="2:12" ht="13.8">
      <c r="B84" s="1206"/>
      <c r="C84" s="1215"/>
      <c r="D84" s="1216"/>
      <c r="E84" s="1217"/>
      <c r="F84" s="1218"/>
      <c r="G84" s="1218"/>
      <c r="H84" s="1244"/>
      <c r="I84" s="1100"/>
      <c r="K84" s="1165"/>
      <c r="L84" s="1166">
        <f t="shared" si="2"/>
        <v>0</v>
      </c>
    </row>
    <row r="85" spans="2:12" ht="13.8">
      <c r="B85" s="1206"/>
      <c r="C85" s="1215"/>
      <c r="D85" s="1216"/>
      <c r="E85" s="1217"/>
      <c r="F85" s="1218"/>
      <c r="G85" s="1243"/>
      <c r="H85" s="1243"/>
      <c r="I85" s="1100"/>
      <c r="K85" s="1165"/>
      <c r="L85" s="1166">
        <f t="shared" si="2"/>
        <v>0</v>
      </c>
    </row>
    <row r="86" spans="2:12" ht="13.8">
      <c r="B86" s="1206"/>
      <c r="C86" s="1215"/>
      <c r="D86" s="1216"/>
      <c r="E86" s="1217"/>
      <c r="F86" s="1218"/>
      <c r="G86" s="1218"/>
      <c r="H86" s="1244"/>
      <c r="I86" s="1100"/>
      <c r="K86" s="1165"/>
      <c r="L86" s="1166">
        <f t="shared" si="2"/>
        <v>0</v>
      </c>
    </row>
    <row r="87" spans="2:12" ht="13.8">
      <c r="B87" s="1206"/>
      <c r="C87" s="1204"/>
      <c r="D87" s="1216"/>
      <c r="E87" s="1162"/>
      <c r="F87" s="1223"/>
      <c r="G87" s="1223"/>
      <c r="H87" s="1245"/>
      <c r="I87" s="1100"/>
      <c r="K87" s="1165"/>
      <c r="L87" s="1166">
        <f t="shared" si="2"/>
        <v>0</v>
      </c>
    </row>
    <row r="88" spans="2:12" ht="13.8">
      <c r="B88" s="1206"/>
      <c r="C88" s="1204"/>
      <c r="D88" s="1216"/>
      <c r="E88" s="1162"/>
      <c r="F88" s="1223"/>
      <c r="G88" s="1223"/>
      <c r="H88" s="1245"/>
      <c r="I88" s="1100"/>
      <c r="K88" s="1165"/>
      <c r="L88" s="1166">
        <f t="shared" si="2"/>
        <v>0</v>
      </c>
    </row>
    <row r="89" spans="2:12" ht="13.8">
      <c r="B89" s="1206"/>
      <c r="C89" s="1215"/>
      <c r="D89" s="1216"/>
      <c r="E89" s="1217"/>
      <c r="F89" s="1218"/>
      <c r="G89" s="1243"/>
      <c r="H89" s="1243"/>
      <c r="I89" s="1100"/>
      <c r="K89" s="1165"/>
      <c r="L89" s="1166">
        <f t="shared" si="2"/>
        <v>0</v>
      </c>
    </row>
    <row r="90" spans="2:12" ht="13.8">
      <c r="B90" s="1206"/>
      <c r="C90" s="1215"/>
      <c r="D90" s="1216"/>
      <c r="E90" s="1217"/>
      <c r="F90" s="1218"/>
      <c r="G90" s="1218"/>
      <c r="H90" s="1217"/>
      <c r="I90" s="1210"/>
      <c r="K90" s="1165"/>
      <c r="L90" s="1166">
        <f t="shared" si="2"/>
        <v>0</v>
      </c>
    </row>
    <row r="91" spans="2:12" ht="13.8">
      <c r="B91" s="1206"/>
      <c r="C91" s="1215"/>
      <c r="D91" s="1216"/>
      <c r="E91" s="1217"/>
      <c r="F91" s="1218"/>
      <c r="G91" s="1218"/>
      <c r="H91" s="1217"/>
      <c r="I91" s="1100"/>
      <c r="K91" s="1165"/>
      <c r="L91" s="1166">
        <f t="shared" si="2"/>
        <v>0</v>
      </c>
    </row>
    <row r="92" spans="2:12" ht="13.8">
      <c r="B92" s="1206"/>
      <c r="C92" s="1215"/>
      <c r="D92" s="1216"/>
      <c r="E92" s="1217"/>
      <c r="F92" s="1218"/>
      <c r="G92" s="1218"/>
      <c r="H92" s="1217"/>
      <c r="I92" s="1100"/>
      <c r="K92" s="1165"/>
      <c r="L92" s="1166">
        <f t="shared" si="2"/>
        <v>0</v>
      </c>
    </row>
    <row r="93" spans="2:12" ht="13.8">
      <c r="B93" s="1206"/>
      <c r="C93" s="1215"/>
      <c r="D93" s="1216"/>
      <c r="E93" s="1217"/>
      <c r="F93" s="1218"/>
      <c r="G93" s="1218"/>
      <c r="H93" s="1217"/>
      <c r="I93" s="1100"/>
      <c r="K93" s="1165"/>
      <c r="L93" s="1166">
        <f t="shared" si="2"/>
        <v>0</v>
      </c>
    </row>
    <row r="94" spans="2:12" ht="13.8">
      <c r="B94" s="1206"/>
      <c r="C94" s="1215"/>
      <c r="D94" s="1216"/>
      <c r="E94" s="1217"/>
      <c r="F94" s="1218"/>
      <c r="G94" s="1218"/>
      <c r="H94" s="1217"/>
      <c r="I94" s="1100"/>
      <c r="K94" s="1165"/>
      <c r="L94" s="1166">
        <f t="shared" si="2"/>
        <v>0</v>
      </c>
    </row>
    <row r="95" spans="2:12" ht="13.8">
      <c r="B95" s="1206"/>
      <c r="C95" s="1215"/>
      <c r="D95" s="1216"/>
      <c r="E95" s="1217"/>
      <c r="F95" s="1218"/>
      <c r="G95" s="1218"/>
      <c r="H95" s="1217"/>
      <c r="I95" s="1100"/>
      <c r="K95" s="1165"/>
      <c r="L95" s="1166">
        <f t="shared" si="2"/>
        <v>0</v>
      </c>
    </row>
    <row r="96" spans="2:12" ht="13.8">
      <c r="B96" s="1206"/>
      <c r="C96" s="1215"/>
      <c r="D96" s="1216"/>
      <c r="E96" s="1217"/>
      <c r="F96" s="1218"/>
      <c r="G96" s="1218"/>
      <c r="H96" s="1217"/>
      <c r="I96" s="1100"/>
      <c r="K96" s="1165"/>
      <c r="L96" s="1166">
        <f t="shared" si="2"/>
        <v>0</v>
      </c>
    </row>
    <row r="97" spans="2:12" ht="13.8">
      <c r="B97" s="1206"/>
      <c r="C97" s="1215"/>
      <c r="D97" s="1216"/>
      <c r="E97" s="1217"/>
      <c r="F97" s="1218"/>
      <c r="G97" s="1218"/>
      <c r="H97" s="1217"/>
      <c r="I97" s="1100"/>
      <c r="K97" s="1165"/>
      <c r="L97" s="1166">
        <f t="shared" si="2"/>
        <v>0</v>
      </c>
    </row>
    <row r="98" spans="2:12" ht="13.8">
      <c r="B98" s="1206"/>
      <c r="C98" s="1215"/>
      <c r="D98" s="1216"/>
      <c r="E98" s="1217"/>
      <c r="F98" s="1218"/>
      <c r="G98" s="1218"/>
      <c r="H98" s="1217"/>
      <c r="I98" s="1100"/>
      <c r="K98" s="1165"/>
      <c r="L98" s="1166">
        <f t="shared" si="2"/>
        <v>0</v>
      </c>
    </row>
    <row r="99" spans="2:12" ht="13.8">
      <c r="B99" s="1206"/>
      <c r="C99" s="1215"/>
      <c r="D99" s="1216"/>
      <c r="E99" s="1217"/>
      <c r="F99" s="1218"/>
      <c r="G99" s="1218"/>
      <c r="H99" s="1217"/>
      <c r="I99" s="1100"/>
      <c r="K99" s="1165"/>
      <c r="L99" s="1166">
        <f t="shared" si="2"/>
        <v>0</v>
      </c>
    </row>
    <row r="100" spans="2:12" ht="13.8">
      <c r="B100" s="1206"/>
      <c r="C100" s="1215"/>
      <c r="D100" s="1216"/>
      <c r="E100" s="1217"/>
      <c r="F100" s="1218"/>
      <c r="G100" s="1218"/>
      <c r="H100" s="1217"/>
      <c r="I100" s="1100"/>
      <c r="K100" s="1165"/>
      <c r="L100" s="1166">
        <f t="shared" si="2"/>
        <v>0</v>
      </c>
    </row>
    <row r="101" spans="2:12" ht="13.8">
      <c r="B101" s="1206"/>
      <c r="C101" s="1215"/>
      <c r="D101" s="1216"/>
      <c r="E101" s="1217"/>
      <c r="F101" s="1218"/>
      <c r="G101" s="1218"/>
      <c r="H101" s="1217"/>
      <c r="I101" s="1100"/>
      <c r="K101" s="1165"/>
      <c r="L101" s="1166">
        <f t="shared" ref="L101:L219" si="3">SUMIF($H$5:$H$259,K101,$G$5:$G$259)</f>
        <v>0</v>
      </c>
    </row>
    <row r="102" spans="2:12" ht="13.8">
      <c r="B102" s="1206"/>
      <c r="C102" s="1215"/>
      <c r="D102" s="1216"/>
      <c r="E102" s="1217"/>
      <c r="F102" s="1218"/>
      <c r="G102" s="1218"/>
      <c r="H102" s="1217"/>
      <c r="I102" s="1100"/>
      <c r="K102" s="1165"/>
      <c r="L102" s="1166">
        <f t="shared" si="3"/>
        <v>0</v>
      </c>
    </row>
    <row r="103" spans="2:12" ht="13.8">
      <c r="B103" s="1206"/>
      <c r="C103" s="1215"/>
      <c r="D103" s="1216"/>
      <c r="E103" s="1217"/>
      <c r="F103" s="1218"/>
      <c r="G103" s="1218"/>
      <c r="H103" s="1217"/>
      <c r="I103" s="1100"/>
      <c r="K103" s="1165"/>
      <c r="L103" s="1166">
        <f t="shared" si="3"/>
        <v>0</v>
      </c>
    </row>
    <row r="104" spans="2:12" ht="13.8">
      <c r="B104" s="1206"/>
      <c r="C104" s="1215"/>
      <c r="D104" s="1216"/>
      <c r="E104" s="1217"/>
      <c r="F104" s="1218"/>
      <c r="G104" s="1218"/>
      <c r="H104" s="1217"/>
      <c r="I104" s="1100"/>
      <c r="K104" s="1165"/>
      <c r="L104" s="1166">
        <f t="shared" si="3"/>
        <v>0</v>
      </c>
    </row>
    <row r="105" spans="2:12" ht="13.8">
      <c r="B105" s="1206"/>
      <c r="C105" s="1215"/>
      <c r="D105" s="1216"/>
      <c r="E105" s="1217"/>
      <c r="F105" s="1218"/>
      <c r="G105" s="1218"/>
      <c r="H105" s="1217"/>
      <c r="I105" s="1100"/>
      <c r="K105" s="1165"/>
      <c r="L105" s="1166">
        <f t="shared" si="3"/>
        <v>0</v>
      </c>
    </row>
    <row r="106" spans="2:12" ht="13.8">
      <c r="B106" s="1206"/>
      <c r="C106" s="1215"/>
      <c r="D106" s="1216"/>
      <c r="E106" s="1217"/>
      <c r="F106" s="1218"/>
      <c r="G106" s="1218"/>
      <c r="H106" s="1217"/>
      <c r="I106" s="1100"/>
      <c r="K106" s="1165"/>
      <c r="L106" s="1166">
        <f t="shared" si="3"/>
        <v>0</v>
      </c>
    </row>
    <row r="107" spans="2:12" ht="13.8">
      <c r="B107" s="1206"/>
      <c r="C107" s="1215"/>
      <c r="D107" s="1216"/>
      <c r="E107" s="1217"/>
      <c r="F107" s="1218"/>
      <c r="G107" s="1218"/>
      <c r="H107" s="1217"/>
      <c r="I107" s="1100"/>
      <c r="K107" s="1165"/>
      <c r="L107" s="1166">
        <f t="shared" si="3"/>
        <v>0</v>
      </c>
    </row>
    <row r="108" spans="2:12" ht="13.8">
      <c r="B108" s="1206"/>
      <c r="C108" s="1215"/>
      <c r="D108" s="1216"/>
      <c r="E108" s="1217"/>
      <c r="F108" s="1218"/>
      <c r="G108" s="1218"/>
      <c r="H108" s="1217"/>
      <c r="I108" s="1100"/>
      <c r="K108" s="1165"/>
      <c r="L108" s="1166">
        <f t="shared" si="3"/>
        <v>0</v>
      </c>
    </row>
    <row r="109" spans="2:12" ht="13.8">
      <c r="B109" s="1206"/>
      <c r="C109" s="1215"/>
      <c r="D109" s="1216"/>
      <c r="E109" s="1217"/>
      <c r="F109" s="1218"/>
      <c r="G109" s="1218"/>
      <c r="H109" s="1217"/>
      <c r="I109" s="1100"/>
      <c r="K109" s="1165"/>
      <c r="L109" s="1166">
        <f t="shared" si="3"/>
        <v>0</v>
      </c>
    </row>
    <row r="110" spans="2:12" ht="13.8">
      <c r="B110" s="1206"/>
      <c r="C110" s="1215"/>
      <c r="D110" s="1216"/>
      <c r="E110" s="1217"/>
      <c r="F110" s="1218"/>
      <c r="G110" s="1218"/>
      <c r="H110" s="1217"/>
      <c r="I110" s="1100"/>
      <c r="K110" s="1165"/>
      <c r="L110" s="1166">
        <f t="shared" si="3"/>
        <v>0</v>
      </c>
    </row>
    <row r="111" spans="2:12" ht="13.8">
      <c r="B111" s="1206"/>
      <c r="C111" s="1215"/>
      <c r="D111" s="1216"/>
      <c r="E111" s="1217"/>
      <c r="F111" s="1218"/>
      <c r="G111" s="1218"/>
      <c r="H111" s="1217"/>
      <c r="I111" s="1100"/>
      <c r="K111" s="1165"/>
      <c r="L111" s="1166">
        <f t="shared" si="3"/>
        <v>0</v>
      </c>
    </row>
    <row r="112" spans="2:12" ht="13.8">
      <c r="B112" s="1206"/>
      <c r="C112" s="1215"/>
      <c r="D112" s="1216"/>
      <c r="E112" s="1217"/>
      <c r="F112" s="1218"/>
      <c r="G112" s="1218"/>
      <c r="H112" s="1217"/>
      <c r="I112" s="1100"/>
      <c r="K112" s="1165"/>
      <c r="L112" s="1166">
        <f t="shared" si="3"/>
        <v>0</v>
      </c>
    </row>
    <row r="113" spans="2:12" ht="13.8">
      <c r="B113" s="1206"/>
      <c r="C113" s="1215"/>
      <c r="D113" s="1216"/>
      <c r="E113" s="1217"/>
      <c r="F113" s="1218"/>
      <c r="G113" s="1218"/>
      <c r="H113" s="1217"/>
      <c r="I113" s="1100"/>
      <c r="K113" s="1165"/>
      <c r="L113" s="1166">
        <f t="shared" si="3"/>
        <v>0</v>
      </c>
    </row>
    <row r="114" spans="2:12" ht="13.8">
      <c r="B114" s="1206"/>
      <c r="C114" s="1215"/>
      <c r="D114" s="1216"/>
      <c r="E114" s="1217"/>
      <c r="F114" s="1218"/>
      <c r="G114" s="1218"/>
      <c r="H114" s="1217"/>
      <c r="I114" s="1100"/>
      <c r="K114" s="1165"/>
      <c r="L114" s="1166">
        <f t="shared" si="3"/>
        <v>0</v>
      </c>
    </row>
    <row r="115" spans="2:12" ht="13.8">
      <c r="B115" s="1206"/>
      <c r="C115" s="1215"/>
      <c r="D115" s="1216"/>
      <c r="E115" s="1217"/>
      <c r="F115" s="1218"/>
      <c r="G115" s="1218"/>
      <c r="H115" s="1217"/>
      <c r="I115" s="1100"/>
      <c r="K115" s="1165"/>
      <c r="L115" s="1166">
        <f t="shared" si="3"/>
        <v>0</v>
      </c>
    </row>
    <row r="116" spans="2:12" ht="13.8">
      <c r="B116" s="1206"/>
      <c r="C116" s="1215"/>
      <c r="D116" s="1216"/>
      <c r="E116" s="1217"/>
      <c r="F116" s="1218"/>
      <c r="G116" s="1218"/>
      <c r="H116" s="1217"/>
      <c r="I116" s="1100"/>
      <c r="K116" s="1165"/>
      <c r="L116" s="1166">
        <f t="shared" si="3"/>
        <v>0</v>
      </c>
    </row>
    <row r="117" spans="2:12" ht="13.8">
      <c r="B117" s="1206"/>
      <c r="C117" s="1215"/>
      <c r="D117" s="1216"/>
      <c r="E117" s="1217"/>
      <c r="F117" s="1218"/>
      <c r="G117" s="1218"/>
      <c r="H117" s="1217"/>
      <c r="I117" s="1100"/>
      <c r="K117" s="1165"/>
      <c r="L117" s="1166">
        <f t="shared" si="3"/>
        <v>0</v>
      </c>
    </row>
    <row r="118" spans="2:12" ht="13.8">
      <c r="B118" s="1206"/>
      <c r="C118" s="1215"/>
      <c r="D118" s="1216"/>
      <c r="E118" s="1217"/>
      <c r="F118" s="1218"/>
      <c r="G118" s="1218"/>
      <c r="H118" s="1217"/>
      <c r="I118" s="1100"/>
      <c r="K118" s="1165"/>
      <c r="L118" s="1166">
        <f t="shared" si="3"/>
        <v>0</v>
      </c>
    </row>
    <row r="119" spans="2:12" ht="13.8">
      <c r="B119" s="1206"/>
      <c r="C119" s="1215"/>
      <c r="D119" s="1216"/>
      <c r="E119" s="1217"/>
      <c r="F119" s="1218"/>
      <c r="G119" s="1218"/>
      <c r="H119" s="1217"/>
      <c r="I119" s="1100"/>
      <c r="K119" s="1165"/>
      <c r="L119" s="1166">
        <f t="shared" si="3"/>
        <v>0</v>
      </c>
    </row>
    <row r="120" spans="2:12" ht="13.8">
      <c r="B120" s="1206"/>
      <c r="C120" s="1215"/>
      <c r="D120" s="1216"/>
      <c r="E120" s="1217"/>
      <c r="F120" s="1218"/>
      <c r="G120" s="1218"/>
      <c r="H120" s="1217"/>
      <c r="I120" s="1100"/>
      <c r="K120" s="1165"/>
      <c r="L120" s="1166">
        <f t="shared" si="3"/>
        <v>0</v>
      </c>
    </row>
    <row r="121" spans="2:12" ht="13.8">
      <c r="B121" s="1206"/>
      <c r="C121" s="1215"/>
      <c r="D121" s="1216"/>
      <c r="E121" s="1217"/>
      <c r="F121" s="1218"/>
      <c r="G121" s="1218"/>
      <c r="H121" s="1217"/>
      <c r="I121" s="1100"/>
      <c r="K121" s="1165"/>
      <c r="L121" s="1166">
        <f t="shared" si="3"/>
        <v>0</v>
      </c>
    </row>
    <row r="122" spans="2:12" ht="13.8">
      <c r="B122" s="1206"/>
      <c r="C122" s="1215"/>
      <c r="D122" s="1216"/>
      <c r="E122" s="1217"/>
      <c r="F122" s="1218"/>
      <c r="G122" s="1218"/>
      <c r="H122" s="1217"/>
      <c r="I122" s="1100"/>
      <c r="K122" s="1165"/>
      <c r="L122" s="1166">
        <f t="shared" si="3"/>
        <v>0</v>
      </c>
    </row>
    <row r="123" spans="2:12" ht="13.8">
      <c r="B123" s="1206"/>
      <c r="C123" s="1215"/>
      <c r="D123" s="1216"/>
      <c r="E123" s="1217"/>
      <c r="F123" s="1218"/>
      <c r="G123" s="1218"/>
      <c r="H123" s="1217"/>
      <c r="I123" s="1100"/>
      <c r="K123" s="1165"/>
      <c r="L123" s="1166">
        <f t="shared" si="3"/>
        <v>0</v>
      </c>
    </row>
    <row r="124" spans="2:12" ht="13.8">
      <c r="B124" s="1206"/>
      <c r="C124" s="1215"/>
      <c r="D124" s="1216"/>
      <c r="E124" s="1217"/>
      <c r="F124" s="1218"/>
      <c r="G124" s="1218"/>
      <c r="H124" s="1217"/>
      <c r="I124" s="1100"/>
      <c r="K124" s="1165"/>
      <c r="L124" s="1166">
        <f t="shared" si="3"/>
        <v>0</v>
      </c>
    </row>
    <row r="125" spans="2:12" ht="13.8">
      <c r="B125" s="1206"/>
      <c r="C125" s="1215"/>
      <c r="D125" s="1216"/>
      <c r="E125" s="1217"/>
      <c r="F125" s="1218"/>
      <c r="G125" s="1218"/>
      <c r="H125" s="1217"/>
      <c r="I125" s="1100"/>
      <c r="K125" s="1165"/>
      <c r="L125" s="1166">
        <f t="shared" si="3"/>
        <v>0</v>
      </c>
    </row>
    <row r="126" spans="2:12" ht="13.8">
      <c r="B126" s="1206"/>
      <c r="C126" s="1215"/>
      <c r="D126" s="1216"/>
      <c r="E126" s="1217"/>
      <c r="F126" s="1218"/>
      <c r="G126" s="1218"/>
      <c r="H126" s="1217"/>
      <c r="I126" s="1100"/>
      <c r="K126" s="1165"/>
      <c r="L126" s="1166">
        <f t="shared" si="3"/>
        <v>0</v>
      </c>
    </row>
    <row r="127" spans="2:12" ht="13.8">
      <c r="B127" s="1220"/>
      <c r="C127" s="1221"/>
      <c r="D127" s="1222"/>
      <c r="E127" s="1217"/>
      <c r="F127" s="1218"/>
      <c r="G127" s="1218"/>
      <c r="H127" s="1219"/>
      <c r="I127" s="1100"/>
      <c r="K127" s="1165"/>
      <c r="L127" s="1166">
        <f t="shared" si="3"/>
        <v>0</v>
      </c>
    </row>
    <row r="128" spans="2:12" ht="13.8">
      <c r="B128" s="1206"/>
      <c r="C128" s="1215"/>
      <c r="D128" s="1216"/>
      <c r="E128" s="1217"/>
      <c r="F128" s="1218"/>
      <c r="G128" s="1218"/>
      <c r="H128" s="1219"/>
      <c r="I128" s="1100"/>
      <c r="K128" s="1165"/>
      <c r="L128" s="1166">
        <f t="shared" si="3"/>
        <v>0</v>
      </c>
    </row>
    <row r="129" spans="2:12" ht="13.8">
      <c r="B129" s="1206"/>
      <c r="C129" s="1215"/>
      <c r="D129" s="1216"/>
      <c r="E129" s="1217"/>
      <c r="F129" s="1218"/>
      <c r="G129" s="1218"/>
      <c r="H129" s="1219"/>
      <c r="I129" s="1100"/>
      <c r="K129" s="1165"/>
      <c r="L129" s="1166">
        <f t="shared" si="3"/>
        <v>0</v>
      </c>
    </row>
    <row r="130" spans="2:12" ht="13.8">
      <c r="B130" s="1206"/>
      <c r="C130" s="1215"/>
      <c r="D130" s="1216"/>
      <c r="E130" s="1217"/>
      <c r="F130" s="1218"/>
      <c r="G130" s="1218"/>
      <c r="H130" s="1219"/>
      <c r="I130" s="1100"/>
      <c r="K130" s="1165"/>
      <c r="L130" s="1166">
        <f t="shared" si="3"/>
        <v>0</v>
      </c>
    </row>
    <row r="131" spans="2:12" ht="13.8">
      <c r="B131" s="1206"/>
      <c r="C131" s="1215"/>
      <c r="D131" s="1216"/>
      <c r="E131" s="1217"/>
      <c r="F131" s="1218"/>
      <c r="G131" s="1218"/>
      <c r="H131" s="1219"/>
      <c r="I131" s="1100"/>
      <c r="K131" s="1165"/>
      <c r="L131" s="1166">
        <f t="shared" si="3"/>
        <v>0</v>
      </c>
    </row>
    <row r="132" spans="2:12" ht="13.8">
      <c r="B132" s="1206"/>
      <c r="C132" s="1215"/>
      <c r="D132" s="1216"/>
      <c r="E132" s="1217"/>
      <c r="F132" s="1218"/>
      <c r="G132" s="1218"/>
      <c r="H132" s="1219"/>
      <c r="I132" s="1100"/>
      <c r="K132" s="1165"/>
      <c r="L132" s="1166">
        <f t="shared" si="3"/>
        <v>0</v>
      </c>
    </row>
    <row r="133" spans="2:12" ht="13.8">
      <c r="B133" s="1206"/>
      <c r="C133" s="1215"/>
      <c r="D133" s="1216"/>
      <c r="E133" s="1217"/>
      <c r="F133" s="1218"/>
      <c r="G133" s="1218"/>
      <c r="H133" s="1219"/>
      <c r="I133" s="1100"/>
      <c r="K133" s="1165"/>
      <c r="L133" s="1166">
        <f t="shared" si="3"/>
        <v>0</v>
      </c>
    </row>
    <row r="134" spans="2:12" ht="13.8">
      <c r="B134" s="1206"/>
      <c r="C134" s="1215"/>
      <c r="D134" s="1216"/>
      <c r="E134" s="1217"/>
      <c r="F134" s="1218"/>
      <c r="G134" s="1218"/>
      <c r="H134" s="1219"/>
      <c r="I134" s="1100"/>
      <c r="K134" s="1165"/>
      <c r="L134" s="1166">
        <f t="shared" si="3"/>
        <v>0</v>
      </c>
    </row>
    <row r="135" spans="2:12" ht="13.8">
      <c r="B135" s="1206"/>
      <c r="C135" s="1215"/>
      <c r="D135" s="1216"/>
      <c r="E135" s="1217"/>
      <c r="F135" s="1218"/>
      <c r="G135" s="1218"/>
      <c r="H135" s="1243"/>
      <c r="I135" s="1100"/>
      <c r="K135" s="1165"/>
      <c r="L135" s="1166">
        <f t="shared" si="3"/>
        <v>0</v>
      </c>
    </row>
    <row r="136" spans="2:12" ht="13.8">
      <c r="B136" s="1206"/>
      <c r="C136" s="1215"/>
      <c r="D136" s="1216"/>
      <c r="E136" s="1217"/>
      <c r="F136" s="1218"/>
      <c r="G136" s="1218"/>
      <c r="H136" s="1244"/>
      <c r="I136" s="1100"/>
      <c r="K136" s="1165"/>
      <c r="L136" s="1166">
        <f t="shared" si="3"/>
        <v>0</v>
      </c>
    </row>
    <row r="137" spans="2:12" ht="13.8">
      <c r="B137" s="1206"/>
      <c r="C137" s="1215"/>
      <c r="D137" s="1216"/>
      <c r="E137" s="1217"/>
      <c r="F137" s="1218"/>
      <c r="G137" s="1218"/>
      <c r="H137" s="1244"/>
      <c r="I137" s="1100"/>
      <c r="K137" s="1165"/>
      <c r="L137" s="1166">
        <f t="shared" si="3"/>
        <v>0</v>
      </c>
    </row>
    <row r="138" spans="2:12" ht="13.8">
      <c r="B138" s="1206"/>
      <c r="C138" s="1215"/>
      <c r="D138" s="1216"/>
      <c r="E138" s="1217"/>
      <c r="F138" s="1218"/>
      <c r="G138" s="1218"/>
      <c r="H138" s="1244"/>
      <c r="I138" s="1100"/>
      <c r="K138" s="1165"/>
      <c r="L138" s="1166">
        <f t="shared" si="3"/>
        <v>0</v>
      </c>
    </row>
    <row r="139" spans="2:12" ht="13.8">
      <c r="B139" s="1206"/>
      <c r="C139" s="1215"/>
      <c r="D139" s="1216"/>
      <c r="E139" s="1217"/>
      <c r="F139" s="1218"/>
      <c r="G139" s="1218"/>
      <c r="H139" s="1217"/>
      <c r="I139" s="1210"/>
      <c r="K139" s="1165"/>
      <c r="L139" s="1166">
        <f t="shared" si="3"/>
        <v>0</v>
      </c>
    </row>
    <row r="140" spans="2:12" ht="13.8">
      <c r="B140" s="1206"/>
      <c r="C140" s="1215"/>
      <c r="D140" s="1216"/>
      <c r="E140" s="1217"/>
      <c r="F140" s="1218"/>
      <c r="G140" s="1218"/>
      <c r="H140" s="1217"/>
      <c r="I140" s="1100"/>
      <c r="K140" s="1165"/>
      <c r="L140" s="1166">
        <f t="shared" si="3"/>
        <v>0</v>
      </c>
    </row>
    <row r="141" spans="2:12" ht="13.8">
      <c r="B141" s="1206"/>
      <c r="C141" s="1204"/>
      <c r="D141" s="1216"/>
      <c r="E141" s="1162"/>
      <c r="F141" s="1223"/>
      <c r="G141" s="1223"/>
      <c r="H141" s="1217"/>
      <c r="I141" s="1100"/>
      <c r="K141" s="1165"/>
      <c r="L141" s="1166">
        <f t="shared" si="3"/>
        <v>0</v>
      </c>
    </row>
    <row r="142" spans="2:12" ht="13.8">
      <c r="B142" s="1206"/>
      <c r="C142" s="1204"/>
      <c r="D142" s="965"/>
      <c r="E142" s="1162"/>
      <c r="F142" s="1182"/>
      <c r="G142" s="1182"/>
      <c r="H142" s="1217"/>
      <c r="I142" s="1100"/>
      <c r="K142" s="1165"/>
      <c r="L142" s="1166">
        <f t="shared" si="3"/>
        <v>0</v>
      </c>
    </row>
    <row r="143" spans="2:12" ht="13.8">
      <c r="B143" s="1206"/>
      <c r="C143" s="1204"/>
      <c r="D143" s="965"/>
      <c r="E143" s="1162"/>
      <c r="F143" s="1182"/>
      <c r="G143" s="1182"/>
      <c r="H143" s="1217"/>
      <c r="I143" s="1100"/>
      <c r="K143" s="1165"/>
      <c r="L143" s="1166">
        <f t="shared" si="3"/>
        <v>0</v>
      </c>
    </row>
    <row r="144" spans="2:12" ht="13.8">
      <c r="B144" s="1206"/>
      <c r="C144" s="1204"/>
      <c r="D144" s="965"/>
      <c r="E144" s="1162"/>
      <c r="F144" s="1182"/>
      <c r="G144" s="1182"/>
      <c r="H144" s="1217"/>
      <c r="I144" s="1100"/>
      <c r="K144" s="1165"/>
      <c r="L144" s="1166">
        <f t="shared" si="3"/>
        <v>0</v>
      </c>
    </row>
    <row r="145" spans="2:12" ht="13.8">
      <c r="B145" s="1206"/>
      <c r="C145" s="1204"/>
      <c r="D145" s="965"/>
      <c r="E145" s="1162"/>
      <c r="F145" s="1182"/>
      <c r="G145" s="1182"/>
      <c r="H145" s="1217"/>
      <c r="I145" s="1100"/>
      <c r="K145" s="1165"/>
      <c r="L145" s="1166">
        <f t="shared" si="3"/>
        <v>0</v>
      </c>
    </row>
    <row r="146" spans="2:12" ht="13.8">
      <c r="B146" s="1206"/>
      <c r="C146" s="1204"/>
      <c r="D146" s="965"/>
      <c r="E146" s="1207"/>
      <c r="F146" s="1182"/>
      <c r="G146" s="965"/>
      <c r="H146" s="1217"/>
      <c r="I146" s="1100"/>
      <c r="K146" s="1165"/>
      <c r="L146" s="1166">
        <f t="shared" si="3"/>
        <v>0</v>
      </c>
    </row>
    <row r="147" spans="2:12" ht="13.8">
      <c r="B147" s="1206"/>
      <c r="C147" s="1215"/>
      <c r="D147" s="1216"/>
      <c r="E147" s="1217"/>
      <c r="F147" s="1218"/>
      <c r="G147" s="1218"/>
      <c r="H147" s="1217"/>
      <c r="I147" s="1100"/>
      <c r="K147" s="1165"/>
      <c r="L147" s="1166">
        <f t="shared" si="3"/>
        <v>0</v>
      </c>
    </row>
    <row r="148" spans="2:12" ht="13.8">
      <c r="B148" s="1206"/>
      <c r="C148" s="1215"/>
      <c r="D148" s="1216"/>
      <c r="E148" s="1217"/>
      <c r="F148" s="1218"/>
      <c r="G148" s="1218"/>
      <c r="H148" s="1217"/>
      <c r="I148" s="1100"/>
      <c r="K148" s="1165"/>
      <c r="L148" s="1166">
        <f t="shared" si="3"/>
        <v>0</v>
      </c>
    </row>
    <row r="149" spans="2:12" ht="13.8">
      <c r="B149" s="1206"/>
      <c r="C149" s="1215"/>
      <c r="D149" s="1216"/>
      <c r="E149" s="1217"/>
      <c r="F149" s="1218"/>
      <c r="G149" s="1218"/>
      <c r="H149" s="1217"/>
      <c r="I149" s="1100"/>
      <c r="K149" s="1165"/>
      <c r="L149" s="1166">
        <f t="shared" si="3"/>
        <v>0</v>
      </c>
    </row>
    <row r="150" spans="2:12" ht="13.8">
      <c r="B150" s="1206"/>
      <c r="C150" s="1215"/>
      <c r="D150" s="1216"/>
      <c r="E150" s="1217"/>
      <c r="F150" s="1218"/>
      <c r="G150" s="1218"/>
      <c r="H150" s="1217"/>
      <c r="I150" s="1100"/>
      <c r="K150" s="1165"/>
      <c r="L150" s="1166">
        <f t="shared" si="3"/>
        <v>0</v>
      </c>
    </row>
    <row r="151" spans="2:12" ht="13.8">
      <c r="B151" s="1206"/>
      <c r="C151" s="1215"/>
      <c r="D151" s="1216"/>
      <c r="E151" s="1217"/>
      <c r="F151" s="1218"/>
      <c r="G151" s="1218"/>
      <c r="H151" s="1217"/>
      <c r="I151" s="1100"/>
      <c r="K151" s="1165"/>
      <c r="L151" s="1166">
        <f t="shared" si="3"/>
        <v>0</v>
      </c>
    </row>
    <row r="152" spans="2:12" ht="13.8">
      <c r="B152" s="1206"/>
      <c r="C152" s="1215"/>
      <c r="D152" s="1216"/>
      <c r="E152" s="1217"/>
      <c r="F152" s="1218"/>
      <c r="G152" s="1218"/>
      <c r="H152" s="1217"/>
      <c r="I152" s="1100"/>
      <c r="K152" s="1165"/>
      <c r="L152" s="1166">
        <f t="shared" si="3"/>
        <v>0</v>
      </c>
    </row>
    <row r="153" spans="2:12" ht="13.8">
      <c r="B153" s="1206"/>
      <c r="C153" s="1215"/>
      <c r="D153" s="1216"/>
      <c r="E153" s="1217"/>
      <c r="F153" s="1218"/>
      <c r="G153" s="1218"/>
      <c r="H153" s="1217"/>
      <c r="I153" s="1100"/>
      <c r="K153" s="1165"/>
      <c r="L153" s="1166">
        <f t="shared" si="3"/>
        <v>0</v>
      </c>
    </row>
    <row r="154" spans="2:12" ht="13.8">
      <c r="B154" s="1206"/>
      <c r="C154" s="1215"/>
      <c r="D154" s="1216"/>
      <c r="E154" s="1217"/>
      <c r="F154" s="1218"/>
      <c r="G154" s="1218"/>
      <c r="H154" s="1217"/>
      <c r="I154" s="1100"/>
      <c r="K154" s="1165"/>
      <c r="L154" s="1166">
        <f t="shared" si="3"/>
        <v>0</v>
      </c>
    </row>
    <row r="155" spans="2:12" ht="13.8">
      <c r="B155" s="1206"/>
      <c r="C155" s="1215"/>
      <c r="D155" s="1216"/>
      <c r="E155" s="1217"/>
      <c r="F155" s="1218"/>
      <c r="G155" s="1218"/>
      <c r="H155" s="1217"/>
      <c r="I155" s="1100"/>
      <c r="K155" s="1165"/>
      <c r="L155" s="1166">
        <f t="shared" si="3"/>
        <v>0</v>
      </c>
    </row>
    <row r="156" spans="2:12" ht="13.8">
      <c r="B156" s="1206"/>
      <c r="C156" s="1215"/>
      <c r="D156" s="1216"/>
      <c r="E156" s="1217"/>
      <c r="F156" s="1218"/>
      <c r="G156" s="1218"/>
      <c r="H156" s="1217"/>
      <c r="I156" s="1100"/>
      <c r="K156" s="1165"/>
      <c r="L156" s="1166">
        <f t="shared" si="3"/>
        <v>0</v>
      </c>
    </row>
    <row r="157" spans="2:12" ht="13.8">
      <c r="B157" s="1206"/>
      <c r="C157" s="1215"/>
      <c r="D157" s="1216"/>
      <c r="E157" s="1217"/>
      <c r="F157" s="1218"/>
      <c r="G157" s="1218"/>
      <c r="H157" s="1217"/>
      <c r="I157" s="1100"/>
      <c r="K157" s="1165"/>
      <c r="L157" s="1166">
        <f t="shared" si="3"/>
        <v>0</v>
      </c>
    </row>
    <row r="158" spans="2:12" ht="13.8">
      <c r="B158" s="1206"/>
      <c r="C158" s="1215"/>
      <c r="D158" s="1216"/>
      <c r="E158" s="1217"/>
      <c r="F158" s="1218"/>
      <c r="G158" s="1218"/>
      <c r="H158" s="1217"/>
      <c r="I158" s="1100"/>
      <c r="K158" s="1165"/>
      <c r="L158" s="1166">
        <f t="shared" si="3"/>
        <v>0</v>
      </c>
    </row>
    <row r="159" spans="2:12" ht="13.8">
      <c r="B159" s="1206"/>
      <c r="C159" s="1215"/>
      <c r="D159" s="1216"/>
      <c r="E159" s="1217"/>
      <c r="F159" s="1218"/>
      <c r="G159" s="1218"/>
      <c r="H159" s="1217"/>
      <c r="I159" s="1100"/>
      <c r="K159" s="1165"/>
      <c r="L159" s="1166">
        <f t="shared" si="3"/>
        <v>0</v>
      </c>
    </row>
    <row r="160" spans="2:12" ht="13.8">
      <c r="B160" s="1206"/>
      <c r="C160" s="1215"/>
      <c r="D160" s="1216"/>
      <c r="E160" s="1217"/>
      <c r="F160" s="1218"/>
      <c r="G160" s="1218"/>
      <c r="H160" s="1217"/>
      <c r="I160" s="1100"/>
      <c r="K160" s="1165"/>
      <c r="L160" s="1166">
        <f t="shared" si="3"/>
        <v>0</v>
      </c>
    </row>
    <row r="161" spans="2:12" ht="13.8">
      <c r="B161" s="1206"/>
      <c r="C161" s="1215"/>
      <c r="D161" s="1216"/>
      <c r="E161" s="1217"/>
      <c r="F161" s="1218"/>
      <c r="G161" s="1218"/>
      <c r="H161" s="1217"/>
      <c r="I161" s="1100"/>
      <c r="K161" s="1165"/>
      <c r="L161" s="1166">
        <f t="shared" si="3"/>
        <v>0</v>
      </c>
    </row>
    <row r="162" spans="2:12" ht="13.8">
      <c r="B162" s="1206"/>
      <c r="C162" s="1215"/>
      <c r="D162" s="1216"/>
      <c r="E162" s="1217"/>
      <c r="F162" s="1218"/>
      <c r="G162" s="1218"/>
      <c r="H162" s="1217"/>
      <c r="I162" s="1100"/>
      <c r="K162" s="1165"/>
      <c r="L162" s="1166">
        <f t="shared" si="3"/>
        <v>0</v>
      </c>
    </row>
    <row r="163" spans="2:12" ht="13.8">
      <c r="B163" s="1206"/>
      <c r="C163" s="1215"/>
      <c r="D163" s="1216"/>
      <c r="E163" s="1217"/>
      <c r="F163" s="1218"/>
      <c r="G163" s="1218"/>
      <c r="H163" s="1217"/>
      <c r="I163" s="1100"/>
      <c r="K163" s="1165"/>
      <c r="L163" s="1166">
        <f t="shared" si="3"/>
        <v>0</v>
      </c>
    </row>
    <row r="164" spans="2:12" ht="13.8">
      <c r="B164" s="1206"/>
      <c r="C164" s="1215"/>
      <c r="D164" s="1216"/>
      <c r="E164" s="1217"/>
      <c r="F164" s="1218"/>
      <c r="G164" s="1218"/>
      <c r="H164" s="1217"/>
      <c r="I164" s="1100"/>
      <c r="K164" s="1165"/>
      <c r="L164" s="1166">
        <f t="shared" si="3"/>
        <v>0</v>
      </c>
    </row>
    <row r="165" spans="2:12" ht="13.8">
      <c r="B165" s="1206"/>
      <c r="C165" s="1215"/>
      <c r="D165" s="1216"/>
      <c r="E165" s="1217"/>
      <c r="F165" s="1218"/>
      <c r="G165" s="1218"/>
      <c r="H165" s="1217"/>
      <c r="I165" s="1100"/>
      <c r="K165" s="1165"/>
      <c r="L165" s="1166">
        <f t="shared" si="3"/>
        <v>0</v>
      </c>
    </row>
    <row r="166" spans="2:12" ht="13.8">
      <c r="B166" s="1220"/>
      <c r="C166" s="1221"/>
      <c r="D166" s="1222"/>
      <c r="E166" s="1217"/>
      <c r="F166" s="1218"/>
      <c r="G166" s="1218"/>
      <c r="H166" s="1219"/>
      <c r="I166" s="1100"/>
      <c r="K166" s="1165"/>
      <c r="L166" s="1166">
        <f t="shared" si="3"/>
        <v>0</v>
      </c>
    </row>
    <row r="167" spans="2:12" ht="13.8">
      <c r="B167" s="1206"/>
      <c r="C167" s="1215"/>
      <c r="D167" s="1216"/>
      <c r="E167" s="1217"/>
      <c r="F167" s="1218"/>
      <c r="G167" s="1218"/>
      <c r="H167" s="1219"/>
      <c r="I167" s="1100"/>
      <c r="K167" s="1165"/>
      <c r="L167" s="1166">
        <f t="shared" si="3"/>
        <v>0</v>
      </c>
    </row>
    <row r="168" spans="2:12" ht="13.8">
      <c r="B168" s="1206"/>
      <c r="C168" s="1215"/>
      <c r="D168" s="1216"/>
      <c r="E168" s="1217"/>
      <c r="F168" s="1218"/>
      <c r="G168" s="1218"/>
      <c r="H168" s="1219"/>
      <c r="I168" s="1100"/>
      <c r="K168" s="1165"/>
      <c r="L168" s="1166">
        <f t="shared" si="3"/>
        <v>0</v>
      </c>
    </row>
    <row r="169" spans="2:12" ht="13.8">
      <c r="B169" s="1206"/>
      <c r="C169" s="1215"/>
      <c r="D169" s="1216"/>
      <c r="E169" s="1217"/>
      <c r="F169" s="1218"/>
      <c r="G169" s="1218"/>
      <c r="H169" s="1219"/>
      <c r="I169" s="1100"/>
      <c r="K169" s="1165"/>
      <c r="L169" s="1166">
        <f t="shared" si="3"/>
        <v>0</v>
      </c>
    </row>
    <row r="170" spans="2:12" ht="13.8">
      <c r="B170" s="1206"/>
      <c r="C170" s="1215"/>
      <c r="D170" s="1216"/>
      <c r="E170" s="1217"/>
      <c r="F170" s="1218"/>
      <c r="G170" s="1218"/>
      <c r="H170" s="1219"/>
      <c r="I170" s="1100"/>
      <c r="K170" s="1165"/>
      <c r="L170" s="1166">
        <f t="shared" si="3"/>
        <v>0</v>
      </c>
    </row>
    <row r="171" spans="2:12" ht="13.8">
      <c r="B171" s="1206"/>
      <c r="C171" s="1215"/>
      <c r="D171" s="1216"/>
      <c r="E171" s="1217"/>
      <c r="F171" s="1218"/>
      <c r="G171" s="1218"/>
      <c r="H171" s="1219"/>
      <c r="I171" s="1100"/>
      <c r="K171" s="1165"/>
      <c r="L171" s="1166">
        <f t="shared" si="3"/>
        <v>0</v>
      </c>
    </row>
    <row r="172" spans="2:12" ht="13.8">
      <c r="B172" s="1206"/>
      <c r="C172" s="1215"/>
      <c r="D172" s="1216"/>
      <c r="E172" s="1217"/>
      <c r="F172" s="1218"/>
      <c r="G172" s="1218"/>
      <c r="H172" s="1219"/>
      <c r="I172" s="1100"/>
      <c r="K172" s="1165"/>
      <c r="L172" s="1166">
        <f t="shared" si="3"/>
        <v>0</v>
      </c>
    </row>
    <row r="173" spans="2:12" ht="13.8">
      <c r="B173" s="1206"/>
      <c r="C173" s="1215"/>
      <c r="D173" s="1216"/>
      <c r="E173" s="1217"/>
      <c r="F173" s="1218"/>
      <c r="G173" s="1218"/>
      <c r="H173" s="1219"/>
      <c r="I173" s="1100"/>
      <c r="K173" s="1165"/>
      <c r="L173" s="1166">
        <f t="shared" si="3"/>
        <v>0</v>
      </c>
    </row>
    <row r="174" spans="2:12" ht="13.8">
      <c r="B174" s="1206"/>
      <c r="C174" s="1215"/>
      <c r="D174" s="1216"/>
      <c r="E174" s="1217"/>
      <c r="F174" s="1218"/>
      <c r="G174" s="1218"/>
      <c r="H174" s="1243"/>
      <c r="I174" s="1100"/>
      <c r="K174" s="1165"/>
      <c r="L174" s="1166">
        <f t="shared" si="3"/>
        <v>0</v>
      </c>
    </row>
    <row r="175" spans="2:12" ht="13.8">
      <c r="B175" s="1206"/>
      <c r="C175" s="1215"/>
      <c r="D175" s="1216"/>
      <c r="E175" s="1217"/>
      <c r="F175" s="1218"/>
      <c r="G175" s="1218"/>
      <c r="H175" s="1244"/>
      <c r="I175" s="1100"/>
      <c r="K175" s="1165"/>
      <c r="L175" s="1166">
        <f t="shared" si="3"/>
        <v>0</v>
      </c>
    </row>
    <row r="176" spans="2:12" ht="13.8">
      <c r="B176" s="1206"/>
      <c r="C176" s="1215"/>
      <c r="D176" s="1216"/>
      <c r="E176" s="1217"/>
      <c r="F176" s="1218"/>
      <c r="G176" s="1218"/>
      <c r="H176" s="1244"/>
      <c r="I176" s="1100"/>
      <c r="K176" s="1165"/>
      <c r="L176" s="1166">
        <f t="shared" si="3"/>
        <v>0</v>
      </c>
    </row>
    <row r="177" spans="2:12" ht="13.8">
      <c r="B177" s="1206"/>
      <c r="C177" s="1215"/>
      <c r="D177" s="1216"/>
      <c r="E177" s="1217"/>
      <c r="F177" s="1218"/>
      <c r="G177" s="1218"/>
      <c r="H177" s="1244"/>
      <c r="I177" s="1100"/>
      <c r="K177" s="1165"/>
      <c r="L177" s="1166">
        <f t="shared" si="3"/>
        <v>0</v>
      </c>
    </row>
    <row r="178" spans="2:12" ht="13.8">
      <c r="B178" s="1206"/>
      <c r="C178" s="1215"/>
      <c r="D178" s="1216"/>
      <c r="E178" s="1217"/>
      <c r="F178" s="1218"/>
      <c r="G178" s="1243"/>
      <c r="H178" s="1243"/>
      <c r="I178" s="1100"/>
      <c r="K178" s="1165"/>
      <c r="L178" s="1166">
        <f t="shared" si="3"/>
        <v>0</v>
      </c>
    </row>
    <row r="179" spans="2:12" ht="13.8">
      <c r="B179" s="1206"/>
      <c r="C179" s="1215"/>
      <c r="D179" s="1216"/>
      <c r="E179" s="1217"/>
      <c r="F179" s="1218"/>
      <c r="G179" s="1218"/>
      <c r="H179" s="1244"/>
      <c r="I179" s="1100"/>
      <c r="K179" s="1165"/>
      <c r="L179" s="1166">
        <f t="shared" si="3"/>
        <v>0</v>
      </c>
    </row>
    <row r="180" spans="2:12" ht="13.8">
      <c r="B180" s="1206"/>
      <c r="C180" s="1204"/>
      <c r="D180" s="1216"/>
      <c r="E180" s="1162"/>
      <c r="F180" s="1223"/>
      <c r="G180" s="1223"/>
      <c r="H180" s="1245"/>
      <c r="I180" s="1100"/>
      <c r="K180" s="1165"/>
      <c r="L180" s="1166">
        <f t="shared" si="3"/>
        <v>0</v>
      </c>
    </row>
    <row r="181" spans="2:12" ht="13.8">
      <c r="B181" s="1206"/>
      <c r="C181" s="1204"/>
      <c r="D181" s="1216"/>
      <c r="E181" s="1162"/>
      <c r="F181" s="1223"/>
      <c r="G181" s="1223"/>
      <c r="H181" s="1245"/>
      <c r="I181" s="1100"/>
      <c r="K181" s="1165"/>
      <c r="L181" s="1166">
        <f t="shared" si="3"/>
        <v>0</v>
      </c>
    </row>
    <row r="182" spans="2:12" ht="13.8">
      <c r="B182" s="1206"/>
      <c r="C182" s="1215"/>
      <c r="D182" s="1216"/>
      <c r="E182" s="1217"/>
      <c r="F182" s="1218"/>
      <c r="G182" s="1243"/>
      <c r="H182" s="1243"/>
      <c r="I182" s="1100"/>
      <c r="K182" s="1165"/>
      <c r="L182" s="1166">
        <f t="shared" si="3"/>
        <v>0</v>
      </c>
    </row>
    <row r="183" spans="2:12" ht="13.8">
      <c r="B183" s="1206"/>
      <c r="C183" s="1215"/>
      <c r="D183" s="1216"/>
      <c r="E183" s="1217"/>
      <c r="F183" s="1218"/>
      <c r="G183" s="1218"/>
      <c r="H183" s="1217"/>
      <c r="I183" s="1210"/>
      <c r="K183" s="1165"/>
      <c r="L183" s="1166">
        <f t="shared" si="3"/>
        <v>0</v>
      </c>
    </row>
    <row r="184" spans="2:12" ht="13.8">
      <c r="B184" s="1206"/>
      <c r="C184" s="1215"/>
      <c r="D184" s="1216"/>
      <c r="E184" s="1217"/>
      <c r="F184" s="1218"/>
      <c r="G184" s="1218"/>
      <c r="H184" s="1217"/>
      <c r="I184" s="1100"/>
      <c r="K184" s="1165"/>
      <c r="L184" s="1166">
        <f t="shared" si="3"/>
        <v>0</v>
      </c>
    </row>
    <row r="185" spans="2:12" ht="13.8">
      <c r="B185" s="1206"/>
      <c r="C185" s="1215"/>
      <c r="D185" s="1216"/>
      <c r="E185" s="1217"/>
      <c r="F185" s="1218"/>
      <c r="G185" s="1218"/>
      <c r="H185" s="1217"/>
      <c r="I185" s="1100"/>
      <c r="K185" s="1165"/>
      <c r="L185" s="1166">
        <f t="shared" si="3"/>
        <v>0</v>
      </c>
    </row>
    <row r="186" spans="2:12" ht="13.8">
      <c r="B186" s="1206"/>
      <c r="C186" s="1215"/>
      <c r="D186" s="1216"/>
      <c r="E186" s="1217"/>
      <c r="F186" s="1218"/>
      <c r="G186" s="1218"/>
      <c r="H186" s="1217"/>
      <c r="I186" s="1100"/>
      <c r="K186" s="1165"/>
      <c r="L186" s="1166">
        <f t="shared" si="3"/>
        <v>0</v>
      </c>
    </row>
    <row r="187" spans="2:12" ht="13.8">
      <c r="B187" s="1206"/>
      <c r="C187" s="1215"/>
      <c r="D187" s="1216"/>
      <c r="E187" s="1217"/>
      <c r="F187" s="1218"/>
      <c r="G187" s="1218"/>
      <c r="H187" s="1217"/>
      <c r="I187" s="1100"/>
      <c r="K187" s="1165"/>
      <c r="L187" s="1166">
        <f t="shared" si="3"/>
        <v>0</v>
      </c>
    </row>
    <row r="188" spans="2:12" ht="13.8">
      <c r="B188" s="1206"/>
      <c r="C188" s="1215"/>
      <c r="D188" s="1216"/>
      <c r="E188" s="1217"/>
      <c r="F188" s="1218"/>
      <c r="G188" s="1218"/>
      <c r="H188" s="1217"/>
      <c r="I188" s="1100"/>
      <c r="K188" s="1165"/>
      <c r="L188" s="1166">
        <f t="shared" si="3"/>
        <v>0</v>
      </c>
    </row>
    <row r="189" spans="2:12" ht="13.8">
      <c r="B189" s="1206"/>
      <c r="C189" s="1215"/>
      <c r="D189" s="1216"/>
      <c r="E189" s="1217"/>
      <c r="F189" s="1218"/>
      <c r="G189" s="1218"/>
      <c r="H189" s="1217"/>
      <c r="I189" s="1100"/>
      <c r="K189" s="1165"/>
      <c r="L189" s="1166">
        <f t="shared" si="3"/>
        <v>0</v>
      </c>
    </row>
    <row r="190" spans="2:12" ht="13.8">
      <c r="B190" s="1206"/>
      <c r="C190" s="1215"/>
      <c r="D190" s="1216"/>
      <c r="E190" s="1217"/>
      <c r="F190" s="1218"/>
      <c r="G190" s="1218"/>
      <c r="H190" s="1217"/>
      <c r="I190" s="1100"/>
      <c r="K190" s="1165"/>
      <c r="L190" s="1166">
        <f t="shared" si="3"/>
        <v>0</v>
      </c>
    </row>
    <row r="191" spans="2:12" ht="13.8">
      <c r="B191" s="1206"/>
      <c r="C191" s="1215"/>
      <c r="D191" s="1216"/>
      <c r="E191" s="1217"/>
      <c r="F191" s="1218"/>
      <c r="G191" s="1218"/>
      <c r="H191" s="1217"/>
      <c r="I191" s="1100"/>
      <c r="K191" s="1165"/>
      <c r="L191" s="1166">
        <f t="shared" si="3"/>
        <v>0</v>
      </c>
    </row>
    <row r="192" spans="2:12" ht="13.8">
      <c r="B192" s="1206"/>
      <c r="C192" s="1215"/>
      <c r="D192" s="1216"/>
      <c r="E192" s="1217"/>
      <c r="F192" s="1218"/>
      <c r="G192" s="1218"/>
      <c r="H192" s="1217"/>
      <c r="I192" s="1100"/>
      <c r="K192" s="1165"/>
      <c r="L192" s="1166">
        <f t="shared" si="3"/>
        <v>0</v>
      </c>
    </row>
    <row r="193" spans="2:12" ht="13.8">
      <c r="B193" s="1206"/>
      <c r="C193" s="1215"/>
      <c r="D193" s="1216"/>
      <c r="E193" s="1217"/>
      <c r="F193" s="1218"/>
      <c r="G193" s="1218"/>
      <c r="H193" s="1217"/>
      <c r="I193" s="1100"/>
      <c r="K193" s="1165"/>
      <c r="L193" s="1166">
        <f t="shared" si="3"/>
        <v>0</v>
      </c>
    </row>
    <row r="194" spans="2:12" ht="13.8">
      <c r="B194" s="1206"/>
      <c r="C194" s="1215"/>
      <c r="D194" s="1216"/>
      <c r="E194" s="1217"/>
      <c r="F194" s="1218"/>
      <c r="G194" s="1218"/>
      <c r="H194" s="1217"/>
      <c r="I194" s="1100"/>
      <c r="K194" s="1165"/>
      <c r="L194" s="1166">
        <f t="shared" ref="L194:L199" si="4">SUMIF($H$5:$H$259,K194,$G$5:$G$259)</f>
        <v>0</v>
      </c>
    </row>
    <row r="195" spans="2:12" ht="13.8">
      <c r="B195" s="1206"/>
      <c r="C195" s="1215"/>
      <c r="D195" s="1216"/>
      <c r="E195" s="1217"/>
      <c r="F195" s="1218"/>
      <c r="G195" s="1218"/>
      <c r="H195" s="1217"/>
      <c r="I195" s="1100"/>
      <c r="K195" s="1165"/>
      <c r="L195" s="1166">
        <f t="shared" si="4"/>
        <v>0</v>
      </c>
    </row>
    <row r="196" spans="2:12" ht="13.8">
      <c r="B196" s="1206"/>
      <c r="C196" s="1215"/>
      <c r="D196" s="1216"/>
      <c r="E196" s="1217"/>
      <c r="F196" s="1218"/>
      <c r="G196" s="1218"/>
      <c r="H196" s="1217"/>
      <c r="I196" s="1100"/>
      <c r="K196" s="1165"/>
      <c r="L196" s="1166">
        <f t="shared" si="4"/>
        <v>0</v>
      </c>
    </row>
    <row r="197" spans="2:12" ht="13.8">
      <c r="B197" s="1206"/>
      <c r="C197" s="1215"/>
      <c r="D197" s="1216"/>
      <c r="E197" s="1217"/>
      <c r="F197" s="1218"/>
      <c r="G197" s="1218"/>
      <c r="H197" s="1217"/>
      <c r="I197" s="1100"/>
      <c r="K197" s="1165"/>
      <c r="L197" s="1166">
        <f t="shared" si="4"/>
        <v>0</v>
      </c>
    </row>
    <row r="198" spans="2:12" ht="13.8">
      <c r="B198" s="1206"/>
      <c r="C198" s="1215"/>
      <c r="D198" s="1216"/>
      <c r="E198" s="1217"/>
      <c r="F198" s="1218"/>
      <c r="G198" s="1218"/>
      <c r="H198" s="1217"/>
      <c r="I198" s="1100"/>
      <c r="K198" s="1165"/>
      <c r="L198" s="1166">
        <f t="shared" si="4"/>
        <v>0</v>
      </c>
    </row>
    <row r="199" spans="2:12" ht="13.8">
      <c r="B199" s="1206"/>
      <c r="C199" s="1215"/>
      <c r="D199" s="1216"/>
      <c r="E199" s="1217"/>
      <c r="F199" s="1218"/>
      <c r="G199" s="1218"/>
      <c r="H199" s="1217"/>
      <c r="I199" s="1100"/>
      <c r="K199" s="1165"/>
      <c r="L199" s="1166">
        <f t="shared" si="4"/>
        <v>0</v>
      </c>
    </row>
    <row r="200" spans="2:12" ht="13.8">
      <c r="B200" s="1206"/>
      <c r="C200" s="1215"/>
      <c r="D200" s="1216"/>
      <c r="E200" s="1217"/>
      <c r="F200" s="1218"/>
      <c r="G200" s="1218"/>
      <c r="H200" s="1217"/>
      <c r="I200" s="1100"/>
      <c r="K200" s="1165"/>
      <c r="L200" s="1166">
        <f t="shared" si="3"/>
        <v>0</v>
      </c>
    </row>
    <row r="201" spans="2:12" ht="13.8">
      <c r="B201" s="1206"/>
      <c r="C201" s="1215"/>
      <c r="D201" s="1216"/>
      <c r="E201" s="1217"/>
      <c r="F201" s="1218"/>
      <c r="G201" s="1218"/>
      <c r="H201" s="1217"/>
      <c r="I201" s="1100"/>
      <c r="K201" s="1165"/>
      <c r="L201" s="1166">
        <f t="shared" si="3"/>
        <v>0</v>
      </c>
    </row>
    <row r="202" spans="2:12" ht="13.8">
      <c r="B202" s="1206"/>
      <c r="C202" s="1215"/>
      <c r="D202" s="1216"/>
      <c r="E202" s="1217"/>
      <c r="F202" s="1218"/>
      <c r="G202" s="1218"/>
      <c r="H202" s="1217"/>
      <c r="I202" s="1100"/>
      <c r="K202" s="1165"/>
      <c r="L202" s="1166">
        <f t="shared" si="3"/>
        <v>0</v>
      </c>
    </row>
    <row r="203" spans="2:12" ht="13.8">
      <c r="B203" s="1206"/>
      <c r="D203" s="1216"/>
      <c r="E203" s="1217"/>
      <c r="F203" s="1218"/>
      <c r="G203" s="1218"/>
      <c r="H203" s="1217"/>
      <c r="I203" s="1100"/>
      <c r="K203" s="1165"/>
      <c r="L203" s="1166">
        <f t="shared" si="3"/>
        <v>0</v>
      </c>
    </row>
    <row r="204" spans="2:12" ht="13.8">
      <c r="B204" s="1206"/>
      <c r="C204" s="1215"/>
      <c r="D204" s="1216"/>
      <c r="E204" s="1217"/>
      <c r="F204" s="1218"/>
      <c r="G204" s="1218"/>
      <c r="H204" s="1217"/>
      <c r="I204" s="1100"/>
      <c r="K204" s="1165"/>
      <c r="L204" s="1166">
        <f t="shared" si="3"/>
        <v>0</v>
      </c>
    </row>
    <row r="205" spans="2:12" ht="13.8">
      <c r="B205" s="1206"/>
      <c r="C205" s="1215"/>
      <c r="D205" s="1216"/>
      <c r="E205" s="1217"/>
      <c r="F205" s="1218"/>
      <c r="G205" s="1218"/>
      <c r="H205" s="1217"/>
      <c r="I205" s="1100"/>
      <c r="K205" s="1165"/>
      <c r="L205" s="1166">
        <f t="shared" si="3"/>
        <v>0</v>
      </c>
    </row>
    <row r="206" spans="2:12" ht="13.8">
      <c r="B206" s="1206"/>
      <c r="C206" s="1204"/>
      <c r="D206" s="965"/>
      <c r="E206" s="1207"/>
      <c r="F206" s="1182"/>
      <c r="G206" s="965"/>
      <c r="H206" s="1162"/>
      <c r="I206" s="1100"/>
      <c r="K206" s="1165"/>
      <c r="L206" s="1166">
        <f t="shared" si="3"/>
        <v>0</v>
      </c>
    </row>
    <row r="207" spans="2:12" ht="13.8">
      <c r="B207" s="1206"/>
      <c r="C207" s="1204"/>
      <c r="D207" s="965"/>
      <c r="E207" s="1162"/>
      <c r="F207" s="1182"/>
      <c r="G207" s="1182"/>
      <c r="H207" s="1162"/>
      <c r="I207" s="1100"/>
      <c r="K207" s="1165"/>
      <c r="L207" s="1166">
        <f t="shared" si="3"/>
        <v>0</v>
      </c>
    </row>
    <row r="208" spans="2:12" ht="13.8">
      <c r="B208" s="1206"/>
      <c r="C208" s="1204"/>
      <c r="D208" s="965"/>
      <c r="E208" s="1162"/>
      <c r="F208" s="1182"/>
      <c r="G208" s="1182"/>
      <c r="H208" s="1162"/>
      <c r="I208" s="1100"/>
      <c r="K208" s="1165"/>
      <c r="L208" s="1166">
        <f t="shared" si="3"/>
        <v>0</v>
      </c>
    </row>
    <row r="209" spans="2:12" ht="14.4" thickBot="1">
      <c r="B209" s="1183"/>
      <c r="C209" s="1209"/>
      <c r="D209" s="1184"/>
      <c r="E209" s="1185"/>
      <c r="F209" s="1186"/>
      <c r="G209" s="1186"/>
      <c r="H209" s="1187"/>
      <c r="I209" s="1100"/>
      <c r="K209" s="1165"/>
      <c r="L209" s="1166">
        <f t="shared" si="3"/>
        <v>0</v>
      </c>
    </row>
    <row r="210" spans="2:12" ht="14.4" thickBot="1">
      <c r="B210" s="1401" t="s">
        <v>1</v>
      </c>
      <c r="C210" s="1402"/>
      <c r="D210" s="1402"/>
      <c r="E210" s="1402"/>
      <c r="F210" s="1402"/>
      <c r="G210" s="1402"/>
      <c r="H210" s="1188">
        <f>SUM(G5:G205)</f>
        <v>0</v>
      </c>
      <c r="I210" s="1100"/>
      <c r="K210" s="1165"/>
      <c r="L210" s="1166">
        <f t="shared" si="3"/>
        <v>0</v>
      </c>
    </row>
    <row r="211" spans="2:12">
      <c r="I211" s="1100"/>
      <c r="K211" s="1165"/>
      <c r="L211" s="1166">
        <f t="shared" si="3"/>
        <v>0</v>
      </c>
    </row>
    <row r="212" spans="2:12">
      <c r="I212" s="1100"/>
      <c r="K212" s="1165"/>
      <c r="L212" s="1166">
        <f t="shared" si="3"/>
        <v>0</v>
      </c>
    </row>
    <row r="213" spans="2:12">
      <c r="I213" s="1100"/>
      <c r="K213" s="1165"/>
      <c r="L213" s="1166">
        <f t="shared" si="3"/>
        <v>0</v>
      </c>
    </row>
    <row r="214" spans="2:12">
      <c r="I214" s="1100"/>
      <c r="K214" s="1165"/>
      <c r="L214" s="1166">
        <f t="shared" si="3"/>
        <v>0</v>
      </c>
    </row>
    <row r="215" spans="2:12">
      <c r="I215" s="1100"/>
      <c r="K215" s="1165"/>
      <c r="L215" s="1166">
        <f t="shared" si="3"/>
        <v>0</v>
      </c>
    </row>
    <row r="216" spans="2:12">
      <c r="I216" s="1100"/>
      <c r="K216" s="1165"/>
      <c r="L216" s="1166">
        <f t="shared" si="3"/>
        <v>0</v>
      </c>
    </row>
    <row r="217" spans="2:12">
      <c r="I217" s="1035"/>
      <c r="K217" s="1165"/>
      <c r="L217" s="1166">
        <f t="shared" si="3"/>
        <v>0</v>
      </c>
    </row>
    <row r="218" spans="2:12">
      <c r="I218" s="1035"/>
      <c r="K218" s="1165"/>
      <c r="L218" s="1166">
        <f t="shared" si="3"/>
        <v>0</v>
      </c>
    </row>
    <row r="219" spans="2:12" ht="13.8" thickBot="1">
      <c r="I219" s="1035"/>
      <c r="K219" s="1165"/>
      <c r="L219" s="1166">
        <f t="shared" si="3"/>
        <v>0</v>
      </c>
    </row>
    <row r="220" spans="2:12" ht="27.6" customHeight="1" thickBot="1">
      <c r="K220" s="1189" t="s">
        <v>1</v>
      </c>
      <c r="L220" s="1190">
        <f>SUM(L5:L217)</f>
        <v>0</v>
      </c>
    </row>
  </sheetData>
  <autoFilter ref="B4:H207" xr:uid="{2F08ED30-A3E0-45CA-999D-D76346902686}"/>
  <mergeCells count="3">
    <mergeCell ref="B2:H3"/>
    <mergeCell ref="K2:L3"/>
    <mergeCell ref="B210:G21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FC6FF"/>
  </sheetPr>
  <dimension ref="A2:Y88"/>
  <sheetViews>
    <sheetView showGridLines="0" topLeftCell="C64" zoomScaleNormal="100" workbookViewId="0">
      <selection activeCell="L80" sqref="L80"/>
    </sheetView>
  </sheetViews>
  <sheetFormatPr defaultColWidth="9.109375" defaultRowHeight="13.2"/>
  <cols>
    <col min="1" max="2" width="9.109375" style="467" hidden="1" customWidth="1"/>
    <col min="3" max="3" width="3.5546875" style="467" customWidth="1"/>
    <col min="4" max="4" width="5.44140625" style="452" customWidth="1"/>
    <col min="5" max="5" width="7.44140625" style="9" customWidth="1"/>
    <col min="6" max="6" width="5" style="9" customWidth="1"/>
    <col min="7" max="7" width="40.88671875" style="9" customWidth="1"/>
    <col min="8" max="11" width="13.44140625" style="9" customWidth="1"/>
    <col min="12" max="12" width="16" style="9" customWidth="1"/>
    <col min="13" max="13" width="12.5546875" style="9" customWidth="1"/>
    <col min="14" max="14" width="16.88671875" style="9" bestFit="1" customWidth="1"/>
    <col min="15" max="16384" width="9.109375" style="9"/>
  </cols>
  <sheetData>
    <row r="2" spans="1:25" s="436" customFormat="1" ht="15.75" customHeight="1">
      <c r="A2" s="458"/>
      <c r="B2" s="458"/>
      <c r="C2" s="458"/>
      <c r="D2" s="1407"/>
      <c r="E2" s="1408"/>
      <c r="F2" s="588"/>
      <c r="G2" s="1413" t="s">
        <v>1391</v>
      </c>
      <c r="H2" s="1413"/>
      <c r="I2" s="1413"/>
      <c r="J2" s="1414"/>
      <c r="K2" s="592" t="s">
        <v>532</v>
      </c>
      <c r="L2" s="593">
        <f>materiais</f>
        <v>3265572.6826517121</v>
      </c>
      <c r="M2" s="437"/>
      <c r="N2" s="437"/>
      <c r="O2" s="437"/>
      <c r="P2" s="437"/>
      <c r="Q2" s="437"/>
      <c r="R2" s="437"/>
      <c r="S2" s="437"/>
      <c r="T2" s="437"/>
      <c r="U2" s="437"/>
      <c r="V2" s="437"/>
      <c r="X2" s="9"/>
      <c r="Y2" s="9"/>
    </row>
    <row r="3" spans="1:25" s="438" customFormat="1" ht="15.75" customHeight="1">
      <c r="A3" s="461"/>
      <c r="B3" s="461"/>
      <c r="C3" s="461"/>
      <c r="D3" s="1409"/>
      <c r="E3" s="1410"/>
      <c r="F3" s="5"/>
      <c r="G3" s="1415" t="str">
        <f>BDI!F3</f>
        <v>FC ENGENHARIA E CONSULTORIA LTDA</v>
      </c>
      <c r="H3" s="1415"/>
      <c r="I3" s="1415"/>
      <c r="J3" s="1416"/>
      <c r="K3" s="156" t="s">
        <v>533</v>
      </c>
      <c r="L3" s="157">
        <f ca="1">mdo+hora_extra_mdo_direta+transf_diss_ocio_mdo_direta</f>
        <v>2433374.5713017401</v>
      </c>
      <c r="M3" s="5"/>
      <c r="N3" s="5"/>
      <c r="O3" s="5"/>
      <c r="P3" s="5"/>
      <c r="Q3" s="5"/>
      <c r="R3" s="5"/>
      <c r="S3" s="5"/>
      <c r="T3" s="5"/>
      <c r="U3" s="5"/>
      <c r="V3" s="5"/>
      <c r="X3" s="9"/>
      <c r="Y3" s="9"/>
    </row>
    <row r="4" spans="1:25" s="438" customFormat="1" ht="15.75" customHeight="1">
      <c r="A4" s="461"/>
      <c r="B4" s="461"/>
      <c r="C4" s="461"/>
      <c r="D4" s="1411"/>
      <c r="E4" s="1412"/>
      <c r="F4" s="439"/>
      <c r="G4" s="1417" t="str">
        <f>BDI!F4</f>
        <v>julho/19 - Com desoneração da Folha de Pagamento</v>
      </c>
      <c r="H4" s="1417"/>
      <c r="I4" s="1417"/>
      <c r="J4" s="1418"/>
      <c r="K4" s="158" t="s">
        <v>534</v>
      </c>
      <c r="L4" s="594">
        <f ca="1">SUM(L2:L3)</f>
        <v>5698947.2539534522</v>
      </c>
      <c r="M4" s="5"/>
      <c r="N4" s="5"/>
      <c r="O4" s="5"/>
      <c r="P4" s="5"/>
      <c r="Q4" s="5"/>
      <c r="R4" s="5"/>
      <c r="S4" s="5"/>
      <c r="T4" s="5"/>
      <c r="U4" s="5"/>
      <c r="V4" s="5"/>
      <c r="X4" s="9"/>
      <c r="Y4" s="9"/>
    </row>
    <row r="5" spans="1:25">
      <c r="D5" s="440"/>
      <c r="E5" s="441"/>
      <c r="F5" s="441"/>
      <c r="G5" s="441"/>
      <c r="H5" s="441"/>
      <c r="M5" s="441"/>
    </row>
    <row r="6" spans="1:25" ht="15" customHeight="1">
      <c r="D6" s="160" t="s">
        <v>865</v>
      </c>
      <c r="E6" s="608" t="str">
        <f ca="1">"   "&amp;nome_da_obra</f>
        <v xml:space="preserve">   BDI_747.xlsx</v>
      </c>
      <c r="F6" s="73"/>
      <c r="G6" s="73"/>
      <c r="H6" s="73"/>
      <c r="I6" s="73"/>
      <c r="J6" s="73"/>
      <c r="K6" s="66" t="s">
        <v>132</v>
      </c>
      <c r="L6" s="77">
        <f ca="1">data_base_da_obra</f>
        <v>46093</v>
      </c>
      <c r="M6" s="441"/>
    </row>
    <row r="7" spans="1:25" ht="15.75" customHeight="1">
      <c r="D7" s="440"/>
      <c r="E7" s="441"/>
      <c r="F7" s="441"/>
      <c r="G7" s="442"/>
      <c r="H7" s="442"/>
      <c r="I7" s="442"/>
      <c r="J7" s="443"/>
      <c r="K7" s="443"/>
      <c r="L7" s="443"/>
      <c r="M7" s="441"/>
    </row>
    <row r="8" spans="1:25" s="444" customFormat="1" ht="15.75" customHeight="1">
      <c r="A8" s="28">
        <f>D8</f>
        <v>1</v>
      </c>
      <c r="B8" s="29">
        <f>D8</f>
        <v>1</v>
      </c>
      <c r="C8" s="29"/>
      <c r="D8" s="645">
        <v>1</v>
      </c>
      <c r="E8" s="646"/>
      <c r="F8" s="647" t="s">
        <v>852</v>
      </c>
      <c r="G8" s="647"/>
      <c r="H8" s="648" t="s">
        <v>122</v>
      </c>
      <c r="I8" s="648" t="s">
        <v>123</v>
      </c>
      <c r="J8" s="648" t="s">
        <v>853</v>
      </c>
      <c r="K8" s="649" t="s">
        <v>854</v>
      </c>
      <c r="L8" s="650" t="s">
        <v>855</v>
      </c>
      <c r="M8" s="445"/>
      <c r="X8" s="9"/>
      <c r="Y8" s="9"/>
    </row>
    <row r="9" spans="1:25" ht="15.75" customHeight="1">
      <c r="A9" s="28">
        <f t="shared" ref="A9:A76" ca="1" si="0">IF(OFFSET(A9,-1,0)="",OFFSET(A9,-2,0),OFFSET(A9,-1,0))</f>
        <v>1</v>
      </c>
      <c r="B9" s="28" t="str">
        <f ca="1">IF(OFFSET(B9,-1,0)&gt;="01",CONCATENATE(,OFFSET(B9,-1,0)+1),CONCATENATE((SUM(OFFSET(B9,-1,0)+1-(OFFSET(B9,-1,0))))))</f>
        <v>1</v>
      </c>
      <c r="C9" s="28"/>
      <c r="D9" s="747"/>
      <c r="E9" s="748" t="str">
        <f ca="1">IF(B9="1",CONCATENATE(A9,".0",B9),IF(B9="2",CONCATENATE(A9,".0",B9),IF(B9="3",CONCATENATE(A9,".0",B9),IF(B9="4",CONCATENATE(A9,".0",B9),IF(B9="5",CONCATENATE(A9,".0",B9),IF(B9="6",CONCATENATE(A9,".0",B9),IF(B9="7",CONCATENATE(A9,".0",B9),IF(B9="8",CONCATENATE(A9,".0",B9),IF(B9="9",CONCATENATE(A9,".0",B9),CONCATENATE(A9,".",B9))))))))))</f>
        <v>1.01</v>
      </c>
      <c r="F9" s="749" t="s">
        <v>1392</v>
      </c>
      <c r="G9" s="749"/>
      <c r="H9" s="595"/>
      <c r="I9" s="750">
        <f>meses_obra</f>
        <v>8</v>
      </c>
      <c r="J9" s="598">
        <v>0</v>
      </c>
      <c r="K9" s="599">
        <v>0</v>
      </c>
      <c r="L9" s="751">
        <f t="shared" ref="L9:L34" si="1">((H9*J9)+H9+K9)*I9</f>
        <v>0</v>
      </c>
      <c r="M9" s="441"/>
    </row>
    <row r="10" spans="1:25" ht="15.75" customHeight="1">
      <c r="A10" s="28">
        <f t="shared" ca="1" si="0"/>
        <v>1</v>
      </c>
      <c r="B10" s="28" t="str">
        <f t="shared" ref="B10:B45" ca="1" si="2">IF(OFFSET(B10,-1,0)&gt;="01",CONCATENATE(,OFFSET(B10,-1,0)+1),CONCATENATE((SUM(OFFSET(B10,-1,0)+1-(OFFSET(B10,-1,0))))))</f>
        <v>2</v>
      </c>
      <c r="C10" s="28"/>
      <c r="D10" s="752"/>
      <c r="E10" s="753" t="str">
        <f t="shared" ref="E10:E45" ca="1" si="3">IF(B10="1",CONCATENATE(A10,".0",B10),IF(B10="2",CONCATENATE(A10,".0",B10),IF(B10="3",CONCATENATE(A10,".0",B10),IF(B10="4",CONCATENATE(A10,".0",B10),IF(B10="5",CONCATENATE(A10,".0",B10),IF(B10="6",CONCATENATE(A10,".0",B10),IF(B10="7",CONCATENATE(A10,".0",B10),IF(B10="8",CONCATENATE(A10,".0",B10),IF(B10="9",CONCATENATE(A10,".0",B10),CONCATENATE(A10,".",B10))))))))))</f>
        <v>1.02</v>
      </c>
      <c r="F10" s="754" t="s">
        <v>1393</v>
      </c>
      <c r="G10" s="754"/>
      <c r="H10" s="596"/>
      <c r="I10" s="755">
        <f>I$9</f>
        <v>8</v>
      </c>
      <c r="J10" s="600">
        <v>0</v>
      </c>
      <c r="K10" s="597">
        <v>0</v>
      </c>
      <c r="L10" s="756">
        <f t="shared" si="1"/>
        <v>0</v>
      </c>
      <c r="M10" s="441"/>
    </row>
    <row r="11" spans="1:25" ht="15.75" customHeight="1">
      <c r="A11" s="28">
        <f t="shared" ca="1" si="0"/>
        <v>1</v>
      </c>
      <c r="B11" s="28" t="str">
        <f t="shared" ca="1" si="2"/>
        <v>3</v>
      </c>
      <c r="C11" s="28"/>
      <c r="D11" s="752"/>
      <c r="E11" s="753" t="str">
        <f t="shared" ca="1" si="3"/>
        <v>1.03</v>
      </c>
      <c r="F11" s="754" t="s">
        <v>1394</v>
      </c>
      <c r="G11" s="754"/>
      <c r="H11" s="596"/>
      <c r="I11" s="755">
        <f t="shared" ref="I11:I36" si="4">I$9</f>
        <v>8</v>
      </c>
      <c r="J11" s="600">
        <v>0.97299999999999998</v>
      </c>
      <c r="K11" s="597">
        <v>0</v>
      </c>
      <c r="L11" s="756">
        <f t="shared" si="1"/>
        <v>0</v>
      </c>
      <c r="M11" s="441"/>
    </row>
    <row r="12" spans="1:25" ht="15.75" customHeight="1">
      <c r="A12" s="28">
        <f t="shared" ca="1" si="0"/>
        <v>1</v>
      </c>
      <c r="B12" s="28" t="str">
        <f t="shared" ca="1" si="2"/>
        <v>4</v>
      </c>
      <c r="C12" s="28"/>
      <c r="D12" s="752"/>
      <c r="E12" s="753" t="str">
        <f t="shared" ca="1" si="3"/>
        <v>1.04</v>
      </c>
      <c r="F12" s="754" t="s">
        <v>1395</v>
      </c>
      <c r="G12" s="754"/>
      <c r="H12" s="596"/>
      <c r="I12" s="755">
        <f t="shared" si="4"/>
        <v>8</v>
      </c>
      <c r="J12" s="600">
        <v>0</v>
      </c>
      <c r="K12" s="597">
        <v>0</v>
      </c>
      <c r="L12" s="756">
        <f t="shared" si="1"/>
        <v>0</v>
      </c>
      <c r="M12" s="441"/>
    </row>
    <row r="13" spans="1:25" ht="15.75" customHeight="1">
      <c r="A13" s="28">
        <f t="shared" ca="1" si="0"/>
        <v>1</v>
      </c>
      <c r="B13" s="28" t="str">
        <f t="shared" ca="1" si="2"/>
        <v>5</v>
      </c>
      <c r="C13" s="28"/>
      <c r="D13" s="752"/>
      <c r="E13" s="753" t="str">
        <f t="shared" ca="1" si="3"/>
        <v>1.05</v>
      </c>
      <c r="F13" s="754" t="s">
        <v>1396</v>
      </c>
      <c r="G13" s="754"/>
      <c r="H13" s="596"/>
      <c r="I13" s="755">
        <f t="shared" si="4"/>
        <v>8</v>
      </c>
      <c r="J13" s="600">
        <v>0</v>
      </c>
      <c r="K13" s="597">
        <v>0</v>
      </c>
      <c r="L13" s="756">
        <f t="shared" si="1"/>
        <v>0</v>
      </c>
      <c r="M13" s="441"/>
    </row>
    <row r="14" spans="1:25" ht="15.75" customHeight="1">
      <c r="A14" s="28">
        <f t="shared" ca="1" si="0"/>
        <v>1</v>
      </c>
      <c r="B14" s="28" t="str">
        <f t="shared" ca="1" si="2"/>
        <v>6</v>
      </c>
      <c r="C14" s="28"/>
      <c r="D14" s="752"/>
      <c r="E14" s="753" t="str">
        <f t="shared" ca="1" si="3"/>
        <v>1.06</v>
      </c>
      <c r="F14" s="754" t="s">
        <v>1397</v>
      </c>
      <c r="G14" s="754"/>
      <c r="H14" s="596"/>
      <c r="I14" s="755">
        <f t="shared" si="4"/>
        <v>8</v>
      </c>
      <c r="J14" s="600">
        <v>0.97299999999999998</v>
      </c>
      <c r="K14" s="597">
        <v>0</v>
      </c>
      <c r="L14" s="756">
        <f t="shared" si="1"/>
        <v>0</v>
      </c>
      <c r="M14" s="441"/>
    </row>
    <row r="15" spans="1:25" ht="15.75" customHeight="1">
      <c r="A15" s="28">
        <f t="shared" ca="1" si="0"/>
        <v>1</v>
      </c>
      <c r="B15" s="28" t="str">
        <f t="shared" ca="1" si="2"/>
        <v>7</v>
      </c>
      <c r="C15" s="28"/>
      <c r="D15" s="752"/>
      <c r="E15" s="753" t="str">
        <f t="shared" ca="1" si="3"/>
        <v>1.07</v>
      </c>
      <c r="F15" s="754" t="s">
        <v>1398</v>
      </c>
      <c r="G15" s="754"/>
      <c r="H15" s="596"/>
      <c r="I15" s="755">
        <f t="shared" si="4"/>
        <v>8</v>
      </c>
      <c r="J15" s="600">
        <v>0</v>
      </c>
      <c r="K15" s="597">
        <v>0</v>
      </c>
      <c r="L15" s="756">
        <f t="shared" si="1"/>
        <v>0</v>
      </c>
      <c r="M15" s="441"/>
    </row>
    <row r="16" spans="1:25" ht="15.75" customHeight="1">
      <c r="A16" s="28">
        <f t="shared" ca="1" si="0"/>
        <v>1</v>
      </c>
      <c r="B16" s="28" t="str">
        <f t="shared" ca="1" si="2"/>
        <v>8</v>
      </c>
      <c r="C16" s="28"/>
      <c r="D16" s="752"/>
      <c r="E16" s="753" t="str">
        <f t="shared" ca="1" si="3"/>
        <v>1.08</v>
      </c>
      <c r="F16" s="754" t="s">
        <v>1399</v>
      </c>
      <c r="G16" s="754"/>
      <c r="H16" s="596"/>
      <c r="I16" s="755">
        <f t="shared" si="4"/>
        <v>8</v>
      </c>
      <c r="J16" s="600">
        <v>0</v>
      </c>
      <c r="K16" s="597">
        <v>0</v>
      </c>
      <c r="L16" s="756">
        <f t="shared" si="1"/>
        <v>0</v>
      </c>
      <c r="M16" s="441"/>
    </row>
    <row r="17" spans="1:13" ht="15.75" customHeight="1">
      <c r="A17" s="28">
        <f t="shared" ca="1" si="0"/>
        <v>1</v>
      </c>
      <c r="B17" s="28" t="str">
        <f t="shared" ca="1" si="2"/>
        <v>9</v>
      </c>
      <c r="C17" s="28"/>
      <c r="D17" s="752"/>
      <c r="E17" s="753" t="str">
        <f t="shared" ca="1" si="3"/>
        <v>1.09</v>
      </c>
      <c r="F17" s="754" t="s">
        <v>1400</v>
      </c>
      <c r="G17" s="754"/>
      <c r="H17" s="596"/>
      <c r="I17" s="755">
        <f t="shared" si="4"/>
        <v>8</v>
      </c>
      <c r="J17" s="600">
        <v>0</v>
      </c>
      <c r="K17" s="597">
        <v>0</v>
      </c>
      <c r="L17" s="756">
        <f t="shared" si="1"/>
        <v>0</v>
      </c>
      <c r="M17" s="441"/>
    </row>
    <row r="18" spans="1:13" ht="15.75" customHeight="1">
      <c r="A18" s="28">
        <f t="shared" ca="1" si="0"/>
        <v>1</v>
      </c>
      <c r="B18" s="28" t="str">
        <f t="shared" ca="1" si="2"/>
        <v>10</v>
      </c>
      <c r="C18" s="28"/>
      <c r="D18" s="752"/>
      <c r="E18" s="753" t="str">
        <f t="shared" ca="1" si="3"/>
        <v>1.10</v>
      </c>
      <c r="F18" s="754" t="s">
        <v>1401</v>
      </c>
      <c r="G18" s="754"/>
      <c r="H18" s="596"/>
      <c r="I18" s="755">
        <f t="shared" si="4"/>
        <v>8</v>
      </c>
      <c r="J18" s="600">
        <v>0</v>
      </c>
      <c r="K18" s="597">
        <v>0</v>
      </c>
      <c r="L18" s="756">
        <f t="shared" si="1"/>
        <v>0</v>
      </c>
      <c r="M18" s="441"/>
    </row>
    <row r="19" spans="1:13" ht="15.75" customHeight="1">
      <c r="A19" s="28">
        <f t="shared" ca="1" si="0"/>
        <v>1</v>
      </c>
      <c r="B19" s="28" t="str">
        <f t="shared" ca="1" si="2"/>
        <v>11</v>
      </c>
      <c r="C19" s="28"/>
      <c r="D19" s="752"/>
      <c r="E19" s="753" t="str">
        <f t="shared" ref="E19:E26" ca="1" si="5">IF(B19="1",CONCATENATE(A19,".0",B19),IF(B19="2",CONCATENATE(A19,".0",B19),IF(B19="3",CONCATENATE(A19,".0",B19),IF(B19="4",CONCATENATE(A19,".0",B19),IF(B19="5",CONCATENATE(A19,".0",B19),IF(B19="6",CONCATENATE(A19,".0",B19),IF(B19="7",CONCATENATE(A19,".0",B19),IF(B19="8",CONCATENATE(A19,".0",B19),IF(B19="9",CONCATENATE(A19,".0",B19),CONCATENATE(A19,".",B19))))))))))</f>
        <v>1.11</v>
      </c>
      <c r="F19" s="754" t="s">
        <v>1402</v>
      </c>
      <c r="G19" s="754"/>
      <c r="H19" s="596"/>
      <c r="I19" s="755">
        <f t="shared" si="4"/>
        <v>8</v>
      </c>
      <c r="J19" s="600">
        <v>0.97299999999999998</v>
      </c>
      <c r="K19" s="597">
        <v>0</v>
      </c>
      <c r="L19" s="756">
        <f t="shared" ref="L19:L26" si="6">((H19*J19)+H19+K19)*I19</f>
        <v>0</v>
      </c>
      <c r="M19" s="441"/>
    </row>
    <row r="20" spans="1:13" ht="15.75" customHeight="1">
      <c r="A20" s="28">
        <f t="shared" ca="1" si="0"/>
        <v>1</v>
      </c>
      <c r="B20" s="28" t="str">
        <f t="shared" ca="1" si="2"/>
        <v>12</v>
      </c>
      <c r="C20" s="28"/>
      <c r="D20" s="752"/>
      <c r="E20" s="753" t="str">
        <f t="shared" ca="1" si="5"/>
        <v>1.12</v>
      </c>
      <c r="F20" s="754" t="s">
        <v>1403</v>
      </c>
      <c r="G20" s="754"/>
      <c r="H20" s="596"/>
      <c r="I20" s="755">
        <f t="shared" si="4"/>
        <v>8</v>
      </c>
      <c r="J20" s="600">
        <v>0</v>
      </c>
      <c r="K20" s="597">
        <v>0</v>
      </c>
      <c r="L20" s="756">
        <f t="shared" si="6"/>
        <v>0</v>
      </c>
      <c r="M20" s="441"/>
    </row>
    <row r="21" spans="1:13" ht="15.75" customHeight="1">
      <c r="A21" s="28">
        <f t="shared" ca="1" si="0"/>
        <v>1</v>
      </c>
      <c r="B21" s="28" t="str">
        <f t="shared" ca="1" si="2"/>
        <v>13</v>
      </c>
      <c r="C21" s="28"/>
      <c r="D21" s="752"/>
      <c r="E21" s="753" t="str">
        <f t="shared" ca="1" si="5"/>
        <v>1.13</v>
      </c>
      <c r="F21" s="754" t="s">
        <v>1404</v>
      </c>
      <c r="G21" s="754"/>
      <c r="H21" s="596"/>
      <c r="I21" s="755">
        <f t="shared" si="4"/>
        <v>8</v>
      </c>
      <c r="J21" s="600">
        <v>0.97299999999999998</v>
      </c>
      <c r="K21" s="597">
        <v>0</v>
      </c>
      <c r="L21" s="756">
        <f t="shared" si="6"/>
        <v>0</v>
      </c>
      <c r="M21" s="441"/>
    </row>
    <row r="22" spans="1:13" ht="15.75" customHeight="1">
      <c r="A22" s="28">
        <f t="shared" ca="1" si="0"/>
        <v>1</v>
      </c>
      <c r="B22" s="28" t="str">
        <f t="shared" ca="1" si="2"/>
        <v>14</v>
      </c>
      <c r="C22" s="28"/>
      <c r="D22" s="752"/>
      <c r="E22" s="753" t="str">
        <f t="shared" ca="1" si="5"/>
        <v>1.14</v>
      </c>
      <c r="F22" s="754" t="s">
        <v>1405</v>
      </c>
      <c r="G22" s="754"/>
      <c r="H22" s="596"/>
      <c r="I22" s="755">
        <f t="shared" si="4"/>
        <v>8</v>
      </c>
      <c r="J22" s="600">
        <v>0</v>
      </c>
      <c r="K22" s="597">
        <v>0</v>
      </c>
      <c r="L22" s="756">
        <f t="shared" si="6"/>
        <v>0</v>
      </c>
      <c r="M22" s="441"/>
    </row>
    <row r="23" spans="1:13" ht="15.75" customHeight="1">
      <c r="A23" s="28">
        <f t="shared" ca="1" si="0"/>
        <v>1</v>
      </c>
      <c r="B23" s="28" t="str">
        <f t="shared" ca="1" si="2"/>
        <v>15</v>
      </c>
      <c r="C23" s="28"/>
      <c r="D23" s="752"/>
      <c r="E23" s="753" t="str">
        <f t="shared" ca="1" si="5"/>
        <v>1.15</v>
      </c>
      <c r="F23" s="754" t="s">
        <v>1406</v>
      </c>
      <c r="G23" s="754"/>
      <c r="H23" s="596"/>
      <c r="I23" s="755">
        <f t="shared" si="4"/>
        <v>8</v>
      </c>
      <c r="J23" s="600">
        <v>0.97299999999999998</v>
      </c>
      <c r="K23" s="597">
        <v>0</v>
      </c>
      <c r="L23" s="756">
        <f t="shared" si="6"/>
        <v>0</v>
      </c>
      <c r="M23" s="441"/>
    </row>
    <row r="24" spans="1:13" ht="15.75" customHeight="1">
      <c r="A24" s="28">
        <f t="shared" ca="1" si="0"/>
        <v>1</v>
      </c>
      <c r="B24" s="28" t="str">
        <f t="shared" ca="1" si="2"/>
        <v>16</v>
      </c>
      <c r="C24" s="28"/>
      <c r="D24" s="752"/>
      <c r="E24" s="753" t="str">
        <f t="shared" ca="1" si="5"/>
        <v>1.16</v>
      </c>
      <c r="F24" s="754" t="s">
        <v>1407</v>
      </c>
      <c r="G24" s="754"/>
      <c r="H24" s="596"/>
      <c r="I24" s="755">
        <f t="shared" si="4"/>
        <v>8</v>
      </c>
      <c r="J24" s="600">
        <v>0</v>
      </c>
      <c r="K24" s="597">
        <v>0</v>
      </c>
      <c r="L24" s="756">
        <f t="shared" si="6"/>
        <v>0</v>
      </c>
      <c r="M24" s="441"/>
    </row>
    <row r="25" spans="1:13" ht="15.75" customHeight="1">
      <c r="A25" s="28">
        <f t="shared" ca="1" si="0"/>
        <v>1</v>
      </c>
      <c r="B25" s="28" t="str">
        <f t="shared" ca="1" si="2"/>
        <v>17</v>
      </c>
      <c r="C25" s="28"/>
      <c r="D25" s="752"/>
      <c r="E25" s="753" t="str">
        <f t="shared" ca="1" si="5"/>
        <v>1.17</v>
      </c>
      <c r="F25" s="754" t="s">
        <v>1408</v>
      </c>
      <c r="G25" s="754"/>
      <c r="H25" s="596"/>
      <c r="I25" s="755">
        <f t="shared" si="4"/>
        <v>8</v>
      </c>
      <c r="J25" s="600">
        <v>0.97299999999999998</v>
      </c>
      <c r="K25" s="597">
        <v>0</v>
      </c>
      <c r="L25" s="756">
        <f t="shared" si="6"/>
        <v>0</v>
      </c>
      <c r="M25" s="441"/>
    </row>
    <row r="26" spans="1:13" ht="15.75" customHeight="1">
      <c r="A26" s="28">
        <f t="shared" ca="1" si="0"/>
        <v>1</v>
      </c>
      <c r="B26" s="28" t="str">
        <f t="shared" ca="1" si="2"/>
        <v>18</v>
      </c>
      <c r="C26" s="28"/>
      <c r="D26" s="752"/>
      <c r="E26" s="753" t="str">
        <f t="shared" ca="1" si="5"/>
        <v>1.18</v>
      </c>
      <c r="F26" s="754" t="s">
        <v>1409</v>
      </c>
      <c r="G26" s="754"/>
      <c r="H26" s="596"/>
      <c r="I26" s="755">
        <f t="shared" si="4"/>
        <v>8</v>
      </c>
      <c r="J26" s="600">
        <v>0</v>
      </c>
      <c r="K26" s="597">
        <v>0</v>
      </c>
      <c r="L26" s="756">
        <f t="shared" si="6"/>
        <v>0</v>
      </c>
      <c r="M26" s="441"/>
    </row>
    <row r="27" spans="1:13" ht="15.75" customHeight="1">
      <c r="A27" s="28">
        <f t="shared" ca="1" si="0"/>
        <v>1</v>
      </c>
      <c r="B27" s="28" t="str">
        <f t="shared" ca="1" si="2"/>
        <v>19</v>
      </c>
      <c r="C27" s="28"/>
      <c r="D27" s="752"/>
      <c r="E27" s="753" t="str">
        <f t="shared" ca="1" si="3"/>
        <v>1.19</v>
      </c>
      <c r="F27" s="754" t="s">
        <v>1410</v>
      </c>
      <c r="G27" s="754"/>
      <c r="H27" s="596"/>
      <c r="I27" s="755">
        <f t="shared" si="4"/>
        <v>8</v>
      </c>
      <c r="J27" s="600">
        <v>0</v>
      </c>
      <c r="K27" s="597">
        <v>0</v>
      </c>
      <c r="L27" s="756">
        <f t="shared" si="1"/>
        <v>0</v>
      </c>
      <c r="M27" s="441"/>
    </row>
    <row r="28" spans="1:13" ht="15.75" customHeight="1">
      <c r="A28" s="28">
        <f t="shared" ca="1" si="0"/>
        <v>1</v>
      </c>
      <c r="B28" s="28" t="str">
        <f t="shared" ca="1" si="2"/>
        <v>20</v>
      </c>
      <c r="C28" s="28"/>
      <c r="D28" s="752"/>
      <c r="E28" s="753" t="str">
        <f t="shared" ca="1" si="3"/>
        <v>1.20</v>
      </c>
      <c r="F28" s="754" t="s">
        <v>1411</v>
      </c>
      <c r="G28" s="754"/>
      <c r="H28" s="596"/>
      <c r="I28" s="755">
        <f t="shared" si="4"/>
        <v>8</v>
      </c>
      <c r="J28" s="600">
        <v>0</v>
      </c>
      <c r="K28" s="597">
        <v>0</v>
      </c>
      <c r="L28" s="756">
        <f t="shared" si="1"/>
        <v>0</v>
      </c>
      <c r="M28" s="441"/>
    </row>
    <row r="29" spans="1:13" ht="15.75" customHeight="1">
      <c r="A29" s="28">
        <f t="shared" ca="1" si="0"/>
        <v>1</v>
      </c>
      <c r="B29" s="28" t="str">
        <f t="shared" ca="1" si="2"/>
        <v>21</v>
      </c>
      <c r="C29" s="28"/>
      <c r="D29" s="752"/>
      <c r="E29" s="753" t="str">
        <f t="shared" ca="1" si="3"/>
        <v>1.21</v>
      </c>
      <c r="F29" s="754" t="s">
        <v>1412</v>
      </c>
      <c r="G29" s="754"/>
      <c r="H29" s="596"/>
      <c r="I29" s="755">
        <f t="shared" si="4"/>
        <v>8</v>
      </c>
      <c r="J29" s="600">
        <v>0</v>
      </c>
      <c r="K29" s="597">
        <v>0</v>
      </c>
      <c r="L29" s="756">
        <f t="shared" si="1"/>
        <v>0</v>
      </c>
      <c r="M29" s="441"/>
    </row>
    <row r="30" spans="1:13" ht="15.75" customHeight="1">
      <c r="A30" s="28">
        <f t="shared" ca="1" si="0"/>
        <v>1</v>
      </c>
      <c r="B30" s="28" t="str">
        <f t="shared" ca="1" si="2"/>
        <v>22</v>
      </c>
      <c r="C30" s="28"/>
      <c r="D30" s="752"/>
      <c r="E30" s="753" t="str">
        <f t="shared" ca="1" si="3"/>
        <v>1.22</v>
      </c>
      <c r="F30" s="754" t="s">
        <v>1413</v>
      </c>
      <c r="G30" s="754"/>
      <c r="H30" s="596"/>
      <c r="I30" s="755">
        <f t="shared" si="4"/>
        <v>8</v>
      </c>
      <c r="J30" s="600">
        <v>0</v>
      </c>
      <c r="K30" s="597">
        <v>0</v>
      </c>
      <c r="L30" s="756">
        <f t="shared" si="1"/>
        <v>0</v>
      </c>
      <c r="M30" s="441"/>
    </row>
    <row r="31" spans="1:13" ht="15.75" customHeight="1">
      <c r="A31" s="28">
        <f t="shared" ca="1" si="0"/>
        <v>1</v>
      </c>
      <c r="B31" s="28" t="str">
        <f t="shared" ca="1" si="2"/>
        <v>23</v>
      </c>
      <c r="C31" s="28"/>
      <c r="D31" s="752"/>
      <c r="E31" s="753" t="str">
        <f t="shared" ca="1" si="3"/>
        <v>1.23</v>
      </c>
      <c r="F31" s="754" t="s">
        <v>1414</v>
      </c>
      <c r="G31" s="754"/>
      <c r="H31" s="596"/>
      <c r="I31" s="755">
        <f t="shared" si="4"/>
        <v>8</v>
      </c>
      <c r="J31" s="600">
        <v>0</v>
      </c>
      <c r="K31" s="597">
        <v>0</v>
      </c>
      <c r="L31" s="756">
        <f t="shared" si="1"/>
        <v>0</v>
      </c>
      <c r="M31" s="441"/>
    </row>
    <row r="32" spans="1:13" ht="15.75" customHeight="1">
      <c r="A32" s="28">
        <f t="shared" ca="1" si="0"/>
        <v>1</v>
      </c>
      <c r="B32" s="28" t="str">
        <f t="shared" ca="1" si="2"/>
        <v>24</v>
      </c>
      <c r="C32" s="28"/>
      <c r="D32" s="752"/>
      <c r="E32" s="753" t="str">
        <f t="shared" ca="1" si="3"/>
        <v>1.24</v>
      </c>
      <c r="F32" s="754" t="s">
        <v>1415</v>
      </c>
      <c r="G32" s="754"/>
      <c r="H32" s="596"/>
      <c r="I32" s="755">
        <f t="shared" si="4"/>
        <v>8</v>
      </c>
      <c r="J32" s="600">
        <v>0</v>
      </c>
      <c r="K32" s="597">
        <v>0</v>
      </c>
      <c r="L32" s="756">
        <f t="shared" si="1"/>
        <v>0</v>
      </c>
      <c r="M32" s="441"/>
    </row>
    <row r="33" spans="1:14" ht="15.75" customHeight="1">
      <c r="A33" s="28">
        <f t="shared" ca="1" si="0"/>
        <v>1</v>
      </c>
      <c r="B33" s="28" t="str">
        <f t="shared" ca="1" si="2"/>
        <v>25</v>
      </c>
      <c r="C33" s="28"/>
      <c r="D33" s="752"/>
      <c r="E33" s="753" t="str">
        <f t="shared" ca="1" si="3"/>
        <v>1.25</v>
      </c>
      <c r="F33" s="754" t="s">
        <v>1463</v>
      </c>
      <c r="G33" s="754"/>
      <c r="H33" s="596"/>
      <c r="I33" s="755">
        <f t="shared" si="4"/>
        <v>8</v>
      </c>
      <c r="J33" s="600">
        <v>0.97299999999999998</v>
      </c>
      <c r="K33" s="597">
        <v>0</v>
      </c>
      <c r="L33" s="756">
        <f t="shared" si="1"/>
        <v>0</v>
      </c>
      <c r="M33" s="441"/>
    </row>
    <row r="34" spans="1:14" ht="15.75" customHeight="1">
      <c r="A34" s="28">
        <f t="shared" ca="1" si="0"/>
        <v>1</v>
      </c>
      <c r="B34" s="28" t="str">
        <f t="shared" ca="1" si="2"/>
        <v>26</v>
      </c>
      <c r="C34" s="28"/>
      <c r="D34" s="752"/>
      <c r="E34" s="753" t="str">
        <f t="shared" ca="1" si="3"/>
        <v>1.26</v>
      </c>
      <c r="F34" s="754" t="s">
        <v>1464</v>
      </c>
      <c r="G34" s="754"/>
      <c r="H34" s="596"/>
      <c r="I34" s="755">
        <f t="shared" si="4"/>
        <v>8</v>
      </c>
      <c r="J34" s="600">
        <v>0.97299999999999998</v>
      </c>
      <c r="K34" s="597">
        <v>0</v>
      </c>
      <c r="L34" s="756">
        <f t="shared" si="1"/>
        <v>0</v>
      </c>
      <c r="M34" s="441"/>
    </row>
    <row r="35" spans="1:14" ht="15.75" customHeight="1">
      <c r="A35" s="28">
        <f t="shared" ca="1" si="0"/>
        <v>1</v>
      </c>
      <c r="B35" s="28" t="str">
        <f t="shared" ca="1" si="2"/>
        <v>27</v>
      </c>
      <c r="C35" s="28"/>
      <c r="D35" s="752"/>
      <c r="E35" s="753" t="str">
        <f t="shared" ca="1" si="3"/>
        <v>1.27</v>
      </c>
      <c r="F35" s="754" t="s">
        <v>1465</v>
      </c>
      <c r="G35" s="754"/>
      <c r="H35" s="596"/>
      <c r="I35" s="755">
        <f t="shared" si="4"/>
        <v>8</v>
      </c>
      <c r="J35" s="600">
        <v>0.97299999999999998</v>
      </c>
      <c r="K35" s="597">
        <v>0</v>
      </c>
      <c r="L35" s="756">
        <f>((H35*J35)+H35+K35)*I35</f>
        <v>0</v>
      </c>
      <c r="M35" s="441"/>
    </row>
    <row r="36" spans="1:14" ht="15.75" customHeight="1">
      <c r="A36" s="28">
        <f t="shared" ca="1" si="0"/>
        <v>1</v>
      </c>
      <c r="B36" s="28" t="str">
        <f t="shared" ca="1" si="2"/>
        <v>28</v>
      </c>
      <c r="C36" s="28"/>
      <c r="D36" s="752"/>
      <c r="E36" s="753" t="str">
        <f t="shared" ca="1" si="3"/>
        <v>1.28</v>
      </c>
      <c r="F36" s="754" t="s">
        <v>1466</v>
      </c>
      <c r="G36" s="754"/>
      <c r="H36" s="596"/>
      <c r="I36" s="755">
        <f t="shared" si="4"/>
        <v>8</v>
      </c>
      <c r="J36" s="600"/>
      <c r="K36" s="597"/>
      <c r="L36" s="756">
        <f>((H36*J36)+H36+K36)*I36</f>
        <v>0</v>
      </c>
      <c r="M36" s="441"/>
    </row>
    <row r="37" spans="1:14" ht="15.75" customHeight="1">
      <c r="A37" s="28">
        <f t="shared" ca="1" si="0"/>
        <v>1</v>
      </c>
      <c r="B37" s="28" t="str">
        <f t="shared" ca="1" si="2"/>
        <v>29</v>
      </c>
      <c r="C37" s="28"/>
      <c r="D37" s="752"/>
      <c r="E37" s="753" t="str">
        <f t="shared" ca="1" si="3"/>
        <v>1.29</v>
      </c>
      <c r="F37" s="754"/>
      <c r="G37" s="754"/>
      <c r="H37" s="596"/>
      <c r="I37" s="755">
        <f t="shared" ref="I37:I42" si="7">I$47</f>
        <v>8</v>
      </c>
      <c r="J37" s="600"/>
      <c r="K37" s="597"/>
      <c r="L37" s="756">
        <f t="shared" ref="L37:L42" si="8">((H37*J37)+H37+K37)*I37</f>
        <v>0</v>
      </c>
      <c r="M37" s="441"/>
    </row>
    <row r="38" spans="1:14" ht="15.75" customHeight="1">
      <c r="A38" s="28">
        <f t="shared" ca="1" si="0"/>
        <v>1</v>
      </c>
      <c r="B38" s="28" t="str">
        <f t="shared" ca="1" si="2"/>
        <v>30</v>
      </c>
      <c r="C38" s="28"/>
      <c r="D38" s="752"/>
      <c r="E38" s="753" t="str">
        <f t="shared" ca="1" si="3"/>
        <v>1.30</v>
      </c>
      <c r="F38" s="754"/>
      <c r="G38" s="754"/>
      <c r="H38" s="596"/>
      <c r="I38" s="755">
        <f t="shared" si="7"/>
        <v>8</v>
      </c>
      <c r="J38" s="600"/>
      <c r="K38" s="597"/>
      <c r="L38" s="756">
        <f t="shared" si="8"/>
        <v>0</v>
      </c>
      <c r="M38" s="441"/>
    </row>
    <row r="39" spans="1:14" ht="15.75" customHeight="1">
      <c r="A39" s="28">
        <f t="shared" ca="1" si="0"/>
        <v>1</v>
      </c>
      <c r="B39" s="28" t="str">
        <f t="shared" ca="1" si="2"/>
        <v>31</v>
      </c>
      <c r="C39" s="28"/>
      <c r="D39" s="752"/>
      <c r="E39" s="753" t="str">
        <f t="shared" ca="1" si="3"/>
        <v>1.31</v>
      </c>
      <c r="F39" s="754"/>
      <c r="G39" s="754"/>
      <c r="H39" s="596"/>
      <c r="I39" s="755">
        <f t="shared" si="7"/>
        <v>8</v>
      </c>
      <c r="J39" s="600"/>
      <c r="K39" s="597"/>
      <c r="L39" s="756">
        <f t="shared" si="8"/>
        <v>0</v>
      </c>
      <c r="M39" s="441"/>
    </row>
    <row r="40" spans="1:14" ht="15.75" customHeight="1">
      <c r="A40" s="28">
        <f t="shared" ca="1" si="0"/>
        <v>1</v>
      </c>
      <c r="B40" s="28" t="str">
        <f t="shared" ca="1" si="2"/>
        <v>32</v>
      </c>
      <c r="C40" s="28"/>
      <c r="D40" s="752"/>
      <c r="E40" s="753" t="str">
        <f t="shared" ca="1" si="3"/>
        <v>1.32</v>
      </c>
      <c r="F40" s="754"/>
      <c r="G40" s="754"/>
      <c r="H40" s="596"/>
      <c r="I40" s="755">
        <f t="shared" si="7"/>
        <v>8</v>
      </c>
      <c r="J40" s="600"/>
      <c r="K40" s="597"/>
      <c r="L40" s="756">
        <f t="shared" si="8"/>
        <v>0</v>
      </c>
      <c r="M40" s="441"/>
    </row>
    <row r="41" spans="1:14" ht="15.75" customHeight="1">
      <c r="A41" s="28">
        <f t="shared" ca="1" si="0"/>
        <v>1</v>
      </c>
      <c r="B41" s="28" t="str">
        <f t="shared" ca="1" si="2"/>
        <v>33</v>
      </c>
      <c r="C41" s="28"/>
      <c r="D41" s="752"/>
      <c r="E41" s="753" t="str">
        <f t="shared" ca="1" si="3"/>
        <v>1.33</v>
      </c>
      <c r="F41" s="754"/>
      <c r="G41" s="754"/>
      <c r="H41" s="596"/>
      <c r="I41" s="755">
        <f t="shared" si="7"/>
        <v>8</v>
      </c>
      <c r="J41" s="600"/>
      <c r="K41" s="597"/>
      <c r="L41" s="756">
        <f t="shared" si="8"/>
        <v>0</v>
      </c>
      <c r="M41" s="441"/>
      <c r="N41" s="535"/>
    </row>
    <row r="42" spans="1:14" ht="15.75" customHeight="1">
      <c r="A42" s="28">
        <f t="shared" ca="1" si="0"/>
        <v>1</v>
      </c>
      <c r="B42" s="28" t="str">
        <f t="shared" ca="1" si="2"/>
        <v>34</v>
      </c>
      <c r="C42" s="28"/>
      <c r="D42" s="752"/>
      <c r="E42" s="753" t="str">
        <f t="shared" ca="1" si="3"/>
        <v>1.34</v>
      </c>
      <c r="F42" s="757" t="str">
        <f>IF(F41="","para inserir linha: copie a linha acima","")</f>
        <v>para inserir linha: copie a linha acima</v>
      </c>
      <c r="G42" s="754"/>
      <c r="H42" s="596"/>
      <c r="I42" s="755">
        <f t="shared" si="7"/>
        <v>8</v>
      </c>
      <c r="J42" s="600"/>
      <c r="K42" s="597"/>
      <c r="L42" s="756">
        <f t="shared" si="8"/>
        <v>0</v>
      </c>
      <c r="M42" s="441"/>
    </row>
    <row r="43" spans="1:14" ht="15.75" customHeight="1">
      <c r="A43" s="28">
        <f t="shared" ca="1" si="0"/>
        <v>1</v>
      </c>
      <c r="B43" s="28" t="str">
        <f t="shared" ca="1" si="2"/>
        <v>35</v>
      </c>
      <c r="C43" s="28"/>
      <c r="D43" s="752"/>
      <c r="E43" s="753" t="str">
        <f t="shared" ca="1" si="3"/>
        <v>1.35</v>
      </c>
      <c r="F43" s="695" t="s">
        <v>1416</v>
      </c>
      <c r="G43" s="761"/>
      <c r="H43" s="601"/>
      <c r="I43" s="761"/>
      <c r="J43" s="600"/>
      <c r="K43" s="597"/>
      <c r="L43" s="762">
        <f>SUM($L$9:$L$42)</f>
        <v>0</v>
      </c>
      <c r="N43" s="587"/>
    </row>
    <row r="44" spans="1:14" ht="15.75" customHeight="1">
      <c r="A44" s="28">
        <f t="shared" ca="1" si="0"/>
        <v>1</v>
      </c>
      <c r="B44" s="28" t="str">
        <f t="shared" ca="1" si="2"/>
        <v>36</v>
      </c>
      <c r="C44" s="28"/>
      <c r="D44" s="752"/>
      <c r="E44" s="753" t="str">
        <f t="shared" ca="1" si="3"/>
        <v>1.36</v>
      </c>
      <c r="F44" s="767" t="s">
        <v>1417</v>
      </c>
      <c r="G44" s="754"/>
      <c r="H44" s="765"/>
      <c r="I44" s="755"/>
      <c r="J44" s="755"/>
      <c r="K44" s="757"/>
      <c r="L44" s="768">
        <v>1</v>
      </c>
      <c r="M44" s="441"/>
    </row>
    <row r="45" spans="1:14" ht="15.75" customHeight="1">
      <c r="A45" s="28">
        <f t="shared" ca="1" si="0"/>
        <v>1</v>
      </c>
      <c r="B45" s="28" t="str">
        <f t="shared" ca="1" si="2"/>
        <v>37</v>
      </c>
      <c r="C45" s="28"/>
      <c r="D45" s="758"/>
      <c r="E45" s="759" t="str">
        <f t="shared" ca="1" si="3"/>
        <v>1.37</v>
      </c>
      <c r="F45" s="760" t="str">
        <f>CONCATENATE("Subtotal parcial"," ",$F$8)</f>
        <v>Subtotal parcial Pessoal:</v>
      </c>
      <c r="G45" s="760"/>
      <c r="H45" s="760"/>
      <c r="I45" s="760"/>
      <c r="J45" s="760"/>
      <c r="K45" s="760"/>
      <c r="L45" s="769">
        <f>L43*L44</f>
        <v>0</v>
      </c>
      <c r="M45"/>
      <c r="N45"/>
    </row>
    <row r="46" spans="1:14" s="444" customFormat="1" ht="15.75" customHeight="1">
      <c r="A46" s="28">
        <f>D46</f>
        <v>2</v>
      </c>
      <c r="B46" s="29">
        <f>D46</f>
        <v>2</v>
      </c>
      <c r="C46" s="29"/>
      <c r="D46" s="645">
        <v>2</v>
      </c>
      <c r="E46" s="646"/>
      <c r="F46" s="647" t="s">
        <v>856</v>
      </c>
      <c r="G46" s="647"/>
      <c r="H46" s="648" t="s">
        <v>122</v>
      </c>
      <c r="I46" s="648" t="s">
        <v>123</v>
      </c>
      <c r="J46" s="648" t="s">
        <v>1418</v>
      </c>
      <c r="K46" s="649" t="s">
        <v>857</v>
      </c>
      <c r="L46" s="650" t="s">
        <v>855</v>
      </c>
      <c r="M46" s="445"/>
      <c r="N46" s="589"/>
    </row>
    <row r="47" spans="1:14" ht="15.75" customHeight="1">
      <c r="A47" s="28">
        <f t="shared" ca="1" si="0"/>
        <v>2</v>
      </c>
      <c r="B47" s="28" t="str">
        <f ca="1">IF(OFFSET(B47,-1,0)&gt;="01",CONCATENATE(,OFFSET(B47,-1,0)+1),CONCATENATE((SUM(OFFSET(B47,-1,0)+1-(OFFSET(B47,-1,0))))))</f>
        <v>1</v>
      </c>
      <c r="C47" s="28"/>
      <c r="D47" s="747"/>
      <c r="E47" s="748" t="str">
        <f ca="1">IF(B47="1",CONCATENATE(A47,".0",B47),IF(B47="2",CONCATENATE(A47,".0",B47),IF(B47="3",CONCATENATE(A47,".0",B47),IF(B47="4",CONCATENATE(A47,".0",B47),IF(B47="5",CONCATENATE(A47,".0",B47),IF(B47="6",CONCATENATE(A47,".0",B47),IF(B47="7",CONCATENATE(A47,".0",B47),IF(B47="8",CONCATENATE(A47,".0",B47),IF(B47="9",CONCATENATE(A47,".0",B47),CONCATENATE(A47,".",B47))))))))))</f>
        <v>2.01</v>
      </c>
      <c r="F47" s="749" t="s">
        <v>124</v>
      </c>
      <c r="G47" s="749"/>
      <c r="H47" s="763" t="s">
        <v>125</v>
      </c>
      <c r="I47" s="764">
        <f>I9</f>
        <v>8</v>
      </c>
      <c r="J47" s="639">
        <v>0</v>
      </c>
      <c r="K47" s="640">
        <v>0.5</v>
      </c>
      <c r="L47" s="751">
        <f>(I47*J47)+K47*(I47*J47)</f>
        <v>0</v>
      </c>
      <c r="M47" s="441"/>
    </row>
    <row r="48" spans="1:14" ht="15.75" customHeight="1">
      <c r="A48" s="28">
        <f t="shared" ca="1" si="0"/>
        <v>2</v>
      </c>
      <c r="B48" s="28" t="str">
        <f t="shared" ref="B48:B76" ca="1" si="9">IF(OFFSET(B48,-1,0)&gt;="01",CONCATENATE(,OFFSET(B48,-1,0)+1),CONCATENATE((SUM(OFFSET(B48,-1,0)+1-(OFFSET(B48,-1,0))))))</f>
        <v>2</v>
      </c>
      <c r="C48" s="28"/>
      <c r="D48" s="752"/>
      <c r="E48" s="753" t="str">
        <f t="shared" ref="E48:E71" ca="1" si="10">IF(B48="1",CONCATENATE(A48,".0",B48),IF(B48="2",CONCATENATE(A48,".0",B48),IF(B48="3",CONCATENATE(A48,".0",B48),IF(B48="4",CONCATENATE(A48,".0",B48),IF(B48="5",CONCATENATE(A48,".0",B48),IF(B48="6",CONCATENATE(A48,".0",B48),IF(B48="7",CONCATENATE(A48,".0",B48),IF(B48="8",CONCATENATE(A48,".0",B48),IF(B48="9",CONCATENATE(A48,".0",B48),CONCATENATE(A48,".",B48))))))))))</f>
        <v>2.02</v>
      </c>
      <c r="F48" s="754" t="s">
        <v>126</v>
      </c>
      <c r="G48" s="754"/>
      <c r="H48" s="765" t="s">
        <v>125</v>
      </c>
      <c r="I48" s="755">
        <f t="shared" ref="I48:I73" si="11">I$47</f>
        <v>8</v>
      </c>
      <c r="J48" s="641">
        <v>0</v>
      </c>
      <c r="K48" s="642">
        <v>0.5</v>
      </c>
      <c r="L48" s="756">
        <f>(I48*J48)+K48*(I48*J48)</f>
        <v>0</v>
      </c>
      <c r="M48" s="441"/>
    </row>
    <row r="49" spans="1:13" ht="15.75" customHeight="1">
      <c r="A49" s="28">
        <f t="shared" ca="1" si="0"/>
        <v>2</v>
      </c>
      <c r="B49" s="28" t="str">
        <f t="shared" ca="1" si="9"/>
        <v>3</v>
      </c>
      <c r="C49" s="28"/>
      <c r="D49" s="752"/>
      <c r="E49" s="753" t="str">
        <f t="shared" ca="1" si="10"/>
        <v>2.03</v>
      </c>
      <c r="F49" s="754" t="s">
        <v>127</v>
      </c>
      <c r="G49" s="754"/>
      <c r="H49" s="765" t="s">
        <v>125</v>
      </c>
      <c r="I49" s="755">
        <f t="shared" si="11"/>
        <v>8</v>
      </c>
      <c r="J49" s="641">
        <v>0</v>
      </c>
      <c r="K49" s="642">
        <v>0.5</v>
      </c>
      <c r="L49" s="756">
        <f>(I49*J49)+K49*(I49*J49)</f>
        <v>0</v>
      </c>
      <c r="M49" s="441"/>
    </row>
    <row r="50" spans="1:13" ht="15.75" customHeight="1">
      <c r="A50" s="28">
        <f t="shared" ca="1" si="0"/>
        <v>2</v>
      </c>
      <c r="B50" s="28" t="str">
        <f t="shared" ca="1" si="9"/>
        <v>4</v>
      </c>
      <c r="C50" s="28"/>
      <c r="D50" s="752"/>
      <c r="E50" s="753" t="str">
        <f t="shared" ca="1" si="10"/>
        <v>2.04</v>
      </c>
      <c r="F50" s="754" t="s">
        <v>1421</v>
      </c>
      <c r="G50" s="754"/>
      <c r="H50" s="765" t="s">
        <v>125</v>
      </c>
      <c r="I50" s="755">
        <f t="shared" si="11"/>
        <v>8</v>
      </c>
      <c r="J50" s="641">
        <v>0</v>
      </c>
      <c r="K50" s="642">
        <v>0.5</v>
      </c>
      <c r="L50" s="756">
        <f>(I50*J50)+K50*(I50*J50)</f>
        <v>0</v>
      </c>
      <c r="M50" s="441"/>
    </row>
    <row r="51" spans="1:13" ht="15.75" customHeight="1">
      <c r="A51" s="28">
        <f t="shared" ca="1" si="0"/>
        <v>2</v>
      </c>
      <c r="B51" s="28" t="str">
        <f t="shared" ca="1" si="9"/>
        <v>5</v>
      </c>
      <c r="C51" s="28"/>
      <c r="D51" s="752"/>
      <c r="E51" s="753" t="str">
        <f ca="1">IF(B51="1",CONCATENATE(A51,".0",B51),IF(B51="2",CONCATENATE(A51,".0",B51),IF(B51="3",CONCATENATE(A51,".0",B51),IF(B51="4",CONCATENATE(A51,".0",B51),IF(B51="5",CONCATENATE(A51,".0",B51),IF(B51="6",CONCATENATE(A51,".0",B51),IF(B51="7",CONCATENATE(A51,".0",B51),IF(B51="8",CONCATENATE(A51,".0",B51),IF(B51="9",CONCATENATE(A51,".0",B51),CONCATENATE(A51,".",B51))))))))))</f>
        <v>2.05</v>
      </c>
      <c r="F51" s="754" t="s">
        <v>1457</v>
      </c>
      <c r="G51" s="754"/>
      <c r="H51" s="765" t="s">
        <v>125</v>
      </c>
      <c r="I51" s="755">
        <f t="shared" si="11"/>
        <v>8</v>
      </c>
      <c r="J51" s="641">
        <v>0</v>
      </c>
      <c r="K51" s="642">
        <v>0.5</v>
      </c>
      <c r="L51" s="756">
        <f>(I51*J51)+K51*(I51*J51)</f>
        <v>0</v>
      </c>
      <c r="M51" s="441"/>
    </row>
    <row r="52" spans="1:13" ht="15.75" customHeight="1">
      <c r="A52" s="28">
        <f t="shared" ca="1" si="0"/>
        <v>2</v>
      </c>
      <c r="B52" s="28" t="str">
        <f t="shared" ca="1" si="9"/>
        <v>6</v>
      </c>
      <c r="C52" s="28"/>
      <c r="D52" s="752"/>
      <c r="E52" s="753" t="str">
        <f t="shared" ca="1" si="10"/>
        <v>2.06</v>
      </c>
      <c r="F52" s="754" t="s">
        <v>858</v>
      </c>
      <c r="G52" s="754"/>
      <c r="H52" s="765" t="s">
        <v>125</v>
      </c>
      <c r="I52" s="755">
        <f t="shared" si="11"/>
        <v>8</v>
      </c>
      <c r="J52" s="641">
        <v>0</v>
      </c>
      <c r="K52" s="642">
        <v>0.5</v>
      </c>
      <c r="L52" s="756">
        <f t="shared" ref="L52:L73" si="12">(I52*J52)+K52*(I52*J52)</f>
        <v>0</v>
      </c>
      <c r="M52" s="441"/>
    </row>
    <row r="53" spans="1:13" ht="15.75" customHeight="1">
      <c r="A53" s="28">
        <f t="shared" ca="1" si="0"/>
        <v>2</v>
      </c>
      <c r="B53" s="28" t="str">
        <f t="shared" ca="1" si="9"/>
        <v>7</v>
      </c>
      <c r="C53" s="28"/>
      <c r="D53" s="752"/>
      <c r="E53" s="753" t="str">
        <f t="shared" ca="1" si="10"/>
        <v>2.07</v>
      </c>
      <c r="F53" s="754" t="s">
        <v>859</v>
      </c>
      <c r="G53" s="754"/>
      <c r="H53" s="765" t="s">
        <v>125</v>
      </c>
      <c r="I53" s="755">
        <f t="shared" si="11"/>
        <v>8</v>
      </c>
      <c r="J53" s="641">
        <v>0</v>
      </c>
      <c r="K53" s="642">
        <v>0.5</v>
      </c>
      <c r="L53" s="756">
        <f t="shared" si="12"/>
        <v>0</v>
      </c>
      <c r="M53" s="441"/>
    </row>
    <row r="54" spans="1:13" ht="15.75" customHeight="1">
      <c r="A54" s="28">
        <f t="shared" ca="1" si="0"/>
        <v>2</v>
      </c>
      <c r="B54" s="28" t="str">
        <f t="shared" ca="1" si="9"/>
        <v>8</v>
      </c>
      <c r="C54" s="28"/>
      <c r="D54" s="752"/>
      <c r="E54" s="753" t="str">
        <f ca="1">IF(B54="1",CONCATENATE(A54,".0",B54),IF(B54="2",CONCATENATE(A54,".0",B54),IF(B54="3",CONCATENATE(A54,".0",B54),IF(B54="4",CONCATENATE(A54,".0",B54),IF(B54="5",CONCATENATE(A54,".0",B54),IF(B54="6",CONCATENATE(A54,".0",B54),IF(B54="7",CONCATENATE(A54,".0",B54),IF(B54="8",CONCATENATE(A54,".0",B54),IF(B54="9",CONCATENATE(A54,".0",B54),CONCATENATE(A54,".",B54))))))))))</f>
        <v>2.08</v>
      </c>
      <c r="F54" s="754" t="s">
        <v>1383</v>
      </c>
      <c r="G54" s="754"/>
      <c r="H54" s="765" t="s">
        <v>125</v>
      </c>
      <c r="I54" s="755">
        <f t="shared" si="11"/>
        <v>8</v>
      </c>
      <c r="J54" s="641">
        <v>0</v>
      </c>
      <c r="K54" s="642">
        <v>0.5</v>
      </c>
      <c r="L54" s="756">
        <f>(I54*J54)+K54*(I54*J54)</f>
        <v>0</v>
      </c>
      <c r="M54" s="441"/>
    </row>
    <row r="55" spans="1:13" ht="15.75" customHeight="1">
      <c r="A55" s="28">
        <f t="shared" ca="1" si="0"/>
        <v>2</v>
      </c>
      <c r="B55" s="28" t="str">
        <f t="shared" ca="1" si="9"/>
        <v>9</v>
      </c>
      <c r="C55" s="28"/>
      <c r="D55" s="752"/>
      <c r="E55" s="753" t="str">
        <f t="shared" ca="1" si="10"/>
        <v>2.09</v>
      </c>
      <c r="F55" s="754" t="s">
        <v>860</v>
      </c>
      <c r="G55" s="754"/>
      <c r="H55" s="765" t="s">
        <v>125</v>
      </c>
      <c r="I55" s="755">
        <f t="shared" si="11"/>
        <v>8</v>
      </c>
      <c r="J55" s="641">
        <v>0</v>
      </c>
      <c r="K55" s="642">
        <v>0.5</v>
      </c>
      <c r="L55" s="756">
        <f t="shared" si="12"/>
        <v>0</v>
      </c>
      <c r="M55" s="441"/>
    </row>
    <row r="56" spans="1:13" ht="15.75" customHeight="1">
      <c r="A56" s="28">
        <f t="shared" ca="1" si="0"/>
        <v>2</v>
      </c>
      <c r="B56" s="28" t="str">
        <f t="shared" ca="1" si="9"/>
        <v>10</v>
      </c>
      <c r="C56" s="28"/>
      <c r="D56" s="752"/>
      <c r="E56" s="753" t="str">
        <f t="shared" ca="1" si="10"/>
        <v>2.10</v>
      </c>
      <c r="F56" s="754" t="s">
        <v>1384</v>
      </c>
      <c r="G56" s="754"/>
      <c r="H56" s="765" t="s">
        <v>125</v>
      </c>
      <c r="I56" s="755">
        <f t="shared" si="11"/>
        <v>8</v>
      </c>
      <c r="J56" s="641">
        <v>0</v>
      </c>
      <c r="K56" s="642">
        <v>0.5</v>
      </c>
      <c r="L56" s="756">
        <f t="shared" si="12"/>
        <v>0</v>
      </c>
      <c r="M56" s="441"/>
    </row>
    <row r="57" spans="1:13" ht="15.75" customHeight="1">
      <c r="A57" s="28">
        <f t="shared" ca="1" si="0"/>
        <v>2</v>
      </c>
      <c r="B57" s="28" t="str">
        <f t="shared" ca="1" si="9"/>
        <v>11</v>
      </c>
      <c r="C57" s="28"/>
      <c r="D57" s="752"/>
      <c r="E57" s="753" t="str">
        <f t="shared" ca="1" si="10"/>
        <v>2.11</v>
      </c>
      <c r="F57" s="754" t="s">
        <v>1422</v>
      </c>
      <c r="G57" s="754"/>
      <c r="H57" s="765" t="s">
        <v>125</v>
      </c>
      <c r="I57" s="755">
        <f t="shared" si="11"/>
        <v>8</v>
      </c>
      <c r="J57" s="641">
        <v>0</v>
      </c>
      <c r="K57" s="642">
        <v>0.5</v>
      </c>
      <c r="L57" s="756">
        <f t="shared" si="12"/>
        <v>0</v>
      </c>
      <c r="M57" s="441"/>
    </row>
    <row r="58" spans="1:13" ht="15.75" customHeight="1">
      <c r="A58" s="28">
        <f t="shared" ca="1" si="0"/>
        <v>2</v>
      </c>
      <c r="B58" s="28" t="str">
        <f t="shared" ca="1" si="9"/>
        <v>12</v>
      </c>
      <c r="C58" s="28"/>
      <c r="D58" s="752"/>
      <c r="E58" s="753" t="str">
        <f t="shared" ca="1" si="10"/>
        <v>2.12</v>
      </c>
      <c r="F58" s="754" t="s">
        <v>861</v>
      </c>
      <c r="G58" s="754"/>
      <c r="H58" s="765" t="s">
        <v>125</v>
      </c>
      <c r="I58" s="755">
        <f t="shared" si="11"/>
        <v>8</v>
      </c>
      <c r="J58" s="641">
        <v>0</v>
      </c>
      <c r="K58" s="642">
        <v>0.5</v>
      </c>
      <c r="L58" s="756">
        <f t="shared" si="12"/>
        <v>0</v>
      </c>
      <c r="M58" s="441"/>
    </row>
    <row r="59" spans="1:13" ht="15.75" customHeight="1">
      <c r="A59" s="28">
        <f t="shared" ca="1" si="0"/>
        <v>2</v>
      </c>
      <c r="B59" s="28" t="str">
        <f t="shared" ca="1" si="9"/>
        <v>13</v>
      </c>
      <c r="C59" s="28"/>
      <c r="D59" s="752"/>
      <c r="E59" s="753" t="str">
        <f t="shared" ca="1" si="10"/>
        <v>2.13</v>
      </c>
      <c r="F59" s="754" t="s">
        <v>862</v>
      </c>
      <c r="G59" s="754"/>
      <c r="H59" s="765" t="s">
        <v>125</v>
      </c>
      <c r="I59" s="755">
        <f t="shared" si="11"/>
        <v>8</v>
      </c>
      <c r="J59" s="641">
        <v>0</v>
      </c>
      <c r="K59" s="642">
        <v>0.5</v>
      </c>
      <c r="L59" s="756">
        <f t="shared" si="12"/>
        <v>0</v>
      </c>
      <c r="M59" s="441"/>
    </row>
    <row r="60" spans="1:13" ht="15.75" customHeight="1">
      <c r="A60" s="28">
        <f t="shared" ca="1" si="0"/>
        <v>2</v>
      </c>
      <c r="B60" s="28" t="str">
        <f t="shared" ca="1" si="9"/>
        <v>14</v>
      </c>
      <c r="C60" s="28"/>
      <c r="D60" s="752"/>
      <c r="E60" s="753" t="str">
        <f t="shared" ca="1" si="10"/>
        <v>2.14</v>
      </c>
      <c r="F60" s="754" t="s">
        <v>1385</v>
      </c>
      <c r="G60" s="754"/>
      <c r="H60" s="765" t="s">
        <v>125</v>
      </c>
      <c r="I60" s="755">
        <f t="shared" si="11"/>
        <v>8</v>
      </c>
      <c r="J60" s="643">
        <v>0</v>
      </c>
      <c r="K60" s="642">
        <v>0.5</v>
      </c>
      <c r="L60" s="756">
        <f t="shared" si="12"/>
        <v>0</v>
      </c>
      <c r="M60" s="441"/>
    </row>
    <row r="61" spans="1:13" ht="15.75" customHeight="1">
      <c r="A61" s="28">
        <f t="shared" ca="1" si="0"/>
        <v>2</v>
      </c>
      <c r="B61" s="28" t="str">
        <f t="shared" ca="1" si="9"/>
        <v>15</v>
      </c>
      <c r="C61" s="28"/>
      <c r="D61" s="752"/>
      <c r="E61" s="753" t="str">
        <f t="shared" ca="1" si="10"/>
        <v>2.15</v>
      </c>
      <c r="F61" s="754" t="s">
        <v>1386</v>
      </c>
      <c r="G61" s="754"/>
      <c r="H61" s="765" t="s">
        <v>125</v>
      </c>
      <c r="I61" s="755">
        <f t="shared" si="11"/>
        <v>8</v>
      </c>
      <c r="J61" s="641">
        <v>0</v>
      </c>
      <c r="K61" s="642">
        <v>0.5</v>
      </c>
      <c r="L61" s="756">
        <f t="shared" si="12"/>
        <v>0</v>
      </c>
      <c r="M61" s="441"/>
    </row>
    <row r="62" spans="1:13" ht="15.75" customHeight="1">
      <c r="A62" s="28">
        <f t="shared" ca="1" si="0"/>
        <v>2</v>
      </c>
      <c r="B62" s="28" t="str">
        <f t="shared" ca="1" si="9"/>
        <v>16</v>
      </c>
      <c r="C62" s="28"/>
      <c r="D62" s="752"/>
      <c r="E62" s="753" t="str">
        <f t="shared" ca="1" si="10"/>
        <v>2.16</v>
      </c>
      <c r="F62" s="754" t="s">
        <v>1458</v>
      </c>
      <c r="G62" s="754"/>
      <c r="H62" s="765" t="s">
        <v>125</v>
      </c>
      <c r="I62" s="755">
        <f t="shared" si="11"/>
        <v>8</v>
      </c>
      <c r="J62" s="641">
        <v>0</v>
      </c>
      <c r="K62" s="642">
        <v>0.5</v>
      </c>
      <c r="L62" s="756">
        <f t="shared" si="12"/>
        <v>0</v>
      </c>
      <c r="M62" s="441"/>
    </row>
    <row r="63" spans="1:13" ht="15.75" customHeight="1">
      <c r="A63" s="28">
        <f t="shared" ca="1" si="0"/>
        <v>2</v>
      </c>
      <c r="B63" s="28" t="str">
        <f t="shared" ca="1" si="9"/>
        <v>17</v>
      </c>
      <c r="C63" s="28"/>
      <c r="D63" s="752"/>
      <c r="E63" s="753" t="str">
        <f t="shared" ca="1" si="10"/>
        <v>2.17</v>
      </c>
      <c r="F63" s="754" t="s">
        <v>1387</v>
      </c>
      <c r="G63" s="754"/>
      <c r="H63" s="765" t="s">
        <v>125</v>
      </c>
      <c r="I63" s="755">
        <f t="shared" si="11"/>
        <v>8</v>
      </c>
      <c r="J63" s="641">
        <v>0</v>
      </c>
      <c r="K63" s="642">
        <v>0.5</v>
      </c>
      <c r="L63" s="756">
        <f t="shared" si="12"/>
        <v>0</v>
      </c>
      <c r="M63" s="441"/>
    </row>
    <row r="64" spans="1:13" ht="15.75" customHeight="1">
      <c r="A64" s="28">
        <f t="shared" ca="1" si="0"/>
        <v>2</v>
      </c>
      <c r="B64" s="28" t="str">
        <f t="shared" ca="1" si="9"/>
        <v>18</v>
      </c>
      <c r="C64" s="28"/>
      <c r="D64" s="752"/>
      <c r="E64" s="753" t="str">
        <f t="shared" ca="1" si="10"/>
        <v>2.18</v>
      </c>
      <c r="F64" s="754" t="s">
        <v>1459</v>
      </c>
      <c r="G64" s="754"/>
      <c r="H64" s="765" t="s">
        <v>125</v>
      </c>
      <c r="I64" s="755">
        <f t="shared" si="11"/>
        <v>8</v>
      </c>
      <c r="J64" s="641">
        <v>0</v>
      </c>
      <c r="K64" s="642">
        <v>0.5</v>
      </c>
      <c r="L64" s="756">
        <f t="shared" si="12"/>
        <v>0</v>
      </c>
      <c r="M64" s="441"/>
    </row>
    <row r="65" spans="1:14" ht="15.75" customHeight="1">
      <c r="A65" s="28">
        <f t="shared" ca="1" si="0"/>
        <v>2</v>
      </c>
      <c r="B65" s="28" t="str">
        <f t="shared" ca="1" si="9"/>
        <v>19</v>
      </c>
      <c r="C65" s="28"/>
      <c r="D65" s="752"/>
      <c r="E65" s="753" t="str">
        <f t="shared" ca="1" si="10"/>
        <v>2.19</v>
      </c>
      <c r="F65" s="754" t="s">
        <v>1460</v>
      </c>
      <c r="G65" s="754"/>
      <c r="H65" s="765" t="s">
        <v>125</v>
      </c>
      <c r="I65" s="755">
        <f t="shared" si="11"/>
        <v>8</v>
      </c>
      <c r="J65" s="641">
        <v>0</v>
      </c>
      <c r="K65" s="642">
        <v>0.5</v>
      </c>
      <c r="L65" s="756">
        <f t="shared" si="12"/>
        <v>0</v>
      </c>
      <c r="M65" s="441"/>
    </row>
    <row r="66" spans="1:14" ht="15.75" customHeight="1">
      <c r="A66" s="28">
        <f t="shared" ca="1" si="0"/>
        <v>2</v>
      </c>
      <c r="B66" s="28" t="str">
        <f t="shared" ca="1" si="9"/>
        <v>20</v>
      </c>
      <c r="C66" s="28"/>
      <c r="D66" s="752"/>
      <c r="E66" s="753" t="str">
        <f t="shared" ca="1" si="10"/>
        <v>2.20</v>
      </c>
      <c r="F66" s="754" t="s">
        <v>1388</v>
      </c>
      <c r="G66" s="754"/>
      <c r="H66" s="765" t="s">
        <v>125</v>
      </c>
      <c r="I66" s="755">
        <f t="shared" si="11"/>
        <v>8</v>
      </c>
      <c r="J66" s="641">
        <v>0</v>
      </c>
      <c r="K66" s="642">
        <v>0.5</v>
      </c>
      <c r="L66" s="756">
        <f t="shared" si="12"/>
        <v>0</v>
      </c>
      <c r="M66" s="441"/>
    </row>
    <row r="67" spans="1:14" ht="15.75" customHeight="1">
      <c r="A67" s="28">
        <f t="shared" ca="1" si="0"/>
        <v>2</v>
      </c>
      <c r="B67" s="28" t="str">
        <f t="shared" ca="1" si="9"/>
        <v>21</v>
      </c>
      <c r="C67" s="28"/>
      <c r="D67" s="752"/>
      <c r="E67" s="753" t="str">
        <f t="shared" ca="1" si="10"/>
        <v>2.21</v>
      </c>
      <c r="F67" s="754" t="s">
        <v>1389</v>
      </c>
      <c r="G67" s="754"/>
      <c r="H67" s="765" t="s">
        <v>125</v>
      </c>
      <c r="I67" s="755">
        <f t="shared" si="11"/>
        <v>8</v>
      </c>
      <c r="J67" s="641">
        <v>0</v>
      </c>
      <c r="K67" s="642">
        <v>0.5</v>
      </c>
      <c r="L67" s="756">
        <f t="shared" si="12"/>
        <v>0</v>
      </c>
      <c r="M67" s="441"/>
    </row>
    <row r="68" spans="1:14" ht="15.75" customHeight="1">
      <c r="A68" s="28">
        <f t="shared" ca="1" si="0"/>
        <v>2</v>
      </c>
      <c r="B68" s="28" t="str">
        <f t="shared" ca="1" si="9"/>
        <v>22</v>
      </c>
      <c r="C68" s="28"/>
      <c r="D68" s="752"/>
      <c r="E68" s="753" t="str">
        <f t="shared" ca="1" si="10"/>
        <v>2.22</v>
      </c>
      <c r="F68" s="754" t="s">
        <v>128</v>
      </c>
      <c r="G68" s="754"/>
      <c r="H68" s="765" t="s">
        <v>125</v>
      </c>
      <c r="I68" s="755">
        <f t="shared" si="11"/>
        <v>8</v>
      </c>
      <c r="J68" s="641">
        <v>0</v>
      </c>
      <c r="K68" s="642">
        <v>0.5</v>
      </c>
      <c r="L68" s="756">
        <f t="shared" si="12"/>
        <v>0</v>
      </c>
      <c r="M68" s="441"/>
    </row>
    <row r="69" spans="1:14" ht="15.75" customHeight="1">
      <c r="A69" s="28">
        <f t="shared" ca="1" si="0"/>
        <v>2</v>
      </c>
      <c r="B69" s="28" t="str">
        <f t="shared" ca="1" si="9"/>
        <v>23</v>
      </c>
      <c r="C69" s="28"/>
      <c r="D69" s="752"/>
      <c r="E69" s="753" t="str">
        <f t="shared" ca="1" si="10"/>
        <v>2.23</v>
      </c>
      <c r="F69" s="754" t="s">
        <v>1390</v>
      </c>
      <c r="G69" s="754"/>
      <c r="H69" s="765" t="s">
        <v>125</v>
      </c>
      <c r="I69" s="755">
        <f t="shared" si="11"/>
        <v>8</v>
      </c>
      <c r="J69" s="641">
        <v>0</v>
      </c>
      <c r="K69" s="642">
        <v>0.03</v>
      </c>
      <c r="L69" s="756">
        <f>J69/I69</f>
        <v>0</v>
      </c>
      <c r="M69" s="441"/>
    </row>
    <row r="70" spans="1:14" ht="15.75" customHeight="1">
      <c r="A70" s="28">
        <f t="shared" ca="1" si="0"/>
        <v>2</v>
      </c>
      <c r="B70" s="28" t="str">
        <f t="shared" ca="1" si="9"/>
        <v>24</v>
      </c>
      <c r="C70" s="28"/>
      <c r="D70" s="752"/>
      <c r="E70" s="753" t="str">
        <f t="shared" ca="1" si="10"/>
        <v>2.24</v>
      </c>
      <c r="F70" s="754" t="s">
        <v>1461</v>
      </c>
      <c r="G70" s="754"/>
      <c r="H70" s="765" t="s">
        <v>125</v>
      </c>
      <c r="I70" s="755">
        <f t="shared" si="11"/>
        <v>8</v>
      </c>
      <c r="J70" s="641">
        <v>0</v>
      </c>
      <c r="K70" s="642">
        <v>0.5</v>
      </c>
      <c r="L70" s="756">
        <f t="shared" si="12"/>
        <v>0</v>
      </c>
      <c r="M70" s="441"/>
    </row>
    <row r="71" spans="1:14" ht="15.75" customHeight="1">
      <c r="A71" s="28">
        <f t="shared" ca="1" si="0"/>
        <v>2</v>
      </c>
      <c r="B71" s="28" t="str">
        <f t="shared" ca="1" si="9"/>
        <v>25</v>
      </c>
      <c r="C71" s="28"/>
      <c r="D71" s="752"/>
      <c r="E71" s="753" t="str">
        <f t="shared" ca="1" si="10"/>
        <v>2.25</v>
      </c>
      <c r="F71" s="754" t="s">
        <v>1462</v>
      </c>
      <c r="G71" s="754"/>
      <c r="H71" s="765" t="s">
        <v>125</v>
      </c>
      <c r="I71" s="755">
        <f t="shared" si="11"/>
        <v>8</v>
      </c>
      <c r="J71" s="641">
        <v>0</v>
      </c>
      <c r="K71" s="642">
        <v>0.5</v>
      </c>
      <c r="L71" s="756">
        <f t="shared" si="12"/>
        <v>0</v>
      </c>
      <c r="M71" s="441"/>
    </row>
    <row r="72" spans="1:14" ht="15.75" customHeight="1">
      <c r="A72" s="28">
        <f t="shared" ca="1" si="0"/>
        <v>2</v>
      </c>
      <c r="B72" s="28" t="str">
        <f t="shared" ca="1" si="9"/>
        <v>26</v>
      </c>
      <c r="C72" s="28"/>
      <c r="D72" s="752"/>
      <c r="E72" s="753" t="str">
        <f t="shared" ref="E72:E76" ca="1" si="13">IF(B72="1",CONCATENATE(A72,".0",B72),IF(B72="2",CONCATENATE(A72,".0",B72),IF(B72="3",CONCATENATE(A72,".0",B72),IF(B72="4",CONCATENATE(A72,".0",B72),IF(B72="5",CONCATENATE(A72,".0",B72),IF(B72="6",CONCATENATE(A72,".0",B72),IF(B72="7",CONCATENATE(A72,".0",B72),IF(B72="8",CONCATENATE(A72,".0",B72),IF(B72="9",CONCATENATE(A72,".0",B72),CONCATENATE(A72,".",B72))))))))))</f>
        <v>2.26</v>
      </c>
      <c r="F72" s="757" t="s">
        <v>2028</v>
      </c>
      <c r="G72" s="754"/>
      <c r="H72" s="765" t="s">
        <v>2029</v>
      </c>
      <c r="I72" s="755">
        <f t="shared" si="11"/>
        <v>8</v>
      </c>
      <c r="J72" s="641">
        <v>0</v>
      </c>
      <c r="K72" s="642">
        <v>0.5</v>
      </c>
      <c r="L72" s="756">
        <f>((I72*J72)+K72*(I72*J72))/12</f>
        <v>0</v>
      </c>
      <c r="M72" s="441"/>
    </row>
    <row r="73" spans="1:14" ht="15.75" customHeight="1">
      <c r="A73" s="28">
        <f t="shared" ca="1" si="0"/>
        <v>2</v>
      </c>
      <c r="B73" s="28" t="str">
        <f t="shared" ca="1" si="9"/>
        <v>27</v>
      </c>
      <c r="C73" s="28"/>
      <c r="D73" s="752"/>
      <c r="E73" s="753" t="str">
        <f t="shared" ca="1" si="13"/>
        <v>2.27</v>
      </c>
      <c r="F73" s="757" t="str">
        <f>IF(F71="","para inserir linha: copie a linha acima","")</f>
        <v/>
      </c>
      <c r="G73" s="754"/>
      <c r="H73" s="765" t="s">
        <v>125</v>
      </c>
      <c r="I73" s="755">
        <f t="shared" si="11"/>
        <v>8</v>
      </c>
      <c r="J73" s="641">
        <v>0</v>
      </c>
      <c r="K73" s="642">
        <v>0.5</v>
      </c>
      <c r="L73" s="756">
        <f t="shared" si="12"/>
        <v>0</v>
      </c>
      <c r="M73" s="441"/>
    </row>
    <row r="74" spans="1:14" ht="15.75" customHeight="1">
      <c r="A74" s="28">
        <f t="shared" ca="1" si="0"/>
        <v>2</v>
      </c>
      <c r="B74" s="28" t="str">
        <f t="shared" ca="1" si="9"/>
        <v>28</v>
      </c>
      <c r="C74" s="28"/>
      <c r="D74" s="752"/>
      <c r="E74" s="753" t="str">
        <f t="shared" ca="1" si="13"/>
        <v>2.28</v>
      </c>
      <c r="F74" s="695" t="s">
        <v>863</v>
      </c>
      <c r="G74" s="754"/>
      <c r="H74" s="765"/>
      <c r="I74" s="755"/>
      <c r="J74" s="644"/>
      <c r="K74" s="642"/>
      <c r="L74" s="766">
        <f>SUM(L47:L73)</f>
        <v>0</v>
      </c>
      <c r="M74" s="441"/>
    </row>
    <row r="75" spans="1:14" ht="15.75" customHeight="1">
      <c r="A75" s="28">
        <f t="shared" ca="1" si="0"/>
        <v>2</v>
      </c>
      <c r="B75" s="28" t="str">
        <f t="shared" ca="1" si="9"/>
        <v>29</v>
      </c>
      <c r="C75" s="28"/>
      <c r="D75" s="752"/>
      <c r="E75" s="753" t="str">
        <f t="shared" ca="1" si="13"/>
        <v>2.29</v>
      </c>
      <c r="F75" s="767" t="s">
        <v>1417</v>
      </c>
      <c r="G75" s="754"/>
      <c r="H75" s="765"/>
      <c r="I75" s="755"/>
      <c r="J75" s="755"/>
      <c r="K75" s="757"/>
      <c r="L75" s="768">
        <v>1</v>
      </c>
      <c r="M75" s="441"/>
      <c r="N75" s="441"/>
    </row>
    <row r="76" spans="1:14" ht="15.75" customHeight="1">
      <c r="A76" s="28">
        <f t="shared" ca="1" si="0"/>
        <v>2</v>
      </c>
      <c r="B76" s="28" t="str">
        <f t="shared" ca="1" si="9"/>
        <v>30</v>
      </c>
      <c r="C76" s="28"/>
      <c r="D76" s="758"/>
      <c r="E76" s="753" t="str">
        <f t="shared" ca="1" si="13"/>
        <v>2.30</v>
      </c>
      <c r="F76" s="760" t="str">
        <f>CONCATENATE("Subtotal parcial"," ",$F$46)</f>
        <v>Subtotal parcial Predial:</v>
      </c>
      <c r="G76" s="760"/>
      <c r="H76" s="760"/>
      <c r="I76" s="760"/>
      <c r="J76" s="760"/>
      <c r="K76" s="760"/>
      <c r="L76" s="769">
        <f>L74*L75</f>
        <v>0</v>
      </c>
      <c r="M76"/>
      <c r="N76" s="590"/>
    </row>
    <row r="77" spans="1:14" ht="15.75" customHeight="1">
      <c r="D77" s="634">
        <v>3</v>
      </c>
      <c r="E77" s="635"/>
      <c r="F77" s="635" t="s">
        <v>1419</v>
      </c>
      <c r="G77" s="636"/>
      <c r="H77" s="636"/>
      <c r="I77" s="636"/>
      <c r="J77" s="638"/>
      <c r="K77" s="1403">
        <v>10000000</v>
      </c>
      <c r="L77" s="1404"/>
      <c r="M77"/>
      <c r="N77" s="602"/>
    </row>
    <row r="78" spans="1:14" ht="15.75" customHeight="1" thickBot="1">
      <c r="D78" s="448"/>
      <c r="E78" s="445"/>
      <c r="F78" s="441" t="s">
        <v>1420</v>
      </c>
      <c r="G78" s="441"/>
      <c r="H78" s="441"/>
      <c r="I78" s="441"/>
      <c r="J78" s="441"/>
      <c r="K78" s="1405">
        <f>$L$76+$L$45</f>
        <v>0</v>
      </c>
      <c r="L78" s="1406"/>
      <c r="M78" s="441"/>
    </row>
    <row r="79" spans="1:14" ht="15.75" customHeight="1" thickBot="1">
      <c r="D79" s="634">
        <v>4</v>
      </c>
      <c r="E79" s="635"/>
      <c r="F79" s="635" t="s">
        <v>864</v>
      </c>
      <c r="G79" s="636"/>
      <c r="H79" s="636"/>
      <c r="I79" s="636"/>
      <c r="J79" s="636"/>
      <c r="K79" s="637"/>
      <c r="L79" s="451">
        <v>0.04</v>
      </c>
      <c r="N79"/>
    </row>
    <row r="80" spans="1:14" ht="15.75" customHeight="1">
      <c r="E80" s="447"/>
      <c r="F80" s="450"/>
      <c r="L80" s="591"/>
    </row>
    <row r="81" spans="4:12" ht="15.75" customHeight="1">
      <c r="D81" s="9" t="s">
        <v>183</v>
      </c>
      <c r="E81" s="447"/>
      <c r="F81" s="450"/>
      <c r="L81" s="453"/>
    </row>
    <row r="82" spans="4:12" ht="15.75" customHeight="1"/>
    <row r="83" spans="4:12" ht="15.75" customHeight="1"/>
    <row r="84" spans="4:12" ht="15.75" customHeight="1"/>
    <row r="85" spans="4:12" ht="15.75" customHeight="1"/>
    <row r="86" spans="4:12" ht="15.75" customHeight="1"/>
    <row r="87" spans="4:12" ht="15.75" customHeight="1"/>
    <row r="88" spans="4:12" ht="15.75" customHeight="1"/>
  </sheetData>
  <mergeCells count="6">
    <mergeCell ref="K77:L77"/>
    <mergeCell ref="K78:L78"/>
    <mergeCell ref="D2:E4"/>
    <mergeCell ref="G2:J2"/>
    <mergeCell ref="G3:J3"/>
    <mergeCell ref="G4:J4"/>
  </mergeCells>
  <conditionalFormatting sqref="F42">
    <cfRule type="cellIs" dxfId="6" priority="3" operator="equal">
      <formula>"para inserir linha: copie a linha acima"</formula>
    </cfRule>
  </conditionalFormatting>
  <conditionalFormatting sqref="F72:F73">
    <cfRule type="cellIs" dxfId="5" priority="1" operator="equal">
      <formula>"para inserir linha: copie a linha acima"</formula>
    </cfRule>
  </conditionalFormatting>
  <pageMargins left="0.511811024" right="0.511811024" top="0.78740157499999996" bottom="0.78740157499999996" header="0.31496062000000002" footer="0.31496062000000002"/>
  <ignoredErrors>
    <ignoredError sqref="L69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8">
    <tabColor rgb="FF9FC6FF"/>
    <pageSetUpPr fitToPage="1"/>
  </sheetPr>
  <dimension ref="B1:AP59"/>
  <sheetViews>
    <sheetView showGridLines="0" topLeftCell="A24" zoomScale="90" zoomScaleNormal="90" zoomScaleSheetLayoutView="100" workbookViewId="0">
      <selection activeCell="I9" sqref="I9"/>
    </sheetView>
  </sheetViews>
  <sheetFormatPr defaultColWidth="9.109375" defaultRowHeight="14.4"/>
  <cols>
    <col min="1" max="1" width="3.5546875" style="3" customWidth="1"/>
    <col min="2" max="3" width="8.44140625" style="8" customWidth="1"/>
    <col min="4" max="4" width="15.88671875" style="3" customWidth="1"/>
    <col min="5" max="5" width="45.5546875" style="3" customWidth="1"/>
    <col min="6" max="6" width="13.88671875" style="3" customWidth="1"/>
    <col min="7" max="7" width="16.88671875" style="3" customWidth="1"/>
    <col min="8" max="8" width="5.44140625" style="3" customWidth="1"/>
    <col min="9" max="9" width="15.88671875" style="3" bestFit="1" customWidth="1"/>
    <col min="10" max="10" width="7" style="3" customWidth="1"/>
    <col min="11" max="11" width="29.44140625" style="912" customWidth="1"/>
    <col min="12" max="12" width="20.88671875" style="912" bestFit="1" customWidth="1"/>
    <col min="13" max="13" width="10.109375" style="912" customWidth="1"/>
    <col min="14" max="14" width="12.44140625" style="912" customWidth="1"/>
    <col min="15" max="15" width="13.109375" style="912" customWidth="1"/>
    <col min="16" max="16" width="10.109375" style="912" customWidth="1"/>
    <col min="17" max="42" width="9.5546875" style="932" customWidth="1"/>
    <col min="43" max="16384" width="9.109375" style="3"/>
  </cols>
  <sheetData>
    <row r="1" spans="2:42">
      <c r="E1" s="15"/>
    </row>
    <row r="2" spans="2:42" s="1" customFormat="1" ht="15.75" customHeight="1">
      <c r="B2" s="163"/>
      <c r="C2" s="164"/>
      <c r="D2" s="626" t="s">
        <v>693</v>
      </c>
      <c r="E2" s="159"/>
      <c r="F2" s="592" t="s">
        <v>532</v>
      </c>
      <c r="G2" s="593">
        <f>materiais</f>
        <v>3265572.6826517121</v>
      </c>
      <c r="H2" s="2"/>
      <c r="I2"/>
      <c r="J2"/>
      <c r="K2" s="1419"/>
      <c r="L2" s="1420"/>
      <c r="M2" s="1420"/>
      <c r="N2" s="1420"/>
      <c r="O2" s="1420"/>
      <c r="P2" s="1421"/>
      <c r="Q2" s="933"/>
      <c r="R2" s="934"/>
      <c r="S2" s="934"/>
      <c r="T2" s="934"/>
      <c r="U2" s="934"/>
      <c r="V2" s="3"/>
      <c r="W2" s="3"/>
      <c r="X2" s="935"/>
      <c r="Y2" s="935"/>
      <c r="Z2" s="935"/>
      <c r="AA2" s="935"/>
      <c r="AB2" s="935"/>
      <c r="AC2" s="935"/>
      <c r="AD2" s="935"/>
      <c r="AE2" s="935"/>
      <c r="AF2" s="935"/>
      <c r="AG2" s="935"/>
      <c r="AH2" s="935"/>
      <c r="AI2" s="935"/>
      <c r="AJ2" s="935"/>
      <c r="AK2" s="935"/>
      <c r="AL2" s="935"/>
      <c r="AM2" s="935"/>
      <c r="AN2" s="935"/>
      <c r="AO2" s="935"/>
      <c r="AP2" s="935"/>
    </row>
    <row r="3" spans="2:42" s="4" customFormat="1" ht="15.75" customHeight="1">
      <c r="B3" s="165"/>
      <c r="C3" s="161"/>
      <c r="D3" s="454"/>
      <c r="E3" s="625" t="str">
        <f>BDI!F3</f>
        <v>FC ENGENHARIA E CONSULTORIA LTDA</v>
      </c>
      <c r="F3" s="156" t="s">
        <v>533</v>
      </c>
      <c r="G3" s="157">
        <f ca="1">mdo+hora_extra_mdo_direta+transf_diss_ocio_mdo_direta</f>
        <v>2433374.5713017401</v>
      </c>
      <c r="H3" s="5"/>
      <c r="I3"/>
      <c r="J3"/>
      <c r="K3" s="1422"/>
      <c r="L3" s="1415"/>
      <c r="M3" s="1415"/>
      <c r="N3" s="1415"/>
      <c r="O3" s="1415"/>
      <c r="P3" s="1416"/>
      <c r="Q3" s="936"/>
      <c r="R3" s="934"/>
      <c r="S3" s="934"/>
      <c r="T3" s="934"/>
      <c r="U3" s="934"/>
      <c r="V3" s="3"/>
      <c r="W3" s="3"/>
      <c r="X3" s="935"/>
      <c r="Y3" s="935"/>
      <c r="Z3" s="935"/>
      <c r="AA3" s="935"/>
      <c r="AB3" s="935"/>
      <c r="AC3" s="935"/>
      <c r="AD3" s="935"/>
      <c r="AE3" s="935"/>
      <c r="AF3" s="935"/>
      <c r="AG3" s="935"/>
      <c r="AH3" s="935"/>
      <c r="AI3" s="935"/>
      <c r="AJ3" s="935"/>
      <c r="AK3" s="935"/>
      <c r="AL3" s="935"/>
      <c r="AM3" s="935"/>
      <c r="AN3" s="935"/>
      <c r="AO3" s="935"/>
      <c r="AP3" s="935"/>
    </row>
    <row r="4" spans="2:42" s="4" customFormat="1" ht="15.75" customHeight="1">
      <c r="B4" s="166"/>
      <c r="C4" s="162"/>
      <c r="D4" s="456"/>
      <c r="E4" s="455" t="str">
        <f>BDI!F4</f>
        <v>julho/19 - Com desoneração da Folha de Pagamento</v>
      </c>
      <c r="F4" s="158" t="s">
        <v>534</v>
      </c>
      <c r="G4" s="594">
        <f ca="1">SUM(G2:G3)</f>
        <v>5698947.2539534522</v>
      </c>
      <c r="H4" s="5"/>
      <c r="I4"/>
      <c r="J4"/>
      <c r="K4" s="1423"/>
      <c r="L4" s="1424"/>
      <c r="M4" s="1424"/>
      <c r="N4" s="1424"/>
      <c r="O4" s="1424"/>
      <c r="P4" s="1425"/>
      <c r="Q4" s="936"/>
      <c r="R4" s="934"/>
      <c r="S4" s="934"/>
      <c r="T4" s="934"/>
      <c r="U4" s="934"/>
      <c r="V4" s="3"/>
      <c r="W4" s="3"/>
      <c r="X4" s="935"/>
      <c r="Y4" s="935"/>
      <c r="Z4" s="935"/>
      <c r="AA4" s="935"/>
      <c r="AB4" s="935"/>
      <c r="AC4" s="935"/>
      <c r="AD4" s="935"/>
      <c r="AE4" s="935"/>
      <c r="AF4" s="935"/>
      <c r="AG4" s="935"/>
      <c r="AH4" s="935"/>
      <c r="AI4" s="935"/>
      <c r="AJ4" s="935"/>
      <c r="AK4" s="935"/>
      <c r="AL4" s="935"/>
      <c r="AM4" s="935"/>
      <c r="AN4" s="935"/>
      <c r="AO4" s="935"/>
      <c r="AP4" s="935"/>
    </row>
    <row r="5" spans="2:42" ht="13.8">
      <c r="B5" s="6"/>
      <c r="C5" s="6"/>
      <c r="D5" s="7"/>
      <c r="I5"/>
      <c r="J5"/>
      <c r="K5" s="6"/>
      <c r="L5" s="6"/>
      <c r="M5" s="7"/>
      <c r="N5" s="3"/>
      <c r="O5" s="3"/>
      <c r="P5" s="3"/>
    </row>
    <row r="6" spans="2:42" ht="15.75" customHeight="1">
      <c r="B6" s="160" t="s">
        <v>865</v>
      </c>
      <c r="C6" s="610" t="str">
        <f ca="1">" "&amp;nome_da_obra</f>
        <v xml:space="preserve"> BDI_747.xlsx</v>
      </c>
      <c r="D6" s="73"/>
      <c r="E6" s="73"/>
      <c r="F6" s="66" t="s">
        <v>132</v>
      </c>
      <c r="G6" s="77">
        <f ca="1">data_base_da_obra</f>
        <v>46093</v>
      </c>
      <c r="I6"/>
      <c r="J6"/>
      <c r="K6" s="160"/>
      <c r="L6" s="610"/>
      <c r="M6" s="73"/>
      <c r="N6" s="73"/>
      <c r="O6" s="66"/>
      <c r="P6" s="77"/>
    </row>
    <row r="7" spans="2:42" ht="15.75" customHeight="1">
      <c r="I7"/>
      <c r="J7"/>
    </row>
    <row r="8" spans="2:42" s="9" customFormat="1" ht="15.75" customHeight="1">
      <c r="B8" s="429"/>
      <c r="C8" s="430" t="s">
        <v>846</v>
      </c>
      <c r="D8" s="430"/>
      <c r="E8" s="430"/>
      <c r="F8" s="431" t="s">
        <v>117</v>
      </c>
      <c r="G8" s="256">
        <f ca="1">D11/D10</f>
        <v>5.264130138981108E-11</v>
      </c>
      <c r="J8" s="30"/>
      <c r="K8" s="928" t="s">
        <v>1985</v>
      </c>
      <c r="L8" s="929"/>
      <c r="M8" s="929"/>
      <c r="N8" s="929"/>
      <c r="O8" s="930"/>
      <c r="P8" s="912"/>
      <c r="Q8" s="937" t="s">
        <v>1984</v>
      </c>
      <c r="R8" s="938" t="s">
        <v>1983</v>
      </c>
      <c r="S8" s="937" t="s">
        <v>1982</v>
      </c>
      <c r="T8" s="938" t="s">
        <v>1981</v>
      </c>
      <c r="U8" s="937" t="s">
        <v>1980</v>
      </c>
      <c r="V8" s="938" t="s">
        <v>1979</v>
      </c>
      <c r="W8" s="937" t="s">
        <v>1978</v>
      </c>
      <c r="X8" s="938" t="s">
        <v>1977</v>
      </c>
      <c r="Y8" s="937" t="s">
        <v>1976</v>
      </c>
      <c r="Z8" s="938" t="s">
        <v>1975</v>
      </c>
      <c r="AA8" s="937" t="s">
        <v>1974</v>
      </c>
      <c r="AB8" s="938" t="s">
        <v>1973</v>
      </c>
      <c r="AC8" s="937" t="s">
        <v>1972</v>
      </c>
      <c r="AD8" s="938" t="s">
        <v>1971</v>
      </c>
      <c r="AE8" s="937" t="s">
        <v>1970</v>
      </c>
      <c r="AF8" s="938" t="s">
        <v>1969</v>
      </c>
      <c r="AG8" s="937" t="s">
        <v>1968</v>
      </c>
      <c r="AH8" s="938" t="s">
        <v>1967</v>
      </c>
      <c r="AI8" s="937" t="s">
        <v>1966</v>
      </c>
      <c r="AJ8" s="938" t="s">
        <v>1965</v>
      </c>
      <c r="AK8" s="937" t="s">
        <v>1964</v>
      </c>
      <c r="AL8" s="938" t="s">
        <v>1963</v>
      </c>
      <c r="AM8" s="937" t="s">
        <v>1962</v>
      </c>
      <c r="AN8" s="938" t="s">
        <v>1961</v>
      </c>
      <c r="AO8" s="937" t="s">
        <v>1960</v>
      </c>
      <c r="AP8" s="938" t="s">
        <v>1959</v>
      </c>
    </row>
    <row r="9" spans="2:42" ht="15.75" customHeight="1">
      <c r="B9" s="10"/>
      <c r="G9" s="11"/>
      <c r="L9" s="912" t="s">
        <v>1945</v>
      </c>
      <c r="M9" s="912" t="s">
        <v>1944</v>
      </c>
      <c r="Q9" s="939"/>
      <c r="R9" s="939"/>
      <c r="S9" s="939"/>
      <c r="T9" s="939"/>
      <c r="U9" s="939"/>
      <c r="V9" s="939"/>
      <c r="W9" s="939"/>
      <c r="X9" s="939"/>
      <c r="Y9" s="939"/>
      <c r="Z9" s="939"/>
      <c r="AA9" s="939"/>
      <c r="AB9" s="939"/>
      <c r="AC9" s="939"/>
      <c r="AD9" s="939"/>
      <c r="AE9" s="939"/>
      <c r="AF9" s="939"/>
      <c r="AG9" s="939"/>
      <c r="AH9" s="939"/>
      <c r="AI9" s="939"/>
      <c r="AJ9" s="939"/>
      <c r="AK9" s="939"/>
      <c r="AL9" s="939"/>
      <c r="AM9" s="939"/>
      <c r="AN9" s="939"/>
      <c r="AO9" s="939"/>
      <c r="AP9" s="939"/>
    </row>
    <row r="10" spans="2:42" ht="15.75" customHeight="1">
      <c r="B10" s="12"/>
      <c r="C10" s="27" t="s">
        <v>504</v>
      </c>
      <c r="D10" s="31">
        <f ca="1">custo_direto_com_desconto_eventual</f>
        <v>5698947.2539534522</v>
      </c>
      <c r="G10" s="11"/>
      <c r="J10" s="84"/>
      <c r="K10" s="914" t="s">
        <v>1943</v>
      </c>
      <c r="L10" s="918">
        <v>0.108</v>
      </c>
      <c r="M10" s="917">
        <f>L10/12</f>
        <v>8.9999999999999993E-3</v>
      </c>
      <c r="O10" s="925">
        <v>-16397.961901490926</v>
      </c>
      <c r="Q10" s="939"/>
      <c r="R10" s="939"/>
      <c r="S10" s="939"/>
      <c r="T10" s="939"/>
      <c r="U10" s="940">
        <v>27266.97768623535</v>
      </c>
      <c r="V10" s="940">
        <v>27266.97768623535</v>
      </c>
      <c r="W10" s="940">
        <v>27266.97768623535</v>
      </c>
      <c r="X10" s="940">
        <v>27266.97768623535</v>
      </c>
      <c r="Y10" s="940">
        <v>27266.97768623535</v>
      </c>
      <c r="Z10" s="940">
        <v>27266.97768623535</v>
      </c>
      <c r="AA10" s="940">
        <v>27266.97768623535</v>
      </c>
      <c r="AB10" s="940">
        <v>27266.97768623535</v>
      </c>
      <c r="AC10" s="940">
        <v>27266.97768623535</v>
      </c>
      <c r="AD10" s="940">
        <v>27266.97768623535</v>
      </c>
      <c r="AE10" s="940">
        <v>27266.97768623535</v>
      </c>
      <c r="AF10" s="940">
        <v>27266.97768623535</v>
      </c>
      <c r="AG10" s="939"/>
      <c r="AH10" s="939"/>
      <c r="AI10" s="939"/>
      <c r="AJ10" s="939"/>
      <c r="AK10" s="939"/>
      <c r="AL10" s="939"/>
      <c r="AM10" s="939"/>
      <c r="AN10" s="939"/>
      <c r="AO10" s="939"/>
      <c r="AP10" s="939"/>
    </row>
    <row r="11" spans="2:42" ht="15.75" customHeight="1">
      <c r="B11" s="12"/>
      <c r="C11" s="27" t="s">
        <v>198</v>
      </c>
      <c r="D11" s="31">
        <f>(G26-D28)</f>
        <v>2.9999999999999992E-4</v>
      </c>
      <c r="G11" s="11"/>
      <c r="J11" s="84"/>
      <c r="K11" s="914" t="s">
        <v>1958</v>
      </c>
      <c r="L11" s="915">
        <v>-458399.06</v>
      </c>
      <c r="O11" s="925">
        <v>-10575.925397588289</v>
      </c>
      <c r="Q11" s="939"/>
      <c r="R11" s="939"/>
      <c r="S11" s="939"/>
      <c r="T11" s="939"/>
      <c r="U11" s="939"/>
      <c r="V11" s="939"/>
      <c r="W11" s="940">
        <v>17585.936810910131</v>
      </c>
      <c r="X11" s="940">
        <v>17585.936810910131</v>
      </c>
      <c r="Y11" s="940">
        <v>17585.936810910131</v>
      </c>
      <c r="Z11" s="940">
        <v>17585.936810910131</v>
      </c>
      <c r="AA11" s="940">
        <v>17585.936810910131</v>
      </c>
      <c r="AB11" s="940">
        <v>17585.936810910131</v>
      </c>
      <c r="AC11" s="940">
        <v>17585.936810910131</v>
      </c>
      <c r="AD11" s="940">
        <v>17585.936810910131</v>
      </c>
      <c r="AE11" s="940">
        <v>17585.936810910131</v>
      </c>
      <c r="AF11" s="940">
        <v>17585.936810910131</v>
      </c>
      <c r="AG11" s="940">
        <v>17585.936810910131</v>
      </c>
      <c r="AH11" s="940">
        <v>17585.936810910131</v>
      </c>
      <c r="AI11" s="939"/>
      <c r="AJ11" s="939"/>
      <c r="AK11" s="939"/>
      <c r="AL11" s="939"/>
      <c r="AM11" s="939"/>
      <c r="AN11" s="939"/>
      <c r="AO11" s="939"/>
      <c r="AP11" s="939"/>
    </row>
    <row r="12" spans="2:42" ht="15.75" customHeight="1">
      <c r="B12" s="12"/>
      <c r="G12" s="11"/>
      <c r="J12" s="84"/>
      <c r="K12" s="914" t="s">
        <v>1948</v>
      </c>
      <c r="L12" s="916">
        <v>1</v>
      </c>
      <c r="O12" s="925">
        <v>-11989.263921850681</v>
      </c>
      <c r="Q12" s="939"/>
      <c r="R12" s="939"/>
      <c r="S12" s="939"/>
      <c r="T12" s="939"/>
      <c r="U12" s="939"/>
      <c r="V12" s="939"/>
      <c r="W12" s="939"/>
      <c r="X12" s="939"/>
      <c r="Y12" s="940">
        <v>19936.074604598667</v>
      </c>
      <c r="Z12" s="940">
        <v>19936.074604598667</v>
      </c>
      <c r="AA12" s="940">
        <v>19936.074604598667</v>
      </c>
      <c r="AB12" s="940">
        <v>19936.074604598667</v>
      </c>
      <c r="AC12" s="940">
        <v>19936.074604598667</v>
      </c>
      <c r="AD12" s="940">
        <v>19936.074604598667</v>
      </c>
      <c r="AE12" s="940">
        <v>19936.074604598667</v>
      </c>
      <c r="AF12" s="940">
        <v>19936.074604598667</v>
      </c>
      <c r="AG12" s="940">
        <v>19936.074604598667</v>
      </c>
      <c r="AH12" s="940">
        <v>19936.074604598667</v>
      </c>
      <c r="AI12" s="940">
        <v>19936.074604598667</v>
      </c>
      <c r="AJ12" s="940">
        <v>19936.074604598667</v>
      </c>
      <c r="AK12" s="939"/>
      <c r="AL12" s="939"/>
      <c r="AM12" s="939"/>
      <c r="AN12" s="939"/>
      <c r="AO12" s="939"/>
      <c r="AP12" s="939"/>
    </row>
    <row r="13" spans="2:42" ht="15.75" customHeight="1">
      <c r="B13" s="13"/>
      <c r="C13" s="14"/>
      <c r="D13" s="15"/>
      <c r="E13" s="15"/>
      <c r="F13" s="15"/>
      <c r="G13" s="16"/>
      <c r="K13" s="914" t="s">
        <v>1957</v>
      </c>
      <c r="L13" s="915">
        <f>-L15*L12*12</f>
        <v>-485655.81002285978</v>
      </c>
      <c r="O13" s="925">
        <v>-1597.7410332906293</v>
      </c>
      <c r="Q13" s="939"/>
      <c r="R13" s="939"/>
      <c r="S13" s="939"/>
      <c r="T13" s="939"/>
      <c r="U13" s="939"/>
      <c r="V13" s="939"/>
      <c r="W13" s="939"/>
      <c r="X13" s="939"/>
      <c r="Y13" s="939"/>
      <c r="Z13" s="939"/>
      <c r="AA13" s="940">
        <v>2656.7673083297655</v>
      </c>
      <c r="AB13" s="940">
        <v>2656.7673083297655</v>
      </c>
      <c r="AC13" s="940">
        <v>2656.7673083297655</v>
      </c>
      <c r="AD13" s="940">
        <v>2656.7673083297655</v>
      </c>
      <c r="AE13" s="940">
        <v>2656.7673083297655</v>
      </c>
      <c r="AF13" s="940">
        <v>2656.7673083297655</v>
      </c>
      <c r="AG13" s="940">
        <v>2656.7673083297655</v>
      </c>
      <c r="AH13" s="940">
        <v>2656.7673083297655</v>
      </c>
      <c r="AI13" s="940">
        <v>2656.7673083297655</v>
      </c>
      <c r="AJ13" s="940">
        <v>2656.7673083297655</v>
      </c>
      <c r="AK13" s="940">
        <v>2656.7673083297655</v>
      </c>
      <c r="AL13" s="940">
        <v>2656.7673083297655</v>
      </c>
      <c r="AM13" s="939"/>
      <c r="AN13" s="939"/>
      <c r="AO13" s="939"/>
      <c r="AP13" s="939"/>
    </row>
    <row r="14" spans="2:42" s="9" customFormat="1" ht="15.75" customHeight="1">
      <c r="B14" s="429"/>
      <c r="C14" s="430" t="s">
        <v>505</v>
      </c>
      <c r="D14" s="430"/>
      <c r="E14" s="430"/>
      <c r="F14" s="431" t="s">
        <v>117</v>
      </c>
      <c r="G14" s="254">
        <f>(((1+D16)^(D18/30))*((1+D17)^(D18/30)))-1</f>
        <v>3.0000000000000027E-2</v>
      </c>
      <c r="I14" s="103" t="s">
        <v>557</v>
      </c>
      <c r="K14" s="914" t="s">
        <v>1956</v>
      </c>
      <c r="L14" s="915">
        <f>L13-L11</f>
        <v>-27256.750022859778</v>
      </c>
      <c r="M14" s="912"/>
      <c r="N14" s="912"/>
      <c r="O14" s="927">
        <f>SUM(O10:O13)</f>
        <v>-40560.892254220526</v>
      </c>
      <c r="P14" s="912"/>
      <c r="Q14" s="941"/>
      <c r="R14" s="941"/>
      <c r="S14" s="941"/>
      <c r="T14" s="941"/>
      <c r="U14" s="941"/>
      <c r="V14" s="941"/>
      <c r="W14" s="941"/>
      <c r="X14" s="941"/>
      <c r="Y14" s="941"/>
      <c r="Z14" s="941"/>
      <c r="AA14" s="941"/>
      <c r="AB14" s="941"/>
      <c r="AC14" s="941"/>
      <c r="AD14" s="941"/>
      <c r="AE14" s="941"/>
      <c r="AF14" s="941"/>
      <c r="AG14" s="941"/>
      <c r="AH14" s="941"/>
      <c r="AI14" s="941"/>
      <c r="AJ14" s="941"/>
      <c r="AK14" s="941"/>
      <c r="AL14" s="941"/>
      <c r="AM14" s="941"/>
      <c r="AN14" s="941"/>
      <c r="AO14" s="941"/>
      <c r="AP14" s="941"/>
    </row>
    <row r="15" spans="2:42" ht="15.75" customHeight="1">
      <c r="B15" s="10"/>
      <c r="G15" s="11"/>
      <c r="K15" s="914" t="s">
        <v>1953</v>
      </c>
      <c r="L15" s="913">
        <f>PMT(M10,L12*12,L11,0)</f>
        <v>40471.317501904981</v>
      </c>
      <c r="N15" s="926"/>
      <c r="P15" s="931" t="s">
        <v>1986</v>
      </c>
      <c r="Q15" s="939"/>
      <c r="R15" s="939"/>
      <c r="S15" s="939"/>
      <c r="T15" s="939"/>
      <c r="U15" s="939">
        <f t="shared" ref="U15:AL15" si="0">SUM(U10:U14)</f>
        <v>27266.97768623535</v>
      </c>
      <c r="V15" s="939">
        <f t="shared" si="0"/>
        <v>27266.97768623535</v>
      </c>
      <c r="W15" s="939">
        <f t="shared" si="0"/>
        <v>44852.914497145481</v>
      </c>
      <c r="X15" s="939">
        <f t="shared" si="0"/>
        <v>44852.914497145481</v>
      </c>
      <c r="Y15" s="939">
        <f t="shared" si="0"/>
        <v>64788.989101744148</v>
      </c>
      <c r="Z15" s="939">
        <f t="shared" si="0"/>
        <v>64788.989101744148</v>
      </c>
      <c r="AA15" s="939">
        <f t="shared" si="0"/>
        <v>67445.756410073911</v>
      </c>
      <c r="AB15" s="939">
        <f t="shared" si="0"/>
        <v>67445.756410073911</v>
      </c>
      <c r="AC15" s="939">
        <f t="shared" si="0"/>
        <v>67445.756410073911</v>
      </c>
      <c r="AD15" s="939">
        <f t="shared" si="0"/>
        <v>67445.756410073911</v>
      </c>
      <c r="AE15" s="939">
        <f t="shared" si="0"/>
        <v>67445.756410073911</v>
      </c>
      <c r="AF15" s="939">
        <f t="shared" si="0"/>
        <v>67445.756410073911</v>
      </c>
      <c r="AG15" s="939">
        <f t="shared" si="0"/>
        <v>40178.778723838557</v>
      </c>
      <c r="AH15" s="939">
        <f t="shared" si="0"/>
        <v>40178.778723838557</v>
      </c>
      <c r="AI15" s="939">
        <f t="shared" si="0"/>
        <v>22592.841912928434</v>
      </c>
      <c r="AJ15" s="939">
        <f t="shared" si="0"/>
        <v>22592.841912928434</v>
      </c>
      <c r="AK15" s="939">
        <f t="shared" si="0"/>
        <v>2656.7673083297655</v>
      </c>
      <c r="AL15" s="939">
        <f t="shared" si="0"/>
        <v>2656.7673083297655</v>
      </c>
      <c r="AM15" s="939"/>
      <c r="AN15" s="939"/>
      <c r="AO15" s="939"/>
      <c r="AP15" s="939"/>
    </row>
    <row r="16" spans="2:42" ht="15.75" customHeight="1">
      <c r="B16" s="12"/>
      <c r="C16" s="27" t="s">
        <v>108</v>
      </c>
      <c r="D16" s="148">
        <v>0</v>
      </c>
      <c r="G16" s="11"/>
      <c r="O16" s="919"/>
      <c r="Q16" s="939"/>
      <c r="R16" s="939"/>
      <c r="S16" s="939"/>
      <c r="T16" s="939"/>
      <c r="U16" s="939"/>
      <c r="V16" s="939"/>
      <c r="W16" s="939"/>
      <c r="X16" s="939"/>
      <c r="Y16" s="939"/>
      <c r="Z16" s="939"/>
      <c r="AA16" s="939"/>
      <c r="AB16" s="939"/>
      <c r="AC16" s="939"/>
      <c r="AD16" s="939"/>
      <c r="AE16" s="939"/>
      <c r="AF16" s="939"/>
      <c r="AG16" s="939"/>
      <c r="AH16" s="939"/>
      <c r="AI16" s="939"/>
      <c r="AJ16" s="939"/>
      <c r="AK16" s="939"/>
      <c r="AL16" s="939"/>
      <c r="AM16" s="939"/>
      <c r="AN16" s="939"/>
      <c r="AO16" s="939"/>
      <c r="AP16" s="939"/>
    </row>
    <row r="17" spans="2:42" ht="15.75" customHeight="1">
      <c r="B17" s="12"/>
      <c r="C17" s="27" t="s">
        <v>774</v>
      </c>
      <c r="D17" s="149">
        <v>0.03</v>
      </c>
      <c r="G17" s="11"/>
      <c r="I17" s="32"/>
      <c r="K17" s="928" t="s">
        <v>1955</v>
      </c>
      <c r="L17" s="929"/>
      <c r="M17" s="929"/>
      <c r="N17" s="929"/>
      <c r="O17" s="930"/>
      <c r="Q17" s="939"/>
      <c r="R17" s="939"/>
      <c r="S17" s="939"/>
      <c r="T17" s="939"/>
      <c r="U17" s="939"/>
      <c r="V17" s="939"/>
      <c r="W17" s="939"/>
      <c r="X17" s="939"/>
      <c r="Y17" s="939"/>
      <c r="Z17" s="939"/>
      <c r="AA17" s="939"/>
      <c r="AB17" s="939"/>
      <c r="AC17" s="939"/>
      <c r="AD17" s="939"/>
      <c r="AE17" s="939"/>
      <c r="AF17" s="939"/>
      <c r="AG17" s="939"/>
      <c r="AH17" s="939"/>
      <c r="AI17" s="939"/>
      <c r="AJ17" s="939"/>
      <c r="AK17" s="939"/>
      <c r="AL17" s="939"/>
      <c r="AM17" s="939"/>
      <c r="AN17" s="939"/>
      <c r="AO17" s="939"/>
      <c r="AP17" s="939"/>
    </row>
    <row r="18" spans="2:42" ht="15.75" customHeight="1">
      <c r="B18" s="12"/>
      <c r="C18" s="27" t="s">
        <v>109</v>
      </c>
      <c r="D18" s="894">
        <v>30</v>
      </c>
      <c r="G18" s="11"/>
      <c r="L18" s="912" t="s">
        <v>1945</v>
      </c>
      <c r="M18" s="912" t="s">
        <v>1944</v>
      </c>
      <c r="Q18" s="939"/>
      <c r="R18" s="939"/>
      <c r="S18" s="939"/>
      <c r="T18" s="939"/>
      <c r="U18" s="939"/>
      <c r="V18" s="939"/>
      <c r="W18" s="939"/>
      <c r="X18" s="939"/>
      <c r="Y18" s="939"/>
      <c r="Z18" s="939"/>
      <c r="AA18" s="939"/>
      <c r="AB18" s="939"/>
      <c r="AC18" s="939"/>
      <c r="AD18" s="939"/>
      <c r="AE18" s="939"/>
      <c r="AF18" s="939"/>
      <c r="AG18" s="939"/>
      <c r="AH18" s="939"/>
      <c r="AI18" s="939"/>
      <c r="AJ18" s="939"/>
      <c r="AK18" s="939"/>
      <c r="AL18" s="939"/>
      <c r="AM18" s="939"/>
      <c r="AN18" s="939"/>
      <c r="AO18" s="939"/>
      <c r="AP18" s="939"/>
    </row>
    <row r="19" spans="2:42" ht="15.75" customHeight="1">
      <c r="B19" s="12"/>
      <c r="C19" s="24"/>
      <c r="G19" s="11"/>
      <c r="K19" s="914" t="s">
        <v>1943</v>
      </c>
      <c r="L19" s="918">
        <v>1.4999999999999999E-2</v>
      </c>
      <c r="M19" s="917">
        <f>L19/12</f>
        <v>1.25E-3</v>
      </c>
      <c r="Q19" s="939"/>
      <c r="R19" s="939"/>
      <c r="S19" s="939"/>
      <c r="T19" s="939"/>
      <c r="U19" s="939"/>
      <c r="V19" s="939"/>
      <c r="W19" s="939"/>
      <c r="X19" s="939"/>
      <c r="Y19" s="939"/>
      <c r="Z19" s="939"/>
      <c r="AA19" s="939"/>
      <c r="AB19" s="939"/>
      <c r="AC19" s="939"/>
      <c r="AD19" s="939"/>
      <c r="AE19" s="939"/>
      <c r="AF19" s="939"/>
      <c r="AG19" s="939"/>
      <c r="AH19" s="939"/>
      <c r="AI19" s="939"/>
      <c r="AJ19" s="939"/>
      <c r="AK19" s="939"/>
      <c r="AL19" s="939"/>
      <c r="AM19" s="939"/>
      <c r="AN19" s="939"/>
      <c r="AO19" s="939"/>
      <c r="AP19" s="939"/>
    </row>
    <row r="20" spans="2:42" ht="15.75" customHeight="1">
      <c r="B20" s="887"/>
      <c r="C20" s="33" t="s">
        <v>148</v>
      </c>
      <c r="D20" s="33"/>
      <c r="E20" s="33"/>
      <c r="F20" s="33"/>
      <c r="G20" s="888"/>
      <c r="K20" s="914" t="s">
        <v>1954</v>
      </c>
      <c r="L20" s="915">
        <v>-8500</v>
      </c>
      <c r="Q20" s="939"/>
      <c r="R20" s="939"/>
      <c r="S20" s="939"/>
      <c r="T20" s="939"/>
      <c r="U20" s="939"/>
      <c r="V20" s="939"/>
      <c r="W20" s="939"/>
      <c r="X20" s="939"/>
      <c r="Y20" s="939"/>
      <c r="Z20" s="939"/>
      <c r="AA20" s="939"/>
      <c r="AB20" s="939"/>
      <c r="AC20" s="939"/>
      <c r="AD20" s="939"/>
      <c r="AE20" s="939"/>
      <c r="AF20" s="939"/>
      <c r="AG20" s="939"/>
      <c r="AH20" s="939"/>
      <c r="AI20" s="939"/>
      <c r="AJ20" s="939"/>
      <c r="AK20" s="939"/>
      <c r="AL20" s="939"/>
      <c r="AM20" s="939"/>
      <c r="AN20" s="939"/>
      <c r="AO20" s="939"/>
      <c r="AP20" s="939"/>
    </row>
    <row r="21" spans="2:42" ht="15.75" customHeight="1">
      <c r="B21" s="895" t="s">
        <v>112</v>
      </c>
      <c r="C21" s="20" t="s">
        <v>1851</v>
      </c>
      <c r="D21" s="21"/>
      <c r="G21" s="11"/>
      <c r="I21" s="103" t="s">
        <v>558</v>
      </c>
      <c r="K21" s="914" t="s">
        <v>1948</v>
      </c>
      <c r="L21" s="916">
        <v>3</v>
      </c>
      <c r="Q21" s="939"/>
      <c r="R21" s="939"/>
      <c r="S21" s="939"/>
      <c r="T21" s="939"/>
      <c r="U21" s="939"/>
      <c r="V21" s="939"/>
      <c r="W21" s="939"/>
      <c r="X21" s="939"/>
      <c r="Y21" s="939"/>
      <c r="Z21" s="939"/>
      <c r="AA21" s="939"/>
      <c r="AB21" s="939"/>
      <c r="AC21" s="939"/>
      <c r="AD21" s="939"/>
      <c r="AE21" s="939"/>
      <c r="AF21" s="939"/>
      <c r="AG21" s="939"/>
      <c r="AH21" s="939"/>
      <c r="AI21" s="939"/>
      <c r="AJ21" s="939"/>
      <c r="AK21" s="939"/>
      <c r="AL21" s="939"/>
      <c r="AM21" s="939"/>
      <c r="AN21" s="939"/>
      <c r="AO21" s="939"/>
      <c r="AP21" s="939"/>
    </row>
    <row r="22" spans="2:42" ht="15.75" customHeight="1">
      <c r="B22" s="895" t="s">
        <v>113</v>
      </c>
      <c r="C22" s="22" t="s">
        <v>1852</v>
      </c>
      <c r="D22" s="23"/>
      <c r="G22" s="11"/>
      <c r="K22" s="914" t="s">
        <v>1940</v>
      </c>
      <c r="L22" s="915">
        <v>0</v>
      </c>
      <c r="Q22" s="939"/>
      <c r="R22" s="939"/>
      <c r="S22" s="939"/>
      <c r="T22" s="939"/>
      <c r="U22" s="939"/>
      <c r="V22" s="939"/>
      <c r="W22" s="939"/>
      <c r="X22" s="939"/>
      <c r="Y22" s="939"/>
      <c r="Z22" s="939"/>
      <c r="AA22" s="939"/>
      <c r="AB22" s="939"/>
      <c r="AC22" s="939"/>
      <c r="AD22" s="939"/>
      <c r="AE22" s="939"/>
      <c r="AF22" s="939"/>
      <c r="AG22" s="939"/>
      <c r="AH22" s="939"/>
      <c r="AI22" s="939"/>
      <c r="AJ22" s="939"/>
      <c r="AK22" s="939"/>
      <c r="AL22" s="939"/>
      <c r="AM22" s="939"/>
      <c r="AN22" s="939"/>
      <c r="AO22" s="939"/>
      <c r="AP22" s="939"/>
    </row>
    <row r="23" spans="2:42" ht="15.75" customHeight="1">
      <c r="B23" s="895" t="s">
        <v>114</v>
      </c>
      <c r="C23" s="3" t="s">
        <v>1853</v>
      </c>
      <c r="G23" s="11"/>
      <c r="I23" s="32"/>
      <c r="K23" s="914" t="s">
        <v>1953</v>
      </c>
      <c r="L23" s="913">
        <f>PMT(M19,L21*12,L22,L20,0)</f>
        <v>230.98596735736541</v>
      </c>
      <c r="N23" s="926"/>
      <c r="Q23" s="939"/>
      <c r="R23" s="939"/>
      <c r="S23" s="939"/>
      <c r="T23" s="939"/>
      <c r="U23" s="939"/>
      <c r="V23" s="939"/>
      <c r="W23" s="939"/>
      <c r="X23" s="939"/>
      <c r="Y23" s="939"/>
      <c r="Z23" s="939"/>
      <c r="AA23" s="939"/>
      <c r="AB23" s="939"/>
      <c r="AC23" s="939"/>
      <c r="AD23" s="939"/>
      <c r="AE23" s="939"/>
      <c r="AF23" s="939"/>
      <c r="AG23" s="939"/>
      <c r="AH23" s="939"/>
      <c r="AI23" s="939"/>
      <c r="AJ23" s="939"/>
      <c r="AK23" s="939"/>
      <c r="AL23" s="939"/>
      <c r="AM23" s="939"/>
      <c r="AN23" s="939"/>
      <c r="AO23" s="939"/>
      <c r="AP23" s="939"/>
    </row>
    <row r="24" spans="2:42" ht="15.75" customHeight="1">
      <c r="B24" s="896" t="s">
        <v>1845</v>
      </c>
      <c r="C24" s="3" t="s">
        <v>1849</v>
      </c>
      <c r="G24" s="11"/>
      <c r="O24" s="919"/>
      <c r="Q24" s="939"/>
      <c r="R24" s="939"/>
      <c r="S24" s="939"/>
      <c r="T24" s="939"/>
      <c r="U24" s="939"/>
      <c r="V24" s="939"/>
      <c r="W24" s="939"/>
      <c r="X24" s="939"/>
      <c r="Y24" s="939"/>
      <c r="Z24" s="939"/>
      <c r="AA24" s="939"/>
      <c r="AB24" s="939"/>
      <c r="AC24" s="939"/>
      <c r="AD24" s="939"/>
      <c r="AE24" s="939"/>
      <c r="AF24" s="939"/>
      <c r="AG24" s="939"/>
      <c r="AH24" s="939"/>
      <c r="AI24" s="939"/>
      <c r="AJ24" s="939"/>
      <c r="AK24" s="939"/>
      <c r="AL24" s="939"/>
      <c r="AM24" s="939"/>
      <c r="AN24" s="939"/>
      <c r="AO24" s="939"/>
      <c r="AP24" s="939"/>
    </row>
    <row r="25" spans="2:42" ht="15.75" customHeight="1">
      <c r="B25" s="13"/>
      <c r="C25" s="25"/>
      <c r="D25" s="26"/>
      <c r="E25" s="15"/>
      <c r="F25" s="15"/>
      <c r="G25" s="16"/>
      <c r="K25" s="928" t="s">
        <v>1952</v>
      </c>
      <c r="L25" s="929"/>
      <c r="M25" s="929"/>
      <c r="N25" s="929"/>
      <c r="O25" s="930"/>
      <c r="Q25" s="939"/>
      <c r="R25" s="939"/>
      <c r="S25" s="939"/>
      <c r="T25" s="939"/>
      <c r="U25" s="939"/>
      <c r="V25" s="939"/>
      <c r="W25" s="939"/>
      <c r="X25" s="939"/>
      <c r="Y25" s="939"/>
      <c r="Z25" s="939"/>
      <c r="AA25" s="939"/>
      <c r="AB25" s="939"/>
      <c r="AC25" s="939"/>
      <c r="AD25" s="939"/>
      <c r="AE25" s="939"/>
      <c r="AF25" s="939"/>
      <c r="AG25" s="939"/>
      <c r="AH25" s="939"/>
      <c r="AI25" s="939"/>
      <c r="AJ25" s="939"/>
      <c r="AK25" s="939"/>
      <c r="AL25" s="939"/>
      <c r="AM25" s="939"/>
      <c r="AN25" s="939"/>
      <c r="AO25" s="939"/>
      <c r="AP25" s="939"/>
    </row>
    <row r="26" spans="2:42" ht="15.75" customHeight="1">
      <c r="B26" s="432"/>
      <c r="C26" s="430" t="s">
        <v>147</v>
      </c>
      <c r="D26" s="430"/>
      <c r="E26" s="430"/>
      <c r="F26" s="433" t="s">
        <v>118</v>
      </c>
      <c r="G26" s="255">
        <f>$D$28*(1+$G$14)</f>
        <v>1.03E-2</v>
      </c>
      <c r="I26" s="32"/>
      <c r="L26" s="912" t="s">
        <v>1945</v>
      </c>
      <c r="M26" s="912" t="s">
        <v>1944</v>
      </c>
    </row>
    <row r="27" spans="2:42" ht="15.75" customHeight="1">
      <c r="B27" s="17"/>
      <c r="C27" s="18"/>
      <c r="D27" s="18"/>
      <c r="E27" s="18"/>
      <c r="F27" s="18"/>
      <c r="G27" s="19"/>
      <c r="I27" s="9"/>
      <c r="K27" s="914" t="s">
        <v>1943</v>
      </c>
      <c r="L27" s="924">
        <v>0.03</v>
      </c>
      <c r="M27" s="917">
        <f>L27/12</f>
        <v>2.5000000000000001E-3</v>
      </c>
    </row>
    <row r="28" spans="2:42" ht="15.75" customHeight="1">
      <c r="B28" s="253" t="s">
        <v>633</v>
      </c>
      <c r="C28" s="27" t="s">
        <v>120</v>
      </c>
      <c r="D28" s="150">
        <v>0.01</v>
      </c>
      <c r="G28" s="11"/>
      <c r="I28" s="9"/>
      <c r="K28" s="914" t="s">
        <v>1942</v>
      </c>
      <c r="L28" s="923">
        <v>-300</v>
      </c>
    </row>
    <row r="29" spans="2:42" ht="15.75" customHeight="1">
      <c r="B29" s="12"/>
      <c r="C29" s="27" t="s">
        <v>119</v>
      </c>
      <c r="D29" s="898">
        <f>taxa_financeira</f>
        <v>3.0000000000000027E-2</v>
      </c>
      <c r="G29" s="11"/>
      <c r="I29" s="9"/>
      <c r="K29" s="914" t="s">
        <v>1951</v>
      </c>
      <c r="L29" s="915">
        <v>2500</v>
      </c>
    </row>
    <row r="30" spans="2:42" ht="15.75" customHeight="1">
      <c r="B30" s="12"/>
      <c r="C30" s="27" t="s">
        <v>121</v>
      </c>
      <c r="D30" s="899">
        <f>G26-D28</f>
        <v>2.9999999999999992E-4</v>
      </c>
      <c r="G30" s="11"/>
      <c r="K30" s="914" t="s">
        <v>1950</v>
      </c>
      <c r="L30" s="922">
        <f>NPER(M27,L28,L29)</f>
        <v>8.4318860030790788</v>
      </c>
      <c r="O30" s="921"/>
    </row>
    <row r="31" spans="2:42" ht="15.75" customHeight="1">
      <c r="B31" s="12"/>
      <c r="C31" s="3"/>
      <c r="G31" s="11"/>
      <c r="O31" s="919"/>
    </row>
    <row r="32" spans="2:42" ht="15.75" customHeight="1">
      <c r="B32" s="887"/>
      <c r="C32" s="33" t="s">
        <v>110</v>
      </c>
      <c r="D32" s="33"/>
      <c r="E32" s="33"/>
      <c r="F32" s="33"/>
      <c r="G32" s="888"/>
      <c r="K32" s="928" t="s">
        <v>1949</v>
      </c>
      <c r="L32" s="929"/>
      <c r="M32" s="929"/>
      <c r="N32" s="929"/>
      <c r="O32" s="930"/>
    </row>
    <row r="33" spans="2:15" ht="15.75" customHeight="1">
      <c r="B33" s="895" t="s">
        <v>115</v>
      </c>
      <c r="C33" s="897" t="s">
        <v>1847</v>
      </c>
      <c r="G33" s="11"/>
      <c r="L33" s="912" t="s">
        <v>1945</v>
      </c>
      <c r="M33" s="912" t="s">
        <v>1944</v>
      </c>
    </row>
    <row r="34" spans="2:15" ht="15.75" customHeight="1">
      <c r="B34" s="895" t="s">
        <v>116</v>
      </c>
      <c r="C34" s="20" t="s">
        <v>1848</v>
      </c>
      <c r="D34" s="21"/>
      <c r="G34" s="11"/>
      <c r="K34" s="914" t="s">
        <v>1943</v>
      </c>
      <c r="L34" s="918">
        <v>2.9000000000000001E-2</v>
      </c>
      <c r="M34" s="917">
        <f>L34/12</f>
        <v>2.4166666666666668E-3</v>
      </c>
    </row>
    <row r="35" spans="2:15" ht="15.75" customHeight="1">
      <c r="B35" s="896" t="s">
        <v>1845</v>
      </c>
      <c r="C35" s="3" t="s">
        <v>1849</v>
      </c>
      <c r="D35" s="23"/>
      <c r="G35" s="11"/>
      <c r="K35" s="914" t="s">
        <v>1942</v>
      </c>
      <c r="L35" s="915">
        <v>-350</v>
      </c>
      <c r="N35" s="914"/>
    </row>
    <row r="36" spans="2:15" ht="15.75" customHeight="1">
      <c r="B36" s="895" t="s">
        <v>1846</v>
      </c>
      <c r="C36" s="3" t="s">
        <v>1850</v>
      </c>
      <c r="G36" s="11"/>
      <c r="K36" s="914" t="s">
        <v>1948</v>
      </c>
      <c r="L36" s="916">
        <v>3</v>
      </c>
      <c r="N36" s="914"/>
    </row>
    <row r="37" spans="2:15" ht="15.75" customHeight="1">
      <c r="B37" s="13"/>
      <c r="C37" s="25"/>
      <c r="D37" s="26"/>
      <c r="E37" s="15"/>
      <c r="F37" s="15"/>
      <c r="G37" s="16"/>
      <c r="K37" s="914" t="s">
        <v>1947</v>
      </c>
      <c r="L37" s="915">
        <v>19000</v>
      </c>
    </row>
    <row r="38" spans="2:15" ht="15.75" customHeight="1">
      <c r="K38" s="914" t="s">
        <v>1939</v>
      </c>
      <c r="L38" s="920">
        <f>L37-PV(M34,L36*12,L35)</f>
        <v>6946.4795801842974</v>
      </c>
    </row>
    <row r="39" spans="2:15" ht="15.75" customHeight="1">
      <c r="B39" s="9" t="s">
        <v>183</v>
      </c>
      <c r="D39" s="33"/>
      <c r="E39" s="33"/>
      <c r="F39" s="33"/>
      <c r="O39" s="919"/>
    </row>
    <row r="40" spans="2:15" ht="15.75" customHeight="1"/>
    <row r="41" spans="2:15" ht="15.75" customHeight="1" thickBot="1">
      <c r="D41" s="24"/>
      <c r="K41" s="928" t="s">
        <v>1946</v>
      </c>
      <c r="L41" s="929"/>
      <c r="M41" s="929"/>
      <c r="N41" s="929"/>
      <c r="O41" s="930"/>
    </row>
    <row r="42" spans="2:15" ht="15.75" customHeight="1" thickBot="1">
      <c r="B42" s="890" t="s">
        <v>1841</v>
      </c>
      <c r="C42" s="890" t="s">
        <v>1842</v>
      </c>
      <c r="D42" s="890" t="s">
        <v>1843</v>
      </c>
      <c r="E42" s="890" t="s">
        <v>1844</v>
      </c>
      <c r="F42" s="889"/>
      <c r="H42"/>
      <c r="I42"/>
      <c r="J42"/>
      <c r="L42" s="912" t="s">
        <v>1945</v>
      </c>
      <c r="M42" s="912" t="s">
        <v>1944</v>
      </c>
      <c r="O42" s="919"/>
    </row>
    <row r="43" spans="2:15" ht="15.75" customHeight="1" thickTop="1" thickBot="1">
      <c r="B43" s="891">
        <v>43831</v>
      </c>
      <c r="C43" s="892">
        <v>0.26</v>
      </c>
      <c r="D43" s="892">
        <v>0.26</v>
      </c>
      <c r="E43" s="892">
        <v>3.9878</v>
      </c>
      <c r="F43" s="893">
        <v>2698.0045</v>
      </c>
      <c r="H43"/>
      <c r="I43"/>
      <c r="J43"/>
      <c r="K43" s="914" t="s">
        <v>1943</v>
      </c>
      <c r="L43" s="918">
        <v>1.4999999999999999E-2</v>
      </c>
      <c r="M43" s="917">
        <f>L43/12</f>
        <v>1.25E-3</v>
      </c>
    </row>
    <row r="44" spans="2:15" ht="15.75" customHeight="1" thickBot="1">
      <c r="B44" s="891">
        <v>43800</v>
      </c>
      <c r="C44" s="892">
        <v>0.14000000000000001</v>
      </c>
      <c r="D44" s="892">
        <v>4.133</v>
      </c>
      <c r="E44" s="892">
        <v>4.133</v>
      </c>
      <c r="F44" s="893">
        <v>2691.0079000000001</v>
      </c>
      <c r="H44"/>
      <c r="I44"/>
      <c r="J44"/>
      <c r="K44" s="914" t="s">
        <v>1942</v>
      </c>
      <c r="L44" s="915">
        <v>-200</v>
      </c>
    </row>
    <row r="45" spans="2:15" ht="15.75" customHeight="1" thickBot="1">
      <c r="B45" s="891">
        <v>43770</v>
      </c>
      <c r="C45" s="892">
        <v>0.15</v>
      </c>
      <c r="D45" s="892">
        <v>3.9874000000000001</v>
      </c>
      <c r="E45" s="892">
        <v>4.1226000000000003</v>
      </c>
      <c r="F45" s="893">
        <v>2687.2458000000001</v>
      </c>
      <c r="H45"/>
      <c r="I45"/>
      <c r="J45"/>
      <c r="K45" s="914" t="s">
        <v>1941</v>
      </c>
      <c r="L45" s="916">
        <v>12</v>
      </c>
    </row>
    <row r="46" spans="2:15" ht="15.75" customHeight="1" thickBot="1">
      <c r="B46" s="891">
        <v>43739</v>
      </c>
      <c r="C46" s="892">
        <v>0.12</v>
      </c>
      <c r="D46" s="892">
        <v>3.8317000000000001</v>
      </c>
      <c r="E46" s="892">
        <v>4.2370000000000001</v>
      </c>
      <c r="F46" s="893">
        <v>2683.221</v>
      </c>
      <c r="H46"/>
      <c r="I46"/>
      <c r="J46"/>
      <c r="K46" s="914" t="s">
        <v>1940</v>
      </c>
      <c r="L46" s="915">
        <v>-500</v>
      </c>
    </row>
    <row r="47" spans="2:15" ht="15.75" customHeight="1" thickBot="1">
      <c r="B47" s="891">
        <v>43709</v>
      </c>
      <c r="C47" s="892">
        <v>0.6</v>
      </c>
      <c r="D47" s="892">
        <v>3.7071999999999998</v>
      </c>
      <c r="E47" s="892">
        <v>4.4555999999999996</v>
      </c>
      <c r="F47" s="893">
        <v>2680.0050000000001</v>
      </c>
      <c r="H47"/>
      <c r="I47"/>
      <c r="J47"/>
      <c r="K47" s="914" t="s">
        <v>1939</v>
      </c>
      <c r="L47" s="913">
        <f>FV(M43,L45,L44,L46)</f>
        <v>2924.1207216958128</v>
      </c>
    </row>
    <row r="48" spans="2:15" ht="15.75" customHeight="1" thickBot="1">
      <c r="B48" s="891">
        <v>43678</v>
      </c>
      <c r="C48" s="892">
        <v>0.34</v>
      </c>
      <c r="D48" s="892">
        <v>3.0886999999999998</v>
      </c>
      <c r="E48" s="892">
        <v>4.0091000000000001</v>
      </c>
      <c r="F48" s="893">
        <v>2664.0209</v>
      </c>
      <c r="H48"/>
      <c r="I48"/>
      <c r="J48"/>
      <c r="K48" s="914" t="s">
        <v>1938</v>
      </c>
      <c r="L48" s="913">
        <f>L47-(-L46-L44*L45)</f>
        <v>24.12072169581279</v>
      </c>
    </row>
    <row r="49" spans="2:10" ht="15.75" customHeight="1" thickBot="1">
      <c r="B49" s="891">
        <v>43647</v>
      </c>
      <c r="C49" s="892">
        <v>0.91</v>
      </c>
      <c r="D49" s="892">
        <v>2.7393999999999998</v>
      </c>
      <c r="E49" s="892">
        <v>3.9676999999999998</v>
      </c>
      <c r="F49" s="893">
        <v>2654.9938999999999</v>
      </c>
      <c r="H49"/>
      <c r="I49"/>
      <c r="J49"/>
    </row>
    <row r="50" spans="2:10" ht="15.75" customHeight="1">
      <c r="B50" s="891">
        <v>43617</v>
      </c>
      <c r="C50" s="892">
        <v>0.44</v>
      </c>
      <c r="D50" s="892">
        <v>1.8129</v>
      </c>
      <c r="E50" s="892">
        <v>3.7719</v>
      </c>
      <c r="F50" s="893">
        <v>2631.0513000000001</v>
      </c>
      <c r="H50"/>
      <c r="I50"/>
      <c r="J50"/>
    </row>
    <row r="51" spans="2:10" ht="15.75" customHeight="1">
      <c r="D51" s="24"/>
    </row>
    <row r="52" spans="2:10" ht="15.75" customHeight="1">
      <c r="C52" s="618">
        <f>AVERAGE(C43:C50)</f>
        <v>0.37</v>
      </c>
      <c r="D52" s="616">
        <f>D44-D50</f>
        <v>2.3201000000000001</v>
      </c>
      <c r="E52" s="3" t="s">
        <v>15</v>
      </c>
    </row>
    <row r="53" spans="2:10" ht="15.75" customHeight="1">
      <c r="D53" s="616">
        <f>D52/7</f>
        <v>0.33144285714285715</v>
      </c>
      <c r="E53" s="3" t="s">
        <v>15</v>
      </c>
    </row>
    <row r="54" spans="2:10" ht="15.75" customHeight="1">
      <c r="D54" s="616">
        <v>7</v>
      </c>
      <c r="E54" s="3" t="s">
        <v>1437</v>
      </c>
    </row>
    <row r="55" spans="2:10" ht="15.75" customHeight="1">
      <c r="D55" s="617">
        <f>D53*D54</f>
        <v>2.3201000000000001</v>
      </c>
      <c r="E55" s="3" t="s">
        <v>1438</v>
      </c>
    </row>
    <row r="56" spans="2:10" ht="15.75" customHeight="1">
      <c r="E56" s="3" t="s">
        <v>1439</v>
      </c>
    </row>
    <row r="57" spans="2:10" ht="15.75" customHeight="1"/>
    <row r="58" spans="2:10" ht="15.75" customHeight="1"/>
    <row r="59" spans="2:10" ht="15.75" customHeight="1"/>
  </sheetData>
  <sheetProtection formatCells="0" formatColumns="0" formatRows="0" insertColumns="0" insertRows="0" insertHyperlinks="0" deleteColumns="0" deleteRows="0" sort="0" autoFilter="0" pivotTables="0"/>
  <mergeCells count="3">
    <mergeCell ref="K2:P2"/>
    <mergeCell ref="K3:P3"/>
    <mergeCell ref="K4:P4"/>
  </mergeCells>
  <pageMargins left="0.25" right="0.25" top="0.75" bottom="0.75" header="0.3" footer="0.3"/>
  <pageSetup paperSize="9" scale="20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FC6FF"/>
    <pageSetUpPr fitToPage="1"/>
  </sheetPr>
  <dimension ref="A2:BC279"/>
  <sheetViews>
    <sheetView showGridLines="0" topLeftCell="C6" zoomScaleNormal="100" workbookViewId="0">
      <selection activeCell="H44" sqref="H44"/>
    </sheetView>
  </sheetViews>
  <sheetFormatPr defaultColWidth="9.109375" defaultRowHeight="13.2"/>
  <cols>
    <col min="1" max="2" width="9.109375" style="467" hidden="1" customWidth="1"/>
    <col min="3" max="3" width="3.5546875" style="468" customWidth="1"/>
    <col min="4" max="4" width="5.44140625" style="452" customWidth="1"/>
    <col min="5" max="5" width="7.44140625" style="9" customWidth="1"/>
    <col min="6" max="6" width="5" style="9" customWidth="1"/>
    <col min="7" max="7" width="41.44140625" style="9" customWidth="1"/>
    <col min="8" max="9" width="11.5546875" style="9" customWidth="1"/>
    <col min="10" max="14" width="9.5546875" style="9" customWidth="1"/>
    <col min="15" max="16" width="8.109375" style="9" customWidth="1"/>
    <col min="17" max="23" width="11.5546875" style="9" customWidth="1"/>
    <col min="24" max="25" width="13.5546875" style="9" customWidth="1"/>
    <col min="26" max="27" width="13.5546875" style="444" customWidth="1"/>
    <col min="28" max="28" width="12.109375" style="9" bestFit="1" customWidth="1"/>
    <col min="29" max="30" width="9.109375" style="9"/>
    <col min="31" max="31" width="9.44140625" style="9" customWidth="1"/>
    <col min="32" max="32" width="7.88671875" style="9" customWidth="1"/>
    <col min="33" max="33" width="12.88671875" style="9" customWidth="1"/>
    <col min="34" max="38" width="9.109375" style="9"/>
    <col min="39" max="39" width="9.44140625" style="9" bestFit="1" customWidth="1"/>
    <col min="40" max="40" width="75.44140625" style="9" bestFit="1" customWidth="1"/>
    <col min="41" max="41" width="37.5546875" style="9" customWidth="1"/>
    <col min="42" max="42" width="11.5546875" style="9" bestFit="1" customWidth="1"/>
    <col min="43" max="43" width="4.5546875" style="9" bestFit="1" customWidth="1"/>
    <col min="44" max="44" width="9.109375" style="9" bestFit="1" customWidth="1"/>
    <col min="45" max="47" width="4.5546875" style="9" bestFit="1" customWidth="1"/>
    <col min="48" max="48" width="5.5546875" style="9" bestFit="1" customWidth="1"/>
    <col min="49" max="49" width="8.109375" style="9" bestFit="1" customWidth="1"/>
    <col min="50" max="50" width="6.5546875" style="9" bestFit="1" customWidth="1"/>
    <col min="51" max="51" width="4.5546875" style="9" bestFit="1" customWidth="1"/>
    <col min="52" max="52" width="66.5546875" style="9" bestFit="1" customWidth="1"/>
    <col min="53" max="53" width="9.109375" style="9" bestFit="1" customWidth="1"/>
    <col min="54" max="54" width="7.44140625" style="9" bestFit="1" customWidth="1"/>
    <col min="55" max="16384" width="9.109375" style="9"/>
  </cols>
  <sheetData>
    <row r="2" spans="1:41" s="436" customFormat="1" ht="15.75" customHeight="1">
      <c r="A2" s="458"/>
      <c r="B2" s="458"/>
      <c r="C2" s="459"/>
      <c r="D2" s="580"/>
      <c r="E2" s="581"/>
      <c r="F2" s="588"/>
      <c r="G2" s="1413" t="s">
        <v>1375</v>
      </c>
      <c r="H2" s="1413"/>
      <c r="I2" s="1413"/>
      <c r="J2" s="1413"/>
      <c r="K2" s="1413"/>
      <c r="L2" s="1413"/>
      <c r="M2" s="1413"/>
      <c r="N2" s="1413"/>
      <c r="O2" s="1413"/>
      <c r="P2" s="1413"/>
      <c r="Q2" s="1413"/>
      <c r="R2" s="1413"/>
      <c r="S2" s="1413"/>
      <c r="T2" s="1413"/>
      <c r="U2" s="1413"/>
      <c r="V2" s="1413"/>
      <c r="W2" s="1413"/>
      <c r="X2" s="1413"/>
      <c r="Y2" s="1413"/>
      <c r="Z2" s="603" t="s">
        <v>532</v>
      </c>
      <c r="AA2" s="593">
        <f>materiais</f>
        <v>3265572.6826517121</v>
      </c>
      <c r="AB2" s="460"/>
      <c r="AC2" s="460"/>
      <c r="AD2" s="437"/>
      <c r="AE2" s="437"/>
      <c r="AF2" s="437"/>
      <c r="AG2" s="437"/>
      <c r="AH2" s="437"/>
      <c r="AI2" s="437"/>
      <c r="AJ2" s="437"/>
      <c r="AK2" s="437"/>
      <c r="AL2" s="437"/>
      <c r="AN2" s="9"/>
      <c r="AO2" s="9"/>
    </row>
    <row r="3" spans="1:41" s="438" customFormat="1" ht="15.75" customHeight="1">
      <c r="A3" s="461"/>
      <c r="B3" s="461"/>
      <c r="C3" s="462"/>
      <c r="D3" s="463"/>
      <c r="E3" s="436"/>
      <c r="F3" s="5"/>
      <c r="G3" s="1415" t="s">
        <v>851</v>
      </c>
      <c r="H3" s="1415"/>
      <c r="I3" s="1415"/>
      <c r="J3" s="1415"/>
      <c r="K3" s="1415"/>
      <c r="L3" s="1415"/>
      <c r="M3" s="1415"/>
      <c r="N3" s="1415"/>
      <c r="O3" s="1415"/>
      <c r="P3" s="1415"/>
      <c r="Q3" s="1415"/>
      <c r="R3" s="1415"/>
      <c r="S3" s="1415"/>
      <c r="T3" s="1415"/>
      <c r="U3" s="1415"/>
      <c r="V3" s="1415"/>
      <c r="W3" s="1415"/>
      <c r="X3" s="1415"/>
      <c r="Y3" s="1415"/>
      <c r="Z3" s="44" t="s">
        <v>533</v>
      </c>
      <c r="AA3" s="157">
        <f ca="1">mdo+hora_extra_mdo_direta+transf_diss_ocio_mdo_direta</f>
        <v>2433374.5713017401</v>
      </c>
      <c r="AB3" s="464"/>
      <c r="AC3" s="464"/>
      <c r="AD3" s="5"/>
      <c r="AE3" s="5"/>
      <c r="AF3" s="5"/>
      <c r="AG3" s="5"/>
      <c r="AH3" s="5"/>
      <c r="AI3" s="5"/>
      <c r="AJ3" s="5"/>
      <c r="AK3" s="5"/>
      <c r="AL3" s="5"/>
      <c r="AN3" s="9"/>
      <c r="AO3" s="9"/>
    </row>
    <row r="4" spans="1:41" s="438" customFormat="1" ht="15.75" customHeight="1">
      <c r="A4" s="461"/>
      <c r="B4" s="461"/>
      <c r="C4" s="462"/>
      <c r="D4" s="465"/>
      <c r="E4" s="466"/>
      <c r="F4" s="439"/>
      <c r="G4" s="1417" t="str">
        <f>BDI!F4</f>
        <v>julho/19 - Com desoneração da Folha de Pagamento</v>
      </c>
      <c r="H4" s="1417"/>
      <c r="I4" s="1417"/>
      <c r="J4" s="1417"/>
      <c r="K4" s="1417"/>
      <c r="L4" s="1417"/>
      <c r="M4" s="1417"/>
      <c r="N4" s="1417"/>
      <c r="O4" s="1417"/>
      <c r="P4" s="1417"/>
      <c r="Q4" s="1417"/>
      <c r="R4" s="1417"/>
      <c r="S4" s="1417"/>
      <c r="T4" s="1417"/>
      <c r="U4" s="1417"/>
      <c r="V4" s="1417"/>
      <c r="W4" s="1417"/>
      <c r="X4" s="1417"/>
      <c r="Y4" s="1417"/>
      <c r="Z4" s="604" t="s">
        <v>534</v>
      </c>
      <c r="AA4" s="594">
        <f ca="1">SUM(AA2:AA3)</f>
        <v>5698947.2539534522</v>
      </c>
      <c r="AB4" s="464"/>
      <c r="AC4" s="464"/>
      <c r="AD4" s="5"/>
      <c r="AE4" s="5"/>
      <c r="AF4" s="5"/>
      <c r="AG4" s="5"/>
      <c r="AH4" s="5"/>
      <c r="AI4" s="5"/>
      <c r="AJ4" s="5"/>
      <c r="AK4" s="5"/>
      <c r="AL4" s="5"/>
      <c r="AN4" s="9"/>
      <c r="AO4" s="9"/>
    </row>
    <row r="5" spans="1:41">
      <c r="D5" s="469"/>
      <c r="E5" s="441"/>
      <c r="F5" s="441"/>
      <c r="G5" s="441"/>
      <c r="H5" s="441"/>
      <c r="Z5" s="9"/>
      <c r="AA5" s="9"/>
      <c r="AB5" s="445"/>
      <c r="AC5" s="445"/>
    </row>
    <row r="6" spans="1:41" ht="15" customHeight="1">
      <c r="D6" s="160" t="s">
        <v>865</v>
      </c>
      <c r="E6" s="609" t="str">
        <f ca="1">nome_da_obra</f>
        <v>BDI_747.xlsx</v>
      </c>
      <c r="F6" s="457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470" t="s">
        <v>132</v>
      </c>
      <c r="AA6" s="77">
        <f ca="1">data_base_da_obra</f>
        <v>46093</v>
      </c>
      <c r="AB6" s="445"/>
      <c r="AC6" s="445"/>
    </row>
    <row r="7" spans="1:41" ht="15.75" customHeight="1">
      <c r="D7" s="440"/>
      <c r="E7" s="441"/>
      <c r="F7" s="441"/>
      <c r="G7" s="441"/>
      <c r="H7" s="441"/>
      <c r="I7" s="441"/>
      <c r="J7" s="441"/>
      <c r="K7" s="441"/>
      <c r="L7" s="441"/>
      <c r="M7" s="441"/>
      <c r="N7" s="441"/>
      <c r="O7" s="441"/>
      <c r="P7" s="441"/>
      <c r="Q7" s="441"/>
      <c r="R7" s="471"/>
      <c r="S7" s="471"/>
      <c r="T7" s="471"/>
      <c r="U7" s="471"/>
      <c r="V7" s="471"/>
      <c r="W7" s="471"/>
      <c r="X7" s="471"/>
      <c r="Y7" s="471"/>
      <c r="Z7" s="471"/>
      <c r="AA7" s="471"/>
      <c r="AB7" s="445"/>
      <c r="AC7" s="445"/>
    </row>
    <row r="8" spans="1:41" ht="15.75" customHeight="1">
      <c r="D8" s="651">
        <v>1</v>
      </c>
      <c r="E8" s="652" t="s">
        <v>867</v>
      </c>
      <c r="F8" s="652"/>
      <c r="G8" s="652"/>
      <c r="H8" s="652"/>
      <c r="I8" s="652"/>
      <c r="J8" s="652"/>
      <c r="K8" s="652"/>
      <c r="L8" s="652"/>
      <c r="M8" s="652"/>
      <c r="N8" s="652"/>
      <c r="O8" s="652"/>
      <c r="P8" s="652"/>
      <c r="Q8" s="652"/>
      <c r="R8" s="652"/>
      <c r="S8" s="652"/>
      <c r="T8" s="652"/>
      <c r="U8" s="652"/>
      <c r="V8" s="652"/>
      <c r="W8" s="652"/>
      <c r="X8" s="652"/>
      <c r="Y8" s="652"/>
      <c r="Z8" s="652"/>
      <c r="AA8" s="653"/>
      <c r="AB8" s="444"/>
      <c r="AC8" s="30"/>
    </row>
    <row r="9" spans="1:41" ht="15.75" customHeight="1">
      <c r="D9" s="1434" t="s">
        <v>868</v>
      </c>
      <c r="E9" s="1435"/>
      <c r="F9" s="1435"/>
      <c r="G9" s="1436"/>
      <c r="H9" s="582" t="s">
        <v>869</v>
      </c>
      <c r="L9" s="472" t="s">
        <v>870</v>
      </c>
      <c r="O9" s="583" t="s">
        <v>871</v>
      </c>
      <c r="P9" s="584"/>
      <c r="Q9" s="584"/>
      <c r="R9" s="584"/>
      <c r="T9" s="585"/>
      <c r="Z9" s="586" t="s">
        <v>872</v>
      </c>
      <c r="AA9" s="473">
        <v>5.85</v>
      </c>
      <c r="AB9" s="444"/>
      <c r="AC9" s="444"/>
    </row>
    <row r="10" spans="1:41" ht="15.75" customHeight="1">
      <c r="D10" s="1437"/>
      <c r="E10" s="1438"/>
      <c r="F10" s="1438"/>
      <c r="G10" s="1439"/>
      <c r="H10" s="474"/>
      <c r="I10" s="475"/>
      <c r="J10" s="475"/>
      <c r="K10" s="475"/>
      <c r="L10" s="476"/>
      <c r="M10" s="477"/>
      <c r="N10" s="476"/>
      <c r="O10" s="478"/>
      <c r="R10" s="479"/>
      <c r="S10" s="479"/>
      <c r="T10" s="479"/>
      <c r="Z10" s="480" t="s">
        <v>873</v>
      </c>
      <c r="AA10" s="481">
        <v>6.85</v>
      </c>
      <c r="AB10" s="444"/>
      <c r="AC10" s="444"/>
    </row>
    <row r="11" spans="1:41" ht="15.75" customHeight="1">
      <c r="D11" s="1437"/>
      <c r="E11" s="1438"/>
      <c r="F11" s="1438"/>
      <c r="G11" s="1439"/>
      <c r="H11" s="482" t="s">
        <v>874</v>
      </c>
      <c r="I11" s="483"/>
      <c r="J11" s="483"/>
      <c r="K11" s="483"/>
      <c r="L11" s="484" t="s">
        <v>875</v>
      </c>
      <c r="M11" s="485"/>
      <c r="N11" s="485"/>
      <c r="O11" s="484" t="s">
        <v>876</v>
      </c>
      <c r="P11" s="486"/>
      <c r="Q11" s="486"/>
      <c r="R11" s="484" t="s">
        <v>877</v>
      </c>
      <c r="S11" s="486"/>
      <c r="T11" s="486"/>
      <c r="Z11" s="480" t="s">
        <v>878</v>
      </c>
      <c r="AA11" s="481">
        <v>5.31</v>
      </c>
      <c r="AB11" s="444"/>
      <c r="AC11" s="444"/>
    </row>
    <row r="12" spans="1:41" ht="15.75" customHeight="1">
      <c r="D12" s="1437"/>
      <c r="E12" s="1438"/>
      <c r="F12" s="1438"/>
      <c r="G12" s="1439"/>
      <c r="H12" s="487"/>
      <c r="J12" s="479"/>
      <c r="L12" s="472"/>
      <c r="M12" s="479"/>
      <c r="O12" s="472"/>
      <c r="R12" s="472"/>
      <c r="Z12" s="480" t="s">
        <v>879</v>
      </c>
      <c r="AA12" s="488">
        <v>38.5</v>
      </c>
      <c r="AB12" s="444"/>
      <c r="AC12" s="444"/>
    </row>
    <row r="13" spans="1:41" ht="15.75" customHeight="1">
      <c r="D13" s="1440"/>
      <c r="E13" s="1441"/>
      <c r="F13" s="1441"/>
      <c r="G13" s="1442"/>
      <c r="H13" s="489"/>
      <c r="I13" s="490"/>
      <c r="J13" s="491"/>
      <c r="K13" s="491"/>
      <c r="L13" s="491"/>
      <c r="M13" s="491"/>
      <c r="N13" s="490"/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0"/>
      <c r="Z13" s="492" t="s">
        <v>880</v>
      </c>
      <c r="AA13" s="493">
        <f>304/20</f>
        <v>15.2</v>
      </c>
      <c r="AB13" s="444"/>
      <c r="AC13" s="444"/>
    </row>
    <row r="14" spans="1:41" ht="15.75" customHeight="1">
      <c r="D14" s="440"/>
      <c r="E14" s="441"/>
      <c r="F14" s="441"/>
      <c r="G14" s="441"/>
      <c r="H14" s="441"/>
      <c r="I14" s="441"/>
      <c r="J14" s="441"/>
      <c r="K14" s="441"/>
      <c r="L14" s="441"/>
      <c r="M14" s="441"/>
      <c r="N14" s="441"/>
      <c r="O14" s="441"/>
      <c r="P14" s="441"/>
      <c r="Q14" s="441"/>
      <c r="R14" s="471"/>
      <c r="S14" s="494"/>
      <c r="T14" s="494"/>
      <c r="U14" s="494"/>
      <c r="V14" s="494"/>
      <c r="W14" s="494"/>
      <c r="X14" s="495"/>
      <c r="Y14" s="495"/>
      <c r="Z14" s="445"/>
      <c r="AA14" s="445"/>
    </row>
    <row r="15" spans="1:41" s="444" customFormat="1" ht="21.75" customHeight="1">
      <c r="A15" s="496"/>
      <c r="B15" s="496"/>
      <c r="C15" s="497"/>
      <c r="D15" s="654"/>
      <c r="E15" s="655"/>
      <c r="F15" s="656"/>
      <c r="G15" s="656"/>
      <c r="H15" s="1427" t="s">
        <v>881</v>
      </c>
      <c r="I15" s="1427" t="s">
        <v>882</v>
      </c>
      <c r="J15" s="1427" t="s">
        <v>883</v>
      </c>
      <c r="K15" s="1427" t="s">
        <v>884</v>
      </c>
      <c r="L15" s="1427" t="s">
        <v>885</v>
      </c>
      <c r="M15" s="1427" t="s">
        <v>886</v>
      </c>
      <c r="N15" s="1427" t="s">
        <v>887</v>
      </c>
      <c r="O15" s="1427" t="s">
        <v>888</v>
      </c>
      <c r="P15" s="1427" t="s">
        <v>889</v>
      </c>
      <c r="Q15" s="1429" t="s">
        <v>890</v>
      </c>
      <c r="R15" s="1430"/>
      <c r="S15" s="1431"/>
      <c r="T15" s="1429" t="s">
        <v>891</v>
      </c>
      <c r="U15" s="1430"/>
      <c r="V15" s="1430"/>
      <c r="W15" s="1431"/>
      <c r="X15" s="1432" t="s">
        <v>892</v>
      </c>
      <c r="Y15" s="1433"/>
      <c r="Z15" s="657" t="s">
        <v>893</v>
      </c>
      <c r="AA15" s="658" t="s">
        <v>893</v>
      </c>
      <c r="AC15" s="1426"/>
      <c r="AD15" s="1426"/>
      <c r="AE15" s="1426"/>
      <c r="AF15" s="1426"/>
      <c r="AG15" s="1426"/>
      <c r="AH15" s="9"/>
      <c r="AI15" s="9"/>
    </row>
    <row r="16" spans="1:41" s="444" customFormat="1" ht="21.75" customHeight="1">
      <c r="A16" s="496"/>
      <c r="B16" s="496"/>
      <c r="C16" s="498"/>
      <c r="D16" s="659" t="s">
        <v>894</v>
      </c>
      <c r="E16" s="660"/>
      <c r="F16" s="661" t="s">
        <v>145</v>
      </c>
      <c r="G16" s="662"/>
      <c r="H16" s="1428"/>
      <c r="I16" s="1428"/>
      <c r="J16" s="1428"/>
      <c r="K16" s="1428"/>
      <c r="L16" s="1428"/>
      <c r="M16" s="1428"/>
      <c r="N16" s="1428"/>
      <c r="O16" s="1428"/>
      <c r="P16" s="1428"/>
      <c r="Q16" s="663" t="s">
        <v>895</v>
      </c>
      <c r="R16" s="664" t="s">
        <v>896</v>
      </c>
      <c r="S16" s="665" t="s">
        <v>897</v>
      </c>
      <c r="T16" s="666" t="s">
        <v>898</v>
      </c>
      <c r="U16" s="667" t="s">
        <v>899</v>
      </c>
      <c r="V16" s="667" t="s">
        <v>900</v>
      </c>
      <c r="W16" s="665" t="s">
        <v>901</v>
      </c>
      <c r="X16" s="664" t="s">
        <v>902</v>
      </c>
      <c r="Y16" s="668" t="s">
        <v>903</v>
      </c>
      <c r="Z16" s="669" t="s">
        <v>904</v>
      </c>
      <c r="AA16" s="668" t="s">
        <v>905</v>
      </c>
      <c r="AB16" s="9"/>
      <c r="AC16" s="1426"/>
      <c r="AD16" s="1426"/>
      <c r="AE16" s="1426"/>
      <c r="AF16" s="1426"/>
      <c r="AG16" s="1426"/>
      <c r="AH16" s="9"/>
      <c r="AI16" s="9"/>
    </row>
    <row r="17" spans="1:38" s="444" customFormat="1" ht="15.75" customHeight="1">
      <c r="A17" s="28">
        <f>E17</f>
        <v>1</v>
      </c>
      <c r="B17" s="29">
        <f>E17</f>
        <v>1</v>
      </c>
      <c r="C17" s="498"/>
      <c r="D17" s="499"/>
      <c r="E17" s="500">
        <v>1</v>
      </c>
      <c r="F17" s="501" t="s">
        <v>906</v>
      </c>
      <c r="G17" s="501"/>
      <c r="H17" s="502"/>
      <c r="I17" s="502"/>
      <c r="J17" s="503"/>
      <c r="K17" s="503"/>
      <c r="L17" s="502"/>
      <c r="M17" s="502"/>
      <c r="N17" s="502"/>
      <c r="O17" s="502"/>
      <c r="P17" s="502"/>
      <c r="Q17" s="503"/>
      <c r="R17" s="504"/>
      <c r="S17" s="503"/>
      <c r="T17" s="503"/>
      <c r="U17" s="503"/>
      <c r="V17" s="503"/>
      <c r="W17" s="503"/>
      <c r="X17" s="505"/>
      <c r="Y17" s="505"/>
      <c r="Z17" s="505"/>
      <c r="AA17" s="506"/>
      <c r="AB17" s="9"/>
      <c r="AC17" s="9"/>
      <c r="AD17" s="9"/>
      <c r="AE17" s="9"/>
      <c r="AF17" s="9"/>
      <c r="AG17" s="9"/>
      <c r="AH17" s="9"/>
      <c r="AI17" s="9"/>
    </row>
    <row r="18" spans="1:38" ht="15.75" customHeight="1">
      <c r="A18" s="28">
        <f t="shared" ref="A18:A40" ca="1" si="0">IF(OFFSET(A18,-1,0)="",OFFSET(A18,-2,0),OFFSET(A18,-1,0))</f>
        <v>1</v>
      </c>
      <c r="B18" s="28" t="str">
        <f t="shared" ref="B18:B40" ca="1" si="1">IF(OFFSET(B18,-1,0)&gt;="01",CONCATENATE(,OFFSET(B18,-1,0)+1),CONCATENATE((SUM(OFFSET(B18,-1,0)+1-(OFFSET(B18,-1,0))))))</f>
        <v>1</v>
      </c>
      <c r="C18" s="507"/>
      <c r="D18" s="446"/>
      <c r="E18" s="507" t="str">
        <f t="shared" ref="E18:E39" ca="1" si="2">IF(B18="1",CONCATENATE(A18,".0",B18),IF(B18="2",CONCATENATE(A18,".0",B18),IF(B18="3",CONCATENATE(A18,".0",B18),IF(B18="4",CONCATENATE(A18,".0",B18),IF(B18="5",CONCATENATE(A18,".0",B18),IF(B18="6",CONCATENATE(A18,".0",B18),IF(B18="7",CONCATENATE(A18,".0",B18),IF(B18="8",CONCATENATE(A18,".0",B18),IF(B18="9",CONCATENATE(A18,".0",B18),CONCATENATE(A18,".",B18))))))))))</f>
        <v>1.01</v>
      </c>
      <c r="F18" s="441" t="s">
        <v>182</v>
      </c>
      <c r="H18" s="508">
        <v>226784.09099999999</v>
      </c>
      <c r="I18" s="508">
        <v>102052.84095</v>
      </c>
      <c r="J18" s="509">
        <v>77</v>
      </c>
      <c r="K18" s="510">
        <v>4</v>
      </c>
      <c r="L18" s="509">
        <v>2000</v>
      </c>
      <c r="M18" s="508">
        <v>938.38</v>
      </c>
      <c r="N18" s="508">
        <v>1029.8900000000001</v>
      </c>
      <c r="O18" s="508">
        <v>0.8</v>
      </c>
      <c r="P18" s="508">
        <f>1/8</f>
        <v>0.125</v>
      </c>
      <c r="Q18" s="511">
        <f t="shared" ref="Q18:Q39" si="3">IFERROR((H18-I18)/(K18*L18),0)</f>
        <v>15.591406256249998</v>
      </c>
      <c r="R18" s="512">
        <f t="shared" ref="R18:R39" si="4">IFERROR(((I18+((H18-I18)*(K18+1)/(2*K18)))*juros_medio)/L18,0)</f>
        <v>2.7001480834687497</v>
      </c>
      <c r="S18" s="513">
        <f t="shared" ref="S18:S23" si="5">IFERROR(((H18-I18)/(K18*L18))*O18,0)</f>
        <v>12.473125005</v>
      </c>
      <c r="T18" s="514">
        <f>IFERROR(((2*M18)+(2*N18))/(L18*K18),0)</f>
        <v>0.49206749999999999</v>
      </c>
      <c r="U18" s="513">
        <f t="shared" ref="U18:U39" si="6">IFERROR(J18*P18*valor_diesel*0.55,0)</f>
        <v>30.9684375</v>
      </c>
      <c r="V18" s="513">
        <f>IFERROR(U18*0.15,0)</f>
        <v>4.6452656249999995</v>
      </c>
      <c r="W18" s="513">
        <v>22.26</v>
      </c>
      <c r="X18" s="514">
        <f>SUM(Q18:W18)</f>
        <v>89.130449969718754</v>
      </c>
      <c r="Y18" s="514">
        <f>SUM(Q18:R18)</f>
        <v>18.291554339718747</v>
      </c>
      <c r="Z18" s="515">
        <f>IFERROR((X18*220)+(22*14*Y18),0)</f>
        <v>25242.497729971499</v>
      </c>
      <c r="AA18" s="516">
        <f t="shared" ref="AA18:AA39" si="7">Z18/SUM(dias_úteis_trabalhados+sábados_trabalhados+domingos_trabalhados)</f>
        <v>1147.3862604532499</v>
      </c>
    </row>
    <row r="19" spans="1:38" ht="15.75" customHeight="1">
      <c r="A19" s="28">
        <f t="shared" ca="1" si="0"/>
        <v>1</v>
      </c>
      <c r="B19" s="28" t="str">
        <f t="shared" ca="1" si="1"/>
        <v>2</v>
      </c>
      <c r="C19" s="507"/>
      <c r="D19" s="446"/>
      <c r="E19" s="507" t="str">
        <f t="shared" ca="1" si="2"/>
        <v>1.02</v>
      </c>
      <c r="F19" s="441" t="s">
        <v>466</v>
      </c>
      <c r="H19" s="508">
        <v>40000</v>
      </c>
      <c r="I19" s="508">
        <v>18000</v>
      </c>
      <c r="J19" s="509">
        <v>77</v>
      </c>
      <c r="K19" s="510">
        <v>4</v>
      </c>
      <c r="L19" s="509">
        <v>2000</v>
      </c>
      <c r="M19" s="508">
        <v>938.38</v>
      </c>
      <c r="N19" s="508">
        <v>1029.8900000000001</v>
      </c>
      <c r="O19" s="508">
        <v>0.8</v>
      </c>
      <c r="P19" s="508">
        <f>1/8</f>
        <v>0.125</v>
      </c>
      <c r="Q19" s="511">
        <f t="shared" si="3"/>
        <v>2.75</v>
      </c>
      <c r="R19" s="512">
        <f t="shared" si="4"/>
        <v>0.47625000000000001</v>
      </c>
      <c r="S19" s="513">
        <f t="shared" si="5"/>
        <v>2.2000000000000002</v>
      </c>
      <c r="T19" s="514">
        <f>IFERROR(((2*M19)+(4*N19))/(L19*K19),0)</f>
        <v>0.7495400000000001</v>
      </c>
      <c r="U19" s="513">
        <f t="shared" si="6"/>
        <v>30.9684375</v>
      </c>
      <c r="V19" s="513">
        <f t="shared" ref="V19:V39" si="8">IFERROR(U19*0.15,0)</f>
        <v>4.6452656249999995</v>
      </c>
      <c r="W19" s="513">
        <v>22.26</v>
      </c>
      <c r="X19" s="514">
        <f>SUM(Q19:W19)</f>
        <v>64.049493124999998</v>
      </c>
      <c r="Y19" s="514">
        <f t="shared" ref="Y19:Y39" si="9">SUM(Q19:R19)</f>
        <v>3.2262499999999998</v>
      </c>
      <c r="Z19" s="515">
        <f t="shared" ref="Z19:Z39" si="10">IFERROR((X19*220)+(22*14*Y19),0)</f>
        <v>15084.5734875</v>
      </c>
      <c r="AA19" s="516">
        <f t="shared" si="7"/>
        <v>685.66243124999994</v>
      </c>
    </row>
    <row r="20" spans="1:38" ht="15.75" customHeight="1">
      <c r="A20" s="28">
        <f t="shared" ca="1" si="0"/>
        <v>1</v>
      </c>
      <c r="B20" s="28" t="str">
        <f t="shared" ca="1" si="1"/>
        <v>3</v>
      </c>
      <c r="C20" s="507"/>
      <c r="D20" s="446"/>
      <c r="E20" s="507" t="str">
        <f t="shared" ca="1" si="2"/>
        <v>1.03</v>
      </c>
      <c r="F20" s="441" t="s">
        <v>181</v>
      </c>
      <c r="H20" s="508">
        <v>588772.72699999996</v>
      </c>
      <c r="I20" s="508">
        <v>264947.72714999999</v>
      </c>
      <c r="J20" s="509">
        <v>138</v>
      </c>
      <c r="K20" s="519">
        <v>4</v>
      </c>
      <c r="L20" s="509">
        <v>2000</v>
      </c>
      <c r="M20" s="508">
        <v>0</v>
      </c>
      <c r="N20" s="508">
        <v>0</v>
      </c>
      <c r="O20" s="508">
        <v>0.8</v>
      </c>
      <c r="P20" s="508">
        <f>1/8</f>
        <v>0.125</v>
      </c>
      <c r="Q20" s="511">
        <f t="shared" si="3"/>
        <v>40.478124981249998</v>
      </c>
      <c r="R20" s="512">
        <f t="shared" si="4"/>
        <v>7.0100752808437488</v>
      </c>
      <c r="S20" s="513">
        <f t="shared" si="5"/>
        <v>32.382499985000003</v>
      </c>
      <c r="T20" s="514">
        <f>IFERROR(((2*M20)+(2*N20))/(L20*K20),0)</f>
        <v>0</v>
      </c>
      <c r="U20" s="513">
        <f t="shared" si="6"/>
        <v>55.501874999999998</v>
      </c>
      <c r="V20" s="513">
        <f t="shared" si="8"/>
        <v>8.3252812499999997</v>
      </c>
      <c r="W20" s="513">
        <v>22.26</v>
      </c>
      <c r="X20" s="514">
        <f t="shared" ref="X20:X25" si="11">SUM(Q20:W20)</f>
        <v>165.95785649709373</v>
      </c>
      <c r="Y20" s="514">
        <f t="shared" si="9"/>
        <v>47.488200262093748</v>
      </c>
      <c r="Z20" s="515">
        <f t="shared" si="10"/>
        <v>51137.094110085498</v>
      </c>
      <c r="AA20" s="516">
        <f t="shared" si="7"/>
        <v>2324.4133686402497</v>
      </c>
    </row>
    <row r="21" spans="1:38" ht="15.75" customHeight="1">
      <c r="A21" s="28">
        <f t="shared" ca="1" si="0"/>
        <v>1</v>
      </c>
      <c r="B21" s="28" t="str">
        <f t="shared" ca="1" si="1"/>
        <v>4</v>
      </c>
      <c r="C21" s="507"/>
      <c r="D21" s="446"/>
      <c r="E21" s="507" t="str">
        <f t="shared" ca="1" si="2"/>
        <v>1.04</v>
      </c>
      <c r="F21" s="441" t="s">
        <v>180</v>
      </c>
      <c r="H21" s="508">
        <v>380981.59600000002</v>
      </c>
      <c r="I21" s="508">
        <v>171441.7182</v>
      </c>
      <c r="J21" s="509">
        <v>200</v>
      </c>
      <c r="K21" s="517">
        <v>4</v>
      </c>
      <c r="L21" s="509">
        <v>2000</v>
      </c>
      <c r="M21" s="508">
        <v>0</v>
      </c>
      <c r="N21" s="508">
        <v>0</v>
      </c>
      <c r="O21" s="508">
        <v>0.8</v>
      </c>
      <c r="P21" s="508">
        <f>1/7</f>
        <v>0.14285714285714285</v>
      </c>
      <c r="Q21" s="511">
        <f t="shared" si="3"/>
        <v>26.192484725000003</v>
      </c>
      <c r="R21" s="512">
        <f t="shared" si="4"/>
        <v>4.5360621273749997</v>
      </c>
      <c r="S21" s="513">
        <f t="shared" si="5"/>
        <v>20.953987780000006</v>
      </c>
      <c r="T21" s="514">
        <f t="shared" ref="T21:T39" si="12">IFERROR(((2*M21)+(4*N21))/(L21*K21),0)</f>
        <v>0</v>
      </c>
      <c r="U21" s="513">
        <f t="shared" si="6"/>
        <v>91.928571428571416</v>
      </c>
      <c r="V21" s="513">
        <f t="shared" si="8"/>
        <v>13.789285714285713</v>
      </c>
      <c r="W21" s="513">
        <v>22.26</v>
      </c>
      <c r="X21" s="514">
        <f t="shared" si="11"/>
        <v>179.66039177523214</v>
      </c>
      <c r="Y21" s="514">
        <f t="shared" si="9"/>
        <v>30.728546852375004</v>
      </c>
      <c r="Z21" s="515">
        <f t="shared" si="10"/>
        <v>48989.678621082574</v>
      </c>
      <c r="AA21" s="516">
        <f t="shared" si="7"/>
        <v>2226.8035736855713</v>
      </c>
      <c r="AJ21" s="518"/>
      <c r="AK21" s="518"/>
      <c r="AL21" s="518"/>
    </row>
    <row r="22" spans="1:38" ht="15.75" customHeight="1">
      <c r="A22" s="28">
        <f t="shared" ca="1" si="0"/>
        <v>1</v>
      </c>
      <c r="B22" s="28" t="str">
        <f t="shared" ca="1" si="1"/>
        <v>5</v>
      </c>
      <c r="C22" s="507"/>
      <c r="D22" s="446"/>
      <c r="E22" s="507" t="str">
        <f t="shared" ca="1" si="2"/>
        <v>1.05</v>
      </c>
      <c r="F22" s="441" t="s">
        <v>179</v>
      </c>
      <c r="H22" s="508">
        <v>390774</v>
      </c>
      <c r="I22" s="508">
        <v>175848.30000000002</v>
      </c>
      <c r="J22" s="509">
        <v>197</v>
      </c>
      <c r="K22" s="517">
        <v>4</v>
      </c>
      <c r="L22" s="509">
        <v>2000</v>
      </c>
      <c r="M22" s="508">
        <v>2044.46</v>
      </c>
      <c r="N22" s="508">
        <v>2044.46</v>
      </c>
      <c r="O22" s="508">
        <v>0.8</v>
      </c>
      <c r="P22" s="508">
        <f>1/8</f>
        <v>0.125</v>
      </c>
      <c r="Q22" s="511">
        <f t="shared" si="3"/>
        <v>26.865712499999997</v>
      </c>
      <c r="R22" s="512">
        <f t="shared" si="4"/>
        <v>4.652652937500001</v>
      </c>
      <c r="S22" s="513">
        <f t="shared" si="5"/>
        <v>21.492570000000001</v>
      </c>
      <c r="T22" s="514">
        <f t="shared" si="12"/>
        <v>1.533345</v>
      </c>
      <c r="U22" s="513">
        <f t="shared" si="6"/>
        <v>79.230937499999996</v>
      </c>
      <c r="V22" s="513">
        <f t="shared" si="8"/>
        <v>11.884640624999999</v>
      </c>
      <c r="W22" s="513">
        <v>22.26</v>
      </c>
      <c r="X22" s="514">
        <f t="shared" si="11"/>
        <v>167.91985856249997</v>
      </c>
      <c r="Y22" s="514">
        <f t="shared" si="9"/>
        <v>31.518365437499998</v>
      </c>
      <c r="Z22" s="515">
        <f t="shared" si="10"/>
        <v>46650.025438499993</v>
      </c>
      <c r="AA22" s="516">
        <f t="shared" si="7"/>
        <v>2120.4557017499997</v>
      </c>
      <c r="AJ22" s="518"/>
      <c r="AK22" s="518"/>
      <c r="AL22" s="518"/>
    </row>
    <row r="23" spans="1:38" ht="15.75" customHeight="1">
      <c r="A23" s="28">
        <f t="shared" ca="1" si="0"/>
        <v>1</v>
      </c>
      <c r="B23" s="28" t="str">
        <f t="shared" ca="1" si="1"/>
        <v>6</v>
      </c>
      <c r="C23" s="507"/>
      <c r="D23" s="446"/>
      <c r="E23" s="507" t="str">
        <f t="shared" ca="1" si="2"/>
        <v>1.06</v>
      </c>
      <c r="F23" s="441" t="s">
        <v>908</v>
      </c>
      <c r="H23" s="508">
        <v>221016.2</v>
      </c>
      <c r="I23" s="508">
        <v>99457.290000000008</v>
      </c>
      <c r="J23" s="509">
        <v>270</v>
      </c>
      <c r="K23" s="519">
        <v>5</v>
      </c>
      <c r="L23" s="509">
        <v>2000</v>
      </c>
      <c r="M23" s="508">
        <v>1592.91</v>
      </c>
      <c r="N23" s="508">
        <v>1592.91</v>
      </c>
      <c r="O23" s="508">
        <v>0.6</v>
      </c>
      <c r="P23" s="508">
        <f>1/8</f>
        <v>0.125</v>
      </c>
      <c r="Q23" s="511">
        <f t="shared" si="3"/>
        <v>12.155891</v>
      </c>
      <c r="R23" s="512">
        <f t="shared" si="4"/>
        <v>2.5858895399999997</v>
      </c>
      <c r="S23" s="513">
        <f t="shared" si="5"/>
        <v>7.2935346000000001</v>
      </c>
      <c r="T23" s="514">
        <f t="shared" si="12"/>
        <v>0.9557460000000001</v>
      </c>
      <c r="U23" s="513">
        <f t="shared" si="6"/>
        <v>108.590625</v>
      </c>
      <c r="V23" s="513">
        <f t="shared" si="8"/>
        <v>16.28859375</v>
      </c>
      <c r="W23" s="513">
        <v>22.26</v>
      </c>
      <c r="X23" s="514">
        <f t="shared" si="11"/>
        <v>170.13027989</v>
      </c>
      <c r="Y23" s="514">
        <f t="shared" si="9"/>
        <v>14.741780540000001</v>
      </c>
      <c r="Z23" s="515">
        <f t="shared" si="10"/>
        <v>41969.129982119994</v>
      </c>
      <c r="AA23" s="516">
        <f t="shared" si="7"/>
        <v>1907.6877264599998</v>
      </c>
      <c r="AJ23" s="518"/>
      <c r="AK23" s="518"/>
      <c r="AL23" s="518"/>
    </row>
    <row r="24" spans="1:38" ht="15.75" customHeight="1">
      <c r="A24" s="28">
        <f t="shared" ca="1" si="0"/>
        <v>1</v>
      </c>
      <c r="B24" s="28" t="str">
        <f t="shared" ca="1" si="1"/>
        <v>7</v>
      </c>
      <c r="C24" s="507"/>
      <c r="D24" s="446"/>
      <c r="E24" s="507" t="str">
        <f ca="1">IF(B24="1",CONCATENATE(A24,".0",B24),IF(B24="2",CONCATENATE(A24,".0",B24),IF(B24="3",CONCATENATE(A24,".0",B24),IF(B24="4",CONCATENATE(A24,".0",B24),IF(B24="5",CONCATENATE(A24,".0",B24),IF(B24="6",CONCATENATE(A24,".0",B24),IF(B24="7",CONCATENATE(A24,".0",B24),IF(B24="8",CONCATENATE(A24,".0",B24),IF(B24="9",CONCATENATE(A24,".0",B24),CONCATENATE(A24,".",B24))))))))))</f>
        <v>1.07</v>
      </c>
      <c r="F24" s="441" t="s">
        <v>282</v>
      </c>
      <c r="H24" s="508">
        <v>266016.2</v>
      </c>
      <c r="I24" s="508">
        <v>119707.29000000001</v>
      </c>
      <c r="J24" s="509">
        <v>270</v>
      </c>
      <c r="K24" s="519">
        <v>4</v>
      </c>
      <c r="L24" s="509">
        <v>2000</v>
      </c>
      <c r="M24" s="508">
        <v>1592.91</v>
      </c>
      <c r="N24" s="508">
        <v>1592.91</v>
      </c>
      <c r="O24" s="508">
        <v>0.6</v>
      </c>
      <c r="P24" s="508">
        <f>1/8</f>
        <v>0.125</v>
      </c>
      <c r="Q24" s="511">
        <f>IFERROR((H24-I24)/(K24*L24),0)</f>
        <v>18.28861375</v>
      </c>
      <c r="R24" s="512">
        <f t="shared" ref="R24:R38" si="13">IFERROR(((I24+((H24-I24)*(K24+1)/(2*K24)))*juros_medio)/L24,0)</f>
        <v>3.1672553812499999</v>
      </c>
      <c r="S24" s="513">
        <f>IFERROR(((H24-I24)/(K24*L24))*O24,0)</f>
        <v>10.973168249999999</v>
      </c>
      <c r="T24" s="514">
        <f>IFERROR(((2*M24)+(4*N24))/(L24*K24),0)</f>
        <v>1.1946825000000001</v>
      </c>
      <c r="U24" s="513">
        <f t="shared" ref="U24:U38" si="14">IFERROR(J24*P24*valor_diesel*0.55,0)</f>
        <v>108.590625</v>
      </c>
      <c r="V24" s="513">
        <f t="shared" ref="V24:V38" si="15">IFERROR(U24*0.15,0)</f>
        <v>16.28859375</v>
      </c>
      <c r="W24" s="513">
        <v>22.26</v>
      </c>
      <c r="X24" s="514">
        <f>SUM(Q24:W24)</f>
        <v>180.76293863124997</v>
      </c>
      <c r="Y24" s="514">
        <f t="shared" ref="Y24:Y38" si="16">SUM(Q24:R24)</f>
        <v>21.455869131250001</v>
      </c>
      <c r="Z24" s="515">
        <f t="shared" si="10"/>
        <v>46376.254191299988</v>
      </c>
      <c r="AA24" s="516">
        <f t="shared" si="7"/>
        <v>2108.0115541499995</v>
      </c>
      <c r="AJ24" s="518"/>
      <c r="AK24" s="518"/>
      <c r="AL24" s="518"/>
    </row>
    <row r="25" spans="1:38" ht="15.75" customHeight="1">
      <c r="A25" s="28">
        <f t="shared" ca="1" si="0"/>
        <v>1</v>
      </c>
      <c r="B25" s="28" t="str">
        <f t="shared" ca="1" si="1"/>
        <v>8</v>
      </c>
      <c r="C25" s="507"/>
      <c r="D25" s="446"/>
      <c r="E25" s="507" t="str">
        <f t="shared" ca="1" si="2"/>
        <v>1.08</v>
      </c>
      <c r="F25" s="9" t="s">
        <v>907</v>
      </c>
      <c r="H25" s="508">
        <v>615427</v>
      </c>
      <c r="I25" s="520">
        <v>276942.15000000002</v>
      </c>
      <c r="J25" s="509">
        <v>138</v>
      </c>
      <c r="K25" s="517">
        <v>4</v>
      </c>
      <c r="L25" s="509">
        <v>2000</v>
      </c>
      <c r="M25" s="508">
        <v>938.38</v>
      </c>
      <c r="N25" s="508">
        <v>2431.6999999999998</v>
      </c>
      <c r="O25" s="508">
        <v>0.8</v>
      </c>
      <c r="P25" s="508">
        <f>1/8</f>
        <v>0.125</v>
      </c>
      <c r="Q25" s="511">
        <f t="shared" si="3"/>
        <v>42.310606249999999</v>
      </c>
      <c r="R25" s="512">
        <f t="shared" si="13"/>
        <v>7.3274277187500001</v>
      </c>
      <c r="S25" s="521">
        <f t="shared" ref="S25:S39" si="17">IFERROR(((K25-L25)/(I25*J25))*O25,0)</f>
        <v>-4.1781341311727455E-5</v>
      </c>
      <c r="T25" s="514">
        <f t="shared" si="12"/>
        <v>1.450445</v>
      </c>
      <c r="U25" s="521">
        <f t="shared" si="14"/>
        <v>55.501874999999998</v>
      </c>
      <c r="V25" s="521">
        <f t="shared" si="15"/>
        <v>8.3252812499999997</v>
      </c>
      <c r="W25" s="521">
        <v>0</v>
      </c>
      <c r="X25" s="514">
        <f t="shared" si="11"/>
        <v>114.9155934374087</v>
      </c>
      <c r="Y25" s="514">
        <f t="shared" si="16"/>
        <v>49.638033968750001</v>
      </c>
      <c r="Z25" s="515">
        <f t="shared" si="10"/>
        <v>40569.945018604914</v>
      </c>
      <c r="AA25" s="516">
        <f t="shared" si="7"/>
        <v>1844.0884099365869</v>
      </c>
      <c r="AJ25" s="518"/>
      <c r="AK25" s="518"/>
      <c r="AL25" s="518"/>
    </row>
    <row r="26" spans="1:38" ht="15.75" customHeight="1">
      <c r="A26" s="28">
        <f t="shared" ca="1" si="0"/>
        <v>1</v>
      </c>
      <c r="B26" s="28" t="str">
        <f t="shared" ca="1" si="1"/>
        <v>9</v>
      </c>
      <c r="C26" s="507"/>
      <c r="D26" s="446"/>
      <c r="E26" s="507" t="str">
        <f t="shared" ca="1" si="2"/>
        <v>1.09</v>
      </c>
      <c r="F26" s="9" t="s">
        <v>909</v>
      </c>
      <c r="H26" s="508">
        <v>61300</v>
      </c>
      <c r="I26" s="520">
        <v>42910</v>
      </c>
      <c r="J26" s="508">
        <v>0</v>
      </c>
      <c r="K26" s="508">
        <v>5</v>
      </c>
      <c r="L26" s="509">
        <v>2000</v>
      </c>
      <c r="M26" s="508">
        <v>0</v>
      </c>
      <c r="N26" s="508">
        <v>0</v>
      </c>
      <c r="O26" s="508">
        <v>0.8</v>
      </c>
      <c r="P26" s="508">
        <f>1/18</f>
        <v>5.5555555555555552E-2</v>
      </c>
      <c r="Q26" s="511">
        <f t="shared" si="3"/>
        <v>1.839</v>
      </c>
      <c r="R26" s="512">
        <f t="shared" si="13"/>
        <v>0.80915999999999999</v>
      </c>
      <c r="S26" s="521">
        <f t="shared" si="17"/>
        <v>0</v>
      </c>
      <c r="T26" s="514">
        <f t="shared" si="12"/>
        <v>0</v>
      </c>
      <c r="U26" s="521">
        <f t="shared" si="14"/>
        <v>0</v>
      </c>
      <c r="V26" s="521">
        <f t="shared" si="15"/>
        <v>0</v>
      </c>
      <c r="W26" s="521">
        <v>0</v>
      </c>
      <c r="X26" s="514">
        <f t="shared" ref="X26:X39" si="18">SUM(Q26:W26)</f>
        <v>2.6481599999999998</v>
      </c>
      <c r="Y26" s="514">
        <f t="shared" si="16"/>
        <v>2.6481599999999998</v>
      </c>
      <c r="Z26" s="515">
        <f t="shared" si="10"/>
        <v>1398.2284799999998</v>
      </c>
      <c r="AA26" s="516">
        <f t="shared" si="7"/>
        <v>63.555839999999989</v>
      </c>
      <c r="AJ26" s="518"/>
      <c r="AK26" s="518"/>
      <c r="AL26" s="518"/>
    </row>
    <row r="27" spans="1:38" ht="15.75" customHeight="1">
      <c r="A27" s="28">
        <f t="shared" ca="1" si="0"/>
        <v>1</v>
      </c>
      <c r="B27" s="28" t="str">
        <f t="shared" ca="1" si="1"/>
        <v>10</v>
      </c>
      <c r="C27" s="507"/>
      <c r="D27" s="446"/>
      <c r="E27" s="507" t="str">
        <f t="shared" ca="1" si="2"/>
        <v>1.10</v>
      </c>
      <c r="F27" s="9" t="s">
        <v>910</v>
      </c>
      <c r="H27" s="508">
        <v>200000</v>
      </c>
      <c r="I27" s="520">
        <v>140000</v>
      </c>
      <c r="J27" s="508">
        <v>270</v>
      </c>
      <c r="K27" s="508">
        <v>5</v>
      </c>
      <c r="L27" s="509"/>
      <c r="M27" s="508">
        <f>6*1592.91</f>
        <v>9557.4600000000009</v>
      </c>
      <c r="N27" s="508">
        <f>16*1592.91</f>
        <v>25486.560000000001</v>
      </c>
      <c r="O27" s="508"/>
      <c r="P27" s="508"/>
      <c r="Q27" s="511">
        <f>IFERROR((H27-I27)/(K27*L27),0)</f>
        <v>0</v>
      </c>
      <c r="R27" s="512">
        <f t="shared" si="13"/>
        <v>0</v>
      </c>
      <c r="S27" s="521">
        <f t="shared" si="17"/>
        <v>0</v>
      </c>
      <c r="T27" s="514">
        <f t="shared" si="12"/>
        <v>0</v>
      </c>
      <c r="U27" s="521">
        <f t="shared" si="14"/>
        <v>0</v>
      </c>
      <c r="V27" s="521">
        <f t="shared" si="15"/>
        <v>0</v>
      </c>
      <c r="W27" s="521">
        <v>0</v>
      </c>
      <c r="X27" s="514">
        <f t="shared" si="18"/>
        <v>0</v>
      </c>
      <c r="Y27" s="514">
        <f t="shared" si="16"/>
        <v>0</v>
      </c>
      <c r="Z27" s="515">
        <f t="shared" si="10"/>
        <v>0</v>
      </c>
      <c r="AA27" s="516">
        <f t="shared" si="7"/>
        <v>0</v>
      </c>
      <c r="AJ27" s="518"/>
      <c r="AK27" s="518"/>
      <c r="AL27" s="518"/>
    </row>
    <row r="28" spans="1:38" ht="15.75" customHeight="1">
      <c r="A28" s="28">
        <f t="shared" ca="1" si="0"/>
        <v>1</v>
      </c>
      <c r="B28" s="28" t="str">
        <f t="shared" ca="1" si="1"/>
        <v>11</v>
      </c>
      <c r="C28" s="507"/>
      <c r="D28" s="446"/>
      <c r="E28" s="507" t="str">
        <f t="shared" ca="1" si="2"/>
        <v>1.11</v>
      </c>
      <c r="F28" s="9" t="s">
        <v>911</v>
      </c>
      <c r="H28" s="508"/>
      <c r="I28" s="520"/>
      <c r="J28" s="508"/>
      <c r="K28" s="508"/>
      <c r="L28" s="509"/>
      <c r="M28" s="508"/>
      <c r="N28" s="508"/>
      <c r="O28" s="508"/>
      <c r="P28" s="508"/>
      <c r="Q28" s="511">
        <f>IFERROR((H28-I28)/(K28*L28),0)</f>
        <v>0</v>
      </c>
      <c r="R28" s="512">
        <f t="shared" si="13"/>
        <v>0</v>
      </c>
      <c r="S28" s="521">
        <f t="shared" si="17"/>
        <v>0</v>
      </c>
      <c r="T28" s="514">
        <f t="shared" si="12"/>
        <v>0</v>
      </c>
      <c r="U28" s="521">
        <f t="shared" si="14"/>
        <v>0</v>
      </c>
      <c r="V28" s="521">
        <f t="shared" si="15"/>
        <v>0</v>
      </c>
      <c r="W28" s="521">
        <v>0</v>
      </c>
      <c r="X28" s="514">
        <f t="shared" si="18"/>
        <v>0</v>
      </c>
      <c r="Y28" s="514">
        <f t="shared" si="16"/>
        <v>0</v>
      </c>
      <c r="Z28" s="515">
        <f t="shared" si="10"/>
        <v>0</v>
      </c>
      <c r="AA28" s="516">
        <f t="shared" si="7"/>
        <v>0</v>
      </c>
      <c r="AJ28" s="518"/>
      <c r="AK28" s="518"/>
      <c r="AL28" s="518"/>
    </row>
    <row r="29" spans="1:38" ht="15.75" customHeight="1">
      <c r="A29" s="28">
        <f t="shared" ca="1" si="0"/>
        <v>1</v>
      </c>
      <c r="B29" s="28" t="str">
        <f t="shared" ca="1" si="1"/>
        <v>12</v>
      </c>
      <c r="C29" s="507"/>
      <c r="D29" s="446"/>
      <c r="E29" s="507" t="str">
        <f t="shared" ref="E29:E30" ca="1" si="19">IF(B29="1",CONCATENATE(A29,".0",B29),IF(B29="2",CONCATENATE(A29,".0",B29),IF(B29="3",CONCATENATE(A29,".0",B29),IF(B29="4",CONCATENATE(A29,".0",B29),IF(B29="5",CONCATENATE(A29,".0",B29),IF(B29="6",CONCATENATE(A29,".0",B29),IF(B29="7",CONCATENATE(A29,".0",B29),IF(B29="8",CONCATENATE(A29,".0",B29),IF(B29="9",CONCATENATE(A29,".0",B29),CONCATENATE(A29,".",B29))))))))))</f>
        <v>1.12</v>
      </c>
      <c r="F29" s="9" t="s">
        <v>1836</v>
      </c>
      <c r="H29" s="508">
        <v>5248.04</v>
      </c>
      <c r="I29" s="520">
        <v>1049.6079999999999</v>
      </c>
      <c r="J29" s="508">
        <v>14.8</v>
      </c>
      <c r="K29" s="508">
        <v>2</v>
      </c>
      <c r="L29" s="509">
        <v>2000</v>
      </c>
      <c r="M29" s="508">
        <v>0</v>
      </c>
      <c r="N29" s="508">
        <v>0</v>
      </c>
      <c r="O29" s="508">
        <v>0.16666666666666666</v>
      </c>
      <c r="P29" s="508">
        <f>1/12</f>
        <v>8.3333333333333329E-2</v>
      </c>
      <c r="Q29" s="511">
        <f>IFERROR((H29-I29)/(K29*L29),0)</f>
        <v>1.0496079999999999</v>
      </c>
      <c r="R29" s="512">
        <f t="shared" ref="R29:R30" si="20">IFERROR(((I29+((H29-I29)*(K29+1)/(2*K29)))*juros_medio)/L29,0)</f>
        <v>6.2976480000000001E-2</v>
      </c>
      <c r="S29" s="521">
        <f t="shared" ref="S29:S30" si="21">IFERROR(((K29-L29)/(I29*J29))*O29,0)</f>
        <v>-2.1436574416353535E-2</v>
      </c>
      <c r="T29" s="514">
        <f t="shared" ref="T29:T30" si="22">IFERROR(((2*M29)+(4*N29))/(L29*K29),0)</f>
        <v>0</v>
      </c>
      <c r="U29" s="521">
        <f t="shared" ref="U29:U30" si="23">IFERROR(J29*P29*valor_diesel*0.55,0)</f>
        <v>3.9682500000000003</v>
      </c>
      <c r="V29" s="521">
        <f t="shared" ref="V29:V30" si="24">IFERROR(U29*0.15,0)</f>
        <v>0.59523749999999997</v>
      </c>
      <c r="W29" s="521">
        <v>0</v>
      </c>
      <c r="X29" s="514">
        <f t="shared" si="18"/>
        <v>5.6546354055836456</v>
      </c>
      <c r="Y29" s="514">
        <f t="shared" ref="Y29:Y30" si="25">SUM(Q29:R29)</f>
        <v>1.1125844799999998</v>
      </c>
      <c r="Z29" s="515">
        <f t="shared" ref="Z29:Z30" si="26">IFERROR((X29*220)+(22*14*Y29),0)</f>
        <v>1586.695809068402</v>
      </c>
      <c r="AA29" s="516">
        <f>Z29/SUM(dias_úteis_trabalhados+sábados_trabalhados+domingos_trabalhados)</f>
        <v>72.122536775836451</v>
      </c>
      <c r="AJ29" s="518"/>
      <c r="AK29" s="518"/>
      <c r="AL29" s="518"/>
    </row>
    <row r="30" spans="1:38" ht="15.75" customHeight="1">
      <c r="A30" s="28">
        <f t="shared" ca="1" si="0"/>
        <v>1</v>
      </c>
      <c r="B30" s="28" t="str">
        <f t="shared" ca="1" si="1"/>
        <v>13</v>
      </c>
      <c r="C30" s="507"/>
      <c r="D30" s="446"/>
      <c r="E30" s="507" t="str">
        <f t="shared" ca="1" si="19"/>
        <v>1.13</v>
      </c>
      <c r="F30" s="9" t="s">
        <v>1837</v>
      </c>
      <c r="H30" s="508">
        <v>6239.9</v>
      </c>
      <c r="I30" s="520">
        <v>2495.96</v>
      </c>
      <c r="J30" s="508">
        <v>9</v>
      </c>
      <c r="K30" s="508">
        <v>4</v>
      </c>
      <c r="L30" s="509">
        <v>2000</v>
      </c>
      <c r="M30" s="508">
        <v>229.9</v>
      </c>
      <c r="N30" s="508">
        <v>0</v>
      </c>
      <c r="O30" s="508">
        <v>0.16666666666666666</v>
      </c>
      <c r="P30" s="508">
        <f>1/12</f>
        <v>8.3333333333333329E-2</v>
      </c>
      <c r="Q30" s="511">
        <f t="shared" ref="Q30" si="27">IFERROR((H30-I30)/(K30*L30),0)</f>
        <v>0.46799249999999992</v>
      </c>
      <c r="R30" s="512">
        <f t="shared" si="20"/>
        <v>7.2538837499999981E-2</v>
      </c>
      <c r="S30" s="521">
        <f t="shared" si="21"/>
        <v>-1.4809116717801151E-2</v>
      </c>
      <c r="T30" s="514">
        <f t="shared" si="22"/>
        <v>5.7474999999999998E-2</v>
      </c>
      <c r="U30" s="521">
        <f t="shared" si="23"/>
        <v>2.413125</v>
      </c>
      <c r="V30" s="521">
        <f t="shared" si="24"/>
        <v>0.36196875000000001</v>
      </c>
      <c r="W30" s="521">
        <v>0</v>
      </c>
      <c r="X30" s="514">
        <f t="shared" si="18"/>
        <v>3.3582909707821988</v>
      </c>
      <c r="Y30" s="514">
        <f t="shared" si="25"/>
        <v>0.54053133749999993</v>
      </c>
      <c r="Z30" s="515">
        <f t="shared" si="26"/>
        <v>905.30766552208377</v>
      </c>
      <c r="AA30" s="516">
        <f t="shared" ref="AA30" si="28">Z30/SUM(dias_úteis_trabalhados+sábados_trabalhados+domingos_trabalhados)</f>
        <v>41.150348432821993</v>
      </c>
      <c r="AJ30" s="518"/>
      <c r="AK30" s="518"/>
      <c r="AL30" s="518"/>
    </row>
    <row r="31" spans="1:38" ht="15.75" customHeight="1">
      <c r="A31" s="28">
        <f t="shared" ca="1" si="0"/>
        <v>1</v>
      </c>
      <c r="B31" s="28" t="str">
        <f t="shared" ca="1" si="1"/>
        <v>14</v>
      </c>
      <c r="C31" s="507"/>
      <c r="D31" s="446"/>
      <c r="E31" s="507" t="str">
        <f t="shared" ca="1" si="2"/>
        <v>1.14</v>
      </c>
      <c r="F31" s="9" t="s">
        <v>1838</v>
      </c>
      <c r="H31" s="508">
        <v>309187.5</v>
      </c>
      <c r="I31" s="520">
        <v>216431.25</v>
      </c>
      <c r="J31" s="508"/>
      <c r="K31" s="517">
        <v>4</v>
      </c>
      <c r="L31" s="509">
        <v>2000</v>
      </c>
      <c r="M31" s="508"/>
      <c r="N31" s="508"/>
      <c r="O31" s="508">
        <v>0.6</v>
      </c>
      <c r="P31" s="508"/>
      <c r="Q31" s="511">
        <f>IFERROR((H31-I31)/(K31*L31),0)</f>
        <v>11.594531249999999</v>
      </c>
      <c r="R31" s="512">
        <f t="shared" si="13"/>
        <v>4.11605859375</v>
      </c>
      <c r="S31" s="521">
        <f t="shared" si="17"/>
        <v>0</v>
      </c>
      <c r="T31" s="514">
        <f t="shared" si="12"/>
        <v>0</v>
      </c>
      <c r="U31" s="521">
        <f t="shared" si="14"/>
        <v>0</v>
      </c>
      <c r="V31" s="521">
        <f t="shared" si="15"/>
        <v>0</v>
      </c>
      <c r="W31" s="521">
        <v>0</v>
      </c>
      <c r="X31" s="514">
        <f t="shared" si="18"/>
        <v>15.71058984375</v>
      </c>
      <c r="Y31" s="514">
        <f t="shared" si="16"/>
        <v>15.71058984375</v>
      </c>
      <c r="Z31" s="515">
        <f t="shared" si="10"/>
        <v>8295.1914374999997</v>
      </c>
      <c r="AA31" s="516">
        <f>Z31/SUM(dias_úteis_trabalhados+sábados_trabalhados+domingos_trabalhados)</f>
        <v>377.05415625000001</v>
      </c>
      <c r="AJ31" s="518"/>
      <c r="AK31" s="518"/>
      <c r="AL31" s="518"/>
    </row>
    <row r="32" spans="1:38" ht="15.75" customHeight="1">
      <c r="A32" s="28">
        <f t="shared" ca="1" si="0"/>
        <v>1</v>
      </c>
      <c r="B32" s="28" t="str">
        <f t="shared" ca="1" si="1"/>
        <v>15</v>
      </c>
      <c r="C32" s="507"/>
      <c r="D32" s="446"/>
      <c r="E32" s="507" t="str">
        <f t="shared" ca="1" si="2"/>
        <v>1.15</v>
      </c>
      <c r="F32" s="9" t="s">
        <v>1839</v>
      </c>
      <c r="H32" s="508">
        <v>350296.87</v>
      </c>
      <c r="I32" s="520">
        <v>245207.80899999998</v>
      </c>
      <c r="J32" s="508"/>
      <c r="K32" s="517">
        <v>4</v>
      </c>
      <c r="L32" s="509">
        <v>2000</v>
      </c>
      <c r="M32" s="508"/>
      <c r="N32" s="508"/>
      <c r="O32" s="508">
        <v>0.6</v>
      </c>
      <c r="P32" s="508"/>
      <c r="Q32" s="511">
        <f t="shared" ref="Q32" si="29">IFERROR((H32-I32)/(K32*L32),0)</f>
        <v>13.136132625000002</v>
      </c>
      <c r="R32" s="512">
        <f t="shared" si="13"/>
        <v>4.6633270818749999</v>
      </c>
      <c r="S32" s="521">
        <f t="shared" si="17"/>
        <v>0</v>
      </c>
      <c r="T32" s="514">
        <f t="shared" si="12"/>
        <v>0</v>
      </c>
      <c r="U32" s="521">
        <f t="shared" si="14"/>
        <v>0</v>
      </c>
      <c r="V32" s="521">
        <f t="shared" si="15"/>
        <v>0</v>
      </c>
      <c r="W32" s="521">
        <v>0</v>
      </c>
      <c r="X32" s="514">
        <f t="shared" si="18"/>
        <v>17.799459706875002</v>
      </c>
      <c r="Y32" s="514">
        <f t="shared" si="16"/>
        <v>17.799459706875002</v>
      </c>
      <c r="Z32" s="515">
        <f t="shared" si="10"/>
        <v>9398.1147252300016</v>
      </c>
      <c r="AA32" s="516">
        <f t="shared" ref="AA32" si="30">Z32/SUM(dias_úteis_trabalhados+sábados_trabalhados+domingos_trabalhados)</f>
        <v>427.18703296500007</v>
      </c>
      <c r="AJ32" s="518"/>
      <c r="AK32" s="518"/>
      <c r="AL32" s="518"/>
    </row>
    <row r="33" spans="1:38" ht="15.75" customHeight="1">
      <c r="A33" s="28">
        <f t="shared" ca="1" si="0"/>
        <v>1</v>
      </c>
      <c r="B33" s="28" t="str">
        <f t="shared" ca="1" si="1"/>
        <v>16</v>
      </c>
      <c r="C33" s="507"/>
      <c r="D33" s="446"/>
      <c r="E33" s="507" t="str">
        <f t="shared" ref="E33:E34" ca="1" si="31">IF(B33="1",CONCATENATE(A33,".0",B33),IF(B33="2",CONCATENATE(A33,".0",B33),IF(B33="3",CONCATENATE(A33,".0",B33),IF(B33="4",CONCATENATE(A33,".0",B33),IF(B33="5",CONCATENATE(A33,".0",B33),IF(B33="6",CONCATENATE(A33,".0",B33),IF(B33="7",CONCATENATE(A33,".0",B33),IF(B33="8",CONCATENATE(A33,".0",B33),IF(B33="9",CONCATENATE(A33,".0",B33),CONCATENATE(A33,".",B33))))))))))</f>
        <v>1.16</v>
      </c>
      <c r="F33" s="9" t="s">
        <v>1840</v>
      </c>
      <c r="H33" s="508">
        <v>650718.75</v>
      </c>
      <c r="I33" s="520">
        <v>455503.125</v>
      </c>
      <c r="J33" s="508"/>
      <c r="K33" s="517">
        <v>4</v>
      </c>
      <c r="L33" s="509">
        <v>2000</v>
      </c>
      <c r="M33" s="508"/>
      <c r="N33" s="508"/>
      <c r="O33" s="508">
        <v>0.6</v>
      </c>
      <c r="P33" s="508"/>
      <c r="Q33" s="511">
        <f>IFERROR((H33-I33)/(K33*L33),0)</f>
        <v>24.401953124999999</v>
      </c>
      <c r="R33" s="512">
        <f t="shared" ref="R33:R34" si="32">IFERROR(((I33+((H33-I33)*(K33+1)/(2*K33)))*juros_medio)/L33,0)</f>
        <v>8.662693359375</v>
      </c>
      <c r="S33" s="521">
        <f t="shared" ref="S33:S34" si="33">IFERROR(((K33-L33)/(I33*J33))*O33,0)</f>
        <v>0</v>
      </c>
      <c r="T33" s="514">
        <f t="shared" ref="T33:T34" si="34">IFERROR(((2*M33)+(4*N33))/(L33*K33),0)</f>
        <v>0</v>
      </c>
      <c r="U33" s="521">
        <f t="shared" ref="U33:U34" si="35">IFERROR(J33*P33*valor_diesel*0.55,0)</f>
        <v>0</v>
      </c>
      <c r="V33" s="521">
        <f t="shared" ref="V33:V34" si="36">IFERROR(U33*0.15,0)</f>
        <v>0</v>
      </c>
      <c r="W33" s="521">
        <v>0</v>
      </c>
      <c r="X33" s="514">
        <f t="shared" si="18"/>
        <v>33.064646484374997</v>
      </c>
      <c r="Y33" s="514">
        <f t="shared" ref="Y33:Y34" si="37">SUM(Q33:R33)</f>
        <v>33.064646484374997</v>
      </c>
      <c r="Z33" s="515">
        <f t="shared" ref="Z33:Z34" si="38">IFERROR((X33*220)+(22*14*Y33),0)</f>
        <v>17458.13334375</v>
      </c>
      <c r="AA33" s="516">
        <f>Z33/SUM(dias_úteis_trabalhados+sábados_trabalhados+domingos_trabalhados)</f>
        <v>793.55151562499998</v>
      </c>
      <c r="AJ33" s="518"/>
      <c r="AK33" s="518"/>
      <c r="AL33" s="518"/>
    </row>
    <row r="34" spans="1:38" ht="15.75" customHeight="1">
      <c r="A34" s="28">
        <f t="shared" ca="1" si="0"/>
        <v>1</v>
      </c>
      <c r="B34" s="28" t="str">
        <f t="shared" ca="1" si="1"/>
        <v>17</v>
      </c>
      <c r="C34" s="507"/>
      <c r="D34" s="446"/>
      <c r="E34" s="507" t="str">
        <f t="shared" ca="1" si="31"/>
        <v>1.17</v>
      </c>
      <c r="F34" s="9" t="s">
        <v>1937</v>
      </c>
      <c r="H34" s="508">
        <v>2800</v>
      </c>
      <c r="I34" s="520">
        <v>1000</v>
      </c>
      <c r="J34" s="508">
        <v>2000</v>
      </c>
      <c r="K34" s="508">
        <v>2</v>
      </c>
      <c r="L34" s="509">
        <v>2000</v>
      </c>
      <c r="M34" s="508"/>
      <c r="N34" s="508"/>
      <c r="O34" s="508">
        <v>0.33333333333333331</v>
      </c>
      <c r="P34" s="508"/>
      <c r="Q34" s="511">
        <f t="shared" ref="Q34" si="39">IFERROR((H34-I34)/(K34*L34),0)</f>
        <v>0.45</v>
      </c>
      <c r="R34" s="512">
        <f t="shared" si="32"/>
        <v>3.5249999999999997E-2</v>
      </c>
      <c r="S34" s="521">
        <f t="shared" si="33"/>
        <v>-3.3300000000000002E-4</v>
      </c>
      <c r="T34" s="514">
        <f t="shared" si="34"/>
        <v>0</v>
      </c>
      <c r="U34" s="521">
        <f t="shared" si="35"/>
        <v>0</v>
      </c>
      <c r="V34" s="521">
        <f t="shared" si="36"/>
        <v>0</v>
      </c>
      <c r="W34" s="521">
        <v>0</v>
      </c>
      <c r="X34" s="514">
        <f t="shared" si="18"/>
        <v>0.48491699999999999</v>
      </c>
      <c r="Y34" s="514">
        <f t="shared" si="37"/>
        <v>0.48525000000000001</v>
      </c>
      <c r="Z34" s="515">
        <f t="shared" si="38"/>
        <v>256.13873999999998</v>
      </c>
      <c r="AA34" s="516">
        <f t="shared" ref="AA34" si="40">Z34/SUM(dias_úteis_trabalhados+sábados_trabalhados+domingos_trabalhados)</f>
        <v>11.642669999999999</v>
      </c>
      <c r="AJ34" s="518"/>
      <c r="AK34" s="518"/>
      <c r="AL34" s="518"/>
    </row>
    <row r="35" spans="1:38" ht="15.75" customHeight="1">
      <c r="A35" s="28">
        <f t="shared" ca="1" si="0"/>
        <v>1</v>
      </c>
      <c r="B35" s="28" t="str">
        <f t="shared" ca="1" si="1"/>
        <v>18</v>
      </c>
      <c r="C35" s="507"/>
      <c r="D35" s="446"/>
      <c r="E35" s="507" t="str">
        <f t="shared" ca="1" si="2"/>
        <v>1.18</v>
      </c>
      <c r="F35" s="9" t="s">
        <v>2032</v>
      </c>
      <c r="H35" s="508">
        <v>224594.13</v>
      </c>
      <c r="I35" s="520">
        <f>0.45*H35</f>
        <v>101067.3585</v>
      </c>
      <c r="J35" s="508">
        <v>270</v>
      </c>
      <c r="K35" s="508">
        <v>1</v>
      </c>
      <c r="L35" s="509">
        <v>2000</v>
      </c>
      <c r="M35" s="508">
        <f>1850*2</f>
        <v>3700</v>
      </c>
      <c r="N35" s="508">
        <f>1850*2</f>
        <v>3700</v>
      </c>
      <c r="O35" s="508">
        <f>1/3</f>
        <v>0.33333333333333331</v>
      </c>
      <c r="P35" s="508">
        <f>1/8</f>
        <v>0.125</v>
      </c>
      <c r="Q35" s="511">
        <f>IFERROR((H35-I35)/(K35*L35),0)</f>
        <v>61.763385750000005</v>
      </c>
      <c r="R35" s="512">
        <f t="shared" si="13"/>
        <v>3.3689119500000002</v>
      </c>
      <c r="S35" s="521">
        <f t="shared" si="17"/>
        <v>-2.441838068388718E-5</v>
      </c>
      <c r="T35" s="514">
        <f t="shared" si="12"/>
        <v>11.1</v>
      </c>
      <c r="U35" s="521">
        <f t="shared" si="14"/>
        <v>108.590625</v>
      </c>
      <c r="V35" s="521">
        <f t="shared" si="15"/>
        <v>16.28859375</v>
      </c>
      <c r="W35" s="521">
        <v>0</v>
      </c>
      <c r="X35" s="514">
        <f t="shared" si="18"/>
        <v>201.11149203161929</v>
      </c>
      <c r="Y35" s="514">
        <f t="shared" si="16"/>
        <v>65.132297700000009</v>
      </c>
      <c r="Z35" s="515">
        <f t="shared" si="10"/>
        <v>64305.275938556246</v>
      </c>
      <c r="AA35" s="516">
        <f>Z35/SUM(dias_úteis_trabalhados+sábados_trabalhados+domingos_trabalhados)</f>
        <v>2922.9670881161928</v>
      </c>
      <c r="AJ35" s="518"/>
      <c r="AK35" s="518"/>
      <c r="AL35" s="518"/>
    </row>
    <row r="36" spans="1:38" ht="15.75" customHeight="1">
      <c r="A36" s="28">
        <f t="shared" ca="1" si="0"/>
        <v>1</v>
      </c>
      <c r="B36" s="28" t="str">
        <f t="shared" ca="1" si="1"/>
        <v>19</v>
      </c>
      <c r="C36" s="507"/>
      <c r="D36" s="446"/>
      <c r="E36" s="507" t="str">
        <f t="shared" ref="E36" ca="1" si="41">IF(B36="1",CONCATENATE(A36,".0",B36),IF(B36="2",CONCATENATE(A36,".0",B36),IF(B36="3",CONCATENATE(A36,".0",B36),IF(B36="4",CONCATENATE(A36,".0",B36),IF(B36="5",CONCATENATE(A36,".0",B36),IF(B36="6",CONCATENATE(A36,".0",B36),IF(B36="7",CONCATENATE(A36,".0",B36),IF(B36="8",CONCATENATE(A36,".0",B36),IF(B36="9",CONCATENATE(A36,".0",B36),CONCATENATE(A36,".",B36))))))))))</f>
        <v>1.19</v>
      </c>
      <c r="F36" s="9" t="s">
        <v>2033</v>
      </c>
      <c r="H36" s="508">
        <v>591954</v>
      </c>
      <c r="I36" s="520">
        <f>0.35*H36</f>
        <v>207183.9</v>
      </c>
      <c r="J36" s="508">
        <v>72</v>
      </c>
      <c r="K36" s="508">
        <v>4</v>
      </c>
      <c r="L36" s="509">
        <v>8000</v>
      </c>
      <c r="M36" s="508">
        <f>1850*2</f>
        <v>3700</v>
      </c>
      <c r="N36" s="508">
        <f>1850*2</f>
        <v>3700</v>
      </c>
      <c r="O36" s="508">
        <v>0.8</v>
      </c>
      <c r="P36" s="508">
        <f>1/8</f>
        <v>0.125</v>
      </c>
      <c r="Q36" s="511">
        <f t="shared" ref="Q36" si="42">IFERROR((H36-I36)/(K36*L36),0)</f>
        <v>12.024065624999999</v>
      </c>
      <c r="R36" s="512">
        <f t="shared" si="13"/>
        <v>1.678744546875</v>
      </c>
      <c r="S36" s="521">
        <f t="shared" ref="S36" si="43">IFERROR(((K36-L36)/(I36*J36))*O36,0)</f>
        <v>-4.2881924920056263E-4</v>
      </c>
      <c r="T36" s="514">
        <f t="shared" ref="T36" si="44">IFERROR(((2*M36)+(4*N36))/(L36*K36),0)</f>
        <v>0.69374999999999998</v>
      </c>
      <c r="U36" s="521">
        <f t="shared" si="14"/>
        <v>28.957500000000003</v>
      </c>
      <c r="V36" s="521">
        <f t="shared" si="15"/>
        <v>4.3436250000000003</v>
      </c>
      <c r="W36" s="521">
        <v>0</v>
      </c>
      <c r="X36" s="514">
        <f t="shared" ref="X36" si="45">SUM(Q36:W36)</f>
        <v>47.6972563526258</v>
      </c>
      <c r="Y36" s="514">
        <f t="shared" si="16"/>
        <v>13.702810171874999</v>
      </c>
      <c r="Z36" s="515">
        <f t="shared" ref="Z36" si="46">IFERROR((X36*220)+(22*14*Y36),0)</f>
        <v>14713.861930515175</v>
      </c>
      <c r="AA36" s="516">
        <f t="shared" ref="AA36" si="47">Z36/SUM(dias_úteis_trabalhados+sábados_trabalhados+domingos_trabalhados)</f>
        <v>668.81190593250801</v>
      </c>
      <c r="AJ36" s="518"/>
      <c r="AK36" s="518"/>
      <c r="AL36" s="518"/>
    </row>
    <row r="37" spans="1:38" ht="15.75" customHeight="1">
      <c r="A37" s="28">
        <f t="shared" ca="1" si="0"/>
        <v>1</v>
      </c>
      <c r="B37" s="28" t="str">
        <f t="shared" ca="1" si="1"/>
        <v>20</v>
      </c>
      <c r="C37" s="507"/>
      <c r="D37" s="446"/>
      <c r="E37" s="507" t="str">
        <f t="shared" ca="1" si="2"/>
        <v>1.20</v>
      </c>
      <c r="H37" s="508"/>
      <c r="I37" s="520"/>
      <c r="J37" s="508"/>
      <c r="K37" s="508"/>
      <c r="L37" s="509"/>
      <c r="M37" s="508"/>
      <c r="N37" s="508"/>
      <c r="O37" s="508"/>
      <c r="P37" s="508"/>
      <c r="Q37" s="511">
        <f t="shared" ref="Q37" si="48">IFERROR((H37-I37)/(K37*L37),0)</f>
        <v>0</v>
      </c>
      <c r="R37" s="512">
        <f t="shared" ref="R37" si="49">IFERROR(((I37+((H37-I37)*(K37+1)/(2*K37)))*juros_medio)/L37,0)</f>
        <v>0</v>
      </c>
      <c r="S37" s="521">
        <f t="shared" si="17"/>
        <v>0</v>
      </c>
      <c r="T37" s="514">
        <f t="shared" si="12"/>
        <v>0</v>
      </c>
      <c r="U37" s="521">
        <f t="shared" ref="U37" si="50">IFERROR(J37*P37*valor_diesel*0.55,0)</f>
        <v>0</v>
      </c>
      <c r="V37" s="521">
        <f t="shared" ref="V37" si="51">IFERROR(U37*0.15,0)</f>
        <v>0</v>
      </c>
      <c r="W37" s="521">
        <v>0</v>
      </c>
      <c r="X37" s="514">
        <f t="shared" si="18"/>
        <v>0</v>
      </c>
      <c r="Y37" s="514">
        <f t="shared" ref="Y37" si="52">SUM(Q37:R37)</f>
        <v>0</v>
      </c>
      <c r="Z37" s="515">
        <f t="shared" si="10"/>
        <v>0</v>
      </c>
      <c r="AA37" s="516">
        <f t="shared" ref="AA37" si="53">Z37/SUM(dias_úteis_trabalhados+sábados_trabalhados+domingos_trabalhados)</f>
        <v>0</v>
      </c>
      <c r="AJ37" s="518"/>
      <c r="AK37" s="518"/>
      <c r="AL37" s="518"/>
    </row>
    <row r="38" spans="1:38" ht="15.75" customHeight="1">
      <c r="A38" s="28">
        <f t="shared" ca="1" si="0"/>
        <v>1</v>
      </c>
      <c r="B38" s="28" t="str">
        <f t="shared" ca="1" si="1"/>
        <v>21</v>
      </c>
      <c r="C38" s="507"/>
      <c r="D38" s="446"/>
      <c r="E38" s="507" t="str">
        <f t="shared" ref="E38" ca="1" si="54">IF(B38="1",CONCATENATE(A38,".0",B38),IF(B38="2",CONCATENATE(A38,".0",B38),IF(B38="3",CONCATENATE(A38,".0",B38),IF(B38="4",CONCATENATE(A38,".0",B38),IF(B38="5",CONCATENATE(A38,".0",B38),IF(B38="6",CONCATENATE(A38,".0",B38),IF(B38="7",CONCATENATE(A38,".0",B38),IF(B38="8",CONCATENATE(A38,".0",B38),IF(B38="9",CONCATENATE(A38,".0",B38),CONCATENATE(A38,".",B38))))))))))</f>
        <v>1.21</v>
      </c>
      <c r="H38" s="508"/>
      <c r="I38" s="520"/>
      <c r="J38" s="508"/>
      <c r="K38" s="508"/>
      <c r="L38" s="509"/>
      <c r="M38" s="508"/>
      <c r="N38" s="508"/>
      <c r="O38" s="508"/>
      <c r="P38" s="508"/>
      <c r="Q38" s="511">
        <f t="shared" ref="Q38" si="55">IFERROR((H38-I38)/(K38*L38),0)</f>
        <v>0</v>
      </c>
      <c r="R38" s="512">
        <f t="shared" si="13"/>
        <v>0</v>
      </c>
      <c r="S38" s="521">
        <f t="shared" ref="S38" si="56">IFERROR(((K38-L38)/(I38*J38))*O38,0)</f>
        <v>0</v>
      </c>
      <c r="T38" s="514">
        <f t="shared" ref="T38" si="57">IFERROR(((2*M38)+(4*N38))/(L38*K38),0)</f>
        <v>0</v>
      </c>
      <c r="U38" s="521">
        <f t="shared" si="14"/>
        <v>0</v>
      </c>
      <c r="V38" s="521">
        <f t="shared" si="15"/>
        <v>0</v>
      </c>
      <c r="W38" s="521">
        <v>0</v>
      </c>
      <c r="X38" s="514">
        <f t="shared" ref="X38" si="58">SUM(Q38:W38)</f>
        <v>0</v>
      </c>
      <c r="Y38" s="514">
        <f t="shared" si="16"/>
        <v>0</v>
      </c>
      <c r="Z38" s="515">
        <f t="shared" ref="Z38" si="59">IFERROR((X38*220)+(22*14*Y38),0)</f>
        <v>0</v>
      </c>
      <c r="AA38" s="516">
        <f t="shared" ref="AA38" si="60">Z38/SUM(dias_úteis_trabalhados+sábados_trabalhados+domingos_trabalhados)</f>
        <v>0</v>
      </c>
      <c r="AJ38" s="518"/>
      <c r="AK38" s="518"/>
      <c r="AL38" s="518"/>
    </row>
    <row r="39" spans="1:38" ht="15.75" customHeight="1">
      <c r="A39" s="28">
        <f t="shared" ca="1" si="0"/>
        <v>1</v>
      </c>
      <c r="B39" s="28" t="str">
        <f t="shared" ca="1" si="1"/>
        <v>22</v>
      </c>
      <c r="C39" s="507"/>
      <c r="D39" s="446"/>
      <c r="E39" s="507" t="str">
        <f t="shared" ca="1" si="2"/>
        <v>1.22</v>
      </c>
      <c r="H39" s="508"/>
      <c r="I39" s="520"/>
      <c r="J39" s="508"/>
      <c r="K39" s="508"/>
      <c r="L39" s="509"/>
      <c r="M39" s="508"/>
      <c r="N39" s="508"/>
      <c r="O39" s="508"/>
      <c r="P39" s="508"/>
      <c r="Q39" s="511">
        <f t="shared" si="3"/>
        <v>0</v>
      </c>
      <c r="R39" s="512">
        <f t="shared" si="4"/>
        <v>0</v>
      </c>
      <c r="S39" s="521">
        <f t="shared" si="17"/>
        <v>0</v>
      </c>
      <c r="T39" s="514">
        <f t="shared" si="12"/>
        <v>0</v>
      </c>
      <c r="U39" s="521">
        <f t="shared" si="6"/>
        <v>0</v>
      </c>
      <c r="V39" s="521">
        <f t="shared" si="8"/>
        <v>0</v>
      </c>
      <c r="W39" s="521">
        <v>0</v>
      </c>
      <c r="X39" s="514">
        <f t="shared" si="18"/>
        <v>0</v>
      </c>
      <c r="Y39" s="514">
        <f t="shared" si="9"/>
        <v>0</v>
      </c>
      <c r="Z39" s="515">
        <f t="shared" si="10"/>
        <v>0</v>
      </c>
      <c r="AA39" s="516">
        <f t="shared" si="7"/>
        <v>0</v>
      </c>
      <c r="AJ39" s="518"/>
      <c r="AK39" s="518"/>
      <c r="AL39" s="518"/>
    </row>
    <row r="40" spans="1:38" ht="15.75" customHeight="1">
      <c r="A40" s="28">
        <f t="shared" ca="1" si="0"/>
        <v>1</v>
      </c>
      <c r="B40" s="28" t="str">
        <f t="shared" ca="1" si="1"/>
        <v>23</v>
      </c>
      <c r="C40" s="507"/>
      <c r="D40" s="522"/>
      <c r="E40" s="523"/>
      <c r="F40" s="523"/>
      <c r="G40" s="523"/>
      <c r="H40" s="523"/>
      <c r="I40" s="523"/>
      <c r="J40" s="523"/>
      <c r="K40" s="523"/>
      <c r="L40" s="523"/>
      <c r="M40" s="523"/>
      <c r="N40" s="523"/>
      <c r="O40" s="523"/>
      <c r="P40" s="523"/>
      <c r="Q40" s="523"/>
      <c r="R40" s="523"/>
      <c r="S40" s="523"/>
      <c r="T40" s="523"/>
      <c r="U40" s="523"/>
      <c r="V40" s="523"/>
      <c r="W40" s="523"/>
      <c r="X40" s="523"/>
      <c r="Y40" s="523"/>
      <c r="Z40" s="523"/>
      <c r="AA40" s="524"/>
      <c r="AJ40" s="518"/>
      <c r="AK40" s="518"/>
      <c r="AL40" s="518"/>
    </row>
    <row r="41" spans="1:38" s="444" customFormat="1" ht="15.75" customHeight="1">
      <c r="A41" s="28">
        <f>E41</f>
        <v>2</v>
      </c>
      <c r="B41" s="29">
        <f>E41</f>
        <v>2</v>
      </c>
      <c r="C41" s="498"/>
      <c r="D41" s="525"/>
      <c r="E41" s="500">
        <v>2</v>
      </c>
      <c r="F41" s="501" t="s">
        <v>912</v>
      </c>
      <c r="G41" s="501"/>
      <c r="H41" s="526" t="s">
        <v>913</v>
      </c>
      <c r="I41" s="527" t="s">
        <v>142</v>
      </c>
      <c r="J41" s="527" t="s">
        <v>914</v>
      </c>
      <c r="K41" s="527" t="s">
        <v>915</v>
      </c>
      <c r="L41" s="526" t="s">
        <v>916</v>
      </c>
      <c r="M41" s="527" t="s">
        <v>142</v>
      </c>
      <c r="N41" s="527" t="s">
        <v>142</v>
      </c>
      <c r="O41" s="528"/>
      <c r="P41" s="528"/>
      <c r="Q41" s="529"/>
      <c r="R41" s="530"/>
      <c r="S41" s="529"/>
      <c r="T41" s="529"/>
      <c r="U41" s="529"/>
      <c r="V41" s="529"/>
      <c r="W41" s="529"/>
      <c r="X41" s="505"/>
      <c r="Y41" s="505"/>
      <c r="Z41" s="505"/>
      <c r="AA41" s="506"/>
      <c r="AB41" s="9"/>
      <c r="AC41" s="531" t="s">
        <v>917</v>
      </c>
      <c r="AD41" s="532"/>
      <c r="AE41" s="532"/>
      <c r="AF41" s="532"/>
      <c r="AG41" s="532"/>
      <c r="AJ41" s="518"/>
      <c r="AK41" s="518"/>
      <c r="AL41" s="518"/>
    </row>
    <row r="42" spans="1:38" ht="15.75" customHeight="1">
      <c r="A42" s="28">
        <f t="shared" ref="A42:A48" ca="1" si="61">IF(OFFSET(A42,-1,0)="",OFFSET(A42,-2,0),OFFSET(A42,-1,0))</f>
        <v>2</v>
      </c>
      <c r="B42" s="28" t="str">
        <f t="shared" ref="B42:B48" ca="1" si="62">IF(OFFSET(B42,-1,0)&gt;="01",CONCATENATE(,OFFSET(B42,-1,0)+1),CONCATENATE((SUM(OFFSET(B42,-1,0)+1-(OFFSET(B42,-1,0))))))</f>
        <v>1</v>
      </c>
      <c r="C42" s="507"/>
      <c r="D42" s="446"/>
      <c r="E42" s="507" t="str">
        <f t="shared" ref="E42:E47" ca="1" si="63">IF(B42="1",CONCATENATE(A42,".0",B42),IF(B42="2",CONCATENATE(A42,".0",B42),IF(B42="3",CONCATENATE(A42,".0",B42),IF(B42="4",CONCATENATE(A42,".0",B42),IF(B42="5",CONCATENATE(A42,".0",B42),IF(B42="6",CONCATENATE(A42,".0",B42),IF(B42="7",CONCATENATE(A42,".0",B42),IF(B42="8",CONCATENATE(A42,".0",B42),IF(B42="9",CONCATENATE(A42,".0",B42),CONCATENATE(A42,".",B42))))))))))</f>
        <v>2.01</v>
      </c>
      <c r="F42" s="518" t="s">
        <v>918</v>
      </c>
      <c r="G42" s="441"/>
      <c r="H42" s="508">
        <v>2526.21</v>
      </c>
      <c r="I42" s="533">
        <v>0</v>
      </c>
      <c r="J42" s="508">
        <v>113</v>
      </c>
      <c r="K42" s="533">
        <v>0</v>
      </c>
      <c r="L42" s="533">
        <f>ROUND((media_tempo_viagem),2)</f>
        <v>8.33</v>
      </c>
      <c r="M42" s="533">
        <v>0</v>
      </c>
      <c r="N42" s="533">
        <v>0</v>
      </c>
      <c r="O42" s="508">
        <f>1/3</f>
        <v>0.33333333333333331</v>
      </c>
      <c r="P42" s="534">
        <v>6.5000000000000002E-2</v>
      </c>
      <c r="Q42" s="511">
        <f t="shared" ref="Q42:Q47" si="64">IFERROR((H42-I42)/(K42*L42),0)</f>
        <v>0</v>
      </c>
      <c r="R42" s="512">
        <f t="shared" ref="R42:R47" si="65">IFERROR((I42+((H42-I42)*(K42+1)/(2*K42)))*juros_medio/L42,0)</f>
        <v>0</v>
      </c>
      <c r="S42" s="513">
        <f t="shared" ref="S42:S47" si="66">IFERROR(((H42-I42)/(K42*L42))*O42,0)</f>
        <v>0</v>
      </c>
      <c r="T42" s="514">
        <f t="shared" ref="T42:T47" si="67">IFERROR(((2*M42)+(2*N42))/(L42*K42),0)</f>
        <v>0</v>
      </c>
      <c r="U42" s="521">
        <f>J42*P42*$AA$10*L42</f>
        <v>419.10937250000001</v>
      </c>
      <c r="V42" s="521">
        <f t="shared" ref="V42:V47" si="68">IF(H42&gt;0,((($AA$12*4)+40)/5000)*média_distancia_percorrida,0)</f>
        <v>19.400000000000002</v>
      </c>
      <c r="W42" s="521">
        <v>0</v>
      </c>
      <c r="X42" s="514">
        <f t="shared" ref="X42:X47" si="69">SUM(Q42:W42)</f>
        <v>438.50937249999998</v>
      </c>
      <c r="Y42" s="514">
        <f t="shared" ref="Y42:Y47" si="70">SUM(Q42:R42)</f>
        <v>0</v>
      </c>
      <c r="Z42" s="515">
        <f t="shared" ref="Z42:Z47" si="71">((X42+Y42)*(SUM(dias_úteis_trabalhados+sábados_trabalhados+domingos_trabalhados)))+H42</f>
        <v>12173.416194999998</v>
      </c>
      <c r="AA42" s="516">
        <f t="shared" ref="AA42:AA47" si="72">Z42/30</f>
        <v>405.78053983333325</v>
      </c>
      <c r="AB42" s="535"/>
      <c r="AJ42" s="518"/>
      <c r="AK42" s="518"/>
      <c r="AL42" s="518"/>
    </row>
    <row r="43" spans="1:38" ht="15.75" customHeight="1">
      <c r="A43" s="28">
        <f t="shared" ca="1" si="61"/>
        <v>2</v>
      </c>
      <c r="B43" s="28" t="str">
        <f t="shared" ca="1" si="62"/>
        <v>2</v>
      </c>
      <c r="C43" s="507"/>
      <c r="D43" s="446"/>
      <c r="E43" s="507" t="str">
        <f t="shared" ca="1" si="63"/>
        <v>2.02</v>
      </c>
      <c r="F43" s="441" t="s">
        <v>184</v>
      </c>
      <c r="G43" s="441"/>
      <c r="H43" s="508">
        <v>1500</v>
      </c>
      <c r="I43" s="508">
        <v>0</v>
      </c>
      <c r="J43" s="508">
        <v>101</v>
      </c>
      <c r="K43" s="508">
        <v>0</v>
      </c>
      <c r="L43" s="533">
        <f>ROUND((media_tempo_viagem),2)</f>
        <v>8.33</v>
      </c>
      <c r="M43" s="508">
        <v>0</v>
      </c>
      <c r="N43" s="508">
        <v>0</v>
      </c>
      <c r="O43" s="508">
        <f>1/3</f>
        <v>0.33333333333333331</v>
      </c>
      <c r="P43" s="534">
        <v>6.5000000000000002E-2</v>
      </c>
      <c r="Q43" s="511">
        <f t="shared" si="64"/>
        <v>0</v>
      </c>
      <c r="R43" s="512">
        <f t="shared" si="65"/>
        <v>0</v>
      </c>
      <c r="S43" s="513">
        <f t="shared" si="66"/>
        <v>0</v>
      </c>
      <c r="T43" s="514">
        <f t="shared" si="67"/>
        <v>0</v>
      </c>
      <c r="U43" s="521">
        <f>J43*P43*$AA$10*L43</f>
        <v>374.60218250000003</v>
      </c>
      <c r="V43" s="521">
        <f t="shared" si="68"/>
        <v>19.400000000000002</v>
      </c>
      <c r="W43" s="521">
        <v>0</v>
      </c>
      <c r="X43" s="514">
        <f t="shared" si="69"/>
        <v>394.0021825</v>
      </c>
      <c r="Y43" s="514">
        <f t="shared" si="70"/>
        <v>0</v>
      </c>
      <c r="Z43" s="515">
        <f t="shared" si="71"/>
        <v>10168.048015</v>
      </c>
      <c r="AA43" s="516">
        <f t="shared" si="72"/>
        <v>338.93493383333333</v>
      </c>
      <c r="AC43" s="670" t="s">
        <v>919</v>
      </c>
      <c r="AD43" s="671"/>
      <c r="AE43" s="671"/>
      <c r="AF43" s="672" t="s">
        <v>129</v>
      </c>
      <c r="AG43" s="673"/>
      <c r="AJ43" s="518"/>
      <c r="AK43" s="518"/>
      <c r="AL43" s="518"/>
    </row>
    <row r="44" spans="1:38" ht="15.75" customHeight="1">
      <c r="A44" s="28">
        <f t="shared" ca="1" si="61"/>
        <v>2</v>
      </c>
      <c r="B44" s="28" t="str">
        <f t="shared" ca="1" si="62"/>
        <v>3</v>
      </c>
      <c r="C44" s="507"/>
      <c r="D44" s="446"/>
      <c r="E44" s="507" t="str">
        <f t="shared" ca="1" si="63"/>
        <v>2.03</v>
      </c>
      <c r="F44" s="9" t="s">
        <v>920</v>
      </c>
      <c r="G44" s="449"/>
      <c r="H44" s="536">
        <v>3668.48</v>
      </c>
      <c r="I44" s="520">
        <v>0</v>
      </c>
      <c r="J44" s="508">
        <v>247</v>
      </c>
      <c r="K44" s="520">
        <v>0</v>
      </c>
      <c r="L44" s="533">
        <f>ROUND((media_tempo_viagem),2)</f>
        <v>8.33</v>
      </c>
      <c r="M44" s="520">
        <v>0</v>
      </c>
      <c r="N44" s="520">
        <v>0</v>
      </c>
      <c r="O44" s="508">
        <f>1/3</f>
        <v>0.33333333333333331</v>
      </c>
      <c r="P44" s="534">
        <v>6.5000000000000002E-2</v>
      </c>
      <c r="Q44" s="511">
        <f t="shared" si="64"/>
        <v>0</v>
      </c>
      <c r="R44" s="512">
        <f t="shared" si="65"/>
        <v>0</v>
      </c>
      <c r="S44" s="513">
        <f t="shared" si="66"/>
        <v>0</v>
      </c>
      <c r="T44" s="514">
        <f t="shared" si="67"/>
        <v>0</v>
      </c>
      <c r="U44" s="521">
        <f>J44*P44*$AA$9*L44</f>
        <v>782.36817749999989</v>
      </c>
      <c r="V44" s="521">
        <f t="shared" si="68"/>
        <v>19.400000000000002</v>
      </c>
      <c r="W44" s="521">
        <v>0</v>
      </c>
      <c r="X44" s="514">
        <f t="shared" si="69"/>
        <v>801.76817749999987</v>
      </c>
      <c r="Y44" s="514">
        <f t="shared" si="70"/>
        <v>0</v>
      </c>
      <c r="Z44" s="515">
        <f t="shared" si="71"/>
        <v>21307.379904999998</v>
      </c>
      <c r="AA44" s="516">
        <f t="shared" si="72"/>
        <v>710.24599683333327</v>
      </c>
      <c r="AC44" s="537" t="s">
        <v>921</v>
      </c>
      <c r="AD44" s="84" t="s">
        <v>922</v>
      </c>
      <c r="AE44" s="538"/>
      <c r="AF44" s="452" t="s">
        <v>923</v>
      </c>
      <c r="AG44" s="539">
        <v>500</v>
      </c>
      <c r="AJ44" s="518"/>
      <c r="AK44" s="518"/>
      <c r="AL44" s="518"/>
    </row>
    <row r="45" spans="1:38" ht="15.75" customHeight="1">
      <c r="A45" s="28">
        <f t="shared" ca="1" si="61"/>
        <v>2</v>
      </c>
      <c r="B45" s="28" t="str">
        <f t="shared" ca="1" si="62"/>
        <v>4</v>
      </c>
      <c r="C45" s="507"/>
      <c r="D45" s="446"/>
      <c r="E45" s="507" t="str">
        <f t="shared" ca="1" si="63"/>
        <v>2.04</v>
      </c>
      <c r="F45" s="441" t="s">
        <v>924</v>
      </c>
      <c r="G45" s="449"/>
      <c r="H45" s="508">
        <v>1811.45</v>
      </c>
      <c r="I45" s="520">
        <v>0</v>
      </c>
      <c r="J45" s="508">
        <v>72</v>
      </c>
      <c r="K45" s="520">
        <v>0</v>
      </c>
      <c r="L45" s="533">
        <f>ROUND((media_tempo_viagem),2)</f>
        <v>8.33</v>
      </c>
      <c r="M45" s="520">
        <v>0</v>
      </c>
      <c r="N45" s="520">
        <v>0</v>
      </c>
      <c r="O45" s="508">
        <f>1/3</f>
        <v>0.33333333333333331</v>
      </c>
      <c r="P45" s="534">
        <v>6.5000000000000002E-2</v>
      </c>
      <c r="Q45" s="511">
        <f t="shared" si="64"/>
        <v>0</v>
      </c>
      <c r="R45" s="512">
        <f t="shared" si="65"/>
        <v>0</v>
      </c>
      <c r="S45" s="513">
        <f t="shared" si="66"/>
        <v>0</v>
      </c>
      <c r="T45" s="514">
        <f t="shared" si="67"/>
        <v>0</v>
      </c>
      <c r="U45" s="521">
        <f>J45*P45*$AA$10*L45</f>
        <v>267.04313999999999</v>
      </c>
      <c r="V45" s="521">
        <f t="shared" si="68"/>
        <v>19.400000000000002</v>
      </c>
      <c r="W45" s="521">
        <v>0</v>
      </c>
      <c r="X45" s="514">
        <f t="shared" si="69"/>
        <v>286.44313999999997</v>
      </c>
      <c r="Y45" s="514">
        <f t="shared" si="70"/>
        <v>0</v>
      </c>
      <c r="Z45" s="515">
        <f t="shared" si="71"/>
        <v>8113.1990799999994</v>
      </c>
      <c r="AA45" s="516">
        <f t="shared" si="72"/>
        <v>270.43996933333329</v>
      </c>
      <c r="AB45" s="535"/>
      <c r="AC45" s="537" t="s">
        <v>925</v>
      </c>
      <c r="AD45" s="84" t="s">
        <v>926</v>
      </c>
      <c r="AF45" s="452" t="s">
        <v>927</v>
      </c>
      <c r="AG45" s="539">
        <v>60</v>
      </c>
      <c r="AJ45" s="518"/>
      <c r="AK45" s="518"/>
      <c r="AL45" s="518"/>
    </row>
    <row r="46" spans="1:38" ht="15.75" customHeight="1">
      <c r="A46" s="28">
        <f t="shared" ca="1" si="61"/>
        <v>2</v>
      </c>
      <c r="B46" s="28" t="str">
        <f t="shared" ca="1" si="62"/>
        <v>5</v>
      </c>
      <c r="C46" s="507"/>
      <c r="D46" s="446"/>
      <c r="E46" s="507" t="str">
        <f t="shared" ca="1" si="63"/>
        <v>2.05</v>
      </c>
      <c r="F46" s="441"/>
      <c r="G46" s="449"/>
      <c r="H46" s="508"/>
      <c r="I46" s="520"/>
      <c r="J46" s="508"/>
      <c r="K46" s="540"/>
      <c r="L46" s="540"/>
      <c r="M46" s="508"/>
      <c r="N46" s="508"/>
      <c r="O46" s="508"/>
      <c r="P46" s="508"/>
      <c r="Q46" s="511">
        <f t="shared" si="64"/>
        <v>0</v>
      </c>
      <c r="R46" s="512">
        <f t="shared" si="65"/>
        <v>0</v>
      </c>
      <c r="S46" s="513">
        <f t="shared" si="66"/>
        <v>0</v>
      </c>
      <c r="T46" s="514">
        <f t="shared" si="67"/>
        <v>0</v>
      </c>
      <c r="U46" s="521">
        <f>J46*P46*$AA$10*L46</f>
        <v>0</v>
      </c>
      <c r="V46" s="521">
        <f t="shared" si="68"/>
        <v>0</v>
      </c>
      <c r="W46" s="521">
        <v>0</v>
      </c>
      <c r="X46" s="514">
        <f t="shared" si="69"/>
        <v>0</v>
      </c>
      <c r="Y46" s="514">
        <f t="shared" si="70"/>
        <v>0</v>
      </c>
      <c r="Z46" s="515">
        <f t="shared" si="71"/>
        <v>0</v>
      </c>
      <c r="AA46" s="516">
        <f t="shared" si="72"/>
        <v>0</v>
      </c>
      <c r="AC46" s="674" t="s">
        <v>928</v>
      </c>
      <c r="AD46" s="675" t="s">
        <v>929</v>
      </c>
      <c r="AE46" s="676"/>
      <c r="AF46" s="677" t="s">
        <v>930</v>
      </c>
      <c r="AG46" s="678">
        <f>AG44/AG45</f>
        <v>8.3333333333333339</v>
      </c>
      <c r="AJ46" s="518"/>
      <c r="AK46" s="518"/>
      <c r="AL46" s="518"/>
    </row>
    <row r="47" spans="1:38" ht="15.75" customHeight="1">
      <c r="A47" s="28">
        <f t="shared" ca="1" si="61"/>
        <v>2</v>
      </c>
      <c r="B47" s="28" t="str">
        <f t="shared" ca="1" si="62"/>
        <v>6</v>
      </c>
      <c r="C47" s="507"/>
      <c r="D47" s="446"/>
      <c r="E47" s="507" t="str">
        <f t="shared" ca="1" si="63"/>
        <v>2.06</v>
      </c>
      <c r="F47" s="441"/>
      <c r="G47" s="449"/>
      <c r="H47" s="508"/>
      <c r="I47" s="520"/>
      <c r="J47" s="508"/>
      <c r="K47" s="540"/>
      <c r="L47" s="540"/>
      <c r="M47" s="508"/>
      <c r="N47" s="508"/>
      <c r="O47" s="508"/>
      <c r="P47" s="508"/>
      <c r="Q47" s="511">
        <f t="shared" si="64"/>
        <v>0</v>
      </c>
      <c r="R47" s="512">
        <f t="shared" si="65"/>
        <v>0</v>
      </c>
      <c r="S47" s="513">
        <f t="shared" si="66"/>
        <v>0</v>
      </c>
      <c r="T47" s="514">
        <f t="shared" si="67"/>
        <v>0</v>
      </c>
      <c r="U47" s="521">
        <f>J47*P47*$AA$10*L47</f>
        <v>0</v>
      </c>
      <c r="V47" s="521">
        <f t="shared" si="68"/>
        <v>0</v>
      </c>
      <c r="W47" s="521">
        <v>0</v>
      </c>
      <c r="X47" s="514">
        <f t="shared" si="69"/>
        <v>0</v>
      </c>
      <c r="Y47" s="514">
        <f t="shared" si="70"/>
        <v>0</v>
      </c>
      <c r="Z47" s="515">
        <f t="shared" si="71"/>
        <v>0</v>
      </c>
      <c r="AA47" s="516">
        <f t="shared" si="72"/>
        <v>0</v>
      </c>
      <c r="AB47" s="587"/>
      <c r="AJ47" s="518"/>
      <c r="AK47" s="518"/>
      <c r="AL47" s="518"/>
    </row>
    <row r="48" spans="1:38" ht="15.75" customHeight="1">
      <c r="A48" s="28">
        <f t="shared" ca="1" si="61"/>
        <v>2</v>
      </c>
      <c r="B48" s="28" t="str">
        <f t="shared" ca="1" si="62"/>
        <v>7</v>
      </c>
      <c r="C48" s="507"/>
      <c r="D48" s="522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4"/>
      <c r="AJ48" s="518"/>
      <c r="AK48" s="518"/>
      <c r="AL48" s="518"/>
    </row>
    <row r="49" spans="1:38" s="444" customFormat="1" ht="15.75" customHeight="1">
      <c r="A49" s="28">
        <f>E49</f>
        <v>3</v>
      </c>
      <c r="B49" s="29">
        <f>E49</f>
        <v>3</v>
      </c>
      <c r="C49" s="498"/>
      <c r="D49" s="525"/>
      <c r="E49" s="500">
        <v>3</v>
      </c>
      <c r="F49" s="501" t="s">
        <v>931</v>
      </c>
      <c r="G49" s="501"/>
      <c r="H49" s="526" t="s">
        <v>932</v>
      </c>
      <c r="I49" s="527" t="s">
        <v>933</v>
      </c>
      <c r="J49" s="527" t="s">
        <v>914</v>
      </c>
      <c r="K49" s="527" t="s">
        <v>915</v>
      </c>
      <c r="L49" s="526" t="s">
        <v>934</v>
      </c>
      <c r="M49" s="527" t="s">
        <v>935</v>
      </c>
      <c r="N49" s="527" t="s">
        <v>936</v>
      </c>
      <c r="O49" s="527" t="s">
        <v>937</v>
      </c>
      <c r="P49" s="527" t="s">
        <v>938</v>
      </c>
      <c r="Q49" s="526" t="s">
        <v>895</v>
      </c>
      <c r="R49" s="527" t="s">
        <v>896</v>
      </c>
      <c r="S49" s="526" t="s">
        <v>897</v>
      </c>
      <c r="T49" s="526" t="s">
        <v>898</v>
      </c>
      <c r="U49" s="526" t="s">
        <v>899</v>
      </c>
      <c r="V49" s="526" t="s">
        <v>900</v>
      </c>
      <c r="W49" s="526" t="s">
        <v>901</v>
      </c>
      <c r="X49" s="541" t="s">
        <v>939</v>
      </c>
      <c r="Y49" s="541" t="s">
        <v>940</v>
      </c>
      <c r="Z49" s="541" t="s">
        <v>904</v>
      </c>
      <c r="AA49" s="542" t="s">
        <v>905</v>
      </c>
      <c r="AB49" s="9"/>
      <c r="AD49" s="9"/>
      <c r="AJ49" s="518"/>
      <c r="AK49" s="518"/>
      <c r="AL49" s="518"/>
    </row>
    <row r="50" spans="1:38" ht="15.75" customHeight="1">
      <c r="A50" s="28">
        <f t="shared" ref="A50:A58" ca="1" si="73">IF(OFFSET(A50,-1,0)="",OFFSET(A50,-2,0),OFFSET(A50,-1,0))</f>
        <v>3</v>
      </c>
      <c r="B50" s="28" t="str">
        <f t="shared" ref="B50:B58" ca="1" si="74">IF(OFFSET(B50,-1,0)&gt;="01",CONCATENATE(,OFFSET(B50,-1,0)+1),CONCATENATE((SUM(OFFSET(B50,-1,0)+1-(OFFSET(B50,-1,0))))))</f>
        <v>1</v>
      </c>
      <c r="C50" s="507"/>
      <c r="D50" s="446"/>
      <c r="E50" s="507" t="str">
        <f t="shared" ref="E50:E57" ca="1" si="75">IF(B50="1",CONCATENATE(A50,".0",B50),IF(B50="2",CONCATENATE(A50,".0",B50),IF(B50="3",CONCATENATE(A50,".0",B50),IF(B50="4",CONCATENATE(A50,".0",B50),IF(B50="5",CONCATENATE(A50,".0",B50),IF(B50="6",CONCATENATE(A50,".0",B50),IF(B50="7",CONCATENATE(A50,".0",B50),IF(B50="8",CONCATENATE(A50,".0",B50),IF(B50="9",CONCATENATE(A50,".0",B50),CONCATENATE(A50,".",B50))))))))))</f>
        <v>3.01</v>
      </c>
      <c r="F50" s="518" t="s">
        <v>1376</v>
      </c>
      <c r="G50" s="441"/>
      <c r="H50" s="508">
        <v>48000</v>
      </c>
      <c r="I50" s="520">
        <v>21600</v>
      </c>
      <c r="J50" s="508">
        <v>113</v>
      </c>
      <c r="K50" s="508">
        <v>5</v>
      </c>
      <c r="L50" s="508">
        <v>2000</v>
      </c>
      <c r="M50" s="508">
        <f>2*150</f>
        <v>300</v>
      </c>
      <c r="N50" s="508">
        <f>2*150</f>
        <v>300</v>
      </c>
      <c r="O50" s="508">
        <f t="shared" ref="O50:O55" si="76">1/3</f>
        <v>0.33333333333333331</v>
      </c>
      <c r="P50" s="534">
        <v>6.5000000000000002E-2</v>
      </c>
      <c r="Q50" s="511">
        <f t="shared" ref="Q50:Q57" si="77">IFERROR((H50-I50)/(K50*L50),0)</f>
        <v>2.64</v>
      </c>
      <c r="R50" s="512">
        <f t="shared" ref="R50:R57" si="78">IFERROR(((I50+((H50-I50)*(K50+1)/(2*K50)))*juros_medio)/L50,0)</f>
        <v>0.56159999999999999</v>
      </c>
      <c r="S50" s="513">
        <f t="shared" ref="S50:S57" si="79">IFERROR(((H50-I50)/(K50*L50))*O50,0)</f>
        <v>0.88</v>
      </c>
      <c r="T50" s="514">
        <f t="shared" ref="T50:T57" si="80">IFERROR(((2*M50)+(2*N50))/(L50*K50),0)</f>
        <v>0.12</v>
      </c>
      <c r="U50" s="513">
        <f t="shared" ref="U50:U57" si="81">IFERROR(J50*P50*valor_diesel*0.55,0)</f>
        <v>23.632537500000002</v>
      </c>
      <c r="V50" s="513">
        <f t="shared" ref="V50:V57" si="82">IFERROR(U50*0.15,0)</f>
        <v>3.5448806250000002</v>
      </c>
      <c r="W50" s="521">
        <v>0</v>
      </c>
      <c r="X50" s="514">
        <f t="shared" ref="X50:X57" si="83">SUM(Q50:W50)</f>
        <v>31.379018125000002</v>
      </c>
      <c r="Y50" s="514">
        <f t="shared" ref="Y50:Y57" si="84">SUM(Q50:R50)</f>
        <v>3.2016</v>
      </c>
      <c r="Z50" s="515">
        <f>IFERROR((X50*220)+(22*2*Y50),0)</f>
        <v>7044.2543875000001</v>
      </c>
      <c r="AA50" s="516">
        <f t="shared" ref="AA50:AA57" si="85">Z50/SUM(dias_úteis_trabalhados+sábados_trabalhados+domingos_trabalhados)</f>
        <v>320.19338125000002</v>
      </c>
      <c r="AJ50" s="518"/>
      <c r="AK50" s="518"/>
      <c r="AL50" s="518"/>
    </row>
    <row r="51" spans="1:38" ht="15.75" customHeight="1">
      <c r="A51" s="28">
        <f t="shared" ca="1" si="73"/>
        <v>3</v>
      </c>
      <c r="B51" s="28" t="str">
        <f t="shared" ca="1" si="74"/>
        <v>2</v>
      </c>
      <c r="C51" s="507"/>
      <c r="D51" s="446"/>
      <c r="E51" s="507" t="str">
        <f t="shared" ca="1" si="75"/>
        <v>3.02</v>
      </c>
      <c r="F51" s="441" t="s">
        <v>1377</v>
      </c>
      <c r="G51" s="441"/>
      <c r="H51" s="508">
        <v>45000</v>
      </c>
      <c r="I51" s="520">
        <v>15750</v>
      </c>
      <c r="J51" s="508">
        <v>101</v>
      </c>
      <c r="K51" s="508">
        <v>5</v>
      </c>
      <c r="L51" s="508">
        <v>2000</v>
      </c>
      <c r="M51" s="508">
        <f t="shared" ref="M51:N55" si="86">2*150</f>
        <v>300</v>
      </c>
      <c r="N51" s="508">
        <f t="shared" si="86"/>
        <v>300</v>
      </c>
      <c r="O51" s="508">
        <f t="shared" si="76"/>
        <v>0.33333333333333331</v>
      </c>
      <c r="P51" s="534">
        <v>6.5000000000000002E-2</v>
      </c>
      <c r="Q51" s="511">
        <f t="shared" si="77"/>
        <v>2.9249999999999998</v>
      </c>
      <c r="R51" s="512">
        <f t="shared" si="78"/>
        <v>0.4995</v>
      </c>
      <c r="S51" s="513">
        <f t="shared" si="79"/>
        <v>0.97499999999999987</v>
      </c>
      <c r="T51" s="514">
        <f t="shared" si="80"/>
        <v>0.12</v>
      </c>
      <c r="U51" s="513">
        <f t="shared" si="81"/>
        <v>21.122887500000004</v>
      </c>
      <c r="V51" s="513">
        <f t="shared" si="82"/>
        <v>3.1684331250000004</v>
      </c>
      <c r="W51" s="521">
        <v>0</v>
      </c>
      <c r="X51" s="514">
        <f t="shared" si="83"/>
        <v>28.810820625000005</v>
      </c>
      <c r="Y51" s="514">
        <f t="shared" si="84"/>
        <v>3.4244999999999997</v>
      </c>
      <c r="Z51" s="515">
        <f>IFERROR((X51*220)+(22*2*Y51),0)</f>
        <v>6489.058537500001</v>
      </c>
      <c r="AA51" s="516">
        <f t="shared" si="85"/>
        <v>294.95720625000007</v>
      </c>
      <c r="AJ51" s="518"/>
      <c r="AK51" s="518"/>
      <c r="AL51" s="518"/>
    </row>
    <row r="52" spans="1:38" ht="15.75" customHeight="1">
      <c r="A52" s="28">
        <f t="shared" ca="1" si="73"/>
        <v>3</v>
      </c>
      <c r="B52" s="28" t="str">
        <f t="shared" ca="1" si="74"/>
        <v>3</v>
      </c>
      <c r="C52" s="507"/>
      <c r="D52" s="446"/>
      <c r="E52" s="507" t="str">
        <f t="shared" ca="1" si="75"/>
        <v>3.03</v>
      </c>
      <c r="F52" s="9" t="s">
        <v>1378</v>
      </c>
      <c r="G52" s="441"/>
      <c r="H52" s="508">
        <v>85000</v>
      </c>
      <c r="I52" s="520">
        <v>38250</v>
      </c>
      <c r="J52" s="508">
        <v>247</v>
      </c>
      <c r="K52" s="508">
        <v>5</v>
      </c>
      <c r="L52" s="508">
        <v>2000</v>
      </c>
      <c r="M52" s="508">
        <f>2*261.9</f>
        <v>523.79999999999995</v>
      </c>
      <c r="N52" s="508">
        <f>2*261.9</f>
        <v>523.79999999999995</v>
      </c>
      <c r="O52" s="508">
        <f t="shared" si="76"/>
        <v>0.33333333333333331</v>
      </c>
      <c r="P52" s="534">
        <v>6.5000000000000002E-2</v>
      </c>
      <c r="Q52" s="511">
        <f t="shared" si="77"/>
        <v>4.6749999999999998</v>
      </c>
      <c r="R52" s="512">
        <f t="shared" si="78"/>
        <v>0.99450000000000005</v>
      </c>
      <c r="S52" s="513">
        <f t="shared" si="79"/>
        <v>1.5583333333333331</v>
      </c>
      <c r="T52" s="514">
        <f t="shared" si="80"/>
        <v>0.20951999999999998</v>
      </c>
      <c r="U52" s="513">
        <f t="shared" si="81"/>
        <v>51.656962499999999</v>
      </c>
      <c r="V52" s="513">
        <f t="shared" si="82"/>
        <v>7.7485443749999998</v>
      </c>
      <c r="W52" s="521">
        <v>0</v>
      </c>
      <c r="X52" s="514">
        <f t="shared" si="83"/>
        <v>66.842860208333335</v>
      </c>
      <c r="Y52" s="514">
        <f t="shared" si="84"/>
        <v>5.6695000000000002</v>
      </c>
      <c r="Z52" s="515">
        <f t="shared" ref="Z52:Z57" si="87">IFERROR((X52*220)+(22*2*Y52),0)</f>
        <v>14954.887245833334</v>
      </c>
      <c r="AA52" s="516">
        <f t="shared" si="85"/>
        <v>679.76760208333337</v>
      </c>
      <c r="AJ52" s="518"/>
      <c r="AK52" s="518"/>
      <c r="AL52" s="518"/>
    </row>
    <row r="53" spans="1:38" ht="15.75" customHeight="1">
      <c r="A53" s="28">
        <f t="shared" ca="1" si="73"/>
        <v>3</v>
      </c>
      <c r="B53" s="28" t="str">
        <f t="shared" ca="1" si="74"/>
        <v>4</v>
      </c>
      <c r="C53" s="507"/>
      <c r="D53" s="446"/>
      <c r="E53" s="507" t="str">
        <f t="shared" ca="1" si="75"/>
        <v>3.04</v>
      </c>
      <c r="F53" s="441" t="s">
        <v>1379</v>
      </c>
      <c r="G53" s="441"/>
      <c r="H53" s="508">
        <v>29000</v>
      </c>
      <c r="I53" s="520">
        <v>13050</v>
      </c>
      <c r="J53" s="508">
        <v>72</v>
      </c>
      <c r="K53" s="508">
        <v>5</v>
      </c>
      <c r="L53" s="508">
        <v>2000</v>
      </c>
      <c r="M53" s="508">
        <f t="shared" si="86"/>
        <v>300</v>
      </c>
      <c r="N53" s="508">
        <f t="shared" si="86"/>
        <v>300</v>
      </c>
      <c r="O53" s="508">
        <f t="shared" si="76"/>
        <v>0.33333333333333331</v>
      </c>
      <c r="P53" s="534">
        <v>6.5000000000000002E-2</v>
      </c>
      <c r="Q53" s="511">
        <f t="shared" si="77"/>
        <v>1.595</v>
      </c>
      <c r="R53" s="512">
        <f t="shared" si="78"/>
        <v>0.33929999999999999</v>
      </c>
      <c r="S53" s="513">
        <f t="shared" si="79"/>
        <v>0.53166666666666662</v>
      </c>
      <c r="T53" s="514">
        <f t="shared" si="80"/>
        <v>0.12</v>
      </c>
      <c r="U53" s="513">
        <f t="shared" si="81"/>
        <v>15.0579</v>
      </c>
      <c r="V53" s="513">
        <f t="shared" si="82"/>
        <v>2.2586849999999998</v>
      </c>
      <c r="W53" s="521">
        <v>0</v>
      </c>
      <c r="X53" s="514">
        <f t="shared" si="83"/>
        <v>19.902551666666668</v>
      </c>
      <c r="Y53" s="514">
        <f t="shared" si="84"/>
        <v>1.9342999999999999</v>
      </c>
      <c r="Z53" s="515">
        <f t="shared" si="87"/>
        <v>4463.6705666666667</v>
      </c>
      <c r="AA53" s="516">
        <f t="shared" si="85"/>
        <v>202.89411666666666</v>
      </c>
      <c r="AJ53" s="518"/>
      <c r="AK53" s="518"/>
      <c r="AL53" s="518"/>
    </row>
    <row r="54" spans="1:38" ht="15.75" customHeight="1">
      <c r="A54" s="28">
        <f t="shared" ca="1" si="73"/>
        <v>3</v>
      </c>
      <c r="B54" s="28" t="str">
        <f t="shared" ca="1" si="74"/>
        <v>5</v>
      </c>
      <c r="C54" s="507"/>
      <c r="D54" s="446"/>
      <c r="E54" s="507" t="str">
        <f t="shared" ca="1" si="75"/>
        <v>3.05</v>
      </c>
      <c r="F54" s="441" t="s">
        <v>1380</v>
      </c>
      <c r="G54" s="441"/>
      <c r="H54" s="508">
        <v>75000</v>
      </c>
      <c r="I54" s="520">
        <v>33750</v>
      </c>
      <c r="J54" s="508">
        <v>130</v>
      </c>
      <c r="K54" s="508">
        <v>5</v>
      </c>
      <c r="L54" s="508">
        <v>2000</v>
      </c>
      <c r="M54" s="508">
        <f>2*261.9</f>
        <v>523.79999999999995</v>
      </c>
      <c r="N54" s="508">
        <f>2*261.9</f>
        <v>523.79999999999995</v>
      </c>
      <c r="O54" s="508">
        <f>1/3</f>
        <v>0.33333333333333331</v>
      </c>
      <c r="P54" s="534">
        <v>6.5000000000000002E-2</v>
      </c>
      <c r="Q54" s="511">
        <f t="shared" si="77"/>
        <v>4.125</v>
      </c>
      <c r="R54" s="512">
        <f t="shared" si="78"/>
        <v>0.87749999999999995</v>
      </c>
      <c r="S54" s="513">
        <f t="shared" si="79"/>
        <v>1.375</v>
      </c>
      <c r="T54" s="514">
        <f t="shared" si="80"/>
        <v>0.20951999999999998</v>
      </c>
      <c r="U54" s="513">
        <f t="shared" si="81"/>
        <v>27.187875000000005</v>
      </c>
      <c r="V54" s="513">
        <f t="shared" si="82"/>
        <v>4.078181250000001</v>
      </c>
      <c r="W54" s="521">
        <v>0</v>
      </c>
      <c r="X54" s="514">
        <f t="shared" si="83"/>
        <v>37.853076250000008</v>
      </c>
      <c r="Y54" s="514">
        <f t="shared" si="84"/>
        <v>5.0024999999999995</v>
      </c>
      <c r="Z54" s="515">
        <f t="shared" si="87"/>
        <v>8547.7867750000023</v>
      </c>
      <c r="AA54" s="516">
        <f t="shared" si="85"/>
        <v>388.53576250000009</v>
      </c>
      <c r="AJ54" s="518"/>
      <c r="AK54" s="518"/>
      <c r="AL54" s="518"/>
    </row>
    <row r="55" spans="1:38" ht="15.75" customHeight="1">
      <c r="A55" s="28">
        <f t="shared" ca="1" si="73"/>
        <v>3</v>
      </c>
      <c r="B55" s="28" t="str">
        <f t="shared" ca="1" si="74"/>
        <v>6</v>
      </c>
      <c r="C55" s="507"/>
      <c r="D55" s="446"/>
      <c r="E55" s="507" t="str">
        <f t="shared" ca="1" si="75"/>
        <v>3.06</v>
      </c>
      <c r="F55" s="441" t="s">
        <v>1381</v>
      </c>
      <c r="G55" s="441"/>
      <c r="H55" s="508">
        <v>40000</v>
      </c>
      <c r="I55" s="520">
        <v>18000</v>
      </c>
      <c r="J55" s="508">
        <v>101</v>
      </c>
      <c r="K55" s="508">
        <v>5</v>
      </c>
      <c r="L55" s="508">
        <v>2000</v>
      </c>
      <c r="M55" s="508">
        <f t="shared" si="86"/>
        <v>300</v>
      </c>
      <c r="N55" s="508">
        <f t="shared" si="86"/>
        <v>300</v>
      </c>
      <c r="O55" s="508">
        <f t="shared" si="76"/>
        <v>0.33333333333333331</v>
      </c>
      <c r="P55" s="534">
        <v>6.5000000000000002E-2</v>
      </c>
      <c r="Q55" s="511">
        <f>IFERROR((H55-I55)/(K55*L55),0)</f>
        <v>2.2000000000000002</v>
      </c>
      <c r="R55" s="512">
        <f t="shared" si="78"/>
        <v>0.46800000000000003</v>
      </c>
      <c r="S55" s="513">
        <f>IFERROR(((H55-I55)/(K55*L55))*O55,0)</f>
        <v>0.73333333333333339</v>
      </c>
      <c r="T55" s="514">
        <f>IFERROR(((2*M55)+(2*N55))/(L55*K55),0)</f>
        <v>0.12</v>
      </c>
      <c r="U55" s="513">
        <f t="shared" si="81"/>
        <v>21.122887500000004</v>
      </c>
      <c r="V55" s="513">
        <f t="shared" si="82"/>
        <v>3.1684331250000004</v>
      </c>
      <c r="W55" s="521">
        <v>0</v>
      </c>
      <c r="X55" s="514">
        <f>SUM(Q55:W55)</f>
        <v>27.812653958333339</v>
      </c>
      <c r="Y55" s="514">
        <f>SUM(Q55:R55)</f>
        <v>2.6680000000000001</v>
      </c>
      <c r="Z55" s="515">
        <f>IFERROR((X55*220)+(22*2*Y55),0)</f>
        <v>6236.1758708333346</v>
      </c>
      <c r="AA55" s="516">
        <f t="shared" si="85"/>
        <v>283.46253958333341</v>
      </c>
      <c r="AJ55" s="518"/>
      <c r="AK55" s="518"/>
      <c r="AL55" s="518"/>
    </row>
    <row r="56" spans="1:38" ht="15.75" customHeight="1">
      <c r="A56" s="28">
        <f t="shared" ca="1" si="73"/>
        <v>3</v>
      </c>
      <c r="B56" s="28" t="str">
        <f t="shared" ca="1" si="74"/>
        <v>7</v>
      </c>
      <c r="C56" s="507"/>
      <c r="D56" s="446"/>
      <c r="E56" s="507" t="str">
        <f t="shared" ca="1" si="75"/>
        <v>3.07</v>
      </c>
      <c r="F56" s="441"/>
      <c r="G56" s="441"/>
      <c r="H56" s="508"/>
      <c r="I56" s="520"/>
      <c r="J56" s="508"/>
      <c r="K56" s="508"/>
      <c r="L56" s="508"/>
      <c r="M56" s="508"/>
      <c r="N56" s="508"/>
      <c r="O56" s="508"/>
      <c r="P56" s="508"/>
      <c r="Q56" s="511">
        <f>IFERROR((H56-I56)/(K56*L56),0)</f>
        <v>0</v>
      </c>
      <c r="R56" s="512">
        <f>IFERROR(((I56+((H56-I56)*(K56+1)/(2*K56)))*juros_medio)/L56,0)</f>
        <v>0</v>
      </c>
      <c r="S56" s="513">
        <f>IFERROR(((H56-I56)/(K56*L56))*O56,0)</f>
        <v>0</v>
      </c>
      <c r="T56" s="514">
        <f>IFERROR(((2*M56)+(2*N56))/(L56*K56),0)</f>
        <v>0</v>
      </c>
      <c r="U56" s="513">
        <f>IFERROR(J56*P56*valor_diesel*0.55,0)</f>
        <v>0</v>
      </c>
      <c r="V56" s="513">
        <f>IFERROR(U56*0.15,0)</f>
        <v>0</v>
      </c>
      <c r="W56" s="521">
        <v>0</v>
      </c>
      <c r="X56" s="514">
        <f>SUM(Q56:W56)</f>
        <v>0</v>
      </c>
      <c r="Y56" s="514">
        <f>SUM(Q56:R56)</f>
        <v>0</v>
      </c>
      <c r="Z56" s="515">
        <f>IFERROR((X56*220)+(22*2*Y56),0)</f>
        <v>0</v>
      </c>
      <c r="AA56" s="516">
        <f t="shared" si="85"/>
        <v>0</v>
      </c>
      <c r="AJ56" s="518"/>
      <c r="AK56" s="518"/>
      <c r="AL56" s="518"/>
    </row>
    <row r="57" spans="1:38" ht="15.75" customHeight="1">
      <c r="A57" s="28">
        <f t="shared" ca="1" si="73"/>
        <v>3</v>
      </c>
      <c r="B57" s="28" t="str">
        <f t="shared" ca="1" si="74"/>
        <v>8</v>
      </c>
      <c r="C57" s="507"/>
      <c r="D57" s="446"/>
      <c r="E57" s="507" t="str">
        <f t="shared" ca="1" si="75"/>
        <v>3.08</v>
      </c>
      <c r="F57" s="441"/>
      <c r="G57" s="441"/>
      <c r="H57" s="508"/>
      <c r="I57" s="520"/>
      <c r="J57" s="508"/>
      <c r="K57" s="508"/>
      <c r="L57" s="508"/>
      <c r="M57" s="508"/>
      <c r="N57" s="508"/>
      <c r="O57" s="508"/>
      <c r="P57" s="508"/>
      <c r="Q57" s="511">
        <f t="shared" si="77"/>
        <v>0</v>
      </c>
      <c r="R57" s="512">
        <f t="shared" si="78"/>
        <v>0</v>
      </c>
      <c r="S57" s="513">
        <f t="shared" si="79"/>
        <v>0</v>
      </c>
      <c r="T57" s="514">
        <f t="shared" si="80"/>
        <v>0</v>
      </c>
      <c r="U57" s="513">
        <f t="shared" si="81"/>
        <v>0</v>
      </c>
      <c r="V57" s="513">
        <f t="shared" si="82"/>
        <v>0</v>
      </c>
      <c r="W57" s="521">
        <v>0</v>
      </c>
      <c r="X57" s="514">
        <f t="shared" si="83"/>
        <v>0</v>
      </c>
      <c r="Y57" s="514">
        <f t="shared" si="84"/>
        <v>0</v>
      </c>
      <c r="Z57" s="515">
        <f t="shared" si="87"/>
        <v>0</v>
      </c>
      <c r="AA57" s="516">
        <f t="shared" si="85"/>
        <v>0</v>
      </c>
      <c r="AJ57" s="518"/>
      <c r="AK57" s="518"/>
      <c r="AL57" s="518"/>
    </row>
    <row r="58" spans="1:38" ht="15.75" customHeight="1">
      <c r="A58" s="28">
        <f t="shared" ca="1" si="73"/>
        <v>3</v>
      </c>
      <c r="B58" s="28" t="str">
        <f t="shared" ca="1" si="74"/>
        <v>9</v>
      </c>
      <c r="C58" s="507"/>
      <c r="D58" s="522"/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4"/>
      <c r="AJ58" s="518"/>
      <c r="AK58" s="518"/>
      <c r="AL58" s="518"/>
    </row>
    <row r="59" spans="1:38" s="444" customFormat="1" ht="15.75" customHeight="1">
      <c r="A59" s="28">
        <f>E59</f>
        <v>4</v>
      </c>
      <c r="B59" s="29">
        <f>E59</f>
        <v>4</v>
      </c>
      <c r="C59" s="498"/>
      <c r="D59" s="525"/>
      <c r="E59" s="500">
        <v>4</v>
      </c>
      <c r="F59" s="501" t="s">
        <v>941</v>
      </c>
      <c r="G59" s="501"/>
      <c r="H59" s="526" t="s">
        <v>932</v>
      </c>
      <c r="I59" s="527" t="s">
        <v>933</v>
      </c>
      <c r="J59" s="527" t="s">
        <v>914</v>
      </c>
      <c r="K59" s="527" t="s">
        <v>915</v>
      </c>
      <c r="L59" s="526" t="s">
        <v>934</v>
      </c>
      <c r="M59" s="527" t="s">
        <v>935</v>
      </c>
      <c r="N59" s="527" t="s">
        <v>936</v>
      </c>
      <c r="O59" s="527" t="s">
        <v>937</v>
      </c>
      <c r="P59" s="527" t="s">
        <v>938</v>
      </c>
      <c r="Q59" s="526" t="s">
        <v>895</v>
      </c>
      <c r="R59" s="527" t="s">
        <v>896</v>
      </c>
      <c r="S59" s="526" t="s">
        <v>897</v>
      </c>
      <c r="T59" s="526" t="s">
        <v>898</v>
      </c>
      <c r="U59" s="526" t="s">
        <v>899</v>
      </c>
      <c r="V59" s="526" t="s">
        <v>900</v>
      </c>
      <c r="W59" s="526" t="s">
        <v>901</v>
      </c>
      <c r="X59" s="541" t="s">
        <v>939</v>
      </c>
      <c r="Y59" s="541" t="s">
        <v>940</v>
      </c>
      <c r="Z59" s="541" t="s">
        <v>904</v>
      </c>
      <c r="AA59" s="542" t="s">
        <v>905</v>
      </c>
      <c r="AB59" s="9"/>
      <c r="AD59" s="9"/>
      <c r="AJ59" s="518"/>
      <c r="AK59" s="518"/>
      <c r="AL59" s="518"/>
    </row>
    <row r="60" spans="1:38" ht="15.75" customHeight="1">
      <c r="A60" s="28">
        <f ca="1">IF(OFFSET(A60,-1,0)="",OFFSET(A60,-2,0),OFFSET(A60,-1,0))</f>
        <v>4</v>
      </c>
      <c r="B60" s="28" t="str">
        <f ca="1">IF(OFFSET(B60,-1,0)&gt;="01",CONCATENATE(,OFFSET(B60,-1,0)+1),CONCATENATE((SUM(OFFSET(B60,-1,0)+1-(OFFSET(B60,-1,0))))))</f>
        <v>1</v>
      </c>
      <c r="C60" s="507"/>
      <c r="D60" s="446"/>
      <c r="E60" s="507" t="str">
        <f ca="1">IF(B60="1",CONCATENATE(A60,".0",B60),IF(B60="2",CONCATENATE(A60,".0",B60),IF(B60="3",CONCATENATE(A60,".0",B60),IF(B60="4",CONCATENATE(A60,".0",B60),IF(B60="5",CONCATENATE(A60,".0",B60),IF(B60="6",CONCATENATE(A60,".0",B60),IF(B60="7",CONCATENATE(A60,".0",B60),IF(B60="8",CONCATENATE(A60,".0",B60),IF(B60="9",CONCATENATE(A60,".0",B60),CONCATENATE(A60,".",B60))))))))))</f>
        <v>4.01</v>
      </c>
      <c r="F60" s="441" t="s">
        <v>1382</v>
      </c>
      <c r="G60" s="441"/>
      <c r="H60" s="508">
        <v>80000</v>
      </c>
      <c r="I60" s="520">
        <f>H60*0.6</f>
        <v>48000</v>
      </c>
      <c r="J60" s="508">
        <v>101</v>
      </c>
      <c r="K60" s="508">
        <v>5</v>
      </c>
      <c r="L60" s="508">
        <v>2000</v>
      </c>
      <c r="M60" s="508">
        <f>2*150</f>
        <v>300</v>
      </c>
      <c r="N60" s="508">
        <f>2*150</f>
        <v>300</v>
      </c>
      <c r="O60" s="508">
        <f>1/3</f>
        <v>0.33333333333333331</v>
      </c>
      <c r="P60" s="534">
        <v>6.5000000000000002E-2</v>
      </c>
      <c r="Q60" s="511">
        <f>IFERROR((H60-I60)/(K60*L60),0)</f>
        <v>3.2</v>
      </c>
      <c r="R60" s="512">
        <f>IFERROR(((I60+((H60-I60)*(K60+1)/(2*K60)))*juros_medio)/L60,0)</f>
        <v>1.008</v>
      </c>
      <c r="S60" s="513">
        <f>IFERROR(((H60-I60)/(K60*L60))*O60,0)</f>
        <v>1.0666666666666667</v>
      </c>
      <c r="T60" s="514">
        <f>IFERROR(((2*M60)+(2*N60))/(L60*K60),0)</f>
        <v>0.12</v>
      </c>
      <c r="U60" s="513">
        <f>IFERROR(J60*P60*valor_diesel*0.55,0)</f>
        <v>21.122887500000004</v>
      </c>
      <c r="V60" s="513">
        <f>IFERROR(U60*0.15,0)</f>
        <v>3.1684331250000004</v>
      </c>
      <c r="W60" s="521">
        <v>0</v>
      </c>
      <c r="X60" s="514">
        <f>SUM(Q60:W60)</f>
        <v>29.68598729166667</v>
      </c>
      <c r="Y60" s="514">
        <f>SUM(Q60:R60)</f>
        <v>4.2080000000000002</v>
      </c>
      <c r="Z60" s="515">
        <f>IFERROR((X60*220)+(22*2*Y60),0)</f>
        <v>6716.0692041666671</v>
      </c>
      <c r="AA60" s="516">
        <f>Z60/SUM(dias_úteis_trabalhados+sábados_trabalhados+domingos_trabalhados)</f>
        <v>305.27587291666669</v>
      </c>
      <c r="AJ60" s="518"/>
      <c r="AK60" s="518"/>
      <c r="AL60" s="518"/>
    </row>
    <row r="61" spans="1:38" ht="15.75" customHeight="1">
      <c r="A61" s="28">
        <f ca="1">IF(OFFSET(A61,-1,0)="",OFFSET(A61,-2,0),OFFSET(A61,-1,0))</f>
        <v>4</v>
      </c>
      <c r="B61" s="28" t="str">
        <f ca="1">IF(OFFSET(B61,-1,0)&gt;="01",CONCATENATE(,OFFSET(B61,-1,0)+1),CONCATENATE((SUM(OFFSET(B61,-1,0)+1-(OFFSET(B61,-1,0))))))</f>
        <v>2</v>
      </c>
      <c r="C61" s="507"/>
      <c r="D61" s="446"/>
      <c r="E61" s="507" t="str">
        <f ca="1">IF(B61="1",CONCATENATE(A61,".0",B61),IF(B61="2",CONCATENATE(A61,".0",B61),IF(B61="3",CONCATENATE(A61,".0",B61),IF(B61="4",CONCATENATE(A61,".0",B61),IF(B61="5",CONCATENATE(A61,".0",B61),IF(B61="6",CONCATENATE(A61,".0",B61),IF(B61="7",CONCATENATE(A61,".0",B61),IF(B61="8",CONCATENATE(A61,".0",B61),IF(B61="9",CONCATENATE(A61,".0",B61),CONCATENATE(A61,".",B61))))))))))</f>
        <v>4.02</v>
      </c>
      <c r="F61" s="441" t="s">
        <v>1381</v>
      </c>
      <c r="G61" s="441"/>
      <c r="H61" s="508">
        <v>17000</v>
      </c>
      <c r="I61" s="520">
        <f>H61*0.45</f>
        <v>7650</v>
      </c>
      <c r="J61" s="508">
        <v>101</v>
      </c>
      <c r="K61" s="508">
        <v>5</v>
      </c>
      <c r="L61" s="508">
        <v>2000</v>
      </c>
      <c r="M61" s="508">
        <f>2*150</f>
        <v>300</v>
      </c>
      <c r="N61" s="508">
        <f>2*150</f>
        <v>300</v>
      </c>
      <c r="O61" s="508">
        <f>1/3</f>
        <v>0.33333333333333331</v>
      </c>
      <c r="P61" s="534">
        <v>6.5000000000000002E-2</v>
      </c>
      <c r="Q61" s="511">
        <f>IFERROR((H61-I61)/(K61*L61),0)</f>
        <v>0.93500000000000005</v>
      </c>
      <c r="R61" s="512">
        <f>IFERROR(((I61+((H61-I61)*(K61+1)/(2*K61)))*juros_medio)/L61,0)</f>
        <v>0.19889999999999999</v>
      </c>
      <c r="S61" s="513">
        <f>IFERROR(((H61-I61)/(K61*L61))*O61,0)</f>
        <v>0.31166666666666665</v>
      </c>
      <c r="T61" s="514">
        <f>IFERROR(((2*M61)+(2*N61))/(L61*K61),0)</f>
        <v>0.12</v>
      </c>
      <c r="U61" s="513">
        <f>IFERROR(J61*P61*valor_diesel*0.55,0)</f>
        <v>21.122887500000004</v>
      </c>
      <c r="V61" s="513">
        <f>IFERROR(U61*0.15,0)</f>
        <v>3.1684331250000004</v>
      </c>
      <c r="W61" s="521">
        <v>0</v>
      </c>
      <c r="X61" s="514">
        <f>SUM(Q61:W61)</f>
        <v>25.85688729166667</v>
      </c>
      <c r="Y61" s="514">
        <f>SUM(Q61:R61)</f>
        <v>1.1339000000000001</v>
      </c>
      <c r="Z61" s="515">
        <f>IFERROR((X61*220)+(22*2*Y61),0)</f>
        <v>5738.4068041666669</v>
      </c>
      <c r="AA61" s="516">
        <f>Z61/SUM(dias_úteis_trabalhados+sábados_trabalhados+domingos_trabalhados)</f>
        <v>260.83667291666666</v>
      </c>
      <c r="AJ61" s="518"/>
      <c r="AK61" s="518"/>
      <c r="AL61" s="518"/>
    </row>
    <row r="62" spans="1:38" ht="15.75" customHeight="1">
      <c r="A62" s="28">
        <f ca="1">IF(OFFSET(A62,-1,0)="",OFFSET(A62,-2,0),OFFSET(A62,-1,0))</f>
        <v>4</v>
      </c>
      <c r="B62" s="28" t="str">
        <f ca="1">IF(OFFSET(B62,-1,0)&gt;="01",CONCATENATE(,OFFSET(B62,-1,0)+1),CONCATENATE((SUM(OFFSET(B62,-1,0)+1-(OFFSET(B62,-1,0))))))</f>
        <v>3</v>
      </c>
      <c r="C62" s="507"/>
      <c r="D62" s="446"/>
      <c r="E62" s="507" t="str">
        <f ca="1">IF(B62="1",CONCATENATE(A62,".0",B62),IF(B62="2",CONCATENATE(A62,".0",B62),IF(B62="3",CONCATENATE(A62,".0",B62),IF(B62="4",CONCATENATE(A62,".0",B62),IF(B62="5",CONCATENATE(A62,".0",B62),IF(B62="6",CONCATENATE(A62,".0",B62),IF(B62="7",CONCATENATE(A62,".0",B62),IF(B62="8",CONCATENATE(A62,".0",B62),IF(B62="9",CONCATENATE(A62,".0",B62),CONCATENATE(A62,".",B62))))))))))</f>
        <v>4.03</v>
      </c>
      <c r="F62" s="441"/>
      <c r="G62" s="441"/>
      <c r="H62" s="508"/>
      <c r="I62" s="543"/>
      <c r="J62" s="520"/>
      <c r="K62" s="539"/>
      <c r="L62" s="508"/>
      <c r="M62" s="508"/>
      <c r="N62" s="508"/>
      <c r="O62" s="508"/>
      <c r="P62" s="534"/>
      <c r="Q62" s="511"/>
      <c r="R62" s="512"/>
      <c r="S62" s="513"/>
      <c r="T62" s="514"/>
      <c r="U62" s="513"/>
      <c r="V62" s="513"/>
      <c r="W62" s="521"/>
      <c r="X62" s="514"/>
      <c r="Y62" s="514"/>
      <c r="Z62" s="515"/>
      <c r="AA62" s="516"/>
      <c r="AJ62" s="518"/>
      <c r="AK62" s="518"/>
      <c r="AL62" s="518"/>
    </row>
    <row r="63" spans="1:38" ht="15.75" customHeight="1">
      <c r="A63" s="28">
        <f ca="1">IF(OFFSET(A63,-1,0)="",OFFSET(A63,-2,0),OFFSET(A63,-1,0))</f>
        <v>4</v>
      </c>
      <c r="B63" s="28" t="str">
        <f ca="1">IF(OFFSET(B63,-1,0)&gt;="01",CONCATENATE(,OFFSET(B63,-1,0)+1),CONCATENATE((SUM(OFFSET(B63,-1,0)+1-(OFFSET(B63,-1,0))))))</f>
        <v>4</v>
      </c>
      <c r="C63" s="507"/>
      <c r="D63" s="522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4"/>
      <c r="AJ63" s="518"/>
      <c r="AK63" s="518"/>
      <c r="AL63" s="518"/>
    </row>
    <row r="64" spans="1:38" s="444" customFormat="1" ht="15.75" customHeight="1">
      <c r="A64" s="28">
        <f>E64</f>
        <v>5</v>
      </c>
      <c r="B64" s="29">
        <f>E64</f>
        <v>5</v>
      </c>
      <c r="C64" s="498"/>
      <c r="D64" s="525"/>
      <c r="E64" s="500">
        <v>5</v>
      </c>
      <c r="F64" s="501" t="s">
        <v>942</v>
      </c>
      <c r="G64" s="501"/>
      <c r="H64" s="526" t="s">
        <v>932</v>
      </c>
      <c r="I64" s="527" t="s">
        <v>933</v>
      </c>
      <c r="J64" s="527" t="s">
        <v>914</v>
      </c>
      <c r="K64" s="527" t="s">
        <v>915</v>
      </c>
      <c r="L64" s="526" t="s">
        <v>934</v>
      </c>
      <c r="M64" s="527" t="s">
        <v>935</v>
      </c>
      <c r="N64" s="527" t="s">
        <v>936</v>
      </c>
      <c r="O64" s="527" t="s">
        <v>937</v>
      </c>
      <c r="P64" s="527" t="s">
        <v>938</v>
      </c>
      <c r="Q64" s="526" t="s">
        <v>895</v>
      </c>
      <c r="R64" s="527" t="s">
        <v>896</v>
      </c>
      <c r="S64" s="526" t="s">
        <v>897</v>
      </c>
      <c r="T64" s="526" t="s">
        <v>898</v>
      </c>
      <c r="U64" s="526" t="s">
        <v>899</v>
      </c>
      <c r="V64" s="526" t="s">
        <v>900</v>
      </c>
      <c r="W64" s="526" t="s">
        <v>901</v>
      </c>
      <c r="X64" s="541" t="s">
        <v>939</v>
      </c>
      <c r="Y64" s="541" t="s">
        <v>940</v>
      </c>
      <c r="Z64" s="541" t="s">
        <v>904</v>
      </c>
      <c r="AA64" s="542" t="s">
        <v>905</v>
      </c>
      <c r="AB64" s="9"/>
      <c r="AC64" s="531" t="s">
        <v>917</v>
      </c>
      <c r="AD64" s="532"/>
      <c r="AE64" s="532"/>
      <c r="AF64" s="532"/>
      <c r="AG64" s="532"/>
      <c r="AJ64" s="518"/>
      <c r="AK64" s="518"/>
      <c r="AL64" s="518"/>
    </row>
    <row r="65" spans="1:38" ht="15.75" customHeight="1">
      <c r="A65" s="28">
        <f t="shared" ref="A65:A73" ca="1" si="88">IF(OFFSET(A65,-1,0)="",OFFSET(A65,-2,0),OFFSET(A65,-1,0))</f>
        <v>5</v>
      </c>
      <c r="B65" s="28" t="str">
        <f t="shared" ref="B65:B73" ca="1" si="89">IF(OFFSET(B65,-1,0)&gt;="01",CONCATENATE(,OFFSET(B65,-1,0)+1),CONCATENATE((SUM(OFFSET(B65,-1,0)+1-(OFFSET(B65,-1,0))))))</f>
        <v>1</v>
      </c>
      <c r="C65" s="507"/>
      <c r="D65" s="446"/>
      <c r="E65" s="507" t="str">
        <f t="shared" ref="E65:E71" ca="1" si="90">IF(B65="1",CONCATENATE(A65,".0",B65),IF(B65="2",CONCATENATE(A65,".0",B65),IF(B65="3",CONCATENATE(A65,".0",B65),IF(B65="4",CONCATENATE(A65,".0",B65),IF(B65="5",CONCATENATE(A65,".0",B65),IF(B65="6",CONCATENATE(A65,".0",B65),IF(B65="7",CONCATENATE(A65,".0",B65),IF(B65="8",CONCATENATE(A65,".0",B65),IF(B65="9",CONCATENATE(A65,".0",B65),CONCATENATE(A65,".",B65))))))))))</f>
        <v>5.01</v>
      </c>
      <c r="F65" s="518" t="s">
        <v>943</v>
      </c>
      <c r="G65" s="441"/>
      <c r="H65" s="508">
        <v>80000</v>
      </c>
      <c r="I65" s="520">
        <f t="shared" ref="I65:I72" si="91">H65*0.45</f>
        <v>36000</v>
      </c>
      <c r="J65" s="508">
        <v>270</v>
      </c>
      <c r="K65" s="508">
        <v>4</v>
      </c>
      <c r="L65" s="508">
        <v>2000</v>
      </c>
      <c r="M65" s="508">
        <v>1592.91</v>
      </c>
      <c r="N65" s="508">
        <v>1592.91</v>
      </c>
      <c r="O65" s="508">
        <v>0.6</v>
      </c>
      <c r="P65" s="508">
        <v>0.13</v>
      </c>
      <c r="Q65" s="511">
        <f t="shared" ref="Q65:Q72" si="92">IFERROR((H65-I65)/(K65*L65),0)</f>
        <v>5.5</v>
      </c>
      <c r="R65" s="512">
        <f t="shared" ref="R65:R70" si="93">IFERROR(((I65+((H65-I65)*(K65+1)/(2*K65)))*juros_medio)/L65,0)</f>
        <v>0.95250000000000001</v>
      </c>
      <c r="S65" s="513">
        <f t="shared" ref="S65:S72" si="94">IFERROR(((H65-I65)/(K65*L65))*O65,0)</f>
        <v>3.3</v>
      </c>
      <c r="T65" s="514">
        <f t="shared" ref="T65:T72" si="95">IFERROR(((2*M65)+(2*N65))/(L65*K65),0)</f>
        <v>0.79645500000000002</v>
      </c>
      <c r="U65" s="513">
        <f t="shared" ref="U65:U70" si="96">IFERROR(J65*P65*valor_diesel*0.55,0)</f>
        <v>112.93425000000002</v>
      </c>
      <c r="V65" s="513">
        <f t="shared" ref="V65:V70" si="97">IFERROR(U65*0.15,0)</f>
        <v>16.940137500000002</v>
      </c>
      <c r="W65" s="521">
        <v>0</v>
      </c>
      <c r="X65" s="514">
        <f t="shared" ref="X65:X72" si="98">SUM(Q65:W65)</f>
        <v>140.42334250000002</v>
      </c>
      <c r="Y65" s="514">
        <f t="shared" ref="Y65:Y72" si="99">SUM(Q65:R65)</f>
        <v>6.4524999999999997</v>
      </c>
      <c r="Z65" s="515">
        <f t="shared" ref="Z65:Z72" si="100">IFERROR((X65*220)+(22*2*Y65),0)</f>
        <v>31177.045350000004</v>
      </c>
      <c r="AA65" s="516">
        <f t="shared" ref="AA65:AA72" si="101">Z65/SUM(dias_úteis_trabalhados+sábados_trabalhados+domingos_trabalhados)</f>
        <v>1417.1384250000001</v>
      </c>
      <c r="AJ65" s="518"/>
      <c r="AK65" s="518"/>
      <c r="AL65" s="518"/>
    </row>
    <row r="66" spans="1:38" ht="15.75" customHeight="1">
      <c r="A66" s="28">
        <f t="shared" ca="1" si="88"/>
        <v>5</v>
      </c>
      <c r="B66" s="28" t="str">
        <f t="shared" ca="1" si="89"/>
        <v>2</v>
      </c>
      <c r="C66" s="507"/>
      <c r="D66" s="446"/>
      <c r="E66" s="507" t="str">
        <f t="shared" ca="1" si="90"/>
        <v>5.02</v>
      </c>
      <c r="F66" s="441" t="s">
        <v>944</v>
      </c>
      <c r="G66" s="441"/>
      <c r="H66" s="508">
        <v>125000</v>
      </c>
      <c r="I66" s="520">
        <f t="shared" si="91"/>
        <v>56250</v>
      </c>
      <c r="J66" s="508">
        <v>220</v>
      </c>
      <c r="K66" s="508">
        <v>4</v>
      </c>
      <c r="L66" s="508">
        <v>2000</v>
      </c>
      <c r="M66" s="508"/>
      <c r="N66" s="508"/>
      <c r="O66" s="508"/>
      <c r="P66" s="508"/>
      <c r="Q66" s="511">
        <f t="shared" si="92"/>
        <v>8.59375</v>
      </c>
      <c r="R66" s="512">
        <f t="shared" si="93"/>
        <v>1.48828125</v>
      </c>
      <c r="S66" s="513">
        <f t="shared" si="94"/>
        <v>0</v>
      </c>
      <c r="T66" s="514">
        <f t="shared" si="95"/>
        <v>0</v>
      </c>
      <c r="U66" s="513">
        <f t="shared" si="96"/>
        <v>0</v>
      </c>
      <c r="V66" s="513">
        <f t="shared" si="97"/>
        <v>0</v>
      </c>
      <c r="W66" s="521">
        <v>0</v>
      </c>
      <c r="X66" s="514">
        <f t="shared" si="98"/>
        <v>10.08203125</v>
      </c>
      <c r="Y66" s="514">
        <f t="shared" si="99"/>
        <v>10.08203125</v>
      </c>
      <c r="Z66" s="515">
        <f t="shared" si="100"/>
        <v>2661.65625</v>
      </c>
      <c r="AA66" s="516">
        <f t="shared" si="101"/>
        <v>120.984375</v>
      </c>
      <c r="AC66" s="670" t="s">
        <v>919</v>
      </c>
      <c r="AD66" s="671"/>
      <c r="AE66" s="671"/>
      <c r="AF66" s="672" t="s">
        <v>129</v>
      </c>
      <c r="AG66" s="673"/>
      <c r="AJ66" s="518"/>
      <c r="AK66" s="518"/>
      <c r="AL66" s="518"/>
    </row>
    <row r="67" spans="1:38" ht="15.75" customHeight="1">
      <c r="A67" s="28">
        <f t="shared" ca="1" si="88"/>
        <v>5</v>
      </c>
      <c r="B67" s="28" t="str">
        <f t="shared" ca="1" si="89"/>
        <v>3</v>
      </c>
      <c r="C67" s="507"/>
      <c r="D67" s="446"/>
      <c r="E67" s="507" t="str">
        <f t="shared" ca="1" si="90"/>
        <v>5.03</v>
      </c>
      <c r="F67" s="441" t="s">
        <v>945</v>
      </c>
      <c r="G67" s="441"/>
      <c r="H67" s="508">
        <v>60000</v>
      </c>
      <c r="I67" s="520">
        <f t="shared" si="91"/>
        <v>27000</v>
      </c>
      <c r="J67" s="508"/>
      <c r="K67" s="508"/>
      <c r="L67" s="508"/>
      <c r="M67" s="508"/>
      <c r="N67" s="508"/>
      <c r="O67" s="508"/>
      <c r="P67" s="508"/>
      <c r="Q67" s="511">
        <f t="shared" si="92"/>
        <v>0</v>
      </c>
      <c r="R67" s="512">
        <f t="shared" si="93"/>
        <v>0</v>
      </c>
      <c r="S67" s="513">
        <f t="shared" si="94"/>
        <v>0</v>
      </c>
      <c r="T67" s="514">
        <f t="shared" si="95"/>
        <v>0</v>
      </c>
      <c r="U67" s="513">
        <f t="shared" si="96"/>
        <v>0</v>
      </c>
      <c r="V67" s="513">
        <f t="shared" si="97"/>
        <v>0</v>
      </c>
      <c r="W67" s="521">
        <v>0</v>
      </c>
      <c r="X67" s="514">
        <f t="shared" si="98"/>
        <v>0</v>
      </c>
      <c r="Y67" s="514">
        <f t="shared" si="99"/>
        <v>0</v>
      </c>
      <c r="Z67" s="515">
        <f t="shared" si="100"/>
        <v>0</v>
      </c>
      <c r="AA67" s="516">
        <f t="shared" si="101"/>
        <v>0</v>
      </c>
      <c r="AC67" s="537" t="s">
        <v>921</v>
      </c>
      <c r="AD67" s="84" t="s">
        <v>922</v>
      </c>
      <c r="AE67" s="538"/>
      <c r="AF67" s="452" t="s">
        <v>923</v>
      </c>
      <c r="AG67" s="544">
        <v>80</v>
      </c>
      <c r="AJ67" s="518"/>
      <c r="AK67" s="518"/>
      <c r="AL67" s="518"/>
    </row>
    <row r="68" spans="1:38" ht="15.75" customHeight="1">
      <c r="A68" s="28">
        <f t="shared" ca="1" si="88"/>
        <v>5</v>
      </c>
      <c r="B68" s="28" t="str">
        <f t="shared" ca="1" si="89"/>
        <v>4</v>
      </c>
      <c r="C68" s="507"/>
      <c r="D68" s="446"/>
      <c r="E68" s="507" t="str">
        <f t="shared" ca="1" si="90"/>
        <v>5.04</v>
      </c>
      <c r="F68" s="441" t="s">
        <v>2000</v>
      </c>
      <c r="G68" s="441"/>
      <c r="H68" s="508">
        <v>9588</v>
      </c>
      <c r="I68" s="520">
        <f t="shared" si="91"/>
        <v>4314.6000000000004</v>
      </c>
      <c r="J68" s="508">
        <v>0</v>
      </c>
      <c r="K68" s="508">
        <v>1</v>
      </c>
      <c r="L68" s="508">
        <f>220*12</f>
        <v>2640</v>
      </c>
      <c r="M68" s="508"/>
      <c r="N68" s="508"/>
      <c r="O68" s="508"/>
      <c r="P68" s="508"/>
      <c r="Q68" s="511">
        <f t="shared" si="92"/>
        <v>1.9974999999999998</v>
      </c>
      <c r="R68" s="512">
        <f t="shared" si="93"/>
        <v>0.10895454545454544</v>
      </c>
      <c r="S68" s="513">
        <f t="shared" si="94"/>
        <v>0</v>
      </c>
      <c r="T68" s="514">
        <f t="shared" si="95"/>
        <v>0</v>
      </c>
      <c r="U68" s="513">
        <f t="shared" si="96"/>
        <v>0</v>
      </c>
      <c r="V68" s="513">
        <f t="shared" si="97"/>
        <v>0</v>
      </c>
      <c r="W68" s="521">
        <v>0</v>
      </c>
      <c r="X68" s="514">
        <f t="shared" si="98"/>
        <v>2.1064545454545454</v>
      </c>
      <c r="Y68" s="514">
        <f t="shared" si="99"/>
        <v>2.1064545454545454</v>
      </c>
      <c r="Z68" s="515">
        <f t="shared" si="100"/>
        <v>556.10399999999993</v>
      </c>
      <c r="AA68" s="516">
        <f t="shared" si="101"/>
        <v>25.277454545454543</v>
      </c>
      <c r="AC68" s="537" t="s">
        <v>925</v>
      </c>
      <c r="AD68" s="84" t="s">
        <v>926</v>
      </c>
      <c r="AF68" s="452" t="s">
        <v>927</v>
      </c>
      <c r="AG68" s="544">
        <v>60</v>
      </c>
      <c r="AJ68" s="518"/>
      <c r="AK68" s="518"/>
      <c r="AL68" s="518"/>
    </row>
    <row r="69" spans="1:38" ht="15.75" customHeight="1">
      <c r="A69" s="28">
        <f t="shared" ca="1" si="88"/>
        <v>5</v>
      </c>
      <c r="B69" s="28" t="str">
        <f t="shared" ca="1" si="89"/>
        <v>5</v>
      </c>
      <c r="C69" s="507"/>
      <c r="D69" s="446"/>
      <c r="E69" s="507" t="str">
        <f t="shared" ca="1" si="90"/>
        <v>5.05</v>
      </c>
      <c r="F69" s="441" t="s">
        <v>1933</v>
      </c>
      <c r="G69" s="441"/>
      <c r="H69" s="508">
        <v>4000</v>
      </c>
      <c r="I69" s="520">
        <v>2000</v>
      </c>
      <c r="J69" s="508">
        <v>0</v>
      </c>
      <c r="K69" s="508">
        <v>5</v>
      </c>
      <c r="L69" s="508">
        <v>220</v>
      </c>
      <c r="M69" s="508"/>
      <c r="N69" s="508"/>
      <c r="O69" s="508">
        <v>0.3</v>
      </c>
      <c r="P69" s="508"/>
      <c r="Q69" s="511">
        <f t="shared" si="92"/>
        <v>1.8181818181818181</v>
      </c>
      <c r="R69" s="512">
        <f t="shared" si="93"/>
        <v>0.43636363636363634</v>
      </c>
      <c r="S69" s="513">
        <f t="shared" si="94"/>
        <v>0.54545454545454541</v>
      </c>
      <c r="T69" s="514">
        <f t="shared" si="95"/>
        <v>0</v>
      </c>
      <c r="U69" s="513">
        <f t="shared" si="96"/>
        <v>0</v>
      </c>
      <c r="V69" s="513">
        <f t="shared" si="97"/>
        <v>0</v>
      </c>
      <c r="W69" s="521">
        <v>0</v>
      </c>
      <c r="X69" s="514">
        <f t="shared" si="98"/>
        <v>2.8</v>
      </c>
      <c r="Y69" s="514">
        <f t="shared" si="99"/>
        <v>2.2545454545454544</v>
      </c>
      <c r="Z69" s="515">
        <f t="shared" si="100"/>
        <v>715.2</v>
      </c>
      <c r="AA69" s="516">
        <f t="shared" si="101"/>
        <v>32.509090909090908</v>
      </c>
      <c r="AC69" s="674" t="s">
        <v>928</v>
      </c>
      <c r="AD69" s="675" t="s">
        <v>929</v>
      </c>
      <c r="AE69" s="676"/>
      <c r="AF69" s="677" t="s">
        <v>930</v>
      </c>
      <c r="AG69" s="678">
        <f>AG67/AG68</f>
        <v>1.3333333333333333</v>
      </c>
      <c r="AJ69" s="518"/>
      <c r="AK69" s="518"/>
      <c r="AL69" s="518"/>
    </row>
    <row r="70" spans="1:38" ht="15.75" customHeight="1">
      <c r="A70" s="28">
        <f t="shared" ca="1" si="88"/>
        <v>5</v>
      </c>
      <c r="B70" s="28" t="str">
        <f t="shared" ca="1" si="89"/>
        <v>6</v>
      </c>
      <c r="C70" s="507"/>
      <c r="D70" s="446"/>
      <c r="E70" s="507" t="str">
        <f t="shared" ca="1" si="90"/>
        <v>5.06</v>
      </c>
      <c r="F70" s="441" t="s">
        <v>1934</v>
      </c>
      <c r="G70" s="441"/>
      <c r="H70" s="508">
        <v>3500</v>
      </c>
      <c r="I70" s="520">
        <f t="shared" si="91"/>
        <v>1575</v>
      </c>
      <c r="J70" s="508">
        <v>0</v>
      </c>
      <c r="K70" s="508">
        <v>5</v>
      </c>
      <c r="L70" s="508">
        <v>220</v>
      </c>
      <c r="M70" s="508"/>
      <c r="N70" s="508"/>
      <c r="O70" s="508">
        <v>0.3</v>
      </c>
      <c r="P70" s="508"/>
      <c r="Q70" s="511">
        <f t="shared" si="92"/>
        <v>1.75</v>
      </c>
      <c r="R70" s="512">
        <f t="shared" si="93"/>
        <v>0.37227272727272726</v>
      </c>
      <c r="S70" s="513">
        <f t="shared" si="94"/>
        <v>0.52500000000000002</v>
      </c>
      <c r="T70" s="514">
        <f t="shared" si="95"/>
        <v>0</v>
      </c>
      <c r="U70" s="513">
        <f t="shared" si="96"/>
        <v>0</v>
      </c>
      <c r="V70" s="513">
        <f t="shared" si="97"/>
        <v>0</v>
      </c>
      <c r="W70" s="521">
        <v>0</v>
      </c>
      <c r="X70" s="514">
        <f t="shared" si="98"/>
        <v>2.647272727272727</v>
      </c>
      <c r="Y70" s="514">
        <f t="shared" si="99"/>
        <v>2.1222727272727271</v>
      </c>
      <c r="Z70" s="515">
        <f t="shared" si="100"/>
        <v>675.78</v>
      </c>
      <c r="AA70" s="516">
        <f t="shared" si="101"/>
        <v>30.717272727272725</v>
      </c>
      <c r="AJ70" s="518"/>
      <c r="AK70" s="518"/>
      <c r="AL70" s="518"/>
    </row>
    <row r="71" spans="1:38" ht="15.75" customHeight="1">
      <c r="A71" s="28">
        <f t="shared" ca="1" si="88"/>
        <v>5</v>
      </c>
      <c r="B71" s="28" t="str">
        <f t="shared" ca="1" si="89"/>
        <v>7</v>
      </c>
      <c r="C71" s="507"/>
      <c r="D71" s="446"/>
      <c r="E71" s="507" t="str">
        <f t="shared" ca="1" si="90"/>
        <v>5.07</v>
      </c>
      <c r="F71" s="441" t="s">
        <v>1935</v>
      </c>
      <c r="G71" s="441"/>
      <c r="H71" s="508">
        <v>4000</v>
      </c>
      <c r="I71" s="520">
        <f t="shared" si="91"/>
        <v>1800</v>
      </c>
      <c r="J71" s="508">
        <v>0</v>
      </c>
      <c r="K71" s="508">
        <v>1</v>
      </c>
      <c r="L71" s="508">
        <f>220*12</f>
        <v>2640</v>
      </c>
      <c r="M71" s="508"/>
      <c r="N71" s="508"/>
      <c r="O71" s="508"/>
      <c r="P71" s="508"/>
      <c r="Q71" s="511">
        <f t="shared" si="92"/>
        <v>0.83333333333333337</v>
      </c>
      <c r="R71" s="512">
        <f>IFERROR(((I71+((H71-I71)*(K71+1)/(2*K71)))*juros_medio)/L71,0)</f>
        <v>4.5454545454545456E-2</v>
      </c>
      <c r="S71" s="513">
        <f t="shared" si="94"/>
        <v>0</v>
      </c>
      <c r="T71" s="514">
        <f t="shared" si="95"/>
        <v>0</v>
      </c>
      <c r="U71" s="513">
        <f>IFERROR(J71*P71*valor_diesel*0.55,0)</f>
        <v>0</v>
      </c>
      <c r="V71" s="513">
        <f>IFERROR(U71*0.15,0)</f>
        <v>0</v>
      </c>
      <c r="W71" s="521">
        <v>0</v>
      </c>
      <c r="X71" s="514">
        <f t="shared" si="98"/>
        <v>0.87878787878787878</v>
      </c>
      <c r="Y71" s="514">
        <f t="shared" si="99"/>
        <v>0.87878787878787878</v>
      </c>
      <c r="Z71" s="515">
        <f t="shared" si="100"/>
        <v>232</v>
      </c>
      <c r="AA71" s="516">
        <f t="shared" si="101"/>
        <v>10.545454545454545</v>
      </c>
      <c r="AJ71" s="518"/>
      <c r="AK71" s="518"/>
      <c r="AL71" s="518"/>
    </row>
    <row r="72" spans="1:38" ht="15.75" customHeight="1">
      <c r="A72" s="28">
        <f t="shared" ca="1" si="88"/>
        <v>5</v>
      </c>
      <c r="B72" s="28" t="str">
        <f t="shared" ca="1" si="89"/>
        <v>8</v>
      </c>
      <c r="C72" s="507"/>
      <c r="D72" s="446"/>
      <c r="E72" s="507" t="str">
        <f ca="1">IF(B72="1",CONCATENATE(A72,".0",B72),IF(B72="2",CONCATENATE(A72,".0",B72),IF(B72="3",CONCATENATE(A72,".0",B72),IF(B72="4",CONCATENATE(A72,".0",B72),IF(B72="5",CONCATENATE(A72,".0",B72),IF(B72="6",CONCATENATE(A72,".0",B72),IF(B72="7",CONCATENATE(A72,".0",B72),IF(B72="8",CONCATENATE(A72,".0",B72),IF(B72="9",CONCATENATE(A72,".0",B72),CONCATENATE(A72,".",B72))))))))))</f>
        <v>5.08</v>
      </c>
      <c r="F72" s="441" t="s">
        <v>1936</v>
      </c>
      <c r="G72" s="441"/>
      <c r="H72" s="508">
        <f>1955*12</f>
        <v>23460</v>
      </c>
      <c r="I72" s="520">
        <f t="shared" si="91"/>
        <v>10557</v>
      </c>
      <c r="J72" s="508">
        <v>0</v>
      </c>
      <c r="K72" s="508">
        <v>1</v>
      </c>
      <c r="L72" s="508">
        <f>220*12</f>
        <v>2640</v>
      </c>
      <c r="M72" s="508"/>
      <c r="N72" s="508"/>
      <c r="O72" s="508"/>
      <c r="P72" s="508"/>
      <c r="Q72" s="511">
        <f t="shared" si="92"/>
        <v>4.8875000000000002</v>
      </c>
      <c r="R72" s="512">
        <f>IFERROR(((I72+((H72-I72)*(K72+1)/(2*K72)))*juros_medio)/L72,0)</f>
        <v>0.2665909090909091</v>
      </c>
      <c r="S72" s="513">
        <f t="shared" si="94"/>
        <v>0</v>
      </c>
      <c r="T72" s="514">
        <f t="shared" si="95"/>
        <v>0</v>
      </c>
      <c r="U72" s="513">
        <f>IFERROR(J72*P72*valor_diesel*0.55,0)</f>
        <v>0</v>
      </c>
      <c r="V72" s="513">
        <f>IFERROR(U72*0.15,0)</f>
        <v>0</v>
      </c>
      <c r="W72" s="521">
        <v>0</v>
      </c>
      <c r="X72" s="514">
        <f t="shared" si="98"/>
        <v>5.1540909090909093</v>
      </c>
      <c r="Y72" s="514">
        <f t="shared" si="99"/>
        <v>5.1540909090909093</v>
      </c>
      <c r="Z72" s="515">
        <f t="shared" si="100"/>
        <v>1360.68</v>
      </c>
      <c r="AA72" s="516">
        <f t="shared" si="101"/>
        <v>61.849090909090911</v>
      </c>
      <c r="AJ72" s="518"/>
      <c r="AK72" s="518"/>
      <c r="AL72" s="518"/>
    </row>
    <row r="73" spans="1:38" ht="15.75" customHeight="1">
      <c r="A73" s="28">
        <f t="shared" ca="1" si="88"/>
        <v>5</v>
      </c>
      <c r="B73" s="28" t="str">
        <f t="shared" ca="1" si="89"/>
        <v>9</v>
      </c>
      <c r="C73" s="507"/>
      <c r="D73" s="545"/>
      <c r="E73" s="546"/>
      <c r="F73" s="546"/>
      <c r="G73" s="546"/>
      <c r="H73" s="546"/>
      <c r="I73" s="546"/>
      <c r="J73" s="546"/>
      <c r="K73" s="546"/>
      <c r="L73" s="546"/>
      <c r="M73" s="546"/>
      <c r="N73" s="546"/>
      <c r="O73" s="546"/>
      <c r="P73" s="546"/>
      <c r="Q73" s="546"/>
      <c r="R73" s="546"/>
      <c r="S73" s="546"/>
      <c r="T73" s="546"/>
      <c r="U73" s="546"/>
      <c r="V73" s="546"/>
      <c r="W73" s="546"/>
      <c r="X73" s="546"/>
      <c r="Y73" s="546"/>
      <c r="Z73" s="546"/>
      <c r="AA73" s="547"/>
      <c r="AJ73" s="518"/>
      <c r="AK73" s="518"/>
      <c r="AL73" s="518"/>
    </row>
    <row r="74" spans="1:38" ht="15.75" customHeight="1">
      <c r="A74" s="548"/>
      <c r="B74" s="548"/>
      <c r="C74" s="518"/>
      <c r="D74" s="518"/>
      <c r="E74" s="518"/>
      <c r="F74" s="518"/>
      <c r="G74" s="518"/>
      <c r="H74" s="518"/>
      <c r="I74" s="518"/>
      <c r="J74" s="518"/>
      <c r="K74" s="549"/>
      <c r="L74" s="549"/>
      <c r="M74" s="549"/>
      <c r="N74" s="549"/>
      <c r="O74" s="549"/>
      <c r="P74" s="549"/>
      <c r="Q74" s="550"/>
      <c r="R74" s="518"/>
      <c r="S74" s="518"/>
      <c r="T74" s="518"/>
      <c r="U74" s="518"/>
      <c r="V74" s="518"/>
      <c r="W74" s="518"/>
      <c r="X74" s="518"/>
      <c r="Y74" s="518"/>
      <c r="Z74" s="551"/>
      <c r="AA74" s="551"/>
      <c r="AD74" s="444"/>
      <c r="AJ74" s="518"/>
      <c r="AK74" s="518"/>
      <c r="AL74" s="518"/>
    </row>
    <row r="75" spans="1:38" ht="15.75" customHeight="1">
      <c r="D75" s="9"/>
    </row>
    <row r="76" spans="1:38" ht="15.75" customHeight="1">
      <c r="D76" s="9" t="s">
        <v>183</v>
      </c>
    </row>
    <row r="77" spans="1:38" ht="15.75" customHeight="1">
      <c r="F77" s="9" t="s">
        <v>2031</v>
      </c>
    </row>
    <row r="78" spans="1:38">
      <c r="F78" s="954" t="s">
        <v>2030</v>
      </c>
    </row>
    <row r="79" spans="1:38">
      <c r="E79" s="552" t="s">
        <v>946</v>
      </c>
      <c r="F79" s="518"/>
    </row>
    <row r="80" spans="1:38">
      <c r="E80" s="552"/>
      <c r="F80" s="518"/>
    </row>
    <row r="81" spans="5:6">
      <c r="E81" s="552" t="s">
        <v>947</v>
      </c>
      <c r="F81" s="553"/>
    </row>
    <row r="82" spans="5:6">
      <c r="E82" s="554" t="s">
        <v>948</v>
      </c>
      <c r="F82" s="518"/>
    </row>
    <row r="83" spans="5:6">
      <c r="E83" s="554" t="s">
        <v>949</v>
      </c>
      <c r="F83" s="518"/>
    </row>
    <row r="84" spans="5:6">
      <c r="E84" s="554" t="s">
        <v>950</v>
      </c>
      <c r="F84" s="518"/>
    </row>
    <row r="85" spans="5:6">
      <c r="E85" s="554" t="s">
        <v>951</v>
      </c>
      <c r="F85" s="518"/>
    </row>
    <row r="86" spans="5:6">
      <c r="E86" s="554" t="s">
        <v>952</v>
      </c>
      <c r="F86" s="518"/>
    </row>
    <row r="87" spans="5:6">
      <c r="E87" s="552" t="s">
        <v>953</v>
      </c>
      <c r="F87" s="555"/>
    </row>
    <row r="88" spans="5:6">
      <c r="E88" s="554" t="s">
        <v>954</v>
      </c>
      <c r="F88" s="518"/>
    </row>
    <row r="89" spans="5:6">
      <c r="E89" s="554" t="s">
        <v>955</v>
      </c>
      <c r="F89" s="518"/>
    </row>
    <row r="90" spans="5:6">
      <c r="E90" s="554" t="s">
        <v>956</v>
      </c>
      <c r="F90" s="518"/>
    </row>
    <row r="91" spans="5:6">
      <c r="E91" s="554" t="s">
        <v>957</v>
      </c>
      <c r="F91" s="518"/>
    </row>
    <row r="92" spans="5:6">
      <c r="E92" s="554" t="s">
        <v>958</v>
      </c>
      <c r="F92" s="518"/>
    </row>
    <row r="93" spans="5:6">
      <c r="E93" s="556" t="s">
        <v>959</v>
      </c>
      <c r="F93" s="518"/>
    </row>
    <row r="94" spans="5:6">
      <c r="E94" s="554" t="s">
        <v>960</v>
      </c>
      <c r="F94" s="518"/>
    </row>
    <row r="95" spans="5:6">
      <c r="E95" s="554" t="s">
        <v>961</v>
      </c>
      <c r="F95" s="518"/>
    </row>
    <row r="96" spans="5:6">
      <c r="E96" s="554" t="s">
        <v>962</v>
      </c>
      <c r="F96" s="518"/>
    </row>
    <row r="97" spans="5:6">
      <c r="E97" s="554" t="s">
        <v>963</v>
      </c>
      <c r="F97" s="518"/>
    </row>
    <row r="98" spans="5:6">
      <c r="E98" s="554" t="s">
        <v>964</v>
      </c>
      <c r="F98" s="518"/>
    </row>
    <row r="99" spans="5:6">
      <c r="E99" s="554" t="s">
        <v>965</v>
      </c>
      <c r="F99" s="518"/>
    </row>
    <row r="100" spans="5:6">
      <c r="E100" s="554" t="s">
        <v>966</v>
      </c>
      <c r="F100" s="518"/>
    </row>
    <row r="101" spans="5:6">
      <c r="E101" s="554" t="s">
        <v>967</v>
      </c>
      <c r="F101" s="518"/>
    </row>
    <row r="102" spans="5:6">
      <c r="E102" s="554" t="s">
        <v>968</v>
      </c>
      <c r="F102" s="518"/>
    </row>
    <row r="103" spans="5:6">
      <c r="E103" s="554"/>
      <c r="F103" s="518"/>
    </row>
    <row r="104" spans="5:6">
      <c r="E104" s="552" t="s">
        <v>969</v>
      </c>
      <c r="F104" s="518"/>
    </row>
    <row r="105" spans="5:6">
      <c r="E105" s="552" t="s">
        <v>970</v>
      </c>
      <c r="F105" s="518"/>
    </row>
    <row r="106" spans="5:6">
      <c r="F106" s="557" t="s">
        <v>971</v>
      </c>
    </row>
    <row r="107" spans="5:6">
      <c r="F107" s="558" t="s">
        <v>972</v>
      </c>
    </row>
    <row r="108" spans="5:6">
      <c r="F108" s="558"/>
    </row>
    <row r="109" spans="5:6">
      <c r="E109" s="552" t="s">
        <v>973</v>
      </c>
      <c r="F109" s="518"/>
    </row>
    <row r="110" spans="5:6">
      <c r="F110" s="559" t="s">
        <v>974</v>
      </c>
    </row>
    <row r="111" spans="5:6">
      <c r="F111" s="557" t="s">
        <v>975</v>
      </c>
    </row>
    <row r="112" spans="5:6">
      <c r="F112" s="558" t="s">
        <v>976</v>
      </c>
    </row>
    <row r="113" spans="5:6">
      <c r="E113" s="557"/>
      <c r="F113" s="518"/>
    </row>
    <row r="114" spans="5:6">
      <c r="E114" s="552" t="s">
        <v>977</v>
      </c>
      <c r="F114" s="518"/>
    </row>
    <row r="115" spans="5:6">
      <c r="F115" s="557" t="s">
        <v>978</v>
      </c>
    </row>
    <row r="116" spans="5:6">
      <c r="F116" s="558" t="s">
        <v>979</v>
      </c>
    </row>
    <row r="117" spans="5:6">
      <c r="F117" s="558"/>
    </row>
    <row r="118" spans="5:6">
      <c r="E118" s="552" t="s">
        <v>980</v>
      </c>
      <c r="F118" s="518"/>
    </row>
    <row r="119" spans="5:6">
      <c r="F119" s="557" t="s">
        <v>981</v>
      </c>
    </row>
    <row r="120" spans="5:6">
      <c r="F120" s="558" t="s">
        <v>982</v>
      </c>
    </row>
    <row r="121" spans="5:6">
      <c r="E121" s="554"/>
      <c r="F121" s="518"/>
    </row>
    <row r="122" spans="5:6">
      <c r="E122" s="552" t="s">
        <v>983</v>
      </c>
      <c r="F122" s="518"/>
    </row>
    <row r="123" spans="5:6">
      <c r="F123" s="557" t="s">
        <v>984</v>
      </c>
    </row>
    <row r="124" spans="5:6">
      <c r="E124" s="554"/>
      <c r="F124" s="518"/>
    </row>
    <row r="125" spans="5:6">
      <c r="E125" s="552" t="s">
        <v>985</v>
      </c>
      <c r="F125" s="518"/>
    </row>
    <row r="126" spans="5:6">
      <c r="F126" s="557" t="s">
        <v>986</v>
      </c>
    </row>
    <row r="127" spans="5:6">
      <c r="E127" s="554"/>
      <c r="F127" s="518"/>
    </row>
    <row r="128" spans="5:6">
      <c r="E128" s="552" t="s">
        <v>987</v>
      </c>
      <c r="F128" s="518"/>
    </row>
    <row r="129" spans="5:54">
      <c r="F129" s="557" t="s">
        <v>988</v>
      </c>
    </row>
    <row r="130" spans="5:54">
      <c r="E130" s="554"/>
      <c r="F130" s="518"/>
    </row>
    <row r="131" spans="5:54">
      <c r="E131" s="552" t="s">
        <v>989</v>
      </c>
      <c r="F131" s="518"/>
    </row>
    <row r="132" spans="5:54">
      <c r="F132" s="557" t="s">
        <v>990</v>
      </c>
    </row>
    <row r="133" spans="5:54">
      <c r="E133" s="554"/>
      <c r="F133" s="518"/>
    </row>
    <row r="134" spans="5:54">
      <c r="E134" s="552" t="s">
        <v>991</v>
      </c>
      <c r="F134" s="518"/>
    </row>
    <row r="135" spans="5:54">
      <c r="F135" s="557" t="s">
        <v>992</v>
      </c>
    </row>
    <row r="136" spans="5:54">
      <c r="E136" s="554"/>
      <c r="F136" s="518"/>
    </row>
    <row r="137" spans="5:54">
      <c r="E137" s="552" t="s">
        <v>993</v>
      </c>
      <c r="F137" s="518"/>
    </row>
    <row r="138" spans="5:54">
      <c r="F138" s="557" t="s">
        <v>994</v>
      </c>
    </row>
    <row r="139" spans="5:54">
      <c r="F139" s="558" t="s">
        <v>995</v>
      </c>
    </row>
    <row r="140" spans="5:54">
      <c r="E140" s="553"/>
      <c r="F140" s="518"/>
    </row>
    <row r="141" spans="5:54">
      <c r="E141" s="556" t="s">
        <v>996</v>
      </c>
      <c r="F141" s="518"/>
      <c r="M141" s="30" t="s">
        <v>997</v>
      </c>
    </row>
    <row r="143" spans="5:54" ht="16.5" customHeight="1">
      <c r="AM143" s="560" t="s">
        <v>998</v>
      </c>
      <c r="AN143" s="561"/>
      <c r="AO143" s="562"/>
      <c r="AP143" s="562"/>
      <c r="AQ143" s="562"/>
      <c r="AR143" s="562"/>
      <c r="AS143" s="562"/>
      <c r="AT143" s="562"/>
      <c r="AU143" s="562"/>
      <c r="AV143" s="562"/>
      <c r="AW143" s="562"/>
      <c r="AX143" s="562"/>
      <c r="AY143" s="562"/>
      <c r="AZ143" s="562"/>
      <c r="BA143" s="562"/>
      <c r="BB143" s="562"/>
    </row>
    <row r="144" spans="5:54" ht="16.5" customHeight="1">
      <c r="AM144" s="563" t="s">
        <v>999</v>
      </c>
      <c r="AN144" s="564" t="s">
        <v>145</v>
      </c>
      <c r="AO144" s="564" t="s">
        <v>1000</v>
      </c>
      <c r="AP144" s="563" t="s">
        <v>1001</v>
      </c>
      <c r="AQ144" s="563" t="s">
        <v>1002</v>
      </c>
      <c r="AR144" s="563" t="s">
        <v>1003</v>
      </c>
      <c r="AS144" s="563" t="s">
        <v>1004</v>
      </c>
      <c r="AT144" s="563" t="s">
        <v>1005</v>
      </c>
      <c r="AU144" s="563" t="s">
        <v>1006</v>
      </c>
      <c r="AV144" s="563" t="s">
        <v>1007</v>
      </c>
      <c r="AW144" s="563" t="s">
        <v>1008</v>
      </c>
      <c r="AX144" s="563" t="s">
        <v>1009</v>
      </c>
      <c r="AY144" s="563" t="s">
        <v>1010</v>
      </c>
      <c r="AZ144" s="563" t="s">
        <v>1011</v>
      </c>
      <c r="BA144" s="563" t="s">
        <v>1012</v>
      </c>
      <c r="BB144" s="563" t="s">
        <v>1013</v>
      </c>
    </row>
    <row r="145" spans="39:54" ht="16.5" hidden="1" customHeight="1">
      <c r="AM145" s="565">
        <v>94001</v>
      </c>
      <c r="AN145" s="566" t="s">
        <v>1014</v>
      </c>
      <c r="AO145" s="566" t="s">
        <v>1015</v>
      </c>
      <c r="AP145" s="567">
        <v>2838.6363999999999</v>
      </c>
      <c r="AQ145" s="567">
        <v>0.25</v>
      </c>
      <c r="AR145" s="567">
        <v>8000</v>
      </c>
      <c r="AS145" s="567">
        <v>0.06</v>
      </c>
      <c r="AT145" s="567">
        <v>0.5</v>
      </c>
      <c r="AU145" s="567">
        <v>0.15</v>
      </c>
      <c r="AV145" s="567">
        <v>0</v>
      </c>
      <c r="AW145" s="568" t="s">
        <v>107</v>
      </c>
      <c r="AX145" s="567">
        <v>0</v>
      </c>
      <c r="AY145" s="567">
        <v>0</v>
      </c>
      <c r="AZ145" s="568" t="s">
        <v>1016</v>
      </c>
      <c r="BA145" s="567">
        <v>0.2944</v>
      </c>
      <c r="BB145" s="567">
        <v>2.2400000000000002</v>
      </c>
    </row>
    <row r="146" spans="39:54" ht="16.5" hidden="1" customHeight="1">
      <c r="AM146" s="565" t="s">
        <v>1017</v>
      </c>
      <c r="AN146" s="568" t="s">
        <v>1018</v>
      </c>
      <c r="AO146" s="568" t="s">
        <v>1019</v>
      </c>
      <c r="AP146" s="567">
        <v>221016.2</v>
      </c>
      <c r="AQ146" s="567">
        <v>0.5</v>
      </c>
      <c r="AR146" s="567">
        <v>10000</v>
      </c>
      <c r="AS146" s="567">
        <v>0.06</v>
      </c>
      <c r="AT146" s="567">
        <v>0.6</v>
      </c>
      <c r="AU146" s="567">
        <v>0.15</v>
      </c>
      <c r="AV146" s="567">
        <v>1</v>
      </c>
      <c r="AW146" s="568" t="s">
        <v>1020</v>
      </c>
      <c r="AX146" s="567">
        <v>220</v>
      </c>
      <c r="AY146" s="567">
        <v>0.13</v>
      </c>
      <c r="AZ146" s="568" t="s">
        <v>1021</v>
      </c>
      <c r="BA146" s="569">
        <v>951.94749999999999</v>
      </c>
      <c r="BB146" s="567">
        <v>4.1000000000000003E-3</v>
      </c>
    </row>
    <row r="147" spans="39:54" ht="16.5" hidden="1" customHeight="1">
      <c r="AM147" s="565"/>
      <c r="AN147" s="568"/>
      <c r="AO147" s="568"/>
      <c r="AP147" s="567"/>
      <c r="AQ147" s="567"/>
      <c r="AR147" s="567"/>
      <c r="AS147" s="567"/>
      <c r="AT147" s="567"/>
      <c r="AU147" s="567"/>
      <c r="AV147" s="567"/>
      <c r="AW147" s="568"/>
      <c r="AX147" s="567"/>
      <c r="AY147" s="567"/>
      <c r="AZ147" s="568" t="s">
        <v>1022</v>
      </c>
      <c r="BA147" s="567">
        <v>2243.2049999999999</v>
      </c>
      <c r="BB147" s="567">
        <v>5.0000000000000001E-4</v>
      </c>
    </row>
    <row r="148" spans="39:54" ht="16.5" hidden="1" customHeight="1">
      <c r="AM148" s="565"/>
      <c r="AN148" s="568"/>
      <c r="AO148" s="568"/>
      <c r="AP148" s="567"/>
      <c r="AQ148" s="567"/>
      <c r="AR148" s="567"/>
      <c r="AS148" s="567"/>
      <c r="AT148" s="567"/>
      <c r="AU148" s="567"/>
      <c r="AV148" s="567"/>
      <c r="AW148" s="568"/>
      <c r="AX148" s="567"/>
      <c r="AY148" s="567"/>
      <c r="AZ148" s="568" t="s">
        <v>1023</v>
      </c>
      <c r="BA148" s="567">
        <v>105.68</v>
      </c>
      <c r="BB148" s="567">
        <v>5.0000000000000001E-4</v>
      </c>
    </row>
    <row r="149" spans="39:54" ht="16.5" hidden="1" customHeight="1">
      <c r="AM149" s="565" t="s">
        <v>1024</v>
      </c>
      <c r="AN149" s="568" t="s">
        <v>1025</v>
      </c>
      <c r="AO149" s="568" t="s">
        <v>1026</v>
      </c>
      <c r="AP149" s="567">
        <v>95598.65</v>
      </c>
      <c r="AQ149" s="567">
        <v>0.5</v>
      </c>
      <c r="AR149" s="567">
        <v>10000</v>
      </c>
      <c r="AS149" s="567">
        <v>0.06</v>
      </c>
      <c r="AT149" s="567">
        <v>0.6</v>
      </c>
      <c r="AU149" s="567">
        <v>0.15</v>
      </c>
      <c r="AV149" s="567">
        <v>1</v>
      </c>
      <c r="AW149" s="568" t="s">
        <v>1027</v>
      </c>
      <c r="AX149" s="567">
        <v>118</v>
      </c>
      <c r="AY149" s="567">
        <v>0.1</v>
      </c>
      <c r="AZ149" s="568" t="s">
        <v>1028</v>
      </c>
      <c r="BA149" s="569">
        <v>512.7704</v>
      </c>
      <c r="BB149" s="567">
        <v>2.5000000000000001E-3</v>
      </c>
    </row>
    <row r="150" spans="39:54" ht="16.5" hidden="1" customHeight="1">
      <c r="AM150" s="565"/>
      <c r="AN150" s="568"/>
      <c r="AO150" s="568"/>
      <c r="AP150" s="567"/>
      <c r="AQ150" s="567"/>
      <c r="AR150" s="567"/>
      <c r="AS150" s="567"/>
      <c r="AT150" s="567"/>
      <c r="AU150" s="567"/>
      <c r="AV150" s="567"/>
      <c r="AW150" s="568"/>
      <c r="AX150" s="567"/>
      <c r="AY150" s="567"/>
      <c r="AZ150" s="568" t="s">
        <v>1022</v>
      </c>
      <c r="BA150" s="567">
        <v>892.93499999999995</v>
      </c>
      <c r="BB150" s="567">
        <f>1/2000</f>
        <v>5.0000000000000001E-4</v>
      </c>
    </row>
    <row r="151" spans="39:54" ht="16.5" hidden="1" customHeight="1">
      <c r="AM151" s="565"/>
      <c r="AN151" s="568"/>
      <c r="AO151" s="568"/>
      <c r="AP151" s="567"/>
      <c r="AQ151" s="567"/>
      <c r="AR151" s="567"/>
      <c r="AS151" s="567"/>
      <c r="AT151" s="567"/>
      <c r="AU151" s="567"/>
      <c r="AV151" s="567"/>
      <c r="AW151" s="568"/>
      <c r="AX151" s="567"/>
      <c r="AY151" s="567"/>
      <c r="AZ151" s="568" t="s">
        <v>1023</v>
      </c>
      <c r="BA151" s="567">
        <v>105.68</v>
      </c>
      <c r="BB151" s="567">
        <v>5.0000000000000001E-4</v>
      </c>
    </row>
    <row r="152" spans="39:54" ht="16.5" hidden="1" customHeight="1">
      <c r="AM152" s="565" t="s">
        <v>1029</v>
      </c>
      <c r="AN152" s="568" t="s">
        <v>1030</v>
      </c>
      <c r="AO152" s="568" t="s">
        <v>1031</v>
      </c>
      <c r="AP152" s="567">
        <v>348459.5</v>
      </c>
      <c r="AQ152" s="567">
        <v>0.5</v>
      </c>
      <c r="AR152" s="567">
        <v>10000</v>
      </c>
      <c r="AS152" s="567">
        <v>0.06</v>
      </c>
      <c r="AT152" s="567">
        <v>0.6</v>
      </c>
      <c r="AU152" s="567">
        <v>0.15</v>
      </c>
      <c r="AV152" s="567">
        <v>1</v>
      </c>
      <c r="AW152" s="568" t="s">
        <v>1032</v>
      </c>
      <c r="AX152" s="567">
        <v>167</v>
      </c>
      <c r="AY152" s="567">
        <v>0.1</v>
      </c>
      <c r="AZ152" s="568" t="s">
        <v>1033</v>
      </c>
      <c r="BA152" s="569">
        <v>683.77629999999999</v>
      </c>
      <c r="BB152" s="567">
        <v>2.5000000000000001E-3</v>
      </c>
    </row>
    <row r="153" spans="39:54" ht="16.5" hidden="1" customHeight="1">
      <c r="AM153" s="565"/>
      <c r="AN153" s="568"/>
      <c r="AO153" s="568"/>
      <c r="AP153" s="567"/>
      <c r="AQ153" s="567"/>
      <c r="AR153" s="567"/>
      <c r="AS153" s="567"/>
      <c r="AT153" s="567"/>
      <c r="AU153" s="567"/>
      <c r="AV153" s="567"/>
      <c r="AW153" s="568"/>
      <c r="AX153" s="567"/>
      <c r="AY153" s="567"/>
      <c r="AZ153" s="568" t="s">
        <v>1034</v>
      </c>
      <c r="BA153" s="567">
        <v>2.0175999999999998</v>
      </c>
      <c r="BB153" s="567">
        <v>4</v>
      </c>
    </row>
    <row r="154" spans="39:54" ht="16.5" hidden="1" customHeight="1">
      <c r="AM154" s="565"/>
      <c r="AN154" s="568"/>
      <c r="AO154" s="568"/>
      <c r="AP154" s="567"/>
      <c r="AQ154" s="567"/>
      <c r="AR154" s="567"/>
      <c r="AS154" s="567"/>
      <c r="AT154" s="567"/>
      <c r="AU154" s="567"/>
      <c r="AV154" s="567"/>
      <c r="AW154" s="568"/>
      <c r="AX154" s="567"/>
      <c r="AY154" s="567"/>
      <c r="AZ154" s="568" t="s">
        <v>1022</v>
      </c>
      <c r="BA154" s="567">
        <v>1468.35</v>
      </c>
      <c r="BB154" s="567">
        <f>1/2000</f>
        <v>5.0000000000000001E-4</v>
      </c>
    </row>
    <row r="155" spans="39:54" ht="16.5" hidden="1" customHeight="1">
      <c r="AM155" s="565"/>
      <c r="AN155" s="568"/>
      <c r="AO155" s="568"/>
      <c r="AP155" s="567"/>
      <c r="AQ155" s="567"/>
      <c r="AR155" s="567"/>
      <c r="AS155" s="567"/>
      <c r="AT155" s="567"/>
      <c r="AU155" s="567"/>
      <c r="AV155" s="567"/>
      <c r="AW155" s="568"/>
      <c r="AX155" s="567"/>
      <c r="AY155" s="567"/>
      <c r="AZ155" s="568" t="s">
        <v>1023</v>
      </c>
      <c r="BA155" s="567">
        <v>105.68</v>
      </c>
      <c r="BB155" s="567">
        <v>5.0000000000000001E-4</v>
      </c>
    </row>
    <row r="156" spans="39:54" ht="16.5" hidden="1" customHeight="1">
      <c r="AM156" s="565" t="s">
        <v>1035</v>
      </c>
      <c r="AN156" s="566" t="s">
        <v>1036</v>
      </c>
      <c r="AO156" s="566" t="s">
        <v>1037</v>
      </c>
      <c r="AP156" s="567">
        <v>157622.18299999999</v>
      </c>
      <c r="AQ156" s="567">
        <v>0.5</v>
      </c>
      <c r="AR156" s="567">
        <v>10000</v>
      </c>
      <c r="AS156" s="567">
        <v>0.06</v>
      </c>
      <c r="AT156" s="567">
        <v>0.6</v>
      </c>
      <c r="AU156" s="567">
        <v>0.15</v>
      </c>
      <c r="AV156" s="567">
        <v>1</v>
      </c>
      <c r="AW156" s="568" t="s">
        <v>1038</v>
      </c>
      <c r="AX156" s="567">
        <v>167</v>
      </c>
      <c r="AY156" s="567">
        <v>0.1</v>
      </c>
      <c r="AZ156" s="568" t="s">
        <v>1039</v>
      </c>
      <c r="BA156" s="569">
        <v>683.77629999999999</v>
      </c>
      <c r="BB156" s="567">
        <v>2.5000000000000001E-3</v>
      </c>
    </row>
    <row r="157" spans="39:54" ht="16.5" hidden="1" customHeight="1">
      <c r="AM157" s="565"/>
      <c r="AN157" s="566"/>
      <c r="AO157" s="566"/>
      <c r="AP157" s="567"/>
      <c r="AQ157" s="567"/>
      <c r="AR157" s="567"/>
      <c r="AS157" s="567"/>
      <c r="AT157" s="567"/>
      <c r="AU157" s="567"/>
      <c r="AV157" s="567"/>
      <c r="AW157" s="568"/>
      <c r="AX157" s="567"/>
      <c r="AY157" s="567"/>
      <c r="AZ157" s="568" t="s">
        <v>1022</v>
      </c>
      <c r="BA157" s="567">
        <v>1468.35</v>
      </c>
      <c r="BB157" s="567">
        <v>5.0000000000000001E-4</v>
      </c>
    </row>
    <row r="158" spans="39:54" ht="16.5" hidden="1" customHeight="1">
      <c r="AM158" s="565"/>
      <c r="AN158" s="566"/>
      <c r="AO158" s="566"/>
      <c r="AP158" s="567"/>
      <c r="AQ158" s="567"/>
      <c r="AR158" s="567"/>
      <c r="AS158" s="567"/>
      <c r="AT158" s="567"/>
      <c r="AU158" s="567"/>
      <c r="AV158" s="567"/>
      <c r="AW158" s="568"/>
      <c r="AX158" s="567"/>
      <c r="AY158" s="567"/>
      <c r="AZ158" s="568" t="s">
        <v>1023</v>
      </c>
      <c r="BA158" s="567">
        <v>105.68</v>
      </c>
      <c r="BB158" s="567">
        <v>5.0000000000000001E-4</v>
      </c>
    </row>
    <row r="159" spans="39:54" ht="16.5" hidden="1" customHeight="1">
      <c r="AM159" s="565" t="s">
        <v>1040</v>
      </c>
      <c r="AN159" s="566" t="s">
        <v>1041</v>
      </c>
      <c r="AO159" s="566" t="s">
        <v>1042</v>
      </c>
      <c r="AP159" s="567">
        <v>390774</v>
      </c>
      <c r="AQ159" s="567">
        <v>0.35</v>
      </c>
      <c r="AR159" s="567">
        <v>12000</v>
      </c>
      <c r="AS159" s="567">
        <v>0.06</v>
      </c>
      <c r="AT159" s="567">
        <v>0.8</v>
      </c>
      <c r="AU159" s="567">
        <v>0.15</v>
      </c>
      <c r="AV159" s="567">
        <v>1</v>
      </c>
      <c r="AW159" s="568" t="s">
        <v>1043</v>
      </c>
      <c r="AX159" s="567">
        <v>129</v>
      </c>
      <c r="AY159" s="567">
        <v>0.13</v>
      </c>
      <c r="AZ159" s="568" t="s">
        <v>1044</v>
      </c>
      <c r="BA159" s="569">
        <v>3807.116</v>
      </c>
      <c r="BB159" s="567">
        <v>3.0000000000000001E-3</v>
      </c>
    </row>
    <row r="160" spans="39:54" ht="16.5" hidden="1" customHeight="1">
      <c r="AM160" s="565" t="s">
        <v>1045</v>
      </c>
      <c r="AN160" s="566" t="s">
        <v>1046</v>
      </c>
      <c r="AO160" s="566" t="s">
        <v>1047</v>
      </c>
      <c r="AP160" s="567">
        <v>366568.5</v>
      </c>
      <c r="AQ160" s="567">
        <v>0.5</v>
      </c>
      <c r="AR160" s="567">
        <v>14000</v>
      </c>
      <c r="AS160" s="567">
        <v>0.06</v>
      </c>
      <c r="AT160" s="567">
        <v>0.6</v>
      </c>
      <c r="AU160" s="567">
        <v>0.15</v>
      </c>
      <c r="AV160" s="567">
        <v>1</v>
      </c>
      <c r="AW160" s="568" t="s">
        <v>1048</v>
      </c>
      <c r="AX160" s="567">
        <v>340</v>
      </c>
      <c r="AY160" s="567">
        <v>0.13</v>
      </c>
      <c r="AZ160" s="568" t="s">
        <v>1049</v>
      </c>
      <c r="BA160" s="569">
        <v>1436.202</v>
      </c>
      <c r="BB160" s="567">
        <v>3.3E-3</v>
      </c>
    </row>
    <row r="161" spans="39:54" ht="16.5" hidden="1" customHeight="1">
      <c r="AM161" s="565"/>
      <c r="AN161" s="566"/>
      <c r="AO161" s="566"/>
      <c r="AP161" s="567"/>
      <c r="AQ161" s="567"/>
      <c r="AR161" s="567"/>
      <c r="AS161" s="567"/>
      <c r="AT161" s="567"/>
      <c r="AU161" s="567"/>
      <c r="AV161" s="567"/>
      <c r="AW161" s="568"/>
      <c r="AX161" s="567"/>
      <c r="AY161" s="567"/>
      <c r="AZ161" s="568" t="s">
        <v>1022</v>
      </c>
      <c r="BA161" s="567">
        <v>3314.76</v>
      </c>
      <c r="BB161" s="567">
        <f>1/2000</f>
        <v>5.0000000000000001E-4</v>
      </c>
    </row>
    <row r="162" spans="39:54" ht="16.5" hidden="1" customHeight="1">
      <c r="AM162" s="565"/>
      <c r="AN162" s="566"/>
      <c r="AO162" s="566"/>
      <c r="AP162" s="567"/>
      <c r="AQ162" s="567"/>
      <c r="AR162" s="567"/>
      <c r="AS162" s="567"/>
      <c r="AT162" s="567"/>
      <c r="AU162" s="567"/>
      <c r="AV162" s="567"/>
      <c r="AW162" s="568"/>
      <c r="AX162" s="567"/>
      <c r="AY162" s="567"/>
      <c r="AZ162" s="568" t="s">
        <v>1023</v>
      </c>
      <c r="BA162" s="567">
        <v>105.68</v>
      </c>
      <c r="BB162" s="567">
        <v>5.0000000000000001E-4</v>
      </c>
    </row>
    <row r="163" spans="39:54" ht="16.5" hidden="1" customHeight="1">
      <c r="AM163" s="565" t="s">
        <v>1050</v>
      </c>
      <c r="AN163" s="566" t="s">
        <v>1051</v>
      </c>
      <c r="AO163" s="566" t="s">
        <v>1052</v>
      </c>
      <c r="AP163" s="567">
        <v>75096</v>
      </c>
      <c r="AQ163" s="567">
        <v>0.35</v>
      </c>
      <c r="AR163" s="567">
        <v>12000</v>
      </c>
      <c r="AS163" s="567">
        <v>0.06</v>
      </c>
      <c r="AT163" s="567">
        <v>0.8</v>
      </c>
      <c r="AU163" s="567">
        <v>0.15</v>
      </c>
      <c r="AV163" s="567">
        <v>0.2</v>
      </c>
      <c r="AW163" s="568" t="s">
        <v>1053</v>
      </c>
      <c r="AX163" s="567">
        <v>79</v>
      </c>
      <c r="AY163" s="567">
        <v>0.1</v>
      </c>
      <c r="AZ163" s="568" t="s">
        <v>1054</v>
      </c>
      <c r="BA163" s="569">
        <v>358.95089999999999</v>
      </c>
      <c r="BB163" s="567">
        <v>1E-3</v>
      </c>
    </row>
    <row r="164" spans="39:54" ht="16.5" hidden="1" customHeight="1">
      <c r="AM164" s="565" t="s">
        <v>1055</v>
      </c>
      <c r="AN164" s="566" t="s">
        <v>1056</v>
      </c>
      <c r="AO164" s="566" t="s">
        <v>1057</v>
      </c>
      <c r="AP164" s="567">
        <v>19644.186900000001</v>
      </c>
      <c r="AQ164" s="567">
        <v>0.35</v>
      </c>
      <c r="AR164" s="567">
        <v>12000</v>
      </c>
      <c r="AS164" s="567">
        <v>0.06</v>
      </c>
      <c r="AT164" s="567">
        <v>0.8</v>
      </c>
      <c r="AU164" s="567">
        <v>0</v>
      </c>
      <c r="AV164" s="567">
        <v>0</v>
      </c>
      <c r="AW164" s="568" t="s">
        <v>107</v>
      </c>
      <c r="AX164" s="567">
        <v>0</v>
      </c>
      <c r="AY164" s="567">
        <v>0</v>
      </c>
      <c r="AZ164" s="568" t="s">
        <v>107</v>
      </c>
      <c r="BA164" s="567">
        <v>0</v>
      </c>
      <c r="BB164" s="567">
        <v>0</v>
      </c>
    </row>
    <row r="165" spans="39:54" ht="16.5" hidden="1" customHeight="1">
      <c r="AM165" s="565" t="s">
        <v>1058</v>
      </c>
      <c r="AN165" s="566" t="s">
        <v>1059</v>
      </c>
      <c r="AO165" s="566" t="s">
        <v>1060</v>
      </c>
      <c r="AP165" s="567">
        <v>286486.397</v>
      </c>
      <c r="AQ165" s="567">
        <v>0.35</v>
      </c>
      <c r="AR165" s="567">
        <v>14000</v>
      </c>
      <c r="AS165" s="567">
        <v>0.06</v>
      </c>
      <c r="AT165" s="567">
        <v>0.8</v>
      </c>
      <c r="AU165" s="567">
        <v>0.15</v>
      </c>
      <c r="AV165" s="567">
        <v>1</v>
      </c>
      <c r="AW165" s="568" t="s">
        <v>1061</v>
      </c>
      <c r="AX165" s="567">
        <v>70</v>
      </c>
      <c r="AY165" s="567">
        <v>0.13</v>
      </c>
      <c r="AZ165" s="568" t="s">
        <v>107</v>
      </c>
      <c r="BA165" s="567">
        <v>0</v>
      </c>
      <c r="BB165" s="567">
        <v>0</v>
      </c>
    </row>
    <row r="166" spans="39:54" ht="16.5" hidden="1" customHeight="1">
      <c r="AM166" s="565" t="s">
        <v>1062</v>
      </c>
      <c r="AN166" s="566" t="s">
        <v>1063</v>
      </c>
      <c r="AO166" s="566" t="s">
        <v>1064</v>
      </c>
      <c r="AP166" s="567">
        <v>615427</v>
      </c>
      <c r="AQ166" s="567">
        <v>0.35</v>
      </c>
      <c r="AR166" s="567">
        <v>14000</v>
      </c>
      <c r="AS166" s="567">
        <v>0.06</v>
      </c>
      <c r="AT166" s="567">
        <v>0.8</v>
      </c>
      <c r="AU166" s="567">
        <v>0.15</v>
      </c>
      <c r="AV166" s="567">
        <v>1</v>
      </c>
      <c r="AW166" s="568" t="s">
        <v>1065</v>
      </c>
      <c r="AX166" s="567">
        <v>125</v>
      </c>
      <c r="AY166" s="567">
        <v>0.13</v>
      </c>
      <c r="AZ166" s="568" t="s">
        <v>1066</v>
      </c>
      <c r="BA166" s="569">
        <v>2296.9119999999998</v>
      </c>
      <c r="BB166" s="567">
        <v>4.4999999999999997E-3</v>
      </c>
    </row>
    <row r="167" spans="39:54" ht="16.5" hidden="1" customHeight="1">
      <c r="AM167" s="565" t="s">
        <v>1067</v>
      </c>
      <c r="AN167" s="566" t="s">
        <v>1068</v>
      </c>
      <c r="AO167" s="566" t="s">
        <v>1069</v>
      </c>
      <c r="AP167" s="567">
        <v>3715.0925000000002</v>
      </c>
      <c r="AQ167" s="567">
        <v>0.25</v>
      </c>
      <c r="AR167" s="567">
        <v>10000</v>
      </c>
      <c r="AS167" s="567">
        <v>0.06</v>
      </c>
      <c r="AT167" s="567">
        <v>0.6</v>
      </c>
      <c r="AU167" s="567">
        <v>0</v>
      </c>
      <c r="AV167" s="567">
        <v>1</v>
      </c>
      <c r="AW167" s="568" t="s">
        <v>1070</v>
      </c>
      <c r="AX167" s="567">
        <v>0</v>
      </c>
      <c r="AY167" s="567">
        <v>0</v>
      </c>
      <c r="AZ167" s="568" t="s">
        <v>107</v>
      </c>
      <c r="BA167" s="567">
        <v>0</v>
      </c>
      <c r="BB167" s="567">
        <v>0</v>
      </c>
    </row>
    <row r="168" spans="39:54" ht="16.5" hidden="1" customHeight="1">
      <c r="AM168" s="565" t="s">
        <v>1071</v>
      </c>
      <c r="AN168" s="566" t="s">
        <v>1072</v>
      </c>
      <c r="AO168" s="566" t="s">
        <v>1073</v>
      </c>
      <c r="AP168" s="567">
        <v>226784.09099999999</v>
      </c>
      <c r="AQ168" s="567">
        <v>0.35</v>
      </c>
      <c r="AR168" s="567">
        <v>12000</v>
      </c>
      <c r="AS168" s="567">
        <v>0.06</v>
      </c>
      <c r="AT168" s="567">
        <v>0.8</v>
      </c>
      <c r="AU168" s="567">
        <v>0.15</v>
      </c>
      <c r="AV168" s="567">
        <v>1</v>
      </c>
      <c r="AW168" s="568" t="s">
        <v>1074</v>
      </c>
      <c r="AX168" s="567">
        <v>77</v>
      </c>
      <c r="AY168" s="567">
        <v>0.13</v>
      </c>
      <c r="AZ168" s="568" t="s">
        <v>1075</v>
      </c>
      <c r="BA168" s="569">
        <v>966.82</v>
      </c>
      <c r="BB168" s="567">
        <v>1E-3</v>
      </c>
    </row>
    <row r="169" spans="39:54" ht="16.5" hidden="1" customHeight="1">
      <c r="AM169" s="565"/>
      <c r="AN169" s="566"/>
      <c r="AO169" s="566"/>
      <c r="AP169" s="567"/>
      <c r="AQ169" s="567"/>
      <c r="AR169" s="567"/>
      <c r="AS169" s="567"/>
      <c r="AT169" s="567"/>
      <c r="AU169" s="567"/>
      <c r="AV169" s="567"/>
      <c r="AW169" s="568"/>
      <c r="AX169" s="567"/>
      <c r="AY169" s="567"/>
      <c r="AZ169" s="568" t="s">
        <v>1076</v>
      </c>
      <c r="BA169" s="569">
        <v>3170</v>
      </c>
      <c r="BB169" s="567">
        <v>1E-3</v>
      </c>
    </row>
    <row r="170" spans="39:54" ht="16.5" hidden="1" customHeight="1">
      <c r="AM170" s="565">
        <v>94049</v>
      </c>
      <c r="AN170" s="568" t="s">
        <v>1077</v>
      </c>
      <c r="AO170" s="568" t="s">
        <v>1078</v>
      </c>
      <c r="AP170" s="567">
        <v>254459.826</v>
      </c>
      <c r="AQ170" s="567">
        <v>0.35</v>
      </c>
      <c r="AR170" s="567">
        <v>12000</v>
      </c>
      <c r="AS170" s="567">
        <v>0.06</v>
      </c>
      <c r="AT170" s="567">
        <v>0.8</v>
      </c>
      <c r="AU170" s="567">
        <v>0.15</v>
      </c>
      <c r="AV170" s="567">
        <v>1</v>
      </c>
      <c r="AW170" s="568" t="s">
        <v>1079</v>
      </c>
      <c r="AX170" s="567">
        <v>79</v>
      </c>
      <c r="AY170" s="567">
        <v>0.15</v>
      </c>
      <c r="AZ170" s="568" t="s">
        <v>1080</v>
      </c>
      <c r="BA170" s="567">
        <v>1937.165</v>
      </c>
      <c r="BB170" s="567">
        <v>1.1000000000000001E-3</v>
      </c>
    </row>
    <row r="171" spans="39:54" ht="16.5" hidden="1" customHeight="1">
      <c r="AM171" s="565" t="s">
        <v>1081</v>
      </c>
      <c r="AN171" s="566" t="s">
        <v>1082</v>
      </c>
      <c r="AO171" s="566" t="s">
        <v>1083</v>
      </c>
      <c r="AP171" s="567">
        <v>242766.16500000001</v>
      </c>
      <c r="AQ171" s="567">
        <v>0.35</v>
      </c>
      <c r="AR171" s="567">
        <v>12000</v>
      </c>
      <c r="AS171" s="567">
        <v>0.06</v>
      </c>
      <c r="AT171" s="567">
        <v>0.8</v>
      </c>
      <c r="AU171" s="567">
        <v>0.15</v>
      </c>
      <c r="AV171" s="567">
        <v>1</v>
      </c>
      <c r="AW171" s="568" t="s">
        <v>1079</v>
      </c>
      <c r="AX171" s="567">
        <v>79</v>
      </c>
      <c r="AY171" s="567">
        <v>0.15</v>
      </c>
      <c r="AZ171" s="568" t="s">
        <v>1080</v>
      </c>
      <c r="BA171" s="569">
        <v>1937.165</v>
      </c>
      <c r="BB171" s="567">
        <v>1.1000000000000001E-3</v>
      </c>
    </row>
    <row r="172" spans="39:54" ht="16.5" hidden="1" customHeight="1">
      <c r="AM172" s="565" t="s">
        <v>1084</v>
      </c>
      <c r="AN172" s="566" t="s">
        <v>1085</v>
      </c>
      <c r="AO172" s="566" t="s">
        <v>1086</v>
      </c>
      <c r="AP172" s="567">
        <v>85500</v>
      </c>
      <c r="AQ172" s="567">
        <v>0.35</v>
      </c>
      <c r="AR172" s="567">
        <v>12000</v>
      </c>
      <c r="AS172" s="567">
        <v>0.06</v>
      </c>
      <c r="AT172" s="567">
        <v>0.7</v>
      </c>
      <c r="AU172" s="567">
        <v>0.15</v>
      </c>
      <c r="AV172" s="567">
        <v>1</v>
      </c>
      <c r="AW172" s="568" t="s">
        <v>1087</v>
      </c>
      <c r="AX172" s="567">
        <v>85</v>
      </c>
      <c r="AY172" s="567">
        <v>0.13</v>
      </c>
      <c r="AZ172" s="568" t="s">
        <v>1088</v>
      </c>
      <c r="BA172" s="569">
        <v>1173.3240000000001</v>
      </c>
      <c r="BB172" s="567">
        <v>1.5E-3</v>
      </c>
    </row>
    <row r="173" spans="39:54" ht="16.5" hidden="1" customHeight="1">
      <c r="AM173" s="565"/>
      <c r="AN173" s="566"/>
      <c r="AO173" s="566"/>
      <c r="AP173" s="567"/>
      <c r="AQ173" s="567"/>
      <c r="AR173" s="567"/>
      <c r="AS173" s="567"/>
      <c r="AT173" s="567"/>
      <c r="AU173" s="567"/>
      <c r="AV173" s="567"/>
      <c r="AW173" s="568"/>
      <c r="AX173" s="567"/>
      <c r="AY173" s="567"/>
      <c r="AZ173" s="568" t="s">
        <v>1089</v>
      </c>
      <c r="BA173" s="569">
        <v>3117.0540000000001</v>
      </c>
      <c r="BB173" s="567">
        <v>1.5E-3</v>
      </c>
    </row>
    <row r="174" spans="39:54" ht="16.5" hidden="1" customHeight="1">
      <c r="AM174" s="565" t="s">
        <v>1090</v>
      </c>
      <c r="AN174" s="566" t="s">
        <v>1091</v>
      </c>
      <c r="AO174" s="566" t="s">
        <v>1092</v>
      </c>
      <c r="AP174" s="567">
        <v>380981.59600000002</v>
      </c>
      <c r="AQ174" s="567">
        <v>0.35</v>
      </c>
      <c r="AR174" s="567">
        <v>12000</v>
      </c>
      <c r="AS174" s="567">
        <v>0.06</v>
      </c>
      <c r="AT174" s="567">
        <v>0.8</v>
      </c>
      <c r="AU174" s="567">
        <v>0.15</v>
      </c>
      <c r="AV174" s="567">
        <v>1</v>
      </c>
      <c r="AW174" s="568" t="s">
        <v>1043</v>
      </c>
      <c r="AX174" s="567">
        <v>90</v>
      </c>
      <c r="AY174" s="567">
        <v>0.15</v>
      </c>
      <c r="AZ174" s="568" t="s">
        <v>107</v>
      </c>
      <c r="BA174" s="567">
        <v>0</v>
      </c>
      <c r="BB174" s="567">
        <v>0</v>
      </c>
    </row>
    <row r="175" spans="39:54" ht="16.5" hidden="1" customHeight="1">
      <c r="AM175" s="565" t="s">
        <v>1093</v>
      </c>
      <c r="AN175" s="566" t="s">
        <v>1094</v>
      </c>
      <c r="AO175" s="566" t="s">
        <v>1095</v>
      </c>
      <c r="AP175" s="567">
        <v>150484.57399999999</v>
      </c>
      <c r="AQ175" s="567">
        <v>0.5</v>
      </c>
      <c r="AR175" s="567">
        <v>10000</v>
      </c>
      <c r="AS175" s="567">
        <v>0.06</v>
      </c>
      <c r="AT175" s="567">
        <v>0.6</v>
      </c>
      <c r="AU175" s="567">
        <v>0.15</v>
      </c>
      <c r="AV175" s="567">
        <v>1</v>
      </c>
      <c r="AW175" s="568" t="s">
        <v>1020</v>
      </c>
      <c r="AX175" s="567">
        <v>167</v>
      </c>
      <c r="AY175" s="567">
        <v>0.1</v>
      </c>
      <c r="AZ175" s="568" t="s">
        <v>1096</v>
      </c>
      <c r="BA175" s="569">
        <v>951.94749999999999</v>
      </c>
      <c r="BB175" s="567">
        <v>4.1000000000000003E-3</v>
      </c>
    </row>
    <row r="176" spans="39:54" ht="16.5" hidden="1" customHeight="1">
      <c r="AM176" s="565"/>
      <c r="AN176" s="566"/>
      <c r="AO176" s="566"/>
      <c r="AP176" s="567"/>
      <c r="AQ176" s="567"/>
      <c r="AR176" s="567"/>
      <c r="AS176" s="567"/>
      <c r="AT176" s="567"/>
      <c r="AU176" s="567"/>
      <c r="AV176" s="567"/>
      <c r="AW176" s="568"/>
      <c r="AX176" s="567"/>
      <c r="AY176" s="567"/>
      <c r="AZ176" s="568" t="s">
        <v>1022</v>
      </c>
      <c r="BA176" s="567">
        <v>1619.46</v>
      </c>
      <c r="BB176" s="567">
        <f>1/2000</f>
        <v>5.0000000000000001E-4</v>
      </c>
    </row>
    <row r="177" spans="39:54" ht="16.5" hidden="1" customHeight="1">
      <c r="AM177" s="565"/>
      <c r="AN177" s="566"/>
      <c r="AO177" s="566"/>
      <c r="AP177" s="567"/>
      <c r="AQ177" s="567"/>
      <c r="AR177" s="567"/>
      <c r="AS177" s="567"/>
      <c r="AT177" s="567"/>
      <c r="AU177" s="567"/>
      <c r="AV177" s="567"/>
      <c r="AW177" s="568"/>
      <c r="AX177" s="567"/>
      <c r="AY177" s="567"/>
      <c r="AZ177" s="568" t="s">
        <v>1023</v>
      </c>
      <c r="BA177" s="567">
        <v>105.68</v>
      </c>
      <c r="BB177" s="567">
        <v>5.0000000000000001E-4</v>
      </c>
    </row>
    <row r="178" spans="39:54" ht="16.5" hidden="1" customHeight="1">
      <c r="AM178" s="565" t="s">
        <v>1097</v>
      </c>
      <c r="AN178" s="566" t="s">
        <v>1098</v>
      </c>
      <c r="AO178" s="566" t="s">
        <v>1099</v>
      </c>
      <c r="AP178" s="567">
        <v>131528.20000000001</v>
      </c>
      <c r="AQ178" s="567">
        <v>0.35</v>
      </c>
      <c r="AR178" s="567">
        <v>12000</v>
      </c>
      <c r="AS178" s="567">
        <v>0.06</v>
      </c>
      <c r="AT178" s="567">
        <v>0.8</v>
      </c>
      <c r="AU178" s="567">
        <v>0.15</v>
      </c>
      <c r="AV178" s="567">
        <v>1</v>
      </c>
      <c r="AW178" s="568" t="s">
        <v>1100</v>
      </c>
      <c r="AX178" s="567">
        <v>29</v>
      </c>
      <c r="AY178" s="567">
        <v>0.15</v>
      </c>
      <c r="AZ178" s="568" t="s">
        <v>107</v>
      </c>
      <c r="BA178" s="567">
        <v>0</v>
      </c>
      <c r="BB178" s="567">
        <v>0</v>
      </c>
    </row>
    <row r="179" spans="39:54" ht="16.5" hidden="1" customHeight="1">
      <c r="AM179" s="565" t="s">
        <v>1101</v>
      </c>
      <c r="AN179" s="566" t="s">
        <v>1102</v>
      </c>
      <c r="AO179" s="566" t="s">
        <v>1103</v>
      </c>
      <c r="AP179" s="567">
        <v>195820.5</v>
      </c>
      <c r="AQ179" s="567">
        <v>0.35</v>
      </c>
      <c r="AR179" s="567">
        <v>12000</v>
      </c>
      <c r="AS179" s="567">
        <v>0.06</v>
      </c>
      <c r="AT179" s="567">
        <v>0.8</v>
      </c>
      <c r="AU179" s="567">
        <v>0.15</v>
      </c>
      <c r="AV179" s="567">
        <v>1</v>
      </c>
      <c r="AW179" s="568" t="s">
        <v>1100</v>
      </c>
      <c r="AX179" s="567">
        <v>58</v>
      </c>
      <c r="AY179" s="567">
        <v>0.15</v>
      </c>
      <c r="AZ179" s="568" t="s">
        <v>107</v>
      </c>
      <c r="BA179" s="567">
        <v>0</v>
      </c>
      <c r="BB179" s="567">
        <v>0</v>
      </c>
    </row>
    <row r="180" spans="39:54" ht="16.5" hidden="1" customHeight="1">
      <c r="AM180" s="565" t="s">
        <v>1104</v>
      </c>
      <c r="AN180" s="566" t="s">
        <v>1105</v>
      </c>
      <c r="AO180" s="566" t="s">
        <v>107</v>
      </c>
      <c r="AP180" s="567">
        <v>18753.424800000001</v>
      </c>
      <c r="AQ180" s="567">
        <v>0.3</v>
      </c>
      <c r="AR180" s="567">
        <v>12000</v>
      </c>
      <c r="AS180" s="567">
        <v>0.06</v>
      </c>
      <c r="AT180" s="567">
        <v>0.8</v>
      </c>
      <c r="AU180" s="567">
        <v>0</v>
      </c>
      <c r="AV180" s="567">
        <v>0</v>
      </c>
      <c r="AW180" s="568" t="s">
        <v>107</v>
      </c>
      <c r="AX180" s="567">
        <v>0</v>
      </c>
      <c r="AY180" s="567">
        <v>0</v>
      </c>
      <c r="AZ180" s="568" t="s">
        <v>107</v>
      </c>
      <c r="BA180" s="567">
        <v>0</v>
      </c>
      <c r="BB180" s="567">
        <v>0</v>
      </c>
    </row>
    <row r="181" spans="39:54" ht="16.5" hidden="1" customHeight="1">
      <c r="AM181" s="565" t="s">
        <v>1106</v>
      </c>
      <c r="AN181" s="566" t="s">
        <v>1107</v>
      </c>
      <c r="AO181" s="566" t="s">
        <v>1108</v>
      </c>
      <c r="AP181" s="567">
        <v>1565</v>
      </c>
      <c r="AQ181" s="567">
        <v>0.25</v>
      </c>
      <c r="AR181" s="567">
        <v>8000</v>
      </c>
      <c r="AS181" s="567">
        <v>0.06</v>
      </c>
      <c r="AT181" s="567">
        <v>0.5</v>
      </c>
      <c r="AU181" s="567">
        <v>0</v>
      </c>
      <c r="AV181" s="567">
        <v>0</v>
      </c>
      <c r="AW181" s="568" t="s">
        <v>107</v>
      </c>
      <c r="AX181" s="567">
        <v>0</v>
      </c>
      <c r="AY181" s="567">
        <v>0</v>
      </c>
      <c r="AZ181" s="568" t="s">
        <v>1016</v>
      </c>
      <c r="BA181" s="567">
        <v>0.2944</v>
      </c>
      <c r="BB181" s="567">
        <v>0.746</v>
      </c>
    </row>
    <row r="182" spans="39:54" ht="16.5" hidden="1" customHeight="1">
      <c r="AM182" s="565" t="s">
        <v>1109</v>
      </c>
      <c r="AN182" s="566" t="s">
        <v>1110</v>
      </c>
      <c r="AO182" s="566" t="s">
        <v>1111</v>
      </c>
      <c r="AP182" s="567">
        <v>76894.136599999998</v>
      </c>
      <c r="AQ182" s="567">
        <v>0.3</v>
      </c>
      <c r="AR182" s="567">
        <v>10000</v>
      </c>
      <c r="AS182" s="567">
        <v>0.06</v>
      </c>
      <c r="AT182" s="567">
        <v>0.8</v>
      </c>
      <c r="AU182" s="567">
        <v>0.15</v>
      </c>
      <c r="AV182" s="567">
        <v>0</v>
      </c>
      <c r="AW182" s="568" t="s">
        <v>107</v>
      </c>
      <c r="AX182" s="567">
        <v>15</v>
      </c>
      <c r="AY182" s="567">
        <v>0.15</v>
      </c>
      <c r="AZ182" s="568" t="s">
        <v>107</v>
      </c>
      <c r="BA182" s="567">
        <v>0</v>
      </c>
      <c r="BB182" s="567">
        <v>0</v>
      </c>
    </row>
    <row r="183" spans="39:54" ht="16.5" hidden="1" customHeight="1">
      <c r="AM183" s="565" t="s">
        <v>1112</v>
      </c>
      <c r="AN183" s="566" t="s">
        <v>1113</v>
      </c>
      <c r="AO183" s="566" t="s">
        <v>1114</v>
      </c>
      <c r="AP183" s="567">
        <v>314979.59000000003</v>
      </c>
      <c r="AQ183" s="567">
        <v>0.3</v>
      </c>
      <c r="AR183" s="567">
        <v>10000</v>
      </c>
      <c r="AS183" s="567">
        <v>0.06</v>
      </c>
      <c r="AT183" s="567">
        <v>0.8</v>
      </c>
      <c r="AU183" s="567">
        <v>0.15</v>
      </c>
      <c r="AV183" s="567">
        <v>1</v>
      </c>
      <c r="AW183" s="568" t="s">
        <v>1115</v>
      </c>
      <c r="AX183" s="567">
        <v>154</v>
      </c>
      <c r="AY183" s="567">
        <v>0.13</v>
      </c>
      <c r="AZ183" s="568" t="s">
        <v>107</v>
      </c>
      <c r="BA183" s="567">
        <v>0</v>
      </c>
      <c r="BB183" s="567">
        <v>0</v>
      </c>
    </row>
    <row r="184" spans="39:54" ht="16.5" hidden="1" customHeight="1">
      <c r="AM184" s="565" t="s">
        <v>1116</v>
      </c>
      <c r="AN184" s="566" t="s">
        <v>1117</v>
      </c>
      <c r="AO184" s="566" t="s">
        <v>1118</v>
      </c>
      <c r="AP184" s="567">
        <v>14172.575000000001</v>
      </c>
      <c r="AQ184" s="567">
        <v>0.35</v>
      </c>
      <c r="AR184" s="567">
        <v>6000</v>
      </c>
      <c r="AS184" s="567">
        <v>0.06</v>
      </c>
      <c r="AT184" s="567">
        <v>0.8</v>
      </c>
      <c r="AU184" s="567">
        <v>0</v>
      </c>
      <c r="AV184" s="567">
        <v>0</v>
      </c>
      <c r="AW184" s="568" t="s">
        <v>107</v>
      </c>
      <c r="AX184" s="567">
        <v>0</v>
      </c>
      <c r="AY184" s="567">
        <v>0</v>
      </c>
      <c r="AZ184" s="568" t="s">
        <v>1016</v>
      </c>
      <c r="BA184" s="567">
        <v>0.2944</v>
      </c>
      <c r="BB184" s="567">
        <v>2.2000000000000002</v>
      </c>
    </row>
    <row r="185" spans="39:54" ht="16.5" hidden="1" customHeight="1">
      <c r="AM185" s="565" t="s">
        <v>1119</v>
      </c>
      <c r="AN185" s="566" t="s">
        <v>1120</v>
      </c>
      <c r="AO185" s="566" t="s">
        <v>1121</v>
      </c>
      <c r="AP185" s="567">
        <v>6387.3389999999999</v>
      </c>
      <c r="AQ185" s="567">
        <v>0.3</v>
      </c>
      <c r="AR185" s="567">
        <v>10000</v>
      </c>
      <c r="AS185" s="567">
        <v>0.06</v>
      </c>
      <c r="AT185" s="567">
        <v>0.8</v>
      </c>
      <c r="AU185" s="567">
        <v>0</v>
      </c>
      <c r="AV185" s="567">
        <v>0</v>
      </c>
      <c r="AW185" s="568" t="s">
        <v>107</v>
      </c>
      <c r="AX185" s="567">
        <v>0</v>
      </c>
      <c r="AY185" s="567">
        <v>0</v>
      </c>
      <c r="AZ185" s="568" t="s">
        <v>1016</v>
      </c>
      <c r="BA185" s="567">
        <v>0.2944</v>
      </c>
      <c r="BB185" s="567">
        <v>0.82</v>
      </c>
    </row>
    <row r="186" spans="39:54" ht="16.5" hidden="1" customHeight="1">
      <c r="AM186" s="565" t="s">
        <v>1122</v>
      </c>
      <c r="AN186" s="566" t="s">
        <v>1123</v>
      </c>
      <c r="AO186" s="566" t="s">
        <v>1124</v>
      </c>
      <c r="AP186" s="567">
        <v>9400.3979999999992</v>
      </c>
      <c r="AQ186" s="567">
        <v>0.3</v>
      </c>
      <c r="AR186" s="567">
        <v>10000</v>
      </c>
      <c r="AS186" s="567">
        <v>0.06</v>
      </c>
      <c r="AT186" s="567">
        <v>0.7</v>
      </c>
      <c r="AU186" s="567">
        <v>0</v>
      </c>
      <c r="AV186" s="567">
        <v>0</v>
      </c>
      <c r="AW186" s="568" t="s">
        <v>107</v>
      </c>
      <c r="AX186" s="567">
        <v>0</v>
      </c>
      <c r="AY186" s="567">
        <v>0</v>
      </c>
      <c r="AZ186" s="568" t="s">
        <v>1016</v>
      </c>
      <c r="BA186" s="567">
        <v>0.2944</v>
      </c>
      <c r="BB186" s="567">
        <v>3.73</v>
      </c>
    </row>
    <row r="187" spans="39:54" ht="16.5" hidden="1" customHeight="1">
      <c r="AM187" s="565" t="s">
        <v>1125</v>
      </c>
      <c r="AN187" s="568" t="s">
        <v>1126</v>
      </c>
      <c r="AO187" s="568" t="s">
        <v>1127</v>
      </c>
      <c r="AP187" s="567">
        <v>22594.698</v>
      </c>
      <c r="AQ187" s="567">
        <v>0.3</v>
      </c>
      <c r="AR187" s="567">
        <v>10000</v>
      </c>
      <c r="AS187" s="567">
        <v>0.06</v>
      </c>
      <c r="AT187" s="567">
        <v>0.8</v>
      </c>
      <c r="AU187" s="567">
        <v>0</v>
      </c>
      <c r="AV187" s="567">
        <v>0</v>
      </c>
      <c r="AW187" s="568" t="s">
        <v>107</v>
      </c>
      <c r="AX187" s="567">
        <v>0</v>
      </c>
      <c r="AY187" s="567">
        <v>0</v>
      </c>
      <c r="AZ187" s="568" t="s">
        <v>1016</v>
      </c>
      <c r="BA187" s="567">
        <v>0.2944</v>
      </c>
      <c r="BB187" s="567">
        <v>14.92</v>
      </c>
    </row>
    <row r="188" spans="39:54" ht="16.5" hidden="1" customHeight="1">
      <c r="AM188" s="565">
        <v>94212</v>
      </c>
      <c r="AN188" s="566" t="s">
        <v>1128</v>
      </c>
      <c r="AO188" s="566" t="s">
        <v>1129</v>
      </c>
      <c r="AP188" s="567">
        <v>81032.468999999997</v>
      </c>
      <c r="AQ188" s="567">
        <v>0.3</v>
      </c>
      <c r="AR188" s="567">
        <v>10000</v>
      </c>
      <c r="AS188" s="567">
        <v>0.06</v>
      </c>
      <c r="AT188" s="567">
        <v>0.8</v>
      </c>
      <c r="AU188" s="567">
        <v>0</v>
      </c>
      <c r="AV188" s="567">
        <v>0</v>
      </c>
      <c r="AW188" s="568" t="s">
        <v>107</v>
      </c>
      <c r="AX188" s="567">
        <v>0</v>
      </c>
      <c r="AY188" s="567">
        <v>0</v>
      </c>
      <c r="AZ188" s="568" t="s">
        <v>1016</v>
      </c>
      <c r="BA188" s="567">
        <v>0.2944</v>
      </c>
      <c r="BB188" s="567">
        <v>65.647999999999996</v>
      </c>
    </row>
    <row r="189" spans="39:54" ht="16.5" hidden="1" customHeight="1">
      <c r="AM189" s="565" t="s">
        <v>1130</v>
      </c>
      <c r="AN189" s="568" t="s">
        <v>1131</v>
      </c>
      <c r="AO189" s="568" t="s">
        <v>1132</v>
      </c>
      <c r="AP189" s="567">
        <v>135190.29999999999</v>
      </c>
      <c r="AQ189" s="567">
        <v>0.5</v>
      </c>
      <c r="AR189" s="567">
        <v>10000</v>
      </c>
      <c r="AS189" s="567">
        <v>0.06</v>
      </c>
      <c r="AT189" s="567">
        <v>0.6</v>
      </c>
      <c r="AU189" s="567">
        <v>0.15</v>
      </c>
      <c r="AV189" s="567">
        <v>1</v>
      </c>
      <c r="AW189" s="568" t="s">
        <v>1027</v>
      </c>
      <c r="AX189" s="567">
        <v>160</v>
      </c>
      <c r="AY189" s="567">
        <v>0.1</v>
      </c>
      <c r="AZ189" s="568" t="s">
        <v>1039</v>
      </c>
      <c r="BA189" s="569">
        <v>683.77629999999999</v>
      </c>
      <c r="BB189" s="567">
        <v>2.5000000000000001E-3</v>
      </c>
    </row>
    <row r="190" spans="39:54" ht="16.5" hidden="1" customHeight="1">
      <c r="AM190" s="565"/>
      <c r="AN190" s="568"/>
      <c r="AO190" s="568"/>
      <c r="AP190" s="567"/>
      <c r="AQ190" s="567"/>
      <c r="AR190" s="567"/>
      <c r="AS190" s="567"/>
      <c r="AT190" s="567"/>
      <c r="AU190" s="567"/>
      <c r="AV190" s="567"/>
      <c r="AW190" s="568"/>
      <c r="AX190" s="567"/>
      <c r="AY190" s="567"/>
      <c r="AZ190" s="568" t="s">
        <v>1022</v>
      </c>
      <c r="BA190" s="567">
        <v>1468.35</v>
      </c>
      <c r="BB190" s="567">
        <f>1/2000</f>
        <v>5.0000000000000001E-4</v>
      </c>
    </row>
    <row r="191" spans="39:54" ht="16.5" hidden="1" customHeight="1">
      <c r="AM191" s="565"/>
      <c r="AN191" s="568"/>
      <c r="AO191" s="568"/>
      <c r="AP191" s="567"/>
      <c r="AQ191" s="567"/>
      <c r="AR191" s="567"/>
      <c r="AS191" s="567"/>
      <c r="AT191" s="567"/>
      <c r="AU191" s="567"/>
      <c r="AV191" s="567"/>
      <c r="AW191" s="568"/>
      <c r="AX191" s="567"/>
      <c r="AY191" s="567"/>
      <c r="AZ191" s="568" t="s">
        <v>1023</v>
      </c>
      <c r="BA191" s="567">
        <v>105.68</v>
      </c>
      <c r="BB191" s="567">
        <v>5.0000000000000001E-4</v>
      </c>
    </row>
    <row r="192" spans="39:54" ht="16.5" hidden="1" customHeight="1">
      <c r="AM192" s="565" t="s">
        <v>1133</v>
      </c>
      <c r="AN192" s="568" t="s">
        <v>1134</v>
      </c>
      <c r="AO192" s="568" t="s">
        <v>1135</v>
      </c>
      <c r="AP192" s="567">
        <v>178646.3</v>
      </c>
      <c r="AQ192" s="567">
        <v>0.5</v>
      </c>
      <c r="AR192" s="567">
        <v>10000</v>
      </c>
      <c r="AS192" s="567">
        <v>0.06</v>
      </c>
      <c r="AT192" s="567">
        <v>0.6</v>
      </c>
      <c r="AU192" s="567">
        <v>0.15</v>
      </c>
      <c r="AV192" s="567">
        <v>1</v>
      </c>
      <c r="AW192" s="568" t="s">
        <v>1136</v>
      </c>
      <c r="AX192" s="567">
        <v>167</v>
      </c>
      <c r="AY192" s="567">
        <v>0.1</v>
      </c>
      <c r="AZ192" s="568" t="s">
        <v>1137</v>
      </c>
      <c r="BA192" s="569">
        <v>683.77629999999999</v>
      </c>
      <c r="BB192" s="567">
        <v>2.5000000000000001E-3</v>
      </c>
    </row>
    <row r="193" spans="39:55" ht="16.5" hidden="1" customHeight="1">
      <c r="AM193" s="565"/>
      <c r="AN193" s="568"/>
      <c r="AO193" s="568"/>
      <c r="AP193" s="567"/>
      <c r="AQ193" s="567"/>
      <c r="AR193" s="567"/>
      <c r="AS193" s="567"/>
      <c r="AT193" s="567"/>
      <c r="AU193" s="567"/>
      <c r="AV193" s="567"/>
      <c r="AW193" s="568"/>
      <c r="AX193" s="567"/>
      <c r="AY193" s="567"/>
      <c r="AZ193" s="568" t="s">
        <v>1022</v>
      </c>
      <c r="BA193" s="567">
        <v>1468.35</v>
      </c>
      <c r="BB193" s="567">
        <f>1/2000</f>
        <v>5.0000000000000001E-4</v>
      </c>
    </row>
    <row r="194" spans="39:55" ht="16.5" hidden="1" customHeight="1">
      <c r="AM194" s="565"/>
      <c r="AN194" s="568"/>
      <c r="AO194" s="568"/>
      <c r="AP194" s="567"/>
      <c r="AQ194" s="567"/>
      <c r="AR194" s="567"/>
      <c r="AS194" s="567"/>
      <c r="AT194" s="567"/>
      <c r="AU194" s="567"/>
      <c r="AV194" s="567"/>
      <c r="AW194" s="568"/>
      <c r="AX194" s="567"/>
      <c r="AY194" s="567"/>
      <c r="AZ194" s="568" t="s">
        <v>1023</v>
      </c>
      <c r="BA194" s="567">
        <v>105.68</v>
      </c>
      <c r="BB194" s="567">
        <v>5.0000000000000001E-4</v>
      </c>
    </row>
    <row r="195" spans="39:55" ht="16.5" hidden="1" customHeight="1">
      <c r="AM195" s="565" t="s">
        <v>1138</v>
      </c>
      <c r="AN195" s="566" t="s">
        <v>1139</v>
      </c>
      <c r="AO195" s="566" t="s">
        <v>1140</v>
      </c>
      <c r="AP195" s="567">
        <v>620000</v>
      </c>
      <c r="AQ195" s="567">
        <v>0.35</v>
      </c>
      <c r="AR195" s="567">
        <v>20000</v>
      </c>
      <c r="AS195" s="567">
        <v>0.06</v>
      </c>
      <c r="AT195" s="567">
        <v>0.7</v>
      </c>
      <c r="AU195" s="567">
        <v>0.15</v>
      </c>
      <c r="AV195" s="567">
        <v>1</v>
      </c>
      <c r="AW195" s="568" t="s">
        <v>1048</v>
      </c>
      <c r="AX195" s="567">
        <v>300</v>
      </c>
      <c r="AY195" s="567">
        <v>0.13</v>
      </c>
      <c r="AZ195" s="568" t="s">
        <v>1141</v>
      </c>
      <c r="BA195" s="569">
        <v>8857.31</v>
      </c>
      <c r="BB195" s="567">
        <v>2.3999999999999998E-3</v>
      </c>
    </row>
    <row r="196" spans="39:55" ht="16.5" hidden="1" customHeight="1">
      <c r="AM196" s="565" t="s">
        <v>1142</v>
      </c>
      <c r="AN196" s="566" t="s">
        <v>1143</v>
      </c>
      <c r="AO196" s="566" t="s">
        <v>1144</v>
      </c>
      <c r="AP196" s="567">
        <v>23845</v>
      </c>
      <c r="AQ196" s="567">
        <v>0.5</v>
      </c>
      <c r="AR196" s="567">
        <v>10000</v>
      </c>
      <c r="AS196" s="567">
        <v>0.06</v>
      </c>
      <c r="AT196" s="567">
        <v>0.5</v>
      </c>
      <c r="AU196" s="567">
        <v>0.15</v>
      </c>
      <c r="AV196" s="567">
        <v>1</v>
      </c>
      <c r="AW196" s="568" t="s">
        <v>1145</v>
      </c>
      <c r="AX196" s="567">
        <v>70</v>
      </c>
      <c r="AY196" s="567">
        <v>0.05</v>
      </c>
      <c r="AZ196" s="568" t="s">
        <v>1146</v>
      </c>
      <c r="BA196" s="569">
        <v>172.04079999999999</v>
      </c>
      <c r="BB196" s="567">
        <v>8.0000000000000004E-4</v>
      </c>
    </row>
    <row r="197" spans="39:55" ht="16.5" hidden="1" customHeight="1">
      <c r="AM197" s="565"/>
      <c r="AN197" s="566"/>
      <c r="AO197" s="566"/>
      <c r="AP197" s="567"/>
      <c r="AQ197" s="567"/>
      <c r="AR197" s="567"/>
      <c r="AS197" s="567"/>
      <c r="AT197" s="567"/>
      <c r="AU197" s="567"/>
      <c r="AV197" s="567"/>
      <c r="AW197" s="568"/>
      <c r="AX197" s="567"/>
      <c r="AY197" s="567"/>
      <c r="AZ197" s="568" t="s">
        <v>1022</v>
      </c>
      <c r="BA197" s="567">
        <v>1026.3599999999999</v>
      </c>
      <c r="BB197" s="567">
        <v>5.0000000000000001E-4</v>
      </c>
    </row>
    <row r="198" spans="39:55" ht="16.5" hidden="1" customHeight="1">
      <c r="AM198" s="565"/>
      <c r="AN198" s="566"/>
      <c r="AO198" s="566"/>
      <c r="AP198" s="567"/>
      <c r="AQ198" s="567"/>
      <c r="AR198" s="567"/>
      <c r="AS198" s="567"/>
      <c r="AT198" s="567"/>
      <c r="AU198" s="567"/>
      <c r="AV198" s="567"/>
      <c r="AW198" s="568"/>
      <c r="AX198" s="567"/>
      <c r="AY198" s="567"/>
      <c r="AZ198" s="568" t="s">
        <v>1023</v>
      </c>
      <c r="BA198" s="567">
        <v>101.16</v>
      </c>
      <c r="BB198" s="567">
        <f>1/2000</f>
        <v>5.0000000000000001E-4</v>
      </c>
    </row>
    <row r="199" spans="39:55" ht="16.5" hidden="1" customHeight="1">
      <c r="AM199" s="565" t="s">
        <v>1147</v>
      </c>
      <c r="AN199" s="568" t="s">
        <v>1148</v>
      </c>
      <c r="AO199" s="568" t="s">
        <v>1149</v>
      </c>
      <c r="AP199" s="567">
        <v>34398.020700000001</v>
      </c>
      <c r="AQ199" s="567">
        <v>0.35</v>
      </c>
      <c r="AR199" s="567">
        <v>6000</v>
      </c>
      <c r="AS199" s="567">
        <v>0.06</v>
      </c>
      <c r="AT199" s="567">
        <v>0.5</v>
      </c>
      <c r="AU199" s="567">
        <v>0.15</v>
      </c>
      <c r="AV199" s="567">
        <v>1</v>
      </c>
      <c r="AW199" s="568" t="s">
        <v>1150</v>
      </c>
      <c r="AX199" s="567">
        <v>7</v>
      </c>
      <c r="AY199" s="567">
        <v>0.1</v>
      </c>
      <c r="AZ199" s="568" t="s">
        <v>107</v>
      </c>
      <c r="BA199" s="567">
        <v>0</v>
      </c>
      <c r="BB199" s="567">
        <v>0</v>
      </c>
    </row>
    <row r="200" spans="39:55" ht="16.5" hidden="1" customHeight="1">
      <c r="AM200" s="565" t="s">
        <v>1151</v>
      </c>
      <c r="AN200" s="566" t="s">
        <v>1152</v>
      </c>
      <c r="AO200" s="566" t="s">
        <v>1153</v>
      </c>
      <c r="AP200" s="567">
        <v>99976.320000000007</v>
      </c>
      <c r="AQ200" s="567">
        <v>0.35</v>
      </c>
      <c r="AR200" s="567">
        <v>12000</v>
      </c>
      <c r="AS200" s="567">
        <v>0.06</v>
      </c>
      <c r="AT200" s="567">
        <v>0.7</v>
      </c>
      <c r="AU200" s="567">
        <v>0.15</v>
      </c>
      <c r="AV200" s="567">
        <v>0.2</v>
      </c>
      <c r="AW200" s="568" t="s">
        <v>1053</v>
      </c>
      <c r="AX200" s="567">
        <v>269</v>
      </c>
      <c r="AY200" s="567">
        <v>0.1</v>
      </c>
      <c r="AZ200" s="568" t="s">
        <v>107</v>
      </c>
      <c r="BA200" s="567">
        <v>0</v>
      </c>
      <c r="BB200" s="567">
        <v>0</v>
      </c>
    </row>
    <row r="201" spans="39:55" ht="16.5" hidden="1" customHeight="1">
      <c r="AM201" s="565" t="s">
        <v>1154</v>
      </c>
      <c r="AN201" s="566" t="s">
        <v>1155</v>
      </c>
      <c r="AO201" s="566" t="s">
        <v>1156</v>
      </c>
      <c r="AP201" s="567">
        <v>88794.72</v>
      </c>
      <c r="AQ201" s="567">
        <v>0.35</v>
      </c>
      <c r="AR201" s="567">
        <v>12000</v>
      </c>
      <c r="AS201" s="567">
        <v>0.06</v>
      </c>
      <c r="AT201" s="567">
        <v>0.8</v>
      </c>
      <c r="AU201" s="567">
        <v>0.15</v>
      </c>
      <c r="AV201" s="567">
        <v>0.2</v>
      </c>
      <c r="AW201" s="568" t="s">
        <v>1053</v>
      </c>
      <c r="AX201" s="567">
        <v>121</v>
      </c>
      <c r="AY201" s="567">
        <v>0.1</v>
      </c>
      <c r="AZ201" s="568" t="s">
        <v>1157</v>
      </c>
      <c r="BA201" s="569">
        <v>358.95089999999999</v>
      </c>
      <c r="BB201" s="567">
        <v>1E-3</v>
      </c>
    </row>
    <row r="202" spans="39:55" ht="16.5" hidden="1" customHeight="1">
      <c r="AM202" s="565" t="s">
        <v>1158</v>
      </c>
      <c r="AN202" s="566" t="s">
        <v>1159</v>
      </c>
      <c r="AO202" s="566" t="s">
        <v>1160</v>
      </c>
      <c r="AP202" s="567">
        <v>166306.89600000001</v>
      </c>
      <c r="AQ202" s="567">
        <v>0.35</v>
      </c>
      <c r="AR202" s="567">
        <v>12000</v>
      </c>
      <c r="AS202" s="567">
        <v>0.06</v>
      </c>
      <c r="AT202" s="567">
        <v>0.8</v>
      </c>
      <c r="AU202" s="567">
        <v>0.15</v>
      </c>
      <c r="AV202" s="567">
        <v>0.2</v>
      </c>
      <c r="AW202" s="568" t="s">
        <v>1053</v>
      </c>
      <c r="AX202" s="567">
        <v>269</v>
      </c>
      <c r="AY202" s="567">
        <v>0.1</v>
      </c>
      <c r="AZ202" s="568" t="s">
        <v>1161</v>
      </c>
      <c r="BA202" s="569">
        <v>512.7704</v>
      </c>
      <c r="BB202" s="567">
        <v>1E-3</v>
      </c>
    </row>
    <row r="203" spans="39:55" ht="16.5" hidden="1" customHeight="1">
      <c r="AM203" s="565" t="s">
        <v>1162</v>
      </c>
      <c r="AN203" s="566" t="s">
        <v>1163</v>
      </c>
      <c r="AO203" s="566" t="s">
        <v>1164</v>
      </c>
      <c r="AP203" s="567">
        <v>5168.4174999999996</v>
      </c>
      <c r="AQ203" s="567">
        <v>0.25</v>
      </c>
      <c r="AR203" s="567">
        <v>2000</v>
      </c>
      <c r="AS203" s="567">
        <v>0.06</v>
      </c>
      <c r="AT203" s="567">
        <v>0.6</v>
      </c>
      <c r="AU203" s="567">
        <v>0</v>
      </c>
      <c r="AV203" s="567">
        <v>0</v>
      </c>
      <c r="AW203" s="568" t="s">
        <v>107</v>
      </c>
      <c r="AX203" s="567">
        <v>0</v>
      </c>
      <c r="AY203" s="567">
        <v>0</v>
      </c>
      <c r="AZ203" s="568" t="s">
        <v>107</v>
      </c>
      <c r="BA203" s="567">
        <v>0</v>
      </c>
      <c r="BB203" s="567">
        <v>0</v>
      </c>
    </row>
    <row r="204" spans="39:55" ht="16.5" hidden="1" customHeight="1">
      <c r="AM204" s="565" t="s">
        <v>1165</v>
      </c>
      <c r="AN204" s="566" t="s">
        <v>1166</v>
      </c>
      <c r="AO204" s="566" t="s">
        <v>1167</v>
      </c>
      <c r="AP204" s="567">
        <v>224100</v>
      </c>
      <c r="AQ204" s="567">
        <v>0.3</v>
      </c>
      <c r="AR204" s="567">
        <v>10000</v>
      </c>
      <c r="AS204" s="567">
        <v>0.06</v>
      </c>
      <c r="AT204" s="567">
        <v>0.7</v>
      </c>
      <c r="AU204" s="567">
        <v>0</v>
      </c>
      <c r="AV204" s="567">
        <v>0</v>
      </c>
      <c r="AW204" s="568" t="s">
        <v>107</v>
      </c>
      <c r="AX204" s="567">
        <v>0</v>
      </c>
      <c r="AY204" s="567">
        <v>0</v>
      </c>
      <c r="AZ204" s="568" t="s">
        <v>1168</v>
      </c>
      <c r="BA204" s="567">
        <v>0.2944</v>
      </c>
      <c r="BB204" s="567">
        <v>30</v>
      </c>
    </row>
    <row r="205" spans="39:55" ht="16.5" hidden="1" customHeight="1">
      <c r="AM205" s="565" t="s">
        <v>1169</v>
      </c>
      <c r="AN205" s="566" t="s">
        <v>1170</v>
      </c>
      <c r="AO205" s="566" t="s">
        <v>1171</v>
      </c>
      <c r="AP205" s="567">
        <v>5245.1485000000002</v>
      </c>
      <c r="AQ205" s="567">
        <v>0.25</v>
      </c>
      <c r="AR205" s="567">
        <v>10000</v>
      </c>
      <c r="AS205" s="567">
        <v>0.06</v>
      </c>
      <c r="AT205" s="567">
        <v>1</v>
      </c>
      <c r="AU205" s="567">
        <v>0</v>
      </c>
      <c r="AV205" s="567">
        <v>0</v>
      </c>
      <c r="AW205" s="568" t="s">
        <v>107</v>
      </c>
      <c r="AX205" s="567">
        <v>0</v>
      </c>
      <c r="AY205" s="567">
        <v>0</v>
      </c>
      <c r="AZ205" s="568" t="s">
        <v>107</v>
      </c>
      <c r="BA205" s="567">
        <v>0</v>
      </c>
      <c r="BB205" s="567">
        <v>0</v>
      </c>
    </row>
    <row r="206" spans="39:55" ht="16.5" hidden="1" customHeight="1">
      <c r="AM206" s="565" t="s">
        <v>1172</v>
      </c>
      <c r="AN206" s="566" t="s">
        <v>1173</v>
      </c>
      <c r="AO206" s="566" t="s">
        <v>1060</v>
      </c>
      <c r="AP206" s="567">
        <v>286486.397</v>
      </c>
      <c r="AQ206" s="567">
        <v>0.3</v>
      </c>
      <c r="AR206" s="567">
        <v>16000</v>
      </c>
      <c r="AS206" s="567">
        <v>0.06</v>
      </c>
      <c r="AT206" s="567">
        <v>0.8</v>
      </c>
      <c r="AU206" s="567">
        <v>0.15</v>
      </c>
      <c r="AV206" s="567">
        <v>1</v>
      </c>
      <c r="AW206" s="568" t="s">
        <v>1174</v>
      </c>
      <c r="AX206" s="567">
        <v>70</v>
      </c>
      <c r="AY206" s="567">
        <v>0.13</v>
      </c>
      <c r="AZ206" s="568" t="s">
        <v>107</v>
      </c>
      <c r="BA206" s="567">
        <v>0</v>
      </c>
      <c r="BB206" s="567">
        <v>0</v>
      </c>
    </row>
    <row r="207" spans="39:55" ht="16.5" hidden="1" customHeight="1">
      <c r="AM207" s="565" t="s">
        <v>1175</v>
      </c>
      <c r="AN207" s="568" t="s">
        <v>1176</v>
      </c>
      <c r="AO207" s="568" t="s">
        <v>1177</v>
      </c>
      <c r="AP207" s="567">
        <v>588772.72699999996</v>
      </c>
      <c r="AQ207" s="567">
        <v>0.35</v>
      </c>
      <c r="AR207" s="567">
        <v>14000</v>
      </c>
      <c r="AS207" s="567">
        <v>0.06</v>
      </c>
      <c r="AT207" s="567">
        <v>0.8</v>
      </c>
      <c r="AU207" s="567">
        <v>0.15</v>
      </c>
      <c r="AV207" s="567">
        <v>1</v>
      </c>
      <c r="AW207" s="568" t="s">
        <v>1174</v>
      </c>
      <c r="AX207" s="567">
        <v>150</v>
      </c>
      <c r="AY207" s="567">
        <v>0.13</v>
      </c>
      <c r="AZ207" s="568" t="s">
        <v>107</v>
      </c>
      <c r="BA207" s="567">
        <v>0</v>
      </c>
      <c r="BB207" s="567">
        <v>0</v>
      </c>
    </row>
    <row r="208" spans="39:55" ht="16.5" hidden="1" customHeight="1">
      <c r="AM208" s="565" t="s">
        <v>1178</v>
      </c>
      <c r="AN208" s="566" t="s">
        <v>1179</v>
      </c>
      <c r="AO208" s="570" t="s">
        <v>1180</v>
      </c>
      <c r="AP208" s="571">
        <v>61300</v>
      </c>
      <c r="AQ208" s="571">
        <v>0.5</v>
      </c>
      <c r="AR208" s="571">
        <v>10000</v>
      </c>
      <c r="AS208" s="571">
        <v>0.06</v>
      </c>
      <c r="AT208" s="571">
        <v>0.8</v>
      </c>
      <c r="AU208" s="571">
        <v>0</v>
      </c>
      <c r="AV208" s="571">
        <v>0</v>
      </c>
      <c r="AW208" s="572" t="s">
        <v>107</v>
      </c>
      <c r="AX208" s="571">
        <v>0</v>
      </c>
      <c r="AY208" s="571">
        <v>0</v>
      </c>
      <c r="AZ208" s="572" t="s">
        <v>107</v>
      </c>
      <c r="BA208" s="571">
        <v>0</v>
      </c>
      <c r="BB208" s="571">
        <v>0</v>
      </c>
      <c r="BC208" s="573"/>
    </row>
    <row r="209" spans="39:54" ht="16.5" hidden="1" customHeight="1">
      <c r="AM209" s="565" t="s">
        <v>1181</v>
      </c>
      <c r="AN209" s="566" t="s">
        <v>1182</v>
      </c>
      <c r="AO209" s="566" t="s">
        <v>1183</v>
      </c>
      <c r="AP209" s="567">
        <v>48900</v>
      </c>
      <c r="AQ209" s="567">
        <v>0.5</v>
      </c>
      <c r="AR209" s="567">
        <v>10000</v>
      </c>
      <c r="AS209" s="567">
        <v>0.06</v>
      </c>
      <c r="AT209" s="567">
        <v>0.8</v>
      </c>
      <c r="AU209" s="567">
        <v>0</v>
      </c>
      <c r="AV209" s="567">
        <v>0</v>
      </c>
      <c r="AW209" s="568" t="s">
        <v>107</v>
      </c>
      <c r="AX209" s="567">
        <v>0</v>
      </c>
      <c r="AY209" s="567">
        <v>0</v>
      </c>
      <c r="AZ209" s="568" t="s">
        <v>107</v>
      </c>
      <c r="BA209" s="567">
        <v>0</v>
      </c>
      <c r="BB209" s="567">
        <v>0</v>
      </c>
    </row>
    <row r="210" spans="39:54" ht="16.5" hidden="1" customHeight="1">
      <c r="AM210" s="565" t="s">
        <v>1184</v>
      </c>
      <c r="AN210" s="566" t="s">
        <v>1185</v>
      </c>
      <c r="AO210" s="566" t="s">
        <v>1186</v>
      </c>
      <c r="AP210" s="567">
        <v>29000</v>
      </c>
      <c r="AQ210" s="567">
        <v>0.5</v>
      </c>
      <c r="AR210" s="567">
        <v>10000</v>
      </c>
      <c r="AS210" s="567">
        <v>0.06</v>
      </c>
      <c r="AT210" s="567">
        <v>0.8</v>
      </c>
      <c r="AU210" s="567">
        <v>0</v>
      </c>
      <c r="AV210" s="567">
        <v>0</v>
      </c>
      <c r="AW210" s="568" t="s">
        <v>107</v>
      </c>
      <c r="AX210" s="567">
        <v>0</v>
      </c>
      <c r="AY210" s="567">
        <v>0</v>
      </c>
      <c r="AZ210" s="568" t="s">
        <v>107</v>
      </c>
      <c r="BA210" s="567">
        <v>0</v>
      </c>
      <c r="BB210" s="567">
        <v>0</v>
      </c>
    </row>
    <row r="211" spans="39:54" ht="16.5" hidden="1" customHeight="1">
      <c r="AM211" s="565" t="s">
        <v>1187</v>
      </c>
      <c r="AN211" s="566" t="s">
        <v>1188</v>
      </c>
      <c r="AO211" s="566" t="s">
        <v>1189</v>
      </c>
      <c r="AP211" s="567">
        <v>824423.76049999997</v>
      </c>
      <c r="AQ211" s="567">
        <v>0.35</v>
      </c>
      <c r="AR211" s="567">
        <v>10000</v>
      </c>
      <c r="AS211" s="567">
        <v>0.06</v>
      </c>
      <c r="AT211" s="567">
        <v>0.8</v>
      </c>
      <c r="AU211" s="567">
        <v>0.15</v>
      </c>
      <c r="AV211" s="567">
        <v>1</v>
      </c>
      <c r="AW211" s="568" t="s">
        <v>1190</v>
      </c>
      <c r="AX211" s="567">
        <v>200</v>
      </c>
      <c r="AY211" s="567">
        <v>0.13</v>
      </c>
      <c r="AZ211" s="568" t="s">
        <v>1191</v>
      </c>
      <c r="BA211" s="567">
        <v>19019.13</v>
      </c>
      <c r="BB211" s="567">
        <v>6.4999999999999997E-4</v>
      </c>
    </row>
    <row r="212" spans="39:54" ht="16.5" hidden="1" customHeight="1">
      <c r="AM212" s="565"/>
      <c r="AN212" s="566"/>
      <c r="AO212" s="566"/>
      <c r="AP212" s="567"/>
      <c r="AQ212" s="567"/>
      <c r="AR212" s="567"/>
      <c r="AS212" s="567"/>
      <c r="AT212" s="567"/>
      <c r="AU212" s="567"/>
      <c r="AV212" s="567"/>
      <c r="AW212" s="568"/>
      <c r="AX212" s="567"/>
      <c r="AY212" s="567"/>
      <c r="AZ212" s="568" t="s">
        <v>1192</v>
      </c>
      <c r="BA212" s="567">
        <v>1655.614</v>
      </c>
      <c r="BB212" s="567">
        <v>3.3333325581395346E-2</v>
      </c>
    </row>
    <row r="213" spans="39:54" ht="16.5" hidden="1" customHeight="1">
      <c r="AM213" s="565"/>
      <c r="AN213" s="566"/>
      <c r="AO213" s="566"/>
      <c r="AP213" s="574"/>
      <c r="AQ213" s="567"/>
      <c r="AR213" s="567"/>
      <c r="AS213" s="567"/>
      <c r="AT213" s="567"/>
      <c r="AU213" s="567"/>
      <c r="AV213" s="567"/>
      <c r="AW213" s="568"/>
      <c r="AX213" s="567"/>
      <c r="AY213" s="567"/>
      <c r="AZ213" s="568" t="s">
        <v>1193</v>
      </c>
      <c r="BA213" s="567">
        <v>14274.19</v>
      </c>
      <c r="BB213" s="567">
        <v>2E-3</v>
      </c>
    </row>
    <row r="214" spans="39:54" ht="16.5" hidden="1" customHeight="1">
      <c r="AM214" s="565" t="s">
        <v>1194</v>
      </c>
      <c r="AN214" s="566" t="s">
        <v>1195</v>
      </c>
      <c r="AO214" s="566" t="s">
        <v>1196</v>
      </c>
      <c r="AP214" s="567">
        <v>1444.3142</v>
      </c>
      <c r="AQ214" s="567">
        <v>0.25</v>
      </c>
      <c r="AR214" s="567">
        <v>5000</v>
      </c>
      <c r="AS214" s="567">
        <v>0.06</v>
      </c>
      <c r="AT214" s="567">
        <v>0.4</v>
      </c>
      <c r="AU214" s="567">
        <v>0</v>
      </c>
      <c r="AV214" s="567">
        <v>0</v>
      </c>
      <c r="AW214" s="568" t="s">
        <v>107</v>
      </c>
      <c r="AX214" s="567">
        <v>0</v>
      </c>
      <c r="AY214" s="567">
        <v>0</v>
      </c>
      <c r="AZ214" s="568" t="s">
        <v>1016</v>
      </c>
      <c r="BA214" s="567">
        <v>0.2944</v>
      </c>
      <c r="BB214" s="567">
        <v>0.38</v>
      </c>
    </row>
    <row r="215" spans="39:54" ht="16.5" hidden="1" customHeight="1">
      <c r="AM215" s="565">
        <v>94240</v>
      </c>
      <c r="AN215" s="566" t="s">
        <v>1197</v>
      </c>
      <c r="AO215" s="566" t="s">
        <v>1198</v>
      </c>
      <c r="AP215" s="567">
        <v>61788.076699999998</v>
      </c>
      <c r="AQ215" s="567">
        <v>0.35</v>
      </c>
      <c r="AR215" s="567">
        <v>12000</v>
      </c>
      <c r="AS215" s="567">
        <v>0.06</v>
      </c>
      <c r="AT215" s="567">
        <v>0.8</v>
      </c>
      <c r="AU215" s="567">
        <v>0.15</v>
      </c>
      <c r="AV215" s="567">
        <v>0.2</v>
      </c>
      <c r="AW215" s="575">
        <v>2205</v>
      </c>
      <c r="AX215" s="567">
        <v>182</v>
      </c>
      <c r="AY215" s="567">
        <v>0.15</v>
      </c>
      <c r="AZ215" s="568"/>
      <c r="BA215" s="567">
        <v>0</v>
      </c>
      <c r="BB215" s="567">
        <v>0</v>
      </c>
    </row>
    <row r="216" spans="39:54" ht="16.5" hidden="1" customHeight="1">
      <c r="AM216" s="565">
        <v>94241</v>
      </c>
      <c r="AN216" s="566" t="s">
        <v>1199</v>
      </c>
      <c r="AO216" s="566" t="s">
        <v>1200</v>
      </c>
      <c r="AP216" s="567">
        <v>80405.273300000001</v>
      </c>
      <c r="AQ216" s="567">
        <v>0.35</v>
      </c>
      <c r="AR216" s="567">
        <v>12000</v>
      </c>
      <c r="AS216" s="567">
        <v>0.06</v>
      </c>
      <c r="AT216" s="567">
        <v>0.8</v>
      </c>
      <c r="AU216" s="567">
        <v>0.15</v>
      </c>
      <c r="AV216" s="567">
        <v>0.2</v>
      </c>
      <c r="AW216" s="575">
        <v>2205</v>
      </c>
      <c r="AX216" s="567">
        <v>279</v>
      </c>
      <c r="AY216" s="567">
        <v>0.15</v>
      </c>
      <c r="AZ216" s="568"/>
      <c r="BA216" s="567">
        <v>0</v>
      </c>
      <c r="BB216" s="567">
        <v>0</v>
      </c>
    </row>
    <row r="217" spans="39:54" ht="16.5" hidden="1" customHeight="1">
      <c r="AM217" s="565">
        <v>94242</v>
      </c>
      <c r="AN217" s="566" t="s">
        <v>1201</v>
      </c>
      <c r="AO217" s="566" t="s">
        <v>1202</v>
      </c>
      <c r="AP217" s="567">
        <v>129451.71</v>
      </c>
      <c r="AQ217" s="567">
        <v>0.35</v>
      </c>
      <c r="AR217" s="567">
        <v>12000</v>
      </c>
      <c r="AS217" s="567">
        <v>0.06</v>
      </c>
      <c r="AT217" s="567">
        <v>0.8</v>
      </c>
      <c r="AU217" s="567">
        <v>0.15</v>
      </c>
      <c r="AV217" s="567">
        <v>0.2</v>
      </c>
      <c r="AW217" s="575">
        <v>2205</v>
      </c>
      <c r="AX217" s="567">
        <v>386</v>
      </c>
      <c r="AY217" s="567">
        <v>0.15</v>
      </c>
      <c r="AZ217" s="568"/>
      <c r="BA217" s="567">
        <v>0</v>
      </c>
      <c r="BB217" s="567">
        <v>0</v>
      </c>
    </row>
    <row r="218" spans="39:54" ht="16.5" hidden="1" customHeight="1">
      <c r="AM218" s="565">
        <v>94243</v>
      </c>
      <c r="AN218" s="566" t="s">
        <v>1203</v>
      </c>
      <c r="AO218" s="566" t="s">
        <v>1204</v>
      </c>
      <c r="AP218" s="567">
        <v>38370.443299999999</v>
      </c>
      <c r="AQ218" s="567">
        <v>0.35</v>
      </c>
      <c r="AR218" s="567">
        <v>12000</v>
      </c>
      <c r="AS218" s="567">
        <v>0.06</v>
      </c>
      <c r="AT218" s="567">
        <v>0.8</v>
      </c>
      <c r="AU218" s="567">
        <v>0.15</v>
      </c>
      <c r="AV218" s="567">
        <v>0.2</v>
      </c>
      <c r="AW218" s="575">
        <v>2205</v>
      </c>
      <c r="AX218" s="567">
        <v>87</v>
      </c>
      <c r="AY218" s="567">
        <v>0.15</v>
      </c>
      <c r="AZ218" s="568"/>
      <c r="BA218" s="567">
        <v>0</v>
      </c>
      <c r="BB218" s="567">
        <v>0</v>
      </c>
    </row>
    <row r="219" spans="39:54" ht="16.5" hidden="1" customHeight="1">
      <c r="AM219" s="565" t="s">
        <v>1205</v>
      </c>
      <c r="AN219" s="566" t="s">
        <v>1206</v>
      </c>
      <c r="AO219" s="566" t="s">
        <v>1108</v>
      </c>
      <c r="AP219" s="567">
        <v>3825.2512999999999</v>
      </c>
      <c r="AQ219" s="567">
        <v>0.25</v>
      </c>
      <c r="AR219" s="567">
        <v>8000</v>
      </c>
      <c r="AS219" s="567">
        <v>0.06</v>
      </c>
      <c r="AT219" s="567">
        <v>0.5</v>
      </c>
      <c r="AU219" s="567">
        <v>0</v>
      </c>
      <c r="AV219" s="567">
        <v>0</v>
      </c>
      <c r="AW219" s="568" t="s">
        <v>107</v>
      </c>
      <c r="AX219" s="567">
        <v>0</v>
      </c>
      <c r="AY219" s="567">
        <v>0</v>
      </c>
      <c r="AZ219" s="568" t="s">
        <v>1016</v>
      </c>
      <c r="BA219" s="567">
        <v>0.2944</v>
      </c>
      <c r="BB219" s="567">
        <v>2.238</v>
      </c>
    </row>
    <row r="220" spans="39:54" ht="16.5" hidden="1" customHeight="1">
      <c r="AM220" s="565" t="s">
        <v>1207</v>
      </c>
      <c r="AN220" s="566" t="s">
        <v>1208</v>
      </c>
      <c r="AO220" s="566" t="s">
        <v>1209</v>
      </c>
      <c r="AP220" s="567">
        <v>817222.25100000005</v>
      </c>
      <c r="AQ220" s="567">
        <v>0.35</v>
      </c>
      <c r="AR220" s="567">
        <v>16000</v>
      </c>
      <c r="AS220" s="567">
        <v>0.06</v>
      </c>
      <c r="AT220" s="567">
        <v>0.8</v>
      </c>
      <c r="AU220" s="567">
        <v>0.15</v>
      </c>
      <c r="AV220" s="567">
        <v>1</v>
      </c>
      <c r="AW220" s="568" t="s">
        <v>1061</v>
      </c>
      <c r="AX220" s="567">
        <v>140</v>
      </c>
      <c r="AY220" s="567">
        <v>0.13</v>
      </c>
      <c r="AZ220" s="568" t="s">
        <v>1210</v>
      </c>
      <c r="BA220" s="569">
        <v>6999.66</v>
      </c>
      <c r="BB220" s="567">
        <v>2.2000000000000001E-3</v>
      </c>
    </row>
    <row r="221" spans="39:54" ht="16.5" hidden="1" customHeight="1">
      <c r="AM221" s="565" t="s">
        <v>1211</v>
      </c>
      <c r="AN221" s="566" t="s">
        <v>1212</v>
      </c>
      <c r="AO221" s="566" t="s">
        <v>1213</v>
      </c>
      <c r="AP221" s="567">
        <v>2970000</v>
      </c>
      <c r="AQ221" s="567">
        <v>0.35</v>
      </c>
      <c r="AR221" s="567">
        <v>16000</v>
      </c>
      <c r="AS221" s="567">
        <v>0.06</v>
      </c>
      <c r="AT221" s="567">
        <v>0.8</v>
      </c>
      <c r="AU221" s="567">
        <v>0.15</v>
      </c>
      <c r="AV221" s="567">
        <v>1</v>
      </c>
      <c r="AW221" s="568" t="s">
        <v>1061</v>
      </c>
      <c r="AX221" s="567">
        <v>450</v>
      </c>
      <c r="AY221" s="567">
        <v>0.12</v>
      </c>
      <c r="AZ221" s="568" t="s">
        <v>1214</v>
      </c>
      <c r="BA221" s="569">
        <v>10582.6</v>
      </c>
      <c r="BB221" s="567">
        <v>3.0000000000000001E-3</v>
      </c>
    </row>
    <row r="222" spans="39:54" ht="16.5" hidden="1" customHeight="1">
      <c r="AM222" s="565" t="s">
        <v>1215</v>
      </c>
      <c r="AN222" s="568" t="s">
        <v>1216</v>
      </c>
      <c r="AO222" s="568" t="s">
        <v>1217</v>
      </c>
      <c r="AP222" s="567">
        <v>1650000</v>
      </c>
      <c r="AQ222" s="567">
        <v>0.35</v>
      </c>
      <c r="AR222" s="567">
        <v>16000</v>
      </c>
      <c r="AS222" s="567">
        <v>0.06</v>
      </c>
      <c r="AT222" s="567">
        <v>0.8</v>
      </c>
      <c r="AU222" s="567">
        <v>0.15</v>
      </c>
      <c r="AV222" s="567">
        <v>1</v>
      </c>
      <c r="AW222" s="568" t="s">
        <v>1061</v>
      </c>
      <c r="AX222" s="567">
        <v>250</v>
      </c>
      <c r="AY222" s="567">
        <v>0.12</v>
      </c>
      <c r="AZ222" s="568" t="s">
        <v>1218</v>
      </c>
      <c r="BA222" s="567">
        <v>1840</v>
      </c>
      <c r="BB222" s="567">
        <v>3.5999999999999999E-3</v>
      </c>
    </row>
    <row r="223" spans="39:54" ht="16.5" hidden="1" customHeight="1">
      <c r="AM223" s="565" t="s">
        <v>1219</v>
      </c>
      <c r="AN223" s="566" t="s">
        <v>1220</v>
      </c>
      <c r="AO223" s="566" t="s">
        <v>1221</v>
      </c>
      <c r="AP223" s="567">
        <v>3069.3249999999998</v>
      </c>
      <c r="AQ223" s="567">
        <v>0.25</v>
      </c>
      <c r="AR223" s="567">
        <v>8000</v>
      </c>
      <c r="AS223" s="567">
        <v>0.06</v>
      </c>
      <c r="AT223" s="567">
        <v>0.5</v>
      </c>
      <c r="AU223" s="567">
        <v>0</v>
      </c>
      <c r="AV223" s="567">
        <v>0</v>
      </c>
      <c r="AW223" s="568" t="s">
        <v>107</v>
      </c>
      <c r="AX223" s="567">
        <v>0</v>
      </c>
      <c r="AY223" s="567">
        <v>0</v>
      </c>
      <c r="AZ223" s="568" t="s">
        <v>1016</v>
      </c>
      <c r="BA223" s="567">
        <v>0.2944</v>
      </c>
      <c r="BB223" s="567">
        <v>2.2000000000000002</v>
      </c>
    </row>
    <row r="224" spans="39:54" ht="16.5" hidden="1" customHeight="1">
      <c r="AM224" s="565" t="s">
        <v>1222</v>
      </c>
      <c r="AN224" s="566" t="s">
        <v>1223</v>
      </c>
      <c r="AO224" s="566" t="s">
        <v>1224</v>
      </c>
      <c r="AP224" s="567">
        <v>801.80830000000003</v>
      </c>
      <c r="AQ224" s="567">
        <v>0.25</v>
      </c>
      <c r="AR224" s="567">
        <v>10000</v>
      </c>
      <c r="AS224" s="567">
        <v>0.06</v>
      </c>
      <c r="AT224" s="567">
        <v>0.5</v>
      </c>
      <c r="AU224" s="567">
        <v>0</v>
      </c>
      <c r="AV224" s="567">
        <v>0</v>
      </c>
      <c r="AW224" s="568" t="s">
        <v>107</v>
      </c>
      <c r="AX224" s="567">
        <v>0</v>
      </c>
      <c r="AY224" s="567">
        <v>0</v>
      </c>
      <c r="AZ224" s="568" t="s">
        <v>1016</v>
      </c>
      <c r="BA224" s="567">
        <v>0.2944</v>
      </c>
      <c r="BB224" s="567">
        <v>2.1</v>
      </c>
    </row>
    <row r="225" spans="39:54" ht="16.5" hidden="1" customHeight="1">
      <c r="AM225" s="565" t="s">
        <v>1225</v>
      </c>
      <c r="AN225" s="566" t="s">
        <v>1226</v>
      </c>
      <c r="AO225" s="566" t="s">
        <v>1227</v>
      </c>
      <c r="AP225" s="567">
        <v>72982.967000000004</v>
      </c>
      <c r="AQ225" s="567">
        <v>0.25</v>
      </c>
      <c r="AR225" s="567">
        <v>6000</v>
      </c>
      <c r="AS225" s="567">
        <v>0.06</v>
      </c>
      <c r="AT225" s="567">
        <v>0.7</v>
      </c>
      <c r="AU225" s="567">
        <v>0</v>
      </c>
      <c r="AV225" s="567">
        <v>0</v>
      </c>
      <c r="AW225" s="568" t="s">
        <v>107</v>
      </c>
      <c r="AX225" s="567">
        <v>0</v>
      </c>
      <c r="AY225" s="567">
        <v>0</v>
      </c>
      <c r="AZ225" s="568" t="s">
        <v>1016</v>
      </c>
      <c r="BA225" s="567">
        <v>0.2944</v>
      </c>
      <c r="BB225" s="567">
        <v>18.399999999999999</v>
      </c>
    </row>
    <row r="226" spans="39:54" ht="16.5" hidden="1" customHeight="1">
      <c r="AM226" s="565" t="s">
        <v>1228</v>
      </c>
      <c r="AN226" s="566" t="s">
        <v>1229</v>
      </c>
      <c r="AO226" s="566" t="s">
        <v>1230</v>
      </c>
      <c r="AP226" s="567">
        <v>27294.190399999999</v>
      </c>
      <c r="AQ226" s="567">
        <v>0.25</v>
      </c>
      <c r="AR226" s="567">
        <v>6000</v>
      </c>
      <c r="AS226" s="567">
        <v>0.06</v>
      </c>
      <c r="AT226" s="567">
        <v>0.7</v>
      </c>
      <c r="AU226" s="567">
        <v>0</v>
      </c>
      <c r="AV226" s="567">
        <v>0</v>
      </c>
      <c r="AW226" s="568" t="s">
        <v>107</v>
      </c>
      <c r="AX226" s="567">
        <v>0</v>
      </c>
      <c r="AY226" s="567">
        <v>0</v>
      </c>
      <c r="AZ226" s="568" t="s">
        <v>1016</v>
      </c>
      <c r="BA226" s="567">
        <v>0.2944</v>
      </c>
      <c r="BB226" s="567">
        <v>7.36</v>
      </c>
    </row>
    <row r="227" spans="39:54" ht="16.5" hidden="1" customHeight="1">
      <c r="AM227" s="565" t="s">
        <v>1231</v>
      </c>
      <c r="AN227" s="566" t="s">
        <v>1232</v>
      </c>
      <c r="AO227" s="566" t="s">
        <v>1233</v>
      </c>
      <c r="AP227" s="567">
        <v>27495.395</v>
      </c>
      <c r="AQ227" s="567">
        <v>0.25</v>
      </c>
      <c r="AR227" s="567">
        <v>6000</v>
      </c>
      <c r="AS227" s="567">
        <v>0.06</v>
      </c>
      <c r="AT227" s="567">
        <v>0.7</v>
      </c>
      <c r="AU227" s="567">
        <v>0</v>
      </c>
      <c r="AV227" s="567">
        <v>0</v>
      </c>
      <c r="AW227" s="568" t="s">
        <v>107</v>
      </c>
      <c r="AX227" s="567">
        <v>0</v>
      </c>
      <c r="AY227" s="567">
        <v>0</v>
      </c>
      <c r="AZ227" s="568" t="s">
        <v>1016</v>
      </c>
      <c r="BA227" s="567">
        <v>0.2944</v>
      </c>
      <c r="BB227" s="567">
        <v>7.36</v>
      </c>
    </row>
    <row r="228" spans="39:54" ht="16.5" hidden="1" customHeight="1">
      <c r="AM228" s="565" t="s">
        <v>1234</v>
      </c>
      <c r="AN228" s="566" t="s">
        <v>1235</v>
      </c>
      <c r="AO228" s="566" t="s">
        <v>1236</v>
      </c>
      <c r="AP228" s="567">
        <v>8084</v>
      </c>
      <c r="AQ228" s="567">
        <v>0.25</v>
      </c>
      <c r="AR228" s="567">
        <v>10000</v>
      </c>
      <c r="AS228" s="567">
        <v>0.06</v>
      </c>
      <c r="AT228" s="567">
        <v>0.5</v>
      </c>
      <c r="AU228" s="567">
        <v>0</v>
      </c>
      <c r="AV228" s="567">
        <v>0</v>
      </c>
      <c r="AW228" s="568" t="s">
        <v>107</v>
      </c>
      <c r="AX228" s="567">
        <v>0</v>
      </c>
      <c r="AY228" s="567">
        <v>0</v>
      </c>
      <c r="AZ228" s="568" t="s">
        <v>1016</v>
      </c>
      <c r="BA228" s="567">
        <v>0.2944</v>
      </c>
      <c r="BB228" s="567">
        <v>15.4</v>
      </c>
    </row>
    <row r="229" spans="39:54" ht="16.5" hidden="1" customHeight="1">
      <c r="AM229" s="565" t="s">
        <v>1237</v>
      </c>
      <c r="AN229" s="566" t="s">
        <v>1238</v>
      </c>
      <c r="AO229" s="566" t="s">
        <v>1239</v>
      </c>
      <c r="AP229" s="567">
        <v>6129.2875000000004</v>
      </c>
      <c r="AQ229" s="567">
        <v>0.25</v>
      </c>
      <c r="AR229" s="567">
        <v>10000</v>
      </c>
      <c r="AS229" s="567">
        <v>0.06</v>
      </c>
      <c r="AT229" s="567">
        <v>0.6</v>
      </c>
      <c r="AU229" s="567">
        <v>0</v>
      </c>
      <c r="AV229" s="567">
        <v>0</v>
      </c>
      <c r="AW229" s="568" t="s">
        <v>107</v>
      </c>
      <c r="AX229" s="567">
        <v>0</v>
      </c>
      <c r="AY229" s="567">
        <v>0</v>
      </c>
      <c r="AZ229" s="568" t="s">
        <v>1016</v>
      </c>
      <c r="BA229" s="567">
        <v>0.2944</v>
      </c>
      <c r="BB229" s="567">
        <v>1.456</v>
      </c>
    </row>
    <row r="230" spans="39:54" ht="16.5" hidden="1" customHeight="1">
      <c r="AM230" s="565" t="s">
        <v>1240</v>
      </c>
      <c r="AN230" s="568" t="s">
        <v>1241</v>
      </c>
      <c r="AO230" s="568" t="s">
        <v>1242</v>
      </c>
      <c r="AP230" s="567">
        <v>3030.1127000000001</v>
      </c>
      <c r="AQ230" s="567">
        <v>0.3</v>
      </c>
      <c r="AR230" s="567">
        <v>10000</v>
      </c>
      <c r="AS230" s="567">
        <v>0.06</v>
      </c>
      <c r="AT230" s="567">
        <v>0.4</v>
      </c>
      <c r="AU230" s="567">
        <v>0</v>
      </c>
      <c r="AV230" s="567">
        <v>1</v>
      </c>
      <c r="AW230" s="568" t="s">
        <v>1070</v>
      </c>
      <c r="AX230" s="567">
        <v>0</v>
      </c>
      <c r="AY230" s="567">
        <v>0</v>
      </c>
      <c r="AZ230" s="568" t="s">
        <v>1016</v>
      </c>
      <c r="BA230" s="567">
        <v>0.2944</v>
      </c>
      <c r="BB230" s="567">
        <v>1.5</v>
      </c>
    </row>
    <row r="231" spans="39:54" ht="16.5" hidden="1" customHeight="1">
      <c r="AM231" s="565" t="s">
        <v>1243</v>
      </c>
      <c r="AN231" s="568" t="s">
        <v>1244</v>
      </c>
      <c r="AO231" s="568" t="s">
        <v>1245</v>
      </c>
      <c r="AP231" s="567">
        <v>151000</v>
      </c>
      <c r="AQ231" s="567">
        <v>0.25</v>
      </c>
      <c r="AR231" s="567">
        <v>14000</v>
      </c>
      <c r="AS231" s="567">
        <v>0.06</v>
      </c>
      <c r="AT231" s="567">
        <v>1</v>
      </c>
      <c r="AU231" s="567">
        <v>0</v>
      </c>
      <c r="AV231" s="567">
        <v>1</v>
      </c>
      <c r="AW231" s="568" t="s">
        <v>1100</v>
      </c>
      <c r="AX231" s="567">
        <v>0</v>
      </c>
      <c r="AY231" s="567">
        <v>0</v>
      </c>
      <c r="AZ231" s="568" t="s">
        <v>107</v>
      </c>
      <c r="BA231" s="567">
        <v>0</v>
      </c>
      <c r="BB231" s="567">
        <v>0</v>
      </c>
    </row>
    <row r="232" spans="39:54" ht="16.5" hidden="1" customHeight="1">
      <c r="AM232" s="565" t="s">
        <v>1246</v>
      </c>
      <c r="AN232" s="566" t="s">
        <v>1247</v>
      </c>
      <c r="AO232" s="566" t="s">
        <v>1248</v>
      </c>
      <c r="AP232" s="567">
        <v>372375</v>
      </c>
      <c r="AQ232" s="567">
        <v>0.3</v>
      </c>
      <c r="AR232" s="567">
        <v>10000</v>
      </c>
      <c r="AS232" s="567">
        <v>0.06</v>
      </c>
      <c r="AT232" s="567">
        <v>0.8</v>
      </c>
      <c r="AU232" s="567">
        <v>0.15</v>
      </c>
      <c r="AV232" s="567">
        <v>1</v>
      </c>
      <c r="AW232" s="568" t="s">
        <v>1174</v>
      </c>
      <c r="AX232" s="567">
        <v>56</v>
      </c>
      <c r="AY232" s="567">
        <v>0.13</v>
      </c>
      <c r="AZ232" s="568" t="s">
        <v>107</v>
      </c>
      <c r="BA232" s="567">
        <v>0</v>
      </c>
      <c r="BB232" s="567">
        <v>0</v>
      </c>
    </row>
    <row r="233" spans="39:54" ht="16.5" hidden="1" customHeight="1">
      <c r="AM233" s="565" t="s">
        <v>1249</v>
      </c>
      <c r="AN233" s="568" t="s">
        <v>1250</v>
      </c>
      <c r="AO233" s="568" t="s">
        <v>1251</v>
      </c>
      <c r="AP233" s="567">
        <v>86465.909100000004</v>
      </c>
      <c r="AQ233" s="567">
        <v>0.35</v>
      </c>
      <c r="AR233" s="567">
        <v>10000</v>
      </c>
      <c r="AS233" s="567">
        <v>0.06</v>
      </c>
      <c r="AT233" s="567">
        <v>0.8</v>
      </c>
      <c r="AU233" s="567">
        <v>0.15</v>
      </c>
      <c r="AV233" s="567">
        <v>1</v>
      </c>
      <c r="AW233" s="568" t="s">
        <v>1043</v>
      </c>
      <c r="AX233" s="567">
        <v>59</v>
      </c>
      <c r="AY233" s="567">
        <v>0.1</v>
      </c>
      <c r="AZ233" s="568" t="s">
        <v>107</v>
      </c>
      <c r="BA233" s="567">
        <v>0</v>
      </c>
      <c r="BB233" s="567">
        <v>0</v>
      </c>
    </row>
    <row r="234" spans="39:54" ht="16.5" hidden="1" customHeight="1">
      <c r="AM234" s="565" t="s">
        <v>1252</v>
      </c>
      <c r="AN234" s="568" t="s">
        <v>1253</v>
      </c>
      <c r="AO234" s="568" t="s">
        <v>1254</v>
      </c>
      <c r="AP234" s="567">
        <v>119125.909</v>
      </c>
      <c r="AQ234" s="567">
        <v>0.35</v>
      </c>
      <c r="AR234" s="567">
        <v>10000</v>
      </c>
      <c r="AS234" s="567">
        <v>0.06</v>
      </c>
      <c r="AT234" s="567">
        <v>0.8</v>
      </c>
      <c r="AU234" s="567">
        <v>0.15</v>
      </c>
      <c r="AV234" s="567">
        <v>1</v>
      </c>
      <c r="AW234" s="568" t="s">
        <v>1174</v>
      </c>
      <c r="AX234" s="567">
        <v>27</v>
      </c>
      <c r="AY234" s="567">
        <v>0.1</v>
      </c>
      <c r="AZ234" s="568" t="s">
        <v>107</v>
      </c>
      <c r="BA234" s="567">
        <v>0</v>
      </c>
      <c r="BB234" s="567">
        <v>0</v>
      </c>
    </row>
    <row r="235" spans="39:54" ht="16.5" hidden="1" customHeight="1">
      <c r="AM235" s="565" t="s">
        <v>1255</v>
      </c>
      <c r="AN235" s="566" t="s">
        <v>1256</v>
      </c>
      <c r="AO235" s="566" t="s">
        <v>1257</v>
      </c>
      <c r="AP235" s="567">
        <v>67130</v>
      </c>
      <c r="AQ235" s="567">
        <v>0.25</v>
      </c>
      <c r="AR235" s="567">
        <v>8000</v>
      </c>
      <c r="AS235" s="567">
        <v>0.06</v>
      </c>
      <c r="AT235" s="567">
        <v>0.6</v>
      </c>
      <c r="AU235" s="567">
        <v>0</v>
      </c>
      <c r="AV235" s="567">
        <v>0</v>
      </c>
      <c r="AW235" s="568" t="s">
        <v>107</v>
      </c>
      <c r="AX235" s="567">
        <v>0</v>
      </c>
      <c r="AY235" s="567">
        <v>0</v>
      </c>
      <c r="AZ235" s="568" t="s">
        <v>1016</v>
      </c>
      <c r="BA235" s="567">
        <v>0.2944</v>
      </c>
      <c r="BB235" s="567">
        <v>2.25</v>
      </c>
    </row>
    <row r="236" spans="39:54" ht="16.5" hidden="1" customHeight="1">
      <c r="AM236" s="565" t="s">
        <v>1258</v>
      </c>
      <c r="AN236" s="566" t="s">
        <v>1259</v>
      </c>
      <c r="AO236" s="566" t="s">
        <v>1260</v>
      </c>
      <c r="AP236" s="567">
        <v>15500</v>
      </c>
      <c r="AQ236" s="567">
        <v>0.5</v>
      </c>
      <c r="AR236" s="567">
        <v>10000</v>
      </c>
      <c r="AS236" s="567">
        <v>0.06</v>
      </c>
      <c r="AT236" s="567">
        <v>0.8</v>
      </c>
      <c r="AU236" s="567">
        <v>0</v>
      </c>
      <c r="AV236" s="567">
        <v>0</v>
      </c>
      <c r="AW236" s="568" t="s">
        <v>107</v>
      </c>
      <c r="AX236" s="567">
        <v>0</v>
      </c>
      <c r="AY236" s="567">
        <v>0</v>
      </c>
      <c r="AZ236" s="568" t="s">
        <v>107</v>
      </c>
      <c r="BA236" s="567">
        <v>0</v>
      </c>
      <c r="BB236" s="567">
        <v>0</v>
      </c>
    </row>
    <row r="237" spans="39:54" ht="16.5" hidden="1" customHeight="1">
      <c r="AM237" s="565" t="s">
        <v>1261</v>
      </c>
      <c r="AN237" s="566" t="s">
        <v>1262</v>
      </c>
      <c r="AO237" s="566" t="s">
        <v>1263</v>
      </c>
      <c r="AP237" s="567">
        <v>9200</v>
      </c>
      <c r="AQ237" s="567">
        <v>0.5</v>
      </c>
      <c r="AR237" s="567">
        <v>10000</v>
      </c>
      <c r="AS237" s="567">
        <v>0.06</v>
      </c>
      <c r="AT237" s="567">
        <v>0.8</v>
      </c>
      <c r="AU237" s="567">
        <v>0</v>
      </c>
      <c r="AV237" s="567">
        <v>0</v>
      </c>
      <c r="AW237" s="568" t="s">
        <v>107</v>
      </c>
      <c r="AX237" s="567">
        <v>0</v>
      </c>
      <c r="AY237" s="567">
        <v>0</v>
      </c>
      <c r="AZ237" s="568" t="s">
        <v>107</v>
      </c>
      <c r="BA237" s="567">
        <v>0</v>
      </c>
      <c r="BB237" s="567">
        <v>0</v>
      </c>
    </row>
    <row r="238" spans="39:54" ht="16.5" hidden="1" customHeight="1">
      <c r="AM238" s="565" t="s">
        <v>1264</v>
      </c>
      <c r="AN238" s="566" t="s">
        <v>1265</v>
      </c>
      <c r="AO238" s="566" t="s">
        <v>1266</v>
      </c>
      <c r="AP238" s="567">
        <v>3300</v>
      </c>
      <c r="AQ238" s="567">
        <v>0.5</v>
      </c>
      <c r="AR238" s="567">
        <v>10000</v>
      </c>
      <c r="AS238" s="567">
        <v>0.06</v>
      </c>
      <c r="AT238" s="567">
        <v>0.8</v>
      </c>
      <c r="AU238" s="567">
        <v>0</v>
      </c>
      <c r="AV238" s="567">
        <v>0</v>
      </c>
      <c r="AW238" s="568" t="s">
        <v>107</v>
      </c>
      <c r="AX238" s="567">
        <v>0</v>
      </c>
      <c r="AY238" s="567">
        <v>0</v>
      </c>
      <c r="AZ238" s="568" t="s">
        <v>107</v>
      </c>
      <c r="BA238" s="567">
        <v>0</v>
      </c>
      <c r="BB238" s="567">
        <v>0</v>
      </c>
    </row>
    <row r="239" spans="39:54" ht="16.5" hidden="1" customHeight="1">
      <c r="AM239" s="565" t="s">
        <v>1267</v>
      </c>
      <c r="AN239" s="566" t="s">
        <v>1268</v>
      </c>
      <c r="AO239" s="566" t="s">
        <v>1269</v>
      </c>
      <c r="AP239" s="567">
        <v>740471</v>
      </c>
      <c r="AQ239" s="567">
        <v>0.35</v>
      </c>
      <c r="AR239" s="567">
        <v>12000</v>
      </c>
      <c r="AS239" s="567">
        <v>0.06</v>
      </c>
      <c r="AT239" s="567">
        <v>0.8</v>
      </c>
      <c r="AU239" s="567">
        <v>0.15</v>
      </c>
      <c r="AV239" s="567">
        <v>1</v>
      </c>
      <c r="AW239" s="568" t="s">
        <v>1043</v>
      </c>
      <c r="AX239" s="567">
        <v>197</v>
      </c>
      <c r="AY239" s="567">
        <v>0.13</v>
      </c>
      <c r="AZ239" s="568" t="s">
        <v>1270</v>
      </c>
      <c r="BA239" s="569">
        <v>15516.19</v>
      </c>
      <c r="BB239" s="567">
        <v>3.0000000000000001E-3</v>
      </c>
    </row>
    <row r="240" spans="39:54" ht="16.5" hidden="1" customHeight="1">
      <c r="AM240" s="565">
        <v>94267</v>
      </c>
      <c r="AN240" s="566" t="s">
        <v>1271</v>
      </c>
      <c r="AO240" s="566" t="s">
        <v>1272</v>
      </c>
      <c r="AP240" s="567">
        <v>533761.36399999994</v>
      </c>
      <c r="AQ240" s="567">
        <v>0.35</v>
      </c>
      <c r="AR240" s="567">
        <v>14000</v>
      </c>
      <c r="AS240" s="567">
        <v>0.06</v>
      </c>
      <c r="AT240" s="567">
        <v>0.8</v>
      </c>
      <c r="AU240" s="567">
        <v>0.15</v>
      </c>
      <c r="AV240" s="567">
        <v>1</v>
      </c>
      <c r="AW240" s="575">
        <v>2213</v>
      </c>
      <c r="AX240" s="567">
        <v>150</v>
      </c>
      <c r="AY240" s="567">
        <v>0.13</v>
      </c>
      <c r="AZ240" s="568" t="s">
        <v>1273</v>
      </c>
      <c r="BA240" s="569">
        <v>2385.0430000000001</v>
      </c>
      <c r="BB240" s="567">
        <v>4.4999999999999997E-3</v>
      </c>
    </row>
    <row r="241" spans="39:54" ht="16.5" hidden="1" customHeight="1">
      <c r="AM241" s="565" t="s">
        <v>1274</v>
      </c>
      <c r="AN241" s="566" t="s">
        <v>1275</v>
      </c>
      <c r="AO241" s="566" t="s">
        <v>1276</v>
      </c>
      <c r="AP241" s="567">
        <v>633583.5</v>
      </c>
      <c r="AQ241" s="567">
        <v>0.3</v>
      </c>
      <c r="AR241" s="567">
        <v>10000</v>
      </c>
      <c r="AS241" s="567">
        <v>0.06</v>
      </c>
      <c r="AT241" s="567">
        <v>0.8</v>
      </c>
      <c r="AU241" s="567">
        <v>0.15</v>
      </c>
      <c r="AV241" s="567">
        <v>1</v>
      </c>
      <c r="AW241" s="568" t="s">
        <v>1174</v>
      </c>
      <c r="AX241" s="567">
        <v>146</v>
      </c>
      <c r="AY241" s="567">
        <v>0.13</v>
      </c>
      <c r="AZ241" s="568" t="s">
        <v>107</v>
      </c>
      <c r="BA241" s="567">
        <v>0</v>
      </c>
      <c r="BB241" s="567">
        <v>0</v>
      </c>
    </row>
    <row r="242" spans="39:54" ht="16.5" hidden="1" customHeight="1">
      <c r="AM242" s="565" t="s">
        <v>1277</v>
      </c>
      <c r="AN242" s="566" t="s">
        <v>1278</v>
      </c>
      <c r="AO242" s="566" t="s">
        <v>1279</v>
      </c>
      <c r="AP242" s="567">
        <v>45291</v>
      </c>
      <c r="AQ242" s="567">
        <v>0.5</v>
      </c>
      <c r="AR242" s="567">
        <v>10000</v>
      </c>
      <c r="AS242" s="567">
        <v>0.06</v>
      </c>
      <c r="AT242" s="567">
        <v>0.5</v>
      </c>
      <c r="AU242" s="567">
        <v>0.15</v>
      </c>
      <c r="AV242" s="567">
        <v>1</v>
      </c>
      <c r="AW242" s="568" t="s">
        <v>1280</v>
      </c>
      <c r="AX242" s="567">
        <v>80</v>
      </c>
      <c r="AY242" s="567">
        <v>0.05</v>
      </c>
      <c r="AZ242" s="568" t="s">
        <v>1281</v>
      </c>
      <c r="BA242" s="569">
        <v>310.75420000000003</v>
      </c>
      <c r="BB242" s="567">
        <v>8.0000000000000004E-4</v>
      </c>
    </row>
    <row r="243" spans="39:54" ht="16.5" hidden="1" customHeight="1">
      <c r="AM243" s="565"/>
      <c r="AN243" s="566"/>
      <c r="AO243" s="566"/>
      <c r="AP243" s="576"/>
      <c r="AQ243" s="567"/>
      <c r="AR243" s="567"/>
      <c r="AS243" s="567"/>
      <c r="AT243" s="567"/>
      <c r="AU243" s="567"/>
      <c r="AV243" s="567"/>
      <c r="AW243" s="568"/>
      <c r="AX243" s="567"/>
      <c r="AY243" s="567"/>
      <c r="AZ243" s="568" t="s">
        <v>1022</v>
      </c>
      <c r="BA243" s="567">
        <v>1065</v>
      </c>
      <c r="BB243" s="567">
        <f>1/2000</f>
        <v>5.0000000000000001E-4</v>
      </c>
    </row>
    <row r="244" spans="39:54" ht="16.5" hidden="1" customHeight="1">
      <c r="AM244" s="565"/>
      <c r="AN244" s="566"/>
      <c r="AO244" s="566"/>
      <c r="AP244" s="567"/>
      <c r="AQ244" s="567"/>
      <c r="AR244" s="567"/>
      <c r="AS244" s="567"/>
      <c r="AT244" s="567"/>
      <c r="AU244" s="567"/>
      <c r="AV244" s="567"/>
      <c r="AW244" s="568"/>
      <c r="AX244" s="567"/>
      <c r="AY244" s="567"/>
      <c r="AZ244" s="568" t="s">
        <v>1023</v>
      </c>
      <c r="BA244" s="567">
        <v>101.16</v>
      </c>
      <c r="BB244" s="567">
        <v>5.0000000000000001E-4</v>
      </c>
    </row>
    <row r="245" spans="39:54" ht="16.5" hidden="1" customHeight="1">
      <c r="AM245" s="565" t="s">
        <v>1282</v>
      </c>
      <c r="AN245" s="566" t="s">
        <v>1283</v>
      </c>
      <c r="AO245" s="566" t="s">
        <v>1284</v>
      </c>
      <c r="AP245" s="567">
        <v>184.8443</v>
      </c>
      <c r="AQ245" s="567">
        <v>0.25</v>
      </c>
      <c r="AR245" s="567">
        <v>10000</v>
      </c>
      <c r="AS245" s="567">
        <v>0.06</v>
      </c>
      <c r="AT245" s="567">
        <v>0.5</v>
      </c>
      <c r="AU245" s="567">
        <v>0</v>
      </c>
      <c r="AV245" s="567">
        <v>0</v>
      </c>
      <c r="AW245" s="568" t="s">
        <v>107</v>
      </c>
      <c r="AX245" s="567">
        <v>0</v>
      </c>
      <c r="AY245" s="567">
        <v>0</v>
      </c>
      <c r="AZ245" s="568" t="s">
        <v>107</v>
      </c>
      <c r="BA245" s="567">
        <v>0</v>
      </c>
      <c r="BB245" s="567">
        <v>0</v>
      </c>
    </row>
    <row r="246" spans="39:54" ht="16.5" hidden="1" customHeight="1">
      <c r="AM246" s="565" t="s">
        <v>1285</v>
      </c>
      <c r="AN246" s="566" t="s">
        <v>1286</v>
      </c>
      <c r="AO246" s="566" t="s">
        <v>1287</v>
      </c>
      <c r="AP246" s="567">
        <v>4151.6000000000004</v>
      </c>
      <c r="AQ246" s="567">
        <v>0.25</v>
      </c>
      <c r="AR246" s="567">
        <v>3821.8</v>
      </c>
      <c r="AS246" s="567">
        <v>0.06</v>
      </c>
      <c r="AT246" s="567">
        <v>0.6</v>
      </c>
      <c r="AU246" s="567">
        <v>0</v>
      </c>
      <c r="AV246" s="567">
        <v>1</v>
      </c>
      <c r="AW246" s="568" t="s">
        <v>1288</v>
      </c>
      <c r="AX246" s="567">
        <v>0</v>
      </c>
      <c r="AY246" s="567">
        <v>0</v>
      </c>
      <c r="AZ246" s="568" t="s">
        <v>1016</v>
      </c>
      <c r="BA246" s="567">
        <v>0.2944</v>
      </c>
      <c r="BB246" s="567">
        <v>0.55000000000000004</v>
      </c>
    </row>
    <row r="247" spans="39:54" ht="16.5" hidden="1" customHeight="1">
      <c r="AM247" s="565" t="s">
        <v>1289</v>
      </c>
      <c r="AN247" s="566" t="s">
        <v>1290</v>
      </c>
      <c r="AO247" s="566" t="s">
        <v>1291</v>
      </c>
      <c r="AP247" s="567">
        <v>61578.667500000003</v>
      </c>
      <c r="AQ247" s="567">
        <v>0.35</v>
      </c>
      <c r="AR247" s="567">
        <v>12000</v>
      </c>
      <c r="AS247" s="567">
        <v>0.06</v>
      </c>
      <c r="AT247" s="567">
        <v>0.8</v>
      </c>
      <c r="AU247" s="567">
        <v>0.15</v>
      </c>
      <c r="AV247" s="567">
        <v>1</v>
      </c>
      <c r="AW247" s="568" t="s">
        <v>1079</v>
      </c>
      <c r="AX247" s="567">
        <v>6</v>
      </c>
      <c r="AY247" s="567">
        <v>0.15</v>
      </c>
      <c r="AZ247" s="568" t="s">
        <v>107</v>
      </c>
      <c r="BA247" s="567">
        <v>0</v>
      </c>
      <c r="BB247" s="567">
        <v>0</v>
      </c>
    </row>
    <row r="248" spans="39:54" ht="16.5" hidden="1" customHeight="1">
      <c r="AM248" s="565" t="s">
        <v>1292</v>
      </c>
      <c r="AN248" s="566" t="s">
        <v>1293</v>
      </c>
      <c r="AO248" s="566" t="s">
        <v>1294</v>
      </c>
      <c r="AP248" s="567">
        <v>366323.18400000001</v>
      </c>
      <c r="AQ248" s="567">
        <v>0.35</v>
      </c>
      <c r="AR248" s="567">
        <v>12000</v>
      </c>
      <c r="AS248" s="567">
        <v>0.06</v>
      </c>
      <c r="AT248" s="567">
        <v>0.8</v>
      </c>
      <c r="AU248" s="567">
        <v>0.15</v>
      </c>
      <c r="AV248" s="567">
        <v>1</v>
      </c>
      <c r="AW248" s="568" t="s">
        <v>1079</v>
      </c>
      <c r="AX248" s="567">
        <v>150</v>
      </c>
      <c r="AY248" s="567">
        <v>0.15</v>
      </c>
      <c r="AZ248" s="568" t="s">
        <v>1295</v>
      </c>
      <c r="BA248" s="569">
        <v>5723.1670000000004</v>
      </c>
      <c r="BB248" s="567">
        <v>1.6000000000000001E-3</v>
      </c>
    </row>
    <row r="249" spans="39:54" ht="16.5" hidden="1" customHeight="1">
      <c r="AM249" s="565" t="s">
        <v>1296</v>
      </c>
      <c r="AN249" s="566" t="s">
        <v>1297</v>
      </c>
      <c r="AO249" s="566" t="s">
        <v>1298</v>
      </c>
      <c r="AP249" s="567">
        <v>346451.63500000001</v>
      </c>
      <c r="AQ249" s="567">
        <v>0.35</v>
      </c>
      <c r="AR249" s="567">
        <v>12000</v>
      </c>
      <c r="AS249" s="567">
        <v>0.06</v>
      </c>
      <c r="AT249" s="567">
        <v>0.8</v>
      </c>
      <c r="AU249" s="567">
        <v>0.15</v>
      </c>
      <c r="AV249" s="567">
        <v>1</v>
      </c>
      <c r="AW249" s="568" t="s">
        <v>1079</v>
      </c>
      <c r="AX249" s="567">
        <v>99</v>
      </c>
      <c r="AY249" s="567">
        <v>0.15</v>
      </c>
      <c r="AZ249" s="568" t="s">
        <v>1299</v>
      </c>
      <c r="BA249" s="569">
        <v>2274.6210000000001</v>
      </c>
      <c r="BB249" s="567">
        <v>5.4999999999999997E-3</v>
      </c>
    </row>
    <row r="250" spans="39:54" ht="16.5" hidden="1" customHeight="1">
      <c r="AM250" s="565" t="s">
        <v>1300</v>
      </c>
      <c r="AN250" s="566" t="s">
        <v>1301</v>
      </c>
      <c r="AO250" s="566" t="s">
        <v>1302</v>
      </c>
      <c r="AP250" s="567">
        <v>382609.84499999997</v>
      </c>
      <c r="AQ250" s="567">
        <v>0.35</v>
      </c>
      <c r="AR250" s="567">
        <v>12000</v>
      </c>
      <c r="AS250" s="567">
        <v>0.06</v>
      </c>
      <c r="AT250" s="567">
        <v>0.8</v>
      </c>
      <c r="AU250" s="567">
        <v>0.15</v>
      </c>
      <c r="AV250" s="567">
        <v>1</v>
      </c>
      <c r="AW250" s="568" t="s">
        <v>1079</v>
      </c>
      <c r="AX250" s="567">
        <v>99</v>
      </c>
      <c r="AY250" s="567">
        <v>0.15</v>
      </c>
      <c r="AZ250" s="568" t="s">
        <v>1299</v>
      </c>
      <c r="BA250" s="569">
        <v>2274.6210000000001</v>
      </c>
      <c r="BB250" s="567">
        <v>5.4999999999999997E-3</v>
      </c>
    </row>
    <row r="251" spans="39:54" ht="16.5" hidden="1" customHeight="1">
      <c r="AM251" s="565" t="s">
        <v>1303</v>
      </c>
      <c r="AN251" s="566" t="s">
        <v>1304</v>
      </c>
      <c r="AO251" s="566" t="s">
        <v>1305</v>
      </c>
      <c r="AP251" s="567">
        <v>138136.649</v>
      </c>
      <c r="AQ251" s="567">
        <v>0.35</v>
      </c>
      <c r="AR251" s="567">
        <v>12000</v>
      </c>
      <c r="AS251" s="567">
        <v>0.06</v>
      </c>
      <c r="AT251" s="567">
        <v>0.8</v>
      </c>
      <c r="AU251" s="567">
        <v>0.15</v>
      </c>
      <c r="AV251" s="567">
        <v>1</v>
      </c>
      <c r="AW251" s="568" t="s">
        <v>1079</v>
      </c>
      <c r="AX251" s="567">
        <v>45</v>
      </c>
      <c r="AY251" s="567">
        <v>0.15</v>
      </c>
      <c r="AZ251" s="568" t="s">
        <v>107</v>
      </c>
      <c r="BA251" s="567">
        <v>0</v>
      </c>
      <c r="BB251" s="567">
        <v>0</v>
      </c>
    </row>
    <row r="252" spans="39:54" ht="16.5" hidden="1" customHeight="1">
      <c r="AM252" s="565" t="s">
        <v>1306</v>
      </c>
      <c r="AN252" s="566" t="s">
        <v>1307</v>
      </c>
      <c r="AO252" s="566" t="s">
        <v>1308</v>
      </c>
      <c r="AP252" s="567">
        <v>5446.8040000000001</v>
      </c>
      <c r="AQ252" s="567">
        <v>0.25</v>
      </c>
      <c r="AR252" s="567">
        <v>10000</v>
      </c>
      <c r="AS252" s="567">
        <v>0.06</v>
      </c>
      <c r="AT252" s="567">
        <v>0.6</v>
      </c>
      <c r="AU252" s="567">
        <v>0</v>
      </c>
      <c r="AV252" s="567">
        <v>1</v>
      </c>
      <c r="AW252" s="568" t="s">
        <v>1070</v>
      </c>
      <c r="AX252" s="567">
        <v>0</v>
      </c>
      <c r="AY252" s="567">
        <v>0</v>
      </c>
      <c r="AZ252" s="568" t="s">
        <v>107</v>
      </c>
      <c r="BA252" s="567">
        <v>0</v>
      </c>
      <c r="BB252" s="567">
        <v>0</v>
      </c>
    </row>
    <row r="253" spans="39:54" ht="16.5" hidden="1" customHeight="1">
      <c r="AM253" s="565" t="s">
        <v>1309</v>
      </c>
      <c r="AN253" s="566" t="s">
        <v>1310</v>
      </c>
      <c r="AO253" s="566" t="s">
        <v>1311</v>
      </c>
      <c r="AP253" s="567">
        <v>461.80059999999997</v>
      </c>
      <c r="AQ253" s="567">
        <v>0.25</v>
      </c>
      <c r="AR253" s="567">
        <v>5000</v>
      </c>
      <c r="AS253" s="567">
        <v>0.06</v>
      </c>
      <c r="AT253" s="567">
        <v>0.4</v>
      </c>
      <c r="AU253" s="567">
        <v>0</v>
      </c>
      <c r="AV253" s="567">
        <v>0</v>
      </c>
      <c r="AW253" s="568" t="s">
        <v>107</v>
      </c>
      <c r="AX253" s="567">
        <v>0</v>
      </c>
      <c r="AY253" s="567">
        <v>0</v>
      </c>
      <c r="AZ253" s="568" t="s">
        <v>1016</v>
      </c>
      <c r="BA253" s="567">
        <v>0.2944</v>
      </c>
      <c r="BB253" s="567">
        <v>1.4</v>
      </c>
    </row>
    <row r="254" spans="39:54" ht="16.5" hidden="1" customHeight="1">
      <c r="AM254" s="565" t="s">
        <v>1312</v>
      </c>
      <c r="AN254" s="568" t="s">
        <v>1313</v>
      </c>
      <c r="AO254" s="568" t="s">
        <v>1314</v>
      </c>
      <c r="AP254" s="567">
        <v>12782.7</v>
      </c>
      <c r="AQ254" s="567">
        <v>0.25</v>
      </c>
      <c r="AR254" s="567">
        <v>8000</v>
      </c>
      <c r="AS254" s="567">
        <v>0.06</v>
      </c>
      <c r="AT254" s="567">
        <v>0.5</v>
      </c>
      <c r="AU254" s="567">
        <v>0.15</v>
      </c>
      <c r="AV254" s="567">
        <v>0</v>
      </c>
      <c r="AW254" s="568" t="s">
        <v>107</v>
      </c>
      <c r="AX254" s="567">
        <v>5</v>
      </c>
      <c r="AY254" s="567">
        <v>0.1</v>
      </c>
      <c r="AZ254" s="568" t="s">
        <v>107</v>
      </c>
      <c r="BA254" s="567">
        <v>0</v>
      </c>
      <c r="BB254" s="567">
        <v>0</v>
      </c>
    </row>
    <row r="255" spans="39:54" ht="16.5" hidden="1" customHeight="1">
      <c r="AM255" s="565" t="s">
        <v>1315</v>
      </c>
      <c r="AN255" s="568" t="s">
        <v>1316</v>
      </c>
      <c r="AO255" s="568" t="s">
        <v>1317</v>
      </c>
      <c r="AP255" s="567">
        <v>141780</v>
      </c>
      <c r="AQ255" s="567">
        <v>0.35</v>
      </c>
      <c r="AR255" s="567">
        <v>12000</v>
      </c>
      <c r="AS255" s="567">
        <v>0.06</v>
      </c>
      <c r="AT255" s="567">
        <v>0.8</v>
      </c>
      <c r="AU255" s="567">
        <v>0.15</v>
      </c>
      <c r="AV255" s="567">
        <v>1</v>
      </c>
      <c r="AW255" s="568" t="s">
        <v>1318</v>
      </c>
      <c r="AX255" s="567">
        <v>57</v>
      </c>
      <c r="AY255" s="567">
        <v>0.13</v>
      </c>
      <c r="AZ255" s="568" t="s">
        <v>107</v>
      </c>
      <c r="BA255" s="567">
        <v>0</v>
      </c>
      <c r="BB255" s="567">
        <v>0</v>
      </c>
    </row>
    <row r="256" spans="39:54" ht="16.5" hidden="1" customHeight="1">
      <c r="AM256" s="565">
        <v>94285</v>
      </c>
      <c r="AN256" s="566" t="s">
        <v>1319</v>
      </c>
      <c r="AO256" s="566" t="s">
        <v>1320</v>
      </c>
      <c r="AP256" s="567">
        <v>997.5</v>
      </c>
      <c r="AQ256" s="567">
        <v>0.25</v>
      </c>
      <c r="AR256" s="567">
        <v>10000</v>
      </c>
      <c r="AS256" s="567">
        <v>0.06</v>
      </c>
      <c r="AT256" s="567">
        <v>0.7</v>
      </c>
      <c r="AU256" s="567">
        <v>0</v>
      </c>
      <c r="AV256" s="567">
        <v>0</v>
      </c>
      <c r="AW256" s="568" t="s">
        <v>107</v>
      </c>
      <c r="AX256" s="567">
        <v>0</v>
      </c>
      <c r="AY256" s="567">
        <v>0</v>
      </c>
      <c r="AZ256" s="568" t="s">
        <v>107</v>
      </c>
      <c r="BA256" s="567">
        <v>0</v>
      </c>
      <c r="BB256" s="567">
        <v>0</v>
      </c>
    </row>
    <row r="257" spans="39:54" ht="16.5" hidden="1" customHeight="1">
      <c r="AM257" s="565" t="s">
        <v>1321</v>
      </c>
      <c r="AN257" s="566" t="s">
        <v>1322</v>
      </c>
      <c r="AO257" s="566" t="s">
        <v>1323</v>
      </c>
      <c r="AP257" s="567">
        <v>12900</v>
      </c>
      <c r="AQ257" s="567">
        <v>0.5</v>
      </c>
      <c r="AR257" s="567">
        <v>10000</v>
      </c>
      <c r="AS257" s="567">
        <v>0.06</v>
      </c>
      <c r="AT257" s="567">
        <v>0.8</v>
      </c>
      <c r="AU257" s="567">
        <v>0</v>
      </c>
      <c r="AV257" s="567">
        <v>0</v>
      </c>
      <c r="AW257" s="568" t="s">
        <v>107</v>
      </c>
      <c r="AX257" s="567">
        <v>0</v>
      </c>
      <c r="AY257" s="567">
        <v>0</v>
      </c>
      <c r="AZ257" s="568" t="s">
        <v>107</v>
      </c>
      <c r="BA257" s="567">
        <v>0</v>
      </c>
      <c r="BB257" s="567">
        <v>0</v>
      </c>
    </row>
    <row r="258" spans="39:54" ht="16.5" hidden="1" customHeight="1">
      <c r="AM258" s="565" t="s">
        <v>1324</v>
      </c>
      <c r="AN258" s="566" t="s">
        <v>1325</v>
      </c>
      <c r="AO258" s="566" t="s">
        <v>1326</v>
      </c>
      <c r="AP258" s="567">
        <v>681075</v>
      </c>
      <c r="AQ258" s="567">
        <v>0.35</v>
      </c>
      <c r="AR258" s="567">
        <v>12000</v>
      </c>
      <c r="AS258" s="567">
        <v>0.06</v>
      </c>
      <c r="AT258" s="567">
        <v>0.8</v>
      </c>
      <c r="AU258" s="567">
        <v>0.15</v>
      </c>
      <c r="AV258" s="567">
        <v>1</v>
      </c>
      <c r="AW258" s="568" t="s">
        <v>1043</v>
      </c>
      <c r="AX258" s="567">
        <v>145</v>
      </c>
      <c r="AY258" s="567">
        <v>0.15</v>
      </c>
      <c r="AZ258" s="568" t="s">
        <v>107</v>
      </c>
      <c r="BA258" s="567">
        <v>0</v>
      </c>
      <c r="BB258" s="567">
        <v>0</v>
      </c>
    </row>
    <row r="259" spans="39:54" ht="16.5" hidden="1" customHeight="1">
      <c r="AM259" s="565" t="s">
        <v>1327</v>
      </c>
      <c r="AN259" s="566" t="s">
        <v>1328</v>
      </c>
      <c r="AO259" s="566" t="s">
        <v>1329</v>
      </c>
      <c r="AP259" s="567">
        <v>1353012</v>
      </c>
      <c r="AQ259" s="567">
        <v>0.25</v>
      </c>
      <c r="AR259" s="567">
        <v>16000</v>
      </c>
      <c r="AS259" s="567">
        <v>0.06</v>
      </c>
      <c r="AT259" s="567">
        <v>1</v>
      </c>
      <c r="AU259" s="567">
        <v>0</v>
      </c>
      <c r="AV259" s="567">
        <v>1</v>
      </c>
      <c r="AW259" s="568" t="s">
        <v>1330</v>
      </c>
      <c r="AX259" s="567">
        <v>0</v>
      </c>
      <c r="AY259" s="567">
        <v>0</v>
      </c>
      <c r="AZ259" s="568" t="s">
        <v>1331</v>
      </c>
      <c r="BA259" s="567">
        <v>0.2944</v>
      </c>
      <c r="BB259" s="567">
        <v>152</v>
      </c>
    </row>
    <row r="260" spans="39:54" ht="16.5" hidden="1" customHeight="1">
      <c r="AM260" s="565"/>
      <c r="AN260" s="566"/>
      <c r="AO260" s="566"/>
      <c r="AP260" s="567"/>
      <c r="AQ260" s="567"/>
      <c r="AR260" s="567"/>
      <c r="AS260" s="567"/>
      <c r="AT260" s="567"/>
      <c r="AU260" s="567"/>
      <c r="AV260" s="567"/>
      <c r="AW260" s="568"/>
      <c r="AX260" s="567"/>
      <c r="AY260" s="567"/>
      <c r="AZ260" s="568" t="s">
        <v>1332</v>
      </c>
      <c r="BA260" s="567">
        <v>1.4229000000000001</v>
      </c>
      <c r="BB260" s="567">
        <v>400</v>
      </c>
    </row>
    <row r="261" spans="39:54" ht="16.5" hidden="1" customHeight="1">
      <c r="AM261" s="565"/>
      <c r="AN261" s="566"/>
      <c r="AO261" s="566"/>
      <c r="AP261" s="567"/>
      <c r="AQ261" s="567"/>
      <c r="AR261" s="567"/>
      <c r="AS261" s="567"/>
      <c r="AT261" s="567"/>
      <c r="AU261" s="567"/>
      <c r="AV261" s="567"/>
      <c r="AW261" s="568"/>
      <c r="AX261" s="567"/>
      <c r="AY261" s="567"/>
      <c r="AZ261" s="568" t="s">
        <v>1333</v>
      </c>
      <c r="BA261" s="567">
        <v>20.16</v>
      </c>
      <c r="BB261" s="567">
        <v>1</v>
      </c>
    </row>
    <row r="262" spans="39:54" ht="16.5" hidden="1" customHeight="1">
      <c r="AM262" s="565" t="s">
        <v>1334</v>
      </c>
      <c r="AN262" s="566" t="s">
        <v>1335</v>
      </c>
      <c r="AO262" s="566" t="s">
        <v>1336</v>
      </c>
      <c r="AP262" s="567">
        <v>803399.78099999996</v>
      </c>
      <c r="AQ262" s="567">
        <v>0.35</v>
      </c>
      <c r="AR262" s="567">
        <v>12000</v>
      </c>
      <c r="AS262" s="567">
        <v>0.06</v>
      </c>
      <c r="AT262" s="567">
        <v>0.8</v>
      </c>
      <c r="AU262" s="567">
        <v>0</v>
      </c>
      <c r="AV262" s="567">
        <v>1</v>
      </c>
      <c r="AW262" s="568" t="s">
        <v>1330</v>
      </c>
      <c r="AX262" s="567">
        <v>0</v>
      </c>
      <c r="AY262" s="567">
        <v>0</v>
      </c>
      <c r="AZ262" s="568" t="s">
        <v>1016</v>
      </c>
      <c r="BA262" s="567">
        <v>0.2944</v>
      </c>
      <c r="BB262" s="567">
        <v>73</v>
      </c>
    </row>
    <row r="263" spans="39:54" ht="16.5" hidden="1" customHeight="1">
      <c r="AM263" s="565" t="s">
        <v>1337</v>
      </c>
      <c r="AN263" s="566" t="s">
        <v>1338</v>
      </c>
      <c r="AO263" s="566" t="s">
        <v>1339</v>
      </c>
      <c r="AP263" s="567">
        <v>27763.5</v>
      </c>
      <c r="AQ263" s="567">
        <v>0.35</v>
      </c>
      <c r="AR263" s="567">
        <v>10000</v>
      </c>
      <c r="AS263" s="567">
        <v>0.06</v>
      </c>
      <c r="AT263" s="567">
        <v>0.6</v>
      </c>
      <c r="AU263" s="567">
        <v>0</v>
      </c>
      <c r="AV263" s="567">
        <v>0</v>
      </c>
      <c r="AW263" s="568" t="s">
        <v>107</v>
      </c>
      <c r="AX263" s="567">
        <v>0</v>
      </c>
      <c r="AY263" s="567">
        <v>0</v>
      </c>
      <c r="AZ263" s="568" t="s">
        <v>107</v>
      </c>
      <c r="BA263" s="567">
        <v>0</v>
      </c>
      <c r="BB263" s="567">
        <v>0</v>
      </c>
    </row>
    <row r="264" spans="39:54" ht="16.5" hidden="1" customHeight="1">
      <c r="AM264" s="565" t="s">
        <v>1340</v>
      </c>
      <c r="AN264" s="566" t="s">
        <v>1341</v>
      </c>
      <c r="AO264" s="566" t="s">
        <v>1342</v>
      </c>
      <c r="AP264" s="567">
        <v>44945</v>
      </c>
      <c r="AQ264" s="567">
        <v>0.5</v>
      </c>
      <c r="AR264" s="567">
        <v>10000</v>
      </c>
      <c r="AS264" s="567">
        <v>0.06</v>
      </c>
      <c r="AT264" s="567">
        <v>0.5</v>
      </c>
      <c r="AU264" s="567">
        <v>0.15</v>
      </c>
      <c r="AV264" s="567">
        <v>1</v>
      </c>
      <c r="AW264" s="568" t="s">
        <v>1145</v>
      </c>
      <c r="AX264" s="567">
        <v>110</v>
      </c>
      <c r="AY264" s="567">
        <v>0.05</v>
      </c>
      <c r="AZ264" s="568" t="s">
        <v>1343</v>
      </c>
      <c r="BA264" s="569">
        <v>394.1823</v>
      </c>
      <c r="BB264" s="567">
        <v>8.0000000000000004E-4</v>
      </c>
    </row>
    <row r="265" spans="39:54" ht="16.5" hidden="1" customHeight="1">
      <c r="AM265" s="565"/>
      <c r="AN265" s="566"/>
      <c r="AO265" s="566"/>
      <c r="AP265" s="576"/>
      <c r="AQ265" s="567"/>
      <c r="AR265" s="567"/>
      <c r="AS265" s="567"/>
      <c r="AT265" s="567"/>
      <c r="AU265" s="567"/>
      <c r="AV265" s="567"/>
      <c r="AW265" s="568"/>
      <c r="AX265" s="567"/>
      <c r="AY265" s="567"/>
      <c r="AZ265" s="568" t="s">
        <v>1022</v>
      </c>
      <c r="BA265" s="567">
        <v>1435.44</v>
      </c>
      <c r="BB265" s="567">
        <f>1/2000</f>
        <v>5.0000000000000001E-4</v>
      </c>
    </row>
    <row r="266" spans="39:54" ht="16.5" hidden="1" customHeight="1">
      <c r="AM266" s="565"/>
      <c r="AN266" s="566"/>
      <c r="AO266" s="566"/>
      <c r="AP266" s="567"/>
      <c r="AQ266" s="567"/>
      <c r="AR266" s="567"/>
      <c r="AS266" s="567"/>
      <c r="AT266" s="567"/>
      <c r="AU266" s="567"/>
      <c r="AV266" s="567"/>
      <c r="AW266" s="568"/>
      <c r="AX266" s="567"/>
      <c r="AY266" s="567"/>
      <c r="AZ266" s="568" t="s">
        <v>1023</v>
      </c>
      <c r="BA266" s="567">
        <v>101.16</v>
      </c>
      <c r="BB266" s="567">
        <f>1/2000</f>
        <v>5.0000000000000001E-4</v>
      </c>
    </row>
    <row r="267" spans="39:54" ht="16.5" hidden="1" customHeight="1">
      <c r="AM267" s="565" t="s">
        <v>1344</v>
      </c>
      <c r="AN267" s="568" t="s">
        <v>1345</v>
      </c>
      <c r="AO267" s="568" t="s">
        <v>1346</v>
      </c>
      <c r="AP267" s="567">
        <v>2114.1875</v>
      </c>
      <c r="AQ267" s="567">
        <v>0.25</v>
      </c>
      <c r="AR267" s="567">
        <v>10000</v>
      </c>
      <c r="AS267" s="567">
        <v>0.06</v>
      </c>
      <c r="AT267" s="567">
        <v>0.5</v>
      </c>
      <c r="AU267" s="567">
        <v>0</v>
      </c>
      <c r="AV267" s="567">
        <v>0</v>
      </c>
      <c r="AW267" s="568" t="s">
        <v>107</v>
      </c>
      <c r="AX267" s="567">
        <v>0</v>
      </c>
      <c r="AY267" s="567">
        <v>0</v>
      </c>
      <c r="AZ267" s="568" t="s">
        <v>1168</v>
      </c>
      <c r="BA267" s="567">
        <v>0.2944</v>
      </c>
      <c r="BB267" s="567">
        <v>3.73</v>
      </c>
    </row>
    <row r="268" spans="39:54" ht="16.5" customHeight="1">
      <c r="AM268" s="565" t="s">
        <v>1347</v>
      </c>
      <c r="AN268" s="566" t="s">
        <v>1348</v>
      </c>
      <c r="AO268" s="566" t="s">
        <v>1349</v>
      </c>
      <c r="AP268" s="567">
        <v>591954</v>
      </c>
      <c r="AQ268" s="567">
        <v>0.35</v>
      </c>
      <c r="AR268" s="567">
        <v>12000</v>
      </c>
      <c r="AS268" s="567">
        <v>0.06</v>
      </c>
      <c r="AT268" s="567">
        <v>0.8</v>
      </c>
      <c r="AU268" s="567">
        <v>0.15</v>
      </c>
      <c r="AV268" s="567">
        <v>1</v>
      </c>
      <c r="AW268" s="568" t="s">
        <v>1350</v>
      </c>
      <c r="AX268" s="567">
        <v>72</v>
      </c>
      <c r="AY268" s="567">
        <v>0.13</v>
      </c>
      <c r="AZ268" s="568" t="s">
        <v>107</v>
      </c>
      <c r="BA268" s="567">
        <v>0</v>
      </c>
      <c r="BB268" s="567">
        <v>0</v>
      </c>
    </row>
    <row r="269" spans="39:54" ht="16.5" customHeight="1">
      <c r="AM269" s="565" t="s">
        <v>1351</v>
      </c>
      <c r="AN269" s="566" t="s">
        <v>1352</v>
      </c>
      <c r="AO269" s="566" t="s">
        <v>1353</v>
      </c>
      <c r="AP269" s="567">
        <v>16200</v>
      </c>
      <c r="AQ269" s="567">
        <v>0.3</v>
      </c>
      <c r="AR269" s="567">
        <v>5000</v>
      </c>
      <c r="AS269" s="567">
        <v>0.06</v>
      </c>
      <c r="AT269" s="567">
        <v>0.5</v>
      </c>
      <c r="AU269" s="567">
        <v>0</v>
      </c>
      <c r="AV269" s="567">
        <v>1</v>
      </c>
      <c r="AW269" s="568">
        <v>2217</v>
      </c>
      <c r="AX269" s="567">
        <v>0</v>
      </c>
      <c r="AY269" s="567">
        <v>0</v>
      </c>
      <c r="AZ269" s="568" t="s">
        <v>1016</v>
      </c>
      <c r="BA269" s="567">
        <v>0.2944</v>
      </c>
      <c r="BB269" s="567">
        <v>2</v>
      </c>
    </row>
    <row r="270" spans="39:54" ht="16.5" customHeight="1">
      <c r="AM270" s="565" t="s">
        <v>1354</v>
      </c>
      <c r="AN270" s="566" t="s">
        <v>1355</v>
      </c>
      <c r="AO270" s="566" t="s">
        <v>1356</v>
      </c>
      <c r="AP270" s="567">
        <v>6177.759</v>
      </c>
      <c r="AQ270" s="567">
        <v>0.35</v>
      </c>
      <c r="AR270" s="567">
        <v>6000</v>
      </c>
      <c r="AS270" s="567">
        <v>0.06</v>
      </c>
      <c r="AT270" s="567">
        <v>0.6</v>
      </c>
      <c r="AU270" s="567">
        <v>0.15</v>
      </c>
      <c r="AV270" s="567">
        <v>0</v>
      </c>
      <c r="AW270" s="568" t="s">
        <v>107</v>
      </c>
      <c r="AX270" s="567">
        <v>5.58</v>
      </c>
      <c r="AY270" s="567">
        <v>0.1</v>
      </c>
      <c r="AZ270" s="568" t="s">
        <v>107</v>
      </c>
      <c r="BA270" s="567">
        <v>0</v>
      </c>
      <c r="BB270" s="567">
        <v>0</v>
      </c>
    </row>
    <row r="271" spans="39:54" ht="16.5" customHeight="1">
      <c r="AM271" s="577" t="s">
        <v>1357</v>
      </c>
      <c r="AN271" s="568" t="s">
        <v>1358</v>
      </c>
      <c r="AO271" s="568" t="s">
        <v>1359</v>
      </c>
      <c r="AP271" s="567">
        <v>1700.9933000000001</v>
      </c>
      <c r="AQ271" s="567">
        <v>0.25</v>
      </c>
      <c r="AR271" s="567">
        <v>8000</v>
      </c>
      <c r="AS271" s="567">
        <v>0.06</v>
      </c>
      <c r="AT271" s="567">
        <v>0.6</v>
      </c>
      <c r="AU271" s="567">
        <v>0</v>
      </c>
      <c r="AV271" s="567">
        <v>0</v>
      </c>
      <c r="AW271" s="568" t="s">
        <v>107</v>
      </c>
      <c r="AX271" s="567">
        <v>0</v>
      </c>
      <c r="AY271" s="567">
        <v>0</v>
      </c>
      <c r="AZ271" s="568" t="s">
        <v>1016</v>
      </c>
      <c r="BA271" s="567">
        <v>0.2944</v>
      </c>
      <c r="BB271" s="567">
        <v>1.492</v>
      </c>
    </row>
    <row r="272" spans="39:54" ht="16.5" customHeight="1">
      <c r="AM272" s="577" t="s">
        <v>1360</v>
      </c>
      <c r="AN272" s="568" t="s">
        <v>1361</v>
      </c>
      <c r="AO272" s="568" t="s">
        <v>1362</v>
      </c>
      <c r="AP272" s="567">
        <v>1398.3333</v>
      </c>
      <c r="AQ272" s="567">
        <v>0.3</v>
      </c>
      <c r="AR272" s="567">
        <v>10000</v>
      </c>
      <c r="AS272" s="567">
        <v>0.06</v>
      </c>
      <c r="AT272" s="567">
        <v>0.4</v>
      </c>
      <c r="AU272" s="567">
        <v>0</v>
      </c>
      <c r="AV272" s="567">
        <v>1</v>
      </c>
      <c r="AW272" s="568">
        <v>2217</v>
      </c>
      <c r="AX272" s="567">
        <v>0</v>
      </c>
      <c r="AY272" s="567">
        <v>0</v>
      </c>
      <c r="AZ272" s="568" t="s">
        <v>1016</v>
      </c>
      <c r="BA272" s="567">
        <v>0.2944</v>
      </c>
      <c r="BB272" s="567">
        <v>0.8</v>
      </c>
    </row>
    <row r="273" spans="39:54" ht="16.5" customHeight="1">
      <c r="AM273" s="577" t="s">
        <v>1363</v>
      </c>
      <c r="AN273" s="568" t="s">
        <v>1364</v>
      </c>
      <c r="AO273" s="568" t="s">
        <v>1365</v>
      </c>
      <c r="AP273" s="567">
        <v>2486.2366999999999</v>
      </c>
      <c r="AQ273" s="567">
        <v>0.3</v>
      </c>
      <c r="AR273" s="567">
        <v>10000</v>
      </c>
      <c r="AS273" s="567">
        <v>0.06</v>
      </c>
      <c r="AT273" s="567">
        <v>0.4</v>
      </c>
      <c r="AU273" s="567">
        <v>0</v>
      </c>
      <c r="AV273" s="567">
        <v>1</v>
      </c>
      <c r="AW273" s="568">
        <v>2217</v>
      </c>
      <c r="AX273" s="567">
        <v>0</v>
      </c>
      <c r="AY273" s="567">
        <v>0</v>
      </c>
      <c r="AZ273" s="568" t="s">
        <v>1016</v>
      </c>
      <c r="BA273" s="567">
        <v>0.2944</v>
      </c>
      <c r="BB273" s="567">
        <v>0.9</v>
      </c>
    </row>
    <row r="274" spans="39:54" ht="16.5" customHeight="1">
      <c r="AM274" s="577">
        <v>94304</v>
      </c>
      <c r="AN274" s="568" t="s">
        <v>1366</v>
      </c>
      <c r="AO274" s="568" t="s">
        <v>1367</v>
      </c>
      <c r="AP274" s="567">
        <v>7226.7551999999996</v>
      </c>
      <c r="AQ274" s="567">
        <v>0.35</v>
      </c>
      <c r="AR274" s="567">
        <v>6000</v>
      </c>
      <c r="AS274" s="567">
        <v>0.06</v>
      </c>
      <c r="AT274" s="567">
        <v>0.6</v>
      </c>
      <c r="AU274" s="567">
        <v>0</v>
      </c>
      <c r="AV274" s="567">
        <v>0</v>
      </c>
      <c r="AW274" s="568"/>
      <c r="AX274" s="567">
        <v>0</v>
      </c>
      <c r="AY274" s="567">
        <v>0</v>
      </c>
      <c r="AZ274" s="568" t="s">
        <v>1016</v>
      </c>
      <c r="BA274" s="567">
        <v>0.2944</v>
      </c>
      <c r="BB274" s="567">
        <v>1.8</v>
      </c>
    </row>
    <row r="275" spans="39:54" ht="16.5" customHeight="1">
      <c r="AM275" s="577">
        <v>94305</v>
      </c>
      <c r="AN275" s="568" t="s">
        <v>1368</v>
      </c>
      <c r="AO275" s="568" t="s">
        <v>1369</v>
      </c>
      <c r="AP275" s="567">
        <v>6541.8924999999999</v>
      </c>
      <c r="AQ275" s="567">
        <v>0.2</v>
      </c>
      <c r="AR275" s="567">
        <v>5000</v>
      </c>
      <c r="AS275" s="567">
        <v>0.06</v>
      </c>
      <c r="AT275" s="567">
        <v>0.4</v>
      </c>
      <c r="AU275" s="567">
        <v>0</v>
      </c>
      <c r="AV275" s="567">
        <v>1</v>
      </c>
      <c r="AW275" s="568">
        <v>2075</v>
      </c>
      <c r="AX275" s="567">
        <v>0</v>
      </c>
      <c r="AY275" s="567">
        <v>0</v>
      </c>
      <c r="AZ275" s="568" t="s">
        <v>1016</v>
      </c>
      <c r="BA275" s="567">
        <v>0.2944</v>
      </c>
      <c r="BB275" s="567">
        <v>1.1000000000000001</v>
      </c>
    </row>
    <row r="276" spans="39:54" ht="16.5" customHeight="1">
      <c r="AM276" s="577">
        <v>94306</v>
      </c>
      <c r="AN276" s="568" t="s">
        <v>1370</v>
      </c>
      <c r="AO276" s="568" t="s">
        <v>1371</v>
      </c>
      <c r="AP276" s="567">
        <v>14651.493</v>
      </c>
      <c r="AQ276" s="567">
        <v>0.35</v>
      </c>
      <c r="AR276" s="567">
        <v>6000</v>
      </c>
      <c r="AS276" s="567">
        <v>0.06</v>
      </c>
      <c r="AT276" s="567">
        <v>0.6</v>
      </c>
      <c r="AU276" s="567">
        <v>0.15</v>
      </c>
      <c r="AV276" s="567">
        <v>1</v>
      </c>
      <c r="AW276" s="568">
        <v>2204</v>
      </c>
      <c r="AX276" s="567">
        <v>3</v>
      </c>
      <c r="AY276" s="567">
        <v>0.23</v>
      </c>
      <c r="AZ276" s="568"/>
      <c r="BA276" s="567">
        <v>0</v>
      </c>
      <c r="BB276" s="567">
        <v>0</v>
      </c>
    </row>
    <row r="277" spans="39:54" ht="16.5" customHeight="1">
      <c r="AM277" s="578">
        <v>94307</v>
      </c>
      <c r="AN277" s="579" t="s">
        <v>1372</v>
      </c>
      <c r="AO277" s="579" t="s">
        <v>1373</v>
      </c>
      <c r="AP277" s="569">
        <v>2043.7763</v>
      </c>
      <c r="AQ277" s="569">
        <v>0.35</v>
      </c>
      <c r="AR277" s="567">
        <v>6000</v>
      </c>
      <c r="AS277" s="567">
        <v>0.06</v>
      </c>
      <c r="AT277" s="569">
        <v>0.6</v>
      </c>
      <c r="AU277" s="567">
        <v>0.15</v>
      </c>
      <c r="AV277" s="569">
        <v>1</v>
      </c>
      <c r="AW277" s="569">
        <v>2247</v>
      </c>
      <c r="AX277" s="569">
        <v>4</v>
      </c>
      <c r="AY277" s="569">
        <v>0.23</v>
      </c>
      <c r="AZ277" s="569"/>
      <c r="BA277" s="567">
        <v>0</v>
      </c>
      <c r="BB277" s="569">
        <v>0</v>
      </c>
    </row>
    <row r="278" spans="39:54" ht="16.5" customHeight="1">
      <c r="AM278" s="578">
        <v>94308</v>
      </c>
      <c r="AN278" s="579" t="s">
        <v>1374</v>
      </c>
      <c r="AO278" s="579"/>
      <c r="AP278" s="569">
        <v>146889.41</v>
      </c>
      <c r="AQ278" s="569">
        <v>0.35</v>
      </c>
      <c r="AR278" s="567">
        <v>10000</v>
      </c>
      <c r="AS278" s="567">
        <v>0.06</v>
      </c>
      <c r="AT278" s="569">
        <v>0.6</v>
      </c>
      <c r="AU278" s="567">
        <v>0.15</v>
      </c>
      <c r="AV278" s="569">
        <v>1</v>
      </c>
      <c r="AW278" s="569">
        <v>2208</v>
      </c>
      <c r="AX278" s="569">
        <v>27</v>
      </c>
      <c r="AY278" s="569">
        <v>0.1</v>
      </c>
      <c r="AZ278" s="569"/>
      <c r="BA278" s="567">
        <v>0</v>
      </c>
      <c r="BB278" s="569">
        <v>0</v>
      </c>
    </row>
    <row r="279" spans="39:54" ht="16.5" customHeight="1"/>
  </sheetData>
  <sheetProtection formatCells="0" formatColumns="0" formatRows="0" insertColumns="0" insertRows="0" insertHyperlinks="0" deleteColumns="0" deleteRows="0" sort="0" autoFilter="0" pivotTables="0"/>
  <dataConsolidate/>
  <mergeCells count="17">
    <mergeCell ref="G2:Y2"/>
    <mergeCell ref="G3:Y3"/>
    <mergeCell ref="G4:Y4"/>
    <mergeCell ref="D9:G13"/>
    <mergeCell ref="H15:H16"/>
    <mergeCell ref="I15:I16"/>
    <mergeCell ref="J15:J16"/>
    <mergeCell ref="K15:K16"/>
    <mergeCell ref="L15:L16"/>
    <mergeCell ref="M15:M16"/>
    <mergeCell ref="AC15:AG16"/>
    <mergeCell ref="N15:N16"/>
    <mergeCell ref="O15:O16"/>
    <mergeCell ref="P15:P16"/>
    <mergeCell ref="Q15:S15"/>
    <mergeCell ref="T15:W15"/>
    <mergeCell ref="X15:Y15"/>
  </mergeCells>
  <conditionalFormatting sqref="F25:F39">
    <cfRule type="cellIs" dxfId="4" priority="1" operator="equal">
      <formula>"para inserir linha: copie a linha acima"</formula>
    </cfRule>
  </conditionalFormatting>
  <conditionalFormatting sqref="G18:G39">
    <cfRule type="cellIs" dxfId="3" priority="2" operator="equal">
      <formula>"para inserir linha: copie a linha acima"</formula>
    </cfRule>
  </conditionalFormatting>
  <conditionalFormatting sqref="AD40">
    <cfRule type="cellIs" dxfId="2" priority="34" operator="equal">
      <formula>"para inserir linha: Copie a linha acima"</formula>
    </cfRule>
  </conditionalFormatting>
  <hyperlinks>
    <hyperlink ref="F78" r:id="rId1" xr:uid="{76A82374-A8F0-4DED-8745-2010B0073D58}"/>
  </hyperlinks>
  <pageMargins left="0.25" right="0.25" top="0.75" bottom="0.75" header="0.3" footer="0.3"/>
  <pageSetup paperSize="9" scale="15" fitToHeight="0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F3974-3619-4D6C-AC48-7E7CEB65F01C}">
  <sheetPr>
    <tabColor rgb="FF9FC6FF"/>
  </sheetPr>
  <dimension ref="A1:AB64"/>
  <sheetViews>
    <sheetView showGridLines="0" zoomScale="70" zoomScaleNormal="70" workbookViewId="0">
      <selection activeCellId="3" sqref="A15:XFD1048576 G14:XFD14 A14:E14 A1:XFD13"/>
    </sheetView>
  </sheetViews>
  <sheetFormatPr defaultColWidth="9.109375" defaultRowHeight="13.2"/>
  <cols>
    <col min="1" max="1" width="5.109375" style="683" customWidth="1"/>
    <col min="2" max="2" width="17.5546875" style="706" customWidth="1"/>
    <col min="3" max="3" width="44.5546875" style="683" customWidth="1"/>
    <col min="4" max="4" width="6.44140625" style="704" customWidth="1"/>
    <col min="5" max="5" width="13.109375" style="704" customWidth="1"/>
    <col min="6" max="6" width="13.88671875" style="705" customWidth="1"/>
    <col min="7" max="7" width="10.44140625" style="707" customWidth="1"/>
    <col min="8" max="14" width="12.5546875" style="707" customWidth="1"/>
    <col min="15" max="15" width="34.44140625" style="707" customWidth="1"/>
    <col min="16" max="16" width="10.5546875" style="707" customWidth="1"/>
    <col min="17" max="18" width="9.109375" style="707"/>
    <col min="19" max="16384" width="9.109375" style="683"/>
  </cols>
  <sheetData>
    <row r="1" spans="1:28" s="436" customFormat="1" ht="15.75" customHeight="1">
      <c r="A1" s="679"/>
      <c r="B1" s="680"/>
      <c r="C1" s="1443" t="s">
        <v>1475</v>
      </c>
      <c r="D1" s="1414"/>
      <c r="E1" s="681" t="s">
        <v>1476</v>
      </c>
      <c r="F1" s="682">
        <f>encargos_mensalista</f>
        <v>1.1268768141556436</v>
      </c>
      <c r="G1" s="707"/>
      <c r="H1" s="707"/>
      <c r="I1" s="707"/>
      <c r="J1" s="707"/>
      <c r="K1" s="707"/>
      <c r="L1" s="707"/>
      <c r="M1" s="707"/>
      <c r="N1" s="707"/>
      <c r="O1" s="459"/>
      <c r="P1" s="437"/>
      <c r="Q1" s="437"/>
      <c r="R1" s="437"/>
      <c r="S1" s="437"/>
      <c r="T1" s="437"/>
      <c r="U1" s="437"/>
      <c r="V1" s="437"/>
      <c r="W1" s="437"/>
      <c r="X1" s="437"/>
      <c r="Y1" s="437"/>
      <c r="AA1" s="683"/>
      <c r="AB1" s="683"/>
    </row>
    <row r="2" spans="1:28" s="438" customFormat="1" ht="15.75" customHeight="1">
      <c r="A2" s="679"/>
      <c r="B2" s="684"/>
      <c r="C2" s="1422" t="str">
        <f>BDI!F3</f>
        <v>FC ENGENHARIA E CONSULTORIA LTDA</v>
      </c>
      <c r="D2" s="1416"/>
      <c r="E2" s="685" t="s">
        <v>1477</v>
      </c>
      <c r="F2" s="686">
        <f>adm_central</f>
        <v>0.04</v>
      </c>
      <c r="G2" s="707"/>
      <c r="H2" s="707"/>
      <c r="I2" s="707"/>
      <c r="J2" s="707"/>
      <c r="K2" s="707"/>
      <c r="L2" s="707"/>
      <c r="M2" s="707"/>
      <c r="N2" s="707"/>
      <c r="O2" s="462"/>
      <c r="P2" s="5"/>
      <c r="Q2" s="5"/>
      <c r="R2" s="5"/>
      <c r="S2" s="5"/>
      <c r="T2" s="5"/>
      <c r="U2" s="5"/>
      <c r="V2" s="5"/>
      <c r="W2" s="5"/>
      <c r="X2" s="5"/>
      <c r="Y2" s="5"/>
      <c r="AA2" s="683"/>
      <c r="AB2" s="683"/>
    </row>
    <row r="3" spans="1:28" s="438" customFormat="1" ht="15.75" customHeight="1">
      <c r="A3" s="679"/>
      <c r="B3" s="687"/>
      <c r="C3" s="1444" t="str">
        <f>BDI!F4</f>
        <v>julho/19 - Com desoneração da Folha de Pagamento</v>
      </c>
      <c r="D3" s="1418"/>
      <c r="E3" s="688" t="s">
        <v>1478</v>
      </c>
      <c r="F3" s="689">
        <f>tributos_fiscais</f>
        <v>0.15429999999999999</v>
      </c>
      <c r="G3" s="707"/>
      <c r="H3" s="707"/>
      <c r="I3" s="707"/>
      <c r="J3" s="707"/>
      <c r="K3" s="707"/>
      <c r="L3" s="707"/>
      <c r="M3" s="707"/>
      <c r="N3" s="707"/>
      <c r="O3" s="462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8" ht="15.75" customHeight="1">
      <c r="B4" s="690"/>
      <c r="C4" s="5"/>
      <c r="D4" s="691"/>
      <c r="E4" s="691"/>
      <c r="F4" s="692"/>
      <c r="O4" s="462"/>
    </row>
    <row r="5" spans="1:28" s="9" customFormat="1" ht="15.75" customHeight="1">
      <c r="B5" s="470" t="s">
        <v>1479</v>
      </c>
      <c r="C5" s="73" t="str">
        <f ca="1">nome_da_obra</f>
        <v>BDI_747.xlsx</v>
      </c>
      <c r="D5" s="693"/>
      <c r="E5" s="66" t="s">
        <v>132</v>
      </c>
      <c r="F5" s="77">
        <f ca="1">data_base_da_obra</f>
        <v>46093</v>
      </c>
      <c r="G5" s="707"/>
      <c r="H5" s="707"/>
      <c r="I5" s="707"/>
      <c r="J5" s="707"/>
      <c r="K5" s="467" t="s">
        <v>189</v>
      </c>
      <c r="L5" s="467" t="s">
        <v>1570</v>
      </c>
      <c r="O5" s="707"/>
      <c r="P5" s="468"/>
      <c r="Q5" s="468"/>
      <c r="R5" s="468"/>
    </row>
    <row r="6" spans="1:28" ht="15.75" customHeight="1">
      <c r="B6" s="1445"/>
      <c r="C6" s="1445"/>
      <c r="D6" s="1445"/>
      <c r="E6" s="1445"/>
      <c r="F6" s="1445"/>
      <c r="H6" s="712" t="s">
        <v>1508</v>
      </c>
    </row>
    <row r="7" spans="1:28" ht="15.75" customHeight="1">
      <c r="B7" s="715" t="s">
        <v>133</v>
      </c>
      <c r="C7" s="716" t="s">
        <v>1480</v>
      </c>
      <c r="D7" s="717"/>
      <c r="E7" s="717"/>
      <c r="F7" s="718"/>
      <c r="H7" s="728" t="s">
        <v>1535</v>
      </c>
      <c r="I7" s="728" t="s">
        <v>1510</v>
      </c>
      <c r="J7" s="728" t="s">
        <v>1520</v>
      </c>
      <c r="K7" s="727" t="s">
        <v>145</v>
      </c>
      <c r="L7" s="727"/>
      <c r="M7" s="727"/>
      <c r="N7" s="727"/>
      <c r="O7" s="727" t="s">
        <v>1523</v>
      </c>
    </row>
    <row r="8" spans="1:28" ht="15.75" customHeight="1">
      <c r="B8" s="694" t="s">
        <v>1481</v>
      </c>
      <c r="C8" s="695" t="s">
        <v>134</v>
      </c>
      <c r="D8" s="696"/>
      <c r="E8" s="696"/>
      <c r="F8" s="746">
        <f>I8</f>
        <v>6.4999999999999997E-3</v>
      </c>
      <c r="H8" s="739" t="s">
        <v>1527</v>
      </c>
      <c r="I8" s="732">
        <v>6.4999999999999997E-3</v>
      </c>
      <c r="J8" s="732" t="s">
        <v>1536</v>
      </c>
      <c r="K8" s="733" t="s">
        <v>1532</v>
      </c>
      <c r="L8" s="733"/>
      <c r="M8" s="733"/>
      <c r="N8" s="733"/>
      <c r="O8" s="734" t="s">
        <v>1529</v>
      </c>
      <c r="Q8" s="711"/>
    </row>
    <row r="9" spans="1:28" ht="15.75" customHeight="1">
      <c r="B9" s="694" t="s">
        <v>1482</v>
      </c>
      <c r="C9" s="695" t="s">
        <v>136</v>
      </c>
      <c r="D9" s="696"/>
      <c r="E9" s="696"/>
      <c r="F9" s="746">
        <f>I9</f>
        <v>0.03</v>
      </c>
      <c r="H9" s="739" t="s">
        <v>1528</v>
      </c>
      <c r="I9" s="731">
        <v>0.03</v>
      </c>
      <c r="J9" s="732" t="s">
        <v>1536</v>
      </c>
      <c r="K9" s="733" t="s">
        <v>1533</v>
      </c>
      <c r="L9" s="733"/>
      <c r="M9" s="733"/>
      <c r="N9" s="733"/>
      <c r="O9" s="734" t="s">
        <v>1529</v>
      </c>
      <c r="P9" s="711"/>
      <c r="Q9" s="711"/>
      <c r="R9" s="711"/>
    </row>
    <row r="10" spans="1:28" ht="15.75" customHeight="1">
      <c r="B10" s="694" t="s">
        <v>1483</v>
      </c>
      <c r="C10" s="695" t="s">
        <v>1507</v>
      </c>
      <c r="D10" s="696"/>
      <c r="E10" s="696"/>
      <c r="F10" s="746">
        <f>J11</f>
        <v>1.2E-2</v>
      </c>
      <c r="H10" s="707" t="s">
        <v>1512</v>
      </c>
      <c r="O10" s="707" t="s">
        <v>1530</v>
      </c>
      <c r="P10" s="711"/>
      <c r="Q10" s="711"/>
      <c r="R10" s="711"/>
    </row>
    <row r="11" spans="1:28" ht="15.75" customHeight="1">
      <c r="B11" s="694" t="s">
        <v>1484</v>
      </c>
      <c r="C11" s="695" t="s">
        <v>1506</v>
      </c>
      <c r="D11" s="696"/>
      <c r="E11" s="770" t="s">
        <v>1570</v>
      </c>
      <c r="F11" s="746">
        <f>IF(E11="S",J12,0)</f>
        <v>0</v>
      </c>
      <c r="H11" s="731">
        <v>0.08</v>
      </c>
      <c r="I11" s="731">
        <v>0.15</v>
      </c>
      <c r="J11" s="732">
        <f>I11*H11</f>
        <v>1.2E-2</v>
      </c>
      <c r="K11" s="733" t="s">
        <v>1516</v>
      </c>
      <c r="L11" s="733"/>
      <c r="M11" s="733"/>
      <c r="N11" s="733"/>
      <c r="O11" s="734" t="s">
        <v>1514</v>
      </c>
      <c r="P11" s="711"/>
      <c r="Q11" s="711"/>
      <c r="R11" s="711"/>
    </row>
    <row r="12" spans="1:28" ht="15.75" customHeight="1">
      <c r="B12" s="694" t="s">
        <v>1485</v>
      </c>
      <c r="C12" s="695" t="s">
        <v>137</v>
      </c>
      <c r="D12" s="696"/>
      <c r="E12" s="696"/>
      <c r="F12" s="746">
        <f>J16</f>
        <v>1.0799999999999999E-2</v>
      </c>
      <c r="H12" s="731">
        <v>0.08</v>
      </c>
      <c r="I12" s="731">
        <v>0.1</v>
      </c>
      <c r="J12" s="732">
        <f>I12*H12</f>
        <v>8.0000000000000002E-3</v>
      </c>
      <c r="K12" s="733" t="s">
        <v>1516</v>
      </c>
      <c r="L12" s="733"/>
      <c r="M12" s="733"/>
      <c r="N12" s="733"/>
      <c r="O12" s="734" t="s">
        <v>1515</v>
      </c>
      <c r="P12" s="711"/>
      <c r="Q12" s="711"/>
      <c r="R12" s="711"/>
    </row>
    <row r="13" spans="1:28" ht="15.75" customHeight="1">
      <c r="B13" s="694" t="s">
        <v>1525</v>
      </c>
      <c r="C13" s="695" t="s">
        <v>2062</v>
      </c>
      <c r="D13" s="696"/>
      <c r="E13" s="696"/>
      <c r="F13" s="697">
        <v>4.4999999999999998E-2</v>
      </c>
      <c r="H13" s="731">
        <v>0.32</v>
      </c>
      <c r="I13" s="731">
        <v>0.15</v>
      </c>
      <c r="J13" s="732">
        <f>I13*H13</f>
        <v>4.8000000000000001E-2</v>
      </c>
      <c r="K13" s="733" t="s">
        <v>1517</v>
      </c>
      <c r="L13" s="733"/>
      <c r="M13" s="733"/>
      <c r="N13" s="733"/>
      <c r="O13" s="734" t="s">
        <v>1519</v>
      </c>
      <c r="P13" s="711"/>
      <c r="Q13" s="711"/>
      <c r="R13" s="711"/>
    </row>
    <row r="14" spans="1:28" ht="15.75" customHeight="1">
      <c r="B14" s="694" t="s">
        <v>1486</v>
      </c>
      <c r="C14" s="695" t="s">
        <v>1568</v>
      </c>
      <c r="D14" s="696"/>
      <c r="E14" s="696"/>
      <c r="F14" s="1154">
        <v>0.05</v>
      </c>
      <c r="H14" s="731">
        <v>0.32</v>
      </c>
      <c r="I14" s="731">
        <v>0.1</v>
      </c>
      <c r="J14" s="732">
        <f>I14*H14</f>
        <v>3.2000000000000001E-2</v>
      </c>
      <c r="K14" s="733" t="s">
        <v>1517</v>
      </c>
      <c r="L14" s="733"/>
      <c r="M14" s="733"/>
      <c r="N14" s="733"/>
      <c r="O14" s="734" t="s">
        <v>1992</v>
      </c>
      <c r="P14" s="711"/>
      <c r="Q14" s="711"/>
      <c r="R14" s="711"/>
    </row>
    <row r="15" spans="1:28" ht="15.75" customHeight="1">
      <c r="B15" s="694"/>
      <c r="C15" s="695" t="s">
        <v>1487</v>
      </c>
      <c r="D15" s="696"/>
      <c r="E15" s="696"/>
      <c r="F15" s="698">
        <f>SUM(F8:F14)</f>
        <v>0.15429999999999999</v>
      </c>
      <c r="H15" s="736" t="s">
        <v>1513</v>
      </c>
      <c r="I15" s="729"/>
      <c r="J15" s="729"/>
      <c r="K15" s="730"/>
      <c r="L15" s="730"/>
      <c r="M15" s="730"/>
      <c r="N15" s="730"/>
      <c r="O15" s="730" t="s">
        <v>1531</v>
      </c>
      <c r="P15" s="711"/>
      <c r="Q15" s="711"/>
      <c r="R15" s="711"/>
    </row>
    <row r="16" spans="1:28" ht="15.75" customHeight="1">
      <c r="B16" s="719" t="s">
        <v>139</v>
      </c>
      <c r="C16" s="720" t="s">
        <v>1524</v>
      </c>
      <c r="D16" s="721"/>
      <c r="E16" s="721"/>
      <c r="F16" s="722"/>
      <c r="H16" s="731">
        <v>0.12</v>
      </c>
      <c r="I16" s="731">
        <v>0.09</v>
      </c>
      <c r="J16" s="732">
        <f>I16*H16</f>
        <v>1.0799999999999999E-2</v>
      </c>
      <c r="K16" s="733" t="s">
        <v>1516</v>
      </c>
      <c r="L16" s="733"/>
      <c r="M16" s="733"/>
      <c r="N16" s="733"/>
      <c r="O16" s="734" t="s">
        <v>1522</v>
      </c>
    </row>
    <row r="17" spans="2:15" ht="15.75" customHeight="1">
      <c r="B17" s="694" t="s">
        <v>1488</v>
      </c>
      <c r="C17" s="695" t="s">
        <v>134</v>
      </c>
      <c r="D17" s="696"/>
      <c r="E17" s="696"/>
      <c r="F17" s="746">
        <v>6.4999999999999997E-3</v>
      </c>
      <c r="H17" s="731">
        <v>0.32</v>
      </c>
      <c r="I17" s="731">
        <v>0.09</v>
      </c>
      <c r="J17" s="732">
        <f>I17*H17</f>
        <v>2.8799999999999999E-2</v>
      </c>
      <c r="K17" s="735" t="s">
        <v>1521</v>
      </c>
      <c r="L17" s="735"/>
      <c r="M17" s="735"/>
      <c r="N17" s="735"/>
      <c r="O17" s="734" t="s">
        <v>1518</v>
      </c>
    </row>
    <row r="18" spans="2:15" ht="15.75" customHeight="1">
      <c r="B18" s="694" t="s">
        <v>1489</v>
      </c>
      <c r="C18" s="695" t="s">
        <v>136</v>
      </c>
      <c r="D18" s="696"/>
      <c r="E18" s="696"/>
      <c r="F18" s="746">
        <v>0.03</v>
      </c>
      <c r="H18" s="737"/>
      <c r="I18" s="738"/>
      <c r="J18" s="738"/>
      <c r="K18" s="738"/>
      <c r="L18" s="738"/>
      <c r="M18" s="738"/>
      <c r="N18" s="738"/>
      <c r="O18" s="738"/>
    </row>
    <row r="19" spans="2:15" ht="15.75" customHeight="1">
      <c r="B19" s="694" t="s">
        <v>1490</v>
      </c>
      <c r="C19" s="695" t="s">
        <v>135</v>
      </c>
      <c r="D19" s="696"/>
      <c r="E19" s="696"/>
      <c r="F19" s="746">
        <v>1.2E-2</v>
      </c>
      <c r="H19" s="740" t="s">
        <v>1565</v>
      </c>
      <c r="I19" s="710"/>
      <c r="J19" s="710"/>
      <c r="K19" s="714"/>
      <c r="L19" s="714"/>
      <c r="M19" s="714"/>
      <c r="N19" s="714"/>
      <c r="O19" s="709"/>
    </row>
    <row r="20" spans="2:15" ht="15.75" customHeight="1">
      <c r="B20" s="694" t="s">
        <v>1491</v>
      </c>
      <c r="C20" s="695" t="s">
        <v>1506</v>
      </c>
      <c r="D20" s="696"/>
      <c r="E20" s="696"/>
      <c r="F20" s="746">
        <v>0</v>
      </c>
      <c r="H20" s="741" t="s">
        <v>1534</v>
      </c>
    </row>
    <row r="21" spans="2:15" ht="15.75" customHeight="1">
      <c r="B21" s="694" t="s">
        <v>1492</v>
      </c>
      <c r="C21" s="695" t="s">
        <v>137</v>
      </c>
      <c r="D21" s="696"/>
      <c r="E21" s="696"/>
      <c r="F21" s="746">
        <v>1.0800000000000001E-2</v>
      </c>
      <c r="O21" s="713"/>
    </row>
    <row r="22" spans="2:15" ht="15.75" customHeight="1">
      <c r="B22" s="694" t="s">
        <v>1526</v>
      </c>
      <c r="C22" s="695" t="s">
        <v>2062</v>
      </c>
      <c r="D22" s="696"/>
      <c r="E22" s="696"/>
      <c r="F22" s="697">
        <f>F13</f>
        <v>4.4999999999999998E-2</v>
      </c>
      <c r="H22" s="712" t="s">
        <v>1509</v>
      </c>
    </row>
    <row r="23" spans="2:15" ht="15.75" customHeight="1">
      <c r="B23" s="694" t="s">
        <v>1493</v>
      </c>
      <c r="C23" s="695" t="s">
        <v>1568</v>
      </c>
      <c r="D23" s="696"/>
      <c r="E23" s="696"/>
      <c r="F23" s="697">
        <f>F14</f>
        <v>0.05</v>
      </c>
      <c r="H23" s="728" t="s">
        <v>1540</v>
      </c>
      <c r="I23" s="728" t="s">
        <v>1527</v>
      </c>
      <c r="J23" s="728" t="s">
        <v>1541</v>
      </c>
      <c r="K23" s="728" t="s">
        <v>1511</v>
      </c>
      <c r="L23" s="728" t="s">
        <v>1542</v>
      </c>
      <c r="M23" s="727" t="s">
        <v>1564</v>
      </c>
      <c r="N23" s="728" t="s">
        <v>1566</v>
      </c>
      <c r="O23" s="727" t="s">
        <v>1563</v>
      </c>
    </row>
    <row r="24" spans="2:15" ht="15.75" customHeight="1">
      <c r="B24" s="694"/>
      <c r="C24" s="695" t="s">
        <v>1494</v>
      </c>
      <c r="D24" s="696"/>
      <c r="E24" s="696"/>
      <c r="F24" s="698">
        <f>SUM(F17:F23)</f>
        <v>0.15429999999999999</v>
      </c>
      <c r="H24" s="742">
        <v>0.02</v>
      </c>
      <c r="I24" s="742">
        <v>0</v>
      </c>
      <c r="J24" s="742">
        <v>1.2200000000000001E-2</v>
      </c>
      <c r="K24" s="742">
        <v>0</v>
      </c>
      <c r="L24" s="742">
        <v>1.2800000000000001E-2</v>
      </c>
      <c r="M24" s="742">
        <v>4.4999999999999998E-2</v>
      </c>
      <c r="N24" s="743"/>
      <c r="O24" s="734" t="s">
        <v>1543</v>
      </c>
    </row>
    <row r="25" spans="2:15" ht="15.75" customHeight="1">
      <c r="B25" s="719" t="s">
        <v>140</v>
      </c>
      <c r="C25" s="723" t="s">
        <v>1495</v>
      </c>
      <c r="D25" s="724"/>
      <c r="E25" s="724"/>
      <c r="F25" s="722"/>
      <c r="H25" s="744">
        <v>2.7900000000000001E-2</v>
      </c>
      <c r="I25" s="744">
        <v>0</v>
      </c>
      <c r="J25" s="744">
        <v>1.84E-2</v>
      </c>
      <c r="K25" s="744">
        <v>0</v>
      </c>
      <c r="L25" s="744">
        <v>1.9099999999999999E-2</v>
      </c>
      <c r="M25" s="742">
        <v>6.54E-2</v>
      </c>
      <c r="N25" s="743"/>
      <c r="O25" s="734" t="s">
        <v>1544</v>
      </c>
    </row>
    <row r="26" spans="2:15" ht="15.75" customHeight="1">
      <c r="B26" s="694" t="s">
        <v>1496</v>
      </c>
      <c r="C26" s="695" t="s">
        <v>1497</v>
      </c>
      <c r="D26" s="696"/>
      <c r="E26" s="696"/>
      <c r="F26" s="697">
        <v>0</v>
      </c>
      <c r="H26" s="742">
        <v>3.5000000000000003E-2</v>
      </c>
      <c r="I26" s="742">
        <v>2.3999999999999998E-3</v>
      </c>
      <c r="J26" s="742">
        <v>1.8499999999999999E-2</v>
      </c>
      <c r="K26" s="742">
        <v>1.6000000000000001E-3</v>
      </c>
      <c r="L26" s="742">
        <v>1.95E-2</v>
      </c>
      <c r="M26" s="742">
        <v>7.6999999999999999E-2</v>
      </c>
      <c r="N26" s="743"/>
      <c r="O26" s="734" t="s">
        <v>1545</v>
      </c>
    </row>
    <row r="27" spans="2:15" ht="15.75" customHeight="1">
      <c r="B27" s="694" t="s">
        <v>1498</v>
      </c>
      <c r="C27" s="695" t="s">
        <v>1499</v>
      </c>
      <c r="D27" s="696"/>
      <c r="E27" s="696"/>
      <c r="F27" s="697">
        <v>0</v>
      </c>
      <c r="H27" s="742">
        <v>3.8399999999999997E-2</v>
      </c>
      <c r="I27" s="742">
        <v>2.7000000000000001E-3</v>
      </c>
      <c r="J27" s="742">
        <v>1.8700000000000001E-2</v>
      </c>
      <c r="K27" s="742">
        <v>5.1999999999999998E-3</v>
      </c>
      <c r="L27" s="742">
        <v>1.9900000000000001E-2</v>
      </c>
      <c r="M27" s="742">
        <v>8.4900000000000003E-2</v>
      </c>
      <c r="N27" s="743"/>
      <c r="O27" s="734" t="s">
        <v>1546</v>
      </c>
    </row>
    <row r="28" spans="2:15" ht="15.75" customHeight="1">
      <c r="B28" s="694"/>
      <c r="C28" s="695" t="s">
        <v>1500</v>
      </c>
      <c r="D28" s="696"/>
      <c r="E28" s="696"/>
      <c r="F28" s="698">
        <f>SUM(F26:F27)</f>
        <v>0</v>
      </c>
      <c r="H28" s="742">
        <v>3.8699999999999998E-2</v>
      </c>
      <c r="I28" s="742">
        <v>2.8999999999999998E-3</v>
      </c>
      <c r="J28" s="742">
        <v>1.89E-2</v>
      </c>
      <c r="K28" s="742">
        <v>8.8999999999999999E-3</v>
      </c>
      <c r="L28" s="742">
        <v>2.0299999999999999E-2</v>
      </c>
      <c r="M28" s="742">
        <v>8.9700000000000002E-2</v>
      </c>
      <c r="N28" s="743"/>
      <c r="O28" s="734" t="s">
        <v>1547</v>
      </c>
    </row>
    <row r="29" spans="2:15" ht="15.75" customHeight="1">
      <c r="B29" s="719" t="s">
        <v>141</v>
      </c>
      <c r="C29" s="720" t="s">
        <v>1433</v>
      </c>
      <c r="D29" s="721"/>
      <c r="E29" s="721"/>
      <c r="F29" s="722"/>
      <c r="H29" s="742">
        <v>4.2299999999999997E-2</v>
      </c>
      <c r="I29" s="742">
        <v>3.2000000000000002E-3</v>
      </c>
      <c r="J29" s="742">
        <v>1.9099999999999999E-2</v>
      </c>
      <c r="K29" s="742">
        <v>1.2500000000000001E-2</v>
      </c>
      <c r="L29" s="742">
        <v>2.07E-2</v>
      </c>
      <c r="M29" s="742">
        <v>9.7799999999999998E-2</v>
      </c>
      <c r="N29" s="743"/>
      <c r="O29" s="734" t="s">
        <v>1548</v>
      </c>
    </row>
    <row r="30" spans="2:15" ht="15.75" customHeight="1">
      <c r="B30" s="694" t="s">
        <v>1501</v>
      </c>
      <c r="C30" s="695" t="s">
        <v>1569</v>
      </c>
      <c r="D30" s="696"/>
      <c r="E30" s="696"/>
      <c r="F30" s="697">
        <v>0</v>
      </c>
      <c r="H30" s="742">
        <v>4.2599999999999999E-2</v>
      </c>
      <c r="I30" s="742">
        <v>3.3999999999999998E-3</v>
      </c>
      <c r="J30" s="742">
        <v>1.9300000000000001E-2</v>
      </c>
      <c r="K30" s="742">
        <v>1.6199999999999999E-2</v>
      </c>
      <c r="L30" s="742">
        <v>2.1100000000000001E-2</v>
      </c>
      <c r="M30" s="742">
        <v>0.1026</v>
      </c>
      <c r="N30" s="743"/>
      <c r="O30" s="734" t="s">
        <v>1549</v>
      </c>
    </row>
    <row r="31" spans="2:15" ht="15.75" customHeight="1">
      <c r="B31" s="699"/>
      <c r="C31" s="700" t="s">
        <v>1502</v>
      </c>
      <c r="D31" s="701"/>
      <c r="E31" s="701"/>
      <c r="F31" s="702">
        <f>SUM(F30:F30)</f>
        <v>0</v>
      </c>
      <c r="H31" s="742">
        <v>4.3099999999999999E-2</v>
      </c>
      <c r="I31" s="742">
        <v>3.5000000000000001E-3</v>
      </c>
      <c r="J31" s="742">
        <v>1.95E-2</v>
      </c>
      <c r="K31" s="742">
        <v>0.02</v>
      </c>
      <c r="L31" s="742">
        <v>2.1499999999999998E-2</v>
      </c>
      <c r="M31" s="742">
        <v>0.1076</v>
      </c>
      <c r="N31" s="743"/>
      <c r="O31" s="734" t="s">
        <v>1550</v>
      </c>
    </row>
    <row r="32" spans="2:15" s="9" customFormat="1" ht="15.75" customHeight="1">
      <c r="B32" s="725"/>
      <c r="C32" s="636" t="s">
        <v>1503</v>
      </c>
      <c r="D32" s="726"/>
      <c r="E32" s="726"/>
      <c r="F32" s="703">
        <f>F31+F28+F15</f>
        <v>0.15429999999999999</v>
      </c>
      <c r="G32" s="468"/>
      <c r="H32" s="742">
        <v>4.6100000000000002E-2</v>
      </c>
      <c r="I32" s="742">
        <v>3.7000000000000002E-3</v>
      </c>
      <c r="J32" s="742">
        <v>1.9699999999999999E-2</v>
      </c>
      <c r="K32" s="742">
        <v>2.3699999999999999E-2</v>
      </c>
      <c r="L32" s="742">
        <v>2.1899999999999999E-2</v>
      </c>
      <c r="M32" s="742">
        <v>0.11509999999999999</v>
      </c>
      <c r="N32" s="743"/>
      <c r="O32" s="734" t="s">
        <v>1551</v>
      </c>
    </row>
    <row r="33" spans="2:18" ht="15.75" customHeight="1">
      <c r="H33" s="742">
        <v>4.65E-2</v>
      </c>
      <c r="I33" s="742">
        <v>3.8E-3</v>
      </c>
      <c r="J33" s="742">
        <v>0.02</v>
      </c>
      <c r="K33" s="742">
        <v>2.7400000000000001E-2</v>
      </c>
      <c r="L33" s="742">
        <v>2.23E-2</v>
      </c>
      <c r="M33" s="742">
        <v>0.12</v>
      </c>
      <c r="N33" s="743" t="s">
        <v>1567</v>
      </c>
      <c r="O33" s="734" t="s">
        <v>1552</v>
      </c>
      <c r="P33" s="683"/>
      <c r="Q33" s="683"/>
      <c r="R33" s="683"/>
    </row>
    <row r="34" spans="2:18" ht="15.75" customHeight="1">
      <c r="B34" s="881" t="s">
        <v>1834</v>
      </c>
      <c r="C34" s="882"/>
      <c r="D34" s="883"/>
      <c r="E34" s="883"/>
      <c r="F34" s="884"/>
      <c r="H34" s="742">
        <v>0.05</v>
      </c>
      <c r="I34" s="742">
        <v>4.0000000000000001E-3</v>
      </c>
      <c r="J34" s="742">
        <v>2.01E-2</v>
      </c>
      <c r="K34" s="742">
        <v>3.1199999999999999E-2</v>
      </c>
      <c r="L34" s="742">
        <v>2.2700000000000001E-2</v>
      </c>
      <c r="M34" s="742">
        <v>0.128</v>
      </c>
      <c r="N34" s="743"/>
      <c r="O34" s="734" t="s">
        <v>1553</v>
      </c>
      <c r="P34" s="683"/>
      <c r="Q34" s="683"/>
      <c r="R34" s="683"/>
    </row>
    <row r="35" spans="2:18" ht="15.75" customHeight="1">
      <c r="B35" s="885" t="s">
        <v>2007</v>
      </c>
      <c r="F35" s="886"/>
      <c r="H35" s="742">
        <v>0.05</v>
      </c>
      <c r="I35" s="742">
        <v>4.1999999999999997E-3</v>
      </c>
      <c r="J35" s="742">
        <v>2.0299999999999999E-2</v>
      </c>
      <c r="K35" s="742">
        <v>3.49E-2</v>
      </c>
      <c r="L35" s="742">
        <v>2.3099999999999999E-2</v>
      </c>
      <c r="M35" s="742">
        <v>0.13250000000000001</v>
      </c>
      <c r="N35" s="743"/>
      <c r="O35" s="734" t="s">
        <v>1554</v>
      </c>
      <c r="P35" s="683"/>
      <c r="Q35" s="683"/>
      <c r="R35" s="683"/>
    </row>
    <row r="36" spans="2:18" ht="15.75" customHeight="1">
      <c r="B36" s="1446" t="s">
        <v>1835</v>
      </c>
      <c r="C36" s="1447"/>
      <c r="D36" s="1447"/>
      <c r="E36" s="1447"/>
      <c r="F36" s="1448"/>
      <c r="H36" s="742">
        <v>0.05</v>
      </c>
      <c r="I36" s="742">
        <v>4.4000000000000003E-3</v>
      </c>
      <c r="J36" s="742">
        <v>2.0500000000000001E-2</v>
      </c>
      <c r="K36" s="742">
        <v>3.8600000000000002E-2</v>
      </c>
      <c r="L36" s="742">
        <v>2.35E-2</v>
      </c>
      <c r="M36" s="742">
        <v>0.13700000000000001</v>
      </c>
      <c r="N36" s="743"/>
      <c r="O36" s="734" t="s">
        <v>1555</v>
      </c>
      <c r="P36" s="683"/>
      <c r="Q36" s="683"/>
      <c r="R36" s="683"/>
    </row>
    <row r="37" spans="2:18" ht="15.75" customHeight="1">
      <c r="B37" s="1449"/>
      <c r="C37" s="1450"/>
      <c r="D37" s="1450"/>
      <c r="E37" s="1450"/>
      <c r="F37" s="1451"/>
      <c r="H37" s="742">
        <v>0.05</v>
      </c>
      <c r="I37" s="742">
        <v>4.5999999999999999E-3</v>
      </c>
      <c r="J37" s="742">
        <v>2.07E-2</v>
      </c>
      <c r="K37" s="742">
        <v>4.2299999999999997E-2</v>
      </c>
      <c r="L37" s="742">
        <v>2.3900000000000001E-2</v>
      </c>
      <c r="M37" s="742">
        <v>0.14149999999999999</v>
      </c>
      <c r="N37" s="743"/>
      <c r="O37" s="734" t="s">
        <v>1556</v>
      </c>
      <c r="P37" s="683"/>
      <c r="Q37" s="683"/>
      <c r="R37" s="683"/>
    </row>
    <row r="38" spans="2:18" ht="15.75" customHeight="1">
      <c r="H38" s="742">
        <v>0.05</v>
      </c>
      <c r="I38" s="742">
        <v>4.7000000000000002E-3</v>
      </c>
      <c r="J38" s="742">
        <v>2.1000000000000001E-2</v>
      </c>
      <c r="K38" s="742">
        <v>4.5999999999999999E-2</v>
      </c>
      <c r="L38" s="742">
        <v>2.4299999999999999E-2</v>
      </c>
      <c r="M38" s="742">
        <v>0.14599999999999999</v>
      </c>
      <c r="N38" s="743"/>
      <c r="O38" s="734" t="s">
        <v>1557</v>
      </c>
      <c r="P38" s="683"/>
      <c r="Q38" s="683"/>
      <c r="R38" s="683"/>
    </row>
    <row r="39" spans="2:18" ht="15.75" customHeight="1">
      <c r="H39" s="742">
        <v>0.05</v>
      </c>
      <c r="I39" s="742">
        <v>4.8999999999999998E-3</v>
      </c>
      <c r="J39" s="742">
        <v>2.1899999999999999E-2</v>
      </c>
      <c r="K39" s="742">
        <v>4.9000000000000002E-2</v>
      </c>
      <c r="L39" s="742">
        <v>2.47E-2</v>
      </c>
      <c r="M39" s="742">
        <v>0.15049999999999999</v>
      </c>
      <c r="N39" s="743"/>
      <c r="O39" s="734" t="s">
        <v>1558</v>
      </c>
      <c r="P39" s="683"/>
      <c r="Q39" s="683"/>
      <c r="R39" s="683"/>
    </row>
    <row r="40" spans="2:18" ht="15.75" customHeight="1">
      <c r="H40" s="742">
        <v>0.05</v>
      </c>
      <c r="I40" s="742">
        <v>5.1000000000000004E-3</v>
      </c>
      <c r="J40" s="742">
        <v>2.2700000000000001E-2</v>
      </c>
      <c r="K40" s="742">
        <v>5.21E-2</v>
      </c>
      <c r="L40" s="742">
        <v>2.5100000000000001E-2</v>
      </c>
      <c r="M40" s="742">
        <v>0.155</v>
      </c>
      <c r="N40" s="743"/>
      <c r="O40" s="734" t="s">
        <v>1559</v>
      </c>
      <c r="P40" s="683"/>
      <c r="Q40" s="683"/>
      <c r="R40" s="683"/>
    </row>
    <row r="41" spans="2:18" ht="15.75" customHeight="1">
      <c r="H41" s="742">
        <v>0.05</v>
      </c>
      <c r="I41" s="742">
        <v>5.3E-3</v>
      </c>
      <c r="J41" s="742">
        <v>2.3599999999999999E-2</v>
      </c>
      <c r="K41" s="742">
        <v>5.5100000000000003E-2</v>
      </c>
      <c r="L41" s="742">
        <v>2.5499999999999998E-2</v>
      </c>
      <c r="M41" s="742">
        <v>0.1595</v>
      </c>
      <c r="N41" s="743"/>
      <c r="O41" s="734" t="s">
        <v>1560</v>
      </c>
      <c r="P41" s="683"/>
      <c r="Q41" s="683"/>
      <c r="R41" s="683"/>
    </row>
    <row r="42" spans="2:18" ht="15.75" customHeight="1">
      <c r="H42" s="742">
        <v>0.05</v>
      </c>
      <c r="I42" s="742">
        <v>5.4999999999999997E-3</v>
      </c>
      <c r="J42" s="742">
        <v>2.4500000000000001E-2</v>
      </c>
      <c r="K42" s="742">
        <v>5.8099999999999999E-2</v>
      </c>
      <c r="L42" s="742">
        <v>2.5899999999999999E-2</v>
      </c>
      <c r="M42" s="742">
        <v>0.16400000000000001</v>
      </c>
      <c r="N42" s="743"/>
      <c r="O42" s="734" t="s">
        <v>1561</v>
      </c>
      <c r="P42" s="683"/>
      <c r="Q42" s="683"/>
      <c r="R42" s="683"/>
    </row>
    <row r="43" spans="2:18" ht="15.75" customHeight="1">
      <c r="H43" s="742">
        <v>0.05</v>
      </c>
      <c r="I43" s="742">
        <v>5.7000000000000002E-3</v>
      </c>
      <c r="J43" s="742">
        <v>2.53E-2</v>
      </c>
      <c r="K43" s="742">
        <v>6.1199999999999997E-2</v>
      </c>
      <c r="L43" s="742">
        <v>2.63E-2</v>
      </c>
      <c r="M43" s="742">
        <v>0.16850000000000001</v>
      </c>
      <c r="N43" s="743"/>
      <c r="O43" s="734" t="s">
        <v>1562</v>
      </c>
      <c r="P43" s="683"/>
      <c r="Q43" s="683"/>
      <c r="R43" s="683"/>
    </row>
    <row r="44" spans="2:18" ht="15.75" customHeight="1">
      <c r="H44" s="737"/>
      <c r="I44" s="738"/>
      <c r="J44" s="738"/>
      <c r="K44" s="738"/>
      <c r="L44" s="738"/>
      <c r="M44" s="738"/>
      <c r="N44" s="738"/>
      <c r="O44" s="738"/>
      <c r="P44" s="683"/>
      <c r="Q44" s="683"/>
      <c r="R44" s="683"/>
    </row>
    <row r="45" spans="2:18" ht="15.75" customHeight="1">
      <c r="H45" s="468" t="s">
        <v>1539</v>
      </c>
      <c r="I45" s="468"/>
      <c r="J45" s="468"/>
      <c r="K45" s="468"/>
      <c r="L45" s="468"/>
      <c r="M45" s="468"/>
      <c r="N45" s="468"/>
      <c r="O45" s="745" t="s">
        <v>2001</v>
      </c>
      <c r="P45" s="683"/>
      <c r="Q45" s="683"/>
      <c r="R45" s="683"/>
    </row>
    <row r="46" spans="2:18" ht="15.75" customHeight="1">
      <c r="H46" s="708" t="s">
        <v>1537</v>
      </c>
      <c r="I46" s="468"/>
      <c r="J46" s="468"/>
      <c r="K46" s="468"/>
      <c r="L46" s="468"/>
      <c r="M46" s="468"/>
      <c r="N46" s="468"/>
      <c r="O46" s="468"/>
      <c r="P46" s="683"/>
      <c r="Q46" s="683"/>
      <c r="R46" s="683"/>
    </row>
    <row r="47" spans="2:18" ht="15.75" customHeight="1">
      <c r="H47" s="468" t="s">
        <v>1538</v>
      </c>
      <c r="I47" s="468"/>
      <c r="J47" s="468"/>
      <c r="K47" s="468"/>
      <c r="L47" s="468"/>
      <c r="M47" s="468"/>
      <c r="N47" s="468"/>
      <c r="O47" s="468"/>
      <c r="P47" s="683"/>
      <c r="Q47" s="683"/>
      <c r="R47" s="683"/>
    </row>
    <row r="48" spans="2:18" ht="15.75" customHeight="1">
      <c r="F48" s="1155"/>
      <c r="P48" s="683"/>
      <c r="Q48" s="683"/>
      <c r="R48" s="683"/>
    </row>
    <row r="49" spans="8:18" ht="15.75" customHeight="1" thickBot="1">
      <c r="H49" s="712" t="s">
        <v>1987</v>
      </c>
      <c r="P49" s="683"/>
      <c r="Q49" s="683"/>
      <c r="R49" s="683"/>
    </row>
    <row r="50" spans="8:18" ht="15.75" customHeight="1" thickBot="1">
      <c r="H50" s="1157" t="s">
        <v>1988</v>
      </c>
      <c r="I50" s="1157" t="s">
        <v>1989</v>
      </c>
      <c r="J50" s="36"/>
      <c r="P50" s="683"/>
      <c r="Q50" s="683"/>
      <c r="R50" s="683"/>
    </row>
    <row r="51" spans="8:18" ht="15.75" customHeight="1">
      <c r="H51" s="1156">
        <v>6.4999999999999997E-3</v>
      </c>
      <c r="I51" s="1156">
        <v>5.0800000000000003E-3</v>
      </c>
      <c r="J51" s="36" t="s">
        <v>134</v>
      </c>
      <c r="P51" s="683"/>
      <c r="Q51" s="683"/>
      <c r="R51" s="683"/>
    </row>
    <row r="52" spans="8:18" ht="15.75" customHeight="1">
      <c r="H52" s="388">
        <v>1.2E-2</v>
      </c>
      <c r="I52" s="632">
        <v>2.4369999999999999E-2</v>
      </c>
      <c r="J52" s="36" t="s">
        <v>135</v>
      </c>
      <c r="P52" s="683"/>
      <c r="Q52" s="683"/>
      <c r="R52" s="683"/>
    </row>
    <row r="53" spans="8:18" ht="15.75" customHeight="1">
      <c r="H53" s="388">
        <v>0.03</v>
      </c>
      <c r="I53" s="389">
        <v>2.3439999999999999E-2</v>
      </c>
      <c r="J53" s="36" t="s">
        <v>136</v>
      </c>
    </row>
    <row r="54" spans="8:18" ht="15.75" customHeight="1">
      <c r="H54" s="388">
        <v>1.0800000000000001E-2</v>
      </c>
      <c r="I54" s="388">
        <v>2.4889999999999999E-2</v>
      </c>
      <c r="J54" s="36" t="s">
        <v>137</v>
      </c>
    </row>
    <row r="55" spans="8:18" ht="15.75" customHeight="1">
      <c r="H55" s="388">
        <v>4.4999999999999998E-2</v>
      </c>
      <c r="I55" s="388">
        <v>4.4999999999999998E-2</v>
      </c>
      <c r="J55" s="36" t="s">
        <v>1990</v>
      </c>
    </row>
    <row r="56" spans="8:18" ht="15.75" customHeight="1">
      <c r="H56" s="388">
        <v>0.05</v>
      </c>
      <c r="I56" s="389">
        <v>0.05</v>
      </c>
      <c r="J56" s="36" t="s">
        <v>1991</v>
      </c>
    </row>
    <row r="57" spans="8:18" ht="15.75" customHeight="1">
      <c r="H57" s="43"/>
      <c r="I57" s="43"/>
      <c r="J57" s="36"/>
    </row>
    <row r="58" spans="8:18" ht="15.75" customHeight="1">
      <c r="H58" s="942">
        <f>SUM(H51:H57)</f>
        <v>0.15429999999999999</v>
      </c>
      <c r="I58" s="943">
        <f>SUM(I51:I57)</f>
        <v>0.17277999999999999</v>
      </c>
      <c r="J58" s="36"/>
    </row>
    <row r="59" spans="8:18" ht="15.75" customHeight="1"/>
    <row r="60" spans="8:18" ht="15.75" customHeight="1"/>
    <row r="61" spans="8:18" ht="15.75" customHeight="1"/>
    <row r="62" spans="8:18" ht="15.75" customHeight="1"/>
    <row r="63" spans="8:18" ht="15.75" customHeight="1"/>
    <row r="64" spans="8:18" ht="15.75" customHeight="1"/>
  </sheetData>
  <sheetProtection formatCells="0" formatColumns="0" formatRows="0" insertColumns="0" insertRows="0" insertHyperlinks="0" deleteColumns="0" deleteRows="0" sort="0" autoFilter="0" pivotTables="0"/>
  <mergeCells count="5">
    <mergeCell ref="C1:D1"/>
    <mergeCell ref="C2:D2"/>
    <mergeCell ref="C3:D3"/>
    <mergeCell ref="B6:F6"/>
    <mergeCell ref="B36:F37"/>
  </mergeCells>
  <phoneticPr fontId="48" type="noConversion"/>
  <conditionalFormatting sqref="F8:F32">
    <cfRule type="cellIs" dxfId="1" priority="1" operator="equal">
      <formula>0</formula>
    </cfRule>
  </conditionalFormatting>
  <dataValidations disablePrompts="1" count="1">
    <dataValidation type="list" allowBlank="1" showInputMessage="1" showErrorMessage="1" sqref="E11" xr:uid="{256179A9-7BE3-41BB-8B82-6A6CD9EC03CA}">
      <formula1>$K$5:$L$5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27BC-5080-4BD4-A278-9CFCC7EFA480}">
  <sheetPr>
    <tabColor rgb="FF9FC6FF"/>
    <pageSetUpPr fitToPage="1"/>
  </sheetPr>
  <dimension ref="A1:AB36"/>
  <sheetViews>
    <sheetView showGridLines="0" topLeftCell="C1" zoomScaleNormal="100" workbookViewId="0">
      <selection activeCell="I16" sqref="I16"/>
    </sheetView>
  </sheetViews>
  <sheetFormatPr defaultColWidth="9.109375" defaultRowHeight="13.2"/>
  <cols>
    <col min="1" max="2" width="9.109375" style="467" hidden="1" customWidth="1"/>
    <col min="3" max="3" width="5.109375" style="9" customWidth="1"/>
    <col min="4" max="4" width="5.44140625" style="452" customWidth="1"/>
    <col min="5" max="5" width="7.44140625" style="9" customWidth="1"/>
    <col min="6" max="6" width="5" style="9" customWidth="1"/>
    <col min="7" max="7" width="34.5546875" style="9" customWidth="1"/>
    <col min="8" max="11" width="14.44140625" style="9" customWidth="1"/>
    <col min="12" max="13" width="12.44140625" style="9" customWidth="1"/>
    <col min="14" max="14" width="13.88671875" style="9" customWidth="1"/>
    <col min="15" max="15" width="14.109375" style="9" customWidth="1"/>
    <col min="16" max="16" width="10.5546875" style="9" customWidth="1"/>
    <col min="17" max="19" width="9.109375" style="9"/>
    <col min="20" max="21" width="12.88671875" style="9" customWidth="1"/>
    <col min="22" max="16384" width="9.109375" style="9"/>
  </cols>
  <sheetData>
    <row r="1" spans="1:28" s="436" customFormat="1" ht="15.75" customHeight="1">
      <c r="A1" s="458"/>
      <c r="B1" s="458"/>
      <c r="D1" s="1407"/>
      <c r="E1" s="1408"/>
      <c r="F1" s="838"/>
      <c r="G1" s="1443" t="s">
        <v>1475</v>
      </c>
      <c r="H1" s="1413"/>
      <c r="I1" s="1413"/>
      <c r="J1" s="1413"/>
      <c r="K1" s="1413"/>
      <c r="L1" s="1413"/>
      <c r="M1" s="1414"/>
      <c r="N1" s="839" t="s">
        <v>1476</v>
      </c>
      <c r="O1" s="682">
        <f>encargos_mensalista</f>
        <v>1.1268768141556436</v>
      </c>
      <c r="P1" s="437"/>
      <c r="Q1" s="437"/>
      <c r="R1" s="437"/>
      <c r="S1" s="437"/>
      <c r="T1" s="437"/>
      <c r="U1" s="437"/>
      <c r="V1" s="437"/>
      <c r="W1" s="437"/>
      <c r="X1" s="437"/>
      <c r="Y1" s="437"/>
      <c r="AA1" s="9"/>
      <c r="AB1" s="9"/>
    </row>
    <row r="2" spans="1:28" s="438" customFormat="1" ht="15.75" customHeight="1">
      <c r="A2" s="461"/>
      <c r="B2" s="461"/>
      <c r="D2" s="1409"/>
      <c r="E2" s="1410"/>
      <c r="F2" s="840"/>
      <c r="G2" s="1422">
        <f>BDI!J3</f>
        <v>0</v>
      </c>
      <c r="H2" s="1415"/>
      <c r="I2" s="1415"/>
      <c r="J2" s="1415"/>
      <c r="K2" s="1415"/>
      <c r="L2" s="1415"/>
      <c r="M2" s="1416"/>
      <c r="N2" s="685" t="s">
        <v>1477</v>
      </c>
      <c r="O2" s="686">
        <f>adm_central</f>
        <v>0.04</v>
      </c>
      <c r="P2" s="5"/>
      <c r="Q2" s="5"/>
      <c r="R2" s="5"/>
      <c r="S2" s="5"/>
      <c r="T2" s="5"/>
      <c r="U2" s="5"/>
      <c r="V2" s="5"/>
      <c r="W2" s="5"/>
      <c r="X2" s="5"/>
      <c r="Y2" s="5"/>
      <c r="AA2" s="9"/>
      <c r="AB2" s="9"/>
    </row>
    <row r="3" spans="1:28" s="438" customFormat="1" ht="15.75" customHeight="1">
      <c r="A3" s="461"/>
      <c r="B3" s="461"/>
      <c r="D3" s="1411"/>
      <c r="E3" s="1412"/>
      <c r="F3" s="841"/>
      <c r="G3" s="1444">
        <f>BDI!J4</f>
        <v>0</v>
      </c>
      <c r="H3" s="1417"/>
      <c r="I3" s="1417"/>
      <c r="J3" s="1417"/>
      <c r="K3" s="1417"/>
      <c r="L3" s="1417"/>
      <c r="M3" s="1418"/>
      <c r="N3" s="688" t="s">
        <v>1478</v>
      </c>
      <c r="O3" s="689">
        <v>0.1173</v>
      </c>
      <c r="P3" s="5"/>
      <c r="Q3" s="5"/>
      <c r="R3" s="5"/>
      <c r="S3" s="9"/>
      <c r="T3" s="9"/>
      <c r="U3" s="9"/>
      <c r="V3" s="9"/>
      <c r="W3" s="9"/>
      <c r="X3" s="9"/>
      <c r="Y3" s="5"/>
      <c r="AA3" s="9"/>
      <c r="AB3" s="9"/>
    </row>
    <row r="4" spans="1:28">
      <c r="D4" s="440"/>
      <c r="E4" s="441"/>
      <c r="F4" s="441"/>
      <c r="G4" s="441"/>
      <c r="H4" s="441"/>
      <c r="P4" s="441"/>
    </row>
    <row r="5" spans="1:28" ht="15" customHeight="1">
      <c r="D5" s="470" t="s">
        <v>1479</v>
      </c>
      <c r="E5" s="457"/>
      <c r="F5" s="457"/>
      <c r="G5" s="73"/>
      <c r="H5" s="73"/>
      <c r="I5" s="73"/>
      <c r="J5" s="73"/>
      <c r="K5" s="73"/>
      <c r="L5" s="73"/>
      <c r="M5" s="73"/>
      <c r="N5" s="66" t="s">
        <v>132</v>
      </c>
      <c r="O5" s="77"/>
      <c r="P5" s="441"/>
    </row>
    <row r="6" spans="1:28" ht="15.75" customHeight="1">
      <c r="D6" s="440"/>
      <c r="E6" s="441"/>
      <c r="F6" s="441"/>
      <c r="G6" s="441"/>
      <c r="H6" s="441"/>
      <c r="I6" s="441"/>
      <c r="J6" s="441"/>
      <c r="K6" s="441"/>
      <c r="L6" s="441"/>
      <c r="M6" s="471"/>
      <c r="N6" s="471"/>
      <c r="O6" s="471"/>
      <c r="P6" s="441"/>
    </row>
    <row r="7" spans="1:28" ht="15.75" customHeight="1">
      <c r="D7" s="842">
        <v>1</v>
      </c>
      <c r="E7" s="843" t="s">
        <v>1813</v>
      </c>
      <c r="F7" s="843"/>
      <c r="G7" s="843"/>
      <c r="H7" s="843"/>
      <c r="I7" s="843"/>
      <c r="J7" s="843"/>
      <c r="K7" s="843"/>
      <c r="L7" s="843"/>
      <c r="M7" s="843"/>
      <c r="N7" s="843"/>
      <c r="O7" s="844">
        <f ca="1">ROUNDDOWN($G$10/$G$9,4)</f>
        <v>0</v>
      </c>
      <c r="P7" s="880" t="s">
        <v>1831</v>
      </c>
    </row>
    <row r="8" spans="1:28" ht="15.75" customHeight="1">
      <c r="D8" s="10"/>
      <c r="E8" s="8"/>
      <c r="F8" s="3"/>
      <c r="G8" s="3"/>
      <c r="H8" s="845"/>
      <c r="I8" s="584"/>
      <c r="J8" s="584"/>
      <c r="K8" s="584"/>
      <c r="L8" s="846" t="s">
        <v>148</v>
      </c>
      <c r="M8" s="847"/>
      <c r="N8" s="586"/>
      <c r="O8" s="848"/>
      <c r="Q8" s="849"/>
    </row>
    <row r="9" spans="1:28" ht="15.75" customHeight="1">
      <c r="D9" s="12"/>
      <c r="F9" s="27" t="s">
        <v>1814</v>
      </c>
      <c r="G9" s="850">
        <v>300000</v>
      </c>
      <c r="H9" s="3"/>
      <c r="J9" s="30"/>
      <c r="L9" s="537" t="s">
        <v>1814</v>
      </c>
      <c r="M9" s="84" t="s">
        <v>1815</v>
      </c>
      <c r="N9" s="494"/>
      <c r="O9" s="851"/>
    </row>
    <row r="10" spans="1:28" ht="15.75" customHeight="1">
      <c r="D10" s="12"/>
      <c r="F10" s="27" t="s">
        <v>1816</v>
      </c>
      <c r="G10" s="852">
        <f ca="1">$O$27</f>
        <v>0</v>
      </c>
      <c r="H10" s="3"/>
      <c r="L10" s="537" t="s">
        <v>1816</v>
      </c>
      <c r="M10" s="84" t="s">
        <v>1817</v>
      </c>
      <c r="N10" s="494"/>
      <c r="O10" s="851"/>
    </row>
    <row r="11" spans="1:28" ht="15.75" customHeight="1">
      <c r="D11" s="13"/>
      <c r="E11" s="14"/>
      <c r="F11" s="15"/>
      <c r="G11" s="15"/>
      <c r="H11" s="15"/>
      <c r="I11" s="490"/>
      <c r="J11" s="490"/>
      <c r="K11" s="490"/>
      <c r="L11" s="13"/>
      <c r="M11" s="14"/>
      <c r="N11" s="492"/>
      <c r="O11" s="853"/>
    </row>
    <row r="12" spans="1:28" ht="15.75" customHeight="1">
      <c r="D12" s="440"/>
      <c r="E12" s="441"/>
      <c r="F12" s="441"/>
      <c r="G12" s="441"/>
      <c r="H12" s="441"/>
      <c r="I12" s="441"/>
      <c r="J12" s="441"/>
      <c r="K12" s="441"/>
      <c r="L12" s="441"/>
      <c r="M12" s="443"/>
      <c r="N12" s="854"/>
      <c r="O12" s="855" t="s">
        <v>161</v>
      </c>
      <c r="P12" s="441"/>
    </row>
    <row r="13" spans="1:28" s="444" customFormat="1" ht="15.75" customHeight="1">
      <c r="A13" s="496"/>
      <c r="B13" s="496"/>
      <c r="D13" s="1453">
        <v>1</v>
      </c>
      <c r="E13" s="1454"/>
      <c r="F13" s="1457" t="s">
        <v>1818</v>
      </c>
      <c r="G13" s="1457"/>
      <c r="H13" s="856"/>
      <c r="I13" s="856"/>
      <c r="J13" s="857" t="s">
        <v>1819</v>
      </c>
      <c r="K13" s="858"/>
      <c r="L13" s="856"/>
      <c r="M13" s="1459" t="s">
        <v>2</v>
      </c>
      <c r="N13" s="859"/>
      <c r="O13" s="860"/>
      <c r="P13" s="445"/>
      <c r="S13" s="9"/>
      <c r="T13" s="9"/>
      <c r="U13" s="9"/>
      <c r="V13" s="9"/>
      <c r="W13" s="9"/>
      <c r="X13" s="9"/>
    </row>
    <row r="14" spans="1:28" s="444" customFormat="1" ht="15.75" customHeight="1">
      <c r="A14" s="28">
        <f>D13</f>
        <v>1</v>
      </c>
      <c r="B14" s="29">
        <f>D13</f>
        <v>1</v>
      </c>
      <c r="C14" s="498"/>
      <c r="D14" s="1455"/>
      <c r="E14" s="1456"/>
      <c r="F14" s="1458"/>
      <c r="G14" s="1458"/>
      <c r="H14" s="861" t="s">
        <v>129</v>
      </c>
      <c r="I14" s="861" t="s">
        <v>154</v>
      </c>
      <c r="J14" s="862" t="s">
        <v>155</v>
      </c>
      <c r="K14" s="862" t="s">
        <v>1820</v>
      </c>
      <c r="L14" s="861" t="s">
        <v>15</v>
      </c>
      <c r="M14" s="1460"/>
      <c r="N14" s="861" t="s">
        <v>1821</v>
      </c>
      <c r="O14" s="863" t="s">
        <v>855</v>
      </c>
      <c r="P14" s="9"/>
      <c r="Q14" s="9"/>
      <c r="S14" s="9"/>
      <c r="T14" s="9"/>
      <c r="U14" s="9"/>
      <c r="V14" s="9"/>
      <c r="W14" s="9"/>
      <c r="X14" s="9"/>
    </row>
    <row r="15" spans="1:28" ht="15.75" customHeight="1">
      <c r="A15" s="28">
        <f t="shared" ref="A15:A26" ca="1" si="0">IF(OFFSET(A15,-1,0)="",OFFSET(A15,-2,0),OFFSET(A15,-1,0))</f>
        <v>1</v>
      </c>
      <c r="B15" s="28" t="str">
        <f t="shared" ref="B15:B26" ca="1" si="1">IF(OFFSET(B15,-1,0)&gt;="01",CONCATENATE(,OFFSET(B15,-1,0)+1),CONCATENATE((SUM(OFFSET(B15,-1,0)+1-(OFFSET(B15,-1,0))))))</f>
        <v>1</v>
      </c>
      <c r="C15" s="507"/>
      <c r="D15" s="446"/>
      <c r="E15" s="507" t="str">
        <f ca="1">IF(B15="1",CONCATENATE(A15,".0",B15),IF(B15="2",CONCATENATE(A15,".0",B15),IF(B15="3",CONCATENATE(A15,".0",B15),IF(B15="4",CONCATENATE(A15,".0",B15),IF(B15="5",CONCATENATE(A15,".0",B15),IF(B15="6",CONCATENATE(A15,".0",B15),IF(B15="7",CONCATENATE(A15,".0",B15),IF(B15="8",CONCATENATE(A15,".0",B15),IF(B15="9",CONCATENATE(A15,".0",B15),CONCATENATE(A15,".",B15))))))))))</f>
        <v>1.01</v>
      </c>
      <c r="F15" s="441" t="s">
        <v>1822</v>
      </c>
      <c r="G15" s="441"/>
      <c r="H15" s="864" t="s">
        <v>0</v>
      </c>
      <c r="I15" s="875"/>
      <c r="J15" s="865"/>
      <c r="K15" s="865"/>
      <c r="L15" s="866">
        <f>IFERROR(K15/J15,100%)</f>
        <v>1</v>
      </c>
      <c r="M15" s="867">
        <v>12</v>
      </c>
      <c r="N15" s="877">
        <v>0</v>
      </c>
      <c r="O15" s="868">
        <f>I15*L15*M15*N15</f>
        <v>0</v>
      </c>
    </row>
    <row r="16" spans="1:28" ht="15.75" customHeight="1">
      <c r="A16" s="28">
        <f t="shared" ca="1" si="0"/>
        <v>1</v>
      </c>
      <c r="B16" s="28" t="str">
        <f ca="1">IF(OFFSET(B16,-1,0)&gt;="01",CONCATENATE(,OFFSET(B16,-1,0)+1),CONCATENATE((SUM(OFFSET(B16,-1,0)+1-(OFFSET(B16,-1,0))))))</f>
        <v>2</v>
      </c>
      <c r="C16" s="507"/>
      <c r="D16" s="446"/>
      <c r="E16" s="507" t="str">
        <f t="shared" ref="E16:E26" ca="1" si="2">IF(B16="1",CONCATENATE(A16,".0",B16),IF(B16="2",CONCATENATE(A16,".0",B16),IF(B16="3",CONCATENATE(A16,".0",B16),IF(B16="4",CONCATENATE(A16,".0",B16),IF(B16="5",CONCATENATE(A16,".0",B16),IF(B16="6",CONCATENATE(A16,".0",B16),IF(B16="7",CONCATENATE(A16,".0",B16),IF(B16="8",CONCATENATE(A16,".0",B16),IF(B16="9",CONCATENATE(A16,".0",B16),CONCATENATE(A16,".",B16))))))))))</f>
        <v>1.02</v>
      </c>
      <c r="F16" s="441" t="s">
        <v>1833</v>
      </c>
      <c r="G16" s="441"/>
      <c r="H16" s="864" t="s">
        <v>0</v>
      </c>
      <c r="I16" s="876"/>
      <c r="J16" s="865"/>
      <c r="K16" s="865"/>
      <c r="L16" s="866">
        <f>IFERROR(K16/J16,100%)</f>
        <v>1</v>
      </c>
      <c r="M16" s="867">
        <v>12</v>
      </c>
      <c r="N16" s="878">
        <v>150</v>
      </c>
      <c r="O16" s="868">
        <f>I16*L16*M16*N16</f>
        <v>0</v>
      </c>
    </row>
    <row r="17" spans="1:16" ht="15.75" customHeight="1">
      <c r="A17" s="28">
        <f t="shared" ca="1" si="0"/>
        <v>1</v>
      </c>
      <c r="B17" s="28" t="str">
        <f ca="1">IF(OFFSET(B17,-1,0)&gt;="01",CONCATENATE(,OFFSET(B17,-1,0)+1),CONCATENATE((SUM(OFFSET(B17,-1,0)+1-(OFFSET(B17,-1,0))))))</f>
        <v>3</v>
      </c>
      <c r="C17" s="507"/>
      <c r="D17" s="446"/>
      <c r="E17" s="507" t="str">
        <f t="shared" ca="1" si="2"/>
        <v>1.03</v>
      </c>
      <c r="F17" s="441" t="s">
        <v>1823</v>
      </c>
      <c r="G17" s="441"/>
      <c r="H17" s="864" t="s">
        <v>0</v>
      </c>
      <c r="I17" s="876"/>
      <c r="J17" s="865"/>
      <c r="K17" s="865"/>
      <c r="L17" s="866">
        <f>IFERROR(K17/J17,100%)</f>
        <v>1</v>
      </c>
      <c r="M17" s="867">
        <v>12</v>
      </c>
      <c r="N17" s="878">
        <v>0</v>
      </c>
      <c r="O17" s="868">
        <f>I17*L17*M17*N17</f>
        <v>0</v>
      </c>
    </row>
    <row r="18" spans="1:16" ht="15.75" customHeight="1">
      <c r="A18" s="28">
        <f t="shared" ca="1" si="0"/>
        <v>1</v>
      </c>
      <c r="B18" s="28" t="str">
        <f t="shared" ca="1" si="1"/>
        <v>4</v>
      </c>
      <c r="C18" s="507"/>
      <c r="D18" s="446"/>
      <c r="E18" s="507" t="str">
        <f t="shared" ca="1" si="2"/>
        <v>1.04</v>
      </c>
      <c r="F18" s="441" t="s">
        <v>1824</v>
      </c>
      <c r="G18" s="441"/>
      <c r="H18" s="864" t="s">
        <v>0</v>
      </c>
      <c r="I18" s="875"/>
      <c r="J18" s="865"/>
      <c r="K18" s="865"/>
      <c r="L18" s="866">
        <f t="shared" ref="L18:L26" si="3">IFERROR(K18/J18,100%)</f>
        <v>1</v>
      </c>
      <c r="M18" s="867">
        <v>12</v>
      </c>
      <c r="N18" s="879">
        <v>120</v>
      </c>
      <c r="O18" s="868">
        <f t="shared" ref="O18:O26" si="4">I18*L18*M18*N18</f>
        <v>0</v>
      </c>
    </row>
    <row r="19" spans="1:16" ht="15.75" customHeight="1">
      <c r="A19" s="28">
        <f t="shared" ca="1" si="0"/>
        <v>1</v>
      </c>
      <c r="B19" s="28" t="str">
        <f t="shared" ca="1" si="1"/>
        <v>5</v>
      </c>
      <c r="C19" s="507"/>
      <c r="D19" s="446"/>
      <c r="E19" s="507" t="str">
        <f t="shared" ca="1" si="2"/>
        <v>1.05</v>
      </c>
      <c r="F19" s="441" t="s">
        <v>1825</v>
      </c>
      <c r="G19" s="441"/>
      <c r="H19" s="864" t="s">
        <v>0</v>
      </c>
      <c r="I19" s="875"/>
      <c r="J19" s="865"/>
      <c r="K19" s="865"/>
      <c r="L19" s="866">
        <f t="shared" si="3"/>
        <v>1</v>
      </c>
      <c r="M19" s="867">
        <v>12</v>
      </c>
      <c r="N19" s="878">
        <v>0</v>
      </c>
      <c r="O19" s="868">
        <f t="shared" si="4"/>
        <v>0</v>
      </c>
    </row>
    <row r="20" spans="1:16" ht="15.75" customHeight="1">
      <c r="A20" s="28">
        <f t="shared" ca="1" si="0"/>
        <v>1</v>
      </c>
      <c r="B20" s="28" t="str">
        <f t="shared" ca="1" si="1"/>
        <v>6</v>
      </c>
      <c r="C20" s="507"/>
      <c r="D20" s="446"/>
      <c r="E20" s="507" t="str">
        <f t="shared" ca="1" si="2"/>
        <v>1.06</v>
      </c>
      <c r="F20" s="441" t="s">
        <v>1826</v>
      </c>
      <c r="G20" s="441"/>
      <c r="H20" s="864" t="s">
        <v>0</v>
      </c>
      <c r="I20" s="875"/>
      <c r="J20" s="865"/>
      <c r="K20" s="865"/>
      <c r="L20" s="866">
        <f t="shared" si="3"/>
        <v>1</v>
      </c>
      <c r="M20" s="867">
        <v>12</v>
      </c>
      <c r="N20" s="878">
        <v>400</v>
      </c>
      <c r="O20" s="868">
        <f t="shared" si="4"/>
        <v>0</v>
      </c>
    </row>
    <row r="21" spans="1:16" ht="15.75" customHeight="1">
      <c r="A21" s="28">
        <f t="shared" ca="1" si="0"/>
        <v>1</v>
      </c>
      <c r="B21" s="28" t="str">
        <f t="shared" ca="1" si="1"/>
        <v>7</v>
      </c>
      <c r="C21" s="507"/>
      <c r="D21" s="446"/>
      <c r="E21" s="507" t="str">
        <f t="shared" ca="1" si="2"/>
        <v>1.07</v>
      </c>
      <c r="F21" s="441" t="s">
        <v>1827</v>
      </c>
      <c r="G21" s="441"/>
      <c r="H21" s="864" t="s">
        <v>0</v>
      </c>
      <c r="I21" s="875"/>
      <c r="J21" s="865"/>
      <c r="K21" s="865"/>
      <c r="L21" s="866">
        <f>IFERROR(K21/J21,100%)</f>
        <v>1</v>
      </c>
      <c r="M21" s="867">
        <v>12</v>
      </c>
      <c r="N21" s="878">
        <v>100</v>
      </c>
      <c r="O21" s="868">
        <f>I21*L21*M21*N21</f>
        <v>0</v>
      </c>
    </row>
    <row r="22" spans="1:16" ht="15.75" customHeight="1">
      <c r="A22" s="28">
        <f t="shared" ca="1" si="0"/>
        <v>1</v>
      </c>
      <c r="B22" s="28" t="str">
        <f t="shared" ca="1" si="1"/>
        <v>8</v>
      </c>
      <c r="C22" s="507"/>
      <c r="D22" s="446"/>
      <c r="E22" s="507" t="str">
        <f t="shared" ca="1" si="2"/>
        <v>1.08</v>
      </c>
      <c r="F22" s="441" t="s">
        <v>1832</v>
      </c>
      <c r="G22" s="441"/>
      <c r="H22" s="864" t="s">
        <v>0</v>
      </c>
      <c r="I22" s="875"/>
      <c r="J22" s="865"/>
      <c r="K22" s="865"/>
      <c r="L22" s="866">
        <f>IFERROR(K22/J22,100%)</f>
        <v>1</v>
      </c>
      <c r="M22" s="867">
        <v>12</v>
      </c>
      <c r="N22" s="878">
        <v>100</v>
      </c>
      <c r="O22" s="868">
        <f>I22*L22*M22*N22</f>
        <v>0</v>
      </c>
    </row>
    <row r="23" spans="1:16" ht="15.75" customHeight="1">
      <c r="A23" s="28">
        <f t="shared" ca="1" si="0"/>
        <v>1</v>
      </c>
      <c r="B23" s="28" t="str">
        <f t="shared" ca="1" si="1"/>
        <v>9</v>
      </c>
      <c r="C23" s="507"/>
      <c r="D23" s="446"/>
      <c r="E23" s="507" t="str">
        <f t="shared" ca="1" si="2"/>
        <v>1.09</v>
      </c>
      <c r="F23" s="441" t="s">
        <v>1828</v>
      </c>
      <c r="G23" s="441"/>
      <c r="H23" s="864" t="s">
        <v>0</v>
      </c>
      <c r="I23" s="875"/>
      <c r="J23" s="865"/>
      <c r="K23" s="865"/>
      <c r="L23" s="866">
        <f>IFERROR(K23/J23,100%)</f>
        <v>1</v>
      </c>
      <c r="M23" s="867">
        <v>12</v>
      </c>
      <c r="N23" s="878">
        <v>100</v>
      </c>
      <c r="O23" s="868">
        <f>I23*L23*M23*N23</f>
        <v>0</v>
      </c>
    </row>
    <row r="24" spans="1:16" ht="15.75" customHeight="1">
      <c r="A24" s="28">
        <f t="shared" ca="1" si="0"/>
        <v>1</v>
      </c>
      <c r="B24" s="28" t="str">
        <f t="shared" ca="1" si="1"/>
        <v>10</v>
      </c>
      <c r="C24" s="507"/>
      <c r="D24" s="446"/>
      <c r="E24" s="507" t="str">
        <f t="shared" ca="1" si="2"/>
        <v>1.10</v>
      </c>
      <c r="F24" s="441" t="s">
        <v>1829</v>
      </c>
      <c r="G24" s="441"/>
      <c r="H24" s="864" t="s">
        <v>0</v>
      </c>
      <c r="I24" s="875"/>
      <c r="J24" s="865"/>
      <c r="K24" s="865"/>
      <c r="L24" s="866">
        <f>IFERROR(K24/J24,100%)</f>
        <v>1</v>
      </c>
      <c r="M24" s="867">
        <v>12</v>
      </c>
      <c r="N24" s="878">
        <v>0</v>
      </c>
      <c r="O24" s="868">
        <f>I24*L24*M24*N24</f>
        <v>0</v>
      </c>
    </row>
    <row r="25" spans="1:16" ht="15.75" customHeight="1">
      <c r="A25" s="28">
        <f t="shared" ca="1" si="0"/>
        <v>1</v>
      </c>
      <c r="B25" s="28" t="str">
        <f t="shared" ca="1" si="1"/>
        <v>11</v>
      </c>
      <c r="C25" s="507"/>
      <c r="D25" s="446"/>
      <c r="E25" s="507" t="str">
        <f t="shared" ca="1" si="2"/>
        <v>1.11</v>
      </c>
      <c r="F25" s="441" t="s">
        <v>1830</v>
      </c>
      <c r="G25" s="441"/>
      <c r="H25" s="864" t="s">
        <v>0</v>
      </c>
      <c r="I25" s="875"/>
      <c r="J25" s="865"/>
      <c r="K25" s="865"/>
      <c r="L25" s="866">
        <f>IFERROR(K25/J25,100%)</f>
        <v>1</v>
      </c>
      <c r="M25" s="867">
        <v>12</v>
      </c>
      <c r="N25" s="878">
        <v>0</v>
      </c>
      <c r="O25" s="868">
        <f>I25*L25*M25*N25</f>
        <v>0</v>
      </c>
    </row>
    <row r="26" spans="1:16" ht="15.75" customHeight="1">
      <c r="A26" s="28">
        <f t="shared" ca="1" si="0"/>
        <v>1</v>
      </c>
      <c r="B26" s="28" t="str">
        <f t="shared" ca="1" si="1"/>
        <v>12</v>
      </c>
      <c r="C26" s="507"/>
      <c r="D26" s="446"/>
      <c r="E26" s="507" t="str">
        <f t="shared" ca="1" si="2"/>
        <v>1.12</v>
      </c>
      <c r="F26" s="9" t="str">
        <f>IF(F23="","para inserir linha: copie a linha acima","")</f>
        <v/>
      </c>
      <c r="G26" s="441"/>
      <c r="H26" s="864"/>
      <c r="I26" s="597"/>
      <c r="J26" s="865"/>
      <c r="K26" s="865"/>
      <c r="L26" s="866">
        <f t="shared" si="3"/>
        <v>1</v>
      </c>
      <c r="M26" s="867">
        <v>12</v>
      </c>
      <c r="N26" s="878">
        <v>0</v>
      </c>
      <c r="O26" s="868">
        <f t="shared" si="4"/>
        <v>0</v>
      </c>
    </row>
    <row r="27" spans="1:16" ht="15.75" customHeight="1">
      <c r="A27" s="28"/>
      <c r="B27" s="28"/>
      <c r="C27" s="507"/>
      <c r="D27" s="869"/>
      <c r="E27" s="870" t="str">
        <f t="shared" ref="E27" si="5">IF(B27="1",CONCATENATE(A27,".0",B27),IF(B27="2",CONCATENATE(A27,".0",B27),IF(B27="3",CONCATENATE(A27,".0",B27),IF(B27="4",CONCATENATE(A27,".0",B27),IF(B27="5",CONCATENATE(A27,".0",B27),IF(B27="6",CONCATENATE(A27,".0",B27),IF(B27="7",CONCATENATE(A27,".0",B27),IF(B27="8",CONCATENATE(A27,".0",B27),IF(B27="9",CONCATENATE(A27,".0",B27),CONCATENATE(A27,".",B27))))))))))</f>
        <v>.</v>
      </c>
      <c r="F27" s="871" t="str">
        <f>CONCATENATE("Subtotal", "-",$G$1)</f>
        <v>Subtotal-Despesas Fiscais</v>
      </c>
      <c r="G27" s="871"/>
      <c r="H27" s="871"/>
      <c r="I27" s="871"/>
      <c r="J27" s="871"/>
      <c r="K27" s="871"/>
      <c r="L27" s="871"/>
      <c r="M27" s="871"/>
      <c r="N27" s="872"/>
      <c r="O27" s="873">
        <f ca="1">SUMIF(A:A,D13,O:O)</f>
        <v>0</v>
      </c>
    </row>
    <row r="28" spans="1:16" ht="15.75" customHeight="1">
      <c r="D28" s="440"/>
      <c r="E28" s="441"/>
      <c r="F28" s="441"/>
      <c r="G28" s="441"/>
      <c r="H28" s="441"/>
      <c r="I28" s="441"/>
      <c r="J28" s="441"/>
      <c r="K28" s="441"/>
      <c r="L28" s="1452"/>
      <c r="M28" s="1452"/>
      <c r="N28" s="1452"/>
      <c r="O28" s="1452"/>
      <c r="P28" s="1452"/>
    </row>
    <row r="29" spans="1:16" ht="15.75" customHeight="1">
      <c r="A29" s="468"/>
      <c r="B29" s="468"/>
      <c r="C29" s="468"/>
      <c r="D29" s="9" t="s">
        <v>183</v>
      </c>
      <c r="E29" s="447"/>
      <c r="F29" s="450"/>
      <c r="L29" s="1452"/>
      <c r="M29" s="1452"/>
      <c r="N29" s="1452"/>
      <c r="O29" s="1452"/>
      <c r="P29" s="1452"/>
    </row>
    <row r="30" spans="1:16" ht="15.75" customHeight="1">
      <c r="A30" s="468"/>
      <c r="B30" s="468"/>
      <c r="C30" s="468"/>
      <c r="L30" s="1452"/>
      <c r="M30" s="1452"/>
      <c r="N30" s="1452"/>
      <c r="O30" s="1452"/>
      <c r="P30" s="1452"/>
    </row>
    <row r="31" spans="1:16" ht="15.75" customHeight="1"/>
    <row r="32" spans="1:16" ht="15.75" customHeight="1">
      <c r="M32" s="874"/>
    </row>
    <row r="33" spans="3:28" ht="15.75" customHeight="1"/>
    <row r="34" spans="3:28" s="467" customFormat="1" ht="15.75" customHeight="1">
      <c r="C34" s="9"/>
      <c r="D34" s="452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3:28" s="467" customFormat="1" ht="15.75" customHeight="1">
      <c r="C35" s="9"/>
      <c r="D35" s="452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3:28" s="467" customFormat="1" ht="15.75" customHeight="1">
      <c r="C36" s="9"/>
      <c r="D36" s="452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</sheetData>
  <sheetProtection formatCells="0" formatColumns="0" formatRows="0" insertColumns="0" insertRows="0" insertHyperlinks="0" deleteColumns="0" deleteRows="0" sort="0" autoFilter="0" pivotTables="0"/>
  <dataConsolidate/>
  <mergeCells count="8">
    <mergeCell ref="L28:P30"/>
    <mergeCell ref="D1:E3"/>
    <mergeCell ref="G1:M1"/>
    <mergeCell ref="G2:M2"/>
    <mergeCell ref="G3:M3"/>
    <mergeCell ref="D13:E14"/>
    <mergeCell ref="F13:G14"/>
    <mergeCell ref="M13:M14"/>
  </mergeCells>
  <conditionalFormatting sqref="F26">
    <cfRule type="cellIs" dxfId="0" priority="1" operator="equal">
      <formula>"para inserir linha: copie a linha acima"</formula>
    </cfRule>
  </conditionalFormatting>
  <dataValidations disablePrompts="1" count="1">
    <dataValidation type="custom" allowBlank="1" showInputMessage="1" showErrorMessage="1" sqref="Q16:Q17" xr:uid="{E833C12E-5B72-4ED4-B04E-2638CE2C2786}">
      <formula1>Q7</formula1>
    </dataValidation>
  </dataValidations>
  <pageMargins left="0.25" right="0.25" top="0.75" bottom="0.75" header="0.3" footer="0.3"/>
  <pageSetup paperSize="9" scale="53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110</vt:i4>
      </vt:variant>
    </vt:vector>
  </HeadingPairs>
  <TitlesOfParts>
    <vt:vector size="119" baseType="lpstr">
      <vt:lpstr>BDI</vt:lpstr>
      <vt:lpstr>Indiretos</vt:lpstr>
      <vt:lpstr>F.D.</vt:lpstr>
      <vt:lpstr>Bdi CURVA ABC - MAT</vt:lpstr>
      <vt:lpstr>Adm Central</vt:lpstr>
      <vt:lpstr>Despesas Financeiras</vt:lpstr>
      <vt:lpstr>CHP - Auxiliar</vt:lpstr>
      <vt:lpstr>Tributos Fiscais</vt:lpstr>
      <vt:lpstr>Taxa de Comercialização</vt:lpstr>
      <vt:lpstr>adicional_noturno</vt:lpstr>
      <vt:lpstr>adm_central</vt:lpstr>
      <vt:lpstr>administração_local</vt:lpstr>
      <vt:lpstr>ajuste_HE_mdo_direta</vt:lpstr>
      <vt:lpstr>alojamentos</vt:lpstr>
      <vt:lpstr>alojamentos_valor</vt:lpstr>
      <vt:lpstr>BDI!Area_de_impressao</vt:lpstr>
      <vt:lpstr>Indiretos!Area_de_impressao</vt:lpstr>
      <vt:lpstr>bdi</vt:lpstr>
      <vt:lpstr>canteiro_de_obras</vt:lpstr>
      <vt:lpstr>canteiro_de_obras_valor</vt:lpstr>
      <vt:lpstr>Consultorias</vt:lpstr>
      <vt:lpstr>Consultorias_Valor</vt:lpstr>
      <vt:lpstr>controle_técnológico</vt:lpstr>
      <vt:lpstr>controle_técnológico_valor</vt:lpstr>
      <vt:lpstr>custo_direto</vt:lpstr>
      <vt:lpstr>custo_direto_com_desconto_eventual</vt:lpstr>
      <vt:lpstr>custo_indireto</vt:lpstr>
      <vt:lpstr>data_base_da_obra</vt:lpstr>
      <vt:lpstr>desoneração</vt:lpstr>
      <vt:lpstr>despesas_administrativas</vt:lpstr>
      <vt:lpstr>despesas_administrativas_valor</vt:lpstr>
      <vt:lpstr>despesas_indiretas</vt:lpstr>
      <vt:lpstr>dias_úteis_trabalhados</vt:lpstr>
      <vt:lpstr>dissídio_coletivo</vt:lpstr>
      <vt:lpstr>domingos_trabalhados</vt:lpstr>
      <vt:lpstr>efetivo_médio_dia</vt:lpstr>
      <vt:lpstr>efetivo_médio_mes</vt:lpstr>
      <vt:lpstr>encargos_mensalista</vt:lpstr>
      <vt:lpstr>epi</vt:lpstr>
      <vt:lpstr>epi_valor</vt:lpstr>
      <vt:lpstr>equipamentos</vt:lpstr>
      <vt:lpstr>equipamentos_valor</vt:lpstr>
      <vt:lpstr>faturamento_anual</vt:lpstr>
      <vt:lpstr>ferramentas</vt:lpstr>
      <vt:lpstr>ferramentas_valor</vt:lpstr>
      <vt:lpstr>hora_extra_dias_úteis</vt:lpstr>
      <vt:lpstr>hora_extra_domingos</vt:lpstr>
      <vt:lpstr>hora_extra_mdo_direta</vt:lpstr>
      <vt:lpstr>hora_extra_mdo_indireta</vt:lpstr>
      <vt:lpstr>hora_extra_sábados</vt:lpstr>
      <vt:lpstr>incidência_do_dissídio</vt:lpstr>
      <vt:lpstr>ISS</vt:lpstr>
      <vt:lpstr>juros_medio</vt:lpstr>
      <vt:lpstr>lucro_liquido</vt:lpstr>
      <vt:lpstr>lucro_liquido_valor</vt:lpstr>
      <vt:lpstr>materiais</vt:lpstr>
      <vt:lpstr>mdo</vt:lpstr>
      <vt:lpstr>mdo_direta_alojada</vt:lpstr>
      <vt:lpstr>mdo_direta_não_alojada</vt:lpstr>
      <vt:lpstr>mdo_indireta</vt:lpstr>
      <vt:lpstr>mdo_indireta_valor</vt:lpstr>
      <vt:lpstr>mdo_supervisão_alojada</vt:lpstr>
      <vt:lpstr>mdo_supervisão_não_alojada</vt:lpstr>
      <vt:lpstr>média_coordenação</vt:lpstr>
      <vt:lpstr>média_coordenação_alojada</vt:lpstr>
      <vt:lpstr>média_coordenação_não_alojada</vt:lpstr>
      <vt:lpstr>'CHP - Auxiliar'!média_distancia_percorrida</vt:lpstr>
      <vt:lpstr>média_mdo_direta_alojada</vt:lpstr>
      <vt:lpstr>média_mdo_direta_nao_alojada</vt:lpstr>
      <vt:lpstr>média_mdo_supervisão_alojada</vt:lpstr>
      <vt:lpstr>média_mdo_supervisão_nao_alojada</vt:lpstr>
      <vt:lpstr>média_salarial_ponderada</vt:lpstr>
      <vt:lpstr>média_supervisão</vt:lpstr>
      <vt:lpstr>'CHP - Auxiliar'!media_tempo_viagem</vt:lpstr>
      <vt:lpstr>medicina_e_segurança_do_trabalho</vt:lpstr>
      <vt:lpstr>meses_obra</vt:lpstr>
      <vt:lpstr>mobilização_terceiros</vt:lpstr>
      <vt:lpstr>mobilização_terceiros_valor</vt:lpstr>
      <vt:lpstr>montante_do_juros</vt:lpstr>
      <vt:lpstr>nome_da_obra</vt:lpstr>
      <vt:lpstr>ociosidade_por_dia</vt:lpstr>
      <vt:lpstr>percentual_de_mdo_local</vt:lpstr>
      <vt:lpstr>projetos_valor</vt:lpstr>
      <vt:lpstr>refeições</vt:lpstr>
      <vt:lpstr>refeições_valor</vt:lpstr>
      <vt:lpstr>sábados_trabalhados</vt:lpstr>
      <vt:lpstr>segurança_patrimonial</vt:lpstr>
      <vt:lpstr>seguro_de_vida_coletivo</vt:lpstr>
      <vt:lpstr>serviços_técnicos</vt:lpstr>
      <vt:lpstr>serviços_técnicos_valor</vt:lpstr>
      <vt:lpstr>tarifa_media_vt</vt:lpstr>
      <vt:lpstr>'Taxa de Comercialização'!taxa_comercialização</vt:lpstr>
      <vt:lpstr>taxa_comercialização</vt:lpstr>
      <vt:lpstr>Taxa_de_risco</vt:lpstr>
      <vt:lpstr>taxa_financeira</vt:lpstr>
      <vt:lpstr>topografia</vt:lpstr>
      <vt:lpstr>topografia_valor</vt:lpstr>
      <vt:lpstr>transf_diss_ocio_mdo_direta</vt:lpstr>
      <vt:lpstr>transf_diss_ocio_mdo_indireta</vt:lpstr>
      <vt:lpstr>transportes</vt:lpstr>
      <vt:lpstr>transportes_valor</vt:lpstr>
      <vt:lpstr>treinamentos</vt:lpstr>
      <vt:lpstr>treinamentos_valor</vt:lpstr>
      <vt:lpstr>tributos_fiscais</vt:lpstr>
      <vt:lpstr>valor_almoço</vt:lpstr>
      <vt:lpstr>valor_café_da_manha</vt:lpstr>
      <vt:lpstr>valor_cesta_básica</vt:lpstr>
      <vt:lpstr>valor_de_venda1</vt:lpstr>
      <vt:lpstr>valor_de_venda2</vt:lpstr>
      <vt:lpstr>valor_diária_coordenação</vt:lpstr>
      <vt:lpstr>valor_diária_hotel</vt:lpstr>
      <vt:lpstr>valor_diária_pensão</vt:lpstr>
      <vt:lpstr>valor_diária_supervisão</vt:lpstr>
      <vt:lpstr>'CHP - Auxiliar'!valor_diesel</vt:lpstr>
      <vt:lpstr>'CHP - Auxiliar'!valor_etanol</vt:lpstr>
      <vt:lpstr>'CHP - Auxiliar'!valor_gasolina</vt:lpstr>
      <vt:lpstr>valor_janta</vt:lpstr>
      <vt:lpstr>valor_lanche_da_tarde</vt:lpstr>
      <vt:lpstr>valor_total_financiamento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Felipe Alves</cp:lastModifiedBy>
  <cp:lastPrinted>2023-02-23T17:54:39Z</cp:lastPrinted>
  <dcterms:created xsi:type="dcterms:W3CDTF">2007-02-02T18:25:37Z</dcterms:created>
  <dcterms:modified xsi:type="dcterms:W3CDTF">2026-03-12T11:21:59Z</dcterms:modified>
</cp:coreProperties>
</file>